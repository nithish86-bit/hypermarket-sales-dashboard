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05"/>
  <workbookPr/>
  <mc:AlternateContent xmlns:mc="http://schemas.openxmlformats.org/markup-compatibility/2006">
    <mc:Choice Requires="x15">
      <x15ac:absPath xmlns:x15ac="http://schemas.microsoft.com/office/spreadsheetml/2010/11/ac" url="C:\Users\sunil\Documents\Do Select\New Data sets\Data Set for DVA Assignment-1\MS Excel\"/>
    </mc:Choice>
  </mc:AlternateContent>
  <xr:revisionPtr revIDLastSave="0" documentId="8_{1FD2E604-0743-4453-8A5E-E553E7D3243E}" xr6:coauthVersionLast="47" xr6:coauthVersionMax="47" xr10:uidLastSave="{00000000-0000-0000-0000-000000000000}"/>
  <bookViews>
    <workbookView xWindow="-120" yWindow="-120" windowWidth="20730" windowHeight="11040" firstSheet="2" activeTab="2" xr2:uid="{B42A90B2-E4EB-4C09-AC0E-C6A253FD92C1}"/>
  </bookViews>
  <sheets>
    <sheet name="Questions" sheetId="9" r:id="rId1"/>
    <sheet name="Customer" sheetId="11" r:id="rId2"/>
    <sheet name="Rental Transaction" sheetId="12" r:id="rId3"/>
    <sheet name="Retal Tran Line Item" sheetId="13" r:id="rId4"/>
    <sheet name="Movie" sheetId="10" r:id="rId5"/>
    <sheet name="Q3" sheetId="4" r:id="rId6"/>
    <sheet name="Q4" sheetId="5" r:id="rId7"/>
    <sheet name="Q5" sheetId="8" r:id="rId8"/>
  </sheets>
  <definedNames>
    <definedName name="_xlnm._FilterDatabase" localSheetId="1" hidden="1">Customer!$A$1:$L$555</definedName>
    <definedName name="_xlnm._FilterDatabase" localSheetId="4" hidden="1">Movie!$A$1:$D$308</definedName>
    <definedName name="_xlnm._FilterDatabase" localSheetId="2" hidden="1">'Rental Transaction'!$A$1:$H$3873</definedName>
    <definedName name="_xlnm._FilterDatabase" localSheetId="3" hidden="1">'Retal Tran Line Item'!$A$1:$E$6311</definedName>
  </definedNames>
  <calcPr calcId="191028"/>
  <pivotCaches>
    <pivotCache cacheId="164" r:id="rId9"/>
    <pivotCache cacheId="165" r:id="rId1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 i="13" l="1"/>
  <c r="I4" i="13"/>
  <c r="I5" i="13"/>
  <c r="I6" i="13"/>
  <c r="I7" i="13"/>
  <c r="I8" i="13"/>
  <c r="I9" i="13"/>
  <c r="I10" i="13"/>
  <c r="I11" i="13"/>
  <c r="I12" i="13"/>
  <c r="I13" i="13"/>
  <c r="I14" i="13"/>
  <c r="I15" i="13"/>
  <c r="I16" i="13"/>
  <c r="I17" i="13"/>
  <c r="I18" i="13"/>
  <c r="I19" i="13"/>
  <c r="I20" i="13"/>
  <c r="I21" i="13"/>
  <c r="I22" i="13"/>
  <c r="I23" i="13"/>
  <c r="I24" i="13"/>
  <c r="I25" i="13"/>
  <c r="I26" i="13"/>
  <c r="I27" i="13"/>
  <c r="I28" i="13"/>
  <c r="I29" i="13"/>
  <c r="I30" i="13"/>
  <c r="I31" i="13"/>
  <c r="I32" i="13"/>
  <c r="I33" i="13"/>
  <c r="I34" i="13"/>
  <c r="I35" i="13"/>
  <c r="I36" i="13"/>
  <c r="I37" i="13"/>
  <c r="I38" i="13"/>
  <c r="I39" i="13"/>
  <c r="I40" i="13"/>
  <c r="I41" i="13"/>
  <c r="I42" i="13"/>
  <c r="I43" i="13"/>
  <c r="I44" i="13"/>
  <c r="I45" i="13"/>
  <c r="I46" i="13"/>
  <c r="I47" i="13"/>
  <c r="I48" i="13"/>
  <c r="I49" i="13"/>
  <c r="I50" i="13"/>
  <c r="I51" i="13"/>
  <c r="I52" i="13"/>
  <c r="I53" i="13"/>
  <c r="I54" i="13"/>
  <c r="I55" i="13"/>
  <c r="I56" i="13"/>
  <c r="I57" i="13"/>
  <c r="I58" i="13"/>
  <c r="I59" i="13"/>
  <c r="I60" i="13"/>
  <c r="I61" i="13"/>
  <c r="I62" i="13"/>
  <c r="I63" i="13"/>
  <c r="I64" i="13"/>
  <c r="I65" i="13"/>
  <c r="I66" i="13"/>
  <c r="I67" i="13"/>
  <c r="I68" i="13"/>
  <c r="I69" i="13"/>
  <c r="I70" i="13"/>
  <c r="I71" i="13"/>
  <c r="I72" i="13"/>
  <c r="I73" i="13"/>
  <c r="I74" i="13"/>
  <c r="I75" i="13"/>
  <c r="I76" i="13"/>
  <c r="I77" i="13"/>
  <c r="I78" i="13"/>
  <c r="I79" i="13"/>
  <c r="I80" i="13"/>
  <c r="I81" i="13"/>
  <c r="I82" i="13"/>
  <c r="I83" i="13"/>
  <c r="I84" i="13"/>
  <c r="I85" i="13"/>
  <c r="I86" i="13"/>
  <c r="I87" i="13"/>
  <c r="I88" i="13"/>
  <c r="I89" i="13"/>
  <c r="I90" i="13"/>
  <c r="I91" i="13"/>
  <c r="I92" i="13"/>
  <c r="I93" i="13"/>
  <c r="I94" i="13"/>
  <c r="I95" i="13"/>
  <c r="I96" i="13"/>
  <c r="I97" i="13"/>
  <c r="I98" i="13"/>
  <c r="I99" i="13"/>
  <c r="I100" i="13"/>
  <c r="I101" i="13"/>
  <c r="I102" i="13"/>
  <c r="I103" i="13"/>
  <c r="I104" i="13"/>
  <c r="I105" i="13"/>
  <c r="I106" i="13"/>
  <c r="I107" i="13"/>
  <c r="I108" i="13"/>
  <c r="I109" i="13"/>
  <c r="I110" i="13"/>
  <c r="I111" i="13"/>
  <c r="I112" i="13"/>
  <c r="I113" i="13"/>
  <c r="I114" i="13"/>
  <c r="I115" i="13"/>
  <c r="I116" i="13"/>
  <c r="I117" i="13"/>
  <c r="I118" i="13"/>
  <c r="I119" i="13"/>
  <c r="I120" i="13"/>
  <c r="I121" i="13"/>
  <c r="I122" i="13"/>
  <c r="I123" i="13"/>
  <c r="I124" i="13"/>
  <c r="I125" i="13"/>
  <c r="I126" i="13"/>
  <c r="I127" i="13"/>
  <c r="I128" i="13"/>
  <c r="I129" i="13"/>
  <c r="I130" i="13"/>
  <c r="I131" i="13"/>
  <c r="I132" i="13"/>
  <c r="I133" i="13"/>
  <c r="I134" i="13"/>
  <c r="I135" i="13"/>
  <c r="I136" i="13"/>
  <c r="I137" i="13"/>
  <c r="I138" i="13"/>
  <c r="I139" i="13"/>
  <c r="I140" i="13"/>
  <c r="I141" i="13"/>
  <c r="I142" i="13"/>
  <c r="I143" i="13"/>
  <c r="I144" i="13"/>
  <c r="I145" i="13"/>
  <c r="I146" i="13"/>
  <c r="I147" i="13"/>
  <c r="I148" i="13"/>
  <c r="I149" i="13"/>
  <c r="I150" i="13"/>
  <c r="I151" i="13"/>
  <c r="I152" i="13"/>
  <c r="I153" i="13"/>
  <c r="I154" i="13"/>
  <c r="I155" i="13"/>
  <c r="I156" i="13"/>
  <c r="I157" i="13"/>
  <c r="I158" i="13"/>
  <c r="I159" i="13"/>
  <c r="I160" i="13"/>
  <c r="I161" i="13"/>
  <c r="I162" i="13"/>
  <c r="I163" i="13"/>
  <c r="I164" i="13"/>
  <c r="I165" i="13"/>
  <c r="I166" i="13"/>
  <c r="I167" i="13"/>
  <c r="I168" i="13"/>
  <c r="I169" i="13"/>
  <c r="I170" i="13"/>
  <c r="I171" i="13"/>
  <c r="I172" i="13"/>
  <c r="I173" i="13"/>
  <c r="I174" i="13"/>
  <c r="I175" i="13"/>
  <c r="I176" i="13"/>
  <c r="I177" i="13"/>
  <c r="I178" i="13"/>
  <c r="I179" i="13"/>
  <c r="I180" i="13"/>
  <c r="I181" i="13"/>
  <c r="I182" i="13"/>
  <c r="I183" i="13"/>
  <c r="I184" i="13"/>
  <c r="I185" i="13"/>
  <c r="I186" i="13"/>
  <c r="I187" i="13"/>
  <c r="I188" i="13"/>
  <c r="I189" i="13"/>
  <c r="I190" i="13"/>
  <c r="I191" i="13"/>
  <c r="I192" i="13"/>
  <c r="I193" i="13"/>
  <c r="I194" i="13"/>
  <c r="I195" i="13"/>
  <c r="I196" i="13"/>
  <c r="I197" i="13"/>
  <c r="I198" i="13"/>
  <c r="I199" i="13"/>
  <c r="I200" i="13"/>
  <c r="I201" i="13"/>
  <c r="I202" i="13"/>
  <c r="I203" i="13"/>
  <c r="I204" i="13"/>
  <c r="I205" i="13"/>
  <c r="I206" i="13"/>
  <c r="I207" i="13"/>
  <c r="I208" i="13"/>
  <c r="I209" i="13"/>
  <c r="I210" i="13"/>
  <c r="I211" i="13"/>
  <c r="I212" i="13"/>
  <c r="I213" i="13"/>
  <c r="I214" i="13"/>
  <c r="I215" i="13"/>
  <c r="I216" i="13"/>
  <c r="I217" i="13"/>
  <c r="I218" i="13"/>
  <c r="I219" i="13"/>
  <c r="I220" i="13"/>
  <c r="I221" i="13"/>
  <c r="I222" i="13"/>
  <c r="I223" i="13"/>
  <c r="I224" i="13"/>
  <c r="I225" i="13"/>
  <c r="I226" i="13"/>
  <c r="I227" i="13"/>
  <c r="I228" i="13"/>
  <c r="I229" i="13"/>
  <c r="I230" i="13"/>
  <c r="I231" i="13"/>
  <c r="I232" i="13"/>
  <c r="I233" i="13"/>
  <c r="I234" i="13"/>
  <c r="I235" i="13"/>
  <c r="I236" i="13"/>
  <c r="I237" i="13"/>
  <c r="I238" i="13"/>
  <c r="I239" i="13"/>
  <c r="I240" i="13"/>
  <c r="I241" i="13"/>
  <c r="I242" i="13"/>
  <c r="I243" i="13"/>
  <c r="I244" i="13"/>
  <c r="I245" i="13"/>
  <c r="I246" i="13"/>
  <c r="I247" i="13"/>
  <c r="I248" i="13"/>
  <c r="I249" i="13"/>
  <c r="I250" i="13"/>
  <c r="I251" i="13"/>
  <c r="I252" i="13"/>
  <c r="I253" i="13"/>
  <c r="I254" i="13"/>
  <c r="I255" i="13"/>
  <c r="I256" i="13"/>
  <c r="I257" i="13"/>
  <c r="I258" i="13"/>
  <c r="I259" i="13"/>
  <c r="I260" i="13"/>
  <c r="I261" i="13"/>
  <c r="I262" i="13"/>
  <c r="I263" i="13"/>
  <c r="I264" i="13"/>
  <c r="I265" i="13"/>
  <c r="I266" i="13"/>
  <c r="I267" i="13"/>
  <c r="I268" i="13"/>
  <c r="I269" i="13"/>
  <c r="I270" i="13"/>
  <c r="I271" i="13"/>
  <c r="I272" i="13"/>
  <c r="I273" i="13"/>
  <c r="I274" i="13"/>
  <c r="I275" i="13"/>
  <c r="I276" i="13"/>
  <c r="I277" i="13"/>
  <c r="I278" i="13"/>
  <c r="I279" i="13"/>
  <c r="I280" i="13"/>
  <c r="I281" i="13"/>
  <c r="I282" i="13"/>
  <c r="I283" i="13"/>
  <c r="I284" i="13"/>
  <c r="I285" i="13"/>
  <c r="I286" i="13"/>
  <c r="I287" i="13"/>
  <c r="I288" i="13"/>
  <c r="I289" i="13"/>
  <c r="I290" i="13"/>
  <c r="I291" i="13"/>
  <c r="I292" i="13"/>
  <c r="I293" i="13"/>
  <c r="I294" i="13"/>
  <c r="I295" i="13"/>
  <c r="I296" i="13"/>
  <c r="I297" i="13"/>
  <c r="I298" i="13"/>
  <c r="I299" i="13"/>
  <c r="I300" i="13"/>
  <c r="I301" i="13"/>
  <c r="I302" i="13"/>
  <c r="I303" i="13"/>
  <c r="I304" i="13"/>
  <c r="I305" i="13"/>
  <c r="I306" i="13"/>
  <c r="I307" i="13"/>
  <c r="I308" i="13"/>
  <c r="I309" i="13"/>
  <c r="I310" i="13"/>
  <c r="I311" i="13"/>
  <c r="I312" i="13"/>
  <c r="I313" i="13"/>
  <c r="I314" i="13"/>
  <c r="I315" i="13"/>
  <c r="I316" i="13"/>
  <c r="I317" i="13"/>
  <c r="I318" i="13"/>
  <c r="I319" i="13"/>
  <c r="I320" i="13"/>
  <c r="I321" i="13"/>
  <c r="I322" i="13"/>
  <c r="I323" i="13"/>
  <c r="I324" i="13"/>
  <c r="I325" i="13"/>
  <c r="I326" i="13"/>
  <c r="I327" i="13"/>
  <c r="I328" i="13"/>
  <c r="I329" i="13"/>
  <c r="I330" i="13"/>
  <c r="I331" i="13"/>
  <c r="I332" i="13"/>
  <c r="I333" i="13"/>
  <c r="I334" i="13"/>
  <c r="I335" i="13"/>
  <c r="I336" i="13"/>
  <c r="I337" i="13"/>
  <c r="I338" i="13"/>
  <c r="I339" i="13"/>
  <c r="I340" i="13"/>
  <c r="I341" i="13"/>
  <c r="I342" i="13"/>
  <c r="I343" i="13"/>
  <c r="I344" i="13"/>
  <c r="I345" i="13"/>
  <c r="I346" i="13"/>
  <c r="I347" i="13"/>
  <c r="I348" i="13"/>
  <c r="I349" i="13"/>
  <c r="I350" i="13"/>
  <c r="I351" i="13"/>
  <c r="I352" i="13"/>
  <c r="I353" i="13"/>
  <c r="I354" i="13"/>
  <c r="I355" i="13"/>
  <c r="I356" i="13"/>
  <c r="I357" i="13"/>
  <c r="I358" i="13"/>
  <c r="I359" i="13"/>
  <c r="I360" i="13"/>
  <c r="I361" i="13"/>
  <c r="I362" i="13"/>
  <c r="I363" i="13"/>
  <c r="I364" i="13"/>
  <c r="I365" i="13"/>
  <c r="I366" i="13"/>
  <c r="I367" i="13"/>
  <c r="I368" i="13"/>
  <c r="I369" i="13"/>
  <c r="I370" i="13"/>
  <c r="I371" i="13"/>
  <c r="I372" i="13"/>
  <c r="I373" i="13"/>
  <c r="I374" i="13"/>
  <c r="I375" i="13"/>
  <c r="I376" i="13"/>
  <c r="I377" i="13"/>
  <c r="I378" i="13"/>
  <c r="I379" i="13"/>
  <c r="I380" i="13"/>
  <c r="I381" i="13"/>
  <c r="I382" i="13"/>
  <c r="I383" i="13"/>
  <c r="I384" i="13"/>
  <c r="I385" i="13"/>
  <c r="I386" i="13"/>
  <c r="I387" i="13"/>
  <c r="I388" i="13"/>
  <c r="I389" i="13"/>
  <c r="I390" i="13"/>
  <c r="I391" i="13"/>
  <c r="I392" i="13"/>
  <c r="I393" i="13"/>
  <c r="I394" i="13"/>
  <c r="I395" i="13"/>
  <c r="I396" i="13"/>
  <c r="I397" i="13"/>
  <c r="I398" i="13"/>
  <c r="I399" i="13"/>
  <c r="I400" i="13"/>
  <c r="I401" i="13"/>
  <c r="I402" i="13"/>
  <c r="I403" i="13"/>
  <c r="I404" i="13"/>
  <c r="I405" i="13"/>
  <c r="I406" i="13"/>
  <c r="I407" i="13"/>
  <c r="I408" i="13"/>
  <c r="I409" i="13"/>
  <c r="I410" i="13"/>
  <c r="I411" i="13"/>
  <c r="I412" i="13"/>
  <c r="I413" i="13"/>
  <c r="I414" i="13"/>
  <c r="I415" i="13"/>
  <c r="I416" i="13"/>
  <c r="I417" i="13"/>
  <c r="I418" i="13"/>
  <c r="I419" i="13"/>
  <c r="I420" i="13"/>
  <c r="I421" i="13"/>
  <c r="I422" i="13"/>
  <c r="I423" i="13"/>
  <c r="I424" i="13"/>
  <c r="I425" i="13"/>
  <c r="I426" i="13"/>
  <c r="I427" i="13"/>
  <c r="I428" i="13"/>
  <c r="I429" i="13"/>
  <c r="I430" i="13"/>
  <c r="I431" i="13"/>
  <c r="I432" i="13"/>
  <c r="I433" i="13"/>
  <c r="I434" i="13"/>
  <c r="I435" i="13"/>
  <c r="I436" i="13"/>
  <c r="I437" i="13"/>
  <c r="I438" i="13"/>
  <c r="I439" i="13"/>
  <c r="I440" i="13"/>
  <c r="I441" i="13"/>
  <c r="I442" i="13"/>
  <c r="I443" i="13"/>
  <c r="I444" i="13"/>
  <c r="I445" i="13"/>
  <c r="I446" i="13"/>
  <c r="I447" i="13"/>
  <c r="I448" i="13"/>
  <c r="I449" i="13"/>
  <c r="I450" i="13"/>
  <c r="I451" i="13"/>
  <c r="I452" i="13"/>
  <c r="I453" i="13"/>
  <c r="I454" i="13"/>
  <c r="I455" i="13"/>
  <c r="I456" i="13"/>
  <c r="I457" i="13"/>
  <c r="I458" i="13"/>
  <c r="I459" i="13"/>
  <c r="I460" i="13"/>
  <c r="I461" i="13"/>
  <c r="I462" i="13"/>
  <c r="I463" i="13"/>
  <c r="I464" i="13"/>
  <c r="I465" i="13"/>
  <c r="I466" i="13"/>
  <c r="I467" i="13"/>
  <c r="I468" i="13"/>
  <c r="I469" i="13"/>
  <c r="I470" i="13"/>
  <c r="I471" i="13"/>
  <c r="I472" i="13"/>
  <c r="I473" i="13"/>
  <c r="I474" i="13"/>
  <c r="I475" i="13"/>
  <c r="I476" i="13"/>
  <c r="I477" i="13"/>
  <c r="I478" i="13"/>
  <c r="I479" i="13"/>
  <c r="I480" i="13"/>
  <c r="I481" i="13"/>
  <c r="I482" i="13"/>
  <c r="I483" i="13"/>
  <c r="I484" i="13"/>
  <c r="I485" i="13"/>
  <c r="I486" i="13"/>
  <c r="I487" i="13"/>
  <c r="I488" i="13"/>
  <c r="I489" i="13"/>
  <c r="I490" i="13"/>
  <c r="I491" i="13"/>
  <c r="I492" i="13"/>
  <c r="I493" i="13"/>
  <c r="I494" i="13"/>
  <c r="I495" i="13"/>
  <c r="I496" i="13"/>
  <c r="I497" i="13"/>
  <c r="I498" i="13"/>
  <c r="I499" i="13"/>
  <c r="I500" i="13"/>
  <c r="I501" i="13"/>
  <c r="I502" i="13"/>
  <c r="I503" i="13"/>
  <c r="I504" i="13"/>
  <c r="I505" i="13"/>
  <c r="I506" i="13"/>
  <c r="I507" i="13"/>
  <c r="I508" i="13"/>
  <c r="I509" i="13"/>
  <c r="I510" i="13"/>
  <c r="I511" i="13"/>
  <c r="I512" i="13"/>
  <c r="I513" i="13"/>
  <c r="I514" i="13"/>
  <c r="I515" i="13"/>
  <c r="I516" i="13"/>
  <c r="I517" i="13"/>
  <c r="I518" i="13"/>
  <c r="I519" i="13"/>
  <c r="I520" i="13"/>
  <c r="I521" i="13"/>
  <c r="I522" i="13"/>
  <c r="I523" i="13"/>
  <c r="I524" i="13"/>
  <c r="I525" i="13"/>
  <c r="I526" i="13"/>
  <c r="I527" i="13"/>
  <c r="I528" i="13"/>
  <c r="I529" i="13"/>
  <c r="I530" i="13"/>
  <c r="I531" i="13"/>
  <c r="I532" i="13"/>
  <c r="I533" i="13"/>
  <c r="I534" i="13"/>
  <c r="I535" i="13"/>
  <c r="I536" i="13"/>
  <c r="I537" i="13"/>
  <c r="I538" i="13"/>
  <c r="I539" i="13"/>
  <c r="I540" i="13"/>
  <c r="I541" i="13"/>
  <c r="I542" i="13"/>
  <c r="I543" i="13"/>
  <c r="I544" i="13"/>
  <c r="I545" i="13"/>
  <c r="I546" i="13"/>
  <c r="I547" i="13"/>
  <c r="I548" i="13"/>
  <c r="I549" i="13"/>
  <c r="I550" i="13"/>
  <c r="I551" i="13"/>
  <c r="I552" i="13"/>
  <c r="I553" i="13"/>
  <c r="I554" i="13"/>
  <c r="I555" i="13"/>
  <c r="I556" i="13"/>
  <c r="I557" i="13"/>
  <c r="I558" i="13"/>
  <c r="I559" i="13"/>
  <c r="I560" i="13"/>
  <c r="I561" i="13"/>
  <c r="I562" i="13"/>
  <c r="I563" i="13"/>
  <c r="I564" i="13"/>
  <c r="I565" i="13"/>
  <c r="I566" i="13"/>
  <c r="I567" i="13"/>
  <c r="I568" i="13"/>
  <c r="I569" i="13"/>
  <c r="I570" i="13"/>
  <c r="I571" i="13"/>
  <c r="I572" i="13"/>
  <c r="I573" i="13"/>
  <c r="I574" i="13"/>
  <c r="I575" i="13"/>
  <c r="I576" i="13"/>
  <c r="I577" i="13"/>
  <c r="I578" i="13"/>
  <c r="I579" i="13"/>
  <c r="I580" i="13"/>
  <c r="I581" i="13"/>
  <c r="I582" i="13"/>
  <c r="I583" i="13"/>
  <c r="I584" i="13"/>
  <c r="I585" i="13"/>
  <c r="I586" i="13"/>
  <c r="I587" i="13"/>
  <c r="I588" i="13"/>
  <c r="I589" i="13"/>
  <c r="I590" i="13"/>
  <c r="I591" i="13"/>
  <c r="I592" i="13"/>
  <c r="I593" i="13"/>
  <c r="I594" i="13"/>
  <c r="I595" i="13"/>
  <c r="I596" i="13"/>
  <c r="I597" i="13"/>
  <c r="I598" i="13"/>
  <c r="I599" i="13"/>
  <c r="I600" i="13"/>
  <c r="I601" i="13"/>
  <c r="I602" i="13"/>
  <c r="I603" i="13"/>
  <c r="I604" i="13"/>
  <c r="I605" i="13"/>
  <c r="I606" i="13"/>
  <c r="I607" i="13"/>
  <c r="I608" i="13"/>
  <c r="I609" i="13"/>
  <c r="I610" i="13"/>
  <c r="I611" i="13"/>
  <c r="I612" i="13"/>
  <c r="I613" i="13"/>
  <c r="I614" i="13"/>
  <c r="I615" i="13"/>
  <c r="I616" i="13"/>
  <c r="I617" i="13"/>
  <c r="I618" i="13"/>
  <c r="I619" i="13"/>
  <c r="I620" i="13"/>
  <c r="I621" i="13"/>
  <c r="I622" i="13"/>
  <c r="I623" i="13"/>
  <c r="I624" i="13"/>
  <c r="I625" i="13"/>
  <c r="I626" i="13"/>
  <c r="I627" i="13"/>
  <c r="I628" i="13"/>
  <c r="I629" i="13"/>
  <c r="I630" i="13"/>
  <c r="I631" i="13"/>
  <c r="I632" i="13"/>
  <c r="I633" i="13"/>
  <c r="I634" i="13"/>
  <c r="I635" i="13"/>
  <c r="I636" i="13"/>
  <c r="I637" i="13"/>
  <c r="I638" i="13"/>
  <c r="I639" i="13"/>
  <c r="I640" i="13"/>
  <c r="I641" i="13"/>
  <c r="I642" i="13"/>
  <c r="I643" i="13"/>
  <c r="I644" i="13"/>
  <c r="I645" i="13"/>
  <c r="I646" i="13"/>
  <c r="I647" i="13"/>
  <c r="I648" i="13"/>
  <c r="I649" i="13"/>
  <c r="I650" i="13"/>
  <c r="I651" i="13"/>
  <c r="I652" i="13"/>
  <c r="I653" i="13"/>
  <c r="I654" i="13"/>
  <c r="I655" i="13"/>
  <c r="I656" i="13"/>
  <c r="I657" i="13"/>
  <c r="I658" i="13"/>
  <c r="I659" i="13"/>
  <c r="I660" i="13"/>
  <c r="I661" i="13"/>
  <c r="I662" i="13"/>
  <c r="I663" i="13"/>
  <c r="I664" i="13"/>
  <c r="I665" i="13"/>
  <c r="I666" i="13"/>
  <c r="I667" i="13"/>
  <c r="I668" i="13"/>
  <c r="I669" i="13"/>
  <c r="I670" i="13"/>
  <c r="I671" i="13"/>
  <c r="I672" i="13"/>
  <c r="I673" i="13"/>
  <c r="I674" i="13"/>
  <c r="I675" i="13"/>
  <c r="I676" i="13"/>
  <c r="I677" i="13"/>
  <c r="I678" i="13"/>
  <c r="I679" i="13"/>
  <c r="I680" i="13"/>
  <c r="I681" i="13"/>
  <c r="I682" i="13"/>
  <c r="I683" i="13"/>
  <c r="I684" i="13"/>
  <c r="I685" i="13"/>
  <c r="I686" i="13"/>
  <c r="I687" i="13"/>
  <c r="I688" i="13"/>
  <c r="I689" i="13"/>
  <c r="I690" i="13"/>
  <c r="I691" i="13"/>
  <c r="I692" i="13"/>
  <c r="I693" i="13"/>
  <c r="I694" i="13"/>
  <c r="I695" i="13"/>
  <c r="I696" i="13"/>
  <c r="I697" i="13"/>
  <c r="I698" i="13"/>
  <c r="I699" i="13"/>
  <c r="I700" i="13"/>
  <c r="I701" i="13"/>
  <c r="I702" i="13"/>
  <c r="I703" i="13"/>
  <c r="I704" i="13"/>
  <c r="I705" i="13"/>
  <c r="I706" i="13"/>
  <c r="I707" i="13"/>
  <c r="I708" i="13"/>
  <c r="I709" i="13"/>
  <c r="I710" i="13"/>
  <c r="I711" i="13"/>
  <c r="I712" i="13"/>
  <c r="I713" i="13"/>
  <c r="I714" i="13"/>
  <c r="I715" i="13"/>
  <c r="I716" i="13"/>
  <c r="I717" i="13"/>
  <c r="I718" i="13"/>
  <c r="I719" i="13"/>
  <c r="I720" i="13"/>
  <c r="I721" i="13"/>
  <c r="I722" i="13"/>
  <c r="I723" i="13"/>
  <c r="I724" i="13"/>
  <c r="I725" i="13"/>
  <c r="I726" i="13"/>
  <c r="I727" i="13"/>
  <c r="I728" i="13"/>
  <c r="I729" i="13"/>
  <c r="I730" i="13"/>
  <c r="I731" i="13"/>
  <c r="I732" i="13"/>
  <c r="I733" i="13"/>
  <c r="I734" i="13"/>
  <c r="I735" i="13"/>
  <c r="I736" i="13"/>
  <c r="I737" i="13"/>
  <c r="I738" i="13"/>
  <c r="I739" i="13"/>
  <c r="I740" i="13"/>
  <c r="I741" i="13"/>
  <c r="I742" i="13"/>
  <c r="I743" i="13"/>
  <c r="I744" i="13"/>
  <c r="I745" i="13"/>
  <c r="I746" i="13"/>
  <c r="I747" i="13"/>
  <c r="I748" i="13"/>
  <c r="I749" i="13"/>
  <c r="I750" i="13"/>
  <c r="I751" i="13"/>
  <c r="I752" i="13"/>
  <c r="I753" i="13"/>
  <c r="I754" i="13"/>
  <c r="I755" i="13"/>
  <c r="I756" i="13"/>
  <c r="I757" i="13"/>
  <c r="I758" i="13"/>
  <c r="I759" i="13"/>
  <c r="I760" i="13"/>
  <c r="I761" i="13"/>
  <c r="I762" i="13"/>
  <c r="I763" i="13"/>
  <c r="I764" i="13"/>
  <c r="I765" i="13"/>
  <c r="I766" i="13"/>
  <c r="I767" i="13"/>
  <c r="I768" i="13"/>
  <c r="I769" i="13"/>
  <c r="I770" i="13"/>
  <c r="I771" i="13"/>
  <c r="I772" i="13"/>
  <c r="I773" i="13"/>
  <c r="I774" i="13"/>
  <c r="I775" i="13"/>
  <c r="I776" i="13"/>
  <c r="I777" i="13"/>
  <c r="I778" i="13"/>
  <c r="I779" i="13"/>
  <c r="I780" i="13"/>
  <c r="I781" i="13"/>
  <c r="I782" i="13"/>
  <c r="I783" i="13"/>
  <c r="I784" i="13"/>
  <c r="I785" i="13"/>
  <c r="I786" i="13"/>
  <c r="I787" i="13"/>
  <c r="I788" i="13"/>
  <c r="I789" i="13"/>
  <c r="I790" i="13"/>
  <c r="I791" i="13"/>
  <c r="I792" i="13"/>
  <c r="I793" i="13"/>
  <c r="I794" i="13"/>
  <c r="I795" i="13"/>
  <c r="I796" i="13"/>
  <c r="I797" i="13"/>
  <c r="I798" i="13"/>
  <c r="I799" i="13"/>
  <c r="I800" i="13"/>
  <c r="I801" i="13"/>
  <c r="I802" i="13"/>
  <c r="I803" i="13"/>
  <c r="I804" i="13"/>
  <c r="I805" i="13"/>
  <c r="I806" i="13"/>
  <c r="I807" i="13"/>
  <c r="I808" i="13"/>
  <c r="I809" i="13"/>
  <c r="I810" i="13"/>
  <c r="I811" i="13"/>
  <c r="I812" i="13"/>
  <c r="I813" i="13"/>
  <c r="I814" i="13"/>
  <c r="I815" i="13"/>
  <c r="I816" i="13"/>
  <c r="I817" i="13"/>
  <c r="I818" i="13"/>
  <c r="I819" i="13"/>
  <c r="I820" i="13"/>
  <c r="I821" i="13"/>
  <c r="I822" i="13"/>
  <c r="I823" i="13"/>
  <c r="I824" i="13"/>
  <c r="I825" i="13"/>
  <c r="I826" i="13"/>
  <c r="I827" i="13"/>
  <c r="I828" i="13"/>
  <c r="I829" i="13"/>
  <c r="I830" i="13"/>
  <c r="I831" i="13"/>
  <c r="I832" i="13"/>
  <c r="I833" i="13"/>
  <c r="I834" i="13"/>
  <c r="I835" i="13"/>
  <c r="I836" i="13"/>
  <c r="I837" i="13"/>
  <c r="I838" i="13"/>
  <c r="I839" i="13"/>
  <c r="I840" i="13"/>
  <c r="I841" i="13"/>
  <c r="I842" i="13"/>
  <c r="I843" i="13"/>
  <c r="I844" i="13"/>
  <c r="I845" i="13"/>
  <c r="I846" i="13"/>
  <c r="I847" i="13"/>
  <c r="I848" i="13"/>
  <c r="I849" i="13"/>
  <c r="I850" i="13"/>
  <c r="I851" i="13"/>
  <c r="I852" i="13"/>
  <c r="I853" i="13"/>
  <c r="I854" i="13"/>
  <c r="I855" i="13"/>
  <c r="I856" i="13"/>
  <c r="I857" i="13"/>
  <c r="I858" i="13"/>
  <c r="I859" i="13"/>
  <c r="I860" i="13"/>
  <c r="I861" i="13"/>
  <c r="I862" i="13"/>
  <c r="I863" i="13"/>
  <c r="I864" i="13"/>
  <c r="I865" i="13"/>
  <c r="I866" i="13"/>
  <c r="I867" i="13"/>
  <c r="I868" i="13"/>
  <c r="I869" i="13"/>
  <c r="I870" i="13"/>
  <c r="I871" i="13"/>
  <c r="I872" i="13"/>
  <c r="I873" i="13"/>
  <c r="I874" i="13"/>
  <c r="I875" i="13"/>
  <c r="I876" i="13"/>
  <c r="I877" i="13"/>
  <c r="I878" i="13"/>
  <c r="I879" i="13"/>
  <c r="I880" i="13"/>
  <c r="I881" i="13"/>
  <c r="I882" i="13"/>
  <c r="I883" i="13"/>
  <c r="I884" i="13"/>
  <c r="I885" i="13"/>
  <c r="I886" i="13"/>
  <c r="I887" i="13"/>
  <c r="I888" i="13"/>
  <c r="I889" i="13"/>
  <c r="I890" i="13"/>
  <c r="I891" i="13"/>
  <c r="I892" i="13"/>
  <c r="I893" i="13"/>
  <c r="I894" i="13"/>
  <c r="I895" i="13"/>
  <c r="I896" i="13"/>
  <c r="I897" i="13"/>
  <c r="I898" i="13"/>
  <c r="I899" i="13"/>
  <c r="I900" i="13"/>
  <c r="I901" i="13"/>
  <c r="I902" i="13"/>
  <c r="I903" i="13"/>
  <c r="I904" i="13"/>
  <c r="I905" i="13"/>
  <c r="I906" i="13"/>
  <c r="I907" i="13"/>
  <c r="I908" i="13"/>
  <c r="I909" i="13"/>
  <c r="I910" i="13"/>
  <c r="I911" i="13"/>
  <c r="I912" i="13"/>
  <c r="I913" i="13"/>
  <c r="I914" i="13"/>
  <c r="I915" i="13"/>
  <c r="I916" i="13"/>
  <c r="I917" i="13"/>
  <c r="I918" i="13"/>
  <c r="I919" i="13"/>
  <c r="I920" i="13"/>
  <c r="I921" i="13"/>
  <c r="I922" i="13"/>
  <c r="I923" i="13"/>
  <c r="I924" i="13"/>
  <c r="I925" i="13"/>
  <c r="I926" i="13"/>
  <c r="I927" i="13"/>
  <c r="I928" i="13"/>
  <c r="I929" i="13"/>
  <c r="I930" i="13"/>
  <c r="I931" i="13"/>
  <c r="I932" i="13"/>
  <c r="I933" i="13"/>
  <c r="I934" i="13"/>
  <c r="I935" i="13"/>
  <c r="I936" i="13"/>
  <c r="I937" i="13"/>
  <c r="I938" i="13"/>
  <c r="I939" i="13"/>
  <c r="I940" i="13"/>
  <c r="I941" i="13"/>
  <c r="I942" i="13"/>
  <c r="I943" i="13"/>
  <c r="I944" i="13"/>
  <c r="I945" i="13"/>
  <c r="I946" i="13"/>
  <c r="I947" i="13"/>
  <c r="I948" i="13"/>
  <c r="I949" i="13"/>
  <c r="I950" i="13"/>
  <c r="I951" i="13"/>
  <c r="I952" i="13"/>
  <c r="I953" i="13"/>
  <c r="I954" i="13"/>
  <c r="I955" i="13"/>
  <c r="I956" i="13"/>
  <c r="I957" i="13"/>
  <c r="I958" i="13"/>
  <c r="I959" i="13"/>
  <c r="I960" i="13"/>
  <c r="I961" i="13"/>
  <c r="I962" i="13"/>
  <c r="I963" i="13"/>
  <c r="I964" i="13"/>
  <c r="I965" i="13"/>
  <c r="I966" i="13"/>
  <c r="I967" i="13"/>
  <c r="I968" i="13"/>
  <c r="I969" i="13"/>
  <c r="I970" i="13"/>
  <c r="I971" i="13"/>
  <c r="I972" i="13"/>
  <c r="I973" i="13"/>
  <c r="I974" i="13"/>
  <c r="I975" i="13"/>
  <c r="I976" i="13"/>
  <c r="I977" i="13"/>
  <c r="I978" i="13"/>
  <c r="I979" i="13"/>
  <c r="I980" i="13"/>
  <c r="I981" i="13"/>
  <c r="I982" i="13"/>
  <c r="I983" i="13"/>
  <c r="I984" i="13"/>
  <c r="I985" i="13"/>
  <c r="I986" i="13"/>
  <c r="I987" i="13"/>
  <c r="I988" i="13"/>
  <c r="I989" i="13"/>
  <c r="I990" i="13"/>
  <c r="I991" i="13"/>
  <c r="I992" i="13"/>
  <c r="I993" i="13"/>
  <c r="I994" i="13"/>
  <c r="I995" i="13"/>
  <c r="I996" i="13"/>
  <c r="I997" i="13"/>
  <c r="I998" i="13"/>
  <c r="I999" i="13"/>
  <c r="I1000" i="13"/>
  <c r="I1001" i="13"/>
  <c r="I1002" i="13"/>
  <c r="I1003" i="13"/>
  <c r="I1004" i="13"/>
  <c r="I1005" i="13"/>
  <c r="I1006" i="13"/>
  <c r="I1007" i="13"/>
  <c r="I1008" i="13"/>
  <c r="I1009" i="13"/>
  <c r="I1010" i="13"/>
  <c r="I1011" i="13"/>
  <c r="I1012" i="13"/>
  <c r="I1013" i="13"/>
  <c r="I1014" i="13"/>
  <c r="I1015" i="13"/>
  <c r="I1016" i="13"/>
  <c r="I1017" i="13"/>
  <c r="I1018" i="13"/>
  <c r="I1019" i="13"/>
  <c r="I1020" i="13"/>
  <c r="I1021" i="13"/>
  <c r="I1022" i="13"/>
  <c r="I1023" i="13"/>
  <c r="I1024" i="13"/>
  <c r="I1025" i="13"/>
  <c r="I1026" i="13"/>
  <c r="I1027" i="13"/>
  <c r="I1028" i="13"/>
  <c r="I1029" i="13"/>
  <c r="I1030" i="13"/>
  <c r="I1031" i="13"/>
  <c r="I1032" i="13"/>
  <c r="I1033" i="13"/>
  <c r="I1034" i="13"/>
  <c r="I1035" i="13"/>
  <c r="I1036" i="13"/>
  <c r="I1037" i="13"/>
  <c r="I1038" i="13"/>
  <c r="I1039" i="13"/>
  <c r="I1040" i="13"/>
  <c r="I1041" i="13"/>
  <c r="I1042" i="13"/>
  <c r="I1043" i="13"/>
  <c r="I1044" i="13"/>
  <c r="I1045" i="13"/>
  <c r="I1046" i="13"/>
  <c r="I1047" i="13"/>
  <c r="I1048" i="13"/>
  <c r="I1049" i="13"/>
  <c r="I1050" i="13"/>
  <c r="I1051" i="13"/>
  <c r="I1052" i="13"/>
  <c r="I1053" i="13"/>
  <c r="I1054" i="13"/>
  <c r="I1055" i="13"/>
  <c r="I1056" i="13"/>
  <c r="I1057" i="13"/>
  <c r="I1058" i="13"/>
  <c r="I1059" i="13"/>
  <c r="I1060" i="13"/>
  <c r="I1061" i="13"/>
  <c r="I1062" i="13"/>
  <c r="I1063" i="13"/>
  <c r="I1064" i="13"/>
  <c r="I1065" i="13"/>
  <c r="I1066" i="13"/>
  <c r="I1067" i="13"/>
  <c r="I1068" i="13"/>
  <c r="I1069" i="13"/>
  <c r="I1070" i="13"/>
  <c r="I1071" i="13"/>
  <c r="I1072" i="13"/>
  <c r="I1073" i="13"/>
  <c r="I1074" i="13"/>
  <c r="I1075" i="13"/>
  <c r="I1076" i="13"/>
  <c r="I1077" i="13"/>
  <c r="I1078" i="13"/>
  <c r="I1079" i="13"/>
  <c r="I1080" i="13"/>
  <c r="I1081" i="13"/>
  <c r="I1082" i="13"/>
  <c r="I1083" i="13"/>
  <c r="I1084" i="13"/>
  <c r="I1085" i="13"/>
  <c r="I1086" i="13"/>
  <c r="I1087" i="13"/>
  <c r="I1088" i="13"/>
  <c r="I1089" i="13"/>
  <c r="I1090" i="13"/>
  <c r="I1091" i="13"/>
  <c r="I1092" i="13"/>
  <c r="I1093" i="13"/>
  <c r="I1094" i="13"/>
  <c r="I1095" i="13"/>
  <c r="I1096" i="13"/>
  <c r="I1097" i="13"/>
  <c r="I1098" i="13"/>
  <c r="I1099" i="13"/>
  <c r="I1100" i="13"/>
  <c r="I1101" i="13"/>
  <c r="I1102" i="13"/>
  <c r="I1103" i="13"/>
  <c r="I1104" i="13"/>
  <c r="I1105" i="13"/>
  <c r="I1106" i="13"/>
  <c r="I1107" i="13"/>
  <c r="I1108" i="13"/>
  <c r="I1109" i="13"/>
  <c r="I1110" i="13"/>
  <c r="I1111" i="13"/>
  <c r="I1112" i="13"/>
  <c r="I1113" i="13"/>
  <c r="I1114" i="13"/>
  <c r="I1115" i="13"/>
  <c r="I1116" i="13"/>
  <c r="I1117" i="13"/>
  <c r="I1118" i="13"/>
  <c r="I1119" i="13"/>
  <c r="I1120" i="13"/>
  <c r="I1121" i="13"/>
  <c r="I1122" i="13"/>
  <c r="I1123" i="13"/>
  <c r="I1124" i="13"/>
  <c r="I1125" i="13"/>
  <c r="I1126" i="13"/>
  <c r="I1127" i="13"/>
  <c r="I1128" i="13"/>
  <c r="I1129" i="13"/>
  <c r="I1130" i="13"/>
  <c r="I1131" i="13"/>
  <c r="I1132" i="13"/>
  <c r="I1133" i="13"/>
  <c r="I1134" i="13"/>
  <c r="I1135" i="13"/>
  <c r="I1136" i="13"/>
  <c r="I1137" i="13"/>
  <c r="I1138" i="13"/>
  <c r="I1139" i="13"/>
  <c r="I1140" i="13"/>
  <c r="I1141" i="13"/>
  <c r="I1142" i="13"/>
  <c r="I1143" i="13"/>
  <c r="I1144" i="13"/>
  <c r="I1145" i="13"/>
  <c r="I1146" i="13"/>
  <c r="I1147" i="13"/>
  <c r="I1148" i="13"/>
  <c r="I1149" i="13"/>
  <c r="I1150" i="13"/>
  <c r="I1151" i="13"/>
  <c r="I1152" i="13"/>
  <c r="I1153" i="13"/>
  <c r="I1154" i="13"/>
  <c r="I1155" i="13"/>
  <c r="I1156" i="13"/>
  <c r="I1157" i="13"/>
  <c r="I1158" i="13"/>
  <c r="I1159" i="13"/>
  <c r="I1160" i="13"/>
  <c r="I1161" i="13"/>
  <c r="I1162" i="13"/>
  <c r="I1163" i="13"/>
  <c r="I1164" i="13"/>
  <c r="I1165" i="13"/>
  <c r="I1166" i="13"/>
  <c r="I1167" i="13"/>
  <c r="I1168" i="13"/>
  <c r="I1169" i="13"/>
  <c r="I1170" i="13"/>
  <c r="I1171" i="13"/>
  <c r="I1172" i="13"/>
  <c r="I1173" i="13"/>
  <c r="I1174" i="13"/>
  <c r="I1175" i="13"/>
  <c r="I1176" i="13"/>
  <c r="I1177" i="13"/>
  <c r="I1178" i="13"/>
  <c r="I1179" i="13"/>
  <c r="I1180" i="13"/>
  <c r="I1181" i="13"/>
  <c r="I1182" i="13"/>
  <c r="I1183" i="13"/>
  <c r="I1184" i="13"/>
  <c r="I1185" i="13"/>
  <c r="I1186" i="13"/>
  <c r="I1187" i="13"/>
  <c r="I1188" i="13"/>
  <c r="I1189" i="13"/>
  <c r="I1190" i="13"/>
  <c r="I1191" i="13"/>
  <c r="I1192" i="13"/>
  <c r="I1193" i="13"/>
  <c r="I1194" i="13"/>
  <c r="I1195" i="13"/>
  <c r="I1196" i="13"/>
  <c r="I1197" i="13"/>
  <c r="I1198" i="13"/>
  <c r="I1199" i="13"/>
  <c r="I1200" i="13"/>
  <c r="I1201" i="13"/>
  <c r="I1202" i="13"/>
  <c r="I1203" i="13"/>
  <c r="I1204" i="13"/>
  <c r="I1205" i="13"/>
  <c r="I1206" i="13"/>
  <c r="I1207" i="13"/>
  <c r="I1208" i="13"/>
  <c r="I1209" i="13"/>
  <c r="I1210" i="13"/>
  <c r="I1211" i="13"/>
  <c r="I1212" i="13"/>
  <c r="I1213" i="13"/>
  <c r="I1214" i="13"/>
  <c r="I1215" i="13"/>
  <c r="I1216" i="13"/>
  <c r="I1217" i="13"/>
  <c r="I1218" i="13"/>
  <c r="I1219" i="13"/>
  <c r="I1220" i="13"/>
  <c r="I1221" i="13"/>
  <c r="I1222" i="13"/>
  <c r="I1223" i="13"/>
  <c r="I1224" i="13"/>
  <c r="I1225" i="13"/>
  <c r="I1226" i="13"/>
  <c r="I1227" i="13"/>
  <c r="I1228" i="13"/>
  <c r="I1229" i="13"/>
  <c r="I1230" i="13"/>
  <c r="I1231" i="13"/>
  <c r="I1232" i="13"/>
  <c r="I1233" i="13"/>
  <c r="I1234" i="13"/>
  <c r="I1235" i="13"/>
  <c r="I1236" i="13"/>
  <c r="I1237" i="13"/>
  <c r="I1238" i="13"/>
  <c r="I1239" i="13"/>
  <c r="I1240" i="13"/>
  <c r="I1241" i="13"/>
  <c r="I1242" i="13"/>
  <c r="I1243" i="13"/>
  <c r="I1244" i="13"/>
  <c r="I1245" i="13"/>
  <c r="I1246" i="13"/>
  <c r="I1247" i="13"/>
  <c r="I1248" i="13"/>
  <c r="I1249" i="13"/>
  <c r="I1250" i="13"/>
  <c r="I1251" i="13"/>
  <c r="I1252" i="13"/>
  <c r="I1253" i="13"/>
  <c r="I1254" i="13"/>
  <c r="I1255" i="13"/>
  <c r="I1256" i="13"/>
  <c r="I1257" i="13"/>
  <c r="I1258" i="13"/>
  <c r="I1259" i="13"/>
  <c r="I1260" i="13"/>
  <c r="I1261" i="13"/>
  <c r="I1262" i="13"/>
  <c r="I1263" i="13"/>
  <c r="I1264" i="13"/>
  <c r="I1265" i="13"/>
  <c r="I1266" i="13"/>
  <c r="I1267" i="13"/>
  <c r="I1268" i="13"/>
  <c r="I1269" i="13"/>
  <c r="I1270" i="13"/>
  <c r="I1271" i="13"/>
  <c r="I1272" i="13"/>
  <c r="I1273" i="13"/>
  <c r="I1274" i="13"/>
  <c r="I1275" i="13"/>
  <c r="I1276" i="13"/>
  <c r="I1277" i="13"/>
  <c r="I1278" i="13"/>
  <c r="I1279" i="13"/>
  <c r="I1280" i="13"/>
  <c r="I1281" i="13"/>
  <c r="I1282" i="13"/>
  <c r="I1283" i="13"/>
  <c r="I1284" i="13"/>
  <c r="I1285" i="13"/>
  <c r="I1286" i="13"/>
  <c r="I1287" i="13"/>
  <c r="I1288" i="13"/>
  <c r="I1289" i="13"/>
  <c r="I1290" i="13"/>
  <c r="I1291" i="13"/>
  <c r="I1292" i="13"/>
  <c r="I1293" i="13"/>
  <c r="I1294" i="13"/>
  <c r="I1295" i="13"/>
  <c r="I1296" i="13"/>
  <c r="I1297" i="13"/>
  <c r="I1298" i="13"/>
  <c r="I1299" i="13"/>
  <c r="I1300" i="13"/>
  <c r="I1301" i="13"/>
  <c r="I1302" i="13"/>
  <c r="I1303" i="13"/>
  <c r="I1304" i="13"/>
  <c r="I1305" i="13"/>
  <c r="I1306" i="13"/>
  <c r="I1307" i="13"/>
  <c r="I1308" i="13"/>
  <c r="I1309" i="13"/>
  <c r="I1310" i="13"/>
  <c r="I1311" i="13"/>
  <c r="I1312" i="13"/>
  <c r="I1313" i="13"/>
  <c r="I1314" i="13"/>
  <c r="I1315" i="13"/>
  <c r="I1316" i="13"/>
  <c r="I1317" i="13"/>
  <c r="I1318" i="13"/>
  <c r="I1319" i="13"/>
  <c r="I1320" i="13"/>
  <c r="I1321" i="13"/>
  <c r="I1322" i="13"/>
  <c r="I1323" i="13"/>
  <c r="I1324" i="13"/>
  <c r="I1325" i="13"/>
  <c r="I1326" i="13"/>
  <c r="I1327" i="13"/>
  <c r="I1328" i="13"/>
  <c r="I1329" i="13"/>
  <c r="I1330" i="13"/>
  <c r="I1331" i="13"/>
  <c r="I1332" i="13"/>
  <c r="I1333" i="13"/>
  <c r="I1334" i="13"/>
  <c r="I1335" i="13"/>
  <c r="I1336" i="13"/>
  <c r="I1337" i="13"/>
  <c r="I1338" i="13"/>
  <c r="I1339" i="13"/>
  <c r="I1340" i="13"/>
  <c r="I1341" i="13"/>
  <c r="I1342" i="13"/>
  <c r="I1343" i="13"/>
  <c r="I1344" i="13"/>
  <c r="I1345" i="13"/>
  <c r="I1346" i="13"/>
  <c r="I1347" i="13"/>
  <c r="I1348" i="13"/>
  <c r="I1349" i="13"/>
  <c r="I1350" i="13"/>
  <c r="I1351" i="13"/>
  <c r="I1352" i="13"/>
  <c r="I1353" i="13"/>
  <c r="I1354" i="13"/>
  <c r="I1355" i="13"/>
  <c r="I1356" i="13"/>
  <c r="I1357" i="13"/>
  <c r="I1358" i="13"/>
  <c r="I1359" i="13"/>
  <c r="I1360" i="13"/>
  <c r="I1361" i="13"/>
  <c r="I1362" i="13"/>
  <c r="I1363" i="13"/>
  <c r="I1364" i="13"/>
  <c r="I1365" i="13"/>
  <c r="I1366" i="13"/>
  <c r="I1367" i="13"/>
  <c r="I1368" i="13"/>
  <c r="I1369" i="13"/>
  <c r="I1370" i="13"/>
  <c r="I1371" i="13"/>
  <c r="I1372" i="13"/>
  <c r="I1373" i="13"/>
  <c r="I1374" i="13"/>
  <c r="I1375" i="13"/>
  <c r="I1376" i="13"/>
  <c r="I1377" i="13"/>
  <c r="I1378" i="13"/>
  <c r="I1379" i="13"/>
  <c r="I1380" i="13"/>
  <c r="I1381" i="13"/>
  <c r="I1382" i="13"/>
  <c r="I1383" i="13"/>
  <c r="I1384" i="13"/>
  <c r="I1385" i="13"/>
  <c r="I1386" i="13"/>
  <c r="I1387" i="13"/>
  <c r="I1388" i="13"/>
  <c r="I1389" i="13"/>
  <c r="I1390" i="13"/>
  <c r="I1391" i="13"/>
  <c r="I1392" i="13"/>
  <c r="I1393" i="13"/>
  <c r="I1394" i="13"/>
  <c r="I1395" i="13"/>
  <c r="I1396" i="13"/>
  <c r="I1397" i="13"/>
  <c r="I1398" i="13"/>
  <c r="I1399" i="13"/>
  <c r="I1400" i="13"/>
  <c r="I1401" i="13"/>
  <c r="I1402" i="13"/>
  <c r="I1403" i="13"/>
  <c r="I1404" i="13"/>
  <c r="I1405" i="13"/>
  <c r="I1406" i="13"/>
  <c r="I1407" i="13"/>
  <c r="I1408" i="13"/>
  <c r="I1409" i="13"/>
  <c r="I1410" i="13"/>
  <c r="I1411" i="13"/>
  <c r="I1412" i="13"/>
  <c r="I1413" i="13"/>
  <c r="I1414" i="13"/>
  <c r="I1415" i="13"/>
  <c r="I1416" i="13"/>
  <c r="I1417" i="13"/>
  <c r="I1418" i="13"/>
  <c r="I1419" i="13"/>
  <c r="I1420" i="13"/>
  <c r="I1421" i="13"/>
  <c r="I1422" i="13"/>
  <c r="I1423" i="13"/>
  <c r="I1424" i="13"/>
  <c r="I1425" i="13"/>
  <c r="I1426" i="13"/>
  <c r="I1427" i="13"/>
  <c r="I1428" i="13"/>
  <c r="I1429" i="13"/>
  <c r="I1430" i="13"/>
  <c r="I1431" i="13"/>
  <c r="I1432" i="13"/>
  <c r="I1433" i="13"/>
  <c r="I1434" i="13"/>
  <c r="I1435" i="13"/>
  <c r="I1436" i="13"/>
  <c r="I1437" i="13"/>
  <c r="I1438" i="13"/>
  <c r="I1439" i="13"/>
  <c r="I1440" i="13"/>
  <c r="I1441" i="13"/>
  <c r="I1442" i="13"/>
  <c r="I1443" i="13"/>
  <c r="I1444" i="13"/>
  <c r="I1445" i="13"/>
  <c r="I1446" i="13"/>
  <c r="I1447" i="13"/>
  <c r="I1448" i="13"/>
  <c r="I1449" i="13"/>
  <c r="I1450" i="13"/>
  <c r="I1451" i="13"/>
  <c r="I1452" i="13"/>
  <c r="I1453" i="13"/>
  <c r="I1454" i="13"/>
  <c r="I1455" i="13"/>
  <c r="I1456" i="13"/>
  <c r="I1457" i="13"/>
  <c r="I1458" i="13"/>
  <c r="I1459" i="13"/>
  <c r="I1460" i="13"/>
  <c r="I1461" i="13"/>
  <c r="I1462" i="13"/>
  <c r="I1463" i="13"/>
  <c r="I1464" i="13"/>
  <c r="I1465" i="13"/>
  <c r="I1466" i="13"/>
  <c r="I1467" i="13"/>
  <c r="I1468" i="13"/>
  <c r="I1469" i="13"/>
  <c r="I1470" i="13"/>
  <c r="I1471" i="13"/>
  <c r="I1472" i="13"/>
  <c r="I1473" i="13"/>
  <c r="I1474" i="13"/>
  <c r="I1475" i="13"/>
  <c r="I1476" i="13"/>
  <c r="I1477" i="13"/>
  <c r="I1478" i="13"/>
  <c r="I1479" i="13"/>
  <c r="I1480" i="13"/>
  <c r="I1481" i="13"/>
  <c r="I1482" i="13"/>
  <c r="I1483" i="13"/>
  <c r="I1484" i="13"/>
  <c r="I1485" i="13"/>
  <c r="I1486" i="13"/>
  <c r="I1487" i="13"/>
  <c r="I1488" i="13"/>
  <c r="I1489" i="13"/>
  <c r="I1490" i="13"/>
  <c r="I1491" i="13"/>
  <c r="I1492" i="13"/>
  <c r="I1493" i="13"/>
  <c r="I1494" i="13"/>
  <c r="I1495" i="13"/>
  <c r="I1496" i="13"/>
  <c r="I1497" i="13"/>
  <c r="I1498" i="13"/>
  <c r="I1499" i="13"/>
  <c r="I1500" i="13"/>
  <c r="I1501" i="13"/>
  <c r="I1502" i="13"/>
  <c r="I1503" i="13"/>
  <c r="I1504" i="13"/>
  <c r="I1505" i="13"/>
  <c r="I1506" i="13"/>
  <c r="I1507" i="13"/>
  <c r="I1508" i="13"/>
  <c r="I1509" i="13"/>
  <c r="I1510" i="13"/>
  <c r="I1511" i="13"/>
  <c r="I1512" i="13"/>
  <c r="I1513" i="13"/>
  <c r="I1514" i="13"/>
  <c r="I1515" i="13"/>
  <c r="I1516" i="13"/>
  <c r="I1517" i="13"/>
  <c r="I1518" i="13"/>
  <c r="I1519" i="13"/>
  <c r="I1520" i="13"/>
  <c r="I1521" i="13"/>
  <c r="I1522" i="13"/>
  <c r="I1523" i="13"/>
  <c r="I1524" i="13"/>
  <c r="I1525" i="13"/>
  <c r="I1526" i="13"/>
  <c r="I1527" i="13"/>
  <c r="I1528" i="13"/>
  <c r="I1529" i="13"/>
  <c r="I1530" i="13"/>
  <c r="I1531" i="13"/>
  <c r="I1532" i="13"/>
  <c r="I1533" i="13"/>
  <c r="I1534" i="13"/>
  <c r="I1535" i="13"/>
  <c r="I1536" i="13"/>
  <c r="I1537" i="13"/>
  <c r="I1538" i="13"/>
  <c r="I1539" i="13"/>
  <c r="I1540" i="13"/>
  <c r="I1541" i="13"/>
  <c r="I1542" i="13"/>
  <c r="I1543" i="13"/>
  <c r="I1544" i="13"/>
  <c r="I1545" i="13"/>
  <c r="I1546" i="13"/>
  <c r="I1547" i="13"/>
  <c r="I1548" i="13"/>
  <c r="I1549" i="13"/>
  <c r="I1550" i="13"/>
  <c r="I1551" i="13"/>
  <c r="I1552" i="13"/>
  <c r="I1553" i="13"/>
  <c r="I1554" i="13"/>
  <c r="I1555" i="13"/>
  <c r="I1556" i="13"/>
  <c r="I1557" i="13"/>
  <c r="I1558" i="13"/>
  <c r="I1559" i="13"/>
  <c r="I1560" i="13"/>
  <c r="I1561" i="13"/>
  <c r="I1562" i="13"/>
  <c r="I1563" i="13"/>
  <c r="I1564" i="13"/>
  <c r="I1565" i="13"/>
  <c r="I1566" i="13"/>
  <c r="I1567" i="13"/>
  <c r="I1568" i="13"/>
  <c r="I1569" i="13"/>
  <c r="I1570" i="13"/>
  <c r="I1571" i="13"/>
  <c r="I1572" i="13"/>
  <c r="I1573" i="13"/>
  <c r="I1574" i="13"/>
  <c r="I1575" i="13"/>
  <c r="I1576" i="13"/>
  <c r="I1577" i="13"/>
  <c r="I1578" i="13"/>
  <c r="I1579" i="13"/>
  <c r="I1580" i="13"/>
  <c r="I1581" i="13"/>
  <c r="I1582" i="13"/>
  <c r="I1583" i="13"/>
  <c r="I1584" i="13"/>
  <c r="I1585" i="13"/>
  <c r="I1586" i="13"/>
  <c r="I1587" i="13"/>
  <c r="I1588" i="13"/>
  <c r="I1589" i="13"/>
  <c r="I1590" i="13"/>
  <c r="I1591" i="13"/>
  <c r="I1592" i="13"/>
  <c r="I1593" i="13"/>
  <c r="I1594" i="13"/>
  <c r="I1595" i="13"/>
  <c r="I1596" i="13"/>
  <c r="I1597" i="13"/>
  <c r="I1598" i="13"/>
  <c r="I1599" i="13"/>
  <c r="I1600" i="13"/>
  <c r="I1601" i="13"/>
  <c r="I1602" i="13"/>
  <c r="I1603" i="13"/>
  <c r="I1604" i="13"/>
  <c r="I1605" i="13"/>
  <c r="I1606" i="13"/>
  <c r="I1607" i="13"/>
  <c r="I1608" i="13"/>
  <c r="I1609" i="13"/>
  <c r="I1610" i="13"/>
  <c r="I1611" i="13"/>
  <c r="I1612" i="13"/>
  <c r="I1613" i="13"/>
  <c r="I1614" i="13"/>
  <c r="I1615" i="13"/>
  <c r="I1616" i="13"/>
  <c r="I1617" i="13"/>
  <c r="I1618" i="13"/>
  <c r="I1619" i="13"/>
  <c r="I1620" i="13"/>
  <c r="I1621" i="13"/>
  <c r="I1622" i="13"/>
  <c r="I1623" i="13"/>
  <c r="I1624" i="13"/>
  <c r="I1625" i="13"/>
  <c r="I1626" i="13"/>
  <c r="I1627" i="13"/>
  <c r="I1628" i="13"/>
  <c r="I1629" i="13"/>
  <c r="I1630" i="13"/>
  <c r="I1631" i="13"/>
  <c r="I1632" i="13"/>
  <c r="I1633" i="13"/>
  <c r="I1634" i="13"/>
  <c r="I1635" i="13"/>
  <c r="I1636" i="13"/>
  <c r="I1637" i="13"/>
  <c r="I1638" i="13"/>
  <c r="I1639" i="13"/>
  <c r="I1640" i="13"/>
  <c r="I1641" i="13"/>
  <c r="I1642" i="13"/>
  <c r="I1643" i="13"/>
  <c r="I1644" i="13"/>
  <c r="I1645" i="13"/>
  <c r="I1646" i="13"/>
  <c r="I1647" i="13"/>
  <c r="I1648" i="13"/>
  <c r="I1649" i="13"/>
  <c r="I1650" i="13"/>
  <c r="I1651" i="13"/>
  <c r="I1652" i="13"/>
  <c r="I1653" i="13"/>
  <c r="I1654" i="13"/>
  <c r="I1655" i="13"/>
  <c r="I1656" i="13"/>
  <c r="I1657" i="13"/>
  <c r="I1658" i="13"/>
  <c r="I1659" i="13"/>
  <c r="I1660" i="13"/>
  <c r="I1661" i="13"/>
  <c r="I1662" i="13"/>
  <c r="I1663" i="13"/>
  <c r="I1664" i="13"/>
  <c r="I1665" i="13"/>
  <c r="I1666" i="13"/>
  <c r="I1667" i="13"/>
  <c r="I1668" i="13"/>
  <c r="I1669" i="13"/>
  <c r="I1670" i="13"/>
  <c r="I1671" i="13"/>
  <c r="I1672" i="13"/>
  <c r="I1673" i="13"/>
  <c r="I1674" i="13"/>
  <c r="I1675" i="13"/>
  <c r="I1676" i="13"/>
  <c r="I1677" i="13"/>
  <c r="I1678" i="13"/>
  <c r="I1679" i="13"/>
  <c r="I1680" i="13"/>
  <c r="I1681" i="13"/>
  <c r="I1682" i="13"/>
  <c r="I1683" i="13"/>
  <c r="I1684" i="13"/>
  <c r="I1685" i="13"/>
  <c r="I1686" i="13"/>
  <c r="I1687" i="13"/>
  <c r="I1688" i="13"/>
  <c r="I1689" i="13"/>
  <c r="I1690" i="13"/>
  <c r="I1691" i="13"/>
  <c r="I1692" i="13"/>
  <c r="I1693" i="13"/>
  <c r="I1694" i="13"/>
  <c r="I1695" i="13"/>
  <c r="I1696" i="13"/>
  <c r="I1697" i="13"/>
  <c r="I1698" i="13"/>
  <c r="I1699" i="13"/>
  <c r="I1700" i="13"/>
  <c r="I1701" i="13"/>
  <c r="I1702" i="13"/>
  <c r="I1703" i="13"/>
  <c r="I1704" i="13"/>
  <c r="I1705" i="13"/>
  <c r="I1706" i="13"/>
  <c r="I1707" i="13"/>
  <c r="I1708" i="13"/>
  <c r="I1709" i="13"/>
  <c r="I1710" i="13"/>
  <c r="I1711" i="13"/>
  <c r="I1712" i="13"/>
  <c r="I1713" i="13"/>
  <c r="I1714" i="13"/>
  <c r="I1715" i="13"/>
  <c r="I1716" i="13"/>
  <c r="I1717" i="13"/>
  <c r="I1718" i="13"/>
  <c r="I1719" i="13"/>
  <c r="I1720" i="13"/>
  <c r="I1721" i="13"/>
  <c r="I1722" i="13"/>
  <c r="I1723" i="13"/>
  <c r="I1724" i="13"/>
  <c r="I1725" i="13"/>
  <c r="I1726" i="13"/>
  <c r="I1727" i="13"/>
  <c r="I1728" i="13"/>
  <c r="I1729" i="13"/>
  <c r="I1730" i="13"/>
  <c r="I1731" i="13"/>
  <c r="I1732" i="13"/>
  <c r="I1733" i="13"/>
  <c r="I1734" i="13"/>
  <c r="I1735" i="13"/>
  <c r="I1736" i="13"/>
  <c r="I1737" i="13"/>
  <c r="I1738" i="13"/>
  <c r="I1739" i="13"/>
  <c r="I1740" i="13"/>
  <c r="I1741" i="13"/>
  <c r="I1742" i="13"/>
  <c r="I1743" i="13"/>
  <c r="I1744" i="13"/>
  <c r="I1745" i="13"/>
  <c r="I1746" i="13"/>
  <c r="I1747" i="13"/>
  <c r="I1748" i="13"/>
  <c r="I1749" i="13"/>
  <c r="I1750" i="13"/>
  <c r="I1751" i="13"/>
  <c r="I1752" i="13"/>
  <c r="I1753" i="13"/>
  <c r="I1754" i="13"/>
  <c r="I1755" i="13"/>
  <c r="I1756" i="13"/>
  <c r="I1757" i="13"/>
  <c r="I1758" i="13"/>
  <c r="I1759" i="13"/>
  <c r="I1760" i="13"/>
  <c r="I1761" i="13"/>
  <c r="I1762" i="13"/>
  <c r="I1763" i="13"/>
  <c r="I1764" i="13"/>
  <c r="I1765" i="13"/>
  <c r="I1766" i="13"/>
  <c r="I1767" i="13"/>
  <c r="I1768" i="13"/>
  <c r="I1769" i="13"/>
  <c r="I1770" i="13"/>
  <c r="I1771" i="13"/>
  <c r="I1772" i="13"/>
  <c r="I1773" i="13"/>
  <c r="I1774" i="13"/>
  <c r="I1775" i="13"/>
  <c r="I1776" i="13"/>
  <c r="I1777" i="13"/>
  <c r="I1778" i="13"/>
  <c r="I1779" i="13"/>
  <c r="I1780" i="13"/>
  <c r="I1781" i="13"/>
  <c r="I1782" i="13"/>
  <c r="I1783" i="13"/>
  <c r="I1784" i="13"/>
  <c r="I1785" i="13"/>
  <c r="I1786" i="13"/>
  <c r="I1787" i="13"/>
  <c r="I1788" i="13"/>
  <c r="I1789" i="13"/>
  <c r="I1790" i="13"/>
  <c r="I1791" i="13"/>
  <c r="I1792" i="13"/>
  <c r="I1793" i="13"/>
  <c r="I1794" i="13"/>
  <c r="I1795" i="13"/>
  <c r="I1796" i="13"/>
  <c r="I1797" i="13"/>
  <c r="I1798" i="13"/>
  <c r="I1799" i="13"/>
  <c r="I1800" i="13"/>
  <c r="I1801" i="13"/>
  <c r="I1802" i="13"/>
  <c r="I1803" i="13"/>
  <c r="I1804" i="13"/>
  <c r="I1805" i="13"/>
  <c r="I1806" i="13"/>
  <c r="I1807" i="13"/>
  <c r="I1808" i="13"/>
  <c r="I1809" i="13"/>
  <c r="I1810" i="13"/>
  <c r="I1811" i="13"/>
  <c r="I1812" i="13"/>
  <c r="I1813" i="13"/>
  <c r="I1814" i="13"/>
  <c r="I1815" i="13"/>
  <c r="I1816" i="13"/>
  <c r="I1817" i="13"/>
  <c r="I1818" i="13"/>
  <c r="I1819" i="13"/>
  <c r="I1820" i="13"/>
  <c r="I1821" i="13"/>
  <c r="I1822" i="13"/>
  <c r="I1823" i="13"/>
  <c r="I1824" i="13"/>
  <c r="I1825" i="13"/>
  <c r="I1826" i="13"/>
  <c r="I1827" i="13"/>
  <c r="I1828" i="13"/>
  <c r="I1829" i="13"/>
  <c r="I1830" i="13"/>
  <c r="I1831" i="13"/>
  <c r="I1832" i="13"/>
  <c r="I1833" i="13"/>
  <c r="I1834" i="13"/>
  <c r="I1835" i="13"/>
  <c r="I1836" i="13"/>
  <c r="I1837" i="13"/>
  <c r="I1838" i="13"/>
  <c r="I1839" i="13"/>
  <c r="I1840" i="13"/>
  <c r="I1841" i="13"/>
  <c r="I1842" i="13"/>
  <c r="I1843" i="13"/>
  <c r="I1844" i="13"/>
  <c r="I1845" i="13"/>
  <c r="I1846" i="13"/>
  <c r="I1847" i="13"/>
  <c r="I1848" i="13"/>
  <c r="I1849" i="13"/>
  <c r="I1850" i="13"/>
  <c r="I1851" i="13"/>
  <c r="I1852" i="13"/>
  <c r="I1853" i="13"/>
  <c r="I1854" i="13"/>
  <c r="I1855" i="13"/>
  <c r="I1856" i="13"/>
  <c r="I1857" i="13"/>
  <c r="I1858" i="13"/>
  <c r="I1859" i="13"/>
  <c r="I1860" i="13"/>
  <c r="I1861" i="13"/>
  <c r="I1862" i="13"/>
  <c r="I1863" i="13"/>
  <c r="I1864" i="13"/>
  <c r="I1865" i="13"/>
  <c r="I1866" i="13"/>
  <c r="I1867" i="13"/>
  <c r="I1868" i="13"/>
  <c r="I1869" i="13"/>
  <c r="I1870" i="13"/>
  <c r="I1871" i="13"/>
  <c r="I1872" i="13"/>
  <c r="I1873" i="13"/>
  <c r="I1874" i="13"/>
  <c r="I1875" i="13"/>
  <c r="I1876" i="13"/>
  <c r="I1877" i="13"/>
  <c r="I1878" i="13"/>
  <c r="I1879" i="13"/>
  <c r="I1880" i="13"/>
  <c r="I1881" i="13"/>
  <c r="I1882" i="13"/>
  <c r="I1883" i="13"/>
  <c r="I1884" i="13"/>
  <c r="I1885" i="13"/>
  <c r="I1886" i="13"/>
  <c r="I1887" i="13"/>
  <c r="I1888" i="13"/>
  <c r="I1889" i="13"/>
  <c r="I1890" i="13"/>
  <c r="I1891" i="13"/>
  <c r="I1892" i="13"/>
  <c r="I1893" i="13"/>
  <c r="I1894" i="13"/>
  <c r="I1895" i="13"/>
  <c r="I1896" i="13"/>
  <c r="I1897" i="13"/>
  <c r="I1898" i="13"/>
  <c r="I1899" i="13"/>
  <c r="I1900" i="13"/>
  <c r="I1901" i="13"/>
  <c r="I1902" i="13"/>
  <c r="I1903" i="13"/>
  <c r="I1904" i="13"/>
  <c r="I1905" i="13"/>
  <c r="I1906" i="13"/>
  <c r="I1907" i="13"/>
  <c r="I1908" i="13"/>
  <c r="I1909" i="13"/>
  <c r="I1910" i="13"/>
  <c r="I1911" i="13"/>
  <c r="I1912" i="13"/>
  <c r="I1913" i="13"/>
  <c r="I1914" i="13"/>
  <c r="I1915" i="13"/>
  <c r="I1916" i="13"/>
  <c r="I1917" i="13"/>
  <c r="I1918" i="13"/>
  <c r="I1919" i="13"/>
  <c r="I1920" i="13"/>
  <c r="I1921" i="13"/>
  <c r="I1922" i="13"/>
  <c r="I1923" i="13"/>
  <c r="I1924" i="13"/>
  <c r="I1925" i="13"/>
  <c r="I1926" i="13"/>
  <c r="I1927" i="13"/>
  <c r="I1928" i="13"/>
  <c r="I1929" i="13"/>
  <c r="I1930" i="13"/>
  <c r="I1931" i="13"/>
  <c r="I1932" i="13"/>
  <c r="I1933" i="13"/>
  <c r="I1934" i="13"/>
  <c r="I1935" i="13"/>
  <c r="I1936" i="13"/>
  <c r="I1937" i="13"/>
  <c r="I1938" i="13"/>
  <c r="I1939" i="13"/>
  <c r="I1940" i="13"/>
  <c r="I1941" i="13"/>
  <c r="I1942" i="13"/>
  <c r="I1943" i="13"/>
  <c r="I1944" i="13"/>
  <c r="I1945" i="13"/>
  <c r="I1946" i="13"/>
  <c r="I1947" i="13"/>
  <c r="I1948" i="13"/>
  <c r="I1949" i="13"/>
  <c r="I1950" i="13"/>
  <c r="I1951" i="13"/>
  <c r="I1952" i="13"/>
  <c r="I1953" i="13"/>
  <c r="I1954" i="13"/>
  <c r="I1955" i="13"/>
  <c r="I1956" i="13"/>
  <c r="I1957" i="13"/>
  <c r="I1958" i="13"/>
  <c r="I1959" i="13"/>
  <c r="I1960" i="13"/>
  <c r="I1961" i="13"/>
  <c r="I1962" i="13"/>
  <c r="I1963" i="13"/>
  <c r="I1964" i="13"/>
  <c r="I1965" i="13"/>
  <c r="I1966" i="13"/>
  <c r="I1967" i="13"/>
  <c r="I1968" i="13"/>
  <c r="I1969" i="13"/>
  <c r="I1970" i="13"/>
  <c r="I1971" i="13"/>
  <c r="I1972" i="13"/>
  <c r="I1973" i="13"/>
  <c r="I1974" i="13"/>
  <c r="I1975" i="13"/>
  <c r="I1976" i="13"/>
  <c r="I1977" i="13"/>
  <c r="I1978" i="13"/>
  <c r="I1979" i="13"/>
  <c r="I1980" i="13"/>
  <c r="I1981" i="13"/>
  <c r="I1982" i="13"/>
  <c r="I1983" i="13"/>
  <c r="I1984" i="13"/>
  <c r="I1985" i="13"/>
  <c r="I1986" i="13"/>
  <c r="I1987" i="13"/>
  <c r="I1988" i="13"/>
  <c r="I1989" i="13"/>
  <c r="I1990" i="13"/>
  <c r="I1991" i="13"/>
  <c r="I1992" i="13"/>
  <c r="I1993" i="13"/>
  <c r="I1994" i="13"/>
  <c r="I1995" i="13"/>
  <c r="I1996" i="13"/>
  <c r="I1997" i="13"/>
  <c r="I1998" i="13"/>
  <c r="I1999" i="13"/>
  <c r="I2000" i="13"/>
  <c r="I2001" i="13"/>
  <c r="I2002" i="13"/>
  <c r="I2003" i="13"/>
  <c r="I2004" i="13"/>
  <c r="I2005" i="13"/>
  <c r="I2006" i="13"/>
  <c r="I2007" i="13"/>
  <c r="I2008" i="13"/>
  <c r="I2009" i="13"/>
  <c r="I2010" i="13"/>
  <c r="I2011" i="13"/>
  <c r="I2012" i="13"/>
  <c r="I2013" i="13"/>
  <c r="I2014" i="13"/>
  <c r="I2015" i="13"/>
  <c r="I2016" i="13"/>
  <c r="I2017" i="13"/>
  <c r="I2018" i="13"/>
  <c r="I2019" i="13"/>
  <c r="I2020" i="13"/>
  <c r="I2021" i="13"/>
  <c r="I2022" i="13"/>
  <c r="I2023" i="13"/>
  <c r="I2024" i="13"/>
  <c r="I2025" i="13"/>
  <c r="I2026" i="13"/>
  <c r="I2027" i="13"/>
  <c r="I2028" i="13"/>
  <c r="I2029" i="13"/>
  <c r="I2030" i="13"/>
  <c r="I2031" i="13"/>
  <c r="I2032" i="13"/>
  <c r="I2033" i="13"/>
  <c r="I2034" i="13"/>
  <c r="I2035" i="13"/>
  <c r="I2036" i="13"/>
  <c r="I2037" i="13"/>
  <c r="I2038" i="13"/>
  <c r="I2039" i="13"/>
  <c r="I2040" i="13"/>
  <c r="I2041" i="13"/>
  <c r="I2042" i="13"/>
  <c r="I2043" i="13"/>
  <c r="I2044" i="13"/>
  <c r="I2045" i="13"/>
  <c r="I2046" i="13"/>
  <c r="I2047" i="13"/>
  <c r="I2048" i="13"/>
  <c r="I2049" i="13"/>
  <c r="I2050" i="13"/>
  <c r="I2051" i="13"/>
  <c r="I2052" i="13"/>
  <c r="I2053" i="13"/>
  <c r="I2054" i="13"/>
  <c r="I2055" i="13"/>
  <c r="I2056" i="13"/>
  <c r="I2057" i="13"/>
  <c r="I2058" i="13"/>
  <c r="I2059" i="13"/>
  <c r="I2060" i="13"/>
  <c r="I2061" i="13"/>
  <c r="I2062" i="13"/>
  <c r="I2063" i="13"/>
  <c r="I2064" i="13"/>
  <c r="I2065" i="13"/>
  <c r="I2066" i="13"/>
  <c r="I2067" i="13"/>
  <c r="I2068" i="13"/>
  <c r="I2069" i="13"/>
  <c r="I2070" i="13"/>
  <c r="I2071" i="13"/>
  <c r="I2072" i="13"/>
  <c r="I2073" i="13"/>
  <c r="I2074" i="13"/>
  <c r="I2075" i="13"/>
  <c r="I2076" i="13"/>
  <c r="I2077" i="13"/>
  <c r="I2078" i="13"/>
  <c r="I2079" i="13"/>
  <c r="I2080" i="13"/>
  <c r="I2081" i="13"/>
  <c r="I2082" i="13"/>
  <c r="I2083" i="13"/>
  <c r="I2084" i="13"/>
  <c r="I2085" i="13"/>
  <c r="I2086" i="13"/>
  <c r="I2087" i="13"/>
  <c r="I2088" i="13"/>
  <c r="I2089" i="13"/>
  <c r="I2090" i="13"/>
  <c r="I2091" i="13"/>
  <c r="I2092" i="13"/>
  <c r="I2093" i="13"/>
  <c r="I2094" i="13"/>
  <c r="I2095" i="13"/>
  <c r="I2096" i="13"/>
  <c r="I2097" i="13"/>
  <c r="I2098" i="13"/>
  <c r="I2099" i="13"/>
  <c r="I2100" i="13"/>
  <c r="I2101" i="13"/>
  <c r="I2102" i="13"/>
  <c r="I2103" i="13"/>
  <c r="I2104" i="13"/>
  <c r="I2105" i="13"/>
  <c r="I2106" i="13"/>
  <c r="I2107" i="13"/>
  <c r="I2108" i="13"/>
  <c r="I2109" i="13"/>
  <c r="I2110" i="13"/>
  <c r="I2111" i="13"/>
  <c r="I2112" i="13"/>
  <c r="I2113" i="13"/>
  <c r="I2114" i="13"/>
  <c r="I2115" i="13"/>
  <c r="I2116" i="13"/>
  <c r="I2117" i="13"/>
  <c r="I2118" i="13"/>
  <c r="I2119" i="13"/>
  <c r="I2120" i="13"/>
  <c r="I2121" i="13"/>
  <c r="I2122" i="13"/>
  <c r="I2123" i="13"/>
  <c r="I2124" i="13"/>
  <c r="I2125" i="13"/>
  <c r="I2126" i="13"/>
  <c r="I2127" i="13"/>
  <c r="I2128" i="13"/>
  <c r="I2129" i="13"/>
  <c r="I2130" i="13"/>
  <c r="I2131" i="13"/>
  <c r="I2132" i="13"/>
  <c r="I2133" i="13"/>
  <c r="I2134" i="13"/>
  <c r="I2135" i="13"/>
  <c r="I2136" i="13"/>
  <c r="I2137" i="13"/>
  <c r="I2138" i="13"/>
  <c r="I2139" i="13"/>
  <c r="I2140" i="13"/>
  <c r="I2141" i="13"/>
  <c r="I2142" i="13"/>
  <c r="I2143" i="13"/>
  <c r="I2144" i="13"/>
  <c r="I2145" i="13"/>
  <c r="I2146" i="13"/>
  <c r="I2147" i="13"/>
  <c r="I2148" i="13"/>
  <c r="I2149" i="13"/>
  <c r="I2150" i="13"/>
  <c r="I2151" i="13"/>
  <c r="I2152" i="13"/>
  <c r="I2153" i="13"/>
  <c r="I2154" i="13"/>
  <c r="I2155" i="13"/>
  <c r="I2156" i="13"/>
  <c r="I2157" i="13"/>
  <c r="I2158" i="13"/>
  <c r="I2159" i="13"/>
  <c r="I2160" i="13"/>
  <c r="I2161" i="13"/>
  <c r="I2162" i="13"/>
  <c r="I2163" i="13"/>
  <c r="I2164" i="13"/>
  <c r="I2165" i="13"/>
  <c r="I2166" i="13"/>
  <c r="I2167" i="13"/>
  <c r="I2168" i="13"/>
  <c r="I2169" i="13"/>
  <c r="I2170" i="13"/>
  <c r="I2171" i="13"/>
  <c r="I2172" i="13"/>
  <c r="I2173" i="13"/>
  <c r="I2174" i="13"/>
  <c r="I2175" i="13"/>
  <c r="I2176" i="13"/>
  <c r="I2177" i="13"/>
  <c r="I2178" i="13"/>
  <c r="I2179" i="13"/>
  <c r="I2180" i="13"/>
  <c r="I2181" i="13"/>
  <c r="I2182" i="13"/>
  <c r="I2183" i="13"/>
  <c r="I2184" i="13"/>
  <c r="I2185" i="13"/>
  <c r="I2186" i="13"/>
  <c r="I2187" i="13"/>
  <c r="I2188" i="13"/>
  <c r="I2189" i="13"/>
  <c r="I2190" i="13"/>
  <c r="I2191" i="13"/>
  <c r="I2192" i="13"/>
  <c r="I2193" i="13"/>
  <c r="I2194" i="13"/>
  <c r="I2195" i="13"/>
  <c r="I2196" i="13"/>
  <c r="I2197" i="13"/>
  <c r="I2198" i="13"/>
  <c r="I2199" i="13"/>
  <c r="I2200" i="13"/>
  <c r="I2201" i="13"/>
  <c r="I2202" i="13"/>
  <c r="I2203" i="13"/>
  <c r="I2204" i="13"/>
  <c r="I2205" i="13"/>
  <c r="I2206" i="13"/>
  <c r="I2207" i="13"/>
  <c r="I2208" i="13"/>
  <c r="I2209" i="13"/>
  <c r="I2210" i="13"/>
  <c r="I2211" i="13"/>
  <c r="I2212" i="13"/>
  <c r="I2213" i="13"/>
  <c r="I2214" i="13"/>
  <c r="I2215" i="13"/>
  <c r="I2216" i="13"/>
  <c r="I2217" i="13"/>
  <c r="I2218" i="13"/>
  <c r="I2219" i="13"/>
  <c r="I2220" i="13"/>
  <c r="I2221" i="13"/>
  <c r="I2222" i="13"/>
  <c r="I2223" i="13"/>
  <c r="I2224" i="13"/>
  <c r="I2225" i="13"/>
  <c r="I2226" i="13"/>
  <c r="I2227" i="13"/>
  <c r="I2228" i="13"/>
  <c r="I2229" i="13"/>
  <c r="I2230" i="13"/>
  <c r="I2231" i="13"/>
  <c r="I2232" i="13"/>
  <c r="I2233" i="13"/>
  <c r="I2234" i="13"/>
  <c r="I2235" i="13"/>
  <c r="I2236" i="13"/>
  <c r="I2237" i="13"/>
  <c r="I2238" i="13"/>
  <c r="I2239" i="13"/>
  <c r="I2240" i="13"/>
  <c r="I2241" i="13"/>
  <c r="I2242" i="13"/>
  <c r="I2243" i="13"/>
  <c r="I2244" i="13"/>
  <c r="I2245" i="13"/>
  <c r="I2246" i="13"/>
  <c r="I2247" i="13"/>
  <c r="I2248" i="13"/>
  <c r="I2249" i="13"/>
  <c r="I2250" i="13"/>
  <c r="I2251" i="13"/>
  <c r="I2252" i="13"/>
  <c r="I2253" i="13"/>
  <c r="I2254" i="13"/>
  <c r="I2255" i="13"/>
  <c r="I2256" i="13"/>
  <c r="I2257" i="13"/>
  <c r="I2258" i="13"/>
  <c r="I2259" i="13"/>
  <c r="I2260" i="13"/>
  <c r="I2261" i="13"/>
  <c r="I2262" i="13"/>
  <c r="I2263" i="13"/>
  <c r="I2264" i="13"/>
  <c r="I2265" i="13"/>
  <c r="I2266" i="13"/>
  <c r="I2267" i="13"/>
  <c r="I2268" i="13"/>
  <c r="I2269" i="13"/>
  <c r="I2270" i="13"/>
  <c r="I2271" i="13"/>
  <c r="I2272" i="13"/>
  <c r="I2273" i="13"/>
  <c r="I2274" i="13"/>
  <c r="I2275" i="13"/>
  <c r="I2276" i="13"/>
  <c r="I2277" i="13"/>
  <c r="I2278" i="13"/>
  <c r="I2279" i="13"/>
  <c r="I2280" i="13"/>
  <c r="I2281" i="13"/>
  <c r="I2282" i="13"/>
  <c r="I2283" i="13"/>
  <c r="I2284" i="13"/>
  <c r="I2285" i="13"/>
  <c r="I2286" i="13"/>
  <c r="I2287" i="13"/>
  <c r="I2288" i="13"/>
  <c r="I2289" i="13"/>
  <c r="I2290" i="13"/>
  <c r="I2291" i="13"/>
  <c r="I2292" i="13"/>
  <c r="I2293" i="13"/>
  <c r="I2294" i="13"/>
  <c r="I2295" i="13"/>
  <c r="I2296" i="13"/>
  <c r="I2297" i="13"/>
  <c r="I2298" i="13"/>
  <c r="I2299" i="13"/>
  <c r="I2300" i="13"/>
  <c r="I2301" i="13"/>
  <c r="I2302" i="13"/>
  <c r="I2303" i="13"/>
  <c r="I2304" i="13"/>
  <c r="I2305" i="13"/>
  <c r="I2306" i="13"/>
  <c r="I2307" i="13"/>
  <c r="I2308" i="13"/>
  <c r="I2309" i="13"/>
  <c r="I2310" i="13"/>
  <c r="I2311" i="13"/>
  <c r="I2312" i="13"/>
  <c r="I2313" i="13"/>
  <c r="I2314" i="13"/>
  <c r="I2315" i="13"/>
  <c r="I2316" i="13"/>
  <c r="I2317" i="13"/>
  <c r="I2318" i="13"/>
  <c r="I2319" i="13"/>
  <c r="I2320" i="13"/>
  <c r="I2321" i="13"/>
  <c r="I2322" i="13"/>
  <c r="I2323" i="13"/>
  <c r="I2324" i="13"/>
  <c r="I2325" i="13"/>
  <c r="I2326" i="13"/>
  <c r="I2327" i="13"/>
  <c r="I2328" i="13"/>
  <c r="I2329" i="13"/>
  <c r="I2330" i="13"/>
  <c r="I2331" i="13"/>
  <c r="I2332" i="13"/>
  <c r="I2333" i="13"/>
  <c r="I2334" i="13"/>
  <c r="I2335" i="13"/>
  <c r="I2336" i="13"/>
  <c r="I2337" i="13"/>
  <c r="I2338" i="13"/>
  <c r="I2339" i="13"/>
  <c r="I2340" i="13"/>
  <c r="I2341" i="13"/>
  <c r="I2342" i="13"/>
  <c r="I2343" i="13"/>
  <c r="I2344" i="13"/>
  <c r="I2345" i="13"/>
  <c r="I2346" i="13"/>
  <c r="I2347" i="13"/>
  <c r="I2348" i="13"/>
  <c r="I2349" i="13"/>
  <c r="I2350" i="13"/>
  <c r="I2351" i="13"/>
  <c r="I2352" i="13"/>
  <c r="I2353" i="13"/>
  <c r="I2354" i="13"/>
  <c r="I2355" i="13"/>
  <c r="I2356" i="13"/>
  <c r="I2357" i="13"/>
  <c r="I2358" i="13"/>
  <c r="I2359" i="13"/>
  <c r="I2360" i="13"/>
  <c r="I2361" i="13"/>
  <c r="I2362" i="13"/>
  <c r="I2363" i="13"/>
  <c r="I2364" i="13"/>
  <c r="I2365" i="13"/>
  <c r="I2366" i="13"/>
  <c r="I2367" i="13"/>
  <c r="I2368" i="13"/>
  <c r="I2369" i="13"/>
  <c r="I2370" i="13"/>
  <c r="I2371" i="13"/>
  <c r="I2372" i="13"/>
  <c r="I2373" i="13"/>
  <c r="I2374" i="13"/>
  <c r="I2375" i="13"/>
  <c r="I2376" i="13"/>
  <c r="I2377" i="13"/>
  <c r="I2378" i="13"/>
  <c r="I2379" i="13"/>
  <c r="I2380" i="13"/>
  <c r="I2381" i="13"/>
  <c r="I2382" i="13"/>
  <c r="I2383" i="13"/>
  <c r="I2384" i="13"/>
  <c r="I2385" i="13"/>
  <c r="I2386" i="13"/>
  <c r="I2387" i="13"/>
  <c r="I2388" i="13"/>
  <c r="I2389" i="13"/>
  <c r="I2390" i="13"/>
  <c r="I2391" i="13"/>
  <c r="I2392" i="13"/>
  <c r="I2393" i="13"/>
  <c r="I2394" i="13"/>
  <c r="I2395" i="13"/>
  <c r="I2396" i="13"/>
  <c r="I2397" i="13"/>
  <c r="I2398" i="13"/>
  <c r="I2399" i="13"/>
  <c r="I2400" i="13"/>
  <c r="I2401" i="13"/>
  <c r="I2402" i="13"/>
  <c r="I2403" i="13"/>
  <c r="I2404" i="13"/>
  <c r="I2405" i="13"/>
  <c r="I2406" i="13"/>
  <c r="I2407" i="13"/>
  <c r="I2408" i="13"/>
  <c r="I2409" i="13"/>
  <c r="I2410" i="13"/>
  <c r="I2411" i="13"/>
  <c r="I2412" i="13"/>
  <c r="I2413" i="13"/>
  <c r="I2414" i="13"/>
  <c r="I2415" i="13"/>
  <c r="I2416" i="13"/>
  <c r="I2417" i="13"/>
  <c r="I2418" i="13"/>
  <c r="I2419" i="13"/>
  <c r="I2420" i="13"/>
  <c r="I2421" i="13"/>
  <c r="I2422" i="13"/>
  <c r="I2423" i="13"/>
  <c r="I2424" i="13"/>
  <c r="I2425" i="13"/>
  <c r="I2426" i="13"/>
  <c r="I2427" i="13"/>
  <c r="I2428" i="13"/>
  <c r="I2429" i="13"/>
  <c r="I2430" i="13"/>
  <c r="I2431" i="13"/>
  <c r="I2432" i="13"/>
  <c r="I2433" i="13"/>
  <c r="I2434" i="13"/>
  <c r="I2435" i="13"/>
  <c r="I2436" i="13"/>
  <c r="I2437" i="13"/>
  <c r="I2438" i="13"/>
  <c r="I2439" i="13"/>
  <c r="I2440" i="13"/>
  <c r="I2441" i="13"/>
  <c r="I2442" i="13"/>
  <c r="I2443" i="13"/>
  <c r="I2444" i="13"/>
  <c r="I2445" i="13"/>
  <c r="I2446" i="13"/>
  <c r="I2447" i="13"/>
  <c r="I2448" i="13"/>
  <c r="I2449" i="13"/>
  <c r="I2450" i="13"/>
  <c r="I2451" i="13"/>
  <c r="I2452" i="13"/>
  <c r="I2453" i="13"/>
  <c r="I2454" i="13"/>
  <c r="I2455" i="13"/>
  <c r="I2456" i="13"/>
  <c r="I2457" i="13"/>
  <c r="I2458" i="13"/>
  <c r="I2459" i="13"/>
  <c r="I2460" i="13"/>
  <c r="I2461" i="13"/>
  <c r="I2462" i="13"/>
  <c r="I2463" i="13"/>
  <c r="I2464" i="13"/>
  <c r="I2465" i="13"/>
  <c r="I2466" i="13"/>
  <c r="I2467" i="13"/>
  <c r="I2468" i="13"/>
  <c r="I2469" i="13"/>
  <c r="I2470" i="13"/>
  <c r="I2471" i="13"/>
  <c r="I2472" i="13"/>
  <c r="I2473" i="13"/>
  <c r="I2474" i="13"/>
  <c r="I2475" i="13"/>
  <c r="I2476" i="13"/>
  <c r="I2477" i="13"/>
  <c r="I2478" i="13"/>
  <c r="I2479" i="13"/>
  <c r="I2480" i="13"/>
  <c r="I2481" i="13"/>
  <c r="I2482" i="13"/>
  <c r="I2483" i="13"/>
  <c r="I2484" i="13"/>
  <c r="I2485" i="13"/>
  <c r="I2486" i="13"/>
  <c r="I2487" i="13"/>
  <c r="I2488" i="13"/>
  <c r="I2489" i="13"/>
  <c r="I2490" i="13"/>
  <c r="I2491" i="13"/>
  <c r="I2492" i="13"/>
  <c r="I2493" i="13"/>
  <c r="I2494" i="13"/>
  <c r="I2495" i="13"/>
  <c r="I2496" i="13"/>
  <c r="I2497" i="13"/>
  <c r="I2498" i="13"/>
  <c r="I2499" i="13"/>
  <c r="I2500" i="13"/>
  <c r="I2501" i="13"/>
  <c r="I2502" i="13"/>
  <c r="I2503" i="13"/>
  <c r="I2504" i="13"/>
  <c r="I2505" i="13"/>
  <c r="I2506" i="13"/>
  <c r="I2507" i="13"/>
  <c r="I2508" i="13"/>
  <c r="I2509" i="13"/>
  <c r="I2510" i="13"/>
  <c r="I2511" i="13"/>
  <c r="I2512" i="13"/>
  <c r="I2513" i="13"/>
  <c r="I2514" i="13"/>
  <c r="I2515" i="13"/>
  <c r="I2516" i="13"/>
  <c r="I2517" i="13"/>
  <c r="I2518" i="13"/>
  <c r="I2519" i="13"/>
  <c r="I2520" i="13"/>
  <c r="I2521" i="13"/>
  <c r="I2522" i="13"/>
  <c r="I2523" i="13"/>
  <c r="I2524" i="13"/>
  <c r="I2525" i="13"/>
  <c r="I2526" i="13"/>
  <c r="I2527" i="13"/>
  <c r="I2528" i="13"/>
  <c r="I2529" i="13"/>
  <c r="I2530" i="13"/>
  <c r="I2531" i="13"/>
  <c r="I2532" i="13"/>
  <c r="I2533" i="13"/>
  <c r="I2534" i="13"/>
  <c r="I2535" i="13"/>
  <c r="I2536" i="13"/>
  <c r="I2537" i="13"/>
  <c r="I2538" i="13"/>
  <c r="I2539" i="13"/>
  <c r="I2540" i="13"/>
  <c r="I2541" i="13"/>
  <c r="I2542" i="13"/>
  <c r="I2543" i="13"/>
  <c r="I2544" i="13"/>
  <c r="I2545" i="13"/>
  <c r="I2546" i="13"/>
  <c r="I2547" i="13"/>
  <c r="I2548" i="13"/>
  <c r="I2549" i="13"/>
  <c r="I2550" i="13"/>
  <c r="I2551" i="13"/>
  <c r="I2552" i="13"/>
  <c r="I2553" i="13"/>
  <c r="I2554" i="13"/>
  <c r="I2555" i="13"/>
  <c r="I2556" i="13"/>
  <c r="I2557" i="13"/>
  <c r="I2558" i="13"/>
  <c r="I2559" i="13"/>
  <c r="I2560" i="13"/>
  <c r="I2561" i="13"/>
  <c r="I2562" i="13"/>
  <c r="I2563" i="13"/>
  <c r="I2564" i="13"/>
  <c r="I2565" i="13"/>
  <c r="I2566" i="13"/>
  <c r="I2567" i="13"/>
  <c r="I2568" i="13"/>
  <c r="I2569" i="13"/>
  <c r="I2570" i="13"/>
  <c r="I2571" i="13"/>
  <c r="I2572" i="13"/>
  <c r="I2573" i="13"/>
  <c r="I2574" i="13"/>
  <c r="I2575" i="13"/>
  <c r="I2576" i="13"/>
  <c r="I2577" i="13"/>
  <c r="I2578" i="13"/>
  <c r="I2579" i="13"/>
  <c r="I2580" i="13"/>
  <c r="I2581" i="13"/>
  <c r="I2582" i="13"/>
  <c r="I2583" i="13"/>
  <c r="I2584" i="13"/>
  <c r="I2585" i="13"/>
  <c r="I2586" i="13"/>
  <c r="I2587" i="13"/>
  <c r="I2588" i="13"/>
  <c r="I2589" i="13"/>
  <c r="I2590" i="13"/>
  <c r="I2591" i="13"/>
  <c r="I2592" i="13"/>
  <c r="I2593" i="13"/>
  <c r="I2594" i="13"/>
  <c r="I2595" i="13"/>
  <c r="I2596" i="13"/>
  <c r="I2597" i="13"/>
  <c r="I2598" i="13"/>
  <c r="I2599" i="13"/>
  <c r="I2600" i="13"/>
  <c r="I2601" i="13"/>
  <c r="I2602" i="13"/>
  <c r="I2603" i="13"/>
  <c r="I2604" i="13"/>
  <c r="I2605" i="13"/>
  <c r="I2606" i="13"/>
  <c r="I2607" i="13"/>
  <c r="I2608" i="13"/>
  <c r="I2609" i="13"/>
  <c r="I2610" i="13"/>
  <c r="I2611" i="13"/>
  <c r="I2612" i="13"/>
  <c r="I2613" i="13"/>
  <c r="I2614" i="13"/>
  <c r="I2615" i="13"/>
  <c r="I2616" i="13"/>
  <c r="I2617" i="13"/>
  <c r="I2618" i="13"/>
  <c r="I2619" i="13"/>
  <c r="I2620" i="13"/>
  <c r="I2621" i="13"/>
  <c r="I2622" i="13"/>
  <c r="I2623" i="13"/>
  <c r="I2624" i="13"/>
  <c r="I2625" i="13"/>
  <c r="I2626" i="13"/>
  <c r="I2627" i="13"/>
  <c r="I2628" i="13"/>
  <c r="I2629" i="13"/>
  <c r="I2630" i="13"/>
  <c r="I2631" i="13"/>
  <c r="I2632" i="13"/>
  <c r="I2633" i="13"/>
  <c r="I2634" i="13"/>
  <c r="I2635" i="13"/>
  <c r="I2636" i="13"/>
  <c r="I2637" i="13"/>
  <c r="I2638" i="13"/>
  <c r="I2639" i="13"/>
  <c r="I2640" i="13"/>
  <c r="I2641" i="13"/>
  <c r="I2642" i="13"/>
  <c r="I2643" i="13"/>
  <c r="I2644" i="13"/>
  <c r="I2645" i="13"/>
  <c r="I2646" i="13"/>
  <c r="I2647" i="13"/>
  <c r="I2648" i="13"/>
  <c r="I2649" i="13"/>
  <c r="I2650" i="13"/>
  <c r="I2651" i="13"/>
  <c r="I2652" i="13"/>
  <c r="I2653" i="13"/>
  <c r="I2654" i="13"/>
  <c r="I2655" i="13"/>
  <c r="I2656" i="13"/>
  <c r="I2657" i="13"/>
  <c r="I2658" i="13"/>
  <c r="I2659" i="13"/>
  <c r="I2660" i="13"/>
  <c r="I2661" i="13"/>
  <c r="I2662" i="13"/>
  <c r="I2663" i="13"/>
  <c r="I2664" i="13"/>
  <c r="I2665" i="13"/>
  <c r="I2666" i="13"/>
  <c r="I2667" i="13"/>
  <c r="I2668" i="13"/>
  <c r="I2669" i="13"/>
  <c r="I2670" i="13"/>
  <c r="I2671" i="13"/>
  <c r="I2672" i="13"/>
  <c r="I2673" i="13"/>
  <c r="I2674" i="13"/>
  <c r="I2675" i="13"/>
  <c r="I2676" i="13"/>
  <c r="I2677" i="13"/>
  <c r="I2678" i="13"/>
  <c r="I2679" i="13"/>
  <c r="I2680" i="13"/>
  <c r="I2681" i="13"/>
  <c r="I2682" i="13"/>
  <c r="I2683" i="13"/>
  <c r="I2684" i="13"/>
  <c r="I2685" i="13"/>
  <c r="I2686" i="13"/>
  <c r="I2687" i="13"/>
  <c r="I2688" i="13"/>
  <c r="I2689" i="13"/>
  <c r="I2690" i="13"/>
  <c r="I2691" i="13"/>
  <c r="I2692" i="13"/>
  <c r="I2693" i="13"/>
  <c r="I2694" i="13"/>
  <c r="I2695" i="13"/>
  <c r="I2696" i="13"/>
  <c r="I2697" i="13"/>
  <c r="I2698" i="13"/>
  <c r="I2699" i="13"/>
  <c r="I2700" i="13"/>
  <c r="I2701" i="13"/>
  <c r="I2702" i="13"/>
  <c r="I2703" i="13"/>
  <c r="I2704" i="13"/>
  <c r="I2705" i="13"/>
  <c r="I2706" i="13"/>
  <c r="I2707" i="13"/>
  <c r="I2708" i="13"/>
  <c r="I2709" i="13"/>
  <c r="I2710" i="13"/>
  <c r="I2711" i="13"/>
  <c r="I2712" i="13"/>
  <c r="I2713" i="13"/>
  <c r="I2714" i="13"/>
  <c r="I2715" i="13"/>
  <c r="I2716" i="13"/>
  <c r="I2717" i="13"/>
  <c r="I2718" i="13"/>
  <c r="I2719" i="13"/>
  <c r="I2720" i="13"/>
  <c r="I2721" i="13"/>
  <c r="I2722" i="13"/>
  <c r="I2723" i="13"/>
  <c r="I2724" i="13"/>
  <c r="I2725" i="13"/>
  <c r="I2726" i="13"/>
  <c r="I2727" i="13"/>
  <c r="I2728" i="13"/>
  <c r="I2729" i="13"/>
  <c r="I2730" i="13"/>
  <c r="I2731" i="13"/>
  <c r="I2732" i="13"/>
  <c r="I2733" i="13"/>
  <c r="I2734" i="13"/>
  <c r="I2735" i="13"/>
  <c r="I2736" i="13"/>
  <c r="I2737" i="13"/>
  <c r="I2738" i="13"/>
  <c r="I2739" i="13"/>
  <c r="I2740" i="13"/>
  <c r="I2741" i="13"/>
  <c r="I2742" i="13"/>
  <c r="I2743" i="13"/>
  <c r="I2744" i="13"/>
  <c r="I2745" i="13"/>
  <c r="I2746" i="13"/>
  <c r="I2747" i="13"/>
  <c r="I2748" i="13"/>
  <c r="I2749" i="13"/>
  <c r="I2750" i="13"/>
  <c r="I2751" i="13"/>
  <c r="I2752" i="13"/>
  <c r="I2753" i="13"/>
  <c r="I2754" i="13"/>
  <c r="I2755" i="13"/>
  <c r="I2756" i="13"/>
  <c r="I2757" i="13"/>
  <c r="I2758" i="13"/>
  <c r="I2759" i="13"/>
  <c r="I2760" i="13"/>
  <c r="I2761" i="13"/>
  <c r="I2762" i="13"/>
  <c r="I2763" i="13"/>
  <c r="I2764" i="13"/>
  <c r="I2765" i="13"/>
  <c r="I2766" i="13"/>
  <c r="I2767" i="13"/>
  <c r="I2768" i="13"/>
  <c r="I2769" i="13"/>
  <c r="I2770" i="13"/>
  <c r="I2771" i="13"/>
  <c r="I2772" i="13"/>
  <c r="I2773" i="13"/>
  <c r="I2774" i="13"/>
  <c r="I2775" i="13"/>
  <c r="I2776" i="13"/>
  <c r="I2777" i="13"/>
  <c r="I2778" i="13"/>
  <c r="I2779" i="13"/>
  <c r="I2780" i="13"/>
  <c r="I2781" i="13"/>
  <c r="I2782" i="13"/>
  <c r="I2783" i="13"/>
  <c r="I2784" i="13"/>
  <c r="I2785" i="13"/>
  <c r="I2786" i="13"/>
  <c r="I2787" i="13"/>
  <c r="I2788" i="13"/>
  <c r="I2789" i="13"/>
  <c r="I2790" i="13"/>
  <c r="I2791" i="13"/>
  <c r="I2792" i="13"/>
  <c r="I2793" i="13"/>
  <c r="I2794" i="13"/>
  <c r="I2795" i="13"/>
  <c r="I2796" i="13"/>
  <c r="I2797" i="13"/>
  <c r="I2798" i="13"/>
  <c r="I2799" i="13"/>
  <c r="I2800" i="13"/>
  <c r="I2801" i="13"/>
  <c r="I2802" i="13"/>
  <c r="I2803" i="13"/>
  <c r="I2804" i="13"/>
  <c r="I2805" i="13"/>
  <c r="I2806" i="13"/>
  <c r="I2807" i="13"/>
  <c r="I2808" i="13"/>
  <c r="I2809" i="13"/>
  <c r="I2810" i="13"/>
  <c r="I2811" i="13"/>
  <c r="I2812" i="13"/>
  <c r="I2813" i="13"/>
  <c r="I2814" i="13"/>
  <c r="I2815" i="13"/>
  <c r="I2816" i="13"/>
  <c r="I2817" i="13"/>
  <c r="I2818" i="13"/>
  <c r="I2819" i="13"/>
  <c r="I2820" i="13"/>
  <c r="I2821" i="13"/>
  <c r="I2822" i="13"/>
  <c r="I2823" i="13"/>
  <c r="I2824" i="13"/>
  <c r="I2825" i="13"/>
  <c r="I2826" i="13"/>
  <c r="I2827" i="13"/>
  <c r="I2828" i="13"/>
  <c r="I2829" i="13"/>
  <c r="I2830" i="13"/>
  <c r="I2831" i="13"/>
  <c r="I2832" i="13"/>
  <c r="I2833" i="13"/>
  <c r="I2834" i="13"/>
  <c r="I2835" i="13"/>
  <c r="I2836" i="13"/>
  <c r="I2837" i="13"/>
  <c r="I2838" i="13"/>
  <c r="I2839" i="13"/>
  <c r="I2840" i="13"/>
  <c r="I2841" i="13"/>
  <c r="I2842" i="13"/>
  <c r="I2843" i="13"/>
  <c r="I2844" i="13"/>
  <c r="I2845" i="13"/>
  <c r="I2846" i="13"/>
  <c r="I2847" i="13"/>
  <c r="I2848" i="13"/>
  <c r="I2849" i="13"/>
  <c r="I2850" i="13"/>
  <c r="I2851" i="13"/>
  <c r="I2852" i="13"/>
  <c r="I2853" i="13"/>
  <c r="I2854" i="13"/>
  <c r="I2855" i="13"/>
  <c r="I2856" i="13"/>
  <c r="I2857" i="13"/>
  <c r="I2858" i="13"/>
  <c r="I2859" i="13"/>
  <c r="I2860" i="13"/>
  <c r="I2861" i="13"/>
  <c r="I2862" i="13"/>
  <c r="I2863" i="13"/>
  <c r="I2864" i="13"/>
  <c r="I2865" i="13"/>
  <c r="I2866" i="13"/>
  <c r="I2867" i="13"/>
  <c r="I2868" i="13"/>
  <c r="I2869" i="13"/>
  <c r="I2870" i="13"/>
  <c r="I2871" i="13"/>
  <c r="I2872" i="13"/>
  <c r="I2873" i="13"/>
  <c r="I2874" i="13"/>
  <c r="I2875" i="13"/>
  <c r="I2876" i="13"/>
  <c r="I2877" i="13"/>
  <c r="I2878" i="13"/>
  <c r="I2879" i="13"/>
  <c r="I2880" i="13"/>
  <c r="I2881" i="13"/>
  <c r="I2882" i="13"/>
  <c r="I2883" i="13"/>
  <c r="I2884" i="13"/>
  <c r="I2885" i="13"/>
  <c r="I2886" i="13"/>
  <c r="I2887" i="13"/>
  <c r="I2888" i="13"/>
  <c r="I2889" i="13"/>
  <c r="I2890" i="13"/>
  <c r="I2891" i="13"/>
  <c r="I2892" i="13"/>
  <c r="I2893" i="13"/>
  <c r="I2894" i="13"/>
  <c r="I2895" i="13"/>
  <c r="I2896" i="13"/>
  <c r="I2897" i="13"/>
  <c r="I2898" i="13"/>
  <c r="I2899" i="13"/>
  <c r="I2900" i="13"/>
  <c r="I2901" i="13"/>
  <c r="I2902" i="13"/>
  <c r="I2903" i="13"/>
  <c r="I2904" i="13"/>
  <c r="I2905" i="13"/>
  <c r="I2906" i="13"/>
  <c r="I2907" i="13"/>
  <c r="I2908" i="13"/>
  <c r="I2909" i="13"/>
  <c r="I2910" i="13"/>
  <c r="I2911" i="13"/>
  <c r="I2912" i="13"/>
  <c r="I2913" i="13"/>
  <c r="I2914" i="13"/>
  <c r="I2915" i="13"/>
  <c r="I2916" i="13"/>
  <c r="I2917" i="13"/>
  <c r="I2918" i="13"/>
  <c r="I2919" i="13"/>
  <c r="I2920" i="13"/>
  <c r="I2921" i="13"/>
  <c r="I2922" i="13"/>
  <c r="I2923" i="13"/>
  <c r="I2924" i="13"/>
  <c r="I2925" i="13"/>
  <c r="I2926" i="13"/>
  <c r="I2927" i="13"/>
  <c r="I2928" i="13"/>
  <c r="I2929" i="13"/>
  <c r="I2930" i="13"/>
  <c r="I2931" i="13"/>
  <c r="I2932" i="13"/>
  <c r="I2933" i="13"/>
  <c r="I2934" i="13"/>
  <c r="I2935" i="13"/>
  <c r="I2936" i="13"/>
  <c r="I2937" i="13"/>
  <c r="I2938" i="13"/>
  <c r="I2939" i="13"/>
  <c r="I2940" i="13"/>
  <c r="I2941" i="13"/>
  <c r="I2942" i="13"/>
  <c r="I2943" i="13"/>
  <c r="I2944" i="13"/>
  <c r="I2945" i="13"/>
  <c r="I2946" i="13"/>
  <c r="I2947" i="13"/>
  <c r="I2948" i="13"/>
  <c r="I2949" i="13"/>
  <c r="I2950" i="13"/>
  <c r="I2951" i="13"/>
  <c r="I2952" i="13"/>
  <c r="I2953" i="13"/>
  <c r="I2954" i="13"/>
  <c r="I2955" i="13"/>
  <c r="I2956" i="13"/>
  <c r="I2957" i="13"/>
  <c r="I2958" i="13"/>
  <c r="I2959" i="13"/>
  <c r="I2960" i="13"/>
  <c r="I2961" i="13"/>
  <c r="I2962" i="13"/>
  <c r="I2963" i="13"/>
  <c r="I2964" i="13"/>
  <c r="I2965" i="13"/>
  <c r="I2966" i="13"/>
  <c r="I2967" i="13"/>
  <c r="I2968" i="13"/>
  <c r="I2969" i="13"/>
  <c r="I2970" i="13"/>
  <c r="I2971" i="13"/>
  <c r="I2972" i="13"/>
  <c r="I2973" i="13"/>
  <c r="I2974" i="13"/>
  <c r="I2975" i="13"/>
  <c r="I2976" i="13"/>
  <c r="I2977" i="13"/>
  <c r="I2978" i="13"/>
  <c r="I2979" i="13"/>
  <c r="I2980" i="13"/>
  <c r="I2981" i="13"/>
  <c r="I2982" i="13"/>
  <c r="I2983" i="13"/>
  <c r="I2984" i="13"/>
  <c r="I2985" i="13"/>
  <c r="I2986" i="13"/>
  <c r="I2987" i="13"/>
  <c r="I2988" i="13"/>
  <c r="I2989" i="13"/>
  <c r="I2990" i="13"/>
  <c r="I2991" i="13"/>
  <c r="I2992" i="13"/>
  <c r="I2993" i="13"/>
  <c r="I2994" i="13"/>
  <c r="I2995" i="13"/>
  <c r="I2996" i="13"/>
  <c r="I2997" i="13"/>
  <c r="I2998" i="13"/>
  <c r="I2999" i="13"/>
  <c r="I3000" i="13"/>
  <c r="I3001" i="13"/>
  <c r="I3002" i="13"/>
  <c r="I3003" i="13"/>
  <c r="I3004" i="13"/>
  <c r="I3005" i="13"/>
  <c r="I3006" i="13"/>
  <c r="I3007" i="13"/>
  <c r="I3008" i="13"/>
  <c r="I3009" i="13"/>
  <c r="I3010" i="13"/>
  <c r="I3011" i="13"/>
  <c r="I3012" i="13"/>
  <c r="I3013" i="13"/>
  <c r="I3014" i="13"/>
  <c r="I3015" i="13"/>
  <c r="I3016" i="13"/>
  <c r="I3017" i="13"/>
  <c r="I3018" i="13"/>
  <c r="I3019" i="13"/>
  <c r="I3020" i="13"/>
  <c r="I3021" i="13"/>
  <c r="I3022" i="13"/>
  <c r="I3023" i="13"/>
  <c r="I3024" i="13"/>
  <c r="I3025" i="13"/>
  <c r="I3026" i="13"/>
  <c r="I3027" i="13"/>
  <c r="I3028" i="13"/>
  <c r="I3029" i="13"/>
  <c r="I3030" i="13"/>
  <c r="I3031" i="13"/>
  <c r="I3032" i="13"/>
  <c r="I3033" i="13"/>
  <c r="I3034" i="13"/>
  <c r="I3035" i="13"/>
  <c r="I3036" i="13"/>
  <c r="I3037" i="13"/>
  <c r="I3038" i="13"/>
  <c r="I3039" i="13"/>
  <c r="I3040" i="13"/>
  <c r="I3041" i="13"/>
  <c r="I3042" i="13"/>
  <c r="I3043" i="13"/>
  <c r="I3044" i="13"/>
  <c r="I3045" i="13"/>
  <c r="I3046" i="13"/>
  <c r="I3047" i="13"/>
  <c r="I3048" i="13"/>
  <c r="I3049" i="13"/>
  <c r="I3050" i="13"/>
  <c r="I3051" i="13"/>
  <c r="I3052" i="13"/>
  <c r="I3053" i="13"/>
  <c r="I3054" i="13"/>
  <c r="I3055" i="13"/>
  <c r="I3056" i="13"/>
  <c r="I3057" i="13"/>
  <c r="I3058" i="13"/>
  <c r="I3059" i="13"/>
  <c r="I3060" i="13"/>
  <c r="I3061" i="13"/>
  <c r="I3062" i="13"/>
  <c r="I3063" i="13"/>
  <c r="I3064" i="13"/>
  <c r="I3065" i="13"/>
  <c r="I3066" i="13"/>
  <c r="I3067" i="13"/>
  <c r="I3068" i="13"/>
  <c r="I3069" i="13"/>
  <c r="I3070" i="13"/>
  <c r="I3071" i="13"/>
  <c r="I3072" i="13"/>
  <c r="I3073" i="13"/>
  <c r="I3074" i="13"/>
  <c r="I3075" i="13"/>
  <c r="I3076" i="13"/>
  <c r="I3077" i="13"/>
  <c r="I3078" i="13"/>
  <c r="I3079" i="13"/>
  <c r="I3080" i="13"/>
  <c r="I3081" i="13"/>
  <c r="I3082" i="13"/>
  <c r="I3083" i="13"/>
  <c r="I3084" i="13"/>
  <c r="I3085" i="13"/>
  <c r="I3086" i="13"/>
  <c r="I3087" i="13"/>
  <c r="I3088" i="13"/>
  <c r="I3089" i="13"/>
  <c r="I3090" i="13"/>
  <c r="I3091" i="13"/>
  <c r="I3092" i="13"/>
  <c r="I3093" i="13"/>
  <c r="I3094" i="13"/>
  <c r="I3095" i="13"/>
  <c r="I3096" i="13"/>
  <c r="I3097" i="13"/>
  <c r="I3098" i="13"/>
  <c r="I3099" i="13"/>
  <c r="I3100" i="13"/>
  <c r="I3101" i="13"/>
  <c r="I3102" i="13"/>
  <c r="I3103" i="13"/>
  <c r="I3104" i="13"/>
  <c r="I3105" i="13"/>
  <c r="I3106" i="13"/>
  <c r="I3107" i="13"/>
  <c r="I3108" i="13"/>
  <c r="I3109" i="13"/>
  <c r="I3110" i="13"/>
  <c r="I3111" i="13"/>
  <c r="I3112" i="13"/>
  <c r="I3113" i="13"/>
  <c r="I3114" i="13"/>
  <c r="I3115" i="13"/>
  <c r="I3116" i="13"/>
  <c r="I3117" i="13"/>
  <c r="I3118" i="13"/>
  <c r="I3119" i="13"/>
  <c r="I3120" i="13"/>
  <c r="I3121" i="13"/>
  <c r="I3122" i="13"/>
  <c r="I3123" i="13"/>
  <c r="I3124" i="13"/>
  <c r="I3125" i="13"/>
  <c r="I3126" i="13"/>
  <c r="I3127" i="13"/>
  <c r="I3128" i="13"/>
  <c r="I3129" i="13"/>
  <c r="I3130" i="13"/>
  <c r="I3131" i="13"/>
  <c r="I3132" i="13"/>
  <c r="I3133" i="13"/>
  <c r="I3134" i="13"/>
  <c r="I3135" i="13"/>
  <c r="I3136" i="13"/>
  <c r="I3137" i="13"/>
  <c r="I3138" i="13"/>
  <c r="I3139" i="13"/>
  <c r="I3140" i="13"/>
  <c r="I3141" i="13"/>
  <c r="I3142" i="13"/>
  <c r="I3143" i="13"/>
  <c r="I3144" i="13"/>
  <c r="I3145" i="13"/>
  <c r="I3146" i="13"/>
  <c r="I3147" i="13"/>
  <c r="I3148" i="13"/>
  <c r="I3149" i="13"/>
  <c r="I3150" i="13"/>
  <c r="I3151" i="13"/>
  <c r="I3152" i="13"/>
  <c r="I3153" i="13"/>
  <c r="I3154" i="13"/>
  <c r="I3155" i="13"/>
  <c r="I3156" i="13"/>
  <c r="I3157" i="13"/>
  <c r="I3158" i="13"/>
  <c r="I3159" i="13"/>
  <c r="I3160" i="13"/>
  <c r="I3161" i="13"/>
  <c r="I3162" i="13"/>
  <c r="I3163" i="13"/>
  <c r="I3164" i="13"/>
  <c r="I3165" i="13"/>
  <c r="I3166" i="13"/>
  <c r="I3167" i="13"/>
  <c r="I3168" i="13"/>
  <c r="I3169" i="13"/>
  <c r="I3170" i="13"/>
  <c r="I3171" i="13"/>
  <c r="I3172" i="13"/>
  <c r="I3173" i="13"/>
  <c r="I3174" i="13"/>
  <c r="I3175" i="13"/>
  <c r="I3176" i="13"/>
  <c r="I3177" i="13"/>
  <c r="I3178" i="13"/>
  <c r="I3179" i="13"/>
  <c r="I3180" i="13"/>
  <c r="I3181" i="13"/>
  <c r="I3182" i="13"/>
  <c r="I3183" i="13"/>
  <c r="I3184" i="13"/>
  <c r="I3185" i="13"/>
  <c r="I3186" i="13"/>
  <c r="I3187" i="13"/>
  <c r="I3188" i="13"/>
  <c r="I3189" i="13"/>
  <c r="I3190" i="13"/>
  <c r="I3191" i="13"/>
  <c r="I3192" i="13"/>
  <c r="I3193" i="13"/>
  <c r="I3194" i="13"/>
  <c r="I3195" i="13"/>
  <c r="I3196" i="13"/>
  <c r="I3197" i="13"/>
  <c r="I3198" i="13"/>
  <c r="I3199" i="13"/>
  <c r="I3200" i="13"/>
  <c r="I3201" i="13"/>
  <c r="I3202" i="13"/>
  <c r="I3203" i="13"/>
  <c r="I3204" i="13"/>
  <c r="I3205" i="13"/>
  <c r="I3206" i="13"/>
  <c r="I3207" i="13"/>
  <c r="I3208" i="13"/>
  <c r="I3209" i="13"/>
  <c r="I3210" i="13"/>
  <c r="I3211" i="13"/>
  <c r="I3212" i="13"/>
  <c r="I3213" i="13"/>
  <c r="I3214" i="13"/>
  <c r="I3215" i="13"/>
  <c r="I3216" i="13"/>
  <c r="I3217" i="13"/>
  <c r="I3218" i="13"/>
  <c r="I3219" i="13"/>
  <c r="I3220" i="13"/>
  <c r="I3221" i="13"/>
  <c r="I3222" i="13"/>
  <c r="I3223" i="13"/>
  <c r="I3224" i="13"/>
  <c r="I3225" i="13"/>
  <c r="I3226" i="13"/>
  <c r="I3227" i="13"/>
  <c r="I3228" i="13"/>
  <c r="I3229" i="13"/>
  <c r="I3230" i="13"/>
  <c r="I3231" i="13"/>
  <c r="I3232" i="13"/>
  <c r="I3233" i="13"/>
  <c r="I3234" i="13"/>
  <c r="I3235" i="13"/>
  <c r="I3236" i="13"/>
  <c r="I3237" i="13"/>
  <c r="I3238" i="13"/>
  <c r="I3239" i="13"/>
  <c r="I3240" i="13"/>
  <c r="I3241" i="13"/>
  <c r="I3242" i="13"/>
  <c r="I3243" i="13"/>
  <c r="I3244" i="13"/>
  <c r="I3245" i="13"/>
  <c r="I3246" i="13"/>
  <c r="I3247" i="13"/>
  <c r="I3248" i="13"/>
  <c r="I3249" i="13"/>
  <c r="I3250" i="13"/>
  <c r="I3251" i="13"/>
  <c r="I3252" i="13"/>
  <c r="I3253" i="13"/>
  <c r="I3254" i="13"/>
  <c r="I3255" i="13"/>
  <c r="I3256" i="13"/>
  <c r="I3257" i="13"/>
  <c r="I3258" i="13"/>
  <c r="I3259" i="13"/>
  <c r="I3260" i="13"/>
  <c r="I3261" i="13"/>
  <c r="I3262" i="13"/>
  <c r="I3263" i="13"/>
  <c r="I3264" i="13"/>
  <c r="I3265" i="13"/>
  <c r="I3266" i="13"/>
  <c r="I3267" i="13"/>
  <c r="I3268" i="13"/>
  <c r="I3269" i="13"/>
  <c r="I3270" i="13"/>
  <c r="I3271" i="13"/>
  <c r="I3272" i="13"/>
  <c r="I3273" i="13"/>
  <c r="I3274" i="13"/>
  <c r="I3275" i="13"/>
  <c r="I3276" i="13"/>
  <c r="I3277" i="13"/>
  <c r="I3278" i="13"/>
  <c r="I3279" i="13"/>
  <c r="I3280" i="13"/>
  <c r="I3281" i="13"/>
  <c r="I3282" i="13"/>
  <c r="I3283" i="13"/>
  <c r="I3284" i="13"/>
  <c r="I3285" i="13"/>
  <c r="I3286" i="13"/>
  <c r="I3287" i="13"/>
  <c r="I3288" i="13"/>
  <c r="I3289" i="13"/>
  <c r="I3290" i="13"/>
  <c r="I3291" i="13"/>
  <c r="I3292" i="13"/>
  <c r="I3293" i="13"/>
  <c r="I3294" i="13"/>
  <c r="I3295" i="13"/>
  <c r="I3296" i="13"/>
  <c r="I3297" i="13"/>
  <c r="I3298" i="13"/>
  <c r="I3299" i="13"/>
  <c r="I3300" i="13"/>
  <c r="I3301" i="13"/>
  <c r="I3302" i="13"/>
  <c r="I3303" i="13"/>
  <c r="I3304" i="13"/>
  <c r="I3305" i="13"/>
  <c r="I3306" i="13"/>
  <c r="I3307" i="13"/>
  <c r="I3308" i="13"/>
  <c r="I3309" i="13"/>
  <c r="I3310" i="13"/>
  <c r="I3311" i="13"/>
  <c r="I3312" i="13"/>
  <c r="I3313" i="13"/>
  <c r="I3314" i="13"/>
  <c r="I3315" i="13"/>
  <c r="I3316" i="13"/>
  <c r="I3317" i="13"/>
  <c r="I3318" i="13"/>
  <c r="I3319" i="13"/>
  <c r="I3320" i="13"/>
  <c r="I3321" i="13"/>
  <c r="I3322" i="13"/>
  <c r="I3323" i="13"/>
  <c r="I3324" i="13"/>
  <c r="I3325" i="13"/>
  <c r="I3326" i="13"/>
  <c r="I3327" i="13"/>
  <c r="I3328" i="13"/>
  <c r="I3329" i="13"/>
  <c r="I3330" i="13"/>
  <c r="I3331" i="13"/>
  <c r="I3332" i="13"/>
  <c r="I3333" i="13"/>
  <c r="I3334" i="13"/>
  <c r="I3335" i="13"/>
  <c r="I3336" i="13"/>
  <c r="I3337" i="13"/>
  <c r="I3338" i="13"/>
  <c r="I3339" i="13"/>
  <c r="I3340" i="13"/>
  <c r="I3341" i="13"/>
  <c r="I3342" i="13"/>
  <c r="I3343" i="13"/>
  <c r="I3344" i="13"/>
  <c r="I3345" i="13"/>
  <c r="I3346" i="13"/>
  <c r="I3347" i="13"/>
  <c r="I3348" i="13"/>
  <c r="I3349" i="13"/>
  <c r="I3350" i="13"/>
  <c r="I3351" i="13"/>
  <c r="I3352" i="13"/>
  <c r="I3353" i="13"/>
  <c r="I3354" i="13"/>
  <c r="I3355" i="13"/>
  <c r="I3356" i="13"/>
  <c r="I3357" i="13"/>
  <c r="I3358" i="13"/>
  <c r="I3359" i="13"/>
  <c r="I3360" i="13"/>
  <c r="I3361" i="13"/>
  <c r="I3362" i="13"/>
  <c r="I3363" i="13"/>
  <c r="I3364" i="13"/>
  <c r="I3365" i="13"/>
  <c r="I3366" i="13"/>
  <c r="I3367" i="13"/>
  <c r="I3368" i="13"/>
  <c r="I3369" i="13"/>
  <c r="I3370" i="13"/>
  <c r="I3371" i="13"/>
  <c r="I3372" i="13"/>
  <c r="I3373" i="13"/>
  <c r="I3374" i="13"/>
  <c r="I3375" i="13"/>
  <c r="I3376" i="13"/>
  <c r="I3377" i="13"/>
  <c r="I3378" i="13"/>
  <c r="I3379" i="13"/>
  <c r="I3380" i="13"/>
  <c r="I3381" i="13"/>
  <c r="I3382" i="13"/>
  <c r="I3383" i="13"/>
  <c r="I3384" i="13"/>
  <c r="I3385" i="13"/>
  <c r="I3386" i="13"/>
  <c r="I3387" i="13"/>
  <c r="I3388" i="13"/>
  <c r="I3389" i="13"/>
  <c r="I3390" i="13"/>
  <c r="I3391" i="13"/>
  <c r="I3392" i="13"/>
  <c r="I3393" i="13"/>
  <c r="I3394" i="13"/>
  <c r="I3395" i="13"/>
  <c r="I3396" i="13"/>
  <c r="I3397" i="13"/>
  <c r="I3398" i="13"/>
  <c r="I3399" i="13"/>
  <c r="I3400" i="13"/>
  <c r="I3401" i="13"/>
  <c r="I3402" i="13"/>
  <c r="I3403" i="13"/>
  <c r="I3404" i="13"/>
  <c r="I3405" i="13"/>
  <c r="I3406" i="13"/>
  <c r="I3407" i="13"/>
  <c r="I3408" i="13"/>
  <c r="I3409" i="13"/>
  <c r="I3410" i="13"/>
  <c r="I3411" i="13"/>
  <c r="I3412" i="13"/>
  <c r="I3413" i="13"/>
  <c r="I3414" i="13"/>
  <c r="I3415" i="13"/>
  <c r="I3416" i="13"/>
  <c r="I3417" i="13"/>
  <c r="I3418" i="13"/>
  <c r="I3419" i="13"/>
  <c r="I3420" i="13"/>
  <c r="I3421" i="13"/>
  <c r="I3422" i="13"/>
  <c r="I3423" i="13"/>
  <c r="I3424" i="13"/>
  <c r="I3425" i="13"/>
  <c r="I3426" i="13"/>
  <c r="I3427" i="13"/>
  <c r="I3428" i="13"/>
  <c r="I3429" i="13"/>
  <c r="I3430" i="13"/>
  <c r="I3431" i="13"/>
  <c r="I3432" i="13"/>
  <c r="I3433" i="13"/>
  <c r="I3434" i="13"/>
  <c r="I3435" i="13"/>
  <c r="I3436" i="13"/>
  <c r="I3437" i="13"/>
  <c r="I3438" i="13"/>
  <c r="I3439" i="13"/>
  <c r="I3440" i="13"/>
  <c r="I3441" i="13"/>
  <c r="I3442" i="13"/>
  <c r="I3443" i="13"/>
  <c r="I3444" i="13"/>
  <c r="I3445" i="13"/>
  <c r="I3446" i="13"/>
  <c r="I3447" i="13"/>
  <c r="I3448" i="13"/>
  <c r="I3449" i="13"/>
  <c r="I3450" i="13"/>
  <c r="I3451" i="13"/>
  <c r="I3452" i="13"/>
  <c r="I3453" i="13"/>
  <c r="I3454" i="13"/>
  <c r="I3455" i="13"/>
  <c r="I3456" i="13"/>
  <c r="I3457" i="13"/>
  <c r="I3458" i="13"/>
  <c r="I3459" i="13"/>
  <c r="I3460" i="13"/>
  <c r="I3461" i="13"/>
  <c r="I3462" i="13"/>
  <c r="I3463" i="13"/>
  <c r="I3464" i="13"/>
  <c r="I3465" i="13"/>
  <c r="I3466" i="13"/>
  <c r="I3467" i="13"/>
  <c r="I3468" i="13"/>
  <c r="I3469" i="13"/>
  <c r="I3470" i="13"/>
  <c r="I3471" i="13"/>
  <c r="I3472" i="13"/>
  <c r="I3473" i="13"/>
  <c r="I3474" i="13"/>
  <c r="I3475" i="13"/>
  <c r="I3476" i="13"/>
  <c r="I3477" i="13"/>
  <c r="I3478" i="13"/>
  <c r="I3479" i="13"/>
  <c r="I3480" i="13"/>
  <c r="I3481" i="13"/>
  <c r="I3482" i="13"/>
  <c r="I3483" i="13"/>
  <c r="I3484" i="13"/>
  <c r="I3485" i="13"/>
  <c r="I3486" i="13"/>
  <c r="I3487" i="13"/>
  <c r="I3488" i="13"/>
  <c r="I3489" i="13"/>
  <c r="I3490" i="13"/>
  <c r="I3491" i="13"/>
  <c r="I3492" i="13"/>
  <c r="I3493" i="13"/>
  <c r="I3494" i="13"/>
  <c r="I3495" i="13"/>
  <c r="I3496" i="13"/>
  <c r="I3497" i="13"/>
  <c r="I3498" i="13"/>
  <c r="I3499" i="13"/>
  <c r="I3500" i="13"/>
  <c r="I3501" i="13"/>
  <c r="I3502" i="13"/>
  <c r="I3503" i="13"/>
  <c r="I3504" i="13"/>
  <c r="I3505" i="13"/>
  <c r="I3506" i="13"/>
  <c r="I3507" i="13"/>
  <c r="I3508" i="13"/>
  <c r="I3509" i="13"/>
  <c r="I3510" i="13"/>
  <c r="I3511" i="13"/>
  <c r="I3512" i="13"/>
  <c r="I3513" i="13"/>
  <c r="I3514" i="13"/>
  <c r="I3515" i="13"/>
  <c r="I3516" i="13"/>
  <c r="I3517" i="13"/>
  <c r="I3518" i="13"/>
  <c r="I3519" i="13"/>
  <c r="I3520" i="13"/>
  <c r="I3521" i="13"/>
  <c r="I3522" i="13"/>
  <c r="I3523" i="13"/>
  <c r="I3524" i="13"/>
  <c r="I3525" i="13"/>
  <c r="I3526" i="13"/>
  <c r="I3527" i="13"/>
  <c r="I3528" i="13"/>
  <c r="I3529" i="13"/>
  <c r="I3530" i="13"/>
  <c r="I3531" i="13"/>
  <c r="I3532" i="13"/>
  <c r="I3533" i="13"/>
  <c r="I3534" i="13"/>
  <c r="I3535" i="13"/>
  <c r="I3536" i="13"/>
  <c r="I3537" i="13"/>
  <c r="I3538" i="13"/>
  <c r="I3539" i="13"/>
  <c r="I3540" i="13"/>
  <c r="I3541" i="13"/>
  <c r="I3542" i="13"/>
  <c r="I3543" i="13"/>
  <c r="I3544" i="13"/>
  <c r="I3545" i="13"/>
  <c r="I3546" i="13"/>
  <c r="I3547" i="13"/>
  <c r="I3548" i="13"/>
  <c r="I3549" i="13"/>
  <c r="I3550" i="13"/>
  <c r="I3551" i="13"/>
  <c r="I3552" i="13"/>
  <c r="I3553" i="13"/>
  <c r="I3554" i="13"/>
  <c r="I3555" i="13"/>
  <c r="I3556" i="13"/>
  <c r="I3557" i="13"/>
  <c r="I3558" i="13"/>
  <c r="I3559" i="13"/>
  <c r="I3560" i="13"/>
  <c r="I3561" i="13"/>
  <c r="I3562" i="13"/>
  <c r="I3563" i="13"/>
  <c r="I3564" i="13"/>
  <c r="I3565" i="13"/>
  <c r="I3566" i="13"/>
  <c r="I3567" i="13"/>
  <c r="I3568" i="13"/>
  <c r="I3569" i="13"/>
  <c r="I3570" i="13"/>
  <c r="I3571" i="13"/>
  <c r="I3572" i="13"/>
  <c r="I3573" i="13"/>
  <c r="I3574" i="13"/>
  <c r="I3575" i="13"/>
  <c r="I3576" i="13"/>
  <c r="I3577" i="13"/>
  <c r="I3578" i="13"/>
  <c r="I3579" i="13"/>
  <c r="I3580" i="13"/>
  <c r="I3581" i="13"/>
  <c r="I3582" i="13"/>
  <c r="I3583" i="13"/>
  <c r="I3584" i="13"/>
  <c r="I3585" i="13"/>
  <c r="I3586" i="13"/>
  <c r="I3587" i="13"/>
  <c r="I3588" i="13"/>
  <c r="I3589" i="13"/>
  <c r="I3590" i="13"/>
  <c r="I3591" i="13"/>
  <c r="I3592" i="13"/>
  <c r="I3593" i="13"/>
  <c r="I3594" i="13"/>
  <c r="I3595" i="13"/>
  <c r="I3596" i="13"/>
  <c r="I3597" i="13"/>
  <c r="I3598" i="13"/>
  <c r="I3599" i="13"/>
  <c r="I3600" i="13"/>
  <c r="I3601" i="13"/>
  <c r="I3602" i="13"/>
  <c r="I3603" i="13"/>
  <c r="I3604" i="13"/>
  <c r="I3605" i="13"/>
  <c r="I3606" i="13"/>
  <c r="I3607" i="13"/>
  <c r="I3608" i="13"/>
  <c r="I3609" i="13"/>
  <c r="I3610" i="13"/>
  <c r="I3611" i="13"/>
  <c r="I3612" i="13"/>
  <c r="I3613" i="13"/>
  <c r="I3614" i="13"/>
  <c r="I3615" i="13"/>
  <c r="I3616" i="13"/>
  <c r="I3617" i="13"/>
  <c r="I3618" i="13"/>
  <c r="I3619" i="13"/>
  <c r="I3620" i="13"/>
  <c r="I3621" i="13"/>
  <c r="I3622" i="13"/>
  <c r="I3623" i="13"/>
  <c r="I3624" i="13"/>
  <c r="I3625" i="13"/>
  <c r="I3626" i="13"/>
  <c r="I3627" i="13"/>
  <c r="I3628" i="13"/>
  <c r="I3629" i="13"/>
  <c r="I3630" i="13"/>
  <c r="I3631" i="13"/>
  <c r="I3632" i="13"/>
  <c r="I3633" i="13"/>
  <c r="I3634" i="13"/>
  <c r="I3635" i="13"/>
  <c r="I3636" i="13"/>
  <c r="I3637" i="13"/>
  <c r="I3638" i="13"/>
  <c r="I3639" i="13"/>
  <c r="I3640" i="13"/>
  <c r="I3641" i="13"/>
  <c r="I3642" i="13"/>
  <c r="I3643" i="13"/>
  <c r="I3644" i="13"/>
  <c r="I3645" i="13"/>
  <c r="I3646" i="13"/>
  <c r="I3647" i="13"/>
  <c r="I3648" i="13"/>
  <c r="I3649" i="13"/>
  <c r="I3650" i="13"/>
  <c r="I3651" i="13"/>
  <c r="I3652" i="13"/>
  <c r="I3653" i="13"/>
  <c r="I3654" i="13"/>
  <c r="I3655" i="13"/>
  <c r="I3656" i="13"/>
  <c r="I3657" i="13"/>
  <c r="I3658" i="13"/>
  <c r="I3659" i="13"/>
  <c r="I3660" i="13"/>
  <c r="I3661" i="13"/>
  <c r="I3662" i="13"/>
  <c r="I3663" i="13"/>
  <c r="I3664" i="13"/>
  <c r="I3665" i="13"/>
  <c r="I3666" i="13"/>
  <c r="I3667" i="13"/>
  <c r="I3668" i="13"/>
  <c r="I3669" i="13"/>
  <c r="I3670" i="13"/>
  <c r="I3671" i="13"/>
  <c r="I3672" i="13"/>
  <c r="I3673" i="13"/>
  <c r="I3674" i="13"/>
  <c r="I3675" i="13"/>
  <c r="I3676" i="13"/>
  <c r="I3677" i="13"/>
  <c r="I3678" i="13"/>
  <c r="I3679" i="13"/>
  <c r="I3680" i="13"/>
  <c r="I3681" i="13"/>
  <c r="I3682" i="13"/>
  <c r="I3683" i="13"/>
  <c r="I3684" i="13"/>
  <c r="I3685" i="13"/>
  <c r="I3686" i="13"/>
  <c r="I3687" i="13"/>
  <c r="I3688" i="13"/>
  <c r="I3689" i="13"/>
  <c r="I3690" i="13"/>
  <c r="I3691" i="13"/>
  <c r="I3692" i="13"/>
  <c r="I3693" i="13"/>
  <c r="I3694" i="13"/>
  <c r="I3695" i="13"/>
  <c r="I3696" i="13"/>
  <c r="I3697" i="13"/>
  <c r="I3698" i="13"/>
  <c r="I3699" i="13"/>
  <c r="I3700" i="13"/>
  <c r="I3701" i="13"/>
  <c r="I3702" i="13"/>
  <c r="I3703" i="13"/>
  <c r="I3704" i="13"/>
  <c r="I3705" i="13"/>
  <c r="I3706" i="13"/>
  <c r="I3707" i="13"/>
  <c r="I3708" i="13"/>
  <c r="I3709" i="13"/>
  <c r="I3710" i="13"/>
  <c r="I3711" i="13"/>
  <c r="I3712" i="13"/>
  <c r="I3713" i="13"/>
  <c r="I3714" i="13"/>
  <c r="I3715" i="13"/>
  <c r="I3716" i="13"/>
  <c r="I3717" i="13"/>
  <c r="I3718" i="13"/>
  <c r="I3719" i="13"/>
  <c r="I3720" i="13"/>
  <c r="I3721" i="13"/>
  <c r="I3722" i="13"/>
  <c r="I3723" i="13"/>
  <c r="I3724" i="13"/>
  <c r="I3725" i="13"/>
  <c r="I3726" i="13"/>
  <c r="I3727" i="13"/>
  <c r="I3728" i="13"/>
  <c r="I3729" i="13"/>
  <c r="I3730" i="13"/>
  <c r="I3731" i="13"/>
  <c r="I3732" i="13"/>
  <c r="I3733" i="13"/>
  <c r="I3734" i="13"/>
  <c r="I3735" i="13"/>
  <c r="I3736" i="13"/>
  <c r="I3737" i="13"/>
  <c r="I3738" i="13"/>
  <c r="I3739" i="13"/>
  <c r="I3740" i="13"/>
  <c r="I3741" i="13"/>
  <c r="I3742" i="13"/>
  <c r="I3743" i="13"/>
  <c r="I3744" i="13"/>
  <c r="I3745" i="13"/>
  <c r="I3746" i="13"/>
  <c r="I3747" i="13"/>
  <c r="I3748" i="13"/>
  <c r="I3749" i="13"/>
  <c r="I3750" i="13"/>
  <c r="I3751" i="13"/>
  <c r="I3752" i="13"/>
  <c r="I3753" i="13"/>
  <c r="I3754" i="13"/>
  <c r="I3755" i="13"/>
  <c r="I3756" i="13"/>
  <c r="I3757" i="13"/>
  <c r="I3758" i="13"/>
  <c r="I3759" i="13"/>
  <c r="I3760" i="13"/>
  <c r="I3761" i="13"/>
  <c r="I3762" i="13"/>
  <c r="I3763" i="13"/>
  <c r="I3764" i="13"/>
  <c r="I3765" i="13"/>
  <c r="I3766" i="13"/>
  <c r="I3767" i="13"/>
  <c r="I3768" i="13"/>
  <c r="I3769" i="13"/>
  <c r="I3770" i="13"/>
  <c r="I3771" i="13"/>
  <c r="I3772" i="13"/>
  <c r="I3773" i="13"/>
  <c r="I3774" i="13"/>
  <c r="I3775" i="13"/>
  <c r="I3776" i="13"/>
  <c r="I3777" i="13"/>
  <c r="I3778" i="13"/>
  <c r="I3779" i="13"/>
  <c r="I3780" i="13"/>
  <c r="I3781" i="13"/>
  <c r="I3782" i="13"/>
  <c r="I3783" i="13"/>
  <c r="I3784" i="13"/>
  <c r="I3785" i="13"/>
  <c r="I3786" i="13"/>
  <c r="I3787" i="13"/>
  <c r="I3788" i="13"/>
  <c r="I3789" i="13"/>
  <c r="I3790" i="13"/>
  <c r="I3791" i="13"/>
  <c r="I3792" i="13"/>
  <c r="I3793" i="13"/>
  <c r="I3794" i="13"/>
  <c r="I3795" i="13"/>
  <c r="I3796" i="13"/>
  <c r="I3797" i="13"/>
  <c r="I3798" i="13"/>
  <c r="I3799" i="13"/>
  <c r="I3800" i="13"/>
  <c r="I3801" i="13"/>
  <c r="I3802" i="13"/>
  <c r="I3803" i="13"/>
  <c r="I3804" i="13"/>
  <c r="I3805" i="13"/>
  <c r="I3806" i="13"/>
  <c r="I3807" i="13"/>
  <c r="I3808" i="13"/>
  <c r="I3809" i="13"/>
  <c r="I3810" i="13"/>
  <c r="I3811" i="13"/>
  <c r="I3812" i="13"/>
  <c r="I3813" i="13"/>
  <c r="I3814" i="13"/>
  <c r="I3815" i="13"/>
  <c r="I3816" i="13"/>
  <c r="I3817" i="13"/>
  <c r="I3818" i="13"/>
  <c r="I3819" i="13"/>
  <c r="I3820" i="13"/>
  <c r="I3821" i="13"/>
  <c r="I3822" i="13"/>
  <c r="I3823" i="13"/>
  <c r="I3824" i="13"/>
  <c r="I3825" i="13"/>
  <c r="I3826" i="13"/>
  <c r="I3827" i="13"/>
  <c r="I3828" i="13"/>
  <c r="I3829" i="13"/>
  <c r="I3830" i="13"/>
  <c r="I3831" i="13"/>
  <c r="I3832" i="13"/>
  <c r="I3833" i="13"/>
  <c r="I3834" i="13"/>
  <c r="I3835" i="13"/>
  <c r="I3836" i="13"/>
  <c r="I3837" i="13"/>
  <c r="I3838" i="13"/>
  <c r="I3839" i="13"/>
  <c r="I3840" i="13"/>
  <c r="I3841" i="13"/>
  <c r="I3842" i="13"/>
  <c r="I3843" i="13"/>
  <c r="I3844" i="13"/>
  <c r="I3845" i="13"/>
  <c r="I3846" i="13"/>
  <c r="I3847" i="13"/>
  <c r="I3848" i="13"/>
  <c r="I3849" i="13"/>
  <c r="I3850" i="13"/>
  <c r="I3851" i="13"/>
  <c r="I3852" i="13"/>
  <c r="I3853" i="13"/>
  <c r="I3854" i="13"/>
  <c r="I3855" i="13"/>
  <c r="I3856" i="13"/>
  <c r="I3857" i="13"/>
  <c r="I3858" i="13"/>
  <c r="I3859" i="13"/>
  <c r="I3860" i="13"/>
  <c r="I3861" i="13"/>
  <c r="I3862" i="13"/>
  <c r="I3863" i="13"/>
  <c r="I3864" i="13"/>
  <c r="I3865" i="13"/>
  <c r="I3866" i="13"/>
  <c r="I3867" i="13"/>
  <c r="I3868" i="13"/>
  <c r="I3869" i="13"/>
  <c r="I3870" i="13"/>
  <c r="I3871" i="13"/>
  <c r="I3872" i="13"/>
  <c r="I3873" i="13"/>
  <c r="I3874" i="13"/>
  <c r="I3875" i="13"/>
  <c r="I3876" i="13"/>
  <c r="I3877" i="13"/>
  <c r="I3878" i="13"/>
  <c r="I3879" i="13"/>
  <c r="I3880" i="13"/>
  <c r="I3881" i="13"/>
  <c r="I3882" i="13"/>
  <c r="I3883" i="13"/>
  <c r="I3884" i="13"/>
  <c r="I3885" i="13"/>
  <c r="I3886" i="13"/>
  <c r="I3887" i="13"/>
  <c r="I3888" i="13"/>
  <c r="I3889" i="13"/>
  <c r="I3890" i="13"/>
  <c r="I3891" i="13"/>
  <c r="I3892" i="13"/>
  <c r="I3893" i="13"/>
  <c r="I3894" i="13"/>
  <c r="I3895" i="13"/>
  <c r="I3896" i="13"/>
  <c r="I3897" i="13"/>
  <c r="I3898" i="13"/>
  <c r="I3899" i="13"/>
  <c r="I3900" i="13"/>
  <c r="I3901" i="13"/>
  <c r="I3902" i="13"/>
  <c r="I3903" i="13"/>
  <c r="I3904" i="13"/>
  <c r="I3905" i="13"/>
  <c r="I3906" i="13"/>
  <c r="I3907" i="13"/>
  <c r="I3908" i="13"/>
  <c r="I3909" i="13"/>
  <c r="I3910" i="13"/>
  <c r="I3911" i="13"/>
  <c r="I3912" i="13"/>
  <c r="I3913" i="13"/>
  <c r="I3914" i="13"/>
  <c r="I3915" i="13"/>
  <c r="I3916" i="13"/>
  <c r="I3917" i="13"/>
  <c r="I3918" i="13"/>
  <c r="I3919" i="13"/>
  <c r="I3920" i="13"/>
  <c r="I3921" i="13"/>
  <c r="I3922" i="13"/>
  <c r="I3923" i="13"/>
  <c r="I3924" i="13"/>
  <c r="I3925" i="13"/>
  <c r="I3926" i="13"/>
  <c r="I3927" i="13"/>
  <c r="I3928" i="13"/>
  <c r="I3929" i="13"/>
  <c r="I3930" i="13"/>
  <c r="I3931" i="13"/>
  <c r="I3932" i="13"/>
  <c r="I3933" i="13"/>
  <c r="I3934" i="13"/>
  <c r="I3935" i="13"/>
  <c r="I3936" i="13"/>
  <c r="I3937" i="13"/>
  <c r="I3938" i="13"/>
  <c r="I3939" i="13"/>
  <c r="I3940" i="13"/>
  <c r="I3941" i="13"/>
  <c r="I3942" i="13"/>
  <c r="I3943" i="13"/>
  <c r="I3944" i="13"/>
  <c r="I3945" i="13"/>
  <c r="I3946" i="13"/>
  <c r="I3947" i="13"/>
  <c r="I3948" i="13"/>
  <c r="I3949" i="13"/>
  <c r="I3950" i="13"/>
  <c r="I3951" i="13"/>
  <c r="I3952" i="13"/>
  <c r="I3953" i="13"/>
  <c r="I3954" i="13"/>
  <c r="I3955" i="13"/>
  <c r="I3956" i="13"/>
  <c r="I3957" i="13"/>
  <c r="I3958" i="13"/>
  <c r="I3959" i="13"/>
  <c r="I3960" i="13"/>
  <c r="I3961" i="13"/>
  <c r="I3962" i="13"/>
  <c r="I3963" i="13"/>
  <c r="I3964" i="13"/>
  <c r="I3965" i="13"/>
  <c r="I3966" i="13"/>
  <c r="I3967" i="13"/>
  <c r="I3968" i="13"/>
  <c r="I3969" i="13"/>
  <c r="I3970" i="13"/>
  <c r="I3971" i="13"/>
  <c r="I3972" i="13"/>
  <c r="I3973" i="13"/>
  <c r="I3974" i="13"/>
  <c r="I3975" i="13"/>
  <c r="I3976" i="13"/>
  <c r="I3977" i="13"/>
  <c r="I3978" i="13"/>
  <c r="I3979" i="13"/>
  <c r="I3980" i="13"/>
  <c r="I3981" i="13"/>
  <c r="I3982" i="13"/>
  <c r="I3983" i="13"/>
  <c r="I3984" i="13"/>
  <c r="I3985" i="13"/>
  <c r="I3986" i="13"/>
  <c r="I3987" i="13"/>
  <c r="I3988" i="13"/>
  <c r="I3989" i="13"/>
  <c r="I3990" i="13"/>
  <c r="I3991" i="13"/>
  <c r="I3992" i="13"/>
  <c r="I3993" i="13"/>
  <c r="I3994" i="13"/>
  <c r="I3995" i="13"/>
  <c r="I3996" i="13"/>
  <c r="I3997" i="13"/>
  <c r="I3998" i="13"/>
  <c r="I3999" i="13"/>
  <c r="I4000" i="13"/>
  <c r="I4001" i="13"/>
  <c r="I4002" i="13"/>
  <c r="I4003" i="13"/>
  <c r="I4004" i="13"/>
  <c r="I4005" i="13"/>
  <c r="I4006" i="13"/>
  <c r="I4007" i="13"/>
  <c r="I4008" i="13"/>
  <c r="I4009" i="13"/>
  <c r="I4010" i="13"/>
  <c r="I4011" i="13"/>
  <c r="I4012" i="13"/>
  <c r="I4013" i="13"/>
  <c r="I4014" i="13"/>
  <c r="I4015" i="13"/>
  <c r="I4016" i="13"/>
  <c r="I4017" i="13"/>
  <c r="I4018" i="13"/>
  <c r="I4019" i="13"/>
  <c r="I4020" i="13"/>
  <c r="I4021" i="13"/>
  <c r="I4022" i="13"/>
  <c r="I4023" i="13"/>
  <c r="I4024" i="13"/>
  <c r="I4025" i="13"/>
  <c r="I4026" i="13"/>
  <c r="I4027" i="13"/>
  <c r="I4028" i="13"/>
  <c r="I4029" i="13"/>
  <c r="I4030" i="13"/>
  <c r="I4031" i="13"/>
  <c r="I4032" i="13"/>
  <c r="I4033" i="13"/>
  <c r="I4034" i="13"/>
  <c r="I4035" i="13"/>
  <c r="I4036" i="13"/>
  <c r="I4037" i="13"/>
  <c r="I4038" i="13"/>
  <c r="I4039" i="13"/>
  <c r="I4040" i="13"/>
  <c r="I4041" i="13"/>
  <c r="I4042" i="13"/>
  <c r="I4043" i="13"/>
  <c r="I4044" i="13"/>
  <c r="I4045" i="13"/>
  <c r="I4046" i="13"/>
  <c r="I4047" i="13"/>
  <c r="I4048" i="13"/>
  <c r="I4049" i="13"/>
  <c r="I4050" i="13"/>
  <c r="I4051" i="13"/>
  <c r="I4052" i="13"/>
  <c r="I4053" i="13"/>
  <c r="I4054" i="13"/>
  <c r="I4055" i="13"/>
  <c r="I4056" i="13"/>
  <c r="I4057" i="13"/>
  <c r="I4058" i="13"/>
  <c r="I4059" i="13"/>
  <c r="I4060" i="13"/>
  <c r="I4061" i="13"/>
  <c r="I4062" i="13"/>
  <c r="I4063" i="13"/>
  <c r="I4064" i="13"/>
  <c r="I4065" i="13"/>
  <c r="I4066" i="13"/>
  <c r="I4067" i="13"/>
  <c r="I4068" i="13"/>
  <c r="I4069" i="13"/>
  <c r="I4070" i="13"/>
  <c r="I4071" i="13"/>
  <c r="I4072" i="13"/>
  <c r="I4073" i="13"/>
  <c r="I4074" i="13"/>
  <c r="I4075" i="13"/>
  <c r="I4076" i="13"/>
  <c r="I4077" i="13"/>
  <c r="I4078" i="13"/>
  <c r="I4079" i="13"/>
  <c r="I4080" i="13"/>
  <c r="I4081" i="13"/>
  <c r="I4082" i="13"/>
  <c r="I4083" i="13"/>
  <c r="I4084" i="13"/>
  <c r="I4085" i="13"/>
  <c r="I4086" i="13"/>
  <c r="I4087" i="13"/>
  <c r="I4088" i="13"/>
  <c r="I4089" i="13"/>
  <c r="I4090" i="13"/>
  <c r="I4091" i="13"/>
  <c r="I4092" i="13"/>
  <c r="I4093" i="13"/>
  <c r="I4094" i="13"/>
  <c r="I4095" i="13"/>
  <c r="I4096" i="13"/>
  <c r="I4097" i="13"/>
  <c r="I4098" i="13"/>
  <c r="I4099" i="13"/>
  <c r="I4100" i="13"/>
  <c r="I4101" i="13"/>
  <c r="I4102" i="13"/>
  <c r="I4103" i="13"/>
  <c r="I4104" i="13"/>
  <c r="I4105" i="13"/>
  <c r="I4106" i="13"/>
  <c r="I4107" i="13"/>
  <c r="I4108" i="13"/>
  <c r="I4109" i="13"/>
  <c r="I4110" i="13"/>
  <c r="I4111" i="13"/>
  <c r="I4112" i="13"/>
  <c r="I4113" i="13"/>
  <c r="I4114" i="13"/>
  <c r="I4115" i="13"/>
  <c r="I4116" i="13"/>
  <c r="I4117" i="13"/>
  <c r="I4118" i="13"/>
  <c r="I4119" i="13"/>
  <c r="I4120" i="13"/>
  <c r="I4121" i="13"/>
  <c r="I4122" i="13"/>
  <c r="I4123" i="13"/>
  <c r="I4124" i="13"/>
  <c r="I4125" i="13"/>
  <c r="I4126" i="13"/>
  <c r="I4127" i="13"/>
  <c r="I4128" i="13"/>
  <c r="I4129" i="13"/>
  <c r="I4130" i="13"/>
  <c r="I4131" i="13"/>
  <c r="I4132" i="13"/>
  <c r="I4133" i="13"/>
  <c r="I4134" i="13"/>
  <c r="I4135" i="13"/>
  <c r="I4136" i="13"/>
  <c r="I4137" i="13"/>
  <c r="I4138" i="13"/>
  <c r="I4139" i="13"/>
  <c r="I4140" i="13"/>
  <c r="I4141" i="13"/>
  <c r="I4142" i="13"/>
  <c r="I4143" i="13"/>
  <c r="I4144" i="13"/>
  <c r="I4145" i="13"/>
  <c r="I4146" i="13"/>
  <c r="I4147" i="13"/>
  <c r="I4148" i="13"/>
  <c r="I4149" i="13"/>
  <c r="I4150" i="13"/>
  <c r="I4151" i="13"/>
  <c r="I4152" i="13"/>
  <c r="I4153" i="13"/>
  <c r="I4154" i="13"/>
  <c r="I4155" i="13"/>
  <c r="I4156" i="13"/>
  <c r="I4157" i="13"/>
  <c r="I4158" i="13"/>
  <c r="I4159" i="13"/>
  <c r="I4160" i="13"/>
  <c r="I4161" i="13"/>
  <c r="I4162" i="13"/>
  <c r="I4163" i="13"/>
  <c r="I4164" i="13"/>
  <c r="I4165" i="13"/>
  <c r="I4166" i="13"/>
  <c r="I4167" i="13"/>
  <c r="I4168" i="13"/>
  <c r="I4169" i="13"/>
  <c r="I4170" i="13"/>
  <c r="I4171" i="13"/>
  <c r="I4172" i="13"/>
  <c r="I4173" i="13"/>
  <c r="I4174" i="13"/>
  <c r="I4175" i="13"/>
  <c r="I4176" i="13"/>
  <c r="I4177" i="13"/>
  <c r="I4178" i="13"/>
  <c r="I4179" i="13"/>
  <c r="I4180" i="13"/>
  <c r="I4181" i="13"/>
  <c r="I4182" i="13"/>
  <c r="I4183" i="13"/>
  <c r="I4184" i="13"/>
  <c r="I4185" i="13"/>
  <c r="I4186" i="13"/>
  <c r="I4187" i="13"/>
  <c r="I4188" i="13"/>
  <c r="I4189" i="13"/>
  <c r="I4190" i="13"/>
  <c r="I4191" i="13"/>
  <c r="I4192" i="13"/>
  <c r="I4193" i="13"/>
  <c r="I4194" i="13"/>
  <c r="I4195" i="13"/>
  <c r="I4196" i="13"/>
  <c r="I4197" i="13"/>
  <c r="I4198" i="13"/>
  <c r="I4199" i="13"/>
  <c r="I4200" i="13"/>
  <c r="I4201" i="13"/>
  <c r="I4202" i="13"/>
  <c r="I4203" i="13"/>
  <c r="I4204" i="13"/>
  <c r="I4205" i="13"/>
  <c r="I4206" i="13"/>
  <c r="I4207" i="13"/>
  <c r="I4208" i="13"/>
  <c r="I4209" i="13"/>
  <c r="I4210" i="13"/>
  <c r="I4211" i="13"/>
  <c r="I4212" i="13"/>
  <c r="I4213" i="13"/>
  <c r="I4214" i="13"/>
  <c r="I4215" i="13"/>
  <c r="I4216" i="13"/>
  <c r="I4217" i="13"/>
  <c r="I4218" i="13"/>
  <c r="I4219" i="13"/>
  <c r="I4220" i="13"/>
  <c r="I4221" i="13"/>
  <c r="I4222" i="13"/>
  <c r="I4223" i="13"/>
  <c r="I4224" i="13"/>
  <c r="I4225" i="13"/>
  <c r="I4226" i="13"/>
  <c r="I4227" i="13"/>
  <c r="I4228" i="13"/>
  <c r="I4229" i="13"/>
  <c r="I4230" i="13"/>
  <c r="I4231" i="13"/>
  <c r="I4232" i="13"/>
  <c r="I4233" i="13"/>
  <c r="I4234" i="13"/>
  <c r="I4235" i="13"/>
  <c r="I4236" i="13"/>
  <c r="I4237" i="13"/>
  <c r="I4238" i="13"/>
  <c r="I4239" i="13"/>
  <c r="I4240" i="13"/>
  <c r="I4241" i="13"/>
  <c r="I4242" i="13"/>
  <c r="I4243" i="13"/>
  <c r="I4244" i="13"/>
  <c r="I4245" i="13"/>
  <c r="I4246" i="13"/>
  <c r="I4247" i="13"/>
  <c r="I4248" i="13"/>
  <c r="I4249" i="13"/>
  <c r="I4250" i="13"/>
  <c r="I4251" i="13"/>
  <c r="I4252" i="13"/>
  <c r="I4253" i="13"/>
  <c r="I4254" i="13"/>
  <c r="I4255" i="13"/>
  <c r="I4256" i="13"/>
  <c r="I4257" i="13"/>
  <c r="I4258" i="13"/>
  <c r="I4259" i="13"/>
  <c r="I4260" i="13"/>
  <c r="I4261" i="13"/>
  <c r="I4262" i="13"/>
  <c r="I4263" i="13"/>
  <c r="I4264" i="13"/>
  <c r="I4265" i="13"/>
  <c r="I4266" i="13"/>
  <c r="I4267" i="13"/>
  <c r="I4268" i="13"/>
  <c r="I4269" i="13"/>
  <c r="I4270" i="13"/>
  <c r="I4271" i="13"/>
  <c r="I4272" i="13"/>
  <c r="I4273" i="13"/>
  <c r="I4274" i="13"/>
  <c r="I4275" i="13"/>
  <c r="I4276" i="13"/>
  <c r="I4277" i="13"/>
  <c r="I4278" i="13"/>
  <c r="I4279" i="13"/>
  <c r="I4280" i="13"/>
  <c r="I4281" i="13"/>
  <c r="I4282" i="13"/>
  <c r="I4283" i="13"/>
  <c r="I4284" i="13"/>
  <c r="I4285" i="13"/>
  <c r="I4286" i="13"/>
  <c r="I4287" i="13"/>
  <c r="I4288" i="13"/>
  <c r="I4289" i="13"/>
  <c r="I4290" i="13"/>
  <c r="I4291" i="13"/>
  <c r="I4292" i="13"/>
  <c r="I4293" i="13"/>
  <c r="I4294" i="13"/>
  <c r="I4295" i="13"/>
  <c r="I4296" i="13"/>
  <c r="I4297" i="13"/>
  <c r="I4298" i="13"/>
  <c r="I4299" i="13"/>
  <c r="I4300" i="13"/>
  <c r="I4301" i="13"/>
  <c r="I4302" i="13"/>
  <c r="I4303" i="13"/>
  <c r="I4304" i="13"/>
  <c r="I4305" i="13"/>
  <c r="I4306" i="13"/>
  <c r="I4307" i="13"/>
  <c r="I4308" i="13"/>
  <c r="I4309" i="13"/>
  <c r="I4310" i="13"/>
  <c r="I4311" i="13"/>
  <c r="I4312" i="13"/>
  <c r="I4313" i="13"/>
  <c r="I4314" i="13"/>
  <c r="I4315" i="13"/>
  <c r="I4316" i="13"/>
  <c r="I4317" i="13"/>
  <c r="I4318" i="13"/>
  <c r="I4319" i="13"/>
  <c r="I4320" i="13"/>
  <c r="I4321" i="13"/>
  <c r="I4322" i="13"/>
  <c r="I4323" i="13"/>
  <c r="I4324" i="13"/>
  <c r="I4325" i="13"/>
  <c r="I4326" i="13"/>
  <c r="I4327" i="13"/>
  <c r="I4328" i="13"/>
  <c r="I4329" i="13"/>
  <c r="I4330" i="13"/>
  <c r="I4331" i="13"/>
  <c r="I4332" i="13"/>
  <c r="I4333" i="13"/>
  <c r="I4334" i="13"/>
  <c r="I4335" i="13"/>
  <c r="I4336" i="13"/>
  <c r="I4337" i="13"/>
  <c r="I4338" i="13"/>
  <c r="I4339" i="13"/>
  <c r="I4340" i="13"/>
  <c r="I4341" i="13"/>
  <c r="I4342" i="13"/>
  <c r="I4343" i="13"/>
  <c r="I4344" i="13"/>
  <c r="I4345" i="13"/>
  <c r="I4346" i="13"/>
  <c r="I4347" i="13"/>
  <c r="I4348" i="13"/>
  <c r="I4349" i="13"/>
  <c r="I4350" i="13"/>
  <c r="I4351" i="13"/>
  <c r="I4352" i="13"/>
  <c r="I4353" i="13"/>
  <c r="I4354" i="13"/>
  <c r="I4355" i="13"/>
  <c r="I4356" i="13"/>
  <c r="I4357" i="13"/>
  <c r="I4358" i="13"/>
  <c r="I4359" i="13"/>
  <c r="I4360" i="13"/>
  <c r="I4361" i="13"/>
  <c r="I4362" i="13"/>
  <c r="I4363" i="13"/>
  <c r="I4364" i="13"/>
  <c r="I4365" i="13"/>
  <c r="I4366" i="13"/>
  <c r="I4367" i="13"/>
  <c r="I4368" i="13"/>
  <c r="I4369" i="13"/>
  <c r="I4370" i="13"/>
  <c r="I4371" i="13"/>
  <c r="I4372" i="13"/>
  <c r="I4373" i="13"/>
  <c r="I4374" i="13"/>
  <c r="I4375" i="13"/>
  <c r="I4376" i="13"/>
  <c r="I4377" i="13"/>
  <c r="I4378" i="13"/>
  <c r="I4379" i="13"/>
  <c r="I4380" i="13"/>
  <c r="I4381" i="13"/>
  <c r="I4382" i="13"/>
  <c r="I4383" i="13"/>
  <c r="I4384" i="13"/>
  <c r="I4385" i="13"/>
  <c r="I4386" i="13"/>
  <c r="I4387" i="13"/>
  <c r="I4388" i="13"/>
  <c r="I4389" i="13"/>
  <c r="I4390" i="13"/>
  <c r="I4391" i="13"/>
  <c r="I4392" i="13"/>
  <c r="I4393" i="13"/>
  <c r="I4394" i="13"/>
  <c r="I4395" i="13"/>
  <c r="I4396" i="13"/>
  <c r="I4397" i="13"/>
  <c r="I4398" i="13"/>
  <c r="I4399" i="13"/>
  <c r="I4400" i="13"/>
  <c r="I4401" i="13"/>
  <c r="I4402" i="13"/>
  <c r="I4403" i="13"/>
  <c r="I4404" i="13"/>
  <c r="I4405" i="13"/>
  <c r="I4406" i="13"/>
  <c r="I4407" i="13"/>
  <c r="I4408" i="13"/>
  <c r="I4409" i="13"/>
  <c r="I4410" i="13"/>
  <c r="I4411" i="13"/>
  <c r="I4412" i="13"/>
  <c r="I4413" i="13"/>
  <c r="I4414" i="13"/>
  <c r="I4415" i="13"/>
  <c r="I4416" i="13"/>
  <c r="I4417" i="13"/>
  <c r="I4418" i="13"/>
  <c r="I4419" i="13"/>
  <c r="I4420" i="13"/>
  <c r="I4421" i="13"/>
  <c r="I4422" i="13"/>
  <c r="I4423" i="13"/>
  <c r="I4424" i="13"/>
  <c r="I4425" i="13"/>
  <c r="I4426" i="13"/>
  <c r="I4427" i="13"/>
  <c r="I4428" i="13"/>
  <c r="I4429" i="13"/>
  <c r="I4430" i="13"/>
  <c r="I4431" i="13"/>
  <c r="I4432" i="13"/>
  <c r="I4433" i="13"/>
  <c r="I4434" i="13"/>
  <c r="I4435" i="13"/>
  <c r="I4436" i="13"/>
  <c r="I4437" i="13"/>
  <c r="I4438" i="13"/>
  <c r="I4439" i="13"/>
  <c r="I4440" i="13"/>
  <c r="I4441" i="13"/>
  <c r="I4442" i="13"/>
  <c r="I4443" i="13"/>
  <c r="I4444" i="13"/>
  <c r="I4445" i="13"/>
  <c r="I4446" i="13"/>
  <c r="I4447" i="13"/>
  <c r="I4448" i="13"/>
  <c r="I4449" i="13"/>
  <c r="I4450" i="13"/>
  <c r="I4451" i="13"/>
  <c r="I4452" i="13"/>
  <c r="I4453" i="13"/>
  <c r="I4454" i="13"/>
  <c r="I4455" i="13"/>
  <c r="I4456" i="13"/>
  <c r="I4457" i="13"/>
  <c r="I4458" i="13"/>
  <c r="I4459" i="13"/>
  <c r="I4460" i="13"/>
  <c r="I4461" i="13"/>
  <c r="I4462" i="13"/>
  <c r="I4463" i="13"/>
  <c r="I4464" i="13"/>
  <c r="I4465" i="13"/>
  <c r="I4466" i="13"/>
  <c r="I4467" i="13"/>
  <c r="I4468" i="13"/>
  <c r="I4469" i="13"/>
  <c r="I4470" i="13"/>
  <c r="I4471" i="13"/>
  <c r="I4472" i="13"/>
  <c r="I4473" i="13"/>
  <c r="I4474" i="13"/>
  <c r="I4475" i="13"/>
  <c r="I4476" i="13"/>
  <c r="I4477" i="13"/>
  <c r="I4478" i="13"/>
  <c r="I4479" i="13"/>
  <c r="I4480" i="13"/>
  <c r="I4481" i="13"/>
  <c r="I4482" i="13"/>
  <c r="I4483" i="13"/>
  <c r="I4484" i="13"/>
  <c r="I4485" i="13"/>
  <c r="I4486" i="13"/>
  <c r="I4487" i="13"/>
  <c r="I4488" i="13"/>
  <c r="I4489" i="13"/>
  <c r="I4490" i="13"/>
  <c r="I4491" i="13"/>
  <c r="I4492" i="13"/>
  <c r="I4493" i="13"/>
  <c r="I4494" i="13"/>
  <c r="I4495" i="13"/>
  <c r="I4496" i="13"/>
  <c r="I4497" i="13"/>
  <c r="I4498" i="13"/>
  <c r="I4499" i="13"/>
  <c r="I4500" i="13"/>
  <c r="I4501" i="13"/>
  <c r="I4502" i="13"/>
  <c r="I4503" i="13"/>
  <c r="I4504" i="13"/>
  <c r="I4505" i="13"/>
  <c r="I4506" i="13"/>
  <c r="I4507" i="13"/>
  <c r="I4508" i="13"/>
  <c r="I4509" i="13"/>
  <c r="I4510" i="13"/>
  <c r="I4511" i="13"/>
  <c r="I4512" i="13"/>
  <c r="I4513" i="13"/>
  <c r="I4514" i="13"/>
  <c r="I4515" i="13"/>
  <c r="I4516" i="13"/>
  <c r="I4517" i="13"/>
  <c r="I4518" i="13"/>
  <c r="I4519" i="13"/>
  <c r="I4520" i="13"/>
  <c r="I4521" i="13"/>
  <c r="I4522" i="13"/>
  <c r="I4523" i="13"/>
  <c r="I4524" i="13"/>
  <c r="I4525" i="13"/>
  <c r="I4526" i="13"/>
  <c r="I4527" i="13"/>
  <c r="I4528" i="13"/>
  <c r="I4529" i="13"/>
  <c r="I4530" i="13"/>
  <c r="I4531" i="13"/>
  <c r="I4532" i="13"/>
  <c r="I4533" i="13"/>
  <c r="I4534" i="13"/>
  <c r="I4535" i="13"/>
  <c r="I4536" i="13"/>
  <c r="I4537" i="13"/>
  <c r="I4538" i="13"/>
  <c r="I4539" i="13"/>
  <c r="I4540" i="13"/>
  <c r="I4541" i="13"/>
  <c r="I4542" i="13"/>
  <c r="I4543" i="13"/>
  <c r="I4544" i="13"/>
  <c r="I4545" i="13"/>
  <c r="I4546" i="13"/>
  <c r="I4547" i="13"/>
  <c r="I4548" i="13"/>
  <c r="I4549" i="13"/>
  <c r="I4550" i="13"/>
  <c r="I4551" i="13"/>
  <c r="I4552" i="13"/>
  <c r="I4553" i="13"/>
  <c r="I4554" i="13"/>
  <c r="I4555" i="13"/>
  <c r="I4556" i="13"/>
  <c r="I4557" i="13"/>
  <c r="I4558" i="13"/>
  <c r="I4559" i="13"/>
  <c r="I4560" i="13"/>
  <c r="I4561" i="13"/>
  <c r="I4562" i="13"/>
  <c r="I4563" i="13"/>
  <c r="I4564" i="13"/>
  <c r="I4565" i="13"/>
  <c r="I4566" i="13"/>
  <c r="I4567" i="13"/>
  <c r="I4568" i="13"/>
  <c r="I4569" i="13"/>
  <c r="I4570" i="13"/>
  <c r="I4571" i="13"/>
  <c r="I4572" i="13"/>
  <c r="I4573" i="13"/>
  <c r="I4574" i="13"/>
  <c r="I4575" i="13"/>
  <c r="I4576" i="13"/>
  <c r="I4577" i="13"/>
  <c r="I4578" i="13"/>
  <c r="I4579" i="13"/>
  <c r="I4580" i="13"/>
  <c r="I4581" i="13"/>
  <c r="I4582" i="13"/>
  <c r="I4583" i="13"/>
  <c r="I4584" i="13"/>
  <c r="I4585" i="13"/>
  <c r="I4586" i="13"/>
  <c r="I4587" i="13"/>
  <c r="I4588" i="13"/>
  <c r="I4589" i="13"/>
  <c r="I4590" i="13"/>
  <c r="I4591" i="13"/>
  <c r="I4592" i="13"/>
  <c r="I4593" i="13"/>
  <c r="I4594" i="13"/>
  <c r="I4595" i="13"/>
  <c r="I4596" i="13"/>
  <c r="I4597" i="13"/>
  <c r="I4598" i="13"/>
  <c r="I4599" i="13"/>
  <c r="I4600" i="13"/>
  <c r="I4601" i="13"/>
  <c r="I4602" i="13"/>
  <c r="I4603" i="13"/>
  <c r="I4604" i="13"/>
  <c r="I4605" i="13"/>
  <c r="I4606" i="13"/>
  <c r="I4607" i="13"/>
  <c r="I4608" i="13"/>
  <c r="I4609" i="13"/>
  <c r="I4610" i="13"/>
  <c r="I4611" i="13"/>
  <c r="I4612" i="13"/>
  <c r="I4613" i="13"/>
  <c r="I4614" i="13"/>
  <c r="I4615" i="13"/>
  <c r="I4616" i="13"/>
  <c r="I4617" i="13"/>
  <c r="I4618" i="13"/>
  <c r="I4619" i="13"/>
  <c r="I4620" i="13"/>
  <c r="I4621" i="13"/>
  <c r="I4622" i="13"/>
  <c r="I4623" i="13"/>
  <c r="I4624" i="13"/>
  <c r="I4625" i="13"/>
  <c r="I4626" i="13"/>
  <c r="I4627" i="13"/>
  <c r="I4628" i="13"/>
  <c r="I4629" i="13"/>
  <c r="I4630" i="13"/>
  <c r="I4631" i="13"/>
  <c r="I4632" i="13"/>
  <c r="I4633" i="13"/>
  <c r="I4634" i="13"/>
  <c r="I4635" i="13"/>
  <c r="I4636" i="13"/>
  <c r="I4637" i="13"/>
  <c r="I4638" i="13"/>
  <c r="I4639" i="13"/>
  <c r="I4640" i="13"/>
  <c r="I4641" i="13"/>
  <c r="I4642" i="13"/>
  <c r="I4643" i="13"/>
  <c r="I4644" i="13"/>
  <c r="I4645" i="13"/>
  <c r="I4646" i="13"/>
  <c r="I4647" i="13"/>
  <c r="I4648" i="13"/>
  <c r="I4649" i="13"/>
  <c r="I4650" i="13"/>
  <c r="I4651" i="13"/>
  <c r="I4652" i="13"/>
  <c r="I4653" i="13"/>
  <c r="I4654" i="13"/>
  <c r="I4655" i="13"/>
  <c r="I4656" i="13"/>
  <c r="I4657" i="13"/>
  <c r="I4658" i="13"/>
  <c r="I4659" i="13"/>
  <c r="I4660" i="13"/>
  <c r="I4661" i="13"/>
  <c r="I4662" i="13"/>
  <c r="I4663" i="13"/>
  <c r="I4664" i="13"/>
  <c r="I4665" i="13"/>
  <c r="I4666" i="13"/>
  <c r="I4667" i="13"/>
  <c r="I4668" i="13"/>
  <c r="I4669" i="13"/>
  <c r="I4670" i="13"/>
  <c r="I4671" i="13"/>
  <c r="I4672" i="13"/>
  <c r="I4673" i="13"/>
  <c r="I4674" i="13"/>
  <c r="I4675" i="13"/>
  <c r="I4676" i="13"/>
  <c r="I4677" i="13"/>
  <c r="I4678" i="13"/>
  <c r="I4679" i="13"/>
  <c r="I4680" i="13"/>
  <c r="I4681" i="13"/>
  <c r="I4682" i="13"/>
  <c r="I4683" i="13"/>
  <c r="I4684" i="13"/>
  <c r="I4685" i="13"/>
  <c r="I4686" i="13"/>
  <c r="I4687" i="13"/>
  <c r="I4688" i="13"/>
  <c r="I4689" i="13"/>
  <c r="I4690" i="13"/>
  <c r="I4691" i="13"/>
  <c r="I4692" i="13"/>
  <c r="I4693" i="13"/>
  <c r="I4694" i="13"/>
  <c r="I4695" i="13"/>
  <c r="I4696" i="13"/>
  <c r="I4697" i="13"/>
  <c r="I4698" i="13"/>
  <c r="I4699" i="13"/>
  <c r="I4700" i="13"/>
  <c r="I4701" i="13"/>
  <c r="I4702" i="13"/>
  <c r="I4703" i="13"/>
  <c r="I4704" i="13"/>
  <c r="I4705" i="13"/>
  <c r="I4706" i="13"/>
  <c r="I4707" i="13"/>
  <c r="I4708" i="13"/>
  <c r="I4709" i="13"/>
  <c r="I4710" i="13"/>
  <c r="I4711" i="13"/>
  <c r="I4712" i="13"/>
  <c r="I4713" i="13"/>
  <c r="I4714" i="13"/>
  <c r="I4715" i="13"/>
  <c r="I4716" i="13"/>
  <c r="I4717" i="13"/>
  <c r="I4718" i="13"/>
  <c r="I4719" i="13"/>
  <c r="I4720" i="13"/>
  <c r="I4721" i="13"/>
  <c r="I4722" i="13"/>
  <c r="I4723" i="13"/>
  <c r="I4724" i="13"/>
  <c r="I4725" i="13"/>
  <c r="I4726" i="13"/>
  <c r="I4727" i="13"/>
  <c r="I4728" i="13"/>
  <c r="I4729" i="13"/>
  <c r="I4730" i="13"/>
  <c r="I4731" i="13"/>
  <c r="I4732" i="13"/>
  <c r="I4733" i="13"/>
  <c r="I4734" i="13"/>
  <c r="I4735" i="13"/>
  <c r="I4736" i="13"/>
  <c r="I4737" i="13"/>
  <c r="I4738" i="13"/>
  <c r="I4739" i="13"/>
  <c r="I4740" i="13"/>
  <c r="I4741" i="13"/>
  <c r="I4742" i="13"/>
  <c r="I4743" i="13"/>
  <c r="I4744" i="13"/>
  <c r="I4745" i="13"/>
  <c r="I4746" i="13"/>
  <c r="I4747" i="13"/>
  <c r="I4748" i="13"/>
  <c r="I4749" i="13"/>
  <c r="I4750" i="13"/>
  <c r="I4751" i="13"/>
  <c r="I4752" i="13"/>
  <c r="I4753" i="13"/>
  <c r="I4754" i="13"/>
  <c r="I4755" i="13"/>
  <c r="I4756" i="13"/>
  <c r="I4757" i="13"/>
  <c r="I4758" i="13"/>
  <c r="I4759" i="13"/>
  <c r="I4760" i="13"/>
  <c r="I4761" i="13"/>
  <c r="I4762" i="13"/>
  <c r="I4763" i="13"/>
  <c r="I4764" i="13"/>
  <c r="I4765" i="13"/>
  <c r="I4766" i="13"/>
  <c r="I4767" i="13"/>
  <c r="I4768" i="13"/>
  <c r="I4769" i="13"/>
  <c r="I4770" i="13"/>
  <c r="I4771" i="13"/>
  <c r="I4772" i="13"/>
  <c r="I4773" i="13"/>
  <c r="I4774" i="13"/>
  <c r="I4775" i="13"/>
  <c r="I4776" i="13"/>
  <c r="I4777" i="13"/>
  <c r="I4778" i="13"/>
  <c r="I4779" i="13"/>
  <c r="I4780" i="13"/>
  <c r="I4781" i="13"/>
  <c r="I4782" i="13"/>
  <c r="I4783" i="13"/>
  <c r="I4784" i="13"/>
  <c r="I4785" i="13"/>
  <c r="I4786" i="13"/>
  <c r="I4787" i="13"/>
  <c r="I4788" i="13"/>
  <c r="I4789" i="13"/>
  <c r="I4790" i="13"/>
  <c r="I4791" i="13"/>
  <c r="I4792" i="13"/>
  <c r="I4793" i="13"/>
  <c r="I4794" i="13"/>
  <c r="I4795" i="13"/>
  <c r="I4796" i="13"/>
  <c r="I4797" i="13"/>
  <c r="I4798" i="13"/>
  <c r="I4799" i="13"/>
  <c r="I4800" i="13"/>
  <c r="I4801" i="13"/>
  <c r="I4802" i="13"/>
  <c r="I4803" i="13"/>
  <c r="I4804" i="13"/>
  <c r="I4805" i="13"/>
  <c r="I4806" i="13"/>
  <c r="I4807" i="13"/>
  <c r="I4808" i="13"/>
  <c r="I4809" i="13"/>
  <c r="I4810" i="13"/>
  <c r="I4811" i="13"/>
  <c r="I4812" i="13"/>
  <c r="I4813" i="13"/>
  <c r="I4814" i="13"/>
  <c r="I4815" i="13"/>
  <c r="I4816" i="13"/>
  <c r="I4817" i="13"/>
  <c r="I4818" i="13"/>
  <c r="I4819" i="13"/>
  <c r="I4820" i="13"/>
  <c r="I4821" i="13"/>
  <c r="I4822" i="13"/>
  <c r="I4823" i="13"/>
  <c r="I4824" i="13"/>
  <c r="I4825" i="13"/>
  <c r="I4826" i="13"/>
  <c r="I4827" i="13"/>
  <c r="I4828" i="13"/>
  <c r="I4829" i="13"/>
  <c r="I4830" i="13"/>
  <c r="I4831" i="13"/>
  <c r="I4832" i="13"/>
  <c r="I4833" i="13"/>
  <c r="I4834" i="13"/>
  <c r="I4835" i="13"/>
  <c r="I4836" i="13"/>
  <c r="I4837" i="13"/>
  <c r="I4838" i="13"/>
  <c r="I4839" i="13"/>
  <c r="I4840" i="13"/>
  <c r="I4841" i="13"/>
  <c r="I4842" i="13"/>
  <c r="I4843" i="13"/>
  <c r="I4844" i="13"/>
  <c r="I4845" i="13"/>
  <c r="I4846" i="13"/>
  <c r="I4847" i="13"/>
  <c r="I4848" i="13"/>
  <c r="I4849" i="13"/>
  <c r="I4850" i="13"/>
  <c r="I4851" i="13"/>
  <c r="I4852" i="13"/>
  <c r="I4853" i="13"/>
  <c r="I4854" i="13"/>
  <c r="I4855" i="13"/>
  <c r="I4856" i="13"/>
  <c r="I4857" i="13"/>
  <c r="I4858" i="13"/>
  <c r="I4859" i="13"/>
  <c r="I4860" i="13"/>
  <c r="I4861" i="13"/>
  <c r="I4862" i="13"/>
  <c r="I4863" i="13"/>
  <c r="I4864" i="13"/>
  <c r="I4865" i="13"/>
  <c r="I4866" i="13"/>
  <c r="I4867" i="13"/>
  <c r="I4868" i="13"/>
  <c r="I4869" i="13"/>
  <c r="I4870" i="13"/>
  <c r="I4871" i="13"/>
  <c r="I4872" i="13"/>
  <c r="I4873" i="13"/>
  <c r="I4874" i="13"/>
  <c r="I4875" i="13"/>
  <c r="I4876" i="13"/>
  <c r="I4877" i="13"/>
  <c r="I4878" i="13"/>
  <c r="I4879" i="13"/>
  <c r="I4880" i="13"/>
  <c r="I4881" i="13"/>
  <c r="I4882" i="13"/>
  <c r="I4883" i="13"/>
  <c r="I4884" i="13"/>
  <c r="I4885" i="13"/>
  <c r="I4886" i="13"/>
  <c r="I4887" i="13"/>
  <c r="I4888" i="13"/>
  <c r="I4889" i="13"/>
  <c r="I4890" i="13"/>
  <c r="I4891" i="13"/>
  <c r="I4892" i="13"/>
  <c r="I4893" i="13"/>
  <c r="I4894" i="13"/>
  <c r="I4895" i="13"/>
  <c r="I4896" i="13"/>
  <c r="I4897" i="13"/>
  <c r="I4898" i="13"/>
  <c r="I4899" i="13"/>
  <c r="I4900" i="13"/>
  <c r="I4901" i="13"/>
  <c r="I4902" i="13"/>
  <c r="I4903" i="13"/>
  <c r="I4904" i="13"/>
  <c r="I4905" i="13"/>
  <c r="I4906" i="13"/>
  <c r="I4907" i="13"/>
  <c r="I4908" i="13"/>
  <c r="I4909" i="13"/>
  <c r="I4910" i="13"/>
  <c r="I4911" i="13"/>
  <c r="I4912" i="13"/>
  <c r="I4913" i="13"/>
  <c r="I4914" i="13"/>
  <c r="I4915" i="13"/>
  <c r="I4916" i="13"/>
  <c r="I4917" i="13"/>
  <c r="I4918" i="13"/>
  <c r="I4919" i="13"/>
  <c r="I4920" i="13"/>
  <c r="I4921" i="13"/>
  <c r="I4922" i="13"/>
  <c r="I4923" i="13"/>
  <c r="I4924" i="13"/>
  <c r="I4925" i="13"/>
  <c r="I4926" i="13"/>
  <c r="I4927" i="13"/>
  <c r="I4928" i="13"/>
  <c r="I4929" i="13"/>
  <c r="I4930" i="13"/>
  <c r="I4931" i="13"/>
  <c r="I4932" i="13"/>
  <c r="I4933" i="13"/>
  <c r="I4934" i="13"/>
  <c r="I4935" i="13"/>
  <c r="I4936" i="13"/>
  <c r="I4937" i="13"/>
  <c r="I4938" i="13"/>
  <c r="I4939" i="13"/>
  <c r="I4940" i="13"/>
  <c r="I4941" i="13"/>
  <c r="I4942" i="13"/>
  <c r="I4943" i="13"/>
  <c r="I4944" i="13"/>
  <c r="I4945" i="13"/>
  <c r="I4946" i="13"/>
  <c r="I4947" i="13"/>
  <c r="I4948" i="13"/>
  <c r="I4949" i="13"/>
  <c r="I4950" i="13"/>
  <c r="I4951" i="13"/>
  <c r="I4952" i="13"/>
  <c r="I4953" i="13"/>
  <c r="I4954" i="13"/>
  <c r="I4955" i="13"/>
  <c r="I4956" i="13"/>
  <c r="I4957" i="13"/>
  <c r="I4958" i="13"/>
  <c r="I4959" i="13"/>
  <c r="I4960" i="13"/>
  <c r="I4961" i="13"/>
  <c r="I4962" i="13"/>
  <c r="I4963" i="13"/>
  <c r="I4964" i="13"/>
  <c r="I4965" i="13"/>
  <c r="I4966" i="13"/>
  <c r="I4967" i="13"/>
  <c r="I4968" i="13"/>
  <c r="I4969" i="13"/>
  <c r="I4970" i="13"/>
  <c r="I4971" i="13"/>
  <c r="I4972" i="13"/>
  <c r="I4973" i="13"/>
  <c r="I4974" i="13"/>
  <c r="I4975" i="13"/>
  <c r="I4976" i="13"/>
  <c r="I4977" i="13"/>
  <c r="I4978" i="13"/>
  <c r="I4979" i="13"/>
  <c r="I4980" i="13"/>
  <c r="I4981" i="13"/>
  <c r="I4982" i="13"/>
  <c r="I4983" i="13"/>
  <c r="I4984" i="13"/>
  <c r="I4985" i="13"/>
  <c r="I4986" i="13"/>
  <c r="I4987" i="13"/>
  <c r="I4988" i="13"/>
  <c r="I4989" i="13"/>
  <c r="I4990" i="13"/>
  <c r="I4991" i="13"/>
  <c r="I4992" i="13"/>
  <c r="I4993" i="13"/>
  <c r="I4994" i="13"/>
  <c r="I4995" i="13"/>
  <c r="I4996" i="13"/>
  <c r="I4997" i="13"/>
  <c r="I4998" i="13"/>
  <c r="I4999" i="13"/>
  <c r="I5000" i="13"/>
  <c r="I5001" i="13"/>
  <c r="I5002" i="13"/>
  <c r="I5003" i="13"/>
  <c r="I5004" i="13"/>
  <c r="I5005" i="13"/>
  <c r="I5006" i="13"/>
  <c r="I5007" i="13"/>
  <c r="I5008" i="13"/>
  <c r="I5009" i="13"/>
  <c r="I5010" i="13"/>
  <c r="I5011" i="13"/>
  <c r="I5012" i="13"/>
  <c r="I5013" i="13"/>
  <c r="I5014" i="13"/>
  <c r="I5015" i="13"/>
  <c r="I5016" i="13"/>
  <c r="I5017" i="13"/>
  <c r="I5018" i="13"/>
  <c r="I5019" i="13"/>
  <c r="I5020" i="13"/>
  <c r="I5021" i="13"/>
  <c r="I5022" i="13"/>
  <c r="I5023" i="13"/>
  <c r="I5024" i="13"/>
  <c r="I5025" i="13"/>
  <c r="I5026" i="13"/>
  <c r="I5027" i="13"/>
  <c r="I5028" i="13"/>
  <c r="I5029" i="13"/>
  <c r="I5030" i="13"/>
  <c r="I5031" i="13"/>
  <c r="I5032" i="13"/>
  <c r="I5033" i="13"/>
  <c r="I5034" i="13"/>
  <c r="I5035" i="13"/>
  <c r="I5036" i="13"/>
  <c r="I5037" i="13"/>
  <c r="I5038" i="13"/>
  <c r="I5039" i="13"/>
  <c r="I5040" i="13"/>
  <c r="I5041" i="13"/>
  <c r="I5042" i="13"/>
  <c r="I5043" i="13"/>
  <c r="I5044" i="13"/>
  <c r="I5045" i="13"/>
  <c r="I5046" i="13"/>
  <c r="I5047" i="13"/>
  <c r="I5048" i="13"/>
  <c r="I5049" i="13"/>
  <c r="I5050" i="13"/>
  <c r="I5051" i="13"/>
  <c r="I5052" i="13"/>
  <c r="I5053" i="13"/>
  <c r="I5054" i="13"/>
  <c r="I5055" i="13"/>
  <c r="I5056" i="13"/>
  <c r="I5057" i="13"/>
  <c r="I5058" i="13"/>
  <c r="I5059" i="13"/>
  <c r="I5060" i="13"/>
  <c r="I5061" i="13"/>
  <c r="I5062" i="13"/>
  <c r="I5063" i="13"/>
  <c r="I5064" i="13"/>
  <c r="I5065" i="13"/>
  <c r="I5066" i="13"/>
  <c r="I5067" i="13"/>
  <c r="I5068" i="13"/>
  <c r="I5069" i="13"/>
  <c r="I5070" i="13"/>
  <c r="I5071" i="13"/>
  <c r="I5072" i="13"/>
  <c r="I5073" i="13"/>
  <c r="I5074" i="13"/>
  <c r="I5075" i="13"/>
  <c r="I5076" i="13"/>
  <c r="I5077" i="13"/>
  <c r="I5078" i="13"/>
  <c r="I5079" i="13"/>
  <c r="I5080" i="13"/>
  <c r="I5081" i="13"/>
  <c r="I5082" i="13"/>
  <c r="I5083" i="13"/>
  <c r="I5084" i="13"/>
  <c r="I5085" i="13"/>
  <c r="I5086" i="13"/>
  <c r="I5087" i="13"/>
  <c r="I5088" i="13"/>
  <c r="I5089" i="13"/>
  <c r="I5090" i="13"/>
  <c r="I5091" i="13"/>
  <c r="I5092" i="13"/>
  <c r="I5093" i="13"/>
  <c r="I5094" i="13"/>
  <c r="I5095" i="13"/>
  <c r="I5096" i="13"/>
  <c r="I5097" i="13"/>
  <c r="I5098" i="13"/>
  <c r="I5099" i="13"/>
  <c r="I5100" i="13"/>
  <c r="I5101" i="13"/>
  <c r="I5102" i="13"/>
  <c r="I5103" i="13"/>
  <c r="I5104" i="13"/>
  <c r="I5105" i="13"/>
  <c r="I5106" i="13"/>
  <c r="I5107" i="13"/>
  <c r="I5108" i="13"/>
  <c r="I5109" i="13"/>
  <c r="I5110" i="13"/>
  <c r="I5111" i="13"/>
  <c r="I5112" i="13"/>
  <c r="I5113" i="13"/>
  <c r="I5114" i="13"/>
  <c r="I5115" i="13"/>
  <c r="I5116" i="13"/>
  <c r="I5117" i="13"/>
  <c r="I5118" i="13"/>
  <c r="I5119" i="13"/>
  <c r="I5120" i="13"/>
  <c r="I5121" i="13"/>
  <c r="I5122" i="13"/>
  <c r="I5123" i="13"/>
  <c r="I5124" i="13"/>
  <c r="I5125" i="13"/>
  <c r="I5126" i="13"/>
  <c r="I5127" i="13"/>
  <c r="I5128" i="13"/>
  <c r="I5129" i="13"/>
  <c r="I5130" i="13"/>
  <c r="I5131" i="13"/>
  <c r="I5132" i="13"/>
  <c r="I5133" i="13"/>
  <c r="I5134" i="13"/>
  <c r="I5135" i="13"/>
  <c r="I5136" i="13"/>
  <c r="I5137" i="13"/>
  <c r="I5138" i="13"/>
  <c r="I5139" i="13"/>
  <c r="I5140" i="13"/>
  <c r="I5141" i="13"/>
  <c r="I5142" i="13"/>
  <c r="I5143" i="13"/>
  <c r="I5144" i="13"/>
  <c r="I5145" i="13"/>
  <c r="I5146" i="13"/>
  <c r="I5147" i="13"/>
  <c r="I5148" i="13"/>
  <c r="I5149" i="13"/>
  <c r="I5150" i="13"/>
  <c r="I5151" i="13"/>
  <c r="I5152" i="13"/>
  <c r="I5153" i="13"/>
  <c r="I5154" i="13"/>
  <c r="I5155" i="13"/>
  <c r="I5156" i="13"/>
  <c r="I5157" i="13"/>
  <c r="I5158" i="13"/>
  <c r="I5159" i="13"/>
  <c r="I5160" i="13"/>
  <c r="I5161" i="13"/>
  <c r="I5162" i="13"/>
  <c r="I5163" i="13"/>
  <c r="I5164" i="13"/>
  <c r="I5165" i="13"/>
  <c r="I5166" i="13"/>
  <c r="I5167" i="13"/>
  <c r="I5168" i="13"/>
  <c r="I5169" i="13"/>
  <c r="I5170" i="13"/>
  <c r="I5171" i="13"/>
  <c r="I5172" i="13"/>
  <c r="I5173" i="13"/>
  <c r="I5174" i="13"/>
  <c r="I5175" i="13"/>
  <c r="I5176" i="13"/>
  <c r="I5177" i="13"/>
  <c r="I5178" i="13"/>
  <c r="I5179" i="13"/>
  <c r="I5180" i="13"/>
  <c r="I5181" i="13"/>
  <c r="I5182" i="13"/>
  <c r="I5183" i="13"/>
  <c r="I5184" i="13"/>
  <c r="I5185" i="13"/>
  <c r="I5186" i="13"/>
  <c r="I5187" i="13"/>
  <c r="I5188" i="13"/>
  <c r="I5189" i="13"/>
  <c r="I5190" i="13"/>
  <c r="I5191" i="13"/>
  <c r="I5192" i="13"/>
  <c r="I5193" i="13"/>
  <c r="I5194" i="13"/>
  <c r="I5195" i="13"/>
  <c r="I5196" i="13"/>
  <c r="I5197" i="13"/>
  <c r="I5198" i="13"/>
  <c r="I5199" i="13"/>
  <c r="I5200" i="13"/>
  <c r="I5201" i="13"/>
  <c r="I5202" i="13"/>
  <c r="I5203" i="13"/>
  <c r="I5204" i="13"/>
  <c r="I5205" i="13"/>
  <c r="I5206" i="13"/>
  <c r="I5207" i="13"/>
  <c r="I5208" i="13"/>
  <c r="I5209" i="13"/>
  <c r="I5210" i="13"/>
  <c r="I5211" i="13"/>
  <c r="I5212" i="13"/>
  <c r="I5213" i="13"/>
  <c r="I5214" i="13"/>
  <c r="I5215" i="13"/>
  <c r="I5216" i="13"/>
  <c r="I5217" i="13"/>
  <c r="I5218" i="13"/>
  <c r="I5219" i="13"/>
  <c r="I5220" i="13"/>
  <c r="I5221" i="13"/>
  <c r="I5222" i="13"/>
  <c r="I5223" i="13"/>
  <c r="I5224" i="13"/>
  <c r="I5225" i="13"/>
  <c r="I5226" i="13"/>
  <c r="I5227" i="13"/>
  <c r="I5228" i="13"/>
  <c r="I5229" i="13"/>
  <c r="I5230" i="13"/>
  <c r="I5231" i="13"/>
  <c r="I5232" i="13"/>
  <c r="I5233" i="13"/>
  <c r="I5234" i="13"/>
  <c r="I5235" i="13"/>
  <c r="I5236" i="13"/>
  <c r="I5237" i="13"/>
  <c r="I5238" i="13"/>
  <c r="I5239" i="13"/>
  <c r="I5240" i="13"/>
  <c r="I5241" i="13"/>
  <c r="I5242" i="13"/>
  <c r="I5243" i="13"/>
  <c r="I5244" i="13"/>
  <c r="I5245" i="13"/>
  <c r="I5246" i="13"/>
  <c r="I5247" i="13"/>
  <c r="I5248" i="13"/>
  <c r="I5249" i="13"/>
  <c r="I5250" i="13"/>
  <c r="I5251" i="13"/>
  <c r="I5252" i="13"/>
  <c r="I5253" i="13"/>
  <c r="I5254" i="13"/>
  <c r="I5255" i="13"/>
  <c r="I5256" i="13"/>
  <c r="I5257" i="13"/>
  <c r="I5258" i="13"/>
  <c r="I5259" i="13"/>
  <c r="I5260" i="13"/>
  <c r="I5261" i="13"/>
  <c r="I5262" i="13"/>
  <c r="I5263" i="13"/>
  <c r="I5264" i="13"/>
  <c r="I5265" i="13"/>
  <c r="I5266" i="13"/>
  <c r="I5267" i="13"/>
  <c r="I5268" i="13"/>
  <c r="I5269" i="13"/>
  <c r="I5270" i="13"/>
  <c r="I5271" i="13"/>
  <c r="I5272" i="13"/>
  <c r="I5273" i="13"/>
  <c r="I5274" i="13"/>
  <c r="I5275" i="13"/>
  <c r="I5276" i="13"/>
  <c r="I5277" i="13"/>
  <c r="I5278" i="13"/>
  <c r="I5279" i="13"/>
  <c r="I5280" i="13"/>
  <c r="I5281" i="13"/>
  <c r="I5282" i="13"/>
  <c r="I5283" i="13"/>
  <c r="I5284" i="13"/>
  <c r="I5285" i="13"/>
  <c r="I5286" i="13"/>
  <c r="I5287" i="13"/>
  <c r="I5288" i="13"/>
  <c r="I5289" i="13"/>
  <c r="I5290" i="13"/>
  <c r="I5291" i="13"/>
  <c r="I5292" i="13"/>
  <c r="I5293" i="13"/>
  <c r="I5294" i="13"/>
  <c r="I5295" i="13"/>
  <c r="I5296" i="13"/>
  <c r="I5297" i="13"/>
  <c r="I5298" i="13"/>
  <c r="I5299" i="13"/>
  <c r="I5300" i="13"/>
  <c r="I5301" i="13"/>
  <c r="I5302" i="13"/>
  <c r="I5303" i="13"/>
  <c r="I5304" i="13"/>
  <c r="I5305" i="13"/>
  <c r="I5306" i="13"/>
  <c r="I5307" i="13"/>
  <c r="I5308" i="13"/>
  <c r="I5309" i="13"/>
  <c r="I5310" i="13"/>
  <c r="I5311" i="13"/>
  <c r="I5312" i="13"/>
  <c r="I5313" i="13"/>
  <c r="I5314" i="13"/>
  <c r="I5315" i="13"/>
  <c r="I5316" i="13"/>
  <c r="I5317" i="13"/>
  <c r="I5318" i="13"/>
  <c r="I5319" i="13"/>
  <c r="I5320" i="13"/>
  <c r="I5321" i="13"/>
  <c r="I5322" i="13"/>
  <c r="I5323" i="13"/>
  <c r="I5324" i="13"/>
  <c r="I5325" i="13"/>
  <c r="I5326" i="13"/>
  <c r="I5327" i="13"/>
  <c r="I5328" i="13"/>
  <c r="I5329" i="13"/>
  <c r="I5330" i="13"/>
  <c r="I5331" i="13"/>
  <c r="I5332" i="13"/>
  <c r="I5333" i="13"/>
  <c r="I5334" i="13"/>
  <c r="I5335" i="13"/>
  <c r="I5336" i="13"/>
  <c r="I5337" i="13"/>
  <c r="I5338" i="13"/>
  <c r="I5339" i="13"/>
  <c r="I5340" i="13"/>
  <c r="I5341" i="13"/>
  <c r="I5342" i="13"/>
  <c r="I5343" i="13"/>
  <c r="I5344" i="13"/>
  <c r="I5345" i="13"/>
  <c r="I5346" i="13"/>
  <c r="I5347" i="13"/>
  <c r="I5348" i="13"/>
  <c r="I5349" i="13"/>
  <c r="I5350" i="13"/>
  <c r="I5351" i="13"/>
  <c r="I5352" i="13"/>
  <c r="I5353" i="13"/>
  <c r="I5354" i="13"/>
  <c r="I5355" i="13"/>
  <c r="I5356" i="13"/>
  <c r="I5357" i="13"/>
  <c r="I5358" i="13"/>
  <c r="I5359" i="13"/>
  <c r="I5360" i="13"/>
  <c r="I5361" i="13"/>
  <c r="I5362" i="13"/>
  <c r="I5363" i="13"/>
  <c r="I5364" i="13"/>
  <c r="I5365" i="13"/>
  <c r="I5366" i="13"/>
  <c r="I5367" i="13"/>
  <c r="I5368" i="13"/>
  <c r="I5369" i="13"/>
  <c r="I5370" i="13"/>
  <c r="I5371" i="13"/>
  <c r="I5372" i="13"/>
  <c r="I5373" i="13"/>
  <c r="I5374" i="13"/>
  <c r="I5375" i="13"/>
  <c r="I5376" i="13"/>
  <c r="I5377" i="13"/>
  <c r="I5378" i="13"/>
  <c r="I5379" i="13"/>
  <c r="I5380" i="13"/>
  <c r="I5381" i="13"/>
  <c r="I5382" i="13"/>
  <c r="I5383" i="13"/>
  <c r="I5384" i="13"/>
  <c r="I5385" i="13"/>
  <c r="I5386" i="13"/>
  <c r="I5387" i="13"/>
  <c r="I5388" i="13"/>
  <c r="I5389" i="13"/>
  <c r="I5390" i="13"/>
  <c r="I5391" i="13"/>
  <c r="I5392" i="13"/>
  <c r="I5393" i="13"/>
  <c r="I5394" i="13"/>
  <c r="I5395" i="13"/>
  <c r="I5396" i="13"/>
  <c r="I5397" i="13"/>
  <c r="I5398" i="13"/>
  <c r="I5399" i="13"/>
  <c r="I5400" i="13"/>
  <c r="I5401" i="13"/>
  <c r="I5402" i="13"/>
  <c r="I5403" i="13"/>
  <c r="I5404" i="13"/>
  <c r="I5405" i="13"/>
  <c r="I5406" i="13"/>
  <c r="I5407" i="13"/>
  <c r="I5408" i="13"/>
  <c r="I5409" i="13"/>
  <c r="I5410" i="13"/>
  <c r="I5411" i="13"/>
  <c r="I5412" i="13"/>
  <c r="I5413" i="13"/>
  <c r="I5414" i="13"/>
  <c r="I5415" i="13"/>
  <c r="I5416" i="13"/>
  <c r="I5417" i="13"/>
  <c r="I5418" i="13"/>
  <c r="I5419" i="13"/>
  <c r="I5420" i="13"/>
  <c r="I5421" i="13"/>
  <c r="I5422" i="13"/>
  <c r="I5423" i="13"/>
  <c r="I5424" i="13"/>
  <c r="I5425" i="13"/>
  <c r="I5426" i="13"/>
  <c r="I5427" i="13"/>
  <c r="I5428" i="13"/>
  <c r="I5429" i="13"/>
  <c r="I5430" i="13"/>
  <c r="I5431" i="13"/>
  <c r="I5432" i="13"/>
  <c r="I5433" i="13"/>
  <c r="I5434" i="13"/>
  <c r="I5435" i="13"/>
  <c r="I5436" i="13"/>
  <c r="I5437" i="13"/>
  <c r="I5438" i="13"/>
  <c r="I5439" i="13"/>
  <c r="I5440" i="13"/>
  <c r="I5441" i="13"/>
  <c r="I5442" i="13"/>
  <c r="I5443" i="13"/>
  <c r="I5444" i="13"/>
  <c r="I5445" i="13"/>
  <c r="I5446" i="13"/>
  <c r="I5447" i="13"/>
  <c r="I5448" i="13"/>
  <c r="I5449" i="13"/>
  <c r="I5450" i="13"/>
  <c r="I5451" i="13"/>
  <c r="I5452" i="13"/>
  <c r="I5453" i="13"/>
  <c r="I5454" i="13"/>
  <c r="I5455" i="13"/>
  <c r="I5456" i="13"/>
  <c r="I5457" i="13"/>
  <c r="I5458" i="13"/>
  <c r="I5459" i="13"/>
  <c r="I5460" i="13"/>
  <c r="I5461" i="13"/>
  <c r="I5462" i="13"/>
  <c r="I5463" i="13"/>
  <c r="I5464" i="13"/>
  <c r="I5465" i="13"/>
  <c r="I5466" i="13"/>
  <c r="I5467" i="13"/>
  <c r="I5468" i="13"/>
  <c r="I5469" i="13"/>
  <c r="I5470" i="13"/>
  <c r="I5471" i="13"/>
  <c r="I5472" i="13"/>
  <c r="I5473" i="13"/>
  <c r="I5474" i="13"/>
  <c r="I5475" i="13"/>
  <c r="I5476" i="13"/>
  <c r="I5477" i="13"/>
  <c r="I5478" i="13"/>
  <c r="I5479" i="13"/>
  <c r="I5480" i="13"/>
  <c r="I5481" i="13"/>
  <c r="I5482" i="13"/>
  <c r="I5483" i="13"/>
  <c r="I5484" i="13"/>
  <c r="I5485" i="13"/>
  <c r="I5486" i="13"/>
  <c r="I5487" i="13"/>
  <c r="I5488" i="13"/>
  <c r="I5489" i="13"/>
  <c r="I5490" i="13"/>
  <c r="I5491" i="13"/>
  <c r="I5492" i="13"/>
  <c r="I5493" i="13"/>
  <c r="I5494" i="13"/>
  <c r="I5495" i="13"/>
  <c r="I5496" i="13"/>
  <c r="I5497" i="13"/>
  <c r="I5498" i="13"/>
  <c r="I5499" i="13"/>
  <c r="I5500" i="13"/>
  <c r="I5501" i="13"/>
  <c r="I5502" i="13"/>
  <c r="I5503" i="13"/>
  <c r="I5504" i="13"/>
  <c r="I5505" i="13"/>
  <c r="I5506" i="13"/>
  <c r="I5507" i="13"/>
  <c r="I5508" i="13"/>
  <c r="I5509" i="13"/>
  <c r="I5510" i="13"/>
  <c r="I5511" i="13"/>
  <c r="I5512" i="13"/>
  <c r="I5513" i="13"/>
  <c r="I5514" i="13"/>
  <c r="I5515" i="13"/>
  <c r="I5516" i="13"/>
  <c r="I5517" i="13"/>
  <c r="I5518" i="13"/>
  <c r="I5519" i="13"/>
  <c r="I5520" i="13"/>
  <c r="I5521" i="13"/>
  <c r="I5522" i="13"/>
  <c r="I5523" i="13"/>
  <c r="I5524" i="13"/>
  <c r="I5525" i="13"/>
  <c r="I5526" i="13"/>
  <c r="I5527" i="13"/>
  <c r="I5528" i="13"/>
  <c r="I5529" i="13"/>
  <c r="I5530" i="13"/>
  <c r="I5531" i="13"/>
  <c r="I5532" i="13"/>
  <c r="I5533" i="13"/>
  <c r="I5534" i="13"/>
  <c r="I5535" i="13"/>
  <c r="I5536" i="13"/>
  <c r="I5537" i="13"/>
  <c r="I5538" i="13"/>
  <c r="I5539" i="13"/>
  <c r="I5540" i="13"/>
  <c r="I5541" i="13"/>
  <c r="I5542" i="13"/>
  <c r="I5543" i="13"/>
  <c r="I5544" i="13"/>
  <c r="I5545" i="13"/>
  <c r="I5546" i="13"/>
  <c r="I5547" i="13"/>
  <c r="I5548" i="13"/>
  <c r="I5549" i="13"/>
  <c r="I5550" i="13"/>
  <c r="I5551" i="13"/>
  <c r="I5552" i="13"/>
  <c r="I5553" i="13"/>
  <c r="I5554" i="13"/>
  <c r="I5555" i="13"/>
  <c r="I5556" i="13"/>
  <c r="I5557" i="13"/>
  <c r="I5558" i="13"/>
  <c r="I5559" i="13"/>
  <c r="I5560" i="13"/>
  <c r="I5561" i="13"/>
  <c r="I5562" i="13"/>
  <c r="I5563" i="13"/>
  <c r="I5564" i="13"/>
  <c r="I5565" i="13"/>
  <c r="I5566" i="13"/>
  <c r="I5567" i="13"/>
  <c r="I5568" i="13"/>
  <c r="I5569" i="13"/>
  <c r="I5570" i="13"/>
  <c r="I5571" i="13"/>
  <c r="I5572" i="13"/>
  <c r="I5573" i="13"/>
  <c r="I5574" i="13"/>
  <c r="I5575" i="13"/>
  <c r="I5576" i="13"/>
  <c r="I5577" i="13"/>
  <c r="I5578" i="13"/>
  <c r="I5579" i="13"/>
  <c r="I5580" i="13"/>
  <c r="I5581" i="13"/>
  <c r="I5582" i="13"/>
  <c r="I5583" i="13"/>
  <c r="I5584" i="13"/>
  <c r="I5585" i="13"/>
  <c r="I5586" i="13"/>
  <c r="I5587" i="13"/>
  <c r="I5588" i="13"/>
  <c r="I5589" i="13"/>
  <c r="I5590" i="13"/>
  <c r="I5591" i="13"/>
  <c r="I5592" i="13"/>
  <c r="I5593" i="13"/>
  <c r="I5594" i="13"/>
  <c r="I5595" i="13"/>
  <c r="I5596" i="13"/>
  <c r="I5597" i="13"/>
  <c r="I5598" i="13"/>
  <c r="I5599" i="13"/>
  <c r="I5600" i="13"/>
  <c r="I5601" i="13"/>
  <c r="I5602" i="13"/>
  <c r="I5603" i="13"/>
  <c r="I5604" i="13"/>
  <c r="I5605" i="13"/>
  <c r="I5606" i="13"/>
  <c r="I5607" i="13"/>
  <c r="I5608" i="13"/>
  <c r="I5609" i="13"/>
  <c r="I5610" i="13"/>
  <c r="I5611" i="13"/>
  <c r="I5612" i="13"/>
  <c r="I5613" i="13"/>
  <c r="I5614" i="13"/>
  <c r="I5615" i="13"/>
  <c r="I5616" i="13"/>
  <c r="I5617" i="13"/>
  <c r="I5618" i="13"/>
  <c r="I5619" i="13"/>
  <c r="I5620" i="13"/>
  <c r="I5621" i="13"/>
  <c r="I5622" i="13"/>
  <c r="I5623" i="13"/>
  <c r="I5624" i="13"/>
  <c r="I5625" i="13"/>
  <c r="I5626" i="13"/>
  <c r="I5627" i="13"/>
  <c r="I5628" i="13"/>
  <c r="I5629" i="13"/>
  <c r="I5630" i="13"/>
  <c r="I5631" i="13"/>
  <c r="I5632" i="13"/>
  <c r="I5633" i="13"/>
  <c r="I5634" i="13"/>
  <c r="I5635" i="13"/>
  <c r="I5636" i="13"/>
  <c r="I5637" i="13"/>
  <c r="I5638" i="13"/>
  <c r="I5639" i="13"/>
  <c r="I5640" i="13"/>
  <c r="I5641" i="13"/>
  <c r="I5642" i="13"/>
  <c r="I5643" i="13"/>
  <c r="I5644" i="13"/>
  <c r="I5645" i="13"/>
  <c r="I5646" i="13"/>
  <c r="I5647" i="13"/>
  <c r="I5648" i="13"/>
  <c r="I5649" i="13"/>
  <c r="I5650" i="13"/>
  <c r="I5651" i="13"/>
  <c r="I5652" i="13"/>
  <c r="I5653" i="13"/>
  <c r="I5654" i="13"/>
  <c r="I5655" i="13"/>
  <c r="I5656" i="13"/>
  <c r="I5657" i="13"/>
  <c r="I5658" i="13"/>
  <c r="I5659" i="13"/>
  <c r="I5660" i="13"/>
  <c r="I5661" i="13"/>
  <c r="I5662" i="13"/>
  <c r="I5663" i="13"/>
  <c r="I5664" i="13"/>
  <c r="I5665" i="13"/>
  <c r="I5666" i="13"/>
  <c r="I5667" i="13"/>
  <c r="I5668" i="13"/>
  <c r="I5669" i="13"/>
  <c r="I5670" i="13"/>
  <c r="I5671" i="13"/>
  <c r="I5672" i="13"/>
  <c r="I5673" i="13"/>
  <c r="I5674" i="13"/>
  <c r="I5675" i="13"/>
  <c r="I5676" i="13"/>
  <c r="I5677" i="13"/>
  <c r="I5678" i="13"/>
  <c r="I5679" i="13"/>
  <c r="I5680" i="13"/>
  <c r="I5681" i="13"/>
  <c r="I5682" i="13"/>
  <c r="I5683" i="13"/>
  <c r="I5684" i="13"/>
  <c r="I5685" i="13"/>
  <c r="I5686" i="13"/>
  <c r="I5687" i="13"/>
  <c r="I5688" i="13"/>
  <c r="I5689" i="13"/>
  <c r="I5690" i="13"/>
  <c r="I5691" i="13"/>
  <c r="I5692" i="13"/>
  <c r="I5693" i="13"/>
  <c r="I5694" i="13"/>
  <c r="I5695" i="13"/>
  <c r="I5696" i="13"/>
  <c r="I5697" i="13"/>
  <c r="I5698" i="13"/>
  <c r="I5699" i="13"/>
  <c r="I5700" i="13"/>
  <c r="I5701" i="13"/>
  <c r="I5702" i="13"/>
  <c r="I5703" i="13"/>
  <c r="I5704" i="13"/>
  <c r="I5705" i="13"/>
  <c r="I5706" i="13"/>
  <c r="I5707" i="13"/>
  <c r="I5708" i="13"/>
  <c r="I5709" i="13"/>
  <c r="I5710" i="13"/>
  <c r="I5711" i="13"/>
  <c r="I5712" i="13"/>
  <c r="I5713" i="13"/>
  <c r="I5714" i="13"/>
  <c r="I5715" i="13"/>
  <c r="I5716" i="13"/>
  <c r="I5717" i="13"/>
  <c r="I5718" i="13"/>
  <c r="I5719" i="13"/>
  <c r="I5720" i="13"/>
  <c r="I5721" i="13"/>
  <c r="I5722" i="13"/>
  <c r="I5723" i="13"/>
  <c r="I5724" i="13"/>
  <c r="I5725" i="13"/>
  <c r="I5726" i="13"/>
  <c r="I5727" i="13"/>
  <c r="I5728" i="13"/>
  <c r="I5729" i="13"/>
  <c r="I5730" i="13"/>
  <c r="I5731" i="13"/>
  <c r="I5732" i="13"/>
  <c r="I5733" i="13"/>
  <c r="I5734" i="13"/>
  <c r="I5735" i="13"/>
  <c r="I5736" i="13"/>
  <c r="I5737" i="13"/>
  <c r="I5738" i="13"/>
  <c r="I5739" i="13"/>
  <c r="I5740" i="13"/>
  <c r="I5741" i="13"/>
  <c r="I5742" i="13"/>
  <c r="I5743" i="13"/>
  <c r="I5744" i="13"/>
  <c r="I5745" i="13"/>
  <c r="I5746" i="13"/>
  <c r="I5747" i="13"/>
  <c r="I5748" i="13"/>
  <c r="I5749" i="13"/>
  <c r="I5750" i="13"/>
  <c r="I5751" i="13"/>
  <c r="I5752" i="13"/>
  <c r="I5753" i="13"/>
  <c r="I5754" i="13"/>
  <c r="I5755" i="13"/>
  <c r="I5756" i="13"/>
  <c r="I5757" i="13"/>
  <c r="I5758" i="13"/>
  <c r="I5759" i="13"/>
  <c r="I5760" i="13"/>
  <c r="I5761" i="13"/>
  <c r="I5762" i="13"/>
  <c r="I5763" i="13"/>
  <c r="I5764" i="13"/>
  <c r="I5765" i="13"/>
  <c r="I5766" i="13"/>
  <c r="I5767" i="13"/>
  <c r="I5768" i="13"/>
  <c r="I5769" i="13"/>
  <c r="I5770" i="13"/>
  <c r="I5771" i="13"/>
  <c r="I5772" i="13"/>
  <c r="I5773" i="13"/>
  <c r="I5774" i="13"/>
  <c r="I5775" i="13"/>
  <c r="I5776" i="13"/>
  <c r="I5777" i="13"/>
  <c r="I5778" i="13"/>
  <c r="I5779" i="13"/>
  <c r="I5780" i="13"/>
  <c r="I5781" i="13"/>
  <c r="I5782" i="13"/>
  <c r="I5783" i="13"/>
  <c r="I5784" i="13"/>
  <c r="I5785" i="13"/>
  <c r="I5786" i="13"/>
  <c r="I5787" i="13"/>
  <c r="I5788" i="13"/>
  <c r="I5789" i="13"/>
  <c r="I5790" i="13"/>
  <c r="I5791" i="13"/>
  <c r="I5792" i="13"/>
  <c r="I5793" i="13"/>
  <c r="I5794" i="13"/>
  <c r="I5795" i="13"/>
  <c r="I5796" i="13"/>
  <c r="I5797" i="13"/>
  <c r="I5798" i="13"/>
  <c r="I5799" i="13"/>
  <c r="I5800" i="13"/>
  <c r="I5801" i="13"/>
  <c r="I5802" i="13"/>
  <c r="I5803" i="13"/>
  <c r="I5804" i="13"/>
  <c r="I5805" i="13"/>
  <c r="I5806" i="13"/>
  <c r="I5807" i="13"/>
  <c r="I5808" i="13"/>
  <c r="I5809" i="13"/>
  <c r="I5810" i="13"/>
  <c r="I5811" i="13"/>
  <c r="I5812" i="13"/>
  <c r="I5813" i="13"/>
  <c r="I5814" i="13"/>
  <c r="I5815" i="13"/>
  <c r="I5816" i="13"/>
  <c r="I5817" i="13"/>
  <c r="I5818" i="13"/>
  <c r="I5819" i="13"/>
  <c r="I5820" i="13"/>
  <c r="I5821" i="13"/>
  <c r="I5822" i="13"/>
  <c r="I5823" i="13"/>
  <c r="I5824" i="13"/>
  <c r="I5825" i="13"/>
  <c r="I5826" i="13"/>
  <c r="I5827" i="13"/>
  <c r="I5828" i="13"/>
  <c r="I5829" i="13"/>
  <c r="I5830" i="13"/>
  <c r="I5831" i="13"/>
  <c r="I5832" i="13"/>
  <c r="I5833" i="13"/>
  <c r="I5834" i="13"/>
  <c r="I5835" i="13"/>
  <c r="I5836" i="13"/>
  <c r="I5837" i="13"/>
  <c r="I5838" i="13"/>
  <c r="I5839" i="13"/>
  <c r="I5840" i="13"/>
  <c r="I5841" i="13"/>
  <c r="I5842" i="13"/>
  <c r="I5843" i="13"/>
  <c r="I5844" i="13"/>
  <c r="I5845" i="13"/>
  <c r="I5846" i="13"/>
  <c r="I5847" i="13"/>
  <c r="I5848" i="13"/>
  <c r="I5849" i="13"/>
  <c r="I5850" i="13"/>
  <c r="I5851" i="13"/>
  <c r="I5852" i="13"/>
  <c r="I5853" i="13"/>
  <c r="I5854" i="13"/>
  <c r="I5855" i="13"/>
  <c r="I5856" i="13"/>
  <c r="I5857" i="13"/>
  <c r="I5858" i="13"/>
  <c r="I5859" i="13"/>
  <c r="I5860" i="13"/>
  <c r="I5861" i="13"/>
  <c r="I5862" i="13"/>
  <c r="I5863" i="13"/>
  <c r="I5864" i="13"/>
  <c r="I5865" i="13"/>
  <c r="I5866" i="13"/>
  <c r="I5867" i="13"/>
  <c r="I5868" i="13"/>
  <c r="I5869" i="13"/>
  <c r="I5870" i="13"/>
  <c r="I5871" i="13"/>
  <c r="I5872" i="13"/>
  <c r="I5873" i="13"/>
  <c r="I5874" i="13"/>
  <c r="I5875" i="13"/>
  <c r="I5876" i="13"/>
  <c r="I5877" i="13"/>
  <c r="I5878" i="13"/>
  <c r="I5879" i="13"/>
  <c r="I5880" i="13"/>
  <c r="I5881" i="13"/>
  <c r="I5882" i="13"/>
  <c r="I5883" i="13"/>
  <c r="I5884" i="13"/>
  <c r="I5885" i="13"/>
  <c r="I5886" i="13"/>
  <c r="I5887" i="13"/>
  <c r="I5888" i="13"/>
  <c r="I5889" i="13"/>
  <c r="I5890" i="13"/>
  <c r="I5891" i="13"/>
  <c r="I5892" i="13"/>
  <c r="I5893" i="13"/>
  <c r="I5894" i="13"/>
  <c r="I5895" i="13"/>
  <c r="I5896" i="13"/>
  <c r="I5897" i="13"/>
  <c r="I5898" i="13"/>
  <c r="I5899" i="13"/>
  <c r="I5900" i="13"/>
  <c r="I5901" i="13"/>
  <c r="I5902" i="13"/>
  <c r="I5903" i="13"/>
  <c r="I5904" i="13"/>
  <c r="I5905" i="13"/>
  <c r="I5906" i="13"/>
  <c r="I5907" i="13"/>
  <c r="I5908" i="13"/>
  <c r="I5909" i="13"/>
  <c r="I5910" i="13"/>
  <c r="I5911" i="13"/>
  <c r="I5912" i="13"/>
  <c r="I5913" i="13"/>
  <c r="I5914" i="13"/>
  <c r="I5915" i="13"/>
  <c r="I5916" i="13"/>
  <c r="I5917" i="13"/>
  <c r="I5918" i="13"/>
  <c r="I5919" i="13"/>
  <c r="I5920" i="13"/>
  <c r="I5921" i="13"/>
  <c r="I5922" i="13"/>
  <c r="I5923" i="13"/>
  <c r="I5924" i="13"/>
  <c r="I5925" i="13"/>
  <c r="I5926" i="13"/>
  <c r="I5927" i="13"/>
  <c r="I5928" i="13"/>
  <c r="I5929" i="13"/>
  <c r="I5930" i="13"/>
  <c r="I5931" i="13"/>
  <c r="I5932" i="13"/>
  <c r="I5933" i="13"/>
  <c r="I5934" i="13"/>
  <c r="I5935" i="13"/>
  <c r="I5936" i="13"/>
  <c r="I5937" i="13"/>
  <c r="I5938" i="13"/>
  <c r="I5939" i="13"/>
  <c r="I5940" i="13"/>
  <c r="I5941" i="13"/>
  <c r="I5942" i="13"/>
  <c r="I5943" i="13"/>
  <c r="I5944" i="13"/>
  <c r="I5945" i="13"/>
  <c r="I5946" i="13"/>
  <c r="I5947" i="13"/>
  <c r="I5948" i="13"/>
  <c r="I5949" i="13"/>
  <c r="I5950" i="13"/>
  <c r="I5951" i="13"/>
  <c r="I5952" i="13"/>
  <c r="I5953" i="13"/>
  <c r="I5954" i="13"/>
  <c r="I5955" i="13"/>
  <c r="I5956" i="13"/>
  <c r="I5957" i="13"/>
  <c r="I5958" i="13"/>
  <c r="I5959" i="13"/>
  <c r="I5960" i="13"/>
  <c r="I5961" i="13"/>
  <c r="I5962" i="13"/>
  <c r="I5963" i="13"/>
  <c r="I5964" i="13"/>
  <c r="I5965" i="13"/>
  <c r="I5966" i="13"/>
  <c r="I5967" i="13"/>
  <c r="I5968" i="13"/>
  <c r="I5969" i="13"/>
  <c r="I5970" i="13"/>
  <c r="I5971" i="13"/>
  <c r="I5972" i="13"/>
  <c r="I5973" i="13"/>
  <c r="I5974" i="13"/>
  <c r="I5975" i="13"/>
  <c r="I5976" i="13"/>
  <c r="I5977" i="13"/>
  <c r="I5978" i="13"/>
  <c r="I5979" i="13"/>
  <c r="I5980" i="13"/>
  <c r="I5981" i="13"/>
  <c r="I5982" i="13"/>
  <c r="I5983" i="13"/>
  <c r="I5984" i="13"/>
  <c r="I5985" i="13"/>
  <c r="I5986" i="13"/>
  <c r="I5987" i="13"/>
  <c r="I5988" i="13"/>
  <c r="I5989" i="13"/>
  <c r="I5990" i="13"/>
  <c r="I5991" i="13"/>
  <c r="I5992" i="13"/>
  <c r="I5993" i="13"/>
  <c r="I5994" i="13"/>
  <c r="I5995" i="13"/>
  <c r="I5996" i="13"/>
  <c r="I5997" i="13"/>
  <c r="I5998" i="13"/>
  <c r="I5999" i="13"/>
  <c r="I6000" i="13"/>
  <c r="I6001" i="13"/>
  <c r="I6002" i="13"/>
  <c r="I6003" i="13"/>
  <c r="I6004" i="13"/>
  <c r="I6005" i="13"/>
  <c r="I6006" i="13"/>
  <c r="I6007" i="13"/>
  <c r="I6008" i="13"/>
  <c r="I6009" i="13"/>
  <c r="I6010" i="13"/>
  <c r="I6011" i="13"/>
  <c r="I6012" i="13"/>
  <c r="I6013" i="13"/>
  <c r="I6014" i="13"/>
  <c r="I6015" i="13"/>
  <c r="I6016" i="13"/>
  <c r="I6017" i="13"/>
  <c r="I6018" i="13"/>
  <c r="I6019" i="13"/>
  <c r="I6020" i="13"/>
  <c r="I6021" i="13"/>
  <c r="I6022" i="13"/>
  <c r="I6023" i="13"/>
  <c r="I6024" i="13"/>
  <c r="I6025" i="13"/>
  <c r="I6026" i="13"/>
  <c r="I6027" i="13"/>
  <c r="I6028" i="13"/>
  <c r="I6029" i="13"/>
  <c r="I6030" i="13"/>
  <c r="I6031" i="13"/>
  <c r="I6032" i="13"/>
  <c r="I6033" i="13"/>
  <c r="I6034" i="13"/>
  <c r="I6035" i="13"/>
  <c r="I6036" i="13"/>
  <c r="I6037" i="13"/>
  <c r="I6038" i="13"/>
  <c r="I6039" i="13"/>
  <c r="I6040" i="13"/>
  <c r="I6041" i="13"/>
  <c r="I6042" i="13"/>
  <c r="I6043" i="13"/>
  <c r="I6044" i="13"/>
  <c r="I6045" i="13"/>
  <c r="I6046" i="13"/>
  <c r="I6047" i="13"/>
  <c r="I6048" i="13"/>
  <c r="I6049" i="13"/>
  <c r="I6050" i="13"/>
  <c r="I6051" i="13"/>
  <c r="I6052" i="13"/>
  <c r="I6053" i="13"/>
  <c r="I6054" i="13"/>
  <c r="I6055" i="13"/>
  <c r="I6056" i="13"/>
  <c r="I6057" i="13"/>
  <c r="I6058" i="13"/>
  <c r="I6059" i="13"/>
  <c r="I6060" i="13"/>
  <c r="I6061" i="13"/>
  <c r="I6062" i="13"/>
  <c r="I6063" i="13"/>
  <c r="I6064" i="13"/>
  <c r="I6065" i="13"/>
  <c r="I6066" i="13"/>
  <c r="I6067" i="13"/>
  <c r="I6068" i="13"/>
  <c r="I6069" i="13"/>
  <c r="I6070" i="13"/>
  <c r="I6071" i="13"/>
  <c r="I6072" i="13"/>
  <c r="I6073" i="13"/>
  <c r="I6074" i="13"/>
  <c r="I6075" i="13"/>
  <c r="I6076" i="13"/>
  <c r="I6077" i="13"/>
  <c r="I6078" i="13"/>
  <c r="I6079" i="13"/>
  <c r="I6080" i="13"/>
  <c r="I6081" i="13"/>
  <c r="I6082" i="13"/>
  <c r="I6083" i="13"/>
  <c r="I6084" i="13"/>
  <c r="I6085" i="13"/>
  <c r="I6086" i="13"/>
  <c r="I6087" i="13"/>
  <c r="I6088" i="13"/>
  <c r="I6089" i="13"/>
  <c r="I6090" i="13"/>
  <c r="I6091" i="13"/>
  <c r="I6092" i="13"/>
  <c r="I6093" i="13"/>
  <c r="I6094" i="13"/>
  <c r="I6095" i="13"/>
  <c r="I6096" i="13"/>
  <c r="I6097" i="13"/>
  <c r="I6098" i="13"/>
  <c r="I6099" i="13"/>
  <c r="I6100" i="13"/>
  <c r="I6101" i="13"/>
  <c r="I6102" i="13"/>
  <c r="I6103" i="13"/>
  <c r="I6104" i="13"/>
  <c r="I6105" i="13"/>
  <c r="I6106" i="13"/>
  <c r="I6107" i="13"/>
  <c r="I6108" i="13"/>
  <c r="I6109" i="13"/>
  <c r="I6110" i="13"/>
  <c r="I6111" i="13"/>
  <c r="I6112" i="13"/>
  <c r="I6113" i="13"/>
  <c r="I6114" i="13"/>
  <c r="I6115" i="13"/>
  <c r="I6116" i="13"/>
  <c r="I6117" i="13"/>
  <c r="I6118" i="13"/>
  <c r="I6119" i="13"/>
  <c r="I6120" i="13"/>
  <c r="I6121" i="13"/>
  <c r="I6122" i="13"/>
  <c r="I6123" i="13"/>
  <c r="I6124" i="13"/>
  <c r="I6125" i="13"/>
  <c r="I6126" i="13"/>
  <c r="I6127" i="13"/>
  <c r="I6128" i="13"/>
  <c r="I6129" i="13"/>
  <c r="I6130" i="13"/>
  <c r="I6131" i="13"/>
  <c r="I6132" i="13"/>
  <c r="I6133" i="13"/>
  <c r="I6134" i="13"/>
  <c r="I6135" i="13"/>
  <c r="I6136" i="13"/>
  <c r="I6137" i="13"/>
  <c r="I6138" i="13"/>
  <c r="I6139" i="13"/>
  <c r="I6140" i="13"/>
  <c r="I6141" i="13"/>
  <c r="I6142" i="13"/>
  <c r="I6143" i="13"/>
  <c r="I6144" i="13"/>
  <c r="I6145" i="13"/>
  <c r="I6146" i="13"/>
  <c r="I6147" i="13"/>
  <c r="I6148" i="13"/>
  <c r="I6149" i="13"/>
  <c r="I6150" i="13"/>
  <c r="I6151" i="13"/>
  <c r="I6152" i="13"/>
  <c r="I6153" i="13"/>
  <c r="I6154" i="13"/>
  <c r="I6155" i="13"/>
  <c r="I6156" i="13"/>
  <c r="I6157" i="13"/>
  <c r="I6158" i="13"/>
  <c r="I6159" i="13"/>
  <c r="I6160" i="13"/>
  <c r="I6161" i="13"/>
  <c r="I6162" i="13"/>
  <c r="I6163" i="13"/>
  <c r="I6164" i="13"/>
  <c r="I6165" i="13"/>
  <c r="I6166" i="13"/>
  <c r="I6167" i="13"/>
  <c r="I6168" i="13"/>
  <c r="I6169" i="13"/>
  <c r="I6170" i="13"/>
  <c r="I6171" i="13"/>
  <c r="I6172" i="13"/>
  <c r="I6173" i="13"/>
  <c r="I6174" i="13"/>
  <c r="I6175" i="13"/>
  <c r="I6176" i="13"/>
  <c r="I6177" i="13"/>
  <c r="I6178" i="13"/>
  <c r="I6179" i="13"/>
  <c r="I6180" i="13"/>
  <c r="I6181" i="13"/>
  <c r="I6182" i="13"/>
  <c r="I6183" i="13"/>
  <c r="I6184" i="13"/>
  <c r="I6185" i="13"/>
  <c r="I6186" i="13"/>
  <c r="I6187" i="13"/>
  <c r="I6188" i="13"/>
  <c r="I6189" i="13"/>
  <c r="I6190" i="13"/>
  <c r="I6191" i="13"/>
  <c r="I6192" i="13"/>
  <c r="I6193" i="13"/>
  <c r="I6194" i="13"/>
  <c r="I6195" i="13"/>
  <c r="I6196" i="13"/>
  <c r="I6197" i="13"/>
  <c r="I6198" i="13"/>
  <c r="I6199" i="13"/>
  <c r="I6200" i="13"/>
  <c r="I6201" i="13"/>
  <c r="I6202" i="13"/>
  <c r="I6203" i="13"/>
  <c r="I6204" i="13"/>
  <c r="I6205" i="13"/>
  <c r="I6206" i="13"/>
  <c r="I6207" i="13"/>
  <c r="I6208" i="13"/>
  <c r="I6209" i="13"/>
  <c r="I6210" i="13"/>
  <c r="I6211" i="13"/>
  <c r="I6212" i="13"/>
  <c r="I6213" i="13"/>
  <c r="I6214" i="13"/>
  <c r="I6215" i="13"/>
  <c r="I6216" i="13"/>
  <c r="I6217" i="13"/>
  <c r="I6218" i="13"/>
  <c r="I6219" i="13"/>
  <c r="I6220" i="13"/>
  <c r="I6221" i="13"/>
  <c r="I6222" i="13"/>
  <c r="I6223" i="13"/>
  <c r="I6224" i="13"/>
  <c r="I6225" i="13"/>
  <c r="I6226" i="13"/>
  <c r="I6227" i="13"/>
  <c r="I6228" i="13"/>
  <c r="I6229" i="13"/>
  <c r="I6230" i="13"/>
  <c r="I6231" i="13"/>
  <c r="I6232" i="13"/>
  <c r="I6233" i="13"/>
  <c r="I6234" i="13"/>
  <c r="I6235" i="13"/>
  <c r="I6236" i="13"/>
  <c r="I6237" i="13"/>
  <c r="I6238" i="13"/>
  <c r="I6239" i="13"/>
  <c r="I6240" i="13"/>
  <c r="I6241" i="13"/>
  <c r="I6242" i="13"/>
  <c r="I6243" i="13"/>
  <c r="I6244" i="13"/>
  <c r="I6245" i="13"/>
  <c r="I6246" i="13"/>
  <c r="I6247" i="13"/>
  <c r="I6248" i="13"/>
  <c r="I6249" i="13"/>
  <c r="I6250" i="13"/>
  <c r="I6251" i="13"/>
  <c r="I6252" i="13"/>
  <c r="I6253" i="13"/>
  <c r="I6254" i="13"/>
  <c r="I6255" i="13"/>
  <c r="I6256" i="13"/>
  <c r="I6257" i="13"/>
  <c r="I6258" i="13"/>
  <c r="I6259" i="13"/>
  <c r="I6260" i="13"/>
  <c r="I6261" i="13"/>
  <c r="I6262" i="13"/>
  <c r="I6263" i="13"/>
  <c r="I6264" i="13"/>
  <c r="I6265" i="13"/>
  <c r="I6266" i="13"/>
  <c r="I6267" i="13"/>
  <c r="I6268" i="13"/>
  <c r="I6269" i="13"/>
  <c r="I6270" i="13"/>
  <c r="I6271" i="13"/>
  <c r="I6272" i="13"/>
  <c r="I6273" i="13"/>
  <c r="I6274" i="13"/>
  <c r="I6275" i="13"/>
  <c r="I6276" i="13"/>
  <c r="I6277" i="13"/>
  <c r="I6278" i="13"/>
  <c r="I6279" i="13"/>
  <c r="I6280" i="13"/>
  <c r="I6281" i="13"/>
  <c r="I6282" i="13"/>
  <c r="I6283" i="13"/>
  <c r="I6284" i="13"/>
  <c r="I6285" i="13"/>
  <c r="I6286" i="13"/>
  <c r="I6287" i="13"/>
  <c r="I6288" i="13"/>
  <c r="I6289" i="13"/>
  <c r="I6290" i="13"/>
  <c r="I6291" i="13"/>
  <c r="I6292" i="13"/>
  <c r="I6293" i="13"/>
  <c r="I6294" i="13"/>
  <c r="I6295" i="13"/>
  <c r="I6296" i="13"/>
  <c r="I6297" i="13"/>
  <c r="I6298" i="13"/>
  <c r="I6299" i="13"/>
  <c r="I6300" i="13"/>
  <c r="I6301" i="13"/>
  <c r="I6302" i="13"/>
  <c r="I6303" i="13"/>
  <c r="I6304" i="13"/>
  <c r="I6305" i="13"/>
  <c r="I6306" i="13"/>
  <c r="I6307" i="13"/>
  <c r="I6308" i="13"/>
  <c r="I6309" i="13"/>
  <c r="I6310" i="13"/>
  <c r="I6311" i="13"/>
  <c r="I2" i="13"/>
  <c r="H2" i="13"/>
  <c r="H3" i="13"/>
  <c r="H4" i="13"/>
  <c r="H5" i="13"/>
  <c r="H6" i="13"/>
  <c r="H7" i="13"/>
  <c r="H8" i="13"/>
  <c r="H9" i="13"/>
  <c r="H10" i="13"/>
  <c r="H11" i="13"/>
  <c r="H12" i="13"/>
  <c r="H13" i="13"/>
  <c r="H14" i="13"/>
  <c r="H15" i="13"/>
  <c r="H16" i="13"/>
  <c r="H17" i="13"/>
  <c r="H18" i="13"/>
  <c r="H19" i="13"/>
  <c r="H20" i="13"/>
  <c r="H21" i="13"/>
  <c r="H22" i="13"/>
  <c r="H23" i="13"/>
  <c r="H24" i="13"/>
  <c r="H25" i="13"/>
  <c r="H26" i="13"/>
  <c r="H27" i="13"/>
  <c r="H28" i="13"/>
  <c r="H29" i="13"/>
  <c r="H30" i="13"/>
  <c r="H31" i="13"/>
  <c r="H32" i="13"/>
  <c r="H33" i="13"/>
  <c r="H34" i="13"/>
  <c r="H35" i="13"/>
  <c r="H36" i="13"/>
  <c r="H37" i="13"/>
  <c r="H38" i="13"/>
  <c r="H39" i="13"/>
  <c r="H40" i="13"/>
  <c r="H41" i="13"/>
  <c r="H42" i="13"/>
  <c r="H43" i="13"/>
  <c r="H44" i="13"/>
  <c r="H45" i="13"/>
  <c r="H46" i="13"/>
  <c r="H47" i="13"/>
  <c r="H48" i="13"/>
  <c r="H49" i="13"/>
  <c r="H50" i="13"/>
  <c r="H51" i="13"/>
  <c r="H52" i="13"/>
  <c r="H53" i="13"/>
  <c r="H54" i="13"/>
  <c r="H55" i="13"/>
  <c r="H56" i="13"/>
  <c r="H57" i="13"/>
  <c r="H58" i="13"/>
  <c r="H59" i="13"/>
  <c r="H60" i="13"/>
  <c r="H61" i="13"/>
  <c r="H62" i="13"/>
  <c r="H63" i="13"/>
  <c r="H64" i="13"/>
  <c r="H65" i="13"/>
  <c r="H66" i="13"/>
  <c r="H67" i="13"/>
  <c r="H68" i="13"/>
  <c r="H69" i="13"/>
  <c r="H70" i="13"/>
  <c r="H71" i="13"/>
  <c r="H72" i="13"/>
  <c r="H73" i="13"/>
  <c r="H74" i="13"/>
  <c r="H75" i="13"/>
  <c r="H76" i="13"/>
  <c r="H77" i="13"/>
  <c r="H78" i="13"/>
  <c r="H79" i="13"/>
  <c r="H80" i="13"/>
  <c r="H81" i="13"/>
  <c r="H82" i="13"/>
  <c r="H83" i="13"/>
  <c r="H84" i="13"/>
  <c r="H85" i="13"/>
  <c r="H86" i="13"/>
  <c r="H87" i="13"/>
  <c r="H88" i="13"/>
  <c r="H89" i="13"/>
  <c r="H90" i="13"/>
  <c r="H91" i="13"/>
  <c r="H92" i="13"/>
  <c r="H93" i="13"/>
  <c r="H94" i="13"/>
  <c r="H95" i="13"/>
  <c r="H96" i="13"/>
  <c r="H97" i="13"/>
  <c r="H98" i="13"/>
  <c r="H99" i="13"/>
  <c r="H100" i="13"/>
  <c r="H101" i="13"/>
  <c r="H102" i="13"/>
  <c r="H103" i="13"/>
  <c r="H104" i="13"/>
  <c r="H105" i="13"/>
  <c r="H106" i="13"/>
  <c r="H107" i="13"/>
  <c r="H108" i="13"/>
  <c r="H109" i="13"/>
  <c r="H110" i="13"/>
  <c r="H111" i="13"/>
  <c r="H112" i="13"/>
  <c r="H113" i="13"/>
  <c r="H114" i="13"/>
  <c r="H115" i="13"/>
  <c r="H116" i="13"/>
  <c r="H117" i="13"/>
  <c r="H118" i="13"/>
  <c r="H119" i="13"/>
  <c r="H120" i="13"/>
  <c r="H121" i="13"/>
  <c r="H122" i="13"/>
  <c r="H123" i="13"/>
  <c r="H124" i="13"/>
  <c r="H125" i="13"/>
  <c r="H126" i="13"/>
  <c r="H127" i="13"/>
  <c r="H128" i="13"/>
  <c r="H129" i="13"/>
  <c r="H130" i="13"/>
  <c r="H131" i="13"/>
  <c r="H132" i="13"/>
  <c r="H133" i="13"/>
  <c r="H134" i="13"/>
  <c r="H135" i="13"/>
  <c r="H136" i="13"/>
  <c r="H137" i="13"/>
  <c r="H138" i="13"/>
  <c r="H139" i="13"/>
  <c r="H140" i="13"/>
  <c r="H141" i="13"/>
  <c r="H142" i="13"/>
  <c r="H143" i="13"/>
  <c r="H144" i="13"/>
  <c r="H145" i="13"/>
  <c r="H146" i="13"/>
  <c r="H147" i="13"/>
  <c r="H148" i="13"/>
  <c r="H149" i="13"/>
  <c r="H150" i="13"/>
  <c r="H151" i="13"/>
  <c r="H152" i="13"/>
  <c r="H153" i="13"/>
  <c r="H154" i="13"/>
  <c r="H155" i="13"/>
  <c r="H156" i="13"/>
  <c r="H157" i="13"/>
  <c r="H158" i="13"/>
  <c r="H159" i="13"/>
  <c r="H160" i="13"/>
  <c r="H161" i="13"/>
  <c r="H162" i="13"/>
  <c r="H163" i="13"/>
  <c r="H164" i="13"/>
  <c r="H165" i="13"/>
  <c r="H166" i="13"/>
  <c r="H167" i="13"/>
  <c r="H168" i="13"/>
  <c r="H169" i="13"/>
  <c r="H170" i="13"/>
  <c r="H171" i="13"/>
  <c r="H172" i="13"/>
  <c r="H173" i="13"/>
  <c r="H174" i="13"/>
  <c r="H175" i="13"/>
  <c r="H176" i="13"/>
  <c r="H177" i="13"/>
  <c r="H178" i="13"/>
  <c r="H179" i="13"/>
  <c r="H180" i="13"/>
  <c r="H181" i="13"/>
  <c r="H182" i="13"/>
  <c r="H183" i="13"/>
  <c r="H184" i="13"/>
  <c r="H185" i="13"/>
  <c r="H186" i="13"/>
  <c r="H187" i="13"/>
  <c r="H188" i="13"/>
  <c r="H189" i="13"/>
  <c r="H190" i="13"/>
  <c r="H191" i="13"/>
  <c r="H192" i="13"/>
  <c r="H193" i="13"/>
  <c r="H194" i="13"/>
  <c r="H195" i="13"/>
  <c r="H196" i="13"/>
  <c r="H197" i="13"/>
  <c r="H198" i="13"/>
  <c r="H199" i="13"/>
  <c r="H200" i="13"/>
  <c r="H201" i="13"/>
  <c r="H202" i="13"/>
  <c r="H203" i="13"/>
  <c r="H204" i="13"/>
  <c r="H205" i="13"/>
  <c r="H206" i="13"/>
  <c r="H207" i="13"/>
  <c r="H208" i="13"/>
  <c r="H209" i="13"/>
  <c r="H210" i="13"/>
  <c r="H211" i="13"/>
  <c r="H212" i="13"/>
  <c r="H213" i="13"/>
  <c r="H214" i="13"/>
  <c r="H215" i="13"/>
  <c r="H216" i="13"/>
  <c r="H217" i="13"/>
  <c r="H218" i="13"/>
  <c r="H219" i="13"/>
  <c r="H220" i="13"/>
  <c r="H221" i="13"/>
  <c r="H222" i="13"/>
  <c r="H223" i="13"/>
  <c r="H224" i="13"/>
  <c r="H225" i="13"/>
  <c r="H226" i="13"/>
  <c r="H227" i="13"/>
  <c r="H228" i="13"/>
  <c r="H229" i="13"/>
  <c r="H230" i="13"/>
  <c r="H231" i="13"/>
  <c r="H232" i="13"/>
  <c r="H233" i="13"/>
  <c r="H234" i="13"/>
  <c r="H235" i="13"/>
  <c r="H236" i="13"/>
  <c r="H237" i="13"/>
  <c r="H238" i="13"/>
  <c r="H239" i="13"/>
  <c r="H240" i="13"/>
  <c r="H241" i="13"/>
  <c r="H242" i="13"/>
  <c r="H243" i="13"/>
  <c r="H244" i="13"/>
  <c r="H245" i="13"/>
  <c r="H246" i="13"/>
  <c r="H247" i="13"/>
  <c r="H248" i="13"/>
  <c r="H249" i="13"/>
  <c r="H250" i="13"/>
  <c r="H251" i="13"/>
  <c r="H252" i="13"/>
  <c r="H253" i="13"/>
  <c r="H254" i="13"/>
  <c r="H255" i="13"/>
  <c r="H256" i="13"/>
  <c r="H257" i="13"/>
  <c r="H258" i="13"/>
  <c r="H259" i="13"/>
  <c r="H260" i="13"/>
  <c r="H261" i="13"/>
  <c r="H262" i="13"/>
  <c r="H263" i="13"/>
  <c r="H264" i="13"/>
  <c r="H265" i="13"/>
  <c r="H266" i="13"/>
  <c r="H267" i="13"/>
  <c r="H268" i="13"/>
  <c r="H269" i="13"/>
  <c r="H270" i="13"/>
  <c r="H271" i="13"/>
  <c r="H272" i="13"/>
  <c r="H273" i="13"/>
  <c r="H274" i="13"/>
  <c r="H275" i="13"/>
  <c r="H276" i="13"/>
  <c r="H277" i="13"/>
  <c r="H278" i="13"/>
  <c r="H279" i="13"/>
  <c r="H280" i="13"/>
  <c r="H281" i="13"/>
  <c r="H282" i="13"/>
  <c r="H283" i="13"/>
  <c r="H284" i="13"/>
  <c r="H285" i="13"/>
  <c r="H286" i="13"/>
  <c r="H287" i="13"/>
  <c r="H288" i="13"/>
  <c r="H289" i="13"/>
  <c r="H290" i="13"/>
  <c r="H291" i="13"/>
  <c r="H292" i="13"/>
  <c r="H293" i="13"/>
  <c r="H294" i="13"/>
  <c r="H295" i="13"/>
  <c r="H296" i="13"/>
  <c r="H297" i="13"/>
  <c r="H298" i="13"/>
  <c r="H299" i="13"/>
  <c r="H300" i="13"/>
  <c r="H301" i="13"/>
  <c r="H302" i="13"/>
  <c r="H303" i="13"/>
  <c r="H304" i="13"/>
  <c r="H305" i="13"/>
  <c r="H306" i="13"/>
  <c r="H307" i="13"/>
  <c r="H308" i="13"/>
  <c r="H309" i="13"/>
  <c r="H310" i="13"/>
  <c r="H311" i="13"/>
  <c r="H312" i="13"/>
  <c r="H313" i="13"/>
  <c r="H314" i="13"/>
  <c r="H315" i="13"/>
  <c r="H316" i="13"/>
  <c r="H317" i="13"/>
  <c r="H318" i="13"/>
  <c r="H319" i="13"/>
  <c r="H320" i="13"/>
  <c r="H321" i="13"/>
  <c r="H322" i="13"/>
  <c r="H323" i="13"/>
  <c r="H324" i="13"/>
  <c r="H325" i="13"/>
  <c r="H326" i="13"/>
  <c r="H327" i="13"/>
  <c r="H328" i="13"/>
  <c r="H329" i="13"/>
  <c r="H330" i="13"/>
  <c r="H331" i="13"/>
  <c r="H332" i="13"/>
  <c r="H333" i="13"/>
  <c r="H334" i="13"/>
  <c r="H335" i="13"/>
  <c r="H336" i="13"/>
  <c r="H337" i="13"/>
  <c r="H338" i="13"/>
  <c r="H339" i="13"/>
  <c r="H340" i="13"/>
  <c r="H341" i="13"/>
  <c r="H342" i="13"/>
  <c r="H343" i="13"/>
  <c r="H344" i="13"/>
  <c r="H345" i="13"/>
  <c r="H346" i="13"/>
  <c r="H347" i="13"/>
  <c r="H348" i="13"/>
  <c r="H349" i="13"/>
  <c r="H350" i="13"/>
  <c r="H351" i="13"/>
  <c r="H352" i="13"/>
  <c r="H353" i="13"/>
  <c r="H354" i="13"/>
  <c r="H355" i="13"/>
  <c r="H356" i="13"/>
  <c r="H357" i="13"/>
  <c r="H358" i="13"/>
  <c r="H359" i="13"/>
  <c r="H360" i="13"/>
  <c r="H361" i="13"/>
  <c r="H362" i="13"/>
  <c r="H363" i="13"/>
  <c r="H364" i="13"/>
  <c r="H365" i="13"/>
  <c r="H366" i="13"/>
  <c r="H367" i="13"/>
  <c r="H368" i="13"/>
  <c r="H369" i="13"/>
  <c r="H370" i="13"/>
  <c r="H371" i="13"/>
  <c r="H372" i="13"/>
  <c r="H373" i="13"/>
  <c r="H374" i="13"/>
  <c r="H375" i="13"/>
  <c r="H376" i="13"/>
  <c r="H377" i="13"/>
  <c r="H378" i="13"/>
  <c r="H379" i="13"/>
  <c r="H380" i="13"/>
  <c r="H381" i="13"/>
  <c r="H382" i="13"/>
  <c r="H383" i="13"/>
  <c r="H384" i="13"/>
  <c r="H385" i="13"/>
  <c r="H386" i="13"/>
  <c r="H387" i="13"/>
  <c r="H388" i="13"/>
  <c r="H389" i="13"/>
  <c r="H390" i="13"/>
  <c r="H391" i="13"/>
  <c r="H392" i="13"/>
  <c r="H393" i="13"/>
  <c r="H394" i="13"/>
  <c r="H395" i="13"/>
  <c r="H396" i="13"/>
  <c r="H397" i="13"/>
  <c r="H398" i="13"/>
  <c r="H399" i="13"/>
  <c r="H400" i="13"/>
  <c r="H401" i="13"/>
  <c r="H402" i="13"/>
  <c r="H403" i="13"/>
  <c r="H404" i="13"/>
  <c r="H405" i="13"/>
  <c r="H406" i="13"/>
  <c r="H407" i="13"/>
  <c r="H408" i="13"/>
  <c r="H409" i="13"/>
  <c r="H410" i="13"/>
  <c r="H411" i="13"/>
  <c r="H412" i="13"/>
  <c r="H413" i="13"/>
  <c r="H414" i="13"/>
  <c r="H415" i="13"/>
  <c r="H416" i="13"/>
  <c r="H417" i="13"/>
  <c r="H418" i="13"/>
  <c r="H419" i="13"/>
  <c r="H420" i="13"/>
  <c r="H421" i="13"/>
  <c r="H422" i="13"/>
  <c r="H423" i="13"/>
  <c r="H424" i="13"/>
  <c r="H425" i="13"/>
  <c r="H426" i="13"/>
  <c r="H427" i="13"/>
  <c r="H428" i="13"/>
  <c r="H429" i="13"/>
  <c r="H430" i="13"/>
  <c r="H431" i="13"/>
  <c r="H432" i="13"/>
  <c r="H433" i="13"/>
  <c r="H434" i="13"/>
  <c r="H435" i="13"/>
  <c r="H436" i="13"/>
  <c r="H437" i="13"/>
  <c r="H438" i="13"/>
  <c r="H439" i="13"/>
  <c r="H440" i="13"/>
  <c r="H441" i="13"/>
  <c r="H442" i="13"/>
  <c r="H443" i="13"/>
  <c r="H444" i="13"/>
  <c r="H445" i="13"/>
  <c r="H446" i="13"/>
  <c r="H447" i="13"/>
  <c r="H448" i="13"/>
  <c r="H449" i="13"/>
  <c r="H450" i="13"/>
  <c r="H451" i="13"/>
  <c r="H452" i="13"/>
  <c r="H453" i="13"/>
  <c r="H454" i="13"/>
  <c r="H455" i="13"/>
  <c r="H456" i="13"/>
  <c r="H457" i="13"/>
  <c r="H458" i="13"/>
  <c r="H459" i="13"/>
  <c r="H460" i="13"/>
  <c r="H461" i="13"/>
  <c r="H462" i="13"/>
  <c r="H463" i="13"/>
  <c r="H464" i="13"/>
  <c r="H465" i="13"/>
  <c r="H466" i="13"/>
  <c r="H467" i="13"/>
  <c r="H468" i="13"/>
  <c r="H469" i="13"/>
  <c r="H470" i="13"/>
  <c r="H471" i="13"/>
  <c r="H472" i="13"/>
  <c r="H473" i="13"/>
  <c r="H474" i="13"/>
  <c r="H475" i="13"/>
  <c r="H476" i="13"/>
  <c r="H477" i="13"/>
  <c r="H478" i="13"/>
  <c r="H479" i="13"/>
  <c r="H480" i="13"/>
  <c r="H481" i="13"/>
  <c r="H482" i="13"/>
  <c r="H483" i="13"/>
  <c r="H484" i="13"/>
  <c r="H485" i="13"/>
  <c r="H486" i="13"/>
  <c r="H487" i="13"/>
  <c r="H488" i="13"/>
  <c r="H489" i="13"/>
  <c r="H490" i="13"/>
  <c r="H491" i="13"/>
  <c r="H492" i="13"/>
  <c r="H493" i="13"/>
  <c r="H494" i="13"/>
  <c r="H495" i="13"/>
  <c r="H496" i="13"/>
  <c r="H497" i="13"/>
  <c r="H498" i="13"/>
  <c r="H499" i="13"/>
  <c r="H500" i="13"/>
  <c r="H501" i="13"/>
  <c r="H502" i="13"/>
  <c r="H503" i="13"/>
  <c r="H504" i="13"/>
  <c r="H505" i="13"/>
  <c r="H506" i="13"/>
  <c r="H507" i="13"/>
  <c r="H508" i="13"/>
  <c r="H509" i="13"/>
  <c r="H510" i="13"/>
  <c r="H511" i="13"/>
  <c r="H512" i="13"/>
  <c r="H513" i="13"/>
  <c r="H514" i="13"/>
  <c r="H515" i="13"/>
  <c r="H516" i="13"/>
  <c r="H517" i="13"/>
  <c r="H518" i="13"/>
  <c r="H519" i="13"/>
  <c r="H520" i="13"/>
  <c r="H521" i="13"/>
  <c r="H522" i="13"/>
  <c r="H523" i="13"/>
  <c r="H524" i="13"/>
  <c r="H525" i="13"/>
  <c r="H526" i="13"/>
  <c r="H527" i="13"/>
  <c r="H528" i="13"/>
  <c r="H529" i="13"/>
  <c r="H530" i="13"/>
  <c r="H531" i="13"/>
  <c r="H532" i="13"/>
  <c r="H533" i="13"/>
  <c r="H534" i="13"/>
  <c r="H535" i="13"/>
  <c r="H536" i="13"/>
  <c r="H537" i="13"/>
  <c r="H538" i="13"/>
  <c r="H539" i="13"/>
  <c r="H540" i="13"/>
  <c r="H541" i="13"/>
  <c r="H542" i="13"/>
  <c r="H543" i="13"/>
  <c r="H544" i="13"/>
  <c r="H545" i="13"/>
  <c r="H546" i="13"/>
  <c r="H547" i="13"/>
  <c r="H548" i="13"/>
  <c r="H549" i="13"/>
  <c r="H550" i="13"/>
  <c r="H551" i="13"/>
  <c r="H552" i="13"/>
  <c r="H553" i="13"/>
  <c r="H554" i="13"/>
  <c r="H555" i="13"/>
  <c r="H556" i="13"/>
  <c r="H557" i="13"/>
  <c r="H558" i="13"/>
  <c r="H559" i="13"/>
  <c r="H560" i="13"/>
  <c r="H561" i="13"/>
  <c r="H562" i="13"/>
  <c r="H563" i="13"/>
  <c r="H564" i="13"/>
  <c r="H565" i="13"/>
  <c r="H566" i="13"/>
  <c r="H567" i="13"/>
  <c r="H568" i="13"/>
  <c r="H569" i="13"/>
  <c r="H570" i="13"/>
  <c r="H571" i="13"/>
  <c r="H572" i="13"/>
  <c r="H573" i="13"/>
  <c r="H574" i="13"/>
  <c r="H575" i="13"/>
  <c r="H576" i="13"/>
  <c r="H577" i="13"/>
  <c r="H578" i="13"/>
  <c r="H579" i="13"/>
  <c r="H580" i="13"/>
  <c r="H581" i="13"/>
  <c r="H582" i="13"/>
  <c r="H583" i="13"/>
  <c r="H584" i="13"/>
  <c r="H585" i="13"/>
  <c r="H586" i="13"/>
  <c r="H587" i="13"/>
  <c r="H588" i="13"/>
  <c r="H589" i="13"/>
  <c r="H590" i="13"/>
  <c r="H591" i="13"/>
  <c r="H592" i="13"/>
  <c r="H593" i="13"/>
  <c r="H594" i="13"/>
  <c r="H595" i="13"/>
  <c r="H596" i="13"/>
  <c r="H597" i="13"/>
  <c r="H598" i="13"/>
  <c r="H599" i="13"/>
  <c r="H600" i="13"/>
  <c r="H601" i="13"/>
  <c r="H602" i="13"/>
  <c r="H603" i="13"/>
  <c r="H604" i="13"/>
  <c r="H605" i="13"/>
  <c r="H606" i="13"/>
  <c r="H607" i="13"/>
  <c r="H608" i="13"/>
  <c r="H609" i="13"/>
  <c r="H610" i="13"/>
  <c r="H611" i="13"/>
  <c r="H612" i="13"/>
  <c r="H613" i="13"/>
  <c r="H614" i="13"/>
  <c r="H615" i="13"/>
  <c r="H616" i="13"/>
  <c r="H617" i="13"/>
  <c r="H618" i="13"/>
  <c r="H619" i="13"/>
  <c r="H620" i="13"/>
  <c r="H621" i="13"/>
  <c r="H622" i="13"/>
  <c r="H623" i="13"/>
  <c r="H624" i="13"/>
  <c r="H625" i="13"/>
  <c r="H626" i="13"/>
  <c r="H627" i="13"/>
  <c r="H628" i="13"/>
  <c r="H629" i="13"/>
  <c r="H630" i="13"/>
  <c r="H631" i="13"/>
  <c r="H632" i="13"/>
  <c r="H633" i="13"/>
  <c r="H634" i="13"/>
  <c r="H635" i="13"/>
  <c r="H636" i="13"/>
  <c r="H637" i="13"/>
  <c r="H638" i="13"/>
  <c r="H639" i="13"/>
  <c r="H640" i="13"/>
  <c r="H641" i="13"/>
  <c r="H642" i="13"/>
  <c r="H643" i="13"/>
  <c r="H644" i="13"/>
  <c r="H645" i="13"/>
  <c r="H646" i="13"/>
  <c r="H647" i="13"/>
  <c r="H648" i="13"/>
  <c r="H649" i="13"/>
  <c r="H650" i="13"/>
  <c r="H651" i="13"/>
  <c r="H652" i="13"/>
  <c r="H653" i="13"/>
  <c r="H654" i="13"/>
  <c r="H655" i="13"/>
  <c r="H656" i="13"/>
  <c r="H657" i="13"/>
  <c r="H658" i="13"/>
  <c r="H659" i="13"/>
  <c r="H660" i="13"/>
  <c r="H661" i="13"/>
  <c r="H662" i="13"/>
  <c r="H663" i="13"/>
  <c r="H664" i="13"/>
  <c r="H665" i="13"/>
  <c r="H666" i="13"/>
  <c r="H667" i="13"/>
  <c r="H668" i="13"/>
  <c r="H669" i="13"/>
  <c r="H670" i="13"/>
  <c r="H671" i="13"/>
  <c r="H672" i="13"/>
  <c r="H673" i="13"/>
  <c r="H674" i="13"/>
  <c r="H675" i="13"/>
  <c r="H676" i="13"/>
  <c r="H677" i="13"/>
  <c r="H678" i="13"/>
  <c r="H679" i="13"/>
  <c r="H680" i="13"/>
  <c r="H681" i="13"/>
  <c r="H682" i="13"/>
  <c r="H683" i="13"/>
  <c r="H684" i="13"/>
  <c r="H685" i="13"/>
  <c r="H686" i="13"/>
  <c r="H687" i="13"/>
  <c r="H688" i="13"/>
  <c r="H689" i="13"/>
  <c r="H690" i="13"/>
  <c r="H691" i="13"/>
  <c r="H692" i="13"/>
  <c r="H693" i="13"/>
  <c r="H694" i="13"/>
  <c r="H695" i="13"/>
  <c r="H696" i="13"/>
  <c r="H697" i="13"/>
  <c r="H698" i="13"/>
  <c r="H699" i="13"/>
  <c r="H700" i="13"/>
  <c r="H701" i="13"/>
  <c r="H702" i="13"/>
  <c r="H703" i="13"/>
  <c r="H704" i="13"/>
  <c r="H705" i="13"/>
  <c r="H706" i="13"/>
  <c r="H707" i="13"/>
  <c r="H708" i="13"/>
  <c r="H709" i="13"/>
  <c r="H710" i="13"/>
  <c r="H711" i="13"/>
  <c r="H712" i="13"/>
  <c r="H713" i="13"/>
  <c r="H714" i="13"/>
  <c r="H715" i="13"/>
  <c r="H716" i="13"/>
  <c r="H717" i="13"/>
  <c r="H718" i="13"/>
  <c r="H719" i="13"/>
  <c r="H720" i="13"/>
  <c r="H721" i="13"/>
  <c r="H722" i="13"/>
  <c r="H723" i="13"/>
  <c r="H724" i="13"/>
  <c r="H725" i="13"/>
  <c r="H726" i="13"/>
  <c r="H727" i="13"/>
  <c r="H728" i="13"/>
  <c r="H729" i="13"/>
  <c r="H730" i="13"/>
  <c r="H731" i="13"/>
  <c r="H732" i="13"/>
  <c r="H733" i="13"/>
  <c r="H734" i="13"/>
  <c r="H735" i="13"/>
  <c r="H736" i="13"/>
  <c r="H737" i="13"/>
  <c r="H738" i="13"/>
  <c r="H739" i="13"/>
  <c r="H740" i="13"/>
  <c r="H741" i="13"/>
  <c r="H742" i="13"/>
  <c r="H743" i="13"/>
  <c r="H744" i="13"/>
  <c r="H745" i="13"/>
  <c r="H746" i="13"/>
  <c r="H747" i="13"/>
  <c r="H748" i="13"/>
  <c r="H749" i="13"/>
  <c r="H750" i="13"/>
  <c r="H751" i="13"/>
  <c r="H752" i="13"/>
  <c r="H753" i="13"/>
  <c r="H754" i="13"/>
  <c r="H755" i="13"/>
  <c r="H756" i="13"/>
  <c r="H757" i="13"/>
  <c r="H758" i="13"/>
  <c r="H759" i="13"/>
  <c r="H760" i="13"/>
  <c r="H761" i="13"/>
  <c r="H762" i="13"/>
  <c r="H763" i="13"/>
  <c r="H764" i="13"/>
  <c r="H765" i="13"/>
  <c r="H766" i="13"/>
  <c r="H767" i="13"/>
  <c r="H768" i="13"/>
  <c r="H769" i="13"/>
  <c r="H770" i="13"/>
  <c r="H771" i="13"/>
  <c r="H772" i="13"/>
  <c r="H773" i="13"/>
  <c r="H774" i="13"/>
  <c r="H775" i="13"/>
  <c r="H776" i="13"/>
  <c r="H777" i="13"/>
  <c r="H778" i="13"/>
  <c r="H779" i="13"/>
  <c r="H780" i="13"/>
  <c r="H781" i="13"/>
  <c r="H782" i="13"/>
  <c r="H783" i="13"/>
  <c r="H784" i="13"/>
  <c r="H785" i="13"/>
  <c r="H786" i="13"/>
  <c r="H787" i="13"/>
  <c r="H788" i="13"/>
  <c r="H789" i="13"/>
  <c r="H790" i="13"/>
  <c r="H791" i="13"/>
  <c r="H792" i="13"/>
  <c r="H793" i="13"/>
  <c r="H794" i="13"/>
  <c r="H795" i="13"/>
  <c r="H796" i="13"/>
  <c r="H797" i="13"/>
  <c r="H798" i="13"/>
  <c r="H799" i="13"/>
  <c r="H800" i="13"/>
  <c r="H801" i="13"/>
  <c r="H802" i="13"/>
  <c r="H803" i="13"/>
  <c r="H804" i="13"/>
  <c r="H805" i="13"/>
  <c r="H806" i="13"/>
  <c r="H807" i="13"/>
  <c r="H808" i="13"/>
  <c r="H809" i="13"/>
  <c r="H810" i="13"/>
  <c r="H811" i="13"/>
  <c r="H812" i="13"/>
  <c r="H813" i="13"/>
  <c r="H814" i="13"/>
  <c r="H815" i="13"/>
  <c r="H816" i="13"/>
  <c r="H817" i="13"/>
  <c r="H818" i="13"/>
  <c r="H819" i="13"/>
  <c r="H820" i="13"/>
  <c r="H821" i="13"/>
  <c r="H822" i="13"/>
  <c r="H823" i="13"/>
  <c r="H824" i="13"/>
  <c r="H825" i="13"/>
  <c r="H826" i="13"/>
  <c r="H827" i="13"/>
  <c r="H828" i="13"/>
  <c r="H829" i="13"/>
  <c r="H830" i="13"/>
  <c r="H831" i="13"/>
  <c r="H832" i="13"/>
  <c r="H833" i="13"/>
  <c r="H834" i="13"/>
  <c r="H835" i="13"/>
  <c r="H836" i="13"/>
  <c r="H837" i="13"/>
  <c r="H838" i="13"/>
  <c r="H839" i="13"/>
  <c r="H840" i="13"/>
  <c r="H841" i="13"/>
  <c r="H842" i="13"/>
  <c r="H843" i="13"/>
  <c r="H844" i="13"/>
  <c r="H845" i="13"/>
  <c r="H846" i="13"/>
  <c r="H847" i="13"/>
  <c r="H848" i="13"/>
  <c r="H849" i="13"/>
  <c r="H850" i="13"/>
  <c r="H851" i="13"/>
  <c r="H852" i="13"/>
  <c r="H853" i="13"/>
  <c r="H854" i="13"/>
  <c r="H855" i="13"/>
  <c r="H856" i="13"/>
  <c r="H857" i="13"/>
  <c r="H858" i="13"/>
  <c r="H859" i="13"/>
  <c r="H860" i="13"/>
  <c r="H861" i="13"/>
  <c r="H862" i="13"/>
  <c r="H863" i="13"/>
  <c r="H864" i="13"/>
  <c r="H865" i="13"/>
  <c r="H866" i="13"/>
  <c r="H867" i="13"/>
  <c r="H868" i="13"/>
  <c r="H869" i="13"/>
  <c r="H870" i="13"/>
  <c r="H871" i="13"/>
  <c r="H872" i="13"/>
  <c r="H873" i="13"/>
  <c r="H874" i="13"/>
  <c r="H875" i="13"/>
  <c r="H876" i="13"/>
  <c r="H877" i="13"/>
  <c r="H878" i="13"/>
  <c r="H879" i="13"/>
  <c r="H880" i="13"/>
  <c r="H881" i="13"/>
  <c r="H882" i="13"/>
  <c r="H883" i="13"/>
  <c r="H884" i="13"/>
  <c r="H885" i="13"/>
  <c r="H886" i="13"/>
  <c r="H887" i="13"/>
  <c r="H888" i="13"/>
  <c r="H889" i="13"/>
  <c r="H890" i="13"/>
  <c r="H891" i="13"/>
  <c r="H892" i="13"/>
  <c r="H893" i="13"/>
  <c r="H894" i="13"/>
  <c r="H895" i="13"/>
  <c r="H896" i="13"/>
  <c r="H897" i="13"/>
  <c r="H898" i="13"/>
  <c r="H899" i="13"/>
  <c r="H900" i="13"/>
  <c r="H901" i="13"/>
  <c r="H902" i="13"/>
  <c r="H903" i="13"/>
  <c r="H904" i="13"/>
  <c r="H905" i="13"/>
  <c r="H906" i="13"/>
  <c r="H907" i="13"/>
  <c r="H908" i="13"/>
  <c r="H909" i="13"/>
  <c r="H910" i="13"/>
  <c r="H911" i="13"/>
  <c r="H912" i="13"/>
  <c r="H913" i="13"/>
  <c r="H914" i="13"/>
  <c r="H915" i="13"/>
  <c r="H916" i="13"/>
  <c r="H917" i="13"/>
  <c r="H918" i="13"/>
  <c r="H919" i="13"/>
  <c r="H920" i="13"/>
  <c r="H921" i="13"/>
  <c r="H922" i="13"/>
  <c r="H923" i="13"/>
  <c r="H924" i="13"/>
  <c r="H925" i="13"/>
  <c r="H926" i="13"/>
  <c r="H927" i="13"/>
  <c r="H928" i="13"/>
  <c r="H929" i="13"/>
  <c r="H930" i="13"/>
  <c r="H931" i="13"/>
  <c r="H932" i="13"/>
  <c r="H933" i="13"/>
  <c r="H934" i="13"/>
  <c r="H935" i="13"/>
  <c r="H936" i="13"/>
  <c r="H937" i="13"/>
  <c r="H938" i="13"/>
  <c r="H939" i="13"/>
  <c r="H940" i="13"/>
  <c r="H941" i="13"/>
  <c r="H942" i="13"/>
  <c r="H943" i="13"/>
  <c r="H944" i="13"/>
  <c r="H945" i="13"/>
  <c r="H946" i="13"/>
  <c r="H947" i="13"/>
  <c r="H948" i="13"/>
  <c r="H949" i="13"/>
  <c r="H950" i="13"/>
  <c r="H951" i="13"/>
  <c r="H952" i="13"/>
  <c r="H953" i="13"/>
  <c r="H954" i="13"/>
  <c r="H955" i="13"/>
  <c r="H956" i="13"/>
  <c r="H957" i="13"/>
  <c r="H958" i="13"/>
  <c r="H959" i="13"/>
  <c r="H960" i="13"/>
  <c r="H961" i="13"/>
  <c r="H962" i="13"/>
  <c r="H963" i="13"/>
  <c r="H964" i="13"/>
  <c r="H965" i="13"/>
  <c r="H966" i="13"/>
  <c r="H967" i="13"/>
  <c r="H968" i="13"/>
  <c r="H969" i="13"/>
  <c r="H970" i="13"/>
  <c r="H971" i="13"/>
  <c r="H972" i="13"/>
  <c r="H973" i="13"/>
  <c r="H974" i="13"/>
  <c r="H975" i="13"/>
  <c r="H976" i="13"/>
  <c r="H977" i="13"/>
  <c r="H978" i="13"/>
  <c r="H979" i="13"/>
  <c r="H980" i="13"/>
  <c r="H981" i="13"/>
  <c r="H982" i="13"/>
  <c r="H983" i="13"/>
  <c r="H984" i="13"/>
  <c r="H985" i="13"/>
  <c r="H986" i="13"/>
  <c r="H987" i="13"/>
  <c r="H988" i="13"/>
  <c r="H989" i="13"/>
  <c r="H990" i="13"/>
  <c r="H991" i="13"/>
  <c r="H992" i="13"/>
  <c r="H993" i="13"/>
  <c r="H994" i="13"/>
  <c r="H995" i="13"/>
  <c r="H996" i="13"/>
  <c r="H997" i="13"/>
  <c r="H998" i="13"/>
  <c r="H999" i="13"/>
  <c r="H1000" i="13"/>
  <c r="H1001" i="13"/>
  <c r="H1002" i="13"/>
  <c r="H1003" i="13"/>
  <c r="H1004" i="13"/>
  <c r="H1005" i="13"/>
  <c r="H1006" i="13"/>
  <c r="H1007" i="13"/>
  <c r="H1008" i="13"/>
  <c r="H1009" i="13"/>
  <c r="H1010" i="13"/>
  <c r="H1011" i="13"/>
  <c r="H1012" i="13"/>
  <c r="H1013" i="13"/>
  <c r="H1014" i="13"/>
  <c r="H1015" i="13"/>
  <c r="H1016" i="13"/>
  <c r="H1017" i="13"/>
  <c r="H1018" i="13"/>
  <c r="H1019" i="13"/>
  <c r="H1020" i="13"/>
  <c r="H1021" i="13"/>
  <c r="H1022" i="13"/>
  <c r="H1023" i="13"/>
  <c r="H1024" i="13"/>
  <c r="H1025" i="13"/>
  <c r="H1026" i="13"/>
  <c r="H1027" i="13"/>
  <c r="H1028" i="13"/>
  <c r="H1029" i="13"/>
  <c r="H1030" i="13"/>
  <c r="H1031" i="13"/>
  <c r="H1032" i="13"/>
  <c r="H1033" i="13"/>
  <c r="H1034" i="13"/>
  <c r="H1035" i="13"/>
  <c r="H1036" i="13"/>
  <c r="H1037" i="13"/>
  <c r="H1038" i="13"/>
  <c r="H1039" i="13"/>
  <c r="H1040" i="13"/>
  <c r="H1041" i="13"/>
  <c r="H1042" i="13"/>
  <c r="H1043" i="13"/>
  <c r="H1044" i="13"/>
  <c r="H1045" i="13"/>
  <c r="H1046" i="13"/>
  <c r="H1047" i="13"/>
  <c r="H1048" i="13"/>
  <c r="H1049" i="13"/>
  <c r="H1050" i="13"/>
  <c r="H1051" i="13"/>
  <c r="H1052" i="13"/>
  <c r="H1053" i="13"/>
  <c r="H1054" i="13"/>
  <c r="H1055" i="13"/>
  <c r="H1056" i="13"/>
  <c r="H1057" i="13"/>
  <c r="H1058" i="13"/>
  <c r="H1059" i="13"/>
  <c r="H1060" i="13"/>
  <c r="H1061" i="13"/>
  <c r="H1062" i="13"/>
  <c r="H1063" i="13"/>
  <c r="H1064" i="13"/>
  <c r="H1065" i="13"/>
  <c r="H1066" i="13"/>
  <c r="H1067" i="13"/>
  <c r="H1068" i="13"/>
  <c r="H1069" i="13"/>
  <c r="H1070" i="13"/>
  <c r="H1071" i="13"/>
  <c r="H1072" i="13"/>
  <c r="H1073" i="13"/>
  <c r="H1074" i="13"/>
  <c r="H1075" i="13"/>
  <c r="H1076" i="13"/>
  <c r="H1077" i="13"/>
  <c r="H1078" i="13"/>
  <c r="H1079" i="13"/>
  <c r="H1080" i="13"/>
  <c r="H1081" i="13"/>
  <c r="H1082" i="13"/>
  <c r="H1083" i="13"/>
  <c r="H1084" i="13"/>
  <c r="H1085" i="13"/>
  <c r="H1086" i="13"/>
  <c r="H1087" i="13"/>
  <c r="H1088" i="13"/>
  <c r="H1089" i="13"/>
  <c r="H1090" i="13"/>
  <c r="H1091" i="13"/>
  <c r="H1092" i="13"/>
  <c r="H1093" i="13"/>
  <c r="H1094" i="13"/>
  <c r="H1095" i="13"/>
  <c r="H1096" i="13"/>
  <c r="H1097" i="13"/>
  <c r="H1098" i="13"/>
  <c r="H1099" i="13"/>
  <c r="H1100" i="13"/>
  <c r="H1101" i="13"/>
  <c r="H1102" i="13"/>
  <c r="H1103" i="13"/>
  <c r="H1104" i="13"/>
  <c r="H1105" i="13"/>
  <c r="H1106" i="13"/>
  <c r="H1107" i="13"/>
  <c r="H1108" i="13"/>
  <c r="H1109" i="13"/>
  <c r="H1110" i="13"/>
  <c r="H1111" i="13"/>
  <c r="H1112" i="13"/>
  <c r="H1113" i="13"/>
  <c r="H1114" i="13"/>
  <c r="H1115" i="13"/>
  <c r="H1116" i="13"/>
  <c r="H1117" i="13"/>
  <c r="H1118" i="13"/>
  <c r="H1119" i="13"/>
  <c r="H1120" i="13"/>
  <c r="H1121" i="13"/>
  <c r="H1122" i="13"/>
  <c r="H1123" i="13"/>
  <c r="H1124" i="13"/>
  <c r="H1125" i="13"/>
  <c r="H1126" i="13"/>
  <c r="H1127" i="13"/>
  <c r="H1128" i="13"/>
  <c r="H1129" i="13"/>
  <c r="H1130" i="13"/>
  <c r="H1131" i="13"/>
  <c r="H1132" i="13"/>
  <c r="H1133" i="13"/>
  <c r="H1134" i="13"/>
  <c r="H1135" i="13"/>
  <c r="H1136" i="13"/>
  <c r="H1137" i="13"/>
  <c r="H1138" i="13"/>
  <c r="H1139" i="13"/>
  <c r="H1140" i="13"/>
  <c r="H1141" i="13"/>
  <c r="H1142" i="13"/>
  <c r="H1143" i="13"/>
  <c r="H1144" i="13"/>
  <c r="H1145" i="13"/>
  <c r="H1146" i="13"/>
  <c r="H1147" i="13"/>
  <c r="H1148" i="13"/>
  <c r="H1149" i="13"/>
  <c r="H1150" i="13"/>
  <c r="H1151" i="13"/>
  <c r="H1152" i="13"/>
  <c r="H1153" i="13"/>
  <c r="H1154" i="13"/>
  <c r="H1155" i="13"/>
  <c r="H1156" i="13"/>
  <c r="H1157" i="13"/>
  <c r="H1158" i="13"/>
  <c r="H1159" i="13"/>
  <c r="H1160" i="13"/>
  <c r="H1161" i="13"/>
  <c r="H1162" i="13"/>
  <c r="H1163" i="13"/>
  <c r="H1164" i="13"/>
  <c r="H1165" i="13"/>
  <c r="H1166" i="13"/>
  <c r="H1167" i="13"/>
  <c r="H1168" i="13"/>
  <c r="H1169" i="13"/>
  <c r="H1170" i="13"/>
  <c r="H1171" i="13"/>
  <c r="H1172" i="13"/>
  <c r="H1173" i="13"/>
  <c r="H1174" i="13"/>
  <c r="H1175" i="13"/>
  <c r="H1176" i="13"/>
  <c r="H1177" i="13"/>
  <c r="H1178" i="13"/>
  <c r="H1179" i="13"/>
  <c r="H1180" i="13"/>
  <c r="H1181" i="13"/>
  <c r="H1182" i="13"/>
  <c r="H1183" i="13"/>
  <c r="H1184" i="13"/>
  <c r="H1185" i="13"/>
  <c r="H1186" i="13"/>
  <c r="H1187" i="13"/>
  <c r="H1188" i="13"/>
  <c r="H1189" i="13"/>
  <c r="H1190" i="13"/>
  <c r="H1191" i="13"/>
  <c r="H1192" i="13"/>
  <c r="H1193" i="13"/>
  <c r="H1194" i="13"/>
  <c r="H1195" i="13"/>
  <c r="H1196" i="13"/>
  <c r="H1197" i="13"/>
  <c r="H1198" i="13"/>
  <c r="H1199" i="13"/>
  <c r="H1200" i="13"/>
  <c r="H1201" i="13"/>
  <c r="H1202" i="13"/>
  <c r="H1203" i="13"/>
  <c r="H1204" i="13"/>
  <c r="H1205" i="13"/>
  <c r="H1206" i="13"/>
  <c r="H1207" i="13"/>
  <c r="H1208" i="13"/>
  <c r="H1209" i="13"/>
  <c r="H1210" i="13"/>
  <c r="H1211" i="13"/>
  <c r="H1212" i="13"/>
  <c r="H1213" i="13"/>
  <c r="H1214" i="13"/>
  <c r="H1215" i="13"/>
  <c r="H1216" i="13"/>
  <c r="H1217" i="13"/>
  <c r="H1218" i="13"/>
  <c r="H1219" i="13"/>
  <c r="H1220" i="13"/>
  <c r="H1221" i="13"/>
  <c r="H1222" i="13"/>
  <c r="H1223" i="13"/>
  <c r="H1224" i="13"/>
  <c r="H1225" i="13"/>
  <c r="H1226" i="13"/>
  <c r="H1227" i="13"/>
  <c r="H1228" i="13"/>
  <c r="H1229" i="13"/>
  <c r="H1230" i="13"/>
  <c r="H1231" i="13"/>
  <c r="H1232" i="13"/>
  <c r="H1233" i="13"/>
  <c r="H1234" i="13"/>
  <c r="H1235" i="13"/>
  <c r="H1236" i="13"/>
  <c r="H1237" i="13"/>
  <c r="H1238" i="13"/>
  <c r="H1239" i="13"/>
  <c r="H1240" i="13"/>
  <c r="H1241" i="13"/>
  <c r="H1242" i="13"/>
  <c r="H1243" i="13"/>
  <c r="H1244" i="13"/>
  <c r="H1245" i="13"/>
  <c r="H1246" i="13"/>
  <c r="H1247" i="13"/>
  <c r="H1248" i="13"/>
  <c r="H1249" i="13"/>
  <c r="H1250" i="13"/>
  <c r="H1251" i="13"/>
  <c r="H1252" i="13"/>
  <c r="H1253" i="13"/>
  <c r="H1254" i="13"/>
  <c r="H1255" i="13"/>
  <c r="H1256" i="13"/>
  <c r="H1257" i="13"/>
  <c r="H1258" i="13"/>
  <c r="H1259" i="13"/>
  <c r="H1260" i="13"/>
  <c r="H1261" i="13"/>
  <c r="H1262" i="13"/>
  <c r="H1263" i="13"/>
  <c r="H1264" i="13"/>
  <c r="H1265" i="13"/>
  <c r="H1266" i="13"/>
  <c r="H1267" i="13"/>
  <c r="H1268" i="13"/>
  <c r="H1269" i="13"/>
  <c r="H1270" i="13"/>
  <c r="H1271" i="13"/>
  <c r="H1272" i="13"/>
  <c r="H1273" i="13"/>
  <c r="H1274" i="13"/>
  <c r="H1275" i="13"/>
  <c r="H1276" i="13"/>
  <c r="H1277" i="13"/>
  <c r="H1278" i="13"/>
  <c r="H1279" i="13"/>
  <c r="H1280" i="13"/>
  <c r="H1281" i="13"/>
  <c r="H1282" i="13"/>
  <c r="H1283" i="13"/>
  <c r="H1284" i="13"/>
  <c r="H1285" i="13"/>
  <c r="H1286" i="13"/>
  <c r="H1287" i="13"/>
  <c r="H1288" i="13"/>
  <c r="H1289" i="13"/>
  <c r="H1290" i="13"/>
  <c r="H1291" i="13"/>
  <c r="H1292" i="13"/>
  <c r="H1293" i="13"/>
  <c r="H1294" i="13"/>
  <c r="H1295" i="13"/>
  <c r="H1296" i="13"/>
  <c r="H1297" i="13"/>
  <c r="H1298" i="13"/>
  <c r="H1299" i="13"/>
  <c r="H1300" i="13"/>
  <c r="H1301" i="13"/>
  <c r="H1302" i="13"/>
  <c r="H1303" i="13"/>
  <c r="H1304" i="13"/>
  <c r="H1305" i="13"/>
  <c r="H1306" i="13"/>
  <c r="H1307" i="13"/>
  <c r="H1308" i="13"/>
  <c r="H1309" i="13"/>
  <c r="H1310" i="13"/>
  <c r="H1311" i="13"/>
  <c r="H1312" i="13"/>
  <c r="H1313" i="13"/>
  <c r="H1314" i="13"/>
  <c r="H1315" i="13"/>
  <c r="H1316" i="13"/>
  <c r="H1317" i="13"/>
  <c r="H1318" i="13"/>
  <c r="H1319" i="13"/>
  <c r="H1320" i="13"/>
  <c r="H1321" i="13"/>
  <c r="H1322" i="13"/>
  <c r="H1323" i="13"/>
  <c r="H1324" i="13"/>
  <c r="H1325" i="13"/>
  <c r="H1326" i="13"/>
  <c r="H1327" i="13"/>
  <c r="H1328" i="13"/>
  <c r="H1329" i="13"/>
  <c r="H1330" i="13"/>
  <c r="H1331" i="13"/>
  <c r="H1332" i="13"/>
  <c r="H1333" i="13"/>
  <c r="H1334" i="13"/>
  <c r="H1335" i="13"/>
  <c r="H1336" i="13"/>
  <c r="H1337" i="13"/>
  <c r="H1338" i="13"/>
  <c r="H1339" i="13"/>
  <c r="H1340" i="13"/>
  <c r="H1341" i="13"/>
  <c r="H1342" i="13"/>
  <c r="H1343" i="13"/>
  <c r="H1344" i="13"/>
  <c r="H1345" i="13"/>
  <c r="H1346" i="13"/>
  <c r="H1347" i="13"/>
  <c r="H1348" i="13"/>
  <c r="H1349" i="13"/>
  <c r="H1350" i="13"/>
  <c r="H1351" i="13"/>
  <c r="H1352" i="13"/>
  <c r="H1353" i="13"/>
  <c r="H1354" i="13"/>
  <c r="H1355" i="13"/>
  <c r="H1356" i="13"/>
  <c r="H1357" i="13"/>
  <c r="H1358" i="13"/>
  <c r="H1359" i="13"/>
  <c r="H1360" i="13"/>
  <c r="H1361" i="13"/>
  <c r="H1362" i="13"/>
  <c r="H1363" i="13"/>
  <c r="H1364" i="13"/>
  <c r="H1365" i="13"/>
  <c r="H1366" i="13"/>
  <c r="H1367" i="13"/>
  <c r="H1368" i="13"/>
  <c r="H1369" i="13"/>
  <c r="H1370" i="13"/>
  <c r="H1371" i="13"/>
  <c r="H1372" i="13"/>
  <c r="H1373" i="13"/>
  <c r="H1374" i="13"/>
  <c r="H1375" i="13"/>
  <c r="H1376" i="13"/>
  <c r="H1377" i="13"/>
  <c r="H1378" i="13"/>
  <c r="H1379" i="13"/>
  <c r="H1380" i="13"/>
  <c r="H1381" i="13"/>
  <c r="H1382" i="13"/>
  <c r="H1383" i="13"/>
  <c r="H1384" i="13"/>
  <c r="H1385" i="13"/>
  <c r="H1386" i="13"/>
  <c r="H1387" i="13"/>
  <c r="H1388" i="13"/>
  <c r="H1389" i="13"/>
  <c r="H1390" i="13"/>
  <c r="H1391" i="13"/>
  <c r="H1392" i="13"/>
  <c r="H1393" i="13"/>
  <c r="H1394" i="13"/>
  <c r="H1395" i="13"/>
  <c r="H1396" i="13"/>
  <c r="H1397" i="13"/>
  <c r="H1398" i="13"/>
  <c r="H1399" i="13"/>
  <c r="H1400" i="13"/>
  <c r="H1401" i="13"/>
  <c r="H1402" i="13"/>
  <c r="H1403" i="13"/>
  <c r="H1404" i="13"/>
  <c r="H1405" i="13"/>
  <c r="H1406" i="13"/>
  <c r="H1407" i="13"/>
  <c r="H1408" i="13"/>
  <c r="H1409" i="13"/>
  <c r="H1410" i="13"/>
  <c r="H1411" i="13"/>
  <c r="H1412" i="13"/>
  <c r="H1413" i="13"/>
  <c r="H1414" i="13"/>
  <c r="H1415" i="13"/>
  <c r="H1416" i="13"/>
  <c r="H1417" i="13"/>
  <c r="H1418" i="13"/>
  <c r="H1419" i="13"/>
  <c r="H1420" i="13"/>
  <c r="H1421" i="13"/>
  <c r="H1422" i="13"/>
  <c r="H1423" i="13"/>
  <c r="H1424" i="13"/>
  <c r="H1425" i="13"/>
  <c r="H1426" i="13"/>
  <c r="H1427" i="13"/>
  <c r="H1428" i="13"/>
  <c r="H1429" i="13"/>
  <c r="H1430" i="13"/>
  <c r="H1431" i="13"/>
  <c r="H1432" i="13"/>
  <c r="H1433" i="13"/>
  <c r="H1434" i="13"/>
  <c r="H1435" i="13"/>
  <c r="H1436" i="13"/>
  <c r="H1437" i="13"/>
  <c r="H1438" i="13"/>
  <c r="H1439" i="13"/>
  <c r="H1440" i="13"/>
  <c r="H1441" i="13"/>
  <c r="H1442" i="13"/>
  <c r="H1443" i="13"/>
  <c r="H1444" i="13"/>
  <c r="H1445" i="13"/>
  <c r="H1446" i="13"/>
  <c r="H1447" i="13"/>
  <c r="H1448" i="13"/>
  <c r="H1449" i="13"/>
  <c r="H1450" i="13"/>
  <c r="H1451" i="13"/>
  <c r="H1452" i="13"/>
  <c r="H1453" i="13"/>
  <c r="H1454" i="13"/>
  <c r="H1455" i="13"/>
  <c r="H1456" i="13"/>
  <c r="H1457" i="13"/>
  <c r="H1458" i="13"/>
  <c r="H1459" i="13"/>
  <c r="H1460" i="13"/>
  <c r="H1461" i="13"/>
  <c r="H1462" i="13"/>
  <c r="H1463" i="13"/>
  <c r="H1464" i="13"/>
  <c r="H1465" i="13"/>
  <c r="H1466" i="13"/>
  <c r="H1467" i="13"/>
  <c r="H1468" i="13"/>
  <c r="H1469" i="13"/>
  <c r="H1470" i="13"/>
  <c r="H1471" i="13"/>
  <c r="H1472" i="13"/>
  <c r="H1473" i="13"/>
  <c r="H1474" i="13"/>
  <c r="H1475" i="13"/>
  <c r="H1476" i="13"/>
  <c r="H1477" i="13"/>
  <c r="H1478" i="13"/>
  <c r="H1479" i="13"/>
  <c r="H1480" i="13"/>
  <c r="H1481" i="13"/>
  <c r="H1482" i="13"/>
  <c r="H1483" i="13"/>
  <c r="H1484" i="13"/>
  <c r="H1485" i="13"/>
  <c r="H1486" i="13"/>
  <c r="H1487" i="13"/>
  <c r="H1488" i="13"/>
  <c r="H1489" i="13"/>
  <c r="H1490" i="13"/>
  <c r="H1491" i="13"/>
  <c r="H1492" i="13"/>
  <c r="H1493" i="13"/>
  <c r="H1494" i="13"/>
  <c r="H1495" i="13"/>
  <c r="H1496" i="13"/>
  <c r="H1497" i="13"/>
  <c r="H1498" i="13"/>
  <c r="H1499" i="13"/>
  <c r="H1500" i="13"/>
  <c r="H1501" i="13"/>
  <c r="H1502" i="13"/>
  <c r="H1503" i="13"/>
  <c r="H1504" i="13"/>
  <c r="H1505" i="13"/>
  <c r="H1506" i="13"/>
  <c r="H1507" i="13"/>
  <c r="H1508" i="13"/>
  <c r="H1509" i="13"/>
  <c r="H1510" i="13"/>
  <c r="H1511" i="13"/>
  <c r="H1512" i="13"/>
  <c r="H1513" i="13"/>
  <c r="H1514" i="13"/>
  <c r="H1515" i="13"/>
  <c r="H1516" i="13"/>
  <c r="H1517" i="13"/>
  <c r="H1518" i="13"/>
  <c r="H1519" i="13"/>
  <c r="H1520" i="13"/>
  <c r="H1521" i="13"/>
  <c r="H1522" i="13"/>
  <c r="H1523" i="13"/>
  <c r="H1524" i="13"/>
  <c r="H1525" i="13"/>
  <c r="H1526" i="13"/>
  <c r="H1527" i="13"/>
  <c r="H1528" i="13"/>
  <c r="H1529" i="13"/>
  <c r="H1530" i="13"/>
  <c r="H1531" i="13"/>
  <c r="H1532" i="13"/>
  <c r="H1533" i="13"/>
  <c r="H1534" i="13"/>
  <c r="H1535" i="13"/>
  <c r="H1536" i="13"/>
  <c r="H1537" i="13"/>
  <c r="H1538" i="13"/>
  <c r="H1539" i="13"/>
  <c r="H1540" i="13"/>
  <c r="H1541" i="13"/>
  <c r="H1542" i="13"/>
  <c r="H1543" i="13"/>
  <c r="H1544" i="13"/>
  <c r="H1545" i="13"/>
  <c r="H1546" i="13"/>
  <c r="H1547" i="13"/>
  <c r="H1548" i="13"/>
  <c r="H1549" i="13"/>
  <c r="H1550" i="13"/>
  <c r="H1551" i="13"/>
  <c r="H1552" i="13"/>
  <c r="H1553" i="13"/>
  <c r="H1554" i="13"/>
  <c r="H1555" i="13"/>
  <c r="H1556" i="13"/>
  <c r="H1557" i="13"/>
  <c r="H1558" i="13"/>
  <c r="H1559" i="13"/>
  <c r="H1560" i="13"/>
  <c r="H1561" i="13"/>
  <c r="H1562" i="13"/>
  <c r="H1563" i="13"/>
  <c r="H1564" i="13"/>
  <c r="H1565" i="13"/>
  <c r="H1566" i="13"/>
  <c r="H1567" i="13"/>
  <c r="H1568" i="13"/>
  <c r="H1569" i="13"/>
  <c r="H1570" i="13"/>
  <c r="H1571" i="13"/>
  <c r="H1572" i="13"/>
  <c r="H1573" i="13"/>
  <c r="H1574" i="13"/>
  <c r="H1575" i="13"/>
  <c r="H1576" i="13"/>
  <c r="H1577" i="13"/>
  <c r="H1578" i="13"/>
  <c r="H1579" i="13"/>
  <c r="H1580" i="13"/>
  <c r="H1581" i="13"/>
  <c r="H1582" i="13"/>
  <c r="H1583" i="13"/>
  <c r="H1584" i="13"/>
  <c r="H1585" i="13"/>
  <c r="H1586" i="13"/>
  <c r="H1587" i="13"/>
  <c r="H1588" i="13"/>
  <c r="H1589" i="13"/>
  <c r="H1590" i="13"/>
  <c r="H1591" i="13"/>
  <c r="H1592" i="13"/>
  <c r="H1593" i="13"/>
  <c r="H1594" i="13"/>
  <c r="H1595" i="13"/>
  <c r="H1596" i="13"/>
  <c r="H1597" i="13"/>
  <c r="H1598" i="13"/>
  <c r="H1599" i="13"/>
  <c r="H1600" i="13"/>
  <c r="H1601" i="13"/>
  <c r="H1602" i="13"/>
  <c r="H1603" i="13"/>
  <c r="H1604" i="13"/>
  <c r="H1605" i="13"/>
  <c r="H1606" i="13"/>
  <c r="H1607" i="13"/>
  <c r="H1608" i="13"/>
  <c r="H1609" i="13"/>
  <c r="H1610" i="13"/>
  <c r="H1611" i="13"/>
  <c r="H1612" i="13"/>
  <c r="H1613" i="13"/>
  <c r="H1614" i="13"/>
  <c r="H1615" i="13"/>
  <c r="H1616" i="13"/>
  <c r="H1617" i="13"/>
  <c r="H1618" i="13"/>
  <c r="H1619" i="13"/>
  <c r="H1620" i="13"/>
  <c r="H1621" i="13"/>
  <c r="H1622" i="13"/>
  <c r="H1623" i="13"/>
  <c r="H1624" i="13"/>
  <c r="H1625" i="13"/>
  <c r="H1626" i="13"/>
  <c r="H1627" i="13"/>
  <c r="H1628" i="13"/>
  <c r="H1629" i="13"/>
  <c r="H1630" i="13"/>
  <c r="H1631" i="13"/>
  <c r="H1632" i="13"/>
  <c r="H1633" i="13"/>
  <c r="H1634" i="13"/>
  <c r="H1635" i="13"/>
  <c r="H1636" i="13"/>
  <c r="H1637" i="13"/>
  <c r="H1638" i="13"/>
  <c r="H1639" i="13"/>
  <c r="H1640" i="13"/>
  <c r="H1641" i="13"/>
  <c r="H1642" i="13"/>
  <c r="H1643" i="13"/>
  <c r="H1644" i="13"/>
  <c r="H1645" i="13"/>
  <c r="H1646" i="13"/>
  <c r="H1647" i="13"/>
  <c r="H1648" i="13"/>
  <c r="H1649" i="13"/>
  <c r="H1650" i="13"/>
  <c r="H1651" i="13"/>
  <c r="H1652" i="13"/>
  <c r="H1653" i="13"/>
  <c r="H1654" i="13"/>
  <c r="H1655" i="13"/>
  <c r="H1656" i="13"/>
  <c r="H1657" i="13"/>
  <c r="H1658" i="13"/>
  <c r="H1659" i="13"/>
  <c r="H1660" i="13"/>
  <c r="H1661" i="13"/>
  <c r="H1662" i="13"/>
  <c r="H1663" i="13"/>
  <c r="H1664" i="13"/>
  <c r="H1665" i="13"/>
  <c r="H1666" i="13"/>
  <c r="H1667" i="13"/>
  <c r="H1668" i="13"/>
  <c r="H1669" i="13"/>
  <c r="H1670" i="13"/>
  <c r="H1671" i="13"/>
  <c r="H1672" i="13"/>
  <c r="H1673" i="13"/>
  <c r="H1674" i="13"/>
  <c r="H1675" i="13"/>
  <c r="H1676" i="13"/>
  <c r="H1677" i="13"/>
  <c r="H1678" i="13"/>
  <c r="H1679" i="13"/>
  <c r="H1680" i="13"/>
  <c r="H1681" i="13"/>
  <c r="H1682" i="13"/>
  <c r="H1683" i="13"/>
  <c r="H1684" i="13"/>
  <c r="H1685" i="13"/>
  <c r="H1686" i="13"/>
  <c r="H1687" i="13"/>
  <c r="H1688" i="13"/>
  <c r="H1689" i="13"/>
  <c r="H1690" i="13"/>
  <c r="H1691" i="13"/>
  <c r="H1692" i="13"/>
  <c r="H1693" i="13"/>
  <c r="H1694" i="13"/>
  <c r="H1695" i="13"/>
  <c r="H1696" i="13"/>
  <c r="H1697" i="13"/>
  <c r="H1698" i="13"/>
  <c r="H1699" i="13"/>
  <c r="H1700" i="13"/>
  <c r="H1701" i="13"/>
  <c r="H1702" i="13"/>
  <c r="H1703" i="13"/>
  <c r="H1704" i="13"/>
  <c r="H1705" i="13"/>
  <c r="H1706" i="13"/>
  <c r="H1707" i="13"/>
  <c r="H1708" i="13"/>
  <c r="H1709" i="13"/>
  <c r="H1710" i="13"/>
  <c r="H1711" i="13"/>
  <c r="H1712" i="13"/>
  <c r="H1713" i="13"/>
  <c r="H1714" i="13"/>
  <c r="H1715" i="13"/>
  <c r="H1716" i="13"/>
  <c r="H1717" i="13"/>
  <c r="H1718" i="13"/>
  <c r="H1719" i="13"/>
  <c r="H1720" i="13"/>
  <c r="H1721" i="13"/>
  <c r="H1722" i="13"/>
  <c r="H1723" i="13"/>
  <c r="H1724" i="13"/>
  <c r="H1725" i="13"/>
  <c r="H1726" i="13"/>
  <c r="H1727" i="13"/>
  <c r="H1728" i="13"/>
  <c r="H1729" i="13"/>
  <c r="H1730" i="13"/>
  <c r="H1731" i="13"/>
  <c r="H1732" i="13"/>
  <c r="H1733" i="13"/>
  <c r="H1734" i="13"/>
  <c r="H1735" i="13"/>
  <c r="H1736" i="13"/>
  <c r="H1737" i="13"/>
  <c r="H1738" i="13"/>
  <c r="H1739" i="13"/>
  <c r="H1740" i="13"/>
  <c r="H1741" i="13"/>
  <c r="H1742" i="13"/>
  <c r="H1743" i="13"/>
  <c r="H1744" i="13"/>
  <c r="H1745" i="13"/>
  <c r="H1746" i="13"/>
  <c r="H1747" i="13"/>
  <c r="H1748" i="13"/>
  <c r="H1749" i="13"/>
  <c r="H1750" i="13"/>
  <c r="H1751" i="13"/>
  <c r="H1752" i="13"/>
  <c r="H1753" i="13"/>
  <c r="H1754" i="13"/>
  <c r="H1755" i="13"/>
  <c r="H1756" i="13"/>
  <c r="H1757" i="13"/>
  <c r="H1758" i="13"/>
  <c r="H1759" i="13"/>
  <c r="H1760" i="13"/>
  <c r="H1761" i="13"/>
  <c r="H1762" i="13"/>
  <c r="H1763" i="13"/>
  <c r="H1764" i="13"/>
  <c r="H1765" i="13"/>
  <c r="H1766" i="13"/>
  <c r="H1767" i="13"/>
  <c r="H1768" i="13"/>
  <c r="H1769" i="13"/>
  <c r="H1770" i="13"/>
  <c r="H1771" i="13"/>
  <c r="H1772" i="13"/>
  <c r="H1773" i="13"/>
  <c r="H1774" i="13"/>
  <c r="H1775" i="13"/>
  <c r="H1776" i="13"/>
  <c r="H1777" i="13"/>
  <c r="H1778" i="13"/>
  <c r="H1779" i="13"/>
  <c r="H1780" i="13"/>
  <c r="H1781" i="13"/>
  <c r="H1782" i="13"/>
  <c r="H1783" i="13"/>
  <c r="H1784" i="13"/>
  <c r="H1785" i="13"/>
  <c r="H1786" i="13"/>
  <c r="H1787" i="13"/>
  <c r="H1788" i="13"/>
  <c r="H1789" i="13"/>
  <c r="H1790" i="13"/>
  <c r="H1791" i="13"/>
  <c r="H1792" i="13"/>
  <c r="H1793" i="13"/>
  <c r="H1794" i="13"/>
  <c r="H1795" i="13"/>
  <c r="H1796" i="13"/>
  <c r="H1797" i="13"/>
  <c r="H1798" i="13"/>
  <c r="H1799" i="13"/>
  <c r="H1800" i="13"/>
  <c r="H1801" i="13"/>
  <c r="H1802" i="13"/>
  <c r="H1803" i="13"/>
  <c r="H1804" i="13"/>
  <c r="H1805" i="13"/>
  <c r="H1806" i="13"/>
  <c r="H1807" i="13"/>
  <c r="H1808" i="13"/>
  <c r="H1809" i="13"/>
  <c r="H1810" i="13"/>
  <c r="H1811" i="13"/>
  <c r="H1812" i="13"/>
  <c r="H1813" i="13"/>
  <c r="H1814" i="13"/>
  <c r="H1815" i="13"/>
  <c r="H1816" i="13"/>
  <c r="H1817" i="13"/>
  <c r="H1818" i="13"/>
  <c r="H1819" i="13"/>
  <c r="H1820" i="13"/>
  <c r="H1821" i="13"/>
  <c r="H1822" i="13"/>
  <c r="H1823" i="13"/>
  <c r="H1824" i="13"/>
  <c r="H1825" i="13"/>
  <c r="H1826" i="13"/>
  <c r="H1827" i="13"/>
  <c r="H1828" i="13"/>
  <c r="H1829" i="13"/>
  <c r="H1830" i="13"/>
  <c r="H1831" i="13"/>
  <c r="H1832" i="13"/>
  <c r="H1833" i="13"/>
  <c r="H1834" i="13"/>
  <c r="H1835" i="13"/>
  <c r="H1836" i="13"/>
  <c r="H1837" i="13"/>
  <c r="H1838" i="13"/>
  <c r="H1839" i="13"/>
  <c r="H1840" i="13"/>
  <c r="H1841" i="13"/>
  <c r="H1842" i="13"/>
  <c r="H1843" i="13"/>
  <c r="H1844" i="13"/>
  <c r="H1845" i="13"/>
  <c r="H1846" i="13"/>
  <c r="H1847" i="13"/>
  <c r="H1848" i="13"/>
  <c r="H1849" i="13"/>
  <c r="H1850" i="13"/>
  <c r="H1851" i="13"/>
  <c r="H1852" i="13"/>
  <c r="H1853" i="13"/>
  <c r="H1854" i="13"/>
  <c r="H1855" i="13"/>
  <c r="H1856" i="13"/>
  <c r="H1857" i="13"/>
  <c r="H1858" i="13"/>
  <c r="H1859" i="13"/>
  <c r="H1860" i="13"/>
  <c r="H1861" i="13"/>
  <c r="H1862" i="13"/>
  <c r="H1863" i="13"/>
  <c r="H1864" i="13"/>
  <c r="H1865" i="13"/>
  <c r="H1866" i="13"/>
  <c r="H1867" i="13"/>
  <c r="H1868" i="13"/>
  <c r="H1869" i="13"/>
  <c r="H1870" i="13"/>
  <c r="H1871" i="13"/>
  <c r="H1872" i="13"/>
  <c r="H1873" i="13"/>
  <c r="H1874" i="13"/>
  <c r="H1875" i="13"/>
  <c r="H1876" i="13"/>
  <c r="H1877" i="13"/>
  <c r="H1878" i="13"/>
  <c r="H1879" i="13"/>
  <c r="H1880" i="13"/>
  <c r="H1881" i="13"/>
  <c r="H1882" i="13"/>
  <c r="H1883" i="13"/>
  <c r="H1884" i="13"/>
  <c r="H1885" i="13"/>
  <c r="H1886" i="13"/>
  <c r="H1887" i="13"/>
  <c r="H1888" i="13"/>
  <c r="H1889" i="13"/>
  <c r="H1890" i="13"/>
  <c r="H1891" i="13"/>
  <c r="H1892" i="13"/>
  <c r="H1893" i="13"/>
  <c r="H1894" i="13"/>
  <c r="H1895" i="13"/>
  <c r="H1896" i="13"/>
  <c r="H1897" i="13"/>
  <c r="H1898" i="13"/>
  <c r="H1899" i="13"/>
  <c r="H1900" i="13"/>
  <c r="H1901" i="13"/>
  <c r="H1902" i="13"/>
  <c r="H1903" i="13"/>
  <c r="H1904" i="13"/>
  <c r="H1905" i="13"/>
  <c r="H1906" i="13"/>
  <c r="H1907" i="13"/>
  <c r="H1908" i="13"/>
  <c r="H1909" i="13"/>
  <c r="H1910" i="13"/>
  <c r="H1911" i="13"/>
  <c r="H1912" i="13"/>
  <c r="H1913" i="13"/>
  <c r="H1914" i="13"/>
  <c r="H1915" i="13"/>
  <c r="H1916" i="13"/>
  <c r="H1917" i="13"/>
  <c r="H1918" i="13"/>
  <c r="H1919" i="13"/>
  <c r="H1920" i="13"/>
  <c r="H1921" i="13"/>
  <c r="H1922" i="13"/>
  <c r="H1923" i="13"/>
  <c r="H1924" i="13"/>
  <c r="H1925" i="13"/>
  <c r="H1926" i="13"/>
  <c r="H1927" i="13"/>
  <c r="H1928" i="13"/>
  <c r="H1929" i="13"/>
  <c r="H1930" i="13"/>
  <c r="H1931" i="13"/>
  <c r="H1932" i="13"/>
  <c r="H1933" i="13"/>
  <c r="H1934" i="13"/>
  <c r="H1935" i="13"/>
  <c r="H1936" i="13"/>
  <c r="H1937" i="13"/>
  <c r="H1938" i="13"/>
  <c r="H1939" i="13"/>
  <c r="H1940" i="13"/>
  <c r="H1941" i="13"/>
  <c r="H1942" i="13"/>
  <c r="H1943" i="13"/>
  <c r="H1944" i="13"/>
  <c r="H1945" i="13"/>
  <c r="H1946" i="13"/>
  <c r="H1947" i="13"/>
  <c r="H1948" i="13"/>
  <c r="H1949" i="13"/>
  <c r="H1950" i="13"/>
  <c r="H1951" i="13"/>
  <c r="H1952" i="13"/>
  <c r="H1953" i="13"/>
  <c r="H1954" i="13"/>
  <c r="H1955" i="13"/>
  <c r="H1956" i="13"/>
  <c r="H1957" i="13"/>
  <c r="H1958" i="13"/>
  <c r="H1959" i="13"/>
  <c r="H1960" i="13"/>
  <c r="H1961" i="13"/>
  <c r="H1962" i="13"/>
  <c r="H1963" i="13"/>
  <c r="H1964" i="13"/>
  <c r="H1965" i="13"/>
  <c r="H1966" i="13"/>
  <c r="H1967" i="13"/>
  <c r="H1968" i="13"/>
  <c r="H1969" i="13"/>
  <c r="H1970" i="13"/>
  <c r="H1971" i="13"/>
  <c r="H1972" i="13"/>
  <c r="H1973" i="13"/>
  <c r="H1974" i="13"/>
  <c r="H1975" i="13"/>
  <c r="H1976" i="13"/>
  <c r="H1977" i="13"/>
  <c r="H1978" i="13"/>
  <c r="H1979" i="13"/>
  <c r="H1980" i="13"/>
  <c r="H1981" i="13"/>
  <c r="H1982" i="13"/>
  <c r="H1983" i="13"/>
  <c r="H1984" i="13"/>
  <c r="H1985" i="13"/>
  <c r="H1986" i="13"/>
  <c r="H1987" i="13"/>
  <c r="H1988" i="13"/>
  <c r="H1989" i="13"/>
  <c r="H1990" i="13"/>
  <c r="H1991" i="13"/>
  <c r="H1992" i="13"/>
  <c r="H1993" i="13"/>
  <c r="H1994" i="13"/>
  <c r="H1995" i="13"/>
  <c r="H1996" i="13"/>
  <c r="H1997" i="13"/>
  <c r="H1998" i="13"/>
  <c r="H1999" i="13"/>
  <c r="H2000" i="13"/>
  <c r="H2001" i="13"/>
  <c r="H2002" i="13"/>
  <c r="H2003" i="13"/>
  <c r="H2004" i="13"/>
  <c r="H2005" i="13"/>
  <c r="H2006" i="13"/>
  <c r="H2007" i="13"/>
  <c r="H2008" i="13"/>
  <c r="H2009" i="13"/>
  <c r="H2010" i="13"/>
  <c r="H2011" i="13"/>
  <c r="H2012" i="13"/>
  <c r="H2013" i="13"/>
  <c r="H2014" i="13"/>
  <c r="H2015" i="13"/>
  <c r="H2016" i="13"/>
  <c r="H2017" i="13"/>
  <c r="H2018" i="13"/>
  <c r="H2019" i="13"/>
  <c r="H2020" i="13"/>
  <c r="H2021" i="13"/>
  <c r="H2022" i="13"/>
  <c r="H2023" i="13"/>
  <c r="H2024" i="13"/>
  <c r="H2025" i="13"/>
  <c r="H2026" i="13"/>
  <c r="H2027" i="13"/>
  <c r="H2028" i="13"/>
  <c r="H2029" i="13"/>
  <c r="H2030" i="13"/>
  <c r="H2031" i="13"/>
  <c r="H2032" i="13"/>
  <c r="H2033" i="13"/>
  <c r="H2034" i="13"/>
  <c r="H2035" i="13"/>
  <c r="H2036" i="13"/>
  <c r="H2037" i="13"/>
  <c r="H2038" i="13"/>
  <c r="H2039" i="13"/>
  <c r="H2040" i="13"/>
  <c r="H2041" i="13"/>
  <c r="H2042" i="13"/>
  <c r="H2043" i="13"/>
  <c r="H2044" i="13"/>
  <c r="H2045" i="13"/>
  <c r="H2046" i="13"/>
  <c r="H2047" i="13"/>
  <c r="H2048" i="13"/>
  <c r="H2049" i="13"/>
  <c r="H2050" i="13"/>
  <c r="H2051" i="13"/>
  <c r="H2052" i="13"/>
  <c r="H2053" i="13"/>
  <c r="H2054" i="13"/>
  <c r="H2055" i="13"/>
  <c r="H2056" i="13"/>
  <c r="H2057" i="13"/>
  <c r="H2058" i="13"/>
  <c r="H2059" i="13"/>
  <c r="H2060" i="13"/>
  <c r="H2061" i="13"/>
  <c r="H2062" i="13"/>
  <c r="H2063" i="13"/>
  <c r="H2064" i="13"/>
  <c r="H2065" i="13"/>
  <c r="H2066" i="13"/>
  <c r="H2067" i="13"/>
  <c r="H2068" i="13"/>
  <c r="H2069" i="13"/>
  <c r="H2070" i="13"/>
  <c r="H2071" i="13"/>
  <c r="H2072" i="13"/>
  <c r="H2073" i="13"/>
  <c r="H2074" i="13"/>
  <c r="H2075" i="13"/>
  <c r="H2076" i="13"/>
  <c r="H2077" i="13"/>
  <c r="H2078" i="13"/>
  <c r="H2079" i="13"/>
  <c r="H2080" i="13"/>
  <c r="H2081" i="13"/>
  <c r="H2082" i="13"/>
  <c r="H2083" i="13"/>
  <c r="H2084" i="13"/>
  <c r="H2085" i="13"/>
  <c r="H2086" i="13"/>
  <c r="H2087" i="13"/>
  <c r="H2088" i="13"/>
  <c r="H2089" i="13"/>
  <c r="H2090" i="13"/>
  <c r="H2091" i="13"/>
  <c r="H2092" i="13"/>
  <c r="H2093" i="13"/>
  <c r="H2094" i="13"/>
  <c r="H2095" i="13"/>
  <c r="H2096" i="13"/>
  <c r="H2097" i="13"/>
  <c r="H2098" i="13"/>
  <c r="H2099" i="13"/>
  <c r="H2100" i="13"/>
  <c r="H2101" i="13"/>
  <c r="H2102" i="13"/>
  <c r="H2103" i="13"/>
  <c r="H2104" i="13"/>
  <c r="H2105" i="13"/>
  <c r="H2106" i="13"/>
  <c r="H2107" i="13"/>
  <c r="H2108" i="13"/>
  <c r="H2109" i="13"/>
  <c r="H2110" i="13"/>
  <c r="H2111" i="13"/>
  <c r="H2112" i="13"/>
  <c r="H2113" i="13"/>
  <c r="H2114" i="13"/>
  <c r="H2115" i="13"/>
  <c r="H2116" i="13"/>
  <c r="H2117" i="13"/>
  <c r="H2118" i="13"/>
  <c r="H2119" i="13"/>
  <c r="H2120" i="13"/>
  <c r="H2121" i="13"/>
  <c r="H2122" i="13"/>
  <c r="H2123" i="13"/>
  <c r="H2124" i="13"/>
  <c r="H2125" i="13"/>
  <c r="H2126" i="13"/>
  <c r="H2127" i="13"/>
  <c r="H2128" i="13"/>
  <c r="H2129" i="13"/>
  <c r="H2130" i="13"/>
  <c r="H2131" i="13"/>
  <c r="H2132" i="13"/>
  <c r="H2133" i="13"/>
  <c r="H2134" i="13"/>
  <c r="H2135" i="13"/>
  <c r="H2136" i="13"/>
  <c r="H2137" i="13"/>
  <c r="H2138" i="13"/>
  <c r="H2139" i="13"/>
  <c r="H2140" i="13"/>
  <c r="H2141" i="13"/>
  <c r="H2142" i="13"/>
  <c r="H2143" i="13"/>
  <c r="H2144" i="13"/>
  <c r="H2145" i="13"/>
  <c r="H2146" i="13"/>
  <c r="H2147" i="13"/>
  <c r="H2148" i="13"/>
  <c r="H2149" i="13"/>
  <c r="H2150" i="13"/>
  <c r="H2151" i="13"/>
  <c r="H2152" i="13"/>
  <c r="H2153" i="13"/>
  <c r="H2154" i="13"/>
  <c r="H2155" i="13"/>
  <c r="H2156" i="13"/>
  <c r="H2157" i="13"/>
  <c r="H2158" i="13"/>
  <c r="H2159" i="13"/>
  <c r="H2160" i="13"/>
  <c r="H2161" i="13"/>
  <c r="H2162" i="13"/>
  <c r="H2163" i="13"/>
  <c r="H2164" i="13"/>
  <c r="H2165" i="13"/>
  <c r="H2166" i="13"/>
  <c r="H2167" i="13"/>
  <c r="H2168" i="13"/>
  <c r="H2169" i="13"/>
  <c r="H2170" i="13"/>
  <c r="H2171" i="13"/>
  <c r="H2172" i="13"/>
  <c r="H2173" i="13"/>
  <c r="H2174" i="13"/>
  <c r="H2175" i="13"/>
  <c r="H2176" i="13"/>
  <c r="H2177" i="13"/>
  <c r="H2178" i="13"/>
  <c r="H2179" i="13"/>
  <c r="H2180" i="13"/>
  <c r="H2181" i="13"/>
  <c r="H2182" i="13"/>
  <c r="H2183" i="13"/>
  <c r="H2184" i="13"/>
  <c r="H2185" i="13"/>
  <c r="H2186" i="13"/>
  <c r="H2187" i="13"/>
  <c r="H2188" i="13"/>
  <c r="H2189" i="13"/>
  <c r="H2190" i="13"/>
  <c r="H2191" i="13"/>
  <c r="H2192" i="13"/>
  <c r="H2193" i="13"/>
  <c r="H2194" i="13"/>
  <c r="H2195" i="13"/>
  <c r="H2196" i="13"/>
  <c r="H2197" i="13"/>
  <c r="H2198" i="13"/>
  <c r="H2199" i="13"/>
  <c r="H2200" i="13"/>
  <c r="H2201" i="13"/>
  <c r="H2202" i="13"/>
  <c r="H2203" i="13"/>
  <c r="H2204" i="13"/>
  <c r="H2205" i="13"/>
  <c r="H2206" i="13"/>
  <c r="H2207" i="13"/>
  <c r="H2208" i="13"/>
  <c r="H2209" i="13"/>
  <c r="H2210" i="13"/>
  <c r="H2211" i="13"/>
  <c r="H2212" i="13"/>
  <c r="H2213" i="13"/>
  <c r="H2214" i="13"/>
  <c r="H2215" i="13"/>
  <c r="H2216" i="13"/>
  <c r="H2217" i="13"/>
  <c r="H2218" i="13"/>
  <c r="H2219" i="13"/>
  <c r="H2220" i="13"/>
  <c r="H2221" i="13"/>
  <c r="H2222" i="13"/>
  <c r="H2223" i="13"/>
  <c r="H2224" i="13"/>
  <c r="H2225" i="13"/>
  <c r="H2226" i="13"/>
  <c r="H2227" i="13"/>
  <c r="H2228" i="13"/>
  <c r="H2229" i="13"/>
  <c r="H2230" i="13"/>
  <c r="H2231" i="13"/>
  <c r="H2232" i="13"/>
  <c r="H2233" i="13"/>
  <c r="H2234" i="13"/>
  <c r="H2235" i="13"/>
  <c r="H2236" i="13"/>
  <c r="H2237" i="13"/>
  <c r="H2238" i="13"/>
  <c r="H2239" i="13"/>
  <c r="H2240" i="13"/>
  <c r="H2241" i="13"/>
  <c r="H2242" i="13"/>
  <c r="H2243" i="13"/>
  <c r="H2244" i="13"/>
  <c r="H2245" i="13"/>
  <c r="H2246" i="13"/>
  <c r="H2247" i="13"/>
  <c r="H2248" i="13"/>
  <c r="H2249" i="13"/>
  <c r="H2250" i="13"/>
  <c r="H2251" i="13"/>
  <c r="H2252" i="13"/>
  <c r="H2253" i="13"/>
  <c r="H2254" i="13"/>
  <c r="H2255" i="13"/>
  <c r="H2256" i="13"/>
  <c r="H2257" i="13"/>
  <c r="H2258" i="13"/>
  <c r="H2259" i="13"/>
  <c r="H2260" i="13"/>
  <c r="H2261" i="13"/>
  <c r="H2262" i="13"/>
  <c r="H2263" i="13"/>
  <c r="H2264" i="13"/>
  <c r="H2265" i="13"/>
  <c r="H2266" i="13"/>
  <c r="H2267" i="13"/>
  <c r="H2268" i="13"/>
  <c r="H2269" i="13"/>
  <c r="H2270" i="13"/>
  <c r="H2271" i="13"/>
  <c r="H2272" i="13"/>
  <c r="H2273" i="13"/>
  <c r="H2274" i="13"/>
  <c r="H2275" i="13"/>
  <c r="H2276" i="13"/>
  <c r="H2277" i="13"/>
  <c r="H2278" i="13"/>
  <c r="H2279" i="13"/>
  <c r="H2280" i="13"/>
  <c r="H2281" i="13"/>
  <c r="H2282" i="13"/>
  <c r="H2283" i="13"/>
  <c r="H2284" i="13"/>
  <c r="H2285" i="13"/>
  <c r="H2286" i="13"/>
  <c r="H2287" i="13"/>
  <c r="H2288" i="13"/>
  <c r="H2289" i="13"/>
  <c r="H2290" i="13"/>
  <c r="H2291" i="13"/>
  <c r="H2292" i="13"/>
  <c r="H2293" i="13"/>
  <c r="H2294" i="13"/>
  <c r="H2295" i="13"/>
  <c r="H2296" i="13"/>
  <c r="H2297" i="13"/>
  <c r="H2298" i="13"/>
  <c r="H2299" i="13"/>
  <c r="H2300" i="13"/>
  <c r="H2301" i="13"/>
  <c r="H2302" i="13"/>
  <c r="H2303" i="13"/>
  <c r="H2304" i="13"/>
  <c r="H2305" i="13"/>
  <c r="H2306" i="13"/>
  <c r="H2307" i="13"/>
  <c r="H2308" i="13"/>
  <c r="H2309" i="13"/>
  <c r="H2310" i="13"/>
  <c r="H2311" i="13"/>
  <c r="H2312" i="13"/>
  <c r="H2313" i="13"/>
  <c r="H2314" i="13"/>
  <c r="H2315" i="13"/>
  <c r="H2316" i="13"/>
  <c r="H2317" i="13"/>
  <c r="H2318" i="13"/>
  <c r="H2319" i="13"/>
  <c r="H2320" i="13"/>
  <c r="H2321" i="13"/>
  <c r="H2322" i="13"/>
  <c r="H2323" i="13"/>
  <c r="H2324" i="13"/>
  <c r="H2325" i="13"/>
  <c r="H2326" i="13"/>
  <c r="H2327" i="13"/>
  <c r="H2328" i="13"/>
  <c r="H2329" i="13"/>
  <c r="H2330" i="13"/>
  <c r="H2331" i="13"/>
  <c r="H2332" i="13"/>
  <c r="H2333" i="13"/>
  <c r="H2334" i="13"/>
  <c r="H2335" i="13"/>
  <c r="H2336" i="13"/>
  <c r="H2337" i="13"/>
  <c r="H2338" i="13"/>
  <c r="H2339" i="13"/>
  <c r="H2340" i="13"/>
  <c r="H2341" i="13"/>
  <c r="H2342" i="13"/>
  <c r="H2343" i="13"/>
  <c r="H2344" i="13"/>
  <c r="H2345" i="13"/>
  <c r="H2346" i="13"/>
  <c r="H2347" i="13"/>
  <c r="H2348" i="13"/>
  <c r="H2349" i="13"/>
  <c r="H2350" i="13"/>
  <c r="H2351" i="13"/>
  <c r="H2352" i="13"/>
  <c r="H2353" i="13"/>
  <c r="H2354" i="13"/>
  <c r="H2355" i="13"/>
  <c r="H2356" i="13"/>
  <c r="H2357" i="13"/>
  <c r="H2358" i="13"/>
  <c r="H2359" i="13"/>
  <c r="H2360" i="13"/>
  <c r="H2361" i="13"/>
  <c r="H2362" i="13"/>
  <c r="H2363" i="13"/>
  <c r="H2364" i="13"/>
  <c r="H2365" i="13"/>
  <c r="H2366" i="13"/>
  <c r="H2367" i="13"/>
  <c r="H2368" i="13"/>
  <c r="H2369" i="13"/>
  <c r="H2370" i="13"/>
  <c r="H2371" i="13"/>
  <c r="H2372" i="13"/>
  <c r="H2373" i="13"/>
  <c r="H2374" i="13"/>
  <c r="H2375" i="13"/>
  <c r="H2376" i="13"/>
  <c r="H2377" i="13"/>
  <c r="H2378" i="13"/>
  <c r="H2379" i="13"/>
  <c r="H2380" i="13"/>
  <c r="H2381" i="13"/>
  <c r="H2382" i="13"/>
  <c r="H2383" i="13"/>
  <c r="H2384" i="13"/>
  <c r="H2385" i="13"/>
  <c r="H2386" i="13"/>
  <c r="H2387" i="13"/>
  <c r="H2388" i="13"/>
  <c r="H2389" i="13"/>
  <c r="H2390" i="13"/>
  <c r="H2391" i="13"/>
  <c r="H2392" i="13"/>
  <c r="H2393" i="13"/>
  <c r="H2394" i="13"/>
  <c r="H2395" i="13"/>
  <c r="H2396" i="13"/>
  <c r="H2397" i="13"/>
  <c r="H2398" i="13"/>
  <c r="H2399" i="13"/>
  <c r="H2400" i="13"/>
  <c r="H2401" i="13"/>
  <c r="H2402" i="13"/>
  <c r="H2403" i="13"/>
  <c r="H2404" i="13"/>
  <c r="H2405" i="13"/>
  <c r="H2406" i="13"/>
  <c r="H2407" i="13"/>
  <c r="H2408" i="13"/>
  <c r="H2409" i="13"/>
  <c r="H2410" i="13"/>
  <c r="H2411" i="13"/>
  <c r="H2412" i="13"/>
  <c r="H2413" i="13"/>
  <c r="H2414" i="13"/>
  <c r="H2415" i="13"/>
  <c r="H2416" i="13"/>
  <c r="H2417" i="13"/>
  <c r="H2418" i="13"/>
  <c r="H2419" i="13"/>
  <c r="H2420" i="13"/>
  <c r="H2421" i="13"/>
  <c r="H2422" i="13"/>
  <c r="H2423" i="13"/>
  <c r="H2424" i="13"/>
  <c r="H2425" i="13"/>
  <c r="H2426" i="13"/>
  <c r="H2427" i="13"/>
  <c r="H2428" i="13"/>
  <c r="H2429" i="13"/>
  <c r="H2430" i="13"/>
  <c r="H2431" i="13"/>
  <c r="H2432" i="13"/>
  <c r="H2433" i="13"/>
  <c r="H2434" i="13"/>
  <c r="H2435" i="13"/>
  <c r="H2436" i="13"/>
  <c r="H2437" i="13"/>
  <c r="H2438" i="13"/>
  <c r="H2439" i="13"/>
  <c r="H2440" i="13"/>
  <c r="H2441" i="13"/>
  <c r="H2442" i="13"/>
  <c r="H2443" i="13"/>
  <c r="H2444" i="13"/>
  <c r="H2445" i="13"/>
  <c r="H2446" i="13"/>
  <c r="H2447" i="13"/>
  <c r="H2448" i="13"/>
  <c r="H2449" i="13"/>
  <c r="H2450" i="13"/>
  <c r="H2451" i="13"/>
  <c r="H2452" i="13"/>
  <c r="H2453" i="13"/>
  <c r="H2454" i="13"/>
  <c r="H2455" i="13"/>
  <c r="H2456" i="13"/>
  <c r="H2457" i="13"/>
  <c r="H2458" i="13"/>
  <c r="H2459" i="13"/>
  <c r="H2460" i="13"/>
  <c r="H2461" i="13"/>
  <c r="H2462" i="13"/>
  <c r="H2463" i="13"/>
  <c r="H2464" i="13"/>
  <c r="H2465" i="13"/>
  <c r="H2466" i="13"/>
  <c r="H2467" i="13"/>
  <c r="H2468" i="13"/>
  <c r="H2469" i="13"/>
  <c r="H2470" i="13"/>
  <c r="H2471" i="13"/>
  <c r="H2472" i="13"/>
  <c r="H2473" i="13"/>
  <c r="H2474" i="13"/>
  <c r="H2475" i="13"/>
  <c r="H2476" i="13"/>
  <c r="H2477" i="13"/>
  <c r="H2478" i="13"/>
  <c r="H2479" i="13"/>
  <c r="H2480" i="13"/>
  <c r="H2481" i="13"/>
  <c r="H2482" i="13"/>
  <c r="H2483" i="13"/>
  <c r="H2484" i="13"/>
  <c r="H2485" i="13"/>
  <c r="H2486" i="13"/>
  <c r="H2487" i="13"/>
  <c r="H2488" i="13"/>
  <c r="H2489" i="13"/>
  <c r="H2490" i="13"/>
  <c r="H2491" i="13"/>
  <c r="H2492" i="13"/>
  <c r="H2493" i="13"/>
  <c r="H2494" i="13"/>
  <c r="H2495" i="13"/>
  <c r="H2496" i="13"/>
  <c r="H2497" i="13"/>
  <c r="H2498" i="13"/>
  <c r="H2499" i="13"/>
  <c r="H2500" i="13"/>
  <c r="H2501" i="13"/>
  <c r="H2502" i="13"/>
  <c r="H2503" i="13"/>
  <c r="H2504" i="13"/>
  <c r="H2505" i="13"/>
  <c r="H2506" i="13"/>
  <c r="H2507" i="13"/>
  <c r="H2508" i="13"/>
  <c r="H2509" i="13"/>
  <c r="H2510" i="13"/>
  <c r="H2511" i="13"/>
  <c r="H2512" i="13"/>
  <c r="H2513" i="13"/>
  <c r="H2514" i="13"/>
  <c r="H2515" i="13"/>
  <c r="H2516" i="13"/>
  <c r="H2517" i="13"/>
  <c r="H2518" i="13"/>
  <c r="H2519" i="13"/>
  <c r="H2520" i="13"/>
  <c r="H2521" i="13"/>
  <c r="H2522" i="13"/>
  <c r="H2523" i="13"/>
  <c r="H2524" i="13"/>
  <c r="H2525" i="13"/>
  <c r="H2526" i="13"/>
  <c r="H2527" i="13"/>
  <c r="H2528" i="13"/>
  <c r="H2529" i="13"/>
  <c r="H2530" i="13"/>
  <c r="H2531" i="13"/>
  <c r="H2532" i="13"/>
  <c r="H2533" i="13"/>
  <c r="H2534" i="13"/>
  <c r="H2535" i="13"/>
  <c r="H2536" i="13"/>
  <c r="H2537" i="13"/>
  <c r="H2538" i="13"/>
  <c r="H2539" i="13"/>
  <c r="H2540" i="13"/>
  <c r="H2541" i="13"/>
  <c r="H2542" i="13"/>
  <c r="H2543" i="13"/>
  <c r="H2544" i="13"/>
  <c r="H2545" i="13"/>
  <c r="H2546" i="13"/>
  <c r="H2547" i="13"/>
  <c r="H2548" i="13"/>
  <c r="H2549" i="13"/>
  <c r="H2550" i="13"/>
  <c r="H2551" i="13"/>
  <c r="H2552" i="13"/>
  <c r="H2553" i="13"/>
  <c r="H2554" i="13"/>
  <c r="H2555" i="13"/>
  <c r="H2556" i="13"/>
  <c r="H2557" i="13"/>
  <c r="H2558" i="13"/>
  <c r="H2559" i="13"/>
  <c r="H2560" i="13"/>
  <c r="H2561" i="13"/>
  <c r="H2562" i="13"/>
  <c r="H2563" i="13"/>
  <c r="H2564" i="13"/>
  <c r="H2565" i="13"/>
  <c r="H2566" i="13"/>
  <c r="H2567" i="13"/>
  <c r="H2568" i="13"/>
  <c r="H2569" i="13"/>
  <c r="H2570" i="13"/>
  <c r="H2571" i="13"/>
  <c r="H2572" i="13"/>
  <c r="H2573" i="13"/>
  <c r="H2574" i="13"/>
  <c r="H2575" i="13"/>
  <c r="H2576" i="13"/>
  <c r="H2577" i="13"/>
  <c r="H2578" i="13"/>
  <c r="H2579" i="13"/>
  <c r="H2580" i="13"/>
  <c r="H2581" i="13"/>
  <c r="H2582" i="13"/>
  <c r="H2583" i="13"/>
  <c r="H2584" i="13"/>
  <c r="H2585" i="13"/>
  <c r="H2586" i="13"/>
  <c r="H2587" i="13"/>
  <c r="H2588" i="13"/>
  <c r="H2589" i="13"/>
  <c r="H2590" i="13"/>
  <c r="H2591" i="13"/>
  <c r="H2592" i="13"/>
  <c r="H2593" i="13"/>
  <c r="H2594" i="13"/>
  <c r="H2595" i="13"/>
  <c r="H2596" i="13"/>
  <c r="H2597" i="13"/>
  <c r="H2598" i="13"/>
  <c r="H2599" i="13"/>
  <c r="H2600" i="13"/>
  <c r="H2601" i="13"/>
  <c r="H2602" i="13"/>
  <c r="H2603" i="13"/>
  <c r="H2604" i="13"/>
  <c r="H2605" i="13"/>
  <c r="H2606" i="13"/>
  <c r="H2607" i="13"/>
  <c r="H2608" i="13"/>
  <c r="H2609" i="13"/>
  <c r="H2610" i="13"/>
  <c r="H2611" i="13"/>
  <c r="H2612" i="13"/>
  <c r="H2613" i="13"/>
  <c r="H2614" i="13"/>
  <c r="H2615" i="13"/>
  <c r="H2616" i="13"/>
  <c r="H2617" i="13"/>
  <c r="H2618" i="13"/>
  <c r="H2619" i="13"/>
  <c r="H2620" i="13"/>
  <c r="H2621" i="13"/>
  <c r="H2622" i="13"/>
  <c r="H2623" i="13"/>
  <c r="H2624" i="13"/>
  <c r="H2625" i="13"/>
  <c r="H2626" i="13"/>
  <c r="H2627" i="13"/>
  <c r="H2628" i="13"/>
  <c r="H2629" i="13"/>
  <c r="H2630" i="13"/>
  <c r="H2631" i="13"/>
  <c r="H2632" i="13"/>
  <c r="H2633" i="13"/>
  <c r="H2634" i="13"/>
  <c r="H2635" i="13"/>
  <c r="H2636" i="13"/>
  <c r="H2637" i="13"/>
  <c r="H2638" i="13"/>
  <c r="H2639" i="13"/>
  <c r="H2640" i="13"/>
  <c r="H2641" i="13"/>
  <c r="H2642" i="13"/>
  <c r="H2643" i="13"/>
  <c r="H2644" i="13"/>
  <c r="H2645" i="13"/>
  <c r="H2646" i="13"/>
  <c r="H2647" i="13"/>
  <c r="H2648" i="13"/>
  <c r="H2649" i="13"/>
  <c r="H2650" i="13"/>
  <c r="H2651" i="13"/>
  <c r="H2652" i="13"/>
  <c r="H2653" i="13"/>
  <c r="H2654" i="13"/>
  <c r="H2655" i="13"/>
  <c r="H2656" i="13"/>
  <c r="H2657" i="13"/>
  <c r="H2658" i="13"/>
  <c r="H2659" i="13"/>
  <c r="H2660" i="13"/>
  <c r="H2661" i="13"/>
  <c r="H2662" i="13"/>
  <c r="H2663" i="13"/>
  <c r="H2664" i="13"/>
  <c r="H2665" i="13"/>
  <c r="H2666" i="13"/>
  <c r="H2667" i="13"/>
  <c r="H2668" i="13"/>
  <c r="H2669" i="13"/>
  <c r="H2670" i="13"/>
  <c r="H2671" i="13"/>
  <c r="H2672" i="13"/>
  <c r="H2673" i="13"/>
  <c r="H2674" i="13"/>
  <c r="H2675" i="13"/>
  <c r="H2676" i="13"/>
  <c r="H2677" i="13"/>
  <c r="H2678" i="13"/>
  <c r="H2679" i="13"/>
  <c r="H2680" i="13"/>
  <c r="H2681" i="13"/>
  <c r="H2682" i="13"/>
  <c r="H2683" i="13"/>
  <c r="H2684" i="13"/>
  <c r="H2685" i="13"/>
  <c r="H2686" i="13"/>
  <c r="H2687" i="13"/>
  <c r="H2688" i="13"/>
  <c r="H2689" i="13"/>
  <c r="H2690" i="13"/>
  <c r="H2691" i="13"/>
  <c r="H2692" i="13"/>
  <c r="H2693" i="13"/>
  <c r="H2694" i="13"/>
  <c r="H2695" i="13"/>
  <c r="H2696" i="13"/>
  <c r="H2697" i="13"/>
  <c r="H2698" i="13"/>
  <c r="H2699" i="13"/>
  <c r="H2700" i="13"/>
  <c r="H2701" i="13"/>
  <c r="H2702" i="13"/>
  <c r="H2703" i="13"/>
  <c r="H2704" i="13"/>
  <c r="H2705" i="13"/>
  <c r="H2706" i="13"/>
  <c r="H2707" i="13"/>
  <c r="H2708" i="13"/>
  <c r="H2709" i="13"/>
  <c r="H2710" i="13"/>
  <c r="H2711" i="13"/>
  <c r="H2712" i="13"/>
  <c r="H2713" i="13"/>
  <c r="H2714" i="13"/>
  <c r="H2715" i="13"/>
  <c r="H2716" i="13"/>
  <c r="H2717" i="13"/>
  <c r="H2718" i="13"/>
  <c r="H2719" i="13"/>
  <c r="H2720" i="13"/>
  <c r="H2721" i="13"/>
  <c r="H2722" i="13"/>
  <c r="H2723" i="13"/>
  <c r="H2724" i="13"/>
  <c r="H2725" i="13"/>
  <c r="H2726" i="13"/>
  <c r="H2727" i="13"/>
  <c r="H2728" i="13"/>
  <c r="H2729" i="13"/>
  <c r="H2730" i="13"/>
  <c r="H2731" i="13"/>
  <c r="H2732" i="13"/>
  <c r="H2733" i="13"/>
  <c r="H2734" i="13"/>
  <c r="H2735" i="13"/>
  <c r="H2736" i="13"/>
  <c r="H2737" i="13"/>
  <c r="H2738" i="13"/>
  <c r="H2739" i="13"/>
  <c r="H2740" i="13"/>
  <c r="H2741" i="13"/>
  <c r="H2742" i="13"/>
  <c r="H2743" i="13"/>
  <c r="H2744" i="13"/>
  <c r="H2745" i="13"/>
  <c r="H2746" i="13"/>
  <c r="H2747" i="13"/>
  <c r="H2748" i="13"/>
  <c r="H2749" i="13"/>
  <c r="H2750" i="13"/>
  <c r="H2751" i="13"/>
  <c r="H2752" i="13"/>
  <c r="H2753" i="13"/>
  <c r="H2754" i="13"/>
  <c r="H2755" i="13"/>
  <c r="H2756" i="13"/>
  <c r="H2757" i="13"/>
  <c r="H2758" i="13"/>
  <c r="H2759" i="13"/>
  <c r="H2760" i="13"/>
  <c r="H2761" i="13"/>
  <c r="H2762" i="13"/>
  <c r="H2763" i="13"/>
  <c r="H2764" i="13"/>
  <c r="H2765" i="13"/>
  <c r="H2766" i="13"/>
  <c r="H2767" i="13"/>
  <c r="H2768" i="13"/>
  <c r="H2769" i="13"/>
  <c r="H2770" i="13"/>
  <c r="H2771" i="13"/>
  <c r="H2772" i="13"/>
  <c r="H2773" i="13"/>
  <c r="H2774" i="13"/>
  <c r="H2775" i="13"/>
  <c r="H2776" i="13"/>
  <c r="H2777" i="13"/>
  <c r="H2778" i="13"/>
  <c r="H2779" i="13"/>
  <c r="H2780" i="13"/>
  <c r="H2781" i="13"/>
  <c r="H2782" i="13"/>
  <c r="H2783" i="13"/>
  <c r="H2784" i="13"/>
  <c r="H2785" i="13"/>
  <c r="H2786" i="13"/>
  <c r="H2787" i="13"/>
  <c r="H2788" i="13"/>
  <c r="H2789" i="13"/>
  <c r="H2790" i="13"/>
  <c r="H2791" i="13"/>
  <c r="H2792" i="13"/>
  <c r="H2793" i="13"/>
  <c r="H2794" i="13"/>
  <c r="H2795" i="13"/>
  <c r="H2796" i="13"/>
  <c r="H2797" i="13"/>
  <c r="H2798" i="13"/>
  <c r="H2799" i="13"/>
  <c r="H2800" i="13"/>
  <c r="H2801" i="13"/>
  <c r="H2802" i="13"/>
  <c r="H2803" i="13"/>
  <c r="H2804" i="13"/>
  <c r="H2805" i="13"/>
  <c r="H2806" i="13"/>
  <c r="H2807" i="13"/>
  <c r="H2808" i="13"/>
  <c r="H2809" i="13"/>
  <c r="H2810" i="13"/>
  <c r="H2811" i="13"/>
  <c r="H2812" i="13"/>
  <c r="H2813" i="13"/>
  <c r="H2814" i="13"/>
  <c r="H2815" i="13"/>
  <c r="H2816" i="13"/>
  <c r="H2817" i="13"/>
  <c r="H2818" i="13"/>
  <c r="H2819" i="13"/>
  <c r="H2820" i="13"/>
  <c r="H2821" i="13"/>
  <c r="H2822" i="13"/>
  <c r="H2823" i="13"/>
  <c r="H2824" i="13"/>
  <c r="H2825" i="13"/>
  <c r="H2826" i="13"/>
  <c r="H2827" i="13"/>
  <c r="H2828" i="13"/>
  <c r="H2829" i="13"/>
  <c r="H2830" i="13"/>
  <c r="H2831" i="13"/>
  <c r="H2832" i="13"/>
  <c r="H2833" i="13"/>
  <c r="H2834" i="13"/>
  <c r="H2835" i="13"/>
  <c r="H2836" i="13"/>
  <c r="H2837" i="13"/>
  <c r="H2838" i="13"/>
  <c r="H2839" i="13"/>
  <c r="H2840" i="13"/>
  <c r="H2841" i="13"/>
  <c r="H2842" i="13"/>
  <c r="H2843" i="13"/>
  <c r="H2844" i="13"/>
  <c r="H2845" i="13"/>
  <c r="H2846" i="13"/>
  <c r="H2847" i="13"/>
  <c r="H2848" i="13"/>
  <c r="H2849" i="13"/>
  <c r="H2850" i="13"/>
  <c r="H2851" i="13"/>
  <c r="H2852" i="13"/>
  <c r="H2853" i="13"/>
  <c r="H2854" i="13"/>
  <c r="H2855" i="13"/>
  <c r="H2856" i="13"/>
  <c r="H2857" i="13"/>
  <c r="H2858" i="13"/>
  <c r="H2859" i="13"/>
  <c r="H2860" i="13"/>
  <c r="H2861" i="13"/>
  <c r="H2862" i="13"/>
  <c r="H2863" i="13"/>
  <c r="H2864" i="13"/>
  <c r="H2865" i="13"/>
  <c r="H2866" i="13"/>
  <c r="H2867" i="13"/>
  <c r="H2868" i="13"/>
  <c r="H2869" i="13"/>
  <c r="H2870" i="13"/>
  <c r="H2871" i="13"/>
  <c r="H2872" i="13"/>
  <c r="H2873" i="13"/>
  <c r="H2874" i="13"/>
  <c r="H2875" i="13"/>
  <c r="H2876" i="13"/>
  <c r="H2877" i="13"/>
  <c r="H2878" i="13"/>
  <c r="H2879" i="13"/>
  <c r="H2880" i="13"/>
  <c r="H2881" i="13"/>
  <c r="H2882" i="13"/>
  <c r="H2883" i="13"/>
  <c r="H2884" i="13"/>
  <c r="H2885" i="13"/>
  <c r="H2886" i="13"/>
  <c r="H2887" i="13"/>
  <c r="H2888" i="13"/>
  <c r="H2889" i="13"/>
  <c r="H2890" i="13"/>
  <c r="H2891" i="13"/>
  <c r="H2892" i="13"/>
  <c r="H2893" i="13"/>
  <c r="H2894" i="13"/>
  <c r="H2895" i="13"/>
  <c r="H2896" i="13"/>
  <c r="H2897" i="13"/>
  <c r="H2898" i="13"/>
  <c r="H2899" i="13"/>
  <c r="H2900" i="13"/>
  <c r="H2901" i="13"/>
  <c r="H2902" i="13"/>
  <c r="H2903" i="13"/>
  <c r="H2904" i="13"/>
  <c r="H2905" i="13"/>
  <c r="H2906" i="13"/>
  <c r="H2907" i="13"/>
  <c r="H2908" i="13"/>
  <c r="H2909" i="13"/>
  <c r="H2910" i="13"/>
  <c r="H2911" i="13"/>
  <c r="H2912" i="13"/>
  <c r="H2913" i="13"/>
  <c r="H2914" i="13"/>
  <c r="H2915" i="13"/>
  <c r="H2916" i="13"/>
  <c r="H2917" i="13"/>
  <c r="H2918" i="13"/>
  <c r="H2919" i="13"/>
  <c r="H2920" i="13"/>
  <c r="H2921" i="13"/>
  <c r="H2922" i="13"/>
  <c r="H2923" i="13"/>
  <c r="H2924" i="13"/>
  <c r="H2925" i="13"/>
  <c r="H2926" i="13"/>
  <c r="H2927" i="13"/>
  <c r="H2928" i="13"/>
  <c r="H2929" i="13"/>
  <c r="H2930" i="13"/>
  <c r="H2931" i="13"/>
  <c r="H2932" i="13"/>
  <c r="H2933" i="13"/>
  <c r="H2934" i="13"/>
  <c r="H2935" i="13"/>
  <c r="H2936" i="13"/>
  <c r="H2937" i="13"/>
  <c r="H2938" i="13"/>
  <c r="H2939" i="13"/>
  <c r="H2940" i="13"/>
  <c r="H2941" i="13"/>
  <c r="H2942" i="13"/>
  <c r="H2943" i="13"/>
  <c r="H2944" i="13"/>
  <c r="H2945" i="13"/>
  <c r="H2946" i="13"/>
  <c r="H2947" i="13"/>
  <c r="H2948" i="13"/>
  <c r="H2949" i="13"/>
  <c r="H2950" i="13"/>
  <c r="H2951" i="13"/>
  <c r="H2952" i="13"/>
  <c r="H2953" i="13"/>
  <c r="H2954" i="13"/>
  <c r="H2955" i="13"/>
  <c r="H2956" i="13"/>
  <c r="H2957" i="13"/>
  <c r="H2958" i="13"/>
  <c r="H2959" i="13"/>
  <c r="H2960" i="13"/>
  <c r="H2961" i="13"/>
  <c r="H2962" i="13"/>
  <c r="H2963" i="13"/>
  <c r="H2964" i="13"/>
  <c r="H2965" i="13"/>
  <c r="H2966" i="13"/>
  <c r="H2967" i="13"/>
  <c r="H2968" i="13"/>
  <c r="H2969" i="13"/>
  <c r="H2970" i="13"/>
  <c r="H2971" i="13"/>
  <c r="H2972" i="13"/>
  <c r="H2973" i="13"/>
  <c r="H2974" i="13"/>
  <c r="H2975" i="13"/>
  <c r="H2976" i="13"/>
  <c r="H2977" i="13"/>
  <c r="H2978" i="13"/>
  <c r="H2979" i="13"/>
  <c r="H2980" i="13"/>
  <c r="H2981" i="13"/>
  <c r="H2982" i="13"/>
  <c r="H2983" i="13"/>
  <c r="H2984" i="13"/>
  <c r="H2985" i="13"/>
  <c r="H2986" i="13"/>
  <c r="H2987" i="13"/>
  <c r="H2988" i="13"/>
  <c r="H2989" i="13"/>
  <c r="H2990" i="13"/>
  <c r="H2991" i="13"/>
  <c r="H2992" i="13"/>
  <c r="H2993" i="13"/>
  <c r="H2994" i="13"/>
  <c r="H2995" i="13"/>
  <c r="H2996" i="13"/>
  <c r="H2997" i="13"/>
  <c r="H2998" i="13"/>
  <c r="H2999" i="13"/>
  <c r="H3000" i="13"/>
  <c r="H3001" i="13"/>
  <c r="H3002" i="13"/>
  <c r="H3003" i="13"/>
  <c r="H3004" i="13"/>
  <c r="H3005" i="13"/>
  <c r="H3006" i="13"/>
  <c r="H3007" i="13"/>
  <c r="H3008" i="13"/>
  <c r="H3009" i="13"/>
  <c r="H3010" i="13"/>
  <c r="H3011" i="13"/>
  <c r="H3012" i="13"/>
  <c r="H3013" i="13"/>
  <c r="H3014" i="13"/>
  <c r="H3015" i="13"/>
  <c r="H3016" i="13"/>
  <c r="H3017" i="13"/>
  <c r="H3018" i="13"/>
  <c r="H3019" i="13"/>
  <c r="H3020" i="13"/>
  <c r="H3021" i="13"/>
  <c r="H3022" i="13"/>
  <c r="H3023" i="13"/>
  <c r="H3024" i="13"/>
  <c r="H3025" i="13"/>
  <c r="H3026" i="13"/>
  <c r="H3027" i="13"/>
  <c r="H3028" i="13"/>
  <c r="H3029" i="13"/>
  <c r="H3030" i="13"/>
  <c r="H3031" i="13"/>
  <c r="H3032" i="13"/>
  <c r="H3033" i="13"/>
  <c r="H3034" i="13"/>
  <c r="H3035" i="13"/>
  <c r="H3036" i="13"/>
  <c r="H3037" i="13"/>
  <c r="H3038" i="13"/>
  <c r="H3039" i="13"/>
  <c r="H3040" i="13"/>
  <c r="H3041" i="13"/>
  <c r="H3042" i="13"/>
  <c r="H3043" i="13"/>
  <c r="H3044" i="13"/>
  <c r="H3045" i="13"/>
  <c r="H3046" i="13"/>
  <c r="H3047" i="13"/>
  <c r="H3048" i="13"/>
  <c r="H3049" i="13"/>
  <c r="H3050" i="13"/>
  <c r="H3051" i="13"/>
  <c r="H3052" i="13"/>
  <c r="H3053" i="13"/>
  <c r="H3054" i="13"/>
  <c r="H3055" i="13"/>
  <c r="H3056" i="13"/>
  <c r="H3057" i="13"/>
  <c r="H3058" i="13"/>
  <c r="H3059" i="13"/>
  <c r="H3060" i="13"/>
  <c r="H3061" i="13"/>
  <c r="H3062" i="13"/>
  <c r="H3063" i="13"/>
  <c r="H3064" i="13"/>
  <c r="H3065" i="13"/>
  <c r="H3066" i="13"/>
  <c r="H3067" i="13"/>
  <c r="H3068" i="13"/>
  <c r="H3069" i="13"/>
  <c r="H3070" i="13"/>
  <c r="H3071" i="13"/>
  <c r="H3072" i="13"/>
  <c r="H3073" i="13"/>
  <c r="H3074" i="13"/>
  <c r="H3075" i="13"/>
  <c r="H3076" i="13"/>
  <c r="H3077" i="13"/>
  <c r="H3078" i="13"/>
  <c r="H3079" i="13"/>
  <c r="H3080" i="13"/>
  <c r="H3081" i="13"/>
  <c r="H3082" i="13"/>
  <c r="H3083" i="13"/>
  <c r="H3084" i="13"/>
  <c r="H3085" i="13"/>
  <c r="H3086" i="13"/>
  <c r="H3087" i="13"/>
  <c r="H3088" i="13"/>
  <c r="H3089" i="13"/>
  <c r="H3090" i="13"/>
  <c r="H3091" i="13"/>
  <c r="H3092" i="13"/>
  <c r="H3093" i="13"/>
  <c r="H3094" i="13"/>
  <c r="H3095" i="13"/>
  <c r="H3096" i="13"/>
  <c r="H3097" i="13"/>
  <c r="H3098" i="13"/>
  <c r="H3099" i="13"/>
  <c r="H3100" i="13"/>
  <c r="H3101" i="13"/>
  <c r="H3102" i="13"/>
  <c r="H3103" i="13"/>
  <c r="H3104" i="13"/>
  <c r="H3105" i="13"/>
  <c r="H3106" i="13"/>
  <c r="H3107" i="13"/>
  <c r="H3108" i="13"/>
  <c r="H3109" i="13"/>
  <c r="H3110" i="13"/>
  <c r="H3111" i="13"/>
  <c r="H3112" i="13"/>
  <c r="H3113" i="13"/>
  <c r="H3114" i="13"/>
  <c r="H3115" i="13"/>
  <c r="H3116" i="13"/>
  <c r="H3117" i="13"/>
  <c r="H3118" i="13"/>
  <c r="H3119" i="13"/>
  <c r="H3120" i="13"/>
  <c r="H3121" i="13"/>
  <c r="H3122" i="13"/>
  <c r="H3123" i="13"/>
  <c r="H3124" i="13"/>
  <c r="H3125" i="13"/>
  <c r="H3126" i="13"/>
  <c r="H3127" i="13"/>
  <c r="H3128" i="13"/>
  <c r="H3129" i="13"/>
  <c r="H3130" i="13"/>
  <c r="H3131" i="13"/>
  <c r="H3132" i="13"/>
  <c r="H3133" i="13"/>
  <c r="H3134" i="13"/>
  <c r="H3135" i="13"/>
  <c r="H3136" i="13"/>
  <c r="H3137" i="13"/>
  <c r="H3138" i="13"/>
  <c r="H3139" i="13"/>
  <c r="H3140" i="13"/>
  <c r="H3141" i="13"/>
  <c r="H3142" i="13"/>
  <c r="H3143" i="13"/>
  <c r="H3144" i="13"/>
  <c r="H3145" i="13"/>
  <c r="H3146" i="13"/>
  <c r="H3147" i="13"/>
  <c r="H3148" i="13"/>
  <c r="H3149" i="13"/>
  <c r="H3150" i="13"/>
  <c r="H3151" i="13"/>
  <c r="H3152" i="13"/>
  <c r="H3153" i="13"/>
  <c r="H3154" i="13"/>
  <c r="H3155" i="13"/>
  <c r="H3156" i="13"/>
  <c r="H3157" i="13"/>
  <c r="H3158" i="13"/>
  <c r="H3159" i="13"/>
  <c r="H3160" i="13"/>
  <c r="H3161" i="13"/>
  <c r="H3162" i="13"/>
  <c r="H3163" i="13"/>
  <c r="H3164" i="13"/>
  <c r="H3165" i="13"/>
  <c r="H3166" i="13"/>
  <c r="H3167" i="13"/>
  <c r="H3168" i="13"/>
  <c r="H3169" i="13"/>
  <c r="H3170" i="13"/>
  <c r="H3171" i="13"/>
  <c r="H3172" i="13"/>
  <c r="H3173" i="13"/>
  <c r="H3174" i="13"/>
  <c r="H3175" i="13"/>
  <c r="H3176" i="13"/>
  <c r="H3177" i="13"/>
  <c r="H3178" i="13"/>
  <c r="H3179" i="13"/>
  <c r="H3180" i="13"/>
  <c r="H3181" i="13"/>
  <c r="H3182" i="13"/>
  <c r="H3183" i="13"/>
  <c r="H3184" i="13"/>
  <c r="H3185" i="13"/>
  <c r="H3186" i="13"/>
  <c r="H3187" i="13"/>
  <c r="H3188" i="13"/>
  <c r="H3189" i="13"/>
  <c r="H3190" i="13"/>
  <c r="H3191" i="13"/>
  <c r="H3192" i="13"/>
  <c r="H3193" i="13"/>
  <c r="H3194" i="13"/>
  <c r="H3195" i="13"/>
  <c r="H3196" i="13"/>
  <c r="H3197" i="13"/>
  <c r="H3198" i="13"/>
  <c r="H3199" i="13"/>
  <c r="H3200" i="13"/>
  <c r="H3201" i="13"/>
  <c r="H3202" i="13"/>
  <c r="H3203" i="13"/>
  <c r="H3204" i="13"/>
  <c r="H3205" i="13"/>
  <c r="H3206" i="13"/>
  <c r="H3207" i="13"/>
  <c r="H3208" i="13"/>
  <c r="H3209" i="13"/>
  <c r="H3210" i="13"/>
  <c r="H3211" i="13"/>
  <c r="H3212" i="13"/>
  <c r="H3213" i="13"/>
  <c r="H3214" i="13"/>
  <c r="H3215" i="13"/>
  <c r="H3216" i="13"/>
  <c r="H3217" i="13"/>
  <c r="H3218" i="13"/>
  <c r="H3219" i="13"/>
  <c r="H3220" i="13"/>
  <c r="H3221" i="13"/>
  <c r="H3222" i="13"/>
  <c r="H3223" i="13"/>
  <c r="H3224" i="13"/>
  <c r="H3225" i="13"/>
  <c r="H3226" i="13"/>
  <c r="H3227" i="13"/>
  <c r="H3228" i="13"/>
  <c r="H3229" i="13"/>
  <c r="H3230" i="13"/>
  <c r="H3231" i="13"/>
  <c r="H3232" i="13"/>
  <c r="H3233" i="13"/>
  <c r="H3234" i="13"/>
  <c r="H3235" i="13"/>
  <c r="H3236" i="13"/>
  <c r="H3237" i="13"/>
  <c r="H3238" i="13"/>
  <c r="H3239" i="13"/>
  <c r="H3240" i="13"/>
  <c r="H3241" i="13"/>
  <c r="H3242" i="13"/>
  <c r="H3243" i="13"/>
  <c r="H3244" i="13"/>
  <c r="H3245" i="13"/>
  <c r="H3246" i="13"/>
  <c r="H3247" i="13"/>
  <c r="H3248" i="13"/>
  <c r="H3249" i="13"/>
  <c r="H3250" i="13"/>
  <c r="H3251" i="13"/>
  <c r="H3252" i="13"/>
  <c r="H3253" i="13"/>
  <c r="H3254" i="13"/>
  <c r="H3255" i="13"/>
  <c r="H3256" i="13"/>
  <c r="H3257" i="13"/>
  <c r="H3258" i="13"/>
  <c r="H3259" i="13"/>
  <c r="H3260" i="13"/>
  <c r="H3261" i="13"/>
  <c r="H3262" i="13"/>
  <c r="H3263" i="13"/>
  <c r="H3264" i="13"/>
  <c r="H3265" i="13"/>
  <c r="H3266" i="13"/>
  <c r="H3267" i="13"/>
  <c r="H3268" i="13"/>
  <c r="H3269" i="13"/>
  <c r="H3270" i="13"/>
  <c r="H3271" i="13"/>
  <c r="H3272" i="13"/>
  <c r="H3273" i="13"/>
  <c r="H3274" i="13"/>
  <c r="H3275" i="13"/>
  <c r="H3276" i="13"/>
  <c r="H3277" i="13"/>
  <c r="H3278" i="13"/>
  <c r="H3279" i="13"/>
  <c r="H3280" i="13"/>
  <c r="H3281" i="13"/>
  <c r="H3282" i="13"/>
  <c r="H3283" i="13"/>
  <c r="H3284" i="13"/>
  <c r="H3285" i="13"/>
  <c r="H3286" i="13"/>
  <c r="H3287" i="13"/>
  <c r="H3288" i="13"/>
  <c r="H3289" i="13"/>
  <c r="H3290" i="13"/>
  <c r="H3291" i="13"/>
  <c r="H3292" i="13"/>
  <c r="H3293" i="13"/>
  <c r="H3294" i="13"/>
  <c r="H3295" i="13"/>
  <c r="H3296" i="13"/>
  <c r="H3297" i="13"/>
  <c r="H3298" i="13"/>
  <c r="H3299" i="13"/>
  <c r="H3300" i="13"/>
  <c r="H3301" i="13"/>
  <c r="H3302" i="13"/>
  <c r="H3303" i="13"/>
  <c r="H3304" i="13"/>
  <c r="H3305" i="13"/>
  <c r="H3306" i="13"/>
  <c r="H3307" i="13"/>
  <c r="H3308" i="13"/>
  <c r="H3309" i="13"/>
  <c r="H3310" i="13"/>
  <c r="H3311" i="13"/>
  <c r="H3312" i="13"/>
  <c r="H3313" i="13"/>
  <c r="H3314" i="13"/>
  <c r="H3315" i="13"/>
  <c r="H3316" i="13"/>
  <c r="H3317" i="13"/>
  <c r="H3318" i="13"/>
  <c r="H3319" i="13"/>
  <c r="H3320" i="13"/>
  <c r="H3321" i="13"/>
  <c r="H3322" i="13"/>
  <c r="H3323" i="13"/>
  <c r="H3324" i="13"/>
  <c r="H3325" i="13"/>
  <c r="H3326" i="13"/>
  <c r="H3327" i="13"/>
  <c r="H3328" i="13"/>
  <c r="H3329" i="13"/>
  <c r="H3330" i="13"/>
  <c r="H3331" i="13"/>
  <c r="H3332" i="13"/>
  <c r="H3333" i="13"/>
  <c r="H3334" i="13"/>
  <c r="H3335" i="13"/>
  <c r="H3336" i="13"/>
  <c r="H3337" i="13"/>
  <c r="H3338" i="13"/>
  <c r="H3339" i="13"/>
  <c r="H3340" i="13"/>
  <c r="H3341" i="13"/>
  <c r="H3342" i="13"/>
  <c r="H3343" i="13"/>
  <c r="H3344" i="13"/>
  <c r="H3345" i="13"/>
  <c r="H3346" i="13"/>
  <c r="H3347" i="13"/>
  <c r="H3348" i="13"/>
  <c r="H3349" i="13"/>
  <c r="H3350" i="13"/>
  <c r="H3351" i="13"/>
  <c r="H3352" i="13"/>
  <c r="H3353" i="13"/>
  <c r="H3354" i="13"/>
  <c r="H3355" i="13"/>
  <c r="H3356" i="13"/>
  <c r="H3357" i="13"/>
  <c r="H3358" i="13"/>
  <c r="H3359" i="13"/>
  <c r="H3360" i="13"/>
  <c r="H3361" i="13"/>
  <c r="H3362" i="13"/>
  <c r="H3363" i="13"/>
  <c r="H3364" i="13"/>
  <c r="H3365" i="13"/>
  <c r="H3366" i="13"/>
  <c r="H3367" i="13"/>
  <c r="H3368" i="13"/>
  <c r="H3369" i="13"/>
  <c r="H3370" i="13"/>
  <c r="H3371" i="13"/>
  <c r="H3372" i="13"/>
  <c r="H3373" i="13"/>
  <c r="H3374" i="13"/>
  <c r="H3375" i="13"/>
  <c r="H3376" i="13"/>
  <c r="H3377" i="13"/>
  <c r="H3378" i="13"/>
  <c r="H3379" i="13"/>
  <c r="H3380" i="13"/>
  <c r="H3381" i="13"/>
  <c r="H3382" i="13"/>
  <c r="H3383" i="13"/>
  <c r="H3384" i="13"/>
  <c r="H3385" i="13"/>
  <c r="H3386" i="13"/>
  <c r="H3387" i="13"/>
  <c r="H3388" i="13"/>
  <c r="H3389" i="13"/>
  <c r="H3390" i="13"/>
  <c r="H3391" i="13"/>
  <c r="H3392" i="13"/>
  <c r="H3393" i="13"/>
  <c r="H3394" i="13"/>
  <c r="H3395" i="13"/>
  <c r="H3396" i="13"/>
  <c r="H3397" i="13"/>
  <c r="H3398" i="13"/>
  <c r="H3399" i="13"/>
  <c r="H3400" i="13"/>
  <c r="H3401" i="13"/>
  <c r="H3402" i="13"/>
  <c r="H3403" i="13"/>
  <c r="H3404" i="13"/>
  <c r="H3405" i="13"/>
  <c r="H3406" i="13"/>
  <c r="H3407" i="13"/>
  <c r="H3408" i="13"/>
  <c r="H3409" i="13"/>
  <c r="H3410" i="13"/>
  <c r="H3411" i="13"/>
  <c r="H3412" i="13"/>
  <c r="H3413" i="13"/>
  <c r="H3414" i="13"/>
  <c r="H3415" i="13"/>
  <c r="H3416" i="13"/>
  <c r="H3417" i="13"/>
  <c r="H3418" i="13"/>
  <c r="H3419" i="13"/>
  <c r="H3420" i="13"/>
  <c r="H3421" i="13"/>
  <c r="H3422" i="13"/>
  <c r="H3423" i="13"/>
  <c r="H3424" i="13"/>
  <c r="H3425" i="13"/>
  <c r="H3426" i="13"/>
  <c r="H3427" i="13"/>
  <c r="H3428" i="13"/>
  <c r="H3429" i="13"/>
  <c r="H3430" i="13"/>
  <c r="H3431" i="13"/>
  <c r="H3432" i="13"/>
  <c r="H3433" i="13"/>
  <c r="H3434" i="13"/>
  <c r="H3435" i="13"/>
  <c r="H3436" i="13"/>
  <c r="H3437" i="13"/>
  <c r="H3438" i="13"/>
  <c r="H3439" i="13"/>
  <c r="H3440" i="13"/>
  <c r="H3441" i="13"/>
  <c r="H3442" i="13"/>
  <c r="H3443" i="13"/>
  <c r="H3444" i="13"/>
  <c r="H3445" i="13"/>
  <c r="H3446" i="13"/>
  <c r="H3447" i="13"/>
  <c r="H3448" i="13"/>
  <c r="H3449" i="13"/>
  <c r="H3450" i="13"/>
  <c r="H3451" i="13"/>
  <c r="H3452" i="13"/>
  <c r="H3453" i="13"/>
  <c r="H3454" i="13"/>
  <c r="H3455" i="13"/>
  <c r="H3456" i="13"/>
  <c r="H3457" i="13"/>
  <c r="H3458" i="13"/>
  <c r="H3459" i="13"/>
  <c r="H3460" i="13"/>
  <c r="H3461" i="13"/>
  <c r="H3462" i="13"/>
  <c r="H3463" i="13"/>
  <c r="H3464" i="13"/>
  <c r="H3465" i="13"/>
  <c r="H3466" i="13"/>
  <c r="H3467" i="13"/>
  <c r="H3468" i="13"/>
  <c r="H3469" i="13"/>
  <c r="H3470" i="13"/>
  <c r="H3471" i="13"/>
  <c r="H3472" i="13"/>
  <c r="H3473" i="13"/>
  <c r="H3474" i="13"/>
  <c r="H3475" i="13"/>
  <c r="H3476" i="13"/>
  <c r="H3477" i="13"/>
  <c r="H3478" i="13"/>
  <c r="H3479" i="13"/>
  <c r="H3480" i="13"/>
  <c r="H3481" i="13"/>
  <c r="H3482" i="13"/>
  <c r="H3483" i="13"/>
  <c r="H3484" i="13"/>
  <c r="H3485" i="13"/>
  <c r="H3486" i="13"/>
  <c r="H3487" i="13"/>
  <c r="H3488" i="13"/>
  <c r="H3489" i="13"/>
  <c r="H3490" i="13"/>
  <c r="H3491" i="13"/>
  <c r="H3492" i="13"/>
  <c r="H3493" i="13"/>
  <c r="H3494" i="13"/>
  <c r="H3495" i="13"/>
  <c r="H3496" i="13"/>
  <c r="H3497" i="13"/>
  <c r="H3498" i="13"/>
  <c r="H3499" i="13"/>
  <c r="H3500" i="13"/>
  <c r="H3501" i="13"/>
  <c r="H3502" i="13"/>
  <c r="H3503" i="13"/>
  <c r="H3504" i="13"/>
  <c r="H3505" i="13"/>
  <c r="H3506" i="13"/>
  <c r="H3507" i="13"/>
  <c r="H3508" i="13"/>
  <c r="H3509" i="13"/>
  <c r="H3510" i="13"/>
  <c r="H3511" i="13"/>
  <c r="H3512" i="13"/>
  <c r="H3513" i="13"/>
  <c r="H3514" i="13"/>
  <c r="H3515" i="13"/>
  <c r="H3516" i="13"/>
  <c r="H3517" i="13"/>
  <c r="H3518" i="13"/>
  <c r="H3519" i="13"/>
  <c r="H3520" i="13"/>
  <c r="H3521" i="13"/>
  <c r="H3522" i="13"/>
  <c r="H3523" i="13"/>
  <c r="H3524" i="13"/>
  <c r="H3525" i="13"/>
  <c r="H3526" i="13"/>
  <c r="H3527" i="13"/>
  <c r="H3528" i="13"/>
  <c r="H3529" i="13"/>
  <c r="H3530" i="13"/>
  <c r="H3531" i="13"/>
  <c r="H3532" i="13"/>
  <c r="H3533" i="13"/>
  <c r="H3534" i="13"/>
  <c r="H3535" i="13"/>
  <c r="H3536" i="13"/>
  <c r="H3537" i="13"/>
  <c r="H3538" i="13"/>
  <c r="H3539" i="13"/>
  <c r="H3540" i="13"/>
  <c r="H3541" i="13"/>
  <c r="H3542" i="13"/>
  <c r="H3543" i="13"/>
  <c r="H3544" i="13"/>
  <c r="H3545" i="13"/>
  <c r="H3546" i="13"/>
  <c r="H3547" i="13"/>
  <c r="H3548" i="13"/>
  <c r="H3549" i="13"/>
  <c r="H3550" i="13"/>
  <c r="H3551" i="13"/>
  <c r="H3552" i="13"/>
  <c r="H3553" i="13"/>
  <c r="H3554" i="13"/>
  <c r="H3555" i="13"/>
  <c r="H3556" i="13"/>
  <c r="H3557" i="13"/>
  <c r="H3558" i="13"/>
  <c r="H3559" i="13"/>
  <c r="H3560" i="13"/>
  <c r="H3561" i="13"/>
  <c r="H3562" i="13"/>
  <c r="H3563" i="13"/>
  <c r="H3564" i="13"/>
  <c r="H3565" i="13"/>
  <c r="H3566" i="13"/>
  <c r="H3567" i="13"/>
  <c r="H3568" i="13"/>
  <c r="H3569" i="13"/>
  <c r="H3570" i="13"/>
  <c r="H3571" i="13"/>
  <c r="H3572" i="13"/>
  <c r="H3573" i="13"/>
  <c r="H3574" i="13"/>
  <c r="H3575" i="13"/>
  <c r="H3576" i="13"/>
  <c r="H3577" i="13"/>
  <c r="H3578" i="13"/>
  <c r="H3579" i="13"/>
  <c r="H3580" i="13"/>
  <c r="H3581" i="13"/>
  <c r="H3582" i="13"/>
  <c r="H3583" i="13"/>
  <c r="H3584" i="13"/>
  <c r="H3585" i="13"/>
  <c r="H3586" i="13"/>
  <c r="H3587" i="13"/>
  <c r="H3588" i="13"/>
  <c r="H3589" i="13"/>
  <c r="H3590" i="13"/>
  <c r="H3591" i="13"/>
  <c r="H3592" i="13"/>
  <c r="H3593" i="13"/>
  <c r="H3594" i="13"/>
  <c r="H3595" i="13"/>
  <c r="H3596" i="13"/>
  <c r="H3597" i="13"/>
  <c r="H3598" i="13"/>
  <c r="H3599" i="13"/>
  <c r="H3600" i="13"/>
  <c r="H3601" i="13"/>
  <c r="H3602" i="13"/>
  <c r="H3603" i="13"/>
  <c r="H3604" i="13"/>
  <c r="H3605" i="13"/>
  <c r="H3606" i="13"/>
  <c r="H3607" i="13"/>
  <c r="H3608" i="13"/>
  <c r="H3609" i="13"/>
  <c r="H3610" i="13"/>
  <c r="H3611" i="13"/>
  <c r="H3612" i="13"/>
  <c r="H3613" i="13"/>
  <c r="H3614" i="13"/>
  <c r="H3615" i="13"/>
  <c r="H3616" i="13"/>
  <c r="H3617" i="13"/>
  <c r="H3618" i="13"/>
  <c r="H3619" i="13"/>
  <c r="H3620" i="13"/>
  <c r="H3621" i="13"/>
  <c r="H3622" i="13"/>
  <c r="H3623" i="13"/>
  <c r="H3624" i="13"/>
  <c r="H3625" i="13"/>
  <c r="H3626" i="13"/>
  <c r="H3627" i="13"/>
  <c r="H3628" i="13"/>
  <c r="H3629" i="13"/>
  <c r="H3630" i="13"/>
  <c r="H3631" i="13"/>
  <c r="H3632" i="13"/>
  <c r="H3633" i="13"/>
  <c r="H3634" i="13"/>
  <c r="H3635" i="13"/>
  <c r="H3636" i="13"/>
  <c r="H3637" i="13"/>
  <c r="H3638" i="13"/>
  <c r="H3639" i="13"/>
  <c r="H3640" i="13"/>
  <c r="H3641" i="13"/>
  <c r="H3642" i="13"/>
  <c r="H3643" i="13"/>
  <c r="H3644" i="13"/>
  <c r="H3645" i="13"/>
  <c r="H3646" i="13"/>
  <c r="H3647" i="13"/>
  <c r="H3648" i="13"/>
  <c r="H3649" i="13"/>
  <c r="H3650" i="13"/>
  <c r="H3651" i="13"/>
  <c r="H3652" i="13"/>
  <c r="H3653" i="13"/>
  <c r="H3654" i="13"/>
  <c r="H3655" i="13"/>
  <c r="H3656" i="13"/>
  <c r="H3657" i="13"/>
  <c r="H3658" i="13"/>
  <c r="H3659" i="13"/>
  <c r="H3660" i="13"/>
  <c r="H3661" i="13"/>
  <c r="H3662" i="13"/>
  <c r="H3663" i="13"/>
  <c r="H3664" i="13"/>
  <c r="H3665" i="13"/>
  <c r="H3666" i="13"/>
  <c r="H3667" i="13"/>
  <c r="H3668" i="13"/>
  <c r="H3669" i="13"/>
  <c r="H3670" i="13"/>
  <c r="H3671" i="13"/>
  <c r="H3672" i="13"/>
  <c r="H3673" i="13"/>
  <c r="H3674" i="13"/>
  <c r="H3675" i="13"/>
  <c r="H3676" i="13"/>
  <c r="H3677" i="13"/>
  <c r="H3678" i="13"/>
  <c r="H3679" i="13"/>
  <c r="H3680" i="13"/>
  <c r="H3681" i="13"/>
  <c r="H3682" i="13"/>
  <c r="H3683" i="13"/>
  <c r="H3684" i="13"/>
  <c r="H3685" i="13"/>
  <c r="H3686" i="13"/>
  <c r="H3687" i="13"/>
  <c r="H3688" i="13"/>
  <c r="H3689" i="13"/>
  <c r="H3690" i="13"/>
  <c r="H3691" i="13"/>
  <c r="H3692" i="13"/>
  <c r="H3693" i="13"/>
  <c r="H3694" i="13"/>
  <c r="H3695" i="13"/>
  <c r="H3696" i="13"/>
  <c r="H3697" i="13"/>
  <c r="H3698" i="13"/>
  <c r="H3699" i="13"/>
  <c r="H3700" i="13"/>
  <c r="H3701" i="13"/>
  <c r="H3702" i="13"/>
  <c r="H3703" i="13"/>
  <c r="H3704" i="13"/>
  <c r="H3705" i="13"/>
  <c r="H3706" i="13"/>
  <c r="H3707" i="13"/>
  <c r="H3708" i="13"/>
  <c r="H3709" i="13"/>
  <c r="H3710" i="13"/>
  <c r="H3711" i="13"/>
  <c r="H3712" i="13"/>
  <c r="H3713" i="13"/>
  <c r="H3714" i="13"/>
  <c r="H3715" i="13"/>
  <c r="H3716" i="13"/>
  <c r="H3717" i="13"/>
  <c r="H3718" i="13"/>
  <c r="H3719" i="13"/>
  <c r="H3720" i="13"/>
  <c r="H3721" i="13"/>
  <c r="H3722" i="13"/>
  <c r="H3723" i="13"/>
  <c r="H3724" i="13"/>
  <c r="H3725" i="13"/>
  <c r="H3726" i="13"/>
  <c r="H3727" i="13"/>
  <c r="H3728" i="13"/>
  <c r="H3729" i="13"/>
  <c r="H3730" i="13"/>
  <c r="H3731" i="13"/>
  <c r="H3732" i="13"/>
  <c r="H3733" i="13"/>
  <c r="H3734" i="13"/>
  <c r="H3735" i="13"/>
  <c r="H3736" i="13"/>
  <c r="H3737" i="13"/>
  <c r="H3738" i="13"/>
  <c r="H3739" i="13"/>
  <c r="H3740" i="13"/>
  <c r="H3741" i="13"/>
  <c r="H3742" i="13"/>
  <c r="H3743" i="13"/>
  <c r="H3744" i="13"/>
  <c r="H3745" i="13"/>
  <c r="H3746" i="13"/>
  <c r="H3747" i="13"/>
  <c r="H3748" i="13"/>
  <c r="H3749" i="13"/>
  <c r="H3750" i="13"/>
  <c r="H3751" i="13"/>
  <c r="H3752" i="13"/>
  <c r="H3753" i="13"/>
  <c r="H3754" i="13"/>
  <c r="H3755" i="13"/>
  <c r="H3756" i="13"/>
  <c r="H3757" i="13"/>
  <c r="H3758" i="13"/>
  <c r="H3759" i="13"/>
  <c r="H3760" i="13"/>
  <c r="H3761" i="13"/>
  <c r="H3762" i="13"/>
  <c r="H3763" i="13"/>
  <c r="H3764" i="13"/>
  <c r="H3765" i="13"/>
  <c r="H3766" i="13"/>
  <c r="H3767" i="13"/>
  <c r="H3768" i="13"/>
  <c r="H3769" i="13"/>
  <c r="H3770" i="13"/>
  <c r="H3771" i="13"/>
  <c r="H3772" i="13"/>
  <c r="H3773" i="13"/>
  <c r="H3774" i="13"/>
  <c r="H3775" i="13"/>
  <c r="H3776" i="13"/>
  <c r="H3777" i="13"/>
  <c r="H3778" i="13"/>
  <c r="H3779" i="13"/>
  <c r="H3780" i="13"/>
  <c r="H3781" i="13"/>
  <c r="H3782" i="13"/>
  <c r="H3783" i="13"/>
  <c r="H3784" i="13"/>
  <c r="H3785" i="13"/>
  <c r="H3786" i="13"/>
  <c r="H3787" i="13"/>
  <c r="H3788" i="13"/>
  <c r="H3789" i="13"/>
  <c r="H3790" i="13"/>
  <c r="H3791" i="13"/>
  <c r="H3792" i="13"/>
  <c r="H3793" i="13"/>
  <c r="H3794" i="13"/>
  <c r="H3795" i="13"/>
  <c r="H3796" i="13"/>
  <c r="H3797" i="13"/>
  <c r="H3798" i="13"/>
  <c r="H3799" i="13"/>
  <c r="H3800" i="13"/>
  <c r="H3801" i="13"/>
  <c r="H3802" i="13"/>
  <c r="H3803" i="13"/>
  <c r="H3804" i="13"/>
  <c r="H3805" i="13"/>
  <c r="H3806" i="13"/>
  <c r="H3807" i="13"/>
  <c r="H3808" i="13"/>
  <c r="H3809" i="13"/>
  <c r="H3810" i="13"/>
  <c r="H3811" i="13"/>
  <c r="H3812" i="13"/>
  <c r="H3813" i="13"/>
  <c r="H3814" i="13"/>
  <c r="H3815" i="13"/>
  <c r="H3816" i="13"/>
  <c r="H3817" i="13"/>
  <c r="H3818" i="13"/>
  <c r="H3819" i="13"/>
  <c r="H3820" i="13"/>
  <c r="H3821" i="13"/>
  <c r="H3822" i="13"/>
  <c r="H3823" i="13"/>
  <c r="H3824" i="13"/>
  <c r="H3825" i="13"/>
  <c r="H3826" i="13"/>
  <c r="H3827" i="13"/>
  <c r="H3828" i="13"/>
  <c r="H3829" i="13"/>
  <c r="H3830" i="13"/>
  <c r="H3831" i="13"/>
  <c r="H3832" i="13"/>
  <c r="H3833" i="13"/>
  <c r="H3834" i="13"/>
  <c r="H3835" i="13"/>
  <c r="H3836" i="13"/>
  <c r="H3837" i="13"/>
  <c r="H3838" i="13"/>
  <c r="H3839" i="13"/>
  <c r="H3840" i="13"/>
  <c r="H3841" i="13"/>
  <c r="H3842" i="13"/>
  <c r="H3843" i="13"/>
  <c r="H3844" i="13"/>
  <c r="H3845" i="13"/>
  <c r="H3846" i="13"/>
  <c r="H3847" i="13"/>
  <c r="H3848" i="13"/>
  <c r="H3849" i="13"/>
  <c r="H3850" i="13"/>
  <c r="H3851" i="13"/>
  <c r="H3852" i="13"/>
  <c r="H3853" i="13"/>
  <c r="H3854" i="13"/>
  <c r="H3855" i="13"/>
  <c r="H3856" i="13"/>
  <c r="H3857" i="13"/>
  <c r="H3858" i="13"/>
  <c r="H3859" i="13"/>
  <c r="H3860" i="13"/>
  <c r="H3861" i="13"/>
  <c r="H3862" i="13"/>
  <c r="H3863" i="13"/>
  <c r="H3864" i="13"/>
  <c r="H3865" i="13"/>
  <c r="H3866" i="13"/>
  <c r="H3867" i="13"/>
  <c r="H3868" i="13"/>
  <c r="H3869" i="13"/>
  <c r="H3870" i="13"/>
  <c r="H3871" i="13"/>
  <c r="H3872" i="13"/>
  <c r="H3873" i="13"/>
  <c r="H3874" i="13"/>
  <c r="H3875" i="13"/>
  <c r="H3876" i="13"/>
  <c r="H3877" i="13"/>
  <c r="H3878" i="13"/>
  <c r="H3879" i="13"/>
  <c r="H3880" i="13"/>
  <c r="H3881" i="13"/>
  <c r="H3882" i="13"/>
  <c r="H3883" i="13"/>
  <c r="H3884" i="13"/>
  <c r="H3885" i="13"/>
  <c r="H3886" i="13"/>
  <c r="H3887" i="13"/>
  <c r="H3888" i="13"/>
  <c r="H3889" i="13"/>
  <c r="H3890" i="13"/>
  <c r="H3891" i="13"/>
  <c r="H3892" i="13"/>
  <c r="H3893" i="13"/>
  <c r="H3894" i="13"/>
  <c r="H3895" i="13"/>
  <c r="H3896" i="13"/>
  <c r="H3897" i="13"/>
  <c r="H3898" i="13"/>
  <c r="H3899" i="13"/>
  <c r="H3900" i="13"/>
  <c r="H3901" i="13"/>
  <c r="H3902" i="13"/>
  <c r="H3903" i="13"/>
  <c r="H3904" i="13"/>
  <c r="H3905" i="13"/>
  <c r="H3906" i="13"/>
  <c r="H3907" i="13"/>
  <c r="H3908" i="13"/>
  <c r="H3909" i="13"/>
  <c r="H3910" i="13"/>
  <c r="H3911" i="13"/>
  <c r="H3912" i="13"/>
  <c r="H3913" i="13"/>
  <c r="H3914" i="13"/>
  <c r="H3915" i="13"/>
  <c r="H3916" i="13"/>
  <c r="H3917" i="13"/>
  <c r="H3918" i="13"/>
  <c r="H3919" i="13"/>
  <c r="H3920" i="13"/>
  <c r="H3921" i="13"/>
  <c r="H3922" i="13"/>
  <c r="H3923" i="13"/>
  <c r="H3924" i="13"/>
  <c r="H3925" i="13"/>
  <c r="H3926" i="13"/>
  <c r="H3927" i="13"/>
  <c r="H3928" i="13"/>
  <c r="H3929" i="13"/>
  <c r="H3930" i="13"/>
  <c r="H3931" i="13"/>
  <c r="H3932" i="13"/>
  <c r="H3933" i="13"/>
  <c r="H3934" i="13"/>
  <c r="H3935" i="13"/>
  <c r="H3936" i="13"/>
  <c r="H3937" i="13"/>
  <c r="H3938" i="13"/>
  <c r="H3939" i="13"/>
  <c r="H3940" i="13"/>
  <c r="H3941" i="13"/>
  <c r="H3942" i="13"/>
  <c r="H3943" i="13"/>
  <c r="H3944" i="13"/>
  <c r="H3945" i="13"/>
  <c r="H3946" i="13"/>
  <c r="H3947" i="13"/>
  <c r="H3948" i="13"/>
  <c r="H3949" i="13"/>
  <c r="H3950" i="13"/>
  <c r="H3951" i="13"/>
  <c r="H3952" i="13"/>
  <c r="H3953" i="13"/>
  <c r="H3954" i="13"/>
  <c r="H3955" i="13"/>
  <c r="H3956" i="13"/>
  <c r="H3957" i="13"/>
  <c r="H3958" i="13"/>
  <c r="H3959" i="13"/>
  <c r="H3960" i="13"/>
  <c r="H3961" i="13"/>
  <c r="H3962" i="13"/>
  <c r="H3963" i="13"/>
  <c r="H3964" i="13"/>
  <c r="H3965" i="13"/>
  <c r="H3966" i="13"/>
  <c r="H3967" i="13"/>
  <c r="H3968" i="13"/>
  <c r="H3969" i="13"/>
  <c r="H3970" i="13"/>
  <c r="H3971" i="13"/>
  <c r="H3972" i="13"/>
  <c r="H3973" i="13"/>
  <c r="H3974" i="13"/>
  <c r="H3975" i="13"/>
  <c r="H3976" i="13"/>
  <c r="H3977" i="13"/>
  <c r="H3978" i="13"/>
  <c r="H3979" i="13"/>
  <c r="H3980" i="13"/>
  <c r="H3981" i="13"/>
  <c r="H3982" i="13"/>
  <c r="H3983" i="13"/>
  <c r="H3984" i="13"/>
  <c r="H3985" i="13"/>
  <c r="H3986" i="13"/>
  <c r="H3987" i="13"/>
  <c r="H3988" i="13"/>
  <c r="H3989" i="13"/>
  <c r="H3990" i="13"/>
  <c r="H3991" i="13"/>
  <c r="H3992" i="13"/>
  <c r="H3993" i="13"/>
  <c r="H3994" i="13"/>
  <c r="H3995" i="13"/>
  <c r="H3996" i="13"/>
  <c r="H3997" i="13"/>
  <c r="H3998" i="13"/>
  <c r="H3999" i="13"/>
  <c r="H4000" i="13"/>
  <c r="H4001" i="13"/>
  <c r="H4002" i="13"/>
  <c r="H4003" i="13"/>
  <c r="H4004" i="13"/>
  <c r="H4005" i="13"/>
  <c r="H4006" i="13"/>
  <c r="H4007" i="13"/>
  <c r="H4008" i="13"/>
  <c r="H4009" i="13"/>
  <c r="H4010" i="13"/>
  <c r="H4011" i="13"/>
  <c r="H4012" i="13"/>
  <c r="H4013" i="13"/>
  <c r="H4014" i="13"/>
  <c r="H4015" i="13"/>
  <c r="H4016" i="13"/>
  <c r="H4017" i="13"/>
  <c r="H4018" i="13"/>
  <c r="H4019" i="13"/>
  <c r="H4020" i="13"/>
  <c r="H4021" i="13"/>
  <c r="H4022" i="13"/>
  <c r="H4023" i="13"/>
  <c r="H4024" i="13"/>
  <c r="H4025" i="13"/>
  <c r="H4026" i="13"/>
  <c r="H4027" i="13"/>
  <c r="H4028" i="13"/>
  <c r="H4029" i="13"/>
  <c r="H4030" i="13"/>
  <c r="H4031" i="13"/>
  <c r="H4032" i="13"/>
  <c r="H4033" i="13"/>
  <c r="H4034" i="13"/>
  <c r="H4035" i="13"/>
  <c r="H4036" i="13"/>
  <c r="H4037" i="13"/>
  <c r="H4038" i="13"/>
  <c r="H4039" i="13"/>
  <c r="H4040" i="13"/>
  <c r="H4041" i="13"/>
  <c r="H4042" i="13"/>
  <c r="H4043" i="13"/>
  <c r="H4044" i="13"/>
  <c r="H4045" i="13"/>
  <c r="H4046" i="13"/>
  <c r="H4047" i="13"/>
  <c r="H4048" i="13"/>
  <c r="H4049" i="13"/>
  <c r="H4050" i="13"/>
  <c r="H4051" i="13"/>
  <c r="H4052" i="13"/>
  <c r="H4053" i="13"/>
  <c r="H4054" i="13"/>
  <c r="H4055" i="13"/>
  <c r="H4056" i="13"/>
  <c r="H4057" i="13"/>
  <c r="H4058" i="13"/>
  <c r="H4059" i="13"/>
  <c r="H4060" i="13"/>
  <c r="H4061" i="13"/>
  <c r="H4062" i="13"/>
  <c r="H4063" i="13"/>
  <c r="H4064" i="13"/>
  <c r="H4065" i="13"/>
  <c r="H4066" i="13"/>
  <c r="H4067" i="13"/>
  <c r="H4068" i="13"/>
  <c r="H4069" i="13"/>
  <c r="H4070" i="13"/>
  <c r="H4071" i="13"/>
  <c r="H4072" i="13"/>
  <c r="H4073" i="13"/>
  <c r="H4074" i="13"/>
  <c r="H4075" i="13"/>
  <c r="H4076" i="13"/>
  <c r="H4077" i="13"/>
  <c r="H4078" i="13"/>
  <c r="H4079" i="13"/>
  <c r="H4080" i="13"/>
  <c r="H4081" i="13"/>
  <c r="H4082" i="13"/>
  <c r="H4083" i="13"/>
  <c r="H4084" i="13"/>
  <c r="H4085" i="13"/>
  <c r="H4086" i="13"/>
  <c r="H4087" i="13"/>
  <c r="H4088" i="13"/>
  <c r="H4089" i="13"/>
  <c r="H4090" i="13"/>
  <c r="H4091" i="13"/>
  <c r="H4092" i="13"/>
  <c r="H4093" i="13"/>
  <c r="H4094" i="13"/>
  <c r="H4095" i="13"/>
  <c r="H4096" i="13"/>
  <c r="H4097" i="13"/>
  <c r="H4098" i="13"/>
  <c r="H4099" i="13"/>
  <c r="H4100" i="13"/>
  <c r="H4101" i="13"/>
  <c r="H4102" i="13"/>
  <c r="H4103" i="13"/>
  <c r="H4104" i="13"/>
  <c r="H4105" i="13"/>
  <c r="H4106" i="13"/>
  <c r="H4107" i="13"/>
  <c r="H4108" i="13"/>
  <c r="H4109" i="13"/>
  <c r="H4110" i="13"/>
  <c r="H4111" i="13"/>
  <c r="H4112" i="13"/>
  <c r="H4113" i="13"/>
  <c r="H4114" i="13"/>
  <c r="H4115" i="13"/>
  <c r="H4116" i="13"/>
  <c r="H4117" i="13"/>
  <c r="H4118" i="13"/>
  <c r="H4119" i="13"/>
  <c r="H4120" i="13"/>
  <c r="H4121" i="13"/>
  <c r="H4122" i="13"/>
  <c r="H4123" i="13"/>
  <c r="H4124" i="13"/>
  <c r="H4125" i="13"/>
  <c r="H4126" i="13"/>
  <c r="H4127" i="13"/>
  <c r="H4128" i="13"/>
  <c r="H4129" i="13"/>
  <c r="H4130" i="13"/>
  <c r="H4131" i="13"/>
  <c r="H4132" i="13"/>
  <c r="H4133" i="13"/>
  <c r="H4134" i="13"/>
  <c r="H4135" i="13"/>
  <c r="H4136" i="13"/>
  <c r="H4137" i="13"/>
  <c r="H4138" i="13"/>
  <c r="H4139" i="13"/>
  <c r="H4140" i="13"/>
  <c r="H4141" i="13"/>
  <c r="H4142" i="13"/>
  <c r="H4143" i="13"/>
  <c r="H4144" i="13"/>
  <c r="H4145" i="13"/>
  <c r="H4146" i="13"/>
  <c r="H4147" i="13"/>
  <c r="H4148" i="13"/>
  <c r="H4149" i="13"/>
  <c r="H4150" i="13"/>
  <c r="H4151" i="13"/>
  <c r="H4152" i="13"/>
  <c r="H4153" i="13"/>
  <c r="H4154" i="13"/>
  <c r="H4155" i="13"/>
  <c r="H4156" i="13"/>
  <c r="H4157" i="13"/>
  <c r="H4158" i="13"/>
  <c r="H4159" i="13"/>
  <c r="H4160" i="13"/>
  <c r="H4161" i="13"/>
  <c r="H4162" i="13"/>
  <c r="H4163" i="13"/>
  <c r="H4164" i="13"/>
  <c r="H4165" i="13"/>
  <c r="H4166" i="13"/>
  <c r="H4167" i="13"/>
  <c r="H4168" i="13"/>
  <c r="H4169" i="13"/>
  <c r="H4170" i="13"/>
  <c r="H4171" i="13"/>
  <c r="H4172" i="13"/>
  <c r="H4173" i="13"/>
  <c r="H4174" i="13"/>
  <c r="H4175" i="13"/>
  <c r="H4176" i="13"/>
  <c r="H4177" i="13"/>
  <c r="H4178" i="13"/>
  <c r="H4179" i="13"/>
  <c r="H4180" i="13"/>
  <c r="H4181" i="13"/>
  <c r="H4182" i="13"/>
  <c r="H4183" i="13"/>
  <c r="H4184" i="13"/>
  <c r="H4185" i="13"/>
  <c r="H4186" i="13"/>
  <c r="H4187" i="13"/>
  <c r="H4188" i="13"/>
  <c r="H4189" i="13"/>
  <c r="H4190" i="13"/>
  <c r="H4191" i="13"/>
  <c r="H4192" i="13"/>
  <c r="H4193" i="13"/>
  <c r="H4194" i="13"/>
  <c r="H4195" i="13"/>
  <c r="H4196" i="13"/>
  <c r="H4197" i="13"/>
  <c r="H4198" i="13"/>
  <c r="H4199" i="13"/>
  <c r="H4200" i="13"/>
  <c r="H4201" i="13"/>
  <c r="H4202" i="13"/>
  <c r="H4203" i="13"/>
  <c r="H4204" i="13"/>
  <c r="H4205" i="13"/>
  <c r="H4206" i="13"/>
  <c r="H4207" i="13"/>
  <c r="H4208" i="13"/>
  <c r="H4209" i="13"/>
  <c r="H4210" i="13"/>
  <c r="H4211" i="13"/>
  <c r="H4212" i="13"/>
  <c r="H4213" i="13"/>
  <c r="H4214" i="13"/>
  <c r="H4215" i="13"/>
  <c r="H4216" i="13"/>
  <c r="H4217" i="13"/>
  <c r="H4218" i="13"/>
  <c r="H4219" i="13"/>
  <c r="H4220" i="13"/>
  <c r="H4221" i="13"/>
  <c r="H4222" i="13"/>
  <c r="H4223" i="13"/>
  <c r="H4224" i="13"/>
  <c r="H4225" i="13"/>
  <c r="H4226" i="13"/>
  <c r="H4227" i="13"/>
  <c r="H4228" i="13"/>
  <c r="H4229" i="13"/>
  <c r="H4230" i="13"/>
  <c r="H4231" i="13"/>
  <c r="H4232" i="13"/>
  <c r="H4233" i="13"/>
  <c r="H4234" i="13"/>
  <c r="H4235" i="13"/>
  <c r="H4236" i="13"/>
  <c r="H4237" i="13"/>
  <c r="H4238" i="13"/>
  <c r="H4239" i="13"/>
  <c r="H4240" i="13"/>
  <c r="H4241" i="13"/>
  <c r="H4242" i="13"/>
  <c r="H4243" i="13"/>
  <c r="H4244" i="13"/>
  <c r="H4245" i="13"/>
  <c r="H4246" i="13"/>
  <c r="H4247" i="13"/>
  <c r="H4248" i="13"/>
  <c r="H4249" i="13"/>
  <c r="H4250" i="13"/>
  <c r="H4251" i="13"/>
  <c r="H4252" i="13"/>
  <c r="H4253" i="13"/>
  <c r="H4254" i="13"/>
  <c r="H4255" i="13"/>
  <c r="H4256" i="13"/>
  <c r="H4257" i="13"/>
  <c r="H4258" i="13"/>
  <c r="H4259" i="13"/>
  <c r="H4260" i="13"/>
  <c r="H4261" i="13"/>
  <c r="H4262" i="13"/>
  <c r="H4263" i="13"/>
  <c r="H4264" i="13"/>
  <c r="H4265" i="13"/>
  <c r="H4266" i="13"/>
  <c r="H4267" i="13"/>
  <c r="H4268" i="13"/>
  <c r="H4269" i="13"/>
  <c r="H4270" i="13"/>
  <c r="H4271" i="13"/>
  <c r="H4272" i="13"/>
  <c r="H4273" i="13"/>
  <c r="H4274" i="13"/>
  <c r="H4275" i="13"/>
  <c r="H4276" i="13"/>
  <c r="H4277" i="13"/>
  <c r="H4278" i="13"/>
  <c r="H4279" i="13"/>
  <c r="H4280" i="13"/>
  <c r="H4281" i="13"/>
  <c r="H4282" i="13"/>
  <c r="H4283" i="13"/>
  <c r="H4284" i="13"/>
  <c r="H4285" i="13"/>
  <c r="H4286" i="13"/>
  <c r="H4287" i="13"/>
  <c r="H4288" i="13"/>
  <c r="H4289" i="13"/>
  <c r="H4290" i="13"/>
  <c r="H4291" i="13"/>
  <c r="H4292" i="13"/>
  <c r="H4293" i="13"/>
  <c r="H4294" i="13"/>
  <c r="H4295" i="13"/>
  <c r="H4296" i="13"/>
  <c r="H4297" i="13"/>
  <c r="H4298" i="13"/>
  <c r="H4299" i="13"/>
  <c r="H4300" i="13"/>
  <c r="H4301" i="13"/>
  <c r="H4302" i="13"/>
  <c r="H4303" i="13"/>
  <c r="H4304" i="13"/>
  <c r="H4305" i="13"/>
  <c r="H4306" i="13"/>
  <c r="H4307" i="13"/>
  <c r="H4308" i="13"/>
  <c r="H4309" i="13"/>
  <c r="H4310" i="13"/>
  <c r="H4311" i="13"/>
  <c r="H4312" i="13"/>
  <c r="H4313" i="13"/>
  <c r="H4314" i="13"/>
  <c r="H4315" i="13"/>
  <c r="H4316" i="13"/>
  <c r="H4317" i="13"/>
  <c r="H4318" i="13"/>
  <c r="H4319" i="13"/>
  <c r="H4320" i="13"/>
  <c r="H4321" i="13"/>
  <c r="H4322" i="13"/>
  <c r="H4323" i="13"/>
  <c r="H4324" i="13"/>
  <c r="H4325" i="13"/>
  <c r="H4326" i="13"/>
  <c r="H4327" i="13"/>
  <c r="H4328" i="13"/>
  <c r="H4329" i="13"/>
  <c r="H4330" i="13"/>
  <c r="H4331" i="13"/>
  <c r="H4332" i="13"/>
  <c r="H4333" i="13"/>
  <c r="H4334" i="13"/>
  <c r="H4335" i="13"/>
  <c r="H4336" i="13"/>
  <c r="H4337" i="13"/>
  <c r="H4338" i="13"/>
  <c r="H4339" i="13"/>
  <c r="H4340" i="13"/>
  <c r="H4341" i="13"/>
  <c r="H4342" i="13"/>
  <c r="H4343" i="13"/>
  <c r="H4344" i="13"/>
  <c r="H4345" i="13"/>
  <c r="H4346" i="13"/>
  <c r="H4347" i="13"/>
  <c r="H4348" i="13"/>
  <c r="H4349" i="13"/>
  <c r="H4350" i="13"/>
  <c r="H4351" i="13"/>
  <c r="H4352" i="13"/>
  <c r="H4353" i="13"/>
  <c r="H4354" i="13"/>
  <c r="H4355" i="13"/>
  <c r="H4356" i="13"/>
  <c r="H4357" i="13"/>
  <c r="H4358" i="13"/>
  <c r="H4359" i="13"/>
  <c r="H4360" i="13"/>
  <c r="H4361" i="13"/>
  <c r="H4362" i="13"/>
  <c r="H4363" i="13"/>
  <c r="H4364" i="13"/>
  <c r="H4365" i="13"/>
  <c r="H4366" i="13"/>
  <c r="H4367" i="13"/>
  <c r="H4368" i="13"/>
  <c r="H4369" i="13"/>
  <c r="H4370" i="13"/>
  <c r="H4371" i="13"/>
  <c r="H4372" i="13"/>
  <c r="H4373" i="13"/>
  <c r="H4374" i="13"/>
  <c r="H4375" i="13"/>
  <c r="H4376" i="13"/>
  <c r="H4377" i="13"/>
  <c r="H4378" i="13"/>
  <c r="H4379" i="13"/>
  <c r="H4380" i="13"/>
  <c r="H4381" i="13"/>
  <c r="H4382" i="13"/>
  <c r="H4383" i="13"/>
  <c r="H4384" i="13"/>
  <c r="H4385" i="13"/>
  <c r="H4386" i="13"/>
  <c r="H4387" i="13"/>
  <c r="H4388" i="13"/>
  <c r="H4389" i="13"/>
  <c r="H4390" i="13"/>
  <c r="H4391" i="13"/>
  <c r="H4392" i="13"/>
  <c r="H4393" i="13"/>
  <c r="H4394" i="13"/>
  <c r="H4395" i="13"/>
  <c r="H4396" i="13"/>
  <c r="H4397" i="13"/>
  <c r="H4398" i="13"/>
  <c r="H4399" i="13"/>
  <c r="H4400" i="13"/>
  <c r="H4401" i="13"/>
  <c r="H4402" i="13"/>
  <c r="H4403" i="13"/>
  <c r="H4404" i="13"/>
  <c r="H4405" i="13"/>
  <c r="H4406" i="13"/>
  <c r="H4407" i="13"/>
  <c r="H4408" i="13"/>
  <c r="H4409" i="13"/>
  <c r="H4410" i="13"/>
  <c r="H4411" i="13"/>
  <c r="H4412" i="13"/>
  <c r="H4413" i="13"/>
  <c r="H4414" i="13"/>
  <c r="H4415" i="13"/>
  <c r="H4416" i="13"/>
  <c r="H4417" i="13"/>
  <c r="H4418" i="13"/>
  <c r="H4419" i="13"/>
  <c r="H4420" i="13"/>
  <c r="H4421" i="13"/>
  <c r="H4422" i="13"/>
  <c r="H4423" i="13"/>
  <c r="H4424" i="13"/>
  <c r="H4425" i="13"/>
  <c r="H4426" i="13"/>
  <c r="H4427" i="13"/>
  <c r="H4428" i="13"/>
  <c r="H4429" i="13"/>
  <c r="H4430" i="13"/>
  <c r="H4431" i="13"/>
  <c r="H4432" i="13"/>
  <c r="H4433" i="13"/>
  <c r="H4434" i="13"/>
  <c r="H4435" i="13"/>
  <c r="H4436" i="13"/>
  <c r="H4437" i="13"/>
  <c r="H4438" i="13"/>
  <c r="H4439" i="13"/>
  <c r="H4440" i="13"/>
  <c r="H4441" i="13"/>
  <c r="H4442" i="13"/>
  <c r="H4443" i="13"/>
  <c r="H4444" i="13"/>
  <c r="H4445" i="13"/>
  <c r="H4446" i="13"/>
  <c r="H4447" i="13"/>
  <c r="H4448" i="13"/>
  <c r="H4449" i="13"/>
  <c r="H4450" i="13"/>
  <c r="H4451" i="13"/>
  <c r="H4452" i="13"/>
  <c r="H4453" i="13"/>
  <c r="H4454" i="13"/>
  <c r="H4455" i="13"/>
  <c r="H4456" i="13"/>
  <c r="H4457" i="13"/>
  <c r="H4458" i="13"/>
  <c r="H4459" i="13"/>
  <c r="H4460" i="13"/>
  <c r="H4461" i="13"/>
  <c r="H4462" i="13"/>
  <c r="H4463" i="13"/>
  <c r="H4464" i="13"/>
  <c r="H4465" i="13"/>
  <c r="H4466" i="13"/>
  <c r="H4467" i="13"/>
  <c r="H4468" i="13"/>
  <c r="H4469" i="13"/>
  <c r="H4470" i="13"/>
  <c r="H4471" i="13"/>
  <c r="H4472" i="13"/>
  <c r="H4473" i="13"/>
  <c r="H4474" i="13"/>
  <c r="H4475" i="13"/>
  <c r="H4476" i="13"/>
  <c r="H4477" i="13"/>
  <c r="H4478" i="13"/>
  <c r="H4479" i="13"/>
  <c r="H4480" i="13"/>
  <c r="H4481" i="13"/>
  <c r="H4482" i="13"/>
  <c r="H4483" i="13"/>
  <c r="H4484" i="13"/>
  <c r="H4485" i="13"/>
  <c r="H4486" i="13"/>
  <c r="H4487" i="13"/>
  <c r="H4488" i="13"/>
  <c r="H4489" i="13"/>
  <c r="H4490" i="13"/>
  <c r="H4491" i="13"/>
  <c r="H4492" i="13"/>
  <c r="H4493" i="13"/>
  <c r="H4494" i="13"/>
  <c r="H4495" i="13"/>
  <c r="H4496" i="13"/>
  <c r="H4497" i="13"/>
  <c r="H4498" i="13"/>
  <c r="H4499" i="13"/>
  <c r="H4500" i="13"/>
  <c r="H4501" i="13"/>
  <c r="H4502" i="13"/>
  <c r="H4503" i="13"/>
  <c r="H4504" i="13"/>
  <c r="H4505" i="13"/>
  <c r="H4506" i="13"/>
  <c r="H4507" i="13"/>
  <c r="H4508" i="13"/>
  <c r="H4509" i="13"/>
  <c r="H4510" i="13"/>
  <c r="H4511" i="13"/>
  <c r="H4512" i="13"/>
  <c r="H4513" i="13"/>
  <c r="H4514" i="13"/>
  <c r="H4515" i="13"/>
  <c r="H4516" i="13"/>
  <c r="H4517" i="13"/>
  <c r="H4518" i="13"/>
  <c r="H4519" i="13"/>
  <c r="H4520" i="13"/>
  <c r="H4521" i="13"/>
  <c r="H4522" i="13"/>
  <c r="H4523" i="13"/>
  <c r="H4524" i="13"/>
  <c r="H4525" i="13"/>
  <c r="H4526" i="13"/>
  <c r="H4527" i="13"/>
  <c r="H4528" i="13"/>
  <c r="H4529" i="13"/>
  <c r="H4530" i="13"/>
  <c r="H4531" i="13"/>
  <c r="H4532" i="13"/>
  <c r="H4533" i="13"/>
  <c r="H4534" i="13"/>
  <c r="H4535" i="13"/>
  <c r="H4536" i="13"/>
  <c r="H4537" i="13"/>
  <c r="H4538" i="13"/>
  <c r="H4539" i="13"/>
  <c r="H4540" i="13"/>
  <c r="H4541" i="13"/>
  <c r="H4542" i="13"/>
  <c r="H4543" i="13"/>
  <c r="H4544" i="13"/>
  <c r="H4545" i="13"/>
  <c r="H4546" i="13"/>
  <c r="H4547" i="13"/>
  <c r="H4548" i="13"/>
  <c r="H4549" i="13"/>
  <c r="H4550" i="13"/>
  <c r="H4551" i="13"/>
  <c r="H4552" i="13"/>
  <c r="H4553" i="13"/>
  <c r="H4554" i="13"/>
  <c r="H4555" i="13"/>
  <c r="H4556" i="13"/>
  <c r="H4557" i="13"/>
  <c r="H4558" i="13"/>
  <c r="H4559" i="13"/>
  <c r="H4560" i="13"/>
  <c r="H4561" i="13"/>
  <c r="H4562" i="13"/>
  <c r="H4563" i="13"/>
  <c r="H4564" i="13"/>
  <c r="H4565" i="13"/>
  <c r="H4566" i="13"/>
  <c r="H4567" i="13"/>
  <c r="H4568" i="13"/>
  <c r="H4569" i="13"/>
  <c r="H4570" i="13"/>
  <c r="H4571" i="13"/>
  <c r="H4572" i="13"/>
  <c r="H4573" i="13"/>
  <c r="H4574" i="13"/>
  <c r="H4575" i="13"/>
  <c r="H4576" i="13"/>
  <c r="H4577" i="13"/>
  <c r="H4578" i="13"/>
  <c r="H4579" i="13"/>
  <c r="H4580" i="13"/>
  <c r="H4581" i="13"/>
  <c r="H4582" i="13"/>
  <c r="H4583" i="13"/>
  <c r="H4584" i="13"/>
  <c r="H4585" i="13"/>
  <c r="H4586" i="13"/>
  <c r="H4587" i="13"/>
  <c r="H4588" i="13"/>
  <c r="H4589" i="13"/>
  <c r="H4590" i="13"/>
  <c r="H4591" i="13"/>
  <c r="H4592" i="13"/>
  <c r="H4593" i="13"/>
  <c r="H4594" i="13"/>
  <c r="H4595" i="13"/>
  <c r="H4596" i="13"/>
  <c r="H4597" i="13"/>
  <c r="H4598" i="13"/>
  <c r="H4599" i="13"/>
  <c r="H4600" i="13"/>
  <c r="H4601" i="13"/>
  <c r="H4602" i="13"/>
  <c r="H4603" i="13"/>
  <c r="H4604" i="13"/>
  <c r="H4605" i="13"/>
  <c r="H4606" i="13"/>
  <c r="H4607" i="13"/>
  <c r="H4608" i="13"/>
  <c r="H4609" i="13"/>
  <c r="H4610" i="13"/>
  <c r="H4611" i="13"/>
  <c r="H4612" i="13"/>
  <c r="H4613" i="13"/>
  <c r="H4614" i="13"/>
  <c r="H4615" i="13"/>
  <c r="H4616" i="13"/>
  <c r="H4617" i="13"/>
  <c r="H4618" i="13"/>
  <c r="H4619" i="13"/>
  <c r="H4620" i="13"/>
  <c r="H4621" i="13"/>
  <c r="H4622" i="13"/>
  <c r="H4623" i="13"/>
  <c r="H4624" i="13"/>
  <c r="H4625" i="13"/>
  <c r="H4626" i="13"/>
  <c r="H4627" i="13"/>
  <c r="H4628" i="13"/>
  <c r="H4629" i="13"/>
  <c r="H4630" i="13"/>
  <c r="H4631" i="13"/>
  <c r="H4632" i="13"/>
  <c r="H4633" i="13"/>
  <c r="H4634" i="13"/>
  <c r="H4635" i="13"/>
  <c r="H4636" i="13"/>
  <c r="H4637" i="13"/>
  <c r="H4638" i="13"/>
  <c r="H4639" i="13"/>
  <c r="H4640" i="13"/>
  <c r="H4641" i="13"/>
  <c r="H4642" i="13"/>
  <c r="H4643" i="13"/>
  <c r="H4644" i="13"/>
  <c r="H4645" i="13"/>
  <c r="H4646" i="13"/>
  <c r="H4647" i="13"/>
  <c r="H4648" i="13"/>
  <c r="H4649" i="13"/>
  <c r="H4650" i="13"/>
  <c r="H4651" i="13"/>
  <c r="H4652" i="13"/>
  <c r="H4653" i="13"/>
  <c r="H4654" i="13"/>
  <c r="H4655" i="13"/>
  <c r="H4656" i="13"/>
  <c r="H4657" i="13"/>
  <c r="H4658" i="13"/>
  <c r="H4659" i="13"/>
  <c r="H4660" i="13"/>
  <c r="H4661" i="13"/>
  <c r="H4662" i="13"/>
  <c r="H4663" i="13"/>
  <c r="H4664" i="13"/>
  <c r="H4665" i="13"/>
  <c r="H4666" i="13"/>
  <c r="H4667" i="13"/>
  <c r="H4668" i="13"/>
  <c r="H4669" i="13"/>
  <c r="H4670" i="13"/>
  <c r="H4671" i="13"/>
  <c r="H4672" i="13"/>
  <c r="H4673" i="13"/>
  <c r="H4674" i="13"/>
  <c r="H4675" i="13"/>
  <c r="H4676" i="13"/>
  <c r="H4677" i="13"/>
  <c r="H4678" i="13"/>
  <c r="H4679" i="13"/>
  <c r="H4680" i="13"/>
  <c r="H4681" i="13"/>
  <c r="H4682" i="13"/>
  <c r="H4683" i="13"/>
  <c r="H4684" i="13"/>
  <c r="H4685" i="13"/>
  <c r="H4686" i="13"/>
  <c r="H4687" i="13"/>
  <c r="H4688" i="13"/>
  <c r="H4689" i="13"/>
  <c r="H4690" i="13"/>
  <c r="H4691" i="13"/>
  <c r="H4692" i="13"/>
  <c r="H4693" i="13"/>
  <c r="H4694" i="13"/>
  <c r="H4695" i="13"/>
  <c r="H4696" i="13"/>
  <c r="H4697" i="13"/>
  <c r="H4698" i="13"/>
  <c r="H4699" i="13"/>
  <c r="H4700" i="13"/>
  <c r="H4701" i="13"/>
  <c r="H4702" i="13"/>
  <c r="H4703" i="13"/>
  <c r="H4704" i="13"/>
  <c r="H4705" i="13"/>
  <c r="H4706" i="13"/>
  <c r="H4707" i="13"/>
  <c r="H4708" i="13"/>
  <c r="H4709" i="13"/>
  <c r="H4710" i="13"/>
  <c r="H4711" i="13"/>
  <c r="H4712" i="13"/>
  <c r="H4713" i="13"/>
  <c r="H4714" i="13"/>
  <c r="H4715" i="13"/>
  <c r="H4716" i="13"/>
  <c r="H4717" i="13"/>
  <c r="H4718" i="13"/>
  <c r="H4719" i="13"/>
  <c r="H4720" i="13"/>
  <c r="H4721" i="13"/>
  <c r="H4722" i="13"/>
  <c r="H4723" i="13"/>
  <c r="H4724" i="13"/>
  <c r="H4725" i="13"/>
  <c r="H4726" i="13"/>
  <c r="H4727" i="13"/>
  <c r="H4728" i="13"/>
  <c r="H4729" i="13"/>
  <c r="H4730" i="13"/>
  <c r="H4731" i="13"/>
  <c r="H4732" i="13"/>
  <c r="H4733" i="13"/>
  <c r="H4734" i="13"/>
  <c r="H4735" i="13"/>
  <c r="H4736" i="13"/>
  <c r="H4737" i="13"/>
  <c r="H4738" i="13"/>
  <c r="H4739" i="13"/>
  <c r="H4740" i="13"/>
  <c r="H4741" i="13"/>
  <c r="H4742" i="13"/>
  <c r="H4743" i="13"/>
  <c r="H4744" i="13"/>
  <c r="H4745" i="13"/>
  <c r="H4746" i="13"/>
  <c r="H4747" i="13"/>
  <c r="H4748" i="13"/>
  <c r="H4749" i="13"/>
  <c r="H4750" i="13"/>
  <c r="H4751" i="13"/>
  <c r="H4752" i="13"/>
  <c r="H4753" i="13"/>
  <c r="H4754" i="13"/>
  <c r="H4755" i="13"/>
  <c r="H4756" i="13"/>
  <c r="H4757" i="13"/>
  <c r="H4758" i="13"/>
  <c r="H4759" i="13"/>
  <c r="H4760" i="13"/>
  <c r="H4761" i="13"/>
  <c r="H4762" i="13"/>
  <c r="H4763" i="13"/>
  <c r="H4764" i="13"/>
  <c r="H4765" i="13"/>
  <c r="H4766" i="13"/>
  <c r="H4767" i="13"/>
  <c r="H4768" i="13"/>
  <c r="H4769" i="13"/>
  <c r="H4770" i="13"/>
  <c r="H4771" i="13"/>
  <c r="H4772" i="13"/>
  <c r="H4773" i="13"/>
  <c r="H4774" i="13"/>
  <c r="H4775" i="13"/>
  <c r="H4776" i="13"/>
  <c r="H4777" i="13"/>
  <c r="H4778" i="13"/>
  <c r="H4779" i="13"/>
  <c r="H4780" i="13"/>
  <c r="H4781" i="13"/>
  <c r="H4782" i="13"/>
  <c r="H4783" i="13"/>
  <c r="H4784" i="13"/>
  <c r="H4785" i="13"/>
  <c r="H4786" i="13"/>
  <c r="H4787" i="13"/>
  <c r="H4788" i="13"/>
  <c r="H4789" i="13"/>
  <c r="H4790" i="13"/>
  <c r="H4791" i="13"/>
  <c r="H4792" i="13"/>
  <c r="H4793" i="13"/>
  <c r="H4794" i="13"/>
  <c r="H4795" i="13"/>
  <c r="H4796" i="13"/>
  <c r="H4797" i="13"/>
  <c r="H4798" i="13"/>
  <c r="H4799" i="13"/>
  <c r="H4800" i="13"/>
  <c r="H4801" i="13"/>
  <c r="H4802" i="13"/>
  <c r="H4803" i="13"/>
  <c r="H4804" i="13"/>
  <c r="H4805" i="13"/>
  <c r="H4806" i="13"/>
  <c r="H4807" i="13"/>
  <c r="H4808" i="13"/>
  <c r="H4809" i="13"/>
  <c r="H4810" i="13"/>
  <c r="H4811" i="13"/>
  <c r="H4812" i="13"/>
  <c r="H4813" i="13"/>
  <c r="H4814" i="13"/>
  <c r="H4815" i="13"/>
  <c r="H4816" i="13"/>
  <c r="H4817" i="13"/>
  <c r="H4818" i="13"/>
  <c r="H4819" i="13"/>
  <c r="H4820" i="13"/>
  <c r="H4821" i="13"/>
  <c r="H4822" i="13"/>
  <c r="H4823" i="13"/>
  <c r="H4824" i="13"/>
  <c r="H4825" i="13"/>
  <c r="H4826" i="13"/>
  <c r="H4827" i="13"/>
  <c r="H4828" i="13"/>
  <c r="H4829" i="13"/>
  <c r="H4830" i="13"/>
  <c r="H4831" i="13"/>
  <c r="H4832" i="13"/>
  <c r="H4833" i="13"/>
  <c r="H4834" i="13"/>
  <c r="H4835" i="13"/>
  <c r="H4836" i="13"/>
  <c r="H4837" i="13"/>
  <c r="H4838" i="13"/>
  <c r="H4839" i="13"/>
  <c r="H4840" i="13"/>
  <c r="H4841" i="13"/>
  <c r="H4842" i="13"/>
  <c r="H4843" i="13"/>
  <c r="H4844" i="13"/>
  <c r="H4845" i="13"/>
  <c r="H4846" i="13"/>
  <c r="H4847" i="13"/>
  <c r="H4848" i="13"/>
  <c r="H4849" i="13"/>
  <c r="H4850" i="13"/>
  <c r="H4851" i="13"/>
  <c r="H4852" i="13"/>
  <c r="H4853" i="13"/>
  <c r="H4854" i="13"/>
  <c r="H4855" i="13"/>
  <c r="H4856" i="13"/>
  <c r="H4857" i="13"/>
  <c r="H4858" i="13"/>
  <c r="H4859" i="13"/>
  <c r="H4860" i="13"/>
  <c r="H4861" i="13"/>
  <c r="H4862" i="13"/>
  <c r="H4863" i="13"/>
  <c r="H4864" i="13"/>
  <c r="H4865" i="13"/>
  <c r="H4866" i="13"/>
  <c r="H4867" i="13"/>
  <c r="H4868" i="13"/>
  <c r="H4869" i="13"/>
  <c r="H4870" i="13"/>
  <c r="H4871" i="13"/>
  <c r="H4872" i="13"/>
  <c r="H4873" i="13"/>
  <c r="H4874" i="13"/>
  <c r="H4875" i="13"/>
  <c r="H4876" i="13"/>
  <c r="H4877" i="13"/>
  <c r="H4878" i="13"/>
  <c r="H4879" i="13"/>
  <c r="H4880" i="13"/>
  <c r="H4881" i="13"/>
  <c r="H4882" i="13"/>
  <c r="H4883" i="13"/>
  <c r="H4884" i="13"/>
  <c r="H4885" i="13"/>
  <c r="H4886" i="13"/>
  <c r="H4887" i="13"/>
  <c r="H4888" i="13"/>
  <c r="H4889" i="13"/>
  <c r="H4890" i="13"/>
  <c r="H4891" i="13"/>
  <c r="H4892" i="13"/>
  <c r="H4893" i="13"/>
  <c r="H4894" i="13"/>
  <c r="H4895" i="13"/>
  <c r="H4896" i="13"/>
  <c r="H4897" i="13"/>
  <c r="H4898" i="13"/>
  <c r="H4899" i="13"/>
  <c r="H4900" i="13"/>
  <c r="H4901" i="13"/>
  <c r="H4902" i="13"/>
  <c r="H4903" i="13"/>
  <c r="H4904" i="13"/>
  <c r="H4905" i="13"/>
  <c r="H4906" i="13"/>
  <c r="H4907" i="13"/>
  <c r="H4908" i="13"/>
  <c r="H4909" i="13"/>
  <c r="H4910" i="13"/>
  <c r="H4911" i="13"/>
  <c r="H4912" i="13"/>
  <c r="H4913" i="13"/>
  <c r="H4914" i="13"/>
  <c r="H4915" i="13"/>
  <c r="H4916" i="13"/>
  <c r="H4917" i="13"/>
  <c r="H4918" i="13"/>
  <c r="H4919" i="13"/>
  <c r="H4920" i="13"/>
  <c r="H4921" i="13"/>
  <c r="H4922" i="13"/>
  <c r="H4923" i="13"/>
  <c r="H4924" i="13"/>
  <c r="H4925" i="13"/>
  <c r="H4926" i="13"/>
  <c r="H4927" i="13"/>
  <c r="H4928" i="13"/>
  <c r="H4929" i="13"/>
  <c r="H4930" i="13"/>
  <c r="H4931" i="13"/>
  <c r="H4932" i="13"/>
  <c r="H4933" i="13"/>
  <c r="H4934" i="13"/>
  <c r="H4935" i="13"/>
  <c r="H4936" i="13"/>
  <c r="H4937" i="13"/>
  <c r="H4938" i="13"/>
  <c r="H4939" i="13"/>
  <c r="H4940" i="13"/>
  <c r="H4941" i="13"/>
  <c r="H4942" i="13"/>
  <c r="H4943" i="13"/>
  <c r="H4944" i="13"/>
  <c r="H4945" i="13"/>
  <c r="H4946" i="13"/>
  <c r="H4947" i="13"/>
  <c r="H4948" i="13"/>
  <c r="H4949" i="13"/>
  <c r="H4950" i="13"/>
  <c r="H4951" i="13"/>
  <c r="H4952" i="13"/>
  <c r="H4953" i="13"/>
  <c r="H4954" i="13"/>
  <c r="H4955" i="13"/>
  <c r="H4956" i="13"/>
  <c r="H4957" i="13"/>
  <c r="H4958" i="13"/>
  <c r="H4959" i="13"/>
  <c r="H4960" i="13"/>
  <c r="H4961" i="13"/>
  <c r="H4962" i="13"/>
  <c r="H4963" i="13"/>
  <c r="H4964" i="13"/>
  <c r="H4965" i="13"/>
  <c r="H4966" i="13"/>
  <c r="H4967" i="13"/>
  <c r="H4968" i="13"/>
  <c r="H4969" i="13"/>
  <c r="H4970" i="13"/>
  <c r="H4971" i="13"/>
  <c r="H4972" i="13"/>
  <c r="H4973" i="13"/>
  <c r="H4974" i="13"/>
  <c r="H4975" i="13"/>
  <c r="H4976" i="13"/>
  <c r="H4977" i="13"/>
  <c r="H4978" i="13"/>
  <c r="H4979" i="13"/>
  <c r="H4980" i="13"/>
  <c r="H4981" i="13"/>
  <c r="H4982" i="13"/>
  <c r="H4983" i="13"/>
  <c r="H4984" i="13"/>
  <c r="H4985" i="13"/>
  <c r="H4986" i="13"/>
  <c r="H4987" i="13"/>
  <c r="H4988" i="13"/>
  <c r="H4989" i="13"/>
  <c r="H4990" i="13"/>
  <c r="H4991" i="13"/>
  <c r="H4992" i="13"/>
  <c r="H4993" i="13"/>
  <c r="H4994" i="13"/>
  <c r="H4995" i="13"/>
  <c r="H4996" i="13"/>
  <c r="H4997" i="13"/>
  <c r="H4998" i="13"/>
  <c r="H4999" i="13"/>
  <c r="H5000" i="13"/>
  <c r="H5001" i="13"/>
  <c r="H5002" i="13"/>
  <c r="H5003" i="13"/>
  <c r="H5004" i="13"/>
  <c r="H5005" i="13"/>
  <c r="H5006" i="13"/>
  <c r="H5007" i="13"/>
  <c r="H5008" i="13"/>
  <c r="H5009" i="13"/>
  <c r="H5010" i="13"/>
  <c r="H5011" i="13"/>
  <c r="H5012" i="13"/>
  <c r="H5013" i="13"/>
  <c r="H5014" i="13"/>
  <c r="H5015" i="13"/>
  <c r="H5016" i="13"/>
  <c r="H5017" i="13"/>
  <c r="H5018" i="13"/>
  <c r="H5019" i="13"/>
  <c r="H5020" i="13"/>
  <c r="H5021" i="13"/>
  <c r="H5022" i="13"/>
  <c r="H5023" i="13"/>
  <c r="H5024" i="13"/>
  <c r="H5025" i="13"/>
  <c r="H5026" i="13"/>
  <c r="H5027" i="13"/>
  <c r="H5028" i="13"/>
  <c r="H5029" i="13"/>
  <c r="H5030" i="13"/>
  <c r="H5031" i="13"/>
  <c r="H5032" i="13"/>
  <c r="H5033" i="13"/>
  <c r="H5034" i="13"/>
  <c r="H5035" i="13"/>
  <c r="H5036" i="13"/>
  <c r="H5037" i="13"/>
  <c r="H5038" i="13"/>
  <c r="H5039" i="13"/>
  <c r="H5040" i="13"/>
  <c r="H5041" i="13"/>
  <c r="H5042" i="13"/>
  <c r="H5043" i="13"/>
  <c r="H5044" i="13"/>
  <c r="H5045" i="13"/>
  <c r="H5046" i="13"/>
  <c r="H5047" i="13"/>
  <c r="H5048" i="13"/>
  <c r="H5049" i="13"/>
  <c r="H5050" i="13"/>
  <c r="H5051" i="13"/>
  <c r="H5052" i="13"/>
  <c r="H5053" i="13"/>
  <c r="H5054" i="13"/>
  <c r="H5055" i="13"/>
  <c r="H5056" i="13"/>
  <c r="H5057" i="13"/>
  <c r="H5058" i="13"/>
  <c r="H5059" i="13"/>
  <c r="H5060" i="13"/>
  <c r="H5061" i="13"/>
  <c r="H5062" i="13"/>
  <c r="H5063" i="13"/>
  <c r="H5064" i="13"/>
  <c r="H5065" i="13"/>
  <c r="H5066" i="13"/>
  <c r="H5067" i="13"/>
  <c r="H5068" i="13"/>
  <c r="H5069" i="13"/>
  <c r="H5070" i="13"/>
  <c r="H5071" i="13"/>
  <c r="H5072" i="13"/>
  <c r="H5073" i="13"/>
  <c r="H5074" i="13"/>
  <c r="H5075" i="13"/>
  <c r="H5076" i="13"/>
  <c r="H5077" i="13"/>
  <c r="H5078" i="13"/>
  <c r="H5079" i="13"/>
  <c r="H5080" i="13"/>
  <c r="H5081" i="13"/>
  <c r="H5082" i="13"/>
  <c r="H5083" i="13"/>
  <c r="H5084" i="13"/>
  <c r="H5085" i="13"/>
  <c r="H5086" i="13"/>
  <c r="H5087" i="13"/>
  <c r="H5088" i="13"/>
  <c r="H5089" i="13"/>
  <c r="H5090" i="13"/>
  <c r="H5091" i="13"/>
  <c r="H5092" i="13"/>
  <c r="H5093" i="13"/>
  <c r="H5094" i="13"/>
  <c r="H5095" i="13"/>
  <c r="H5096" i="13"/>
  <c r="H5097" i="13"/>
  <c r="H5098" i="13"/>
  <c r="H5099" i="13"/>
  <c r="H5100" i="13"/>
  <c r="H5101" i="13"/>
  <c r="H5102" i="13"/>
  <c r="H5103" i="13"/>
  <c r="H5104" i="13"/>
  <c r="H5105" i="13"/>
  <c r="H5106" i="13"/>
  <c r="H5107" i="13"/>
  <c r="H5108" i="13"/>
  <c r="H5109" i="13"/>
  <c r="H5110" i="13"/>
  <c r="H5111" i="13"/>
  <c r="H5112" i="13"/>
  <c r="H5113" i="13"/>
  <c r="H5114" i="13"/>
  <c r="H5115" i="13"/>
  <c r="H5116" i="13"/>
  <c r="H5117" i="13"/>
  <c r="H5118" i="13"/>
  <c r="H5119" i="13"/>
  <c r="H5120" i="13"/>
  <c r="H5121" i="13"/>
  <c r="H5122" i="13"/>
  <c r="H5123" i="13"/>
  <c r="H5124" i="13"/>
  <c r="H5125" i="13"/>
  <c r="H5126" i="13"/>
  <c r="H5127" i="13"/>
  <c r="H5128" i="13"/>
  <c r="H5129" i="13"/>
  <c r="H5130" i="13"/>
  <c r="H5131" i="13"/>
  <c r="H5132" i="13"/>
  <c r="H5133" i="13"/>
  <c r="H5134" i="13"/>
  <c r="H5135" i="13"/>
  <c r="H5136" i="13"/>
  <c r="H5137" i="13"/>
  <c r="H5138" i="13"/>
  <c r="H5139" i="13"/>
  <c r="H5140" i="13"/>
  <c r="H5141" i="13"/>
  <c r="H5142" i="13"/>
  <c r="H5143" i="13"/>
  <c r="H5144" i="13"/>
  <c r="H5145" i="13"/>
  <c r="H5146" i="13"/>
  <c r="H5147" i="13"/>
  <c r="H5148" i="13"/>
  <c r="H5149" i="13"/>
  <c r="H5150" i="13"/>
  <c r="H5151" i="13"/>
  <c r="H5152" i="13"/>
  <c r="H5153" i="13"/>
  <c r="H5154" i="13"/>
  <c r="H5155" i="13"/>
  <c r="H5156" i="13"/>
  <c r="H5157" i="13"/>
  <c r="H5158" i="13"/>
  <c r="H5159" i="13"/>
  <c r="H5160" i="13"/>
  <c r="H5161" i="13"/>
  <c r="H5162" i="13"/>
  <c r="H5163" i="13"/>
  <c r="H5164" i="13"/>
  <c r="H5165" i="13"/>
  <c r="H5166" i="13"/>
  <c r="H5167" i="13"/>
  <c r="H5168" i="13"/>
  <c r="H5169" i="13"/>
  <c r="H5170" i="13"/>
  <c r="H5171" i="13"/>
  <c r="H5172" i="13"/>
  <c r="H5173" i="13"/>
  <c r="H5174" i="13"/>
  <c r="H5175" i="13"/>
  <c r="H5176" i="13"/>
  <c r="H5177" i="13"/>
  <c r="H5178" i="13"/>
  <c r="H5179" i="13"/>
  <c r="H5180" i="13"/>
  <c r="H5181" i="13"/>
  <c r="H5182" i="13"/>
  <c r="H5183" i="13"/>
  <c r="H5184" i="13"/>
  <c r="H5185" i="13"/>
  <c r="H5186" i="13"/>
  <c r="H5187" i="13"/>
  <c r="H5188" i="13"/>
  <c r="H5189" i="13"/>
  <c r="H5190" i="13"/>
  <c r="H5191" i="13"/>
  <c r="H5192" i="13"/>
  <c r="H5193" i="13"/>
  <c r="H5194" i="13"/>
  <c r="H5195" i="13"/>
  <c r="H5196" i="13"/>
  <c r="H5197" i="13"/>
  <c r="H5198" i="13"/>
  <c r="H5199" i="13"/>
  <c r="H5200" i="13"/>
  <c r="H5201" i="13"/>
  <c r="H5202" i="13"/>
  <c r="H5203" i="13"/>
  <c r="H5204" i="13"/>
  <c r="H5205" i="13"/>
  <c r="H5206" i="13"/>
  <c r="H5207" i="13"/>
  <c r="H5208" i="13"/>
  <c r="H5209" i="13"/>
  <c r="H5210" i="13"/>
  <c r="H5211" i="13"/>
  <c r="H5212" i="13"/>
  <c r="H5213" i="13"/>
  <c r="H5214" i="13"/>
  <c r="H5215" i="13"/>
  <c r="H5216" i="13"/>
  <c r="H5217" i="13"/>
  <c r="H5218" i="13"/>
  <c r="H5219" i="13"/>
  <c r="H5220" i="13"/>
  <c r="H5221" i="13"/>
  <c r="H5222" i="13"/>
  <c r="H5223" i="13"/>
  <c r="H5224" i="13"/>
  <c r="H5225" i="13"/>
  <c r="H5226" i="13"/>
  <c r="H5227" i="13"/>
  <c r="H5228" i="13"/>
  <c r="H5229" i="13"/>
  <c r="H5230" i="13"/>
  <c r="H5231" i="13"/>
  <c r="H5232" i="13"/>
  <c r="H5233" i="13"/>
  <c r="H5234" i="13"/>
  <c r="H5235" i="13"/>
  <c r="H5236" i="13"/>
  <c r="H5237" i="13"/>
  <c r="H5238" i="13"/>
  <c r="H5239" i="13"/>
  <c r="H5240" i="13"/>
  <c r="H5241" i="13"/>
  <c r="H5242" i="13"/>
  <c r="H5243" i="13"/>
  <c r="H5244" i="13"/>
  <c r="H5245" i="13"/>
  <c r="H5246" i="13"/>
  <c r="H5247" i="13"/>
  <c r="H5248" i="13"/>
  <c r="H5249" i="13"/>
  <c r="H5250" i="13"/>
  <c r="H5251" i="13"/>
  <c r="H5252" i="13"/>
  <c r="H5253" i="13"/>
  <c r="H5254" i="13"/>
  <c r="H5255" i="13"/>
  <c r="H5256" i="13"/>
  <c r="H5257" i="13"/>
  <c r="H5258" i="13"/>
  <c r="H5259" i="13"/>
  <c r="H5260" i="13"/>
  <c r="H5261" i="13"/>
  <c r="H5262" i="13"/>
  <c r="H5263" i="13"/>
  <c r="H5264" i="13"/>
  <c r="H5265" i="13"/>
  <c r="H5266" i="13"/>
  <c r="H5267" i="13"/>
  <c r="H5268" i="13"/>
  <c r="H5269" i="13"/>
  <c r="H5270" i="13"/>
  <c r="H5271" i="13"/>
  <c r="H5272" i="13"/>
  <c r="H5273" i="13"/>
  <c r="H5274" i="13"/>
  <c r="H5275" i="13"/>
  <c r="H5276" i="13"/>
  <c r="H5277" i="13"/>
  <c r="H5278" i="13"/>
  <c r="H5279" i="13"/>
  <c r="H5280" i="13"/>
  <c r="H5281" i="13"/>
  <c r="H5282" i="13"/>
  <c r="H5283" i="13"/>
  <c r="H5284" i="13"/>
  <c r="H5285" i="13"/>
  <c r="H5286" i="13"/>
  <c r="H5287" i="13"/>
  <c r="H5288" i="13"/>
  <c r="H5289" i="13"/>
  <c r="H5290" i="13"/>
  <c r="H5291" i="13"/>
  <c r="H5292" i="13"/>
  <c r="H5293" i="13"/>
  <c r="H5294" i="13"/>
  <c r="H5295" i="13"/>
  <c r="H5296" i="13"/>
  <c r="H5297" i="13"/>
  <c r="H5298" i="13"/>
  <c r="H5299" i="13"/>
  <c r="H5300" i="13"/>
  <c r="H5301" i="13"/>
  <c r="H5302" i="13"/>
  <c r="H5303" i="13"/>
  <c r="H5304" i="13"/>
  <c r="H5305" i="13"/>
  <c r="H5306" i="13"/>
  <c r="H5307" i="13"/>
  <c r="H5308" i="13"/>
  <c r="H5309" i="13"/>
  <c r="H5310" i="13"/>
  <c r="H5311" i="13"/>
  <c r="H5312" i="13"/>
  <c r="H5313" i="13"/>
  <c r="H5314" i="13"/>
  <c r="H5315" i="13"/>
  <c r="H5316" i="13"/>
  <c r="H5317" i="13"/>
  <c r="H5318" i="13"/>
  <c r="H5319" i="13"/>
  <c r="H5320" i="13"/>
  <c r="H5321" i="13"/>
  <c r="H5322" i="13"/>
  <c r="H5323" i="13"/>
  <c r="H5324" i="13"/>
  <c r="H5325" i="13"/>
  <c r="H5326" i="13"/>
  <c r="H5327" i="13"/>
  <c r="H5328" i="13"/>
  <c r="H5329" i="13"/>
  <c r="H5330" i="13"/>
  <c r="H5331" i="13"/>
  <c r="H5332" i="13"/>
  <c r="H5333" i="13"/>
  <c r="H5334" i="13"/>
  <c r="H5335" i="13"/>
  <c r="H5336" i="13"/>
  <c r="H5337" i="13"/>
  <c r="H5338" i="13"/>
  <c r="H5339" i="13"/>
  <c r="H5340" i="13"/>
  <c r="H5341" i="13"/>
  <c r="H5342" i="13"/>
  <c r="H5343" i="13"/>
  <c r="H5344" i="13"/>
  <c r="H5345" i="13"/>
  <c r="H5346" i="13"/>
  <c r="H5347" i="13"/>
  <c r="H5348" i="13"/>
  <c r="H5349" i="13"/>
  <c r="H5350" i="13"/>
  <c r="H5351" i="13"/>
  <c r="H5352" i="13"/>
  <c r="H5353" i="13"/>
  <c r="H5354" i="13"/>
  <c r="H5355" i="13"/>
  <c r="H5356" i="13"/>
  <c r="H5357" i="13"/>
  <c r="H5358" i="13"/>
  <c r="H5359" i="13"/>
  <c r="H5360" i="13"/>
  <c r="H5361" i="13"/>
  <c r="H5362" i="13"/>
  <c r="H5363" i="13"/>
  <c r="H5364" i="13"/>
  <c r="H5365" i="13"/>
  <c r="H5366" i="13"/>
  <c r="H5367" i="13"/>
  <c r="H5368" i="13"/>
  <c r="H5369" i="13"/>
  <c r="H5370" i="13"/>
  <c r="H5371" i="13"/>
  <c r="H5372" i="13"/>
  <c r="H5373" i="13"/>
  <c r="H5374" i="13"/>
  <c r="H5375" i="13"/>
  <c r="H5376" i="13"/>
  <c r="H5377" i="13"/>
  <c r="H5378" i="13"/>
  <c r="H5379" i="13"/>
  <c r="H5380" i="13"/>
  <c r="H5381" i="13"/>
  <c r="H5382" i="13"/>
  <c r="H5383" i="13"/>
  <c r="H5384" i="13"/>
  <c r="H5385" i="13"/>
  <c r="H5386" i="13"/>
  <c r="H5387" i="13"/>
  <c r="H5388" i="13"/>
  <c r="H5389" i="13"/>
  <c r="H5390" i="13"/>
  <c r="H5391" i="13"/>
  <c r="H5392" i="13"/>
  <c r="H5393" i="13"/>
  <c r="H5394" i="13"/>
  <c r="H5395" i="13"/>
  <c r="H5396" i="13"/>
  <c r="H5397" i="13"/>
  <c r="H5398" i="13"/>
  <c r="H5399" i="13"/>
  <c r="H5400" i="13"/>
  <c r="H5401" i="13"/>
  <c r="H5402" i="13"/>
  <c r="H5403" i="13"/>
  <c r="H5404" i="13"/>
  <c r="H5405" i="13"/>
  <c r="H5406" i="13"/>
  <c r="H5407" i="13"/>
  <c r="H5408" i="13"/>
  <c r="H5409" i="13"/>
  <c r="H5410" i="13"/>
  <c r="H5411" i="13"/>
  <c r="H5412" i="13"/>
  <c r="H5413" i="13"/>
  <c r="H5414" i="13"/>
  <c r="H5415" i="13"/>
  <c r="H5416" i="13"/>
  <c r="H5417" i="13"/>
  <c r="H5418" i="13"/>
  <c r="H5419" i="13"/>
  <c r="H5420" i="13"/>
  <c r="H5421" i="13"/>
  <c r="H5422" i="13"/>
  <c r="H5423" i="13"/>
  <c r="H5424" i="13"/>
  <c r="H5425" i="13"/>
  <c r="H5426" i="13"/>
  <c r="H5427" i="13"/>
  <c r="H5428" i="13"/>
  <c r="H5429" i="13"/>
  <c r="H5430" i="13"/>
  <c r="H5431" i="13"/>
  <c r="H5432" i="13"/>
  <c r="H5433" i="13"/>
  <c r="H5434" i="13"/>
  <c r="H5435" i="13"/>
  <c r="H5436" i="13"/>
  <c r="H5437" i="13"/>
  <c r="H5438" i="13"/>
  <c r="H5439" i="13"/>
  <c r="H5440" i="13"/>
  <c r="H5441" i="13"/>
  <c r="H5442" i="13"/>
  <c r="H5443" i="13"/>
  <c r="H5444" i="13"/>
  <c r="H5445" i="13"/>
  <c r="H5446" i="13"/>
  <c r="H5447" i="13"/>
  <c r="H5448" i="13"/>
  <c r="H5449" i="13"/>
  <c r="H5450" i="13"/>
  <c r="H5451" i="13"/>
  <c r="H5452" i="13"/>
  <c r="H5453" i="13"/>
  <c r="H5454" i="13"/>
  <c r="H5455" i="13"/>
  <c r="H5456" i="13"/>
  <c r="H5457" i="13"/>
  <c r="H5458" i="13"/>
  <c r="H5459" i="13"/>
  <c r="H5460" i="13"/>
  <c r="H5461" i="13"/>
  <c r="H5462" i="13"/>
  <c r="H5463" i="13"/>
  <c r="H5464" i="13"/>
  <c r="H5465" i="13"/>
  <c r="H5466" i="13"/>
  <c r="H5467" i="13"/>
  <c r="H5468" i="13"/>
  <c r="H5469" i="13"/>
  <c r="H5470" i="13"/>
  <c r="H5471" i="13"/>
  <c r="H5472" i="13"/>
  <c r="H5473" i="13"/>
  <c r="H5474" i="13"/>
  <c r="H5475" i="13"/>
  <c r="H5476" i="13"/>
  <c r="H5477" i="13"/>
  <c r="H5478" i="13"/>
  <c r="H5479" i="13"/>
  <c r="H5480" i="13"/>
  <c r="H5481" i="13"/>
  <c r="H5482" i="13"/>
  <c r="H5483" i="13"/>
  <c r="H5484" i="13"/>
  <c r="H5485" i="13"/>
  <c r="H5486" i="13"/>
  <c r="H5487" i="13"/>
  <c r="H5488" i="13"/>
  <c r="H5489" i="13"/>
  <c r="H5490" i="13"/>
  <c r="H5491" i="13"/>
  <c r="H5492" i="13"/>
  <c r="H5493" i="13"/>
  <c r="H5494" i="13"/>
  <c r="H5495" i="13"/>
  <c r="H5496" i="13"/>
  <c r="H5497" i="13"/>
  <c r="H5498" i="13"/>
  <c r="H5499" i="13"/>
  <c r="H5500" i="13"/>
  <c r="H5501" i="13"/>
  <c r="H5502" i="13"/>
  <c r="H5503" i="13"/>
  <c r="H5504" i="13"/>
  <c r="H5505" i="13"/>
  <c r="H5506" i="13"/>
  <c r="H5507" i="13"/>
  <c r="H5508" i="13"/>
  <c r="H5509" i="13"/>
  <c r="H5510" i="13"/>
  <c r="H5511" i="13"/>
  <c r="H5512" i="13"/>
  <c r="H5513" i="13"/>
  <c r="H5514" i="13"/>
  <c r="H5515" i="13"/>
  <c r="H5516" i="13"/>
  <c r="H5517" i="13"/>
  <c r="H5518" i="13"/>
  <c r="H5519" i="13"/>
  <c r="H5520" i="13"/>
  <c r="H5521" i="13"/>
  <c r="H5522" i="13"/>
  <c r="H5523" i="13"/>
  <c r="H5524" i="13"/>
  <c r="H5525" i="13"/>
  <c r="H5526" i="13"/>
  <c r="H5527" i="13"/>
  <c r="H5528" i="13"/>
  <c r="H5529" i="13"/>
  <c r="H5530" i="13"/>
  <c r="H5531" i="13"/>
  <c r="H5532" i="13"/>
  <c r="H5533" i="13"/>
  <c r="H5534" i="13"/>
  <c r="H5535" i="13"/>
  <c r="H5536" i="13"/>
  <c r="H5537" i="13"/>
  <c r="H5538" i="13"/>
  <c r="H5539" i="13"/>
  <c r="H5540" i="13"/>
  <c r="H5541" i="13"/>
  <c r="H5542" i="13"/>
  <c r="H5543" i="13"/>
  <c r="H5544" i="13"/>
  <c r="H5545" i="13"/>
  <c r="H5546" i="13"/>
  <c r="H5547" i="13"/>
  <c r="H5548" i="13"/>
  <c r="H5549" i="13"/>
  <c r="H5550" i="13"/>
  <c r="H5551" i="13"/>
  <c r="H5552" i="13"/>
  <c r="H5553" i="13"/>
  <c r="H5554" i="13"/>
  <c r="H5555" i="13"/>
  <c r="H5556" i="13"/>
  <c r="H5557" i="13"/>
  <c r="H5558" i="13"/>
  <c r="H5559" i="13"/>
  <c r="H5560" i="13"/>
  <c r="H5561" i="13"/>
  <c r="H5562" i="13"/>
  <c r="H5563" i="13"/>
  <c r="H5564" i="13"/>
  <c r="H5565" i="13"/>
  <c r="H5566" i="13"/>
  <c r="H5567" i="13"/>
  <c r="H5568" i="13"/>
  <c r="H5569" i="13"/>
  <c r="H5570" i="13"/>
  <c r="H5571" i="13"/>
  <c r="H5572" i="13"/>
  <c r="H5573" i="13"/>
  <c r="H5574" i="13"/>
  <c r="H5575" i="13"/>
  <c r="H5576" i="13"/>
  <c r="H5577" i="13"/>
  <c r="H5578" i="13"/>
  <c r="H5579" i="13"/>
  <c r="H5580" i="13"/>
  <c r="H5581" i="13"/>
  <c r="H5582" i="13"/>
  <c r="H5583" i="13"/>
  <c r="H5584" i="13"/>
  <c r="H5585" i="13"/>
  <c r="H5586" i="13"/>
  <c r="H5587" i="13"/>
  <c r="H5588" i="13"/>
  <c r="H5589" i="13"/>
  <c r="H5590" i="13"/>
  <c r="H5591" i="13"/>
  <c r="H5592" i="13"/>
  <c r="H5593" i="13"/>
  <c r="H5594" i="13"/>
  <c r="H5595" i="13"/>
  <c r="H5596" i="13"/>
  <c r="H5597" i="13"/>
  <c r="H5598" i="13"/>
  <c r="H5599" i="13"/>
  <c r="H5600" i="13"/>
  <c r="H5601" i="13"/>
  <c r="H5602" i="13"/>
  <c r="H5603" i="13"/>
  <c r="H5604" i="13"/>
  <c r="H5605" i="13"/>
  <c r="H5606" i="13"/>
  <c r="H5607" i="13"/>
  <c r="H5608" i="13"/>
  <c r="H5609" i="13"/>
  <c r="H5610" i="13"/>
  <c r="H5611" i="13"/>
  <c r="H5612" i="13"/>
  <c r="H5613" i="13"/>
  <c r="H5614" i="13"/>
  <c r="H5615" i="13"/>
  <c r="H5616" i="13"/>
  <c r="H5617" i="13"/>
  <c r="H5618" i="13"/>
  <c r="H5619" i="13"/>
  <c r="H5620" i="13"/>
  <c r="H5621" i="13"/>
  <c r="H5622" i="13"/>
  <c r="H5623" i="13"/>
  <c r="H5624" i="13"/>
  <c r="H5625" i="13"/>
  <c r="H5626" i="13"/>
  <c r="H5627" i="13"/>
  <c r="H5628" i="13"/>
  <c r="H5629" i="13"/>
  <c r="H5630" i="13"/>
  <c r="H5631" i="13"/>
  <c r="H5632" i="13"/>
  <c r="H5633" i="13"/>
  <c r="H5634" i="13"/>
  <c r="H5635" i="13"/>
  <c r="H5636" i="13"/>
  <c r="H5637" i="13"/>
  <c r="H5638" i="13"/>
  <c r="H5639" i="13"/>
  <c r="H5640" i="13"/>
  <c r="H5641" i="13"/>
  <c r="H5642" i="13"/>
  <c r="H5643" i="13"/>
  <c r="H5644" i="13"/>
  <c r="H5645" i="13"/>
  <c r="H5646" i="13"/>
  <c r="H5647" i="13"/>
  <c r="H5648" i="13"/>
  <c r="H5649" i="13"/>
  <c r="H5650" i="13"/>
  <c r="H5651" i="13"/>
  <c r="H5652" i="13"/>
  <c r="H5653" i="13"/>
  <c r="H5654" i="13"/>
  <c r="H5655" i="13"/>
  <c r="H5656" i="13"/>
  <c r="H5657" i="13"/>
  <c r="H5658" i="13"/>
  <c r="H5659" i="13"/>
  <c r="H5660" i="13"/>
  <c r="H5661" i="13"/>
  <c r="H5662" i="13"/>
  <c r="H5663" i="13"/>
  <c r="H5664" i="13"/>
  <c r="H5665" i="13"/>
  <c r="H5666" i="13"/>
  <c r="H5667" i="13"/>
  <c r="H5668" i="13"/>
  <c r="H5669" i="13"/>
  <c r="H5670" i="13"/>
  <c r="H5671" i="13"/>
  <c r="H5672" i="13"/>
  <c r="H5673" i="13"/>
  <c r="H5674" i="13"/>
  <c r="H5675" i="13"/>
  <c r="H5676" i="13"/>
  <c r="H5677" i="13"/>
  <c r="H5678" i="13"/>
  <c r="H5679" i="13"/>
  <c r="H5680" i="13"/>
  <c r="H5681" i="13"/>
  <c r="H5682" i="13"/>
  <c r="H5683" i="13"/>
  <c r="H5684" i="13"/>
  <c r="H5685" i="13"/>
  <c r="H5686" i="13"/>
  <c r="H5687" i="13"/>
  <c r="H5688" i="13"/>
  <c r="H5689" i="13"/>
  <c r="H5690" i="13"/>
  <c r="H5691" i="13"/>
  <c r="H5692" i="13"/>
  <c r="H5693" i="13"/>
  <c r="H5694" i="13"/>
  <c r="H5695" i="13"/>
  <c r="H5696" i="13"/>
  <c r="H5697" i="13"/>
  <c r="H5698" i="13"/>
  <c r="H5699" i="13"/>
  <c r="H5700" i="13"/>
  <c r="H5701" i="13"/>
  <c r="H5702" i="13"/>
  <c r="H5703" i="13"/>
  <c r="H5704" i="13"/>
  <c r="H5705" i="13"/>
  <c r="H5706" i="13"/>
  <c r="H5707" i="13"/>
  <c r="H5708" i="13"/>
  <c r="H5709" i="13"/>
  <c r="H5710" i="13"/>
  <c r="H5711" i="13"/>
  <c r="H5712" i="13"/>
  <c r="H5713" i="13"/>
  <c r="H5714" i="13"/>
  <c r="H5715" i="13"/>
  <c r="H5716" i="13"/>
  <c r="H5717" i="13"/>
  <c r="H5718" i="13"/>
  <c r="H5719" i="13"/>
  <c r="H5720" i="13"/>
  <c r="H5721" i="13"/>
  <c r="H5722" i="13"/>
  <c r="H5723" i="13"/>
  <c r="H5724" i="13"/>
  <c r="H5725" i="13"/>
  <c r="H5726" i="13"/>
  <c r="H5727" i="13"/>
  <c r="H5728" i="13"/>
  <c r="H5729" i="13"/>
  <c r="H5730" i="13"/>
  <c r="H5731" i="13"/>
  <c r="H5732" i="13"/>
  <c r="H5733" i="13"/>
  <c r="H5734" i="13"/>
  <c r="H5735" i="13"/>
  <c r="H5736" i="13"/>
  <c r="H5737" i="13"/>
  <c r="H5738" i="13"/>
  <c r="H5739" i="13"/>
  <c r="H5740" i="13"/>
  <c r="H5741" i="13"/>
  <c r="H5742" i="13"/>
  <c r="H5743" i="13"/>
  <c r="H5744" i="13"/>
  <c r="H5745" i="13"/>
  <c r="H5746" i="13"/>
  <c r="H5747" i="13"/>
  <c r="H5748" i="13"/>
  <c r="H5749" i="13"/>
  <c r="H5750" i="13"/>
  <c r="H5751" i="13"/>
  <c r="H5752" i="13"/>
  <c r="H5753" i="13"/>
  <c r="H5754" i="13"/>
  <c r="H5755" i="13"/>
  <c r="H5756" i="13"/>
  <c r="H5757" i="13"/>
  <c r="H5758" i="13"/>
  <c r="H5759" i="13"/>
  <c r="H5760" i="13"/>
  <c r="H5761" i="13"/>
  <c r="H5762" i="13"/>
  <c r="H5763" i="13"/>
  <c r="H5764" i="13"/>
  <c r="H5765" i="13"/>
  <c r="H5766" i="13"/>
  <c r="H5767" i="13"/>
  <c r="H5768" i="13"/>
  <c r="H5769" i="13"/>
  <c r="H5770" i="13"/>
  <c r="H5771" i="13"/>
  <c r="H5772" i="13"/>
  <c r="H5773" i="13"/>
  <c r="H5774" i="13"/>
  <c r="H5775" i="13"/>
  <c r="H5776" i="13"/>
  <c r="H5777" i="13"/>
  <c r="H5778" i="13"/>
  <c r="H5779" i="13"/>
  <c r="H5780" i="13"/>
  <c r="H5781" i="13"/>
  <c r="H5782" i="13"/>
  <c r="H5783" i="13"/>
  <c r="H5784" i="13"/>
  <c r="H5785" i="13"/>
  <c r="H5786" i="13"/>
  <c r="H5787" i="13"/>
  <c r="H5788" i="13"/>
  <c r="H5789" i="13"/>
  <c r="H5790" i="13"/>
  <c r="H5791" i="13"/>
  <c r="H5792" i="13"/>
  <c r="H5793" i="13"/>
  <c r="H5794" i="13"/>
  <c r="H5795" i="13"/>
  <c r="H5796" i="13"/>
  <c r="H5797" i="13"/>
  <c r="H5798" i="13"/>
  <c r="H5799" i="13"/>
  <c r="H5800" i="13"/>
  <c r="H5801" i="13"/>
  <c r="H5802" i="13"/>
  <c r="H5803" i="13"/>
  <c r="H5804" i="13"/>
  <c r="H5805" i="13"/>
  <c r="H5806" i="13"/>
  <c r="H5807" i="13"/>
  <c r="H5808" i="13"/>
  <c r="H5809" i="13"/>
  <c r="H5810" i="13"/>
  <c r="H5811" i="13"/>
  <c r="H5812" i="13"/>
  <c r="H5813" i="13"/>
  <c r="H5814" i="13"/>
  <c r="H5815" i="13"/>
  <c r="H5816" i="13"/>
  <c r="H5817" i="13"/>
  <c r="H5818" i="13"/>
  <c r="H5819" i="13"/>
  <c r="H5820" i="13"/>
  <c r="H5821" i="13"/>
  <c r="H5822" i="13"/>
  <c r="H5823" i="13"/>
  <c r="H5824" i="13"/>
  <c r="H5825" i="13"/>
  <c r="H5826" i="13"/>
  <c r="H5827" i="13"/>
  <c r="H5828" i="13"/>
  <c r="H5829" i="13"/>
  <c r="H5830" i="13"/>
  <c r="H5831" i="13"/>
  <c r="H5832" i="13"/>
  <c r="H5833" i="13"/>
  <c r="H5834" i="13"/>
  <c r="H5835" i="13"/>
  <c r="H5836" i="13"/>
  <c r="H5837" i="13"/>
  <c r="H5838" i="13"/>
  <c r="H5839" i="13"/>
  <c r="H5840" i="13"/>
  <c r="H5841" i="13"/>
  <c r="H5842" i="13"/>
  <c r="H5843" i="13"/>
  <c r="H5844" i="13"/>
  <c r="H5845" i="13"/>
  <c r="H5846" i="13"/>
  <c r="H5847" i="13"/>
  <c r="H5848" i="13"/>
  <c r="H5849" i="13"/>
  <c r="H5850" i="13"/>
  <c r="H5851" i="13"/>
  <c r="H5852" i="13"/>
  <c r="H5853" i="13"/>
  <c r="H5854" i="13"/>
  <c r="H5855" i="13"/>
  <c r="H5856" i="13"/>
  <c r="H5857" i="13"/>
  <c r="H5858" i="13"/>
  <c r="H5859" i="13"/>
  <c r="H5860" i="13"/>
  <c r="H5861" i="13"/>
  <c r="H5862" i="13"/>
  <c r="H5863" i="13"/>
  <c r="H5864" i="13"/>
  <c r="H5865" i="13"/>
  <c r="H5866" i="13"/>
  <c r="H5867" i="13"/>
  <c r="H5868" i="13"/>
  <c r="H5869" i="13"/>
  <c r="H5870" i="13"/>
  <c r="H5871" i="13"/>
  <c r="H5872" i="13"/>
  <c r="H5873" i="13"/>
  <c r="H5874" i="13"/>
  <c r="H5875" i="13"/>
  <c r="H5876" i="13"/>
  <c r="H5877" i="13"/>
  <c r="H5878" i="13"/>
  <c r="H5879" i="13"/>
  <c r="H5880" i="13"/>
  <c r="H5881" i="13"/>
  <c r="H5882" i="13"/>
  <c r="H5883" i="13"/>
  <c r="H5884" i="13"/>
  <c r="H5885" i="13"/>
  <c r="H5886" i="13"/>
  <c r="H5887" i="13"/>
  <c r="H5888" i="13"/>
  <c r="H5889" i="13"/>
  <c r="H5890" i="13"/>
  <c r="H5891" i="13"/>
  <c r="H5892" i="13"/>
  <c r="H5893" i="13"/>
  <c r="H5894" i="13"/>
  <c r="H5895" i="13"/>
  <c r="H5896" i="13"/>
  <c r="H5897" i="13"/>
  <c r="H5898" i="13"/>
  <c r="H5899" i="13"/>
  <c r="H5900" i="13"/>
  <c r="H5901" i="13"/>
  <c r="H5902" i="13"/>
  <c r="H5903" i="13"/>
  <c r="H5904" i="13"/>
  <c r="H5905" i="13"/>
  <c r="H5906" i="13"/>
  <c r="H5907" i="13"/>
  <c r="H5908" i="13"/>
  <c r="H5909" i="13"/>
  <c r="H5910" i="13"/>
  <c r="H5911" i="13"/>
  <c r="H5912" i="13"/>
  <c r="H5913" i="13"/>
  <c r="H5914" i="13"/>
  <c r="H5915" i="13"/>
  <c r="H5916" i="13"/>
  <c r="H5917" i="13"/>
  <c r="H5918" i="13"/>
  <c r="H5919" i="13"/>
  <c r="H5920" i="13"/>
  <c r="H5921" i="13"/>
  <c r="H5922" i="13"/>
  <c r="H5923" i="13"/>
  <c r="H5924" i="13"/>
  <c r="H5925" i="13"/>
  <c r="H5926" i="13"/>
  <c r="H5927" i="13"/>
  <c r="H5928" i="13"/>
  <c r="H5929" i="13"/>
  <c r="H5930" i="13"/>
  <c r="H5931" i="13"/>
  <c r="H5932" i="13"/>
  <c r="H5933" i="13"/>
  <c r="H5934" i="13"/>
  <c r="H5935" i="13"/>
  <c r="H5936" i="13"/>
  <c r="H5937" i="13"/>
  <c r="H5938" i="13"/>
  <c r="H5939" i="13"/>
  <c r="H5940" i="13"/>
  <c r="H5941" i="13"/>
  <c r="H5942" i="13"/>
  <c r="H5943" i="13"/>
  <c r="H5944" i="13"/>
  <c r="H5945" i="13"/>
  <c r="H5946" i="13"/>
  <c r="H5947" i="13"/>
  <c r="H5948" i="13"/>
  <c r="H5949" i="13"/>
  <c r="H5950" i="13"/>
  <c r="H5951" i="13"/>
  <c r="H5952" i="13"/>
  <c r="H5953" i="13"/>
  <c r="H5954" i="13"/>
  <c r="H5955" i="13"/>
  <c r="H5956" i="13"/>
  <c r="H5957" i="13"/>
  <c r="H5958" i="13"/>
  <c r="H5959" i="13"/>
  <c r="H5960" i="13"/>
  <c r="H5961" i="13"/>
  <c r="H5962" i="13"/>
  <c r="H5963" i="13"/>
  <c r="H5964" i="13"/>
  <c r="H5965" i="13"/>
  <c r="H5966" i="13"/>
  <c r="H5967" i="13"/>
  <c r="H5968" i="13"/>
  <c r="H5969" i="13"/>
  <c r="H5970" i="13"/>
  <c r="H5971" i="13"/>
  <c r="H5972" i="13"/>
  <c r="H5973" i="13"/>
  <c r="H5974" i="13"/>
  <c r="H5975" i="13"/>
  <c r="H5976" i="13"/>
  <c r="H5977" i="13"/>
  <c r="H5978" i="13"/>
  <c r="H5979" i="13"/>
  <c r="H5980" i="13"/>
  <c r="H5981" i="13"/>
  <c r="H5982" i="13"/>
  <c r="H5983" i="13"/>
  <c r="H5984" i="13"/>
  <c r="H5985" i="13"/>
  <c r="H5986" i="13"/>
  <c r="H5987" i="13"/>
  <c r="H5988" i="13"/>
  <c r="H5989" i="13"/>
  <c r="H5990" i="13"/>
  <c r="H5991" i="13"/>
  <c r="H5992" i="13"/>
  <c r="H5993" i="13"/>
  <c r="H5994" i="13"/>
  <c r="H5995" i="13"/>
  <c r="H5996" i="13"/>
  <c r="H5997" i="13"/>
  <c r="H5998" i="13"/>
  <c r="H5999" i="13"/>
  <c r="H6000" i="13"/>
  <c r="H6001" i="13"/>
  <c r="H6002" i="13"/>
  <c r="H6003" i="13"/>
  <c r="H6004" i="13"/>
  <c r="H6005" i="13"/>
  <c r="H6006" i="13"/>
  <c r="H6007" i="13"/>
  <c r="H6008" i="13"/>
  <c r="H6009" i="13"/>
  <c r="H6010" i="13"/>
  <c r="H6011" i="13"/>
  <c r="H6012" i="13"/>
  <c r="H6013" i="13"/>
  <c r="H6014" i="13"/>
  <c r="H6015" i="13"/>
  <c r="H6016" i="13"/>
  <c r="H6017" i="13"/>
  <c r="H6018" i="13"/>
  <c r="H6019" i="13"/>
  <c r="H6020" i="13"/>
  <c r="H6021" i="13"/>
  <c r="H6022" i="13"/>
  <c r="H6023" i="13"/>
  <c r="H6024" i="13"/>
  <c r="H6025" i="13"/>
  <c r="H6026" i="13"/>
  <c r="H6027" i="13"/>
  <c r="H6028" i="13"/>
  <c r="H6029" i="13"/>
  <c r="H6030" i="13"/>
  <c r="H6031" i="13"/>
  <c r="H6032" i="13"/>
  <c r="H6033" i="13"/>
  <c r="H6034" i="13"/>
  <c r="H6035" i="13"/>
  <c r="H6036" i="13"/>
  <c r="H6037" i="13"/>
  <c r="H6038" i="13"/>
  <c r="H6039" i="13"/>
  <c r="H6040" i="13"/>
  <c r="H6041" i="13"/>
  <c r="H6042" i="13"/>
  <c r="H6043" i="13"/>
  <c r="H6044" i="13"/>
  <c r="H6045" i="13"/>
  <c r="H6046" i="13"/>
  <c r="H6047" i="13"/>
  <c r="H6048" i="13"/>
  <c r="H6049" i="13"/>
  <c r="H6050" i="13"/>
  <c r="H6051" i="13"/>
  <c r="H6052" i="13"/>
  <c r="H6053" i="13"/>
  <c r="H6054" i="13"/>
  <c r="H6055" i="13"/>
  <c r="H6056" i="13"/>
  <c r="H6057" i="13"/>
  <c r="H6058" i="13"/>
  <c r="H6059" i="13"/>
  <c r="H6060" i="13"/>
  <c r="H6061" i="13"/>
  <c r="H6062" i="13"/>
  <c r="H6063" i="13"/>
  <c r="H6064" i="13"/>
  <c r="H6065" i="13"/>
  <c r="H6066" i="13"/>
  <c r="H6067" i="13"/>
  <c r="H6068" i="13"/>
  <c r="H6069" i="13"/>
  <c r="H6070" i="13"/>
  <c r="H6071" i="13"/>
  <c r="H6072" i="13"/>
  <c r="H6073" i="13"/>
  <c r="H6074" i="13"/>
  <c r="H6075" i="13"/>
  <c r="H6076" i="13"/>
  <c r="H6077" i="13"/>
  <c r="H6078" i="13"/>
  <c r="H6079" i="13"/>
  <c r="H6080" i="13"/>
  <c r="H6081" i="13"/>
  <c r="H6082" i="13"/>
  <c r="H6083" i="13"/>
  <c r="H6084" i="13"/>
  <c r="H6085" i="13"/>
  <c r="H6086" i="13"/>
  <c r="H6087" i="13"/>
  <c r="H6088" i="13"/>
  <c r="H6089" i="13"/>
  <c r="H6090" i="13"/>
  <c r="H6091" i="13"/>
  <c r="H6092" i="13"/>
  <c r="H6093" i="13"/>
  <c r="H6094" i="13"/>
  <c r="H6095" i="13"/>
  <c r="H6096" i="13"/>
  <c r="H6097" i="13"/>
  <c r="H6098" i="13"/>
  <c r="H6099" i="13"/>
  <c r="H6100" i="13"/>
  <c r="H6101" i="13"/>
  <c r="H6102" i="13"/>
  <c r="H6103" i="13"/>
  <c r="H6104" i="13"/>
  <c r="H6105" i="13"/>
  <c r="H6106" i="13"/>
  <c r="H6107" i="13"/>
  <c r="H6108" i="13"/>
  <c r="H6109" i="13"/>
  <c r="H6110" i="13"/>
  <c r="H6111" i="13"/>
  <c r="H6112" i="13"/>
  <c r="H6113" i="13"/>
  <c r="H6114" i="13"/>
  <c r="H6115" i="13"/>
  <c r="H6116" i="13"/>
  <c r="H6117" i="13"/>
  <c r="H6118" i="13"/>
  <c r="H6119" i="13"/>
  <c r="H6120" i="13"/>
  <c r="H6121" i="13"/>
  <c r="H6122" i="13"/>
  <c r="H6123" i="13"/>
  <c r="H6124" i="13"/>
  <c r="H6125" i="13"/>
  <c r="H6126" i="13"/>
  <c r="H6127" i="13"/>
  <c r="H6128" i="13"/>
  <c r="H6129" i="13"/>
  <c r="H6130" i="13"/>
  <c r="H6131" i="13"/>
  <c r="H6132" i="13"/>
  <c r="H6133" i="13"/>
  <c r="H6134" i="13"/>
  <c r="H6135" i="13"/>
  <c r="H6136" i="13"/>
  <c r="H6137" i="13"/>
  <c r="H6138" i="13"/>
  <c r="H6139" i="13"/>
  <c r="H6140" i="13"/>
  <c r="H6141" i="13"/>
  <c r="H6142" i="13"/>
  <c r="H6143" i="13"/>
  <c r="H6144" i="13"/>
  <c r="H6145" i="13"/>
  <c r="H6146" i="13"/>
  <c r="H6147" i="13"/>
  <c r="H6148" i="13"/>
  <c r="H6149" i="13"/>
  <c r="H6150" i="13"/>
  <c r="H6151" i="13"/>
  <c r="H6152" i="13"/>
  <c r="H6153" i="13"/>
  <c r="H6154" i="13"/>
  <c r="H6155" i="13"/>
  <c r="H6156" i="13"/>
  <c r="H6157" i="13"/>
  <c r="H6158" i="13"/>
  <c r="H6159" i="13"/>
  <c r="H6160" i="13"/>
  <c r="H6161" i="13"/>
  <c r="H6162" i="13"/>
  <c r="H6163" i="13"/>
  <c r="H6164" i="13"/>
  <c r="H6165" i="13"/>
  <c r="H6166" i="13"/>
  <c r="H6167" i="13"/>
  <c r="H6168" i="13"/>
  <c r="H6169" i="13"/>
  <c r="H6170" i="13"/>
  <c r="H6171" i="13"/>
  <c r="H6172" i="13"/>
  <c r="H6173" i="13"/>
  <c r="H6174" i="13"/>
  <c r="H6175" i="13"/>
  <c r="H6176" i="13"/>
  <c r="H6177" i="13"/>
  <c r="H6178" i="13"/>
  <c r="H6179" i="13"/>
  <c r="H6180" i="13"/>
  <c r="H6181" i="13"/>
  <c r="H6182" i="13"/>
  <c r="H6183" i="13"/>
  <c r="H6184" i="13"/>
  <c r="H6185" i="13"/>
  <c r="H6186" i="13"/>
  <c r="H6187" i="13"/>
  <c r="H6188" i="13"/>
  <c r="H6189" i="13"/>
  <c r="H6190" i="13"/>
  <c r="H6191" i="13"/>
  <c r="H6192" i="13"/>
  <c r="H6193" i="13"/>
  <c r="H6194" i="13"/>
  <c r="H6195" i="13"/>
  <c r="H6196" i="13"/>
  <c r="H6197" i="13"/>
  <c r="H6198" i="13"/>
  <c r="H6199" i="13"/>
  <c r="H6200" i="13"/>
  <c r="H6201" i="13"/>
  <c r="H6202" i="13"/>
  <c r="H6203" i="13"/>
  <c r="H6204" i="13"/>
  <c r="H6205" i="13"/>
  <c r="H6206" i="13"/>
  <c r="H6207" i="13"/>
  <c r="H6208" i="13"/>
  <c r="H6209" i="13"/>
  <c r="H6210" i="13"/>
  <c r="H6211" i="13"/>
  <c r="H6212" i="13"/>
  <c r="H6213" i="13"/>
  <c r="H6214" i="13"/>
  <c r="H6215" i="13"/>
  <c r="H6216" i="13"/>
  <c r="H6217" i="13"/>
  <c r="H6218" i="13"/>
  <c r="H6219" i="13"/>
  <c r="H6220" i="13"/>
  <c r="H6221" i="13"/>
  <c r="H6222" i="13"/>
  <c r="H6223" i="13"/>
  <c r="H6224" i="13"/>
  <c r="H6225" i="13"/>
  <c r="H6226" i="13"/>
  <c r="H6227" i="13"/>
  <c r="H6228" i="13"/>
  <c r="H6229" i="13"/>
  <c r="H6230" i="13"/>
  <c r="H6231" i="13"/>
  <c r="H6232" i="13"/>
  <c r="H6233" i="13"/>
  <c r="H6234" i="13"/>
  <c r="H6235" i="13"/>
  <c r="H6236" i="13"/>
  <c r="H6237" i="13"/>
  <c r="H6238" i="13"/>
  <c r="H6239" i="13"/>
  <c r="H6240" i="13"/>
  <c r="H6241" i="13"/>
  <c r="H6242" i="13"/>
  <c r="H6243" i="13"/>
  <c r="H6244" i="13"/>
  <c r="H6245" i="13"/>
  <c r="H6246" i="13"/>
  <c r="H6247" i="13"/>
  <c r="H6248" i="13"/>
  <c r="H6249" i="13"/>
  <c r="H6250" i="13"/>
  <c r="H6251" i="13"/>
  <c r="H6252" i="13"/>
  <c r="H6253" i="13"/>
  <c r="H6254" i="13"/>
  <c r="H6255" i="13"/>
  <c r="H6256" i="13"/>
  <c r="H6257" i="13"/>
  <c r="H6258" i="13"/>
  <c r="H6259" i="13"/>
  <c r="H6260" i="13"/>
  <c r="H6261" i="13"/>
  <c r="H6262" i="13"/>
  <c r="H6263" i="13"/>
  <c r="H6264" i="13"/>
  <c r="H6265" i="13"/>
  <c r="H6266" i="13"/>
  <c r="H6267" i="13"/>
  <c r="H6268" i="13"/>
  <c r="H6269" i="13"/>
  <c r="H6270" i="13"/>
  <c r="H6271" i="13"/>
  <c r="H6272" i="13"/>
  <c r="H6273" i="13"/>
  <c r="H6274" i="13"/>
  <c r="H6275" i="13"/>
  <c r="H6276" i="13"/>
  <c r="H6277" i="13"/>
  <c r="H6278" i="13"/>
  <c r="H6279" i="13"/>
  <c r="H6280" i="13"/>
  <c r="H6281" i="13"/>
  <c r="H6282" i="13"/>
  <c r="H6283" i="13"/>
  <c r="H6284" i="13"/>
  <c r="H6285" i="13"/>
  <c r="H6286" i="13"/>
  <c r="H6287" i="13"/>
  <c r="H6288" i="13"/>
  <c r="H6289" i="13"/>
  <c r="H6290" i="13"/>
  <c r="H6291" i="13"/>
  <c r="H6292" i="13"/>
  <c r="H6293" i="13"/>
  <c r="H6294" i="13"/>
  <c r="H6295" i="13"/>
  <c r="H6296" i="13"/>
  <c r="H6297" i="13"/>
  <c r="H6298" i="13"/>
  <c r="H6299" i="13"/>
  <c r="H6300" i="13"/>
  <c r="H6301" i="13"/>
  <c r="H6302" i="13"/>
  <c r="H6303" i="13"/>
  <c r="H6304" i="13"/>
  <c r="H6305" i="13"/>
  <c r="H6306" i="13"/>
  <c r="H6307" i="13"/>
  <c r="H6308" i="13"/>
  <c r="H6309" i="13"/>
  <c r="H6310" i="13"/>
  <c r="H6311" i="13"/>
  <c r="G3" i="13"/>
  <c r="G4" i="13"/>
  <c r="G5" i="13"/>
  <c r="G6" i="13"/>
  <c r="G7" i="13"/>
  <c r="G8" i="13"/>
  <c r="G9" i="13"/>
  <c r="G10" i="13"/>
  <c r="G11" i="13"/>
  <c r="G12" i="13"/>
  <c r="G13" i="13"/>
  <c r="G14" i="13"/>
  <c r="G15" i="13"/>
  <c r="G16" i="13"/>
  <c r="G17" i="13"/>
  <c r="G18" i="13"/>
  <c r="G19" i="13"/>
  <c r="G20" i="13"/>
  <c r="G21" i="13"/>
  <c r="G22" i="13"/>
  <c r="G23" i="13"/>
  <c r="G24" i="13"/>
  <c r="G25" i="13"/>
  <c r="G26" i="13"/>
  <c r="G27" i="13"/>
  <c r="G28" i="13"/>
  <c r="G29" i="13"/>
  <c r="G30" i="13"/>
  <c r="G31" i="13"/>
  <c r="G32" i="13"/>
  <c r="G33" i="13"/>
  <c r="G34" i="13"/>
  <c r="G35" i="13"/>
  <c r="G36" i="13"/>
  <c r="G37" i="13"/>
  <c r="G38" i="13"/>
  <c r="G39" i="13"/>
  <c r="G40" i="13"/>
  <c r="G41" i="13"/>
  <c r="G42" i="13"/>
  <c r="G43" i="13"/>
  <c r="G44" i="13"/>
  <c r="G45" i="13"/>
  <c r="G46" i="13"/>
  <c r="G47" i="13"/>
  <c r="G48" i="13"/>
  <c r="G49" i="13"/>
  <c r="G50" i="13"/>
  <c r="G51" i="13"/>
  <c r="G52" i="13"/>
  <c r="G53" i="13"/>
  <c r="G54" i="13"/>
  <c r="G55" i="13"/>
  <c r="G56" i="13"/>
  <c r="G57" i="13"/>
  <c r="G58" i="13"/>
  <c r="G59" i="13"/>
  <c r="G60" i="13"/>
  <c r="G61" i="13"/>
  <c r="G62" i="13"/>
  <c r="G63" i="13"/>
  <c r="G64" i="13"/>
  <c r="G65" i="13"/>
  <c r="G66" i="13"/>
  <c r="G67" i="13"/>
  <c r="G68" i="13"/>
  <c r="G69" i="13"/>
  <c r="G70" i="13"/>
  <c r="G71" i="13"/>
  <c r="G72" i="13"/>
  <c r="G73" i="13"/>
  <c r="G74" i="13"/>
  <c r="G75" i="13"/>
  <c r="G76" i="13"/>
  <c r="G77" i="13"/>
  <c r="G78" i="13"/>
  <c r="G79" i="13"/>
  <c r="G80" i="13"/>
  <c r="G81" i="13"/>
  <c r="G82" i="13"/>
  <c r="G83" i="13"/>
  <c r="G84" i="13"/>
  <c r="G85" i="13"/>
  <c r="G86" i="13"/>
  <c r="G87" i="13"/>
  <c r="G88" i="13"/>
  <c r="G89" i="13"/>
  <c r="G90" i="13"/>
  <c r="G91" i="13"/>
  <c r="G92" i="13"/>
  <c r="G93" i="13"/>
  <c r="G94" i="13"/>
  <c r="G95" i="13"/>
  <c r="G96" i="13"/>
  <c r="G97" i="13"/>
  <c r="G98" i="13"/>
  <c r="G99" i="13"/>
  <c r="G100" i="13"/>
  <c r="G101" i="13"/>
  <c r="G102" i="13"/>
  <c r="G103" i="13"/>
  <c r="G104" i="13"/>
  <c r="G105" i="13"/>
  <c r="G106" i="13"/>
  <c r="G107" i="13"/>
  <c r="G108" i="13"/>
  <c r="G109" i="13"/>
  <c r="G110" i="13"/>
  <c r="G111" i="13"/>
  <c r="G112" i="13"/>
  <c r="G113" i="13"/>
  <c r="G114" i="13"/>
  <c r="G115" i="13"/>
  <c r="G116" i="13"/>
  <c r="G117" i="13"/>
  <c r="G118" i="13"/>
  <c r="G119" i="13"/>
  <c r="G120" i="13"/>
  <c r="G121" i="13"/>
  <c r="G122" i="13"/>
  <c r="G123" i="13"/>
  <c r="G124" i="13"/>
  <c r="G125" i="13"/>
  <c r="G126" i="13"/>
  <c r="G127" i="13"/>
  <c r="G128" i="13"/>
  <c r="G129" i="13"/>
  <c r="G130" i="13"/>
  <c r="G131" i="13"/>
  <c r="G132" i="13"/>
  <c r="G133" i="13"/>
  <c r="G134" i="13"/>
  <c r="G135" i="13"/>
  <c r="G136" i="13"/>
  <c r="G137" i="13"/>
  <c r="G138" i="13"/>
  <c r="G139" i="13"/>
  <c r="G140" i="13"/>
  <c r="G141" i="13"/>
  <c r="G142" i="13"/>
  <c r="G143" i="13"/>
  <c r="G144" i="13"/>
  <c r="G145" i="13"/>
  <c r="G146" i="13"/>
  <c r="G147" i="13"/>
  <c r="G148" i="13"/>
  <c r="G149" i="13"/>
  <c r="G150" i="13"/>
  <c r="G151" i="13"/>
  <c r="G152" i="13"/>
  <c r="G153" i="13"/>
  <c r="G154" i="13"/>
  <c r="G155" i="13"/>
  <c r="G156" i="13"/>
  <c r="G157" i="13"/>
  <c r="G158" i="13"/>
  <c r="G159" i="13"/>
  <c r="G160" i="13"/>
  <c r="G161" i="13"/>
  <c r="G162" i="13"/>
  <c r="G163" i="13"/>
  <c r="G164" i="13"/>
  <c r="G165" i="13"/>
  <c r="G166" i="13"/>
  <c r="G167" i="13"/>
  <c r="G168" i="13"/>
  <c r="G169" i="13"/>
  <c r="G170" i="13"/>
  <c r="G171" i="13"/>
  <c r="G172" i="13"/>
  <c r="G173" i="13"/>
  <c r="G174" i="13"/>
  <c r="G175" i="13"/>
  <c r="G176" i="13"/>
  <c r="G177" i="13"/>
  <c r="G178" i="13"/>
  <c r="G179" i="13"/>
  <c r="G180" i="13"/>
  <c r="G181" i="13"/>
  <c r="G182" i="13"/>
  <c r="G183" i="13"/>
  <c r="G184" i="13"/>
  <c r="G185" i="13"/>
  <c r="G186" i="13"/>
  <c r="G187" i="13"/>
  <c r="G188" i="13"/>
  <c r="G189" i="13"/>
  <c r="G190" i="13"/>
  <c r="G191" i="13"/>
  <c r="G192" i="13"/>
  <c r="G193" i="13"/>
  <c r="G194" i="13"/>
  <c r="G195" i="13"/>
  <c r="G196" i="13"/>
  <c r="G197" i="13"/>
  <c r="G198" i="13"/>
  <c r="G199" i="13"/>
  <c r="G200" i="13"/>
  <c r="G201" i="13"/>
  <c r="G202" i="13"/>
  <c r="G203" i="13"/>
  <c r="G204" i="13"/>
  <c r="G205" i="13"/>
  <c r="G206" i="13"/>
  <c r="G207" i="13"/>
  <c r="G208" i="13"/>
  <c r="G209" i="13"/>
  <c r="G210" i="13"/>
  <c r="G211" i="13"/>
  <c r="G212" i="13"/>
  <c r="G213" i="13"/>
  <c r="G214" i="13"/>
  <c r="G215" i="13"/>
  <c r="G216" i="13"/>
  <c r="G217" i="13"/>
  <c r="G218" i="13"/>
  <c r="G219" i="13"/>
  <c r="G220" i="13"/>
  <c r="G221" i="13"/>
  <c r="G222" i="13"/>
  <c r="G223" i="13"/>
  <c r="G224" i="13"/>
  <c r="G225" i="13"/>
  <c r="G226" i="13"/>
  <c r="G227" i="13"/>
  <c r="G228" i="13"/>
  <c r="G229" i="13"/>
  <c r="G230" i="13"/>
  <c r="G231" i="13"/>
  <c r="G232" i="13"/>
  <c r="G233" i="13"/>
  <c r="G234" i="13"/>
  <c r="G235" i="13"/>
  <c r="G236" i="13"/>
  <c r="G237" i="13"/>
  <c r="G238" i="13"/>
  <c r="G239" i="13"/>
  <c r="G240" i="13"/>
  <c r="G241" i="13"/>
  <c r="G242" i="13"/>
  <c r="G243" i="13"/>
  <c r="G244" i="13"/>
  <c r="G245" i="13"/>
  <c r="G246" i="13"/>
  <c r="G247" i="13"/>
  <c r="G248" i="13"/>
  <c r="G249" i="13"/>
  <c r="G250" i="13"/>
  <c r="G251" i="13"/>
  <c r="G252" i="13"/>
  <c r="G253" i="13"/>
  <c r="G254" i="13"/>
  <c r="G255" i="13"/>
  <c r="G256" i="13"/>
  <c r="G257" i="13"/>
  <c r="G258" i="13"/>
  <c r="G259" i="13"/>
  <c r="G260" i="13"/>
  <c r="G261" i="13"/>
  <c r="G262" i="13"/>
  <c r="G263" i="13"/>
  <c r="G264" i="13"/>
  <c r="G265" i="13"/>
  <c r="G266" i="13"/>
  <c r="G267" i="13"/>
  <c r="G268" i="13"/>
  <c r="G269" i="13"/>
  <c r="G270" i="13"/>
  <c r="G271" i="13"/>
  <c r="G272" i="13"/>
  <c r="G273" i="13"/>
  <c r="G274" i="13"/>
  <c r="G275" i="13"/>
  <c r="G276" i="13"/>
  <c r="G277" i="13"/>
  <c r="G278" i="13"/>
  <c r="G279" i="13"/>
  <c r="G280" i="13"/>
  <c r="G281" i="13"/>
  <c r="G282" i="13"/>
  <c r="G283" i="13"/>
  <c r="G284" i="13"/>
  <c r="G285" i="13"/>
  <c r="G286" i="13"/>
  <c r="G287" i="13"/>
  <c r="G288" i="13"/>
  <c r="G289" i="13"/>
  <c r="G290" i="13"/>
  <c r="G291" i="13"/>
  <c r="G292" i="13"/>
  <c r="G293" i="13"/>
  <c r="G294" i="13"/>
  <c r="G295" i="13"/>
  <c r="G296" i="13"/>
  <c r="G297" i="13"/>
  <c r="G298" i="13"/>
  <c r="G299" i="13"/>
  <c r="G300" i="13"/>
  <c r="G301" i="13"/>
  <c r="G302" i="13"/>
  <c r="G303" i="13"/>
  <c r="G304" i="13"/>
  <c r="G305" i="13"/>
  <c r="G306" i="13"/>
  <c r="G307" i="13"/>
  <c r="G308" i="13"/>
  <c r="G309" i="13"/>
  <c r="G310" i="13"/>
  <c r="G311" i="13"/>
  <c r="G312" i="13"/>
  <c r="G313" i="13"/>
  <c r="G314" i="13"/>
  <c r="G315" i="13"/>
  <c r="G316" i="13"/>
  <c r="G317" i="13"/>
  <c r="G318" i="13"/>
  <c r="G319" i="13"/>
  <c r="G320" i="13"/>
  <c r="G321" i="13"/>
  <c r="G322" i="13"/>
  <c r="G323" i="13"/>
  <c r="G324" i="13"/>
  <c r="G325" i="13"/>
  <c r="G326" i="13"/>
  <c r="G327" i="13"/>
  <c r="G328" i="13"/>
  <c r="G329" i="13"/>
  <c r="G330" i="13"/>
  <c r="G331" i="13"/>
  <c r="G332" i="13"/>
  <c r="G333" i="13"/>
  <c r="G334" i="13"/>
  <c r="G335" i="13"/>
  <c r="G336" i="13"/>
  <c r="G337" i="13"/>
  <c r="G338" i="13"/>
  <c r="G339" i="13"/>
  <c r="G340" i="13"/>
  <c r="G341" i="13"/>
  <c r="G342" i="13"/>
  <c r="G343" i="13"/>
  <c r="G344" i="13"/>
  <c r="G345" i="13"/>
  <c r="G346" i="13"/>
  <c r="G347" i="13"/>
  <c r="G348" i="13"/>
  <c r="G349" i="13"/>
  <c r="G350" i="13"/>
  <c r="G351" i="13"/>
  <c r="G352" i="13"/>
  <c r="G353" i="13"/>
  <c r="G354" i="13"/>
  <c r="G355" i="13"/>
  <c r="G356" i="13"/>
  <c r="G357" i="13"/>
  <c r="G358" i="13"/>
  <c r="G359" i="13"/>
  <c r="G360" i="13"/>
  <c r="G361" i="13"/>
  <c r="G362" i="13"/>
  <c r="G363" i="13"/>
  <c r="G364" i="13"/>
  <c r="G365" i="13"/>
  <c r="G366" i="13"/>
  <c r="G367" i="13"/>
  <c r="G368" i="13"/>
  <c r="G369" i="13"/>
  <c r="G370" i="13"/>
  <c r="G371" i="13"/>
  <c r="G372" i="13"/>
  <c r="G373" i="13"/>
  <c r="G374" i="13"/>
  <c r="G375" i="13"/>
  <c r="G376" i="13"/>
  <c r="G377" i="13"/>
  <c r="G378" i="13"/>
  <c r="G379" i="13"/>
  <c r="G380" i="13"/>
  <c r="G381" i="13"/>
  <c r="G382" i="13"/>
  <c r="G383" i="13"/>
  <c r="G384" i="13"/>
  <c r="G385" i="13"/>
  <c r="G386" i="13"/>
  <c r="G387" i="13"/>
  <c r="G388" i="13"/>
  <c r="G389" i="13"/>
  <c r="G390" i="13"/>
  <c r="G391" i="13"/>
  <c r="G392" i="13"/>
  <c r="G393" i="13"/>
  <c r="G394" i="13"/>
  <c r="G395" i="13"/>
  <c r="G396" i="13"/>
  <c r="G397" i="13"/>
  <c r="G398" i="13"/>
  <c r="G399" i="13"/>
  <c r="G400" i="13"/>
  <c r="G401" i="13"/>
  <c r="G402" i="13"/>
  <c r="G403" i="13"/>
  <c r="G404" i="13"/>
  <c r="G405" i="13"/>
  <c r="G406" i="13"/>
  <c r="G407" i="13"/>
  <c r="G408" i="13"/>
  <c r="G409" i="13"/>
  <c r="G410" i="13"/>
  <c r="G411" i="13"/>
  <c r="G412" i="13"/>
  <c r="G413" i="13"/>
  <c r="G414" i="13"/>
  <c r="G415" i="13"/>
  <c r="G416" i="13"/>
  <c r="G417" i="13"/>
  <c r="G418" i="13"/>
  <c r="G419" i="13"/>
  <c r="G420" i="13"/>
  <c r="G421" i="13"/>
  <c r="G422" i="13"/>
  <c r="G423" i="13"/>
  <c r="G424" i="13"/>
  <c r="G425" i="13"/>
  <c r="G426" i="13"/>
  <c r="G427" i="13"/>
  <c r="G428" i="13"/>
  <c r="G429" i="13"/>
  <c r="G430" i="13"/>
  <c r="G431" i="13"/>
  <c r="G432" i="13"/>
  <c r="G433" i="13"/>
  <c r="G434" i="13"/>
  <c r="G435" i="13"/>
  <c r="G436" i="13"/>
  <c r="G437" i="13"/>
  <c r="G438" i="13"/>
  <c r="G439" i="13"/>
  <c r="G440" i="13"/>
  <c r="G441" i="13"/>
  <c r="G442" i="13"/>
  <c r="G443" i="13"/>
  <c r="G444" i="13"/>
  <c r="G445" i="13"/>
  <c r="G446" i="13"/>
  <c r="G447" i="13"/>
  <c r="G448" i="13"/>
  <c r="G449" i="13"/>
  <c r="G450" i="13"/>
  <c r="G451" i="13"/>
  <c r="G452" i="13"/>
  <c r="G453" i="13"/>
  <c r="G454" i="13"/>
  <c r="G455" i="13"/>
  <c r="G456" i="13"/>
  <c r="G457" i="13"/>
  <c r="G458" i="13"/>
  <c r="G459" i="13"/>
  <c r="G460" i="13"/>
  <c r="G461" i="13"/>
  <c r="G462" i="13"/>
  <c r="G463" i="13"/>
  <c r="G464" i="13"/>
  <c r="G465" i="13"/>
  <c r="G466" i="13"/>
  <c r="G467" i="13"/>
  <c r="G468" i="13"/>
  <c r="G469" i="13"/>
  <c r="G470" i="13"/>
  <c r="G471" i="13"/>
  <c r="G472" i="13"/>
  <c r="G473" i="13"/>
  <c r="G474" i="13"/>
  <c r="G475" i="13"/>
  <c r="G476" i="13"/>
  <c r="G477" i="13"/>
  <c r="G478" i="13"/>
  <c r="G479" i="13"/>
  <c r="G480" i="13"/>
  <c r="G481" i="13"/>
  <c r="G482" i="13"/>
  <c r="G483" i="13"/>
  <c r="G484" i="13"/>
  <c r="G485" i="13"/>
  <c r="G486" i="13"/>
  <c r="G487" i="13"/>
  <c r="G488" i="13"/>
  <c r="G489" i="13"/>
  <c r="G490" i="13"/>
  <c r="G491" i="13"/>
  <c r="G492" i="13"/>
  <c r="G493" i="13"/>
  <c r="G494" i="13"/>
  <c r="G495" i="13"/>
  <c r="G496" i="13"/>
  <c r="G497" i="13"/>
  <c r="G498" i="13"/>
  <c r="G499" i="13"/>
  <c r="G500" i="13"/>
  <c r="G501" i="13"/>
  <c r="G502" i="13"/>
  <c r="G503" i="13"/>
  <c r="G504" i="13"/>
  <c r="G505" i="13"/>
  <c r="G506" i="13"/>
  <c r="G507" i="13"/>
  <c r="G508" i="13"/>
  <c r="G509" i="13"/>
  <c r="G510" i="13"/>
  <c r="G511" i="13"/>
  <c r="G512" i="13"/>
  <c r="G513" i="13"/>
  <c r="G514" i="13"/>
  <c r="G515" i="13"/>
  <c r="G516" i="13"/>
  <c r="G517" i="13"/>
  <c r="G518" i="13"/>
  <c r="G519" i="13"/>
  <c r="G520" i="13"/>
  <c r="G521" i="13"/>
  <c r="G522" i="13"/>
  <c r="G523" i="13"/>
  <c r="G524" i="13"/>
  <c r="G525" i="13"/>
  <c r="G526" i="13"/>
  <c r="G527" i="13"/>
  <c r="G528" i="13"/>
  <c r="G529" i="13"/>
  <c r="G530" i="13"/>
  <c r="G531" i="13"/>
  <c r="G532" i="13"/>
  <c r="G533" i="13"/>
  <c r="G534" i="13"/>
  <c r="G535" i="13"/>
  <c r="G536" i="13"/>
  <c r="G537" i="13"/>
  <c r="G538" i="13"/>
  <c r="G539" i="13"/>
  <c r="G540" i="13"/>
  <c r="G541" i="13"/>
  <c r="G542" i="13"/>
  <c r="G543" i="13"/>
  <c r="G544" i="13"/>
  <c r="G545" i="13"/>
  <c r="G546" i="13"/>
  <c r="G547" i="13"/>
  <c r="G548" i="13"/>
  <c r="G549" i="13"/>
  <c r="G550" i="13"/>
  <c r="G551" i="13"/>
  <c r="G552" i="13"/>
  <c r="G553" i="13"/>
  <c r="G554" i="13"/>
  <c r="G555" i="13"/>
  <c r="G556" i="13"/>
  <c r="G557" i="13"/>
  <c r="G558" i="13"/>
  <c r="G559" i="13"/>
  <c r="G560" i="13"/>
  <c r="G561" i="13"/>
  <c r="G562" i="13"/>
  <c r="G563" i="13"/>
  <c r="G564" i="13"/>
  <c r="G565" i="13"/>
  <c r="G566" i="13"/>
  <c r="G567" i="13"/>
  <c r="G568" i="13"/>
  <c r="G569" i="13"/>
  <c r="G570" i="13"/>
  <c r="G571" i="13"/>
  <c r="G572" i="13"/>
  <c r="G573" i="13"/>
  <c r="G574" i="13"/>
  <c r="G575" i="13"/>
  <c r="G576" i="13"/>
  <c r="G577" i="13"/>
  <c r="G578" i="13"/>
  <c r="G579" i="13"/>
  <c r="G580" i="13"/>
  <c r="G581" i="13"/>
  <c r="G582" i="13"/>
  <c r="G583" i="13"/>
  <c r="G584" i="13"/>
  <c r="G585" i="13"/>
  <c r="G586" i="13"/>
  <c r="G587" i="13"/>
  <c r="G588" i="13"/>
  <c r="G589" i="13"/>
  <c r="G590" i="13"/>
  <c r="G591" i="13"/>
  <c r="G592" i="13"/>
  <c r="G593" i="13"/>
  <c r="G594" i="13"/>
  <c r="G595" i="13"/>
  <c r="G596" i="13"/>
  <c r="G597" i="13"/>
  <c r="G598" i="13"/>
  <c r="G599" i="13"/>
  <c r="G600" i="13"/>
  <c r="G601" i="13"/>
  <c r="G602" i="13"/>
  <c r="G603" i="13"/>
  <c r="G604" i="13"/>
  <c r="G605" i="13"/>
  <c r="G606" i="13"/>
  <c r="G607" i="13"/>
  <c r="G608" i="13"/>
  <c r="G609" i="13"/>
  <c r="G610" i="13"/>
  <c r="G611" i="13"/>
  <c r="G612" i="13"/>
  <c r="G613" i="13"/>
  <c r="G614" i="13"/>
  <c r="G615" i="13"/>
  <c r="G616" i="13"/>
  <c r="G617" i="13"/>
  <c r="G618" i="13"/>
  <c r="G619" i="13"/>
  <c r="G620" i="13"/>
  <c r="G621" i="13"/>
  <c r="G622" i="13"/>
  <c r="G623" i="13"/>
  <c r="G624" i="13"/>
  <c r="G625" i="13"/>
  <c r="G626" i="13"/>
  <c r="G627" i="13"/>
  <c r="G628" i="13"/>
  <c r="G629" i="13"/>
  <c r="G630" i="13"/>
  <c r="G631" i="13"/>
  <c r="G632" i="13"/>
  <c r="G633" i="13"/>
  <c r="G634" i="13"/>
  <c r="G635" i="13"/>
  <c r="G636" i="13"/>
  <c r="G637" i="13"/>
  <c r="G638" i="13"/>
  <c r="G639" i="13"/>
  <c r="G640" i="13"/>
  <c r="G641" i="13"/>
  <c r="G642" i="13"/>
  <c r="G643" i="13"/>
  <c r="G644" i="13"/>
  <c r="G645" i="13"/>
  <c r="G646" i="13"/>
  <c r="G647" i="13"/>
  <c r="G648" i="13"/>
  <c r="G649" i="13"/>
  <c r="G650" i="13"/>
  <c r="G651" i="13"/>
  <c r="G652" i="13"/>
  <c r="G653" i="13"/>
  <c r="G654" i="13"/>
  <c r="G655" i="13"/>
  <c r="G656" i="13"/>
  <c r="G657" i="13"/>
  <c r="G658" i="13"/>
  <c r="G659" i="13"/>
  <c r="G660" i="13"/>
  <c r="G661" i="13"/>
  <c r="G662" i="13"/>
  <c r="G663" i="13"/>
  <c r="G664" i="13"/>
  <c r="G665" i="13"/>
  <c r="G666" i="13"/>
  <c r="G667" i="13"/>
  <c r="G668" i="13"/>
  <c r="G669" i="13"/>
  <c r="G670" i="13"/>
  <c r="G671" i="13"/>
  <c r="G672" i="13"/>
  <c r="G673" i="13"/>
  <c r="G674" i="13"/>
  <c r="G675" i="13"/>
  <c r="G676" i="13"/>
  <c r="G677" i="13"/>
  <c r="G678" i="13"/>
  <c r="G679" i="13"/>
  <c r="G680" i="13"/>
  <c r="G681" i="13"/>
  <c r="G682" i="13"/>
  <c r="G683" i="13"/>
  <c r="G684" i="13"/>
  <c r="G685" i="13"/>
  <c r="G686" i="13"/>
  <c r="G687" i="13"/>
  <c r="G688" i="13"/>
  <c r="G689" i="13"/>
  <c r="G690" i="13"/>
  <c r="G691" i="13"/>
  <c r="G692" i="13"/>
  <c r="G693" i="13"/>
  <c r="G694" i="13"/>
  <c r="G695" i="13"/>
  <c r="G696" i="13"/>
  <c r="G697" i="13"/>
  <c r="G698" i="13"/>
  <c r="G699" i="13"/>
  <c r="G700" i="13"/>
  <c r="G701" i="13"/>
  <c r="G702" i="13"/>
  <c r="G703" i="13"/>
  <c r="G704" i="13"/>
  <c r="G705" i="13"/>
  <c r="G706" i="13"/>
  <c r="G707" i="13"/>
  <c r="G708" i="13"/>
  <c r="G709" i="13"/>
  <c r="G710" i="13"/>
  <c r="G711" i="13"/>
  <c r="G712" i="13"/>
  <c r="G713" i="13"/>
  <c r="G714" i="13"/>
  <c r="G715" i="13"/>
  <c r="G716" i="13"/>
  <c r="G717" i="13"/>
  <c r="G718" i="13"/>
  <c r="G719" i="13"/>
  <c r="G720" i="13"/>
  <c r="G721" i="13"/>
  <c r="G722" i="13"/>
  <c r="G723" i="13"/>
  <c r="G724" i="13"/>
  <c r="G725" i="13"/>
  <c r="G726" i="13"/>
  <c r="G727" i="13"/>
  <c r="G728" i="13"/>
  <c r="G729" i="13"/>
  <c r="G730" i="13"/>
  <c r="G731" i="13"/>
  <c r="G732" i="13"/>
  <c r="G733" i="13"/>
  <c r="G734" i="13"/>
  <c r="G735" i="13"/>
  <c r="G736" i="13"/>
  <c r="G737" i="13"/>
  <c r="G738" i="13"/>
  <c r="G739" i="13"/>
  <c r="G740" i="13"/>
  <c r="G741" i="13"/>
  <c r="G742" i="13"/>
  <c r="G743" i="13"/>
  <c r="G744" i="13"/>
  <c r="G745" i="13"/>
  <c r="G746" i="13"/>
  <c r="G747" i="13"/>
  <c r="G748" i="13"/>
  <c r="G749" i="13"/>
  <c r="G750" i="13"/>
  <c r="G751" i="13"/>
  <c r="G752" i="13"/>
  <c r="G753" i="13"/>
  <c r="G754" i="13"/>
  <c r="G755" i="13"/>
  <c r="G756" i="13"/>
  <c r="G757" i="13"/>
  <c r="G758" i="13"/>
  <c r="G759" i="13"/>
  <c r="G760" i="13"/>
  <c r="G761" i="13"/>
  <c r="G762" i="13"/>
  <c r="G763" i="13"/>
  <c r="G764" i="13"/>
  <c r="G765" i="13"/>
  <c r="G766" i="13"/>
  <c r="G767" i="13"/>
  <c r="G768" i="13"/>
  <c r="G769" i="13"/>
  <c r="G770" i="13"/>
  <c r="G771" i="13"/>
  <c r="G772" i="13"/>
  <c r="G773" i="13"/>
  <c r="G774" i="13"/>
  <c r="G775" i="13"/>
  <c r="G776" i="13"/>
  <c r="G777" i="13"/>
  <c r="G778" i="13"/>
  <c r="G779" i="13"/>
  <c r="G780" i="13"/>
  <c r="G781" i="13"/>
  <c r="G782" i="13"/>
  <c r="G783" i="13"/>
  <c r="G784" i="13"/>
  <c r="G785" i="13"/>
  <c r="G786" i="13"/>
  <c r="G787" i="13"/>
  <c r="G788" i="13"/>
  <c r="G789" i="13"/>
  <c r="G790" i="13"/>
  <c r="G791" i="13"/>
  <c r="G792" i="13"/>
  <c r="G793" i="13"/>
  <c r="G794" i="13"/>
  <c r="G795" i="13"/>
  <c r="G796" i="13"/>
  <c r="G797" i="13"/>
  <c r="G798" i="13"/>
  <c r="G799" i="13"/>
  <c r="G800" i="13"/>
  <c r="G801" i="13"/>
  <c r="G802" i="13"/>
  <c r="G803" i="13"/>
  <c r="G804" i="13"/>
  <c r="G805" i="13"/>
  <c r="G806" i="13"/>
  <c r="G807" i="13"/>
  <c r="G808" i="13"/>
  <c r="G809" i="13"/>
  <c r="G810" i="13"/>
  <c r="G811" i="13"/>
  <c r="G812" i="13"/>
  <c r="G813" i="13"/>
  <c r="G814" i="13"/>
  <c r="G815" i="13"/>
  <c r="G816" i="13"/>
  <c r="G817" i="13"/>
  <c r="G818" i="13"/>
  <c r="G819" i="13"/>
  <c r="G820" i="13"/>
  <c r="G821" i="13"/>
  <c r="G822" i="13"/>
  <c r="G823" i="13"/>
  <c r="G824" i="13"/>
  <c r="G825" i="13"/>
  <c r="G826" i="13"/>
  <c r="G827" i="13"/>
  <c r="G828" i="13"/>
  <c r="G829" i="13"/>
  <c r="G830" i="13"/>
  <c r="G831" i="13"/>
  <c r="G832" i="13"/>
  <c r="G833" i="13"/>
  <c r="G834" i="13"/>
  <c r="G835" i="13"/>
  <c r="G836" i="13"/>
  <c r="G837" i="13"/>
  <c r="G838" i="13"/>
  <c r="G839" i="13"/>
  <c r="G840" i="13"/>
  <c r="G841" i="13"/>
  <c r="G842" i="13"/>
  <c r="G843" i="13"/>
  <c r="G844" i="13"/>
  <c r="G845" i="13"/>
  <c r="G846" i="13"/>
  <c r="G847" i="13"/>
  <c r="G848" i="13"/>
  <c r="G849" i="13"/>
  <c r="G850" i="13"/>
  <c r="G851" i="13"/>
  <c r="G852" i="13"/>
  <c r="G853" i="13"/>
  <c r="G854" i="13"/>
  <c r="G855" i="13"/>
  <c r="G856" i="13"/>
  <c r="G857" i="13"/>
  <c r="G858" i="13"/>
  <c r="G859" i="13"/>
  <c r="G860" i="13"/>
  <c r="G861" i="13"/>
  <c r="G862" i="13"/>
  <c r="G863" i="13"/>
  <c r="G864" i="13"/>
  <c r="G865" i="13"/>
  <c r="G866" i="13"/>
  <c r="G867" i="13"/>
  <c r="G868" i="13"/>
  <c r="G869" i="13"/>
  <c r="G870" i="13"/>
  <c r="G871" i="13"/>
  <c r="G872" i="13"/>
  <c r="G873" i="13"/>
  <c r="G874" i="13"/>
  <c r="G875" i="13"/>
  <c r="G876" i="13"/>
  <c r="G877" i="13"/>
  <c r="G878" i="13"/>
  <c r="G879" i="13"/>
  <c r="G880" i="13"/>
  <c r="G881" i="13"/>
  <c r="G882" i="13"/>
  <c r="G883" i="13"/>
  <c r="G884" i="13"/>
  <c r="G885" i="13"/>
  <c r="G886" i="13"/>
  <c r="G887" i="13"/>
  <c r="G888" i="13"/>
  <c r="G889" i="13"/>
  <c r="G890" i="13"/>
  <c r="G891" i="13"/>
  <c r="G892" i="13"/>
  <c r="G893" i="13"/>
  <c r="G894" i="13"/>
  <c r="G895" i="13"/>
  <c r="G896" i="13"/>
  <c r="G897" i="13"/>
  <c r="G898" i="13"/>
  <c r="G899" i="13"/>
  <c r="G900" i="13"/>
  <c r="G901" i="13"/>
  <c r="G902" i="13"/>
  <c r="G903" i="13"/>
  <c r="G904" i="13"/>
  <c r="G905" i="13"/>
  <c r="G906" i="13"/>
  <c r="G907" i="13"/>
  <c r="G908" i="13"/>
  <c r="G909" i="13"/>
  <c r="G910" i="13"/>
  <c r="G911" i="13"/>
  <c r="G912" i="13"/>
  <c r="G913" i="13"/>
  <c r="G914" i="13"/>
  <c r="G915" i="13"/>
  <c r="G916" i="13"/>
  <c r="G917" i="13"/>
  <c r="G918" i="13"/>
  <c r="G919" i="13"/>
  <c r="G920" i="13"/>
  <c r="G921" i="13"/>
  <c r="G922" i="13"/>
  <c r="G923" i="13"/>
  <c r="G924" i="13"/>
  <c r="G925" i="13"/>
  <c r="G926" i="13"/>
  <c r="G927" i="13"/>
  <c r="G928" i="13"/>
  <c r="G929" i="13"/>
  <c r="G930" i="13"/>
  <c r="G931" i="13"/>
  <c r="G932" i="13"/>
  <c r="G933" i="13"/>
  <c r="G934" i="13"/>
  <c r="G935" i="13"/>
  <c r="G936" i="13"/>
  <c r="G937" i="13"/>
  <c r="G938" i="13"/>
  <c r="G939" i="13"/>
  <c r="G940" i="13"/>
  <c r="G941" i="13"/>
  <c r="G942" i="13"/>
  <c r="G943" i="13"/>
  <c r="G944" i="13"/>
  <c r="G945" i="13"/>
  <c r="G946" i="13"/>
  <c r="G947" i="13"/>
  <c r="G948" i="13"/>
  <c r="G949" i="13"/>
  <c r="G950" i="13"/>
  <c r="G951" i="13"/>
  <c r="G952" i="13"/>
  <c r="G953" i="13"/>
  <c r="G954" i="13"/>
  <c r="G955" i="13"/>
  <c r="G956" i="13"/>
  <c r="G957" i="13"/>
  <c r="G958" i="13"/>
  <c r="G959" i="13"/>
  <c r="G960" i="13"/>
  <c r="G961" i="13"/>
  <c r="G962" i="13"/>
  <c r="G963" i="13"/>
  <c r="G964" i="13"/>
  <c r="G965" i="13"/>
  <c r="G966" i="13"/>
  <c r="G967" i="13"/>
  <c r="G968" i="13"/>
  <c r="G969" i="13"/>
  <c r="G970" i="13"/>
  <c r="G971" i="13"/>
  <c r="G972" i="13"/>
  <c r="G973" i="13"/>
  <c r="G974" i="13"/>
  <c r="G975" i="13"/>
  <c r="G976" i="13"/>
  <c r="G977" i="13"/>
  <c r="G978" i="13"/>
  <c r="G979" i="13"/>
  <c r="G980" i="13"/>
  <c r="G981" i="13"/>
  <c r="G982" i="13"/>
  <c r="G983" i="13"/>
  <c r="G984" i="13"/>
  <c r="G985" i="13"/>
  <c r="G986" i="13"/>
  <c r="G987" i="13"/>
  <c r="G988" i="13"/>
  <c r="G989" i="13"/>
  <c r="G990" i="13"/>
  <c r="G991" i="13"/>
  <c r="G992" i="13"/>
  <c r="G993" i="13"/>
  <c r="G994" i="13"/>
  <c r="G995" i="13"/>
  <c r="G996" i="13"/>
  <c r="G997" i="13"/>
  <c r="G998" i="13"/>
  <c r="G999" i="13"/>
  <c r="G1000" i="13"/>
  <c r="G1001" i="13"/>
  <c r="G1002" i="13"/>
  <c r="G1003" i="13"/>
  <c r="G1004" i="13"/>
  <c r="G1005" i="13"/>
  <c r="G1006" i="13"/>
  <c r="G1007" i="13"/>
  <c r="G1008" i="13"/>
  <c r="G1009" i="13"/>
  <c r="G1010" i="13"/>
  <c r="G1011" i="13"/>
  <c r="G1012" i="13"/>
  <c r="G1013" i="13"/>
  <c r="G1014" i="13"/>
  <c r="G1015" i="13"/>
  <c r="G1016" i="13"/>
  <c r="G1017" i="13"/>
  <c r="G1018" i="13"/>
  <c r="G1019" i="13"/>
  <c r="G1020" i="13"/>
  <c r="G1021" i="13"/>
  <c r="G1022" i="13"/>
  <c r="G1023" i="13"/>
  <c r="G1024" i="13"/>
  <c r="G1025" i="13"/>
  <c r="G1026" i="13"/>
  <c r="G1027" i="13"/>
  <c r="G1028" i="13"/>
  <c r="G1029" i="13"/>
  <c r="G1030" i="13"/>
  <c r="G1031" i="13"/>
  <c r="G1032" i="13"/>
  <c r="G1033" i="13"/>
  <c r="G1034" i="13"/>
  <c r="G1035" i="13"/>
  <c r="G1036" i="13"/>
  <c r="G1037" i="13"/>
  <c r="G1038" i="13"/>
  <c r="G1039" i="13"/>
  <c r="G1040" i="13"/>
  <c r="G1041" i="13"/>
  <c r="G1042" i="13"/>
  <c r="G1043" i="13"/>
  <c r="G1044" i="13"/>
  <c r="G1045" i="13"/>
  <c r="G1046" i="13"/>
  <c r="G1047" i="13"/>
  <c r="G1048" i="13"/>
  <c r="G1049" i="13"/>
  <c r="G1050" i="13"/>
  <c r="G1051" i="13"/>
  <c r="G1052" i="13"/>
  <c r="G1053" i="13"/>
  <c r="G1054" i="13"/>
  <c r="G1055" i="13"/>
  <c r="G1056" i="13"/>
  <c r="G1057" i="13"/>
  <c r="G1058" i="13"/>
  <c r="G1059" i="13"/>
  <c r="G1060" i="13"/>
  <c r="G1061" i="13"/>
  <c r="G1062" i="13"/>
  <c r="G1063" i="13"/>
  <c r="G1064" i="13"/>
  <c r="G1065" i="13"/>
  <c r="G1066" i="13"/>
  <c r="G1067" i="13"/>
  <c r="G1068" i="13"/>
  <c r="G1069" i="13"/>
  <c r="G1070" i="13"/>
  <c r="G1071" i="13"/>
  <c r="G1072" i="13"/>
  <c r="G1073" i="13"/>
  <c r="G1074" i="13"/>
  <c r="G1075" i="13"/>
  <c r="G1076" i="13"/>
  <c r="G1077" i="13"/>
  <c r="G1078" i="13"/>
  <c r="G1079" i="13"/>
  <c r="G1080" i="13"/>
  <c r="G1081" i="13"/>
  <c r="G1082" i="13"/>
  <c r="G1083" i="13"/>
  <c r="G1084" i="13"/>
  <c r="G1085" i="13"/>
  <c r="G1086" i="13"/>
  <c r="G1087" i="13"/>
  <c r="G1088" i="13"/>
  <c r="G1089" i="13"/>
  <c r="G1090" i="13"/>
  <c r="G1091" i="13"/>
  <c r="G1092" i="13"/>
  <c r="G1093" i="13"/>
  <c r="G1094" i="13"/>
  <c r="G1095" i="13"/>
  <c r="G1096" i="13"/>
  <c r="G1097" i="13"/>
  <c r="G1098" i="13"/>
  <c r="G1099" i="13"/>
  <c r="G1100" i="13"/>
  <c r="G1101" i="13"/>
  <c r="G1102" i="13"/>
  <c r="G1103" i="13"/>
  <c r="G1104" i="13"/>
  <c r="G1105" i="13"/>
  <c r="G1106" i="13"/>
  <c r="G1107" i="13"/>
  <c r="G1108" i="13"/>
  <c r="G1109" i="13"/>
  <c r="G1110" i="13"/>
  <c r="G1111" i="13"/>
  <c r="G1112" i="13"/>
  <c r="G1113" i="13"/>
  <c r="G1114" i="13"/>
  <c r="G1115" i="13"/>
  <c r="G1116" i="13"/>
  <c r="G1117" i="13"/>
  <c r="G1118" i="13"/>
  <c r="G1119" i="13"/>
  <c r="G1120" i="13"/>
  <c r="G1121" i="13"/>
  <c r="G1122" i="13"/>
  <c r="G1123" i="13"/>
  <c r="G1124" i="13"/>
  <c r="G1125" i="13"/>
  <c r="G1126" i="13"/>
  <c r="G1127" i="13"/>
  <c r="G1128" i="13"/>
  <c r="G1129" i="13"/>
  <c r="G1130" i="13"/>
  <c r="G1131" i="13"/>
  <c r="G1132" i="13"/>
  <c r="G1133" i="13"/>
  <c r="G1134" i="13"/>
  <c r="G1135" i="13"/>
  <c r="G1136" i="13"/>
  <c r="G1137" i="13"/>
  <c r="G1138" i="13"/>
  <c r="G1139" i="13"/>
  <c r="G1140" i="13"/>
  <c r="G1141" i="13"/>
  <c r="G1142" i="13"/>
  <c r="G1143" i="13"/>
  <c r="G1144" i="13"/>
  <c r="G1145" i="13"/>
  <c r="G1146" i="13"/>
  <c r="G1147" i="13"/>
  <c r="G1148" i="13"/>
  <c r="G1149" i="13"/>
  <c r="G1150" i="13"/>
  <c r="G1151" i="13"/>
  <c r="G1152" i="13"/>
  <c r="G1153" i="13"/>
  <c r="G1154" i="13"/>
  <c r="G1155" i="13"/>
  <c r="G1156" i="13"/>
  <c r="G1157" i="13"/>
  <c r="G1158" i="13"/>
  <c r="G1159" i="13"/>
  <c r="G1160" i="13"/>
  <c r="G1161" i="13"/>
  <c r="G1162" i="13"/>
  <c r="G1163" i="13"/>
  <c r="G1164" i="13"/>
  <c r="G1165" i="13"/>
  <c r="G1166" i="13"/>
  <c r="G1167" i="13"/>
  <c r="G1168" i="13"/>
  <c r="G1169" i="13"/>
  <c r="G1170" i="13"/>
  <c r="G1171" i="13"/>
  <c r="G1172" i="13"/>
  <c r="G1173" i="13"/>
  <c r="G1174" i="13"/>
  <c r="G1175" i="13"/>
  <c r="G1176" i="13"/>
  <c r="G1177" i="13"/>
  <c r="G1178" i="13"/>
  <c r="G1179" i="13"/>
  <c r="G1180" i="13"/>
  <c r="G1181" i="13"/>
  <c r="G1182" i="13"/>
  <c r="G1183" i="13"/>
  <c r="G1184" i="13"/>
  <c r="G1185" i="13"/>
  <c r="G1186" i="13"/>
  <c r="G1187" i="13"/>
  <c r="G1188" i="13"/>
  <c r="G1189" i="13"/>
  <c r="G1190" i="13"/>
  <c r="G1191" i="13"/>
  <c r="G1192" i="13"/>
  <c r="G1193" i="13"/>
  <c r="G1194" i="13"/>
  <c r="G1195" i="13"/>
  <c r="G1196" i="13"/>
  <c r="G1197" i="13"/>
  <c r="G1198" i="13"/>
  <c r="G1199" i="13"/>
  <c r="G1200" i="13"/>
  <c r="G1201" i="13"/>
  <c r="G1202" i="13"/>
  <c r="G1203" i="13"/>
  <c r="G1204" i="13"/>
  <c r="G1205" i="13"/>
  <c r="G1206" i="13"/>
  <c r="G1207" i="13"/>
  <c r="G1208" i="13"/>
  <c r="G1209" i="13"/>
  <c r="G1210" i="13"/>
  <c r="G1211" i="13"/>
  <c r="G1212" i="13"/>
  <c r="G1213" i="13"/>
  <c r="G1214" i="13"/>
  <c r="G1215" i="13"/>
  <c r="G1216" i="13"/>
  <c r="G1217" i="13"/>
  <c r="G1218" i="13"/>
  <c r="G1219" i="13"/>
  <c r="G1220" i="13"/>
  <c r="G1221" i="13"/>
  <c r="G1222" i="13"/>
  <c r="G1223" i="13"/>
  <c r="G1224" i="13"/>
  <c r="G1225" i="13"/>
  <c r="G1226" i="13"/>
  <c r="G1227" i="13"/>
  <c r="G1228" i="13"/>
  <c r="G1229" i="13"/>
  <c r="G1230" i="13"/>
  <c r="G1231" i="13"/>
  <c r="G1232" i="13"/>
  <c r="G1233" i="13"/>
  <c r="G1234" i="13"/>
  <c r="G1235" i="13"/>
  <c r="G1236" i="13"/>
  <c r="G1237" i="13"/>
  <c r="G1238" i="13"/>
  <c r="G1239" i="13"/>
  <c r="G1240" i="13"/>
  <c r="G1241" i="13"/>
  <c r="G1242" i="13"/>
  <c r="G1243" i="13"/>
  <c r="G1244" i="13"/>
  <c r="G1245" i="13"/>
  <c r="G1246" i="13"/>
  <c r="G1247" i="13"/>
  <c r="G1248" i="13"/>
  <c r="G1249" i="13"/>
  <c r="G1250" i="13"/>
  <c r="G1251" i="13"/>
  <c r="G1252" i="13"/>
  <c r="G1253" i="13"/>
  <c r="G1254" i="13"/>
  <c r="G1255" i="13"/>
  <c r="G1256" i="13"/>
  <c r="G1257" i="13"/>
  <c r="G1258" i="13"/>
  <c r="G1259" i="13"/>
  <c r="G1260" i="13"/>
  <c r="G1261" i="13"/>
  <c r="G1262" i="13"/>
  <c r="G1263" i="13"/>
  <c r="G1264" i="13"/>
  <c r="G1265" i="13"/>
  <c r="G1266" i="13"/>
  <c r="G1267" i="13"/>
  <c r="G1268" i="13"/>
  <c r="G1269" i="13"/>
  <c r="G1270" i="13"/>
  <c r="G1271" i="13"/>
  <c r="G1272" i="13"/>
  <c r="G1273" i="13"/>
  <c r="G1274" i="13"/>
  <c r="G1275" i="13"/>
  <c r="G1276" i="13"/>
  <c r="G1277" i="13"/>
  <c r="G1278" i="13"/>
  <c r="G1279" i="13"/>
  <c r="G1280" i="13"/>
  <c r="G1281" i="13"/>
  <c r="G1282" i="13"/>
  <c r="G1283" i="13"/>
  <c r="G1284" i="13"/>
  <c r="G1285" i="13"/>
  <c r="G1286" i="13"/>
  <c r="G1287" i="13"/>
  <c r="G1288" i="13"/>
  <c r="G1289" i="13"/>
  <c r="G1290" i="13"/>
  <c r="G1291" i="13"/>
  <c r="G1292" i="13"/>
  <c r="G1293" i="13"/>
  <c r="G1294" i="13"/>
  <c r="G1295" i="13"/>
  <c r="G1296" i="13"/>
  <c r="G1297" i="13"/>
  <c r="G1298" i="13"/>
  <c r="G1299" i="13"/>
  <c r="G1300" i="13"/>
  <c r="G1301" i="13"/>
  <c r="G1302" i="13"/>
  <c r="G1303" i="13"/>
  <c r="G1304" i="13"/>
  <c r="G1305" i="13"/>
  <c r="G1306" i="13"/>
  <c r="G1307" i="13"/>
  <c r="G1308" i="13"/>
  <c r="G1309" i="13"/>
  <c r="G1310" i="13"/>
  <c r="G1311" i="13"/>
  <c r="G1312" i="13"/>
  <c r="G1313" i="13"/>
  <c r="G1314" i="13"/>
  <c r="G1315" i="13"/>
  <c r="G1316" i="13"/>
  <c r="G1317" i="13"/>
  <c r="G1318" i="13"/>
  <c r="G1319" i="13"/>
  <c r="G1320" i="13"/>
  <c r="G1321" i="13"/>
  <c r="G1322" i="13"/>
  <c r="G1323" i="13"/>
  <c r="G1324" i="13"/>
  <c r="G1325" i="13"/>
  <c r="G1326" i="13"/>
  <c r="G1327" i="13"/>
  <c r="G1328" i="13"/>
  <c r="G1329" i="13"/>
  <c r="G1330" i="13"/>
  <c r="G1331" i="13"/>
  <c r="G1332" i="13"/>
  <c r="G1333" i="13"/>
  <c r="G1334" i="13"/>
  <c r="G1335" i="13"/>
  <c r="G1336" i="13"/>
  <c r="G1337" i="13"/>
  <c r="G1338" i="13"/>
  <c r="G1339" i="13"/>
  <c r="G1340" i="13"/>
  <c r="G1341" i="13"/>
  <c r="G1342" i="13"/>
  <c r="G1343" i="13"/>
  <c r="G1344" i="13"/>
  <c r="G1345" i="13"/>
  <c r="G1346" i="13"/>
  <c r="G1347" i="13"/>
  <c r="G1348" i="13"/>
  <c r="G1349" i="13"/>
  <c r="G1350" i="13"/>
  <c r="G1351" i="13"/>
  <c r="G1352" i="13"/>
  <c r="G1353" i="13"/>
  <c r="G1354" i="13"/>
  <c r="G1355" i="13"/>
  <c r="G1356" i="13"/>
  <c r="G1357" i="13"/>
  <c r="G1358" i="13"/>
  <c r="G1359" i="13"/>
  <c r="G1360" i="13"/>
  <c r="G1361" i="13"/>
  <c r="G1362" i="13"/>
  <c r="G1363" i="13"/>
  <c r="G1364" i="13"/>
  <c r="G1365" i="13"/>
  <c r="G1366" i="13"/>
  <c r="G1367" i="13"/>
  <c r="G1368" i="13"/>
  <c r="G1369" i="13"/>
  <c r="G1370" i="13"/>
  <c r="G1371" i="13"/>
  <c r="G1372" i="13"/>
  <c r="G1373" i="13"/>
  <c r="G1374" i="13"/>
  <c r="G1375" i="13"/>
  <c r="G1376" i="13"/>
  <c r="G1377" i="13"/>
  <c r="G1378" i="13"/>
  <c r="G1379" i="13"/>
  <c r="G1380" i="13"/>
  <c r="G1381" i="13"/>
  <c r="G1382" i="13"/>
  <c r="G1383" i="13"/>
  <c r="G1384" i="13"/>
  <c r="G1385" i="13"/>
  <c r="G1386" i="13"/>
  <c r="G1387" i="13"/>
  <c r="G1388" i="13"/>
  <c r="G1389" i="13"/>
  <c r="G1390" i="13"/>
  <c r="G1391" i="13"/>
  <c r="G1392" i="13"/>
  <c r="G1393" i="13"/>
  <c r="G1394" i="13"/>
  <c r="G1395" i="13"/>
  <c r="G1396" i="13"/>
  <c r="G1397" i="13"/>
  <c r="G1398" i="13"/>
  <c r="G1399" i="13"/>
  <c r="G1400" i="13"/>
  <c r="G1401" i="13"/>
  <c r="G1402" i="13"/>
  <c r="G1403" i="13"/>
  <c r="G1404" i="13"/>
  <c r="G1405" i="13"/>
  <c r="G1406" i="13"/>
  <c r="G1407" i="13"/>
  <c r="G1408" i="13"/>
  <c r="G1409" i="13"/>
  <c r="G1410" i="13"/>
  <c r="G1411" i="13"/>
  <c r="G1412" i="13"/>
  <c r="G1413" i="13"/>
  <c r="G1414" i="13"/>
  <c r="G1415" i="13"/>
  <c r="G1416" i="13"/>
  <c r="G1417" i="13"/>
  <c r="G1418" i="13"/>
  <c r="G1419" i="13"/>
  <c r="G1420" i="13"/>
  <c r="G1421" i="13"/>
  <c r="G1422" i="13"/>
  <c r="G1423" i="13"/>
  <c r="G1424" i="13"/>
  <c r="G1425" i="13"/>
  <c r="G1426" i="13"/>
  <c r="G1427" i="13"/>
  <c r="G1428" i="13"/>
  <c r="G1429" i="13"/>
  <c r="G1430" i="13"/>
  <c r="G1431" i="13"/>
  <c r="G1432" i="13"/>
  <c r="G1433" i="13"/>
  <c r="G1434" i="13"/>
  <c r="G1435" i="13"/>
  <c r="G1436" i="13"/>
  <c r="G1437" i="13"/>
  <c r="G1438" i="13"/>
  <c r="G1439" i="13"/>
  <c r="G1440" i="13"/>
  <c r="G1441" i="13"/>
  <c r="G1442" i="13"/>
  <c r="G1443" i="13"/>
  <c r="G1444" i="13"/>
  <c r="G1445" i="13"/>
  <c r="G1446" i="13"/>
  <c r="G1447" i="13"/>
  <c r="G1448" i="13"/>
  <c r="G1449" i="13"/>
  <c r="G1450" i="13"/>
  <c r="G1451" i="13"/>
  <c r="G1452" i="13"/>
  <c r="G1453" i="13"/>
  <c r="G1454" i="13"/>
  <c r="G1455" i="13"/>
  <c r="G1456" i="13"/>
  <c r="G1457" i="13"/>
  <c r="G1458" i="13"/>
  <c r="G1459" i="13"/>
  <c r="G1460" i="13"/>
  <c r="G1461" i="13"/>
  <c r="G1462" i="13"/>
  <c r="G1463" i="13"/>
  <c r="G1464" i="13"/>
  <c r="G1465" i="13"/>
  <c r="G1466" i="13"/>
  <c r="G1467" i="13"/>
  <c r="G1468" i="13"/>
  <c r="G1469" i="13"/>
  <c r="G1470" i="13"/>
  <c r="G1471" i="13"/>
  <c r="G1472" i="13"/>
  <c r="G1473" i="13"/>
  <c r="G1474" i="13"/>
  <c r="G1475" i="13"/>
  <c r="G1476" i="13"/>
  <c r="G1477" i="13"/>
  <c r="G1478" i="13"/>
  <c r="G1479" i="13"/>
  <c r="G1480" i="13"/>
  <c r="G1481" i="13"/>
  <c r="G1482" i="13"/>
  <c r="G1483" i="13"/>
  <c r="G1484" i="13"/>
  <c r="G1485" i="13"/>
  <c r="G1486" i="13"/>
  <c r="G1487" i="13"/>
  <c r="G1488" i="13"/>
  <c r="G1489" i="13"/>
  <c r="G1490" i="13"/>
  <c r="G1491" i="13"/>
  <c r="G1492" i="13"/>
  <c r="G1493" i="13"/>
  <c r="G1494" i="13"/>
  <c r="G1495" i="13"/>
  <c r="G1496" i="13"/>
  <c r="G1497" i="13"/>
  <c r="G1498" i="13"/>
  <c r="G1499" i="13"/>
  <c r="G1500" i="13"/>
  <c r="G1501" i="13"/>
  <c r="G1502" i="13"/>
  <c r="G1503" i="13"/>
  <c r="G1504" i="13"/>
  <c r="G1505" i="13"/>
  <c r="G1506" i="13"/>
  <c r="G1507" i="13"/>
  <c r="G1508" i="13"/>
  <c r="G1509" i="13"/>
  <c r="G1510" i="13"/>
  <c r="G1511" i="13"/>
  <c r="G1512" i="13"/>
  <c r="G1513" i="13"/>
  <c r="G1514" i="13"/>
  <c r="G1515" i="13"/>
  <c r="G1516" i="13"/>
  <c r="G1517" i="13"/>
  <c r="G1518" i="13"/>
  <c r="G1519" i="13"/>
  <c r="G1520" i="13"/>
  <c r="G1521" i="13"/>
  <c r="G1522" i="13"/>
  <c r="G1523" i="13"/>
  <c r="G1524" i="13"/>
  <c r="G1525" i="13"/>
  <c r="G1526" i="13"/>
  <c r="G1527" i="13"/>
  <c r="G1528" i="13"/>
  <c r="G1529" i="13"/>
  <c r="G1530" i="13"/>
  <c r="G1531" i="13"/>
  <c r="G1532" i="13"/>
  <c r="G1533" i="13"/>
  <c r="G1534" i="13"/>
  <c r="G1535" i="13"/>
  <c r="G1536" i="13"/>
  <c r="G1537" i="13"/>
  <c r="G1538" i="13"/>
  <c r="G1539" i="13"/>
  <c r="G1540" i="13"/>
  <c r="G1541" i="13"/>
  <c r="G1542" i="13"/>
  <c r="G1543" i="13"/>
  <c r="G1544" i="13"/>
  <c r="G1545" i="13"/>
  <c r="G1546" i="13"/>
  <c r="G1547" i="13"/>
  <c r="G1548" i="13"/>
  <c r="G1549" i="13"/>
  <c r="G1550" i="13"/>
  <c r="G1551" i="13"/>
  <c r="G1552" i="13"/>
  <c r="G1553" i="13"/>
  <c r="G1554" i="13"/>
  <c r="G1555" i="13"/>
  <c r="G1556" i="13"/>
  <c r="G1557" i="13"/>
  <c r="G1558" i="13"/>
  <c r="G1559" i="13"/>
  <c r="G1560" i="13"/>
  <c r="G1561" i="13"/>
  <c r="G1562" i="13"/>
  <c r="G1563" i="13"/>
  <c r="G1564" i="13"/>
  <c r="G1565" i="13"/>
  <c r="G1566" i="13"/>
  <c r="G1567" i="13"/>
  <c r="G1568" i="13"/>
  <c r="G1569" i="13"/>
  <c r="G1570" i="13"/>
  <c r="G1571" i="13"/>
  <c r="G1572" i="13"/>
  <c r="G1573" i="13"/>
  <c r="G1574" i="13"/>
  <c r="G1575" i="13"/>
  <c r="G1576" i="13"/>
  <c r="G1577" i="13"/>
  <c r="G1578" i="13"/>
  <c r="G1579" i="13"/>
  <c r="G1580" i="13"/>
  <c r="G1581" i="13"/>
  <c r="G1582" i="13"/>
  <c r="G1583" i="13"/>
  <c r="G1584" i="13"/>
  <c r="G1585" i="13"/>
  <c r="G1586" i="13"/>
  <c r="G1587" i="13"/>
  <c r="G1588" i="13"/>
  <c r="G1589" i="13"/>
  <c r="G1590" i="13"/>
  <c r="G1591" i="13"/>
  <c r="G1592" i="13"/>
  <c r="G1593" i="13"/>
  <c r="G1594" i="13"/>
  <c r="G1595" i="13"/>
  <c r="G1596" i="13"/>
  <c r="G1597" i="13"/>
  <c r="G1598" i="13"/>
  <c r="G1599" i="13"/>
  <c r="G1600" i="13"/>
  <c r="G1601" i="13"/>
  <c r="G1602" i="13"/>
  <c r="G1603" i="13"/>
  <c r="G1604" i="13"/>
  <c r="G1605" i="13"/>
  <c r="G1606" i="13"/>
  <c r="G1607" i="13"/>
  <c r="G1608" i="13"/>
  <c r="G1609" i="13"/>
  <c r="G1610" i="13"/>
  <c r="G1611" i="13"/>
  <c r="G1612" i="13"/>
  <c r="G1613" i="13"/>
  <c r="G1614" i="13"/>
  <c r="G1615" i="13"/>
  <c r="G1616" i="13"/>
  <c r="G1617" i="13"/>
  <c r="G1618" i="13"/>
  <c r="G1619" i="13"/>
  <c r="G1620" i="13"/>
  <c r="G1621" i="13"/>
  <c r="G1622" i="13"/>
  <c r="G1623" i="13"/>
  <c r="G1624" i="13"/>
  <c r="G1625" i="13"/>
  <c r="G1626" i="13"/>
  <c r="G1627" i="13"/>
  <c r="G1628" i="13"/>
  <c r="G1629" i="13"/>
  <c r="G1630" i="13"/>
  <c r="G1631" i="13"/>
  <c r="G1632" i="13"/>
  <c r="G1633" i="13"/>
  <c r="G1634" i="13"/>
  <c r="G1635" i="13"/>
  <c r="G1636" i="13"/>
  <c r="G1637" i="13"/>
  <c r="G1638" i="13"/>
  <c r="G1639" i="13"/>
  <c r="G1640" i="13"/>
  <c r="G1641" i="13"/>
  <c r="G1642" i="13"/>
  <c r="G1643" i="13"/>
  <c r="G1644" i="13"/>
  <c r="G1645" i="13"/>
  <c r="G1646" i="13"/>
  <c r="G1647" i="13"/>
  <c r="G1648" i="13"/>
  <c r="G1649" i="13"/>
  <c r="G1650" i="13"/>
  <c r="G1651" i="13"/>
  <c r="G1652" i="13"/>
  <c r="G1653" i="13"/>
  <c r="G1654" i="13"/>
  <c r="G1655" i="13"/>
  <c r="G1656" i="13"/>
  <c r="G1657" i="13"/>
  <c r="G1658" i="13"/>
  <c r="G1659" i="13"/>
  <c r="G1660" i="13"/>
  <c r="G1661" i="13"/>
  <c r="G1662" i="13"/>
  <c r="G1663" i="13"/>
  <c r="G1664" i="13"/>
  <c r="G1665" i="13"/>
  <c r="G1666" i="13"/>
  <c r="G1667" i="13"/>
  <c r="G1668" i="13"/>
  <c r="G1669" i="13"/>
  <c r="G1670" i="13"/>
  <c r="G1671" i="13"/>
  <c r="G1672" i="13"/>
  <c r="G1673" i="13"/>
  <c r="G1674" i="13"/>
  <c r="G1675" i="13"/>
  <c r="G1676" i="13"/>
  <c r="G1677" i="13"/>
  <c r="G1678" i="13"/>
  <c r="G1679" i="13"/>
  <c r="G1680" i="13"/>
  <c r="G1681" i="13"/>
  <c r="G1682" i="13"/>
  <c r="G1683" i="13"/>
  <c r="G1684" i="13"/>
  <c r="G1685" i="13"/>
  <c r="G1686" i="13"/>
  <c r="G1687" i="13"/>
  <c r="G1688" i="13"/>
  <c r="G1689" i="13"/>
  <c r="G1690" i="13"/>
  <c r="G1691" i="13"/>
  <c r="G1692" i="13"/>
  <c r="G1693" i="13"/>
  <c r="G1694" i="13"/>
  <c r="G1695" i="13"/>
  <c r="G1696" i="13"/>
  <c r="G1697" i="13"/>
  <c r="G1698" i="13"/>
  <c r="G1699" i="13"/>
  <c r="G1700" i="13"/>
  <c r="G1701" i="13"/>
  <c r="G1702" i="13"/>
  <c r="G1703" i="13"/>
  <c r="G1704" i="13"/>
  <c r="G1705" i="13"/>
  <c r="G1706" i="13"/>
  <c r="G1707" i="13"/>
  <c r="G1708" i="13"/>
  <c r="G1709" i="13"/>
  <c r="G1710" i="13"/>
  <c r="G1711" i="13"/>
  <c r="G1712" i="13"/>
  <c r="G1713" i="13"/>
  <c r="G1714" i="13"/>
  <c r="G1715" i="13"/>
  <c r="G1716" i="13"/>
  <c r="G1717" i="13"/>
  <c r="G1718" i="13"/>
  <c r="G1719" i="13"/>
  <c r="G1720" i="13"/>
  <c r="G1721" i="13"/>
  <c r="G1722" i="13"/>
  <c r="G1723" i="13"/>
  <c r="G1724" i="13"/>
  <c r="G1725" i="13"/>
  <c r="G1726" i="13"/>
  <c r="G1727" i="13"/>
  <c r="G1728" i="13"/>
  <c r="G1729" i="13"/>
  <c r="G1730" i="13"/>
  <c r="G1731" i="13"/>
  <c r="G1732" i="13"/>
  <c r="G1733" i="13"/>
  <c r="G1734" i="13"/>
  <c r="G1735" i="13"/>
  <c r="G1736" i="13"/>
  <c r="G1737" i="13"/>
  <c r="G1738" i="13"/>
  <c r="G1739" i="13"/>
  <c r="G1740" i="13"/>
  <c r="G1741" i="13"/>
  <c r="G1742" i="13"/>
  <c r="G1743" i="13"/>
  <c r="G1744" i="13"/>
  <c r="G1745" i="13"/>
  <c r="G1746" i="13"/>
  <c r="G1747" i="13"/>
  <c r="G1748" i="13"/>
  <c r="G1749" i="13"/>
  <c r="G1750" i="13"/>
  <c r="G1751" i="13"/>
  <c r="G1752" i="13"/>
  <c r="G1753" i="13"/>
  <c r="G1754" i="13"/>
  <c r="G1755" i="13"/>
  <c r="G1756" i="13"/>
  <c r="G1757" i="13"/>
  <c r="G1758" i="13"/>
  <c r="G1759" i="13"/>
  <c r="G1760" i="13"/>
  <c r="G1761" i="13"/>
  <c r="G1762" i="13"/>
  <c r="G1763" i="13"/>
  <c r="G1764" i="13"/>
  <c r="G1765" i="13"/>
  <c r="G1766" i="13"/>
  <c r="G1767" i="13"/>
  <c r="G1768" i="13"/>
  <c r="G1769" i="13"/>
  <c r="G1770" i="13"/>
  <c r="G1771" i="13"/>
  <c r="G1772" i="13"/>
  <c r="G1773" i="13"/>
  <c r="G1774" i="13"/>
  <c r="G1775" i="13"/>
  <c r="G1776" i="13"/>
  <c r="G1777" i="13"/>
  <c r="G1778" i="13"/>
  <c r="G1779" i="13"/>
  <c r="G1780" i="13"/>
  <c r="G1781" i="13"/>
  <c r="G1782" i="13"/>
  <c r="G1783" i="13"/>
  <c r="G1784" i="13"/>
  <c r="G1785" i="13"/>
  <c r="G1786" i="13"/>
  <c r="G1787" i="13"/>
  <c r="G1788" i="13"/>
  <c r="G1789" i="13"/>
  <c r="G1790" i="13"/>
  <c r="G1791" i="13"/>
  <c r="G1792" i="13"/>
  <c r="G1793" i="13"/>
  <c r="G1794" i="13"/>
  <c r="G1795" i="13"/>
  <c r="G1796" i="13"/>
  <c r="G1797" i="13"/>
  <c r="G1798" i="13"/>
  <c r="G1799" i="13"/>
  <c r="G1800" i="13"/>
  <c r="G1801" i="13"/>
  <c r="G1802" i="13"/>
  <c r="G1803" i="13"/>
  <c r="G1804" i="13"/>
  <c r="G1805" i="13"/>
  <c r="G1806" i="13"/>
  <c r="G1807" i="13"/>
  <c r="G1808" i="13"/>
  <c r="G1809" i="13"/>
  <c r="G1810" i="13"/>
  <c r="G1811" i="13"/>
  <c r="G1812" i="13"/>
  <c r="G1813" i="13"/>
  <c r="G1814" i="13"/>
  <c r="G1815" i="13"/>
  <c r="G1816" i="13"/>
  <c r="G1817" i="13"/>
  <c r="G1818" i="13"/>
  <c r="G1819" i="13"/>
  <c r="G1820" i="13"/>
  <c r="G1821" i="13"/>
  <c r="G1822" i="13"/>
  <c r="G1823" i="13"/>
  <c r="G1824" i="13"/>
  <c r="G1825" i="13"/>
  <c r="G1826" i="13"/>
  <c r="G1827" i="13"/>
  <c r="G1828" i="13"/>
  <c r="G1829" i="13"/>
  <c r="G1830" i="13"/>
  <c r="G1831" i="13"/>
  <c r="G1832" i="13"/>
  <c r="G1833" i="13"/>
  <c r="G1834" i="13"/>
  <c r="G1835" i="13"/>
  <c r="G1836" i="13"/>
  <c r="G1837" i="13"/>
  <c r="G1838" i="13"/>
  <c r="G1839" i="13"/>
  <c r="G1840" i="13"/>
  <c r="G1841" i="13"/>
  <c r="G1842" i="13"/>
  <c r="G1843" i="13"/>
  <c r="G1844" i="13"/>
  <c r="G1845" i="13"/>
  <c r="G1846" i="13"/>
  <c r="G1847" i="13"/>
  <c r="G1848" i="13"/>
  <c r="G1849" i="13"/>
  <c r="G1850" i="13"/>
  <c r="G1851" i="13"/>
  <c r="G1852" i="13"/>
  <c r="G1853" i="13"/>
  <c r="G1854" i="13"/>
  <c r="G1855" i="13"/>
  <c r="G1856" i="13"/>
  <c r="G1857" i="13"/>
  <c r="G1858" i="13"/>
  <c r="G1859" i="13"/>
  <c r="G1860" i="13"/>
  <c r="G1861" i="13"/>
  <c r="G1862" i="13"/>
  <c r="G1863" i="13"/>
  <c r="G1864" i="13"/>
  <c r="G1865" i="13"/>
  <c r="G1866" i="13"/>
  <c r="G1867" i="13"/>
  <c r="G1868" i="13"/>
  <c r="G1869" i="13"/>
  <c r="G1870" i="13"/>
  <c r="G1871" i="13"/>
  <c r="G1872" i="13"/>
  <c r="G1873" i="13"/>
  <c r="G1874" i="13"/>
  <c r="G1875" i="13"/>
  <c r="G1876" i="13"/>
  <c r="G1877" i="13"/>
  <c r="G1878" i="13"/>
  <c r="G1879" i="13"/>
  <c r="G1880" i="13"/>
  <c r="G1881" i="13"/>
  <c r="G1882" i="13"/>
  <c r="G1883" i="13"/>
  <c r="G1884" i="13"/>
  <c r="G1885" i="13"/>
  <c r="G1886" i="13"/>
  <c r="G1887" i="13"/>
  <c r="G1888" i="13"/>
  <c r="G1889" i="13"/>
  <c r="G1890" i="13"/>
  <c r="G1891" i="13"/>
  <c r="G1892" i="13"/>
  <c r="G1893" i="13"/>
  <c r="G1894" i="13"/>
  <c r="G1895" i="13"/>
  <c r="G1896" i="13"/>
  <c r="G1897" i="13"/>
  <c r="G1898" i="13"/>
  <c r="G1899" i="13"/>
  <c r="G1900" i="13"/>
  <c r="G1901" i="13"/>
  <c r="G1902" i="13"/>
  <c r="G1903" i="13"/>
  <c r="G1904" i="13"/>
  <c r="G1905" i="13"/>
  <c r="G1906" i="13"/>
  <c r="G1907" i="13"/>
  <c r="G1908" i="13"/>
  <c r="G1909" i="13"/>
  <c r="G1910" i="13"/>
  <c r="G1911" i="13"/>
  <c r="G1912" i="13"/>
  <c r="G1913" i="13"/>
  <c r="G1914" i="13"/>
  <c r="G1915" i="13"/>
  <c r="G1916" i="13"/>
  <c r="G1917" i="13"/>
  <c r="G1918" i="13"/>
  <c r="G1919" i="13"/>
  <c r="G1920" i="13"/>
  <c r="G1921" i="13"/>
  <c r="G1922" i="13"/>
  <c r="G1923" i="13"/>
  <c r="G1924" i="13"/>
  <c r="G1925" i="13"/>
  <c r="G1926" i="13"/>
  <c r="G1927" i="13"/>
  <c r="G1928" i="13"/>
  <c r="G1929" i="13"/>
  <c r="G1930" i="13"/>
  <c r="G1931" i="13"/>
  <c r="G1932" i="13"/>
  <c r="G1933" i="13"/>
  <c r="G1934" i="13"/>
  <c r="G1935" i="13"/>
  <c r="G1936" i="13"/>
  <c r="G1937" i="13"/>
  <c r="G1938" i="13"/>
  <c r="G1939" i="13"/>
  <c r="G1940" i="13"/>
  <c r="G1941" i="13"/>
  <c r="G1942" i="13"/>
  <c r="G1943" i="13"/>
  <c r="G1944" i="13"/>
  <c r="G1945" i="13"/>
  <c r="G1946" i="13"/>
  <c r="G1947" i="13"/>
  <c r="G1948" i="13"/>
  <c r="G1949" i="13"/>
  <c r="G1950" i="13"/>
  <c r="G1951" i="13"/>
  <c r="G1952" i="13"/>
  <c r="G1953" i="13"/>
  <c r="G1954" i="13"/>
  <c r="G1955" i="13"/>
  <c r="G1956" i="13"/>
  <c r="G1957" i="13"/>
  <c r="G1958" i="13"/>
  <c r="G1959" i="13"/>
  <c r="G1960" i="13"/>
  <c r="G1961" i="13"/>
  <c r="G1962" i="13"/>
  <c r="G1963" i="13"/>
  <c r="G1964" i="13"/>
  <c r="G1965" i="13"/>
  <c r="G1966" i="13"/>
  <c r="G1967" i="13"/>
  <c r="G1968" i="13"/>
  <c r="G1969" i="13"/>
  <c r="G1970" i="13"/>
  <c r="G1971" i="13"/>
  <c r="G1972" i="13"/>
  <c r="G1973" i="13"/>
  <c r="G1974" i="13"/>
  <c r="G1975" i="13"/>
  <c r="G1976" i="13"/>
  <c r="G1977" i="13"/>
  <c r="G1978" i="13"/>
  <c r="G1979" i="13"/>
  <c r="G1980" i="13"/>
  <c r="G1981" i="13"/>
  <c r="G1982" i="13"/>
  <c r="G1983" i="13"/>
  <c r="G1984" i="13"/>
  <c r="G1985" i="13"/>
  <c r="G1986" i="13"/>
  <c r="G1987" i="13"/>
  <c r="G1988" i="13"/>
  <c r="G1989" i="13"/>
  <c r="G1990" i="13"/>
  <c r="G1991" i="13"/>
  <c r="G1992" i="13"/>
  <c r="G1993" i="13"/>
  <c r="G1994" i="13"/>
  <c r="G1995" i="13"/>
  <c r="G1996" i="13"/>
  <c r="G1997" i="13"/>
  <c r="G1998" i="13"/>
  <c r="G1999" i="13"/>
  <c r="G2000" i="13"/>
  <c r="G2001" i="13"/>
  <c r="G2002" i="13"/>
  <c r="G2003" i="13"/>
  <c r="G2004" i="13"/>
  <c r="G2005" i="13"/>
  <c r="G2006" i="13"/>
  <c r="G2007" i="13"/>
  <c r="G2008" i="13"/>
  <c r="G2009" i="13"/>
  <c r="G2010" i="13"/>
  <c r="G2011" i="13"/>
  <c r="G2012" i="13"/>
  <c r="G2013" i="13"/>
  <c r="G2014" i="13"/>
  <c r="G2015" i="13"/>
  <c r="G2016" i="13"/>
  <c r="G2017" i="13"/>
  <c r="G2018" i="13"/>
  <c r="G2019" i="13"/>
  <c r="G2020" i="13"/>
  <c r="G2021" i="13"/>
  <c r="G2022" i="13"/>
  <c r="G2023" i="13"/>
  <c r="G2024" i="13"/>
  <c r="G2025" i="13"/>
  <c r="G2026" i="13"/>
  <c r="G2027" i="13"/>
  <c r="G2028" i="13"/>
  <c r="G2029" i="13"/>
  <c r="G2030" i="13"/>
  <c r="G2031" i="13"/>
  <c r="G2032" i="13"/>
  <c r="G2033" i="13"/>
  <c r="G2034" i="13"/>
  <c r="G2035" i="13"/>
  <c r="G2036" i="13"/>
  <c r="G2037" i="13"/>
  <c r="G2038" i="13"/>
  <c r="G2039" i="13"/>
  <c r="G2040" i="13"/>
  <c r="G2041" i="13"/>
  <c r="G2042" i="13"/>
  <c r="G2043" i="13"/>
  <c r="G2044" i="13"/>
  <c r="G2045" i="13"/>
  <c r="G2046" i="13"/>
  <c r="G2047" i="13"/>
  <c r="G2048" i="13"/>
  <c r="G2049" i="13"/>
  <c r="G2050" i="13"/>
  <c r="G2051" i="13"/>
  <c r="G2052" i="13"/>
  <c r="G2053" i="13"/>
  <c r="G2054" i="13"/>
  <c r="G2055" i="13"/>
  <c r="G2056" i="13"/>
  <c r="G2057" i="13"/>
  <c r="G2058" i="13"/>
  <c r="G2059" i="13"/>
  <c r="G2060" i="13"/>
  <c r="G2061" i="13"/>
  <c r="G2062" i="13"/>
  <c r="G2063" i="13"/>
  <c r="G2064" i="13"/>
  <c r="G2065" i="13"/>
  <c r="G2066" i="13"/>
  <c r="G2067" i="13"/>
  <c r="G2068" i="13"/>
  <c r="G2069" i="13"/>
  <c r="G2070" i="13"/>
  <c r="G2071" i="13"/>
  <c r="G2072" i="13"/>
  <c r="G2073" i="13"/>
  <c r="G2074" i="13"/>
  <c r="G2075" i="13"/>
  <c r="G2076" i="13"/>
  <c r="G2077" i="13"/>
  <c r="G2078" i="13"/>
  <c r="G2079" i="13"/>
  <c r="G2080" i="13"/>
  <c r="G2081" i="13"/>
  <c r="G2082" i="13"/>
  <c r="G2083" i="13"/>
  <c r="G2084" i="13"/>
  <c r="G2085" i="13"/>
  <c r="G2086" i="13"/>
  <c r="G2087" i="13"/>
  <c r="G2088" i="13"/>
  <c r="G2089" i="13"/>
  <c r="G2090" i="13"/>
  <c r="G2091" i="13"/>
  <c r="G2092" i="13"/>
  <c r="G2093" i="13"/>
  <c r="G2094" i="13"/>
  <c r="G2095" i="13"/>
  <c r="G2096" i="13"/>
  <c r="G2097" i="13"/>
  <c r="G2098" i="13"/>
  <c r="G2099" i="13"/>
  <c r="G2100" i="13"/>
  <c r="G2101" i="13"/>
  <c r="G2102" i="13"/>
  <c r="G2103" i="13"/>
  <c r="G2104" i="13"/>
  <c r="G2105" i="13"/>
  <c r="G2106" i="13"/>
  <c r="G2107" i="13"/>
  <c r="G2108" i="13"/>
  <c r="G2109" i="13"/>
  <c r="G2110" i="13"/>
  <c r="G2111" i="13"/>
  <c r="G2112" i="13"/>
  <c r="G2113" i="13"/>
  <c r="G2114" i="13"/>
  <c r="G2115" i="13"/>
  <c r="G2116" i="13"/>
  <c r="G2117" i="13"/>
  <c r="G2118" i="13"/>
  <c r="G2119" i="13"/>
  <c r="G2120" i="13"/>
  <c r="G2121" i="13"/>
  <c r="G2122" i="13"/>
  <c r="G2123" i="13"/>
  <c r="G2124" i="13"/>
  <c r="G2125" i="13"/>
  <c r="G2126" i="13"/>
  <c r="G2127" i="13"/>
  <c r="G2128" i="13"/>
  <c r="G2129" i="13"/>
  <c r="G2130" i="13"/>
  <c r="G2131" i="13"/>
  <c r="G2132" i="13"/>
  <c r="G2133" i="13"/>
  <c r="G2134" i="13"/>
  <c r="G2135" i="13"/>
  <c r="G2136" i="13"/>
  <c r="G2137" i="13"/>
  <c r="G2138" i="13"/>
  <c r="G2139" i="13"/>
  <c r="G2140" i="13"/>
  <c r="G2141" i="13"/>
  <c r="G2142" i="13"/>
  <c r="G2143" i="13"/>
  <c r="G2144" i="13"/>
  <c r="G2145" i="13"/>
  <c r="G2146" i="13"/>
  <c r="G2147" i="13"/>
  <c r="G2148" i="13"/>
  <c r="G2149" i="13"/>
  <c r="G2150" i="13"/>
  <c r="G2151" i="13"/>
  <c r="G2152" i="13"/>
  <c r="G2153" i="13"/>
  <c r="G2154" i="13"/>
  <c r="G2155" i="13"/>
  <c r="G2156" i="13"/>
  <c r="G2157" i="13"/>
  <c r="G2158" i="13"/>
  <c r="G2159" i="13"/>
  <c r="G2160" i="13"/>
  <c r="G2161" i="13"/>
  <c r="G2162" i="13"/>
  <c r="G2163" i="13"/>
  <c r="G2164" i="13"/>
  <c r="G2165" i="13"/>
  <c r="G2166" i="13"/>
  <c r="G2167" i="13"/>
  <c r="G2168" i="13"/>
  <c r="G2169" i="13"/>
  <c r="G2170" i="13"/>
  <c r="G2171" i="13"/>
  <c r="G2172" i="13"/>
  <c r="G2173" i="13"/>
  <c r="G2174" i="13"/>
  <c r="G2175" i="13"/>
  <c r="G2176" i="13"/>
  <c r="G2177" i="13"/>
  <c r="G2178" i="13"/>
  <c r="G2179" i="13"/>
  <c r="G2180" i="13"/>
  <c r="G2181" i="13"/>
  <c r="G2182" i="13"/>
  <c r="G2183" i="13"/>
  <c r="G2184" i="13"/>
  <c r="G2185" i="13"/>
  <c r="G2186" i="13"/>
  <c r="G2187" i="13"/>
  <c r="G2188" i="13"/>
  <c r="G2189" i="13"/>
  <c r="G2190" i="13"/>
  <c r="G2191" i="13"/>
  <c r="G2192" i="13"/>
  <c r="G2193" i="13"/>
  <c r="G2194" i="13"/>
  <c r="G2195" i="13"/>
  <c r="G2196" i="13"/>
  <c r="G2197" i="13"/>
  <c r="G2198" i="13"/>
  <c r="G2199" i="13"/>
  <c r="G2200" i="13"/>
  <c r="G2201" i="13"/>
  <c r="G2202" i="13"/>
  <c r="G2203" i="13"/>
  <c r="G2204" i="13"/>
  <c r="G2205" i="13"/>
  <c r="G2206" i="13"/>
  <c r="G2207" i="13"/>
  <c r="G2208" i="13"/>
  <c r="G2209" i="13"/>
  <c r="G2210" i="13"/>
  <c r="G2211" i="13"/>
  <c r="G2212" i="13"/>
  <c r="G2213" i="13"/>
  <c r="G2214" i="13"/>
  <c r="G2215" i="13"/>
  <c r="G2216" i="13"/>
  <c r="G2217" i="13"/>
  <c r="G2218" i="13"/>
  <c r="G2219" i="13"/>
  <c r="G2220" i="13"/>
  <c r="G2221" i="13"/>
  <c r="G2222" i="13"/>
  <c r="G2223" i="13"/>
  <c r="G2224" i="13"/>
  <c r="G2225" i="13"/>
  <c r="G2226" i="13"/>
  <c r="G2227" i="13"/>
  <c r="G2228" i="13"/>
  <c r="G2229" i="13"/>
  <c r="G2230" i="13"/>
  <c r="G2231" i="13"/>
  <c r="G2232" i="13"/>
  <c r="G2233" i="13"/>
  <c r="G2234" i="13"/>
  <c r="G2235" i="13"/>
  <c r="G2236" i="13"/>
  <c r="G2237" i="13"/>
  <c r="G2238" i="13"/>
  <c r="G2239" i="13"/>
  <c r="G2240" i="13"/>
  <c r="G2241" i="13"/>
  <c r="G2242" i="13"/>
  <c r="G2243" i="13"/>
  <c r="G2244" i="13"/>
  <c r="G2245" i="13"/>
  <c r="G2246" i="13"/>
  <c r="G2247" i="13"/>
  <c r="G2248" i="13"/>
  <c r="G2249" i="13"/>
  <c r="G2250" i="13"/>
  <c r="G2251" i="13"/>
  <c r="G2252" i="13"/>
  <c r="G2253" i="13"/>
  <c r="G2254" i="13"/>
  <c r="G2255" i="13"/>
  <c r="G2256" i="13"/>
  <c r="G2257" i="13"/>
  <c r="G2258" i="13"/>
  <c r="G2259" i="13"/>
  <c r="G2260" i="13"/>
  <c r="G2261" i="13"/>
  <c r="G2262" i="13"/>
  <c r="G2263" i="13"/>
  <c r="G2264" i="13"/>
  <c r="G2265" i="13"/>
  <c r="G2266" i="13"/>
  <c r="G2267" i="13"/>
  <c r="G2268" i="13"/>
  <c r="G2269" i="13"/>
  <c r="G2270" i="13"/>
  <c r="G2271" i="13"/>
  <c r="G2272" i="13"/>
  <c r="G2273" i="13"/>
  <c r="G2274" i="13"/>
  <c r="G2275" i="13"/>
  <c r="G2276" i="13"/>
  <c r="G2277" i="13"/>
  <c r="G2278" i="13"/>
  <c r="G2279" i="13"/>
  <c r="G2280" i="13"/>
  <c r="G2281" i="13"/>
  <c r="G2282" i="13"/>
  <c r="G2283" i="13"/>
  <c r="G2284" i="13"/>
  <c r="G2285" i="13"/>
  <c r="G2286" i="13"/>
  <c r="G2287" i="13"/>
  <c r="G2288" i="13"/>
  <c r="G2289" i="13"/>
  <c r="G2290" i="13"/>
  <c r="G2291" i="13"/>
  <c r="G2292" i="13"/>
  <c r="G2293" i="13"/>
  <c r="G2294" i="13"/>
  <c r="G2295" i="13"/>
  <c r="G2296" i="13"/>
  <c r="G2297" i="13"/>
  <c r="G2298" i="13"/>
  <c r="G2299" i="13"/>
  <c r="G2300" i="13"/>
  <c r="G2301" i="13"/>
  <c r="G2302" i="13"/>
  <c r="G2303" i="13"/>
  <c r="G2304" i="13"/>
  <c r="G2305" i="13"/>
  <c r="G2306" i="13"/>
  <c r="G2307" i="13"/>
  <c r="G2308" i="13"/>
  <c r="G2309" i="13"/>
  <c r="G2310" i="13"/>
  <c r="G2311" i="13"/>
  <c r="G2312" i="13"/>
  <c r="G2313" i="13"/>
  <c r="G2314" i="13"/>
  <c r="G2315" i="13"/>
  <c r="G2316" i="13"/>
  <c r="G2317" i="13"/>
  <c r="G2318" i="13"/>
  <c r="G2319" i="13"/>
  <c r="G2320" i="13"/>
  <c r="G2321" i="13"/>
  <c r="G2322" i="13"/>
  <c r="G2323" i="13"/>
  <c r="G2324" i="13"/>
  <c r="G2325" i="13"/>
  <c r="G2326" i="13"/>
  <c r="G2327" i="13"/>
  <c r="G2328" i="13"/>
  <c r="G2329" i="13"/>
  <c r="G2330" i="13"/>
  <c r="G2331" i="13"/>
  <c r="G2332" i="13"/>
  <c r="G2333" i="13"/>
  <c r="G2334" i="13"/>
  <c r="G2335" i="13"/>
  <c r="G2336" i="13"/>
  <c r="G2337" i="13"/>
  <c r="G2338" i="13"/>
  <c r="G2339" i="13"/>
  <c r="G2340" i="13"/>
  <c r="G2341" i="13"/>
  <c r="G2342" i="13"/>
  <c r="G2343" i="13"/>
  <c r="G2344" i="13"/>
  <c r="G2345" i="13"/>
  <c r="G2346" i="13"/>
  <c r="G2347" i="13"/>
  <c r="G2348" i="13"/>
  <c r="G2349" i="13"/>
  <c r="G2350" i="13"/>
  <c r="G2351" i="13"/>
  <c r="G2352" i="13"/>
  <c r="G2353" i="13"/>
  <c r="G2354" i="13"/>
  <c r="G2355" i="13"/>
  <c r="G2356" i="13"/>
  <c r="G2357" i="13"/>
  <c r="G2358" i="13"/>
  <c r="G2359" i="13"/>
  <c r="G2360" i="13"/>
  <c r="G2361" i="13"/>
  <c r="G2362" i="13"/>
  <c r="G2363" i="13"/>
  <c r="G2364" i="13"/>
  <c r="G2365" i="13"/>
  <c r="G2366" i="13"/>
  <c r="G2367" i="13"/>
  <c r="G2368" i="13"/>
  <c r="G2369" i="13"/>
  <c r="G2370" i="13"/>
  <c r="G2371" i="13"/>
  <c r="G2372" i="13"/>
  <c r="G2373" i="13"/>
  <c r="G2374" i="13"/>
  <c r="G2375" i="13"/>
  <c r="G2376" i="13"/>
  <c r="G2377" i="13"/>
  <c r="G2378" i="13"/>
  <c r="G2379" i="13"/>
  <c r="G2380" i="13"/>
  <c r="G2381" i="13"/>
  <c r="G2382" i="13"/>
  <c r="G2383" i="13"/>
  <c r="G2384" i="13"/>
  <c r="G2385" i="13"/>
  <c r="G2386" i="13"/>
  <c r="G2387" i="13"/>
  <c r="G2388" i="13"/>
  <c r="G2389" i="13"/>
  <c r="G2390" i="13"/>
  <c r="G2391" i="13"/>
  <c r="G2392" i="13"/>
  <c r="G2393" i="13"/>
  <c r="G2394" i="13"/>
  <c r="G2395" i="13"/>
  <c r="G2396" i="13"/>
  <c r="G2397" i="13"/>
  <c r="G2398" i="13"/>
  <c r="G2399" i="13"/>
  <c r="G2400" i="13"/>
  <c r="G2401" i="13"/>
  <c r="G2402" i="13"/>
  <c r="G2403" i="13"/>
  <c r="G2404" i="13"/>
  <c r="G2405" i="13"/>
  <c r="G2406" i="13"/>
  <c r="G2407" i="13"/>
  <c r="G2408" i="13"/>
  <c r="G2409" i="13"/>
  <c r="G2410" i="13"/>
  <c r="G2411" i="13"/>
  <c r="G2412" i="13"/>
  <c r="G2413" i="13"/>
  <c r="G2414" i="13"/>
  <c r="G2415" i="13"/>
  <c r="G2416" i="13"/>
  <c r="G2417" i="13"/>
  <c r="G2418" i="13"/>
  <c r="G2419" i="13"/>
  <c r="G2420" i="13"/>
  <c r="G2421" i="13"/>
  <c r="G2422" i="13"/>
  <c r="G2423" i="13"/>
  <c r="G2424" i="13"/>
  <c r="G2425" i="13"/>
  <c r="G2426" i="13"/>
  <c r="G2427" i="13"/>
  <c r="G2428" i="13"/>
  <c r="G2429" i="13"/>
  <c r="G2430" i="13"/>
  <c r="G2431" i="13"/>
  <c r="G2432" i="13"/>
  <c r="G2433" i="13"/>
  <c r="G2434" i="13"/>
  <c r="G2435" i="13"/>
  <c r="G2436" i="13"/>
  <c r="G2437" i="13"/>
  <c r="G2438" i="13"/>
  <c r="G2439" i="13"/>
  <c r="G2440" i="13"/>
  <c r="G2441" i="13"/>
  <c r="G2442" i="13"/>
  <c r="G2443" i="13"/>
  <c r="G2444" i="13"/>
  <c r="G2445" i="13"/>
  <c r="G2446" i="13"/>
  <c r="G2447" i="13"/>
  <c r="G2448" i="13"/>
  <c r="G2449" i="13"/>
  <c r="G2450" i="13"/>
  <c r="G2451" i="13"/>
  <c r="G2452" i="13"/>
  <c r="G2453" i="13"/>
  <c r="G2454" i="13"/>
  <c r="G2455" i="13"/>
  <c r="G2456" i="13"/>
  <c r="G2457" i="13"/>
  <c r="G2458" i="13"/>
  <c r="G2459" i="13"/>
  <c r="G2460" i="13"/>
  <c r="G2461" i="13"/>
  <c r="G2462" i="13"/>
  <c r="G2463" i="13"/>
  <c r="G2464" i="13"/>
  <c r="G2465" i="13"/>
  <c r="G2466" i="13"/>
  <c r="G2467" i="13"/>
  <c r="G2468" i="13"/>
  <c r="G2469" i="13"/>
  <c r="G2470" i="13"/>
  <c r="G2471" i="13"/>
  <c r="G2472" i="13"/>
  <c r="G2473" i="13"/>
  <c r="G2474" i="13"/>
  <c r="G2475" i="13"/>
  <c r="G2476" i="13"/>
  <c r="G2477" i="13"/>
  <c r="G2478" i="13"/>
  <c r="G2479" i="13"/>
  <c r="G2480" i="13"/>
  <c r="G2481" i="13"/>
  <c r="G2482" i="13"/>
  <c r="G2483" i="13"/>
  <c r="G2484" i="13"/>
  <c r="G2485" i="13"/>
  <c r="G2486" i="13"/>
  <c r="G2487" i="13"/>
  <c r="G2488" i="13"/>
  <c r="G2489" i="13"/>
  <c r="G2490" i="13"/>
  <c r="G2491" i="13"/>
  <c r="G2492" i="13"/>
  <c r="G2493" i="13"/>
  <c r="G2494" i="13"/>
  <c r="G2495" i="13"/>
  <c r="G2496" i="13"/>
  <c r="G2497" i="13"/>
  <c r="G2498" i="13"/>
  <c r="G2499" i="13"/>
  <c r="G2500" i="13"/>
  <c r="G2501" i="13"/>
  <c r="G2502" i="13"/>
  <c r="G2503" i="13"/>
  <c r="G2504" i="13"/>
  <c r="G2505" i="13"/>
  <c r="G2506" i="13"/>
  <c r="G2507" i="13"/>
  <c r="G2508" i="13"/>
  <c r="G2509" i="13"/>
  <c r="G2510" i="13"/>
  <c r="G2511" i="13"/>
  <c r="G2512" i="13"/>
  <c r="G2513" i="13"/>
  <c r="G2514" i="13"/>
  <c r="G2515" i="13"/>
  <c r="G2516" i="13"/>
  <c r="G2517" i="13"/>
  <c r="G2518" i="13"/>
  <c r="G2519" i="13"/>
  <c r="G2520" i="13"/>
  <c r="G2521" i="13"/>
  <c r="G2522" i="13"/>
  <c r="G2523" i="13"/>
  <c r="G2524" i="13"/>
  <c r="G2525" i="13"/>
  <c r="G2526" i="13"/>
  <c r="G2527" i="13"/>
  <c r="G2528" i="13"/>
  <c r="G2529" i="13"/>
  <c r="G2530" i="13"/>
  <c r="G2531" i="13"/>
  <c r="G2532" i="13"/>
  <c r="G2533" i="13"/>
  <c r="G2534" i="13"/>
  <c r="G2535" i="13"/>
  <c r="G2536" i="13"/>
  <c r="G2537" i="13"/>
  <c r="G2538" i="13"/>
  <c r="G2539" i="13"/>
  <c r="G2540" i="13"/>
  <c r="G2541" i="13"/>
  <c r="G2542" i="13"/>
  <c r="G2543" i="13"/>
  <c r="G2544" i="13"/>
  <c r="G2545" i="13"/>
  <c r="G2546" i="13"/>
  <c r="G2547" i="13"/>
  <c r="G2548" i="13"/>
  <c r="G2549" i="13"/>
  <c r="G2550" i="13"/>
  <c r="G2551" i="13"/>
  <c r="G2552" i="13"/>
  <c r="G2553" i="13"/>
  <c r="G2554" i="13"/>
  <c r="G2555" i="13"/>
  <c r="G2556" i="13"/>
  <c r="G2557" i="13"/>
  <c r="G2558" i="13"/>
  <c r="G2559" i="13"/>
  <c r="G2560" i="13"/>
  <c r="G2561" i="13"/>
  <c r="G2562" i="13"/>
  <c r="G2563" i="13"/>
  <c r="G2564" i="13"/>
  <c r="G2565" i="13"/>
  <c r="G2566" i="13"/>
  <c r="G2567" i="13"/>
  <c r="G2568" i="13"/>
  <c r="G2569" i="13"/>
  <c r="G2570" i="13"/>
  <c r="G2571" i="13"/>
  <c r="G2572" i="13"/>
  <c r="G2573" i="13"/>
  <c r="G2574" i="13"/>
  <c r="G2575" i="13"/>
  <c r="G2576" i="13"/>
  <c r="G2577" i="13"/>
  <c r="G2578" i="13"/>
  <c r="G2579" i="13"/>
  <c r="G2580" i="13"/>
  <c r="G2581" i="13"/>
  <c r="G2582" i="13"/>
  <c r="G2583" i="13"/>
  <c r="G2584" i="13"/>
  <c r="G2585" i="13"/>
  <c r="G2586" i="13"/>
  <c r="G2587" i="13"/>
  <c r="G2588" i="13"/>
  <c r="G2589" i="13"/>
  <c r="G2590" i="13"/>
  <c r="G2591" i="13"/>
  <c r="G2592" i="13"/>
  <c r="G2593" i="13"/>
  <c r="G2594" i="13"/>
  <c r="G2595" i="13"/>
  <c r="G2596" i="13"/>
  <c r="G2597" i="13"/>
  <c r="G2598" i="13"/>
  <c r="G2599" i="13"/>
  <c r="G2600" i="13"/>
  <c r="G2601" i="13"/>
  <c r="G2602" i="13"/>
  <c r="G2603" i="13"/>
  <c r="G2604" i="13"/>
  <c r="G2605" i="13"/>
  <c r="G2606" i="13"/>
  <c r="G2607" i="13"/>
  <c r="G2608" i="13"/>
  <c r="G2609" i="13"/>
  <c r="G2610" i="13"/>
  <c r="G2611" i="13"/>
  <c r="G2612" i="13"/>
  <c r="G2613" i="13"/>
  <c r="G2614" i="13"/>
  <c r="G2615" i="13"/>
  <c r="G2616" i="13"/>
  <c r="G2617" i="13"/>
  <c r="G2618" i="13"/>
  <c r="G2619" i="13"/>
  <c r="G2620" i="13"/>
  <c r="G2621" i="13"/>
  <c r="G2622" i="13"/>
  <c r="G2623" i="13"/>
  <c r="G2624" i="13"/>
  <c r="G2625" i="13"/>
  <c r="G2626" i="13"/>
  <c r="G2627" i="13"/>
  <c r="G2628" i="13"/>
  <c r="G2629" i="13"/>
  <c r="G2630" i="13"/>
  <c r="G2631" i="13"/>
  <c r="G2632" i="13"/>
  <c r="G2633" i="13"/>
  <c r="G2634" i="13"/>
  <c r="G2635" i="13"/>
  <c r="G2636" i="13"/>
  <c r="G2637" i="13"/>
  <c r="G2638" i="13"/>
  <c r="G2639" i="13"/>
  <c r="G2640" i="13"/>
  <c r="G2641" i="13"/>
  <c r="G2642" i="13"/>
  <c r="G2643" i="13"/>
  <c r="G2644" i="13"/>
  <c r="G2645" i="13"/>
  <c r="G2646" i="13"/>
  <c r="G2647" i="13"/>
  <c r="G2648" i="13"/>
  <c r="G2649" i="13"/>
  <c r="G2650" i="13"/>
  <c r="G2651" i="13"/>
  <c r="G2652" i="13"/>
  <c r="G2653" i="13"/>
  <c r="G2654" i="13"/>
  <c r="G2655" i="13"/>
  <c r="G2656" i="13"/>
  <c r="G2657" i="13"/>
  <c r="G2658" i="13"/>
  <c r="G2659" i="13"/>
  <c r="G2660" i="13"/>
  <c r="G2661" i="13"/>
  <c r="G2662" i="13"/>
  <c r="G2663" i="13"/>
  <c r="G2664" i="13"/>
  <c r="G2665" i="13"/>
  <c r="G2666" i="13"/>
  <c r="G2667" i="13"/>
  <c r="G2668" i="13"/>
  <c r="G2669" i="13"/>
  <c r="G2670" i="13"/>
  <c r="G2671" i="13"/>
  <c r="G2672" i="13"/>
  <c r="G2673" i="13"/>
  <c r="G2674" i="13"/>
  <c r="G2675" i="13"/>
  <c r="G2676" i="13"/>
  <c r="G2677" i="13"/>
  <c r="G2678" i="13"/>
  <c r="G2679" i="13"/>
  <c r="G2680" i="13"/>
  <c r="G2681" i="13"/>
  <c r="G2682" i="13"/>
  <c r="G2683" i="13"/>
  <c r="G2684" i="13"/>
  <c r="G2685" i="13"/>
  <c r="G2686" i="13"/>
  <c r="G2687" i="13"/>
  <c r="G2688" i="13"/>
  <c r="G2689" i="13"/>
  <c r="G2690" i="13"/>
  <c r="G2691" i="13"/>
  <c r="G2692" i="13"/>
  <c r="G2693" i="13"/>
  <c r="G2694" i="13"/>
  <c r="G2695" i="13"/>
  <c r="G2696" i="13"/>
  <c r="G2697" i="13"/>
  <c r="G2698" i="13"/>
  <c r="G2699" i="13"/>
  <c r="G2700" i="13"/>
  <c r="G2701" i="13"/>
  <c r="G2702" i="13"/>
  <c r="G2703" i="13"/>
  <c r="G2704" i="13"/>
  <c r="G2705" i="13"/>
  <c r="G2706" i="13"/>
  <c r="G2707" i="13"/>
  <c r="G2708" i="13"/>
  <c r="G2709" i="13"/>
  <c r="G2710" i="13"/>
  <c r="G2711" i="13"/>
  <c r="G2712" i="13"/>
  <c r="G2713" i="13"/>
  <c r="G2714" i="13"/>
  <c r="G2715" i="13"/>
  <c r="G2716" i="13"/>
  <c r="G2717" i="13"/>
  <c r="G2718" i="13"/>
  <c r="G2719" i="13"/>
  <c r="G2720" i="13"/>
  <c r="G2721" i="13"/>
  <c r="G2722" i="13"/>
  <c r="G2723" i="13"/>
  <c r="G2724" i="13"/>
  <c r="G2725" i="13"/>
  <c r="G2726" i="13"/>
  <c r="G2727" i="13"/>
  <c r="G2728" i="13"/>
  <c r="G2729" i="13"/>
  <c r="G2730" i="13"/>
  <c r="G2731" i="13"/>
  <c r="G2732" i="13"/>
  <c r="G2733" i="13"/>
  <c r="G2734" i="13"/>
  <c r="G2735" i="13"/>
  <c r="G2736" i="13"/>
  <c r="G2737" i="13"/>
  <c r="G2738" i="13"/>
  <c r="G2739" i="13"/>
  <c r="G2740" i="13"/>
  <c r="G2741" i="13"/>
  <c r="G2742" i="13"/>
  <c r="G2743" i="13"/>
  <c r="G2744" i="13"/>
  <c r="G2745" i="13"/>
  <c r="G2746" i="13"/>
  <c r="G2747" i="13"/>
  <c r="G2748" i="13"/>
  <c r="G2749" i="13"/>
  <c r="G2750" i="13"/>
  <c r="G2751" i="13"/>
  <c r="G2752" i="13"/>
  <c r="G2753" i="13"/>
  <c r="G2754" i="13"/>
  <c r="G2755" i="13"/>
  <c r="G2756" i="13"/>
  <c r="G2757" i="13"/>
  <c r="G2758" i="13"/>
  <c r="G2759" i="13"/>
  <c r="G2760" i="13"/>
  <c r="G2761" i="13"/>
  <c r="G2762" i="13"/>
  <c r="G2763" i="13"/>
  <c r="G2764" i="13"/>
  <c r="G2765" i="13"/>
  <c r="G2766" i="13"/>
  <c r="G2767" i="13"/>
  <c r="G2768" i="13"/>
  <c r="G2769" i="13"/>
  <c r="G2770" i="13"/>
  <c r="G2771" i="13"/>
  <c r="G2772" i="13"/>
  <c r="G2773" i="13"/>
  <c r="G2774" i="13"/>
  <c r="G2775" i="13"/>
  <c r="G2776" i="13"/>
  <c r="G2777" i="13"/>
  <c r="G2778" i="13"/>
  <c r="G2779" i="13"/>
  <c r="G2780" i="13"/>
  <c r="G2781" i="13"/>
  <c r="G2782" i="13"/>
  <c r="G2783" i="13"/>
  <c r="G2784" i="13"/>
  <c r="G2785" i="13"/>
  <c r="G2786" i="13"/>
  <c r="G2787" i="13"/>
  <c r="G2788" i="13"/>
  <c r="G2789" i="13"/>
  <c r="G2790" i="13"/>
  <c r="G2791" i="13"/>
  <c r="G2792" i="13"/>
  <c r="G2793" i="13"/>
  <c r="G2794" i="13"/>
  <c r="G2795" i="13"/>
  <c r="G2796" i="13"/>
  <c r="G2797" i="13"/>
  <c r="G2798" i="13"/>
  <c r="G2799" i="13"/>
  <c r="G2800" i="13"/>
  <c r="G2801" i="13"/>
  <c r="G2802" i="13"/>
  <c r="G2803" i="13"/>
  <c r="G2804" i="13"/>
  <c r="G2805" i="13"/>
  <c r="G2806" i="13"/>
  <c r="G2807" i="13"/>
  <c r="G2808" i="13"/>
  <c r="G2809" i="13"/>
  <c r="G2810" i="13"/>
  <c r="G2811" i="13"/>
  <c r="G2812" i="13"/>
  <c r="G2813" i="13"/>
  <c r="G2814" i="13"/>
  <c r="G2815" i="13"/>
  <c r="G2816" i="13"/>
  <c r="G2817" i="13"/>
  <c r="G2818" i="13"/>
  <c r="G2819" i="13"/>
  <c r="G2820" i="13"/>
  <c r="G2821" i="13"/>
  <c r="G2822" i="13"/>
  <c r="G2823" i="13"/>
  <c r="G2824" i="13"/>
  <c r="G2825" i="13"/>
  <c r="G2826" i="13"/>
  <c r="G2827" i="13"/>
  <c r="G2828" i="13"/>
  <c r="G2829" i="13"/>
  <c r="G2830" i="13"/>
  <c r="G2831" i="13"/>
  <c r="G2832" i="13"/>
  <c r="G2833" i="13"/>
  <c r="G2834" i="13"/>
  <c r="G2835" i="13"/>
  <c r="G2836" i="13"/>
  <c r="G2837" i="13"/>
  <c r="G2838" i="13"/>
  <c r="G2839" i="13"/>
  <c r="G2840" i="13"/>
  <c r="G2841" i="13"/>
  <c r="G2842" i="13"/>
  <c r="G2843" i="13"/>
  <c r="G2844" i="13"/>
  <c r="G2845" i="13"/>
  <c r="G2846" i="13"/>
  <c r="G2847" i="13"/>
  <c r="G2848" i="13"/>
  <c r="G2849" i="13"/>
  <c r="G2850" i="13"/>
  <c r="G2851" i="13"/>
  <c r="G2852" i="13"/>
  <c r="G2853" i="13"/>
  <c r="G2854" i="13"/>
  <c r="G2855" i="13"/>
  <c r="G2856" i="13"/>
  <c r="G2857" i="13"/>
  <c r="G2858" i="13"/>
  <c r="G2859" i="13"/>
  <c r="G2860" i="13"/>
  <c r="G2861" i="13"/>
  <c r="G2862" i="13"/>
  <c r="G2863" i="13"/>
  <c r="G2864" i="13"/>
  <c r="G2865" i="13"/>
  <c r="G2866" i="13"/>
  <c r="G2867" i="13"/>
  <c r="G2868" i="13"/>
  <c r="G2869" i="13"/>
  <c r="G2870" i="13"/>
  <c r="G2871" i="13"/>
  <c r="G2872" i="13"/>
  <c r="G2873" i="13"/>
  <c r="G2874" i="13"/>
  <c r="G2875" i="13"/>
  <c r="G2876" i="13"/>
  <c r="G2877" i="13"/>
  <c r="G2878" i="13"/>
  <c r="G2879" i="13"/>
  <c r="G2880" i="13"/>
  <c r="G2881" i="13"/>
  <c r="G2882" i="13"/>
  <c r="G2883" i="13"/>
  <c r="G2884" i="13"/>
  <c r="G2885" i="13"/>
  <c r="G2886" i="13"/>
  <c r="G2887" i="13"/>
  <c r="G2888" i="13"/>
  <c r="G2889" i="13"/>
  <c r="G2890" i="13"/>
  <c r="G2891" i="13"/>
  <c r="G2892" i="13"/>
  <c r="G2893" i="13"/>
  <c r="G2894" i="13"/>
  <c r="G2895" i="13"/>
  <c r="G2896" i="13"/>
  <c r="G2897" i="13"/>
  <c r="G2898" i="13"/>
  <c r="G2899" i="13"/>
  <c r="G2900" i="13"/>
  <c r="G2901" i="13"/>
  <c r="G2902" i="13"/>
  <c r="G2903" i="13"/>
  <c r="G2904" i="13"/>
  <c r="G2905" i="13"/>
  <c r="G2906" i="13"/>
  <c r="G2907" i="13"/>
  <c r="G2908" i="13"/>
  <c r="G2909" i="13"/>
  <c r="G2910" i="13"/>
  <c r="G2911" i="13"/>
  <c r="G2912" i="13"/>
  <c r="G2913" i="13"/>
  <c r="G2914" i="13"/>
  <c r="G2915" i="13"/>
  <c r="G2916" i="13"/>
  <c r="G2917" i="13"/>
  <c r="G2918" i="13"/>
  <c r="G2919" i="13"/>
  <c r="G2920" i="13"/>
  <c r="G2921" i="13"/>
  <c r="G2922" i="13"/>
  <c r="G2923" i="13"/>
  <c r="G2924" i="13"/>
  <c r="G2925" i="13"/>
  <c r="G2926" i="13"/>
  <c r="G2927" i="13"/>
  <c r="G2928" i="13"/>
  <c r="G2929" i="13"/>
  <c r="G2930" i="13"/>
  <c r="G2931" i="13"/>
  <c r="G2932" i="13"/>
  <c r="G2933" i="13"/>
  <c r="G2934" i="13"/>
  <c r="G2935" i="13"/>
  <c r="G2936" i="13"/>
  <c r="G2937" i="13"/>
  <c r="G2938" i="13"/>
  <c r="G2939" i="13"/>
  <c r="G2940" i="13"/>
  <c r="G2941" i="13"/>
  <c r="G2942" i="13"/>
  <c r="G2943" i="13"/>
  <c r="G2944" i="13"/>
  <c r="G2945" i="13"/>
  <c r="G2946" i="13"/>
  <c r="G2947" i="13"/>
  <c r="G2948" i="13"/>
  <c r="G2949" i="13"/>
  <c r="G2950" i="13"/>
  <c r="G2951" i="13"/>
  <c r="G2952" i="13"/>
  <c r="G2953" i="13"/>
  <c r="G2954" i="13"/>
  <c r="G2955" i="13"/>
  <c r="G2956" i="13"/>
  <c r="G2957" i="13"/>
  <c r="G2958" i="13"/>
  <c r="G2959" i="13"/>
  <c r="G2960" i="13"/>
  <c r="G2961" i="13"/>
  <c r="G2962" i="13"/>
  <c r="G2963" i="13"/>
  <c r="G2964" i="13"/>
  <c r="G2965" i="13"/>
  <c r="G2966" i="13"/>
  <c r="G2967" i="13"/>
  <c r="G2968" i="13"/>
  <c r="G2969" i="13"/>
  <c r="G2970" i="13"/>
  <c r="G2971" i="13"/>
  <c r="G2972" i="13"/>
  <c r="G2973" i="13"/>
  <c r="G2974" i="13"/>
  <c r="G2975" i="13"/>
  <c r="G2976" i="13"/>
  <c r="G2977" i="13"/>
  <c r="G2978" i="13"/>
  <c r="G2979" i="13"/>
  <c r="G2980" i="13"/>
  <c r="G2981" i="13"/>
  <c r="G2982" i="13"/>
  <c r="G2983" i="13"/>
  <c r="G2984" i="13"/>
  <c r="G2985" i="13"/>
  <c r="G2986" i="13"/>
  <c r="G2987" i="13"/>
  <c r="G2988" i="13"/>
  <c r="G2989" i="13"/>
  <c r="G2990" i="13"/>
  <c r="G2991" i="13"/>
  <c r="G2992" i="13"/>
  <c r="G2993" i="13"/>
  <c r="G2994" i="13"/>
  <c r="G2995" i="13"/>
  <c r="G2996" i="13"/>
  <c r="G2997" i="13"/>
  <c r="G2998" i="13"/>
  <c r="G2999" i="13"/>
  <c r="G3000" i="13"/>
  <c r="G3001" i="13"/>
  <c r="G3002" i="13"/>
  <c r="G3003" i="13"/>
  <c r="G3004" i="13"/>
  <c r="G3005" i="13"/>
  <c r="G3006" i="13"/>
  <c r="G3007" i="13"/>
  <c r="G3008" i="13"/>
  <c r="G3009" i="13"/>
  <c r="G3010" i="13"/>
  <c r="G3011" i="13"/>
  <c r="G3012" i="13"/>
  <c r="G3013" i="13"/>
  <c r="G3014" i="13"/>
  <c r="G3015" i="13"/>
  <c r="G3016" i="13"/>
  <c r="G3017" i="13"/>
  <c r="G3018" i="13"/>
  <c r="G3019" i="13"/>
  <c r="G3020" i="13"/>
  <c r="G3021" i="13"/>
  <c r="G3022" i="13"/>
  <c r="G3023" i="13"/>
  <c r="G3024" i="13"/>
  <c r="G3025" i="13"/>
  <c r="G3026" i="13"/>
  <c r="G3027" i="13"/>
  <c r="G3028" i="13"/>
  <c r="G3029" i="13"/>
  <c r="G3030" i="13"/>
  <c r="G3031" i="13"/>
  <c r="G3032" i="13"/>
  <c r="G3033" i="13"/>
  <c r="G3034" i="13"/>
  <c r="G3035" i="13"/>
  <c r="G3036" i="13"/>
  <c r="G3037" i="13"/>
  <c r="G3038" i="13"/>
  <c r="G3039" i="13"/>
  <c r="G3040" i="13"/>
  <c r="G3041" i="13"/>
  <c r="G3042" i="13"/>
  <c r="G3043" i="13"/>
  <c r="G3044" i="13"/>
  <c r="G3045" i="13"/>
  <c r="G3046" i="13"/>
  <c r="G3047" i="13"/>
  <c r="G3048" i="13"/>
  <c r="G3049" i="13"/>
  <c r="G3050" i="13"/>
  <c r="G3051" i="13"/>
  <c r="G3052" i="13"/>
  <c r="G3053" i="13"/>
  <c r="G3054" i="13"/>
  <c r="G3055" i="13"/>
  <c r="G3056" i="13"/>
  <c r="G3057" i="13"/>
  <c r="G3058" i="13"/>
  <c r="G3059" i="13"/>
  <c r="G3060" i="13"/>
  <c r="G3061" i="13"/>
  <c r="G3062" i="13"/>
  <c r="G3063" i="13"/>
  <c r="G3064" i="13"/>
  <c r="G3065" i="13"/>
  <c r="G3066" i="13"/>
  <c r="G3067" i="13"/>
  <c r="G3068" i="13"/>
  <c r="G3069" i="13"/>
  <c r="G3070" i="13"/>
  <c r="G3071" i="13"/>
  <c r="G3072" i="13"/>
  <c r="G3073" i="13"/>
  <c r="G3074" i="13"/>
  <c r="G3075" i="13"/>
  <c r="G3076" i="13"/>
  <c r="G3077" i="13"/>
  <c r="G3078" i="13"/>
  <c r="G3079" i="13"/>
  <c r="G3080" i="13"/>
  <c r="G3081" i="13"/>
  <c r="G3082" i="13"/>
  <c r="G3083" i="13"/>
  <c r="G3084" i="13"/>
  <c r="G3085" i="13"/>
  <c r="G3086" i="13"/>
  <c r="G3087" i="13"/>
  <c r="G3088" i="13"/>
  <c r="G3089" i="13"/>
  <c r="G3090" i="13"/>
  <c r="G3091" i="13"/>
  <c r="G3092" i="13"/>
  <c r="G3093" i="13"/>
  <c r="G3094" i="13"/>
  <c r="G3095" i="13"/>
  <c r="G3096" i="13"/>
  <c r="G3097" i="13"/>
  <c r="G3098" i="13"/>
  <c r="G3099" i="13"/>
  <c r="G3100" i="13"/>
  <c r="G3101" i="13"/>
  <c r="G3102" i="13"/>
  <c r="G3103" i="13"/>
  <c r="G3104" i="13"/>
  <c r="G3105" i="13"/>
  <c r="G3106" i="13"/>
  <c r="G3107" i="13"/>
  <c r="G3108" i="13"/>
  <c r="G3109" i="13"/>
  <c r="G3110" i="13"/>
  <c r="G3111" i="13"/>
  <c r="G3112" i="13"/>
  <c r="G3113" i="13"/>
  <c r="G3114" i="13"/>
  <c r="G3115" i="13"/>
  <c r="G3116" i="13"/>
  <c r="G3117" i="13"/>
  <c r="G3118" i="13"/>
  <c r="G3119" i="13"/>
  <c r="G3120" i="13"/>
  <c r="G3121" i="13"/>
  <c r="G3122" i="13"/>
  <c r="G3123" i="13"/>
  <c r="G3124" i="13"/>
  <c r="G3125" i="13"/>
  <c r="G3126" i="13"/>
  <c r="G3127" i="13"/>
  <c r="G3128" i="13"/>
  <c r="G3129" i="13"/>
  <c r="G3130" i="13"/>
  <c r="G3131" i="13"/>
  <c r="G3132" i="13"/>
  <c r="G3133" i="13"/>
  <c r="G3134" i="13"/>
  <c r="G3135" i="13"/>
  <c r="G3136" i="13"/>
  <c r="G3137" i="13"/>
  <c r="G3138" i="13"/>
  <c r="G3139" i="13"/>
  <c r="G3140" i="13"/>
  <c r="G3141" i="13"/>
  <c r="G3142" i="13"/>
  <c r="G3143" i="13"/>
  <c r="G3144" i="13"/>
  <c r="G3145" i="13"/>
  <c r="G3146" i="13"/>
  <c r="G3147" i="13"/>
  <c r="G3148" i="13"/>
  <c r="G3149" i="13"/>
  <c r="G3150" i="13"/>
  <c r="G3151" i="13"/>
  <c r="G3152" i="13"/>
  <c r="G3153" i="13"/>
  <c r="G3154" i="13"/>
  <c r="G3155" i="13"/>
  <c r="G3156" i="13"/>
  <c r="G3157" i="13"/>
  <c r="G3158" i="13"/>
  <c r="G3159" i="13"/>
  <c r="G3160" i="13"/>
  <c r="G3161" i="13"/>
  <c r="G3162" i="13"/>
  <c r="G3163" i="13"/>
  <c r="G3164" i="13"/>
  <c r="G3165" i="13"/>
  <c r="G3166" i="13"/>
  <c r="G3167" i="13"/>
  <c r="G3168" i="13"/>
  <c r="G3169" i="13"/>
  <c r="G3170" i="13"/>
  <c r="G3171" i="13"/>
  <c r="G3172" i="13"/>
  <c r="G3173" i="13"/>
  <c r="G3174" i="13"/>
  <c r="G3175" i="13"/>
  <c r="G3176" i="13"/>
  <c r="G3177" i="13"/>
  <c r="G3178" i="13"/>
  <c r="G3179" i="13"/>
  <c r="G3180" i="13"/>
  <c r="G3181" i="13"/>
  <c r="G3182" i="13"/>
  <c r="G3183" i="13"/>
  <c r="G3184" i="13"/>
  <c r="G3185" i="13"/>
  <c r="G3186" i="13"/>
  <c r="G3187" i="13"/>
  <c r="G3188" i="13"/>
  <c r="G3189" i="13"/>
  <c r="G3190" i="13"/>
  <c r="G3191" i="13"/>
  <c r="G3192" i="13"/>
  <c r="G3193" i="13"/>
  <c r="G3194" i="13"/>
  <c r="G3195" i="13"/>
  <c r="G3196" i="13"/>
  <c r="G3197" i="13"/>
  <c r="G3198" i="13"/>
  <c r="G3199" i="13"/>
  <c r="G3200" i="13"/>
  <c r="G3201" i="13"/>
  <c r="G3202" i="13"/>
  <c r="G3203" i="13"/>
  <c r="G3204" i="13"/>
  <c r="G3205" i="13"/>
  <c r="G3206" i="13"/>
  <c r="G3207" i="13"/>
  <c r="G3208" i="13"/>
  <c r="G3209" i="13"/>
  <c r="G3210" i="13"/>
  <c r="G3211" i="13"/>
  <c r="G3212" i="13"/>
  <c r="G3213" i="13"/>
  <c r="G3214" i="13"/>
  <c r="G3215" i="13"/>
  <c r="G3216" i="13"/>
  <c r="G3217" i="13"/>
  <c r="G3218" i="13"/>
  <c r="G3219" i="13"/>
  <c r="G3220" i="13"/>
  <c r="G3221" i="13"/>
  <c r="G3222" i="13"/>
  <c r="G3223" i="13"/>
  <c r="G3224" i="13"/>
  <c r="G3225" i="13"/>
  <c r="G3226" i="13"/>
  <c r="G3227" i="13"/>
  <c r="G3228" i="13"/>
  <c r="G3229" i="13"/>
  <c r="G3230" i="13"/>
  <c r="G3231" i="13"/>
  <c r="G3232" i="13"/>
  <c r="G3233" i="13"/>
  <c r="G3234" i="13"/>
  <c r="G3235" i="13"/>
  <c r="G3236" i="13"/>
  <c r="G3237" i="13"/>
  <c r="G3238" i="13"/>
  <c r="G3239" i="13"/>
  <c r="G3240" i="13"/>
  <c r="G3241" i="13"/>
  <c r="G3242" i="13"/>
  <c r="G3243" i="13"/>
  <c r="G3244" i="13"/>
  <c r="G3245" i="13"/>
  <c r="G3246" i="13"/>
  <c r="G3247" i="13"/>
  <c r="G3248" i="13"/>
  <c r="G3249" i="13"/>
  <c r="G3250" i="13"/>
  <c r="G3251" i="13"/>
  <c r="G3252" i="13"/>
  <c r="G3253" i="13"/>
  <c r="G3254" i="13"/>
  <c r="G3255" i="13"/>
  <c r="G3256" i="13"/>
  <c r="G3257" i="13"/>
  <c r="G3258" i="13"/>
  <c r="G3259" i="13"/>
  <c r="G3260" i="13"/>
  <c r="G3261" i="13"/>
  <c r="G3262" i="13"/>
  <c r="G3263" i="13"/>
  <c r="G3264" i="13"/>
  <c r="G3265" i="13"/>
  <c r="G3266" i="13"/>
  <c r="G3267" i="13"/>
  <c r="G3268" i="13"/>
  <c r="G3269" i="13"/>
  <c r="G3270" i="13"/>
  <c r="G3271" i="13"/>
  <c r="G3272" i="13"/>
  <c r="G3273" i="13"/>
  <c r="G3274" i="13"/>
  <c r="G3275" i="13"/>
  <c r="G3276" i="13"/>
  <c r="G3277" i="13"/>
  <c r="G3278" i="13"/>
  <c r="G3279" i="13"/>
  <c r="G3280" i="13"/>
  <c r="G3281" i="13"/>
  <c r="G3282" i="13"/>
  <c r="G3283" i="13"/>
  <c r="G3284" i="13"/>
  <c r="G3285" i="13"/>
  <c r="G3286" i="13"/>
  <c r="G3287" i="13"/>
  <c r="G3288" i="13"/>
  <c r="G3289" i="13"/>
  <c r="G3290" i="13"/>
  <c r="G3291" i="13"/>
  <c r="G3292" i="13"/>
  <c r="G3293" i="13"/>
  <c r="G3294" i="13"/>
  <c r="G3295" i="13"/>
  <c r="G3296" i="13"/>
  <c r="G3297" i="13"/>
  <c r="G3298" i="13"/>
  <c r="G3299" i="13"/>
  <c r="G3300" i="13"/>
  <c r="G3301" i="13"/>
  <c r="G3302" i="13"/>
  <c r="G3303" i="13"/>
  <c r="G3304" i="13"/>
  <c r="G3305" i="13"/>
  <c r="G3306" i="13"/>
  <c r="G3307" i="13"/>
  <c r="G3308" i="13"/>
  <c r="G3309" i="13"/>
  <c r="G3310" i="13"/>
  <c r="G3311" i="13"/>
  <c r="G3312" i="13"/>
  <c r="G3313" i="13"/>
  <c r="G3314" i="13"/>
  <c r="G3315" i="13"/>
  <c r="G3316" i="13"/>
  <c r="G3317" i="13"/>
  <c r="G3318" i="13"/>
  <c r="G3319" i="13"/>
  <c r="G3320" i="13"/>
  <c r="G3321" i="13"/>
  <c r="G3322" i="13"/>
  <c r="G3323" i="13"/>
  <c r="G3324" i="13"/>
  <c r="G3325" i="13"/>
  <c r="G3326" i="13"/>
  <c r="G3327" i="13"/>
  <c r="G3328" i="13"/>
  <c r="G3329" i="13"/>
  <c r="G3330" i="13"/>
  <c r="G3331" i="13"/>
  <c r="G3332" i="13"/>
  <c r="G3333" i="13"/>
  <c r="G3334" i="13"/>
  <c r="G3335" i="13"/>
  <c r="G3336" i="13"/>
  <c r="G3337" i="13"/>
  <c r="G3338" i="13"/>
  <c r="G3339" i="13"/>
  <c r="G3340" i="13"/>
  <c r="G3341" i="13"/>
  <c r="G3342" i="13"/>
  <c r="G3343" i="13"/>
  <c r="G3344" i="13"/>
  <c r="G3345" i="13"/>
  <c r="G3346" i="13"/>
  <c r="G3347" i="13"/>
  <c r="G3348" i="13"/>
  <c r="G3349" i="13"/>
  <c r="G3350" i="13"/>
  <c r="G3351" i="13"/>
  <c r="G3352" i="13"/>
  <c r="G3353" i="13"/>
  <c r="G3354" i="13"/>
  <c r="G3355" i="13"/>
  <c r="G3356" i="13"/>
  <c r="G3357" i="13"/>
  <c r="G3358" i="13"/>
  <c r="G3359" i="13"/>
  <c r="G3360" i="13"/>
  <c r="G3361" i="13"/>
  <c r="G3362" i="13"/>
  <c r="G3363" i="13"/>
  <c r="G3364" i="13"/>
  <c r="G3365" i="13"/>
  <c r="G3366" i="13"/>
  <c r="G3367" i="13"/>
  <c r="G3368" i="13"/>
  <c r="G3369" i="13"/>
  <c r="G3370" i="13"/>
  <c r="G3371" i="13"/>
  <c r="G3372" i="13"/>
  <c r="G3373" i="13"/>
  <c r="G3374" i="13"/>
  <c r="G3375" i="13"/>
  <c r="G3376" i="13"/>
  <c r="G3377" i="13"/>
  <c r="G3378" i="13"/>
  <c r="G3379" i="13"/>
  <c r="G3380" i="13"/>
  <c r="G3381" i="13"/>
  <c r="G3382" i="13"/>
  <c r="G3383" i="13"/>
  <c r="G3384" i="13"/>
  <c r="G3385" i="13"/>
  <c r="G3386" i="13"/>
  <c r="G3387" i="13"/>
  <c r="G3388" i="13"/>
  <c r="G3389" i="13"/>
  <c r="G3390" i="13"/>
  <c r="G3391" i="13"/>
  <c r="G3392" i="13"/>
  <c r="G3393" i="13"/>
  <c r="G3394" i="13"/>
  <c r="G3395" i="13"/>
  <c r="G3396" i="13"/>
  <c r="G3397" i="13"/>
  <c r="G3398" i="13"/>
  <c r="G3399" i="13"/>
  <c r="G3400" i="13"/>
  <c r="G3401" i="13"/>
  <c r="G3402" i="13"/>
  <c r="G3403" i="13"/>
  <c r="G3404" i="13"/>
  <c r="G3405" i="13"/>
  <c r="G3406" i="13"/>
  <c r="G3407" i="13"/>
  <c r="G3408" i="13"/>
  <c r="G3409" i="13"/>
  <c r="G3410" i="13"/>
  <c r="G3411" i="13"/>
  <c r="G3412" i="13"/>
  <c r="G3413" i="13"/>
  <c r="G3414" i="13"/>
  <c r="G3415" i="13"/>
  <c r="G3416" i="13"/>
  <c r="G3417" i="13"/>
  <c r="G3418" i="13"/>
  <c r="G3419" i="13"/>
  <c r="G3420" i="13"/>
  <c r="G3421" i="13"/>
  <c r="G3422" i="13"/>
  <c r="G3423" i="13"/>
  <c r="G3424" i="13"/>
  <c r="G3425" i="13"/>
  <c r="G3426" i="13"/>
  <c r="G3427" i="13"/>
  <c r="G3428" i="13"/>
  <c r="G3429" i="13"/>
  <c r="G3430" i="13"/>
  <c r="G3431" i="13"/>
  <c r="G3432" i="13"/>
  <c r="G3433" i="13"/>
  <c r="G3434" i="13"/>
  <c r="G3435" i="13"/>
  <c r="G3436" i="13"/>
  <c r="G3437" i="13"/>
  <c r="G3438" i="13"/>
  <c r="G3439" i="13"/>
  <c r="G3440" i="13"/>
  <c r="G3441" i="13"/>
  <c r="G3442" i="13"/>
  <c r="G3443" i="13"/>
  <c r="G3444" i="13"/>
  <c r="G3445" i="13"/>
  <c r="G3446" i="13"/>
  <c r="G3447" i="13"/>
  <c r="G3448" i="13"/>
  <c r="G3449" i="13"/>
  <c r="G3450" i="13"/>
  <c r="G3451" i="13"/>
  <c r="G3452" i="13"/>
  <c r="G3453" i="13"/>
  <c r="G3454" i="13"/>
  <c r="G3455" i="13"/>
  <c r="G3456" i="13"/>
  <c r="G3457" i="13"/>
  <c r="G3458" i="13"/>
  <c r="G3459" i="13"/>
  <c r="G3460" i="13"/>
  <c r="G3461" i="13"/>
  <c r="G3462" i="13"/>
  <c r="G3463" i="13"/>
  <c r="G3464" i="13"/>
  <c r="G3465" i="13"/>
  <c r="G3466" i="13"/>
  <c r="G3467" i="13"/>
  <c r="G3468" i="13"/>
  <c r="G3469" i="13"/>
  <c r="G3470" i="13"/>
  <c r="G3471" i="13"/>
  <c r="G3472" i="13"/>
  <c r="G3473" i="13"/>
  <c r="G3474" i="13"/>
  <c r="G3475" i="13"/>
  <c r="G3476" i="13"/>
  <c r="G3477" i="13"/>
  <c r="G3478" i="13"/>
  <c r="G3479" i="13"/>
  <c r="G3480" i="13"/>
  <c r="G3481" i="13"/>
  <c r="G3482" i="13"/>
  <c r="G3483" i="13"/>
  <c r="G3484" i="13"/>
  <c r="G3485" i="13"/>
  <c r="G3486" i="13"/>
  <c r="G3487" i="13"/>
  <c r="G3488" i="13"/>
  <c r="G3489" i="13"/>
  <c r="G3490" i="13"/>
  <c r="G3491" i="13"/>
  <c r="G3492" i="13"/>
  <c r="G3493" i="13"/>
  <c r="G3494" i="13"/>
  <c r="G3495" i="13"/>
  <c r="G3496" i="13"/>
  <c r="G3497" i="13"/>
  <c r="G3498" i="13"/>
  <c r="G3499" i="13"/>
  <c r="G3500" i="13"/>
  <c r="G3501" i="13"/>
  <c r="G3502" i="13"/>
  <c r="G3503" i="13"/>
  <c r="G3504" i="13"/>
  <c r="G3505" i="13"/>
  <c r="G3506" i="13"/>
  <c r="G3507" i="13"/>
  <c r="G3508" i="13"/>
  <c r="G3509" i="13"/>
  <c r="G3510" i="13"/>
  <c r="G3511" i="13"/>
  <c r="G3512" i="13"/>
  <c r="G3513" i="13"/>
  <c r="G3514" i="13"/>
  <c r="G3515" i="13"/>
  <c r="G3516" i="13"/>
  <c r="G3517" i="13"/>
  <c r="G3518" i="13"/>
  <c r="G3519" i="13"/>
  <c r="G3520" i="13"/>
  <c r="G3521" i="13"/>
  <c r="G3522" i="13"/>
  <c r="G3523" i="13"/>
  <c r="G3524" i="13"/>
  <c r="G3525" i="13"/>
  <c r="G3526" i="13"/>
  <c r="G3527" i="13"/>
  <c r="G3528" i="13"/>
  <c r="G3529" i="13"/>
  <c r="G3530" i="13"/>
  <c r="G3531" i="13"/>
  <c r="G3532" i="13"/>
  <c r="G3533" i="13"/>
  <c r="G3534" i="13"/>
  <c r="G3535" i="13"/>
  <c r="G3536" i="13"/>
  <c r="G3537" i="13"/>
  <c r="G3538" i="13"/>
  <c r="G3539" i="13"/>
  <c r="G3540" i="13"/>
  <c r="G3541" i="13"/>
  <c r="G3542" i="13"/>
  <c r="G3543" i="13"/>
  <c r="G3544" i="13"/>
  <c r="G3545" i="13"/>
  <c r="G3546" i="13"/>
  <c r="G3547" i="13"/>
  <c r="G3548" i="13"/>
  <c r="G3549" i="13"/>
  <c r="G3550" i="13"/>
  <c r="G3551" i="13"/>
  <c r="G3552" i="13"/>
  <c r="G3553" i="13"/>
  <c r="G3554" i="13"/>
  <c r="G3555" i="13"/>
  <c r="G3556" i="13"/>
  <c r="G3557" i="13"/>
  <c r="G3558" i="13"/>
  <c r="G3559" i="13"/>
  <c r="G3560" i="13"/>
  <c r="G3561" i="13"/>
  <c r="G3562" i="13"/>
  <c r="G3563" i="13"/>
  <c r="G3564" i="13"/>
  <c r="G3565" i="13"/>
  <c r="G3566" i="13"/>
  <c r="G3567" i="13"/>
  <c r="G3568" i="13"/>
  <c r="G3569" i="13"/>
  <c r="G3570" i="13"/>
  <c r="G3571" i="13"/>
  <c r="G3572" i="13"/>
  <c r="G3573" i="13"/>
  <c r="G3574" i="13"/>
  <c r="G3575" i="13"/>
  <c r="G3576" i="13"/>
  <c r="G3577" i="13"/>
  <c r="G3578" i="13"/>
  <c r="G3579" i="13"/>
  <c r="G3580" i="13"/>
  <c r="G3581" i="13"/>
  <c r="G3582" i="13"/>
  <c r="G3583" i="13"/>
  <c r="G3584" i="13"/>
  <c r="G3585" i="13"/>
  <c r="G3586" i="13"/>
  <c r="G3587" i="13"/>
  <c r="G3588" i="13"/>
  <c r="G3589" i="13"/>
  <c r="G3590" i="13"/>
  <c r="G3591" i="13"/>
  <c r="G3592" i="13"/>
  <c r="G3593" i="13"/>
  <c r="G3594" i="13"/>
  <c r="G3595" i="13"/>
  <c r="G3596" i="13"/>
  <c r="G3597" i="13"/>
  <c r="G3598" i="13"/>
  <c r="G3599" i="13"/>
  <c r="G3600" i="13"/>
  <c r="G3601" i="13"/>
  <c r="G3602" i="13"/>
  <c r="G3603" i="13"/>
  <c r="G3604" i="13"/>
  <c r="G3605" i="13"/>
  <c r="G3606" i="13"/>
  <c r="G3607" i="13"/>
  <c r="G3608" i="13"/>
  <c r="G3609" i="13"/>
  <c r="G3610" i="13"/>
  <c r="G3611" i="13"/>
  <c r="G3612" i="13"/>
  <c r="G3613" i="13"/>
  <c r="G3614" i="13"/>
  <c r="G3615" i="13"/>
  <c r="G3616" i="13"/>
  <c r="G3617" i="13"/>
  <c r="G3618" i="13"/>
  <c r="G3619" i="13"/>
  <c r="G3620" i="13"/>
  <c r="G3621" i="13"/>
  <c r="G3622" i="13"/>
  <c r="G3623" i="13"/>
  <c r="G3624" i="13"/>
  <c r="G3625" i="13"/>
  <c r="G3626" i="13"/>
  <c r="G3627" i="13"/>
  <c r="G3628" i="13"/>
  <c r="G3629" i="13"/>
  <c r="G3630" i="13"/>
  <c r="G3631" i="13"/>
  <c r="G3632" i="13"/>
  <c r="G3633" i="13"/>
  <c r="G3634" i="13"/>
  <c r="G3635" i="13"/>
  <c r="G3636" i="13"/>
  <c r="G3637" i="13"/>
  <c r="G3638" i="13"/>
  <c r="G3639" i="13"/>
  <c r="G3640" i="13"/>
  <c r="G3641" i="13"/>
  <c r="G3642" i="13"/>
  <c r="G3643" i="13"/>
  <c r="G3644" i="13"/>
  <c r="G3645" i="13"/>
  <c r="G3646" i="13"/>
  <c r="G3647" i="13"/>
  <c r="G3648" i="13"/>
  <c r="G3649" i="13"/>
  <c r="G3650" i="13"/>
  <c r="G3651" i="13"/>
  <c r="G3652" i="13"/>
  <c r="G3653" i="13"/>
  <c r="G3654" i="13"/>
  <c r="G3655" i="13"/>
  <c r="G3656" i="13"/>
  <c r="G3657" i="13"/>
  <c r="G3658" i="13"/>
  <c r="G3659" i="13"/>
  <c r="G3660" i="13"/>
  <c r="G3661" i="13"/>
  <c r="G3662" i="13"/>
  <c r="G3663" i="13"/>
  <c r="G3664" i="13"/>
  <c r="G3665" i="13"/>
  <c r="G3666" i="13"/>
  <c r="G3667" i="13"/>
  <c r="G3668" i="13"/>
  <c r="G3669" i="13"/>
  <c r="G3670" i="13"/>
  <c r="G3671" i="13"/>
  <c r="G3672" i="13"/>
  <c r="G3673" i="13"/>
  <c r="G3674" i="13"/>
  <c r="G3675" i="13"/>
  <c r="G3676" i="13"/>
  <c r="G3677" i="13"/>
  <c r="G3678" i="13"/>
  <c r="G3679" i="13"/>
  <c r="G3680" i="13"/>
  <c r="G3681" i="13"/>
  <c r="G3682" i="13"/>
  <c r="G3683" i="13"/>
  <c r="G3684" i="13"/>
  <c r="G3685" i="13"/>
  <c r="G3686" i="13"/>
  <c r="G3687" i="13"/>
  <c r="G3688" i="13"/>
  <c r="G3689" i="13"/>
  <c r="G3690" i="13"/>
  <c r="G3691" i="13"/>
  <c r="G3692" i="13"/>
  <c r="G3693" i="13"/>
  <c r="G3694" i="13"/>
  <c r="G3695" i="13"/>
  <c r="G3696" i="13"/>
  <c r="G3697" i="13"/>
  <c r="G3698" i="13"/>
  <c r="G3699" i="13"/>
  <c r="G3700" i="13"/>
  <c r="G3701" i="13"/>
  <c r="G3702" i="13"/>
  <c r="G3703" i="13"/>
  <c r="G3704" i="13"/>
  <c r="G3705" i="13"/>
  <c r="G3706" i="13"/>
  <c r="G3707" i="13"/>
  <c r="G3708" i="13"/>
  <c r="G3709" i="13"/>
  <c r="G3710" i="13"/>
  <c r="G3711" i="13"/>
  <c r="G3712" i="13"/>
  <c r="G3713" i="13"/>
  <c r="G3714" i="13"/>
  <c r="G3715" i="13"/>
  <c r="G3716" i="13"/>
  <c r="G3717" i="13"/>
  <c r="G3718" i="13"/>
  <c r="G3719" i="13"/>
  <c r="G3720" i="13"/>
  <c r="G3721" i="13"/>
  <c r="G3722" i="13"/>
  <c r="G3723" i="13"/>
  <c r="G3724" i="13"/>
  <c r="G3725" i="13"/>
  <c r="G3726" i="13"/>
  <c r="G3727" i="13"/>
  <c r="G3728" i="13"/>
  <c r="G3729" i="13"/>
  <c r="G3730" i="13"/>
  <c r="G3731" i="13"/>
  <c r="G3732" i="13"/>
  <c r="G3733" i="13"/>
  <c r="G3734" i="13"/>
  <c r="G3735" i="13"/>
  <c r="G3736" i="13"/>
  <c r="G3737" i="13"/>
  <c r="G3738" i="13"/>
  <c r="G3739" i="13"/>
  <c r="G3740" i="13"/>
  <c r="G3741" i="13"/>
  <c r="G3742" i="13"/>
  <c r="G3743" i="13"/>
  <c r="G3744" i="13"/>
  <c r="G3745" i="13"/>
  <c r="G3746" i="13"/>
  <c r="G3747" i="13"/>
  <c r="G3748" i="13"/>
  <c r="G3749" i="13"/>
  <c r="G3750" i="13"/>
  <c r="G3751" i="13"/>
  <c r="G3752" i="13"/>
  <c r="G3753" i="13"/>
  <c r="G3754" i="13"/>
  <c r="G3755" i="13"/>
  <c r="G3756" i="13"/>
  <c r="G3757" i="13"/>
  <c r="G3758" i="13"/>
  <c r="G3759" i="13"/>
  <c r="G3760" i="13"/>
  <c r="G3761" i="13"/>
  <c r="G3762" i="13"/>
  <c r="G3763" i="13"/>
  <c r="G3764" i="13"/>
  <c r="G3765" i="13"/>
  <c r="G3766" i="13"/>
  <c r="G3767" i="13"/>
  <c r="G3768" i="13"/>
  <c r="G3769" i="13"/>
  <c r="G3770" i="13"/>
  <c r="G3771" i="13"/>
  <c r="G3772" i="13"/>
  <c r="G3773" i="13"/>
  <c r="G3774" i="13"/>
  <c r="G3775" i="13"/>
  <c r="G3776" i="13"/>
  <c r="G3777" i="13"/>
  <c r="G3778" i="13"/>
  <c r="G3779" i="13"/>
  <c r="G3780" i="13"/>
  <c r="G3781" i="13"/>
  <c r="G3782" i="13"/>
  <c r="G3783" i="13"/>
  <c r="G3784" i="13"/>
  <c r="G3785" i="13"/>
  <c r="G3786" i="13"/>
  <c r="G3787" i="13"/>
  <c r="G3788" i="13"/>
  <c r="G3789" i="13"/>
  <c r="G3790" i="13"/>
  <c r="G3791" i="13"/>
  <c r="G3792" i="13"/>
  <c r="G3793" i="13"/>
  <c r="G3794" i="13"/>
  <c r="G3795" i="13"/>
  <c r="G3796" i="13"/>
  <c r="G3797" i="13"/>
  <c r="G3798" i="13"/>
  <c r="G3799" i="13"/>
  <c r="G3800" i="13"/>
  <c r="G3801" i="13"/>
  <c r="G3802" i="13"/>
  <c r="G3803" i="13"/>
  <c r="G3804" i="13"/>
  <c r="G3805" i="13"/>
  <c r="G3806" i="13"/>
  <c r="G3807" i="13"/>
  <c r="G3808" i="13"/>
  <c r="G3809" i="13"/>
  <c r="G3810" i="13"/>
  <c r="G3811" i="13"/>
  <c r="G3812" i="13"/>
  <c r="G3813" i="13"/>
  <c r="G3814" i="13"/>
  <c r="G3815" i="13"/>
  <c r="G3816" i="13"/>
  <c r="G3817" i="13"/>
  <c r="G3818" i="13"/>
  <c r="G3819" i="13"/>
  <c r="G3820" i="13"/>
  <c r="G3821" i="13"/>
  <c r="G3822" i="13"/>
  <c r="G3823" i="13"/>
  <c r="G3824" i="13"/>
  <c r="G3825" i="13"/>
  <c r="G3826" i="13"/>
  <c r="G3827" i="13"/>
  <c r="G3828" i="13"/>
  <c r="G3829" i="13"/>
  <c r="G3830" i="13"/>
  <c r="G3831" i="13"/>
  <c r="G3832" i="13"/>
  <c r="G3833" i="13"/>
  <c r="G3834" i="13"/>
  <c r="G3835" i="13"/>
  <c r="G3836" i="13"/>
  <c r="G3837" i="13"/>
  <c r="G3838" i="13"/>
  <c r="G3839" i="13"/>
  <c r="G3840" i="13"/>
  <c r="G3841" i="13"/>
  <c r="G3842" i="13"/>
  <c r="G3843" i="13"/>
  <c r="G3844" i="13"/>
  <c r="G3845" i="13"/>
  <c r="G3846" i="13"/>
  <c r="G3847" i="13"/>
  <c r="G3848" i="13"/>
  <c r="G3849" i="13"/>
  <c r="G3850" i="13"/>
  <c r="G3851" i="13"/>
  <c r="G3852" i="13"/>
  <c r="G3853" i="13"/>
  <c r="G3854" i="13"/>
  <c r="G3855" i="13"/>
  <c r="G3856" i="13"/>
  <c r="G3857" i="13"/>
  <c r="G3858" i="13"/>
  <c r="G3859" i="13"/>
  <c r="G3860" i="13"/>
  <c r="G3861" i="13"/>
  <c r="G3862" i="13"/>
  <c r="G3863" i="13"/>
  <c r="G3864" i="13"/>
  <c r="G3865" i="13"/>
  <c r="G3866" i="13"/>
  <c r="G3867" i="13"/>
  <c r="G3868" i="13"/>
  <c r="G3869" i="13"/>
  <c r="G3870" i="13"/>
  <c r="G3871" i="13"/>
  <c r="G3872" i="13"/>
  <c r="G3873" i="13"/>
  <c r="G3874" i="13"/>
  <c r="G3875" i="13"/>
  <c r="G3876" i="13"/>
  <c r="G3877" i="13"/>
  <c r="G3878" i="13"/>
  <c r="G3879" i="13"/>
  <c r="G3880" i="13"/>
  <c r="G3881" i="13"/>
  <c r="G3882" i="13"/>
  <c r="G3883" i="13"/>
  <c r="G3884" i="13"/>
  <c r="G3885" i="13"/>
  <c r="G3886" i="13"/>
  <c r="G3887" i="13"/>
  <c r="G3888" i="13"/>
  <c r="G3889" i="13"/>
  <c r="G3890" i="13"/>
  <c r="G3891" i="13"/>
  <c r="G3892" i="13"/>
  <c r="G3893" i="13"/>
  <c r="G3894" i="13"/>
  <c r="G3895" i="13"/>
  <c r="G3896" i="13"/>
  <c r="G3897" i="13"/>
  <c r="G3898" i="13"/>
  <c r="G3899" i="13"/>
  <c r="G3900" i="13"/>
  <c r="G3901" i="13"/>
  <c r="G3902" i="13"/>
  <c r="G3903" i="13"/>
  <c r="G3904" i="13"/>
  <c r="G3905" i="13"/>
  <c r="G3906" i="13"/>
  <c r="G3907" i="13"/>
  <c r="G3908" i="13"/>
  <c r="G3909" i="13"/>
  <c r="G3910" i="13"/>
  <c r="G3911" i="13"/>
  <c r="G3912" i="13"/>
  <c r="G3913" i="13"/>
  <c r="G3914" i="13"/>
  <c r="G3915" i="13"/>
  <c r="G3916" i="13"/>
  <c r="G3917" i="13"/>
  <c r="G3918" i="13"/>
  <c r="G3919" i="13"/>
  <c r="G3920" i="13"/>
  <c r="G3921" i="13"/>
  <c r="G3922" i="13"/>
  <c r="G3923" i="13"/>
  <c r="G3924" i="13"/>
  <c r="G3925" i="13"/>
  <c r="G3926" i="13"/>
  <c r="G3927" i="13"/>
  <c r="G3928" i="13"/>
  <c r="G3929" i="13"/>
  <c r="G3930" i="13"/>
  <c r="G3931" i="13"/>
  <c r="G3932" i="13"/>
  <c r="G3933" i="13"/>
  <c r="G3934" i="13"/>
  <c r="G3935" i="13"/>
  <c r="G3936" i="13"/>
  <c r="G3937" i="13"/>
  <c r="G3938" i="13"/>
  <c r="G3939" i="13"/>
  <c r="G3940" i="13"/>
  <c r="G3941" i="13"/>
  <c r="G3942" i="13"/>
  <c r="G3943" i="13"/>
  <c r="G3944" i="13"/>
  <c r="G3945" i="13"/>
  <c r="G3946" i="13"/>
  <c r="G3947" i="13"/>
  <c r="G3948" i="13"/>
  <c r="G3949" i="13"/>
  <c r="G3950" i="13"/>
  <c r="G3951" i="13"/>
  <c r="G3952" i="13"/>
  <c r="G3953" i="13"/>
  <c r="G3954" i="13"/>
  <c r="G3955" i="13"/>
  <c r="G3956" i="13"/>
  <c r="G3957" i="13"/>
  <c r="G3958" i="13"/>
  <c r="G3959" i="13"/>
  <c r="G3960" i="13"/>
  <c r="G3961" i="13"/>
  <c r="G3962" i="13"/>
  <c r="G3963" i="13"/>
  <c r="G3964" i="13"/>
  <c r="G3965" i="13"/>
  <c r="G3966" i="13"/>
  <c r="G3967" i="13"/>
  <c r="G3968" i="13"/>
  <c r="G3969" i="13"/>
  <c r="G3970" i="13"/>
  <c r="G3971" i="13"/>
  <c r="G3972" i="13"/>
  <c r="G3973" i="13"/>
  <c r="G3974" i="13"/>
  <c r="G3975" i="13"/>
  <c r="G3976" i="13"/>
  <c r="G3977" i="13"/>
  <c r="G3978" i="13"/>
  <c r="G3979" i="13"/>
  <c r="G3980" i="13"/>
  <c r="G3981" i="13"/>
  <c r="G3982" i="13"/>
  <c r="G3983" i="13"/>
  <c r="G3984" i="13"/>
  <c r="G3985" i="13"/>
  <c r="G3986" i="13"/>
  <c r="G3987" i="13"/>
  <c r="G3988" i="13"/>
  <c r="G3989" i="13"/>
  <c r="G3990" i="13"/>
  <c r="G3991" i="13"/>
  <c r="G3992" i="13"/>
  <c r="G3993" i="13"/>
  <c r="G3994" i="13"/>
  <c r="G3995" i="13"/>
  <c r="G3996" i="13"/>
  <c r="G3997" i="13"/>
  <c r="G3998" i="13"/>
  <c r="G3999" i="13"/>
  <c r="G4000" i="13"/>
  <c r="G4001" i="13"/>
  <c r="G4002" i="13"/>
  <c r="G4003" i="13"/>
  <c r="G4004" i="13"/>
  <c r="G4005" i="13"/>
  <c r="G4006" i="13"/>
  <c r="G4007" i="13"/>
  <c r="G4008" i="13"/>
  <c r="G4009" i="13"/>
  <c r="G4010" i="13"/>
  <c r="G4011" i="13"/>
  <c r="G4012" i="13"/>
  <c r="G4013" i="13"/>
  <c r="G4014" i="13"/>
  <c r="G4015" i="13"/>
  <c r="G4016" i="13"/>
  <c r="G4017" i="13"/>
  <c r="G4018" i="13"/>
  <c r="G4019" i="13"/>
  <c r="G4020" i="13"/>
  <c r="G4021" i="13"/>
  <c r="G4022" i="13"/>
  <c r="G4023" i="13"/>
  <c r="G4024" i="13"/>
  <c r="G4025" i="13"/>
  <c r="G4026" i="13"/>
  <c r="G4027" i="13"/>
  <c r="G4028" i="13"/>
  <c r="G4029" i="13"/>
  <c r="G4030" i="13"/>
  <c r="G4031" i="13"/>
  <c r="G4032" i="13"/>
  <c r="G4033" i="13"/>
  <c r="G4034" i="13"/>
  <c r="G4035" i="13"/>
  <c r="G4036" i="13"/>
  <c r="G4037" i="13"/>
  <c r="G4038" i="13"/>
  <c r="G4039" i="13"/>
  <c r="G4040" i="13"/>
  <c r="G4041" i="13"/>
  <c r="G4042" i="13"/>
  <c r="G4043" i="13"/>
  <c r="G4044" i="13"/>
  <c r="G4045" i="13"/>
  <c r="G4046" i="13"/>
  <c r="G4047" i="13"/>
  <c r="G4048" i="13"/>
  <c r="G4049" i="13"/>
  <c r="G4050" i="13"/>
  <c r="G4051" i="13"/>
  <c r="G4052" i="13"/>
  <c r="G4053" i="13"/>
  <c r="G4054" i="13"/>
  <c r="G4055" i="13"/>
  <c r="G4056" i="13"/>
  <c r="G4057" i="13"/>
  <c r="G4058" i="13"/>
  <c r="G4059" i="13"/>
  <c r="G4060" i="13"/>
  <c r="G4061" i="13"/>
  <c r="G4062" i="13"/>
  <c r="G4063" i="13"/>
  <c r="G4064" i="13"/>
  <c r="G4065" i="13"/>
  <c r="G4066" i="13"/>
  <c r="G4067" i="13"/>
  <c r="G4068" i="13"/>
  <c r="G4069" i="13"/>
  <c r="G4070" i="13"/>
  <c r="G4071" i="13"/>
  <c r="G4072" i="13"/>
  <c r="G4073" i="13"/>
  <c r="G4074" i="13"/>
  <c r="G4075" i="13"/>
  <c r="G4076" i="13"/>
  <c r="G4077" i="13"/>
  <c r="G4078" i="13"/>
  <c r="G4079" i="13"/>
  <c r="G4080" i="13"/>
  <c r="G4081" i="13"/>
  <c r="G4082" i="13"/>
  <c r="G4083" i="13"/>
  <c r="G4084" i="13"/>
  <c r="G4085" i="13"/>
  <c r="G4086" i="13"/>
  <c r="G4087" i="13"/>
  <c r="G4088" i="13"/>
  <c r="G4089" i="13"/>
  <c r="G4090" i="13"/>
  <c r="G4091" i="13"/>
  <c r="G4092" i="13"/>
  <c r="G4093" i="13"/>
  <c r="G4094" i="13"/>
  <c r="G4095" i="13"/>
  <c r="G4096" i="13"/>
  <c r="G4097" i="13"/>
  <c r="G4098" i="13"/>
  <c r="G4099" i="13"/>
  <c r="G4100" i="13"/>
  <c r="G4101" i="13"/>
  <c r="G4102" i="13"/>
  <c r="G4103" i="13"/>
  <c r="G4104" i="13"/>
  <c r="G4105" i="13"/>
  <c r="G4106" i="13"/>
  <c r="G4107" i="13"/>
  <c r="G4108" i="13"/>
  <c r="G4109" i="13"/>
  <c r="G4110" i="13"/>
  <c r="G4111" i="13"/>
  <c r="G4112" i="13"/>
  <c r="G4113" i="13"/>
  <c r="G4114" i="13"/>
  <c r="G4115" i="13"/>
  <c r="G4116" i="13"/>
  <c r="G4117" i="13"/>
  <c r="G4118" i="13"/>
  <c r="G4119" i="13"/>
  <c r="G4120" i="13"/>
  <c r="G4121" i="13"/>
  <c r="G4122" i="13"/>
  <c r="G4123" i="13"/>
  <c r="G4124" i="13"/>
  <c r="G4125" i="13"/>
  <c r="G4126" i="13"/>
  <c r="G4127" i="13"/>
  <c r="G4128" i="13"/>
  <c r="G4129" i="13"/>
  <c r="G4130" i="13"/>
  <c r="G4131" i="13"/>
  <c r="G4132" i="13"/>
  <c r="G4133" i="13"/>
  <c r="G4134" i="13"/>
  <c r="G4135" i="13"/>
  <c r="G4136" i="13"/>
  <c r="G4137" i="13"/>
  <c r="G4138" i="13"/>
  <c r="G4139" i="13"/>
  <c r="G4140" i="13"/>
  <c r="G4141" i="13"/>
  <c r="G4142" i="13"/>
  <c r="G4143" i="13"/>
  <c r="G4144" i="13"/>
  <c r="G4145" i="13"/>
  <c r="G4146" i="13"/>
  <c r="G4147" i="13"/>
  <c r="G4148" i="13"/>
  <c r="G4149" i="13"/>
  <c r="G4150" i="13"/>
  <c r="G4151" i="13"/>
  <c r="G4152" i="13"/>
  <c r="G4153" i="13"/>
  <c r="G4154" i="13"/>
  <c r="G4155" i="13"/>
  <c r="G4156" i="13"/>
  <c r="G4157" i="13"/>
  <c r="G4158" i="13"/>
  <c r="G4159" i="13"/>
  <c r="G4160" i="13"/>
  <c r="G4161" i="13"/>
  <c r="G4162" i="13"/>
  <c r="G4163" i="13"/>
  <c r="G4164" i="13"/>
  <c r="G4165" i="13"/>
  <c r="G4166" i="13"/>
  <c r="G4167" i="13"/>
  <c r="G4168" i="13"/>
  <c r="G4169" i="13"/>
  <c r="G4170" i="13"/>
  <c r="G4171" i="13"/>
  <c r="G4172" i="13"/>
  <c r="G4173" i="13"/>
  <c r="G4174" i="13"/>
  <c r="G4175" i="13"/>
  <c r="G4176" i="13"/>
  <c r="G4177" i="13"/>
  <c r="G4178" i="13"/>
  <c r="G4179" i="13"/>
  <c r="G4180" i="13"/>
  <c r="G4181" i="13"/>
  <c r="G4182" i="13"/>
  <c r="G4183" i="13"/>
  <c r="G4184" i="13"/>
  <c r="G4185" i="13"/>
  <c r="G4186" i="13"/>
  <c r="G4187" i="13"/>
  <c r="G4188" i="13"/>
  <c r="G4189" i="13"/>
  <c r="G4190" i="13"/>
  <c r="G4191" i="13"/>
  <c r="G4192" i="13"/>
  <c r="G4193" i="13"/>
  <c r="G4194" i="13"/>
  <c r="G4195" i="13"/>
  <c r="G4196" i="13"/>
  <c r="G4197" i="13"/>
  <c r="G4198" i="13"/>
  <c r="G4199" i="13"/>
  <c r="G4200" i="13"/>
  <c r="G4201" i="13"/>
  <c r="G4202" i="13"/>
  <c r="G4203" i="13"/>
  <c r="G4204" i="13"/>
  <c r="G4205" i="13"/>
  <c r="G4206" i="13"/>
  <c r="G4207" i="13"/>
  <c r="G4208" i="13"/>
  <c r="G4209" i="13"/>
  <c r="G4210" i="13"/>
  <c r="G4211" i="13"/>
  <c r="G4212" i="13"/>
  <c r="G4213" i="13"/>
  <c r="G4214" i="13"/>
  <c r="G4215" i="13"/>
  <c r="G4216" i="13"/>
  <c r="G4217" i="13"/>
  <c r="G4218" i="13"/>
  <c r="G4219" i="13"/>
  <c r="G4220" i="13"/>
  <c r="G4221" i="13"/>
  <c r="G4222" i="13"/>
  <c r="G4223" i="13"/>
  <c r="G4224" i="13"/>
  <c r="G4225" i="13"/>
  <c r="G4226" i="13"/>
  <c r="G4227" i="13"/>
  <c r="G4228" i="13"/>
  <c r="G4229" i="13"/>
  <c r="G4230" i="13"/>
  <c r="G4231" i="13"/>
  <c r="G4232" i="13"/>
  <c r="G4233" i="13"/>
  <c r="G4234" i="13"/>
  <c r="G4235" i="13"/>
  <c r="G4236" i="13"/>
  <c r="G4237" i="13"/>
  <c r="G4238" i="13"/>
  <c r="G4239" i="13"/>
  <c r="G4240" i="13"/>
  <c r="G4241" i="13"/>
  <c r="G4242" i="13"/>
  <c r="G4243" i="13"/>
  <c r="G4244" i="13"/>
  <c r="G4245" i="13"/>
  <c r="G4246" i="13"/>
  <c r="G4247" i="13"/>
  <c r="G4248" i="13"/>
  <c r="G4249" i="13"/>
  <c r="G4250" i="13"/>
  <c r="G4251" i="13"/>
  <c r="G4252" i="13"/>
  <c r="G4253" i="13"/>
  <c r="G4254" i="13"/>
  <c r="G4255" i="13"/>
  <c r="G4256" i="13"/>
  <c r="G4257" i="13"/>
  <c r="G4258" i="13"/>
  <c r="G4259" i="13"/>
  <c r="G4260" i="13"/>
  <c r="G4261" i="13"/>
  <c r="G4262" i="13"/>
  <c r="G4263" i="13"/>
  <c r="G4264" i="13"/>
  <c r="G4265" i="13"/>
  <c r="G4266" i="13"/>
  <c r="G4267" i="13"/>
  <c r="G4268" i="13"/>
  <c r="G4269" i="13"/>
  <c r="G4270" i="13"/>
  <c r="G4271" i="13"/>
  <c r="G4272" i="13"/>
  <c r="G4273" i="13"/>
  <c r="G4274" i="13"/>
  <c r="G4275" i="13"/>
  <c r="G4276" i="13"/>
  <c r="G4277" i="13"/>
  <c r="G4278" i="13"/>
  <c r="G4279" i="13"/>
  <c r="G4280" i="13"/>
  <c r="G4281" i="13"/>
  <c r="G4282" i="13"/>
  <c r="G4283" i="13"/>
  <c r="G4284" i="13"/>
  <c r="G4285" i="13"/>
  <c r="G4286" i="13"/>
  <c r="G4287" i="13"/>
  <c r="G4288" i="13"/>
  <c r="G4289" i="13"/>
  <c r="G4290" i="13"/>
  <c r="G4291" i="13"/>
  <c r="G4292" i="13"/>
  <c r="G4293" i="13"/>
  <c r="G4294" i="13"/>
  <c r="G4295" i="13"/>
  <c r="G4296" i="13"/>
  <c r="G4297" i="13"/>
  <c r="G4298" i="13"/>
  <c r="G4299" i="13"/>
  <c r="G4300" i="13"/>
  <c r="G4301" i="13"/>
  <c r="G4302" i="13"/>
  <c r="G4303" i="13"/>
  <c r="G4304" i="13"/>
  <c r="G4305" i="13"/>
  <c r="G4306" i="13"/>
  <c r="G4307" i="13"/>
  <c r="G4308" i="13"/>
  <c r="G4309" i="13"/>
  <c r="G4310" i="13"/>
  <c r="G4311" i="13"/>
  <c r="G4312" i="13"/>
  <c r="G4313" i="13"/>
  <c r="G4314" i="13"/>
  <c r="G4315" i="13"/>
  <c r="G4316" i="13"/>
  <c r="G4317" i="13"/>
  <c r="G4318" i="13"/>
  <c r="G4319" i="13"/>
  <c r="G4320" i="13"/>
  <c r="G4321" i="13"/>
  <c r="G4322" i="13"/>
  <c r="G4323" i="13"/>
  <c r="G4324" i="13"/>
  <c r="G4325" i="13"/>
  <c r="G4326" i="13"/>
  <c r="G4327" i="13"/>
  <c r="G4328" i="13"/>
  <c r="G4329" i="13"/>
  <c r="G4330" i="13"/>
  <c r="G4331" i="13"/>
  <c r="G4332" i="13"/>
  <c r="G4333" i="13"/>
  <c r="G4334" i="13"/>
  <c r="G4335" i="13"/>
  <c r="G4336" i="13"/>
  <c r="G4337" i="13"/>
  <c r="G4338" i="13"/>
  <c r="G4339" i="13"/>
  <c r="G4340" i="13"/>
  <c r="G4341" i="13"/>
  <c r="G4342" i="13"/>
  <c r="G4343" i="13"/>
  <c r="G4344" i="13"/>
  <c r="G4345" i="13"/>
  <c r="G4346" i="13"/>
  <c r="G4347" i="13"/>
  <c r="G4348" i="13"/>
  <c r="G4349" i="13"/>
  <c r="G4350" i="13"/>
  <c r="G4351" i="13"/>
  <c r="G4352" i="13"/>
  <c r="G4353" i="13"/>
  <c r="G4354" i="13"/>
  <c r="G4355" i="13"/>
  <c r="G4356" i="13"/>
  <c r="G4357" i="13"/>
  <c r="G4358" i="13"/>
  <c r="G4359" i="13"/>
  <c r="G4360" i="13"/>
  <c r="G4361" i="13"/>
  <c r="G4362" i="13"/>
  <c r="G4363" i="13"/>
  <c r="G4364" i="13"/>
  <c r="G4365" i="13"/>
  <c r="G4366" i="13"/>
  <c r="G4367" i="13"/>
  <c r="G4368" i="13"/>
  <c r="G4369" i="13"/>
  <c r="G4370" i="13"/>
  <c r="G4371" i="13"/>
  <c r="G4372" i="13"/>
  <c r="G4373" i="13"/>
  <c r="G4374" i="13"/>
  <c r="G4375" i="13"/>
  <c r="G4376" i="13"/>
  <c r="G4377" i="13"/>
  <c r="G4378" i="13"/>
  <c r="G4379" i="13"/>
  <c r="G4380" i="13"/>
  <c r="G4381" i="13"/>
  <c r="G4382" i="13"/>
  <c r="G4383" i="13"/>
  <c r="G4384" i="13"/>
  <c r="G4385" i="13"/>
  <c r="G4386" i="13"/>
  <c r="G4387" i="13"/>
  <c r="G4388" i="13"/>
  <c r="G4389" i="13"/>
  <c r="G4390" i="13"/>
  <c r="G4391" i="13"/>
  <c r="G4392" i="13"/>
  <c r="G4393" i="13"/>
  <c r="G4394" i="13"/>
  <c r="G4395" i="13"/>
  <c r="G4396" i="13"/>
  <c r="G4397" i="13"/>
  <c r="G4398" i="13"/>
  <c r="G4399" i="13"/>
  <c r="G4400" i="13"/>
  <c r="G4401" i="13"/>
  <c r="G4402" i="13"/>
  <c r="G4403" i="13"/>
  <c r="G4404" i="13"/>
  <c r="G4405" i="13"/>
  <c r="G4406" i="13"/>
  <c r="G4407" i="13"/>
  <c r="G4408" i="13"/>
  <c r="G4409" i="13"/>
  <c r="G4410" i="13"/>
  <c r="G4411" i="13"/>
  <c r="G4412" i="13"/>
  <c r="G4413" i="13"/>
  <c r="G4414" i="13"/>
  <c r="G4415" i="13"/>
  <c r="G4416" i="13"/>
  <c r="G4417" i="13"/>
  <c r="G4418" i="13"/>
  <c r="G4419" i="13"/>
  <c r="G4420" i="13"/>
  <c r="G4421" i="13"/>
  <c r="G4422" i="13"/>
  <c r="G4423" i="13"/>
  <c r="G4424" i="13"/>
  <c r="G4425" i="13"/>
  <c r="G4426" i="13"/>
  <c r="G4427" i="13"/>
  <c r="G4428" i="13"/>
  <c r="G4429" i="13"/>
  <c r="G4430" i="13"/>
  <c r="G4431" i="13"/>
  <c r="G4432" i="13"/>
  <c r="G4433" i="13"/>
  <c r="G4434" i="13"/>
  <c r="G4435" i="13"/>
  <c r="G4436" i="13"/>
  <c r="G4437" i="13"/>
  <c r="G4438" i="13"/>
  <c r="G4439" i="13"/>
  <c r="G4440" i="13"/>
  <c r="G4441" i="13"/>
  <c r="G4442" i="13"/>
  <c r="G4443" i="13"/>
  <c r="G4444" i="13"/>
  <c r="G4445" i="13"/>
  <c r="G4446" i="13"/>
  <c r="G4447" i="13"/>
  <c r="G4448" i="13"/>
  <c r="G4449" i="13"/>
  <c r="G4450" i="13"/>
  <c r="G4451" i="13"/>
  <c r="G4452" i="13"/>
  <c r="G4453" i="13"/>
  <c r="G4454" i="13"/>
  <c r="G4455" i="13"/>
  <c r="G4456" i="13"/>
  <c r="G4457" i="13"/>
  <c r="G4458" i="13"/>
  <c r="G4459" i="13"/>
  <c r="G4460" i="13"/>
  <c r="G4461" i="13"/>
  <c r="G4462" i="13"/>
  <c r="G4463" i="13"/>
  <c r="G4464" i="13"/>
  <c r="G4465" i="13"/>
  <c r="G4466" i="13"/>
  <c r="G4467" i="13"/>
  <c r="G4468" i="13"/>
  <c r="G4469" i="13"/>
  <c r="G4470" i="13"/>
  <c r="G4471" i="13"/>
  <c r="G4472" i="13"/>
  <c r="G4473" i="13"/>
  <c r="G4474" i="13"/>
  <c r="G4475" i="13"/>
  <c r="G4476" i="13"/>
  <c r="G4477" i="13"/>
  <c r="G4478" i="13"/>
  <c r="G4479" i="13"/>
  <c r="G4480" i="13"/>
  <c r="G4481" i="13"/>
  <c r="G4482" i="13"/>
  <c r="G4483" i="13"/>
  <c r="G4484" i="13"/>
  <c r="G4485" i="13"/>
  <c r="G4486" i="13"/>
  <c r="G4487" i="13"/>
  <c r="G4488" i="13"/>
  <c r="G4489" i="13"/>
  <c r="G4490" i="13"/>
  <c r="G4491" i="13"/>
  <c r="G4492" i="13"/>
  <c r="G4493" i="13"/>
  <c r="G4494" i="13"/>
  <c r="G4495" i="13"/>
  <c r="G4496" i="13"/>
  <c r="G4497" i="13"/>
  <c r="G4498" i="13"/>
  <c r="G4499" i="13"/>
  <c r="G4500" i="13"/>
  <c r="G4501" i="13"/>
  <c r="G4502" i="13"/>
  <c r="G4503" i="13"/>
  <c r="G4504" i="13"/>
  <c r="G4505" i="13"/>
  <c r="G4506" i="13"/>
  <c r="G4507" i="13"/>
  <c r="G4508" i="13"/>
  <c r="G4509" i="13"/>
  <c r="G4510" i="13"/>
  <c r="G4511" i="13"/>
  <c r="G4512" i="13"/>
  <c r="G4513" i="13"/>
  <c r="G4514" i="13"/>
  <c r="G4515" i="13"/>
  <c r="G4516" i="13"/>
  <c r="G4517" i="13"/>
  <c r="G4518" i="13"/>
  <c r="G4519" i="13"/>
  <c r="G4520" i="13"/>
  <c r="G4521" i="13"/>
  <c r="G4522" i="13"/>
  <c r="G4523" i="13"/>
  <c r="G4524" i="13"/>
  <c r="G4525" i="13"/>
  <c r="G4526" i="13"/>
  <c r="G4527" i="13"/>
  <c r="G4528" i="13"/>
  <c r="G4529" i="13"/>
  <c r="G4530" i="13"/>
  <c r="G4531" i="13"/>
  <c r="G4532" i="13"/>
  <c r="G4533" i="13"/>
  <c r="G4534" i="13"/>
  <c r="G4535" i="13"/>
  <c r="G4536" i="13"/>
  <c r="G4537" i="13"/>
  <c r="G4538" i="13"/>
  <c r="G4539" i="13"/>
  <c r="G4540" i="13"/>
  <c r="G4541" i="13"/>
  <c r="G4542" i="13"/>
  <c r="G4543" i="13"/>
  <c r="G4544" i="13"/>
  <c r="G4545" i="13"/>
  <c r="G4546" i="13"/>
  <c r="G4547" i="13"/>
  <c r="G4548" i="13"/>
  <c r="G4549" i="13"/>
  <c r="G4550" i="13"/>
  <c r="G4551" i="13"/>
  <c r="G4552" i="13"/>
  <c r="G4553" i="13"/>
  <c r="G4554" i="13"/>
  <c r="G4555" i="13"/>
  <c r="G4556" i="13"/>
  <c r="G4557" i="13"/>
  <c r="G4558" i="13"/>
  <c r="G4559" i="13"/>
  <c r="G4560" i="13"/>
  <c r="G4561" i="13"/>
  <c r="G4562" i="13"/>
  <c r="G4563" i="13"/>
  <c r="G4564" i="13"/>
  <c r="G4565" i="13"/>
  <c r="G4566" i="13"/>
  <c r="G4567" i="13"/>
  <c r="G4568" i="13"/>
  <c r="G4569" i="13"/>
  <c r="G4570" i="13"/>
  <c r="G4571" i="13"/>
  <c r="G4572" i="13"/>
  <c r="G4573" i="13"/>
  <c r="G4574" i="13"/>
  <c r="G4575" i="13"/>
  <c r="G4576" i="13"/>
  <c r="G4577" i="13"/>
  <c r="G4578" i="13"/>
  <c r="G4579" i="13"/>
  <c r="G4580" i="13"/>
  <c r="G4581" i="13"/>
  <c r="G4582" i="13"/>
  <c r="G4583" i="13"/>
  <c r="G4584" i="13"/>
  <c r="G4585" i="13"/>
  <c r="G4586" i="13"/>
  <c r="G4587" i="13"/>
  <c r="G4588" i="13"/>
  <c r="G4589" i="13"/>
  <c r="G4590" i="13"/>
  <c r="G4591" i="13"/>
  <c r="G4592" i="13"/>
  <c r="G4593" i="13"/>
  <c r="G4594" i="13"/>
  <c r="G4595" i="13"/>
  <c r="G4596" i="13"/>
  <c r="G4597" i="13"/>
  <c r="G4598" i="13"/>
  <c r="G4599" i="13"/>
  <c r="G4600" i="13"/>
  <c r="G4601" i="13"/>
  <c r="G4602" i="13"/>
  <c r="G4603" i="13"/>
  <c r="G4604" i="13"/>
  <c r="G4605" i="13"/>
  <c r="G4606" i="13"/>
  <c r="G4607" i="13"/>
  <c r="G4608" i="13"/>
  <c r="G4609" i="13"/>
  <c r="G4610" i="13"/>
  <c r="G4611" i="13"/>
  <c r="G4612" i="13"/>
  <c r="G4613" i="13"/>
  <c r="G4614" i="13"/>
  <c r="G4615" i="13"/>
  <c r="G4616" i="13"/>
  <c r="G4617" i="13"/>
  <c r="G4618" i="13"/>
  <c r="G4619" i="13"/>
  <c r="G4620" i="13"/>
  <c r="G4621" i="13"/>
  <c r="G4622" i="13"/>
  <c r="G4623" i="13"/>
  <c r="G4624" i="13"/>
  <c r="G4625" i="13"/>
  <c r="G4626" i="13"/>
  <c r="G4627" i="13"/>
  <c r="G4628" i="13"/>
  <c r="G4629" i="13"/>
  <c r="G4630" i="13"/>
  <c r="G4631" i="13"/>
  <c r="G4632" i="13"/>
  <c r="G4633" i="13"/>
  <c r="G4634" i="13"/>
  <c r="G4635" i="13"/>
  <c r="G4636" i="13"/>
  <c r="G4637" i="13"/>
  <c r="G4638" i="13"/>
  <c r="G4639" i="13"/>
  <c r="G4640" i="13"/>
  <c r="G4641" i="13"/>
  <c r="G4642" i="13"/>
  <c r="G4643" i="13"/>
  <c r="G4644" i="13"/>
  <c r="G4645" i="13"/>
  <c r="G4646" i="13"/>
  <c r="G4647" i="13"/>
  <c r="G4648" i="13"/>
  <c r="G4649" i="13"/>
  <c r="G4650" i="13"/>
  <c r="G4651" i="13"/>
  <c r="G4652" i="13"/>
  <c r="G4653" i="13"/>
  <c r="G4654" i="13"/>
  <c r="G4655" i="13"/>
  <c r="G4656" i="13"/>
  <c r="G4657" i="13"/>
  <c r="G4658" i="13"/>
  <c r="G4659" i="13"/>
  <c r="G4660" i="13"/>
  <c r="G4661" i="13"/>
  <c r="G4662" i="13"/>
  <c r="G4663" i="13"/>
  <c r="G4664" i="13"/>
  <c r="G4665" i="13"/>
  <c r="G4666" i="13"/>
  <c r="G4667" i="13"/>
  <c r="G4668" i="13"/>
  <c r="G4669" i="13"/>
  <c r="G4670" i="13"/>
  <c r="G4671" i="13"/>
  <c r="G4672" i="13"/>
  <c r="G4673" i="13"/>
  <c r="G4674" i="13"/>
  <c r="G4675" i="13"/>
  <c r="G4676" i="13"/>
  <c r="G4677" i="13"/>
  <c r="G4678" i="13"/>
  <c r="G4679" i="13"/>
  <c r="G4680" i="13"/>
  <c r="G4681" i="13"/>
  <c r="G4682" i="13"/>
  <c r="G4683" i="13"/>
  <c r="G4684" i="13"/>
  <c r="G4685" i="13"/>
  <c r="G4686" i="13"/>
  <c r="G4687" i="13"/>
  <c r="G4688" i="13"/>
  <c r="G4689" i="13"/>
  <c r="G4690" i="13"/>
  <c r="G4691" i="13"/>
  <c r="G4692" i="13"/>
  <c r="G4693" i="13"/>
  <c r="G4694" i="13"/>
  <c r="G4695" i="13"/>
  <c r="G4696" i="13"/>
  <c r="G4697" i="13"/>
  <c r="G4698" i="13"/>
  <c r="G4699" i="13"/>
  <c r="G4700" i="13"/>
  <c r="G4701" i="13"/>
  <c r="G4702" i="13"/>
  <c r="G4703" i="13"/>
  <c r="G4704" i="13"/>
  <c r="G4705" i="13"/>
  <c r="G4706" i="13"/>
  <c r="G4707" i="13"/>
  <c r="G4708" i="13"/>
  <c r="G4709" i="13"/>
  <c r="G4710" i="13"/>
  <c r="G4711" i="13"/>
  <c r="G4712" i="13"/>
  <c r="G4713" i="13"/>
  <c r="G4714" i="13"/>
  <c r="G4715" i="13"/>
  <c r="G4716" i="13"/>
  <c r="G4717" i="13"/>
  <c r="G4718" i="13"/>
  <c r="G4719" i="13"/>
  <c r="G4720" i="13"/>
  <c r="G4721" i="13"/>
  <c r="G4722" i="13"/>
  <c r="G4723" i="13"/>
  <c r="G4724" i="13"/>
  <c r="G4725" i="13"/>
  <c r="G4726" i="13"/>
  <c r="G4727" i="13"/>
  <c r="G4728" i="13"/>
  <c r="G4729" i="13"/>
  <c r="G4730" i="13"/>
  <c r="G4731" i="13"/>
  <c r="G4732" i="13"/>
  <c r="G4733" i="13"/>
  <c r="G4734" i="13"/>
  <c r="G4735" i="13"/>
  <c r="G4736" i="13"/>
  <c r="G4737" i="13"/>
  <c r="G4738" i="13"/>
  <c r="G4739" i="13"/>
  <c r="G4740" i="13"/>
  <c r="G4741" i="13"/>
  <c r="G4742" i="13"/>
  <c r="G4743" i="13"/>
  <c r="G4744" i="13"/>
  <c r="G4745" i="13"/>
  <c r="G4746" i="13"/>
  <c r="G4747" i="13"/>
  <c r="G4748" i="13"/>
  <c r="G4749" i="13"/>
  <c r="G4750" i="13"/>
  <c r="G4751" i="13"/>
  <c r="G4752" i="13"/>
  <c r="G4753" i="13"/>
  <c r="G4754" i="13"/>
  <c r="G4755" i="13"/>
  <c r="G4756" i="13"/>
  <c r="G4757" i="13"/>
  <c r="G4758" i="13"/>
  <c r="G4759" i="13"/>
  <c r="G4760" i="13"/>
  <c r="G4761" i="13"/>
  <c r="G4762" i="13"/>
  <c r="G4763" i="13"/>
  <c r="G4764" i="13"/>
  <c r="G4765" i="13"/>
  <c r="G4766" i="13"/>
  <c r="G4767" i="13"/>
  <c r="G4768" i="13"/>
  <c r="G4769" i="13"/>
  <c r="G4770" i="13"/>
  <c r="G4771" i="13"/>
  <c r="G4772" i="13"/>
  <c r="G4773" i="13"/>
  <c r="G4774" i="13"/>
  <c r="G4775" i="13"/>
  <c r="G4776" i="13"/>
  <c r="G4777" i="13"/>
  <c r="G4778" i="13"/>
  <c r="G4779" i="13"/>
  <c r="G4780" i="13"/>
  <c r="G4781" i="13"/>
  <c r="G4782" i="13"/>
  <c r="G4783" i="13"/>
  <c r="G4784" i="13"/>
  <c r="G4785" i="13"/>
  <c r="G4786" i="13"/>
  <c r="G4787" i="13"/>
  <c r="G4788" i="13"/>
  <c r="G4789" i="13"/>
  <c r="G4790" i="13"/>
  <c r="G4791" i="13"/>
  <c r="G4792" i="13"/>
  <c r="G4793" i="13"/>
  <c r="G4794" i="13"/>
  <c r="G4795" i="13"/>
  <c r="G4796" i="13"/>
  <c r="G4797" i="13"/>
  <c r="G4798" i="13"/>
  <c r="G4799" i="13"/>
  <c r="G4800" i="13"/>
  <c r="G4801" i="13"/>
  <c r="G4802" i="13"/>
  <c r="G4803" i="13"/>
  <c r="G4804" i="13"/>
  <c r="G4805" i="13"/>
  <c r="G4806" i="13"/>
  <c r="G4807" i="13"/>
  <c r="G4808" i="13"/>
  <c r="G4809" i="13"/>
  <c r="G4810" i="13"/>
  <c r="G4811" i="13"/>
  <c r="G4812" i="13"/>
  <c r="G4813" i="13"/>
  <c r="G4814" i="13"/>
  <c r="G4815" i="13"/>
  <c r="G4816" i="13"/>
  <c r="G4817" i="13"/>
  <c r="G4818" i="13"/>
  <c r="G4819" i="13"/>
  <c r="G4820" i="13"/>
  <c r="G4821" i="13"/>
  <c r="G4822" i="13"/>
  <c r="G4823" i="13"/>
  <c r="G4824" i="13"/>
  <c r="G4825" i="13"/>
  <c r="G4826" i="13"/>
  <c r="G4827" i="13"/>
  <c r="G4828" i="13"/>
  <c r="G4829" i="13"/>
  <c r="G4830" i="13"/>
  <c r="G4831" i="13"/>
  <c r="G4832" i="13"/>
  <c r="G4833" i="13"/>
  <c r="G4834" i="13"/>
  <c r="G4835" i="13"/>
  <c r="G4836" i="13"/>
  <c r="G4837" i="13"/>
  <c r="G4838" i="13"/>
  <c r="G4839" i="13"/>
  <c r="G4840" i="13"/>
  <c r="G4841" i="13"/>
  <c r="G4842" i="13"/>
  <c r="G4843" i="13"/>
  <c r="G4844" i="13"/>
  <c r="G4845" i="13"/>
  <c r="G4846" i="13"/>
  <c r="G4847" i="13"/>
  <c r="G4848" i="13"/>
  <c r="G4849" i="13"/>
  <c r="G4850" i="13"/>
  <c r="G4851" i="13"/>
  <c r="G4852" i="13"/>
  <c r="G4853" i="13"/>
  <c r="G4854" i="13"/>
  <c r="G4855" i="13"/>
  <c r="G4856" i="13"/>
  <c r="G4857" i="13"/>
  <c r="G4858" i="13"/>
  <c r="G4859" i="13"/>
  <c r="G4860" i="13"/>
  <c r="G4861" i="13"/>
  <c r="G4862" i="13"/>
  <c r="G4863" i="13"/>
  <c r="G4864" i="13"/>
  <c r="G4865" i="13"/>
  <c r="G4866" i="13"/>
  <c r="G4867" i="13"/>
  <c r="G4868" i="13"/>
  <c r="G4869" i="13"/>
  <c r="G4870" i="13"/>
  <c r="G4871" i="13"/>
  <c r="G4872" i="13"/>
  <c r="G4873" i="13"/>
  <c r="G4874" i="13"/>
  <c r="G4875" i="13"/>
  <c r="G4876" i="13"/>
  <c r="G4877" i="13"/>
  <c r="G4878" i="13"/>
  <c r="G4879" i="13"/>
  <c r="G4880" i="13"/>
  <c r="G4881" i="13"/>
  <c r="G4882" i="13"/>
  <c r="G4883" i="13"/>
  <c r="G4884" i="13"/>
  <c r="G4885" i="13"/>
  <c r="G4886" i="13"/>
  <c r="G4887" i="13"/>
  <c r="G4888" i="13"/>
  <c r="G4889" i="13"/>
  <c r="G4890" i="13"/>
  <c r="G4891" i="13"/>
  <c r="G4892" i="13"/>
  <c r="G4893" i="13"/>
  <c r="G4894" i="13"/>
  <c r="G4895" i="13"/>
  <c r="G4896" i="13"/>
  <c r="G4897" i="13"/>
  <c r="G4898" i="13"/>
  <c r="G4899" i="13"/>
  <c r="G4900" i="13"/>
  <c r="G4901" i="13"/>
  <c r="G4902" i="13"/>
  <c r="G4903" i="13"/>
  <c r="G4904" i="13"/>
  <c r="G4905" i="13"/>
  <c r="G4906" i="13"/>
  <c r="G4907" i="13"/>
  <c r="G4908" i="13"/>
  <c r="G4909" i="13"/>
  <c r="G4910" i="13"/>
  <c r="G4911" i="13"/>
  <c r="G4912" i="13"/>
  <c r="G4913" i="13"/>
  <c r="G4914" i="13"/>
  <c r="G4915" i="13"/>
  <c r="G4916" i="13"/>
  <c r="G4917" i="13"/>
  <c r="G4918" i="13"/>
  <c r="G4919" i="13"/>
  <c r="G4920" i="13"/>
  <c r="G4921" i="13"/>
  <c r="G4922" i="13"/>
  <c r="G4923" i="13"/>
  <c r="G4924" i="13"/>
  <c r="G4925" i="13"/>
  <c r="G4926" i="13"/>
  <c r="G4927" i="13"/>
  <c r="G4928" i="13"/>
  <c r="G4929" i="13"/>
  <c r="G4930" i="13"/>
  <c r="G4931" i="13"/>
  <c r="G4932" i="13"/>
  <c r="G4933" i="13"/>
  <c r="G4934" i="13"/>
  <c r="G4935" i="13"/>
  <c r="G4936" i="13"/>
  <c r="G4937" i="13"/>
  <c r="G4938" i="13"/>
  <c r="G4939" i="13"/>
  <c r="G4940" i="13"/>
  <c r="G4941" i="13"/>
  <c r="G4942" i="13"/>
  <c r="G4943" i="13"/>
  <c r="G4944" i="13"/>
  <c r="G4945" i="13"/>
  <c r="G4946" i="13"/>
  <c r="G4947" i="13"/>
  <c r="G4948" i="13"/>
  <c r="G4949" i="13"/>
  <c r="G4950" i="13"/>
  <c r="G4951" i="13"/>
  <c r="G4952" i="13"/>
  <c r="G4953" i="13"/>
  <c r="G4954" i="13"/>
  <c r="G4955" i="13"/>
  <c r="G4956" i="13"/>
  <c r="G4957" i="13"/>
  <c r="G4958" i="13"/>
  <c r="G4959" i="13"/>
  <c r="G4960" i="13"/>
  <c r="G4961" i="13"/>
  <c r="G4962" i="13"/>
  <c r="G4963" i="13"/>
  <c r="G4964" i="13"/>
  <c r="G4965" i="13"/>
  <c r="G4966" i="13"/>
  <c r="G4967" i="13"/>
  <c r="G4968" i="13"/>
  <c r="G4969" i="13"/>
  <c r="G4970" i="13"/>
  <c r="G4971" i="13"/>
  <c r="G4972" i="13"/>
  <c r="G4973" i="13"/>
  <c r="G4974" i="13"/>
  <c r="G4975" i="13"/>
  <c r="G4976" i="13"/>
  <c r="G4977" i="13"/>
  <c r="G4978" i="13"/>
  <c r="G4979" i="13"/>
  <c r="G4980" i="13"/>
  <c r="G4981" i="13"/>
  <c r="G4982" i="13"/>
  <c r="G4983" i="13"/>
  <c r="G4984" i="13"/>
  <c r="G4985" i="13"/>
  <c r="G4986" i="13"/>
  <c r="G4987" i="13"/>
  <c r="G4988" i="13"/>
  <c r="G4989" i="13"/>
  <c r="G4990" i="13"/>
  <c r="G4991" i="13"/>
  <c r="G4992" i="13"/>
  <c r="G4993" i="13"/>
  <c r="G4994" i="13"/>
  <c r="G4995" i="13"/>
  <c r="G4996" i="13"/>
  <c r="G4997" i="13"/>
  <c r="G4998" i="13"/>
  <c r="G4999" i="13"/>
  <c r="G5000" i="13"/>
  <c r="G5001" i="13"/>
  <c r="G5002" i="13"/>
  <c r="G5003" i="13"/>
  <c r="G5004" i="13"/>
  <c r="G5005" i="13"/>
  <c r="G5006" i="13"/>
  <c r="G5007" i="13"/>
  <c r="G5008" i="13"/>
  <c r="G5009" i="13"/>
  <c r="G5010" i="13"/>
  <c r="G5011" i="13"/>
  <c r="G5012" i="13"/>
  <c r="G5013" i="13"/>
  <c r="G5014" i="13"/>
  <c r="G5015" i="13"/>
  <c r="G5016" i="13"/>
  <c r="G5017" i="13"/>
  <c r="G5018" i="13"/>
  <c r="G5019" i="13"/>
  <c r="G5020" i="13"/>
  <c r="G5021" i="13"/>
  <c r="G5022" i="13"/>
  <c r="G5023" i="13"/>
  <c r="G5024" i="13"/>
  <c r="G5025" i="13"/>
  <c r="G5026" i="13"/>
  <c r="G5027" i="13"/>
  <c r="G5028" i="13"/>
  <c r="G5029" i="13"/>
  <c r="G5030" i="13"/>
  <c r="G5031" i="13"/>
  <c r="G5032" i="13"/>
  <c r="G5033" i="13"/>
  <c r="G5034" i="13"/>
  <c r="G5035" i="13"/>
  <c r="G5036" i="13"/>
  <c r="G5037" i="13"/>
  <c r="G5038" i="13"/>
  <c r="G5039" i="13"/>
  <c r="G5040" i="13"/>
  <c r="G5041" i="13"/>
  <c r="G5042" i="13"/>
  <c r="G5043" i="13"/>
  <c r="G5044" i="13"/>
  <c r="G5045" i="13"/>
  <c r="G5046" i="13"/>
  <c r="G5047" i="13"/>
  <c r="G5048" i="13"/>
  <c r="G5049" i="13"/>
  <c r="G5050" i="13"/>
  <c r="G5051" i="13"/>
  <c r="G5052" i="13"/>
  <c r="G5053" i="13"/>
  <c r="G5054" i="13"/>
  <c r="G5055" i="13"/>
  <c r="G5056" i="13"/>
  <c r="G5057" i="13"/>
  <c r="G5058" i="13"/>
  <c r="G5059" i="13"/>
  <c r="G5060" i="13"/>
  <c r="G5061" i="13"/>
  <c r="G5062" i="13"/>
  <c r="G5063" i="13"/>
  <c r="G5064" i="13"/>
  <c r="G5065" i="13"/>
  <c r="G5066" i="13"/>
  <c r="G5067" i="13"/>
  <c r="G5068" i="13"/>
  <c r="G5069" i="13"/>
  <c r="G5070" i="13"/>
  <c r="G5071" i="13"/>
  <c r="G5072" i="13"/>
  <c r="G5073" i="13"/>
  <c r="G5074" i="13"/>
  <c r="G5075" i="13"/>
  <c r="G5076" i="13"/>
  <c r="G5077" i="13"/>
  <c r="G5078" i="13"/>
  <c r="G5079" i="13"/>
  <c r="G5080" i="13"/>
  <c r="G5081" i="13"/>
  <c r="G5082" i="13"/>
  <c r="G5083" i="13"/>
  <c r="G5084" i="13"/>
  <c r="G5085" i="13"/>
  <c r="G5086" i="13"/>
  <c r="G5087" i="13"/>
  <c r="G5088" i="13"/>
  <c r="G5089" i="13"/>
  <c r="G5090" i="13"/>
  <c r="G5091" i="13"/>
  <c r="G5092" i="13"/>
  <c r="G5093" i="13"/>
  <c r="G5094" i="13"/>
  <c r="G5095" i="13"/>
  <c r="G5096" i="13"/>
  <c r="G5097" i="13"/>
  <c r="G5098" i="13"/>
  <c r="G5099" i="13"/>
  <c r="G5100" i="13"/>
  <c r="G5101" i="13"/>
  <c r="G5102" i="13"/>
  <c r="G5103" i="13"/>
  <c r="G5104" i="13"/>
  <c r="G5105" i="13"/>
  <c r="G5106" i="13"/>
  <c r="G5107" i="13"/>
  <c r="G5108" i="13"/>
  <c r="G5109" i="13"/>
  <c r="G5110" i="13"/>
  <c r="G5111" i="13"/>
  <c r="G5112" i="13"/>
  <c r="G5113" i="13"/>
  <c r="G5114" i="13"/>
  <c r="G5115" i="13"/>
  <c r="G5116" i="13"/>
  <c r="G5117" i="13"/>
  <c r="G5118" i="13"/>
  <c r="G5119" i="13"/>
  <c r="G5120" i="13"/>
  <c r="G5121" i="13"/>
  <c r="G5122" i="13"/>
  <c r="G5123" i="13"/>
  <c r="G5124" i="13"/>
  <c r="G5125" i="13"/>
  <c r="G5126" i="13"/>
  <c r="G5127" i="13"/>
  <c r="G5128" i="13"/>
  <c r="G5129" i="13"/>
  <c r="G5130" i="13"/>
  <c r="G5131" i="13"/>
  <c r="G5132" i="13"/>
  <c r="G5133" i="13"/>
  <c r="G5134" i="13"/>
  <c r="G5135" i="13"/>
  <c r="G5136" i="13"/>
  <c r="G5137" i="13"/>
  <c r="G5138" i="13"/>
  <c r="G5139" i="13"/>
  <c r="G5140" i="13"/>
  <c r="G5141" i="13"/>
  <c r="G5142" i="13"/>
  <c r="G5143" i="13"/>
  <c r="G5144" i="13"/>
  <c r="G5145" i="13"/>
  <c r="G5146" i="13"/>
  <c r="G5147" i="13"/>
  <c r="G5148" i="13"/>
  <c r="G5149" i="13"/>
  <c r="G5150" i="13"/>
  <c r="G5151" i="13"/>
  <c r="G5152" i="13"/>
  <c r="G5153" i="13"/>
  <c r="G5154" i="13"/>
  <c r="G5155" i="13"/>
  <c r="G5156" i="13"/>
  <c r="G5157" i="13"/>
  <c r="G5158" i="13"/>
  <c r="G5159" i="13"/>
  <c r="G5160" i="13"/>
  <c r="G5161" i="13"/>
  <c r="G5162" i="13"/>
  <c r="G5163" i="13"/>
  <c r="G5164" i="13"/>
  <c r="G5165" i="13"/>
  <c r="G5166" i="13"/>
  <c r="G5167" i="13"/>
  <c r="G5168" i="13"/>
  <c r="G5169" i="13"/>
  <c r="G5170" i="13"/>
  <c r="G5171" i="13"/>
  <c r="G5172" i="13"/>
  <c r="G5173" i="13"/>
  <c r="G5174" i="13"/>
  <c r="G5175" i="13"/>
  <c r="G5176" i="13"/>
  <c r="G5177" i="13"/>
  <c r="G5178" i="13"/>
  <c r="G5179" i="13"/>
  <c r="G5180" i="13"/>
  <c r="G5181" i="13"/>
  <c r="G5182" i="13"/>
  <c r="G5183" i="13"/>
  <c r="G5184" i="13"/>
  <c r="G5185" i="13"/>
  <c r="G5186" i="13"/>
  <c r="G5187" i="13"/>
  <c r="G5188" i="13"/>
  <c r="G5189" i="13"/>
  <c r="G5190" i="13"/>
  <c r="G5191" i="13"/>
  <c r="G5192" i="13"/>
  <c r="G5193" i="13"/>
  <c r="G5194" i="13"/>
  <c r="G5195" i="13"/>
  <c r="G5196" i="13"/>
  <c r="G5197" i="13"/>
  <c r="G5198" i="13"/>
  <c r="G5199" i="13"/>
  <c r="G5200" i="13"/>
  <c r="G5201" i="13"/>
  <c r="G5202" i="13"/>
  <c r="G5203" i="13"/>
  <c r="G5204" i="13"/>
  <c r="G5205" i="13"/>
  <c r="G5206" i="13"/>
  <c r="G5207" i="13"/>
  <c r="G5208" i="13"/>
  <c r="G5209" i="13"/>
  <c r="G5210" i="13"/>
  <c r="G5211" i="13"/>
  <c r="G5212" i="13"/>
  <c r="G5213" i="13"/>
  <c r="G5214" i="13"/>
  <c r="G5215" i="13"/>
  <c r="G5216" i="13"/>
  <c r="G5217" i="13"/>
  <c r="G5218" i="13"/>
  <c r="G5219" i="13"/>
  <c r="G5220" i="13"/>
  <c r="G5221" i="13"/>
  <c r="G5222" i="13"/>
  <c r="G5223" i="13"/>
  <c r="G5224" i="13"/>
  <c r="G5225" i="13"/>
  <c r="G5226" i="13"/>
  <c r="G5227" i="13"/>
  <c r="G5228" i="13"/>
  <c r="G5229" i="13"/>
  <c r="G5230" i="13"/>
  <c r="G5231" i="13"/>
  <c r="G5232" i="13"/>
  <c r="G5233" i="13"/>
  <c r="G5234" i="13"/>
  <c r="G5235" i="13"/>
  <c r="G5236" i="13"/>
  <c r="G5237" i="13"/>
  <c r="G5238" i="13"/>
  <c r="G5239" i="13"/>
  <c r="G5240" i="13"/>
  <c r="G5241" i="13"/>
  <c r="G5242" i="13"/>
  <c r="G5243" i="13"/>
  <c r="G5244" i="13"/>
  <c r="G5245" i="13"/>
  <c r="G5246" i="13"/>
  <c r="G5247" i="13"/>
  <c r="G5248" i="13"/>
  <c r="G5249" i="13"/>
  <c r="G5250" i="13"/>
  <c r="G5251" i="13"/>
  <c r="G5252" i="13"/>
  <c r="G5253" i="13"/>
  <c r="G5254" i="13"/>
  <c r="G5255" i="13"/>
  <c r="G5256" i="13"/>
  <c r="G5257" i="13"/>
  <c r="G5258" i="13"/>
  <c r="G5259" i="13"/>
  <c r="G5260" i="13"/>
  <c r="G5261" i="13"/>
  <c r="G5262" i="13"/>
  <c r="G5263" i="13"/>
  <c r="G5264" i="13"/>
  <c r="G5265" i="13"/>
  <c r="G5266" i="13"/>
  <c r="G5267" i="13"/>
  <c r="G5268" i="13"/>
  <c r="G5269" i="13"/>
  <c r="G5270" i="13"/>
  <c r="G5271" i="13"/>
  <c r="G5272" i="13"/>
  <c r="G5273" i="13"/>
  <c r="G5274" i="13"/>
  <c r="G5275" i="13"/>
  <c r="G5276" i="13"/>
  <c r="G5277" i="13"/>
  <c r="G5278" i="13"/>
  <c r="G5279" i="13"/>
  <c r="G5280" i="13"/>
  <c r="G5281" i="13"/>
  <c r="G5282" i="13"/>
  <c r="G5283" i="13"/>
  <c r="G5284" i="13"/>
  <c r="G5285" i="13"/>
  <c r="G5286" i="13"/>
  <c r="G5287" i="13"/>
  <c r="G5288" i="13"/>
  <c r="G5289" i="13"/>
  <c r="G5290" i="13"/>
  <c r="G5291" i="13"/>
  <c r="G5292" i="13"/>
  <c r="G5293" i="13"/>
  <c r="G5294" i="13"/>
  <c r="G5295" i="13"/>
  <c r="G5296" i="13"/>
  <c r="G5297" i="13"/>
  <c r="G5298" i="13"/>
  <c r="G5299" i="13"/>
  <c r="G5300" i="13"/>
  <c r="G5301" i="13"/>
  <c r="G5302" i="13"/>
  <c r="G5303" i="13"/>
  <c r="G5304" i="13"/>
  <c r="G5305" i="13"/>
  <c r="G5306" i="13"/>
  <c r="G5307" i="13"/>
  <c r="G5308" i="13"/>
  <c r="G5309" i="13"/>
  <c r="G5310" i="13"/>
  <c r="G5311" i="13"/>
  <c r="G5312" i="13"/>
  <c r="G5313" i="13"/>
  <c r="G5314" i="13"/>
  <c r="G5315" i="13"/>
  <c r="G5316" i="13"/>
  <c r="G5317" i="13"/>
  <c r="G5318" i="13"/>
  <c r="G5319" i="13"/>
  <c r="G5320" i="13"/>
  <c r="G5321" i="13"/>
  <c r="G5322" i="13"/>
  <c r="G5323" i="13"/>
  <c r="G5324" i="13"/>
  <c r="G5325" i="13"/>
  <c r="G5326" i="13"/>
  <c r="G5327" i="13"/>
  <c r="G5328" i="13"/>
  <c r="G5329" i="13"/>
  <c r="G5330" i="13"/>
  <c r="G5331" i="13"/>
  <c r="G5332" i="13"/>
  <c r="G5333" i="13"/>
  <c r="G5334" i="13"/>
  <c r="G5335" i="13"/>
  <c r="G5336" i="13"/>
  <c r="G5337" i="13"/>
  <c r="G5338" i="13"/>
  <c r="G5339" i="13"/>
  <c r="G5340" i="13"/>
  <c r="G5341" i="13"/>
  <c r="G5342" i="13"/>
  <c r="G5343" i="13"/>
  <c r="G5344" i="13"/>
  <c r="G5345" i="13"/>
  <c r="G5346" i="13"/>
  <c r="G5347" i="13"/>
  <c r="G5348" i="13"/>
  <c r="G5349" i="13"/>
  <c r="G5350" i="13"/>
  <c r="G5351" i="13"/>
  <c r="G5352" i="13"/>
  <c r="G5353" i="13"/>
  <c r="G5354" i="13"/>
  <c r="G5355" i="13"/>
  <c r="G5356" i="13"/>
  <c r="G5357" i="13"/>
  <c r="G5358" i="13"/>
  <c r="G5359" i="13"/>
  <c r="G5360" i="13"/>
  <c r="G5361" i="13"/>
  <c r="G5362" i="13"/>
  <c r="G5363" i="13"/>
  <c r="G5364" i="13"/>
  <c r="G5365" i="13"/>
  <c r="G5366" i="13"/>
  <c r="G5367" i="13"/>
  <c r="G5368" i="13"/>
  <c r="G5369" i="13"/>
  <c r="G5370" i="13"/>
  <c r="G5371" i="13"/>
  <c r="G5372" i="13"/>
  <c r="G5373" i="13"/>
  <c r="G5374" i="13"/>
  <c r="G5375" i="13"/>
  <c r="G5376" i="13"/>
  <c r="G5377" i="13"/>
  <c r="G5378" i="13"/>
  <c r="G5379" i="13"/>
  <c r="G5380" i="13"/>
  <c r="G5381" i="13"/>
  <c r="G5382" i="13"/>
  <c r="G5383" i="13"/>
  <c r="G5384" i="13"/>
  <c r="G5385" i="13"/>
  <c r="G5386" i="13"/>
  <c r="G5387" i="13"/>
  <c r="G5388" i="13"/>
  <c r="G5389" i="13"/>
  <c r="G5390" i="13"/>
  <c r="G5391" i="13"/>
  <c r="G5392" i="13"/>
  <c r="G5393" i="13"/>
  <c r="G5394" i="13"/>
  <c r="G5395" i="13"/>
  <c r="G5396" i="13"/>
  <c r="G5397" i="13"/>
  <c r="G5398" i="13"/>
  <c r="G5399" i="13"/>
  <c r="G5400" i="13"/>
  <c r="G5401" i="13"/>
  <c r="G5402" i="13"/>
  <c r="G5403" i="13"/>
  <c r="G5404" i="13"/>
  <c r="G5405" i="13"/>
  <c r="G5406" i="13"/>
  <c r="G5407" i="13"/>
  <c r="G5408" i="13"/>
  <c r="G5409" i="13"/>
  <c r="G5410" i="13"/>
  <c r="G5411" i="13"/>
  <c r="G5412" i="13"/>
  <c r="G5413" i="13"/>
  <c r="G5414" i="13"/>
  <c r="G5415" i="13"/>
  <c r="G5416" i="13"/>
  <c r="G5417" i="13"/>
  <c r="G5418" i="13"/>
  <c r="G5419" i="13"/>
  <c r="G5420" i="13"/>
  <c r="G5421" i="13"/>
  <c r="G5422" i="13"/>
  <c r="G5423" i="13"/>
  <c r="G5424" i="13"/>
  <c r="G5425" i="13"/>
  <c r="G5426" i="13"/>
  <c r="G5427" i="13"/>
  <c r="G5428" i="13"/>
  <c r="G5429" i="13"/>
  <c r="G5430" i="13"/>
  <c r="G5431" i="13"/>
  <c r="G5432" i="13"/>
  <c r="G5433" i="13"/>
  <c r="G5434" i="13"/>
  <c r="G5435" i="13"/>
  <c r="G5436" i="13"/>
  <c r="G5437" i="13"/>
  <c r="G5438" i="13"/>
  <c r="G5439" i="13"/>
  <c r="G5440" i="13"/>
  <c r="G5441" i="13"/>
  <c r="G5442" i="13"/>
  <c r="G5443" i="13"/>
  <c r="G5444" i="13"/>
  <c r="G5445" i="13"/>
  <c r="G5446" i="13"/>
  <c r="G5447" i="13"/>
  <c r="G5448" i="13"/>
  <c r="G5449" i="13"/>
  <c r="G5450" i="13"/>
  <c r="G5451" i="13"/>
  <c r="G5452" i="13"/>
  <c r="G5453" i="13"/>
  <c r="G5454" i="13"/>
  <c r="G5455" i="13"/>
  <c r="G5456" i="13"/>
  <c r="G5457" i="13"/>
  <c r="G5458" i="13"/>
  <c r="G5459" i="13"/>
  <c r="G5460" i="13"/>
  <c r="G5461" i="13"/>
  <c r="G5462" i="13"/>
  <c r="G5463" i="13"/>
  <c r="G5464" i="13"/>
  <c r="G5465" i="13"/>
  <c r="G5466" i="13"/>
  <c r="G5467" i="13"/>
  <c r="G5468" i="13"/>
  <c r="G5469" i="13"/>
  <c r="G5470" i="13"/>
  <c r="G5471" i="13"/>
  <c r="G5472" i="13"/>
  <c r="G5473" i="13"/>
  <c r="G5474" i="13"/>
  <c r="G5475" i="13"/>
  <c r="G5476" i="13"/>
  <c r="G5477" i="13"/>
  <c r="G5478" i="13"/>
  <c r="G5479" i="13"/>
  <c r="G5480" i="13"/>
  <c r="G5481" i="13"/>
  <c r="G5482" i="13"/>
  <c r="G5483" i="13"/>
  <c r="G5484" i="13"/>
  <c r="G5485" i="13"/>
  <c r="G5486" i="13"/>
  <c r="G5487" i="13"/>
  <c r="G5488" i="13"/>
  <c r="G5489" i="13"/>
  <c r="G5490" i="13"/>
  <c r="G5491" i="13"/>
  <c r="G5492" i="13"/>
  <c r="G5493" i="13"/>
  <c r="G5494" i="13"/>
  <c r="G5495" i="13"/>
  <c r="G5496" i="13"/>
  <c r="G5497" i="13"/>
  <c r="G5498" i="13"/>
  <c r="G5499" i="13"/>
  <c r="G5500" i="13"/>
  <c r="G5501" i="13"/>
  <c r="G5502" i="13"/>
  <c r="G5503" i="13"/>
  <c r="G5504" i="13"/>
  <c r="G5505" i="13"/>
  <c r="G5506" i="13"/>
  <c r="G5507" i="13"/>
  <c r="G5508" i="13"/>
  <c r="G5509" i="13"/>
  <c r="G5510" i="13"/>
  <c r="G5511" i="13"/>
  <c r="G5512" i="13"/>
  <c r="G5513" i="13"/>
  <c r="G5514" i="13"/>
  <c r="G5515" i="13"/>
  <c r="G5516" i="13"/>
  <c r="G5517" i="13"/>
  <c r="G5518" i="13"/>
  <c r="G5519" i="13"/>
  <c r="G5520" i="13"/>
  <c r="G5521" i="13"/>
  <c r="G5522" i="13"/>
  <c r="G5523" i="13"/>
  <c r="G5524" i="13"/>
  <c r="G5525" i="13"/>
  <c r="G5526" i="13"/>
  <c r="G5527" i="13"/>
  <c r="G5528" i="13"/>
  <c r="G5529" i="13"/>
  <c r="G5530" i="13"/>
  <c r="G5531" i="13"/>
  <c r="G5532" i="13"/>
  <c r="G5533" i="13"/>
  <c r="G5534" i="13"/>
  <c r="G5535" i="13"/>
  <c r="G5536" i="13"/>
  <c r="G5537" i="13"/>
  <c r="G5538" i="13"/>
  <c r="G5539" i="13"/>
  <c r="G5540" i="13"/>
  <c r="G5541" i="13"/>
  <c r="G5542" i="13"/>
  <c r="G5543" i="13"/>
  <c r="G5544" i="13"/>
  <c r="G5545" i="13"/>
  <c r="G5546" i="13"/>
  <c r="G5547" i="13"/>
  <c r="G5548" i="13"/>
  <c r="G5549" i="13"/>
  <c r="G5550" i="13"/>
  <c r="G5551" i="13"/>
  <c r="G5552" i="13"/>
  <c r="G5553" i="13"/>
  <c r="G5554" i="13"/>
  <c r="G5555" i="13"/>
  <c r="G5556" i="13"/>
  <c r="G5557" i="13"/>
  <c r="G5558" i="13"/>
  <c r="G5559" i="13"/>
  <c r="G5560" i="13"/>
  <c r="G5561" i="13"/>
  <c r="G5562" i="13"/>
  <c r="G5563" i="13"/>
  <c r="G5564" i="13"/>
  <c r="G5565" i="13"/>
  <c r="G5566" i="13"/>
  <c r="G5567" i="13"/>
  <c r="G5568" i="13"/>
  <c r="G5569" i="13"/>
  <c r="G5570" i="13"/>
  <c r="G5571" i="13"/>
  <c r="G5572" i="13"/>
  <c r="G5573" i="13"/>
  <c r="G5574" i="13"/>
  <c r="G5575" i="13"/>
  <c r="G5576" i="13"/>
  <c r="G5577" i="13"/>
  <c r="G5578" i="13"/>
  <c r="G5579" i="13"/>
  <c r="G5580" i="13"/>
  <c r="G5581" i="13"/>
  <c r="G5582" i="13"/>
  <c r="G5583" i="13"/>
  <c r="G5584" i="13"/>
  <c r="G5585" i="13"/>
  <c r="G5586" i="13"/>
  <c r="G5587" i="13"/>
  <c r="G5588" i="13"/>
  <c r="G5589" i="13"/>
  <c r="G5590" i="13"/>
  <c r="G5591" i="13"/>
  <c r="G5592" i="13"/>
  <c r="G5593" i="13"/>
  <c r="G5594" i="13"/>
  <c r="G5595" i="13"/>
  <c r="G5596" i="13"/>
  <c r="G5597" i="13"/>
  <c r="G5598" i="13"/>
  <c r="G5599" i="13"/>
  <c r="G5600" i="13"/>
  <c r="G5601" i="13"/>
  <c r="G5602" i="13"/>
  <c r="G5603" i="13"/>
  <c r="G5604" i="13"/>
  <c r="G5605" i="13"/>
  <c r="G5606" i="13"/>
  <c r="G5607" i="13"/>
  <c r="G5608" i="13"/>
  <c r="G5609" i="13"/>
  <c r="G5610" i="13"/>
  <c r="G5611" i="13"/>
  <c r="G5612" i="13"/>
  <c r="G5613" i="13"/>
  <c r="G5614" i="13"/>
  <c r="G5615" i="13"/>
  <c r="G5616" i="13"/>
  <c r="G5617" i="13"/>
  <c r="G5618" i="13"/>
  <c r="G5619" i="13"/>
  <c r="G5620" i="13"/>
  <c r="G5621" i="13"/>
  <c r="G5622" i="13"/>
  <c r="G5623" i="13"/>
  <c r="G5624" i="13"/>
  <c r="G5625" i="13"/>
  <c r="G5626" i="13"/>
  <c r="G5627" i="13"/>
  <c r="G5628" i="13"/>
  <c r="G5629" i="13"/>
  <c r="G5630" i="13"/>
  <c r="G5631" i="13"/>
  <c r="G5632" i="13"/>
  <c r="G5633" i="13"/>
  <c r="G5634" i="13"/>
  <c r="G5635" i="13"/>
  <c r="G5636" i="13"/>
  <c r="G5637" i="13"/>
  <c r="G5638" i="13"/>
  <c r="G5639" i="13"/>
  <c r="G5640" i="13"/>
  <c r="G5641" i="13"/>
  <c r="G5642" i="13"/>
  <c r="G5643" i="13"/>
  <c r="G5644" i="13"/>
  <c r="G5645" i="13"/>
  <c r="G5646" i="13"/>
  <c r="G5647" i="13"/>
  <c r="G5648" i="13"/>
  <c r="G5649" i="13"/>
  <c r="G5650" i="13"/>
  <c r="G5651" i="13"/>
  <c r="G5652" i="13"/>
  <c r="G5653" i="13"/>
  <c r="G5654" i="13"/>
  <c r="G5655" i="13"/>
  <c r="G5656" i="13"/>
  <c r="G5657" i="13"/>
  <c r="G5658" i="13"/>
  <c r="G5659" i="13"/>
  <c r="G5660" i="13"/>
  <c r="G5661" i="13"/>
  <c r="G5662" i="13"/>
  <c r="G5663" i="13"/>
  <c r="G5664" i="13"/>
  <c r="G5665" i="13"/>
  <c r="G5666" i="13"/>
  <c r="G5667" i="13"/>
  <c r="G5668" i="13"/>
  <c r="G5669" i="13"/>
  <c r="G5670" i="13"/>
  <c r="G5671" i="13"/>
  <c r="G5672" i="13"/>
  <c r="G5673" i="13"/>
  <c r="G5674" i="13"/>
  <c r="G5675" i="13"/>
  <c r="G5676" i="13"/>
  <c r="G5677" i="13"/>
  <c r="G5678" i="13"/>
  <c r="G5679" i="13"/>
  <c r="G5680" i="13"/>
  <c r="G5681" i="13"/>
  <c r="G5682" i="13"/>
  <c r="G5683" i="13"/>
  <c r="G5684" i="13"/>
  <c r="G5685" i="13"/>
  <c r="G5686" i="13"/>
  <c r="G5687" i="13"/>
  <c r="G5688" i="13"/>
  <c r="G5689" i="13"/>
  <c r="G5690" i="13"/>
  <c r="G5691" i="13"/>
  <c r="G5692" i="13"/>
  <c r="G5693" i="13"/>
  <c r="G5694" i="13"/>
  <c r="G5695" i="13"/>
  <c r="G5696" i="13"/>
  <c r="G5697" i="13"/>
  <c r="G5698" i="13"/>
  <c r="G5699" i="13"/>
  <c r="G5700" i="13"/>
  <c r="G5701" i="13"/>
  <c r="G5702" i="13"/>
  <c r="G5703" i="13"/>
  <c r="G5704" i="13"/>
  <c r="G5705" i="13"/>
  <c r="G5706" i="13"/>
  <c r="G5707" i="13"/>
  <c r="G5708" i="13"/>
  <c r="G5709" i="13"/>
  <c r="G5710" i="13"/>
  <c r="G5711" i="13"/>
  <c r="G5712" i="13"/>
  <c r="G5713" i="13"/>
  <c r="G5714" i="13"/>
  <c r="G5715" i="13"/>
  <c r="G5716" i="13"/>
  <c r="G5717" i="13"/>
  <c r="G5718" i="13"/>
  <c r="G5719" i="13"/>
  <c r="G5720" i="13"/>
  <c r="G5721" i="13"/>
  <c r="G5722" i="13"/>
  <c r="G5723" i="13"/>
  <c r="G5724" i="13"/>
  <c r="G5725" i="13"/>
  <c r="G5726" i="13"/>
  <c r="G5727" i="13"/>
  <c r="G5728" i="13"/>
  <c r="G5729" i="13"/>
  <c r="G5730" i="13"/>
  <c r="G5731" i="13"/>
  <c r="G5732" i="13"/>
  <c r="G5733" i="13"/>
  <c r="G5734" i="13"/>
  <c r="G5735" i="13"/>
  <c r="G5736" i="13"/>
  <c r="G5737" i="13"/>
  <c r="G5738" i="13"/>
  <c r="G5739" i="13"/>
  <c r="G5740" i="13"/>
  <c r="G5741" i="13"/>
  <c r="G5742" i="13"/>
  <c r="G5743" i="13"/>
  <c r="G5744" i="13"/>
  <c r="G5745" i="13"/>
  <c r="G5746" i="13"/>
  <c r="G5747" i="13"/>
  <c r="G5748" i="13"/>
  <c r="G5749" i="13"/>
  <c r="G5750" i="13"/>
  <c r="G5751" i="13"/>
  <c r="G5752" i="13"/>
  <c r="G5753" i="13"/>
  <c r="G5754" i="13"/>
  <c r="G5755" i="13"/>
  <c r="G5756" i="13"/>
  <c r="G5757" i="13"/>
  <c r="G5758" i="13"/>
  <c r="G5759" i="13"/>
  <c r="G5760" i="13"/>
  <c r="G5761" i="13"/>
  <c r="G5762" i="13"/>
  <c r="G5763" i="13"/>
  <c r="G5764" i="13"/>
  <c r="G5765" i="13"/>
  <c r="G5766" i="13"/>
  <c r="G5767" i="13"/>
  <c r="G5768" i="13"/>
  <c r="G5769" i="13"/>
  <c r="G5770" i="13"/>
  <c r="G5771" i="13"/>
  <c r="G5772" i="13"/>
  <c r="G5773" i="13"/>
  <c r="G5774" i="13"/>
  <c r="G5775" i="13"/>
  <c r="G5776" i="13"/>
  <c r="G5777" i="13"/>
  <c r="G5778" i="13"/>
  <c r="G5779" i="13"/>
  <c r="G5780" i="13"/>
  <c r="G5781" i="13"/>
  <c r="G5782" i="13"/>
  <c r="G5783" i="13"/>
  <c r="G5784" i="13"/>
  <c r="G5785" i="13"/>
  <c r="G5786" i="13"/>
  <c r="G5787" i="13"/>
  <c r="G5788" i="13"/>
  <c r="G5789" i="13"/>
  <c r="G5790" i="13"/>
  <c r="G5791" i="13"/>
  <c r="G5792" i="13"/>
  <c r="G5793" i="13"/>
  <c r="G5794" i="13"/>
  <c r="G5795" i="13"/>
  <c r="G5796" i="13"/>
  <c r="G5797" i="13"/>
  <c r="G5798" i="13"/>
  <c r="G5799" i="13"/>
  <c r="G5800" i="13"/>
  <c r="G5801" i="13"/>
  <c r="G5802" i="13"/>
  <c r="G5803" i="13"/>
  <c r="G5804" i="13"/>
  <c r="G5805" i="13"/>
  <c r="G5806" i="13"/>
  <c r="G5807" i="13"/>
  <c r="G5808" i="13"/>
  <c r="G5809" i="13"/>
  <c r="G5810" i="13"/>
  <c r="G5811" i="13"/>
  <c r="G5812" i="13"/>
  <c r="G5813" i="13"/>
  <c r="G5814" i="13"/>
  <c r="G5815" i="13"/>
  <c r="G5816" i="13"/>
  <c r="G5817" i="13"/>
  <c r="G5818" i="13"/>
  <c r="G5819" i="13"/>
  <c r="G5820" i="13"/>
  <c r="G5821" i="13"/>
  <c r="G5822" i="13"/>
  <c r="G5823" i="13"/>
  <c r="G5824" i="13"/>
  <c r="G5825" i="13"/>
  <c r="G5826" i="13"/>
  <c r="G5827" i="13"/>
  <c r="G5828" i="13"/>
  <c r="G5829" i="13"/>
  <c r="G5830" i="13"/>
  <c r="G5831" i="13"/>
  <c r="G5832" i="13"/>
  <c r="G5833" i="13"/>
  <c r="G5834" i="13"/>
  <c r="G5835" i="13"/>
  <c r="G5836" i="13"/>
  <c r="G5837" i="13"/>
  <c r="G5838" i="13"/>
  <c r="G5839" i="13"/>
  <c r="G5840" i="13"/>
  <c r="G5841" i="13"/>
  <c r="G5842" i="13"/>
  <c r="G5843" i="13"/>
  <c r="G5844" i="13"/>
  <c r="G5845" i="13"/>
  <c r="G5846" i="13"/>
  <c r="G5847" i="13"/>
  <c r="G5848" i="13"/>
  <c r="G5849" i="13"/>
  <c r="G5850" i="13"/>
  <c r="G5851" i="13"/>
  <c r="G5852" i="13"/>
  <c r="G5853" i="13"/>
  <c r="G5854" i="13"/>
  <c r="G5855" i="13"/>
  <c r="G5856" i="13"/>
  <c r="G5857" i="13"/>
  <c r="G5858" i="13"/>
  <c r="G5859" i="13"/>
  <c r="G5860" i="13"/>
  <c r="G5861" i="13"/>
  <c r="G5862" i="13"/>
  <c r="G5863" i="13"/>
  <c r="G5864" i="13"/>
  <c r="G5865" i="13"/>
  <c r="G5866" i="13"/>
  <c r="G5867" i="13"/>
  <c r="G5868" i="13"/>
  <c r="G5869" i="13"/>
  <c r="G5870" i="13"/>
  <c r="G5871" i="13"/>
  <c r="G5872" i="13"/>
  <c r="G5873" i="13"/>
  <c r="G5874" i="13"/>
  <c r="G5875" i="13"/>
  <c r="G5876" i="13"/>
  <c r="G5877" i="13"/>
  <c r="G5878" i="13"/>
  <c r="G5879" i="13"/>
  <c r="G5880" i="13"/>
  <c r="G5881" i="13"/>
  <c r="G5882" i="13"/>
  <c r="G5883" i="13"/>
  <c r="G5884" i="13"/>
  <c r="G5885" i="13"/>
  <c r="G5886" i="13"/>
  <c r="G5887" i="13"/>
  <c r="G5888" i="13"/>
  <c r="G5889" i="13"/>
  <c r="G5890" i="13"/>
  <c r="G5891" i="13"/>
  <c r="G5892" i="13"/>
  <c r="G5893" i="13"/>
  <c r="G5894" i="13"/>
  <c r="G5895" i="13"/>
  <c r="G5896" i="13"/>
  <c r="G5897" i="13"/>
  <c r="G5898" i="13"/>
  <c r="G5899" i="13"/>
  <c r="G5900" i="13"/>
  <c r="G5901" i="13"/>
  <c r="G5902" i="13"/>
  <c r="G5903" i="13"/>
  <c r="G5904" i="13"/>
  <c r="G5905" i="13"/>
  <c r="G5906" i="13"/>
  <c r="G5907" i="13"/>
  <c r="G5908" i="13"/>
  <c r="G5909" i="13"/>
  <c r="G5910" i="13"/>
  <c r="G5911" i="13"/>
  <c r="G5912" i="13"/>
  <c r="G5913" i="13"/>
  <c r="G5914" i="13"/>
  <c r="G5915" i="13"/>
  <c r="G5916" i="13"/>
  <c r="G5917" i="13"/>
  <c r="G5918" i="13"/>
  <c r="G5919" i="13"/>
  <c r="G5920" i="13"/>
  <c r="G5921" i="13"/>
  <c r="G5922" i="13"/>
  <c r="G5923" i="13"/>
  <c r="G5924" i="13"/>
  <c r="G5925" i="13"/>
  <c r="G5926" i="13"/>
  <c r="G5927" i="13"/>
  <c r="G5928" i="13"/>
  <c r="G5929" i="13"/>
  <c r="G5930" i="13"/>
  <c r="G5931" i="13"/>
  <c r="G5932" i="13"/>
  <c r="G5933" i="13"/>
  <c r="G5934" i="13"/>
  <c r="G5935" i="13"/>
  <c r="G5936" i="13"/>
  <c r="G5937" i="13"/>
  <c r="G5938" i="13"/>
  <c r="G5939" i="13"/>
  <c r="G5940" i="13"/>
  <c r="G5941" i="13"/>
  <c r="G5942" i="13"/>
  <c r="G5943" i="13"/>
  <c r="G5944" i="13"/>
  <c r="G5945" i="13"/>
  <c r="G5946" i="13"/>
  <c r="G5947" i="13"/>
  <c r="G5948" i="13"/>
  <c r="G5949" i="13"/>
  <c r="G5950" i="13"/>
  <c r="G5951" i="13"/>
  <c r="G5952" i="13"/>
  <c r="G5953" i="13"/>
  <c r="G5954" i="13"/>
  <c r="G5955" i="13"/>
  <c r="G5956" i="13"/>
  <c r="G5957" i="13"/>
  <c r="G5958" i="13"/>
  <c r="G5959" i="13"/>
  <c r="G5960" i="13"/>
  <c r="G5961" i="13"/>
  <c r="G5962" i="13"/>
  <c r="G5963" i="13"/>
  <c r="G5964" i="13"/>
  <c r="G5965" i="13"/>
  <c r="G5966" i="13"/>
  <c r="G5967" i="13"/>
  <c r="G5968" i="13"/>
  <c r="G5969" i="13"/>
  <c r="G5970" i="13"/>
  <c r="G5971" i="13"/>
  <c r="G5972" i="13"/>
  <c r="G5973" i="13"/>
  <c r="G5974" i="13"/>
  <c r="G5975" i="13"/>
  <c r="G5976" i="13"/>
  <c r="G5977" i="13"/>
  <c r="G5978" i="13"/>
  <c r="G5979" i="13"/>
  <c r="G5980" i="13"/>
  <c r="G5981" i="13"/>
  <c r="G5982" i="13"/>
  <c r="G5983" i="13"/>
  <c r="G5984" i="13"/>
  <c r="G5985" i="13"/>
  <c r="G5986" i="13"/>
  <c r="G5987" i="13"/>
  <c r="G5988" i="13"/>
  <c r="G5989" i="13"/>
  <c r="G5990" i="13"/>
  <c r="G5991" i="13"/>
  <c r="G5992" i="13"/>
  <c r="G5993" i="13"/>
  <c r="G5994" i="13"/>
  <c r="G5995" i="13"/>
  <c r="G5996" i="13"/>
  <c r="G5997" i="13"/>
  <c r="G5998" i="13"/>
  <c r="G5999" i="13"/>
  <c r="G6000" i="13"/>
  <c r="G6001" i="13"/>
  <c r="G6002" i="13"/>
  <c r="G6003" i="13"/>
  <c r="G6004" i="13"/>
  <c r="G6005" i="13"/>
  <c r="G6006" i="13"/>
  <c r="G6007" i="13"/>
  <c r="G6008" i="13"/>
  <c r="G6009" i="13"/>
  <c r="G6010" i="13"/>
  <c r="G6011" i="13"/>
  <c r="G6012" i="13"/>
  <c r="G6013" i="13"/>
  <c r="G6014" i="13"/>
  <c r="G6015" i="13"/>
  <c r="G6016" i="13"/>
  <c r="G6017" i="13"/>
  <c r="G6018" i="13"/>
  <c r="G6019" i="13"/>
  <c r="G6020" i="13"/>
  <c r="G6021" i="13"/>
  <c r="G6022" i="13"/>
  <c r="G6023" i="13"/>
  <c r="G6024" i="13"/>
  <c r="G6025" i="13"/>
  <c r="G6026" i="13"/>
  <c r="G6027" i="13"/>
  <c r="G6028" i="13"/>
  <c r="G6029" i="13"/>
  <c r="G6030" i="13"/>
  <c r="G6031" i="13"/>
  <c r="G6032" i="13"/>
  <c r="G6033" i="13"/>
  <c r="G6034" i="13"/>
  <c r="G6035" i="13"/>
  <c r="G6036" i="13"/>
  <c r="G6037" i="13"/>
  <c r="G6038" i="13"/>
  <c r="G6039" i="13"/>
  <c r="G6040" i="13"/>
  <c r="G6041" i="13"/>
  <c r="G6042" i="13"/>
  <c r="G6043" i="13"/>
  <c r="G6044" i="13"/>
  <c r="G6045" i="13"/>
  <c r="G6046" i="13"/>
  <c r="G6047" i="13"/>
  <c r="G6048" i="13"/>
  <c r="G6049" i="13"/>
  <c r="G6050" i="13"/>
  <c r="G6051" i="13"/>
  <c r="G6052" i="13"/>
  <c r="G6053" i="13"/>
  <c r="G6054" i="13"/>
  <c r="G6055" i="13"/>
  <c r="G6056" i="13"/>
  <c r="G6057" i="13"/>
  <c r="G6058" i="13"/>
  <c r="G6059" i="13"/>
  <c r="G6060" i="13"/>
  <c r="G6061" i="13"/>
  <c r="G6062" i="13"/>
  <c r="G6063" i="13"/>
  <c r="G6064" i="13"/>
  <c r="G6065" i="13"/>
  <c r="G6066" i="13"/>
  <c r="G6067" i="13"/>
  <c r="G6068" i="13"/>
  <c r="G6069" i="13"/>
  <c r="G6070" i="13"/>
  <c r="G6071" i="13"/>
  <c r="G6072" i="13"/>
  <c r="G6073" i="13"/>
  <c r="G6074" i="13"/>
  <c r="G6075" i="13"/>
  <c r="G6076" i="13"/>
  <c r="G6077" i="13"/>
  <c r="G6078" i="13"/>
  <c r="G6079" i="13"/>
  <c r="G6080" i="13"/>
  <c r="G6081" i="13"/>
  <c r="G6082" i="13"/>
  <c r="G6083" i="13"/>
  <c r="G6084" i="13"/>
  <c r="G6085" i="13"/>
  <c r="G6086" i="13"/>
  <c r="G6087" i="13"/>
  <c r="G6088" i="13"/>
  <c r="G6089" i="13"/>
  <c r="G6090" i="13"/>
  <c r="G6091" i="13"/>
  <c r="G6092" i="13"/>
  <c r="G6093" i="13"/>
  <c r="G6094" i="13"/>
  <c r="G6095" i="13"/>
  <c r="G6096" i="13"/>
  <c r="G6097" i="13"/>
  <c r="G6098" i="13"/>
  <c r="G6099" i="13"/>
  <c r="G6100" i="13"/>
  <c r="G6101" i="13"/>
  <c r="G6102" i="13"/>
  <c r="G6103" i="13"/>
  <c r="G6104" i="13"/>
  <c r="G6105" i="13"/>
  <c r="G6106" i="13"/>
  <c r="G6107" i="13"/>
  <c r="G6108" i="13"/>
  <c r="G6109" i="13"/>
  <c r="G6110" i="13"/>
  <c r="G6111" i="13"/>
  <c r="G6112" i="13"/>
  <c r="G6113" i="13"/>
  <c r="G6114" i="13"/>
  <c r="G6115" i="13"/>
  <c r="G6116" i="13"/>
  <c r="G6117" i="13"/>
  <c r="G6118" i="13"/>
  <c r="G6119" i="13"/>
  <c r="G6120" i="13"/>
  <c r="G6121" i="13"/>
  <c r="G6122" i="13"/>
  <c r="G6123" i="13"/>
  <c r="G6124" i="13"/>
  <c r="G6125" i="13"/>
  <c r="G6126" i="13"/>
  <c r="G6127" i="13"/>
  <c r="G6128" i="13"/>
  <c r="G6129" i="13"/>
  <c r="G6130" i="13"/>
  <c r="G6131" i="13"/>
  <c r="G6132" i="13"/>
  <c r="G6133" i="13"/>
  <c r="G6134" i="13"/>
  <c r="G6135" i="13"/>
  <c r="G6136" i="13"/>
  <c r="G6137" i="13"/>
  <c r="G6138" i="13"/>
  <c r="G6139" i="13"/>
  <c r="G6140" i="13"/>
  <c r="G6141" i="13"/>
  <c r="G6142" i="13"/>
  <c r="G6143" i="13"/>
  <c r="G6144" i="13"/>
  <c r="G6145" i="13"/>
  <c r="G6146" i="13"/>
  <c r="G6147" i="13"/>
  <c r="G6148" i="13"/>
  <c r="G6149" i="13"/>
  <c r="G6150" i="13"/>
  <c r="G6151" i="13"/>
  <c r="G6152" i="13"/>
  <c r="G6153" i="13"/>
  <c r="G6154" i="13"/>
  <c r="G6155" i="13"/>
  <c r="G6156" i="13"/>
  <c r="G6157" i="13"/>
  <c r="G6158" i="13"/>
  <c r="G6159" i="13"/>
  <c r="G6160" i="13"/>
  <c r="G6161" i="13"/>
  <c r="G6162" i="13"/>
  <c r="G6163" i="13"/>
  <c r="G6164" i="13"/>
  <c r="G6165" i="13"/>
  <c r="G6166" i="13"/>
  <c r="G6167" i="13"/>
  <c r="G6168" i="13"/>
  <c r="G6169" i="13"/>
  <c r="G6170" i="13"/>
  <c r="G6171" i="13"/>
  <c r="G6172" i="13"/>
  <c r="G6173" i="13"/>
  <c r="G6174" i="13"/>
  <c r="G6175" i="13"/>
  <c r="G6176" i="13"/>
  <c r="G6177" i="13"/>
  <c r="G6178" i="13"/>
  <c r="G6179" i="13"/>
  <c r="G6180" i="13"/>
  <c r="G6181" i="13"/>
  <c r="G6182" i="13"/>
  <c r="G6183" i="13"/>
  <c r="G6184" i="13"/>
  <c r="G6185" i="13"/>
  <c r="G6186" i="13"/>
  <c r="G6187" i="13"/>
  <c r="G6188" i="13"/>
  <c r="G6189" i="13"/>
  <c r="G6190" i="13"/>
  <c r="G6191" i="13"/>
  <c r="G6192" i="13"/>
  <c r="G6193" i="13"/>
  <c r="G6194" i="13"/>
  <c r="G6195" i="13"/>
  <c r="G6196" i="13"/>
  <c r="G6197" i="13"/>
  <c r="G6198" i="13"/>
  <c r="G6199" i="13"/>
  <c r="G6200" i="13"/>
  <c r="G6201" i="13"/>
  <c r="G6202" i="13"/>
  <c r="G6203" i="13"/>
  <c r="G6204" i="13"/>
  <c r="G6205" i="13"/>
  <c r="G6206" i="13"/>
  <c r="G6207" i="13"/>
  <c r="G6208" i="13"/>
  <c r="G6209" i="13"/>
  <c r="G6210" i="13"/>
  <c r="G6211" i="13"/>
  <c r="G6212" i="13"/>
  <c r="G6213" i="13"/>
  <c r="G6214" i="13"/>
  <c r="G6215" i="13"/>
  <c r="G6216" i="13"/>
  <c r="G6217" i="13"/>
  <c r="G6218" i="13"/>
  <c r="G6219" i="13"/>
  <c r="G6220" i="13"/>
  <c r="G6221" i="13"/>
  <c r="G6222" i="13"/>
  <c r="G6223" i="13"/>
  <c r="G6224" i="13"/>
  <c r="G6225" i="13"/>
  <c r="G6226" i="13"/>
  <c r="G6227" i="13"/>
  <c r="G6228" i="13"/>
  <c r="G6229" i="13"/>
  <c r="G6230" i="13"/>
  <c r="G6231" i="13"/>
  <c r="G6232" i="13"/>
  <c r="G6233" i="13"/>
  <c r="G6234" i="13"/>
  <c r="G6235" i="13"/>
  <c r="G6236" i="13"/>
  <c r="G6237" i="13"/>
  <c r="G6238" i="13"/>
  <c r="G6239" i="13"/>
  <c r="G6240" i="13"/>
  <c r="G6241" i="13"/>
  <c r="G6242" i="13"/>
  <c r="G6243" i="13"/>
  <c r="G6244" i="13"/>
  <c r="G6245" i="13"/>
  <c r="G6246" i="13"/>
  <c r="G6247" i="13"/>
  <c r="G6248" i="13"/>
  <c r="G6249" i="13"/>
  <c r="G6250" i="13"/>
  <c r="G6251" i="13"/>
  <c r="G6252" i="13"/>
  <c r="G6253" i="13"/>
  <c r="G6254" i="13"/>
  <c r="G6255" i="13"/>
  <c r="G6256" i="13"/>
  <c r="G6257" i="13"/>
  <c r="G6258" i="13"/>
  <c r="G6259" i="13"/>
  <c r="G6260" i="13"/>
  <c r="G6261" i="13"/>
  <c r="G6262" i="13"/>
  <c r="G6263" i="13"/>
  <c r="G6264" i="13"/>
  <c r="G6265" i="13"/>
  <c r="G6266" i="13"/>
  <c r="G6267" i="13"/>
  <c r="G6268" i="13"/>
  <c r="G6269" i="13"/>
  <c r="G6270" i="13"/>
  <c r="G6271" i="13"/>
  <c r="G6272" i="13"/>
  <c r="G6273" i="13"/>
  <c r="G6274" i="13"/>
  <c r="G6275" i="13"/>
  <c r="G6276" i="13"/>
  <c r="G6277" i="13"/>
  <c r="G6278" i="13"/>
  <c r="G6279" i="13"/>
  <c r="G6280" i="13"/>
  <c r="G6281" i="13"/>
  <c r="G6282" i="13"/>
  <c r="G6283" i="13"/>
  <c r="G6284" i="13"/>
  <c r="G6285" i="13"/>
  <c r="G6286" i="13"/>
  <c r="G6287" i="13"/>
  <c r="G6288" i="13"/>
  <c r="G6289" i="13"/>
  <c r="G6290" i="13"/>
  <c r="G6291" i="13"/>
  <c r="G6292" i="13"/>
  <c r="G6293" i="13"/>
  <c r="G6294" i="13"/>
  <c r="G6295" i="13"/>
  <c r="G6296" i="13"/>
  <c r="G6297" i="13"/>
  <c r="G6298" i="13"/>
  <c r="G6299" i="13"/>
  <c r="G6300" i="13"/>
  <c r="G6301" i="13"/>
  <c r="G6302" i="13"/>
  <c r="G6303" i="13"/>
  <c r="G6304" i="13"/>
  <c r="G6305" i="13"/>
  <c r="G6306" i="13"/>
  <c r="G6307" i="13"/>
  <c r="G6308" i="13"/>
  <c r="G6309" i="13"/>
  <c r="G6310" i="13"/>
  <c r="G6311" i="13"/>
  <c r="G2" i="13"/>
  <c r="G3" i="12"/>
  <c r="G4" i="12"/>
  <c r="G5" i="12"/>
  <c r="G6" i="12"/>
  <c r="G7" i="12"/>
  <c r="G8" i="12"/>
  <c r="G9" i="12"/>
  <c r="G10" i="12"/>
  <c r="G11" i="12"/>
  <c r="G12" i="12"/>
  <c r="G13" i="12"/>
  <c r="G14" i="12"/>
  <c r="G15" i="12"/>
  <c r="G16" i="12"/>
  <c r="G17" i="12"/>
  <c r="G18" i="12"/>
  <c r="G19" i="12"/>
  <c r="G20" i="12"/>
  <c r="G21" i="12"/>
  <c r="G22" i="12"/>
  <c r="G23" i="12"/>
  <c r="G24" i="12"/>
  <c r="G25" i="12"/>
  <c r="G26" i="12"/>
  <c r="G27" i="12"/>
  <c r="G28" i="12"/>
  <c r="G29" i="12"/>
  <c r="G30" i="12"/>
  <c r="G31" i="12"/>
  <c r="G32" i="12"/>
  <c r="G33" i="12"/>
  <c r="G34" i="12"/>
  <c r="G35" i="12"/>
  <c r="G36" i="12"/>
  <c r="G37" i="12"/>
  <c r="G38" i="12"/>
  <c r="G39" i="12"/>
  <c r="G40" i="12"/>
  <c r="G41" i="12"/>
  <c r="G42" i="12"/>
  <c r="G43" i="12"/>
  <c r="G44" i="12"/>
  <c r="G45" i="12"/>
  <c r="G46" i="12"/>
  <c r="G47" i="12"/>
  <c r="G48" i="12"/>
  <c r="G49" i="12"/>
  <c r="G50" i="12"/>
  <c r="G51" i="12"/>
  <c r="G52" i="12"/>
  <c r="G53" i="12"/>
  <c r="G54" i="12"/>
  <c r="G55" i="12"/>
  <c r="G56" i="12"/>
  <c r="G57" i="12"/>
  <c r="G58" i="12"/>
  <c r="G59" i="12"/>
  <c r="G60" i="12"/>
  <c r="G61" i="12"/>
  <c r="G62" i="12"/>
  <c r="G63" i="12"/>
  <c r="G64" i="12"/>
  <c r="G65" i="12"/>
  <c r="G66" i="12"/>
  <c r="G67" i="12"/>
  <c r="G68" i="12"/>
  <c r="G69" i="12"/>
  <c r="G70" i="12"/>
  <c r="G71" i="12"/>
  <c r="G72" i="12"/>
  <c r="G73" i="12"/>
  <c r="G74" i="12"/>
  <c r="G75" i="12"/>
  <c r="G76" i="12"/>
  <c r="G77" i="12"/>
  <c r="G78" i="12"/>
  <c r="G79" i="12"/>
  <c r="G80" i="12"/>
  <c r="G81" i="12"/>
  <c r="G82" i="12"/>
  <c r="G83" i="12"/>
  <c r="G84" i="12"/>
  <c r="G85" i="12"/>
  <c r="G86" i="12"/>
  <c r="G87" i="12"/>
  <c r="G88" i="12"/>
  <c r="G89" i="12"/>
  <c r="G90" i="12"/>
  <c r="G91" i="12"/>
  <c r="G92" i="12"/>
  <c r="G93" i="12"/>
  <c r="G94" i="12"/>
  <c r="G95" i="12"/>
  <c r="G96" i="12"/>
  <c r="G97" i="12"/>
  <c r="G98" i="12"/>
  <c r="G99" i="12"/>
  <c r="G100" i="12"/>
  <c r="G101" i="12"/>
  <c r="G102" i="12"/>
  <c r="G103" i="12"/>
  <c r="G104" i="12"/>
  <c r="G105" i="12"/>
  <c r="G106" i="12"/>
  <c r="G107" i="12"/>
  <c r="G108" i="12"/>
  <c r="G109" i="12"/>
  <c r="G110" i="12"/>
  <c r="G111" i="12"/>
  <c r="G112" i="12"/>
  <c r="G113" i="12"/>
  <c r="G114" i="12"/>
  <c r="G115" i="12"/>
  <c r="G116" i="12"/>
  <c r="G117" i="12"/>
  <c r="G118" i="12"/>
  <c r="G119" i="12"/>
  <c r="G120" i="12"/>
  <c r="G121" i="12"/>
  <c r="G122" i="12"/>
  <c r="G123" i="12"/>
  <c r="G124" i="12"/>
  <c r="G125" i="12"/>
  <c r="G126" i="12"/>
  <c r="G127" i="12"/>
  <c r="G128" i="12"/>
  <c r="G129" i="12"/>
  <c r="G130" i="12"/>
  <c r="G131" i="12"/>
  <c r="G132" i="12"/>
  <c r="G133" i="12"/>
  <c r="G134" i="12"/>
  <c r="G135" i="12"/>
  <c r="G136" i="12"/>
  <c r="G137" i="12"/>
  <c r="G138" i="12"/>
  <c r="G139" i="12"/>
  <c r="G140" i="12"/>
  <c r="G141" i="12"/>
  <c r="G142" i="12"/>
  <c r="G143" i="12"/>
  <c r="G144" i="12"/>
  <c r="G145" i="12"/>
  <c r="G146" i="12"/>
  <c r="G147" i="12"/>
  <c r="G148" i="12"/>
  <c r="G149" i="12"/>
  <c r="G150" i="12"/>
  <c r="G151" i="12"/>
  <c r="G152" i="12"/>
  <c r="G153" i="12"/>
  <c r="G154" i="12"/>
  <c r="G155" i="12"/>
  <c r="G156" i="12"/>
  <c r="G157" i="12"/>
  <c r="G158" i="12"/>
  <c r="G159" i="12"/>
  <c r="G160" i="12"/>
  <c r="G161" i="12"/>
  <c r="G162" i="12"/>
  <c r="G163" i="12"/>
  <c r="G164" i="12"/>
  <c r="G165" i="12"/>
  <c r="G166" i="12"/>
  <c r="G167" i="12"/>
  <c r="G168" i="12"/>
  <c r="G169" i="12"/>
  <c r="G170" i="12"/>
  <c r="G171" i="12"/>
  <c r="G172" i="12"/>
  <c r="G173" i="12"/>
  <c r="G174" i="12"/>
  <c r="G175" i="12"/>
  <c r="G176" i="12"/>
  <c r="G177" i="12"/>
  <c r="G178" i="12"/>
  <c r="G179" i="12"/>
  <c r="G180" i="12"/>
  <c r="G181" i="12"/>
  <c r="G182" i="12"/>
  <c r="G183" i="12"/>
  <c r="G184" i="12"/>
  <c r="G185" i="12"/>
  <c r="G186" i="12"/>
  <c r="G187" i="12"/>
  <c r="G188" i="12"/>
  <c r="G189" i="12"/>
  <c r="G190" i="12"/>
  <c r="G191" i="12"/>
  <c r="G192" i="12"/>
  <c r="G193" i="12"/>
  <c r="G194" i="12"/>
  <c r="G195" i="12"/>
  <c r="G196" i="12"/>
  <c r="G197" i="12"/>
  <c r="G198" i="12"/>
  <c r="G199" i="12"/>
  <c r="G200" i="12"/>
  <c r="G201" i="12"/>
  <c r="G202" i="12"/>
  <c r="G203" i="12"/>
  <c r="G204" i="12"/>
  <c r="G205" i="12"/>
  <c r="G206" i="12"/>
  <c r="G207" i="12"/>
  <c r="G208" i="12"/>
  <c r="G209" i="12"/>
  <c r="G210" i="12"/>
  <c r="G211" i="12"/>
  <c r="G212" i="12"/>
  <c r="G213" i="12"/>
  <c r="G214" i="12"/>
  <c r="G215" i="12"/>
  <c r="G216" i="12"/>
  <c r="G217" i="12"/>
  <c r="G218" i="12"/>
  <c r="G219" i="12"/>
  <c r="G220" i="12"/>
  <c r="G221" i="12"/>
  <c r="G222" i="12"/>
  <c r="G223" i="12"/>
  <c r="G224" i="12"/>
  <c r="G225" i="12"/>
  <c r="G226" i="12"/>
  <c r="G227" i="12"/>
  <c r="G228" i="12"/>
  <c r="G229" i="12"/>
  <c r="G230" i="12"/>
  <c r="G231" i="12"/>
  <c r="G232" i="12"/>
  <c r="G233" i="12"/>
  <c r="G234" i="12"/>
  <c r="G235" i="12"/>
  <c r="G236" i="12"/>
  <c r="G237" i="12"/>
  <c r="G238" i="12"/>
  <c r="G239" i="12"/>
  <c r="G240" i="12"/>
  <c r="G241" i="12"/>
  <c r="G242" i="12"/>
  <c r="G243" i="12"/>
  <c r="G244" i="12"/>
  <c r="G245" i="12"/>
  <c r="G246" i="12"/>
  <c r="G247" i="12"/>
  <c r="G248" i="12"/>
  <c r="G249" i="12"/>
  <c r="G250" i="12"/>
  <c r="G251" i="12"/>
  <c r="G252" i="12"/>
  <c r="G253" i="12"/>
  <c r="G254" i="12"/>
  <c r="G255" i="12"/>
  <c r="G256" i="12"/>
  <c r="G257" i="12"/>
  <c r="G258" i="12"/>
  <c r="G259" i="12"/>
  <c r="G260" i="12"/>
  <c r="G261" i="12"/>
  <c r="G262" i="12"/>
  <c r="G263" i="12"/>
  <c r="G264" i="12"/>
  <c r="G265" i="12"/>
  <c r="G266" i="12"/>
  <c r="G267" i="12"/>
  <c r="G268" i="12"/>
  <c r="G269" i="12"/>
  <c r="G270" i="12"/>
  <c r="G271" i="12"/>
  <c r="G272" i="12"/>
  <c r="G273" i="12"/>
  <c r="G274" i="12"/>
  <c r="G275" i="12"/>
  <c r="G276" i="12"/>
  <c r="G277" i="12"/>
  <c r="G278" i="12"/>
  <c r="G279" i="12"/>
  <c r="G280" i="12"/>
  <c r="G281" i="12"/>
  <c r="G282" i="12"/>
  <c r="G283" i="12"/>
  <c r="G284" i="12"/>
  <c r="G285" i="12"/>
  <c r="G286" i="12"/>
  <c r="G287" i="12"/>
  <c r="G288" i="12"/>
  <c r="G289" i="12"/>
  <c r="G290" i="12"/>
  <c r="G291" i="12"/>
  <c r="G292" i="12"/>
  <c r="G293" i="12"/>
  <c r="G294" i="12"/>
  <c r="G295" i="12"/>
  <c r="G296" i="12"/>
  <c r="G297" i="12"/>
  <c r="G298" i="12"/>
  <c r="G299" i="12"/>
  <c r="G300" i="12"/>
  <c r="G301" i="12"/>
  <c r="G302" i="12"/>
  <c r="G303" i="12"/>
  <c r="G304" i="12"/>
  <c r="G305" i="12"/>
  <c r="G306" i="12"/>
  <c r="G307" i="12"/>
  <c r="G308" i="12"/>
  <c r="G309" i="12"/>
  <c r="G310" i="12"/>
  <c r="G311" i="12"/>
  <c r="G312" i="12"/>
  <c r="G313" i="12"/>
  <c r="G314" i="12"/>
  <c r="G315" i="12"/>
  <c r="G316" i="12"/>
  <c r="G317" i="12"/>
  <c r="G318" i="12"/>
  <c r="G319" i="12"/>
  <c r="G320" i="12"/>
  <c r="G321" i="12"/>
  <c r="G322" i="12"/>
  <c r="G323" i="12"/>
  <c r="G324" i="12"/>
  <c r="G325" i="12"/>
  <c r="G326" i="12"/>
  <c r="G327" i="12"/>
  <c r="G328" i="12"/>
  <c r="G329" i="12"/>
  <c r="G330" i="12"/>
  <c r="G331" i="12"/>
  <c r="G332" i="12"/>
  <c r="G333" i="12"/>
  <c r="G334" i="12"/>
  <c r="G335" i="12"/>
  <c r="G336" i="12"/>
  <c r="G337" i="12"/>
  <c r="G338" i="12"/>
  <c r="G339" i="12"/>
  <c r="G340" i="12"/>
  <c r="G341" i="12"/>
  <c r="G342" i="12"/>
  <c r="G343" i="12"/>
  <c r="G344" i="12"/>
  <c r="G345" i="12"/>
  <c r="G346" i="12"/>
  <c r="G347" i="12"/>
  <c r="G348" i="12"/>
  <c r="G349" i="12"/>
  <c r="G350" i="12"/>
  <c r="G351" i="12"/>
  <c r="G352" i="12"/>
  <c r="G353" i="12"/>
  <c r="G354" i="12"/>
  <c r="G355" i="12"/>
  <c r="G356" i="12"/>
  <c r="G357" i="12"/>
  <c r="G358" i="12"/>
  <c r="G359" i="12"/>
  <c r="G360" i="12"/>
  <c r="G361" i="12"/>
  <c r="G362" i="12"/>
  <c r="G363" i="12"/>
  <c r="G364" i="12"/>
  <c r="G365" i="12"/>
  <c r="G366" i="12"/>
  <c r="G367" i="12"/>
  <c r="G368" i="12"/>
  <c r="G369" i="12"/>
  <c r="G370" i="12"/>
  <c r="G371" i="12"/>
  <c r="G372" i="12"/>
  <c r="G373" i="12"/>
  <c r="G374" i="12"/>
  <c r="G375" i="12"/>
  <c r="G376" i="12"/>
  <c r="G377" i="12"/>
  <c r="G378" i="12"/>
  <c r="G379" i="12"/>
  <c r="G380" i="12"/>
  <c r="G381" i="12"/>
  <c r="G382" i="12"/>
  <c r="G383" i="12"/>
  <c r="G384" i="12"/>
  <c r="G385" i="12"/>
  <c r="G386" i="12"/>
  <c r="G387" i="12"/>
  <c r="G388" i="12"/>
  <c r="G389" i="12"/>
  <c r="G390" i="12"/>
  <c r="G391" i="12"/>
  <c r="G392" i="12"/>
  <c r="G393" i="12"/>
  <c r="G394" i="12"/>
  <c r="G395" i="12"/>
  <c r="G396" i="12"/>
  <c r="G397" i="12"/>
  <c r="G398" i="12"/>
  <c r="G399" i="12"/>
  <c r="G400" i="12"/>
  <c r="G401" i="12"/>
  <c r="G402" i="12"/>
  <c r="G403" i="12"/>
  <c r="G404" i="12"/>
  <c r="G405" i="12"/>
  <c r="G406" i="12"/>
  <c r="G407" i="12"/>
  <c r="G408" i="12"/>
  <c r="G409" i="12"/>
  <c r="G410" i="12"/>
  <c r="G411" i="12"/>
  <c r="G412" i="12"/>
  <c r="G413" i="12"/>
  <c r="G414" i="12"/>
  <c r="G415" i="12"/>
  <c r="G416" i="12"/>
  <c r="G417" i="12"/>
  <c r="G418" i="12"/>
  <c r="G419" i="12"/>
  <c r="G420" i="12"/>
  <c r="G421" i="12"/>
  <c r="G422" i="12"/>
  <c r="G423" i="12"/>
  <c r="G424" i="12"/>
  <c r="G425" i="12"/>
  <c r="G426" i="12"/>
  <c r="G427" i="12"/>
  <c r="G428" i="12"/>
  <c r="G429" i="12"/>
  <c r="G430" i="12"/>
  <c r="G431" i="12"/>
  <c r="G432" i="12"/>
  <c r="G433" i="12"/>
  <c r="G434" i="12"/>
  <c r="G435" i="12"/>
  <c r="G436" i="12"/>
  <c r="G437" i="12"/>
  <c r="G438" i="12"/>
  <c r="G439" i="12"/>
  <c r="G440" i="12"/>
  <c r="G441" i="12"/>
  <c r="G442" i="12"/>
  <c r="G443" i="12"/>
  <c r="G444" i="12"/>
  <c r="G445" i="12"/>
  <c r="G446" i="12"/>
  <c r="G447" i="12"/>
  <c r="G448" i="12"/>
  <c r="G449" i="12"/>
  <c r="G450" i="12"/>
  <c r="G451" i="12"/>
  <c r="G452" i="12"/>
  <c r="G453" i="12"/>
  <c r="G454" i="12"/>
  <c r="G455" i="12"/>
  <c r="G456" i="12"/>
  <c r="G457" i="12"/>
  <c r="G458" i="12"/>
  <c r="G459" i="12"/>
  <c r="G460" i="12"/>
  <c r="G461" i="12"/>
  <c r="G462" i="12"/>
  <c r="G463" i="12"/>
  <c r="G464" i="12"/>
  <c r="G465" i="12"/>
  <c r="G466" i="12"/>
  <c r="G467" i="12"/>
  <c r="G468" i="12"/>
  <c r="G469" i="12"/>
  <c r="G470" i="12"/>
  <c r="G471" i="12"/>
  <c r="G472" i="12"/>
  <c r="G473" i="12"/>
  <c r="G474" i="12"/>
  <c r="G475" i="12"/>
  <c r="G476" i="12"/>
  <c r="G477" i="12"/>
  <c r="G478" i="12"/>
  <c r="G479" i="12"/>
  <c r="G480" i="12"/>
  <c r="G481" i="12"/>
  <c r="G482" i="12"/>
  <c r="G483" i="12"/>
  <c r="G484" i="12"/>
  <c r="G485" i="12"/>
  <c r="G486" i="12"/>
  <c r="G487" i="12"/>
  <c r="G488" i="12"/>
  <c r="G489" i="12"/>
  <c r="G490" i="12"/>
  <c r="G491" i="12"/>
  <c r="G492" i="12"/>
  <c r="G493" i="12"/>
  <c r="G494" i="12"/>
  <c r="G495" i="12"/>
  <c r="G496" i="12"/>
  <c r="G497" i="12"/>
  <c r="G498" i="12"/>
  <c r="G499" i="12"/>
  <c r="G500" i="12"/>
  <c r="G501" i="12"/>
  <c r="G502" i="12"/>
  <c r="G503" i="12"/>
  <c r="G504" i="12"/>
  <c r="G505" i="12"/>
  <c r="G506" i="12"/>
  <c r="G507" i="12"/>
  <c r="G508" i="12"/>
  <c r="G509" i="12"/>
  <c r="G510" i="12"/>
  <c r="G511" i="12"/>
  <c r="G512" i="12"/>
  <c r="G513" i="12"/>
  <c r="G514" i="12"/>
  <c r="G515" i="12"/>
  <c r="G516" i="12"/>
  <c r="G517" i="12"/>
  <c r="G518" i="12"/>
  <c r="G519" i="12"/>
  <c r="G520" i="12"/>
  <c r="G521" i="12"/>
  <c r="G522" i="12"/>
  <c r="G523" i="12"/>
  <c r="G524" i="12"/>
  <c r="G525" i="12"/>
  <c r="G526" i="12"/>
  <c r="G527" i="12"/>
  <c r="G528" i="12"/>
  <c r="G529" i="12"/>
  <c r="G530" i="12"/>
  <c r="G531" i="12"/>
  <c r="G532" i="12"/>
  <c r="G533" i="12"/>
  <c r="G534" i="12"/>
  <c r="G535" i="12"/>
  <c r="G536" i="12"/>
  <c r="G537" i="12"/>
  <c r="G538" i="12"/>
  <c r="G539" i="12"/>
  <c r="G540" i="12"/>
  <c r="G541" i="12"/>
  <c r="G542" i="12"/>
  <c r="G543" i="12"/>
  <c r="G544" i="12"/>
  <c r="G545" i="12"/>
  <c r="G546" i="12"/>
  <c r="G547" i="12"/>
  <c r="G548" i="12"/>
  <c r="G549" i="12"/>
  <c r="G550" i="12"/>
  <c r="G551" i="12"/>
  <c r="G552" i="12"/>
  <c r="G553" i="12"/>
  <c r="G554" i="12"/>
  <c r="G555" i="12"/>
  <c r="G556" i="12"/>
  <c r="G557" i="12"/>
  <c r="G558" i="12"/>
  <c r="G559" i="12"/>
  <c r="G560" i="12"/>
  <c r="G561" i="12"/>
  <c r="G562" i="12"/>
  <c r="G563" i="12"/>
  <c r="G564" i="12"/>
  <c r="G565" i="12"/>
  <c r="G566" i="12"/>
  <c r="G567" i="12"/>
  <c r="G568" i="12"/>
  <c r="G569" i="12"/>
  <c r="G570" i="12"/>
  <c r="G571" i="12"/>
  <c r="G572" i="12"/>
  <c r="G573" i="12"/>
  <c r="G574" i="12"/>
  <c r="G575" i="12"/>
  <c r="G576" i="12"/>
  <c r="G577" i="12"/>
  <c r="G578" i="12"/>
  <c r="G579" i="12"/>
  <c r="G580" i="12"/>
  <c r="G581" i="12"/>
  <c r="G582" i="12"/>
  <c r="G583" i="12"/>
  <c r="G584" i="12"/>
  <c r="G585" i="12"/>
  <c r="G586" i="12"/>
  <c r="G587" i="12"/>
  <c r="G588" i="12"/>
  <c r="G589" i="12"/>
  <c r="G590" i="12"/>
  <c r="G591" i="12"/>
  <c r="G592" i="12"/>
  <c r="G593" i="12"/>
  <c r="G594" i="12"/>
  <c r="G595" i="12"/>
  <c r="G596" i="12"/>
  <c r="G597" i="12"/>
  <c r="G598" i="12"/>
  <c r="G599" i="12"/>
  <c r="G600" i="12"/>
  <c r="G601" i="12"/>
  <c r="G602" i="12"/>
  <c r="G603" i="12"/>
  <c r="G604" i="12"/>
  <c r="G605" i="12"/>
  <c r="G606" i="12"/>
  <c r="G607" i="12"/>
  <c r="G608" i="12"/>
  <c r="G609" i="12"/>
  <c r="G610" i="12"/>
  <c r="G611" i="12"/>
  <c r="G612" i="12"/>
  <c r="G613" i="12"/>
  <c r="G614" i="12"/>
  <c r="G615" i="12"/>
  <c r="G616" i="12"/>
  <c r="G617" i="12"/>
  <c r="G618" i="12"/>
  <c r="G619" i="12"/>
  <c r="G620" i="12"/>
  <c r="G621" i="12"/>
  <c r="G622" i="12"/>
  <c r="G623" i="12"/>
  <c r="G624" i="12"/>
  <c r="G625" i="12"/>
  <c r="G626" i="12"/>
  <c r="G627" i="12"/>
  <c r="G628" i="12"/>
  <c r="G629" i="12"/>
  <c r="G630" i="12"/>
  <c r="G631" i="12"/>
  <c r="G632" i="12"/>
  <c r="G633" i="12"/>
  <c r="G634" i="12"/>
  <c r="G635" i="12"/>
  <c r="G636" i="12"/>
  <c r="G637" i="12"/>
  <c r="G638" i="12"/>
  <c r="G639" i="12"/>
  <c r="G640" i="12"/>
  <c r="G641" i="12"/>
  <c r="G642" i="12"/>
  <c r="G643" i="12"/>
  <c r="G644" i="12"/>
  <c r="G645" i="12"/>
  <c r="G646" i="12"/>
  <c r="G647" i="12"/>
  <c r="G648" i="12"/>
  <c r="G649" i="12"/>
  <c r="G650" i="12"/>
  <c r="G651" i="12"/>
  <c r="G652" i="12"/>
  <c r="G653" i="12"/>
  <c r="G654" i="12"/>
  <c r="G655" i="12"/>
  <c r="G656" i="12"/>
  <c r="G657" i="12"/>
  <c r="G658" i="12"/>
  <c r="G659" i="12"/>
  <c r="G660" i="12"/>
  <c r="G661" i="12"/>
  <c r="G662" i="12"/>
  <c r="G663" i="12"/>
  <c r="G664" i="12"/>
  <c r="G665" i="12"/>
  <c r="G666" i="12"/>
  <c r="G667" i="12"/>
  <c r="G668" i="12"/>
  <c r="G669" i="12"/>
  <c r="G670" i="12"/>
  <c r="G671" i="12"/>
  <c r="G672" i="12"/>
  <c r="G673" i="12"/>
  <c r="G674" i="12"/>
  <c r="G675" i="12"/>
  <c r="G676" i="12"/>
  <c r="G677" i="12"/>
  <c r="G678" i="12"/>
  <c r="G679" i="12"/>
  <c r="G680" i="12"/>
  <c r="G681" i="12"/>
  <c r="G682" i="12"/>
  <c r="G683" i="12"/>
  <c r="G684" i="12"/>
  <c r="G685" i="12"/>
  <c r="G686" i="12"/>
  <c r="G687" i="12"/>
  <c r="G688" i="12"/>
  <c r="G689" i="12"/>
  <c r="G690" i="12"/>
  <c r="G691" i="12"/>
  <c r="G692" i="12"/>
  <c r="G693" i="12"/>
  <c r="G694" i="12"/>
  <c r="G695" i="12"/>
  <c r="G696" i="12"/>
  <c r="G697" i="12"/>
  <c r="G698" i="12"/>
  <c r="G699" i="12"/>
  <c r="G700" i="12"/>
  <c r="G701" i="12"/>
  <c r="G702" i="12"/>
  <c r="G703" i="12"/>
  <c r="G704" i="12"/>
  <c r="G705" i="12"/>
  <c r="G706" i="12"/>
  <c r="G707" i="12"/>
  <c r="G708" i="12"/>
  <c r="G709" i="12"/>
  <c r="G710" i="12"/>
  <c r="G711" i="12"/>
  <c r="G712" i="12"/>
  <c r="G713" i="12"/>
  <c r="G714" i="12"/>
  <c r="G715" i="12"/>
  <c r="G716" i="12"/>
  <c r="G717" i="12"/>
  <c r="G718" i="12"/>
  <c r="G719" i="12"/>
  <c r="G720" i="12"/>
  <c r="G721" i="12"/>
  <c r="G722" i="12"/>
  <c r="G723" i="12"/>
  <c r="G724" i="12"/>
  <c r="G725" i="12"/>
  <c r="G726" i="12"/>
  <c r="G727" i="12"/>
  <c r="G728" i="12"/>
  <c r="G729" i="12"/>
  <c r="G730" i="12"/>
  <c r="G731" i="12"/>
  <c r="G732" i="12"/>
  <c r="G733" i="12"/>
  <c r="G734" i="12"/>
  <c r="G735" i="12"/>
  <c r="G736" i="12"/>
  <c r="G737" i="12"/>
  <c r="G738" i="12"/>
  <c r="G739" i="12"/>
  <c r="G740" i="12"/>
  <c r="G741" i="12"/>
  <c r="G742" i="12"/>
  <c r="G743" i="12"/>
  <c r="G744" i="12"/>
  <c r="G745" i="12"/>
  <c r="G746" i="12"/>
  <c r="G747" i="12"/>
  <c r="G748" i="12"/>
  <c r="G749" i="12"/>
  <c r="G750" i="12"/>
  <c r="G751" i="12"/>
  <c r="G752" i="12"/>
  <c r="G753" i="12"/>
  <c r="G754" i="12"/>
  <c r="G755" i="12"/>
  <c r="G756" i="12"/>
  <c r="G757" i="12"/>
  <c r="G758" i="12"/>
  <c r="G759" i="12"/>
  <c r="G760" i="12"/>
  <c r="G761" i="12"/>
  <c r="G762" i="12"/>
  <c r="G763" i="12"/>
  <c r="G764" i="12"/>
  <c r="G765" i="12"/>
  <c r="G766" i="12"/>
  <c r="G767" i="12"/>
  <c r="G768" i="12"/>
  <c r="G769" i="12"/>
  <c r="G770" i="12"/>
  <c r="G771" i="12"/>
  <c r="G772" i="12"/>
  <c r="G773" i="12"/>
  <c r="G774" i="12"/>
  <c r="G775" i="12"/>
  <c r="G776" i="12"/>
  <c r="G777" i="12"/>
  <c r="G778" i="12"/>
  <c r="G779" i="12"/>
  <c r="G780" i="12"/>
  <c r="G781" i="12"/>
  <c r="G782" i="12"/>
  <c r="G783" i="12"/>
  <c r="G784" i="12"/>
  <c r="G785" i="12"/>
  <c r="G786" i="12"/>
  <c r="G787" i="12"/>
  <c r="G788" i="12"/>
  <c r="G789" i="12"/>
  <c r="G790" i="12"/>
  <c r="G791" i="12"/>
  <c r="G792" i="12"/>
  <c r="G793" i="12"/>
  <c r="G794" i="12"/>
  <c r="G795" i="12"/>
  <c r="G796" i="12"/>
  <c r="G797" i="12"/>
  <c r="G798" i="12"/>
  <c r="G799" i="12"/>
  <c r="G800" i="12"/>
  <c r="G801" i="12"/>
  <c r="G802" i="12"/>
  <c r="G803" i="12"/>
  <c r="G804" i="12"/>
  <c r="G805" i="12"/>
  <c r="G806" i="12"/>
  <c r="G807" i="12"/>
  <c r="G808" i="12"/>
  <c r="G809" i="12"/>
  <c r="G810" i="12"/>
  <c r="G811" i="12"/>
  <c r="G812" i="12"/>
  <c r="G813" i="12"/>
  <c r="G814" i="12"/>
  <c r="G815" i="12"/>
  <c r="G816" i="12"/>
  <c r="G817" i="12"/>
  <c r="G818" i="12"/>
  <c r="G819" i="12"/>
  <c r="G820" i="12"/>
  <c r="G821" i="12"/>
  <c r="G822" i="12"/>
  <c r="G823" i="12"/>
  <c r="G824" i="12"/>
  <c r="G825" i="12"/>
  <c r="G826" i="12"/>
  <c r="G827" i="12"/>
  <c r="G828" i="12"/>
  <c r="G829" i="12"/>
  <c r="G830" i="12"/>
  <c r="G831" i="12"/>
  <c r="G832" i="12"/>
  <c r="G833" i="12"/>
  <c r="G834" i="12"/>
  <c r="G835" i="12"/>
  <c r="G836" i="12"/>
  <c r="G837" i="12"/>
  <c r="G838" i="12"/>
  <c r="G839" i="12"/>
  <c r="G840" i="12"/>
  <c r="G841" i="12"/>
  <c r="G842" i="12"/>
  <c r="G843" i="12"/>
  <c r="G844" i="12"/>
  <c r="G845" i="12"/>
  <c r="G846" i="12"/>
  <c r="G847" i="12"/>
  <c r="G848" i="12"/>
  <c r="G849" i="12"/>
  <c r="G850" i="12"/>
  <c r="G851" i="12"/>
  <c r="G852" i="12"/>
  <c r="G853" i="12"/>
  <c r="G854" i="12"/>
  <c r="G855" i="12"/>
  <c r="G856" i="12"/>
  <c r="G857" i="12"/>
  <c r="G858" i="12"/>
  <c r="G859" i="12"/>
  <c r="G860" i="12"/>
  <c r="G861" i="12"/>
  <c r="G862" i="12"/>
  <c r="G863" i="12"/>
  <c r="G864" i="12"/>
  <c r="G865" i="12"/>
  <c r="G866" i="12"/>
  <c r="G867" i="12"/>
  <c r="G868" i="12"/>
  <c r="G869" i="12"/>
  <c r="G870" i="12"/>
  <c r="G871" i="12"/>
  <c r="G872" i="12"/>
  <c r="G873" i="12"/>
  <c r="G874" i="12"/>
  <c r="G875" i="12"/>
  <c r="G876" i="12"/>
  <c r="G877" i="12"/>
  <c r="G878" i="12"/>
  <c r="G879" i="12"/>
  <c r="G880" i="12"/>
  <c r="G881" i="12"/>
  <c r="G882" i="12"/>
  <c r="G883" i="12"/>
  <c r="G884" i="12"/>
  <c r="G885" i="12"/>
  <c r="G886" i="12"/>
  <c r="G887" i="12"/>
  <c r="G888" i="12"/>
  <c r="G889" i="12"/>
  <c r="G890" i="12"/>
  <c r="G891" i="12"/>
  <c r="G892" i="12"/>
  <c r="G893" i="12"/>
  <c r="G894" i="12"/>
  <c r="G895" i="12"/>
  <c r="G896" i="12"/>
  <c r="G897" i="12"/>
  <c r="G898" i="12"/>
  <c r="G899" i="12"/>
  <c r="G900" i="12"/>
  <c r="G901" i="12"/>
  <c r="G902" i="12"/>
  <c r="G903" i="12"/>
  <c r="G904" i="12"/>
  <c r="G905" i="12"/>
  <c r="G906" i="12"/>
  <c r="G907" i="12"/>
  <c r="G908" i="12"/>
  <c r="G909" i="12"/>
  <c r="G910" i="12"/>
  <c r="G911" i="12"/>
  <c r="G912" i="12"/>
  <c r="G913" i="12"/>
  <c r="G914" i="12"/>
  <c r="G915" i="12"/>
  <c r="G916" i="12"/>
  <c r="G917" i="12"/>
  <c r="G918" i="12"/>
  <c r="G919" i="12"/>
  <c r="G920" i="12"/>
  <c r="G921" i="12"/>
  <c r="G922" i="12"/>
  <c r="G923" i="12"/>
  <c r="G924" i="12"/>
  <c r="G925" i="12"/>
  <c r="G926" i="12"/>
  <c r="G927" i="12"/>
  <c r="G928" i="12"/>
  <c r="G929" i="12"/>
  <c r="G930" i="12"/>
  <c r="G931" i="12"/>
  <c r="G932" i="12"/>
  <c r="G933" i="12"/>
  <c r="G934" i="12"/>
  <c r="G935" i="12"/>
  <c r="G936" i="12"/>
  <c r="G937" i="12"/>
  <c r="G938" i="12"/>
  <c r="G939" i="12"/>
  <c r="G940" i="12"/>
  <c r="G941" i="12"/>
  <c r="G942" i="12"/>
  <c r="G943" i="12"/>
  <c r="G944" i="12"/>
  <c r="G945" i="12"/>
  <c r="G946" i="12"/>
  <c r="G947" i="12"/>
  <c r="G948" i="12"/>
  <c r="G949" i="12"/>
  <c r="G950" i="12"/>
  <c r="G951" i="12"/>
  <c r="G952" i="12"/>
  <c r="G953" i="12"/>
  <c r="G954" i="12"/>
  <c r="G955" i="12"/>
  <c r="G956" i="12"/>
  <c r="G957" i="12"/>
  <c r="G958" i="12"/>
  <c r="G959" i="12"/>
  <c r="G960" i="12"/>
  <c r="G961" i="12"/>
  <c r="G962" i="12"/>
  <c r="G963" i="12"/>
  <c r="G964" i="12"/>
  <c r="G965" i="12"/>
  <c r="G966" i="12"/>
  <c r="G967" i="12"/>
  <c r="G968" i="12"/>
  <c r="G969" i="12"/>
  <c r="G970" i="12"/>
  <c r="G971" i="12"/>
  <c r="G972" i="12"/>
  <c r="G973" i="12"/>
  <c r="G974" i="12"/>
  <c r="G975" i="12"/>
  <c r="G976" i="12"/>
  <c r="G977" i="12"/>
  <c r="G978" i="12"/>
  <c r="G979" i="12"/>
  <c r="G980" i="12"/>
  <c r="G981" i="12"/>
  <c r="G982" i="12"/>
  <c r="G983" i="12"/>
  <c r="G984" i="12"/>
  <c r="G985" i="12"/>
  <c r="G986" i="12"/>
  <c r="G987" i="12"/>
  <c r="G988" i="12"/>
  <c r="G989" i="12"/>
  <c r="G990" i="12"/>
  <c r="G991" i="12"/>
  <c r="G992" i="12"/>
  <c r="G993" i="12"/>
  <c r="G994" i="12"/>
  <c r="G995" i="12"/>
  <c r="G996" i="12"/>
  <c r="G997" i="12"/>
  <c r="G998" i="12"/>
  <c r="G999" i="12"/>
  <c r="G1000" i="12"/>
  <c r="G1001" i="12"/>
  <c r="G1002" i="12"/>
  <c r="G1003" i="12"/>
  <c r="G1004" i="12"/>
  <c r="G1005" i="12"/>
  <c r="G1006" i="12"/>
  <c r="G1007" i="12"/>
  <c r="G1008" i="12"/>
  <c r="G1009" i="12"/>
  <c r="G1010" i="12"/>
  <c r="G1011" i="12"/>
  <c r="G1012" i="12"/>
  <c r="G1013" i="12"/>
  <c r="G1014" i="12"/>
  <c r="G1015" i="12"/>
  <c r="G1016" i="12"/>
  <c r="G1017" i="12"/>
  <c r="G1018" i="12"/>
  <c r="G1019" i="12"/>
  <c r="G1020" i="12"/>
  <c r="G1021" i="12"/>
  <c r="G1022" i="12"/>
  <c r="G1023" i="12"/>
  <c r="G1024" i="12"/>
  <c r="G1025" i="12"/>
  <c r="G1026" i="12"/>
  <c r="G1027" i="12"/>
  <c r="G1028" i="12"/>
  <c r="G1029" i="12"/>
  <c r="G1030" i="12"/>
  <c r="G1031" i="12"/>
  <c r="G1032" i="12"/>
  <c r="G1033" i="12"/>
  <c r="G1034" i="12"/>
  <c r="G1035" i="12"/>
  <c r="G1036" i="12"/>
  <c r="G1037" i="12"/>
  <c r="G1038" i="12"/>
  <c r="G1039" i="12"/>
  <c r="G1040" i="12"/>
  <c r="G1041" i="12"/>
  <c r="G1042" i="12"/>
  <c r="G1043" i="12"/>
  <c r="G1044" i="12"/>
  <c r="G1045" i="12"/>
  <c r="G1046" i="12"/>
  <c r="G1047" i="12"/>
  <c r="G1048" i="12"/>
  <c r="G1049" i="12"/>
  <c r="G1050" i="12"/>
  <c r="G1051" i="12"/>
  <c r="G1052" i="12"/>
  <c r="G1053" i="12"/>
  <c r="G1054" i="12"/>
  <c r="G1055" i="12"/>
  <c r="G1056" i="12"/>
  <c r="G1057" i="12"/>
  <c r="G1058" i="12"/>
  <c r="G1059" i="12"/>
  <c r="G1060" i="12"/>
  <c r="G1061" i="12"/>
  <c r="G1062" i="12"/>
  <c r="G1063" i="12"/>
  <c r="G1064" i="12"/>
  <c r="G1065" i="12"/>
  <c r="G1066" i="12"/>
  <c r="G1067" i="12"/>
  <c r="G1068" i="12"/>
  <c r="G1069" i="12"/>
  <c r="G1070" i="12"/>
  <c r="G1071" i="12"/>
  <c r="G1072" i="12"/>
  <c r="G1073" i="12"/>
  <c r="G1074" i="12"/>
  <c r="G1075" i="12"/>
  <c r="G1076" i="12"/>
  <c r="G1077" i="12"/>
  <c r="G1078" i="12"/>
  <c r="G1079" i="12"/>
  <c r="G1080" i="12"/>
  <c r="G1081" i="12"/>
  <c r="G1082" i="12"/>
  <c r="G1083" i="12"/>
  <c r="G1084" i="12"/>
  <c r="G1085" i="12"/>
  <c r="G1086" i="12"/>
  <c r="G1087" i="12"/>
  <c r="G1088" i="12"/>
  <c r="G1089" i="12"/>
  <c r="G1090" i="12"/>
  <c r="G1091" i="12"/>
  <c r="G1092" i="12"/>
  <c r="G1093" i="12"/>
  <c r="G1094" i="12"/>
  <c r="G1095" i="12"/>
  <c r="G1096" i="12"/>
  <c r="G1097" i="12"/>
  <c r="G1098" i="12"/>
  <c r="G1099" i="12"/>
  <c r="G1100" i="12"/>
  <c r="G1101" i="12"/>
  <c r="G1102" i="12"/>
  <c r="G1103" i="12"/>
  <c r="G1104" i="12"/>
  <c r="G1105" i="12"/>
  <c r="G1106" i="12"/>
  <c r="G1107" i="12"/>
  <c r="G1108" i="12"/>
  <c r="G1109" i="12"/>
  <c r="G1110" i="12"/>
  <c r="G1111" i="12"/>
  <c r="G1112" i="12"/>
  <c r="G1113" i="12"/>
  <c r="G1114" i="12"/>
  <c r="G1115" i="12"/>
  <c r="G1116" i="12"/>
  <c r="G1117" i="12"/>
  <c r="G1118" i="12"/>
  <c r="G1119" i="12"/>
  <c r="G1120" i="12"/>
  <c r="G1121" i="12"/>
  <c r="G1122" i="12"/>
  <c r="G1123" i="12"/>
  <c r="G1124" i="12"/>
  <c r="G1125" i="12"/>
  <c r="G1126" i="12"/>
  <c r="G1127" i="12"/>
  <c r="G1128" i="12"/>
  <c r="G1129" i="12"/>
  <c r="G1130" i="12"/>
  <c r="G1131" i="12"/>
  <c r="G1132" i="12"/>
  <c r="G1133" i="12"/>
  <c r="G1134" i="12"/>
  <c r="G1135" i="12"/>
  <c r="G1136" i="12"/>
  <c r="G1137" i="12"/>
  <c r="G1138" i="12"/>
  <c r="G1139" i="12"/>
  <c r="G1140" i="12"/>
  <c r="G1141" i="12"/>
  <c r="G1142" i="12"/>
  <c r="G1143" i="12"/>
  <c r="G1144" i="12"/>
  <c r="G1145" i="12"/>
  <c r="G1146" i="12"/>
  <c r="G1147" i="12"/>
  <c r="G1148" i="12"/>
  <c r="G1149" i="12"/>
  <c r="G1150" i="12"/>
  <c r="G1151" i="12"/>
  <c r="G1152" i="12"/>
  <c r="G1153" i="12"/>
  <c r="G1154" i="12"/>
  <c r="G1155" i="12"/>
  <c r="G1156" i="12"/>
  <c r="G1157" i="12"/>
  <c r="G1158" i="12"/>
  <c r="G1159" i="12"/>
  <c r="G1160" i="12"/>
  <c r="G1161" i="12"/>
  <c r="G1162" i="12"/>
  <c r="G1163" i="12"/>
  <c r="G1164" i="12"/>
  <c r="G1165" i="12"/>
  <c r="G1166" i="12"/>
  <c r="G1167" i="12"/>
  <c r="G1168" i="12"/>
  <c r="G1169" i="12"/>
  <c r="G1170" i="12"/>
  <c r="G1171" i="12"/>
  <c r="G1172" i="12"/>
  <c r="G1173" i="12"/>
  <c r="G1174" i="12"/>
  <c r="G1175" i="12"/>
  <c r="G1176" i="12"/>
  <c r="G1177" i="12"/>
  <c r="G1178" i="12"/>
  <c r="G1179" i="12"/>
  <c r="G1180" i="12"/>
  <c r="G1181" i="12"/>
  <c r="G1182" i="12"/>
  <c r="G1183" i="12"/>
  <c r="G1184" i="12"/>
  <c r="G1185" i="12"/>
  <c r="G1186" i="12"/>
  <c r="G1187" i="12"/>
  <c r="G1188" i="12"/>
  <c r="G1189" i="12"/>
  <c r="G1190" i="12"/>
  <c r="G1191" i="12"/>
  <c r="G1192" i="12"/>
  <c r="G1193" i="12"/>
  <c r="G1194" i="12"/>
  <c r="G1195" i="12"/>
  <c r="G1196" i="12"/>
  <c r="G1197" i="12"/>
  <c r="G1198" i="12"/>
  <c r="G1199" i="12"/>
  <c r="G1200" i="12"/>
  <c r="G1201" i="12"/>
  <c r="G1202" i="12"/>
  <c r="G1203" i="12"/>
  <c r="G1204" i="12"/>
  <c r="G1205" i="12"/>
  <c r="G1206" i="12"/>
  <c r="G1207" i="12"/>
  <c r="G1208" i="12"/>
  <c r="G1209" i="12"/>
  <c r="G1210" i="12"/>
  <c r="G1211" i="12"/>
  <c r="G1212" i="12"/>
  <c r="G1213" i="12"/>
  <c r="G1214" i="12"/>
  <c r="G1215" i="12"/>
  <c r="G1216" i="12"/>
  <c r="G1217" i="12"/>
  <c r="G1218" i="12"/>
  <c r="G1219" i="12"/>
  <c r="G1220" i="12"/>
  <c r="G1221" i="12"/>
  <c r="G1222" i="12"/>
  <c r="G1223" i="12"/>
  <c r="G1224" i="12"/>
  <c r="G1225" i="12"/>
  <c r="G1226" i="12"/>
  <c r="G1227" i="12"/>
  <c r="G1228" i="12"/>
  <c r="G1229" i="12"/>
  <c r="G1230" i="12"/>
  <c r="G1231" i="12"/>
  <c r="G1232" i="12"/>
  <c r="G1233" i="12"/>
  <c r="G1234" i="12"/>
  <c r="G1235" i="12"/>
  <c r="G1236" i="12"/>
  <c r="G1237" i="12"/>
  <c r="G1238" i="12"/>
  <c r="G1239" i="12"/>
  <c r="G1240" i="12"/>
  <c r="G1241" i="12"/>
  <c r="G1242" i="12"/>
  <c r="G1243" i="12"/>
  <c r="G1244" i="12"/>
  <c r="G1245" i="12"/>
  <c r="G1246" i="12"/>
  <c r="G1247" i="12"/>
  <c r="G1248" i="12"/>
  <c r="G1249" i="12"/>
  <c r="G1250" i="12"/>
  <c r="G1251" i="12"/>
  <c r="G1252" i="12"/>
  <c r="G1253" i="12"/>
  <c r="G1254" i="12"/>
  <c r="G1255" i="12"/>
  <c r="G1256" i="12"/>
  <c r="G1257" i="12"/>
  <c r="G1258" i="12"/>
  <c r="G1259" i="12"/>
  <c r="G1260" i="12"/>
  <c r="G1261" i="12"/>
  <c r="G1262" i="12"/>
  <c r="G1263" i="12"/>
  <c r="G1264" i="12"/>
  <c r="G1265" i="12"/>
  <c r="G1266" i="12"/>
  <c r="G1267" i="12"/>
  <c r="G1268" i="12"/>
  <c r="G1269" i="12"/>
  <c r="G1270" i="12"/>
  <c r="G1271" i="12"/>
  <c r="G1272" i="12"/>
  <c r="G1273" i="12"/>
  <c r="G1274" i="12"/>
  <c r="G1275" i="12"/>
  <c r="G1276" i="12"/>
  <c r="G1277" i="12"/>
  <c r="G1278" i="12"/>
  <c r="G1279" i="12"/>
  <c r="G1280" i="12"/>
  <c r="G1281" i="12"/>
  <c r="G1282" i="12"/>
  <c r="G1283" i="12"/>
  <c r="G1284" i="12"/>
  <c r="G1285" i="12"/>
  <c r="G1286" i="12"/>
  <c r="G1287" i="12"/>
  <c r="G1288" i="12"/>
  <c r="G1289" i="12"/>
  <c r="G1290" i="12"/>
  <c r="G1291" i="12"/>
  <c r="G1292" i="12"/>
  <c r="G1293" i="12"/>
  <c r="G1294" i="12"/>
  <c r="G1295" i="12"/>
  <c r="G1296" i="12"/>
  <c r="G1297" i="12"/>
  <c r="G1298" i="12"/>
  <c r="G1299" i="12"/>
  <c r="G1300" i="12"/>
  <c r="G1301" i="12"/>
  <c r="G1302" i="12"/>
  <c r="G1303" i="12"/>
  <c r="G1304" i="12"/>
  <c r="G1305" i="12"/>
  <c r="G1306" i="12"/>
  <c r="G1307" i="12"/>
  <c r="G1308" i="12"/>
  <c r="G1309" i="12"/>
  <c r="G1310" i="12"/>
  <c r="G1311" i="12"/>
  <c r="G1312" i="12"/>
  <c r="G1313" i="12"/>
  <c r="G1314" i="12"/>
  <c r="G1315" i="12"/>
  <c r="G1316" i="12"/>
  <c r="G1317" i="12"/>
  <c r="G1318" i="12"/>
  <c r="G1319" i="12"/>
  <c r="G1320" i="12"/>
  <c r="G1321" i="12"/>
  <c r="G1322" i="12"/>
  <c r="G1323" i="12"/>
  <c r="G1324" i="12"/>
  <c r="G1325" i="12"/>
  <c r="G1326" i="12"/>
  <c r="G1327" i="12"/>
  <c r="G1328" i="12"/>
  <c r="G1329" i="12"/>
  <c r="G1330" i="12"/>
  <c r="G1331" i="12"/>
  <c r="G1332" i="12"/>
  <c r="G1333" i="12"/>
  <c r="G1334" i="12"/>
  <c r="G1335" i="12"/>
  <c r="G1336" i="12"/>
  <c r="G1337" i="12"/>
  <c r="G1338" i="12"/>
  <c r="G1339" i="12"/>
  <c r="G1340" i="12"/>
  <c r="G1341" i="12"/>
  <c r="G1342" i="12"/>
  <c r="G1343" i="12"/>
  <c r="G1344" i="12"/>
  <c r="G1345" i="12"/>
  <c r="G1346" i="12"/>
  <c r="G1347" i="12"/>
  <c r="G1348" i="12"/>
  <c r="G1349" i="12"/>
  <c r="G1350" i="12"/>
  <c r="G1351" i="12"/>
  <c r="G1352" i="12"/>
  <c r="G1353" i="12"/>
  <c r="G1354" i="12"/>
  <c r="G1355" i="12"/>
  <c r="G1356" i="12"/>
  <c r="G1357" i="12"/>
  <c r="G1358" i="12"/>
  <c r="G1359" i="12"/>
  <c r="G1360" i="12"/>
  <c r="G1361" i="12"/>
  <c r="G1362" i="12"/>
  <c r="G1363" i="12"/>
  <c r="G1364" i="12"/>
  <c r="G1365" i="12"/>
  <c r="G1366" i="12"/>
  <c r="G1367" i="12"/>
  <c r="G1368" i="12"/>
  <c r="G1369" i="12"/>
  <c r="G1370" i="12"/>
  <c r="G1371" i="12"/>
  <c r="G1372" i="12"/>
  <c r="G1373" i="12"/>
  <c r="G1374" i="12"/>
  <c r="G1375" i="12"/>
  <c r="G1376" i="12"/>
  <c r="G1377" i="12"/>
  <c r="G1378" i="12"/>
  <c r="G1379" i="12"/>
  <c r="G1380" i="12"/>
  <c r="G1381" i="12"/>
  <c r="G1382" i="12"/>
  <c r="G1383" i="12"/>
  <c r="G1384" i="12"/>
  <c r="G1385" i="12"/>
  <c r="G1386" i="12"/>
  <c r="G1387" i="12"/>
  <c r="G1388" i="12"/>
  <c r="G1389" i="12"/>
  <c r="G1390" i="12"/>
  <c r="G1391" i="12"/>
  <c r="G1392" i="12"/>
  <c r="G1393" i="12"/>
  <c r="G1394" i="12"/>
  <c r="G1395" i="12"/>
  <c r="G1396" i="12"/>
  <c r="G1397" i="12"/>
  <c r="G1398" i="12"/>
  <c r="G1399" i="12"/>
  <c r="G1400" i="12"/>
  <c r="G1401" i="12"/>
  <c r="G1402" i="12"/>
  <c r="G1403" i="12"/>
  <c r="G1404" i="12"/>
  <c r="G1405" i="12"/>
  <c r="G1406" i="12"/>
  <c r="G1407" i="12"/>
  <c r="G1408" i="12"/>
  <c r="G1409" i="12"/>
  <c r="G1410" i="12"/>
  <c r="G1411" i="12"/>
  <c r="G1412" i="12"/>
  <c r="G1413" i="12"/>
  <c r="G1414" i="12"/>
  <c r="G1415" i="12"/>
  <c r="G1416" i="12"/>
  <c r="G1417" i="12"/>
  <c r="G1418" i="12"/>
  <c r="G1419" i="12"/>
  <c r="G1420" i="12"/>
  <c r="G1421" i="12"/>
  <c r="G1422" i="12"/>
  <c r="G1423" i="12"/>
  <c r="G1424" i="12"/>
  <c r="G1425" i="12"/>
  <c r="G1426" i="12"/>
  <c r="G1427" i="12"/>
  <c r="G1428" i="12"/>
  <c r="G1429" i="12"/>
  <c r="G1430" i="12"/>
  <c r="G1431" i="12"/>
  <c r="G1432" i="12"/>
  <c r="G1433" i="12"/>
  <c r="G1434" i="12"/>
  <c r="G1435" i="12"/>
  <c r="G1436" i="12"/>
  <c r="G1437" i="12"/>
  <c r="G1438" i="12"/>
  <c r="G1439" i="12"/>
  <c r="G1440" i="12"/>
  <c r="G1441" i="12"/>
  <c r="G1442" i="12"/>
  <c r="G1443" i="12"/>
  <c r="G1444" i="12"/>
  <c r="G1445" i="12"/>
  <c r="G1446" i="12"/>
  <c r="G1447" i="12"/>
  <c r="G1448" i="12"/>
  <c r="G1449" i="12"/>
  <c r="G1450" i="12"/>
  <c r="G1451" i="12"/>
  <c r="G1452" i="12"/>
  <c r="G1453" i="12"/>
  <c r="G1454" i="12"/>
  <c r="G1455" i="12"/>
  <c r="G1456" i="12"/>
  <c r="G1457" i="12"/>
  <c r="G1458" i="12"/>
  <c r="G1459" i="12"/>
  <c r="G1460" i="12"/>
  <c r="G1461" i="12"/>
  <c r="G1462" i="12"/>
  <c r="G1463" i="12"/>
  <c r="G1464" i="12"/>
  <c r="G1465" i="12"/>
  <c r="G1466" i="12"/>
  <c r="G1467" i="12"/>
  <c r="G1468" i="12"/>
  <c r="G1469" i="12"/>
  <c r="G1470" i="12"/>
  <c r="G1471" i="12"/>
  <c r="G1472" i="12"/>
  <c r="G1473" i="12"/>
  <c r="G1474" i="12"/>
  <c r="G1475" i="12"/>
  <c r="G1476" i="12"/>
  <c r="G1477" i="12"/>
  <c r="G1478" i="12"/>
  <c r="G1479" i="12"/>
  <c r="G1480" i="12"/>
  <c r="G1481" i="12"/>
  <c r="G1482" i="12"/>
  <c r="G1483" i="12"/>
  <c r="G1484" i="12"/>
  <c r="G1485" i="12"/>
  <c r="G1486" i="12"/>
  <c r="G1487" i="12"/>
  <c r="G1488" i="12"/>
  <c r="G1489" i="12"/>
  <c r="G1490" i="12"/>
  <c r="G1491" i="12"/>
  <c r="G1492" i="12"/>
  <c r="G1493" i="12"/>
  <c r="G1494" i="12"/>
  <c r="G1495" i="12"/>
  <c r="G1496" i="12"/>
  <c r="G1497" i="12"/>
  <c r="G1498" i="12"/>
  <c r="G1499" i="12"/>
  <c r="G1500" i="12"/>
  <c r="G1501" i="12"/>
  <c r="G1502" i="12"/>
  <c r="G1503" i="12"/>
  <c r="G1504" i="12"/>
  <c r="G1505" i="12"/>
  <c r="G1506" i="12"/>
  <c r="G1507" i="12"/>
  <c r="G1508" i="12"/>
  <c r="G1509" i="12"/>
  <c r="G1510" i="12"/>
  <c r="G1511" i="12"/>
  <c r="G1512" i="12"/>
  <c r="G1513" i="12"/>
  <c r="G1514" i="12"/>
  <c r="G1515" i="12"/>
  <c r="G1516" i="12"/>
  <c r="G1517" i="12"/>
  <c r="G1518" i="12"/>
  <c r="G1519" i="12"/>
  <c r="G1520" i="12"/>
  <c r="G1521" i="12"/>
  <c r="G1522" i="12"/>
  <c r="G1523" i="12"/>
  <c r="G1524" i="12"/>
  <c r="G1525" i="12"/>
  <c r="G1526" i="12"/>
  <c r="G1527" i="12"/>
  <c r="G1528" i="12"/>
  <c r="G1529" i="12"/>
  <c r="G1530" i="12"/>
  <c r="G1531" i="12"/>
  <c r="G1532" i="12"/>
  <c r="G1533" i="12"/>
  <c r="G1534" i="12"/>
  <c r="G1535" i="12"/>
  <c r="G1536" i="12"/>
  <c r="G1537" i="12"/>
  <c r="G1538" i="12"/>
  <c r="G1539" i="12"/>
  <c r="G1540" i="12"/>
  <c r="G1541" i="12"/>
  <c r="G1542" i="12"/>
  <c r="G1543" i="12"/>
  <c r="G1544" i="12"/>
  <c r="G1545" i="12"/>
  <c r="G1546" i="12"/>
  <c r="G1547" i="12"/>
  <c r="G1548" i="12"/>
  <c r="G1549" i="12"/>
  <c r="G1550" i="12"/>
  <c r="G1551" i="12"/>
  <c r="G1552" i="12"/>
  <c r="G1553" i="12"/>
  <c r="G1554" i="12"/>
  <c r="G1555" i="12"/>
  <c r="G1556" i="12"/>
  <c r="G1557" i="12"/>
  <c r="G1558" i="12"/>
  <c r="G1559" i="12"/>
  <c r="G1560" i="12"/>
  <c r="G1561" i="12"/>
  <c r="G1562" i="12"/>
  <c r="G1563" i="12"/>
  <c r="G1564" i="12"/>
  <c r="G1565" i="12"/>
  <c r="G1566" i="12"/>
  <c r="G1567" i="12"/>
  <c r="G1568" i="12"/>
  <c r="G1569" i="12"/>
  <c r="G1570" i="12"/>
  <c r="G1571" i="12"/>
  <c r="G1572" i="12"/>
  <c r="G1573" i="12"/>
  <c r="G1574" i="12"/>
  <c r="G1575" i="12"/>
  <c r="G1576" i="12"/>
  <c r="G1577" i="12"/>
  <c r="G1578" i="12"/>
  <c r="G1579" i="12"/>
  <c r="G1580" i="12"/>
  <c r="G1581" i="12"/>
  <c r="G1582" i="12"/>
  <c r="G1583" i="12"/>
  <c r="G1584" i="12"/>
  <c r="G1585" i="12"/>
  <c r="G1586" i="12"/>
  <c r="G1587" i="12"/>
  <c r="G1588" i="12"/>
  <c r="G1589" i="12"/>
  <c r="G1590" i="12"/>
  <c r="G1591" i="12"/>
  <c r="G1592" i="12"/>
  <c r="G1593" i="12"/>
  <c r="G1594" i="12"/>
  <c r="G1595" i="12"/>
  <c r="G1596" i="12"/>
  <c r="G1597" i="12"/>
  <c r="G1598" i="12"/>
  <c r="G1599" i="12"/>
  <c r="G1600" i="12"/>
  <c r="G1601" i="12"/>
  <c r="G1602" i="12"/>
  <c r="G1603" i="12"/>
  <c r="G1604" i="12"/>
  <c r="G1605" i="12"/>
  <c r="G1606" i="12"/>
  <c r="G1607" i="12"/>
  <c r="G1608" i="12"/>
  <c r="G1609" i="12"/>
  <c r="G1610" i="12"/>
  <c r="G1611" i="12"/>
  <c r="G1612" i="12"/>
  <c r="G1613" i="12"/>
  <c r="G1614" i="12"/>
  <c r="G1615" i="12"/>
  <c r="G1616" i="12"/>
  <c r="G1617" i="12"/>
  <c r="G1618" i="12"/>
  <c r="G1619" i="12"/>
  <c r="G1620" i="12"/>
  <c r="G1621" i="12"/>
  <c r="G1622" i="12"/>
  <c r="G1623" i="12"/>
  <c r="G1624" i="12"/>
  <c r="G1625" i="12"/>
  <c r="G1626" i="12"/>
  <c r="G1627" i="12"/>
  <c r="G1628" i="12"/>
  <c r="G1629" i="12"/>
  <c r="G1630" i="12"/>
  <c r="G1631" i="12"/>
  <c r="G1632" i="12"/>
  <c r="G1633" i="12"/>
  <c r="G1634" i="12"/>
  <c r="G1635" i="12"/>
  <c r="G1636" i="12"/>
  <c r="G1637" i="12"/>
  <c r="G1638" i="12"/>
  <c r="G1639" i="12"/>
  <c r="G1640" i="12"/>
  <c r="G1641" i="12"/>
  <c r="G1642" i="12"/>
  <c r="G1643" i="12"/>
  <c r="G1644" i="12"/>
  <c r="G1645" i="12"/>
  <c r="G1646" i="12"/>
  <c r="G1647" i="12"/>
  <c r="G1648" i="12"/>
  <c r="G1649" i="12"/>
  <c r="G1650" i="12"/>
  <c r="G1651" i="12"/>
  <c r="G1652" i="12"/>
  <c r="G1653" i="12"/>
  <c r="G1654" i="12"/>
  <c r="G1655" i="12"/>
  <c r="G1656" i="12"/>
  <c r="G1657" i="12"/>
  <c r="G1658" i="12"/>
  <c r="G1659" i="12"/>
  <c r="G1660" i="12"/>
  <c r="G1661" i="12"/>
  <c r="G1662" i="12"/>
  <c r="G1663" i="12"/>
  <c r="G1664" i="12"/>
  <c r="G1665" i="12"/>
  <c r="G1666" i="12"/>
  <c r="G1667" i="12"/>
  <c r="G1668" i="12"/>
  <c r="G1669" i="12"/>
  <c r="G1670" i="12"/>
  <c r="G1671" i="12"/>
  <c r="G1672" i="12"/>
  <c r="G1673" i="12"/>
  <c r="G1674" i="12"/>
  <c r="G1675" i="12"/>
  <c r="G1676" i="12"/>
  <c r="G1677" i="12"/>
  <c r="G1678" i="12"/>
  <c r="G1679" i="12"/>
  <c r="G1680" i="12"/>
  <c r="G1681" i="12"/>
  <c r="G1682" i="12"/>
  <c r="G1683" i="12"/>
  <c r="G1684" i="12"/>
  <c r="G1685" i="12"/>
  <c r="G1686" i="12"/>
  <c r="G1687" i="12"/>
  <c r="G1688" i="12"/>
  <c r="G1689" i="12"/>
  <c r="G1690" i="12"/>
  <c r="G1691" i="12"/>
  <c r="G1692" i="12"/>
  <c r="G1693" i="12"/>
  <c r="G1694" i="12"/>
  <c r="G1695" i="12"/>
  <c r="G1696" i="12"/>
  <c r="G1697" i="12"/>
  <c r="G1698" i="12"/>
  <c r="G1699" i="12"/>
  <c r="G1700" i="12"/>
  <c r="G1701" i="12"/>
  <c r="G1702" i="12"/>
  <c r="G1703" i="12"/>
  <c r="G1704" i="12"/>
  <c r="G1705" i="12"/>
  <c r="G1706" i="12"/>
  <c r="G1707" i="12"/>
  <c r="G1708" i="12"/>
  <c r="G1709" i="12"/>
  <c r="G1710" i="12"/>
  <c r="G1711" i="12"/>
  <c r="G1712" i="12"/>
  <c r="G1713" i="12"/>
  <c r="G1714" i="12"/>
  <c r="G1715" i="12"/>
  <c r="G1716" i="12"/>
  <c r="G1717" i="12"/>
  <c r="G1718" i="12"/>
  <c r="G1719" i="12"/>
  <c r="G1720" i="12"/>
  <c r="G1721" i="12"/>
  <c r="G1722" i="12"/>
  <c r="G1723" i="12"/>
  <c r="G1724" i="12"/>
  <c r="G1725" i="12"/>
  <c r="G1726" i="12"/>
  <c r="G1727" i="12"/>
  <c r="G1728" i="12"/>
  <c r="G1729" i="12"/>
  <c r="G1730" i="12"/>
  <c r="G1731" i="12"/>
  <c r="G1732" i="12"/>
  <c r="G1733" i="12"/>
  <c r="G1734" i="12"/>
  <c r="G1735" i="12"/>
  <c r="G1736" i="12"/>
  <c r="G1737" i="12"/>
  <c r="G1738" i="12"/>
  <c r="G1739" i="12"/>
  <c r="G1740" i="12"/>
  <c r="G1741" i="12"/>
  <c r="G1742" i="12"/>
  <c r="G1743" i="12"/>
  <c r="G1744" i="12"/>
  <c r="G1745" i="12"/>
  <c r="G1746" i="12"/>
  <c r="G1747" i="12"/>
  <c r="G1748" i="12"/>
  <c r="G1749" i="12"/>
  <c r="G1750" i="12"/>
  <c r="G1751" i="12"/>
  <c r="G1752" i="12"/>
  <c r="G1753" i="12"/>
  <c r="G1754" i="12"/>
  <c r="G1755" i="12"/>
  <c r="G1756" i="12"/>
  <c r="G1757" i="12"/>
  <c r="G1758" i="12"/>
  <c r="G1759" i="12"/>
  <c r="G1760" i="12"/>
  <c r="G1761" i="12"/>
  <c r="G1762" i="12"/>
  <c r="G1763" i="12"/>
  <c r="G1764" i="12"/>
  <c r="G1765" i="12"/>
  <c r="G1766" i="12"/>
  <c r="G1767" i="12"/>
  <c r="G1768" i="12"/>
  <c r="G1769" i="12"/>
  <c r="G1770" i="12"/>
  <c r="G1771" i="12"/>
  <c r="G1772" i="12"/>
  <c r="G1773" i="12"/>
  <c r="G1774" i="12"/>
  <c r="G1775" i="12"/>
  <c r="G1776" i="12"/>
  <c r="G1777" i="12"/>
  <c r="G1778" i="12"/>
  <c r="G1779" i="12"/>
  <c r="G1780" i="12"/>
  <c r="G1781" i="12"/>
  <c r="G1782" i="12"/>
  <c r="G1783" i="12"/>
  <c r="G1784" i="12"/>
  <c r="G1785" i="12"/>
  <c r="G1786" i="12"/>
  <c r="G1787" i="12"/>
  <c r="G1788" i="12"/>
  <c r="G1789" i="12"/>
  <c r="G1790" i="12"/>
  <c r="G1791" i="12"/>
  <c r="G1792" i="12"/>
  <c r="G1793" i="12"/>
  <c r="G1794" i="12"/>
  <c r="G1795" i="12"/>
  <c r="G1796" i="12"/>
  <c r="G1797" i="12"/>
  <c r="G1798" i="12"/>
  <c r="G1799" i="12"/>
  <c r="G1800" i="12"/>
  <c r="G1801" i="12"/>
  <c r="G1802" i="12"/>
  <c r="G1803" i="12"/>
  <c r="G1804" i="12"/>
  <c r="G1805" i="12"/>
  <c r="G1806" i="12"/>
  <c r="G1807" i="12"/>
  <c r="G1808" i="12"/>
  <c r="G1809" i="12"/>
  <c r="G1810" i="12"/>
  <c r="G1811" i="12"/>
  <c r="G1812" i="12"/>
  <c r="G1813" i="12"/>
  <c r="G1814" i="12"/>
  <c r="G1815" i="12"/>
  <c r="G1816" i="12"/>
  <c r="G1817" i="12"/>
  <c r="G1818" i="12"/>
  <c r="G1819" i="12"/>
  <c r="G1820" i="12"/>
  <c r="G1821" i="12"/>
  <c r="G1822" i="12"/>
  <c r="G1823" i="12"/>
  <c r="G1824" i="12"/>
  <c r="G1825" i="12"/>
  <c r="G1826" i="12"/>
  <c r="G1827" i="12"/>
  <c r="G1828" i="12"/>
  <c r="G1829" i="12"/>
  <c r="G1830" i="12"/>
  <c r="G1831" i="12"/>
  <c r="G1832" i="12"/>
  <c r="G1833" i="12"/>
  <c r="G1834" i="12"/>
  <c r="G1835" i="12"/>
  <c r="G1836" i="12"/>
  <c r="G1837" i="12"/>
  <c r="G1838" i="12"/>
  <c r="G1839" i="12"/>
  <c r="G1840" i="12"/>
  <c r="G1841" i="12"/>
  <c r="G1842" i="12"/>
  <c r="G1843" i="12"/>
  <c r="G1844" i="12"/>
  <c r="G1845" i="12"/>
  <c r="G1846" i="12"/>
  <c r="G1847" i="12"/>
  <c r="G1848" i="12"/>
  <c r="G1849" i="12"/>
  <c r="G1850" i="12"/>
  <c r="G1851" i="12"/>
  <c r="G1852" i="12"/>
  <c r="G1853" i="12"/>
  <c r="G1854" i="12"/>
  <c r="G1855" i="12"/>
  <c r="G1856" i="12"/>
  <c r="G1857" i="12"/>
  <c r="G1858" i="12"/>
  <c r="G1859" i="12"/>
  <c r="G1860" i="12"/>
  <c r="G1861" i="12"/>
  <c r="G1862" i="12"/>
  <c r="G1863" i="12"/>
  <c r="G1864" i="12"/>
  <c r="G1865" i="12"/>
  <c r="G1866" i="12"/>
  <c r="G1867" i="12"/>
  <c r="G1868" i="12"/>
  <c r="G1869" i="12"/>
  <c r="G1870" i="12"/>
  <c r="G1871" i="12"/>
  <c r="G1872" i="12"/>
  <c r="G1873" i="12"/>
  <c r="G1874" i="12"/>
  <c r="G1875" i="12"/>
  <c r="G1876" i="12"/>
  <c r="G1877" i="12"/>
  <c r="G1878" i="12"/>
  <c r="G1879" i="12"/>
  <c r="G1880" i="12"/>
  <c r="G1881" i="12"/>
  <c r="G1882" i="12"/>
  <c r="G1883" i="12"/>
  <c r="G1884" i="12"/>
  <c r="G1885" i="12"/>
  <c r="G1886" i="12"/>
  <c r="G1887" i="12"/>
  <c r="G1888" i="12"/>
  <c r="G1889" i="12"/>
  <c r="G1890" i="12"/>
  <c r="G1891" i="12"/>
  <c r="G1892" i="12"/>
  <c r="G1893" i="12"/>
  <c r="G1894" i="12"/>
  <c r="G1895" i="12"/>
  <c r="G1896" i="12"/>
  <c r="G1897" i="12"/>
  <c r="G1898" i="12"/>
  <c r="G1899" i="12"/>
  <c r="G1900" i="12"/>
  <c r="G1901" i="12"/>
  <c r="G1902" i="12"/>
  <c r="G1903" i="12"/>
  <c r="G1904" i="12"/>
  <c r="G1905" i="12"/>
  <c r="G1906" i="12"/>
  <c r="G1907" i="12"/>
  <c r="G1908" i="12"/>
  <c r="G1909" i="12"/>
  <c r="G1910" i="12"/>
  <c r="G1911" i="12"/>
  <c r="G1912" i="12"/>
  <c r="G1913" i="12"/>
  <c r="G1914" i="12"/>
  <c r="G1915" i="12"/>
  <c r="G1916" i="12"/>
  <c r="G1917" i="12"/>
  <c r="G1918" i="12"/>
  <c r="G1919" i="12"/>
  <c r="G1920" i="12"/>
  <c r="G1921" i="12"/>
  <c r="G1922" i="12"/>
  <c r="G1923" i="12"/>
  <c r="G1924" i="12"/>
  <c r="G1925" i="12"/>
  <c r="G1926" i="12"/>
  <c r="G1927" i="12"/>
  <c r="G1928" i="12"/>
  <c r="G1929" i="12"/>
  <c r="G1930" i="12"/>
  <c r="G1931" i="12"/>
  <c r="G1932" i="12"/>
  <c r="G1933" i="12"/>
  <c r="G1934" i="12"/>
  <c r="G1935" i="12"/>
  <c r="G1936" i="12"/>
  <c r="G1937" i="12"/>
  <c r="G1938" i="12"/>
  <c r="G1939" i="12"/>
  <c r="G1940" i="12"/>
  <c r="G1941" i="12"/>
  <c r="G1942" i="12"/>
  <c r="G1943" i="12"/>
  <c r="G1944" i="12"/>
  <c r="G1945" i="12"/>
  <c r="G1946" i="12"/>
  <c r="G1947" i="12"/>
  <c r="G1948" i="12"/>
  <c r="G1949" i="12"/>
  <c r="G1950" i="12"/>
  <c r="G1951" i="12"/>
  <c r="G1952" i="12"/>
  <c r="G1953" i="12"/>
  <c r="G1954" i="12"/>
  <c r="G1955" i="12"/>
  <c r="G1956" i="12"/>
  <c r="G1957" i="12"/>
  <c r="G1958" i="12"/>
  <c r="G1959" i="12"/>
  <c r="G1960" i="12"/>
  <c r="G1961" i="12"/>
  <c r="G1962" i="12"/>
  <c r="G1963" i="12"/>
  <c r="G1964" i="12"/>
  <c r="G1965" i="12"/>
  <c r="G1966" i="12"/>
  <c r="G1967" i="12"/>
  <c r="G1968" i="12"/>
  <c r="G1969" i="12"/>
  <c r="G1970" i="12"/>
  <c r="G1971" i="12"/>
  <c r="G1972" i="12"/>
  <c r="G1973" i="12"/>
  <c r="G1974" i="12"/>
  <c r="G1975" i="12"/>
  <c r="G1976" i="12"/>
  <c r="G1977" i="12"/>
  <c r="G1978" i="12"/>
  <c r="G1979" i="12"/>
  <c r="G1980" i="12"/>
  <c r="G1981" i="12"/>
  <c r="G1982" i="12"/>
  <c r="G1983" i="12"/>
  <c r="G1984" i="12"/>
  <c r="G1985" i="12"/>
  <c r="G1986" i="12"/>
  <c r="G1987" i="12"/>
  <c r="G1988" i="12"/>
  <c r="G1989" i="12"/>
  <c r="G1990" i="12"/>
  <c r="G1991" i="12"/>
  <c r="G1992" i="12"/>
  <c r="G1993" i="12"/>
  <c r="G1994" i="12"/>
  <c r="G1995" i="12"/>
  <c r="G1996" i="12"/>
  <c r="G1997" i="12"/>
  <c r="G1998" i="12"/>
  <c r="G1999" i="12"/>
  <c r="G2000" i="12"/>
  <c r="G2001" i="12"/>
  <c r="G2002" i="12"/>
  <c r="G2003" i="12"/>
  <c r="G2004" i="12"/>
  <c r="G2005" i="12"/>
  <c r="G2006" i="12"/>
  <c r="G2007" i="12"/>
  <c r="G2008" i="12"/>
  <c r="G2009" i="12"/>
  <c r="G2010" i="12"/>
  <c r="G2011" i="12"/>
  <c r="G2012" i="12"/>
  <c r="G2013" i="12"/>
  <c r="G2014" i="12"/>
  <c r="G2015" i="12"/>
  <c r="G2016" i="12"/>
  <c r="G2017" i="12"/>
  <c r="G2018" i="12"/>
  <c r="G2019" i="12"/>
  <c r="G2020" i="12"/>
  <c r="G2021" i="12"/>
  <c r="G2022" i="12"/>
  <c r="G2023" i="12"/>
  <c r="G2024" i="12"/>
  <c r="G2025" i="12"/>
  <c r="G2026" i="12"/>
  <c r="G2027" i="12"/>
  <c r="G2028" i="12"/>
  <c r="G2029" i="12"/>
  <c r="G2030" i="12"/>
  <c r="G2031" i="12"/>
  <c r="G2032" i="12"/>
  <c r="G2033" i="12"/>
  <c r="G2034" i="12"/>
  <c r="G2035" i="12"/>
  <c r="G2036" i="12"/>
  <c r="G2037" i="12"/>
  <c r="G2038" i="12"/>
  <c r="G2039" i="12"/>
  <c r="G2040" i="12"/>
  <c r="G2041" i="12"/>
  <c r="G2042" i="12"/>
  <c r="G2043" i="12"/>
  <c r="G2044" i="12"/>
  <c r="G2045" i="12"/>
  <c r="G2046" i="12"/>
  <c r="G2047" i="12"/>
  <c r="G2048" i="12"/>
  <c r="G2049" i="12"/>
  <c r="G2050" i="12"/>
  <c r="G2051" i="12"/>
  <c r="G2052" i="12"/>
  <c r="G2053" i="12"/>
  <c r="G2054" i="12"/>
  <c r="G2055" i="12"/>
  <c r="G2056" i="12"/>
  <c r="G2057" i="12"/>
  <c r="G2058" i="12"/>
  <c r="G2059" i="12"/>
  <c r="G2060" i="12"/>
  <c r="G2061" i="12"/>
  <c r="G2062" i="12"/>
  <c r="G2063" i="12"/>
  <c r="G2064" i="12"/>
  <c r="G2065" i="12"/>
  <c r="G2066" i="12"/>
  <c r="G2067" i="12"/>
  <c r="G2068" i="12"/>
  <c r="G2069" i="12"/>
  <c r="G2070" i="12"/>
  <c r="G2071" i="12"/>
  <c r="G2072" i="12"/>
  <c r="G2073" i="12"/>
  <c r="G2074" i="12"/>
  <c r="G2075" i="12"/>
  <c r="G2076" i="12"/>
  <c r="G2077" i="12"/>
  <c r="G2078" i="12"/>
  <c r="G2079" i="12"/>
  <c r="G2080" i="12"/>
  <c r="G2081" i="12"/>
  <c r="G2082" i="12"/>
  <c r="G2083" i="12"/>
  <c r="G2084" i="12"/>
  <c r="G2085" i="12"/>
  <c r="G2086" i="12"/>
  <c r="G2087" i="12"/>
  <c r="G2088" i="12"/>
  <c r="G2089" i="12"/>
  <c r="G2090" i="12"/>
  <c r="G2091" i="12"/>
  <c r="G2092" i="12"/>
  <c r="G2093" i="12"/>
  <c r="G2094" i="12"/>
  <c r="G2095" i="12"/>
  <c r="G2096" i="12"/>
  <c r="G2097" i="12"/>
  <c r="G2098" i="12"/>
  <c r="G2099" i="12"/>
  <c r="G2100" i="12"/>
  <c r="G2101" i="12"/>
  <c r="G2102" i="12"/>
  <c r="G2103" i="12"/>
  <c r="G2104" i="12"/>
  <c r="G2105" i="12"/>
  <c r="G2106" i="12"/>
  <c r="G2107" i="12"/>
  <c r="G2108" i="12"/>
  <c r="G2109" i="12"/>
  <c r="G2110" i="12"/>
  <c r="G2111" i="12"/>
  <c r="G2112" i="12"/>
  <c r="G2113" i="12"/>
  <c r="G2114" i="12"/>
  <c r="G2115" i="12"/>
  <c r="G2116" i="12"/>
  <c r="G2117" i="12"/>
  <c r="G2118" i="12"/>
  <c r="G2119" i="12"/>
  <c r="G2120" i="12"/>
  <c r="G2121" i="12"/>
  <c r="G2122" i="12"/>
  <c r="G2123" i="12"/>
  <c r="G2124" i="12"/>
  <c r="G2125" i="12"/>
  <c r="G2126" i="12"/>
  <c r="G2127" i="12"/>
  <c r="G2128" i="12"/>
  <c r="G2129" i="12"/>
  <c r="G2130" i="12"/>
  <c r="G2131" i="12"/>
  <c r="G2132" i="12"/>
  <c r="G2133" i="12"/>
  <c r="G2134" i="12"/>
  <c r="G2135" i="12"/>
  <c r="G2136" i="12"/>
  <c r="G2137" i="12"/>
  <c r="G2138" i="12"/>
  <c r="G2139" i="12"/>
  <c r="G2140" i="12"/>
  <c r="G2141" i="12"/>
  <c r="G2142" i="12"/>
  <c r="G2143" i="12"/>
  <c r="G2144" i="12"/>
  <c r="G2145" i="12"/>
  <c r="G2146" i="12"/>
  <c r="G2147" i="12"/>
  <c r="G2148" i="12"/>
  <c r="G2149" i="12"/>
  <c r="G2150" i="12"/>
  <c r="G2151" i="12"/>
  <c r="G2152" i="12"/>
  <c r="G2153" i="12"/>
  <c r="G2154" i="12"/>
  <c r="G2155" i="12"/>
  <c r="G2156" i="12"/>
  <c r="G2157" i="12"/>
  <c r="G2158" i="12"/>
  <c r="G2159" i="12"/>
  <c r="G2160" i="12"/>
  <c r="G2161" i="12"/>
  <c r="G2162" i="12"/>
  <c r="G2163" i="12"/>
  <c r="G2164" i="12"/>
  <c r="G2165" i="12"/>
  <c r="G2166" i="12"/>
  <c r="G2167" i="12"/>
  <c r="G2168" i="12"/>
  <c r="G2169" i="12"/>
  <c r="G2170" i="12"/>
  <c r="G2171" i="12"/>
  <c r="G2172" i="12"/>
  <c r="G2173" i="12"/>
  <c r="G2174" i="12"/>
  <c r="G2175" i="12"/>
  <c r="G2176" i="12"/>
  <c r="G2177" i="12"/>
  <c r="G2178" i="12"/>
  <c r="G2179" i="12"/>
  <c r="G2180" i="12"/>
  <c r="G2181" i="12"/>
  <c r="G2182" i="12"/>
  <c r="G2183" i="12"/>
  <c r="G2184" i="12"/>
  <c r="G2185" i="12"/>
  <c r="G2186" i="12"/>
  <c r="G2187" i="12"/>
  <c r="G2188" i="12"/>
  <c r="G2189" i="12"/>
  <c r="G2190" i="12"/>
  <c r="G2191" i="12"/>
  <c r="G2192" i="12"/>
  <c r="G2193" i="12"/>
  <c r="G2194" i="12"/>
  <c r="G2195" i="12"/>
  <c r="G2196" i="12"/>
  <c r="G2197" i="12"/>
  <c r="G2198" i="12"/>
  <c r="G2199" i="12"/>
  <c r="G2200" i="12"/>
  <c r="G2201" i="12"/>
  <c r="G2202" i="12"/>
  <c r="G2203" i="12"/>
  <c r="G2204" i="12"/>
  <c r="G2205" i="12"/>
  <c r="G2206" i="12"/>
  <c r="G2207" i="12"/>
  <c r="G2208" i="12"/>
  <c r="G2209" i="12"/>
  <c r="G2210" i="12"/>
  <c r="G2211" i="12"/>
  <c r="G2212" i="12"/>
  <c r="G2213" i="12"/>
  <c r="G2214" i="12"/>
  <c r="G2215" i="12"/>
  <c r="G2216" i="12"/>
  <c r="G2217" i="12"/>
  <c r="G2218" i="12"/>
  <c r="G2219" i="12"/>
  <c r="G2220" i="12"/>
  <c r="G2221" i="12"/>
  <c r="G2222" i="12"/>
  <c r="G2223" i="12"/>
  <c r="G2224" i="12"/>
  <c r="G2225" i="12"/>
  <c r="G2226" i="12"/>
  <c r="G2227" i="12"/>
  <c r="G2228" i="12"/>
  <c r="G2229" i="12"/>
  <c r="G2230" i="12"/>
  <c r="G2231" i="12"/>
  <c r="G2232" i="12"/>
  <c r="G2233" i="12"/>
  <c r="G2234" i="12"/>
  <c r="G2235" i="12"/>
  <c r="G2236" i="12"/>
  <c r="G2237" i="12"/>
  <c r="G2238" i="12"/>
  <c r="G2239" i="12"/>
  <c r="G2240" i="12"/>
  <c r="G2241" i="12"/>
  <c r="G2242" i="12"/>
  <c r="G2243" i="12"/>
  <c r="G2244" i="12"/>
  <c r="G2245" i="12"/>
  <c r="G2246" i="12"/>
  <c r="G2247" i="12"/>
  <c r="G2248" i="12"/>
  <c r="G2249" i="12"/>
  <c r="G2250" i="12"/>
  <c r="G2251" i="12"/>
  <c r="G2252" i="12"/>
  <c r="G2253" i="12"/>
  <c r="G2254" i="12"/>
  <c r="G2255" i="12"/>
  <c r="G2256" i="12"/>
  <c r="G2257" i="12"/>
  <c r="G2258" i="12"/>
  <c r="G2259" i="12"/>
  <c r="G2260" i="12"/>
  <c r="G2261" i="12"/>
  <c r="G2262" i="12"/>
  <c r="G2263" i="12"/>
  <c r="G2264" i="12"/>
  <c r="G2265" i="12"/>
  <c r="G2266" i="12"/>
  <c r="G2267" i="12"/>
  <c r="G2268" i="12"/>
  <c r="G2269" i="12"/>
  <c r="G2270" i="12"/>
  <c r="G2271" i="12"/>
  <c r="G2272" i="12"/>
  <c r="G2273" i="12"/>
  <c r="G2274" i="12"/>
  <c r="G2275" i="12"/>
  <c r="G2276" i="12"/>
  <c r="G2277" i="12"/>
  <c r="G2278" i="12"/>
  <c r="G2279" i="12"/>
  <c r="G2280" i="12"/>
  <c r="G2281" i="12"/>
  <c r="G2282" i="12"/>
  <c r="G2283" i="12"/>
  <c r="G2284" i="12"/>
  <c r="G2285" i="12"/>
  <c r="G2286" i="12"/>
  <c r="G2287" i="12"/>
  <c r="G2288" i="12"/>
  <c r="G2289" i="12"/>
  <c r="G2290" i="12"/>
  <c r="G2291" i="12"/>
  <c r="G2292" i="12"/>
  <c r="G2293" i="12"/>
  <c r="G2294" i="12"/>
  <c r="G2295" i="12"/>
  <c r="G2296" i="12"/>
  <c r="G2297" i="12"/>
  <c r="G2298" i="12"/>
  <c r="G2299" i="12"/>
  <c r="G2300" i="12"/>
  <c r="G2301" i="12"/>
  <c r="G2302" i="12"/>
  <c r="G2303" i="12"/>
  <c r="G2304" i="12"/>
  <c r="G2305" i="12"/>
  <c r="G2306" i="12"/>
  <c r="G2307" i="12"/>
  <c r="G2308" i="12"/>
  <c r="G2309" i="12"/>
  <c r="G2310" i="12"/>
  <c r="G2311" i="12"/>
  <c r="G2312" i="12"/>
  <c r="G2313" i="12"/>
  <c r="G2314" i="12"/>
  <c r="G2315" i="12"/>
  <c r="G2316" i="12"/>
  <c r="G2317" i="12"/>
  <c r="G2318" i="12"/>
  <c r="G2319" i="12"/>
  <c r="G2320" i="12"/>
  <c r="G2321" i="12"/>
  <c r="G2322" i="12"/>
  <c r="G2323" i="12"/>
  <c r="G2324" i="12"/>
  <c r="G2325" i="12"/>
  <c r="G2326" i="12"/>
  <c r="G2327" i="12"/>
  <c r="G2328" i="12"/>
  <c r="G2329" i="12"/>
  <c r="G2330" i="12"/>
  <c r="G2331" i="12"/>
  <c r="G2332" i="12"/>
  <c r="G2333" i="12"/>
  <c r="G2334" i="12"/>
  <c r="G2335" i="12"/>
  <c r="G2336" i="12"/>
  <c r="G2337" i="12"/>
  <c r="G2338" i="12"/>
  <c r="G2339" i="12"/>
  <c r="G2340" i="12"/>
  <c r="G2341" i="12"/>
  <c r="G2342" i="12"/>
  <c r="G2343" i="12"/>
  <c r="G2344" i="12"/>
  <c r="G2345" i="12"/>
  <c r="G2346" i="12"/>
  <c r="G2347" i="12"/>
  <c r="G2348" i="12"/>
  <c r="G2349" i="12"/>
  <c r="G2350" i="12"/>
  <c r="G2351" i="12"/>
  <c r="G2352" i="12"/>
  <c r="G2353" i="12"/>
  <c r="G2354" i="12"/>
  <c r="G2355" i="12"/>
  <c r="G2356" i="12"/>
  <c r="G2357" i="12"/>
  <c r="G2358" i="12"/>
  <c r="G2359" i="12"/>
  <c r="G2360" i="12"/>
  <c r="G2361" i="12"/>
  <c r="G2362" i="12"/>
  <c r="G2363" i="12"/>
  <c r="G2364" i="12"/>
  <c r="G2365" i="12"/>
  <c r="G2366" i="12"/>
  <c r="G2367" i="12"/>
  <c r="G2368" i="12"/>
  <c r="G2369" i="12"/>
  <c r="G2370" i="12"/>
  <c r="G2371" i="12"/>
  <c r="G2372" i="12"/>
  <c r="G2373" i="12"/>
  <c r="G2374" i="12"/>
  <c r="G2375" i="12"/>
  <c r="G2376" i="12"/>
  <c r="G2377" i="12"/>
  <c r="G2378" i="12"/>
  <c r="G2379" i="12"/>
  <c r="G2380" i="12"/>
  <c r="G2381" i="12"/>
  <c r="G2382" i="12"/>
  <c r="G2383" i="12"/>
  <c r="G2384" i="12"/>
  <c r="G2385" i="12"/>
  <c r="G2386" i="12"/>
  <c r="G2387" i="12"/>
  <c r="G2388" i="12"/>
  <c r="G2389" i="12"/>
  <c r="G2390" i="12"/>
  <c r="G2391" i="12"/>
  <c r="G2392" i="12"/>
  <c r="G2393" i="12"/>
  <c r="G2394" i="12"/>
  <c r="G2395" i="12"/>
  <c r="G2396" i="12"/>
  <c r="G2397" i="12"/>
  <c r="G2398" i="12"/>
  <c r="G2399" i="12"/>
  <c r="G2400" i="12"/>
  <c r="G2401" i="12"/>
  <c r="G2402" i="12"/>
  <c r="G2403" i="12"/>
  <c r="G2404" i="12"/>
  <c r="G2405" i="12"/>
  <c r="G2406" i="12"/>
  <c r="G2407" i="12"/>
  <c r="G2408" i="12"/>
  <c r="G2409" i="12"/>
  <c r="G2410" i="12"/>
  <c r="G2411" i="12"/>
  <c r="G2412" i="12"/>
  <c r="G2413" i="12"/>
  <c r="G2414" i="12"/>
  <c r="G2415" i="12"/>
  <c r="G2416" i="12"/>
  <c r="G2417" i="12"/>
  <c r="G2418" i="12"/>
  <c r="G2419" i="12"/>
  <c r="G2420" i="12"/>
  <c r="G2421" i="12"/>
  <c r="G2422" i="12"/>
  <c r="G2423" i="12"/>
  <c r="G2424" i="12"/>
  <c r="G2425" i="12"/>
  <c r="G2426" i="12"/>
  <c r="G2427" i="12"/>
  <c r="G2428" i="12"/>
  <c r="G2429" i="12"/>
  <c r="G2430" i="12"/>
  <c r="G2431" i="12"/>
  <c r="G2432" i="12"/>
  <c r="G2433" i="12"/>
  <c r="G2434" i="12"/>
  <c r="G2435" i="12"/>
  <c r="G2436" i="12"/>
  <c r="G2437" i="12"/>
  <c r="G2438" i="12"/>
  <c r="G2439" i="12"/>
  <c r="G2440" i="12"/>
  <c r="G2441" i="12"/>
  <c r="G2442" i="12"/>
  <c r="G2443" i="12"/>
  <c r="G2444" i="12"/>
  <c r="G2445" i="12"/>
  <c r="G2446" i="12"/>
  <c r="G2447" i="12"/>
  <c r="G2448" i="12"/>
  <c r="G2449" i="12"/>
  <c r="G2450" i="12"/>
  <c r="G2451" i="12"/>
  <c r="G2452" i="12"/>
  <c r="G2453" i="12"/>
  <c r="G2454" i="12"/>
  <c r="G2455" i="12"/>
  <c r="G2456" i="12"/>
  <c r="G2457" i="12"/>
  <c r="G2458" i="12"/>
  <c r="G2459" i="12"/>
  <c r="G2460" i="12"/>
  <c r="G2461" i="12"/>
  <c r="G2462" i="12"/>
  <c r="G2463" i="12"/>
  <c r="G2464" i="12"/>
  <c r="G2465" i="12"/>
  <c r="G2466" i="12"/>
  <c r="G2467" i="12"/>
  <c r="G2468" i="12"/>
  <c r="G2469" i="12"/>
  <c r="G2470" i="12"/>
  <c r="G2471" i="12"/>
  <c r="G2472" i="12"/>
  <c r="G2473" i="12"/>
  <c r="G2474" i="12"/>
  <c r="G2475" i="12"/>
  <c r="G2476" i="12"/>
  <c r="G2477" i="12"/>
  <c r="G2478" i="12"/>
  <c r="G2479" i="12"/>
  <c r="G2480" i="12"/>
  <c r="G2481" i="12"/>
  <c r="G2482" i="12"/>
  <c r="G2483" i="12"/>
  <c r="G2484" i="12"/>
  <c r="G2485" i="12"/>
  <c r="G2486" i="12"/>
  <c r="G2487" i="12"/>
  <c r="G2488" i="12"/>
  <c r="G2489" i="12"/>
  <c r="G2490" i="12"/>
  <c r="G2491" i="12"/>
  <c r="G2492" i="12"/>
  <c r="G2493" i="12"/>
  <c r="G2494" i="12"/>
  <c r="G2495" i="12"/>
  <c r="G2496" i="12"/>
  <c r="G2497" i="12"/>
  <c r="G2498" i="12"/>
  <c r="G2499" i="12"/>
  <c r="G2500" i="12"/>
  <c r="G2501" i="12"/>
  <c r="G2502" i="12"/>
  <c r="G2503" i="12"/>
  <c r="G2504" i="12"/>
  <c r="G2505" i="12"/>
  <c r="G2506" i="12"/>
  <c r="G2507" i="12"/>
  <c r="G2508" i="12"/>
  <c r="G2509" i="12"/>
  <c r="G2510" i="12"/>
  <c r="G2511" i="12"/>
  <c r="G2512" i="12"/>
  <c r="G2513" i="12"/>
  <c r="G2514" i="12"/>
  <c r="G2515" i="12"/>
  <c r="G2516" i="12"/>
  <c r="G2517" i="12"/>
  <c r="G2518" i="12"/>
  <c r="G2519" i="12"/>
  <c r="G2520" i="12"/>
  <c r="G2521" i="12"/>
  <c r="G2522" i="12"/>
  <c r="G2523" i="12"/>
  <c r="G2524" i="12"/>
  <c r="G2525" i="12"/>
  <c r="G2526" i="12"/>
  <c r="G2527" i="12"/>
  <c r="G2528" i="12"/>
  <c r="G2529" i="12"/>
  <c r="G2530" i="12"/>
  <c r="G2531" i="12"/>
  <c r="G2532" i="12"/>
  <c r="G2533" i="12"/>
  <c r="G2534" i="12"/>
  <c r="G2535" i="12"/>
  <c r="G2536" i="12"/>
  <c r="G2537" i="12"/>
  <c r="G2538" i="12"/>
  <c r="G2539" i="12"/>
  <c r="G2540" i="12"/>
  <c r="G2541" i="12"/>
  <c r="G2542" i="12"/>
  <c r="G2543" i="12"/>
  <c r="G2544" i="12"/>
  <c r="G2545" i="12"/>
  <c r="G2546" i="12"/>
  <c r="G2547" i="12"/>
  <c r="G2548" i="12"/>
  <c r="G2549" i="12"/>
  <c r="G2550" i="12"/>
  <c r="G2551" i="12"/>
  <c r="G2552" i="12"/>
  <c r="G2553" i="12"/>
  <c r="G2554" i="12"/>
  <c r="G2555" i="12"/>
  <c r="G2556" i="12"/>
  <c r="G2557" i="12"/>
  <c r="G2558" i="12"/>
  <c r="G2559" i="12"/>
  <c r="G2560" i="12"/>
  <c r="G2561" i="12"/>
  <c r="G2562" i="12"/>
  <c r="G2563" i="12"/>
  <c r="G2564" i="12"/>
  <c r="G2565" i="12"/>
  <c r="G2566" i="12"/>
  <c r="G2567" i="12"/>
  <c r="G2568" i="12"/>
  <c r="G2569" i="12"/>
  <c r="G2570" i="12"/>
  <c r="G2571" i="12"/>
  <c r="G2572" i="12"/>
  <c r="G2573" i="12"/>
  <c r="G2574" i="12"/>
  <c r="G2575" i="12"/>
  <c r="G2576" i="12"/>
  <c r="G2577" i="12"/>
  <c r="G2578" i="12"/>
  <c r="G2579" i="12"/>
  <c r="G2580" i="12"/>
  <c r="G2581" i="12"/>
  <c r="G2582" i="12"/>
  <c r="G2583" i="12"/>
  <c r="G2584" i="12"/>
  <c r="G2585" i="12"/>
  <c r="G2586" i="12"/>
  <c r="G2587" i="12"/>
  <c r="G2588" i="12"/>
  <c r="G2589" i="12"/>
  <c r="G2590" i="12"/>
  <c r="G2591" i="12"/>
  <c r="G2592" i="12"/>
  <c r="G2593" i="12"/>
  <c r="G2594" i="12"/>
  <c r="G2595" i="12"/>
  <c r="G2596" i="12"/>
  <c r="G2597" i="12"/>
  <c r="G2598" i="12"/>
  <c r="G2599" i="12"/>
  <c r="G2600" i="12"/>
  <c r="G2601" i="12"/>
  <c r="G2602" i="12"/>
  <c r="G2603" i="12"/>
  <c r="G2604" i="12"/>
  <c r="G2605" i="12"/>
  <c r="G2606" i="12"/>
  <c r="G2607" i="12"/>
  <c r="G2608" i="12"/>
  <c r="G2609" i="12"/>
  <c r="G2610" i="12"/>
  <c r="G2611" i="12"/>
  <c r="G2612" i="12"/>
  <c r="G2613" i="12"/>
  <c r="G2614" i="12"/>
  <c r="G2615" i="12"/>
  <c r="G2616" i="12"/>
  <c r="G2617" i="12"/>
  <c r="G2618" i="12"/>
  <c r="G2619" i="12"/>
  <c r="G2620" i="12"/>
  <c r="G2621" i="12"/>
  <c r="G2622" i="12"/>
  <c r="G2623" i="12"/>
  <c r="G2624" i="12"/>
  <c r="G2625" i="12"/>
  <c r="G2626" i="12"/>
  <c r="G2627" i="12"/>
  <c r="G2628" i="12"/>
  <c r="G2629" i="12"/>
  <c r="G2630" i="12"/>
  <c r="G2631" i="12"/>
  <c r="G2632" i="12"/>
  <c r="G2633" i="12"/>
  <c r="G2634" i="12"/>
  <c r="G2635" i="12"/>
  <c r="G2636" i="12"/>
  <c r="G2637" i="12"/>
  <c r="G2638" i="12"/>
  <c r="G2639" i="12"/>
  <c r="G2640" i="12"/>
  <c r="G2641" i="12"/>
  <c r="G2642" i="12"/>
  <c r="G2643" i="12"/>
  <c r="G2644" i="12"/>
  <c r="G2645" i="12"/>
  <c r="G2646" i="12"/>
  <c r="G2647" i="12"/>
  <c r="G2648" i="12"/>
  <c r="G2649" i="12"/>
  <c r="G2650" i="12"/>
  <c r="G2651" i="12"/>
  <c r="G2652" i="12"/>
  <c r="G2653" i="12"/>
  <c r="G2654" i="12"/>
  <c r="G2655" i="12"/>
  <c r="G2656" i="12"/>
  <c r="G2657" i="12"/>
  <c r="G2658" i="12"/>
  <c r="G2659" i="12"/>
  <c r="G2660" i="12"/>
  <c r="G2661" i="12"/>
  <c r="G2662" i="12"/>
  <c r="G2663" i="12"/>
  <c r="G2664" i="12"/>
  <c r="G2665" i="12"/>
  <c r="G2666" i="12"/>
  <c r="G2667" i="12"/>
  <c r="G2668" i="12"/>
  <c r="G2669" i="12"/>
  <c r="G2670" i="12"/>
  <c r="G2671" i="12"/>
  <c r="G2672" i="12"/>
  <c r="G2673" i="12"/>
  <c r="G2674" i="12"/>
  <c r="G2675" i="12"/>
  <c r="G2676" i="12"/>
  <c r="G2677" i="12"/>
  <c r="G2678" i="12"/>
  <c r="G2679" i="12"/>
  <c r="G2680" i="12"/>
  <c r="G2681" i="12"/>
  <c r="G2682" i="12"/>
  <c r="G2683" i="12"/>
  <c r="G2684" i="12"/>
  <c r="G2685" i="12"/>
  <c r="G2686" i="12"/>
  <c r="G2687" i="12"/>
  <c r="G2688" i="12"/>
  <c r="G2689" i="12"/>
  <c r="G2690" i="12"/>
  <c r="G2691" i="12"/>
  <c r="G2692" i="12"/>
  <c r="G2693" i="12"/>
  <c r="G2694" i="12"/>
  <c r="G2695" i="12"/>
  <c r="G2696" i="12"/>
  <c r="G2697" i="12"/>
  <c r="G2698" i="12"/>
  <c r="G2699" i="12"/>
  <c r="G2700" i="12"/>
  <c r="G2701" i="12"/>
  <c r="G2702" i="12"/>
  <c r="G2703" i="12"/>
  <c r="G2704" i="12"/>
  <c r="G2705" i="12"/>
  <c r="G2706" i="12"/>
  <c r="G2707" i="12"/>
  <c r="G2708" i="12"/>
  <c r="G2709" i="12"/>
  <c r="G2710" i="12"/>
  <c r="G2711" i="12"/>
  <c r="G2712" i="12"/>
  <c r="G2713" i="12"/>
  <c r="G2714" i="12"/>
  <c r="G2715" i="12"/>
  <c r="G2716" i="12"/>
  <c r="G2717" i="12"/>
  <c r="G2718" i="12"/>
  <c r="G2719" i="12"/>
  <c r="G2720" i="12"/>
  <c r="G2721" i="12"/>
  <c r="G2722" i="12"/>
  <c r="G2723" i="12"/>
  <c r="G2724" i="12"/>
  <c r="G2725" i="12"/>
  <c r="G2726" i="12"/>
  <c r="G2727" i="12"/>
  <c r="G2728" i="12"/>
  <c r="G2729" i="12"/>
  <c r="G2730" i="12"/>
  <c r="G2731" i="12"/>
  <c r="G2732" i="12"/>
  <c r="G2733" i="12"/>
  <c r="G2734" i="12"/>
  <c r="G2735" i="12"/>
  <c r="G2736" i="12"/>
  <c r="G2737" i="12"/>
  <c r="G2738" i="12"/>
  <c r="G2739" i="12"/>
  <c r="G2740" i="12"/>
  <c r="G2741" i="12"/>
  <c r="G2742" i="12"/>
  <c r="G2743" i="12"/>
  <c r="G2744" i="12"/>
  <c r="G2745" i="12"/>
  <c r="G2746" i="12"/>
  <c r="G2747" i="12"/>
  <c r="G2748" i="12"/>
  <c r="G2749" i="12"/>
  <c r="G2750" i="12"/>
  <c r="G2751" i="12"/>
  <c r="G2752" i="12"/>
  <c r="G2753" i="12"/>
  <c r="G2754" i="12"/>
  <c r="G2755" i="12"/>
  <c r="G2756" i="12"/>
  <c r="G2757" i="12"/>
  <c r="G2758" i="12"/>
  <c r="G2759" i="12"/>
  <c r="G2760" i="12"/>
  <c r="G2761" i="12"/>
  <c r="G2762" i="12"/>
  <c r="G2763" i="12"/>
  <c r="G2764" i="12"/>
  <c r="G2765" i="12"/>
  <c r="G2766" i="12"/>
  <c r="G2767" i="12"/>
  <c r="G2768" i="12"/>
  <c r="G2769" i="12"/>
  <c r="G2770" i="12"/>
  <c r="G2771" i="12"/>
  <c r="G2772" i="12"/>
  <c r="G2773" i="12"/>
  <c r="G2774" i="12"/>
  <c r="G2775" i="12"/>
  <c r="G2776" i="12"/>
  <c r="G2777" i="12"/>
  <c r="G2778" i="12"/>
  <c r="G2779" i="12"/>
  <c r="G2780" i="12"/>
  <c r="G2781" i="12"/>
  <c r="G2782" i="12"/>
  <c r="G2783" i="12"/>
  <c r="G2784" i="12"/>
  <c r="G2785" i="12"/>
  <c r="G2786" i="12"/>
  <c r="G2787" i="12"/>
  <c r="G2788" i="12"/>
  <c r="G2789" i="12"/>
  <c r="G2790" i="12"/>
  <c r="G2791" i="12"/>
  <c r="G2792" i="12"/>
  <c r="G2793" i="12"/>
  <c r="G2794" i="12"/>
  <c r="G2795" i="12"/>
  <c r="G2796" i="12"/>
  <c r="G2797" i="12"/>
  <c r="G2798" i="12"/>
  <c r="G2799" i="12"/>
  <c r="G2800" i="12"/>
  <c r="G2801" i="12"/>
  <c r="G2802" i="12"/>
  <c r="G2803" i="12"/>
  <c r="G2804" i="12"/>
  <c r="G2805" i="12"/>
  <c r="G2806" i="12"/>
  <c r="G2807" i="12"/>
  <c r="G2808" i="12"/>
  <c r="G2809" i="12"/>
  <c r="G2810" i="12"/>
  <c r="G2811" i="12"/>
  <c r="G2812" i="12"/>
  <c r="G2813" i="12"/>
  <c r="G2814" i="12"/>
  <c r="G2815" i="12"/>
  <c r="G2816" i="12"/>
  <c r="G2817" i="12"/>
  <c r="G2818" i="12"/>
  <c r="G2819" i="12"/>
  <c r="G2820" i="12"/>
  <c r="G2821" i="12"/>
  <c r="G2822" i="12"/>
  <c r="G2823" i="12"/>
  <c r="G2824" i="12"/>
  <c r="G2825" i="12"/>
  <c r="G2826" i="12"/>
  <c r="G2827" i="12"/>
  <c r="G2828" i="12"/>
  <c r="G2829" i="12"/>
  <c r="G2830" i="12"/>
  <c r="G2831" i="12"/>
  <c r="G2832" i="12"/>
  <c r="G2833" i="12"/>
  <c r="G2834" i="12"/>
  <c r="G2835" i="12"/>
  <c r="G2836" i="12"/>
  <c r="G2837" i="12"/>
  <c r="G2838" i="12"/>
  <c r="G2839" i="12"/>
  <c r="G2840" i="12"/>
  <c r="G2841" i="12"/>
  <c r="G2842" i="12"/>
  <c r="G2843" i="12"/>
  <c r="G2844" i="12"/>
  <c r="G2845" i="12"/>
  <c r="G2846" i="12"/>
  <c r="G2847" i="12"/>
  <c r="G2848" i="12"/>
  <c r="G2849" i="12"/>
  <c r="G2850" i="12"/>
  <c r="G2851" i="12"/>
  <c r="G2852" i="12"/>
  <c r="G2853" i="12"/>
  <c r="G2854" i="12"/>
  <c r="G2855" i="12"/>
  <c r="G2856" i="12"/>
  <c r="G2857" i="12"/>
  <c r="G2858" i="12"/>
  <c r="G2859" i="12"/>
  <c r="G2860" i="12"/>
  <c r="G2861" i="12"/>
  <c r="G2862" i="12"/>
  <c r="G2863" i="12"/>
  <c r="G2864" i="12"/>
  <c r="G2865" i="12"/>
  <c r="G2866" i="12"/>
  <c r="G2867" i="12"/>
  <c r="G2868" i="12"/>
  <c r="G2869" i="12"/>
  <c r="G2870" i="12"/>
  <c r="G2871" i="12"/>
  <c r="G2872" i="12"/>
  <c r="G2873" i="12"/>
  <c r="G2874" i="12"/>
  <c r="G2875" i="12"/>
  <c r="G2876" i="12"/>
  <c r="G2877" i="12"/>
  <c r="G2878" i="12"/>
  <c r="G2879" i="12"/>
  <c r="G2880" i="12"/>
  <c r="G2881" i="12"/>
  <c r="G2882" i="12"/>
  <c r="G2883" i="12"/>
  <c r="G2884" i="12"/>
  <c r="G2885" i="12"/>
  <c r="G2886" i="12"/>
  <c r="G2887" i="12"/>
  <c r="G2888" i="12"/>
  <c r="G2889" i="12"/>
  <c r="G2890" i="12"/>
  <c r="G2891" i="12"/>
  <c r="G2892" i="12"/>
  <c r="G2893" i="12"/>
  <c r="G2894" i="12"/>
  <c r="G2895" i="12"/>
  <c r="G2896" i="12"/>
  <c r="G2897" i="12"/>
  <c r="G2898" i="12"/>
  <c r="G2899" i="12"/>
  <c r="G2900" i="12"/>
  <c r="G2901" i="12"/>
  <c r="G2902" i="12"/>
  <c r="G2903" i="12"/>
  <c r="G2904" i="12"/>
  <c r="G2905" i="12"/>
  <c r="G2906" i="12"/>
  <c r="G2907" i="12"/>
  <c r="G2908" i="12"/>
  <c r="G2909" i="12"/>
  <c r="G2910" i="12"/>
  <c r="G2911" i="12"/>
  <c r="G2912" i="12"/>
  <c r="G2913" i="12"/>
  <c r="G2914" i="12"/>
  <c r="G2915" i="12"/>
  <c r="G2916" i="12"/>
  <c r="G2917" i="12"/>
  <c r="G2918" i="12"/>
  <c r="G2919" i="12"/>
  <c r="G2920" i="12"/>
  <c r="G2921" i="12"/>
  <c r="G2922" i="12"/>
  <c r="G2923" i="12"/>
  <c r="G2924" i="12"/>
  <c r="G2925" i="12"/>
  <c r="G2926" i="12"/>
  <c r="G2927" i="12"/>
  <c r="G2928" i="12"/>
  <c r="G2929" i="12"/>
  <c r="G2930" i="12"/>
  <c r="G2931" i="12"/>
  <c r="G2932" i="12"/>
  <c r="G2933" i="12"/>
  <c r="G2934" i="12"/>
  <c r="G2935" i="12"/>
  <c r="G2936" i="12"/>
  <c r="G2937" i="12"/>
  <c r="G2938" i="12"/>
  <c r="G2939" i="12"/>
  <c r="G2940" i="12"/>
  <c r="G2941" i="12"/>
  <c r="G2942" i="12"/>
  <c r="G2943" i="12"/>
  <c r="G2944" i="12"/>
  <c r="G2945" i="12"/>
  <c r="G2946" i="12"/>
  <c r="G2947" i="12"/>
  <c r="G2948" i="12"/>
  <c r="G2949" i="12"/>
  <c r="G2950" i="12"/>
  <c r="G2951" i="12"/>
  <c r="G2952" i="12"/>
  <c r="G2953" i="12"/>
  <c r="G2954" i="12"/>
  <c r="G2955" i="12"/>
  <c r="G2956" i="12"/>
  <c r="G2957" i="12"/>
  <c r="G2958" i="12"/>
  <c r="G2959" i="12"/>
  <c r="G2960" i="12"/>
  <c r="G2961" i="12"/>
  <c r="G2962" i="12"/>
  <c r="G2963" i="12"/>
  <c r="G2964" i="12"/>
  <c r="G2965" i="12"/>
  <c r="G2966" i="12"/>
  <c r="G2967" i="12"/>
  <c r="G2968" i="12"/>
  <c r="G2969" i="12"/>
  <c r="G2970" i="12"/>
  <c r="G2971" i="12"/>
  <c r="G2972" i="12"/>
  <c r="G2973" i="12"/>
  <c r="G2974" i="12"/>
  <c r="G2975" i="12"/>
  <c r="G2976" i="12"/>
  <c r="G2977" i="12"/>
  <c r="G2978" i="12"/>
  <c r="G2979" i="12"/>
  <c r="G2980" i="12"/>
  <c r="G2981" i="12"/>
  <c r="G2982" i="12"/>
  <c r="G2983" i="12"/>
  <c r="G2984" i="12"/>
  <c r="G2985" i="12"/>
  <c r="G2986" i="12"/>
  <c r="G2987" i="12"/>
  <c r="G2988" i="12"/>
  <c r="G2989" i="12"/>
  <c r="G2990" i="12"/>
  <c r="G2991" i="12"/>
  <c r="G2992" i="12"/>
  <c r="G2993" i="12"/>
  <c r="G2994" i="12"/>
  <c r="G2995" i="12"/>
  <c r="G2996" i="12"/>
  <c r="G2997" i="12"/>
  <c r="G2998" i="12"/>
  <c r="G2999" i="12"/>
  <c r="G3000" i="12"/>
  <c r="G3001" i="12"/>
  <c r="G3002" i="12"/>
  <c r="G3003" i="12"/>
  <c r="G3004" i="12"/>
  <c r="G3005" i="12"/>
  <c r="G3006" i="12"/>
  <c r="G3007" i="12"/>
  <c r="G3008" i="12"/>
  <c r="G3009" i="12"/>
  <c r="G3010" i="12"/>
  <c r="G3011" i="12"/>
  <c r="G3012" i="12"/>
  <c r="G3013" i="12"/>
  <c r="G3014" i="12"/>
  <c r="G3015" i="12"/>
  <c r="G3016" i="12"/>
  <c r="G3017" i="12"/>
  <c r="G3018" i="12"/>
  <c r="G3019" i="12"/>
  <c r="G3020" i="12"/>
  <c r="G3021" i="12"/>
  <c r="G3022" i="12"/>
  <c r="G3023" i="12"/>
  <c r="G3024" i="12"/>
  <c r="G3025" i="12"/>
  <c r="G3026" i="12"/>
  <c r="G3027" i="12"/>
  <c r="G3028" i="12"/>
  <c r="G3029" i="12"/>
  <c r="G3030" i="12"/>
  <c r="G3031" i="12"/>
  <c r="G3032" i="12"/>
  <c r="G3033" i="12"/>
  <c r="G3034" i="12"/>
  <c r="G3035" i="12"/>
  <c r="G3036" i="12"/>
  <c r="G3037" i="12"/>
  <c r="G3038" i="12"/>
  <c r="G3039" i="12"/>
  <c r="G3040" i="12"/>
  <c r="G3041" i="12"/>
  <c r="G3042" i="12"/>
  <c r="G3043" i="12"/>
  <c r="G3044" i="12"/>
  <c r="G3045" i="12"/>
  <c r="G3046" i="12"/>
  <c r="G3047" i="12"/>
  <c r="G3048" i="12"/>
  <c r="G3049" i="12"/>
  <c r="G3050" i="12"/>
  <c r="G3051" i="12"/>
  <c r="G3052" i="12"/>
  <c r="G3053" i="12"/>
  <c r="G3054" i="12"/>
  <c r="G3055" i="12"/>
  <c r="G3056" i="12"/>
  <c r="G3057" i="12"/>
  <c r="G3058" i="12"/>
  <c r="G3059" i="12"/>
  <c r="G3060" i="12"/>
  <c r="G3061" i="12"/>
  <c r="G3062" i="12"/>
  <c r="G3063" i="12"/>
  <c r="G3064" i="12"/>
  <c r="G3065" i="12"/>
  <c r="G3066" i="12"/>
  <c r="G3067" i="12"/>
  <c r="G3068" i="12"/>
  <c r="G3069" i="12"/>
  <c r="G3070" i="12"/>
  <c r="G3071" i="12"/>
  <c r="G3072" i="12"/>
  <c r="G3073" i="12"/>
  <c r="G3074" i="12"/>
  <c r="G3075" i="12"/>
  <c r="G3076" i="12"/>
  <c r="G3077" i="12"/>
  <c r="G3078" i="12"/>
  <c r="G3079" i="12"/>
  <c r="G3080" i="12"/>
  <c r="G3081" i="12"/>
  <c r="G3082" i="12"/>
  <c r="G3083" i="12"/>
  <c r="G3084" i="12"/>
  <c r="G3085" i="12"/>
  <c r="G3086" i="12"/>
  <c r="G3087" i="12"/>
  <c r="G3088" i="12"/>
  <c r="G3089" i="12"/>
  <c r="G3090" i="12"/>
  <c r="G3091" i="12"/>
  <c r="G3092" i="12"/>
  <c r="G3093" i="12"/>
  <c r="G3094" i="12"/>
  <c r="G3095" i="12"/>
  <c r="G3096" i="12"/>
  <c r="G3097" i="12"/>
  <c r="G3098" i="12"/>
  <c r="G3099" i="12"/>
  <c r="G3100" i="12"/>
  <c r="G3101" i="12"/>
  <c r="G3102" i="12"/>
  <c r="G3103" i="12"/>
  <c r="G3104" i="12"/>
  <c r="G3105" i="12"/>
  <c r="G3106" i="12"/>
  <c r="G3107" i="12"/>
  <c r="G3108" i="12"/>
  <c r="G3109" i="12"/>
  <c r="G3110" i="12"/>
  <c r="G3111" i="12"/>
  <c r="G3112" i="12"/>
  <c r="G3113" i="12"/>
  <c r="G3114" i="12"/>
  <c r="G3115" i="12"/>
  <c r="G3116" i="12"/>
  <c r="G3117" i="12"/>
  <c r="G3118" i="12"/>
  <c r="G3119" i="12"/>
  <c r="G3120" i="12"/>
  <c r="G3121" i="12"/>
  <c r="G3122" i="12"/>
  <c r="G3123" i="12"/>
  <c r="G3124" i="12"/>
  <c r="G3125" i="12"/>
  <c r="G3126" i="12"/>
  <c r="G3127" i="12"/>
  <c r="G3128" i="12"/>
  <c r="G3129" i="12"/>
  <c r="G3130" i="12"/>
  <c r="G3131" i="12"/>
  <c r="G3132" i="12"/>
  <c r="G3133" i="12"/>
  <c r="G3134" i="12"/>
  <c r="G3135" i="12"/>
  <c r="G3136" i="12"/>
  <c r="G3137" i="12"/>
  <c r="G3138" i="12"/>
  <c r="G3139" i="12"/>
  <c r="G3140" i="12"/>
  <c r="G3141" i="12"/>
  <c r="G3142" i="12"/>
  <c r="G3143" i="12"/>
  <c r="G3144" i="12"/>
  <c r="G3145" i="12"/>
  <c r="G3146" i="12"/>
  <c r="G3147" i="12"/>
  <c r="G3148" i="12"/>
  <c r="G3149" i="12"/>
  <c r="G3150" i="12"/>
  <c r="G3151" i="12"/>
  <c r="G3152" i="12"/>
  <c r="G3153" i="12"/>
  <c r="G3154" i="12"/>
  <c r="G3155" i="12"/>
  <c r="G3156" i="12"/>
  <c r="G3157" i="12"/>
  <c r="G3158" i="12"/>
  <c r="G3159" i="12"/>
  <c r="G3160" i="12"/>
  <c r="G3161" i="12"/>
  <c r="G3162" i="12"/>
  <c r="G3163" i="12"/>
  <c r="G3164" i="12"/>
  <c r="G3165" i="12"/>
  <c r="G3166" i="12"/>
  <c r="G3167" i="12"/>
  <c r="G3168" i="12"/>
  <c r="G3169" i="12"/>
  <c r="G3170" i="12"/>
  <c r="G3171" i="12"/>
  <c r="G3172" i="12"/>
  <c r="G3173" i="12"/>
  <c r="G3174" i="12"/>
  <c r="G3175" i="12"/>
  <c r="G3176" i="12"/>
  <c r="G3177" i="12"/>
  <c r="G3178" i="12"/>
  <c r="G3179" i="12"/>
  <c r="G3180" i="12"/>
  <c r="G3181" i="12"/>
  <c r="G3182" i="12"/>
  <c r="G3183" i="12"/>
  <c r="G3184" i="12"/>
  <c r="G3185" i="12"/>
  <c r="G3186" i="12"/>
  <c r="G3187" i="12"/>
  <c r="G3188" i="12"/>
  <c r="G3189" i="12"/>
  <c r="G3190" i="12"/>
  <c r="G3191" i="12"/>
  <c r="G3192" i="12"/>
  <c r="G3193" i="12"/>
  <c r="G3194" i="12"/>
  <c r="G3195" i="12"/>
  <c r="G3196" i="12"/>
  <c r="G3197" i="12"/>
  <c r="G3198" i="12"/>
  <c r="G3199" i="12"/>
  <c r="G3200" i="12"/>
  <c r="G3201" i="12"/>
  <c r="G3202" i="12"/>
  <c r="G3203" i="12"/>
  <c r="G3204" i="12"/>
  <c r="G3205" i="12"/>
  <c r="G3206" i="12"/>
  <c r="G3207" i="12"/>
  <c r="G3208" i="12"/>
  <c r="G3209" i="12"/>
  <c r="G3210" i="12"/>
  <c r="G3211" i="12"/>
  <c r="G3212" i="12"/>
  <c r="G3213" i="12"/>
  <c r="G3214" i="12"/>
  <c r="G3215" i="12"/>
  <c r="G3216" i="12"/>
  <c r="G3217" i="12"/>
  <c r="G3218" i="12"/>
  <c r="G3219" i="12"/>
  <c r="G3220" i="12"/>
  <c r="G3221" i="12"/>
  <c r="G3222" i="12"/>
  <c r="G3223" i="12"/>
  <c r="G3224" i="12"/>
  <c r="G3225" i="12"/>
  <c r="G3226" i="12"/>
  <c r="G3227" i="12"/>
  <c r="G3228" i="12"/>
  <c r="G3229" i="12"/>
  <c r="G3230" i="12"/>
  <c r="G3231" i="12"/>
  <c r="G3232" i="12"/>
  <c r="G3233" i="12"/>
  <c r="G3234" i="12"/>
  <c r="G3235" i="12"/>
  <c r="G3236" i="12"/>
  <c r="G3237" i="12"/>
  <c r="G3238" i="12"/>
  <c r="G3239" i="12"/>
  <c r="G3240" i="12"/>
  <c r="G3241" i="12"/>
  <c r="G3242" i="12"/>
  <c r="G3243" i="12"/>
  <c r="G3244" i="12"/>
  <c r="G3245" i="12"/>
  <c r="G3246" i="12"/>
  <c r="G3247" i="12"/>
  <c r="G3248" i="12"/>
  <c r="G3249" i="12"/>
  <c r="G3250" i="12"/>
  <c r="G3251" i="12"/>
  <c r="G3252" i="12"/>
  <c r="G3253" i="12"/>
  <c r="G3254" i="12"/>
  <c r="G3255" i="12"/>
  <c r="G3256" i="12"/>
  <c r="G3257" i="12"/>
  <c r="G3258" i="12"/>
  <c r="G3259" i="12"/>
  <c r="G3260" i="12"/>
  <c r="G3261" i="12"/>
  <c r="G3262" i="12"/>
  <c r="G3263" i="12"/>
  <c r="G3264" i="12"/>
  <c r="G3265" i="12"/>
  <c r="G3266" i="12"/>
  <c r="G3267" i="12"/>
  <c r="G3268" i="12"/>
  <c r="G3269" i="12"/>
  <c r="G3270" i="12"/>
  <c r="G3271" i="12"/>
  <c r="G3272" i="12"/>
  <c r="G3273" i="12"/>
  <c r="G3274" i="12"/>
  <c r="G3275" i="12"/>
  <c r="G3276" i="12"/>
  <c r="G3277" i="12"/>
  <c r="G3278" i="12"/>
  <c r="G3279" i="12"/>
  <c r="G3280" i="12"/>
  <c r="G3281" i="12"/>
  <c r="G3282" i="12"/>
  <c r="G3283" i="12"/>
  <c r="G3284" i="12"/>
  <c r="G3285" i="12"/>
  <c r="G3286" i="12"/>
  <c r="G3287" i="12"/>
  <c r="G3288" i="12"/>
  <c r="G3289" i="12"/>
  <c r="G3290" i="12"/>
  <c r="G3291" i="12"/>
  <c r="G3292" i="12"/>
  <c r="G3293" i="12"/>
  <c r="G3294" i="12"/>
  <c r="G3295" i="12"/>
  <c r="G3296" i="12"/>
  <c r="G3297" i="12"/>
  <c r="G3298" i="12"/>
  <c r="G3299" i="12"/>
  <c r="G3300" i="12"/>
  <c r="G3301" i="12"/>
  <c r="G3302" i="12"/>
  <c r="G3303" i="12"/>
  <c r="G3304" i="12"/>
  <c r="G3305" i="12"/>
  <c r="G3306" i="12"/>
  <c r="G3307" i="12"/>
  <c r="G3308" i="12"/>
  <c r="G3309" i="12"/>
  <c r="G3310" i="12"/>
  <c r="G3311" i="12"/>
  <c r="G3312" i="12"/>
  <c r="G3313" i="12"/>
  <c r="G3314" i="12"/>
  <c r="G3315" i="12"/>
  <c r="G3316" i="12"/>
  <c r="G3317" i="12"/>
  <c r="G3318" i="12"/>
  <c r="G3319" i="12"/>
  <c r="G3320" i="12"/>
  <c r="G3321" i="12"/>
  <c r="G3322" i="12"/>
  <c r="G3323" i="12"/>
  <c r="G3324" i="12"/>
  <c r="G3325" i="12"/>
  <c r="G3326" i="12"/>
  <c r="G3327" i="12"/>
  <c r="G3328" i="12"/>
  <c r="G3329" i="12"/>
  <c r="G3330" i="12"/>
  <c r="G3331" i="12"/>
  <c r="G3332" i="12"/>
  <c r="G3333" i="12"/>
  <c r="G3334" i="12"/>
  <c r="G3335" i="12"/>
  <c r="G3336" i="12"/>
  <c r="G3337" i="12"/>
  <c r="G3338" i="12"/>
  <c r="G3339" i="12"/>
  <c r="G3340" i="12"/>
  <c r="G3341" i="12"/>
  <c r="G3342" i="12"/>
  <c r="G3343" i="12"/>
  <c r="G3344" i="12"/>
  <c r="G3345" i="12"/>
  <c r="G3346" i="12"/>
  <c r="G3347" i="12"/>
  <c r="G3348" i="12"/>
  <c r="G3349" i="12"/>
  <c r="G3350" i="12"/>
  <c r="G3351" i="12"/>
  <c r="G3352" i="12"/>
  <c r="G3353" i="12"/>
  <c r="G3354" i="12"/>
  <c r="G3355" i="12"/>
  <c r="G3356" i="12"/>
  <c r="G3357" i="12"/>
  <c r="G3358" i="12"/>
  <c r="G3359" i="12"/>
  <c r="G3360" i="12"/>
  <c r="G3361" i="12"/>
  <c r="G3362" i="12"/>
  <c r="G3363" i="12"/>
  <c r="G3364" i="12"/>
  <c r="G3365" i="12"/>
  <c r="G3366" i="12"/>
  <c r="G3367" i="12"/>
  <c r="G3368" i="12"/>
  <c r="G3369" i="12"/>
  <c r="G3370" i="12"/>
  <c r="G3371" i="12"/>
  <c r="G3372" i="12"/>
  <c r="G3373" i="12"/>
  <c r="G3374" i="12"/>
  <c r="G3375" i="12"/>
  <c r="G3376" i="12"/>
  <c r="G3377" i="12"/>
  <c r="G3378" i="12"/>
  <c r="G3379" i="12"/>
  <c r="G3380" i="12"/>
  <c r="G3381" i="12"/>
  <c r="G3382" i="12"/>
  <c r="G3383" i="12"/>
  <c r="G3384" i="12"/>
  <c r="G3385" i="12"/>
  <c r="G3386" i="12"/>
  <c r="G3387" i="12"/>
  <c r="G3388" i="12"/>
  <c r="G3389" i="12"/>
  <c r="G3390" i="12"/>
  <c r="G3391" i="12"/>
  <c r="G3392" i="12"/>
  <c r="G3393" i="12"/>
  <c r="G3394" i="12"/>
  <c r="G3395" i="12"/>
  <c r="G3396" i="12"/>
  <c r="G3397" i="12"/>
  <c r="G3398" i="12"/>
  <c r="G3399" i="12"/>
  <c r="G3400" i="12"/>
  <c r="G3401" i="12"/>
  <c r="G3402" i="12"/>
  <c r="G3403" i="12"/>
  <c r="G3404" i="12"/>
  <c r="G3405" i="12"/>
  <c r="G3406" i="12"/>
  <c r="G3407" i="12"/>
  <c r="G3408" i="12"/>
  <c r="G3409" i="12"/>
  <c r="G3410" i="12"/>
  <c r="G3411" i="12"/>
  <c r="G3412" i="12"/>
  <c r="G3413" i="12"/>
  <c r="G3414" i="12"/>
  <c r="G3415" i="12"/>
  <c r="G3416" i="12"/>
  <c r="G3417" i="12"/>
  <c r="G3418" i="12"/>
  <c r="G3419" i="12"/>
  <c r="G3420" i="12"/>
  <c r="G3421" i="12"/>
  <c r="G3422" i="12"/>
  <c r="G3423" i="12"/>
  <c r="G3424" i="12"/>
  <c r="G3425" i="12"/>
  <c r="G3426" i="12"/>
  <c r="G3427" i="12"/>
  <c r="G3428" i="12"/>
  <c r="G3429" i="12"/>
  <c r="G3430" i="12"/>
  <c r="G3431" i="12"/>
  <c r="G3432" i="12"/>
  <c r="G3433" i="12"/>
  <c r="G3434" i="12"/>
  <c r="G3435" i="12"/>
  <c r="G3436" i="12"/>
  <c r="G3437" i="12"/>
  <c r="G3438" i="12"/>
  <c r="G3439" i="12"/>
  <c r="G3440" i="12"/>
  <c r="G3441" i="12"/>
  <c r="G3442" i="12"/>
  <c r="G3443" i="12"/>
  <c r="G3444" i="12"/>
  <c r="G3445" i="12"/>
  <c r="G3446" i="12"/>
  <c r="G3447" i="12"/>
  <c r="G3448" i="12"/>
  <c r="G3449" i="12"/>
  <c r="G3450" i="12"/>
  <c r="G3451" i="12"/>
  <c r="G3452" i="12"/>
  <c r="G3453" i="12"/>
  <c r="G3454" i="12"/>
  <c r="G3455" i="12"/>
  <c r="G3456" i="12"/>
  <c r="G3457" i="12"/>
  <c r="G3458" i="12"/>
  <c r="G3459" i="12"/>
  <c r="G3460" i="12"/>
  <c r="G3461" i="12"/>
  <c r="G3462" i="12"/>
  <c r="G3463" i="12"/>
  <c r="G3464" i="12"/>
  <c r="G3465" i="12"/>
  <c r="G3466" i="12"/>
  <c r="G3467" i="12"/>
  <c r="G3468" i="12"/>
  <c r="G3469" i="12"/>
  <c r="G3470" i="12"/>
  <c r="G3471" i="12"/>
  <c r="G3472" i="12"/>
  <c r="G3473" i="12"/>
  <c r="G3474" i="12"/>
  <c r="G3475" i="12"/>
  <c r="G3476" i="12"/>
  <c r="G3477" i="12"/>
  <c r="G3478" i="12"/>
  <c r="G3479" i="12"/>
  <c r="G3480" i="12"/>
  <c r="G3481" i="12"/>
  <c r="G3482" i="12"/>
  <c r="G3483" i="12"/>
  <c r="G3484" i="12"/>
  <c r="G3485" i="12"/>
  <c r="G3486" i="12"/>
  <c r="G3487" i="12"/>
  <c r="G3488" i="12"/>
  <c r="G3489" i="12"/>
  <c r="G3490" i="12"/>
  <c r="G3491" i="12"/>
  <c r="G3492" i="12"/>
  <c r="G3493" i="12"/>
  <c r="G3494" i="12"/>
  <c r="G3495" i="12"/>
  <c r="G3496" i="12"/>
  <c r="G3497" i="12"/>
  <c r="G3498" i="12"/>
  <c r="G3499" i="12"/>
  <c r="G3500" i="12"/>
  <c r="G3501" i="12"/>
  <c r="G3502" i="12"/>
  <c r="G3503" i="12"/>
  <c r="G3504" i="12"/>
  <c r="G3505" i="12"/>
  <c r="G3506" i="12"/>
  <c r="G3507" i="12"/>
  <c r="G3508" i="12"/>
  <c r="G3509" i="12"/>
  <c r="G3510" i="12"/>
  <c r="G3511" i="12"/>
  <c r="G3512" i="12"/>
  <c r="G3513" i="12"/>
  <c r="G3514" i="12"/>
  <c r="G3515" i="12"/>
  <c r="G3516" i="12"/>
  <c r="G3517" i="12"/>
  <c r="G3518" i="12"/>
  <c r="G3519" i="12"/>
  <c r="G3520" i="12"/>
  <c r="G3521" i="12"/>
  <c r="G3522" i="12"/>
  <c r="G3523" i="12"/>
  <c r="G3524" i="12"/>
  <c r="G3525" i="12"/>
  <c r="G3526" i="12"/>
  <c r="G3527" i="12"/>
  <c r="G3528" i="12"/>
  <c r="G3529" i="12"/>
  <c r="G3530" i="12"/>
  <c r="G3531" i="12"/>
  <c r="G3532" i="12"/>
  <c r="G3533" i="12"/>
  <c r="G3534" i="12"/>
  <c r="G3535" i="12"/>
  <c r="G3536" i="12"/>
  <c r="G3537" i="12"/>
  <c r="G3538" i="12"/>
  <c r="G3539" i="12"/>
  <c r="G3540" i="12"/>
  <c r="G3541" i="12"/>
  <c r="G3542" i="12"/>
  <c r="G3543" i="12"/>
  <c r="G3544" i="12"/>
  <c r="G3545" i="12"/>
  <c r="G3546" i="12"/>
  <c r="G3547" i="12"/>
  <c r="G3548" i="12"/>
  <c r="G3549" i="12"/>
  <c r="G3550" i="12"/>
  <c r="G3551" i="12"/>
  <c r="G3552" i="12"/>
  <c r="G3553" i="12"/>
  <c r="G3554" i="12"/>
  <c r="G3555" i="12"/>
  <c r="G3556" i="12"/>
  <c r="G3557" i="12"/>
  <c r="G3558" i="12"/>
  <c r="G3559" i="12"/>
  <c r="G3560" i="12"/>
  <c r="G3561" i="12"/>
  <c r="G3562" i="12"/>
  <c r="G3563" i="12"/>
  <c r="G3564" i="12"/>
  <c r="G3565" i="12"/>
  <c r="G3566" i="12"/>
  <c r="G3567" i="12"/>
  <c r="G3568" i="12"/>
  <c r="G3569" i="12"/>
  <c r="G3570" i="12"/>
  <c r="G3571" i="12"/>
  <c r="G3572" i="12"/>
  <c r="G3573" i="12"/>
  <c r="G3574" i="12"/>
  <c r="G3575" i="12"/>
  <c r="G3576" i="12"/>
  <c r="G3577" i="12"/>
  <c r="G3578" i="12"/>
  <c r="G3579" i="12"/>
  <c r="G3580" i="12"/>
  <c r="G3581" i="12"/>
  <c r="G3582" i="12"/>
  <c r="G3583" i="12"/>
  <c r="G3584" i="12"/>
  <c r="G3585" i="12"/>
  <c r="G3586" i="12"/>
  <c r="G3587" i="12"/>
  <c r="G3588" i="12"/>
  <c r="G3589" i="12"/>
  <c r="G3590" i="12"/>
  <c r="G3591" i="12"/>
  <c r="G3592" i="12"/>
  <c r="G3593" i="12"/>
  <c r="G3594" i="12"/>
  <c r="G3595" i="12"/>
  <c r="G3596" i="12"/>
  <c r="G3597" i="12"/>
  <c r="G3598" i="12"/>
  <c r="G3599" i="12"/>
  <c r="G3600" i="12"/>
  <c r="G3601" i="12"/>
  <c r="G3602" i="12"/>
  <c r="G3603" i="12"/>
  <c r="G3604" i="12"/>
  <c r="G3605" i="12"/>
  <c r="G3606" i="12"/>
  <c r="G3607" i="12"/>
  <c r="G3608" i="12"/>
  <c r="G3609" i="12"/>
  <c r="G3610" i="12"/>
  <c r="G3611" i="12"/>
  <c r="G3612" i="12"/>
  <c r="G3613" i="12"/>
  <c r="G3614" i="12"/>
  <c r="G3615" i="12"/>
  <c r="G3616" i="12"/>
  <c r="G3617" i="12"/>
  <c r="G3618" i="12"/>
  <c r="G3619" i="12"/>
  <c r="G3620" i="12"/>
  <c r="G3621" i="12"/>
  <c r="G3622" i="12"/>
  <c r="G3623" i="12"/>
  <c r="G3624" i="12"/>
  <c r="G3625" i="12"/>
  <c r="G3626" i="12"/>
  <c r="G3627" i="12"/>
  <c r="G3628" i="12"/>
  <c r="G3629" i="12"/>
  <c r="G3630" i="12"/>
  <c r="G3631" i="12"/>
  <c r="G3632" i="12"/>
  <c r="G3633" i="12"/>
  <c r="G3634" i="12"/>
  <c r="G3635" i="12"/>
  <c r="G3636" i="12"/>
  <c r="G3637" i="12"/>
  <c r="G3638" i="12"/>
  <c r="G3639" i="12"/>
  <c r="G3640" i="12"/>
  <c r="G3641" i="12"/>
  <c r="G3642" i="12"/>
  <c r="G3643" i="12"/>
  <c r="G3644" i="12"/>
  <c r="G3645" i="12"/>
  <c r="G3646" i="12"/>
  <c r="G3647" i="12"/>
  <c r="G3648" i="12"/>
  <c r="G3649" i="12"/>
  <c r="G3650" i="12"/>
  <c r="G3651" i="12"/>
  <c r="G3652" i="12"/>
  <c r="G3653" i="12"/>
  <c r="G3654" i="12"/>
  <c r="G3655" i="12"/>
  <c r="G3656" i="12"/>
  <c r="G3657" i="12"/>
  <c r="G3658" i="12"/>
  <c r="G3659" i="12"/>
  <c r="G3660" i="12"/>
  <c r="G3661" i="12"/>
  <c r="G3662" i="12"/>
  <c r="G3663" i="12"/>
  <c r="G3664" i="12"/>
  <c r="G3665" i="12"/>
  <c r="G3666" i="12"/>
  <c r="G3667" i="12"/>
  <c r="G3668" i="12"/>
  <c r="G3669" i="12"/>
  <c r="G3670" i="12"/>
  <c r="G3671" i="12"/>
  <c r="G3672" i="12"/>
  <c r="G3673" i="12"/>
  <c r="G3674" i="12"/>
  <c r="G3675" i="12"/>
  <c r="G3676" i="12"/>
  <c r="G3677" i="12"/>
  <c r="G3678" i="12"/>
  <c r="G3679" i="12"/>
  <c r="G3680" i="12"/>
  <c r="G3681" i="12"/>
  <c r="G3682" i="12"/>
  <c r="G3683" i="12"/>
  <c r="G3684" i="12"/>
  <c r="G3685" i="12"/>
  <c r="G3686" i="12"/>
  <c r="G3687" i="12"/>
  <c r="G3688" i="12"/>
  <c r="G3689" i="12"/>
  <c r="G3690" i="12"/>
  <c r="G3691" i="12"/>
  <c r="G3692" i="12"/>
  <c r="G3693" i="12"/>
  <c r="G3694" i="12"/>
  <c r="G3695" i="12"/>
  <c r="G3696" i="12"/>
  <c r="G3697" i="12"/>
  <c r="G3698" i="12"/>
  <c r="G3699" i="12"/>
  <c r="G3700" i="12"/>
  <c r="G3701" i="12"/>
  <c r="G3702" i="12"/>
  <c r="G3703" i="12"/>
  <c r="G3704" i="12"/>
  <c r="G3705" i="12"/>
  <c r="G3706" i="12"/>
  <c r="G3707" i="12"/>
  <c r="G3708" i="12"/>
  <c r="G3709" i="12"/>
  <c r="G3710" i="12"/>
  <c r="G3711" i="12"/>
  <c r="G3712" i="12"/>
  <c r="G3713" i="12"/>
  <c r="G3714" i="12"/>
  <c r="G3715" i="12"/>
  <c r="G3716" i="12"/>
  <c r="G3717" i="12"/>
  <c r="G3718" i="12"/>
  <c r="G3719" i="12"/>
  <c r="G3720" i="12"/>
  <c r="G3721" i="12"/>
  <c r="G3722" i="12"/>
  <c r="G3723" i="12"/>
  <c r="G3724" i="12"/>
  <c r="G3725" i="12"/>
  <c r="G3726" i="12"/>
  <c r="G3727" i="12"/>
  <c r="G3728" i="12"/>
  <c r="G3729" i="12"/>
  <c r="G3730" i="12"/>
  <c r="G3731" i="12"/>
  <c r="G3732" i="12"/>
  <c r="G3733" i="12"/>
  <c r="G3734" i="12"/>
  <c r="G3735" i="12"/>
  <c r="G3736" i="12"/>
  <c r="G3737" i="12"/>
  <c r="G3738" i="12"/>
  <c r="G3739" i="12"/>
  <c r="G3740" i="12"/>
  <c r="G3741" i="12"/>
  <c r="G3742" i="12"/>
  <c r="G3743" i="12"/>
  <c r="G3744" i="12"/>
  <c r="G3745" i="12"/>
  <c r="G3746" i="12"/>
  <c r="G3747" i="12"/>
  <c r="G3748" i="12"/>
  <c r="G3749" i="12"/>
  <c r="G3750" i="12"/>
  <c r="G3751" i="12"/>
  <c r="G3752" i="12"/>
  <c r="G3753" i="12"/>
  <c r="G3754" i="12"/>
  <c r="G3755" i="12"/>
  <c r="G3756" i="12"/>
  <c r="G3757" i="12"/>
  <c r="G3758" i="12"/>
  <c r="G3759" i="12"/>
  <c r="G3760" i="12"/>
  <c r="G3761" i="12"/>
  <c r="G3762" i="12"/>
  <c r="G3763" i="12"/>
  <c r="G3764" i="12"/>
  <c r="G3765" i="12"/>
  <c r="G3766" i="12"/>
  <c r="G3767" i="12"/>
  <c r="G3768" i="12"/>
  <c r="G3769" i="12"/>
  <c r="G3770" i="12"/>
  <c r="G3771" i="12"/>
  <c r="G3772" i="12"/>
  <c r="G3773" i="12"/>
  <c r="G3774" i="12"/>
  <c r="G3775" i="12"/>
  <c r="G3776" i="12"/>
  <c r="G3777" i="12"/>
  <c r="G3778" i="12"/>
  <c r="G3779" i="12"/>
  <c r="G3780" i="12"/>
  <c r="G3781" i="12"/>
  <c r="G3782" i="12"/>
  <c r="G3783" i="12"/>
  <c r="G3784" i="12"/>
  <c r="G3785" i="12"/>
  <c r="G3786" i="12"/>
  <c r="G3787" i="12"/>
  <c r="G3788" i="12"/>
  <c r="G3789" i="12"/>
  <c r="G3790" i="12"/>
  <c r="G3791" i="12"/>
  <c r="G3792" i="12"/>
  <c r="G3793" i="12"/>
  <c r="G3794" i="12"/>
  <c r="G3795" i="12"/>
  <c r="G3796" i="12"/>
  <c r="G3797" i="12"/>
  <c r="G3798" i="12"/>
  <c r="G3799" i="12"/>
  <c r="G3800" i="12"/>
  <c r="G3801" i="12"/>
  <c r="G3802" i="12"/>
  <c r="G3803" i="12"/>
  <c r="G3804" i="12"/>
  <c r="G3805" i="12"/>
  <c r="G3806" i="12"/>
  <c r="G3807" i="12"/>
  <c r="G3808" i="12"/>
  <c r="G3809" i="12"/>
  <c r="G3810" i="12"/>
  <c r="G3811" i="12"/>
  <c r="G3812" i="12"/>
  <c r="G3813" i="12"/>
  <c r="G3814" i="12"/>
  <c r="G3815" i="12"/>
  <c r="G3816" i="12"/>
  <c r="G3817" i="12"/>
  <c r="G3818" i="12"/>
  <c r="G3819" i="12"/>
  <c r="G3820" i="12"/>
  <c r="G3821" i="12"/>
  <c r="G3822" i="12"/>
  <c r="G3823" i="12"/>
  <c r="G3824" i="12"/>
  <c r="G3825" i="12"/>
  <c r="G3826" i="12"/>
  <c r="G3827" i="12"/>
  <c r="G3828" i="12"/>
  <c r="G3829" i="12"/>
  <c r="G3830" i="12"/>
  <c r="G3831" i="12"/>
  <c r="G3832" i="12"/>
  <c r="G3833" i="12"/>
  <c r="G3834" i="12"/>
  <c r="G3835" i="12"/>
  <c r="G3836" i="12"/>
  <c r="G3837" i="12"/>
  <c r="G3838" i="12"/>
  <c r="G3839" i="12"/>
  <c r="G3840" i="12"/>
  <c r="G3841" i="12"/>
  <c r="G3842" i="12"/>
  <c r="G3843" i="12"/>
  <c r="G3844" i="12"/>
  <c r="G3845" i="12"/>
  <c r="G3846" i="12"/>
  <c r="G3847" i="12"/>
  <c r="G3848" i="12"/>
  <c r="G3849" i="12"/>
  <c r="G3850" i="12"/>
  <c r="G3851" i="12"/>
  <c r="G3852" i="12"/>
  <c r="G3853" i="12"/>
  <c r="G3854" i="12"/>
  <c r="G3855" i="12"/>
  <c r="G3856" i="12"/>
  <c r="G3857" i="12"/>
  <c r="G3858" i="12"/>
  <c r="G3859" i="12"/>
  <c r="G3860" i="12"/>
  <c r="G3861" i="12"/>
  <c r="G3862" i="12"/>
  <c r="G3863" i="12"/>
  <c r="G3864" i="12"/>
  <c r="G3865" i="12"/>
  <c r="G3866" i="12"/>
  <c r="G3867" i="12"/>
  <c r="G3868" i="12"/>
  <c r="G3869" i="12"/>
  <c r="G3870" i="12"/>
  <c r="G3871" i="12"/>
  <c r="G3872" i="12"/>
  <c r="G3873" i="12"/>
  <c r="G2" i="12"/>
  <c r="F3" i="12"/>
  <c r="F4" i="12"/>
  <c r="F5" i="12"/>
  <c r="F6" i="12"/>
  <c r="F7" i="12"/>
  <c r="F8" i="12"/>
  <c r="F9" i="12"/>
  <c r="F10" i="12"/>
  <c r="F11" i="12"/>
  <c r="F12" i="12"/>
  <c r="F13" i="12"/>
  <c r="F14" i="12"/>
  <c r="F15" i="12"/>
  <c r="F16" i="12"/>
  <c r="F17" i="12"/>
  <c r="F18" i="12"/>
  <c r="F19" i="12"/>
  <c r="F20" i="12"/>
  <c r="F21" i="12"/>
  <c r="F22" i="12"/>
  <c r="F23" i="12"/>
  <c r="F24" i="12"/>
  <c r="F25" i="12"/>
  <c r="F26" i="12"/>
  <c r="F27" i="12"/>
  <c r="F28" i="12"/>
  <c r="F29" i="12"/>
  <c r="F30" i="12"/>
  <c r="F31" i="12"/>
  <c r="F32" i="12"/>
  <c r="F33" i="12"/>
  <c r="F34" i="12"/>
  <c r="F35" i="12"/>
  <c r="F36" i="12"/>
  <c r="F37" i="12"/>
  <c r="F38" i="12"/>
  <c r="F39" i="12"/>
  <c r="F40" i="12"/>
  <c r="F41" i="12"/>
  <c r="F42" i="12"/>
  <c r="F43" i="12"/>
  <c r="F44" i="12"/>
  <c r="F45" i="12"/>
  <c r="F46" i="12"/>
  <c r="F47" i="12"/>
  <c r="F48" i="12"/>
  <c r="F49" i="12"/>
  <c r="F50" i="12"/>
  <c r="F51" i="12"/>
  <c r="F52" i="12"/>
  <c r="F53" i="12"/>
  <c r="F54" i="12"/>
  <c r="F55" i="12"/>
  <c r="F56" i="12"/>
  <c r="F57" i="12"/>
  <c r="F58" i="12"/>
  <c r="F59" i="12"/>
  <c r="F60" i="12"/>
  <c r="F61" i="12"/>
  <c r="F62" i="12"/>
  <c r="F63" i="12"/>
  <c r="F64" i="12"/>
  <c r="F65" i="12"/>
  <c r="F66" i="12"/>
  <c r="F67" i="12"/>
  <c r="F68" i="12"/>
  <c r="F69" i="12"/>
  <c r="F70" i="12"/>
  <c r="F71" i="12"/>
  <c r="F72" i="12"/>
  <c r="F73" i="12"/>
  <c r="F74" i="12"/>
  <c r="F75" i="12"/>
  <c r="F76" i="12"/>
  <c r="F77" i="12"/>
  <c r="F78" i="12"/>
  <c r="F79" i="12"/>
  <c r="F80" i="12"/>
  <c r="F81" i="12"/>
  <c r="F82" i="12"/>
  <c r="F83" i="12"/>
  <c r="F84" i="12"/>
  <c r="F85" i="12"/>
  <c r="F86" i="12"/>
  <c r="F87" i="12"/>
  <c r="F88" i="12"/>
  <c r="F89" i="12"/>
  <c r="F90" i="12"/>
  <c r="F91" i="12"/>
  <c r="F92" i="12"/>
  <c r="F93" i="12"/>
  <c r="F94" i="12"/>
  <c r="F95" i="12"/>
  <c r="F96" i="12"/>
  <c r="F97" i="12"/>
  <c r="F98" i="12"/>
  <c r="F99" i="12"/>
  <c r="F100" i="12"/>
  <c r="F101" i="12"/>
  <c r="F102" i="12"/>
  <c r="F103" i="12"/>
  <c r="F104" i="12"/>
  <c r="F105" i="12"/>
  <c r="F106" i="12"/>
  <c r="F107" i="12"/>
  <c r="F108" i="12"/>
  <c r="F109" i="12"/>
  <c r="F110" i="12"/>
  <c r="F111" i="12"/>
  <c r="F112" i="12"/>
  <c r="F113" i="12"/>
  <c r="F114" i="12"/>
  <c r="F115" i="12"/>
  <c r="F116" i="12"/>
  <c r="F117" i="12"/>
  <c r="F118" i="12"/>
  <c r="F119" i="12"/>
  <c r="F120" i="12"/>
  <c r="F121" i="12"/>
  <c r="F122" i="12"/>
  <c r="F123" i="12"/>
  <c r="F124" i="12"/>
  <c r="F125" i="12"/>
  <c r="F126" i="12"/>
  <c r="F127" i="12"/>
  <c r="F128" i="12"/>
  <c r="F129" i="12"/>
  <c r="F130" i="12"/>
  <c r="F131" i="12"/>
  <c r="F132" i="12"/>
  <c r="F133" i="12"/>
  <c r="F134" i="12"/>
  <c r="F135" i="12"/>
  <c r="F136" i="12"/>
  <c r="F137" i="12"/>
  <c r="F138" i="12"/>
  <c r="F139" i="12"/>
  <c r="F140" i="12"/>
  <c r="F141" i="12"/>
  <c r="F142" i="12"/>
  <c r="F143" i="12"/>
  <c r="F144" i="12"/>
  <c r="F145" i="12"/>
  <c r="F146" i="12"/>
  <c r="F147" i="12"/>
  <c r="F148" i="12"/>
  <c r="F149" i="12"/>
  <c r="F150" i="12"/>
  <c r="F151" i="12"/>
  <c r="F152" i="12"/>
  <c r="F153" i="12"/>
  <c r="F154" i="12"/>
  <c r="F155" i="12"/>
  <c r="F156" i="12"/>
  <c r="F157" i="12"/>
  <c r="F158" i="12"/>
  <c r="F159" i="12"/>
  <c r="F160" i="12"/>
  <c r="F161" i="12"/>
  <c r="F162" i="12"/>
  <c r="F163" i="12"/>
  <c r="F164" i="12"/>
  <c r="F165" i="12"/>
  <c r="F166" i="12"/>
  <c r="F167" i="12"/>
  <c r="F168" i="12"/>
  <c r="F169" i="12"/>
  <c r="F170" i="12"/>
  <c r="F171" i="12"/>
  <c r="F172" i="12"/>
  <c r="F173" i="12"/>
  <c r="F174" i="12"/>
  <c r="F175" i="12"/>
  <c r="F176" i="12"/>
  <c r="F177" i="12"/>
  <c r="F178" i="12"/>
  <c r="F179" i="12"/>
  <c r="F180" i="12"/>
  <c r="F181" i="12"/>
  <c r="F182" i="12"/>
  <c r="F183" i="12"/>
  <c r="F184" i="12"/>
  <c r="F185" i="12"/>
  <c r="F186" i="12"/>
  <c r="F187" i="12"/>
  <c r="F188" i="12"/>
  <c r="F189" i="12"/>
  <c r="F190" i="12"/>
  <c r="F191" i="12"/>
  <c r="F192" i="12"/>
  <c r="F193" i="12"/>
  <c r="F194" i="12"/>
  <c r="F195" i="12"/>
  <c r="F196" i="12"/>
  <c r="F197" i="12"/>
  <c r="F198" i="12"/>
  <c r="F199" i="12"/>
  <c r="F200" i="12"/>
  <c r="F201" i="12"/>
  <c r="F202" i="12"/>
  <c r="F203" i="12"/>
  <c r="F204" i="12"/>
  <c r="F205" i="12"/>
  <c r="F206" i="12"/>
  <c r="F207" i="12"/>
  <c r="F208" i="12"/>
  <c r="F209" i="12"/>
  <c r="F210" i="12"/>
  <c r="F211" i="12"/>
  <c r="F212" i="12"/>
  <c r="F213" i="12"/>
  <c r="F214" i="12"/>
  <c r="F215" i="12"/>
  <c r="F216" i="12"/>
  <c r="F217" i="12"/>
  <c r="F218" i="12"/>
  <c r="F219" i="12"/>
  <c r="F220" i="12"/>
  <c r="F221" i="12"/>
  <c r="F222" i="12"/>
  <c r="F223" i="12"/>
  <c r="F224" i="12"/>
  <c r="F225" i="12"/>
  <c r="F226" i="12"/>
  <c r="F227" i="12"/>
  <c r="F228" i="12"/>
  <c r="F229" i="12"/>
  <c r="F230" i="12"/>
  <c r="F231" i="12"/>
  <c r="F232" i="12"/>
  <c r="F233" i="12"/>
  <c r="F234" i="12"/>
  <c r="F235" i="12"/>
  <c r="F236" i="12"/>
  <c r="F237" i="12"/>
  <c r="F238" i="12"/>
  <c r="F239" i="12"/>
  <c r="F240" i="12"/>
  <c r="F241" i="12"/>
  <c r="F242" i="12"/>
  <c r="F243" i="12"/>
  <c r="F244" i="12"/>
  <c r="F245" i="12"/>
  <c r="F246" i="12"/>
  <c r="F247" i="12"/>
  <c r="F248" i="12"/>
  <c r="F249" i="12"/>
  <c r="F250" i="12"/>
  <c r="F251" i="12"/>
  <c r="F252" i="12"/>
  <c r="F253" i="12"/>
  <c r="F254" i="12"/>
  <c r="F255" i="12"/>
  <c r="F256" i="12"/>
  <c r="F257" i="12"/>
  <c r="F258" i="12"/>
  <c r="F259" i="12"/>
  <c r="F260" i="12"/>
  <c r="F261" i="12"/>
  <c r="F262" i="12"/>
  <c r="F263" i="12"/>
  <c r="F264" i="12"/>
  <c r="F265" i="12"/>
  <c r="F266" i="12"/>
  <c r="F267" i="12"/>
  <c r="F268" i="12"/>
  <c r="F269" i="12"/>
  <c r="F270" i="12"/>
  <c r="F271" i="12"/>
  <c r="F272" i="12"/>
  <c r="F273" i="12"/>
  <c r="F274" i="12"/>
  <c r="F275" i="12"/>
  <c r="F276" i="12"/>
  <c r="F277" i="12"/>
  <c r="F278" i="12"/>
  <c r="F279" i="12"/>
  <c r="F280" i="12"/>
  <c r="F281" i="12"/>
  <c r="F282" i="12"/>
  <c r="F283" i="12"/>
  <c r="F284" i="12"/>
  <c r="F285" i="12"/>
  <c r="F286" i="12"/>
  <c r="F287" i="12"/>
  <c r="F288" i="12"/>
  <c r="F289" i="12"/>
  <c r="F290" i="12"/>
  <c r="F291" i="12"/>
  <c r="F292" i="12"/>
  <c r="F293" i="12"/>
  <c r="F294" i="12"/>
  <c r="F295" i="12"/>
  <c r="F296" i="12"/>
  <c r="F297" i="12"/>
  <c r="F298" i="12"/>
  <c r="F299" i="12"/>
  <c r="F300" i="12"/>
  <c r="F301" i="12"/>
  <c r="F302" i="12"/>
  <c r="F303" i="12"/>
  <c r="F304" i="12"/>
  <c r="F305" i="12"/>
  <c r="F306" i="12"/>
  <c r="F307" i="12"/>
  <c r="F308" i="12"/>
  <c r="F309" i="12"/>
  <c r="F310" i="12"/>
  <c r="F311" i="12"/>
  <c r="F312" i="12"/>
  <c r="F313" i="12"/>
  <c r="F314" i="12"/>
  <c r="F315" i="12"/>
  <c r="F316" i="12"/>
  <c r="F317" i="12"/>
  <c r="F318" i="12"/>
  <c r="F319" i="12"/>
  <c r="F320" i="12"/>
  <c r="F321" i="12"/>
  <c r="F322" i="12"/>
  <c r="F323" i="12"/>
  <c r="F324" i="12"/>
  <c r="F325" i="12"/>
  <c r="F326" i="12"/>
  <c r="F327" i="12"/>
  <c r="F328" i="12"/>
  <c r="F329" i="12"/>
  <c r="F330" i="12"/>
  <c r="F331" i="12"/>
  <c r="F332" i="12"/>
  <c r="F333" i="12"/>
  <c r="F334" i="12"/>
  <c r="F335" i="12"/>
  <c r="F336" i="12"/>
  <c r="F337" i="12"/>
  <c r="F338" i="12"/>
  <c r="F339" i="12"/>
  <c r="F340" i="12"/>
  <c r="F341" i="12"/>
  <c r="F342" i="12"/>
  <c r="F343" i="12"/>
  <c r="F344" i="12"/>
  <c r="F345" i="12"/>
  <c r="F346" i="12"/>
  <c r="F347" i="12"/>
  <c r="F348" i="12"/>
  <c r="F349" i="12"/>
  <c r="F350" i="12"/>
  <c r="F351" i="12"/>
  <c r="F352" i="12"/>
  <c r="F353" i="12"/>
  <c r="F354" i="12"/>
  <c r="F355" i="12"/>
  <c r="F356" i="12"/>
  <c r="F357" i="12"/>
  <c r="F358" i="12"/>
  <c r="F359" i="12"/>
  <c r="F360" i="12"/>
  <c r="F361" i="12"/>
  <c r="F362" i="12"/>
  <c r="F363" i="12"/>
  <c r="F364" i="12"/>
  <c r="F365" i="12"/>
  <c r="F366" i="12"/>
  <c r="F367" i="12"/>
  <c r="F368" i="12"/>
  <c r="F369" i="12"/>
  <c r="F370" i="12"/>
  <c r="F371" i="12"/>
  <c r="F372" i="12"/>
  <c r="F373" i="12"/>
  <c r="F374" i="12"/>
  <c r="F375" i="12"/>
  <c r="F376" i="12"/>
  <c r="F377" i="12"/>
  <c r="F378" i="12"/>
  <c r="F379" i="12"/>
  <c r="F380" i="12"/>
  <c r="F381" i="12"/>
  <c r="F382" i="12"/>
  <c r="F383" i="12"/>
  <c r="F384" i="12"/>
  <c r="F385" i="12"/>
  <c r="F386" i="12"/>
  <c r="F387" i="12"/>
  <c r="F388" i="12"/>
  <c r="F389" i="12"/>
  <c r="F390" i="12"/>
  <c r="F391" i="12"/>
  <c r="F392" i="12"/>
  <c r="F393" i="12"/>
  <c r="F394" i="12"/>
  <c r="F395" i="12"/>
  <c r="F396" i="12"/>
  <c r="F397" i="12"/>
  <c r="F398" i="12"/>
  <c r="F399" i="12"/>
  <c r="F400" i="12"/>
  <c r="F401" i="12"/>
  <c r="F402" i="12"/>
  <c r="F403" i="12"/>
  <c r="F404" i="12"/>
  <c r="F405" i="12"/>
  <c r="F406" i="12"/>
  <c r="F407" i="12"/>
  <c r="F408" i="12"/>
  <c r="F409" i="12"/>
  <c r="F410" i="12"/>
  <c r="F411" i="12"/>
  <c r="F412" i="12"/>
  <c r="F413" i="12"/>
  <c r="F414" i="12"/>
  <c r="F415" i="12"/>
  <c r="F416" i="12"/>
  <c r="F417" i="12"/>
  <c r="F418" i="12"/>
  <c r="F419" i="12"/>
  <c r="F420" i="12"/>
  <c r="F421" i="12"/>
  <c r="F422" i="12"/>
  <c r="F423" i="12"/>
  <c r="F424" i="12"/>
  <c r="F425" i="12"/>
  <c r="F426" i="12"/>
  <c r="F427" i="12"/>
  <c r="F428" i="12"/>
  <c r="F429" i="12"/>
  <c r="F430" i="12"/>
  <c r="F431" i="12"/>
  <c r="F432" i="12"/>
  <c r="F433" i="12"/>
  <c r="F434" i="12"/>
  <c r="F435" i="12"/>
  <c r="F436" i="12"/>
  <c r="F437" i="12"/>
  <c r="F438" i="12"/>
  <c r="F439" i="12"/>
  <c r="F440" i="12"/>
  <c r="F441" i="12"/>
  <c r="F442" i="12"/>
  <c r="F443" i="12"/>
  <c r="F444" i="12"/>
  <c r="F445" i="12"/>
  <c r="F446" i="12"/>
  <c r="F447" i="12"/>
  <c r="F448" i="12"/>
  <c r="F449" i="12"/>
  <c r="F450" i="12"/>
  <c r="F451" i="12"/>
  <c r="F452" i="12"/>
  <c r="F453" i="12"/>
  <c r="F454" i="12"/>
  <c r="F455" i="12"/>
  <c r="F456" i="12"/>
  <c r="F457" i="12"/>
  <c r="F458" i="12"/>
  <c r="F459" i="12"/>
  <c r="F460" i="12"/>
  <c r="F461" i="12"/>
  <c r="F462" i="12"/>
  <c r="F463" i="12"/>
  <c r="F464" i="12"/>
  <c r="F465" i="12"/>
  <c r="F466" i="12"/>
  <c r="F467" i="12"/>
  <c r="F468" i="12"/>
  <c r="F469" i="12"/>
  <c r="F470" i="12"/>
  <c r="F471" i="12"/>
  <c r="F472" i="12"/>
  <c r="F473" i="12"/>
  <c r="F474" i="12"/>
  <c r="F475" i="12"/>
  <c r="F476" i="12"/>
  <c r="F477" i="12"/>
  <c r="F478" i="12"/>
  <c r="F479" i="12"/>
  <c r="F480" i="12"/>
  <c r="F481" i="12"/>
  <c r="F482" i="12"/>
  <c r="F483" i="12"/>
  <c r="F484" i="12"/>
  <c r="F485" i="12"/>
  <c r="F486" i="12"/>
  <c r="F487" i="12"/>
  <c r="F488" i="12"/>
  <c r="F489" i="12"/>
  <c r="F490" i="12"/>
  <c r="F491" i="12"/>
  <c r="F492" i="12"/>
  <c r="F493" i="12"/>
  <c r="F494" i="12"/>
  <c r="F495" i="12"/>
  <c r="F496" i="12"/>
  <c r="F497" i="12"/>
  <c r="F498" i="12"/>
  <c r="F499" i="12"/>
  <c r="F500" i="12"/>
  <c r="F501" i="12"/>
  <c r="F502" i="12"/>
  <c r="F503" i="12"/>
  <c r="F504" i="12"/>
  <c r="F505" i="12"/>
  <c r="F506" i="12"/>
  <c r="F507" i="12"/>
  <c r="F508" i="12"/>
  <c r="F509" i="12"/>
  <c r="F510" i="12"/>
  <c r="F511" i="12"/>
  <c r="F512" i="12"/>
  <c r="F513" i="12"/>
  <c r="F514" i="12"/>
  <c r="F515" i="12"/>
  <c r="F516" i="12"/>
  <c r="F517" i="12"/>
  <c r="F518" i="12"/>
  <c r="F519" i="12"/>
  <c r="F520" i="12"/>
  <c r="F521" i="12"/>
  <c r="F522" i="12"/>
  <c r="F523" i="12"/>
  <c r="F524" i="12"/>
  <c r="F525" i="12"/>
  <c r="F526" i="12"/>
  <c r="F527" i="12"/>
  <c r="F528" i="12"/>
  <c r="F529" i="12"/>
  <c r="F530" i="12"/>
  <c r="F531" i="12"/>
  <c r="F532" i="12"/>
  <c r="F533" i="12"/>
  <c r="F534" i="12"/>
  <c r="F535" i="12"/>
  <c r="F536" i="12"/>
  <c r="F537" i="12"/>
  <c r="F538" i="12"/>
  <c r="F539" i="12"/>
  <c r="F540" i="12"/>
  <c r="F541" i="12"/>
  <c r="F542" i="12"/>
  <c r="F543" i="12"/>
  <c r="F544" i="12"/>
  <c r="F545" i="12"/>
  <c r="F546" i="12"/>
  <c r="F547" i="12"/>
  <c r="F548" i="12"/>
  <c r="F549" i="12"/>
  <c r="F550" i="12"/>
  <c r="F551" i="12"/>
  <c r="F552" i="12"/>
  <c r="F553" i="12"/>
  <c r="F554" i="12"/>
  <c r="F555" i="12"/>
  <c r="F556" i="12"/>
  <c r="F557" i="12"/>
  <c r="F558" i="12"/>
  <c r="F559" i="12"/>
  <c r="F560" i="12"/>
  <c r="F561" i="12"/>
  <c r="F562" i="12"/>
  <c r="F563" i="12"/>
  <c r="F564" i="12"/>
  <c r="F565" i="12"/>
  <c r="F566" i="12"/>
  <c r="F567" i="12"/>
  <c r="F568" i="12"/>
  <c r="F569" i="12"/>
  <c r="F570" i="12"/>
  <c r="F571" i="12"/>
  <c r="F572" i="12"/>
  <c r="F573" i="12"/>
  <c r="F574" i="12"/>
  <c r="F575" i="12"/>
  <c r="F576" i="12"/>
  <c r="F577" i="12"/>
  <c r="F578" i="12"/>
  <c r="F579" i="12"/>
  <c r="F580" i="12"/>
  <c r="F581" i="12"/>
  <c r="F582" i="12"/>
  <c r="F583" i="12"/>
  <c r="F584" i="12"/>
  <c r="F585" i="12"/>
  <c r="F586" i="12"/>
  <c r="F587" i="12"/>
  <c r="F588" i="12"/>
  <c r="F589" i="12"/>
  <c r="F590" i="12"/>
  <c r="F591" i="12"/>
  <c r="F592" i="12"/>
  <c r="F593" i="12"/>
  <c r="F594" i="12"/>
  <c r="F595" i="12"/>
  <c r="F596" i="12"/>
  <c r="F597" i="12"/>
  <c r="F598" i="12"/>
  <c r="F599" i="12"/>
  <c r="F600" i="12"/>
  <c r="F601" i="12"/>
  <c r="F602" i="12"/>
  <c r="F603" i="12"/>
  <c r="F604" i="12"/>
  <c r="F605" i="12"/>
  <c r="F606" i="12"/>
  <c r="F607" i="12"/>
  <c r="F608" i="12"/>
  <c r="F609" i="12"/>
  <c r="F610" i="12"/>
  <c r="F611" i="12"/>
  <c r="F612" i="12"/>
  <c r="F613" i="12"/>
  <c r="F614" i="12"/>
  <c r="F615" i="12"/>
  <c r="F616" i="12"/>
  <c r="F617" i="12"/>
  <c r="F618" i="12"/>
  <c r="F619" i="12"/>
  <c r="F620" i="12"/>
  <c r="F621" i="12"/>
  <c r="F622" i="12"/>
  <c r="F623" i="12"/>
  <c r="F624" i="12"/>
  <c r="F625" i="12"/>
  <c r="F626" i="12"/>
  <c r="F627" i="12"/>
  <c r="F628" i="12"/>
  <c r="F629" i="12"/>
  <c r="F630" i="12"/>
  <c r="F631" i="12"/>
  <c r="F632" i="12"/>
  <c r="F633" i="12"/>
  <c r="F634" i="12"/>
  <c r="F635" i="12"/>
  <c r="F636" i="12"/>
  <c r="F637" i="12"/>
  <c r="F638" i="12"/>
  <c r="F639" i="12"/>
  <c r="F640" i="12"/>
  <c r="F641" i="12"/>
  <c r="F642" i="12"/>
  <c r="F643" i="12"/>
  <c r="F644" i="12"/>
  <c r="F645" i="12"/>
  <c r="F646" i="12"/>
  <c r="F647" i="12"/>
  <c r="F648" i="12"/>
  <c r="F649" i="12"/>
  <c r="F650" i="12"/>
  <c r="F651" i="12"/>
  <c r="F652" i="12"/>
  <c r="F653" i="12"/>
  <c r="F654" i="12"/>
  <c r="F655" i="12"/>
  <c r="F656" i="12"/>
  <c r="F657" i="12"/>
  <c r="F658" i="12"/>
  <c r="F659" i="12"/>
  <c r="F660" i="12"/>
  <c r="F661" i="12"/>
  <c r="F662" i="12"/>
  <c r="F663" i="12"/>
  <c r="F664" i="12"/>
  <c r="F665" i="12"/>
  <c r="F666" i="12"/>
  <c r="F667" i="12"/>
  <c r="F668" i="12"/>
  <c r="F669" i="12"/>
  <c r="F670" i="12"/>
  <c r="F671" i="12"/>
  <c r="F672" i="12"/>
  <c r="F673" i="12"/>
  <c r="F674" i="12"/>
  <c r="F675" i="12"/>
  <c r="F676" i="12"/>
  <c r="F677" i="12"/>
  <c r="F678" i="12"/>
  <c r="F679" i="12"/>
  <c r="F680" i="12"/>
  <c r="F681" i="12"/>
  <c r="F682" i="12"/>
  <c r="F683" i="12"/>
  <c r="F684" i="12"/>
  <c r="F685" i="12"/>
  <c r="F686" i="12"/>
  <c r="F687" i="12"/>
  <c r="F688" i="12"/>
  <c r="F689" i="12"/>
  <c r="F690" i="12"/>
  <c r="F691" i="12"/>
  <c r="F692" i="12"/>
  <c r="F693" i="12"/>
  <c r="F694" i="12"/>
  <c r="F695" i="12"/>
  <c r="F696" i="12"/>
  <c r="F697" i="12"/>
  <c r="F698" i="12"/>
  <c r="F699" i="12"/>
  <c r="F700" i="12"/>
  <c r="F701" i="12"/>
  <c r="F702" i="12"/>
  <c r="F703" i="12"/>
  <c r="F704" i="12"/>
  <c r="F705" i="12"/>
  <c r="F706" i="12"/>
  <c r="F707" i="12"/>
  <c r="F708" i="12"/>
  <c r="F709" i="12"/>
  <c r="F710" i="12"/>
  <c r="F711" i="12"/>
  <c r="F712" i="12"/>
  <c r="F713" i="12"/>
  <c r="F714" i="12"/>
  <c r="F715" i="12"/>
  <c r="F716" i="12"/>
  <c r="F717" i="12"/>
  <c r="F718" i="12"/>
  <c r="F719" i="12"/>
  <c r="F720" i="12"/>
  <c r="F721" i="12"/>
  <c r="F722" i="12"/>
  <c r="F723" i="12"/>
  <c r="F724" i="12"/>
  <c r="F725" i="12"/>
  <c r="F726" i="12"/>
  <c r="F727" i="12"/>
  <c r="F728" i="12"/>
  <c r="F729" i="12"/>
  <c r="F730" i="12"/>
  <c r="F731" i="12"/>
  <c r="F732" i="12"/>
  <c r="F733" i="12"/>
  <c r="F734" i="12"/>
  <c r="F735" i="12"/>
  <c r="F736" i="12"/>
  <c r="F737" i="12"/>
  <c r="F738" i="12"/>
  <c r="F739" i="12"/>
  <c r="F740" i="12"/>
  <c r="F741" i="12"/>
  <c r="F742" i="12"/>
  <c r="F743" i="12"/>
  <c r="F744" i="12"/>
  <c r="F745" i="12"/>
  <c r="F746" i="12"/>
  <c r="F747" i="12"/>
  <c r="F748" i="12"/>
  <c r="F749" i="12"/>
  <c r="F750" i="12"/>
  <c r="F751" i="12"/>
  <c r="F752" i="12"/>
  <c r="F753" i="12"/>
  <c r="F754" i="12"/>
  <c r="F755" i="12"/>
  <c r="F756" i="12"/>
  <c r="F757" i="12"/>
  <c r="F758" i="12"/>
  <c r="F759" i="12"/>
  <c r="F760" i="12"/>
  <c r="F761" i="12"/>
  <c r="F762" i="12"/>
  <c r="F763" i="12"/>
  <c r="F764" i="12"/>
  <c r="F765" i="12"/>
  <c r="F766" i="12"/>
  <c r="F767" i="12"/>
  <c r="F768" i="12"/>
  <c r="F769" i="12"/>
  <c r="F770" i="12"/>
  <c r="F771" i="12"/>
  <c r="F772" i="12"/>
  <c r="F773" i="12"/>
  <c r="F774" i="12"/>
  <c r="F775" i="12"/>
  <c r="F776" i="12"/>
  <c r="F777" i="12"/>
  <c r="F778" i="12"/>
  <c r="F779" i="12"/>
  <c r="F780" i="12"/>
  <c r="F781" i="12"/>
  <c r="F782" i="12"/>
  <c r="F783" i="12"/>
  <c r="F784" i="12"/>
  <c r="F785" i="12"/>
  <c r="F786" i="12"/>
  <c r="F787" i="12"/>
  <c r="F788" i="12"/>
  <c r="F789" i="12"/>
  <c r="F790" i="12"/>
  <c r="F791" i="12"/>
  <c r="F792" i="12"/>
  <c r="F793" i="12"/>
  <c r="F794" i="12"/>
  <c r="F795" i="12"/>
  <c r="F796" i="12"/>
  <c r="F797" i="12"/>
  <c r="F798" i="12"/>
  <c r="F799" i="12"/>
  <c r="F800" i="12"/>
  <c r="F801" i="12"/>
  <c r="F802" i="12"/>
  <c r="F803" i="12"/>
  <c r="F804" i="12"/>
  <c r="F805" i="12"/>
  <c r="F806" i="12"/>
  <c r="F807" i="12"/>
  <c r="F808" i="12"/>
  <c r="F809" i="12"/>
  <c r="F810" i="12"/>
  <c r="F811" i="12"/>
  <c r="F812" i="12"/>
  <c r="F813" i="12"/>
  <c r="F814" i="12"/>
  <c r="F815" i="12"/>
  <c r="F816" i="12"/>
  <c r="F817" i="12"/>
  <c r="F818" i="12"/>
  <c r="F819" i="12"/>
  <c r="F820" i="12"/>
  <c r="F821" i="12"/>
  <c r="F822" i="12"/>
  <c r="F823" i="12"/>
  <c r="F824" i="12"/>
  <c r="F825" i="12"/>
  <c r="F826" i="12"/>
  <c r="F827" i="12"/>
  <c r="F828" i="12"/>
  <c r="F829" i="12"/>
  <c r="F830" i="12"/>
  <c r="F831" i="12"/>
  <c r="F832" i="12"/>
  <c r="F833" i="12"/>
  <c r="F834" i="12"/>
  <c r="F835" i="12"/>
  <c r="F836" i="12"/>
  <c r="F837" i="12"/>
  <c r="F838" i="12"/>
  <c r="F839" i="12"/>
  <c r="F840" i="12"/>
  <c r="F841" i="12"/>
  <c r="F842" i="12"/>
  <c r="F843" i="12"/>
  <c r="F844" i="12"/>
  <c r="F845" i="12"/>
  <c r="F846" i="12"/>
  <c r="F847" i="12"/>
  <c r="F848" i="12"/>
  <c r="F849" i="12"/>
  <c r="F850" i="12"/>
  <c r="F851" i="12"/>
  <c r="F852" i="12"/>
  <c r="F853" i="12"/>
  <c r="F854" i="12"/>
  <c r="F855" i="12"/>
  <c r="F856" i="12"/>
  <c r="F857" i="12"/>
  <c r="F858" i="12"/>
  <c r="F859" i="12"/>
  <c r="F860" i="12"/>
  <c r="F861" i="12"/>
  <c r="F862" i="12"/>
  <c r="F863" i="12"/>
  <c r="F864" i="12"/>
  <c r="F865" i="12"/>
  <c r="F866" i="12"/>
  <c r="F867" i="12"/>
  <c r="F868" i="12"/>
  <c r="F869" i="12"/>
  <c r="F870" i="12"/>
  <c r="F871" i="12"/>
  <c r="F872" i="12"/>
  <c r="F873" i="12"/>
  <c r="F874" i="12"/>
  <c r="F875" i="12"/>
  <c r="F876" i="12"/>
  <c r="F877" i="12"/>
  <c r="F878" i="12"/>
  <c r="F879" i="12"/>
  <c r="F880" i="12"/>
  <c r="F881" i="12"/>
  <c r="F882" i="12"/>
  <c r="F883" i="12"/>
  <c r="F884" i="12"/>
  <c r="F885" i="12"/>
  <c r="F886" i="12"/>
  <c r="F887" i="12"/>
  <c r="F888" i="12"/>
  <c r="F889" i="12"/>
  <c r="F890" i="12"/>
  <c r="F891" i="12"/>
  <c r="F892" i="12"/>
  <c r="F893" i="12"/>
  <c r="F894" i="12"/>
  <c r="F895" i="12"/>
  <c r="F896" i="12"/>
  <c r="F897" i="12"/>
  <c r="F898" i="12"/>
  <c r="F899" i="12"/>
  <c r="F900" i="12"/>
  <c r="F901" i="12"/>
  <c r="F902" i="12"/>
  <c r="F903" i="12"/>
  <c r="F904" i="12"/>
  <c r="F905" i="12"/>
  <c r="F906" i="12"/>
  <c r="F907" i="12"/>
  <c r="F908" i="12"/>
  <c r="F909" i="12"/>
  <c r="F910" i="12"/>
  <c r="F911" i="12"/>
  <c r="F912" i="12"/>
  <c r="F913" i="12"/>
  <c r="F914" i="12"/>
  <c r="F915" i="12"/>
  <c r="F916" i="12"/>
  <c r="F917" i="12"/>
  <c r="F918" i="12"/>
  <c r="F919" i="12"/>
  <c r="F920" i="12"/>
  <c r="F921" i="12"/>
  <c r="F922" i="12"/>
  <c r="F923" i="12"/>
  <c r="F924" i="12"/>
  <c r="F925" i="12"/>
  <c r="F926" i="12"/>
  <c r="F927" i="12"/>
  <c r="F928" i="12"/>
  <c r="F929" i="12"/>
  <c r="F930" i="12"/>
  <c r="F931" i="12"/>
  <c r="F932" i="12"/>
  <c r="F933" i="12"/>
  <c r="F934" i="12"/>
  <c r="F935" i="12"/>
  <c r="F936" i="12"/>
  <c r="F937" i="12"/>
  <c r="F938" i="12"/>
  <c r="F939" i="12"/>
  <c r="F940" i="12"/>
  <c r="F941" i="12"/>
  <c r="F942" i="12"/>
  <c r="F943" i="12"/>
  <c r="F944" i="12"/>
  <c r="F945" i="12"/>
  <c r="F946" i="12"/>
  <c r="F947" i="12"/>
  <c r="F948" i="12"/>
  <c r="F949" i="12"/>
  <c r="F950" i="12"/>
  <c r="F951" i="12"/>
  <c r="F952" i="12"/>
  <c r="F953" i="12"/>
  <c r="F954" i="12"/>
  <c r="F955" i="12"/>
  <c r="F956" i="12"/>
  <c r="F957" i="12"/>
  <c r="F958" i="12"/>
  <c r="F959" i="12"/>
  <c r="F960" i="12"/>
  <c r="F961" i="12"/>
  <c r="F962" i="12"/>
  <c r="F963" i="12"/>
  <c r="F964" i="12"/>
  <c r="F965" i="12"/>
  <c r="F966" i="12"/>
  <c r="F967" i="12"/>
  <c r="F968" i="12"/>
  <c r="F969" i="12"/>
  <c r="F970" i="12"/>
  <c r="F971" i="12"/>
  <c r="F972" i="12"/>
  <c r="F973" i="12"/>
  <c r="F974" i="12"/>
  <c r="F975" i="12"/>
  <c r="F976" i="12"/>
  <c r="F977" i="12"/>
  <c r="F978" i="12"/>
  <c r="F979" i="12"/>
  <c r="F980" i="12"/>
  <c r="F981" i="12"/>
  <c r="F982" i="12"/>
  <c r="F983" i="12"/>
  <c r="F984" i="12"/>
  <c r="F985" i="12"/>
  <c r="F986" i="12"/>
  <c r="F987" i="12"/>
  <c r="F988" i="12"/>
  <c r="F989" i="12"/>
  <c r="F990" i="12"/>
  <c r="F991" i="12"/>
  <c r="F992" i="12"/>
  <c r="F993" i="12"/>
  <c r="F994" i="12"/>
  <c r="F995" i="12"/>
  <c r="F996" i="12"/>
  <c r="F997" i="12"/>
  <c r="F998" i="12"/>
  <c r="F999" i="12"/>
  <c r="F1000" i="12"/>
  <c r="F1001" i="12"/>
  <c r="F1002" i="12"/>
  <c r="F1003" i="12"/>
  <c r="F1004" i="12"/>
  <c r="F1005" i="12"/>
  <c r="F1006" i="12"/>
  <c r="F1007" i="12"/>
  <c r="F1008" i="12"/>
  <c r="F1009" i="12"/>
  <c r="F1010" i="12"/>
  <c r="F1011" i="12"/>
  <c r="F1012" i="12"/>
  <c r="F1013" i="12"/>
  <c r="F1014" i="12"/>
  <c r="F1015" i="12"/>
  <c r="F1016" i="12"/>
  <c r="F1017" i="12"/>
  <c r="F1018" i="12"/>
  <c r="F1019" i="12"/>
  <c r="F1020" i="12"/>
  <c r="F1021" i="12"/>
  <c r="F1022" i="12"/>
  <c r="F1023" i="12"/>
  <c r="F1024" i="12"/>
  <c r="F1025" i="12"/>
  <c r="F1026" i="12"/>
  <c r="F1027" i="12"/>
  <c r="F1028" i="12"/>
  <c r="F1029" i="12"/>
  <c r="F1030" i="12"/>
  <c r="F1031" i="12"/>
  <c r="F1032" i="12"/>
  <c r="F1033" i="12"/>
  <c r="F1034" i="12"/>
  <c r="F1035" i="12"/>
  <c r="F1036" i="12"/>
  <c r="F1037" i="12"/>
  <c r="F1038" i="12"/>
  <c r="F1039" i="12"/>
  <c r="F1040" i="12"/>
  <c r="F1041" i="12"/>
  <c r="F1042" i="12"/>
  <c r="F1043" i="12"/>
  <c r="F1044" i="12"/>
  <c r="F1045" i="12"/>
  <c r="F1046" i="12"/>
  <c r="F1047" i="12"/>
  <c r="F1048" i="12"/>
  <c r="F1049" i="12"/>
  <c r="F1050" i="12"/>
  <c r="F1051" i="12"/>
  <c r="F1052" i="12"/>
  <c r="F1053" i="12"/>
  <c r="F1054" i="12"/>
  <c r="F1055" i="12"/>
  <c r="F1056" i="12"/>
  <c r="F1057" i="12"/>
  <c r="F1058" i="12"/>
  <c r="F1059" i="12"/>
  <c r="F1060" i="12"/>
  <c r="F1061" i="12"/>
  <c r="F1062" i="12"/>
  <c r="F1063" i="12"/>
  <c r="F1064" i="12"/>
  <c r="F1065" i="12"/>
  <c r="F1066" i="12"/>
  <c r="F1067" i="12"/>
  <c r="F1068" i="12"/>
  <c r="F1069" i="12"/>
  <c r="F1070" i="12"/>
  <c r="F1071" i="12"/>
  <c r="F1072" i="12"/>
  <c r="F1073" i="12"/>
  <c r="F1074" i="12"/>
  <c r="F1075" i="12"/>
  <c r="F1076" i="12"/>
  <c r="F1077" i="12"/>
  <c r="F1078" i="12"/>
  <c r="F1079" i="12"/>
  <c r="F1080" i="12"/>
  <c r="F1081" i="12"/>
  <c r="F1082" i="12"/>
  <c r="F1083" i="12"/>
  <c r="F1084" i="12"/>
  <c r="F1085" i="12"/>
  <c r="F1086" i="12"/>
  <c r="F1087" i="12"/>
  <c r="F1088" i="12"/>
  <c r="F1089" i="12"/>
  <c r="F1090" i="12"/>
  <c r="F1091" i="12"/>
  <c r="F1092" i="12"/>
  <c r="F1093" i="12"/>
  <c r="F1094" i="12"/>
  <c r="F1095" i="12"/>
  <c r="F1096" i="12"/>
  <c r="F1097" i="12"/>
  <c r="F1098" i="12"/>
  <c r="F1099" i="12"/>
  <c r="F1100" i="12"/>
  <c r="F1101" i="12"/>
  <c r="F1102" i="12"/>
  <c r="F1103" i="12"/>
  <c r="F1104" i="12"/>
  <c r="F1105" i="12"/>
  <c r="F1106" i="12"/>
  <c r="F1107" i="12"/>
  <c r="F1108" i="12"/>
  <c r="F1109" i="12"/>
  <c r="F1110" i="12"/>
  <c r="F1111" i="12"/>
  <c r="F1112" i="12"/>
  <c r="F1113" i="12"/>
  <c r="F1114" i="12"/>
  <c r="F1115" i="12"/>
  <c r="F1116" i="12"/>
  <c r="F1117" i="12"/>
  <c r="F1118" i="12"/>
  <c r="F1119" i="12"/>
  <c r="F1120" i="12"/>
  <c r="F1121" i="12"/>
  <c r="F1122" i="12"/>
  <c r="F1123" i="12"/>
  <c r="F1124" i="12"/>
  <c r="F1125" i="12"/>
  <c r="F1126" i="12"/>
  <c r="F1127" i="12"/>
  <c r="F1128" i="12"/>
  <c r="F1129" i="12"/>
  <c r="F1130" i="12"/>
  <c r="F1131" i="12"/>
  <c r="F1132" i="12"/>
  <c r="F1133" i="12"/>
  <c r="F1134" i="12"/>
  <c r="F1135" i="12"/>
  <c r="F1136" i="12"/>
  <c r="F1137" i="12"/>
  <c r="F1138" i="12"/>
  <c r="F1139" i="12"/>
  <c r="F1140" i="12"/>
  <c r="F1141" i="12"/>
  <c r="F1142" i="12"/>
  <c r="F1143" i="12"/>
  <c r="F1144" i="12"/>
  <c r="F1145" i="12"/>
  <c r="F1146" i="12"/>
  <c r="F1147" i="12"/>
  <c r="F1148" i="12"/>
  <c r="F1149" i="12"/>
  <c r="F1150" i="12"/>
  <c r="F1151" i="12"/>
  <c r="F1152" i="12"/>
  <c r="F1153" i="12"/>
  <c r="F1154" i="12"/>
  <c r="F1155" i="12"/>
  <c r="F1156" i="12"/>
  <c r="F1157" i="12"/>
  <c r="F1158" i="12"/>
  <c r="F1159" i="12"/>
  <c r="F1160" i="12"/>
  <c r="F1161" i="12"/>
  <c r="F1162" i="12"/>
  <c r="F1163" i="12"/>
  <c r="F1164" i="12"/>
  <c r="F1165" i="12"/>
  <c r="F1166" i="12"/>
  <c r="F1167" i="12"/>
  <c r="F1168" i="12"/>
  <c r="F1169" i="12"/>
  <c r="F1170" i="12"/>
  <c r="F1171" i="12"/>
  <c r="F1172" i="12"/>
  <c r="F1173" i="12"/>
  <c r="F1174" i="12"/>
  <c r="F1175" i="12"/>
  <c r="F1176" i="12"/>
  <c r="F1177" i="12"/>
  <c r="F1178" i="12"/>
  <c r="F1179" i="12"/>
  <c r="F1180" i="12"/>
  <c r="F1181" i="12"/>
  <c r="F1182" i="12"/>
  <c r="F1183" i="12"/>
  <c r="F1184" i="12"/>
  <c r="F1185" i="12"/>
  <c r="F1186" i="12"/>
  <c r="F1187" i="12"/>
  <c r="F1188" i="12"/>
  <c r="F1189" i="12"/>
  <c r="F1190" i="12"/>
  <c r="F1191" i="12"/>
  <c r="F1192" i="12"/>
  <c r="F1193" i="12"/>
  <c r="F1194" i="12"/>
  <c r="F1195" i="12"/>
  <c r="F1196" i="12"/>
  <c r="F1197" i="12"/>
  <c r="F1198" i="12"/>
  <c r="F1199" i="12"/>
  <c r="F1200" i="12"/>
  <c r="F1201" i="12"/>
  <c r="F1202" i="12"/>
  <c r="F1203" i="12"/>
  <c r="F1204" i="12"/>
  <c r="F1205" i="12"/>
  <c r="F1206" i="12"/>
  <c r="F1207" i="12"/>
  <c r="F1208" i="12"/>
  <c r="F1209" i="12"/>
  <c r="F1210" i="12"/>
  <c r="F1211" i="12"/>
  <c r="F1212" i="12"/>
  <c r="F1213" i="12"/>
  <c r="F1214" i="12"/>
  <c r="F1215" i="12"/>
  <c r="F1216" i="12"/>
  <c r="F1217" i="12"/>
  <c r="F1218" i="12"/>
  <c r="F1219" i="12"/>
  <c r="F1220" i="12"/>
  <c r="F1221" i="12"/>
  <c r="F1222" i="12"/>
  <c r="F1223" i="12"/>
  <c r="F1224" i="12"/>
  <c r="F1225" i="12"/>
  <c r="F1226" i="12"/>
  <c r="F1227" i="12"/>
  <c r="F1228" i="12"/>
  <c r="F1229" i="12"/>
  <c r="F1230" i="12"/>
  <c r="F1231" i="12"/>
  <c r="F1232" i="12"/>
  <c r="F1233" i="12"/>
  <c r="F1234" i="12"/>
  <c r="F1235" i="12"/>
  <c r="F1236" i="12"/>
  <c r="F1237" i="12"/>
  <c r="F1238" i="12"/>
  <c r="F1239" i="12"/>
  <c r="F1240" i="12"/>
  <c r="F1241" i="12"/>
  <c r="F1242" i="12"/>
  <c r="F1243" i="12"/>
  <c r="F1244" i="12"/>
  <c r="F1245" i="12"/>
  <c r="F1246" i="12"/>
  <c r="F1247" i="12"/>
  <c r="F1248" i="12"/>
  <c r="F1249" i="12"/>
  <c r="F1250" i="12"/>
  <c r="F1251" i="12"/>
  <c r="F1252" i="12"/>
  <c r="F1253" i="12"/>
  <c r="F1254" i="12"/>
  <c r="F1255" i="12"/>
  <c r="F1256" i="12"/>
  <c r="F1257" i="12"/>
  <c r="F1258" i="12"/>
  <c r="F1259" i="12"/>
  <c r="F1260" i="12"/>
  <c r="F1261" i="12"/>
  <c r="F1262" i="12"/>
  <c r="F1263" i="12"/>
  <c r="F1264" i="12"/>
  <c r="F1265" i="12"/>
  <c r="F1266" i="12"/>
  <c r="F1267" i="12"/>
  <c r="F1268" i="12"/>
  <c r="F1269" i="12"/>
  <c r="F1270" i="12"/>
  <c r="F1271" i="12"/>
  <c r="F1272" i="12"/>
  <c r="F1273" i="12"/>
  <c r="F1274" i="12"/>
  <c r="F1275" i="12"/>
  <c r="F1276" i="12"/>
  <c r="F1277" i="12"/>
  <c r="F1278" i="12"/>
  <c r="F1279" i="12"/>
  <c r="F1280" i="12"/>
  <c r="F1281" i="12"/>
  <c r="F1282" i="12"/>
  <c r="F1283" i="12"/>
  <c r="F1284" i="12"/>
  <c r="F1285" i="12"/>
  <c r="F1286" i="12"/>
  <c r="F1287" i="12"/>
  <c r="F1288" i="12"/>
  <c r="F1289" i="12"/>
  <c r="F1290" i="12"/>
  <c r="F1291" i="12"/>
  <c r="F1292" i="12"/>
  <c r="F1293" i="12"/>
  <c r="F1294" i="12"/>
  <c r="F1295" i="12"/>
  <c r="F1296" i="12"/>
  <c r="F1297" i="12"/>
  <c r="F1298" i="12"/>
  <c r="F1299" i="12"/>
  <c r="F1300" i="12"/>
  <c r="F1301" i="12"/>
  <c r="F1302" i="12"/>
  <c r="F1303" i="12"/>
  <c r="F1304" i="12"/>
  <c r="F1305" i="12"/>
  <c r="F1306" i="12"/>
  <c r="F1307" i="12"/>
  <c r="F1308" i="12"/>
  <c r="F1309" i="12"/>
  <c r="F1310" i="12"/>
  <c r="F1311" i="12"/>
  <c r="F1312" i="12"/>
  <c r="F1313" i="12"/>
  <c r="F1314" i="12"/>
  <c r="F1315" i="12"/>
  <c r="F1316" i="12"/>
  <c r="F1317" i="12"/>
  <c r="F1318" i="12"/>
  <c r="F1319" i="12"/>
  <c r="F1320" i="12"/>
  <c r="F1321" i="12"/>
  <c r="F1322" i="12"/>
  <c r="F1323" i="12"/>
  <c r="F1324" i="12"/>
  <c r="F1325" i="12"/>
  <c r="F1326" i="12"/>
  <c r="F1327" i="12"/>
  <c r="F1328" i="12"/>
  <c r="F1329" i="12"/>
  <c r="F1330" i="12"/>
  <c r="F1331" i="12"/>
  <c r="F1332" i="12"/>
  <c r="F1333" i="12"/>
  <c r="F1334" i="12"/>
  <c r="F1335" i="12"/>
  <c r="F1336" i="12"/>
  <c r="F1337" i="12"/>
  <c r="F1338" i="12"/>
  <c r="F1339" i="12"/>
  <c r="F1340" i="12"/>
  <c r="F1341" i="12"/>
  <c r="F1342" i="12"/>
  <c r="F1343" i="12"/>
  <c r="F1344" i="12"/>
  <c r="F1345" i="12"/>
  <c r="F1346" i="12"/>
  <c r="F1347" i="12"/>
  <c r="F1348" i="12"/>
  <c r="F1349" i="12"/>
  <c r="F1350" i="12"/>
  <c r="F1351" i="12"/>
  <c r="F1352" i="12"/>
  <c r="F1353" i="12"/>
  <c r="F1354" i="12"/>
  <c r="F1355" i="12"/>
  <c r="F1356" i="12"/>
  <c r="F1357" i="12"/>
  <c r="F1358" i="12"/>
  <c r="F1359" i="12"/>
  <c r="F1360" i="12"/>
  <c r="F1361" i="12"/>
  <c r="F1362" i="12"/>
  <c r="F1363" i="12"/>
  <c r="F1364" i="12"/>
  <c r="F1365" i="12"/>
  <c r="F1366" i="12"/>
  <c r="F1367" i="12"/>
  <c r="F1368" i="12"/>
  <c r="F1369" i="12"/>
  <c r="F1370" i="12"/>
  <c r="F1371" i="12"/>
  <c r="F1372" i="12"/>
  <c r="F1373" i="12"/>
  <c r="F1374" i="12"/>
  <c r="F1375" i="12"/>
  <c r="F1376" i="12"/>
  <c r="F1377" i="12"/>
  <c r="F1378" i="12"/>
  <c r="F1379" i="12"/>
  <c r="F1380" i="12"/>
  <c r="F1381" i="12"/>
  <c r="F1382" i="12"/>
  <c r="F1383" i="12"/>
  <c r="F1384" i="12"/>
  <c r="F1385" i="12"/>
  <c r="F1386" i="12"/>
  <c r="F1387" i="12"/>
  <c r="F1388" i="12"/>
  <c r="F1389" i="12"/>
  <c r="F1390" i="12"/>
  <c r="F1391" i="12"/>
  <c r="F1392" i="12"/>
  <c r="F1393" i="12"/>
  <c r="F1394" i="12"/>
  <c r="F1395" i="12"/>
  <c r="F1396" i="12"/>
  <c r="F1397" i="12"/>
  <c r="F1398" i="12"/>
  <c r="F1399" i="12"/>
  <c r="F1400" i="12"/>
  <c r="F1401" i="12"/>
  <c r="F1402" i="12"/>
  <c r="F1403" i="12"/>
  <c r="F1404" i="12"/>
  <c r="F1405" i="12"/>
  <c r="F1406" i="12"/>
  <c r="F1407" i="12"/>
  <c r="F1408" i="12"/>
  <c r="F1409" i="12"/>
  <c r="F1410" i="12"/>
  <c r="F1411" i="12"/>
  <c r="F1412" i="12"/>
  <c r="F1413" i="12"/>
  <c r="F1414" i="12"/>
  <c r="F1415" i="12"/>
  <c r="F1416" i="12"/>
  <c r="F1417" i="12"/>
  <c r="F1418" i="12"/>
  <c r="F1419" i="12"/>
  <c r="F1420" i="12"/>
  <c r="F1421" i="12"/>
  <c r="F1422" i="12"/>
  <c r="F1423" i="12"/>
  <c r="F1424" i="12"/>
  <c r="F1425" i="12"/>
  <c r="F1426" i="12"/>
  <c r="F1427" i="12"/>
  <c r="F1428" i="12"/>
  <c r="F1429" i="12"/>
  <c r="F1430" i="12"/>
  <c r="F1431" i="12"/>
  <c r="F1432" i="12"/>
  <c r="F1433" i="12"/>
  <c r="F1434" i="12"/>
  <c r="F1435" i="12"/>
  <c r="F1436" i="12"/>
  <c r="F1437" i="12"/>
  <c r="F1438" i="12"/>
  <c r="F1439" i="12"/>
  <c r="F1440" i="12"/>
  <c r="F1441" i="12"/>
  <c r="F1442" i="12"/>
  <c r="F1443" i="12"/>
  <c r="F1444" i="12"/>
  <c r="F1445" i="12"/>
  <c r="F1446" i="12"/>
  <c r="F1447" i="12"/>
  <c r="F1448" i="12"/>
  <c r="F1449" i="12"/>
  <c r="F1450" i="12"/>
  <c r="F1451" i="12"/>
  <c r="F1452" i="12"/>
  <c r="F1453" i="12"/>
  <c r="F1454" i="12"/>
  <c r="F1455" i="12"/>
  <c r="F1456" i="12"/>
  <c r="F1457" i="12"/>
  <c r="F1458" i="12"/>
  <c r="F1459" i="12"/>
  <c r="F1460" i="12"/>
  <c r="F1461" i="12"/>
  <c r="F1462" i="12"/>
  <c r="F1463" i="12"/>
  <c r="F1464" i="12"/>
  <c r="F1465" i="12"/>
  <c r="F1466" i="12"/>
  <c r="F1467" i="12"/>
  <c r="F1468" i="12"/>
  <c r="F1469" i="12"/>
  <c r="F1470" i="12"/>
  <c r="F1471" i="12"/>
  <c r="F1472" i="12"/>
  <c r="F1473" i="12"/>
  <c r="F1474" i="12"/>
  <c r="F1475" i="12"/>
  <c r="F1476" i="12"/>
  <c r="F1477" i="12"/>
  <c r="F1478" i="12"/>
  <c r="F1479" i="12"/>
  <c r="F1480" i="12"/>
  <c r="F1481" i="12"/>
  <c r="F1482" i="12"/>
  <c r="F1483" i="12"/>
  <c r="F1484" i="12"/>
  <c r="F1485" i="12"/>
  <c r="F1486" i="12"/>
  <c r="F1487" i="12"/>
  <c r="F1488" i="12"/>
  <c r="F1489" i="12"/>
  <c r="F1490" i="12"/>
  <c r="F1491" i="12"/>
  <c r="F1492" i="12"/>
  <c r="F1493" i="12"/>
  <c r="F1494" i="12"/>
  <c r="F1495" i="12"/>
  <c r="F1496" i="12"/>
  <c r="F1497" i="12"/>
  <c r="F1498" i="12"/>
  <c r="F1499" i="12"/>
  <c r="F1500" i="12"/>
  <c r="F1501" i="12"/>
  <c r="F1502" i="12"/>
  <c r="F1503" i="12"/>
  <c r="F1504" i="12"/>
  <c r="F1505" i="12"/>
  <c r="F1506" i="12"/>
  <c r="F1507" i="12"/>
  <c r="F1508" i="12"/>
  <c r="F1509" i="12"/>
  <c r="F1510" i="12"/>
  <c r="F1511" i="12"/>
  <c r="F1512" i="12"/>
  <c r="F1513" i="12"/>
  <c r="F1514" i="12"/>
  <c r="F1515" i="12"/>
  <c r="F1516" i="12"/>
  <c r="F1517" i="12"/>
  <c r="F1518" i="12"/>
  <c r="F1519" i="12"/>
  <c r="F1520" i="12"/>
  <c r="F1521" i="12"/>
  <c r="F1522" i="12"/>
  <c r="F1523" i="12"/>
  <c r="F1524" i="12"/>
  <c r="F1525" i="12"/>
  <c r="F1526" i="12"/>
  <c r="F1527" i="12"/>
  <c r="F1528" i="12"/>
  <c r="F1529" i="12"/>
  <c r="F1530" i="12"/>
  <c r="F1531" i="12"/>
  <c r="F1532" i="12"/>
  <c r="F1533" i="12"/>
  <c r="F1534" i="12"/>
  <c r="F1535" i="12"/>
  <c r="F1536" i="12"/>
  <c r="F1537" i="12"/>
  <c r="F1538" i="12"/>
  <c r="F1539" i="12"/>
  <c r="F1540" i="12"/>
  <c r="F1541" i="12"/>
  <c r="F1542" i="12"/>
  <c r="F1543" i="12"/>
  <c r="F1544" i="12"/>
  <c r="F1545" i="12"/>
  <c r="F1546" i="12"/>
  <c r="F1547" i="12"/>
  <c r="F1548" i="12"/>
  <c r="F1549" i="12"/>
  <c r="F1550" i="12"/>
  <c r="F1551" i="12"/>
  <c r="F1552" i="12"/>
  <c r="F1553" i="12"/>
  <c r="F1554" i="12"/>
  <c r="F1555" i="12"/>
  <c r="F1556" i="12"/>
  <c r="F1557" i="12"/>
  <c r="F1558" i="12"/>
  <c r="F1559" i="12"/>
  <c r="F1560" i="12"/>
  <c r="F1561" i="12"/>
  <c r="F1562" i="12"/>
  <c r="F1563" i="12"/>
  <c r="F1564" i="12"/>
  <c r="F1565" i="12"/>
  <c r="F1566" i="12"/>
  <c r="F1567" i="12"/>
  <c r="F1568" i="12"/>
  <c r="F1569" i="12"/>
  <c r="F1570" i="12"/>
  <c r="F1571" i="12"/>
  <c r="F1572" i="12"/>
  <c r="F1573" i="12"/>
  <c r="F1574" i="12"/>
  <c r="F1575" i="12"/>
  <c r="F1576" i="12"/>
  <c r="F1577" i="12"/>
  <c r="F1578" i="12"/>
  <c r="F1579" i="12"/>
  <c r="F1580" i="12"/>
  <c r="F1581" i="12"/>
  <c r="F1582" i="12"/>
  <c r="F1583" i="12"/>
  <c r="F1584" i="12"/>
  <c r="F1585" i="12"/>
  <c r="F1586" i="12"/>
  <c r="F1587" i="12"/>
  <c r="F1588" i="12"/>
  <c r="F1589" i="12"/>
  <c r="F1590" i="12"/>
  <c r="F1591" i="12"/>
  <c r="F1592" i="12"/>
  <c r="F1593" i="12"/>
  <c r="F1594" i="12"/>
  <c r="F1595" i="12"/>
  <c r="F1596" i="12"/>
  <c r="F1597" i="12"/>
  <c r="F1598" i="12"/>
  <c r="F1599" i="12"/>
  <c r="F1600" i="12"/>
  <c r="F1601" i="12"/>
  <c r="F1602" i="12"/>
  <c r="F1603" i="12"/>
  <c r="F1604" i="12"/>
  <c r="F1605" i="12"/>
  <c r="F1606" i="12"/>
  <c r="F1607" i="12"/>
  <c r="F1608" i="12"/>
  <c r="F1609" i="12"/>
  <c r="F1610" i="12"/>
  <c r="F1611" i="12"/>
  <c r="F1612" i="12"/>
  <c r="F1613" i="12"/>
  <c r="F1614" i="12"/>
  <c r="F1615" i="12"/>
  <c r="F1616" i="12"/>
  <c r="F1617" i="12"/>
  <c r="F1618" i="12"/>
  <c r="F1619" i="12"/>
  <c r="F1620" i="12"/>
  <c r="F1621" i="12"/>
  <c r="F1622" i="12"/>
  <c r="F1623" i="12"/>
  <c r="F1624" i="12"/>
  <c r="F1625" i="12"/>
  <c r="F1626" i="12"/>
  <c r="F1627" i="12"/>
  <c r="F1628" i="12"/>
  <c r="F1629" i="12"/>
  <c r="F1630" i="12"/>
  <c r="F1631" i="12"/>
  <c r="F1632" i="12"/>
  <c r="F1633" i="12"/>
  <c r="F1634" i="12"/>
  <c r="F1635" i="12"/>
  <c r="F1636" i="12"/>
  <c r="F1637" i="12"/>
  <c r="F1638" i="12"/>
  <c r="F1639" i="12"/>
  <c r="F1640" i="12"/>
  <c r="F1641" i="12"/>
  <c r="F1642" i="12"/>
  <c r="F1643" i="12"/>
  <c r="F1644" i="12"/>
  <c r="F1645" i="12"/>
  <c r="F1646" i="12"/>
  <c r="F1647" i="12"/>
  <c r="F1648" i="12"/>
  <c r="F1649" i="12"/>
  <c r="F1650" i="12"/>
  <c r="F1651" i="12"/>
  <c r="F1652" i="12"/>
  <c r="F1653" i="12"/>
  <c r="F1654" i="12"/>
  <c r="F1655" i="12"/>
  <c r="F1656" i="12"/>
  <c r="F1657" i="12"/>
  <c r="F1658" i="12"/>
  <c r="F1659" i="12"/>
  <c r="F1660" i="12"/>
  <c r="F1661" i="12"/>
  <c r="F1662" i="12"/>
  <c r="F1663" i="12"/>
  <c r="F1664" i="12"/>
  <c r="F1665" i="12"/>
  <c r="F1666" i="12"/>
  <c r="F1667" i="12"/>
  <c r="F1668" i="12"/>
  <c r="F1669" i="12"/>
  <c r="F1670" i="12"/>
  <c r="F1671" i="12"/>
  <c r="F1672" i="12"/>
  <c r="F1673" i="12"/>
  <c r="F1674" i="12"/>
  <c r="F1675" i="12"/>
  <c r="F1676" i="12"/>
  <c r="F1677" i="12"/>
  <c r="F1678" i="12"/>
  <c r="F1679" i="12"/>
  <c r="F1680" i="12"/>
  <c r="F1681" i="12"/>
  <c r="F1682" i="12"/>
  <c r="F1683" i="12"/>
  <c r="F1684" i="12"/>
  <c r="F1685" i="12"/>
  <c r="F1686" i="12"/>
  <c r="F1687" i="12"/>
  <c r="F1688" i="12"/>
  <c r="F1689" i="12"/>
  <c r="F1690" i="12"/>
  <c r="F1691" i="12"/>
  <c r="F1692" i="12"/>
  <c r="F1693" i="12"/>
  <c r="F1694" i="12"/>
  <c r="F1695" i="12"/>
  <c r="F1696" i="12"/>
  <c r="F1697" i="12"/>
  <c r="F1698" i="12"/>
  <c r="F1699" i="12"/>
  <c r="F1700" i="12"/>
  <c r="F1701" i="12"/>
  <c r="F1702" i="12"/>
  <c r="F1703" i="12"/>
  <c r="F1704" i="12"/>
  <c r="F1705" i="12"/>
  <c r="F1706" i="12"/>
  <c r="F1707" i="12"/>
  <c r="F1708" i="12"/>
  <c r="F1709" i="12"/>
  <c r="F1710" i="12"/>
  <c r="F1711" i="12"/>
  <c r="F1712" i="12"/>
  <c r="F1713" i="12"/>
  <c r="F1714" i="12"/>
  <c r="F1715" i="12"/>
  <c r="F1716" i="12"/>
  <c r="F1717" i="12"/>
  <c r="F1718" i="12"/>
  <c r="F1719" i="12"/>
  <c r="F1720" i="12"/>
  <c r="F1721" i="12"/>
  <c r="F1722" i="12"/>
  <c r="F1723" i="12"/>
  <c r="F1724" i="12"/>
  <c r="F1725" i="12"/>
  <c r="F1726" i="12"/>
  <c r="F1727" i="12"/>
  <c r="F1728" i="12"/>
  <c r="F1729" i="12"/>
  <c r="F1730" i="12"/>
  <c r="F1731" i="12"/>
  <c r="F1732" i="12"/>
  <c r="F1733" i="12"/>
  <c r="F1734" i="12"/>
  <c r="F1735" i="12"/>
  <c r="F1736" i="12"/>
  <c r="F1737" i="12"/>
  <c r="F1738" i="12"/>
  <c r="F1739" i="12"/>
  <c r="F1740" i="12"/>
  <c r="F1741" i="12"/>
  <c r="F1742" i="12"/>
  <c r="F1743" i="12"/>
  <c r="F1744" i="12"/>
  <c r="F1745" i="12"/>
  <c r="F1746" i="12"/>
  <c r="F1747" i="12"/>
  <c r="F1748" i="12"/>
  <c r="F1749" i="12"/>
  <c r="F1750" i="12"/>
  <c r="F1751" i="12"/>
  <c r="F1752" i="12"/>
  <c r="F1753" i="12"/>
  <c r="F1754" i="12"/>
  <c r="F1755" i="12"/>
  <c r="F1756" i="12"/>
  <c r="F1757" i="12"/>
  <c r="F1758" i="12"/>
  <c r="F1759" i="12"/>
  <c r="F1760" i="12"/>
  <c r="F1761" i="12"/>
  <c r="F1762" i="12"/>
  <c r="F1763" i="12"/>
  <c r="F1764" i="12"/>
  <c r="F1765" i="12"/>
  <c r="F1766" i="12"/>
  <c r="F1767" i="12"/>
  <c r="F1768" i="12"/>
  <c r="F1769" i="12"/>
  <c r="F1770" i="12"/>
  <c r="F1771" i="12"/>
  <c r="F1772" i="12"/>
  <c r="F1773" i="12"/>
  <c r="F1774" i="12"/>
  <c r="F1775" i="12"/>
  <c r="F1776" i="12"/>
  <c r="F1777" i="12"/>
  <c r="F1778" i="12"/>
  <c r="F1779" i="12"/>
  <c r="F1780" i="12"/>
  <c r="F1781" i="12"/>
  <c r="F1782" i="12"/>
  <c r="F1783" i="12"/>
  <c r="F1784" i="12"/>
  <c r="F1785" i="12"/>
  <c r="F1786" i="12"/>
  <c r="F1787" i="12"/>
  <c r="F1788" i="12"/>
  <c r="F1789" i="12"/>
  <c r="F1790" i="12"/>
  <c r="F1791" i="12"/>
  <c r="F1792" i="12"/>
  <c r="F1793" i="12"/>
  <c r="F1794" i="12"/>
  <c r="F1795" i="12"/>
  <c r="F1796" i="12"/>
  <c r="F1797" i="12"/>
  <c r="F1798" i="12"/>
  <c r="F1799" i="12"/>
  <c r="F1800" i="12"/>
  <c r="F1801" i="12"/>
  <c r="F1802" i="12"/>
  <c r="F1803" i="12"/>
  <c r="F1804" i="12"/>
  <c r="F1805" i="12"/>
  <c r="F1806" i="12"/>
  <c r="F1807" i="12"/>
  <c r="F1808" i="12"/>
  <c r="F1809" i="12"/>
  <c r="F1810" i="12"/>
  <c r="F1811" i="12"/>
  <c r="F1812" i="12"/>
  <c r="F1813" i="12"/>
  <c r="F1814" i="12"/>
  <c r="F1815" i="12"/>
  <c r="F1816" i="12"/>
  <c r="F1817" i="12"/>
  <c r="F1818" i="12"/>
  <c r="F1819" i="12"/>
  <c r="F1820" i="12"/>
  <c r="F1821" i="12"/>
  <c r="F1822" i="12"/>
  <c r="F1823" i="12"/>
  <c r="F1824" i="12"/>
  <c r="F1825" i="12"/>
  <c r="F1826" i="12"/>
  <c r="F1827" i="12"/>
  <c r="F1828" i="12"/>
  <c r="F1829" i="12"/>
  <c r="F1830" i="12"/>
  <c r="F1831" i="12"/>
  <c r="F1832" i="12"/>
  <c r="F1833" i="12"/>
  <c r="F1834" i="12"/>
  <c r="F1835" i="12"/>
  <c r="F1836" i="12"/>
  <c r="F1837" i="12"/>
  <c r="F1838" i="12"/>
  <c r="F1839" i="12"/>
  <c r="F1840" i="12"/>
  <c r="F1841" i="12"/>
  <c r="F1842" i="12"/>
  <c r="F1843" i="12"/>
  <c r="F1844" i="12"/>
  <c r="F1845" i="12"/>
  <c r="F1846" i="12"/>
  <c r="F1847" i="12"/>
  <c r="F1848" i="12"/>
  <c r="F1849" i="12"/>
  <c r="F1850" i="12"/>
  <c r="F1851" i="12"/>
  <c r="F1852" i="12"/>
  <c r="F1853" i="12"/>
  <c r="F1854" i="12"/>
  <c r="F1855" i="12"/>
  <c r="F1856" i="12"/>
  <c r="F1857" i="12"/>
  <c r="F1858" i="12"/>
  <c r="F1859" i="12"/>
  <c r="F1860" i="12"/>
  <c r="F1861" i="12"/>
  <c r="F1862" i="12"/>
  <c r="F1863" i="12"/>
  <c r="F1864" i="12"/>
  <c r="F1865" i="12"/>
  <c r="F1866" i="12"/>
  <c r="F1867" i="12"/>
  <c r="F1868" i="12"/>
  <c r="F1869" i="12"/>
  <c r="F1870" i="12"/>
  <c r="F1871" i="12"/>
  <c r="F1872" i="12"/>
  <c r="F1873" i="12"/>
  <c r="F1874" i="12"/>
  <c r="F1875" i="12"/>
  <c r="F1876" i="12"/>
  <c r="F1877" i="12"/>
  <c r="F1878" i="12"/>
  <c r="F1879" i="12"/>
  <c r="F1880" i="12"/>
  <c r="F1881" i="12"/>
  <c r="F1882" i="12"/>
  <c r="F1883" i="12"/>
  <c r="F1884" i="12"/>
  <c r="F1885" i="12"/>
  <c r="F1886" i="12"/>
  <c r="F1887" i="12"/>
  <c r="F1888" i="12"/>
  <c r="F1889" i="12"/>
  <c r="F1890" i="12"/>
  <c r="F1891" i="12"/>
  <c r="F1892" i="12"/>
  <c r="F1893" i="12"/>
  <c r="F1894" i="12"/>
  <c r="F1895" i="12"/>
  <c r="F1896" i="12"/>
  <c r="F1897" i="12"/>
  <c r="F1898" i="12"/>
  <c r="F1899" i="12"/>
  <c r="F1900" i="12"/>
  <c r="F1901" i="12"/>
  <c r="F1902" i="12"/>
  <c r="F1903" i="12"/>
  <c r="F1904" i="12"/>
  <c r="F1905" i="12"/>
  <c r="F1906" i="12"/>
  <c r="F1907" i="12"/>
  <c r="F1908" i="12"/>
  <c r="F1909" i="12"/>
  <c r="F1910" i="12"/>
  <c r="F1911" i="12"/>
  <c r="F1912" i="12"/>
  <c r="F1913" i="12"/>
  <c r="F1914" i="12"/>
  <c r="F1915" i="12"/>
  <c r="F1916" i="12"/>
  <c r="F1917" i="12"/>
  <c r="F1918" i="12"/>
  <c r="F1919" i="12"/>
  <c r="F1920" i="12"/>
  <c r="F1921" i="12"/>
  <c r="F1922" i="12"/>
  <c r="F1923" i="12"/>
  <c r="F1924" i="12"/>
  <c r="F1925" i="12"/>
  <c r="F1926" i="12"/>
  <c r="F1927" i="12"/>
  <c r="F1928" i="12"/>
  <c r="F1929" i="12"/>
  <c r="F1930" i="12"/>
  <c r="F1931" i="12"/>
  <c r="F1932" i="12"/>
  <c r="F1933" i="12"/>
  <c r="F1934" i="12"/>
  <c r="F1935" i="12"/>
  <c r="F1936" i="12"/>
  <c r="F1937" i="12"/>
  <c r="F1938" i="12"/>
  <c r="F1939" i="12"/>
  <c r="F1940" i="12"/>
  <c r="F1941" i="12"/>
  <c r="F1942" i="12"/>
  <c r="F1943" i="12"/>
  <c r="F1944" i="12"/>
  <c r="F1945" i="12"/>
  <c r="F1946" i="12"/>
  <c r="F1947" i="12"/>
  <c r="F1948" i="12"/>
  <c r="F1949" i="12"/>
  <c r="F1950" i="12"/>
  <c r="F1951" i="12"/>
  <c r="F1952" i="12"/>
  <c r="F1953" i="12"/>
  <c r="F1954" i="12"/>
  <c r="F1955" i="12"/>
  <c r="F1956" i="12"/>
  <c r="F1957" i="12"/>
  <c r="F1958" i="12"/>
  <c r="F1959" i="12"/>
  <c r="F1960" i="12"/>
  <c r="F1961" i="12"/>
  <c r="F1962" i="12"/>
  <c r="F1963" i="12"/>
  <c r="F1964" i="12"/>
  <c r="F1965" i="12"/>
  <c r="F1966" i="12"/>
  <c r="F1967" i="12"/>
  <c r="F1968" i="12"/>
  <c r="F1969" i="12"/>
  <c r="F1970" i="12"/>
  <c r="F1971" i="12"/>
  <c r="F1972" i="12"/>
  <c r="F1973" i="12"/>
  <c r="F1974" i="12"/>
  <c r="F1975" i="12"/>
  <c r="F1976" i="12"/>
  <c r="F1977" i="12"/>
  <c r="F1978" i="12"/>
  <c r="F1979" i="12"/>
  <c r="F1980" i="12"/>
  <c r="F1981" i="12"/>
  <c r="F1982" i="12"/>
  <c r="F1983" i="12"/>
  <c r="F1984" i="12"/>
  <c r="F1985" i="12"/>
  <c r="F1986" i="12"/>
  <c r="F1987" i="12"/>
  <c r="F1988" i="12"/>
  <c r="F1989" i="12"/>
  <c r="F1990" i="12"/>
  <c r="F1991" i="12"/>
  <c r="F1992" i="12"/>
  <c r="F1993" i="12"/>
  <c r="F1994" i="12"/>
  <c r="F1995" i="12"/>
  <c r="F1996" i="12"/>
  <c r="F1997" i="12"/>
  <c r="F1998" i="12"/>
  <c r="F1999" i="12"/>
  <c r="F2000" i="12"/>
  <c r="F2001" i="12"/>
  <c r="F2002" i="12"/>
  <c r="F2003" i="12"/>
  <c r="F2004" i="12"/>
  <c r="F2005" i="12"/>
  <c r="F2006" i="12"/>
  <c r="F2007" i="12"/>
  <c r="F2008" i="12"/>
  <c r="F2009" i="12"/>
  <c r="F2010" i="12"/>
  <c r="F2011" i="12"/>
  <c r="F2012" i="12"/>
  <c r="F2013" i="12"/>
  <c r="F2014" i="12"/>
  <c r="F2015" i="12"/>
  <c r="F2016" i="12"/>
  <c r="F2017" i="12"/>
  <c r="F2018" i="12"/>
  <c r="F2019" i="12"/>
  <c r="F2020" i="12"/>
  <c r="F2021" i="12"/>
  <c r="F2022" i="12"/>
  <c r="F2023" i="12"/>
  <c r="F2024" i="12"/>
  <c r="F2025" i="12"/>
  <c r="F2026" i="12"/>
  <c r="F2027" i="12"/>
  <c r="F2028" i="12"/>
  <c r="F2029" i="12"/>
  <c r="F2030" i="12"/>
  <c r="F2031" i="12"/>
  <c r="F2032" i="12"/>
  <c r="F2033" i="12"/>
  <c r="F2034" i="12"/>
  <c r="F2035" i="12"/>
  <c r="F2036" i="12"/>
  <c r="F2037" i="12"/>
  <c r="F2038" i="12"/>
  <c r="F2039" i="12"/>
  <c r="F2040" i="12"/>
  <c r="F2041" i="12"/>
  <c r="F2042" i="12"/>
  <c r="F2043" i="12"/>
  <c r="F2044" i="12"/>
  <c r="F2045" i="12"/>
  <c r="F2046" i="12"/>
  <c r="F2047" i="12"/>
  <c r="F2048" i="12"/>
  <c r="F2049" i="12"/>
  <c r="F2050" i="12"/>
  <c r="F2051" i="12"/>
  <c r="F2052" i="12"/>
  <c r="F2053" i="12"/>
  <c r="F2054" i="12"/>
  <c r="F2055" i="12"/>
  <c r="F2056" i="12"/>
  <c r="F2057" i="12"/>
  <c r="F2058" i="12"/>
  <c r="F2059" i="12"/>
  <c r="F2060" i="12"/>
  <c r="F2061" i="12"/>
  <c r="F2062" i="12"/>
  <c r="F2063" i="12"/>
  <c r="F2064" i="12"/>
  <c r="F2065" i="12"/>
  <c r="F2066" i="12"/>
  <c r="F2067" i="12"/>
  <c r="F2068" i="12"/>
  <c r="F2069" i="12"/>
  <c r="F2070" i="12"/>
  <c r="F2071" i="12"/>
  <c r="F2072" i="12"/>
  <c r="F2073" i="12"/>
  <c r="F2074" i="12"/>
  <c r="F2075" i="12"/>
  <c r="F2076" i="12"/>
  <c r="F2077" i="12"/>
  <c r="F2078" i="12"/>
  <c r="F2079" i="12"/>
  <c r="F2080" i="12"/>
  <c r="F2081" i="12"/>
  <c r="F2082" i="12"/>
  <c r="F2083" i="12"/>
  <c r="F2084" i="12"/>
  <c r="F2085" i="12"/>
  <c r="F2086" i="12"/>
  <c r="F2087" i="12"/>
  <c r="F2088" i="12"/>
  <c r="F2089" i="12"/>
  <c r="F2090" i="12"/>
  <c r="F2091" i="12"/>
  <c r="F2092" i="12"/>
  <c r="F2093" i="12"/>
  <c r="F2094" i="12"/>
  <c r="F2095" i="12"/>
  <c r="F2096" i="12"/>
  <c r="F2097" i="12"/>
  <c r="F2098" i="12"/>
  <c r="F2099" i="12"/>
  <c r="F2100" i="12"/>
  <c r="F2101" i="12"/>
  <c r="F2102" i="12"/>
  <c r="F2103" i="12"/>
  <c r="F2104" i="12"/>
  <c r="F2105" i="12"/>
  <c r="F2106" i="12"/>
  <c r="F2107" i="12"/>
  <c r="F2108" i="12"/>
  <c r="F2109" i="12"/>
  <c r="F2110" i="12"/>
  <c r="F2111" i="12"/>
  <c r="F2112" i="12"/>
  <c r="F2113" i="12"/>
  <c r="F2114" i="12"/>
  <c r="F2115" i="12"/>
  <c r="F2116" i="12"/>
  <c r="F2117" i="12"/>
  <c r="F2118" i="12"/>
  <c r="F2119" i="12"/>
  <c r="F2120" i="12"/>
  <c r="F2121" i="12"/>
  <c r="F2122" i="12"/>
  <c r="F2123" i="12"/>
  <c r="F2124" i="12"/>
  <c r="F2125" i="12"/>
  <c r="F2126" i="12"/>
  <c r="F2127" i="12"/>
  <c r="F2128" i="12"/>
  <c r="F2129" i="12"/>
  <c r="F2130" i="12"/>
  <c r="F2131" i="12"/>
  <c r="F2132" i="12"/>
  <c r="F2133" i="12"/>
  <c r="F2134" i="12"/>
  <c r="F2135" i="12"/>
  <c r="F2136" i="12"/>
  <c r="F2137" i="12"/>
  <c r="F2138" i="12"/>
  <c r="F2139" i="12"/>
  <c r="F2140" i="12"/>
  <c r="F2141" i="12"/>
  <c r="F2142" i="12"/>
  <c r="F2143" i="12"/>
  <c r="F2144" i="12"/>
  <c r="F2145" i="12"/>
  <c r="F2146" i="12"/>
  <c r="F2147" i="12"/>
  <c r="F2148" i="12"/>
  <c r="F2149" i="12"/>
  <c r="F2150" i="12"/>
  <c r="F2151" i="12"/>
  <c r="F2152" i="12"/>
  <c r="F2153" i="12"/>
  <c r="F2154" i="12"/>
  <c r="F2155" i="12"/>
  <c r="F2156" i="12"/>
  <c r="F2157" i="12"/>
  <c r="F2158" i="12"/>
  <c r="F2159" i="12"/>
  <c r="F2160" i="12"/>
  <c r="F2161" i="12"/>
  <c r="F2162" i="12"/>
  <c r="F2163" i="12"/>
  <c r="F2164" i="12"/>
  <c r="F2165" i="12"/>
  <c r="F2166" i="12"/>
  <c r="F2167" i="12"/>
  <c r="F2168" i="12"/>
  <c r="F2169" i="12"/>
  <c r="F2170" i="12"/>
  <c r="F2171" i="12"/>
  <c r="F2172" i="12"/>
  <c r="F2173" i="12"/>
  <c r="F2174" i="12"/>
  <c r="F2175" i="12"/>
  <c r="F2176" i="12"/>
  <c r="F2177" i="12"/>
  <c r="F2178" i="12"/>
  <c r="F2179" i="12"/>
  <c r="F2180" i="12"/>
  <c r="F2181" i="12"/>
  <c r="F2182" i="12"/>
  <c r="F2183" i="12"/>
  <c r="F2184" i="12"/>
  <c r="F2185" i="12"/>
  <c r="F2186" i="12"/>
  <c r="F2187" i="12"/>
  <c r="F2188" i="12"/>
  <c r="F2189" i="12"/>
  <c r="F2190" i="12"/>
  <c r="F2191" i="12"/>
  <c r="F2192" i="12"/>
  <c r="F2193" i="12"/>
  <c r="F2194" i="12"/>
  <c r="F2195" i="12"/>
  <c r="F2196" i="12"/>
  <c r="F2197" i="12"/>
  <c r="F2198" i="12"/>
  <c r="F2199" i="12"/>
  <c r="F2200" i="12"/>
  <c r="F2201" i="12"/>
  <c r="F2202" i="12"/>
  <c r="F2203" i="12"/>
  <c r="F2204" i="12"/>
  <c r="F2205" i="12"/>
  <c r="F2206" i="12"/>
  <c r="F2207" i="12"/>
  <c r="F2208" i="12"/>
  <c r="F2209" i="12"/>
  <c r="F2210" i="12"/>
  <c r="F2211" i="12"/>
  <c r="F2212" i="12"/>
  <c r="F2213" i="12"/>
  <c r="F2214" i="12"/>
  <c r="F2215" i="12"/>
  <c r="F2216" i="12"/>
  <c r="F2217" i="12"/>
  <c r="F2218" i="12"/>
  <c r="F2219" i="12"/>
  <c r="F2220" i="12"/>
  <c r="F2221" i="12"/>
  <c r="F2222" i="12"/>
  <c r="F2223" i="12"/>
  <c r="F2224" i="12"/>
  <c r="F2225" i="12"/>
  <c r="F2226" i="12"/>
  <c r="F2227" i="12"/>
  <c r="F2228" i="12"/>
  <c r="F2229" i="12"/>
  <c r="F2230" i="12"/>
  <c r="F2231" i="12"/>
  <c r="F2232" i="12"/>
  <c r="F2233" i="12"/>
  <c r="F2234" i="12"/>
  <c r="F2235" i="12"/>
  <c r="F2236" i="12"/>
  <c r="F2237" i="12"/>
  <c r="F2238" i="12"/>
  <c r="F2239" i="12"/>
  <c r="F2240" i="12"/>
  <c r="F2241" i="12"/>
  <c r="F2242" i="12"/>
  <c r="F2243" i="12"/>
  <c r="F2244" i="12"/>
  <c r="F2245" i="12"/>
  <c r="F2246" i="12"/>
  <c r="F2247" i="12"/>
  <c r="F2248" i="12"/>
  <c r="F2249" i="12"/>
  <c r="F2250" i="12"/>
  <c r="F2251" i="12"/>
  <c r="F2252" i="12"/>
  <c r="F2253" i="12"/>
  <c r="F2254" i="12"/>
  <c r="F2255" i="12"/>
  <c r="F2256" i="12"/>
  <c r="F2257" i="12"/>
  <c r="F2258" i="12"/>
  <c r="F2259" i="12"/>
  <c r="F2260" i="12"/>
  <c r="F2261" i="12"/>
  <c r="F2262" i="12"/>
  <c r="F2263" i="12"/>
  <c r="F2264" i="12"/>
  <c r="F2265" i="12"/>
  <c r="F2266" i="12"/>
  <c r="F2267" i="12"/>
  <c r="F2268" i="12"/>
  <c r="F2269" i="12"/>
  <c r="F2270" i="12"/>
  <c r="F2271" i="12"/>
  <c r="F2272" i="12"/>
  <c r="F2273" i="12"/>
  <c r="F2274" i="12"/>
  <c r="F2275" i="12"/>
  <c r="F2276" i="12"/>
  <c r="F2277" i="12"/>
  <c r="F2278" i="12"/>
  <c r="F2279" i="12"/>
  <c r="F2280" i="12"/>
  <c r="F2281" i="12"/>
  <c r="F2282" i="12"/>
  <c r="F2283" i="12"/>
  <c r="F2284" i="12"/>
  <c r="F2285" i="12"/>
  <c r="F2286" i="12"/>
  <c r="F2287" i="12"/>
  <c r="F2288" i="12"/>
  <c r="F2289" i="12"/>
  <c r="F2290" i="12"/>
  <c r="F2291" i="12"/>
  <c r="F2292" i="12"/>
  <c r="F2293" i="12"/>
  <c r="F2294" i="12"/>
  <c r="F2295" i="12"/>
  <c r="F2296" i="12"/>
  <c r="F2297" i="12"/>
  <c r="F2298" i="12"/>
  <c r="F2299" i="12"/>
  <c r="F2300" i="12"/>
  <c r="F2301" i="12"/>
  <c r="F2302" i="12"/>
  <c r="F2303" i="12"/>
  <c r="F2304" i="12"/>
  <c r="F2305" i="12"/>
  <c r="F2306" i="12"/>
  <c r="F2307" i="12"/>
  <c r="F2308" i="12"/>
  <c r="F2309" i="12"/>
  <c r="F2310" i="12"/>
  <c r="F2311" i="12"/>
  <c r="F2312" i="12"/>
  <c r="F2313" i="12"/>
  <c r="F2314" i="12"/>
  <c r="F2315" i="12"/>
  <c r="F2316" i="12"/>
  <c r="F2317" i="12"/>
  <c r="F2318" i="12"/>
  <c r="F2319" i="12"/>
  <c r="F2320" i="12"/>
  <c r="F2321" i="12"/>
  <c r="F2322" i="12"/>
  <c r="F2323" i="12"/>
  <c r="F2324" i="12"/>
  <c r="F2325" i="12"/>
  <c r="F2326" i="12"/>
  <c r="F2327" i="12"/>
  <c r="F2328" i="12"/>
  <c r="F2329" i="12"/>
  <c r="F2330" i="12"/>
  <c r="F2331" i="12"/>
  <c r="F2332" i="12"/>
  <c r="F2333" i="12"/>
  <c r="F2334" i="12"/>
  <c r="F2335" i="12"/>
  <c r="F2336" i="12"/>
  <c r="F2337" i="12"/>
  <c r="F2338" i="12"/>
  <c r="F2339" i="12"/>
  <c r="F2340" i="12"/>
  <c r="F2341" i="12"/>
  <c r="F2342" i="12"/>
  <c r="F2343" i="12"/>
  <c r="F2344" i="12"/>
  <c r="F2345" i="12"/>
  <c r="F2346" i="12"/>
  <c r="F2347" i="12"/>
  <c r="F2348" i="12"/>
  <c r="F2349" i="12"/>
  <c r="F2350" i="12"/>
  <c r="F2351" i="12"/>
  <c r="F2352" i="12"/>
  <c r="F2353" i="12"/>
  <c r="F2354" i="12"/>
  <c r="F2355" i="12"/>
  <c r="F2356" i="12"/>
  <c r="F2357" i="12"/>
  <c r="F2358" i="12"/>
  <c r="F2359" i="12"/>
  <c r="F2360" i="12"/>
  <c r="F2361" i="12"/>
  <c r="F2362" i="12"/>
  <c r="F2363" i="12"/>
  <c r="F2364" i="12"/>
  <c r="F2365" i="12"/>
  <c r="F2366" i="12"/>
  <c r="F2367" i="12"/>
  <c r="F2368" i="12"/>
  <c r="F2369" i="12"/>
  <c r="F2370" i="12"/>
  <c r="F2371" i="12"/>
  <c r="F2372" i="12"/>
  <c r="F2373" i="12"/>
  <c r="F2374" i="12"/>
  <c r="F2375" i="12"/>
  <c r="F2376" i="12"/>
  <c r="F2377" i="12"/>
  <c r="F2378" i="12"/>
  <c r="F2379" i="12"/>
  <c r="F2380" i="12"/>
  <c r="F2381" i="12"/>
  <c r="F2382" i="12"/>
  <c r="F2383" i="12"/>
  <c r="F2384" i="12"/>
  <c r="F2385" i="12"/>
  <c r="F2386" i="12"/>
  <c r="F2387" i="12"/>
  <c r="F2388" i="12"/>
  <c r="F2389" i="12"/>
  <c r="F2390" i="12"/>
  <c r="F2391" i="12"/>
  <c r="F2392" i="12"/>
  <c r="F2393" i="12"/>
  <c r="F2394" i="12"/>
  <c r="F2395" i="12"/>
  <c r="F2396" i="12"/>
  <c r="F2397" i="12"/>
  <c r="F2398" i="12"/>
  <c r="F2399" i="12"/>
  <c r="F2400" i="12"/>
  <c r="F2401" i="12"/>
  <c r="F2402" i="12"/>
  <c r="F2403" i="12"/>
  <c r="F2404" i="12"/>
  <c r="F2405" i="12"/>
  <c r="F2406" i="12"/>
  <c r="F2407" i="12"/>
  <c r="F2408" i="12"/>
  <c r="F2409" i="12"/>
  <c r="F2410" i="12"/>
  <c r="F2411" i="12"/>
  <c r="F2412" i="12"/>
  <c r="F2413" i="12"/>
  <c r="F2414" i="12"/>
  <c r="F2415" i="12"/>
  <c r="F2416" i="12"/>
  <c r="F2417" i="12"/>
  <c r="F2418" i="12"/>
  <c r="F2419" i="12"/>
  <c r="F2420" i="12"/>
  <c r="F2421" i="12"/>
  <c r="F2422" i="12"/>
  <c r="F2423" i="12"/>
  <c r="F2424" i="12"/>
  <c r="F2425" i="12"/>
  <c r="F2426" i="12"/>
  <c r="F2427" i="12"/>
  <c r="F2428" i="12"/>
  <c r="F2429" i="12"/>
  <c r="F2430" i="12"/>
  <c r="F2431" i="12"/>
  <c r="F2432" i="12"/>
  <c r="F2433" i="12"/>
  <c r="F2434" i="12"/>
  <c r="F2435" i="12"/>
  <c r="F2436" i="12"/>
  <c r="F2437" i="12"/>
  <c r="F2438" i="12"/>
  <c r="F2439" i="12"/>
  <c r="F2440" i="12"/>
  <c r="F2441" i="12"/>
  <c r="F2442" i="12"/>
  <c r="F2443" i="12"/>
  <c r="F2444" i="12"/>
  <c r="F2445" i="12"/>
  <c r="F2446" i="12"/>
  <c r="F2447" i="12"/>
  <c r="F2448" i="12"/>
  <c r="F2449" i="12"/>
  <c r="F2450" i="12"/>
  <c r="F2451" i="12"/>
  <c r="F2452" i="12"/>
  <c r="F2453" i="12"/>
  <c r="F2454" i="12"/>
  <c r="F2455" i="12"/>
  <c r="F2456" i="12"/>
  <c r="F2457" i="12"/>
  <c r="F2458" i="12"/>
  <c r="F2459" i="12"/>
  <c r="F2460" i="12"/>
  <c r="F2461" i="12"/>
  <c r="F2462" i="12"/>
  <c r="F2463" i="12"/>
  <c r="F2464" i="12"/>
  <c r="F2465" i="12"/>
  <c r="F2466" i="12"/>
  <c r="F2467" i="12"/>
  <c r="F2468" i="12"/>
  <c r="F2469" i="12"/>
  <c r="F2470" i="12"/>
  <c r="F2471" i="12"/>
  <c r="F2472" i="12"/>
  <c r="F2473" i="12"/>
  <c r="F2474" i="12"/>
  <c r="F2475" i="12"/>
  <c r="F2476" i="12"/>
  <c r="F2477" i="12"/>
  <c r="F2478" i="12"/>
  <c r="F2479" i="12"/>
  <c r="F2480" i="12"/>
  <c r="F2481" i="12"/>
  <c r="F2482" i="12"/>
  <c r="F2483" i="12"/>
  <c r="F2484" i="12"/>
  <c r="F2485" i="12"/>
  <c r="F2486" i="12"/>
  <c r="F2487" i="12"/>
  <c r="F2488" i="12"/>
  <c r="F2489" i="12"/>
  <c r="F2490" i="12"/>
  <c r="F2491" i="12"/>
  <c r="F2492" i="12"/>
  <c r="F2493" i="12"/>
  <c r="F2494" i="12"/>
  <c r="F2495" i="12"/>
  <c r="F2496" i="12"/>
  <c r="F2497" i="12"/>
  <c r="F2498" i="12"/>
  <c r="F2499" i="12"/>
  <c r="F2500" i="12"/>
  <c r="F2501" i="12"/>
  <c r="F2502" i="12"/>
  <c r="F2503" i="12"/>
  <c r="F2504" i="12"/>
  <c r="F2505" i="12"/>
  <c r="F2506" i="12"/>
  <c r="F2507" i="12"/>
  <c r="F2508" i="12"/>
  <c r="F2509" i="12"/>
  <c r="F2510" i="12"/>
  <c r="F2511" i="12"/>
  <c r="F2512" i="12"/>
  <c r="F2513" i="12"/>
  <c r="F2514" i="12"/>
  <c r="F2515" i="12"/>
  <c r="F2516" i="12"/>
  <c r="F2517" i="12"/>
  <c r="F2518" i="12"/>
  <c r="F2519" i="12"/>
  <c r="F2520" i="12"/>
  <c r="F2521" i="12"/>
  <c r="F2522" i="12"/>
  <c r="F2523" i="12"/>
  <c r="F2524" i="12"/>
  <c r="F2525" i="12"/>
  <c r="F2526" i="12"/>
  <c r="F2527" i="12"/>
  <c r="F2528" i="12"/>
  <c r="F2529" i="12"/>
  <c r="F2530" i="12"/>
  <c r="F2531" i="12"/>
  <c r="F2532" i="12"/>
  <c r="F2533" i="12"/>
  <c r="F2534" i="12"/>
  <c r="F2535" i="12"/>
  <c r="F2536" i="12"/>
  <c r="F2537" i="12"/>
  <c r="F2538" i="12"/>
  <c r="F2539" i="12"/>
  <c r="F2540" i="12"/>
  <c r="F2541" i="12"/>
  <c r="F2542" i="12"/>
  <c r="F2543" i="12"/>
  <c r="F2544" i="12"/>
  <c r="F2545" i="12"/>
  <c r="F2546" i="12"/>
  <c r="F2547" i="12"/>
  <c r="F2548" i="12"/>
  <c r="F2549" i="12"/>
  <c r="F2550" i="12"/>
  <c r="F2551" i="12"/>
  <c r="F2552" i="12"/>
  <c r="F2553" i="12"/>
  <c r="F2554" i="12"/>
  <c r="F2555" i="12"/>
  <c r="F2556" i="12"/>
  <c r="F2557" i="12"/>
  <c r="F2558" i="12"/>
  <c r="F2559" i="12"/>
  <c r="F2560" i="12"/>
  <c r="F2561" i="12"/>
  <c r="F2562" i="12"/>
  <c r="F2563" i="12"/>
  <c r="F2564" i="12"/>
  <c r="F2565" i="12"/>
  <c r="F2566" i="12"/>
  <c r="F2567" i="12"/>
  <c r="F2568" i="12"/>
  <c r="F2569" i="12"/>
  <c r="F2570" i="12"/>
  <c r="F2571" i="12"/>
  <c r="F2572" i="12"/>
  <c r="F2573" i="12"/>
  <c r="F2574" i="12"/>
  <c r="F2575" i="12"/>
  <c r="F2576" i="12"/>
  <c r="F2577" i="12"/>
  <c r="F2578" i="12"/>
  <c r="F2579" i="12"/>
  <c r="F2580" i="12"/>
  <c r="F2581" i="12"/>
  <c r="F2582" i="12"/>
  <c r="F2583" i="12"/>
  <c r="F2584" i="12"/>
  <c r="F2585" i="12"/>
  <c r="F2586" i="12"/>
  <c r="F2587" i="12"/>
  <c r="F2588" i="12"/>
  <c r="F2589" i="12"/>
  <c r="F2590" i="12"/>
  <c r="F2591" i="12"/>
  <c r="F2592" i="12"/>
  <c r="F2593" i="12"/>
  <c r="F2594" i="12"/>
  <c r="F2595" i="12"/>
  <c r="F2596" i="12"/>
  <c r="F2597" i="12"/>
  <c r="F2598" i="12"/>
  <c r="F2599" i="12"/>
  <c r="F2600" i="12"/>
  <c r="F2601" i="12"/>
  <c r="F2602" i="12"/>
  <c r="F2603" i="12"/>
  <c r="F2604" i="12"/>
  <c r="F2605" i="12"/>
  <c r="F2606" i="12"/>
  <c r="F2607" i="12"/>
  <c r="F2608" i="12"/>
  <c r="F2609" i="12"/>
  <c r="F2610" i="12"/>
  <c r="F2611" i="12"/>
  <c r="F2612" i="12"/>
  <c r="F2613" i="12"/>
  <c r="F2614" i="12"/>
  <c r="F2615" i="12"/>
  <c r="F2616" i="12"/>
  <c r="F2617" i="12"/>
  <c r="F2618" i="12"/>
  <c r="F2619" i="12"/>
  <c r="F2620" i="12"/>
  <c r="F2621" i="12"/>
  <c r="F2622" i="12"/>
  <c r="F2623" i="12"/>
  <c r="F2624" i="12"/>
  <c r="F2625" i="12"/>
  <c r="F2626" i="12"/>
  <c r="F2627" i="12"/>
  <c r="F2628" i="12"/>
  <c r="F2629" i="12"/>
  <c r="F2630" i="12"/>
  <c r="F2631" i="12"/>
  <c r="F2632" i="12"/>
  <c r="F2633" i="12"/>
  <c r="F2634" i="12"/>
  <c r="F2635" i="12"/>
  <c r="F2636" i="12"/>
  <c r="F2637" i="12"/>
  <c r="F2638" i="12"/>
  <c r="F2639" i="12"/>
  <c r="F2640" i="12"/>
  <c r="F2641" i="12"/>
  <c r="F2642" i="12"/>
  <c r="F2643" i="12"/>
  <c r="F2644" i="12"/>
  <c r="F2645" i="12"/>
  <c r="F2646" i="12"/>
  <c r="F2647" i="12"/>
  <c r="F2648" i="12"/>
  <c r="F2649" i="12"/>
  <c r="F2650" i="12"/>
  <c r="F2651" i="12"/>
  <c r="F2652" i="12"/>
  <c r="F2653" i="12"/>
  <c r="F2654" i="12"/>
  <c r="F2655" i="12"/>
  <c r="F2656" i="12"/>
  <c r="F2657" i="12"/>
  <c r="F2658" i="12"/>
  <c r="F2659" i="12"/>
  <c r="F2660" i="12"/>
  <c r="F2661" i="12"/>
  <c r="F2662" i="12"/>
  <c r="F2663" i="12"/>
  <c r="F2664" i="12"/>
  <c r="F2665" i="12"/>
  <c r="F2666" i="12"/>
  <c r="F2667" i="12"/>
  <c r="F2668" i="12"/>
  <c r="F2669" i="12"/>
  <c r="F2670" i="12"/>
  <c r="F2671" i="12"/>
  <c r="F2672" i="12"/>
  <c r="F2673" i="12"/>
  <c r="F2674" i="12"/>
  <c r="F2675" i="12"/>
  <c r="F2676" i="12"/>
  <c r="F2677" i="12"/>
  <c r="F2678" i="12"/>
  <c r="F2679" i="12"/>
  <c r="F2680" i="12"/>
  <c r="F2681" i="12"/>
  <c r="F2682" i="12"/>
  <c r="F2683" i="12"/>
  <c r="F2684" i="12"/>
  <c r="F2685" i="12"/>
  <c r="F2686" i="12"/>
  <c r="F2687" i="12"/>
  <c r="F2688" i="12"/>
  <c r="F2689" i="12"/>
  <c r="F2690" i="12"/>
  <c r="F2691" i="12"/>
  <c r="F2692" i="12"/>
  <c r="F2693" i="12"/>
  <c r="F2694" i="12"/>
  <c r="F2695" i="12"/>
  <c r="F2696" i="12"/>
  <c r="F2697" i="12"/>
  <c r="F2698" i="12"/>
  <c r="F2699" i="12"/>
  <c r="F2700" i="12"/>
  <c r="F2701" i="12"/>
  <c r="F2702" i="12"/>
  <c r="F2703" i="12"/>
  <c r="F2704" i="12"/>
  <c r="F2705" i="12"/>
  <c r="F2706" i="12"/>
  <c r="F2707" i="12"/>
  <c r="F2708" i="12"/>
  <c r="F2709" i="12"/>
  <c r="F2710" i="12"/>
  <c r="F2711" i="12"/>
  <c r="F2712" i="12"/>
  <c r="F2713" i="12"/>
  <c r="F2714" i="12"/>
  <c r="F2715" i="12"/>
  <c r="F2716" i="12"/>
  <c r="F2717" i="12"/>
  <c r="F2718" i="12"/>
  <c r="F2719" i="12"/>
  <c r="F2720" i="12"/>
  <c r="F2721" i="12"/>
  <c r="F2722" i="12"/>
  <c r="F2723" i="12"/>
  <c r="F2724" i="12"/>
  <c r="F2725" i="12"/>
  <c r="F2726" i="12"/>
  <c r="F2727" i="12"/>
  <c r="F2728" i="12"/>
  <c r="F2729" i="12"/>
  <c r="F2730" i="12"/>
  <c r="F2731" i="12"/>
  <c r="F2732" i="12"/>
  <c r="F2733" i="12"/>
  <c r="F2734" i="12"/>
  <c r="F2735" i="12"/>
  <c r="F2736" i="12"/>
  <c r="F2737" i="12"/>
  <c r="F2738" i="12"/>
  <c r="F2739" i="12"/>
  <c r="F2740" i="12"/>
  <c r="F2741" i="12"/>
  <c r="F2742" i="12"/>
  <c r="F2743" i="12"/>
  <c r="F2744" i="12"/>
  <c r="F2745" i="12"/>
  <c r="F2746" i="12"/>
  <c r="F2747" i="12"/>
  <c r="F2748" i="12"/>
  <c r="F2749" i="12"/>
  <c r="F2750" i="12"/>
  <c r="F2751" i="12"/>
  <c r="F2752" i="12"/>
  <c r="F2753" i="12"/>
  <c r="F2754" i="12"/>
  <c r="F2755" i="12"/>
  <c r="F2756" i="12"/>
  <c r="F2757" i="12"/>
  <c r="F2758" i="12"/>
  <c r="F2759" i="12"/>
  <c r="F2760" i="12"/>
  <c r="F2761" i="12"/>
  <c r="F2762" i="12"/>
  <c r="F2763" i="12"/>
  <c r="F2764" i="12"/>
  <c r="F2765" i="12"/>
  <c r="F2766" i="12"/>
  <c r="F2767" i="12"/>
  <c r="F2768" i="12"/>
  <c r="F2769" i="12"/>
  <c r="F2770" i="12"/>
  <c r="F2771" i="12"/>
  <c r="F2772" i="12"/>
  <c r="F2773" i="12"/>
  <c r="F2774" i="12"/>
  <c r="F2775" i="12"/>
  <c r="F2776" i="12"/>
  <c r="F2777" i="12"/>
  <c r="F2778" i="12"/>
  <c r="F2779" i="12"/>
  <c r="F2780" i="12"/>
  <c r="F2781" i="12"/>
  <c r="F2782" i="12"/>
  <c r="F2783" i="12"/>
  <c r="F2784" i="12"/>
  <c r="F2785" i="12"/>
  <c r="F2786" i="12"/>
  <c r="F2787" i="12"/>
  <c r="F2788" i="12"/>
  <c r="F2789" i="12"/>
  <c r="F2790" i="12"/>
  <c r="F2791" i="12"/>
  <c r="F2792" i="12"/>
  <c r="F2793" i="12"/>
  <c r="F2794" i="12"/>
  <c r="F2795" i="12"/>
  <c r="F2796" i="12"/>
  <c r="F2797" i="12"/>
  <c r="F2798" i="12"/>
  <c r="F2799" i="12"/>
  <c r="F2800" i="12"/>
  <c r="F2801" i="12"/>
  <c r="F2802" i="12"/>
  <c r="F2803" i="12"/>
  <c r="F2804" i="12"/>
  <c r="F2805" i="12"/>
  <c r="F2806" i="12"/>
  <c r="F2807" i="12"/>
  <c r="F2808" i="12"/>
  <c r="F2809" i="12"/>
  <c r="F2810" i="12"/>
  <c r="F2811" i="12"/>
  <c r="F2812" i="12"/>
  <c r="F2813" i="12"/>
  <c r="F2814" i="12"/>
  <c r="F2815" i="12"/>
  <c r="F2816" i="12"/>
  <c r="F2817" i="12"/>
  <c r="F2818" i="12"/>
  <c r="F2819" i="12"/>
  <c r="F2820" i="12"/>
  <c r="F2821" i="12"/>
  <c r="F2822" i="12"/>
  <c r="F2823" i="12"/>
  <c r="F2824" i="12"/>
  <c r="F2825" i="12"/>
  <c r="F2826" i="12"/>
  <c r="F2827" i="12"/>
  <c r="F2828" i="12"/>
  <c r="F2829" i="12"/>
  <c r="F2830" i="12"/>
  <c r="F2831" i="12"/>
  <c r="F2832" i="12"/>
  <c r="F2833" i="12"/>
  <c r="F2834" i="12"/>
  <c r="F2835" i="12"/>
  <c r="F2836" i="12"/>
  <c r="F2837" i="12"/>
  <c r="F2838" i="12"/>
  <c r="F2839" i="12"/>
  <c r="F2840" i="12"/>
  <c r="F2841" i="12"/>
  <c r="F2842" i="12"/>
  <c r="F2843" i="12"/>
  <c r="F2844" i="12"/>
  <c r="F2845" i="12"/>
  <c r="F2846" i="12"/>
  <c r="F2847" i="12"/>
  <c r="F2848" i="12"/>
  <c r="F2849" i="12"/>
  <c r="F2850" i="12"/>
  <c r="F2851" i="12"/>
  <c r="F2852" i="12"/>
  <c r="F2853" i="12"/>
  <c r="F2854" i="12"/>
  <c r="F2855" i="12"/>
  <c r="F2856" i="12"/>
  <c r="F2857" i="12"/>
  <c r="F2858" i="12"/>
  <c r="F2859" i="12"/>
  <c r="F2860" i="12"/>
  <c r="F2861" i="12"/>
  <c r="F2862" i="12"/>
  <c r="F2863" i="12"/>
  <c r="F2864" i="12"/>
  <c r="F2865" i="12"/>
  <c r="F2866" i="12"/>
  <c r="F2867" i="12"/>
  <c r="F2868" i="12"/>
  <c r="F2869" i="12"/>
  <c r="F2870" i="12"/>
  <c r="F2871" i="12"/>
  <c r="F2872" i="12"/>
  <c r="F2873" i="12"/>
  <c r="F2874" i="12"/>
  <c r="F2875" i="12"/>
  <c r="F2876" i="12"/>
  <c r="F2877" i="12"/>
  <c r="F2878" i="12"/>
  <c r="F2879" i="12"/>
  <c r="F2880" i="12"/>
  <c r="F2881" i="12"/>
  <c r="F2882" i="12"/>
  <c r="F2883" i="12"/>
  <c r="F2884" i="12"/>
  <c r="F2885" i="12"/>
  <c r="F2886" i="12"/>
  <c r="F2887" i="12"/>
  <c r="F2888" i="12"/>
  <c r="F2889" i="12"/>
  <c r="F2890" i="12"/>
  <c r="F2891" i="12"/>
  <c r="F2892" i="12"/>
  <c r="F2893" i="12"/>
  <c r="F2894" i="12"/>
  <c r="F2895" i="12"/>
  <c r="F2896" i="12"/>
  <c r="F2897" i="12"/>
  <c r="F2898" i="12"/>
  <c r="F2899" i="12"/>
  <c r="F2900" i="12"/>
  <c r="F2901" i="12"/>
  <c r="F2902" i="12"/>
  <c r="F2903" i="12"/>
  <c r="F2904" i="12"/>
  <c r="F2905" i="12"/>
  <c r="F2906" i="12"/>
  <c r="F2907" i="12"/>
  <c r="F2908" i="12"/>
  <c r="F2909" i="12"/>
  <c r="F2910" i="12"/>
  <c r="F2911" i="12"/>
  <c r="F2912" i="12"/>
  <c r="F2913" i="12"/>
  <c r="F2914" i="12"/>
  <c r="F2915" i="12"/>
  <c r="F2916" i="12"/>
  <c r="F2917" i="12"/>
  <c r="F2918" i="12"/>
  <c r="F2919" i="12"/>
  <c r="F2920" i="12"/>
  <c r="F2921" i="12"/>
  <c r="F2922" i="12"/>
  <c r="F2923" i="12"/>
  <c r="F2924" i="12"/>
  <c r="F2925" i="12"/>
  <c r="F2926" i="12"/>
  <c r="F2927" i="12"/>
  <c r="F2928" i="12"/>
  <c r="F2929" i="12"/>
  <c r="F2930" i="12"/>
  <c r="F2931" i="12"/>
  <c r="F2932" i="12"/>
  <c r="F2933" i="12"/>
  <c r="F2934" i="12"/>
  <c r="F2935" i="12"/>
  <c r="F2936" i="12"/>
  <c r="F2937" i="12"/>
  <c r="F2938" i="12"/>
  <c r="F2939" i="12"/>
  <c r="F2940" i="12"/>
  <c r="F2941" i="12"/>
  <c r="F2942" i="12"/>
  <c r="F2943" i="12"/>
  <c r="F2944" i="12"/>
  <c r="F2945" i="12"/>
  <c r="F2946" i="12"/>
  <c r="F2947" i="12"/>
  <c r="F2948" i="12"/>
  <c r="F2949" i="12"/>
  <c r="F2950" i="12"/>
  <c r="F2951" i="12"/>
  <c r="F2952" i="12"/>
  <c r="F2953" i="12"/>
  <c r="F2954" i="12"/>
  <c r="F2955" i="12"/>
  <c r="F2956" i="12"/>
  <c r="F2957" i="12"/>
  <c r="F2958" i="12"/>
  <c r="F2959" i="12"/>
  <c r="F2960" i="12"/>
  <c r="F2961" i="12"/>
  <c r="F2962" i="12"/>
  <c r="F2963" i="12"/>
  <c r="F2964" i="12"/>
  <c r="F2965" i="12"/>
  <c r="F2966" i="12"/>
  <c r="F2967" i="12"/>
  <c r="F2968" i="12"/>
  <c r="F2969" i="12"/>
  <c r="F2970" i="12"/>
  <c r="F2971" i="12"/>
  <c r="F2972" i="12"/>
  <c r="F2973" i="12"/>
  <c r="F2974" i="12"/>
  <c r="F2975" i="12"/>
  <c r="F2976" i="12"/>
  <c r="F2977" i="12"/>
  <c r="F2978" i="12"/>
  <c r="F2979" i="12"/>
  <c r="F2980" i="12"/>
  <c r="F2981" i="12"/>
  <c r="F2982" i="12"/>
  <c r="F2983" i="12"/>
  <c r="F2984" i="12"/>
  <c r="F2985" i="12"/>
  <c r="F2986" i="12"/>
  <c r="F2987" i="12"/>
  <c r="F2988" i="12"/>
  <c r="F2989" i="12"/>
  <c r="F2990" i="12"/>
  <c r="F2991" i="12"/>
  <c r="F2992" i="12"/>
  <c r="F2993" i="12"/>
  <c r="F2994" i="12"/>
  <c r="F2995" i="12"/>
  <c r="F2996" i="12"/>
  <c r="F2997" i="12"/>
  <c r="F2998" i="12"/>
  <c r="F2999" i="12"/>
  <c r="F3000" i="12"/>
  <c r="F3001" i="12"/>
  <c r="F3002" i="12"/>
  <c r="F3003" i="12"/>
  <c r="F3004" i="12"/>
  <c r="F3005" i="12"/>
  <c r="F3006" i="12"/>
  <c r="F3007" i="12"/>
  <c r="F3008" i="12"/>
  <c r="F3009" i="12"/>
  <c r="F3010" i="12"/>
  <c r="F3011" i="12"/>
  <c r="F3012" i="12"/>
  <c r="F3013" i="12"/>
  <c r="F3014" i="12"/>
  <c r="F3015" i="12"/>
  <c r="F3016" i="12"/>
  <c r="F3017" i="12"/>
  <c r="F3018" i="12"/>
  <c r="F3019" i="12"/>
  <c r="F3020" i="12"/>
  <c r="F3021" i="12"/>
  <c r="F3022" i="12"/>
  <c r="F3023" i="12"/>
  <c r="F3024" i="12"/>
  <c r="F3025" i="12"/>
  <c r="F3026" i="12"/>
  <c r="F3027" i="12"/>
  <c r="F3028" i="12"/>
  <c r="F3029" i="12"/>
  <c r="F3030" i="12"/>
  <c r="F3031" i="12"/>
  <c r="F3032" i="12"/>
  <c r="F3033" i="12"/>
  <c r="F3034" i="12"/>
  <c r="F3035" i="12"/>
  <c r="F3036" i="12"/>
  <c r="F3037" i="12"/>
  <c r="F3038" i="12"/>
  <c r="F3039" i="12"/>
  <c r="F3040" i="12"/>
  <c r="F3041" i="12"/>
  <c r="F3042" i="12"/>
  <c r="F3043" i="12"/>
  <c r="F3044" i="12"/>
  <c r="F3045" i="12"/>
  <c r="F3046" i="12"/>
  <c r="F3047" i="12"/>
  <c r="F3048" i="12"/>
  <c r="F3049" i="12"/>
  <c r="F3050" i="12"/>
  <c r="F3051" i="12"/>
  <c r="F3052" i="12"/>
  <c r="F3053" i="12"/>
  <c r="F3054" i="12"/>
  <c r="F3055" i="12"/>
  <c r="F3056" i="12"/>
  <c r="F3057" i="12"/>
  <c r="F3058" i="12"/>
  <c r="F3059" i="12"/>
  <c r="F3060" i="12"/>
  <c r="F3061" i="12"/>
  <c r="F3062" i="12"/>
  <c r="F3063" i="12"/>
  <c r="F3064" i="12"/>
  <c r="F3065" i="12"/>
  <c r="F3066" i="12"/>
  <c r="F3067" i="12"/>
  <c r="F3068" i="12"/>
  <c r="F3069" i="12"/>
  <c r="F3070" i="12"/>
  <c r="F3071" i="12"/>
  <c r="F3072" i="12"/>
  <c r="F3073" i="12"/>
  <c r="F3074" i="12"/>
  <c r="F3075" i="12"/>
  <c r="F3076" i="12"/>
  <c r="F3077" i="12"/>
  <c r="F3078" i="12"/>
  <c r="F3079" i="12"/>
  <c r="F3080" i="12"/>
  <c r="F3081" i="12"/>
  <c r="F3082" i="12"/>
  <c r="F3083" i="12"/>
  <c r="F3084" i="12"/>
  <c r="F3085" i="12"/>
  <c r="F3086" i="12"/>
  <c r="F3087" i="12"/>
  <c r="F3088" i="12"/>
  <c r="F3089" i="12"/>
  <c r="F3090" i="12"/>
  <c r="F3091" i="12"/>
  <c r="F3092" i="12"/>
  <c r="F3093" i="12"/>
  <c r="F3094" i="12"/>
  <c r="F3095" i="12"/>
  <c r="F3096" i="12"/>
  <c r="F3097" i="12"/>
  <c r="F3098" i="12"/>
  <c r="F3099" i="12"/>
  <c r="F3100" i="12"/>
  <c r="F3101" i="12"/>
  <c r="F3102" i="12"/>
  <c r="F3103" i="12"/>
  <c r="F3104" i="12"/>
  <c r="F3105" i="12"/>
  <c r="F3106" i="12"/>
  <c r="F3107" i="12"/>
  <c r="F3108" i="12"/>
  <c r="F3109" i="12"/>
  <c r="F3110" i="12"/>
  <c r="F3111" i="12"/>
  <c r="F3112" i="12"/>
  <c r="F3113" i="12"/>
  <c r="F3114" i="12"/>
  <c r="F3115" i="12"/>
  <c r="F3116" i="12"/>
  <c r="F3117" i="12"/>
  <c r="F3118" i="12"/>
  <c r="F3119" i="12"/>
  <c r="F3120" i="12"/>
  <c r="F3121" i="12"/>
  <c r="F3122" i="12"/>
  <c r="F3123" i="12"/>
  <c r="F3124" i="12"/>
  <c r="F3125" i="12"/>
  <c r="F3126" i="12"/>
  <c r="F3127" i="12"/>
  <c r="F3128" i="12"/>
  <c r="F3129" i="12"/>
  <c r="F3130" i="12"/>
  <c r="F3131" i="12"/>
  <c r="F3132" i="12"/>
  <c r="F3133" i="12"/>
  <c r="F3134" i="12"/>
  <c r="F3135" i="12"/>
  <c r="F3136" i="12"/>
  <c r="F3137" i="12"/>
  <c r="F3138" i="12"/>
  <c r="F3139" i="12"/>
  <c r="F3140" i="12"/>
  <c r="F3141" i="12"/>
  <c r="F3142" i="12"/>
  <c r="F3143" i="12"/>
  <c r="F3144" i="12"/>
  <c r="F3145" i="12"/>
  <c r="F3146" i="12"/>
  <c r="F3147" i="12"/>
  <c r="F3148" i="12"/>
  <c r="F3149" i="12"/>
  <c r="F3150" i="12"/>
  <c r="F3151" i="12"/>
  <c r="F3152" i="12"/>
  <c r="F3153" i="12"/>
  <c r="F3154" i="12"/>
  <c r="F3155" i="12"/>
  <c r="F3156" i="12"/>
  <c r="F3157" i="12"/>
  <c r="F3158" i="12"/>
  <c r="F3159" i="12"/>
  <c r="F3160" i="12"/>
  <c r="F3161" i="12"/>
  <c r="F3162" i="12"/>
  <c r="F3163" i="12"/>
  <c r="F3164" i="12"/>
  <c r="F3165" i="12"/>
  <c r="F3166" i="12"/>
  <c r="F3167" i="12"/>
  <c r="F3168" i="12"/>
  <c r="F3169" i="12"/>
  <c r="F3170" i="12"/>
  <c r="F3171" i="12"/>
  <c r="F3172" i="12"/>
  <c r="F3173" i="12"/>
  <c r="F3174" i="12"/>
  <c r="F3175" i="12"/>
  <c r="F3176" i="12"/>
  <c r="F3177" i="12"/>
  <c r="F3178" i="12"/>
  <c r="F3179" i="12"/>
  <c r="F3180" i="12"/>
  <c r="F3181" i="12"/>
  <c r="F3182" i="12"/>
  <c r="F3183" i="12"/>
  <c r="F3184" i="12"/>
  <c r="F3185" i="12"/>
  <c r="F3186" i="12"/>
  <c r="F3187" i="12"/>
  <c r="F3188" i="12"/>
  <c r="F3189" i="12"/>
  <c r="F3190" i="12"/>
  <c r="F3191" i="12"/>
  <c r="F3192" i="12"/>
  <c r="F3193" i="12"/>
  <c r="F3194" i="12"/>
  <c r="F3195" i="12"/>
  <c r="F3196" i="12"/>
  <c r="F3197" i="12"/>
  <c r="F3198" i="12"/>
  <c r="F3199" i="12"/>
  <c r="F3200" i="12"/>
  <c r="F3201" i="12"/>
  <c r="F3202" i="12"/>
  <c r="F3203" i="12"/>
  <c r="F3204" i="12"/>
  <c r="F3205" i="12"/>
  <c r="F3206" i="12"/>
  <c r="F3207" i="12"/>
  <c r="F3208" i="12"/>
  <c r="F3209" i="12"/>
  <c r="F3210" i="12"/>
  <c r="F3211" i="12"/>
  <c r="F3212" i="12"/>
  <c r="F3213" i="12"/>
  <c r="F3214" i="12"/>
  <c r="F3215" i="12"/>
  <c r="F3216" i="12"/>
  <c r="F3217" i="12"/>
  <c r="F3218" i="12"/>
  <c r="F3219" i="12"/>
  <c r="F3220" i="12"/>
  <c r="F3221" i="12"/>
  <c r="F3222" i="12"/>
  <c r="F3223" i="12"/>
  <c r="F3224" i="12"/>
  <c r="F3225" i="12"/>
  <c r="F3226" i="12"/>
  <c r="F3227" i="12"/>
  <c r="F3228" i="12"/>
  <c r="F3229" i="12"/>
  <c r="F3230" i="12"/>
  <c r="F3231" i="12"/>
  <c r="F3232" i="12"/>
  <c r="F3233" i="12"/>
  <c r="F3234" i="12"/>
  <c r="F3235" i="12"/>
  <c r="F3236" i="12"/>
  <c r="F3237" i="12"/>
  <c r="F3238" i="12"/>
  <c r="F3239" i="12"/>
  <c r="F3240" i="12"/>
  <c r="F3241" i="12"/>
  <c r="F3242" i="12"/>
  <c r="F3243" i="12"/>
  <c r="F3244" i="12"/>
  <c r="F3245" i="12"/>
  <c r="F3246" i="12"/>
  <c r="F3247" i="12"/>
  <c r="F3248" i="12"/>
  <c r="F3249" i="12"/>
  <c r="F3250" i="12"/>
  <c r="F3251" i="12"/>
  <c r="F3252" i="12"/>
  <c r="F3253" i="12"/>
  <c r="F3254" i="12"/>
  <c r="F3255" i="12"/>
  <c r="F3256" i="12"/>
  <c r="F3257" i="12"/>
  <c r="F3258" i="12"/>
  <c r="F3259" i="12"/>
  <c r="F3260" i="12"/>
  <c r="F3261" i="12"/>
  <c r="F3262" i="12"/>
  <c r="F3263" i="12"/>
  <c r="F3264" i="12"/>
  <c r="F3265" i="12"/>
  <c r="F3266" i="12"/>
  <c r="F3267" i="12"/>
  <c r="F3268" i="12"/>
  <c r="F3269" i="12"/>
  <c r="F3270" i="12"/>
  <c r="F3271" i="12"/>
  <c r="F3272" i="12"/>
  <c r="F3273" i="12"/>
  <c r="F3274" i="12"/>
  <c r="F3275" i="12"/>
  <c r="F3276" i="12"/>
  <c r="F3277" i="12"/>
  <c r="F3278" i="12"/>
  <c r="F3279" i="12"/>
  <c r="F3280" i="12"/>
  <c r="F3281" i="12"/>
  <c r="F3282" i="12"/>
  <c r="F3283" i="12"/>
  <c r="F3284" i="12"/>
  <c r="F3285" i="12"/>
  <c r="F3286" i="12"/>
  <c r="F3287" i="12"/>
  <c r="F3288" i="12"/>
  <c r="F3289" i="12"/>
  <c r="F3290" i="12"/>
  <c r="F3291" i="12"/>
  <c r="F3292" i="12"/>
  <c r="F3293" i="12"/>
  <c r="F3294" i="12"/>
  <c r="F3295" i="12"/>
  <c r="F3296" i="12"/>
  <c r="F3297" i="12"/>
  <c r="F3298" i="12"/>
  <c r="F3299" i="12"/>
  <c r="F3300" i="12"/>
  <c r="F3301" i="12"/>
  <c r="F3302" i="12"/>
  <c r="F3303" i="12"/>
  <c r="F3304" i="12"/>
  <c r="F3305" i="12"/>
  <c r="F3306" i="12"/>
  <c r="F3307" i="12"/>
  <c r="F3308" i="12"/>
  <c r="F3309" i="12"/>
  <c r="F3310" i="12"/>
  <c r="F3311" i="12"/>
  <c r="F3312" i="12"/>
  <c r="F3313" i="12"/>
  <c r="F3314" i="12"/>
  <c r="F3315" i="12"/>
  <c r="F3316" i="12"/>
  <c r="F3317" i="12"/>
  <c r="F3318" i="12"/>
  <c r="F3319" i="12"/>
  <c r="F3320" i="12"/>
  <c r="F3321" i="12"/>
  <c r="F3322" i="12"/>
  <c r="F3323" i="12"/>
  <c r="F3324" i="12"/>
  <c r="F3325" i="12"/>
  <c r="F3326" i="12"/>
  <c r="F3327" i="12"/>
  <c r="F3328" i="12"/>
  <c r="F3329" i="12"/>
  <c r="F3330" i="12"/>
  <c r="F3331" i="12"/>
  <c r="F3332" i="12"/>
  <c r="F3333" i="12"/>
  <c r="F3334" i="12"/>
  <c r="F3335" i="12"/>
  <c r="F3336" i="12"/>
  <c r="F3337" i="12"/>
  <c r="F3338" i="12"/>
  <c r="F3339" i="12"/>
  <c r="F3340" i="12"/>
  <c r="F3341" i="12"/>
  <c r="F3342" i="12"/>
  <c r="F3343" i="12"/>
  <c r="F3344" i="12"/>
  <c r="F3345" i="12"/>
  <c r="F3346" i="12"/>
  <c r="F3347" i="12"/>
  <c r="F3348" i="12"/>
  <c r="F3349" i="12"/>
  <c r="F3350" i="12"/>
  <c r="F3351" i="12"/>
  <c r="F3352" i="12"/>
  <c r="F3353" i="12"/>
  <c r="F3354" i="12"/>
  <c r="F3355" i="12"/>
  <c r="F3356" i="12"/>
  <c r="F3357" i="12"/>
  <c r="F3358" i="12"/>
  <c r="F3359" i="12"/>
  <c r="F3360" i="12"/>
  <c r="F3361" i="12"/>
  <c r="F3362" i="12"/>
  <c r="F3363" i="12"/>
  <c r="F3364" i="12"/>
  <c r="F3365" i="12"/>
  <c r="F3366" i="12"/>
  <c r="F3367" i="12"/>
  <c r="F3368" i="12"/>
  <c r="F3369" i="12"/>
  <c r="F3370" i="12"/>
  <c r="F3371" i="12"/>
  <c r="F3372" i="12"/>
  <c r="F3373" i="12"/>
  <c r="F3374" i="12"/>
  <c r="F3375" i="12"/>
  <c r="F3376" i="12"/>
  <c r="F3377" i="12"/>
  <c r="F3378" i="12"/>
  <c r="F3379" i="12"/>
  <c r="F3380" i="12"/>
  <c r="F3381" i="12"/>
  <c r="F3382" i="12"/>
  <c r="F3383" i="12"/>
  <c r="F3384" i="12"/>
  <c r="F3385" i="12"/>
  <c r="F3386" i="12"/>
  <c r="F3387" i="12"/>
  <c r="F3388" i="12"/>
  <c r="F3389" i="12"/>
  <c r="F3390" i="12"/>
  <c r="F3391" i="12"/>
  <c r="F3392" i="12"/>
  <c r="F3393" i="12"/>
  <c r="F3394" i="12"/>
  <c r="F3395" i="12"/>
  <c r="F3396" i="12"/>
  <c r="F3397" i="12"/>
  <c r="F3398" i="12"/>
  <c r="F3399" i="12"/>
  <c r="F3400" i="12"/>
  <c r="F3401" i="12"/>
  <c r="F3402" i="12"/>
  <c r="F3403" i="12"/>
  <c r="F3404" i="12"/>
  <c r="F3405" i="12"/>
  <c r="F3406" i="12"/>
  <c r="F3407" i="12"/>
  <c r="F3408" i="12"/>
  <c r="F3409" i="12"/>
  <c r="F3410" i="12"/>
  <c r="F3411" i="12"/>
  <c r="F3412" i="12"/>
  <c r="F3413" i="12"/>
  <c r="F3414" i="12"/>
  <c r="F3415" i="12"/>
  <c r="F3416" i="12"/>
  <c r="F3417" i="12"/>
  <c r="F3418" i="12"/>
  <c r="F3419" i="12"/>
  <c r="F3420" i="12"/>
  <c r="F3421" i="12"/>
  <c r="F3422" i="12"/>
  <c r="F3423" i="12"/>
  <c r="F3424" i="12"/>
  <c r="F3425" i="12"/>
  <c r="F3426" i="12"/>
  <c r="F3427" i="12"/>
  <c r="F3428" i="12"/>
  <c r="F3429" i="12"/>
  <c r="F3430" i="12"/>
  <c r="F3431" i="12"/>
  <c r="F3432" i="12"/>
  <c r="F3433" i="12"/>
  <c r="F3434" i="12"/>
  <c r="F3435" i="12"/>
  <c r="F3436" i="12"/>
  <c r="F3437" i="12"/>
  <c r="F3438" i="12"/>
  <c r="F3439" i="12"/>
  <c r="F3440" i="12"/>
  <c r="F3441" i="12"/>
  <c r="F3442" i="12"/>
  <c r="F3443" i="12"/>
  <c r="F3444" i="12"/>
  <c r="F3445" i="12"/>
  <c r="F3446" i="12"/>
  <c r="F3447" i="12"/>
  <c r="F3448" i="12"/>
  <c r="F3449" i="12"/>
  <c r="F3450" i="12"/>
  <c r="F3451" i="12"/>
  <c r="F3452" i="12"/>
  <c r="F3453" i="12"/>
  <c r="F3454" i="12"/>
  <c r="F3455" i="12"/>
  <c r="F3456" i="12"/>
  <c r="F3457" i="12"/>
  <c r="F3458" i="12"/>
  <c r="F3459" i="12"/>
  <c r="F3460" i="12"/>
  <c r="F3461" i="12"/>
  <c r="F3462" i="12"/>
  <c r="F3463" i="12"/>
  <c r="F3464" i="12"/>
  <c r="F3465" i="12"/>
  <c r="F3466" i="12"/>
  <c r="F3467" i="12"/>
  <c r="F3468" i="12"/>
  <c r="F3469" i="12"/>
  <c r="F3470" i="12"/>
  <c r="F3471" i="12"/>
  <c r="F3472" i="12"/>
  <c r="F3473" i="12"/>
  <c r="F3474" i="12"/>
  <c r="F3475" i="12"/>
  <c r="F3476" i="12"/>
  <c r="F3477" i="12"/>
  <c r="F3478" i="12"/>
  <c r="F3479" i="12"/>
  <c r="F3480" i="12"/>
  <c r="F3481" i="12"/>
  <c r="F3482" i="12"/>
  <c r="F3483" i="12"/>
  <c r="F3484" i="12"/>
  <c r="F3485" i="12"/>
  <c r="F3486" i="12"/>
  <c r="F3487" i="12"/>
  <c r="F3488" i="12"/>
  <c r="F3489" i="12"/>
  <c r="F3490" i="12"/>
  <c r="F3491" i="12"/>
  <c r="F3492" i="12"/>
  <c r="F3493" i="12"/>
  <c r="F3494" i="12"/>
  <c r="F3495" i="12"/>
  <c r="F3496" i="12"/>
  <c r="F3497" i="12"/>
  <c r="F3498" i="12"/>
  <c r="F3499" i="12"/>
  <c r="F3500" i="12"/>
  <c r="F3501" i="12"/>
  <c r="F3502" i="12"/>
  <c r="F3503" i="12"/>
  <c r="F3504" i="12"/>
  <c r="F3505" i="12"/>
  <c r="F3506" i="12"/>
  <c r="F3507" i="12"/>
  <c r="F3508" i="12"/>
  <c r="F3509" i="12"/>
  <c r="F3510" i="12"/>
  <c r="F3511" i="12"/>
  <c r="F3512" i="12"/>
  <c r="F3513" i="12"/>
  <c r="F3514" i="12"/>
  <c r="F3515" i="12"/>
  <c r="F3516" i="12"/>
  <c r="F3517" i="12"/>
  <c r="F3518" i="12"/>
  <c r="F3519" i="12"/>
  <c r="F3520" i="12"/>
  <c r="F3521" i="12"/>
  <c r="F3522" i="12"/>
  <c r="F3523" i="12"/>
  <c r="F3524" i="12"/>
  <c r="F3525" i="12"/>
  <c r="F3526" i="12"/>
  <c r="F3527" i="12"/>
  <c r="F3528" i="12"/>
  <c r="F3529" i="12"/>
  <c r="F3530" i="12"/>
  <c r="F3531" i="12"/>
  <c r="F3532" i="12"/>
  <c r="F3533" i="12"/>
  <c r="F3534" i="12"/>
  <c r="F3535" i="12"/>
  <c r="F3536" i="12"/>
  <c r="F3537" i="12"/>
  <c r="F3538" i="12"/>
  <c r="F3539" i="12"/>
  <c r="F3540" i="12"/>
  <c r="F3541" i="12"/>
  <c r="F3542" i="12"/>
  <c r="F3543" i="12"/>
  <c r="F3544" i="12"/>
  <c r="F3545" i="12"/>
  <c r="F3546" i="12"/>
  <c r="F3547" i="12"/>
  <c r="F3548" i="12"/>
  <c r="F3549" i="12"/>
  <c r="F3550" i="12"/>
  <c r="F3551" i="12"/>
  <c r="F3552" i="12"/>
  <c r="F3553" i="12"/>
  <c r="F3554" i="12"/>
  <c r="F3555" i="12"/>
  <c r="F3556" i="12"/>
  <c r="F3557" i="12"/>
  <c r="F3558" i="12"/>
  <c r="F3559" i="12"/>
  <c r="F3560" i="12"/>
  <c r="F3561" i="12"/>
  <c r="F3562" i="12"/>
  <c r="F3563" i="12"/>
  <c r="F3564" i="12"/>
  <c r="F3565" i="12"/>
  <c r="F3566" i="12"/>
  <c r="F3567" i="12"/>
  <c r="F3568" i="12"/>
  <c r="F3569" i="12"/>
  <c r="F3570" i="12"/>
  <c r="F3571" i="12"/>
  <c r="F3572" i="12"/>
  <c r="F3573" i="12"/>
  <c r="F3574" i="12"/>
  <c r="F3575" i="12"/>
  <c r="F3576" i="12"/>
  <c r="F3577" i="12"/>
  <c r="F3578" i="12"/>
  <c r="F3579" i="12"/>
  <c r="F3580" i="12"/>
  <c r="F3581" i="12"/>
  <c r="F3582" i="12"/>
  <c r="F3583" i="12"/>
  <c r="F3584" i="12"/>
  <c r="F3585" i="12"/>
  <c r="F3586" i="12"/>
  <c r="F3587" i="12"/>
  <c r="F3588" i="12"/>
  <c r="F3589" i="12"/>
  <c r="F3590" i="12"/>
  <c r="F3591" i="12"/>
  <c r="F3592" i="12"/>
  <c r="F3593" i="12"/>
  <c r="F3594" i="12"/>
  <c r="F3595" i="12"/>
  <c r="F3596" i="12"/>
  <c r="F3597" i="12"/>
  <c r="F3598" i="12"/>
  <c r="F3599" i="12"/>
  <c r="F3600" i="12"/>
  <c r="F3601" i="12"/>
  <c r="F3602" i="12"/>
  <c r="F3603" i="12"/>
  <c r="F3604" i="12"/>
  <c r="F3605" i="12"/>
  <c r="F3606" i="12"/>
  <c r="F3607" i="12"/>
  <c r="F3608" i="12"/>
  <c r="F3609" i="12"/>
  <c r="F3610" i="12"/>
  <c r="F3611" i="12"/>
  <c r="F3612" i="12"/>
  <c r="F3613" i="12"/>
  <c r="F3614" i="12"/>
  <c r="F3615" i="12"/>
  <c r="F3616" i="12"/>
  <c r="F3617" i="12"/>
  <c r="F3618" i="12"/>
  <c r="F3619" i="12"/>
  <c r="F3620" i="12"/>
  <c r="F3621" i="12"/>
  <c r="F3622" i="12"/>
  <c r="F3623" i="12"/>
  <c r="F3624" i="12"/>
  <c r="F3625" i="12"/>
  <c r="F3626" i="12"/>
  <c r="F3627" i="12"/>
  <c r="F3628" i="12"/>
  <c r="F3629" i="12"/>
  <c r="F3630" i="12"/>
  <c r="F3631" i="12"/>
  <c r="F3632" i="12"/>
  <c r="F3633" i="12"/>
  <c r="F3634" i="12"/>
  <c r="F3635" i="12"/>
  <c r="F3636" i="12"/>
  <c r="F3637" i="12"/>
  <c r="F3638" i="12"/>
  <c r="F3639" i="12"/>
  <c r="F3640" i="12"/>
  <c r="F3641" i="12"/>
  <c r="F3642" i="12"/>
  <c r="F3643" i="12"/>
  <c r="F3644" i="12"/>
  <c r="F3645" i="12"/>
  <c r="F3646" i="12"/>
  <c r="F3647" i="12"/>
  <c r="F3648" i="12"/>
  <c r="F3649" i="12"/>
  <c r="F3650" i="12"/>
  <c r="F3651" i="12"/>
  <c r="F3652" i="12"/>
  <c r="F3653" i="12"/>
  <c r="F3654" i="12"/>
  <c r="F3655" i="12"/>
  <c r="F3656" i="12"/>
  <c r="F3657" i="12"/>
  <c r="F3658" i="12"/>
  <c r="F3659" i="12"/>
  <c r="F3660" i="12"/>
  <c r="F3661" i="12"/>
  <c r="F3662" i="12"/>
  <c r="F3663" i="12"/>
  <c r="F3664" i="12"/>
  <c r="F3665" i="12"/>
  <c r="F3666" i="12"/>
  <c r="F3667" i="12"/>
  <c r="F3668" i="12"/>
  <c r="F3669" i="12"/>
  <c r="F3670" i="12"/>
  <c r="F3671" i="12"/>
  <c r="F3672" i="12"/>
  <c r="F3673" i="12"/>
  <c r="F3674" i="12"/>
  <c r="F3675" i="12"/>
  <c r="F3676" i="12"/>
  <c r="F3677" i="12"/>
  <c r="F3678" i="12"/>
  <c r="F3679" i="12"/>
  <c r="F3680" i="12"/>
  <c r="F3681" i="12"/>
  <c r="F3682" i="12"/>
  <c r="F3683" i="12"/>
  <c r="F3684" i="12"/>
  <c r="F3685" i="12"/>
  <c r="F3686" i="12"/>
  <c r="F3687" i="12"/>
  <c r="F3688" i="12"/>
  <c r="F3689" i="12"/>
  <c r="F3690" i="12"/>
  <c r="F3691" i="12"/>
  <c r="F3692" i="12"/>
  <c r="F3693" i="12"/>
  <c r="F3694" i="12"/>
  <c r="F3695" i="12"/>
  <c r="F3696" i="12"/>
  <c r="F3697" i="12"/>
  <c r="F3698" i="12"/>
  <c r="F3699" i="12"/>
  <c r="F3700" i="12"/>
  <c r="F3701" i="12"/>
  <c r="F3702" i="12"/>
  <c r="F3703" i="12"/>
  <c r="F3704" i="12"/>
  <c r="F3705" i="12"/>
  <c r="F3706" i="12"/>
  <c r="F3707" i="12"/>
  <c r="F3708" i="12"/>
  <c r="F3709" i="12"/>
  <c r="F3710" i="12"/>
  <c r="F3711" i="12"/>
  <c r="F3712" i="12"/>
  <c r="F3713" i="12"/>
  <c r="F3714" i="12"/>
  <c r="F3715" i="12"/>
  <c r="F3716" i="12"/>
  <c r="F3717" i="12"/>
  <c r="F3718" i="12"/>
  <c r="F3719" i="12"/>
  <c r="F3720" i="12"/>
  <c r="F3721" i="12"/>
  <c r="F3722" i="12"/>
  <c r="F3723" i="12"/>
  <c r="F3724" i="12"/>
  <c r="F3725" i="12"/>
  <c r="F3726" i="12"/>
  <c r="F3727" i="12"/>
  <c r="F3728" i="12"/>
  <c r="F3729" i="12"/>
  <c r="F3730" i="12"/>
  <c r="F3731" i="12"/>
  <c r="F3732" i="12"/>
  <c r="F3733" i="12"/>
  <c r="F3734" i="12"/>
  <c r="F3735" i="12"/>
  <c r="F3736" i="12"/>
  <c r="F3737" i="12"/>
  <c r="F3738" i="12"/>
  <c r="F3739" i="12"/>
  <c r="F3740" i="12"/>
  <c r="F3741" i="12"/>
  <c r="F3742" i="12"/>
  <c r="F3743" i="12"/>
  <c r="F3744" i="12"/>
  <c r="F3745" i="12"/>
  <c r="F3746" i="12"/>
  <c r="F3747" i="12"/>
  <c r="F3748" i="12"/>
  <c r="F3749" i="12"/>
  <c r="F3750" i="12"/>
  <c r="F3751" i="12"/>
  <c r="F3752" i="12"/>
  <c r="F3753" i="12"/>
  <c r="F3754" i="12"/>
  <c r="F3755" i="12"/>
  <c r="F3756" i="12"/>
  <c r="F3757" i="12"/>
  <c r="F3758" i="12"/>
  <c r="F3759" i="12"/>
  <c r="F3760" i="12"/>
  <c r="F3761" i="12"/>
  <c r="F3762" i="12"/>
  <c r="F3763" i="12"/>
  <c r="F3764" i="12"/>
  <c r="F3765" i="12"/>
  <c r="F3766" i="12"/>
  <c r="F3767" i="12"/>
  <c r="F3768" i="12"/>
  <c r="F3769" i="12"/>
  <c r="F3770" i="12"/>
  <c r="F3771" i="12"/>
  <c r="F3772" i="12"/>
  <c r="F3773" i="12"/>
  <c r="F3774" i="12"/>
  <c r="F3775" i="12"/>
  <c r="F3776" i="12"/>
  <c r="F3777" i="12"/>
  <c r="F3778" i="12"/>
  <c r="F3779" i="12"/>
  <c r="F3780" i="12"/>
  <c r="F3781" i="12"/>
  <c r="F3782" i="12"/>
  <c r="F3783" i="12"/>
  <c r="F3784" i="12"/>
  <c r="F3785" i="12"/>
  <c r="F3786" i="12"/>
  <c r="F3787" i="12"/>
  <c r="F3788" i="12"/>
  <c r="F3789" i="12"/>
  <c r="F3790" i="12"/>
  <c r="F3791" i="12"/>
  <c r="F3792" i="12"/>
  <c r="F3793" i="12"/>
  <c r="F3794" i="12"/>
  <c r="F3795" i="12"/>
  <c r="F3796" i="12"/>
  <c r="F3797" i="12"/>
  <c r="F3798" i="12"/>
  <c r="F3799" i="12"/>
  <c r="F3800" i="12"/>
  <c r="F3801" i="12"/>
  <c r="F3802" i="12"/>
  <c r="F3803" i="12"/>
  <c r="F3804" i="12"/>
  <c r="F3805" i="12"/>
  <c r="F3806" i="12"/>
  <c r="F3807" i="12"/>
  <c r="F3808" i="12"/>
  <c r="F3809" i="12"/>
  <c r="F3810" i="12"/>
  <c r="F3811" i="12"/>
  <c r="F3812" i="12"/>
  <c r="F3813" i="12"/>
  <c r="F3814" i="12"/>
  <c r="F3815" i="12"/>
  <c r="F3816" i="12"/>
  <c r="F3817" i="12"/>
  <c r="F3818" i="12"/>
  <c r="F3819" i="12"/>
  <c r="F3820" i="12"/>
  <c r="F3821" i="12"/>
  <c r="F3822" i="12"/>
  <c r="F3823" i="12"/>
  <c r="F3824" i="12"/>
  <c r="F3825" i="12"/>
  <c r="F3826" i="12"/>
  <c r="F3827" i="12"/>
  <c r="F3828" i="12"/>
  <c r="F3829" i="12"/>
  <c r="F3830" i="12"/>
  <c r="F3831" i="12"/>
  <c r="F3832" i="12"/>
  <c r="F3833" i="12"/>
  <c r="F3834" i="12"/>
  <c r="F3835" i="12"/>
  <c r="F3836" i="12"/>
  <c r="F3837" i="12"/>
  <c r="F3838" i="12"/>
  <c r="F3839" i="12"/>
  <c r="F3840" i="12"/>
  <c r="F3841" i="12"/>
  <c r="F3842" i="12"/>
  <c r="F3843" i="12"/>
  <c r="F3844" i="12"/>
  <c r="F3845" i="12"/>
  <c r="F3846" i="12"/>
  <c r="F3847" i="12"/>
  <c r="F3848" i="12"/>
  <c r="F3849" i="12"/>
  <c r="F3850" i="12"/>
  <c r="F3851" i="12"/>
  <c r="F3852" i="12"/>
  <c r="F3853" i="12"/>
  <c r="F3854" i="12"/>
  <c r="F3855" i="12"/>
  <c r="F3856" i="12"/>
  <c r="F3857" i="12"/>
  <c r="F3858" i="12"/>
  <c r="F3859" i="12"/>
  <c r="F3860" i="12"/>
  <c r="F3861" i="12"/>
  <c r="F3862" i="12"/>
  <c r="F3863" i="12"/>
  <c r="F3864" i="12"/>
  <c r="F3865" i="12"/>
  <c r="F3866" i="12"/>
  <c r="F3867" i="12"/>
  <c r="F3868" i="12"/>
  <c r="F3869" i="12"/>
  <c r="F3870" i="12"/>
  <c r="F3871" i="12"/>
  <c r="F3872" i="12"/>
  <c r="F3873" i="12"/>
  <c r="F2" i="12"/>
  <c r="H15" i="12"/>
  <c r="H16" i="12"/>
  <c r="H17" i="12"/>
  <c r="H18" i="12"/>
  <c r="H19" i="12"/>
  <c r="H20" i="12"/>
  <c r="H21" i="12"/>
  <c r="H22" i="12"/>
  <c r="H23" i="12"/>
  <c r="H24" i="12"/>
  <c r="H25" i="12"/>
  <c r="H26" i="12"/>
  <c r="H27" i="12"/>
  <c r="H28" i="12"/>
  <c r="H29" i="12"/>
  <c r="H30" i="12"/>
  <c r="H31" i="12"/>
  <c r="H32" i="12"/>
  <c r="H33" i="12"/>
  <c r="H34" i="12"/>
  <c r="H35" i="12"/>
  <c r="H36" i="12"/>
  <c r="H37" i="12"/>
  <c r="H38" i="12"/>
  <c r="H39" i="12"/>
  <c r="H40" i="12"/>
  <c r="H41" i="12"/>
  <c r="H42" i="12"/>
  <c r="H43" i="12"/>
  <c r="H44" i="12"/>
  <c r="H45" i="12"/>
  <c r="H46" i="12"/>
  <c r="H47" i="12"/>
  <c r="H48" i="12"/>
  <c r="H49" i="12"/>
  <c r="H50" i="12"/>
  <c r="H51" i="12"/>
  <c r="H52" i="12"/>
  <c r="H53" i="12"/>
  <c r="H54" i="12"/>
  <c r="H55" i="12"/>
  <c r="H56" i="12"/>
  <c r="H57" i="12"/>
  <c r="H58" i="12"/>
  <c r="H59" i="12"/>
  <c r="H60" i="12"/>
  <c r="H61" i="12"/>
  <c r="H62" i="12"/>
  <c r="H63" i="12"/>
  <c r="H64" i="12"/>
  <c r="H65" i="12"/>
  <c r="H66" i="12"/>
  <c r="H67" i="12"/>
  <c r="H68" i="12"/>
  <c r="H69" i="12"/>
  <c r="H70" i="12"/>
  <c r="H71" i="12"/>
  <c r="H72" i="12"/>
  <c r="H73" i="12"/>
  <c r="H74" i="12"/>
  <c r="H75" i="12"/>
  <c r="H76" i="12"/>
  <c r="H77" i="12"/>
  <c r="H78" i="12"/>
  <c r="H79" i="12"/>
  <c r="H80" i="12"/>
  <c r="H81" i="12"/>
  <c r="H82" i="12"/>
  <c r="H83" i="12"/>
  <c r="H84" i="12"/>
  <c r="H85" i="12"/>
  <c r="H86" i="12"/>
  <c r="H87" i="12"/>
  <c r="H88" i="12"/>
  <c r="H89" i="12"/>
  <c r="H90" i="12"/>
  <c r="H91" i="12"/>
  <c r="H92" i="12"/>
  <c r="H93" i="12"/>
  <c r="H94" i="12"/>
  <c r="H95" i="12"/>
  <c r="H96" i="12"/>
  <c r="H97" i="12"/>
  <c r="H98" i="12"/>
  <c r="H99" i="12"/>
  <c r="H100" i="12"/>
  <c r="H101" i="12"/>
  <c r="H102" i="12"/>
  <c r="H103" i="12"/>
  <c r="H104" i="12"/>
  <c r="H105" i="12"/>
  <c r="H106" i="12"/>
  <c r="H107" i="12"/>
  <c r="H108" i="12"/>
  <c r="H109" i="12"/>
  <c r="H110" i="12"/>
  <c r="H111" i="12"/>
  <c r="H112" i="12"/>
  <c r="H113" i="12"/>
  <c r="H114" i="12"/>
  <c r="H115" i="12"/>
  <c r="H116" i="12"/>
  <c r="H117" i="12"/>
  <c r="H118" i="12"/>
  <c r="H119" i="12"/>
  <c r="H120" i="12"/>
  <c r="H121" i="12"/>
  <c r="H122" i="12"/>
  <c r="H123" i="12"/>
  <c r="H124" i="12"/>
  <c r="H125" i="12"/>
  <c r="H126" i="12"/>
  <c r="H127" i="12"/>
  <c r="H128" i="12"/>
  <c r="H129" i="12"/>
  <c r="H130" i="12"/>
  <c r="H131" i="12"/>
  <c r="H132" i="12"/>
  <c r="H133" i="12"/>
  <c r="H134" i="12"/>
  <c r="H135" i="12"/>
  <c r="H136" i="12"/>
  <c r="H137" i="12"/>
  <c r="H138" i="12"/>
  <c r="H139" i="12"/>
  <c r="H140" i="12"/>
  <c r="H141" i="12"/>
  <c r="H142" i="12"/>
  <c r="H143" i="12"/>
  <c r="H144" i="12"/>
  <c r="H145" i="12"/>
  <c r="H146" i="12"/>
  <c r="H147" i="12"/>
  <c r="H148" i="12"/>
  <c r="H149" i="12"/>
  <c r="H150" i="12"/>
  <c r="H151" i="12"/>
  <c r="H152" i="12"/>
  <c r="H153" i="12"/>
  <c r="H154" i="12"/>
  <c r="H155" i="12"/>
  <c r="H156" i="12"/>
  <c r="H157" i="12"/>
  <c r="H158" i="12"/>
  <c r="H159" i="12"/>
  <c r="H160" i="12"/>
  <c r="H161" i="12"/>
  <c r="H162" i="12"/>
  <c r="H163" i="12"/>
  <c r="H164" i="12"/>
  <c r="H165" i="12"/>
  <c r="H166" i="12"/>
  <c r="H167" i="12"/>
  <c r="H168" i="12"/>
  <c r="H169" i="12"/>
  <c r="H170" i="12"/>
  <c r="H171" i="12"/>
  <c r="H172" i="12"/>
  <c r="H173" i="12"/>
  <c r="H174" i="12"/>
  <c r="H175" i="12"/>
  <c r="H176" i="12"/>
  <c r="H177" i="12"/>
  <c r="H178" i="12"/>
  <c r="H179" i="12"/>
  <c r="H180" i="12"/>
  <c r="H181" i="12"/>
  <c r="H182" i="12"/>
  <c r="H183" i="12"/>
  <c r="H184" i="12"/>
  <c r="H185" i="12"/>
  <c r="H186" i="12"/>
  <c r="H187" i="12"/>
  <c r="H188" i="12"/>
  <c r="H189" i="12"/>
  <c r="H190" i="12"/>
  <c r="H191" i="12"/>
  <c r="H192" i="12"/>
  <c r="H193" i="12"/>
  <c r="H194" i="12"/>
  <c r="H195" i="12"/>
  <c r="H196" i="12"/>
  <c r="H197" i="12"/>
  <c r="H198" i="12"/>
  <c r="H199" i="12"/>
  <c r="H200" i="12"/>
  <c r="H201" i="12"/>
  <c r="H202" i="12"/>
  <c r="H203" i="12"/>
  <c r="H204" i="12"/>
  <c r="H205" i="12"/>
  <c r="H206" i="12"/>
  <c r="H207" i="12"/>
  <c r="H208" i="12"/>
  <c r="H209" i="12"/>
  <c r="H210" i="12"/>
  <c r="H211" i="12"/>
  <c r="H212" i="12"/>
  <c r="H213" i="12"/>
  <c r="H214" i="12"/>
  <c r="H215" i="12"/>
  <c r="H216" i="12"/>
  <c r="H217" i="12"/>
  <c r="H218" i="12"/>
  <c r="H219" i="12"/>
  <c r="H220" i="12"/>
  <c r="H221" i="12"/>
  <c r="H222" i="12"/>
  <c r="H223" i="12"/>
  <c r="H224" i="12"/>
  <c r="H225" i="12"/>
  <c r="H226" i="12"/>
  <c r="H227" i="12"/>
  <c r="H228" i="12"/>
  <c r="H229" i="12"/>
  <c r="H230" i="12"/>
  <c r="H231" i="12"/>
  <c r="H232" i="12"/>
  <c r="H233" i="12"/>
  <c r="H234" i="12"/>
  <c r="H235" i="12"/>
  <c r="H236" i="12"/>
  <c r="H237" i="12"/>
  <c r="H238" i="12"/>
  <c r="H239" i="12"/>
  <c r="H240" i="12"/>
  <c r="H241" i="12"/>
  <c r="H242" i="12"/>
  <c r="H243" i="12"/>
  <c r="H244" i="12"/>
  <c r="H245" i="12"/>
  <c r="H246" i="12"/>
  <c r="H247" i="12"/>
  <c r="H248" i="12"/>
  <c r="H249" i="12"/>
  <c r="H250" i="12"/>
  <c r="H251" i="12"/>
  <c r="H252" i="12"/>
  <c r="H253" i="12"/>
  <c r="H254" i="12"/>
  <c r="H255" i="12"/>
  <c r="H256" i="12"/>
  <c r="H257" i="12"/>
  <c r="H258" i="12"/>
  <c r="H259" i="12"/>
  <c r="H260" i="12"/>
  <c r="H261" i="12"/>
  <c r="H262" i="12"/>
  <c r="H263" i="12"/>
  <c r="H264" i="12"/>
  <c r="H265" i="12"/>
  <c r="H266" i="12"/>
  <c r="H267" i="12"/>
  <c r="H268" i="12"/>
  <c r="H269" i="12"/>
  <c r="H270" i="12"/>
  <c r="H271" i="12"/>
  <c r="H272" i="12"/>
  <c r="H273" i="12"/>
  <c r="H274" i="12"/>
  <c r="H275" i="12"/>
  <c r="H276" i="12"/>
  <c r="H277" i="12"/>
  <c r="H278" i="12"/>
  <c r="H279" i="12"/>
  <c r="H280" i="12"/>
  <c r="H281" i="12"/>
  <c r="H282" i="12"/>
  <c r="H283" i="12"/>
  <c r="H284" i="12"/>
  <c r="H285" i="12"/>
  <c r="H286" i="12"/>
  <c r="H287" i="12"/>
  <c r="H288" i="12"/>
  <c r="H289" i="12"/>
  <c r="H290" i="12"/>
  <c r="H291" i="12"/>
  <c r="H292" i="12"/>
  <c r="H293" i="12"/>
  <c r="H294" i="12"/>
  <c r="H295" i="12"/>
  <c r="H296" i="12"/>
  <c r="H297" i="12"/>
  <c r="H298" i="12"/>
  <c r="H299" i="12"/>
  <c r="H300" i="12"/>
  <c r="H301" i="12"/>
  <c r="H302" i="12"/>
  <c r="H303" i="12"/>
  <c r="H304" i="12"/>
  <c r="H305" i="12"/>
  <c r="H306" i="12"/>
  <c r="H307" i="12"/>
  <c r="H308" i="12"/>
  <c r="H309" i="12"/>
  <c r="H310" i="12"/>
  <c r="H311" i="12"/>
  <c r="H312" i="12"/>
  <c r="H313" i="12"/>
  <c r="H314" i="12"/>
  <c r="H315" i="12"/>
  <c r="H316" i="12"/>
  <c r="H317" i="12"/>
  <c r="H318" i="12"/>
  <c r="H319" i="12"/>
  <c r="H320" i="12"/>
  <c r="H321" i="12"/>
  <c r="H322" i="12"/>
  <c r="H323" i="12"/>
  <c r="H324" i="12"/>
  <c r="H325" i="12"/>
  <c r="H326" i="12"/>
  <c r="H327" i="12"/>
  <c r="H328" i="12"/>
  <c r="H329" i="12"/>
  <c r="H330" i="12"/>
  <c r="H331" i="12"/>
  <c r="H332" i="12"/>
  <c r="H333" i="12"/>
  <c r="H334" i="12"/>
  <c r="H335" i="12"/>
  <c r="H336" i="12"/>
  <c r="H337" i="12"/>
  <c r="H338" i="12"/>
  <c r="H339" i="12"/>
  <c r="H340" i="12"/>
  <c r="H341" i="12"/>
  <c r="H342" i="12"/>
  <c r="H343" i="12"/>
  <c r="H344" i="12"/>
  <c r="H345" i="12"/>
  <c r="H346" i="12"/>
  <c r="H347" i="12"/>
  <c r="H348" i="12"/>
  <c r="H349" i="12"/>
  <c r="H350" i="12"/>
  <c r="H351" i="12"/>
  <c r="H352" i="12"/>
  <c r="H353" i="12"/>
  <c r="H354" i="12"/>
  <c r="H355" i="12"/>
  <c r="H356" i="12"/>
  <c r="H357" i="12"/>
  <c r="H358" i="12"/>
  <c r="H359" i="12"/>
  <c r="H360" i="12"/>
  <c r="H361" i="12"/>
  <c r="H362" i="12"/>
  <c r="H363" i="12"/>
  <c r="H364" i="12"/>
  <c r="H365" i="12"/>
  <c r="H366" i="12"/>
  <c r="H367" i="12"/>
  <c r="H368" i="12"/>
  <c r="H369" i="12"/>
  <c r="H370" i="12"/>
  <c r="H371" i="12"/>
  <c r="H372" i="12"/>
  <c r="H373" i="12"/>
  <c r="H374" i="12"/>
  <c r="H375" i="12"/>
  <c r="H376" i="12"/>
  <c r="H377" i="12"/>
  <c r="H378" i="12"/>
  <c r="H379" i="12"/>
  <c r="H380" i="12"/>
  <c r="H381" i="12"/>
  <c r="H382" i="12"/>
  <c r="H383" i="12"/>
  <c r="H384" i="12"/>
  <c r="H385" i="12"/>
  <c r="H386" i="12"/>
  <c r="H387" i="12"/>
  <c r="H388" i="12"/>
  <c r="H389" i="12"/>
  <c r="H390" i="12"/>
  <c r="H391" i="12"/>
  <c r="H392" i="12"/>
  <c r="H393" i="12"/>
  <c r="H394" i="12"/>
  <c r="H395" i="12"/>
  <c r="H396" i="12"/>
  <c r="H397" i="12"/>
  <c r="H398" i="12"/>
  <c r="H399" i="12"/>
  <c r="H400" i="12"/>
  <c r="H401" i="12"/>
  <c r="H402" i="12"/>
  <c r="H403" i="12"/>
  <c r="H404" i="12"/>
  <c r="H405" i="12"/>
  <c r="H406" i="12"/>
  <c r="H407" i="12"/>
  <c r="H408" i="12"/>
  <c r="H409" i="12"/>
  <c r="H410" i="12"/>
  <c r="H411" i="12"/>
  <c r="H412" i="12"/>
  <c r="H413" i="12"/>
  <c r="H414" i="12"/>
  <c r="H415" i="12"/>
  <c r="H416" i="12"/>
  <c r="H417" i="12"/>
  <c r="H418" i="12"/>
  <c r="H419" i="12"/>
  <c r="H420" i="12"/>
  <c r="H421" i="12"/>
  <c r="H422" i="12"/>
  <c r="H423" i="12"/>
  <c r="H424" i="12"/>
  <c r="H425" i="12"/>
  <c r="H426" i="12"/>
  <c r="H427" i="12"/>
  <c r="H428" i="12"/>
  <c r="H429" i="12"/>
  <c r="H430" i="12"/>
  <c r="H431" i="12"/>
  <c r="H432" i="12"/>
  <c r="H433" i="12"/>
  <c r="H434" i="12"/>
  <c r="H435" i="12"/>
  <c r="H436" i="12"/>
  <c r="H437" i="12"/>
  <c r="H438" i="12"/>
  <c r="H439" i="12"/>
  <c r="H440" i="12"/>
  <c r="H441" i="12"/>
  <c r="H442" i="12"/>
  <c r="H443" i="12"/>
  <c r="H444" i="12"/>
  <c r="H445" i="12"/>
  <c r="H446" i="12"/>
  <c r="H447" i="12"/>
  <c r="H448" i="12"/>
  <c r="H449" i="12"/>
  <c r="H450" i="12"/>
  <c r="H451" i="12"/>
  <c r="H452" i="12"/>
  <c r="H453" i="12"/>
  <c r="H454" i="12"/>
  <c r="H455" i="12"/>
  <c r="H456" i="12"/>
  <c r="H457" i="12"/>
  <c r="H458" i="12"/>
  <c r="H459" i="12"/>
  <c r="H460" i="12"/>
  <c r="H461" i="12"/>
  <c r="H462" i="12"/>
  <c r="H463" i="12"/>
  <c r="H464" i="12"/>
  <c r="H465" i="12"/>
  <c r="H466" i="12"/>
  <c r="H467" i="12"/>
  <c r="H468" i="12"/>
  <c r="H469" i="12"/>
  <c r="H470" i="12"/>
  <c r="H471" i="12"/>
  <c r="H472" i="12"/>
  <c r="H473" i="12"/>
  <c r="H474" i="12"/>
  <c r="H475" i="12"/>
  <c r="H476" i="12"/>
  <c r="H477" i="12"/>
  <c r="H478" i="12"/>
  <c r="H479" i="12"/>
  <c r="H480" i="12"/>
  <c r="H481" i="12"/>
  <c r="H482" i="12"/>
  <c r="H483" i="12"/>
  <c r="H484" i="12"/>
  <c r="H485" i="12"/>
  <c r="H486" i="12"/>
  <c r="H487" i="12"/>
  <c r="H488" i="12"/>
  <c r="H489" i="12"/>
  <c r="H490" i="12"/>
  <c r="H491" i="12"/>
  <c r="H492" i="12"/>
  <c r="H493" i="12"/>
  <c r="H494" i="12"/>
  <c r="H495" i="12"/>
  <c r="H496" i="12"/>
  <c r="H497" i="12"/>
  <c r="H498" i="12"/>
  <c r="H499" i="12"/>
  <c r="H500" i="12"/>
  <c r="H501" i="12"/>
  <c r="H502" i="12"/>
  <c r="H503" i="12"/>
  <c r="H504" i="12"/>
  <c r="H505" i="12"/>
  <c r="H506" i="12"/>
  <c r="H507" i="12"/>
  <c r="H508" i="12"/>
  <c r="H509" i="12"/>
  <c r="H510" i="12"/>
  <c r="H511" i="12"/>
  <c r="H512" i="12"/>
  <c r="H513" i="12"/>
  <c r="H514" i="12"/>
  <c r="H515" i="12"/>
  <c r="H516" i="12"/>
  <c r="H517" i="12"/>
  <c r="H518" i="12"/>
  <c r="H519" i="12"/>
  <c r="H520" i="12"/>
  <c r="H521" i="12"/>
  <c r="H522" i="12"/>
  <c r="H523" i="12"/>
  <c r="H524" i="12"/>
  <c r="H525" i="12"/>
  <c r="H526" i="12"/>
  <c r="H527" i="12"/>
  <c r="H528" i="12"/>
  <c r="H529" i="12"/>
  <c r="H530" i="12"/>
  <c r="H531" i="12"/>
  <c r="H532" i="12"/>
  <c r="H533" i="12"/>
  <c r="H534" i="12"/>
  <c r="H535" i="12"/>
  <c r="H536" i="12"/>
  <c r="H537" i="12"/>
  <c r="H538" i="12"/>
  <c r="H539" i="12"/>
  <c r="H540" i="12"/>
  <c r="H541" i="12"/>
  <c r="H542" i="12"/>
  <c r="H543" i="12"/>
  <c r="H544" i="12"/>
  <c r="H545" i="12"/>
  <c r="H546" i="12"/>
  <c r="H547" i="12"/>
  <c r="H548" i="12"/>
  <c r="H549" i="12"/>
  <c r="H550" i="12"/>
  <c r="H551" i="12"/>
  <c r="H552" i="12"/>
  <c r="H553" i="12"/>
  <c r="H554" i="12"/>
  <c r="H555" i="12"/>
  <c r="H556" i="12"/>
  <c r="H557" i="12"/>
  <c r="H558" i="12"/>
  <c r="H559" i="12"/>
  <c r="H560" i="12"/>
  <c r="H561" i="12"/>
  <c r="H562" i="12"/>
  <c r="H563" i="12"/>
  <c r="H564" i="12"/>
  <c r="H565" i="12"/>
  <c r="H566" i="12"/>
  <c r="H567" i="12"/>
  <c r="H568" i="12"/>
  <c r="H569" i="12"/>
  <c r="H570" i="12"/>
  <c r="H571" i="12"/>
  <c r="H572" i="12"/>
  <c r="H573" i="12"/>
  <c r="H574" i="12"/>
  <c r="H575" i="12"/>
  <c r="H576" i="12"/>
  <c r="H577" i="12"/>
  <c r="H578" i="12"/>
  <c r="H579" i="12"/>
  <c r="H580" i="12"/>
  <c r="H581" i="12"/>
  <c r="H582" i="12"/>
  <c r="H583" i="12"/>
  <c r="H584" i="12"/>
  <c r="H585" i="12"/>
  <c r="H586" i="12"/>
  <c r="H587" i="12"/>
  <c r="H588" i="12"/>
  <c r="H589" i="12"/>
  <c r="H590" i="12"/>
  <c r="H591" i="12"/>
  <c r="H592" i="12"/>
  <c r="H593" i="12"/>
  <c r="H594" i="12"/>
  <c r="H595" i="12"/>
  <c r="H596" i="12"/>
  <c r="H597" i="12"/>
  <c r="H598" i="12"/>
  <c r="H599" i="12"/>
  <c r="H600" i="12"/>
  <c r="H601" i="12"/>
  <c r="H602" i="12"/>
  <c r="H603" i="12"/>
  <c r="H604" i="12"/>
  <c r="H605" i="12"/>
  <c r="H606" i="12"/>
  <c r="H607" i="12"/>
  <c r="H608" i="12"/>
  <c r="H609" i="12"/>
  <c r="H610" i="12"/>
  <c r="H611" i="12"/>
  <c r="H612" i="12"/>
  <c r="H613" i="12"/>
  <c r="H614" i="12"/>
  <c r="H615" i="12"/>
  <c r="H616" i="12"/>
  <c r="H617" i="12"/>
  <c r="H618" i="12"/>
  <c r="H619" i="12"/>
  <c r="H620" i="12"/>
  <c r="H621" i="12"/>
  <c r="H622" i="12"/>
  <c r="H623" i="12"/>
  <c r="H624" i="12"/>
  <c r="H625" i="12"/>
  <c r="H626" i="12"/>
  <c r="H627" i="12"/>
  <c r="H628" i="12"/>
  <c r="H629" i="12"/>
  <c r="H630" i="12"/>
  <c r="H631" i="12"/>
  <c r="H632" i="12"/>
  <c r="H633" i="12"/>
  <c r="H634" i="12"/>
  <c r="H635" i="12"/>
  <c r="H636" i="12"/>
  <c r="H637" i="12"/>
  <c r="H638" i="12"/>
  <c r="H639" i="12"/>
  <c r="H640" i="12"/>
  <c r="H641" i="12"/>
  <c r="H642" i="12"/>
  <c r="H643" i="12"/>
  <c r="H644" i="12"/>
  <c r="H645" i="12"/>
  <c r="H646" i="12"/>
  <c r="H647" i="12"/>
  <c r="H648" i="12"/>
  <c r="H649" i="12"/>
  <c r="H650" i="12"/>
  <c r="H651" i="12"/>
  <c r="H652" i="12"/>
  <c r="H653" i="12"/>
  <c r="H654" i="12"/>
  <c r="K527" i="11" s="1"/>
  <c r="H655" i="12"/>
  <c r="H656" i="12"/>
  <c r="H657" i="12"/>
  <c r="H658" i="12"/>
  <c r="H659" i="12"/>
  <c r="H660" i="12"/>
  <c r="H661" i="12"/>
  <c r="H662" i="12"/>
  <c r="H663" i="12"/>
  <c r="H664" i="12"/>
  <c r="H665" i="12"/>
  <c r="H666" i="12"/>
  <c r="H667" i="12"/>
  <c r="H668" i="12"/>
  <c r="H669" i="12"/>
  <c r="H670" i="12"/>
  <c r="H671" i="12"/>
  <c r="H672" i="12"/>
  <c r="H673" i="12"/>
  <c r="H674" i="12"/>
  <c r="H675" i="12"/>
  <c r="H676" i="12"/>
  <c r="H677" i="12"/>
  <c r="H678" i="12"/>
  <c r="H679" i="12"/>
  <c r="H680" i="12"/>
  <c r="H681" i="12"/>
  <c r="H682" i="12"/>
  <c r="H683" i="12"/>
  <c r="H684" i="12"/>
  <c r="H685" i="12"/>
  <c r="H686" i="12"/>
  <c r="H687" i="12"/>
  <c r="H688" i="12"/>
  <c r="H689" i="12"/>
  <c r="H690" i="12"/>
  <c r="H691" i="12"/>
  <c r="H692" i="12"/>
  <c r="H693" i="12"/>
  <c r="H694" i="12"/>
  <c r="H695" i="12"/>
  <c r="H696" i="12"/>
  <c r="H697" i="12"/>
  <c r="H698" i="12"/>
  <c r="H699" i="12"/>
  <c r="H700" i="12"/>
  <c r="H701" i="12"/>
  <c r="H702" i="12"/>
  <c r="H703" i="12"/>
  <c r="H704" i="12"/>
  <c r="H705" i="12"/>
  <c r="H706" i="12"/>
  <c r="H707" i="12"/>
  <c r="H708" i="12"/>
  <c r="H709" i="12"/>
  <c r="H710" i="12"/>
  <c r="H711" i="12"/>
  <c r="H712" i="12"/>
  <c r="H713" i="12"/>
  <c r="H714" i="12"/>
  <c r="H715" i="12"/>
  <c r="H716" i="12"/>
  <c r="H717" i="12"/>
  <c r="H718" i="12"/>
  <c r="H719" i="12"/>
  <c r="H720" i="12"/>
  <c r="H721" i="12"/>
  <c r="H722" i="12"/>
  <c r="H723" i="12"/>
  <c r="H724" i="12"/>
  <c r="H725" i="12"/>
  <c r="H726" i="12"/>
  <c r="H727" i="12"/>
  <c r="H728" i="12"/>
  <c r="H729" i="12"/>
  <c r="H730" i="12"/>
  <c r="H731" i="12"/>
  <c r="H732" i="12"/>
  <c r="H733" i="12"/>
  <c r="H734" i="12"/>
  <c r="H735" i="12"/>
  <c r="H736" i="12"/>
  <c r="H737" i="12"/>
  <c r="H738" i="12"/>
  <c r="H739" i="12"/>
  <c r="H740" i="12"/>
  <c r="H741" i="12"/>
  <c r="H742" i="12"/>
  <c r="H743" i="12"/>
  <c r="H744" i="12"/>
  <c r="H745" i="12"/>
  <c r="H746" i="12"/>
  <c r="H747" i="12"/>
  <c r="H748" i="12"/>
  <c r="H749" i="12"/>
  <c r="H750" i="12"/>
  <c r="H751" i="12"/>
  <c r="H752" i="12"/>
  <c r="H753" i="12"/>
  <c r="H754" i="12"/>
  <c r="H755" i="12"/>
  <c r="H756" i="12"/>
  <c r="H757" i="12"/>
  <c r="H758" i="12"/>
  <c r="H759" i="12"/>
  <c r="H760" i="12"/>
  <c r="H761" i="12"/>
  <c r="H762" i="12"/>
  <c r="H763" i="12"/>
  <c r="H764" i="12"/>
  <c r="H765" i="12"/>
  <c r="H766" i="12"/>
  <c r="H767" i="12"/>
  <c r="H768" i="12"/>
  <c r="H769" i="12"/>
  <c r="H770" i="12"/>
  <c r="H771" i="12"/>
  <c r="H772" i="12"/>
  <c r="H773" i="12"/>
  <c r="H774" i="12"/>
  <c r="H775" i="12"/>
  <c r="H776" i="12"/>
  <c r="H777" i="12"/>
  <c r="H778" i="12"/>
  <c r="H779" i="12"/>
  <c r="H780" i="12"/>
  <c r="H781" i="12"/>
  <c r="H782" i="12"/>
  <c r="H783" i="12"/>
  <c r="H784" i="12"/>
  <c r="H785" i="12"/>
  <c r="H786" i="12"/>
  <c r="H787" i="12"/>
  <c r="H788" i="12"/>
  <c r="H789" i="12"/>
  <c r="H790" i="12"/>
  <c r="H791" i="12"/>
  <c r="H792" i="12"/>
  <c r="H793" i="12"/>
  <c r="H794" i="12"/>
  <c r="H795" i="12"/>
  <c r="H796" i="12"/>
  <c r="H797" i="12"/>
  <c r="H798" i="12"/>
  <c r="H799" i="12"/>
  <c r="H800" i="12"/>
  <c r="H801" i="12"/>
  <c r="H802" i="12"/>
  <c r="H803" i="12"/>
  <c r="H804" i="12"/>
  <c r="H805" i="12"/>
  <c r="H806" i="12"/>
  <c r="H807" i="12"/>
  <c r="H808" i="12"/>
  <c r="H809" i="12"/>
  <c r="H810" i="12"/>
  <c r="H811" i="12"/>
  <c r="H812" i="12"/>
  <c r="H813" i="12"/>
  <c r="H814" i="12"/>
  <c r="H815" i="12"/>
  <c r="H816" i="12"/>
  <c r="H817" i="12"/>
  <c r="H818" i="12"/>
  <c r="H819" i="12"/>
  <c r="H820" i="12"/>
  <c r="H821" i="12"/>
  <c r="H822" i="12"/>
  <c r="H823" i="12"/>
  <c r="H824" i="12"/>
  <c r="H825" i="12"/>
  <c r="H826" i="12"/>
  <c r="H827" i="12"/>
  <c r="H828" i="12"/>
  <c r="H829" i="12"/>
  <c r="H830" i="12"/>
  <c r="H831" i="12"/>
  <c r="H832" i="12"/>
  <c r="H833" i="12"/>
  <c r="H834" i="12"/>
  <c r="H835" i="12"/>
  <c r="H836" i="12"/>
  <c r="H837" i="12"/>
  <c r="H838" i="12"/>
  <c r="H839" i="12"/>
  <c r="H840" i="12"/>
  <c r="H841" i="12"/>
  <c r="H842" i="12"/>
  <c r="H843" i="12"/>
  <c r="H844" i="12"/>
  <c r="H845" i="12"/>
  <c r="H846" i="12"/>
  <c r="H847" i="12"/>
  <c r="H848" i="12"/>
  <c r="H849" i="12"/>
  <c r="H850" i="12"/>
  <c r="H851" i="12"/>
  <c r="H852" i="12"/>
  <c r="H853" i="12"/>
  <c r="H854" i="12"/>
  <c r="H855" i="12"/>
  <c r="H856" i="12"/>
  <c r="H857" i="12"/>
  <c r="H858" i="12"/>
  <c r="H859" i="12"/>
  <c r="H860" i="12"/>
  <c r="H861" i="12"/>
  <c r="H862" i="12"/>
  <c r="H863" i="12"/>
  <c r="H864" i="12"/>
  <c r="H865" i="12"/>
  <c r="H866" i="12"/>
  <c r="H867" i="12"/>
  <c r="H868" i="12"/>
  <c r="H869" i="12"/>
  <c r="H870" i="12"/>
  <c r="H871" i="12"/>
  <c r="H872" i="12"/>
  <c r="H873" i="12"/>
  <c r="H874" i="12"/>
  <c r="H875" i="12"/>
  <c r="H876" i="12"/>
  <c r="H877" i="12"/>
  <c r="H878" i="12"/>
  <c r="H879" i="12"/>
  <c r="H880" i="12"/>
  <c r="H881" i="12"/>
  <c r="H882" i="12"/>
  <c r="H883" i="12"/>
  <c r="H884" i="12"/>
  <c r="H885" i="12"/>
  <c r="H886" i="12"/>
  <c r="H887" i="12"/>
  <c r="H888" i="12"/>
  <c r="H889" i="12"/>
  <c r="H890" i="12"/>
  <c r="H891" i="12"/>
  <c r="H892" i="12"/>
  <c r="H893" i="12"/>
  <c r="H894" i="12"/>
  <c r="H895" i="12"/>
  <c r="H896" i="12"/>
  <c r="H897" i="12"/>
  <c r="H898" i="12"/>
  <c r="H899" i="12"/>
  <c r="H900" i="12"/>
  <c r="H901" i="12"/>
  <c r="H902" i="12"/>
  <c r="H903" i="12"/>
  <c r="H904" i="12"/>
  <c r="H905" i="12"/>
  <c r="H906" i="12"/>
  <c r="H907" i="12"/>
  <c r="H908" i="12"/>
  <c r="H909" i="12"/>
  <c r="H910" i="12"/>
  <c r="H911" i="12"/>
  <c r="H912" i="12"/>
  <c r="H913" i="12"/>
  <c r="H914" i="12"/>
  <c r="H915" i="12"/>
  <c r="H916" i="12"/>
  <c r="H917" i="12"/>
  <c r="H918" i="12"/>
  <c r="H919" i="12"/>
  <c r="H920" i="12"/>
  <c r="H921" i="12"/>
  <c r="H922" i="12"/>
  <c r="H923" i="12"/>
  <c r="H924" i="12"/>
  <c r="H925" i="12"/>
  <c r="H926" i="12"/>
  <c r="H927" i="12"/>
  <c r="H928" i="12"/>
  <c r="H929" i="12"/>
  <c r="H930" i="12"/>
  <c r="H931" i="12"/>
  <c r="H932" i="12"/>
  <c r="H933" i="12"/>
  <c r="H934" i="12"/>
  <c r="H935" i="12"/>
  <c r="H936" i="12"/>
  <c r="H937" i="12"/>
  <c r="H938" i="12"/>
  <c r="H939" i="12"/>
  <c r="H940" i="12"/>
  <c r="H941" i="12"/>
  <c r="H942" i="12"/>
  <c r="H943" i="12"/>
  <c r="H944" i="12"/>
  <c r="H945" i="12"/>
  <c r="H946" i="12"/>
  <c r="H947" i="12"/>
  <c r="H948" i="12"/>
  <c r="H949" i="12"/>
  <c r="H950" i="12"/>
  <c r="H951" i="12"/>
  <c r="H952" i="12"/>
  <c r="H953" i="12"/>
  <c r="H954" i="12"/>
  <c r="H955" i="12"/>
  <c r="H956" i="12"/>
  <c r="H957" i="12"/>
  <c r="H958" i="12"/>
  <c r="H959" i="12"/>
  <c r="H960" i="12"/>
  <c r="H961" i="12"/>
  <c r="H962" i="12"/>
  <c r="H963" i="12"/>
  <c r="H964" i="12"/>
  <c r="H965" i="12"/>
  <c r="H966" i="12"/>
  <c r="H967" i="12"/>
  <c r="H968" i="12"/>
  <c r="H969" i="12"/>
  <c r="H970" i="12"/>
  <c r="H971" i="12"/>
  <c r="H972" i="12"/>
  <c r="H973" i="12"/>
  <c r="H974" i="12"/>
  <c r="H975" i="12"/>
  <c r="H976" i="12"/>
  <c r="H977" i="12"/>
  <c r="H978" i="12"/>
  <c r="H979" i="12"/>
  <c r="H980" i="12"/>
  <c r="H981" i="12"/>
  <c r="H982" i="12"/>
  <c r="H983" i="12"/>
  <c r="H984" i="12"/>
  <c r="H985" i="12"/>
  <c r="H986" i="12"/>
  <c r="H987" i="12"/>
  <c r="H988" i="12"/>
  <c r="H989" i="12"/>
  <c r="H990" i="12"/>
  <c r="H991" i="12"/>
  <c r="H992" i="12"/>
  <c r="H993" i="12"/>
  <c r="H994" i="12"/>
  <c r="H995" i="12"/>
  <c r="H996" i="12"/>
  <c r="H997" i="12"/>
  <c r="H998" i="12"/>
  <c r="H999" i="12"/>
  <c r="H1000" i="12"/>
  <c r="H1001" i="12"/>
  <c r="H1002" i="12"/>
  <c r="H1003" i="12"/>
  <c r="H1004" i="12"/>
  <c r="H1005" i="12"/>
  <c r="H1006" i="12"/>
  <c r="H1007" i="12"/>
  <c r="H1008" i="12"/>
  <c r="H1009" i="12"/>
  <c r="H1010" i="12"/>
  <c r="H1011" i="12"/>
  <c r="H1012" i="12"/>
  <c r="H1013" i="12"/>
  <c r="H1014" i="12"/>
  <c r="H1015" i="12"/>
  <c r="H1016" i="12"/>
  <c r="H1017" i="12"/>
  <c r="H1018" i="12"/>
  <c r="H1019" i="12"/>
  <c r="H1020" i="12"/>
  <c r="H1021" i="12"/>
  <c r="H1022" i="12"/>
  <c r="H1023" i="12"/>
  <c r="H1024" i="12"/>
  <c r="H1025" i="12"/>
  <c r="H1026" i="12"/>
  <c r="H1027" i="12"/>
  <c r="H1028" i="12"/>
  <c r="H1029" i="12"/>
  <c r="H1030" i="12"/>
  <c r="H1031" i="12"/>
  <c r="H1032" i="12"/>
  <c r="H1033" i="12"/>
  <c r="H1034" i="12"/>
  <c r="H1035" i="12"/>
  <c r="H1036" i="12"/>
  <c r="H1037" i="12"/>
  <c r="H1038" i="12"/>
  <c r="H1039" i="12"/>
  <c r="H1040" i="12"/>
  <c r="H1041" i="12"/>
  <c r="H1042" i="12"/>
  <c r="H1043" i="12"/>
  <c r="H1044" i="12"/>
  <c r="H1045" i="12"/>
  <c r="H1046" i="12"/>
  <c r="H1047" i="12"/>
  <c r="H1048" i="12"/>
  <c r="H1049" i="12"/>
  <c r="H1050" i="12"/>
  <c r="H1051" i="12"/>
  <c r="H1052" i="12"/>
  <c r="H1053" i="12"/>
  <c r="H1054" i="12"/>
  <c r="H1055" i="12"/>
  <c r="H1056" i="12"/>
  <c r="H1057" i="12"/>
  <c r="H1058" i="12"/>
  <c r="H1059" i="12"/>
  <c r="H1060" i="12"/>
  <c r="H1061" i="12"/>
  <c r="H1062" i="12"/>
  <c r="H1063" i="12"/>
  <c r="H1064" i="12"/>
  <c r="H1065" i="12"/>
  <c r="H1066" i="12"/>
  <c r="H1067" i="12"/>
  <c r="H1068" i="12"/>
  <c r="H1069" i="12"/>
  <c r="H1070" i="12"/>
  <c r="H1071" i="12"/>
  <c r="H1072" i="12"/>
  <c r="H1073" i="12"/>
  <c r="H1074" i="12"/>
  <c r="H1075" i="12"/>
  <c r="H1076" i="12"/>
  <c r="H1077" i="12"/>
  <c r="H1078" i="12"/>
  <c r="H1079" i="12"/>
  <c r="H1080" i="12"/>
  <c r="H1081" i="12"/>
  <c r="H1082" i="12"/>
  <c r="H1083" i="12"/>
  <c r="H1084" i="12"/>
  <c r="H1085" i="12"/>
  <c r="H1086" i="12"/>
  <c r="H1087" i="12"/>
  <c r="H1088" i="12"/>
  <c r="H1089" i="12"/>
  <c r="H1090" i="12"/>
  <c r="H1091" i="12"/>
  <c r="H1092" i="12"/>
  <c r="H1093" i="12"/>
  <c r="H1094" i="12"/>
  <c r="H1095" i="12"/>
  <c r="H1096" i="12"/>
  <c r="H1097" i="12"/>
  <c r="H1098" i="12"/>
  <c r="H1099" i="12"/>
  <c r="H1100" i="12"/>
  <c r="H1101" i="12"/>
  <c r="H1102" i="12"/>
  <c r="H1103" i="12"/>
  <c r="H1104" i="12"/>
  <c r="H1105" i="12"/>
  <c r="H1106" i="12"/>
  <c r="H1107" i="12"/>
  <c r="H1108" i="12"/>
  <c r="H1109" i="12"/>
  <c r="H1110" i="12"/>
  <c r="H1111" i="12"/>
  <c r="H1112" i="12"/>
  <c r="H1113" i="12"/>
  <c r="H1114" i="12"/>
  <c r="H1115" i="12"/>
  <c r="H1116" i="12"/>
  <c r="H1117" i="12"/>
  <c r="H1118" i="12"/>
  <c r="H1119" i="12"/>
  <c r="H1120" i="12"/>
  <c r="H1121" i="12"/>
  <c r="H1122" i="12"/>
  <c r="H1123" i="12"/>
  <c r="H1124" i="12"/>
  <c r="H1125" i="12"/>
  <c r="H1126" i="12"/>
  <c r="H1127" i="12"/>
  <c r="H1128" i="12"/>
  <c r="H1129" i="12"/>
  <c r="H1130" i="12"/>
  <c r="H1131" i="12"/>
  <c r="H1132" i="12"/>
  <c r="H1133" i="12"/>
  <c r="H1134" i="12"/>
  <c r="H1135" i="12"/>
  <c r="H1136" i="12"/>
  <c r="H1137" i="12"/>
  <c r="H1138" i="12"/>
  <c r="H1139" i="12"/>
  <c r="H1140" i="12"/>
  <c r="H1141" i="12"/>
  <c r="H1142" i="12"/>
  <c r="H1143" i="12"/>
  <c r="H1144" i="12"/>
  <c r="H1145" i="12"/>
  <c r="H1146" i="12"/>
  <c r="H1147" i="12"/>
  <c r="H1148" i="12"/>
  <c r="H1149" i="12"/>
  <c r="H1150" i="12"/>
  <c r="H1151" i="12"/>
  <c r="H1152" i="12"/>
  <c r="H1153" i="12"/>
  <c r="H1154" i="12"/>
  <c r="H1155" i="12"/>
  <c r="H1156" i="12"/>
  <c r="H1157" i="12"/>
  <c r="H1158" i="12"/>
  <c r="H1159" i="12"/>
  <c r="H1160" i="12"/>
  <c r="H1161" i="12"/>
  <c r="H1162" i="12"/>
  <c r="H1163" i="12"/>
  <c r="H1164" i="12"/>
  <c r="H1165" i="12"/>
  <c r="H1166" i="12"/>
  <c r="H1167" i="12"/>
  <c r="H1168" i="12"/>
  <c r="H1169" i="12"/>
  <c r="H1170" i="12"/>
  <c r="H1171" i="12"/>
  <c r="H1172" i="12"/>
  <c r="H1173" i="12"/>
  <c r="H1174" i="12"/>
  <c r="H1175" i="12"/>
  <c r="H1176" i="12"/>
  <c r="H1177" i="12"/>
  <c r="H1178" i="12"/>
  <c r="H1179" i="12"/>
  <c r="H1180" i="12"/>
  <c r="H1181" i="12"/>
  <c r="H1182" i="12"/>
  <c r="H1183" i="12"/>
  <c r="H1184" i="12"/>
  <c r="H1185" i="12"/>
  <c r="H1186" i="12"/>
  <c r="H1187" i="12"/>
  <c r="H1188" i="12"/>
  <c r="H1189" i="12"/>
  <c r="H1190" i="12"/>
  <c r="H1191" i="12"/>
  <c r="H1192" i="12"/>
  <c r="H1193" i="12"/>
  <c r="H1194" i="12"/>
  <c r="H1195" i="12"/>
  <c r="H1196" i="12"/>
  <c r="H1197" i="12"/>
  <c r="H1198" i="12"/>
  <c r="H1199" i="12"/>
  <c r="H1200" i="12"/>
  <c r="H1201" i="12"/>
  <c r="H1202" i="12"/>
  <c r="H1203" i="12"/>
  <c r="H1204" i="12"/>
  <c r="H1205" i="12"/>
  <c r="H1206" i="12"/>
  <c r="H1207" i="12"/>
  <c r="H1208" i="12"/>
  <c r="H1209" i="12"/>
  <c r="H1210" i="12"/>
  <c r="H1211" i="12"/>
  <c r="H1212" i="12"/>
  <c r="H1213" i="12"/>
  <c r="H1214" i="12"/>
  <c r="H1215" i="12"/>
  <c r="H1216" i="12"/>
  <c r="H1217" i="12"/>
  <c r="H1218" i="12"/>
  <c r="H1219" i="12"/>
  <c r="H1220" i="12"/>
  <c r="H1221" i="12"/>
  <c r="H1222" i="12"/>
  <c r="H1223" i="12"/>
  <c r="H1224" i="12"/>
  <c r="H1225" i="12"/>
  <c r="H1226" i="12"/>
  <c r="H1227" i="12"/>
  <c r="H1228" i="12"/>
  <c r="H1229" i="12"/>
  <c r="H1230" i="12"/>
  <c r="H1231" i="12"/>
  <c r="H1232" i="12"/>
  <c r="H1233" i="12"/>
  <c r="H1234" i="12"/>
  <c r="H1235" i="12"/>
  <c r="H1236" i="12"/>
  <c r="H1237" i="12"/>
  <c r="H1238" i="12"/>
  <c r="H1239" i="12"/>
  <c r="H1240" i="12"/>
  <c r="H1241" i="12"/>
  <c r="H1242" i="12"/>
  <c r="H1243" i="12"/>
  <c r="H1244" i="12"/>
  <c r="H1245" i="12"/>
  <c r="H1246" i="12"/>
  <c r="H1247" i="12"/>
  <c r="H1248" i="12"/>
  <c r="H1249" i="12"/>
  <c r="H1250" i="12"/>
  <c r="H1251" i="12"/>
  <c r="H1252" i="12"/>
  <c r="H1253" i="12"/>
  <c r="H1254" i="12"/>
  <c r="H1255" i="12"/>
  <c r="H1256" i="12"/>
  <c r="H1257" i="12"/>
  <c r="H1258" i="12"/>
  <c r="H1259" i="12"/>
  <c r="H1260" i="12"/>
  <c r="H1261" i="12"/>
  <c r="H1262" i="12"/>
  <c r="H1263" i="12"/>
  <c r="H1264" i="12"/>
  <c r="H1265" i="12"/>
  <c r="H1266" i="12"/>
  <c r="H1267" i="12"/>
  <c r="H1268" i="12"/>
  <c r="H1269" i="12"/>
  <c r="H1270" i="12"/>
  <c r="H1271" i="12"/>
  <c r="H1272" i="12"/>
  <c r="H1273" i="12"/>
  <c r="H1274" i="12"/>
  <c r="H1275" i="12"/>
  <c r="H1276" i="12"/>
  <c r="H1277" i="12"/>
  <c r="H1278" i="12"/>
  <c r="H1279" i="12"/>
  <c r="H1280" i="12"/>
  <c r="H1281" i="12"/>
  <c r="H1282" i="12"/>
  <c r="H1283" i="12"/>
  <c r="H1284" i="12"/>
  <c r="H1285" i="12"/>
  <c r="H1286" i="12"/>
  <c r="H1287" i="12"/>
  <c r="H1288" i="12"/>
  <c r="H1289" i="12"/>
  <c r="H1290" i="12"/>
  <c r="H1291" i="12"/>
  <c r="H1292" i="12"/>
  <c r="H1293" i="12"/>
  <c r="H1294" i="12"/>
  <c r="H1295" i="12"/>
  <c r="H1296" i="12"/>
  <c r="H1297" i="12"/>
  <c r="H1298" i="12"/>
  <c r="H1299" i="12"/>
  <c r="H1300" i="12"/>
  <c r="H1301" i="12"/>
  <c r="H1302" i="12"/>
  <c r="H1303" i="12"/>
  <c r="H1304" i="12"/>
  <c r="H1305" i="12"/>
  <c r="H1306" i="12"/>
  <c r="H1307" i="12"/>
  <c r="H1308" i="12"/>
  <c r="H1309" i="12"/>
  <c r="H1310" i="12"/>
  <c r="H1311" i="12"/>
  <c r="H1312" i="12"/>
  <c r="H1313" i="12"/>
  <c r="H1314" i="12"/>
  <c r="H1315" i="12"/>
  <c r="H1316" i="12"/>
  <c r="H1317" i="12"/>
  <c r="H1318" i="12"/>
  <c r="H1319" i="12"/>
  <c r="H1320" i="12"/>
  <c r="H1321" i="12"/>
  <c r="H1322" i="12"/>
  <c r="H1323" i="12"/>
  <c r="H1324" i="12"/>
  <c r="H1325" i="12"/>
  <c r="H1326" i="12"/>
  <c r="H1327" i="12"/>
  <c r="H1328" i="12"/>
  <c r="H1329" i="12"/>
  <c r="H1330" i="12"/>
  <c r="H1331" i="12"/>
  <c r="H1332" i="12"/>
  <c r="H1333" i="12"/>
  <c r="H1334" i="12"/>
  <c r="H1335" i="12"/>
  <c r="H1336" i="12"/>
  <c r="H1337" i="12"/>
  <c r="H1338" i="12"/>
  <c r="H1339" i="12"/>
  <c r="H1340" i="12"/>
  <c r="H1341" i="12"/>
  <c r="H1342" i="12"/>
  <c r="H1343" i="12"/>
  <c r="H1344" i="12"/>
  <c r="H1345" i="12"/>
  <c r="H1346" i="12"/>
  <c r="H1347" i="12"/>
  <c r="H1348" i="12"/>
  <c r="H1349" i="12"/>
  <c r="H1350" i="12"/>
  <c r="H1351" i="12"/>
  <c r="H1352" i="12"/>
  <c r="H1353" i="12"/>
  <c r="H1354" i="12"/>
  <c r="H1355" i="12"/>
  <c r="H1356" i="12"/>
  <c r="H1357" i="12"/>
  <c r="H1358" i="12"/>
  <c r="H1359" i="12"/>
  <c r="H1360" i="12"/>
  <c r="H1361" i="12"/>
  <c r="H1362" i="12"/>
  <c r="H1363" i="12"/>
  <c r="H1364" i="12"/>
  <c r="H1365" i="12"/>
  <c r="H1366" i="12"/>
  <c r="H1367" i="12"/>
  <c r="H1368" i="12"/>
  <c r="H1369" i="12"/>
  <c r="H1370" i="12"/>
  <c r="H1371" i="12"/>
  <c r="H1372" i="12"/>
  <c r="H1373" i="12"/>
  <c r="H1374" i="12"/>
  <c r="H1375" i="12"/>
  <c r="H1376" i="12"/>
  <c r="H1377" i="12"/>
  <c r="H1378" i="12"/>
  <c r="H1379" i="12"/>
  <c r="H1380" i="12"/>
  <c r="H1381" i="12"/>
  <c r="H1382" i="12"/>
  <c r="H1383" i="12"/>
  <c r="H1384" i="12"/>
  <c r="H1385" i="12"/>
  <c r="H1386" i="12"/>
  <c r="H1387" i="12"/>
  <c r="H1388" i="12"/>
  <c r="H1389" i="12"/>
  <c r="H1390" i="12"/>
  <c r="H1391" i="12"/>
  <c r="H1392" i="12"/>
  <c r="H1393" i="12"/>
  <c r="H1394" i="12"/>
  <c r="H1395" i="12"/>
  <c r="H1396" i="12"/>
  <c r="H1397" i="12"/>
  <c r="H1398" i="12"/>
  <c r="H1399" i="12"/>
  <c r="H1400" i="12"/>
  <c r="H1401" i="12"/>
  <c r="H1402" i="12"/>
  <c r="H1403" i="12"/>
  <c r="H1404" i="12"/>
  <c r="H1405" i="12"/>
  <c r="H1406" i="12"/>
  <c r="H1407" i="12"/>
  <c r="H1408" i="12"/>
  <c r="H1409" i="12"/>
  <c r="H1410" i="12"/>
  <c r="H1411" i="12"/>
  <c r="H1412" i="12"/>
  <c r="H1413" i="12"/>
  <c r="H1414" i="12"/>
  <c r="H1415" i="12"/>
  <c r="H1416" i="12"/>
  <c r="H1417" i="12"/>
  <c r="H1418" i="12"/>
  <c r="H1419" i="12"/>
  <c r="H1420" i="12"/>
  <c r="H1421" i="12"/>
  <c r="H1422" i="12"/>
  <c r="H1423" i="12"/>
  <c r="H1424" i="12"/>
  <c r="H1425" i="12"/>
  <c r="H1426" i="12"/>
  <c r="H1427" i="12"/>
  <c r="H1428" i="12"/>
  <c r="H1429" i="12"/>
  <c r="H1430" i="12"/>
  <c r="H1431" i="12"/>
  <c r="H1432" i="12"/>
  <c r="H1433" i="12"/>
  <c r="H1434" i="12"/>
  <c r="H1435" i="12"/>
  <c r="H1436" i="12"/>
  <c r="H1437" i="12"/>
  <c r="H1438" i="12"/>
  <c r="H1439" i="12"/>
  <c r="H1440" i="12"/>
  <c r="H1441" i="12"/>
  <c r="H1442" i="12"/>
  <c r="H1443" i="12"/>
  <c r="H1444" i="12"/>
  <c r="H1445" i="12"/>
  <c r="H1446" i="12"/>
  <c r="H1447" i="12"/>
  <c r="H1448" i="12"/>
  <c r="H1449" i="12"/>
  <c r="H1450" i="12"/>
  <c r="H1451" i="12"/>
  <c r="H1452" i="12"/>
  <c r="H1453" i="12"/>
  <c r="H1454" i="12"/>
  <c r="H1455" i="12"/>
  <c r="H1456" i="12"/>
  <c r="H1457" i="12"/>
  <c r="H1458" i="12"/>
  <c r="H1459" i="12"/>
  <c r="H1460" i="12"/>
  <c r="H1461" i="12"/>
  <c r="H1462" i="12"/>
  <c r="H1463" i="12"/>
  <c r="H1464" i="12"/>
  <c r="H1465" i="12"/>
  <c r="H1466" i="12"/>
  <c r="H1467" i="12"/>
  <c r="H1468" i="12"/>
  <c r="H1469" i="12"/>
  <c r="H1470" i="12"/>
  <c r="H1471" i="12"/>
  <c r="H1472" i="12"/>
  <c r="H1473" i="12"/>
  <c r="H1474" i="12"/>
  <c r="H1475" i="12"/>
  <c r="H1476" i="12"/>
  <c r="H1477" i="12"/>
  <c r="H1478" i="12"/>
  <c r="H1479" i="12"/>
  <c r="H1480" i="12"/>
  <c r="H1481" i="12"/>
  <c r="H1482" i="12"/>
  <c r="H1483" i="12"/>
  <c r="H1484" i="12"/>
  <c r="H1485" i="12"/>
  <c r="H1486" i="12"/>
  <c r="H1487" i="12"/>
  <c r="H1488" i="12"/>
  <c r="H1489" i="12"/>
  <c r="H1490" i="12"/>
  <c r="H1491" i="12"/>
  <c r="H1492" i="12"/>
  <c r="H1493" i="12"/>
  <c r="H1494" i="12"/>
  <c r="H1495" i="12"/>
  <c r="H1496" i="12"/>
  <c r="H1497" i="12"/>
  <c r="H1498" i="12"/>
  <c r="H1499" i="12"/>
  <c r="H1500" i="12"/>
  <c r="H1501" i="12"/>
  <c r="H1502" i="12"/>
  <c r="H1503" i="12"/>
  <c r="H1504" i="12"/>
  <c r="H1505" i="12"/>
  <c r="H1506" i="12"/>
  <c r="H1507" i="12"/>
  <c r="H1508" i="12"/>
  <c r="H1509" i="12"/>
  <c r="H1510" i="12"/>
  <c r="H1511" i="12"/>
  <c r="H1512" i="12"/>
  <c r="H1513" i="12"/>
  <c r="H1514" i="12"/>
  <c r="H1515" i="12"/>
  <c r="H1516" i="12"/>
  <c r="H1517" i="12"/>
  <c r="H1518" i="12"/>
  <c r="H1519" i="12"/>
  <c r="H1520" i="12"/>
  <c r="H1521" i="12"/>
  <c r="H1522" i="12"/>
  <c r="H1523" i="12"/>
  <c r="H1524" i="12"/>
  <c r="H1525" i="12"/>
  <c r="H1526" i="12"/>
  <c r="H1527" i="12"/>
  <c r="H1528" i="12"/>
  <c r="H1529" i="12"/>
  <c r="H1530" i="12"/>
  <c r="H1531" i="12"/>
  <c r="H1532" i="12"/>
  <c r="H1533" i="12"/>
  <c r="H1534" i="12"/>
  <c r="H1535" i="12"/>
  <c r="H1536" i="12"/>
  <c r="H1537" i="12"/>
  <c r="H1538" i="12"/>
  <c r="H1539" i="12"/>
  <c r="H1540" i="12"/>
  <c r="H1541" i="12"/>
  <c r="H1542" i="12"/>
  <c r="H1543" i="12"/>
  <c r="H1544" i="12"/>
  <c r="H1545" i="12"/>
  <c r="H1546" i="12"/>
  <c r="H1547" i="12"/>
  <c r="H1548" i="12"/>
  <c r="H1549" i="12"/>
  <c r="H1550" i="12"/>
  <c r="H1551" i="12"/>
  <c r="H1552" i="12"/>
  <c r="H1553" i="12"/>
  <c r="H1554" i="12"/>
  <c r="H1555" i="12"/>
  <c r="H1556" i="12"/>
  <c r="H1557" i="12"/>
  <c r="H1558" i="12"/>
  <c r="H1559" i="12"/>
  <c r="H1560" i="12"/>
  <c r="H1561" i="12"/>
  <c r="H1562" i="12"/>
  <c r="H1563" i="12"/>
  <c r="H1564" i="12"/>
  <c r="H1565" i="12"/>
  <c r="H1566" i="12"/>
  <c r="H1567" i="12"/>
  <c r="H1568" i="12"/>
  <c r="H1569" i="12"/>
  <c r="H1570" i="12"/>
  <c r="H1571" i="12"/>
  <c r="H1572" i="12"/>
  <c r="H1573" i="12"/>
  <c r="H1574" i="12"/>
  <c r="H1575" i="12"/>
  <c r="H1576" i="12"/>
  <c r="H1577" i="12"/>
  <c r="H1578" i="12"/>
  <c r="H1579" i="12"/>
  <c r="H1580" i="12"/>
  <c r="H1581" i="12"/>
  <c r="H1582" i="12"/>
  <c r="H1583" i="12"/>
  <c r="H1584" i="12"/>
  <c r="H1585" i="12"/>
  <c r="H1586" i="12"/>
  <c r="H1587" i="12"/>
  <c r="H1588" i="12"/>
  <c r="H1589" i="12"/>
  <c r="H1590" i="12"/>
  <c r="H1591" i="12"/>
  <c r="H1592" i="12"/>
  <c r="H1593" i="12"/>
  <c r="H1594" i="12"/>
  <c r="H1595" i="12"/>
  <c r="H1596" i="12"/>
  <c r="H1597" i="12"/>
  <c r="H1598" i="12"/>
  <c r="H1599" i="12"/>
  <c r="H1600" i="12"/>
  <c r="H1601" i="12"/>
  <c r="H1602" i="12"/>
  <c r="H1603" i="12"/>
  <c r="H1604" i="12"/>
  <c r="H1605" i="12"/>
  <c r="H1606" i="12"/>
  <c r="H1607" i="12"/>
  <c r="H1608" i="12"/>
  <c r="H1609" i="12"/>
  <c r="H1610" i="12"/>
  <c r="H1611" i="12"/>
  <c r="H1612" i="12"/>
  <c r="H1613" i="12"/>
  <c r="H1614" i="12"/>
  <c r="H1615" i="12"/>
  <c r="H1616" i="12"/>
  <c r="H1617" i="12"/>
  <c r="H1618" i="12"/>
  <c r="H1619" i="12"/>
  <c r="H1620" i="12"/>
  <c r="H1621" i="12"/>
  <c r="H1622" i="12"/>
  <c r="H1623" i="12"/>
  <c r="H1624" i="12"/>
  <c r="H1625" i="12"/>
  <c r="H1626" i="12"/>
  <c r="H1627" i="12"/>
  <c r="H1628" i="12"/>
  <c r="H1629" i="12"/>
  <c r="H1630" i="12"/>
  <c r="H1631" i="12"/>
  <c r="H1632" i="12"/>
  <c r="H1633" i="12"/>
  <c r="H1634" i="12"/>
  <c r="H1635" i="12"/>
  <c r="H1636" i="12"/>
  <c r="H1637" i="12"/>
  <c r="H1638" i="12"/>
  <c r="H1639" i="12"/>
  <c r="H1640" i="12"/>
  <c r="H1641" i="12"/>
  <c r="H1642" i="12"/>
  <c r="H1643" i="12"/>
  <c r="H1644" i="12"/>
  <c r="H1645" i="12"/>
  <c r="H1646" i="12"/>
  <c r="H1647" i="12"/>
  <c r="H1648" i="12"/>
  <c r="H1649" i="12"/>
  <c r="H1650" i="12"/>
  <c r="H1651" i="12"/>
  <c r="H1652" i="12"/>
  <c r="H1653" i="12"/>
  <c r="H1654" i="12"/>
  <c r="H1655" i="12"/>
  <c r="H1656" i="12"/>
  <c r="H1657" i="12"/>
  <c r="H1658" i="12"/>
  <c r="H1659" i="12"/>
  <c r="H1660" i="12"/>
  <c r="H1661" i="12"/>
  <c r="H1662" i="12"/>
  <c r="H1663" i="12"/>
  <c r="H1664" i="12"/>
  <c r="H1665" i="12"/>
  <c r="H1666" i="12"/>
  <c r="H1667" i="12"/>
  <c r="H1668" i="12"/>
  <c r="H1669" i="12"/>
  <c r="H1670" i="12"/>
  <c r="H1671" i="12"/>
  <c r="H1672" i="12"/>
  <c r="H1673" i="12"/>
  <c r="H1674" i="12"/>
  <c r="H1675" i="12"/>
  <c r="H1676" i="12"/>
  <c r="H1677" i="12"/>
  <c r="H1678" i="12"/>
  <c r="H1679" i="12"/>
  <c r="H1680" i="12"/>
  <c r="H1681" i="12"/>
  <c r="H1682" i="12"/>
  <c r="H1683" i="12"/>
  <c r="H1684" i="12"/>
  <c r="H1685" i="12"/>
  <c r="H1686" i="12"/>
  <c r="H1687" i="12"/>
  <c r="H1688" i="12"/>
  <c r="H1689" i="12"/>
  <c r="H1690" i="12"/>
  <c r="H1691" i="12"/>
  <c r="H1692" i="12"/>
  <c r="H1693" i="12"/>
  <c r="H1694" i="12"/>
  <c r="H1695" i="12"/>
  <c r="H1696" i="12"/>
  <c r="H1697" i="12"/>
  <c r="H1698" i="12"/>
  <c r="H1699" i="12"/>
  <c r="H1700" i="12"/>
  <c r="H1701" i="12"/>
  <c r="H1702" i="12"/>
  <c r="H1703" i="12"/>
  <c r="H1704" i="12"/>
  <c r="H1705" i="12"/>
  <c r="H1706" i="12"/>
  <c r="H1707" i="12"/>
  <c r="H1708" i="12"/>
  <c r="H1709" i="12"/>
  <c r="H1710" i="12"/>
  <c r="H1711" i="12"/>
  <c r="H1712" i="12"/>
  <c r="H1713" i="12"/>
  <c r="H1714" i="12"/>
  <c r="H1715" i="12"/>
  <c r="H1716" i="12"/>
  <c r="H1717" i="12"/>
  <c r="H1718" i="12"/>
  <c r="H1719" i="12"/>
  <c r="H1720" i="12"/>
  <c r="H1721" i="12"/>
  <c r="H1722" i="12"/>
  <c r="H1723" i="12"/>
  <c r="H1724" i="12"/>
  <c r="H1725" i="12"/>
  <c r="H1726" i="12"/>
  <c r="H1727" i="12"/>
  <c r="H1728" i="12"/>
  <c r="H1729" i="12"/>
  <c r="H1730" i="12"/>
  <c r="H1731" i="12"/>
  <c r="H1732" i="12"/>
  <c r="H1733" i="12"/>
  <c r="H1734" i="12"/>
  <c r="H1735" i="12"/>
  <c r="H1736" i="12"/>
  <c r="H1737" i="12"/>
  <c r="H1738" i="12"/>
  <c r="H1739" i="12"/>
  <c r="H1740" i="12"/>
  <c r="H1741" i="12"/>
  <c r="H1742" i="12"/>
  <c r="H1743" i="12"/>
  <c r="H1744" i="12"/>
  <c r="H1745" i="12"/>
  <c r="H1746" i="12"/>
  <c r="H1747" i="12"/>
  <c r="H1748" i="12"/>
  <c r="H1749" i="12"/>
  <c r="H1750" i="12"/>
  <c r="H1751" i="12"/>
  <c r="H1752" i="12"/>
  <c r="H1753" i="12"/>
  <c r="H1754" i="12"/>
  <c r="H1755" i="12"/>
  <c r="H1756" i="12"/>
  <c r="H1757" i="12"/>
  <c r="H1758" i="12"/>
  <c r="H1759" i="12"/>
  <c r="H1760" i="12"/>
  <c r="H1761" i="12"/>
  <c r="H1762" i="12"/>
  <c r="H1763" i="12"/>
  <c r="H1764" i="12"/>
  <c r="H1765" i="12"/>
  <c r="H1766" i="12"/>
  <c r="H1767" i="12"/>
  <c r="H1768" i="12"/>
  <c r="H1769" i="12"/>
  <c r="H1770" i="12"/>
  <c r="H1771" i="12"/>
  <c r="H1772" i="12"/>
  <c r="H1773" i="12"/>
  <c r="H1774" i="12"/>
  <c r="H1775" i="12"/>
  <c r="H1776" i="12"/>
  <c r="H1777" i="12"/>
  <c r="H1778" i="12"/>
  <c r="H1779" i="12"/>
  <c r="H1780" i="12"/>
  <c r="H1781" i="12"/>
  <c r="H1782" i="12"/>
  <c r="H1783" i="12"/>
  <c r="H1784" i="12"/>
  <c r="H1785" i="12"/>
  <c r="H1786" i="12"/>
  <c r="H1787" i="12"/>
  <c r="H1788" i="12"/>
  <c r="H1789" i="12"/>
  <c r="H1790" i="12"/>
  <c r="H1791" i="12"/>
  <c r="H1792" i="12"/>
  <c r="H1793" i="12"/>
  <c r="H1794" i="12"/>
  <c r="H1795" i="12"/>
  <c r="H1796" i="12"/>
  <c r="H1797" i="12"/>
  <c r="H1798" i="12"/>
  <c r="H1799" i="12"/>
  <c r="H1800" i="12"/>
  <c r="H1801" i="12"/>
  <c r="H1802" i="12"/>
  <c r="H1803" i="12"/>
  <c r="H1804" i="12"/>
  <c r="H1805" i="12"/>
  <c r="H1806" i="12"/>
  <c r="H1807" i="12"/>
  <c r="H1808" i="12"/>
  <c r="H1809" i="12"/>
  <c r="H1810" i="12"/>
  <c r="H1811" i="12"/>
  <c r="H1812" i="12"/>
  <c r="H1813" i="12"/>
  <c r="H1814" i="12"/>
  <c r="H1815" i="12"/>
  <c r="H1816" i="12"/>
  <c r="H1817" i="12"/>
  <c r="H1818" i="12"/>
  <c r="H1819" i="12"/>
  <c r="H1820" i="12"/>
  <c r="H1821" i="12"/>
  <c r="H1822" i="12"/>
  <c r="H1823" i="12"/>
  <c r="H1824" i="12"/>
  <c r="H1825" i="12"/>
  <c r="H1826" i="12"/>
  <c r="H1827" i="12"/>
  <c r="H1828" i="12"/>
  <c r="H1829" i="12"/>
  <c r="H1830" i="12"/>
  <c r="H1831" i="12"/>
  <c r="H1832" i="12"/>
  <c r="H1833" i="12"/>
  <c r="H1834" i="12"/>
  <c r="H1835" i="12"/>
  <c r="H1836" i="12"/>
  <c r="H1837" i="12"/>
  <c r="H1838" i="12"/>
  <c r="H1839" i="12"/>
  <c r="H1840" i="12"/>
  <c r="H1841" i="12"/>
  <c r="H1842" i="12"/>
  <c r="H1843" i="12"/>
  <c r="H1844" i="12"/>
  <c r="H1845" i="12"/>
  <c r="H1846" i="12"/>
  <c r="H1847" i="12"/>
  <c r="H1848" i="12"/>
  <c r="H1849" i="12"/>
  <c r="H1850" i="12"/>
  <c r="H1851" i="12"/>
  <c r="H1852" i="12"/>
  <c r="H1853" i="12"/>
  <c r="H1854" i="12"/>
  <c r="H1855" i="12"/>
  <c r="H1856" i="12"/>
  <c r="H1857" i="12"/>
  <c r="H1858" i="12"/>
  <c r="H1859" i="12"/>
  <c r="H1860" i="12"/>
  <c r="H1861" i="12"/>
  <c r="H1862" i="12"/>
  <c r="H1863" i="12"/>
  <c r="H1864" i="12"/>
  <c r="H1865" i="12"/>
  <c r="H1866" i="12"/>
  <c r="H1867" i="12"/>
  <c r="H1868" i="12"/>
  <c r="H1869" i="12"/>
  <c r="H1870" i="12"/>
  <c r="H1871" i="12"/>
  <c r="H1872" i="12"/>
  <c r="H1873" i="12"/>
  <c r="H1874" i="12"/>
  <c r="H1875" i="12"/>
  <c r="H1876" i="12"/>
  <c r="H1877" i="12"/>
  <c r="H1878" i="12"/>
  <c r="H1879" i="12"/>
  <c r="H1880" i="12"/>
  <c r="H1881" i="12"/>
  <c r="H1882" i="12"/>
  <c r="H1883" i="12"/>
  <c r="H1884" i="12"/>
  <c r="H1885" i="12"/>
  <c r="H1886" i="12"/>
  <c r="H1887" i="12"/>
  <c r="H1888" i="12"/>
  <c r="H1889" i="12"/>
  <c r="H1890" i="12"/>
  <c r="H1891" i="12"/>
  <c r="H1892" i="12"/>
  <c r="H1893" i="12"/>
  <c r="H1894" i="12"/>
  <c r="H1895" i="12"/>
  <c r="H1896" i="12"/>
  <c r="H1897" i="12"/>
  <c r="H1898" i="12"/>
  <c r="H1899" i="12"/>
  <c r="H1900" i="12"/>
  <c r="H1901" i="12"/>
  <c r="H1902" i="12"/>
  <c r="H1903" i="12"/>
  <c r="H1904" i="12"/>
  <c r="H1905" i="12"/>
  <c r="H1906" i="12"/>
  <c r="H1907" i="12"/>
  <c r="H1908" i="12"/>
  <c r="H1909" i="12"/>
  <c r="H1910" i="12"/>
  <c r="H1911" i="12"/>
  <c r="H1912" i="12"/>
  <c r="H1913" i="12"/>
  <c r="H1914" i="12"/>
  <c r="H1915" i="12"/>
  <c r="H1916" i="12"/>
  <c r="H1917" i="12"/>
  <c r="H1918" i="12"/>
  <c r="H1919" i="12"/>
  <c r="H1920" i="12"/>
  <c r="H1921" i="12"/>
  <c r="H1922" i="12"/>
  <c r="H1923" i="12"/>
  <c r="H1924" i="12"/>
  <c r="H1925" i="12"/>
  <c r="H1926" i="12"/>
  <c r="H1927" i="12"/>
  <c r="H1928" i="12"/>
  <c r="H1929" i="12"/>
  <c r="H1930" i="12"/>
  <c r="H1931" i="12"/>
  <c r="H1932" i="12"/>
  <c r="H1933" i="12"/>
  <c r="H1934" i="12"/>
  <c r="H1935" i="12"/>
  <c r="H1936" i="12"/>
  <c r="H1937" i="12"/>
  <c r="H1938" i="12"/>
  <c r="H1939" i="12"/>
  <c r="H1940" i="12"/>
  <c r="H1941" i="12"/>
  <c r="H1942" i="12"/>
  <c r="H1943" i="12"/>
  <c r="H1944" i="12"/>
  <c r="H1945" i="12"/>
  <c r="H1946" i="12"/>
  <c r="H1947" i="12"/>
  <c r="H1948" i="12"/>
  <c r="H1949" i="12"/>
  <c r="H1950" i="12"/>
  <c r="H1951" i="12"/>
  <c r="H1952" i="12"/>
  <c r="H1953" i="12"/>
  <c r="H1954" i="12"/>
  <c r="H1955" i="12"/>
  <c r="H1956" i="12"/>
  <c r="H1957" i="12"/>
  <c r="H1958" i="12"/>
  <c r="H1959" i="12"/>
  <c r="H1960" i="12"/>
  <c r="H1961" i="12"/>
  <c r="H1962" i="12"/>
  <c r="H1963" i="12"/>
  <c r="H1964" i="12"/>
  <c r="H1965" i="12"/>
  <c r="H1966" i="12"/>
  <c r="H1967" i="12"/>
  <c r="H1968" i="12"/>
  <c r="H1969" i="12"/>
  <c r="H1970" i="12"/>
  <c r="H1971" i="12"/>
  <c r="H1972" i="12"/>
  <c r="H1973" i="12"/>
  <c r="H1974" i="12"/>
  <c r="H1975" i="12"/>
  <c r="H1976" i="12"/>
  <c r="H1977" i="12"/>
  <c r="H1978" i="12"/>
  <c r="H1979" i="12"/>
  <c r="H1980" i="12"/>
  <c r="H1981" i="12"/>
  <c r="H1982" i="12"/>
  <c r="H1983" i="12"/>
  <c r="H1984" i="12"/>
  <c r="H1985" i="12"/>
  <c r="H1986" i="12"/>
  <c r="H1987" i="12"/>
  <c r="H1988" i="12"/>
  <c r="H1989" i="12"/>
  <c r="H1990" i="12"/>
  <c r="H1991" i="12"/>
  <c r="H1992" i="12"/>
  <c r="H1993" i="12"/>
  <c r="H1994" i="12"/>
  <c r="H1995" i="12"/>
  <c r="H1996" i="12"/>
  <c r="H1997" i="12"/>
  <c r="H1998" i="12"/>
  <c r="H1999" i="12"/>
  <c r="H2000" i="12"/>
  <c r="H2001" i="12"/>
  <c r="H2002" i="12"/>
  <c r="H2003" i="12"/>
  <c r="H2004" i="12"/>
  <c r="H2005" i="12"/>
  <c r="H2006" i="12"/>
  <c r="H2007" i="12"/>
  <c r="H2008" i="12"/>
  <c r="H2009" i="12"/>
  <c r="H2010" i="12"/>
  <c r="H2011" i="12"/>
  <c r="H2012" i="12"/>
  <c r="H2013" i="12"/>
  <c r="H2014" i="12"/>
  <c r="H2015" i="12"/>
  <c r="H2016" i="12"/>
  <c r="H2017" i="12"/>
  <c r="H2018" i="12"/>
  <c r="H2019" i="12"/>
  <c r="H2020" i="12"/>
  <c r="H2021" i="12"/>
  <c r="H2022" i="12"/>
  <c r="H2023" i="12"/>
  <c r="H2024" i="12"/>
  <c r="H2025" i="12"/>
  <c r="H2026" i="12"/>
  <c r="H2027" i="12"/>
  <c r="H2028" i="12"/>
  <c r="H2029" i="12"/>
  <c r="H2030" i="12"/>
  <c r="H2031" i="12"/>
  <c r="H2032" i="12"/>
  <c r="H2033" i="12"/>
  <c r="H2034" i="12"/>
  <c r="H2035" i="12"/>
  <c r="H2036" i="12"/>
  <c r="H2037" i="12"/>
  <c r="H2038" i="12"/>
  <c r="H2039" i="12"/>
  <c r="H2040" i="12"/>
  <c r="H2041" i="12"/>
  <c r="H2042" i="12"/>
  <c r="H2043" i="12"/>
  <c r="H2044" i="12"/>
  <c r="H2045" i="12"/>
  <c r="H2046" i="12"/>
  <c r="H2047" i="12"/>
  <c r="H2048" i="12"/>
  <c r="H2049" i="12"/>
  <c r="H2050" i="12"/>
  <c r="H2051" i="12"/>
  <c r="H2052" i="12"/>
  <c r="H2053" i="12"/>
  <c r="H2054" i="12"/>
  <c r="H2055" i="12"/>
  <c r="H2056" i="12"/>
  <c r="H2057" i="12"/>
  <c r="H2058" i="12"/>
  <c r="H2059" i="12"/>
  <c r="H2060" i="12"/>
  <c r="H2061" i="12"/>
  <c r="H2062" i="12"/>
  <c r="H2063" i="12"/>
  <c r="H2064" i="12"/>
  <c r="H2065" i="12"/>
  <c r="H2066" i="12"/>
  <c r="H2067" i="12"/>
  <c r="H2068" i="12"/>
  <c r="H2069" i="12"/>
  <c r="H2070" i="12"/>
  <c r="H2071" i="12"/>
  <c r="H2072" i="12"/>
  <c r="H2073" i="12"/>
  <c r="H2074" i="12"/>
  <c r="H2075" i="12"/>
  <c r="H2076" i="12"/>
  <c r="H2077" i="12"/>
  <c r="H2078" i="12"/>
  <c r="H2079" i="12"/>
  <c r="H2080" i="12"/>
  <c r="H2081" i="12"/>
  <c r="H2082" i="12"/>
  <c r="H2083" i="12"/>
  <c r="H2084" i="12"/>
  <c r="H2085" i="12"/>
  <c r="H2086" i="12"/>
  <c r="H2087" i="12"/>
  <c r="H2088" i="12"/>
  <c r="H2089" i="12"/>
  <c r="H2090" i="12"/>
  <c r="H2091" i="12"/>
  <c r="H2092" i="12"/>
  <c r="H2093" i="12"/>
  <c r="H2094" i="12"/>
  <c r="H2095" i="12"/>
  <c r="H2096" i="12"/>
  <c r="H2097" i="12"/>
  <c r="H2098" i="12"/>
  <c r="H2099" i="12"/>
  <c r="H2100" i="12"/>
  <c r="H2101" i="12"/>
  <c r="H2102" i="12"/>
  <c r="H2103" i="12"/>
  <c r="H2104" i="12"/>
  <c r="H2105" i="12"/>
  <c r="H2106" i="12"/>
  <c r="H2107" i="12"/>
  <c r="H2108" i="12"/>
  <c r="H2109" i="12"/>
  <c r="H2110" i="12"/>
  <c r="H2111" i="12"/>
  <c r="H2112" i="12"/>
  <c r="H2113" i="12"/>
  <c r="H2114" i="12"/>
  <c r="H2115" i="12"/>
  <c r="H2116" i="12"/>
  <c r="H2117" i="12"/>
  <c r="H2118" i="12"/>
  <c r="H2119" i="12"/>
  <c r="H2120" i="12"/>
  <c r="H2121" i="12"/>
  <c r="H2122" i="12"/>
  <c r="H2123" i="12"/>
  <c r="H2124" i="12"/>
  <c r="H2125" i="12"/>
  <c r="H2126" i="12"/>
  <c r="H2127" i="12"/>
  <c r="H2128" i="12"/>
  <c r="H2129" i="12"/>
  <c r="H2130" i="12"/>
  <c r="H2131" i="12"/>
  <c r="H2132" i="12"/>
  <c r="H2133" i="12"/>
  <c r="H2134" i="12"/>
  <c r="H2135" i="12"/>
  <c r="H2136" i="12"/>
  <c r="H2137" i="12"/>
  <c r="H2138" i="12"/>
  <c r="H2139" i="12"/>
  <c r="H2140" i="12"/>
  <c r="H2141" i="12"/>
  <c r="H2142" i="12"/>
  <c r="H2143" i="12"/>
  <c r="H2144" i="12"/>
  <c r="H2145" i="12"/>
  <c r="H2146" i="12"/>
  <c r="H2147" i="12"/>
  <c r="H2148" i="12"/>
  <c r="H2149" i="12"/>
  <c r="H2150" i="12"/>
  <c r="H2151" i="12"/>
  <c r="H2152" i="12"/>
  <c r="H2153" i="12"/>
  <c r="H2154" i="12"/>
  <c r="H2155" i="12"/>
  <c r="H2156" i="12"/>
  <c r="H2157" i="12"/>
  <c r="H2158" i="12"/>
  <c r="H2159" i="12"/>
  <c r="H2160" i="12"/>
  <c r="H2161" i="12"/>
  <c r="H2162" i="12"/>
  <c r="H2163" i="12"/>
  <c r="H2164" i="12"/>
  <c r="H2165" i="12"/>
  <c r="H2166" i="12"/>
  <c r="H2167" i="12"/>
  <c r="H2168" i="12"/>
  <c r="H2169" i="12"/>
  <c r="H2170" i="12"/>
  <c r="H2171" i="12"/>
  <c r="H2172" i="12"/>
  <c r="H2173" i="12"/>
  <c r="H2174" i="12"/>
  <c r="H2175" i="12"/>
  <c r="H2176" i="12"/>
  <c r="H2177" i="12"/>
  <c r="H2178" i="12"/>
  <c r="H2179" i="12"/>
  <c r="H2180" i="12"/>
  <c r="H2181" i="12"/>
  <c r="H2182" i="12"/>
  <c r="H2183" i="12"/>
  <c r="H2184" i="12"/>
  <c r="H2185" i="12"/>
  <c r="H2186" i="12"/>
  <c r="H2187" i="12"/>
  <c r="H2188" i="12"/>
  <c r="H2189" i="12"/>
  <c r="H2190" i="12"/>
  <c r="H2191" i="12"/>
  <c r="H2192" i="12"/>
  <c r="H2193" i="12"/>
  <c r="H2194" i="12"/>
  <c r="H2195" i="12"/>
  <c r="H2196" i="12"/>
  <c r="H2197" i="12"/>
  <c r="H2198" i="12"/>
  <c r="H2199" i="12"/>
  <c r="H2200" i="12"/>
  <c r="H2201" i="12"/>
  <c r="H2202" i="12"/>
  <c r="H2203" i="12"/>
  <c r="H2204" i="12"/>
  <c r="H2205" i="12"/>
  <c r="H2206" i="12"/>
  <c r="H2207" i="12"/>
  <c r="H2208" i="12"/>
  <c r="H2209" i="12"/>
  <c r="H2210" i="12"/>
  <c r="H2211" i="12"/>
  <c r="H2212" i="12"/>
  <c r="H2213" i="12"/>
  <c r="H2214" i="12"/>
  <c r="H2215" i="12"/>
  <c r="H2216" i="12"/>
  <c r="H2217" i="12"/>
  <c r="H2218" i="12"/>
  <c r="H2219" i="12"/>
  <c r="H2220" i="12"/>
  <c r="H2221" i="12"/>
  <c r="H2222" i="12"/>
  <c r="H2223" i="12"/>
  <c r="H2224" i="12"/>
  <c r="H2225" i="12"/>
  <c r="H2226" i="12"/>
  <c r="H2227" i="12"/>
  <c r="H2228" i="12"/>
  <c r="H2229" i="12"/>
  <c r="H2230" i="12"/>
  <c r="H2231" i="12"/>
  <c r="H2232" i="12"/>
  <c r="H2233" i="12"/>
  <c r="H2234" i="12"/>
  <c r="H2235" i="12"/>
  <c r="H2236" i="12"/>
  <c r="H2237" i="12"/>
  <c r="H2238" i="12"/>
  <c r="H2239" i="12"/>
  <c r="H2240" i="12"/>
  <c r="H2241" i="12"/>
  <c r="H2242" i="12"/>
  <c r="H2243" i="12"/>
  <c r="H2244" i="12"/>
  <c r="H2245" i="12"/>
  <c r="H2246" i="12"/>
  <c r="H2247" i="12"/>
  <c r="H2248" i="12"/>
  <c r="H2249" i="12"/>
  <c r="H2250" i="12"/>
  <c r="H2251" i="12"/>
  <c r="H2252" i="12"/>
  <c r="H2253" i="12"/>
  <c r="H2254" i="12"/>
  <c r="H2255" i="12"/>
  <c r="H2256" i="12"/>
  <c r="H2257" i="12"/>
  <c r="H2258" i="12"/>
  <c r="H2259" i="12"/>
  <c r="H2260" i="12"/>
  <c r="H2261" i="12"/>
  <c r="H2262" i="12"/>
  <c r="H2263" i="12"/>
  <c r="H2264" i="12"/>
  <c r="H2265" i="12"/>
  <c r="H2266" i="12"/>
  <c r="H2267" i="12"/>
  <c r="H2268" i="12"/>
  <c r="H2269" i="12"/>
  <c r="H2270" i="12"/>
  <c r="H2271" i="12"/>
  <c r="H2272" i="12"/>
  <c r="H2273" i="12"/>
  <c r="K386" i="11" s="1"/>
  <c r="H2274" i="12"/>
  <c r="H2275" i="12"/>
  <c r="H2276" i="12"/>
  <c r="H2277" i="12"/>
  <c r="H2278" i="12"/>
  <c r="H2279" i="12"/>
  <c r="H2280" i="12"/>
  <c r="H2281" i="12"/>
  <c r="H2282" i="12"/>
  <c r="H2283" i="12"/>
  <c r="H2284" i="12"/>
  <c r="H2285" i="12"/>
  <c r="H2286" i="12"/>
  <c r="H2287" i="12"/>
  <c r="H2288" i="12"/>
  <c r="H2289" i="12"/>
  <c r="H2290" i="12"/>
  <c r="H2291" i="12"/>
  <c r="H2292" i="12"/>
  <c r="H2293" i="12"/>
  <c r="H2294" i="12"/>
  <c r="H2295" i="12"/>
  <c r="H2296" i="12"/>
  <c r="H2297" i="12"/>
  <c r="H2298" i="12"/>
  <c r="H2299" i="12"/>
  <c r="H2300" i="12"/>
  <c r="H2301" i="12"/>
  <c r="H2302" i="12"/>
  <c r="H2303" i="12"/>
  <c r="H2304" i="12"/>
  <c r="H2305" i="12"/>
  <c r="H2306" i="12"/>
  <c r="H2307" i="12"/>
  <c r="H2308" i="12"/>
  <c r="H2309" i="12"/>
  <c r="H2310" i="12"/>
  <c r="H2311" i="12"/>
  <c r="H2312" i="12"/>
  <c r="H2313" i="12"/>
  <c r="H2314" i="12"/>
  <c r="H2315" i="12"/>
  <c r="H2316" i="12"/>
  <c r="H2317" i="12"/>
  <c r="H2318" i="12"/>
  <c r="H2319" i="12"/>
  <c r="H2320" i="12"/>
  <c r="H2321" i="12"/>
  <c r="H2322" i="12"/>
  <c r="H2323" i="12"/>
  <c r="H2324" i="12"/>
  <c r="H2325" i="12"/>
  <c r="H2326" i="12"/>
  <c r="H2327" i="12"/>
  <c r="H2328" i="12"/>
  <c r="H2329" i="12"/>
  <c r="H2330" i="12"/>
  <c r="H2331" i="12"/>
  <c r="H2332" i="12"/>
  <c r="H2333" i="12"/>
  <c r="H2334" i="12"/>
  <c r="H2335" i="12"/>
  <c r="H2336" i="12"/>
  <c r="H2337" i="12"/>
  <c r="H2338" i="12"/>
  <c r="H2339" i="12"/>
  <c r="H2340" i="12"/>
  <c r="H2341" i="12"/>
  <c r="H2342" i="12"/>
  <c r="H2343" i="12"/>
  <c r="H2344" i="12"/>
  <c r="H2345" i="12"/>
  <c r="H2346" i="12"/>
  <c r="H2347" i="12"/>
  <c r="H2348" i="12"/>
  <c r="H2349" i="12"/>
  <c r="H2350" i="12"/>
  <c r="H2351" i="12"/>
  <c r="H2352" i="12"/>
  <c r="H2353" i="12"/>
  <c r="H2354" i="12"/>
  <c r="H2355" i="12"/>
  <c r="H2356" i="12"/>
  <c r="H2357" i="12"/>
  <c r="H2358" i="12"/>
  <c r="H2359" i="12"/>
  <c r="H2360" i="12"/>
  <c r="H2361" i="12"/>
  <c r="H2362" i="12"/>
  <c r="H2363" i="12"/>
  <c r="H2364" i="12"/>
  <c r="H2365" i="12"/>
  <c r="H2366" i="12"/>
  <c r="H2367" i="12"/>
  <c r="H2368" i="12"/>
  <c r="H2369" i="12"/>
  <c r="H2370" i="12"/>
  <c r="H2371" i="12"/>
  <c r="H2372" i="12"/>
  <c r="H2373" i="12"/>
  <c r="H2374" i="12"/>
  <c r="H2375" i="12"/>
  <c r="H2376" i="12"/>
  <c r="H2377" i="12"/>
  <c r="H2378" i="12"/>
  <c r="H2379" i="12"/>
  <c r="H2380" i="12"/>
  <c r="H2381" i="12"/>
  <c r="H2382" i="12"/>
  <c r="H2383" i="12"/>
  <c r="H2384" i="12"/>
  <c r="H2385" i="12"/>
  <c r="H2386" i="12"/>
  <c r="H2387" i="12"/>
  <c r="H2388" i="12"/>
  <c r="H2389" i="12"/>
  <c r="H2390" i="12"/>
  <c r="H2391" i="12"/>
  <c r="H2392" i="12"/>
  <c r="H2393" i="12"/>
  <c r="H2394" i="12"/>
  <c r="H2395" i="12"/>
  <c r="H2396" i="12"/>
  <c r="H2397" i="12"/>
  <c r="H2398" i="12"/>
  <c r="H2399" i="12"/>
  <c r="H2400" i="12"/>
  <c r="H2401" i="12"/>
  <c r="H2402" i="12"/>
  <c r="H2403" i="12"/>
  <c r="H2404" i="12"/>
  <c r="H2405" i="12"/>
  <c r="H2406" i="12"/>
  <c r="H2407" i="12"/>
  <c r="H2408" i="12"/>
  <c r="H2409" i="12"/>
  <c r="H2410" i="12"/>
  <c r="H2411" i="12"/>
  <c r="H2412" i="12"/>
  <c r="H2413" i="12"/>
  <c r="H2414" i="12"/>
  <c r="H2415" i="12"/>
  <c r="H2416" i="12"/>
  <c r="H2417" i="12"/>
  <c r="H2418" i="12"/>
  <c r="H2419" i="12"/>
  <c r="H2420" i="12"/>
  <c r="H2421" i="12"/>
  <c r="H2422" i="12"/>
  <c r="H2423" i="12"/>
  <c r="H2424" i="12"/>
  <c r="H2425" i="12"/>
  <c r="H2426" i="12"/>
  <c r="H2427" i="12"/>
  <c r="H2428" i="12"/>
  <c r="H2429" i="12"/>
  <c r="H2430" i="12"/>
  <c r="H2431" i="12"/>
  <c r="H2432" i="12"/>
  <c r="H2433" i="12"/>
  <c r="H2434" i="12"/>
  <c r="H2435" i="12"/>
  <c r="H2436" i="12"/>
  <c r="H2437" i="12"/>
  <c r="H2438" i="12"/>
  <c r="H2439" i="12"/>
  <c r="H2440" i="12"/>
  <c r="H2441" i="12"/>
  <c r="H2442" i="12"/>
  <c r="H2443" i="12"/>
  <c r="H2444" i="12"/>
  <c r="H2445" i="12"/>
  <c r="H2446" i="12"/>
  <c r="H2447" i="12"/>
  <c r="H2448" i="12"/>
  <c r="H2449" i="12"/>
  <c r="H2450" i="12"/>
  <c r="H2451" i="12"/>
  <c r="H2452" i="12"/>
  <c r="H2453" i="12"/>
  <c r="H2454" i="12"/>
  <c r="H2455" i="12"/>
  <c r="H2456" i="12"/>
  <c r="H2457" i="12"/>
  <c r="H2458" i="12"/>
  <c r="H2459" i="12"/>
  <c r="H2460" i="12"/>
  <c r="H2461" i="12"/>
  <c r="H2462" i="12"/>
  <c r="H2463" i="12"/>
  <c r="H2464" i="12"/>
  <c r="H2465" i="12"/>
  <c r="H2466" i="12"/>
  <c r="H2467" i="12"/>
  <c r="H2468" i="12"/>
  <c r="H2469" i="12"/>
  <c r="H2470" i="12"/>
  <c r="H2471" i="12"/>
  <c r="H2472" i="12"/>
  <c r="H2473" i="12"/>
  <c r="H2474" i="12"/>
  <c r="H2475" i="12"/>
  <c r="H2476" i="12"/>
  <c r="H2477" i="12"/>
  <c r="H2478" i="12"/>
  <c r="H2479" i="12"/>
  <c r="H2480" i="12"/>
  <c r="H2481" i="12"/>
  <c r="H2482" i="12"/>
  <c r="H2483" i="12"/>
  <c r="H2484" i="12"/>
  <c r="H2485" i="12"/>
  <c r="H2486" i="12"/>
  <c r="H2487" i="12"/>
  <c r="H2488" i="12"/>
  <c r="H2489" i="12"/>
  <c r="H2490" i="12"/>
  <c r="H2491" i="12"/>
  <c r="H2492" i="12"/>
  <c r="H2493" i="12"/>
  <c r="H2494" i="12"/>
  <c r="H2495" i="12"/>
  <c r="H2496" i="12"/>
  <c r="H2497" i="12"/>
  <c r="H2498" i="12"/>
  <c r="H2499" i="12"/>
  <c r="H2500" i="12"/>
  <c r="H2501" i="12"/>
  <c r="H2502" i="12"/>
  <c r="H2503" i="12"/>
  <c r="H2504" i="12"/>
  <c r="H2505" i="12"/>
  <c r="H2506" i="12"/>
  <c r="H2507" i="12"/>
  <c r="H2508" i="12"/>
  <c r="H2509" i="12"/>
  <c r="H2510" i="12"/>
  <c r="H2511" i="12"/>
  <c r="H2512" i="12"/>
  <c r="H2513" i="12"/>
  <c r="H2514" i="12"/>
  <c r="H2515" i="12"/>
  <c r="H2516" i="12"/>
  <c r="H2517" i="12"/>
  <c r="H2518" i="12"/>
  <c r="H2519" i="12"/>
  <c r="H2520" i="12"/>
  <c r="H2521" i="12"/>
  <c r="H2522" i="12"/>
  <c r="H2523" i="12"/>
  <c r="H2524" i="12"/>
  <c r="H2525" i="12"/>
  <c r="H2526" i="12"/>
  <c r="H2527" i="12"/>
  <c r="H2528" i="12"/>
  <c r="H2529" i="12"/>
  <c r="H2530" i="12"/>
  <c r="H2531" i="12"/>
  <c r="H2532" i="12"/>
  <c r="H2533" i="12"/>
  <c r="H2534" i="12"/>
  <c r="H2535" i="12"/>
  <c r="H2536" i="12"/>
  <c r="H2537" i="12"/>
  <c r="H2538" i="12"/>
  <c r="H2539" i="12"/>
  <c r="H2540" i="12"/>
  <c r="H2541" i="12"/>
  <c r="H2542" i="12"/>
  <c r="H2543" i="12"/>
  <c r="H2544" i="12"/>
  <c r="H2545" i="12"/>
  <c r="H2546" i="12"/>
  <c r="H2547" i="12"/>
  <c r="H2548" i="12"/>
  <c r="H2549" i="12"/>
  <c r="H2550" i="12"/>
  <c r="H2551" i="12"/>
  <c r="H2552" i="12"/>
  <c r="H2553" i="12"/>
  <c r="H2554" i="12"/>
  <c r="H2555" i="12"/>
  <c r="H2556" i="12"/>
  <c r="H2557" i="12"/>
  <c r="H2558" i="12"/>
  <c r="H2559" i="12"/>
  <c r="H2560" i="12"/>
  <c r="H2561" i="12"/>
  <c r="H2562" i="12"/>
  <c r="H2563" i="12"/>
  <c r="H2564" i="12"/>
  <c r="H2565" i="12"/>
  <c r="H2566" i="12"/>
  <c r="H2567" i="12"/>
  <c r="H2568" i="12"/>
  <c r="H2569" i="12"/>
  <c r="H2570" i="12"/>
  <c r="H2571" i="12"/>
  <c r="H2572" i="12"/>
  <c r="H2573" i="12"/>
  <c r="H2574" i="12"/>
  <c r="H2575" i="12"/>
  <c r="H2576" i="12"/>
  <c r="H2577" i="12"/>
  <c r="H2578" i="12"/>
  <c r="H2579" i="12"/>
  <c r="H2580" i="12"/>
  <c r="H2581" i="12"/>
  <c r="H2582" i="12"/>
  <c r="H2583" i="12"/>
  <c r="H2584" i="12"/>
  <c r="H2585" i="12"/>
  <c r="H2586" i="12"/>
  <c r="H2587" i="12"/>
  <c r="H2588" i="12"/>
  <c r="H2589" i="12"/>
  <c r="H2590" i="12"/>
  <c r="H2591" i="12"/>
  <c r="H2592" i="12"/>
  <c r="H2593" i="12"/>
  <c r="H2594" i="12"/>
  <c r="H2595" i="12"/>
  <c r="H2596" i="12"/>
  <c r="H2597" i="12"/>
  <c r="H2598" i="12"/>
  <c r="H2599" i="12"/>
  <c r="H2600" i="12"/>
  <c r="H2601" i="12"/>
  <c r="H2602" i="12"/>
  <c r="H2603" i="12"/>
  <c r="H2604" i="12"/>
  <c r="H2605" i="12"/>
  <c r="H2606" i="12"/>
  <c r="H2607" i="12"/>
  <c r="H2608" i="12"/>
  <c r="H2609" i="12"/>
  <c r="H2610" i="12"/>
  <c r="H2611" i="12"/>
  <c r="H2612" i="12"/>
  <c r="H2613" i="12"/>
  <c r="H2614" i="12"/>
  <c r="H2615" i="12"/>
  <c r="H2616" i="12"/>
  <c r="H2617" i="12"/>
  <c r="H2618" i="12"/>
  <c r="H2619" i="12"/>
  <c r="H2620" i="12"/>
  <c r="H2621" i="12"/>
  <c r="H2622" i="12"/>
  <c r="H2623" i="12"/>
  <c r="H2624" i="12"/>
  <c r="H2625" i="12"/>
  <c r="H2626" i="12"/>
  <c r="H2627" i="12"/>
  <c r="H2628" i="12"/>
  <c r="H2629" i="12"/>
  <c r="H2630" i="12"/>
  <c r="H2631" i="12"/>
  <c r="H2632" i="12"/>
  <c r="H2633" i="12"/>
  <c r="H2634" i="12"/>
  <c r="H2635" i="12"/>
  <c r="H2636" i="12"/>
  <c r="H2637" i="12"/>
  <c r="H2638" i="12"/>
  <c r="H2639" i="12"/>
  <c r="H2640" i="12"/>
  <c r="H2641" i="12"/>
  <c r="H2642" i="12"/>
  <c r="H2643" i="12"/>
  <c r="H2644" i="12"/>
  <c r="H2645" i="12"/>
  <c r="H2646" i="12"/>
  <c r="H2647" i="12"/>
  <c r="H2648" i="12"/>
  <c r="H2649" i="12"/>
  <c r="H2650" i="12"/>
  <c r="H2651" i="12"/>
  <c r="H2652" i="12"/>
  <c r="H2653" i="12"/>
  <c r="H2654" i="12"/>
  <c r="H2655" i="12"/>
  <c r="H2656" i="12"/>
  <c r="H2657" i="12"/>
  <c r="H2658" i="12"/>
  <c r="H2659" i="12"/>
  <c r="H2660" i="12"/>
  <c r="H2661" i="12"/>
  <c r="H2662" i="12"/>
  <c r="H2663" i="12"/>
  <c r="H2664" i="12"/>
  <c r="H2665" i="12"/>
  <c r="H2666" i="12"/>
  <c r="H2667" i="12"/>
  <c r="H2668" i="12"/>
  <c r="H2669" i="12"/>
  <c r="H2670" i="12"/>
  <c r="H2671" i="12"/>
  <c r="H2672" i="12"/>
  <c r="H2673" i="12"/>
  <c r="H2674" i="12"/>
  <c r="H2675" i="12"/>
  <c r="H2676" i="12"/>
  <c r="H2677" i="12"/>
  <c r="H2678" i="12"/>
  <c r="H2679" i="12"/>
  <c r="H2680" i="12"/>
  <c r="H2681" i="12"/>
  <c r="H2682" i="12"/>
  <c r="H2683" i="12"/>
  <c r="H2684" i="12"/>
  <c r="H2685" i="12"/>
  <c r="H2686" i="12"/>
  <c r="H2687" i="12"/>
  <c r="H2688" i="12"/>
  <c r="H2689" i="12"/>
  <c r="H2690" i="12"/>
  <c r="H2691" i="12"/>
  <c r="H2692" i="12"/>
  <c r="H2693" i="12"/>
  <c r="H2694" i="12"/>
  <c r="H2695" i="12"/>
  <c r="H2696" i="12"/>
  <c r="H2697" i="12"/>
  <c r="H2698" i="12"/>
  <c r="H2699" i="12"/>
  <c r="H2700" i="12"/>
  <c r="H2701" i="12"/>
  <c r="H2702" i="12"/>
  <c r="H2703" i="12"/>
  <c r="H2704" i="12"/>
  <c r="H2705" i="12"/>
  <c r="H2706" i="12"/>
  <c r="H2707" i="12"/>
  <c r="H2708" i="12"/>
  <c r="H2709" i="12"/>
  <c r="H2710" i="12"/>
  <c r="H2711" i="12"/>
  <c r="H2712" i="12"/>
  <c r="H2713" i="12"/>
  <c r="H2714" i="12"/>
  <c r="H2715" i="12"/>
  <c r="H2716" i="12"/>
  <c r="H2717" i="12"/>
  <c r="H2718" i="12"/>
  <c r="H2719" i="12"/>
  <c r="H2720" i="12"/>
  <c r="H2721" i="12"/>
  <c r="H2722" i="12"/>
  <c r="H2723" i="12"/>
  <c r="H2724" i="12"/>
  <c r="H2725" i="12"/>
  <c r="H2726" i="12"/>
  <c r="H2727" i="12"/>
  <c r="H2728" i="12"/>
  <c r="H2729" i="12"/>
  <c r="H2730" i="12"/>
  <c r="H2731" i="12"/>
  <c r="H2732" i="12"/>
  <c r="H2733" i="12"/>
  <c r="H2734" i="12"/>
  <c r="H2735" i="12"/>
  <c r="H2736" i="12"/>
  <c r="H2737" i="12"/>
  <c r="H2738" i="12"/>
  <c r="H2739" i="12"/>
  <c r="H2740" i="12"/>
  <c r="H2741" i="12"/>
  <c r="H2742" i="12"/>
  <c r="H2743" i="12"/>
  <c r="H2744" i="12"/>
  <c r="H2745" i="12"/>
  <c r="H2746" i="12"/>
  <c r="H2747" i="12"/>
  <c r="H2748" i="12"/>
  <c r="H2749" i="12"/>
  <c r="H2750" i="12"/>
  <c r="H2751" i="12"/>
  <c r="H2752" i="12"/>
  <c r="H2753" i="12"/>
  <c r="H2754" i="12"/>
  <c r="H2755" i="12"/>
  <c r="H2756" i="12"/>
  <c r="H2757" i="12"/>
  <c r="H2758" i="12"/>
  <c r="H2759" i="12"/>
  <c r="H2760" i="12"/>
  <c r="H2761" i="12"/>
  <c r="H2762" i="12"/>
  <c r="H2763" i="12"/>
  <c r="H2764" i="12"/>
  <c r="H2765" i="12"/>
  <c r="H2766" i="12"/>
  <c r="H2767" i="12"/>
  <c r="H2768" i="12"/>
  <c r="H2769" i="12"/>
  <c r="H2770" i="12"/>
  <c r="H2771" i="12"/>
  <c r="H2772" i="12"/>
  <c r="H2773" i="12"/>
  <c r="H2774" i="12"/>
  <c r="H2775" i="12"/>
  <c r="H2776" i="12"/>
  <c r="H2777" i="12"/>
  <c r="H2778" i="12"/>
  <c r="H2779" i="12"/>
  <c r="H2780" i="12"/>
  <c r="H2781" i="12"/>
  <c r="H2782" i="12"/>
  <c r="H2783" i="12"/>
  <c r="H2784" i="12"/>
  <c r="H2785" i="12"/>
  <c r="H2786" i="12"/>
  <c r="H2787" i="12"/>
  <c r="H2788" i="12"/>
  <c r="H2789" i="12"/>
  <c r="H2790" i="12"/>
  <c r="H2791" i="12"/>
  <c r="H2792" i="12"/>
  <c r="H2793" i="12"/>
  <c r="H2794" i="12"/>
  <c r="H2795" i="12"/>
  <c r="H2796" i="12"/>
  <c r="H2797" i="12"/>
  <c r="H2798" i="12"/>
  <c r="H2799" i="12"/>
  <c r="H2800" i="12"/>
  <c r="H2801" i="12"/>
  <c r="H2802" i="12"/>
  <c r="H2803" i="12"/>
  <c r="H2804" i="12"/>
  <c r="H2805" i="12"/>
  <c r="H2806" i="12"/>
  <c r="H2807" i="12"/>
  <c r="H2808" i="12"/>
  <c r="H2809" i="12"/>
  <c r="H2810" i="12"/>
  <c r="H2811" i="12"/>
  <c r="H2812" i="12"/>
  <c r="H2813" i="12"/>
  <c r="H2814" i="12"/>
  <c r="H2815" i="12"/>
  <c r="H2816" i="12"/>
  <c r="H2817" i="12"/>
  <c r="H2818" i="12"/>
  <c r="H2819" i="12"/>
  <c r="H2820" i="12"/>
  <c r="H2821" i="12"/>
  <c r="H2822" i="12"/>
  <c r="H2823" i="12"/>
  <c r="H2824" i="12"/>
  <c r="H2825" i="12"/>
  <c r="H2826" i="12"/>
  <c r="H2827" i="12"/>
  <c r="H2828" i="12"/>
  <c r="H2829" i="12"/>
  <c r="H2830" i="12"/>
  <c r="H2831" i="12"/>
  <c r="H2832" i="12"/>
  <c r="H2833" i="12"/>
  <c r="H2834" i="12"/>
  <c r="H2835" i="12"/>
  <c r="H2836" i="12"/>
  <c r="H2837" i="12"/>
  <c r="H2838" i="12"/>
  <c r="H2839" i="12"/>
  <c r="H2840" i="12"/>
  <c r="H2841" i="12"/>
  <c r="H2842" i="12"/>
  <c r="H2843" i="12"/>
  <c r="H2844" i="12"/>
  <c r="H2845" i="12"/>
  <c r="H2846" i="12"/>
  <c r="H2847" i="12"/>
  <c r="H2848" i="12"/>
  <c r="H2849" i="12"/>
  <c r="H2850" i="12"/>
  <c r="H2851" i="12"/>
  <c r="H2852" i="12"/>
  <c r="H2853" i="12"/>
  <c r="H2854" i="12"/>
  <c r="H2855" i="12"/>
  <c r="H2856" i="12"/>
  <c r="H2857" i="12"/>
  <c r="H2858" i="12"/>
  <c r="H2859" i="12"/>
  <c r="H2860" i="12"/>
  <c r="H2861" i="12"/>
  <c r="H2862" i="12"/>
  <c r="H2863" i="12"/>
  <c r="H2864" i="12"/>
  <c r="H2865" i="12"/>
  <c r="H2866" i="12"/>
  <c r="H2867" i="12"/>
  <c r="H2868" i="12"/>
  <c r="H2869" i="12"/>
  <c r="H2870" i="12"/>
  <c r="H2871" i="12"/>
  <c r="H2872" i="12"/>
  <c r="H2873" i="12"/>
  <c r="H2874" i="12"/>
  <c r="H2875" i="12"/>
  <c r="H2876" i="12"/>
  <c r="H2877" i="12"/>
  <c r="H2878" i="12"/>
  <c r="H2879" i="12"/>
  <c r="H2880" i="12"/>
  <c r="H2881" i="12"/>
  <c r="H2882" i="12"/>
  <c r="H2883" i="12"/>
  <c r="H2884" i="12"/>
  <c r="H2885" i="12"/>
  <c r="H2886" i="12"/>
  <c r="H2887" i="12"/>
  <c r="H2888" i="12"/>
  <c r="H2889" i="12"/>
  <c r="H2890" i="12"/>
  <c r="H2891" i="12"/>
  <c r="H2892" i="12"/>
  <c r="H2893" i="12"/>
  <c r="H2894" i="12"/>
  <c r="H2895" i="12"/>
  <c r="H2896" i="12"/>
  <c r="H2897" i="12"/>
  <c r="H2898" i="12"/>
  <c r="H2899" i="12"/>
  <c r="H2900" i="12"/>
  <c r="H2901" i="12"/>
  <c r="H2902" i="12"/>
  <c r="H2903" i="12"/>
  <c r="H2904" i="12"/>
  <c r="H2905" i="12"/>
  <c r="H2906" i="12"/>
  <c r="H2907" i="12"/>
  <c r="H2908" i="12"/>
  <c r="H2909" i="12"/>
  <c r="H2910" i="12"/>
  <c r="H2911" i="12"/>
  <c r="H2912" i="12"/>
  <c r="H2913" i="12"/>
  <c r="H2914" i="12"/>
  <c r="H2915" i="12"/>
  <c r="H2916" i="12"/>
  <c r="H2917" i="12"/>
  <c r="H2918" i="12"/>
  <c r="H2919" i="12"/>
  <c r="H2920" i="12"/>
  <c r="H2921" i="12"/>
  <c r="H2922" i="12"/>
  <c r="H2923" i="12"/>
  <c r="H2924" i="12"/>
  <c r="H2925" i="12"/>
  <c r="H2926" i="12"/>
  <c r="H2927" i="12"/>
  <c r="H2928" i="12"/>
  <c r="H2929" i="12"/>
  <c r="H2930" i="12"/>
  <c r="H2931" i="12"/>
  <c r="H2932" i="12"/>
  <c r="H2933" i="12"/>
  <c r="H2934" i="12"/>
  <c r="H2935" i="12"/>
  <c r="H2936" i="12"/>
  <c r="H2937" i="12"/>
  <c r="H2938" i="12"/>
  <c r="H2939" i="12"/>
  <c r="H2940" i="12"/>
  <c r="H2941" i="12"/>
  <c r="H2942" i="12"/>
  <c r="H2943" i="12"/>
  <c r="H2944" i="12"/>
  <c r="H2945" i="12"/>
  <c r="H2946" i="12"/>
  <c r="H2947" i="12"/>
  <c r="H2948" i="12"/>
  <c r="H2949" i="12"/>
  <c r="H2950" i="12"/>
  <c r="H2951" i="12"/>
  <c r="H2952" i="12"/>
  <c r="H2953" i="12"/>
  <c r="H2954" i="12"/>
  <c r="H2955" i="12"/>
  <c r="H2956" i="12"/>
  <c r="H2957" i="12"/>
  <c r="H2958" i="12"/>
  <c r="H2959" i="12"/>
  <c r="H2960" i="12"/>
  <c r="H2961" i="12"/>
  <c r="H2962" i="12"/>
  <c r="H2963" i="12"/>
  <c r="H2964" i="12"/>
  <c r="H2965" i="12"/>
  <c r="H2966" i="12"/>
  <c r="H2967" i="12"/>
  <c r="H2968" i="12"/>
  <c r="H2969" i="12"/>
  <c r="H2970" i="12"/>
  <c r="H2971" i="12"/>
  <c r="H2972" i="12"/>
  <c r="H2973" i="12"/>
  <c r="H2974" i="12"/>
  <c r="H2975" i="12"/>
  <c r="H2976" i="12"/>
  <c r="H2977" i="12"/>
  <c r="H2978" i="12"/>
  <c r="H2979" i="12"/>
  <c r="H2980" i="12"/>
  <c r="H2981" i="12"/>
  <c r="H2982" i="12"/>
  <c r="H2983" i="12"/>
  <c r="H2984" i="12"/>
  <c r="H2985" i="12"/>
  <c r="H2986" i="12"/>
  <c r="H2987" i="12"/>
  <c r="H2988" i="12"/>
  <c r="H2989" i="12"/>
  <c r="H2990" i="12"/>
  <c r="H2991" i="12"/>
  <c r="H2992" i="12"/>
  <c r="H2993" i="12"/>
  <c r="H2994" i="12"/>
  <c r="H2995" i="12"/>
  <c r="H2996" i="12"/>
  <c r="H2997" i="12"/>
  <c r="H2998" i="12"/>
  <c r="H2999" i="12"/>
  <c r="H3000" i="12"/>
  <c r="H3001" i="12"/>
  <c r="H3002" i="12"/>
  <c r="H3003" i="12"/>
  <c r="H3004" i="12"/>
  <c r="H3005" i="12"/>
  <c r="H3006" i="12"/>
  <c r="H3007" i="12"/>
  <c r="H3008" i="12"/>
  <c r="H3009" i="12"/>
  <c r="H3010" i="12"/>
  <c r="H3011" i="12"/>
  <c r="H3012" i="12"/>
  <c r="H3013" i="12"/>
  <c r="H3014" i="12"/>
  <c r="H3015" i="12"/>
  <c r="H3016" i="12"/>
  <c r="H3017" i="12"/>
  <c r="H3018" i="12"/>
  <c r="H3019" i="12"/>
  <c r="H3020" i="12"/>
  <c r="H3021" i="12"/>
  <c r="H3022" i="12"/>
  <c r="H3023" i="12"/>
  <c r="H3024" i="12"/>
  <c r="H3025" i="12"/>
  <c r="H3026" i="12"/>
  <c r="H3027" i="12"/>
  <c r="H3028" i="12"/>
  <c r="H3029" i="12"/>
  <c r="H3030" i="12"/>
  <c r="H3031" i="12"/>
  <c r="H3032" i="12"/>
  <c r="H3033" i="12"/>
  <c r="H3034" i="12"/>
  <c r="H3035" i="12"/>
  <c r="H3036" i="12"/>
  <c r="H3037" i="12"/>
  <c r="H3038" i="12"/>
  <c r="H3039" i="12"/>
  <c r="H3040" i="12"/>
  <c r="H3041" i="12"/>
  <c r="H3042" i="12"/>
  <c r="H3043" i="12"/>
  <c r="H3044" i="12"/>
  <c r="H3045" i="12"/>
  <c r="H3046" i="12"/>
  <c r="H3047" i="12"/>
  <c r="H3048" i="12"/>
  <c r="H3049" i="12"/>
  <c r="H3050" i="12"/>
  <c r="H3051" i="12"/>
  <c r="H3052" i="12"/>
  <c r="H3053" i="12"/>
  <c r="H3054" i="12"/>
  <c r="H3055" i="12"/>
  <c r="H3056" i="12"/>
  <c r="H3057" i="12"/>
  <c r="H3058" i="12"/>
  <c r="H3059" i="12"/>
  <c r="H3060" i="12"/>
  <c r="H3061" i="12"/>
  <c r="H3062" i="12"/>
  <c r="H3063" i="12"/>
  <c r="H3064" i="12"/>
  <c r="H3065" i="12"/>
  <c r="H3066" i="12"/>
  <c r="H3067" i="12"/>
  <c r="H3068" i="12"/>
  <c r="H3069" i="12"/>
  <c r="H3070" i="12"/>
  <c r="H3071" i="12"/>
  <c r="H3072" i="12"/>
  <c r="H3073" i="12"/>
  <c r="H3074" i="12"/>
  <c r="H3075" i="12"/>
  <c r="H3076" i="12"/>
  <c r="H3077" i="12"/>
  <c r="H3078" i="12"/>
  <c r="H3079" i="12"/>
  <c r="H3080" i="12"/>
  <c r="H3081" i="12"/>
  <c r="H3082" i="12"/>
  <c r="H3083" i="12"/>
  <c r="H3084" i="12"/>
  <c r="H3085" i="12"/>
  <c r="H3086" i="12"/>
  <c r="H3087" i="12"/>
  <c r="H3088" i="12"/>
  <c r="H3089" i="12"/>
  <c r="H3090" i="12"/>
  <c r="H3091" i="12"/>
  <c r="H3092" i="12"/>
  <c r="H3093" i="12"/>
  <c r="H3094" i="12"/>
  <c r="H3095" i="12"/>
  <c r="H3096" i="12"/>
  <c r="H3097" i="12"/>
  <c r="H3098" i="12"/>
  <c r="H3099" i="12"/>
  <c r="H3100" i="12"/>
  <c r="H3101" i="12"/>
  <c r="H3102" i="12"/>
  <c r="H3103" i="12"/>
  <c r="H3104" i="12"/>
  <c r="H3105" i="12"/>
  <c r="H3106" i="12"/>
  <c r="H3107" i="12"/>
  <c r="H3108" i="12"/>
  <c r="H3109" i="12"/>
  <c r="H3110" i="12"/>
  <c r="H3111" i="12"/>
  <c r="H3112" i="12"/>
  <c r="H3113" i="12"/>
  <c r="H3114" i="12"/>
  <c r="H3115" i="12"/>
  <c r="H3116" i="12"/>
  <c r="H3117" i="12"/>
  <c r="H3118" i="12"/>
  <c r="H3119" i="12"/>
  <c r="H3120" i="12"/>
  <c r="H3121" i="12"/>
  <c r="H3122" i="12"/>
  <c r="H3123" i="12"/>
  <c r="H3124" i="12"/>
  <c r="H3125" i="12"/>
  <c r="H3126" i="12"/>
  <c r="H3127" i="12"/>
  <c r="H3128" i="12"/>
  <c r="H3129" i="12"/>
  <c r="H3130" i="12"/>
  <c r="H3131" i="12"/>
  <c r="H3132" i="12"/>
  <c r="H3133" i="12"/>
  <c r="H3134" i="12"/>
  <c r="H3135" i="12"/>
  <c r="H3136" i="12"/>
  <c r="H3137" i="12"/>
  <c r="H3138" i="12"/>
  <c r="H3139" i="12"/>
  <c r="H3140" i="12"/>
  <c r="H3141" i="12"/>
  <c r="H3142" i="12"/>
  <c r="H3143" i="12"/>
  <c r="H3144" i="12"/>
  <c r="H3145" i="12"/>
  <c r="H3146" i="12"/>
  <c r="H3147" i="12"/>
  <c r="H3148" i="12"/>
  <c r="H3149" i="12"/>
  <c r="H3150" i="12"/>
  <c r="H3151" i="12"/>
  <c r="H3152" i="12"/>
  <c r="H3153" i="12"/>
  <c r="H3154" i="12"/>
  <c r="H3155" i="12"/>
  <c r="H3156" i="12"/>
  <c r="H3157" i="12"/>
  <c r="H3158" i="12"/>
  <c r="H3159" i="12"/>
  <c r="H3160" i="12"/>
  <c r="H3161" i="12"/>
  <c r="H3162" i="12"/>
  <c r="H3163" i="12"/>
  <c r="H3164" i="12"/>
  <c r="H3165" i="12"/>
  <c r="H3166" i="12"/>
  <c r="H3167" i="12"/>
  <c r="H3168" i="12"/>
  <c r="H3169" i="12"/>
  <c r="H3170" i="12"/>
  <c r="H3171" i="12"/>
  <c r="H3172" i="12"/>
  <c r="H3173" i="12"/>
  <c r="H3174" i="12"/>
  <c r="H3175" i="12"/>
  <c r="H3176" i="12"/>
  <c r="H3177" i="12"/>
  <c r="H3178" i="12"/>
  <c r="H3179" i="12"/>
  <c r="H3180" i="12"/>
  <c r="H3181" i="12"/>
  <c r="H3182" i="12"/>
  <c r="H3183" i="12"/>
  <c r="H3184" i="12"/>
  <c r="H3185" i="12"/>
  <c r="H3186" i="12"/>
  <c r="H3187" i="12"/>
  <c r="H3188" i="12"/>
  <c r="H3189" i="12"/>
  <c r="H3190" i="12"/>
  <c r="H3191" i="12"/>
  <c r="H3192" i="12"/>
  <c r="H3193" i="12"/>
  <c r="H3194" i="12"/>
  <c r="H3195" i="12"/>
  <c r="H3196" i="12"/>
  <c r="H3197" i="12"/>
  <c r="H3198" i="12"/>
  <c r="H3199" i="12"/>
  <c r="H3200" i="12"/>
  <c r="H3201" i="12"/>
  <c r="H3202" i="12"/>
  <c r="H3203" i="12"/>
  <c r="H3204" i="12"/>
  <c r="H3205" i="12"/>
  <c r="H3206" i="12"/>
  <c r="H3207" i="12"/>
  <c r="H3208" i="12"/>
  <c r="H3209" i="12"/>
  <c r="H3210" i="12"/>
  <c r="H3211" i="12"/>
  <c r="H3212" i="12"/>
  <c r="H3213" i="12"/>
  <c r="H3214" i="12"/>
  <c r="H3215" i="12"/>
  <c r="H3216" i="12"/>
  <c r="H3217" i="12"/>
  <c r="H3218" i="12"/>
  <c r="H3219" i="12"/>
  <c r="H3220" i="12"/>
  <c r="H3221" i="12"/>
  <c r="H3222" i="12"/>
  <c r="H3223" i="12"/>
  <c r="H3224" i="12"/>
  <c r="H3225" i="12"/>
  <c r="H3226" i="12"/>
  <c r="H3227" i="12"/>
  <c r="H3228" i="12"/>
  <c r="H3229" i="12"/>
  <c r="H3230" i="12"/>
  <c r="H3231" i="12"/>
  <c r="H3232" i="12"/>
  <c r="H3233" i="12"/>
  <c r="H3234" i="12"/>
  <c r="H3235" i="12"/>
  <c r="H3236" i="12"/>
  <c r="H3237" i="12"/>
  <c r="H3238" i="12"/>
  <c r="H3239" i="12"/>
  <c r="H3240" i="12"/>
  <c r="H3241" i="12"/>
  <c r="H3242" i="12"/>
  <c r="H3243" i="12"/>
  <c r="H3244" i="12"/>
  <c r="H3245" i="12"/>
  <c r="H3246" i="12"/>
  <c r="H3247" i="12"/>
  <c r="H3248" i="12"/>
  <c r="H3249" i="12"/>
  <c r="H3250" i="12"/>
  <c r="H3251" i="12"/>
  <c r="H3252" i="12"/>
  <c r="H3253" i="12"/>
  <c r="H3254" i="12"/>
  <c r="H3255" i="12"/>
  <c r="H3256" i="12"/>
  <c r="H3257" i="12"/>
  <c r="H3258" i="12"/>
  <c r="H3259" i="12"/>
  <c r="H3260" i="12"/>
  <c r="H3261" i="12"/>
  <c r="H3262" i="12"/>
  <c r="H3263" i="12"/>
  <c r="H3264" i="12"/>
  <c r="H3265" i="12"/>
  <c r="H3266" i="12"/>
  <c r="H3267" i="12"/>
  <c r="H3268" i="12"/>
  <c r="H3269" i="12"/>
  <c r="H3270" i="12"/>
  <c r="H3271" i="12"/>
  <c r="H3272" i="12"/>
  <c r="H3273" i="12"/>
  <c r="H3274" i="12"/>
  <c r="H3275" i="12"/>
  <c r="H3276" i="12"/>
  <c r="H3277" i="12"/>
  <c r="H3278" i="12"/>
  <c r="H3279" i="12"/>
  <c r="H3280" i="12"/>
  <c r="H3281" i="12"/>
  <c r="H3282" i="12"/>
  <c r="H3283" i="12"/>
  <c r="H3284" i="12"/>
  <c r="H3285" i="12"/>
  <c r="H3286" i="12"/>
  <c r="H3287" i="12"/>
  <c r="H3288" i="12"/>
  <c r="H3289" i="12"/>
  <c r="H3290" i="12"/>
  <c r="H3291" i="12"/>
  <c r="H3292" i="12"/>
  <c r="H3293" i="12"/>
  <c r="H3294" i="12"/>
  <c r="H3295" i="12"/>
  <c r="H3296" i="12"/>
  <c r="H3297" i="12"/>
  <c r="H3298" i="12"/>
  <c r="H3299" i="12"/>
  <c r="H3300" i="12"/>
  <c r="H3301" i="12"/>
  <c r="H3302" i="12"/>
  <c r="H3303" i="12"/>
  <c r="H3304" i="12"/>
  <c r="H3305" i="12"/>
  <c r="H3306" i="12"/>
  <c r="H3307" i="12"/>
  <c r="H3308" i="12"/>
  <c r="H3309" i="12"/>
  <c r="H3310" i="12"/>
  <c r="H3311" i="12"/>
  <c r="H3312" i="12"/>
  <c r="H3313" i="12"/>
  <c r="H3314" i="12"/>
  <c r="H3315" i="12"/>
  <c r="H3316" i="12"/>
  <c r="H3317" i="12"/>
  <c r="H3318" i="12"/>
  <c r="H3319" i="12"/>
  <c r="H3320" i="12"/>
  <c r="H3321" i="12"/>
  <c r="H3322" i="12"/>
  <c r="H3323" i="12"/>
  <c r="H3324" i="12"/>
  <c r="H3325" i="12"/>
  <c r="H3326" i="12"/>
  <c r="H3327" i="12"/>
  <c r="H3328" i="12"/>
  <c r="H3329" i="12"/>
  <c r="H3330" i="12"/>
  <c r="H3331" i="12"/>
  <c r="H3332" i="12"/>
  <c r="H3333" i="12"/>
  <c r="H3334" i="12"/>
  <c r="H3335" i="12"/>
  <c r="H3336" i="12"/>
  <c r="H3337" i="12"/>
  <c r="H3338" i="12"/>
  <c r="H3339" i="12"/>
  <c r="H3340" i="12"/>
  <c r="H3341" i="12"/>
  <c r="H3342" i="12"/>
  <c r="H3343" i="12"/>
  <c r="H3344" i="12"/>
  <c r="H3345" i="12"/>
  <c r="H3346" i="12"/>
  <c r="H3347" i="12"/>
  <c r="H3348" i="12"/>
  <c r="H3349" i="12"/>
  <c r="H3350" i="12"/>
  <c r="H3351" i="12"/>
  <c r="H3352" i="12"/>
  <c r="H3353" i="12"/>
  <c r="H3354" i="12"/>
  <c r="H3355" i="12"/>
  <c r="H3356" i="12"/>
  <c r="H3357" i="12"/>
  <c r="H3358" i="12"/>
  <c r="H3359" i="12"/>
  <c r="H3360" i="12"/>
  <c r="H3361" i="12"/>
  <c r="H3362" i="12"/>
  <c r="H3363" i="12"/>
  <c r="H3364" i="12"/>
  <c r="H3365" i="12"/>
  <c r="H3366" i="12"/>
  <c r="H3367" i="12"/>
  <c r="H3368" i="12"/>
  <c r="H3369" i="12"/>
  <c r="H3370" i="12"/>
  <c r="H3371" i="12"/>
  <c r="H3372" i="12"/>
  <c r="H3373" i="12"/>
  <c r="H3374" i="12"/>
  <c r="H3375" i="12"/>
  <c r="H3376" i="12"/>
  <c r="H3377" i="12"/>
  <c r="H3378" i="12"/>
  <c r="H3379" i="12"/>
  <c r="H3380" i="12"/>
  <c r="H3381" i="12"/>
  <c r="H3382" i="12"/>
  <c r="H3383" i="12"/>
  <c r="H3384" i="12"/>
  <c r="H3385" i="12"/>
  <c r="H3386" i="12"/>
  <c r="H3387" i="12"/>
  <c r="H3388" i="12"/>
  <c r="H3389" i="12"/>
  <c r="H3390" i="12"/>
  <c r="H3391" i="12"/>
  <c r="H3392" i="12"/>
  <c r="H3393" i="12"/>
  <c r="H3394" i="12"/>
  <c r="H3395" i="12"/>
  <c r="H3396" i="12"/>
  <c r="H3397" i="12"/>
  <c r="H3398" i="12"/>
  <c r="H3399" i="12"/>
  <c r="H3400" i="12"/>
  <c r="H3401" i="12"/>
  <c r="H3402" i="12"/>
  <c r="H3403" i="12"/>
  <c r="H3404" i="12"/>
  <c r="H3405" i="12"/>
  <c r="H3406" i="12"/>
  <c r="H3407" i="12"/>
  <c r="H3408" i="12"/>
  <c r="H3409" i="12"/>
  <c r="H3410" i="12"/>
  <c r="H3411" i="12"/>
  <c r="H3412" i="12"/>
  <c r="H3413" i="12"/>
  <c r="H3414" i="12"/>
  <c r="H3415" i="12"/>
  <c r="H3416" i="12"/>
  <c r="H3417" i="12"/>
  <c r="H3418" i="12"/>
  <c r="H3419" i="12"/>
  <c r="H3420" i="12"/>
  <c r="H3421" i="12"/>
  <c r="H3422" i="12"/>
  <c r="H3423" i="12"/>
  <c r="H3424" i="12"/>
  <c r="H3425" i="12"/>
  <c r="H3426" i="12"/>
  <c r="H3427" i="12"/>
  <c r="H3428" i="12"/>
  <c r="H3429" i="12"/>
  <c r="H3430" i="12"/>
  <c r="H3431" i="12"/>
  <c r="H3432" i="12"/>
  <c r="H3433" i="12"/>
  <c r="H3434" i="12"/>
  <c r="H3435" i="12"/>
  <c r="H3436" i="12"/>
  <c r="H3437" i="12"/>
  <c r="H3438" i="12"/>
  <c r="H3439" i="12"/>
  <c r="H3440" i="12"/>
  <c r="H3441" i="12"/>
  <c r="H3442" i="12"/>
  <c r="H3443" i="12"/>
  <c r="H3444" i="12"/>
  <c r="H3445" i="12"/>
  <c r="H3446" i="12"/>
  <c r="H3447" i="12"/>
  <c r="H3448" i="12"/>
  <c r="H3449" i="12"/>
  <c r="H3450" i="12"/>
  <c r="H3451" i="12"/>
  <c r="H3452" i="12"/>
  <c r="H3453" i="12"/>
  <c r="H3454" i="12"/>
  <c r="H3455" i="12"/>
  <c r="H3456" i="12"/>
  <c r="H3457" i="12"/>
  <c r="H3458" i="12"/>
  <c r="H3459" i="12"/>
  <c r="H3460" i="12"/>
  <c r="H3461" i="12"/>
  <c r="H3462" i="12"/>
  <c r="H3463" i="12"/>
  <c r="H3464" i="12"/>
  <c r="H3465" i="12"/>
  <c r="H3466" i="12"/>
  <c r="H3467" i="12"/>
  <c r="H3468" i="12"/>
  <c r="H3469" i="12"/>
  <c r="H3470" i="12"/>
  <c r="H3471" i="12"/>
  <c r="H3472" i="12"/>
  <c r="H3473" i="12"/>
  <c r="H3474" i="12"/>
  <c r="H3475" i="12"/>
  <c r="H3476" i="12"/>
  <c r="H3477" i="12"/>
  <c r="H3478" i="12"/>
  <c r="H3479" i="12"/>
  <c r="H3480" i="12"/>
  <c r="H3481" i="12"/>
  <c r="H3482" i="12"/>
  <c r="H3483" i="12"/>
  <c r="H3484" i="12"/>
  <c r="H3485" i="12"/>
  <c r="H3486" i="12"/>
  <c r="H3487" i="12"/>
  <c r="H3488" i="12"/>
  <c r="H3489" i="12"/>
  <c r="H3490" i="12"/>
  <c r="H3491" i="12"/>
  <c r="H3492" i="12"/>
  <c r="H3493" i="12"/>
  <c r="H3494" i="12"/>
  <c r="H3495" i="12"/>
  <c r="H3496" i="12"/>
  <c r="H3497" i="12"/>
  <c r="H3498" i="12"/>
  <c r="H3499" i="12"/>
  <c r="H3500" i="12"/>
  <c r="H3501" i="12"/>
  <c r="H3502" i="12"/>
  <c r="H3503" i="12"/>
  <c r="H3504" i="12"/>
  <c r="H3505" i="12"/>
  <c r="H3506" i="12"/>
  <c r="H3507" i="12"/>
  <c r="H3508" i="12"/>
  <c r="H3509" i="12"/>
  <c r="H3510" i="12"/>
  <c r="H3511" i="12"/>
  <c r="H3512" i="12"/>
  <c r="H3513" i="12"/>
  <c r="H3514" i="12"/>
  <c r="H3515" i="12"/>
  <c r="H3516" i="12"/>
  <c r="H3517" i="12"/>
  <c r="H3518" i="12"/>
  <c r="H3519" i="12"/>
  <c r="H3520" i="12"/>
  <c r="H3521" i="12"/>
  <c r="H3522" i="12"/>
  <c r="H3523" i="12"/>
  <c r="H3524" i="12"/>
  <c r="H3525" i="12"/>
  <c r="H3526" i="12"/>
  <c r="H3527" i="12"/>
  <c r="H3528" i="12"/>
  <c r="H3529" i="12"/>
  <c r="H3530" i="12"/>
  <c r="H3531" i="12"/>
  <c r="H3532" i="12"/>
  <c r="H3533" i="12"/>
  <c r="H3534" i="12"/>
  <c r="H3535" i="12"/>
  <c r="H3536" i="12"/>
  <c r="H3537" i="12"/>
  <c r="H3538" i="12"/>
  <c r="H3539" i="12"/>
  <c r="H3540" i="12"/>
  <c r="H3541" i="12"/>
  <c r="H3542" i="12"/>
  <c r="H3543" i="12"/>
  <c r="H3544" i="12"/>
  <c r="H3545" i="12"/>
  <c r="H3546" i="12"/>
  <c r="H3547" i="12"/>
  <c r="H3548" i="12"/>
  <c r="H3549" i="12"/>
  <c r="H3550" i="12"/>
  <c r="H3551" i="12"/>
  <c r="H3552" i="12"/>
  <c r="H3553" i="12"/>
  <c r="H3554" i="12"/>
  <c r="H3555" i="12"/>
  <c r="H3556" i="12"/>
  <c r="H3557" i="12"/>
  <c r="H3558" i="12"/>
  <c r="H3559" i="12"/>
  <c r="H3560" i="12"/>
  <c r="H3561" i="12"/>
  <c r="H3562" i="12"/>
  <c r="H3563" i="12"/>
  <c r="H3564" i="12"/>
  <c r="H3565" i="12"/>
  <c r="H3566" i="12"/>
  <c r="H3567" i="12"/>
  <c r="H3568" i="12"/>
  <c r="H3569" i="12"/>
  <c r="H3570" i="12"/>
  <c r="H3571" i="12"/>
  <c r="H3572" i="12"/>
  <c r="H3573" i="12"/>
  <c r="H3574" i="12"/>
  <c r="H3575" i="12"/>
  <c r="H3576" i="12"/>
  <c r="H3577" i="12"/>
  <c r="H3578" i="12"/>
  <c r="H3579" i="12"/>
  <c r="H3580" i="12"/>
  <c r="H3581" i="12"/>
  <c r="H3582" i="12"/>
  <c r="H3583" i="12"/>
  <c r="H3584" i="12"/>
  <c r="H3585" i="12"/>
  <c r="H3586" i="12"/>
  <c r="H3587" i="12"/>
  <c r="H3588" i="12"/>
  <c r="H3589" i="12"/>
  <c r="H3590" i="12"/>
  <c r="H3591" i="12"/>
  <c r="H3592" i="12"/>
  <c r="H3593" i="12"/>
  <c r="H3594" i="12"/>
  <c r="H3595" i="12"/>
  <c r="H3596" i="12"/>
  <c r="H3597" i="12"/>
  <c r="H3598" i="12"/>
  <c r="H3599" i="12"/>
  <c r="H3600" i="12"/>
  <c r="H3601" i="12"/>
  <c r="H3602" i="12"/>
  <c r="H3603" i="12"/>
  <c r="H3604" i="12"/>
  <c r="H3605" i="12"/>
  <c r="H3606" i="12"/>
  <c r="H3607" i="12"/>
  <c r="H3608" i="12"/>
  <c r="H3609" i="12"/>
  <c r="H3610" i="12"/>
  <c r="H3611" i="12"/>
  <c r="H3612" i="12"/>
  <c r="H3613" i="12"/>
  <c r="H3614" i="12"/>
  <c r="H3615" i="12"/>
  <c r="H3616" i="12"/>
  <c r="H3617" i="12"/>
  <c r="H3618" i="12"/>
  <c r="H3619" i="12"/>
  <c r="H3620" i="12"/>
  <c r="H3621" i="12"/>
  <c r="H3622" i="12"/>
  <c r="H3623" i="12"/>
  <c r="H3624" i="12"/>
  <c r="H3625" i="12"/>
  <c r="H3626" i="12"/>
  <c r="H3627" i="12"/>
  <c r="H3628" i="12"/>
  <c r="H3629" i="12"/>
  <c r="H3630" i="12"/>
  <c r="H3631" i="12"/>
  <c r="H3632" i="12"/>
  <c r="H3633" i="12"/>
  <c r="H3634" i="12"/>
  <c r="H3635" i="12"/>
  <c r="H3636" i="12"/>
  <c r="H3637" i="12"/>
  <c r="H3638" i="12"/>
  <c r="H3639" i="12"/>
  <c r="H3640" i="12"/>
  <c r="H3641" i="12"/>
  <c r="H3642" i="12"/>
  <c r="H3643" i="12"/>
  <c r="H3644" i="12"/>
  <c r="H3645" i="12"/>
  <c r="H3646" i="12"/>
  <c r="H3647" i="12"/>
  <c r="H3648" i="12"/>
  <c r="H3649" i="12"/>
  <c r="H3650" i="12"/>
  <c r="H3651" i="12"/>
  <c r="H3652" i="12"/>
  <c r="H3653" i="12"/>
  <c r="H3654" i="12"/>
  <c r="H3655" i="12"/>
  <c r="H3656" i="12"/>
  <c r="H3657" i="12"/>
  <c r="H3658" i="12"/>
  <c r="H3659" i="12"/>
  <c r="H3660" i="12"/>
  <c r="H3661" i="12"/>
  <c r="H3662" i="12"/>
  <c r="H3663" i="12"/>
  <c r="H3664" i="12"/>
  <c r="H3665" i="12"/>
  <c r="H3666" i="12"/>
  <c r="H3667" i="12"/>
  <c r="H3668" i="12"/>
  <c r="H3669" i="12"/>
  <c r="H3670" i="12"/>
  <c r="H3671" i="12"/>
  <c r="H3672" i="12"/>
  <c r="H3673" i="12"/>
  <c r="H3674" i="12"/>
  <c r="H3675" i="12"/>
  <c r="H3676" i="12"/>
  <c r="H3677" i="12"/>
  <c r="H3678" i="12"/>
  <c r="H3679" i="12"/>
  <c r="H3680" i="12"/>
  <c r="H3681" i="12"/>
  <c r="H3682" i="12"/>
  <c r="H3683" i="12"/>
  <c r="H3684" i="12"/>
  <c r="H3685" i="12"/>
  <c r="H3686" i="12"/>
  <c r="H3687" i="12"/>
  <c r="H3688" i="12"/>
  <c r="H3689" i="12"/>
  <c r="H3690" i="12"/>
  <c r="H3691" i="12"/>
  <c r="H3692" i="12"/>
  <c r="H3693" i="12"/>
  <c r="H3694" i="12"/>
  <c r="H3695" i="12"/>
  <c r="H3696" i="12"/>
  <c r="H3697" i="12"/>
  <c r="H3698" i="12"/>
  <c r="H3699" i="12"/>
  <c r="H3700" i="12"/>
  <c r="K3" i="11" s="1"/>
  <c r="H3701" i="12"/>
  <c r="H3702" i="12"/>
  <c r="H3703" i="12"/>
  <c r="H3704" i="12"/>
  <c r="H3705" i="12"/>
  <c r="H3706" i="12"/>
  <c r="H3707" i="12"/>
  <c r="H3708" i="12"/>
  <c r="H3709" i="12"/>
  <c r="H3710" i="12"/>
  <c r="H3711" i="12"/>
  <c r="H3712" i="12"/>
  <c r="H3713" i="12"/>
  <c r="H3714" i="12"/>
  <c r="H3715" i="12"/>
  <c r="H3716" i="12"/>
  <c r="H3717" i="12"/>
  <c r="H3718" i="12"/>
  <c r="H3719" i="12"/>
  <c r="H3720" i="12"/>
  <c r="H3721" i="12"/>
  <c r="H3722" i="12"/>
  <c r="H3723" i="12"/>
  <c r="H3724" i="12"/>
  <c r="H3725" i="12"/>
  <c r="H3726" i="12"/>
  <c r="H3727" i="12"/>
  <c r="H3728" i="12"/>
  <c r="H3729" i="12"/>
  <c r="H3730" i="12"/>
  <c r="H3731" i="12"/>
  <c r="H3732" i="12"/>
  <c r="H3733" i="12"/>
  <c r="H3734" i="12"/>
  <c r="H3735" i="12"/>
  <c r="H3736" i="12"/>
  <c r="H3737" i="12"/>
  <c r="H3738" i="12"/>
  <c r="H3739" i="12"/>
  <c r="H3740" i="12"/>
  <c r="H3741" i="12"/>
  <c r="H3742" i="12"/>
  <c r="H3743" i="12"/>
  <c r="H3744" i="12"/>
  <c r="H3745" i="12"/>
  <c r="H3746" i="12"/>
  <c r="H3747" i="12"/>
  <c r="H3748" i="12"/>
  <c r="H3749" i="12"/>
  <c r="H3750" i="12"/>
  <c r="H3751" i="12"/>
  <c r="H3752" i="12"/>
  <c r="H3753" i="12"/>
  <c r="H3754" i="12"/>
  <c r="H3755" i="12"/>
  <c r="H3756" i="12"/>
  <c r="H3757" i="12"/>
  <c r="H3758" i="12"/>
  <c r="H3759" i="12"/>
  <c r="H3760" i="12"/>
  <c r="H3761" i="12"/>
  <c r="H3762" i="12"/>
  <c r="H3763" i="12"/>
  <c r="H3764" i="12"/>
  <c r="H3765" i="12"/>
  <c r="H3766" i="12"/>
  <c r="H3767" i="12"/>
  <c r="H3768" i="12"/>
  <c r="H3769" i="12"/>
  <c r="H3770" i="12"/>
  <c r="H3771" i="12"/>
  <c r="H3772" i="12"/>
  <c r="H3773" i="12"/>
  <c r="H3774" i="12"/>
  <c r="H3775" i="12"/>
  <c r="H3776" i="12"/>
  <c r="H3777" i="12"/>
  <c r="H3778" i="12"/>
  <c r="H3779" i="12"/>
  <c r="H3780" i="12"/>
  <c r="H3781" i="12"/>
  <c r="H3782" i="12"/>
  <c r="H3783" i="12"/>
  <c r="H3784" i="12"/>
  <c r="H3785" i="12"/>
  <c r="H3786" i="12"/>
  <c r="H3787" i="12"/>
  <c r="H3788" i="12"/>
  <c r="H3789" i="12"/>
  <c r="H3790" i="12"/>
  <c r="H3791" i="12"/>
  <c r="H3792" i="12"/>
  <c r="H3793" i="12"/>
  <c r="H3794" i="12"/>
  <c r="H3795" i="12"/>
  <c r="H3796" i="12"/>
  <c r="H3797" i="12"/>
  <c r="H3798" i="12"/>
  <c r="H3799" i="12"/>
  <c r="H3800" i="12"/>
  <c r="H3801" i="12"/>
  <c r="H3802" i="12"/>
  <c r="H3803" i="12"/>
  <c r="H3804" i="12"/>
  <c r="H3805" i="12"/>
  <c r="H3806" i="12"/>
  <c r="H3807" i="12"/>
  <c r="H3808" i="12"/>
  <c r="H3809" i="12"/>
  <c r="H3810" i="12"/>
  <c r="H3811" i="12"/>
  <c r="H3812" i="12"/>
  <c r="H3813" i="12"/>
  <c r="H3814" i="12"/>
  <c r="H3815" i="12"/>
  <c r="H3816" i="12"/>
  <c r="H3817" i="12"/>
  <c r="H3818" i="12"/>
  <c r="H3819" i="12"/>
  <c r="H3820" i="12"/>
  <c r="K12" i="11" s="1"/>
  <c r="H3821" i="12"/>
  <c r="H3822" i="12"/>
  <c r="H3823" i="12"/>
  <c r="H3824" i="12"/>
  <c r="H3825" i="12"/>
  <c r="H3826" i="12"/>
  <c r="H3827" i="12"/>
  <c r="H3828" i="12"/>
  <c r="H3829" i="12"/>
  <c r="H3830" i="12"/>
  <c r="H3831" i="12"/>
  <c r="H3832" i="12"/>
  <c r="H3833" i="12"/>
  <c r="H3834" i="12"/>
  <c r="H3835" i="12"/>
  <c r="H3836" i="12"/>
  <c r="H3837" i="12"/>
  <c r="H3838" i="12"/>
  <c r="H3839" i="12"/>
  <c r="H3840" i="12"/>
  <c r="H3841" i="12"/>
  <c r="H3842" i="12"/>
  <c r="H3843" i="12"/>
  <c r="H3844" i="12"/>
  <c r="H3845" i="12"/>
  <c r="H3846" i="12"/>
  <c r="H3847" i="12"/>
  <c r="H3848" i="12"/>
  <c r="H3849" i="12"/>
  <c r="H3850" i="12"/>
  <c r="H3851" i="12"/>
  <c r="H3852" i="12"/>
  <c r="H3853" i="12"/>
  <c r="H3854" i="12"/>
  <c r="H3855" i="12"/>
  <c r="H3856" i="12"/>
  <c r="H3857" i="12"/>
  <c r="H3858" i="12"/>
  <c r="H3859" i="12"/>
  <c r="H3860" i="12"/>
  <c r="H3861" i="12"/>
  <c r="H3862" i="12"/>
  <c r="H3863" i="12"/>
  <c r="H3864" i="12"/>
  <c r="H3865" i="12"/>
  <c r="H3866" i="12"/>
  <c r="H3867" i="12"/>
  <c r="H3868" i="12"/>
  <c r="H3869" i="12"/>
  <c r="H3870" i="12"/>
  <c r="H3871" i="12"/>
  <c r="H3872" i="12"/>
  <c r="H3873" i="12"/>
  <c r="H3" i="12"/>
  <c r="K318" i="11" s="1"/>
  <c r="H4" i="12"/>
  <c r="H5" i="12"/>
  <c r="K39" i="11" s="1"/>
  <c r="H6" i="12"/>
  <c r="K246" i="11" s="1"/>
  <c r="H7" i="12"/>
  <c r="K536" i="11" s="1"/>
  <c r="H8" i="12"/>
  <c r="K391" i="11" s="1"/>
  <c r="H9" i="12"/>
  <c r="K375" i="11" s="1"/>
  <c r="H10" i="12"/>
  <c r="K145" i="11" s="1"/>
  <c r="H11" i="12"/>
  <c r="H12" i="12"/>
  <c r="K477" i="11" s="1"/>
  <c r="H13" i="12"/>
  <c r="K114" i="11" s="1"/>
  <c r="H14" i="12"/>
  <c r="K432" i="11" s="1"/>
  <c r="H2" i="12"/>
  <c r="K478" i="11" s="1"/>
  <c r="K2" i="11"/>
  <c r="K4" i="11"/>
  <c r="K5" i="11"/>
  <c r="K6" i="11"/>
  <c r="K7" i="11"/>
  <c r="K8" i="11"/>
  <c r="K9" i="11"/>
  <c r="K10" i="11"/>
  <c r="K11" i="11"/>
  <c r="J2" i="11"/>
  <c r="J3" i="11"/>
  <c r="J4" i="11"/>
  <c r="J5" i="11"/>
  <c r="J6" i="11"/>
  <c r="J7" i="11"/>
  <c r="J8" i="11"/>
  <c r="J9" i="11"/>
  <c r="J10" i="11"/>
  <c r="J11" i="11"/>
  <c r="J12" i="11"/>
  <c r="J13" i="11"/>
  <c r="J14" i="11"/>
  <c r="J15" i="11"/>
  <c r="J16" i="11"/>
  <c r="J17" i="11"/>
  <c r="J18" i="11"/>
  <c r="J19" i="11"/>
  <c r="J20" i="11"/>
  <c r="J21" i="11"/>
  <c r="J22" i="11"/>
  <c r="J23" i="11"/>
  <c r="J24" i="11"/>
  <c r="J25" i="11"/>
  <c r="J26" i="11"/>
  <c r="J27" i="11"/>
  <c r="J28" i="11"/>
  <c r="J29" i="11"/>
  <c r="J30" i="11"/>
  <c r="J31" i="11"/>
  <c r="J32" i="11"/>
  <c r="J33" i="11"/>
  <c r="J34" i="11"/>
  <c r="J35" i="11"/>
  <c r="J36" i="11"/>
  <c r="J37" i="11"/>
  <c r="J38" i="11"/>
  <c r="J39" i="11"/>
  <c r="J40" i="11"/>
  <c r="J41" i="11"/>
  <c r="J42" i="11"/>
  <c r="J43" i="11"/>
  <c r="J44" i="11"/>
  <c r="J45" i="11"/>
  <c r="J46" i="11"/>
  <c r="J47" i="11"/>
  <c r="J48" i="11"/>
  <c r="J49" i="11"/>
  <c r="J50" i="11"/>
  <c r="J51" i="11"/>
  <c r="J52" i="11"/>
  <c r="J53" i="11"/>
  <c r="J54" i="11"/>
  <c r="J55" i="11"/>
  <c r="J56" i="11"/>
  <c r="J57" i="11"/>
  <c r="J58" i="11"/>
  <c r="J59" i="11"/>
  <c r="J60" i="11"/>
  <c r="J61" i="11"/>
  <c r="J62" i="11"/>
  <c r="J63" i="11"/>
  <c r="J64" i="11"/>
  <c r="J65" i="11"/>
  <c r="J66" i="11"/>
  <c r="J67" i="11"/>
  <c r="J68" i="11"/>
  <c r="J69" i="11"/>
  <c r="J70" i="11"/>
  <c r="J71" i="11"/>
  <c r="J72" i="11"/>
  <c r="J73" i="11"/>
  <c r="J74" i="11"/>
  <c r="J75" i="11"/>
  <c r="J76" i="11"/>
  <c r="J77" i="11"/>
  <c r="J78" i="11"/>
  <c r="J79" i="11"/>
  <c r="J80" i="11"/>
  <c r="J81" i="11"/>
  <c r="J82" i="11"/>
  <c r="J83" i="11"/>
  <c r="J84" i="11"/>
  <c r="J85" i="11"/>
  <c r="J86" i="11"/>
  <c r="J87" i="11"/>
  <c r="J88" i="11"/>
  <c r="J89" i="11"/>
  <c r="J90" i="11"/>
  <c r="J91" i="11"/>
  <c r="J92" i="11"/>
  <c r="J93" i="11"/>
  <c r="J94" i="11"/>
  <c r="J95" i="11"/>
  <c r="J96" i="11"/>
  <c r="J97" i="11"/>
  <c r="J98" i="11"/>
  <c r="J99" i="11"/>
  <c r="J100" i="11"/>
  <c r="J101" i="11"/>
  <c r="J102" i="11"/>
  <c r="J103" i="11"/>
  <c r="J104" i="11"/>
  <c r="J105" i="11"/>
  <c r="J106" i="11"/>
  <c r="J107" i="11"/>
  <c r="J108" i="11"/>
  <c r="J109" i="11"/>
  <c r="J110" i="11"/>
  <c r="J111" i="11"/>
  <c r="J112" i="11"/>
  <c r="J113" i="11"/>
  <c r="J114" i="11"/>
  <c r="J115" i="11"/>
  <c r="J116" i="11"/>
  <c r="J117" i="11"/>
  <c r="J118" i="11"/>
  <c r="J119" i="11"/>
  <c r="J120" i="11"/>
  <c r="J121" i="11"/>
  <c r="J122" i="11"/>
  <c r="J123" i="11"/>
  <c r="J124" i="11"/>
  <c r="J125" i="11"/>
  <c r="J126" i="11"/>
  <c r="J127" i="11"/>
  <c r="J128" i="11"/>
  <c r="J129" i="11"/>
  <c r="J130" i="11"/>
  <c r="J131" i="11"/>
  <c r="J132" i="11"/>
  <c r="J133" i="11"/>
  <c r="J134" i="11"/>
  <c r="J135" i="11"/>
  <c r="J136" i="11"/>
  <c r="J137" i="11"/>
  <c r="J138" i="11"/>
  <c r="J139" i="11"/>
  <c r="J140" i="11"/>
  <c r="J141" i="11"/>
  <c r="J142" i="11"/>
  <c r="J143" i="11"/>
  <c r="J144" i="11"/>
  <c r="J145" i="11"/>
  <c r="J146" i="11"/>
  <c r="J147" i="11"/>
  <c r="J148" i="11"/>
  <c r="J149" i="11"/>
  <c r="J150" i="11"/>
  <c r="J151" i="11"/>
  <c r="J152" i="11"/>
  <c r="J153" i="11"/>
  <c r="J154" i="11"/>
  <c r="J155" i="11"/>
  <c r="J156" i="11"/>
  <c r="J157" i="11"/>
  <c r="J158" i="11"/>
  <c r="J159" i="11"/>
  <c r="J160" i="11"/>
  <c r="J161" i="11"/>
  <c r="J162" i="11"/>
  <c r="J163" i="11"/>
  <c r="J164" i="11"/>
  <c r="J165" i="11"/>
  <c r="J166" i="11"/>
  <c r="J167" i="11"/>
  <c r="J168" i="11"/>
  <c r="J169" i="11"/>
  <c r="J170" i="11"/>
  <c r="J171" i="11"/>
  <c r="J172" i="11"/>
  <c r="J173" i="11"/>
  <c r="J174" i="11"/>
  <c r="J175" i="11"/>
  <c r="J176" i="11"/>
  <c r="J177" i="11"/>
  <c r="J178" i="11"/>
  <c r="J179" i="11"/>
  <c r="J180" i="11"/>
  <c r="J181" i="11"/>
  <c r="J182" i="11"/>
  <c r="J183" i="11"/>
  <c r="J184" i="11"/>
  <c r="J185" i="11"/>
  <c r="J186" i="11"/>
  <c r="J187" i="11"/>
  <c r="J188" i="11"/>
  <c r="J189" i="11"/>
  <c r="J190" i="11"/>
  <c r="J191" i="11"/>
  <c r="J192" i="11"/>
  <c r="J193" i="11"/>
  <c r="J194" i="11"/>
  <c r="J195" i="11"/>
  <c r="J196" i="11"/>
  <c r="J197" i="11"/>
  <c r="J198" i="11"/>
  <c r="J199" i="11"/>
  <c r="J200" i="11"/>
  <c r="J201" i="11"/>
  <c r="J202" i="11"/>
  <c r="J203" i="11"/>
  <c r="J204" i="11"/>
  <c r="J205" i="11"/>
  <c r="J206" i="11"/>
  <c r="J207" i="11"/>
  <c r="J208" i="11"/>
  <c r="J209" i="11"/>
  <c r="J210" i="11"/>
  <c r="J211" i="11"/>
  <c r="J212" i="11"/>
  <c r="J213" i="11"/>
  <c r="J214" i="11"/>
  <c r="J215" i="11"/>
  <c r="J216" i="11"/>
  <c r="J217" i="11"/>
  <c r="J218" i="11"/>
  <c r="J219" i="11"/>
  <c r="J220" i="11"/>
  <c r="J221" i="11"/>
  <c r="J222" i="11"/>
  <c r="J223" i="11"/>
  <c r="J224" i="11"/>
  <c r="J225" i="11"/>
  <c r="J226" i="11"/>
  <c r="J227" i="11"/>
  <c r="J228" i="11"/>
  <c r="J229" i="11"/>
  <c r="J230" i="11"/>
  <c r="J231" i="11"/>
  <c r="J232" i="11"/>
  <c r="J233" i="11"/>
  <c r="J234" i="11"/>
  <c r="J235" i="11"/>
  <c r="J236" i="11"/>
  <c r="J237" i="11"/>
  <c r="J238" i="11"/>
  <c r="J239" i="11"/>
  <c r="J240" i="11"/>
  <c r="J241" i="11"/>
  <c r="J242" i="11"/>
  <c r="J243" i="11"/>
  <c r="J244" i="11"/>
  <c r="J245" i="11"/>
  <c r="J246" i="11"/>
  <c r="J247" i="11"/>
  <c r="J248" i="11"/>
  <c r="J249" i="11"/>
  <c r="J250" i="11"/>
  <c r="J251" i="11"/>
  <c r="J252" i="11"/>
  <c r="J253" i="11"/>
  <c r="J254" i="11"/>
  <c r="J255" i="11"/>
  <c r="J256" i="11"/>
  <c r="J257" i="11"/>
  <c r="J258" i="11"/>
  <c r="J259" i="11"/>
  <c r="J260" i="11"/>
  <c r="J261" i="11"/>
  <c r="J262" i="11"/>
  <c r="J263" i="11"/>
  <c r="J264" i="11"/>
  <c r="J265" i="11"/>
  <c r="J266" i="11"/>
  <c r="J267" i="11"/>
  <c r="J268" i="11"/>
  <c r="J269" i="11"/>
  <c r="J270" i="11"/>
  <c r="J271" i="11"/>
  <c r="J272" i="11"/>
  <c r="J273" i="11"/>
  <c r="J274" i="11"/>
  <c r="J275" i="11"/>
  <c r="J276" i="11"/>
  <c r="J277" i="11"/>
  <c r="J278" i="11"/>
  <c r="J279" i="11"/>
  <c r="J280" i="11"/>
  <c r="J281" i="11"/>
  <c r="J282" i="11"/>
  <c r="J283" i="11"/>
  <c r="J284" i="11"/>
  <c r="J285" i="11"/>
  <c r="J286" i="11"/>
  <c r="J287" i="11"/>
  <c r="J288" i="11"/>
  <c r="J289" i="11"/>
  <c r="J290" i="11"/>
  <c r="J291" i="11"/>
  <c r="J292" i="11"/>
  <c r="J293" i="11"/>
  <c r="J294" i="11"/>
  <c r="J295" i="11"/>
  <c r="J296" i="11"/>
  <c r="J297" i="11"/>
  <c r="J298" i="11"/>
  <c r="J299" i="11"/>
  <c r="J300" i="11"/>
  <c r="J301" i="11"/>
  <c r="J302" i="11"/>
  <c r="J303" i="11"/>
  <c r="J304" i="11"/>
  <c r="J305" i="11"/>
  <c r="J306" i="11"/>
  <c r="J307" i="11"/>
  <c r="J308" i="11"/>
  <c r="J309" i="11"/>
  <c r="J310" i="11"/>
  <c r="J311" i="11"/>
  <c r="J312" i="11"/>
  <c r="J313" i="11"/>
  <c r="J314" i="11"/>
  <c r="J315" i="11"/>
  <c r="J316" i="11"/>
  <c r="J317" i="11"/>
  <c r="J318" i="11"/>
  <c r="J319" i="11"/>
  <c r="J320" i="11"/>
  <c r="J321" i="11"/>
  <c r="J322" i="11"/>
  <c r="J323" i="11"/>
  <c r="J324" i="11"/>
  <c r="J325" i="11"/>
  <c r="J326" i="11"/>
  <c r="J327" i="11"/>
  <c r="J328" i="11"/>
  <c r="J329" i="11"/>
  <c r="J330" i="11"/>
  <c r="J331" i="11"/>
  <c r="J332" i="11"/>
  <c r="J333" i="11"/>
  <c r="J334" i="11"/>
  <c r="J335" i="11"/>
  <c r="J336" i="11"/>
  <c r="J337" i="11"/>
  <c r="J338" i="11"/>
  <c r="J339" i="11"/>
  <c r="J340" i="11"/>
  <c r="J341" i="11"/>
  <c r="J342" i="11"/>
  <c r="J343" i="11"/>
  <c r="J344" i="11"/>
  <c r="J345" i="11"/>
  <c r="J346" i="11"/>
  <c r="J347" i="11"/>
  <c r="J348" i="11"/>
  <c r="J349" i="11"/>
  <c r="J350" i="11"/>
  <c r="J351" i="11"/>
  <c r="J352" i="11"/>
  <c r="J353" i="11"/>
  <c r="J354" i="11"/>
  <c r="J355" i="11"/>
  <c r="J356" i="11"/>
  <c r="J357" i="11"/>
  <c r="J358" i="11"/>
  <c r="J359" i="11"/>
  <c r="J360" i="11"/>
  <c r="J361" i="11"/>
  <c r="J362" i="11"/>
  <c r="J363" i="11"/>
  <c r="J364" i="11"/>
  <c r="J365" i="11"/>
  <c r="J366" i="11"/>
  <c r="J367" i="11"/>
  <c r="J368" i="11"/>
  <c r="J369" i="11"/>
  <c r="J370" i="11"/>
  <c r="J371" i="11"/>
  <c r="J372" i="11"/>
  <c r="J373" i="11"/>
  <c r="J374" i="11"/>
  <c r="J375" i="11"/>
  <c r="J376" i="11"/>
  <c r="J377" i="11"/>
  <c r="J378" i="11"/>
  <c r="J379" i="11"/>
  <c r="J380" i="11"/>
  <c r="J381" i="11"/>
  <c r="J382" i="11"/>
  <c r="J383" i="11"/>
  <c r="J384" i="11"/>
  <c r="J385" i="11"/>
  <c r="J386" i="11"/>
  <c r="J387" i="11"/>
  <c r="J388" i="11"/>
  <c r="J389" i="11"/>
  <c r="J390" i="11"/>
  <c r="J391" i="11"/>
  <c r="J392" i="11"/>
  <c r="J393" i="11"/>
  <c r="J394" i="11"/>
  <c r="J395" i="11"/>
  <c r="J396" i="11"/>
  <c r="J397" i="11"/>
  <c r="J398" i="11"/>
  <c r="J399" i="11"/>
  <c r="J400" i="11"/>
  <c r="J401" i="11"/>
  <c r="J402" i="11"/>
  <c r="J403" i="11"/>
  <c r="J404" i="11"/>
  <c r="J405" i="11"/>
  <c r="J406" i="11"/>
  <c r="J407" i="11"/>
  <c r="J408" i="11"/>
  <c r="J409" i="11"/>
  <c r="J410" i="11"/>
  <c r="J411" i="11"/>
  <c r="J412" i="11"/>
  <c r="J413" i="11"/>
  <c r="J414" i="11"/>
  <c r="J415" i="11"/>
  <c r="J416" i="11"/>
  <c r="J417" i="11"/>
  <c r="J418" i="11"/>
  <c r="J419" i="11"/>
  <c r="J420" i="11"/>
  <c r="J421" i="11"/>
  <c r="J422" i="11"/>
  <c r="J423" i="11"/>
  <c r="J424" i="11"/>
  <c r="J425" i="11"/>
  <c r="J426" i="11"/>
  <c r="J427" i="11"/>
  <c r="J428" i="11"/>
  <c r="J429" i="11"/>
  <c r="J430" i="11"/>
  <c r="J431" i="11"/>
  <c r="J432" i="11"/>
  <c r="J433" i="11"/>
  <c r="J434" i="11"/>
  <c r="J435" i="11"/>
  <c r="J436" i="11"/>
  <c r="J437" i="11"/>
  <c r="J438" i="11"/>
  <c r="J439" i="11"/>
  <c r="J440" i="11"/>
  <c r="J441" i="11"/>
  <c r="J442" i="11"/>
  <c r="J443" i="11"/>
  <c r="J444" i="11"/>
  <c r="J445" i="11"/>
  <c r="J446" i="11"/>
  <c r="J447" i="11"/>
  <c r="J448" i="11"/>
  <c r="J449" i="11"/>
  <c r="J450" i="11"/>
  <c r="J451" i="11"/>
  <c r="J452" i="11"/>
  <c r="J453" i="11"/>
  <c r="J454" i="11"/>
  <c r="J455" i="11"/>
  <c r="J456" i="11"/>
  <c r="J457" i="11"/>
  <c r="J458" i="11"/>
  <c r="J459" i="11"/>
  <c r="J460" i="11"/>
  <c r="J461" i="11"/>
  <c r="J462" i="11"/>
  <c r="J463" i="11"/>
  <c r="J464" i="11"/>
  <c r="J465" i="11"/>
  <c r="J466" i="11"/>
  <c r="J467" i="11"/>
  <c r="J468" i="11"/>
  <c r="J469" i="11"/>
  <c r="J470" i="11"/>
  <c r="J471" i="11"/>
  <c r="J472" i="11"/>
  <c r="J473" i="11"/>
  <c r="J474" i="11"/>
  <c r="J475" i="11"/>
  <c r="J476" i="11"/>
  <c r="J477" i="11"/>
  <c r="J478" i="11"/>
  <c r="J479" i="11"/>
  <c r="J480" i="11"/>
  <c r="J481" i="11"/>
  <c r="J482" i="11"/>
  <c r="J483" i="11"/>
  <c r="J484" i="11"/>
  <c r="J485" i="11"/>
  <c r="J486" i="11"/>
  <c r="J487" i="11"/>
  <c r="J488" i="11"/>
  <c r="J489" i="11"/>
  <c r="J490" i="11"/>
  <c r="J491" i="11"/>
  <c r="J492" i="11"/>
  <c r="J493" i="11"/>
  <c r="J494" i="11"/>
  <c r="J495" i="11"/>
  <c r="J496" i="11"/>
  <c r="J497" i="11"/>
  <c r="J498" i="11"/>
  <c r="J499" i="11"/>
  <c r="J500" i="11"/>
  <c r="J501" i="11"/>
  <c r="J502" i="11"/>
  <c r="J503" i="11"/>
  <c r="J504" i="11"/>
  <c r="J505" i="11"/>
  <c r="J506" i="11"/>
  <c r="J507" i="11"/>
  <c r="J508" i="11"/>
  <c r="J509" i="11"/>
  <c r="J510" i="11"/>
  <c r="J511" i="11"/>
  <c r="J512" i="11"/>
  <c r="J513" i="11"/>
  <c r="J514" i="11"/>
  <c r="J515" i="11"/>
  <c r="J516" i="11"/>
  <c r="J517" i="11"/>
  <c r="J518" i="11"/>
  <c r="J519" i="11"/>
  <c r="J520" i="11"/>
  <c r="J521" i="11"/>
  <c r="J522" i="11"/>
  <c r="J523" i="11"/>
  <c r="J524" i="11"/>
  <c r="J525" i="11"/>
  <c r="J526" i="11"/>
  <c r="J527" i="11"/>
  <c r="J528" i="11"/>
  <c r="J529" i="11"/>
  <c r="J530" i="11"/>
  <c r="J531" i="11"/>
  <c r="J532" i="11"/>
  <c r="J533" i="11"/>
  <c r="J534" i="11"/>
  <c r="J535" i="11"/>
  <c r="J536" i="11"/>
  <c r="J537" i="11"/>
  <c r="J538" i="11"/>
  <c r="J539" i="11"/>
  <c r="J540" i="11"/>
  <c r="J541" i="11"/>
  <c r="J542" i="11"/>
  <c r="J543" i="11"/>
  <c r="J544" i="11"/>
  <c r="J545" i="11"/>
  <c r="J546" i="11"/>
  <c r="J547" i="11"/>
  <c r="J548" i="11"/>
  <c r="J549" i="11"/>
  <c r="J550" i="11"/>
  <c r="J551" i="11"/>
  <c r="J552" i="11"/>
  <c r="J553" i="11"/>
  <c r="J554" i="11"/>
  <c r="J555" i="11"/>
  <c r="L2" i="11" l="1"/>
  <c r="L3" i="11"/>
  <c r="L4" i="11"/>
  <c r="L5" i="11"/>
  <c r="L6" i="11"/>
  <c r="L7" i="11"/>
  <c r="L8" i="11"/>
  <c r="L9" i="11"/>
  <c r="L10" i="11"/>
  <c r="L11" i="11"/>
  <c r="L12" i="11"/>
  <c r="L13" i="11"/>
  <c r="L14" i="11"/>
  <c r="L15" i="11"/>
  <c r="L16" i="11"/>
  <c r="L17" i="11"/>
  <c r="L18" i="11"/>
  <c r="L19" i="11"/>
  <c r="L20" i="11"/>
  <c r="L21" i="11"/>
  <c r="L22" i="11"/>
  <c r="L23" i="11"/>
  <c r="L24" i="11"/>
  <c r="L25" i="11"/>
  <c r="L26" i="11"/>
  <c r="L27" i="11"/>
  <c r="L28" i="11"/>
  <c r="L29" i="11"/>
  <c r="L30" i="11"/>
  <c r="L31" i="11"/>
  <c r="L32" i="11"/>
  <c r="L33" i="11"/>
  <c r="L34" i="11"/>
  <c r="L35" i="11"/>
  <c r="L36" i="11"/>
  <c r="L37" i="11"/>
  <c r="L38" i="11"/>
  <c r="L39" i="11"/>
  <c r="L40" i="11"/>
  <c r="L41" i="11"/>
  <c r="L42" i="11"/>
  <c r="L43" i="11"/>
  <c r="L44" i="11"/>
  <c r="L45" i="11"/>
  <c r="L46" i="11"/>
  <c r="L47" i="11"/>
  <c r="L48" i="11"/>
  <c r="L49" i="11"/>
  <c r="L50" i="11"/>
  <c r="L51" i="11"/>
  <c r="L52" i="11"/>
  <c r="L53" i="11"/>
  <c r="L54" i="11"/>
  <c r="L55" i="11"/>
  <c r="L56" i="11"/>
  <c r="L57" i="11"/>
  <c r="L58" i="11"/>
  <c r="L59" i="11"/>
  <c r="L60" i="11"/>
  <c r="L61" i="11"/>
  <c r="L62" i="11"/>
  <c r="L63" i="11"/>
  <c r="L64" i="11"/>
  <c r="L65" i="11"/>
  <c r="L66" i="11"/>
  <c r="L67" i="11"/>
  <c r="L68" i="11"/>
  <c r="L69" i="11"/>
  <c r="L70" i="11"/>
  <c r="L71" i="11"/>
  <c r="L72" i="11"/>
  <c r="L73" i="11"/>
  <c r="L74" i="11"/>
  <c r="L75" i="11"/>
  <c r="L76" i="11"/>
  <c r="L77" i="11"/>
  <c r="L78" i="11"/>
  <c r="L79" i="11"/>
  <c r="L80" i="11"/>
  <c r="L81" i="11"/>
  <c r="L82" i="11"/>
  <c r="L83" i="11"/>
  <c r="L84" i="11"/>
  <c r="L85" i="11"/>
  <c r="L86" i="11"/>
  <c r="L87" i="11"/>
  <c r="L88" i="11"/>
  <c r="L89" i="11"/>
  <c r="L90" i="11"/>
  <c r="L91" i="11"/>
  <c r="L92" i="11"/>
  <c r="L93" i="11"/>
  <c r="L94" i="11"/>
  <c r="L95" i="11"/>
  <c r="L96" i="11"/>
  <c r="L97" i="11"/>
  <c r="L98" i="11"/>
  <c r="L99" i="11"/>
  <c r="L100" i="11"/>
  <c r="L101" i="11"/>
  <c r="L102" i="11"/>
  <c r="L103" i="11"/>
  <c r="L104" i="11"/>
  <c r="L105" i="11"/>
  <c r="L106" i="11"/>
  <c r="L107" i="11"/>
  <c r="L108" i="11"/>
  <c r="L109" i="11"/>
  <c r="L110" i="11"/>
  <c r="L111" i="11"/>
  <c r="L112" i="11"/>
  <c r="L113" i="11"/>
  <c r="L114" i="11"/>
  <c r="L115" i="11"/>
  <c r="L116" i="11"/>
  <c r="L117" i="11"/>
  <c r="L118" i="11"/>
  <c r="L119" i="11"/>
  <c r="L120" i="11"/>
  <c r="L121" i="11"/>
  <c r="L122" i="11"/>
  <c r="L123" i="11"/>
  <c r="L124" i="11"/>
  <c r="L125" i="11"/>
  <c r="L126" i="11"/>
  <c r="L127" i="11"/>
  <c r="L128" i="11"/>
  <c r="L129" i="11"/>
  <c r="L130" i="11"/>
  <c r="L131" i="11"/>
  <c r="L132" i="11"/>
  <c r="L133" i="11"/>
  <c r="L134" i="11"/>
  <c r="L135" i="11"/>
  <c r="L136" i="11"/>
  <c r="L137" i="11"/>
  <c r="L138" i="11"/>
  <c r="L139" i="11"/>
  <c r="L140" i="11"/>
  <c r="L141" i="11"/>
  <c r="L142" i="11"/>
  <c r="L143" i="11"/>
  <c r="L144" i="11"/>
  <c r="L145" i="11"/>
  <c r="L146" i="11"/>
  <c r="L147" i="11"/>
  <c r="L148" i="11"/>
  <c r="L149" i="11"/>
  <c r="L150" i="11"/>
  <c r="L151" i="11"/>
  <c r="L152" i="11"/>
  <c r="L153" i="11"/>
  <c r="L154" i="11"/>
  <c r="L155" i="11"/>
  <c r="L156" i="11"/>
  <c r="L157" i="11"/>
  <c r="L158" i="11"/>
  <c r="L159" i="11"/>
  <c r="L160" i="11"/>
  <c r="L161" i="11"/>
  <c r="L162" i="11"/>
  <c r="L163" i="11"/>
  <c r="L164" i="11"/>
  <c r="L165" i="11"/>
  <c r="L166" i="11"/>
  <c r="L167" i="11"/>
  <c r="L168" i="11"/>
  <c r="L169" i="11"/>
  <c r="L170" i="11"/>
  <c r="L171" i="11"/>
  <c r="L172" i="11"/>
  <c r="L173" i="11"/>
  <c r="L174" i="11"/>
  <c r="L175" i="11"/>
  <c r="L176" i="11"/>
  <c r="L177" i="11"/>
  <c r="L178" i="11"/>
  <c r="L179" i="11"/>
  <c r="L180" i="11"/>
  <c r="L181" i="11"/>
  <c r="L182" i="11"/>
  <c r="L183" i="11"/>
  <c r="L184" i="11"/>
  <c r="L185" i="11"/>
  <c r="L186" i="11"/>
  <c r="L187" i="11"/>
  <c r="L188" i="11"/>
  <c r="L189" i="11"/>
  <c r="L190" i="11"/>
  <c r="L191" i="11"/>
  <c r="L192" i="11"/>
  <c r="L193" i="11"/>
  <c r="L194" i="11"/>
  <c r="L195" i="11"/>
  <c r="L196" i="11"/>
  <c r="L197" i="11"/>
  <c r="L198" i="11"/>
  <c r="L199" i="11"/>
  <c r="L200" i="11"/>
  <c r="L201" i="11"/>
  <c r="L202" i="11"/>
  <c r="L203" i="11"/>
  <c r="L204" i="11"/>
  <c r="L205" i="11"/>
  <c r="L206" i="11"/>
  <c r="L207" i="11"/>
  <c r="L208" i="11"/>
  <c r="L209" i="11"/>
  <c r="L210" i="11"/>
  <c r="L211" i="11"/>
  <c r="L212" i="11"/>
  <c r="L213" i="11"/>
  <c r="L214" i="11"/>
  <c r="L215" i="11"/>
  <c r="L216" i="11"/>
  <c r="L217" i="11"/>
  <c r="L218" i="11"/>
  <c r="L219" i="11"/>
  <c r="L220" i="11"/>
  <c r="L221" i="11"/>
  <c r="L222" i="11"/>
  <c r="L223" i="11"/>
  <c r="L224" i="11"/>
  <c r="L225" i="11"/>
  <c r="L226" i="11"/>
  <c r="L227" i="11"/>
  <c r="L228" i="11"/>
  <c r="L229" i="11"/>
  <c r="L230" i="11"/>
  <c r="L231" i="11"/>
  <c r="L232" i="11"/>
  <c r="L233" i="11"/>
  <c r="L234" i="11"/>
  <c r="L235" i="11"/>
  <c r="L236" i="11"/>
  <c r="L237" i="11"/>
  <c r="L238" i="11"/>
  <c r="L239" i="11"/>
  <c r="L240" i="11"/>
  <c r="L241" i="11"/>
  <c r="L242" i="11"/>
  <c r="L243" i="11"/>
  <c r="L244" i="11"/>
  <c r="L245" i="11"/>
  <c r="L246" i="11"/>
  <c r="L247" i="11"/>
  <c r="L248" i="11"/>
  <c r="L249" i="11"/>
  <c r="L250" i="11"/>
  <c r="L251" i="11"/>
  <c r="L252" i="11"/>
  <c r="L253" i="11"/>
  <c r="L254" i="11"/>
  <c r="L255" i="11"/>
  <c r="L256" i="11"/>
  <c r="L257" i="11"/>
  <c r="L258" i="11"/>
  <c r="L259" i="11"/>
  <c r="L260" i="11"/>
  <c r="L261" i="11"/>
  <c r="L262" i="11"/>
  <c r="L263" i="11"/>
  <c r="L264" i="11"/>
  <c r="L265" i="11"/>
  <c r="L266" i="11"/>
  <c r="L267" i="11"/>
  <c r="L268" i="11"/>
  <c r="L269" i="11"/>
  <c r="L270" i="11"/>
  <c r="L271" i="11"/>
  <c r="L272" i="11"/>
  <c r="L273" i="11"/>
  <c r="L274" i="11"/>
  <c r="L275" i="11"/>
  <c r="L276" i="11"/>
  <c r="L277" i="11"/>
  <c r="L278" i="11"/>
  <c r="L279" i="11"/>
  <c r="L280" i="11"/>
  <c r="L281" i="11"/>
  <c r="L282" i="11"/>
  <c r="L283" i="11"/>
  <c r="L284" i="11"/>
  <c r="L285" i="11"/>
  <c r="L286" i="11"/>
  <c r="L287" i="11"/>
  <c r="L288" i="11"/>
  <c r="L289" i="11"/>
  <c r="L290" i="11"/>
  <c r="L291" i="11"/>
  <c r="L292" i="11"/>
  <c r="L293" i="11"/>
  <c r="L294" i="11"/>
  <c r="L295" i="11"/>
  <c r="L296" i="11"/>
  <c r="L297" i="11"/>
  <c r="L298" i="11"/>
  <c r="L299" i="11"/>
  <c r="L300" i="11"/>
  <c r="L301" i="11"/>
  <c r="L302" i="11"/>
  <c r="L303" i="11"/>
  <c r="L304" i="11"/>
  <c r="L305" i="11"/>
  <c r="L306" i="11"/>
  <c r="L307" i="11"/>
  <c r="L308" i="11"/>
  <c r="L309" i="11"/>
  <c r="L310" i="11"/>
  <c r="L311" i="11"/>
  <c r="L312" i="11"/>
  <c r="L313" i="11"/>
  <c r="L314" i="11"/>
  <c r="L315" i="11"/>
  <c r="L316" i="11"/>
  <c r="L317" i="11"/>
  <c r="L318" i="11"/>
  <c r="L319" i="11"/>
  <c r="L320" i="11"/>
  <c r="L321" i="11"/>
  <c r="L322" i="11"/>
  <c r="L323" i="11"/>
  <c r="L324" i="11"/>
  <c r="L325" i="11"/>
  <c r="L326" i="11"/>
  <c r="L327" i="11"/>
  <c r="L328" i="11"/>
  <c r="L329" i="11"/>
  <c r="L330" i="11"/>
  <c r="L331" i="11"/>
  <c r="L332" i="11"/>
  <c r="L333" i="11"/>
  <c r="L334" i="11"/>
  <c r="L335" i="11"/>
  <c r="L336" i="11"/>
  <c r="L337" i="11"/>
  <c r="L338" i="11"/>
  <c r="L339" i="11"/>
  <c r="L340" i="11"/>
  <c r="L341" i="11"/>
  <c r="L342" i="11"/>
  <c r="L343" i="11"/>
  <c r="L344" i="11"/>
  <c r="L345" i="11"/>
  <c r="L346" i="11"/>
  <c r="L347" i="11"/>
  <c r="L348" i="11"/>
  <c r="L349" i="11"/>
  <c r="L350" i="11"/>
  <c r="L351" i="11"/>
  <c r="L352" i="11"/>
  <c r="L353" i="11"/>
  <c r="L354" i="11"/>
  <c r="L355" i="11"/>
  <c r="L356" i="11"/>
  <c r="L357" i="11"/>
  <c r="L358" i="11"/>
  <c r="L359" i="11"/>
  <c r="L360" i="11"/>
  <c r="L361" i="11"/>
  <c r="L362" i="11"/>
  <c r="L363" i="11"/>
  <c r="L364" i="11"/>
  <c r="L365" i="11"/>
  <c r="L366" i="11"/>
  <c r="L367" i="11"/>
  <c r="L368" i="11"/>
  <c r="L369" i="11"/>
  <c r="L370" i="11"/>
  <c r="L371" i="11"/>
  <c r="L372" i="11"/>
  <c r="L373" i="11"/>
  <c r="L374" i="11"/>
  <c r="L375" i="11"/>
  <c r="L376" i="11"/>
  <c r="L377" i="11"/>
  <c r="L378" i="11"/>
  <c r="L379" i="11"/>
  <c r="L380" i="11"/>
  <c r="L381" i="11"/>
  <c r="L382" i="11"/>
  <c r="L383" i="11"/>
  <c r="L384" i="11"/>
  <c r="L385" i="11"/>
  <c r="L386" i="11"/>
  <c r="L387" i="11"/>
  <c r="L388" i="11"/>
  <c r="L389" i="11"/>
  <c r="L390" i="11"/>
  <c r="L391" i="11"/>
  <c r="L392" i="11"/>
  <c r="L393" i="11"/>
  <c r="L394" i="11"/>
  <c r="L395" i="11"/>
  <c r="L396" i="11"/>
  <c r="L397" i="11"/>
  <c r="L398" i="11"/>
  <c r="L399" i="11"/>
  <c r="L400" i="11"/>
  <c r="L401" i="11"/>
  <c r="L402" i="11"/>
  <c r="L403" i="11"/>
  <c r="L404" i="11"/>
  <c r="L405" i="11"/>
  <c r="L406" i="11"/>
  <c r="L407" i="11"/>
  <c r="L408" i="11"/>
  <c r="L409" i="11"/>
  <c r="L410" i="11"/>
  <c r="L411" i="11"/>
  <c r="L412" i="11"/>
  <c r="L413" i="11"/>
  <c r="L414" i="11"/>
  <c r="L415" i="11"/>
  <c r="L416" i="11"/>
  <c r="L417" i="11"/>
  <c r="L418" i="11"/>
  <c r="L419" i="11"/>
  <c r="L420" i="11"/>
  <c r="L421" i="11"/>
  <c r="L422" i="11"/>
  <c r="L423" i="11"/>
  <c r="L424" i="11"/>
  <c r="L425" i="11"/>
  <c r="L426" i="11"/>
  <c r="L427" i="11"/>
  <c r="L428" i="11"/>
  <c r="L429" i="11"/>
  <c r="L430" i="11"/>
  <c r="L431" i="11"/>
  <c r="L432" i="11"/>
  <c r="L433" i="11"/>
  <c r="L434" i="11"/>
  <c r="L435" i="11"/>
  <c r="L436" i="11"/>
  <c r="L437" i="11"/>
  <c r="L438" i="11"/>
  <c r="L439" i="11"/>
  <c r="L440" i="11"/>
  <c r="L441" i="11"/>
  <c r="L442" i="11"/>
  <c r="L443" i="11"/>
  <c r="L444" i="11"/>
  <c r="L445" i="11"/>
  <c r="L446" i="11"/>
  <c r="L447" i="11"/>
  <c r="L448" i="11"/>
  <c r="L449" i="11"/>
  <c r="L450" i="11"/>
  <c r="L451" i="11"/>
  <c r="L452" i="11"/>
  <c r="L453" i="11"/>
  <c r="L454" i="11"/>
  <c r="L455" i="11"/>
  <c r="L456" i="11"/>
  <c r="L457" i="11"/>
  <c r="L458" i="11"/>
  <c r="L459" i="11"/>
  <c r="L460" i="11"/>
  <c r="L461" i="11"/>
  <c r="L462" i="11"/>
  <c r="L463" i="11"/>
  <c r="L464" i="11"/>
  <c r="L465" i="11"/>
  <c r="L466" i="11"/>
  <c r="L467" i="11"/>
  <c r="L468" i="11"/>
  <c r="L469" i="11"/>
  <c r="L470" i="11"/>
  <c r="L471" i="11"/>
  <c r="L472" i="11"/>
  <c r="L473" i="11"/>
  <c r="L474" i="11"/>
  <c r="L475" i="11"/>
  <c r="L476" i="11"/>
  <c r="L477" i="11"/>
  <c r="L478" i="11"/>
  <c r="L479" i="11"/>
  <c r="L480" i="11"/>
  <c r="L481" i="11"/>
  <c r="L482" i="11"/>
  <c r="L483" i="11"/>
  <c r="L484" i="11"/>
  <c r="L485" i="11"/>
  <c r="L486" i="11"/>
  <c r="L487" i="11"/>
  <c r="L488" i="11"/>
  <c r="L489" i="11"/>
  <c r="L490" i="11"/>
  <c r="L491" i="11"/>
  <c r="L492" i="11"/>
  <c r="L493" i="11"/>
  <c r="L494" i="11"/>
  <c r="L495" i="11"/>
  <c r="L496" i="11"/>
  <c r="L497" i="11"/>
  <c r="L498" i="11"/>
  <c r="L499" i="11"/>
  <c r="L500" i="11"/>
  <c r="L501" i="11"/>
  <c r="L502" i="11"/>
  <c r="L503" i="11"/>
  <c r="L504" i="11"/>
  <c r="L505" i="11"/>
  <c r="L506" i="11"/>
  <c r="L507" i="11"/>
  <c r="L508" i="11"/>
  <c r="L509" i="11"/>
  <c r="L510" i="11"/>
  <c r="L511" i="11"/>
  <c r="L512" i="11"/>
  <c r="L513" i="11"/>
  <c r="L514" i="11"/>
  <c r="L515" i="11"/>
  <c r="L516" i="11"/>
  <c r="L517" i="11"/>
  <c r="L518" i="11"/>
  <c r="L519" i="11"/>
  <c r="L520" i="11"/>
  <c r="L521" i="11"/>
  <c r="L522" i="11"/>
  <c r="L523" i="11"/>
  <c r="L524" i="11"/>
  <c r="L525" i="11"/>
  <c r="L526" i="11"/>
  <c r="L527" i="11"/>
  <c r="L528" i="11"/>
  <c r="L529" i="11"/>
  <c r="L530" i="11"/>
  <c r="L531" i="11"/>
  <c r="L532" i="11"/>
  <c r="L533" i="11"/>
  <c r="L534" i="11"/>
  <c r="L535" i="11"/>
  <c r="L536" i="11"/>
  <c r="L537" i="11"/>
  <c r="L538" i="11"/>
  <c r="L539" i="11"/>
  <c r="L540" i="11"/>
  <c r="L541" i="11"/>
  <c r="L542" i="11"/>
  <c r="L543" i="11"/>
  <c r="L544" i="11"/>
  <c r="L545" i="11"/>
  <c r="L546" i="11"/>
  <c r="L547" i="11"/>
  <c r="L548" i="11"/>
  <c r="L549" i="11"/>
  <c r="L550" i="11"/>
  <c r="L551" i="11"/>
  <c r="L552" i="11"/>
  <c r="L553" i="11"/>
  <c r="L554" i="11"/>
  <c r="L555" i="11"/>
  <c r="K72" i="11"/>
  <c r="K552" i="11"/>
  <c r="K144" i="11"/>
  <c r="K385" i="11"/>
  <c r="K44" i="11"/>
  <c r="K55" i="11"/>
  <c r="K316" i="11"/>
  <c r="K81" i="11"/>
  <c r="K508" i="11"/>
  <c r="K482" i="11"/>
  <c r="K347" i="11"/>
  <c r="K221" i="11"/>
  <c r="K352" i="11"/>
  <c r="K338" i="11"/>
  <c r="K401" i="11"/>
  <c r="K174" i="11"/>
  <c r="K13" i="11"/>
  <c r="K90" i="11"/>
  <c r="K365" i="11"/>
  <c r="K23" i="11"/>
  <c r="K544" i="11"/>
  <c r="K475" i="11"/>
  <c r="K80" i="11"/>
  <c r="K127" i="11"/>
  <c r="K462" i="11"/>
  <c r="K367" i="11"/>
  <c r="K298" i="11"/>
  <c r="K376" i="11"/>
  <c r="K439" i="11"/>
  <c r="K297" i="11"/>
  <c r="K417" i="11"/>
  <c r="K308" i="11"/>
  <c r="K302" i="11"/>
  <c r="K248" i="11"/>
  <c r="K156" i="11"/>
  <c r="K279" i="11"/>
  <c r="K61" i="11"/>
  <c r="K117" i="11"/>
  <c r="K545" i="11"/>
  <c r="K140" i="11"/>
  <c r="K294" i="11"/>
  <c r="K305" i="11"/>
  <c r="K325" i="11"/>
  <c r="K555" i="11"/>
  <c r="K485" i="11"/>
  <c r="K226" i="11"/>
  <c r="K268" i="11"/>
  <c r="K204" i="11"/>
  <c r="K510" i="11"/>
  <c r="K162" i="11"/>
  <c r="K147" i="11"/>
  <c r="K168" i="11"/>
  <c r="K187" i="11"/>
  <c r="K175" i="11"/>
  <c r="K222" i="11"/>
  <c r="K105" i="11"/>
  <c r="K181" i="11"/>
  <c r="K377" i="11"/>
  <c r="K415" i="11"/>
  <c r="K238" i="11"/>
  <c r="K254" i="11"/>
  <c r="K70" i="11"/>
  <c r="K540" i="11"/>
  <c r="K358" i="11"/>
  <c r="K233" i="11"/>
  <c r="K538" i="11"/>
  <c r="K35" i="11"/>
  <c r="K57" i="11"/>
  <c r="K138" i="11"/>
  <c r="K458" i="11"/>
  <c r="K492" i="11"/>
  <c r="K85" i="11"/>
  <c r="K126" i="11"/>
  <c r="K191" i="11"/>
  <c r="K15" i="11"/>
  <c r="K157" i="11"/>
  <c r="K274" i="11"/>
  <c r="K528" i="11"/>
  <c r="K519" i="11"/>
  <c r="K353" i="11"/>
  <c r="K388" i="11"/>
  <c r="K529" i="11"/>
  <c r="K43" i="11"/>
  <c r="K94" i="11"/>
  <c r="K495" i="11"/>
  <c r="K231" i="11"/>
  <c r="K239" i="11"/>
  <c r="K110" i="11"/>
  <c r="K269" i="11"/>
  <c r="K499" i="11"/>
  <c r="K112" i="11"/>
  <c r="K33" i="11"/>
  <c r="K328" i="11"/>
  <c r="K369" i="11"/>
  <c r="K249" i="11"/>
  <c r="K446" i="11"/>
  <c r="K212" i="11"/>
  <c r="K209" i="11"/>
  <c r="K160" i="11"/>
  <c r="K26" i="11"/>
  <c r="K242" i="11"/>
  <c r="K469" i="11"/>
  <c r="K171" i="11"/>
  <c r="K69" i="11"/>
  <c r="K210" i="11"/>
  <c r="K359" i="11"/>
  <c r="K283" i="11"/>
  <c r="K403" i="11"/>
  <c r="K264" i="11"/>
  <c r="K394" i="11"/>
  <c r="K343" i="11"/>
  <c r="K277" i="11"/>
  <c r="K150" i="11"/>
  <c r="K453" i="11"/>
  <c r="K313" i="11"/>
  <c r="K182" i="11"/>
  <c r="K75" i="11"/>
  <c r="K513" i="11"/>
  <c r="K421" i="11"/>
  <c r="K288" i="11"/>
  <c r="K543" i="11"/>
  <c r="K87" i="11"/>
  <c r="K500" i="11"/>
  <c r="K229" i="11"/>
  <c r="K324" i="11"/>
  <c r="K129" i="11"/>
  <c r="K533" i="11"/>
  <c r="K448" i="11"/>
  <c r="K311" i="11"/>
  <c r="K65" i="11"/>
  <c r="K512" i="11"/>
  <c r="K387" i="11"/>
  <c r="K62" i="11"/>
  <c r="K346" i="11"/>
  <c r="K88" i="11"/>
  <c r="K299" i="11"/>
  <c r="K278" i="11"/>
  <c r="K281" i="11"/>
  <c r="K256" i="11"/>
  <c r="K444" i="11"/>
  <c r="K192" i="11"/>
  <c r="K227" i="11"/>
  <c r="K48" i="11"/>
  <c r="K217" i="11"/>
  <c r="K184" i="11"/>
  <c r="K547" i="11"/>
  <c r="K496" i="11"/>
  <c r="K534" i="11"/>
  <c r="K312" i="11"/>
  <c r="K306" i="11"/>
  <c r="K307" i="11"/>
  <c r="K315" i="11"/>
  <c r="K327" i="11"/>
  <c r="K309" i="11"/>
  <c r="K51" i="11"/>
  <c r="K494" i="11"/>
  <c r="K319" i="11"/>
  <c r="K183" i="11"/>
  <c r="K326" i="11"/>
  <c r="K135" i="11"/>
  <c r="K360" i="11"/>
  <c r="K335" i="11"/>
  <c r="K440" i="11"/>
  <c r="K275" i="11"/>
  <c r="K321" i="11"/>
  <c r="K247" i="11"/>
  <c r="K260" i="11"/>
  <c r="K522" i="11"/>
  <c r="K128" i="11"/>
  <c r="K402" i="11"/>
  <c r="K50" i="11"/>
  <c r="K371" i="11"/>
  <c r="K539" i="11"/>
  <c r="K104" i="11"/>
  <c r="K424" i="11"/>
  <c r="K60" i="11"/>
  <c r="K323" i="11"/>
  <c r="K414" i="11"/>
  <c r="K257" i="11"/>
  <c r="K454" i="11"/>
  <c r="K267" i="11"/>
  <c r="K188" i="11"/>
  <c r="K100" i="11"/>
  <c r="K490" i="11"/>
  <c r="K25" i="11"/>
  <c r="K397" i="11"/>
  <c r="K290" i="11"/>
  <c r="K374" i="11"/>
  <c r="K34" i="11"/>
  <c r="K109" i="11"/>
  <c r="K19" i="11"/>
  <c r="K456" i="11"/>
  <c r="K253" i="11"/>
  <c r="K68" i="11"/>
  <c r="K554" i="11"/>
  <c r="K200" i="11"/>
  <c r="K428" i="11"/>
  <c r="K378" i="11"/>
  <c r="K131" i="11"/>
  <c r="K455" i="11"/>
  <c r="K320" i="11"/>
  <c r="K197" i="11"/>
  <c r="K399" i="11"/>
  <c r="K64" i="11"/>
  <c r="K102" i="11"/>
  <c r="K355" i="11"/>
  <c r="K243" i="11"/>
  <c r="K42" i="11"/>
  <c r="K507" i="11"/>
  <c r="K161" i="11"/>
  <c r="K241" i="11"/>
  <c r="K106" i="11"/>
  <c r="K41" i="11"/>
  <c r="K467" i="11"/>
  <c r="K52" i="11"/>
  <c r="K286" i="11"/>
  <c r="K442" i="11"/>
  <c r="K113" i="11"/>
  <c r="K413" i="11"/>
  <c r="K491" i="11"/>
  <c r="K449" i="11"/>
  <c r="K170" i="11"/>
  <c r="K141" i="11"/>
  <c r="K143" i="11"/>
  <c r="K176" i="11"/>
  <c r="K431" i="11"/>
  <c r="K58" i="11"/>
  <c r="K471" i="11"/>
  <c r="K56" i="11"/>
  <c r="K272" i="11"/>
  <c r="K219" i="11"/>
  <c r="K220" i="11"/>
  <c r="K107" i="11"/>
  <c r="K523" i="11"/>
  <c r="K330" i="11"/>
  <c r="K350" i="11"/>
  <c r="K502" i="11"/>
  <c r="K14" i="11"/>
  <c r="K515" i="11"/>
  <c r="K383" i="11"/>
  <c r="K372" i="11"/>
  <c r="K155" i="11"/>
  <c r="K163" i="11"/>
  <c r="K504" i="11"/>
  <c r="K418" i="11"/>
  <c r="K501" i="11"/>
  <c r="K45" i="11"/>
  <c r="K130" i="11"/>
  <c r="K336" i="11"/>
  <c r="K202" i="11"/>
  <c r="K263" i="11"/>
  <c r="K95" i="11"/>
  <c r="K506" i="11"/>
  <c r="K370" i="11"/>
  <c r="K314" i="11"/>
  <c r="K74" i="11"/>
  <c r="K542" i="11"/>
  <c r="K473" i="11"/>
  <c r="K91" i="11"/>
  <c r="K276" i="11"/>
  <c r="K250" i="11"/>
  <c r="K344" i="11"/>
  <c r="K460" i="11"/>
  <c r="K24" i="11"/>
  <c r="K525" i="11"/>
  <c r="K179" i="11"/>
  <c r="K357" i="11"/>
  <c r="K266" i="11"/>
  <c r="K216" i="11"/>
  <c r="K18" i="11"/>
  <c r="K509" i="11"/>
  <c r="K425" i="11"/>
  <c r="K303" i="11"/>
  <c r="K546" i="11"/>
  <c r="K119" i="11"/>
  <c r="K457" i="11"/>
  <c r="K234" i="11"/>
  <c r="K99" i="11"/>
  <c r="K489" i="11"/>
  <c r="K398" i="11"/>
  <c r="K262" i="11"/>
  <c r="K304" i="11"/>
  <c r="K317" i="11"/>
  <c r="K331" i="11"/>
  <c r="K121" i="11"/>
  <c r="K116" i="11"/>
  <c r="K194" i="11"/>
  <c r="K488" i="11"/>
  <c r="K497" i="11"/>
  <c r="K133" i="11"/>
  <c r="K158" i="11"/>
  <c r="K193" i="11"/>
  <c r="K180" i="11"/>
  <c r="K356" i="11"/>
  <c r="K422" i="11"/>
  <c r="K201" i="11"/>
  <c r="K389" i="11"/>
  <c r="K521" i="11"/>
  <c r="K230" i="11"/>
  <c r="K404" i="11"/>
  <c r="K470" i="11"/>
  <c r="K154" i="11"/>
  <c r="K71" i="11"/>
  <c r="K93" i="11"/>
  <c r="K21" i="11"/>
  <c r="K550" i="11"/>
  <c r="K136" i="11"/>
  <c r="K142" i="11"/>
  <c r="K517" i="11"/>
  <c r="K291" i="11"/>
  <c r="K429" i="11"/>
  <c r="K265" i="11"/>
  <c r="K214" i="11"/>
  <c r="K47" i="11"/>
  <c r="K96" i="11"/>
  <c r="K198" i="11"/>
  <c r="K78" i="11"/>
  <c r="K159" i="11"/>
  <c r="K516" i="11"/>
  <c r="K430" i="11"/>
  <c r="K31" i="11"/>
  <c r="K77" i="11"/>
  <c r="K441" i="11"/>
  <c r="K427" i="11"/>
  <c r="K461" i="11"/>
  <c r="K463" i="11"/>
  <c r="K436" i="11"/>
  <c r="K213" i="11"/>
  <c r="K329" i="11"/>
  <c r="K406" i="11"/>
  <c r="K420" i="11"/>
  <c r="K341" i="11"/>
  <c r="K348" i="11"/>
  <c r="K54" i="11"/>
  <c r="K452" i="11"/>
  <c r="K532" i="11"/>
  <c r="K149" i="11"/>
  <c r="K351" i="11"/>
  <c r="K537" i="11"/>
  <c r="K301" i="11"/>
  <c r="K393" i="11"/>
  <c r="K364" i="11"/>
  <c r="K300" i="11"/>
  <c r="K483" i="11"/>
  <c r="K505" i="11"/>
  <c r="K167" i="11"/>
  <c r="K438" i="11"/>
  <c r="K255" i="11"/>
  <c r="K115" i="11"/>
  <c r="K472" i="11"/>
  <c r="K411" i="11"/>
  <c r="K468" i="11"/>
  <c r="K244" i="11"/>
  <c r="K101" i="11"/>
  <c r="K225" i="11"/>
  <c r="K480" i="11"/>
  <c r="K410" i="11"/>
  <c r="K232" i="11"/>
  <c r="K293" i="11"/>
  <c r="K211" i="11"/>
  <c r="K535" i="11"/>
  <c r="K79" i="11"/>
  <c r="K189" i="11"/>
  <c r="K89" i="11"/>
  <c r="K464" i="11"/>
  <c r="K67" i="11"/>
  <c r="K381" i="11"/>
  <c r="K76" i="11"/>
  <c r="K287" i="11"/>
  <c r="K486" i="11"/>
  <c r="K479" i="11"/>
  <c r="K511" i="11"/>
  <c r="K285" i="11"/>
  <c r="K409" i="11"/>
  <c r="K445" i="11"/>
  <c r="K541" i="11"/>
  <c r="K333" i="11"/>
  <c r="K390" i="11"/>
  <c r="K37" i="11"/>
  <c r="K405" i="11"/>
  <c r="K84" i="11"/>
  <c r="K451" i="11"/>
  <c r="K271" i="11"/>
  <c r="K178" i="11"/>
  <c r="K434" i="11"/>
  <c r="K186" i="11"/>
  <c r="K395" i="11"/>
  <c r="K165" i="11"/>
  <c r="K419" i="11"/>
  <c r="K40" i="11"/>
  <c r="K97" i="11"/>
  <c r="K83" i="11"/>
  <c r="K524" i="11"/>
  <c r="K151" i="11"/>
  <c r="K342" i="11"/>
  <c r="K16" i="11"/>
  <c r="K29" i="11"/>
  <c r="K520" i="11"/>
  <c r="K132" i="11"/>
  <c r="K423" i="11"/>
  <c r="K123" i="11"/>
  <c r="K466" i="11"/>
  <c r="K392" i="11"/>
  <c r="K337" i="11"/>
  <c r="K354" i="11"/>
  <c r="K553" i="11"/>
  <c r="K166" i="11"/>
  <c r="K139" i="11"/>
  <c r="K152" i="11"/>
  <c r="K137" i="11"/>
  <c r="K258" i="11"/>
  <c r="K103" i="11"/>
  <c r="K416" i="11"/>
  <c r="K185" i="11"/>
  <c r="K261" i="11"/>
  <c r="K382" i="11"/>
  <c r="K407" i="11"/>
  <c r="K400" i="11"/>
  <c r="K92" i="11"/>
  <c r="K108" i="11"/>
  <c r="K270" i="11"/>
  <c r="K203" i="11"/>
  <c r="K146" i="11"/>
  <c r="K49" i="11"/>
  <c r="K125" i="11"/>
  <c r="K551" i="11"/>
  <c r="K205" i="11"/>
  <c r="K295" i="11"/>
  <c r="K228" i="11"/>
  <c r="K190" i="11"/>
  <c r="K86" i="11"/>
  <c r="K148" i="11"/>
  <c r="K443" i="11"/>
  <c r="K164" i="11"/>
  <c r="K363" i="11"/>
  <c r="K173" i="11"/>
  <c r="K384" i="11"/>
  <c r="K284" i="11"/>
  <c r="K207" i="11"/>
  <c r="K259" i="11"/>
  <c r="K215" i="11"/>
  <c r="K426" i="11"/>
  <c r="K30" i="11"/>
  <c r="K252" i="11"/>
  <c r="K98" i="11"/>
  <c r="K503" i="11"/>
  <c r="K549" i="11"/>
  <c r="K120" i="11"/>
  <c r="K498" i="11"/>
  <c r="K28" i="11"/>
  <c r="K412" i="11"/>
  <c r="K280" i="11"/>
  <c r="K332" i="11"/>
  <c r="K484" i="11"/>
  <c r="K474" i="11"/>
  <c r="K66" i="11"/>
  <c r="K22" i="11"/>
  <c r="K251" i="11"/>
  <c r="K206" i="11"/>
  <c r="K53" i="11"/>
  <c r="K548" i="11"/>
  <c r="K122" i="11"/>
  <c r="K368" i="11"/>
  <c r="K208" i="11"/>
  <c r="K82" i="11"/>
  <c r="K296" i="11"/>
  <c r="K366" i="11"/>
  <c r="K38" i="11"/>
  <c r="K450" i="11"/>
  <c r="K433" i="11"/>
  <c r="K118" i="11"/>
  <c r="K199" i="11"/>
  <c r="K20" i="11"/>
  <c r="K237" i="11"/>
  <c r="K59" i="11"/>
  <c r="K487" i="11"/>
  <c r="K526" i="11"/>
  <c r="K310" i="11"/>
  <c r="K289" i="11"/>
  <c r="K380" i="11"/>
  <c r="K379" i="11"/>
  <c r="K273" i="11"/>
  <c r="K196" i="11"/>
  <c r="K124" i="11"/>
  <c r="K195" i="11"/>
  <c r="K514" i="11"/>
  <c r="K172" i="11"/>
  <c r="K153" i="11"/>
  <c r="K373" i="11"/>
  <c r="K32" i="11"/>
  <c r="K63" i="11"/>
  <c r="K73" i="11"/>
  <c r="K361" i="11"/>
  <c r="K345" i="11"/>
  <c r="K362" i="11"/>
  <c r="K518" i="11"/>
  <c r="K447" i="11"/>
  <c r="K396" i="11"/>
  <c r="K177" i="11"/>
  <c r="K435" i="11"/>
  <c r="K408" i="11"/>
  <c r="K481" i="11"/>
  <c r="K218" i="11"/>
  <c r="K223" i="11"/>
  <c r="K245" i="11"/>
  <c r="K339" i="11"/>
  <c r="K27" i="11"/>
  <c r="K530" i="11"/>
  <c r="K493" i="11"/>
  <c r="K459" i="11"/>
  <c r="K334" i="11"/>
  <c r="K17" i="11"/>
  <c r="K437" i="11"/>
  <c r="K236" i="11"/>
  <c r="K349" i="11"/>
  <c r="K235" i="11"/>
  <c r="K292" i="11"/>
  <c r="K282" i="11"/>
  <c r="K531" i="11"/>
  <c r="K169" i="11"/>
  <c r="K111" i="11"/>
  <c r="K322" i="11"/>
  <c r="K46" i="11"/>
  <c r="K465" i="11"/>
  <c r="K240" i="11"/>
  <c r="K340" i="11"/>
  <c r="K36" i="11"/>
  <c r="K224" i="11"/>
  <c r="K476" i="11"/>
  <c r="K134" i="11"/>
</calcChain>
</file>

<file path=xl/sharedStrings.xml><?xml version="1.0" encoding="utf-8"?>
<sst xmlns="http://schemas.openxmlformats.org/spreadsheetml/2006/main" count="20584" uniqueCount="8649">
  <si>
    <t>Business Case :</t>
  </si>
  <si>
    <t>The following is the data for a Movie Rental Shop.</t>
  </si>
  <si>
    <t>The different sheets contains different data for this shop , using these information available in the sheets complete the questions below</t>
  </si>
  <si>
    <t>SI.No</t>
  </si>
  <si>
    <t>Questions</t>
  </si>
  <si>
    <t>Marks</t>
  </si>
  <si>
    <t>In the Customer, Rental Transaction, and Movie sheets, certain columns (highlighted in yellow) are missing data. Update these columns using the data available in the other sheets.</t>
  </si>
  <si>
    <r>
      <t xml:space="preserve">In the customer table, create a column named "BLU-RAY Movies Transactions (%)" (column highlighted in red font) and calculate the percentage of transactions involving BLU-RAY Format movies out of the total transactions for the corresponding customer.
</t>
    </r>
    <r>
      <rPr>
        <b/>
        <sz val="11"/>
        <color rgb="FFFF0000"/>
        <rFont val="Aptos Narrow"/>
        <family val="2"/>
        <scheme val="minor"/>
      </rPr>
      <t>Hint: BLU-RAY Movies Transactions (%) = (Total number of transactions with BLU-RAY movies) / (Total transactions).</t>
    </r>
  </si>
  <si>
    <t>Create a Pivot Table to display the Total Price and Average Price based on the Studio. Sort the data in descending order based on the Total Price.  
   (Provide your solution in the sheet labeled "Q3").</t>
  </si>
  <si>
    <r>
      <t xml:space="preserve">Identify the highest revenue-collecting studio for each year. If multiple studios have the highest earnings for a particular year, list all of them.  
   - </t>
    </r>
    <r>
      <rPr>
        <b/>
        <sz val="11"/>
        <color rgb="FFFF0000"/>
        <rFont val="Aptos Narrow"/>
        <family val="2"/>
        <scheme val="minor"/>
      </rPr>
      <t xml:space="preserve">Hint: First, add the Transaction Date to the Rental Transaction Line Item data, then create a Pivot Table using the full data accordingly.  </t>
    </r>
    <r>
      <rPr>
        <sz val="11"/>
        <color theme="1"/>
        <rFont val="Aptos Narrow"/>
        <family val="2"/>
        <scheme val="minor"/>
      </rPr>
      <t xml:space="preserve">
   (Provide your solution in the sheet labeled "Q4").</t>
    </r>
  </si>
  <si>
    <t>Create a Pivot Table to calculate the Year-over-Year (YoY) change in total sales for the "A24" and "Fox" studios, and generate an appropriate Pivot Chart to visualize the data.  
   - Ensure the chart has a proper title and is aligned correctly.  
   (Provide your solution in the sheet labeled "Q5").</t>
  </si>
  <si>
    <t>CustomerID</t>
  </si>
  <si>
    <t>First</t>
  </si>
  <si>
    <t>Last</t>
  </si>
  <si>
    <t>StreetAddress</t>
  </si>
  <si>
    <t>City</t>
  </si>
  <si>
    <t>Email</t>
  </si>
  <si>
    <t>MemberSince</t>
  </si>
  <si>
    <t>SubscribedToEmailList</t>
  </si>
  <si>
    <t>Gender</t>
  </si>
  <si>
    <t>Total No of Transactions</t>
  </si>
  <si>
    <t>Total Amount</t>
  </si>
  <si>
    <t>BLU-RAY Movies Transactions (%)</t>
  </si>
  <si>
    <t>Kenneth</t>
  </si>
  <si>
    <t>Walton</t>
  </si>
  <si>
    <t>6715 Commonwealth Dr</t>
  </si>
  <si>
    <t>Sacramento</t>
  </si>
  <si>
    <t>walton.k76@fastmail.com</t>
  </si>
  <si>
    <t>M</t>
  </si>
  <si>
    <t>Madeleine</t>
  </si>
  <si>
    <t>Jones</t>
  </si>
  <si>
    <t>3603 Leola Way</t>
  </si>
  <si>
    <t>j_madeleine@gmail.com</t>
  </si>
  <si>
    <t>F</t>
  </si>
  <si>
    <t>Damen</t>
  </si>
  <si>
    <t>Wheeler</t>
  </si>
  <si>
    <t>6740 Branwood Way</t>
  </si>
  <si>
    <t>Orangevale</t>
  </si>
  <si>
    <t>dwheeler@outlook.com</t>
  </si>
  <si>
    <t>Kevin</t>
  </si>
  <si>
    <t>Gilbert</t>
  </si>
  <si>
    <t>3198 Livingston Way</t>
  </si>
  <si>
    <t>Folsom</t>
  </si>
  <si>
    <t>kgilbert@fastmail.com</t>
  </si>
  <si>
    <t>John</t>
  </si>
  <si>
    <t>Young</t>
  </si>
  <si>
    <t>663 Westward Way</t>
  </si>
  <si>
    <t>john.y90@mail.com</t>
  </si>
  <si>
    <t>Tommy</t>
  </si>
  <si>
    <t>Kono</t>
  </si>
  <si>
    <t>3179 Camelia River Way</t>
  </si>
  <si>
    <t>Isleton</t>
  </si>
  <si>
    <t>tkono@outlook.com</t>
  </si>
  <si>
    <t>Anna</t>
  </si>
  <si>
    <t>Himes</t>
  </si>
  <si>
    <t>5507 Chimango Way</t>
  </si>
  <si>
    <t>h_anna@fastmail.com</t>
  </si>
  <si>
    <t>Marjorie</t>
  </si>
  <si>
    <t>Love</t>
  </si>
  <si>
    <t>3462 Mellowoods Way</t>
  </si>
  <si>
    <t>lmarjorie54@icloud.com</t>
  </si>
  <si>
    <t>Nina</t>
  </si>
  <si>
    <t>Schreiner</t>
  </si>
  <si>
    <t>1182 Dornajo Way</t>
  </si>
  <si>
    <t>schreiner_n@mail.com</t>
  </si>
  <si>
    <t>Marc</t>
  </si>
  <si>
    <t>Newfield</t>
  </si>
  <si>
    <t>6887 Conklin Ct</t>
  </si>
  <si>
    <t>mnewfield@icloud.com</t>
  </si>
  <si>
    <t>Tom</t>
  </si>
  <si>
    <t>Hanks</t>
  </si>
  <si>
    <t>9375 Ahart Way</t>
  </si>
  <si>
    <t>Ryde</t>
  </si>
  <si>
    <t>hanks_t5@mail.com</t>
  </si>
  <si>
    <t>Christian</t>
  </si>
  <si>
    <t>Wellisch</t>
  </si>
  <si>
    <t>8725 Capistrano Way</t>
  </si>
  <si>
    <t>wellisch.c@mail.com</t>
  </si>
  <si>
    <t>Audrey</t>
  </si>
  <si>
    <t>Tapp</t>
  </si>
  <si>
    <t>2816 West Pkwy</t>
  </si>
  <si>
    <t>t_audrey94@outlook.com</t>
  </si>
  <si>
    <t>Dallas</t>
  </si>
  <si>
    <t>Braden</t>
  </si>
  <si>
    <t>9638 Chambord Ct</t>
  </si>
  <si>
    <t>dallas_b89@aol.com</t>
  </si>
  <si>
    <t>D.J.</t>
  </si>
  <si>
    <t>Countess</t>
  </si>
  <si>
    <t>608 Alder Creek Dr</t>
  </si>
  <si>
    <t>c_d.j.31@yahoo.com</t>
  </si>
  <si>
    <t>Beatrice</t>
  </si>
  <si>
    <t>Abramson</t>
  </si>
  <si>
    <t>716 Durness Way</t>
  </si>
  <si>
    <t>beatrice.a@yahoo.com</t>
  </si>
  <si>
    <t>George</t>
  </si>
  <si>
    <t>Stanich</t>
  </si>
  <si>
    <t>4486 Gloriann Way</t>
  </si>
  <si>
    <t>sgeorge@fastmail.com</t>
  </si>
  <si>
    <t>Tim</t>
  </si>
  <si>
    <t>Ocel</t>
  </si>
  <si>
    <t>6962 Gardenside Ct</t>
  </si>
  <si>
    <t>tim_o33@icloud.com</t>
  </si>
  <si>
    <t>Dawn</t>
  </si>
  <si>
    <t>Childress</t>
  </si>
  <si>
    <t>4237 Rock House Cir N</t>
  </si>
  <si>
    <t>dawnc@mail.com</t>
  </si>
  <si>
    <t>Alice</t>
  </si>
  <si>
    <t>Novak</t>
  </si>
  <si>
    <t>1573 Layton Dr</t>
  </si>
  <si>
    <t>n.alice@outlook.com</t>
  </si>
  <si>
    <t>Sherry</t>
  </si>
  <si>
    <t>Metz</t>
  </si>
  <si>
    <t>9054 Ladefonos Ct</t>
  </si>
  <si>
    <t>metzs@zoho.com</t>
  </si>
  <si>
    <t>Sylvia</t>
  </si>
  <si>
    <t>Finley</t>
  </si>
  <si>
    <t>4892 Waterash Way</t>
  </si>
  <si>
    <t>sylviaf61@icloud.com</t>
  </si>
  <si>
    <t>Joyce</t>
  </si>
  <si>
    <t>Meadows</t>
  </si>
  <si>
    <t>3426 Cliff Breeze Pl</t>
  </si>
  <si>
    <t>joycem26@gmail.com</t>
  </si>
  <si>
    <t>Cassandra</t>
  </si>
  <si>
    <t>Whyte</t>
  </si>
  <si>
    <t>7635 Amelia Earhart Ave</t>
  </si>
  <si>
    <t>c.whyte71@hotmail.com</t>
  </si>
  <si>
    <t>Savoie</t>
  </si>
  <si>
    <t>884 J St</t>
  </si>
  <si>
    <t>m.savoie@aol.com</t>
  </si>
  <si>
    <t>Bud</t>
  </si>
  <si>
    <t>Stewart</t>
  </si>
  <si>
    <t>211 Maple Glen Rd</t>
  </si>
  <si>
    <t>bstewart@aol.com</t>
  </si>
  <si>
    <t>Frenchy</t>
  </si>
  <si>
    <t>Bordagaray</t>
  </si>
  <si>
    <t>7125 Fig St</t>
  </si>
  <si>
    <t>frenchy.b@outlook.com</t>
  </si>
  <si>
    <t>Mark</t>
  </si>
  <si>
    <t>McLemore</t>
  </si>
  <si>
    <t>1215 Rodeo Dr</t>
  </si>
  <si>
    <t>mmark@aol.com</t>
  </si>
  <si>
    <t>David</t>
  </si>
  <si>
    <t>Cooke</t>
  </si>
  <si>
    <t>9830 Bradshaw Rd</t>
  </si>
  <si>
    <t>david_c78@aol.com</t>
  </si>
  <si>
    <t>Catherine</t>
  </si>
  <si>
    <t>Doane</t>
  </si>
  <si>
    <t>7530 Silent Wings Way</t>
  </si>
  <si>
    <t>catherine_d44@mail.com</t>
  </si>
  <si>
    <t>Doris</t>
  </si>
  <si>
    <t>Garrett</t>
  </si>
  <si>
    <t>2178 Yellowhammer Ct</t>
  </si>
  <si>
    <t>Carmichael</t>
  </si>
  <si>
    <t>garrett.d@hotmail.com</t>
  </si>
  <si>
    <t>Lauren</t>
  </si>
  <si>
    <t>McFall</t>
  </si>
  <si>
    <t>7229 Calle Verde Ct</t>
  </si>
  <si>
    <t>mcfall_l@fastmail.com</t>
  </si>
  <si>
    <t>Randall</t>
  </si>
  <si>
    <t>Bal</t>
  </si>
  <si>
    <t>136 Marble Crest Ct</t>
  </si>
  <si>
    <t>Courtland</t>
  </si>
  <si>
    <t>randall_b@mail.com</t>
  </si>
  <si>
    <t>Adam</t>
  </si>
  <si>
    <t>Jennings</t>
  </si>
  <si>
    <t>1063 Wintermist Ct</t>
  </si>
  <si>
    <t>jennings_a@hotmail.com</t>
  </si>
  <si>
    <t>Harvey</t>
  </si>
  <si>
    <t>Nitz</t>
  </si>
  <si>
    <t>8146 Meghan Way</t>
  </si>
  <si>
    <t>harvey.n@mail.com</t>
  </si>
  <si>
    <t>Naomi</t>
  </si>
  <si>
    <t>Donald</t>
  </si>
  <si>
    <t>3661 Symphony Ct</t>
  </si>
  <si>
    <t>dnaomi1@fastmail.com</t>
  </si>
  <si>
    <t>Jahn</t>
  </si>
  <si>
    <t>138 Petaluma Ct</t>
  </si>
  <si>
    <t>adam.j@gmail.com</t>
  </si>
  <si>
    <t>Eric</t>
  </si>
  <si>
    <t>Hansen</t>
  </si>
  <si>
    <t>809 Rancho Roble Way</t>
  </si>
  <si>
    <t>ehansen@icloud.com</t>
  </si>
  <si>
    <t>Susan</t>
  </si>
  <si>
    <t>Howard</t>
  </si>
  <si>
    <t>9290 Winoco Ct</t>
  </si>
  <si>
    <t>showard45@mail.com</t>
  </si>
  <si>
    <t>Angela</t>
  </si>
  <si>
    <t>Metzger</t>
  </si>
  <si>
    <t>4482 Stillwater Way</t>
  </si>
  <si>
    <t>angela.m@icloud.com</t>
  </si>
  <si>
    <t>Violet</t>
  </si>
  <si>
    <t>Ramey</t>
  </si>
  <si>
    <t>2398 Brand Way</t>
  </si>
  <si>
    <t>rameyv72@outlook.com</t>
  </si>
  <si>
    <t>Timothy</t>
  </si>
  <si>
    <t>Busfield</t>
  </si>
  <si>
    <t>7453 Halo Ave</t>
  </si>
  <si>
    <t>b_timothy@hotmail.com</t>
  </si>
  <si>
    <t>Charles</t>
  </si>
  <si>
    <t>Mann</t>
  </si>
  <si>
    <t>3691 Fox Hollow Ln</t>
  </si>
  <si>
    <t>Citrus Heights</t>
  </si>
  <si>
    <t>charlesm7@gmail.com</t>
  </si>
  <si>
    <t>Larry</t>
  </si>
  <si>
    <t>Linville</t>
  </si>
  <si>
    <t>4792 Butterfield Way</t>
  </si>
  <si>
    <t>llarry@mail.com</t>
  </si>
  <si>
    <t>Derek</t>
  </si>
  <si>
    <t>Miles</t>
  </si>
  <si>
    <t>4409 Brook Bay Way</t>
  </si>
  <si>
    <t>Walnut Grove</t>
  </si>
  <si>
    <t>mderek@icloud.com</t>
  </si>
  <si>
    <t>Mary</t>
  </si>
  <si>
    <t>Whipple</t>
  </si>
  <si>
    <t>8552 Meadowglen Ave</t>
  </si>
  <si>
    <t>mary.w@icloud.com</t>
  </si>
  <si>
    <t>Matt</t>
  </si>
  <si>
    <t>Walbeck</t>
  </si>
  <si>
    <t>910 Garner Ct</t>
  </si>
  <si>
    <t>mwalbeck@yahoo.com</t>
  </si>
  <si>
    <t>Maxine</t>
  </si>
  <si>
    <t>Hamer</t>
  </si>
  <si>
    <t>383 Colonsay Way</t>
  </si>
  <si>
    <t>Rancho Cordova</t>
  </si>
  <si>
    <t>maxineh6@mail.com</t>
  </si>
  <si>
    <t>Constance</t>
  </si>
  <si>
    <t>Gonzalez</t>
  </si>
  <si>
    <t>1684 Country Haven Ct</t>
  </si>
  <si>
    <t>Elk Grove</t>
  </si>
  <si>
    <t>c.gonzalez@aol.com</t>
  </si>
  <si>
    <t>Edith</t>
  </si>
  <si>
    <t>Hutton</t>
  </si>
  <si>
    <t>5581 Merton Way</t>
  </si>
  <si>
    <t>edith.h@mail.com</t>
  </si>
  <si>
    <t>Jim</t>
  </si>
  <si>
    <t>Loscutoff</t>
  </si>
  <si>
    <t>1526 Holiday Cove Ct</t>
  </si>
  <si>
    <t>l_jim@outlook.com</t>
  </si>
  <si>
    <t>Brenda</t>
  </si>
  <si>
    <t>Song</t>
  </si>
  <si>
    <t>7324 Moddison Ave</t>
  </si>
  <si>
    <t>sbrenda@gmail.com</t>
  </si>
  <si>
    <t>Priscilla</t>
  </si>
  <si>
    <t>Oliver</t>
  </si>
  <si>
    <t>1339 Loazell Ct</t>
  </si>
  <si>
    <t>o.priscilla@aol.com</t>
  </si>
  <si>
    <t>Charlene</t>
  </si>
  <si>
    <t>Boss</t>
  </si>
  <si>
    <t>9938 Longridge Way</t>
  </si>
  <si>
    <t>boss.c@icloud.com</t>
  </si>
  <si>
    <t>Megan</t>
  </si>
  <si>
    <t>Musgrove</t>
  </si>
  <si>
    <t>3465 Pepperwood Knoll Ln</t>
  </si>
  <si>
    <t>megan_m@outlook.com</t>
  </si>
  <si>
    <t>Steve</t>
  </si>
  <si>
    <t>Sax</t>
  </si>
  <si>
    <t>3117 Glacken Way</t>
  </si>
  <si>
    <t>steve.s@aol.com</t>
  </si>
  <si>
    <t>Toni</t>
  </si>
  <si>
    <t>Storey</t>
  </si>
  <si>
    <t>6919 Middle River Ct</t>
  </si>
  <si>
    <t>t_storey37@gmail.com</t>
  </si>
  <si>
    <t>Pettus</t>
  </si>
  <si>
    <t>2049 Meadowbrook Rd</t>
  </si>
  <si>
    <t>p_marjorie@yahoo.com</t>
  </si>
  <si>
    <t>Sasha</t>
  </si>
  <si>
    <t>Victorine</t>
  </si>
  <si>
    <t>2258 Bowie Ct</t>
  </si>
  <si>
    <t>victorine.s@mail.com</t>
  </si>
  <si>
    <t>Theresa</t>
  </si>
  <si>
    <t>Mireles</t>
  </si>
  <si>
    <t>1869 Bulwick Ct</t>
  </si>
  <si>
    <t>m_theresa83@mail.com</t>
  </si>
  <si>
    <t>Renee</t>
  </si>
  <si>
    <t>Galyan</t>
  </si>
  <si>
    <t>8918 Mossy Bank Dr</t>
  </si>
  <si>
    <t>g_renee59@yahoo.com</t>
  </si>
  <si>
    <t>Philip</t>
  </si>
  <si>
    <t>Levine</t>
  </si>
  <si>
    <t>6467 Ferragamo Way</t>
  </si>
  <si>
    <t>lphilip24@yahoo.com</t>
  </si>
  <si>
    <t>Jane</t>
  </si>
  <si>
    <t>O'Neill</t>
  </si>
  <si>
    <t>3709 Sunfaire Ln</t>
  </si>
  <si>
    <t>Mather</t>
  </si>
  <si>
    <t>ojane@hotmail.com</t>
  </si>
  <si>
    <t>LeVar</t>
  </si>
  <si>
    <t>Burton</t>
  </si>
  <si>
    <t>9224 Belladonna Ct</t>
  </si>
  <si>
    <t>b_levar@mail.com</t>
  </si>
  <si>
    <t>Amanda</t>
  </si>
  <si>
    <t>Kershaw</t>
  </si>
  <si>
    <t>4297 Ewing Way</t>
  </si>
  <si>
    <t>kamanda31@gmail.com</t>
  </si>
  <si>
    <t>Opal</t>
  </si>
  <si>
    <t>Barnette</t>
  </si>
  <si>
    <t>8828 Ost Pl</t>
  </si>
  <si>
    <t>opalb94@hotmail.com</t>
  </si>
  <si>
    <t>Lincoln</t>
  </si>
  <si>
    <t>Steffens</t>
  </si>
  <si>
    <t>61 Explorer Dr</t>
  </si>
  <si>
    <t>l_steffens@mail.com</t>
  </si>
  <si>
    <t>Ryan</t>
  </si>
  <si>
    <t>Coogler</t>
  </si>
  <si>
    <t>8369 Sadie Ct</t>
  </si>
  <si>
    <t>ryan_c1@gmail.com</t>
  </si>
  <si>
    <t>Anthony</t>
  </si>
  <si>
    <t>Swofford</t>
  </si>
  <si>
    <t>465 Jacinto Ave</t>
  </si>
  <si>
    <t>North Highlands</t>
  </si>
  <si>
    <t>aswofford@gmail.com</t>
  </si>
  <si>
    <t>Marcos</t>
  </si>
  <si>
    <t>Breton</t>
  </si>
  <si>
    <t>4004 Fall River Way</t>
  </si>
  <si>
    <t>b.marcos46@gmail.com</t>
  </si>
  <si>
    <t>Urijah</t>
  </si>
  <si>
    <t>Faber</t>
  </si>
  <si>
    <t>7424 Long River Dr</t>
  </si>
  <si>
    <t>urijahf@gmail.com</t>
  </si>
  <si>
    <t>Sue</t>
  </si>
  <si>
    <t>Gregory</t>
  </si>
  <si>
    <t>5936 Cedar Rock Cir</t>
  </si>
  <si>
    <t>gregory_s5@gmail.com</t>
  </si>
  <si>
    <t>Jeff</t>
  </si>
  <si>
    <t>Float</t>
  </si>
  <si>
    <t>9135 Roemer Ln</t>
  </si>
  <si>
    <t>f_jeff12@aol.com</t>
  </si>
  <si>
    <t>Eleanor</t>
  </si>
  <si>
    <t>Dillow</t>
  </si>
  <si>
    <t>4027 Mountain View Ave</t>
  </si>
  <si>
    <t>edillow@gmail.com</t>
  </si>
  <si>
    <t>Morelli</t>
  </si>
  <si>
    <t>736 Mahonia Cir</t>
  </si>
  <si>
    <t>m_doris@aol.com</t>
  </si>
  <si>
    <t>Brent</t>
  </si>
  <si>
    <t>Bourgeois</t>
  </si>
  <si>
    <t>4967 Kimmie Ct</t>
  </si>
  <si>
    <t>bourgeois_b23@icloud.com</t>
  </si>
  <si>
    <t>Lynn</t>
  </si>
  <si>
    <t>Newhart</t>
  </si>
  <si>
    <t>1676 San Mateo Ct</t>
  </si>
  <si>
    <t>Antelope</t>
  </si>
  <si>
    <t>lynn.n@zoho.com</t>
  </si>
  <si>
    <t>Annette</t>
  </si>
  <si>
    <t>Woolard</t>
  </si>
  <si>
    <t>342 Manmar Way</t>
  </si>
  <si>
    <t>annettew25@outlook.com</t>
  </si>
  <si>
    <t>McCord</t>
  </si>
  <si>
    <t>5383 Tanzanite Way</t>
  </si>
  <si>
    <t>Wilton</t>
  </si>
  <si>
    <t>tim.m@gmail.com</t>
  </si>
  <si>
    <t>Sandie</t>
  </si>
  <si>
    <t>Reed</t>
  </si>
  <si>
    <t>8291 Munson Way</t>
  </si>
  <si>
    <t>s.reed@aol.com</t>
  </si>
  <si>
    <t>Peg</t>
  </si>
  <si>
    <t>Winchester</t>
  </si>
  <si>
    <t>3546 Glen Springs Way</t>
  </si>
  <si>
    <t>Elverta</t>
  </si>
  <si>
    <t>w.peg@mail.com</t>
  </si>
  <si>
    <t>Kathy</t>
  </si>
  <si>
    <t>Kerr</t>
  </si>
  <si>
    <t>6709 Ashford Hill Pl</t>
  </si>
  <si>
    <t>k.kerr@hotmail.com</t>
  </si>
  <si>
    <t>Nielsen</t>
  </si>
  <si>
    <t>9472 Calistoga Way</t>
  </si>
  <si>
    <t>annetten33@yahoo.com</t>
  </si>
  <si>
    <t>Erik</t>
  </si>
  <si>
    <t>Lobo</t>
  </si>
  <si>
    <t>224 Tennis Ct</t>
  </si>
  <si>
    <t>lobo.e@yahoo.com</t>
  </si>
  <si>
    <t>May</t>
  </si>
  <si>
    <t>1672 Olympic Way</t>
  </si>
  <si>
    <t>t_may@yahoo.com</t>
  </si>
  <si>
    <t>Richard</t>
  </si>
  <si>
    <t>Rodriguez</t>
  </si>
  <si>
    <t>8026 Bowen Cir</t>
  </si>
  <si>
    <t>richard.r@mail.com</t>
  </si>
  <si>
    <t>J.P.</t>
  </si>
  <si>
    <t>Howell</t>
  </si>
  <si>
    <t>4946 Dylan Ave</t>
  </si>
  <si>
    <t>j.p.h@icloud.com</t>
  </si>
  <si>
    <t>James</t>
  </si>
  <si>
    <t>Irvin</t>
  </si>
  <si>
    <t>4934 Sage Thrasher Cir</t>
  </si>
  <si>
    <t>irvinj77@aol.com</t>
  </si>
  <si>
    <t>Loreto</t>
  </si>
  <si>
    <t>Garza</t>
  </si>
  <si>
    <t>6290 Sandpointe Ct</t>
  </si>
  <si>
    <t>loreto_g@mail.com</t>
  </si>
  <si>
    <t>Rich</t>
  </si>
  <si>
    <t>Manning</t>
  </si>
  <si>
    <t>919 Idle Wild Way</t>
  </si>
  <si>
    <t>manning_r@icloud.com</t>
  </si>
  <si>
    <t>Candace</t>
  </si>
  <si>
    <t>Askins</t>
  </si>
  <si>
    <t>1014 Viking Dr</t>
  </si>
  <si>
    <t>candace.a@mail.com</t>
  </si>
  <si>
    <t>Mcconnell</t>
  </si>
  <si>
    <t>4241 Elbert Way</t>
  </si>
  <si>
    <t>anna.m@zoho.com</t>
  </si>
  <si>
    <t>Verna</t>
  </si>
  <si>
    <t>Alfred</t>
  </si>
  <si>
    <t>5388 Delwood Way</t>
  </si>
  <si>
    <t>v.alfred@mail.com</t>
  </si>
  <si>
    <t>Randy</t>
  </si>
  <si>
    <t>Lerch</t>
  </si>
  <si>
    <t>690 E Elkhorn Blvd</t>
  </si>
  <si>
    <t>l.randy@mail.com</t>
  </si>
  <si>
    <t>Sabrina</t>
  </si>
  <si>
    <t>9 Dondra Way</t>
  </si>
  <si>
    <t>hansens@mail.com</t>
  </si>
  <si>
    <t>Sharp</t>
  </si>
  <si>
    <t>8650 Moffatt Way</t>
  </si>
  <si>
    <t>kevin.s11@yahoo.com</t>
  </si>
  <si>
    <t>Chloe</t>
  </si>
  <si>
    <t>Sutton</t>
  </si>
  <si>
    <t>3571 Weldon Way</t>
  </si>
  <si>
    <t>schloe@outlook.com</t>
  </si>
  <si>
    <t>Isaiah</t>
  </si>
  <si>
    <t>Ross</t>
  </si>
  <si>
    <t>6790 Los Coches Way</t>
  </si>
  <si>
    <t>ross.i72@zoho.com</t>
  </si>
  <si>
    <t>Scott</t>
  </si>
  <si>
    <t>Pruett</t>
  </si>
  <si>
    <t>5766 Parklite Cir</t>
  </si>
  <si>
    <t>scottp@gmail.com</t>
  </si>
  <si>
    <t>Mildred</t>
  </si>
  <si>
    <t>Shafer</t>
  </si>
  <si>
    <t>2288 Piercy Way</t>
  </si>
  <si>
    <t>smildred@icloud.com</t>
  </si>
  <si>
    <t>Moriarty</t>
  </si>
  <si>
    <t>2737 Vallecitos Way</t>
  </si>
  <si>
    <t>c_moriarty39@icloud.com</t>
  </si>
  <si>
    <t>William</t>
  </si>
  <si>
    <t>Everson</t>
  </si>
  <si>
    <t>1952 Husch Way</t>
  </si>
  <si>
    <t>williame@icloud.com</t>
  </si>
  <si>
    <t>Mattie</t>
  </si>
  <si>
    <t>7930 Staggs Way</t>
  </si>
  <si>
    <t>rmattie@fastmail.com</t>
  </si>
  <si>
    <t>Brian</t>
  </si>
  <si>
    <t>Henninger</t>
  </si>
  <si>
    <t>9729 Koyama Ct</t>
  </si>
  <si>
    <t>brianh@icloud.com</t>
  </si>
  <si>
    <t>Denise</t>
  </si>
  <si>
    <t>Steele</t>
  </si>
  <si>
    <t>2232 Boswell Ct</t>
  </si>
  <si>
    <t>denise_s43@yahoo.com</t>
  </si>
  <si>
    <t>Jamie</t>
  </si>
  <si>
    <t>Bottoms</t>
  </si>
  <si>
    <t>8246 Singleton Ct</t>
  </si>
  <si>
    <t>b_jamie@yahoo.com</t>
  </si>
  <si>
    <t>Marko</t>
  </si>
  <si>
    <t>Cavka</t>
  </si>
  <si>
    <t>6677 Southland Way</t>
  </si>
  <si>
    <t>c.marko@icloud.com</t>
  </si>
  <si>
    <t>Etu</t>
  </si>
  <si>
    <t>Molden</t>
  </si>
  <si>
    <t>955 Munger Way</t>
  </si>
  <si>
    <t>emolden2@aol.com</t>
  </si>
  <si>
    <t>Veres</t>
  </si>
  <si>
    <t>7939 Ruge Ct</t>
  </si>
  <si>
    <t>veres_r@outlook.com</t>
  </si>
  <si>
    <t>Smith</t>
  </si>
  <si>
    <t>8867 Belle Fleur Way</t>
  </si>
  <si>
    <t>smiths@mail.com</t>
  </si>
  <si>
    <t>Helen</t>
  </si>
  <si>
    <t>1281 Poinsettia Ct</t>
  </si>
  <si>
    <t>oliver_h@hotmail.com</t>
  </si>
  <si>
    <t>Masters</t>
  </si>
  <si>
    <t>9480 Irvin Way</t>
  </si>
  <si>
    <t>m_masters@zoho.com</t>
  </si>
  <si>
    <t>Joanna</t>
  </si>
  <si>
    <t>Benson</t>
  </si>
  <si>
    <t>422 Adkinson Ct</t>
  </si>
  <si>
    <t>joanna.b53@mail.com</t>
  </si>
  <si>
    <t>Padilla</t>
  </si>
  <si>
    <t>1968 Rosa Del Rio Way</t>
  </si>
  <si>
    <t>a.padilla@fastmail.com</t>
  </si>
  <si>
    <t>Bowker</t>
  </si>
  <si>
    <t>3500 Carsington Way</t>
  </si>
  <si>
    <t>b.john@outlook.com</t>
  </si>
  <si>
    <t>Delores</t>
  </si>
  <si>
    <t>4055 Tenwoods Ct</t>
  </si>
  <si>
    <t>ramey.d@yahoo.com</t>
  </si>
  <si>
    <t>Mike</t>
  </si>
  <si>
    <t>Flanagan</t>
  </si>
  <si>
    <t>5486 Gustine Way</t>
  </si>
  <si>
    <t>mikef10@zoho.com</t>
  </si>
  <si>
    <t>Ann</t>
  </si>
  <si>
    <t>Spencer</t>
  </si>
  <si>
    <t>338 Raymar Way</t>
  </si>
  <si>
    <t>s_ann@aol.com</t>
  </si>
  <si>
    <t>Darrin</t>
  </si>
  <si>
    <t>Nelson</t>
  </si>
  <si>
    <t>5964 Pintado Ct</t>
  </si>
  <si>
    <t>ndarrin44@yahoo.com</t>
  </si>
  <si>
    <t>Thelma</t>
  </si>
  <si>
    <t>Armstead</t>
  </si>
  <si>
    <t>9078 Shadowglen Rd</t>
  </si>
  <si>
    <t>thelma.a63@outlook.com</t>
  </si>
  <si>
    <t>Bouza</t>
  </si>
  <si>
    <t>2228 Shepard Ave</t>
  </si>
  <si>
    <t>m.bouza11@yahoo.com</t>
  </si>
  <si>
    <t>Galbraith</t>
  </si>
  <si>
    <t>6725 Sher Ct</t>
  </si>
  <si>
    <t>g.scott33@outlook.com</t>
  </si>
  <si>
    <t>Onterrio</t>
  </si>
  <si>
    <t>3849 Frizell Ave</t>
  </si>
  <si>
    <t>smitho@outlook.com</t>
  </si>
  <si>
    <t>Leticia</t>
  </si>
  <si>
    <t>Delisle</t>
  </si>
  <si>
    <t>2816 Hesket Way</t>
  </si>
  <si>
    <t>delislel@mail.com</t>
  </si>
  <si>
    <t>Greg</t>
  </si>
  <si>
    <t>Vaughn</t>
  </si>
  <si>
    <t>6109 River Grove Cir</t>
  </si>
  <si>
    <t>greg_v98@gmail.com</t>
  </si>
  <si>
    <t>Pam</t>
  </si>
  <si>
    <t>2241 L St</t>
  </si>
  <si>
    <t>Fair Oaks</t>
  </si>
  <si>
    <t>doanep30@zoho.com</t>
  </si>
  <si>
    <t>Weaver</t>
  </si>
  <si>
    <t>134 La Gama Ct</t>
  </si>
  <si>
    <t>constance.w@zoho.com</t>
  </si>
  <si>
    <t>Emily</t>
  </si>
  <si>
    <t>Jardine</t>
  </si>
  <si>
    <t>6106 Tiogawoods Dr</t>
  </si>
  <si>
    <t>jardine.e35@mail.com</t>
  </si>
  <si>
    <t>Heiden</t>
  </si>
  <si>
    <t>778 Acero Ct</t>
  </si>
  <si>
    <t>heidene80@aol.com</t>
  </si>
  <si>
    <t>Patterson</t>
  </si>
  <si>
    <t>9198 Temwoods Way</t>
  </si>
  <si>
    <t>m_patterson@mail.com</t>
  </si>
  <si>
    <t>Allen</t>
  </si>
  <si>
    <t>9791 Turnbridge Dr</t>
  </si>
  <si>
    <t>mark_a@icloud.com</t>
  </si>
  <si>
    <t>Levin</t>
  </si>
  <si>
    <t>3474 Breanna Ct</t>
  </si>
  <si>
    <t>spencerl@zoho.com</t>
  </si>
  <si>
    <t>Kris</t>
  </si>
  <si>
    <t>6768 Oaken Bucket Ct</t>
  </si>
  <si>
    <t>ryan_k@icloud.com</t>
  </si>
  <si>
    <t>Bob</t>
  </si>
  <si>
    <t>Forsch</t>
  </si>
  <si>
    <t>6497 Verna Way</t>
  </si>
  <si>
    <t>forsch.b@icloud.com</t>
  </si>
  <si>
    <t>Andy</t>
  </si>
  <si>
    <t>Fox</t>
  </si>
  <si>
    <t>484 Dickson St</t>
  </si>
  <si>
    <t>afox@mail.com</t>
  </si>
  <si>
    <t>Schmitt</t>
  </si>
  <si>
    <t>8791 Flowerwood Way</t>
  </si>
  <si>
    <t>s.annette@aol.com</t>
  </si>
  <si>
    <t>Tammy</t>
  </si>
  <si>
    <t>Reynolds</t>
  </si>
  <si>
    <t>5229 Middlesax Way</t>
  </si>
  <si>
    <t>rtammy94@hotmail.com</t>
  </si>
  <si>
    <t>Lori</t>
  </si>
  <si>
    <t>Breazeale</t>
  </si>
  <si>
    <t>4672 Tungsten Way</t>
  </si>
  <si>
    <t>b.lori95@mail.com</t>
  </si>
  <si>
    <t>Karen</t>
  </si>
  <si>
    <t>Kijewski</t>
  </si>
  <si>
    <t>5473 Pasadena Ave</t>
  </si>
  <si>
    <t>karen.k@aol.com</t>
  </si>
  <si>
    <t>Hsu</t>
  </si>
  <si>
    <t>8265 Predial Way</t>
  </si>
  <si>
    <t>hsu_m74@outlook.com</t>
  </si>
  <si>
    <t>Joel</t>
  </si>
  <si>
    <t>3463 Durney Ct</t>
  </si>
  <si>
    <t>j.jones13@mail.com</t>
  </si>
  <si>
    <t>Malachi</t>
  </si>
  <si>
    <t>Davis</t>
  </si>
  <si>
    <t>6230 Eversley Ct</t>
  </si>
  <si>
    <t>davis.m@gmail.com</t>
  </si>
  <si>
    <t>Darnell</t>
  </si>
  <si>
    <t>Hillman</t>
  </si>
  <si>
    <t>5530 Reef Ct</t>
  </si>
  <si>
    <t>d.hillman65@gmail.com</t>
  </si>
  <si>
    <t>Teddy</t>
  </si>
  <si>
    <t>Bruschi</t>
  </si>
  <si>
    <t>5355 Surf Way</t>
  </si>
  <si>
    <t>b.teddy@aol.com</t>
  </si>
  <si>
    <t>Kathleen</t>
  </si>
  <si>
    <t>Boehmer</t>
  </si>
  <si>
    <t>607 Arrowood Ct</t>
  </si>
  <si>
    <t>boehmer_k@zoho.com</t>
  </si>
  <si>
    <t>Ethel</t>
  </si>
  <si>
    <t>Atherton</t>
  </si>
  <si>
    <t>9102 Peridot Ct</t>
  </si>
  <si>
    <t>eatherton@icloud.com</t>
  </si>
  <si>
    <t>Thomas</t>
  </si>
  <si>
    <t>Kelly</t>
  </si>
  <si>
    <t>3823 Schiro Ct</t>
  </si>
  <si>
    <t>k.thomas@outlook.com</t>
  </si>
  <si>
    <t>Mel</t>
  </si>
  <si>
    <t>Hutchins</t>
  </si>
  <si>
    <t>1046 Auburn Blvd</t>
  </si>
  <si>
    <t>hutchins_m9@gmail.com</t>
  </si>
  <si>
    <t>Tyson</t>
  </si>
  <si>
    <t>Griffin</t>
  </si>
  <si>
    <t>5874 Priscilla Ln</t>
  </si>
  <si>
    <t>tyson.g@fastmail.com</t>
  </si>
  <si>
    <t>Janet</t>
  </si>
  <si>
    <t>Koons</t>
  </si>
  <si>
    <t>5726 Jefferson Ave</t>
  </si>
  <si>
    <t>j.koons@fastmail.com</t>
  </si>
  <si>
    <t>Sheila</t>
  </si>
  <si>
    <t>Hudson</t>
  </si>
  <si>
    <t>4685 Flowerwood Way</t>
  </si>
  <si>
    <t>sheilah@mail.com</t>
  </si>
  <si>
    <t>Charlie</t>
  </si>
  <si>
    <t>Zink</t>
  </si>
  <si>
    <t>4011 Life Ave</t>
  </si>
  <si>
    <t>charliez39@yahoo.com</t>
  </si>
  <si>
    <t>Brad</t>
  </si>
  <si>
    <t>Lidge</t>
  </si>
  <si>
    <t>7335 Loma Oak Ct</t>
  </si>
  <si>
    <t>Herald</t>
  </si>
  <si>
    <t>lidgeb@aol.com</t>
  </si>
  <si>
    <t>Gibson</t>
  </si>
  <si>
    <t>2000 De Costa Ave</t>
  </si>
  <si>
    <t>gibsonj@mail.com</t>
  </si>
  <si>
    <t>Ada</t>
  </si>
  <si>
    <t>Belle</t>
  </si>
  <si>
    <t>7669 Gardenwood Way</t>
  </si>
  <si>
    <t>b_ada13@outlook.com</t>
  </si>
  <si>
    <t>Vance</t>
  </si>
  <si>
    <t>Worley</t>
  </si>
  <si>
    <t>1297 Goethe Rd</t>
  </si>
  <si>
    <t>w_vance@yahoo.com</t>
  </si>
  <si>
    <t>Kristi</t>
  </si>
  <si>
    <t>Kirk</t>
  </si>
  <si>
    <t>8664 Beret Ln</t>
  </si>
  <si>
    <t>kristi_k@aol.com</t>
  </si>
  <si>
    <t>Blanche</t>
  </si>
  <si>
    <t>Decker</t>
  </si>
  <si>
    <t>9874 Accrington Way</t>
  </si>
  <si>
    <t>decker_b@zoho.com</t>
  </si>
  <si>
    <t>Isabel</t>
  </si>
  <si>
    <t>3904 Faldo Ct</t>
  </si>
  <si>
    <t>k_isabel@icloud.com</t>
  </si>
  <si>
    <t>Jimmy</t>
  </si>
  <si>
    <t>9978 Glenleigh Ct</t>
  </si>
  <si>
    <t>s.jimmy@yahoo.com</t>
  </si>
  <si>
    <t>Roberta</t>
  </si>
  <si>
    <t>Otten</t>
  </si>
  <si>
    <t>7033 Calmo Way</t>
  </si>
  <si>
    <t>otten.r@hotmail.com</t>
  </si>
  <si>
    <t>Ephraim</t>
  </si>
  <si>
    <t>Salaam</t>
  </si>
  <si>
    <t>7309 Sea Glass Way</t>
  </si>
  <si>
    <t>ephraims@mail.com</t>
  </si>
  <si>
    <t>Cynthia</t>
  </si>
  <si>
    <t>Robinson</t>
  </si>
  <si>
    <t>9816 Gold Point Way</t>
  </si>
  <si>
    <t>r_cynthia66@icloud.com</t>
  </si>
  <si>
    <t>Michelle</t>
  </si>
  <si>
    <t>Carpenter</t>
  </si>
  <si>
    <t>6724 Gallop Ct</t>
  </si>
  <si>
    <t>c_michelle@yahoo.com</t>
  </si>
  <si>
    <t>Dinwiddie</t>
  </si>
  <si>
    <t>1818 Coberly Ct</t>
  </si>
  <si>
    <t>r_dinwiddie@gmail.com</t>
  </si>
  <si>
    <t>Higginbotham</t>
  </si>
  <si>
    <t>3540 Richfield Way</t>
  </si>
  <si>
    <t>haudrey@icloud.com</t>
  </si>
  <si>
    <t>Dion</t>
  </si>
  <si>
    <t>6548 Maybrook Dr</t>
  </si>
  <si>
    <t>james.d@outlook.com</t>
  </si>
  <si>
    <t>Nicholas</t>
  </si>
  <si>
    <t>Sparks</t>
  </si>
  <si>
    <t>9201 Thermiac Gulf Way</t>
  </si>
  <si>
    <t>n.sparks@aol.com</t>
  </si>
  <si>
    <t>Veronica</t>
  </si>
  <si>
    <t>Bouchart</t>
  </si>
  <si>
    <t>6229 Blaze Ct</t>
  </si>
  <si>
    <t>v.bouchart@mail.com</t>
  </si>
  <si>
    <t>Rene</t>
  </si>
  <si>
    <t>Syler</t>
  </si>
  <si>
    <t>1551 Holford Way</t>
  </si>
  <si>
    <t>rene.s@fastmail.com</t>
  </si>
  <si>
    <t>Vic</t>
  </si>
  <si>
    <t>Grimes</t>
  </si>
  <si>
    <t>5318 Silver Sea Way</t>
  </si>
  <si>
    <t>vicg@zoho.com</t>
  </si>
  <si>
    <t>Amobi</t>
  </si>
  <si>
    <t>Okugo</t>
  </si>
  <si>
    <t>7399 Mariposa Ave</t>
  </si>
  <si>
    <t>aokugo@aol.com</t>
  </si>
  <si>
    <t>Derrick</t>
  </si>
  <si>
    <t>Lewis</t>
  </si>
  <si>
    <t>735 Fuchsia Ct</t>
  </si>
  <si>
    <t>d.lewis@outlook.com</t>
  </si>
  <si>
    <t>Schwab</t>
  </si>
  <si>
    <t>4188 Clarity Ct</t>
  </si>
  <si>
    <t>schwabc@aol.com</t>
  </si>
  <si>
    <t>Pete</t>
  </si>
  <si>
    <t>Ranzany</t>
  </si>
  <si>
    <t>3661 Napa Ave</t>
  </si>
  <si>
    <t>ranzanyp@zoho.com</t>
  </si>
  <si>
    <t>Perrin</t>
  </si>
  <si>
    <t>9352 Oterol Ct</t>
  </si>
  <si>
    <t>m.perrin72@outlook.com</t>
  </si>
  <si>
    <t>Sheri</t>
  </si>
  <si>
    <t>O'Brian</t>
  </si>
  <si>
    <t>5649 Proper Ct</t>
  </si>
  <si>
    <t>o'brians76@hotmail.com</t>
  </si>
  <si>
    <t>Sab</t>
  </si>
  <si>
    <t>Shimono</t>
  </si>
  <si>
    <t>2316 Akins Ct</t>
  </si>
  <si>
    <t>sshimono@hotmail.com</t>
  </si>
  <si>
    <t>Lula</t>
  </si>
  <si>
    <t>9127 Deer Fern Ct</t>
  </si>
  <si>
    <t>lulah@outlook.com</t>
  </si>
  <si>
    <t>Butler</t>
  </si>
  <si>
    <t>7465 Bevil St</t>
  </si>
  <si>
    <t>b_donald@mail.com</t>
  </si>
  <si>
    <t>Rowland</t>
  </si>
  <si>
    <t>Office</t>
  </si>
  <si>
    <t>1070 Bandon Way</t>
  </si>
  <si>
    <t>rowland_o25@gmail.com</t>
  </si>
  <si>
    <t>Sanders</t>
  </si>
  <si>
    <t>1750 Villajoy Way</t>
  </si>
  <si>
    <t>s.nina@icloud.com</t>
  </si>
  <si>
    <t>Teresa</t>
  </si>
  <si>
    <t>Wilber</t>
  </si>
  <si>
    <t>5557 Old Kent Ln</t>
  </si>
  <si>
    <t>teresaw@outlook.com</t>
  </si>
  <si>
    <t>6693 Goldsboro Ct</t>
  </si>
  <si>
    <t>kirk_a@yahoo.com</t>
  </si>
  <si>
    <t>Phil</t>
  </si>
  <si>
    <t>Tayag</t>
  </si>
  <si>
    <t>5939 De Rosa Ct</t>
  </si>
  <si>
    <t>t.phil@zoho.com</t>
  </si>
  <si>
    <t>Case</t>
  </si>
  <si>
    <t>1130 Deer Lake Dr</t>
  </si>
  <si>
    <t>tcase92@mail.com</t>
  </si>
  <si>
    <t>Leland</t>
  </si>
  <si>
    <t>Glass</t>
  </si>
  <si>
    <t>2047 Historic Aly</t>
  </si>
  <si>
    <t>lglass52@mail.com</t>
  </si>
  <si>
    <t>Fender</t>
  </si>
  <si>
    <t>4793 Fox Hollow Ln</t>
  </si>
  <si>
    <t>e_fender5@gmail.com</t>
  </si>
  <si>
    <t>Lester</t>
  </si>
  <si>
    <t>Holt</t>
  </si>
  <si>
    <t>8563 Bailey Way</t>
  </si>
  <si>
    <t>lesterh@hotmail.com</t>
  </si>
  <si>
    <t>Olivia</t>
  </si>
  <si>
    <t>Fulks</t>
  </si>
  <si>
    <t>4511 E Socap Walk</t>
  </si>
  <si>
    <t>fulks.o81@fastmail.com</t>
  </si>
  <si>
    <t>Jay</t>
  </si>
  <si>
    <t>Hughes</t>
  </si>
  <si>
    <t>5622 Mathews Way</t>
  </si>
  <si>
    <t>hughes.j74@mail.com</t>
  </si>
  <si>
    <t>Leila</t>
  </si>
  <si>
    <t>Olson</t>
  </si>
  <si>
    <t>6584 Roseville Rd</t>
  </si>
  <si>
    <t>olson_l@hotmail.com</t>
  </si>
  <si>
    <t>Ashley</t>
  </si>
  <si>
    <t>Boyd</t>
  </si>
  <si>
    <t>8949 Colgate Ct</t>
  </si>
  <si>
    <t>boyd.a@icloud.com</t>
  </si>
  <si>
    <t>Drayton</t>
  </si>
  <si>
    <t>9115 Fawnridge Way</t>
  </si>
  <si>
    <t>v.drayton@icloud.com</t>
  </si>
  <si>
    <t>Jeremy</t>
  </si>
  <si>
    <t>Powell</t>
  </si>
  <si>
    <t>3118 Lakewood Rd</t>
  </si>
  <si>
    <t>powellj@mail.com</t>
  </si>
  <si>
    <t>Blake</t>
  </si>
  <si>
    <t>8755 Castro Way</t>
  </si>
  <si>
    <t>b_amanda@aol.com</t>
  </si>
  <si>
    <t>9600 Andrea Blvd</t>
  </si>
  <si>
    <t>fjoyce@outlook.com</t>
  </si>
  <si>
    <t>Lynne</t>
  </si>
  <si>
    <t>9386 Down River Ct</t>
  </si>
  <si>
    <t>l.metz@yahoo.com</t>
  </si>
  <si>
    <t>Krieg</t>
  </si>
  <si>
    <t>8319 Delcliff Cir</t>
  </si>
  <si>
    <t>kriegj39@yahoo.com</t>
  </si>
  <si>
    <t>Dusty</t>
  </si>
  <si>
    <t>Baker</t>
  </si>
  <si>
    <t>4248 Mullein Ct</t>
  </si>
  <si>
    <t>Rio Linda</t>
  </si>
  <si>
    <t>bdusty@hotmail.com</t>
  </si>
  <si>
    <t>Holly</t>
  </si>
  <si>
    <t>Jacobsen</t>
  </si>
  <si>
    <t>2319 Cannon St</t>
  </si>
  <si>
    <t>h_jacobsen@outlook.com</t>
  </si>
  <si>
    <t>Schwartz</t>
  </si>
  <si>
    <t>9396 Danbrook Dr</t>
  </si>
  <si>
    <t>sschwartz25@gmail.com</t>
  </si>
  <si>
    <t>Johnson</t>
  </si>
  <si>
    <t>5531 Delagua Way</t>
  </si>
  <si>
    <t>tom.j51@fastmail.com</t>
  </si>
  <si>
    <t>N.T.</t>
  </si>
  <si>
    <t>McQueen</t>
  </si>
  <si>
    <t>4900 Monument Dr</t>
  </si>
  <si>
    <t>n.t._m@zoho.com</t>
  </si>
  <si>
    <t>Dexter</t>
  </si>
  <si>
    <t>5731 Princeton St</t>
  </si>
  <si>
    <t>pete.d@fastmail.com</t>
  </si>
  <si>
    <t>April</t>
  </si>
  <si>
    <t>Kalvert</t>
  </si>
  <si>
    <t>3722 Floxtree Ct</t>
  </si>
  <si>
    <t>kalverta73@mail.com</t>
  </si>
  <si>
    <t>Mandisa</t>
  </si>
  <si>
    <t>Hundley</t>
  </si>
  <si>
    <t>3653 Bakula Way</t>
  </si>
  <si>
    <t>m_hundley@mail.com</t>
  </si>
  <si>
    <t>Peacock</t>
  </si>
  <si>
    <t>5356 Gleneagle Way</t>
  </si>
  <si>
    <t>charlie.p@mail.com</t>
  </si>
  <si>
    <t>Malcom</t>
  </si>
  <si>
    <t>Floyd</t>
  </si>
  <si>
    <t>7936 Woody Ct</t>
  </si>
  <si>
    <t>floyd_m@outlook.com</t>
  </si>
  <si>
    <t>Seneca</t>
  </si>
  <si>
    <t>Wallace</t>
  </si>
  <si>
    <t>6296 Fowler Ave</t>
  </si>
  <si>
    <t>w.seneca@zoho.com</t>
  </si>
  <si>
    <t>Dale</t>
  </si>
  <si>
    <t>Maharidge</t>
  </si>
  <si>
    <t>6027 Derby Park Ct</t>
  </si>
  <si>
    <t>McClellan</t>
  </si>
  <si>
    <t>m.dale@outlook.com</t>
  </si>
  <si>
    <t>Rufus</t>
  </si>
  <si>
    <t>Reid</t>
  </si>
  <si>
    <t>9681 Torino Way</t>
  </si>
  <si>
    <t>r.reid4@zoho.com</t>
  </si>
  <si>
    <t>Goldthwaite</t>
  </si>
  <si>
    <t>7412 Auntine Burney S</t>
  </si>
  <si>
    <t>gkevin@gmail.com</t>
  </si>
  <si>
    <t>Harold</t>
  </si>
  <si>
    <t>Green</t>
  </si>
  <si>
    <t>1426 Harvey Way</t>
  </si>
  <si>
    <t>h.green@mail.com</t>
  </si>
  <si>
    <t>Aaron</t>
  </si>
  <si>
    <t>Garcia</t>
  </si>
  <si>
    <t>1802 Ozro Ct</t>
  </si>
  <si>
    <t>aaron.g@zoho.com</t>
  </si>
  <si>
    <t>Pauline</t>
  </si>
  <si>
    <t>Justis</t>
  </si>
  <si>
    <t>269 Bradford Dr</t>
  </si>
  <si>
    <t>pauline.j@mail.com</t>
  </si>
  <si>
    <t>Jennie</t>
  </si>
  <si>
    <t>Yates</t>
  </si>
  <si>
    <t>6305 Barnaby Ct</t>
  </si>
  <si>
    <t>jenniey64@yahoo.com</t>
  </si>
  <si>
    <t>Doug</t>
  </si>
  <si>
    <t>Henry</t>
  </si>
  <si>
    <t>8046 William Bird Ave</t>
  </si>
  <si>
    <t>dough@mail.com</t>
  </si>
  <si>
    <t>Asberry</t>
  </si>
  <si>
    <t>5648 Alturas Way</t>
  </si>
  <si>
    <t>a.sheri@mail.com</t>
  </si>
  <si>
    <t>Lane</t>
  </si>
  <si>
    <t>3371 PO River Way</t>
  </si>
  <si>
    <t>a.lane@zoho.com</t>
  </si>
  <si>
    <t>Rosemary</t>
  </si>
  <si>
    <t>7404 Ruger Ct</t>
  </si>
  <si>
    <t>srosemary@icloud.com</t>
  </si>
  <si>
    <t>Gerald</t>
  </si>
  <si>
    <t>Willhite</t>
  </si>
  <si>
    <t>317 Sorenson Way</t>
  </si>
  <si>
    <t>gerald_w@mail.com</t>
  </si>
  <si>
    <t>Kennedy</t>
  </si>
  <si>
    <t>2023 Tiogawoods Dr</t>
  </si>
  <si>
    <t>Rancho Murieta</t>
  </si>
  <si>
    <t>a_kennedy17@mail.com</t>
  </si>
  <si>
    <t>Breech</t>
  </si>
  <si>
    <t>3937 Glynis Falls Ct</t>
  </si>
  <si>
    <t>jbreech@icloud.com</t>
  </si>
  <si>
    <t>Rachel</t>
  </si>
  <si>
    <t>3791 Court Pkwy</t>
  </si>
  <si>
    <t>rachelj@hotmail.com</t>
  </si>
  <si>
    <t>Craig</t>
  </si>
  <si>
    <t>Chaquico</t>
  </si>
  <si>
    <t>7191 Shoal Ct</t>
  </si>
  <si>
    <t>c_chaquico31@icloud.com</t>
  </si>
  <si>
    <t>Tony</t>
  </si>
  <si>
    <t>Lopez</t>
  </si>
  <si>
    <t>2501 Orrington Cir</t>
  </si>
  <si>
    <t>l_tony@mail.com</t>
  </si>
  <si>
    <t>Joey</t>
  </si>
  <si>
    <t>Hand</t>
  </si>
  <si>
    <t>4235 Blues Aly</t>
  </si>
  <si>
    <t>j_hand@icloud.com</t>
  </si>
  <si>
    <t>Alcorn</t>
  </si>
  <si>
    <t>8075 Huckleberry Ln</t>
  </si>
  <si>
    <t>alcorn.e@outlook.com</t>
  </si>
  <si>
    <t>Robin</t>
  </si>
  <si>
    <t>Casiano</t>
  </si>
  <si>
    <t>9977 Twin Trails Dr</t>
  </si>
  <si>
    <t>casiano.r@outlook.com</t>
  </si>
  <si>
    <t>Marcus</t>
  </si>
  <si>
    <t>McCauley</t>
  </si>
  <si>
    <t>7210 Payton St</t>
  </si>
  <si>
    <t>mccauley_m@yahoo.com</t>
  </si>
  <si>
    <t>1864 Serenata Ct</t>
  </si>
  <si>
    <t>m.thomas89@gmail.com</t>
  </si>
  <si>
    <t>Youngblood</t>
  </si>
  <si>
    <t>2319 Sunnyfield Way</t>
  </si>
  <si>
    <t>youngblood.m@mail.com</t>
  </si>
  <si>
    <t>2423 Spring Azure Way</t>
  </si>
  <si>
    <t>kevin.j@yahoo.com</t>
  </si>
  <si>
    <t>Jill</t>
  </si>
  <si>
    <t>Hollenbeck</t>
  </si>
  <si>
    <t>5720 Ada Ln</t>
  </si>
  <si>
    <t>jill_h3@gmail.com</t>
  </si>
  <si>
    <t>Buck</t>
  </si>
  <si>
    <t>Martinez</t>
  </si>
  <si>
    <t>3346 Essen Way</t>
  </si>
  <si>
    <t>b.martinez@aol.com</t>
  </si>
  <si>
    <t>Betsy</t>
  </si>
  <si>
    <t>Sodaro</t>
  </si>
  <si>
    <t>4962 Becerra Way</t>
  </si>
  <si>
    <t>sodaro_b@yahoo.com</t>
  </si>
  <si>
    <t>Elsie</t>
  </si>
  <si>
    <t>Slone</t>
  </si>
  <si>
    <t>1970 Salt Ct</t>
  </si>
  <si>
    <t>e_slone@gmail.com</t>
  </si>
  <si>
    <t>Adrienne</t>
  </si>
  <si>
    <t>Barbeau</t>
  </si>
  <si>
    <t>8259 Park Ranch Way</t>
  </si>
  <si>
    <t>adrienne_b@aol.com</t>
  </si>
  <si>
    <t>Rodney</t>
  </si>
  <si>
    <t>Hannah</t>
  </si>
  <si>
    <t>9889 Austell Way</t>
  </si>
  <si>
    <t>hrodney@icloud.com</t>
  </si>
  <si>
    <t>Dustin</t>
  </si>
  <si>
    <t>Pedroia</t>
  </si>
  <si>
    <t>8397 Callecita St</t>
  </si>
  <si>
    <t>p_dustin@icloud.com</t>
  </si>
  <si>
    <t>Dick</t>
  </si>
  <si>
    <t>Jurgens</t>
  </si>
  <si>
    <t>8475 Anchor Bend Pl</t>
  </si>
  <si>
    <t>d_jurgens@fastmail.com</t>
  </si>
  <si>
    <t>Donna</t>
  </si>
  <si>
    <t>Ramage</t>
  </si>
  <si>
    <t>4243 San Felice Cir</t>
  </si>
  <si>
    <t>donna_r27@icloud.com</t>
  </si>
  <si>
    <t>Knapp</t>
  </si>
  <si>
    <t>5226 Hatteras Way</t>
  </si>
  <si>
    <t>k.greg@zoho.com</t>
  </si>
  <si>
    <t>Jayne</t>
  </si>
  <si>
    <t>Collins</t>
  </si>
  <si>
    <t>4349 Westholme Way</t>
  </si>
  <si>
    <t>jayne_c@mail.com</t>
  </si>
  <si>
    <t>Raphael</t>
  </si>
  <si>
    <t>Saadiq</t>
  </si>
  <si>
    <t>4593 Havenwood Cir</t>
  </si>
  <si>
    <t>r.saadiq@outlook.com</t>
  </si>
  <si>
    <t>Merrin</t>
  </si>
  <si>
    <t>Dungey</t>
  </si>
  <si>
    <t>7988 Sam Ave</t>
  </si>
  <si>
    <t>m_dungey@mail.com</t>
  </si>
  <si>
    <t>Herb</t>
  </si>
  <si>
    <t>Caen</t>
  </si>
  <si>
    <t>9371 Laura Ct</t>
  </si>
  <si>
    <t>caen_h40@fastmail.com</t>
  </si>
  <si>
    <t>Johnny</t>
  </si>
  <si>
    <t>Colla</t>
  </si>
  <si>
    <t>7550 Homeland Ct</t>
  </si>
  <si>
    <t>colla_j@hotmail.com</t>
  </si>
  <si>
    <t>Brittney</t>
  </si>
  <si>
    <t>Pardue</t>
  </si>
  <si>
    <t>8459 Kit Ln</t>
  </si>
  <si>
    <t>pbrittney@outlook.com</t>
  </si>
  <si>
    <t>Lynch</t>
  </si>
  <si>
    <t>99 Rushden Dr</t>
  </si>
  <si>
    <t>lynche@aol.com</t>
  </si>
  <si>
    <t>Adrian</t>
  </si>
  <si>
    <t>3850 Jo Ann Dr</t>
  </si>
  <si>
    <t>adrian_r@yahoo.com</t>
  </si>
  <si>
    <t>Margie</t>
  </si>
  <si>
    <t>Kowalewski</t>
  </si>
  <si>
    <t>8880 Trouville Ln</t>
  </si>
  <si>
    <t>margiek@gmail.com</t>
  </si>
  <si>
    <t>Jennifer</t>
  </si>
  <si>
    <t>2814 Deer Cross Way</t>
  </si>
  <si>
    <t>jennifer_o@aol.com</t>
  </si>
  <si>
    <t>Katie</t>
  </si>
  <si>
    <t>Calkins</t>
  </si>
  <si>
    <t>6705 Sandpointe Ct</t>
  </si>
  <si>
    <t>calkinsk@yahoo.com</t>
  </si>
  <si>
    <t>Cheryl</t>
  </si>
  <si>
    <t>Burgess</t>
  </si>
  <si>
    <t>7675 Jefferson St</t>
  </si>
  <si>
    <t>burgess.c@gmail.com</t>
  </si>
  <si>
    <t>Don</t>
  </si>
  <si>
    <t>Verlin</t>
  </si>
  <si>
    <t>7102 Windward Way</t>
  </si>
  <si>
    <t>verlind80@icloud.com</t>
  </si>
  <si>
    <t>Rae</t>
  </si>
  <si>
    <t>Carruth</t>
  </si>
  <si>
    <t>6322 Carle Ln</t>
  </si>
  <si>
    <t>c.rae86@gmail.com</t>
  </si>
  <si>
    <t>O'Donnell</t>
  </si>
  <si>
    <t>5158 Hopkins St</t>
  </si>
  <si>
    <t>m.o'donnell@fastmail.com</t>
  </si>
  <si>
    <t>Giselle</t>
  </si>
  <si>
    <t>Fernández</t>
  </si>
  <si>
    <t>2817 Mossbeach Ct</t>
  </si>
  <si>
    <t>gfernández53@hotmail.com</t>
  </si>
  <si>
    <t>Watson</t>
  </si>
  <si>
    <t>2793 York Glen Way</t>
  </si>
  <si>
    <t>jwatson51@fastmail.com</t>
  </si>
  <si>
    <t>Cornel</t>
  </si>
  <si>
    <t>West</t>
  </si>
  <si>
    <t>6210 Maple Crest St</t>
  </si>
  <si>
    <t>west.c@mail.com</t>
  </si>
  <si>
    <t>Nick</t>
  </si>
  <si>
    <t>5112 Turret Ct</t>
  </si>
  <si>
    <t>nickj@zoho.com</t>
  </si>
  <si>
    <t>Sherri</t>
  </si>
  <si>
    <t>Pickett</t>
  </si>
  <si>
    <t>2143 Harding Ave</t>
  </si>
  <si>
    <t>sherri.p24@aol.com</t>
  </si>
  <si>
    <t>Doll</t>
  </si>
  <si>
    <t>2043 Maruyama Ct</t>
  </si>
  <si>
    <t>dolld@mail.com</t>
  </si>
  <si>
    <t>Cindy</t>
  </si>
  <si>
    <t>Stilwell</t>
  </si>
  <si>
    <t>7155 Grovehill Way</t>
  </si>
  <si>
    <t>c_stilwell@outlook.com</t>
  </si>
  <si>
    <t>Donte</t>
  </si>
  <si>
    <t>Stallworth</t>
  </si>
  <si>
    <t>1811 Rio Barco Way</t>
  </si>
  <si>
    <t>donte_s@yahoo.com</t>
  </si>
  <si>
    <t>Summer</t>
  </si>
  <si>
    <t>9744 Martinson Ct</t>
  </si>
  <si>
    <t>ssanders34@hotmail.com</t>
  </si>
  <si>
    <t>Verdin</t>
  </si>
  <si>
    <t>5839 Funston Dr</t>
  </si>
  <si>
    <t>v_pam@outlook.com</t>
  </si>
  <si>
    <t>Judd</t>
  </si>
  <si>
    <t>2247 Risley Ct</t>
  </si>
  <si>
    <t>judd.j11@outlook.com</t>
  </si>
  <si>
    <t>Michael</t>
  </si>
  <si>
    <t>Hedges</t>
  </si>
  <si>
    <t>860 Watson St</t>
  </si>
  <si>
    <t>michaelh@hotmail.com</t>
  </si>
  <si>
    <t>Brandi</t>
  </si>
  <si>
    <t>Angulo</t>
  </si>
  <si>
    <t>4811 Ute River Ct</t>
  </si>
  <si>
    <t>a_brandi@hotmail.com</t>
  </si>
  <si>
    <t>Joe</t>
  </si>
  <si>
    <t>Carnahan</t>
  </si>
  <si>
    <t>5017 Sawyer Cir</t>
  </si>
  <si>
    <t>joe_c@zoho.com</t>
  </si>
  <si>
    <t>5838 Chantry Ct</t>
  </si>
  <si>
    <t>m.burton@mail.com</t>
  </si>
  <si>
    <t>Katherine</t>
  </si>
  <si>
    <t>Kayes</t>
  </si>
  <si>
    <t>8961 Prudhoe Ct</t>
  </si>
  <si>
    <t>katherine.k18@zoho.com</t>
  </si>
  <si>
    <t>Delano</t>
  </si>
  <si>
    <t>3754 Bold Ln</t>
  </si>
  <si>
    <t>thomas.d@aol.com</t>
  </si>
  <si>
    <t>Spears</t>
  </si>
  <si>
    <t>8166 Los Gatos Cir</t>
  </si>
  <si>
    <t>katie_s@aol.com</t>
  </si>
  <si>
    <t>Ken</t>
  </si>
  <si>
    <t>O'Brien</t>
  </si>
  <si>
    <t>137 Greenview Ln</t>
  </si>
  <si>
    <t>o'brienk@hotmail.com</t>
  </si>
  <si>
    <t>Rick</t>
  </si>
  <si>
    <t>Cunningham</t>
  </si>
  <si>
    <t>7594 Nimitz St</t>
  </si>
  <si>
    <t>c.rick@zoho.com</t>
  </si>
  <si>
    <t>Rose</t>
  </si>
  <si>
    <t>Melberg</t>
  </si>
  <si>
    <t>7891 Red River Ct</t>
  </si>
  <si>
    <t>rose_m@yahoo.com</t>
  </si>
  <si>
    <t>4162 Wegat Ln</t>
  </si>
  <si>
    <t>jones.b@mail.com</t>
  </si>
  <si>
    <t>Ruth</t>
  </si>
  <si>
    <t>Wilhelm</t>
  </si>
  <si>
    <t>6734 Cortez Ln</t>
  </si>
  <si>
    <t>wilhelm_r@yahoo.com</t>
  </si>
  <si>
    <t>8866 Kincaid Way</t>
  </si>
  <si>
    <t>l.mary@zoho.com</t>
  </si>
  <si>
    <t>Laura</t>
  </si>
  <si>
    <t>Michalski</t>
  </si>
  <si>
    <t>2230 Vichy Cir</t>
  </si>
  <si>
    <t>l.michalski@gmail.com</t>
  </si>
  <si>
    <t>Haley</t>
  </si>
  <si>
    <t>Anderson</t>
  </si>
  <si>
    <t>7803 La Casa Way</t>
  </si>
  <si>
    <t>a_haley@zoho.com</t>
  </si>
  <si>
    <t>Bill</t>
  </si>
  <si>
    <t>Cartwright</t>
  </si>
  <si>
    <t>1523 Warrington Ct</t>
  </si>
  <si>
    <t>cartwright_b@zoho.com</t>
  </si>
  <si>
    <t>7885 W Vista Way</t>
  </si>
  <si>
    <t>e_thomas27@icloud.com</t>
  </si>
  <si>
    <t>Eyre</t>
  </si>
  <si>
    <t>2165 Blackridge Ave</t>
  </si>
  <si>
    <t>emilye@icloud.com</t>
  </si>
  <si>
    <t>Maria</t>
  </si>
  <si>
    <t>Pace</t>
  </si>
  <si>
    <t>1309 Clothier Way</t>
  </si>
  <si>
    <t>mariap@aol.com</t>
  </si>
  <si>
    <t>Morton</t>
  </si>
  <si>
    <t>Downey</t>
  </si>
  <si>
    <t>6272 Mesa Grande Ct</t>
  </si>
  <si>
    <t>morton_d@mail.com</t>
  </si>
  <si>
    <t>Deluca</t>
  </si>
  <si>
    <t>8844 Northview Dr</t>
  </si>
  <si>
    <t>deluca_m@icloud.com</t>
  </si>
  <si>
    <t>Sally</t>
  </si>
  <si>
    <t>5550 Dresher Park Way</t>
  </si>
  <si>
    <t>s_otten@gmail.com</t>
  </si>
  <si>
    <t>Imus</t>
  </si>
  <si>
    <t>5747 Desi Way</t>
  </si>
  <si>
    <t>d_imus@hotmail.com</t>
  </si>
  <si>
    <t>Eileen</t>
  </si>
  <si>
    <t>Payton</t>
  </si>
  <si>
    <t>5037 Tierra Green Way</t>
  </si>
  <si>
    <t>p_eileen@mail.com</t>
  </si>
  <si>
    <t>33 Lupine Field Ct</t>
  </si>
  <si>
    <t>alynn78@zoho.com</t>
  </si>
  <si>
    <t>Ramona</t>
  </si>
  <si>
    <t>Keegan</t>
  </si>
  <si>
    <t>760 Winfield Way</t>
  </si>
  <si>
    <t>r.keegan80@mail.com</t>
  </si>
  <si>
    <t>Bessie</t>
  </si>
  <si>
    <t>Major</t>
  </si>
  <si>
    <t>6465 Tarragon Ct</t>
  </si>
  <si>
    <t>b_major42@mail.com</t>
  </si>
  <si>
    <t>Bowa</t>
  </si>
  <si>
    <t>8342 Minden Ct</t>
  </si>
  <si>
    <t>bowa.l@icloud.com</t>
  </si>
  <si>
    <t>Carlos</t>
  </si>
  <si>
    <t>Alazraqui</t>
  </si>
  <si>
    <t>1679 Windsong Ct</t>
  </si>
  <si>
    <t>alazraquic@icloud.com</t>
  </si>
  <si>
    <t>Rosenheim</t>
  </si>
  <si>
    <t>9162 Hilldale Rd</t>
  </si>
  <si>
    <t>j.rosenheim@outlook.com</t>
  </si>
  <si>
    <t>Kort</t>
  </si>
  <si>
    <t>Schubert</t>
  </si>
  <si>
    <t>9119 Smoketree Dr</t>
  </si>
  <si>
    <t>skort@zoho.com</t>
  </si>
  <si>
    <t>Christine</t>
  </si>
  <si>
    <t>Hamilton</t>
  </si>
  <si>
    <t>5617 Scrub Oak Way</t>
  </si>
  <si>
    <t>christine.h@fastmail.com</t>
  </si>
  <si>
    <t>Juan</t>
  </si>
  <si>
    <t>Lazcano</t>
  </si>
  <si>
    <t>4293 Timbercreek Way</t>
  </si>
  <si>
    <t>jlazcano@mail.com</t>
  </si>
  <si>
    <t>Russell</t>
  </si>
  <si>
    <t>3016 Alden Way</t>
  </si>
  <si>
    <t>srussell@yahoo.com</t>
  </si>
  <si>
    <t>Jeter</t>
  </si>
  <si>
    <t>2194 Greenhead Ct</t>
  </si>
  <si>
    <t>j_constance@icloud.com</t>
  </si>
  <si>
    <t>Eakins</t>
  </si>
  <si>
    <t>7257 Capitol Mall</t>
  </si>
  <si>
    <t>eakins_j@mail.com</t>
  </si>
  <si>
    <t>Geoff</t>
  </si>
  <si>
    <t>Jenkins</t>
  </si>
  <si>
    <t>4024 Merton Way</t>
  </si>
  <si>
    <t>j.geoff@aol.com</t>
  </si>
  <si>
    <t>Brooks</t>
  </si>
  <si>
    <t>6107 Socorro Way</t>
  </si>
  <si>
    <t>b.laura@zoho.com</t>
  </si>
  <si>
    <t>Saville</t>
  </si>
  <si>
    <t>4779 Mountain View Ave</t>
  </si>
  <si>
    <t>janet_s@icloud.com</t>
  </si>
  <si>
    <t>Betty</t>
  </si>
  <si>
    <t>Carvajal</t>
  </si>
  <si>
    <t>9229 Portinao Cir</t>
  </si>
  <si>
    <t>b_carvajal95@icloud.com</t>
  </si>
  <si>
    <t>Miguel</t>
  </si>
  <si>
    <t>Ponce</t>
  </si>
  <si>
    <t>657 Mafic Ct</t>
  </si>
  <si>
    <t>mponce80@yahoo.com</t>
  </si>
  <si>
    <t>Dominic</t>
  </si>
  <si>
    <t>Sandoval</t>
  </si>
  <si>
    <t>4838 Loma Linda Ct</t>
  </si>
  <si>
    <t>s.dominic@outlook.com</t>
  </si>
  <si>
    <t>Glenda</t>
  </si>
  <si>
    <t>Tedford</t>
  </si>
  <si>
    <t>2566 Tamworth Way</t>
  </si>
  <si>
    <t>t.glenda@fastmail.com</t>
  </si>
  <si>
    <t>Bertha</t>
  </si>
  <si>
    <t>6313 Stonefield Ct</t>
  </si>
  <si>
    <t>b.slone@zoho.com</t>
  </si>
  <si>
    <t>Lang</t>
  </si>
  <si>
    <t>4194 Vowell St</t>
  </si>
  <si>
    <t>lang.d95@mail.com</t>
  </si>
  <si>
    <t>Joan</t>
  </si>
  <si>
    <t>Lunden</t>
  </si>
  <si>
    <t>4245 Drawbridge Ct</t>
  </si>
  <si>
    <t>l_joan67@yahoo.com</t>
  </si>
  <si>
    <t>Ruthven</t>
  </si>
  <si>
    <t>6783 Los Padres Way</t>
  </si>
  <si>
    <t>r_dick@aol.com</t>
  </si>
  <si>
    <t>Arroyo</t>
  </si>
  <si>
    <t>7078 Crooked Stick Dr</t>
  </si>
  <si>
    <t>marcus_a@icloud.com</t>
  </si>
  <si>
    <t>Hathaway</t>
  </si>
  <si>
    <t>2448 Johanson Cir</t>
  </si>
  <si>
    <t>hathaway.h@gmail.com</t>
  </si>
  <si>
    <t>Colin</t>
  </si>
  <si>
    <t>4957 Alderwood Way</t>
  </si>
  <si>
    <t>colin_h@zoho.com</t>
  </si>
  <si>
    <t>Corcoran</t>
  </si>
  <si>
    <t>9774 W Harvard Ave</t>
  </si>
  <si>
    <t>corcoranj@mail.com</t>
  </si>
  <si>
    <t>Jessica</t>
  </si>
  <si>
    <t>1187 Outer Banks Pl</t>
  </si>
  <si>
    <t>alcorn_j@fastmail.com</t>
  </si>
  <si>
    <t>Jarrett</t>
  </si>
  <si>
    <t>Bush</t>
  </si>
  <si>
    <t>5748 Scotty Way</t>
  </si>
  <si>
    <t>jbush@fastmail.com</t>
  </si>
  <si>
    <t>Watney</t>
  </si>
  <si>
    <t>3799 Kahara Ct</t>
  </si>
  <si>
    <t>n_watney32@gmail.com</t>
  </si>
  <si>
    <t>Daniel</t>
  </si>
  <si>
    <t>Fells</t>
  </si>
  <si>
    <t>4887 Doreen Way</t>
  </si>
  <si>
    <t>d.fells@zoho.com</t>
  </si>
  <si>
    <t>Lonie</t>
  </si>
  <si>
    <t>Paxton</t>
  </si>
  <si>
    <t>3468 Elvas Fwy</t>
  </si>
  <si>
    <t>l.paxton@aol.com</t>
  </si>
  <si>
    <t>150 Stacy Ave</t>
  </si>
  <si>
    <t>c.davis@icloud.com</t>
  </si>
  <si>
    <t>Bannon</t>
  </si>
  <si>
    <t>4399 Irma Way</t>
  </si>
  <si>
    <t>annb88@icloud.com</t>
  </si>
  <si>
    <t>Elliott</t>
  </si>
  <si>
    <t>792 Green Glen Way</t>
  </si>
  <si>
    <t>e_bob@outlook.com</t>
  </si>
  <si>
    <t>4314 Jackdaw Ct</t>
  </si>
  <si>
    <t>s.kalvert@hotmail.com</t>
  </si>
  <si>
    <t>Hillyer</t>
  </si>
  <si>
    <t>8545 Inlet Ct</t>
  </si>
  <si>
    <t>hillyero@mail.com</t>
  </si>
  <si>
    <t>Coleman</t>
  </si>
  <si>
    <t>3257 Loma Mar Ct</t>
  </si>
  <si>
    <t>c_erik@icloud.com</t>
  </si>
  <si>
    <t>Taylor</t>
  </si>
  <si>
    <t>Graham</t>
  </si>
  <si>
    <t>7662 Blachly Way</t>
  </si>
  <si>
    <t>g.taylor75@aol.com</t>
  </si>
  <si>
    <t>Myra</t>
  </si>
  <si>
    <t>Work</t>
  </si>
  <si>
    <t>5698 Lirios Ave</t>
  </si>
  <si>
    <t>myra_w@fastmail.com</t>
  </si>
  <si>
    <t>Amber</t>
  </si>
  <si>
    <t>Demers</t>
  </si>
  <si>
    <t>6484 Tywood Ct</t>
  </si>
  <si>
    <t>amberd69@hotmail.com</t>
  </si>
  <si>
    <t>Holm</t>
  </si>
  <si>
    <t>9489 Lori Ct</t>
  </si>
  <si>
    <t>hsteve@hotmail.com</t>
  </si>
  <si>
    <t>Toby</t>
  </si>
  <si>
    <t>Hall</t>
  </si>
  <si>
    <t>7527 Stillwell Ct</t>
  </si>
  <si>
    <t>htoby@mail.com</t>
  </si>
  <si>
    <t>2843 Savannah Ln</t>
  </si>
  <si>
    <t>ojoyce@yahoo.com</t>
  </si>
  <si>
    <t>Keenan</t>
  </si>
  <si>
    <t>3026 N Edge Dr</t>
  </si>
  <si>
    <t>edith.k@mail.com</t>
  </si>
  <si>
    <t>Ray</t>
  </si>
  <si>
    <t>3530 Fletcher Farm Dr</t>
  </si>
  <si>
    <t>l_ray28@mail.com</t>
  </si>
  <si>
    <t>Nester</t>
  </si>
  <si>
    <t>596 Eileen Way</t>
  </si>
  <si>
    <t>n.mildred@yahoo.com</t>
  </si>
  <si>
    <t>Sydney</t>
  </si>
  <si>
    <t>Crew</t>
  </si>
  <si>
    <t>7835 Sergio Way</t>
  </si>
  <si>
    <t>sydney_c@icloud.com</t>
  </si>
  <si>
    <t>Chris</t>
  </si>
  <si>
    <t>Oldham</t>
  </si>
  <si>
    <t>6285 Stretto Ct</t>
  </si>
  <si>
    <t>oldhamc@icloud.com</t>
  </si>
  <si>
    <t>Lynda</t>
  </si>
  <si>
    <t>Ethridge</t>
  </si>
  <si>
    <t>4440 Kinsella Ln</t>
  </si>
  <si>
    <t>elynda76@mail.com</t>
  </si>
  <si>
    <t>Anne</t>
  </si>
  <si>
    <t>Boisvert</t>
  </si>
  <si>
    <t>2657 Danbrook Dr</t>
  </si>
  <si>
    <t>anneb@icloud.com</t>
  </si>
  <si>
    <t>Boras</t>
  </si>
  <si>
    <t>5033 Zoram Ct</t>
  </si>
  <si>
    <t>scottb26@outlook.com</t>
  </si>
  <si>
    <t>Wheat</t>
  </si>
  <si>
    <t>3321 Southampton Way</t>
  </si>
  <si>
    <t>cwheat41@mail.com</t>
  </si>
  <si>
    <t>Stember</t>
  </si>
  <si>
    <t>8295 Grand View Rd</t>
  </si>
  <si>
    <t>m_stember@fastmail.com</t>
  </si>
  <si>
    <t>Vladimir</t>
  </si>
  <si>
    <t>Sabich</t>
  </si>
  <si>
    <t>9377 Nimes Ln</t>
  </si>
  <si>
    <t>s_vladimir50@mail.com</t>
  </si>
  <si>
    <t>Myrtle</t>
  </si>
  <si>
    <t>Jackman</t>
  </si>
  <si>
    <t>8844 Barr Way</t>
  </si>
  <si>
    <t>j_myrtle@outlook.com</t>
  </si>
  <si>
    <t>Brandon</t>
  </si>
  <si>
    <t>League</t>
  </si>
  <si>
    <t>8813 Pavilions Place Ln</t>
  </si>
  <si>
    <t>l.brandon@fastmail.com</t>
  </si>
  <si>
    <t>Rowell</t>
  </si>
  <si>
    <t>7249 Wreyford Ct</t>
  </si>
  <si>
    <t>kathyr@gmail.com</t>
  </si>
  <si>
    <t>Ricky</t>
  </si>
  <si>
    <t>542 Odom Ct</t>
  </si>
  <si>
    <t>ricky_r@icloud.com</t>
  </si>
  <si>
    <t>Bounds</t>
  </si>
  <si>
    <t>903 Whisper Ln</t>
  </si>
  <si>
    <t>b.amber@gmail.com</t>
  </si>
  <si>
    <t>Ellinger</t>
  </si>
  <si>
    <t>5221 Johns Dr</t>
  </si>
  <si>
    <t>r_ellinger@icloud.com</t>
  </si>
  <si>
    <t>Jack</t>
  </si>
  <si>
    <t>Gallagher</t>
  </si>
  <si>
    <t>4873 Juan Way</t>
  </si>
  <si>
    <t>jackg17@icloud.com</t>
  </si>
  <si>
    <t>Mullins</t>
  </si>
  <si>
    <t>180 Seyferth Way</t>
  </si>
  <si>
    <t>a_mullins@yahoo.com</t>
  </si>
  <si>
    <t>Dan</t>
  </si>
  <si>
    <t>Bunz</t>
  </si>
  <si>
    <t>6481 Coker Ct</t>
  </si>
  <si>
    <t>dbunz34@zoho.com</t>
  </si>
  <si>
    <t>Louis</t>
  </si>
  <si>
    <t>Stanfill</t>
  </si>
  <si>
    <t>9077 Shada Way</t>
  </si>
  <si>
    <t>s_louis19@mail.com</t>
  </si>
  <si>
    <t>Jeannette</t>
  </si>
  <si>
    <t>Fluker</t>
  </si>
  <si>
    <t>7177 I St</t>
  </si>
  <si>
    <t>fjeannette17@yahoo.com</t>
  </si>
  <si>
    <t>Rogers</t>
  </si>
  <si>
    <t>5769 Silk Tree Way</t>
  </si>
  <si>
    <t>don_r@yahoo.com</t>
  </si>
  <si>
    <t>Virginia</t>
  </si>
  <si>
    <t>Czyenski</t>
  </si>
  <si>
    <t>1003 Heather Tree Dr</t>
  </si>
  <si>
    <t>vczyenski44@mail.com</t>
  </si>
  <si>
    <t>Sarah</t>
  </si>
  <si>
    <t>Colangelo</t>
  </si>
  <si>
    <t>2231 Vichy Cir</t>
  </si>
  <si>
    <t>s.colangelo@outlook.com</t>
  </si>
  <si>
    <t>9696 Fernwood Way</t>
  </si>
  <si>
    <t>gonzalezp83@mail.com</t>
  </si>
  <si>
    <t>Nieto</t>
  </si>
  <si>
    <t>6075 Dewey Blvd</t>
  </si>
  <si>
    <t>nieto_j@aol.com</t>
  </si>
  <si>
    <t>Lillian</t>
  </si>
  <si>
    <t>Chambers</t>
  </si>
  <si>
    <t>2814 Southbury Ct</t>
  </si>
  <si>
    <t>chambers.l@outlook.com</t>
  </si>
  <si>
    <t>Jermaine</t>
  </si>
  <si>
    <t>Dye</t>
  </si>
  <si>
    <t>497 Durney Ct</t>
  </si>
  <si>
    <t>dyej@zoho.com</t>
  </si>
  <si>
    <t>Ian</t>
  </si>
  <si>
    <t>Hecox</t>
  </si>
  <si>
    <t>1148 Cool Water Ct</t>
  </si>
  <si>
    <t>h_ian@mail.com</t>
  </si>
  <si>
    <t>Derrek</t>
  </si>
  <si>
    <t>Lee</t>
  </si>
  <si>
    <t>5253 Longboat Key Way</t>
  </si>
  <si>
    <t>derrekl@aol.com</t>
  </si>
  <si>
    <t>Carla</t>
  </si>
  <si>
    <t>9275 Ashland Way</t>
  </si>
  <si>
    <t>boisvert_c56@mail.com</t>
  </si>
  <si>
    <t>Pat</t>
  </si>
  <si>
    <t>Morita</t>
  </si>
  <si>
    <t>1585 Benham Way</t>
  </si>
  <si>
    <t>pat.m84@aol.com</t>
  </si>
  <si>
    <t>Barbi</t>
  </si>
  <si>
    <t>Benton</t>
  </si>
  <si>
    <t>7315 Timberwood Ct</t>
  </si>
  <si>
    <t>b.barbi@outlook.com</t>
  </si>
  <si>
    <t>Jeanne</t>
  </si>
  <si>
    <t>Bluhm</t>
  </si>
  <si>
    <t>5427 Veralee Ln</t>
  </si>
  <si>
    <t>bjeanne24@aol.com</t>
  </si>
  <si>
    <t>5987 Narwal Pl</t>
  </si>
  <si>
    <t>r_edith@gmail.com</t>
  </si>
  <si>
    <t>Erika</t>
  </si>
  <si>
    <t>Michel</t>
  </si>
  <si>
    <t>3628 Kam Ct</t>
  </si>
  <si>
    <t>michel_e@aol.com</t>
  </si>
  <si>
    <t>Brown</t>
  </si>
  <si>
    <t>8322 Esquire Dr</t>
  </si>
  <si>
    <t>dale_b@gmail.com</t>
  </si>
  <si>
    <t>4319 Explorer Dr</t>
  </si>
  <si>
    <t>j.geoff@mail.com</t>
  </si>
  <si>
    <t>Tucker</t>
  </si>
  <si>
    <t>8335 Deeble St</t>
  </si>
  <si>
    <t>lori_t46@aol.com</t>
  </si>
  <si>
    <t>Roberts</t>
  </si>
  <si>
    <t>9788 Tyne Fell Ct</t>
  </si>
  <si>
    <t>charlesr@gmail.com</t>
  </si>
  <si>
    <t>Justin</t>
  </si>
  <si>
    <t>Bannan</t>
  </si>
  <si>
    <t>9790 Silverleaf Way</t>
  </si>
  <si>
    <t>j_bannan49@icloud.com</t>
  </si>
  <si>
    <t>Casey</t>
  </si>
  <si>
    <t>Weathers</t>
  </si>
  <si>
    <t>552 Stewart Rd</t>
  </si>
  <si>
    <t>c_weathers@fastmail.com</t>
  </si>
  <si>
    <t>Cronin</t>
  </si>
  <si>
    <t>6200 Waterash Way</t>
  </si>
  <si>
    <t>steve.c16@icloud.com</t>
  </si>
  <si>
    <t>Munson</t>
  </si>
  <si>
    <t>3591 Barbara St</t>
  </si>
  <si>
    <t>b.munson@fastmail.com</t>
  </si>
  <si>
    <t>Sampson</t>
  </si>
  <si>
    <t>9457 Wesley Ave</t>
  </si>
  <si>
    <t>l.sampson@zoho.com</t>
  </si>
  <si>
    <t>Spitz</t>
  </si>
  <si>
    <t>5856 Jade Ct</t>
  </si>
  <si>
    <t>spitz.m@yahoo.com</t>
  </si>
  <si>
    <t>Natalie</t>
  </si>
  <si>
    <t>Zeller</t>
  </si>
  <si>
    <t>9479 Macarlen Way</t>
  </si>
  <si>
    <t>nataliez@mail.com</t>
  </si>
  <si>
    <t>Blauser</t>
  </si>
  <si>
    <t>3569 Inman Way</t>
  </si>
  <si>
    <t>j_blauser85@hotmail.com</t>
  </si>
  <si>
    <t>Deborah</t>
  </si>
  <si>
    <t>Blum</t>
  </si>
  <si>
    <t>7444 Cassatt Way</t>
  </si>
  <si>
    <t>dblum21@mail.com</t>
  </si>
  <si>
    <t>Brittany</t>
  </si>
  <si>
    <t>Hatcher</t>
  </si>
  <si>
    <t>5957 Gleneagle Way</t>
  </si>
  <si>
    <t>brittany.h@zoho.com</t>
  </si>
  <si>
    <t>2921 Pelican Way</t>
  </si>
  <si>
    <t>rosek@gmail.com</t>
  </si>
  <si>
    <t>Cecil</t>
  </si>
  <si>
    <t>2568 Boscastle Way</t>
  </si>
  <si>
    <t>wallace.c@gmail.com</t>
  </si>
  <si>
    <t>Pittman</t>
  </si>
  <si>
    <t>5311 El Valle Way</t>
  </si>
  <si>
    <t>m.pittman@hotmail.com</t>
  </si>
  <si>
    <t>Lisa</t>
  </si>
  <si>
    <t>Ling</t>
  </si>
  <si>
    <t>6496 Fairgate Rd</t>
  </si>
  <si>
    <t>l.lisa12@mail.com</t>
  </si>
  <si>
    <t>1031 Shadow Creek Dr</t>
  </si>
  <si>
    <t>s_marjorie@yahoo.com</t>
  </si>
  <si>
    <t>Max</t>
  </si>
  <si>
    <t>Baer</t>
  </si>
  <si>
    <t>8392 Southbreeze Dr</t>
  </si>
  <si>
    <t>mbaer@outlook.com</t>
  </si>
  <si>
    <t>Nora</t>
  </si>
  <si>
    <t>Rhea</t>
  </si>
  <si>
    <t>8373 Sitton Way</t>
  </si>
  <si>
    <t>r_nora@zoho.com</t>
  </si>
  <si>
    <t>Annie</t>
  </si>
  <si>
    <t>Matthews</t>
  </si>
  <si>
    <t>7382 Village Center Dr</t>
  </si>
  <si>
    <t>anniem@aol.com</t>
  </si>
  <si>
    <t>Didion</t>
  </si>
  <si>
    <t>355 Spinnaker Way</t>
  </si>
  <si>
    <t>jdidion49@aol.com</t>
  </si>
  <si>
    <t>Margaret</t>
  </si>
  <si>
    <t>Hodel</t>
  </si>
  <si>
    <t>3016 Lido Isle Ln</t>
  </si>
  <si>
    <t>margaret_h@mail.com</t>
  </si>
  <si>
    <t>Giovanni</t>
  </si>
  <si>
    <t>Carmazzi</t>
  </si>
  <si>
    <t>3132 Arnold Ct</t>
  </si>
  <si>
    <t>carmazzig@icloud.com</t>
  </si>
  <si>
    <t>Goodson</t>
  </si>
  <si>
    <t>3034 Gaylord Ct</t>
  </si>
  <si>
    <t>g_mark@gmail.com</t>
  </si>
  <si>
    <t>Sammie</t>
  </si>
  <si>
    <t>Stroughter</t>
  </si>
  <si>
    <t>6943 Cobblefield Dr</t>
  </si>
  <si>
    <t>stroughter.s@mail.com</t>
  </si>
  <si>
    <t>Hume</t>
  </si>
  <si>
    <t>375 Sheedy Ct</t>
  </si>
  <si>
    <t>hume_d@mail.com</t>
  </si>
  <si>
    <t>Patrick</t>
  </si>
  <si>
    <t>Ianni</t>
  </si>
  <si>
    <t>323 Malt Ct</t>
  </si>
  <si>
    <t>ianni.p72@gmail.com</t>
  </si>
  <si>
    <t>Lance</t>
  </si>
  <si>
    <t>Briggs</t>
  </si>
  <si>
    <t>2794 California Loop</t>
  </si>
  <si>
    <t>lanceb@outlook.com</t>
  </si>
  <si>
    <t>Stevens</t>
  </si>
  <si>
    <t>6211 Sea Hawk Pl</t>
  </si>
  <si>
    <t>stevense@mail.com</t>
  </si>
  <si>
    <t>Rosalie</t>
  </si>
  <si>
    <t>Mclaurin</t>
  </si>
  <si>
    <t>8654 Seaborg Way</t>
  </si>
  <si>
    <t>mclaurinr87@fastmail.com</t>
  </si>
  <si>
    <t>Syd'Quan</t>
  </si>
  <si>
    <t>Thompson</t>
  </si>
  <si>
    <t>920 Foppiano Way</t>
  </si>
  <si>
    <t>t_syd'quan@gmail.com</t>
  </si>
  <si>
    <t>Vollmann</t>
  </si>
  <si>
    <t>1227 McClatchy Way</t>
  </si>
  <si>
    <t>william_v@aol.com</t>
  </si>
  <si>
    <t>Posehn</t>
  </si>
  <si>
    <t>7425 Aljo Way</t>
  </si>
  <si>
    <t>brian.p@yahoo.com</t>
  </si>
  <si>
    <t>Kirby</t>
  </si>
  <si>
    <t>8389 Attawa Ave</t>
  </si>
  <si>
    <t>kbertha@mail.com</t>
  </si>
  <si>
    <t>Twain</t>
  </si>
  <si>
    <t>2319 Hillcrest Way</t>
  </si>
  <si>
    <t>m.twain@mail.com</t>
  </si>
  <si>
    <t>Campen</t>
  </si>
  <si>
    <t>8067 Nashua Way</t>
  </si>
  <si>
    <t>j.campen@icloud.com</t>
  </si>
  <si>
    <t>Jason</t>
  </si>
  <si>
    <t>Sehorn</t>
  </si>
  <si>
    <t>9072 Land Park Dr</t>
  </si>
  <si>
    <t>sehornj@mail.com</t>
  </si>
  <si>
    <t>Bosio</t>
  </si>
  <si>
    <t>9109 Piccadilly Cir</t>
  </si>
  <si>
    <t>bosio.c@mail.com</t>
  </si>
  <si>
    <t>Dora</t>
  </si>
  <si>
    <t>Gray</t>
  </si>
  <si>
    <t>2351 Winterhaven Ave</t>
  </si>
  <si>
    <t>dora.g@mail.com</t>
  </si>
  <si>
    <t>Nathaniel</t>
  </si>
  <si>
    <t>Hackett</t>
  </si>
  <si>
    <t>4843 Kintyre Pen Pl</t>
  </si>
  <si>
    <t>hackett.n@aol.com</t>
  </si>
  <si>
    <t>Otis</t>
  </si>
  <si>
    <t>6322 Mary Lou Way</t>
  </si>
  <si>
    <t>o_griffin@gmail.com</t>
  </si>
  <si>
    <t>3514 Wolfboro Ct</t>
  </si>
  <si>
    <t>brian.l@mail.com</t>
  </si>
  <si>
    <t>Terrell</t>
  </si>
  <si>
    <t>4799 Saints Way</t>
  </si>
  <si>
    <t>t_david@hotmail.com</t>
  </si>
  <si>
    <t>Cox</t>
  </si>
  <si>
    <t>1232 Chambord Ct</t>
  </si>
  <si>
    <t>john.c@gmail.com</t>
  </si>
  <si>
    <t>Stubbs</t>
  </si>
  <si>
    <t>5792 Pasadena Ave</t>
  </si>
  <si>
    <t>bob_s@fastmail.com</t>
  </si>
  <si>
    <t>Leibowitz</t>
  </si>
  <si>
    <t>9316 Earlcort Cir</t>
  </si>
  <si>
    <t>a_leibowitz@outlook.com</t>
  </si>
  <si>
    <t>2815 Artesian Ct</t>
  </si>
  <si>
    <t>klillian72@fastmail.com</t>
  </si>
  <si>
    <t>2161 Baldwin Way</t>
  </si>
  <si>
    <t>davisd@aol.com</t>
  </si>
  <si>
    <t>5791 Gandy Way</t>
  </si>
  <si>
    <t>krisg@hotmail.com</t>
  </si>
  <si>
    <t>Debra</t>
  </si>
  <si>
    <t>Sellers</t>
  </si>
  <si>
    <t>6981 Cloud Crest Way</t>
  </si>
  <si>
    <t>sdebra@zoho.com</t>
  </si>
  <si>
    <t>Keith</t>
  </si>
  <si>
    <t>6307 Paul Ave</t>
  </si>
  <si>
    <t>k_lewis@fastmail.com</t>
  </si>
  <si>
    <t>Sabo</t>
  </si>
  <si>
    <t>6250 Wah Ave</t>
  </si>
  <si>
    <t>myra.s@fastmail.com</t>
  </si>
  <si>
    <t>Molly</t>
  </si>
  <si>
    <t>Ringwald</t>
  </si>
  <si>
    <t>5838 Enclave Pl</t>
  </si>
  <si>
    <t>mollyr@zoho.com</t>
  </si>
  <si>
    <t>Farrington</t>
  </si>
  <si>
    <t>8138 Calderwood Ln</t>
  </si>
  <si>
    <t>sfarrington@fastmail.com</t>
  </si>
  <si>
    <t>Gabe</t>
  </si>
  <si>
    <t>Gardner</t>
  </si>
  <si>
    <t>9591 Hood Franklin Rd</t>
  </si>
  <si>
    <t>gabe.g97@gmail.com</t>
  </si>
  <si>
    <t>4757 Klingon Ct</t>
  </si>
  <si>
    <t>katherine.s25@hotmail.com</t>
  </si>
  <si>
    <t>Wald</t>
  </si>
  <si>
    <t>9315 Reichmuth Way</t>
  </si>
  <si>
    <t>waldp@yahoo.com</t>
  </si>
  <si>
    <t>Eason</t>
  </si>
  <si>
    <t>Ramson</t>
  </si>
  <si>
    <t>7998 Manitoba Ave</t>
  </si>
  <si>
    <t>reason81@mail.com</t>
  </si>
  <si>
    <t>Rath</t>
  </si>
  <si>
    <t>1558 Wood Gate Way</t>
  </si>
  <si>
    <t>remily@outlook.com</t>
  </si>
  <si>
    <t>McCarron</t>
  </si>
  <si>
    <t>4808 Wilshire Ave</t>
  </si>
  <si>
    <t>mccarrons@gmail.com</t>
  </si>
  <si>
    <t>5215 Mulberry Ln</t>
  </si>
  <si>
    <t>m_lincoln@fastmail.com</t>
  </si>
  <si>
    <t>Edwards</t>
  </si>
  <si>
    <t>3818 Fell St</t>
  </si>
  <si>
    <t>esally83@mail.com</t>
  </si>
  <si>
    <t>3240 Villanova Cir</t>
  </si>
  <si>
    <t>anderson.j@fastmail.com</t>
  </si>
  <si>
    <t>4527 Helsinki Way</t>
  </si>
  <si>
    <t>michaels@hotmail.com</t>
  </si>
  <si>
    <t>Rhonda</t>
  </si>
  <si>
    <t>Kraus</t>
  </si>
  <si>
    <t>2953 Morena Way</t>
  </si>
  <si>
    <t>krausr@gmail.com</t>
  </si>
  <si>
    <t>Faye</t>
  </si>
  <si>
    <t>Champion</t>
  </si>
  <si>
    <t>8713 Pennywood Ct</t>
  </si>
  <si>
    <t>championf@mail.com</t>
  </si>
  <si>
    <t>Sutherland</t>
  </si>
  <si>
    <t>3895 Magical Walk</t>
  </si>
  <si>
    <t>kevin.s53@yahoo.com</t>
  </si>
  <si>
    <t>114 Parkside Ct</t>
  </si>
  <si>
    <t>a_ryan19@mail.com</t>
  </si>
  <si>
    <t>Lunn</t>
  </si>
  <si>
    <t>310 Linnet Ct</t>
  </si>
  <si>
    <t>lunnb@fastmail.com</t>
  </si>
  <si>
    <t>Diego</t>
  </si>
  <si>
    <t>Corrales</t>
  </si>
  <si>
    <t>3964 Torrance Ave</t>
  </si>
  <si>
    <t>c_diego@aol.com</t>
  </si>
  <si>
    <t>Alyssa</t>
  </si>
  <si>
    <t>8686 Scranton Cir</t>
  </si>
  <si>
    <t>aalyssa20@fastmail.com</t>
  </si>
  <si>
    <t>4707 Holiday Cove Ct</t>
  </si>
  <si>
    <t>b.max@zoho.com</t>
  </si>
  <si>
    <t>Boitano</t>
  </si>
  <si>
    <t>212 Rushden Dr</t>
  </si>
  <si>
    <t>boitanod@mail.com</t>
  </si>
  <si>
    <t>Geno</t>
  </si>
  <si>
    <t>Petralli</t>
  </si>
  <si>
    <t>3889 Majestic Ln</t>
  </si>
  <si>
    <t>genop@outlook.com</t>
  </si>
  <si>
    <t>Viola</t>
  </si>
  <si>
    <t>9907 Dutton Way</t>
  </si>
  <si>
    <t>violak99@mail.com</t>
  </si>
  <si>
    <t>Genevieve</t>
  </si>
  <si>
    <t>391 New Sacto Way</t>
  </si>
  <si>
    <t>g.matthews@icloud.com</t>
  </si>
  <si>
    <t>1291 Chesterton Way</t>
  </si>
  <si>
    <t>ramona.m@outlook.com</t>
  </si>
  <si>
    <t>Debbie</t>
  </si>
  <si>
    <t>Meyer</t>
  </si>
  <si>
    <t>1972 Morrow St</t>
  </si>
  <si>
    <t>meyerd3@mail.com</t>
  </si>
  <si>
    <t>Robert</t>
  </si>
  <si>
    <t>Awalt</t>
  </si>
  <si>
    <t>5952 Jumilla Way</t>
  </si>
  <si>
    <t>arobert@icloud.com</t>
  </si>
  <si>
    <t>Belinda</t>
  </si>
  <si>
    <t>Ellis</t>
  </si>
  <si>
    <t>4452 Golden Poplar Ave</t>
  </si>
  <si>
    <t>bellis@gmail.com</t>
  </si>
  <si>
    <t>Roe</t>
  </si>
  <si>
    <t>8040 Elster Ct</t>
  </si>
  <si>
    <t>rmichael@outlook.com</t>
  </si>
  <si>
    <t>Chastain</t>
  </si>
  <si>
    <t>8736 Arabis Ct</t>
  </si>
  <si>
    <t>chastain_j@icloud.com</t>
  </si>
  <si>
    <t>Alex</t>
  </si>
  <si>
    <t>Honnold</t>
  </si>
  <si>
    <t>2968 Syracuse Way</t>
  </si>
  <si>
    <t>alex_h@zoho.com</t>
  </si>
  <si>
    <t>Reggie</t>
  </si>
  <si>
    <t>9756 Prodperine Pl</t>
  </si>
  <si>
    <t>rreggie@fastmail.com</t>
  </si>
  <si>
    <t>Dek</t>
  </si>
  <si>
    <t>Bake</t>
  </si>
  <si>
    <t>8975 Silk Ct</t>
  </si>
  <si>
    <t>dek_b@mail.com</t>
  </si>
  <si>
    <t>Sam</t>
  </si>
  <si>
    <t>Warburg</t>
  </si>
  <si>
    <t>1680 Red Robin Ln</t>
  </si>
  <si>
    <t>sam.w48@hotmail.com</t>
  </si>
  <si>
    <t>Trevor</t>
  </si>
  <si>
    <t>Matich</t>
  </si>
  <si>
    <t>2305 Red Wolf Dr</t>
  </si>
  <si>
    <t>trevorm@outlook.com</t>
  </si>
  <si>
    <t>Inglett</t>
  </si>
  <si>
    <t>8657 Normington Dr</t>
  </si>
  <si>
    <t>inglett_j@hotmail.com</t>
  </si>
  <si>
    <t>Jean</t>
  </si>
  <si>
    <t>6156 Sachi Way</t>
  </si>
  <si>
    <t>zellerj@hotmail.com</t>
  </si>
  <si>
    <t>de Berry</t>
  </si>
  <si>
    <t>3420 Yale St</t>
  </si>
  <si>
    <t>david_d5@yahoo.com</t>
  </si>
  <si>
    <t>Gold</t>
  </si>
  <si>
    <t>1397 Lieto Way</t>
  </si>
  <si>
    <t>gbessie@yahoo.com</t>
  </si>
  <si>
    <t>Hopper</t>
  </si>
  <si>
    <t>7225 Mill Branch Ct</t>
  </si>
  <si>
    <t>jenniferh@yahoo.com</t>
  </si>
  <si>
    <t>Havner</t>
  </si>
  <si>
    <t>2523 San Joaquin St</t>
  </si>
  <si>
    <t>havner.s@gmail.com</t>
  </si>
  <si>
    <t>Snow</t>
  </si>
  <si>
    <t>4862 Mira Vista St</t>
  </si>
  <si>
    <t>phils20@gmail.com</t>
  </si>
  <si>
    <t>Stan</t>
  </si>
  <si>
    <t>Hack</t>
  </si>
  <si>
    <t>3339 Royal Down Cir</t>
  </si>
  <si>
    <t>hstan@hotmail.com</t>
  </si>
  <si>
    <t>Ellyse</t>
  </si>
  <si>
    <t>Casteel</t>
  </si>
  <si>
    <t>8881 Libra Ave</t>
  </si>
  <si>
    <t>ellyse_c@yahoo.com</t>
  </si>
  <si>
    <t>Atkinson</t>
  </si>
  <si>
    <t>9421 W Lincoln Ave</t>
  </si>
  <si>
    <t>s_atkinson@mail.com</t>
  </si>
  <si>
    <t>Daimon</t>
  </si>
  <si>
    <t>Shelton</t>
  </si>
  <si>
    <t>9337 Dutton Way</t>
  </si>
  <si>
    <t>daimon_s@gmail.com</t>
  </si>
  <si>
    <t>8455 Tracy Ct</t>
  </si>
  <si>
    <t>tammy_h@mail.com</t>
  </si>
  <si>
    <t>Frank-Paul</t>
  </si>
  <si>
    <t>Santangelo</t>
  </si>
  <si>
    <t>2743 Mohamed Oaks Ct</t>
  </si>
  <si>
    <t>frank-pauls@hotmail.com</t>
  </si>
  <si>
    <t>House</t>
  </si>
  <si>
    <t>3028 Rio Cresta Way</t>
  </si>
  <si>
    <t>Galt</t>
  </si>
  <si>
    <t>house.j@zoho.com</t>
  </si>
  <si>
    <t>Gulbis</t>
  </si>
  <si>
    <t>2984 Comanche Way</t>
  </si>
  <si>
    <t>natalie_g@mail.com</t>
  </si>
  <si>
    <t>Mcabee</t>
  </si>
  <si>
    <t>8694 Macfinley Way</t>
  </si>
  <si>
    <t>m_sheri@mail.com</t>
  </si>
  <si>
    <t>Murphy</t>
  </si>
  <si>
    <t>7967 Icarus Ct</t>
  </si>
  <si>
    <t>kathym@outlook.com</t>
  </si>
  <si>
    <t>Mabel</t>
  </si>
  <si>
    <t>Bales</t>
  </si>
  <si>
    <t>4355 Volga Way</t>
  </si>
  <si>
    <t>bales.m34@hotmail.com</t>
  </si>
  <si>
    <t>Bell</t>
  </si>
  <si>
    <t>5963 Shepard Ave</t>
  </si>
  <si>
    <t>lynnb@mail.com</t>
  </si>
  <si>
    <t>Bashaw</t>
  </si>
  <si>
    <t>5600 Inspiration Ln</t>
  </si>
  <si>
    <t>b_myra@fastmail.com</t>
  </si>
  <si>
    <t>Walker</t>
  </si>
  <si>
    <t>6739 Bimini Ct</t>
  </si>
  <si>
    <t>cheryl.w@gmail.com</t>
  </si>
  <si>
    <t>Skylar</t>
  </si>
  <si>
    <t>577 Don Merlino Ct</t>
  </si>
  <si>
    <t>thomas.s@aol.com</t>
  </si>
  <si>
    <t>7532 Squirewood Ct</t>
  </si>
  <si>
    <t>sam_e68@mail.com</t>
  </si>
  <si>
    <t>Hellesen</t>
  </si>
  <si>
    <t>6110 Vanier Ct</t>
  </si>
  <si>
    <t>hellesen_r@fastmail.com</t>
  </si>
  <si>
    <t>Bingaman</t>
  </si>
  <si>
    <t>9411 Kirk Way</t>
  </si>
  <si>
    <t>bingamana@outlook.com</t>
  </si>
  <si>
    <t>Jerry</t>
  </si>
  <si>
    <t>Royster</t>
  </si>
  <si>
    <t>2329 Yuma Cir</t>
  </si>
  <si>
    <t>r.jerry@aol.com</t>
  </si>
  <si>
    <t>Suzi</t>
  </si>
  <si>
    <t>5592 Strawberry Ln</t>
  </si>
  <si>
    <t>gardner_s43@hotmail.com</t>
  </si>
  <si>
    <t>O'Sullivan</t>
  </si>
  <si>
    <t>5131 Lamont Way</t>
  </si>
  <si>
    <t>johno@zoho.com</t>
  </si>
  <si>
    <t>Brie</t>
  </si>
  <si>
    <t>Larson</t>
  </si>
  <si>
    <t>161 David Way</t>
  </si>
  <si>
    <t>brie_l@icloud.com</t>
  </si>
  <si>
    <t>Sonia</t>
  </si>
  <si>
    <t>Dunkin</t>
  </si>
  <si>
    <t>7979 Arroyo Vista Dr</t>
  </si>
  <si>
    <t>sonia.d19@aol.com</t>
  </si>
  <si>
    <t>Gary</t>
  </si>
  <si>
    <t>Hoffman</t>
  </si>
  <si>
    <t>856 William Way</t>
  </si>
  <si>
    <t>hoffman_g@outlook.com</t>
  </si>
  <si>
    <t>Leona</t>
  </si>
  <si>
    <t>Weber</t>
  </si>
  <si>
    <t>5188 Vorden Rd</t>
  </si>
  <si>
    <t>weberl@icloud.com</t>
  </si>
  <si>
    <t>993 Lomax Ct</t>
  </si>
  <si>
    <t>kathy.d@icloud.com</t>
  </si>
  <si>
    <t>Vukovich</t>
  </si>
  <si>
    <t>9558 Agree Ct</t>
  </si>
  <si>
    <t>johnv@mail.com</t>
  </si>
  <si>
    <t>Josephine</t>
  </si>
  <si>
    <t>Hoff</t>
  </si>
  <si>
    <t>826 Chatfield Dr</t>
  </si>
  <si>
    <t>hoff.j@zoho.com</t>
  </si>
  <si>
    <t>Kayla</t>
  </si>
  <si>
    <t>Isham</t>
  </si>
  <si>
    <t>977 Glenmont Way</t>
  </si>
  <si>
    <t>kisham@zoho.com</t>
  </si>
  <si>
    <t>Victor</t>
  </si>
  <si>
    <t>Wong</t>
  </si>
  <si>
    <t>7122 El Viento Way</t>
  </si>
  <si>
    <t>wong_v@hotmail.com</t>
  </si>
  <si>
    <t>Fernandez</t>
  </si>
  <si>
    <t>1813 El Centro Rd</t>
  </si>
  <si>
    <t>jfernandez@yahoo.com</t>
  </si>
  <si>
    <t>Callie</t>
  </si>
  <si>
    <t>Douglas</t>
  </si>
  <si>
    <t>2928 Gramont Way</t>
  </si>
  <si>
    <t>d_callie@gmail.com</t>
  </si>
  <si>
    <t>Coley</t>
  </si>
  <si>
    <t>7129 Caswell Ct</t>
  </si>
  <si>
    <t>coley_d@hotmail.com</t>
  </si>
  <si>
    <t>Oxley</t>
  </si>
  <si>
    <t>4382 Gazania Ct</t>
  </si>
  <si>
    <t>oxley_d@hotmail.com</t>
  </si>
  <si>
    <t>8884 Samwood Ct</t>
  </si>
  <si>
    <t>mhamilton@gmail.com</t>
  </si>
  <si>
    <t>Fernando</t>
  </si>
  <si>
    <t>Viña</t>
  </si>
  <si>
    <t>6189 Kathryn Way</t>
  </si>
  <si>
    <t>f.viña53@mail.com</t>
  </si>
  <si>
    <t>Wylie</t>
  </si>
  <si>
    <t>3796 Northfield Dr</t>
  </si>
  <si>
    <t>wyliem@fastmail.com</t>
  </si>
  <si>
    <t>Barnes</t>
  </si>
  <si>
    <t>684 Naponee Ct</t>
  </si>
  <si>
    <t>barnesm@gmail.com</t>
  </si>
  <si>
    <t>Storms</t>
  </si>
  <si>
    <t>1328 Schutt Way</t>
  </si>
  <si>
    <t>s_candace@fastmail.com</t>
  </si>
  <si>
    <t>Fannie</t>
  </si>
  <si>
    <t>Wooldridge</t>
  </si>
  <si>
    <t>1806 Tetlow Ct</t>
  </si>
  <si>
    <t>fanniew@fastmail.com</t>
  </si>
  <si>
    <t>Ben</t>
  </si>
  <si>
    <t>Campbell</t>
  </si>
  <si>
    <t>1325 Dundalk Ct</t>
  </si>
  <si>
    <t>campbell_b46@gmail.com</t>
  </si>
  <si>
    <t>Manny</t>
  </si>
  <si>
    <t>Parra</t>
  </si>
  <si>
    <t>5695 Chapeau Ct</t>
  </si>
  <si>
    <t>m.parra@yahoo.com</t>
  </si>
  <si>
    <t>Wilkins</t>
  </si>
  <si>
    <t>8171 Boston Ct</t>
  </si>
  <si>
    <t>wilkins.b@outlook.com</t>
  </si>
  <si>
    <t>Raymond</t>
  </si>
  <si>
    <t>Carver</t>
  </si>
  <si>
    <t>7078 Reenel Way</t>
  </si>
  <si>
    <t>carver_r@aol.com</t>
  </si>
  <si>
    <t>Jackie</t>
  </si>
  <si>
    <t>Greene</t>
  </si>
  <si>
    <t>7537 San Luis Ct</t>
  </si>
  <si>
    <t>jackie_g@outlook.com</t>
  </si>
  <si>
    <t>Ramirez</t>
  </si>
  <si>
    <t>3827 Durfee Way</t>
  </si>
  <si>
    <t>c_ramirez83@mail.com</t>
  </si>
  <si>
    <t>Clancy</t>
  </si>
  <si>
    <t>Barone</t>
  </si>
  <si>
    <t>6266 Dalhart Way</t>
  </si>
  <si>
    <t>b_clancy@zoho.com</t>
  </si>
  <si>
    <t>Parker</t>
  </si>
  <si>
    <t>1204 Chamonix Way</t>
  </si>
  <si>
    <t>parker_j@mail.com</t>
  </si>
  <si>
    <t>Natasha</t>
  </si>
  <si>
    <t>Lyon</t>
  </si>
  <si>
    <t>7922 Rivershore Ct</t>
  </si>
  <si>
    <t>lnatasha@icloud.com</t>
  </si>
  <si>
    <t>9034 Pournelle Way</t>
  </si>
  <si>
    <t>a_boehmer@fastmail.com</t>
  </si>
  <si>
    <t>DeMarcus</t>
  </si>
  <si>
    <t>5355 Emerson Rd</t>
  </si>
  <si>
    <t>n_demarcus@mail.com</t>
  </si>
  <si>
    <t>Ellen</t>
  </si>
  <si>
    <t>Ontiveros</t>
  </si>
  <si>
    <t>1805 Gypsy Star Way</t>
  </si>
  <si>
    <t>o.ellen@icloud.com</t>
  </si>
  <si>
    <t>Donaldson</t>
  </si>
  <si>
    <t>326 Beachcraft Way</t>
  </si>
  <si>
    <t>james.d@mail.com</t>
  </si>
  <si>
    <t>Manuel</t>
  </si>
  <si>
    <t>6887 Lorton Ct</t>
  </si>
  <si>
    <t>jerry.m@icloud.com</t>
  </si>
  <si>
    <t>Darren</t>
  </si>
  <si>
    <t>4401 Ladino Rd</t>
  </si>
  <si>
    <t>darreno@zoho.com</t>
  </si>
  <si>
    <t>Price</t>
  </si>
  <si>
    <t>7193 Canna Ct</t>
  </si>
  <si>
    <t>price_h@mail.com</t>
  </si>
  <si>
    <t>Bastian</t>
  </si>
  <si>
    <t>3646 Rio De Oro Way</t>
  </si>
  <si>
    <t>sabrinab2@fastmail.com</t>
  </si>
  <si>
    <t>Pearl</t>
  </si>
  <si>
    <t>5141 Academy Way</t>
  </si>
  <si>
    <t>pgreen@icloud.com</t>
  </si>
  <si>
    <t>Stacy</t>
  </si>
  <si>
    <t>5498 Grant Ln</t>
  </si>
  <si>
    <t>ssmith@zoho.com</t>
  </si>
  <si>
    <t>Shaka</t>
  </si>
  <si>
    <t>Ford</t>
  </si>
  <si>
    <t>7239 Cecile Way</t>
  </si>
  <si>
    <t>shakaf@yahoo.com</t>
  </si>
  <si>
    <t>876 Kylaglen Ct</t>
  </si>
  <si>
    <t>mildred.r@icloud.com</t>
  </si>
  <si>
    <t>Evelyn</t>
  </si>
  <si>
    <t>Ashford</t>
  </si>
  <si>
    <t>6574 El Dala Ln</t>
  </si>
  <si>
    <t>e_ashford@zoho.com</t>
  </si>
  <si>
    <t>Rush</t>
  </si>
  <si>
    <t>Limbaugh</t>
  </si>
  <si>
    <t>6923 Park River Oak Ct</t>
  </si>
  <si>
    <t>l.rush@outlook.com</t>
  </si>
  <si>
    <t>5522 Spinning Rod Ct</t>
  </si>
  <si>
    <t>ross.a@yahoo.com</t>
  </si>
  <si>
    <t>Garibaldi</t>
  </si>
  <si>
    <t>2778 Foppiano Way</t>
  </si>
  <si>
    <t>david.g@hotmail.com</t>
  </si>
  <si>
    <t>Greenwood</t>
  </si>
  <si>
    <t>1151 Yellowtail Way</t>
  </si>
  <si>
    <t>lee.g@icloud.com</t>
  </si>
  <si>
    <t>Reneau</t>
  </si>
  <si>
    <t>Peurifoy</t>
  </si>
  <si>
    <t>4565 Feather River Way</t>
  </si>
  <si>
    <t>p_reneau62@zoho.com</t>
  </si>
  <si>
    <t>Gregg</t>
  </si>
  <si>
    <t>Coffin</t>
  </si>
  <si>
    <t>2193 Woodville Ln</t>
  </si>
  <si>
    <t>g.coffin@fastmail.com</t>
  </si>
  <si>
    <t>Pfeifer</t>
  </si>
  <si>
    <t>5601 Monte Casino Way</t>
  </si>
  <si>
    <t>pfeiferc@zoho.com</t>
  </si>
  <si>
    <t>Vicki</t>
  </si>
  <si>
    <t>4824 Mackinaw Way</t>
  </si>
  <si>
    <t>vicki_a@fastmail.com</t>
  </si>
  <si>
    <t>Bobby</t>
  </si>
  <si>
    <t>Clark</t>
  </si>
  <si>
    <t>4355 Amwell Ct</t>
  </si>
  <si>
    <t>c.bobby38@mail.com</t>
  </si>
  <si>
    <t>Dorris</t>
  </si>
  <si>
    <t>318 Pelligrini Ct</t>
  </si>
  <si>
    <t>ndorris@gmail.com</t>
  </si>
  <si>
    <t>Ibrahim</t>
  </si>
  <si>
    <t>3708 Amazon Ave</t>
  </si>
  <si>
    <t>iadrienne@zoho.com</t>
  </si>
  <si>
    <t>7031 Sierra Blvd</t>
  </si>
  <si>
    <t>agray@gmail.com</t>
  </si>
  <si>
    <t>Royce</t>
  </si>
  <si>
    <t>Clayton</t>
  </si>
  <si>
    <t>8565 Den Ave</t>
  </si>
  <si>
    <t>c.royce@zoho.com</t>
  </si>
  <si>
    <t>1495 Canadeo Way</t>
  </si>
  <si>
    <t>forsch.k@yahoo.com</t>
  </si>
  <si>
    <t>Ruby</t>
  </si>
  <si>
    <t>4967 Clairidge Oak Ct</t>
  </si>
  <si>
    <t>ruby.b@fastmail.com</t>
  </si>
  <si>
    <t>8927 Rivercrest Dr</t>
  </si>
  <si>
    <t>carpentert5@hotmail.com</t>
  </si>
  <si>
    <t>Caceres</t>
  </si>
  <si>
    <t>8720 Rivera Dr</t>
  </si>
  <si>
    <t>c.renee@hotmail.com</t>
  </si>
  <si>
    <t>Derwin</t>
  </si>
  <si>
    <t>Williams</t>
  </si>
  <si>
    <t>7945 Rose Petal Way</t>
  </si>
  <si>
    <t>wderwin57@hotmail.com</t>
  </si>
  <si>
    <t>Schmit</t>
  </si>
  <si>
    <t>2089 Zet Ct</t>
  </si>
  <si>
    <t>schmitt32@mail.com</t>
  </si>
  <si>
    <t>Colletti</t>
  </si>
  <si>
    <t>3826 Doreen Way</t>
  </si>
  <si>
    <t>calice@hotmail.com</t>
  </si>
  <si>
    <t>7837 El Cerro Ct</t>
  </si>
  <si>
    <t>ricky_r@mail.com</t>
  </si>
  <si>
    <t>|</t>
  </si>
  <si>
    <t>TransactionDate</t>
  </si>
  <si>
    <t>CC-Type</t>
  </si>
  <si>
    <t>LocationID</t>
  </si>
  <si>
    <t>Month Name</t>
  </si>
  <si>
    <t>Week Number in year</t>
  </si>
  <si>
    <t>Total Price</t>
  </si>
  <si>
    <t>Discover</t>
  </si>
  <si>
    <t>=COUNTIF('Rental Transaction'!B2:B3873,A2,'Rental Transaction'!H2'Rental Transaction'!H2</t>
  </si>
  <si>
    <t>=SUMIF('Rental Transaction'!B2</t>
  </si>
  <si>
    <t>Visa</t>
  </si>
  <si>
    <t>MasterCard</t>
  </si>
  <si>
    <t>American Express</t>
  </si>
  <si>
    <t>MovieID</t>
  </si>
  <si>
    <t>ReturnDate</t>
  </si>
  <si>
    <t>Format</t>
  </si>
  <si>
    <t>TransactionID</t>
  </si>
  <si>
    <t>LineItemID</t>
  </si>
  <si>
    <t>Studio</t>
  </si>
  <si>
    <t>Year</t>
  </si>
  <si>
    <t>DVD</t>
  </si>
  <si>
    <t>AB100000</t>
  </si>
  <si>
    <t>AB100001</t>
  </si>
  <si>
    <t>BLU-RAY</t>
  </si>
  <si>
    <t>AB100002</t>
  </si>
  <si>
    <t>AB100003</t>
  </si>
  <si>
    <t>AB100004</t>
  </si>
  <si>
    <t>AB100005</t>
  </si>
  <si>
    <t>AB100006</t>
  </si>
  <si>
    <t>AB100007</t>
  </si>
  <si>
    <t>AB100008</t>
  </si>
  <si>
    <t>AB100009</t>
  </si>
  <si>
    <t>AB100010</t>
  </si>
  <si>
    <t>AB100011</t>
  </si>
  <si>
    <t>AB100012</t>
  </si>
  <si>
    <t>AB100013</t>
  </si>
  <si>
    <t>AB100014</t>
  </si>
  <si>
    <t>AB100015</t>
  </si>
  <si>
    <t>AB100016</t>
  </si>
  <si>
    <t>AB100017</t>
  </si>
  <si>
    <t>AB100018</t>
  </si>
  <si>
    <t>AB100019</t>
  </si>
  <si>
    <t>AB100020</t>
  </si>
  <si>
    <t>AB100021</t>
  </si>
  <si>
    <t>AB100022</t>
  </si>
  <si>
    <t>AB100023</t>
  </si>
  <si>
    <t>AB100024</t>
  </si>
  <si>
    <t>AB100025</t>
  </si>
  <si>
    <t>AB100026</t>
  </si>
  <si>
    <t>AB100027</t>
  </si>
  <si>
    <t>AB100028</t>
  </si>
  <si>
    <t>AB100029</t>
  </si>
  <si>
    <t>AB100030</t>
  </si>
  <si>
    <t>AB100031</t>
  </si>
  <si>
    <t>AB100032</t>
  </si>
  <si>
    <t>AB100033</t>
  </si>
  <si>
    <t>AB100034</t>
  </si>
  <si>
    <t>AB100035</t>
  </si>
  <si>
    <t>AB100036</t>
  </si>
  <si>
    <t>AB100037</t>
  </si>
  <si>
    <t>AB100038</t>
  </si>
  <si>
    <t>AB100039</t>
  </si>
  <si>
    <t>AB100040</t>
  </si>
  <si>
    <t>AB100041</t>
  </si>
  <si>
    <t>AB100042</t>
  </si>
  <si>
    <t>AB100043</t>
  </si>
  <si>
    <t>AB100044</t>
  </si>
  <si>
    <t>AB100045</t>
  </si>
  <si>
    <t>AB100046</t>
  </si>
  <si>
    <t>AB100047</t>
  </si>
  <si>
    <t>AB100048</t>
  </si>
  <si>
    <t>AB100049</t>
  </si>
  <si>
    <t>AB100050</t>
  </si>
  <si>
    <t>AB100051</t>
  </si>
  <si>
    <t>AB100052</t>
  </si>
  <si>
    <t>AB100053</t>
  </si>
  <si>
    <t>AB100054</t>
  </si>
  <si>
    <t>AB100055</t>
  </si>
  <si>
    <t>AB100056</t>
  </si>
  <si>
    <t>AB100057</t>
  </si>
  <si>
    <t>AB100058</t>
  </si>
  <si>
    <t>AB100059</t>
  </si>
  <si>
    <t>AB100060</t>
  </si>
  <si>
    <t>AB100061</t>
  </si>
  <si>
    <t>AB100062</t>
  </si>
  <si>
    <t>AB100063</t>
  </si>
  <si>
    <t>AB100064</t>
  </si>
  <si>
    <t>AB100065</t>
  </si>
  <si>
    <t>AB100066</t>
  </si>
  <si>
    <t>AB100067</t>
  </si>
  <si>
    <t>AB100068</t>
  </si>
  <si>
    <t>AB100069</t>
  </si>
  <si>
    <t>AB100070</t>
  </si>
  <si>
    <t>AB100071</t>
  </si>
  <si>
    <t>AB100072</t>
  </si>
  <si>
    <t>AB100073</t>
  </si>
  <si>
    <t>AB100074</t>
  </si>
  <si>
    <t>AB100075</t>
  </si>
  <si>
    <t>AB100076</t>
  </si>
  <si>
    <t>AB100077</t>
  </si>
  <si>
    <t>AB100078</t>
  </si>
  <si>
    <t>AB100079</t>
  </si>
  <si>
    <t>AB100080</t>
  </si>
  <si>
    <t>AB100081</t>
  </si>
  <si>
    <t>AB100082</t>
  </si>
  <si>
    <t>AB100083</t>
  </si>
  <si>
    <t>AB100084</t>
  </si>
  <si>
    <t>AB100085</t>
  </si>
  <si>
    <t>AB100086</t>
  </si>
  <si>
    <t>AB100087</t>
  </si>
  <si>
    <t>AB100088</t>
  </si>
  <si>
    <t>AB100089</t>
  </si>
  <si>
    <t>AB100090</t>
  </si>
  <si>
    <t>AB100091</t>
  </si>
  <si>
    <t>AB100092</t>
  </si>
  <si>
    <t>AB100093</t>
  </si>
  <si>
    <t>AB100094</t>
  </si>
  <si>
    <t>AB100095</t>
  </si>
  <si>
    <t>AB100096</t>
  </si>
  <si>
    <t>AB100097</t>
  </si>
  <si>
    <t>AB100098</t>
  </si>
  <si>
    <t>AB100099</t>
  </si>
  <si>
    <t>AB100100</t>
  </si>
  <si>
    <t>AB100101</t>
  </si>
  <si>
    <t>AB100102</t>
  </si>
  <si>
    <t>AB100103</t>
  </si>
  <si>
    <t>AB100104</t>
  </si>
  <si>
    <t>AB100105</t>
  </si>
  <si>
    <t>AB100106</t>
  </si>
  <si>
    <t>AB100107</t>
  </si>
  <si>
    <t>AB100108</t>
  </si>
  <si>
    <t>AB100109</t>
  </si>
  <si>
    <t>AB100110</t>
  </si>
  <si>
    <t>AB100111</t>
  </si>
  <si>
    <t>AB100112</t>
  </si>
  <si>
    <t>AB100113</t>
  </si>
  <si>
    <t>AB100114</t>
  </si>
  <si>
    <t>AB100115</t>
  </si>
  <si>
    <t>AB100116</t>
  </si>
  <si>
    <t>AB100117</t>
  </si>
  <si>
    <t>AB100118</t>
  </si>
  <si>
    <t>AB100119</t>
  </si>
  <si>
    <t>AB100120</t>
  </si>
  <si>
    <t>AB100121</t>
  </si>
  <si>
    <t>AB100122</t>
  </si>
  <si>
    <t>AB100123</t>
  </si>
  <si>
    <t>AB100124</t>
  </si>
  <si>
    <t>AB100125</t>
  </si>
  <si>
    <t>AB100126</t>
  </si>
  <si>
    <t>AB100127</t>
  </si>
  <si>
    <t>AB100128</t>
  </si>
  <si>
    <t>AB100129</t>
  </si>
  <si>
    <t>AB100130</t>
  </si>
  <si>
    <t>AB100131</t>
  </si>
  <si>
    <t>AB100132</t>
  </si>
  <si>
    <t>AB100133</t>
  </si>
  <si>
    <t>AB100134</t>
  </si>
  <si>
    <t>AB100135</t>
  </si>
  <si>
    <t>AB100136</t>
  </si>
  <si>
    <t>AB100137</t>
  </si>
  <si>
    <t>AB100138</t>
  </si>
  <si>
    <t>AB100139</t>
  </si>
  <si>
    <t>AB100140</t>
  </si>
  <si>
    <t>AB100141</t>
  </si>
  <si>
    <t>AB100142</t>
  </si>
  <si>
    <t>AB100143</t>
  </si>
  <si>
    <t>AB100144</t>
  </si>
  <si>
    <t>AB100145</t>
  </si>
  <si>
    <t>AB100146</t>
  </si>
  <si>
    <t>AB100147</t>
  </si>
  <si>
    <t>AB100148</t>
  </si>
  <si>
    <t>AB100149</t>
  </si>
  <si>
    <t>AB100150</t>
  </si>
  <si>
    <t>AB100151</t>
  </si>
  <si>
    <t>AB100152</t>
  </si>
  <si>
    <t>AB100153</t>
  </si>
  <si>
    <t>AB100154</t>
  </si>
  <si>
    <t>AB100155</t>
  </si>
  <si>
    <t>AB100156</t>
  </si>
  <si>
    <t>AB100157</t>
  </si>
  <si>
    <t>AB100158</t>
  </si>
  <si>
    <t>AB100159</t>
  </si>
  <si>
    <t>AB100160</t>
  </si>
  <si>
    <t>AB100161</t>
  </si>
  <si>
    <t>AB100162</t>
  </si>
  <si>
    <t>AB100163</t>
  </si>
  <si>
    <t>AB100164</t>
  </si>
  <si>
    <t>AB100165</t>
  </si>
  <si>
    <t>AB100166</t>
  </si>
  <si>
    <t>AB100167</t>
  </si>
  <si>
    <t>AB100168</t>
  </si>
  <si>
    <t>AB100169</t>
  </si>
  <si>
    <t>AB100170</t>
  </si>
  <si>
    <t>AB100171</t>
  </si>
  <si>
    <t>AB100172</t>
  </si>
  <si>
    <t>AB100173</t>
  </si>
  <si>
    <t>AB100174</t>
  </si>
  <si>
    <t>AB100175</t>
  </si>
  <si>
    <t>AB100176</t>
  </si>
  <si>
    <t>AB100177</t>
  </si>
  <si>
    <t>AB100178</t>
  </si>
  <si>
    <t>AB100179</t>
  </si>
  <si>
    <t>AB100180</t>
  </si>
  <si>
    <t>AB100181</t>
  </si>
  <si>
    <t>AB100182</t>
  </si>
  <si>
    <t>AB100183</t>
  </si>
  <si>
    <t>AB100184</t>
  </si>
  <si>
    <t>AB100185</t>
  </si>
  <si>
    <t>AB100186</t>
  </si>
  <si>
    <t>AB100187</t>
  </si>
  <si>
    <t>AB100188</t>
  </si>
  <si>
    <t>AB100189</t>
  </si>
  <si>
    <t>AB100190</t>
  </si>
  <si>
    <t>AB100191</t>
  </si>
  <si>
    <t>AB100192</t>
  </si>
  <si>
    <t>AB100193</t>
  </si>
  <si>
    <t>AB100194</t>
  </si>
  <si>
    <t>AB100195</t>
  </si>
  <si>
    <t>AB100196</t>
  </si>
  <si>
    <t>AB100197</t>
  </si>
  <si>
    <t>AB100198</t>
  </si>
  <si>
    <t>AB100199</t>
  </si>
  <si>
    <t>AB100200</t>
  </si>
  <si>
    <t>AB100201</t>
  </si>
  <si>
    <t>AB100202</t>
  </si>
  <si>
    <t>AB100203</t>
  </si>
  <si>
    <t>AB100204</t>
  </si>
  <si>
    <t>AB100205</t>
  </si>
  <si>
    <t>AB100206</t>
  </si>
  <si>
    <t>AB100207</t>
  </si>
  <si>
    <t>AB100208</t>
  </si>
  <si>
    <t>AB100209</t>
  </si>
  <si>
    <t>AB100210</t>
  </si>
  <si>
    <t>AB100211</t>
  </si>
  <si>
    <t>AB100212</t>
  </si>
  <si>
    <t>AB100213</t>
  </si>
  <si>
    <t>AB100214</t>
  </si>
  <si>
    <t>AB100215</t>
  </si>
  <si>
    <t>AB100216</t>
  </si>
  <si>
    <t>AB100217</t>
  </si>
  <si>
    <t>AB100218</t>
  </si>
  <si>
    <t>AB100219</t>
  </si>
  <si>
    <t>AB100220</t>
  </si>
  <si>
    <t>AB100221</t>
  </si>
  <si>
    <t>AB100222</t>
  </si>
  <si>
    <t>AB100223</t>
  </si>
  <si>
    <t>AB100224</t>
  </si>
  <si>
    <t>AB100225</t>
  </si>
  <si>
    <t>AB100226</t>
  </si>
  <si>
    <t>AB100227</t>
  </si>
  <si>
    <t>AB100228</t>
  </si>
  <si>
    <t>AB100229</t>
  </si>
  <si>
    <t>AB100230</t>
  </si>
  <si>
    <t>AB100231</t>
  </si>
  <si>
    <t>AB100232</t>
  </si>
  <si>
    <t>AB100233</t>
  </si>
  <si>
    <t>AB100234</t>
  </si>
  <si>
    <t>AB100235</t>
  </si>
  <si>
    <t>AB100236</t>
  </si>
  <si>
    <t>AB100237</t>
  </si>
  <si>
    <t>AB100238</t>
  </si>
  <si>
    <t>AB100239</t>
  </si>
  <si>
    <t>AB100240</t>
  </si>
  <si>
    <t>AB100241</t>
  </si>
  <si>
    <t>AB100242</t>
  </si>
  <si>
    <t>AB100243</t>
  </si>
  <si>
    <t>AB100244</t>
  </si>
  <si>
    <t>AB100245</t>
  </si>
  <si>
    <t>AB100246</t>
  </si>
  <si>
    <t>AB100247</t>
  </si>
  <si>
    <t>AB100248</t>
  </si>
  <si>
    <t>AB100249</t>
  </si>
  <si>
    <t>AB100250</t>
  </si>
  <si>
    <t>AB100251</t>
  </si>
  <si>
    <t>AB100252</t>
  </si>
  <si>
    <t>AB100253</t>
  </si>
  <si>
    <t>AB100254</t>
  </si>
  <si>
    <t>AB100255</t>
  </si>
  <si>
    <t>AB100256</t>
  </si>
  <si>
    <t>AB100257</t>
  </si>
  <si>
    <t>AB100258</t>
  </si>
  <si>
    <t>AB100259</t>
  </si>
  <si>
    <t>AB100260</t>
  </si>
  <si>
    <t>AB100261</t>
  </si>
  <si>
    <t>AB100262</t>
  </si>
  <si>
    <t>AB100263</t>
  </si>
  <si>
    <t>AB100264</t>
  </si>
  <si>
    <t>AB100265</t>
  </si>
  <si>
    <t>AB100266</t>
  </si>
  <si>
    <t>AB100267</t>
  </si>
  <si>
    <t>AB100268</t>
  </si>
  <si>
    <t>AB100269</t>
  </si>
  <si>
    <t>AB100270</t>
  </si>
  <si>
    <t>AB100271</t>
  </si>
  <si>
    <t>AB100272</t>
  </si>
  <si>
    <t>AB100273</t>
  </si>
  <si>
    <t>AB100274</t>
  </si>
  <si>
    <t>AB100275</t>
  </si>
  <si>
    <t>AB100276</t>
  </si>
  <si>
    <t>AB100277</t>
  </si>
  <si>
    <t>AB100278</t>
  </si>
  <si>
    <t>AB100279</t>
  </si>
  <si>
    <t>AB100280</t>
  </si>
  <si>
    <t>AB100281</t>
  </si>
  <si>
    <t>AB100282</t>
  </si>
  <si>
    <t>AB100283</t>
  </si>
  <si>
    <t>AB100284</t>
  </si>
  <si>
    <t>AB100285</t>
  </si>
  <si>
    <t>AB100286</t>
  </si>
  <si>
    <t>AB100287</t>
  </si>
  <si>
    <t>AB100288</t>
  </si>
  <si>
    <t>AB100289</t>
  </si>
  <si>
    <t>AB100290</t>
  </si>
  <si>
    <t>AB100291</t>
  </si>
  <si>
    <t>AB100292</t>
  </si>
  <si>
    <t>AB100293</t>
  </si>
  <si>
    <t>AB100294</t>
  </si>
  <si>
    <t>AB100295</t>
  </si>
  <si>
    <t>AB100296</t>
  </si>
  <si>
    <t>AB100297</t>
  </si>
  <si>
    <t>AB100298</t>
  </si>
  <si>
    <t>AB100299</t>
  </si>
  <si>
    <t>AB100300</t>
  </si>
  <si>
    <t>AB100301</t>
  </si>
  <si>
    <t>AB100302</t>
  </si>
  <si>
    <t>AB100303</t>
  </si>
  <si>
    <t>AB100304</t>
  </si>
  <si>
    <t>AB100305</t>
  </si>
  <si>
    <t>AB100306</t>
  </si>
  <si>
    <t>AB100307</t>
  </si>
  <si>
    <t>AB100308</t>
  </si>
  <si>
    <t>AB100309</t>
  </si>
  <si>
    <t>AB100310</t>
  </si>
  <si>
    <t>AB100311</t>
  </si>
  <si>
    <t>AB100312</t>
  </si>
  <si>
    <t>AB100313</t>
  </si>
  <si>
    <t>AB100314</t>
  </si>
  <si>
    <t>AB100315</t>
  </si>
  <si>
    <t>AB100316</t>
  </si>
  <si>
    <t>AB100317</t>
  </si>
  <si>
    <t>AB100318</t>
  </si>
  <si>
    <t>AB100319</t>
  </si>
  <si>
    <t>AB100320</t>
  </si>
  <si>
    <t>AB100321</t>
  </si>
  <si>
    <t>AB100322</t>
  </si>
  <si>
    <t>AB100323</t>
  </si>
  <si>
    <t>AB100324</t>
  </si>
  <si>
    <t>AB100325</t>
  </si>
  <si>
    <t>AB100326</t>
  </si>
  <si>
    <t>AB100327</t>
  </si>
  <si>
    <t>AB100328</t>
  </si>
  <si>
    <t>AB100329</t>
  </si>
  <si>
    <t>AB100330</t>
  </si>
  <si>
    <t>AB100331</t>
  </si>
  <si>
    <t>AB100332</t>
  </si>
  <si>
    <t>AB100333</t>
  </si>
  <si>
    <t>AB100334</t>
  </si>
  <si>
    <t>AB100335</t>
  </si>
  <si>
    <t>AB100336</t>
  </si>
  <si>
    <t>AB100337</t>
  </si>
  <si>
    <t>AB100338</t>
  </si>
  <si>
    <t>AB100339</t>
  </si>
  <si>
    <t>AB100340</t>
  </si>
  <si>
    <t>AB100341</t>
  </si>
  <si>
    <t>AB100342</t>
  </si>
  <si>
    <t>AB100343</t>
  </si>
  <si>
    <t>AB100344</t>
  </si>
  <si>
    <t>AB100345</t>
  </si>
  <si>
    <t>AB100346</t>
  </si>
  <si>
    <t>AB100347</t>
  </si>
  <si>
    <t>AB100348</t>
  </si>
  <si>
    <t>AB100349</t>
  </si>
  <si>
    <t>AB100350</t>
  </si>
  <si>
    <t>AB100351</t>
  </si>
  <si>
    <t>AB100352</t>
  </si>
  <si>
    <t>AB100353</t>
  </si>
  <si>
    <t>AB100354</t>
  </si>
  <si>
    <t>AB100355</t>
  </si>
  <si>
    <t>AB100356</t>
  </si>
  <si>
    <t>AB100357</t>
  </si>
  <si>
    <t>AB100358</t>
  </si>
  <si>
    <t>AB100359</t>
  </si>
  <si>
    <t>AB100360</t>
  </si>
  <si>
    <t>AB100361</t>
  </si>
  <si>
    <t>AB100362</t>
  </si>
  <si>
    <t>AB100363</t>
  </si>
  <si>
    <t>AB100364</t>
  </si>
  <si>
    <t>AB100365</t>
  </si>
  <si>
    <t>AB100366</t>
  </si>
  <si>
    <t>AB100367</t>
  </si>
  <si>
    <t>AB100368</t>
  </si>
  <si>
    <t>AB100369</t>
  </si>
  <si>
    <t>AB100370</t>
  </si>
  <si>
    <t>AB100371</t>
  </si>
  <si>
    <t>AB100372</t>
  </si>
  <si>
    <t>AB100373</t>
  </si>
  <si>
    <t>AB100374</t>
  </si>
  <si>
    <t>AB100375</t>
  </si>
  <si>
    <t>AB100376</t>
  </si>
  <si>
    <t>AB100377</t>
  </si>
  <si>
    <t>AB100378</t>
  </si>
  <si>
    <t>AB100379</t>
  </si>
  <si>
    <t>AB100380</t>
  </si>
  <si>
    <t>AB100381</t>
  </si>
  <si>
    <t>AB100382</t>
  </si>
  <si>
    <t>AB100383</t>
  </si>
  <si>
    <t>AB100384</t>
  </si>
  <si>
    <t>AB100385</t>
  </si>
  <si>
    <t>AB100386</t>
  </si>
  <si>
    <t>AB100387</t>
  </si>
  <si>
    <t>AB100388</t>
  </si>
  <si>
    <t>AB100389</t>
  </si>
  <si>
    <t>AB100390</t>
  </si>
  <si>
    <t>AB100391</t>
  </si>
  <si>
    <t>AB100392</t>
  </si>
  <si>
    <t>AB100393</t>
  </si>
  <si>
    <t>AB100394</t>
  </si>
  <si>
    <t>AB100395</t>
  </si>
  <si>
    <t>AB100396</t>
  </si>
  <si>
    <t>AB100397</t>
  </si>
  <si>
    <t>AB100398</t>
  </si>
  <si>
    <t>AB100399</t>
  </si>
  <si>
    <t>AB100400</t>
  </si>
  <si>
    <t>AB100401</t>
  </si>
  <si>
    <t>AB100402</t>
  </si>
  <si>
    <t>AB100403</t>
  </si>
  <si>
    <t>AB100404</t>
  </si>
  <si>
    <t>AB100405</t>
  </si>
  <si>
    <t>AB100406</t>
  </si>
  <si>
    <t>AB100407</t>
  </si>
  <si>
    <t>AB100408</t>
  </si>
  <si>
    <t>AB100409</t>
  </si>
  <si>
    <t>AB100410</t>
  </si>
  <si>
    <t>AB100411</t>
  </si>
  <si>
    <t>AB100412</t>
  </si>
  <si>
    <t>AB100413</t>
  </si>
  <si>
    <t>AB100414</t>
  </si>
  <si>
    <t>AB100415</t>
  </si>
  <si>
    <t>AB100416</t>
  </si>
  <si>
    <t>AB100417</t>
  </si>
  <si>
    <t>AB100418</t>
  </si>
  <si>
    <t>AB100419</t>
  </si>
  <si>
    <t>AB100420</t>
  </si>
  <si>
    <t>AB100421</t>
  </si>
  <si>
    <t>AB100422</t>
  </si>
  <si>
    <t>AB100423</t>
  </si>
  <si>
    <t>AB100424</t>
  </si>
  <si>
    <t>AB100425</t>
  </si>
  <si>
    <t>AB100426</t>
  </si>
  <si>
    <t>AB100427</t>
  </si>
  <si>
    <t>AB100428</t>
  </si>
  <si>
    <t>AB100429</t>
  </si>
  <si>
    <t>AB100430</t>
  </si>
  <si>
    <t>AB100431</t>
  </si>
  <si>
    <t>AB100432</t>
  </si>
  <si>
    <t>AB100433</t>
  </si>
  <si>
    <t>AB100434</t>
  </si>
  <si>
    <t>AB100435</t>
  </si>
  <si>
    <t>AB100436</t>
  </si>
  <si>
    <t>AB100437</t>
  </si>
  <si>
    <t>AB100438</t>
  </si>
  <si>
    <t>AB100439</t>
  </si>
  <si>
    <t>AB100440</t>
  </si>
  <si>
    <t>AB100441</t>
  </si>
  <si>
    <t>AB100442</t>
  </si>
  <si>
    <t>AB100443</t>
  </si>
  <si>
    <t>AB100444</t>
  </si>
  <si>
    <t>AB100445</t>
  </si>
  <si>
    <t>AB100446</t>
  </si>
  <si>
    <t>AB100447</t>
  </si>
  <si>
    <t>AB100448</t>
  </si>
  <si>
    <t>AB100449</t>
  </si>
  <si>
    <t>AB100450</t>
  </si>
  <si>
    <t>AB100451</t>
  </si>
  <si>
    <t>AB100452</t>
  </si>
  <si>
    <t>AB100453</t>
  </si>
  <si>
    <t>AB100454</t>
  </si>
  <si>
    <t>AB100455</t>
  </si>
  <si>
    <t>AB100456</t>
  </si>
  <si>
    <t>AB100457</t>
  </si>
  <si>
    <t>AB100458</t>
  </si>
  <si>
    <t>AB100459</t>
  </si>
  <si>
    <t>AB100460</t>
  </si>
  <si>
    <t>AB100461</t>
  </si>
  <si>
    <t>AB100462</t>
  </si>
  <si>
    <t>AB100463</t>
  </si>
  <si>
    <t>AB100464</t>
  </si>
  <si>
    <t>AB100465</t>
  </si>
  <si>
    <t>AB100466</t>
  </si>
  <si>
    <t>AB100467</t>
  </si>
  <si>
    <t>AB100468</t>
  </si>
  <si>
    <t>AB100469</t>
  </si>
  <si>
    <t>AB100470</t>
  </si>
  <si>
    <t>AB100471</t>
  </si>
  <si>
    <t>AB100472</t>
  </si>
  <si>
    <t>AB100473</t>
  </si>
  <si>
    <t>AB100474</t>
  </si>
  <si>
    <t>AB100475</t>
  </si>
  <si>
    <t>AB100476</t>
  </si>
  <si>
    <t>AB100477</t>
  </si>
  <si>
    <t>AB100478</t>
  </si>
  <si>
    <t>AB100479</t>
  </si>
  <si>
    <t>AB100480</t>
  </si>
  <si>
    <t>AB100481</t>
  </si>
  <si>
    <t>AB100482</t>
  </si>
  <si>
    <t>AB100483</t>
  </si>
  <si>
    <t>AB100484</t>
  </si>
  <si>
    <t>AB100485</t>
  </si>
  <si>
    <t>AB100486</t>
  </si>
  <si>
    <t>AB100487</t>
  </si>
  <si>
    <t>AB100488</t>
  </si>
  <si>
    <t>AB100489</t>
  </si>
  <si>
    <t>AB100490</t>
  </si>
  <si>
    <t>AB100491</t>
  </si>
  <si>
    <t>AB100492</t>
  </si>
  <si>
    <t>AB100493</t>
  </si>
  <si>
    <t>AB100494</t>
  </si>
  <si>
    <t>AB100495</t>
  </si>
  <si>
    <t>AB100496</t>
  </si>
  <si>
    <t>AB100497</t>
  </si>
  <si>
    <t>AB100498</t>
  </si>
  <si>
    <t>AB100499</t>
  </si>
  <si>
    <t>AB100500</t>
  </si>
  <si>
    <t>AB100501</t>
  </si>
  <si>
    <t>AB100502</t>
  </si>
  <si>
    <t>AB100503</t>
  </si>
  <si>
    <t>AB100504</t>
  </si>
  <si>
    <t>AB100505</t>
  </si>
  <si>
    <t>AB100506</t>
  </si>
  <si>
    <t>AB100507</t>
  </si>
  <si>
    <t>AB100508</t>
  </si>
  <si>
    <t>AB100509</t>
  </si>
  <si>
    <t>AB100510</t>
  </si>
  <si>
    <t>AB100511</t>
  </si>
  <si>
    <t>AB100512</t>
  </si>
  <si>
    <t>AB100513</t>
  </si>
  <si>
    <t>AB100514</t>
  </si>
  <si>
    <t>AB100515</t>
  </si>
  <si>
    <t>AB100516</t>
  </si>
  <si>
    <t>AB100517</t>
  </si>
  <si>
    <t>AB100518</t>
  </si>
  <si>
    <t>AB100519</t>
  </si>
  <si>
    <t>AB100520</t>
  </si>
  <si>
    <t>AB100521</t>
  </si>
  <si>
    <t>AB100522</t>
  </si>
  <si>
    <t>AB100523</t>
  </si>
  <si>
    <t>AB100524</t>
  </si>
  <si>
    <t>AB100525</t>
  </si>
  <si>
    <t>AB100526</t>
  </si>
  <si>
    <t>AB100527</t>
  </si>
  <si>
    <t>AB100528</t>
  </si>
  <si>
    <t>AB100529</t>
  </si>
  <si>
    <t>AB100530</t>
  </si>
  <si>
    <t>AB100531</t>
  </si>
  <si>
    <t>AB100532</t>
  </si>
  <si>
    <t>AB100533</t>
  </si>
  <si>
    <t>AB100534</t>
  </si>
  <si>
    <t>AB100535</t>
  </si>
  <si>
    <t>AB100536</t>
  </si>
  <si>
    <t>AB100537</t>
  </si>
  <si>
    <t>AB100538</t>
  </si>
  <si>
    <t>AB100539</t>
  </si>
  <si>
    <t>AB100540</t>
  </si>
  <si>
    <t>AB100541</t>
  </si>
  <si>
    <t>AB100542</t>
  </si>
  <si>
    <t>AB100543</t>
  </si>
  <si>
    <t>AB100544</t>
  </si>
  <si>
    <t>AB100545</t>
  </si>
  <si>
    <t>AB100546</t>
  </si>
  <si>
    <t>AB100547</t>
  </si>
  <si>
    <t>AB100548</t>
  </si>
  <si>
    <t>AB100549</t>
  </si>
  <si>
    <t>AB100550</t>
  </si>
  <si>
    <t>AB100551</t>
  </si>
  <si>
    <t>AB100552</t>
  </si>
  <si>
    <t>AB100553</t>
  </si>
  <si>
    <t>AB100554</t>
  </si>
  <si>
    <t>AB100555</t>
  </si>
  <si>
    <t>AB100556</t>
  </si>
  <si>
    <t>AB100557</t>
  </si>
  <si>
    <t>AB100558</t>
  </si>
  <si>
    <t>AB100559</t>
  </si>
  <si>
    <t>AB100560</t>
  </si>
  <si>
    <t>AB100561</t>
  </si>
  <si>
    <t>AB100562</t>
  </si>
  <si>
    <t>AB100563</t>
  </si>
  <si>
    <t>AB100564</t>
  </si>
  <si>
    <t>AB100565</t>
  </si>
  <si>
    <t>AB100566</t>
  </si>
  <si>
    <t>AB100567</t>
  </si>
  <si>
    <t>AB100568</t>
  </si>
  <si>
    <t>AB100569</t>
  </si>
  <si>
    <t>AB100570</t>
  </si>
  <si>
    <t>AB100571</t>
  </si>
  <si>
    <t>AB100572</t>
  </si>
  <si>
    <t>AB100573</t>
  </si>
  <si>
    <t>AB100574</t>
  </si>
  <si>
    <t>AB100575</t>
  </si>
  <si>
    <t>AB100576</t>
  </si>
  <si>
    <t>AB100577</t>
  </si>
  <si>
    <t>AB100578</t>
  </si>
  <si>
    <t>AB100579</t>
  </si>
  <si>
    <t>AB100580</t>
  </si>
  <si>
    <t>AB100581</t>
  </si>
  <si>
    <t>AB100582</t>
  </si>
  <si>
    <t>AB100583</t>
  </si>
  <si>
    <t>AB100584</t>
  </si>
  <si>
    <t>AB100585</t>
  </si>
  <si>
    <t>AB100586</t>
  </si>
  <si>
    <t>AB100587</t>
  </si>
  <si>
    <t>AB100588</t>
  </si>
  <si>
    <t>AB100589</t>
  </si>
  <si>
    <t>AB100590</t>
  </si>
  <si>
    <t>AB100591</t>
  </si>
  <si>
    <t>AB100592</t>
  </si>
  <si>
    <t>AB100593</t>
  </si>
  <si>
    <t>AB100594</t>
  </si>
  <si>
    <t>AB100595</t>
  </si>
  <si>
    <t>AB100596</t>
  </si>
  <si>
    <t>AB100597</t>
  </si>
  <si>
    <t>AB100598</t>
  </si>
  <si>
    <t>AB100599</t>
  </si>
  <si>
    <t>AB100600</t>
  </si>
  <si>
    <t>AB100601</t>
  </si>
  <si>
    <t>AB100602</t>
  </si>
  <si>
    <t>AB100603</t>
  </si>
  <si>
    <t>AB100604</t>
  </si>
  <si>
    <t>AB100605</t>
  </si>
  <si>
    <t>AB100606</t>
  </si>
  <si>
    <t>AB100607</t>
  </si>
  <si>
    <t>AB100608</t>
  </si>
  <si>
    <t>AB100609</t>
  </si>
  <si>
    <t>AB100610</t>
  </si>
  <si>
    <t>AB100611</t>
  </si>
  <si>
    <t>AB100612</t>
  </si>
  <si>
    <t>AB100613</t>
  </si>
  <si>
    <t>AB100614</t>
  </si>
  <si>
    <t>AB100615</t>
  </si>
  <si>
    <t>AB100616</t>
  </si>
  <si>
    <t>AB100617</t>
  </si>
  <si>
    <t>AB100618</t>
  </si>
  <si>
    <t>AB100619</t>
  </si>
  <si>
    <t>AB100620</t>
  </si>
  <si>
    <t>AB100621</t>
  </si>
  <si>
    <t>AB100622</t>
  </si>
  <si>
    <t>AB100623</t>
  </si>
  <si>
    <t>AB100624</t>
  </si>
  <si>
    <t>AB100625</t>
  </si>
  <si>
    <t>AB100626</t>
  </si>
  <si>
    <t>AB100627</t>
  </si>
  <si>
    <t>AB100628</t>
  </si>
  <si>
    <t>AB100629</t>
  </si>
  <si>
    <t>AB100630</t>
  </si>
  <si>
    <t>AB100631</t>
  </si>
  <si>
    <t>AB100632</t>
  </si>
  <si>
    <t>AB100633</t>
  </si>
  <si>
    <t>AB100634</t>
  </si>
  <si>
    <t>AB100635</t>
  </si>
  <si>
    <t>AB100636</t>
  </si>
  <si>
    <t>AB100637</t>
  </si>
  <si>
    <t>AB100638</t>
  </si>
  <si>
    <t>AB100639</t>
  </si>
  <si>
    <t>AB100640</t>
  </si>
  <si>
    <t>AB100641</t>
  </si>
  <si>
    <t>AB100642</t>
  </si>
  <si>
    <t>AB100643</t>
  </si>
  <si>
    <t>AB100644</t>
  </si>
  <si>
    <t>AB100645</t>
  </si>
  <si>
    <t>AB100646</t>
  </si>
  <si>
    <t>AB100647</t>
  </si>
  <si>
    <t>AB100648</t>
  </si>
  <si>
    <t>AB100649</t>
  </si>
  <si>
    <t>AB100650</t>
  </si>
  <si>
    <t>AB100651</t>
  </si>
  <si>
    <t>AB100652</t>
  </si>
  <si>
    <t>AB100653</t>
  </si>
  <si>
    <t>AB100654</t>
  </si>
  <si>
    <t>AB100655</t>
  </si>
  <si>
    <t>AB100656</t>
  </si>
  <si>
    <t>AB100657</t>
  </si>
  <si>
    <t>AB100658</t>
  </si>
  <si>
    <t>AB100659</t>
  </si>
  <si>
    <t>AB100660</t>
  </si>
  <si>
    <t>AB100661</t>
  </si>
  <si>
    <t>AB100662</t>
  </si>
  <si>
    <t>AB100663</t>
  </si>
  <si>
    <t>AB100664</t>
  </si>
  <si>
    <t>AB100665</t>
  </si>
  <si>
    <t>AB100666</t>
  </si>
  <si>
    <t>AB100667</t>
  </si>
  <si>
    <t>AB100668</t>
  </si>
  <si>
    <t>AB100669</t>
  </si>
  <si>
    <t>AB100670</t>
  </si>
  <si>
    <t>AB100671</t>
  </si>
  <si>
    <t>AB100672</t>
  </si>
  <si>
    <t>AB100673</t>
  </si>
  <si>
    <t>AB100674</t>
  </si>
  <si>
    <t>AB100675</t>
  </si>
  <si>
    <t>AB100676</t>
  </si>
  <si>
    <t>AB100677</t>
  </si>
  <si>
    <t>AB100678</t>
  </si>
  <si>
    <t>AB100679</t>
  </si>
  <si>
    <t>AB100680</t>
  </si>
  <si>
    <t>AB100681</t>
  </si>
  <si>
    <t>AB100682</t>
  </si>
  <si>
    <t>AB100683</t>
  </si>
  <si>
    <t>AB100684</t>
  </si>
  <si>
    <t>AB100685</t>
  </si>
  <si>
    <t>AB100686</t>
  </si>
  <si>
    <t>AB100687</t>
  </si>
  <si>
    <t>AB100688</t>
  </si>
  <si>
    <t>AB100689</t>
  </si>
  <si>
    <t>AB100690</t>
  </si>
  <si>
    <t>AB100691</t>
  </si>
  <si>
    <t>AB100692</t>
  </si>
  <si>
    <t>AB100693</t>
  </si>
  <si>
    <t>AB100694</t>
  </si>
  <si>
    <t>AB100695</t>
  </si>
  <si>
    <t>AB100696</t>
  </si>
  <si>
    <t>AB100697</t>
  </si>
  <si>
    <t>AB100698</t>
  </si>
  <si>
    <t>AB100699</t>
  </si>
  <si>
    <t>AB100700</t>
  </si>
  <si>
    <t>AB100701</t>
  </si>
  <si>
    <t>AB100702</t>
  </si>
  <si>
    <t>AB100703</t>
  </si>
  <si>
    <t>AB100704</t>
  </si>
  <si>
    <t>AB100705</t>
  </si>
  <si>
    <t>AB100706</t>
  </si>
  <si>
    <t>AB100707</t>
  </si>
  <si>
    <t>AB100708</t>
  </si>
  <si>
    <t>AB100709</t>
  </si>
  <si>
    <t>AB100710</t>
  </si>
  <si>
    <t>AB100711</t>
  </si>
  <si>
    <t>AB100712</t>
  </si>
  <si>
    <t>AB100713</t>
  </si>
  <si>
    <t>AB100714</t>
  </si>
  <si>
    <t>AB100715</t>
  </si>
  <si>
    <t>AB100716</t>
  </si>
  <si>
    <t>AB100717</t>
  </si>
  <si>
    <t>AB100718</t>
  </si>
  <si>
    <t>AB100719</t>
  </si>
  <si>
    <t>AB100720</t>
  </si>
  <si>
    <t>AB100721</t>
  </si>
  <si>
    <t>AB100722</t>
  </si>
  <si>
    <t>AB100723</t>
  </si>
  <si>
    <t>AB100724</t>
  </si>
  <si>
    <t>AB100725</t>
  </si>
  <si>
    <t>AB100726</t>
  </si>
  <si>
    <t>AB100727</t>
  </si>
  <si>
    <t>AB100728</t>
  </si>
  <si>
    <t>AB100729</t>
  </si>
  <si>
    <t>AB100730</t>
  </si>
  <si>
    <t>AB100731</t>
  </si>
  <si>
    <t>AB100732</t>
  </si>
  <si>
    <t>AB100733</t>
  </si>
  <si>
    <t>AB100734</t>
  </si>
  <si>
    <t>AB100735</t>
  </si>
  <si>
    <t>AB100736</t>
  </si>
  <si>
    <t>AB100737</t>
  </si>
  <si>
    <t>AB100738</t>
  </si>
  <si>
    <t>AB100739</t>
  </si>
  <si>
    <t>AB100740</t>
  </si>
  <si>
    <t>AB100741</t>
  </si>
  <si>
    <t>AB100742</t>
  </si>
  <si>
    <t>AB100743</t>
  </si>
  <si>
    <t>AB100744</t>
  </si>
  <si>
    <t>AB100745</t>
  </si>
  <si>
    <t>AB100746</t>
  </si>
  <si>
    <t>AB100747</t>
  </si>
  <si>
    <t>AB100748</t>
  </si>
  <si>
    <t>AB100749</t>
  </si>
  <si>
    <t>AB100750</t>
  </si>
  <si>
    <t>AB100751</t>
  </si>
  <si>
    <t>AB100752</t>
  </si>
  <si>
    <t>AB100753</t>
  </si>
  <si>
    <t>AB100754</t>
  </si>
  <si>
    <t>AB100755</t>
  </si>
  <si>
    <t>AB100756</t>
  </si>
  <si>
    <t>AB100757</t>
  </si>
  <si>
    <t>AB100758</t>
  </si>
  <si>
    <t>AB100759</t>
  </si>
  <si>
    <t>AB100760</t>
  </si>
  <si>
    <t>AB100761</t>
  </si>
  <si>
    <t>AB100762</t>
  </si>
  <si>
    <t>AB100763</t>
  </si>
  <si>
    <t>AB100764</t>
  </si>
  <si>
    <t>AB100765</t>
  </si>
  <si>
    <t>AB100766</t>
  </si>
  <si>
    <t>AB100767</t>
  </si>
  <si>
    <t>AB100768</t>
  </si>
  <si>
    <t>AB100769</t>
  </si>
  <si>
    <t>AB100770</t>
  </si>
  <si>
    <t>AB100771</t>
  </si>
  <si>
    <t>AB100772</t>
  </si>
  <si>
    <t>AB100773</t>
  </si>
  <si>
    <t>AB100774</t>
  </si>
  <si>
    <t>AB100775</t>
  </si>
  <si>
    <t>AB100776</t>
  </si>
  <si>
    <t>AB100777</t>
  </si>
  <si>
    <t>AB100778</t>
  </si>
  <si>
    <t>AB100779</t>
  </si>
  <si>
    <t>AB100780</t>
  </si>
  <si>
    <t>AB100781</t>
  </si>
  <si>
    <t>AB100782</t>
  </si>
  <si>
    <t>AB100783</t>
  </si>
  <si>
    <t>AB100784</t>
  </si>
  <si>
    <t>AB100785</t>
  </si>
  <si>
    <t>AB100786</t>
  </si>
  <si>
    <t>AB100787</t>
  </si>
  <si>
    <t>AB100788</t>
  </si>
  <si>
    <t>AB100789</t>
  </si>
  <si>
    <t>AB100790</t>
  </si>
  <si>
    <t>AB100791</t>
  </si>
  <si>
    <t>AB100792</t>
  </si>
  <si>
    <t>AB100793</t>
  </si>
  <si>
    <t>AB100794</t>
  </si>
  <si>
    <t>AB100795</t>
  </si>
  <si>
    <t>AB100796</t>
  </si>
  <si>
    <t>AB100797</t>
  </si>
  <si>
    <t>AB100798</t>
  </si>
  <si>
    <t>AB100799</t>
  </si>
  <si>
    <t>AB100800</t>
  </si>
  <si>
    <t>AB100801</t>
  </si>
  <si>
    <t>AB100802</t>
  </si>
  <si>
    <t>AB100803</t>
  </si>
  <si>
    <t>AB100804</t>
  </si>
  <si>
    <t>AB100805</t>
  </si>
  <si>
    <t>AB100806</t>
  </si>
  <si>
    <t>AB100807</t>
  </si>
  <si>
    <t>AB100808</t>
  </si>
  <si>
    <t>AB100809</t>
  </si>
  <si>
    <t>AB100810</t>
  </si>
  <si>
    <t>AB100811</t>
  </si>
  <si>
    <t>AB100812</t>
  </si>
  <si>
    <t>AB100813</t>
  </si>
  <si>
    <t>AB100814</t>
  </si>
  <si>
    <t>AB100815</t>
  </si>
  <si>
    <t>AB100816</t>
  </si>
  <si>
    <t>AB100817</t>
  </si>
  <si>
    <t>AB100818</t>
  </si>
  <si>
    <t>AB100819</t>
  </si>
  <si>
    <t>AB100820</t>
  </si>
  <si>
    <t>AB100821</t>
  </si>
  <si>
    <t>AB100822</t>
  </si>
  <si>
    <t>AB100823</t>
  </si>
  <si>
    <t>AB100824</t>
  </si>
  <si>
    <t>AB100825</t>
  </si>
  <si>
    <t>AB100826</t>
  </si>
  <si>
    <t>AB100827</t>
  </si>
  <si>
    <t>AB100828</t>
  </si>
  <si>
    <t>AB100829</t>
  </si>
  <si>
    <t>AB100830</t>
  </si>
  <si>
    <t>AB100831</t>
  </si>
  <si>
    <t>AB100832</t>
  </si>
  <si>
    <t>AB100833</t>
  </si>
  <si>
    <t>AB100834</t>
  </si>
  <si>
    <t>AB100835</t>
  </si>
  <si>
    <t>AB100836</t>
  </si>
  <si>
    <t>AB100837</t>
  </si>
  <si>
    <t>AB100838</t>
  </si>
  <si>
    <t>AB100839</t>
  </si>
  <si>
    <t>AB100840</t>
  </si>
  <si>
    <t>AB100841</t>
  </si>
  <si>
    <t>AB100842</t>
  </si>
  <si>
    <t>AB100843</t>
  </si>
  <si>
    <t>AB100844</t>
  </si>
  <si>
    <t>AB100845</t>
  </si>
  <si>
    <t>AB100846</t>
  </si>
  <si>
    <t>AB100847</t>
  </si>
  <si>
    <t>AB100848</t>
  </si>
  <si>
    <t>AB100849</t>
  </si>
  <si>
    <t>AB100850</t>
  </si>
  <si>
    <t>AB100851</t>
  </si>
  <si>
    <t>AB100852</t>
  </si>
  <si>
    <t>AB100853</t>
  </si>
  <si>
    <t>AB100854</t>
  </si>
  <si>
    <t>AB100855</t>
  </si>
  <si>
    <t>AB100856</t>
  </si>
  <si>
    <t>AB100857</t>
  </si>
  <si>
    <t>AB100858</t>
  </si>
  <si>
    <t>AB100859</t>
  </si>
  <si>
    <t>AB100860</t>
  </si>
  <si>
    <t>AB100861</t>
  </si>
  <si>
    <t>AB100862</t>
  </si>
  <si>
    <t>AB100863</t>
  </si>
  <si>
    <t>AB100864</t>
  </si>
  <si>
    <t>AB100865</t>
  </si>
  <si>
    <t>AB100866</t>
  </si>
  <si>
    <t>AB100867</t>
  </si>
  <si>
    <t>AB100868</t>
  </si>
  <si>
    <t>AB100869</t>
  </si>
  <si>
    <t>AB100870</t>
  </si>
  <si>
    <t>AB100871</t>
  </si>
  <si>
    <t>AB100872</t>
  </si>
  <si>
    <t>AB100873</t>
  </si>
  <si>
    <t>AB100874</t>
  </si>
  <si>
    <t>AB100875</t>
  </si>
  <si>
    <t>AB100876</t>
  </si>
  <si>
    <t>AB100877</t>
  </si>
  <si>
    <t>AB100878</t>
  </si>
  <si>
    <t>AB100879</t>
  </si>
  <si>
    <t>AB100880</t>
  </si>
  <si>
    <t>AB100881</t>
  </si>
  <si>
    <t>AB100882</t>
  </si>
  <si>
    <t>AB100883</t>
  </si>
  <si>
    <t>AB100884</t>
  </si>
  <si>
    <t>AB100885</t>
  </si>
  <si>
    <t>AB100886</t>
  </si>
  <si>
    <t>AB100887</t>
  </si>
  <si>
    <t>AB100888</t>
  </si>
  <si>
    <t>AB100889</t>
  </si>
  <si>
    <t>AB100890</t>
  </si>
  <si>
    <t>AB100891</t>
  </si>
  <si>
    <t>AB100892</t>
  </si>
  <si>
    <t>AB100893</t>
  </si>
  <si>
    <t>AB100894</t>
  </si>
  <si>
    <t>AB100895</t>
  </si>
  <si>
    <t>AB100896</t>
  </si>
  <si>
    <t>AB100897</t>
  </si>
  <si>
    <t>AB100898</t>
  </si>
  <si>
    <t>AB100899</t>
  </si>
  <si>
    <t>AB100900</t>
  </si>
  <si>
    <t>AB100901</t>
  </si>
  <si>
    <t>AB100902</t>
  </si>
  <si>
    <t>AB100903</t>
  </si>
  <si>
    <t>AB100904</t>
  </si>
  <si>
    <t>AB100905</t>
  </si>
  <si>
    <t>AB100906</t>
  </si>
  <si>
    <t>AB100907</t>
  </si>
  <si>
    <t>AB100908</t>
  </si>
  <si>
    <t>AB100909</t>
  </si>
  <si>
    <t>AB100910</t>
  </si>
  <si>
    <t>AB100911</t>
  </si>
  <si>
    <t>AB100912</t>
  </si>
  <si>
    <t>AB100913</t>
  </si>
  <si>
    <t>AB100914</t>
  </si>
  <si>
    <t>AB100915</t>
  </si>
  <si>
    <t>AB100916</t>
  </si>
  <si>
    <t>AB100917</t>
  </si>
  <si>
    <t>AB100918</t>
  </si>
  <si>
    <t>AB100919</t>
  </si>
  <si>
    <t>AB100920</t>
  </si>
  <si>
    <t>AB100921</t>
  </si>
  <si>
    <t>AB100922</t>
  </si>
  <si>
    <t>AB100923</t>
  </si>
  <si>
    <t>AB100924</t>
  </si>
  <si>
    <t>AB100925</t>
  </si>
  <si>
    <t>AB100926</t>
  </si>
  <si>
    <t>AB100927</t>
  </si>
  <si>
    <t>AB100928</t>
  </si>
  <si>
    <t>AB100929</t>
  </si>
  <si>
    <t>AB100930</t>
  </si>
  <si>
    <t>AB100931</t>
  </si>
  <si>
    <t>AB100932</t>
  </si>
  <si>
    <t>AB100933</t>
  </si>
  <si>
    <t>AB100934</t>
  </si>
  <si>
    <t>AB100935</t>
  </si>
  <si>
    <t>AB100936</t>
  </si>
  <si>
    <t>AB100937</t>
  </si>
  <si>
    <t>AB100938</t>
  </si>
  <si>
    <t>AB100939</t>
  </si>
  <si>
    <t>AB100940</t>
  </si>
  <si>
    <t>AB100941</t>
  </si>
  <si>
    <t>AB100942</t>
  </si>
  <si>
    <t>AB100943</t>
  </si>
  <si>
    <t>AB100944</t>
  </si>
  <si>
    <t>AB100945</t>
  </si>
  <si>
    <t>AB100946</t>
  </si>
  <si>
    <t>AB100947</t>
  </si>
  <si>
    <t>AB100948</t>
  </si>
  <si>
    <t>AB100949</t>
  </si>
  <si>
    <t>AB100950</t>
  </si>
  <si>
    <t>AB100951</t>
  </si>
  <si>
    <t>AB100952</t>
  </si>
  <si>
    <t>AB100953</t>
  </si>
  <si>
    <t>AB100954</t>
  </si>
  <si>
    <t>AB100955</t>
  </si>
  <si>
    <t>AB100956</t>
  </si>
  <si>
    <t>AB100957</t>
  </si>
  <si>
    <t>AB100958</t>
  </si>
  <si>
    <t>AB100959</t>
  </si>
  <si>
    <t>AB100960</t>
  </si>
  <si>
    <t>AB100961</t>
  </si>
  <si>
    <t>AB100962</t>
  </si>
  <si>
    <t>AB100963</t>
  </si>
  <si>
    <t>AB100964</t>
  </si>
  <si>
    <t>AB100965</t>
  </si>
  <si>
    <t>AB100966</t>
  </si>
  <si>
    <t>AB100967</t>
  </si>
  <si>
    <t>AB100968</t>
  </si>
  <si>
    <t>AB100969</t>
  </si>
  <si>
    <t>AB100970</t>
  </si>
  <si>
    <t>AB100971</t>
  </si>
  <si>
    <t>AB100972</t>
  </si>
  <si>
    <t>AB100973</t>
  </si>
  <si>
    <t>AB100974</t>
  </si>
  <si>
    <t>AB100975</t>
  </si>
  <si>
    <t>AB100976</t>
  </si>
  <si>
    <t>AB100977</t>
  </si>
  <si>
    <t>AB100978</t>
  </si>
  <si>
    <t>AB100979</t>
  </si>
  <si>
    <t>AB100980</t>
  </si>
  <si>
    <t>AB100981</t>
  </si>
  <si>
    <t>AB100982</t>
  </si>
  <si>
    <t>AB100983</t>
  </si>
  <si>
    <t>AB100984</t>
  </si>
  <si>
    <t>AB100985</t>
  </si>
  <si>
    <t>AB100986</t>
  </si>
  <si>
    <t>AB100987</t>
  </si>
  <si>
    <t>AB100988</t>
  </si>
  <si>
    <t>AB100989</t>
  </si>
  <si>
    <t>AB100990</t>
  </si>
  <si>
    <t>AB100991</t>
  </si>
  <si>
    <t>AB100992</t>
  </si>
  <si>
    <t>AB100993</t>
  </si>
  <si>
    <t>AB100994</t>
  </si>
  <si>
    <t>AB100995</t>
  </si>
  <si>
    <t>AB100996</t>
  </si>
  <si>
    <t>AB100997</t>
  </si>
  <si>
    <t>AB100998</t>
  </si>
  <si>
    <t>AB100999</t>
  </si>
  <si>
    <t>AB101000</t>
  </si>
  <si>
    <t>AB101001</t>
  </si>
  <si>
    <t>AB101002</t>
  </si>
  <si>
    <t>AB101003</t>
  </si>
  <si>
    <t>AB101004</t>
  </si>
  <si>
    <t>AB101005</t>
  </si>
  <si>
    <t>AB101006</t>
  </si>
  <si>
    <t>AB101007</t>
  </si>
  <si>
    <t>AB101008</t>
  </si>
  <si>
    <t>AB101009</t>
  </si>
  <si>
    <t>AB101010</t>
  </si>
  <si>
    <t>AB101011</t>
  </si>
  <si>
    <t>AB101012</t>
  </si>
  <si>
    <t>AB101013</t>
  </si>
  <si>
    <t>AB101014</t>
  </si>
  <si>
    <t>AB101015</t>
  </si>
  <si>
    <t>AB101016</t>
  </si>
  <si>
    <t>AB101017</t>
  </si>
  <si>
    <t>AB101018</t>
  </si>
  <si>
    <t>AB101019</t>
  </si>
  <si>
    <t>AB101020</t>
  </si>
  <si>
    <t>AB101021</t>
  </si>
  <si>
    <t>AB101022</t>
  </si>
  <si>
    <t>AB101023</t>
  </si>
  <si>
    <t>AB101024</t>
  </si>
  <si>
    <t>AB101025</t>
  </si>
  <si>
    <t>AB101026</t>
  </si>
  <si>
    <t>AB101027</t>
  </si>
  <si>
    <t>AB101028</t>
  </si>
  <si>
    <t>AB101029</t>
  </si>
  <si>
    <t>AB101030</t>
  </si>
  <si>
    <t>AB101031</t>
  </si>
  <si>
    <t>AB101032</t>
  </si>
  <si>
    <t>AB101033</t>
  </si>
  <si>
    <t>AB101034</t>
  </si>
  <si>
    <t>AB101035</t>
  </si>
  <si>
    <t>AB101036</t>
  </si>
  <si>
    <t>AB101037</t>
  </si>
  <si>
    <t>AB101038</t>
  </si>
  <si>
    <t>AB101039</t>
  </si>
  <si>
    <t>AB101040</t>
  </si>
  <si>
    <t>AB101041</t>
  </si>
  <si>
    <t>AB101042</t>
  </si>
  <si>
    <t>AB101043</t>
  </si>
  <si>
    <t>AB101044</t>
  </si>
  <si>
    <t>AB101045</t>
  </si>
  <si>
    <t>AB101046</t>
  </si>
  <si>
    <t>AB101047</t>
  </si>
  <si>
    <t>AB101048</t>
  </si>
  <si>
    <t>AB101049</t>
  </si>
  <si>
    <t>AB101050</t>
  </si>
  <si>
    <t>AB101051</t>
  </si>
  <si>
    <t>AB101052</t>
  </si>
  <si>
    <t>AB101053</t>
  </si>
  <si>
    <t>AB101054</t>
  </si>
  <si>
    <t>AB101055</t>
  </si>
  <si>
    <t>AB101056</t>
  </si>
  <si>
    <t>AB101057</t>
  </si>
  <si>
    <t>AB101058</t>
  </si>
  <si>
    <t>AB101059</t>
  </si>
  <si>
    <t>AB101060</t>
  </si>
  <si>
    <t>AB101061</t>
  </si>
  <si>
    <t>AB101062</t>
  </si>
  <si>
    <t>AB101063</t>
  </si>
  <si>
    <t>AB101064</t>
  </si>
  <si>
    <t>AB101065</t>
  </si>
  <si>
    <t>AB101066</t>
  </si>
  <si>
    <t>AB101067</t>
  </si>
  <si>
    <t>AB101068</t>
  </si>
  <si>
    <t>AB101069</t>
  </si>
  <si>
    <t>AB101070</t>
  </si>
  <si>
    <t>AB101071</t>
  </si>
  <si>
    <t>AB101072</t>
  </si>
  <si>
    <t>AB101073</t>
  </si>
  <si>
    <t>AB101074</t>
  </si>
  <si>
    <t>AB101075</t>
  </si>
  <si>
    <t>AB101076</t>
  </si>
  <si>
    <t>AB101077</t>
  </si>
  <si>
    <t>AB101078</t>
  </si>
  <si>
    <t>AB101079</t>
  </si>
  <si>
    <t>AB101080</t>
  </si>
  <si>
    <t>AB101081</t>
  </si>
  <si>
    <t>AB101082</t>
  </si>
  <si>
    <t>AB101083</t>
  </si>
  <si>
    <t>AB101084</t>
  </si>
  <si>
    <t>AB101085</t>
  </si>
  <si>
    <t>AB101086</t>
  </si>
  <si>
    <t>AB101087</t>
  </si>
  <si>
    <t>AB101088</t>
  </si>
  <si>
    <t>AB101089</t>
  </si>
  <si>
    <t>AB101090</t>
  </si>
  <si>
    <t>AB101091</t>
  </si>
  <si>
    <t>AB101092</t>
  </si>
  <si>
    <t>AB101093</t>
  </si>
  <si>
    <t>AB101094</t>
  </si>
  <si>
    <t>AB101095</t>
  </si>
  <si>
    <t>AB101096</t>
  </si>
  <si>
    <t>AB101097</t>
  </si>
  <si>
    <t>AB101098</t>
  </si>
  <si>
    <t>AB101099</t>
  </si>
  <si>
    <t>AB101100</t>
  </si>
  <si>
    <t>AB101101</t>
  </si>
  <si>
    <t>AB101102</t>
  </si>
  <si>
    <t>AB101103</t>
  </si>
  <si>
    <t>AB101104</t>
  </si>
  <si>
    <t>AB101105</t>
  </si>
  <si>
    <t>AB101106</t>
  </si>
  <si>
    <t>AB101107</t>
  </si>
  <si>
    <t>AB101108</t>
  </si>
  <si>
    <t>AB101109</t>
  </si>
  <si>
    <t>AB101110</t>
  </si>
  <si>
    <t>AB101111</t>
  </si>
  <si>
    <t>AB101112</t>
  </si>
  <si>
    <t>AB101113</t>
  </si>
  <si>
    <t>AB101114</t>
  </si>
  <si>
    <t>AB101115</t>
  </si>
  <si>
    <t>AB101116</t>
  </si>
  <si>
    <t>AB101117</t>
  </si>
  <si>
    <t>AB101118</t>
  </si>
  <si>
    <t>AB101119</t>
  </si>
  <si>
    <t>AB101120</t>
  </si>
  <si>
    <t>AB101121</t>
  </si>
  <si>
    <t>AB101122</t>
  </si>
  <si>
    <t>AB101123</t>
  </si>
  <si>
    <t>AB101124</t>
  </si>
  <si>
    <t>AB101125</t>
  </si>
  <si>
    <t>AB101126</t>
  </si>
  <si>
    <t>AB101127</t>
  </si>
  <si>
    <t>AB101128</t>
  </si>
  <si>
    <t>AB101129</t>
  </si>
  <si>
    <t>AB101130</t>
  </si>
  <si>
    <t>AB101131</t>
  </si>
  <si>
    <t>AB101132</t>
  </si>
  <si>
    <t>AB101133</t>
  </si>
  <si>
    <t>AB101134</t>
  </si>
  <si>
    <t>AB101135</t>
  </si>
  <si>
    <t>AB101136</t>
  </si>
  <si>
    <t>AB101137</t>
  </si>
  <si>
    <t>AB101138</t>
  </si>
  <si>
    <t>AB101139</t>
  </si>
  <si>
    <t>AB101140</t>
  </si>
  <si>
    <t>AB101141</t>
  </si>
  <si>
    <t>AB101142</t>
  </si>
  <si>
    <t>AB101143</t>
  </si>
  <si>
    <t>AB101144</t>
  </si>
  <si>
    <t>AB101145</t>
  </si>
  <si>
    <t>AB101146</t>
  </si>
  <si>
    <t>AB101147</t>
  </si>
  <si>
    <t>AB101148</t>
  </si>
  <si>
    <t>AB101149</t>
  </si>
  <si>
    <t>AB101150</t>
  </si>
  <si>
    <t>AB101151</t>
  </si>
  <si>
    <t>AB101152</t>
  </si>
  <si>
    <t>AB101153</t>
  </si>
  <si>
    <t>AB101154</t>
  </si>
  <si>
    <t>AB101155</t>
  </si>
  <si>
    <t>AB101156</t>
  </si>
  <si>
    <t>AB101157</t>
  </si>
  <si>
    <t>AB101158</t>
  </si>
  <si>
    <t>AB101159</t>
  </si>
  <si>
    <t>AB101160</t>
  </si>
  <si>
    <t>AB101161</t>
  </si>
  <si>
    <t>AB101162</t>
  </si>
  <si>
    <t>AB101163</t>
  </si>
  <si>
    <t>AB101164</t>
  </si>
  <si>
    <t>AB101165</t>
  </si>
  <si>
    <t>AB101166</t>
  </si>
  <si>
    <t>AB101167</t>
  </si>
  <si>
    <t>AB101168</t>
  </si>
  <si>
    <t>AB101169</t>
  </si>
  <si>
    <t>AB101170</t>
  </si>
  <si>
    <t>AB101171</t>
  </si>
  <si>
    <t>AB101172</t>
  </si>
  <si>
    <t>AB101173</t>
  </si>
  <si>
    <t>AB101174</t>
  </si>
  <si>
    <t>AB101175</t>
  </si>
  <si>
    <t>AB101176</t>
  </si>
  <si>
    <t>AB101177</t>
  </si>
  <si>
    <t>AB101178</t>
  </si>
  <si>
    <t>AB101179</t>
  </si>
  <si>
    <t>AB101180</t>
  </si>
  <si>
    <t>AB101181</t>
  </si>
  <si>
    <t>AB101182</t>
  </si>
  <si>
    <t>AB101183</t>
  </si>
  <si>
    <t>AB101184</t>
  </si>
  <si>
    <t>AB101185</t>
  </si>
  <si>
    <t>AB101186</t>
  </si>
  <si>
    <t>AB101187</t>
  </si>
  <si>
    <t>AB101188</t>
  </si>
  <si>
    <t>AB101189</t>
  </si>
  <si>
    <t>AB101190</t>
  </si>
  <si>
    <t>AB101191</t>
  </si>
  <si>
    <t>AB101192</t>
  </si>
  <si>
    <t>AB101193</t>
  </si>
  <si>
    <t>AB101194</t>
  </si>
  <si>
    <t>AB101195</t>
  </si>
  <si>
    <t>AB101196</t>
  </si>
  <si>
    <t>AB101197</t>
  </si>
  <si>
    <t>AB101198</t>
  </si>
  <si>
    <t>AB101199</t>
  </si>
  <si>
    <t>AB101200</t>
  </si>
  <si>
    <t>AB101201</t>
  </si>
  <si>
    <t>AB101202</t>
  </si>
  <si>
    <t>AB101203</t>
  </si>
  <si>
    <t>AB101204</t>
  </si>
  <si>
    <t>AB101205</t>
  </si>
  <si>
    <t>AB101206</t>
  </si>
  <si>
    <t>AB101207</t>
  </si>
  <si>
    <t>AB101208</t>
  </si>
  <si>
    <t>AB101209</t>
  </si>
  <si>
    <t>AB101210</t>
  </si>
  <si>
    <t>AB101211</t>
  </si>
  <si>
    <t>AB101212</t>
  </si>
  <si>
    <t>AB101213</t>
  </si>
  <si>
    <t>AB101214</t>
  </si>
  <si>
    <t>AB101215</t>
  </si>
  <si>
    <t>AB101216</t>
  </si>
  <si>
    <t>AB101217</t>
  </si>
  <si>
    <t>AB101218</t>
  </si>
  <si>
    <t>AB101219</t>
  </si>
  <si>
    <t>AB101220</t>
  </si>
  <si>
    <t>AB101221</t>
  </si>
  <si>
    <t>AB101222</t>
  </si>
  <si>
    <t>AB101223</t>
  </si>
  <si>
    <t>AB101224</t>
  </si>
  <si>
    <t>AB101225</t>
  </si>
  <si>
    <t>AB101226</t>
  </si>
  <si>
    <t>AB101227</t>
  </si>
  <si>
    <t>AB101228</t>
  </si>
  <si>
    <t>AB101229</t>
  </si>
  <si>
    <t>AB101230</t>
  </si>
  <si>
    <t>AB101231</t>
  </si>
  <si>
    <t>AB101232</t>
  </si>
  <si>
    <t>AB101233</t>
  </si>
  <si>
    <t>AB101234</t>
  </si>
  <si>
    <t>AB101235</t>
  </si>
  <si>
    <t>AB101236</t>
  </si>
  <si>
    <t>AB101237</t>
  </si>
  <si>
    <t>AB101238</t>
  </si>
  <si>
    <t>AB101239</t>
  </si>
  <si>
    <t>AB101240</t>
  </si>
  <si>
    <t>AB101241</t>
  </si>
  <si>
    <t>AB101242</t>
  </si>
  <si>
    <t>AB101243</t>
  </si>
  <si>
    <t>AB101244</t>
  </si>
  <si>
    <t>AB101245</t>
  </si>
  <si>
    <t>AB101246</t>
  </si>
  <si>
    <t>AB101247</t>
  </si>
  <si>
    <t>AB101248</t>
  </si>
  <si>
    <t>AB101249</t>
  </si>
  <si>
    <t>AB101250</t>
  </si>
  <si>
    <t>AB101251</t>
  </si>
  <si>
    <t>AB101252</t>
  </si>
  <si>
    <t>AB101253</t>
  </si>
  <si>
    <t>AB101254</t>
  </si>
  <si>
    <t>AB101255</t>
  </si>
  <si>
    <t>AB101256</t>
  </si>
  <si>
    <t>AB101257</t>
  </si>
  <si>
    <t>AB101258</t>
  </si>
  <si>
    <t>AB101259</t>
  </si>
  <si>
    <t>AB101260</t>
  </si>
  <si>
    <t>AB101261</t>
  </si>
  <si>
    <t>AB101262</t>
  </si>
  <si>
    <t>AB101263</t>
  </si>
  <si>
    <t>AB101264</t>
  </si>
  <si>
    <t>AB101265</t>
  </si>
  <si>
    <t>AB101266</t>
  </si>
  <si>
    <t>AB101267</t>
  </si>
  <si>
    <t>AB101268</t>
  </si>
  <si>
    <t>AB101269</t>
  </si>
  <si>
    <t>AB101270</t>
  </si>
  <si>
    <t>AB101271</t>
  </si>
  <si>
    <t>AB101272</t>
  </si>
  <si>
    <t>AB101273</t>
  </si>
  <si>
    <t>AB101274</t>
  </si>
  <si>
    <t>AB101275</t>
  </si>
  <si>
    <t>AB101276</t>
  </si>
  <si>
    <t>AB101277</t>
  </si>
  <si>
    <t>AB101278</t>
  </si>
  <si>
    <t>AB101279</t>
  </si>
  <si>
    <t>AB101280</t>
  </si>
  <si>
    <t>AB101281</t>
  </si>
  <si>
    <t>AB101282</t>
  </si>
  <si>
    <t>AB101283</t>
  </si>
  <si>
    <t>AB101284</t>
  </si>
  <si>
    <t>AB101285</t>
  </si>
  <si>
    <t>AB101286</t>
  </si>
  <si>
    <t>AB101287</t>
  </si>
  <si>
    <t>AB101288</t>
  </si>
  <si>
    <t>AB101289</t>
  </si>
  <si>
    <t>AB101290</t>
  </si>
  <si>
    <t>AB101291</t>
  </si>
  <si>
    <t>AB101292</t>
  </si>
  <si>
    <t>AB101293</t>
  </si>
  <si>
    <t>AB101294</t>
  </si>
  <si>
    <t>AB101295</t>
  </si>
  <si>
    <t>AB101296</t>
  </si>
  <si>
    <t>AB101297</t>
  </si>
  <si>
    <t>AB101298</t>
  </si>
  <si>
    <t>AB101299</t>
  </si>
  <si>
    <t>AB101300</t>
  </si>
  <si>
    <t>AB101301</t>
  </si>
  <si>
    <t>AB101302</t>
  </si>
  <si>
    <t>AB101303</t>
  </si>
  <si>
    <t>AB101304</t>
  </si>
  <si>
    <t>AB101305</t>
  </si>
  <si>
    <t>AB101306</t>
  </si>
  <si>
    <t>AB101307</t>
  </si>
  <si>
    <t>AB101308</t>
  </si>
  <si>
    <t>AB101309</t>
  </si>
  <si>
    <t>AB101310</t>
  </si>
  <si>
    <t>AB101311</t>
  </si>
  <si>
    <t>AB101312</t>
  </si>
  <si>
    <t>AB101313</t>
  </si>
  <si>
    <t>AB101314</t>
  </si>
  <si>
    <t>AB101315</t>
  </si>
  <si>
    <t>AB101316</t>
  </si>
  <si>
    <t>AB101317</t>
  </si>
  <si>
    <t>AB101318</t>
  </si>
  <si>
    <t>AB101319</t>
  </si>
  <si>
    <t>AB101320</t>
  </si>
  <si>
    <t>AB101321</t>
  </si>
  <si>
    <t>AB101322</t>
  </si>
  <si>
    <t>AB101323</t>
  </si>
  <si>
    <t>AB101324</t>
  </si>
  <si>
    <t>AB101325</t>
  </si>
  <si>
    <t>AB101326</t>
  </si>
  <si>
    <t>AB101327</t>
  </si>
  <si>
    <t>AB101328</t>
  </si>
  <si>
    <t>AB101329</t>
  </si>
  <si>
    <t>AB101330</t>
  </si>
  <si>
    <t>AB101331</t>
  </si>
  <si>
    <t>AB101332</t>
  </si>
  <si>
    <t>AB101333</t>
  </si>
  <si>
    <t>AB101334</t>
  </si>
  <si>
    <t>AB101335</t>
  </si>
  <si>
    <t>AB101336</t>
  </si>
  <si>
    <t>AB101337</t>
  </si>
  <si>
    <t>AB101338</t>
  </si>
  <si>
    <t>AB101339</t>
  </si>
  <si>
    <t>AB101340</t>
  </si>
  <si>
    <t>AB101341</t>
  </si>
  <si>
    <t>AB101342</t>
  </si>
  <si>
    <t>AB101343</t>
  </si>
  <si>
    <t>AB101344</t>
  </si>
  <si>
    <t>AB101345</t>
  </si>
  <si>
    <t>AB101346</t>
  </si>
  <si>
    <t>AB101347</t>
  </si>
  <si>
    <t>AB101348</t>
  </si>
  <si>
    <t>AB101349</t>
  </si>
  <si>
    <t>AB101350</t>
  </si>
  <si>
    <t>AB101351</t>
  </si>
  <si>
    <t>AB101352</t>
  </si>
  <si>
    <t>AB101353</t>
  </si>
  <si>
    <t>AB101354</t>
  </si>
  <si>
    <t>AB101355</t>
  </si>
  <si>
    <t>AB101356</t>
  </si>
  <si>
    <t>AB101357</t>
  </si>
  <si>
    <t>AB101358</t>
  </si>
  <si>
    <t>AB101359</t>
  </si>
  <si>
    <t>AB101360</t>
  </si>
  <si>
    <t>AB101361</t>
  </si>
  <si>
    <t>AB101362</t>
  </si>
  <si>
    <t>AB101363</t>
  </si>
  <si>
    <t>AB101364</t>
  </si>
  <si>
    <t>AB101365</t>
  </si>
  <si>
    <t>AB101366</t>
  </si>
  <si>
    <t>AB101367</t>
  </si>
  <si>
    <t>AB101368</t>
  </si>
  <si>
    <t>AB101369</t>
  </si>
  <si>
    <t>AB101370</t>
  </si>
  <si>
    <t>AB101371</t>
  </si>
  <si>
    <t>AB101372</t>
  </si>
  <si>
    <t>AB101373</t>
  </si>
  <si>
    <t>AB101374</t>
  </si>
  <si>
    <t>AB101375</t>
  </si>
  <si>
    <t>AB101376</t>
  </si>
  <si>
    <t>AB101377</t>
  </si>
  <si>
    <t>AB101378</t>
  </si>
  <si>
    <t>AB101379</t>
  </si>
  <si>
    <t>AB101380</t>
  </si>
  <si>
    <t>AB101381</t>
  </si>
  <si>
    <t>AB101382</t>
  </si>
  <si>
    <t>AB101383</t>
  </si>
  <si>
    <t>AB101384</t>
  </si>
  <si>
    <t>AB101385</t>
  </si>
  <si>
    <t>AB101386</t>
  </si>
  <si>
    <t>AB101387</t>
  </si>
  <si>
    <t>AB101388</t>
  </si>
  <si>
    <t>AB101389</t>
  </si>
  <si>
    <t>AB101390</t>
  </si>
  <si>
    <t>AB101391</t>
  </si>
  <si>
    <t>AB101392</t>
  </si>
  <si>
    <t>AB101393</t>
  </si>
  <si>
    <t>AB101394</t>
  </si>
  <si>
    <t>AB101395</t>
  </si>
  <si>
    <t>AB101396</t>
  </si>
  <si>
    <t>AB101397</t>
  </si>
  <si>
    <t>AB101398</t>
  </si>
  <si>
    <t>AB101399</t>
  </si>
  <si>
    <t>AB101400</t>
  </si>
  <si>
    <t>AB101401</t>
  </si>
  <si>
    <t>AB101402</t>
  </si>
  <si>
    <t>AB101403</t>
  </si>
  <si>
    <t>AB101404</t>
  </si>
  <si>
    <t>AB101405</t>
  </si>
  <si>
    <t>AB101406</t>
  </si>
  <si>
    <t>AB101407</t>
  </si>
  <si>
    <t>AB101408</t>
  </si>
  <si>
    <t>AB101409</t>
  </si>
  <si>
    <t>AB101410</t>
  </si>
  <si>
    <t>AB101411</t>
  </si>
  <si>
    <t>AB101412</t>
  </si>
  <si>
    <t>AB101413</t>
  </si>
  <si>
    <t>AB101414</t>
  </si>
  <si>
    <t>AB101415</t>
  </si>
  <si>
    <t>AB101416</t>
  </si>
  <si>
    <t>AB101417</t>
  </si>
  <si>
    <t>AB101418</t>
  </si>
  <si>
    <t>AB101419</t>
  </si>
  <si>
    <t>AB101420</t>
  </si>
  <si>
    <t>AB101421</t>
  </si>
  <si>
    <t>AB101422</t>
  </si>
  <si>
    <t>AB101423</t>
  </si>
  <si>
    <t>AB101424</t>
  </si>
  <si>
    <t>AB101425</t>
  </si>
  <si>
    <t>AB101426</t>
  </si>
  <si>
    <t>AB101427</t>
  </si>
  <si>
    <t>AB101428</t>
  </si>
  <si>
    <t>AB101429</t>
  </si>
  <si>
    <t>AB101430</t>
  </si>
  <si>
    <t>AB101431</t>
  </si>
  <si>
    <t>AB101432</t>
  </si>
  <si>
    <t>AB101433</t>
  </si>
  <si>
    <t>AB101434</t>
  </si>
  <si>
    <t>AB101435</t>
  </si>
  <si>
    <t>AB101436</t>
  </si>
  <si>
    <t>AB101437</t>
  </si>
  <si>
    <t>AB101438</t>
  </si>
  <si>
    <t>AB101439</t>
  </si>
  <si>
    <t>AB101440</t>
  </si>
  <si>
    <t>AB101441</t>
  </si>
  <si>
    <t>AB101442</t>
  </si>
  <si>
    <t>AB101443</t>
  </si>
  <si>
    <t>AB101444</t>
  </si>
  <si>
    <t>AB101445</t>
  </si>
  <si>
    <t>AB101446</t>
  </si>
  <si>
    <t>AB101447</t>
  </si>
  <si>
    <t>AB101448</t>
  </si>
  <si>
    <t>AB101449</t>
  </si>
  <si>
    <t>AB101450</t>
  </si>
  <si>
    <t>AB101451</t>
  </si>
  <si>
    <t>AB101452</t>
  </si>
  <si>
    <t>AB101453</t>
  </si>
  <si>
    <t>AB101454</t>
  </si>
  <si>
    <t>AB101455</t>
  </si>
  <si>
    <t>AB101456</t>
  </si>
  <si>
    <t>AB101457</t>
  </si>
  <si>
    <t>AB101458</t>
  </si>
  <si>
    <t>AB101459</t>
  </si>
  <si>
    <t>AB101460</t>
  </si>
  <si>
    <t>AB101461</t>
  </si>
  <si>
    <t>AB101462</t>
  </si>
  <si>
    <t>AB101463</t>
  </si>
  <si>
    <t>AB101464</t>
  </si>
  <si>
    <t>AB101465</t>
  </si>
  <si>
    <t>AB101466</t>
  </si>
  <si>
    <t>AB101467</t>
  </si>
  <si>
    <t>AB101468</t>
  </si>
  <si>
    <t>AB101469</t>
  </si>
  <si>
    <t>AB101470</t>
  </si>
  <si>
    <t>AB101471</t>
  </si>
  <si>
    <t>AB101472</t>
  </si>
  <si>
    <t>AB101473</t>
  </si>
  <si>
    <t>AB101474</t>
  </si>
  <si>
    <t>AB101475</t>
  </si>
  <si>
    <t>AB101476</t>
  </si>
  <si>
    <t>AB101477</t>
  </si>
  <si>
    <t>AB101478</t>
  </si>
  <si>
    <t>AB101479</t>
  </si>
  <si>
    <t>AB101480</t>
  </si>
  <si>
    <t>AB101481</t>
  </si>
  <si>
    <t>AB101482</t>
  </si>
  <si>
    <t>AB101483</t>
  </si>
  <si>
    <t>AB101484</t>
  </si>
  <si>
    <t>AB101485</t>
  </si>
  <si>
    <t>AB101486</t>
  </si>
  <si>
    <t>AB101487</t>
  </si>
  <si>
    <t>AB101488</t>
  </si>
  <si>
    <t>AB101489</t>
  </si>
  <si>
    <t>AB101490</t>
  </si>
  <si>
    <t>AB101491</t>
  </si>
  <si>
    <t>AB101492</t>
  </si>
  <si>
    <t>AB101493</t>
  </si>
  <si>
    <t>AB101494</t>
  </si>
  <si>
    <t>AB101495</t>
  </si>
  <si>
    <t>AB101496</t>
  </si>
  <si>
    <t>AB101497</t>
  </si>
  <si>
    <t>AB101498</t>
  </si>
  <si>
    <t>AB101499</t>
  </si>
  <si>
    <t>AB101500</t>
  </si>
  <si>
    <t>AB101501</t>
  </si>
  <si>
    <t>AB101502</t>
  </si>
  <si>
    <t>AB101503</t>
  </si>
  <si>
    <t>AB101504</t>
  </si>
  <si>
    <t>AB101505</t>
  </si>
  <si>
    <t>AB101506</t>
  </si>
  <si>
    <t>AB101507</t>
  </si>
  <si>
    <t>AB101508</t>
  </si>
  <si>
    <t>AB101509</t>
  </si>
  <si>
    <t>AB101510</t>
  </si>
  <si>
    <t>AB101511</t>
  </si>
  <si>
    <t>AB101512</t>
  </si>
  <si>
    <t>AB101513</t>
  </si>
  <si>
    <t>AB101514</t>
  </si>
  <si>
    <t>AB101515</t>
  </si>
  <si>
    <t>AB101516</t>
  </si>
  <si>
    <t>AB101517</t>
  </si>
  <si>
    <t>AB101518</t>
  </si>
  <si>
    <t>AB101519</t>
  </si>
  <si>
    <t>AB101520</t>
  </si>
  <si>
    <t>AB101521</t>
  </si>
  <si>
    <t>AB101522</t>
  </si>
  <si>
    <t>AB101523</t>
  </si>
  <si>
    <t>AB101524</t>
  </si>
  <si>
    <t>AB101525</t>
  </si>
  <si>
    <t>AB101526</t>
  </si>
  <si>
    <t>AB101527</t>
  </si>
  <si>
    <t>AB101528</t>
  </si>
  <si>
    <t>AB101529</t>
  </si>
  <si>
    <t>AB101530</t>
  </si>
  <si>
    <t>AB101531</t>
  </si>
  <si>
    <t>AB101532</t>
  </si>
  <si>
    <t>AB101533</t>
  </si>
  <si>
    <t>AB101534</t>
  </si>
  <si>
    <t>AB101535</t>
  </si>
  <si>
    <t>AB101536</t>
  </si>
  <si>
    <t>AB101537</t>
  </si>
  <si>
    <t>AB101538</t>
  </si>
  <si>
    <t>AB101539</t>
  </si>
  <si>
    <t>AB101540</t>
  </si>
  <si>
    <t>AB101541</t>
  </si>
  <si>
    <t>AB101542</t>
  </si>
  <si>
    <t>AB101543</t>
  </si>
  <si>
    <t>AB101544</t>
  </si>
  <si>
    <t>AB101545</t>
  </si>
  <si>
    <t>AB101546</t>
  </si>
  <si>
    <t>AB101547</t>
  </si>
  <si>
    <t>AB101548</t>
  </si>
  <si>
    <t>AB101549</t>
  </si>
  <si>
    <t>AB101550</t>
  </si>
  <si>
    <t>AB101551</t>
  </si>
  <si>
    <t>AB101552</t>
  </si>
  <si>
    <t>AB101553</t>
  </si>
  <si>
    <t>AB101554</t>
  </si>
  <si>
    <t>AB101555</t>
  </si>
  <si>
    <t>AB101556</t>
  </si>
  <si>
    <t>AB101557</t>
  </si>
  <si>
    <t>AB101558</t>
  </si>
  <si>
    <t>AB101559</t>
  </si>
  <si>
    <t>AB101560</t>
  </si>
  <si>
    <t>AB101561</t>
  </si>
  <si>
    <t>AB101562</t>
  </si>
  <si>
    <t>AB101563</t>
  </si>
  <si>
    <t>AB101564</t>
  </si>
  <si>
    <t>AB101565</t>
  </si>
  <si>
    <t>AB101566</t>
  </si>
  <si>
    <t>AB101567</t>
  </si>
  <si>
    <t>AB101568</t>
  </si>
  <si>
    <t>AB101569</t>
  </si>
  <si>
    <t>AB101570</t>
  </si>
  <si>
    <t>AB101571</t>
  </si>
  <si>
    <t>AB101572</t>
  </si>
  <si>
    <t>AB101573</t>
  </si>
  <si>
    <t>AB101574</t>
  </si>
  <si>
    <t>AB101575</t>
  </si>
  <si>
    <t>AB101576</t>
  </si>
  <si>
    <t>AB101577</t>
  </si>
  <si>
    <t>AB101578</t>
  </si>
  <si>
    <t>AB101579</t>
  </si>
  <si>
    <t>AB101580</t>
  </si>
  <si>
    <t>AB101581</t>
  </si>
  <si>
    <t>AB101582</t>
  </si>
  <si>
    <t>AB101583</t>
  </si>
  <si>
    <t>AB101584</t>
  </si>
  <si>
    <t>AB101585</t>
  </si>
  <si>
    <t>AB101586</t>
  </si>
  <si>
    <t>AB101587</t>
  </si>
  <si>
    <t>AB101588</t>
  </si>
  <si>
    <t>AB101589</t>
  </si>
  <si>
    <t>AB101590</t>
  </si>
  <si>
    <t>AB101591</t>
  </si>
  <si>
    <t>AB101592</t>
  </si>
  <si>
    <t>AB101593</t>
  </si>
  <si>
    <t>AB101594</t>
  </si>
  <si>
    <t>AB101595</t>
  </si>
  <si>
    <t>AB101596</t>
  </si>
  <si>
    <t>AB101597</t>
  </si>
  <si>
    <t>AB101598</t>
  </si>
  <si>
    <t>AB101599</t>
  </si>
  <si>
    <t>AB101600</t>
  </si>
  <si>
    <t>AB101601</t>
  </si>
  <si>
    <t>AB101602</t>
  </si>
  <si>
    <t>AB101603</t>
  </si>
  <si>
    <t>AB101604</t>
  </si>
  <si>
    <t>AB101605</t>
  </si>
  <si>
    <t>AB101606</t>
  </si>
  <si>
    <t>AB101607</t>
  </si>
  <si>
    <t>AB101608</t>
  </si>
  <si>
    <t>AB101609</t>
  </si>
  <si>
    <t>AB101610</t>
  </si>
  <si>
    <t>AB101611</t>
  </si>
  <si>
    <t>AB101612</t>
  </si>
  <si>
    <t>AB101613</t>
  </si>
  <si>
    <t>AB101614</t>
  </si>
  <si>
    <t>AB101615</t>
  </si>
  <si>
    <t>AB101616</t>
  </si>
  <si>
    <t>AB101617</t>
  </si>
  <si>
    <t>AB101618</t>
  </si>
  <si>
    <t>AB101619</t>
  </si>
  <si>
    <t>AB101620</t>
  </si>
  <si>
    <t>AB101621</t>
  </si>
  <si>
    <t>AB101622</t>
  </si>
  <si>
    <t>AB101623</t>
  </si>
  <si>
    <t>AB101624</t>
  </si>
  <si>
    <t>AB101625</t>
  </si>
  <si>
    <t>AB101626</t>
  </si>
  <si>
    <t>AB101627</t>
  </si>
  <si>
    <t>AB101628</t>
  </si>
  <si>
    <t>AB101629</t>
  </si>
  <si>
    <t>AB101630</t>
  </si>
  <si>
    <t>AB101631</t>
  </si>
  <si>
    <t>AB101632</t>
  </si>
  <si>
    <t>AB101633</t>
  </si>
  <si>
    <t>AB101634</t>
  </si>
  <si>
    <t>AB101635</t>
  </si>
  <si>
    <t>AB101636</t>
  </si>
  <si>
    <t>AB101637</t>
  </si>
  <si>
    <t>AB101638</t>
  </si>
  <si>
    <t>AB101639</t>
  </si>
  <si>
    <t>AB101640</t>
  </si>
  <si>
    <t>AB101641</t>
  </si>
  <si>
    <t>AB101642</t>
  </si>
  <si>
    <t>AB101643</t>
  </si>
  <si>
    <t>AB101644</t>
  </si>
  <si>
    <t>AB101645</t>
  </si>
  <si>
    <t>AB101646</t>
  </si>
  <si>
    <t>AB101647</t>
  </si>
  <si>
    <t>AB101648</t>
  </si>
  <si>
    <t>AB101649</t>
  </si>
  <si>
    <t>AB101650</t>
  </si>
  <si>
    <t>AB101651</t>
  </si>
  <si>
    <t>AB101652</t>
  </si>
  <si>
    <t>AB101653</t>
  </si>
  <si>
    <t>AB101654</t>
  </si>
  <si>
    <t>AB101655</t>
  </si>
  <si>
    <t>AB101656</t>
  </si>
  <si>
    <t>AB101657</t>
  </si>
  <si>
    <t>AB101658</t>
  </si>
  <si>
    <t>AB101659</t>
  </si>
  <si>
    <t>AB101660</t>
  </si>
  <si>
    <t>AB101661</t>
  </si>
  <si>
    <t>AB101662</t>
  </si>
  <si>
    <t>AB101663</t>
  </si>
  <si>
    <t>AB101664</t>
  </si>
  <si>
    <t>AB101665</t>
  </si>
  <si>
    <t>AB101666</t>
  </si>
  <si>
    <t>AB101667</t>
  </si>
  <si>
    <t>AB101668</t>
  </si>
  <si>
    <t>AB101669</t>
  </si>
  <si>
    <t>AB101670</t>
  </si>
  <si>
    <t>AB101671</t>
  </si>
  <si>
    <t>AB101672</t>
  </si>
  <si>
    <t>AB101673</t>
  </si>
  <si>
    <t>AB101674</t>
  </si>
  <si>
    <t>AB101675</t>
  </si>
  <si>
    <t>AB101676</t>
  </si>
  <si>
    <t>AB101677</t>
  </si>
  <si>
    <t>AB101678</t>
  </si>
  <si>
    <t>AB101679</t>
  </si>
  <si>
    <t>AB101680</t>
  </si>
  <si>
    <t>AB101681</t>
  </si>
  <si>
    <t>AB101682</t>
  </si>
  <si>
    <t>AB101683</t>
  </si>
  <si>
    <t>AB101684</t>
  </si>
  <si>
    <t>AB101685</t>
  </si>
  <si>
    <t>AB101686</t>
  </si>
  <si>
    <t>AB101687</t>
  </si>
  <si>
    <t>AB101688</t>
  </si>
  <si>
    <t>AB101689</t>
  </si>
  <si>
    <t>AB101690</t>
  </si>
  <si>
    <t>AB101691</t>
  </si>
  <si>
    <t>AB101692</t>
  </si>
  <si>
    <t>AB101693</t>
  </si>
  <si>
    <t>AB101694</t>
  </si>
  <si>
    <t>AB101695</t>
  </si>
  <si>
    <t>AB101696</t>
  </si>
  <si>
    <t>AB101697</t>
  </si>
  <si>
    <t>AB101698</t>
  </si>
  <si>
    <t>AB101699</t>
  </si>
  <si>
    <t>AB101700</t>
  </si>
  <si>
    <t>AB101701</t>
  </si>
  <si>
    <t>AB101702</t>
  </si>
  <si>
    <t>AB101703</t>
  </si>
  <si>
    <t>AB101704</t>
  </si>
  <si>
    <t>AB101705</t>
  </si>
  <si>
    <t>AB101706</t>
  </si>
  <si>
    <t>AB101707</t>
  </si>
  <si>
    <t>AB101708</t>
  </si>
  <si>
    <t>AB101709</t>
  </si>
  <si>
    <t>AB101710</t>
  </si>
  <si>
    <t>AB101711</t>
  </si>
  <si>
    <t>AB101712</t>
  </si>
  <si>
    <t>AB101713</t>
  </si>
  <si>
    <t>AB101714</t>
  </si>
  <si>
    <t>AB101715</t>
  </si>
  <si>
    <t>AB101716</t>
  </si>
  <si>
    <t>AB101717</t>
  </si>
  <si>
    <t>AB101718</t>
  </si>
  <si>
    <t>AB101719</t>
  </si>
  <si>
    <t>AB101720</t>
  </si>
  <si>
    <t>AB101721</t>
  </si>
  <si>
    <t>AB101722</t>
  </si>
  <si>
    <t>AB101723</t>
  </si>
  <si>
    <t>AB101724</t>
  </si>
  <si>
    <t>AB101725</t>
  </si>
  <si>
    <t>AB101726</t>
  </si>
  <si>
    <t>AB101727</t>
  </si>
  <si>
    <t>AB101728</t>
  </si>
  <si>
    <t>AB101729</t>
  </si>
  <si>
    <t>AB101730</t>
  </si>
  <si>
    <t>AB101731</t>
  </si>
  <si>
    <t>AB101732</t>
  </si>
  <si>
    <t>AB101733</t>
  </si>
  <si>
    <t>AB101734</t>
  </si>
  <si>
    <t>AB101735</t>
  </si>
  <si>
    <t>AB101736</t>
  </si>
  <si>
    <t>AB101737</t>
  </si>
  <si>
    <t>AB101738</t>
  </si>
  <si>
    <t>AB101739</t>
  </si>
  <si>
    <t>AB101740</t>
  </si>
  <si>
    <t>AB101741</t>
  </si>
  <si>
    <t>AB101742</t>
  </si>
  <si>
    <t>AB101743</t>
  </si>
  <si>
    <t>AB101744</t>
  </si>
  <si>
    <t>AB101745</t>
  </si>
  <si>
    <t>AB101746</t>
  </si>
  <si>
    <t>AB101747</t>
  </si>
  <si>
    <t>AB101748</t>
  </si>
  <si>
    <t>AB101749</t>
  </si>
  <si>
    <t>AB101750</t>
  </si>
  <si>
    <t>AB101751</t>
  </si>
  <si>
    <t>AB101752</t>
  </si>
  <si>
    <t>AB101753</t>
  </si>
  <si>
    <t>AB101754</t>
  </si>
  <si>
    <t>AB101755</t>
  </si>
  <si>
    <t>AB101756</t>
  </si>
  <si>
    <t>AB101757</t>
  </si>
  <si>
    <t>AB101758</t>
  </si>
  <si>
    <t>AB101759</t>
  </si>
  <si>
    <t>AB101760</t>
  </si>
  <si>
    <t>AB101761</t>
  </si>
  <si>
    <t>AB101762</t>
  </si>
  <si>
    <t>AB101763</t>
  </si>
  <si>
    <t>AB101764</t>
  </si>
  <si>
    <t>AB101765</t>
  </si>
  <si>
    <t>AB101766</t>
  </si>
  <si>
    <t>AB101767</t>
  </si>
  <si>
    <t>AB101768</t>
  </si>
  <si>
    <t>AB101769</t>
  </si>
  <si>
    <t>AB101770</t>
  </si>
  <si>
    <t>AB101771</t>
  </si>
  <si>
    <t>AB101772</t>
  </si>
  <si>
    <t>AB101773</t>
  </si>
  <si>
    <t>AB101774</t>
  </si>
  <si>
    <t>AB101775</t>
  </si>
  <si>
    <t>AB101776</t>
  </si>
  <si>
    <t>AB101777</t>
  </si>
  <si>
    <t>AB101778</t>
  </si>
  <si>
    <t>AB101779</t>
  </si>
  <si>
    <t>AB101780</t>
  </si>
  <si>
    <t>AB101781</t>
  </si>
  <si>
    <t>AB101782</t>
  </si>
  <si>
    <t>AB101783</t>
  </si>
  <si>
    <t>AB101784</t>
  </si>
  <si>
    <t>AB101785</t>
  </si>
  <si>
    <t>AB101786</t>
  </si>
  <si>
    <t>AB101787</t>
  </si>
  <si>
    <t>AB101788</t>
  </si>
  <si>
    <t>AB101789</t>
  </si>
  <si>
    <t>AB101790</t>
  </si>
  <si>
    <t>AB101791</t>
  </si>
  <si>
    <t>AB101792</t>
  </si>
  <si>
    <t>AB101793</t>
  </si>
  <si>
    <t>AB101794</t>
  </si>
  <si>
    <t>AB101795</t>
  </si>
  <si>
    <t>AB101796</t>
  </si>
  <si>
    <t>AB101797</t>
  </si>
  <si>
    <t>AB101798</t>
  </si>
  <si>
    <t>AB101799</t>
  </si>
  <si>
    <t>AB101800</t>
  </si>
  <si>
    <t>AB101801</t>
  </si>
  <si>
    <t>AB101802</t>
  </si>
  <si>
    <t>AB101803</t>
  </si>
  <si>
    <t>AB101804</t>
  </si>
  <si>
    <t>AB101805</t>
  </si>
  <si>
    <t>AB101806</t>
  </si>
  <si>
    <t>AB101807</t>
  </si>
  <si>
    <t>AB101808</t>
  </si>
  <si>
    <t>AB101809</t>
  </si>
  <si>
    <t>AB101810</t>
  </si>
  <si>
    <t>AB101811</t>
  </si>
  <si>
    <t>AB101812</t>
  </si>
  <si>
    <t>AB101813</t>
  </si>
  <si>
    <t>AB101814</t>
  </si>
  <si>
    <t>AB101815</t>
  </si>
  <si>
    <t>AB101816</t>
  </si>
  <si>
    <t>AB101817</t>
  </si>
  <si>
    <t>AB101818</t>
  </si>
  <si>
    <t>AB101819</t>
  </si>
  <si>
    <t>AB101820</t>
  </si>
  <si>
    <t>AB101821</t>
  </si>
  <si>
    <t>AB101822</t>
  </si>
  <si>
    <t>AB101823</t>
  </si>
  <si>
    <t>AB101824</t>
  </si>
  <si>
    <t>AB101825</t>
  </si>
  <si>
    <t>AB101826</t>
  </si>
  <si>
    <t>AB101827</t>
  </si>
  <si>
    <t>AB101828</t>
  </si>
  <si>
    <t>AB101829</t>
  </si>
  <si>
    <t>AB101830</t>
  </si>
  <si>
    <t>AB101831</t>
  </si>
  <si>
    <t>AB101832</t>
  </si>
  <si>
    <t>AB101833</t>
  </si>
  <si>
    <t>AB101834</t>
  </si>
  <si>
    <t>AB101835</t>
  </si>
  <si>
    <t>AB101836</t>
  </si>
  <si>
    <t>AB101837</t>
  </si>
  <si>
    <t>AB101838</t>
  </si>
  <si>
    <t>AB101839</t>
  </si>
  <si>
    <t>AB101840</t>
  </si>
  <si>
    <t>AB101841</t>
  </si>
  <si>
    <t>AB101842</t>
  </si>
  <si>
    <t>AB101843</t>
  </si>
  <si>
    <t>AB101844</t>
  </si>
  <si>
    <t>AB101845</t>
  </si>
  <si>
    <t>AB101846</t>
  </si>
  <si>
    <t>AB101847</t>
  </si>
  <si>
    <t>AB101848</t>
  </si>
  <si>
    <t>AB101849</t>
  </si>
  <si>
    <t>AB101850</t>
  </si>
  <si>
    <t>AB101851</t>
  </si>
  <si>
    <t>AB101852</t>
  </si>
  <si>
    <t>AB101853</t>
  </si>
  <si>
    <t>AB101854</t>
  </si>
  <si>
    <t>AB101855</t>
  </si>
  <si>
    <t>AB101856</t>
  </si>
  <si>
    <t>AB101857</t>
  </si>
  <si>
    <t>AB101858</t>
  </si>
  <si>
    <t>AB101859</t>
  </si>
  <si>
    <t>AB101860</t>
  </si>
  <si>
    <t>AB101861</t>
  </si>
  <si>
    <t>AB101862</t>
  </si>
  <si>
    <t>AB101863</t>
  </si>
  <si>
    <t>AB101864</t>
  </si>
  <si>
    <t>AB101865</t>
  </si>
  <si>
    <t>AB101866</t>
  </si>
  <si>
    <t>AB101867</t>
  </si>
  <si>
    <t>AB101868</t>
  </si>
  <si>
    <t>AB101869</t>
  </si>
  <si>
    <t>AB101870</t>
  </si>
  <si>
    <t>AB101871</t>
  </si>
  <si>
    <t>AB101872</t>
  </si>
  <si>
    <t>AB101873</t>
  </si>
  <si>
    <t>AB101874</t>
  </si>
  <si>
    <t>AB101875</t>
  </si>
  <si>
    <t>AB101876</t>
  </si>
  <si>
    <t>AB101877</t>
  </si>
  <si>
    <t>AB101878</t>
  </si>
  <si>
    <t>AB101879</t>
  </si>
  <si>
    <t>AB101880</t>
  </si>
  <si>
    <t>AB101881</t>
  </si>
  <si>
    <t>AB101882</t>
  </si>
  <si>
    <t>AB101883</t>
  </si>
  <si>
    <t>AB101884</t>
  </si>
  <si>
    <t>AB101885</t>
  </si>
  <si>
    <t>AB101886</t>
  </si>
  <si>
    <t>AB101887</t>
  </si>
  <si>
    <t>AB101888</t>
  </si>
  <si>
    <t>AB101889</t>
  </si>
  <si>
    <t>AB101890</t>
  </si>
  <si>
    <t>AB101891</t>
  </si>
  <si>
    <t>AB101892</t>
  </si>
  <si>
    <t>AB101893</t>
  </si>
  <si>
    <t>AB101894</t>
  </si>
  <si>
    <t>AB101895</t>
  </si>
  <si>
    <t>AB101896</t>
  </si>
  <si>
    <t>AB101897</t>
  </si>
  <si>
    <t>AB101898</t>
  </si>
  <si>
    <t>AB101899</t>
  </si>
  <si>
    <t>AB101900</t>
  </si>
  <si>
    <t>AB101901</t>
  </si>
  <si>
    <t>AB101902</t>
  </si>
  <si>
    <t>AB101903</t>
  </si>
  <si>
    <t>AB101904</t>
  </si>
  <si>
    <t>AB101905</t>
  </si>
  <si>
    <t>AB101906</t>
  </si>
  <si>
    <t>AB101907</t>
  </si>
  <si>
    <t>AB101908</t>
  </si>
  <si>
    <t>AB101909</t>
  </si>
  <si>
    <t>AB101910</t>
  </si>
  <si>
    <t>AB101911</t>
  </si>
  <si>
    <t>AB101912</t>
  </si>
  <si>
    <t>AB101913</t>
  </si>
  <si>
    <t>AB101914</t>
  </si>
  <si>
    <t>AB101915</t>
  </si>
  <si>
    <t>AB101916</t>
  </si>
  <si>
    <t>AB101917</t>
  </si>
  <si>
    <t>AB101918</t>
  </si>
  <si>
    <t>AB101919</t>
  </si>
  <si>
    <t>AB101920</t>
  </si>
  <si>
    <t>AB101921</t>
  </si>
  <si>
    <t>AB101922</t>
  </si>
  <si>
    <t>AB101923</t>
  </si>
  <si>
    <t>AB101924</t>
  </si>
  <si>
    <t>AB101925</t>
  </si>
  <si>
    <t>AB101926</t>
  </si>
  <si>
    <t>AB101927</t>
  </si>
  <si>
    <t>AB101928</t>
  </si>
  <si>
    <t>AB101929</t>
  </si>
  <si>
    <t>AB101930</t>
  </si>
  <si>
    <t>AB101931</t>
  </si>
  <si>
    <t>AB101932</t>
  </si>
  <si>
    <t>AB101933</t>
  </si>
  <si>
    <t>AB101934</t>
  </si>
  <si>
    <t>AB101935</t>
  </si>
  <si>
    <t>AB101936</t>
  </si>
  <si>
    <t>AB101937</t>
  </si>
  <si>
    <t>AB101938</t>
  </si>
  <si>
    <t>AB101939</t>
  </si>
  <si>
    <t>AB101940</t>
  </si>
  <si>
    <t>AB101941</t>
  </si>
  <si>
    <t>AB101942</t>
  </si>
  <si>
    <t>AB101943</t>
  </si>
  <si>
    <t>AB101944</t>
  </si>
  <si>
    <t>AB101945</t>
  </si>
  <si>
    <t>AB101946</t>
  </si>
  <si>
    <t>AB101947</t>
  </si>
  <si>
    <t>AB101948</t>
  </si>
  <si>
    <t>AB101949</t>
  </si>
  <si>
    <t>AB101950</t>
  </si>
  <si>
    <t>AB101951</t>
  </si>
  <si>
    <t>AB101952</t>
  </si>
  <si>
    <t>AB101953</t>
  </si>
  <si>
    <t>AB101954</t>
  </si>
  <si>
    <t>AB101955</t>
  </si>
  <si>
    <t>AB101956</t>
  </si>
  <si>
    <t>AB101957</t>
  </si>
  <si>
    <t>AB101958</t>
  </si>
  <si>
    <t>AB101959</t>
  </si>
  <si>
    <t>AB101960</t>
  </si>
  <si>
    <t>AB101961</t>
  </si>
  <si>
    <t>AB101962</t>
  </si>
  <si>
    <t>AB101963</t>
  </si>
  <si>
    <t>AB101964</t>
  </si>
  <si>
    <t>AB101965</t>
  </si>
  <si>
    <t>AB101966</t>
  </si>
  <si>
    <t>AB101967</t>
  </si>
  <si>
    <t>AB101968</t>
  </si>
  <si>
    <t>AB101969</t>
  </si>
  <si>
    <t>AB101970</t>
  </si>
  <si>
    <t>AB101971</t>
  </si>
  <si>
    <t>AB101972</t>
  </si>
  <si>
    <t>AB101973</t>
  </si>
  <si>
    <t>AB101974</t>
  </si>
  <si>
    <t>AB101975</t>
  </si>
  <si>
    <t>AB101976</t>
  </si>
  <si>
    <t>AB101977</t>
  </si>
  <si>
    <t>AB101978</t>
  </si>
  <si>
    <t>AB101979</t>
  </si>
  <si>
    <t>AB101980</t>
  </si>
  <si>
    <t>AB101981</t>
  </si>
  <si>
    <t>AB101982</t>
  </si>
  <si>
    <t>AB101983</t>
  </si>
  <si>
    <t>AB101984</t>
  </si>
  <si>
    <t>AB101985</t>
  </si>
  <si>
    <t>AB101986</t>
  </si>
  <si>
    <t>AB101987</t>
  </si>
  <si>
    <t>AB101988</t>
  </si>
  <si>
    <t>AB101989</t>
  </si>
  <si>
    <t>AB101990</t>
  </si>
  <si>
    <t>AB101991</t>
  </si>
  <si>
    <t>AB101992</t>
  </si>
  <si>
    <t>AB101993</t>
  </si>
  <si>
    <t>AB101994</t>
  </si>
  <si>
    <t>AB101995</t>
  </si>
  <si>
    <t>AB101996</t>
  </si>
  <si>
    <t>AB101997</t>
  </si>
  <si>
    <t>AB101998</t>
  </si>
  <si>
    <t>AB101999</t>
  </si>
  <si>
    <t>AB102000</t>
  </si>
  <si>
    <t>AB102001</t>
  </si>
  <si>
    <t>AB102002</t>
  </si>
  <si>
    <t>AB102003</t>
  </si>
  <si>
    <t>AB102004</t>
  </si>
  <si>
    <t>AB102005</t>
  </si>
  <si>
    <t>AB102006</t>
  </si>
  <si>
    <t>AB102007</t>
  </si>
  <si>
    <t>AB102008</t>
  </si>
  <si>
    <t>AB102009</t>
  </si>
  <si>
    <t>AB102010</t>
  </si>
  <si>
    <t>AB102011</t>
  </si>
  <si>
    <t>AB102012</t>
  </si>
  <si>
    <t>AB102013</t>
  </si>
  <si>
    <t>AB102014</t>
  </si>
  <si>
    <t>AB102015</t>
  </si>
  <si>
    <t>AB102016</t>
  </si>
  <si>
    <t>AB102017</t>
  </si>
  <si>
    <t>AB102018</t>
  </si>
  <si>
    <t>AB102019</t>
  </si>
  <si>
    <t>AB102020</t>
  </si>
  <si>
    <t>AB102021</t>
  </si>
  <si>
    <t>AB102022</t>
  </si>
  <si>
    <t>AB102023</t>
  </si>
  <si>
    <t>AB102024</t>
  </si>
  <si>
    <t>AB102025</t>
  </si>
  <si>
    <t>AB102026</t>
  </si>
  <si>
    <t>AB102027</t>
  </si>
  <si>
    <t>AB102028</t>
  </si>
  <si>
    <t>AB102029</t>
  </si>
  <si>
    <t>AB102030</t>
  </si>
  <si>
    <t>AB102031</t>
  </si>
  <si>
    <t>AB102032</t>
  </si>
  <si>
    <t>AB102033</t>
  </si>
  <si>
    <t>AB102034</t>
  </si>
  <si>
    <t>AB102035</t>
  </si>
  <si>
    <t>AB102036</t>
  </si>
  <si>
    <t>AB102037</t>
  </si>
  <si>
    <t>AB102038</t>
  </si>
  <si>
    <t>AB102039</t>
  </si>
  <si>
    <t>AB102040</t>
  </si>
  <si>
    <t>AB102041</t>
  </si>
  <si>
    <t>AB102042</t>
  </si>
  <si>
    <t>AB102043</t>
  </si>
  <si>
    <t>AB102044</t>
  </si>
  <si>
    <t>AB102045</t>
  </si>
  <si>
    <t>AB102046</t>
  </si>
  <si>
    <t>AB102047</t>
  </si>
  <si>
    <t>AB102048</t>
  </si>
  <si>
    <t>AB102049</t>
  </si>
  <si>
    <t>AB102050</t>
  </si>
  <si>
    <t>AB102051</t>
  </si>
  <si>
    <t>AB102052</t>
  </si>
  <si>
    <t>AB102053</t>
  </si>
  <si>
    <t>AB102054</t>
  </si>
  <si>
    <t>AB102055</t>
  </si>
  <si>
    <t>AB102056</t>
  </si>
  <si>
    <t>AB102057</t>
  </si>
  <si>
    <t>AB102058</t>
  </si>
  <si>
    <t>AB102059</t>
  </si>
  <si>
    <t>AB102060</t>
  </si>
  <si>
    <t>AB102061</t>
  </si>
  <si>
    <t>AB102062</t>
  </si>
  <si>
    <t>AB102063</t>
  </si>
  <si>
    <t>AB102064</t>
  </si>
  <si>
    <t>AB102065</t>
  </si>
  <si>
    <t>AB102066</t>
  </si>
  <si>
    <t>AB102067</t>
  </si>
  <si>
    <t>AB102068</t>
  </si>
  <si>
    <t>AB102069</t>
  </si>
  <si>
    <t>AB102070</t>
  </si>
  <si>
    <t>AB102071</t>
  </si>
  <si>
    <t>AB102072</t>
  </si>
  <si>
    <t>AB102073</t>
  </si>
  <si>
    <t>AB102074</t>
  </si>
  <si>
    <t>AB102075</t>
  </si>
  <si>
    <t>AB102076</t>
  </si>
  <si>
    <t>AB102077</t>
  </si>
  <si>
    <t>AB102078</t>
  </si>
  <si>
    <t>AB102079</t>
  </si>
  <si>
    <t>AB102080</t>
  </si>
  <si>
    <t>AB102081</t>
  </si>
  <si>
    <t>AB102082</t>
  </si>
  <si>
    <t>AB102083</t>
  </si>
  <si>
    <t>AB102084</t>
  </si>
  <si>
    <t>AB102085</t>
  </si>
  <si>
    <t>AB102086</t>
  </si>
  <si>
    <t>AB102087</t>
  </si>
  <si>
    <t>AB102088</t>
  </si>
  <si>
    <t>AB102089</t>
  </si>
  <si>
    <t>AB102090</t>
  </si>
  <si>
    <t>AB102091</t>
  </si>
  <si>
    <t>AB102092</t>
  </si>
  <si>
    <t>AB102093</t>
  </si>
  <si>
    <t>AB102094</t>
  </si>
  <si>
    <t>AB102095</t>
  </si>
  <si>
    <t>AB102096</t>
  </si>
  <si>
    <t>AB102097</t>
  </si>
  <si>
    <t>AB102098</t>
  </si>
  <si>
    <t>AB102099</t>
  </si>
  <si>
    <t>AB102100</t>
  </si>
  <si>
    <t>AB102101</t>
  </si>
  <si>
    <t>AB102102</t>
  </si>
  <si>
    <t>AB102103</t>
  </si>
  <si>
    <t>AB102104</t>
  </si>
  <si>
    <t>AB102105</t>
  </si>
  <si>
    <t>AB102106</t>
  </si>
  <si>
    <t>AB102107</t>
  </si>
  <si>
    <t>AB102108</t>
  </si>
  <si>
    <t>AB102109</t>
  </si>
  <si>
    <t>AB102110</t>
  </si>
  <si>
    <t>AB102111</t>
  </si>
  <si>
    <t>AB102112</t>
  </si>
  <si>
    <t>AB102113</t>
  </si>
  <si>
    <t>AB102114</t>
  </si>
  <si>
    <t>AB102115</t>
  </si>
  <si>
    <t>AB102116</t>
  </si>
  <si>
    <t>AB102117</t>
  </si>
  <si>
    <t>AB102118</t>
  </si>
  <si>
    <t>AB102119</t>
  </si>
  <si>
    <t>AB102120</t>
  </si>
  <si>
    <t>AB102121</t>
  </si>
  <si>
    <t>AB102122</t>
  </si>
  <si>
    <t>AB102123</t>
  </si>
  <si>
    <t>AB102124</t>
  </si>
  <si>
    <t>AB102125</t>
  </si>
  <si>
    <t>AB102126</t>
  </si>
  <si>
    <t>AB102127</t>
  </si>
  <si>
    <t>AB102128</t>
  </si>
  <si>
    <t>AB102129</t>
  </si>
  <si>
    <t>AB102130</t>
  </si>
  <si>
    <t>AB102131</t>
  </si>
  <si>
    <t>AB102132</t>
  </si>
  <si>
    <t>AB102133</t>
  </si>
  <si>
    <t>AB102134</t>
  </si>
  <si>
    <t>AB102135</t>
  </si>
  <si>
    <t>AB102136</t>
  </si>
  <si>
    <t>AB102137</t>
  </si>
  <si>
    <t>AB102138</t>
  </si>
  <si>
    <t>AB102139</t>
  </si>
  <si>
    <t>AB102140</t>
  </si>
  <si>
    <t>AB102141</t>
  </si>
  <si>
    <t>AB102142</t>
  </si>
  <si>
    <t>AB102143</t>
  </si>
  <si>
    <t>AB102144</t>
  </si>
  <si>
    <t>AB102145</t>
  </si>
  <si>
    <t>AB102146</t>
  </si>
  <si>
    <t>AB102147</t>
  </si>
  <si>
    <t>AB102148</t>
  </si>
  <si>
    <t>AB102149</t>
  </si>
  <si>
    <t>AB102150</t>
  </si>
  <si>
    <t>AB102151</t>
  </si>
  <si>
    <t>AB102152</t>
  </si>
  <si>
    <t>AB102153</t>
  </si>
  <si>
    <t>AB102154</t>
  </si>
  <si>
    <t>AB102155</t>
  </si>
  <si>
    <t>AB102156</t>
  </si>
  <si>
    <t>AB102157</t>
  </si>
  <si>
    <t>AB102158</t>
  </si>
  <si>
    <t>AB102159</t>
  </si>
  <si>
    <t>AB102160</t>
  </si>
  <si>
    <t>AB102161</t>
  </si>
  <si>
    <t>AB102162</t>
  </si>
  <si>
    <t>AB102163</t>
  </si>
  <si>
    <t>AB102164</t>
  </si>
  <si>
    <t>AB102165</t>
  </si>
  <si>
    <t>AB102166</t>
  </si>
  <si>
    <t>AB102167</t>
  </si>
  <si>
    <t>AB102168</t>
  </si>
  <si>
    <t>AB102169</t>
  </si>
  <si>
    <t>AB102170</t>
  </si>
  <si>
    <t>AB102171</t>
  </si>
  <si>
    <t>AB102172</t>
  </si>
  <si>
    <t>AB102173</t>
  </si>
  <si>
    <t>AB102174</t>
  </si>
  <si>
    <t>AB102175</t>
  </si>
  <si>
    <t>AB102176</t>
  </si>
  <si>
    <t>AB102177</t>
  </si>
  <si>
    <t>AB102178</t>
  </si>
  <si>
    <t>AB102179</t>
  </si>
  <si>
    <t>AB102180</t>
  </si>
  <si>
    <t>AB102181</t>
  </si>
  <si>
    <t>AB102182</t>
  </si>
  <si>
    <t>AB102183</t>
  </si>
  <si>
    <t>AB102184</t>
  </si>
  <si>
    <t>AB102185</t>
  </si>
  <si>
    <t>AB102186</t>
  </si>
  <si>
    <t>AB102187</t>
  </si>
  <si>
    <t>AB102188</t>
  </si>
  <si>
    <t>AB102189</t>
  </si>
  <si>
    <t>AB102190</t>
  </si>
  <si>
    <t>AB102191</t>
  </si>
  <si>
    <t>AB102192</t>
  </si>
  <si>
    <t>AB102193</t>
  </si>
  <si>
    <t>AB102194</t>
  </si>
  <si>
    <t>AB102195</t>
  </si>
  <si>
    <t>AB102196</t>
  </si>
  <si>
    <t>AB102197</t>
  </si>
  <si>
    <t>AB102198</t>
  </si>
  <si>
    <t>AB102199</t>
  </si>
  <si>
    <t>AB102200</t>
  </si>
  <si>
    <t>AB102201</t>
  </si>
  <si>
    <t>AB102202</t>
  </si>
  <si>
    <t>AB102203</t>
  </si>
  <si>
    <t>AB102204</t>
  </si>
  <si>
    <t>AB102205</t>
  </si>
  <si>
    <t>AB102206</t>
  </si>
  <si>
    <t>AB102207</t>
  </si>
  <si>
    <t>AB102208</t>
  </si>
  <si>
    <t>AB102209</t>
  </si>
  <si>
    <t>AB102210</t>
  </si>
  <si>
    <t>AB102211</t>
  </si>
  <si>
    <t>AB102212</t>
  </si>
  <si>
    <t>AB102213</t>
  </si>
  <si>
    <t>AB102214</t>
  </si>
  <si>
    <t>AB102215</t>
  </si>
  <si>
    <t>AB102216</t>
  </si>
  <si>
    <t>AB102217</t>
  </si>
  <si>
    <t>AB102218</t>
  </si>
  <si>
    <t>AB102219</t>
  </si>
  <si>
    <t>AB102220</t>
  </si>
  <si>
    <t>AB102221</t>
  </si>
  <si>
    <t>AB102222</t>
  </si>
  <si>
    <t>AB102223</t>
  </si>
  <si>
    <t>AB102224</t>
  </si>
  <si>
    <t>AB102225</t>
  </si>
  <si>
    <t>AB102226</t>
  </si>
  <si>
    <t>AB102227</t>
  </si>
  <si>
    <t>AB102228</t>
  </si>
  <si>
    <t>AB102229</t>
  </si>
  <si>
    <t>AB102230</t>
  </si>
  <si>
    <t>AB102231</t>
  </si>
  <si>
    <t>AB102232</t>
  </si>
  <si>
    <t>AB102233</t>
  </si>
  <si>
    <t>AB102234</t>
  </si>
  <si>
    <t>AB102235</t>
  </si>
  <si>
    <t>AB102236</t>
  </si>
  <si>
    <t>AB102237</t>
  </si>
  <si>
    <t>AB102238</t>
  </si>
  <si>
    <t>AB102239</t>
  </si>
  <si>
    <t>AB102240</t>
  </si>
  <si>
    <t>AB102241</t>
  </si>
  <si>
    <t>AB102242</t>
  </si>
  <si>
    <t>AB102243</t>
  </si>
  <si>
    <t>AB102244</t>
  </si>
  <si>
    <t>AB102245</t>
  </si>
  <si>
    <t>AB102246</t>
  </si>
  <si>
    <t>AB102247</t>
  </si>
  <si>
    <t>AB102248</t>
  </si>
  <si>
    <t>AB102249</t>
  </si>
  <si>
    <t>AB102250</t>
  </si>
  <si>
    <t>AB102251</t>
  </si>
  <si>
    <t>AB102252</t>
  </si>
  <si>
    <t>AB102253</t>
  </si>
  <si>
    <t>AB102254</t>
  </si>
  <si>
    <t>AB102255</t>
  </si>
  <si>
    <t>AB102256</t>
  </si>
  <si>
    <t>AB102257</t>
  </si>
  <si>
    <t>AB102258</t>
  </si>
  <si>
    <t>AB102259</t>
  </si>
  <si>
    <t>AB102260</t>
  </si>
  <si>
    <t>AB102261</t>
  </si>
  <si>
    <t>AB102262</t>
  </si>
  <si>
    <t>AB102263</t>
  </si>
  <si>
    <t>AB102264</t>
  </si>
  <si>
    <t>AB102265</t>
  </si>
  <si>
    <t>AB102266</t>
  </si>
  <si>
    <t>AB102267</t>
  </si>
  <si>
    <t>AB102268</t>
  </si>
  <si>
    <t>AB102269</t>
  </si>
  <si>
    <t>AB102270</t>
  </si>
  <si>
    <t>AB102271</t>
  </si>
  <si>
    <t>AB102272</t>
  </si>
  <si>
    <t>AB102273</t>
  </si>
  <si>
    <t>AB102274</t>
  </si>
  <si>
    <t>AB102275</t>
  </si>
  <si>
    <t>AB102276</t>
  </si>
  <si>
    <t>AB102277</t>
  </si>
  <si>
    <t>AB102278</t>
  </si>
  <si>
    <t>AB102279</t>
  </si>
  <si>
    <t>AB102280</t>
  </si>
  <si>
    <t>AB102281</t>
  </si>
  <si>
    <t>AB102282</t>
  </si>
  <si>
    <t>AB102283</t>
  </si>
  <si>
    <t>AB102284</t>
  </si>
  <si>
    <t>AB102285</t>
  </si>
  <si>
    <t>AB102286</t>
  </si>
  <si>
    <t>AB102287</t>
  </si>
  <si>
    <t>AB102288</t>
  </si>
  <si>
    <t>AB102289</t>
  </si>
  <si>
    <t>AB102290</t>
  </si>
  <si>
    <t>AB102291</t>
  </si>
  <si>
    <t>AB102292</t>
  </si>
  <si>
    <t>AB102293</t>
  </si>
  <si>
    <t>AB102294</t>
  </si>
  <si>
    <t>AB102295</t>
  </si>
  <si>
    <t>AB102296</t>
  </si>
  <si>
    <t>AB102297</t>
  </si>
  <si>
    <t>AB102298</t>
  </si>
  <si>
    <t>AB102299</t>
  </si>
  <si>
    <t>AB102300</t>
  </si>
  <si>
    <t>AB102301</t>
  </si>
  <si>
    <t>AB102302</t>
  </si>
  <si>
    <t>AB102303</t>
  </si>
  <si>
    <t>AB102304</t>
  </si>
  <si>
    <t>AB102305</t>
  </si>
  <si>
    <t>AB102306</t>
  </si>
  <si>
    <t>AB102307</t>
  </si>
  <si>
    <t>AB102308</t>
  </si>
  <si>
    <t>AB102309</t>
  </si>
  <si>
    <t>AB102310</t>
  </si>
  <si>
    <t>AB102311</t>
  </si>
  <si>
    <t>AB102312</t>
  </si>
  <si>
    <t>AB102313</t>
  </si>
  <si>
    <t>AB102314</t>
  </si>
  <si>
    <t>AB102315</t>
  </si>
  <si>
    <t>AB102316</t>
  </si>
  <si>
    <t>AB102317</t>
  </si>
  <si>
    <t>AB102318</t>
  </si>
  <si>
    <t>AB102319</t>
  </si>
  <si>
    <t>AB102320</t>
  </si>
  <si>
    <t>AB102321</t>
  </si>
  <si>
    <t>AB102322</t>
  </si>
  <si>
    <t>AB102323</t>
  </si>
  <si>
    <t>AB102324</t>
  </si>
  <si>
    <t>AB102325</t>
  </si>
  <si>
    <t>AB102326</t>
  </si>
  <si>
    <t>AB102327</t>
  </si>
  <si>
    <t>AB102328</t>
  </si>
  <si>
    <t>AB102329</t>
  </si>
  <si>
    <t>AB102330</t>
  </si>
  <si>
    <t>AB102331</t>
  </si>
  <si>
    <t>AB102332</t>
  </si>
  <si>
    <t>AB102333</t>
  </si>
  <si>
    <t>AB102334</t>
  </si>
  <si>
    <t>AB102335</t>
  </si>
  <si>
    <t>AB102336</t>
  </si>
  <si>
    <t>AB102337</t>
  </si>
  <si>
    <t>AB102338</t>
  </si>
  <si>
    <t>AB102339</t>
  </si>
  <si>
    <t>AB102340</t>
  </si>
  <si>
    <t>AB102341</t>
  </si>
  <si>
    <t>AB102342</t>
  </si>
  <si>
    <t>AB102343</t>
  </si>
  <si>
    <t>AB102344</t>
  </si>
  <si>
    <t>AB102345</t>
  </si>
  <si>
    <t>AB102346</t>
  </si>
  <si>
    <t>AB102347</t>
  </si>
  <si>
    <t>AB102348</t>
  </si>
  <si>
    <t>AB102349</t>
  </si>
  <si>
    <t>AB102350</t>
  </si>
  <si>
    <t>AB102351</t>
  </si>
  <si>
    <t>AB102352</t>
  </si>
  <si>
    <t>AB102353</t>
  </si>
  <si>
    <t>AB102354</t>
  </si>
  <si>
    <t>AB102355</t>
  </si>
  <si>
    <t>AB102356</t>
  </si>
  <si>
    <t>AB102357</t>
  </si>
  <si>
    <t>AB102358</t>
  </si>
  <si>
    <t>AB102359</t>
  </si>
  <si>
    <t>AB102360</t>
  </si>
  <si>
    <t>AB102361</t>
  </si>
  <si>
    <t>AB102362</t>
  </si>
  <si>
    <t>AB102363</t>
  </si>
  <si>
    <t>AB102364</t>
  </si>
  <si>
    <t>AB102365</t>
  </si>
  <si>
    <t>AB102366</t>
  </si>
  <si>
    <t>AB102367</t>
  </si>
  <si>
    <t>AB102368</t>
  </si>
  <si>
    <t>AB102369</t>
  </si>
  <si>
    <t>AB102370</t>
  </si>
  <si>
    <t>AB102371</t>
  </si>
  <si>
    <t>AB102372</t>
  </si>
  <si>
    <t>AB102373</t>
  </si>
  <si>
    <t>AB102374</t>
  </si>
  <si>
    <t>AB102375</t>
  </si>
  <si>
    <t>AB102376</t>
  </si>
  <si>
    <t>AB102377</t>
  </si>
  <si>
    <t>AB102378</t>
  </si>
  <si>
    <t>AB102379</t>
  </si>
  <si>
    <t>AB102380</t>
  </si>
  <si>
    <t>AB102381</t>
  </si>
  <si>
    <t>AB102382</t>
  </si>
  <si>
    <t>AB102383</t>
  </si>
  <si>
    <t>AB102384</t>
  </si>
  <si>
    <t>AB102385</t>
  </si>
  <si>
    <t>AB102386</t>
  </si>
  <si>
    <t>AB102387</t>
  </si>
  <si>
    <t>AB102388</t>
  </si>
  <si>
    <t>AB102389</t>
  </si>
  <si>
    <t>AB102390</t>
  </si>
  <si>
    <t>AB102391</t>
  </si>
  <si>
    <t>AB102392</t>
  </si>
  <si>
    <t>AB102393</t>
  </si>
  <si>
    <t>AB102394</t>
  </si>
  <si>
    <t>AB102395</t>
  </si>
  <si>
    <t>AB102396</t>
  </si>
  <si>
    <t>AB102397</t>
  </si>
  <si>
    <t>AB102398</t>
  </si>
  <si>
    <t>AB102399</t>
  </si>
  <si>
    <t>AB102400</t>
  </si>
  <si>
    <t>AB102401</t>
  </si>
  <si>
    <t>AB102402</t>
  </si>
  <si>
    <t>AB102403</t>
  </si>
  <si>
    <t>AB102404</t>
  </si>
  <si>
    <t>AB102405</t>
  </si>
  <si>
    <t>AB102406</t>
  </si>
  <si>
    <t>AB102407</t>
  </si>
  <si>
    <t>AB102408</t>
  </si>
  <si>
    <t>AB102409</t>
  </si>
  <si>
    <t>AB102410</t>
  </si>
  <si>
    <t>AB102411</t>
  </si>
  <si>
    <t>AB102412</t>
  </si>
  <si>
    <t>AB102413</t>
  </si>
  <si>
    <t>AB102414</t>
  </si>
  <si>
    <t>AB102415</t>
  </si>
  <si>
    <t>AB102416</t>
  </si>
  <si>
    <t>AB102417</t>
  </si>
  <si>
    <t>AB102418</t>
  </si>
  <si>
    <t>AB102419</t>
  </si>
  <si>
    <t>AB102420</t>
  </si>
  <si>
    <t>AB102421</t>
  </si>
  <si>
    <t>AB102422</t>
  </si>
  <si>
    <t>AB102423</t>
  </si>
  <si>
    <t>AB102424</t>
  </si>
  <si>
    <t>AB102425</t>
  </si>
  <si>
    <t>AB102426</t>
  </si>
  <si>
    <t>AB102427</t>
  </si>
  <si>
    <t>AB102428</t>
  </si>
  <si>
    <t>AB102429</t>
  </si>
  <si>
    <t>AB102430</t>
  </si>
  <si>
    <t>AB102431</t>
  </si>
  <si>
    <t>AB102432</t>
  </si>
  <si>
    <t>AB102433</t>
  </si>
  <si>
    <t>AB102434</t>
  </si>
  <si>
    <t>AB102435</t>
  </si>
  <si>
    <t>AB102436</t>
  </si>
  <si>
    <t>AB102437</t>
  </si>
  <si>
    <t>AB102438</t>
  </si>
  <si>
    <t>AB102439</t>
  </si>
  <si>
    <t>AB102440</t>
  </si>
  <si>
    <t>AB102441</t>
  </si>
  <si>
    <t>AB102442</t>
  </si>
  <si>
    <t>AB102443</t>
  </si>
  <si>
    <t>AB102444</t>
  </si>
  <si>
    <t>AB102445</t>
  </si>
  <si>
    <t>AB102446</t>
  </si>
  <si>
    <t>AB102447</t>
  </si>
  <si>
    <t>AB102448</t>
  </si>
  <si>
    <t>AB102449</t>
  </si>
  <si>
    <t>AB102450</t>
  </si>
  <si>
    <t>AB102451</t>
  </si>
  <si>
    <t>AB102452</t>
  </si>
  <si>
    <t>AB102453</t>
  </si>
  <si>
    <t>AB102454</t>
  </si>
  <si>
    <t>AB102455</t>
  </si>
  <si>
    <t>AB102456</t>
  </si>
  <si>
    <t>AB102457</t>
  </si>
  <si>
    <t>AB102458</t>
  </si>
  <si>
    <t>AB102459</t>
  </si>
  <si>
    <t>AB102460</t>
  </si>
  <si>
    <t>AB102461</t>
  </si>
  <si>
    <t>AB102462</t>
  </si>
  <si>
    <t>AB102463</t>
  </si>
  <si>
    <t>AB102464</t>
  </si>
  <si>
    <t>AB102465</t>
  </si>
  <si>
    <t>AB102466</t>
  </si>
  <si>
    <t>AB102467</t>
  </si>
  <si>
    <t>AB102468</t>
  </si>
  <si>
    <t>AB102469</t>
  </si>
  <si>
    <t>AB102470</t>
  </si>
  <si>
    <t>AB102471</t>
  </si>
  <si>
    <t>AB102472</t>
  </si>
  <si>
    <t>AB102473</t>
  </si>
  <si>
    <t>AB102474</t>
  </si>
  <si>
    <t>AB102475</t>
  </si>
  <si>
    <t>AB102476</t>
  </si>
  <si>
    <t>AB102477</t>
  </si>
  <si>
    <t>AB102478</t>
  </si>
  <si>
    <t>AB102479</t>
  </si>
  <si>
    <t>AB102480</t>
  </si>
  <si>
    <t>AB102481</t>
  </si>
  <si>
    <t>AB102482</t>
  </si>
  <si>
    <t>AB102483</t>
  </si>
  <si>
    <t>AB102484</t>
  </si>
  <si>
    <t>AB102485</t>
  </si>
  <si>
    <t>AB102486</t>
  </si>
  <si>
    <t>AB102487</t>
  </si>
  <si>
    <t>AB102488</t>
  </si>
  <si>
    <t>AB102489</t>
  </si>
  <si>
    <t>AB102490</t>
  </si>
  <si>
    <t>AB102491</t>
  </si>
  <si>
    <t>AB102492</t>
  </si>
  <si>
    <t>AB102493</t>
  </si>
  <si>
    <t>AB102494</t>
  </si>
  <si>
    <t>AB102495</t>
  </si>
  <si>
    <t>AB102496</t>
  </si>
  <si>
    <t>AB102497</t>
  </si>
  <si>
    <t>AB102498</t>
  </si>
  <si>
    <t>AB102499</t>
  </si>
  <si>
    <t>AB102500</t>
  </si>
  <si>
    <t>AB102501</t>
  </si>
  <si>
    <t>AB102502</t>
  </si>
  <si>
    <t>AB102503</t>
  </si>
  <si>
    <t>AB102504</t>
  </si>
  <si>
    <t>AB102505</t>
  </si>
  <si>
    <t>AB102506</t>
  </si>
  <si>
    <t>AB102507</t>
  </si>
  <si>
    <t>AB102508</t>
  </si>
  <si>
    <t>AB102509</t>
  </si>
  <si>
    <t>AB102510</t>
  </si>
  <si>
    <t>AB102511</t>
  </si>
  <si>
    <t>AB102512</t>
  </si>
  <si>
    <t>AB102513</t>
  </si>
  <si>
    <t>AB102514</t>
  </si>
  <si>
    <t>AB102515</t>
  </si>
  <si>
    <t>AB102516</t>
  </si>
  <si>
    <t>AB102517</t>
  </si>
  <si>
    <t>AB102518</t>
  </si>
  <si>
    <t>AB102519</t>
  </si>
  <si>
    <t>AB102520</t>
  </si>
  <si>
    <t>AB102521</t>
  </si>
  <si>
    <t>AB102522</t>
  </si>
  <si>
    <t>AB102523</t>
  </si>
  <si>
    <t>AB102524</t>
  </si>
  <si>
    <t>AB102525</t>
  </si>
  <si>
    <t>AB102526</t>
  </si>
  <si>
    <t>AB102527</t>
  </si>
  <si>
    <t>AB102528</t>
  </si>
  <si>
    <t>AB102529</t>
  </si>
  <si>
    <t>AB102530</t>
  </si>
  <si>
    <t>AB102531</t>
  </si>
  <si>
    <t>AB102532</t>
  </si>
  <si>
    <t>AB102533</t>
  </si>
  <si>
    <t>AB102534</t>
  </si>
  <si>
    <t>AB102535</t>
  </si>
  <si>
    <t>AB102536</t>
  </si>
  <si>
    <t>AB102537</t>
  </si>
  <si>
    <t>AB102538</t>
  </si>
  <si>
    <t>AB102539</t>
  </si>
  <si>
    <t>AB102540</t>
  </si>
  <si>
    <t>AB102541</t>
  </si>
  <si>
    <t>AB102542</t>
  </si>
  <si>
    <t>AB102543</t>
  </si>
  <si>
    <t>AB102544</t>
  </si>
  <si>
    <t>AB102545</t>
  </si>
  <si>
    <t>AB102546</t>
  </si>
  <si>
    <t>AB102547</t>
  </si>
  <si>
    <t>AB102548</t>
  </si>
  <si>
    <t>AB102549</t>
  </si>
  <si>
    <t>AB102550</t>
  </si>
  <si>
    <t>AB102551</t>
  </si>
  <si>
    <t>AB102552</t>
  </si>
  <si>
    <t>AB102553</t>
  </si>
  <si>
    <t>AB102554</t>
  </si>
  <si>
    <t>AB102555</t>
  </si>
  <si>
    <t>AB102556</t>
  </si>
  <si>
    <t>AB102557</t>
  </si>
  <si>
    <t>AB102558</t>
  </si>
  <si>
    <t>AB102559</t>
  </si>
  <si>
    <t>AB102560</t>
  </si>
  <si>
    <t>AB102561</t>
  </si>
  <si>
    <t>AB102562</t>
  </si>
  <si>
    <t>AB102563</t>
  </si>
  <si>
    <t>AB102564</t>
  </si>
  <si>
    <t>AB102565</t>
  </si>
  <si>
    <t>AB102566</t>
  </si>
  <si>
    <t>AB102567</t>
  </si>
  <si>
    <t>AB102568</t>
  </si>
  <si>
    <t>AB102569</t>
  </si>
  <si>
    <t>AB102570</t>
  </si>
  <si>
    <t>AB102571</t>
  </si>
  <si>
    <t>AB102572</t>
  </si>
  <si>
    <t>AB102573</t>
  </si>
  <si>
    <t>AB102574</t>
  </si>
  <si>
    <t>AB102575</t>
  </si>
  <si>
    <t>AB102576</t>
  </si>
  <si>
    <t>AB102577</t>
  </si>
  <si>
    <t>AB102578</t>
  </si>
  <si>
    <t>AB102579</t>
  </si>
  <si>
    <t>AB102580</t>
  </si>
  <si>
    <t>AB102581</t>
  </si>
  <si>
    <t>AB102582</t>
  </si>
  <si>
    <t>AB102583</t>
  </si>
  <si>
    <t>AB102584</t>
  </si>
  <si>
    <t>AB102585</t>
  </si>
  <si>
    <t>AB102586</t>
  </si>
  <si>
    <t>AB102587</t>
  </si>
  <si>
    <t>AB102588</t>
  </si>
  <si>
    <t>AB102589</t>
  </si>
  <si>
    <t>AB102590</t>
  </si>
  <si>
    <t>AB102591</t>
  </si>
  <si>
    <t>AB102592</t>
  </si>
  <si>
    <t>AB102593</t>
  </si>
  <si>
    <t>AB102594</t>
  </si>
  <si>
    <t>AB102595</t>
  </si>
  <si>
    <t>AB102596</t>
  </si>
  <si>
    <t>AB102597</t>
  </si>
  <si>
    <t>AB102598</t>
  </si>
  <si>
    <t>AB102599</t>
  </si>
  <si>
    <t>AB102600</t>
  </si>
  <si>
    <t>AB102601</t>
  </si>
  <si>
    <t>AB102602</t>
  </si>
  <si>
    <t>AB102603</t>
  </si>
  <si>
    <t>AB102604</t>
  </si>
  <si>
    <t>AB102605</t>
  </si>
  <si>
    <t>AB102606</t>
  </si>
  <si>
    <t>AB102607</t>
  </si>
  <si>
    <t>AB102608</t>
  </si>
  <si>
    <t>AB102609</t>
  </si>
  <si>
    <t>AB102610</t>
  </si>
  <si>
    <t>AB102611</t>
  </si>
  <si>
    <t>AB102612</t>
  </si>
  <si>
    <t>AB102613</t>
  </si>
  <si>
    <t>AB102614</t>
  </si>
  <si>
    <t>AB102615</t>
  </si>
  <si>
    <t>AB102616</t>
  </si>
  <si>
    <t>AB102617</t>
  </si>
  <si>
    <t>AB102618</t>
  </si>
  <si>
    <t>AB102619</t>
  </si>
  <si>
    <t>AB102620</t>
  </si>
  <si>
    <t>AB102621</t>
  </si>
  <si>
    <t>AB102622</t>
  </si>
  <si>
    <t>AB102623</t>
  </si>
  <si>
    <t>AB102624</t>
  </si>
  <si>
    <t>AB102625</t>
  </si>
  <si>
    <t>AB102626</t>
  </si>
  <si>
    <t>AB102627</t>
  </si>
  <si>
    <t>AB102628</t>
  </si>
  <si>
    <t>AB102629</t>
  </si>
  <si>
    <t>AB102630</t>
  </si>
  <si>
    <t>AB102631</t>
  </si>
  <si>
    <t>AB102632</t>
  </si>
  <si>
    <t>AB102633</t>
  </si>
  <si>
    <t>AB102634</t>
  </si>
  <si>
    <t>AB102635</t>
  </si>
  <si>
    <t>AB102636</t>
  </si>
  <si>
    <t>AB102637</t>
  </si>
  <si>
    <t>AB102638</t>
  </si>
  <si>
    <t>AB102639</t>
  </si>
  <si>
    <t>AB102640</t>
  </si>
  <si>
    <t>AB102641</t>
  </si>
  <si>
    <t>AB102642</t>
  </si>
  <si>
    <t>AB102643</t>
  </si>
  <si>
    <t>AB102644</t>
  </si>
  <si>
    <t>AB102645</t>
  </si>
  <si>
    <t>AB102646</t>
  </si>
  <si>
    <t>AB102647</t>
  </si>
  <si>
    <t>AB102648</t>
  </si>
  <si>
    <t>AB102649</t>
  </si>
  <si>
    <t>AB102650</t>
  </si>
  <si>
    <t>AB102651</t>
  </si>
  <si>
    <t>AB102652</t>
  </si>
  <si>
    <t>AB102653</t>
  </si>
  <si>
    <t>AB102654</t>
  </si>
  <si>
    <t>AB102655</t>
  </si>
  <si>
    <t>AB102656</t>
  </si>
  <si>
    <t>AB102657</t>
  </si>
  <si>
    <t>AB102658</t>
  </si>
  <si>
    <t>AB102659</t>
  </si>
  <si>
    <t>AB102660</t>
  </si>
  <si>
    <t>AB102661</t>
  </si>
  <si>
    <t>AB102662</t>
  </si>
  <si>
    <t>AB102663</t>
  </si>
  <si>
    <t>AB102664</t>
  </si>
  <si>
    <t>AB102665</t>
  </si>
  <si>
    <t>AB102666</t>
  </si>
  <si>
    <t>AB102667</t>
  </si>
  <si>
    <t>AB102668</t>
  </si>
  <si>
    <t>AB102669</t>
  </si>
  <si>
    <t>AB102670</t>
  </si>
  <si>
    <t>AB102671</t>
  </si>
  <si>
    <t>AB102672</t>
  </si>
  <si>
    <t>AB102673</t>
  </si>
  <si>
    <t>AB102674</t>
  </si>
  <si>
    <t>AB102675</t>
  </si>
  <si>
    <t>AB102676</t>
  </si>
  <si>
    <t>AB102677</t>
  </si>
  <si>
    <t>AB102678</t>
  </si>
  <si>
    <t>AB102679</t>
  </si>
  <si>
    <t>AB102680</t>
  </si>
  <si>
    <t>AB102681</t>
  </si>
  <si>
    <t>AB102682</t>
  </si>
  <si>
    <t>AB102683</t>
  </si>
  <si>
    <t>AB102684</t>
  </si>
  <si>
    <t>AB102685</t>
  </si>
  <si>
    <t>AB102686</t>
  </si>
  <si>
    <t>AB102687</t>
  </si>
  <si>
    <t>AB102688</t>
  </si>
  <si>
    <t>AB102689</t>
  </si>
  <si>
    <t>AB102690</t>
  </si>
  <si>
    <t>AB102691</t>
  </si>
  <si>
    <t>AB102692</t>
  </si>
  <si>
    <t>AB102693</t>
  </si>
  <si>
    <t>AB102694</t>
  </si>
  <si>
    <t>AB102695</t>
  </si>
  <si>
    <t>AB102696</t>
  </si>
  <si>
    <t>AB102697</t>
  </si>
  <si>
    <t>AB102698</t>
  </si>
  <si>
    <t>AB102699</t>
  </si>
  <si>
    <t>AB102700</t>
  </si>
  <si>
    <t>AB102701</t>
  </si>
  <si>
    <t>AB102702</t>
  </si>
  <si>
    <t>AB102703</t>
  </si>
  <si>
    <t>AB102704</t>
  </si>
  <si>
    <t>AB102705</t>
  </si>
  <si>
    <t>AB102706</t>
  </si>
  <si>
    <t>AB102707</t>
  </si>
  <si>
    <t>AB102708</t>
  </si>
  <si>
    <t>AB102709</t>
  </si>
  <si>
    <t>AB102710</t>
  </si>
  <si>
    <t>AB102711</t>
  </si>
  <si>
    <t>AB102712</t>
  </si>
  <si>
    <t>AB102713</t>
  </si>
  <si>
    <t>AB102714</t>
  </si>
  <si>
    <t>AB102715</t>
  </si>
  <si>
    <t>AB102716</t>
  </si>
  <si>
    <t>AB102717</t>
  </si>
  <si>
    <t>AB102718</t>
  </si>
  <si>
    <t>AB102719</t>
  </si>
  <si>
    <t>AB102720</t>
  </si>
  <si>
    <t>AB102721</t>
  </si>
  <si>
    <t>AB102722</t>
  </si>
  <si>
    <t>AB102723</t>
  </si>
  <si>
    <t>AB102724</t>
  </si>
  <si>
    <t>AB102725</t>
  </si>
  <si>
    <t>AB102726</t>
  </si>
  <si>
    <t>AB102727</t>
  </si>
  <si>
    <t>AB102728</t>
  </si>
  <si>
    <t>AB102729</t>
  </si>
  <si>
    <t>AB102730</t>
  </si>
  <si>
    <t>AB102731</t>
  </si>
  <si>
    <t>AB102732</t>
  </si>
  <si>
    <t>AB102733</t>
  </si>
  <si>
    <t>AB102734</t>
  </si>
  <si>
    <t>AB102735</t>
  </si>
  <si>
    <t>AB102736</t>
  </si>
  <si>
    <t>AB102737</t>
  </si>
  <si>
    <t>AB102738</t>
  </si>
  <si>
    <t>AB102739</t>
  </si>
  <si>
    <t>AB102740</t>
  </si>
  <si>
    <t>AB102741</t>
  </si>
  <si>
    <t>AB102742</t>
  </si>
  <si>
    <t>AB102743</t>
  </si>
  <si>
    <t>AB102744</t>
  </si>
  <si>
    <t>AB102745</t>
  </si>
  <si>
    <t>AB102746</t>
  </si>
  <si>
    <t>AB102747</t>
  </si>
  <si>
    <t>AB102748</t>
  </si>
  <si>
    <t>AB102749</t>
  </si>
  <si>
    <t>AB102750</t>
  </si>
  <si>
    <t>AB102751</t>
  </si>
  <si>
    <t>AB102752</t>
  </si>
  <si>
    <t>AB102753</t>
  </si>
  <si>
    <t>AB102754</t>
  </si>
  <si>
    <t>AB102755</t>
  </si>
  <si>
    <t>AB102756</t>
  </si>
  <si>
    <t>AB102757</t>
  </si>
  <si>
    <t>AB102758</t>
  </si>
  <si>
    <t>AB102759</t>
  </si>
  <si>
    <t>AB102760</t>
  </si>
  <si>
    <t>AB102761</t>
  </si>
  <si>
    <t>AB102762</t>
  </si>
  <si>
    <t>AB102763</t>
  </si>
  <si>
    <t>AB102764</t>
  </si>
  <si>
    <t>AB102765</t>
  </si>
  <si>
    <t>AB102766</t>
  </si>
  <si>
    <t>AB102767</t>
  </si>
  <si>
    <t>AB102768</t>
  </si>
  <si>
    <t>AB102769</t>
  </si>
  <si>
    <t>AB102770</t>
  </si>
  <si>
    <t>AB102771</t>
  </si>
  <si>
    <t>AB102772</t>
  </si>
  <si>
    <t>AB102773</t>
  </si>
  <si>
    <t>AB102774</t>
  </si>
  <si>
    <t>AB102775</t>
  </si>
  <si>
    <t>AB102776</t>
  </si>
  <si>
    <t>AB102777</t>
  </si>
  <si>
    <t>AB102778</t>
  </si>
  <si>
    <t>AB102779</t>
  </si>
  <si>
    <t>AB102780</t>
  </si>
  <si>
    <t>AB102781</t>
  </si>
  <si>
    <t>AB102782</t>
  </si>
  <si>
    <t>AB102783</t>
  </si>
  <si>
    <t>AB102784</t>
  </si>
  <si>
    <t>AB102785</t>
  </si>
  <si>
    <t>AB102786</t>
  </si>
  <si>
    <t>AB102787</t>
  </si>
  <si>
    <t>AB102788</t>
  </si>
  <si>
    <t>AB102789</t>
  </si>
  <si>
    <t>AB102790</t>
  </si>
  <si>
    <t>AB102791</t>
  </si>
  <si>
    <t>AB102792</t>
  </si>
  <si>
    <t>AB102793</t>
  </si>
  <si>
    <t>AB102794</t>
  </si>
  <si>
    <t>AB102795</t>
  </si>
  <si>
    <t>AB102796</t>
  </si>
  <si>
    <t>AB102797</t>
  </si>
  <si>
    <t>AB102798</t>
  </si>
  <si>
    <t>AB102799</t>
  </si>
  <si>
    <t>AB102800</t>
  </si>
  <si>
    <t>AB102801</t>
  </si>
  <si>
    <t>AB102802</t>
  </si>
  <si>
    <t>AB102803</t>
  </si>
  <si>
    <t>AB102804</t>
  </si>
  <si>
    <t>AB102805</t>
  </si>
  <si>
    <t>AB102806</t>
  </si>
  <si>
    <t>AB102807</t>
  </si>
  <si>
    <t>AB102808</t>
  </si>
  <si>
    <t>AB102809</t>
  </si>
  <si>
    <t>AB102810</t>
  </si>
  <si>
    <t>AB102811</t>
  </si>
  <si>
    <t>AB102812</t>
  </si>
  <si>
    <t>AB102813</t>
  </si>
  <si>
    <t>AB102814</t>
  </si>
  <si>
    <t>AB102815</t>
  </si>
  <si>
    <t>AB102816</t>
  </si>
  <si>
    <t>AB102817</t>
  </si>
  <si>
    <t>AB102818</t>
  </si>
  <si>
    <t>AB102819</t>
  </si>
  <si>
    <t>AB102820</t>
  </si>
  <si>
    <t>AB102821</t>
  </si>
  <si>
    <t>AB102822</t>
  </si>
  <si>
    <t>AB102823</t>
  </si>
  <si>
    <t>AB102824</t>
  </si>
  <si>
    <t>AB102825</t>
  </si>
  <si>
    <t>AB102826</t>
  </si>
  <si>
    <t>AB102827</t>
  </si>
  <si>
    <t>AB102828</t>
  </si>
  <si>
    <t>AB102829</t>
  </si>
  <si>
    <t>AB102830</t>
  </si>
  <si>
    <t>AB102831</t>
  </si>
  <si>
    <t>AB102832</t>
  </si>
  <si>
    <t>AB102833</t>
  </si>
  <si>
    <t>AB102834</t>
  </si>
  <si>
    <t>AB102835</t>
  </si>
  <si>
    <t>AB102836</t>
  </si>
  <si>
    <t>AB102837</t>
  </si>
  <si>
    <t>AB102838</t>
  </si>
  <si>
    <t>AB102839</t>
  </si>
  <si>
    <t>AB102840</t>
  </si>
  <si>
    <t>AB102841</t>
  </si>
  <si>
    <t>AB102842</t>
  </si>
  <si>
    <t>AB102843</t>
  </si>
  <si>
    <t>AB102844</t>
  </si>
  <si>
    <t>AB102845</t>
  </si>
  <si>
    <t>AB102846</t>
  </si>
  <si>
    <t>AB102847</t>
  </si>
  <si>
    <t>AB102848</t>
  </si>
  <si>
    <t>AB102849</t>
  </si>
  <si>
    <t>AB102850</t>
  </si>
  <si>
    <t>AB102851</t>
  </si>
  <si>
    <t>AB102852</t>
  </si>
  <si>
    <t>AB102853</t>
  </si>
  <si>
    <t>AB102854</t>
  </si>
  <si>
    <t>AB102855</t>
  </si>
  <si>
    <t>AB102856</t>
  </si>
  <si>
    <t>AB102857</t>
  </si>
  <si>
    <t>AB102858</t>
  </si>
  <si>
    <t>AB102859</t>
  </si>
  <si>
    <t>AB102860</t>
  </si>
  <si>
    <t>AB102861</t>
  </si>
  <si>
    <t>AB102862</t>
  </si>
  <si>
    <t>AB102863</t>
  </si>
  <si>
    <t>AB102864</t>
  </si>
  <si>
    <t>AB102865</t>
  </si>
  <si>
    <t>AB102866</t>
  </si>
  <si>
    <t>AB102867</t>
  </si>
  <si>
    <t>AB102868</t>
  </si>
  <si>
    <t>AB102869</t>
  </si>
  <si>
    <t>AB102870</t>
  </si>
  <si>
    <t>AB102871</t>
  </si>
  <si>
    <t>AB102872</t>
  </si>
  <si>
    <t>AB102873</t>
  </si>
  <si>
    <t>AB102874</t>
  </si>
  <si>
    <t>AB102875</t>
  </si>
  <si>
    <t>AB102876</t>
  </si>
  <si>
    <t>AB102877</t>
  </si>
  <si>
    <t>AB102878</t>
  </si>
  <si>
    <t>AB102879</t>
  </si>
  <si>
    <t>AB102880</t>
  </si>
  <si>
    <t>AB102881</t>
  </si>
  <si>
    <t>AB102882</t>
  </si>
  <si>
    <t>AB102883</t>
  </si>
  <si>
    <t>AB102884</t>
  </si>
  <si>
    <t>AB102885</t>
  </si>
  <si>
    <t>AB102886</t>
  </si>
  <si>
    <t>AB102887</t>
  </si>
  <si>
    <t>AB102888</t>
  </si>
  <si>
    <t>AB102889</t>
  </si>
  <si>
    <t>AB102890</t>
  </si>
  <si>
    <t>AB102891</t>
  </si>
  <si>
    <t>AB102892</t>
  </si>
  <si>
    <t>AB102893</t>
  </si>
  <si>
    <t>AB102894</t>
  </si>
  <si>
    <t>AB102895</t>
  </si>
  <si>
    <t>AB102896</t>
  </si>
  <si>
    <t>AB102897</t>
  </si>
  <si>
    <t>AB102898</t>
  </si>
  <si>
    <t>AB102899</t>
  </si>
  <si>
    <t>AB102900</t>
  </si>
  <si>
    <t>AB102901</t>
  </si>
  <si>
    <t>AB102902</t>
  </si>
  <si>
    <t>AB102903</t>
  </si>
  <si>
    <t>AB102904</t>
  </si>
  <si>
    <t>AB102905</t>
  </si>
  <si>
    <t>AB102906</t>
  </si>
  <si>
    <t>AB102907</t>
  </si>
  <si>
    <t>AB102908</t>
  </si>
  <si>
    <t>AB102909</t>
  </si>
  <si>
    <t>AB102910</t>
  </si>
  <si>
    <t>AB102911</t>
  </si>
  <si>
    <t>AB102912</t>
  </si>
  <si>
    <t>AB102913</t>
  </si>
  <si>
    <t>AB102914</t>
  </si>
  <si>
    <t>AB102915</t>
  </si>
  <si>
    <t>AB102916</t>
  </si>
  <si>
    <t>AB102917</t>
  </si>
  <si>
    <t>AB102918</t>
  </si>
  <si>
    <t>AB102919</t>
  </si>
  <si>
    <t>AB102920</t>
  </si>
  <si>
    <t>AB102921</t>
  </si>
  <si>
    <t>AB102922</t>
  </si>
  <si>
    <t>AB102923</t>
  </si>
  <si>
    <t>AB102924</t>
  </si>
  <si>
    <t>AB102925</t>
  </si>
  <si>
    <t>AB102926</t>
  </si>
  <si>
    <t>AB102927</t>
  </si>
  <si>
    <t>AB102928</t>
  </si>
  <si>
    <t>AB102929</t>
  </si>
  <si>
    <t>AB102930</t>
  </si>
  <si>
    <t>AB102931</t>
  </si>
  <si>
    <t>AB102932</t>
  </si>
  <si>
    <t>AB102933</t>
  </si>
  <si>
    <t>AB102934</t>
  </si>
  <si>
    <t>AB102935</t>
  </si>
  <si>
    <t>AB102936</t>
  </si>
  <si>
    <t>AB102937</t>
  </si>
  <si>
    <t>AB102938</t>
  </si>
  <si>
    <t>AB102939</t>
  </si>
  <si>
    <t>AB102940</t>
  </si>
  <si>
    <t>AB102941</t>
  </si>
  <si>
    <t>AB102942</t>
  </si>
  <si>
    <t>AB102943</t>
  </si>
  <si>
    <t>AB102944</t>
  </si>
  <si>
    <t>AB102945</t>
  </si>
  <si>
    <t>AB102946</t>
  </si>
  <si>
    <t>AB102947</t>
  </si>
  <si>
    <t>AB102948</t>
  </si>
  <si>
    <t>AB102949</t>
  </si>
  <si>
    <t>AB102950</t>
  </si>
  <si>
    <t>AB102951</t>
  </si>
  <si>
    <t>AB102952</t>
  </si>
  <si>
    <t>AB102953</t>
  </si>
  <si>
    <t>AB102954</t>
  </si>
  <si>
    <t>AB102955</t>
  </si>
  <si>
    <t>AB102956</t>
  </si>
  <si>
    <t>AB102957</t>
  </si>
  <si>
    <t>AB102958</t>
  </si>
  <si>
    <t>AB102959</t>
  </si>
  <si>
    <t>AB102960</t>
  </si>
  <si>
    <t>AB102961</t>
  </si>
  <si>
    <t>AB102962</t>
  </si>
  <si>
    <t>AB102963</t>
  </si>
  <si>
    <t>AB102964</t>
  </si>
  <si>
    <t>AB102965</t>
  </si>
  <si>
    <t>AB102966</t>
  </si>
  <si>
    <t>AB102967</t>
  </si>
  <si>
    <t>AB102968</t>
  </si>
  <si>
    <t>AB102969</t>
  </si>
  <si>
    <t>AB102970</t>
  </si>
  <si>
    <t>AB102971</t>
  </si>
  <si>
    <t>AB102972</t>
  </si>
  <si>
    <t>AB102973</t>
  </si>
  <si>
    <t>AB102974</t>
  </si>
  <si>
    <t>AB102975</t>
  </si>
  <si>
    <t>AB102976</t>
  </si>
  <si>
    <t>AB102977</t>
  </si>
  <si>
    <t>AB102978</t>
  </si>
  <si>
    <t>AB102979</t>
  </si>
  <si>
    <t>AB102980</t>
  </si>
  <si>
    <t>AB102981</t>
  </si>
  <si>
    <t>AB102982</t>
  </si>
  <si>
    <t>AB102983</t>
  </si>
  <si>
    <t>AB102984</t>
  </si>
  <si>
    <t>AB102985</t>
  </si>
  <si>
    <t>AB102986</t>
  </si>
  <si>
    <t>AB102987</t>
  </si>
  <si>
    <t>AB102988</t>
  </si>
  <si>
    <t>AB102989</t>
  </si>
  <si>
    <t>AB102990</t>
  </si>
  <si>
    <t>AB102991</t>
  </si>
  <si>
    <t>AB102992</t>
  </si>
  <si>
    <t>AB102993</t>
  </si>
  <si>
    <t>AB102994</t>
  </si>
  <si>
    <t>AB102995</t>
  </si>
  <si>
    <t>AB102996</t>
  </si>
  <si>
    <t>AB102997</t>
  </si>
  <si>
    <t>AB102998</t>
  </si>
  <si>
    <t>AB102999</t>
  </si>
  <si>
    <t>AB103000</t>
  </si>
  <si>
    <t>AB103001</t>
  </si>
  <si>
    <t>AB103002</t>
  </si>
  <si>
    <t>AB103003</t>
  </si>
  <si>
    <t>AB103004</t>
  </si>
  <si>
    <t>AB103005</t>
  </si>
  <si>
    <t>AB103006</t>
  </si>
  <si>
    <t>AB103007</t>
  </si>
  <si>
    <t>AB103008</t>
  </si>
  <si>
    <t>AB103009</t>
  </si>
  <si>
    <t>AB103010</t>
  </si>
  <si>
    <t>AB103011</t>
  </si>
  <si>
    <t>AB103012</t>
  </si>
  <si>
    <t>AB103013</t>
  </si>
  <si>
    <t>AB103014</t>
  </si>
  <si>
    <t>AB103015</t>
  </si>
  <si>
    <t>AB103016</t>
  </si>
  <si>
    <t>AB103017</t>
  </si>
  <si>
    <t>AB103018</t>
  </si>
  <si>
    <t>AB103019</t>
  </si>
  <si>
    <t>AB103020</t>
  </si>
  <si>
    <t>AB103021</t>
  </si>
  <si>
    <t>AB103022</t>
  </si>
  <si>
    <t>AB103023</t>
  </si>
  <si>
    <t>AB103024</t>
  </si>
  <si>
    <t>AB103025</t>
  </si>
  <si>
    <t>AB103026</t>
  </si>
  <si>
    <t>AB103027</t>
  </si>
  <si>
    <t>AB103028</t>
  </si>
  <si>
    <t>AB103029</t>
  </si>
  <si>
    <t>AB103030</t>
  </si>
  <si>
    <t>AB103031</t>
  </si>
  <si>
    <t>AB103032</t>
  </si>
  <si>
    <t>AB103033</t>
  </si>
  <si>
    <t>AB103034</t>
  </si>
  <si>
    <t>AB103035</t>
  </si>
  <si>
    <t>AB103036</t>
  </si>
  <si>
    <t>AB103037</t>
  </si>
  <si>
    <t>AB103038</t>
  </si>
  <si>
    <t>AB103039</t>
  </si>
  <si>
    <t>AB103040</t>
  </si>
  <si>
    <t>AB103041</t>
  </si>
  <si>
    <t>AB103042</t>
  </si>
  <si>
    <t>AB103043</t>
  </si>
  <si>
    <t>AB103044</t>
  </si>
  <si>
    <t>AB103045</t>
  </si>
  <si>
    <t>AB103046</t>
  </si>
  <si>
    <t>AB103047</t>
  </si>
  <si>
    <t>AB103048</t>
  </si>
  <si>
    <t>AB103049</t>
  </si>
  <si>
    <t>AB103050</t>
  </si>
  <si>
    <t>AB103051</t>
  </si>
  <si>
    <t>AB103052</t>
  </si>
  <si>
    <t>AB103053</t>
  </si>
  <si>
    <t>AB103054</t>
  </si>
  <si>
    <t>AB103055</t>
  </si>
  <si>
    <t>AB103056</t>
  </si>
  <si>
    <t>AB103057</t>
  </si>
  <si>
    <t>AB103058</t>
  </si>
  <si>
    <t>AB103059</t>
  </si>
  <si>
    <t>AB103060</t>
  </si>
  <si>
    <t>AB103061</t>
  </si>
  <si>
    <t>AB103062</t>
  </si>
  <si>
    <t>AB103063</t>
  </si>
  <si>
    <t>AB103064</t>
  </si>
  <si>
    <t>AB103065</t>
  </si>
  <si>
    <t>AB103066</t>
  </si>
  <si>
    <t>AB103067</t>
  </si>
  <si>
    <t>AB103068</t>
  </si>
  <si>
    <t>AB103069</t>
  </si>
  <si>
    <t>AB103070</t>
  </si>
  <si>
    <t>AB103071</t>
  </si>
  <si>
    <t>AB103072</t>
  </si>
  <si>
    <t>AB103073</t>
  </si>
  <si>
    <t>AB103074</t>
  </si>
  <si>
    <t>AB103075</t>
  </si>
  <si>
    <t>AB103076</t>
  </si>
  <si>
    <t>AB103077</t>
  </si>
  <si>
    <t>AB103078</t>
  </si>
  <si>
    <t>AB103079</t>
  </si>
  <si>
    <t>AB103080</t>
  </si>
  <si>
    <t>AB103081</t>
  </si>
  <si>
    <t>AB103082</t>
  </si>
  <si>
    <t>AB103083</t>
  </si>
  <si>
    <t>AB103084</t>
  </si>
  <si>
    <t>AB103085</t>
  </si>
  <si>
    <t>AB103086</t>
  </si>
  <si>
    <t>AB103087</t>
  </si>
  <si>
    <t>AB103088</t>
  </si>
  <si>
    <t>AB103089</t>
  </si>
  <si>
    <t>AB103090</t>
  </si>
  <si>
    <t>AB103091</t>
  </si>
  <si>
    <t>AB103092</t>
  </si>
  <si>
    <t>AB103093</t>
  </si>
  <si>
    <t>AB103094</t>
  </si>
  <si>
    <t>AB103095</t>
  </si>
  <si>
    <t>AB103096</t>
  </si>
  <si>
    <t>AB103097</t>
  </si>
  <si>
    <t>AB103098</t>
  </si>
  <si>
    <t>AB103099</t>
  </si>
  <si>
    <t>AB103100</t>
  </si>
  <si>
    <t>AB103101</t>
  </si>
  <si>
    <t>AB103102</t>
  </si>
  <si>
    <t>AB103103</t>
  </si>
  <si>
    <t>AB103104</t>
  </si>
  <si>
    <t>AB103105</t>
  </si>
  <si>
    <t>AB103106</t>
  </si>
  <si>
    <t>AB103107</t>
  </si>
  <si>
    <t>AB103108</t>
  </si>
  <si>
    <t>AB103109</t>
  </si>
  <si>
    <t>AB103110</t>
  </si>
  <si>
    <t>AB103111</t>
  </si>
  <si>
    <t>AB103112</t>
  </si>
  <si>
    <t>AB103113</t>
  </si>
  <si>
    <t>AB103114</t>
  </si>
  <si>
    <t>AB103115</t>
  </si>
  <si>
    <t>AB103116</t>
  </si>
  <si>
    <t>AB103117</t>
  </si>
  <si>
    <t>AB103118</t>
  </si>
  <si>
    <t>AB103119</t>
  </si>
  <si>
    <t>AB103120</t>
  </si>
  <si>
    <t>AB103121</t>
  </si>
  <si>
    <t>AB103122</t>
  </si>
  <si>
    <t>AB103123</t>
  </si>
  <si>
    <t>AB103124</t>
  </si>
  <si>
    <t>AB103125</t>
  </si>
  <si>
    <t>AB103126</t>
  </si>
  <si>
    <t>AB103127</t>
  </si>
  <si>
    <t>AB103128</t>
  </si>
  <si>
    <t>AB103129</t>
  </si>
  <si>
    <t>AB103130</t>
  </si>
  <si>
    <t>AB103131</t>
  </si>
  <si>
    <t>AB103132</t>
  </si>
  <si>
    <t>AB103133</t>
  </si>
  <si>
    <t>AB103134</t>
  </si>
  <si>
    <t>AB103135</t>
  </si>
  <si>
    <t>AB103136</t>
  </si>
  <si>
    <t>AB103137</t>
  </si>
  <si>
    <t>AB103138</t>
  </si>
  <si>
    <t>AB103139</t>
  </si>
  <si>
    <t>AB103140</t>
  </si>
  <si>
    <t>AB103141</t>
  </si>
  <si>
    <t>AB103142</t>
  </si>
  <si>
    <t>AB103143</t>
  </si>
  <si>
    <t>AB103144</t>
  </si>
  <si>
    <t>AB103145</t>
  </si>
  <si>
    <t>AB103146</t>
  </si>
  <si>
    <t>AB103147</t>
  </si>
  <si>
    <t>AB103148</t>
  </si>
  <si>
    <t>AB103149</t>
  </si>
  <si>
    <t>AB103150</t>
  </si>
  <si>
    <t>AB103151</t>
  </si>
  <si>
    <t>AB103152</t>
  </si>
  <si>
    <t>AB103153</t>
  </si>
  <si>
    <t>AB103154</t>
  </si>
  <si>
    <t>AB103155</t>
  </si>
  <si>
    <t>AB103156</t>
  </si>
  <si>
    <t>AB103157</t>
  </si>
  <si>
    <t>AB103158</t>
  </si>
  <si>
    <t>AB103159</t>
  </si>
  <si>
    <t>AB103160</t>
  </si>
  <si>
    <t>AB103161</t>
  </si>
  <si>
    <t>AB103162</t>
  </si>
  <si>
    <t>AB103163</t>
  </si>
  <si>
    <t>AB103164</t>
  </si>
  <si>
    <t>AB103165</t>
  </si>
  <si>
    <t>AB103166</t>
  </si>
  <si>
    <t>AB103167</t>
  </si>
  <si>
    <t>AB103168</t>
  </si>
  <si>
    <t>AB103169</t>
  </si>
  <si>
    <t>AB103170</t>
  </si>
  <si>
    <t>AB103171</t>
  </si>
  <si>
    <t>AB103172</t>
  </si>
  <si>
    <t>AB103173</t>
  </si>
  <si>
    <t>AB103174</t>
  </si>
  <si>
    <t>AB103175</t>
  </si>
  <si>
    <t>AB103176</t>
  </si>
  <si>
    <t>AB103177</t>
  </si>
  <si>
    <t>AB103178</t>
  </si>
  <si>
    <t>AB103179</t>
  </si>
  <si>
    <t>AB103180</t>
  </si>
  <si>
    <t>AB103181</t>
  </si>
  <si>
    <t>AB103182</t>
  </si>
  <si>
    <t>AB103183</t>
  </si>
  <si>
    <t>AB103184</t>
  </si>
  <si>
    <t>AB103185</t>
  </si>
  <si>
    <t>AB103186</t>
  </si>
  <si>
    <t>AB103187</t>
  </si>
  <si>
    <t>AB103188</t>
  </si>
  <si>
    <t>AB103189</t>
  </si>
  <si>
    <t>AB103190</t>
  </si>
  <si>
    <t>AB103191</t>
  </si>
  <si>
    <t>AB103192</t>
  </si>
  <si>
    <t>AB103193</t>
  </si>
  <si>
    <t>AB103194</t>
  </si>
  <si>
    <t>AB103195</t>
  </si>
  <si>
    <t>AB103196</t>
  </si>
  <si>
    <t>AB103197</t>
  </si>
  <si>
    <t>AB103198</t>
  </si>
  <si>
    <t>AB103199</t>
  </si>
  <si>
    <t>AB103200</t>
  </si>
  <si>
    <t>AB103201</t>
  </si>
  <si>
    <t>AB103202</t>
  </si>
  <si>
    <t>AB103203</t>
  </si>
  <si>
    <t>AB103204</t>
  </si>
  <si>
    <t>AB103205</t>
  </si>
  <si>
    <t>AB103206</t>
  </si>
  <si>
    <t>AB103207</t>
  </si>
  <si>
    <t>AB103208</t>
  </si>
  <si>
    <t>AB103209</t>
  </si>
  <si>
    <t>AB103210</t>
  </si>
  <si>
    <t>AB103211</t>
  </si>
  <si>
    <t>AB103212</t>
  </si>
  <si>
    <t>AB103213</t>
  </si>
  <si>
    <t>AB103214</t>
  </si>
  <si>
    <t>AB103215</t>
  </si>
  <si>
    <t>AB103216</t>
  </si>
  <si>
    <t>AB103217</t>
  </si>
  <si>
    <t>AB103218</t>
  </si>
  <si>
    <t>AB103219</t>
  </si>
  <si>
    <t>AB103220</t>
  </si>
  <si>
    <t>AB103221</t>
  </si>
  <si>
    <t>AB103222</t>
  </si>
  <si>
    <t>AB103223</t>
  </si>
  <si>
    <t>AB103224</t>
  </si>
  <si>
    <t>AB103225</t>
  </si>
  <si>
    <t>AB103226</t>
  </si>
  <si>
    <t>AB103227</t>
  </si>
  <si>
    <t>AB103228</t>
  </si>
  <si>
    <t>AB103229</t>
  </si>
  <si>
    <t>AB103230</t>
  </si>
  <si>
    <t>AB103231</t>
  </si>
  <si>
    <t>AB103232</t>
  </si>
  <si>
    <t>AB103233</t>
  </si>
  <si>
    <t>AB103234</t>
  </si>
  <si>
    <t>AB103235</t>
  </si>
  <si>
    <t>AB103236</t>
  </si>
  <si>
    <t>AB103237</t>
  </si>
  <si>
    <t>AB103238</t>
  </si>
  <si>
    <t>AB103239</t>
  </si>
  <si>
    <t>AB103240</t>
  </si>
  <si>
    <t>AB103241</t>
  </si>
  <si>
    <t>AB103242</t>
  </si>
  <si>
    <t>AB103243</t>
  </si>
  <si>
    <t>AB103244</t>
  </si>
  <si>
    <t>AB103245</t>
  </si>
  <si>
    <t>AB103246</t>
  </si>
  <si>
    <t>AB103247</t>
  </si>
  <si>
    <t>AB103248</t>
  </si>
  <si>
    <t>AB103249</t>
  </si>
  <si>
    <t>AB103250</t>
  </si>
  <si>
    <t>AB103251</t>
  </si>
  <si>
    <t>AB103252</t>
  </si>
  <si>
    <t>AB103253</t>
  </si>
  <si>
    <t>AB103254</t>
  </si>
  <si>
    <t>AB103255</t>
  </si>
  <si>
    <t>AB103256</t>
  </si>
  <si>
    <t>AB103257</t>
  </si>
  <si>
    <t>AB103258</t>
  </si>
  <si>
    <t>AB103259</t>
  </si>
  <si>
    <t>AB103260</t>
  </si>
  <si>
    <t>AB103261</t>
  </si>
  <si>
    <t>AB103262</t>
  </si>
  <si>
    <t>AB103263</t>
  </si>
  <si>
    <t>AB103264</t>
  </si>
  <si>
    <t>AB103265</t>
  </si>
  <si>
    <t>AB103266</t>
  </si>
  <si>
    <t>AB103267</t>
  </si>
  <si>
    <t>AB103268</t>
  </si>
  <si>
    <t>AB103269</t>
  </si>
  <si>
    <t>AB103270</t>
  </si>
  <si>
    <t>AB103271</t>
  </si>
  <si>
    <t>AB103272</t>
  </si>
  <si>
    <t>AB103273</t>
  </si>
  <si>
    <t>AB103274</t>
  </si>
  <si>
    <t>AB103275</t>
  </si>
  <si>
    <t>AB103276</t>
  </si>
  <si>
    <t>AB103277</t>
  </si>
  <si>
    <t>AB103278</t>
  </si>
  <si>
    <t>AB103279</t>
  </si>
  <si>
    <t>AB103280</t>
  </si>
  <si>
    <t>AB103281</t>
  </si>
  <si>
    <t>AB103282</t>
  </si>
  <si>
    <t>AB103283</t>
  </si>
  <si>
    <t>AB103284</t>
  </si>
  <si>
    <t>AB103285</t>
  </si>
  <si>
    <t>AB103286</t>
  </si>
  <si>
    <t>AB103287</t>
  </si>
  <si>
    <t>AB103288</t>
  </si>
  <si>
    <t>AB103289</t>
  </si>
  <si>
    <t>AB103290</t>
  </si>
  <si>
    <t>AB103291</t>
  </si>
  <si>
    <t>AB103292</t>
  </si>
  <si>
    <t>AB103293</t>
  </si>
  <si>
    <t>AB103294</t>
  </si>
  <si>
    <t>AB103295</t>
  </si>
  <si>
    <t>AB103296</t>
  </si>
  <si>
    <t>AB103297</t>
  </si>
  <si>
    <t>AB103298</t>
  </si>
  <si>
    <t>AB103299</t>
  </si>
  <si>
    <t>AB103300</t>
  </si>
  <si>
    <t>AB103301</t>
  </si>
  <si>
    <t>AB103302</t>
  </si>
  <si>
    <t>AB103303</t>
  </si>
  <si>
    <t>AB103304</t>
  </si>
  <si>
    <t>AB103305</t>
  </si>
  <si>
    <t>AB103306</t>
  </si>
  <si>
    <t>AB103307</t>
  </si>
  <si>
    <t>AB103308</t>
  </si>
  <si>
    <t>AB103309</t>
  </si>
  <si>
    <t>AB103310</t>
  </si>
  <si>
    <t>AB103311</t>
  </si>
  <si>
    <t>AB103312</t>
  </si>
  <si>
    <t>AB103313</t>
  </si>
  <si>
    <t>AB103314</t>
  </si>
  <si>
    <t>AB103315</t>
  </si>
  <si>
    <t>AB103316</t>
  </si>
  <si>
    <t>AB103317</t>
  </si>
  <si>
    <t>AB103318</t>
  </si>
  <si>
    <t>AB103319</t>
  </si>
  <si>
    <t>AB103320</t>
  </si>
  <si>
    <t>AB103321</t>
  </si>
  <si>
    <t>AB103322</t>
  </si>
  <si>
    <t>AB103323</t>
  </si>
  <si>
    <t>AB103324</t>
  </si>
  <si>
    <t>AB103325</t>
  </si>
  <si>
    <t>AB103326</t>
  </si>
  <si>
    <t>AB103327</t>
  </si>
  <si>
    <t>AB103328</t>
  </si>
  <si>
    <t>AB103329</t>
  </si>
  <si>
    <t>AB103330</t>
  </si>
  <si>
    <t>AB103331</t>
  </si>
  <si>
    <t>AB103332</t>
  </si>
  <si>
    <t>AB103333</t>
  </si>
  <si>
    <t>AB103334</t>
  </si>
  <si>
    <t>AB103335</t>
  </si>
  <si>
    <t>AB103336</t>
  </si>
  <si>
    <t>AB103337</t>
  </si>
  <si>
    <t>AB103338</t>
  </si>
  <si>
    <t>AB103339</t>
  </si>
  <si>
    <t>AB103340</t>
  </si>
  <si>
    <t>AB103341</t>
  </si>
  <si>
    <t>AB103342</t>
  </si>
  <si>
    <t>AB103343</t>
  </si>
  <si>
    <t>AB103344</t>
  </si>
  <si>
    <t>AB103345</t>
  </si>
  <si>
    <t>AB103346</t>
  </si>
  <si>
    <t>AB103347</t>
  </si>
  <si>
    <t>AB103348</t>
  </si>
  <si>
    <t>AB103349</t>
  </si>
  <si>
    <t>AB103350</t>
  </si>
  <si>
    <t>AB103351</t>
  </si>
  <si>
    <t>AB103352</t>
  </si>
  <si>
    <t>AB103353</t>
  </si>
  <si>
    <t>AB103354</t>
  </si>
  <si>
    <t>AB103355</t>
  </si>
  <si>
    <t>AB103356</t>
  </si>
  <si>
    <t>AB103357</t>
  </si>
  <si>
    <t>AB103358</t>
  </si>
  <si>
    <t>AB103359</t>
  </si>
  <si>
    <t>AB103360</t>
  </si>
  <si>
    <t>AB103361</t>
  </si>
  <si>
    <t>AB103362</t>
  </si>
  <si>
    <t>AB103363</t>
  </si>
  <si>
    <t>AB103364</t>
  </si>
  <si>
    <t>AB103365</t>
  </si>
  <si>
    <t>AB103366</t>
  </si>
  <si>
    <t>AB103367</t>
  </si>
  <si>
    <t>AB103368</t>
  </si>
  <si>
    <t>AB103369</t>
  </si>
  <si>
    <t>AB103370</t>
  </si>
  <si>
    <t>AB103371</t>
  </si>
  <si>
    <t>AB103372</t>
  </si>
  <si>
    <t>AB103373</t>
  </si>
  <si>
    <t>AB103374</t>
  </si>
  <si>
    <t>AB103375</t>
  </si>
  <si>
    <t>AB103376</t>
  </si>
  <si>
    <t>AB103377</t>
  </si>
  <si>
    <t>AB103378</t>
  </si>
  <si>
    <t>AB103379</t>
  </si>
  <si>
    <t>AB103380</t>
  </si>
  <si>
    <t>AB103381</t>
  </si>
  <si>
    <t>AB103382</t>
  </si>
  <si>
    <t>AB103383</t>
  </si>
  <si>
    <t>AB103384</t>
  </si>
  <si>
    <t>AB103385</t>
  </si>
  <si>
    <t>AB103386</t>
  </si>
  <si>
    <t>AB103387</t>
  </si>
  <si>
    <t>AB103388</t>
  </si>
  <si>
    <t>AB103389</t>
  </si>
  <si>
    <t>AB103390</t>
  </si>
  <si>
    <t>AB103391</t>
  </si>
  <si>
    <t>AB103392</t>
  </si>
  <si>
    <t>AB103393</t>
  </si>
  <si>
    <t>AB103394</t>
  </si>
  <si>
    <t>AB103395</t>
  </si>
  <si>
    <t>AB103396</t>
  </si>
  <si>
    <t>AB103397</t>
  </si>
  <si>
    <t>AB103398</t>
  </si>
  <si>
    <t>AB103399</t>
  </si>
  <si>
    <t>AB103400</t>
  </si>
  <si>
    <t>AB103401</t>
  </si>
  <si>
    <t>AB103402</t>
  </si>
  <si>
    <t>AB103403</t>
  </si>
  <si>
    <t>AB103404</t>
  </si>
  <si>
    <t>AB103405</t>
  </si>
  <si>
    <t>AB103406</t>
  </si>
  <si>
    <t>AB103407</t>
  </si>
  <si>
    <t>AB103408</t>
  </si>
  <si>
    <t>AB103409</t>
  </si>
  <si>
    <t>AB103410</t>
  </si>
  <si>
    <t>AB103411</t>
  </si>
  <si>
    <t>AB103412</t>
  </si>
  <si>
    <t>AB103413</t>
  </si>
  <si>
    <t>AB103414</t>
  </si>
  <si>
    <t>AB103415</t>
  </si>
  <si>
    <t>AB103416</t>
  </si>
  <si>
    <t>AB103417</t>
  </si>
  <si>
    <t>AB103418</t>
  </si>
  <si>
    <t>AB103419</t>
  </si>
  <si>
    <t>AB103420</t>
  </si>
  <si>
    <t>AB103421</t>
  </si>
  <si>
    <t>AB103422</t>
  </si>
  <si>
    <t>AB103423</t>
  </si>
  <si>
    <t>AB103424</t>
  </si>
  <si>
    <t>AB103425</t>
  </si>
  <si>
    <t>AB103426</t>
  </si>
  <si>
    <t>AB103427</t>
  </si>
  <si>
    <t>AB103428</t>
  </si>
  <si>
    <t>AB103429</t>
  </si>
  <si>
    <t>AB103430</t>
  </si>
  <si>
    <t>AB103431</t>
  </si>
  <si>
    <t>AB103432</t>
  </si>
  <si>
    <t>AB103433</t>
  </si>
  <si>
    <t>AB103434</t>
  </si>
  <si>
    <t>AB103435</t>
  </si>
  <si>
    <t>AB103436</t>
  </si>
  <si>
    <t>AB103437</t>
  </si>
  <si>
    <t>AB103438</t>
  </si>
  <si>
    <t>AB103439</t>
  </si>
  <si>
    <t>AB103440</t>
  </si>
  <si>
    <t>AB103441</t>
  </si>
  <si>
    <t>AB103442</t>
  </si>
  <si>
    <t>AB103443</t>
  </si>
  <si>
    <t>AB103444</t>
  </si>
  <si>
    <t>AB103445</t>
  </si>
  <si>
    <t>AB103446</t>
  </si>
  <si>
    <t>AB103447</t>
  </si>
  <si>
    <t>AB103448</t>
  </si>
  <si>
    <t>AB103449</t>
  </si>
  <si>
    <t>AB103450</t>
  </si>
  <si>
    <t>AB103451</t>
  </si>
  <si>
    <t>AB103452</t>
  </si>
  <si>
    <t>AB103453</t>
  </si>
  <si>
    <t>AB103454</t>
  </si>
  <si>
    <t>AB103455</t>
  </si>
  <si>
    <t>AB103456</t>
  </si>
  <si>
    <t>AB103457</t>
  </si>
  <si>
    <t>AB103458</t>
  </si>
  <si>
    <t>AB103459</t>
  </si>
  <si>
    <t>AB103460</t>
  </si>
  <si>
    <t>AB103461</t>
  </si>
  <si>
    <t>AB103462</t>
  </si>
  <si>
    <t>AB103463</t>
  </si>
  <si>
    <t>AB103464</t>
  </si>
  <si>
    <t>AB103465</t>
  </si>
  <si>
    <t>AB103466</t>
  </si>
  <si>
    <t>AB103467</t>
  </si>
  <si>
    <t>AB103468</t>
  </si>
  <si>
    <t>AB103469</t>
  </si>
  <si>
    <t>AB103470</t>
  </si>
  <si>
    <t>AB103471</t>
  </si>
  <si>
    <t>AB103472</t>
  </si>
  <si>
    <t>AB103473</t>
  </si>
  <si>
    <t>AB103474</t>
  </si>
  <si>
    <t>AB103475</t>
  </si>
  <si>
    <t>AB103476</t>
  </si>
  <si>
    <t>AB103477</t>
  </si>
  <si>
    <t>AB103478</t>
  </si>
  <si>
    <t>AB103479</t>
  </si>
  <si>
    <t>AB103480</t>
  </si>
  <si>
    <t>AB103481</t>
  </si>
  <si>
    <t>AB103482</t>
  </si>
  <si>
    <t>AB103483</t>
  </si>
  <si>
    <t>AB103484</t>
  </si>
  <si>
    <t>AB103485</t>
  </si>
  <si>
    <t>AB103486</t>
  </si>
  <si>
    <t>AB103487</t>
  </si>
  <si>
    <t>AB103488</t>
  </si>
  <si>
    <t>AB103489</t>
  </si>
  <si>
    <t>AB103490</t>
  </si>
  <si>
    <t>AB103491</t>
  </si>
  <si>
    <t>AB103492</t>
  </si>
  <si>
    <t>AB103493</t>
  </si>
  <si>
    <t>AB103494</t>
  </si>
  <si>
    <t>AB103495</t>
  </si>
  <si>
    <t>AB103496</t>
  </si>
  <si>
    <t>AB103497</t>
  </si>
  <si>
    <t>AB103498</t>
  </si>
  <si>
    <t>AB103499</t>
  </si>
  <si>
    <t>AB103500</t>
  </si>
  <si>
    <t>AB103501</t>
  </si>
  <si>
    <t>AB103502</t>
  </si>
  <si>
    <t>AB103503</t>
  </si>
  <si>
    <t>AB103504</t>
  </si>
  <si>
    <t>AB103505</t>
  </si>
  <si>
    <t>AB103506</t>
  </si>
  <si>
    <t>AB103507</t>
  </si>
  <si>
    <t>AB103508</t>
  </si>
  <si>
    <t>AB103509</t>
  </si>
  <si>
    <t>AB103510</t>
  </si>
  <si>
    <t>AB103511</t>
  </si>
  <si>
    <t>AB103512</t>
  </si>
  <si>
    <t>AB103513</t>
  </si>
  <si>
    <t>AB103514</t>
  </si>
  <si>
    <t>AB103515</t>
  </si>
  <si>
    <t>AB103516</t>
  </si>
  <si>
    <t>AB103517</t>
  </si>
  <si>
    <t>AB103518</t>
  </si>
  <si>
    <t>AB103519</t>
  </si>
  <si>
    <t>AB103520</t>
  </si>
  <si>
    <t>AB103521</t>
  </si>
  <si>
    <t>AB103522</t>
  </si>
  <si>
    <t>AB103523</t>
  </si>
  <si>
    <t>AB103524</t>
  </si>
  <si>
    <t>AB103525</t>
  </si>
  <si>
    <t>AB103526</t>
  </si>
  <si>
    <t>AB103527</t>
  </si>
  <si>
    <t>AB103528</t>
  </si>
  <si>
    <t>AB103529</t>
  </si>
  <si>
    <t>AB103530</t>
  </si>
  <si>
    <t>AB103531</t>
  </si>
  <si>
    <t>AB103532</t>
  </si>
  <si>
    <t>AB103533</t>
  </si>
  <si>
    <t>AB103534</t>
  </si>
  <si>
    <t>AB103535</t>
  </si>
  <si>
    <t>AB103536</t>
  </si>
  <si>
    <t>AB103537</t>
  </si>
  <si>
    <t>AB103538</t>
  </si>
  <si>
    <t>AB103539</t>
  </si>
  <si>
    <t>AB103540</t>
  </si>
  <si>
    <t>AB103541</t>
  </si>
  <si>
    <t>AB103542</t>
  </si>
  <si>
    <t>AB103543</t>
  </si>
  <si>
    <t>AB103544</t>
  </si>
  <si>
    <t>AB103545</t>
  </si>
  <si>
    <t>AB103546</t>
  </si>
  <si>
    <t>AB103547</t>
  </si>
  <si>
    <t>AB103548</t>
  </si>
  <si>
    <t>AB103549</t>
  </si>
  <si>
    <t>AB103550</t>
  </si>
  <si>
    <t>AB103551</t>
  </si>
  <si>
    <t>AB103552</t>
  </si>
  <si>
    <t>AB103553</t>
  </si>
  <si>
    <t>AB103554</t>
  </si>
  <si>
    <t>AB103555</t>
  </si>
  <si>
    <t>AB103556</t>
  </si>
  <si>
    <t>AB103557</t>
  </si>
  <si>
    <t>AB103558</t>
  </si>
  <si>
    <t>AB103559</t>
  </si>
  <si>
    <t>AB103560</t>
  </si>
  <si>
    <t>AB103561</t>
  </si>
  <si>
    <t>AB103562</t>
  </si>
  <si>
    <t>AB103563</t>
  </si>
  <si>
    <t>AB103564</t>
  </si>
  <si>
    <t>AB103565</t>
  </si>
  <si>
    <t>AB103566</t>
  </si>
  <si>
    <t>AB103567</t>
  </si>
  <si>
    <t>AB103568</t>
  </si>
  <si>
    <t>AB103569</t>
  </si>
  <si>
    <t>AB103570</t>
  </si>
  <si>
    <t>AB103571</t>
  </si>
  <si>
    <t>AB103572</t>
  </si>
  <si>
    <t>AB103573</t>
  </si>
  <si>
    <t>AB103574</t>
  </si>
  <si>
    <t>AB103575</t>
  </si>
  <si>
    <t>AB103576</t>
  </si>
  <si>
    <t>AB103577</t>
  </si>
  <si>
    <t>AB103578</t>
  </si>
  <si>
    <t>AB103579</t>
  </si>
  <si>
    <t>AB103580</t>
  </si>
  <si>
    <t>AB103581</t>
  </si>
  <si>
    <t>AB103582</t>
  </si>
  <si>
    <t>AB103583</t>
  </si>
  <si>
    <t>AB103584</t>
  </si>
  <si>
    <t>AB103585</t>
  </si>
  <si>
    <t>AB103586</t>
  </si>
  <si>
    <t>AB103587</t>
  </si>
  <si>
    <t>AB103588</t>
  </si>
  <si>
    <t>AB103589</t>
  </si>
  <si>
    <t>AB103590</t>
  </si>
  <si>
    <t>AB103591</t>
  </si>
  <si>
    <t>AB103592</t>
  </si>
  <si>
    <t>AB103593</t>
  </si>
  <si>
    <t>AB103594</t>
  </si>
  <si>
    <t>AB103595</t>
  </si>
  <si>
    <t>AB103596</t>
  </si>
  <si>
    <t>AB103597</t>
  </si>
  <si>
    <t>AB103598</t>
  </si>
  <si>
    <t>AB103599</t>
  </si>
  <si>
    <t>AB103600</t>
  </si>
  <si>
    <t>AB103601</t>
  </si>
  <si>
    <t>AB103602</t>
  </si>
  <si>
    <t>AB103603</t>
  </si>
  <si>
    <t>AB103604</t>
  </si>
  <si>
    <t>AB103605</t>
  </si>
  <si>
    <t>AB103606</t>
  </si>
  <si>
    <t>AB103607</t>
  </si>
  <si>
    <t>AB103608</t>
  </si>
  <si>
    <t>AB103609</t>
  </si>
  <si>
    <t>AB103610</t>
  </si>
  <si>
    <t>AB103611</t>
  </si>
  <si>
    <t>AB103612</t>
  </si>
  <si>
    <t>AB103613</t>
  </si>
  <si>
    <t>AB103614</t>
  </si>
  <si>
    <t>AB103615</t>
  </si>
  <si>
    <t>AB103616</t>
  </si>
  <si>
    <t>AB103617</t>
  </si>
  <si>
    <t>AB103618</t>
  </si>
  <si>
    <t>AB103619</t>
  </si>
  <si>
    <t>AB103620</t>
  </si>
  <si>
    <t>AB103621</t>
  </si>
  <si>
    <t>AB103622</t>
  </si>
  <si>
    <t>AB103623</t>
  </si>
  <si>
    <t>AB103624</t>
  </si>
  <si>
    <t>AB103625</t>
  </si>
  <si>
    <t>AB103626</t>
  </si>
  <si>
    <t>AB103627</t>
  </si>
  <si>
    <t>AB103628</t>
  </si>
  <si>
    <t>AB103629</t>
  </si>
  <si>
    <t>AB103630</t>
  </si>
  <si>
    <t>AB103631</t>
  </si>
  <si>
    <t>AB103632</t>
  </si>
  <si>
    <t>AB103633</t>
  </si>
  <si>
    <t>AB103634</t>
  </si>
  <si>
    <t>AB103635</t>
  </si>
  <si>
    <t>AB103636</t>
  </si>
  <si>
    <t>AB103637</t>
  </si>
  <si>
    <t>AB103638</t>
  </si>
  <si>
    <t>AB103639</t>
  </si>
  <si>
    <t>AB103640</t>
  </si>
  <si>
    <t>AB103641</t>
  </si>
  <si>
    <t>AB103642</t>
  </si>
  <si>
    <t>AB103643</t>
  </si>
  <si>
    <t>AB103644</t>
  </si>
  <si>
    <t>AB103645</t>
  </si>
  <si>
    <t>AB103646</t>
  </si>
  <si>
    <t>AB103647</t>
  </si>
  <si>
    <t>AB103648</t>
  </si>
  <si>
    <t>AB103649</t>
  </si>
  <si>
    <t>AB103650</t>
  </si>
  <si>
    <t>AB103651</t>
  </si>
  <si>
    <t>AB103652</t>
  </si>
  <si>
    <t>AB103653</t>
  </si>
  <si>
    <t>AB103654</t>
  </si>
  <si>
    <t>AB103655</t>
  </si>
  <si>
    <t>AB103656</t>
  </si>
  <si>
    <t>AB103657</t>
  </si>
  <si>
    <t>AB103658</t>
  </si>
  <si>
    <t>AB103659</t>
  </si>
  <si>
    <t>AB103660</t>
  </si>
  <si>
    <t>AB103661</t>
  </si>
  <si>
    <t>AB103662</t>
  </si>
  <si>
    <t>AB103663</t>
  </si>
  <si>
    <t>AB103664</t>
  </si>
  <si>
    <t>AB103665</t>
  </si>
  <si>
    <t>AB103666</t>
  </si>
  <si>
    <t>AB103667</t>
  </si>
  <si>
    <t>AB103668</t>
  </si>
  <si>
    <t>AB103669</t>
  </si>
  <si>
    <t>AB103670</t>
  </si>
  <si>
    <t>AB103671</t>
  </si>
  <si>
    <t>AB103672</t>
  </si>
  <si>
    <t>AB103673</t>
  </si>
  <si>
    <t>AB103674</t>
  </si>
  <si>
    <t>AB103675</t>
  </si>
  <si>
    <t>AB103676</t>
  </si>
  <si>
    <t>AB103677</t>
  </si>
  <si>
    <t>AB103678</t>
  </si>
  <si>
    <t>AB103679</t>
  </si>
  <si>
    <t>AB103680</t>
  </si>
  <si>
    <t>AB103681</t>
  </si>
  <si>
    <t>AB103682</t>
  </si>
  <si>
    <t>AB103683</t>
  </si>
  <si>
    <t>AB103684</t>
  </si>
  <si>
    <t>AB103685</t>
  </si>
  <si>
    <t>AB103686</t>
  </si>
  <si>
    <t>AB103687</t>
  </si>
  <si>
    <t>AB103688</t>
  </si>
  <si>
    <t>AB103689</t>
  </si>
  <si>
    <t>AB103690</t>
  </si>
  <si>
    <t>AB103691</t>
  </si>
  <si>
    <t>AB103692</t>
  </si>
  <si>
    <t>AB103693</t>
  </si>
  <si>
    <t>AB103694</t>
  </si>
  <si>
    <t>AB103695</t>
  </si>
  <si>
    <t>AB103696</t>
  </si>
  <si>
    <t>AB103697</t>
  </si>
  <si>
    <t>AB103698</t>
  </si>
  <si>
    <t>AB103699</t>
  </si>
  <si>
    <t>AB103700</t>
  </si>
  <si>
    <t>AB103701</t>
  </si>
  <si>
    <t>AB103702</t>
  </si>
  <si>
    <t>AB103703</t>
  </si>
  <si>
    <t>AB103704</t>
  </si>
  <si>
    <t>AB103705</t>
  </si>
  <si>
    <t>AB103706</t>
  </si>
  <si>
    <t>AB103707</t>
  </si>
  <si>
    <t>AB103708</t>
  </si>
  <si>
    <t>AB103709</t>
  </si>
  <si>
    <t>AB103710</t>
  </si>
  <si>
    <t>AB103711</t>
  </si>
  <si>
    <t>AB103712</t>
  </si>
  <si>
    <t>AB103713</t>
  </si>
  <si>
    <t>AB103714</t>
  </si>
  <si>
    <t>AB103715</t>
  </si>
  <si>
    <t>AB103716</t>
  </si>
  <si>
    <t>AB103717</t>
  </si>
  <si>
    <t>AB103718</t>
  </si>
  <si>
    <t>AB103719</t>
  </si>
  <si>
    <t>AB103720</t>
  </si>
  <si>
    <t>AB103721</t>
  </si>
  <si>
    <t>AB103722</t>
  </si>
  <si>
    <t>AB103723</t>
  </si>
  <si>
    <t>AB103724</t>
  </si>
  <si>
    <t>AB103725</t>
  </si>
  <si>
    <t>AB103726</t>
  </si>
  <si>
    <t>AB103727</t>
  </si>
  <si>
    <t>AB103728</t>
  </si>
  <si>
    <t>AB103729</t>
  </si>
  <si>
    <t>AB103730</t>
  </si>
  <si>
    <t>AB103731</t>
  </si>
  <si>
    <t>AB103732</t>
  </si>
  <si>
    <t>AB103733</t>
  </si>
  <si>
    <t>AB103734</t>
  </si>
  <si>
    <t>AB103735</t>
  </si>
  <si>
    <t>AB103736</t>
  </si>
  <si>
    <t>AB103737</t>
  </si>
  <si>
    <t>AB103738</t>
  </si>
  <si>
    <t>AB103739</t>
  </si>
  <si>
    <t>AB103740</t>
  </si>
  <si>
    <t>AB103741</t>
  </si>
  <si>
    <t>AB103742</t>
  </si>
  <si>
    <t>AB103743</t>
  </si>
  <si>
    <t>AB103744</t>
  </si>
  <si>
    <t>AB103745</t>
  </si>
  <si>
    <t>AB103746</t>
  </si>
  <si>
    <t>AB103747</t>
  </si>
  <si>
    <t>AB103748</t>
  </si>
  <si>
    <t>AB103749</t>
  </si>
  <si>
    <t>AB103750</t>
  </si>
  <si>
    <t>AB103751</t>
  </si>
  <si>
    <t>AB103752</t>
  </si>
  <si>
    <t>AB103753</t>
  </si>
  <si>
    <t>AB103754</t>
  </si>
  <si>
    <t>AB103755</t>
  </si>
  <si>
    <t>AB103756</t>
  </si>
  <si>
    <t>AB103757</t>
  </si>
  <si>
    <t>AB103758</t>
  </si>
  <si>
    <t>AB103759</t>
  </si>
  <si>
    <t>AB103760</t>
  </si>
  <si>
    <t>AB103761</t>
  </si>
  <si>
    <t>AB103762</t>
  </si>
  <si>
    <t>AB103763</t>
  </si>
  <si>
    <t>AB103764</t>
  </si>
  <si>
    <t>AB103765</t>
  </si>
  <si>
    <t>AB103766</t>
  </si>
  <si>
    <t>AB103767</t>
  </si>
  <si>
    <t>AB103768</t>
  </si>
  <si>
    <t>AB103769</t>
  </si>
  <si>
    <t>AB103770</t>
  </si>
  <si>
    <t>AB103771</t>
  </si>
  <si>
    <t>AB103772</t>
  </si>
  <si>
    <t>AB103773</t>
  </si>
  <si>
    <t>AB103774</t>
  </si>
  <si>
    <t>AB103775</t>
  </si>
  <si>
    <t>AB103776</t>
  </si>
  <si>
    <t>AB103777</t>
  </si>
  <si>
    <t>AB103778</t>
  </si>
  <si>
    <t>AB103779</t>
  </si>
  <si>
    <t>AB103780</t>
  </si>
  <si>
    <t>AB103781</t>
  </si>
  <si>
    <t>AB103782</t>
  </si>
  <si>
    <t>AB103783</t>
  </si>
  <si>
    <t>AB103784</t>
  </si>
  <si>
    <t>AB103785</t>
  </si>
  <si>
    <t>AB103786</t>
  </si>
  <si>
    <t>AB103787</t>
  </si>
  <si>
    <t>AB103788</t>
  </si>
  <si>
    <t>AB103789</t>
  </si>
  <si>
    <t>AB103790</t>
  </si>
  <si>
    <t>AB103791</t>
  </si>
  <si>
    <t>AB103792</t>
  </si>
  <si>
    <t>AB103793</t>
  </si>
  <si>
    <t>AB103794</t>
  </si>
  <si>
    <t>AB103795</t>
  </si>
  <si>
    <t>AB103796</t>
  </si>
  <si>
    <t>AB103797</t>
  </si>
  <si>
    <t>AB103798</t>
  </si>
  <si>
    <t>AB103799</t>
  </si>
  <si>
    <t>AB103800</t>
  </si>
  <si>
    <t>AB103801</t>
  </si>
  <si>
    <t>AB103802</t>
  </si>
  <si>
    <t>AB103803</t>
  </si>
  <si>
    <t>AB103804</t>
  </si>
  <si>
    <t>AB103805</t>
  </si>
  <si>
    <t>AB103806</t>
  </si>
  <si>
    <t>AB103807</t>
  </si>
  <si>
    <t>AB103808</t>
  </si>
  <si>
    <t>AB103809</t>
  </si>
  <si>
    <t>AB103810</t>
  </si>
  <si>
    <t>AB103811</t>
  </si>
  <si>
    <t>AB103812</t>
  </si>
  <si>
    <t>AB103813</t>
  </si>
  <si>
    <t>AB103814</t>
  </si>
  <si>
    <t>AB103815</t>
  </si>
  <si>
    <t>AB103816</t>
  </si>
  <si>
    <t>AB103817</t>
  </si>
  <si>
    <t>AB103818</t>
  </si>
  <si>
    <t>AB103819</t>
  </si>
  <si>
    <t>AB103820</t>
  </si>
  <si>
    <t>AB103821</t>
  </si>
  <si>
    <t>AB103822</t>
  </si>
  <si>
    <t>AB103823</t>
  </si>
  <si>
    <t>AB103824</t>
  </si>
  <si>
    <t>AB103825</t>
  </si>
  <si>
    <t>AB103826</t>
  </si>
  <si>
    <t>AB103827</t>
  </si>
  <si>
    <t>AB103828</t>
  </si>
  <si>
    <t>AB103829</t>
  </si>
  <si>
    <t>AB103830</t>
  </si>
  <si>
    <t>AB103831</t>
  </si>
  <si>
    <t>AB103832</t>
  </si>
  <si>
    <t>AB103833</t>
  </si>
  <si>
    <t>AB103834</t>
  </si>
  <si>
    <t>AB103835</t>
  </si>
  <si>
    <t>AB103836</t>
  </si>
  <si>
    <t>AB103837</t>
  </si>
  <si>
    <t>AB103838</t>
  </si>
  <si>
    <t>AB103839</t>
  </si>
  <si>
    <t>AB103840</t>
  </si>
  <si>
    <t>AB103841</t>
  </si>
  <si>
    <t>AB103842</t>
  </si>
  <si>
    <t>AB103843</t>
  </si>
  <si>
    <t>AB103844</t>
  </si>
  <si>
    <t>AB103845</t>
  </si>
  <si>
    <t>AB103846</t>
  </si>
  <si>
    <t>AB103847</t>
  </si>
  <si>
    <t>AB103848</t>
  </si>
  <si>
    <t>AB103849</t>
  </si>
  <si>
    <t>AB103850</t>
  </si>
  <si>
    <t>AB103851</t>
  </si>
  <si>
    <t>AB103852</t>
  </si>
  <si>
    <t>AB103853</t>
  </si>
  <si>
    <t>AB103854</t>
  </si>
  <si>
    <t>AB103855</t>
  </si>
  <si>
    <t>AB103856</t>
  </si>
  <si>
    <t>AB103857</t>
  </si>
  <si>
    <t>AB103858</t>
  </si>
  <si>
    <t>AB103859</t>
  </si>
  <si>
    <t>AB103860</t>
  </si>
  <si>
    <t>AB103861</t>
  </si>
  <si>
    <t>AB103862</t>
  </si>
  <si>
    <t>AB103863</t>
  </si>
  <si>
    <t>AB103864</t>
  </si>
  <si>
    <t>AB103865</t>
  </si>
  <si>
    <t>AB103866</t>
  </si>
  <si>
    <t>AB103867</t>
  </si>
  <si>
    <t>AB103868</t>
  </si>
  <si>
    <t>AB103869</t>
  </si>
  <si>
    <t>AB103870</t>
  </si>
  <si>
    <t>AB103871</t>
  </si>
  <si>
    <t>AB103872</t>
  </si>
  <si>
    <t>AB103873</t>
  </si>
  <si>
    <t>AB103874</t>
  </si>
  <si>
    <t>AB103875</t>
  </si>
  <si>
    <t>AB103876</t>
  </si>
  <si>
    <t>AB103877</t>
  </si>
  <si>
    <t>AB103878</t>
  </si>
  <si>
    <t>AB103879</t>
  </si>
  <si>
    <t>AB103880</t>
  </si>
  <si>
    <t>AB103881</t>
  </si>
  <si>
    <t>AB103882</t>
  </si>
  <si>
    <t>AB103883</t>
  </si>
  <si>
    <t>AB103884</t>
  </si>
  <si>
    <t>AB103885</t>
  </si>
  <si>
    <t>AB103886</t>
  </si>
  <si>
    <t>AB103887</t>
  </si>
  <si>
    <t>AB103888</t>
  </si>
  <si>
    <t>AB103889</t>
  </si>
  <si>
    <t>AB103890</t>
  </si>
  <si>
    <t>AB103891</t>
  </si>
  <si>
    <t>AB103892</t>
  </si>
  <si>
    <t>AB103893</t>
  </si>
  <si>
    <t>AB103894</t>
  </si>
  <si>
    <t>AB103895</t>
  </si>
  <si>
    <t>AB103896</t>
  </si>
  <si>
    <t>AB103897</t>
  </si>
  <si>
    <t>AB103898</t>
  </si>
  <si>
    <t>AB103899</t>
  </si>
  <si>
    <t>AB103900</t>
  </si>
  <si>
    <t>AB103901</t>
  </si>
  <si>
    <t>AB103902</t>
  </si>
  <si>
    <t>AB103903</t>
  </si>
  <si>
    <t>AB103904</t>
  </si>
  <si>
    <t>AB103905</t>
  </si>
  <si>
    <t>AB103906</t>
  </si>
  <si>
    <t>AB103907</t>
  </si>
  <si>
    <t>AB103908</t>
  </si>
  <si>
    <t>AB103909</t>
  </si>
  <si>
    <t>AB103910</t>
  </si>
  <si>
    <t>AB103911</t>
  </si>
  <si>
    <t>AB103912</t>
  </si>
  <si>
    <t>AB103913</t>
  </si>
  <si>
    <t>AB103914</t>
  </si>
  <si>
    <t>AB103915</t>
  </si>
  <si>
    <t>AB103916</t>
  </si>
  <si>
    <t>AB103917</t>
  </si>
  <si>
    <t>AB103918</t>
  </si>
  <si>
    <t>AB103919</t>
  </si>
  <si>
    <t>AB103920</t>
  </si>
  <si>
    <t>AB103921</t>
  </si>
  <si>
    <t>AB103922</t>
  </si>
  <si>
    <t>AB103923</t>
  </si>
  <si>
    <t>AB103924</t>
  </si>
  <si>
    <t>AB103925</t>
  </si>
  <si>
    <t>AB103926</t>
  </si>
  <si>
    <t>AB103927</t>
  </si>
  <si>
    <t>AB103928</t>
  </si>
  <si>
    <t>AB103929</t>
  </si>
  <si>
    <t>AB103930</t>
  </si>
  <si>
    <t>AB103931</t>
  </si>
  <si>
    <t>AB103932</t>
  </si>
  <si>
    <t>AB103933</t>
  </si>
  <si>
    <t>AB103934</t>
  </si>
  <si>
    <t>AB103935</t>
  </si>
  <si>
    <t>AB103936</t>
  </si>
  <si>
    <t>AB103937</t>
  </si>
  <si>
    <t>AB103938</t>
  </si>
  <si>
    <t>AB103939</t>
  </si>
  <si>
    <t>AB103940</t>
  </si>
  <si>
    <t>AB103941</t>
  </si>
  <si>
    <t>AB103942</t>
  </si>
  <si>
    <t>AB103943</t>
  </si>
  <si>
    <t>AB103944</t>
  </si>
  <si>
    <t>AB103945</t>
  </si>
  <si>
    <t>AB103946</t>
  </si>
  <si>
    <t>AB103947</t>
  </si>
  <si>
    <t>AB103948</t>
  </si>
  <si>
    <t>AB103949</t>
  </si>
  <si>
    <t>AB103950</t>
  </si>
  <si>
    <t>AB103951</t>
  </si>
  <si>
    <t>AB103952</t>
  </si>
  <si>
    <t>AB103953</t>
  </si>
  <si>
    <t>AB103954</t>
  </si>
  <si>
    <t>AB103955</t>
  </si>
  <si>
    <t>AB103956</t>
  </si>
  <si>
    <t>AB103957</t>
  </si>
  <si>
    <t>AB103958</t>
  </si>
  <si>
    <t>AB103959</t>
  </si>
  <si>
    <t>AB103960</t>
  </si>
  <si>
    <t>AB103961</t>
  </si>
  <si>
    <t>AB103962</t>
  </si>
  <si>
    <t>AB103963</t>
  </si>
  <si>
    <t>AB103964</t>
  </si>
  <si>
    <t>AB103965</t>
  </si>
  <si>
    <t>AB103966</t>
  </si>
  <si>
    <t>AB103967</t>
  </si>
  <si>
    <t>AB103968</t>
  </si>
  <si>
    <t>AB103969</t>
  </si>
  <si>
    <t>AB103970</t>
  </si>
  <si>
    <t>AB103971</t>
  </si>
  <si>
    <t>AB103972</t>
  </si>
  <si>
    <t>AB103973</t>
  </si>
  <si>
    <t>AB103974</t>
  </si>
  <si>
    <t>AB103975</t>
  </si>
  <si>
    <t>AB103976</t>
  </si>
  <si>
    <t>AB103977</t>
  </si>
  <si>
    <t>AB103978</t>
  </si>
  <si>
    <t>AB103979</t>
  </si>
  <si>
    <t>AB103980</t>
  </si>
  <si>
    <t>AB103981</t>
  </si>
  <si>
    <t>AB103982</t>
  </si>
  <si>
    <t>AB103983</t>
  </si>
  <si>
    <t>AB103984</t>
  </si>
  <si>
    <t>AB103985</t>
  </si>
  <si>
    <t>AB103986</t>
  </si>
  <si>
    <t>AB103987</t>
  </si>
  <si>
    <t>AB103988</t>
  </si>
  <si>
    <t>AB103989</t>
  </si>
  <si>
    <t>AB103990</t>
  </si>
  <si>
    <t>AB103991</t>
  </si>
  <si>
    <t>AB103992</t>
  </si>
  <si>
    <t>AB103993</t>
  </si>
  <si>
    <t>AB103994</t>
  </si>
  <si>
    <t>AB103995</t>
  </si>
  <si>
    <t>AB103996</t>
  </si>
  <si>
    <t>AB103997</t>
  </si>
  <si>
    <t>AB103998</t>
  </si>
  <si>
    <t>AB103999</t>
  </si>
  <si>
    <t>AB104000</t>
  </si>
  <si>
    <t>AB104001</t>
  </si>
  <si>
    <t>AB104002</t>
  </si>
  <si>
    <t>AB104003</t>
  </si>
  <si>
    <t>AB104004</t>
  </si>
  <si>
    <t>AB104005</t>
  </si>
  <si>
    <t>AB104006</t>
  </si>
  <si>
    <t>AB104007</t>
  </si>
  <si>
    <t>AB104008</t>
  </si>
  <si>
    <t>AB104009</t>
  </si>
  <si>
    <t>AB104010</t>
  </si>
  <si>
    <t>AB104011</t>
  </si>
  <si>
    <t>AB104012</t>
  </si>
  <si>
    <t>AB104013</t>
  </si>
  <si>
    <t>AB104014</t>
  </si>
  <si>
    <t>AB104015</t>
  </si>
  <si>
    <t>AB104016</t>
  </si>
  <si>
    <t>AB104017</t>
  </si>
  <si>
    <t>AB104018</t>
  </si>
  <si>
    <t>AB104019</t>
  </si>
  <si>
    <t>AB104020</t>
  </si>
  <si>
    <t>AB104021</t>
  </si>
  <si>
    <t>AB104022</t>
  </si>
  <si>
    <t>AB104023</t>
  </si>
  <si>
    <t>AB104024</t>
  </si>
  <si>
    <t>AB104025</t>
  </si>
  <si>
    <t>AB104026</t>
  </si>
  <si>
    <t>AB104027</t>
  </si>
  <si>
    <t>AB104028</t>
  </si>
  <si>
    <t>AB104029</t>
  </si>
  <si>
    <t>AB104030</t>
  </si>
  <si>
    <t>AB104031</t>
  </si>
  <si>
    <t>AB104032</t>
  </si>
  <si>
    <t>AB104033</t>
  </si>
  <si>
    <t>AB104034</t>
  </si>
  <si>
    <t>AB104035</t>
  </si>
  <si>
    <t>AB104036</t>
  </si>
  <si>
    <t>AB104038</t>
  </si>
  <si>
    <t>AB104039</t>
  </si>
  <si>
    <t>AB104040</t>
  </si>
  <si>
    <t>AB104041</t>
  </si>
  <si>
    <t>AB104042</t>
  </si>
  <si>
    <t>AB104043</t>
  </si>
  <si>
    <t>AB104044</t>
  </si>
  <si>
    <t>AB104045</t>
  </si>
  <si>
    <t>AB104048</t>
  </si>
  <si>
    <t>AB104050</t>
  </si>
  <si>
    <t>AB104053</t>
  </si>
  <si>
    <t>AB104055</t>
  </si>
  <si>
    <t>AB104058</t>
  </si>
  <si>
    <t>AB104062</t>
  </si>
  <si>
    <t>AB104064</t>
  </si>
  <si>
    <t>AB104065</t>
  </si>
  <si>
    <t>AB104066</t>
  </si>
  <si>
    <t>AB104067</t>
  </si>
  <si>
    <t>AB104068</t>
  </si>
  <si>
    <t>AB104073</t>
  </si>
  <si>
    <t>AB104074</t>
  </si>
  <si>
    <t>AB104075</t>
  </si>
  <si>
    <t>AB104076</t>
  </si>
  <si>
    <t>AB104078</t>
  </si>
  <si>
    <t>AB104080</t>
  </si>
  <si>
    <t>AB104081</t>
  </si>
  <si>
    <t>AB104082</t>
  </si>
  <si>
    <t>AB104083</t>
  </si>
  <si>
    <t>AB104087</t>
  </si>
  <si>
    <t>AB104093</t>
  </si>
  <si>
    <t>AB104094</t>
  </si>
  <si>
    <t>AB104098</t>
  </si>
  <si>
    <t>AB104100</t>
  </si>
  <si>
    <t>AB104102</t>
  </si>
  <si>
    <t>AB104104</t>
  </si>
  <si>
    <t>AB104108</t>
  </si>
  <si>
    <t>AB104110</t>
  </si>
  <si>
    <t>AB104113</t>
  </si>
  <si>
    <t>AB104121</t>
  </si>
  <si>
    <t>AB104122</t>
  </si>
  <si>
    <t>AB104123</t>
  </si>
  <si>
    <t>AB104126</t>
  </si>
  <si>
    <t>AB104127</t>
  </si>
  <si>
    <t>AB104128</t>
  </si>
  <si>
    <t>AB104130</t>
  </si>
  <si>
    <t>AB104132</t>
  </si>
  <si>
    <t>AB104133</t>
  </si>
  <si>
    <t>AB104136</t>
  </si>
  <si>
    <t>AB104137</t>
  </si>
  <si>
    <t>AB104138</t>
  </si>
  <si>
    <t>AB104140</t>
  </si>
  <si>
    <t>AB104144</t>
  </si>
  <si>
    <t>AB104146</t>
  </si>
  <si>
    <t>AB104148</t>
  </si>
  <si>
    <t>AB104151</t>
  </si>
  <si>
    <t>AB104152</t>
  </si>
  <si>
    <t>AB104153</t>
  </si>
  <si>
    <t>AB104155</t>
  </si>
  <si>
    <t>AB104156</t>
  </si>
  <si>
    <t>AB104157</t>
  </si>
  <si>
    <t>AB104160</t>
  </si>
  <si>
    <t>AB104161</t>
  </si>
  <si>
    <t>AB104162</t>
  </si>
  <si>
    <t>AB104166</t>
  </si>
  <si>
    <t>AB104167</t>
  </si>
  <si>
    <t>AB104168</t>
  </si>
  <si>
    <t>AB104169</t>
  </si>
  <si>
    <t>AB104170</t>
  </si>
  <si>
    <t>AB104173</t>
  </si>
  <si>
    <t>AB104177</t>
  </si>
  <si>
    <t>AB104179</t>
  </si>
  <si>
    <t>AB104182</t>
  </si>
  <si>
    <t>AB104183</t>
  </si>
  <si>
    <t>AB104187</t>
  </si>
  <si>
    <t>AB104188</t>
  </si>
  <si>
    <t>AB104190</t>
  </si>
  <si>
    <t>AB104192</t>
  </si>
  <si>
    <t>AB104197</t>
  </si>
  <si>
    <t>AB104198</t>
  </si>
  <si>
    <t>AB104199</t>
  </si>
  <si>
    <t>AB104204</t>
  </si>
  <si>
    <t>AB104206</t>
  </si>
  <si>
    <t>AB104208</t>
  </si>
  <si>
    <t>AB104209</t>
  </si>
  <si>
    <t>AB104211</t>
  </si>
  <si>
    <t>AB104212</t>
  </si>
  <si>
    <t>AB104213</t>
  </si>
  <si>
    <t>AB104215</t>
  </si>
  <si>
    <t>AB104216</t>
  </si>
  <si>
    <t>AB104218</t>
  </si>
  <si>
    <t>AB104219</t>
  </si>
  <si>
    <t>AB104220</t>
  </si>
  <si>
    <t>AB104221</t>
  </si>
  <si>
    <t>AB104225</t>
  </si>
  <si>
    <t>AB104226</t>
  </si>
  <si>
    <t>AB104229</t>
  </si>
  <si>
    <t>AB104235</t>
  </si>
  <si>
    <t>AB104236</t>
  </si>
  <si>
    <t>AB104238</t>
  </si>
  <si>
    <t>AB104239</t>
  </si>
  <si>
    <t>AB104240</t>
  </si>
  <si>
    <t>AB104244</t>
  </si>
  <si>
    <t>AB104245</t>
  </si>
  <si>
    <t>AB104246</t>
  </si>
  <si>
    <t>AB104247</t>
  </si>
  <si>
    <t>AB104250</t>
  </si>
  <si>
    <t>AB104251</t>
  </si>
  <si>
    <t>AB104258</t>
  </si>
  <si>
    <t>AB104259</t>
  </si>
  <si>
    <t>AB104260</t>
  </si>
  <si>
    <t>AB104262</t>
  </si>
  <si>
    <t>AB104265</t>
  </si>
  <si>
    <t>AB104267</t>
  </si>
  <si>
    <t>AB104269</t>
  </si>
  <si>
    <t>AB104270</t>
  </si>
  <si>
    <t>AB104271</t>
  </si>
  <si>
    <t>AB104275</t>
  </si>
  <si>
    <t>AB104277</t>
  </si>
  <si>
    <t>AB104278</t>
  </si>
  <si>
    <t>AB104282</t>
  </si>
  <si>
    <t>AB104283</t>
  </si>
  <si>
    <t>AB104284</t>
  </si>
  <si>
    <t>AB104285</t>
  </si>
  <si>
    <t>AB104286</t>
  </si>
  <si>
    <t>AB104287</t>
  </si>
  <si>
    <t>AB104289</t>
  </si>
  <si>
    <t>AB104290</t>
  </si>
  <si>
    <t>AB104292</t>
  </si>
  <si>
    <t>AB104293</t>
  </si>
  <si>
    <t>AB104300</t>
  </si>
  <si>
    <t>AB104305</t>
  </si>
  <si>
    <t>AB104308</t>
  </si>
  <si>
    <t>AB104309</t>
  </si>
  <si>
    <t>AB104311</t>
  </si>
  <si>
    <t>AB104313</t>
  </si>
  <si>
    <t>AB104315</t>
  </si>
  <si>
    <t>AB104318</t>
  </si>
  <si>
    <t>AB104319</t>
  </si>
  <si>
    <t>AB104320</t>
  </si>
  <si>
    <t>AB104321</t>
  </si>
  <si>
    <t>AB104322</t>
  </si>
  <si>
    <t>AB104324</t>
  </si>
  <si>
    <t>AB104327</t>
  </si>
  <si>
    <t>AB104328</t>
  </si>
  <si>
    <t>AB104331</t>
  </si>
  <si>
    <t>AB104332</t>
  </si>
  <si>
    <t>AB104337</t>
  </si>
  <si>
    <t>AB104339</t>
  </si>
  <si>
    <t>AB104341</t>
  </si>
  <si>
    <t>AB104342</t>
  </si>
  <si>
    <t>AB104344</t>
  </si>
  <si>
    <t>AB104345</t>
  </si>
  <si>
    <t>AB104347</t>
  </si>
  <si>
    <t>AB104349</t>
  </si>
  <si>
    <t>AB104350</t>
  </si>
  <si>
    <t>AB104351</t>
  </si>
  <si>
    <t>AB104352</t>
  </si>
  <si>
    <t>AB104354</t>
  </si>
  <si>
    <t>AB104356</t>
  </si>
  <si>
    <t>AB104357</t>
  </si>
  <si>
    <t>AB104359</t>
  </si>
  <si>
    <t>AB104360</t>
  </si>
  <si>
    <t>AB104369</t>
  </si>
  <si>
    <t>AB104370</t>
  </si>
  <si>
    <t>AB104372</t>
  </si>
  <si>
    <t>AB104374</t>
  </si>
  <si>
    <t>AB104378</t>
  </si>
  <si>
    <t>AB104383</t>
  </si>
  <si>
    <t>AB104385</t>
  </si>
  <si>
    <t>AB104386</t>
  </si>
  <si>
    <t>AB104388</t>
  </si>
  <si>
    <t>AB104391</t>
  </si>
  <si>
    <t>AB104394</t>
  </si>
  <si>
    <t>AB104397</t>
  </si>
  <si>
    <t>AB104400</t>
  </si>
  <si>
    <t>AB104402</t>
  </si>
  <si>
    <t>AB104403</t>
  </si>
  <si>
    <t>AB104406</t>
  </si>
  <si>
    <t>AB104410</t>
  </si>
  <si>
    <t>AB104413</t>
  </si>
  <si>
    <t>AB104417</t>
  </si>
  <si>
    <t>AB104420</t>
  </si>
  <si>
    <t>AB104421</t>
  </si>
  <si>
    <t>AB104424</t>
  </si>
  <si>
    <t>AB104426</t>
  </si>
  <si>
    <t>AB104427</t>
  </si>
  <si>
    <t>AB104428</t>
  </si>
  <si>
    <t>AB104429</t>
  </si>
  <si>
    <t>AB104430</t>
  </si>
  <si>
    <t>AB104433</t>
  </si>
  <si>
    <t>AB104434</t>
  </si>
  <si>
    <t>AB104435</t>
  </si>
  <si>
    <t>AB104436</t>
  </si>
  <si>
    <t>AB104437</t>
  </si>
  <si>
    <t>AB104440</t>
  </si>
  <si>
    <t>AB104443</t>
  </si>
  <si>
    <t>AB104444</t>
  </si>
  <si>
    <t>AB104449</t>
  </si>
  <si>
    <t>AB104450</t>
  </si>
  <si>
    <t>AB104452</t>
  </si>
  <si>
    <t>AB104453</t>
  </si>
  <si>
    <t>AB104458</t>
  </si>
  <si>
    <t>AB104459</t>
  </si>
  <si>
    <t>AB104461</t>
  </si>
  <si>
    <t>AB104464</t>
  </si>
  <si>
    <t>AB104467</t>
  </si>
  <si>
    <t>AB104468</t>
  </si>
  <si>
    <t>AB104472</t>
  </si>
  <si>
    <t>AB104473</t>
  </si>
  <si>
    <t>AB104474</t>
  </si>
  <si>
    <t>AB104478</t>
  </si>
  <si>
    <t>AB104479</t>
  </si>
  <si>
    <t>AB104481</t>
  </si>
  <si>
    <t>AB104482</t>
  </si>
  <si>
    <t>AB104484</t>
  </si>
  <si>
    <t>AB104487</t>
  </si>
  <si>
    <t>AB104489</t>
  </si>
  <si>
    <t>AB104490</t>
  </si>
  <si>
    <t>AB104493</t>
  </si>
  <si>
    <t>AB104494</t>
  </si>
  <si>
    <t>AB104496</t>
  </si>
  <si>
    <t>AB104497</t>
  </si>
  <si>
    <t>AB104500</t>
  </si>
  <si>
    <t>AB104501</t>
  </si>
  <si>
    <t>AB104503</t>
  </si>
  <si>
    <t>AB104504</t>
  </si>
  <si>
    <t>AB104505</t>
  </si>
  <si>
    <t>AB104506</t>
  </si>
  <si>
    <t>AB104508</t>
  </si>
  <si>
    <t>AB104509</t>
  </si>
  <si>
    <t>AB104511</t>
  </si>
  <si>
    <t>AB104514</t>
  </si>
  <si>
    <t>AB104517</t>
  </si>
  <si>
    <t>AB104519</t>
  </si>
  <si>
    <t>AB104521</t>
  </si>
  <si>
    <t>AB104522</t>
  </si>
  <si>
    <t>AB104524</t>
  </si>
  <si>
    <t>AB104526</t>
  </si>
  <si>
    <t>AB104532</t>
  </si>
  <si>
    <t>AB104537</t>
  </si>
  <si>
    <t>AB104542</t>
  </si>
  <si>
    <t>AB104543</t>
  </si>
  <si>
    <t>AB104550</t>
  </si>
  <si>
    <t>AB104551</t>
  </si>
  <si>
    <t>AB104553</t>
  </si>
  <si>
    <t>AB104556</t>
  </si>
  <si>
    <t>AB104557</t>
  </si>
  <si>
    <t>AB104560</t>
  </si>
  <si>
    <t>AB104561</t>
  </si>
  <si>
    <t>AB104564</t>
  </si>
  <si>
    <t>AB104565</t>
  </si>
  <si>
    <t>AB104569</t>
  </si>
  <si>
    <t>AB104576</t>
  </si>
  <si>
    <t>AB104577</t>
  </si>
  <si>
    <t>AB104578</t>
  </si>
  <si>
    <t>AB104580</t>
  </si>
  <si>
    <t>AB104582</t>
  </si>
  <si>
    <t>AB104583</t>
  </si>
  <si>
    <t>AB104585</t>
  </si>
  <si>
    <t>AB104587</t>
  </si>
  <si>
    <t>AB104588</t>
  </si>
  <si>
    <t>AB104589</t>
  </si>
  <si>
    <t>AB104591</t>
  </si>
  <si>
    <t>AB104593</t>
  </si>
  <si>
    <t>AB104594</t>
  </si>
  <si>
    <t>AB104595</t>
  </si>
  <si>
    <t>AB104596</t>
  </si>
  <si>
    <t>AB104597</t>
  </si>
  <si>
    <t>AB104598</t>
  </si>
  <si>
    <t>AB104599</t>
  </si>
  <si>
    <t>AB104600</t>
  </si>
  <si>
    <t>AB104606</t>
  </si>
  <si>
    <t>AB104609</t>
  </si>
  <si>
    <t>AB104610</t>
  </si>
  <si>
    <t>AB104612</t>
  </si>
  <si>
    <t>AB104614</t>
  </si>
  <si>
    <t>AB104617</t>
  </si>
  <si>
    <t>AB104622</t>
  </si>
  <si>
    <t>AB104625</t>
  </si>
  <si>
    <t>AB104627</t>
  </si>
  <si>
    <t>AB104628</t>
  </si>
  <si>
    <t>AB104631</t>
  </si>
  <si>
    <t>AB104636</t>
  </si>
  <si>
    <t>AB104637</t>
  </si>
  <si>
    <t>AB104641</t>
  </si>
  <si>
    <t>AB104642</t>
  </si>
  <si>
    <t>AB104643</t>
  </si>
  <si>
    <t>AB104645</t>
  </si>
  <si>
    <t>AB104647</t>
  </si>
  <si>
    <t>AB104652</t>
  </si>
  <si>
    <t>AB104654</t>
  </si>
  <si>
    <t>AB104658</t>
  </si>
  <si>
    <t>AB104661</t>
  </si>
  <si>
    <t>AB104662</t>
  </si>
  <si>
    <t>AB104666</t>
  </si>
  <si>
    <t>AB104668</t>
  </si>
  <si>
    <t>AB104669</t>
  </si>
  <si>
    <t>AB104670</t>
  </si>
  <si>
    <t>AB104673</t>
  </si>
  <si>
    <t>AB104675</t>
  </si>
  <si>
    <t>AB104676</t>
  </si>
  <si>
    <t>AB104677</t>
  </si>
  <si>
    <t>AB104678</t>
  </si>
  <si>
    <t>AB104682</t>
  </si>
  <si>
    <t>AB104683</t>
  </si>
  <si>
    <t>AB104685</t>
  </si>
  <si>
    <t>AB104690</t>
  </si>
  <si>
    <t>AB104697</t>
  </si>
  <si>
    <t>AB104700</t>
  </si>
  <si>
    <t>AB104701</t>
  </si>
  <si>
    <t>AB104708</t>
  </si>
  <si>
    <t>AB104709</t>
  </si>
  <si>
    <t>AB104713</t>
  </si>
  <si>
    <t>AB104716</t>
  </si>
  <si>
    <t>AB104718</t>
  </si>
  <si>
    <t>AB104722</t>
  </si>
  <si>
    <t>AB104723</t>
  </si>
  <si>
    <t>AB104724</t>
  </si>
  <si>
    <t>AB104728</t>
  </si>
  <si>
    <t>AB104730</t>
  </si>
  <si>
    <t>AB104731</t>
  </si>
  <si>
    <t>AB104734</t>
  </si>
  <si>
    <t>AB104738</t>
  </si>
  <si>
    <t>AB104739</t>
  </si>
  <si>
    <t>AB104742</t>
  </si>
  <si>
    <t>AB104745</t>
  </si>
  <si>
    <t>AB104746</t>
  </si>
  <si>
    <t>AB104747</t>
  </si>
  <si>
    <t>AB104752</t>
  </si>
  <si>
    <t>AB104753</t>
  </si>
  <si>
    <t>AB104754</t>
  </si>
  <si>
    <t>AB104755</t>
  </si>
  <si>
    <t>AB104758</t>
  </si>
  <si>
    <t>AB104760</t>
  </si>
  <si>
    <t>AB104762</t>
  </si>
  <si>
    <t>AB104763</t>
  </si>
  <si>
    <t>AB104764</t>
  </si>
  <si>
    <t>AB104765</t>
  </si>
  <si>
    <t>AB104766</t>
  </si>
  <si>
    <t>AB104772</t>
  </si>
  <si>
    <t>AB104774</t>
  </si>
  <si>
    <t>AB104775</t>
  </si>
  <si>
    <t>AB104777</t>
  </si>
  <si>
    <t>AB104779</t>
  </si>
  <si>
    <t>AB104781</t>
  </si>
  <si>
    <t>AB104782</t>
  </si>
  <si>
    <t>AB104783</t>
  </si>
  <si>
    <t>AB104784</t>
  </si>
  <si>
    <t>AB104788</t>
  </si>
  <si>
    <t>AB104794</t>
  </si>
  <si>
    <t>AB104795</t>
  </si>
  <si>
    <t>AB104796</t>
  </si>
  <si>
    <t>AB104797</t>
  </si>
  <si>
    <t>AB104798</t>
  </si>
  <si>
    <t>AB104799</t>
  </si>
  <si>
    <t>AB104800</t>
  </si>
  <si>
    <t>AB104809</t>
  </si>
  <si>
    <t>AB104811</t>
  </si>
  <si>
    <t>AB104812</t>
  </si>
  <si>
    <t>AB104813</t>
  </si>
  <si>
    <t>AB104816</t>
  </si>
  <si>
    <t>AB104818</t>
  </si>
  <si>
    <t>AB104819</t>
  </si>
  <si>
    <t>AB104821</t>
  </si>
  <si>
    <t>AB104823</t>
  </si>
  <si>
    <t>AB104824</t>
  </si>
  <si>
    <t>AB104828</t>
  </si>
  <si>
    <t>AB104832</t>
  </si>
  <si>
    <t>AB104835</t>
  </si>
  <si>
    <t>AB104838</t>
  </si>
  <si>
    <t>AB104840</t>
  </si>
  <si>
    <t>AB104841</t>
  </si>
  <si>
    <t>AB104842</t>
  </si>
  <si>
    <t>AB104843</t>
  </si>
  <si>
    <t>AB104844</t>
  </si>
  <si>
    <t>AB104846</t>
  </si>
  <si>
    <t>AB104849</t>
  </si>
  <si>
    <t>AB104852</t>
  </si>
  <si>
    <t>AB104854</t>
  </si>
  <si>
    <t>AB104857</t>
  </si>
  <si>
    <t>AB104860</t>
  </si>
  <si>
    <t>AB104863</t>
  </si>
  <si>
    <t>AB104864</t>
  </si>
  <si>
    <t>AB104867</t>
  </si>
  <si>
    <t>AB104868</t>
  </si>
  <si>
    <t>AB104875</t>
  </si>
  <si>
    <t>AB104876</t>
  </si>
  <si>
    <t>AB104879</t>
  </si>
  <si>
    <t>AB104881</t>
  </si>
  <si>
    <t>AB104882</t>
  </si>
  <si>
    <t>AB104883</t>
  </si>
  <si>
    <t>AB104885</t>
  </si>
  <si>
    <t>AB104886</t>
  </si>
  <si>
    <t>AB104888</t>
  </si>
  <si>
    <t>AB104893</t>
  </si>
  <si>
    <t>AB104898</t>
  </si>
  <si>
    <t>AB104899</t>
  </si>
  <si>
    <t>AB104900</t>
  </si>
  <si>
    <t>AB104902</t>
  </si>
  <si>
    <t>AB104903</t>
  </si>
  <si>
    <t>AB104904</t>
  </si>
  <si>
    <t>AB104906</t>
  </si>
  <si>
    <t>AB104907</t>
  </si>
  <si>
    <t>AB104915</t>
  </si>
  <si>
    <t>AB104917</t>
  </si>
  <si>
    <t>AB104919</t>
  </si>
  <si>
    <t>AB104921</t>
  </si>
  <si>
    <t>AB104926</t>
  </si>
  <si>
    <t>AB104927</t>
  </si>
  <si>
    <t>AB104936</t>
  </si>
  <si>
    <t>AB104939</t>
  </si>
  <si>
    <t>AB104941</t>
  </si>
  <si>
    <t>AB104945</t>
  </si>
  <si>
    <t>AB104946</t>
  </si>
  <si>
    <t>AB104947</t>
  </si>
  <si>
    <t>AB104949</t>
  </si>
  <si>
    <t>AB104952</t>
  </si>
  <si>
    <t>AB104955</t>
  </si>
  <si>
    <t>AB104959</t>
  </si>
  <si>
    <t>AB104962</t>
  </si>
  <si>
    <t>AB104963</t>
  </si>
  <si>
    <t>AB104964</t>
  </si>
  <si>
    <t>AB104966</t>
  </si>
  <si>
    <t>AB104969</t>
  </si>
  <si>
    <t>AB104971</t>
  </si>
  <si>
    <t>AB104975</t>
  </si>
  <si>
    <t>AB104976</t>
  </si>
  <si>
    <t>AB104977</t>
  </si>
  <si>
    <t>AB104980</t>
  </si>
  <si>
    <t>AB104983</t>
  </si>
  <si>
    <t>AB104984</t>
  </si>
  <si>
    <t>AB104988</t>
  </si>
  <si>
    <t>AB104990</t>
  </si>
  <si>
    <t>AB104991</t>
  </si>
  <si>
    <t>AB104993</t>
  </si>
  <si>
    <t>AB104997</t>
  </si>
  <si>
    <t>AB104998</t>
  </si>
  <si>
    <t>AB104999</t>
  </si>
  <si>
    <t>AB105002</t>
  </si>
  <si>
    <t>AB105007</t>
  </si>
  <si>
    <t>AB105008</t>
  </si>
  <si>
    <t>AB105009</t>
  </si>
  <si>
    <t>AB105010</t>
  </si>
  <si>
    <t>AB105013</t>
  </si>
  <si>
    <t>AB105017</t>
  </si>
  <si>
    <t>AB105018</t>
  </si>
  <si>
    <t>AB105019</t>
  </si>
  <si>
    <t>AB105020</t>
  </si>
  <si>
    <t>AB105021</t>
  </si>
  <si>
    <t>AB105022</t>
  </si>
  <si>
    <t>AB105023</t>
  </si>
  <si>
    <t>AB105026</t>
  </si>
  <si>
    <t>AB105028</t>
  </si>
  <si>
    <t>AB105029</t>
  </si>
  <si>
    <t>AB105033</t>
  </si>
  <si>
    <t>AB105035</t>
  </si>
  <si>
    <t>AB105037</t>
  </si>
  <si>
    <t>AB105038</t>
  </si>
  <si>
    <t>AB105044</t>
  </si>
  <si>
    <t>AB105045</t>
  </si>
  <si>
    <t>AB105046</t>
  </si>
  <si>
    <t>AB105047</t>
  </si>
  <si>
    <t>AB105048</t>
  </si>
  <si>
    <t>AB105049</t>
  </si>
  <si>
    <t>AB105051</t>
  </si>
  <si>
    <t>AB105052</t>
  </si>
  <si>
    <t>AB105054</t>
  </si>
  <si>
    <t>AB105056</t>
  </si>
  <si>
    <t>AB105057</t>
  </si>
  <si>
    <t>AB105058</t>
  </si>
  <si>
    <t>AB105060</t>
  </si>
  <si>
    <t>AB105063</t>
  </si>
  <si>
    <t>AB105065</t>
  </si>
  <si>
    <t>AB105069</t>
  </si>
  <si>
    <t>AB105070</t>
  </si>
  <si>
    <t>AB105073</t>
  </si>
  <si>
    <t>AB105075</t>
  </si>
  <si>
    <t>AB105077</t>
  </si>
  <si>
    <t>AB105078</t>
  </si>
  <si>
    <t>AB105083</t>
  </si>
  <si>
    <t>AB105084</t>
  </si>
  <si>
    <t>AB105085</t>
  </si>
  <si>
    <t>AB105086</t>
  </si>
  <si>
    <t>AB105088</t>
  </si>
  <si>
    <t>AB105093</t>
  </si>
  <si>
    <t>AB105094</t>
  </si>
  <si>
    <t>AB105097</t>
  </si>
  <si>
    <t>AB105099</t>
  </si>
  <si>
    <t>AB105101</t>
  </si>
  <si>
    <t>AB105107</t>
  </si>
  <si>
    <t>AB105108</t>
  </si>
  <si>
    <t>AB105110</t>
  </si>
  <si>
    <t>AB105111</t>
  </si>
  <si>
    <t>AB105114</t>
  </si>
  <si>
    <t>AB105118</t>
  </si>
  <si>
    <t>AB105121</t>
  </si>
  <si>
    <t>AB105122</t>
  </si>
  <si>
    <t>AB105123</t>
  </si>
  <si>
    <t>AB105124</t>
  </si>
  <si>
    <t>AB105125</t>
  </si>
  <si>
    <t>AB105126</t>
  </si>
  <si>
    <t>AB105129</t>
  </si>
  <si>
    <t>AB105130</t>
  </si>
  <si>
    <t>AB105131</t>
  </si>
  <si>
    <t>AB105135</t>
  </si>
  <si>
    <t>AB105137</t>
  </si>
  <si>
    <t>AB105139</t>
  </si>
  <si>
    <t>AB105140</t>
  </si>
  <si>
    <t>AB105143</t>
  </si>
  <si>
    <t>AB105144</t>
  </si>
  <si>
    <t>AB105145</t>
  </si>
  <si>
    <t>AB105148</t>
  </si>
  <si>
    <t>AB105149</t>
  </si>
  <si>
    <t>AB105150</t>
  </si>
  <si>
    <t>AB105153</t>
  </si>
  <si>
    <t>AB105154</t>
  </si>
  <si>
    <t>AB105155</t>
  </si>
  <si>
    <t>AB105156</t>
  </si>
  <si>
    <t>AB105157</t>
  </si>
  <si>
    <t>AB105158</t>
  </si>
  <si>
    <t>AB105160</t>
  </si>
  <si>
    <t>AB105161</t>
  </si>
  <si>
    <t>AB105162</t>
  </si>
  <si>
    <t>AB105164</t>
  </si>
  <si>
    <t>AB105165</t>
  </si>
  <si>
    <t>AB105167</t>
  </si>
  <si>
    <t>AB105168</t>
  </si>
  <si>
    <t>AB105171</t>
  </si>
  <si>
    <t>AB105173</t>
  </si>
  <si>
    <t>AB105177</t>
  </si>
  <si>
    <t>AB105178</t>
  </si>
  <si>
    <t>AB105181</t>
  </si>
  <si>
    <t>AB105182</t>
  </si>
  <si>
    <t>AB105184</t>
  </si>
  <si>
    <t>AB105185</t>
  </si>
  <si>
    <t>AB105188</t>
  </si>
  <si>
    <t>AB105190</t>
  </si>
  <si>
    <t>AB105191</t>
  </si>
  <si>
    <t>AB105194</t>
  </si>
  <si>
    <t>AB105195</t>
  </si>
  <si>
    <t>AB105198</t>
  </si>
  <si>
    <t>AB105199</t>
  </si>
  <si>
    <t>AB105200</t>
  </si>
  <si>
    <t>AB105205</t>
  </si>
  <si>
    <t>AB105206</t>
  </si>
  <si>
    <t>AB105208</t>
  </si>
  <si>
    <t>AB105210</t>
  </si>
  <si>
    <t>AB105213</t>
  </si>
  <si>
    <t>AB105215</t>
  </si>
  <si>
    <t>AB105219</t>
  </si>
  <si>
    <t>AB105220</t>
  </si>
  <si>
    <t>AB105221</t>
  </si>
  <si>
    <t>AB105224</t>
  </si>
  <si>
    <t>AB105225</t>
  </si>
  <si>
    <t>AB105227</t>
  </si>
  <si>
    <t>AB105231</t>
  </si>
  <si>
    <t>AB105233</t>
  </si>
  <si>
    <t>AB105236</t>
  </si>
  <si>
    <t>AB105239</t>
  </si>
  <si>
    <t>AB105240</t>
  </si>
  <si>
    <t>AB105241</t>
  </si>
  <si>
    <t>AB105243</t>
  </si>
  <si>
    <t>AB105253</t>
  </si>
  <si>
    <t>AB105254</t>
  </si>
  <si>
    <t>AB105256</t>
  </si>
  <si>
    <t>AB105259</t>
  </si>
  <si>
    <t>AB105262</t>
  </si>
  <si>
    <t>AB105263</t>
  </si>
  <si>
    <t>AB105265</t>
  </si>
  <si>
    <t>AB105266</t>
  </si>
  <si>
    <t>AB105267</t>
  </si>
  <si>
    <t>AB105269</t>
  </si>
  <si>
    <t>AB105270</t>
  </si>
  <si>
    <t>AB105272</t>
  </si>
  <si>
    <t>AB105273</t>
  </si>
  <si>
    <t>AB105276</t>
  </si>
  <si>
    <t>AB105278</t>
  </si>
  <si>
    <t>AB105280</t>
  </si>
  <si>
    <t>AB105285</t>
  </si>
  <si>
    <t>AB105286</t>
  </si>
  <si>
    <t>AB105289</t>
  </si>
  <si>
    <t>AB105290</t>
  </si>
  <si>
    <t>AB105294</t>
  </si>
  <si>
    <t>AB105296</t>
  </si>
  <si>
    <t>AB105300</t>
  </si>
  <si>
    <t>AB105301</t>
  </si>
  <si>
    <t>AB105303</t>
  </si>
  <si>
    <t>AB105305</t>
  </si>
  <si>
    <t>AB105306</t>
  </si>
  <si>
    <t>AB105309</t>
  </si>
  <si>
    <t>AB105311</t>
  </si>
  <si>
    <t>AB105315</t>
  </si>
  <si>
    <t>AB105318</t>
  </si>
  <si>
    <t>AB105321</t>
  </si>
  <si>
    <t>AB105322</t>
  </si>
  <si>
    <t>AB105323</t>
  </si>
  <si>
    <t>AB105324</t>
  </si>
  <si>
    <t>AB105325</t>
  </si>
  <si>
    <t>AB105327</t>
  </si>
  <si>
    <t>AB105328</t>
  </si>
  <si>
    <t>AB105331</t>
  </si>
  <si>
    <t>AB105333</t>
  </si>
  <si>
    <t>AB105335</t>
  </si>
  <si>
    <t>AB105337</t>
  </si>
  <si>
    <t>AB105338</t>
  </si>
  <si>
    <t>AB105339</t>
  </si>
  <si>
    <t>AB105340</t>
  </si>
  <si>
    <t>AB105341</t>
  </si>
  <si>
    <t>AB105342</t>
  </si>
  <si>
    <t>AB105345</t>
  </si>
  <si>
    <t>AB105346</t>
  </si>
  <si>
    <t>AB105352</t>
  </si>
  <si>
    <t>AB105354</t>
  </si>
  <si>
    <t>AB105356</t>
  </si>
  <si>
    <t>AB105358</t>
  </si>
  <si>
    <t>AB105361</t>
  </si>
  <si>
    <t>AB105362</t>
  </si>
  <si>
    <t>AB105365</t>
  </si>
  <si>
    <t>AB105366</t>
  </si>
  <si>
    <t>AB105371</t>
  </si>
  <si>
    <t>AB105374</t>
  </si>
  <si>
    <t>AB105376</t>
  </si>
  <si>
    <t>AB105382</t>
  </si>
  <si>
    <t>AB105387</t>
  </si>
  <si>
    <t>AB105388</t>
  </si>
  <si>
    <t>AB105390</t>
  </si>
  <si>
    <t>AB105393</t>
  </si>
  <si>
    <t>AB105398</t>
  </si>
  <si>
    <t>AB105402</t>
  </si>
  <si>
    <t>AB105403</t>
  </si>
  <si>
    <t>AB105404</t>
  </si>
  <si>
    <t>AB105411</t>
  </si>
  <si>
    <t>AB105412</t>
  </si>
  <si>
    <t>AB105413</t>
  </si>
  <si>
    <t>AB105414</t>
  </si>
  <si>
    <t>AB105415</t>
  </si>
  <si>
    <t>AB105416</t>
  </si>
  <si>
    <t>AB105418</t>
  </si>
  <si>
    <t>AB105424</t>
  </si>
  <si>
    <t>AB105425</t>
  </si>
  <si>
    <t>AB105426</t>
  </si>
  <si>
    <t>AB105427</t>
  </si>
  <si>
    <t>AB105428</t>
  </si>
  <si>
    <t>AB105433</t>
  </si>
  <si>
    <t>AB105435</t>
  </si>
  <si>
    <t>AB105436</t>
  </si>
  <si>
    <t>AB105437</t>
  </si>
  <si>
    <t>AB105440</t>
  </si>
  <si>
    <t>AB105443</t>
  </si>
  <si>
    <t>AB105445</t>
  </si>
  <si>
    <t>AB105446</t>
  </si>
  <si>
    <t>AB105447</t>
  </si>
  <si>
    <t>AB105450</t>
  </si>
  <si>
    <t>AB105452</t>
  </si>
  <si>
    <t>AB105454</t>
  </si>
  <si>
    <t>AB105455</t>
  </si>
  <si>
    <t>AB105459</t>
  </si>
  <si>
    <t>AB105462</t>
  </si>
  <si>
    <t>AB105465</t>
  </si>
  <si>
    <t>AB105467</t>
  </si>
  <si>
    <t>AB105468</t>
  </si>
  <si>
    <t>AB105470</t>
  </si>
  <si>
    <t>AB105471</t>
  </si>
  <si>
    <t>AB105473</t>
  </si>
  <si>
    <t>AB105474</t>
  </si>
  <si>
    <t>AB105479</t>
  </si>
  <si>
    <t>AB105480</t>
  </si>
  <si>
    <t>AB105485</t>
  </si>
  <si>
    <t>AB105495</t>
  </si>
  <si>
    <t>AB105496</t>
  </si>
  <si>
    <t>AB105499</t>
  </si>
  <si>
    <t>AB105500</t>
  </si>
  <si>
    <t>AB105504</t>
  </si>
  <si>
    <t>AB105505</t>
  </si>
  <si>
    <t>AB105507</t>
  </si>
  <si>
    <t>AB105511</t>
  </si>
  <si>
    <t>AB105520</t>
  </si>
  <si>
    <t>AB105523</t>
  </si>
  <si>
    <t>AB105526</t>
  </si>
  <si>
    <t>AB105528</t>
  </si>
  <si>
    <t>AB105530</t>
  </si>
  <si>
    <t>AB105531</t>
  </si>
  <si>
    <t>AB105532</t>
  </si>
  <si>
    <t>AB105533</t>
  </si>
  <si>
    <t>AB105534</t>
  </si>
  <si>
    <t>AB105536</t>
  </si>
  <si>
    <t>AB105537</t>
  </si>
  <si>
    <t>AB105538</t>
  </si>
  <si>
    <t>AB105541</t>
  </si>
  <si>
    <t>AB105544</t>
  </si>
  <si>
    <t>AB105547</t>
  </si>
  <si>
    <t>AB105550</t>
  </si>
  <si>
    <t>AB105551</t>
  </si>
  <si>
    <t>AB105553</t>
  </si>
  <si>
    <t>AB105554</t>
  </si>
  <si>
    <t>AB105555</t>
  </si>
  <si>
    <t>AB105557</t>
  </si>
  <si>
    <t>AB105559</t>
  </si>
  <si>
    <t>AB105561</t>
  </si>
  <si>
    <t>AB105563</t>
  </si>
  <si>
    <t>AB105566</t>
  </si>
  <si>
    <t>AB105567</t>
  </si>
  <si>
    <t>AB105568</t>
  </si>
  <si>
    <t>AB105569</t>
  </si>
  <si>
    <t>AB105570</t>
  </si>
  <si>
    <t>AB105571</t>
  </si>
  <si>
    <t>AB105572</t>
  </si>
  <si>
    <t>AB105573</t>
  </si>
  <si>
    <t>AB105574</t>
  </si>
  <si>
    <t>AB105575</t>
  </si>
  <si>
    <t>AB105577</t>
  </si>
  <si>
    <t>AB105582</t>
  </si>
  <si>
    <t>AB105583</t>
  </si>
  <si>
    <t>AB105586</t>
  </si>
  <si>
    <t>AB105587</t>
  </si>
  <si>
    <t>AB105589</t>
  </si>
  <si>
    <t>AB105594</t>
  </si>
  <si>
    <t>AB105597</t>
  </si>
  <si>
    <t>AB105599</t>
  </si>
  <si>
    <t>AB105600</t>
  </si>
  <si>
    <t>AB105603</t>
  </si>
  <si>
    <t>AB105606</t>
  </si>
  <si>
    <t>AB105607</t>
  </si>
  <si>
    <t>AB105610</t>
  </si>
  <si>
    <t>AB105615</t>
  </si>
  <si>
    <t>AB105616</t>
  </si>
  <si>
    <t>AB105617</t>
  </si>
  <si>
    <t>AB105618</t>
  </si>
  <si>
    <t>AB105620</t>
  </si>
  <si>
    <t>AB105623</t>
  </si>
  <si>
    <t>AB105628</t>
  </si>
  <si>
    <t>AB105629</t>
  </si>
  <si>
    <t>AB105637</t>
  </si>
  <si>
    <t>AB105638</t>
  </si>
  <si>
    <t>AB105640</t>
  </si>
  <si>
    <t>AB105642</t>
  </si>
  <si>
    <t>AB105645</t>
  </si>
  <si>
    <t>AB105649</t>
  </si>
  <si>
    <t>AB105651</t>
  </si>
  <si>
    <t>AB105653</t>
  </si>
  <si>
    <t>AB105654</t>
  </si>
  <si>
    <t>AB105658</t>
  </si>
  <si>
    <t>AB105659</t>
  </si>
  <si>
    <t>AB105661</t>
  </si>
  <si>
    <t>AB105666</t>
  </si>
  <si>
    <t>AB105667</t>
  </si>
  <si>
    <t>AB105672</t>
  </si>
  <si>
    <t>AB105673</t>
  </si>
  <si>
    <t>AB105675</t>
  </si>
  <si>
    <t>AB105678</t>
  </si>
  <si>
    <t>AB105679</t>
  </si>
  <si>
    <t>AB105681</t>
  </si>
  <si>
    <t>AB105687</t>
  </si>
  <si>
    <t>AB105688</t>
  </si>
  <si>
    <t>AB105690</t>
  </si>
  <si>
    <t>AB105691</t>
  </si>
  <si>
    <t>AB105694</t>
  </si>
  <si>
    <t>AB105699</t>
  </si>
  <si>
    <t>AB105700</t>
  </si>
  <si>
    <t>AB105703</t>
  </si>
  <si>
    <t>AB105704</t>
  </si>
  <si>
    <t>AB105707</t>
  </si>
  <si>
    <t>AB105708</t>
  </si>
  <si>
    <t>AB105710</t>
  </si>
  <si>
    <t>AB105712</t>
  </si>
  <si>
    <t>AB105718</t>
  </si>
  <si>
    <t>AB105719</t>
  </si>
  <si>
    <t>AB105720</t>
  </si>
  <si>
    <t>AB105722</t>
  </si>
  <si>
    <t>AB105724</t>
  </si>
  <si>
    <t>AB105727</t>
  </si>
  <si>
    <t>AB105729</t>
  </si>
  <si>
    <t>AB105731</t>
  </si>
  <si>
    <t>AB105732</t>
  </si>
  <si>
    <t>AB105733</t>
  </si>
  <si>
    <t>AB105734</t>
  </si>
  <si>
    <t>AB105739</t>
  </si>
  <si>
    <t>AB105743</t>
  </si>
  <si>
    <t>AB105744</t>
  </si>
  <si>
    <t>AB105745</t>
  </si>
  <si>
    <t>AB105746</t>
  </si>
  <si>
    <t>AB105749</t>
  </si>
  <si>
    <t>AB105752</t>
  </si>
  <si>
    <t>AB105754</t>
  </si>
  <si>
    <t>AB105755</t>
  </si>
  <si>
    <t>AB105760</t>
  </si>
  <si>
    <t>AB105761</t>
  </si>
  <si>
    <t>AB105764</t>
  </si>
  <si>
    <t>AB105770</t>
  </si>
  <si>
    <t>AB105771</t>
  </si>
  <si>
    <t>AB105773</t>
  </si>
  <si>
    <t>AB105776</t>
  </si>
  <si>
    <t>AB105780</t>
  </si>
  <si>
    <t>AB105782</t>
  </si>
  <si>
    <t>AB105785</t>
  </si>
  <si>
    <t>AB105789</t>
  </si>
  <si>
    <t>AB105794</t>
  </si>
  <si>
    <t>AB105795</t>
  </si>
  <si>
    <t>AB105796</t>
  </si>
  <si>
    <t>AB105798</t>
  </si>
  <si>
    <t>AB105801</t>
  </si>
  <si>
    <t>AB105802</t>
  </si>
  <si>
    <t>AB105803</t>
  </si>
  <si>
    <t>AB105805</t>
  </si>
  <si>
    <t>AB105806</t>
  </si>
  <si>
    <t>AB105809</t>
  </si>
  <si>
    <t>AB105810</t>
  </si>
  <si>
    <t>AB105811</t>
  </si>
  <si>
    <t>AB105815</t>
  </si>
  <si>
    <t>AB105816</t>
  </si>
  <si>
    <t>AB105817</t>
  </si>
  <si>
    <t>AB105818</t>
  </si>
  <si>
    <t>AB105819</t>
  </si>
  <si>
    <t>AB105822</t>
  </si>
  <si>
    <t>AB105826</t>
  </si>
  <si>
    <t>AB105828</t>
  </si>
  <si>
    <t>AB105830</t>
  </si>
  <si>
    <t>AB105831</t>
  </si>
  <si>
    <t>AB105835</t>
  </si>
  <si>
    <t>AB105836</t>
  </si>
  <si>
    <t>AB105839</t>
  </si>
  <si>
    <t>AB105842</t>
  </si>
  <si>
    <t>AB105844</t>
  </si>
  <si>
    <t>AB105847</t>
  </si>
  <si>
    <t>AB105849</t>
  </si>
  <si>
    <t>AB105850</t>
  </si>
  <si>
    <t>AB105851</t>
  </si>
  <si>
    <t>AB105854</t>
  </si>
  <si>
    <t>AB105855</t>
  </si>
  <si>
    <t>AB105856</t>
  </si>
  <si>
    <t>AB105858</t>
  </si>
  <si>
    <t>AB105860</t>
  </si>
  <si>
    <t>AB105862</t>
  </si>
  <si>
    <t>AB105864</t>
  </si>
  <si>
    <t>AB105865</t>
  </si>
  <si>
    <t>AB105866</t>
  </si>
  <si>
    <t>AB105867</t>
  </si>
  <si>
    <t>AB105868</t>
  </si>
  <si>
    <t>AB105872</t>
  </si>
  <si>
    <t>AB105874</t>
  </si>
  <si>
    <t>AB105876</t>
  </si>
  <si>
    <t>AB105877</t>
  </si>
  <si>
    <t>AB105879</t>
  </si>
  <si>
    <t>AB105880</t>
  </si>
  <si>
    <t>AB105881</t>
  </si>
  <si>
    <t>AB105892</t>
  </si>
  <si>
    <t>AB105893</t>
  </si>
  <si>
    <t>AB105899</t>
  </si>
  <si>
    <t>AB105900</t>
  </si>
  <si>
    <t>AB105901</t>
  </si>
  <si>
    <t>AB105902</t>
  </si>
  <si>
    <t>AB105903</t>
  </si>
  <si>
    <t>AB105907</t>
  </si>
  <si>
    <t>AB105909</t>
  </si>
  <si>
    <t>AB105911</t>
  </si>
  <si>
    <t>AB105917</t>
  </si>
  <si>
    <t>AB105920</t>
  </si>
  <si>
    <t>AB105922</t>
  </si>
  <si>
    <t>AB105924</t>
  </si>
  <si>
    <t>AB105925</t>
  </si>
  <si>
    <t>AB105928</t>
  </si>
  <si>
    <t>AB105929</t>
  </si>
  <si>
    <t>AB105931</t>
  </si>
  <si>
    <t>AB105935</t>
  </si>
  <si>
    <t>AB105937</t>
  </si>
  <si>
    <t>AB105942</t>
  </si>
  <si>
    <t>AB105944</t>
  </si>
  <si>
    <t>AB105950</t>
  </si>
  <si>
    <t>AB105951</t>
  </si>
  <si>
    <t>AB105954</t>
  </si>
  <si>
    <t>AB105963</t>
  </si>
  <si>
    <t>AB105966</t>
  </si>
  <si>
    <t>AB105967</t>
  </si>
  <si>
    <t>AB105968</t>
  </si>
  <si>
    <t>AB105970</t>
  </si>
  <si>
    <t>AB105974</t>
  </si>
  <si>
    <t>AB105975</t>
  </si>
  <si>
    <t>AB105980</t>
  </si>
  <si>
    <t>AB105982</t>
  </si>
  <si>
    <t>AB105984</t>
  </si>
  <si>
    <t>AB105988</t>
  </si>
  <si>
    <t>AB105989</t>
  </si>
  <si>
    <t>AB105992</t>
  </si>
  <si>
    <t>AB105993</t>
  </si>
  <si>
    <t>AB105994</t>
  </si>
  <si>
    <t>AB105999</t>
  </si>
  <si>
    <t>AB106002</t>
  </si>
  <si>
    <t>AB106003</t>
  </si>
  <si>
    <t>AB106004</t>
  </si>
  <si>
    <t>AB106005</t>
  </si>
  <si>
    <t>AB106006</t>
  </si>
  <si>
    <t>AB106007</t>
  </si>
  <si>
    <t>AB106010</t>
  </si>
  <si>
    <t>AB106012</t>
  </si>
  <si>
    <t>AB106017</t>
  </si>
  <si>
    <t>AB106019</t>
  </si>
  <si>
    <t>AB106020</t>
  </si>
  <si>
    <t>AB106021</t>
  </si>
  <si>
    <t>AB106024</t>
  </si>
  <si>
    <t>AB106025</t>
  </si>
  <si>
    <t>AB106028</t>
  </si>
  <si>
    <t>AB106029</t>
  </si>
  <si>
    <t>AB106031</t>
  </si>
  <si>
    <t>AB106033</t>
  </si>
  <si>
    <t>AB106036</t>
  </si>
  <si>
    <t>AB106040</t>
  </si>
  <si>
    <t>AB106046</t>
  </si>
  <si>
    <t>AB106049</t>
  </si>
  <si>
    <t>AB106051</t>
  </si>
  <si>
    <t>AB106057</t>
  </si>
  <si>
    <t>AB106059</t>
  </si>
  <si>
    <t>AB106064</t>
  </si>
  <si>
    <t>AB106065</t>
  </si>
  <si>
    <t>AB106066</t>
  </si>
  <si>
    <t>AB106072</t>
  </si>
  <si>
    <t>AB106076</t>
  </si>
  <si>
    <t>AB106078</t>
  </si>
  <si>
    <t>AB106079</t>
  </si>
  <si>
    <t>AB106080</t>
  </si>
  <si>
    <t>AB106083</t>
  </si>
  <si>
    <t>AB106085</t>
  </si>
  <si>
    <t>AB106086</t>
  </si>
  <si>
    <t>AB106095</t>
  </si>
  <si>
    <t>AB106096</t>
  </si>
  <si>
    <t>AB106101</t>
  </si>
  <si>
    <t>AB106102</t>
  </si>
  <si>
    <t>AB106105</t>
  </si>
  <si>
    <t>AB106107</t>
  </si>
  <si>
    <t>AB106108</t>
  </si>
  <si>
    <t>AB106110</t>
  </si>
  <si>
    <t>AB106112</t>
  </si>
  <si>
    <t>AB106113</t>
  </si>
  <si>
    <t>AB106117</t>
  </si>
  <si>
    <t>AB106120</t>
  </si>
  <si>
    <t>AB106123</t>
  </si>
  <si>
    <t>AB106126</t>
  </si>
  <si>
    <t>AB106127</t>
  </si>
  <si>
    <t>AB106128</t>
  </si>
  <si>
    <t>AB106129</t>
  </si>
  <si>
    <t>AB106133</t>
  </si>
  <si>
    <t>AB106136</t>
  </si>
  <si>
    <t>AB106137</t>
  </si>
  <si>
    <t>AB106138</t>
  </si>
  <si>
    <t>AB106140</t>
  </si>
  <si>
    <t>AB106141</t>
  </si>
  <si>
    <t>AB106142</t>
  </si>
  <si>
    <t>AB106144</t>
  </si>
  <si>
    <t>AB106145</t>
  </si>
  <si>
    <t>AB106147</t>
  </si>
  <si>
    <t>AB106149</t>
  </si>
  <si>
    <t>AB106154</t>
  </si>
  <si>
    <t>AB106157</t>
  </si>
  <si>
    <t>AB106158</t>
  </si>
  <si>
    <t>AB106174</t>
  </si>
  <si>
    <t>AB106175</t>
  </si>
  <si>
    <t>AB106176</t>
  </si>
  <si>
    <t>AB106184</t>
  </si>
  <si>
    <t>AB106189</t>
  </si>
  <si>
    <t>AB106191</t>
  </si>
  <si>
    <t>AB106198</t>
  </si>
  <si>
    <t>AB106199</t>
  </si>
  <si>
    <t>AB106204</t>
  </si>
  <si>
    <t>AB106205</t>
  </si>
  <si>
    <t>AB106211</t>
  </si>
  <si>
    <t>AB106213</t>
  </si>
  <si>
    <t>AB106215</t>
  </si>
  <si>
    <t>AB106216</t>
  </si>
  <si>
    <t>AB106219</t>
  </si>
  <si>
    <t>AB106220</t>
  </si>
  <si>
    <t>AB106222</t>
  </si>
  <si>
    <t>AB106223</t>
  </si>
  <si>
    <t>AB106224</t>
  </si>
  <si>
    <t>AB106225</t>
  </si>
  <si>
    <t>AB106226</t>
  </si>
  <si>
    <t>AB106231</t>
  </si>
  <si>
    <t>AB106232</t>
  </si>
  <si>
    <t>AB106235</t>
  </si>
  <si>
    <t>AB106236</t>
  </si>
  <si>
    <t>AB106237</t>
  </si>
  <si>
    <t>AB106238</t>
  </si>
  <si>
    <t>AB106244</t>
  </si>
  <si>
    <t>AB106247</t>
  </si>
  <si>
    <t>AB106249</t>
  </si>
  <si>
    <t>AB106250</t>
  </si>
  <si>
    <t>AB106251</t>
  </si>
  <si>
    <t>AB106252</t>
  </si>
  <si>
    <t>AB106254</t>
  </si>
  <si>
    <t>AB106255</t>
  </si>
  <si>
    <t>AB106257</t>
  </si>
  <si>
    <t>AB106258</t>
  </si>
  <si>
    <t>AB106260</t>
  </si>
  <si>
    <t>AB106262</t>
  </si>
  <si>
    <t>AB106264</t>
  </si>
  <si>
    <t>AB106267</t>
  </si>
  <si>
    <t>AB106270</t>
  </si>
  <si>
    <t>AB106271</t>
  </si>
  <si>
    <t>AB106273</t>
  </si>
  <si>
    <t>AB106274</t>
  </si>
  <si>
    <t>AB106275</t>
  </si>
  <si>
    <t>AB106276</t>
  </si>
  <si>
    <t>AB106277</t>
  </si>
  <si>
    <t>AB106281</t>
  </si>
  <si>
    <t>AB106282</t>
  </si>
  <si>
    <t>AB106283</t>
  </si>
  <si>
    <t>AB106287</t>
  </si>
  <si>
    <t>AB106289</t>
  </si>
  <si>
    <t>AB106296</t>
  </si>
  <si>
    <t>AB106301</t>
  </si>
  <si>
    <t>AB106304</t>
  </si>
  <si>
    <t>AB106306</t>
  </si>
  <si>
    <t>AB106311</t>
  </si>
  <si>
    <t>AB106313</t>
  </si>
  <si>
    <t>AB106315</t>
  </si>
  <si>
    <t>AB106316</t>
  </si>
  <si>
    <t>AB106320</t>
  </si>
  <si>
    <t>AB106323</t>
  </si>
  <si>
    <t>AB106324</t>
  </si>
  <si>
    <t>AB106326</t>
  </si>
  <si>
    <t>AB106329</t>
  </si>
  <si>
    <t>AB106330</t>
  </si>
  <si>
    <t>AB106333</t>
  </si>
  <si>
    <t>AB106340</t>
  </si>
  <si>
    <t>AB106346</t>
  </si>
  <si>
    <t>AB106347</t>
  </si>
  <si>
    <t>AB106349</t>
  </si>
  <si>
    <t>AB106350</t>
  </si>
  <si>
    <t>AB106353</t>
  </si>
  <si>
    <t>AB106355</t>
  </si>
  <si>
    <t>AB106357</t>
  </si>
  <si>
    <t>AB106359</t>
  </si>
  <si>
    <t>AB106361</t>
  </si>
  <si>
    <t>AB106364</t>
  </si>
  <si>
    <t>AB106365</t>
  </si>
  <si>
    <t>AB106367</t>
  </si>
  <si>
    <t>AB106369</t>
  </si>
  <si>
    <t>AB106370</t>
  </si>
  <si>
    <t>AB106371</t>
  </si>
  <si>
    <t>AB106372</t>
  </si>
  <si>
    <t>AB106373</t>
  </si>
  <si>
    <t>AB106375</t>
  </si>
  <si>
    <t>AB106378</t>
  </si>
  <si>
    <t>AB106379</t>
  </si>
  <si>
    <t>AB106380</t>
  </si>
  <si>
    <t>AB106381</t>
  </si>
  <si>
    <t>AB106383</t>
  </si>
  <si>
    <t>AB106384</t>
  </si>
  <si>
    <t>AB106385</t>
  </si>
  <si>
    <t>AB106388</t>
  </si>
  <si>
    <t>AB106393</t>
  </si>
  <si>
    <t>AB106394</t>
  </si>
  <si>
    <t>AB106395</t>
  </si>
  <si>
    <t>AB106396</t>
  </si>
  <si>
    <t>AB106401</t>
  </si>
  <si>
    <t>AB106402</t>
  </si>
  <si>
    <t>AB106405</t>
  </si>
  <si>
    <t>AB106406</t>
  </si>
  <si>
    <t>AB106408</t>
  </si>
  <si>
    <t>AB106410</t>
  </si>
  <si>
    <t>AB106413</t>
  </si>
  <si>
    <t>AB106414</t>
  </si>
  <si>
    <t>AB106415</t>
  </si>
  <si>
    <t>AB106416</t>
  </si>
  <si>
    <t>AB106417</t>
  </si>
  <si>
    <t>AB106420</t>
  </si>
  <si>
    <t>AB106424</t>
  </si>
  <si>
    <t>AB106425</t>
  </si>
  <si>
    <t>AB106426</t>
  </si>
  <si>
    <t>AB106430</t>
  </si>
  <si>
    <t>AB106431</t>
  </si>
  <si>
    <t>AB106432</t>
  </si>
  <si>
    <t>AB106434</t>
  </si>
  <si>
    <t>AB106436</t>
  </si>
  <si>
    <t>AB106437</t>
  </si>
  <si>
    <t>AB106438</t>
  </si>
  <si>
    <t>AB106442</t>
  </si>
  <si>
    <t>AB106443</t>
  </si>
  <si>
    <t>AB106445</t>
  </si>
  <si>
    <t>AB106449</t>
  </si>
  <si>
    <t>AB106451</t>
  </si>
  <si>
    <t>AB106453</t>
  </si>
  <si>
    <t>AB106456</t>
  </si>
  <si>
    <t>AB106462</t>
  </si>
  <si>
    <t>AB106468</t>
  </si>
  <si>
    <t>AB106469</t>
  </si>
  <si>
    <t>AB106470</t>
  </si>
  <si>
    <t>AB106473</t>
  </si>
  <si>
    <t>AB106477</t>
  </si>
  <si>
    <t>AB106478</t>
  </si>
  <si>
    <t>AB106484</t>
  </si>
  <si>
    <t>AB106487</t>
  </si>
  <si>
    <t>AB106488</t>
  </si>
  <si>
    <t>AB106489</t>
  </si>
  <si>
    <t>AB106490</t>
  </si>
  <si>
    <t>AB106493</t>
  </si>
  <si>
    <t>AB106494</t>
  </si>
  <si>
    <t>AB106501</t>
  </si>
  <si>
    <t>AB106502</t>
  </si>
  <si>
    <t>AB106503</t>
  </si>
  <si>
    <t>AB106505</t>
  </si>
  <si>
    <t>AB106506</t>
  </si>
  <si>
    <t>AB106507</t>
  </si>
  <si>
    <t>AB106510</t>
  </si>
  <si>
    <t>AB106513</t>
  </si>
  <si>
    <t>AB106517</t>
  </si>
  <si>
    <t>AB106520</t>
  </si>
  <si>
    <t>AB106521</t>
  </si>
  <si>
    <t>AB106523</t>
  </si>
  <si>
    <t>AB106524</t>
  </si>
  <si>
    <t>AB106525</t>
  </si>
  <si>
    <t>AB106527</t>
  </si>
  <si>
    <t>AB106531</t>
  </si>
  <si>
    <t>AB106532</t>
  </si>
  <si>
    <t>AB106533</t>
  </si>
  <si>
    <t>AB106536</t>
  </si>
  <si>
    <t>AB106537</t>
  </si>
  <si>
    <t>AB106539</t>
  </si>
  <si>
    <t>AB106540</t>
  </si>
  <si>
    <t>AB106542</t>
  </si>
  <si>
    <t>AB106543</t>
  </si>
  <si>
    <t>AB106545</t>
  </si>
  <si>
    <t>AB106546</t>
  </si>
  <si>
    <t>AB106549</t>
  </si>
  <si>
    <t>AB106550</t>
  </si>
  <si>
    <t>AB106557</t>
  </si>
  <si>
    <t>AB106558</t>
  </si>
  <si>
    <t>AB106563</t>
  </si>
  <si>
    <t>AB106564</t>
  </si>
  <si>
    <t>AB106572</t>
  </si>
  <si>
    <t>AB106573</t>
  </si>
  <si>
    <t>AB106578</t>
  </si>
  <si>
    <t>AB106579</t>
  </si>
  <si>
    <t>AB106582</t>
  </si>
  <si>
    <t>AB106588</t>
  </si>
  <si>
    <t>AB106591</t>
  </si>
  <si>
    <t>AB106595</t>
  </si>
  <si>
    <t>AB106598</t>
  </si>
  <si>
    <t>AB106600</t>
  </si>
  <si>
    <t>AB106601</t>
  </si>
  <si>
    <t>AB106604</t>
  </si>
  <si>
    <t>AB106605</t>
  </si>
  <si>
    <t>AB106606</t>
  </si>
  <si>
    <t>AB106607</t>
  </si>
  <si>
    <t>AB106610</t>
  </si>
  <si>
    <t>AB106613</t>
  </si>
  <si>
    <t>AB106614</t>
  </si>
  <si>
    <t>AB106618</t>
  </si>
  <si>
    <t>AB106619</t>
  </si>
  <si>
    <t>AB106620</t>
  </si>
  <si>
    <t>AB106621</t>
  </si>
  <si>
    <t>AB106623</t>
  </si>
  <si>
    <t>AB106624</t>
  </si>
  <si>
    <t>AB106625</t>
  </si>
  <si>
    <t>AB106630</t>
  </si>
  <si>
    <t>AB106631</t>
  </si>
  <si>
    <t>AB106635</t>
  </si>
  <si>
    <t>AB106636</t>
  </si>
  <si>
    <t>AB106637</t>
  </si>
  <si>
    <t>AB106643</t>
  </si>
  <si>
    <t>AB106647</t>
  </si>
  <si>
    <t>AB106649</t>
  </si>
  <si>
    <t>AB106653</t>
  </si>
  <si>
    <t>AB106655</t>
  </si>
  <si>
    <t>AB106661</t>
  </si>
  <si>
    <t>AB106662</t>
  </si>
  <si>
    <t>AB106664</t>
  </si>
  <si>
    <t>AB106665</t>
  </si>
  <si>
    <t>AB106667</t>
  </si>
  <si>
    <t>AB106670</t>
  </si>
  <si>
    <t>AB106673</t>
  </si>
  <si>
    <t>AB106675</t>
  </si>
  <si>
    <t>AB106676</t>
  </si>
  <si>
    <t>AB106677</t>
  </si>
  <si>
    <t>AB106678</t>
  </si>
  <si>
    <t>AB106682</t>
  </si>
  <si>
    <t>AB106683</t>
  </si>
  <si>
    <t>AB106687</t>
  </si>
  <si>
    <t>AB106689</t>
  </si>
  <si>
    <t>AB106694</t>
  </si>
  <si>
    <t>AB106696</t>
  </si>
  <si>
    <t>AB106698</t>
  </si>
  <si>
    <t>AB106699</t>
  </si>
  <si>
    <t>AB106701</t>
  </si>
  <si>
    <t>AB106704</t>
  </si>
  <si>
    <t>AB106713</t>
  </si>
  <si>
    <t>AB106715</t>
  </si>
  <si>
    <t>AB106716</t>
  </si>
  <si>
    <t>AB106718</t>
  </si>
  <si>
    <t>AB106720</t>
  </si>
  <si>
    <t>AB106722</t>
  </si>
  <si>
    <t>AB106724</t>
  </si>
  <si>
    <t>AB106726</t>
  </si>
  <si>
    <t>AB106730</t>
  </si>
  <si>
    <t>AB106731</t>
  </si>
  <si>
    <t>AB106733</t>
  </si>
  <si>
    <t>AB106734</t>
  </si>
  <si>
    <t>AB106736</t>
  </si>
  <si>
    <t>AB106738</t>
  </si>
  <si>
    <t>AB106740</t>
  </si>
  <si>
    <t>AB106742</t>
  </si>
  <si>
    <t>AB106747</t>
  </si>
  <si>
    <t>AB106748</t>
  </si>
  <si>
    <t>AB106753</t>
  </si>
  <si>
    <t>AB106758</t>
  </si>
  <si>
    <t>AB106762</t>
  </si>
  <si>
    <t>AB106765</t>
  </si>
  <si>
    <t>AB106766</t>
  </si>
  <si>
    <t>AB106767</t>
  </si>
  <si>
    <t>AB106775</t>
  </si>
  <si>
    <t>AB106776</t>
  </si>
  <si>
    <t>AB106777</t>
  </si>
  <si>
    <t>AB106778</t>
  </si>
  <si>
    <t>AB106779</t>
  </si>
  <si>
    <t>AB106780</t>
  </si>
  <si>
    <t>AB106781</t>
  </si>
  <si>
    <t>AB106785</t>
  </si>
  <si>
    <t>AB106786</t>
  </si>
  <si>
    <t>AB106787</t>
  </si>
  <si>
    <t>AB106789</t>
  </si>
  <si>
    <t>AB106792</t>
  </si>
  <si>
    <t>AB106795</t>
  </si>
  <si>
    <t>AB106802</t>
  </si>
  <si>
    <t>AB106803</t>
  </si>
  <si>
    <t>AB106804</t>
  </si>
  <si>
    <t>AB106806</t>
  </si>
  <si>
    <t>AB106811</t>
  </si>
  <si>
    <t>AB106812</t>
  </si>
  <si>
    <t>AB106814</t>
  </si>
  <si>
    <t>AB106815</t>
  </si>
  <si>
    <t>AB106816</t>
  </si>
  <si>
    <t>AB106820</t>
  </si>
  <si>
    <t>AB106821</t>
  </si>
  <si>
    <t>AB106826</t>
  </si>
  <si>
    <t>AB106827</t>
  </si>
  <si>
    <t>AB106829</t>
  </si>
  <si>
    <t>AB106830</t>
  </si>
  <si>
    <t>AB106831</t>
  </si>
  <si>
    <t>AB106833</t>
  </si>
  <si>
    <t>AB106839</t>
  </si>
  <si>
    <t>AB106841</t>
  </si>
  <si>
    <t>AB106843</t>
  </si>
  <si>
    <t>AB106844</t>
  </si>
  <si>
    <t>AB106845</t>
  </si>
  <si>
    <t>AB106847</t>
  </si>
  <si>
    <t>AB106848</t>
  </si>
  <si>
    <t>AB106850</t>
  </si>
  <si>
    <t>AB106851</t>
  </si>
  <si>
    <t>AB106853</t>
  </si>
  <si>
    <t>AB106854</t>
  </si>
  <si>
    <t>AB106863</t>
  </si>
  <si>
    <t>AB106864</t>
  </si>
  <si>
    <t>AB106865</t>
  </si>
  <si>
    <t>AB106867</t>
  </si>
  <si>
    <t>AB106871</t>
  </si>
  <si>
    <t>AB106882</t>
  </si>
  <si>
    <t>AB106885</t>
  </si>
  <si>
    <t>AB106886</t>
  </si>
  <si>
    <t>AB106888</t>
  </si>
  <si>
    <t>AB106891</t>
  </si>
  <si>
    <t>AB106892</t>
  </si>
  <si>
    <t>AB106893</t>
  </si>
  <si>
    <t>AB106898</t>
  </si>
  <si>
    <t>AB106902</t>
  </si>
  <si>
    <t>AB106903</t>
  </si>
  <si>
    <t>AB106905</t>
  </si>
  <si>
    <t>AB106910</t>
  </si>
  <si>
    <t>AB106911</t>
  </si>
  <si>
    <t>AB106912</t>
  </si>
  <si>
    <t>AB106913</t>
  </si>
  <si>
    <t>AB106915</t>
  </si>
  <si>
    <t>AB106916</t>
  </si>
  <si>
    <t>AB106917</t>
  </si>
  <si>
    <t>AB106919</t>
  </si>
  <si>
    <t>AB106920</t>
  </si>
  <si>
    <t>AB106921</t>
  </si>
  <si>
    <t>AB106925</t>
  </si>
  <si>
    <t>AB106928</t>
  </si>
  <si>
    <t>AB106930</t>
  </si>
  <si>
    <t>AB106934</t>
  </si>
  <si>
    <t>AB106939</t>
  </si>
  <si>
    <t>AB106941</t>
  </si>
  <si>
    <t>AB106943</t>
  </si>
  <si>
    <t>AB106945</t>
  </si>
  <si>
    <t>AB106946</t>
  </si>
  <si>
    <t>AB106949</t>
  </si>
  <si>
    <t>AB106954</t>
  </si>
  <si>
    <t>AB106955</t>
  </si>
  <si>
    <t>AB106957</t>
  </si>
  <si>
    <t>AB106959</t>
  </si>
  <si>
    <t>AB106962</t>
  </si>
  <si>
    <t>AB106964</t>
  </si>
  <si>
    <t>AB106968</t>
  </si>
  <si>
    <t>AB106969</t>
  </si>
  <si>
    <t>AB106974</t>
  </si>
  <si>
    <t>AB106976</t>
  </si>
  <si>
    <t>AB106977</t>
  </si>
  <si>
    <t>AB106978</t>
  </si>
  <si>
    <t>AB106979</t>
  </si>
  <si>
    <t>AB106981</t>
  </si>
  <si>
    <t>AB106984</t>
  </si>
  <si>
    <t>AB106985</t>
  </si>
  <si>
    <t>AB106986</t>
  </si>
  <si>
    <t>AB106989</t>
  </si>
  <si>
    <t>AB106990</t>
  </si>
  <si>
    <t>AB106991</t>
  </si>
  <si>
    <t>AB106992</t>
  </si>
  <si>
    <t>AB106993</t>
  </si>
  <si>
    <t>AB106994</t>
  </si>
  <si>
    <t>AB106996</t>
  </si>
  <si>
    <t>AB106999</t>
  </si>
  <si>
    <t>AB107005</t>
  </si>
  <si>
    <t>AB107010</t>
  </si>
  <si>
    <t>AB107011</t>
  </si>
  <si>
    <t>AB107014</t>
  </si>
  <si>
    <t>AB107018</t>
  </si>
  <si>
    <t>AB107019</t>
  </si>
  <si>
    <t>AB107024</t>
  </si>
  <si>
    <t>AB107025</t>
  </si>
  <si>
    <t>AB107026</t>
  </si>
  <si>
    <t>AB107029</t>
  </si>
  <si>
    <t>AB107030</t>
  </si>
  <si>
    <t>AB107033</t>
  </si>
  <si>
    <t>AB107035</t>
  </si>
  <si>
    <t>AB107036</t>
  </si>
  <si>
    <t>AB107041</t>
  </si>
  <si>
    <t>AB107044</t>
  </si>
  <si>
    <t>AB107046</t>
  </si>
  <si>
    <t>AB107051</t>
  </si>
  <si>
    <t>AB107052</t>
  </si>
  <si>
    <t>AB107055</t>
  </si>
  <si>
    <t>AB107064</t>
  </si>
  <si>
    <t>AB107067</t>
  </si>
  <si>
    <t>AB107071</t>
  </si>
  <si>
    <t>AB107072</t>
  </si>
  <si>
    <t>AB107073</t>
  </si>
  <si>
    <t>AB107074</t>
  </si>
  <si>
    <t>AB107080</t>
  </si>
  <si>
    <t>AB107081</t>
  </si>
  <si>
    <t>AB107087</t>
  </si>
  <si>
    <t>AB107090</t>
  </si>
  <si>
    <t>AB107097</t>
  </si>
  <si>
    <t>AB107098</t>
  </si>
  <si>
    <t>AB107099</t>
  </si>
  <si>
    <t>AB107100</t>
  </si>
  <si>
    <t>AB107106</t>
  </si>
  <si>
    <t>AB107107</t>
  </si>
  <si>
    <t>AB107109</t>
  </si>
  <si>
    <t>AB107110</t>
  </si>
  <si>
    <t>AB107111</t>
  </si>
  <si>
    <t>AB107112</t>
  </si>
  <si>
    <t>AB107113</t>
  </si>
  <si>
    <t>AB107115</t>
  </si>
  <si>
    <t>AB107120</t>
  </si>
  <si>
    <t>AB107126</t>
  </si>
  <si>
    <t>AB107129</t>
  </si>
  <si>
    <t>AB107130</t>
  </si>
  <si>
    <t>AB107133</t>
  </si>
  <si>
    <t>AB107135</t>
  </si>
  <si>
    <t>AB107141</t>
  </si>
  <si>
    <t>AB107144</t>
  </si>
  <si>
    <t>AB107145</t>
  </si>
  <si>
    <t>AB107151</t>
  </si>
  <si>
    <t>AB107155</t>
  </si>
  <si>
    <t>AB107161</t>
  </si>
  <si>
    <t>AB107165</t>
  </si>
  <si>
    <t>AB107166</t>
  </si>
  <si>
    <t>AB107171</t>
  </si>
  <si>
    <t>AB107173</t>
  </si>
  <si>
    <t>AB107174</t>
  </si>
  <si>
    <t>AB107177</t>
  </si>
  <si>
    <t>AB107179</t>
  </si>
  <si>
    <t>AB107180</t>
  </si>
  <si>
    <t>AB107181</t>
  </si>
  <si>
    <t>AB107182</t>
  </si>
  <si>
    <t>AB107184</t>
  </si>
  <si>
    <t>AB107187</t>
  </si>
  <si>
    <t>AB107188</t>
  </si>
  <si>
    <t>AB107191</t>
  </si>
  <si>
    <t>AB107195</t>
  </si>
  <si>
    <t>AB107198</t>
  </si>
  <si>
    <t>AB107199</t>
  </si>
  <si>
    <t>AB107202</t>
  </si>
  <si>
    <t>AB107203</t>
  </si>
  <si>
    <t>AB107205</t>
  </si>
  <si>
    <t>AB107206</t>
  </si>
  <si>
    <t>AB107208</t>
  </si>
  <si>
    <t>AB107209</t>
  </si>
  <si>
    <t>AB107210</t>
  </si>
  <si>
    <t>AB107211</t>
  </si>
  <si>
    <t>AB107213</t>
  </si>
  <si>
    <t>AB107216</t>
  </si>
  <si>
    <t>AB107217</t>
  </si>
  <si>
    <t>AB107218</t>
  </si>
  <si>
    <t>AB107219</t>
  </si>
  <si>
    <t>AB107220</t>
  </si>
  <si>
    <t>AB107221</t>
  </si>
  <si>
    <t>AB107222</t>
  </si>
  <si>
    <t>AB107223</t>
  </si>
  <si>
    <t>AB107226</t>
  </si>
  <si>
    <t>AB107228</t>
  </si>
  <si>
    <t>AB107229</t>
  </si>
  <si>
    <t>AB107230</t>
  </si>
  <si>
    <t>AB107231</t>
  </si>
  <si>
    <t>AB107233</t>
  </si>
  <si>
    <t>AB107234</t>
  </si>
  <si>
    <t>AB107235</t>
  </si>
  <si>
    <t>AB107238</t>
  </si>
  <si>
    <t>AB107239</t>
  </si>
  <si>
    <t>AB107241</t>
  </si>
  <si>
    <t>AB107242</t>
  </si>
  <si>
    <t>AB107243</t>
  </si>
  <si>
    <t>AB107246</t>
  </si>
  <si>
    <t>AB107248</t>
  </si>
  <si>
    <t>AB107251</t>
  </si>
  <si>
    <t>AB107253</t>
  </si>
  <si>
    <t>AB107255</t>
  </si>
  <si>
    <t>AB107256</t>
  </si>
  <si>
    <t>AB107257</t>
  </si>
  <si>
    <t>AB107260</t>
  </si>
  <si>
    <t>AB107270</t>
  </si>
  <si>
    <t>AB107271</t>
  </si>
  <si>
    <t>AB107272</t>
  </si>
  <si>
    <t>AB107273</t>
  </si>
  <si>
    <t>AB107277</t>
  </si>
  <si>
    <t>AB107279</t>
  </si>
  <si>
    <t>AB107280</t>
  </si>
  <si>
    <t>AB107281</t>
  </si>
  <si>
    <t>AB107282</t>
  </si>
  <si>
    <t>AB107286</t>
  </si>
  <si>
    <t>AB107288</t>
  </si>
  <si>
    <t>AB107291</t>
  </si>
  <si>
    <t>AB107292</t>
  </si>
  <si>
    <t>AB107293</t>
  </si>
  <si>
    <t>AB107295</t>
  </si>
  <si>
    <t>AB107298</t>
  </si>
  <si>
    <t>AB107300</t>
  </si>
  <si>
    <t>AB107306</t>
  </si>
  <si>
    <t>AB107307</t>
  </si>
  <si>
    <t>AB107309</t>
  </si>
  <si>
    <t>AB107310</t>
  </si>
  <si>
    <t>AB107311</t>
  </si>
  <si>
    <t>AB107314</t>
  </si>
  <si>
    <t>AB107316</t>
  </si>
  <si>
    <t>AB107323</t>
  </si>
  <si>
    <t>AB107324</t>
  </si>
  <si>
    <t>AB107325</t>
  </si>
  <si>
    <t>AB107331</t>
  </si>
  <si>
    <t>AB107333</t>
  </si>
  <si>
    <t>AB107335</t>
  </si>
  <si>
    <t>AB107338</t>
  </si>
  <si>
    <t>AB107340</t>
  </si>
  <si>
    <t>AB107342</t>
  </si>
  <si>
    <t>AB107344</t>
  </si>
  <si>
    <t>AB107345</t>
  </si>
  <si>
    <t>AB107346</t>
  </si>
  <si>
    <t>AB107347</t>
  </si>
  <si>
    <t>AB107349</t>
  </si>
  <si>
    <t>AB107352</t>
  </si>
  <si>
    <t>AB107353</t>
  </si>
  <si>
    <t>AB107355</t>
  </si>
  <si>
    <t>AB107359</t>
  </si>
  <si>
    <t>AB107360</t>
  </si>
  <si>
    <t>AB107362</t>
  </si>
  <si>
    <t>AB107363</t>
  </si>
  <si>
    <t>AB107365</t>
  </si>
  <si>
    <t>AB107367</t>
  </si>
  <si>
    <t>AB107368</t>
  </si>
  <si>
    <t>AB107370</t>
  </si>
  <si>
    <t>AB107373</t>
  </si>
  <si>
    <t>AB107376</t>
  </si>
  <si>
    <t>AB107378</t>
  </si>
  <si>
    <t>AB107379</t>
  </si>
  <si>
    <t>AB107383</t>
  </si>
  <si>
    <t>AB107390</t>
  </si>
  <si>
    <t>AB107391</t>
  </si>
  <si>
    <t>AB107392</t>
  </si>
  <si>
    <t>AB107393</t>
  </si>
  <si>
    <t>AB107394</t>
  </si>
  <si>
    <t>AB107397</t>
  </si>
  <si>
    <t>AB107398</t>
  </si>
  <si>
    <t>AB107400</t>
  </si>
  <si>
    <t>AB107402</t>
  </si>
  <si>
    <t>AB107404</t>
  </si>
  <si>
    <t>AB107405</t>
  </si>
  <si>
    <t>AB107406</t>
  </si>
  <si>
    <t>AB107416</t>
  </si>
  <si>
    <t>AB107417</t>
  </si>
  <si>
    <t>AB107420</t>
  </si>
  <si>
    <t>AB107421</t>
  </si>
  <si>
    <t>AB107422</t>
  </si>
  <si>
    <t>AB107423</t>
  </si>
  <si>
    <t>AB107424</t>
  </si>
  <si>
    <t>AB107426</t>
  </si>
  <si>
    <t>AB107428</t>
  </si>
  <si>
    <t>AB107430</t>
  </si>
  <si>
    <t>AB107432</t>
  </si>
  <si>
    <t>AB107434</t>
  </si>
  <si>
    <t>AB107435</t>
  </si>
  <si>
    <t>AB107437</t>
  </si>
  <si>
    <t>AB107438</t>
  </si>
  <si>
    <t>AB107439</t>
  </si>
  <si>
    <t>AB107440</t>
  </si>
  <si>
    <t>AB107441</t>
  </si>
  <si>
    <t>AB107445</t>
  </si>
  <si>
    <t>AB107446</t>
  </si>
  <si>
    <t>AB107447</t>
  </si>
  <si>
    <t>AB107451</t>
  </si>
  <si>
    <t>AB107453</t>
  </si>
  <si>
    <t>AB107456</t>
  </si>
  <si>
    <t>AB107457</t>
  </si>
  <si>
    <t>AB107460</t>
  </si>
  <si>
    <t>AB107461</t>
  </si>
  <si>
    <t>AB107462</t>
  </si>
  <si>
    <t>AB107463</t>
  </si>
  <si>
    <t>AB107464</t>
  </si>
  <si>
    <t>AB107467</t>
  </si>
  <si>
    <t>AB107469</t>
  </si>
  <si>
    <t>AB107470</t>
  </si>
  <si>
    <t>AB107472</t>
  </si>
  <si>
    <t>AB107473</t>
  </si>
  <si>
    <t>AB107474</t>
  </si>
  <si>
    <t>AB107475</t>
  </si>
  <si>
    <t>AB107476</t>
  </si>
  <si>
    <t>AB107478</t>
  </si>
  <si>
    <t>AB107480</t>
  </si>
  <si>
    <t>AB107485</t>
  </si>
  <si>
    <t>AB107487</t>
  </si>
  <si>
    <t>AB107492</t>
  </si>
  <si>
    <t>AB107495</t>
  </si>
  <si>
    <t>AB107497</t>
  </si>
  <si>
    <t>AB107500</t>
  </si>
  <si>
    <t>AB107503</t>
  </si>
  <si>
    <t>AB107507</t>
  </si>
  <si>
    <t>AB107509</t>
  </si>
  <si>
    <t>AB107511</t>
  </si>
  <si>
    <t>AB107512</t>
  </si>
  <si>
    <t>AB107514</t>
  </si>
  <si>
    <t>AB107515</t>
  </si>
  <si>
    <t>AB107517</t>
  </si>
  <si>
    <t>AB107518</t>
  </si>
  <si>
    <t>AB107521</t>
  </si>
  <si>
    <t>AB107523</t>
  </si>
  <si>
    <t>AB107524</t>
  </si>
  <si>
    <t>AB107525</t>
  </si>
  <si>
    <t>AB107528</t>
  </si>
  <si>
    <t>AB107529</t>
  </si>
  <si>
    <t>AB107531</t>
  </si>
  <si>
    <t>AB107532</t>
  </si>
  <si>
    <t>AB107533</t>
  </si>
  <si>
    <t>AB107536</t>
  </si>
  <si>
    <t>AB107538</t>
  </si>
  <si>
    <t>AB107540</t>
  </si>
  <si>
    <t>AB107543</t>
  </si>
  <si>
    <t>AB107546</t>
  </si>
  <si>
    <t>AB107547</t>
  </si>
  <si>
    <t>AB107549</t>
  </si>
  <si>
    <t>AB107551</t>
  </si>
  <si>
    <t>AB107561</t>
  </si>
  <si>
    <t>AB107562</t>
  </si>
  <si>
    <t>AB107563</t>
  </si>
  <si>
    <t>AB107566</t>
  </si>
  <si>
    <t>AB107567</t>
  </si>
  <si>
    <t>AB107570</t>
  </si>
  <si>
    <t>AB107572</t>
  </si>
  <si>
    <t>AB107573</t>
  </si>
  <si>
    <t>AB107574</t>
  </si>
  <si>
    <t>AB107578</t>
  </si>
  <si>
    <t>AB107579</t>
  </si>
  <si>
    <t>AB107580</t>
  </si>
  <si>
    <t>AB107584</t>
  </si>
  <si>
    <t>AB107586</t>
  </si>
  <si>
    <t>AB107587</t>
  </si>
  <si>
    <t>AB107588</t>
  </si>
  <si>
    <t>AB107592</t>
  </si>
  <si>
    <t>AB107593</t>
  </si>
  <si>
    <t>AB107598</t>
  </si>
  <si>
    <t>AB107599</t>
  </si>
  <si>
    <t>AB107601</t>
  </si>
  <si>
    <t>AB107604</t>
  </si>
  <si>
    <t>AB107605</t>
  </si>
  <si>
    <t>AB107606</t>
  </si>
  <si>
    <t>AB107609</t>
  </si>
  <si>
    <t>AB107610</t>
  </si>
  <si>
    <t>AB107612</t>
  </si>
  <si>
    <t>AB107615</t>
  </si>
  <si>
    <t>AB107617</t>
  </si>
  <si>
    <t>AB107619</t>
  </si>
  <si>
    <t>AB107620</t>
  </si>
  <si>
    <t>AB107624</t>
  </si>
  <si>
    <t>AB107627</t>
  </si>
  <si>
    <t>AB107630</t>
  </si>
  <si>
    <t>AB107634</t>
  </si>
  <si>
    <t>AB107635</t>
  </si>
  <si>
    <t>AB107637</t>
  </si>
  <si>
    <t>AB107641</t>
  </si>
  <si>
    <t>AB107642</t>
  </si>
  <si>
    <t>AB107644</t>
  </si>
  <si>
    <t>AB107647</t>
  </si>
  <si>
    <t>AB107648</t>
  </si>
  <si>
    <t>AB107649</t>
  </si>
  <si>
    <t>AB107650</t>
  </si>
  <si>
    <t>AB107651</t>
  </si>
  <si>
    <t>AB107652</t>
  </si>
  <si>
    <t>AB107653</t>
  </si>
  <si>
    <t>AB107654</t>
  </si>
  <si>
    <t>AB107659</t>
  </si>
  <si>
    <t>AB107661</t>
  </si>
  <si>
    <t>AB107663</t>
  </si>
  <si>
    <t>AB107665</t>
  </si>
  <si>
    <t>AB107667</t>
  </si>
  <si>
    <t>AB107668</t>
  </si>
  <si>
    <t>AB107669</t>
  </si>
  <si>
    <t>AB107670</t>
  </si>
  <si>
    <t>AB107671</t>
  </si>
  <si>
    <t>AB107675</t>
  </si>
  <si>
    <t>AB107680</t>
  </si>
  <si>
    <t>AB107682</t>
  </si>
  <si>
    <t>AB107688</t>
  </si>
  <si>
    <t>AB107689</t>
  </si>
  <si>
    <t>AB107691</t>
  </si>
  <si>
    <t>AB107693</t>
  </si>
  <si>
    <t>AB107694</t>
  </si>
  <si>
    <t>AB107700</t>
  </si>
  <si>
    <t>AB107702</t>
  </si>
  <si>
    <t>AB107707</t>
  </si>
  <si>
    <t>AB107708</t>
  </si>
  <si>
    <t>AB107711</t>
  </si>
  <si>
    <t>AB107712</t>
  </si>
  <si>
    <t>AB107713</t>
  </si>
  <si>
    <t>AB107714</t>
  </si>
  <si>
    <t>AB107716</t>
  </si>
  <si>
    <t>AB107717</t>
  </si>
  <si>
    <t>AB107718</t>
  </si>
  <si>
    <t>AB107719</t>
  </si>
  <si>
    <t>AB107720</t>
  </si>
  <si>
    <t>AB107721</t>
  </si>
  <si>
    <t>AB107722</t>
  </si>
  <si>
    <t>AB107723</t>
  </si>
  <si>
    <t>AB107724</t>
  </si>
  <si>
    <t>AB107726</t>
  </si>
  <si>
    <t>AB107727</t>
  </si>
  <si>
    <t>AB107728</t>
  </si>
  <si>
    <t>AB107730</t>
  </si>
  <si>
    <t>AB107733</t>
  </si>
  <si>
    <t>AB107736</t>
  </si>
  <si>
    <t>AB107742</t>
  </si>
  <si>
    <t>AB107745</t>
  </si>
  <si>
    <t>AB107746</t>
  </si>
  <si>
    <t>AB107749</t>
  </si>
  <si>
    <t>AB107750</t>
  </si>
  <si>
    <t>AB107752</t>
  </si>
  <si>
    <t>AB107754</t>
  </si>
  <si>
    <t>AB107756</t>
  </si>
  <si>
    <t>AB107757</t>
  </si>
  <si>
    <t>AB107758</t>
  </si>
  <si>
    <t>AB107761</t>
  </si>
  <si>
    <t>AB107762</t>
  </si>
  <si>
    <t>AB107763</t>
  </si>
  <si>
    <t>AB107765</t>
  </si>
  <si>
    <t>AB107766</t>
  </si>
  <si>
    <t>AB107767</t>
  </si>
  <si>
    <t>AB107768</t>
  </si>
  <si>
    <t>AB107769</t>
  </si>
  <si>
    <t>AB107774</t>
  </si>
  <si>
    <t>AB107775</t>
  </si>
  <si>
    <t>AB107778</t>
  </si>
  <si>
    <t>AB107780</t>
  </si>
  <si>
    <t>AB107781</t>
  </si>
  <si>
    <t>AB107785</t>
  </si>
  <si>
    <t>AB107786</t>
  </si>
  <si>
    <t>AB107787</t>
  </si>
  <si>
    <t>AB107791</t>
  </si>
  <si>
    <t>AB107792</t>
  </si>
  <si>
    <t>AB107793</t>
  </si>
  <si>
    <t>AB107794</t>
  </si>
  <si>
    <t>AB107796</t>
  </si>
  <si>
    <t>AB107798</t>
  </si>
  <si>
    <t>AB107800</t>
  </si>
  <si>
    <t>AB107802</t>
  </si>
  <si>
    <t>AB107807</t>
  </si>
  <si>
    <t>AB107808</t>
  </si>
  <si>
    <t>AB107810</t>
  </si>
  <si>
    <t>AB107813</t>
  </si>
  <si>
    <t>AB107816</t>
  </si>
  <si>
    <t>AB107817</t>
  </si>
  <si>
    <t>AB107818</t>
  </si>
  <si>
    <t>AB107821</t>
  </si>
  <si>
    <t>AB107825</t>
  </si>
  <si>
    <t>AB107827</t>
  </si>
  <si>
    <t>AB107828</t>
  </si>
  <si>
    <t>AB107829</t>
  </si>
  <si>
    <t>AB107830</t>
  </si>
  <si>
    <t>AB107831</t>
  </si>
  <si>
    <t>AB107834</t>
  </si>
  <si>
    <t>AB107835</t>
  </si>
  <si>
    <t>AB107836</t>
  </si>
  <si>
    <t>AB107840</t>
  </si>
  <si>
    <t>AB107841</t>
  </si>
  <si>
    <t>AB107843</t>
  </si>
  <si>
    <t>AB107848</t>
  </si>
  <si>
    <t>AB107849</t>
  </si>
  <si>
    <t>AB107852</t>
  </si>
  <si>
    <t>AB107854</t>
  </si>
  <si>
    <t>AB107858</t>
  </si>
  <si>
    <t>AB107859</t>
  </si>
  <si>
    <t>AB107861</t>
  </si>
  <si>
    <t>AB107863</t>
  </si>
  <si>
    <t>AB107864</t>
  </si>
  <si>
    <t>AB107865</t>
  </si>
  <si>
    <t>AB107867</t>
  </si>
  <si>
    <t>AB107868</t>
  </si>
  <si>
    <t>AB107869</t>
  </si>
  <si>
    <t>AB107871</t>
  </si>
  <si>
    <t>AB107874</t>
  </si>
  <si>
    <t>AB107875</t>
  </si>
  <si>
    <t>AB107876</t>
  </si>
  <si>
    <t>AB107877</t>
  </si>
  <si>
    <t>AB107879</t>
  </si>
  <si>
    <t>AB107881</t>
  </si>
  <si>
    <t>AB107882</t>
  </si>
  <si>
    <t>AB107883</t>
  </si>
  <si>
    <t>AB107891</t>
  </si>
  <si>
    <t>AB107893</t>
  </si>
  <si>
    <t>AB107894</t>
  </si>
  <si>
    <t>AB107895</t>
  </si>
  <si>
    <t>AB107898</t>
  </si>
  <si>
    <t>AB107901</t>
  </si>
  <si>
    <t>AB107904</t>
  </si>
  <si>
    <t>AB107905</t>
  </si>
  <si>
    <t>AB107906</t>
  </si>
  <si>
    <t>AB107913</t>
  </si>
  <si>
    <t>AB107914</t>
  </si>
  <si>
    <t>AB107916</t>
  </si>
  <si>
    <t>AB107917</t>
  </si>
  <si>
    <t>AB107919</t>
  </si>
  <si>
    <t>AB107921</t>
  </si>
  <si>
    <t>AB107922</t>
  </si>
  <si>
    <t>AB107924</t>
  </si>
  <si>
    <t>AB107926</t>
  </si>
  <si>
    <t>AB107927</t>
  </si>
  <si>
    <t>AB107928</t>
  </si>
  <si>
    <t>AB107929</t>
  </si>
  <si>
    <t>AB107930</t>
  </si>
  <si>
    <t>AB107935</t>
  </si>
  <si>
    <t>AB107936</t>
  </si>
  <si>
    <t>AB107938</t>
  </si>
  <si>
    <t>AB107939</t>
  </si>
  <si>
    <t>AB107943</t>
  </si>
  <si>
    <t>AB107945</t>
  </si>
  <si>
    <t>AB107948</t>
  </si>
  <si>
    <t>AB107949</t>
  </si>
  <si>
    <t>AB107950</t>
  </si>
  <si>
    <t>AB107951</t>
  </si>
  <si>
    <t>AB107953</t>
  </si>
  <si>
    <t>AB107955</t>
  </si>
  <si>
    <t>AB107956</t>
  </si>
  <si>
    <t>AB107960</t>
  </si>
  <si>
    <t>AB107962</t>
  </si>
  <si>
    <t>AB107964</t>
  </si>
  <si>
    <t>AB107965</t>
  </si>
  <si>
    <t>AB107966</t>
  </si>
  <si>
    <t>AB107967</t>
  </si>
  <si>
    <t>AB107970</t>
  </si>
  <si>
    <t>AB107971</t>
  </si>
  <si>
    <t>AB107973</t>
  </si>
  <si>
    <t>AB107982</t>
  </si>
  <si>
    <t>AB107983</t>
  </si>
  <si>
    <t>AB107984</t>
  </si>
  <si>
    <t>AB107985</t>
  </si>
  <si>
    <t>AB107992</t>
  </si>
  <si>
    <t>AB107994</t>
  </si>
  <si>
    <t>AB107996</t>
  </si>
  <si>
    <t>AB107997</t>
  </si>
  <si>
    <t>AB108003</t>
  </si>
  <si>
    <t>AB108004</t>
  </si>
  <si>
    <t>AB108005</t>
  </si>
  <si>
    <t>AB108006</t>
  </si>
  <si>
    <t>AB108008</t>
  </si>
  <si>
    <t>AB108009</t>
  </si>
  <si>
    <t>AB108011</t>
  </si>
  <si>
    <t>AB108013</t>
  </si>
  <si>
    <t>AB108014</t>
  </si>
  <si>
    <t>AB108015</t>
  </si>
  <si>
    <t>AB108017</t>
  </si>
  <si>
    <t>AB108018</t>
  </si>
  <si>
    <t>AB108021</t>
  </si>
  <si>
    <t>AB108023</t>
  </si>
  <si>
    <t>AB108024</t>
  </si>
  <si>
    <t>AB108026</t>
  </si>
  <si>
    <t>AB108027</t>
  </si>
  <si>
    <t>AB108030</t>
  </si>
  <si>
    <t>AB108032</t>
  </si>
  <si>
    <t>AB108034</t>
  </si>
  <si>
    <t>AB108038</t>
  </si>
  <si>
    <t>AB108042</t>
  </si>
  <si>
    <t>AB108046</t>
  </si>
  <si>
    <t>AB108048</t>
  </si>
  <si>
    <t>AB108049</t>
  </si>
  <si>
    <t>AB108051</t>
  </si>
  <si>
    <t>AB108052</t>
  </si>
  <si>
    <t>AB108057</t>
  </si>
  <si>
    <t>AB108059</t>
  </si>
  <si>
    <t>AB108060</t>
  </si>
  <si>
    <t>AB108063</t>
  </si>
  <si>
    <t>AB108064</t>
  </si>
  <si>
    <t>AB108072</t>
  </si>
  <si>
    <t>AB108073</t>
  </si>
  <si>
    <t>AB108078</t>
  </si>
  <si>
    <t>AB108080</t>
  </si>
  <si>
    <t>AB108085</t>
  </si>
  <si>
    <t>AB108086</t>
  </si>
  <si>
    <t>AB108087</t>
  </si>
  <si>
    <t>AB108088</t>
  </si>
  <si>
    <t>AB108090</t>
  </si>
  <si>
    <t>AB108091</t>
  </si>
  <si>
    <t>AB108094</t>
  </si>
  <si>
    <t>AB108095</t>
  </si>
  <si>
    <t>AB108097</t>
  </si>
  <si>
    <t>AB108101</t>
  </si>
  <si>
    <t>AB108104</t>
  </si>
  <si>
    <t>AB108107</t>
  </si>
  <si>
    <t>AB108108</t>
  </si>
  <si>
    <t>AB108111</t>
  </si>
  <si>
    <t>AB108113</t>
  </si>
  <si>
    <t>AB108114</t>
  </si>
  <si>
    <t>AB108116</t>
  </si>
  <si>
    <t>AB108119</t>
  </si>
  <si>
    <t>AB108120</t>
  </si>
  <si>
    <t>AB108121</t>
  </si>
  <si>
    <t>AB108122</t>
  </si>
  <si>
    <t>AB108123</t>
  </si>
  <si>
    <t>AB108124</t>
  </si>
  <si>
    <t>AB108125</t>
  </si>
  <si>
    <t>AB108126</t>
  </si>
  <si>
    <t>AB108127</t>
  </si>
  <si>
    <t>AB108129</t>
  </si>
  <si>
    <t>AB108130</t>
  </si>
  <si>
    <t>AB108132</t>
  </si>
  <si>
    <t>AB108140</t>
  </si>
  <si>
    <t>AB108142</t>
  </si>
  <si>
    <t>AB108145</t>
  </si>
  <si>
    <t>AB108153</t>
  </si>
  <si>
    <t>AB108155</t>
  </si>
  <si>
    <t>AB108156</t>
  </si>
  <si>
    <t>AB108160</t>
  </si>
  <si>
    <t>AB108161</t>
  </si>
  <si>
    <t>AB108165</t>
  </si>
  <si>
    <t>AB108166</t>
  </si>
  <si>
    <t>AB108172</t>
  </si>
  <si>
    <t>AB108173</t>
  </si>
  <si>
    <t>AB108175</t>
  </si>
  <si>
    <t>AB108177</t>
  </si>
  <si>
    <t>AB108179</t>
  </si>
  <si>
    <t>AB108180</t>
  </si>
  <si>
    <t>AB108181</t>
  </si>
  <si>
    <t>AB108186</t>
  </si>
  <si>
    <t>AB108189</t>
  </si>
  <si>
    <t>AB108191</t>
  </si>
  <si>
    <t>AB108195</t>
  </si>
  <si>
    <t>AB108203</t>
  </si>
  <si>
    <t>AB108206</t>
  </si>
  <si>
    <t>AB108207</t>
  </si>
  <si>
    <t>AB108208</t>
  </si>
  <si>
    <t>AB108213</t>
  </si>
  <si>
    <t>AB108214</t>
  </si>
  <si>
    <t>AB108218</t>
  </si>
  <si>
    <t>AB108221</t>
  </si>
  <si>
    <t>AB108225</t>
  </si>
  <si>
    <t>AB108226</t>
  </si>
  <si>
    <t>AB108227</t>
  </si>
  <si>
    <t>AB108232</t>
  </si>
  <si>
    <t>AB108237</t>
  </si>
  <si>
    <t>AB108238</t>
  </si>
  <si>
    <t>AB108240</t>
  </si>
  <si>
    <t>AB108242</t>
  </si>
  <si>
    <t>AB108247</t>
  </si>
  <si>
    <t>AB108248</t>
  </si>
  <si>
    <t>AB108249</t>
  </si>
  <si>
    <t>AB108250</t>
  </si>
  <si>
    <t>AB108252</t>
  </si>
  <si>
    <t>AB108254</t>
  </si>
  <si>
    <t>AB108256</t>
  </si>
  <si>
    <t>AB108260</t>
  </si>
  <si>
    <t>AB108265</t>
  </si>
  <si>
    <t>AB108267</t>
  </si>
  <si>
    <t>AB108270</t>
  </si>
  <si>
    <t>AB108271</t>
  </si>
  <si>
    <t>AB108274</t>
  </si>
  <si>
    <t>AB108275</t>
  </si>
  <si>
    <t>AB108276</t>
  </si>
  <si>
    <t>AB108277</t>
  </si>
  <si>
    <t>AB108281</t>
  </si>
  <si>
    <t>AB108283</t>
  </si>
  <si>
    <t>AB108284</t>
  </si>
  <si>
    <t>AB108285</t>
  </si>
  <si>
    <t>AB108286</t>
  </si>
  <si>
    <t>AB108291</t>
  </si>
  <si>
    <t>AB108292</t>
  </si>
  <si>
    <t>AB108293</t>
  </si>
  <si>
    <t>AB108300</t>
  </si>
  <si>
    <t>AB108303</t>
  </si>
  <si>
    <t>AB108304</t>
  </si>
  <si>
    <t>AB108305</t>
  </si>
  <si>
    <t>AB108308</t>
  </si>
  <si>
    <t>AB108309</t>
  </si>
  <si>
    <t>AB108310</t>
  </si>
  <si>
    <t>AB108311</t>
  </si>
  <si>
    <t>AB108314</t>
  </si>
  <si>
    <t>AB108315</t>
  </si>
  <si>
    <t>AB108320</t>
  </si>
  <si>
    <t>AB108325</t>
  </si>
  <si>
    <t>AB108327</t>
  </si>
  <si>
    <t>AB108328</t>
  </si>
  <si>
    <t>AB108329</t>
  </si>
  <si>
    <t>AB108331</t>
  </si>
  <si>
    <t>AB108334</t>
  </si>
  <si>
    <t>AB108336</t>
  </si>
  <si>
    <t>AB108341</t>
  </si>
  <si>
    <t>AB108342</t>
  </si>
  <si>
    <t>AB108344</t>
  </si>
  <si>
    <t>AB108345</t>
  </si>
  <si>
    <t>AB108349</t>
  </si>
  <si>
    <t>AB108350</t>
  </si>
  <si>
    <t>AB108353</t>
  </si>
  <si>
    <t>AB108354</t>
  </si>
  <si>
    <t>AB108355</t>
  </si>
  <si>
    <t>AB108356</t>
  </si>
  <si>
    <t>AB108360</t>
  </si>
  <si>
    <t>AB108364</t>
  </si>
  <si>
    <t>AB108365</t>
  </si>
  <si>
    <t>AB108366</t>
  </si>
  <si>
    <t>AB108367</t>
  </si>
  <si>
    <t>AB108368</t>
  </si>
  <si>
    <t>AB108369</t>
  </si>
  <si>
    <t>AB108371</t>
  </si>
  <si>
    <t>AB108373</t>
  </si>
  <si>
    <t>AB108374</t>
  </si>
  <si>
    <t>AB108375</t>
  </si>
  <si>
    <t>AB108377</t>
  </si>
  <si>
    <t>AB108379</t>
  </si>
  <si>
    <t>AB108380</t>
  </si>
  <si>
    <t>AB108384</t>
  </si>
  <si>
    <t>AB108387</t>
  </si>
  <si>
    <t>AB108392</t>
  </si>
  <si>
    <t>AB108393</t>
  </si>
  <si>
    <t>AB108394</t>
  </si>
  <si>
    <t>AB108395</t>
  </si>
  <si>
    <t>AB108398</t>
  </si>
  <si>
    <t>AB108399</t>
  </si>
  <si>
    <t>AB108400</t>
  </si>
  <si>
    <t>AB108402</t>
  </si>
  <si>
    <t>AB108404</t>
  </si>
  <si>
    <t>AB108405</t>
  </si>
  <si>
    <t>AB108407</t>
  </si>
  <si>
    <t>AB108408</t>
  </si>
  <si>
    <t>AB108409</t>
  </si>
  <si>
    <t>AB108411</t>
  </si>
  <si>
    <t>AB108416</t>
  </si>
  <si>
    <t>AB108419</t>
  </si>
  <si>
    <t>AB108424</t>
  </si>
  <si>
    <t>AB108426</t>
  </si>
  <si>
    <t>AB108427</t>
  </si>
  <si>
    <t>AB108430</t>
  </si>
  <si>
    <t>AB108433</t>
  </si>
  <si>
    <t>AB108434</t>
  </si>
  <si>
    <t>AB108437</t>
  </si>
  <si>
    <t>AB108440</t>
  </si>
  <si>
    <t>AB108441</t>
  </si>
  <si>
    <t>AB108442</t>
  </si>
  <si>
    <t>AB108443</t>
  </si>
  <si>
    <t>AB108447</t>
  </si>
  <si>
    <t>AB108450</t>
  </si>
  <si>
    <t>AB108452</t>
  </si>
  <si>
    <t>AB108456</t>
  </si>
  <si>
    <t>AB108464</t>
  </si>
  <si>
    <t>AB108469</t>
  </si>
  <si>
    <t>AB108471</t>
  </si>
  <si>
    <t>AB108474</t>
  </si>
  <si>
    <t>AB108475</t>
  </si>
  <si>
    <t>AB108477</t>
  </si>
  <si>
    <t>AB108481</t>
  </si>
  <si>
    <t>AB108484</t>
  </si>
  <si>
    <t>AB108485</t>
  </si>
  <si>
    <t>AB108487</t>
  </si>
  <si>
    <t>AB108490</t>
  </si>
  <si>
    <t>AB108491</t>
  </si>
  <si>
    <t>AB108493</t>
  </si>
  <si>
    <t>AB108496</t>
  </si>
  <si>
    <t>AB108499</t>
  </si>
  <si>
    <t>AB108502</t>
  </si>
  <si>
    <t>AB108508</t>
  </si>
  <si>
    <t>AB108510</t>
  </si>
  <si>
    <t>AB108511</t>
  </si>
  <si>
    <t>AB108513</t>
  </si>
  <si>
    <t>AB108514</t>
  </si>
  <si>
    <t>AB108515</t>
  </si>
  <si>
    <t>AB108517</t>
  </si>
  <si>
    <t>AB108518</t>
  </si>
  <si>
    <t>AB108521</t>
  </si>
  <si>
    <t>AB108522</t>
  </si>
  <si>
    <t>AB108525</t>
  </si>
  <si>
    <t>AB108527</t>
  </si>
  <si>
    <t>AB108531</t>
  </si>
  <si>
    <t>AB108534</t>
  </si>
  <si>
    <t>AB108541</t>
  </si>
  <si>
    <t>AB108545</t>
  </si>
  <si>
    <t>AB108546</t>
  </si>
  <si>
    <t>AB108547</t>
  </si>
  <si>
    <t>AB108552</t>
  </si>
  <si>
    <t>AB108553</t>
  </si>
  <si>
    <t>AB108558</t>
  </si>
  <si>
    <t>AB108567</t>
  </si>
  <si>
    <t>AB108568</t>
  </si>
  <si>
    <t>AB108570</t>
  </si>
  <si>
    <t>AB108576</t>
  </si>
  <si>
    <t>AB108577</t>
  </si>
  <si>
    <t>AB108580</t>
  </si>
  <si>
    <t>AB108581</t>
  </si>
  <si>
    <t>AB108582</t>
  </si>
  <si>
    <t>AB108584</t>
  </si>
  <si>
    <t>AB108590</t>
  </si>
  <si>
    <t>AB108591</t>
  </si>
  <si>
    <t>AB108593</t>
  </si>
  <si>
    <t>AB108595</t>
  </si>
  <si>
    <t>AB108596</t>
  </si>
  <si>
    <t>AB108600</t>
  </si>
  <si>
    <t>AB108601</t>
  </si>
  <si>
    <t>AB108604</t>
  </si>
  <si>
    <t>AB108605</t>
  </si>
  <si>
    <t>AB108606</t>
  </si>
  <si>
    <t>AB108610</t>
  </si>
  <si>
    <t>AB108611</t>
  </si>
  <si>
    <t>AB108617</t>
  </si>
  <si>
    <t>AB108620</t>
  </si>
  <si>
    <t>AB108622</t>
  </si>
  <si>
    <t>AB108626</t>
  </si>
  <si>
    <t>AB108628</t>
  </si>
  <si>
    <t>AB108629</t>
  </si>
  <si>
    <t>AB108630</t>
  </si>
  <si>
    <t>AB108632</t>
  </si>
  <si>
    <t>AB108634</t>
  </si>
  <si>
    <t>AB108635</t>
  </si>
  <si>
    <t>AB108637</t>
  </si>
  <si>
    <t>AB108641</t>
  </si>
  <si>
    <t>AB108642</t>
  </si>
  <si>
    <t>AB108648</t>
  </si>
  <si>
    <t>AB108649</t>
  </si>
  <si>
    <t>AB108656</t>
  </si>
  <si>
    <t>AB108657</t>
  </si>
  <si>
    <t>AB108659</t>
  </si>
  <si>
    <t>AB108662</t>
  </si>
  <si>
    <t>AB108664</t>
  </si>
  <si>
    <t>AB108665</t>
  </si>
  <si>
    <t>AB108667</t>
  </si>
  <si>
    <t>AB108674</t>
  </si>
  <si>
    <t>AB108675</t>
  </si>
  <si>
    <t>AB108676</t>
  </si>
  <si>
    <t>AB108677</t>
  </si>
  <si>
    <t>AB108678</t>
  </si>
  <si>
    <t>AB108679</t>
  </si>
  <si>
    <t>AB108683</t>
  </si>
  <si>
    <t>AB108684</t>
  </si>
  <si>
    <t>AB108691</t>
  </si>
  <si>
    <t>AB108693</t>
  </si>
  <si>
    <t>AB108695</t>
  </si>
  <si>
    <t>AB108698</t>
  </si>
  <si>
    <t>AB108699</t>
  </si>
  <si>
    <t>AB108700</t>
  </si>
  <si>
    <t>AB108701</t>
  </si>
  <si>
    <t>AB108703</t>
  </si>
  <si>
    <t>AB108705</t>
  </si>
  <si>
    <t>AB108706</t>
  </si>
  <si>
    <t>AB108708</t>
  </si>
  <si>
    <t>AB108712</t>
  </si>
  <si>
    <t>AB108717</t>
  </si>
  <si>
    <t>AB108719</t>
  </si>
  <si>
    <t>AB108720</t>
  </si>
  <si>
    <t>AB108721</t>
  </si>
  <si>
    <t>AB108722</t>
  </si>
  <si>
    <t>AB108723</t>
  </si>
  <si>
    <t>AB108725</t>
  </si>
  <si>
    <t>AB108727</t>
  </si>
  <si>
    <t>AB108728</t>
  </si>
  <si>
    <t>AB108729</t>
  </si>
  <si>
    <t>AB108731</t>
  </si>
  <si>
    <t>AB108732</t>
  </si>
  <si>
    <t>AB108735</t>
  </si>
  <si>
    <t>AB108737</t>
  </si>
  <si>
    <t>AB108739</t>
  </si>
  <si>
    <t>AB108741</t>
  </si>
  <si>
    <t>AB108743</t>
  </si>
  <si>
    <t>AB108745</t>
  </si>
  <si>
    <t>AB108747</t>
  </si>
  <si>
    <t>AB108748</t>
  </si>
  <si>
    <t>AB108754</t>
  </si>
  <si>
    <t>AB108756</t>
  </si>
  <si>
    <t>AB108757</t>
  </si>
  <si>
    <t>AB108761</t>
  </si>
  <si>
    <t>AB108762</t>
  </si>
  <si>
    <t>AB108768</t>
  </si>
  <si>
    <t>AB108769</t>
  </si>
  <si>
    <t>AB108771</t>
  </si>
  <si>
    <t>AB108773</t>
  </si>
  <si>
    <t>AB108776</t>
  </si>
  <si>
    <t>AB108781</t>
  </si>
  <si>
    <t>AB108783</t>
  </si>
  <si>
    <t>AB108784</t>
  </si>
  <si>
    <t>AB108787</t>
  </si>
  <si>
    <t>AB108788</t>
  </si>
  <si>
    <t>AB108790</t>
  </si>
  <si>
    <t>AB108791</t>
  </si>
  <si>
    <t>AB108795</t>
  </si>
  <si>
    <t>AB108800</t>
  </si>
  <si>
    <t>AB108802</t>
  </si>
  <si>
    <t>AB108804</t>
  </si>
  <si>
    <t>AB108806</t>
  </si>
  <si>
    <t>AB108809</t>
  </si>
  <si>
    <t>AB108811</t>
  </si>
  <si>
    <t>AB108817</t>
  </si>
  <si>
    <t>AB108822</t>
  </si>
  <si>
    <t>AB108823</t>
  </si>
  <si>
    <t>AB108826</t>
  </si>
  <si>
    <t>AB108830</t>
  </si>
  <si>
    <t>AB108832</t>
  </si>
  <si>
    <t>AB108837</t>
  </si>
  <si>
    <t>AB108838</t>
  </si>
  <si>
    <t>AB108841</t>
  </si>
  <si>
    <t>AB108844</t>
  </si>
  <si>
    <t>AB108845</t>
  </si>
  <si>
    <t>AB108846</t>
  </si>
  <si>
    <t>AB108848</t>
  </si>
  <si>
    <t>AB108849</t>
  </si>
  <si>
    <t>AB108850</t>
  </si>
  <si>
    <t>AB108852</t>
  </si>
  <si>
    <t>AB108853</t>
  </si>
  <si>
    <t>AB108855</t>
  </si>
  <si>
    <t>AB108856</t>
  </si>
  <si>
    <t>AB108857</t>
  </si>
  <si>
    <t>AB108859</t>
  </si>
  <si>
    <t>AB108861</t>
  </si>
  <si>
    <t>AB108864</t>
  </si>
  <si>
    <t>AB108865</t>
  </si>
  <si>
    <t>AB108866</t>
  </si>
  <si>
    <t>AB108870</t>
  </si>
  <si>
    <t>AB108872</t>
  </si>
  <si>
    <t>AB108874</t>
  </si>
  <si>
    <t>AB108879</t>
  </si>
  <si>
    <t>AB108880</t>
  </si>
  <si>
    <t>AB108881</t>
  </si>
  <si>
    <t>AB108882</t>
  </si>
  <si>
    <t>AB108886</t>
  </si>
  <si>
    <t>AB108887</t>
  </si>
  <si>
    <t>AB108889</t>
  </si>
  <si>
    <t>AB108890</t>
  </si>
  <si>
    <t>AB108892</t>
  </si>
  <si>
    <t>AB108893</t>
  </si>
  <si>
    <t>AB108897</t>
  </si>
  <si>
    <t>AB108906</t>
  </si>
  <si>
    <t>AB108907</t>
  </si>
  <si>
    <t>AB108911</t>
  </si>
  <si>
    <t>AB108914</t>
  </si>
  <si>
    <t>AB108916</t>
  </si>
  <si>
    <t>AB108917</t>
  </si>
  <si>
    <t>AB108918</t>
  </si>
  <si>
    <t>AB108926</t>
  </si>
  <si>
    <t>AB108928</t>
  </si>
  <si>
    <t>AB108934</t>
  </si>
  <si>
    <t>AB108938</t>
  </si>
  <si>
    <t>AB108939</t>
  </si>
  <si>
    <t>AB108940</t>
  </si>
  <si>
    <t>AB108942</t>
  </si>
  <si>
    <t>AB108944</t>
  </si>
  <si>
    <t>AB108946</t>
  </si>
  <si>
    <t>AB108949</t>
  </si>
  <si>
    <t>AB108953</t>
  </si>
  <si>
    <t>AB108954</t>
  </si>
  <si>
    <t>AB108955</t>
  </si>
  <si>
    <t>AB108956</t>
  </si>
  <si>
    <t>AB108957</t>
  </si>
  <si>
    <t>AB108958</t>
  </si>
  <si>
    <t>AB108959</t>
  </si>
  <si>
    <t>AB108960</t>
  </si>
  <si>
    <t>AB108962</t>
  </si>
  <si>
    <t>AB108964</t>
  </si>
  <si>
    <t>AB108970</t>
  </si>
  <si>
    <t>AB108980</t>
  </si>
  <si>
    <t>AB108981</t>
  </si>
  <si>
    <t>AB108983</t>
  </si>
  <si>
    <t>AB108985</t>
  </si>
  <si>
    <t>AB108986</t>
  </si>
  <si>
    <t>AB108987</t>
  </si>
  <si>
    <t>AB108991</t>
  </si>
  <si>
    <t>AB108992</t>
  </si>
  <si>
    <t>AB108993</t>
  </si>
  <si>
    <t>AB109004</t>
  </si>
  <si>
    <t>AB109012</t>
  </si>
  <si>
    <t>AB109015</t>
  </si>
  <si>
    <t>AB109018</t>
  </si>
  <si>
    <t>AB109023</t>
  </si>
  <si>
    <t>AB109024</t>
  </si>
  <si>
    <t>AB109027</t>
  </si>
  <si>
    <t>AB109037</t>
  </si>
  <si>
    <t>AB109038</t>
  </si>
  <si>
    <t>AB109040</t>
  </si>
  <si>
    <t>AB109042</t>
  </si>
  <si>
    <t>AB109043</t>
  </si>
  <si>
    <t>AB109044</t>
  </si>
  <si>
    <t>AB109045</t>
  </si>
  <si>
    <t>AB109046</t>
  </si>
  <si>
    <t>AB109048</t>
  </si>
  <si>
    <t>AB109054</t>
  </si>
  <si>
    <t>AB109055</t>
  </si>
  <si>
    <t>AB109056</t>
  </si>
  <si>
    <t>AB109058</t>
  </si>
  <si>
    <t>AB109059</t>
  </si>
  <si>
    <t>AB109060</t>
  </si>
  <si>
    <t>AB109065</t>
  </si>
  <si>
    <t>AB109066</t>
  </si>
  <si>
    <t>AB109067</t>
  </si>
  <si>
    <t>AB109069</t>
  </si>
  <si>
    <t>AB109071</t>
  </si>
  <si>
    <t>AB109075</t>
  </si>
  <si>
    <t>AB109080</t>
  </si>
  <si>
    <t>AB109081</t>
  </si>
  <si>
    <t>AB109082</t>
  </si>
  <si>
    <t>AB109083</t>
  </si>
  <si>
    <t>AB109084</t>
  </si>
  <si>
    <t>AB109085</t>
  </si>
  <si>
    <t>AB109087</t>
  </si>
  <si>
    <t>AB109091</t>
  </si>
  <si>
    <t>AB109093</t>
  </si>
  <si>
    <t>AB109097</t>
  </si>
  <si>
    <t>AB109100</t>
  </si>
  <si>
    <t>AB109101</t>
  </si>
  <si>
    <t>AB109102</t>
  </si>
  <si>
    <t>AB109107</t>
  </si>
  <si>
    <t>AB109111</t>
  </si>
  <si>
    <t>AB109113</t>
  </si>
  <si>
    <t>AB109120</t>
  </si>
  <si>
    <t>AB109121</t>
  </si>
  <si>
    <t>AB109126</t>
  </si>
  <si>
    <t>AB109131</t>
  </si>
  <si>
    <t>AB109133</t>
  </si>
  <si>
    <t>AB109136</t>
  </si>
  <si>
    <t>AB109143</t>
  </si>
  <si>
    <t>AB109146</t>
  </si>
  <si>
    <t>AB109151</t>
  </si>
  <si>
    <t>AB109154</t>
  </si>
  <si>
    <t>AB109155</t>
  </si>
  <si>
    <t>AB109158</t>
  </si>
  <si>
    <t>AB109159</t>
  </si>
  <si>
    <t>AB109160</t>
  </si>
  <si>
    <t>AB109162</t>
  </si>
  <si>
    <t>AB109164</t>
  </si>
  <si>
    <t>AB109165</t>
  </si>
  <si>
    <t>AB109166</t>
  </si>
  <si>
    <t>AB109167</t>
  </si>
  <si>
    <t>AB109170</t>
  </si>
  <si>
    <t>AB109171</t>
  </si>
  <si>
    <t>AB109173</t>
  </si>
  <si>
    <t>AB109174</t>
  </si>
  <si>
    <t>AB109177</t>
  </si>
  <si>
    <t>AB109179</t>
  </si>
  <si>
    <t>AB109182</t>
  </si>
  <si>
    <t>AB109183</t>
  </si>
  <si>
    <t>AB109185</t>
  </si>
  <si>
    <t>AB109187</t>
  </si>
  <si>
    <t>AB109189</t>
  </si>
  <si>
    <t>AB109190</t>
  </si>
  <si>
    <t>AB109191</t>
  </si>
  <si>
    <t>AB109192</t>
  </si>
  <si>
    <t>AB109194</t>
  </si>
  <si>
    <t>AB109195</t>
  </si>
  <si>
    <t>AB109196</t>
  </si>
  <si>
    <t>Title</t>
  </si>
  <si>
    <t>Looper</t>
  </si>
  <si>
    <t>TriStar</t>
  </si>
  <si>
    <t>ParaNorman</t>
  </si>
  <si>
    <t>Focus</t>
  </si>
  <si>
    <t>Sinister</t>
  </si>
  <si>
    <t>Lionsgate</t>
  </si>
  <si>
    <t>Paranormal Activity 3</t>
  </si>
  <si>
    <t>Paramount</t>
  </si>
  <si>
    <t>Paranormal Activity 4</t>
  </si>
  <si>
    <t>The Lion King (in 3D)</t>
  </si>
  <si>
    <t>Buena Vista</t>
  </si>
  <si>
    <t>Footloose</t>
  </si>
  <si>
    <t>Arthur Christmas</t>
  </si>
  <si>
    <t>Sony</t>
  </si>
  <si>
    <t>The Ides of March</t>
  </si>
  <si>
    <t>A Very Harold &amp; Kumar 3D Christmas</t>
  </si>
  <si>
    <t>Warner Brothers</t>
  </si>
  <si>
    <t>Brave</t>
  </si>
  <si>
    <t>The Odd Life of Timothy Green</t>
  </si>
  <si>
    <t>Finding Nemo (3D)</t>
  </si>
  <si>
    <t>End of Watch</t>
  </si>
  <si>
    <t>Open Road Films</t>
  </si>
  <si>
    <t>Dolphin Tale</t>
  </si>
  <si>
    <t>Courageous</t>
  </si>
  <si>
    <t>Tower Heist</t>
  </si>
  <si>
    <t>Universal</t>
  </si>
  <si>
    <t>Moneyball</t>
  </si>
  <si>
    <t>In Time</t>
  </si>
  <si>
    <t>Ice Age: Continental Drift</t>
  </si>
  <si>
    <t>Drive</t>
  </si>
  <si>
    <t>FilmDistrict</t>
  </si>
  <si>
    <t>Flight</t>
  </si>
  <si>
    <t>Pitch Perfect</t>
  </si>
  <si>
    <t>Real Steel</t>
  </si>
  <si>
    <t>The Sitter</t>
  </si>
  <si>
    <t>Here Comes the Boom</t>
  </si>
  <si>
    <t>Taken 2</t>
  </si>
  <si>
    <t>Red Dawn</t>
  </si>
  <si>
    <t>The Twilight Saga: Breaking Dawn Part 1</t>
  </si>
  <si>
    <t>Summit Entertainment</t>
  </si>
  <si>
    <t>Immortals</t>
  </si>
  <si>
    <t>Relativity</t>
  </si>
  <si>
    <t>New Year's Eve</t>
  </si>
  <si>
    <t>J. Edgar</t>
  </si>
  <si>
    <t>Jack and Jill</t>
  </si>
  <si>
    <t>Texas Chainsaw 3D</t>
  </si>
  <si>
    <t>The Last Stand</t>
  </si>
  <si>
    <t>Hotel Transylvania</t>
  </si>
  <si>
    <t>This Is 40</t>
  </si>
  <si>
    <t>Frankenweenie</t>
  </si>
  <si>
    <t>Puss in Boots</t>
  </si>
  <si>
    <t>A Haunted House</t>
  </si>
  <si>
    <t>The Dilemma</t>
  </si>
  <si>
    <t>The Twilight Saga: Breaking Dawn Part 2</t>
  </si>
  <si>
    <t>The Guilt Trip</t>
  </si>
  <si>
    <t>Underworld Awakening</t>
  </si>
  <si>
    <t>Screen Gems</t>
  </si>
  <si>
    <t>The Help</t>
  </si>
  <si>
    <t>Happy Feet Two</t>
  </si>
  <si>
    <t>Skyfall</t>
  </si>
  <si>
    <t>Bullet to the Head</t>
  </si>
  <si>
    <t>Movie 43</t>
  </si>
  <si>
    <t>Contraband</t>
  </si>
  <si>
    <t>Jack Reacher</t>
  </si>
  <si>
    <t>The Devil Inside</t>
  </si>
  <si>
    <t>Joyful Noise</t>
  </si>
  <si>
    <t>The Girl with the Dragon Tattoo</t>
  </si>
  <si>
    <t>The Adventures of Tintin</t>
  </si>
  <si>
    <t>Midnight in Paris</t>
  </si>
  <si>
    <t>Sony Classics</t>
  </si>
  <si>
    <t>The Roommate</t>
  </si>
  <si>
    <t>Extremely Loud &amp; Incredibly Close</t>
  </si>
  <si>
    <t>Zero Dark Thirty</t>
  </si>
  <si>
    <t>Mama</t>
  </si>
  <si>
    <t>Gangster Squad</t>
  </si>
  <si>
    <t>Broken City</t>
  </si>
  <si>
    <t>The Last Exorcism Part II</t>
  </si>
  <si>
    <t>CBS Films</t>
  </si>
  <si>
    <t>Les Miserables</t>
  </si>
  <si>
    <t>Sherlock Holmes: A Game of Shadows</t>
  </si>
  <si>
    <t>The Muppets</t>
  </si>
  <si>
    <t>No Strings Attached</t>
  </si>
  <si>
    <t>The Rite</t>
  </si>
  <si>
    <t>Beautiful Creatures</t>
  </si>
  <si>
    <t>Rise of the Guardians</t>
  </si>
  <si>
    <t>Mission: Impossible - Ghost Protocol</t>
  </si>
  <si>
    <t>Hugo</t>
  </si>
  <si>
    <t>Dead Man Down</t>
  </si>
  <si>
    <t>The Grey</t>
  </si>
  <si>
    <t>The Descendants</t>
  </si>
  <si>
    <t>Fox Searchlight</t>
  </si>
  <si>
    <t>The Green Hornet</t>
  </si>
  <si>
    <t>Argo</t>
  </si>
  <si>
    <t>Hansel and Gretel: Witch Hunters</t>
  </si>
  <si>
    <t>The Hobbit: An Unexpected Journey</t>
  </si>
  <si>
    <t>The Iron Lady</t>
  </si>
  <si>
    <t>Weinstein Company</t>
  </si>
  <si>
    <t>Wreck-It Ralph</t>
  </si>
  <si>
    <t>Monsters, Inc. (3D)</t>
  </si>
  <si>
    <t>The Woman in Black</t>
  </si>
  <si>
    <t>Beauty and the Beast (3D)</t>
  </si>
  <si>
    <t>War Horse</t>
  </si>
  <si>
    <t>Warm Bodies</t>
  </si>
  <si>
    <t>The Incredible Burt Wonderstone</t>
  </si>
  <si>
    <t>Ghost Rider: Spirit of Vengeance</t>
  </si>
  <si>
    <t>Justin Bieber: Never Say Never</t>
  </si>
  <si>
    <t>Unknown</t>
  </si>
  <si>
    <t>Hall Pass</t>
  </si>
  <si>
    <t>Side Effects</t>
  </si>
  <si>
    <t>21 and Over</t>
  </si>
  <si>
    <t>Django Unchained</t>
  </si>
  <si>
    <t>Safe House</t>
  </si>
  <si>
    <t>The Vow</t>
  </si>
  <si>
    <t>Project X</t>
  </si>
  <si>
    <t>Tyler Perry's Good Deeds</t>
  </si>
  <si>
    <t>We Bought a Zoo</t>
  </si>
  <si>
    <t>Just Go With It</t>
  </si>
  <si>
    <t>Paul</t>
  </si>
  <si>
    <t>A Good Day to Die Hard</t>
  </si>
  <si>
    <t>Jurassic Park 3D</t>
  </si>
  <si>
    <t>Dark Skies</t>
  </si>
  <si>
    <t>Parental Guidance</t>
  </si>
  <si>
    <t>The Adjustment Bureau</t>
  </si>
  <si>
    <t>Big Mommas: Like Father, Like Son</t>
  </si>
  <si>
    <t>Red Riding Hood</t>
  </si>
  <si>
    <t>Sucker Punch</t>
  </si>
  <si>
    <t>Star Wars: Episode I - The Phantom Menace (in 3D)</t>
  </si>
  <si>
    <t>Safe Haven</t>
  </si>
  <si>
    <t>Tyler Perry's Temptation: Confessions of a Marriage Counselor</t>
  </si>
  <si>
    <t>Snitch</t>
  </si>
  <si>
    <t>The Host</t>
  </si>
  <si>
    <t>American Reunion</t>
  </si>
  <si>
    <t>Battle: Los Angeles</t>
  </si>
  <si>
    <t>I Am Number Four</t>
  </si>
  <si>
    <t>Identity Thief</t>
  </si>
  <si>
    <t>Admission</t>
  </si>
  <si>
    <t>Silver Linings Playbook</t>
  </si>
  <si>
    <t>Act of Valor</t>
  </si>
  <si>
    <t>Chronicle</t>
  </si>
  <si>
    <t>Titanic 3D</t>
  </si>
  <si>
    <t>Red Tails</t>
  </si>
  <si>
    <t>Alvin and the Chipmunks: Chipwrecked</t>
  </si>
  <si>
    <t>Evil Dead</t>
  </si>
  <si>
    <t>The Call</t>
  </si>
  <si>
    <t>Arthur</t>
  </si>
  <si>
    <t>Spring Breakers</t>
  </si>
  <si>
    <t>A24</t>
  </si>
  <si>
    <t>Jack the Giant Slayer</t>
  </si>
  <si>
    <t>Tyler Perry Presents Peeples</t>
  </si>
  <si>
    <t>This Means War</t>
  </si>
  <si>
    <t>Hop</t>
  </si>
  <si>
    <t>The Five-Year Engagement</t>
  </si>
  <si>
    <t>The Artist</t>
  </si>
  <si>
    <t>Gnomeo and Juliet</t>
  </si>
  <si>
    <t>Oblivion</t>
  </si>
  <si>
    <t>The Place Beyond the Pines</t>
  </si>
  <si>
    <t>Quartet</t>
  </si>
  <si>
    <t>Journey 2: The Mysterious Island</t>
  </si>
  <si>
    <t>Wrath of the Titans</t>
  </si>
  <si>
    <t>John Carter</t>
  </si>
  <si>
    <t>Scream 4</t>
  </si>
  <si>
    <t>Jumping the Broom</t>
  </si>
  <si>
    <t>21 Jump Street</t>
  </si>
  <si>
    <t>The Big Wedding</t>
  </si>
  <si>
    <t>Rango</t>
  </si>
  <si>
    <t>Limitless</t>
  </si>
  <si>
    <t>Hanna</t>
  </si>
  <si>
    <t>Think Like a Man</t>
  </si>
  <si>
    <t>Olympus Has Fallen</t>
  </si>
  <si>
    <t>The Cabin in the Woods</t>
  </si>
  <si>
    <t>Source Code</t>
  </si>
  <si>
    <t>Diary of a Wimpy Kid: Rodrick Rules</t>
  </si>
  <si>
    <t>Oz The Great and Powerful</t>
  </si>
  <si>
    <t>G.I. Joe: Retaliation</t>
  </si>
  <si>
    <t>The Lucky One</t>
  </si>
  <si>
    <t>The Lincoln Lawyer</t>
  </si>
  <si>
    <t>Tyler Perry's Madea's Big Happy Family</t>
  </si>
  <si>
    <t>Soul Surfer</t>
  </si>
  <si>
    <t>That's My Boy</t>
  </si>
  <si>
    <t>42</t>
  </si>
  <si>
    <t>Escape From Planet Earth</t>
  </si>
  <si>
    <t>Scary Movie 5</t>
  </si>
  <si>
    <t>Life of Pi</t>
  </si>
  <si>
    <t>Dr. Seuss' The Lorax</t>
  </si>
  <si>
    <t>The Dictator</t>
  </si>
  <si>
    <t>Something Borrowed</t>
  </si>
  <si>
    <t>The Company You Keep</t>
  </si>
  <si>
    <t>Battleship</t>
  </si>
  <si>
    <t>What to Expect When You're Expecting</t>
  </si>
  <si>
    <t>The Pirates! Band of Misfits</t>
  </si>
  <si>
    <t>The Purge</t>
  </si>
  <si>
    <t>Chimpanzee</t>
  </si>
  <si>
    <t>Fast Five</t>
  </si>
  <si>
    <t>Water for Elephants</t>
  </si>
  <si>
    <t>The Hangover Part III</t>
  </si>
  <si>
    <t>Dark Shadows</t>
  </si>
  <si>
    <t>Mirror Mirror</t>
  </si>
  <si>
    <t>The Three Stooges</t>
  </si>
  <si>
    <t>Rock of Ages</t>
  </si>
  <si>
    <t>After Earth</t>
  </si>
  <si>
    <t>Larry Crowne</t>
  </si>
  <si>
    <t>The Great Gatsby</t>
  </si>
  <si>
    <t>Kevin Hart: Let Me Explain</t>
  </si>
  <si>
    <t>Thor</t>
  </si>
  <si>
    <t>Pain and Gain</t>
  </si>
  <si>
    <t>Fast &amp; Furious 6</t>
  </si>
  <si>
    <t>The Hunger Games</t>
  </si>
  <si>
    <t>Snow White and the Huntsman</t>
  </si>
  <si>
    <t>Savages</t>
  </si>
  <si>
    <t>Rio</t>
  </si>
  <si>
    <t>Insidious</t>
  </si>
  <si>
    <t>MIB 3</t>
  </si>
  <si>
    <t>The Internship</t>
  </si>
  <si>
    <t>The Hangover Part II</t>
  </si>
  <si>
    <t>Prometheus</t>
  </si>
  <si>
    <t>Tyler Perry's Madea's Witness Protection</t>
  </si>
  <si>
    <t>Abraham Lincoln: Vampire Hunter</t>
  </si>
  <si>
    <t>Friends with Benefits</t>
  </si>
  <si>
    <t>Magic Mike</t>
  </si>
  <si>
    <t>Pirates of the Caribbean: On Stranger Tides</t>
  </si>
  <si>
    <t>Bridesmaids</t>
  </si>
  <si>
    <t>Kung Fu Panda 2</t>
  </si>
  <si>
    <t>X-Men: First Class</t>
  </si>
  <si>
    <t>Super 8</t>
  </si>
  <si>
    <t>Green Lantern</t>
  </si>
  <si>
    <t>The Change-Up</t>
  </si>
  <si>
    <t>30 Minutes or Less</t>
  </si>
  <si>
    <t>Marvel's The Avengers</t>
  </si>
  <si>
    <t>Step Up Revolution</t>
  </si>
  <si>
    <t>Total Recall</t>
  </si>
  <si>
    <t>2016 Obama's America</t>
  </si>
  <si>
    <t>RM</t>
  </si>
  <si>
    <t>Transformers: Dark of the Moon</t>
  </si>
  <si>
    <t>Bad Teacher</t>
  </si>
  <si>
    <t>Final Destination 5</t>
  </si>
  <si>
    <t>The Amazing Spider-Man</t>
  </si>
  <si>
    <t>Madagascar 3: Europe's Most Wanted</t>
  </si>
  <si>
    <t>The Watch</t>
  </si>
  <si>
    <t>Mr. Popper's Penguins</t>
  </si>
  <si>
    <t>Hope Springs</t>
  </si>
  <si>
    <t>Ted</t>
  </si>
  <si>
    <t>The Best Exotic Marigold Hotel</t>
  </si>
  <si>
    <t>Horrible Bosses</t>
  </si>
  <si>
    <t>Zookeeper</t>
  </si>
  <si>
    <t>Moonrise Kingdom</t>
  </si>
  <si>
    <t>Cowboys &amp; Aliens</t>
  </si>
  <si>
    <t>Colombiana</t>
  </si>
  <si>
    <t>The Debt</t>
  </si>
  <si>
    <t>The Bourne Legacy</t>
  </si>
  <si>
    <t>Captain America: The First Avenger</t>
  </si>
  <si>
    <t>Resident Evil: Retribution</t>
  </si>
  <si>
    <t>The Campaign</t>
  </si>
  <si>
    <t>The Expendables 2</t>
  </si>
  <si>
    <t>The Possession</t>
  </si>
  <si>
    <t>Harry Potter and the Deathly Hallows Part 2</t>
  </si>
  <si>
    <t>Crazy, Stupid, Love.</t>
  </si>
  <si>
    <t>Lawless</t>
  </si>
  <si>
    <t>The Dark Knight Rises</t>
  </si>
  <si>
    <t>Trouble with the Curve</t>
  </si>
  <si>
    <t>Cars 2</t>
  </si>
  <si>
    <t>Rise of the Planet of the Apes</t>
  </si>
  <si>
    <t>The Smurfs</t>
  </si>
  <si>
    <t>Contagion</t>
  </si>
  <si>
    <t>Spy Kids: All the Time in the World</t>
  </si>
  <si>
    <t>Diary of a Wimpy Kid: Dog Days</t>
  </si>
  <si>
    <t>House at the End of The Street</t>
  </si>
  <si>
    <t>50/50</t>
  </si>
  <si>
    <t>Iron Man 3</t>
  </si>
  <si>
    <t>Despicable Me 2</t>
  </si>
  <si>
    <t>Man of Steel</t>
  </si>
  <si>
    <t>Monsters University</t>
  </si>
  <si>
    <t>Star Trek Into Darkness</t>
  </si>
  <si>
    <t>World War Z</t>
  </si>
  <si>
    <t>The Croods</t>
  </si>
  <si>
    <t>The Heat</t>
  </si>
  <si>
    <t>The Conjuring</t>
  </si>
  <si>
    <t>We're the Millers</t>
  </si>
  <si>
    <t>Grown Ups 2</t>
  </si>
  <si>
    <t>The Wolverine</t>
  </si>
  <si>
    <t>Now You See Me</t>
  </si>
  <si>
    <t>Epic</t>
  </si>
  <si>
    <t>Lee Daniels' The Butler</t>
  </si>
  <si>
    <t>Pacific Rim</t>
  </si>
  <si>
    <t>This is the End</t>
  </si>
  <si>
    <t>Elysium</t>
  </si>
  <si>
    <t>The Lone Ranger</t>
  </si>
  <si>
    <t>Planes</t>
  </si>
  <si>
    <t>Turbo</t>
  </si>
  <si>
    <t>2 Guns</t>
  </si>
  <si>
    <t>White House Down</t>
  </si>
  <si>
    <t>The Smurfs 2</t>
  </si>
  <si>
    <t>Percy Jackson: Sea of Monsters</t>
  </si>
  <si>
    <t>Red 2</t>
  </si>
  <si>
    <t>Insidious Chapter 2</t>
  </si>
  <si>
    <t>R.I.P.D.</t>
  </si>
  <si>
    <t>Riddick</t>
  </si>
  <si>
    <t>The Mortal Instruments: City of Bones</t>
  </si>
  <si>
    <t>Kick-Ass 2</t>
  </si>
  <si>
    <t>Instructions Not Included</t>
  </si>
  <si>
    <t>Blue Jasmine</t>
  </si>
  <si>
    <t>One Direction: This is Us</t>
  </si>
  <si>
    <t>The World's End</t>
  </si>
  <si>
    <t>Mud</t>
  </si>
  <si>
    <t>Roadside Attractions</t>
  </si>
  <si>
    <t>The Way, Way Back</t>
  </si>
  <si>
    <t>You're Next</t>
  </si>
  <si>
    <t>The Family</t>
  </si>
  <si>
    <t>Jobs</t>
  </si>
  <si>
    <t>Fruitvale Station</t>
  </si>
  <si>
    <t>Getaway</t>
  </si>
  <si>
    <t>Before Midnight</t>
  </si>
  <si>
    <t>Paranoia</t>
  </si>
  <si>
    <t>The Grandmaster</t>
  </si>
  <si>
    <t>The Spectacular Now</t>
  </si>
  <si>
    <t>The Bling Ring</t>
  </si>
  <si>
    <t>Closed Circuit</t>
  </si>
  <si>
    <t>Chennai Express</t>
  </si>
  <si>
    <t>UTV</t>
  </si>
  <si>
    <t>20 Feet from Stardom</t>
  </si>
  <si>
    <t>Radius-TWC</t>
  </si>
  <si>
    <t>Divergent</t>
  </si>
  <si>
    <t>Neighbors</t>
  </si>
  <si>
    <t>About Last Night</t>
  </si>
  <si>
    <t>Into The Storm</t>
  </si>
  <si>
    <t>Need for Speed</t>
  </si>
  <si>
    <t>Brick Mansions</t>
  </si>
  <si>
    <t>Magic in the Moonlight</t>
  </si>
  <si>
    <t>Sony Pictures Classics</t>
  </si>
  <si>
    <t>Sum of Price</t>
  </si>
  <si>
    <t>Average of Price</t>
  </si>
  <si>
    <t>Grand Total</t>
  </si>
  <si>
    <t>2012 Total</t>
  </si>
  <si>
    <t>2013 Total</t>
  </si>
  <si>
    <t>2014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</si>
</sst>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b/>
      <sz val="11"/>
      <color theme="1"/>
      <name val="Aptos Narrow"/>
      <family val="2"/>
      <scheme val="minor"/>
    </font>
    <font>
      <b/>
      <sz val="11"/>
      <color rgb="FFFF0000"/>
      <name val="Aptos Narrow"/>
      <family val="2"/>
      <scheme val="minor"/>
    </font>
  </fonts>
  <fills count="5">
    <fill>
      <patternFill patternType="none"/>
    </fill>
    <fill>
      <patternFill patternType="gray125"/>
    </fill>
    <fill>
      <patternFill patternType="solid">
        <fgColor theme="4" tint="0.79998168889431442"/>
        <bgColor indexed="64"/>
      </patternFill>
    </fill>
    <fill>
      <patternFill patternType="solid">
        <fgColor theme="5" tint="0.59999389629810485"/>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22">
    <xf numFmtId="0" fontId="0" fillId="0" borderId="0" xfId="0"/>
    <xf numFmtId="0" fontId="0" fillId="0" borderId="1" xfId="0" applyBorder="1"/>
    <xf numFmtId="14" fontId="0" fillId="0" borderId="1" xfId="0" applyNumberFormat="1" applyBorder="1"/>
    <xf numFmtId="14" fontId="0" fillId="0" borderId="0" xfId="0" applyNumberFormat="1"/>
    <xf numFmtId="0" fontId="1" fillId="2" borderId="1" xfId="0" applyFont="1" applyFill="1" applyBorder="1"/>
    <xf numFmtId="14" fontId="1" fillId="2" borderId="1" xfId="0" applyNumberFormat="1" applyFont="1" applyFill="1" applyBorder="1"/>
    <xf numFmtId="0" fontId="0" fillId="0" borderId="2" xfId="0" applyBorder="1"/>
    <xf numFmtId="0" fontId="1" fillId="2" borderId="2" xfId="0" applyFont="1" applyFill="1" applyBorder="1"/>
    <xf numFmtId="0" fontId="0" fillId="0" borderId="1" xfId="0" applyBorder="1" applyAlignment="1">
      <alignment horizontal="center" vertical="center"/>
    </xf>
    <xf numFmtId="0" fontId="0" fillId="0" borderId="1" xfId="0" applyBorder="1" applyAlignment="1">
      <alignment horizontal="left" vertical="center" wrapText="1"/>
    </xf>
    <xf numFmtId="0" fontId="1" fillId="3" borderId="1" xfId="0" applyFont="1" applyFill="1" applyBorder="1" applyAlignment="1">
      <alignment horizontal="center"/>
    </xf>
    <xf numFmtId="0" fontId="1" fillId="4" borderId="1" xfId="0" applyFont="1" applyFill="1" applyBorder="1"/>
    <xf numFmtId="0" fontId="1" fillId="4" borderId="2" xfId="0" applyFont="1" applyFill="1" applyBorder="1"/>
    <xf numFmtId="0" fontId="1" fillId="0" borderId="0" xfId="0" applyFont="1"/>
    <xf numFmtId="0" fontId="0" fillId="0" borderId="0" xfId="0" applyAlignment="1">
      <alignment wrapText="1"/>
    </xf>
    <xf numFmtId="0" fontId="0" fillId="0" borderId="1" xfId="0" applyBorder="1" applyAlignment="1">
      <alignment wrapText="1"/>
    </xf>
    <xf numFmtId="10" fontId="2" fillId="4" borderId="1" xfId="0" applyNumberFormat="1" applyFont="1" applyFill="1" applyBorder="1"/>
    <xf numFmtId="10" fontId="0" fillId="0" borderId="1" xfId="0" applyNumberFormat="1" applyBorder="1" applyAlignment="1">
      <alignment wrapText="1"/>
    </xf>
    <xf numFmtId="10" fontId="0" fillId="0" borderId="0" xfId="0" applyNumberFormat="1"/>
    <xf numFmtId="0" fontId="0" fillId="0" borderId="0" xfId="0" pivotButton="1"/>
    <xf numFmtId="0" fontId="0" fillId="0" borderId="0" xfId="0" applyNumberFormat="1"/>
    <xf numFmtId="0" fontId="0" fillId="4"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[Excel_Case_Study 1.xlsx]Q5!PivotTable2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Year-over-Year Sales Change for A24 and Fox</a:t>
            </a:r>
          </a:p>
        </c:rich>
      </c:tx>
      <c:layout>
        <c:manualLayout>
          <c:xMode val="edge"/>
          <c:yMode val="edge"/>
          <c:x val="0.15266667938232426"/>
          <c:y val="2.98686803455421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'Q5'!$B$1:$B$2</c:f>
              <c:strCache>
                <c:ptCount val="1"/>
                <c:pt idx="0">
                  <c:v>A24</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'Q5'!$A$3:$A$6</c:f>
              <c:strCache>
                <c:ptCount val="3"/>
                <c:pt idx="0">
                  <c:v>2012</c:v>
                </c:pt>
                <c:pt idx="1">
                  <c:v>2013</c:v>
                </c:pt>
                <c:pt idx="2">
                  <c:v>2014</c:v>
                </c:pt>
              </c:strCache>
            </c:strRef>
          </c:cat>
          <c:val>
            <c:numRef>
              <c:f>'Q5'!$B$3:$B$6</c:f>
              <c:numCache>
                <c:formatCode>General</c:formatCode>
                <c:ptCount val="3"/>
                <c:pt idx="1">
                  <c:v>261</c:v>
                </c:pt>
                <c:pt idx="2">
                  <c:v>73</c:v>
                </c:pt>
              </c:numCache>
            </c:numRef>
          </c:val>
          <c:smooth val="0"/>
          <c:extLst>
            <c:ext xmlns:c16="http://schemas.microsoft.com/office/drawing/2014/chart" uri="{C3380CC4-5D6E-409C-BE32-E72D297353CC}">
              <c16:uniqueId val="{00000000-65EE-48FF-9F63-2AC2304F18B2}"/>
            </c:ext>
          </c:extLst>
        </c:ser>
        <c:ser>
          <c:idx val="1"/>
          <c:order val="1"/>
          <c:tx>
            <c:strRef>
              <c:f>'Q5'!$C$1:$C$2</c:f>
              <c:strCache>
                <c:ptCount val="1"/>
                <c:pt idx="0">
                  <c:v>Fox</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'Q5'!$A$3:$A$6</c:f>
              <c:strCache>
                <c:ptCount val="3"/>
                <c:pt idx="0">
                  <c:v>2012</c:v>
                </c:pt>
                <c:pt idx="1">
                  <c:v>2013</c:v>
                </c:pt>
                <c:pt idx="2">
                  <c:v>2014</c:v>
                </c:pt>
              </c:strCache>
            </c:strRef>
          </c:cat>
          <c:val>
            <c:numRef>
              <c:f>'Q5'!$C$3:$C$6</c:f>
              <c:numCache>
                <c:formatCode>General</c:formatCode>
                <c:ptCount val="3"/>
                <c:pt idx="0">
                  <c:v>278</c:v>
                </c:pt>
                <c:pt idx="1">
                  <c:v>2730</c:v>
                </c:pt>
                <c:pt idx="2">
                  <c:v>1139</c:v>
                </c:pt>
              </c:numCache>
            </c:numRef>
          </c:val>
          <c:smooth val="0"/>
          <c:extLst>
            <c:ext xmlns:c16="http://schemas.microsoft.com/office/drawing/2014/chart" uri="{C3380CC4-5D6E-409C-BE32-E72D297353CC}">
              <c16:uniqueId val="{00000002-65EE-48FF-9F63-2AC2304F18B2}"/>
            </c:ext>
          </c:extLst>
        </c:ser>
        <c:dLbls>
          <c:showLegendKey val="0"/>
          <c:showVal val="0"/>
          <c:showCatName val="0"/>
          <c:showSerName val="0"/>
          <c:showPercent val="0"/>
          <c:showBubbleSize val="0"/>
        </c:dLbls>
        <c:marker val="1"/>
        <c:smooth val="0"/>
        <c:axId val="1373342728"/>
        <c:axId val="1373389320"/>
      </c:lineChart>
      <c:catAx>
        <c:axId val="1373342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3389320"/>
        <c:crosses val="autoZero"/>
        <c:auto val="1"/>
        <c:lblAlgn val="ctr"/>
        <c:lblOffset val="100"/>
        <c:noMultiLvlLbl val="0"/>
      </c:catAx>
      <c:valAx>
        <c:axId val="1373389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33427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219075</xdr:colOff>
      <xdr:row>0</xdr:row>
      <xdr:rowOff>0</xdr:rowOff>
    </xdr:from>
    <xdr:to>
      <xdr:col>7</xdr:col>
      <xdr:colOff>933450</xdr:colOff>
      <xdr:row>6</xdr:row>
      <xdr:rowOff>9525</xdr:rowOff>
    </xdr:to>
    <xdr:graphicFrame macro="">
      <xdr:nvGraphicFramePr>
        <xdr:cNvPr id="2" name="Chart 1">
          <a:extLst>
            <a:ext uri="{FF2B5EF4-FFF2-40B4-BE49-F238E27FC236}">
              <a16:creationId xmlns:a16="http://schemas.microsoft.com/office/drawing/2014/main" id="{7A1014CB-36F4-7C11-7209-6271C418CC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52.910584953701" createdVersion="8" refreshedVersion="8" minRefreshableVersion="3" recordCount="6310" xr:uid="{8D593159-0B1C-4846-9674-A379A910577C}">
  <cacheSource type="worksheet">
    <worksheetSource ref="A1:I6311" sheet="Retal Tran Line Item"/>
  </cacheSource>
  <cacheFields count="9">
    <cacheField name="MovieID" numFmtId="0">
      <sharedItems containsSemiMixedTypes="0" containsString="0" containsNumber="1" containsInteger="1" minValue="10000" maxValue="10396"/>
    </cacheField>
    <cacheField name="Price" numFmtId="0">
      <sharedItems containsSemiMixedTypes="0" containsString="0" containsNumber="1" containsInteger="1" minValue="1" maxValue="10"/>
    </cacheField>
    <cacheField name="ReturnDate" numFmtId="14">
      <sharedItems containsSemiMixedTypes="0" containsNonDate="0" containsDate="1" containsString="0" minDate="2012-07-08T00:00:00" maxDate="2014-09-23T00:00:00"/>
    </cacheField>
    <cacheField name="Format" numFmtId="0">
      <sharedItems/>
    </cacheField>
    <cacheField name="TransactionID" numFmtId="0">
      <sharedItems containsSemiMixedTypes="0" containsString="0" containsNumber="1" containsInteger="1" minValue="100000" maxValue="104813"/>
    </cacheField>
    <cacheField name="LineItemID" numFmtId="0">
      <sharedItems/>
    </cacheField>
    <cacheField name="Studio" numFmtId="0">
      <sharedItems count="24">
        <s v="Warner Brothers"/>
        <s v="Paramount"/>
        <s v="Weinstein Company"/>
        <s v="Buena Vista"/>
        <s v="Sony"/>
        <s v="Summit Entertainment"/>
        <s v="TriStar"/>
        <s v="Universal"/>
        <s v="Screen Gems"/>
        <s v="Fox"/>
        <s v="Lionsgate"/>
        <s v="Open Road Films"/>
        <s v="Relativity"/>
        <s v="RM"/>
        <s v="Focus"/>
        <s v="Sony Classics"/>
        <s v="FilmDistrict"/>
        <s v="Fox Searchlight"/>
        <s v="CBS Films"/>
        <s v="UTV"/>
        <s v="Roadside Attractions"/>
        <s v="A24"/>
        <s v="Radius-TWC"/>
        <s v="Sony Pictures Classics"/>
      </sharedItems>
    </cacheField>
    <cacheField name="CustomerID" numFmtId="0">
      <sharedItems containsSemiMixedTypes="0" containsString="0" containsNumber="1" containsInteger="1" minValue="101811" maxValue="999915"/>
    </cacheField>
    <cacheField name="Year" numFmtId="0">
      <sharedItems containsSemiMixedTypes="0" containsString="0" containsNumber="1" containsInteger="1" minValue="2012" maxValue="2014" count="3">
        <n v="2012"/>
        <n v="2013"/>
        <n v="2014"/>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52.910585069447" createdVersion="8" refreshedVersion="8" minRefreshableVersion="3" recordCount="6310" xr:uid="{8E3A0F2B-7F7D-411B-BFA8-1EDA5A42C10C}">
  <cacheSource type="worksheet">
    <worksheetSource ref="A1:H6311" sheet="Retal Tran Line Item"/>
  </cacheSource>
  <cacheFields count="8">
    <cacheField name="MovieID" numFmtId="0">
      <sharedItems containsSemiMixedTypes="0" containsString="0" containsNumber="1" containsInteger="1" minValue="10000" maxValue="10396"/>
    </cacheField>
    <cacheField name="Price" numFmtId="0">
      <sharedItems containsSemiMixedTypes="0" containsString="0" containsNumber="1" containsInteger="1" minValue="1" maxValue="10"/>
    </cacheField>
    <cacheField name="ReturnDate" numFmtId="14">
      <sharedItems containsSemiMixedTypes="0" containsNonDate="0" containsDate="1" containsString="0" minDate="2012-07-08T00:00:00" maxDate="2014-09-23T00:00:00"/>
    </cacheField>
    <cacheField name="Format" numFmtId="0">
      <sharedItems/>
    </cacheField>
    <cacheField name="TransactionID" numFmtId="0">
      <sharedItems containsSemiMixedTypes="0" containsString="0" containsNumber="1" containsInteger="1" minValue="100000" maxValue="104813"/>
    </cacheField>
    <cacheField name="LineItemID" numFmtId="0">
      <sharedItems/>
    </cacheField>
    <cacheField name="Studio" numFmtId="0">
      <sharedItems count="24">
        <s v="Warner Brothers"/>
        <s v="Paramount"/>
        <s v="Weinstein Company"/>
        <s v="Buena Vista"/>
        <s v="Sony"/>
        <s v="Summit Entertainment"/>
        <s v="TriStar"/>
        <s v="Universal"/>
        <s v="Screen Gems"/>
        <s v="Fox"/>
        <s v="Lionsgate"/>
        <s v="Open Road Films"/>
        <s v="Relativity"/>
        <s v="RM"/>
        <s v="Focus"/>
        <s v="Sony Classics"/>
        <s v="FilmDistrict"/>
        <s v="Fox Searchlight"/>
        <s v="CBS Films"/>
        <s v="UTV"/>
        <s v="Roadside Attractions"/>
        <s v="A24"/>
        <s v="Radius-TWC"/>
        <s v="Sony Pictures Classics"/>
      </sharedItems>
    </cacheField>
    <cacheField name="CustomerID" numFmtId="0">
      <sharedItems containsSemiMixedTypes="0" containsString="0" containsNumber="1" containsInteger="1" minValue="101811" maxValue="99991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10">
  <r>
    <n v="10208"/>
    <n v="5"/>
    <d v="2012-07-10T00:00:00"/>
    <s v="DVD"/>
    <n v="100000"/>
    <s v="AB100000"/>
    <x v="0"/>
    <n v="864896"/>
    <x v="0"/>
  </r>
  <r>
    <n v="10207"/>
    <n v="6"/>
    <d v="2012-07-08T00:00:00"/>
    <s v="DVD"/>
    <n v="100000"/>
    <s v="AB100001"/>
    <x v="1"/>
    <n v="864896"/>
    <x v="0"/>
  </r>
  <r>
    <n v="10168"/>
    <n v="4"/>
    <d v="2012-07-09T00:00:00"/>
    <s v="BLU-RAY"/>
    <n v="100000"/>
    <s v="AB100002"/>
    <x v="1"/>
    <n v="864896"/>
    <x v="0"/>
  </r>
  <r>
    <n v="10098"/>
    <n v="10"/>
    <d v="2012-07-08T00:00:00"/>
    <s v="BLU-RAY"/>
    <n v="100000"/>
    <s v="AB100003"/>
    <x v="0"/>
    <n v="864896"/>
    <x v="0"/>
  </r>
  <r>
    <n v="10121"/>
    <n v="5"/>
    <d v="2012-07-14T00:00:00"/>
    <s v="DVD"/>
    <n v="100001"/>
    <s v="AB100004"/>
    <x v="2"/>
    <n v="610766"/>
    <x v="0"/>
  </r>
  <r>
    <n v="10137"/>
    <n v="1"/>
    <d v="2012-07-14T00:00:00"/>
    <s v="BLU-RAY"/>
    <n v="100002"/>
    <s v="AB100005"/>
    <x v="3"/>
    <n v="207846"/>
    <x v="0"/>
  </r>
  <r>
    <n v="10124"/>
    <n v="10"/>
    <d v="2012-07-15T00:00:00"/>
    <s v="DVD"/>
    <n v="100002"/>
    <s v="AB100006"/>
    <x v="1"/>
    <n v="207846"/>
    <x v="0"/>
  </r>
  <r>
    <n v="10081"/>
    <n v="7"/>
    <d v="2012-07-18T00:00:00"/>
    <s v="DVD"/>
    <n v="100003"/>
    <s v="AB100007"/>
    <x v="2"/>
    <n v="166612"/>
    <x v="0"/>
  </r>
  <r>
    <n v="10025"/>
    <n v="2"/>
    <d v="2012-07-27T00:00:00"/>
    <s v="DVD"/>
    <n v="100004"/>
    <s v="AB100008"/>
    <x v="4"/>
    <n v="482274"/>
    <x v="0"/>
  </r>
  <r>
    <n v="10028"/>
    <n v="1"/>
    <d v="2012-07-27T00:00:00"/>
    <s v="DVD"/>
    <n v="100004"/>
    <s v="AB100009"/>
    <x v="5"/>
    <n v="482274"/>
    <x v="0"/>
  </r>
  <r>
    <n v="10080"/>
    <n v="7"/>
    <d v="2012-07-29T00:00:00"/>
    <s v="BLU-RAY"/>
    <n v="100005"/>
    <s v="AB100010"/>
    <x v="3"/>
    <n v="961080"/>
    <x v="0"/>
  </r>
  <r>
    <n v="10124"/>
    <n v="8"/>
    <d v="2012-08-01T00:00:00"/>
    <s v="BLU-RAY"/>
    <n v="100006"/>
    <s v="AB100011"/>
    <x v="1"/>
    <n v="736500"/>
    <x v="0"/>
  </r>
  <r>
    <n v="10015"/>
    <n v="7"/>
    <d v="2012-08-01T00:00:00"/>
    <s v="DVD"/>
    <n v="100006"/>
    <s v="AB100012"/>
    <x v="6"/>
    <n v="736500"/>
    <x v="0"/>
  </r>
  <r>
    <n v="10175"/>
    <n v="2"/>
    <d v="2012-08-02T00:00:00"/>
    <s v="DVD"/>
    <n v="100007"/>
    <s v="AB100013"/>
    <x v="3"/>
    <n v="714277"/>
    <x v="0"/>
  </r>
  <r>
    <n v="10053"/>
    <n v="2"/>
    <d v="2012-08-04T00:00:00"/>
    <s v="DVD"/>
    <n v="100008"/>
    <s v="AB100014"/>
    <x v="4"/>
    <n v="324435"/>
    <x v="0"/>
  </r>
  <r>
    <n v="10143"/>
    <n v="2"/>
    <d v="2012-08-03T00:00:00"/>
    <s v="DVD"/>
    <n v="100008"/>
    <s v="AB100015"/>
    <x v="3"/>
    <n v="324435"/>
    <x v="0"/>
  </r>
  <r>
    <n v="10239"/>
    <n v="3"/>
    <d v="2012-08-07T00:00:00"/>
    <s v="DVD"/>
    <n v="100009"/>
    <s v="AB100016"/>
    <x v="2"/>
    <n v="207846"/>
    <x v="0"/>
  </r>
  <r>
    <n v="10213"/>
    <n v="6"/>
    <d v="2012-08-06T00:00:00"/>
    <s v="DVD"/>
    <n v="100010"/>
    <s v="AB100017"/>
    <x v="4"/>
    <n v="862302"/>
    <x v="0"/>
  </r>
  <r>
    <n v="10006"/>
    <n v="6"/>
    <d v="2012-08-07T00:00:00"/>
    <s v="BLU-RAY"/>
    <n v="100010"/>
    <s v="AB100018"/>
    <x v="1"/>
    <n v="862302"/>
    <x v="0"/>
  </r>
  <r>
    <n v="10213"/>
    <n v="6"/>
    <d v="2012-08-11T00:00:00"/>
    <s v="DVD"/>
    <n v="100011"/>
    <s v="AB100019"/>
    <x v="4"/>
    <n v="274541"/>
    <x v="0"/>
  </r>
  <r>
    <n v="10006"/>
    <n v="9"/>
    <d v="2012-08-11T00:00:00"/>
    <s v="DVD"/>
    <n v="100012"/>
    <s v="AB100020"/>
    <x v="1"/>
    <n v="789308"/>
    <x v="0"/>
  </r>
  <r>
    <n v="10053"/>
    <n v="6"/>
    <d v="2012-08-14T00:00:00"/>
    <s v="BLU-RAY"/>
    <n v="100013"/>
    <s v="AB100021"/>
    <x v="4"/>
    <n v="108708"/>
    <x v="0"/>
  </r>
  <r>
    <n v="10171"/>
    <n v="5"/>
    <d v="2012-08-14T00:00:00"/>
    <s v="BLU-RAY"/>
    <n v="100014"/>
    <s v="AB100022"/>
    <x v="7"/>
    <n v="108708"/>
    <x v="0"/>
  </r>
  <r>
    <n v="10037"/>
    <n v="7"/>
    <d v="2012-08-16T00:00:00"/>
    <s v="DVD"/>
    <n v="100015"/>
    <s v="AB100023"/>
    <x v="3"/>
    <n v="306475"/>
    <x v="0"/>
  </r>
  <r>
    <n v="10032"/>
    <n v="5"/>
    <d v="2012-08-15T00:00:00"/>
    <s v="DVD"/>
    <n v="100015"/>
    <s v="AB100024"/>
    <x v="4"/>
    <n v="306475"/>
    <x v="0"/>
  </r>
  <r>
    <n v="10135"/>
    <n v="8"/>
    <d v="2012-08-19T00:00:00"/>
    <s v="BLU-RAY"/>
    <n v="100016"/>
    <s v="AB100025"/>
    <x v="7"/>
    <n v="324435"/>
    <x v="0"/>
  </r>
  <r>
    <n v="10207"/>
    <n v="1"/>
    <d v="2012-08-20T00:00:00"/>
    <s v="BLU-RAY"/>
    <n v="100016"/>
    <s v="AB100026"/>
    <x v="1"/>
    <n v="324435"/>
    <x v="0"/>
  </r>
  <r>
    <n v="10022"/>
    <n v="6"/>
    <d v="2012-08-20T00:00:00"/>
    <s v="DVD"/>
    <n v="100017"/>
    <s v="AB100027"/>
    <x v="7"/>
    <n v="860057"/>
    <x v="0"/>
  </r>
  <r>
    <n v="10091"/>
    <n v="2"/>
    <d v="2012-08-26T00:00:00"/>
    <s v="DVD"/>
    <n v="100018"/>
    <s v="AB100028"/>
    <x v="0"/>
    <n v="860057"/>
    <x v="0"/>
  </r>
  <r>
    <n v="10043"/>
    <n v="7"/>
    <d v="2012-08-25T00:00:00"/>
    <s v="DVD"/>
    <n v="100018"/>
    <s v="AB100029"/>
    <x v="8"/>
    <n v="860057"/>
    <x v="0"/>
  </r>
  <r>
    <n v="10007"/>
    <n v="5"/>
    <d v="2012-08-27T00:00:00"/>
    <s v="BLU-RAY"/>
    <n v="100019"/>
    <s v="AB100030"/>
    <x v="4"/>
    <n v="447601"/>
    <x v="0"/>
  </r>
  <r>
    <n v="10004"/>
    <n v="5"/>
    <d v="2012-08-28T00:00:00"/>
    <s v="DVD"/>
    <n v="100020"/>
    <s v="AB100031"/>
    <x v="1"/>
    <n v="961080"/>
    <x v="0"/>
  </r>
  <r>
    <n v="10201"/>
    <n v="8"/>
    <d v="2012-08-28T00:00:00"/>
    <s v="DVD"/>
    <n v="100020"/>
    <s v="AB100032"/>
    <x v="8"/>
    <n v="961080"/>
    <x v="0"/>
  </r>
  <r>
    <n v="10221"/>
    <n v="8"/>
    <d v="2012-08-31T00:00:00"/>
    <s v="BLU-RAY"/>
    <n v="100021"/>
    <s v="AB100033"/>
    <x v="9"/>
    <n v="161942"/>
    <x v="0"/>
  </r>
  <r>
    <n v="10058"/>
    <n v="2"/>
    <d v="2012-08-31T00:00:00"/>
    <s v="DVD"/>
    <n v="100021"/>
    <s v="AB100034"/>
    <x v="4"/>
    <n v="161942"/>
    <x v="0"/>
  </r>
  <r>
    <n v="10018"/>
    <n v="5"/>
    <d v="2012-09-02T00:00:00"/>
    <s v="DVD"/>
    <n v="100022"/>
    <s v="AB100035"/>
    <x v="9"/>
    <n v="656728"/>
    <x v="0"/>
  </r>
  <r>
    <n v="10202"/>
    <n v="2"/>
    <d v="2012-09-02T00:00:00"/>
    <s v="DVD"/>
    <n v="100023"/>
    <s v="AB100036"/>
    <x v="0"/>
    <n v="482274"/>
    <x v="0"/>
  </r>
  <r>
    <n v="10046"/>
    <n v="6"/>
    <d v="2012-09-02T00:00:00"/>
    <s v="DVD"/>
    <n v="100023"/>
    <s v="AB100037"/>
    <x v="4"/>
    <n v="482274"/>
    <x v="0"/>
  </r>
  <r>
    <n v="10217"/>
    <n v="6"/>
    <d v="2012-09-03T00:00:00"/>
    <s v="DVD"/>
    <n v="100024"/>
    <s v="AB100038"/>
    <x v="0"/>
    <n v="470304"/>
    <x v="0"/>
  </r>
  <r>
    <n v="10004"/>
    <n v="2"/>
    <d v="2012-09-03T00:00:00"/>
    <s v="BLU-RAY"/>
    <n v="100024"/>
    <s v="AB100039"/>
    <x v="1"/>
    <n v="470304"/>
    <x v="0"/>
  </r>
  <r>
    <n v="10159"/>
    <n v="4"/>
    <d v="2012-09-03T00:00:00"/>
    <s v="DVD"/>
    <n v="100024"/>
    <s v="AB100040"/>
    <x v="10"/>
    <n v="470304"/>
    <x v="0"/>
  </r>
  <r>
    <n v="10126"/>
    <n v="8"/>
    <d v="2012-09-04T00:00:00"/>
    <s v="BLU-RAY"/>
    <n v="100025"/>
    <s v="AB100041"/>
    <x v="9"/>
    <n v="841141"/>
    <x v="0"/>
  </r>
  <r>
    <n v="10229"/>
    <n v="7"/>
    <d v="2012-09-04T00:00:00"/>
    <s v="BLU-RAY"/>
    <n v="100025"/>
    <s v="AB100042"/>
    <x v="6"/>
    <n v="841141"/>
    <x v="0"/>
  </r>
  <r>
    <n v="10089"/>
    <n v="9"/>
    <d v="2012-09-05T00:00:00"/>
    <s v="DVD"/>
    <n v="100026"/>
    <s v="AB100043"/>
    <x v="4"/>
    <n v="175940"/>
    <x v="0"/>
  </r>
  <r>
    <n v="10203"/>
    <n v="2"/>
    <d v="2012-09-05T00:00:00"/>
    <s v="BLU-RAY"/>
    <n v="100026"/>
    <s v="AB100044"/>
    <x v="3"/>
    <n v="175940"/>
    <x v="0"/>
  </r>
  <r>
    <n v="10225"/>
    <n v="5"/>
    <d v="2012-09-06T00:00:00"/>
    <s v="DVD"/>
    <n v="100027"/>
    <s v="AB100045"/>
    <x v="0"/>
    <n v="616028"/>
    <x v="0"/>
  </r>
  <r>
    <n v="10151"/>
    <n v="2"/>
    <d v="2012-09-06T00:00:00"/>
    <s v="BLU-RAY"/>
    <n v="100027"/>
    <s v="AB100046"/>
    <x v="8"/>
    <n v="616028"/>
    <x v="0"/>
  </r>
  <r>
    <n v="10158"/>
    <n v="6"/>
    <d v="2012-09-11T00:00:00"/>
    <s v="DVD"/>
    <n v="100028"/>
    <s v="AB100047"/>
    <x v="0"/>
    <n v="269687"/>
    <x v="0"/>
  </r>
  <r>
    <n v="10123"/>
    <n v="10"/>
    <d v="2012-09-11T00:00:00"/>
    <s v="DVD"/>
    <n v="100028"/>
    <s v="AB100048"/>
    <x v="9"/>
    <n v="269687"/>
    <x v="0"/>
  </r>
  <r>
    <n v="10102"/>
    <n v="4"/>
    <d v="2012-09-16T00:00:00"/>
    <s v="DVD"/>
    <n v="100029"/>
    <s v="AB100049"/>
    <x v="7"/>
    <n v="370870"/>
    <x v="0"/>
  </r>
  <r>
    <n v="10036"/>
    <n v="8"/>
    <d v="2012-09-16T00:00:00"/>
    <s v="DVD"/>
    <n v="100029"/>
    <s v="AB100050"/>
    <x v="7"/>
    <n v="370870"/>
    <x v="0"/>
  </r>
  <r>
    <n v="10074"/>
    <n v="4"/>
    <d v="2012-09-16T00:00:00"/>
    <s v="BLU-RAY"/>
    <n v="100030"/>
    <s v="AB100051"/>
    <x v="11"/>
    <n v="951701"/>
    <x v="0"/>
  </r>
  <r>
    <n v="10208"/>
    <n v="5"/>
    <d v="2012-09-16T00:00:00"/>
    <s v="BLU-RAY"/>
    <n v="100030"/>
    <s v="AB100052"/>
    <x v="0"/>
    <n v="951701"/>
    <x v="0"/>
  </r>
  <r>
    <n v="10035"/>
    <n v="8"/>
    <d v="2012-09-19T00:00:00"/>
    <s v="DVD"/>
    <n v="100031"/>
    <s v="AB100053"/>
    <x v="4"/>
    <n v="553931"/>
    <x v="0"/>
  </r>
  <r>
    <n v="10082"/>
    <n v="5"/>
    <d v="2012-09-18T00:00:00"/>
    <s v="DVD"/>
    <n v="100032"/>
    <s v="AB100054"/>
    <x v="3"/>
    <n v="563468"/>
    <x v="0"/>
  </r>
  <r>
    <n v="10158"/>
    <n v="10"/>
    <d v="2012-09-19T00:00:00"/>
    <s v="DVD"/>
    <n v="100033"/>
    <s v="AB100055"/>
    <x v="0"/>
    <n v="464984"/>
    <x v="0"/>
  </r>
  <r>
    <n v="10031"/>
    <n v="8"/>
    <d v="2012-09-20T00:00:00"/>
    <s v="DVD"/>
    <n v="100034"/>
    <s v="AB100056"/>
    <x v="0"/>
    <n v="665313"/>
    <x v="0"/>
  </r>
  <r>
    <n v="10109"/>
    <n v="4"/>
    <d v="2012-09-20T00:00:00"/>
    <s v="BLU-RAY"/>
    <n v="100034"/>
    <s v="AB100057"/>
    <x v="0"/>
    <n v="665313"/>
    <x v="0"/>
  </r>
  <r>
    <n v="10244"/>
    <n v="4"/>
    <d v="2012-09-20T00:00:00"/>
    <s v="DVD"/>
    <n v="100034"/>
    <s v="AB100058"/>
    <x v="4"/>
    <n v="665313"/>
    <x v="0"/>
  </r>
  <r>
    <n v="10052"/>
    <n v="4"/>
    <d v="2012-09-22T00:00:00"/>
    <s v="DVD"/>
    <n v="100035"/>
    <s v="AB100059"/>
    <x v="0"/>
    <n v="306475"/>
    <x v="0"/>
  </r>
  <r>
    <n v="10245"/>
    <n v="8"/>
    <d v="2012-09-22T00:00:00"/>
    <s v="DVD"/>
    <n v="100035"/>
    <s v="AB100060"/>
    <x v="0"/>
    <n v="306475"/>
    <x v="0"/>
  </r>
  <r>
    <n v="10184"/>
    <n v="3"/>
    <d v="2012-09-23T00:00:00"/>
    <s v="BLU-RAY"/>
    <n v="100036"/>
    <s v="AB100061"/>
    <x v="7"/>
    <n v="465275"/>
    <x v="0"/>
  </r>
  <r>
    <n v="10199"/>
    <n v="5"/>
    <d v="2012-09-24T00:00:00"/>
    <s v="DVD"/>
    <n v="100037"/>
    <s v="AB100062"/>
    <x v="10"/>
    <n v="470304"/>
    <x v="0"/>
  </r>
  <r>
    <n v="10216"/>
    <n v="10"/>
    <d v="2012-09-27T00:00:00"/>
    <s v="DVD"/>
    <n v="100038"/>
    <s v="AB100063"/>
    <x v="4"/>
    <n v="370870"/>
    <x v="0"/>
  </r>
  <r>
    <n v="10091"/>
    <n v="6"/>
    <d v="2012-09-27T00:00:00"/>
    <s v="DVD"/>
    <n v="100039"/>
    <s v="AB100064"/>
    <x v="0"/>
    <n v="795957"/>
    <x v="0"/>
  </r>
  <r>
    <n v="10076"/>
    <n v="8"/>
    <d v="2012-09-28T00:00:00"/>
    <s v="DVD"/>
    <n v="100040"/>
    <s v="AB100065"/>
    <x v="4"/>
    <n v="122818"/>
    <x v="0"/>
  </r>
  <r>
    <n v="10041"/>
    <n v="6"/>
    <d v="2012-09-30T00:00:00"/>
    <s v="DVD"/>
    <n v="100041"/>
    <s v="AB100066"/>
    <x v="10"/>
    <n v="665313"/>
    <x v="0"/>
  </r>
  <r>
    <n v="10043"/>
    <n v="6"/>
    <d v="2012-10-02T00:00:00"/>
    <s v="BLU-RAY"/>
    <n v="100042"/>
    <s v="AB100067"/>
    <x v="8"/>
    <n v="324435"/>
    <x v="0"/>
  </r>
  <r>
    <n v="10220"/>
    <n v="2"/>
    <d v="2012-10-04T00:00:00"/>
    <s v="DVD"/>
    <n v="100043"/>
    <s v="AB100068"/>
    <x v="9"/>
    <n v="643305"/>
    <x v="0"/>
  </r>
  <r>
    <n v="10209"/>
    <n v="5"/>
    <d v="2012-10-05T00:00:00"/>
    <s v="BLU-RAY"/>
    <n v="100044"/>
    <s v="AB100069"/>
    <x v="7"/>
    <n v="832914"/>
    <x v="0"/>
  </r>
  <r>
    <n v="10203"/>
    <n v="6"/>
    <d v="2012-10-03T00:00:00"/>
    <s v="DVD"/>
    <n v="100044"/>
    <s v="AB100070"/>
    <x v="3"/>
    <n v="832914"/>
    <x v="0"/>
  </r>
  <r>
    <n v="10217"/>
    <n v="6"/>
    <d v="2012-10-04T00:00:00"/>
    <s v="BLU-RAY"/>
    <n v="100045"/>
    <s v="AB100071"/>
    <x v="0"/>
    <n v="112690"/>
    <x v="0"/>
  </r>
  <r>
    <n v="10045"/>
    <n v="7"/>
    <d v="2012-10-04T00:00:00"/>
    <s v="DVD"/>
    <n v="100046"/>
    <s v="AB100072"/>
    <x v="0"/>
    <n v="890270"/>
    <x v="0"/>
  </r>
  <r>
    <n v="10004"/>
    <n v="3"/>
    <d v="2012-10-06T00:00:00"/>
    <s v="DVD"/>
    <n v="100047"/>
    <s v="AB100073"/>
    <x v="1"/>
    <n v="950299"/>
    <x v="0"/>
  </r>
  <r>
    <n v="10082"/>
    <n v="1"/>
    <d v="2012-10-06T00:00:00"/>
    <s v="DVD"/>
    <n v="100047"/>
    <s v="AB100074"/>
    <x v="3"/>
    <n v="950299"/>
    <x v="0"/>
  </r>
  <r>
    <n v="10248"/>
    <n v="7"/>
    <d v="2012-10-08T00:00:00"/>
    <s v="BLU-RAY"/>
    <n v="100048"/>
    <s v="AB100075"/>
    <x v="12"/>
    <n v="112690"/>
    <x v="0"/>
  </r>
  <r>
    <n v="10109"/>
    <n v="1"/>
    <d v="2012-10-07T00:00:00"/>
    <s v="DVD"/>
    <n v="100049"/>
    <s v="AB100076"/>
    <x v="0"/>
    <n v="147543"/>
    <x v="0"/>
  </r>
  <r>
    <n v="10032"/>
    <n v="10"/>
    <d v="2012-10-07T00:00:00"/>
    <s v="DVD"/>
    <n v="100049"/>
    <s v="AB100077"/>
    <x v="4"/>
    <n v="147543"/>
    <x v="0"/>
  </r>
  <r>
    <n v="10004"/>
    <n v="1"/>
    <d v="2012-10-07T00:00:00"/>
    <s v="DVD"/>
    <n v="100050"/>
    <s v="AB100078"/>
    <x v="1"/>
    <n v="950299"/>
    <x v="0"/>
  </r>
  <r>
    <n v="10243"/>
    <n v="9"/>
    <d v="2012-10-08T00:00:00"/>
    <s v="DVD"/>
    <n v="100050"/>
    <s v="AB100079"/>
    <x v="9"/>
    <n v="950299"/>
    <x v="0"/>
  </r>
  <r>
    <n v="10028"/>
    <n v="4"/>
    <d v="2012-10-07T00:00:00"/>
    <s v="DVD"/>
    <n v="100050"/>
    <s v="AB100080"/>
    <x v="5"/>
    <n v="950299"/>
    <x v="0"/>
  </r>
  <r>
    <n v="10204"/>
    <n v="4"/>
    <d v="2012-10-07T00:00:00"/>
    <s v="BLU-RAY"/>
    <n v="100050"/>
    <s v="AB100081"/>
    <x v="7"/>
    <n v="950299"/>
    <x v="0"/>
  </r>
  <r>
    <n v="10074"/>
    <n v="6"/>
    <d v="2012-10-08T00:00:00"/>
    <s v="BLU-RAY"/>
    <n v="100050"/>
    <s v="AB100082"/>
    <x v="11"/>
    <n v="950299"/>
    <x v="0"/>
  </r>
  <r>
    <n v="10064"/>
    <n v="4"/>
    <d v="2012-10-09T00:00:00"/>
    <s v="DVD"/>
    <n v="100051"/>
    <s v="AB100083"/>
    <x v="7"/>
    <n v="656512"/>
    <x v="0"/>
  </r>
  <r>
    <n v="10151"/>
    <n v="7"/>
    <d v="2012-10-09T00:00:00"/>
    <s v="BLU-RAY"/>
    <n v="100051"/>
    <s v="AB100084"/>
    <x v="8"/>
    <n v="656512"/>
    <x v="0"/>
  </r>
  <r>
    <n v="10043"/>
    <n v="6"/>
    <d v="2012-10-09T00:00:00"/>
    <s v="BLU-RAY"/>
    <n v="100052"/>
    <s v="AB100085"/>
    <x v="8"/>
    <n v="480298"/>
    <x v="0"/>
  </r>
  <r>
    <n v="10116"/>
    <n v="2"/>
    <d v="2012-10-09T00:00:00"/>
    <s v="BLU-RAY"/>
    <n v="100052"/>
    <s v="AB100086"/>
    <x v="7"/>
    <n v="480298"/>
    <x v="0"/>
  </r>
  <r>
    <n v="10148"/>
    <n v="7"/>
    <d v="2012-10-13T00:00:00"/>
    <s v="BLU-RAY"/>
    <n v="100053"/>
    <s v="AB100087"/>
    <x v="1"/>
    <n v="447368"/>
    <x v="0"/>
  </r>
  <r>
    <n v="10166"/>
    <n v="6"/>
    <d v="2012-10-13T00:00:00"/>
    <s v="BLU-RAY"/>
    <n v="100054"/>
    <s v="AB100088"/>
    <x v="9"/>
    <n v="736500"/>
    <x v="0"/>
  </r>
  <r>
    <n v="10021"/>
    <n v="4"/>
    <d v="2012-10-13T00:00:00"/>
    <s v="BLU-RAY"/>
    <n v="100054"/>
    <s v="AB100089"/>
    <x v="1"/>
    <n v="736500"/>
    <x v="0"/>
  </r>
  <r>
    <n v="10046"/>
    <n v="3"/>
    <d v="2012-10-13T00:00:00"/>
    <s v="DVD"/>
    <n v="100054"/>
    <s v="AB100090"/>
    <x v="4"/>
    <n v="736500"/>
    <x v="0"/>
  </r>
  <r>
    <n v="10137"/>
    <n v="8"/>
    <d v="2012-10-14T00:00:00"/>
    <s v="DVD"/>
    <n v="100055"/>
    <s v="AB100091"/>
    <x v="3"/>
    <n v="435907"/>
    <x v="0"/>
  </r>
  <r>
    <n v="10234"/>
    <n v="10"/>
    <d v="2012-10-16T00:00:00"/>
    <s v="BLU-RAY"/>
    <n v="100056"/>
    <s v="AB100092"/>
    <x v="0"/>
    <n v="872851"/>
    <x v="0"/>
  </r>
  <r>
    <n v="10144"/>
    <n v="2"/>
    <d v="2012-10-16T00:00:00"/>
    <s v="DVD"/>
    <n v="100057"/>
    <s v="AB100093"/>
    <x v="2"/>
    <n v="755271"/>
    <x v="0"/>
  </r>
  <r>
    <n v="10124"/>
    <n v="9"/>
    <d v="2012-10-16T00:00:00"/>
    <s v="DVD"/>
    <n v="100057"/>
    <s v="AB100094"/>
    <x v="1"/>
    <n v="755271"/>
    <x v="0"/>
  </r>
  <r>
    <n v="10054"/>
    <n v="8"/>
    <d v="2012-10-18T00:00:00"/>
    <s v="BLU-RAY"/>
    <n v="100058"/>
    <s v="AB100095"/>
    <x v="1"/>
    <n v="791850"/>
    <x v="0"/>
  </r>
  <r>
    <n v="10155"/>
    <n v="4"/>
    <d v="2012-10-18T00:00:00"/>
    <s v="DVD"/>
    <n v="100058"/>
    <s v="AB100096"/>
    <x v="9"/>
    <n v="791850"/>
    <x v="0"/>
  </r>
  <r>
    <n v="10242"/>
    <n v="2"/>
    <d v="2012-10-18T00:00:00"/>
    <s v="DVD"/>
    <n v="100059"/>
    <s v="AB100097"/>
    <x v="3"/>
    <n v="386336"/>
    <x v="0"/>
  </r>
  <r>
    <n v="10143"/>
    <n v="8"/>
    <d v="2012-10-19T00:00:00"/>
    <s v="DVD"/>
    <n v="100060"/>
    <s v="AB100098"/>
    <x v="3"/>
    <n v="739669"/>
    <x v="0"/>
  </r>
  <r>
    <n v="10181"/>
    <n v="2"/>
    <d v="2012-10-20T00:00:00"/>
    <s v="BLU-RAY"/>
    <n v="100060"/>
    <s v="AB100099"/>
    <x v="9"/>
    <n v="739669"/>
    <x v="0"/>
  </r>
  <r>
    <n v="10240"/>
    <n v="9"/>
    <d v="2012-10-19T00:00:00"/>
    <s v="DVD"/>
    <n v="100061"/>
    <s v="AB100100"/>
    <x v="0"/>
    <n v="810369"/>
    <x v="0"/>
  </r>
  <r>
    <n v="10092"/>
    <n v="2"/>
    <d v="2012-10-19T00:00:00"/>
    <s v="DVD"/>
    <n v="100062"/>
    <s v="AB100101"/>
    <x v="0"/>
    <n v="926289"/>
    <x v="0"/>
  </r>
  <r>
    <n v="10028"/>
    <n v="10"/>
    <d v="2012-10-18T00:00:00"/>
    <s v="DVD"/>
    <n v="100062"/>
    <s v="AB100102"/>
    <x v="5"/>
    <n v="926289"/>
    <x v="0"/>
  </r>
  <r>
    <n v="10245"/>
    <n v="10"/>
    <d v="2012-10-20T00:00:00"/>
    <s v="DVD"/>
    <n v="100063"/>
    <s v="AB100103"/>
    <x v="0"/>
    <n v="553931"/>
    <x v="0"/>
  </r>
  <r>
    <n v="10195"/>
    <n v="8"/>
    <d v="2012-10-20T00:00:00"/>
    <s v="DVD"/>
    <n v="100064"/>
    <s v="AB100104"/>
    <x v="4"/>
    <n v="795957"/>
    <x v="0"/>
  </r>
  <r>
    <n v="10247"/>
    <n v="9"/>
    <d v="2012-10-21T00:00:00"/>
    <s v="BLU-RAY"/>
    <n v="100065"/>
    <s v="AB100105"/>
    <x v="9"/>
    <n v="690100"/>
    <x v="0"/>
  </r>
  <r>
    <n v="10019"/>
    <n v="5"/>
    <d v="2012-10-22T00:00:00"/>
    <s v="BLU-RAY"/>
    <n v="100066"/>
    <s v="AB100106"/>
    <x v="9"/>
    <n v="663029"/>
    <x v="0"/>
  </r>
  <r>
    <n v="10023"/>
    <n v="2"/>
    <d v="2012-10-23T00:00:00"/>
    <s v="DVD"/>
    <n v="100066"/>
    <s v="AB100107"/>
    <x v="3"/>
    <n v="663029"/>
    <x v="0"/>
  </r>
  <r>
    <n v="10169"/>
    <n v="3"/>
    <d v="2012-10-24T00:00:00"/>
    <s v="DVD"/>
    <n v="100067"/>
    <s v="AB100108"/>
    <x v="0"/>
    <n v="689877"/>
    <x v="0"/>
  </r>
  <r>
    <n v="10233"/>
    <n v="9"/>
    <d v="2012-10-23T00:00:00"/>
    <s v="DVD"/>
    <n v="100068"/>
    <s v="AB100109"/>
    <x v="8"/>
    <n v="214537"/>
    <x v="0"/>
  </r>
  <r>
    <n v="10155"/>
    <n v="5"/>
    <d v="2012-10-24T00:00:00"/>
    <s v="DVD"/>
    <n v="100069"/>
    <s v="AB100110"/>
    <x v="9"/>
    <n v="199895"/>
    <x v="0"/>
  </r>
  <r>
    <n v="10005"/>
    <n v="3"/>
    <d v="2012-10-24T00:00:00"/>
    <s v="BLU-RAY"/>
    <n v="100070"/>
    <s v="AB100111"/>
    <x v="3"/>
    <n v="158310"/>
    <x v="0"/>
  </r>
  <r>
    <n v="10038"/>
    <n v="7"/>
    <d v="2012-10-24T00:00:00"/>
    <s v="BLU-RAY"/>
    <n v="100070"/>
    <s v="AB100112"/>
    <x v="1"/>
    <n v="158310"/>
    <x v="0"/>
  </r>
  <r>
    <n v="10090"/>
    <n v="2"/>
    <d v="2012-10-24T00:00:00"/>
    <s v="DVD"/>
    <n v="100071"/>
    <s v="AB100113"/>
    <x v="1"/>
    <n v="707458"/>
    <x v="0"/>
  </r>
  <r>
    <n v="10242"/>
    <n v="2"/>
    <d v="2012-10-23T00:00:00"/>
    <s v="BLU-RAY"/>
    <n v="100072"/>
    <s v="AB100114"/>
    <x v="3"/>
    <n v="370870"/>
    <x v="0"/>
  </r>
  <r>
    <n v="10142"/>
    <n v="3"/>
    <d v="2012-10-24T00:00:00"/>
    <s v="BLU-RAY"/>
    <n v="100073"/>
    <s v="AB100115"/>
    <x v="0"/>
    <n v="689877"/>
    <x v="0"/>
  </r>
  <r>
    <n v="10197"/>
    <n v="1"/>
    <d v="2012-10-25T00:00:00"/>
    <s v="DVD"/>
    <n v="100074"/>
    <s v="AB100116"/>
    <x v="0"/>
    <n v="336644"/>
    <x v="0"/>
  </r>
  <r>
    <n v="10213"/>
    <n v="2"/>
    <d v="2012-10-26T00:00:00"/>
    <s v="BLU-RAY"/>
    <n v="100075"/>
    <s v="AB100117"/>
    <x v="4"/>
    <n v="378374"/>
    <x v="0"/>
  </r>
  <r>
    <n v="10100"/>
    <n v="5"/>
    <d v="2012-10-26T00:00:00"/>
    <s v="BLU-RAY"/>
    <n v="100075"/>
    <s v="AB100118"/>
    <x v="9"/>
    <n v="378374"/>
    <x v="0"/>
  </r>
  <r>
    <n v="10148"/>
    <n v="3"/>
    <d v="2012-10-25T00:00:00"/>
    <s v="DVD"/>
    <n v="100075"/>
    <s v="AB100119"/>
    <x v="1"/>
    <n v="378374"/>
    <x v="0"/>
  </r>
  <r>
    <n v="10011"/>
    <n v="7"/>
    <d v="2012-10-26T00:00:00"/>
    <s v="DVD"/>
    <n v="100075"/>
    <s v="AB100120"/>
    <x v="3"/>
    <n v="378374"/>
    <x v="0"/>
  </r>
  <r>
    <n v="10238"/>
    <n v="9"/>
    <d v="2012-10-25T00:00:00"/>
    <s v="DVD"/>
    <n v="100076"/>
    <s v="AB100121"/>
    <x v="0"/>
    <n v="924649"/>
    <x v="0"/>
  </r>
  <r>
    <n v="10169"/>
    <n v="5"/>
    <d v="2012-10-25T00:00:00"/>
    <s v="BLU-RAY"/>
    <n v="100076"/>
    <s v="AB100122"/>
    <x v="0"/>
    <n v="924649"/>
    <x v="0"/>
  </r>
  <r>
    <n v="10214"/>
    <n v="7"/>
    <d v="2012-10-25T00:00:00"/>
    <s v="DVD"/>
    <n v="100076"/>
    <s v="AB100123"/>
    <x v="13"/>
    <n v="924649"/>
    <x v="0"/>
  </r>
  <r>
    <n v="10074"/>
    <n v="3"/>
    <d v="2012-10-26T00:00:00"/>
    <s v="DVD"/>
    <n v="100077"/>
    <s v="AB100124"/>
    <x v="11"/>
    <n v="689877"/>
    <x v="0"/>
  </r>
  <r>
    <n v="10159"/>
    <n v="6"/>
    <d v="2012-10-25T00:00:00"/>
    <s v="BLU-RAY"/>
    <n v="100077"/>
    <s v="AB100125"/>
    <x v="10"/>
    <n v="689877"/>
    <x v="0"/>
  </r>
  <r>
    <n v="10108"/>
    <n v="4"/>
    <d v="2012-10-26T00:00:00"/>
    <s v="BLU-RAY"/>
    <n v="100078"/>
    <s v="AB100126"/>
    <x v="9"/>
    <n v="413292"/>
    <x v="0"/>
  </r>
  <r>
    <n v="10049"/>
    <n v="4"/>
    <d v="2012-10-25T00:00:00"/>
    <s v="DVD"/>
    <n v="100078"/>
    <s v="AB100127"/>
    <x v="7"/>
    <n v="413292"/>
    <x v="0"/>
  </r>
  <r>
    <n v="10182"/>
    <n v="10"/>
    <d v="2012-10-26T00:00:00"/>
    <s v="BLU-RAY"/>
    <n v="100079"/>
    <s v="AB100128"/>
    <x v="0"/>
    <n v="689877"/>
    <x v="0"/>
  </r>
  <r>
    <n v="10222"/>
    <n v="7"/>
    <d v="2012-10-26T00:00:00"/>
    <s v="DVD"/>
    <n v="100080"/>
    <s v="AB100129"/>
    <x v="4"/>
    <n v="292402"/>
    <x v="0"/>
  </r>
  <r>
    <n v="10177"/>
    <n v="7"/>
    <d v="2012-10-31T00:00:00"/>
    <s v="DVD"/>
    <n v="100081"/>
    <s v="AB100130"/>
    <x v="9"/>
    <n v="413495"/>
    <x v="0"/>
  </r>
  <r>
    <n v="10176"/>
    <n v="10"/>
    <d v="2012-10-30T00:00:00"/>
    <s v="BLU-RAY"/>
    <n v="100082"/>
    <s v="AB100131"/>
    <x v="7"/>
    <n v="537860"/>
    <x v="0"/>
  </r>
  <r>
    <n v="10249"/>
    <n v="4"/>
    <d v="2012-10-29T00:00:00"/>
    <s v="DVD"/>
    <n v="100083"/>
    <s v="AB100132"/>
    <x v="5"/>
    <n v="872851"/>
    <x v="0"/>
  </r>
  <r>
    <n v="10015"/>
    <n v="9"/>
    <d v="2012-11-01T00:00:00"/>
    <s v="BLU-RAY"/>
    <n v="100084"/>
    <s v="AB100133"/>
    <x v="6"/>
    <n v="791850"/>
    <x v="0"/>
  </r>
  <r>
    <n v="10107"/>
    <n v="8"/>
    <d v="2012-10-30T00:00:00"/>
    <s v="DVD"/>
    <n v="100084"/>
    <s v="AB100134"/>
    <x v="7"/>
    <n v="791850"/>
    <x v="0"/>
  </r>
  <r>
    <n v="10214"/>
    <n v="7"/>
    <d v="2012-11-01T00:00:00"/>
    <s v="DVD"/>
    <n v="100085"/>
    <s v="AB100135"/>
    <x v="13"/>
    <n v="789308"/>
    <x v="0"/>
  </r>
  <r>
    <n v="10116"/>
    <n v="7"/>
    <d v="2012-10-30T00:00:00"/>
    <s v="BLU-RAY"/>
    <n v="100085"/>
    <s v="AB100136"/>
    <x v="7"/>
    <n v="789308"/>
    <x v="0"/>
  </r>
  <r>
    <n v="10230"/>
    <n v="2"/>
    <d v="2012-10-30T00:00:00"/>
    <s v="BLU-RAY"/>
    <n v="100086"/>
    <s v="AB100137"/>
    <x v="14"/>
    <n v="336644"/>
    <x v="0"/>
  </r>
  <r>
    <n v="10055"/>
    <n v="4"/>
    <d v="2012-10-30T00:00:00"/>
    <s v="BLU-RAY"/>
    <n v="100086"/>
    <s v="AB100138"/>
    <x v="15"/>
    <n v="336644"/>
    <x v="0"/>
  </r>
  <r>
    <n v="10200"/>
    <n v="9"/>
    <d v="2012-10-31T00:00:00"/>
    <s v="DVD"/>
    <n v="100087"/>
    <s v="AB100139"/>
    <x v="9"/>
    <n v="720602"/>
    <x v="0"/>
  </r>
  <r>
    <n v="10205"/>
    <n v="2"/>
    <d v="2012-11-01T00:00:00"/>
    <s v="BLU-RAY"/>
    <n v="100087"/>
    <s v="AB100140"/>
    <x v="1"/>
    <n v="720602"/>
    <x v="0"/>
  </r>
  <r>
    <n v="10086"/>
    <n v="5"/>
    <d v="2012-11-02T00:00:00"/>
    <s v="BLU-RAY"/>
    <n v="100088"/>
    <s v="AB100141"/>
    <x v="3"/>
    <n v="553931"/>
    <x v="0"/>
  </r>
  <r>
    <n v="10219"/>
    <n v="1"/>
    <d v="2012-11-01T00:00:00"/>
    <s v="BLU-RAY"/>
    <n v="100088"/>
    <s v="AB100142"/>
    <x v="1"/>
    <n v="553931"/>
    <x v="0"/>
  </r>
  <r>
    <n v="10083"/>
    <n v="5"/>
    <d v="2012-11-01T00:00:00"/>
    <s v="BLU-RAY"/>
    <n v="100088"/>
    <s v="AB100143"/>
    <x v="3"/>
    <n v="553931"/>
    <x v="0"/>
  </r>
  <r>
    <n v="10240"/>
    <n v="2"/>
    <d v="2012-11-02T00:00:00"/>
    <s v="BLU-RAY"/>
    <n v="100089"/>
    <s v="AB100144"/>
    <x v="0"/>
    <n v="722547"/>
    <x v="0"/>
  </r>
  <r>
    <n v="10057"/>
    <n v="6"/>
    <d v="2012-11-01T00:00:00"/>
    <s v="BLU-RAY"/>
    <n v="100089"/>
    <s v="AB100145"/>
    <x v="0"/>
    <n v="722547"/>
    <x v="0"/>
  </r>
  <r>
    <n v="10019"/>
    <n v="10"/>
    <d v="2012-11-02T00:00:00"/>
    <s v="BLU-RAY"/>
    <n v="100090"/>
    <s v="AB100146"/>
    <x v="9"/>
    <n v="559486"/>
    <x v="0"/>
  </r>
  <r>
    <n v="10234"/>
    <n v="9"/>
    <d v="2012-11-02T00:00:00"/>
    <s v="DVD"/>
    <n v="100090"/>
    <s v="AB100147"/>
    <x v="0"/>
    <n v="559486"/>
    <x v="0"/>
  </r>
  <r>
    <n v="10161"/>
    <n v="10"/>
    <d v="2012-11-03T00:00:00"/>
    <s v="DVD"/>
    <n v="100091"/>
    <s v="AB100148"/>
    <x v="6"/>
    <n v="592726"/>
    <x v="0"/>
  </r>
  <r>
    <n v="10223"/>
    <n v="1"/>
    <d v="2012-11-02T00:00:00"/>
    <s v="DVD"/>
    <n v="100091"/>
    <s v="AB100149"/>
    <x v="7"/>
    <n v="592726"/>
    <x v="0"/>
  </r>
  <r>
    <n v="10213"/>
    <n v="6"/>
    <d v="2012-11-04T00:00:00"/>
    <s v="DVD"/>
    <n v="100092"/>
    <s v="AB100150"/>
    <x v="4"/>
    <n v="938417"/>
    <x v="0"/>
  </r>
  <r>
    <n v="10090"/>
    <n v="5"/>
    <d v="2012-11-04T00:00:00"/>
    <s v="DVD"/>
    <n v="100092"/>
    <s v="AB100151"/>
    <x v="1"/>
    <n v="938417"/>
    <x v="0"/>
  </r>
  <r>
    <n v="10067"/>
    <n v="10"/>
    <d v="2012-11-05T00:00:00"/>
    <s v="DVD"/>
    <n v="100092"/>
    <s v="AB100152"/>
    <x v="1"/>
    <n v="938417"/>
    <x v="0"/>
  </r>
  <r>
    <n v="10144"/>
    <n v="3"/>
    <d v="2012-11-04T00:00:00"/>
    <s v="DVD"/>
    <n v="100092"/>
    <s v="AB100153"/>
    <x v="2"/>
    <n v="938417"/>
    <x v="0"/>
  </r>
  <r>
    <n v="10193"/>
    <n v="9"/>
    <d v="2012-11-04T00:00:00"/>
    <s v="DVD"/>
    <n v="100093"/>
    <s v="AB100154"/>
    <x v="9"/>
    <n v="175940"/>
    <x v="0"/>
  </r>
  <r>
    <n v="10012"/>
    <n v="8"/>
    <d v="2012-11-06T00:00:00"/>
    <s v="BLU-RAY"/>
    <n v="100094"/>
    <s v="AB100155"/>
    <x v="3"/>
    <n v="447368"/>
    <x v="0"/>
  </r>
  <r>
    <n v="10050"/>
    <n v="9"/>
    <d v="2012-11-06T00:00:00"/>
    <s v="BLU-RAY"/>
    <n v="100094"/>
    <s v="AB100156"/>
    <x v="1"/>
    <n v="447368"/>
    <x v="0"/>
  </r>
  <r>
    <n v="10149"/>
    <n v="10"/>
    <d v="2012-11-06T00:00:00"/>
    <s v="DVD"/>
    <n v="100094"/>
    <s v="AB100157"/>
    <x v="12"/>
    <n v="447368"/>
    <x v="0"/>
  </r>
  <r>
    <n v="10215"/>
    <n v="3"/>
    <d v="2012-11-08T00:00:00"/>
    <s v="BLU-RAY"/>
    <n v="100095"/>
    <s v="AB100158"/>
    <x v="1"/>
    <n v="884607"/>
    <x v="0"/>
  </r>
  <r>
    <n v="10209"/>
    <n v="2"/>
    <d v="2012-11-06T00:00:00"/>
    <s v="DVD"/>
    <n v="100095"/>
    <s v="AB100159"/>
    <x v="7"/>
    <n v="884607"/>
    <x v="0"/>
  </r>
  <r>
    <n v="10180"/>
    <n v="4"/>
    <d v="2012-11-07T00:00:00"/>
    <s v="BLU-RAY"/>
    <n v="100096"/>
    <s v="AB100160"/>
    <x v="12"/>
    <n v="193968"/>
    <x v="0"/>
  </r>
  <r>
    <n v="10126"/>
    <n v="4"/>
    <d v="2012-11-07T00:00:00"/>
    <s v="BLU-RAY"/>
    <n v="100096"/>
    <s v="AB100161"/>
    <x v="9"/>
    <n v="193968"/>
    <x v="0"/>
  </r>
  <r>
    <n v="10032"/>
    <n v="9"/>
    <d v="2012-11-07T00:00:00"/>
    <s v="DVD"/>
    <n v="100096"/>
    <s v="AB100162"/>
    <x v="4"/>
    <n v="193968"/>
    <x v="0"/>
  </r>
  <r>
    <n v="10215"/>
    <n v="8"/>
    <d v="2012-11-09T00:00:00"/>
    <s v="DVD"/>
    <n v="100096"/>
    <s v="AB100163"/>
    <x v="1"/>
    <n v="193968"/>
    <x v="0"/>
  </r>
  <r>
    <n v="10237"/>
    <n v="3"/>
    <d v="2012-11-08T00:00:00"/>
    <s v="DVD"/>
    <n v="100096"/>
    <s v="AB100164"/>
    <x v="0"/>
    <n v="193968"/>
    <x v="0"/>
  </r>
  <r>
    <n v="10249"/>
    <n v="1"/>
    <d v="2012-11-07T00:00:00"/>
    <s v="DVD"/>
    <n v="100097"/>
    <s v="AB100165"/>
    <x v="5"/>
    <n v="468100"/>
    <x v="0"/>
  </r>
  <r>
    <n v="10238"/>
    <n v="4"/>
    <d v="2012-11-08T00:00:00"/>
    <s v="DVD"/>
    <n v="100097"/>
    <s v="AB100166"/>
    <x v="0"/>
    <n v="468100"/>
    <x v="0"/>
  </r>
  <r>
    <n v="10090"/>
    <n v="10"/>
    <d v="2012-11-07T00:00:00"/>
    <s v="BLU-RAY"/>
    <n v="100098"/>
    <s v="AB100167"/>
    <x v="1"/>
    <n v="132454"/>
    <x v="0"/>
  </r>
  <r>
    <n v="10142"/>
    <n v="7"/>
    <d v="2012-11-07T00:00:00"/>
    <s v="BLU-RAY"/>
    <n v="100099"/>
    <s v="AB100168"/>
    <x v="0"/>
    <n v="416523"/>
    <x v="0"/>
  </r>
  <r>
    <n v="10211"/>
    <n v="2"/>
    <d v="2012-11-08T00:00:00"/>
    <s v="DVD"/>
    <n v="100100"/>
    <s v="AB100169"/>
    <x v="3"/>
    <n v="277373"/>
    <x v="0"/>
  </r>
  <r>
    <n v="10142"/>
    <n v="2"/>
    <d v="2012-11-09T00:00:00"/>
    <s v="BLU-RAY"/>
    <n v="100100"/>
    <s v="AB100170"/>
    <x v="0"/>
    <n v="277373"/>
    <x v="0"/>
  </r>
  <r>
    <n v="10037"/>
    <n v="2"/>
    <d v="2012-11-08T00:00:00"/>
    <s v="DVD"/>
    <n v="100100"/>
    <s v="AB100171"/>
    <x v="3"/>
    <n v="277373"/>
    <x v="0"/>
  </r>
  <r>
    <n v="10108"/>
    <n v="7"/>
    <d v="2012-11-08T00:00:00"/>
    <s v="DVD"/>
    <n v="100100"/>
    <s v="AB100172"/>
    <x v="9"/>
    <n v="277373"/>
    <x v="0"/>
  </r>
  <r>
    <n v="10203"/>
    <n v="5"/>
    <d v="2012-11-08T00:00:00"/>
    <s v="BLU-RAY"/>
    <n v="100101"/>
    <s v="AB100173"/>
    <x v="3"/>
    <n v="789500"/>
    <x v="0"/>
  </r>
  <r>
    <n v="10024"/>
    <n v="2"/>
    <d v="2012-11-08T00:00:00"/>
    <s v="BLU-RAY"/>
    <n v="100101"/>
    <s v="AB100174"/>
    <x v="9"/>
    <n v="789500"/>
    <x v="0"/>
  </r>
  <r>
    <n v="10016"/>
    <n v="3"/>
    <d v="2012-11-08T00:00:00"/>
    <s v="DVD"/>
    <n v="100102"/>
    <s v="AB100175"/>
    <x v="7"/>
    <n v="736500"/>
    <x v="0"/>
  </r>
  <r>
    <n v="10111"/>
    <n v="10"/>
    <d v="2012-11-09T00:00:00"/>
    <s v="BLU-RAY"/>
    <n v="100102"/>
    <s v="AB100176"/>
    <x v="9"/>
    <n v="736500"/>
    <x v="0"/>
  </r>
  <r>
    <n v="10116"/>
    <n v="1"/>
    <d v="2012-11-08T00:00:00"/>
    <s v="BLU-RAY"/>
    <n v="100103"/>
    <s v="AB100177"/>
    <x v="7"/>
    <n v="465275"/>
    <x v="0"/>
  </r>
  <r>
    <n v="10234"/>
    <n v="4"/>
    <d v="2012-11-10T00:00:00"/>
    <s v="DVD"/>
    <n v="100104"/>
    <s v="AB100178"/>
    <x v="0"/>
    <n v="214537"/>
    <x v="0"/>
  </r>
  <r>
    <n v="10134"/>
    <n v="3"/>
    <d v="2012-11-10T00:00:00"/>
    <s v="DVD"/>
    <n v="100105"/>
    <s v="AB100179"/>
    <x v="7"/>
    <n v="814512"/>
    <x v="0"/>
  </r>
  <r>
    <n v="10137"/>
    <n v="7"/>
    <d v="2012-11-11T00:00:00"/>
    <s v="BLU-RAY"/>
    <n v="100105"/>
    <s v="AB100180"/>
    <x v="3"/>
    <n v="814512"/>
    <x v="0"/>
  </r>
  <r>
    <n v="10161"/>
    <n v="7"/>
    <d v="2012-11-10T00:00:00"/>
    <s v="DVD"/>
    <n v="100105"/>
    <s v="AB100181"/>
    <x v="6"/>
    <n v="814512"/>
    <x v="0"/>
  </r>
  <r>
    <n v="10018"/>
    <n v="10"/>
    <d v="2012-11-10T00:00:00"/>
    <s v="BLU-RAY"/>
    <n v="100105"/>
    <s v="AB100182"/>
    <x v="9"/>
    <n v="814512"/>
    <x v="0"/>
  </r>
  <r>
    <n v="10004"/>
    <n v="1"/>
    <d v="2012-11-11T00:00:00"/>
    <s v="DVD"/>
    <n v="100106"/>
    <s v="AB100183"/>
    <x v="1"/>
    <n v="166135"/>
    <x v="0"/>
  </r>
  <r>
    <n v="10181"/>
    <n v="8"/>
    <d v="2012-11-11T00:00:00"/>
    <s v="DVD"/>
    <n v="100106"/>
    <s v="AB100184"/>
    <x v="9"/>
    <n v="166135"/>
    <x v="0"/>
  </r>
  <r>
    <n v="10029"/>
    <n v="8"/>
    <d v="2012-11-12T00:00:00"/>
    <s v="DVD"/>
    <n v="100107"/>
    <s v="AB100185"/>
    <x v="12"/>
    <n v="739669"/>
    <x v="0"/>
  </r>
  <r>
    <n v="10118"/>
    <n v="3"/>
    <d v="2012-11-13T00:00:00"/>
    <s v="BLU-RAY"/>
    <n v="100107"/>
    <s v="AB100186"/>
    <x v="3"/>
    <n v="739669"/>
    <x v="0"/>
  </r>
  <r>
    <n v="10100"/>
    <n v="7"/>
    <d v="2012-11-12T00:00:00"/>
    <s v="BLU-RAY"/>
    <n v="100107"/>
    <s v="AB100187"/>
    <x v="9"/>
    <n v="739669"/>
    <x v="0"/>
  </r>
  <r>
    <n v="10020"/>
    <n v="6"/>
    <d v="2012-11-12T00:00:00"/>
    <s v="BLU-RAY"/>
    <n v="100108"/>
    <s v="AB100188"/>
    <x v="16"/>
    <n v="696852"/>
    <x v="0"/>
  </r>
  <r>
    <n v="10247"/>
    <n v="10"/>
    <d v="2012-11-15T00:00:00"/>
    <s v="DVD"/>
    <n v="100109"/>
    <s v="AB100189"/>
    <x v="9"/>
    <n v="567388"/>
    <x v="0"/>
  </r>
  <r>
    <n v="10068"/>
    <n v="9"/>
    <d v="2012-11-14T00:00:00"/>
    <s v="BLU-RAY"/>
    <n v="100109"/>
    <s v="AB100190"/>
    <x v="0"/>
    <n v="567388"/>
    <x v="0"/>
  </r>
  <r>
    <n v="10162"/>
    <n v="5"/>
    <d v="2012-11-18T00:00:00"/>
    <s v="BLU-RAY"/>
    <n v="100110"/>
    <s v="AB100191"/>
    <x v="4"/>
    <n v="122818"/>
    <x v="0"/>
  </r>
  <r>
    <n v="10194"/>
    <n v="4"/>
    <d v="2012-11-17T00:00:00"/>
    <s v="DVD"/>
    <n v="100111"/>
    <s v="AB100192"/>
    <x v="16"/>
    <n v="227372"/>
    <x v="0"/>
  </r>
  <r>
    <n v="10221"/>
    <n v="2"/>
    <d v="2012-11-19T00:00:00"/>
    <s v="BLU-RAY"/>
    <n v="100112"/>
    <s v="AB100193"/>
    <x v="9"/>
    <n v="464984"/>
    <x v="0"/>
  </r>
  <r>
    <n v="10011"/>
    <n v="7"/>
    <d v="2012-11-21T00:00:00"/>
    <s v="DVD"/>
    <n v="100113"/>
    <s v="AB100194"/>
    <x v="3"/>
    <n v="422951"/>
    <x v="0"/>
  </r>
  <r>
    <n v="10076"/>
    <n v="5"/>
    <d v="2012-11-20T00:00:00"/>
    <s v="BLU-RAY"/>
    <n v="100113"/>
    <s v="AB100195"/>
    <x v="4"/>
    <n v="422951"/>
    <x v="0"/>
  </r>
  <r>
    <n v="10000"/>
    <n v="1"/>
    <d v="2012-11-20T00:00:00"/>
    <s v="BLU-RAY"/>
    <n v="100114"/>
    <s v="AB100196"/>
    <x v="6"/>
    <n v="701816"/>
    <x v="0"/>
  </r>
  <r>
    <n v="10181"/>
    <n v="6"/>
    <d v="2012-11-21T00:00:00"/>
    <s v="DVD"/>
    <n v="100114"/>
    <s v="AB100197"/>
    <x v="9"/>
    <n v="701816"/>
    <x v="0"/>
  </r>
  <r>
    <n v="10096"/>
    <n v="1"/>
    <d v="2012-11-20T00:00:00"/>
    <s v="BLU-RAY"/>
    <n v="100114"/>
    <s v="AB100198"/>
    <x v="7"/>
    <n v="701816"/>
    <x v="0"/>
  </r>
  <r>
    <n v="10234"/>
    <n v="4"/>
    <d v="2012-11-21T00:00:00"/>
    <s v="BLU-RAY"/>
    <n v="100115"/>
    <s v="AB100199"/>
    <x v="0"/>
    <n v="336644"/>
    <x v="0"/>
  </r>
  <r>
    <n v="10021"/>
    <n v="7"/>
    <d v="2012-11-21T00:00:00"/>
    <s v="DVD"/>
    <n v="100116"/>
    <s v="AB100200"/>
    <x v="1"/>
    <n v="951701"/>
    <x v="0"/>
  </r>
  <r>
    <n v="10166"/>
    <n v="2"/>
    <d v="2012-11-23T00:00:00"/>
    <s v="BLU-RAY"/>
    <n v="100117"/>
    <s v="AB100201"/>
    <x v="9"/>
    <n v="286196"/>
    <x v="0"/>
  </r>
  <r>
    <n v="10045"/>
    <n v="5"/>
    <d v="2012-11-22T00:00:00"/>
    <s v="BLU-RAY"/>
    <n v="100118"/>
    <s v="AB100202"/>
    <x v="0"/>
    <n v="122818"/>
    <x v="0"/>
  </r>
  <r>
    <n v="10100"/>
    <n v="6"/>
    <d v="2012-11-21T00:00:00"/>
    <s v="BLU-RAY"/>
    <n v="100118"/>
    <s v="AB100203"/>
    <x v="9"/>
    <n v="122818"/>
    <x v="0"/>
  </r>
  <r>
    <n v="10230"/>
    <n v="3"/>
    <d v="2012-11-21T00:00:00"/>
    <s v="DVD"/>
    <n v="100119"/>
    <s v="AB100204"/>
    <x v="14"/>
    <n v="992956"/>
    <x v="0"/>
  </r>
  <r>
    <n v="10066"/>
    <n v="2"/>
    <d v="2012-11-22T00:00:00"/>
    <s v="BLU-RAY"/>
    <n v="100119"/>
    <s v="AB100205"/>
    <x v="3"/>
    <n v="992956"/>
    <x v="0"/>
  </r>
  <r>
    <n v="10171"/>
    <n v="1"/>
    <d v="2012-11-24T00:00:00"/>
    <s v="DVD"/>
    <n v="100120"/>
    <s v="AB100206"/>
    <x v="7"/>
    <n v="656728"/>
    <x v="0"/>
  </r>
  <r>
    <n v="10228"/>
    <n v="1"/>
    <d v="2012-11-22T00:00:00"/>
    <s v="DVD"/>
    <n v="100120"/>
    <s v="AB100207"/>
    <x v="7"/>
    <n v="656728"/>
    <x v="0"/>
  </r>
  <r>
    <n v="10208"/>
    <n v="8"/>
    <d v="2012-11-23T00:00:00"/>
    <s v="DVD"/>
    <n v="100120"/>
    <s v="AB100208"/>
    <x v="0"/>
    <n v="656728"/>
    <x v="0"/>
  </r>
  <r>
    <n v="10086"/>
    <n v="6"/>
    <d v="2012-11-24T00:00:00"/>
    <s v="BLU-RAY"/>
    <n v="100121"/>
    <s v="AB100209"/>
    <x v="3"/>
    <n v="189953"/>
    <x v="0"/>
  </r>
  <r>
    <n v="10067"/>
    <n v="6"/>
    <d v="2012-11-24T00:00:00"/>
    <s v="DVD"/>
    <n v="100121"/>
    <s v="AB100210"/>
    <x v="1"/>
    <n v="189953"/>
    <x v="0"/>
  </r>
  <r>
    <n v="10025"/>
    <n v="9"/>
    <d v="2012-11-25T00:00:00"/>
    <s v="BLU-RAY"/>
    <n v="100122"/>
    <s v="AB100211"/>
    <x v="4"/>
    <n v="422592"/>
    <x v="0"/>
  </r>
  <r>
    <n v="10213"/>
    <n v="1"/>
    <d v="2012-11-25T00:00:00"/>
    <s v="BLU-RAY"/>
    <n v="100123"/>
    <s v="AB100212"/>
    <x v="4"/>
    <n v="961080"/>
    <x v="0"/>
  </r>
  <r>
    <n v="10218"/>
    <n v="4"/>
    <d v="2012-11-26T00:00:00"/>
    <s v="DVD"/>
    <n v="100123"/>
    <s v="AB100213"/>
    <x v="4"/>
    <n v="961080"/>
    <x v="0"/>
  </r>
  <r>
    <n v="10065"/>
    <n v="3"/>
    <d v="2012-11-27T00:00:00"/>
    <s v="DVD"/>
    <n v="100124"/>
    <s v="AB100214"/>
    <x v="0"/>
    <n v="488803"/>
    <x v="0"/>
  </r>
  <r>
    <n v="10068"/>
    <n v="2"/>
    <d v="2012-11-27T00:00:00"/>
    <s v="DVD"/>
    <n v="100125"/>
    <s v="AB100215"/>
    <x v="0"/>
    <n v="137696"/>
    <x v="0"/>
  </r>
  <r>
    <n v="10191"/>
    <n v="4"/>
    <d v="2012-11-27T00:00:00"/>
    <s v="DVD"/>
    <n v="100125"/>
    <s v="AB100216"/>
    <x v="7"/>
    <n v="137696"/>
    <x v="0"/>
  </r>
  <r>
    <n v="10053"/>
    <n v="8"/>
    <d v="2012-11-27T00:00:00"/>
    <s v="DVD"/>
    <n v="100125"/>
    <s v="AB100217"/>
    <x v="4"/>
    <n v="137696"/>
    <x v="0"/>
  </r>
  <r>
    <n v="10222"/>
    <n v="9"/>
    <d v="2012-11-28T00:00:00"/>
    <s v="DVD"/>
    <n v="100126"/>
    <s v="AB100218"/>
    <x v="4"/>
    <n v="592726"/>
    <x v="0"/>
  </r>
  <r>
    <n v="10003"/>
    <n v="2"/>
    <d v="2012-11-29T00:00:00"/>
    <s v="BLU-RAY"/>
    <n v="100126"/>
    <s v="AB100219"/>
    <x v="1"/>
    <n v="592726"/>
    <x v="0"/>
  </r>
  <r>
    <n v="10031"/>
    <n v="2"/>
    <d v="2012-11-28T00:00:00"/>
    <s v="DVD"/>
    <n v="100127"/>
    <s v="AB100220"/>
    <x v="0"/>
    <n v="413292"/>
    <x v="0"/>
  </r>
  <r>
    <n v="10021"/>
    <n v="2"/>
    <d v="2012-11-28T00:00:00"/>
    <s v="DVD"/>
    <n v="100127"/>
    <s v="AB100221"/>
    <x v="1"/>
    <n v="413292"/>
    <x v="0"/>
  </r>
  <r>
    <n v="10240"/>
    <n v="10"/>
    <d v="2012-11-28T00:00:00"/>
    <s v="DVD"/>
    <n v="100127"/>
    <s v="AB100222"/>
    <x v="0"/>
    <n v="413292"/>
    <x v="0"/>
  </r>
  <r>
    <n v="10241"/>
    <n v="10"/>
    <d v="2012-11-28T00:00:00"/>
    <s v="BLU-RAY"/>
    <n v="100127"/>
    <s v="AB100223"/>
    <x v="0"/>
    <n v="413292"/>
    <x v="0"/>
  </r>
  <r>
    <n v="10074"/>
    <n v="6"/>
    <d v="2012-11-30T00:00:00"/>
    <s v="BLU-RAY"/>
    <n v="100128"/>
    <s v="AB100224"/>
    <x v="11"/>
    <n v="203787"/>
    <x v="0"/>
  </r>
  <r>
    <n v="10246"/>
    <n v="7"/>
    <d v="2012-11-29T00:00:00"/>
    <s v="DVD"/>
    <n v="100128"/>
    <s v="AB100225"/>
    <x v="2"/>
    <n v="203787"/>
    <x v="0"/>
  </r>
  <r>
    <n v="10179"/>
    <n v="1"/>
    <d v="2012-11-30T00:00:00"/>
    <s v="DVD"/>
    <n v="100129"/>
    <s v="AB100226"/>
    <x v="0"/>
    <n v="852925"/>
    <x v="0"/>
  </r>
  <r>
    <n v="10045"/>
    <n v="9"/>
    <d v="2012-11-29T00:00:00"/>
    <s v="DVD"/>
    <n v="100129"/>
    <s v="AB100227"/>
    <x v="0"/>
    <n v="852925"/>
    <x v="0"/>
  </r>
  <r>
    <n v="10020"/>
    <n v="3"/>
    <d v="2012-12-01T00:00:00"/>
    <s v="BLU-RAY"/>
    <n v="100129"/>
    <s v="AB100228"/>
    <x v="16"/>
    <n v="852925"/>
    <x v="0"/>
  </r>
  <r>
    <n v="10071"/>
    <n v="6"/>
    <d v="2012-11-30T00:00:00"/>
    <s v="DVD"/>
    <n v="100129"/>
    <s v="AB100229"/>
    <x v="1"/>
    <n v="852925"/>
    <x v="0"/>
  </r>
  <r>
    <n v="10238"/>
    <n v="10"/>
    <d v="2012-12-01T00:00:00"/>
    <s v="DVD"/>
    <n v="100130"/>
    <s v="AB100230"/>
    <x v="0"/>
    <n v="880238"/>
    <x v="0"/>
  </r>
  <r>
    <n v="10097"/>
    <n v="1"/>
    <d v="2012-12-01T00:00:00"/>
    <s v="BLU-RAY"/>
    <n v="100131"/>
    <s v="AB100231"/>
    <x v="8"/>
    <n v="610766"/>
    <x v="0"/>
  </r>
  <r>
    <n v="10160"/>
    <n v="6"/>
    <d v="2012-11-30T00:00:00"/>
    <s v="DVD"/>
    <n v="100132"/>
    <s v="AB100232"/>
    <x v="10"/>
    <n v="632495"/>
    <x v="0"/>
  </r>
  <r>
    <n v="10161"/>
    <n v="4"/>
    <d v="2012-12-02T00:00:00"/>
    <s v="DVD"/>
    <n v="100133"/>
    <s v="AB100233"/>
    <x v="6"/>
    <n v="890270"/>
    <x v="0"/>
  </r>
  <r>
    <n v="10091"/>
    <n v="1"/>
    <d v="2012-12-02T00:00:00"/>
    <s v="DVD"/>
    <n v="100134"/>
    <s v="AB100234"/>
    <x v="0"/>
    <n v="551950"/>
    <x v="0"/>
  </r>
  <r>
    <n v="10148"/>
    <n v="5"/>
    <d v="2012-12-01T00:00:00"/>
    <s v="BLU-RAY"/>
    <n v="100135"/>
    <s v="AB100235"/>
    <x v="1"/>
    <n v="757780"/>
    <x v="0"/>
  </r>
  <r>
    <n v="10003"/>
    <n v="7"/>
    <d v="2012-12-02T00:00:00"/>
    <s v="BLU-RAY"/>
    <n v="100136"/>
    <s v="AB100236"/>
    <x v="1"/>
    <n v="689877"/>
    <x v="0"/>
  </r>
  <r>
    <n v="10198"/>
    <n v="10"/>
    <d v="2012-12-03T00:00:00"/>
    <s v="BLU-RAY"/>
    <n v="100136"/>
    <s v="AB100237"/>
    <x v="9"/>
    <n v="689877"/>
    <x v="0"/>
  </r>
  <r>
    <n v="10013"/>
    <n v="5"/>
    <d v="2012-12-03T00:00:00"/>
    <s v="DVD"/>
    <n v="100137"/>
    <s v="AB100238"/>
    <x v="11"/>
    <n v="109251"/>
    <x v="0"/>
  </r>
  <r>
    <n v="10023"/>
    <n v="3"/>
    <d v="2012-12-03T00:00:00"/>
    <s v="BLU-RAY"/>
    <n v="100137"/>
    <s v="AB100239"/>
    <x v="3"/>
    <n v="109251"/>
    <x v="0"/>
  </r>
  <r>
    <n v="10204"/>
    <n v="4"/>
    <d v="2012-12-04T00:00:00"/>
    <s v="DVD"/>
    <n v="100138"/>
    <s v="AB100240"/>
    <x v="7"/>
    <n v="161942"/>
    <x v="0"/>
  </r>
  <r>
    <n v="10111"/>
    <n v="4"/>
    <d v="2012-12-03T00:00:00"/>
    <s v="BLU-RAY"/>
    <n v="100139"/>
    <s v="AB100241"/>
    <x v="9"/>
    <n v="961080"/>
    <x v="0"/>
  </r>
  <r>
    <n v="10190"/>
    <n v="4"/>
    <d v="2012-12-04T00:00:00"/>
    <s v="DVD"/>
    <n v="100140"/>
    <s v="AB100242"/>
    <x v="10"/>
    <n v="416523"/>
    <x v="0"/>
  </r>
  <r>
    <n v="10153"/>
    <n v="2"/>
    <d v="2012-12-08T00:00:00"/>
    <s v="DVD"/>
    <n v="100141"/>
    <s v="AB100243"/>
    <x v="10"/>
    <n v="149240"/>
    <x v="0"/>
  </r>
  <r>
    <n v="10108"/>
    <n v="3"/>
    <d v="2012-12-05T00:00:00"/>
    <s v="BLU-RAY"/>
    <n v="100141"/>
    <s v="AB100244"/>
    <x v="9"/>
    <n v="149240"/>
    <x v="0"/>
  </r>
  <r>
    <n v="10022"/>
    <n v="5"/>
    <d v="2012-12-05T00:00:00"/>
    <s v="DVD"/>
    <n v="100142"/>
    <s v="AB100245"/>
    <x v="7"/>
    <n v="893039"/>
    <x v="0"/>
  </r>
  <r>
    <n v="10161"/>
    <n v="2"/>
    <d v="2012-12-05T00:00:00"/>
    <s v="BLU-RAY"/>
    <n v="100143"/>
    <s v="AB100246"/>
    <x v="6"/>
    <n v="278809"/>
    <x v="0"/>
  </r>
  <r>
    <n v="10019"/>
    <n v="8"/>
    <d v="2012-12-06T00:00:00"/>
    <s v="BLU-RAY"/>
    <n v="100143"/>
    <s v="AB100247"/>
    <x v="9"/>
    <n v="278809"/>
    <x v="0"/>
  </r>
  <r>
    <n v="10122"/>
    <n v="10"/>
    <d v="2012-12-07T00:00:00"/>
    <s v="BLU-RAY"/>
    <n v="100144"/>
    <s v="AB100248"/>
    <x v="12"/>
    <n v="789308"/>
    <x v="0"/>
  </r>
  <r>
    <n v="10082"/>
    <n v="7"/>
    <d v="2012-12-06T00:00:00"/>
    <s v="DVD"/>
    <n v="100144"/>
    <s v="AB100249"/>
    <x v="3"/>
    <n v="789308"/>
    <x v="0"/>
  </r>
  <r>
    <n v="10207"/>
    <n v="9"/>
    <d v="2012-12-06T00:00:00"/>
    <s v="DVD"/>
    <n v="100145"/>
    <s v="AB100250"/>
    <x v="1"/>
    <n v="994056"/>
    <x v="0"/>
  </r>
  <r>
    <n v="10110"/>
    <n v="9"/>
    <d v="2012-12-06T00:00:00"/>
    <s v="DVD"/>
    <n v="100145"/>
    <s v="AB100251"/>
    <x v="0"/>
    <n v="994056"/>
    <x v="0"/>
  </r>
  <r>
    <n v="10192"/>
    <n v="3"/>
    <d v="2012-12-06T00:00:00"/>
    <s v="DVD"/>
    <n v="100145"/>
    <s v="AB100252"/>
    <x v="7"/>
    <n v="994056"/>
    <x v="0"/>
  </r>
  <r>
    <n v="10038"/>
    <n v="10"/>
    <d v="2012-12-08T00:00:00"/>
    <s v="BLU-RAY"/>
    <n v="100146"/>
    <s v="AB100253"/>
    <x v="1"/>
    <n v="789308"/>
    <x v="0"/>
  </r>
  <r>
    <n v="10239"/>
    <n v="1"/>
    <d v="2012-12-08T00:00:00"/>
    <s v="BLU-RAY"/>
    <n v="100147"/>
    <s v="AB100254"/>
    <x v="2"/>
    <n v="488803"/>
    <x v="0"/>
  </r>
  <r>
    <n v="10106"/>
    <n v="8"/>
    <d v="2012-12-07T00:00:00"/>
    <s v="BLU-RAY"/>
    <n v="100147"/>
    <s v="AB100255"/>
    <x v="9"/>
    <n v="488803"/>
    <x v="0"/>
  </r>
  <r>
    <n v="10022"/>
    <n v="4"/>
    <d v="2012-12-08T00:00:00"/>
    <s v="BLU-RAY"/>
    <n v="100147"/>
    <s v="AB100256"/>
    <x v="7"/>
    <n v="488803"/>
    <x v="0"/>
  </r>
  <r>
    <n v="10126"/>
    <n v="1"/>
    <d v="2012-12-07T00:00:00"/>
    <s v="DVD"/>
    <n v="100148"/>
    <s v="AB100257"/>
    <x v="9"/>
    <n v="905670"/>
    <x v="0"/>
  </r>
  <r>
    <n v="10072"/>
    <n v="4"/>
    <d v="2012-12-07T00:00:00"/>
    <s v="DVD"/>
    <n v="100148"/>
    <s v="AB100258"/>
    <x v="1"/>
    <n v="905670"/>
    <x v="0"/>
  </r>
  <r>
    <n v="10029"/>
    <n v="5"/>
    <d v="2012-12-07T00:00:00"/>
    <s v="DVD"/>
    <n v="100148"/>
    <s v="AB100259"/>
    <x v="12"/>
    <n v="905670"/>
    <x v="0"/>
  </r>
  <r>
    <n v="10000"/>
    <n v="9"/>
    <d v="2012-12-07T00:00:00"/>
    <s v="BLU-RAY"/>
    <n v="100148"/>
    <s v="AB100260"/>
    <x v="6"/>
    <n v="905670"/>
    <x v="0"/>
  </r>
  <r>
    <n v="10213"/>
    <n v="1"/>
    <d v="2012-12-08T00:00:00"/>
    <s v="BLU-RAY"/>
    <n v="100149"/>
    <s v="AB100261"/>
    <x v="4"/>
    <n v="247216"/>
    <x v="0"/>
  </r>
  <r>
    <n v="10234"/>
    <n v="3"/>
    <d v="2012-12-09T00:00:00"/>
    <s v="DVD"/>
    <n v="100149"/>
    <s v="AB100262"/>
    <x v="0"/>
    <n v="247216"/>
    <x v="0"/>
  </r>
  <r>
    <n v="10011"/>
    <n v="10"/>
    <d v="2012-12-08T00:00:00"/>
    <s v="DVD"/>
    <n v="100150"/>
    <s v="AB100263"/>
    <x v="3"/>
    <n v="951701"/>
    <x v="0"/>
  </r>
  <r>
    <n v="10200"/>
    <n v="1"/>
    <d v="2012-12-10T00:00:00"/>
    <s v="DVD"/>
    <n v="100150"/>
    <s v="AB100264"/>
    <x v="9"/>
    <n v="951701"/>
    <x v="0"/>
  </r>
  <r>
    <n v="10007"/>
    <n v="7"/>
    <d v="2012-12-08T00:00:00"/>
    <s v="DVD"/>
    <n v="100150"/>
    <s v="AB100265"/>
    <x v="4"/>
    <n v="951701"/>
    <x v="0"/>
  </r>
  <r>
    <n v="10201"/>
    <n v="9"/>
    <d v="2012-12-08T00:00:00"/>
    <s v="BLU-RAY"/>
    <n v="100151"/>
    <s v="AB100266"/>
    <x v="8"/>
    <n v="491380"/>
    <x v="0"/>
  </r>
  <r>
    <n v="10233"/>
    <n v="4"/>
    <d v="2012-12-08T00:00:00"/>
    <s v="DVD"/>
    <n v="100151"/>
    <s v="AB100267"/>
    <x v="8"/>
    <n v="491380"/>
    <x v="0"/>
  </r>
  <r>
    <n v="10074"/>
    <n v="3"/>
    <d v="2012-12-09T00:00:00"/>
    <s v="DVD"/>
    <n v="100152"/>
    <s v="AB100268"/>
    <x v="11"/>
    <n v="465275"/>
    <x v="0"/>
  </r>
  <r>
    <n v="10072"/>
    <n v="6"/>
    <d v="2012-12-09T00:00:00"/>
    <s v="BLU-RAY"/>
    <n v="100152"/>
    <s v="AB100269"/>
    <x v="1"/>
    <n v="465275"/>
    <x v="0"/>
  </r>
  <r>
    <n v="10159"/>
    <n v="8"/>
    <d v="2012-12-09T00:00:00"/>
    <s v="DVD"/>
    <n v="100153"/>
    <s v="AB100270"/>
    <x v="10"/>
    <n v="890270"/>
    <x v="0"/>
  </r>
  <r>
    <n v="10142"/>
    <n v="7"/>
    <d v="2012-12-09T00:00:00"/>
    <s v="BLU-RAY"/>
    <n v="100153"/>
    <s v="AB100271"/>
    <x v="0"/>
    <n v="890270"/>
    <x v="0"/>
  </r>
  <r>
    <n v="10050"/>
    <n v="6"/>
    <d v="2012-12-12T00:00:00"/>
    <s v="BLU-RAY"/>
    <n v="100154"/>
    <s v="AB100272"/>
    <x v="1"/>
    <n v="378374"/>
    <x v="0"/>
  </r>
  <r>
    <n v="10240"/>
    <n v="4"/>
    <d v="2012-12-10T00:00:00"/>
    <s v="DVD"/>
    <n v="100155"/>
    <s v="AB100273"/>
    <x v="0"/>
    <n v="157388"/>
    <x v="0"/>
  </r>
  <r>
    <n v="10237"/>
    <n v="3"/>
    <d v="2012-12-10T00:00:00"/>
    <s v="BLU-RAY"/>
    <n v="100155"/>
    <s v="AB100274"/>
    <x v="0"/>
    <n v="157388"/>
    <x v="0"/>
  </r>
  <r>
    <n v="10205"/>
    <n v="8"/>
    <d v="2012-12-11T00:00:00"/>
    <s v="DVD"/>
    <n v="100156"/>
    <s v="AB100275"/>
    <x v="1"/>
    <n v="781968"/>
    <x v="0"/>
  </r>
  <r>
    <n v="10107"/>
    <n v="10"/>
    <d v="2012-12-12T00:00:00"/>
    <s v="DVD"/>
    <n v="100157"/>
    <s v="AB100276"/>
    <x v="7"/>
    <n v="432113"/>
    <x v="0"/>
  </r>
  <r>
    <n v="10242"/>
    <n v="7"/>
    <d v="2012-12-13T00:00:00"/>
    <s v="DVD"/>
    <n v="100157"/>
    <s v="AB100277"/>
    <x v="3"/>
    <n v="432113"/>
    <x v="0"/>
  </r>
  <r>
    <n v="10016"/>
    <n v="8"/>
    <d v="2012-12-12T00:00:00"/>
    <s v="BLU-RAY"/>
    <n v="100157"/>
    <s v="AB100278"/>
    <x v="7"/>
    <n v="432113"/>
    <x v="0"/>
  </r>
  <r>
    <n v="10192"/>
    <n v="1"/>
    <d v="2012-12-12T00:00:00"/>
    <s v="DVD"/>
    <n v="100158"/>
    <s v="AB100279"/>
    <x v="7"/>
    <n v="500828"/>
    <x v="0"/>
  </r>
  <r>
    <n v="10171"/>
    <n v="10"/>
    <d v="2012-12-14T00:00:00"/>
    <s v="DVD"/>
    <n v="100159"/>
    <s v="AB100280"/>
    <x v="7"/>
    <n v="175940"/>
    <x v="0"/>
  </r>
  <r>
    <n v="10225"/>
    <n v="10"/>
    <d v="2012-12-13T00:00:00"/>
    <s v="DVD"/>
    <n v="100159"/>
    <s v="AB100281"/>
    <x v="0"/>
    <n v="175940"/>
    <x v="0"/>
  </r>
  <r>
    <n v="10202"/>
    <n v="6"/>
    <d v="2012-12-14T00:00:00"/>
    <s v="BLU-RAY"/>
    <n v="100160"/>
    <s v="AB100282"/>
    <x v="0"/>
    <n v="422717"/>
    <x v="0"/>
  </r>
  <r>
    <n v="10184"/>
    <n v="9"/>
    <d v="2012-12-14T00:00:00"/>
    <s v="BLU-RAY"/>
    <n v="100161"/>
    <s v="AB100283"/>
    <x v="7"/>
    <n v="556152"/>
    <x v="0"/>
  </r>
  <r>
    <n v="10004"/>
    <n v="4"/>
    <d v="2012-12-14T00:00:00"/>
    <s v="DVD"/>
    <n v="100162"/>
    <s v="AB100284"/>
    <x v="1"/>
    <n v="724813"/>
    <x v="0"/>
  </r>
  <r>
    <n v="10208"/>
    <n v="7"/>
    <d v="2012-12-14T00:00:00"/>
    <s v="DVD"/>
    <n v="100162"/>
    <s v="AB100285"/>
    <x v="0"/>
    <n v="724813"/>
    <x v="0"/>
  </r>
  <r>
    <n v="10106"/>
    <n v="7"/>
    <d v="2012-12-16T00:00:00"/>
    <s v="DVD"/>
    <n v="100163"/>
    <s v="AB100286"/>
    <x v="9"/>
    <n v="380003"/>
    <x v="0"/>
  </r>
  <r>
    <n v="10035"/>
    <n v="10"/>
    <d v="2012-12-16T00:00:00"/>
    <s v="DVD"/>
    <n v="100164"/>
    <s v="AB100287"/>
    <x v="4"/>
    <n v="693531"/>
    <x v="0"/>
  </r>
  <r>
    <n v="10018"/>
    <n v="10"/>
    <d v="2012-12-17T00:00:00"/>
    <s v="DVD"/>
    <n v="100165"/>
    <s v="AB100288"/>
    <x v="9"/>
    <n v="791850"/>
    <x v="0"/>
  </r>
  <r>
    <n v="10137"/>
    <n v="5"/>
    <d v="2012-12-17T00:00:00"/>
    <s v="DVD"/>
    <n v="100165"/>
    <s v="AB100289"/>
    <x v="3"/>
    <n v="791850"/>
    <x v="0"/>
  </r>
  <r>
    <n v="10224"/>
    <n v="1"/>
    <d v="2012-12-17T00:00:00"/>
    <s v="DVD"/>
    <n v="100165"/>
    <s v="AB100290"/>
    <x v="17"/>
    <n v="791850"/>
    <x v="0"/>
  </r>
  <r>
    <n v="10146"/>
    <n v="8"/>
    <d v="2012-12-17T00:00:00"/>
    <s v="BLU-RAY"/>
    <n v="100165"/>
    <s v="AB100291"/>
    <x v="4"/>
    <n v="791850"/>
    <x v="0"/>
  </r>
  <r>
    <n v="10071"/>
    <n v="9"/>
    <d v="2012-12-17T00:00:00"/>
    <s v="DVD"/>
    <n v="100166"/>
    <s v="AB100292"/>
    <x v="1"/>
    <n v="357579"/>
    <x v="0"/>
  </r>
  <r>
    <n v="10201"/>
    <n v="4"/>
    <d v="2012-12-17T00:00:00"/>
    <s v="BLU-RAY"/>
    <n v="100166"/>
    <s v="AB100293"/>
    <x v="8"/>
    <n v="357579"/>
    <x v="0"/>
  </r>
  <r>
    <n v="10022"/>
    <n v="3"/>
    <d v="2012-12-18T00:00:00"/>
    <s v="DVD"/>
    <n v="100167"/>
    <s v="AB100294"/>
    <x v="7"/>
    <n v="806545"/>
    <x v="0"/>
  </r>
  <r>
    <n v="10006"/>
    <n v="4"/>
    <d v="2012-12-18T00:00:00"/>
    <s v="BLU-RAY"/>
    <n v="100168"/>
    <s v="AB100295"/>
    <x v="1"/>
    <n v="905670"/>
    <x v="0"/>
  </r>
  <r>
    <n v="10050"/>
    <n v="1"/>
    <d v="2012-12-18T00:00:00"/>
    <s v="BLU-RAY"/>
    <n v="100169"/>
    <s v="AB100296"/>
    <x v="1"/>
    <n v="203787"/>
    <x v="0"/>
  </r>
  <r>
    <n v="10245"/>
    <n v="7"/>
    <d v="2012-12-19T00:00:00"/>
    <s v="DVD"/>
    <n v="100169"/>
    <s v="AB100297"/>
    <x v="0"/>
    <n v="203787"/>
    <x v="0"/>
  </r>
  <r>
    <n v="10090"/>
    <n v="6"/>
    <d v="2012-12-19T00:00:00"/>
    <s v="BLU-RAY"/>
    <n v="100170"/>
    <s v="AB100298"/>
    <x v="1"/>
    <n v="864896"/>
    <x v="0"/>
  </r>
  <r>
    <n v="10027"/>
    <n v="5"/>
    <d v="2012-12-19T00:00:00"/>
    <s v="DVD"/>
    <n v="100170"/>
    <s v="AB100299"/>
    <x v="16"/>
    <n v="864896"/>
    <x v="0"/>
  </r>
  <r>
    <n v="10051"/>
    <n v="6"/>
    <d v="2012-12-19T00:00:00"/>
    <s v="DVD"/>
    <n v="100171"/>
    <s v="AB100300"/>
    <x v="1"/>
    <n v="690100"/>
    <x v="0"/>
  </r>
  <r>
    <n v="10210"/>
    <n v="10"/>
    <d v="2012-12-19T00:00:00"/>
    <s v="BLU-RAY"/>
    <n v="100171"/>
    <s v="AB100301"/>
    <x v="4"/>
    <n v="690100"/>
    <x v="0"/>
  </r>
  <r>
    <n v="10145"/>
    <n v="2"/>
    <d v="2012-12-19T00:00:00"/>
    <s v="DVD"/>
    <n v="100171"/>
    <s v="AB100302"/>
    <x v="6"/>
    <n v="690100"/>
    <x v="0"/>
  </r>
  <r>
    <n v="10219"/>
    <n v="4"/>
    <d v="2012-12-19T00:00:00"/>
    <s v="DVD"/>
    <n v="100171"/>
    <s v="AB100303"/>
    <x v="1"/>
    <n v="690100"/>
    <x v="0"/>
  </r>
  <r>
    <n v="10085"/>
    <n v="1"/>
    <d v="2012-12-19T00:00:00"/>
    <s v="DVD"/>
    <n v="100171"/>
    <s v="AB100304"/>
    <x v="3"/>
    <n v="690100"/>
    <x v="0"/>
  </r>
  <r>
    <n v="10206"/>
    <n v="1"/>
    <d v="2012-12-20T00:00:00"/>
    <s v="DVD"/>
    <n v="100171"/>
    <s v="AB100305"/>
    <x v="9"/>
    <n v="690100"/>
    <x v="0"/>
  </r>
  <r>
    <n v="10095"/>
    <n v="8"/>
    <d v="2012-12-20T00:00:00"/>
    <s v="DVD"/>
    <n v="100172"/>
    <s v="AB100306"/>
    <x v="2"/>
    <n v="329994"/>
    <x v="0"/>
  </r>
  <r>
    <n v="10243"/>
    <n v="8"/>
    <d v="2012-12-20T00:00:00"/>
    <s v="DVD"/>
    <n v="100172"/>
    <s v="AB100307"/>
    <x v="9"/>
    <n v="329994"/>
    <x v="0"/>
  </r>
  <r>
    <n v="10154"/>
    <n v="2"/>
    <d v="2012-12-21T00:00:00"/>
    <s v="BLU-RAY"/>
    <n v="100173"/>
    <s v="AB100308"/>
    <x v="5"/>
    <n v="230602"/>
    <x v="0"/>
  </r>
  <r>
    <n v="10052"/>
    <n v="10"/>
    <d v="2012-12-23T00:00:00"/>
    <s v="DVD"/>
    <n v="100173"/>
    <s v="AB100309"/>
    <x v="0"/>
    <n v="230602"/>
    <x v="0"/>
  </r>
  <r>
    <n v="10117"/>
    <n v="6"/>
    <d v="2012-12-21T00:00:00"/>
    <s v="BLU-RAY"/>
    <n v="100174"/>
    <s v="AB100310"/>
    <x v="4"/>
    <n v="791850"/>
    <x v="0"/>
  </r>
  <r>
    <n v="10014"/>
    <n v="2"/>
    <d v="2012-12-22T00:00:00"/>
    <s v="BLU-RAY"/>
    <n v="100175"/>
    <s v="AB100311"/>
    <x v="0"/>
    <n v="137696"/>
    <x v="0"/>
  </r>
  <r>
    <n v="10016"/>
    <n v="2"/>
    <d v="2012-12-21T00:00:00"/>
    <s v="BLU-RAY"/>
    <n v="100175"/>
    <s v="AB100312"/>
    <x v="7"/>
    <n v="137696"/>
    <x v="0"/>
  </r>
  <r>
    <n v="10030"/>
    <n v="6"/>
    <d v="2012-12-23T00:00:00"/>
    <s v="BLU-RAY"/>
    <n v="100176"/>
    <s v="AB100313"/>
    <x v="0"/>
    <n v="409910"/>
    <x v="0"/>
  </r>
  <r>
    <n v="10014"/>
    <n v="9"/>
    <d v="2012-12-24T00:00:00"/>
    <s v="BLU-RAY"/>
    <n v="100177"/>
    <s v="AB100314"/>
    <x v="0"/>
    <n v="852925"/>
    <x v="0"/>
  </r>
  <r>
    <n v="10176"/>
    <n v="3"/>
    <d v="2012-12-23T00:00:00"/>
    <s v="BLU-RAY"/>
    <n v="100178"/>
    <s v="AB100315"/>
    <x v="7"/>
    <n v="454015"/>
    <x v="0"/>
  </r>
  <r>
    <n v="10223"/>
    <n v="4"/>
    <d v="2012-12-24T00:00:00"/>
    <s v="DVD"/>
    <n v="100179"/>
    <s v="AB100316"/>
    <x v="7"/>
    <n v="566192"/>
    <x v="0"/>
  </r>
  <r>
    <n v="10020"/>
    <n v="1"/>
    <d v="2012-12-23T00:00:00"/>
    <s v="DVD"/>
    <n v="100179"/>
    <s v="AB100317"/>
    <x v="16"/>
    <n v="566192"/>
    <x v="0"/>
  </r>
  <r>
    <n v="10027"/>
    <n v="3"/>
    <d v="2012-12-25T00:00:00"/>
    <s v="BLU-RAY"/>
    <n v="100180"/>
    <s v="AB100318"/>
    <x v="16"/>
    <n v="720602"/>
    <x v="0"/>
  </r>
  <r>
    <n v="10100"/>
    <n v="8"/>
    <d v="2012-12-25T00:00:00"/>
    <s v="DVD"/>
    <n v="100181"/>
    <s v="AB100319"/>
    <x v="9"/>
    <n v="951701"/>
    <x v="0"/>
  </r>
  <r>
    <n v="10172"/>
    <n v="10"/>
    <d v="2012-12-26T00:00:00"/>
    <s v="DVD"/>
    <n v="100182"/>
    <s v="AB100320"/>
    <x v="10"/>
    <n v="421074"/>
    <x v="0"/>
  </r>
  <r>
    <n v="10173"/>
    <n v="9"/>
    <d v="2012-12-26T00:00:00"/>
    <s v="BLU-RAY"/>
    <n v="100183"/>
    <s v="AB100321"/>
    <x v="4"/>
    <n v="109251"/>
    <x v="0"/>
  </r>
  <r>
    <n v="10041"/>
    <n v="4"/>
    <d v="2012-12-27T00:00:00"/>
    <s v="BLU-RAY"/>
    <n v="100184"/>
    <s v="AB100322"/>
    <x v="10"/>
    <n v="994199"/>
    <x v="0"/>
  </r>
  <r>
    <n v="10245"/>
    <n v="9"/>
    <d v="2012-12-26T00:00:00"/>
    <s v="DVD"/>
    <n v="100184"/>
    <s v="AB100323"/>
    <x v="0"/>
    <n v="994199"/>
    <x v="0"/>
  </r>
  <r>
    <n v="10223"/>
    <n v="8"/>
    <d v="2012-12-27T00:00:00"/>
    <s v="DVD"/>
    <n v="100184"/>
    <s v="AB100324"/>
    <x v="7"/>
    <n v="994199"/>
    <x v="0"/>
  </r>
  <r>
    <n v="10235"/>
    <n v="10"/>
    <d v="2012-12-26T00:00:00"/>
    <s v="BLU-RAY"/>
    <n v="100185"/>
    <s v="AB100325"/>
    <x v="10"/>
    <n v="724813"/>
    <x v="0"/>
  </r>
  <r>
    <n v="10148"/>
    <n v="4"/>
    <d v="2012-12-27T00:00:00"/>
    <s v="BLU-RAY"/>
    <n v="100185"/>
    <s v="AB100326"/>
    <x v="1"/>
    <n v="724813"/>
    <x v="0"/>
  </r>
  <r>
    <n v="10099"/>
    <n v="8"/>
    <d v="2012-12-26T00:00:00"/>
    <s v="DVD"/>
    <n v="100186"/>
    <s v="AB100327"/>
    <x v="10"/>
    <n v="693531"/>
    <x v="0"/>
  </r>
  <r>
    <n v="10022"/>
    <n v="5"/>
    <d v="2012-12-26T00:00:00"/>
    <s v="DVD"/>
    <n v="100187"/>
    <s v="AB100328"/>
    <x v="7"/>
    <n v="296208"/>
    <x v="0"/>
  </r>
  <r>
    <n v="10030"/>
    <n v="3"/>
    <d v="2012-12-27T00:00:00"/>
    <s v="BLU-RAY"/>
    <n v="100188"/>
    <s v="AB100329"/>
    <x v="0"/>
    <n v="183797"/>
    <x v="0"/>
  </r>
  <r>
    <n v="10212"/>
    <n v="5"/>
    <d v="2012-12-27T00:00:00"/>
    <s v="BLU-RAY"/>
    <n v="100189"/>
    <s v="AB100330"/>
    <x v="10"/>
    <n v="325263"/>
    <x v="0"/>
  </r>
  <r>
    <n v="10181"/>
    <n v="7"/>
    <d v="2012-12-27T00:00:00"/>
    <s v="DVD"/>
    <n v="100189"/>
    <s v="AB100331"/>
    <x v="9"/>
    <n v="325263"/>
    <x v="0"/>
  </r>
  <r>
    <n v="10142"/>
    <n v="1"/>
    <d v="2012-12-27T00:00:00"/>
    <s v="DVD"/>
    <n v="100190"/>
    <s v="AB100332"/>
    <x v="0"/>
    <n v="656728"/>
    <x v="0"/>
  </r>
  <r>
    <n v="10108"/>
    <n v="10"/>
    <d v="2012-12-29T00:00:00"/>
    <s v="BLU-RAY"/>
    <n v="100191"/>
    <s v="AB100333"/>
    <x v="9"/>
    <n v="137696"/>
    <x v="0"/>
  </r>
  <r>
    <n v="10037"/>
    <n v="9"/>
    <d v="2012-12-28T00:00:00"/>
    <s v="BLU-RAY"/>
    <n v="100191"/>
    <s v="AB100334"/>
    <x v="3"/>
    <n v="137696"/>
    <x v="0"/>
  </r>
  <r>
    <n v="10142"/>
    <n v="2"/>
    <d v="2012-12-29T00:00:00"/>
    <s v="BLU-RAY"/>
    <n v="100192"/>
    <s v="AB100335"/>
    <x v="0"/>
    <n v="418635"/>
    <x v="0"/>
  </r>
  <r>
    <n v="10055"/>
    <n v="5"/>
    <d v="2012-12-29T00:00:00"/>
    <s v="DVD"/>
    <n v="100192"/>
    <s v="AB100336"/>
    <x v="15"/>
    <n v="418635"/>
    <x v="0"/>
  </r>
  <r>
    <n v="10210"/>
    <n v="3"/>
    <d v="2012-12-31T00:00:00"/>
    <s v="DVD"/>
    <n v="100193"/>
    <s v="AB100337"/>
    <x v="4"/>
    <n v="528475"/>
    <x v="0"/>
  </r>
  <r>
    <n v="10076"/>
    <n v="9"/>
    <d v="2012-12-31T00:00:00"/>
    <s v="DVD"/>
    <n v="100193"/>
    <s v="AB100338"/>
    <x v="4"/>
    <n v="528475"/>
    <x v="0"/>
  </r>
  <r>
    <n v="10217"/>
    <n v="7"/>
    <d v="2012-12-29T00:00:00"/>
    <s v="BLU-RAY"/>
    <n v="100194"/>
    <s v="AB100339"/>
    <x v="0"/>
    <n v="265707"/>
    <x v="0"/>
  </r>
  <r>
    <n v="10238"/>
    <n v="8"/>
    <d v="2012-12-29T00:00:00"/>
    <s v="DVD"/>
    <n v="100195"/>
    <s v="AB100340"/>
    <x v="0"/>
    <n v="690100"/>
    <x v="0"/>
  </r>
  <r>
    <n v="10066"/>
    <n v="5"/>
    <d v="2012-12-30T00:00:00"/>
    <s v="BLU-RAY"/>
    <n v="100195"/>
    <s v="AB100341"/>
    <x v="3"/>
    <n v="690100"/>
    <x v="0"/>
  </r>
  <r>
    <n v="10092"/>
    <n v="8"/>
    <d v="2012-12-29T00:00:00"/>
    <s v="BLU-RAY"/>
    <n v="100195"/>
    <s v="AB100342"/>
    <x v="0"/>
    <n v="690100"/>
    <x v="0"/>
  </r>
  <r>
    <n v="10045"/>
    <n v="8"/>
    <d v="2012-12-29T00:00:00"/>
    <s v="BLU-RAY"/>
    <n v="100195"/>
    <s v="AB100343"/>
    <x v="0"/>
    <n v="690100"/>
    <x v="0"/>
  </r>
  <r>
    <n v="10084"/>
    <n v="8"/>
    <d v="2012-12-30T00:00:00"/>
    <s v="DVD"/>
    <n v="100196"/>
    <s v="AB100344"/>
    <x v="18"/>
    <n v="739669"/>
    <x v="0"/>
  </r>
  <r>
    <n v="10211"/>
    <n v="8"/>
    <d v="2012-12-29T00:00:00"/>
    <s v="DVD"/>
    <n v="100196"/>
    <s v="AB100345"/>
    <x v="3"/>
    <n v="739669"/>
    <x v="0"/>
  </r>
  <r>
    <n v="10219"/>
    <n v="5"/>
    <d v="2012-12-29T00:00:00"/>
    <s v="DVD"/>
    <n v="100196"/>
    <s v="AB100346"/>
    <x v="1"/>
    <n v="739669"/>
    <x v="0"/>
  </r>
  <r>
    <n v="10049"/>
    <n v="2"/>
    <d v="2012-12-29T00:00:00"/>
    <s v="BLU-RAY"/>
    <n v="100196"/>
    <s v="AB100347"/>
    <x v="7"/>
    <n v="739669"/>
    <x v="0"/>
  </r>
  <r>
    <n v="10095"/>
    <n v="8"/>
    <d v="2012-12-29T00:00:00"/>
    <s v="BLU-RAY"/>
    <n v="100196"/>
    <s v="AB100348"/>
    <x v="2"/>
    <n v="739669"/>
    <x v="0"/>
  </r>
  <r>
    <n v="10225"/>
    <n v="9"/>
    <d v="2012-12-29T00:00:00"/>
    <s v="BLU-RAY"/>
    <n v="100197"/>
    <s v="AB100349"/>
    <x v="0"/>
    <n v="238347"/>
    <x v="0"/>
  </r>
  <r>
    <n v="10247"/>
    <n v="1"/>
    <d v="2012-12-29T00:00:00"/>
    <s v="BLU-RAY"/>
    <n v="100197"/>
    <s v="AB100350"/>
    <x v="9"/>
    <n v="238347"/>
    <x v="0"/>
  </r>
  <r>
    <n v="10151"/>
    <n v="9"/>
    <d v="2012-12-31T00:00:00"/>
    <s v="DVD"/>
    <n v="100198"/>
    <s v="AB100351"/>
    <x v="8"/>
    <n v="325263"/>
    <x v="0"/>
  </r>
  <r>
    <n v="10223"/>
    <n v="2"/>
    <d v="2012-12-30T00:00:00"/>
    <s v="DVD"/>
    <n v="100198"/>
    <s v="AB100352"/>
    <x v="7"/>
    <n v="325263"/>
    <x v="0"/>
  </r>
  <r>
    <n v="10102"/>
    <n v="1"/>
    <d v="2012-12-30T00:00:00"/>
    <s v="DVD"/>
    <n v="100198"/>
    <s v="AB100353"/>
    <x v="7"/>
    <n v="325263"/>
    <x v="0"/>
  </r>
  <r>
    <n v="10191"/>
    <n v="4"/>
    <d v="2012-12-30T00:00:00"/>
    <s v="DVD"/>
    <n v="100198"/>
    <s v="AB100354"/>
    <x v="7"/>
    <n v="325263"/>
    <x v="0"/>
  </r>
  <r>
    <n v="10184"/>
    <n v="1"/>
    <d v="2012-12-31T00:00:00"/>
    <s v="DVD"/>
    <n v="100199"/>
    <s v="AB100355"/>
    <x v="7"/>
    <n v="789500"/>
    <x v="0"/>
  </r>
  <r>
    <n v="10234"/>
    <n v="4"/>
    <d v="2013-01-01T00:00:00"/>
    <s v="DVD"/>
    <n v="100199"/>
    <s v="AB100356"/>
    <x v="0"/>
    <n v="789500"/>
    <x v="1"/>
  </r>
  <r>
    <n v="10129"/>
    <n v="3"/>
    <d v="2012-12-31T00:00:00"/>
    <s v="BLU-RAY"/>
    <n v="100200"/>
    <s v="AB100357"/>
    <x v="0"/>
    <n v="324435"/>
    <x v="0"/>
  </r>
  <r>
    <n v="10016"/>
    <n v="2"/>
    <d v="2012-12-31T00:00:00"/>
    <s v="BLU-RAY"/>
    <n v="100201"/>
    <s v="AB100358"/>
    <x v="7"/>
    <n v="743517"/>
    <x v="0"/>
  </r>
  <r>
    <n v="10077"/>
    <n v="10"/>
    <d v="2012-12-31T00:00:00"/>
    <s v="BLU-RAY"/>
    <n v="100201"/>
    <s v="AB100359"/>
    <x v="0"/>
    <n v="743517"/>
    <x v="0"/>
  </r>
  <r>
    <n v="10029"/>
    <n v="6"/>
    <d v="2012-12-31T00:00:00"/>
    <s v="DVD"/>
    <n v="100201"/>
    <s v="AB100360"/>
    <x v="12"/>
    <n v="743517"/>
    <x v="0"/>
  </r>
  <r>
    <n v="10091"/>
    <n v="2"/>
    <d v="2013-01-01T00:00:00"/>
    <s v="DVD"/>
    <n v="100202"/>
    <s v="AB100361"/>
    <x v="0"/>
    <n v="748326"/>
    <x v="1"/>
  </r>
  <r>
    <n v="10212"/>
    <n v="10"/>
    <d v="2013-01-01T00:00:00"/>
    <s v="DVD"/>
    <n v="100202"/>
    <s v="AB100362"/>
    <x v="10"/>
    <n v="748326"/>
    <x v="1"/>
  </r>
  <r>
    <n v="10233"/>
    <n v="1"/>
    <d v="2013-01-02T00:00:00"/>
    <s v="DVD"/>
    <n v="100203"/>
    <s v="AB100363"/>
    <x v="8"/>
    <n v="806545"/>
    <x v="1"/>
  </r>
  <r>
    <n v="10244"/>
    <n v="3"/>
    <d v="2013-01-02T00:00:00"/>
    <s v="DVD"/>
    <n v="100204"/>
    <s v="AB100364"/>
    <x v="4"/>
    <n v="413292"/>
    <x v="1"/>
  </r>
  <r>
    <n v="10037"/>
    <n v="3"/>
    <d v="2013-01-03T00:00:00"/>
    <s v="DVD"/>
    <n v="100205"/>
    <s v="AB100365"/>
    <x v="3"/>
    <n v="723819"/>
    <x v="1"/>
  </r>
  <r>
    <n v="10288"/>
    <n v="5"/>
    <d v="2013-01-03T00:00:00"/>
    <s v="DVD"/>
    <n v="100206"/>
    <s v="AB100366"/>
    <x v="12"/>
    <n v="789500"/>
    <x v="1"/>
  </r>
  <r>
    <n v="10233"/>
    <n v="8"/>
    <d v="2013-01-03T00:00:00"/>
    <s v="DVD"/>
    <n v="100207"/>
    <s v="AB100367"/>
    <x v="8"/>
    <n v="781968"/>
    <x v="1"/>
  </r>
  <r>
    <n v="10280"/>
    <n v="4"/>
    <d v="2013-01-03T00:00:00"/>
    <s v="DVD"/>
    <n v="100208"/>
    <s v="AB100368"/>
    <x v="7"/>
    <n v="938417"/>
    <x v="1"/>
  </r>
  <r>
    <n v="10119"/>
    <n v="2"/>
    <d v="2013-01-03T00:00:00"/>
    <s v="BLU-RAY"/>
    <n v="100208"/>
    <s v="AB100369"/>
    <x v="7"/>
    <n v="938417"/>
    <x v="1"/>
  </r>
  <r>
    <n v="10174"/>
    <n v="3"/>
    <d v="2013-01-04T00:00:00"/>
    <s v="DVD"/>
    <n v="100209"/>
    <s v="AB100370"/>
    <x v="7"/>
    <n v="872851"/>
    <x v="1"/>
  </r>
  <r>
    <n v="10116"/>
    <n v="4"/>
    <d v="2013-01-05T00:00:00"/>
    <s v="DVD"/>
    <n v="100210"/>
    <s v="AB100371"/>
    <x v="7"/>
    <n v="422951"/>
    <x v="1"/>
  </r>
  <r>
    <n v="10166"/>
    <n v="8"/>
    <d v="2013-01-04T00:00:00"/>
    <s v="BLU-RAY"/>
    <n v="100210"/>
    <s v="AB100372"/>
    <x v="9"/>
    <n v="422951"/>
    <x v="1"/>
  </r>
  <r>
    <n v="10097"/>
    <n v="2"/>
    <d v="2013-01-06T00:00:00"/>
    <s v="DVD"/>
    <n v="100211"/>
    <s v="AB100373"/>
    <x v="8"/>
    <n v="183797"/>
    <x v="1"/>
  </r>
  <r>
    <n v="10037"/>
    <n v="4"/>
    <d v="2013-01-05T00:00:00"/>
    <s v="BLU-RAY"/>
    <n v="100211"/>
    <s v="AB100374"/>
    <x v="3"/>
    <n v="183797"/>
    <x v="1"/>
  </r>
  <r>
    <n v="10123"/>
    <n v="5"/>
    <d v="2013-01-05T00:00:00"/>
    <s v="DVD"/>
    <n v="100211"/>
    <s v="AB100375"/>
    <x v="9"/>
    <n v="183797"/>
    <x v="1"/>
  </r>
  <r>
    <n v="10183"/>
    <n v="8"/>
    <d v="2013-01-05T00:00:00"/>
    <s v="DVD"/>
    <n v="100211"/>
    <s v="AB100376"/>
    <x v="4"/>
    <n v="183797"/>
    <x v="1"/>
  </r>
  <r>
    <n v="10211"/>
    <n v="2"/>
    <d v="2013-01-06T00:00:00"/>
    <s v="DVD"/>
    <n v="100212"/>
    <s v="AB100377"/>
    <x v="3"/>
    <n v="513968"/>
    <x v="1"/>
  </r>
  <r>
    <n v="10037"/>
    <n v="1"/>
    <d v="2013-01-05T00:00:00"/>
    <s v="BLU-RAY"/>
    <n v="100212"/>
    <s v="AB100378"/>
    <x v="3"/>
    <n v="513968"/>
    <x v="1"/>
  </r>
  <r>
    <n v="10277"/>
    <n v="2"/>
    <d v="2013-01-05T00:00:00"/>
    <s v="DVD"/>
    <n v="100212"/>
    <s v="AB100379"/>
    <x v="7"/>
    <n v="513968"/>
    <x v="1"/>
  </r>
  <r>
    <n v="10010"/>
    <n v="6"/>
    <d v="2013-01-06T00:00:00"/>
    <s v="DVD"/>
    <n v="100212"/>
    <s v="AB100380"/>
    <x v="3"/>
    <n v="513968"/>
    <x v="1"/>
  </r>
  <r>
    <n v="10252"/>
    <n v="1"/>
    <d v="2013-01-06T00:00:00"/>
    <s v="DVD"/>
    <n v="100213"/>
    <s v="AB100381"/>
    <x v="0"/>
    <n v="563468"/>
    <x v="1"/>
  </r>
  <r>
    <n v="10211"/>
    <n v="5"/>
    <d v="2013-01-06T00:00:00"/>
    <s v="DVD"/>
    <n v="100213"/>
    <s v="AB100382"/>
    <x v="3"/>
    <n v="563468"/>
    <x v="1"/>
  </r>
  <r>
    <n v="10079"/>
    <n v="8"/>
    <d v="2013-01-06T00:00:00"/>
    <s v="DVD"/>
    <n v="100214"/>
    <s v="AB100383"/>
    <x v="0"/>
    <n v="416523"/>
    <x v="1"/>
  </r>
  <r>
    <n v="10279"/>
    <n v="2"/>
    <d v="2013-01-07T00:00:00"/>
    <s v="BLU-RAY"/>
    <n v="100214"/>
    <s v="AB100384"/>
    <x v="8"/>
    <n v="416523"/>
    <x v="1"/>
  </r>
  <r>
    <n v="10284"/>
    <n v="4"/>
    <d v="2013-01-07T00:00:00"/>
    <s v="BLU-RAY"/>
    <n v="100215"/>
    <s v="AB100385"/>
    <x v="14"/>
    <n v="992956"/>
    <x v="1"/>
  </r>
  <r>
    <n v="10071"/>
    <n v="1"/>
    <d v="2013-01-08T00:00:00"/>
    <s v="DVD"/>
    <n v="100216"/>
    <s v="AB100386"/>
    <x v="1"/>
    <n v="404678"/>
    <x v="1"/>
  </r>
  <r>
    <n v="10063"/>
    <n v="4"/>
    <d v="2013-01-10T00:00:00"/>
    <s v="DVD"/>
    <n v="100217"/>
    <s v="AB100387"/>
    <x v="18"/>
    <n v="643305"/>
    <x v="1"/>
  </r>
  <r>
    <n v="10008"/>
    <n v="1"/>
    <d v="2013-01-09T00:00:00"/>
    <s v="DVD"/>
    <n v="100217"/>
    <s v="AB100388"/>
    <x v="4"/>
    <n v="643305"/>
    <x v="1"/>
  </r>
  <r>
    <n v="10196"/>
    <n v="4"/>
    <d v="2013-01-11T00:00:00"/>
    <s v="BLU-RAY"/>
    <n v="100218"/>
    <s v="AB100389"/>
    <x v="9"/>
    <n v="556152"/>
    <x v="1"/>
  </r>
  <r>
    <n v="10137"/>
    <n v="9"/>
    <d v="2013-01-12T00:00:00"/>
    <s v="DVD"/>
    <n v="100219"/>
    <s v="AB100390"/>
    <x v="3"/>
    <n v="132454"/>
    <x v="1"/>
  </r>
  <r>
    <n v="10224"/>
    <n v="10"/>
    <d v="2013-01-12T00:00:00"/>
    <s v="BLU-RAY"/>
    <n v="100219"/>
    <s v="AB100391"/>
    <x v="17"/>
    <n v="132454"/>
    <x v="1"/>
  </r>
  <r>
    <n v="10168"/>
    <n v="5"/>
    <d v="2013-01-13T00:00:00"/>
    <s v="DVD"/>
    <n v="100219"/>
    <s v="AB100392"/>
    <x v="1"/>
    <n v="132454"/>
    <x v="1"/>
  </r>
  <r>
    <n v="10138"/>
    <n v="1"/>
    <d v="2013-01-12T00:00:00"/>
    <s v="BLU-RAY"/>
    <n v="100220"/>
    <s v="AB100393"/>
    <x v="7"/>
    <n v="765237"/>
    <x v="1"/>
  </r>
  <r>
    <n v="10117"/>
    <n v="3"/>
    <d v="2013-01-12T00:00:00"/>
    <s v="DVD"/>
    <n v="100220"/>
    <s v="AB100394"/>
    <x v="4"/>
    <n v="765237"/>
    <x v="1"/>
  </r>
  <r>
    <n v="10065"/>
    <n v="6"/>
    <d v="2013-01-13T00:00:00"/>
    <s v="DVD"/>
    <n v="100220"/>
    <s v="AB100395"/>
    <x v="0"/>
    <n v="765237"/>
    <x v="1"/>
  </r>
  <r>
    <n v="10031"/>
    <n v="5"/>
    <d v="2013-01-14T00:00:00"/>
    <s v="DVD"/>
    <n v="100221"/>
    <s v="AB100396"/>
    <x v="0"/>
    <n v="491380"/>
    <x v="1"/>
  </r>
  <r>
    <n v="10176"/>
    <n v="5"/>
    <d v="2013-01-13T00:00:00"/>
    <s v="BLU-RAY"/>
    <n v="100222"/>
    <s v="AB100397"/>
    <x v="7"/>
    <n v="157388"/>
    <x v="1"/>
  </r>
  <r>
    <n v="10151"/>
    <n v="10"/>
    <d v="2013-01-13T00:00:00"/>
    <s v="DVD"/>
    <n v="100223"/>
    <s v="AB100398"/>
    <x v="8"/>
    <n v="256181"/>
    <x v="1"/>
  </r>
  <r>
    <n v="10209"/>
    <n v="3"/>
    <d v="2013-01-13T00:00:00"/>
    <s v="DVD"/>
    <n v="100223"/>
    <s v="AB100399"/>
    <x v="7"/>
    <n v="256181"/>
    <x v="1"/>
  </r>
  <r>
    <n v="10004"/>
    <n v="7"/>
    <d v="2013-01-13T00:00:00"/>
    <s v="BLU-RAY"/>
    <n v="100223"/>
    <s v="AB100400"/>
    <x v="1"/>
    <n v="256181"/>
    <x v="1"/>
  </r>
  <r>
    <n v="10106"/>
    <n v="3"/>
    <d v="2013-01-14T00:00:00"/>
    <s v="BLU-RAY"/>
    <n v="100224"/>
    <s v="AB100401"/>
    <x v="9"/>
    <n v="500733"/>
    <x v="1"/>
  </r>
  <r>
    <n v="10214"/>
    <n v="7"/>
    <d v="2013-01-14T00:00:00"/>
    <s v="BLU-RAY"/>
    <n v="100224"/>
    <s v="AB100402"/>
    <x v="13"/>
    <n v="500733"/>
    <x v="1"/>
  </r>
  <r>
    <n v="10064"/>
    <n v="5"/>
    <d v="2013-01-14T00:00:00"/>
    <s v="DVD"/>
    <n v="100225"/>
    <s v="AB100403"/>
    <x v="7"/>
    <n v="795957"/>
    <x v="1"/>
  </r>
  <r>
    <n v="10181"/>
    <n v="10"/>
    <d v="2013-01-14T00:00:00"/>
    <s v="BLU-RAY"/>
    <n v="100225"/>
    <s v="AB100404"/>
    <x v="9"/>
    <n v="795957"/>
    <x v="1"/>
  </r>
  <r>
    <n v="10156"/>
    <n v="8"/>
    <d v="2013-01-16T00:00:00"/>
    <s v="DVD"/>
    <n v="100226"/>
    <s v="AB100405"/>
    <x v="3"/>
    <n v="109251"/>
    <x v="1"/>
  </r>
  <r>
    <n v="10294"/>
    <n v="9"/>
    <d v="2013-01-14T00:00:00"/>
    <s v="BLU-RAY"/>
    <n v="100226"/>
    <s v="AB100406"/>
    <x v="2"/>
    <n v="109251"/>
    <x v="1"/>
  </r>
  <r>
    <n v="10032"/>
    <n v="1"/>
    <d v="2013-01-15T00:00:00"/>
    <s v="BLU-RAY"/>
    <n v="100227"/>
    <s v="AB100407"/>
    <x v="4"/>
    <n v="308662"/>
    <x v="1"/>
  </r>
  <r>
    <n v="10202"/>
    <n v="8"/>
    <d v="2013-01-15T00:00:00"/>
    <s v="DVD"/>
    <n v="100228"/>
    <s v="AB100408"/>
    <x v="0"/>
    <n v="357579"/>
    <x v="1"/>
  </r>
  <r>
    <n v="10270"/>
    <n v="10"/>
    <d v="2013-01-15T00:00:00"/>
    <s v="DVD"/>
    <n v="100228"/>
    <s v="AB100409"/>
    <x v="9"/>
    <n v="357579"/>
    <x v="1"/>
  </r>
  <r>
    <n v="10264"/>
    <n v="6"/>
    <d v="2013-01-16T00:00:00"/>
    <s v="DVD"/>
    <n v="100228"/>
    <s v="AB100410"/>
    <x v="2"/>
    <n v="357579"/>
    <x v="1"/>
  </r>
  <r>
    <n v="10069"/>
    <n v="3"/>
    <d v="2013-01-16T00:00:00"/>
    <s v="DVD"/>
    <n v="100229"/>
    <s v="AB100411"/>
    <x v="0"/>
    <n v="332324"/>
    <x v="1"/>
  </r>
  <r>
    <n v="10226"/>
    <n v="5"/>
    <d v="2013-01-18T00:00:00"/>
    <s v="DVD"/>
    <n v="100230"/>
    <s v="AB100412"/>
    <x v="4"/>
    <n v="310195"/>
    <x v="1"/>
  </r>
  <r>
    <n v="10124"/>
    <n v="3"/>
    <d v="2013-01-16T00:00:00"/>
    <s v="BLU-RAY"/>
    <n v="100230"/>
    <s v="AB100413"/>
    <x v="1"/>
    <n v="310195"/>
    <x v="1"/>
  </r>
  <r>
    <n v="10012"/>
    <n v="6"/>
    <d v="2013-01-16T00:00:00"/>
    <s v="DVD"/>
    <n v="100231"/>
    <s v="AB100414"/>
    <x v="3"/>
    <n v="109251"/>
    <x v="1"/>
  </r>
  <r>
    <n v="10158"/>
    <n v="10"/>
    <d v="2013-01-16T00:00:00"/>
    <s v="DVD"/>
    <n v="100232"/>
    <s v="AB100415"/>
    <x v="0"/>
    <n v="363931"/>
    <x v="1"/>
  </r>
  <r>
    <n v="10059"/>
    <n v="1"/>
    <d v="2013-01-16T00:00:00"/>
    <s v="BLU-RAY"/>
    <n v="100233"/>
    <s v="AB100416"/>
    <x v="7"/>
    <n v="693531"/>
    <x v="1"/>
  </r>
  <r>
    <n v="10249"/>
    <n v="6"/>
    <d v="2013-01-17T00:00:00"/>
    <s v="DVD"/>
    <n v="100234"/>
    <s v="AB100417"/>
    <x v="5"/>
    <n v="995599"/>
    <x v="1"/>
  </r>
  <r>
    <n v="10193"/>
    <n v="2"/>
    <d v="2013-01-17T00:00:00"/>
    <s v="BLU-RAY"/>
    <n v="100235"/>
    <s v="AB100418"/>
    <x v="9"/>
    <n v="149240"/>
    <x v="1"/>
  </r>
  <r>
    <n v="10160"/>
    <n v="10"/>
    <d v="2013-01-17T00:00:00"/>
    <s v="BLU-RAY"/>
    <n v="100235"/>
    <s v="AB100419"/>
    <x v="10"/>
    <n v="149240"/>
    <x v="1"/>
  </r>
  <r>
    <n v="10284"/>
    <n v="4"/>
    <d v="2013-01-19T00:00:00"/>
    <s v="BLU-RAY"/>
    <n v="100236"/>
    <s v="AB100420"/>
    <x v="14"/>
    <n v="707458"/>
    <x v="1"/>
  </r>
  <r>
    <n v="10135"/>
    <n v="10"/>
    <d v="2013-01-18T00:00:00"/>
    <s v="BLU-RAY"/>
    <n v="100236"/>
    <s v="AB100421"/>
    <x v="7"/>
    <n v="707458"/>
    <x v="1"/>
  </r>
  <r>
    <n v="10192"/>
    <n v="8"/>
    <d v="2013-01-18T00:00:00"/>
    <s v="DVD"/>
    <n v="100237"/>
    <s v="AB100422"/>
    <x v="7"/>
    <n v="207846"/>
    <x v="1"/>
  </r>
  <r>
    <n v="10266"/>
    <n v="9"/>
    <d v="2013-01-19T00:00:00"/>
    <s v="DVD"/>
    <n v="100238"/>
    <s v="AB100423"/>
    <x v="4"/>
    <n v="671363"/>
    <x v="1"/>
  </r>
  <r>
    <n v="10167"/>
    <n v="10"/>
    <d v="2013-01-21T00:00:00"/>
    <s v="BLU-RAY"/>
    <n v="100239"/>
    <s v="AB100424"/>
    <x v="7"/>
    <n v="513968"/>
    <x v="1"/>
  </r>
  <r>
    <n v="10151"/>
    <n v="4"/>
    <d v="2013-01-21T00:00:00"/>
    <s v="DVD"/>
    <n v="100239"/>
    <s v="AB100425"/>
    <x v="8"/>
    <n v="513968"/>
    <x v="1"/>
  </r>
  <r>
    <n v="10164"/>
    <n v="1"/>
    <d v="2013-01-20T00:00:00"/>
    <s v="BLU-RAY"/>
    <n v="100240"/>
    <s v="AB100426"/>
    <x v="2"/>
    <n v="649551"/>
    <x v="1"/>
  </r>
  <r>
    <n v="10062"/>
    <n v="1"/>
    <d v="2013-01-20T00:00:00"/>
    <s v="BLU-RAY"/>
    <n v="100240"/>
    <s v="AB100427"/>
    <x v="16"/>
    <n v="649551"/>
    <x v="1"/>
  </r>
  <r>
    <n v="10083"/>
    <n v="9"/>
    <d v="2013-01-20T00:00:00"/>
    <s v="BLU-RAY"/>
    <n v="100240"/>
    <s v="AB100428"/>
    <x v="3"/>
    <n v="649551"/>
    <x v="1"/>
  </r>
  <r>
    <n v="10131"/>
    <n v="5"/>
    <d v="2013-01-21T00:00:00"/>
    <s v="DVD"/>
    <n v="100241"/>
    <s v="AB100429"/>
    <x v="0"/>
    <n v="737707"/>
    <x v="1"/>
  </r>
  <r>
    <n v="10176"/>
    <n v="6"/>
    <d v="2013-01-22T00:00:00"/>
    <s v="BLU-RAY"/>
    <n v="100242"/>
    <s v="AB100430"/>
    <x v="7"/>
    <n v="422717"/>
    <x v="1"/>
  </r>
  <r>
    <n v="10071"/>
    <n v="4"/>
    <d v="2013-01-23T00:00:00"/>
    <s v="DVD"/>
    <n v="100243"/>
    <s v="AB100431"/>
    <x v="1"/>
    <n v="841831"/>
    <x v="1"/>
  </r>
  <r>
    <n v="10221"/>
    <n v="1"/>
    <d v="2013-01-21T00:00:00"/>
    <s v="DVD"/>
    <n v="100244"/>
    <s v="AB100432"/>
    <x v="9"/>
    <n v="447368"/>
    <x v="1"/>
  </r>
  <r>
    <n v="10147"/>
    <n v="6"/>
    <d v="2013-01-21T00:00:00"/>
    <s v="DVD"/>
    <n v="100245"/>
    <s v="AB100433"/>
    <x v="10"/>
    <n v="256181"/>
    <x v="1"/>
  </r>
  <r>
    <n v="10139"/>
    <n v="5"/>
    <d v="2013-01-23T00:00:00"/>
    <s v="BLU-RAY"/>
    <n v="100246"/>
    <s v="AB100434"/>
    <x v="14"/>
    <n v="488803"/>
    <x v="1"/>
  </r>
  <r>
    <n v="10020"/>
    <n v="4"/>
    <d v="2013-01-24T00:00:00"/>
    <s v="DVD"/>
    <n v="100246"/>
    <s v="AB100435"/>
    <x v="16"/>
    <n v="488803"/>
    <x v="1"/>
  </r>
  <r>
    <n v="10064"/>
    <n v="7"/>
    <d v="2013-01-24T00:00:00"/>
    <s v="DVD"/>
    <n v="100247"/>
    <s v="AB100436"/>
    <x v="7"/>
    <n v="289693"/>
    <x v="1"/>
  </r>
  <r>
    <n v="10095"/>
    <n v="9"/>
    <d v="2013-01-23T00:00:00"/>
    <s v="BLU-RAY"/>
    <n v="100247"/>
    <s v="AB100437"/>
    <x v="2"/>
    <n v="289693"/>
    <x v="1"/>
  </r>
  <r>
    <n v="10007"/>
    <n v="9"/>
    <d v="2013-01-24T00:00:00"/>
    <s v="DVD"/>
    <n v="100248"/>
    <s v="AB100438"/>
    <x v="4"/>
    <n v="776775"/>
    <x v="1"/>
  </r>
  <r>
    <n v="10193"/>
    <n v="6"/>
    <d v="2013-01-24T00:00:00"/>
    <s v="BLU-RAY"/>
    <n v="100249"/>
    <s v="AB100439"/>
    <x v="9"/>
    <n v="147543"/>
    <x v="1"/>
  </r>
  <r>
    <n v="10150"/>
    <n v="6"/>
    <d v="2013-01-24T00:00:00"/>
    <s v="DVD"/>
    <n v="100250"/>
    <s v="AB100440"/>
    <x v="14"/>
    <n v="757780"/>
    <x v="1"/>
  </r>
  <r>
    <n v="10074"/>
    <n v="3"/>
    <d v="2013-01-24T00:00:00"/>
    <s v="DVD"/>
    <n v="100250"/>
    <s v="AB100441"/>
    <x v="11"/>
    <n v="757780"/>
    <x v="1"/>
  </r>
  <r>
    <n v="10066"/>
    <n v="9"/>
    <d v="2013-01-24T00:00:00"/>
    <s v="BLU-RAY"/>
    <n v="100250"/>
    <s v="AB100442"/>
    <x v="3"/>
    <n v="757780"/>
    <x v="1"/>
  </r>
  <r>
    <n v="10162"/>
    <n v="5"/>
    <d v="2013-01-24T00:00:00"/>
    <s v="BLU-RAY"/>
    <n v="100250"/>
    <s v="AB100443"/>
    <x v="4"/>
    <n v="757780"/>
    <x v="1"/>
  </r>
  <r>
    <n v="10021"/>
    <n v="9"/>
    <d v="2013-01-25T00:00:00"/>
    <s v="BLU-RAY"/>
    <n v="100251"/>
    <s v="AB100444"/>
    <x v="1"/>
    <n v="465275"/>
    <x v="1"/>
  </r>
  <r>
    <n v="10106"/>
    <n v="6"/>
    <d v="2013-01-26T00:00:00"/>
    <s v="BLU-RAY"/>
    <n v="100252"/>
    <s v="AB100445"/>
    <x v="9"/>
    <n v="665313"/>
    <x v="1"/>
  </r>
  <r>
    <n v="10246"/>
    <n v="5"/>
    <d v="2013-01-25T00:00:00"/>
    <s v="DVD"/>
    <n v="100253"/>
    <s v="AB100446"/>
    <x v="2"/>
    <n v="286196"/>
    <x v="1"/>
  </r>
  <r>
    <n v="10272"/>
    <n v="1"/>
    <d v="2013-01-25T00:00:00"/>
    <s v="BLU-RAY"/>
    <n v="100253"/>
    <s v="AB100447"/>
    <x v="4"/>
    <n v="286196"/>
    <x v="1"/>
  </r>
  <r>
    <n v="10283"/>
    <n v="5"/>
    <d v="2013-01-25T00:00:00"/>
    <s v="DVD"/>
    <n v="100254"/>
    <s v="AB100448"/>
    <x v="6"/>
    <n v="795957"/>
    <x v="1"/>
  </r>
  <r>
    <n v="10214"/>
    <n v="10"/>
    <d v="2013-01-26T00:00:00"/>
    <s v="DVD"/>
    <n v="100254"/>
    <s v="AB100449"/>
    <x v="13"/>
    <n v="795957"/>
    <x v="1"/>
  </r>
  <r>
    <n v="10287"/>
    <n v="3"/>
    <d v="2013-01-25T00:00:00"/>
    <s v="DVD"/>
    <n v="100254"/>
    <s v="AB100450"/>
    <x v="10"/>
    <n v="795957"/>
    <x v="1"/>
  </r>
  <r>
    <n v="10158"/>
    <n v="8"/>
    <d v="2013-01-25T00:00:00"/>
    <s v="DVD"/>
    <n v="100255"/>
    <s v="AB100451"/>
    <x v="0"/>
    <n v="304344"/>
    <x v="1"/>
  </r>
  <r>
    <n v="10281"/>
    <n v="7"/>
    <d v="2013-01-26T00:00:00"/>
    <s v="DVD"/>
    <n v="100256"/>
    <s v="AB100452"/>
    <x v="10"/>
    <n v="416523"/>
    <x v="1"/>
  </r>
  <r>
    <n v="10250"/>
    <n v="8"/>
    <d v="2013-01-26T00:00:00"/>
    <s v="DVD"/>
    <n v="100256"/>
    <s v="AB100453"/>
    <x v="3"/>
    <n v="416523"/>
    <x v="1"/>
  </r>
  <r>
    <n v="10023"/>
    <n v="3"/>
    <d v="2013-01-25T00:00:00"/>
    <s v="DVD"/>
    <n v="100256"/>
    <s v="AB100454"/>
    <x v="3"/>
    <n v="416523"/>
    <x v="1"/>
  </r>
  <r>
    <n v="10026"/>
    <n v="7"/>
    <d v="2013-01-27T00:00:00"/>
    <s v="DVD"/>
    <n v="100257"/>
    <s v="AB100455"/>
    <x v="9"/>
    <n v="929344"/>
    <x v="1"/>
  </r>
  <r>
    <n v="10036"/>
    <n v="7"/>
    <d v="2013-01-27T00:00:00"/>
    <s v="DVD"/>
    <n v="100257"/>
    <s v="AB100456"/>
    <x v="7"/>
    <n v="929344"/>
    <x v="1"/>
  </r>
  <r>
    <n v="10075"/>
    <n v="1"/>
    <d v="2013-01-28T00:00:00"/>
    <s v="DVD"/>
    <n v="100258"/>
    <s v="AB100457"/>
    <x v="17"/>
    <n v="154427"/>
    <x v="1"/>
  </r>
  <r>
    <n v="10225"/>
    <n v="6"/>
    <d v="2013-01-27T00:00:00"/>
    <s v="DVD"/>
    <n v="100258"/>
    <s v="AB100458"/>
    <x v="0"/>
    <n v="154427"/>
    <x v="1"/>
  </r>
  <r>
    <n v="10220"/>
    <n v="6"/>
    <d v="2013-01-27T00:00:00"/>
    <s v="DVD"/>
    <n v="100258"/>
    <s v="AB100459"/>
    <x v="9"/>
    <n v="154427"/>
    <x v="1"/>
  </r>
  <r>
    <n v="10269"/>
    <n v="3"/>
    <d v="2013-01-27T00:00:00"/>
    <s v="DVD"/>
    <n v="100258"/>
    <s v="AB100460"/>
    <x v="3"/>
    <n v="154427"/>
    <x v="1"/>
  </r>
  <r>
    <n v="10106"/>
    <n v="8"/>
    <d v="2013-01-27T00:00:00"/>
    <s v="BLU-RAY"/>
    <n v="100259"/>
    <s v="AB100461"/>
    <x v="9"/>
    <n v="121639"/>
    <x v="1"/>
  </r>
  <r>
    <n v="10012"/>
    <n v="6"/>
    <d v="2013-01-27T00:00:00"/>
    <s v="DVD"/>
    <n v="100260"/>
    <s v="AB100462"/>
    <x v="3"/>
    <n v="657736"/>
    <x v="1"/>
  </r>
  <r>
    <n v="10093"/>
    <n v="7"/>
    <d v="2013-01-27T00:00:00"/>
    <s v="DVD"/>
    <n v="100260"/>
    <s v="AB100463"/>
    <x v="11"/>
    <n v="657736"/>
    <x v="1"/>
  </r>
  <r>
    <n v="10096"/>
    <n v="6"/>
    <d v="2013-01-29T00:00:00"/>
    <s v="BLU-RAY"/>
    <n v="100261"/>
    <s v="AB100464"/>
    <x v="7"/>
    <n v="331115"/>
    <x v="1"/>
  </r>
  <r>
    <n v="10105"/>
    <n v="3"/>
    <d v="2013-01-30T00:00:00"/>
    <s v="BLU-RAY"/>
    <n v="100261"/>
    <s v="AB100465"/>
    <x v="2"/>
    <n v="331115"/>
    <x v="1"/>
  </r>
  <r>
    <n v="10233"/>
    <n v="5"/>
    <d v="2013-01-30T00:00:00"/>
    <s v="DVD"/>
    <n v="100261"/>
    <s v="AB100466"/>
    <x v="8"/>
    <n v="331115"/>
    <x v="1"/>
  </r>
  <r>
    <n v="10248"/>
    <n v="8"/>
    <d v="2013-01-29T00:00:00"/>
    <s v="DVD"/>
    <n v="100261"/>
    <s v="AB100467"/>
    <x v="12"/>
    <n v="331115"/>
    <x v="1"/>
  </r>
  <r>
    <n v="10113"/>
    <n v="5"/>
    <d v="2013-01-28T00:00:00"/>
    <s v="DVD"/>
    <n v="100262"/>
    <s v="AB100468"/>
    <x v="10"/>
    <n v="992956"/>
    <x v="1"/>
  </r>
  <r>
    <n v="10216"/>
    <n v="3"/>
    <d v="2013-01-28T00:00:00"/>
    <s v="DVD"/>
    <n v="100262"/>
    <s v="AB100469"/>
    <x v="4"/>
    <n v="992956"/>
    <x v="1"/>
  </r>
  <r>
    <n v="10138"/>
    <n v="9"/>
    <d v="2013-01-28T00:00:00"/>
    <s v="DVD"/>
    <n v="100263"/>
    <s v="AB100470"/>
    <x v="7"/>
    <n v="269687"/>
    <x v="1"/>
  </r>
  <r>
    <n v="10170"/>
    <n v="5"/>
    <d v="2013-01-28T00:00:00"/>
    <s v="DVD"/>
    <n v="100263"/>
    <s v="AB100471"/>
    <x v="15"/>
    <n v="269687"/>
    <x v="1"/>
  </r>
  <r>
    <n v="10038"/>
    <n v="2"/>
    <d v="2013-01-28T00:00:00"/>
    <s v="BLU-RAY"/>
    <n v="100264"/>
    <s v="AB100472"/>
    <x v="1"/>
    <n v="111991"/>
    <x v="1"/>
  </r>
  <r>
    <n v="10164"/>
    <n v="7"/>
    <d v="2013-01-28T00:00:00"/>
    <s v="DVD"/>
    <n v="100264"/>
    <s v="AB100473"/>
    <x v="2"/>
    <n v="111991"/>
    <x v="1"/>
  </r>
  <r>
    <n v="10220"/>
    <n v="2"/>
    <d v="2013-01-28T00:00:00"/>
    <s v="BLU-RAY"/>
    <n v="100264"/>
    <s v="AB100474"/>
    <x v="9"/>
    <n v="111991"/>
    <x v="1"/>
  </r>
  <r>
    <n v="10064"/>
    <n v="7"/>
    <d v="2013-01-29T00:00:00"/>
    <s v="DVD"/>
    <n v="100265"/>
    <s v="AB100475"/>
    <x v="7"/>
    <n v="938006"/>
    <x v="1"/>
  </r>
  <r>
    <n v="10001"/>
    <n v="3"/>
    <d v="2013-01-31T00:00:00"/>
    <s v="DVD"/>
    <n v="100266"/>
    <s v="AB100476"/>
    <x v="14"/>
    <n v="413292"/>
    <x v="1"/>
  </r>
  <r>
    <n v="10165"/>
    <n v="5"/>
    <d v="2013-01-31T00:00:00"/>
    <s v="BLU-RAY"/>
    <n v="100267"/>
    <s v="AB100477"/>
    <x v="2"/>
    <n v="227456"/>
    <x v="1"/>
  </r>
  <r>
    <n v="10294"/>
    <n v="8"/>
    <d v="2013-01-30T00:00:00"/>
    <s v="BLU-RAY"/>
    <n v="100267"/>
    <s v="AB100478"/>
    <x v="2"/>
    <n v="227456"/>
    <x v="1"/>
  </r>
  <r>
    <n v="10110"/>
    <n v="4"/>
    <d v="2013-02-02T00:00:00"/>
    <s v="DVD"/>
    <n v="100267"/>
    <s v="AB100479"/>
    <x v="0"/>
    <n v="227456"/>
    <x v="1"/>
  </r>
  <r>
    <n v="10093"/>
    <n v="3"/>
    <d v="2013-01-31T00:00:00"/>
    <s v="BLU-RAY"/>
    <n v="100268"/>
    <s v="AB100480"/>
    <x v="11"/>
    <n v="245577"/>
    <x v="1"/>
  </r>
  <r>
    <n v="10270"/>
    <n v="6"/>
    <d v="2013-01-31T00:00:00"/>
    <s v="BLU-RAY"/>
    <n v="100269"/>
    <s v="AB100481"/>
    <x v="9"/>
    <n v="247216"/>
    <x v="1"/>
  </r>
  <r>
    <n v="10298"/>
    <n v="8"/>
    <d v="2013-01-31T00:00:00"/>
    <s v="DVD"/>
    <n v="100269"/>
    <s v="AB100482"/>
    <x v="19"/>
    <n v="247216"/>
    <x v="1"/>
  </r>
  <r>
    <n v="10215"/>
    <n v="4"/>
    <d v="2013-01-31T00:00:00"/>
    <s v="BLU-RAY"/>
    <n v="100270"/>
    <s v="AB100483"/>
    <x v="1"/>
    <n v="671363"/>
    <x v="1"/>
  </r>
  <r>
    <n v="10124"/>
    <n v="7"/>
    <d v="2013-01-31T00:00:00"/>
    <s v="DVD"/>
    <n v="100270"/>
    <s v="AB100484"/>
    <x v="1"/>
    <n v="671363"/>
    <x v="1"/>
  </r>
  <r>
    <n v="10097"/>
    <n v="6"/>
    <d v="2013-02-01T00:00:00"/>
    <s v="BLU-RAY"/>
    <n v="100271"/>
    <s v="AB100485"/>
    <x v="8"/>
    <n v="166735"/>
    <x v="1"/>
  </r>
  <r>
    <n v="10053"/>
    <n v="3"/>
    <d v="2013-02-01T00:00:00"/>
    <s v="BLU-RAY"/>
    <n v="100271"/>
    <s v="AB100486"/>
    <x v="4"/>
    <n v="166735"/>
    <x v="1"/>
  </r>
  <r>
    <n v="10241"/>
    <n v="7"/>
    <d v="2013-02-01T00:00:00"/>
    <s v="BLU-RAY"/>
    <n v="100272"/>
    <s v="AB100487"/>
    <x v="0"/>
    <n v="324435"/>
    <x v="1"/>
  </r>
  <r>
    <n v="10181"/>
    <n v="6"/>
    <d v="2013-02-02T00:00:00"/>
    <s v="DVD"/>
    <n v="100272"/>
    <s v="AB100488"/>
    <x v="9"/>
    <n v="324435"/>
    <x v="1"/>
  </r>
  <r>
    <n v="10226"/>
    <n v="10"/>
    <d v="2013-02-02T00:00:00"/>
    <s v="DVD"/>
    <n v="100273"/>
    <s v="AB100489"/>
    <x v="4"/>
    <n v="378374"/>
    <x v="1"/>
  </r>
  <r>
    <n v="10252"/>
    <n v="8"/>
    <d v="2013-02-01T00:00:00"/>
    <s v="DVD"/>
    <n v="100274"/>
    <s v="AB100490"/>
    <x v="0"/>
    <n v="454015"/>
    <x v="1"/>
  </r>
  <r>
    <n v="10260"/>
    <n v="2"/>
    <d v="2013-02-01T00:00:00"/>
    <s v="BLU-RAY"/>
    <n v="100274"/>
    <s v="AB100491"/>
    <x v="4"/>
    <n v="454015"/>
    <x v="1"/>
  </r>
  <r>
    <n v="10030"/>
    <n v="8"/>
    <d v="2013-02-02T00:00:00"/>
    <s v="DVD"/>
    <n v="100275"/>
    <s v="AB100492"/>
    <x v="0"/>
    <n v="767570"/>
    <x v="1"/>
  </r>
  <r>
    <n v="10086"/>
    <n v="3"/>
    <d v="2013-02-03T00:00:00"/>
    <s v="DVD"/>
    <n v="100275"/>
    <s v="AB100493"/>
    <x v="3"/>
    <n v="767570"/>
    <x v="1"/>
  </r>
  <r>
    <n v="10186"/>
    <n v="1"/>
    <d v="2013-02-02T00:00:00"/>
    <s v="BLU-RAY"/>
    <n v="100276"/>
    <s v="AB100494"/>
    <x v="10"/>
    <n v="278809"/>
    <x v="1"/>
  </r>
  <r>
    <n v="10017"/>
    <n v="4"/>
    <d v="2013-02-03T00:00:00"/>
    <s v="BLU-RAY"/>
    <n v="100277"/>
    <s v="AB100495"/>
    <x v="4"/>
    <n v="245577"/>
    <x v="1"/>
  </r>
  <r>
    <n v="10099"/>
    <n v="4"/>
    <d v="2013-02-04T00:00:00"/>
    <s v="DVD"/>
    <n v="100277"/>
    <s v="AB100496"/>
    <x v="10"/>
    <n v="245577"/>
    <x v="1"/>
  </r>
  <r>
    <n v="10029"/>
    <n v="1"/>
    <d v="2013-02-03T00:00:00"/>
    <s v="DVD"/>
    <n v="100277"/>
    <s v="AB100497"/>
    <x v="12"/>
    <n v="245577"/>
    <x v="1"/>
  </r>
  <r>
    <n v="10180"/>
    <n v="4"/>
    <d v="2013-02-03T00:00:00"/>
    <s v="BLU-RAY"/>
    <n v="100278"/>
    <s v="AB100498"/>
    <x v="12"/>
    <n v="158310"/>
    <x v="1"/>
  </r>
  <r>
    <n v="10095"/>
    <n v="7"/>
    <d v="2013-02-04T00:00:00"/>
    <s v="BLU-RAY"/>
    <n v="100278"/>
    <s v="AB100499"/>
    <x v="2"/>
    <n v="158310"/>
    <x v="1"/>
  </r>
  <r>
    <n v="10147"/>
    <n v="4"/>
    <d v="2013-02-04T00:00:00"/>
    <s v="DVD"/>
    <n v="100278"/>
    <s v="AB100500"/>
    <x v="10"/>
    <n v="158310"/>
    <x v="1"/>
  </r>
  <r>
    <n v="10036"/>
    <n v="7"/>
    <d v="2013-02-03T00:00:00"/>
    <s v="DVD"/>
    <n v="100279"/>
    <s v="AB100501"/>
    <x v="7"/>
    <n v="358901"/>
    <x v="1"/>
  </r>
  <r>
    <n v="10145"/>
    <n v="2"/>
    <d v="2013-02-05T00:00:00"/>
    <s v="DVD"/>
    <n v="100279"/>
    <s v="AB100502"/>
    <x v="6"/>
    <n v="358901"/>
    <x v="1"/>
  </r>
  <r>
    <n v="10180"/>
    <n v="6"/>
    <d v="2013-02-04T00:00:00"/>
    <s v="DVD"/>
    <n v="100279"/>
    <s v="AB100503"/>
    <x v="12"/>
    <n v="358901"/>
    <x v="1"/>
  </r>
  <r>
    <n v="10157"/>
    <n v="7"/>
    <d v="2013-02-03T00:00:00"/>
    <s v="DVD"/>
    <n v="100280"/>
    <s v="AB100504"/>
    <x v="1"/>
    <n v="841831"/>
    <x v="1"/>
  </r>
  <r>
    <n v="10113"/>
    <n v="10"/>
    <d v="2013-02-04T00:00:00"/>
    <s v="DVD"/>
    <n v="100280"/>
    <s v="AB100505"/>
    <x v="10"/>
    <n v="841831"/>
    <x v="1"/>
  </r>
  <r>
    <n v="10170"/>
    <n v="7"/>
    <d v="2013-02-03T00:00:00"/>
    <s v="BLU-RAY"/>
    <n v="100281"/>
    <s v="AB100506"/>
    <x v="15"/>
    <n v="656512"/>
    <x v="1"/>
  </r>
  <r>
    <n v="10224"/>
    <n v="2"/>
    <d v="2013-02-06T00:00:00"/>
    <s v="DVD"/>
    <n v="100282"/>
    <s v="AB100507"/>
    <x v="17"/>
    <n v="537860"/>
    <x v="1"/>
  </r>
  <r>
    <n v="10123"/>
    <n v="2"/>
    <d v="2013-02-03T00:00:00"/>
    <s v="DVD"/>
    <n v="100282"/>
    <s v="AB100508"/>
    <x v="9"/>
    <n v="537860"/>
    <x v="1"/>
  </r>
  <r>
    <n v="10000"/>
    <n v="3"/>
    <d v="2013-02-03T00:00:00"/>
    <s v="DVD"/>
    <n v="100283"/>
    <s v="AB100509"/>
    <x v="6"/>
    <n v="739440"/>
    <x v="1"/>
  </r>
  <r>
    <n v="10285"/>
    <n v="2"/>
    <d v="2013-02-04T00:00:00"/>
    <s v="BLU-RAY"/>
    <n v="100284"/>
    <s v="AB100510"/>
    <x v="20"/>
    <n v="656728"/>
    <x v="1"/>
  </r>
  <r>
    <n v="10016"/>
    <n v="5"/>
    <d v="2013-02-04T00:00:00"/>
    <s v="DVD"/>
    <n v="100285"/>
    <s v="AB100511"/>
    <x v="7"/>
    <n v="370870"/>
    <x v="1"/>
  </r>
  <r>
    <n v="10008"/>
    <n v="1"/>
    <d v="2013-02-04T00:00:00"/>
    <s v="DVD"/>
    <n v="100285"/>
    <s v="AB100512"/>
    <x v="4"/>
    <n v="370870"/>
    <x v="1"/>
  </r>
  <r>
    <n v="10161"/>
    <n v="8"/>
    <d v="2013-02-05T00:00:00"/>
    <s v="DVD"/>
    <n v="100286"/>
    <s v="AB100513"/>
    <x v="6"/>
    <n v="566192"/>
    <x v="1"/>
  </r>
  <r>
    <n v="10041"/>
    <n v="1"/>
    <d v="2013-02-05T00:00:00"/>
    <s v="BLU-RAY"/>
    <n v="100287"/>
    <s v="AB100514"/>
    <x v="10"/>
    <n v="405322"/>
    <x v="1"/>
  </r>
  <r>
    <n v="10207"/>
    <n v="2"/>
    <d v="2013-02-05T00:00:00"/>
    <s v="BLU-RAY"/>
    <n v="100288"/>
    <s v="AB100515"/>
    <x v="1"/>
    <n v="791559"/>
    <x v="1"/>
  </r>
  <r>
    <n v="10281"/>
    <n v="1"/>
    <d v="2013-02-06T00:00:00"/>
    <s v="BLU-RAY"/>
    <n v="100289"/>
    <s v="AB100516"/>
    <x v="10"/>
    <n v="292402"/>
    <x v="1"/>
  </r>
  <r>
    <n v="10025"/>
    <n v="7"/>
    <d v="2013-02-07T00:00:00"/>
    <s v="BLU-RAY"/>
    <n v="100289"/>
    <s v="AB100517"/>
    <x v="4"/>
    <n v="292402"/>
    <x v="1"/>
  </r>
  <r>
    <n v="10258"/>
    <n v="9"/>
    <d v="2013-02-07T00:00:00"/>
    <s v="BLU-RAY"/>
    <n v="100289"/>
    <s v="AB100518"/>
    <x v="0"/>
    <n v="292402"/>
    <x v="1"/>
  </r>
  <r>
    <n v="10229"/>
    <n v="2"/>
    <d v="2013-02-07T00:00:00"/>
    <s v="BLU-RAY"/>
    <n v="100289"/>
    <s v="AB100519"/>
    <x v="6"/>
    <n v="292402"/>
    <x v="1"/>
  </r>
  <r>
    <n v="10088"/>
    <n v="9"/>
    <d v="2013-02-05T00:00:00"/>
    <s v="BLU-RAY"/>
    <n v="100290"/>
    <s v="AB100520"/>
    <x v="0"/>
    <n v="154427"/>
    <x v="1"/>
  </r>
  <r>
    <n v="10100"/>
    <n v="3"/>
    <d v="2013-02-06T00:00:00"/>
    <s v="BLU-RAY"/>
    <n v="100291"/>
    <s v="AB100521"/>
    <x v="9"/>
    <n v="757780"/>
    <x v="1"/>
  </r>
  <r>
    <n v="10156"/>
    <n v="10"/>
    <d v="2013-02-05T00:00:00"/>
    <s v="DVD"/>
    <n v="100291"/>
    <s v="AB100522"/>
    <x v="3"/>
    <n v="757780"/>
    <x v="1"/>
  </r>
  <r>
    <n v="10090"/>
    <n v="5"/>
    <d v="2013-02-05T00:00:00"/>
    <s v="DVD"/>
    <n v="100292"/>
    <s v="AB100523"/>
    <x v="1"/>
    <n v="386950"/>
    <x v="1"/>
  </r>
  <r>
    <n v="10252"/>
    <n v="3"/>
    <d v="2013-02-06T00:00:00"/>
    <s v="DVD"/>
    <n v="100293"/>
    <s v="AB100524"/>
    <x v="0"/>
    <n v="534481"/>
    <x v="1"/>
  </r>
  <r>
    <n v="10090"/>
    <n v="6"/>
    <d v="2013-02-06T00:00:00"/>
    <s v="BLU-RAY"/>
    <n v="100293"/>
    <s v="AB100525"/>
    <x v="1"/>
    <n v="534481"/>
    <x v="1"/>
  </r>
  <r>
    <n v="10042"/>
    <n v="6"/>
    <d v="2013-02-06T00:00:00"/>
    <s v="DVD"/>
    <n v="100294"/>
    <s v="AB100526"/>
    <x v="1"/>
    <n v="707458"/>
    <x v="1"/>
  </r>
  <r>
    <n v="10082"/>
    <n v="7"/>
    <d v="2013-02-06T00:00:00"/>
    <s v="DVD"/>
    <n v="100295"/>
    <s v="AB100527"/>
    <x v="3"/>
    <n v="815980"/>
    <x v="1"/>
  </r>
  <r>
    <n v="10143"/>
    <n v="7"/>
    <d v="2013-02-06T00:00:00"/>
    <s v="DVD"/>
    <n v="100296"/>
    <s v="AB100528"/>
    <x v="3"/>
    <n v="500733"/>
    <x v="1"/>
  </r>
  <r>
    <n v="10188"/>
    <n v="2"/>
    <d v="2013-02-08T00:00:00"/>
    <s v="DVD"/>
    <n v="100297"/>
    <s v="AB100529"/>
    <x v="1"/>
    <n v="229742"/>
    <x v="1"/>
  </r>
  <r>
    <n v="10239"/>
    <n v="4"/>
    <d v="2013-02-08T00:00:00"/>
    <s v="DVD"/>
    <n v="100297"/>
    <s v="AB100530"/>
    <x v="2"/>
    <n v="229742"/>
    <x v="1"/>
  </r>
  <r>
    <n v="10202"/>
    <n v="2"/>
    <d v="2013-02-07T00:00:00"/>
    <s v="DVD"/>
    <n v="100298"/>
    <s v="AB100531"/>
    <x v="0"/>
    <n v="746134"/>
    <x v="1"/>
  </r>
  <r>
    <n v="10297"/>
    <n v="3"/>
    <d v="2013-02-08T00:00:00"/>
    <s v="BLU-RAY"/>
    <n v="100298"/>
    <s v="AB100532"/>
    <x v="14"/>
    <n v="746134"/>
    <x v="1"/>
  </r>
  <r>
    <n v="10030"/>
    <n v="3"/>
    <d v="2013-02-07T00:00:00"/>
    <s v="BLU-RAY"/>
    <n v="100298"/>
    <s v="AB100533"/>
    <x v="0"/>
    <n v="746134"/>
    <x v="1"/>
  </r>
  <r>
    <n v="10293"/>
    <n v="10"/>
    <d v="2013-02-07T00:00:00"/>
    <s v="DVD"/>
    <n v="100299"/>
    <s v="AB100534"/>
    <x v="12"/>
    <n v="929344"/>
    <x v="1"/>
  </r>
  <r>
    <n v="10105"/>
    <n v="2"/>
    <d v="2013-02-07T00:00:00"/>
    <s v="DVD"/>
    <n v="100300"/>
    <s v="AB100535"/>
    <x v="2"/>
    <n v="567388"/>
    <x v="1"/>
  </r>
  <r>
    <n v="10078"/>
    <n v="10"/>
    <d v="2013-02-08T00:00:00"/>
    <s v="DVD"/>
    <n v="100301"/>
    <s v="AB100536"/>
    <x v="1"/>
    <n v="743517"/>
    <x v="1"/>
  </r>
  <r>
    <n v="10122"/>
    <n v="1"/>
    <d v="2013-02-09T00:00:00"/>
    <s v="BLU-RAY"/>
    <n v="100302"/>
    <s v="AB100537"/>
    <x v="12"/>
    <n v="454015"/>
    <x v="1"/>
  </r>
  <r>
    <n v="10281"/>
    <n v="3"/>
    <d v="2013-02-09T00:00:00"/>
    <s v="BLU-RAY"/>
    <n v="100303"/>
    <s v="AB100538"/>
    <x v="10"/>
    <n v="149240"/>
    <x v="1"/>
  </r>
  <r>
    <n v="10022"/>
    <n v="3"/>
    <d v="2013-02-09T00:00:00"/>
    <s v="DVD"/>
    <n v="100303"/>
    <s v="AB100539"/>
    <x v="7"/>
    <n v="149240"/>
    <x v="1"/>
  </r>
  <r>
    <n v="10087"/>
    <n v="10"/>
    <d v="2013-02-10T00:00:00"/>
    <s v="DVD"/>
    <n v="100303"/>
    <s v="AB100540"/>
    <x v="10"/>
    <n v="149240"/>
    <x v="1"/>
  </r>
  <r>
    <n v="10284"/>
    <n v="7"/>
    <d v="2013-02-09T00:00:00"/>
    <s v="BLU-RAY"/>
    <n v="100303"/>
    <s v="AB100541"/>
    <x v="14"/>
    <n v="149240"/>
    <x v="1"/>
  </r>
  <r>
    <n v="10174"/>
    <n v="9"/>
    <d v="2013-02-09T00:00:00"/>
    <s v="BLU-RAY"/>
    <n v="100303"/>
    <s v="AB100542"/>
    <x v="7"/>
    <n v="149240"/>
    <x v="1"/>
  </r>
  <r>
    <n v="10163"/>
    <n v="6"/>
    <d v="2013-02-09T00:00:00"/>
    <s v="BLU-RAY"/>
    <n v="100304"/>
    <s v="AB100543"/>
    <x v="0"/>
    <n v="109251"/>
    <x v="1"/>
  </r>
  <r>
    <n v="10113"/>
    <n v="2"/>
    <d v="2013-02-10T00:00:00"/>
    <s v="DVD"/>
    <n v="100305"/>
    <s v="AB100544"/>
    <x v="10"/>
    <n v="162236"/>
    <x v="1"/>
  </r>
  <r>
    <n v="10163"/>
    <n v="5"/>
    <d v="2013-02-11T00:00:00"/>
    <s v="BLU-RAY"/>
    <n v="100306"/>
    <s v="AB100545"/>
    <x v="0"/>
    <n v="149240"/>
    <x v="1"/>
  </r>
  <r>
    <n v="10173"/>
    <n v="10"/>
    <d v="2013-02-11T00:00:00"/>
    <s v="BLU-RAY"/>
    <n v="100307"/>
    <s v="AB100546"/>
    <x v="4"/>
    <n v="776775"/>
    <x v="1"/>
  </r>
  <r>
    <n v="10263"/>
    <n v="5"/>
    <d v="2013-02-10T00:00:00"/>
    <s v="DVD"/>
    <n v="100307"/>
    <s v="AB100547"/>
    <x v="9"/>
    <n v="776775"/>
    <x v="1"/>
  </r>
  <r>
    <n v="10049"/>
    <n v="1"/>
    <d v="2013-02-10T00:00:00"/>
    <s v="BLU-RAY"/>
    <n v="100307"/>
    <s v="AB100548"/>
    <x v="7"/>
    <n v="776775"/>
    <x v="1"/>
  </r>
  <r>
    <n v="10279"/>
    <n v="3"/>
    <d v="2013-02-10T00:00:00"/>
    <s v="DVD"/>
    <n v="100308"/>
    <s v="AB100549"/>
    <x v="8"/>
    <n v="649551"/>
    <x v="1"/>
  </r>
  <r>
    <n v="10131"/>
    <n v="3"/>
    <d v="2013-02-11T00:00:00"/>
    <s v="DVD"/>
    <n v="100309"/>
    <s v="AB100550"/>
    <x v="0"/>
    <n v="199895"/>
    <x v="1"/>
  </r>
  <r>
    <n v="10268"/>
    <n v="9"/>
    <d v="2013-02-12T00:00:00"/>
    <s v="BLU-RAY"/>
    <n v="100309"/>
    <s v="AB100551"/>
    <x v="3"/>
    <n v="199895"/>
    <x v="1"/>
  </r>
  <r>
    <n v="10160"/>
    <n v="5"/>
    <d v="2013-02-12T00:00:00"/>
    <s v="DVD"/>
    <n v="100310"/>
    <s v="AB100552"/>
    <x v="10"/>
    <n v="161942"/>
    <x v="1"/>
  </r>
  <r>
    <n v="10034"/>
    <n v="4"/>
    <d v="2013-02-12T00:00:00"/>
    <s v="DVD"/>
    <n v="100310"/>
    <s v="AB100553"/>
    <x v="10"/>
    <n v="161942"/>
    <x v="1"/>
  </r>
  <r>
    <n v="10211"/>
    <n v="4"/>
    <d v="2013-02-11T00:00:00"/>
    <s v="DVD"/>
    <n v="100310"/>
    <s v="AB100554"/>
    <x v="3"/>
    <n v="161942"/>
    <x v="1"/>
  </r>
  <r>
    <n v="10043"/>
    <n v="3"/>
    <d v="2013-02-12T00:00:00"/>
    <s v="DVD"/>
    <n v="100311"/>
    <s v="AB100555"/>
    <x v="8"/>
    <n v="513968"/>
    <x v="1"/>
  </r>
  <r>
    <n v="10077"/>
    <n v="9"/>
    <d v="2013-02-12T00:00:00"/>
    <s v="BLU-RAY"/>
    <n v="100312"/>
    <s v="AB100556"/>
    <x v="0"/>
    <n v="994199"/>
    <x v="1"/>
  </r>
  <r>
    <n v="10060"/>
    <n v="4"/>
    <d v="2013-02-11T00:00:00"/>
    <s v="DVD"/>
    <n v="100312"/>
    <s v="AB100557"/>
    <x v="0"/>
    <n v="994199"/>
    <x v="1"/>
  </r>
  <r>
    <n v="10117"/>
    <n v="1"/>
    <d v="2013-02-12T00:00:00"/>
    <s v="DVD"/>
    <n v="100313"/>
    <s v="AB100558"/>
    <x v="4"/>
    <n v="734624"/>
    <x v="1"/>
  </r>
  <r>
    <n v="10126"/>
    <n v="5"/>
    <d v="2013-02-12T00:00:00"/>
    <s v="DVD"/>
    <n v="100313"/>
    <s v="AB100559"/>
    <x v="9"/>
    <n v="734624"/>
    <x v="1"/>
  </r>
  <r>
    <n v="10114"/>
    <n v="5"/>
    <d v="2013-02-12T00:00:00"/>
    <s v="DVD"/>
    <n v="100314"/>
    <s v="AB100560"/>
    <x v="10"/>
    <n v="592726"/>
    <x v="1"/>
  </r>
  <r>
    <n v="10109"/>
    <n v="6"/>
    <d v="2013-02-13T00:00:00"/>
    <s v="DVD"/>
    <n v="100315"/>
    <s v="AB100561"/>
    <x v="0"/>
    <n v="189953"/>
    <x v="1"/>
  </r>
  <r>
    <n v="10116"/>
    <n v="9"/>
    <d v="2013-02-13T00:00:00"/>
    <s v="BLU-RAY"/>
    <n v="100316"/>
    <s v="AB100562"/>
    <x v="7"/>
    <n v="480298"/>
    <x v="1"/>
  </r>
  <r>
    <n v="10088"/>
    <n v="4"/>
    <d v="2013-02-13T00:00:00"/>
    <s v="BLU-RAY"/>
    <n v="100316"/>
    <s v="AB100563"/>
    <x v="0"/>
    <n v="480298"/>
    <x v="1"/>
  </r>
  <r>
    <n v="10256"/>
    <n v="9"/>
    <d v="2013-02-13T00:00:00"/>
    <s v="BLU-RAY"/>
    <n v="100317"/>
    <s v="AB100564"/>
    <x v="9"/>
    <n v="767570"/>
    <x v="1"/>
  </r>
  <r>
    <n v="10234"/>
    <n v="2"/>
    <d v="2013-02-15T00:00:00"/>
    <s v="DVD"/>
    <n v="100317"/>
    <s v="AB100565"/>
    <x v="0"/>
    <n v="767570"/>
    <x v="1"/>
  </r>
  <r>
    <n v="10179"/>
    <n v="6"/>
    <d v="2013-02-14T00:00:00"/>
    <s v="BLU-RAY"/>
    <n v="100318"/>
    <s v="AB100566"/>
    <x v="0"/>
    <n v="308662"/>
    <x v="1"/>
  </r>
  <r>
    <n v="10039"/>
    <n v="7"/>
    <d v="2013-02-14T00:00:00"/>
    <s v="DVD"/>
    <n v="100318"/>
    <s v="AB100567"/>
    <x v="11"/>
    <n v="308662"/>
    <x v="1"/>
  </r>
  <r>
    <n v="10118"/>
    <n v="9"/>
    <d v="2013-02-15T00:00:00"/>
    <s v="DVD"/>
    <n v="100319"/>
    <s v="AB100568"/>
    <x v="3"/>
    <n v="643214"/>
    <x v="1"/>
  </r>
  <r>
    <n v="10162"/>
    <n v="9"/>
    <d v="2013-02-16T00:00:00"/>
    <s v="DVD"/>
    <n v="100319"/>
    <s v="AB100569"/>
    <x v="4"/>
    <n v="643214"/>
    <x v="1"/>
  </r>
  <r>
    <n v="10117"/>
    <n v="8"/>
    <d v="2013-02-15T00:00:00"/>
    <s v="DVD"/>
    <n v="100319"/>
    <s v="AB100570"/>
    <x v="4"/>
    <n v="643214"/>
    <x v="1"/>
  </r>
  <r>
    <n v="10111"/>
    <n v="5"/>
    <d v="2013-02-15T00:00:00"/>
    <s v="DVD"/>
    <n v="100320"/>
    <s v="AB100571"/>
    <x v="9"/>
    <n v="973766"/>
    <x v="1"/>
  </r>
  <r>
    <n v="10193"/>
    <n v="8"/>
    <d v="2013-02-15T00:00:00"/>
    <s v="DVD"/>
    <n v="100321"/>
    <s v="AB100572"/>
    <x v="9"/>
    <n v="808421"/>
    <x v="1"/>
  </r>
  <r>
    <n v="10168"/>
    <n v="1"/>
    <d v="2013-02-16T00:00:00"/>
    <s v="DVD"/>
    <n v="100322"/>
    <s v="AB100573"/>
    <x v="1"/>
    <n v="756769"/>
    <x v="1"/>
  </r>
  <r>
    <n v="10022"/>
    <n v="4"/>
    <d v="2013-02-15T00:00:00"/>
    <s v="DVD"/>
    <n v="100322"/>
    <s v="AB100574"/>
    <x v="7"/>
    <n v="756769"/>
    <x v="1"/>
  </r>
  <r>
    <n v="10164"/>
    <n v="4"/>
    <d v="2013-02-15T00:00:00"/>
    <s v="DVD"/>
    <n v="100323"/>
    <s v="AB100575"/>
    <x v="2"/>
    <n v="556619"/>
    <x v="1"/>
  </r>
  <r>
    <n v="10183"/>
    <n v="10"/>
    <d v="2013-02-16T00:00:00"/>
    <s v="DVD"/>
    <n v="100324"/>
    <s v="AB100576"/>
    <x v="4"/>
    <n v="921792"/>
    <x v="1"/>
  </r>
  <r>
    <n v="10292"/>
    <n v="5"/>
    <d v="2013-02-16T00:00:00"/>
    <s v="BLU-RAY"/>
    <n v="100324"/>
    <s v="AB100577"/>
    <x v="15"/>
    <n v="921792"/>
    <x v="1"/>
  </r>
  <r>
    <n v="10240"/>
    <n v="5"/>
    <d v="2013-02-16T00:00:00"/>
    <s v="DVD"/>
    <n v="100325"/>
    <s v="AB100578"/>
    <x v="0"/>
    <n v="866556"/>
    <x v="1"/>
  </r>
  <r>
    <n v="10115"/>
    <n v="6"/>
    <d v="2013-02-16T00:00:00"/>
    <s v="DVD"/>
    <n v="100326"/>
    <s v="AB100579"/>
    <x v="11"/>
    <n v="884368"/>
    <x v="1"/>
  </r>
  <r>
    <n v="10283"/>
    <n v="2"/>
    <d v="2013-02-17T00:00:00"/>
    <s v="BLU-RAY"/>
    <n v="100327"/>
    <s v="AB100580"/>
    <x v="6"/>
    <n v="559054"/>
    <x v="1"/>
  </r>
  <r>
    <n v="10230"/>
    <n v="2"/>
    <d v="2013-02-16T00:00:00"/>
    <s v="BLU-RAY"/>
    <n v="100327"/>
    <s v="AB100581"/>
    <x v="14"/>
    <n v="559054"/>
    <x v="1"/>
  </r>
  <r>
    <n v="10055"/>
    <n v="1"/>
    <d v="2013-02-16T00:00:00"/>
    <s v="BLU-RAY"/>
    <n v="100328"/>
    <s v="AB100582"/>
    <x v="15"/>
    <n v="218889"/>
    <x v="1"/>
  </r>
  <r>
    <n v="10278"/>
    <n v="7"/>
    <d v="2013-02-17T00:00:00"/>
    <s v="DVD"/>
    <n v="100328"/>
    <s v="AB100583"/>
    <x v="7"/>
    <n v="218889"/>
    <x v="1"/>
  </r>
  <r>
    <n v="10266"/>
    <n v="2"/>
    <d v="2013-02-17T00:00:00"/>
    <s v="BLU-RAY"/>
    <n v="100329"/>
    <s v="AB100584"/>
    <x v="4"/>
    <n v="864896"/>
    <x v="1"/>
  </r>
  <r>
    <n v="10268"/>
    <n v="9"/>
    <d v="2013-02-17T00:00:00"/>
    <s v="BLU-RAY"/>
    <n v="100329"/>
    <s v="AB100585"/>
    <x v="3"/>
    <n v="864896"/>
    <x v="1"/>
  </r>
  <r>
    <n v="10051"/>
    <n v="6"/>
    <d v="2013-02-17T00:00:00"/>
    <s v="DVD"/>
    <n v="100329"/>
    <s v="AB100586"/>
    <x v="1"/>
    <n v="864896"/>
    <x v="1"/>
  </r>
  <r>
    <n v="10070"/>
    <n v="8"/>
    <d v="2013-02-17T00:00:00"/>
    <s v="DVD"/>
    <n v="100330"/>
    <s v="AB100587"/>
    <x v="1"/>
    <n v="378374"/>
    <x v="1"/>
  </r>
  <r>
    <n v="10215"/>
    <n v="2"/>
    <d v="2013-02-18T00:00:00"/>
    <s v="DVD"/>
    <n v="100331"/>
    <s v="AB100588"/>
    <x v="1"/>
    <n v="950299"/>
    <x v="1"/>
  </r>
  <r>
    <n v="10182"/>
    <n v="9"/>
    <d v="2013-02-18T00:00:00"/>
    <s v="BLU-RAY"/>
    <n v="100332"/>
    <s v="AB100589"/>
    <x v="0"/>
    <n v="701816"/>
    <x v="1"/>
  </r>
  <r>
    <n v="10040"/>
    <n v="1"/>
    <d v="2013-02-18T00:00:00"/>
    <s v="DVD"/>
    <n v="100333"/>
    <s v="AB100590"/>
    <x v="7"/>
    <n v="363931"/>
    <x v="1"/>
  </r>
  <r>
    <n v="10100"/>
    <n v="8"/>
    <d v="2013-02-19T00:00:00"/>
    <s v="DVD"/>
    <n v="100333"/>
    <s v="AB100591"/>
    <x v="9"/>
    <n v="363931"/>
    <x v="1"/>
  </r>
  <r>
    <n v="10126"/>
    <n v="1"/>
    <d v="2013-02-19T00:00:00"/>
    <s v="DVD"/>
    <n v="100334"/>
    <s v="AB100592"/>
    <x v="9"/>
    <n v="723057"/>
    <x v="1"/>
  </r>
  <r>
    <n v="10244"/>
    <n v="8"/>
    <d v="2013-02-18T00:00:00"/>
    <s v="DVD"/>
    <n v="100335"/>
    <s v="AB100593"/>
    <x v="4"/>
    <n v="961080"/>
    <x v="1"/>
  </r>
  <r>
    <n v="10123"/>
    <n v="10"/>
    <d v="2013-02-18T00:00:00"/>
    <s v="BLU-RAY"/>
    <n v="100336"/>
    <s v="AB100594"/>
    <x v="9"/>
    <n v="204295"/>
    <x v="1"/>
  </r>
  <r>
    <n v="10075"/>
    <n v="10"/>
    <d v="2013-02-19T00:00:00"/>
    <s v="DVD"/>
    <n v="100337"/>
    <s v="AB100595"/>
    <x v="17"/>
    <n v="325263"/>
    <x v="1"/>
  </r>
  <r>
    <n v="10141"/>
    <n v="2"/>
    <d v="2013-02-19T00:00:00"/>
    <s v="BLU-RAY"/>
    <n v="100337"/>
    <s v="AB100596"/>
    <x v="0"/>
    <n v="325263"/>
    <x v="1"/>
  </r>
  <r>
    <n v="10073"/>
    <n v="4"/>
    <d v="2013-02-20T00:00:00"/>
    <s v="BLU-RAY"/>
    <n v="100338"/>
    <s v="AB100597"/>
    <x v="16"/>
    <n v="840970"/>
    <x v="1"/>
  </r>
  <r>
    <n v="10161"/>
    <n v="7"/>
    <d v="2013-02-20T00:00:00"/>
    <s v="DVD"/>
    <n v="100339"/>
    <s v="AB100598"/>
    <x v="6"/>
    <n v="701816"/>
    <x v="1"/>
  </r>
  <r>
    <n v="10052"/>
    <n v="6"/>
    <d v="2013-02-19T00:00:00"/>
    <s v="BLU-RAY"/>
    <n v="100340"/>
    <s v="AB100599"/>
    <x v="0"/>
    <n v="233956"/>
    <x v="1"/>
  </r>
  <r>
    <n v="10062"/>
    <n v="1"/>
    <d v="2013-02-20T00:00:00"/>
    <s v="BLU-RAY"/>
    <n v="100341"/>
    <s v="AB100600"/>
    <x v="16"/>
    <n v="408341"/>
    <x v="1"/>
  </r>
  <r>
    <n v="10077"/>
    <n v="9"/>
    <d v="2013-02-19T00:00:00"/>
    <s v="DVD"/>
    <n v="100341"/>
    <s v="AB100601"/>
    <x v="0"/>
    <n v="408341"/>
    <x v="1"/>
  </r>
  <r>
    <n v="10027"/>
    <n v="9"/>
    <d v="2013-02-21T00:00:00"/>
    <s v="DVD"/>
    <n v="100342"/>
    <s v="AB100602"/>
    <x v="16"/>
    <n v="147543"/>
    <x v="1"/>
  </r>
  <r>
    <n v="10288"/>
    <n v="1"/>
    <d v="2013-02-20T00:00:00"/>
    <s v="DVD"/>
    <n v="100342"/>
    <s v="AB100603"/>
    <x v="12"/>
    <n v="147543"/>
    <x v="1"/>
  </r>
  <r>
    <n v="10233"/>
    <n v="6"/>
    <d v="2013-02-21T00:00:00"/>
    <s v="DVD"/>
    <n v="100343"/>
    <s v="AB100604"/>
    <x v="8"/>
    <n v="225489"/>
    <x v="1"/>
  </r>
  <r>
    <n v="10060"/>
    <n v="8"/>
    <d v="2013-02-20T00:00:00"/>
    <s v="BLU-RAY"/>
    <n v="100344"/>
    <s v="AB100605"/>
    <x v="0"/>
    <n v="958321"/>
    <x v="1"/>
  </r>
  <r>
    <n v="10249"/>
    <n v="7"/>
    <d v="2013-02-21T00:00:00"/>
    <s v="BLU-RAY"/>
    <n v="100345"/>
    <s v="AB100606"/>
    <x v="5"/>
    <n v="426984"/>
    <x v="1"/>
  </r>
  <r>
    <n v="10291"/>
    <n v="9"/>
    <d v="2013-02-21T00:00:00"/>
    <s v="DVD"/>
    <n v="100345"/>
    <s v="AB100607"/>
    <x v="0"/>
    <n v="426984"/>
    <x v="1"/>
  </r>
  <r>
    <n v="10196"/>
    <n v="10"/>
    <d v="2013-02-21T00:00:00"/>
    <s v="DVD"/>
    <n v="100346"/>
    <s v="AB100608"/>
    <x v="9"/>
    <n v="108708"/>
    <x v="1"/>
  </r>
  <r>
    <n v="10148"/>
    <n v="2"/>
    <d v="2013-02-22T00:00:00"/>
    <s v="BLU-RAY"/>
    <n v="100346"/>
    <s v="AB100609"/>
    <x v="1"/>
    <n v="108708"/>
    <x v="1"/>
  </r>
  <r>
    <n v="10103"/>
    <n v="6"/>
    <d v="2013-02-22T00:00:00"/>
    <s v="DVD"/>
    <n v="100346"/>
    <s v="AB100610"/>
    <x v="9"/>
    <n v="108708"/>
    <x v="1"/>
  </r>
  <r>
    <n v="10160"/>
    <n v="3"/>
    <d v="2013-02-21T00:00:00"/>
    <s v="DVD"/>
    <n v="100347"/>
    <s v="AB100611"/>
    <x v="10"/>
    <n v="432113"/>
    <x v="1"/>
  </r>
  <r>
    <n v="10041"/>
    <n v="5"/>
    <d v="2013-02-21T00:00:00"/>
    <s v="DVD"/>
    <n v="100348"/>
    <s v="AB100612"/>
    <x v="10"/>
    <n v="563500"/>
    <x v="1"/>
  </r>
  <r>
    <n v="10206"/>
    <n v="6"/>
    <d v="2013-02-21T00:00:00"/>
    <s v="DVD"/>
    <n v="100349"/>
    <s v="AB100613"/>
    <x v="9"/>
    <n v="459243"/>
    <x v="1"/>
  </r>
  <r>
    <n v="10267"/>
    <n v="8"/>
    <d v="2013-02-23T00:00:00"/>
    <s v="DVD"/>
    <n v="100350"/>
    <s v="AB100614"/>
    <x v="6"/>
    <n v="701816"/>
    <x v="1"/>
  </r>
  <r>
    <n v="10229"/>
    <n v="5"/>
    <d v="2013-02-22T00:00:00"/>
    <s v="BLU-RAY"/>
    <n v="100351"/>
    <s v="AB100615"/>
    <x v="6"/>
    <n v="756928"/>
    <x v="1"/>
  </r>
  <r>
    <n v="10137"/>
    <n v="7"/>
    <d v="2013-02-22T00:00:00"/>
    <s v="BLU-RAY"/>
    <n v="100351"/>
    <s v="AB100616"/>
    <x v="3"/>
    <n v="756928"/>
    <x v="1"/>
  </r>
  <r>
    <n v="10140"/>
    <n v="5"/>
    <d v="2013-02-22T00:00:00"/>
    <s v="BLU-RAY"/>
    <n v="100352"/>
    <s v="AB100617"/>
    <x v="2"/>
    <n v="866847"/>
    <x v="1"/>
  </r>
  <r>
    <n v="10090"/>
    <n v="2"/>
    <d v="2013-02-22T00:00:00"/>
    <s v="DVD"/>
    <n v="100352"/>
    <s v="AB100618"/>
    <x v="1"/>
    <n v="866847"/>
    <x v="1"/>
  </r>
  <r>
    <n v="10159"/>
    <n v="1"/>
    <d v="2013-02-22T00:00:00"/>
    <s v="DVD"/>
    <n v="100353"/>
    <s v="AB100619"/>
    <x v="10"/>
    <n v="448739"/>
    <x v="1"/>
  </r>
  <r>
    <n v="10188"/>
    <n v="3"/>
    <d v="2013-02-22T00:00:00"/>
    <s v="DVD"/>
    <n v="100353"/>
    <s v="AB100620"/>
    <x v="1"/>
    <n v="448739"/>
    <x v="1"/>
  </r>
  <r>
    <n v="10295"/>
    <n v="4"/>
    <d v="2013-02-23T00:00:00"/>
    <s v="BLU-RAY"/>
    <n v="100354"/>
    <s v="AB100621"/>
    <x v="21"/>
    <n v="286196"/>
    <x v="1"/>
  </r>
  <r>
    <n v="10178"/>
    <n v="8"/>
    <d v="2013-02-23T00:00:00"/>
    <s v="DVD"/>
    <n v="100354"/>
    <s v="AB100622"/>
    <x v="0"/>
    <n v="286196"/>
    <x v="1"/>
  </r>
  <r>
    <n v="10092"/>
    <n v="6"/>
    <d v="2013-02-24T00:00:00"/>
    <s v="DVD"/>
    <n v="100355"/>
    <s v="AB100623"/>
    <x v="0"/>
    <n v="250266"/>
    <x v="1"/>
  </r>
  <r>
    <n v="10064"/>
    <n v="6"/>
    <d v="2013-02-23T00:00:00"/>
    <s v="BLU-RAY"/>
    <n v="100355"/>
    <s v="AB100624"/>
    <x v="7"/>
    <n v="250266"/>
    <x v="1"/>
  </r>
  <r>
    <n v="10276"/>
    <n v="9"/>
    <d v="2013-02-24T00:00:00"/>
    <s v="BLU-RAY"/>
    <n v="100356"/>
    <s v="AB100625"/>
    <x v="16"/>
    <n v="325263"/>
    <x v="1"/>
  </r>
  <r>
    <n v="10078"/>
    <n v="6"/>
    <d v="2013-02-25T00:00:00"/>
    <s v="BLU-RAY"/>
    <n v="100357"/>
    <s v="AB100626"/>
    <x v="1"/>
    <n v="748326"/>
    <x v="1"/>
  </r>
  <r>
    <n v="10024"/>
    <n v="6"/>
    <d v="2013-02-24T00:00:00"/>
    <s v="DVD"/>
    <n v="100357"/>
    <s v="AB100627"/>
    <x v="9"/>
    <n v="748326"/>
    <x v="1"/>
  </r>
  <r>
    <n v="10014"/>
    <n v="9"/>
    <d v="2013-02-24T00:00:00"/>
    <s v="DVD"/>
    <n v="100358"/>
    <s v="AB100628"/>
    <x v="0"/>
    <n v="479497"/>
    <x v="1"/>
  </r>
  <r>
    <n v="10086"/>
    <n v="10"/>
    <d v="2013-02-24T00:00:00"/>
    <s v="BLU-RAY"/>
    <n v="100359"/>
    <s v="AB100629"/>
    <x v="3"/>
    <n v="154427"/>
    <x v="1"/>
  </r>
  <r>
    <n v="10285"/>
    <n v="2"/>
    <d v="2013-02-24T00:00:00"/>
    <s v="DVD"/>
    <n v="100359"/>
    <s v="AB100630"/>
    <x v="20"/>
    <n v="154427"/>
    <x v="1"/>
  </r>
  <r>
    <n v="10046"/>
    <n v="8"/>
    <d v="2013-02-26T00:00:00"/>
    <s v="DVD"/>
    <n v="100359"/>
    <s v="AB100631"/>
    <x v="4"/>
    <n v="154427"/>
    <x v="1"/>
  </r>
  <r>
    <n v="10223"/>
    <n v="10"/>
    <d v="2013-02-24T00:00:00"/>
    <s v="BLU-RAY"/>
    <n v="100360"/>
    <s v="AB100632"/>
    <x v="7"/>
    <n v="841831"/>
    <x v="1"/>
  </r>
  <r>
    <n v="10218"/>
    <n v="7"/>
    <d v="2013-02-25T00:00:00"/>
    <s v="BLU-RAY"/>
    <n v="100361"/>
    <s v="AB100633"/>
    <x v="4"/>
    <n v="765237"/>
    <x v="1"/>
  </r>
  <r>
    <n v="10049"/>
    <n v="6"/>
    <d v="2013-02-25T00:00:00"/>
    <s v="DVD"/>
    <n v="100361"/>
    <s v="AB100634"/>
    <x v="7"/>
    <n v="765237"/>
    <x v="1"/>
  </r>
  <r>
    <n v="10120"/>
    <n v="2"/>
    <d v="2013-02-25T00:00:00"/>
    <s v="BLU-RAY"/>
    <n v="100362"/>
    <s v="AB100635"/>
    <x v="14"/>
    <n v="203787"/>
    <x v="1"/>
  </r>
  <r>
    <n v="10104"/>
    <n v="7"/>
    <d v="2013-02-25T00:00:00"/>
    <s v="DVD"/>
    <n v="100362"/>
    <s v="AB100636"/>
    <x v="7"/>
    <n v="203787"/>
    <x v="1"/>
  </r>
  <r>
    <n v="10078"/>
    <n v="9"/>
    <d v="2013-02-25T00:00:00"/>
    <s v="BLU-RAY"/>
    <n v="100362"/>
    <s v="AB100637"/>
    <x v="1"/>
    <n v="203787"/>
    <x v="1"/>
  </r>
  <r>
    <n v="10288"/>
    <n v="8"/>
    <d v="2013-02-25T00:00:00"/>
    <s v="DVD"/>
    <n v="100363"/>
    <s v="AB100638"/>
    <x v="12"/>
    <n v="193968"/>
    <x v="1"/>
  </r>
  <r>
    <n v="10277"/>
    <n v="9"/>
    <d v="2013-02-25T00:00:00"/>
    <s v="DVD"/>
    <n v="100363"/>
    <s v="AB100639"/>
    <x v="7"/>
    <n v="193968"/>
    <x v="1"/>
  </r>
  <r>
    <n v="10106"/>
    <n v="6"/>
    <d v="2013-02-26T00:00:00"/>
    <s v="BLU-RAY"/>
    <n v="100364"/>
    <s v="AB100640"/>
    <x v="9"/>
    <n v="846558"/>
    <x v="1"/>
  </r>
  <r>
    <n v="10085"/>
    <n v="4"/>
    <d v="2013-02-25T00:00:00"/>
    <s v="DVD"/>
    <n v="100364"/>
    <s v="AB100641"/>
    <x v="3"/>
    <n v="846558"/>
    <x v="1"/>
  </r>
  <r>
    <n v="10065"/>
    <n v="2"/>
    <d v="2013-02-27T00:00:00"/>
    <s v="DVD"/>
    <n v="100365"/>
    <s v="AB100642"/>
    <x v="0"/>
    <n v="534481"/>
    <x v="1"/>
  </r>
  <r>
    <n v="10215"/>
    <n v="9"/>
    <d v="2013-02-25T00:00:00"/>
    <s v="DVD"/>
    <n v="100365"/>
    <s v="AB100643"/>
    <x v="1"/>
    <n v="534481"/>
    <x v="1"/>
  </r>
  <r>
    <n v="10293"/>
    <n v="5"/>
    <d v="2013-02-25T00:00:00"/>
    <s v="BLU-RAY"/>
    <n v="100365"/>
    <s v="AB100644"/>
    <x v="12"/>
    <n v="534481"/>
    <x v="1"/>
  </r>
  <r>
    <n v="10070"/>
    <n v="5"/>
    <d v="2013-02-27T00:00:00"/>
    <s v="DVD"/>
    <n v="100365"/>
    <s v="AB100645"/>
    <x v="1"/>
    <n v="534481"/>
    <x v="1"/>
  </r>
  <r>
    <n v="10039"/>
    <n v="9"/>
    <d v="2013-02-26T00:00:00"/>
    <s v="DVD"/>
    <n v="100366"/>
    <s v="AB100646"/>
    <x v="11"/>
    <n v="175940"/>
    <x v="1"/>
  </r>
  <r>
    <n v="10264"/>
    <n v="8"/>
    <d v="2013-02-26T00:00:00"/>
    <s v="DVD"/>
    <n v="100366"/>
    <s v="AB100647"/>
    <x v="2"/>
    <n v="175940"/>
    <x v="1"/>
  </r>
  <r>
    <n v="10232"/>
    <n v="10"/>
    <d v="2013-02-26T00:00:00"/>
    <s v="DVD"/>
    <n v="100366"/>
    <s v="AB100648"/>
    <x v="1"/>
    <n v="175940"/>
    <x v="1"/>
  </r>
  <r>
    <n v="10299"/>
    <n v="6"/>
    <d v="2013-03-02T00:00:00"/>
    <s v="BLU-RAY"/>
    <n v="100367"/>
    <s v="AB100649"/>
    <x v="22"/>
    <n v="757525"/>
    <x v="1"/>
  </r>
  <r>
    <n v="10092"/>
    <n v="10"/>
    <d v="2013-02-26T00:00:00"/>
    <s v="DVD"/>
    <n v="100368"/>
    <s v="AB100650"/>
    <x v="0"/>
    <n v="566192"/>
    <x v="1"/>
  </r>
  <r>
    <n v="10249"/>
    <n v="8"/>
    <d v="2013-02-26T00:00:00"/>
    <s v="DVD"/>
    <n v="100369"/>
    <s v="AB100651"/>
    <x v="5"/>
    <n v="850952"/>
    <x v="1"/>
  </r>
  <r>
    <n v="10064"/>
    <n v="3"/>
    <d v="2013-02-26T00:00:00"/>
    <s v="DVD"/>
    <n v="100370"/>
    <s v="AB100652"/>
    <x v="7"/>
    <n v="275152"/>
    <x v="1"/>
  </r>
  <r>
    <n v="10270"/>
    <n v="6"/>
    <d v="2013-02-27T00:00:00"/>
    <s v="DVD"/>
    <n v="100371"/>
    <s v="AB100653"/>
    <x v="9"/>
    <n v="448739"/>
    <x v="1"/>
  </r>
  <r>
    <n v="10005"/>
    <n v="4"/>
    <d v="2013-02-27T00:00:00"/>
    <s v="DVD"/>
    <n v="100372"/>
    <s v="AB100654"/>
    <x v="3"/>
    <n v="537860"/>
    <x v="1"/>
  </r>
  <r>
    <n v="10033"/>
    <n v="7"/>
    <d v="2013-02-27T00:00:00"/>
    <s v="BLU-RAY"/>
    <n v="100372"/>
    <s v="AB100655"/>
    <x v="10"/>
    <n v="537860"/>
    <x v="1"/>
  </r>
  <r>
    <n v="10226"/>
    <n v="4"/>
    <d v="2013-02-28T00:00:00"/>
    <s v="DVD"/>
    <n v="100373"/>
    <s v="AB100656"/>
    <x v="4"/>
    <n v="418635"/>
    <x v="1"/>
  </r>
  <r>
    <n v="10285"/>
    <n v="10"/>
    <d v="2013-02-28T00:00:00"/>
    <s v="DVD"/>
    <n v="100373"/>
    <s v="AB100657"/>
    <x v="20"/>
    <n v="418635"/>
    <x v="1"/>
  </r>
  <r>
    <n v="10228"/>
    <n v="3"/>
    <d v="2013-02-28T00:00:00"/>
    <s v="DVD"/>
    <n v="100373"/>
    <s v="AB100658"/>
    <x v="7"/>
    <n v="418635"/>
    <x v="1"/>
  </r>
  <r>
    <n v="10009"/>
    <n v="3"/>
    <d v="2013-03-02T00:00:00"/>
    <s v="DVD"/>
    <n v="100374"/>
    <s v="AB100659"/>
    <x v="0"/>
    <n v="498153"/>
    <x v="1"/>
  </r>
  <r>
    <n v="10039"/>
    <n v="10"/>
    <d v="2013-03-01T00:00:00"/>
    <s v="BLU-RAY"/>
    <n v="100374"/>
    <s v="AB100660"/>
    <x v="11"/>
    <n v="498153"/>
    <x v="1"/>
  </r>
  <r>
    <n v="10193"/>
    <n v="6"/>
    <d v="2013-02-28T00:00:00"/>
    <s v="DVD"/>
    <n v="100374"/>
    <s v="AB100661"/>
    <x v="9"/>
    <n v="498153"/>
    <x v="1"/>
  </r>
  <r>
    <n v="10289"/>
    <n v="10"/>
    <d v="2013-03-01T00:00:00"/>
    <s v="BLU-RAY"/>
    <n v="100375"/>
    <s v="AB100662"/>
    <x v="11"/>
    <n v="841831"/>
    <x v="1"/>
  </r>
  <r>
    <n v="10163"/>
    <n v="10"/>
    <d v="2013-03-01T00:00:00"/>
    <s v="DVD"/>
    <n v="100375"/>
    <s v="AB100663"/>
    <x v="0"/>
    <n v="841831"/>
    <x v="1"/>
  </r>
  <r>
    <n v="10098"/>
    <n v="7"/>
    <d v="2013-02-28T00:00:00"/>
    <s v="BLU-RAY"/>
    <n v="100376"/>
    <s v="AB100664"/>
    <x v="0"/>
    <n v="230602"/>
    <x v="1"/>
  </r>
  <r>
    <n v="10114"/>
    <n v="2"/>
    <d v="2013-03-02T00:00:00"/>
    <s v="DVD"/>
    <n v="100377"/>
    <s v="AB100665"/>
    <x v="10"/>
    <n v="161942"/>
    <x v="1"/>
  </r>
  <r>
    <n v="10143"/>
    <n v="3"/>
    <d v="2013-03-02T00:00:00"/>
    <s v="DVD"/>
    <n v="100377"/>
    <s v="AB100666"/>
    <x v="3"/>
    <n v="161942"/>
    <x v="1"/>
  </r>
  <r>
    <n v="10112"/>
    <n v="2"/>
    <d v="2013-03-01T00:00:00"/>
    <s v="BLU-RAY"/>
    <n v="100378"/>
    <s v="AB100667"/>
    <x v="12"/>
    <n v="796796"/>
    <x v="1"/>
  </r>
  <r>
    <n v="10094"/>
    <n v="4"/>
    <d v="2013-03-01T00:00:00"/>
    <s v="DVD"/>
    <n v="100378"/>
    <s v="AB100668"/>
    <x v="12"/>
    <n v="796796"/>
    <x v="1"/>
  </r>
  <r>
    <n v="10280"/>
    <n v="9"/>
    <d v="2013-03-02T00:00:00"/>
    <s v="DVD"/>
    <n v="100379"/>
    <s v="AB100669"/>
    <x v="7"/>
    <n v="122818"/>
    <x v="1"/>
  </r>
  <r>
    <n v="10111"/>
    <n v="10"/>
    <d v="2013-03-01T00:00:00"/>
    <s v="DVD"/>
    <n v="100379"/>
    <s v="AB100670"/>
    <x v="9"/>
    <n v="122818"/>
    <x v="1"/>
  </r>
  <r>
    <n v="10066"/>
    <n v="3"/>
    <d v="2013-03-02T00:00:00"/>
    <s v="BLU-RAY"/>
    <n v="100380"/>
    <s v="AB100671"/>
    <x v="3"/>
    <n v="366695"/>
    <x v="1"/>
  </r>
  <r>
    <n v="10299"/>
    <n v="2"/>
    <d v="2013-03-02T00:00:00"/>
    <s v="DVD"/>
    <n v="100381"/>
    <s v="AB100672"/>
    <x v="22"/>
    <n v="908768"/>
    <x v="1"/>
  </r>
  <r>
    <n v="10021"/>
    <n v="7"/>
    <d v="2013-03-02T00:00:00"/>
    <s v="BLU-RAY"/>
    <n v="100381"/>
    <s v="AB100673"/>
    <x v="1"/>
    <n v="908768"/>
    <x v="1"/>
  </r>
  <r>
    <n v="10096"/>
    <n v="4"/>
    <d v="2013-03-03T00:00:00"/>
    <s v="BLU-RAY"/>
    <n v="100381"/>
    <s v="AB100674"/>
    <x v="7"/>
    <n v="908768"/>
    <x v="1"/>
  </r>
  <r>
    <n v="10106"/>
    <n v="10"/>
    <d v="2013-03-03T00:00:00"/>
    <s v="BLU-RAY"/>
    <n v="100382"/>
    <s v="AB100675"/>
    <x v="9"/>
    <n v="938417"/>
    <x v="1"/>
  </r>
  <r>
    <n v="10289"/>
    <n v="2"/>
    <d v="2013-03-03T00:00:00"/>
    <s v="DVD"/>
    <n v="100383"/>
    <s v="AB100676"/>
    <x v="11"/>
    <n v="879173"/>
    <x v="1"/>
  </r>
  <r>
    <n v="10017"/>
    <n v="3"/>
    <d v="2013-03-03T00:00:00"/>
    <s v="DVD"/>
    <n v="100383"/>
    <s v="AB100677"/>
    <x v="4"/>
    <n v="879173"/>
    <x v="1"/>
  </r>
  <r>
    <n v="10293"/>
    <n v="1"/>
    <d v="2013-03-03T00:00:00"/>
    <s v="DVD"/>
    <n v="100384"/>
    <s v="AB100678"/>
    <x v="12"/>
    <n v="537860"/>
    <x v="1"/>
  </r>
  <r>
    <n v="10135"/>
    <n v="6"/>
    <d v="2013-03-03T00:00:00"/>
    <s v="BLU-RAY"/>
    <n v="100385"/>
    <s v="AB100679"/>
    <x v="7"/>
    <n v="370870"/>
    <x v="1"/>
  </r>
  <r>
    <n v="10065"/>
    <n v="4"/>
    <d v="2013-03-04T00:00:00"/>
    <s v="DVD"/>
    <n v="100386"/>
    <s v="AB100680"/>
    <x v="0"/>
    <n v="218889"/>
    <x v="1"/>
  </r>
  <r>
    <n v="10229"/>
    <n v="3"/>
    <d v="2013-03-04T00:00:00"/>
    <s v="BLU-RAY"/>
    <n v="100387"/>
    <s v="AB100681"/>
    <x v="6"/>
    <n v="575903"/>
    <x v="1"/>
  </r>
  <r>
    <n v="10039"/>
    <n v="4"/>
    <d v="2013-03-05T00:00:00"/>
    <s v="DVD"/>
    <n v="100387"/>
    <s v="AB100682"/>
    <x v="11"/>
    <n v="575903"/>
    <x v="1"/>
  </r>
  <r>
    <n v="10096"/>
    <n v="3"/>
    <d v="2013-03-04T00:00:00"/>
    <s v="BLU-RAY"/>
    <n v="100388"/>
    <s v="AB100683"/>
    <x v="7"/>
    <n v="694281"/>
    <x v="1"/>
  </r>
  <r>
    <n v="10093"/>
    <n v="4"/>
    <d v="2013-03-04T00:00:00"/>
    <s v="BLU-RAY"/>
    <n v="100389"/>
    <s v="AB100684"/>
    <x v="11"/>
    <n v="132454"/>
    <x v="1"/>
  </r>
  <r>
    <n v="10057"/>
    <n v="8"/>
    <d v="2013-03-04T00:00:00"/>
    <s v="DVD"/>
    <n v="100389"/>
    <s v="AB100685"/>
    <x v="0"/>
    <n v="132454"/>
    <x v="1"/>
  </r>
  <r>
    <n v="10113"/>
    <n v="4"/>
    <d v="2013-03-04T00:00:00"/>
    <s v="BLU-RAY"/>
    <n v="100390"/>
    <s v="AB100686"/>
    <x v="10"/>
    <n v="738357"/>
    <x v="1"/>
  </r>
  <r>
    <n v="10274"/>
    <n v="8"/>
    <d v="2013-03-07T00:00:00"/>
    <s v="BLU-RAY"/>
    <n v="100391"/>
    <s v="AB100687"/>
    <x v="9"/>
    <n v="610766"/>
    <x v="1"/>
  </r>
  <r>
    <n v="10171"/>
    <n v="1"/>
    <d v="2013-03-04T00:00:00"/>
    <s v="DVD"/>
    <n v="100391"/>
    <s v="AB100688"/>
    <x v="7"/>
    <n v="610766"/>
    <x v="1"/>
  </r>
  <r>
    <n v="10136"/>
    <n v="5"/>
    <d v="2013-03-06T00:00:00"/>
    <s v="DVD"/>
    <n v="100391"/>
    <s v="AB100689"/>
    <x v="2"/>
    <n v="610766"/>
    <x v="1"/>
  </r>
  <r>
    <n v="10008"/>
    <n v="1"/>
    <d v="2013-03-05T00:00:00"/>
    <s v="DVD"/>
    <n v="100392"/>
    <s v="AB100690"/>
    <x v="4"/>
    <n v="841831"/>
    <x v="1"/>
  </r>
  <r>
    <n v="10175"/>
    <n v="3"/>
    <d v="2013-03-04T00:00:00"/>
    <s v="DVD"/>
    <n v="100392"/>
    <s v="AB100691"/>
    <x v="3"/>
    <n v="841831"/>
    <x v="1"/>
  </r>
  <r>
    <n v="10040"/>
    <n v="8"/>
    <d v="2013-03-06T00:00:00"/>
    <s v="DVD"/>
    <n v="100393"/>
    <s v="AB100692"/>
    <x v="7"/>
    <n v="950299"/>
    <x v="1"/>
  </r>
  <r>
    <n v="10137"/>
    <n v="8"/>
    <d v="2013-03-06T00:00:00"/>
    <s v="BLU-RAY"/>
    <n v="100394"/>
    <s v="AB100693"/>
    <x v="3"/>
    <n v="578275"/>
    <x v="1"/>
  </r>
  <r>
    <n v="10071"/>
    <n v="1"/>
    <d v="2013-03-06T00:00:00"/>
    <s v="DVD"/>
    <n v="100394"/>
    <s v="AB100694"/>
    <x v="1"/>
    <n v="578275"/>
    <x v="1"/>
  </r>
  <r>
    <n v="10209"/>
    <n v="3"/>
    <d v="2013-03-06T00:00:00"/>
    <s v="BLU-RAY"/>
    <n v="100395"/>
    <s v="AB100695"/>
    <x v="7"/>
    <n v="964403"/>
    <x v="1"/>
  </r>
  <r>
    <n v="10242"/>
    <n v="6"/>
    <d v="2013-03-05T00:00:00"/>
    <s v="DVD"/>
    <n v="100396"/>
    <s v="AB100696"/>
    <x v="3"/>
    <n v="336644"/>
    <x v="1"/>
  </r>
  <r>
    <n v="10106"/>
    <n v="8"/>
    <d v="2013-03-05T00:00:00"/>
    <s v="DVD"/>
    <n v="100396"/>
    <s v="AB100697"/>
    <x v="9"/>
    <n v="336644"/>
    <x v="1"/>
  </r>
  <r>
    <n v="10149"/>
    <n v="6"/>
    <d v="2013-03-05T00:00:00"/>
    <s v="BLU-RAY"/>
    <n v="100397"/>
    <s v="AB100698"/>
    <x v="12"/>
    <n v="668931"/>
    <x v="1"/>
  </r>
  <r>
    <n v="10038"/>
    <n v="1"/>
    <d v="2013-03-05T00:00:00"/>
    <s v="BLU-RAY"/>
    <n v="100397"/>
    <s v="AB100699"/>
    <x v="1"/>
    <n v="668931"/>
    <x v="1"/>
  </r>
  <r>
    <n v="10136"/>
    <n v="3"/>
    <d v="2013-03-06T00:00:00"/>
    <s v="DVD"/>
    <n v="100398"/>
    <s v="AB100700"/>
    <x v="2"/>
    <n v="746134"/>
    <x v="1"/>
  </r>
  <r>
    <n v="10197"/>
    <n v="5"/>
    <d v="2013-03-06T00:00:00"/>
    <s v="BLU-RAY"/>
    <n v="100399"/>
    <s v="AB100701"/>
    <x v="0"/>
    <n v="330223"/>
    <x v="1"/>
  </r>
  <r>
    <n v="10223"/>
    <n v="6"/>
    <d v="2013-03-06T00:00:00"/>
    <s v="DVD"/>
    <n v="100399"/>
    <s v="AB100702"/>
    <x v="7"/>
    <n v="330223"/>
    <x v="1"/>
  </r>
  <r>
    <n v="10002"/>
    <n v="10"/>
    <d v="2013-03-07T00:00:00"/>
    <s v="DVD"/>
    <n v="100400"/>
    <s v="AB100703"/>
    <x v="10"/>
    <n v="756769"/>
    <x v="1"/>
  </r>
  <r>
    <n v="10120"/>
    <n v="3"/>
    <d v="2013-03-06T00:00:00"/>
    <s v="DVD"/>
    <n v="100401"/>
    <s v="AB100704"/>
    <x v="14"/>
    <n v="951702"/>
    <x v="1"/>
  </r>
  <r>
    <n v="10278"/>
    <n v="5"/>
    <d v="2013-03-06T00:00:00"/>
    <s v="BLU-RAY"/>
    <n v="100401"/>
    <s v="AB100705"/>
    <x v="7"/>
    <n v="951702"/>
    <x v="1"/>
  </r>
  <r>
    <n v="10087"/>
    <n v="7"/>
    <d v="2013-03-06T00:00:00"/>
    <s v="DVD"/>
    <n v="100401"/>
    <s v="AB100706"/>
    <x v="10"/>
    <n v="951702"/>
    <x v="1"/>
  </r>
  <r>
    <n v="10273"/>
    <n v="5"/>
    <d v="2013-03-08T00:00:00"/>
    <s v="BLU-RAY"/>
    <n v="100402"/>
    <s v="AB100707"/>
    <x v="4"/>
    <n v="103508"/>
    <x v="1"/>
  </r>
  <r>
    <n v="10053"/>
    <n v="1"/>
    <d v="2013-03-07T00:00:00"/>
    <s v="DVD"/>
    <n v="100403"/>
    <s v="AB100708"/>
    <x v="4"/>
    <n v="921792"/>
    <x v="1"/>
  </r>
  <r>
    <n v="10042"/>
    <n v="7"/>
    <d v="2013-03-08T00:00:00"/>
    <s v="BLU-RAY"/>
    <n v="100403"/>
    <s v="AB100709"/>
    <x v="1"/>
    <n v="921792"/>
    <x v="1"/>
  </r>
  <r>
    <n v="10290"/>
    <n v="8"/>
    <d v="2013-03-07T00:00:00"/>
    <s v="DVD"/>
    <n v="100403"/>
    <s v="AB100710"/>
    <x v="2"/>
    <n v="921792"/>
    <x v="1"/>
  </r>
  <r>
    <n v="10284"/>
    <n v="1"/>
    <d v="2013-03-09T00:00:00"/>
    <s v="DVD"/>
    <n v="100404"/>
    <s v="AB100711"/>
    <x v="14"/>
    <n v="817159"/>
    <x v="1"/>
  </r>
  <r>
    <n v="10067"/>
    <n v="5"/>
    <d v="2013-03-07T00:00:00"/>
    <s v="DVD"/>
    <n v="100405"/>
    <s v="AB100712"/>
    <x v="1"/>
    <n v="190721"/>
    <x v="1"/>
  </r>
  <r>
    <n v="10166"/>
    <n v="4"/>
    <d v="2013-03-07T00:00:00"/>
    <s v="BLU-RAY"/>
    <n v="100405"/>
    <s v="AB100713"/>
    <x v="9"/>
    <n v="190721"/>
    <x v="1"/>
  </r>
  <r>
    <n v="10106"/>
    <n v="3"/>
    <d v="2013-03-08T00:00:00"/>
    <s v="DVD"/>
    <n v="100405"/>
    <s v="AB100714"/>
    <x v="9"/>
    <n v="190721"/>
    <x v="1"/>
  </r>
  <r>
    <n v="10080"/>
    <n v="8"/>
    <d v="2013-03-07T00:00:00"/>
    <s v="BLU-RAY"/>
    <n v="100406"/>
    <s v="AB100715"/>
    <x v="3"/>
    <n v="513968"/>
    <x v="1"/>
  </r>
  <r>
    <n v="10172"/>
    <n v="8"/>
    <d v="2013-03-08T00:00:00"/>
    <s v="DVD"/>
    <n v="100407"/>
    <s v="AB100716"/>
    <x v="10"/>
    <n v="796796"/>
    <x v="1"/>
  </r>
  <r>
    <n v="10091"/>
    <n v="6"/>
    <d v="2013-03-08T00:00:00"/>
    <s v="DVD"/>
    <n v="100407"/>
    <s v="AB100717"/>
    <x v="0"/>
    <n v="796796"/>
    <x v="1"/>
  </r>
  <r>
    <n v="10237"/>
    <n v="5"/>
    <d v="2013-03-08T00:00:00"/>
    <s v="DVD"/>
    <n v="100407"/>
    <s v="AB100718"/>
    <x v="0"/>
    <n v="796796"/>
    <x v="1"/>
  </r>
  <r>
    <n v="10162"/>
    <n v="1"/>
    <d v="2013-03-08T00:00:00"/>
    <s v="BLU-RAY"/>
    <n v="100408"/>
    <s v="AB100719"/>
    <x v="4"/>
    <n v="214537"/>
    <x v="1"/>
  </r>
  <r>
    <n v="10183"/>
    <n v="1"/>
    <d v="2013-03-08T00:00:00"/>
    <s v="DVD"/>
    <n v="100408"/>
    <s v="AB100720"/>
    <x v="4"/>
    <n v="214537"/>
    <x v="1"/>
  </r>
  <r>
    <n v="10011"/>
    <n v="8"/>
    <d v="2013-03-10T00:00:00"/>
    <s v="DVD"/>
    <n v="100409"/>
    <s v="AB100721"/>
    <x v="3"/>
    <n v="111991"/>
    <x v="1"/>
  </r>
  <r>
    <n v="10188"/>
    <n v="10"/>
    <d v="2013-03-09T00:00:00"/>
    <s v="BLU-RAY"/>
    <n v="100410"/>
    <s v="AB100722"/>
    <x v="1"/>
    <n v="358901"/>
    <x v="1"/>
  </r>
  <r>
    <n v="10184"/>
    <n v="2"/>
    <d v="2013-03-09T00:00:00"/>
    <s v="DVD"/>
    <n v="100411"/>
    <s v="AB100723"/>
    <x v="7"/>
    <n v="332324"/>
    <x v="1"/>
  </r>
  <r>
    <n v="10150"/>
    <n v="6"/>
    <d v="2013-03-09T00:00:00"/>
    <s v="DVD"/>
    <n v="100412"/>
    <s v="AB100724"/>
    <x v="14"/>
    <n v="190721"/>
    <x v="1"/>
  </r>
  <r>
    <n v="10053"/>
    <n v="4"/>
    <d v="2013-03-09T00:00:00"/>
    <s v="BLU-RAY"/>
    <n v="100412"/>
    <s v="AB100725"/>
    <x v="4"/>
    <n v="190721"/>
    <x v="1"/>
  </r>
  <r>
    <n v="10015"/>
    <n v="5"/>
    <d v="2013-03-10T00:00:00"/>
    <s v="BLU-RAY"/>
    <n v="100413"/>
    <s v="AB100726"/>
    <x v="6"/>
    <n v="694281"/>
    <x v="1"/>
  </r>
  <r>
    <n v="10069"/>
    <n v="9"/>
    <d v="2013-03-09T00:00:00"/>
    <s v="BLU-RAY"/>
    <n v="100414"/>
    <s v="AB100727"/>
    <x v="0"/>
    <n v="665282"/>
    <x v="1"/>
  </r>
  <r>
    <n v="10102"/>
    <n v="7"/>
    <d v="2013-03-09T00:00:00"/>
    <s v="DVD"/>
    <n v="100414"/>
    <s v="AB100728"/>
    <x v="7"/>
    <n v="665282"/>
    <x v="1"/>
  </r>
  <r>
    <n v="10092"/>
    <n v="8"/>
    <d v="2013-03-10T00:00:00"/>
    <s v="BLU-RAY"/>
    <n v="100414"/>
    <s v="AB100729"/>
    <x v="0"/>
    <n v="665282"/>
    <x v="1"/>
  </r>
  <r>
    <n v="10114"/>
    <n v="7"/>
    <d v="2013-03-11T00:00:00"/>
    <s v="DVD"/>
    <n v="100415"/>
    <s v="AB100730"/>
    <x v="10"/>
    <n v="578275"/>
    <x v="1"/>
  </r>
  <r>
    <n v="10296"/>
    <n v="7"/>
    <d v="2013-03-09T00:00:00"/>
    <s v="DVD"/>
    <n v="100415"/>
    <s v="AB100731"/>
    <x v="21"/>
    <n v="578275"/>
    <x v="1"/>
  </r>
  <r>
    <n v="10114"/>
    <n v="1"/>
    <d v="2013-03-10T00:00:00"/>
    <s v="DVD"/>
    <n v="100416"/>
    <s v="AB100732"/>
    <x v="10"/>
    <n v="964403"/>
    <x v="1"/>
  </r>
  <r>
    <n v="10293"/>
    <n v="5"/>
    <d v="2013-03-10T00:00:00"/>
    <s v="DVD"/>
    <n v="100417"/>
    <s v="AB100733"/>
    <x v="12"/>
    <n v="938006"/>
    <x v="1"/>
  </r>
  <r>
    <n v="10043"/>
    <n v="6"/>
    <d v="2013-03-10T00:00:00"/>
    <s v="DVD"/>
    <n v="100417"/>
    <s v="AB100734"/>
    <x v="8"/>
    <n v="938006"/>
    <x v="1"/>
  </r>
  <r>
    <n v="10216"/>
    <n v="6"/>
    <d v="2013-03-10T00:00:00"/>
    <s v="DVD"/>
    <n v="100417"/>
    <s v="AB100735"/>
    <x v="4"/>
    <n v="938006"/>
    <x v="1"/>
  </r>
  <r>
    <n v="10199"/>
    <n v="8"/>
    <d v="2013-03-10T00:00:00"/>
    <s v="DVD"/>
    <n v="100417"/>
    <s v="AB100736"/>
    <x v="10"/>
    <n v="938006"/>
    <x v="1"/>
  </r>
  <r>
    <n v="10278"/>
    <n v="5"/>
    <d v="2013-03-11T00:00:00"/>
    <s v="BLU-RAY"/>
    <n v="100418"/>
    <s v="AB100737"/>
    <x v="7"/>
    <n v="657495"/>
    <x v="1"/>
  </r>
  <r>
    <n v="10016"/>
    <n v="9"/>
    <d v="2013-03-10T00:00:00"/>
    <s v="DVD"/>
    <n v="100419"/>
    <s v="AB100738"/>
    <x v="7"/>
    <n v="841141"/>
    <x v="1"/>
  </r>
  <r>
    <n v="10236"/>
    <n v="10"/>
    <d v="2013-03-10T00:00:00"/>
    <s v="BLU-RAY"/>
    <n v="100420"/>
    <s v="AB100739"/>
    <x v="10"/>
    <n v="380003"/>
    <x v="1"/>
  </r>
  <r>
    <n v="10043"/>
    <n v="6"/>
    <d v="2013-03-11T00:00:00"/>
    <s v="BLU-RAY"/>
    <n v="100421"/>
    <s v="AB100740"/>
    <x v="8"/>
    <n v="771285"/>
    <x v="1"/>
  </r>
  <r>
    <n v="10040"/>
    <n v="10"/>
    <d v="2013-03-11T00:00:00"/>
    <s v="BLU-RAY"/>
    <n v="100421"/>
    <s v="AB100741"/>
    <x v="7"/>
    <n v="771285"/>
    <x v="1"/>
  </r>
  <r>
    <n v="10232"/>
    <n v="8"/>
    <d v="2013-03-12T00:00:00"/>
    <s v="BLU-RAY"/>
    <n v="100421"/>
    <s v="AB100742"/>
    <x v="1"/>
    <n v="771285"/>
    <x v="1"/>
  </r>
  <r>
    <n v="10133"/>
    <n v="6"/>
    <d v="2013-03-12T00:00:00"/>
    <s v="DVD"/>
    <n v="100422"/>
    <s v="AB100743"/>
    <x v="9"/>
    <n v="671363"/>
    <x v="1"/>
  </r>
  <r>
    <n v="10064"/>
    <n v="9"/>
    <d v="2013-03-12T00:00:00"/>
    <s v="DVD"/>
    <n v="100423"/>
    <s v="AB100744"/>
    <x v="7"/>
    <n v="166135"/>
    <x v="1"/>
  </r>
  <r>
    <n v="10199"/>
    <n v="2"/>
    <d v="2013-03-11T00:00:00"/>
    <s v="BLU-RAY"/>
    <n v="100424"/>
    <s v="AB100745"/>
    <x v="10"/>
    <n v="616028"/>
    <x v="1"/>
  </r>
  <r>
    <n v="10151"/>
    <n v="3"/>
    <d v="2013-03-11T00:00:00"/>
    <s v="DVD"/>
    <n v="100424"/>
    <s v="AB100746"/>
    <x v="8"/>
    <n v="616028"/>
    <x v="1"/>
  </r>
  <r>
    <n v="10075"/>
    <n v="2"/>
    <d v="2013-03-12T00:00:00"/>
    <s v="BLU-RAY"/>
    <n v="100424"/>
    <s v="AB100747"/>
    <x v="17"/>
    <n v="616028"/>
    <x v="1"/>
  </r>
  <r>
    <n v="10094"/>
    <n v="6"/>
    <d v="2013-03-12T00:00:00"/>
    <s v="DVD"/>
    <n v="100425"/>
    <s v="AB100748"/>
    <x v="12"/>
    <n v="537860"/>
    <x v="1"/>
  </r>
  <r>
    <n v="10229"/>
    <n v="3"/>
    <d v="2013-03-12T00:00:00"/>
    <s v="BLU-RAY"/>
    <n v="100425"/>
    <s v="AB100749"/>
    <x v="6"/>
    <n v="537860"/>
    <x v="1"/>
  </r>
  <r>
    <n v="10040"/>
    <n v="9"/>
    <d v="2013-03-13T00:00:00"/>
    <s v="DVD"/>
    <n v="100426"/>
    <s v="AB100750"/>
    <x v="7"/>
    <n v="747066"/>
    <x v="1"/>
  </r>
  <r>
    <n v="10063"/>
    <n v="10"/>
    <d v="2013-03-13T00:00:00"/>
    <s v="BLU-RAY"/>
    <n v="100426"/>
    <s v="AB100751"/>
    <x v="18"/>
    <n v="747066"/>
    <x v="1"/>
  </r>
  <r>
    <n v="10144"/>
    <n v="7"/>
    <d v="2013-03-15T00:00:00"/>
    <s v="BLU-RAY"/>
    <n v="100427"/>
    <s v="AB100752"/>
    <x v="2"/>
    <n v="905670"/>
    <x v="1"/>
  </r>
  <r>
    <n v="10170"/>
    <n v="9"/>
    <d v="2013-03-14T00:00:00"/>
    <s v="DVD"/>
    <n v="100427"/>
    <s v="AB100753"/>
    <x v="15"/>
    <n v="905670"/>
    <x v="1"/>
  </r>
  <r>
    <n v="10103"/>
    <n v="10"/>
    <d v="2013-03-16T00:00:00"/>
    <s v="BLU-RAY"/>
    <n v="100428"/>
    <s v="AB100754"/>
    <x v="9"/>
    <n v="973766"/>
    <x v="1"/>
  </r>
  <r>
    <n v="10017"/>
    <n v="10"/>
    <d v="2013-03-14T00:00:00"/>
    <s v="DVD"/>
    <n v="100429"/>
    <s v="AB100755"/>
    <x v="4"/>
    <n v="624668"/>
    <x v="1"/>
  </r>
  <r>
    <n v="10133"/>
    <n v="8"/>
    <d v="2013-03-14T00:00:00"/>
    <s v="BLU-RAY"/>
    <n v="100430"/>
    <s v="AB100756"/>
    <x v="9"/>
    <n v="358901"/>
    <x v="1"/>
  </r>
  <r>
    <n v="10256"/>
    <n v="6"/>
    <d v="2013-03-14T00:00:00"/>
    <s v="DVD"/>
    <n v="100430"/>
    <s v="AB100757"/>
    <x v="9"/>
    <n v="358901"/>
    <x v="1"/>
  </r>
  <r>
    <n v="10238"/>
    <n v="7"/>
    <d v="2013-03-16T00:00:00"/>
    <s v="BLU-RAY"/>
    <n v="100430"/>
    <s v="AB100758"/>
    <x v="0"/>
    <n v="358901"/>
    <x v="1"/>
  </r>
  <r>
    <n v="10090"/>
    <n v="1"/>
    <d v="2013-03-16T00:00:00"/>
    <s v="BLU-RAY"/>
    <n v="100430"/>
    <s v="AB100759"/>
    <x v="1"/>
    <n v="358901"/>
    <x v="1"/>
  </r>
  <r>
    <n v="10006"/>
    <n v="4"/>
    <d v="2013-03-15T00:00:00"/>
    <s v="BLU-RAY"/>
    <n v="100431"/>
    <s v="AB100760"/>
    <x v="1"/>
    <n v="427826"/>
    <x v="1"/>
  </r>
  <r>
    <n v="10145"/>
    <n v="2"/>
    <d v="2013-03-16T00:00:00"/>
    <s v="DVD"/>
    <n v="100432"/>
    <s v="AB100761"/>
    <x v="6"/>
    <n v="308662"/>
    <x v="1"/>
  </r>
  <r>
    <n v="10187"/>
    <n v="1"/>
    <d v="2013-03-15T00:00:00"/>
    <s v="DVD"/>
    <n v="100433"/>
    <s v="AB100762"/>
    <x v="1"/>
    <n v="840970"/>
    <x v="1"/>
  </r>
  <r>
    <n v="10243"/>
    <n v="5"/>
    <d v="2013-03-15T00:00:00"/>
    <s v="BLU-RAY"/>
    <n v="100434"/>
    <s v="AB100763"/>
    <x v="9"/>
    <n v="793987"/>
    <x v="1"/>
  </r>
  <r>
    <n v="10289"/>
    <n v="6"/>
    <d v="2013-03-15T00:00:00"/>
    <s v="DVD"/>
    <n v="100434"/>
    <s v="AB100764"/>
    <x v="11"/>
    <n v="793987"/>
    <x v="1"/>
  </r>
  <r>
    <n v="10005"/>
    <n v="6"/>
    <d v="2013-03-16T00:00:00"/>
    <s v="DVD"/>
    <n v="100434"/>
    <s v="AB100765"/>
    <x v="3"/>
    <n v="793987"/>
    <x v="1"/>
  </r>
  <r>
    <n v="10122"/>
    <n v="1"/>
    <d v="2013-03-16T00:00:00"/>
    <s v="BLU-RAY"/>
    <n v="100435"/>
    <s v="AB100766"/>
    <x v="12"/>
    <n v="840096"/>
    <x v="1"/>
  </r>
  <r>
    <n v="10238"/>
    <n v="4"/>
    <d v="2013-03-15T00:00:00"/>
    <s v="BLU-RAY"/>
    <n v="100435"/>
    <s v="AB100767"/>
    <x v="0"/>
    <n v="840096"/>
    <x v="1"/>
  </r>
  <r>
    <n v="10259"/>
    <n v="10"/>
    <d v="2013-03-15T00:00:00"/>
    <s v="BLU-RAY"/>
    <n v="100436"/>
    <s v="AB100768"/>
    <x v="0"/>
    <n v="880238"/>
    <x v="1"/>
  </r>
  <r>
    <n v="10210"/>
    <n v="2"/>
    <d v="2013-03-15T00:00:00"/>
    <s v="DVD"/>
    <n v="100436"/>
    <s v="AB100769"/>
    <x v="4"/>
    <n v="880238"/>
    <x v="1"/>
  </r>
  <r>
    <n v="10235"/>
    <n v="5"/>
    <d v="2013-03-15T00:00:00"/>
    <s v="BLU-RAY"/>
    <n v="100436"/>
    <s v="AB100770"/>
    <x v="10"/>
    <n v="880238"/>
    <x v="1"/>
  </r>
  <r>
    <n v="10198"/>
    <n v="6"/>
    <d v="2013-03-16T00:00:00"/>
    <s v="BLU-RAY"/>
    <n v="100437"/>
    <s v="AB100771"/>
    <x v="9"/>
    <n v="837763"/>
    <x v="1"/>
  </r>
  <r>
    <n v="10007"/>
    <n v="10"/>
    <d v="2013-03-16T00:00:00"/>
    <s v="BLU-RAY"/>
    <n v="100437"/>
    <s v="AB100772"/>
    <x v="4"/>
    <n v="837763"/>
    <x v="1"/>
  </r>
  <r>
    <n v="10000"/>
    <n v="2"/>
    <d v="2013-03-16T00:00:00"/>
    <s v="BLU-RAY"/>
    <n v="100437"/>
    <s v="AB100773"/>
    <x v="6"/>
    <n v="837763"/>
    <x v="1"/>
  </r>
  <r>
    <n v="10090"/>
    <n v="9"/>
    <d v="2013-03-16T00:00:00"/>
    <s v="DVD"/>
    <n v="100437"/>
    <s v="AB100774"/>
    <x v="1"/>
    <n v="837763"/>
    <x v="1"/>
  </r>
  <r>
    <n v="10046"/>
    <n v="10"/>
    <d v="2013-03-17T00:00:00"/>
    <s v="BLU-RAY"/>
    <n v="100438"/>
    <s v="AB100775"/>
    <x v="4"/>
    <n v="426984"/>
    <x v="1"/>
  </r>
  <r>
    <n v="10149"/>
    <n v="2"/>
    <d v="2013-03-16T00:00:00"/>
    <s v="BLU-RAY"/>
    <n v="100439"/>
    <s v="AB100776"/>
    <x v="12"/>
    <n v="724813"/>
    <x v="1"/>
  </r>
  <r>
    <n v="10031"/>
    <n v="2"/>
    <d v="2013-03-17T00:00:00"/>
    <s v="DVD"/>
    <n v="100440"/>
    <s v="AB100777"/>
    <x v="0"/>
    <n v="649551"/>
    <x v="1"/>
  </r>
  <r>
    <n v="10277"/>
    <n v="10"/>
    <d v="2013-03-18T00:00:00"/>
    <s v="BLU-RAY"/>
    <n v="100440"/>
    <s v="AB100778"/>
    <x v="7"/>
    <n v="649551"/>
    <x v="1"/>
  </r>
  <r>
    <n v="10029"/>
    <n v="8"/>
    <d v="2013-03-16T00:00:00"/>
    <s v="DVD"/>
    <n v="100441"/>
    <s v="AB100779"/>
    <x v="12"/>
    <n v="782947"/>
    <x v="1"/>
  </r>
  <r>
    <n v="10029"/>
    <n v="8"/>
    <d v="2013-03-16T00:00:00"/>
    <s v="DVD"/>
    <n v="100441"/>
    <s v="AB100780"/>
    <x v="12"/>
    <n v="782947"/>
    <x v="1"/>
  </r>
  <r>
    <n v="10232"/>
    <n v="8"/>
    <d v="2013-03-17T00:00:00"/>
    <s v="BLU-RAY"/>
    <n v="100442"/>
    <s v="AB100781"/>
    <x v="1"/>
    <n v="289693"/>
    <x v="1"/>
  </r>
  <r>
    <n v="10097"/>
    <n v="6"/>
    <d v="2013-03-17T00:00:00"/>
    <s v="DVD"/>
    <n v="100443"/>
    <s v="AB100782"/>
    <x v="8"/>
    <n v="800121"/>
    <x v="1"/>
  </r>
  <r>
    <n v="10182"/>
    <n v="9"/>
    <d v="2013-03-17T00:00:00"/>
    <s v="DVD"/>
    <n v="100444"/>
    <s v="AB100783"/>
    <x v="0"/>
    <n v="491380"/>
    <x v="1"/>
  </r>
  <r>
    <n v="10178"/>
    <n v="8"/>
    <d v="2013-03-18T00:00:00"/>
    <s v="BLU-RAY"/>
    <n v="100445"/>
    <s v="AB100784"/>
    <x v="0"/>
    <n v="454015"/>
    <x v="1"/>
  </r>
  <r>
    <n v="10252"/>
    <n v="7"/>
    <d v="2013-03-17T00:00:00"/>
    <s v="DVD"/>
    <n v="100445"/>
    <s v="AB100785"/>
    <x v="0"/>
    <n v="454015"/>
    <x v="1"/>
  </r>
  <r>
    <n v="10197"/>
    <n v="2"/>
    <d v="2013-03-17T00:00:00"/>
    <s v="BLU-RAY"/>
    <n v="100446"/>
    <s v="AB100786"/>
    <x v="0"/>
    <n v="491380"/>
    <x v="1"/>
  </r>
  <r>
    <n v="10063"/>
    <n v="5"/>
    <d v="2013-03-17T00:00:00"/>
    <s v="DVD"/>
    <n v="100447"/>
    <s v="AB100787"/>
    <x v="18"/>
    <n v="893039"/>
    <x v="1"/>
  </r>
  <r>
    <n v="10050"/>
    <n v="1"/>
    <d v="2013-03-19T00:00:00"/>
    <s v="DVD"/>
    <n v="100448"/>
    <s v="AB100788"/>
    <x v="1"/>
    <n v="220206"/>
    <x v="1"/>
  </r>
  <r>
    <n v="10152"/>
    <n v="7"/>
    <d v="2013-03-17T00:00:00"/>
    <s v="DVD"/>
    <n v="100448"/>
    <s v="AB100789"/>
    <x v="16"/>
    <n v="220206"/>
    <x v="1"/>
  </r>
  <r>
    <n v="10271"/>
    <n v="6"/>
    <d v="2013-03-17T00:00:00"/>
    <s v="DVD"/>
    <n v="100448"/>
    <s v="AB100790"/>
    <x v="7"/>
    <n v="220206"/>
    <x v="1"/>
  </r>
  <r>
    <n v="10148"/>
    <n v="9"/>
    <d v="2013-03-18T00:00:00"/>
    <s v="BLU-RAY"/>
    <n v="100449"/>
    <s v="AB100791"/>
    <x v="1"/>
    <n v="157695"/>
    <x v="1"/>
  </r>
  <r>
    <n v="10223"/>
    <n v="5"/>
    <d v="2013-03-18T00:00:00"/>
    <s v="DVD"/>
    <n v="100449"/>
    <s v="AB100792"/>
    <x v="7"/>
    <n v="157695"/>
    <x v="1"/>
  </r>
  <r>
    <n v="10106"/>
    <n v="10"/>
    <d v="2013-03-17T00:00:00"/>
    <s v="DVD"/>
    <n v="100449"/>
    <s v="AB100793"/>
    <x v="9"/>
    <n v="157695"/>
    <x v="1"/>
  </r>
  <r>
    <n v="10160"/>
    <n v="10"/>
    <d v="2013-03-17T00:00:00"/>
    <s v="DVD"/>
    <n v="100449"/>
    <s v="AB100794"/>
    <x v="10"/>
    <n v="157695"/>
    <x v="1"/>
  </r>
  <r>
    <n v="10157"/>
    <n v="1"/>
    <d v="2013-03-18T00:00:00"/>
    <s v="DVD"/>
    <n v="100450"/>
    <s v="AB100795"/>
    <x v="1"/>
    <n v="806545"/>
    <x v="1"/>
  </r>
  <r>
    <n v="10101"/>
    <n v="1"/>
    <d v="2013-03-18T00:00:00"/>
    <s v="DVD"/>
    <n v="100451"/>
    <s v="AB100796"/>
    <x v="4"/>
    <n v="785444"/>
    <x v="1"/>
  </r>
  <r>
    <n v="10195"/>
    <n v="10"/>
    <d v="2013-03-20T00:00:00"/>
    <s v="DVD"/>
    <n v="100452"/>
    <s v="AB100797"/>
    <x v="4"/>
    <n v="925565"/>
    <x v="1"/>
  </r>
  <r>
    <n v="10172"/>
    <n v="10"/>
    <d v="2013-03-19T00:00:00"/>
    <s v="DVD"/>
    <n v="100452"/>
    <s v="AB100798"/>
    <x v="10"/>
    <n v="925565"/>
    <x v="1"/>
  </r>
  <r>
    <n v="10047"/>
    <n v="4"/>
    <d v="2013-03-19T00:00:00"/>
    <s v="BLU-RAY"/>
    <n v="100453"/>
    <s v="AB100799"/>
    <x v="0"/>
    <n v="347189"/>
    <x v="1"/>
  </r>
  <r>
    <n v="10068"/>
    <n v="1"/>
    <d v="2013-03-21T00:00:00"/>
    <s v="BLU-RAY"/>
    <n v="100454"/>
    <s v="AB100800"/>
    <x v="0"/>
    <n v="224094"/>
    <x v="1"/>
  </r>
  <r>
    <n v="10289"/>
    <n v="8"/>
    <d v="2013-03-19T00:00:00"/>
    <s v="BLU-RAY"/>
    <n v="100455"/>
    <s v="AB100801"/>
    <x v="11"/>
    <n v="199895"/>
    <x v="1"/>
  </r>
  <r>
    <n v="10042"/>
    <n v="7"/>
    <d v="2013-03-19T00:00:00"/>
    <s v="BLU-RAY"/>
    <n v="100455"/>
    <s v="AB100802"/>
    <x v="1"/>
    <n v="199895"/>
    <x v="1"/>
  </r>
  <r>
    <n v="10260"/>
    <n v="2"/>
    <d v="2013-03-19T00:00:00"/>
    <s v="DVD"/>
    <n v="100456"/>
    <s v="AB100803"/>
    <x v="4"/>
    <n v="415869"/>
    <x v="1"/>
  </r>
  <r>
    <n v="10295"/>
    <n v="6"/>
    <d v="2013-03-19T00:00:00"/>
    <s v="DVD"/>
    <n v="100456"/>
    <s v="AB100804"/>
    <x v="21"/>
    <n v="415869"/>
    <x v="1"/>
  </r>
  <r>
    <n v="10152"/>
    <n v="10"/>
    <d v="2013-03-19T00:00:00"/>
    <s v="BLU-RAY"/>
    <n v="100457"/>
    <s v="AB100805"/>
    <x v="16"/>
    <n v="137696"/>
    <x v="1"/>
  </r>
  <r>
    <n v="10196"/>
    <n v="1"/>
    <d v="2013-03-20T00:00:00"/>
    <s v="DVD"/>
    <n v="100458"/>
    <s v="AB100806"/>
    <x v="9"/>
    <n v="961080"/>
    <x v="1"/>
  </r>
  <r>
    <n v="10289"/>
    <n v="1"/>
    <d v="2013-03-20T00:00:00"/>
    <s v="BLU-RAY"/>
    <n v="100458"/>
    <s v="AB100807"/>
    <x v="11"/>
    <n v="961080"/>
    <x v="1"/>
  </r>
  <r>
    <n v="10264"/>
    <n v="10"/>
    <d v="2013-03-20T00:00:00"/>
    <s v="BLU-RAY"/>
    <n v="100458"/>
    <s v="AB100808"/>
    <x v="2"/>
    <n v="961080"/>
    <x v="1"/>
  </r>
  <r>
    <n v="10244"/>
    <n v="8"/>
    <d v="2013-03-20T00:00:00"/>
    <s v="BLU-RAY"/>
    <n v="100459"/>
    <s v="AB100809"/>
    <x v="4"/>
    <n v="244282"/>
    <x v="1"/>
  </r>
  <r>
    <n v="10074"/>
    <n v="1"/>
    <d v="2013-03-22T00:00:00"/>
    <s v="BLU-RAY"/>
    <n v="100460"/>
    <s v="AB100810"/>
    <x v="11"/>
    <n v="147543"/>
    <x v="1"/>
  </r>
  <r>
    <n v="10024"/>
    <n v="5"/>
    <d v="2013-03-20T00:00:00"/>
    <s v="BLU-RAY"/>
    <n v="100461"/>
    <s v="AB100811"/>
    <x v="9"/>
    <n v="665282"/>
    <x v="1"/>
  </r>
  <r>
    <n v="10046"/>
    <n v="2"/>
    <d v="2013-03-20T00:00:00"/>
    <s v="BLU-RAY"/>
    <n v="100461"/>
    <s v="AB100812"/>
    <x v="4"/>
    <n v="665282"/>
    <x v="1"/>
  </r>
  <r>
    <n v="10015"/>
    <n v="1"/>
    <d v="2013-03-21T00:00:00"/>
    <s v="BLU-RAY"/>
    <n v="100462"/>
    <s v="AB100813"/>
    <x v="6"/>
    <n v="479497"/>
    <x v="1"/>
  </r>
  <r>
    <n v="10232"/>
    <n v="1"/>
    <d v="2013-03-22T00:00:00"/>
    <s v="BLU-RAY"/>
    <n v="100463"/>
    <s v="AB100814"/>
    <x v="1"/>
    <n v="166612"/>
    <x v="1"/>
  </r>
  <r>
    <n v="10093"/>
    <n v="3"/>
    <d v="2013-03-21T00:00:00"/>
    <s v="DVD"/>
    <n v="100463"/>
    <s v="AB100815"/>
    <x v="11"/>
    <n v="166612"/>
    <x v="1"/>
  </r>
  <r>
    <n v="10244"/>
    <n v="3"/>
    <d v="2013-03-21T00:00:00"/>
    <s v="DVD"/>
    <n v="100464"/>
    <s v="AB100816"/>
    <x v="4"/>
    <n v="227372"/>
    <x v="1"/>
  </r>
  <r>
    <n v="10027"/>
    <n v="8"/>
    <d v="2013-03-23T00:00:00"/>
    <s v="DVD"/>
    <n v="100465"/>
    <s v="AB100817"/>
    <x v="16"/>
    <n v="734624"/>
    <x v="1"/>
  </r>
  <r>
    <n v="10252"/>
    <n v="2"/>
    <d v="2013-03-21T00:00:00"/>
    <s v="BLU-RAY"/>
    <n v="100465"/>
    <s v="AB100818"/>
    <x v="0"/>
    <n v="734624"/>
    <x v="1"/>
  </r>
  <r>
    <n v="10031"/>
    <n v="10"/>
    <d v="2013-03-21T00:00:00"/>
    <s v="DVD"/>
    <n v="100465"/>
    <s v="AB100819"/>
    <x v="0"/>
    <n v="734624"/>
    <x v="1"/>
  </r>
  <r>
    <n v="10045"/>
    <n v="1"/>
    <d v="2013-03-21T00:00:00"/>
    <s v="DVD"/>
    <n v="100466"/>
    <s v="AB100820"/>
    <x v="0"/>
    <n v="689877"/>
    <x v="1"/>
  </r>
  <r>
    <n v="10185"/>
    <n v="9"/>
    <d v="2013-03-21T00:00:00"/>
    <s v="BLU-RAY"/>
    <n v="100467"/>
    <s v="AB100821"/>
    <x v="0"/>
    <n v="814512"/>
    <x v="1"/>
  </r>
  <r>
    <n v="10261"/>
    <n v="3"/>
    <d v="2013-03-21T00:00:00"/>
    <s v="DVD"/>
    <n v="100467"/>
    <s v="AB100822"/>
    <x v="9"/>
    <n v="814512"/>
    <x v="1"/>
  </r>
  <r>
    <n v="10272"/>
    <n v="2"/>
    <d v="2013-03-22T00:00:00"/>
    <s v="BLU-RAY"/>
    <n v="100468"/>
    <s v="AB100823"/>
    <x v="4"/>
    <n v="178806"/>
    <x v="1"/>
  </r>
  <r>
    <n v="10003"/>
    <n v="8"/>
    <d v="2013-03-22T00:00:00"/>
    <s v="DVD"/>
    <n v="100469"/>
    <s v="AB100824"/>
    <x v="1"/>
    <n v="166735"/>
    <x v="1"/>
  </r>
  <r>
    <n v="10154"/>
    <n v="1"/>
    <d v="2013-03-22T00:00:00"/>
    <s v="BLU-RAY"/>
    <n v="100469"/>
    <s v="AB100825"/>
    <x v="5"/>
    <n v="166735"/>
    <x v="1"/>
  </r>
  <r>
    <n v="10085"/>
    <n v="1"/>
    <d v="2013-03-22T00:00:00"/>
    <s v="DVD"/>
    <n v="100470"/>
    <s v="AB100826"/>
    <x v="3"/>
    <n v="429748"/>
    <x v="1"/>
  </r>
  <r>
    <n v="10153"/>
    <n v="1"/>
    <d v="2013-03-22T00:00:00"/>
    <s v="DVD"/>
    <n v="100470"/>
    <s v="AB100827"/>
    <x v="10"/>
    <n v="429748"/>
    <x v="1"/>
  </r>
  <r>
    <n v="10151"/>
    <n v="5"/>
    <d v="2013-03-22T00:00:00"/>
    <s v="BLU-RAY"/>
    <n v="100471"/>
    <s v="AB100828"/>
    <x v="8"/>
    <n v="415869"/>
    <x v="1"/>
  </r>
  <r>
    <n v="10273"/>
    <n v="2"/>
    <d v="2013-03-22T00:00:00"/>
    <s v="DVD"/>
    <n v="100472"/>
    <s v="AB100829"/>
    <x v="4"/>
    <n v="756928"/>
    <x v="1"/>
  </r>
  <r>
    <n v="10150"/>
    <n v="6"/>
    <d v="2013-03-22T00:00:00"/>
    <s v="DVD"/>
    <n v="100473"/>
    <s v="AB100830"/>
    <x v="14"/>
    <n v="926289"/>
    <x v="1"/>
  </r>
  <r>
    <n v="10248"/>
    <n v="7"/>
    <d v="2013-03-22T00:00:00"/>
    <s v="BLU-RAY"/>
    <n v="100474"/>
    <s v="AB100831"/>
    <x v="12"/>
    <n v="517477"/>
    <x v="1"/>
  </r>
  <r>
    <n v="10159"/>
    <n v="9"/>
    <d v="2013-03-23T00:00:00"/>
    <s v="DVD"/>
    <n v="100475"/>
    <s v="AB100832"/>
    <x v="10"/>
    <n v="724813"/>
    <x v="1"/>
  </r>
  <r>
    <n v="10091"/>
    <n v="4"/>
    <d v="2013-03-23T00:00:00"/>
    <s v="BLU-RAY"/>
    <n v="100475"/>
    <s v="AB100833"/>
    <x v="0"/>
    <n v="724813"/>
    <x v="1"/>
  </r>
  <r>
    <n v="10057"/>
    <n v="7"/>
    <d v="2013-03-22T00:00:00"/>
    <s v="BLU-RAY"/>
    <n v="100476"/>
    <s v="AB100834"/>
    <x v="0"/>
    <n v="784218"/>
    <x v="1"/>
  </r>
  <r>
    <n v="10076"/>
    <n v="4"/>
    <d v="2013-03-22T00:00:00"/>
    <s v="BLU-RAY"/>
    <n v="100477"/>
    <s v="AB100835"/>
    <x v="4"/>
    <n v="227372"/>
    <x v="1"/>
  </r>
  <r>
    <n v="10081"/>
    <n v="7"/>
    <d v="2013-03-22T00:00:00"/>
    <s v="BLU-RAY"/>
    <n v="100478"/>
    <s v="AB100836"/>
    <x v="2"/>
    <n v="220206"/>
    <x v="1"/>
  </r>
  <r>
    <n v="10210"/>
    <n v="7"/>
    <d v="2013-03-22T00:00:00"/>
    <s v="DVD"/>
    <n v="100479"/>
    <s v="AB100837"/>
    <x v="4"/>
    <n v="563500"/>
    <x v="1"/>
  </r>
  <r>
    <n v="10229"/>
    <n v="5"/>
    <d v="2013-03-25T00:00:00"/>
    <s v="DVD"/>
    <n v="100480"/>
    <s v="AB100838"/>
    <x v="6"/>
    <n v="808421"/>
    <x v="1"/>
  </r>
  <r>
    <n v="10139"/>
    <n v="3"/>
    <d v="2013-03-24T00:00:00"/>
    <s v="DVD"/>
    <n v="100481"/>
    <s v="AB100839"/>
    <x v="14"/>
    <n v="668931"/>
    <x v="1"/>
  </r>
  <r>
    <n v="10056"/>
    <n v="8"/>
    <d v="2013-03-23T00:00:00"/>
    <s v="DVD"/>
    <n v="100481"/>
    <s v="AB100840"/>
    <x v="8"/>
    <n v="668931"/>
    <x v="1"/>
  </r>
  <r>
    <n v="10087"/>
    <n v="2"/>
    <d v="2013-03-24T00:00:00"/>
    <s v="DVD"/>
    <n v="100481"/>
    <s v="AB100841"/>
    <x v="10"/>
    <n v="668931"/>
    <x v="1"/>
  </r>
  <r>
    <n v="10068"/>
    <n v="9"/>
    <d v="2013-03-23T00:00:00"/>
    <s v="BLU-RAY"/>
    <n v="100481"/>
    <s v="AB100842"/>
    <x v="0"/>
    <n v="668931"/>
    <x v="1"/>
  </r>
  <r>
    <n v="10068"/>
    <n v="2"/>
    <d v="2013-03-25T00:00:00"/>
    <s v="DVD"/>
    <n v="100482"/>
    <s v="AB100843"/>
    <x v="0"/>
    <n v="561305"/>
    <x v="1"/>
  </r>
  <r>
    <n v="10197"/>
    <n v="3"/>
    <d v="2013-03-23T00:00:00"/>
    <s v="DVD"/>
    <n v="100482"/>
    <s v="AB100844"/>
    <x v="0"/>
    <n v="561305"/>
    <x v="1"/>
  </r>
  <r>
    <n v="10050"/>
    <n v="10"/>
    <d v="2013-03-24T00:00:00"/>
    <s v="DVD"/>
    <n v="100483"/>
    <s v="AB100845"/>
    <x v="1"/>
    <n v="994199"/>
    <x v="1"/>
  </r>
  <r>
    <n v="10127"/>
    <n v="2"/>
    <d v="2013-03-24T00:00:00"/>
    <s v="DVD"/>
    <n v="100483"/>
    <s v="AB100846"/>
    <x v="6"/>
    <n v="994199"/>
    <x v="1"/>
  </r>
  <r>
    <n v="10130"/>
    <n v="8"/>
    <d v="2013-03-24T00:00:00"/>
    <s v="BLU-RAY"/>
    <n v="100484"/>
    <s v="AB100847"/>
    <x v="21"/>
    <n v="513968"/>
    <x v="1"/>
  </r>
  <r>
    <n v="10084"/>
    <n v="1"/>
    <d v="2013-03-24T00:00:00"/>
    <s v="BLU-RAY"/>
    <n v="100484"/>
    <s v="AB100848"/>
    <x v="18"/>
    <n v="513968"/>
    <x v="1"/>
  </r>
  <r>
    <n v="10064"/>
    <n v="9"/>
    <d v="2013-03-24T00:00:00"/>
    <s v="BLU-RAY"/>
    <n v="100485"/>
    <s v="AB100849"/>
    <x v="7"/>
    <n v="926144"/>
    <x v="1"/>
  </r>
  <r>
    <n v="10094"/>
    <n v="4"/>
    <d v="2013-03-25T00:00:00"/>
    <s v="DVD"/>
    <n v="100486"/>
    <s v="AB100850"/>
    <x v="12"/>
    <n v="317807"/>
    <x v="1"/>
  </r>
  <r>
    <n v="10074"/>
    <n v="9"/>
    <d v="2013-03-25T00:00:00"/>
    <s v="BLU-RAY"/>
    <n v="100486"/>
    <s v="AB100851"/>
    <x v="11"/>
    <n v="317807"/>
    <x v="1"/>
  </r>
  <r>
    <n v="10025"/>
    <n v="6"/>
    <d v="2013-03-26T00:00:00"/>
    <s v="BLU-RAY"/>
    <n v="100486"/>
    <s v="AB100852"/>
    <x v="4"/>
    <n v="317807"/>
    <x v="1"/>
  </r>
  <r>
    <n v="10030"/>
    <n v="7"/>
    <d v="2013-03-25T00:00:00"/>
    <s v="BLU-RAY"/>
    <n v="100487"/>
    <s v="AB100853"/>
    <x v="0"/>
    <n v="308505"/>
    <x v="1"/>
  </r>
  <r>
    <n v="10141"/>
    <n v="4"/>
    <d v="2013-03-26T00:00:00"/>
    <s v="DVD"/>
    <n v="100487"/>
    <s v="AB100854"/>
    <x v="0"/>
    <n v="308505"/>
    <x v="1"/>
  </r>
  <r>
    <n v="10060"/>
    <n v="4"/>
    <d v="2013-03-26T00:00:00"/>
    <s v="BLU-RAY"/>
    <n v="100488"/>
    <s v="AB100855"/>
    <x v="0"/>
    <n v="757525"/>
    <x v="1"/>
  </r>
  <r>
    <n v="10079"/>
    <n v="4"/>
    <d v="2013-03-25T00:00:00"/>
    <s v="DVD"/>
    <n v="100489"/>
    <s v="AB100856"/>
    <x v="0"/>
    <n v="994185"/>
    <x v="1"/>
  </r>
  <r>
    <n v="10175"/>
    <n v="5"/>
    <d v="2013-03-25T00:00:00"/>
    <s v="DVD"/>
    <n v="100489"/>
    <s v="AB100857"/>
    <x v="3"/>
    <n v="994185"/>
    <x v="1"/>
  </r>
  <r>
    <n v="10140"/>
    <n v="8"/>
    <d v="2013-03-26T00:00:00"/>
    <s v="DVD"/>
    <n v="100489"/>
    <s v="AB100858"/>
    <x v="2"/>
    <n v="994185"/>
    <x v="1"/>
  </r>
  <r>
    <n v="10266"/>
    <n v="5"/>
    <d v="2013-03-25T00:00:00"/>
    <s v="DVD"/>
    <n v="100490"/>
    <s v="AB100859"/>
    <x v="4"/>
    <n v="134457"/>
    <x v="1"/>
  </r>
  <r>
    <n v="10191"/>
    <n v="3"/>
    <d v="2013-03-25T00:00:00"/>
    <s v="BLU-RAY"/>
    <n v="100490"/>
    <s v="AB100860"/>
    <x v="7"/>
    <n v="134457"/>
    <x v="1"/>
  </r>
  <r>
    <n v="10179"/>
    <n v="7"/>
    <d v="2013-03-25T00:00:00"/>
    <s v="BLU-RAY"/>
    <n v="100490"/>
    <s v="AB100861"/>
    <x v="0"/>
    <n v="134457"/>
    <x v="1"/>
  </r>
  <r>
    <n v="10041"/>
    <n v="2"/>
    <d v="2013-03-25T00:00:00"/>
    <s v="DVD"/>
    <n v="100491"/>
    <s v="AB100862"/>
    <x v="10"/>
    <n v="256181"/>
    <x v="1"/>
  </r>
  <r>
    <n v="10044"/>
    <n v="10"/>
    <d v="2013-03-26T00:00:00"/>
    <s v="BLU-RAY"/>
    <n v="100492"/>
    <s v="AB100863"/>
    <x v="3"/>
    <n v="214537"/>
    <x v="1"/>
  </r>
  <r>
    <n v="10281"/>
    <n v="6"/>
    <d v="2013-03-25T00:00:00"/>
    <s v="DVD"/>
    <n v="100493"/>
    <s v="AB100864"/>
    <x v="10"/>
    <n v="448739"/>
    <x v="1"/>
  </r>
  <r>
    <n v="10270"/>
    <n v="8"/>
    <d v="2013-03-27T00:00:00"/>
    <s v="BLU-RAY"/>
    <n v="100494"/>
    <s v="AB100865"/>
    <x v="9"/>
    <n v="308505"/>
    <x v="1"/>
  </r>
  <r>
    <n v="10143"/>
    <n v="8"/>
    <d v="2013-03-26T00:00:00"/>
    <s v="BLU-RAY"/>
    <n v="100495"/>
    <s v="AB100866"/>
    <x v="3"/>
    <n v="405322"/>
    <x v="1"/>
  </r>
  <r>
    <n v="10103"/>
    <n v="9"/>
    <d v="2013-03-27T00:00:00"/>
    <s v="DVD"/>
    <n v="100495"/>
    <s v="AB100867"/>
    <x v="9"/>
    <n v="405322"/>
    <x v="1"/>
  </r>
  <r>
    <n v="10197"/>
    <n v="9"/>
    <d v="2013-03-26T00:00:00"/>
    <s v="DVD"/>
    <n v="100496"/>
    <s v="AB100868"/>
    <x v="0"/>
    <n v="240205"/>
    <x v="1"/>
  </r>
  <r>
    <n v="10208"/>
    <n v="2"/>
    <d v="2013-03-27T00:00:00"/>
    <s v="BLU-RAY"/>
    <n v="100497"/>
    <s v="AB100869"/>
    <x v="0"/>
    <n v="304344"/>
    <x v="1"/>
  </r>
  <r>
    <n v="10180"/>
    <n v="3"/>
    <d v="2013-03-27T00:00:00"/>
    <s v="BLU-RAY"/>
    <n v="100498"/>
    <s v="AB100870"/>
    <x v="12"/>
    <n v="206078"/>
    <x v="1"/>
  </r>
  <r>
    <n v="10195"/>
    <n v="3"/>
    <d v="2013-03-27T00:00:00"/>
    <s v="DVD"/>
    <n v="100499"/>
    <s v="AB100871"/>
    <x v="4"/>
    <n v="343021"/>
    <x v="1"/>
  </r>
  <r>
    <n v="10026"/>
    <n v="7"/>
    <d v="2013-03-26T00:00:00"/>
    <s v="DVD"/>
    <n v="100500"/>
    <s v="AB100872"/>
    <x v="9"/>
    <n v="847289"/>
    <x v="1"/>
  </r>
  <r>
    <n v="10215"/>
    <n v="4"/>
    <d v="2013-03-26T00:00:00"/>
    <s v="DVD"/>
    <n v="100500"/>
    <s v="AB100873"/>
    <x v="1"/>
    <n v="847289"/>
    <x v="1"/>
  </r>
  <r>
    <n v="10155"/>
    <n v="7"/>
    <d v="2013-03-27T00:00:00"/>
    <s v="BLU-RAY"/>
    <n v="100501"/>
    <s v="AB100874"/>
    <x v="9"/>
    <n v="274541"/>
    <x v="1"/>
  </r>
  <r>
    <n v="10197"/>
    <n v="3"/>
    <d v="2013-03-28T00:00:00"/>
    <s v="BLU-RAY"/>
    <n v="100501"/>
    <s v="AB100875"/>
    <x v="0"/>
    <n v="274541"/>
    <x v="1"/>
  </r>
  <r>
    <n v="10251"/>
    <n v="3"/>
    <d v="2013-03-27T00:00:00"/>
    <s v="DVD"/>
    <n v="100502"/>
    <s v="AB100876"/>
    <x v="7"/>
    <n v="745543"/>
    <x v="1"/>
  </r>
  <r>
    <n v="10227"/>
    <n v="1"/>
    <d v="2013-03-29T00:00:00"/>
    <s v="DVD"/>
    <n v="100503"/>
    <s v="AB100877"/>
    <x v="14"/>
    <n v="757780"/>
    <x v="1"/>
  </r>
  <r>
    <n v="10085"/>
    <n v="7"/>
    <d v="2013-03-28T00:00:00"/>
    <s v="DVD"/>
    <n v="100504"/>
    <s v="AB100878"/>
    <x v="3"/>
    <n v="973766"/>
    <x v="1"/>
  </r>
  <r>
    <n v="10002"/>
    <n v="5"/>
    <d v="2013-03-29T00:00:00"/>
    <s v="DVD"/>
    <n v="100504"/>
    <s v="AB100879"/>
    <x v="10"/>
    <n v="973766"/>
    <x v="1"/>
  </r>
  <r>
    <n v="10183"/>
    <n v="4"/>
    <d v="2013-03-28T00:00:00"/>
    <s v="BLU-RAY"/>
    <n v="100505"/>
    <s v="AB100880"/>
    <x v="4"/>
    <n v="791850"/>
    <x v="1"/>
  </r>
  <r>
    <n v="10191"/>
    <n v="7"/>
    <d v="2013-03-28T00:00:00"/>
    <s v="BLU-RAY"/>
    <n v="100505"/>
    <s v="AB100881"/>
    <x v="7"/>
    <n v="791850"/>
    <x v="1"/>
  </r>
  <r>
    <n v="10096"/>
    <n v="3"/>
    <d v="2013-03-28T00:00:00"/>
    <s v="DVD"/>
    <n v="100506"/>
    <s v="AB100882"/>
    <x v="7"/>
    <n v="456457"/>
    <x v="1"/>
  </r>
  <r>
    <n v="10025"/>
    <n v="9"/>
    <d v="2013-03-28T00:00:00"/>
    <s v="BLU-RAY"/>
    <n v="100506"/>
    <s v="AB100883"/>
    <x v="4"/>
    <n v="456457"/>
    <x v="1"/>
  </r>
  <r>
    <n v="10121"/>
    <n v="4"/>
    <d v="2013-03-29T00:00:00"/>
    <s v="DVD"/>
    <n v="100507"/>
    <s v="AB100884"/>
    <x v="2"/>
    <n v="386336"/>
    <x v="1"/>
  </r>
  <r>
    <n v="10048"/>
    <n v="10"/>
    <d v="2013-03-30T00:00:00"/>
    <s v="BLU-RAY"/>
    <n v="100507"/>
    <s v="AB100885"/>
    <x v="12"/>
    <n v="386336"/>
    <x v="1"/>
  </r>
  <r>
    <n v="10231"/>
    <n v="3"/>
    <d v="2013-03-29T00:00:00"/>
    <s v="DVD"/>
    <n v="100507"/>
    <s v="AB100886"/>
    <x v="7"/>
    <n v="386336"/>
    <x v="1"/>
  </r>
  <r>
    <n v="10210"/>
    <n v="3"/>
    <d v="2013-03-30T00:00:00"/>
    <s v="DVD"/>
    <n v="100507"/>
    <s v="AB100887"/>
    <x v="4"/>
    <n v="386336"/>
    <x v="1"/>
  </r>
  <r>
    <n v="10029"/>
    <n v="4"/>
    <d v="2013-03-29T00:00:00"/>
    <s v="DVD"/>
    <n v="100508"/>
    <s v="AB100888"/>
    <x v="12"/>
    <n v="932618"/>
    <x v="1"/>
  </r>
  <r>
    <n v="10181"/>
    <n v="3"/>
    <d v="2013-03-29T00:00:00"/>
    <s v="DVD"/>
    <n v="100508"/>
    <s v="AB100889"/>
    <x v="9"/>
    <n v="932618"/>
    <x v="1"/>
  </r>
  <r>
    <n v="10007"/>
    <n v="2"/>
    <d v="2013-03-29T00:00:00"/>
    <s v="DVD"/>
    <n v="100508"/>
    <s v="AB100890"/>
    <x v="4"/>
    <n v="932618"/>
    <x v="1"/>
  </r>
  <r>
    <n v="10089"/>
    <n v="3"/>
    <d v="2013-03-30T00:00:00"/>
    <s v="BLU-RAY"/>
    <n v="100508"/>
    <s v="AB100891"/>
    <x v="4"/>
    <n v="932618"/>
    <x v="1"/>
  </r>
  <r>
    <n v="10106"/>
    <n v="7"/>
    <d v="2013-03-30T00:00:00"/>
    <s v="BLU-RAY"/>
    <n v="100509"/>
    <s v="AB100892"/>
    <x v="9"/>
    <n v="734624"/>
    <x v="1"/>
  </r>
  <r>
    <n v="10153"/>
    <n v="8"/>
    <d v="2013-03-29T00:00:00"/>
    <s v="DVD"/>
    <n v="100510"/>
    <s v="AB100893"/>
    <x v="10"/>
    <n v="734514"/>
    <x v="1"/>
  </r>
  <r>
    <n v="10015"/>
    <n v="5"/>
    <d v="2013-03-30T00:00:00"/>
    <s v="BLU-RAY"/>
    <n v="100510"/>
    <s v="AB100894"/>
    <x v="6"/>
    <n v="734514"/>
    <x v="1"/>
  </r>
  <r>
    <n v="10026"/>
    <n v="1"/>
    <d v="2013-03-30T00:00:00"/>
    <s v="BLU-RAY"/>
    <n v="100511"/>
    <s v="AB100895"/>
    <x v="9"/>
    <n v="308505"/>
    <x v="1"/>
  </r>
  <r>
    <n v="10247"/>
    <n v="5"/>
    <d v="2013-03-30T00:00:00"/>
    <s v="BLU-RAY"/>
    <n v="100512"/>
    <s v="AB100896"/>
    <x v="9"/>
    <n v="791559"/>
    <x v="1"/>
  </r>
  <r>
    <n v="10114"/>
    <n v="1"/>
    <d v="2013-03-30T00:00:00"/>
    <s v="BLU-RAY"/>
    <n v="100513"/>
    <s v="AB100897"/>
    <x v="10"/>
    <n v="418506"/>
    <x v="1"/>
  </r>
  <r>
    <n v="10167"/>
    <n v="7"/>
    <d v="2013-03-30T00:00:00"/>
    <s v="DVD"/>
    <n v="100514"/>
    <s v="AB100898"/>
    <x v="7"/>
    <n v="227372"/>
    <x v="1"/>
  </r>
  <r>
    <n v="10256"/>
    <n v="8"/>
    <d v="2013-03-30T00:00:00"/>
    <s v="DVD"/>
    <n v="100514"/>
    <s v="AB100899"/>
    <x v="9"/>
    <n v="227372"/>
    <x v="1"/>
  </r>
  <r>
    <n v="10278"/>
    <n v="10"/>
    <d v="2013-03-30T00:00:00"/>
    <s v="BLU-RAY"/>
    <n v="100514"/>
    <s v="AB100900"/>
    <x v="7"/>
    <n v="227372"/>
    <x v="1"/>
  </r>
  <r>
    <n v="10245"/>
    <n v="9"/>
    <d v="2013-03-30T00:00:00"/>
    <s v="DVD"/>
    <n v="100515"/>
    <s v="AB100901"/>
    <x v="0"/>
    <n v="183797"/>
    <x v="1"/>
  </r>
  <r>
    <n v="10059"/>
    <n v="1"/>
    <d v="2013-04-01T00:00:00"/>
    <s v="DVD"/>
    <n v="100516"/>
    <s v="AB100902"/>
    <x v="7"/>
    <n v="103508"/>
    <x v="1"/>
  </r>
  <r>
    <n v="10208"/>
    <n v="3"/>
    <d v="2013-03-31T00:00:00"/>
    <s v="DVD"/>
    <n v="100517"/>
    <s v="AB100903"/>
    <x v="0"/>
    <n v="426984"/>
    <x v="1"/>
  </r>
  <r>
    <n v="10039"/>
    <n v="3"/>
    <d v="2013-04-01T00:00:00"/>
    <s v="BLU-RAY"/>
    <n v="100517"/>
    <s v="AB100904"/>
    <x v="11"/>
    <n v="426984"/>
    <x v="1"/>
  </r>
  <r>
    <n v="10041"/>
    <n v="10"/>
    <d v="2013-04-02T00:00:00"/>
    <s v="BLU-RAY"/>
    <n v="100517"/>
    <s v="AB100905"/>
    <x v="10"/>
    <n v="426984"/>
    <x v="1"/>
  </r>
  <r>
    <n v="10114"/>
    <n v="8"/>
    <d v="2013-03-31T00:00:00"/>
    <s v="DVD"/>
    <n v="100517"/>
    <s v="AB100906"/>
    <x v="10"/>
    <n v="426984"/>
    <x v="1"/>
  </r>
  <r>
    <n v="10031"/>
    <n v="7"/>
    <d v="2013-04-01T00:00:00"/>
    <s v="BLU-RAY"/>
    <n v="100518"/>
    <s v="AB100907"/>
    <x v="0"/>
    <n v="775449"/>
    <x v="1"/>
  </r>
  <r>
    <n v="10131"/>
    <n v="6"/>
    <d v="2013-03-31T00:00:00"/>
    <s v="BLU-RAY"/>
    <n v="100519"/>
    <s v="AB100908"/>
    <x v="0"/>
    <n v="676018"/>
    <x v="1"/>
  </r>
  <r>
    <n v="10179"/>
    <n v="6"/>
    <d v="2013-04-02T00:00:00"/>
    <s v="DVD"/>
    <n v="100519"/>
    <s v="AB100909"/>
    <x v="0"/>
    <n v="676018"/>
    <x v="1"/>
  </r>
  <r>
    <n v="10098"/>
    <n v="7"/>
    <d v="2013-03-31T00:00:00"/>
    <s v="DVD"/>
    <n v="100519"/>
    <s v="AB100910"/>
    <x v="0"/>
    <n v="676018"/>
    <x v="1"/>
  </r>
  <r>
    <n v="10184"/>
    <n v="10"/>
    <d v="2013-03-31T00:00:00"/>
    <s v="BLU-RAY"/>
    <n v="100520"/>
    <s v="AB100911"/>
    <x v="7"/>
    <n v="932618"/>
    <x v="1"/>
  </r>
  <r>
    <n v="10124"/>
    <n v="8"/>
    <d v="2013-03-31T00:00:00"/>
    <s v="DVD"/>
    <n v="100521"/>
    <s v="AB100912"/>
    <x v="1"/>
    <n v="776775"/>
    <x v="1"/>
  </r>
  <r>
    <n v="10196"/>
    <n v="8"/>
    <d v="2013-04-02T00:00:00"/>
    <s v="BLU-RAY"/>
    <n v="100522"/>
    <s v="AB100913"/>
    <x v="9"/>
    <n v="393120"/>
    <x v="1"/>
  </r>
  <r>
    <n v="10037"/>
    <n v="4"/>
    <d v="2013-04-01T00:00:00"/>
    <s v="BLU-RAY"/>
    <n v="100522"/>
    <s v="AB100914"/>
    <x v="3"/>
    <n v="393120"/>
    <x v="1"/>
  </r>
  <r>
    <n v="10215"/>
    <n v="3"/>
    <d v="2013-04-03T00:00:00"/>
    <s v="BLU-RAY"/>
    <n v="100523"/>
    <s v="AB100915"/>
    <x v="1"/>
    <n v="412876"/>
    <x v="1"/>
  </r>
  <r>
    <n v="10252"/>
    <n v="4"/>
    <d v="2013-04-01T00:00:00"/>
    <s v="BLU-RAY"/>
    <n v="100524"/>
    <s v="AB100916"/>
    <x v="0"/>
    <n v="412876"/>
    <x v="1"/>
  </r>
  <r>
    <n v="10001"/>
    <n v="2"/>
    <d v="2013-04-01T00:00:00"/>
    <s v="BLU-RAY"/>
    <n v="100524"/>
    <s v="AB100917"/>
    <x v="14"/>
    <n v="412876"/>
    <x v="1"/>
  </r>
  <r>
    <n v="10002"/>
    <n v="5"/>
    <d v="2013-04-02T00:00:00"/>
    <s v="DVD"/>
    <n v="100525"/>
    <s v="AB100918"/>
    <x v="10"/>
    <n v="346006"/>
    <x v="1"/>
  </r>
  <r>
    <n v="10248"/>
    <n v="5"/>
    <d v="2013-04-04T00:00:00"/>
    <s v="DVD"/>
    <n v="100525"/>
    <s v="AB100919"/>
    <x v="12"/>
    <n v="346006"/>
    <x v="1"/>
  </r>
  <r>
    <n v="10275"/>
    <n v="6"/>
    <d v="2013-04-03T00:00:00"/>
    <s v="DVD"/>
    <n v="100526"/>
    <s v="AB100920"/>
    <x v="10"/>
    <n v="386950"/>
    <x v="1"/>
  </r>
  <r>
    <n v="10277"/>
    <n v="7"/>
    <d v="2013-04-02T00:00:00"/>
    <s v="DVD"/>
    <n v="100527"/>
    <s v="AB100921"/>
    <x v="7"/>
    <n v="393120"/>
    <x v="1"/>
  </r>
  <r>
    <n v="10273"/>
    <n v="3"/>
    <d v="2013-04-02T00:00:00"/>
    <s v="DVD"/>
    <n v="100527"/>
    <s v="AB100922"/>
    <x v="4"/>
    <n v="393120"/>
    <x v="1"/>
  </r>
  <r>
    <n v="10277"/>
    <n v="10"/>
    <d v="2013-04-02T00:00:00"/>
    <s v="BLU-RAY"/>
    <n v="100527"/>
    <s v="AB100923"/>
    <x v="7"/>
    <n v="393120"/>
    <x v="1"/>
  </r>
  <r>
    <n v="10163"/>
    <n v="8"/>
    <d v="2013-04-04T00:00:00"/>
    <s v="BLU-RAY"/>
    <n v="100528"/>
    <s v="AB100924"/>
    <x v="0"/>
    <n v="305005"/>
    <x v="1"/>
  </r>
  <r>
    <n v="10199"/>
    <n v="6"/>
    <d v="2013-04-02T00:00:00"/>
    <s v="DVD"/>
    <n v="100528"/>
    <s v="AB100925"/>
    <x v="10"/>
    <n v="305005"/>
    <x v="1"/>
  </r>
  <r>
    <n v="10044"/>
    <n v="5"/>
    <d v="2013-04-04T00:00:00"/>
    <s v="DVD"/>
    <n v="100529"/>
    <s v="AB100926"/>
    <x v="3"/>
    <n v="278809"/>
    <x v="1"/>
  </r>
  <r>
    <n v="10244"/>
    <n v="9"/>
    <d v="2013-04-03T00:00:00"/>
    <s v="BLU-RAY"/>
    <n v="100530"/>
    <s v="AB100927"/>
    <x v="4"/>
    <n v="275152"/>
    <x v="1"/>
  </r>
  <r>
    <n v="10270"/>
    <n v="1"/>
    <d v="2013-04-03T00:00:00"/>
    <s v="BLU-RAY"/>
    <n v="100531"/>
    <s v="AB100928"/>
    <x v="9"/>
    <n v="233956"/>
    <x v="1"/>
  </r>
  <r>
    <n v="10114"/>
    <n v="10"/>
    <d v="2013-04-03T00:00:00"/>
    <s v="DVD"/>
    <n v="100532"/>
    <s v="AB100929"/>
    <x v="10"/>
    <n v="734624"/>
    <x v="1"/>
  </r>
  <r>
    <n v="10225"/>
    <n v="10"/>
    <d v="2013-04-03T00:00:00"/>
    <s v="DVD"/>
    <n v="100532"/>
    <s v="AB100930"/>
    <x v="0"/>
    <n v="734624"/>
    <x v="1"/>
  </r>
  <r>
    <n v="10062"/>
    <n v="8"/>
    <d v="2013-04-03T00:00:00"/>
    <s v="BLU-RAY"/>
    <n v="100533"/>
    <s v="AB100931"/>
    <x v="16"/>
    <n v="846558"/>
    <x v="1"/>
  </r>
  <r>
    <n v="10002"/>
    <n v="1"/>
    <d v="2013-04-03T00:00:00"/>
    <s v="BLU-RAY"/>
    <n v="100533"/>
    <s v="AB100932"/>
    <x v="10"/>
    <n v="846558"/>
    <x v="1"/>
  </r>
  <r>
    <n v="10206"/>
    <n v="4"/>
    <d v="2013-04-03T00:00:00"/>
    <s v="BLU-RAY"/>
    <n v="100533"/>
    <s v="AB100933"/>
    <x v="9"/>
    <n v="846558"/>
    <x v="1"/>
  </r>
  <r>
    <n v="10068"/>
    <n v="2"/>
    <d v="2013-04-03T00:00:00"/>
    <s v="BLU-RAY"/>
    <n v="100533"/>
    <s v="AB100934"/>
    <x v="0"/>
    <n v="846558"/>
    <x v="1"/>
  </r>
  <r>
    <n v="10065"/>
    <n v="9"/>
    <d v="2013-04-04T00:00:00"/>
    <s v="DVD"/>
    <n v="100534"/>
    <s v="AB100935"/>
    <x v="0"/>
    <n v="932618"/>
    <x v="1"/>
  </r>
  <r>
    <n v="10263"/>
    <n v="6"/>
    <d v="2013-04-03T00:00:00"/>
    <s v="BLU-RAY"/>
    <n v="100534"/>
    <s v="AB100936"/>
    <x v="9"/>
    <n v="932618"/>
    <x v="1"/>
  </r>
  <r>
    <n v="10237"/>
    <n v="7"/>
    <d v="2013-04-03T00:00:00"/>
    <s v="BLU-RAY"/>
    <n v="100534"/>
    <s v="AB100937"/>
    <x v="0"/>
    <n v="932618"/>
    <x v="1"/>
  </r>
  <r>
    <n v="10054"/>
    <n v="7"/>
    <d v="2013-04-04T00:00:00"/>
    <s v="DVD"/>
    <n v="100535"/>
    <s v="AB100938"/>
    <x v="1"/>
    <n v="378374"/>
    <x v="1"/>
  </r>
  <r>
    <n v="10275"/>
    <n v="6"/>
    <d v="2013-04-04T00:00:00"/>
    <s v="DVD"/>
    <n v="100536"/>
    <s v="AB100939"/>
    <x v="10"/>
    <n v="649551"/>
    <x v="1"/>
  </r>
  <r>
    <n v="10201"/>
    <n v="2"/>
    <d v="2013-04-03T00:00:00"/>
    <s v="BLU-RAY"/>
    <n v="100537"/>
    <s v="AB100940"/>
    <x v="8"/>
    <n v="994199"/>
    <x v="1"/>
  </r>
  <r>
    <n v="10273"/>
    <n v="10"/>
    <d v="2013-04-03T00:00:00"/>
    <s v="DVD"/>
    <n v="100537"/>
    <s v="AB100941"/>
    <x v="4"/>
    <n v="994199"/>
    <x v="1"/>
  </r>
  <r>
    <n v="10087"/>
    <n v="6"/>
    <d v="2013-04-04T00:00:00"/>
    <s v="DVD"/>
    <n v="100537"/>
    <s v="AB100942"/>
    <x v="10"/>
    <n v="994199"/>
    <x v="1"/>
  </r>
  <r>
    <n v="10279"/>
    <n v="9"/>
    <d v="2013-04-04T00:00:00"/>
    <s v="DVD"/>
    <n v="100538"/>
    <s v="AB100943"/>
    <x v="8"/>
    <n v="567388"/>
    <x v="1"/>
  </r>
  <r>
    <n v="10076"/>
    <n v="5"/>
    <d v="2013-04-03T00:00:00"/>
    <s v="DVD"/>
    <n v="100539"/>
    <s v="AB100944"/>
    <x v="4"/>
    <n v="892883"/>
    <x v="1"/>
  </r>
  <r>
    <n v="10240"/>
    <n v="10"/>
    <d v="2013-04-03T00:00:00"/>
    <s v="BLU-RAY"/>
    <n v="100540"/>
    <s v="AB100945"/>
    <x v="0"/>
    <n v="746134"/>
    <x v="1"/>
  </r>
  <r>
    <n v="10281"/>
    <n v="5"/>
    <d v="2013-04-03T00:00:00"/>
    <s v="DVD"/>
    <n v="100540"/>
    <s v="AB100946"/>
    <x v="10"/>
    <n v="746134"/>
    <x v="1"/>
  </r>
  <r>
    <n v="10214"/>
    <n v="3"/>
    <d v="2013-04-04T00:00:00"/>
    <s v="DVD"/>
    <n v="100540"/>
    <s v="AB100947"/>
    <x v="13"/>
    <n v="746134"/>
    <x v="1"/>
  </r>
  <r>
    <n v="10064"/>
    <n v="9"/>
    <d v="2013-04-04T00:00:00"/>
    <s v="DVD"/>
    <n v="100541"/>
    <s v="AB100948"/>
    <x v="7"/>
    <n v="739669"/>
    <x v="1"/>
  </r>
  <r>
    <n v="10038"/>
    <n v="2"/>
    <d v="2013-04-05T00:00:00"/>
    <s v="DVD"/>
    <n v="100541"/>
    <s v="AB100949"/>
    <x v="1"/>
    <n v="739669"/>
    <x v="1"/>
  </r>
  <r>
    <n v="10239"/>
    <n v="1"/>
    <d v="2013-04-05T00:00:00"/>
    <s v="DVD"/>
    <n v="100541"/>
    <s v="AB100950"/>
    <x v="2"/>
    <n v="739669"/>
    <x v="1"/>
  </r>
  <r>
    <n v="10145"/>
    <n v="9"/>
    <d v="2013-04-04T00:00:00"/>
    <s v="BLU-RAY"/>
    <n v="100542"/>
    <s v="AB100951"/>
    <x v="6"/>
    <n v="860057"/>
    <x v="1"/>
  </r>
  <r>
    <n v="10142"/>
    <n v="4"/>
    <d v="2013-04-04T00:00:00"/>
    <s v="BLU-RAY"/>
    <n v="100542"/>
    <s v="AB100952"/>
    <x v="0"/>
    <n v="860057"/>
    <x v="1"/>
  </r>
  <r>
    <n v="10057"/>
    <n v="9"/>
    <d v="2013-04-04T00:00:00"/>
    <s v="DVD"/>
    <n v="100542"/>
    <s v="AB100953"/>
    <x v="0"/>
    <n v="860057"/>
    <x v="1"/>
  </r>
  <r>
    <n v="10152"/>
    <n v="7"/>
    <d v="2013-04-04T00:00:00"/>
    <s v="DVD"/>
    <n v="100542"/>
    <s v="AB100954"/>
    <x v="16"/>
    <n v="860057"/>
    <x v="1"/>
  </r>
  <r>
    <n v="10154"/>
    <n v="1"/>
    <d v="2013-04-04T00:00:00"/>
    <s v="BLU-RAY"/>
    <n v="100542"/>
    <s v="AB100955"/>
    <x v="5"/>
    <n v="860057"/>
    <x v="1"/>
  </r>
  <r>
    <n v="10033"/>
    <n v="5"/>
    <d v="2013-04-04T00:00:00"/>
    <s v="DVD"/>
    <n v="100542"/>
    <s v="AB100956"/>
    <x v="10"/>
    <n v="860057"/>
    <x v="1"/>
  </r>
  <r>
    <n v="10248"/>
    <n v="2"/>
    <d v="2013-04-04T00:00:00"/>
    <s v="BLU-RAY"/>
    <n v="100542"/>
    <s v="AB100957"/>
    <x v="12"/>
    <n v="860057"/>
    <x v="1"/>
  </r>
  <r>
    <n v="10051"/>
    <n v="4"/>
    <d v="2013-04-04T00:00:00"/>
    <s v="BLU-RAY"/>
    <n v="100542"/>
    <s v="AB100958"/>
    <x v="1"/>
    <n v="860057"/>
    <x v="1"/>
  </r>
  <r>
    <n v="10225"/>
    <n v="1"/>
    <d v="2013-04-04T00:00:00"/>
    <s v="BLU-RAY"/>
    <n v="100543"/>
    <s v="AB100959"/>
    <x v="0"/>
    <n v="884729"/>
    <x v="1"/>
  </r>
  <r>
    <n v="10005"/>
    <n v="4"/>
    <d v="2013-04-04T00:00:00"/>
    <s v="BLU-RAY"/>
    <n v="100543"/>
    <s v="AB100960"/>
    <x v="3"/>
    <n v="884729"/>
    <x v="1"/>
  </r>
  <r>
    <n v="10078"/>
    <n v="6"/>
    <d v="2013-04-04T00:00:00"/>
    <s v="BLU-RAY"/>
    <n v="100543"/>
    <s v="AB100961"/>
    <x v="1"/>
    <n v="884729"/>
    <x v="1"/>
  </r>
  <r>
    <n v="10188"/>
    <n v="2"/>
    <d v="2013-04-04T00:00:00"/>
    <s v="DVD"/>
    <n v="100543"/>
    <s v="AB100962"/>
    <x v="1"/>
    <n v="884729"/>
    <x v="1"/>
  </r>
  <r>
    <n v="10222"/>
    <n v="10"/>
    <d v="2013-04-04T00:00:00"/>
    <s v="DVD"/>
    <n v="100544"/>
    <s v="AB100963"/>
    <x v="4"/>
    <n v="292402"/>
    <x v="1"/>
  </r>
  <r>
    <n v="10206"/>
    <n v="3"/>
    <d v="2013-04-05T00:00:00"/>
    <s v="DVD"/>
    <n v="100545"/>
    <s v="AB100964"/>
    <x v="9"/>
    <n v="771285"/>
    <x v="1"/>
  </r>
  <r>
    <n v="10130"/>
    <n v="4"/>
    <d v="2013-04-04T00:00:00"/>
    <s v="BLU-RAY"/>
    <n v="100545"/>
    <s v="AB100965"/>
    <x v="21"/>
    <n v="771285"/>
    <x v="1"/>
  </r>
  <r>
    <n v="10167"/>
    <n v="10"/>
    <d v="2013-04-04T00:00:00"/>
    <s v="BLU-RAY"/>
    <n v="100545"/>
    <s v="AB100966"/>
    <x v="7"/>
    <n v="771285"/>
    <x v="1"/>
  </r>
  <r>
    <n v="10159"/>
    <n v="2"/>
    <d v="2013-04-05T00:00:00"/>
    <s v="DVD"/>
    <n v="100546"/>
    <s v="AB100967"/>
    <x v="10"/>
    <n v="921792"/>
    <x v="1"/>
  </r>
  <r>
    <n v="10112"/>
    <n v="9"/>
    <d v="2013-04-04T00:00:00"/>
    <s v="DVD"/>
    <n v="100547"/>
    <s v="AB100968"/>
    <x v="12"/>
    <n v="737707"/>
    <x v="1"/>
  </r>
  <r>
    <n v="10201"/>
    <n v="1"/>
    <d v="2013-04-06T00:00:00"/>
    <s v="BLU-RAY"/>
    <n v="100548"/>
    <s v="AB100969"/>
    <x v="8"/>
    <n v="412929"/>
    <x v="1"/>
  </r>
  <r>
    <n v="10004"/>
    <n v="7"/>
    <d v="2013-04-05T00:00:00"/>
    <s v="DVD"/>
    <n v="100548"/>
    <s v="AB100970"/>
    <x v="1"/>
    <n v="412929"/>
    <x v="1"/>
  </r>
  <r>
    <n v="10098"/>
    <n v="4"/>
    <d v="2013-04-07T00:00:00"/>
    <s v="DVD"/>
    <n v="100548"/>
    <s v="AB100971"/>
    <x v="0"/>
    <n v="412929"/>
    <x v="1"/>
  </r>
  <r>
    <n v="10098"/>
    <n v="7"/>
    <d v="2013-04-05T00:00:00"/>
    <s v="BLU-RAY"/>
    <n v="100549"/>
    <s v="AB100972"/>
    <x v="0"/>
    <n v="756769"/>
    <x v="1"/>
  </r>
  <r>
    <n v="10221"/>
    <n v="3"/>
    <d v="2013-04-05T00:00:00"/>
    <s v="BLU-RAY"/>
    <n v="100550"/>
    <s v="AB100973"/>
    <x v="9"/>
    <n v="292402"/>
    <x v="1"/>
  </r>
  <r>
    <n v="10269"/>
    <n v="6"/>
    <d v="2013-04-05T00:00:00"/>
    <s v="DVD"/>
    <n v="100551"/>
    <s v="AB100974"/>
    <x v="3"/>
    <n v="276549"/>
    <x v="1"/>
  </r>
  <r>
    <n v="10260"/>
    <n v="4"/>
    <d v="2013-04-07T00:00:00"/>
    <s v="DVD"/>
    <n v="100551"/>
    <s v="AB100975"/>
    <x v="4"/>
    <n v="276549"/>
    <x v="1"/>
  </r>
  <r>
    <n v="10163"/>
    <n v="10"/>
    <d v="2013-04-06T00:00:00"/>
    <s v="DVD"/>
    <n v="100552"/>
    <s v="AB100976"/>
    <x v="0"/>
    <n v="665282"/>
    <x v="1"/>
  </r>
  <r>
    <n v="10258"/>
    <n v="9"/>
    <d v="2013-04-07T00:00:00"/>
    <s v="BLU-RAY"/>
    <n v="100553"/>
    <s v="AB100977"/>
    <x v="0"/>
    <n v="737707"/>
    <x v="1"/>
  </r>
  <r>
    <n v="10234"/>
    <n v="10"/>
    <d v="2013-04-06T00:00:00"/>
    <s v="DVD"/>
    <n v="100553"/>
    <s v="AB100978"/>
    <x v="0"/>
    <n v="737707"/>
    <x v="1"/>
  </r>
  <r>
    <n v="10261"/>
    <n v="9"/>
    <d v="2013-04-06T00:00:00"/>
    <s v="DVD"/>
    <n v="100554"/>
    <s v="AB100979"/>
    <x v="9"/>
    <n v="720602"/>
    <x v="1"/>
  </r>
  <r>
    <n v="10013"/>
    <n v="5"/>
    <d v="2013-04-07T00:00:00"/>
    <s v="BLU-RAY"/>
    <n v="100554"/>
    <s v="AB100980"/>
    <x v="11"/>
    <n v="720602"/>
    <x v="1"/>
  </r>
  <r>
    <n v="10069"/>
    <n v="1"/>
    <d v="2013-04-06T00:00:00"/>
    <s v="DVD"/>
    <n v="100555"/>
    <s v="AB100981"/>
    <x v="0"/>
    <n v="283158"/>
    <x v="1"/>
  </r>
  <r>
    <n v="10295"/>
    <n v="9"/>
    <d v="2013-04-06T00:00:00"/>
    <s v="BLU-RAY"/>
    <n v="100555"/>
    <s v="AB100982"/>
    <x v="21"/>
    <n v="283158"/>
    <x v="1"/>
  </r>
  <r>
    <n v="10221"/>
    <n v="10"/>
    <d v="2013-04-06T00:00:00"/>
    <s v="DVD"/>
    <n v="100555"/>
    <s v="AB100983"/>
    <x v="9"/>
    <n v="283158"/>
    <x v="1"/>
  </r>
  <r>
    <n v="10082"/>
    <n v="5"/>
    <d v="2013-04-07T00:00:00"/>
    <s v="BLU-RAY"/>
    <n v="100556"/>
    <s v="AB100984"/>
    <x v="3"/>
    <n v="776775"/>
    <x v="1"/>
  </r>
  <r>
    <n v="10214"/>
    <n v="2"/>
    <d v="2013-04-07T00:00:00"/>
    <s v="BLU-RAY"/>
    <n v="100557"/>
    <s v="AB100985"/>
    <x v="13"/>
    <n v="938417"/>
    <x v="1"/>
  </r>
  <r>
    <n v="10056"/>
    <n v="7"/>
    <d v="2013-04-08T00:00:00"/>
    <s v="BLU-RAY"/>
    <n v="100557"/>
    <s v="AB100986"/>
    <x v="8"/>
    <n v="938417"/>
    <x v="1"/>
  </r>
  <r>
    <n v="10136"/>
    <n v="2"/>
    <d v="2013-04-09T00:00:00"/>
    <s v="DVD"/>
    <n v="100558"/>
    <s v="AB100987"/>
    <x v="2"/>
    <n v="841831"/>
    <x v="1"/>
  </r>
  <r>
    <n v="10127"/>
    <n v="1"/>
    <d v="2013-04-07T00:00:00"/>
    <s v="BLU-RAY"/>
    <n v="100558"/>
    <s v="AB100988"/>
    <x v="6"/>
    <n v="841831"/>
    <x v="1"/>
  </r>
  <r>
    <n v="10077"/>
    <n v="4"/>
    <d v="2013-04-07T00:00:00"/>
    <s v="DVD"/>
    <n v="100559"/>
    <s v="AB100989"/>
    <x v="0"/>
    <n v="628132"/>
    <x v="1"/>
  </r>
  <r>
    <n v="10251"/>
    <n v="7"/>
    <d v="2013-04-08T00:00:00"/>
    <s v="BLU-RAY"/>
    <n v="100560"/>
    <s v="AB100990"/>
    <x v="7"/>
    <n v="608290"/>
    <x v="1"/>
  </r>
  <r>
    <n v="10240"/>
    <n v="8"/>
    <d v="2013-04-08T00:00:00"/>
    <s v="DVD"/>
    <n v="100560"/>
    <s v="AB100991"/>
    <x v="0"/>
    <n v="608290"/>
    <x v="1"/>
  </r>
  <r>
    <n v="10042"/>
    <n v="7"/>
    <d v="2013-04-07T00:00:00"/>
    <s v="DVD"/>
    <n v="100561"/>
    <s v="AB100992"/>
    <x v="1"/>
    <n v="491380"/>
    <x v="1"/>
  </r>
  <r>
    <n v="10217"/>
    <n v="4"/>
    <d v="2013-04-08T00:00:00"/>
    <s v="DVD"/>
    <n v="100561"/>
    <s v="AB100993"/>
    <x v="0"/>
    <n v="491380"/>
    <x v="1"/>
  </r>
  <r>
    <n v="10159"/>
    <n v="3"/>
    <d v="2013-04-07T00:00:00"/>
    <s v="DVD"/>
    <n v="100561"/>
    <s v="AB100994"/>
    <x v="10"/>
    <n v="491380"/>
    <x v="1"/>
  </r>
  <r>
    <n v="10144"/>
    <n v="9"/>
    <d v="2013-04-09T00:00:00"/>
    <s v="BLU-RAY"/>
    <n v="100562"/>
    <s v="AB100995"/>
    <x v="2"/>
    <n v="378374"/>
    <x v="1"/>
  </r>
  <r>
    <n v="10211"/>
    <n v="2"/>
    <d v="2013-04-08T00:00:00"/>
    <s v="DVD"/>
    <n v="100563"/>
    <s v="AB100996"/>
    <x v="3"/>
    <n v="585972"/>
    <x v="1"/>
  </r>
  <r>
    <n v="10237"/>
    <n v="10"/>
    <d v="2013-04-09T00:00:00"/>
    <s v="DVD"/>
    <n v="100564"/>
    <s v="AB100997"/>
    <x v="0"/>
    <n v="346006"/>
    <x v="1"/>
  </r>
  <r>
    <n v="10180"/>
    <n v="4"/>
    <d v="2013-04-09T00:00:00"/>
    <s v="DVD"/>
    <n v="100565"/>
    <s v="AB100998"/>
    <x v="12"/>
    <n v="995599"/>
    <x v="1"/>
  </r>
  <r>
    <n v="10096"/>
    <n v="1"/>
    <d v="2013-04-09T00:00:00"/>
    <s v="BLU-RAY"/>
    <n v="100566"/>
    <s v="AB100999"/>
    <x v="7"/>
    <n v="515753"/>
    <x v="1"/>
  </r>
  <r>
    <n v="10161"/>
    <n v="1"/>
    <d v="2013-04-09T00:00:00"/>
    <s v="BLU-RAY"/>
    <n v="100566"/>
    <s v="AB101000"/>
    <x v="6"/>
    <n v="515753"/>
    <x v="1"/>
  </r>
  <r>
    <n v="10048"/>
    <n v="1"/>
    <d v="2013-04-09T00:00:00"/>
    <s v="DVD"/>
    <n v="100567"/>
    <s v="AB101001"/>
    <x v="12"/>
    <n v="500828"/>
    <x v="1"/>
  </r>
  <r>
    <n v="10046"/>
    <n v="7"/>
    <d v="2013-04-11T00:00:00"/>
    <s v="DVD"/>
    <n v="100567"/>
    <s v="AB101002"/>
    <x v="4"/>
    <n v="500828"/>
    <x v="1"/>
  </r>
  <r>
    <n v="10235"/>
    <n v="10"/>
    <d v="2013-04-09T00:00:00"/>
    <s v="BLU-RAY"/>
    <n v="100567"/>
    <s v="AB101003"/>
    <x v="10"/>
    <n v="500828"/>
    <x v="1"/>
  </r>
  <r>
    <n v="10051"/>
    <n v="3"/>
    <d v="2013-04-09T00:00:00"/>
    <s v="BLU-RAY"/>
    <n v="100568"/>
    <s v="AB101004"/>
    <x v="1"/>
    <n v="926289"/>
    <x v="1"/>
  </r>
  <r>
    <n v="10111"/>
    <n v="1"/>
    <d v="2013-04-10T00:00:00"/>
    <s v="BLU-RAY"/>
    <n v="100569"/>
    <s v="AB101005"/>
    <x v="9"/>
    <n v="304344"/>
    <x v="1"/>
  </r>
  <r>
    <n v="10228"/>
    <n v="7"/>
    <d v="2013-04-10T00:00:00"/>
    <s v="BLU-RAY"/>
    <n v="100569"/>
    <s v="AB101006"/>
    <x v="7"/>
    <n v="304344"/>
    <x v="1"/>
  </r>
  <r>
    <n v="10292"/>
    <n v="8"/>
    <d v="2013-04-11T00:00:00"/>
    <s v="BLU-RAY"/>
    <n v="100569"/>
    <s v="AB101007"/>
    <x v="15"/>
    <n v="304344"/>
    <x v="1"/>
  </r>
  <r>
    <n v="10122"/>
    <n v="1"/>
    <d v="2013-04-10T00:00:00"/>
    <s v="DVD"/>
    <n v="100570"/>
    <s v="AB101008"/>
    <x v="12"/>
    <n v="741514"/>
    <x v="1"/>
  </r>
  <r>
    <n v="10226"/>
    <n v="8"/>
    <d v="2013-04-10T00:00:00"/>
    <s v="DVD"/>
    <n v="100570"/>
    <s v="AB101009"/>
    <x v="4"/>
    <n v="741514"/>
    <x v="1"/>
  </r>
  <r>
    <n v="10140"/>
    <n v="8"/>
    <d v="2013-04-10T00:00:00"/>
    <s v="DVD"/>
    <n v="100571"/>
    <s v="AB101010"/>
    <x v="2"/>
    <n v="454015"/>
    <x v="1"/>
  </r>
  <r>
    <n v="10122"/>
    <n v="2"/>
    <d v="2013-04-10T00:00:00"/>
    <s v="BLU-RAY"/>
    <n v="100572"/>
    <s v="AB101011"/>
    <x v="12"/>
    <n v="305005"/>
    <x v="1"/>
  </r>
  <r>
    <n v="10061"/>
    <n v="2"/>
    <d v="2013-04-10T00:00:00"/>
    <s v="BLU-RAY"/>
    <n v="100572"/>
    <s v="AB101012"/>
    <x v="9"/>
    <n v="305005"/>
    <x v="1"/>
  </r>
  <r>
    <n v="10010"/>
    <n v="5"/>
    <d v="2013-04-10T00:00:00"/>
    <s v="DVD"/>
    <n v="100572"/>
    <s v="AB101013"/>
    <x v="3"/>
    <n v="305005"/>
    <x v="1"/>
  </r>
  <r>
    <n v="10185"/>
    <n v="8"/>
    <d v="2013-04-11T00:00:00"/>
    <s v="DVD"/>
    <n v="100573"/>
    <s v="AB101014"/>
    <x v="0"/>
    <n v="336644"/>
    <x v="1"/>
  </r>
  <r>
    <n v="10021"/>
    <n v="8"/>
    <d v="2013-04-12T00:00:00"/>
    <s v="DVD"/>
    <n v="100573"/>
    <s v="AB101015"/>
    <x v="1"/>
    <n v="336644"/>
    <x v="1"/>
  </r>
  <r>
    <n v="10017"/>
    <n v="3"/>
    <d v="2013-04-12T00:00:00"/>
    <s v="DVD"/>
    <n v="100573"/>
    <s v="AB101016"/>
    <x v="4"/>
    <n v="336644"/>
    <x v="1"/>
  </r>
  <r>
    <n v="10127"/>
    <n v="6"/>
    <d v="2013-04-12T00:00:00"/>
    <s v="DVD"/>
    <n v="100573"/>
    <s v="AB101017"/>
    <x v="6"/>
    <n v="336644"/>
    <x v="1"/>
  </r>
  <r>
    <n v="10180"/>
    <n v="4"/>
    <d v="2013-04-11T00:00:00"/>
    <s v="BLU-RAY"/>
    <n v="100574"/>
    <s v="AB101018"/>
    <x v="12"/>
    <n v="305005"/>
    <x v="1"/>
  </r>
  <r>
    <n v="10061"/>
    <n v="9"/>
    <d v="2013-04-12T00:00:00"/>
    <s v="DVD"/>
    <n v="100574"/>
    <s v="AB101019"/>
    <x v="9"/>
    <n v="305005"/>
    <x v="1"/>
  </r>
  <r>
    <n v="10265"/>
    <n v="5"/>
    <d v="2013-04-11T00:00:00"/>
    <s v="BLU-RAY"/>
    <n v="100575"/>
    <s v="AB101020"/>
    <x v="0"/>
    <n v="921792"/>
    <x v="1"/>
  </r>
  <r>
    <n v="10263"/>
    <n v="4"/>
    <d v="2013-04-13T00:00:00"/>
    <s v="BLU-RAY"/>
    <n v="100575"/>
    <s v="AB101021"/>
    <x v="9"/>
    <n v="921792"/>
    <x v="1"/>
  </r>
  <r>
    <n v="10197"/>
    <n v="8"/>
    <d v="2013-04-11T00:00:00"/>
    <s v="DVD"/>
    <n v="100576"/>
    <s v="AB101022"/>
    <x v="0"/>
    <n v="739440"/>
    <x v="1"/>
  </r>
  <r>
    <n v="10139"/>
    <n v="8"/>
    <d v="2013-04-11T00:00:00"/>
    <s v="BLU-RAY"/>
    <n v="100576"/>
    <s v="AB101023"/>
    <x v="14"/>
    <n v="739440"/>
    <x v="1"/>
  </r>
  <r>
    <n v="10152"/>
    <n v="6"/>
    <d v="2013-04-11T00:00:00"/>
    <s v="BLU-RAY"/>
    <n v="100576"/>
    <s v="AB101024"/>
    <x v="16"/>
    <n v="739440"/>
    <x v="1"/>
  </r>
  <r>
    <n v="10186"/>
    <n v="7"/>
    <d v="2013-04-11T00:00:00"/>
    <s v="BLU-RAY"/>
    <n v="100577"/>
    <s v="AB101025"/>
    <x v="10"/>
    <n v="567388"/>
    <x v="1"/>
  </r>
  <r>
    <n v="10211"/>
    <n v="7"/>
    <d v="2013-04-12T00:00:00"/>
    <s v="DVD"/>
    <n v="100577"/>
    <s v="AB101026"/>
    <x v="3"/>
    <n v="567388"/>
    <x v="1"/>
  </r>
  <r>
    <n v="10249"/>
    <n v="1"/>
    <d v="2013-04-11T00:00:00"/>
    <s v="DVD"/>
    <n v="100577"/>
    <s v="AB101027"/>
    <x v="5"/>
    <n v="567388"/>
    <x v="1"/>
  </r>
  <r>
    <n v="10064"/>
    <n v="2"/>
    <d v="2013-04-11T00:00:00"/>
    <s v="DVD"/>
    <n v="100577"/>
    <s v="AB101028"/>
    <x v="7"/>
    <n v="567388"/>
    <x v="1"/>
  </r>
  <r>
    <n v="10024"/>
    <n v="4"/>
    <d v="2013-04-11T00:00:00"/>
    <s v="DVD"/>
    <n v="100578"/>
    <s v="AB101029"/>
    <x v="9"/>
    <n v="214537"/>
    <x v="1"/>
  </r>
  <r>
    <n v="10132"/>
    <n v="1"/>
    <d v="2013-04-11T00:00:00"/>
    <s v="BLU-RAY"/>
    <n v="100578"/>
    <s v="AB101030"/>
    <x v="10"/>
    <n v="214537"/>
    <x v="1"/>
  </r>
  <r>
    <n v="10205"/>
    <n v="2"/>
    <d v="2013-04-11T00:00:00"/>
    <s v="BLU-RAY"/>
    <n v="100578"/>
    <s v="AB101031"/>
    <x v="1"/>
    <n v="214537"/>
    <x v="1"/>
  </r>
  <r>
    <n v="10208"/>
    <n v="1"/>
    <d v="2013-04-12T00:00:00"/>
    <s v="DVD"/>
    <n v="100578"/>
    <s v="AB101032"/>
    <x v="0"/>
    <n v="214537"/>
    <x v="1"/>
  </r>
  <r>
    <n v="10281"/>
    <n v="7"/>
    <d v="2013-04-13T00:00:00"/>
    <s v="DVD"/>
    <n v="100579"/>
    <s v="AB101033"/>
    <x v="10"/>
    <n v="643305"/>
    <x v="1"/>
  </r>
  <r>
    <n v="10031"/>
    <n v="9"/>
    <d v="2013-04-13T00:00:00"/>
    <s v="DVD"/>
    <n v="100579"/>
    <s v="AB101034"/>
    <x v="0"/>
    <n v="643305"/>
    <x v="1"/>
  </r>
  <r>
    <n v="10220"/>
    <n v="3"/>
    <d v="2013-04-14T00:00:00"/>
    <s v="DVD"/>
    <n v="100579"/>
    <s v="AB101035"/>
    <x v="9"/>
    <n v="643305"/>
    <x v="1"/>
  </r>
  <r>
    <n v="10291"/>
    <n v="8"/>
    <d v="2013-04-13T00:00:00"/>
    <s v="BLU-RAY"/>
    <n v="100580"/>
    <s v="AB101036"/>
    <x v="0"/>
    <n v="884607"/>
    <x v="1"/>
  </r>
  <r>
    <n v="10271"/>
    <n v="5"/>
    <d v="2013-04-12T00:00:00"/>
    <s v="BLU-RAY"/>
    <n v="100581"/>
    <s v="AB101037"/>
    <x v="7"/>
    <n v="734624"/>
    <x v="1"/>
  </r>
  <r>
    <n v="10234"/>
    <n v="6"/>
    <d v="2013-04-12T00:00:00"/>
    <s v="DVD"/>
    <n v="100582"/>
    <s v="AB101038"/>
    <x v="0"/>
    <n v="885548"/>
    <x v="1"/>
  </r>
  <r>
    <n v="10133"/>
    <n v="2"/>
    <d v="2013-04-12T00:00:00"/>
    <s v="BLU-RAY"/>
    <n v="100583"/>
    <s v="AB101039"/>
    <x v="9"/>
    <n v="249188"/>
    <x v="1"/>
  </r>
  <r>
    <n v="10014"/>
    <n v="6"/>
    <d v="2013-04-12T00:00:00"/>
    <s v="BLU-RAY"/>
    <n v="100584"/>
    <s v="AB101040"/>
    <x v="0"/>
    <n v="464782"/>
    <x v="1"/>
  </r>
  <r>
    <n v="10110"/>
    <n v="5"/>
    <d v="2013-04-13T00:00:00"/>
    <s v="BLU-RAY"/>
    <n v="100584"/>
    <s v="AB101041"/>
    <x v="0"/>
    <n v="464782"/>
    <x v="1"/>
  </r>
  <r>
    <n v="10101"/>
    <n v="2"/>
    <d v="2013-04-13T00:00:00"/>
    <s v="BLU-RAY"/>
    <n v="100584"/>
    <s v="AB101042"/>
    <x v="4"/>
    <n v="464782"/>
    <x v="1"/>
  </r>
  <r>
    <n v="10260"/>
    <n v="8"/>
    <d v="2013-04-12T00:00:00"/>
    <s v="BLU-RAY"/>
    <n v="100585"/>
    <s v="AB101043"/>
    <x v="4"/>
    <n v="748326"/>
    <x v="1"/>
  </r>
  <r>
    <n v="10253"/>
    <n v="3"/>
    <d v="2013-04-13T00:00:00"/>
    <s v="DVD"/>
    <n v="100586"/>
    <s v="AB101044"/>
    <x v="3"/>
    <n v="415869"/>
    <x v="1"/>
  </r>
  <r>
    <n v="10162"/>
    <n v="4"/>
    <d v="2013-04-13T00:00:00"/>
    <s v="DVD"/>
    <n v="100587"/>
    <s v="AB101045"/>
    <x v="4"/>
    <n v="825249"/>
    <x v="1"/>
  </r>
  <r>
    <n v="10223"/>
    <n v="5"/>
    <d v="2013-04-13T00:00:00"/>
    <s v="BLU-RAY"/>
    <n v="100587"/>
    <s v="AB101046"/>
    <x v="7"/>
    <n v="825249"/>
    <x v="1"/>
  </r>
  <r>
    <n v="10029"/>
    <n v="5"/>
    <d v="2013-04-13T00:00:00"/>
    <s v="DVD"/>
    <n v="100588"/>
    <s v="AB101047"/>
    <x v="12"/>
    <n v="817159"/>
    <x v="1"/>
  </r>
  <r>
    <n v="10226"/>
    <n v="1"/>
    <d v="2013-04-14T00:00:00"/>
    <s v="DVD"/>
    <n v="100588"/>
    <s v="AB101048"/>
    <x v="4"/>
    <n v="817159"/>
    <x v="1"/>
  </r>
  <r>
    <n v="10263"/>
    <n v="5"/>
    <d v="2013-04-13T00:00:00"/>
    <s v="BLU-RAY"/>
    <n v="100589"/>
    <s v="AB101049"/>
    <x v="9"/>
    <n v="771285"/>
    <x v="1"/>
  </r>
  <r>
    <n v="10082"/>
    <n v="3"/>
    <d v="2013-04-13T00:00:00"/>
    <s v="DVD"/>
    <n v="100590"/>
    <s v="AB101050"/>
    <x v="3"/>
    <n v="227456"/>
    <x v="1"/>
  </r>
  <r>
    <n v="10249"/>
    <n v="5"/>
    <d v="2013-04-13T00:00:00"/>
    <s v="BLU-RAY"/>
    <n v="100591"/>
    <s v="AB101051"/>
    <x v="5"/>
    <n v="862302"/>
    <x v="1"/>
  </r>
  <r>
    <n v="10033"/>
    <n v="9"/>
    <d v="2013-04-14T00:00:00"/>
    <s v="DVD"/>
    <n v="100592"/>
    <s v="AB101052"/>
    <x v="10"/>
    <n v="879173"/>
    <x v="1"/>
  </r>
  <r>
    <n v="10274"/>
    <n v="8"/>
    <d v="2013-04-14T00:00:00"/>
    <s v="DVD"/>
    <n v="100592"/>
    <s v="AB101053"/>
    <x v="9"/>
    <n v="879173"/>
    <x v="1"/>
  </r>
  <r>
    <n v="10287"/>
    <n v="5"/>
    <d v="2013-04-15T00:00:00"/>
    <s v="BLU-RAY"/>
    <n v="100592"/>
    <s v="AB101054"/>
    <x v="10"/>
    <n v="879173"/>
    <x v="1"/>
  </r>
  <r>
    <n v="10098"/>
    <n v="8"/>
    <d v="2013-04-15T00:00:00"/>
    <s v="DVD"/>
    <n v="100593"/>
    <s v="AB101055"/>
    <x v="0"/>
    <n v="459243"/>
    <x v="1"/>
  </r>
  <r>
    <n v="10018"/>
    <n v="1"/>
    <d v="2013-04-14T00:00:00"/>
    <s v="BLU-RAY"/>
    <n v="100594"/>
    <s v="AB101056"/>
    <x v="9"/>
    <n v="418635"/>
    <x v="1"/>
  </r>
  <r>
    <n v="10192"/>
    <n v="9"/>
    <d v="2013-04-14T00:00:00"/>
    <s v="DVD"/>
    <n v="100595"/>
    <s v="AB101057"/>
    <x v="7"/>
    <n v="278204"/>
    <x v="1"/>
  </r>
  <r>
    <n v="10149"/>
    <n v="9"/>
    <d v="2013-04-17T00:00:00"/>
    <s v="DVD"/>
    <n v="100596"/>
    <s v="AB101058"/>
    <x v="12"/>
    <n v="643214"/>
    <x v="1"/>
  </r>
  <r>
    <n v="10120"/>
    <n v="6"/>
    <d v="2013-04-15T00:00:00"/>
    <s v="BLU-RAY"/>
    <n v="100597"/>
    <s v="AB101059"/>
    <x v="14"/>
    <n v="800121"/>
    <x v="1"/>
  </r>
  <r>
    <n v="10087"/>
    <n v="2"/>
    <d v="2013-04-15T00:00:00"/>
    <s v="DVD"/>
    <n v="100598"/>
    <s v="AB101060"/>
    <x v="10"/>
    <n v="981529"/>
    <x v="1"/>
  </r>
  <r>
    <n v="10291"/>
    <n v="4"/>
    <d v="2013-04-15T00:00:00"/>
    <s v="DVD"/>
    <n v="100599"/>
    <s v="AB101061"/>
    <x v="0"/>
    <n v="283158"/>
    <x v="1"/>
  </r>
  <r>
    <n v="10195"/>
    <n v="3"/>
    <d v="2013-04-15T00:00:00"/>
    <s v="DVD"/>
    <n v="100599"/>
    <s v="AB101062"/>
    <x v="4"/>
    <n v="283158"/>
    <x v="1"/>
  </r>
  <r>
    <n v="10226"/>
    <n v="8"/>
    <d v="2013-04-15T00:00:00"/>
    <s v="BLU-RAY"/>
    <n v="100600"/>
    <s v="AB101063"/>
    <x v="4"/>
    <n v="412929"/>
    <x v="1"/>
  </r>
  <r>
    <n v="10039"/>
    <n v="4"/>
    <d v="2013-04-16T00:00:00"/>
    <s v="DVD"/>
    <n v="100601"/>
    <s v="AB101064"/>
    <x v="11"/>
    <n v="756769"/>
    <x v="1"/>
  </r>
  <r>
    <n v="10259"/>
    <n v="3"/>
    <d v="2013-04-16T00:00:00"/>
    <s v="DVD"/>
    <n v="100601"/>
    <s v="AB101065"/>
    <x v="0"/>
    <n v="756769"/>
    <x v="1"/>
  </r>
  <r>
    <n v="10242"/>
    <n v="9"/>
    <d v="2013-04-18T00:00:00"/>
    <s v="BLU-RAY"/>
    <n v="100602"/>
    <s v="AB101066"/>
    <x v="3"/>
    <n v="782947"/>
    <x v="1"/>
  </r>
  <r>
    <n v="10052"/>
    <n v="3"/>
    <d v="2013-04-16T00:00:00"/>
    <s v="DVD"/>
    <n v="100603"/>
    <s v="AB101067"/>
    <x v="0"/>
    <n v="832914"/>
    <x v="1"/>
  </r>
  <r>
    <n v="10094"/>
    <n v="5"/>
    <d v="2013-04-17T00:00:00"/>
    <s v="DVD"/>
    <n v="100604"/>
    <s v="AB101068"/>
    <x v="12"/>
    <n v="199895"/>
    <x v="1"/>
  </r>
  <r>
    <n v="10207"/>
    <n v="3"/>
    <d v="2013-04-17T00:00:00"/>
    <s v="DVD"/>
    <n v="100604"/>
    <s v="AB101069"/>
    <x v="1"/>
    <n v="199895"/>
    <x v="1"/>
  </r>
  <r>
    <n v="10008"/>
    <n v="7"/>
    <d v="2013-04-16T00:00:00"/>
    <s v="BLU-RAY"/>
    <n v="100605"/>
    <s v="AB101070"/>
    <x v="4"/>
    <n v="566192"/>
    <x v="1"/>
  </r>
  <r>
    <n v="10042"/>
    <n v="8"/>
    <d v="2013-04-17T00:00:00"/>
    <s v="BLU-RAY"/>
    <n v="100606"/>
    <s v="AB101071"/>
    <x v="1"/>
    <n v="580783"/>
    <x v="1"/>
  </r>
  <r>
    <n v="10147"/>
    <n v="2"/>
    <d v="2013-04-18T00:00:00"/>
    <s v="BLU-RAY"/>
    <n v="100606"/>
    <s v="AB101072"/>
    <x v="10"/>
    <n v="580783"/>
    <x v="1"/>
  </r>
  <r>
    <n v="10232"/>
    <n v="9"/>
    <d v="2013-04-18T00:00:00"/>
    <s v="DVD"/>
    <n v="100607"/>
    <s v="AB101073"/>
    <x v="1"/>
    <n v="386950"/>
    <x v="1"/>
  </r>
  <r>
    <n v="10146"/>
    <n v="6"/>
    <d v="2013-04-18T00:00:00"/>
    <s v="DVD"/>
    <n v="100608"/>
    <s v="AB101074"/>
    <x v="4"/>
    <n v="992956"/>
    <x v="1"/>
  </r>
  <r>
    <n v="10222"/>
    <n v="10"/>
    <d v="2013-04-18T00:00:00"/>
    <s v="DVD"/>
    <n v="100609"/>
    <s v="AB101075"/>
    <x v="4"/>
    <n v="464782"/>
    <x v="1"/>
  </r>
  <r>
    <n v="10105"/>
    <n v="2"/>
    <d v="2013-04-19T00:00:00"/>
    <s v="DVD"/>
    <n v="100610"/>
    <s v="AB101076"/>
    <x v="2"/>
    <n v="408341"/>
    <x v="1"/>
  </r>
  <r>
    <n v="10208"/>
    <n v="4"/>
    <d v="2013-04-18T00:00:00"/>
    <s v="BLU-RAY"/>
    <n v="100610"/>
    <s v="AB101077"/>
    <x v="0"/>
    <n v="408341"/>
    <x v="1"/>
  </r>
  <r>
    <n v="10261"/>
    <n v="4"/>
    <d v="2013-04-19T00:00:00"/>
    <s v="BLU-RAY"/>
    <n v="100611"/>
    <s v="AB101078"/>
    <x v="9"/>
    <n v="464984"/>
    <x v="1"/>
  </r>
  <r>
    <n v="10202"/>
    <n v="1"/>
    <d v="2013-04-19T00:00:00"/>
    <s v="DVD"/>
    <n v="100612"/>
    <s v="AB101079"/>
    <x v="0"/>
    <n v="781523"/>
    <x v="1"/>
  </r>
  <r>
    <n v="10126"/>
    <n v="1"/>
    <d v="2013-04-20T00:00:00"/>
    <s v="DVD"/>
    <n v="100612"/>
    <s v="AB101080"/>
    <x v="9"/>
    <n v="781523"/>
    <x v="1"/>
  </r>
  <r>
    <n v="10008"/>
    <n v="8"/>
    <d v="2013-04-20T00:00:00"/>
    <s v="DVD"/>
    <n v="100612"/>
    <s v="AB101081"/>
    <x v="4"/>
    <n v="781523"/>
    <x v="1"/>
  </r>
  <r>
    <n v="10087"/>
    <n v="10"/>
    <d v="2013-04-19T00:00:00"/>
    <s v="BLU-RAY"/>
    <n v="100613"/>
    <s v="AB101082"/>
    <x v="10"/>
    <n v="917728"/>
    <x v="1"/>
  </r>
  <r>
    <n v="10050"/>
    <n v="2"/>
    <d v="2013-04-19T00:00:00"/>
    <s v="BLU-RAY"/>
    <n v="100613"/>
    <s v="AB101083"/>
    <x v="1"/>
    <n v="917728"/>
    <x v="1"/>
  </r>
  <r>
    <n v="10037"/>
    <n v="4"/>
    <d v="2013-04-21T00:00:00"/>
    <s v="BLU-RAY"/>
    <n v="100613"/>
    <s v="AB101084"/>
    <x v="3"/>
    <n v="917728"/>
    <x v="1"/>
  </r>
  <r>
    <n v="10227"/>
    <n v="7"/>
    <d v="2013-04-20T00:00:00"/>
    <s v="DVD"/>
    <n v="100614"/>
    <s v="AB101085"/>
    <x v="14"/>
    <n v="249188"/>
    <x v="1"/>
  </r>
  <r>
    <n v="10064"/>
    <n v="1"/>
    <d v="2013-04-22T00:00:00"/>
    <s v="BLU-RAY"/>
    <n v="100615"/>
    <s v="AB101086"/>
    <x v="7"/>
    <n v="127472"/>
    <x v="1"/>
  </r>
  <r>
    <n v="10192"/>
    <n v="9"/>
    <d v="2013-04-20T00:00:00"/>
    <s v="DVD"/>
    <n v="100616"/>
    <s v="AB101087"/>
    <x v="7"/>
    <n v="432268"/>
    <x v="1"/>
  </r>
  <r>
    <n v="10017"/>
    <n v="10"/>
    <d v="2013-04-20T00:00:00"/>
    <s v="DVD"/>
    <n v="100617"/>
    <s v="AB101088"/>
    <x v="4"/>
    <n v="628132"/>
    <x v="1"/>
  </r>
  <r>
    <n v="10206"/>
    <n v="2"/>
    <d v="2013-04-21T00:00:00"/>
    <s v="BLU-RAY"/>
    <n v="100617"/>
    <s v="AB101089"/>
    <x v="9"/>
    <n v="628132"/>
    <x v="1"/>
  </r>
  <r>
    <n v="10283"/>
    <n v="8"/>
    <d v="2013-04-20T00:00:00"/>
    <s v="DVD"/>
    <n v="100618"/>
    <s v="AB101090"/>
    <x v="6"/>
    <n v="520078"/>
    <x v="1"/>
  </r>
  <r>
    <n v="10203"/>
    <n v="7"/>
    <d v="2013-04-20T00:00:00"/>
    <s v="BLU-RAY"/>
    <n v="100618"/>
    <s v="AB101091"/>
    <x v="3"/>
    <n v="520078"/>
    <x v="1"/>
  </r>
  <r>
    <n v="10082"/>
    <n v="2"/>
    <d v="2013-04-20T00:00:00"/>
    <s v="BLU-RAY"/>
    <n v="100619"/>
    <s v="AB101092"/>
    <x v="3"/>
    <n v="676155"/>
    <x v="1"/>
  </r>
  <r>
    <n v="10059"/>
    <n v="5"/>
    <d v="2013-04-21T00:00:00"/>
    <s v="DVD"/>
    <n v="100620"/>
    <s v="AB101093"/>
    <x v="7"/>
    <n v="950299"/>
    <x v="1"/>
  </r>
  <r>
    <n v="10290"/>
    <n v="9"/>
    <d v="2013-04-22T00:00:00"/>
    <s v="DVD"/>
    <n v="100620"/>
    <s v="AB101094"/>
    <x v="2"/>
    <n v="950299"/>
    <x v="1"/>
  </r>
  <r>
    <n v="10221"/>
    <n v="6"/>
    <d v="2013-04-21T00:00:00"/>
    <s v="DVD"/>
    <n v="100621"/>
    <s v="AB101095"/>
    <x v="9"/>
    <n v="739669"/>
    <x v="1"/>
  </r>
  <r>
    <n v="10184"/>
    <n v="10"/>
    <d v="2013-04-21T00:00:00"/>
    <s v="DVD"/>
    <n v="100621"/>
    <s v="AB101096"/>
    <x v="7"/>
    <n v="739669"/>
    <x v="1"/>
  </r>
  <r>
    <n v="10285"/>
    <n v="7"/>
    <d v="2013-04-21T00:00:00"/>
    <s v="DVD"/>
    <n v="100622"/>
    <s v="AB101097"/>
    <x v="20"/>
    <n v="850952"/>
    <x v="1"/>
  </r>
  <r>
    <n v="10175"/>
    <n v="9"/>
    <d v="2013-04-21T00:00:00"/>
    <s v="DVD"/>
    <n v="100622"/>
    <s v="AB101098"/>
    <x v="3"/>
    <n v="850952"/>
    <x v="1"/>
  </r>
  <r>
    <n v="10026"/>
    <n v="3"/>
    <d v="2013-04-21T00:00:00"/>
    <s v="BLU-RAY"/>
    <n v="100623"/>
    <s v="AB101099"/>
    <x v="9"/>
    <n v="789308"/>
    <x v="1"/>
  </r>
  <r>
    <n v="10115"/>
    <n v="8"/>
    <d v="2013-04-21T00:00:00"/>
    <s v="DVD"/>
    <n v="100624"/>
    <s v="AB101100"/>
    <x v="11"/>
    <n v="578275"/>
    <x v="1"/>
  </r>
  <r>
    <n v="10112"/>
    <n v="2"/>
    <d v="2013-04-21T00:00:00"/>
    <s v="DVD"/>
    <n v="100624"/>
    <s v="AB101101"/>
    <x v="12"/>
    <n v="578275"/>
    <x v="1"/>
  </r>
  <r>
    <n v="10258"/>
    <n v="9"/>
    <d v="2013-04-22T00:00:00"/>
    <s v="DVD"/>
    <n v="100625"/>
    <s v="AB101102"/>
    <x v="0"/>
    <n v="994185"/>
    <x v="1"/>
  </r>
  <r>
    <n v="10183"/>
    <n v="3"/>
    <d v="2013-04-21T00:00:00"/>
    <s v="DVD"/>
    <n v="100625"/>
    <s v="AB101103"/>
    <x v="4"/>
    <n v="994185"/>
    <x v="1"/>
  </r>
  <r>
    <n v="10182"/>
    <n v="2"/>
    <d v="2013-04-22T00:00:00"/>
    <s v="BLU-RAY"/>
    <n v="100626"/>
    <s v="AB101104"/>
    <x v="0"/>
    <n v="885548"/>
    <x v="1"/>
  </r>
  <r>
    <n v="10147"/>
    <n v="2"/>
    <d v="2013-04-22T00:00:00"/>
    <s v="BLU-RAY"/>
    <n v="100627"/>
    <s v="AB101105"/>
    <x v="10"/>
    <n v="432268"/>
    <x v="1"/>
  </r>
  <r>
    <n v="10214"/>
    <n v="10"/>
    <d v="2013-04-22T00:00:00"/>
    <s v="DVD"/>
    <n v="100627"/>
    <s v="AB101106"/>
    <x v="13"/>
    <n v="432268"/>
    <x v="1"/>
  </r>
  <r>
    <n v="10238"/>
    <n v="9"/>
    <d v="2013-04-23T00:00:00"/>
    <s v="BLU-RAY"/>
    <n v="100628"/>
    <s v="AB101107"/>
    <x v="0"/>
    <n v="390130"/>
    <x v="1"/>
  </r>
  <r>
    <n v="10141"/>
    <n v="10"/>
    <d v="2013-04-21T00:00:00"/>
    <s v="DVD"/>
    <n v="100629"/>
    <s v="AB101108"/>
    <x v="0"/>
    <n v="757525"/>
    <x v="1"/>
  </r>
  <r>
    <n v="10024"/>
    <n v="3"/>
    <d v="2013-04-23T00:00:00"/>
    <s v="DVD"/>
    <n v="100630"/>
    <s v="AB101109"/>
    <x v="9"/>
    <n v="938393"/>
    <x v="1"/>
  </r>
  <r>
    <n v="10235"/>
    <n v="8"/>
    <d v="2013-04-22T00:00:00"/>
    <s v="BLU-RAY"/>
    <n v="100631"/>
    <s v="AB101110"/>
    <x v="10"/>
    <n v="422951"/>
    <x v="1"/>
  </r>
  <r>
    <n v="10290"/>
    <n v="8"/>
    <d v="2013-04-22T00:00:00"/>
    <s v="BLU-RAY"/>
    <n v="100631"/>
    <s v="AB101111"/>
    <x v="2"/>
    <n v="422951"/>
    <x v="1"/>
  </r>
  <r>
    <n v="10105"/>
    <n v="1"/>
    <d v="2013-04-22T00:00:00"/>
    <s v="BLU-RAY"/>
    <n v="100631"/>
    <s v="AB101112"/>
    <x v="2"/>
    <n v="422951"/>
    <x v="1"/>
  </r>
  <r>
    <n v="10260"/>
    <n v="9"/>
    <d v="2013-04-24T00:00:00"/>
    <s v="BLU-RAY"/>
    <n v="100632"/>
    <s v="AB101113"/>
    <x v="4"/>
    <n v="149240"/>
    <x v="1"/>
  </r>
  <r>
    <n v="10100"/>
    <n v="8"/>
    <d v="2013-04-22T00:00:00"/>
    <s v="DVD"/>
    <n v="100633"/>
    <s v="AB101114"/>
    <x v="9"/>
    <n v="464984"/>
    <x v="1"/>
  </r>
  <r>
    <n v="10078"/>
    <n v="4"/>
    <d v="2013-04-22T00:00:00"/>
    <s v="DVD"/>
    <n v="100634"/>
    <s v="AB101115"/>
    <x v="1"/>
    <n v="841831"/>
    <x v="1"/>
  </r>
  <r>
    <n v="10198"/>
    <n v="9"/>
    <d v="2013-04-22T00:00:00"/>
    <s v="DVD"/>
    <n v="100634"/>
    <s v="AB101116"/>
    <x v="9"/>
    <n v="841831"/>
    <x v="1"/>
  </r>
  <r>
    <n v="10119"/>
    <n v="7"/>
    <d v="2013-04-22T00:00:00"/>
    <s v="BLU-RAY"/>
    <n v="100634"/>
    <s v="AB101117"/>
    <x v="7"/>
    <n v="841831"/>
    <x v="1"/>
  </r>
  <r>
    <n v="10171"/>
    <n v="4"/>
    <d v="2013-04-22T00:00:00"/>
    <s v="BLU-RAY"/>
    <n v="100635"/>
    <s v="AB101118"/>
    <x v="7"/>
    <n v="981529"/>
    <x v="1"/>
  </r>
  <r>
    <n v="10199"/>
    <n v="5"/>
    <d v="2013-04-23T00:00:00"/>
    <s v="DVD"/>
    <n v="100635"/>
    <s v="AB101119"/>
    <x v="10"/>
    <n v="981529"/>
    <x v="1"/>
  </r>
  <r>
    <n v="10297"/>
    <n v="7"/>
    <d v="2013-04-24T00:00:00"/>
    <s v="BLU-RAY"/>
    <n v="100636"/>
    <s v="AB101120"/>
    <x v="14"/>
    <n v="513968"/>
    <x v="1"/>
  </r>
  <r>
    <n v="10263"/>
    <n v="7"/>
    <d v="2013-04-23T00:00:00"/>
    <s v="DVD"/>
    <n v="100637"/>
    <s v="AB101121"/>
    <x v="9"/>
    <n v="464984"/>
    <x v="1"/>
  </r>
  <r>
    <n v="10053"/>
    <n v="9"/>
    <d v="2013-04-24T00:00:00"/>
    <s v="DVD"/>
    <n v="100637"/>
    <s v="AB101122"/>
    <x v="4"/>
    <n v="464984"/>
    <x v="1"/>
  </r>
  <r>
    <n v="10186"/>
    <n v="1"/>
    <d v="2013-04-25T00:00:00"/>
    <s v="BLU-RAY"/>
    <n v="100638"/>
    <s v="AB101123"/>
    <x v="10"/>
    <n v="448739"/>
    <x v="1"/>
  </r>
  <r>
    <n v="10288"/>
    <n v="3"/>
    <d v="2013-04-24T00:00:00"/>
    <s v="BLU-RAY"/>
    <n v="100638"/>
    <s v="AB101124"/>
    <x v="12"/>
    <n v="448739"/>
    <x v="1"/>
  </r>
  <r>
    <n v="10078"/>
    <n v="7"/>
    <d v="2013-04-23T00:00:00"/>
    <s v="DVD"/>
    <n v="100638"/>
    <s v="AB101125"/>
    <x v="1"/>
    <n v="448739"/>
    <x v="1"/>
  </r>
  <r>
    <n v="10125"/>
    <n v="9"/>
    <d v="2013-04-23T00:00:00"/>
    <s v="BLU-RAY"/>
    <n v="100639"/>
    <s v="AB101126"/>
    <x v="9"/>
    <n v="563500"/>
    <x v="1"/>
  </r>
  <r>
    <n v="10090"/>
    <n v="1"/>
    <d v="2013-04-23T00:00:00"/>
    <s v="DVD"/>
    <n v="100640"/>
    <s v="AB101127"/>
    <x v="1"/>
    <n v="765237"/>
    <x v="1"/>
  </r>
  <r>
    <n v="10123"/>
    <n v="9"/>
    <d v="2013-04-24T00:00:00"/>
    <s v="BLU-RAY"/>
    <n v="100641"/>
    <s v="AB101128"/>
    <x v="9"/>
    <n v="563500"/>
    <x v="1"/>
  </r>
  <r>
    <n v="10237"/>
    <n v="4"/>
    <d v="2013-04-25T00:00:00"/>
    <s v="BLU-RAY"/>
    <n v="100641"/>
    <s v="AB101129"/>
    <x v="0"/>
    <n v="563500"/>
    <x v="1"/>
  </r>
  <r>
    <n v="10285"/>
    <n v="6"/>
    <d v="2013-04-25T00:00:00"/>
    <s v="DVD"/>
    <n v="100642"/>
    <s v="AB101130"/>
    <x v="20"/>
    <n v="289693"/>
    <x v="1"/>
  </r>
  <r>
    <n v="10191"/>
    <n v="5"/>
    <d v="2013-04-25T00:00:00"/>
    <s v="BLU-RAY"/>
    <n v="100643"/>
    <s v="AB101131"/>
    <x v="7"/>
    <n v="244282"/>
    <x v="1"/>
  </r>
  <r>
    <n v="10148"/>
    <n v="4"/>
    <d v="2013-04-25T00:00:00"/>
    <s v="BLU-RAY"/>
    <n v="100643"/>
    <s v="AB101132"/>
    <x v="1"/>
    <n v="244282"/>
    <x v="1"/>
  </r>
  <r>
    <n v="10006"/>
    <n v="6"/>
    <d v="2013-04-25T00:00:00"/>
    <s v="BLU-RAY"/>
    <n v="100644"/>
    <s v="AB101133"/>
    <x v="1"/>
    <n v="950299"/>
    <x v="1"/>
  </r>
  <r>
    <n v="10111"/>
    <n v="8"/>
    <d v="2013-04-25T00:00:00"/>
    <s v="DVD"/>
    <n v="100644"/>
    <s v="AB101134"/>
    <x v="9"/>
    <n v="950299"/>
    <x v="1"/>
  </r>
  <r>
    <n v="10061"/>
    <n v="8"/>
    <d v="2013-04-25T00:00:00"/>
    <s v="DVD"/>
    <n v="100644"/>
    <s v="AB101135"/>
    <x v="9"/>
    <n v="950299"/>
    <x v="1"/>
  </r>
  <r>
    <n v="10197"/>
    <n v="5"/>
    <d v="2013-04-26T00:00:00"/>
    <s v="BLU-RAY"/>
    <n v="100645"/>
    <s v="AB101136"/>
    <x v="0"/>
    <n v="748326"/>
    <x v="1"/>
  </r>
  <r>
    <n v="10121"/>
    <n v="7"/>
    <d v="2013-04-27T00:00:00"/>
    <s v="BLU-RAY"/>
    <n v="100646"/>
    <s v="AB101137"/>
    <x v="2"/>
    <n v="668931"/>
    <x v="1"/>
  </r>
  <r>
    <n v="10043"/>
    <n v="9"/>
    <d v="2013-04-26T00:00:00"/>
    <s v="DVD"/>
    <n v="100647"/>
    <s v="AB101138"/>
    <x v="8"/>
    <n v="994185"/>
    <x v="1"/>
  </r>
  <r>
    <n v="10025"/>
    <n v="4"/>
    <d v="2013-04-27T00:00:00"/>
    <s v="DVD"/>
    <n v="100648"/>
    <s v="AB101139"/>
    <x v="4"/>
    <n v="145929"/>
    <x v="1"/>
  </r>
  <r>
    <n v="10109"/>
    <n v="4"/>
    <d v="2013-04-26T00:00:00"/>
    <s v="DVD"/>
    <n v="100648"/>
    <s v="AB101140"/>
    <x v="0"/>
    <n v="145929"/>
    <x v="1"/>
  </r>
  <r>
    <n v="10137"/>
    <n v="7"/>
    <d v="2013-04-28T00:00:00"/>
    <s v="BLU-RAY"/>
    <n v="100649"/>
    <s v="AB101141"/>
    <x v="3"/>
    <n v="132454"/>
    <x v="1"/>
  </r>
  <r>
    <n v="10118"/>
    <n v="6"/>
    <d v="2013-04-28T00:00:00"/>
    <s v="DVD"/>
    <n v="100650"/>
    <s v="AB101142"/>
    <x v="3"/>
    <n v="427826"/>
    <x v="1"/>
  </r>
  <r>
    <n v="10166"/>
    <n v="3"/>
    <d v="2013-04-28T00:00:00"/>
    <s v="DVD"/>
    <n v="100650"/>
    <s v="AB101143"/>
    <x v="9"/>
    <n v="427826"/>
    <x v="1"/>
  </r>
  <r>
    <n v="10199"/>
    <n v="3"/>
    <d v="2013-04-28T00:00:00"/>
    <s v="BLU-RAY"/>
    <n v="100650"/>
    <s v="AB101144"/>
    <x v="10"/>
    <n v="427826"/>
    <x v="1"/>
  </r>
  <r>
    <n v="10260"/>
    <n v="8"/>
    <d v="2013-04-28T00:00:00"/>
    <s v="BLU-RAY"/>
    <n v="100651"/>
    <s v="AB101145"/>
    <x v="4"/>
    <n v="225489"/>
    <x v="1"/>
  </r>
  <r>
    <n v="10027"/>
    <n v="3"/>
    <d v="2013-04-27T00:00:00"/>
    <s v="DVD"/>
    <n v="100652"/>
    <s v="AB101146"/>
    <x v="16"/>
    <n v="940912"/>
    <x v="1"/>
  </r>
  <r>
    <n v="10088"/>
    <n v="7"/>
    <d v="2013-04-27T00:00:00"/>
    <s v="DVD"/>
    <n v="100652"/>
    <s v="AB101147"/>
    <x v="0"/>
    <n v="940912"/>
    <x v="1"/>
  </r>
  <r>
    <n v="10047"/>
    <n v="10"/>
    <d v="2013-04-27T00:00:00"/>
    <s v="BLU-RAY"/>
    <n v="100653"/>
    <s v="AB101148"/>
    <x v="0"/>
    <n v="121639"/>
    <x v="1"/>
  </r>
  <r>
    <n v="10077"/>
    <n v="7"/>
    <d v="2013-04-28T00:00:00"/>
    <s v="DVD"/>
    <n v="100654"/>
    <s v="AB101149"/>
    <x v="0"/>
    <n v="720602"/>
    <x v="1"/>
  </r>
  <r>
    <n v="10204"/>
    <n v="9"/>
    <d v="2013-04-29T00:00:00"/>
    <s v="BLU-RAY"/>
    <n v="100654"/>
    <s v="AB101150"/>
    <x v="7"/>
    <n v="720602"/>
    <x v="1"/>
  </r>
  <r>
    <n v="10082"/>
    <n v="6"/>
    <d v="2013-04-28T00:00:00"/>
    <s v="BLU-RAY"/>
    <n v="100655"/>
    <s v="AB101151"/>
    <x v="3"/>
    <n v="833180"/>
    <x v="1"/>
  </r>
  <r>
    <n v="10084"/>
    <n v="7"/>
    <d v="2013-04-28T00:00:00"/>
    <s v="BLU-RAY"/>
    <n v="100655"/>
    <s v="AB101152"/>
    <x v="18"/>
    <n v="833180"/>
    <x v="1"/>
  </r>
  <r>
    <n v="10144"/>
    <n v="4"/>
    <d v="2013-04-28T00:00:00"/>
    <s v="BLU-RAY"/>
    <n v="100656"/>
    <s v="AB101153"/>
    <x v="2"/>
    <n v="660634"/>
    <x v="1"/>
  </r>
  <r>
    <n v="10120"/>
    <n v="5"/>
    <d v="2013-04-28T00:00:00"/>
    <s v="BLU-RAY"/>
    <n v="100656"/>
    <s v="AB101154"/>
    <x v="14"/>
    <n v="660634"/>
    <x v="1"/>
  </r>
  <r>
    <n v="10227"/>
    <n v="5"/>
    <d v="2013-04-28T00:00:00"/>
    <s v="DVD"/>
    <n v="100657"/>
    <s v="AB101155"/>
    <x v="14"/>
    <n v="739440"/>
    <x v="1"/>
  </r>
  <r>
    <n v="10102"/>
    <n v="9"/>
    <d v="2013-04-28T00:00:00"/>
    <s v="DVD"/>
    <n v="100657"/>
    <s v="AB101156"/>
    <x v="7"/>
    <n v="739440"/>
    <x v="1"/>
  </r>
  <r>
    <n v="10125"/>
    <n v="1"/>
    <d v="2013-04-28T00:00:00"/>
    <s v="DVD"/>
    <n v="100657"/>
    <s v="AB101157"/>
    <x v="9"/>
    <n v="739440"/>
    <x v="1"/>
  </r>
  <r>
    <n v="10171"/>
    <n v="9"/>
    <d v="2013-04-29T00:00:00"/>
    <s v="DVD"/>
    <n v="100658"/>
    <s v="AB101158"/>
    <x v="7"/>
    <n v="488295"/>
    <x v="1"/>
  </r>
  <r>
    <n v="10276"/>
    <n v="3"/>
    <d v="2013-04-30T00:00:00"/>
    <s v="BLU-RAY"/>
    <n v="100659"/>
    <s v="AB101159"/>
    <x v="16"/>
    <n v="585972"/>
    <x v="1"/>
  </r>
  <r>
    <n v="10086"/>
    <n v="7"/>
    <d v="2013-04-30T00:00:00"/>
    <s v="BLU-RAY"/>
    <n v="100659"/>
    <s v="AB101160"/>
    <x v="3"/>
    <n v="585972"/>
    <x v="1"/>
  </r>
  <r>
    <n v="10123"/>
    <n v="9"/>
    <d v="2013-04-29T00:00:00"/>
    <s v="DVD"/>
    <n v="100660"/>
    <s v="AB101161"/>
    <x v="9"/>
    <n v="723057"/>
    <x v="1"/>
  </r>
  <r>
    <n v="10183"/>
    <n v="8"/>
    <d v="2013-04-29T00:00:00"/>
    <s v="BLU-RAY"/>
    <n v="100660"/>
    <s v="AB101162"/>
    <x v="4"/>
    <n v="723057"/>
    <x v="1"/>
  </r>
  <r>
    <n v="10104"/>
    <n v="4"/>
    <d v="2013-04-29T00:00:00"/>
    <s v="DVD"/>
    <n v="100661"/>
    <s v="AB101163"/>
    <x v="7"/>
    <n v="566192"/>
    <x v="1"/>
  </r>
  <r>
    <n v="10065"/>
    <n v="7"/>
    <d v="2013-04-29T00:00:00"/>
    <s v="DVD"/>
    <n v="100662"/>
    <s v="AB101164"/>
    <x v="0"/>
    <n v="561305"/>
    <x v="1"/>
  </r>
  <r>
    <n v="10154"/>
    <n v="7"/>
    <d v="2013-04-29T00:00:00"/>
    <s v="DVD"/>
    <n v="100663"/>
    <s v="AB101165"/>
    <x v="5"/>
    <n v="548800"/>
    <x v="1"/>
  </r>
  <r>
    <n v="10273"/>
    <n v="10"/>
    <d v="2013-04-29T00:00:00"/>
    <s v="DVD"/>
    <n v="100664"/>
    <s v="AB101166"/>
    <x v="4"/>
    <n v="275152"/>
    <x v="1"/>
  </r>
  <r>
    <n v="10118"/>
    <n v="6"/>
    <d v="2013-04-29T00:00:00"/>
    <s v="BLU-RAY"/>
    <n v="100664"/>
    <s v="AB101167"/>
    <x v="3"/>
    <n v="275152"/>
    <x v="1"/>
  </r>
  <r>
    <n v="10174"/>
    <n v="8"/>
    <d v="2013-04-29T00:00:00"/>
    <s v="DVD"/>
    <n v="100664"/>
    <s v="AB101168"/>
    <x v="7"/>
    <n v="275152"/>
    <x v="1"/>
  </r>
  <r>
    <n v="10270"/>
    <n v="1"/>
    <d v="2013-04-30T00:00:00"/>
    <s v="DVD"/>
    <n v="100665"/>
    <s v="AB101169"/>
    <x v="9"/>
    <n v="249188"/>
    <x v="1"/>
  </r>
  <r>
    <n v="10282"/>
    <n v="3"/>
    <d v="2013-04-30T00:00:00"/>
    <s v="BLU-RAY"/>
    <n v="100666"/>
    <s v="AB101170"/>
    <x v="15"/>
    <n v="938006"/>
    <x v="1"/>
  </r>
  <r>
    <n v="10007"/>
    <n v="6"/>
    <d v="2013-04-30T00:00:00"/>
    <s v="DVD"/>
    <n v="100666"/>
    <s v="AB101171"/>
    <x v="4"/>
    <n v="938006"/>
    <x v="1"/>
  </r>
  <r>
    <n v="10250"/>
    <n v="10"/>
    <d v="2013-04-30T00:00:00"/>
    <s v="DVD"/>
    <n v="100667"/>
    <s v="AB101172"/>
    <x v="3"/>
    <n v="771285"/>
    <x v="1"/>
  </r>
  <r>
    <n v="10282"/>
    <n v="8"/>
    <d v="2013-05-02T00:00:00"/>
    <s v="BLU-RAY"/>
    <n v="100668"/>
    <s v="AB101173"/>
    <x v="15"/>
    <n v="236554"/>
    <x v="1"/>
  </r>
  <r>
    <n v="10049"/>
    <n v="6"/>
    <d v="2013-05-02T00:00:00"/>
    <s v="DVD"/>
    <n v="100669"/>
    <s v="AB101174"/>
    <x v="7"/>
    <n v="884368"/>
    <x v="1"/>
  </r>
  <r>
    <n v="10239"/>
    <n v="9"/>
    <d v="2013-05-01T00:00:00"/>
    <s v="DVD"/>
    <n v="100669"/>
    <s v="AB101175"/>
    <x v="2"/>
    <n v="884368"/>
    <x v="1"/>
  </r>
  <r>
    <n v="10257"/>
    <n v="2"/>
    <d v="2013-05-02T00:00:00"/>
    <s v="DVD"/>
    <n v="100669"/>
    <s v="AB101176"/>
    <x v="9"/>
    <n v="884368"/>
    <x v="1"/>
  </r>
  <r>
    <n v="10270"/>
    <n v="1"/>
    <d v="2013-05-03T00:00:00"/>
    <s v="BLU-RAY"/>
    <n v="100670"/>
    <s v="AB101177"/>
    <x v="9"/>
    <n v="852319"/>
    <x v="1"/>
  </r>
  <r>
    <n v="10197"/>
    <n v="1"/>
    <d v="2013-05-02T00:00:00"/>
    <s v="DVD"/>
    <n v="100671"/>
    <s v="AB101178"/>
    <x v="0"/>
    <n v="974503"/>
    <x v="1"/>
  </r>
  <r>
    <n v="10239"/>
    <n v="6"/>
    <d v="2013-05-01T00:00:00"/>
    <s v="BLU-RAY"/>
    <n v="100671"/>
    <s v="AB101179"/>
    <x v="2"/>
    <n v="974503"/>
    <x v="1"/>
  </r>
  <r>
    <n v="10116"/>
    <n v="5"/>
    <d v="2013-05-02T00:00:00"/>
    <s v="BLU-RAY"/>
    <n v="100672"/>
    <s v="AB101180"/>
    <x v="7"/>
    <n v="216081"/>
    <x v="1"/>
  </r>
  <r>
    <n v="10152"/>
    <n v="7"/>
    <d v="2013-05-02T00:00:00"/>
    <s v="DVD"/>
    <n v="100673"/>
    <s v="AB101181"/>
    <x v="16"/>
    <n v="605188"/>
    <x v="1"/>
  </r>
  <r>
    <n v="10139"/>
    <n v="5"/>
    <d v="2013-05-01T00:00:00"/>
    <s v="BLU-RAY"/>
    <n v="100673"/>
    <s v="AB101182"/>
    <x v="14"/>
    <n v="605188"/>
    <x v="1"/>
  </r>
  <r>
    <n v="10216"/>
    <n v="7"/>
    <d v="2013-05-01T00:00:00"/>
    <s v="DVD"/>
    <n v="100674"/>
    <s v="AB101183"/>
    <x v="4"/>
    <n v="193968"/>
    <x v="1"/>
  </r>
  <r>
    <n v="10045"/>
    <n v="2"/>
    <d v="2013-05-01T00:00:00"/>
    <s v="BLU-RAY"/>
    <n v="100674"/>
    <s v="AB101184"/>
    <x v="0"/>
    <n v="193968"/>
    <x v="1"/>
  </r>
  <r>
    <n v="10027"/>
    <n v="2"/>
    <d v="2013-05-01T00:00:00"/>
    <s v="BLU-RAY"/>
    <n v="100675"/>
    <s v="AB101185"/>
    <x v="16"/>
    <n v="203787"/>
    <x v="1"/>
  </r>
  <r>
    <n v="10186"/>
    <n v="4"/>
    <d v="2013-05-02T00:00:00"/>
    <s v="DVD"/>
    <n v="100676"/>
    <s v="AB101186"/>
    <x v="10"/>
    <n v="189953"/>
    <x v="1"/>
  </r>
  <r>
    <n v="10197"/>
    <n v="6"/>
    <d v="2013-05-02T00:00:00"/>
    <s v="DVD"/>
    <n v="100676"/>
    <s v="AB101187"/>
    <x v="0"/>
    <n v="189953"/>
    <x v="1"/>
  </r>
  <r>
    <n v="10180"/>
    <n v="3"/>
    <d v="2013-05-03T00:00:00"/>
    <s v="DVD"/>
    <n v="100677"/>
    <s v="AB101188"/>
    <x v="12"/>
    <n v="775449"/>
    <x v="1"/>
  </r>
  <r>
    <n v="10271"/>
    <n v="3"/>
    <d v="2013-05-02T00:00:00"/>
    <s v="BLU-RAY"/>
    <n v="100678"/>
    <s v="AB101189"/>
    <x v="7"/>
    <n v="850952"/>
    <x v="1"/>
  </r>
  <r>
    <n v="10094"/>
    <n v="9"/>
    <d v="2013-05-03T00:00:00"/>
    <s v="DVD"/>
    <n v="100679"/>
    <s v="AB101190"/>
    <x v="12"/>
    <n v="784218"/>
    <x v="1"/>
  </r>
  <r>
    <n v="10028"/>
    <n v="7"/>
    <d v="2013-05-03T00:00:00"/>
    <s v="DVD"/>
    <n v="100679"/>
    <s v="AB101191"/>
    <x v="5"/>
    <n v="784218"/>
    <x v="1"/>
  </r>
  <r>
    <n v="10078"/>
    <n v="3"/>
    <d v="2013-05-02T00:00:00"/>
    <s v="BLU-RAY"/>
    <n v="100680"/>
    <s v="AB101192"/>
    <x v="1"/>
    <n v="561305"/>
    <x v="1"/>
  </r>
  <r>
    <n v="10051"/>
    <n v="3"/>
    <d v="2013-05-02T00:00:00"/>
    <s v="BLU-RAY"/>
    <n v="100680"/>
    <s v="AB101193"/>
    <x v="1"/>
    <n v="561305"/>
    <x v="1"/>
  </r>
  <r>
    <n v="10076"/>
    <n v="6"/>
    <d v="2013-05-03T00:00:00"/>
    <s v="DVD"/>
    <n v="100681"/>
    <s v="AB101194"/>
    <x v="4"/>
    <n v="703083"/>
    <x v="1"/>
  </r>
  <r>
    <n v="10009"/>
    <n v="6"/>
    <d v="2013-05-03T00:00:00"/>
    <s v="DVD"/>
    <n v="100682"/>
    <s v="AB101195"/>
    <x v="0"/>
    <n v="408341"/>
    <x v="1"/>
  </r>
  <r>
    <n v="10142"/>
    <n v="2"/>
    <d v="2013-05-02T00:00:00"/>
    <s v="BLU-RAY"/>
    <n v="100682"/>
    <s v="AB101196"/>
    <x v="0"/>
    <n v="408341"/>
    <x v="1"/>
  </r>
  <r>
    <n v="10264"/>
    <n v="8"/>
    <d v="2013-05-02T00:00:00"/>
    <s v="DVD"/>
    <n v="100683"/>
    <s v="AB101197"/>
    <x v="2"/>
    <n v="911171"/>
    <x v="1"/>
  </r>
  <r>
    <n v="10119"/>
    <n v="9"/>
    <d v="2013-05-02T00:00:00"/>
    <s v="BLU-RAY"/>
    <n v="100683"/>
    <s v="AB101198"/>
    <x v="7"/>
    <n v="911171"/>
    <x v="1"/>
  </r>
  <r>
    <n v="10186"/>
    <n v="7"/>
    <d v="2013-05-03T00:00:00"/>
    <s v="DVD"/>
    <n v="100684"/>
    <s v="AB101199"/>
    <x v="10"/>
    <n v="793987"/>
    <x v="1"/>
  </r>
  <r>
    <n v="10274"/>
    <n v="5"/>
    <d v="2013-05-03T00:00:00"/>
    <s v="BLU-RAY"/>
    <n v="100685"/>
    <s v="AB101200"/>
    <x v="9"/>
    <n v="366695"/>
    <x v="1"/>
  </r>
  <r>
    <n v="10209"/>
    <n v="8"/>
    <d v="2013-05-04T00:00:00"/>
    <s v="DVD"/>
    <n v="100686"/>
    <s v="AB101201"/>
    <x v="7"/>
    <n v="242720"/>
    <x v="1"/>
  </r>
  <r>
    <n v="10021"/>
    <n v="10"/>
    <d v="2013-05-03T00:00:00"/>
    <s v="DVD"/>
    <n v="100686"/>
    <s v="AB101202"/>
    <x v="1"/>
    <n v="242720"/>
    <x v="1"/>
  </r>
  <r>
    <n v="10268"/>
    <n v="1"/>
    <d v="2013-05-03T00:00:00"/>
    <s v="DVD"/>
    <n v="100687"/>
    <s v="AB101203"/>
    <x v="3"/>
    <n v="720602"/>
    <x v="1"/>
  </r>
  <r>
    <n v="10040"/>
    <n v="9"/>
    <d v="2013-05-03T00:00:00"/>
    <s v="DVD"/>
    <n v="100687"/>
    <s v="AB101204"/>
    <x v="7"/>
    <n v="720602"/>
    <x v="1"/>
  </r>
  <r>
    <n v="10202"/>
    <n v="10"/>
    <d v="2013-05-04T00:00:00"/>
    <s v="BLU-RAY"/>
    <n v="100688"/>
    <s v="AB101205"/>
    <x v="0"/>
    <n v="938006"/>
    <x v="1"/>
  </r>
  <r>
    <n v="10028"/>
    <n v="5"/>
    <d v="2013-05-03T00:00:00"/>
    <s v="BLU-RAY"/>
    <n v="100688"/>
    <s v="AB101206"/>
    <x v="5"/>
    <n v="938006"/>
    <x v="1"/>
  </r>
  <r>
    <n v="10139"/>
    <n v="6"/>
    <d v="2013-05-03T00:00:00"/>
    <s v="DVD"/>
    <n v="100688"/>
    <s v="AB101207"/>
    <x v="14"/>
    <n v="938006"/>
    <x v="1"/>
  </r>
  <r>
    <n v="10048"/>
    <n v="1"/>
    <d v="2013-05-04T00:00:00"/>
    <s v="DVD"/>
    <n v="100689"/>
    <s v="AB101208"/>
    <x v="12"/>
    <n v="668931"/>
    <x v="1"/>
  </r>
  <r>
    <n v="10044"/>
    <n v="6"/>
    <d v="2013-05-03T00:00:00"/>
    <s v="DVD"/>
    <n v="100690"/>
    <s v="AB101209"/>
    <x v="3"/>
    <n v="515790"/>
    <x v="1"/>
  </r>
  <r>
    <n v="10042"/>
    <n v="7"/>
    <d v="2013-05-05T00:00:00"/>
    <s v="DVD"/>
    <n v="100691"/>
    <s v="AB101210"/>
    <x v="1"/>
    <n v="866556"/>
    <x v="1"/>
  </r>
  <r>
    <n v="10282"/>
    <n v="8"/>
    <d v="2013-05-05T00:00:00"/>
    <s v="BLU-RAY"/>
    <n v="100691"/>
    <s v="AB101211"/>
    <x v="15"/>
    <n v="866556"/>
    <x v="1"/>
  </r>
  <r>
    <n v="10154"/>
    <n v="1"/>
    <d v="2013-05-04T00:00:00"/>
    <s v="BLU-RAY"/>
    <n v="100691"/>
    <s v="AB101212"/>
    <x v="5"/>
    <n v="866556"/>
    <x v="1"/>
  </r>
  <r>
    <n v="10211"/>
    <n v="8"/>
    <d v="2013-05-04T00:00:00"/>
    <s v="DVD"/>
    <n v="100692"/>
    <s v="AB101213"/>
    <x v="3"/>
    <n v="884368"/>
    <x v="1"/>
  </r>
  <r>
    <n v="10287"/>
    <n v="5"/>
    <d v="2013-05-04T00:00:00"/>
    <s v="DVD"/>
    <n v="100693"/>
    <s v="AB101214"/>
    <x v="10"/>
    <n v="132454"/>
    <x v="1"/>
  </r>
  <r>
    <n v="10029"/>
    <n v="1"/>
    <d v="2013-05-04T00:00:00"/>
    <s v="DVD"/>
    <n v="100693"/>
    <s v="AB101215"/>
    <x v="12"/>
    <n v="132454"/>
    <x v="1"/>
  </r>
  <r>
    <n v="10018"/>
    <n v="2"/>
    <d v="2013-05-04T00:00:00"/>
    <s v="DVD"/>
    <n v="100693"/>
    <s v="AB101216"/>
    <x v="9"/>
    <n v="132454"/>
    <x v="1"/>
  </r>
  <r>
    <n v="10097"/>
    <n v="1"/>
    <d v="2013-05-04T00:00:00"/>
    <s v="BLU-RAY"/>
    <n v="100694"/>
    <s v="AB101217"/>
    <x v="8"/>
    <n v="269687"/>
    <x v="1"/>
  </r>
  <r>
    <n v="10277"/>
    <n v="8"/>
    <d v="2013-05-04T00:00:00"/>
    <s v="DVD"/>
    <n v="100695"/>
    <s v="AB101218"/>
    <x v="7"/>
    <n v="418521"/>
    <x v="1"/>
  </r>
  <r>
    <n v="10132"/>
    <n v="7"/>
    <d v="2013-05-06T00:00:00"/>
    <s v="BLU-RAY"/>
    <n v="100695"/>
    <s v="AB101219"/>
    <x v="10"/>
    <n v="418521"/>
    <x v="1"/>
  </r>
  <r>
    <n v="10141"/>
    <n v="2"/>
    <d v="2013-05-04T00:00:00"/>
    <s v="DVD"/>
    <n v="100696"/>
    <s v="AB101220"/>
    <x v="0"/>
    <n v="657736"/>
    <x v="1"/>
  </r>
  <r>
    <n v="10179"/>
    <n v="3"/>
    <d v="2013-05-04T00:00:00"/>
    <s v="BLU-RAY"/>
    <n v="100696"/>
    <s v="AB101221"/>
    <x v="0"/>
    <n v="657736"/>
    <x v="1"/>
  </r>
  <r>
    <n v="10287"/>
    <n v="10"/>
    <d v="2013-05-04T00:00:00"/>
    <s v="DVD"/>
    <n v="100697"/>
    <s v="AB101222"/>
    <x v="10"/>
    <n v="464782"/>
    <x v="1"/>
  </r>
  <r>
    <n v="10265"/>
    <n v="6"/>
    <d v="2013-05-04T00:00:00"/>
    <s v="BLU-RAY"/>
    <n v="100697"/>
    <s v="AB101223"/>
    <x v="0"/>
    <n v="464782"/>
    <x v="1"/>
  </r>
  <r>
    <n v="10008"/>
    <n v="9"/>
    <d v="2013-05-05T00:00:00"/>
    <s v="DVD"/>
    <n v="100698"/>
    <s v="AB101224"/>
    <x v="4"/>
    <n v="245577"/>
    <x v="1"/>
  </r>
  <r>
    <n v="10151"/>
    <n v="2"/>
    <d v="2013-05-05T00:00:00"/>
    <s v="DVD"/>
    <n v="100698"/>
    <s v="AB101225"/>
    <x v="8"/>
    <n v="245577"/>
    <x v="1"/>
  </r>
  <r>
    <n v="10259"/>
    <n v="9"/>
    <d v="2013-05-05T00:00:00"/>
    <s v="BLU-RAY"/>
    <n v="100699"/>
    <s v="AB101226"/>
    <x v="0"/>
    <n v="427826"/>
    <x v="1"/>
  </r>
  <r>
    <n v="10119"/>
    <n v="8"/>
    <d v="2013-05-05T00:00:00"/>
    <s v="BLU-RAY"/>
    <n v="100699"/>
    <s v="AB101227"/>
    <x v="7"/>
    <n v="427826"/>
    <x v="1"/>
  </r>
  <r>
    <n v="10252"/>
    <n v="7"/>
    <d v="2013-05-05T00:00:00"/>
    <s v="DVD"/>
    <n v="100699"/>
    <s v="AB101228"/>
    <x v="0"/>
    <n v="427826"/>
    <x v="1"/>
  </r>
  <r>
    <n v="10095"/>
    <n v="7"/>
    <d v="2013-05-05T00:00:00"/>
    <s v="DVD"/>
    <n v="100699"/>
    <s v="AB101229"/>
    <x v="2"/>
    <n v="427826"/>
    <x v="1"/>
  </r>
  <r>
    <n v="10117"/>
    <n v="5"/>
    <d v="2013-05-06T00:00:00"/>
    <s v="DVD"/>
    <n v="100700"/>
    <s v="AB101230"/>
    <x v="4"/>
    <n v="276549"/>
    <x v="1"/>
  </r>
  <r>
    <n v="10252"/>
    <n v="5"/>
    <d v="2013-05-05T00:00:00"/>
    <s v="DVD"/>
    <n v="100700"/>
    <s v="AB101231"/>
    <x v="0"/>
    <n v="276549"/>
    <x v="1"/>
  </r>
  <r>
    <n v="10177"/>
    <n v="7"/>
    <d v="2013-05-05T00:00:00"/>
    <s v="DVD"/>
    <n v="100700"/>
    <s v="AB101232"/>
    <x v="9"/>
    <n v="276549"/>
    <x v="1"/>
  </r>
  <r>
    <n v="10113"/>
    <n v="4"/>
    <d v="2013-05-06T00:00:00"/>
    <s v="BLU-RAY"/>
    <n v="100701"/>
    <s v="AB101233"/>
    <x v="10"/>
    <n v="242720"/>
    <x v="1"/>
  </r>
  <r>
    <n v="10193"/>
    <n v="6"/>
    <d v="2013-05-06T00:00:00"/>
    <s v="BLU-RAY"/>
    <n v="100701"/>
    <s v="AB101234"/>
    <x v="9"/>
    <n v="242720"/>
    <x v="1"/>
  </r>
  <r>
    <n v="10270"/>
    <n v="7"/>
    <d v="2013-05-07T00:00:00"/>
    <s v="DVD"/>
    <n v="100702"/>
    <s v="AB101235"/>
    <x v="9"/>
    <n v="646953"/>
    <x v="1"/>
  </r>
  <r>
    <n v="10129"/>
    <n v="2"/>
    <d v="2013-05-06T00:00:00"/>
    <s v="BLU-RAY"/>
    <n v="100702"/>
    <s v="AB101236"/>
    <x v="0"/>
    <n v="646953"/>
    <x v="1"/>
  </r>
  <r>
    <n v="10011"/>
    <n v="5"/>
    <d v="2013-05-07T00:00:00"/>
    <s v="DVD"/>
    <n v="100703"/>
    <s v="AB101237"/>
    <x v="3"/>
    <n v="429748"/>
    <x v="1"/>
  </r>
  <r>
    <n v="10191"/>
    <n v="2"/>
    <d v="2013-05-06T00:00:00"/>
    <s v="DVD"/>
    <n v="100703"/>
    <s v="AB101238"/>
    <x v="7"/>
    <n v="429748"/>
    <x v="1"/>
  </r>
  <r>
    <n v="10197"/>
    <n v="10"/>
    <d v="2013-05-07T00:00:00"/>
    <s v="DVD"/>
    <n v="100704"/>
    <s v="AB101239"/>
    <x v="0"/>
    <n v="757525"/>
    <x v="1"/>
  </r>
  <r>
    <n v="10183"/>
    <n v="3"/>
    <d v="2013-05-07T00:00:00"/>
    <s v="BLU-RAY"/>
    <n v="100704"/>
    <s v="AB101240"/>
    <x v="4"/>
    <n v="757525"/>
    <x v="1"/>
  </r>
  <r>
    <n v="10208"/>
    <n v="5"/>
    <d v="2013-05-07T00:00:00"/>
    <s v="DVD"/>
    <n v="100704"/>
    <s v="AB101241"/>
    <x v="0"/>
    <n v="757525"/>
    <x v="1"/>
  </r>
  <r>
    <n v="10024"/>
    <n v="6"/>
    <d v="2013-05-08T00:00:00"/>
    <s v="DVD"/>
    <n v="100705"/>
    <s v="AB101242"/>
    <x v="9"/>
    <n v="301793"/>
    <x v="1"/>
  </r>
  <r>
    <n v="10056"/>
    <n v="3"/>
    <d v="2013-05-07T00:00:00"/>
    <s v="BLU-RAY"/>
    <n v="100706"/>
    <s v="AB101243"/>
    <x v="8"/>
    <n v="994185"/>
    <x v="1"/>
  </r>
  <r>
    <n v="10006"/>
    <n v="9"/>
    <d v="2013-05-09T00:00:00"/>
    <s v="DVD"/>
    <n v="100706"/>
    <s v="AB101244"/>
    <x v="1"/>
    <n v="994185"/>
    <x v="1"/>
  </r>
  <r>
    <n v="10255"/>
    <n v="10"/>
    <d v="2013-05-07T00:00:00"/>
    <s v="DVD"/>
    <n v="100706"/>
    <s v="AB101245"/>
    <x v="1"/>
    <n v="994185"/>
    <x v="1"/>
  </r>
  <r>
    <n v="10071"/>
    <n v="7"/>
    <d v="2013-05-07T00:00:00"/>
    <s v="DVD"/>
    <n v="100707"/>
    <s v="AB101246"/>
    <x v="1"/>
    <n v="175871"/>
    <x v="1"/>
  </r>
  <r>
    <n v="10191"/>
    <n v="10"/>
    <d v="2013-05-08T00:00:00"/>
    <s v="DVD"/>
    <n v="100708"/>
    <s v="AB101247"/>
    <x v="7"/>
    <n v="671363"/>
    <x v="1"/>
  </r>
  <r>
    <n v="10126"/>
    <n v="2"/>
    <d v="2013-05-08T00:00:00"/>
    <s v="BLU-RAY"/>
    <n v="100709"/>
    <s v="AB101248"/>
    <x v="9"/>
    <n v="900440"/>
    <x v="1"/>
  </r>
  <r>
    <n v="10116"/>
    <n v="9"/>
    <d v="2013-05-08T00:00:00"/>
    <s v="BLU-RAY"/>
    <n v="100709"/>
    <s v="AB101249"/>
    <x v="7"/>
    <n v="900440"/>
    <x v="1"/>
  </r>
  <r>
    <n v="10080"/>
    <n v="4"/>
    <d v="2013-05-08T00:00:00"/>
    <s v="DVD"/>
    <n v="100709"/>
    <s v="AB101250"/>
    <x v="3"/>
    <n v="900440"/>
    <x v="1"/>
  </r>
  <r>
    <n v="10212"/>
    <n v="3"/>
    <d v="2013-05-09T00:00:00"/>
    <s v="DVD"/>
    <n v="100710"/>
    <s v="AB101251"/>
    <x v="10"/>
    <n v="766737"/>
    <x v="1"/>
  </r>
  <r>
    <n v="10096"/>
    <n v="5"/>
    <d v="2013-05-09T00:00:00"/>
    <s v="BLU-RAY"/>
    <n v="100710"/>
    <s v="AB101252"/>
    <x v="7"/>
    <n v="766737"/>
    <x v="1"/>
  </r>
  <r>
    <n v="10015"/>
    <n v="9"/>
    <d v="2013-05-08T00:00:00"/>
    <s v="DVD"/>
    <n v="100710"/>
    <s v="AB101253"/>
    <x v="6"/>
    <n v="766737"/>
    <x v="1"/>
  </r>
  <r>
    <n v="10176"/>
    <n v="3"/>
    <d v="2013-05-08T00:00:00"/>
    <s v="BLU-RAY"/>
    <n v="100711"/>
    <s v="AB101254"/>
    <x v="7"/>
    <n v="908328"/>
    <x v="1"/>
  </r>
  <r>
    <n v="10262"/>
    <n v="3"/>
    <d v="2013-05-08T00:00:00"/>
    <s v="DVD"/>
    <n v="100712"/>
    <s v="AB101255"/>
    <x v="10"/>
    <n v="332324"/>
    <x v="1"/>
  </r>
  <r>
    <n v="10046"/>
    <n v="9"/>
    <d v="2013-05-08T00:00:00"/>
    <s v="DVD"/>
    <n v="100713"/>
    <s v="AB101256"/>
    <x v="4"/>
    <n v="355107"/>
    <x v="1"/>
  </r>
  <r>
    <n v="10234"/>
    <n v="7"/>
    <d v="2013-05-08T00:00:00"/>
    <s v="BLU-RAY"/>
    <n v="100714"/>
    <s v="AB101257"/>
    <x v="0"/>
    <n v="344702"/>
    <x v="1"/>
  </r>
  <r>
    <n v="10198"/>
    <n v="3"/>
    <d v="2013-05-08T00:00:00"/>
    <s v="DVD"/>
    <n v="100714"/>
    <s v="AB101258"/>
    <x v="9"/>
    <n v="344702"/>
    <x v="1"/>
  </r>
  <r>
    <n v="10070"/>
    <n v="9"/>
    <d v="2013-05-08T00:00:00"/>
    <s v="DVD"/>
    <n v="100714"/>
    <s v="AB101259"/>
    <x v="1"/>
    <n v="344702"/>
    <x v="1"/>
  </r>
  <r>
    <n v="10184"/>
    <n v="3"/>
    <d v="2013-05-10T00:00:00"/>
    <s v="DVD"/>
    <n v="100715"/>
    <s v="AB101260"/>
    <x v="7"/>
    <n v="706884"/>
    <x v="1"/>
  </r>
  <r>
    <n v="10013"/>
    <n v="10"/>
    <d v="2013-05-09T00:00:00"/>
    <s v="DVD"/>
    <n v="100715"/>
    <s v="AB101261"/>
    <x v="11"/>
    <n v="706884"/>
    <x v="1"/>
  </r>
  <r>
    <n v="10039"/>
    <n v="10"/>
    <d v="2013-05-09T00:00:00"/>
    <s v="DVD"/>
    <n v="100716"/>
    <s v="AB101262"/>
    <x v="11"/>
    <n v="355107"/>
    <x v="1"/>
  </r>
  <r>
    <n v="10038"/>
    <n v="2"/>
    <d v="2013-05-09T00:00:00"/>
    <s v="BLU-RAY"/>
    <n v="100716"/>
    <s v="AB101263"/>
    <x v="1"/>
    <n v="355107"/>
    <x v="1"/>
  </r>
  <r>
    <n v="10161"/>
    <n v="2"/>
    <d v="2013-05-09T00:00:00"/>
    <s v="DVD"/>
    <n v="100716"/>
    <s v="AB101264"/>
    <x v="6"/>
    <n v="355107"/>
    <x v="1"/>
  </r>
  <r>
    <n v="10108"/>
    <n v="6"/>
    <d v="2013-05-09T00:00:00"/>
    <s v="DVD"/>
    <n v="100716"/>
    <s v="AB101265"/>
    <x v="9"/>
    <n v="355107"/>
    <x v="1"/>
  </r>
  <r>
    <n v="10281"/>
    <n v="2"/>
    <d v="2013-05-11T00:00:00"/>
    <s v="DVD"/>
    <n v="100717"/>
    <s v="AB101266"/>
    <x v="10"/>
    <n v="656512"/>
    <x v="1"/>
  </r>
  <r>
    <n v="10001"/>
    <n v="4"/>
    <d v="2013-05-09T00:00:00"/>
    <s v="BLU-RAY"/>
    <n v="100718"/>
    <s v="AB101267"/>
    <x v="14"/>
    <n v="724700"/>
    <x v="1"/>
  </r>
  <r>
    <n v="10034"/>
    <n v="5"/>
    <d v="2013-05-09T00:00:00"/>
    <s v="BLU-RAY"/>
    <n v="100718"/>
    <s v="AB101268"/>
    <x v="10"/>
    <n v="724700"/>
    <x v="1"/>
  </r>
  <r>
    <n v="10079"/>
    <n v="10"/>
    <d v="2013-05-09T00:00:00"/>
    <s v="BLU-RAY"/>
    <n v="100719"/>
    <s v="AB101269"/>
    <x v="0"/>
    <n v="884368"/>
    <x v="1"/>
  </r>
  <r>
    <n v="10007"/>
    <n v="3"/>
    <d v="2013-05-09T00:00:00"/>
    <s v="DVD"/>
    <n v="100719"/>
    <s v="AB101270"/>
    <x v="4"/>
    <n v="884368"/>
    <x v="1"/>
  </r>
  <r>
    <n v="10119"/>
    <n v="1"/>
    <d v="2013-05-11T00:00:00"/>
    <s v="DVD"/>
    <n v="100720"/>
    <s v="AB101271"/>
    <x v="7"/>
    <n v="515753"/>
    <x v="1"/>
  </r>
  <r>
    <n v="10038"/>
    <n v="5"/>
    <d v="2013-05-10T00:00:00"/>
    <s v="DVD"/>
    <n v="100721"/>
    <s v="AB101272"/>
    <x v="1"/>
    <n v="515790"/>
    <x v="1"/>
  </r>
  <r>
    <n v="10049"/>
    <n v="8"/>
    <d v="2013-05-10T00:00:00"/>
    <s v="BLU-RAY"/>
    <n v="100721"/>
    <s v="AB101273"/>
    <x v="7"/>
    <n v="515790"/>
    <x v="1"/>
  </r>
  <r>
    <n v="10192"/>
    <n v="5"/>
    <d v="2013-05-10T00:00:00"/>
    <s v="DVD"/>
    <n v="100722"/>
    <s v="AB101274"/>
    <x v="7"/>
    <n v="416523"/>
    <x v="1"/>
  </r>
  <r>
    <n v="10221"/>
    <n v="6"/>
    <d v="2013-05-11T00:00:00"/>
    <s v="DVD"/>
    <n v="100722"/>
    <s v="AB101275"/>
    <x v="9"/>
    <n v="416523"/>
    <x v="1"/>
  </r>
  <r>
    <n v="10214"/>
    <n v="4"/>
    <d v="2013-05-10T00:00:00"/>
    <s v="DVD"/>
    <n v="100722"/>
    <s v="AB101276"/>
    <x v="13"/>
    <n v="416523"/>
    <x v="1"/>
  </r>
  <r>
    <n v="10278"/>
    <n v="9"/>
    <d v="2013-05-11T00:00:00"/>
    <s v="DVD"/>
    <n v="100723"/>
    <s v="AB101277"/>
    <x v="7"/>
    <n v="330223"/>
    <x v="1"/>
  </r>
  <r>
    <n v="10227"/>
    <n v="1"/>
    <d v="2013-05-10T00:00:00"/>
    <s v="DVD"/>
    <n v="100724"/>
    <s v="AB101278"/>
    <x v="14"/>
    <n v="924947"/>
    <x v="1"/>
  </r>
  <r>
    <n v="10170"/>
    <n v="6"/>
    <d v="2013-05-10T00:00:00"/>
    <s v="DVD"/>
    <n v="100724"/>
    <s v="AB101279"/>
    <x v="15"/>
    <n v="924947"/>
    <x v="1"/>
  </r>
  <r>
    <n v="10075"/>
    <n v="3"/>
    <d v="2013-05-10T00:00:00"/>
    <s v="BLU-RAY"/>
    <n v="100725"/>
    <s v="AB101280"/>
    <x v="17"/>
    <n v="884729"/>
    <x v="1"/>
  </r>
  <r>
    <n v="10051"/>
    <n v="3"/>
    <d v="2013-05-10T00:00:00"/>
    <s v="DVD"/>
    <n v="100725"/>
    <s v="AB101281"/>
    <x v="1"/>
    <n v="884729"/>
    <x v="1"/>
  </r>
  <r>
    <n v="10157"/>
    <n v="9"/>
    <d v="2013-05-11T00:00:00"/>
    <s v="BLU-RAY"/>
    <n v="100726"/>
    <s v="AB101282"/>
    <x v="1"/>
    <n v="432268"/>
    <x v="1"/>
  </r>
  <r>
    <n v="10187"/>
    <n v="1"/>
    <d v="2013-05-10T00:00:00"/>
    <s v="DVD"/>
    <n v="100726"/>
    <s v="AB101283"/>
    <x v="1"/>
    <n v="432268"/>
    <x v="1"/>
  </r>
  <r>
    <n v="10115"/>
    <n v="2"/>
    <d v="2013-05-11T00:00:00"/>
    <s v="DVD"/>
    <n v="100727"/>
    <s v="AB101284"/>
    <x v="11"/>
    <n v="116934"/>
    <x v="1"/>
  </r>
  <r>
    <n v="10221"/>
    <n v="10"/>
    <d v="2013-05-11T00:00:00"/>
    <s v="DVD"/>
    <n v="100728"/>
    <s v="AB101285"/>
    <x v="9"/>
    <n v="817159"/>
    <x v="1"/>
  </r>
  <r>
    <n v="10015"/>
    <n v="10"/>
    <d v="2013-05-11T00:00:00"/>
    <s v="DVD"/>
    <n v="100728"/>
    <s v="AB101286"/>
    <x v="6"/>
    <n v="817159"/>
    <x v="1"/>
  </r>
  <r>
    <n v="10231"/>
    <n v="7"/>
    <d v="2013-05-11T00:00:00"/>
    <s v="DVD"/>
    <n v="100729"/>
    <s v="AB101287"/>
    <x v="7"/>
    <n v="605188"/>
    <x v="1"/>
  </r>
  <r>
    <n v="10016"/>
    <n v="9"/>
    <d v="2013-05-12T00:00:00"/>
    <s v="DVD"/>
    <n v="100729"/>
    <s v="AB101288"/>
    <x v="7"/>
    <n v="605188"/>
    <x v="1"/>
  </r>
  <r>
    <n v="10269"/>
    <n v="5"/>
    <d v="2013-05-12T00:00:00"/>
    <s v="DVD"/>
    <n v="100729"/>
    <s v="AB101289"/>
    <x v="3"/>
    <n v="605188"/>
    <x v="1"/>
  </r>
  <r>
    <n v="10104"/>
    <n v="2"/>
    <d v="2013-05-11T00:00:00"/>
    <s v="BLU-RAY"/>
    <n v="100730"/>
    <s v="AB101290"/>
    <x v="7"/>
    <n v="456457"/>
    <x v="1"/>
  </r>
  <r>
    <n v="10140"/>
    <n v="8"/>
    <d v="2013-05-11T00:00:00"/>
    <s v="DVD"/>
    <n v="100730"/>
    <s v="AB101291"/>
    <x v="2"/>
    <n v="456457"/>
    <x v="1"/>
  </r>
  <r>
    <n v="10024"/>
    <n v="2"/>
    <d v="2013-05-12T00:00:00"/>
    <s v="BLU-RAY"/>
    <n v="100730"/>
    <s v="AB101292"/>
    <x v="9"/>
    <n v="456457"/>
    <x v="1"/>
  </r>
  <r>
    <n v="10108"/>
    <n v="4"/>
    <d v="2013-05-12T00:00:00"/>
    <s v="BLU-RAY"/>
    <n v="100731"/>
    <s v="AB101293"/>
    <x v="9"/>
    <n v="793987"/>
    <x v="1"/>
  </r>
  <r>
    <n v="10085"/>
    <n v="5"/>
    <d v="2013-05-12T00:00:00"/>
    <s v="BLU-RAY"/>
    <n v="100731"/>
    <s v="AB101294"/>
    <x v="3"/>
    <n v="793987"/>
    <x v="1"/>
  </r>
  <r>
    <n v="10269"/>
    <n v="1"/>
    <d v="2013-05-14T00:00:00"/>
    <s v="BLU-RAY"/>
    <n v="100732"/>
    <s v="AB101295"/>
    <x v="3"/>
    <n v="892883"/>
    <x v="1"/>
  </r>
  <r>
    <n v="10029"/>
    <n v="8"/>
    <d v="2013-05-12T00:00:00"/>
    <s v="DVD"/>
    <n v="100733"/>
    <s v="AB101296"/>
    <x v="12"/>
    <n v="890270"/>
    <x v="1"/>
  </r>
  <r>
    <n v="10038"/>
    <n v="10"/>
    <d v="2013-05-13T00:00:00"/>
    <s v="BLU-RAY"/>
    <n v="100733"/>
    <s v="AB101297"/>
    <x v="1"/>
    <n v="890270"/>
    <x v="1"/>
  </r>
  <r>
    <n v="10151"/>
    <n v="5"/>
    <d v="2013-05-12T00:00:00"/>
    <s v="DVD"/>
    <n v="100734"/>
    <s v="AB101298"/>
    <x v="8"/>
    <n v="901388"/>
    <x v="1"/>
  </r>
  <r>
    <n v="10029"/>
    <n v="1"/>
    <d v="2013-05-13T00:00:00"/>
    <s v="DVD"/>
    <n v="100734"/>
    <s v="AB101299"/>
    <x v="12"/>
    <n v="901388"/>
    <x v="1"/>
  </r>
  <r>
    <n v="10107"/>
    <n v="5"/>
    <d v="2013-05-14T00:00:00"/>
    <s v="DVD"/>
    <n v="100735"/>
    <s v="AB101300"/>
    <x v="7"/>
    <n v="951702"/>
    <x v="1"/>
  </r>
  <r>
    <n v="10294"/>
    <n v="10"/>
    <d v="2013-05-12T00:00:00"/>
    <s v="DVD"/>
    <n v="100736"/>
    <s v="AB101301"/>
    <x v="2"/>
    <n v="667170"/>
    <x v="1"/>
  </r>
  <r>
    <n v="10274"/>
    <n v="1"/>
    <d v="2013-05-13T00:00:00"/>
    <s v="DVD"/>
    <n v="100736"/>
    <s v="AB101302"/>
    <x v="9"/>
    <n v="667170"/>
    <x v="1"/>
  </r>
  <r>
    <n v="10053"/>
    <n v="5"/>
    <d v="2013-05-12T00:00:00"/>
    <s v="DVD"/>
    <n v="100737"/>
    <s v="AB101303"/>
    <x v="4"/>
    <n v="204295"/>
    <x v="1"/>
  </r>
  <r>
    <n v="10094"/>
    <n v="5"/>
    <d v="2013-05-12T00:00:00"/>
    <s v="DVD"/>
    <n v="100737"/>
    <s v="AB101304"/>
    <x v="12"/>
    <n v="204295"/>
    <x v="1"/>
  </r>
  <r>
    <n v="10256"/>
    <n v="3"/>
    <d v="2013-05-12T00:00:00"/>
    <s v="DVD"/>
    <n v="100737"/>
    <s v="AB101305"/>
    <x v="9"/>
    <n v="204295"/>
    <x v="1"/>
  </r>
  <r>
    <n v="10052"/>
    <n v="2"/>
    <d v="2013-05-15T00:00:00"/>
    <s v="BLU-RAY"/>
    <n v="100737"/>
    <s v="AB101306"/>
    <x v="0"/>
    <n v="204295"/>
    <x v="1"/>
  </r>
  <r>
    <n v="10098"/>
    <n v="5"/>
    <d v="2013-05-12T00:00:00"/>
    <s v="DVD"/>
    <n v="100738"/>
    <s v="AB101307"/>
    <x v="0"/>
    <n v="734514"/>
    <x v="1"/>
  </r>
  <r>
    <n v="10265"/>
    <n v="10"/>
    <d v="2013-05-14T00:00:00"/>
    <s v="DVD"/>
    <n v="100738"/>
    <s v="AB101308"/>
    <x v="0"/>
    <n v="734514"/>
    <x v="1"/>
  </r>
  <r>
    <n v="10072"/>
    <n v="6"/>
    <d v="2013-05-12T00:00:00"/>
    <s v="DVD"/>
    <n v="100739"/>
    <s v="AB101309"/>
    <x v="1"/>
    <n v="627324"/>
    <x v="1"/>
  </r>
  <r>
    <n v="10141"/>
    <n v="10"/>
    <d v="2013-05-12T00:00:00"/>
    <s v="BLU-RAY"/>
    <n v="100739"/>
    <s v="AB101310"/>
    <x v="0"/>
    <n v="627324"/>
    <x v="1"/>
  </r>
  <r>
    <n v="10047"/>
    <n v="6"/>
    <d v="2013-05-12T00:00:00"/>
    <s v="BLU-RAY"/>
    <n v="100739"/>
    <s v="AB101311"/>
    <x v="0"/>
    <n v="627324"/>
    <x v="1"/>
  </r>
  <r>
    <n v="10293"/>
    <n v="4"/>
    <d v="2013-05-12T00:00:00"/>
    <s v="BLU-RAY"/>
    <n v="100739"/>
    <s v="AB101312"/>
    <x v="12"/>
    <n v="627324"/>
    <x v="1"/>
  </r>
  <r>
    <n v="10091"/>
    <n v="10"/>
    <d v="2013-05-13T00:00:00"/>
    <s v="BLU-RAY"/>
    <n v="100740"/>
    <s v="AB101313"/>
    <x v="0"/>
    <n v="412929"/>
    <x v="1"/>
  </r>
  <r>
    <n v="10115"/>
    <n v="2"/>
    <d v="2013-05-13T00:00:00"/>
    <s v="DVD"/>
    <n v="100741"/>
    <s v="AB101314"/>
    <x v="11"/>
    <n v="936214"/>
    <x v="1"/>
  </r>
  <r>
    <n v="10117"/>
    <n v="2"/>
    <d v="2013-05-13T00:00:00"/>
    <s v="DVD"/>
    <n v="100741"/>
    <s v="AB101315"/>
    <x v="4"/>
    <n v="936214"/>
    <x v="1"/>
  </r>
  <r>
    <n v="10096"/>
    <n v="6"/>
    <d v="2013-05-14T00:00:00"/>
    <s v="BLU-RAY"/>
    <n v="100741"/>
    <s v="AB101316"/>
    <x v="7"/>
    <n v="936214"/>
    <x v="1"/>
  </r>
  <r>
    <n v="10234"/>
    <n v="1"/>
    <d v="2013-05-14T00:00:00"/>
    <s v="DVD"/>
    <n v="100742"/>
    <s v="AB101317"/>
    <x v="0"/>
    <n v="175940"/>
    <x v="1"/>
  </r>
  <r>
    <n v="10282"/>
    <n v="9"/>
    <d v="2013-05-13T00:00:00"/>
    <s v="DVD"/>
    <n v="100743"/>
    <s v="AB101318"/>
    <x v="15"/>
    <n v="810369"/>
    <x v="1"/>
  </r>
  <r>
    <n v="10134"/>
    <n v="5"/>
    <d v="2013-05-13T00:00:00"/>
    <s v="BLU-RAY"/>
    <n v="100743"/>
    <s v="AB101319"/>
    <x v="7"/>
    <n v="810369"/>
    <x v="1"/>
  </r>
  <r>
    <n v="10246"/>
    <n v="6"/>
    <d v="2013-05-14T00:00:00"/>
    <s v="BLU-RAY"/>
    <n v="100744"/>
    <s v="AB101320"/>
    <x v="2"/>
    <n v="432268"/>
    <x v="1"/>
  </r>
  <r>
    <n v="10001"/>
    <n v="5"/>
    <d v="2013-05-14T00:00:00"/>
    <s v="BLU-RAY"/>
    <n v="100744"/>
    <s v="AB101321"/>
    <x v="14"/>
    <n v="432268"/>
    <x v="1"/>
  </r>
  <r>
    <n v="10134"/>
    <n v="9"/>
    <d v="2013-05-14T00:00:00"/>
    <s v="BLU-RAY"/>
    <n v="100744"/>
    <s v="AB101322"/>
    <x v="7"/>
    <n v="432268"/>
    <x v="1"/>
  </r>
  <r>
    <n v="10134"/>
    <n v="9"/>
    <d v="2013-05-13T00:00:00"/>
    <s v="BLU-RAY"/>
    <n v="100744"/>
    <s v="AB101323"/>
    <x v="7"/>
    <n v="432268"/>
    <x v="1"/>
  </r>
  <r>
    <n v="10088"/>
    <n v="7"/>
    <d v="2013-05-14T00:00:00"/>
    <s v="DVD"/>
    <n v="100744"/>
    <s v="AB101324"/>
    <x v="0"/>
    <n v="432268"/>
    <x v="1"/>
  </r>
  <r>
    <n v="10013"/>
    <n v="8"/>
    <d v="2013-05-13T00:00:00"/>
    <s v="DVD"/>
    <n v="100745"/>
    <s v="AB101325"/>
    <x v="11"/>
    <n v="265339"/>
    <x v="1"/>
  </r>
  <r>
    <n v="10233"/>
    <n v="9"/>
    <d v="2013-05-14T00:00:00"/>
    <s v="DVD"/>
    <n v="100746"/>
    <s v="AB101326"/>
    <x v="8"/>
    <n v="145929"/>
    <x v="1"/>
  </r>
  <r>
    <n v="10165"/>
    <n v="9"/>
    <d v="2013-05-13T00:00:00"/>
    <s v="DVD"/>
    <n v="100747"/>
    <s v="AB101327"/>
    <x v="2"/>
    <n v="578275"/>
    <x v="1"/>
  </r>
  <r>
    <n v="10199"/>
    <n v="9"/>
    <d v="2013-05-15T00:00:00"/>
    <s v="BLU-RAY"/>
    <n v="100748"/>
    <s v="AB101328"/>
    <x v="10"/>
    <n v="441628"/>
    <x v="1"/>
  </r>
  <r>
    <n v="10027"/>
    <n v="10"/>
    <d v="2013-05-14T00:00:00"/>
    <s v="BLU-RAY"/>
    <n v="100748"/>
    <s v="AB101329"/>
    <x v="16"/>
    <n v="441628"/>
    <x v="1"/>
  </r>
  <r>
    <n v="10146"/>
    <n v="6"/>
    <d v="2013-05-14T00:00:00"/>
    <s v="DVD"/>
    <n v="100749"/>
    <s v="AB101330"/>
    <x v="4"/>
    <n v="206078"/>
    <x v="1"/>
  </r>
  <r>
    <n v="10173"/>
    <n v="6"/>
    <d v="2013-05-14T00:00:00"/>
    <s v="DVD"/>
    <n v="100750"/>
    <s v="AB101331"/>
    <x v="4"/>
    <n v="437454"/>
    <x v="1"/>
  </r>
  <r>
    <n v="10287"/>
    <n v="10"/>
    <d v="2013-05-14T00:00:00"/>
    <s v="BLU-RAY"/>
    <n v="100751"/>
    <s v="AB101332"/>
    <x v="10"/>
    <n v="344702"/>
    <x v="1"/>
  </r>
  <r>
    <n v="10248"/>
    <n v="5"/>
    <d v="2013-05-14T00:00:00"/>
    <s v="BLU-RAY"/>
    <n v="100751"/>
    <s v="AB101333"/>
    <x v="12"/>
    <n v="344702"/>
    <x v="1"/>
  </r>
  <r>
    <n v="10070"/>
    <n v="8"/>
    <d v="2013-05-14T00:00:00"/>
    <s v="DVD"/>
    <n v="100752"/>
    <s v="AB101334"/>
    <x v="1"/>
    <n v="347189"/>
    <x v="1"/>
  </r>
  <r>
    <n v="10019"/>
    <n v="2"/>
    <d v="2013-05-14T00:00:00"/>
    <s v="DVD"/>
    <n v="100752"/>
    <s v="AB101335"/>
    <x v="9"/>
    <n v="347189"/>
    <x v="1"/>
  </r>
  <r>
    <n v="10218"/>
    <n v="10"/>
    <d v="2013-05-14T00:00:00"/>
    <s v="BLU-RAY"/>
    <n v="100753"/>
    <s v="AB101336"/>
    <x v="4"/>
    <n v="537796"/>
    <x v="1"/>
  </r>
  <r>
    <n v="10052"/>
    <n v="1"/>
    <d v="2013-05-15T00:00:00"/>
    <s v="DVD"/>
    <n v="100754"/>
    <s v="AB101337"/>
    <x v="0"/>
    <n v="191951"/>
    <x v="1"/>
  </r>
  <r>
    <n v="10118"/>
    <n v="5"/>
    <d v="2013-05-16T00:00:00"/>
    <s v="BLU-RAY"/>
    <n v="100755"/>
    <s v="AB101338"/>
    <x v="3"/>
    <n v="336644"/>
    <x v="1"/>
  </r>
  <r>
    <n v="10173"/>
    <n v="1"/>
    <d v="2013-05-14T00:00:00"/>
    <s v="DVD"/>
    <n v="100755"/>
    <s v="AB101339"/>
    <x v="4"/>
    <n v="336644"/>
    <x v="1"/>
  </r>
  <r>
    <n v="10170"/>
    <n v="3"/>
    <d v="2013-05-16T00:00:00"/>
    <s v="DVD"/>
    <n v="100756"/>
    <s v="AB101340"/>
    <x v="15"/>
    <n v="850933"/>
    <x v="1"/>
  </r>
  <r>
    <n v="10193"/>
    <n v="6"/>
    <d v="2013-05-14T00:00:00"/>
    <s v="DVD"/>
    <n v="100756"/>
    <s v="AB101341"/>
    <x v="9"/>
    <n v="850933"/>
    <x v="1"/>
  </r>
  <r>
    <n v="10193"/>
    <n v="9"/>
    <d v="2013-05-14T00:00:00"/>
    <s v="DVD"/>
    <n v="100757"/>
    <s v="AB101342"/>
    <x v="9"/>
    <n v="193914"/>
    <x v="1"/>
  </r>
  <r>
    <n v="10193"/>
    <n v="3"/>
    <d v="2013-05-15T00:00:00"/>
    <s v="BLU-RAY"/>
    <n v="100758"/>
    <s v="AB101343"/>
    <x v="9"/>
    <n v="325263"/>
    <x v="1"/>
  </r>
  <r>
    <n v="10005"/>
    <n v="1"/>
    <d v="2013-05-18T00:00:00"/>
    <s v="DVD"/>
    <n v="100758"/>
    <s v="AB101344"/>
    <x v="3"/>
    <n v="325263"/>
    <x v="1"/>
  </r>
  <r>
    <n v="10027"/>
    <n v="7"/>
    <d v="2013-05-15T00:00:00"/>
    <s v="DVD"/>
    <n v="100759"/>
    <s v="AB101345"/>
    <x v="16"/>
    <n v="441628"/>
    <x v="1"/>
  </r>
  <r>
    <n v="10019"/>
    <n v="10"/>
    <d v="2013-05-16T00:00:00"/>
    <s v="BLU-RAY"/>
    <n v="100759"/>
    <s v="AB101346"/>
    <x v="9"/>
    <n v="441628"/>
    <x v="1"/>
  </r>
  <r>
    <n v="10074"/>
    <n v="7"/>
    <d v="2013-05-16T00:00:00"/>
    <s v="DVD"/>
    <n v="100760"/>
    <s v="AB101347"/>
    <x v="11"/>
    <n v="846558"/>
    <x v="1"/>
  </r>
  <r>
    <n v="10003"/>
    <n v="8"/>
    <d v="2013-05-15T00:00:00"/>
    <s v="DVD"/>
    <n v="100760"/>
    <s v="AB101348"/>
    <x v="1"/>
    <n v="846558"/>
    <x v="1"/>
  </r>
  <r>
    <n v="10155"/>
    <n v="2"/>
    <d v="2013-05-15T00:00:00"/>
    <s v="DVD"/>
    <n v="100760"/>
    <s v="AB101349"/>
    <x v="9"/>
    <n v="846558"/>
    <x v="1"/>
  </r>
  <r>
    <n v="10192"/>
    <n v="5"/>
    <d v="2013-05-15T00:00:00"/>
    <s v="DVD"/>
    <n v="100760"/>
    <s v="AB101350"/>
    <x v="7"/>
    <n v="846558"/>
    <x v="1"/>
  </r>
  <r>
    <n v="10107"/>
    <n v="5"/>
    <d v="2013-05-15T00:00:00"/>
    <s v="BLU-RAY"/>
    <n v="100760"/>
    <s v="AB101351"/>
    <x v="7"/>
    <n v="846558"/>
    <x v="1"/>
  </r>
  <r>
    <n v="10126"/>
    <n v="3"/>
    <d v="2013-05-15T00:00:00"/>
    <s v="DVD"/>
    <n v="100761"/>
    <s v="AB101352"/>
    <x v="9"/>
    <n v="852319"/>
    <x v="1"/>
  </r>
  <r>
    <n v="10026"/>
    <n v="4"/>
    <d v="2013-05-16T00:00:00"/>
    <s v="BLU-RAY"/>
    <n v="100761"/>
    <s v="AB101353"/>
    <x v="9"/>
    <n v="852319"/>
    <x v="1"/>
  </r>
  <r>
    <n v="10097"/>
    <n v="4"/>
    <d v="2013-05-16T00:00:00"/>
    <s v="DVD"/>
    <n v="100762"/>
    <s v="AB101354"/>
    <x v="8"/>
    <n v="418506"/>
    <x v="1"/>
  </r>
  <r>
    <n v="10203"/>
    <n v="6"/>
    <d v="2013-05-16T00:00:00"/>
    <s v="BLU-RAY"/>
    <n v="100762"/>
    <s v="AB101355"/>
    <x v="3"/>
    <n v="418506"/>
    <x v="1"/>
  </r>
  <r>
    <n v="10128"/>
    <n v="9"/>
    <d v="2013-05-17T00:00:00"/>
    <s v="BLU-RAY"/>
    <n v="100763"/>
    <s v="AB101356"/>
    <x v="6"/>
    <n v="418506"/>
    <x v="1"/>
  </r>
  <r>
    <n v="10249"/>
    <n v="3"/>
    <d v="2013-05-16T00:00:00"/>
    <s v="DVD"/>
    <n v="100764"/>
    <s v="AB101357"/>
    <x v="5"/>
    <n v="693531"/>
    <x v="1"/>
  </r>
  <r>
    <n v="10254"/>
    <n v="3"/>
    <d v="2013-05-18T00:00:00"/>
    <s v="DVD"/>
    <n v="100764"/>
    <s v="AB101358"/>
    <x v="1"/>
    <n v="693531"/>
    <x v="1"/>
  </r>
  <r>
    <n v="10175"/>
    <n v="10"/>
    <d v="2013-05-16T00:00:00"/>
    <s v="DVD"/>
    <n v="100765"/>
    <s v="AB101359"/>
    <x v="3"/>
    <n v="193914"/>
    <x v="1"/>
  </r>
  <r>
    <n v="10117"/>
    <n v="5"/>
    <d v="2013-05-16T00:00:00"/>
    <s v="BLU-RAY"/>
    <n v="100766"/>
    <s v="AB101360"/>
    <x v="4"/>
    <n v="355107"/>
    <x v="1"/>
  </r>
  <r>
    <n v="10088"/>
    <n v="5"/>
    <d v="2013-05-17T00:00:00"/>
    <s v="DVD"/>
    <n v="100766"/>
    <s v="AB101361"/>
    <x v="0"/>
    <n v="355107"/>
    <x v="1"/>
  </r>
  <r>
    <n v="10184"/>
    <n v="8"/>
    <d v="2013-05-16T00:00:00"/>
    <s v="DVD"/>
    <n v="100767"/>
    <s v="AB101362"/>
    <x v="7"/>
    <n v="145929"/>
    <x v="1"/>
  </r>
  <r>
    <n v="10083"/>
    <n v="8"/>
    <d v="2013-05-16T00:00:00"/>
    <s v="DVD"/>
    <n v="100768"/>
    <s v="AB101363"/>
    <x v="3"/>
    <n v="657736"/>
    <x v="1"/>
  </r>
  <r>
    <n v="10186"/>
    <n v="9"/>
    <d v="2013-05-16T00:00:00"/>
    <s v="DVD"/>
    <n v="100768"/>
    <s v="AB101364"/>
    <x v="10"/>
    <n v="657736"/>
    <x v="1"/>
  </r>
  <r>
    <n v="10209"/>
    <n v="10"/>
    <d v="2013-05-17T00:00:00"/>
    <s v="DVD"/>
    <n v="100769"/>
    <s v="AB101365"/>
    <x v="7"/>
    <n v="789065"/>
    <x v="1"/>
  </r>
  <r>
    <n v="10203"/>
    <n v="8"/>
    <d v="2013-05-16T00:00:00"/>
    <s v="DVD"/>
    <n v="100770"/>
    <s v="AB101366"/>
    <x v="3"/>
    <n v="789065"/>
    <x v="1"/>
  </r>
  <r>
    <n v="10117"/>
    <n v="2"/>
    <d v="2013-05-17T00:00:00"/>
    <s v="DVD"/>
    <n v="100771"/>
    <s v="AB101367"/>
    <x v="4"/>
    <n v="559486"/>
    <x v="1"/>
  </r>
  <r>
    <n v="10267"/>
    <n v="1"/>
    <d v="2013-05-17T00:00:00"/>
    <s v="DVD"/>
    <n v="100772"/>
    <s v="AB101368"/>
    <x v="6"/>
    <n v="437454"/>
    <x v="1"/>
  </r>
  <r>
    <n v="10121"/>
    <n v="7"/>
    <d v="2013-05-17T00:00:00"/>
    <s v="BLU-RAY"/>
    <n v="100773"/>
    <s v="AB101369"/>
    <x v="2"/>
    <n v="938393"/>
    <x v="1"/>
  </r>
  <r>
    <n v="10270"/>
    <n v="2"/>
    <d v="2013-05-17T00:00:00"/>
    <s v="DVD"/>
    <n v="100773"/>
    <s v="AB101370"/>
    <x v="9"/>
    <n v="938393"/>
    <x v="1"/>
  </r>
  <r>
    <n v="10283"/>
    <n v="7"/>
    <d v="2013-05-18T00:00:00"/>
    <s v="DVD"/>
    <n v="100774"/>
    <s v="AB101371"/>
    <x v="6"/>
    <n v="793987"/>
    <x v="1"/>
  </r>
  <r>
    <n v="10125"/>
    <n v="9"/>
    <d v="2013-05-19T00:00:00"/>
    <s v="BLU-RAY"/>
    <n v="100774"/>
    <s v="AB101372"/>
    <x v="9"/>
    <n v="793987"/>
    <x v="1"/>
  </r>
  <r>
    <n v="10116"/>
    <n v="9"/>
    <d v="2013-05-17T00:00:00"/>
    <s v="BLU-RAY"/>
    <n v="100774"/>
    <s v="AB101373"/>
    <x v="7"/>
    <n v="793987"/>
    <x v="1"/>
  </r>
  <r>
    <n v="10021"/>
    <n v="5"/>
    <d v="2013-05-17T00:00:00"/>
    <s v="BLU-RAY"/>
    <n v="100774"/>
    <s v="AB101374"/>
    <x v="1"/>
    <n v="793987"/>
    <x v="1"/>
  </r>
  <r>
    <n v="10119"/>
    <n v="6"/>
    <d v="2013-05-17T00:00:00"/>
    <s v="DVD"/>
    <n v="100775"/>
    <s v="AB101375"/>
    <x v="7"/>
    <n v="385115"/>
    <x v="1"/>
  </r>
  <r>
    <n v="10211"/>
    <n v="2"/>
    <d v="2013-05-17T00:00:00"/>
    <s v="DVD"/>
    <n v="100776"/>
    <s v="AB101376"/>
    <x v="3"/>
    <n v="765237"/>
    <x v="1"/>
  </r>
  <r>
    <n v="10018"/>
    <n v="10"/>
    <d v="2013-05-17T00:00:00"/>
    <s v="DVD"/>
    <n v="100777"/>
    <s v="AB101377"/>
    <x v="9"/>
    <n v="422951"/>
    <x v="1"/>
  </r>
  <r>
    <n v="10168"/>
    <n v="10"/>
    <d v="2013-05-17T00:00:00"/>
    <s v="DVD"/>
    <n v="100777"/>
    <s v="AB101378"/>
    <x v="1"/>
    <n v="422951"/>
    <x v="1"/>
  </r>
  <r>
    <n v="10196"/>
    <n v="4"/>
    <d v="2013-05-17T00:00:00"/>
    <s v="DVD"/>
    <n v="100777"/>
    <s v="AB101379"/>
    <x v="9"/>
    <n v="422951"/>
    <x v="1"/>
  </r>
  <r>
    <n v="10070"/>
    <n v="5"/>
    <d v="2013-05-19T00:00:00"/>
    <s v="DVD"/>
    <n v="100778"/>
    <s v="AB101380"/>
    <x v="1"/>
    <n v="319387"/>
    <x v="1"/>
  </r>
  <r>
    <n v="10076"/>
    <n v="8"/>
    <d v="2013-05-18T00:00:00"/>
    <s v="DVD"/>
    <n v="100778"/>
    <s v="AB101381"/>
    <x v="4"/>
    <n v="319387"/>
    <x v="1"/>
  </r>
  <r>
    <n v="10273"/>
    <n v="9"/>
    <d v="2013-05-18T00:00:00"/>
    <s v="BLU-RAY"/>
    <n v="100779"/>
    <s v="AB101382"/>
    <x v="4"/>
    <n v="929344"/>
    <x v="1"/>
  </r>
  <r>
    <n v="10259"/>
    <n v="3"/>
    <d v="2013-05-18T00:00:00"/>
    <s v="DVD"/>
    <n v="100779"/>
    <s v="AB101383"/>
    <x v="0"/>
    <n v="929344"/>
    <x v="1"/>
  </r>
  <r>
    <n v="10143"/>
    <n v="1"/>
    <d v="2013-05-19T00:00:00"/>
    <s v="BLU-RAY"/>
    <n v="100779"/>
    <s v="AB101384"/>
    <x v="3"/>
    <n v="929344"/>
    <x v="1"/>
  </r>
  <r>
    <n v="10024"/>
    <n v="7"/>
    <d v="2013-05-18T00:00:00"/>
    <s v="DVD"/>
    <n v="100780"/>
    <s v="AB101385"/>
    <x v="9"/>
    <n v="605188"/>
    <x v="1"/>
  </r>
  <r>
    <n v="10068"/>
    <n v="4"/>
    <d v="2013-05-18T00:00:00"/>
    <s v="BLU-RAY"/>
    <n v="100780"/>
    <s v="AB101386"/>
    <x v="0"/>
    <n v="605188"/>
    <x v="1"/>
  </r>
  <r>
    <n v="10193"/>
    <n v="5"/>
    <d v="2013-05-18T00:00:00"/>
    <s v="BLU-RAY"/>
    <n v="100781"/>
    <s v="AB101387"/>
    <x v="9"/>
    <n v="247216"/>
    <x v="1"/>
  </r>
  <r>
    <n v="10156"/>
    <n v="7"/>
    <d v="2013-05-19T00:00:00"/>
    <s v="DVD"/>
    <n v="100781"/>
    <s v="AB101388"/>
    <x v="3"/>
    <n v="247216"/>
    <x v="1"/>
  </r>
  <r>
    <n v="10101"/>
    <n v="6"/>
    <d v="2013-05-19T00:00:00"/>
    <s v="BLU-RAY"/>
    <n v="100782"/>
    <s v="AB101389"/>
    <x v="4"/>
    <n v="317461"/>
    <x v="1"/>
  </r>
  <r>
    <n v="10144"/>
    <n v="2"/>
    <d v="2013-05-19T00:00:00"/>
    <s v="DVD"/>
    <n v="100782"/>
    <s v="AB101390"/>
    <x v="2"/>
    <n v="317461"/>
    <x v="1"/>
  </r>
  <r>
    <n v="10299"/>
    <n v="2"/>
    <d v="2013-05-20T00:00:00"/>
    <s v="BLU-RAY"/>
    <n v="100783"/>
    <s v="AB101391"/>
    <x v="22"/>
    <n v="371731"/>
    <x v="1"/>
  </r>
  <r>
    <n v="10240"/>
    <n v="1"/>
    <d v="2013-05-19T00:00:00"/>
    <s v="DVD"/>
    <n v="100783"/>
    <s v="AB101392"/>
    <x v="0"/>
    <n v="371731"/>
    <x v="1"/>
  </r>
  <r>
    <n v="10031"/>
    <n v="5"/>
    <d v="2013-05-19T00:00:00"/>
    <s v="DVD"/>
    <n v="100784"/>
    <s v="AB101393"/>
    <x v="0"/>
    <n v="814317"/>
    <x v="1"/>
  </r>
  <r>
    <n v="10113"/>
    <n v="2"/>
    <d v="2013-05-19T00:00:00"/>
    <s v="DVD"/>
    <n v="100785"/>
    <s v="AB101394"/>
    <x v="10"/>
    <n v="207846"/>
    <x v="1"/>
  </r>
  <r>
    <n v="10157"/>
    <n v="4"/>
    <d v="2013-05-19T00:00:00"/>
    <s v="DVD"/>
    <n v="100785"/>
    <s v="AB101395"/>
    <x v="1"/>
    <n v="207846"/>
    <x v="1"/>
  </r>
  <r>
    <n v="10228"/>
    <n v="7"/>
    <d v="2013-05-19T00:00:00"/>
    <s v="BLU-RAY"/>
    <n v="100785"/>
    <s v="AB101396"/>
    <x v="7"/>
    <n v="207846"/>
    <x v="1"/>
  </r>
  <r>
    <n v="10064"/>
    <n v="1"/>
    <d v="2013-05-20T00:00:00"/>
    <s v="DVD"/>
    <n v="100786"/>
    <s v="AB101397"/>
    <x v="7"/>
    <n v="917728"/>
    <x v="1"/>
  </r>
  <r>
    <n v="10062"/>
    <n v="2"/>
    <d v="2013-05-19T00:00:00"/>
    <s v="BLU-RAY"/>
    <n v="100787"/>
    <s v="AB101398"/>
    <x v="16"/>
    <n v="757525"/>
    <x v="1"/>
  </r>
  <r>
    <n v="10085"/>
    <n v="1"/>
    <d v="2013-05-19T00:00:00"/>
    <s v="BLU-RAY"/>
    <n v="100787"/>
    <s v="AB101399"/>
    <x v="3"/>
    <n v="757525"/>
    <x v="1"/>
  </r>
  <r>
    <n v="10089"/>
    <n v="3"/>
    <d v="2013-05-20T00:00:00"/>
    <s v="DVD"/>
    <n v="100787"/>
    <s v="AB101400"/>
    <x v="4"/>
    <n v="757525"/>
    <x v="1"/>
  </r>
  <r>
    <n v="10020"/>
    <n v="5"/>
    <d v="2013-05-20T00:00:00"/>
    <s v="DVD"/>
    <n v="100788"/>
    <s v="AB101401"/>
    <x v="16"/>
    <n v="767570"/>
    <x v="1"/>
  </r>
  <r>
    <n v="10124"/>
    <n v="10"/>
    <d v="2013-05-21T00:00:00"/>
    <s v="DVD"/>
    <n v="100788"/>
    <s v="AB101402"/>
    <x v="1"/>
    <n v="767570"/>
    <x v="1"/>
  </r>
  <r>
    <n v="10296"/>
    <n v="10"/>
    <d v="2013-05-21T00:00:00"/>
    <s v="DVD"/>
    <n v="100789"/>
    <s v="AB101403"/>
    <x v="21"/>
    <n v="905670"/>
    <x v="1"/>
  </r>
  <r>
    <n v="10213"/>
    <n v="9"/>
    <d v="2013-05-21T00:00:00"/>
    <s v="BLU-RAY"/>
    <n v="100790"/>
    <s v="AB101404"/>
    <x v="4"/>
    <n v="616028"/>
    <x v="1"/>
  </r>
  <r>
    <n v="10120"/>
    <n v="10"/>
    <d v="2013-05-21T00:00:00"/>
    <s v="BLU-RAY"/>
    <n v="100791"/>
    <s v="AB101405"/>
    <x v="14"/>
    <n v="766737"/>
    <x v="1"/>
  </r>
  <r>
    <n v="10030"/>
    <n v="4"/>
    <d v="2013-05-22T00:00:00"/>
    <s v="DVD"/>
    <n v="100791"/>
    <s v="AB101406"/>
    <x v="0"/>
    <n v="766737"/>
    <x v="1"/>
  </r>
  <r>
    <n v="10041"/>
    <n v="8"/>
    <d v="2013-05-20T00:00:00"/>
    <s v="BLU-RAY"/>
    <n v="100791"/>
    <s v="AB101407"/>
    <x v="10"/>
    <n v="766737"/>
    <x v="1"/>
  </r>
  <r>
    <n v="10284"/>
    <n v="4"/>
    <d v="2013-05-20T00:00:00"/>
    <s v="DVD"/>
    <n v="100792"/>
    <s v="AB101408"/>
    <x v="14"/>
    <n v="888952"/>
    <x v="1"/>
  </r>
  <r>
    <n v="10088"/>
    <n v="6"/>
    <d v="2013-05-20T00:00:00"/>
    <s v="DVD"/>
    <n v="100792"/>
    <s v="AB101409"/>
    <x v="0"/>
    <n v="888952"/>
    <x v="1"/>
  </r>
  <r>
    <n v="10157"/>
    <n v="2"/>
    <d v="2013-05-20T00:00:00"/>
    <s v="DVD"/>
    <n v="100792"/>
    <s v="AB101410"/>
    <x v="1"/>
    <n v="888952"/>
    <x v="1"/>
  </r>
  <r>
    <n v="10286"/>
    <n v="8"/>
    <d v="2013-05-21T00:00:00"/>
    <s v="DVD"/>
    <n v="100793"/>
    <s v="AB101411"/>
    <x v="17"/>
    <n v="319387"/>
    <x v="1"/>
  </r>
  <r>
    <n v="10078"/>
    <n v="5"/>
    <d v="2013-05-21T00:00:00"/>
    <s v="DVD"/>
    <n v="100793"/>
    <s v="AB101412"/>
    <x v="1"/>
    <n v="319387"/>
    <x v="1"/>
  </r>
  <r>
    <n v="10282"/>
    <n v="4"/>
    <d v="2013-05-21T00:00:00"/>
    <s v="DVD"/>
    <n v="100794"/>
    <s v="AB101413"/>
    <x v="15"/>
    <n v="759995"/>
    <x v="1"/>
  </r>
  <r>
    <n v="10041"/>
    <n v="5"/>
    <d v="2013-05-21T00:00:00"/>
    <s v="DVD"/>
    <n v="100794"/>
    <s v="AB101414"/>
    <x v="10"/>
    <n v="759995"/>
    <x v="1"/>
  </r>
  <r>
    <n v="10087"/>
    <n v="7"/>
    <d v="2013-05-21T00:00:00"/>
    <s v="DVD"/>
    <n v="100795"/>
    <s v="AB101415"/>
    <x v="10"/>
    <n v="271531"/>
    <x v="1"/>
  </r>
  <r>
    <n v="10236"/>
    <n v="3"/>
    <d v="2013-05-20T00:00:00"/>
    <s v="DVD"/>
    <n v="100796"/>
    <s v="AB101416"/>
    <x v="10"/>
    <n v="108708"/>
    <x v="1"/>
  </r>
  <r>
    <n v="10037"/>
    <n v="1"/>
    <d v="2013-05-20T00:00:00"/>
    <s v="DVD"/>
    <n v="100796"/>
    <s v="AB101417"/>
    <x v="3"/>
    <n v="108708"/>
    <x v="1"/>
  </r>
  <r>
    <n v="10287"/>
    <n v="1"/>
    <d v="2013-05-21T00:00:00"/>
    <s v="DVD"/>
    <n v="100796"/>
    <s v="AB101418"/>
    <x v="10"/>
    <n v="108708"/>
    <x v="1"/>
  </r>
  <r>
    <n v="10116"/>
    <n v="9"/>
    <d v="2013-05-21T00:00:00"/>
    <s v="DVD"/>
    <n v="100797"/>
    <s v="AB101419"/>
    <x v="7"/>
    <n v="803700"/>
    <x v="1"/>
  </r>
  <r>
    <n v="10174"/>
    <n v="7"/>
    <d v="2013-05-20T00:00:00"/>
    <s v="BLU-RAY"/>
    <n v="100797"/>
    <s v="AB101420"/>
    <x v="7"/>
    <n v="803700"/>
    <x v="1"/>
  </r>
  <r>
    <n v="10004"/>
    <n v="9"/>
    <d v="2013-05-20T00:00:00"/>
    <s v="DVD"/>
    <n v="100797"/>
    <s v="AB101421"/>
    <x v="1"/>
    <n v="803700"/>
    <x v="1"/>
  </r>
  <r>
    <n v="10228"/>
    <n v="10"/>
    <d v="2013-05-21T00:00:00"/>
    <s v="DVD"/>
    <n v="100798"/>
    <s v="AB101422"/>
    <x v="7"/>
    <n v="964403"/>
    <x v="1"/>
  </r>
  <r>
    <n v="10129"/>
    <n v="6"/>
    <d v="2013-05-22T00:00:00"/>
    <s v="DVD"/>
    <n v="100798"/>
    <s v="AB101423"/>
    <x v="0"/>
    <n v="964403"/>
    <x v="1"/>
  </r>
  <r>
    <n v="10093"/>
    <n v="3"/>
    <d v="2013-05-22T00:00:00"/>
    <s v="BLU-RAY"/>
    <n v="100798"/>
    <s v="AB101424"/>
    <x v="11"/>
    <n v="964403"/>
    <x v="1"/>
  </r>
  <r>
    <n v="10070"/>
    <n v="10"/>
    <d v="2013-05-22T00:00:00"/>
    <s v="DVD"/>
    <n v="100799"/>
    <s v="AB101425"/>
    <x v="1"/>
    <n v="317807"/>
    <x v="1"/>
  </r>
  <r>
    <n v="10095"/>
    <n v="2"/>
    <d v="2013-05-22T00:00:00"/>
    <s v="DVD"/>
    <n v="100800"/>
    <s v="AB101426"/>
    <x v="2"/>
    <n v="355107"/>
    <x v="1"/>
  </r>
  <r>
    <n v="10232"/>
    <n v="3"/>
    <d v="2013-05-22T00:00:00"/>
    <s v="DVD"/>
    <n v="100800"/>
    <s v="AB101427"/>
    <x v="1"/>
    <n v="355107"/>
    <x v="1"/>
  </r>
  <r>
    <n v="10167"/>
    <n v="1"/>
    <d v="2013-05-21T00:00:00"/>
    <s v="BLU-RAY"/>
    <n v="100801"/>
    <s v="AB101428"/>
    <x v="7"/>
    <n v="756769"/>
    <x v="1"/>
  </r>
  <r>
    <n v="10298"/>
    <n v="8"/>
    <d v="2013-05-21T00:00:00"/>
    <s v="DVD"/>
    <n v="100801"/>
    <s v="AB101429"/>
    <x v="19"/>
    <n v="756769"/>
    <x v="1"/>
  </r>
  <r>
    <n v="10206"/>
    <n v="10"/>
    <d v="2013-05-22T00:00:00"/>
    <s v="DVD"/>
    <n v="100802"/>
    <s v="AB101430"/>
    <x v="9"/>
    <n v="236554"/>
    <x v="1"/>
  </r>
  <r>
    <n v="10121"/>
    <n v="5"/>
    <d v="2013-05-22T00:00:00"/>
    <s v="BLU-RAY"/>
    <n v="100802"/>
    <s v="AB101431"/>
    <x v="2"/>
    <n v="236554"/>
    <x v="1"/>
  </r>
  <r>
    <n v="10216"/>
    <n v="1"/>
    <d v="2013-05-21T00:00:00"/>
    <s v="BLU-RAY"/>
    <n v="100803"/>
    <s v="AB101432"/>
    <x v="4"/>
    <n v="558749"/>
    <x v="1"/>
  </r>
  <r>
    <n v="10211"/>
    <n v="9"/>
    <d v="2013-05-21T00:00:00"/>
    <s v="DVD"/>
    <n v="100804"/>
    <s v="AB101433"/>
    <x v="3"/>
    <n v="227456"/>
    <x v="1"/>
  </r>
  <r>
    <n v="10077"/>
    <n v="1"/>
    <d v="2013-05-21T00:00:00"/>
    <s v="BLU-RAY"/>
    <n v="100805"/>
    <s v="AB101434"/>
    <x v="0"/>
    <n v="189441"/>
    <x v="1"/>
  </r>
  <r>
    <n v="10246"/>
    <n v="1"/>
    <d v="2013-05-22T00:00:00"/>
    <s v="BLU-RAY"/>
    <n v="100806"/>
    <s v="AB101435"/>
    <x v="2"/>
    <n v="842028"/>
    <x v="1"/>
  </r>
  <r>
    <n v="10267"/>
    <n v="3"/>
    <d v="2013-05-21T00:00:00"/>
    <s v="BLU-RAY"/>
    <n v="100806"/>
    <s v="AB101436"/>
    <x v="6"/>
    <n v="842028"/>
    <x v="1"/>
  </r>
  <r>
    <n v="10138"/>
    <n v="10"/>
    <d v="2013-05-22T00:00:00"/>
    <s v="BLU-RAY"/>
    <n v="100807"/>
    <s v="AB101437"/>
    <x v="7"/>
    <n v="168607"/>
    <x v="1"/>
  </r>
  <r>
    <n v="10296"/>
    <n v="8"/>
    <d v="2013-05-21T00:00:00"/>
    <s v="BLU-RAY"/>
    <n v="100807"/>
    <s v="AB101438"/>
    <x v="21"/>
    <n v="168607"/>
    <x v="1"/>
  </r>
  <r>
    <n v="10247"/>
    <n v="6"/>
    <d v="2013-05-22T00:00:00"/>
    <s v="DVD"/>
    <n v="100808"/>
    <s v="AB101439"/>
    <x v="9"/>
    <n v="743517"/>
    <x v="1"/>
  </r>
  <r>
    <n v="10140"/>
    <n v="9"/>
    <d v="2013-05-21T00:00:00"/>
    <s v="DVD"/>
    <n v="100808"/>
    <s v="AB101440"/>
    <x v="2"/>
    <n v="743517"/>
    <x v="1"/>
  </r>
  <r>
    <n v="10042"/>
    <n v="5"/>
    <d v="2013-05-22T00:00:00"/>
    <s v="DVD"/>
    <n v="100809"/>
    <s v="AB101441"/>
    <x v="1"/>
    <n v="580783"/>
    <x v="1"/>
  </r>
  <r>
    <n v="10001"/>
    <n v="8"/>
    <d v="2013-05-22T00:00:00"/>
    <s v="BLU-RAY"/>
    <n v="100810"/>
    <s v="AB101442"/>
    <x v="14"/>
    <n v="418635"/>
    <x v="1"/>
  </r>
  <r>
    <n v="10236"/>
    <n v="10"/>
    <d v="2013-05-22T00:00:00"/>
    <s v="DVD"/>
    <n v="100811"/>
    <s v="AB101443"/>
    <x v="10"/>
    <n v="556152"/>
    <x v="1"/>
  </r>
  <r>
    <n v="10225"/>
    <n v="7"/>
    <d v="2013-05-22T00:00:00"/>
    <s v="BLU-RAY"/>
    <n v="100812"/>
    <s v="AB101444"/>
    <x v="0"/>
    <n v="265133"/>
    <x v="1"/>
  </r>
  <r>
    <n v="10137"/>
    <n v="4"/>
    <d v="2013-05-23T00:00:00"/>
    <s v="BLU-RAY"/>
    <n v="100813"/>
    <s v="AB101445"/>
    <x v="3"/>
    <n v="191951"/>
    <x v="1"/>
  </r>
  <r>
    <n v="10241"/>
    <n v="3"/>
    <d v="2013-05-22T00:00:00"/>
    <s v="BLU-RAY"/>
    <n v="100814"/>
    <s v="AB101446"/>
    <x v="0"/>
    <n v="471187"/>
    <x v="1"/>
  </r>
  <r>
    <n v="10121"/>
    <n v="4"/>
    <d v="2013-05-23T00:00:00"/>
    <s v="BLU-RAY"/>
    <n v="100814"/>
    <s v="AB101447"/>
    <x v="2"/>
    <n v="471187"/>
    <x v="1"/>
  </r>
  <r>
    <n v="10131"/>
    <n v="10"/>
    <d v="2013-05-23T00:00:00"/>
    <s v="DVD"/>
    <n v="100815"/>
    <s v="AB101448"/>
    <x v="0"/>
    <n v="421074"/>
    <x v="1"/>
  </r>
  <r>
    <n v="10284"/>
    <n v="9"/>
    <d v="2013-05-24T00:00:00"/>
    <s v="DVD"/>
    <n v="100815"/>
    <s v="AB101449"/>
    <x v="14"/>
    <n v="421074"/>
    <x v="1"/>
  </r>
  <r>
    <n v="10272"/>
    <n v="6"/>
    <d v="2013-05-23T00:00:00"/>
    <s v="BLU-RAY"/>
    <n v="100816"/>
    <s v="AB101450"/>
    <x v="4"/>
    <n v="468100"/>
    <x v="1"/>
  </r>
  <r>
    <n v="10205"/>
    <n v="7"/>
    <d v="2013-05-24T00:00:00"/>
    <s v="BLU-RAY"/>
    <n v="100817"/>
    <s v="AB101451"/>
    <x v="1"/>
    <n v="380003"/>
    <x v="1"/>
  </r>
  <r>
    <n v="10051"/>
    <n v="2"/>
    <d v="2013-05-26T00:00:00"/>
    <s v="BLU-RAY"/>
    <n v="100818"/>
    <s v="AB101452"/>
    <x v="1"/>
    <n v="884368"/>
    <x v="1"/>
  </r>
  <r>
    <n v="10069"/>
    <n v="9"/>
    <d v="2013-05-24T00:00:00"/>
    <s v="BLU-RAY"/>
    <n v="100819"/>
    <s v="AB101453"/>
    <x v="0"/>
    <n v="880238"/>
    <x v="1"/>
  </r>
  <r>
    <n v="10093"/>
    <n v="2"/>
    <d v="2013-05-24T00:00:00"/>
    <s v="DVD"/>
    <n v="100820"/>
    <s v="AB101454"/>
    <x v="11"/>
    <n v="515753"/>
    <x v="1"/>
  </r>
  <r>
    <n v="10259"/>
    <n v="1"/>
    <d v="2013-05-24T00:00:00"/>
    <s v="DVD"/>
    <n v="100821"/>
    <s v="AB101455"/>
    <x v="0"/>
    <n v="352644"/>
    <x v="1"/>
  </r>
  <r>
    <n v="10024"/>
    <n v="4"/>
    <d v="2013-05-24T00:00:00"/>
    <s v="BLU-RAY"/>
    <n v="100822"/>
    <s v="AB101456"/>
    <x v="9"/>
    <n v="271531"/>
    <x v="1"/>
  </r>
  <r>
    <n v="10121"/>
    <n v="2"/>
    <d v="2013-05-26T00:00:00"/>
    <s v="BLU-RAY"/>
    <n v="100822"/>
    <s v="AB101457"/>
    <x v="2"/>
    <n v="271531"/>
    <x v="1"/>
  </r>
  <r>
    <n v="10140"/>
    <n v="7"/>
    <d v="2013-05-25T00:00:00"/>
    <s v="DVD"/>
    <n v="100823"/>
    <s v="AB101458"/>
    <x v="2"/>
    <n v="559054"/>
    <x v="1"/>
  </r>
  <r>
    <n v="10032"/>
    <n v="8"/>
    <d v="2013-05-25T00:00:00"/>
    <s v="DVD"/>
    <n v="100824"/>
    <s v="AB101459"/>
    <x v="4"/>
    <n v="605188"/>
    <x v="1"/>
  </r>
  <r>
    <n v="10183"/>
    <n v="10"/>
    <d v="2013-05-26T00:00:00"/>
    <s v="DVD"/>
    <n v="100825"/>
    <s v="AB101460"/>
    <x v="4"/>
    <n v="833180"/>
    <x v="1"/>
  </r>
  <r>
    <n v="10130"/>
    <n v="3"/>
    <d v="2013-05-25T00:00:00"/>
    <s v="BLU-RAY"/>
    <n v="100826"/>
    <s v="AB101461"/>
    <x v="21"/>
    <n v="974503"/>
    <x v="1"/>
  </r>
  <r>
    <n v="10090"/>
    <n v="2"/>
    <d v="2013-05-25T00:00:00"/>
    <s v="DVD"/>
    <n v="100826"/>
    <s v="AB101462"/>
    <x v="1"/>
    <n v="974503"/>
    <x v="1"/>
  </r>
  <r>
    <n v="10036"/>
    <n v="2"/>
    <d v="2013-05-25T00:00:00"/>
    <s v="DVD"/>
    <n v="100827"/>
    <s v="AB101463"/>
    <x v="7"/>
    <n v="567388"/>
    <x v="1"/>
  </r>
  <r>
    <n v="10073"/>
    <n v="6"/>
    <d v="2013-05-25T00:00:00"/>
    <s v="DVD"/>
    <n v="100827"/>
    <s v="AB101464"/>
    <x v="16"/>
    <n v="567388"/>
    <x v="1"/>
  </r>
  <r>
    <n v="10168"/>
    <n v="7"/>
    <d v="2013-05-26T00:00:00"/>
    <s v="BLU-RAY"/>
    <n v="100828"/>
    <s v="AB101465"/>
    <x v="1"/>
    <n v="548800"/>
    <x v="1"/>
  </r>
  <r>
    <n v="10189"/>
    <n v="9"/>
    <d v="2013-05-27T00:00:00"/>
    <s v="DVD"/>
    <n v="100828"/>
    <s v="AB101466"/>
    <x v="7"/>
    <n v="548800"/>
    <x v="1"/>
  </r>
  <r>
    <n v="10259"/>
    <n v="3"/>
    <d v="2013-05-26T00:00:00"/>
    <s v="DVD"/>
    <n v="100828"/>
    <s v="AB101467"/>
    <x v="0"/>
    <n v="548800"/>
    <x v="1"/>
  </r>
  <r>
    <n v="10185"/>
    <n v="2"/>
    <d v="2013-05-26T00:00:00"/>
    <s v="BLU-RAY"/>
    <n v="100829"/>
    <s v="AB101468"/>
    <x v="0"/>
    <n v="912671"/>
    <x v="1"/>
  </r>
  <r>
    <n v="10199"/>
    <n v="1"/>
    <d v="2013-05-26T00:00:00"/>
    <s v="DVD"/>
    <n v="100829"/>
    <s v="AB101469"/>
    <x v="10"/>
    <n v="912671"/>
    <x v="1"/>
  </r>
  <r>
    <n v="10221"/>
    <n v="2"/>
    <d v="2013-05-26T00:00:00"/>
    <s v="DVD"/>
    <n v="100830"/>
    <s v="AB101470"/>
    <x v="9"/>
    <n v="513968"/>
    <x v="1"/>
  </r>
  <r>
    <n v="10197"/>
    <n v="2"/>
    <d v="2013-05-26T00:00:00"/>
    <s v="DVD"/>
    <n v="100830"/>
    <s v="AB101471"/>
    <x v="0"/>
    <n v="513968"/>
    <x v="1"/>
  </r>
  <r>
    <n v="10295"/>
    <n v="4"/>
    <d v="2013-05-26T00:00:00"/>
    <s v="DVD"/>
    <n v="100831"/>
    <s v="AB101472"/>
    <x v="21"/>
    <n v="162236"/>
    <x v="1"/>
  </r>
  <r>
    <n v="10202"/>
    <n v="1"/>
    <d v="2013-05-27T00:00:00"/>
    <s v="DVD"/>
    <n v="100832"/>
    <s v="AB101473"/>
    <x v="0"/>
    <n v="170500"/>
    <x v="1"/>
  </r>
  <r>
    <n v="10286"/>
    <n v="1"/>
    <d v="2013-05-28T00:00:00"/>
    <s v="DVD"/>
    <n v="100832"/>
    <s v="AB101474"/>
    <x v="17"/>
    <n v="170500"/>
    <x v="1"/>
  </r>
  <r>
    <n v="10168"/>
    <n v="9"/>
    <d v="2013-05-26T00:00:00"/>
    <s v="BLU-RAY"/>
    <n v="100833"/>
    <s v="AB101475"/>
    <x v="1"/>
    <n v="478274"/>
    <x v="1"/>
  </r>
  <r>
    <n v="10291"/>
    <n v="1"/>
    <d v="2013-05-26T00:00:00"/>
    <s v="DVD"/>
    <n v="100833"/>
    <s v="AB101476"/>
    <x v="0"/>
    <n v="478274"/>
    <x v="1"/>
  </r>
  <r>
    <n v="10284"/>
    <n v="5"/>
    <d v="2013-05-28T00:00:00"/>
    <s v="BLU-RAY"/>
    <n v="100834"/>
    <s v="AB101477"/>
    <x v="14"/>
    <n v="926144"/>
    <x v="1"/>
  </r>
  <r>
    <n v="10111"/>
    <n v="7"/>
    <d v="2013-05-27T00:00:00"/>
    <s v="DVD"/>
    <n v="100834"/>
    <s v="AB101478"/>
    <x v="9"/>
    <n v="926144"/>
    <x v="1"/>
  </r>
  <r>
    <n v="10227"/>
    <n v="6"/>
    <d v="2013-05-26T00:00:00"/>
    <s v="BLU-RAY"/>
    <n v="100835"/>
    <s v="AB101479"/>
    <x v="14"/>
    <n v="672834"/>
    <x v="1"/>
  </r>
  <r>
    <n v="10225"/>
    <n v="4"/>
    <d v="2013-05-26T00:00:00"/>
    <s v="BLU-RAY"/>
    <n v="100835"/>
    <s v="AB101480"/>
    <x v="0"/>
    <n v="672834"/>
    <x v="1"/>
  </r>
  <r>
    <n v="10174"/>
    <n v="10"/>
    <d v="2013-05-26T00:00:00"/>
    <s v="DVD"/>
    <n v="100835"/>
    <s v="AB101481"/>
    <x v="7"/>
    <n v="672834"/>
    <x v="1"/>
  </r>
  <r>
    <n v="10127"/>
    <n v="10"/>
    <d v="2013-05-27T00:00:00"/>
    <s v="DVD"/>
    <n v="100836"/>
    <s v="AB101482"/>
    <x v="6"/>
    <n v="346006"/>
    <x v="1"/>
  </r>
  <r>
    <n v="10288"/>
    <n v="4"/>
    <d v="2013-05-27T00:00:00"/>
    <s v="DVD"/>
    <n v="100836"/>
    <s v="AB101483"/>
    <x v="12"/>
    <n v="346006"/>
    <x v="1"/>
  </r>
  <r>
    <n v="10272"/>
    <n v="5"/>
    <d v="2013-05-27T00:00:00"/>
    <s v="BLU-RAY"/>
    <n v="100837"/>
    <s v="AB101484"/>
    <x v="4"/>
    <n v="908768"/>
    <x v="1"/>
  </r>
  <r>
    <n v="10148"/>
    <n v="7"/>
    <d v="2013-05-28T00:00:00"/>
    <s v="DVD"/>
    <n v="100838"/>
    <s v="AB101485"/>
    <x v="1"/>
    <n v="781523"/>
    <x v="1"/>
  </r>
  <r>
    <n v="10286"/>
    <n v="6"/>
    <d v="2013-05-27T00:00:00"/>
    <s v="BLU-RAY"/>
    <n v="100839"/>
    <s v="AB101486"/>
    <x v="17"/>
    <n v="464782"/>
    <x v="1"/>
  </r>
  <r>
    <n v="10005"/>
    <n v="10"/>
    <d v="2013-05-29T00:00:00"/>
    <s v="DVD"/>
    <n v="100839"/>
    <s v="AB101487"/>
    <x v="3"/>
    <n v="464782"/>
    <x v="1"/>
  </r>
  <r>
    <n v="10184"/>
    <n v="9"/>
    <d v="2013-05-27T00:00:00"/>
    <s v="BLU-RAY"/>
    <n v="100840"/>
    <s v="AB101488"/>
    <x v="7"/>
    <n v="329994"/>
    <x v="1"/>
  </r>
  <r>
    <n v="10110"/>
    <n v="4"/>
    <d v="2013-05-27T00:00:00"/>
    <s v="BLU-RAY"/>
    <n v="100841"/>
    <s v="AB101489"/>
    <x v="0"/>
    <n v="116934"/>
    <x v="1"/>
  </r>
  <r>
    <n v="10217"/>
    <n v="7"/>
    <d v="2013-05-27T00:00:00"/>
    <s v="BLU-RAY"/>
    <n v="100841"/>
    <s v="AB101490"/>
    <x v="0"/>
    <n v="116934"/>
    <x v="1"/>
  </r>
  <r>
    <n v="10099"/>
    <n v="3"/>
    <d v="2013-05-28T00:00:00"/>
    <s v="DVD"/>
    <n v="100842"/>
    <s v="AB101491"/>
    <x v="10"/>
    <n v="170500"/>
    <x v="1"/>
  </r>
  <r>
    <n v="10269"/>
    <n v="6"/>
    <d v="2013-05-27T00:00:00"/>
    <s v="DVD"/>
    <n v="100843"/>
    <s v="AB101492"/>
    <x v="3"/>
    <n v="478274"/>
    <x v="1"/>
  </r>
  <r>
    <n v="10115"/>
    <n v="10"/>
    <d v="2013-05-27T00:00:00"/>
    <s v="DVD"/>
    <n v="100843"/>
    <s v="AB101493"/>
    <x v="11"/>
    <n v="478274"/>
    <x v="1"/>
  </r>
  <r>
    <n v="10080"/>
    <n v="10"/>
    <d v="2013-05-29T00:00:00"/>
    <s v="BLU-RAY"/>
    <n v="100843"/>
    <s v="AB101494"/>
    <x v="3"/>
    <n v="478274"/>
    <x v="1"/>
  </r>
  <r>
    <n v="10250"/>
    <n v="4"/>
    <d v="2013-05-29T00:00:00"/>
    <s v="DVD"/>
    <n v="100844"/>
    <s v="AB101495"/>
    <x v="3"/>
    <n v="178806"/>
    <x v="1"/>
  </r>
  <r>
    <n v="10284"/>
    <n v="10"/>
    <d v="2013-05-30T00:00:00"/>
    <s v="DVD"/>
    <n v="100844"/>
    <s v="AB101496"/>
    <x v="14"/>
    <n v="178806"/>
    <x v="1"/>
  </r>
  <r>
    <n v="10132"/>
    <n v="5"/>
    <d v="2013-05-28T00:00:00"/>
    <s v="BLU-RAY"/>
    <n v="100845"/>
    <s v="AB101497"/>
    <x v="10"/>
    <n v="253106"/>
    <x v="1"/>
  </r>
  <r>
    <n v="10180"/>
    <n v="9"/>
    <d v="2013-05-28T00:00:00"/>
    <s v="DVD"/>
    <n v="100846"/>
    <s v="AB101498"/>
    <x v="12"/>
    <n v="676018"/>
    <x v="1"/>
  </r>
  <r>
    <n v="10271"/>
    <n v="5"/>
    <d v="2013-05-28T00:00:00"/>
    <s v="DVD"/>
    <n v="100846"/>
    <s v="AB101499"/>
    <x v="7"/>
    <n v="676018"/>
    <x v="1"/>
  </r>
  <r>
    <n v="10136"/>
    <n v="9"/>
    <d v="2013-05-28T00:00:00"/>
    <s v="DVD"/>
    <n v="100847"/>
    <s v="AB101500"/>
    <x v="2"/>
    <n v="199895"/>
    <x v="1"/>
  </r>
  <r>
    <n v="10041"/>
    <n v="3"/>
    <d v="2013-05-28T00:00:00"/>
    <s v="DVD"/>
    <n v="100847"/>
    <s v="AB101501"/>
    <x v="10"/>
    <n v="199895"/>
    <x v="1"/>
  </r>
  <r>
    <n v="10058"/>
    <n v="3"/>
    <d v="2013-05-29T00:00:00"/>
    <s v="DVD"/>
    <n v="100848"/>
    <s v="AB101502"/>
    <x v="4"/>
    <n v="932618"/>
    <x v="1"/>
  </r>
  <r>
    <n v="10262"/>
    <n v="9"/>
    <d v="2013-05-29T00:00:00"/>
    <s v="DVD"/>
    <n v="100848"/>
    <s v="AB101503"/>
    <x v="10"/>
    <n v="932618"/>
    <x v="1"/>
  </r>
  <r>
    <n v="10097"/>
    <n v="3"/>
    <d v="2013-05-30T00:00:00"/>
    <s v="DVD"/>
    <n v="100849"/>
    <s v="AB101504"/>
    <x v="8"/>
    <n v="932618"/>
    <x v="1"/>
  </r>
  <r>
    <n v="10213"/>
    <n v="6"/>
    <d v="2013-05-29T00:00:00"/>
    <s v="DVD"/>
    <n v="100850"/>
    <s v="AB101505"/>
    <x v="4"/>
    <n v="785444"/>
    <x v="1"/>
  </r>
  <r>
    <n v="10110"/>
    <n v="7"/>
    <d v="2013-05-30T00:00:00"/>
    <s v="BLU-RAY"/>
    <n v="100851"/>
    <s v="AB101506"/>
    <x v="0"/>
    <n v="616028"/>
    <x v="1"/>
  </r>
  <r>
    <n v="10164"/>
    <n v="7"/>
    <d v="2013-05-29T00:00:00"/>
    <s v="BLU-RAY"/>
    <n v="100851"/>
    <s v="AB101507"/>
    <x v="2"/>
    <n v="616028"/>
    <x v="1"/>
  </r>
  <r>
    <n v="10011"/>
    <n v="5"/>
    <d v="2013-05-29T00:00:00"/>
    <s v="BLU-RAY"/>
    <n v="100852"/>
    <s v="AB101508"/>
    <x v="3"/>
    <n v="694281"/>
    <x v="1"/>
  </r>
  <r>
    <n v="10073"/>
    <n v="1"/>
    <d v="2013-05-29T00:00:00"/>
    <s v="BLU-RAY"/>
    <n v="100852"/>
    <s v="AB101509"/>
    <x v="16"/>
    <n v="694281"/>
    <x v="1"/>
  </r>
  <r>
    <n v="10193"/>
    <n v="3"/>
    <d v="2013-05-30T00:00:00"/>
    <s v="BLU-RAY"/>
    <n v="100853"/>
    <s v="AB101510"/>
    <x v="9"/>
    <n v="649551"/>
    <x v="1"/>
  </r>
  <r>
    <n v="10288"/>
    <n v="8"/>
    <d v="2013-05-29T00:00:00"/>
    <s v="BLU-RAY"/>
    <n v="100853"/>
    <s v="AB101511"/>
    <x v="12"/>
    <n v="649551"/>
    <x v="1"/>
  </r>
  <r>
    <n v="10202"/>
    <n v="9"/>
    <d v="2013-05-29T00:00:00"/>
    <s v="DVD"/>
    <n v="100853"/>
    <s v="AB101512"/>
    <x v="0"/>
    <n v="649551"/>
    <x v="1"/>
  </r>
  <r>
    <n v="10023"/>
    <n v="10"/>
    <d v="2013-05-29T00:00:00"/>
    <s v="DVD"/>
    <n v="100854"/>
    <s v="AB101513"/>
    <x v="3"/>
    <n v="200272"/>
    <x v="1"/>
  </r>
  <r>
    <n v="10255"/>
    <n v="10"/>
    <d v="2013-05-30T00:00:00"/>
    <s v="BLU-RAY"/>
    <n v="100854"/>
    <s v="AB101514"/>
    <x v="1"/>
    <n v="200272"/>
    <x v="1"/>
  </r>
  <r>
    <n v="10018"/>
    <n v="6"/>
    <d v="2013-05-30T00:00:00"/>
    <s v="DVD"/>
    <n v="100855"/>
    <s v="AB101515"/>
    <x v="9"/>
    <n v="938393"/>
    <x v="1"/>
  </r>
  <r>
    <n v="10076"/>
    <n v="7"/>
    <d v="2013-05-30T00:00:00"/>
    <s v="BLU-RAY"/>
    <n v="100856"/>
    <s v="AB101516"/>
    <x v="4"/>
    <n v="825249"/>
    <x v="1"/>
  </r>
  <r>
    <n v="10095"/>
    <n v="3"/>
    <d v="2013-05-29T00:00:00"/>
    <s v="BLU-RAY"/>
    <n v="100856"/>
    <s v="AB101517"/>
    <x v="2"/>
    <n v="825249"/>
    <x v="1"/>
  </r>
  <r>
    <n v="10064"/>
    <n v="6"/>
    <d v="2013-05-30T00:00:00"/>
    <s v="BLU-RAY"/>
    <n v="100857"/>
    <s v="AB101518"/>
    <x v="7"/>
    <n v="742620"/>
    <x v="1"/>
  </r>
  <r>
    <n v="10097"/>
    <n v="6"/>
    <d v="2013-05-30T00:00:00"/>
    <s v="DVD"/>
    <n v="100857"/>
    <s v="AB101519"/>
    <x v="8"/>
    <n v="742620"/>
    <x v="1"/>
  </r>
  <r>
    <n v="10231"/>
    <n v="8"/>
    <d v="2013-05-31T00:00:00"/>
    <s v="BLU-RAY"/>
    <n v="100857"/>
    <s v="AB101520"/>
    <x v="7"/>
    <n v="742620"/>
    <x v="1"/>
  </r>
  <r>
    <n v="10090"/>
    <n v="8"/>
    <d v="2013-05-30T00:00:00"/>
    <s v="DVD"/>
    <n v="100858"/>
    <s v="AB101521"/>
    <x v="1"/>
    <n v="414509"/>
    <x v="1"/>
  </r>
  <r>
    <n v="10003"/>
    <n v="9"/>
    <d v="2013-05-30T00:00:00"/>
    <s v="BLU-RAY"/>
    <n v="100859"/>
    <s v="AB101522"/>
    <x v="1"/>
    <n v="242720"/>
    <x v="1"/>
  </r>
  <r>
    <n v="10102"/>
    <n v="7"/>
    <d v="2013-06-01T00:00:00"/>
    <s v="DVD"/>
    <n v="100860"/>
    <s v="AB101523"/>
    <x v="7"/>
    <n v="256181"/>
    <x v="1"/>
  </r>
  <r>
    <n v="10030"/>
    <n v="10"/>
    <d v="2013-05-31T00:00:00"/>
    <s v="BLU-RAY"/>
    <n v="100861"/>
    <s v="AB101524"/>
    <x v="0"/>
    <n v="611848"/>
    <x v="1"/>
  </r>
  <r>
    <n v="10027"/>
    <n v="3"/>
    <d v="2013-05-31T00:00:00"/>
    <s v="DVD"/>
    <n v="100861"/>
    <s v="AB101525"/>
    <x v="16"/>
    <n v="611848"/>
    <x v="1"/>
  </r>
  <r>
    <n v="10241"/>
    <n v="7"/>
    <d v="2013-05-31T00:00:00"/>
    <s v="DVD"/>
    <n v="100861"/>
    <s v="AB101526"/>
    <x v="0"/>
    <n v="611848"/>
    <x v="1"/>
  </r>
  <r>
    <n v="10266"/>
    <n v="1"/>
    <d v="2013-05-31T00:00:00"/>
    <s v="DVD"/>
    <n v="100862"/>
    <s v="AB101527"/>
    <x v="4"/>
    <n v="441628"/>
    <x v="1"/>
  </r>
  <r>
    <n v="10056"/>
    <n v="3"/>
    <d v="2013-05-31T00:00:00"/>
    <s v="DVD"/>
    <n v="100863"/>
    <s v="AB101528"/>
    <x v="8"/>
    <n v="818287"/>
    <x v="1"/>
  </r>
  <r>
    <n v="10114"/>
    <n v="5"/>
    <d v="2013-05-31T00:00:00"/>
    <s v="DVD"/>
    <n v="100863"/>
    <s v="AB101529"/>
    <x v="10"/>
    <n v="818287"/>
    <x v="1"/>
  </r>
  <r>
    <n v="10286"/>
    <n v="1"/>
    <d v="2013-06-01T00:00:00"/>
    <s v="DVD"/>
    <n v="100864"/>
    <s v="AB101530"/>
    <x v="17"/>
    <n v="912671"/>
    <x v="1"/>
  </r>
  <r>
    <n v="10003"/>
    <n v="9"/>
    <d v="2013-05-31T00:00:00"/>
    <s v="DVD"/>
    <n v="100864"/>
    <s v="AB101531"/>
    <x v="1"/>
    <n v="912671"/>
    <x v="1"/>
  </r>
  <r>
    <n v="10014"/>
    <n v="3"/>
    <d v="2013-05-31T00:00:00"/>
    <s v="DVD"/>
    <n v="100865"/>
    <s v="AB101532"/>
    <x v="0"/>
    <n v="253106"/>
    <x v="1"/>
  </r>
  <r>
    <n v="10199"/>
    <n v="2"/>
    <d v="2013-06-01T00:00:00"/>
    <s v="DVD"/>
    <n v="100866"/>
    <s v="AB101533"/>
    <x v="10"/>
    <n v="276549"/>
    <x v="1"/>
  </r>
  <r>
    <n v="10274"/>
    <n v="3"/>
    <d v="2013-05-31T00:00:00"/>
    <s v="DVD"/>
    <n v="100866"/>
    <s v="AB101534"/>
    <x v="9"/>
    <n v="276549"/>
    <x v="1"/>
  </r>
  <r>
    <n v="10119"/>
    <n v="8"/>
    <d v="2013-05-31T00:00:00"/>
    <s v="DVD"/>
    <n v="100866"/>
    <s v="AB101535"/>
    <x v="7"/>
    <n v="276549"/>
    <x v="1"/>
  </r>
  <r>
    <n v="10063"/>
    <n v="1"/>
    <d v="2013-05-31T00:00:00"/>
    <s v="DVD"/>
    <n v="100867"/>
    <s v="AB101536"/>
    <x v="18"/>
    <n v="302774"/>
    <x v="1"/>
  </r>
  <r>
    <n v="10237"/>
    <n v="1"/>
    <d v="2013-05-31T00:00:00"/>
    <s v="BLU-RAY"/>
    <n v="100867"/>
    <s v="AB101537"/>
    <x v="0"/>
    <n v="302774"/>
    <x v="1"/>
  </r>
  <r>
    <n v="10165"/>
    <n v="4"/>
    <d v="2013-06-01T00:00:00"/>
    <s v="DVD"/>
    <n v="100868"/>
    <s v="AB101538"/>
    <x v="2"/>
    <n v="189441"/>
    <x v="1"/>
  </r>
  <r>
    <n v="10114"/>
    <n v="7"/>
    <d v="2013-05-31T00:00:00"/>
    <s v="DVD"/>
    <n v="100869"/>
    <s v="AB101539"/>
    <x v="10"/>
    <n v="785444"/>
    <x v="1"/>
  </r>
  <r>
    <n v="10215"/>
    <n v="4"/>
    <d v="2013-05-31T00:00:00"/>
    <s v="DVD"/>
    <n v="100869"/>
    <s v="AB101540"/>
    <x v="1"/>
    <n v="785444"/>
    <x v="1"/>
  </r>
  <r>
    <n v="10124"/>
    <n v="7"/>
    <d v="2013-06-01T00:00:00"/>
    <s v="BLU-RAY"/>
    <n v="100869"/>
    <s v="AB101541"/>
    <x v="1"/>
    <n v="785444"/>
    <x v="1"/>
  </r>
  <r>
    <n v="10169"/>
    <n v="3"/>
    <d v="2013-06-01T00:00:00"/>
    <s v="BLU-RAY"/>
    <n v="100870"/>
    <s v="AB101542"/>
    <x v="0"/>
    <n v="108708"/>
    <x v="1"/>
  </r>
  <r>
    <n v="10195"/>
    <n v="4"/>
    <d v="2013-06-01T00:00:00"/>
    <s v="DVD"/>
    <n v="100871"/>
    <s v="AB101543"/>
    <x v="4"/>
    <n v="534481"/>
    <x v="1"/>
  </r>
  <r>
    <n v="10240"/>
    <n v="9"/>
    <d v="2013-06-01T00:00:00"/>
    <s v="DVD"/>
    <n v="100872"/>
    <s v="AB101544"/>
    <x v="0"/>
    <n v="808421"/>
    <x v="1"/>
  </r>
  <r>
    <n v="10111"/>
    <n v="5"/>
    <d v="2013-06-01T00:00:00"/>
    <s v="DVD"/>
    <n v="100873"/>
    <s v="AB101545"/>
    <x v="9"/>
    <n v="448739"/>
    <x v="1"/>
  </r>
  <r>
    <n v="10055"/>
    <n v="3"/>
    <d v="2013-06-01T00:00:00"/>
    <s v="BLU-RAY"/>
    <n v="100873"/>
    <s v="AB101546"/>
    <x v="15"/>
    <n v="448739"/>
    <x v="1"/>
  </r>
  <r>
    <n v="10101"/>
    <n v="7"/>
    <d v="2013-06-01T00:00:00"/>
    <s v="DVD"/>
    <n v="100873"/>
    <s v="AB101547"/>
    <x v="4"/>
    <n v="448739"/>
    <x v="1"/>
  </r>
  <r>
    <n v="10235"/>
    <n v="7"/>
    <d v="2013-06-01T00:00:00"/>
    <s v="BLU-RAY"/>
    <n v="100874"/>
    <s v="AB101548"/>
    <x v="10"/>
    <n v="719921"/>
    <x v="1"/>
  </r>
  <r>
    <n v="10031"/>
    <n v="6"/>
    <d v="2013-06-01T00:00:00"/>
    <s v="DVD"/>
    <n v="100874"/>
    <s v="AB101549"/>
    <x v="0"/>
    <n v="719921"/>
    <x v="1"/>
  </r>
  <r>
    <n v="10150"/>
    <n v="5"/>
    <d v="2013-06-01T00:00:00"/>
    <s v="BLU-RAY"/>
    <n v="100874"/>
    <s v="AB101550"/>
    <x v="14"/>
    <n v="719921"/>
    <x v="1"/>
  </r>
  <r>
    <n v="10183"/>
    <n v="7"/>
    <d v="2013-06-01T00:00:00"/>
    <s v="DVD"/>
    <n v="100874"/>
    <s v="AB101551"/>
    <x v="4"/>
    <n v="719921"/>
    <x v="1"/>
  </r>
  <r>
    <n v="10040"/>
    <n v="6"/>
    <d v="2013-06-01T00:00:00"/>
    <s v="BLU-RAY"/>
    <n v="100875"/>
    <s v="AB101552"/>
    <x v="7"/>
    <n v="632495"/>
    <x v="1"/>
  </r>
  <r>
    <n v="10212"/>
    <n v="6"/>
    <d v="2013-06-02T00:00:00"/>
    <s v="BLU-RAY"/>
    <n v="100875"/>
    <s v="AB101553"/>
    <x v="10"/>
    <n v="632495"/>
    <x v="1"/>
  </r>
  <r>
    <n v="10200"/>
    <n v="9"/>
    <d v="2013-06-01T00:00:00"/>
    <s v="DVD"/>
    <n v="100876"/>
    <s v="AB101554"/>
    <x v="9"/>
    <n v="783369"/>
    <x v="1"/>
  </r>
  <r>
    <n v="10034"/>
    <n v="7"/>
    <d v="2013-06-02T00:00:00"/>
    <s v="BLU-RAY"/>
    <n v="100877"/>
    <s v="AB101555"/>
    <x v="10"/>
    <n v="756928"/>
    <x v="1"/>
  </r>
  <r>
    <n v="10244"/>
    <n v="7"/>
    <d v="2013-06-02T00:00:00"/>
    <s v="BLU-RAY"/>
    <n v="100878"/>
    <s v="AB101556"/>
    <x v="4"/>
    <n v="417823"/>
    <x v="1"/>
  </r>
  <r>
    <n v="10170"/>
    <n v="1"/>
    <d v="2013-06-02T00:00:00"/>
    <s v="DVD"/>
    <n v="100878"/>
    <s v="AB101557"/>
    <x v="15"/>
    <n v="417823"/>
    <x v="1"/>
  </r>
  <r>
    <n v="10105"/>
    <n v="2"/>
    <d v="2013-06-03T00:00:00"/>
    <s v="BLU-RAY"/>
    <n v="100878"/>
    <s v="AB101558"/>
    <x v="2"/>
    <n v="417823"/>
    <x v="1"/>
  </r>
  <r>
    <n v="10056"/>
    <n v="2"/>
    <d v="2013-06-02T00:00:00"/>
    <s v="BLU-RAY"/>
    <n v="100879"/>
    <s v="AB101559"/>
    <x v="8"/>
    <n v="646953"/>
    <x v="1"/>
  </r>
  <r>
    <n v="10262"/>
    <n v="1"/>
    <d v="2013-06-02T00:00:00"/>
    <s v="BLU-RAY"/>
    <n v="100880"/>
    <s v="AB101560"/>
    <x v="10"/>
    <n v="158310"/>
    <x v="1"/>
  </r>
  <r>
    <n v="10095"/>
    <n v="9"/>
    <d v="2013-06-02T00:00:00"/>
    <s v="DVD"/>
    <n v="100880"/>
    <s v="AB101561"/>
    <x v="2"/>
    <n v="158310"/>
    <x v="1"/>
  </r>
  <r>
    <n v="10052"/>
    <n v="2"/>
    <d v="2013-06-02T00:00:00"/>
    <s v="DVD"/>
    <n v="100881"/>
    <s v="AB101562"/>
    <x v="0"/>
    <n v="301793"/>
    <x v="1"/>
  </r>
  <r>
    <n v="10008"/>
    <n v="3"/>
    <d v="2013-06-03T00:00:00"/>
    <s v="DVD"/>
    <n v="100882"/>
    <s v="AB101563"/>
    <x v="4"/>
    <n v="611848"/>
    <x v="1"/>
  </r>
  <r>
    <n v="10242"/>
    <n v="1"/>
    <d v="2013-06-02T00:00:00"/>
    <s v="BLU-RAY"/>
    <n v="100882"/>
    <s v="AB101564"/>
    <x v="3"/>
    <n v="611848"/>
    <x v="1"/>
  </r>
  <r>
    <n v="10272"/>
    <n v="6"/>
    <d v="2013-06-04T00:00:00"/>
    <s v="DVD"/>
    <n v="100883"/>
    <s v="AB101565"/>
    <x v="4"/>
    <n v="757525"/>
    <x v="1"/>
  </r>
  <r>
    <n v="10260"/>
    <n v="8"/>
    <d v="2013-06-03T00:00:00"/>
    <s v="BLU-RAY"/>
    <n v="100884"/>
    <s v="AB101566"/>
    <x v="4"/>
    <n v="996970"/>
    <x v="1"/>
  </r>
  <r>
    <n v="10038"/>
    <n v="5"/>
    <d v="2013-06-02T00:00:00"/>
    <s v="BLU-RAY"/>
    <n v="100884"/>
    <s v="AB101567"/>
    <x v="1"/>
    <n v="996970"/>
    <x v="1"/>
  </r>
  <r>
    <n v="10197"/>
    <n v="2"/>
    <d v="2013-06-02T00:00:00"/>
    <s v="DVD"/>
    <n v="100885"/>
    <s v="AB101568"/>
    <x v="0"/>
    <n v="205190"/>
    <x v="1"/>
  </r>
  <r>
    <n v="10237"/>
    <n v="8"/>
    <d v="2013-06-02T00:00:00"/>
    <s v="BLU-RAY"/>
    <n v="100885"/>
    <s v="AB101569"/>
    <x v="0"/>
    <n v="205190"/>
    <x v="1"/>
  </r>
  <r>
    <n v="10135"/>
    <n v="5"/>
    <d v="2013-06-03T00:00:00"/>
    <s v="BLU-RAY"/>
    <n v="100886"/>
    <s v="AB101570"/>
    <x v="7"/>
    <n v="432268"/>
    <x v="1"/>
  </r>
  <r>
    <n v="10188"/>
    <n v="7"/>
    <d v="2013-06-04T00:00:00"/>
    <s v="DVD"/>
    <n v="100887"/>
    <s v="AB101571"/>
    <x v="1"/>
    <n v="385115"/>
    <x v="1"/>
  </r>
  <r>
    <n v="10291"/>
    <n v="7"/>
    <d v="2013-06-05T00:00:00"/>
    <s v="BLU-RAY"/>
    <n v="100888"/>
    <s v="AB101572"/>
    <x v="0"/>
    <n v="336644"/>
    <x v="1"/>
  </r>
  <r>
    <n v="10080"/>
    <n v="10"/>
    <d v="2013-06-03T00:00:00"/>
    <s v="DVD"/>
    <n v="100888"/>
    <s v="AB101573"/>
    <x v="3"/>
    <n v="336644"/>
    <x v="1"/>
  </r>
  <r>
    <n v="10065"/>
    <n v="2"/>
    <d v="2013-06-03T00:00:00"/>
    <s v="DVD"/>
    <n v="100889"/>
    <s v="AB101574"/>
    <x v="0"/>
    <n v="493552"/>
    <x v="1"/>
  </r>
  <r>
    <n v="10052"/>
    <n v="4"/>
    <d v="2013-06-03T00:00:00"/>
    <s v="DVD"/>
    <n v="100890"/>
    <s v="AB101575"/>
    <x v="0"/>
    <n v="822823"/>
    <x v="1"/>
  </r>
  <r>
    <n v="10165"/>
    <n v="6"/>
    <d v="2013-06-04T00:00:00"/>
    <s v="DVD"/>
    <n v="100891"/>
    <s v="AB101576"/>
    <x v="2"/>
    <n v="426984"/>
    <x v="1"/>
  </r>
  <r>
    <n v="10197"/>
    <n v="4"/>
    <d v="2013-06-05T00:00:00"/>
    <s v="BLU-RAY"/>
    <n v="100892"/>
    <s v="AB101577"/>
    <x v="0"/>
    <n v="738357"/>
    <x v="1"/>
  </r>
  <r>
    <n v="10013"/>
    <n v="10"/>
    <d v="2013-06-05T00:00:00"/>
    <s v="BLU-RAY"/>
    <n v="100893"/>
    <s v="AB101578"/>
    <x v="11"/>
    <n v="128131"/>
    <x v="1"/>
  </r>
  <r>
    <n v="10244"/>
    <n v="2"/>
    <d v="2013-06-04T00:00:00"/>
    <s v="DVD"/>
    <n v="100893"/>
    <s v="AB101579"/>
    <x v="4"/>
    <n v="128131"/>
    <x v="1"/>
  </r>
  <r>
    <n v="10232"/>
    <n v="10"/>
    <d v="2013-06-04T00:00:00"/>
    <s v="DVD"/>
    <n v="100894"/>
    <s v="AB101580"/>
    <x v="1"/>
    <n v="250266"/>
    <x v="1"/>
  </r>
  <r>
    <n v="10210"/>
    <n v="5"/>
    <d v="2013-06-04T00:00:00"/>
    <s v="DVD"/>
    <n v="100894"/>
    <s v="AB101581"/>
    <x v="4"/>
    <n v="250266"/>
    <x v="1"/>
  </r>
  <r>
    <n v="10247"/>
    <n v="4"/>
    <d v="2013-06-05T00:00:00"/>
    <s v="DVD"/>
    <n v="100895"/>
    <s v="AB101582"/>
    <x v="9"/>
    <n v="266633"/>
    <x v="1"/>
  </r>
  <r>
    <n v="10192"/>
    <n v="6"/>
    <d v="2013-06-05T00:00:00"/>
    <s v="DVD"/>
    <n v="100895"/>
    <s v="AB101583"/>
    <x v="7"/>
    <n v="266633"/>
    <x v="1"/>
  </r>
  <r>
    <n v="10285"/>
    <n v="9"/>
    <d v="2013-06-04T00:00:00"/>
    <s v="DVD"/>
    <n v="100896"/>
    <s v="AB101584"/>
    <x v="20"/>
    <n v="344702"/>
    <x v="1"/>
  </r>
  <r>
    <n v="10005"/>
    <n v="2"/>
    <d v="2013-06-04T00:00:00"/>
    <s v="BLU-RAY"/>
    <n v="100896"/>
    <s v="AB101585"/>
    <x v="3"/>
    <n v="344702"/>
    <x v="1"/>
  </r>
  <r>
    <n v="10269"/>
    <n v="1"/>
    <d v="2013-06-04T00:00:00"/>
    <s v="DVD"/>
    <n v="100897"/>
    <s v="AB101586"/>
    <x v="3"/>
    <n v="160392"/>
    <x v="1"/>
  </r>
  <r>
    <n v="10073"/>
    <n v="10"/>
    <d v="2013-06-06T00:00:00"/>
    <s v="DVD"/>
    <n v="100898"/>
    <s v="AB101587"/>
    <x v="16"/>
    <n v="352644"/>
    <x v="1"/>
  </r>
  <r>
    <n v="10243"/>
    <n v="9"/>
    <d v="2013-06-04T00:00:00"/>
    <s v="BLU-RAY"/>
    <n v="100898"/>
    <s v="AB101588"/>
    <x v="9"/>
    <n v="352644"/>
    <x v="1"/>
  </r>
  <r>
    <n v="10226"/>
    <n v="3"/>
    <d v="2013-06-04T00:00:00"/>
    <s v="DVD"/>
    <n v="100899"/>
    <s v="AB101589"/>
    <x v="4"/>
    <n v="676155"/>
    <x v="1"/>
  </r>
  <r>
    <n v="10018"/>
    <n v="3"/>
    <d v="2013-06-04T00:00:00"/>
    <s v="DVD"/>
    <n v="100899"/>
    <s v="AB101590"/>
    <x v="9"/>
    <n v="676155"/>
    <x v="1"/>
  </r>
  <r>
    <n v="10046"/>
    <n v="9"/>
    <d v="2013-06-04T00:00:00"/>
    <s v="DVD"/>
    <n v="100900"/>
    <s v="AB101591"/>
    <x v="4"/>
    <n v="710047"/>
    <x v="1"/>
  </r>
  <r>
    <n v="10213"/>
    <n v="3"/>
    <d v="2013-06-04T00:00:00"/>
    <s v="BLU-RAY"/>
    <n v="100900"/>
    <s v="AB101592"/>
    <x v="4"/>
    <n v="710047"/>
    <x v="1"/>
  </r>
  <r>
    <n v="10113"/>
    <n v="7"/>
    <d v="2013-06-05T00:00:00"/>
    <s v="DVD"/>
    <n v="100901"/>
    <s v="AB101593"/>
    <x v="10"/>
    <n v="559688"/>
    <x v="1"/>
  </r>
  <r>
    <n v="10136"/>
    <n v="9"/>
    <d v="2013-06-05T00:00:00"/>
    <s v="DVD"/>
    <n v="100902"/>
    <s v="AB101594"/>
    <x v="2"/>
    <n v="961080"/>
    <x v="1"/>
  </r>
  <r>
    <n v="10234"/>
    <n v="3"/>
    <d v="2013-06-05T00:00:00"/>
    <s v="DVD"/>
    <n v="100903"/>
    <s v="AB101595"/>
    <x v="0"/>
    <n v="559054"/>
    <x v="1"/>
  </r>
  <r>
    <n v="10216"/>
    <n v="6"/>
    <d v="2013-06-05T00:00:00"/>
    <s v="DVD"/>
    <n v="100904"/>
    <s v="AB101596"/>
    <x v="4"/>
    <n v="741398"/>
    <x v="1"/>
  </r>
  <r>
    <n v="10087"/>
    <n v="2"/>
    <d v="2013-06-05T00:00:00"/>
    <s v="BLU-RAY"/>
    <n v="100905"/>
    <s v="AB101597"/>
    <x v="10"/>
    <n v="147216"/>
    <x v="1"/>
  </r>
  <r>
    <n v="10260"/>
    <n v="3"/>
    <d v="2013-06-06T00:00:00"/>
    <s v="BLU-RAY"/>
    <n v="100905"/>
    <s v="AB101598"/>
    <x v="4"/>
    <n v="147216"/>
    <x v="1"/>
  </r>
  <r>
    <n v="10104"/>
    <n v="9"/>
    <d v="2013-06-06T00:00:00"/>
    <s v="BLU-RAY"/>
    <n v="100906"/>
    <s v="AB101599"/>
    <x v="7"/>
    <n v="418506"/>
    <x v="1"/>
  </r>
  <r>
    <n v="10298"/>
    <n v="8"/>
    <d v="2013-06-07T00:00:00"/>
    <s v="BLU-RAY"/>
    <n v="100907"/>
    <s v="AB101600"/>
    <x v="19"/>
    <n v="888759"/>
    <x v="1"/>
  </r>
  <r>
    <n v="10052"/>
    <n v="8"/>
    <d v="2013-06-07T00:00:00"/>
    <s v="BLU-RAY"/>
    <n v="100908"/>
    <s v="AB101601"/>
    <x v="0"/>
    <n v="249779"/>
    <x v="1"/>
  </r>
  <r>
    <n v="10268"/>
    <n v="4"/>
    <d v="2013-06-07T00:00:00"/>
    <s v="BLU-RAY"/>
    <n v="100909"/>
    <s v="AB101602"/>
    <x v="3"/>
    <n v="921792"/>
    <x v="1"/>
  </r>
  <r>
    <n v="10289"/>
    <n v="8"/>
    <d v="2013-06-07T00:00:00"/>
    <s v="DVD"/>
    <n v="100910"/>
    <s v="AB101603"/>
    <x v="11"/>
    <n v="756928"/>
    <x v="1"/>
  </r>
  <r>
    <n v="10269"/>
    <n v="10"/>
    <d v="2013-06-07T00:00:00"/>
    <s v="BLU-RAY"/>
    <n v="100911"/>
    <s v="AB101604"/>
    <x v="3"/>
    <n v="407605"/>
    <x v="1"/>
  </r>
  <r>
    <n v="10241"/>
    <n v="8"/>
    <d v="2013-06-06T00:00:00"/>
    <s v="BLU-RAY"/>
    <n v="100911"/>
    <s v="AB101605"/>
    <x v="0"/>
    <n v="407605"/>
    <x v="1"/>
  </r>
  <r>
    <n v="10015"/>
    <n v="4"/>
    <d v="2013-06-06T00:00:00"/>
    <s v="BLU-RAY"/>
    <n v="100912"/>
    <s v="AB101606"/>
    <x v="6"/>
    <n v="407605"/>
    <x v="1"/>
  </r>
  <r>
    <n v="10057"/>
    <n v="1"/>
    <d v="2013-06-07T00:00:00"/>
    <s v="BLU-RAY"/>
    <n v="100913"/>
    <s v="AB101607"/>
    <x v="0"/>
    <n v="308505"/>
    <x v="1"/>
  </r>
  <r>
    <n v="10042"/>
    <n v="3"/>
    <d v="2013-06-07T00:00:00"/>
    <s v="BLU-RAY"/>
    <n v="100914"/>
    <s v="AB101608"/>
    <x v="1"/>
    <n v="101811"/>
    <x v="1"/>
  </r>
  <r>
    <n v="10288"/>
    <n v="8"/>
    <d v="2013-06-07T00:00:00"/>
    <s v="DVD"/>
    <n v="100915"/>
    <s v="AB101609"/>
    <x v="12"/>
    <n v="520196"/>
    <x v="1"/>
  </r>
  <r>
    <n v="10208"/>
    <n v="9"/>
    <d v="2013-06-07T00:00:00"/>
    <s v="DVD"/>
    <n v="100916"/>
    <s v="AB101610"/>
    <x v="0"/>
    <n v="283158"/>
    <x v="1"/>
  </r>
  <r>
    <n v="10126"/>
    <n v="2"/>
    <d v="2013-06-07T00:00:00"/>
    <s v="BLU-RAY"/>
    <n v="100917"/>
    <s v="AB101611"/>
    <x v="9"/>
    <n v="488295"/>
    <x v="1"/>
  </r>
  <r>
    <n v="10258"/>
    <n v="7"/>
    <d v="2013-06-08T00:00:00"/>
    <s v="DVD"/>
    <n v="100917"/>
    <s v="AB101612"/>
    <x v="0"/>
    <n v="488295"/>
    <x v="1"/>
  </r>
  <r>
    <n v="10120"/>
    <n v="6"/>
    <d v="2013-06-07T00:00:00"/>
    <s v="DVD"/>
    <n v="100917"/>
    <s v="AB101613"/>
    <x v="14"/>
    <n v="488295"/>
    <x v="1"/>
  </r>
  <r>
    <n v="10236"/>
    <n v="6"/>
    <d v="2013-06-08T00:00:00"/>
    <s v="DVD"/>
    <n v="100918"/>
    <s v="AB101614"/>
    <x v="10"/>
    <n v="814317"/>
    <x v="1"/>
  </r>
  <r>
    <n v="10230"/>
    <n v="2"/>
    <d v="2013-06-08T00:00:00"/>
    <s v="DVD"/>
    <n v="100919"/>
    <s v="AB101615"/>
    <x v="14"/>
    <n v="413495"/>
    <x v="1"/>
  </r>
  <r>
    <n v="10083"/>
    <n v="7"/>
    <d v="2013-06-08T00:00:00"/>
    <s v="BLU-RAY"/>
    <n v="100920"/>
    <s v="AB101616"/>
    <x v="3"/>
    <n v="846558"/>
    <x v="1"/>
  </r>
  <r>
    <n v="10178"/>
    <n v="1"/>
    <d v="2013-06-09T00:00:00"/>
    <s v="BLU-RAY"/>
    <n v="100921"/>
    <s v="AB101617"/>
    <x v="0"/>
    <n v="308505"/>
    <x v="1"/>
  </r>
  <r>
    <n v="10115"/>
    <n v="5"/>
    <d v="2013-06-08T00:00:00"/>
    <s v="DVD"/>
    <n v="100921"/>
    <s v="AB101618"/>
    <x v="11"/>
    <n v="308505"/>
    <x v="1"/>
  </r>
  <r>
    <n v="10157"/>
    <n v="1"/>
    <d v="2013-06-08T00:00:00"/>
    <s v="BLU-RAY"/>
    <n v="100922"/>
    <s v="AB101619"/>
    <x v="1"/>
    <n v="465275"/>
    <x v="1"/>
  </r>
  <r>
    <n v="10184"/>
    <n v="3"/>
    <d v="2013-06-08T00:00:00"/>
    <s v="BLU-RAY"/>
    <n v="100922"/>
    <s v="AB101620"/>
    <x v="7"/>
    <n v="465275"/>
    <x v="1"/>
  </r>
  <r>
    <n v="10288"/>
    <n v="10"/>
    <d v="2013-06-08T00:00:00"/>
    <s v="BLU-RAY"/>
    <n v="100923"/>
    <s v="AB101621"/>
    <x v="12"/>
    <n v="608290"/>
    <x v="1"/>
  </r>
  <r>
    <n v="10295"/>
    <n v="6"/>
    <d v="2013-06-08T00:00:00"/>
    <s v="DVD"/>
    <n v="100923"/>
    <s v="AB101622"/>
    <x v="21"/>
    <n v="608290"/>
    <x v="1"/>
  </r>
  <r>
    <n v="10133"/>
    <n v="2"/>
    <d v="2013-06-09T00:00:00"/>
    <s v="BLU-RAY"/>
    <n v="100924"/>
    <s v="AB101623"/>
    <x v="9"/>
    <n v="344702"/>
    <x v="1"/>
  </r>
  <r>
    <n v="10039"/>
    <n v="7"/>
    <d v="2013-06-08T00:00:00"/>
    <s v="BLU-RAY"/>
    <n v="100924"/>
    <s v="AB101624"/>
    <x v="11"/>
    <n v="344702"/>
    <x v="1"/>
  </r>
  <r>
    <n v="10168"/>
    <n v="9"/>
    <d v="2013-06-09T00:00:00"/>
    <s v="BLU-RAY"/>
    <n v="100925"/>
    <s v="AB101625"/>
    <x v="1"/>
    <n v="225489"/>
    <x v="1"/>
  </r>
  <r>
    <n v="10049"/>
    <n v="8"/>
    <d v="2013-06-09T00:00:00"/>
    <s v="DVD"/>
    <n v="100925"/>
    <s v="AB101626"/>
    <x v="7"/>
    <n v="225489"/>
    <x v="1"/>
  </r>
  <r>
    <n v="10112"/>
    <n v="3"/>
    <d v="2013-06-09T00:00:00"/>
    <s v="BLU-RAY"/>
    <n v="100925"/>
    <s v="AB101627"/>
    <x v="12"/>
    <n v="225489"/>
    <x v="1"/>
  </r>
  <r>
    <n v="10078"/>
    <n v="6"/>
    <d v="2013-06-10T00:00:00"/>
    <s v="DVD"/>
    <n v="100926"/>
    <s v="AB101628"/>
    <x v="1"/>
    <n v="249779"/>
    <x v="1"/>
  </r>
  <r>
    <n v="10279"/>
    <n v="1"/>
    <d v="2013-06-09T00:00:00"/>
    <s v="BLU-RAY"/>
    <n v="100927"/>
    <s v="AB101629"/>
    <x v="8"/>
    <n v="563468"/>
    <x v="1"/>
  </r>
  <r>
    <n v="10088"/>
    <n v="3"/>
    <d v="2013-06-10T00:00:00"/>
    <s v="BLU-RAY"/>
    <n v="100927"/>
    <s v="AB101630"/>
    <x v="0"/>
    <n v="563468"/>
    <x v="1"/>
  </r>
  <r>
    <n v="10003"/>
    <n v="3"/>
    <d v="2013-06-09T00:00:00"/>
    <s v="BLU-RAY"/>
    <n v="100927"/>
    <s v="AB101631"/>
    <x v="1"/>
    <n v="563468"/>
    <x v="1"/>
  </r>
  <r>
    <n v="10154"/>
    <n v="3"/>
    <d v="2013-06-09T00:00:00"/>
    <s v="BLU-RAY"/>
    <n v="100928"/>
    <s v="AB101632"/>
    <x v="5"/>
    <n v="892883"/>
    <x v="1"/>
  </r>
  <r>
    <n v="10163"/>
    <n v="3"/>
    <d v="2013-06-09T00:00:00"/>
    <s v="DVD"/>
    <n v="100928"/>
    <s v="AB101633"/>
    <x v="0"/>
    <n v="892883"/>
    <x v="1"/>
  </r>
  <r>
    <n v="10072"/>
    <n v="3"/>
    <d v="2013-06-11T00:00:00"/>
    <s v="DVD"/>
    <n v="100929"/>
    <s v="AB101634"/>
    <x v="1"/>
    <n v="437454"/>
    <x v="1"/>
  </r>
  <r>
    <n v="10110"/>
    <n v="6"/>
    <d v="2013-06-10T00:00:00"/>
    <s v="DVD"/>
    <n v="100929"/>
    <s v="AB101635"/>
    <x v="0"/>
    <n v="437454"/>
    <x v="1"/>
  </r>
  <r>
    <n v="10236"/>
    <n v="8"/>
    <d v="2013-06-10T00:00:00"/>
    <s v="DVD"/>
    <n v="100929"/>
    <s v="AB101636"/>
    <x v="10"/>
    <n v="437454"/>
    <x v="1"/>
  </r>
  <r>
    <n v="10001"/>
    <n v="2"/>
    <d v="2013-06-12T00:00:00"/>
    <s v="DVD"/>
    <n v="100930"/>
    <s v="AB101637"/>
    <x v="14"/>
    <n v="912671"/>
    <x v="1"/>
  </r>
  <r>
    <n v="10040"/>
    <n v="7"/>
    <d v="2013-06-10T00:00:00"/>
    <s v="DVD"/>
    <n v="100931"/>
    <s v="AB101638"/>
    <x v="7"/>
    <n v="885548"/>
    <x v="1"/>
  </r>
  <r>
    <n v="10025"/>
    <n v="3"/>
    <d v="2013-06-10T00:00:00"/>
    <s v="DVD"/>
    <n v="100932"/>
    <s v="AB101639"/>
    <x v="4"/>
    <n v="814317"/>
    <x v="1"/>
  </r>
  <r>
    <n v="10047"/>
    <n v="9"/>
    <d v="2013-06-13T00:00:00"/>
    <s v="DVD"/>
    <n v="100932"/>
    <s v="AB101640"/>
    <x v="0"/>
    <n v="814317"/>
    <x v="1"/>
  </r>
  <r>
    <n v="10296"/>
    <n v="5"/>
    <d v="2013-06-10T00:00:00"/>
    <s v="DVD"/>
    <n v="100933"/>
    <s v="AB101641"/>
    <x v="21"/>
    <n v="515753"/>
    <x v="1"/>
  </r>
  <r>
    <n v="10072"/>
    <n v="2"/>
    <d v="2013-06-10T00:00:00"/>
    <s v="BLU-RAY"/>
    <n v="100933"/>
    <s v="AB101642"/>
    <x v="1"/>
    <n v="515753"/>
    <x v="1"/>
  </r>
  <r>
    <n v="10296"/>
    <n v="9"/>
    <d v="2013-06-10T00:00:00"/>
    <s v="DVD"/>
    <n v="100934"/>
    <s v="AB101643"/>
    <x v="21"/>
    <n v="817500"/>
    <x v="1"/>
  </r>
  <r>
    <n v="10273"/>
    <n v="10"/>
    <d v="2013-06-10T00:00:00"/>
    <s v="DVD"/>
    <n v="100934"/>
    <s v="AB101644"/>
    <x v="4"/>
    <n v="817500"/>
    <x v="1"/>
  </r>
  <r>
    <n v="10160"/>
    <n v="10"/>
    <d v="2013-06-10T00:00:00"/>
    <s v="BLU-RAY"/>
    <n v="100934"/>
    <s v="AB101645"/>
    <x v="10"/>
    <n v="817500"/>
    <x v="1"/>
  </r>
  <r>
    <n v="10182"/>
    <n v="4"/>
    <d v="2013-06-11T00:00:00"/>
    <s v="BLU-RAY"/>
    <n v="100935"/>
    <s v="AB101646"/>
    <x v="0"/>
    <n v="308505"/>
    <x v="1"/>
  </r>
  <r>
    <n v="10050"/>
    <n v="2"/>
    <d v="2013-06-11T00:00:00"/>
    <s v="BLU-RAY"/>
    <n v="100936"/>
    <s v="AB101647"/>
    <x v="1"/>
    <n v="147543"/>
    <x v="1"/>
  </r>
  <r>
    <n v="10063"/>
    <n v="3"/>
    <d v="2013-06-11T00:00:00"/>
    <s v="DVD"/>
    <n v="100936"/>
    <s v="AB101648"/>
    <x v="18"/>
    <n v="147543"/>
    <x v="1"/>
  </r>
  <r>
    <n v="10260"/>
    <n v="7"/>
    <d v="2013-06-11T00:00:00"/>
    <s v="BLU-RAY"/>
    <n v="100937"/>
    <s v="AB101649"/>
    <x v="4"/>
    <n v="567388"/>
    <x v="1"/>
  </r>
  <r>
    <n v="10071"/>
    <n v="10"/>
    <d v="2013-06-12T00:00:00"/>
    <s v="DVD"/>
    <n v="100937"/>
    <s v="AB101650"/>
    <x v="1"/>
    <n v="567388"/>
    <x v="1"/>
  </r>
  <r>
    <n v="10053"/>
    <n v="7"/>
    <d v="2013-06-11T00:00:00"/>
    <s v="BLU-RAY"/>
    <n v="100938"/>
    <s v="AB101651"/>
    <x v="4"/>
    <n v="720602"/>
    <x v="1"/>
  </r>
  <r>
    <n v="10020"/>
    <n v="8"/>
    <d v="2013-06-11T00:00:00"/>
    <s v="BLU-RAY"/>
    <n v="100939"/>
    <s v="AB101652"/>
    <x v="16"/>
    <n v="363931"/>
    <x v="1"/>
  </r>
  <r>
    <n v="10230"/>
    <n v="8"/>
    <d v="2013-06-11T00:00:00"/>
    <s v="BLU-RAY"/>
    <n v="100939"/>
    <s v="AB101653"/>
    <x v="14"/>
    <n v="363931"/>
    <x v="1"/>
  </r>
  <r>
    <n v="10044"/>
    <n v="2"/>
    <d v="2013-06-11T00:00:00"/>
    <s v="DVD"/>
    <n v="100940"/>
    <s v="AB101654"/>
    <x v="3"/>
    <n v="537796"/>
    <x v="1"/>
  </r>
  <r>
    <n v="10235"/>
    <n v="1"/>
    <d v="2013-06-12T00:00:00"/>
    <s v="DVD"/>
    <n v="100940"/>
    <s v="AB101655"/>
    <x v="10"/>
    <n v="537796"/>
    <x v="1"/>
  </r>
  <r>
    <n v="10138"/>
    <n v="4"/>
    <d v="2013-06-12T00:00:00"/>
    <s v="DVD"/>
    <n v="100940"/>
    <s v="AB101656"/>
    <x v="7"/>
    <n v="537796"/>
    <x v="1"/>
  </r>
  <r>
    <n v="10019"/>
    <n v="9"/>
    <d v="2013-06-11T00:00:00"/>
    <s v="BLU-RAY"/>
    <n v="100941"/>
    <s v="AB101657"/>
    <x v="9"/>
    <n v="782947"/>
    <x v="1"/>
  </r>
  <r>
    <n v="10272"/>
    <n v="8"/>
    <d v="2013-06-11T00:00:00"/>
    <s v="BLU-RAY"/>
    <n v="100942"/>
    <s v="AB101658"/>
    <x v="4"/>
    <n v="500350"/>
    <x v="1"/>
  </r>
  <r>
    <n v="10293"/>
    <n v="8"/>
    <d v="2013-06-11T00:00:00"/>
    <s v="BLU-RAY"/>
    <n v="100943"/>
    <s v="AB101659"/>
    <x v="12"/>
    <n v="994185"/>
    <x v="1"/>
  </r>
  <r>
    <n v="10081"/>
    <n v="6"/>
    <d v="2013-06-12T00:00:00"/>
    <s v="BLU-RAY"/>
    <n v="100943"/>
    <s v="AB101660"/>
    <x v="2"/>
    <n v="994185"/>
    <x v="1"/>
  </r>
  <r>
    <n v="10232"/>
    <n v="10"/>
    <d v="2013-06-11T00:00:00"/>
    <s v="DVD"/>
    <n v="100944"/>
    <s v="AB101661"/>
    <x v="1"/>
    <n v="548800"/>
    <x v="1"/>
  </r>
  <r>
    <n v="10139"/>
    <n v="3"/>
    <d v="2013-06-11T00:00:00"/>
    <s v="DVD"/>
    <n v="100944"/>
    <s v="AB101662"/>
    <x v="14"/>
    <n v="548800"/>
    <x v="1"/>
  </r>
  <r>
    <n v="10121"/>
    <n v="3"/>
    <d v="2013-06-11T00:00:00"/>
    <s v="BLU-RAY"/>
    <n v="100945"/>
    <s v="AB101663"/>
    <x v="2"/>
    <n v="500828"/>
    <x v="1"/>
  </r>
  <r>
    <n v="10218"/>
    <n v="7"/>
    <d v="2013-06-12T00:00:00"/>
    <s v="DVD"/>
    <n v="100946"/>
    <s v="AB101664"/>
    <x v="4"/>
    <n v="761615"/>
    <x v="1"/>
  </r>
  <r>
    <n v="10162"/>
    <n v="1"/>
    <d v="2013-06-12T00:00:00"/>
    <s v="DVD"/>
    <n v="100946"/>
    <s v="AB101665"/>
    <x v="4"/>
    <n v="761615"/>
    <x v="1"/>
  </r>
  <r>
    <n v="10165"/>
    <n v="2"/>
    <d v="2013-06-12T00:00:00"/>
    <s v="DVD"/>
    <n v="100946"/>
    <s v="AB101666"/>
    <x v="2"/>
    <n v="761615"/>
    <x v="1"/>
  </r>
  <r>
    <n v="10249"/>
    <n v="8"/>
    <d v="2013-06-12T00:00:00"/>
    <s v="DVD"/>
    <n v="100947"/>
    <s v="AB101667"/>
    <x v="5"/>
    <n v="822823"/>
    <x v="1"/>
  </r>
  <r>
    <n v="10085"/>
    <n v="3"/>
    <d v="2013-06-12T00:00:00"/>
    <s v="DVD"/>
    <n v="100947"/>
    <s v="AB101668"/>
    <x v="3"/>
    <n v="822823"/>
    <x v="1"/>
  </r>
  <r>
    <n v="10014"/>
    <n v="9"/>
    <d v="2013-06-12T00:00:00"/>
    <s v="BLU-RAY"/>
    <n v="100948"/>
    <s v="AB101669"/>
    <x v="0"/>
    <n v="736500"/>
    <x v="1"/>
  </r>
  <r>
    <n v="10295"/>
    <n v="5"/>
    <d v="2013-06-13T00:00:00"/>
    <s v="BLU-RAY"/>
    <n v="100948"/>
    <s v="AB101670"/>
    <x v="21"/>
    <n v="736500"/>
    <x v="1"/>
  </r>
  <r>
    <n v="10032"/>
    <n v="6"/>
    <d v="2013-06-13T00:00:00"/>
    <s v="DVD"/>
    <n v="100949"/>
    <s v="AB101671"/>
    <x v="4"/>
    <n v="336644"/>
    <x v="1"/>
  </r>
  <r>
    <n v="10276"/>
    <n v="4"/>
    <d v="2013-06-12T00:00:00"/>
    <s v="DVD"/>
    <n v="100949"/>
    <s v="AB101672"/>
    <x v="16"/>
    <n v="336644"/>
    <x v="1"/>
  </r>
  <r>
    <n v="10101"/>
    <n v="2"/>
    <d v="2013-06-13T00:00:00"/>
    <s v="BLU-RAY"/>
    <n v="100950"/>
    <s v="AB101673"/>
    <x v="4"/>
    <n v="738357"/>
    <x v="1"/>
  </r>
  <r>
    <n v="10292"/>
    <n v="10"/>
    <d v="2013-06-13T00:00:00"/>
    <s v="DVD"/>
    <n v="100950"/>
    <s v="AB101674"/>
    <x v="15"/>
    <n v="738357"/>
    <x v="1"/>
  </r>
  <r>
    <n v="10059"/>
    <n v="3"/>
    <d v="2013-06-12T00:00:00"/>
    <s v="DVD"/>
    <n v="100951"/>
    <s v="AB101675"/>
    <x v="7"/>
    <n v="366695"/>
    <x v="1"/>
  </r>
  <r>
    <n v="10032"/>
    <n v="9"/>
    <d v="2013-06-13T00:00:00"/>
    <s v="BLU-RAY"/>
    <n v="100951"/>
    <s v="AB101676"/>
    <x v="4"/>
    <n v="366695"/>
    <x v="1"/>
  </r>
  <r>
    <n v="10152"/>
    <n v="10"/>
    <d v="2013-06-13T00:00:00"/>
    <s v="DVD"/>
    <n v="100952"/>
    <s v="AB101677"/>
    <x v="16"/>
    <n v="706884"/>
    <x v="1"/>
  </r>
  <r>
    <n v="10024"/>
    <n v="8"/>
    <d v="2013-06-13T00:00:00"/>
    <s v="BLU-RAY"/>
    <n v="100952"/>
    <s v="AB101678"/>
    <x v="9"/>
    <n v="706884"/>
    <x v="1"/>
  </r>
  <r>
    <n v="10284"/>
    <n v="2"/>
    <d v="2013-06-13T00:00:00"/>
    <s v="DVD"/>
    <n v="100953"/>
    <s v="AB101679"/>
    <x v="14"/>
    <n v="616258"/>
    <x v="1"/>
  </r>
  <r>
    <n v="10170"/>
    <n v="10"/>
    <d v="2013-06-14T00:00:00"/>
    <s v="DVD"/>
    <n v="100954"/>
    <s v="AB101680"/>
    <x v="15"/>
    <n v="194680"/>
    <x v="1"/>
  </r>
  <r>
    <n v="10223"/>
    <n v="2"/>
    <d v="2013-06-13T00:00:00"/>
    <s v="DVD"/>
    <n v="100954"/>
    <s v="AB101681"/>
    <x v="7"/>
    <n v="194680"/>
    <x v="1"/>
  </r>
  <r>
    <n v="10232"/>
    <n v="8"/>
    <d v="2013-06-14T00:00:00"/>
    <s v="BLU-RAY"/>
    <n v="100955"/>
    <s v="AB101682"/>
    <x v="1"/>
    <n v="777145"/>
    <x v="1"/>
  </r>
  <r>
    <n v="10076"/>
    <n v="3"/>
    <d v="2013-06-15T00:00:00"/>
    <s v="BLU-RAY"/>
    <n v="100955"/>
    <s v="AB101683"/>
    <x v="4"/>
    <n v="777145"/>
    <x v="1"/>
  </r>
  <r>
    <n v="10046"/>
    <n v="7"/>
    <d v="2013-06-17T00:00:00"/>
    <s v="BLU-RAY"/>
    <n v="100955"/>
    <s v="AB101684"/>
    <x v="4"/>
    <n v="777145"/>
    <x v="1"/>
  </r>
  <r>
    <n v="10056"/>
    <n v="9"/>
    <d v="2013-06-14T00:00:00"/>
    <s v="DVD"/>
    <n v="100956"/>
    <s v="AB101685"/>
    <x v="8"/>
    <n v="262579"/>
    <x v="1"/>
  </r>
  <r>
    <n v="10148"/>
    <n v="3"/>
    <d v="2013-06-16T00:00:00"/>
    <s v="BLU-RAY"/>
    <n v="100957"/>
    <s v="AB101686"/>
    <x v="1"/>
    <n v="253106"/>
    <x v="1"/>
  </r>
  <r>
    <n v="10134"/>
    <n v="3"/>
    <d v="2013-06-14T00:00:00"/>
    <s v="DVD"/>
    <n v="100957"/>
    <s v="AB101687"/>
    <x v="7"/>
    <n v="253106"/>
    <x v="1"/>
  </r>
  <r>
    <n v="10298"/>
    <n v="3"/>
    <d v="2013-06-14T00:00:00"/>
    <s v="BLU-RAY"/>
    <n v="100957"/>
    <s v="AB101688"/>
    <x v="19"/>
    <n v="253106"/>
    <x v="1"/>
  </r>
  <r>
    <n v="10147"/>
    <n v="6"/>
    <d v="2013-06-14T00:00:00"/>
    <s v="DVD"/>
    <n v="100958"/>
    <s v="AB101689"/>
    <x v="10"/>
    <n v="408341"/>
    <x v="1"/>
  </r>
  <r>
    <n v="10014"/>
    <n v="4"/>
    <d v="2013-06-14T00:00:00"/>
    <s v="DVD"/>
    <n v="100958"/>
    <s v="AB101690"/>
    <x v="0"/>
    <n v="408341"/>
    <x v="1"/>
  </r>
  <r>
    <n v="10265"/>
    <n v="4"/>
    <d v="2013-06-14T00:00:00"/>
    <s v="DVD"/>
    <n v="100958"/>
    <s v="AB101691"/>
    <x v="0"/>
    <n v="408341"/>
    <x v="1"/>
  </r>
  <r>
    <n v="10145"/>
    <n v="5"/>
    <d v="2013-06-14T00:00:00"/>
    <s v="BLU-RAY"/>
    <n v="100959"/>
    <s v="AB101692"/>
    <x v="6"/>
    <n v="970794"/>
    <x v="1"/>
  </r>
  <r>
    <n v="10280"/>
    <n v="5"/>
    <d v="2013-06-16T00:00:00"/>
    <s v="BLU-RAY"/>
    <n v="100959"/>
    <s v="AB101693"/>
    <x v="7"/>
    <n v="970794"/>
    <x v="1"/>
  </r>
  <r>
    <n v="10088"/>
    <n v="10"/>
    <d v="2013-06-15T00:00:00"/>
    <s v="DVD"/>
    <n v="100960"/>
    <s v="AB101694"/>
    <x v="0"/>
    <n v="793987"/>
    <x v="1"/>
  </r>
  <r>
    <n v="10239"/>
    <n v="4"/>
    <d v="2013-06-15T00:00:00"/>
    <s v="BLU-RAY"/>
    <n v="100961"/>
    <s v="AB101695"/>
    <x v="2"/>
    <n v="479497"/>
    <x v="1"/>
  </r>
  <r>
    <n v="10226"/>
    <n v="3"/>
    <d v="2013-06-16T00:00:00"/>
    <s v="DVD"/>
    <n v="100962"/>
    <s v="AB101696"/>
    <x v="4"/>
    <n v="585972"/>
    <x v="1"/>
  </r>
  <r>
    <n v="10100"/>
    <n v="4"/>
    <d v="2013-06-15T00:00:00"/>
    <s v="DVD"/>
    <n v="100963"/>
    <s v="AB101697"/>
    <x v="9"/>
    <n v="761615"/>
    <x v="1"/>
  </r>
  <r>
    <n v="10264"/>
    <n v="6"/>
    <d v="2013-06-16T00:00:00"/>
    <s v="DVD"/>
    <n v="100964"/>
    <s v="AB101698"/>
    <x v="2"/>
    <n v="218889"/>
    <x v="1"/>
  </r>
  <r>
    <n v="10082"/>
    <n v="4"/>
    <d v="2013-06-15T00:00:00"/>
    <s v="DVD"/>
    <n v="100964"/>
    <s v="AB101699"/>
    <x v="3"/>
    <n v="218889"/>
    <x v="1"/>
  </r>
  <r>
    <n v="10284"/>
    <n v="2"/>
    <d v="2013-06-16T00:00:00"/>
    <s v="DVD"/>
    <n v="100964"/>
    <s v="AB101700"/>
    <x v="14"/>
    <n v="218889"/>
    <x v="1"/>
  </r>
  <r>
    <n v="10226"/>
    <n v="10"/>
    <d v="2013-06-15T00:00:00"/>
    <s v="DVD"/>
    <n v="100965"/>
    <s v="AB101701"/>
    <x v="4"/>
    <n v="765237"/>
    <x v="1"/>
  </r>
  <r>
    <n v="10222"/>
    <n v="4"/>
    <d v="2013-06-15T00:00:00"/>
    <s v="DVD"/>
    <n v="100965"/>
    <s v="AB101702"/>
    <x v="4"/>
    <n v="765237"/>
    <x v="1"/>
  </r>
  <r>
    <n v="10150"/>
    <n v="4"/>
    <d v="2013-06-17T00:00:00"/>
    <s v="DVD"/>
    <n v="100966"/>
    <s v="AB101703"/>
    <x v="14"/>
    <n v="759995"/>
    <x v="1"/>
  </r>
  <r>
    <n v="10254"/>
    <n v="8"/>
    <d v="2013-06-17T00:00:00"/>
    <s v="DVD"/>
    <n v="100967"/>
    <s v="AB101704"/>
    <x v="1"/>
    <n v="706101"/>
    <x v="1"/>
  </r>
  <r>
    <n v="10065"/>
    <n v="2"/>
    <d v="2013-06-16T00:00:00"/>
    <s v="DVD"/>
    <n v="100967"/>
    <s v="AB101705"/>
    <x v="0"/>
    <n v="706101"/>
    <x v="1"/>
  </r>
  <r>
    <n v="10288"/>
    <n v="10"/>
    <d v="2013-06-16T00:00:00"/>
    <s v="DVD"/>
    <n v="100968"/>
    <s v="AB101706"/>
    <x v="12"/>
    <n v="747066"/>
    <x v="1"/>
  </r>
  <r>
    <n v="10187"/>
    <n v="10"/>
    <d v="2013-06-17T00:00:00"/>
    <s v="DVD"/>
    <n v="100969"/>
    <s v="AB101707"/>
    <x v="1"/>
    <n v="185863"/>
    <x v="1"/>
  </r>
  <r>
    <n v="10112"/>
    <n v="5"/>
    <d v="2013-06-16T00:00:00"/>
    <s v="BLU-RAY"/>
    <n v="100970"/>
    <s v="AB101708"/>
    <x v="12"/>
    <n v="744648"/>
    <x v="1"/>
  </r>
  <r>
    <n v="10174"/>
    <n v="9"/>
    <d v="2013-06-17T00:00:00"/>
    <s v="BLU-RAY"/>
    <n v="100971"/>
    <s v="AB101709"/>
    <x v="7"/>
    <n v="304344"/>
    <x v="1"/>
  </r>
  <r>
    <n v="10093"/>
    <n v="9"/>
    <d v="2013-06-16T00:00:00"/>
    <s v="DVD"/>
    <n v="100971"/>
    <s v="AB101710"/>
    <x v="11"/>
    <n v="304344"/>
    <x v="1"/>
  </r>
  <r>
    <n v="10070"/>
    <n v="4"/>
    <d v="2013-06-16T00:00:00"/>
    <s v="DVD"/>
    <n v="100972"/>
    <s v="AB101711"/>
    <x v="1"/>
    <n v="663029"/>
    <x v="1"/>
  </r>
  <r>
    <n v="10265"/>
    <n v="1"/>
    <d v="2013-06-17T00:00:00"/>
    <s v="BLU-RAY"/>
    <n v="100972"/>
    <s v="AB101712"/>
    <x v="0"/>
    <n v="663029"/>
    <x v="1"/>
  </r>
  <r>
    <n v="10215"/>
    <n v="2"/>
    <d v="2013-06-17T00:00:00"/>
    <s v="DVD"/>
    <n v="100973"/>
    <s v="AB101713"/>
    <x v="1"/>
    <n v="412929"/>
    <x v="1"/>
  </r>
  <r>
    <n v="10142"/>
    <n v="1"/>
    <d v="2013-06-19T00:00:00"/>
    <s v="BLU-RAY"/>
    <n v="100973"/>
    <s v="AB101714"/>
    <x v="0"/>
    <n v="412929"/>
    <x v="1"/>
  </r>
  <r>
    <n v="10198"/>
    <n v="8"/>
    <d v="2013-06-17T00:00:00"/>
    <s v="BLU-RAY"/>
    <n v="100974"/>
    <s v="AB101715"/>
    <x v="9"/>
    <n v="667170"/>
    <x v="1"/>
  </r>
  <r>
    <n v="10165"/>
    <n v="1"/>
    <d v="2013-06-17T00:00:00"/>
    <s v="BLU-RAY"/>
    <n v="100974"/>
    <s v="AB101716"/>
    <x v="2"/>
    <n v="667170"/>
    <x v="1"/>
  </r>
  <r>
    <n v="10289"/>
    <n v="1"/>
    <d v="2013-06-18T00:00:00"/>
    <s v="BLU-RAY"/>
    <n v="100975"/>
    <s v="AB101717"/>
    <x v="11"/>
    <n v="412929"/>
    <x v="1"/>
  </r>
  <r>
    <n v="10115"/>
    <n v="7"/>
    <d v="2013-06-17T00:00:00"/>
    <s v="DVD"/>
    <n v="100976"/>
    <s v="AB101718"/>
    <x v="11"/>
    <n v="559486"/>
    <x v="1"/>
  </r>
  <r>
    <n v="10183"/>
    <n v="8"/>
    <d v="2013-06-17T00:00:00"/>
    <s v="DVD"/>
    <n v="100976"/>
    <s v="AB101719"/>
    <x v="4"/>
    <n v="559486"/>
    <x v="1"/>
  </r>
  <r>
    <n v="10183"/>
    <n v="5"/>
    <d v="2013-06-17T00:00:00"/>
    <s v="DVD"/>
    <n v="100976"/>
    <s v="AB101720"/>
    <x v="4"/>
    <n v="559486"/>
    <x v="1"/>
  </r>
  <r>
    <n v="10237"/>
    <n v="1"/>
    <d v="2013-06-17T00:00:00"/>
    <s v="BLU-RAY"/>
    <n v="100977"/>
    <s v="AB101721"/>
    <x v="0"/>
    <n v="292402"/>
    <x v="1"/>
  </r>
  <r>
    <n v="10142"/>
    <n v="5"/>
    <d v="2013-06-17T00:00:00"/>
    <s v="BLU-RAY"/>
    <n v="100977"/>
    <s v="AB101722"/>
    <x v="0"/>
    <n v="292402"/>
    <x v="1"/>
  </r>
  <r>
    <n v="10079"/>
    <n v="6"/>
    <d v="2013-06-18T00:00:00"/>
    <s v="BLU-RAY"/>
    <n v="100978"/>
    <s v="AB101723"/>
    <x v="0"/>
    <n v="745543"/>
    <x v="1"/>
  </r>
  <r>
    <n v="10270"/>
    <n v="9"/>
    <d v="2013-06-18T00:00:00"/>
    <s v="DVD"/>
    <n v="100979"/>
    <s v="AB101724"/>
    <x v="9"/>
    <n v="297686"/>
    <x v="1"/>
  </r>
  <r>
    <n v="10225"/>
    <n v="2"/>
    <d v="2013-06-19T00:00:00"/>
    <s v="DVD"/>
    <n v="100979"/>
    <s v="AB101725"/>
    <x v="0"/>
    <n v="297686"/>
    <x v="1"/>
  </r>
  <r>
    <n v="10271"/>
    <n v="5"/>
    <d v="2013-06-18T00:00:00"/>
    <s v="DVD"/>
    <n v="100980"/>
    <s v="AB101726"/>
    <x v="7"/>
    <n v="256181"/>
    <x v="1"/>
  </r>
  <r>
    <n v="10218"/>
    <n v="6"/>
    <d v="2013-06-18T00:00:00"/>
    <s v="DVD"/>
    <n v="100980"/>
    <s v="AB101727"/>
    <x v="4"/>
    <n v="256181"/>
    <x v="1"/>
  </r>
  <r>
    <n v="10000"/>
    <n v="8"/>
    <d v="2013-06-18T00:00:00"/>
    <s v="BLU-RAY"/>
    <n v="100981"/>
    <s v="AB101728"/>
    <x v="6"/>
    <n v="220206"/>
    <x v="1"/>
  </r>
  <r>
    <n v="10072"/>
    <n v="10"/>
    <d v="2013-06-18T00:00:00"/>
    <s v="DVD"/>
    <n v="100982"/>
    <s v="AB101729"/>
    <x v="1"/>
    <n v="520078"/>
    <x v="1"/>
  </r>
  <r>
    <n v="10015"/>
    <n v="4"/>
    <d v="2013-06-18T00:00:00"/>
    <s v="BLU-RAY"/>
    <n v="100983"/>
    <s v="AB101730"/>
    <x v="6"/>
    <n v="933331"/>
    <x v="1"/>
  </r>
  <r>
    <n v="10216"/>
    <n v="5"/>
    <d v="2013-06-18T00:00:00"/>
    <s v="DVD"/>
    <n v="100983"/>
    <s v="AB101731"/>
    <x v="4"/>
    <n v="933331"/>
    <x v="1"/>
  </r>
  <r>
    <n v="10091"/>
    <n v="7"/>
    <d v="2013-06-18T00:00:00"/>
    <s v="DVD"/>
    <n v="100983"/>
    <s v="AB101732"/>
    <x v="0"/>
    <n v="933331"/>
    <x v="1"/>
  </r>
  <r>
    <n v="10039"/>
    <n v="7"/>
    <d v="2013-06-19T00:00:00"/>
    <s v="BLU-RAY"/>
    <n v="100984"/>
    <s v="AB101733"/>
    <x v="11"/>
    <n v="413292"/>
    <x v="1"/>
  </r>
  <r>
    <n v="10230"/>
    <n v="5"/>
    <d v="2013-06-18T00:00:00"/>
    <s v="DVD"/>
    <n v="100984"/>
    <s v="AB101734"/>
    <x v="14"/>
    <n v="413292"/>
    <x v="1"/>
  </r>
  <r>
    <n v="10219"/>
    <n v="4"/>
    <d v="2013-06-19T00:00:00"/>
    <s v="BLU-RAY"/>
    <n v="100984"/>
    <s v="AB101735"/>
    <x v="1"/>
    <n v="413292"/>
    <x v="1"/>
  </r>
  <r>
    <n v="10058"/>
    <n v="5"/>
    <d v="2013-06-18T00:00:00"/>
    <s v="DVD"/>
    <n v="100985"/>
    <s v="AB101736"/>
    <x v="4"/>
    <n v="236554"/>
    <x v="1"/>
  </r>
  <r>
    <n v="10085"/>
    <n v="10"/>
    <d v="2013-06-18T00:00:00"/>
    <s v="DVD"/>
    <n v="100986"/>
    <s v="AB101737"/>
    <x v="3"/>
    <n v="507743"/>
    <x v="1"/>
  </r>
  <r>
    <n v="10094"/>
    <n v="10"/>
    <d v="2013-06-18T00:00:00"/>
    <s v="BLU-RAY"/>
    <n v="100986"/>
    <s v="AB101738"/>
    <x v="12"/>
    <n v="507743"/>
    <x v="1"/>
  </r>
  <r>
    <n v="10208"/>
    <n v="6"/>
    <d v="2013-06-20T00:00:00"/>
    <s v="BLU-RAY"/>
    <n v="100987"/>
    <s v="AB101739"/>
    <x v="0"/>
    <n v="815980"/>
    <x v="1"/>
  </r>
  <r>
    <n v="10275"/>
    <n v="1"/>
    <d v="2013-06-20T00:00:00"/>
    <s v="DVD"/>
    <n v="100988"/>
    <s v="AB101740"/>
    <x v="10"/>
    <n v="343021"/>
    <x v="1"/>
  </r>
  <r>
    <n v="10010"/>
    <n v="6"/>
    <d v="2013-06-19T00:00:00"/>
    <s v="DVD"/>
    <n v="100988"/>
    <s v="AB101741"/>
    <x v="3"/>
    <n v="343021"/>
    <x v="1"/>
  </r>
  <r>
    <n v="10269"/>
    <n v="3"/>
    <d v="2013-06-19T00:00:00"/>
    <s v="DVD"/>
    <n v="100989"/>
    <s v="AB101742"/>
    <x v="3"/>
    <n v="393120"/>
    <x v="1"/>
  </r>
  <r>
    <n v="10231"/>
    <n v="8"/>
    <d v="2013-06-20T00:00:00"/>
    <s v="BLU-RAY"/>
    <n v="100989"/>
    <s v="AB101743"/>
    <x v="7"/>
    <n v="393120"/>
    <x v="1"/>
  </r>
  <r>
    <n v="10203"/>
    <n v="3"/>
    <d v="2013-06-20T00:00:00"/>
    <s v="BLU-RAY"/>
    <n v="100990"/>
    <s v="AB101744"/>
    <x v="3"/>
    <n v="484909"/>
    <x v="1"/>
  </r>
  <r>
    <n v="10242"/>
    <n v="8"/>
    <d v="2013-06-19T00:00:00"/>
    <s v="DVD"/>
    <n v="100991"/>
    <s v="AB101745"/>
    <x v="3"/>
    <n v="612681"/>
    <x v="1"/>
  </r>
  <r>
    <n v="10171"/>
    <n v="2"/>
    <d v="2013-06-20T00:00:00"/>
    <s v="BLU-RAY"/>
    <n v="100991"/>
    <s v="AB101746"/>
    <x v="7"/>
    <n v="612681"/>
    <x v="1"/>
  </r>
  <r>
    <n v="10223"/>
    <n v="7"/>
    <d v="2013-06-19T00:00:00"/>
    <s v="DVD"/>
    <n v="100992"/>
    <s v="AB101747"/>
    <x v="7"/>
    <n v="478274"/>
    <x v="1"/>
  </r>
  <r>
    <n v="10050"/>
    <n v="5"/>
    <d v="2013-06-19T00:00:00"/>
    <s v="DVD"/>
    <n v="100993"/>
    <s v="AB101748"/>
    <x v="1"/>
    <n v="168607"/>
    <x v="1"/>
  </r>
  <r>
    <n v="10205"/>
    <n v="6"/>
    <d v="2013-06-19T00:00:00"/>
    <s v="DVD"/>
    <n v="100993"/>
    <s v="AB101749"/>
    <x v="1"/>
    <n v="168607"/>
    <x v="1"/>
  </r>
  <r>
    <n v="10023"/>
    <n v="6"/>
    <d v="2013-06-20T00:00:00"/>
    <s v="DVD"/>
    <n v="100994"/>
    <s v="AB101750"/>
    <x v="3"/>
    <n v="149240"/>
    <x v="1"/>
  </r>
  <r>
    <n v="10085"/>
    <n v="1"/>
    <d v="2013-06-22T00:00:00"/>
    <s v="BLU-RAY"/>
    <n v="100995"/>
    <s v="AB101751"/>
    <x v="3"/>
    <n v="306475"/>
    <x v="1"/>
  </r>
  <r>
    <n v="10198"/>
    <n v="6"/>
    <d v="2013-06-22T00:00:00"/>
    <s v="DVD"/>
    <n v="100996"/>
    <s v="AB101752"/>
    <x v="9"/>
    <n v="520196"/>
    <x v="1"/>
  </r>
  <r>
    <n v="10015"/>
    <n v="6"/>
    <d v="2013-06-21T00:00:00"/>
    <s v="BLU-RAY"/>
    <n v="100996"/>
    <s v="AB101753"/>
    <x v="6"/>
    <n v="520196"/>
    <x v="1"/>
  </r>
  <r>
    <n v="10249"/>
    <n v="6"/>
    <d v="2013-06-20T00:00:00"/>
    <s v="DVD"/>
    <n v="100996"/>
    <s v="AB101754"/>
    <x v="5"/>
    <n v="520196"/>
    <x v="1"/>
  </r>
  <r>
    <n v="10125"/>
    <n v="10"/>
    <d v="2013-06-21T00:00:00"/>
    <s v="BLU-RAY"/>
    <n v="100997"/>
    <s v="AB101755"/>
    <x v="9"/>
    <n v="791850"/>
    <x v="1"/>
  </r>
  <r>
    <n v="10282"/>
    <n v="6"/>
    <d v="2013-06-21T00:00:00"/>
    <s v="BLU-RAY"/>
    <n v="100997"/>
    <s v="AB101756"/>
    <x v="15"/>
    <n v="791850"/>
    <x v="1"/>
  </r>
  <r>
    <n v="10051"/>
    <n v="6"/>
    <d v="2013-06-21T00:00:00"/>
    <s v="BLU-RAY"/>
    <n v="100998"/>
    <s v="AB101757"/>
    <x v="1"/>
    <n v="592726"/>
    <x v="1"/>
  </r>
  <r>
    <n v="10011"/>
    <n v="1"/>
    <d v="2013-06-20T00:00:00"/>
    <s v="DVD"/>
    <n v="100999"/>
    <s v="AB101758"/>
    <x v="3"/>
    <n v="465275"/>
    <x v="1"/>
  </r>
  <r>
    <n v="10118"/>
    <n v="8"/>
    <d v="2013-06-22T00:00:00"/>
    <s v="BLU-RAY"/>
    <n v="100999"/>
    <s v="AB101759"/>
    <x v="3"/>
    <n v="465275"/>
    <x v="1"/>
  </r>
  <r>
    <n v="10078"/>
    <n v="9"/>
    <d v="2013-06-20T00:00:00"/>
    <s v="DVD"/>
    <n v="101000"/>
    <s v="AB101760"/>
    <x v="1"/>
    <n v="743517"/>
    <x v="1"/>
  </r>
  <r>
    <n v="10265"/>
    <n v="9"/>
    <d v="2013-06-22T00:00:00"/>
    <s v="BLU-RAY"/>
    <n v="101001"/>
    <s v="AB101761"/>
    <x v="0"/>
    <n v="818287"/>
    <x v="1"/>
  </r>
  <r>
    <n v="10012"/>
    <n v="2"/>
    <d v="2013-06-20T00:00:00"/>
    <s v="BLU-RAY"/>
    <n v="101001"/>
    <s v="AB101762"/>
    <x v="3"/>
    <n v="818287"/>
    <x v="1"/>
  </r>
  <r>
    <n v="10112"/>
    <n v="9"/>
    <d v="2013-06-21T00:00:00"/>
    <s v="DVD"/>
    <n v="101001"/>
    <s v="AB101763"/>
    <x v="12"/>
    <n v="818287"/>
    <x v="1"/>
  </r>
  <r>
    <n v="10251"/>
    <n v="10"/>
    <d v="2013-06-20T00:00:00"/>
    <s v="DVD"/>
    <n v="101002"/>
    <s v="AB101764"/>
    <x v="7"/>
    <n v="548546"/>
    <x v="1"/>
  </r>
  <r>
    <n v="10141"/>
    <n v="2"/>
    <d v="2013-06-21T00:00:00"/>
    <s v="BLU-RAY"/>
    <n v="101002"/>
    <s v="AB101765"/>
    <x v="0"/>
    <n v="548546"/>
    <x v="1"/>
  </r>
  <r>
    <n v="10167"/>
    <n v="6"/>
    <d v="2013-06-20T00:00:00"/>
    <s v="DVD"/>
    <n v="101003"/>
    <s v="AB101766"/>
    <x v="7"/>
    <n v="319387"/>
    <x v="1"/>
  </r>
  <r>
    <n v="10137"/>
    <n v="2"/>
    <d v="2013-06-20T00:00:00"/>
    <s v="DVD"/>
    <n v="101003"/>
    <s v="AB101767"/>
    <x v="3"/>
    <n v="319387"/>
    <x v="1"/>
  </r>
  <r>
    <n v="10004"/>
    <n v="2"/>
    <d v="2013-06-21T00:00:00"/>
    <s v="DVD"/>
    <n v="101004"/>
    <s v="AB101768"/>
    <x v="1"/>
    <n v="109251"/>
    <x v="1"/>
  </r>
  <r>
    <n v="10096"/>
    <n v="9"/>
    <d v="2013-06-21T00:00:00"/>
    <s v="BLU-RAY"/>
    <n v="101004"/>
    <s v="AB101769"/>
    <x v="7"/>
    <n v="109251"/>
    <x v="1"/>
  </r>
  <r>
    <n v="10190"/>
    <n v="10"/>
    <d v="2013-06-21T00:00:00"/>
    <s v="DVD"/>
    <n v="101004"/>
    <s v="AB101770"/>
    <x v="10"/>
    <n v="109251"/>
    <x v="1"/>
  </r>
  <r>
    <n v="10182"/>
    <n v="3"/>
    <d v="2013-06-21T00:00:00"/>
    <s v="BLU-RAY"/>
    <n v="101004"/>
    <s v="AB101771"/>
    <x v="0"/>
    <n v="109251"/>
    <x v="1"/>
  </r>
  <r>
    <n v="10144"/>
    <n v="7"/>
    <d v="2013-06-23T00:00:00"/>
    <s v="DVD"/>
    <n v="101005"/>
    <s v="AB101772"/>
    <x v="2"/>
    <n v="746134"/>
    <x v="1"/>
  </r>
  <r>
    <n v="10019"/>
    <n v="9"/>
    <d v="2013-06-21T00:00:00"/>
    <s v="BLU-RAY"/>
    <n v="101006"/>
    <s v="AB101773"/>
    <x v="9"/>
    <n v="741514"/>
    <x v="1"/>
  </r>
  <r>
    <n v="10106"/>
    <n v="10"/>
    <d v="2013-06-21T00:00:00"/>
    <s v="BLU-RAY"/>
    <n v="101007"/>
    <s v="AB101774"/>
    <x v="9"/>
    <n v="755271"/>
    <x v="1"/>
  </r>
  <r>
    <n v="10137"/>
    <n v="10"/>
    <d v="2013-06-22T00:00:00"/>
    <s v="DVD"/>
    <n v="101008"/>
    <s v="AB101775"/>
    <x v="3"/>
    <n v="840096"/>
    <x v="1"/>
  </r>
  <r>
    <n v="10072"/>
    <n v="4"/>
    <d v="2013-06-22T00:00:00"/>
    <s v="DVD"/>
    <n v="101009"/>
    <s v="AB101776"/>
    <x v="1"/>
    <n v="912671"/>
    <x v="1"/>
  </r>
  <r>
    <n v="10075"/>
    <n v="1"/>
    <d v="2013-06-21T00:00:00"/>
    <s v="BLU-RAY"/>
    <n v="101010"/>
    <s v="AB101777"/>
    <x v="17"/>
    <n v="885548"/>
    <x v="1"/>
  </r>
  <r>
    <n v="10224"/>
    <n v="4"/>
    <d v="2013-06-22T00:00:00"/>
    <s v="BLU-RAY"/>
    <n v="101011"/>
    <s v="AB101778"/>
    <x v="17"/>
    <n v="798336"/>
    <x v="1"/>
  </r>
  <r>
    <n v="10101"/>
    <n v="8"/>
    <d v="2013-06-21T00:00:00"/>
    <s v="BLU-RAY"/>
    <n v="101011"/>
    <s v="AB101779"/>
    <x v="4"/>
    <n v="798336"/>
    <x v="1"/>
  </r>
  <r>
    <n v="10288"/>
    <n v="9"/>
    <d v="2013-06-21T00:00:00"/>
    <s v="DVD"/>
    <n v="101011"/>
    <s v="AB101780"/>
    <x v="12"/>
    <n v="798336"/>
    <x v="1"/>
  </r>
  <r>
    <n v="10164"/>
    <n v="1"/>
    <d v="2013-06-22T00:00:00"/>
    <s v="BLU-RAY"/>
    <n v="101012"/>
    <s v="AB101781"/>
    <x v="2"/>
    <n v="646700"/>
    <x v="1"/>
  </r>
  <r>
    <n v="10058"/>
    <n v="9"/>
    <d v="2013-06-24T00:00:00"/>
    <s v="DVD"/>
    <n v="101013"/>
    <s v="AB101782"/>
    <x v="4"/>
    <n v="745543"/>
    <x v="1"/>
  </r>
  <r>
    <n v="10267"/>
    <n v="8"/>
    <d v="2013-06-23T00:00:00"/>
    <s v="BLU-RAY"/>
    <n v="101013"/>
    <s v="AB101783"/>
    <x v="6"/>
    <n v="745543"/>
    <x v="1"/>
  </r>
  <r>
    <n v="10106"/>
    <n v="2"/>
    <d v="2013-06-22T00:00:00"/>
    <s v="DVD"/>
    <n v="101014"/>
    <s v="AB101784"/>
    <x v="9"/>
    <n v="680104"/>
    <x v="1"/>
  </r>
  <r>
    <n v="10264"/>
    <n v="4"/>
    <d v="2013-06-23T00:00:00"/>
    <s v="DVD"/>
    <n v="101014"/>
    <s v="AB101785"/>
    <x v="2"/>
    <n v="680104"/>
    <x v="1"/>
  </r>
  <r>
    <n v="10152"/>
    <n v="3"/>
    <d v="2013-06-23T00:00:00"/>
    <s v="DVD"/>
    <n v="101015"/>
    <s v="AB101786"/>
    <x v="16"/>
    <n v="646700"/>
    <x v="1"/>
  </r>
  <r>
    <n v="10170"/>
    <n v="4"/>
    <d v="2013-06-22T00:00:00"/>
    <s v="DVD"/>
    <n v="101016"/>
    <s v="AB101787"/>
    <x v="15"/>
    <n v="612681"/>
    <x v="1"/>
  </r>
  <r>
    <n v="10222"/>
    <n v="8"/>
    <d v="2013-06-22T00:00:00"/>
    <s v="DVD"/>
    <n v="101016"/>
    <s v="AB101788"/>
    <x v="4"/>
    <n v="612681"/>
    <x v="1"/>
  </r>
  <r>
    <n v="10206"/>
    <n v="2"/>
    <d v="2013-06-22T00:00:00"/>
    <s v="BLU-RAY"/>
    <n v="101016"/>
    <s v="AB101789"/>
    <x v="9"/>
    <n v="612681"/>
    <x v="1"/>
  </r>
  <r>
    <n v="10114"/>
    <n v="4"/>
    <d v="2013-06-23T00:00:00"/>
    <s v="DVD"/>
    <n v="101017"/>
    <s v="AB101790"/>
    <x v="10"/>
    <n v="355107"/>
    <x v="1"/>
  </r>
  <r>
    <n v="10294"/>
    <n v="9"/>
    <d v="2013-06-22T00:00:00"/>
    <s v="DVD"/>
    <n v="101017"/>
    <s v="AB101791"/>
    <x v="2"/>
    <n v="355107"/>
    <x v="1"/>
  </r>
  <r>
    <n v="10272"/>
    <n v="3"/>
    <d v="2013-06-22T00:00:00"/>
    <s v="BLU-RAY"/>
    <n v="101018"/>
    <s v="AB101792"/>
    <x v="4"/>
    <n v="484909"/>
    <x v="1"/>
  </r>
  <r>
    <n v="10197"/>
    <n v="6"/>
    <d v="2013-06-23T00:00:00"/>
    <s v="DVD"/>
    <n v="101019"/>
    <s v="AB101793"/>
    <x v="0"/>
    <n v="310195"/>
    <x v="1"/>
  </r>
  <r>
    <n v="10270"/>
    <n v="2"/>
    <d v="2013-06-23T00:00:00"/>
    <s v="DVD"/>
    <n v="101019"/>
    <s v="AB101794"/>
    <x v="9"/>
    <n v="310195"/>
    <x v="1"/>
  </r>
  <r>
    <n v="10032"/>
    <n v="8"/>
    <d v="2013-06-23T00:00:00"/>
    <s v="BLU-RAY"/>
    <n v="101020"/>
    <s v="AB101795"/>
    <x v="4"/>
    <n v="901388"/>
    <x v="1"/>
  </r>
  <r>
    <n v="10035"/>
    <n v="4"/>
    <d v="2013-06-24T00:00:00"/>
    <s v="DVD"/>
    <n v="101020"/>
    <s v="AB101796"/>
    <x v="4"/>
    <n v="901388"/>
    <x v="1"/>
  </r>
  <r>
    <n v="10059"/>
    <n v="1"/>
    <d v="2013-06-24T00:00:00"/>
    <s v="BLU-RAY"/>
    <n v="101021"/>
    <s v="AB101797"/>
    <x v="7"/>
    <n v="747066"/>
    <x v="1"/>
  </r>
  <r>
    <n v="10209"/>
    <n v="10"/>
    <d v="2013-06-23T00:00:00"/>
    <s v="BLU-RAY"/>
    <n v="101021"/>
    <s v="AB101798"/>
    <x v="7"/>
    <n v="747066"/>
    <x v="1"/>
  </r>
  <r>
    <n v="10279"/>
    <n v="6"/>
    <d v="2013-06-23T00:00:00"/>
    <s v="DVD"/>
    <n v="101022"/>
    <s v="AB101799"/>
    <x v="8"/>
    <n v="306853"/>
    <x v="1"/>
  </r>
  <r>
    <n v="10098"/>
    <n v="1"/>
    <d v="2013-06-23T00:00:00"/>
    <s v="BLU-RAY"/>
    <n v="101022"/>
    <s v="AB101800"/>
    <x v="0"/>
    <n v="306853"/>
    <x v="1"/>
  </r>
  <r>
    <n v="10089"/>
    <n v="6"/>
    <d v="2013-06-23T00:00:00"/>
    <s v="BLU-RAY"/>
    <n v="101022"/>
    <s v="AB101801"/>
    <x v="4"/>
    <n v="306853"/>
    <x v="1"/>
  </r>
  <r>
    <n v="10214"/>
    <n v="10"/>
    <d v="2013-06-24T00:00:00"/>
    <s v="DVD"/>
    <n v="101023"/>
    <s v="AB101802"/>
    <x v="13"/>
    <n v="905670"/>
    <x v="1"/>
  </r>
  <r>
    <n v="10078"/>
    <n v="2"/>
    <d v="2013-06-23T00:00:00"/>
    <s v="BLU-RAY"/>
    <n v="101023"/>
    <s v="AB101803"/>
    <x v="1"/>
    <n v="905670"/>
    <x v="1"/>
  </r>
  <r>
    <n v="10216"/>
    <n v="3"/>
    <d v="2013-06-23T00:00:00"/>
    <s v="DVD"/>
    <n v="101023"/>
    <s v="AB101804"/>
    <x v="4"/>
    <n v="905670"/>
    <x v="1"/>
  </r>
  <r>
    <n v="10173"/>
    <n v="10"/>
    <d v="2013-06-23T00:00:00"/>
    <s v="BLU-RAY"/>
    <n v="101024"/>
    <s v="AB101805"/>
    <x v="4"/>
    <n v="847289"/>
    <x v="1"/>
  </r>
  <r>
    <n v="10255"/>
    <n v="4"/>
    <d v="2013-06-23T00:00:00"/>
    <s v="DVD"/>
    <n v="101025"/>
    <s v="AB101806"/>
    <x v="1"/>
    <n v="289693"/>
    <x v="1"/>
  </r>
  <r>
    <n v="10238"/>
    <n v="10"/>
    <d v="2013-06-24T00:00:00"/>
    <s v="DVD"/>
    <n v="101026"/>
    <s v="AB101807"/>
    <x v="0"/>
    <n v="619910"/>
    <x v="1"/>
  </r>
  <r>
    <n v="10077"/>
    <n v="8"/>
    <d v="2013-06-25T00:00:00"/>
    <s v="DVD"/>
    <n v="101026"/>
    <s v="AB101808"/>
    <x v="0"/>
    <n v="619910"/>
    <x v="1"/>
  </r>
  <r>
    <n v="10184"/>
    <n v="2"/>
    <d v="2013-06-24T00:00:00"/>
    <s v="DVD"/>
    <n v="101027"/>
    <s v="AB101809"/>
    <x v="7"/>
    <n v="888952"/>
    <x v="1"/>
  </r>
  <r>
    <n v="10089"/>
    <n v="8"/>
    <d v="2013-06-24T00:00:00"/>
    <s v="DVD"/>
    <n v="101027"/>
    <s v="AB101810"/>
    <x v="4"/>
    <n v="888952"/>
    <x v="1"/>
  </r>
  <r>
    <n v="10094"/>
    <n v="10"/>
    <d v="2013-06-24T00:00:00"/>
    <s v="BLU-RAY"/>
    <n v="101027"/>
    <s v="AB101811"/>
    <x v="12"/>
    <n v="888952"/>
    <x v="1"/>
  </r>
  <r>
    <n v="10267"/>
    <n v="4"/>
    <d v="2013-06-24T00:00:00"/>
    <s v="DVD"/>
    <n v="101028"/>
    <s v="AB101812"/>
    <x v="6"/>
    <n v="950299"/>
    <x v="1"/>
  </r>
  <r>
    <n v="10160"/>
    <n v="7"/>
    <d v="2013-06-24T00:00:00"/>
    <s v="DVD"/>
    <n v="101029"/>
    <s v="AB101813"/>
    <x v="10"/>
    <n v="418521"/>
    <x v="1"/>
  </r>
  <r>
    <n v="10154"/>
    <n v="5"/>
    <d v="2013-06-24T00:00:00"/>
    <s v="BLU-RAY"/>
    <n v="101030"/>
    <s v="AB101814"/>
    <x v="5"/>
    <n v="551950"/>
    <x v="1"/>
  </r>
  <r>
    <n v="10220"/>
    <n v="5"/>
    <d v="2013-06-25T00:00:00"/>
    <s v="DVD"/>
    <n v="101030"/>
    <s v="AB101815"/>
    <x v="9"/>
    <n v="551950"/>
    <x v="1"/>
  </r>
  <r>
    <n v="10027"/>
    <n v="1"/>
    <d v="2013-06-25T00:00:00"/>
    <s v="BLU-RAY"/>
    <n v="101030"/>
    <s v="AB101816"/>
    <x v="16"/>
    <n v="551950"/>
    <x v="1"/>
  </r>
  <r>
    <n v="10107"/>
    <n v="9"/>
    <d v="2013-06-24T00:00:00"/>
    <s v="BLU-RAY"/>
    <n v="101031"/>
    <s v="AB101817"/>
    <x v="7"/>
    <n v="225489"/>
    <x v="1"/>
  </r>
  <r>
    <n v="10053"/>
    <n v="7"/>
    <d v="2013-06-26T00:00:00"/>
    <s v="BLU-RAY"/>
    <n v="101031"/>
    <s v="AB101818"/>
    <x v="4"/>
    <n v="225489"/>
    <x v="1"/>
  </r>
  <r>
    <n v="10126"/>
    <n v="5"/>
    <d v="2013-06-24T00:00:00"/>
    <s v="DVD"/>
    <n v="101031"/>
    <s v="AB101819"/>
    <x v="9"/>
    <n v="225489"/>
    <x v="1"/>
  </r>
  <r>
    <n v="10247"/>
    <n v="1"/>
    <d v="2013-06-25T00:00:00"/>
    <s v="BLU-RAY"/>
    <n v="101032"/>
    <s v="AB101820"/>
    <x v="9"/>
    <n v="908328"/>
    <x v="1"/>
  </r>
  <r>
    <n v="10189"/>
    <n v="6"/>
    <d v="2013-06-25T00:00:00"/>
    <s v="DVD"/>
    <n v="101032"/>
    <s v="AB101821"/>
    <x v="7"/>
    <n v="908328"/>
    <x v="1"/>
  </r>
  <r>
    <n v="10181"/>
    <n v="1"/>
    <d v="2013-06-26T00:00:00"/>
    <s v="DVD"/>
    <n v="101033"/>
    <s v="AB101822"/>
    <x v="9"/>
    <n v="924649"/>
    <x v="1"/>
  </r>
  <r>
    <n v="10296"/>
    <n v="2"/>
    <d v="2013-06-25T00:00:00"/>
    <s v="BLU-RAY"/>
    <n v="101033"/>
    <s v="AB101823"/>
    <x v="21"/>
    <n v="924649"/>
    <x v="1"/>
  </r>
  <r>
    <n v="10079"/>
    <n v="5"/>
    <d v="2013-06-25T00:00:00"/>
    <s v="DVD"/>
    <n v="101034"/>
    <s v="AB101824"/>
    <x v="0"/>
    <n v="283158"/>
    <x v="1"/>
  </r>
  <r>
    <n v="10045"/>
    <n v="6"/>
    <d v="2013-06-25T00:00:00"/>
    <s v="BLU-RAY"/>
    <n v="101034"/>
    <s v="AB101825"/>
    <x v="0"/>
    <n v="283158"/>
    <x v="1"/>
  </r>
  <r>
    <n v="10253"/>
    <n v="10"/>
    <d v="2013-06-25T00:00:00"/>
    <s v="DVD"/>
    <n v="101034"/>
    <s v="AB101826"/>
    <x v="3"/>
    <n v="283158"/>
    <x v="1"/>
  </r>
  <r>
    <n v="10236"/>
    <n v="1"/>
    <d v="2013-06-25T00:00:00"/>
    <s v="DVD"/>
    <n v="101035"/>
    <s v="AB101827"/>
    <x v="10"/>
    <n v="343021"/>
    <x v="1"/>
  </r>
  <r>
    <n v="10066"/>
    <n v="9"/>
    <d v="2013-06-25T00:00:00"/>
    <s v="DVD"/>
    <n v="101036"/>
    <s v="AB101828"/>
    <x v="3"/>
    <n v="741398"/>
    <x v="1"/>
  </r>
  <r>
    <n v="10096"/>
    <n v="1"/>
    <d v="2013-06-26T00:00:00"/>
    <s v="DVD"/>
    <n v="101037"/>
    <s v="AB101829"/>
    <x v="7"/>
    <n v="908328"/>
    <x v="1"/>
  </r>
  <r>
    <n v="10036"/>
    <n v="9"/>
    <d v="2013-06-26T00:00:00"/>
    <s v="DVD"/>
    <n v="101038"/>
    <s v="AB101830"/>
    <x v="7"/>
    <n v="842028"/>
    <x v="1"/>
  </r>
  <r>
    <n v="10138"/>
    <n v="9"/>
    <d v="2013-06-26T00:00:00"/>
    <s v="DVD"/>
    <n v="101038"/>
    <s v="AB101831"/>
    <x v="7"/>
    <n v="842028"/>
    <x v="1"/>
  </r>
  <r>
    <n v="10205"/>
    <n v="8"/>
    <d v="2013-06-26T00:00:00"/>
    <s v="BLU-RAY"/>
    <n v="101039"/>
    <s v="AB101832"/>
    <x v="1"/>
    <n v="612681"/>
    <x v="1"/>
  </r>
  <r>
    <n v="10199"/>
    <n v="3"/>
    <d v="2013-06-26T00:00:00"/>
    <s v="DVD"/>
    <n v="101039"/>
    <s v="AB101833"/>
    <x v="10"/>
    <n v="612681"/>
    <x v="1"/>
  </r>
  <r>
    <n v="10203"/>
    <n v="6"/>
    <d v="2013-06-29T00:00:00"/>
    <s v="BLU-RAY"/>
    <n v="101039"/>
    <s v="AB101834"/>
    <x v="3"/>
    <n v="612681"/>
    <x v="1"/>
  </r>
  <r>
    <n v="10274"/>
    <n v="3"/>
    <d v="2013-06-26T00:00:00"/>
    <s v="BLU-RAY"/>
    <n v="101040"/>
    <s v="AB101835"/>
    <x v="9"/>
    <n v="694281"/>
    <x v="1"/>
  </r>
  <r>
    <n v="10186"/>
    <n v="9"/>
    <d v="2013-06-27T00:00:00"/>
    <s v="DVD"/>
    <n v="101041"/>
    <s v="AB101836"/>
    <x v="10"/>
    <n v="147216"/>
    <x v="1"/>
  </r>
  <r>
    <n v="10195"/>
    <n v="4"/>
    <d v="2013-06-27T00:00:00"/>
    <s v="DVD"/>
    <n v="101041"/>
    <s v="AB101837"/>
    <x v="4"/>
    <n v="147216"/>
    <x v="1"/>
  </r>
  <r>
    <n v="10194"/>
    <n v="10"/>
    <d v="2013-06-26T00:00:00"/>
    <s v="DVD"/>
    <n v="101042"/>
    <s v="AB101838"/>
    <x v="16"/>
    <n v="249188"/>
    <x v="1"/>
  </r>
  <r>
    <n v="10196"/>
    <n v="8"/>
    <d v="2013-06-26T00:00:00"/>
    <s v="BLU-RAY"/>
    <n v="101042"/>
    <s v="AB101839"/>
    <x v="9"/>
    <n v="249188"/>
    <x v="1"/>
  </r>
  <r>
    <n v="10059"/>
    <n v="4"/>
    <d v="2013-06-27T00:00:00"/>
    <s v="DVD"/>
    <n v="101043"/>
    <s v="AB101840"/>
    <x v="7"/>
    <n v="719921"/>
    <x v="1"/>
  </r>
  <r>
    <n v="10075"/>
    <n v="3"/>
    <d v="2013-06-27T00:00:00"/>
    <s v="BLU-RAY"/>
    <n v="101043"/>
    <s v="AB101841"/>
    <x v="17"/>
    <n v="719921"/>
    <x v="1"/>
  </r>
  <r>
    <n v="10032"/>
    <n v="2"/>
    <d v="2013-06-27T00:00:00"/>
    <s v="DVD"/>
    <n v="101044"/>
    <s v="AB101842"/>
    <x v="4"/>
    <n v="734514"/>
    <x v="1"/>
  </r>
  <r>
    <n v="10007"/>
    <n v="5"/>
    <d v="2013-06-27T00:00:00"/>
    <s v="DVD"/>
    <n v="101045"/>
    <s v="AB101843"/>
    <x v="4"/>
    <n v="190721"/>
    <x v="1"/>
  </r>
  <r>
    <n v="10127"/>
    <n v="9"/>
    <d v="2013-06-28T00:00:00"/>
    <s v="DVD"/>
    <n v="101046"/>
    <s v="AB101844"/>
    <x v="6"/>
    <n v="390130"/>
    <x v="1"/>
  </r>
  <r>
    <n v="10263"/>
    <n v="9"/>
    <d v="2013-06-29T00:00:00"/>
    <s v="DVD"/>
    <n v="101047"/>
    <s v="AB101845"/>
    <x v="9"/>
    <n v="548800"/>
    <x v="1"/>
  </r>
  <r>
    <n v="10276"/>
    <n v="10"/>
    <d v="2013-06-28T00:00:00"/>
    <s v="BLU-RAY"/>
    <n v="101048"/>
    <s v="AB101846"/>
    <x v="16"/>
    <n v="396166"/>
    <x v="1"/>
  </r>
  <r>
    <n v="10206"/>
    <n v="10"/>
    <d v="2013-06-28T00:00:00"/>
    <s v="DVD"/>
    <n v="101048"/>
    <s v="AB101847"/>
    <x v="9"/>
    <n v="396166"/>
    <x v="1"/>
  </r>
  <r>
    <n v="10285"/>
    <n v="5"/>
    <d v="2013-06-28T00:00:00"/>
    <s v="BLU-RAY"/>
    <n v="101049"/>
    <s v="AB101848"/>
    <x v="20"/>
    <n v="822823"/>
    <x v="1"/>
  </r>
  <r>
    <n v="10187"/>
    <n v="10"/>
    <d v="2013-06-28T00:00:00"/>
    <s v="BLU-RAY"/>
    <n v="101049"/>
    <s v="AB101849"/>
    <x v="1"/>
    <n v="822823"/>
    <x v="1"/>
  </r>
  <r>
    <n v="10273"/>
    <n v="4"/>
    <d v="2013-06-29T00:00:00"/>
    <s v="DVD"/>
    <n v="101049"/>
    <s v="AB101850"/>
    <x v="4"/>
    <n v="822823"/>
    <x v="1"/>
  </r>
  <r>
    <n v="10010"/>
    <n v="6"/>
    <d v="2013-06-28T00:00:00"/>
    <s v="DVD"/>
    <n v="101049"/>
    <s v="AB101851"/>
    <x v="3"/>
    <n v="822823"/>
    <x v="1"/>
  </r>
  <r>
    <n v="10135"/>
    <n v="7"/>
    <d v="2013-06-29T00:00:00"/>
    <s v="BLU-RAY"/>
    <n v="101050"/>
    <s v="AB101852"/>
    <x v="7"/>
    <n v="229742"/>
    <x v="1"/>
  </r>
  <r>
    <n v="10048"/>
    <n v="9"/>
    <d v="2013-06-29T00:00:00"/>
    <s v="BLU-RAY"/>
    <n v="101050"/>
    <s v="AB101853"/>
    <x v="12"/>
    <n v="229742"/>
    <x v="1"/>
  </r>
  <r>
    <n v="10227"/>
    <n v="3"/>
    <d v="2013-07-01T00:00:00"/>
    <s v="BLU-RAY"/>
    <n v="101051"/>
    <s v="AB101854"/>
    <x v="14"/>
    <n v="706884"/>
    <x v="1"/>
  </r>
  <r>
    <n v="10055"/>
    <n v="3"/>
    <d v="2013-06-30T00:00:00"/>
    <s v="BLU-RAY"/>
    <n v="101052"/>
    <s v="AB101855"/>
    <x v="15"/>
    <n v="471187"/>
    <x v="1"/>
  </r>
  <r>
    <n v="10103"/>
    <n v="6"/>
    <d v="2013-06-29T00:00:00"/>
    <s v="BLU-RAY"/>
    <n v="101052"/>
    <s v="AB101856"/>
    <x v="9"/>
    <n v="471187"/>
    <x v="1"/>
  </r>
  <r>
    <n v="10216"/>
    <n v="8"/>
    <d v="2013-06-30T00:00:00"/>
    <s v="DVD"/>
    <n v="101052"/>
    <s v="AB101857"/>
    <x v="4"/>
    <n v="471187"/>
    <x v="1"/>
  </r>
  <r>
    <n v="10212"/>
    <n v="7"/>
    <d v="2013-06-29T00:00:00"/>
    <s v="DVD"/>
    <n v="101053"/>
    <s v="AB101858"/>
    <x v="10"/>
    <n v="837763"/>
    <x v="1"/>
  </r>
  <r>
    <n v="10292"/>
    <n v="7"/>
    <d v="2013-07-01T00:00:00"/>
    <s v="DVD"/>
    <n v="101054"/>
    <s v="AB101859"/>
    <x v="15"/>
    <n v="147216"/>
    <x v="1"/>
  </r>
  <r>
    <n v="10111"/>
    <n v="5"/>
    <d v="2013-06-29T00:00:00"/>
    <s v="BLU-RAY"/>
    <n v="101055"/>
    <s v="AB101860"/>
    <x v="9"/>
    <n v="242720"/>
    <x v="1"/>
  </r>
  <r>
    <n v="10219"/>
    <n v="10"/>
    <d v="2013-06-29T00:00:00"/>
    <s v="BLU-RAY"/>
    <n v="101056"/>
    <s v="AB101861"/>
    <x v="1"/>
    <n v="900440"/>
    <x v="1"/>
  </r>
  <r>
    <n v="10084"/>
    <n v="10"/>
    <d v="2013-06-30T00:00:00"/>
    <s v="DVD"/>
    <n v="101057"/>
    <s v="AB101862"/>
    <x v="18"/>
    <n v="189953"/>
    <x v="1"/>
  </r>
  <r>
    <n v="10214"/>
    <n v="6"/>
    <d v="2013-06-30T00:00:00"/>
    <s v="BLU-RAY"/>
    <n v="101058"/>
    <s v="AB101863"/>
    <x v="13"/>
    <n v="205190"/>
    <x v="1"/>
  </r>
  <r>
    <n v="10219"/>
    <n v="1"/>
    <d v="2013-06-30T00:00:00"/>
    <s v="BLU-RAY"/>
    <n v="101059"/>
    <s v="AB101864"/>
    <x v="1"/>
    <n v="371731"/>
    <x v="1"/>
  </r>
  <r>
    <n v="10034"/>
    <n v="8"/>
    <d v="2013-07-01T00:00:00"/>
    <s v="BLU-RAY"/>
    <n v="101059"/>
    <s v="AB101865"/>
    <x v="10"/>
    <n v="371731"/>
    <x v="1"/>
  </r>
  <r>
    <n v="10169"/>
    <n v="10"/>
    <d v="2013-06-30T00:00:00"/>
    <s v="BLU-RAY"/>
    <n v="101059"/>
    <s v="AB101866"/>
    <x v="0"/>
    <n v="371731"/>
    <x v="1"/>
  </r>
  <r>
    <n v="10173"/>
    <n v="5"/>
    <d v="2013-06-30T00:00:00"/>
    <s v="DVD"/>
    <n v="101060"/>
    <s v="AB101867"/>
    <x v="4"/>
    <n v="227372"/>
    <x v="1"/>
  </r>
  <r>
    <n v="10059"/>
    <n v="10"/>
    <d v="2013-06-30T00:00:00"/>
    <s v="BLU-RAY"/>
    <n v="101060"/>
    <s v="AB101868"/>
    <x v="7"/>
    <n v="227372"/>
    <x v="1"/>
  </r>
  <r>
    <n v="10155"/>
    <n v="8"/>
    <d v="2013-07-01T00:00:00"/>
    <s v="BLU-RAY"/>
    <n v="101060"/>
    <s v="AB101869"/>
    <x v="9"/>
    <n v="227372"/>
    <x v="1"/>
  </r>
  <r>
    <n v="10263"/>
    <n v="10"/>
    <d v="2013-07-02T00:00:00"/>
    <s v="DVD"/>
    <n v="101061"/>
    <s v="AB101870"/>
    <x v="9"/>
    <n v="624668"/>
    <x v="1"/>
  </r>
  <r>
    <n v="10239"/>
    <n v="3"/>
    <d v="2013-06-30T00:00:00"/>
    <s v="BLU-RAY"/>
    <n v="101062"/>
    <s v="AB101871"/>
    <x v="2"/>
    <n v="646953"/>
    <x v="1"/>
  </r>
  <r>
    <n v="10026"/>
    <n v="7"/>
    <d v="2013-07-01T00:00:00"/>
    <s v="DVD"/>
    <n v="101062"/>
    <s v="AB101872"/>
    <x v="9"/>
    <n v="646953"/>
    <x v="1"/>
  </r>
  <r>
    <n v="10248"/>
    <n v="9"/>
    <d v="2013-06-30T00:00:00"/>
    <s v="BLU-RAY"/>
    <n v="101063"/>
    <s v="AB101873"/>
    <x v="12"/>
    <n v="810369"/>
    <x v="1"/>
  </r>
  <r>
    <n v="10199"/>
    <n v="3"/>
    <d v="2013-07-01T00:00:00"/>
    <s v="DVD"/>
    <n v="101063"/>
    <s v="AB101874"/>
    <x v="10"/>
    <n v="810369"/>
    <x v="1"/>
  </r>
  <r>
    <n v="10094"/>
    <n v="8"/>
    <d v="2013-07-01T00:00:00"/>
    <s v="DVD"/>
    <n v="101063"/>
    <s v="AB101875"/>
    <x v="12"/>
    <n v="810369"/>
    <x v="1"/>
  </r>
  <r>
    <n v="10092"/>
    <n v="2"/>
    <d v="2013-07-02T00:00:00"/>
    <s v="BLU-RAY"/>
    <n v="101064"/>
    <s v="AB101876"/>
    <x v="0"/>
    <n v="561305"/>
    <x v="1"/>
  </r>
  <r>
    <n v="10080"/>
    <n v="10"/>
    <d v="2013-06-30T00:00:00"/>
    <s v="BLU-RAY"/>
    <n v="101065"/>
    <s v="AB101877"/>
    <x v="3"/>
    <n v="344702"/>
    <x v="1"/>
  </r>
  <r>
    <n v="10192"/>
    <n v="1"/>
    <d v="2013-07-01T00:00:00"/>
    <s v="DVD"/>
    <n v="101066"/>
    <s v="AB101878"/>
    <x v="7"/>
    <n v="649551"/>
    <x v="1"/>
  </r>
  <r>
    <n v="10275"/>
    <n v="6"/>
    <d v="2013-07-01T00:00:00"/>
    <s v="BLU-RAY"/>
    <n v="101066"/>
    <s v="AB101879"/>
    <x v="10"/>
    <n v="649551"/>
    <x v="1"/>
  </r>
  <r>
    <n v="10095"/>
    <n v="2"/>
    <d v="2013-07-01T00:00:00"/>
    <s v="DVD"/>
    <n v="101067"/>
    <s v="AB101880"/>
    <x v="2"/>
    <n v="611078"/>
    <x v="1"/>
  </r>
  <r>
    <n v="10077"/>
    <n v="6"/>
    <d v="2013-07-01T00:00:00"/>
    <s v="DVD"/>
    <n v="101067"/>
    <s v="AB101881"/>
    <x v="0"/>
    <n v="611078"/>
    <x v="1"/>
  </r>
  <r>
    <n v="10114"/>
    <n v="3"/>
    <d v="2013-07-01T00:00:00"/>
    <s v="DVD"/>
    <n v="101068"/>
    <s v="AB101882"/>
    <x v="10"/>
    <n v="308505"/>
    <x v="1"/>
  </r>
  <r>
    <n v="10202"/>
    <n v="9"/>
    <d v="2013-07-01T00:00:00"/>
    <s v="DVD"/>
    <n v="101069"/>
    <s v="AB101883"/>
    <x v="0"/>
    <n v="355107"/>
    <x v="1"/>
  </r>
  <r>
    <n v="10084"/>
    <n v="7"/>
    <d v="2013-07-03T00:00:00"/>
    <s v="DVD"/>
    <n v="101070"/>
    <s v="AB101884"/>
    <x v="18"/>
    <n v="608290"/>
    <x v="1"/>
  </r>
  <r>
    <n v="10036"/>
    <n v="2"/>
    <d v="2013-07-01T00:00:00"/>
    <s v="BLU-RAY"/>
    <n v="101070"/>
    <s v="AB101885"/>
    <x v="7"/>
    <n v="608290"/>
    <x v="1"/>
  </r>
  <r>
    <n v="10007"/>
    <n v="4"/>
    <d v="2013-07-01T00:00:00"/>
    <s v="DVD"/>
    <n v="101071"/>
    <s v="AB101886"/>
    <x v="4"/>
    <n v="611078"/>
    <x v="1"/>
  </r>
  <r>
    <n v="10213"/>
    <n v="5"/>
    <d v="2013-07-01T00:00:00"/>
    <s v="BLU-RAY"/>
    <n v="101072"/>
    <s v="AB101887"/>
    <x v="4"/>
    <n v="238347"/>
    <x v="1"/>
  </r>
  <r>
    <n v="10214"/>
    <n v="9"/>
    <d v="2013-07-01T00:00:00"/>
    <s v="BLU-RAY"/>
    <n v="101072"/>
    <s v="AB101888"/>
    <x v="13"/>
    <n v="238347"/>
    <x v="1"/>
  </r>
  <r>
    <n v="10151"/>
    <n v="10"/>
    <d v="2013-07-04T00:00:00"/>
    <s v="DVD"/>
    <n v="101073"/>
    <s v="AB101889"/>
    <x v="8"/>
    <n v="330223"/>
    <x v="1"/>
  </r>
  <r>
    <n v="10226"/>
    <n v="7"/>
    <d v="2013-07-03T00:00:00"/>
    <s v="BLU-RAY"/>
    <n v="101073"/>
    <s v="AB101890"/>
    <x v="4"/>
    <n v="330223"/>
    <x v="1"/>
  </r>
  <r>
    <n v="10222"/>
    <n v="1"/>
    <d v="2013-07-02T00:00:00"/>
    <s v="BLU-RAY"/>
    <n v="101074"/>
    <s v="AB101891"/>
    <x v="4"/>
    <n v="739669"/>
    <x v="1"/>
  </r>
  <r>
    <n v="10145"/>
    <n v="3"/>
    <d v="2013-07-02T00:00:00"/>
    <s v="BLU-RAY"/>
    <n v="101075"/>
    <s v="AB101892"/>
    <x v="6"/>
    <n v="890497"/>
    <x v="1"/>
  </r>
  <r>
    <n v="10201"/>
    <n v="4"/>
    <d v="2013-07-03T00:00:00"/>
    <s v="BLU-RAY"/>
    <n v="101076"/>
    <s v="AB101893"/>
    <x v="8"/>
    <n v="352644"/>
    <x v="1"/>
  </r>
  <r>
    <n v="10103"/>
    <n v="6"/>
    <d v="2013-07-02T00:00:00"/>
    <s v="BLU-RAY"/>
    <n v="101076"/>
    <s v="AB101894"/>
    <x v="9"/>
    <n v="352644"/>
    <x v="1"/>
  </r>
  <r>
    <n v="10126"/>
    <n v="8"/>
    <d v="2013-07-02T00:00:00"/>
    <s v="DVD"/>
    <n v="101076"/>
    <s v="AB101895"/>
    <x v="9"/>
    <n v="352644"/>
    <x v="1"/>
  </r>
  <r>
    <n v="10216"/>
    <n v="5"/>
    <d v="2013-07-02T00:00:00"/>
    <s v="DVD"/>
    <n v="101076"/>
    <s v="AB101896"/>
    <x v="4"/>
    <n v="352644"/>
    <x v="1"/>
  </r>
  <r>
    <n v="10239"/>
    <n v="5"/>
    <d v="2013-07-02T00:00:00"/>
    <s v="BLU-RAY"/>
    <n v="101077"/>
    <s v="AB101897"/>
    <x v="2"/>
    <n v="220206"/>
    <x v="1"/>
  </r>
  <r>
    <n v="10139"/>
    <n v="9"/>
    <d v="2013-07-02T00:00:00"/>
    <s v="BLU-RAY"/>
    <n v="101077"/>
    <s v="AB101898"/>
    <x v="14"/>
    <n v="220206"/>
    <x v="1"/>
  </r>
  <r>
    <n v="10157"/>
    <n v="10"/>
    <d v="2013-07-03T00:00:00"/>
    <s v="DVD"/>
    <n v="101077"/>
    <s v="AB101899"/>
    <x v="1"/>
    <n v="220206"/>
    <x v="1"/>
  </r>
  <r>
    <n v="10017"/>
    <n v="1"/>
    <d v="2013-07-02T00:00:00"/>
    <s v="DVD"/>
    <n v="101078"/>
    <s v="AB101900"/>
    <x v="4"/>
    <n v="204295"/>
    <x v="1"/>
  </r>
  <r>
    <n v="10214"/>
    <n v="9"/>
    <d v="2013-07-02T00:00:00"/>
    <s v="BLU-RAY"/>
    <n v="101079"/>
    <s v="AB101901"/>
    <x v="13"/>
    <n v="435907"/>
    <x v="1"/>
  </r>
  <r>
    <n v="10028"/>
    <n v="1"/>
    <d v="2013-07-04T00:00:00"/>
    <s v="DVD"/>
    <n v="101080"/>
    <s v="AB101902"/>
    <x v="5"/>
    <n v="719921"/>
    <x v="1"/>
  </r>
  <r>
    <n v="10021"/>
    <n v="3"/>
    <d v="2013-07-04T00:00:00"/>
    <s v="BLU-RAY"/>
    <n v="101081"/>
    <s v="AB101903"/>
    <x v="1"/>
    <n v="249188"/>
    <x v="1"/>
  </r>
  <r>
    <n v="10287"/>
    <n v="4"/>
    <d v="2013-07-04T00:00:00"/>
    <s v="BLU-RAY"/>
    <n v="101081"/>
    <s v="AB101904"/>
    <x v="10"/>
    <n v="249188"/>
    <x v="1"/>
  </r>
  <r>
    <n v="10288"/>
    <n v="5"/>
    <d v="2013-07-03T00:00:00"/>
    <s v="DVD"/>
    <n v="101082"/>
    <s v="AB101905"/>
    <x v="12"/>
    <n v="186353"/>
    <x v="1"/>
  </r>
  <r>
    <n v="10217"/>
    <n v="10"/>
    <d v="2013-07-04T00:00:00"/>
    <s v="BLU-RAY"/>
    <n v="101083"/>
    <s v="AB101906"/>
    <x v="0"/>
    <n v="346006"/>
    <x v="1"/>
  </r>
  <r>
    <n v="10196"/>
    <n v="6"/>
    <d v="2013-07-04T00:00:00"/>
    <s v="DVD"/>
    <n v="101084"/>
    <s v="AB101907"/>
    <x v="9"/>
    <n v="862302"/>
    <x v="1"/>
  </r>
  <r>
    <n v="10129"/>
    <n v="2"/>
    <d v="2013-07-03T00:00:00"/>
    <s v="BLU-RAY"/>
    <n v="101085"/>
    <s v="AB101908"/>
    <x v="0"/>
    <n v="592592"/>
    <x v="1"/>
  </r>
  <r>
    <n v="10033"/>
    <n v="8"/>
    <d v="2013-07-03T00:00:00"/>
    <s v="BLU-RAY"/>
    <n v="101085"/>
    <s v="AB101909"/>
    <x v="10"/>
    <n v="592592"/>
    <x v="1"/>
  </r>
  <r>
    <n v="10229"/>
    <n v="4"/>
    <d v="2013-07-05T00:00:00"/>
    <s v="BLU-RAY"/>
    <n v="101086"/>
    <s v="AB101910"/>
    <x v="6"/>
    <n v="396166"/>
    <x v="1"/>
  </r>
  <r>
    <n v="10222"/>
    <n v="8"/>
    <d v="2013-07-03T00:00:00"/>
    <s v="DVD"/>
    <n v="101086"/>
    <s v="AB101911"/>
    <x v="4"/>
    <n v="396166"/>
    <x v="1"/>
  </r>
  <r>
    <n v="10139"/>
    <n v="2"/>
    <d v="2013-07-03T00:00:00"/>
    <s v="DVD"/>
    <n v="101086"/>
    <s v="AB101912"/>
    <x v="14"/>
    <n v="396166"/>
    <x v="1"/>
  </r>
  <r>
    <n v="10173"/>
    <n v="10"/>
    <d v="2013-07-03T00:00:00"/>
    <s v="BLU-RAY"/>
    <n v="101087"/>
    <s v="AB101913"/>
    <x v="4"/>
    <n v="668931"/>
    <x v="1"/>
  </r>
  <r>
    <n v="10121"/>
    <n v="2"/>
    <d v="2013-07-04T00:00:00"/>
    <s v="BLU-RAY"/>
    <n v="101087"/>
    <s v="AB101914"/>
    <x v="2"/>
    <n v="668931"/>
    <x v="1"/>
  </r>
  <r>
    <n v="10125"/>
    <n v="3"/>
    <d v="2013-07-03T00:00:00"/>
    <s v="BLU-RAY"/>
    <n v="101088"/>
    <s v="AB101915"/>
    <x v="9"/>
    <n v="162236"/>
    <x v="1"/>
  </r>
  <r>
    <n v="10119"/>
    <n v="2"/>
    <d v="2013-07-04T00:00:00"/>
    <s v="BLU-RAY"/>
    <n v="101089"/>
    <s v="AB101916"/>
    <x v="7"/>
    <n v="178806"/>
    <x v="1"/>
  </r>
  <r>
    <n v="10046"/>
    <n v="9"/>
    <d v="2013-07-03T00:00:00"/>
    <s v="DVD"/>
    <n v="101089"/>
    <s v="AB101917"/>
    <x v="4"/>
    <n v="178806"/>
    <x v="1"/>
  </r>
  <r>
    <n v="10083"/>
    <n v="1"/>
    <d v="2013-07-04T00:00:00"/>
    <s v="DVD"/>
    <n v="101090"/>
    <s v="AB101918"/>
    <x v="3"/>
    <n v="622131"/>
    <x v="1"/>
  </r>
  <r>
    <n v="10128"/>
    <n v="4"/>
    <d v="2013-07-04T00:00:00"/>
    <s v="BLU-RAY"/>
    <n v="101090"/>
    <s v="AB101919"/>
    <x v="6"/>
    <n v="622131"/>
    <x v="1"/>
  </r>
  <r>
    <n v="10008"/>
    <n v="5"/>
    <d v="2013-07-04T00:00:00"/>
    <s v="DVD"/>
    <n v="101091"/>
    <s v="AB101920"/>
    <x v="4"/>
    <n v="676018"/>
    <x v="1"/>
  </r>
  <r>
    <n v="10145"/>
    <n v="1"/>
    <d v="2013-07-04T00:00:00"/>
    <s v="BLU-RAY"/>
    <n v="101091"/>
    <s v="AB101921"/>
    <x v="6"/>
    <n v="676018"/>
    <x v="1"/>
  </r>
  <r>
    <n v="10083"/>
    <n v="4"/>
    <d v="2013-07-04T00:00:00"/>
    <s v="BLU-RAY"/>
    <n v="101092"/>
    <s v="AB101922"/>
    <x v="3"/>
    <n v="911171"/>
    <x v="1"/>
  </r>
  <r>
    <n v="10066"/>
    <n v="3"/>
    <d v="2013-07-05T00:00:00"/>
    <s v="DVD"/>
    <n v="101092"/>
    <s v="AB101923"/>
    <x v="3"/>
    <n v="911171"/>
    <x v="1"/>
  </r>
  <r>
    <n v="10136"/>
    <n v="8"/>
    <d v="2013-07-04T00:00:00"/>
    <s v="DVD"/>
    <n v="101093"/>
    <s v="AB101924"/>
    <x v="2"/>
    <n v="744648"/>
    <x v="1"/>
  </r>
  <r>
    <n v="10097"/>
    <n v="3"/>
    <d v="2013-07-05T00:00:00"/>
    <s v="BLU-RAY"/>
    <n v="101094"/>
    <s v="AB101925"/>
    <x v="8"/>
    <n v="606155"/>
    <x v="1"/>
  </r>
  <r>
    <n v="10141"/>
    <n v="2"/>
    <d v="2013-07-04T00:00:00"/>
    <s v="DVD"/>
    <n v="101094"/>
    <s v="AB101926"/>
    <x v="0"/>
    <n v="606155"/>
    <x v="1"/>
  </r>
  <r>
    <n v="10048"/>
    <n v="1"/>
    <d v="2013-07-04T00:00:00"/>
    <s v="BLU-RAY"/>
    <n v="101095"/>
    <s v="AB101927"/>
    <x v="12"/>
    <n v="706884"/>
    <x v="1"/>
  </r>
  <r>
    <n v="10197"/>
    <n v="9"/>
    <d v="2013-07-04T00:00:00"/>
    <s v="BLU-RAY"/>
    <n v="101096"/>
    <s v="AB101928"/>
    <x v="0"/>
    <n v="378374"/>
    <x v="1"/>
  </r>
  <r>
    <n v="10225"/>
    <n v="7"/>
    <d v="2013-07-04T00:00:00"/>
    <s v="DVD"/>
    <n v="101097"/>
    <s v="AB101929"/>
    <x v="0"/>
    <n v="765237"/>
    <x v="1"/>
  </r>
  <r>
    <n v="10233"/>
    <n v="5"/>
    <d v="2013-07-04T00:00:00"/>
    <s v="DVD"/>
    <n v="101098"/>
    <s v="AB101930"/>
    <x v="8"/>
    <n v="447368"/>
    <x v="1"/>
  </r>
  <r>
    <n v="10251"/>
    <n v="3"/>
    <d v="2013-07-05T00:00:00"/>
    <s v="BLU-RAY"/>
    <n v="101099"/>
    <s v="AB101931"/>
    <x v="7"/>
    <n v="852319"/>
    <x v="1"/>
  </r>
  <r>
    <n v="10147"/>
    <n v="6"/>
    <d v="2013-07-05T00:00:00"/>
    <s v="BLU-RAY"/>
    <n v="101099"/>
    <s v="AB101932"/>
    <x v="10"/>
    <n v="852319"/>
    <x v="1"/>
  </r>
  <r>
    <n v="10212"/>
    <n v="9"/>
    <d v="2013-07-05T00:00:00"/>
    <s v="DVD"/>
    <n v="101100"/>
    <s v="AB101933"/>
    <x v="10"/>
    <n v="605188"/>
    <x v="1"/>
  </r>
  <r>
    <n v="10298"/>
    <n v="8"/>
    <d v="2013-07-05T00:00:00"/>
    <s v="DVD"/>
    <n v="101101"/>
    <s v="AB101934"/>
    <x v="19"/>
    <n v="561305"/>
    <x v="1"/>
  </r>
  <r>
    <n v="10037"/>
    <n v="5"/>
    <d v="2013-07-06T00:00:00"/>
    <s v="BLU-RAY"/>
    <n v="101102"/>
    <s v="AB101935"/>
    <x v="3"/>
    <n v="305005"/>
    <x v="1"/>
  </r>
  <r>
    <n v="10109"/>
    <n v="7"/>
    <d v="2013-07-05T00:00:00"/>
    <s v="DVD"/>
    <n v="101103"/>
    <s v="AB101936"/>
    <x v="0"/>
    <n v="242720"/>
    <x v="1"/>
  </r>
  <r>
    <n v="10168"/>
    <n v="1"/>
    <d v="2013-07-05T00:00:00"/>
    <s v="DVD"/>
    <n v="101103"/>
    <s v="AB101937"/>
    <x v="1"/>
    <n v="242720"/>
    <x v="1"/>
  </r>
  <r>
    <n v="10134"/>
    <n v="4"/>
    <d v="2013-07-05T00:00:00"/>
    <s v="BLU-RAY"/>
    <n v="101103"/>
    <s v="AB101938"/>
    <x v="7"/>
    <n v="242720"/>
    <x v="1"/>
  </r>
  <r>
    <n v="10039"/>
    <n v="7"/>
    <d v="2013-07-06T00:00:00"/>
    <s v="BLU-RAY"/>
    <n v="101104"/>
    <s v="AB101939"/>
    <x v="11"/>
    <n v="111486"/>
    <x v="1"/>
  </r>
  <r>
    <n v="10063"/>
    <n v="7"/>
    <d v="2013-07-05T00:00:00"/>
    <s v="DVD"/>
    <n v="101104"/>
    <s v="AB101940"/>
    <x v="18"/>
    <n v="111486"/>
    <x v="1"/>
  </r>
  <r>
    <n v="10104"/>
    <n v="2"/>
    <d v="2013-07-05T00:00:00"/>
    <s v="DVD"/>
    <n v="101105"/>
    <s v="AB101941"/>
    <x v="7"/>
    <n v="888759"/>
    <x v="1"/>
  </r>
  <r>
    <n v="10277"/>
    <n v="4"/>
    <d v="2013-07-06T00:00:00"/>
    <s v="BLU-RAY"/>
    <n v="101106"/>
    <s v="AB101942"/>
    <x v="7"/>
    <n v="590616"/>
    <x v="1"/>
  </r>
  <r>
    <n v="10214"/>
    <n v="9"/>
    <d v="2013-07-05T00:00:00"/>
    <s v="DVD"/>
    <n v="101106"/>
    <s v="AB101943"/>
    <x v="13"/>
    <n v="590616"/>
    <x v="1"/>
  </r>
  <r>
    <n v="10113"/>
    <n v="10"/>
    <d v="2013-07-06T00:00:00"/>
    <s v="DVD"/>
    <n v="101106"/>
    <s v="AB101944"/>
    <x v="10"/>
    <n v="590616"/>
    <x v="1"/>
  </r>
  <r>
    <n v="10047"/>
    <n v="5"/>
    <d v="2013-07-05T00:00:00"/>
    <s v="BLU-RAY"/>
    <n v="101106"/>
    <s v="AB101945"/>
    <x v="0"/>
    <n v="590616"/>
    <x v="1"/>
  </r>
  <r>
    <n v="10021"/>
    <n v="1"/>
    <d v="2013-07-05T00:00:00"/>
    <s v="DVD"/>
    <n v="101107"/>
    <s v="AB101946"/>
    <x v="1"/>
    <n v="777145"/>
    <x v="1"/>
  </r>
  <r>
    <n v="10232"/>
    <n v="10"/>
    <d v="2013-07-06T00:00:00"/>
    <s v="BLU-RAY"/>
    <n v="101107"/>
    <s v="AB101947"/>
    <x v="1"/>
    <n v="777145"/>
    <x v="1"/>
  </r>
  <r>
    <n v="10052"/>
    <n v="6"/>
    <d v="2013-07-05T00:00:00"/>
    <s v="BLU-RAY"/>
    <n v="101107"/>
    <s v="AB101948"/>
    <x v="0"/>
    <n v="777145"/>
    <x v="1"/>
  </r>
  <r>
    <n v="10245"/>
    <n v="2"/>
    <d v="2013-07-07T00:00:00"/>
    <s v="DVD"/>
    <n v="101108"/>
    <s v="AB101949"/>
    <x v="0"/>
    <n v="795957"/>
    <x v="1"/>
  </r>
  <r>
    <n v="10285"/>
    <n v="4"/>
    <d v="2013-07-07T00:00:00"/>
    <s v="BLU-RAY"/>
    <n v="101108"/>
    <s v="AB101950"/>
    <x v="20"/>
    <n v="795957"/>
    <x v="1"/>
  </r>
  <r>
    <n v="10064"/>
    <n v="8"/>
    <d v="2013-07-07T00:00:00"/>
    <s v="DVD"/>
    <n v="101109"/>
    <s v="AB101951"/>
    <x v="7"/>
    <n v="825249"/>
    <x v="1"/>
  </r>
  <r>
    <n v="10150"/>
    <n v="10"/>
    <d v="2013-07-06T00:00:00"/>
    <s v="DVD"/>
    <n v="101110"/>
    <s v="AB101952"/>
    <x v="14"/>
    <n v="736500"/>
    <x v="1"/>
  </r>
  <r>
    <n v="10042"/>
    <n v="8"/>
    <d v="2013-07-07T00:00:00"/>
    <s v="BLU-RAY"/>
    <n v="101110"/>
    <s v="AB101953"/>
    <x v="1"/>
    <n v="736500"/>
    <x v="1"/>
  </r>
  <r>
    <n v="10153"/>
    <n v="5"/>
    <d v="2013-07-06T00:00:00"/>
    <s v="DVD"/>
    <n v="101110"/>
    <s v="AB101954"/>
    <x v="10"/>
    <n v="736500"/>
    <x v="1"/>
  </r>
  <r>
    <n v="10049"/>
    <n v="5"/>
    <d v="2013-07-06T00:00:00"/>
    <s v="DVD"/>
    <n v="101111"/>
    <s v="AB101955"/>
    <x v="7"/>
    <n v="479497"/>
    <x v="1"/>
  </r>
  <r>
    <n v="10242"/>
    <n v="10"/>
    <d v="2013-07-06T00:00:00"/>
    <s v="DVD"/>
    <n v="101112"/>
    <s v="AB101956"/>
    <x v="3"/>
    <n v="908768"/>
    <x v="1"/>
  </r>
  <r>
    <n v="10290"/>
    <n v="6"/>
    <d v="2013-07-06T00:00:00"/>
    <s v="BLU-RAY"/>
    <n v="101112"/>
    <s v="AB101957"/>
    <x v="2"/>
    <n v="908768"/>
    <x v="1"/>
  </r>
  <r>
    <n v="10060"/>
    <n v="10"/>
    <d v="2013-07-06T00:00:00"/>
    <s v="DVD"/>
    <n v="101113"/>
    <s v="AB101958"/>
    <x v="0"/>
    <n v="249188"/>
    <x v="1"/>
  </r>
  <r>
    <n v="10293"/>
    <n v="8"/>
    <d v="2013-07-07T00:00:00"/>
    <s v="BLU-RAY"/>
    <n v="101114"/>
    <s v="AB101959"/>
    <x v="12"/>
    <n v="277373"/>
    <x v="1"/>
  </r>
  <r>
    <n v="10028"/>
    <n v="4"/>
    <d v="2013-07-07T00:00:00"/>
    <s v="DVD"/>
    <n v="101114"/>
    <s v="AB101960"/>
    <x v="5"/>
    <n v="277373"/>
    <x v="1"/>
  </r>
  <r>
    <n v="10044"/>
    <n v="1"/>
    <d v="2013-07-07T00:00:00"/>
    <s v="BLU-RAY"/>
    <n v="101115"/>
    <s v="AB101961"/>
    <x v="3"/>
    <n v="590517"/>
    <x v="1"/>
  </r>
  <r>
    <n v="10104"/>
    <n v="5"/>
    <d v="2013-07-08T00:00:00"/>
    <s v="DVD"/>
    <n v="101115"/>
    <s v="AB101962"/>
    <x v="7"/>
    <n v="590517"/>
    <x v="1"/>
  </r>
  <r>
    <n v="10264"/>
    <n v="9"/>
    <d v="2013-07-07T00:00:00"/>
    <s v="DVD"/>
    <n v="101116"/>
    <s v="AB101963"/>
    <x v="2"/>
    <n v="912671"/>
    <x v="1"/>
  </r>
  <r>
    <n v="10280"/>
    <n v="2"/>
    <d v="2013-07-07T00:00:00"/>
    <s v="BLU-RAY"/>
    <n v="101117"/>
    <s v="AB101964"/>
    <x v="7"/>
    <n v="415869"/>
    <x v="1"/>
  </r>
  <r>
    <n v="10063"/>
    <n v="2"/>
    <d v="2013-07-08T00:00:00"/>
    <s v="DVD"/>
    <n v="101118"/>
    <s v="AB101965"/>
    <x v="18"/>
    <n v="803700"/>
    <x v="1"/>
  </r>
  <r>
    <n v="10025"/>
    <n v="2"/>
    <d v="2013-07-07T00:00:00"/>
    <s v="DVD"/>
    <n v="101119"/>
    <s v="AB101966"/>
    <x v="4"/>
    <n v="748326"/>
    <x v="1"/>
  </r>
  <r>
    <n v="10012"/>
    <n v="2"/>
    <d v="2013-07-07T00:00:00"/>
    <s v="DVD"/>
    <n v="101119"/>
    <s v="AB101967"/>
    <x v="3"/>
    <n v="748326"/>
    <x v="1"/>
  </r>
  <r>
    <n v="10075"/>
    <n v="3"/>
    <d v="2013-07-08T00:00:00"/>
    <s v="DVD"/>
    <n v="101120"/>
    <s v="AB101968"/>
    <x v="17"/>
    <n v="199895"/>
    <x v="1"/>
  </r>
  <r>
    <n v="10124"/>
    <n v="1"/>
    <d v="2013-07-07T00:00:00"/>
    <s v="DVD"/>
    <n v="101121"/>
    <s v="AB101969"/>
    <x v="1"/>
    <n v="599995"/>
    <x v="1"/>
  </r>
  <r>
    <n v="10274"/>
    <n v="10"/>
    <d v="2013-07-07T00:00:00"/>
    <s v="DVD"/>
    <n v="101122"/>
    <s v="AB101970"/>
    <x v="9"/>
    <n v="592592"/>
    <x v="1"/>
  </r>
  <r>
    <n v="10071"/>
    <n v="5"/>
    <d v="2013-07-08T00:00:00"/>
    <s v="DVD"/>
    <n v="101123"/>
    <s v="AB101971"/>
    <x v="1"/>
    <n v="385115"/>
    <x v="1"/>
  </r>
  <r>
    <n v="10043"/>
    <n v="8"/>
    <d v="2013-07-08T00:00:00"/>
    <s v="BLU-RAY"/>
    <n v="101124"/>
    <s v="AB101972"/>
    <x v="8"/>
    <n v="815980"/>
    <x v="1"/>
  </r>
  <r>
    <n v="10094"/>
    <n v="1"/>
    <d v="2013-07-08T00:00:00"/>
    <s v="BLU-RAY"/>
    <n v="101124"/>
    <s v="AB101973"/>
    <x v="12"/>
    <n v="815980"/>
    <x v="1"/>
  </r>
  <r>
    <n v="10154"/>
    <n v="5"/>
    <d v="2013-07-08T00:00:00"/>
    <s v="BLU-RAY"/>
    <n v="101125"/>
    <s v="AB101974"/>
    <x v="5"/>
    <n v="214537"/>
    <x v="1"/>
  </r>
  <r>
    <n v="10154"/>
    <n v="3"/>
    <d v="2013-07-08T00:00:00"/>
    <s v="DVD"/>
    <n v="101125"/>
    <s v="AB101975"/>
    <x v="5"/>
    <n v="214537"/>
    <x v="1"/>
  </r>
  <r>
    <n v="10177"/>
    <n v="4"/>
    <d v="2013-07-08T00:00:00"/>
    <s v="DVD"/>
    <n v="101126"/>
    <s v="AB101976"/>
    <x v="9"/>
    <n v="308662"/>
    <x v="1"/>
  </r>
  <r>
    <n v="10062"/>
    <n v="8"/>
    <d v="2013-07-08T00:00:00"/>
    <s v="DVD"/>
    <n v="101127"/>
    <s v="AB101977"/>
    <x v="16"/>
    <n v="955591"/>
    <x v="1"/>
  </r>
  <r>
    <n v="10284"/>
    <n v="9"/>
    <d v="2013-07-08T00:00:00"/>
    <s v="BLU-RAY"/>
    <n v="101127"/>
    <s v="AB101978"/>
    <x v="14"/>
    <n v="955591"/>
    <x v="1"/>
  </r>
  <r>
    <n v="10157"/>
    <n v="2"/>
    <d v="2013-07-10T00:00:00"/>
    <s v="DVD"/>
    <n v="101128"/>
    <s v="AB101979"/>
    <x v="1"/>
    <n v="396166"/>
    <x v="1"/>
  </r>
  <r>
    <n v="10134"/>
    <n v="1"/>
    <d v="2013-07-09T00:00:00"/>
    <s v="DVD"/>
    <n v="101129"/>
    <s v="AB101980"/>
    <x v="7"/>
    <n v="840096"/>
    <x v="1"/>
  </r>
  <r>
    <n v="10281"/>
    <n v="4"/>
    <d v="2013-07-09T00:00:00"/>
    <s v="BLU-RAY"/>
    <n v="101130"/>
    <s v="AB101981"/>
    <x v="10"/>
    <n v="302774"/>
    <x v="1"/>
  </r>
  <r>
    <n v="10051"/>
    <n v="9"/>
    <d v="2013-07-08T00:00:00"/>
    <s v="BLU-RAY"/>
    <n v="101131"/>
    <s v="AB101982"/>
    <x v="1"/>
    <n v="958321"/>
    <x v="1"/>
  </r>
  <r>
    <n v="10226"/>
    <n v="1"/>
    <d v="2013-07-11T00:00:00"/>
    <s v="DVD"/>
    <n v="101132"/>
    <s v="AB101983"/>
    <x v="4"/>
    <n v="128131"/>
    <x v="1"/>
  </r>
  <r>
    <n v="10122"/>
    <n v="5"/>
    <d v="2013-07-11T00:00:00"/>
    <s v="BLU-RAY"/>
    <n v="101132"/>
    <s v="AB101984"/>
    <x v="12"/>
    <n v="128131"/>
    <x v="1"/>
  </r>
  <r>
    <n v="10215"/>
    <n v="2"/>
    <d v="2013-07-09T00:00:00"/>
    <s v="DVD"/>
    <n v="101133"/>
    <s v="AB101985"/>
    <x v="1"/>
    <n v="891738"/>
    <x v="1"/>
  </r>
  <r>
    <n v="10157"/>
    <n v="10"/>
    <d v="2013-07-09T00:00:00"/>
    <s v="DVD"/>
    <n v="101134"/>
    <s v="AB101986"/>
    <x v="1"/>
    <n v="739440"/>
    <x v="1"/>
  </r>
  <r>
    <n v="10027"/>
    <n v="10"/>
    <d v="2013-07-09T00:00:00"/>
    <s v="BLU-RAY"/>
    <n v="101134"/>
    <s v="AB101987"/>
    <x v="16"/>
    <n v="739440"/>
    <x v="1"/>
  </r>
  <r>
    <n v="10025"/>
    <n v="10"/>
    <d v="2013-07-09T00:00:00"/>
    <s v="BLU-RAY"/>
    <n v="101135"/>
    <s v="AB101988"/>
    <x v="4"/>
    <n v="744648"/>
    <x v="1"/>
  </r>
  <r>
    <n v="10158"/>
    <n v="6"/>
    <d v="2013-07-09T00:00:00"/>
    <s v="DVD"/>
    <n v="101135"/>
    <s v="AB101989"/>
    <x v="0"/>
    <n v="744648"/>
    <x v="1"/>
  </r>
  <r>
    <n v="10108"/>
    <n v="7"/>
    <d v="2013-07-09T00:00:00"/>
    <s v="DVD"/>
    <n v="101135"/>
    <s v="AB101990"/>
    <x v="9"/>
    <n v="744648"/>
    <x v="1"/>
  </r>
  <r>
    <n v="10042"/>
    <n v="1"/>
    <d v="2013-07-09T00:00:00"/>
    <s v="BLU-RAY"/>
    <n v="101136"/>
    <s v="AB101991"/>
    <x v="1"/>
    <n v="352644"/>
    <x v="1"/>
  </r>
  <r>
    <n v="10071"/>
    <n v="5"/>
    <d v="2013-07-09T00:00:00"/>
    <s v="DVD"/>
    <n v="101136"/>
    <s v="AB101992"/>
    <x v="1"/>
    <n v="352644"/>
    <x v="1"/>
  </r>
  <r>
    <n v="10218"/>
    <n v="5"/>
    <d v="2013-07-10T00:00:00"/>
    <s v="DVD"/>
    <n v="101136"/>
    <s v="AB101993"/>
    <x v="4"/>
    <n v="352644"/>
    <x v="1"/>
  </r>
  <r>
    <n v="10210"/>
    <n v="5"/>
    <d v="2013-07-09T00:00:00"/>
    <s v="DVD"/>
    <n v="101137"/>
    <s v="AB101994"/>
    <x v="4"/>
    <n v="649551"/>
    <x v="1"/>
  </r>
  <r>
    <n v="10289"/>
    <n v="9"/>
    <d v="2013-07-09T00:00:00"/>
    <s v="BLU-RAY"/>
    <n v="101137"/>
    <s v="AB101995"/>
    <x v="11"/>
    <n v="649551"/>
    <x v="1"/>
  </r>
  <r>
    <n v="10069"/>
    <n v="7"/>
    <d v="2013-07-10T00:00:00"/>
    <s v="BLU-RAY"/>
    <n v="101138"/>
    <s v="AB101996"/>
    <x v="0"/>
    <n v="242720"/>
    <x v="1"/>
  </r>
  <r>
    <n v="10260"/>
    <n v="6"/>
    <d v="2013-07-09T00:00:00"/>
    <s v="BLU-RAY"/>
    <n v="101139"/>
    <s v="AB101997"/>
    <x v="4"/>
    <n v="911171"/>
    <x v="1"/>
  </r>
  <r>
    <n v="10122"/>
    <n v="9"/>
    <d v="2013-07-12T00:00:00"/>
    <s v="BLU-RAY"/>
    <n v="101140"/>
    <s v="AB101998"/>
    <x v="12"/>
    <n v="324435"/>
    <x v="1"/>
  </r>
  <r>
    <n v="10081"/>
    <n v="6"/>
    <d v="2013-07-10T00:00:00"/>
    <s v="BLU-RAY"/>
    <n v="101140"/>
    <s v="AB101999"/>
    <x v="2"/>
    <n v="324435"/>
    <x v="1"/>
  </r>
  <r>
    <n v="10255"/>
    <n v="9"/>
    <d v="2013-07-10T00:00:00"/>
    <s v="BLU-RAY"/>
    <n v="101141"/>
    <s v="AB102000"/>
    <x v="1"/>
    <n v="737707"/>
    <x v="1"/>
  </r>
  <r>
    <n v="10030"/>
    <n v="3"/>
    <d v="2013-07-11T00:00:00"/>
    <s v="DVD"/>
    <n v="101141"/>
    <s v="AB102001"/>
    <x v="0"/>
    <n v="737707"/>
    <x v="1"/>
  </r>
  <r>
    <n v="10142"/>
    <n v="10"/>
    <d v="2013-07-10T00:00:00"/>
    <s v="BLU-RAY"/>
    <n v="101141"/>
    <s v="AB102002"/>
    <x v="0"/>
    <n v="737707"/>
    <x v="1"/>
  </r>
  <r>
    <n v="10155"/>
    <n v="4"/>
    <d v="2013-07-10T00:00:00"/>
    <s v="DVD"/>
    <n v="101142"/>
    <s v="AB102003"/>
    <x v="9"/>
    <n v="355107"/>
    <x v="1"/>
  </r>
  <r>
    <n v="10029"/>
    <n v="9"/>
    <d v="2013-07-10T00:00:00"/>
    <s v="DVD"/>
    <n v="101142"/>
    <s v="AB102004"/>
    <x v="12"/>
    <n v="355107"/>
    <x v="1"/>
  </r>
  <r>
    <n v="10063"/>
    <n v="3"/>
    <d v="2013-07-10T00:00:00"/>
    <s v="DVD"/>
    <n v="101143"/>
    <s v="AB102005"/>
    <x v="18"/>
    <n v="471187"/>
    <x v="1"/>
  </r>
  <r>
    <n v="10227"/>
    <n v="7"/>
    <d v="2013-07-11T00:00:00"/>
    <s v="DVD"/>
    <n v="101143"/>
    <s v="AB102006"/>
    <x v="14"/>
    <n v="471187"/>
    <x v="1"/>
  </r>
  <r>
    <n v="10204"/>
    <n v="3"/>
    <d v="2013-07-10T00:00:00"/>
    <s v="DVD"/>
    <n v="101144"/>
    <s v="AB102007"/>
    <x v="7"/>
    <n v="456457"/>
    <x v="1"/>
  </r>
  <r>
    <n v="10097"/>
    <n v="9"/>
    <d v="2013-07-10T00:00:00"/>
    <s v="DVD"/>
    <n v="101145"/>
    <s v="AB102008"/>
    <x v="8"/>
    <n v="891738"/>
    <x v="1"/>
  </r>
  <r>
    <n v="10145"/>
    <n v="10"/>
    <d v="2013-07-10T00:00:00"/>
    <s v="DVD"/>
    <n v="101145"/>
    <s v="AB102009"/>
    <x v="6"/>
    <n v="891738"/>
    <x v="1"/>
  </r>
  <r>
    <n v="10084"/>
    <n v="2"/>
    <d v="2013-07-10T00:00:00"/>
    <s v="DVD"/>
    <n v="101146"/>
    <s v="AB102010"/>
    <x v="18"/>
    <n v="427826"/>
    <x v="1"/>
  </r>
  <r>
    <n v="10037"/>
    <n v="6"/>
    <d v="2013-07-10T00:00:00"/>
    <s v="DVD"/>
    <n v="101146"/>
    <s v="AB102011"/>
    <x v="3"/>
    <n v="427826"/>
    <x v="1"/>
  </r>
  <r>
    <n v="10225"/>
    <n v="4"/>
    <d v="2013-07-10T00:00:00"/>
    <s v="DVD"/>
    <n v="101147"/>
    <s v="AB102012"/>
    <x v="0"/>
    <n v="992895"/>
    <x v="1"/>
  </r>
  <r>
    <n v="10017"/>
    <n v="4"/>
    <d v="2013-07-11T00:00:00"/>
    <s v="DVD"/>
    <n v="101147"/>
    <s v="AB102013"/>
    <x v="4"/>
    <n v="992895"/>
    <x v="1"/>
  </r>
  <r>
    <n v="10227"/>
    <n v="9"/>
    <d v="2013-07-10T00:00:00"/>
    <s v="BLU-RAY"/>
    <n v="101147"/>
    <s v="AB102014"/>
    <x v="14"/>
    <n v="992895"/>
    <x v="1"/>
  </r>
  <r>
    <n v="10281"/>
    <n v="9"/>
    <d v="2013-07-11T00:00:00"/>
    <s v="DVD"/>
    <n v="101148"/>
    <s v="AB102015"/>
    <x v="10"/>
    <n v="741398"/>
    <x v="1"/>
  </r>
  <r>
    <n v="10008"/>
    <n v="4"/>
    <d v="2013-07-10T00:00:00"/>
    <s v="BLU-RAY"/>
    <n v="101149"/>
    <s v="AB102016"/>
    <x v="4"/>
    <n v="242720"/>
    <x v="1"/>
  </r>
  <r>
    <n v="10233"/>
    <n v="9"/>
    <d v="2013-07-11T00:00:00"/>
    <s v="DVD"/>
    <n v="101149"/>
    <s v="AB102017"/>
    <x v="8"/>
    <n v="242720"/>
    <x v="1"/>
  </r>
  <r>
    <n v="10087"/>
    <n v="1"/>
    <d v="2013-07-11T00:00:00"/>
    <s v="DVD"/>
    <n v="101150"/>
    <s v="AB102018"/>
    <x v="10"/>
    <n v="723819"/>
    <x v="1"/>
  </r>
  <r>
    <n v="10052"/>
    <n v="10"/>
    <d v="2013-07-11T00:00:00"/>
    <s v="DVD"/>
    <n v="101150"/>
    <s v="AB102019"/>
    <x v="0"/>
    <n v="723819"/>
    <x v="1"/>
  </r>
  <r>
    <n v="10005"/>
    <n v="4"/>
    <d v="2013-07-13T00:00:00"/>
    <s v="BLU-RAY"/>
    <n v="101151"/>
    <s v="AB102020"/>
    <x v="3"/>
    <n v="105549"/>
    <x v="1"/>
  </r>
  <r>
    <n v="10081"/>
    <n v="10"/>
    <d v="2013-07-11T00:00:00"/>
    <s v="BLU-RAY"/>
    <n v="101152"/>
    <s v="AB102021"/>
    <x v="2"/>
    <n v="665282"/>
    <x v="1"/>
  </r>
  <r>
    <n v="10009"/>
    <n v="10"/>
    <d v="2013-07-11T00:00:00"/>
    <s v="DVD"/>
    <n v="101153"/>
    <s v="AB102022"/>
    <x v="0"/>
    <n v="783369"/>
    <x v="1"/>
  </r>
  <r>
    <n v="10086"/>
    <n v="10"/>
    <d v="2013-07-11T00:00:00"/>
    <s v="DVD"/>
    <n v="101153"/>
    <s v="AB102023"/>
    <x v="3"/>
    <n v="783369"/>
    <x v="1"/>
  </r>
  <r>
    <n v="10059"/>
    <n v="6"/>
    <d v="2013-07-11T00:00:00"/>
    <s v="DVD"/>
    <n v="101154"/>
    <s v="AB102024"/>
    <x v="7"/>
    <n v="147216"/>
    <x v="1"/>
  </r>
  <r>
    <n v="10039"/>
    <n v="6"/>
    <d v="2013-07-11T00:00:00"/>
    <s v="DVD"/>
    <n v="101154"/>
    <s v="AB102025"/>
    <x v="11"/>
    <n v="147216"/>
    <x v="1"/>
  </r>
  <r>
    <n v="10203"/>
    <n v="8"/>
    <d v="2013-07-13T00:00:00"/>
    <s v="DVD"/>
    <n v="101155"/>
    <s v="AB102026"/>
    <x v="3"/>
    <n v="329994"/>
    <x v="1"/>
  </r>
  <r>
    <n v="10252"/>
    <n v="5"/>
    <d v="2013-07-11T00:00:00"/>
    <s v="DVD"/>
    <n v="101156"/>
    <s v="AB102027"/>
    <x v="0"/>
    <n v="302774"/>
    <x v="1"/>
  </r>
  <r>
    <n v="10089"/>
    <n v="10"/>
    <d v="2013-07-11T00:00:00"/>
    <s v="BLU-RAY"/>
    <n v="101156"/>
    <s v="AB102028"/>
    <x v="4"/>
    <n v="302774"/>
    <x v="1"/>
  </r>
  <r>
    <n v="10006"/>
    <n v="6"/>
    <d v="2013-07-11T00:00:00"/>
    <s v="DVD"/>
    <n v="101157"/>
    <s v="AB102029"/>
    <x v="1"/>
    <n v="611078"/>
    <x v="1"/>
  </r>
  <r>
    <n v="10252"/>
    <n v="10"/>
    <d v="2013-07-11T00:00:00"/>
    <s v="DVD"/>
    <n v="101157"/>
    <s v="AB102030"/>
    <x v="0"/>
    <n v="611078"/>
    <x v="1"/>
  </r>
  <r>
    <n v="10264"/>
    <n v="5"/>
    <d v="2013-07-11T00:00:00"/>
    <s v="BLU-RAY"/>
    <n v="101157"/>
    <s v="AB102031"/>
    <x v="2"/>
    <n v="611078"/>
    <x v="1"/>
  </r>
  <r>
    <n v="10235"/>
    <n v="9"/>
    <d v="2013-07-11T00:00:00"/>
    <s v="DVD"/>
    <n v="101157"/>
    <s v="AB102032"/>
    <x v="10"/>
    <n v="611078"/>
    <x v="1"/>
  </r>
  <r>
    <n v="10102"/>
    <n v="6"/>
    <d v="2013-07-12T00:00:00"/>
    <s v="DVD"/>
    <n v="101158"/>
    <s v="AB102033"/>
    <x v="7"/>
    <n v="567388"/>
    <x v="1"/>
  </r>
  <r>
    <n v="10087"/>
    <n v="1"/>
    <d v="2013-07-12T00:00:00"/>
    <s v="BLU-RAY"/>
    <n v="101158"/>
    <s v="AB102034"/>
    <x v="10"/>
    <n v="567388"/>
    <x v="1"/>
  </r>
  <r>
    <n v="10026"/>
    <n v="10"/>
    <d v="2013-07-12T00:00:00"/>
    <s v="DVD"/>
    <n v="101159"/>
    <s v="AB102035"/>
    <x v="9"/>
    <n v="611848"/>
    <x v="1"/>
  </r>
  <r>
    <n v="10275"/>
    <n v="1"/>
    <d v="2013-07-13T00:00:00"/>
    <s v="DVD"/>
    <n v="101159"/>
    <s v="AB102036"/>
    <x v="10"/>
    <n v="611848"/>
    <x v="1"/>
  </r>
  <r>
    <n v="10077"/>
    <n v="5"/>
    <d v="2013-07-13T00:00:00"/>
    <s v="DVD"/>
    <n v="101160"/>
    <s v="AB102037"/>
    <x v="0"/>
    <n v="403000"/>
    <x v="1"/>
  </r>
  <r>
    <n v="10094"/>
    <n v="8"/>
    <d v="2013-07-12T00:00:00"/>
    <s v="DVD"/>
    <n v="101161"/>
    <s v="AB102038"/>
    <x v="12"/>
    <n v="627324"/>
    <x v="1"/>
  </r>
  <r>
    <n v="10082"/>
    <n v="2"/>
    <d v="2013-07-12T00:00:00"/>
    <s v="BLU-RAY"/>
    <n v="101162"/>
    <s v="AB102039"/>
    <x v="3"/>
    <n v="891738"/>
    <x v="1"/>
  </r>
  <r>
    <n v="10019"/>
    <n v="9"/>
    <d v="2013-07-13T00:00:00"/>
    <s v="DVD"/>
    <n v="101162"/>
    <s v="AB102040"/>
    <x v="9"/>
    <n v="891738"/>
    <x v="1"/>
  </r>
  <r>
    <n v="10249"/>
    <n v="4"/>
    <d v="2013-07-12T00:00:00"/>
    <s v="DVD"/>
    <n v="101163"/>
    <s v="AB102041"/>
    <x v="5"/>
    <n v="798336"/>
    <x v="1"/>
  </r>
  <r>
    <n v="10244"/>
    <n v="1"/>
    <d v="2013-07-12T00:00:00"/>
    <s v="DVD"/>
    <n v="101164"/>
    <s v="AB102042"/>
    <x v="4"/>
    <n v="407605"/>
    <x v="1"/>
  </r>
  <r>
    <n v="10211"/>
    <n v="4"/>
    <d v="2013-07-13T00:00:00"/>
    <s v="BLU-RAY"/>
    <n v="101164"/>
    <s v="AB102043"/>
    <x v="3"/>
    <n v="407605"/>
    <x v="1"/>
  </r>
  <r>
    <n v="10275"/>
    <n v="5"/>
    <d v="2013-07-12T00:00:00"/>
    <s v="DVD"/>
    <n v="101164"/>
    <s v="AB102044"/>
    <x v="10"/>
    <n v="407605"/>
    <x v="1"/>
  </r>
  <r>
    <n v="10229"/>
    <n v="9"/>
    <d v="2013-07-12T00:00:00"/>
    <s v="BLU-RAY"/>
    <n v="101164"/>
    <s v="AB102045"/>
    <x v="6"/>
    <n v="407605"/>
    <x v="1"/>
  </r>
  <r>
    <n v="10200"/>
    <n v="4"/>
    <d v="2013-07-13T00:00:00"/>
    <s v="BLU-RAY"/>
    <n v="101165"/>
    <s v="AB102046"/>
    <x v="9"/>
    <n v="396166"/>
    <x v="1"/>
  </r>
  <r>
    <n v="10009"/>
    <n v="3"/>
    <d v="2013-07-13T00:00:00"/>
    <s v="BLU-RAY"/>
    <n v="101166"/>
    <s v="AB102047"/>
    <x v="0"/>
    <n v="500350"/>
    <x v="1"/>
  </r>
  <r>
    <n v="10045"/>
    <n v="8"/>
    <d v="2013-07-13T00:00:00"/>
    <s v="BLU-RAY"/>
    <n v="101166"/>
    <s v="AB102048"/>
    <x v="0"/>
    <n v="500350"/>
    <x v="1"/>
  </r>
  <r>
    <n v="10043"/>
    <n v="9"/>
    <d v="2013-07-12T00:00:00"/>
    <s v="DVD"/>
    <n v="101167"/>
    <s v="AB102049"/>
    <x v="8"/>
    <n v="329994"/>
    <x v="1"/>
  </r>
  <r>
    <n v="10073"/>
    <n v="1"/>
    <d v="2013-07-13T00:00:00"/>
    <s v="DVD"/>
    <n v="101168"/>
    <s v="AB102050"/>
    <x v="16"/>
    <n v="837763"/>
    <x v="1"/>
  </r>
  <r>
    <n v="10108"/>
    <n v="7"/>
    <d v="2013-07-13T00:00:00"/>
    <s v="BLU-RAY"/>
    <n v="101169"/>
    <s v="AB102051"/>
    <x v="9"/>
    <n v="905670"/>
    <x v="1"/>
  </r>
  <r>
    <n v="10175"/>
    <n v="1"/>
    <d v="2013-07-14T00:00:00"/>
    <s v="DVD"/>
    <n v="101169"/>
    <s v="AB102052"/>
    <x v="3"/>
    <n v="905670"/>
    <x v="1"/>
  </r>
  <r>
    <n v="10261"/>
    <n v="6"/>
    <d v="2013-07-15T00:00:00"/>
    <s v="BLU-RAY"/>
    <n v="101170"/>
    <s v="AB102053"/>
    <x v="9"/>
    <n v="103508"/>
    <x v="1"/>
  </r>
  <r>
    <n v="10241"/>
    <n v="4"/>
    <d v="2013-07-15T00:00:00"/>
    <s v="BLU-RAY"/>
    <n v="101171"/>
    <s v="AB102054"/>
    <x v="0"/>
    <n v="433442"/>
    <x v="1"/>
  </r>
  <r>
    <n v="10250"/>
    <n v="6"/>
    <d v="2013-07-13T00:00:00"/>
    <s v="BLU-RAY"/>
    <n v="101171"/>
    <s v="AB102055"/>
    <x v="3"/>
    <n v="433442"/>
    <x v="1"/>
  </r>
  <r>
    <n v="10093"/>
    <n v="9"/>
    <d v="2013-07-14T00:00:00"/>
    <s v="BLU-RAY"/>
    <n v="101171"/>
    <s v="AB102056"/>
    <x v="11"/>
    <n v="433442"/>
    <x v="1"/>
  </r>
  <r>
    <n v="10139"/>
    <n v="9"/>
    <d v="2013-07-14T00:00:00"/>
    <s v="DVD"/>
    <n v="101172"/>
    <s v="AB102057"/>
    <x v="14"/>
    <n v="182040"/>
    <x v="1"/>
  </r>
  <r>
    <n v="10129"/>
    <n v="6"/>
    <d v="2013-07-13T00:00:00"/>
    <s v="DVD"/>
    <n v="101172"/>
    <s v="AB102058"/>
    <x v="0"/>
    <n v="182040"/>
    <x v="1"/>
  </r>
  <r>
    <n v="10228"/>
    <n v="10"/>
    <d v="2013-07-15T00:00:00"/>
    <s v="BLU-RAY"/>
    <n v="101173"/>
    <s v="AB102059"/>
    <x v="7"/>
    <n v="452874"/>
    <x v="1"/>
  </r>
  <r>
    <n v="10143"/>
    <n v="10"/>
    <d v="2013-07-13T00:00:00"/>
    <s v="DVD"/>
    <n v="101173"/>
    <s v="AB102060"/>
    <x v="3"/>
    <n v="452874"/>
    <x v="1"/>
  </r>
  <r>
    <n v="10270"/>
    <n v="4"/>
    <d v="2013-07-13T00:00:00"/>
    <s v="DVD"/>
    <n v="101174"/>
    <s v="AB102061"/>
    <x v="9"/>
    <n v="782947"/>
    <x v="1"/>
  </r>
  <r>
    <n v="10057"/>
    <n v="3"/>
    <d v="2013-07-13T00:00:00"/>
    <s v="BLU-RAY"/>
    <n v="101174"/>
    <s v="AB102062"/>
    <x v="0"/>
    <n v="782947"/>
    <x v="1"/>
  </r>
  <r>
    <n v="10221"/>
    <n v="5"/>
    <d v="2013-07-13T00:00:00"/>
    <s v="BLU-RAY"/>
    <n v="101174"/>
    <s v="AB102063"/>
    <x v="9"/>
    <n v="782947"/>
    <x v="1"/>
  </r>
  <r>
    <n v="10080"/>
    <n v="4"/>
    <d v="2013-07-13T00:00:00"/>
    <s v="BLU-RAY"/>
    <n v="101175"/>
    <s v="AB102064"/>
    <x v="3"/>
    <n v="590616"/>
    <x v="1"/>
  </r>
  <r>
    <n v="10142"/>
    <n v="2"/>
    <d v="2013-07-13T00:00:00"/>
    <s v="BLU-RAY"/>
    <n v="101176"/>
    <s v="AB102065"/>
    <x v="0"/>
    <n v="412544"/>
    <x v="1"/>
  </r>
  <r>
    <n v="10199"/>
    <n v="2"/>
    <d v="2013-07-13T00:00:00"/>
    <s v="DVD"/>
    <n v="101176"/>
    <s v="AB102066"/>
    <x v="10"/>
    <n v="412544"/>
    <x v="1"/>
  </r>
  <r>
    <n v="10269"/>
    <n v="8"/>
    <d v="2013-07-13T00:00:00"/>
    <s v="DVD"/>
    <n v="101177"/>
    <s v="AB102067"/>
    <x v="3"/>
    <n v="616258"/>
    <x v="1"/>
  </r>
  <r>
    <n v="10045"/>
    <n v="4"/>
    <d v="2013-07-13T00:00:00"/>
    <s v="DVD"/>
    <n v="101177"/>
    <s v="AB102068"/>
    <x v="0"/>
    <n v="616258"/>
    <x v="1"/>
  </r>
  <r>
    <n v="10054"/>
    <n v="3"/>
    <d v="2013-07-13T00:00:00"/>
    <s v="BLU-RAY"/>
    <n v="101177"/>
    <s v="AB102069"/>
    <x v="1"/>
    <n v="616258"/>
    <x v="1"/>
  </r>
  <r>
    <n v="10176"/>
    <n v="7"/>
    <d v="2013-07-13T00:00:00"/>
    <s v="BLU-RAY"/>
    <n v="101178"/>
    <s v="AB102070"/>
    <x v="7"/>
    <n v="701816"/>
    <x v="1"/>
  </r>
  <r>
    <n v="10218"/>
    <n v="1"/>
    <d v="2013-07-13T00:00:00"/>
    <s v="DVD"/>
    <n v="101178"/>
    <s v="AB102071"/>
    <x v="4"/>
    <n v="701816"/>
    <x v="1"/>
  </r>
  <r>
    <n v="10177"/>
    <n v="10"/>
    <d v="2013-07-13T00:00:00"/>
    <s v="BLU-RAY"/>
    <n v="101179"/>
    <s v="AB102072"/>
    <x v="9"/>
    <n v="701816"/>
    <x v="1"/>
  </r>
  <r>
    <n v="10284"/>
    <n v="7"/>
    <d v="2013-07-13T00:00:00"/>
    <s v="BLU-RAY"/>
    <n v="101179"/>
    <s v="AB102073"/>
    <x v="14"/>
    <n v="701816"/>
    <x v="1"/>
  </r>
  <r>
    <n v="10159"/>
    <n v="1"/>
    <d v="2013-07-13T00:00:00"/>
    <s v="DVD"/>
    <n v="101179"/>
    <s v="AB102074"/>
    <x v="10"/>
    <n v="701816"/>
    <x v="1"/>
  </r>
  <r>
    <n v="10024"/>
    <n v="3"/>
    <d v="2013-07-13T00:00:00"/>
    <s v="BLU-RAY"/>
    <n v="101180"/>
    <s v="AB102075"/>
    <x v="9"/>
    <n v="412544"/>
    <x v="1"/>
  </r>
  <r>
    <n v="10290"/>
    <n v="4"/>
    <d v="2013-07-13T00:00:00"/>
    <s v="BLU-RAY"/>
    <n v="101181"/>
    <s v="AB102076"/>
    <x v="2"/>
    <n v="756769"/>
    <x v="1"/>
  </r>
  <r>
    <n v="10194"/>
    <n v="9"/>
    <d v="2013-07-14T00:00:00"/>
    <s v="DVD"/>
    <n v="101182"/>
    <s v="AB102077"/>
    <x v="16"/>
    <n v="619910"/>
    <x v="1"/>
  </r>
  <r>
    <n v="10150"/>
    <n v="1"/>
    <d v="2013-07-14T00:00:00"/>
    <s v="BLU-RAY"/>
    <n v="101182"/>
    <s v="AB102078"/>
    <x v="14"/>
    <n v="619910"/>
    <x v="1"/>
  </r>
  <r>
    <n v="10234"/>
    <n v="6"/>
    <d v="2013-07-15T00:00:00"/>
    <s v="DVD"/>
    <n v="101183"/>
    <s v="AB102079"/>
    <x v="0"/>
    <n v="958321"/>
    <x v="1"/>
  </r>
  <r>
    <n v="10027"/>
    <n v="9"/>
    <d v="2013-07-14T00:00:00"/>
    <s v="DVD"/>
    <n v="101183"/>
    <s v="AB102080"/>
    <x v="16"/>
    <n v="958321"/>
    <x v="1"/>
  </r>
  <r>
    <n v="10199"/>
    <n v="5"/>
    <d v="2013-07-14T00:00:00"/>
    <s v="BLU-RAY"/>
    <n v="101184"/>
    <s v="AB102081"/>
    <x v="10"/>
    <n v="808177"/>
    <x v="1"/>
  </r>
  <r>
    <n v="10218"/>
    <n v="5"/>
    <d v="2013-07-14T00:00:00"/>
    <s v="BLU-RAY"/>
    <n v="101185"/>
    <s v="AB102082"/>
    <x v="4"/>
    <n v="561305"/>
    <x v="1"/>
  </r>
  <r>
    <n v="10271"/>
    <n v="8"/>
    <d v="2013-07-14T00:00:00"/>
    <s v="DVD"/>
    <n v="101185"/>
    <s v="AB102083"/>
    <x v="7"/>
    <n v="561305"/>
    <x v="1"/>
  </r>
  <r>
    <n v="10129"/>
    <n v="7"/>
    <d v="2013-07-14T00:00:00"/>
    <s v="DVD"/>
    <n v="101185"/>
    <s v="AB102084"/>
    <x v="0"/>
    <n v="561305"/>
    <x v="1"/>
  </r>
  <r>
    <n v="10273"/>
    <n v="2"/>
    <d v="2013-07-15T00:00:00"/>
    <s v="BLU-RAY"/>
    <n v="101186"/>
    <s v="AB102085"/>
    <x v="4"/>
    <n v="745543"/>
    <x v="1"/>
  </r>
  <r>
    <n v="10256"/>
    <n v="2"/>
    <d v="2013-07-14T00:00:00"/>
    <s v="DVD"/>
    <n v="101186"/>
    <s v="AB102086"/>
    <x v="9"/>
    <n v="745543"/>
    <x v="1"/>
  </r>
  <r>
    <n v="10023"/>
    <n v="2"/>
    <d v="2013-07-14T00:00:00"/>
    <s v="DVD"/>
    <n v="101187"/>
    <s v="AB102087"/>
    <x v="3"/>
    <n v="183797"/>
    <x v="1"/>
  </r>
  <r>
    <n v="10065"/>
    <n v="1"/>
    <d v="2013-07-15T00:00:00"/>
    <s v="DVD"/>
    <n v="101188"/>
    <s v="AB102088"/>
    <x v="0"/>
    <n v="471187"/>
    <x v="1"/>
  </r>
  <r>
    <n v="10039"/>
    <n v="10"/>
    <d v="2013-07-15T00:00:00"/>
    <s v="BLU-RAY"/>
    <n v="101189"/>
    <s v="AB102089"/>
    <x v="11"/>
    <n v="305005"/>
    <x v="1"/>
  </r>
  <r>
    <n v="10002"/>
    <n v="3"/>
    <d v="2013-07-14T00:00:00"/>
    <s v="BLU-RAY"/>
    <n v="101189"/>
    <s v="AB102090"/>
    <x v="10"/>
    <n v="305005"/>
    <x v="1"/>
  </r>
  <r>
    <n v="10296"/>
    <n v="8"/>
    <d v="2013-07-15T00:00:00"/>
    <s v="DVD"/>
    <n v="101189"/>
    <s v="AB102091"/>
    <x v="21"/>
    <n v="305005"/>
    <x v="1"/>
  </r>
  <r>
    <n v="10166"/>
    <n v="8"/>
    <d v="2013-07-14T00:00:00"/>
    <s v="BLU-RAY"/>
    <n v="101189"/>
    <s v="AB102092"/>
    <x v="9"/>
    <n v="305005"/>
    <x v="1"/>
  </r>
  <r>
    <n v="10272"/>
    <n v="4"/>
    <d v="2013-07-14T00:00:00"/>
    <s v="BLU-RAY"/>
    <n v="101190"/>
    <s v="AB102093"/>
    <x v="4"/>
    <n v="207846"/>
    <x v="1"/>
  </r>
  <r>
    <n v="10115"/>
    <n v="7"/>
    <d v="2013-07-15T00:00:00"/>
    <s v="DVD"/>
    <n v="101191"/>
    <s v="AB102094"/>
    <x v="11"/>
    <n v="484909"/>
    <x v="1"/>
  </r>
  <r>
    <n v="10110"/>
    <n v="2"/>
    <d v="2013-07-16T00:00:00"/>
    <s v="DVD"/>
    <n v="101191"/>
    <s v="AB102095"/>
    <x v="0"/>
    <n v="484909"/>
    <x v="1"/>
  </r>
  <r>
    <n v="10118"/>
    <n v="10"/>
    <d v="2013-07-15T00:00:00"/>
    <s v="DVD"/>
    <n v="101192"/>
    <s v="AB102096"/>
    <x v="3"/>
    <n v="888759"/>
    <x v="1"/>
  </r>
  <r>
    <n v="10121"/>
    <n v="6"/>
    <d v="2013-07-16T00:00:00"/>
    <s v="BLU-RAY"/>
    <n v="101193"/>
    <s v="AB102097"/>
    <x v="2"/>
    <n v="128131"/>
    <x v="1"/>
  </r>
  <r>
    <n v="10289"/>
    <n v="3"/>
    <d v="2013-07-15T00:00:00"/>
    <s v="BLU-RAY"/>
    <n v="101193"/>
    <s v="AB102098"/>
    <x v="11"/>
    <n v="128131"/>
    <x v="1"/>
  </r>
  <r>
    <n v="10065"/>
    <n v="8"/>
    <d v="2013-07-15T00:00:00"/>
    <s v="DVD"/>
    <n v="101193"/>
    <s v="AB102099"/>
    <x v="0"/>
    <n v="128131"/>
    <x v="1"/>
  </r>
  <r>
    <n v="10165"/>
    <n v="10"/>
    <d v="2013-07-15T00:00:00"/>
    <s v="DVD"/>
    <n v="101194"/>
    <s v="AB102100"/>
    <x v="2"/>
    <n v="244282"/>
    <x v="1"/>
  </r>
  <r>
    <n v="10228"/>
    <n v="9"/>
    <d v="2013-07-16T00:00:00"/>
    <s v="DVD"/>
    <n v="101195"/>
    <s v="AB102101"/>
    <x v="7"/>
    <n v="433442"/>
    <x v="1"/>
  </r>
  <r>
    <n v="10086"/>
    <n v="2"/>
    <d v="2013-07-16T00:00:00"/>
    <s v="DVD"/>
    <n v="101195"/>
    <s v="AB102102"/>
    <x v="3"/>
    <n v="433442"/>
    <x v="1"/>
  </r>
  <r>
    <n v="10286"/>
    <n v="6"/>
    <d v="2013-07-15T00:00:00"/>
    <s v="DVD"/>
    <n v="101195"/>
    <s v="AB102103"/>
    <x v="17"/>
    <n v="433442"/>
    <x v="1"/>
  </r>
  <r>
    <n v="10115"/>
    <n v="6"/>
    <d v="2013-07-15T00:00:00"/>
    <s v="DVD"/>
    <n v="101196"/>
    <s v="AB102104"/>
    <x v="11"/>
    <n v="347659"/>
    <x v="1"/>
  </r>
  <r>
    <n v="10120"/>
    <n v="8"/>
    <d v="2013-07-15T00:00:00"/>
    <s v="BLU-RAY"/>
    <n v="101197"/>
    <s v="AB102105"/>
    <x v="14"/>
    <n v="710047"/>
    <x v="1"/>
  </r>
  <r>
    <n v="10035"/>
    <n v="8"/>
    <d v="2013-07-15T00:00:00"/>
    <s v="BLU-RAY"/>
    <n v="101197"/>
    <s v="AB102106"/>
    <x v="4"/>
    <n v="710047"/>
    <x v="1"/>
  </r>
  <r>
    <n v="10046"/>
    <n v="1"/>
    <d v="2013-07-15T00:00:00"/>
    <s v="DVD"/>
    <n v="101197"/>
    <s v="AB102107"/>
    <x v="4"/>
    <n v="710047"/>
    <x v="1"/>
  </r>
  <r>
    <n v="10025"/>
    <n v="10"/>
    <d v="2013-07-15T00:00:00"/>
    <s v="BLU-RAY"/>
    <n v="101198"/>
    <s v="AB102108"/>
    <x v="4"/>
    <n v="317461"/>
    <x v="1"/>
  </r>
  <r>
    <n v="10042"/>
    <n v="7"/>
    <d v="2013-07-15T00:00:00"/>
    <s v="DVD"/>
    <n v="101199"/>
    <s v="AB102109"/>
    <x v="1"/>
    <n v="157695"/>
    <x v="1"/>
  </r>
  <r>
    <n v="10273"/>
    <n v="7"/>
    <d v="2013-07-15T00:00:00"/>
    <s v="DVD"/>
    <n v="101200"/>
    <s v="AB102110"/>
    <x v="4"/>
    <n v="918682"/>
    <x v="1"/>
  </r>
  <r>
    <n v="10268"/>
    <n v="1"/>
    <d v="2013-07-15T00:00:00"/>
    <s v="BLU-RAY"/>
    <n v="101201"/>
    <s v="AB102111"/>
    <x v="3"/>
    <n v="266633"/>
    <x v="1"/>
  </r>
  <r>
    <n v="10136"/>
    <n v="2"/>
    <d v="2013-07-16T00:00:00"/>
    <s v="DVD"/>
    <n v="101201"/>
    <s v="AB102112"/>
    <x v="2"/>
    <n v="266633"/>
    <x v="1"/>
  </r>
  <r>
    <n v="10051"/>
    <n v="6"/>
    <d v="2013-07-16T00:00:00"/>
    <s v="BLU-RAY"/>
    <n v="101202"/>
    <s v="AB102113"/>
    <x v="1"/>
    <n v="425051"/>
    <x v="1"/>
  </r>
  <r>
    <n v="10221"/>
    <n v="4"/>
    <d v="2013-07-16T00:00:00"/>
    <s v="BLU-RAY"/>
    <n v="101202"/>
    <s v="AB102114"/>
    <x v="9"/>
    <n v="425051"/>
    <x v="1"/>
  </r>
  <r>
    <n v="10120"/>
    <n v="4"/>
    <d v="2013-07-16T00:00:00"/>
    <s v="BLU-RAY"/>
    <n v="101202"/>
    <s v="AB102115"/>
    <x v="14"/>
    <n v="425051"/>
    <x v="1"/>
  </r>
  <r>
    <n v="10036"/>
    <n v="4"/>
    <d v="2013-07-16T00:00:00"/>
    <s v="DVD"/>
    <n v="101203"/>
    <s v="AB102116"/>
    <x v="7"/>
    <n v="297686"/>
    <x v="1"/>
  </r>
  <r>
    <n v="10214"/>
    <n v="4"/>
    <d v="2013-07-16T00:00:00"/>
    <s v="DVD"/>
    <n v="101204"/>
    <s v="AB102117"/>
    <x v="13"/>
    <n v="994056"/>
    <x v="1"/>
  </r>
  <r>
    <n v="10101"/>
    <n v="8"/>
    <d v="2013-07-16T00:00:00"/>
    <s v="DVD"/>
    <n v="101204"/>
    <s v="AB102118"/>
    <x v="4"/>
    <n v="994056"/>
    <x v="1"/>
  </r>
  <r>
    <n v="10177"/>
    <n v="7"/>
    <d v="2013-07-17T00:00:00"/>
    <s v="DVD"/>
    <n v="101205"/>
    <s v="AB102119"/>
    <x v="9"/>
    <n v="421074"/>
    <x v="1"/>
  </r>
  <r>
    <n v="10174"/>
    <n v="1"/>
    <d v="2013-07-16T00:00:00"/>
    <s v="BLU-RAY"/>
    <n v="101206"/>
    <s v="AB102120"/>
    <x v="7"/>
    <n v="396166"/>
    <x v="1"/>
  </r>
  <r>
    <n v="10178"/>
    <n v="4"/>
    <d v="2013-07-16T00:00:00"/>
    <s v="DVD"/>
    <n v="101206"/>
    <s v="AB102121"/>
    <x v="0"/>
    <n v="396166"/>
    <x v="1"/>
  </r>
  <r>
    <n v="10158"/>
    <n v="3"/>
    <d v="2013-07-16T00:00:00"/>
    <s v="DVD"/>
    <n v="101206"/>
    <s v="AB102122"/>
    <x v="0"/>
    <n v="396166"/>
    <x v="1"/>
  </r>
  <r>
    <n v="10131"/>
    <n v="9"/>
    <d v="2013-07-16T00:00:00"/>
    <s v="BLU-RAY"/>
    <n v="101207"/>
    <s v="AB102123"/>
    <x v="0"/>
    <n v="900440"/>
    <x v="1"/>
  </r>
  <r>
    <n v="10279"/>
    <n v="5"/>
    <d v="2013-07-17T00:00:00"/>
    <s v="BLU-RAY"/>
    <n v="101207"/>
    <s v="AB102124"/>
    <x v="8"/>
    <n v="900440"/>
    <x v="1"/>
  </r>
  <r>
    <n v="10289"/>
    <n v="3"/>
    <d v="2013-07-16T00:00:00"/>
    <s v="DVD"/>
    <n v="101208"/>
    <s v="AB102125"/>
    <x v="11"/>
    <n v="862302"/>
    <x v="1"/>
  </r>
  <r>
    <n v="10019"/>
    <n v="7"/>
    <d v="2013-07-16T00:00:00"/>
    <s v="BLU-RAY"/>
    <n v="101208"/>
    <s v="AB102126"/>
    <x v="9"/>
    <n v="862302"/>
    <x v="1"/>
  </r>
  <r>
    <n v="10173"/>
    <n v="6"/>
    <d v="2013-07-16T00:00:00"/>
    <s v="BLU-RAY"/>
    <n v="101209"/>
    <s v="AB102127"/>
    <x v="4"/>
    <n v="720602"/>
    <x v="1"/>
  </r>
  <r>
    <n v="10237"/>
    <n v="2"/>
    <d v="2013-07-16T00:00:00"/>
    <s v="BLU-RAY"/>
    <n v="101209"/>
    <s v="AB102128"/>
    <x v="0"/>
    <n v="720602"/>
    <x v="1"/>
  </r>
  <r>
    <n v="10050"/>
    <n v="10"/>
    <d v="2013-07-16T00:00:00"/>
    <s v="BLU-RAY"/>
    <n v="101210"/>
    <s v="AB102129"/>
    <x v="1"/>
    <n v="498970"/>
    <x v="1"/>
  </r>
  <r>
    <n v="10284"/>
    <n v="5"/>
    <d v="2013-07-16T00:00:00"/>
    <s v="DVD"/>
    <n v="101211"/>
    <s v="AB102130"/>
    <x v="14"/>
    <n v="175871"/>
    <x v="1"/>
  </r>
  <r>
    <n v="10190"/>
    <n v="4"/>
    <d v="2013-07-18T00:00:00"/>
    <s v="DVD"/>
    <n v="101211"/>
    <s v="AB102131"/>
    <x v="10"/>
    <n v="175871"/>
    <x v="1"/>
  </r>
  <r>
    <n v="10123"/>
    <n v="7"/>
    <d v="2013-07-18T00:00:00"/>
    <s v="BLU-RAY"/>
    <n v="101212"/>
    <s v="AB102132"/>
    <x v="9"/>
    <n v="757780"/>
    <x v="1"/>
  </r>
  <r>
    <n v="10147"/>
    <n v="8"/>
    <d v="2013-07-17T00:00:00"/>
    <s v="DVD"/>
    <n v="101212"/>
    <s v="AB102133"/>
    <x v="10"/>
    <n v="757780"/>
    <x v="1"/>
  </r>
  <r>
    <n v="10100"/>
    <n v="3"/>
    <d v="2013-07-17T00:00:00"/>
    <s v="DVD"/>
    <n v="101212"/>
    <s v="AB102134"/>
    <x v="9"/>
    <n v="757780"/>
    <x v="1"/>
  </r>
  <r>
    <n v="10072"/>
    <n v="4"/>
    <d v="2013-07-17T00:00:00"/>
    <s v="BLU-RAY"/>
    <n v="101212"/>
    <s v="AB102135"/>
    <x v="1"/>
    <n v="757780"/>
    <x v="1"/>
  </r>
  <r>
    <n v="10246"/>
    <n v="3"/>
    <d v="2013-07-18T00:00:00"/>
    <s v="DVD"/>
    <n v="101213"/>
    <s v="AB102136"/>
    <x v="2"/>
    <n v="745543"/>
    <x v="1"/>
  </r>
  <r>
    <n v="10283"/>
    <n v="8"/>
    <d v="2013-07-18T00:00:00"/>
    <s v="DVD"/>
    <n v="101213"/>
    <s v="AB102137"/>
    <x v="6"/>
    <n v="745543"/>
    <x v="1"/>
  </r>
  <r>
    <n v="10105"/>
    <n v="7"/>
    <d v="2013-07-18T00:00:00"/>
    <s v="DVD"/>
    <n v="101214"/>
    <s v="AB102138"/>
    <x v="2"/>
    <n v="427391"/>
    <x v="1"/>
  </r>
  <r>
    <n v="10252"/>
    <n v="4"/>
    <d v="2013-07-17T00:00:00"/>
    <s v="BLU-RAY"/>
    <n v="101215"/>
    <s v="AB102139"/>
    <x v="0"/>
    <n v="605188"/>
    <x v="1"/>
  </r>
  <r>
    <n v="10299"/>
    <n v="1"/>
    <d v="2013-07-17T00:00:00"/>
    <s v="DVD"/>
    <n v="101216"/>
    <s v="AB102140"/>
    <x v="22"/>
    <n v="253106"/>
    <x v="1"/>
  </r>
  <r>
    <n v="10052"/>
    <n v="2"/>
    <d v="2013-07-17T00:00:00"/>
    <s v="DVD"/>
    <n v="101216"/>
    <s v="AB102141"/>
    <x v="0"/>
    <n v="253106"/>
    <x v="1"/>
  </r>
  <r>
    <n v="10137"/>
    <n v="9"/>
    <d v="2013-07-17T00:00:00"/>
    <s v="DVD"/>
    <n v="101217"/>
    <s v="AB102142"/>
    <x v="3"/>
    <n v="575903"/>
    <x v="1"/>
  </r>
  <r>
    <n v="10010"/>
    <n v="9"/>
    <d v="2013-07-17T00:00:00"/>
    <s v="DVD"/>
    <n v="101218"/>
    <s v="AB102143"/>
    <x v="3"/>
    <n v="933331"/>
    <x v="1"/>
  </r>
  <r>
    <n v="10126"/>
    <n v="5"/>
    <d v="2013-07-17T00:00:00"/>
    <s v="BLU-RAY"/>
    <n v="101219"/>
    <s v="AB102144"/>
    <x v="9"/>
    <n v="627324"/>
    <x v="1"/>
  </r>
  <r>
    <n v="10060"/>
    <n v="3"/>
    <d v="2013-07-17T00:00:00"/>
    <s v="DVD"/>
    <n v="101219"/>
    <s v="AB102145"/>
    <x v="0"/>
    <n v="627324"/>
    <x v="1"/>
  </r>
  <r>
    <n v="10203"/>
    <n v="3"/>
    <d v="2013-07-17T00:00:00"/>
    <s v="BLU-RAY"/>
    <n v="101219"/>
    <s v="AB102146"/>
    <x v="3"/>
    <n v="627324"/>
    <x v="1"/>
  </r>
  <r>
    <n v="10140"/>
    <n v="8"/>
    <d v="2013-07-18T00:00:00"/>
    <s v="DVD"/>
    <n v="101220"/>
    <s v="AB102147"/>
    <x v="2"/>
    <n v="229742"/>
    <x v="1"/>
  </r>
  <r>
    <n v="10101"/>
    <n v="5"/>
    <d v="2013-07-18T00:00:00"/>
    <s v="BLU-RAY"/>
    <n v="101221"/>
    <s v="AB102148"/>
    <x v="4"/>
    <n v="498970"/>
    <x v="1"/>
  </r>
  <r>
    <n v="10184"/>
    <n v="10"/>
    <d v="2013-07-17T00:00:00"/>
    <s v="DVD"/>
    <n v="101221"/>
    <s v="AB102149"/>
    <x v="7"/>
    <n v="498970"/>
    <x v="1"/>
  </r>
  <r>
    <n v="10090"/>
    <n v="8"/>
    <d v="2013-07-17T00:00:00"/>
    <s v="DVD"/>
    <n v="101221"/>
    <s v="AB102150"/>
    <x v="1"/>
    <n v="498970"/>
    <x v="1"/>
  </r>
  <r>
    <n v="10230"/>
    <n v="4"/>
    <d v="2013-07-17T00:00:00"/>
    <s v="BLU-RAY"/>
    <n v="101222"/>
    <s v="AB102151"/>
    <x v="14"/>
    <n v="422951"/>
    <x v="1"/>
  </r>
  <r>
    <n v="10041"/>
    <n v="4"/>
    <d v="2013-07-17T00:00:00"/>
    <s v="DVD"/>
    <n v="101223"/>
    <s v="AB102152"/>
    <x v="10"/>
    <n v="289693"/>
    <x v="1"/>
  </r>
  <r>
    <n v="10025"/>
    <n v="10"/>
    <d v="2013-07-17T00:00:00"/>
    <s v="BLU-RAY"/>
    <n v="101223"/>
    <s v="AB102153"/>
    <x v="4"/>
    <n v="289693"/>
    <x v="1"/>
  </r>
  <r>
    <n v="10115"/>
    <n v="3"/>
    <d v="2013-07-18T00:00:00"/>
    <s v="DVD"/>
    <n v="101223"/>
    <s v="AB102154"/>
    <x v="11"/>
    <n v="289693"/>
    <x v="1"/>
  </r>
  <r>
    <n v="10207"/>
    <n v="5"/>
    <d v="2013-07-18T00:00:00"/>
    <s v="DVD"/>
    <n v="101224"/>
    <s v="AB102155"/>
    <x v="1"/>
    <n v="885548"/>
    <x v="1"/>
  </r>
  <r>
    <n v="10078"/>
    <n v="3"/>
    <d v="2013-07-18T00:00:00"/>
    <s v="BLU-RAY"/>
    <n v="101224"/>
    <s v="AB102156"/>
    <x v="1"/>
    <n v="885548"/>
    <x v="1"/>
  </r>
  <r>
    <n v="10035"/>
    <n v="10"/>
    <d v="2013-07-18T00:00:00"/>
    <s v="BLU-RAY"/>
    <n v="101225"/>
    <s v="AB102157"/>
    <x v="4"/>
    <n v="814512"/>
    <x v="1"/>
  </r>
  <r>
    <n v="10246"/>
    <n v="3"/>
    <d v="2013-07-19T00:00:00"/>
    <s v="BLU-RAY"/>
    <n v="101226"/>
    <s v="AB102158"/>
    <x v="2"/>
    <n v="808869"/>
    <x v="1"/>
  </r>
  <r>
    <n v="10124"/>
    <n v="3"/>
    <d v="2013-07-18T00:00:00"/>
    <s v="DVD"/>
    <n v="101227"/>
    <s v="AB102159"/>
    <x v="1"/>
    <n v="420981"/>
    <x v="1"/>
  </r>
  <r>
    <n v="10270"/>
    <n v="10"/>
    <d v="2013-07-18T00:00:00"/>
    <s v="DVD"/>
    <n v="101228"/>
    <s v="AB102160"/>
    <x v="9"/>
    <n v="422592"/>
    <x v="1"/>
  </r>
  <r>
    <n v="10299"/>
    <n v="4"/>
    <d v="2013-07-18T00:00:00"/>
    <s v="BLU-RAY"/>
    <n v="101228"/>
    <s v="AB102161"/>
    <x v="22"/>
    <n v="422592"/>
    <x v="1"/>
  </r>
  <r>
    <n v="10203"/>
    <n v="3"/>
    <d v="2013-07-18T00:00:00"/>
    <s v="BLU-RAY"/>
    <n v="101229"/>
    <s v="AB102162"/>
    <x v="3"/>
    <n v="249779"/>
    <x v="1"/>
  </r>
  <r>
    <n v="10066"/>
    <n v="7"/>
    <d v="2013-07-18T00:00:00"/>
    <s v="DVD"/>
    <n v="101229"/>
    <s v="AB102163"/>
    <x v="3"/>
    <n v="249779"/>
    <x v="1"/>
  </r>
  <r>
    <n v="10126"/>
    <n v="3"/>
    <d v="2013-07-18T00:00:00"/>
    <s v="DVD"/>
    <n v="101229"/>
    <s v="AB102164"/>
    <x v="9"/>
    <n v="249779"/>
    <x v="1"/>
  </r>
  <r>
    <n v="10097"/>
    <n v="2"/>
    <d v="2013-07-19T00:00:00"/>
    <s v="DVD"/>
    <n v="101230"/>
    <s v="AB102165"/>
    <x v="8"/>
    <n v="719921"/>
    <x v="1"/>
  </r>
  <r>
    <n v="10168"/>
    <n v="2"/>
    <d v="2013-07-18T00:00:00"/>
    <s v="BLU-RAY"/>
    <n v="101230"/>
    <s v="AB102166"/>
    <x v="1"/>
    <n v="719921"/>
    <x v="1"/>
  </r>
  <r>
    <n v="10274"/>
    <n v="10"/>
    <d v="2013-07-19T00:00:00"/>
    <s v="DVD"/>
    <n v="101230"/>
    <s v="AB102167"/>
    <x v="9"/>
    <n v="719921"/>
    <x v="1"/>
  </r>
  <r>
    <n v="10223"/>
    <n v="8"/>
    <d v="2013-07-18T00:00:00"/>
    <s v="DVD"/>
    <n v="101231"/>
    <s v="AB102168"/>
    <x v="7"/>
    <n v="608290"/>
    <x v="1"/>
  </r>
  <r>
    <n v="10082"/>
    <n v="2"/>
    <d v="2013-07-18T00:00:00"/>
    <s v="DVD"/>
    <n v="101231"/>
    <s v="AB102169"/>
    <x v="3"/>
    <n v="608290"/>
    <x v="1"/>
  </r>
  <r>
    <n v="10033"/>
    <n v="7"/>
    <d v="2013-07-18T00:00:00"/>
    <s v="DVD"/>
    <n v="101232"/>
    <s v="AB102170"/>
    <x v="10"/>
    <n v="498970"/>
    <x v="1"/>
  </r>
  <r>
    <n v="10079"/>
    <n v="2"/>
    <d v="2013-07-18T00:00:00"/>
    <s v="DVD"/>
    <n v="101232"/>
    <s v="AB102171"/>
    <x v="0"/>
    <n v="498970"/>
    <x v="1"/>
  </r>
  <r>
    <n v="10109"/>
    <n v="5"/>
    <d v="2013-07-18T00:00:00"/>
    <s v="DVD"/>
    <n v="101233"/>
    <s v="AB102172"/>
    <x v="0"/>
    <n v="559486"/>
    <x v="1"/>
  </r>
  <r>
    <n v="10166"/>
    <n v="7"/>
    <d v="2013-07-18T00:00:00"/>
    <s v="DVD"/>
    <n v="101233"/>
    <s v="AB102173"/>
    <x v="9"/>
    <n v="559486"/>
    <x v="1"/>
  </r>
  <r>
    <n v="10261"/>
    <n v="5"/>
    <d v="2013-07-19T00:00:00"/>
    <s v="DVD"/>
    <n v="101233"/>
    <s v="AB102174"/>
    <x v="9"/>
    <n v="559486"/>
    <x v="1"/>
  </r>
  <r>
    <n v="10217"/>
    <n v="10"/>
    <d v="2013-07-18T00:00:00"/>
    <s v="DVD"/>
    <n v="101234"/>
    <s v="AB102175"/>
    <x v="0"/>
    <n v="892883"/>
    <x v="1"/>
  </r>
  <r>
    <n v="10159"/>
    <n v="8"/>
    <d v="2013-07-19T00:00:00"/>
    <s v="DVD"/>
    <n v="101234"/>
    <s v="AB102176"/>
    <x v="10"/>
    <n v="892883"/>
    <x v="1"/>
  </r>
  <r>
    <n v="10072"/>
    <n v="9"/>
    <d v="2013-07-18T00:00:00"/>
    <s v="BLU-RAY"/>
    <n v="101234"/>
    <s v="AB102177"/>
    <x v="1"/>
    <n v="892883"/>
    <x v="1"/>
  </r>
  <r>
    <n v="10214"/>
    <n v="8"/>
    <d v="2013-07-18T00:00:00"/>
    <s v="DVD"/>
    <n v="101235"/>
    <s v="AB102178"/>
    <x v="13"/>
    <n v="672834"/>
    <x v="1"/>
  </r>
  <r>
    <n v="10101"/>
    <n v="8"/>
    <d v="2013-07-18T00:00:00"/>
    <s v="BLU-RAY"/>
    <n v="101235"/>
    <s v="AB102179"/>
    <x v="4"/>
    <n v="672834"/>
    <x v="1"/>
  </r>
  <r>
    <n v="10018"/>
    <n v="10"/>
    <d v="2013-07-19T00:00:00"/>
    <s v="DVD"/>
    <n v="101236"/>
    <s v="AB102180"/>
    <x v="9"/>
    <n v="520377"/>
    <x v="1"/>
  </r>
  <r>
    <n v="10250"/>
    <n v="4"/>
    <d v="2013-07-18T00:00:00"/>
    <s v="BLU-RAY"/>
    <n v="101236"/>
    <s v="AB102181"/>
    <x v="3"/>
    <n v="520377"/>
    <x v="1"/>
  </r>
  <r>
    <n v="10278"/>
    <n v="10"/>
    <d v="2013-07-18T00:00:00"/>
    <s v="BLU-RAY"/>
    <n v="101237"/>
    <s v="AB102182"/>
    <x v="7"/>
    <n v="663029"/>
    <x v="1"/>
  </r>
  <r>
    <n v="10068"/>
    <n v="4"/>
    <d v="2013-07-18T00:00:00"/>
    <s v="DVD"/>
    <n v="101237"/>
    <s v="AB102183"/>
    <x v="0"/>
    <n v="663029"/>
    <x v="1"/>
  </r>
  <r>
    <n v="10003"/>
    <n v="2"/>
    <d v="2013-07-18T00:00:00"/>
    <s v="BLU-RAY"/>
    <n v="101238"/>
    <s v="AB102184"/>
    <x v="1"/>
    <n v="890270"/>
    <x v="1"/>
  </r>
  <r>
    <n v="10237"/>
    <n v="9"/>
    <d v="2013-07-21T00:00:00"/>
    <s v="BLU-RAY"/>
    <n v="101239"/>
    <s v="AB102185"/>
    <x v="0"/>
    <n v="761615"/>
    <x v="1"/>
  </r>
  <r>
    <n v="10018"/>
    <n v="6"/>
    <d v="2013-07-19T00:00:00"/>
    <s v="BLU-RAY"/>
    <n v="101239"/>
    <s v="AB102186"/>
    <x v="9"/>
    <n v="761615"/>
    <x v="1"/>
  </r>
  <r>
    <n v="10155"/>
    <n v="4"/>
    <d v="2013-07-19T00:00:00"/>
    <s v="BLU-RAY"/>
    <n v="101240"/>
    <s v="AB102187"/>
    <x v="9"/>
    <n v="552124"/>
    <x v="1"/>
  </r>
  <r>
    <n v="10247"/>
    <n v="4"/>
    <d v="2013-07-19T00:00:00"/>
    <s v="DVD"/>
    <n v="101240"/>
    <s v="AB102188"/>
    <x v="9"/>
    <n v="552124"/>
    <x v="1"/>
  </r>
  <r>
    <n v="10144"/>
    <n v="3"/>
    <d v="2013-07-19T00:00:00"/>
    <s v="DVD"/>
    <n v="101241"/>
    <s v="AB102189"/>
    <x v="2"/>
    <n v="487346"/>
    <x v="1"/>
  </r>
  <r>
    <n v="10113"/>
    <n v="10"/>
    <d v="2013-07-19T00:00:00"/>
    <s v="BLU-RAY"/>
    <n v="101242"/>
    <s v="AB102190"/>
    <x v="10"/>
    <n v="470304"/>
    <x v="1"/>
  </r>
  <r>
    <n v="10210"/>
    <n v="3"/>
    <d v="2013-07-20T00:00:00"/>
    <s v="DVD"/>
    <n v="101243"/>
    <s v="AB102191"/>
    <x v="4"/>
    <n v="789065"/>
    <x v="1"/>
  </r>
  <r>
    <n v="10211"/>
    <n v="8"/>
    <d v="2013-07-19T00:00:00"/>
    <s v="BLU-RAY"/>
    <n v="101243"/>
    <s v="AB102192"/>
    <x v="3"/>
    <n v="789065"/>
    <x v="1"/>
  </r>
  <r>
    <n v="10270"/>
    <n v="9"/>
    <d v="2013-07-19T00:00:00"/>
    <s v="BLU-RAY"/>
    <n v="101244"/>
    <s v="AB102193"/>
    <x v="9"/>
    <n v="317807"/>
    <x v="1"/>
  </r>
  <r>
    <n v="10157"/>
    <n v="1"/>
    <d v="2013-07-19T00:00:00"/>
    <s v="DVD"/>
    <n v="101244"/>
    <s v="AB102194"/>
    <x v="1"/>
    <n v="317807"/>
    <x v="1"/>
  </r>
  <r>
    <n v="10129"/>
    <n v="5"/>
    <d v="2013-07-20T00:00:00"/>
    <s v="DVD"/>
    <n v="101245"/>
    <s v="AB102195"/>
    <x v="0"/>
    <n v="448993"/>
    <x v="1"/>
  </r>
  <r>
    <n v="10060"/>
    <n v="5"/>
    <d v="2013-07-21T00:00:00"/>
    <s v="DVD"/>
    <n v="101245"/>
    <s v="AB102196"/>
    <x v="0"/>
    <n v="448993"/>
    <x v="1"/>
  </r>
  <r>
    <n v="10241"/>
    <n v="4"/>
    <d v="2013-07-21T00:00:00"/>
    <s v="DVD"/>
    <n v="101246"/>
    <s v="AB102197"/>
    <x v="0"/>
    <n v="759995"/>
    <x v="1"/>
  </r>
  <r>
    <n v="10106"/>
    <n v="3"/>
    <d v="2013-07-20T00:00:00"/>
    <s v="DVD"/>
    <n v="101247"/>
    <s v="AB102198"/>
    <x v="9"/>
    <n v="905670"/>
    <x v="1"/>
  </r>
  <r>
    <n v="10041"/>
    <n v="9"/>
    <d v="2013-07-21T00:00:00"/>
    <s v="DVD"/>
    <n v="101248"/>
    <s v="AB102199"/>
    <x v="10"/>
    <n v="734514"/>
    <x v="1"/>
  </r>
  <r>
    <n v="10295"/>
    <n v="9"/>
    <d v="2013-07-20T00:00:00"/>
    <s v="DVD"/>
    <n v="101249"/>
    <s v="AB102200"/>
    <x v="21"/>
    <n v="265133"/>
    <x v="1"/>
  </r>
  <r>
    <n v="10154"/>
    <n v="9"/>
    <d v="2013-07-20T00:00:00"/>
    <s v="DVD"/>
    <n v="101249"/>
    <s v="AB102201"/>
    <x v="5"/>
    <n v="265133"/>
    <x v="1"/>
  </r>
  <r>
    <n v="10269"/>
    <n v="10"/>
    <d v="2013-07-21T00:00:00"/>
    <s v="BLU-RAY"/>
    <n v="101250"/>
    <s v="AB102202"/>
    <x v="3"/>
    <n v="191951"/>
    <x v="1"/>
  </r>
  <r>
    <n v="10229"/>
    <n v="3"/>
    <d v="2013-07-20T00:00:00"/>
    <s v="BLU-RAY"/>
    <n v="101250"/>
    <s v="AB102203"/>
    <x v="6"/>
    <n v="191951"/>
    <x v="1"/>
  </r>
  <r>
    <n v="10007"/>
    <n v="10"/>
    <d v="2013-07-20T00:00:00"/>
    <s v="DVD"/>
    <n v="101250"/>
    <s v="AB102204"/>
    <x v="4"/>
    <n v="191951"/>
    <x v="1"/>
  </r>
  <r>
    <n v="10179"/>
    <n v="8"/>
    <d v="2013-07-20T00:00:00"/>
    <s v="DVD"/>
    <n v="101251"/>
    <s v="AB102205"/>
    <x v="0"/>
    <n v="882493"/>
    <x v="1"/>
  </r>
  <r>
    <n v="10044"/>
    <n v="9"/>
    <d v="2013-07-21T00:00:00"/>
    <s v="DVD"/>
    <n v="101252"/>
    <s v="AB102206"/>
    <x v="3"/>
    <n v="610766"/>
    <x v="1"/>
  </r>
  <r>
    <n v="10081"/>
    <n v="6"/>
    <d v="2013-07-21T00:00:00"/>
    <s v="DVD"/>
    <n v="101252"/>
    <s v="AB102207"/>
    <x v="2"/>
    <n v="610766"/>
    <x v="1"/>
  </r>
  <r>
    <n v="10117"/>
    <n v="1"/>
    <d v="2013-07-20T00:00:00"/>
    <s v="DVD"/>
    <n v="101253"/>
    <s v="AB102208"/>
    <x v="4"/>
    <n v="702197"/>
    <x v="1"/>
  </r>
  <r>
    <n v="10068"/>
    <n v="8"/>
    <d v="2013-07-20T00:00:00"/>
    <s v="BLU-RAY"/>
    <n v="101254"/>
    <s v="AB102209"/>
    <x v="0"/>
    <n v="452874"/>
    <x v="1"/>
  </r>
  <r>
    <n v="10222"/>
    <n v="7"/>
    <d v="2013-07-21T00:00:00"/>
    <s v="DVD"/>
    <n v="101254"/>
    <s v="AB102210"/>
    <x v="4"/>
    <n v="452874"/>
    <x v="1"/>
  </r>
  <r>
    <n v="10117"/>
    <n v="5"/>
    <d v="2013-07-20T00:00:00"/>
    <s v="BLU-RAY"/>
    <n v="101255"/>
    <s v="AB102211"/>
    <x v="4"/>
    <n v="938393"/>
    <x v="1"/>
  </r>
  <r>
    <n v="10249"/>
    <n v="9"/>
    <d v="2013-07-20T00:00:00"/>
    <s v="DVD"/>
    <n v="101256"/>
    <s v="AB102212"/>
    <x v="5"/>
    <n v="548800"/>
    <x v="1"/>
  </r>
  <r>
    <n v="10021"/>
    <n v="1"/>
    <d v="2013-07-20T00:00:00"/>
    <s v="BLU-RAY"/>
    <n v="101256"/>
    <s v="AB102213"/>
    <x v="1"/>
    <n v="548800"/>
    <x v="1"/>
  </r>
  <r>
    <n v="10144"/>
    <n v="5"/>
    <d v="2013-07-20T00:00:00"/>
    <s v="BLU-RAY"/>
    <n v="101257"/>
    <s v="AB102214"/>
    <x v="2"/>
    <n v="791559"/>
    <x v="1"/>
  </r>
  <r>
    <n v="10105"/>
    <n v="10"/>
    <d v="2013-07-22T00:00:00"/>
    <s v="DVD"/>
    <n v="101258"/>
    <s v="AB102215"/>
    <x v="2"/>
    <n v="745543"/>
    <x v="1"/>
  </r>
  <r>
    <n v="10122"/>
    <n v="7"/>
    <d v="2013-07-21T00:00:00"/>
    <s v="BLU-RAY"/>
    <n v="101259"/>
    <s v="AB102216"/>
    <x v="12"/>
    <n v="622506"/>
    <x v="1"/>
  </r>
  <r>
    <n v="10128"/>
    <n v="2"/>
    <d v="2013-07-22T00:00:00"/>
    <s v="DVD"/>
    <n v="101259"/>
    <s v="AB102217"/>
    <x v="6"/>
    <n v="622506"/>
    <x v="1"/>
  </r>
  <r>
    <n v="10072"/>
    <n v="6"/>
    <d v="2013-07-21T00:00:00"/>
    <s v="BLU-RAY"/>
    <n v="101260"/>
    <s v="AB102218"/>
    <x v="1"/>
    <n v="757525"/>
    <x v="1"/>
  </r>
  <r>
    <n v="10006"/>
    <n v="3"/>
    <d v="2013-07-21T00:00:00"/>
    <s v="BLU-RAY"/>
    <n v="101261"/>
    <s v="AB102219"/>
    <x v="1"/>
    <n v="723057"/>
    <x v="1"/>
  </r>
  <r>
    <n v="10169"/>
    <n v="10"/>
    <d v="2013-07-23T00:00:00"/>
    <s v="BLU-RAY"/>
    <n v="101261"/>
    <s v="AB102220"/>
    <x v="0"/>
    <n v="723057"/>
    <x v="1"/>
  </r>
  <r>
    <n v="10200"/>
    <n v="10"/>
    <d v="2013-07-21T00:00:00"/>
    <s v="BLU-RAY"/>
    <n v="101261"/>
    <s v="AB102221"/>
    <x v="9"/>
    <n v="723057"/>
    <x v="1"/>
  </r>
  <r>
    <n v="10179"/>
    <n v="10"/>
    <d v="2013-07-21T00:00:00"/>
    <s v="DVD"/>
    <n v="101261"/>
    <s v="AB102222"/>
    <x v="0"/>
    <n v="723057"/>
    <x v="1"/>
  </r>
  <r>
    <n v="10047"/>
    <n v="3"/>
    <d v="2013-07-21T00:00:00"/>
    <s v="DVD"/>
    <n v="101261"/>
    <s v="AB102223"/>
    <x v="0"/>
    <n v="723057"/>
    <x v="1"/>
  </r>
  <r>
    <n v="10093"/>
    <n v="5"/>
    <d v="2013-07-21T00:00:00"/>
    <s v="DVD"/>
    <n v="101261"/>
    <s v="AB102224"/>
    <x v="11"/>
    <n v="723057"/>
    <x v="1"/>
  </r>
  <r>
    <n v="10296"/>
    <n v="10"/>
    <d v="2013-07-21T00:00:00"/>
    <s v="DVD"/>
    <n v="101261"/>
    <s v="AB102225"/>
    <x v="21"/>
    <n v="723057"/>
    <x v="1"/>
  </r>
  <r>
    <n v="10013"/>
    <n v="7"/>
    <d v="2013-07-21T00:00:00"/>
    <s v="BLU-RAY"/>
    <n v="101262"/>
    <s v="AB102226"/>
    <x v="11"/>
    <n v="520196"/>
    <x v="1"/>
  </r>
  <r>
    <n v="10151"/>
    <n v="3"/>
    <d v="2013-07-21T00:00:00"/>
    <s v="BLU-RAY"/>
    <n v="101263"/>
    <s v="AB102227"/>
    <x v="8"/>
    <n v="500733"/>
    <x v="1"/>
  </r>
  <r>
    <n v="10017"/>
    <n v="1"/>
    <d v="2013-07-23T00:00:00"/>
    <s v="DVD"/>
    <n v="101263"/>
    <s v="AB102228"/>
    <x v="4"/>
    <n v="500733"/>
    <x v="1"/>
  </r>
  <r>
    <n v="10025"/>
    <n v="10"/>
    <d v="2013-07-21T00:00:00"/>
    <s v="DVD"/>
    <n v="101264"/>
    <s v="AB102229"/>
    <x v="4"/>
    <n v="347659"/>
    <x v="1"/>
  </r>
  <r>
    <n v="10251"/>
    <n v="10"/>
    <d v="2013-07-21T00:00:00"/>
    <s v="DVD"/>
    <n v="101264"/>
    <s v="AB102230"/>
    <x v="7"/>
    <n v="347659"/>
    <x v="1"/>
  </r>
  <r>
    <n v="10036"/>
    <n v="2"/>
    <d v="2013-07-22T00:00:00"/>
    <s v="DVD"/>
    <n v="101264"/>
    <s v="AB102231"/>
    <x v="7"/>
    <n v="347659"/>
    <x v="1"/>
  </r>
  <r>
    <n v="10196"/>
    <n v="1"/>
    <d v="2013-07-21T00:00:00"/>
    <s v="DVD"/>
    <n v="101265"/>
    <s v="AB102232"/>
    <x v="9"/>
    <n v="158528"/>
    <x v="1"/>
  </r>
  <r>
    <n v="10066"/>
    <n v="8"/>
    <d v="2013-07-22T00:00:00"/>
    <s v="DVD"/>
    <n v="101266"/>
    <s v="AB102233"/>
    <x v="3"/>
    <n v="689877"/>
    <x v="1"/>
  </r>
  <r>
    <n v="10272"/>
    <n v="7"/>
    <d v="2013-07-21T00:00:00"/>
    <s v="BLU-RAY"/>
    <n v="101267"/>
    <s v="AB102234"/>
    <x v="4"/>
    <n v="550661"/>
    <x v="1"/>
  </r>
  <r>
    <n v="10153"/>
    <n v="9"/>
    <d v="2013-07-22T00:00:00"/>
    <s v="DVD"/>
    <n v="101268"/>
    <s v="AB102235"/>
    <x v="10"/>
    <n v="160392"/>
    <x v="1"/>
  </r>
  <r>
    <n v="10132"/>
    <n v="2"/>
    <d v="2013-07-22T00:00:00"/>
    <s v="BLU-RAY"/>
    <n v="101269"/>
    <s v="AB102236"/>
    <x v="10"/>
    <n v="304344"/>
    <x v="1"/>
  </r>
  <r>
    <n v="10049"/>
    <n v="5"/>
    <d v="2013-07-22T00:00:00"/>
    <s v="DVD"/>
    <n v="101270"/>
    <s v="AB102237"/>
    <x v="7"/>
    <n v="766737"/>
    <x v="1"/>
  </r>
  <r>
    <n v="10171"/>
    <n v="5"/>
    <d v="2013-07-22T00:00:00"/>
    <s v="BLU-RAY"/>
    <n v="101270"/>
    <s v="AB102238"/>
    <x v="7"/>
    <n v="766737"/>
    <x v="1"/>
  </r>
  <r>
    <n v="10061"/>
    <n v="10"/>
    <d v="2013-07-22T00:00:00"/>
    <s v="DVD"/>
    <n v="101271"/>
    <s v="AB102239"/>
    <x v="9"/>
    <n v="270853"/>
    <x v="1"/>
  </r>
  <r>
    <n v="10010"/>
    <n v="6"/>
    <d v="2013-07-24T00:00:00"/>
    <s v="DVD"/>
    <n v="101271"/>
    <s v="AB102240"/>
    <x v="3"/>
    <n v="270853"/>
    <x v="1"/>
  </r>
  <r>
    <n v="10278"/>
    <n v="4"/>
    <d v="2013-07-22T00:00:00"/>
    <s v="BLU-RAY"/>
    <n v="101272"/>
    <s v="AB102241"/>
    <x v="7"/>
    <n v="344702"/>
    <x v="1"/>
  </r>
  <r>
    <n v="10198"/>
    <n v="5"/>
    <d v="2013-07-22T00:00:00"/>
    <s v="DVD"/>
    <n v="101273"/>
    <s v="AB102242"/>
    <x v="9"/>
    <n v="932618"/>
    <x v="1"/>
  </r>
  <r>
    <n v="10098"/>
    <n v="1"/>
    <d v="2013-07-22T00:00:00"/>
    <s v="BLU-RAY"/>
    <n v="101273"/>
    <s v="AB102243"/>
    <x v="0"/>
    <n v="932618"/>
    <x v="1"/>
  </r>
  <r>
    <n v="10075"/>
    <n v="8"/>
    <d v="2013-07-23T00:00:00"/>
    <s v="BLU-RAY"/>
    <n v="101274"/>
    <s v="AB102244"/>
    <x v="17"/>
    <n v="897614"/>
    <x v="1"/>
  </r>
  <r>
    <n v="10208"/>
    <n v="2"/>
    <d v="2013-07-22T00:00:00"/>
    <s v="DVD"/>
    <n v="101275"/>
    <s v="AB102245"/>
    <x v="0"/>
    <n v="999915"/>
    <x v="1"/>
  </r>
  <r>
    <n v="10236"/>
    <n v="9"/>
    <d v="2013-07-23T00:00:00"/>
    <s v="BLU-RAY"/>
    <n v="101275"/>
    <s v="AB102246"/>
    <x v="10"/>
    <n v="999915"/>
    <x v="1"/>
  </r>
  <r>
    <n v="10045"/>
    <n v="10"/>
    <d v="2013-07-23T00:00:00"/>
    <s v="DVD"/>
    <n v="101275"/>
    <s v="AB102247"/>
    <x v="0"/>
    <n v="999915"/>
    <x v="1"/>
  </r>
  <r>
    <n v="10162"/>
    <n v="10"/>
    <d v="2013-07-22T00:00:00"/>
    <s v="BLU-RAY"/>
    <n v="101275"/>
    <s v="AB102248"/>
    <x v="4"/>
    <n v="999915"/>
    <x v="1"/>
  </r>
  <r>
    <n v="10151"/>
    <n v="9"/>
    <d v="2013-07-22T00:00:00"/>
    <s v="DVD"/>
    <n v="101275"/>
    <s v="AB102249"/>
    <x v="8"/>
    <n v="999915"/>
    <x v="1"/>
  </r>
  <r>
    <n v="10216"/>
    <n v="6"/>
    <d v="2013-07-22T00:00:00"/>
    <s v="DVD"/>
    <n v="101276"/>
    <s v="AB102250"/>
    <x v="4"/>
    <n v="305005"/>
    <x v="1"/>
  </r>
  <r>
    <n v="10241"/>
    <n v="3"/>
    <d v="2013-07-23T00:00:00"/>
    <s v="DVD"/>
    <n v="101276"/>
    <s v="AB102251"/>
    <x v="0"/>
    <n v="305005"/>
    <x v="1"/>
  </r>
  <r>
    <n v="10255"/>
    <n v="5"/>
    <d v="2013-07-22T00:00:00"/>
    <s v="DVD"/>
    <n v="101276"/>
    <s v="AB102252"/>
    <x v="1"/>
    <n v="305005"/>
    <x v="1"/>
  </r>
  <r>
    <n v="10295"/>
    <n v="9"/>
    <d v="2013-07-22T00:00:00"/>
    <s v="DVD"/>
    <n v="101277"/>
    <s v="AB102253"/>
    <x v="21"/>
    <n v="563468"/>
    <x v="1"/>
  </r>
  <r>
    <n v="10180"/>
    <n v="10"/>
    <d v="2013-07-22T00:00:00"/>
    <s v="DVD"/>
    <n v="101277"/>
    <s v="AB102254"/>
    <x v="12"/>
    <n v="563468"/>
    <x v="1"/>
  </r>
  <r>
    <n v="10133"/>
    <n v="9"/>
    <d v="2013-07-22T00:00:00"/>
    <s v="DVD"/>
    <n v="101277"/>
    <s v="AB102255"/>
    <x v="9"/>
    <n v="563468"/>
    <x v="1"/>
  </r>
  <r>
    <n v="10014"/>
    <n v="5"/>
    <d v="2013-07-22T00:00:00"/>
    <s v="DVD"/>
    <n v="101277"/>
    <s v="AB102256"/>
    <x v="0"/>
    <n v="563468"/>
    <x v="1"/>
  </r>
  <r>
    <n v="10000"/>
    <n v="5"/>
    <d v="2013-07-23T00:00:00"/>
    <s v="DVD"/>
    <n v="101278"/>
    <s v="AB102257"/>
    <x v="6"/>
    <n v="592592"/>
    <x v="1"/>
  </r>
  <r>
    <n v="10107"/>
    <n v="10"/>
    <d v="2013-07-23T00:00:00"/>
    <s v="DVD"/>
    <n v="101278"/>
    <s v="AB102258"/>
    <x v="7"/>
    <n v="592592"/>
    <x v="1"/>
  </r>
  <r>
    <n v="10043"/>
    <n v="3"/>
    <d v="2013-07-23T00:00:00"/>
    <s v="DVD"/>
    <n v="101278"/>
    <s v="AB102259"/>
    <x v="8"/>
    <n v="592592"/>
    <x v="1"/>
  </r>
  <r>
    <n v="10286"/>
    <n v="6"/>
    <d v="2013-07-23T00:00:00"/>
    <s v="DVD"/>
    <n v="101279"/>
    <s v="AB102260"/>
    <x v="17"/>
    <n v="520196"/>
    <x v="1"/>
  </r>
  <r>
    <n v="10033"/>
    <n v="7"/>
    <d v="2013-07-23T00:00:00"/>
    <s v="BLU-RAY"/>
    <n v="101280"/>
    <s v="AB102261"/>
    <x v="10"/>
    <n v="189441"/>
    <x v="1"/>
  </r>
  <r>
    <n v="10082"/>
    <n v="10"/>
    <d v="2013-07-23T00:00:00"/>
    <s v="DVD"/>
    <n v="101281"/>
    <s v="AB102262"/>
    <x v="3"/>
    <n v="955591"/>
    <x v="1"/>
  </r>
  <r>
    <n v="10227"/>
    <n v="3"/>
    <d v="2013-07-23T00:00:00"/>
    <s v="DVD"/>
    <n v="101281"/>
    <s v="AB102263"/>
    <x v="14"/>
    <n v="955591"/>
    <x v="1"/>
  </r>
  <r>
    <n v="10171"/>
    <n v="1"/>
    <d v="2013-07-24T00:00:00"/>
    <s v="DVD"/>
    <n v="101282"/>
    <s v="AB102264"/>
    <x v="7"/>
    <n v="575041"/>
    <x v="1"/>
  </r>
  <r>
    <n v="10197"/>
    <n v="3"/>
    <d v="2013-07-23T00:00:00"/>
    <s v="BLU-RAY"/>
    <n v="101283"/>
    <s v="AB102265"/>
    <x v="0"/>
    <n v="378374"/>
    <x v="1"/>
  </r>
  <r>
    <n v="10224"/>
    <n v="10"/>
    <d v="2013-07-23T00:00:00"/>
    <s v="DVD"/>
    <n v="101283"/>
    <s v="AB102266"/>
    <x v="17"/>
    <n v="378374"/>
    <x v="1"/>
  </r>
  <r>
    <n v="10036"/>
    <n v="5"/>
    <d v="2013-07-24T00:00:00"/>
    <s v="DVD"/>
    <n v="101284"/>
    <s v="AB102267"/>
    <x v="7"/>
    <n v="618955"/>
    <x v="1"/>
  </r>
  <r>
    <n v="10231"/>
    <n v="3"/>
    <d v="2013-07-24T00:00:00"/>
    <s v="DVD"/>
    <n v="101284"/>
    <s v="AB102268"/>
    <x v="7"/>
    <n v="618955"/>
    <x v="1"/>
  </r>
  <r>
    <n v="10057"/>
    <n v="6"/>
    <d v="2013-07-24T00:00:00"/>
    <s v="BLU-RAY"/>
    <n v="101285"/>
    <s v="AB102269"/>
    <x v="0"/>
    <n v="304344"/>
    <x v="1"/>
  </r>
  <r>
    <n v="10049"/>
    <n v="8"/>
    <d v="2013-07-23T00:00:00"/>
    <s v="DVD"/>
    <n v="101285"/>
    <s v="AB102270"/>
    <x v="7"/>
    <n v="304344"/>
    <x v="1"/>
  </r>
  <r>
    <n v="10104"/>
    <n v="7"/>
    <d v="2013-07-24T00:00:00"/>
    <s v="DVD"/>
    <n v="101286"/>
    <s v="AB102271"/>
    <x v="7"/>
    <n v="175940"/>
    <x v="1"/>
  </r>
  <r>
    <n v="10112"/>
    <n v="2"/>
    <d v="2013-07-24T00:00:00"/>
    <s v="BLU-RAY"/>
    <n v="101286"/>
    <s v="AB102272"/>
    <x v="12"/>
    <n v="175940"/>
    <x v="1"/>
  </r>
  <r>
    <n v="10163"/>
    <n v="2"/>
    <d v="2013-07-24T00:00:00"/>
    <s v="BLU-RAY"/>
    <n v="101287"/>
    <s v="AB102273"/>
    <x v="0"/>
    <n v="147216"/>
    <x v="1"/>
  </r>
  <r>
    <n v="10140"/>
    <n v="6"/>
    <d v="2013-07-24T00:00:00"/>
    <s v="BLU-RAY"/>
    <n v="101288"/>
    <s v="AB102274"/>
    <x v="2"/>
    <n v="777145"/>
    <x v="1"/>
  </r>
  <r>
    <n v="10187"/>
    <n v="3"/>
    <d v="2013-07-24T00:00:00"/>
    <s v="BLU-RAY"/>
    <n v="101288"/>
    <s v="AB102275"/>
    <x v="1"/>
    <n v="777145"/>
    <x v="1"/>
  </r>
  <r>
    <n v="10214"/>
    <n v="6"/>
    <d v="2013-07-24T00:00:00"/>
    <s v="DVD"/>
    <n v="101289"/>
    <s v="AB102276"/>
    <x v="13"/>
    <n v="524667"/>
    <x v="1"/>
  </r>
  <r>
    <n v="10059"/>
    <n v="8"/>
    <d v="2013-07-25T00:00:00"/>
    <s v="DVD"/>
    <n v="101290"/>
    <s v="AB102277"/>
    <x v="7"/>
    <n v="344702"/>
    <x v="1"/>
  </r>
  <r>
    <n v="10026"/>
    <n v="9"/>
    <d v="2013-07-24T00:00:00"/>
    <s v="DVD"/>
    <n v="101290"/>
    <s v="AB102278"/>
    <x v="9"/>
    <n v="344702"/>
    <x v="1"/>
  </r>
  <r>
    <n v="10053"/>
    <n v="2"/>
    <d v="2013-07-25T00:00:00"/>
    <s v="DVD"/>
    <n v="101291"/>
    <s v="AB102279"/>
    <x v="4"/>
    <n v="233813"/>
    <x v="1"/>
  </r>
  <r>
    <n v="10053"/>
    <n v="4"/>
    <d v="2013-07-24T00:00:00"/>
    <s v="DVD"/>
    <n v="101291"/>
    <s v="AB102280"/>
    <x v="4"/>
    <n v="233813"/>
    <x v="1"/>
  </r>
  <r>
    <n v="10183"/>
    <n v="7"/>
    <d v="2013-07-24T00:00:00"/>
    <s v="DVD"/>
    <n v="101292"/>
    <s v="AB102281"/>
    <x v="4"/>
    <n v="643305"/>
    <x v="1"/>
  </r>
  <r>
    <n v="10048"/>
    <n v="4"/>
    <d v="2013-07-24T00:00:00"/>
    <s v="BLU-RAY"/>
    <n v="101292"/>
    <s v="AB102282"/>
    <x v="12"/>
    <n v="643305"/>
    <x v="1"/>
  </r>
  <r>
    <n v="10262"/>
    <n v="9"/>
    <d v="2013-07-24T00:00:00"/>
    <s v="BLU-RAY"/>
    <n v="101292"/>
    <s v="AB102283"/>
    <x v="10"/>
    <n v="643305"/>
    <x v="1"/>
  </r>
  <r>
    <n v="10206"/>
    <n v="8"/>
    <d v="2013-07-25T00:00:00"/>
    <s v="DVD"/>
    <n v="101293"/>
    <s v="AB102284"/>
    <x v="9"/>
    <n v="586201"/>
    <x v="1"/>
  </r>
  <r>
    <n v="10247"/>
    <n v="8"/>
    <d v="2013-07-24T00:00:00"/>
    <s v="DVD"/>
    <n v="101293"/>
    <s v="AB102285"/>
    <x v="9"/>
    <n v="586201"/>
    <x v="1"/>
  </r>
  <r>
    <n v="10213"/>
    <n v="1"/>
    <d v="2013-07-24T00:00:00"/>
    <s v="BLU-RAY"/>
    <n v="101293"/>
    <s v="AB102286"/>
    <x v="4"/>
    <n v="586201"/>
    <x v="1"/>
  </r>
  <r>
    <n v="10192"/>
    <n v="6"/>
    <d v="2013-07-25T00:00:00"/>
    <s v="BLU-RAY"/>
    <n v="101294"/>
    <s v="AB102287"/>
    <x v="7"/>
    <n v="796796"/>
    <x v="1"/>
  </r>
  <r>
    <n v="10068"/>
    <n v="9"/>
    <d v="2013-07-26T00:00:00"/>
    <s v="DVD"/>
    <n v="101295"/>
    <s v="AB102288"/>
    <x v="0"/>
    <n v="296208"/>
    <x v="1"/>
  </r>
  <r>
    <n v="10285"/>
    <n v="5"/>
    <d v="2013-07-25T00:00:00"/>
    <s v="DVD"/>
    <n v="101296"/>
    <s v="AB102289"/>
    <x v="20"/>
    <n v="884368"/>
    <x v="1"/>
  </r>
  <r>
    <n v="10223"/>
    <n v="1"/>
    <d v="2013-07-25T00:00:00"/>
    <s v="DVD"/>
    <n v="101297"/>
    <s v="AB102290"/>
    <x v="7"/>
    <n v="890497"/>
    <x v="1"/>
  </r>
  <r>
    <n v="10112"/>
    <n v="10"/>
    <d v="2013-07-25T00:00:00"/>
    <s v="BLU-RAY"/>
    <n v="101297"/>
    <s v="AB102291"/>
    <x v="12"/>
    <n v="890497"/>
    <x v="1"/>
  </r>
  <r>
    <n v="10231"/>
    <n v="9"/>
    <d v="2013-07-25T00:00:00"/>
    <s v="BLU-RAY"/>
    <n v="101298"/>
    <s v="AB102292"/>
    <x v="7"/>
    <n v="992895"/>
    <x v="1"/>
  </r>
  <r>
    <n v="10213"/>
    <n v="2"/>
    <d v="2013-07-25T00:00:00"/>
    <s v="DVD"/>
    <n v="101299"/>
    <s v="AB102293"/>
    <x v="4"/>
    <n v="242720"/>
    <x v="1"/>
  </r>
  <r>
    <n v="10190"/>
    <n v="6"/>
    <d v="2013-07-26T00:00:00"/>
    <s v="DVD"/>
    <n v="101299"/>
    <s v="AB102294"/>
    <x v="10"/>
    <n v="242720"/>
    <x v="1"/>
  </r>
  <r>
    <n v="10167"/>
    <n v="10"/>
    <d v="2013-07-25T00:00:00"/>
    <s v="BLU-RAY"/>
    <n v="101300"/>
    <s v="AB102295"/>
    <x v="7"/>
    <n v="233956"/>
    <x v="1"/>
  </r>
  <r>
    <n v="10026"/>
    <n v="10"/>
    <d v="2013-07-25T00:00:00"/>
    <s v="BLU-RAY"/>
    <n v="101301"/>
    <s v="AB102296"/>
    <x v="9"/>
    <n v="204295"/>
    <x v="1"/>
  </r>
  <r>
    <n v="10072"/>
    <n v="2"/>
    <d v="2013-07-27T00:00:00"/>
    <s v="BLU-RAY"/>
    <n v="101301"/>
    <s v="AB102297"/>
    <x v="1"/>
    <n v="204295"/>
    <x v="1"/>
  </r>
  <r>
    <n v="10201"/>
    <n v="6"/>
    <d v="2013-07-25T00:00:00"/>
    <s v="BLU-RAY"/>
    <n v="101302"/>
    <s v="AB102298"/>
    <x v="8"/>
    <n v="480298"/>
    <x v="1"/>
  </r>
  <r>
    <n v="10082"/>
    <n v="1"/>
    <d v="2013-07-25T00:00:00"/>
    <s v="BLU-RAY"/>
    <n v="101303"/>
    <s v="AB102299"/>
    <x v="3"/>
    <n v="664411"/>
    <x v="1"/>
  </r>
  <r>
    <n v="10222"/>
    <n v="10"/>
    <d v="2013-07-25T00:00:00"/>
    <s v="DVD"/>
    <n v="101303"/>
    <s v="AB102300"/>
    <x v="4"/>
    <n v="664411"/>
    <x v="1"/>
  </r>
  <r>
    <n v="10289"/>
    <n v="3"/>
    <d v="2013-07-25T00:00:00"/>
    <s v="BLU-RAY"/>
    <n v="101304"/>
    <s v="AB102301"/>
    <x v="11"/>
    <n v="842028"/>
    <x v="1"/>
  </r>
  <r>
    <n v="10033"/>
    <n v="5"/>
    <d v="2013-07-25T00:00:00"/>
    <s v="BLU-RAY"/>
    <n v="101305"/>
    <s v="AB102302"/>
    <x v="10"/>
    <n v="317807"/>
    <x v="1"/>
  </r>
  <r>
    <n v="10155"/>
    <n v="6"/>
    <d v="2013-07-27T00:00:00"/>
    <s v="BLU-RAY"/>
    <n v="101306"/>
    <s v="AB102303"/>
    <x v="9"/>
    <n v="427391"/>
    <x v="1"/>
  </r>
  <r>
    <n v="10057"/>
    <n v="4"/>
    <d v="2013-07-26T00:00:00"/>
    <s v="DVD"/>
    <n v="101307"/>
    <s v="AB102304"/>
    <x v="0"/>
    <n v="723057"/>
    <x v="1"/>
  </r>
  <r>
    <n v="10097"/>
    <n v="1"/>
    <d v="2013-07-26T00:00:00"/>
    <s v="BLU-RAY"/>
    <n v="101308"/>
    <s v="AB102305"/>
    <x v="8"/>
    <n v="592726"/>
    <x v="1"/>
  </r>
  <r>
    <n v="10288"/>
    <n v="5"/>
    <d v="2013-07-26T00:00:00"/>
    <s v="DVD"/>
    <n v="101309"/>
    <s v="AB102306"/>
    <x v="12"/>
    <n v="719921"/>
    <x v="1"/>
  </r>
  <r>
    <n v="10174"/>
    <n v="4"/>
    <d v="2013-07-26T00:00:00"/>
    <s v="BLU-RAY"/>
    <n v="101310"/>
    <s v="AB102307"/>
    <x v="7"/>
    <n v="891738"/>
    <x v="1"/>
  </r>
  <r>
    <n v="10022"/>
    <n v="4"/>
    <d v="2013-07-27T00:00:00"/>
    <s v="DVD"/>
    <n v="101310"/>
    <s v="AB102308"/>
    <x v="7"/>
    <n v="891738"/>
    <x v="1"/>
  </r>
  <r>
    <n v="10295"/>
    <n v="10"/>
    <d v="2013-07-26T00:00:00"/>
    <s v="DVD"/>
    <n v="101311"/>
    <s v="AB102309"/>
    <x v="21"/>
    <n v="565259"/>
    <x v="1"/>
  </r>
  <r>
    <n v="10253"/>
    <n v="10"/>
    <d v="2013-07-27T00:00:00"/>
    <s v="DVD"/>
    <n v="101311"/>
    <s v="AB102310"/>
    <x v="3"/>
    <n v="565259"/>
    <x v="1"/>
  </r>
  <r>
    <n v="10246"/>
    <n v="8"/>
    <d v="2013-07-26T00:00:00"/>
    <s v="BLU-RAY"/>
    <n v="101312"/>
    <s v="AB102311"/>
    <x v="2"/>
    <n v="101811"/>
    <x v="1"/>
  </r>
  <r>
    <n v="10106"/>
    <n v="5"/>
    <d v="2013-07-26T00:00:00"/>
    <s v="BLU-RAY"/>
    <n v="101312"/>
    <s v="AB102312"/>
    <x v="9"/>
    <n v="101811"/>
    <x v="1"/>
  </r>
  <r>
    <n v="10222"/>
    <n v="3"/>
    <d v="2013-07-28T00:00:00"/>
    <s v="DVD"/>
    <n v="101313"/>
    <s v="AB102313"/>
    <x v="4"/>
    <n v="563468"/>
    <x v="1"/>
  </r>
  <r>
    <n v="10131"/>
    <n v="10"/>
    <d v="2013-07-27T00:00:00"/>
    <s v="BLU-RAY"/>
    <n v="101314"/>
    <s v="AB102314"/>
    <x v="0"/>
    <n v="161942"/>
    <x v="1"/>
  </r>
  <r>
    <n v="10006"/>
    <n v="9"/>
    <d v="2013-07-27T00:00:00"/>
    <s v="DVD"/>
    <n v="101314"/>
    <s v="AB102315"/>
    <x v="1"/>
    <n v="161942"/>
    <x v="1"/>
  </r>
  <r>
    <n v="10033"/>
    <n v="2"/>
    <d v="2013-07-26T00:00:00"/>
    <s v="DVD"/>
    <n v="101315"/>
    <s v="AB102316"/>
    <x v="10"/>
    <n v="302774"/>
    <x v="1"/>
  </r>
  <r>
    <n v="10182"/>
    <n v="4"/>
    <d v="2013-07-26T00:00:00"/>
    <s v="BLU-RAY"/>
    <n v="101316"/>
    <s v="AB102317"/>
    <x v="0"/>
    <n v="796796"/>
    <x v="1"/>
  </r>
  <r>
    <n v="10205"/>
    <n v="7"/>
    <d v="2013-07-27T00:00:00"/>
    <s v="DVD"/>
    <n v="101316"/>
    <s v="AB102318"/>
    <x v="1"/>
    <n v="796796"/>
    <x v="1"/>
  </r>
  <r>
    <n v="10202"/>
    <n v="10"/>
    <d v="2013-07-27T00:00:00"/>
    <s v="DVD"/>
    <n v="101316"/>
    <s v="AB102319"/>
    <x v="0"/>
    <n v="796796"/>
    <x v="1"/>
  </r>
  <r>
    <n v="10237"/>
    <n v="1"/>
    <d v="2013-07-27T00:00:00"/>
    <s v="DVD"/>
    <n v="101317"/>
    <s v="AB102320"/>
    <x v="0"/>
    <n v="317807"/>
    <x v="1"/>
  </r>
  <r>
    <n v="10236"/>
    <n v="1"/>
    <d v="2013-07-26T00:00:00"/>
    <s v="DVD"/>
    <n v="101317"/>
    <s v="AB102321"/>
    <x v="10"/>
    <n v="317807"/>
    <x v="1"/>
  </r>
  <r>
    <n v="10077"/>
    <n v="10"/>
    <d v="2013-07-27T00:00:00"/>
    <s v="BLU-RAY"/>
    <n v="101318"/>
    <s v="AB102322"/>
    <x v="0"/>
    <n v="627324"/>
    <x v="1"/>
  </r>
  <r>
    <n v="10232"/>
    <n v="2"/>
    <d v="2013-07-26T00:00:00"/>
    <s v="DVD"/>
    <n v="101319"/>
    <s v="AB102323"/>
    <x v="1"/>
    <n v="417823"/>
    <x v="1"/>
  </r>
  <r>
    <n v="10258"/>
    <n v="3"/>
    <d v="2013-07-26T00:00:00"/>
    <s v="BLU-RAY"/>
    <n v="101319"/>
    <s v="AB102324"/>
    <x v="0"/>
    <n v="417823"/>
    <x v="1"/>
  </r>
  <r>
    <n v="10278"/>
    <n v="10"/>
    <d v="2013-07-26T00:00:00"/>
    <s v="BLU-RAY"/>
    <n v="101320"/>
    <s v="AB102325"/>
    <x v="7"/>
    <n v="911171"/>
    <x v="1"/>
  </r>
  <r>
    <n v="10252"/>
    <n v="5"/>
    <d v="2013-07-27T00:00:00"/>
    <s v="DVD"/>
    <n v="101320"/>
    <s v="AB102326"/>
    <x v="0"/>
    <n v="911171"/>
    <x v="1"/>
  </r>
  <r>
    <n v="10221"/>
    <n v="2"/>
    <d v="2013-07-26T00:00:00"/>
    <s v="DVD"/>
    <n v="101321"/>
    <s v="AB102327"/>
    <x v="9"/>
    <n v="996970"/>
    <x v="1"/>
  </r>
  <r>
    <n v="10000"/>
    <n v="2"/>
    <d v="2013-07-27T00:00:00"/>
    <s v="DVD"/>
    <n v="101322"/>
    <s v="AB102328"/>
    <x v="6"/>
    <n v="433442"/>
    <x v="1"/>
  </r>
  <r>
    <n v="10216"/>
    <n v="9"/>
    <d v="2013-07-28T00:00:00"/>
    <s v="DVD"/>
    <n v="101322"/>
    <s v="AB102329"/>
    <x v="4"/>
    <n v="433442"/>
    <x v="1"/>
  </r>
  <r>
    <n v="10127"/>
    <n v="3"/>
    <d v="2013-07-28T00:00:00"/>
    <s v="DVD"/>
    <n v="101323"/>
    <s v="AB102330"/>
    <x v="6"/>
    <n v="676155"/>
    <x v="1"/>
  </r>
  <r>
    <n v="10003"/>
    <n v="10"/>
    <d v="2013-07-27T00:00:00"/>
    <s v="BLU-RAY"/>
    <n v="101324"/>
    <s v="AB102331"/>
    <x v="1"/>
    <n v="808421"/>
    <x v="1"/>
  </r>
  <r>
    <n v="10286"/>
    <n v="7"/>
    <d v="2013-07-27T00:00:00"/>
    <s v="BLU-RAY"/>
    <n v="101325"/>
    <s v="AB102332"/>
    <x v="17"/>
    <n v="795957"/>
    <x v="1"/>
  </r>
  <r>
    <n v="10042"/>
    <n v="7"/>
    <d v="2013-07-28T00:00:00"/>
    <s v="BLU-RAY"/>
    <n v="101326"/>
    <s v="AB102333"/>
    <x v="1"/>
    <n v="627324"/>
    <x v="1"/>
  </r>
  <r>
    <n v="10122"/>
    <n v="9"/>
    <d v="2013-07-27T00:00:00"/>
    <s v="BLU-RAY"/>
    <n v="101327"/>
    <s v="AB102334"/>
    <x v="12"/>
    <n v="524667"/>
    <x v="1"/>
  </r>
  <r>
    <n v="10125"/>
    <n v="5"/>
    <d v="2013-07-27T00:00:00"/>
    <s v="BLU-RAY"/>
    <n v="101327"/>
    <s v="AB102335"/>
    <x v="9"/>
    <n v="524667"/>
    <x v="1"/>
  </r>
  <r>
    <n v="10040"/>
    <n v="2"/>
    <d v="2013-07-27T00:00:00"/>
    <s v="BLU-RAY"/>
    <n v="101328"/>
    <s v="AB102336"/>
    <x v="7"/>
    <n v="413495"/>
    <x v="1"/>
  </r>
  <r>
    <n v="10037"/>
    <n v="5"/>
    <d v="2013-07-27T00:00:00"/>
    <s v="DVD"/>
    <n v="101328"/>
    <s v="AB102337"/>
    <x v="3"/>
    <n v="413495"/>
    <x v="1"/>
  </r>
  <r>
    <n v="10245"/>
    <n v="6"/>
    <d v="2013-07-27T00:00:00"/>
    <s v="DVD"/>
    <n v="101329"/>
    <s v="AB102338"/>
    <x v="0"/>
    <n v="970794"/>
    <x v="1"/>
  </r>
  <r>
    <n v="10168"/>
    <n v="2"/>
    <d v="2013-07-27T00:00:00"/>
    <s v="DVD"/>
    <n v="101329"/>
    <s v="AB102339"/>
    <x v="1"/>
    <n v="970794"/>
    <x v="1"/>
  </r>
  <r>
    <n v="10036"/>
    <n v="9"/>
    <d v="2013-07-29T00:00:00"/>
    <s v="DVD"/>
    <n v="101330"/>
    <s v="AB102340"/>
    <x v="7"/>
    <n v="433442"/>
    <x v="1"/>
  </r>
  <r>
    <n v="10148"/>
    <n v="1"/>
    <d v="2013-07-29T00:00:00"/>
    <s v="BLU-RAY"/>
    <n v="101330"/>
    <s v="AB102341"/>
    <x v="1"/>
    <n v="433442"/>
    <x v="1"/>
  </r>
  <r>
    <n v="10127"/>
    <n v="2"/>
    <d v="2013-07-27T00:00:00"/>
    <s v="BLU-RAY"/>
    <n v="101330"/>
    <s v="AB102342"/>
    <x v="6"/>
    <n v="433442"/>
    <x v="1"/>
  </r>
  <r>
    <n v="10270"/>
    <n v="9"/>
    <d v="2013-07-28T00:00:00"/>
    <s v="DVD"/>
    <n v="101331"/>
    <s v="AB102343"/>
    <x v="9"/>
    <n v="933331"/>
    <x v="1"/>
  </r>
  <r>
    <n v="10069"/>
    <n v="5"/>
    <d v="2013-07-27T00:00:00"/>
    <s v="BLU-RAY"/>
    <n v="101331"/>
    <s v="AB102344"/>
    <x v="0"/>
    <n v="933331"/>
    <x v="1"/>
  </r>
  <r>
    <n v="10181"/>
    <n v="2"/>
    <d v="2013-07-27T00:00:00"/>
    <s v="DVD"/>
    <n v="101332"/>
    <s v="AB102345"/>
    <x v="9"/>
    <n v="925565"/>
    <x v="1"/>
  </r>
  <r>
    <n v="10050"/>
    <n v="4"/>
    <d v="2013-07-27T00:00:00"/>
    <s v="DVD"/>
    <n v="101333"/>
    <s v="AB102346"/>
    <x v="1"/>
    <n v="233813"/>
    <x v="1"/>
  </r>
  <r>
    <n v="10228"/>
    <n v="4"/>
    <d v="2013-07-27T00:00:00"/>
    <s v="BLU-RAY"/>
    <n v="101333"/>
    <s v="AB102347"/>
    <x v="7"/>
    <n v="233813"/>
    <x v="1"/>
  </r>
  <r>
    <n v="10083"/>
    <n v="3"/>
    <d v="2013-07-28T00:00:00"/>
    <s v="BLU-RAY"/>
    <n v="101334"/>
    <s v="AB102348"/>
    <x v="3"/>
    <n v="233813"/>
    <x v="1"/>
  </r>
  <r>
    <n v="10154"/>
    <n v="1"/>
    <d v="2013-07-28T00:00:00"/>
    <s v="BLU-RAY"/>
    <n v="101334"/>
    <s v="AB102349"/>
    <x v="5"/>
    <n v="233813"/>
    <x v="1"/>
  </r>
  <r>
    <n v="10091"/>
    <n v="8"/>
    <d v="2013-07-28T00:00:00"/>
    <s v="DVD"/>
    <n v="101334"/>
    <s v="AB102350"/>
    <x v="0"/>
    <n v="233813"/>
    <x v="1"/>
  </r>
  <r>
    <n v="10294"/>
    <n v="8"/>
    <d v="2013-07-28T00:00:00"/>
    <s v="DVD"/>
    <n v="101334"/>
    <s v="AB102351"/>
    <x v="2"/>
    <n v="233813"/>
    <x v="1"/>
  </r>
  <r>
    <n v="10245"/>
    <n v="7"/>
    <d v="2013-07-29T00:00:00"/>
    <s v="BLU-RAY"/>
    <n v="101335"/>
    <s v="AB102352"/>
    <x v="0"/>
    <n v="575041"/>
    <x v="1"/>
  </r>
  <r>
    <n v="10175"/>
    <n v="6"/>
    <d v="2013-07-28T00:00:00"/>
    <s v="BLU-RAY"/>
    <n v="101335"/>
    <s v="AB102353"/>
    <x v="3"/>
    <n v="575041"/>
    <x v="1"/>
  </r>
  <r>
    <n v="10077"/>
    <n v="10"/>
    <d v="2013-07-29T00:00:00"/>
    <s v="DVD"/>
    <n v="101336"/>
    <s v="AB102354"/>
    <x v="0"/>
    <n v="197102"/>
    <x v="1"/>
  </r>
  <r>
    <n v="10125"/>
    <n v="1"/>
    <d v="2013-07-28T00:00:00"/>
    <s v="BLU-RAY"/>
    <n v="101337"/>
    <s v="AB102355"/>
    <x v="9"/>
    <n v="706884"/>
    <x v="1"/>
  </r>
  <r>
    <n v="10297"/>
    <n v="1"/>
    <d v="2013-07-30T00:00:00"/>
    <s v="BLU-RAY"/>
    <n v="101337"/>
    <s v="AB102356"/>
    <x v="14"/>
    <n v="706884"/>
    <x v="1"/>
  </r>
  <r>
    <n v="10244"/>
    <n v="1"/>
    <d v="2013-07-28T00:00:00"/>
    <s v="DVD"/>
    <n v="101338"/>
    <s v="AB102357"/>
    <x v="4"/>
    <n v="803700"/>
    <x v="1"/>
  </r>
  <r>
    <n v="10259"/>
    <n v="3"/>
    <d v="2013-07-29T00:00:00"/>
    <s v="BLU-RAY"/>
    <n v="101338"/>
    <s v="AB102358"/>
    <x v="0"/>
    <n v="803700"/>
    <x v="1"/>
  </r>
  <r>
    <n v="10280"/>
    <n v="10"/>
    <d v="2013-07-28T00:00:00"/>
    <s v="BLU-RAY"/>
    <n v="101339"/>
    <s v="AB102359"/>
    <x v="7"/>
    <n v="145929"/>
    <x v="1"/>
  </r>
  <r>
    <n v="10174"/>
    <n v="6"/>
    <d v="2013-07-28T00:00:00"/>
    <s v="BLU-RAY"/>
    <n v="101339"/>
    <s v="AB102360"/>
    <x v="7"/>
    <n v="145929"/>
    <x v="1"/>
  </r>
  <r>
    <n v="10161"/>
    <n v="2"/>
    <d v="2013-07-28T00:00:00"/>
    <s v="DVD"/>
    <n v="101340"/>
    <s v="AB102361"/>
    <x v="6"/>
    <n v="599995"/>
    <x v="1"/>
  </r>
  <r>
    <n v="10083"/>
    <n v="3"/>
    <d v="2013-07-28T00:00:00"/>
    <s v="BLU-RAY"/>
    <n v="101341"/>
    <s v="AB102362"/>
    <x v="3"/>
    <n v="315634"/>
    <x v="1"/>
  </r>
  <r>
    <n v="10188"/>
    <n v="10"/>
    <d v="2013-07-28T00:00:00"/>
    <s v="BLU-RAY"/>
    <n v="101341"/>
    <s v="AB102363"/>
    <x v="1"/>
    <n v="315634"/>
    <x v="1"/>
  </r>
  <r>
    <n v="10296"/>
    <n v="4"/>
    <d v="2013-07-28T00:00:00"/>
    <s v="DVD"/>
    <n v="101341"/>
    <s v="AB102364"/>
    <x v="21"/>
    <n v="315634"/>
    <x v="1"/>
  </r>
  <r>
    <n v="10205"/>
    <n v="10"/>
    <d v="2013-07-28T00:00:00"/>
    <s v="DVD"/>
    <n v="101342"/>
    <s v="AB102365"/>
    <x v="1"/>
    <n v="269687"/>
    <x v="1"/>
  </r>
  <r>
    <n v="10170"/>
    <n v="4"/>
    <d v="2013-07-29T00:00:00"/>
    <s v="BLU-RAY"/>
    <n v="101342"/>
    <s v="AB102366"/>
    <x v="15"/>
    <n v="269687"/>
    <x v="1"/>
  </r>
  <r>
    <n v="10009"/>
    <n v="10"/>
    <d v="2013-07-29T00:00:00"/>
    <s v="BLU-RAY"/>
    <n v="101343"/>
    <s v="AB102367"/>
    <x v="0"/>
    <n v="734624"/>
    <x v="1"/>
  </r>
  <r>
    <n v="10020"/>
    <n v="4"/>
    <d v="2013-07-29T00:00:00"/>
    <s v="DVD"/>
    <n v="101343"/>
    <s v="AB102368"/>
    <x v="16"/>
    <n v="734624"/>
    <x v="1"/>
  </r>
  <r>
    <n v="10188"/>
    <n v="4"/>
    <d v="2013-07-28T00:00:00"/>
    <s v="BLU-RAY"/>
    <n v="101344"/>
    <s v="AB102369"/>
    <x v="1"/>
    <n v="552124"/>
    <x v="1"/>
  </r>
  <r>
    <n v="10273"/>
    <n v="7"/>
    <d v="2013-07-29T00:00:00"/>
    <s v="DVD"/>
    <n v="101345"/>
    <s v="AB102370"/>
    <x v="4"/>
    <n v="238347"/>
    <x v="1"/>
  </r>
  <r>
    <n v="10252"/>
    <n v="1"/>
    <d v="2013-07-29T00:00:00"/>
    <s v="DVD"/>
    <n v="101346"/>
    <s v="AB102371"/>
    <x v="0"/>
    <n v="793987"/>
    <x v="1"/>
  </r>
  <r>
    <n v="10222"/>
    <n v="3"/>
    <d v="2013-07-29T00:00:00"/>
    <s v="DVD"/>
    <n v="101347"/>
    <s v="AB102372"/>
    <x v="4"/>
    <n v="755271"/>
    <x v="1"/>
  </r>
  <r>
    <n v="10233"/>
    <n v="5"/>
    <d v="2013-07-29T00:00:00"/>
    <s v="DVD"/>
    <n v="101347"/>
    <s v="AB102373"/>
    <x v="8"/>
    <n v="755271"/>
    <x v="1"/>
  </r>
  <r>
    <n v="10256"/>
    <n v="7"/>
    <d v="2013-07-29T00:00:00"/>
    <s v="DVD"/>
    <n v="101347"/>
    <s v="AB102374"/>
    <x v="9"/>
    <n v="755271"/>
    <x v="1"/>
  </r>
  <r>
    <n v="10282"/>
    <n v="10"/>
    <d v="2013-07-29T00:00:00"/>
    <s v="DVD"/>
    <n v="101348"/>
    <s v="AB102375"/>
    <x v="15"/>
    <n v="741514"/>
    <x v="1"/>
  </r>
  <r>
    <n v="10180"/>
    <n v="7"/>
    <d v="2013-07-29T00:00:00"/>
    <s v="DVD"/>
    <n v="101349"/>
    <s v="AB102376"/>
    <x v="12"/>
    <n v="974503"/>
    <x v="1"/>
  </r>
  <r>
    <n v="10249"/>
    <n v="10"/>
    <d v="2013-07-30T00:00:00"/>
    <s v="DVD"/>
    <n v="101349"/>
    <s v="AB102377"/>
    <x v="5"/>
    <n v="974503"/>
    <x v="1"/>
  </r>
  <r>
    <n v="10018"/>
    <n v="6"/>
    <d v="2013-07-30T00:00:00"/>
    <s v="DVD"/>
    <n v="101350"/>
    <s v="AB102378"/>
    <x v="9"/>
    <n v="404678"/>
    <x v="1"/>
  </r>
  <r>
    <n v="10143"/>
    <n v="8"/>
    <d v="2013-07-29T00:00:00"/>
    <s v="DVD"/>
    <n v="101351"/>
    <s v="AB102379"/>
    <x v="3"/>
    <n v="791559"/>
    <x v="1"/>
  </r>
  <r>
    <n v="10121"/>
    <n v="6"/>
    <d v="2013-07-29T00:00:00"/>
    <s v="BLU-RAY"/>
    <n v="101351"/>
    <s v="AB102380"/>
    <x v="2"/>
    <n v="791559"/>
    <x v="1"/>
  </r>
  <r>
    <n v="10173"/>
    <n v="4"/>
    <d v="2013-07-30T00:00:00"/>
    <s v="BLU-RAY"/>
    <n v="101352"/>
    <s v="AB102381"/>
    <x v="4"/>
    <n v="885548"/>
    <x v="1"/>
  </r>
  <r>
    <n v="10031"/>
    <n v="8"/>
    <d v="2013-07-29T00:00:00"/>
    <s v="DVD"/>
    <n v="101353"/>
    <s v="AB102382"/>
    <x v="0"/>
    <n v="979679"/>
    <x v="1"/>
  </r>
  <r>
    <n v="10176"/>
    <n v="3"/>
    <d v="2013-07-29T00:00:00"/>
    <s v="BLU-RAY"/>
    <n v="101353"/>
    <s v="AB102383"/>
    <x v="7"/>
    <n v="979679"/>
    <x v="1"/>
  </r>
  <r>
    <n v="10044"/>
    <n v="2"/>
    <d v="2013-07-29T00:00:00"/>
    <s v="BLU-RAY"/>
    <n v="101353"/>
    <s v="AB102384"/>
    <x v="3"/>
    <n v="979679"/>
    <x v="1"/>
  </r>
  <r>
    <n v="10141"/>
    <n v="5"/>
    <d v="2013-07-29T00:00:00"/>
    <s v="DVD"/>
    <n v="101354"/>
    <s v="AB102385"/>
    <x v="0"/>
    <n v="426984"/>
    <x v="1"/>
  </r>
  <r>
    <n v="10223"/>
    <n v="4"/>
    <d v="2013-07-29T00:00:00"/>
    <s v="DVD"/>
    <n v="101355"/>
    <s v="AB102386"/>
    <x v="7"/>
    <n v="270853"/>
    <x v="1"/>
  </r>
  <r>
    <n v="10224"/>
    <n v="5"/>
    <d v="2013-07-30T00:00:00"/>
    <s v="DVD"/>
    <n v="101356"/>
    <s v="AB102387"/>
    <x v="17"/>
    <n v="277310"/>
    <x v="1"/>
  </r>
  <r>
    <n v="10233"/>
    <n v="4"/>
    <d v="2013-07-29T00:00:00"/>
    <s v="DVD"/>
    <n v="101356"/>
    <s v="AB102388"/>
    <x v="8"/>
    <n v="277310"/>
    <x v="1"/>
  </r>
  <r>
    <n v="10248"/>
    <n v="9"/>
    <d v="2013-07-29T00:00:00"/>
    <s v="DVD"/>
    <n v="101356"/>
    <s v="AB102389"/>
    <x v="12"/>
    <n v="277310"/>
    <x v="1"/>
  </r>
  <r>
    <n v="10024"/>
    <n v="9"/>
    <d v="2013-07-29T00:00:00"/>
    <s v="BLU-RAY"/>
    <n v="101357"/>
    <s v="AB102390"/>
    <x v="9"/>
    <n v="524667"/>
    <x v="1"/>
  </r>
  <r>
    <n v="10089"/>
    <n v="4"/>
    <d v="2013-07-30T00:00:00"/>
    <s v="BLU-RAY"/>
    <n v="101357"/>
    <s v="AB102391"/>
    <x v="4"/>
    <n v="524667"/>
    <x v="1"/>
  </r>
  <r>
    <n v="10141"/>
    <n v="2"/>
    <d v="2013-07-31T00:00:00"/>
    <s v="DVD"/>
    <n v="101358"/>
    <s v="AB102392"/>
    <x v="0"/>
    <n v="267632"/>
    <x v="1"/>
  </r>
  <r>
    <n v="10129"/>
    <n v="9"/>
    <d v="2013-07-30T00:00:00"/>
    <s v="BLU-RAY"/>
    <n v="101358"/>
    <s v="AB102393"/>
    <x v="0"/>
    <n v="267632"/>
    <x v="1"/>
  </r>
  <r>
    <n v="10220"/>
    <n v="9"/>
    <d v="2013-07-31T00:00:00"/>
    <s v="BLU-RAY"/>
    <n v="101359"/>
    <s v="AB102394"/>
    <x v="9"/>
    <n v="196068"/>
    <x v="1"/>
  </r>
  <r>
    <n v="10125"/>
    <n v="5"/>
    <d v="2013-07-30T00:00:00"/>
    <s v="BLU-RAY"/>
    <n v="101360"/>
    <s v="AB102395"/>
    <x v="9"/>
    <n v="730305"/>
    <x v="1"/>
  </r>
  <r>
    <n v="10221"/>
    <n v="8"/>
    <d v="2013-07-30T00:00:00"/>
    <s v="DVD"/>
    <n v="101360"/>
    <s v="AB102396"/>
    <x v="9"/>
    <n v="730305"/>
    <x v="1"/>
  </r>
  <r>
    <n v="10214"/>
    <n v="1"/>
    <d v="2013-07-30T00:00:00"/>
    <s v="DVD"/>
    <n v="101361"/>
    <s v="AB102397"/>
    <x v="13"/>
    <n v="185863"/>
    <x v="1"/>
  </r>
  <r>
    <n v="10068"/>
    <n v="1"/>
    <d v="2013-07-30T00:00:00"/>
    <s v="BLU-RAY"/>
    <n v="101361"/>
    <s v="AB102398"/>
    <x v="0"/>
    <n v="185863"/>
    <x v="1"/>
  </r>
  <r>
    <n v="10295"/>
    <n v="3"/>
    <d v="2013-07-30T00:00:00"/>
    <s v="DVD"/>
    <n v="101361"/>
    <s v="AB102399"/>
    <x v="21"/>
    <n v="185863"/>
    <x v="1"/>
  </r>
  <r>
    <n v="10284"/>
    <n v="3"/>
    <d v="2013-07-30T00:00:00"/>
    <s v="DVD"/>
    <n v="101361"/>
    <s v="AB102400"/>
    <x v="14"/>
    <n v="185863"/>
    <x v="1"/>
  </r>
  <r>
    <n v="10139"/>
    <n v="6"/>
    <d v="2013-07-30T00:00:00"/>
    <s v="BLU-RAY"/>
    <n v="101362"/>
    <s v="AB102401"/>
    <x v="14"/>
    <n v="580783"/>
    <x v="1"/>
  </r>
  <r>
    <n v="10282"/>
    <n v="4"/>
    <d v="2013-07-31T00:00:00"/>
    <s v="BLU-RAY"/>
    <n v="101362"/>
    <s v="AB102402"/>
    <x v="15"/>
    <n v="580783"/>
    <x v="1"/>
  </r>
  <r>
    <n v="10157"/>
    <n v="8"/>
    <d v="2013-07-31T00:00:00"/>
    <s v="DVD"/>
    <n v="101363"/>
    <s v="AB102403"/>
    <x v="1"/>
    <n v="921901"/>
    <x v="1"/>
  </r>
  <r>
    <n v="10122"/>
    <n v="9"/>
    <d v="2013-07-30T00:00:00"/>
    <s v="DVD"/>
    <n v="101363"/>
    <s v="AB102404"/>
    <x v="12"/>
    <n v="921901"/>
    <x v="1"/>
  </r>
  <r>
    <n v="10095"/>
    <n v="9"/>
    <d v="2013-07-31T00:00:00"/>
    <s v="DVD"/>
    <n v="101363"/>
    <s v="AB102405"/>
    <x v="2"/>
    <n v="921901"/>
    <x v="1"/>
  </r>
  <r>
    <n v="10184"/>
    <n v="5"/>
    <d v="2013-07-31T00:00:00"/>
    <s v="BLU-RAY"/>
    <n v="101364"/>
    <s v="AB102406"/>
    <x v="7"/>
    <n v="888759"/>
    <x v="1"/>
  </r>
  <r>
    <n v="10268"/>
    <n v="9"/>
    <d v="2013-07-31T00:00:00"/>
    <s v="DVD"/>
    <n v="101364"/>
    <s v="AB102407"/>
    <x v="3"/>
    <n v="888759"/>
    <x v="1"/>
  </r>
  <r>
    <n v="10285"/>
    <n v="6"/>
    <d v="2013-07-31T00:00:00"/>
    <s v="DVD"/>
    <n v="101365"/>
    <s v="AB102408"/>
    <x v="20"/>
    <n v="104939"/>
    <x v="1"/>
  </r>
  <r>
    <n v="10148"/>
    <n v="7"/>
    <d v="2013-07-31T00:00:00"/>
    <s v="DVD"/>
    <n v="101365"/>
    <s v="AB102409"/>
    <x v="1"/>
    <n v="104939"/>
    <x v="1"/>
  </r>
  <r>
    <n v="10145"/>
    <n v="5"/>
    <d v="2013-07-30T00:00:00"/>
    <s v="DVD"/>
    <n v="101366"/>
    <s v="AB102410"/>
    <x v="6"/>
    <n v="202612"/>
    <x v="1"/>
  </r>
  <r>
    <n v="10076"/>
    <n v="7"/>
    <d v="2013-07-30T00:00:00"/>
    <s v="DVD"/>
    <n v="101366"/>
    <s v="AB102411"/>
    <x v="4"/>
    <n v="202612"/>
    <x v="1"/>
  </r>
  <r>
    <n v="10025"/>
    <n v="2"/>
    <d v="2013-07-31T00:00:00"/>
    <s v="BLU-RAY"/>
    <n v="101367"/>
    <s v="AB102412"/>
    <x v="4"/>
    <n v="745543"/>
    <x v="1"/>
  </r>
  <r>
    <n v="10174"/>
    <n v="3"/>
    <d v="2013-07-30T00:00:00"/>
    <s v="BLU-RAY"/>
    <n v="101368"/>
    <s v="AB102413"/>
    <x v="7"/>
    <n v="550824"/>
    <x v="1"/>
  </r>
  <r>
    <n v="10185"/>
    <n v="7"/>
    <d v="2013-07-31T00:00:00"/>
    <s v="DVD"/>
    <n v="101369"/>
    <s v="AB102414"/>
    <x v="0"/>
    <n v="999915"/>
    <x v="1"/>
  </r>
  <r>
    <n v="10220"/>
    <n v="7"/>
    <d v="2013-07-30T00:00:00"/>
    <s v="DVD"/>
    <n v="101369"/>
    <s v="AB102415"/>
    <x v="9"/>
    <n v="999915"/>
    <x v="1"/>
  </r>
  <r>
    <n v="10248"/>
    <n v="5"/>
    <d v="2013-07-31T00:00:00"/>
    <s v="BLU-RAY"/>
    <n v="101370"/>
    <s v="AB102416"/>
    <x v="12"/>
    <n v="994185"/>
    <x v="1"/>
  </r>
  <r>
    <n v="10291"/>
    <n v="6"/>
    <d v="2013-07-31T00:00:00"/>
    <s v="BLU-RAY"/>
    <n v="101370"/>
    <s v="AB102417"/>
    <x v="0"/>
    <n v="994185"/>
    <x v="1"/>
  </r>
  <r>
    <n v="10032"/>
    <n v="2"/>
    <d v="2013-08-01T00:00:00"/>
    <s v="DVD"/>
    <n v="101371"/>
    <s v="AB102418"/>
    <x v="4"/>
    <n v="218889"/>
    <x v="1"/>
  </r>
  <r>
    <n v="10109"/>
    <n v="4"/>
    <d v="2013-07-31T00:00:00"/>
    <s v="BLU-RAY"/>
    <n v="101372"/>
    <s v="AB102419"/>
    <x v="0"/>
    <n v="304344"/>
    <x v="1"/>
  </r>
  <r>
    <n v="10087"/>
    <n v="4"/>
    <d v="2013-08-01T00:00:00"/>
    <s v="BLU-RAY"/>
    <n v="101372"/>
    <s v="AB102420"/>
    <x v="10"/>
    <n v="304344"/>
    <x v="1"/>
  </r>
  <r>
    <n v="10188"/>
    <n v="8"/>
    <d v="2013-07-31T00:00:00"/>
    <s v="BLU-RAY"/>
    <n v="101373"/>
    <s v="AB102421"/>
    <x v="1"/>
    <n v="347659"/>
    <x v="1"/>
  </r>
  <r>
    <n v="10176"/>
    <n v="6"/>
    <d v="2013-07-31T00:00:00"/>
    <s v="BLU-RAY"/>
    <n v="101374"/>
    <s v="AB102422"/>
    <x v="7"/>
    <n v="680104"/>
    <x v="1"/>
  </r>
  <r>
    <n v="10011"/>
    <n v="1"/>
    <d v="2013-07-31T00:00:00"/>
    <s v="BLU-RAY"/>
    <n v="101375"/>
    <s v="AB102423"/>
    <x v="3"/>
    <n v="841141"/>
    <x v="1"/>
  </r>
  <r>
    <n v="10099"/>
    <n v="2"/>
    <d v="2013-08-02T00:00:00"/>
    <s v="DVD"/>
    <n v="101375"/>
    <s v="AB102424"/>
    <x v="10"/>
    <n v="841141"/>
    <x v="1"/>
  </r>
  <r>
    <n v="10133"/>
    <n v="1"/>
    <d v="2013-08-01T00:00:00"/>
    <s v="DVD"/>
    <n v="101376"/>
    <s v="AB102425"/>
    <x v="9"/>
    <n v="469564"/>
    <x v="1"/>
  </r>
  <r>
    <n v="10098"/>
    <n v="1"/>
    <d v="2013-07-31T00:00:00"/>
    <s v="BLU-RAY"/>
    <n v="101376"/>
    <s v="AB102426"/>
    <x v="0"/>
    <n v="469564"/>
    <x v="1"/>
  </r>
  <r>
    <n v="10018"/>
    <n v="5"/>
    <d v="2013-07-31T00:00:00"/>
    <s v="DVD"/>
    <n v="101376"/>
    <s v="AB102427"/>
    <x v="9"/>
    <n v="469564"/>
    <x v="1"/>
  </r>
  <r>
    <n v="10166"/>
    <n v="9"/>
    <d v="2013-07-31T00:00:00"/>
    <s v="BLU-RAY"/>
    <n v="101376"/>
    <s v="AB102428"/>
    <x v="9"/>
    <n v="469564"/>
    <x v="1"/>
  </r>
  <r>
    <n v="10111"/>
    <n v="4"/>
    <d v="2013-07-31T00:00:00"/>
    <s v="BLU-RAY"/>
    <n v="101376"/>
    <s v="AB102429"/>
    <x v="9"/>
    <n v="469564"/>
    <x v="1"/>
  </r>
  <r>
    <n v="10063"/>
    <n v="1"/>
    <d v="2013-07-31T00:00:00"/>
    <s v="DVD"/>
    <n v="101377"/>
    <s v="AB102430"/>
    <x v="18"/>
    <n v="256181"/>
    <x v="1"/>
  </r>
  <r>
    <n v="10252"/>
    <n v="8"/>
    <d v="2013-07-31T00:00:00"/>
    <s v="DVD"/>
    <n v="101378"/>
    <s v="AB102431"/>
    <x v="0"/>
    <n v="795957"/>
    <x v="1"/>
  </r>
  <r>
    <n v="10042"/>
    <n v="3"/>
    <d v="2013-07-31T00:00:00"/>
    <s v="DVD"/>
    <n v="101379"/>
    <s v="AB102432"/>
    <x v="1"/>
    <n v="552124"/>
    <x v="1"/>
  </r>
  <r>
    <n v="10096"/>
    <n v="1"/>
    <d v="2013-07-31T00:00:00"/>
    <s v="BLU-RAY"/>
    <n v="101379"/>
    <s v="AB102433"/>
    <x v="7"/>
    <n v="552124"/>
    <x v="1"/>
  </r>
  <r>
    <n v="10237"/>
    <n v="3"/>
    <d v="2013-07-31T00:00:00"/>
    <s v="BLU-RAY"/>
    <n v="101379"/>
    <s v="AB102434"/>
    <x v="0"/>
    <n v="552124"/>
    <x v="1"/>
  </r>
  <r>
    <n v="10131"/>
    <n v="10"/>
    <d v="2013-08-01T00:00:00"/>
    <s v="DVD"/>
    <n v="101380"/>
    <s v="AB102435"/>
    <x v="0"/>
    <n v="267632"/>
    <x v="1"/>
  </r>
  <r>
    <n v="10122"/>
    <n v="3"/>
    <d v="2013-07-31T00:00:00"/>
    <s v="BLU-RAY"/>
    <n v="101380"/>
    <s v="AB102436"/>
    <x v="12"/>
    <n v="267632"/>
    <x v="1"/>
  </r>
  <r>
    <n v="10175"/>
    <n v="10"/>
    <d v="2013-07-31T00:00:00"/>
    <s v="DVD"/>
    <n v="101381"/>
    <s v="AB102437"/>
    <x v="3"/>
    <n v="926289"/>
    <x v="1"/>
  </r>
  <r>
    <n v="10290"/>
    <n v="9"/>
    <d v="2013-07-31T00:00:00"/>
    <s v="DVD"/>
    <n v="101381"/>
    <s v="AB102438"/>
    <x v="2"/>
    <n v="926289"/>
    <x v="1"/>
  </r>
  <r>
    <n v="10008"/>
    <n v="9"/>
    <d v="2013-07-31T00:00:00"/>
    <s v="BLU-RAY"/>
    <n v="101382"/>
    <s v="AB102439"/>
    <x v="4"/>
    <n v="491380"/>
    <x v="1"/>
  </r>
  <r>
    <n v="10028"/>
    <n v="2"/>
    <d v="2013-07-31T00:00:00"/>
    <s v="DVD"/>
    <n v="101382"/>
    <s v="AB102440"/>
    <x v="5"/>
    <n v="491380"/>
    <x v="1"/>
  </r>
  <r>
    <n v="10120"/>
    <n v="3"/>
    <d v="2013-07-31T00:00:00"/>
    <s v="DVD"/>
    <n v="101383"/>
    <s v="AB102441"/>
    <x v="14"/>
    <n v="924947"/>
    <x v="1"/>
  </r>
  <r>
    <n v="10040"/>
    <n v="4"/>
    <d v="2013-07-31T00:00:00"/>
    <s v="BLU-RAY"/>
    <n v="101384"/>
    <s v="AB102442"/>
    <x v="7"/>
    <n v="702197"/>
    <x v="1"/>
  </r>
  <r>
    <n v="10063"/>
    <n v="1"/>
    <d v="2013-07-31T00:00:00"/>
    <s v="BLU-RAY"/>
    <n v="101384"/>
    <s v="AB102443"/>
    <x v="18"/>
    <n v="702197"/>
    <x v="1"/>
  </r>
  <r>
    <n v="10207"/>
    <n v="8"/>
    <d v="2013-07-31T00:00:00"/>
    <s v="BLU-RAY"/>
    <n v="101384"/>
    <s v="AB102444"/>
    <x v="1"/>
    <n v="702197"/>
    <x v="1"/>
  </r>
  <r>
    <n v="10229"/>
    <n v="1"/>
    <d v="2013-08-02T00:00:00"/>
    <s v="DVD"/>
    <n v="101385"/>
    <s v="AB102445"/>
    <x v="6"/>
    <n v="266633"/>
    <x v="1"/>
  </r>
  <r>
    <n v="10101"/>
    <n v="6"/>
    <d v="2013-08-02T00:00:00"/>
    <s v="BLU-RAY"/>
    <n v="101386"/>
    <s v="AB102446"/>
    <x v="4"/>
    <n v="611848"/>
    <x v="1"/>
  </r>
  <r>
    <n v="10052"/>
    <n v="3"/>
    <d v="2013-08-02T00:00:00"/>
    <s v="BLU-RAY"/>
    <n v="101387"/>
    <s v="AB102447"/>
    <x v="0"/>
    <n v="996970"/>
    <x v="1"/>
  </r>
  <r>
    <n v="10106"/>
    <n v="3"/>
    <d v="2013-08-02T00:00:00"/>
    <s v="DVD"/>
    <n v="101388"/>
    <s v="AB102448"/>
    <x v="9"/>
    <n v="599995"/>
    <x v="1"/>
  </r>
  <r>
    <n v="10290"/>
    <n v="1"/>
    <d v="2013-08-01T00:00:00"/>
    <s v="DVD"/>
    <n v="101388"/>
    <s v="AB102449"/>
    <x v="2"/>
    <n v="599995"/>
    <x v="1"/>
  </r>
  <r>
    <n v="10189"/>
    <n v="1"/>
    <d v="2013-08-01T00:00:00"/>
    <s v="DVD"/>
    <n v="101389"/>
    <s v="AB102450"/>
    <x v="7"/>
    <n v="345348"/>
    <x v="1"/>
  </r>
  <r>
    <n v="10288"/>
    <n v="3"/>
    <d v="2013-08-01T00:00:00"/>
    <s v="DVD"/>
    <n v="101389"/>
    <s v="AB102451"/>
    <x v="12"/>
    <n v="345348"/>
    <x v="1"/>
  </r>
  <r>
    <n v="10053"/>
    <n v="9"/>
    <d v="2013-08-01T00:00:00"/>
    <s v="BLU-RAY"/>
    <n v="101390"/>
    <s v="AB102452"/>
    <x v="4"/>
    <n v="756928"/>
    <x v="1"/>
  </r>
  <r>
    <n v="10180"/>
    <n v="5"/>
    <d v="2013-08-01T00:00:00"/>
    <s v="DVD"/>
    <n v="101391"/>
    <s v="AB102453"/>
    <x v="12"/>
    <n v="216081"/>
    <x v="1"/>
  </r>
  <r>
    <n v="10291"/>
    <n v="1"/>
    <d v="2013-08-01T00:00:00"/>
    <s v="BLU-RAY"/>
    <n v="101391"/>
    <s v="AB102454"/>
    <x v="0"/>
    <n v="216081"/>
    <x v="1"/>
  </r>
  <r>
    <n v="10031"/>
    <n v="4"/>
    <d v="2013-08-01T00:00:00"/>
    <s v="DVD"/>
    <n v="101392"/>
    <s v="AB102455"/>
    <x v="0"/>
    <n v="918682"/>
    <x v="1"/>
  </r>
  <r>
    <n v="10234"/>
    <n v="10"/>
    <d v="2013-08-02T00:00:00"/>
    <s v="DVD"/>
    <n v="101393"/>
    <s v="AB102456"/>
    <x v="0"/>
    <n v="995599"/>
    <x v="1"/>
  </r>
  <r>
    <n v="10017"/>
    <n v="3"/>
    <d v="2013-08-01T00:00:00"/>
    <s v="BLU-RAY"/>
    <n v="101394"/>
    <s v="AB102457"/>
    <x v="4"/>
    <n v="689877"/>
    <x v="1"/>
  </r>
  <r>
    <n v="10143"/>
    <n v="4"/>
    <d v="2013-08-01T00:00:00"/>
    <s v="BLU-RAY"/>
    <n v="101395"/>
    <s v="AB102458"/>
    <x v="3"/>
    <n v="660634"/>
    <x v="1"/>
  </r>
  <r>
    <n v="10197"/>
    <n v="3"/>
    <d v="2013-08-01T00:00:00"/>
    <s v="DVD"/>
    <n v="101395"/>
    <s v="AB102459"/>
    <x v="0"/>
    <n v="660634"/>
    <x v="1"/>
  </r>
  <r>
    <n v="10059"/>
    <n v="3"/>
    <d v="2013-08-01T00:00:00"/>
    <s v="DVD"/>
    <n v="101396"/>
    <s v="AB102460"/>
    <x v="7"/>
    <n v="593317"/>
    <x v="1"/>
  </r>
  <r>
    <n v="10263"/>
    <n v="7"/>
    <d v="2013-08-03T00:00:00"/>
    <s v="BLU-RAY"/>
    <n v="101397"/>
    <s v="AB102461"/>
    <x v="9"/>
    <n v="458448"/>
    <x v="1"/>
  </r>
  <r>
    <n v="10119"/>
    <n v="1"/>
    <d v="2013-08-02T00:00:00"/>
    <s v="DVD"/>
    <n v="101398"/>
    <s v="AB102462"/>
    <x v="7"/>
    <n v="448739"/>
    <x v="1"/>
  </r>
  <r>
    <n v="10156"/>
    <n v="9"/>
    <d v="2013-08-04T00:00:00"/>
    <s v="DVD"/>
    <n v="101399"/>
    <s v="AB102463"/>
    <x v="3"/>
    <n v="193968"/>
    <x v="1"/>
  </r>
  <r>
    <n v="10226"/>
    <n v="5"/>
    <d v="2013-08-03T00:00:00"/>
    <s v="DVD"/>
    <n v="101399"/>
    <s v="AB102464"/>
    <x v="4"/>
    <n v="193968"/>
    <x v="1"/>
  </r>
  <r>
    <n v="10056"/>
    <n v="10"/>
    <d v="2013-08-03T00:00:00"/>
    <s v="BLU-RAY"/>
    <n v="101399"/>
    <s v="AB102465"/>
    <x v="8"/>
    <n v="193968"/>
    <x v="1"/>
  </r>
  <r>
    <n v="10274"/>
    <n v="4"/>
    <d v="2013-08-02T00:00:00"/>
    <s v="BLU-RAY"/>
    <n v="101400"/>
    <s v="AB102466"/>
    <x v="9"/>
    <n v="306853"/>
    <x v="1"/>
  </r>
  <r>
    <n v="10026"/>
    <n v="1"/>
    <d v="2013-08-05T00:00:00"/>
    <s v="BLU-RAY"/>
    <n v="101400"/>
    <s v="AB102467"/>
    <x v="9"/>
    <n v="306853"/>
    <x v="1"/>
  </r>
  <r>
    <n v="10210"/>
    <n v="9"/>
    <d v="2013-08-02T00:00:00"/>
    <s v="BLU-RAY"/>
    <n v="101400"/>
    <s v="AB102468"/>
    <x v="4"/>
    <n v="306853"/>
    <x v="1"/>
  </r>
  <r>
    <n v="10000"/>
    <n v="3"/>
    <d v="2013-08-02T00:00:00"/>
    <s v="BLU-RAY"/>
    <n v="101401"/>
    <s v="AB102469"/>
    <x v="6"/>
    <n v="803700"/>
    <x v="1"/>
  </r>
  <r>
    <n v="10276"/>
    <n v="2"/>
    <d v="2013-08-02T00:00:00"/>
    <s v="DVD"/>
    <n v="101402"/>
    <s v="AB102470"/>
    <x v="16"/>
    <n v="425051"/>
    <x v="1"/>
  </r>
  <r>
    <n v="10294"/>
    <n v="4"/>
    <d v="2013-08-02T00:00:00"/>
    <s v="BLU-RAY"/>
    <n v="101402"/>
    <s v="AB102471"/>
    <x v="2"/>
    <n v="425051"/>
    <x v="1"/>
  </r>
  <r>
    <n v="10155"/>
    <n v="7"/>
    <d v="2013-08-02T00:00:00"/>
    <s v="DVD"/>
    <n v="101402"/>
    <s v="AB102472"/>
    <x v="9"/>
    <n v="425051"/>
    <x v="1"/>
  </r>
  <r>
    <n v="10284"/>
    <n v="3"/>
    <d v="2013-08-02T00:00:00"/>
    <s v="BLU-RAY"/>
    <n v="101403"/>
    <s v="AB102473"/>
    <x v="14"/>
    <n v="736500"/>
    <x v="1"/>
  </r>
  <r>
    <n v="10127"/>
    <n v="10"/>
    <d v="2013-08-02T00:00:00"/>
    <s v="BLU-RAY"/>
    <n v="101404"/>
    <s v="AB102474"/>
    <x v="6"/>
    <n v="766737"/>
    <x v="1"/>
  </r>
  <r>
    <n v="10206"/>
    <n v="8"/>
    <d v="2013-08-02T00:00:00"/>
    <s v="DVD"/>
    <n v="101404"/>
    <s v="AB102475"/>
    <x v="9"/>
    <n v="766737"/>
    <x v="1"/>
  </r>
  <r>
    <n v="10180"/>
    <n v="4"/>
    <d v="2013-08-02T00:00:00"/>
    <s v="DVD"/>
    <n v="101405"/>
    <s v="AB102476"/>
    <x v="12"/>
    <n v="193914"/>
    <x v="1"/>
  </r>
  <r>
    <n v="10007"/>
    <n v="1"/>
    <d v="2013-08-03T00:00:00"/>
    <s v="BLU-RAY"/>
    <n v="101405"/>
    <s v="AB102477"/>
    <x v="4"/>
    <n v="193914"/>
    <x v="1"/>
  </r>
  <r>
    <n v="10172"/>
    <n v="8"/>
    <d v="2013-08-02T00:00:00"/>
    <s v="DVD"/>
    <n v="101406"/>
    <s v="AB102478"/>
    <x v="10"/>
    <n v="890651"/>
    <x v="1"/>
  </r>
  <r>
    <n v="10242"/>
    <n v="4"/>
    <d v="2013-08-03T00:00:00"/>
    <s v="BLU-RAY"/>
    <n v="101407"/>
    <s v="AB102479"/>
    <x v="3"/>
    <n v="500828"/>
    <x v="1"/>
  </r>
  <r>
    <n v="10261"/>
    <n v="10"/>
    <d v="2013-08-02T00:00:00"/>
    <s v="BLU-RAY"/>
    <n v="101407"/>
    <s v="AB102480"/>
    <x v="9"/>
    <n v="500828"/>
    <x v="1"/>
  </r>
  <r>
    <n v="10005"/>
    <n v="8"/>
    <d v="2013-08-02T00:00:00"/>
    <s v="BLU-RAY"/>
    <n v="101407"/>
    <s v="AB102481"/>
    <x v="3"/>
    <n v="500828"/>
    <x v="1"/>
  </r>
  <r>
    <n v="10016"/>
    <n v="1"/>
    <d v="2013-08-04T00:00:00"/>
    <s v="BLU-RAY"/>
    <n v="101408"/>
    <s v="AB102482"/>
    <x v="7"/>
    <n v="833180"/>
    <x v="1"/>
  </r>
  <r>
    <n v="10020"/>
    <n v="4"/>
    <d v="2013-08-02T00:00:00"/>
    <s v="DVD"/>
    <n v="101408"/>
    <s v="AB102483"/>
    <x v="16"/>
    <n v="833180"/>
    <x v="1"/>
  </r>
  <r>
    <n v="10033"/>
    <n v="6"/>
    <d v="2013-08-03T00:00:00"/>
    <s v="BLU-RAY"/>
    <n v="101409"/>
    <s v="AB102484"/>
    <x v="10"/>
    <n v="974503"/>
    <x v="1"/>
  </r>
  <r>
    <n v="10007"/>
    <n v="1"/>
    <d v="2013-08-03T00:00:00"/>
    <s v="BLU-RAY"/>
    <n v="101409"/>
    <s v="AB102485"/>
    <x v="4"/>
    <n v="974503"/>
    <x v="1"/>
  </r>
  <r>
    <n v="10130"/>
    <n v="3"/>
    <d v="2013-08-03T00:00:00"/>
    <s v="BLU-RAY"/>
    <n v="101410"/>
    <s v="AB102486"/>
    <x v="21"/>
    <n v="599995"/>
    <x v="1"/>
  </r>
  <r>
    <n v="10065"/>
    <n v="3"/>
    <d v="2013-08-04T00:00:00"/>
    <s v="BLU-RAY"/>
    <n v="101411"/>
    <s v="AB102487"/>
    <x v="0"/>
    <n v="196068"/>
    <x v="1"/>
  </r>
  <r>
    <n v="10262"/>
    <n v="9"/>
    <d v="2013-08-03T00:00:00"/>
    <s v="BLU-RAY"/>
    <n v="101412"/>
    <s v="AB102488"/>
    <x v="10"/>
    <n v="241144"/>
    <x v="1"/>
  </r>
  <r>
    <n v="10199"/>
    <n v="8"/>
    <d v="2013-08-03T00:00:00"/>
    <s v="DVD"/>
    <n v="101412"/>
    <s v="AB102489"/>
    <x v="10"/>
    <n v="241144"/>
    <x v="1"/>
  </r>
  <r>
    <n v="10100"/>
    <n v="2"/>
    <d v="2013-08-03T00:00:00"/>
    <s v="DVD"/>
    <n v="101413"/>
    <s v="AB102490"/>
    <x v="9"/>
    <n v="694281"/>
    <x v="1"/>
  </r>
  <r>
    <n v="10116"/>
    <n v="4"/>
    <d v="2013-08-04T00:00:00"/>
    <s v="BLU-RAY"/>
    <n v="101414"/>
    <s v="AB102491"/>
    <x v="7"/>
    <n v="199895"/>
    <x v="1"/>
  </r>
  <r>
    <n v="10012"/>
    <n v="3"/>
    <d v="2013-08-03T00:00:00"/>
    <s v="DVD"/>
    <n v="101414"/>
    <s v="AB102492"/>
    <x v="3"/>
    <n v="199895"/>
    <x v="1"/>
  </r>
  <r>
    <n v="10269"/>
    <n v="9"/>
    <d v="2013-08-03T00:00:00"/>
    <s v="BLU-RAY"/>
    <n v="101415"/>
    <s v="AB102493"/>
    <x v="3"/>
    <n v="999915"/>
    <x v="1"/>
  </r>
  <r>
    <n v="10249"/>
    <n v="9"/>
    <d v="2013-08-03T00:00:00"/>
    <s v="BLU-RAY"/>
    <n v="101415"/>
    <s v="AB102494"/>
    <x v="5"/>
    <n v="999915"/>
    <x v="1"/>
  </r>
  <r>
    <n v="10208"/>
    <n v="6"/>
    <d v="2013-08-03T00:00:00"/>
    <s v="DVD"/>
    <n v="101415"/>
    <s v="AB102495"/>
    <x v="0"/>
    <n v="999915"/>
    <x v="1"/>
  </r>
  <r>
    <n v="10221"/>
    <n v="7"/>
    <d v="2013-08-03T00:00:00"/>
    <s v="BLU-RAY"/>
    <n v="101416"/>
    <s v="AB102496"/>
    <x v="9"/>
    <n v="739669"/>
    <x v="1"/>
  </r>
  <r>
    <n v="10141"/>
    <n v="10"/>
    <d v="2013-08-03T00:00:00"/>
    <s v="BLU-RAY"/>
    <n v="101417"/>
    <s v="AB102497"/>
    <x v="0"/>
    <n v="628132"/>
    <x v="1"/>
  </r>
  <r>
    <n v="10120"/>
    <n v="7"/>
    <d v="2013-08-04T00:00:00"/>
    <s v="BLU-RAY"/>
    <n v="101418"/>
    <s v="AB102498"/>
    <x v="14"/>
    <n v="173125"/>
    <x v="1"/>
  </r>
  <r>
    <n v="10284"/>
    <n v="9"/>
    <d v="2013-08-03T00:00:00"/>
    <s v="DVD"/>
    <n v="101418"/>
    <s v="AB102499"/>
    <x v="14"/>
    <n v="173125"/>
    <x v="1"/>
  </r>
  <r>
    <n v="10237"/>
    <n v="5"/>
    <d v="2013-08-03T00:00:00"/>
    <s v="BLU-RAY"/>
    <n v="101419"/>
    <s v="AB102500"/>
    <x v="0"/>
    <n v="116934"/>
    <x v="1"/>
  </r>
  <r>
    <n v="10138"/>
    <n v="8"/>
    <d v="2013-08-05T00:00:00"/>
    <s v="DVD"/>
    <n v="101419"/>
    <s v="AB102501"/>
    <x v="7"/>
    <n v="116934"/>
    <x v="1"/>
  </r>
  <r>
    <n v="10056"/>
    <n v="5"/>
    <d v="2013-08-03T00:00:00"/>
    <s v="DVD"/>
    <n v="101419"/>
    <s v="AB102502"/>
    <x v="8"/>
    <n v="116934"/>
    <x v="1"/>
  </r>
  <r>
    <n v="10146"/>
    <n v="5"/>
    <d v="2013-08-04T00:00:00"/>
    <s v="BLU-RAY"/>
    <n v="101419"/>
    <s v="AB102503"/>
    <x v="4"/>
    <n v="116934"/>
    <x v="1"/>
  </r>
  <r>
    <n v="10151"/>
    <n v="1"/>
    <d v="2013-08-04T00:00:00"/>
    <s v="DVD"/>
    <n v="101419"/>
    <s v="AB102504"/>
    <x v="8"/>
    <n v="116934"/>
    <x v="1"/>
  </r>
  <r>
    <n v="10209"/>
    <n v="4"/>
    <d v="2013-08-04T00:00:00"/>
    <s v="BLU-RAY"/>
    <n v="101420"/>
    <s v="AB102505"/>
    <x v="7"/>
    <n v="776775"/>
    <x v="1"/>
  </r>
  <r>
    <n v="10091"/>
    <n v="6"/>
    <d v="2013-08-04T00:00:00"/>
    <s v="DVD"/>
    <n v="101421"/>
    <s v="AB102506"/>
    <x v="0"/>
    <n v="196068"/>
    <x v="1"/>
  </r>
  <r>
    <n v="10251"/>
    <n v="6"/>
    <d v="2013-08-05T00:00:00"/>
    <s v="DVD"/>
    <n v="101421"/>
    <s v="AB102507"/>
    <x v="7"/>
    <n v="196068"/>
    <x v="1"/>
  </r>
  <r>
    <n v="10136"/>
    <n v="3"/>
    <d v="2013-08-04T00:00:00"/>
    <s v="DVD"/>
    <n v="101422"/>
    <s v="AB102508"/>
    <x v="2"/>
    <n v="741398"/>
    <x v="1"/>
  </r>
  <r>
    <n v="10235"/>
    <n v="2"/>
    <d v="2013-08-04T00:00:00"/>
    <s v="BLU-RAY"/>
    <n v="101422"/>
    <s v="AB102509"/>
    <x v="10"/>
    <n v="741398"/>
    <x v="1"/>
  </r>
  <r>
    <n v="10244"/>
    <n v="3"/>
    <d v="2013-08-04T00:00:00"/>
    <s v="DVD"/>
    <n v="101423"/>
    <s v="AB102510"/>
    <x v="4"/>
    <n v="425051"/>
    <x v="1"/>
  </r>
  <r>
    <n v="10069"/>
    <n v="6"/>
    <d v="2013-08-04T00:00:00"/>
    <s v="DVD"/>
    <n v="101424"/>
    <s v="AB102511"/>
    <x v="0"/>
    <n v="643214"/>
    <x v="1"/>
  </r>
  <r>
    <n v="10210"/>
    <n v="9"/>
    <d v="2013-08-04T00:00:00"/>
    <s v="BLU-RAY"/>
    <n v="101424"/>
    <s v="AB102512"/>
    <x v="4"/>
    <n v="643214"/>
    <x v="1"/>
  </r>
  <r>
    <n v="10156"/>
    <n v="3"/>
    <d v="2013-08-05T00:00:00"/>
    <s v="DVD"/>
    <n v="101424"/>
    <s v="AB102513"/>
    <x v="3"/>
    <n v="643214"/>
    <x v="1"/>
  </r>
  <r>
    <n v="10174"/>
    <n v="2"/>
    <d v="2013-08-04T00:00:00"/>
    <s v="DVD"/>
    <n v="101425"/>
    <s v="AB102514"/>
    <x v="7"/>
    <n v="798336"/>
    <x v="1"/>
  </r>
  <r>
    <n v="10264"/>
    <n v="10"/>
    <d v="2013-08-04T00:00:00"/>
    <s v="DVD"/>
    <n v="101426"/>
    <s v="AB102515"/>
    <x v="2"/>
    <n v="847289"/>
    <x v="1"/>
  </r>
  <r>
    <n v="10283"/>
    <n v="4"/>
    <d v="2013-08-06T00:00:00"/>
    <s v="DVD"/>
    <n v="101427"/>
    <s v="AB102516"/>
    <x v="6"/>
    <n v="385115"/>
    <x v="1"/>
  </r>
  <r>
    <n v="10257"/>
    <n v="9"/>
    <d v="2013-08-04T00:00:00"/>
    <s v="BLU-RAY"/>
    <n v="101427"/>
    <s v="AB102517"/>
    <x v="9"/>
    <n v="385115"/>
    <x v="1"/>
  </r>
  <r>
    <n v="10076"/>
    <n v="3"/>
    <d v="2013-08-04T00:00:00"/>
    <s v="BLU-RAY"/>
    <n v="101427"/>
    <s v="AB102518"/>
    <x v="4"/>
    <n v="385115"/>
    <x v="1"/>
  </r>
  <r>
    <n v="10058"/>
    <n v="3"/>
    <d v="2013-08-04T00:00:00"/>
    <s v="DVD"/>
    <n v="101428"/>
    <s v="AB102519"/>
    <x v="4"/>
    <n v="344702"/>
    <x v="1"/>
  </r>
  <r>
    <n v="10059"/>
    <n v="7"/>
    <d v="2013-08-05T00:00:00"/>
    <s v="BLU-RAY"/>
    <n v="101428"/>
    <s v="AB102520"/>
    <x v="7"/>
    <n v="344702"/>
    <x v="1"/>
  </r>
  <r>
    <n v="10136"/>
    <n v="9"/>
    <d v="2013-08-05T00:00:00"/>
    <s v="BLU-RAY"/>
    <n v="101428"/>
    <s v="AB102521"/>
    <x v="2"/>
    <n v="344702"/>
    <x v="1"/>
  </r>
  <r>
    <n v="10157"/>
    <n v="4"/>
    <d v="2013-08-04T00:00:00"/>
    <s v="DVD"/>
    <n v="101428"/>
    <s v="AB102522"/>
    <x v="1"/>
    <n v="344702"/>
    <x v="1"/>
  </r>
  <r>
    <n v="10202"/>
    <n v="7"/>
    <d v="2013-08-04T00:00:00"/>
    <s v="DVD"/>
    <n v="101429"/>
    <s v="AB102523"/>
    <x v="0"/>
    <n v="448993"/>
    <x v="1"/>
  </r>
  <r>
    <n v="10265"/>
    <n v="10"/>
    <d v="2013-08-05T00:00:00"/>
    <s v="DVD"/>
    <n v="101430"/>
    <s v="AB102524"/>
    <x v="0"/>
    <n v="676155"/>
    <x v="1"/>
  </r>
  <r>
    <n v="10156"/>
    <n v="8"/>
    <d v="2013-08-05T00:00:00"/>
    <s v="DVD"/>
    <n v="101430"/>
    <s v="AB102525"/>
    <x v="3"/>
    <n v="676155"/>
    <x v="1"/>
  </r>
  <r>
    <n v="10184"/>
    <n v="7"/>
    <d v="2013-08-05T00:00:00"/>
    <s v="DVD"/>
    <n v="101431"/>
    <s v="AB102526"/>
    <x v="7"/>
    <n v="517477"/>
    <x v="1"/>
  </r>
  <r>
    <n v="10151"/>
    <n v="1"/>
    <d v="2013-08-06T00:00:00"/>
    <s v="DVD"/>
    <n v="101432"/>
    <s v="AB102527"/>
    <x v="8"/>
    <n v="412544"/>
    <x v="1"/>
  </r>
  <r>
    <n v="10282"/>
    <n v="8"/>
    <d v="2013-08-05T00:00:00"/>
    <s v="DVD"/>
    <n v="101433"/>
    <s v="AB102528"/>
    <x v="15"/>
    <n v="944523"/>
    <x v="1"/>
  </r>
  <r>
    <n v="10166"/>
    <n v="10"/>
    <d v="2013-08-05T00:00:00"/>
    <s v="BLU-RAY"/>
    <n v="101433"/>
    <s v="AB102529"/>
    <x v="9"/>
    <n v="944523"/>
    <x v="1"/>
  </r>
  <r>
    <n v="10236"/>
    <n v="9"/>
    <d v="2013-08-06T00:00:00"/>
    <s v="DVD"/>
    <n v="101433"/>
    <s v="AB102530"/>
    <x v="10"/>
    <n v="944523"/>
    <x v="1"/>
  </r>
  <r>
    <n v="10041"/>
    <n v="1"/>
    <d v="2013-08-05T00:00:00"/>
    <s v="DVD"/>
    <n v="101434"/>
    <s v="AB102531"/>
    <x v="10"/>
    <n v="363931"/>
    <x v="1"/>
  </r>
  <r>
    <n v="10109"/>
    <n v="5"/>
    <d v="2013-08-05T00:00:00"/>
    <s v="DVD"/>
    <n v="101434"/>
    <s v="AB102532"/>
    <x v="0"/>
    <n v="363931"/>
    <x v="1"/>
  </r>
  <r>
    <n v="10134"/>
    <n v="6"/>
    <d v="2013-08-05T00:00:00"/>
    <s v="BLU-RAY"/>
    <n v="101435"/>
    <s v="AB102533"/>
    <x v="7"/>
    <n v="305005"/>
    <x v="1"/>
  </r>
  <r>
    <n v="10238"/>
    <n v="2"/>
    <d v="2013-08-05T00:00:00"/>
    <s v="BLU-RAY"/>
    <n v="101436"/>
    <s v="AB102534"/>
    <x v="0"/>
    <n v="277310"/>
    <x v="1"/>
  </r>
  <r>
    <n v="10205"/>
    <n v="10"/>
    <d v="2013-08-05T00:00:00"/>
    <s v="BLU-RAY"/>
    <n v="101436"/>
    <s v="AB102535"/>
    <x v="1"/>
    <n v="277310"/>
    <x v="1"/>
  </r>
  <r>
    <n v="10214"/>
    <n v="1"/>
    <d v="2013-08-05T00:00:00"/>
    <s v="DVD"/>
    <n v="101437"/>
    <s v="AB102536"/>
    <x v="13"/>
    <n v="317461"/>
    <x v="1"/>
  </r>
  <r>
    <n v="10090"/>
    <n v="10"/>
    <d v="2013-08-05T00:00:00"/>
    <s v="DVD"/>
    <n v="101438"/>
    <s v="AB102537"/>
    <x v="1"/>
    <n v="796796"/>
    <x v="1"/>
  </r>
  <r>
    <n v="10132"/>
    <n v="6"/>
    <d v="2013-08-05T00:00:00"/>
    <s v="BLU-RAY"/>
    <n v="101439"/>
    <s v="AB102538"/>
    <x v="10"/>
    <n v="944523"/>
    <x v="1"/>
  </r>
  <r>
    <n v="10129"/>
    <n v="9"/>
    <d v="2013-08-06T00:00:00"/>
    <s v="DVD"/>
    <n v="101440"/>
    <s v="AB102539"/>
    <x v="0"/>
    <n v="706101"/>
    <x v="1"/>
  </r>
  <r>
    <n v="10272"/>
    <n v="5"/>
    <d v="2013-08-05T00:00:00"/>
    <s v="BLU-RAY"/>
    <n v="101440"/>
    <s v="AB102540"/>
    <x v="4"/>
    <n v="706101"/>
    <x v="1"/>
  </r>
  <r>
    <n v="10120"/>
    <n v="2"/>
    <d v="2013-08-05T00:00:00"/>
    <s v="DVD"/>
    <n v="101440"/>
    <s v="AB102541"/>
    <x v="14"/>
    <n v="706101"/>
    <x v="1"/>
  </r>
  <r>
    <n v="10264"/>
    <n v="10"/>
    <d v="2013-08-05T00:00:00"/>
    <s v="DVD"/>
    <n v="101441"/>
    <s v="AB102542"/>
    <x v="2"/>
    <n v="813719"/>
    <x v="1"/>
  </r>
  <r>
    <n v="10178"/>
    <n v="6"/>
    <d v="2013-08-06T00:00:00"/>
    <s v="DVD"/>
    <n v="101442"/>
    <s v="AB102543"/>
    <x v="0"/>
    <n v="864896"/>
    <x v="1"/>
  </r>
  <r>
    <n v="10014"/>
    <n v="2"/>
    <d v="2013-08-06T00:00:00"/>
    <s v="BLU-RAY"/>
    <n v="101442"/>
    <s v="AB102544"/>
    <x v="0"/>
    <n v="864896"/>
    <x v="1"/>
  </r>
  <r>
    <n v="10187"/>
    <n v="4"/>
    <d v="2013-08-05T00:00:00"/>
    <s v="BLU-RAY"/>
    <n v="101442"/>
    <s v="AB102545"/>
    <x v="1"/>
    <n v="864896"/>
    <x v="1"/>
  </r>
  <r>
    <n v="10136"/>
    <n v="2"/>
    <d v="2013-08-05T00:00:00"/>
    <s v="DVD"/>
    <n v="101443"/>
    <s v="AB102546"/>
    <x v="2"/>
    <n v="147216"/>
    <x v="1"/>
  </r>
  <r>
    <n v="10059"/>
    <n v="8"/>
    <d v="2013-08-05T00:00:00"/>
    <s v="DVD"/>
    <n v="101443"/>
    <s v="AB102547"/>
    <x v="7"/>
    <n v="147216"/>
    <x v="1"/>
  </r>
  <r>
    <n v="10158"/>
    <n v="2"/>
    <d v="2013-08-07T00:00:00"/>
    <s v="DVD"/>
    <n v="101443"/>
    <s v="AB102548"/>
    <x v="0"/>
    <n v="147216"/>
    <x v="1"/>
  </r>
  <r>
    <n v="10136"/>
    <n v="4"/>
    <d v="2013-08-06T00:00:00"/>
    <s v="BLU-RAY"/>
    <n v="101443"/>
    <s v="AB102549"/>
    <x v="2"/>
    <n v="147216"/>
    <x v="1"/>
  </r>
  <r>
    <n v="10292"/>
    <n v="10"/>
    <d v="2013-08-07T00:00:00"/>
    <s v="BLU-RAY"/>
    <n v="101444"/>
    <s v="AB102550"/>
    <x v="15"/>
    <n v="265339"/>
    <x v="1"/>
  </r>
  <r>
    <n v="10018"/>
    <n v="4"/>
    <d v="2013-08-06T00:00:00"/>
    <s v="BLU-RAY"/>
    <n v="101445"/>
    <s v="AB102551"/>
    <x v="9"/>
    <n v="317461"/>
    <x v="1"/>
  </r>
  <r>
    <n v="10035"/>
    <n v="1"/>
    <d v="2013-08-07T00:00:00"/>
    <s v="DVD"/>
    <n v="101446"/>
    <s v="AB102552"/>
    <x v="4"/>
    <n v="556152"/>
    <x v="1"/>
  </r>
  <r>
    <n v="10056"/>
    <n v="9"/>
    <d v="2013-08-06T00:00:00"/>
    <s v="DVD"/>
    <n v="101446"/>
    <s v="AB102553"/>
    <x v="8"/>
    <n v="556152"/>
    <x v="1"/>
  </r>
  <r>
    <n v="10228"/>
    <n v="8"/>
    <d v="2013-08-06T00:00:00"/>
    <s v="DVD"/>
    <n v="101447"/>
    <s v="AB102554"/>
    <x v="7"/>
    <n v="954812"/>
    <x v="1"/>
  </r>
  <r>
    <n v="10073"/>
    <n v="6"/>
    <d v="2013-08-06T00:00:00"/>
    <s v="DVD"/>
    <n v="101448"/>
    <s v="AB102555"/>
    <x v="16"/>
    <n v="649551"/>
    <x v="1"/>
  </r>
  <r>
    <n v="10098"/>
    <n v="10"/>
    <d v="2013-08-06T00:00:00"/>
    <s v="BLU-RAY"/>
    <n v="101448"/>
    <s v="AB102556"/>
    <x v="0"/>
    <n v="649551"/>
    <x v="1"/>
  </r>
  <r>
    <n v="10080"/>
    <n v="5"/>
    <d v="2013-08-07T00:00:00"/>
    <s v="BLU-RAY"/>
    <n v="101448"/>
    <s v="AB102557"/>
    <x v="3"/>
    <n v="649551"/>
    <x v="1"/>
  </r>
  <r>
    <n v="10153"/>
    <n v="4"/>
    <d v="2013-08-06T00:00:00"/>
    <s v="DVD"/>
    <n v="101449"/>
    <s v="AB102558"/>
    <x v="10"/>
    <n v="813719"/>
    <x v="1"/>
  </r>
  <r>
    <n v="10188"/>
    <n v="10"/>
    <d v="2013-08-08T00:00:00"/>
    <s v="BLU-RAY"/>
    <n v="101449"/>
    <s v="AB102559"/>
    <x v="1"/>
    <n v="813719"/>
    <x v="1"/>
  </r>
  <r>
    <n v="10170"/>
    <n v="6"/>
    <d v="2013-08-07T00:00:00"/>
    <s v="BLU-RAY"/>
    <n v="101450"/>
    <s v="AB102560"/>
    <x v="15"/>
    <n v="193968"/>
    <x v="1"/>
  </r>
  <r>
    <n v="10296"/>
    <n v="10"/>
    <d v="2013-08-06T00:00:00"/>
    <s v="DVD"/>
    <n v="101451"/>
    <s v="AB102561"/>
    <x v="21"/>
    <n v="447368"/>
    <x v="1"/>
  </r>
  <r>
    <n v="10025"/>
    <n v="2"/>
    <d v="2013-08-06T00:00:00"/>
    <s v="DVD"/>
    <n v="101451"/>
    <s v="AB102562"/>
    <x v="4"/>
    <n v="447368"/>
    <x v="1"/>
  </r>
  <r>
    <n v="10165"/>
    <n v="1"/>
    <d v="2013-08-06T00:00:00"/>
    <s v="DVD"/>
    <n v="101452"/>
    <s v="AB102563"/>
    <x v="2"/>
    <n v="478274"/>
    <x v="1"/>
  </r>
  <r>
    <n v="10274"/>
    <n v="6"/>
    <d v="2013-08-06T00:00:00"/>
    <s v="BLU-RAY"/>
    <n v="101452"/>
    <s v="AB102564"/>
    <x v="9"/>
    <n v="478274"/>
    <x v="1"/>
  </r>
  <r>
    <n v="10031"/>
    <n v="4"/>
    <d v="2013-08-06T00:00:00"/>
    <s v="DVD"/>
    <n v="101453"/>
    <s v="AB102565"/>
    <x v="0"/>
    <n v="298508"/>
    <x v="1"/>
  </r>
  <r>
    <n v="10062"/>
    <n v="9"/>
    <d v="2013-08-07T00:00:00"/>
    <s v="DVD"/>
    <n v="101453"/>
    <s v="AB102566"/>
    <x v="16"/>
    <n v="298508"/>
    <x v="1"/>
  </r>
  <r>
    <n v="10181"/>
    <n v="2"/>
    <d v="2013-08-06T00:00:00"/>
    <s v="DVD"/>
    <n v="101454"/>
    <s v="AB102567"/>
    <x v="9"/>
    <n v="578275"/>
    <x v="1"/>
  </r>
  <r>
    <n v="10161"/>
    <n v="1"/>
    <d v="2013-08-07T00:00:00"/>
    <s v="DVD"/>
    <n v="101454"/>
    <s v="AB102568"/>
    <x v="6"/>
    <n v="578275"/>
    <x v="1"/>
  </r>
  <r>
    <n v="10264"/>
    <n v="8"/>
    <d v="2013-08-06T00:00:00"/>
    <s v="DVD"/>
    <n v="101454"/>
    <s v="AB102569"/>
    <x v="2"/>
    <n v="578275"/>
    <x v="1"/>
  </r>
  <r>
    <n v="10007"/>
    <n v="6"/>
    <d v="2013-08-08T00:00:00"/>
    <s v="DVD"/>
    <n v="101455"/>
    <s v="AB102570"/>
    <x v="4"/>
    <n v="611848"/>
    <x v="1"/>
  </r>
  <r>
    <n v="10044"/>
    <n v="1"/>
    <d v="2013-08-06T00:00:00"/>
    <s v="BLU-RAY"/>
    <n v="101456"/>
    <s v="AB102571"/>
    <x v="3"/>
    <n v="742620"/>
    <x v="1"/>
  </r>
  <r>
    <n v="10197"/>
    <n v="2"/>
    <d v="2013-08-07T00:00:00"/>
    <s v="DVD"/>
    <n v="101456"/>
    <s v="AB102572"/>
    <x v="0"/>
    <n v="742620"/>
    <x v="1"/>
  </r>
  <r>
    <n v="10068"/>
    <n v="9"/>
    <d v="2013-08-06T00:00:00"/>
    <s v="BLU-RAY"/>
    <n v="101457"/>
    <s v="AB102573"/>
    <x v="0"/>
    <n v="731346"/>
    <x v="1"/>
  </r>
  <r>
    <n v="10010"/>
    <n v="8"/>
    <d v="2013-08-07T00:00:00"/>
    <s v="DVD"/>
    <n v="101457"/>
    <s v="AB102574"/>
    <x v="3"/>
    <n v="731346"/>
    <x v="1"/>
  </r>
  <r>
    <n v="10051"/>
    <n v="9"/>
    <d v="2013-08-06T00:00:00"/>
    <s v="DVD"/>
    <n v="101457"/>
    <s v="AB102575"/>
    <x v="1"/>
    <n v="731346"/>
    <x v="1"/>
  </r>
  <r>
    <n v="10061"/>
    <n v="6"/>
    <d v="2013-08-06T00:00:00"/>
    <s v="BLU-RAY"/>
    <n v="101458"/>
    <s v="AB102576"/>
    <x v="9"/>
    <n v="485769"/>
    <x v="1"/>
  </r>
  <r>
    <n v="10040"/>
    <n v="9"/>
    <d v="2013-08-07T00:00:00"/>
    <s v="BLU-RAY"/>
    <n v="101459"/>
    <s v="AB102577"/>
    <x v="7"/>
    <n v="842028"/>
    <x v="1"/>
  </r>
  <r>
    <n v="10232"/>
    <n v="7"/>
    <d v="2013-08-07T00:00:00"/>
    <s v="BLU-RAY"/>
    <n v="101459"/>
    <s v="AB102578"/>
    <x v="1"/>
    <n v="842028"/>
    <x v="1"/>
  </r>
  <r>
    <n v="10166"/>
    <n v="3"/>
    <d v="2013-08-09T00:00:00"/>
    <s v="DVD"/>
    <n v="101459"/>
    <s v="AB102579"/>
    <x v="9"/>
    <n v="842028"/>
    <x v="1"/>
  </r>
  <r>
    <n v="10195"/>
    <n v="3"/>
    <d v="2013-08-07T00:00:00"/>
    <s v="BLU-RAY"/>
    <n v="101459"/>
    <s v="AB102580"/>
    <x v="4"/>
    <n v="842028"/>
    <x v="1"/>
  </r>
  <r>
    <n v="10142"/>
    <n v="1"/>
    <d v="2013-08-09T00:00:00"/>
    <s v="BLU-RAY"/>
    <n v="101460"/>
    <s v="AB102581"/>
    <x v="0"/>
    <n v="253106"/>
    <x v="1"/>
  </r>
  <r>
    <n v="10025"/>
    <n v="8"/>
    <d v="2013-08-07T00:00:00"/>
    <s v="BLU-RAY"/>
    <n v="101460"/>
    <s v="AB102582"/>
    <x v="4"/>
    <n v="253106"/>
    <x v="1"/>
  </r>
  <r>
    <n v="10155"/>
    <n v="5"/>
    <d v="2013-08-07T00:00:00"/>
    <s v="BLU-RAY"/>
    <n v="101461"/>
    <s v="AB102583"/>
    <x v="9"/>
    <n v="646700"/>
    <x v="1"/>
  </r>
  <r>
    <n v="10237"/>
    <n v="5"/>
    <d v="2013-08-07T00:00:00"/>
    <s v="BLU-RAY"/>
    <n v="101462"/>
    <s v="AB102584"/>
    <x v="0"/>
    <n v="616392"/>
    <x v="1"/>
  </r>
  <r>
    <n v="10247"/>
    <n v="7"/>
    <d v="2013-08-07T00:00:00"/>
    <s v="BLU-RAY"/>
    <n v="101462"/>
    <s v="AB102585"/>
    <x v="9"/>
    <n v="616392"/>
    <x v="1"/>
  </r>
  <r>
    <n v="10109"/>
    <n v="2"/>
    <d v="2013-08-07T00:00:00"/>
    <s v="DVD"/>
    <n v="101463"/>
    <s v="AB102586"/>
    <x v="0"/>
    <n v="884729"/>
    <x v="1"/>
  </r>
  <r>
    <n v="10174"/>
    <n v="8"/>
    <d v="2013-08-07T00:00:00"/>
    <s v="BLU-RAY"/>
    <n v="101464"/>
    <s v="AB102587"/>
    <x v="7"/>
    <n v="256181"/>
    <x v="1"/>
  </r>
  <r>
    <n v="10298"/>
    <n v="6"/>
    <d v="2013-08-07T00:00:00"/>
    <s v="BLU-RAY"/>
    <n v="101464"/>
    <s v="AB102588"/>
    <x v="19"/>
    <n v="256181"/>
    <x v="1"/>
  </r>
  <r>
    <n v="10180"/>
    <n v="9"/>
    <d v="2013-08-07T00:00:00"/>
    <s v="BLU-RAY"/>
    <n v="101464"/>
    <s v="AB102589"/>
    <x v="12"/>
    <n v="256181"/>
    <x v="1"/>
  </r>
  <r>
    <n v="10063"/>
    <n v="3"/>
    <d v="2013-08-07T00:00:00"/>
    <s v="BLU-RAY"/>
    <n v="101464"/>
    <s v="AB102590"/>
    <x v="18"/>
    <n v="256181"/>
    <x v="1"/>
  </r>
  <r>
    <n v="10226"/>
    <n v="5"/>
    <d v="2013-08-07T00:00:00"/>
    <s v="BLU-RAY"/>
    <n v="101465"/>
    <s v="AB102591"/>
    <x v="4"/>
    <n v="366695"/>
    <x v="1"/>
  </r>
  <r>
    <n v="10290"/>
    <n v="9"/>
    <d v="2013-08-08T00:00:00"/>
    <s v="BLU-RAY"/>
    <n v="101465"/>
    <s v="AB102592"/>
    <x v="2"/>
    <n v="366695"/>
    <x v="1"/>
  </r>
  <r>
    <n v="10283"/>
    <n v="3"/>
    <d v="2013-08-08T00:00:00"/>
    <s v="BLU-RAY"/>
    <n v="101465"/>
    <s v="AB102593"/>
    <x v="6"/>
    <n v="366695"/>
    <x v="1"/>
  </r>
  <r>
    <n v="10185"/>
    <n v="2"/>
    <d v="2013-08-07T00:00:00"/>
    <s v="DVD"/>
    <n v="101466"/>
    <s v="AB102594"/>
    <x v="0"/>
    <n v="371731"/>
    <x v="1"/>
  </r>
  <r>
    <n v="10009"/>
    <n v="10"/>
    <d v="2013-08-07T00:00:00"/>
    <s v="BLU-RAY"/>
    <n v="101466"/>
    <s v="AB102595"/>
    <x v="0"/>
    <n v="371731"/>
    <x v="1"/>
  </r>
  <r>
    <n v="10196"/>
    <n v="2"/>
    <d v="2013-08-07T00:00:00"/>
    <s v="DVD"/>
    <n v="101467"/>
    <s v="AB102596"/>
    <x v="9"/>
    <n v="837763"/>
    <x v="1"/>
  </r>
  <r>
    <n v="10059"/>
    <n v="1"/>
    <d v="2013-08-07T00:00:00"/>
    <s v="DVD"/>
    <n v="101467"/>
    <s v="AB102597"/>
    <x v="7"/>
    <n v="837763"/>
    <x v="1"/>
  </r>
  <r>
    <n v="10299"/>
    <n v="1"/>
    <d v="2013-08-08T00:00:00"/>
    <s v="BLU-RAY"/>
    <n v="101468"/>
    <s v="AB102598"/>
    <x v="22"/>
    <n v="550824"/>
    <x v="1"/>
  </r>
  <r>
    <n v="10129"/>
    <n v="4"/>
    <d v="2013-08-07T00:00:00"/>
    <s v="BLU-RAY"/>
    <n v="101468"/>
    <s v="AB102599"/>
    <x v="0"/>
    <n v="550824"/>
    <x v="1"/>
  </r>
  <r>
    <n v="10159"/>
    <n v="2"/>
    <d v="2013-08-08T00:00:00"/>
    <s v="BLU-RAY"/>
    <n v="101469"/>
    <s v="AB102600"/>
    <x v="10"/>
    <n v="671101"/>
    <x v="1"/>
  </r>
  <r>
    <n v="10248"/>
    <n v="3"/>
    <d v="2013-08-08T00:00:00"/>
    <s v="BLU-RAY"/>
    <n v="101469"/>
    <s v="AB102601"/>
    <x v="12"/>
    <n v="671101"/>
    <x v="1"/>
  </r>
  <r>
    <n v="10193"/>
    <n v="8"/>
    <d v="2013-08-08T00:00:00"/>
    <s v="DVD"/>
    <n v="101470"/>
    <s v="AB102602"/>
    <x v="9"/>
    <n v="586201"/>
    <x v="1"/>
  </r>
  <r>
    <n v="10065"/>
    <n v="6"/>
    <d v="2013-08-08T00:00:00"/>
    <s v="DVD"/>
    <n v="101470"/>
    <s v="AB102603"/>
    <x v="0"/>
    <n v="586201"/>
    <x v="1"/>
  </r>
  <r>
    <n v="10212"/>
    <n v="10"/>
    <d v="2013-08-08T00:00:00"/>
    <s v="BLU-RAY"/>
    <n v="101471"/>
    <s v="AB102604"/>
    <x v="10"/>
    <n v="593317"/>
    <x v="1"/>
  </r>
  <r>
    <n v="10288"/>
    <n v="8"/>
    <d v="2013-08-09T00:00:00"/>
    <s v="DVD"/>
    <n v="101472"/>
    <s v="AB102605"/>
    <x v="12"/>
    <n v="469564"/>
    <x v="1"/>
  </r>
  <r>
    <n v="10165"/>
    <n v="1"/>
    <d v="2013-08-09T00:00:00"/>
    <s v="DVD"/>
    <n v="101473"/>
    <s v="AB102606"/>
    <x v="2"/>
    <n v="249779"/>
    <x v="1"/>
  </r>
  <r>
    <n v="10258"/>
    <n v="3"/>
    <d v="2013-08-09T00:00:00"/>
    <s v="BLU-RAY"/>
    <n v="101474"/>
    <s v="AB102607"/>
    <x v="0"/>
    <n v="189953"/>
    <x v="1"/>
  </r>
  <r>
    <n v="10178"/>
    <n v="8"/>
    <d v="2013-08-09T00:00:00"/>
    <s v="BLU-RAY"/>
    <n v="101474"/>
    <s v="AB102608"/>
    <x v="0"/>
    <n v="189953"/>
    <x v="1"/>
  </r>
  <r>
    <n v="10180"/>
    <n v="7"/>
    <d v="2013-08-09T00:00:00"/>
    <s v="DVD"/>
    <n v="101475"/>
    <s v="AB102609"/>
    <x v="12"/>
    <n v="157388"/>
    <x v="1"/>
  </r>
  <r>
    <n v="10175"/>
    <n v="8"/>
    <d v="2013-08-09T00:00:00"/>
    <s v="DVD"/>
    <n v="101475"/>
    <s v="AB102610"/>
    <x v="3"/>
    <n v="157388"/>
    <x v="1"/>
  </r>
  <r>
    <n v="10118"/>
    <n v="3"/>
    <d v="2013-08-09T00:00:00"/>
    <s v="DVD"/>
    <n v="101476"/>
    <s v="AB102611"/>
    <x v="3"/>
    <n v="782947"/>
    <x v="1"/>
  </r>
  <r>
    <n v="10017"/>
    <n v="2"/>
    <d v="2013-08-10T00:00:00"/>
    <s v="DVD"/>
    <n v="101476"/>
    <s v="AB102612"/>
    <x v="4"/>
    <n v="782947"/>
    <x v="1"/>
  </r>
  <r>
    <n v="10052"/>
    <n v="2"/>
    <d v="2013-08-09T00:00:00"/>
    <s v="DVD"/>
    <n v="101476"/>
    <s v="AB102613"/>
    <x v="0"/>
    <n v="782947"/>
    <x v="1"/>
  </r>
  <r>
    <n v="10133"/>
    <n v="10"/>
    <d v="2013-08-09T00:00:00"/>
    <s v="BLU-RAY"/>
    <n v="101477"/>
    <s v="AB102614"/>
    <x v="9"/>
    <n v="454143"/>
    <x v="1"/>
  </r>
  <r>
    <n v="10073"/>
    <n v="9"/>
    <d v="2013-08-10T00:00:00"/>
    <s v="BLU-RAY"/>
    <n v="101478"/>
    <s v="AB102615"/>
    <x v="16"/>
    <n v="927518"/>
    <x v="1"/>
  </r>
  <r>
    <n v="10037"/>
    <n v="2"/>
    <d v="2013-08-09T00:00:00"/>
    <s v="BLU-RAY"/>
    <n v="101479"/>
    <s v="AB102616"/>
    <x v="3"/>
    <n v="469564"/>
    <x v="1"/>
  </r>
  <r>
    <n v="10059"/>
    <n v="6"/>
    <d v="2013-08-09T00:00:00"/>
    <s v="BLU-RAY"/>
    <n v="101479"/>
    <s v="AB102617"/>
    <x v="7"/>
    <n v="469564"/>
    <x v="1"/>
  </r>
  <r>
    <n v="10299"/>
    <n v="7"/>
    <d v="2013-08-09T00:00:00"/>
    <s v="BLU-RAY"/>
    <n v="101480"/>
    <s v="AB102618"/>
    <x v="22"/>
    <n v="731346"/>
    <x v="1"/>
  </r>
  <r>
    <n v="10082"/>
    <n v="4"/>
    <d v="2013-08-10T00:00:00"/>
    <s v="BLU-RAY"/>
    <n v="101481"/>
    <s v="AB102619"/>
    <x v="3"/>
    <n v="908328"/>
    <x v="1"/>
  </r>
  <r>
    <n v="10290"/>
    <n v="6"/>
    <d v="2013-08-10T00:00:00"/>
    <s v="DVD"/>
    <n v="101482"/>
    <s v="AB102620"/>
    <x v="2"/>
    <n v="927518"/>
    <x v="1"/>
  </r>
  <r>
    <n v="10220"/>
    <n v="9"/>
    <d v="2013-08-09T00:00:00"/>
    <s v="BLU-RAY"/>
    <n v="101483"/>
    <s v="AB102621"/>
    <x v="9"/>
    <n v="191951"/>
    <x v="1"/>
  </r>
  <r>
    <n v="10187"/>
    <n v="5"/>
    <d v="2013-08-09T00:00:00"/>
    <s v="DVD"/>
    <n v="101483"/>
    <s v="AB102622"/>
    <x v="1"/>
    <n v="191951"/>
    <x v="1"/>
  </r>
  <r>
    <n v="10257"/>
    <n v="4"/>
    <d v="2013-08-10T00:00:00"/>
    <s v="DVD"/>
    <n v="101484"/>
    <s v="AB102623"/>
    <x v="9"/>
    <n v="448993"/>
    <x v="1"/>
  </r>
  <r>
    <n v="10022"/>
    <n v="3"/>
    <d v="2013-08-09T00:00:00"/>
    <s v="DVD"/>
    <n v="101484"/>
    <s v="AB102624"/>
    <x v="7"/>
    <n v="448993"/>
    <x v="1"/>
  </r>
  <r>
    <n v="10040"/>
    <n v="5"/>
    <d v="2013-08-09T00:00:00"/>
    <s v="DVD"/>
    <n v="101484"/>
    <s v="AB102625"/>
    <x v="7"/>
    <n v="448993"/>
    <x v="1"/>
  </r>
  <r>
    <n v="10108"/>
    <n v="2"/>
    <d v="2013-08-10T00:00:00"/>
    <s v="BLU-RAY"/>
    <n v="101485"/>
    <s v="AB102626"/>
    <x v="9"/>
    <n v="485769"/>
    <x v="1"/>
  </r>
  <r>
    <n v="10070"/>
    <n v="3"/>
    <d v="2013-08-10T00:00:00"/>
    <s v="BLU-RAY"/>
    <n v="101485"/>
    <s v="AB102627"/>
    <x v="1"/>
    <n v="485769"/>
    <x v="1"/>
  </r>
  <r>
    <n v="10062"/>
    <n v="9"/>
    <d v="2013-08-10T00:00:00"/>
    <s v="BLU-RAY"/>
    <n v="101486"/>
    <s v="AB102628"/>
    <x v="16"/>
    <n v="925565"/>
    <x v="1"/>
  </r>
  <r>
    <n v="10127"/>
    <n v="4"/>
    <d v="2013-08-10T00:00:00"/>
    <s v="BLU-RAY"/>
    <n v="101487"/>
    <s v="AB102629"/>
    <x v="6"/>
    <n v="739669"/>
    <x v="1"/>
  </r>
  <r>
    <n v="10276"/>
    <n v="5"/>
    <d v="2013-08-11T00:00:00"/>
    <s v="BLU-RAY"/>
    <n v="101487"/>
    <s v="AB102630"/>
    <x v="16"/>
    <n v="739669"/>
    <x v="1"/>
  </r>
  <r>
    <n v="10008"/>
    <n v="8"/>
    <d v="2013-08-10T00:00:00"/>
    <s v="DVD"/>
    <n v="101488"/>
    <s v="AB102631"/>
    <x v="4"/>
    <n v="580674"/>
    <x v="1"/>
  </r>
  <r>
    <n v="10067"/>
    <n v="1"/>
    <d v="2013-08-10T00:00:00"/>
    <s v="DVD"/>
    <n v="101489"/>
    <s v="AB102632"/>
    <x v="1"/>
    <n v="170500"/>
    <x v="1"/>
  </r>
  <r>
    <n v="10174"/>
    <n v="4"/>
    <d v="2013-08-11T00:00:00"/>
    <s v="BLU-RAY"/>
    <n v="101490"/>
    <s v="AB102633"/>
    <x v="7"/>
    <n v="422717"/>
    <x v="1"/>
  </r>
  <r>
    <n v="10154"/>
    <n v="1"/>
    <d v="2013-08-12T00:00:00"/>
    <s v="DVD"/>
    <n v="101490"/>
    <s v="AB102634"/>
    <x v="5"/>
    <n v="422717"/>
    <x v="1"/>
  </r>
  <r>
    <n v="10007"/>
    <n v="7"/>
    <d v="2013-08-12T00:00:00"/>
    <s v="BLU-RAY"/>
    <n v="101491"/>
    <s v="AB102635"/>
    <x v="4"/>
    <n v="592528"/>
    <x v="1"/>
  </r>
  <r>
    <n v="10287"/>
    <n v="7"/>
    <d v="2013-08-12T00:00:00"/>
    <s v="DVD"/>
    <n v="101491"/>
    <s v="AB102636"/>
    <x v="10"/>
    <n v="592528"/>
    <x v="1"/>
  </r>
  <r>
    <n v="10126"/>
    <n v="7"/>
    <d v="2013-08-11T00:00:00"/>
    <s v="DVD"/>
    <n v="101491"/>
    <s v="AB102637"/>
    <x v="9"/>
    <n v="592528"/>
    <x v="1"/>
  </r>
  <r>
    <n v="10297"/>
    <n v="5"/>
    <d v="2013-08-10T00:00:00"/>
    <s v="BLU-RAY"/>
    <n v="101492"/>
    <s v="AB102638"/>
    <x v="14"/>
    <n v="296208"/>
    <x v="1"/>
  </r>
  <r>
    <n v="10250"/>
    <n v="8"/>
    <d v="2013-08-10T00:00:00"/>
    <s v="DVD"/>
    <n v="101492"/>
    <s v="AB102639"/>
    <x v="3"/>
    <n v="296208"/>
    <x v="1"/>
  </r>
  <r>
    <n v="10152"/>
    <n v="10"/>
    <d v="2013-08-10T00:00:00"/>
    <s v="BLU-RAY"/>
    <n v="101493"/>
    <s v="AB102640"/>
    <x v="16"/>
    <n v="872851"/>
    <x v="1"/>
  </r>
  <r>
    <n v="10086"/>
    <n v="10"/>
    <d v="2013-08-10T00:00:00"/>
    <s v="DVD"/>
    <n v="101494"/>
    <s v="AB102641"/>
    <x v="3"/>
    <n v="160392"/>
    <x v="1"/>
  </r>
  <r>
    <n v="10060"/>
    <n v="4"/>
    <d v="2013-08-10T00:00:00"/>
    <s v="BLU-RAY"/>
    <n v="101495"/>
    <s v="AB102642"/>
    <x v="0"/>
    <n v="616392"/>
    <x v="1"/>
  </r>
  <r>
    <n v="10060"/>
    <n v="9"/>
    <d v="2013-08-10T00:00:00"/>
    <s v="BLU-RAY"/>
    <n v="101495"/>
    <s v="AB102643"/>
    <x v="0"/>
    <n v="616392"/>
    <x v="1"/>
  </r>
  <r>
    <n v="10129"/>
    <n v="8"/>
    <d v="2013-08-11T00:00:00"/>
    <s v="BLU-RAY"/>
    <n v="101496"/>
    <s v="AB102644"/>
    <x v="0"/>
    <n v="941876"/>
    <x v="1"/>
  </r>
  <r>
    <n v="10268"/>
    <n v="1"/>
    <d v="2013-08-12T00:00:00"/>
    <s v="BLU-RAY"/>
    <n v="101497"/>
    <s v="AB102645"/>
    <x v="3"/>
    <n v="643214"/>
    <x v="1"/>
  </r>
  <r>
    <n v="10244"/>
    <n v="9"/>
    <d v="2013-08-11T00:00:00"/>
    <s v="DVD"/>
    <n v="101498"/>
    <s v="AB102646"/>
    <x v="4"/>
    <n v="220206"/>
    <x v="1"/>
  </r>
  <r>
    <n v="10211"/>
    <n v="4"/>
    <d v="2013-08-11T00:00:00"/>
    <s v="BLU-RAY"/>
    <n v="101499"/>
    <s v="AB102647"/>
    <x v="3"/>
    <n v="396166"/>
    <x v="1"/>
  </r>
  <r>
    <n v="10057"/>
    <n v="2"/>
    <d v="2013-08-12T00:00:00"/>
    <s v="DVD"/>
    <n v="101499"/>
    <s v="AB102648"/>
    <x v="0"/>
    <n v="396166"/>
    <x v="1"/>
  </r>
  <r>
    <n v="10221"/>
    <n v="8"/>
    <d v="2013-08-11T00:00:00"/>
    <s v="DVD"/>
    <n v="101500"/>
    <s v="AB102649"/>
    <x v="9"/>
    <n v="464984"/>
    <x v="1"/>
  </r>
  <r>
    <n v="10227"/>
    <n v="3"/>
    <d v="2013-08-12T00:00:00"/>
    <s v="DVD"/>
    <n v="101500"/>
    <s v="AB102650"/>
    <x v="14"/>
    <n v="464984"/>
    <x v="1"/>
  </r>
  <r>
    <n v="10287"/>
    <n v="10"/>
    <d v="2013-08-11T00:00:00"/>
    <s v="DVD"/>
    <n v="101501"/>
    <s v="AB102651"/>
    <x v="10"/>
    <n v="286196"/>
    <x v="1"/>
  </r>
  <r>
    <n v="10238"/>
    <n v="2"/>
    <d v="2013-08-11T00:00:00"/>
    <s v="DVD"/>
    <n v="101501"/>
    <s v="AB102652"/>
    <x v="0"/>
    <n v="286196"/>
    <x v="1"/>
  </r>
  <r>
    <n v="10196"/>
    <n v="9"/>
    <d v="2013-08-11T00:00:00"/>
    <s v="DVD"/>
    <n v="101501"/>
    <s v="AB102653"/>
    <x v="9"/>
    <n v="286196"/>
    <x v="1"/>
  </r>
  <r>
    <n v="10035"/>
    <n v="2"/>
    <d v="2013-08-11T00:00:00"/>
    <s v="DVD"/>
    <n v="101502"/>
    <s v="AB102654"/>
    <x v="4"/>
    <n v="664411"/>
    <x v="1"/>
  </r>
  <r>
    <n v="10016"/>
    <n v="10"/>
    <d v="2013-08-11T00:00:00"/>
    <s v="BLU-RAY"/>
    <n v="101502"/>
    <s v="AB102655"/>
    <x v="7"/>
    <n v="664411"/>
    <x v="1"/>
  </r>
  <r>
    <n v="10086"/>
    <n v="2"/>
    <d v="2013-08-11T00:00:00"/>
    <s v="BLU-RAY"/>
    <n v="101502"/>
    <s v="AB102656"/>
    <x v="3"/>
    <n v="664411"/>
    <x v="1"/>
  </r>
  <r>
    <n v="10232"/>
    <n v="6"/>
    <d v="2013-08-12T00:00:00"/>
    <s v="BLU-RAY"/>
    <n v="101503"/>
    <s v="AB102657"/>
    <x v="1"/>
    <n v="590517"/>
    <x v="1"/>
  </r>
  <r>
    <n v="10005"/>
    <n v="5"/>
    <d v="2013-08-11T00:00:00"/>
    <s v="BLU-RAY"/>
    <n v="101504"/>
    <s v="AB102658"/>
    <x v="3"/>
    <n v="664411"/>
    <x v="1"/>
  </r>
  <r>
    <n v="10258"/>
    <n v="9"/>
    <d v="2013-08-12T00:00:00"/>
    <s v="DVD"/>
    <n v="101505"/>
    <s v="AB102659"/>
    <x v="0"/>
    <n v="742620"/>
    <x v="1"/>
  </r>
  <r>
    <n v="10289"/>
    <n v="1"/>
    <d v="2013-08-11T00:00:00"/>
    <s v="BLU-RAY"/>
    <n v="101506"/>
    <s v="AB102660"/>
    <x v="11"/>
    <n v="882493"/>
    <x v="1"/>
  </r>
  <r>
    <n v="10160"/>
    <n v="4"/>
    <d v="2013-08-11T00:00:00"/>
    <s v="BLU-RAY"/>
    <n v="101507"/>
    <s v="AB102661"/>
    <x v="10"/>
    <n v="465275"/>
    <x v="1"/>
  </r>
  <r>
    <n v="10124"/>
    <n v="8"/>
    <d v="2013-08-11T00:00:00"/>
    <s v="DVD"/>
    <n v="101507"/>
    <s v="AB102662"/>
    <x v="1"/>
    <n v="465275"/>
    <x v="1"/>
  </r>
  <r>
    <n v="10003"/>
    <n v="1"/>
    <d v="2013-08-11T00:00:00"/>
    <s v="DVD"/>
    <n v="101507"/>
    <s v="AB102663"/>
    <x v="1"/>
    <n v="465275"/>
    <x v="1"/>
  </r>
  <r>
    <n v="10288"/>
    <n v="4"/>
    <d v="2013-08-11T00:00:00"/>
    <s v="DVD"/>
    <n v="101508"/>
    <s v="AB102664"/>
    <x v="12"/>
    <n v="813719"/>
    <x v="1"/>
  </r>
  <r>
    <n v="10014"/>
    <n v="10"/>
    <d v="2013-08-12T00:00:00"/>
    <s v="DVD"/>
    <n v="101509"/>
    <s v="AB102665"/>
    <x v="0"/>
    <n v="202612"/>
    <x v="1"/>
  </r>
  <r>
    <n v="10173"/>
    <n v="4"/>
    <d v="2013-08-12T00:00:00"/>
    <s v="BLU-RAY"/>
    <n v="101510"/>
    <s v="AB102666"/>
    <x v="4"/>
    <n v="493552"/>
    <x v="1"/>
  </r>
  <r>
    <n v="10046"/>
    <n v="4"/>
    <d v="2013-08-13T00:00:00"/>
    <s v="BLU-RAY"/>
    <n v="101511"/>
    <s v="AB102667"/>
    <x v="4"/>
    <n v="888952"/>
    <x v="1"/>
  </r>
  <r>
    <n v="10015"/>
    <n v="5"/>
    <d v="2013-08-11T00:00:00"/>
    <s v="BLU-RAY"/>
    <n v="101511"/>
    <s v="AB102668"/>
    <x v="6"/>
    <n v="888952"/>
    <x v="1"/>
  </r>
  <r>
    <n v="10063"/>
    <n v="8"/>
    <d v="2013-08-12T00:00:00"/>
    <s v="DVD"/>
    <n v="101512"/>
    <s v="AB102669"/>
    <x v="18"/>
    <n v="766161"/>
    <x v="1"/>
  </r>
  <r>
    <n v="10251"/>
    <n v="10"/>
    <d v="2013-08-13T00:00:00"/>
    <s v="BLU-RAY"/>
    <n v="101513"/>
    <s v="AB102670"/>
    <x v="7"/>
    <n v="194680"/>
    <x v="1"/>
  </r>
  <r>
    <n v="10045"/>
    <n v="7"/>
    <d v="2013-08-12T00:00:00"/>
    <s v="DVD"/>
    <n v="101514"/>
    <s v="AB102671"/>
    <x v="0"/>
    <n v="593317"/>
    <x v="1"/>
  </r>
  <r>
    <n v="10276"/>
    <n v="10"/>
    <d v="2013-08-12T00:00:00"/>
    <s v="BLU-RAY"/>
    <n v="101515"/>
    <s v="AB102672"/>
    <x v="16"/>
    <n v="618955"/>
    <x v="1"/>
  </r>
  <r>
    <n v="10066"/>
    <n v="7"/>
    <d v="2013-08-12T00:00:00"/>
    <s v="BLU-RAY"/>
    <n v="101515"/>
    <s v="AB102673"/>
    <x v="3"/>
    <n v="618955"/>
    <x v="1"/>
  </r>
  <r>
    <n v="10299"/>
    <n v="7"/>
    <d v="2013-08-12T00:00:00"/>
    <s v="BLU-RAY"/>
    <n v="101515"/>
    <s v="AB102674"/>
    <x v="22"/>
    <n v="618955"/>
    <x v="1"/>
  </r>
  <r>
    <n v="10099"/>
    <n v="2"/>
    <d v="2013-08-12T00:00:00"/>
    <s v="DVD"/>
    <n v="101516"/>
    <s v="AB102675"/>
    <x v="10"/>
    <n v="808421"/>
    <x v="1"/>
  </r>
  <r>
    <n v="10239"/>
    <n v="3"/>
    <d v="2013-08-12T00:00:00"/>
    <s v="BLU-RAY"/>
    <n v="101516"/>
    <s v="AB102676"/>
    <x v="2"/>
    <n v="808421"/>
    <x v="1"/>
  </r>
  <r>
    <n v="10161"/>
    <n v="1"/>
    <d v="2013-08-13T00:00:00"/>
    <s v="DVD"/>
    <n v="101516"/>
    <s v="AB102677"/>
    <x v="6"/>
    <n v="808421"/>
    <x v="1"/>
  </r>
  <r>
    <n v="10150"/>
    <n v="7"/>
    <d v="2013-08-13T00:00:00"/>
    <s v="DVD"/>
    <n v="101517"/>
    <s v="AB102678"/>
    <x v="14"/>
    <n v="547890"/>
    <x v="1"/>
  </r>
  <r>
    <n v="10086"/>
    <n v="4"/>
    <d v="2013-08-13T00:00:00"/>
    <s v="BLU-RAY"/>
    <n v="101517"/>
    <s v="AB102679"/>
    <x v="3"/>
    <n v="547890"/>
    <x v="1"/>
  </r>
  <r>
    <n v="10098"/>
    <n v="8"/>
    <d v="2013-08-13T00:00:00"/>
    <s v="BLU-RAY"/>
    <n v="101518"/>
    <s v="AB102680"/>
    <x v="0"/>
    <n v="918682"/>
    <x v="1"/>
  </r>
  <r>
    <n v="10101"/>
    <n v="8"/>
    <d v="2013-08-13T00:00:00"/>
    <s v="BLU-RAY"/>
    <n v="101518"/>
    <s v="AB102681"/>
    <x v="4"/>
    <n v="918682"/>
    <x v="1"/>
  </r>
  <r>
    <n v="10073"/>
    <n v="5"/>
    <d v="2013-08-13T00:00:00"/>
    <s v="DVD"/>
    <n v="101519"/>
    <s v="AB102682"/>
    <x v="16"/>
    <n v="306853"/>
    <x v="1"/>
  </r>
  <r>
    <n v="10008"/>
    <n v="5"/>
    <d v="2013-08-13T00:00:00"/>
    <s v="DVD"/>
    <n v="101519"/>
    <s v="AB102683"/>
    <x v="4"/>
    <n v="306853"/>
    <x v="1"/>
  </r>
  <r>
    <n v="10041"/>
    <n v="4"/>
    <d v="2013-08-14T00:00:00"/>
    <s v="DVD"/>
    <n v="101520"/>
    <s v="AB102684"/>
    <x v="10"/>
    <n v="724813"/>
    <x v="1"/>
  </r>
  <r>
    <n v="10174"/>
    <n v="6"/>
    <d v="2013-08-14T00:00:00"/>
    <s v="BLU-RAY"/>
    <n v="101520"/>
    <s v="AB102685"/>
    <x v="7"/>
    <n v="724813"/>
    <x v="1"/>
  </r>
  <r>
    <n v="10064"/>
    <n v="2"/>
    <d v="2013-08-13T00:00:00"/>
    <s v="BLU-RAY"/>
    <n v="101520"/>
    <s v="AB102686"/>
    <x v="7"/>
    <n v="724813"/>
    <x v="1"/>
  </r>
  <r>
    <n v="10071"/>
    <n v="1"/>
    <d v="2013-08-13T00:00:00"/>
    <s v="DVD"/>
    <n v="101521"/>
    <s v="AB102687"/>
    <x v="1"/>
    <n v="149240"/>
    <x v="1"/>
  </r>
  <r>
    <n v="10258"/>
    <n v="4"/>
    <d v="2013-08-13T00:00:00"/>
    <s v="BLU-RAY"/>
    <n v="101521"/>
    <s v="AB102688"/>
    <x v="0"/>
    <n v="149240"/>
    <x v="1"/>
  </r>
  <r>
    <n v="10285"/>
    <n v="7"/>
    <d v="2013-08-14T00:00:00"/>
    <s v="BLU-RAY"/>
    <n v="101522"/>
    <s v="AB102689"/>
    <x v="20"/>
    <n v="479497"/>
    <x v="1"/>
  </r>
  <r>
    <n v="10061"/>
    <n v="2"/>
    <d v="2013-08-14T00:00:00"/>
    <s v="BLU-RAY"/>
    <n v="101522"/>
    <s v="AB102690"/>
    <x v="9"/>
    <n v="479497"/>
    <x v="1"/>
  </r>
  <r>
    <n v="10247"/>
    <n v="8"/>
    <d v="2013-08-15T00:00:00"/>
    <s v="DVD"/>
    <n v="101523"/>
    <s v="AB102691"/>
    <x v="9"/>
    <n v="315634"/>
    <x v="1"/>
  </r>
  <r>
    <n v="10176"/>
    <n v="1"/>
    <d v="2013-08-13T00:00:00"/>
    <s v="BLU-RAY"/>
    <n v="101524"/>
    <s v="AB102692"/>
    <x v="7"/>
    <n v="933331"/>
    <x v="1"/>
  </r>
  <r>
    <n v="10074"/>
    <n v="1"/>
    <d v="2013-08-14T00:00:00"/>
    <s v="DVD"/>
    <n v="101524"/>
    <s v="AB102693"/>
    <x v="11"/>
    <n v="933331"/>
    <x v="1"/>
  </r>
  <r>
    <n v="10189"/>
    <n v="3"/>
    <d v="2013-08-14T00:00:00"/>
    <s v="DVD"/>
    <n v="101525"/>
    <s v="AB102694"/>
    <x v="7"/>
    <n v="305005"/>
    <x v="1"/>
  </r>
  <r>
    <n v="10050"/>
    <n v="6"/>
    <d v="2013-08-13T00:00:00"/>
    <s v="BLU-RAY"/>
    <n v="101526"/>
    <s v="AB102695"/>
    <x v="1"/>
    <n v="345748"/>
    <x v="1"/>
  </r>
  <r>
    <n v="10180"/>
    <n v="1"/>
    <d v="2013-08-13T00:00:00"/>
    <s v="DVD"/>
    <n v="101526"/>
    <s v="AB102696"/>
    <x v="12"/>
    <n v="345748"/>
    <x v="1"/>
  </r>
  <r>
    <n v="10117"/>
    <n v="7"/>
    <d v="2013-08-14T00:00:00"/>
    <s v="DVD"/>
    <n v="101527"/>
    <s v="AB102697"/>
    <x v="4"/>
    <n v="385115"/>
    <x v="1"/>
  </r>
  <r>
    <n v="10007"/>
    <n v="8"/>
    <d v="2013-08-15T00:00:00"/>
    <s v="BLU-RAY"/>
    <n v="101527"/>
    <s v="AB102698"/>
    <x v="4"/>
    <n v="385115"/>
    <x v="1"/>
  </r>
  <r>
    <n v="10112"/>
    <n v="10"/>
    <d v="2013-08-14T00:00:00"/>
    <s v="DVD"/>
    <n v="101528"/>
    <s v="AB102699"/>
    <x v="12"/>
    <n v="850933"/>
    <x v="1"/>
  </r>
  <r>
    <n v="10227"/>
    <n v="9"/>
    <d v="2013-08-14T00:00:00"/>
    <s v="DVD"/>
    <n v="101528"/>
    <s v="AB102700"/>
    <x v="14"/>
    <n v="850933"/>
    <x v="1"/>
  </r>
  <r>
    <n v="10239"/>
    <n v="5"/>
    <d v="2013-08-14T00:00:00"/>
    <s v="BLU-RAY"/>
    <n v="101529"/>
    <s v="AB102701"/>
    <x v="2"/>
    <n v="622506"/>
    <x v="1"/>
  </r>
  <r>
    <n v="10047"/>
    <n v="10"/>
    <d v="2013-08-14T00:00:00"/>
    <s v="DVD"/>
    <n v="101529"/>
    <s v="AB102702"/>
    <x v="0"/>
    <n v="622506"/>
    <x v="1"/>
  </r>
  <r>
    <n v="10276"/>
    <n v="3"/>
    <d v="2013-08-14T00:00:00"/>
    <s v="BLU-RAY"/>
    <n v="101530"/>
    <s v="AB102703"/>
    <x v="16"/>
    <n v="550824"/>
    <x v="1"/>
  </r>
  <r>
    <n v="10184"/>
    <n v="10"/>
    <d v="2013-08-14T00:00:00"/>
    <s v="DVD"/>
    <n v="101530"/>
    <s v="AB102704"/>
    <x v="7"/>
    <n v="550824"/>
    <x v="1"/>
  </r>
  <r>
    <n v="10028"/>
    <n v="2"/>
    <d v="2013-08-14T00:00:00"/>
    <s v="DVD"/>
    <n v="101531"/>
    <s v="AB102705"/>
    <x v="5"/>
    <n v="924649"/>
    <x v="1"/>
  </r>
  <r>
    <n v="10116"/>
    <n v="5"/>
    <d v="2013-08-15T00:00:00"/>
    <s v="DVD"/>
    <n v="101531"/>
    <s v="AB102706"/>
    <x v="7"/>
    <n v="924649"/>
    <x v="1"/>
  </r>
  <r>
    <n v="10127"/>
    <n v="3"/>
    <d v="2013-08-14T00:00:00"/>
    <s v="DVD"/>
    <n v="101532"/>
    <s v="AB102707"/>
    <x v="6"/>
    <n v="425051"/>
    <x v="1"/>
  </r>
  <r>
    <n v="10271"/>
    <n v="7"/>
    <d v="2013-08-15T00:00:00"/>
    <s v="DVD"/>
    <n v="101532"/>
    <s v="AB102708"/>
    <x v="7"/>
    <n v="425051"/>
    <x v="1"/>
  </r>
  <r>
    <n v="10135"/>
    <n v="10"/>
    <d v="2013-08-14T00:00:00"/>
    <s v="DVD"/>
    <n v="101533"/>
    <s v="AB102709"/>
    <x v="7"/>
    <n v="586201"/>
    <x v="1"/>
  </r>
  <r>
    <n v="10052"/>
    <n v="1"/>
    <d v="2013-08-14T00:00:00"/>
    <s v="BLU-RAY"/>
    <n v="101534"/>
    <s v="AB102710"/>
    <x v="0"/>
    <n v="900440"/>
    <x v="1"/>
  </r>
  <r>
    <n v="10206"/>
    <n v="1"/>
    <d v="2013-08-15T00:00:00"/>
    <s v="BLU-RAY"/>
    <n v="101534"/>
    <s v="AB102711"/>
    <x v="9"/>
    <n v="900440"/>
    <x v="1"/>
  </r>
  <r>
    <n v="10062"/>
    <n v="9"/>
    <d v="2013-08-14T00:00:00"/>
    <s v="DVD"/>
    <n v="101534"/>
    <s v="AB102712"/>
    <x v="16"/>
    <n v="900440"/>
    <x v="1"/>
  </r>
  <r>
    <n v="10252"/>
    <n v="10"/>
    <d v="2013-08-14T00:00:00"/>
    <s v="DVD"/>
    <n v="101535"/>
    <s v="AB102713"/>
    <x v="0"/>
    <n v="559688"/>
    <x v="1"/>
  </r>
  <r>
    <n v="10101"/>
    <n v="6"/>
    <d v="2013-08-16T00:00:00"/>
    <s v="BLU-RAY"/>
    <n v="101535"/>
    <s v="AB102714"/>
    <x v="4"/>
    <n v="559688"/>
    <x v="1"/>
  </r>
  <r>
    <n v="10189"/>
    <n v="7"/>
    <d v="2013-08-15T00:00:00"/>
    <s v="DVD"/>
    <n v="101535"/>
    <s v="AB102715"/>
    <x v="7"/>
    <n v="559688"/>
    <x v="1"/>
  </r>
  <r>
    <n v="10025"/>
    <n v="4"/>
    <d v="2013-08-16T00:00:00"/>
    <s v="DVD"/>
    <n v="101536"/>
    <s v="AB102716"/>
    <x v="4"/>
    <n v="766161"/>
    <x v="1"/>
  </r>
  <r>
    <n v="10054"/>
    <n v="5"/>
    <d v="2013-08-15T00:00:00"/>
    <s v="BLU-RAY"/>
    <n v="101537"/>
    <s v="AB102717"/>
    <x v="1"/>
    <n v="897614"/>
    <x v="1"/>
  </r>
  <r>
    <n v="10084"/>
    <n v="6"/>
    <d v="2013-08-16T00:00:00"/>
    <s v="BLU-RAY"/>
    <n v="101537"/>
    <s v="AB102718"/>
    <x v="18"/>
    <n v="897614"/>
    <x v="1"/>
  </r>
  <r>
    <n v="10048"/>
    <n v="1"/>
    <d v="2013-08-15T00:00:00"/>
    <s v="DVD"/>
    <n v="101538"/>
    <s v="AB102719"/>
    <x v="12"/>
    <n v="119406"/>
    <x v="1"/>
  </r>
  <r>
    <n v="10276"/>
    <n v="2"/>
    <d v="2013-08-15T00:00:00"/>
    <s v="DVD"/>
    <n v="101539"/>
    <s v="AB102720"/>
    <x v="16"/>
    <n v="627324"/>
    <x v="1"/>
  </r>
  <r>
    <n v="10128"/>
    <n v="7"/>
    <d v="2013-08-15T00:00:00"/>
    <s v="DVD"/>
    <n v="101539"/>
    <s v="AB102721"/>
    <x v="6"/>
    <n v="627324"/>
    <x v="1"/>
  </r>
  <r>
    <n v="10229"/>
    <n v="9"/>
    <d v="2013-08-15T00:00:00"/>
    <s v="BLU-RAY"/>
    <n v="101540"/>
    <s v="AB102722"/>
    <x v="6"/>
    <n v="347659"/>
    <x v="1"/>
  </r>
  <r>
    <n v="10125"/>
    <n v="8"/>
    <d v="2013-08-15T00:00:00"/>
    <s v="BLU-RAY"/>
    <n v="101540"/>
    <s v="AB102723"/>
    <x v="9"/>
    <n v="347659"/>
    <x v="1"/>
  </r>
  <r>
    <n v="10230"/>
    <n v="2"/>
    <d v="2013-08-16T00:00:00"/>
    <s v="BLU-RAY"/>
    <n v="101540"/>
    <s v="AB102724"/>
    <x v="14"/>
    <n v="347659"/>
    <x v="1"/>
  </r>
  <r>
    <n v="10131"/>
    <n v="6"/>
    <d v="2013-08-15T00:00:00"/>
    <s v="DVD"/>
    <n v="101541"/>
    <s v="AB102725"/>
    <x v="0"/>
    <n v="199895"/>
    <x v="1"/>
  </r>
  <r>
    <n v="10027"/>
    <n v="10"/>
    <d v="2013-08-16T00:00:00"/>
    <s v="DVD"/>
    <n v="101542"/>
    <s v="AB102726"/>
    <x v="16"/>
    <n v="668931"/>
    <x v="1"/>
  </r>
  <r>
    <n v="10127"/>
    <n v="9"/>
    <d v="2013-08-15T00:00:00"/>
    <s v="DVD"/>
    <n v="101542"/>
    <s v="AB102727"/>
    <x v="6"/>
    <n v="668931"/>
    <x v="1"/>
  </r>
  <r>
    <n v="10161"/>
    <n v="8"/>
    <d v="2013-08-15T00:00:00"/>
    <s v="DVD"/>
    <n v="101542"/>
    <s v="AB102728"/>
    <x v="6"/>
    <n v="668931"/>
    <x v="1"/>
  </r>
  <r>
    <n v="10122"/>
    <n v="9"/>
    <d v="2013-08-15T00:00:00"/>
    <s v="BLU-RAY"/>
    <n v="101542"/>
    <s v="AB102729"/>
    <x v="12"/>
    <n v="668931"/>
    <x v="1"/>
  </r>
  <r>
    <n v="10122"/>
    <n v="6"/>
    <d v="2013-08-15T00:00:00"/>
    <s v="DVD"/>
    <n v="101543"/>
    <s v="AB102730"/>
    <x v="12"/>
    <n v="798336"/>
    <x v="1"/>
  </r>
  <r>
    <n v="10234"/>
    <n v="2"/>
    <d v="2013-08-15T00:00:00"/>
    <s v="BLU-RAY"/>
    <n v="101544"/>
    <s v="AB102731"/>
    <x v="0"/>
    <n v="616392"/>
    <x v="1"/>
  </r>
  <r>
    <n v="10236"/>
    <n v="10"/>
    <d v="2013-08-17T00:00:00"/>
    <s v="DVD"/>
    <n v="101544"/>
    <s v="AB102732"/>
    <x v="10"/>
    <n v="616392"/>
    <x v="1"/>
  </r>
  <r>
    <n v="10157"/>
    <n v="8"/>
    <d v="2013-08-15T00:00:00"/>
    <s v="BLU-RAY"/>
    <n v="101544"/>
    <s v="AB102733"/>
    <x v="1"/>
    <n v="616392"/>
    <x v="1"/>
  </r>
  <r>
    <n v="10182"/>
    <n v="9"/>
    <d v="2013-08-17T00:00:00"/>
    <s v="DVD"/>
    <n v="101545"/>
    <s v="AB102734"/>
    <x v="0"/>
    <n v="454143"/>
    <x v="1"/>
  </r>
  <r>
    <n v="10130"/>
    <n v="3"/>
    <d v="2013-08-16T00:00:00"/>
    <s v="DVD"/>
    <n v="101546"/>
    <s v="AB102735"/>
    <x v="21"/>
    <n v="412876"/>
    <x v="1"/>
  </r>
  <r>
    <n v="10124"/>
    <n v="4"/>
    <d v="2013-08-16T00:00:00"/>
    <s v="BLU-RAY"/>
    <n v="101546"/>
    <s v="AB102736"/>
    <x v="1"/>
    <n v="412876"/>
    <x v="1"/>
  </r>
  <r>
    <n v="10252"/>
    <n v="6"/>
    <d v="2013-08-17T00:00:00"/>
    <s v="DVD"/>
    <n v="101547"/>
    <s v="AB102737"/>
    <x v="0"/>
    <n v="380003"/>
    <x v="1"/>
  </r>
  <r>
    <n v="10195"/>
    <n v="3"/>
    <d v="2013-08-16T00:00:00"/>
    <s v="BLU-RAY"/>
    <n v="101548"/>
    <s v="AB102738"/>
    <x v="4"/>
    <n v="567719"/>
    <x v="1"/>
  </r>
  <r>
    <n v="10066"/>
    <n v="6"/>
    <d v="2013-08-18T00:00:00"/>
    <s v="DVD"/>
    <n v="101549"/>
    <s v="AB102739"/>
    <x v="3"/>
    <n v="622131"/>
    <x v="1"/>
  </r>
  <r>
    <n v="10028"/>
    <n v="9"/>
    <d v="2013-08-17T00:00:00"/>
    <s v="DVD"/>
    <n v="101549"/>
    <s v="AB102740"/>
    <x v="5"/>
    <n v="622131"/>
    <x v="1"/>
  </r>
  <r>
    <n v="10182"/>
    <n v="7"/>
    <d v="2013-08-18T00:00:00"/>
    <s v="DVD"/>
    <n v="101550"/>
    <s v="AB102741"/>
    <x v="0"/>
    <n v="458448"/>
    <x v="1"/>
  </r>
  <r>
    <n v="10092"/>
    <n v="8"/>
    <d v="2013-08-16T00:00:00"/>
    <s v="DVD"/>
    <n v="101550"/>
    <s v="AB102742"/>
    <x v="0"/>
    <n v="458448"/>
    <x v="1"/>
  </r>
  <r>
    <n v="10128"/>
    <n v="2"/>
    <d v="2013-08-17T00:00:00"/>
    <s v="DVD"/>
    <n v="101551"/>
    <s v="AB102743"/>
    <x v="6"/>
    <n v="366695"/>
    <x v="1"/>
  </r>
  <r>
    <n v="10193"/>
    <n v="5"/>
    <d v="2013-08-16T00:00:00"/>
    <s v="DVD"/>
    <n v="101551"/>
    <s v="AB102744"/>
    <x v="9"/>
    <n v="366695"/>
    <x v="1"/>
  </r>
  <r>
    <n v="10267"/>
    <n v="5"/>
    <d v="2013-08-17T00:00:00"/>
    <s v="BLU-RAY"/>
    <n v="101552"/>
    <s v="AB102745"/>
    <x v="6"/>
    <n v="197102"/>
    <x v="1"/>
  </r>
  <r>
    <n v="10041"/>
    <n v="2"/>
    <d v="2013-08-16T00:00:00"/>
    <s v="BLU-RAY"/>
    <n v="101552"/>
    <s v="AB102746"/>
    <x v="10"/>
    <n v="197102"/>
    <x v="1"/>
  </r>
  <r>
    <n v="10090"/>
    <n v="3"/>
    <d v="2013-08-16T00:00:00"/>
    <s v="DVD"/>
    <n v="101553"/>
    <s v="AB102747"/>
    <x v="1"/>
    <n v="345348"/>
    <x v="1"/>
  </r>
  <r>
    <n v="10288"/>
    <n v="2"/>
    <d v="2013-08-16T00:00:00"/>
    <s v="DVD"/>
    <n v="101554"/>
    <s v="AB102748"/>
    <x v="12"/>
    <n v="797968"/>
    <x v="1"/>
  </r>
  <r>
    <n v="10010"/>
    <n v="6"/>
    <d v="2013-08-16T00:00:00"/>
    <s v="BLU-RAY"/>
    <n v="101554"/>
    <s v="AB102749"/>
    <x v="3"/>
    <n v="797968"/>
    <x v="1"/>
  </r>
  <r>
    <n v="10166"/>
    <n v="7"/>
    <d v="2013-08-18T00:00:00"/>
    <s v="DVD"/>
    <n v="101555"/>
    <s v="AB102750"/>
    <x v="9"/>
    <n v="302774"/>
    <x v="1"/>
  </r>
  <r>
    <n v="10029"/>
    <n v="2"/>
    <d v="2013-08-16T00:00:00"/>
    <s v="BLU-RAY"/>
    <n v="101555"/>
    <s v="AB102751"/>
    <x v="12"/>
    <n v="302774"/>
    <x v="1"/>
  </r>
  <r>
    <n v="10148"/>
    <n v="3"/>
    <d v="2013-08-16T00:00:00"/>
    <s v="BLU-RAY"/>
    <n v="101556"/>
    <s v="AB102752"/>
    <x v="1"/>
    <n v="890270"/>
    <x v="1"/>
  </r>
  <r>
    <n v="10081"/>
    <n v="4"/>
    <d v="2013-08-16T00:00:00"/>
    <s v="DVD"/>
    <n v="101556"/>
    <s v="AB102753"/>
    <x v="2"/>
    <n v="890270"/>
    <x v="1"/>
  </r>
  <r>
    <n v="10241"/>
    <n v="10"/>
    <d v="2013-08-16T00:00:00"/>
    <s v="DVD"/>
    <n v="101557"/>
    <s v="AB102754"/>
    <x v="0"/>
    <n v="745543"/>
    <x v="1"/>
  </r>
  <r>
    <n v="10153"/>
    <n v="4"/>
    <d v="2013-08-16T00:00:00"/>
    <s v="DVD"/>
    <n v="101557"/>
    <s v="AB102755"/>
    <x v="10"/>
    <n v="745543"/>
    <x v="1"/>
  </r>
  <r>
    <n v="10191"/>
    <n v="2"/>
    <d v="2013-08-17T00:00:00"/>
    <s v="BLU-RAY"/>
    <n v="101558"/>
    <s v="AB102756"/>
    <x v="7"/>
    <n v="924649"/>
    <x v="1"/>
  </r>
  <r>
    <n v="10029"/>
    <n v="8"/>
    <d v="2013-08-16T00:00:00"/>
    <s v="DVD"/>
    <n v="101559"/>
    <s v="AB102757"/>
    <x v="12"/>
    <n v="200272"/>
    <x v="1"/>
  </r>
  <r>
    <n v="10125"/>
    <n v="1"/>
    <d v="2013-08-17T00:00:00"/>
    <s v="DVD"/>
    <n v="101560"/>
    <s v="AB102758"/>
    <x v="9"/>
    <n v="964403"/>
    <x v="1"/>
  </r>
  <r>
    <n v="10088"/>
    <n v="4"/>
    <d v="2013-08-17T00:00:00"/>
    <s v="BLU-RAY"/>
    <n v="101560"/>
    <s v="AB102759"/>
    <x v="0"/>
    <n v="964403"/>
    <x v="1"/>
  </r>
  <r>
    <n v="10131"/>
    <n v="5"/>
    <d v="2013-08-17T00:00:00"/>
    <s v="DVD"/>
    <n v="101561"/>
    <s v="AB102760"/>
    <x v="0"/>
    <n v="841141"/>
    <x v="1"/>
  </r>
  <r>
    <n v="10105"/>
    <n v="5"/>
    <d v="2013-08-18T00:00:00"/>
    <s v="DVD"/>
    <n v="101562"/>
    <s v="AB102761"/>
    <x v="2"/>
    <n v="297686"/>
    <x v="1"/>
  </r>
  <r>
    <n v="10249"/>
    <n v="2"/>
    <d v="2013-08-17T00:00:00"/>
    <s v="BLU-RAY"/>
    <n v="101563"/>
    <s v="AB102762"/>
    <x v="5"/>
    <n v="157695"/>
    <x v="1"/>
  </r>
  <r>
    <n v="10171"/>
    <n v="1"/>
    <d v="2013-08-17T00:00:00"/>
    <s v="BLU-RAY"/>
    <n v="101563"/>
    <s v="AB102763"/>
    <x v="7"/>
    <n v="157695"/>
    <x v="1"/>
  </r>
  <r>
    <n v="10147"/>
    <n v="8"/>
    <d v="2013-08-17T00:00:00"/>
    <s v="BLU-RAY"/>
    <n v="101564"/>
    <s v="AB102764"/>
    <x v="10"/>
    <n v="817500"/>
    <x v="1"/>
  </r>
  <r>
    <n v="10015"/>
    <n v="8"/>
    <d v="2013-08-17T00:00:00"/>
    <s v="BLU-RAY"/>
    <n v="101565"/>
    <s v="AB102765"/>
    <x v="6"/>
    <n v="783369"/>
    <x v="1"/>
  </r>
  <r>
    <n v="10064"/>
    <n v="4"/>
    <d v="2013-08-17T00:00:00"/>
    <s v="BLU-RAY"/>
    <n v="101565"/>
    <s v="AB102766"/>
    <x v="7"/>
    <n v="783369"/>
    <x v="1"/>
  </r>
  <r>
    <n v="10134"/>
    <n v="8"/>
    <d v="2013-08-18T00:00:00"/>
    <s v="BLU-RAY"/>
    <n v="101566"/>
    <s v="AB102767"/>
    <x v="7"/>
    <n v="671101"/>
    <x v="1"/>
  </r>
  <r>
    <n v="10201"/>
    <n v="7"/>
    <d v="2013-08-18T00:00:00"/>
    <s v="DVD"/>
    <n v="101566"/>
    <s v="AB102768"/>
    <x v="8"/>
    <n v="671101"/>
    <x v="1"/>
  </r>
  <r>
    <n v="10116"/>
    <n v="8"/>
    <d v="2013-08-17T00:00:00"/>
    <s v="BLU-RAY"/>
    <n v="101567"/>
    <s v="AB102769"/>
    <x v="7"/>
    <n v="200272"/>
    <x v="1"/>
  </r>
  <r>
    <n v="10068"/>
    <n v="6"/>
    <d v="2013-08-18T00:00:00"/>
    <s v="BLU-RAY"/>
    <n v="101567"/>
    <s v="AB102770"/>
    <x v="0"/>
    <n v="200272"/>
    <x v="1"/>
  </r>
  <r>
    <n v="10001"/>
    <n v="9"/>
    <d v="2013-08-17T00:00:00"/>
    <s v="DVD"/>
    <n v="101568"/>
    <s v="AB102771"/>
    <x v="14"/>
    <n v="185863"/>
    <x v="1"/>
  </r>
  <r>
    <n v="10023"/>
    <n v="3"/>
    <d v="2013-08-18T00:00:00"/>
    <s v="BLU-RAY"/>
    <n v="101568"/>
    <s v="AB102772"/>
    <x v="3"/>
    <n v="185863"/>
    <x v="1"/>
  </r>
  <r>
    <n v="10136"/>
    <n v="10"/>
    <d v="2013-08-17T00:00:00"/>
    <s v="DVD"/>
    <n v="101569"/>
    <s v="AB102773"/>
    <x v="2"/>
    <n v="308505"/>
    <x v="1"/>
  </r>
  <r>
    <n v="10037"/>
    <n v="8"/>
    <d v="2013-08-17T00:00:00"/>
    <s v="BLU-RAY"/>
    <n v="101570"/>
    <s v="AB102774"/>
    <x v="3"/>
    <n v="755271"/>
    <x v="1"/>
  </r>
  <r>
    <n v="10070"/>
    <n v="7"/>
    <d v="2013-08-17T00:00:00"/>
    <s v="DVD"/>
    <n v="101571"/>
    <s v="AB102775"/>
    <x v="1"/>
    <n v="412544"/>
    <x v="1"/>
  </r>
  <r>
    <n v="10081"/>
    <n v="4"/>
    <d v="2013-08-17T00:00:00"/>
    <s v="BLU-RAY"/>
    <n v="101572"/>
    <s v="AB102776"/>
    <x v="2"/>
    <n v="347659"/>
    <x v="1"/>
  </r>
  <r>
    <n v="10048"/>
    <n v="10"/>
    <d v="2013-08-17T00:00:00"/>
    <s v="BLU-RAY"/>
    <n v="101572"/>
    <s v="AB102777"/>
    <x v="12"/>
    <n v="347659"/>
    <x v="1"/>
  </r>
  <r>
    <n v="10279"/>
    <n v="2"/>
    <d v="2013-08-19T00:00:00"/>
    <s v="DVD"/>
    <n v="101573"/>
    <s v="AB102778"/>
    <x v="8"/>
    <n v="897980"/>
    <x v="1"/>
  </r>
  <r>
    <n v="10036"/>
    <n v="5"/>
    <d v="2013-08-19T00:00:00"/>
    <s v="BLU-RAY"/>
    <n v="101574"/>
    <s v="AB102779"/>
    <x v="7"/>
    <n v="128131"/>
    <x v="1"/>
  </r>
  <r>
    <n v="10158"/>
    <n v="2"/>
    <d v="2013-08-18T00:00:00"/>
    <s v="DVD"/>
    <n v="101574"/>
    <s v="AB102780"/>
    <x v="0"/>
    <n v="128131"/>
    <x v="1"/>
  </r>
  <r>
    <n v="10174"/>
    <n v="4"/>
    <d v="2013-08-18T00:00:00"/>
    <s v="DVD"/>
    <n v="101575"/>
    <s v="AB102781"/>
    <x v="7"/>
    <n v="346006"/>
    <x v="1"/>
  </r>
  <r>
    <n v="10260"/>
    <n v="8"/>
    <d v="2013-08-18T00:00:00"/>
    <s v="DVD"/>
    <n v="101575"/>
    <s v="AB102782"/>
    <x v="4"/>
    <n v="346006"/>
    <x v="1"/>
  </r>
  <r>
    <n v="10246"/>
    <n v="8"/>
    <d v="2013-08-18T00:00:00"/>
    <s v="BLU-RAY"/>
    <n v="101575"/>
    <s v="AB102783"/>
    <x v="2"/>
    <n v="346006"/>
    <x v="1"/>
  </r>
  <r>
    <n v="10281"/>
    <n v="5"/>
    <d v="2013-08-19T00:00:00"/>
    <s v="BLU-RAY"/>
    <n v="101576"/>
    <s v="AB102784"/>
    <x v="10"/>
    <n v="593317"/>
    <x v="1"/>
  </r>
  <r>
    <n v="10129"/>
    <n v="9"/>
    <d v="2013-08-19T00:00:00"/>
    <s v="DVD"/>
    <n v="101576"/>
    <s v="AB102785"/>
    <x v="0"/>
    <n v="593317"/>
    <x v="1"/>
  </r>
  <r>
    <n v="10255"/>
    <n v="2"/>
    <d v="2013-08-18T00:00:00"/>
    <s v="BLU-RAY"/>
    <n v="101576"/>
    <s v="AB102786"/>
    <x v="1"/>
    <n v="593317"/>
    <x v="1"/>
  </r>
  <r>
    <n v="10193"/>
    <n v="1"/>
    <d v="2013-08-18T00:00:00"/>
    <s v="BLU-RAY"/>
    <n v="101576"/>
    <s v="AB102787"/>
    <x v="9"/>
    <n v="593317"/>
    <x v="1"/>
  </r>
  <r>
    <n v="10129"/>
    <n v="9"/>
    <d v="2013-08-18T00:00:00"/>
    <s v="BLU-RAY"/>
    <n v="101577"/>
    <s v="AB102788"/>
    <x v="0"/>
    <n v="766161"/>
    <x v="1"/>
  </r>
  <r>
    <n v="10187"/>
    <n v="1"/>
    <d v="2013-08-19T00:00:00"/>
    <s v="BLU-RAY"/>
    <n v="101577"/>
    <s v="AB102789"/>
    <x v="1"/>
    <n v="766161"/>
    <x v="1"/>
  </r>
  <r>
    <n v="10078"/>
    <n v="3"/>
    <d v="2013-08-18T00:00:00"/>
    <s v="DVD"/>
    <n v="101577"/>
    <s v="AB102790"/>
    <x v="1"/>
    <n v="766161"/>
    <x v="1"/>
  </r>
  <r>
    <n v="10163"/>
    <n v="3"/>
    <d v="2013-08-18T00:00:00"/>
    <s v="DVD"/>
    <n v="101577"/>
    <s v="AB102791"/>
    <x v="0"/>
    <n v="766161"/>
    <x v="1"/>
  </r>
  <r>
    <n v="10032"/>
    <n v="4"/>
    <d v="2013-08-18T00:00:00"/>
    <s v="DVD"/>
    <n v="101578"/>
    <s v="AB102792"/>
    <x v="4"/>
    <n v="891738"/>
    <x v="1"/>
  </r>
  <r>
    <n v="10070"/>
    <n v="2"/>
    <d v="2013-08-19T00:00:00"/>
    <s v="DVD"/>
    <n v="101578"/>
    <s v="AB102793"/>
    <x v="1"/>
    <n v="891738"/>
    <x v="1"/>
  </r>
  <r>
    <n v="10286"/>
    <n v="8"/>
    <d v="2013-08-20T00:00:00"/>
    <s v="BLU-RAY"/>
    <n v="101579"/>
    <s v="AB102794"/>
    <x v="17"/>
    <n v="197102"/>
    <x v="1"/>
  </r>
  <r>
    <n v="10160"/>
    <n v="1"/>
    <d v="2013-08-19T00:00:00"/>
    <s v="BLU-RAY"/>
    <n v="101579"/>
    <s v="AB102795"/>
    <x v="10"/>
    <n v="197102"/>
    <x v="1"/>
  </r>
  <r>
    <n v="10070"/>
    <n v="8"/>
    <d v="2013-08-19T00:00:00"/>
    <s v="BLU-RAY"/>
    <n v="101580"/>
    <s v="AB102796"/>
    <x v="1"/>
    <n v="744648"/>
    <x v="1"/>
  </r>
  <r>
    <n v="10297"/>
    <n v="5"/>
    <d v="2013-08-20T00:00:00"/>
    <s v="BLU-RAY"/>
    <n v="101581"/>
    <s v="AB102797"/>
    <x v="14"/>
    <n v="347659"/>
    <x v="1"/>
  </r>
  <r>
    <n v="10285"/>
    <n v="4"/>
    <d v="2013-08-19T00:00:00"/>
    <s v="DVD"/>
    <n v="101582"/>
    <s v="AB102798"/>
    <x v="20"/>
    <n v="840970"/>
    <x v="1"/>
  </r>
  <r>
    <n v="10275"/>
    <n v="4"/>
    <d v="2013-08-19T00:00:00"/>
    <s v="DVD"/>
    <n v="101583"/>
    <s v="AB102799"/>
    <x v="10"/>
    <n v="524667"/>
    <x v="1"/>
  </r>
  <r>
    <n v="10239"/>
    <n v="3"/>
    <d v="2013-08-19T00:00:00"/>
    <s v="DVD"/>
    <n v="101583"/>
    <s v="AB102800"/>
    <x v="2"/>
    <n v="524667"/>
    <x v="1"/>
  </r>
  <r>
    <n v="10135"/>
    <n v="2"/>
    <d v="2013-08-19T00:00:00"/>
    <s v="DVD"/>
    <n v="101584"/>
    <s v="AB102801"/>
    <x v="7"/>
    <n v="797968"/>
    <x v="1"/>
  </r>
  <r>
    <n v="10138"/>
    <n v="8"/>
    <d v="2013-08-21T00:00:00"/>
    <s v="DVD"/>
    <n v="101585"/>
    <s v="AB102802"/>
    <x v="7"/>
    <n v="924649"/>
    <x v="1"/>
  </r>
  <r>
    <n v="10245"/>
    <n v="3"/>
    <d v="2013-08-20T00:00:00"/>
    <s v="BLU-RAY"/>
    <n v="101585"/>
    <s v="AB102803"/>
    <x v="0"/>
    <n v="924649"/>
    <x v="1"/>
  </r>
  <r>
    <n v="10248"/>
    <n v="5"/>
    <d v="2013-08-19T00:00:00"/>
    <s v="DVD"/>
    <n v="101586"/>
    <s v="AB102804"/>
    <x v="12"/>
    <n v="611848"/>
    <x v="1"/>
  </r>
  <r>
    <n v="10085"/>
    <n v="6"/>
    <d v="2013-08-20T00:00:00"/>
    <s v="DVD"/>
    <n v="101586"/>
    <s v="AB102805"/>
    <x v="3"/>
    <n v="611848"/>
    <x v="1"/>
  </r>
  <r>
    <n v="10033"/>
    <n v="8"/>
    <d v="2013-08-20T00:00:00"/>
    <s v="BLU-RAY"/>
    <n v="101586"/>
    <s v="AB102806"/>
    <x v="10"/>
    <n v="611848"/>
    <x v="1"/>
  </r>
  <r>
    <n v="10018"/>
    <n v="4"/>
    <d v="2013-08-20T00:00:00"/>
    <s v="BLU-RAY"/>
    <n v="101586"/>
    <s v="AB102807"/>
    <x v="9"/>
    <n v="611848"/>
    <x v="1"/>
  </r>
  <r>
    <n v="10071"/>
    <n v="2"/>
    <d v="2013-08-19T00:00:00"/>
    <s v="DVD"/>
    <n v="101587"/>
    <s v="AB102808"/>
    <x v="1"/>
    <n v="970794"/>
    <x v="1"/>
  </r>
  <r>
    <n v="10107"/>
    <n v="3"/>
    <d v="2013-08-20T00:00:00"/>
    <s v="BLU-RAY"/>
    <n v="101588"/>
    <s v="AB102809"/>
    <x v="7"/>
    <n v="485769"/>
    <x v="1"/>
  </r>
  <r>
    <n v="10139"/>
    <n v="5"/>
    <d v="2013-08-19T00:00:00"/>
    <s v="BLU-RAY"/>
    <n v="101588"/>
    <s v="AB102810"/>
    <x v="14"/>
    <n v="485769"/>
    <x v="1"/>
  </r>
  <r>
    <n v="10232"/>
    <n v="6"/>
    <d v="2013-08-19T00:00:00"/>
    <s v="BLU-RAY"/>
    <n v="101588"/>
    <s v="AB102811"/>
    <x v="1"/>
    <n v="485769"/>
    <x v="1"/>
  </r>
  <r>
    <n v="10060"/>
    <n v="1"/>
    <d v="2013-08-19T00:00:00"/>
    <s v="DVD"/>
    <n v="101589"/>
    <s v="AB102812"/>
    <x v="0"/>
    <n v="412235"/>
    <x v="1"/>
  </r>
  <r>
    <n v="10127"/>
    <n v="8"/>
    <d v="2013-08-19T00:00:00"/>
    <s v="BLU-RAY"/>
    <n v="101589"/>
    <s v="AB102813"/>
    <x v="6"/>
    <n v="412235"/>
    <x v="1"/>
  </r>
  <r>
    <n v="10284"/>
    <n v="7"/>
    <d v="2013-08-19T00:00:00"/>
    <s v="BLU-RAY"/>
    <n v="101590"/>
    <s v="AB102814"/>
    <x v="14"/>
    <n v="119406"/>
    <x v="1"/>
  </r>
  <r>
    <n v="10234"/>
    <n v="6"/>
    <d v="2013-08-19T00:00:00"/>
    <s v="DVD"/>
    <n v="101590"/>
    <s v="AB102815"/>
    <x v="0"/>
    <n v="119406"/>
    <x v="1"/>
  </r>
  <r>
    <n v="10246"/>
    <n v="5"/>
    <d v="2013-08-19T00:00:00"/>
    <s v="DVD"/>
    <n v="101591"/>
    <s v="AB102816"/>
    <x v="2"/>
    <n v="565259"/>
    <x v="1"/>
  </r>
  <r>
    <n v="10292"/>
    <n v="9"/>
    <d v="2013-08-19T00:00:00"/>
    <s v="BLU-RAY"/>
    <n v="101592"/>
    <s v="AB102817"/>
    <x v="15"/>
    <n v="548800"/>
    <x v="1"/>
  </r>
  <r>
    <n v="10167"/>
    <n v="10"/>
    <d v="2013-08-19T00:00:00"/>
    <s v="BLU-RAY"/>
    <n v="101592"/>
    <s v="AB102818"/>
    <x v="7"/>
    <n v="548800"/>
    <x v="1"/>
  </r>
  <r>
    <n v="10154"/>
    <n v="6"/>
    <d v="2013-08-20T00:00:00"/>
    <s v="BLU-RAY"/>
    <n v="101592"/>
    <s v="AB102819"/>
    <x v="5"/>
    <n v="548800"/>
    <x v="1"/>
  </r>
  <r>
    <n v="10146"/>
    <n v="9"/>
    <d v="2013-08-19T00:00:00"/>
    <s v="DVD"/>
    <n v="101593"/>
    <s v="AB102820"/>
    <x v="4"/>
    <n v="500350"/>
    <x v="1"/>
  </r>
  <r>
    <n v="10200"/>
    <n v="10"/>
    <d v="2013-08-20T00:00:00"/>
    <s v="BLU-RAY"/>
    <n v="101594"/>
    <s v="AB102821"/>
    <x v="9"/>
    <n v="414509"/>
    <x v="1"/>
  </r>
  <r>
    <n v="10103"/>
    <n v="9"/>
    <d v="2013-08-21T00:00:00"/>
    <s v="DVD"/>
    <n v="101594"/>
    <s v="AB102822"/>
    <x v="9"/>
    <n v="414509"/>
    <x v="1"/>
  </r>
  <r>
    <n v="10199"/>
    <n v="4"/>
    <d v="2013-08-20T00:00:00"/>
    <s v="DVD"/>
    <n v="101595"/>
    <s v="AB102823"/>
    <x v="10"/>
    <n v="901388"/>
    <x v="1"/>
  </r>
  <r>
    <n v="10036"/>
    <n v="9"/>
    <d v="2013-08-21T00:00:00"/>
    <s v="BLU-RAY"/>
    <n v="101596"/>
    <s v="AB102824"/>
    <x v="7"/>
    <n v="191951"/>
    <x v="1"/>
  </r>
  <r>
    <n v="10261"/>
    <n v="8"/>
    <d v="2013-08-21T00:00:00"/>
    <s v="BLU-RAY"/>
    <n v="101596"/>
    <s v="AB102825"/>
    <x v="9"/>
    <n v="191951"/>
    <x v="1"/>
  </r>
  <r>
    <n v="10151"/>
    <n v="7"/>
    <d v="2013-08-20T00:00:00"/>
    <s v="DVD"/>
    <n v="101597"/>
    <s v="AB102826"/>
    <x v="8"/>
    <n v="846558"/>
    <x v="1"/>
  </r>
  <r>
    <n v="10202"/>
    <n v="6"/>
    <d v="2013-08-20T00:00:00"/>
    <s v="DVD"/>
    <n v="101598"/>
    <s v="AB102827"/>
    <x v="0"/>
    <n v="296353"/>
    <x v="1"/>
  </r>
  <r>
    <n v="10115"/>
    <n v="1"/>
    <d v="2013-08-21T00:00:00"/>
    <s v="DVD"/>
    <n v="101598"/>
    <s v="AB102828"/>
    <x v="11"/>
    <n v="296353"/>
    <x v="1"/>
  </r>
  <r>
    <n v="10048"/>
    <n v="8"/>
    <d v="2013-08-20T00:00:00"/>
    <s v="DVD"/>
    <n v="101599"/>
    <s v="AB102829"/>
    <x v="12"/>
    <n v="714947"/>
    <x v="1"/>
  </r>
  <r>
    <n v="10225"/>
    <n v="3"/>
    <d v="2013-08-20T00:00:00"/>
    <s v="DVD"/>
    <n v="101599"/>
    <s v="AB102830"/>
    <x v="0"/>
    <n v="714947"/>
    <x v="1"/>
  </r>
  <r>
    <n v="10130"/>
    <n v="10"/>
    <d v="2013-08-20T00:00:00"/>
    <s v="BLU-RAY"/>
    <n v="101600"/>
    <s v="AB102831"/>
    <x v="21"/>
    <n v="680104"/>
    <x v="1"/>
  </r>
  <r>
    <n v="10169"/>
    <n v="6"/>
    <d v="2013-08-20T00:00:00"/>
    <s v="BLU-RAY"/>
    <n v="101600"/>
    <s v="AB102832"/>
    <x v="0"/>
    <n v="680104"/>
    <x v="1"/>
  </r>
  <r>
    <n v="10265"/>
    <n v="1"/>
    <d v="2013-08-20T00:00:00"/>
    <s v="DVD"/>
    <n v="101600"/>
    <s v="AB102833"/>
    <x v="0"/>
    <n v="680104"/>
    <x v="1"/>
  </r>
  <r>
    <n v="10228"/>
    <n v="3"/>
    <d v="2013-08-20T00:00:00"/>
    <s v="DVD"/>
    <n v="101600"/>
    <s v="AB102834"/>
    <x v="7"/>
    <n v="680104"/>
    <x v="1"/>
  </r>
  <r>
    <n v="10055"/>
    <n v="7"/>
    <d v="2013-08-20T00:00:00"/>
    <s v="BLU-RAY"/>
    <n v="101601"/>
    <s v="AB102835"/>
    <x v="15"/>
    <n v="575041"/>
    <x v="1"/>
  </r>
  <r>
    <n v="10114"/>
    <n v="4"/>
    <d v="2013-08-20T00:00:00"/>
    <s v="BLU-RAY"/>
    <n v="101601"/>
    <s v="AB102836"/>
    <x v="10"/>
    <n v="575041"/>
    <x v="1"/>
  </r>
  <r>
    <n v="10077"/>
    <n v="10"/>
    <d v="2013-08-20T00:00:00"/>
    <s v="DVD"/>
    <n v="101601"/>
    <s v="AB102837"/>
    <x v="0"/>
    <n v="575041"/>
    <x v="1"/>
  </r>
  <r>
    <n v="10199"/>
    <n v="7"/>
    <d v="2013-08-20T00:00:00"/>
    <s v="DVD"/>
    <n v="101601"/>
    <s v="AB102838"/>
    <x v="10"/>
    <n v="575041"/>
    <x v="1"/>
  </r>
  <r>
    <n v="10121"/>
    <n v="7"/>
    <d v="2013-08-20T00:00:00"/>
    <s v="DVD"/>
    <n v="101601"/>
    <s v="AB102839"/>
    <x v="2"/>
    <n v="575041"/>
    <x v="1"/>
  </r>
  <r>
    <n v="10085"/>
    <n v="2"/>
    <d v="2013-08-21T00:00:00"/>
    <s v="DVD"/>
    <n v="101602"/>
    <s v="AB102840"/>
    <x v="3"/>
    <n v="568217"/>
    <x v="1"/>
  </r>
  <r>
    <n v="10207"/>
    <n v="4"/>
    <d v="2013-08-20T00:00:00"/>
    <s v="BLU-RAY"/>
    <n v="101602"/>
    <s v="AB102841"/>
    <x v="1"/>
    <n v="568217"/>
    <x v="1"/>
  </r>
  <r>
    <n v="10237"/>
    <n v="9"/>
    <d v="2013-08-21T00:00:00"/>
    <s v="BLU-RAY"/>
    <n v="101603"/>
    <s v="AB102842"/>
    <x v="0"/>
    <n v="815980"/>
    <x v="1"/>
  </r>
  <r>
    <n v="10039"/>
    <n v="3"/>
    <d v="2013-08-20T00:00:00"/>
    <s v="DVD"/>
    <n v="101603"/>
    <s v="AB102843"/>
    <x v="11"/>
    <n v="815980"/>
    <x v="1"/>
  </r>
  <r>
    <n v="10273"/>
    <n v="6"/>
    <d v="2013-08-20T00:00:00"/>
    <s v="DVD"/>
    <n v="101604"/>
    <s v="AB102844"/>
    <x v="4"/>
    <n v="890651"/>
    <x v="1"/>
  </r>
  <r>
    <n v="10138"/>
    <n v="1"/>
    <d v="2013-08-20T00:00:00"/>
    <s v="BLU-RAY"/>
    <n v="101605"/>
    <s v="AB102845"/>
    <x v="7"/>
    <n v="520377"/>
    <x v="1"/>
  </r>
  <r>
    <n v="10053"/>
    <n v="5"/>
    <d v="2013-08-22T00:00:00"/>
    <s v="BLU-RAY"/>
    <n v="101606"/>
    <s v="AB102846"/>
    <x v="4"/>
    <n v="134457"/>
    <x v="1"/>
  </r>
  <r>
    <n v="10206"/>
    <n v="5"/>
    <d v="2013-08-23T00:00:00"/>
    <s v="DVD"/>
    <n v="101607"/>
    <s v="AB102847"/>
    <x v="9"/>
    <n v="230467"/>
    <x v="1"/>
  </r>
  <r>
    <n v="10106"/>
    <n v="6"/>
    <d v="2013-08-21T00:00:00"/>
    <s v="DVD"/>
    <n v="101608"/>
    <s v="AB102848"/>
    <x v="9"/>
    <n v="703083"/>
    <x v="1"/>
  </r>
  <r>
    <n v="10063"/>
    <n v="4"/>
    <d v="2013-08-22T00:00:00"/>
    <s v="DVD"/>
    <n v="101608"/>
    <s v="AB102849"/>
    <x v="18"/>
    <n v="703083"/>
    <x v="1"/>
  </r>
  <r>
    <n v="10061"/>
    <n v="2"/>
    <d v="2013-08-21T00:00:00"/>
    <s v="DVD"/>
    <n v="101609"/>
    <s v="AB102850"/>
    <x v="9"/>
    <n v="166135"/>
    <x v="1"/>
  </r>
  <r>
    <n v="10015"/>
    <n v="6"/>
    <d v="2013-08-23T00:00:00"/>
    <s v="BLU-RAY"/>
    <n v="101609"/>
    <s v="AB102851"/>
    <x v="6"/>
    <n v="166135"/>
    <x v="1"/>
  </r>
  <r>
    <n v="10274"/>
    <n v="2"/>
    <d v="2013-08-21T00:00:00"/>
    <s v="DVD"/>
    <n v="101609"/>
    <s v="AB102852"/>
    <x v="9"/>
    <n v="166135"/>
    <x v="1"/>
  </r>
  <r>
    <n v="10032"/>
    <n v="2"/>
    <d v="2013-08-21T00:00:00"/>
    <s v="DVD"/>
    <n v="101610"/>
    <s v="AB102853"/>
    <x v="4"/>
    <n v="567719"/>
    <x v="1"/>
  </r>
  <r>
    <n v="10233"/>
    <n v="5"/>
    <d v="2013-08-23T00:00:00"/>
    <s v="BLU-RAY"/>
    <n v="101611"/>
    <s v="AB102854"/>
    <x v="8"/>
    <n v="757780"/>
    <x v="1"/>
  </r>
  <r>
    <n v="10225"/>
    <n v="3"/>
    <d v="2013-08-21T00:00:00"/>
    <s v="DVD"/>
    <n v="101611"/>
    <s v="AB102855"/>
    <x v="0"/>
    <n v="757780"/>
    <x v="1"/>
  </r>
  <r>
    <n v="10020"/>
    <n v="3"/>
    <d v="2013-08-22T00:00:00"/>
    <s v="DVD"/>
    <n v="101612"/>
    <s v="AB102856"/>
    <x v="16"/>
    <n v="706101"/>
    <x v="1"/>
  </r>
  <r>
    <n v="10174"/>
    <n v="6"/>
    <d v="2013-08-21T00:00:00"/>
    <s v="DVD"/>
    <n v="101613"/>
    <s v="AB102857"/>
    <x v="7"/>
    <n v="912671"/>
    <x v="1"/>
  </r>
  <r>
    <n v="10109"/>
    <n v="1"/>
    <d v="2013-08-21T00:00:00"/>
    <s v="DVD"/>
    <n v="101613"/>
    <s v="AB102858"/>
    <x v="0"/>
    <n v="912671"/>
    <x v="1"/>
  </r>
  <r>
    <n v="10049"/>
    <n v="6"/>
    <d v="2013-08-21T00:00:00"/>
    <s v="BLU-RAY"/>
    <n v="101614"/>
    <s v="AB102859"/>
    <x v="7"/>
    <n v="266633"/>
    <x v="1"/>
  </r>
  <r>
    <n v="10031"/>
    <n v="10"/>
    <d v="2013-08-22T00:00:00"/>
    <s v="DVD"/>
    <n v="101615"/>
    <s v="AB102860"/>
    <x v="0"/>
    <n v="599995"/>
    <x v="1"/>
  </r>
  <r>
    <n v="10020"/>
    <n v="9"/>
    <d v="2013-08-24T00:00:00"/>
    <s v="BLU-RAY"/>
    <n v="101615"/>
    <s v="AB102861"/>
    <x v="16"/>
    <n v="599995"/>
    <x v="1"/>
  </r>
  <r>
    <n v="10225"/>
    <n v="5"/>
    <d v="2013-08-22T00:00:00"/>
    <s v="DVD"/>
    <n v="101615"/>
    <s v="AB102862"/>
    <x v="0"/>
    <n v="599995"/>
    <x v="1"/>
  </r>
  <r>
    <n v="10022"/>
    <n v="1"/>
    <d v="2013-08-22T00:00:00"/>
    <s v="DVD"/>
    <n v="101616"/>
    <s v="AB102863"/>
    <x v="7"/>
    <n v="745543"/>
    <x v="1"/>
  </r>
  <r>
    <n v="10283"/>
    <n v="9"/>
    <d v="2013-08-23T00:00:00"/>
    <s v="DVD"/>
    <n v="101617"/>
    <s v="AB102864"/>
    <x v="6"/>
    <n v="672834"/>
    <x v="1"/>
  </r>
  <r>
    <n v="10001"/>
    <n v="8"/>
    <d v="2013-08-22T00:00:00"/>
    <s v="DVD"/>
    <n v="101617"/>
    <s v="AB102865"/>
    <x v="14"/>
    <n v="672834"/>
    <x v="1"/>
  </r>
  <r>
    <n v="10034"/>
    <n v="4"/>
    <d v="2013-08-22T00:00:00"/>
    <s v="BLU-RAY"/>
    <n v="101617"/>
    <s v="AB102866"/>
    <x v="10"/>
    <n v="672834"/>
    <x v="1"/>
  </r>
  <r>
    <n v="10130"/>
    <n v="2"/>
    <d v="2013-08-22T00:00:00"/>
    <s v="BLU-RAY"/>
    <n v="101618"/>
    <s v="AB102867"/>
    <x v="21"/>
    <n v="900440"/>
    <x v="1"/>
  </r>
  <r>
    <n v="10276"/>
    <n v="5"/>
    <d v="2013-08-22T00:00:00"/>
    <s v="BLU-RAY"/>
    <n v="101618"/>
    <s v="AB102868"/>
    <x v="16"/>
    <n v="900440"/>
    <x v="1"/>
  </r>
  <r>
    <n v="10269"/>
    <n v="5"/>
    <d v="2013-08-24T00:00:00"/>
    <s v="DVD"/>
    <n v="101619"/>
    <s v="AB102869"/>
    <x v="3"/>
    <n v="912671"/>
    <x v="1"/>
  </r>
  <r>
    <n v="10202"/>
    <n v="4"/>
    <d v="2013-08-24T00:00:00"/>
    <s v="DVD"/>
    <n v="101619"/>
    <s v="AB102870"/>
    <x v="0"/>
    <n v="912671"/>
    <x v="1"/>
  </r>
  <r>
    <n v="10136"/>
    <n v="10"/>
    <d v="2013-08-24T00:00:00"/>
    <s v="DVD"/>
    <n v="101620"/>
    <s v="AB102871"/>
    <x v="2"/>
    <n v="866556"/>
    <x v="1"/>
  </r>
  <r>
    <n v="10103"/>
    <n v="5"/>
    <d v="2013-08-22T00:00:00"/>
    <s v="DVD"/>
    <n v="101621"/>
    <s v="AB102872"/>
    <x v="9"/>
    <n v="781523"/>
    <x v="1"/>
  </r>
  <r>
    <n v="10247"/>
    <n v="5"/>
    <d v="2013-08-23T00:00:00"/>
    <s v="DVD"/>
    <n v="101622"/>
    <s v="AB102873"/>
    <x v="9"/>
    <n v="464782"/>
    <x v="1"/>
  </r>
  <r>
    <n v="10246"/>
    <n v="1"/>
    <d v="2013-08-23T00:00:00"/>
    <s v="DVD"/>
    <n v="101623"/>
    <s v="AB102874"/>
    <x v="2"/>
    <n v="941876"/>
    <x v="1"/>
  </r>
  <r>
    <n v="10029"/>
    <n v="9"/>
    <d v="2013-08-23T00:00:00"/>
    <s v="DVD"/>
    <n v="101623"/>
    <s v="AB102875"/>
    <x v="12"/>
    <n v="941876"/>
    <x v="1"/>
  </r>
  <r>
    <n v="10148"/>
    <n v="5"/>
    <d v="2013-08-23T00:00:00"/>
    <s v="DVD"/>
    <n v="101623"/>
    <s v="AB102876"/>
    <x v="1"/>
    <n v="941876"/>
    <x v="1"/>
  </r>
  <r>
    <n v="10101"/>
    <n v="8"/>
    <d v="2013-08-23T00:00:00"/>
    <s v="BLU-RAY"/>
    <n v="101623"/>
    <s v="AB102877"/>
    <x v="4"/>
    <n v="941876"/>
    <x v="1"/>
  </r>
  <r>
    <n v="10047"/>
    <n v="9"/>
    <d v="2013-08-23T00:00:00"/>
    <s v="BLU-RAY"/>
    <n v="101623"/>
    <s v="AB102878"/>
    <x v="0"/>
    <n v="941876"/>
    <x v="1"/>
  </r>
  <r>
    <n v="10246"/>
    <n v="6"/>
    <d v="2013-08-23T00:00:00"/>
    <s v="DVD"/>
    <n v="101624"/>
    <s v="AB102879"/>
    <x v="2"/>
    <n v="944523"/>
    <x v="1"/>
  </r>
  <r>
    <n v="10172"/>
    <n v="7"/>
    <d v="2013-08-23T00:00:00"/>
    <s v="BLU-RAY"/>
    <n v="101624"/>
    <s v="AB102880"/>
    <x v="10"/>
    <n v="944523"/>
    <x v="1"/>
  </r>
  <r>
    <n v="10168"/>
    <n v="3"/>
    <d v="2013-08-23T00:00:00"/>
    <s v="BLU-RAY"/>
    <n v="101624"/>
    <s v="AB102881"/>
    <x v="1"/>
    <n v="944523"/>
    <x v="1"/>
  </r>
  <r>
    <n v="10109"/>
    <n v="10"/>
    <d v="2013-08-23T00:00:00"/>
    <s v="DVD"/>
    <n v="101625"/>
    <s v="AB102882"/>
    <x v="0"/>
    <n v="889686"/>
    <x v="1"/>
  </r>
  <r>
    <n v="10118"/>
    <n v="3"/>
    <d v="2013-08-23T00:00:00"/>
    <s v="BLU-RAY"/>
    <n v="101626"/>
    <s v="AB102883"/>
    <x v="3"/>
    <n v="701211"/>
    <x v="1"/>
  </r>
  <r>
    <n v="10237"/>
    <n v="4"/>
    <d v="2013-08-23T00:00:00"/>
    <s v="DVD"/>
    <n v="101626"/>
    <s v="AB102884"/>
    <x v="0"/>
    <n v="701211"/>
    <x v="1"/>
  </r>
  <r>
    <n v="10224"/>
    <n v="4"/>
    <d v="2013-08-23T00:00:00"/>
    <s v="DVD"/>
    <n v="101626"/>
    <s v="AB102885"/>
    <x v="17"/>
    <n v="701211"/>
    <x v="1"/>
  </r>
  <r>
    <n v="10152"/>
    <n v="1"/>
    <d v="2013-08-23T00:00:00"/>
    <s v="BLU-RAY"/>
    <n v="101627"/>
    <s v="AB102886"/>
    <x v="16"/>
    <n v="233956"/>
    <x v="1"/>
  </r>
  <r>
    <n v="10001"/>
    <n v="5"/>
    <d v="2013-08-23T00:00:00"/>
    <s v="DVD"/>
    <n v="101627"/>
    <s v="AB102887"/>
    <x v="14"/>
    <n v="233956"/>
    <x v="1"/>
  </r>
  <r>
    <n v="10231"/>
    <n v="5"/>
    <d v="2013-08-23T00:00:00"/>
    <s v="DVD"/>
    <n v="101627"/>
    <s v="AB102888"/>
    <x v="7"/>
    <n v="233956"/>
    <x v="1"/>
  </r>
  <r>
    <n v="10148"/>
    <n v="1"/>
    <d v="2013-08-23T00:00:00"/>
    <s v="DVD"/>
    <n v="101627"/>
    <s v="AB102889"/>
    <x v="1"/>
    <n v="233956"/>
    <x v="1"/>
  </r>
  <r>
    <n v="10185"/>
    <n v="6"/>
    <d v="2013-08-24T00:00:00"/>
    <s v="BLU-RAY"/>
    <n v="101628"/>
    <s v="AB102890"/>
    <x v="0"/>
    <n v="420981"/>
    <x v="1"/>
  </r>
  <r>
    <n v="10129"/>
    <n v="6"/>
    <d v="2013-08-23T00:00:00"/>
    <s v="DVD"/>
    <n v="101628"/>
    <s v="AB102891"/>
    <x v="0"/>
    <n v="420981"/>
    <x v="1"/>
  </r>
  <r>
    <n v="10213"/>
    <n v="9"/>
    <d v="2013-08-23T00:00:00"/>
    <s v="DVD"/>
    <n v="101629"/>
    <s v="AB102892"/>
    <x v="4"/>
    <n v="108708"/>
    <x v="1"/>
  </r>
  <r>
    <n v="10233"/>
    <n v="10"/>
    <d v="2013-08-23T00:00:00"/>
    <s v="DVD"/>
    <n v="101630"/>
    <s v="AB102893"/>
    <x v="8"/>
    <n v="407605"/>
    <x v="1"/>
  </r>
  <r>
    <n v="10270"/>
    <n v="10"/>
    <d v="2013-08-23T00:00:00"/>
    <s v="DVD"/>
    <n v="101631"/>
    <s v="AB102894"/>
    <x v="9"/>
    <n v="796796"/>
    <x v="1"/>
  </r>
  <r>
    <n v="10028"/>
    <n v="9"/>
    <d v="2013-08-24T00:00:00"/>
    <s v="DVD"/>
    <n v="101631"/>
    <s v="AB102895"/>
    <x v="5"/>
    <n v="796796"/>
    <x v="1"/>
  </r>
  <r>
    <n v="10084"/>
    <n v="1"/>
    <d v="2013-08-26T00:00:00"/>
    <s v="DVD"/>
    <n v="101632"/>
    <s v="AB102896"/>
    <x v="18"/>
    <n v="484909"/>
    <x v="1"/>
  </r>
  <r>
    <n v="10069"/>
    <n v="8"/>
    <d v="2013-08-23T00:00:00"/>
    <s v="BLU-RAY"/>
    <n v="101633"/>
    <s v="AB102897"/>
    <x v="0"/>
    <n v="730305"/>
    <x v="1"/>
  </r>
  <r>
    <n v="10257"/>
    <n v="9"/>
    <d v="2013-08-23T00:00:00"/>
    <s v="BLU-RAY"/>
    <n v="101633"/>
    <s v="AB102898"/>
    <x v="9"/>
    <n v="730305"/>
    <x v="1"/>
  </r>
  <r>
    <n v="10218"/>
    <n v="8"/>
    <d v="2013-08-23T00:00:00"/>
    <s v="DVD"/>
    <n v="101633"/>
    <s v="AB102899"/>
    <x v="4"/>
    <n v="730305"/>
    <x v="1"/>
  </r>
  <r>
    <n v="10136"/>
    <n v="9"/>
    <d v="2013-08-25T00:00:00"/>
    <s v="BLU-RAY"/>
    <n v="101634"/>
    <s v="AB102900"/>
    <x v="2"/>
    <n v="158528"/>
    <x v="1"/>
  </r>
  <r>
    <n v="10297"/>
    <n v="2"/>
    <d v="2013-08-23T00:00:00"/>
    <s v="BLU-RAY"/>
    <n v="101634"/>
    <s v="AB102901"/>
    <x v="14"/>
    <n v="158528"/>
    <x v="1"/>
  </r>
  <r>
    <n v="10121"/>
    <n v="2"/>
    <d v="2013-08-24T00:00:00"/>
    <s v="BLU-RAY"/>
    <n v="101635"/>
    <s v="AB102902"/>
    <x v="2"/>
    <n v="908328"/>
    <x v="1"/>
  </r>
  <r>
    <n v="10206"/>
    <n v="3"/>
    <d v="2013-08-25T00:00:00"/>
    <s v="DVD"/>
    <n v="101635"/>
    <s v="AB102903"/>
    <x v="9"/>
    <n v="908328"/>
    <x v="1"/>
  </r>
  <r>
    <n v="10051"/>
    <n v="2"/>
    <d v="2013-08-23T00:00:00"/>
    <s v="BLU-RAY"/>
    <n v="101636"/>
    <s v="AB102904"/>
    <x v="1"/>
    <n v="447601"/>
    <x v="1"/>
  </r>
  <r>
    <n v="10065"/>
    <n v="5"/>
    <d v="2013-08-23T00:00:00"/>
    <s v="DVD"/>
    <n v="101636"/>
    <s v="AB102905"/>
    <x v="0"/>
    <n v="447601"/>
    <x v="1"/>
  </r>
  <r>
    <n v="10168"/>
    <n v="2"/>
    <d v="2013-08-23T00:00:00"/>
    <s v="DVD"/>
    <n v="101637"/>
    <s v="AB102906"/>
    <x v="1"/>
    <n v="622506"/>
    <x v="1"/>
  </r>
  <r>
    <n v="10240"/>
    <n v="2"/>
    <d v="2013-08-24T00:00:00"/>
    <s v="DVD"/>
    <n v="101638"/>
    <s v="AB102907"/>
    <x v="0"/>
    <n v="842028"/>
    <x v="1"/>
  </r>
  <r>
    <n v="10216"/>
    <n v="3"/>
    <d v="2013-08-24T00:00:00"/>
    <s v="BLU-RAY"/>
    <n v="101638"/>
    <s v="AB102908"/>
    <x v="4"/>
    <n v="842028"/>
    <x v="1"/>
  </r>
  <r>
    <n v="10138"/>
    <n v="3"/>
    <d v="2013-08-25T00:00:00"/>
    <s v="DVD"/>
    <n v="101639"/>
    <s v="AB102909"/>
    <x v="7"/>
    <n v="298508"/>
    <x v="1"/>
  </r>
  <r>
    <n v="10210"/>
    <n v="5"/>
    <d v="2013-08-25T00:00:00"/>
    <s v="DVD"/>
    <n v="101640"/>
    <s v="AB102910"/>
    <x v="4"/>
    <n v="357579"/>
    <x v="1"/>
  </r>
  <r>
    <n v="10065"/>
    <n v="3"/>
    <d v="2013-08-25T00:00:00"/>
    <s v="BLU-RAY"/>
    <n v="101640"/>
    <s v="AB102911"/>
    <x v="0"/>
    <n v="357579"/>
    <x v="1"/>
  </r>
  <r>
    <n v="10259"/>
    <n v="3"/>
    <d v="2013-08-24T00:00:00"/>
    <s v="DVD"/>
    <n v="101641"/>
    <s v="AB102912"/>
    <x v="0"/>
    <n v="493552"/>
    <x v="1"/>
  </r>
  <r>
    <n v="10068"/>
    <n v="10"/>
    <d v="2013-08-25T00:00:00"/>
    <s v="BLU-RAY"/>
    <n v="101642"/>
    <s v="AB102913"/>
    <x v="0"/>
    <n v="612681"/>
    <x v="1"/>
  </r>
  <r>
    <n v="10139"/>
    <n v="8"/>
    <d v="2013-08-24T00:00:00"/>
    <s v="DVD"/>
    <n v="101642"/>
    <s v="AB102914"/>
    <x v="14"/>
    <n v="612681"/>
    <x v="1"/>
  </r>
  <r>
    <n v="10067"/>
    <n v="10"/>
    <d v="2013-08-24T00:00:00"/>
    <s v="DVD"/>
    <n v="101642"/>
    <s v="AB102915"/>
    <x v="1"/>
    <n v="612681"/>
    <x v="1"/>
  </r>
  <r>
    <n v="10118"/>
    <n v="5"/>
    <d v="2013-08-24T00:00:00"/>
    <s v="DVD"/>
    <n v="101643"/>
    <s v="AB102916"/>
    <x v="3"/>
    <n v="238347"/>
    <x v="1"/>
  </r>
  <r>
    <n v="10105"/>
    <n v="4"/>
    <d v="2013-08-26T00:00:00"/>
    <s v="DVD"/>
    <n v="101644"/>
    <s v="AB102917"/>
    <x v="2"/>
    <n v="173125"/>
    <x v="1"/>
  </r>
  <r>
    <n v="10005"/>
    <n v="6"/>
    <d v="2013-08-24T00:00:00"/>
    <s v="DVD"/>
    <n v="101644"/>
    <s v="AB102918"/>
    <x v="3"/>
    <n v="173125"/>
    <x v="1"/>
  </r>
  <r>
    <n v="10011"/>
    <n v="4"/>
    <d v="2013-08-25T00:00:00"/>
    <s v="BLU-RAY"/>
    <n v="101645"/>
    <s v="AB102919"/>
    <x v="3"/>
    <n v="454015"/>
    <x v="1"/>
  </r>
  <r>
    <n v="10081"/>
    <n v="4"/>
    <d v="2013-08-24T00:00:00"/>
    <s v="DVD"/>
    <n v="101646"/>
    <s v="AB102920"/>
    <x v="2"/>
    <n v="941876"/>
    <x v="1"/>
  </r>
  <r>
    <n v="10073"/>
    <n v="2"/>
    <d v="2013-08-24T00:00:00"/>
    <s v="BLU-RAY"/>
    <n v="101647"/>
    <s v="AB102921"/>
    <x v="16"/>
    <n v="714277"/>
    <x v="1"/>
  </r>
  <r>
    <n v="10235"/>
    <n v="8"/>
    <d v="2013-08-24T00:00:00"/>
    <s v="BLU-RAY"/>
    <n v="101647"/>
    <s v="AB102922"/>
    <x v="10"/>
    <n v="714277"/>
    <x v="1"/>
  </r>
  <r>
    <n v="10259"/>
    <n v="10"/>
    <d v="2013-08-25T00:00:00"/>
    <s v="DVD"/>
    <n v="101647"/>
    <s v="AB102923"/>
    <x v="0"/>
    <n v="714277"/>
    <x v="1"/>
  </r>
  <r>
    <n v="10236"/>
    <n v="8"/>
    <d v="2013-08-25T00:00:00"/>
    <s v="DVD"/>
    <n v="101648"/>
    <s v="AB102924"/>
    <x v="10"/>
    <n v="568217"/>
    <x v="1"/>
  </r>
  <r>
    <n v="10197"/>
    <n v="8"/>
    <d v="2013-08-24T00:00:00"/>
    <s v="BLU-RAY"/>
    <n v="101648"/>
    <s v="AB102925"/>
    <x v="0"/>
    <n v="568217"/>
    <x v="1"/>
  </r>
  <r>
    <n v="10116"/>
    <n v="9"/>
    <d v="2013-08-25T00:00:00"/>
    <s v="DVD"/>
    <n v="101649"/>
    <s v="AB102926"/>
    <x v="7"/>
    <n v="793987"/>
    <x v="1"/>
  </r>
  <r>
    <n v="10014"/>
    <n v="1"/>
    <d v="2013-08-25T00:00:00"/>
    <s v="DVD"/>
    <n v="101650"/>
    <s v="AB102927"/>
    <x v="0"/>
    <n v="838924"/>
    <x v="1"/>
  </r>
  <r>
    <n v="10189"/>
    <n v="1"/>
    <d v="2013-08-25T00:00:00"/>
    <s v="DVD"/>
    <n v="101650"/>
    <s v="AB102928"/>
    <x v="7"/>
    <n v="838924"/>
    <x v="1"/>
  </r>
  <r>
    <n v="10169"/>
    <n v="8"/>
    <d v="2013-08-25T00:00:00"/>
    <s v="DVD"/>
    <n v="101650"/>
    <s v="AB102929"/>
    <x v="0"/>
    <n v="838924"/>
    <x v="1"/>
  </r>
  <r>
    <n v="10212"/>
    <n v="6"/>
    <d v="2013-08-25T00:00:00"/>
    <s v="BLU-RAY"/>
    <n v="101651"/>
    <s v="AB102930"/>
    <x v="10"/>
    <n v="412235"/>
    <x v="1"/>
  </r>
  <r>
    <n v="10127"/>
    <n v="7"/>
    <d v="2013-08-25T00:00:00"/>
    <s v="BLU-RAY"/>
    <n v="101652"/>
    <s v="AB102931"/>
    <x v="6"/>
    <n v="826590"/>
    <x v="1"/>
  </r>
  <r>
    <n v="10202"/>
    <n v="3"/>
    <d v="2013-08-25T00:00:00"/>
    <s v="DVD"/>
    <n v="101653"/>
    <s v="AB102932"/>
    <x v="0"/>
    <n v="317461"/>
    <x v="1"/>
  </r>
  <r>
    <n v="10137"/>
    <n v="8"/>
    <d v="2013-08-25T00:00:00"/>
    <s v="DVD"/>
    <n v="101653"/>
    <s v="AB102933"/>
    <x v="3"/>
    <n v="317461"/>
    <x v="1"/>
  </r>
  <r>
    <n v="10023"/>
    <n v="3"/>
    <d v="2013-08-25T00:00:00"/>
    <s v="BLU-RAY"/>
    <n v="101653"/>
    <s v="AB102934"/>
    <x v="3"/>
    <n v="317461"/>
    <x v="1"/>
  </r>
  <r>
    <n v="10256"/>
    <n v="9"/>
    <d v="2013-08-26T00:00:00"/>
    <s v="BLU-RAY"/>
    <n v="101654"/>
    <s v="AB102935"/>
    <x v="9"/>
    <n v="412235"/>
    <x v="1"/>
  </r>
  <r>
    <n v="10279"/>
    <n v="1"/>
    <d v="2013-08-25T00:00:00"/>
    <s v="DVD"/>
    <n v="101654"/>
    <s v="AB102936"/>
    <x v="8"/>
    <n v="412235"/>
    <x v="1"/>
  </r>
  <r>
    <n v="10204"/>
    <n v="9"/>
    <d v="2013-08-25T00:00:00"/>
    <s v="DVD"/>
    <n v="101654"/>
    <s v="AB102937"/>
    <x v="7"/>
    <n v="412235"/>
    <x v="1"/>
  </r>
  <r>
    <n v="10266"/>
    <n v="6"/>
    <d v="2013-08-27T00:00:00"/>
    <s v="BLU-RAY"/>
    <n v="101655"/>
    <s v="AB102938"/>
    <x v="4"/>
    <n v="308688"/>
    <x v="1"/>
  </r>
  <r>
    <n v="10245"/>
    <n v="1"/>
    <d v="2013-08-25T00:00:00"/>
    <s v="DVD"/>
    <n v="101656"/>
    <s v="AB102939"/>
    <x v="0"/>
    <n v="220206"/>
    <x v="1"/>
  </r>
  <r>
    <n v="10200"/>
    <n v="5"/>
    <d v="2013-08-25T00:00:00"/>
    <s v="BLU-RAY"/>
    <n v="101656"/>
    <s v="AB102940"/>
    <x v="9"/>
    <n v="220206"/>
    <x v="1"/>
  </r>
  <r>
    <n v="10264"/>
    <n v="4"/>
    <d v="2013-08-25T00:00:00"/>
    <s v="DVD"/>
    <n v="101657"/>
    <s v="AB102941"/>
    <x v="2"/>
    <n v="847289"/>
    <x v="1"/>
  </r>
  <r>
    <n v="10172"/>
    <n v="5"/>
    <d v="2013-08-26T00:00:00"/>
    <s v="BLU-RAY"/>
    <n v="101657"/>
    <s v="AB102942"/>
    <x v="10"/>
    <n v="847289"/>
    <x v="1"/>
  </r>
  <r>
    <n v="10061"/>
    <n v="9"/>
    <d v="2013-08-25T00:00:00"/>
    <s v="BLU-RAY"/>
    <n v="101657"/>
    <s v="AB102943"/>
    <x v="9"/>
    <n v="847289"/>
    <x v="1"/>
  </r>
  <r>
    <n v="10136"/>
    <n v="4"/>
    <d v="2013-08-26T00:00:00"/>
    <s v="BLU-RAY"/>
    <n v="101657"/>
    <s v="AB102944"/>
    <x v="2"/>
    <n v="847289"/>
    <x v="1"/>
  </r>
  <r>
    <n v="10014"/>
    <n v="5"/>
    <d v="2013-08-26T00:00:00"/>
    <s v="DVD"/>
    <n v="101658"/>
    <s v="AB102945"/>
    <x v="0"/>
    <n v="427391"/>
    <x v="1"/>
  </r>
  <r>
    <n v="10014"/>
    <n v="3"/>
    <d v="2013-08-26T00:00:00"/>
    <s v="BLU-RAY"/>
    <n v="101658"/>
    <s v="AB102946"/>
    <x v="0"/>
    <n v="427391"/>
    <x v="1"/>
  </r>
  <r>
    <n v="10011"/>
    <n v="8"/>
    <d v="2013-08-27T00:00:00"/>
    <s v="DVD"/>
    <n v="101659"/>
    <s v="AB102947"/>
    <x v="3"/>
    <n v="296886"/>
    <x v="1"/>
  </r>
  <r>
    <n v="10232"/>
    <n v="3"/>
    <d v="2013-08-27T00:00:00"/>
    <s v="DVD"/>
    <n v="101659"/>
    <s v="AB102948"/>
    <x v="1"/>
    <n v="296886"/>
    <x v="1"/>
  </r>
  <r>
    <n v="10145"/>
    <n v="5"/>
    <d v="2013-08-26T00:00:00"/>
    <s v="BLU-RAY"/>
    <n v="101660"/>
    <s v="AB102949"/>
    <x v="6"/>
    <n v="938417"/>
    <x v="1"/>
  </r>
  <r>
    <n v="10296"/>
    <n v="3"/>
    <d v="2013-08-26T00:00:00"/>
    <s v="DVD"/>
    <n v="101661"/>
    <s v="AB102950"/>
    <x v="21"/>
    <n v="938006"/>
    <x v="1"/>
  </r>
  <r>
    <n v="10139"/>
    <n v="10"/>
    <d v="2013-08-26T00:00:00"/>
    <s v="DVD"/>
    <n v="101661"/>
    <s v="AB102951"/>
    <x v="14"/>
    <n v="938006"/>
    <x v="1"/>
  </r>
  <r>
    <n v="10265"/>
    <n v="6"/>
    <d v="2013-08-27T00:00:00"/>
    <s v="BLU-RAY"/>
    <n v="101662"/>
    <s v="AB102952"/>
    <x v="0"/>
    <n v="841831"/>
    <x v="1"/>
  </r>
  <r>
    <n v="10054"/>
    <n v="10"/>
    <d v="2013-08-26T00:00:00"/>
    <s v="BLU-RAY"/>
    <n v="101663"/>
    <s v="AB102953"/>
    <x v="1"/>
    <n v="520377"/>
    <x v="1"/>
  </r>
  <r>
    <n v="10289"/>
    <n v="7"/>
    <d v="2013-08-26T00:00:00"/>
    <s v="DVD"/>
    <n v="101663"/>
    <s v="AB102954"/>
    <x v="11"/>
    <n v="520377"/>
    <x v="1"/>
  </r>
  <r>
    <n v="10117"/>
    <n v="4"/>
    <d v="2013-08-26T00:00:00"/>
    <s v="BLU-RAY"/>
    <n v="101663"/>
    <s v="AB102955"/>
    <x v="4"/>
    <n v="520377"/>
    <x v="1"/>
  </r>
  <r>
    <n v="10164"/>
    <n v="9"/>
    <d v="2013-08-26T00:00:00"/>
    <s v="DVD"/>
    <n v="101664"/>
    <s v="AB102956"/>
    <x v="2"/>
    <n v="417823"/>
    <x v="1"/>
  </r>
  <r>
    <n v="10121"/>
    <n v="8"/>
    <d v="2013-08-28T00:00:00"/>
    <s v="BLU-RAY"/>
    <n v="101665"/>
    <s v="AB102957"/>
    <x v="2"/>
    <n v="482274"/>
    <x v="1"/>
  </r>
  <r>
    <n v="10280"/>
    <n v="4"/>
    <d v="2013-08-27T00:00:00"/>
    <s v="DVD"/>
    <n v="101666"/>
    <s v="AB102958"/>
    <x v="7"/>
    <n v="231615"/>
    <x v="1"/>
  </r>
  <r>
    <n v="10168"/>
    <n v="8"/>
    <d v="2013-08-26T00:00:00"/>
    <s v="BLU-RAY"/>
    <n v="101667"/>
    <s v="AB102959"/>
    <x v="1"/>
    <n v="249779"/>
    <x v="1"/>
  </r>
  <r>
    <n v="10136"/>
    <n v="3"/>
    <d v="2013-08-26T00:00:00"/>
    <s v="DVD"/>
    <n v="101668"/>
    <s v="AB102960"/>
    <x v="2"/>
    <n v="407605"/>
    <x v="1"/>
  </r>
  <r>
    <n v="10152"/>
    <n v="2"/>
    <d v="2013-08-26T00:00:00"/>
    <s v="BLU-RAY"/>
    <n v="101668"/>
    <s v="AB102961"/>
    <x v="16"/>
    <n v="407605"/>
    <x v="1"/>
  </r>
  <r>
    <n v="10200"/>
    <n v="7"/>
    <d v="2013-08-27T00:00:00"/>
    <s v="BLU-RAY"/>
    <n v="101669"/>
    <s v="AB102962"/>
    <x v="9"/>
    <n v="976778"/>
    <x v="1"/>
  </r>
  <r>
    <n v="10002"/>
    <n v="3"/>
    <d v="2013-08-28T00:00:00"/>
    <s v="DVD"/>
    <n v="101669"/>
    <s v="AB102963"/>
    <x v="10"/>
    <n v="976778"/>
    <x v="1"/>
  </r>
  <r>
    <n v="10257"/>
    <n v="1"/>
    <d v="2013-08-27T00:00:00"/>
    <s v="DVD"/>
    <n v="101670"/>
    <s v="AB102964"/>
    <x v="9"/>
    <n v="196068"/>
    <x v="1"/>
  </r>
  <r>
    <n v="10112"/>
    <n v="4"/>
    <d v="2013-08-27T00:00:00"/>
    <s v="DVD"/>
    <n v="101670"/>
    <s v="AB102965"/>
    <x v="12"/>
    <n v="196068"/>
    <x v="1"/>
  </r>
  <r>
    <n v="10282"/>
    <n v="9"/>
    <d v="2013-08-28T00:00:00"/>
    <s v="DVD"/>
    <n v="101671"/>
    <s v="AB102966"/>
    <x v="15"/>
    <n v="559688"/>
    <x v="1"/>
  </r>
  <r>
    <n v="10294"/>
    <n v="1"/>
    <d v="2013-08-28T00:00:00"/>
    <s v="DVD"/>
    <n v="101671"/>
    <s v="AB102967"/>
    <x v="2"/>
    <n v="559688"/>
    <x v="1"/>
  </r>
  <r>
    <n v="10280"/>
    <n v="2"/>
    <d v="2013-08-27T00:00:00"/>
    <s v="DVD"/>
    <n v="101672"/>
    <s v="AB102968"/>
    <x v="7"/>
    <n v="396166"/>
    <x v="1"/>
  </r>
  <r>
    <n v="10295"/>
    <n v="3"/>
    <d v="2013-08-28T00:00:00"/>
    <s v="BLU-RAY"/>
    <n v="101673"/>
    <s v="AB102969"/>
    <x v="21"/>
    <n v="548800"/>
    <x v="1"/>
  </r>
  <r>
    <n v="10003"/>
    <n v="4"/>
    <d v="2013-08-27T00:00:00"/>
    <s v="DVD"/>
    <n v="101673"/>
    <s v="AB102970"/>
    <x v="1"/>
    <n v="548800"/>
    <x v="1"/>
  </r>
  <r>
    <n v="10265"/>
    <n v="3"/>
    <d v="2013-08-28T00:00:00"/>
    <s v="BLU-RAY"/>
    <n v="101674"/>
    <s v="AB102971"/>
    <x v="0"/>
    <n v="889686"/>
    <x v="1"/>
  </r>
  <r>
    <n v="10229"/>
    <n v="8"/>
    <d v="2013-08-27T00:00:00"/>
    <s v="DVD"/>
    <n v="101674"/>
    <s v="AB102972"/>
    <x v="6"/>
    <n v="889686"/>
    <x v="1"/>
  </r>
  <r>
    <n v="10065"/>
    <n v="8"/>
    <d v="2013-08-28T00:00:00"/>
    <s v="DVD"/>
    <n v="101675"/>
    <s v="AB102973"/>
    <x v="0"/>
    <n v="559190"/>
    <x v="1"/>
  </r>
  <r>
    <n v="10039"/>
    <n v="5"/>
    <d v="2013-08-28T00:00:00"/>
    <s v="DVD"/>
    <n v="101676"/>
    <s v="AB102974"/>
    <x v="11"/>
    <n v="744648"/>
    <x v="1"/>
  </r>
  <r>
    <n v="10111"/>
    <n v="9"/>
    <d v="2013-08-28T00:00:00"/>
    <s v="DVD"/>
    <n v="101676"/>
    <s v="AB102975"/>
    <x v="9"/>
    <n v="744648"/>
    <x v="1"/>
  </r>
  <r>
    <n v="10037"/>
    <n v="6"/>
    <d v="2013-08-27T00:00:00"/>
    <s v="BLU-RAY"/>
    <n v="101677"/>
    <s v="AB102976"/>
    <x v="3"/>
    <n v="226209"/>
    <x v="1"/>
  </r>
  <r>
    <n v="10246"/>
    <n v="9"/>
    <d v="2013-08-27T00:00:00"/>
    <s v="BLU-RAY"/>
    <n v="101678"/>
    <s v="AB102977"/>
    <x v="2"/>
    <n v="469564"/>
    <x v="1"/>
  </r>
  <r>
    <n v="10136"/>
    <n v="9"/>
    <d v="2013-08-29T00:00:00"/>
    <s v="DVD"/>
    <n v="101678"/>
    <s v="AB102978"/>
    <x v="2"/>
    <n v="469564"/>
    <x v="1"/>
  </r>
  <r>
    <n v="10165"/>
    <n v="4"/>
    <d v="2013-08-29T00:00:00"/>
    <s v="DVD"/>
    <n v="101678"/>
    <s v="AB102979"/>
    <x v="2"/>
    <n v="469564"/>
    <x v="1"/>
  </r>
  <r>
    <n v="10086"/>
    <n v="10"/>
    <d v="2013-08-27T00:00:00"/>
    <s v="BLU-RAY"/>
    <n v="101679"/>
    <s v="AB102980"/>
    <x v="3"/>
    <n v="192738"/>
    <x v="1"/>
  </r>
  <r>
    <n v="10226"/>
    <n v="9"/>
    <d v="2013-08-29T00:00:00"/>
    <s v="BLU-RAY"/>
    <n v="101679"/>
    <s v="AB102981"/>
    <x v="4"/>
    <n v="192738"/>
    <x v="1"/>
  </r>
  <r>
    <n v="10074"/>
    <n v="2"/>
    <d v="2013-08-29T00:00:00"/>
    <s v="DVD"/>
    <n v="101680"/>
    <s v="AB102982"/>
    <x v="11"/>
    <n v="826590"/>
    <x v="1"/>
  </r>
  <r>
    <n v="10000"/>
    <n v="1"/>
    <d v="2013-08-29T00:00:00"/>
    <s v="BLU-RAY"/>
    <n v="101681"/>
    <s v="AB102983"/>
    <x v="6"/>
    <n v="265339"/>
    <x v="1"/>
  </r>
  <r>
    <n v="10066"/>
    <n v="6"/>
    <d v="2013-08-28T00:00:00"/>
    <s v="DVD"/>
    <n v="101681"/>
    <s v="AB102984"/>
    <x v="3"/>
    <n v="265339"/>
    <x v="1"/>
  </r>
  <r>
    <n v="10155"/>
    <n v="7"/>
    <d v="2013-08-28T00:00:00"/>
    <s v="DVD"/>
    <n v="101682"/>
    <s v="AB102985"/>
    <x v="9"/>
    <n v="826590"/>
    <x v="1"/>
  </r>
  <r>
    <n v="10078"/>
    <n v="8"/>
    <d v="2013-08-30T00:00:00"/>
    <s v="DVD"/>
    <n v="101683"/>
    <s v="AB102986"/>
    <x v="1"/>
    <n v="459243"/>
    <x v="1"/>
  </r>
  <r>
    <n v="10135"/>
    <n v="6"/>
    <d v="2013-08-29T00:00:00"/>
    <s v="BLU-RAY"/>
    <n v="101684"/>
    <s v="AB102987"/>
    <x v="7"/>
    <n v="315634"/>
    <x v="1"/>
  </r>
  <r>
    <n v="10038"/>
    <n v="8"/>
    <d v="2013-08-28T00:00:00"/>
    <s v="BLU-RAY"/>
    <n v="101684"/>
    <s v="AB102988"/>
    <x v="1"/>
    <n v="315634"/>
    <x v="1"/>
  </r>
  <r>
    <n v="10140"/>
    <n v="8"/>
    <d v="2013-08-28T00:00:00"/>
    <s v="BLU-RAY"/>
    <n v="101684"/>
    <s v="AB102989"/>
    <x v="2"/>
    <n v="315634"/>
    <x v="1"/>
  </r>
  <r>
    <n v="10161"/>
    <n v="7"/>
    <d v="2013-08-28T00:00:00"/>
    <s v="DVD"/>
    <n v="101685"/>
    <s v="AB102990"/>
    <x v="6"/>
    <n v="161175"/>
    <x v="1"/>
  </r>
  <r>
    <n v="10286"/>
    <n v="2"/>
    <d v="2013-08-28T00:00:00"/>
    <s v="BLU-RAY"/>
    <n v="101685"/>
    <s v="AB102991"/>
    <x v="17"/>
    <n v="161175"/>
    <x v="1"/>
  </r>
  <r>
    <n v="10250"/>
    <n v="1"/>
    <d v="2013-08-29T00:00:00"/>
    <s v="DVD"/>
    <n v="101685"/>
    <s v="AB102992"/>
    <x v="3"/>
    <n v="161175"/>
    <x v="1"/>
  </r>
  <r>
    <n v="10157"/>
    <n v="7"/>
    <d v="2013-08-28T00:00:00"/>
    <s v="DVD"/>
    <n v="101686"/>
    <s v="AB102993"/>
    <x v="1"/>
    <n v="857548"/>
    <x v="1"/>
  </r>
  <r>
    <n v="10159"/>
    <n v="4"/>
    <d v="2013-08-28T00:00:00"/>
    <s v="BLU-RAY"/>
    <n v="101686"/>
    <s v="AB102994"/>
    <x v="10"/>
    <n v="857548"/>
    <x v="1"/>
  </r>
  <r>
    <n v="10147"/>
    <n v="4"/>
    <d v="2013-08-29T00:00:00"/>
    <s v="DVD"/>
    <n v="101687"/>
    <s v="AB102995"/>
    <x v="10"/>
    <n v="797968"/>
    <x v="1"/>
  </r>
  <r>
    <n v="10052"/>
    <n v="8"/>
    <d v="2013-08-29T00:00:00"/>
    <s v="BLU-RAY"/>
    <n v="101688"/>
    <s v="AB102996"/>
    <x v="0"/>
    <n v="826590"/>
    <x v="1"/>
  </r>
  <r>
    <n v="10176"/>
    <n v="5"/>
    <d v="2013-08-28T00:00:00"/>
    <s v="BLU-RAY"/>
    <n v="101688"/>
    <s v="AB102997"/>
    <x v="7"/>
    <n v="826590"/>
    <x v="1"/>
  </r>
  <r>
    <n v="10036"/>
    <n v="5"/>
    <d v="2013-08-29T00:00:00"/>
    <s v="DVD"/>
    <n v="101689"/>
    <s v="AB102998"/>
    <x v="7"/>
    <n v="977759"/>
    <x v="1"/>
  </r>
  <r>
    <n v="10076"/>
    <n v="7"/>
    <d v="2013-08-29T00:00:00"/>
    <s v="DVD"/>
    <n v="101689"/>
    <s v="AB102999"/>
    <x v="4"/>
    <n v="977759"/>
    <x v="1"/>
  </r>
  <r>
    <n v="10134"/>
    <n v="1"/>
    <d v="2013-08-28T00:00:00"/>
    <s v="DVD"/>
    <n v="101689"/>
    <s v="AB103000"/>
    <x v="7"/>
    <n v="977759"/>
    <x v="1"/>
  </r>
  <r>
    <n v="10010"/>
    <n v="4"/>
    <d v="2013-08-29T00:00:00"/>
    <s v="DVD"/>
    <n v="101690"/>
    <s v="AB103001"/>
    <x v="3"/>
    <n v="954812"/>
    <x v="1"/>
  </r>
  <r>
    <n v="10200"/>
    <n v="5"/>
    <d v="2013-08-29T00:00:00"/>
    <s v="DVD"/>
    <n v="101690"/>
    <s v="AB103002"/>
    <x v="9"/>
    <n v="954812"/>
    <x v="1"/>
  </r>
  <r>
    <n v="10251"/>
    <n v="5"/>
    <d v="2013-08-29T00:00:00"/>
    <s v="DVD"/>
    <n v="101690"/>
    <s v="AB103003"/>
    <x v="7"/>
    <n v="954812"/>
    <x v="1"/>
  </r>
  <r>
    <n v="10079"/>
    <n v="10"/>
    <d v="2013-08-29T00:00:00"/>
    <s v="BLU-RAY"/>
    <n v="101691"/>
    <s v="AB103004"/>
    <x v="0"/>
    <n v="852925"/>
    <x v="1"/>
  </r>
  <r>
    <n v="10217"/>
    <n v="4"/>
    <d v="2013-08-30T00:00:00"/>
    <s v="DVD"/>
    <n v="101692"/>
    <s v="AB103005"/>
    <x v="0"/>
    <n v="143878"/>
    <x v="1"/>
  </r>
  <r>
    <n v="10134"/>
    <n v="1"/>
    <d v="2013-08-29T00:00:00"/>
    <s v="DVD"/>
    <n v="101692"/>
    <s v="AB103006"/>
    <x v="7"/>
    <n v="143878"/>
    <x v="1"/>
  </r>
  <r>
    <n v="10231"/>
    <n v="6"/>
    <d v="2013-08-29T00:00:00"/>
    <s v="BLU-RAY"/>
    <n v="101693"/>
    <s v="AB103007"/>
    <x v="7"/>
    <n v="918682"/>
    <x v="1"/>
  </r>
  <r>
    <n v="10124"/>
    <n v="8"/>
    <d v="2013-08-30T00:00:00"/>
    <s v="BLU-RAY"/>
    <n v="101694"/>
    <s v="AB103008"/>
    <x v="1"/>
    <n v="775449"/>
    <x v="1"/>
  </r>
  <r>
    <n v="10290"/>
    <n v="10"/>
    <d v="2013-08-29T00:00:00"/>
    <s v="DVD"/>
    <n v="101694"/>
    <s v="AB103009"/>
    <x v="2"/>
    <n v="775449"/>
    <x v="1"/>
  </r>
  <r>
    <n v="10077"/>
    <n v="4"/>
    <d v="2013-08-29T00:00:00"/>
    <s v="DVD"/>
    <n v="101694"/>
    <s v="AB103010"/>
    <x v="0"/>
    <n v="775449"/>
    <x v="1"/>
  </r>
  <r>
    <n v="10229"/>
    <n v="5"/>
    <d v="2013-08-29T00:00:00"/>
    <s v="BLU-RAY"/>
    <n v="101695"/>
    <s v="AB103011"/>
    <x v="6"/>
    <n v="127472"/>
    <x v="1"/>
  </r>
  <r>
    <n v="10088"/>
    <n v="4"/>
    <d v="2013-08-29T00:00:00"/>
    <s v="DVD"/>
    <n v="101696"/>
    <s v="AB103012"/>
    <x v="0"/>
    <n v="231615"/>
    <x v="1"/>
  </r>
  <r>
    <n v="10088"/>
    <n v="10"/>
    <d v="2013-08-29T00:00:00"/>
    <s v="DVD"/>
    <n v="101697"/>
    <s v="AB103013"/>
    <x v="0"/>
    <n v="862302"/>
    <x v="1"/>
  </r>
  <r>
    <n v="10293"/>
    <n v="8"/>
    <d v="2013-08-29T00:00:00"/>
    <s v="BLU-RAY"/>
    <n v="101698"/>
    <s v="AB103014"/>
    <x v="12"/>
    <n v="550824"/>
    <x v="1"/>
  </r>
  <r>
    <n v="10187"/>
    <n v="8"/>
    <d v="2013-08-29T00:00:00"/>
    <s v="DVD"/>
    <n v="101699"/>
    <s v="AB103015"/>
    <x v="1"/>
    <n v="396166"/>
    <x v="1"/>
  </r>
  <r>
    <n v="10195"/>
    <n v="8"/>
    <d v="2013-08-29T00:00:00"/>
    <s v="BLU-RAY"/>
    <n v="101699"/>
    <s v="AB103016"/>
    <x v="4"/>
    <n v="396166"/>
    <x v="1"/>
  </r>
  <r>
    <n v="10209"/>
    <n v="7"/>
    <d v="2013-09-01T00:00:00"/>
    <s v="BLU-RAY"/>
    <n v="101700"/>
    <s v="AB103017"/>
    <x v="7"/>
    <n v="500350"/>
    <x v="1"/>
  </r>
  <r>
    <n v="10243"/>
    <n v="6"/>
    <d v="2013-08-29T00:00:00"/>
    <s v="DVD"/>
    <n v="101700"/>
    <s v="AB103018"/>
    <x v="9"/>
    <n v="500350"/>
    <x v="1"/>
  </r>
  <r>
    <n v="10287"/>
    <n v="5"/>
    <d v="2013-08-29T00:00:00"/>
    <s v="BLU-RAY"/>
    <n v="101701"/>
    <s v="AB103019"/>
    <x v="10"/>
    <n v="487346"/>
    <x v="1"/>
  </r>
  <r>
    <n v="10249"/>
    <n v="3"/>
    <d v="2013-08-30T00:00:00"/>
    <s v="DVD"/>
    <n v="101702"/>
    <s v="AB103020"/>
    <x v="5"/>
    <n v="891738"/>
    <x v="1"/>
  </r>
  <r>
    <n v="10114"/>
    <n v="10"/>
    <d v="2013-08-29T00:00:00"/>
    <s v="BLU-RAY"/>
    <n v="101703"/>
    <s v="AB103021"/>
    <x v="10"/>
    <n v="586201"/>
    <x v="1"/>
  </r>
  <r>
    <n v="10075"/>
    <n v="6"/>
    <d v="2013-08-30T00:00:00"/>
    <s v="DVD"/>
    <n v="101703"/>
    <s v="AB103022"/>
    <x v="17"/>
    <n v="586201"/>
    <x v="1"/>
  </r>
  <r>
    <n v="10064"/>
    <n v="5"/>
    <d v="2013-08-29T00:00:00"/>
    <s v="DVD"/>
    <n v="101704"/>
    <s v="AB103023"/>
    <x v="7"/>
    <n v="695276"/>
    <x v="1"/>
  </r>
  <r>
    <n v="10203"/>
    <n v="4"/>
    <d v="2013-08-29T00:00:00"/>
    <s v="DVD"/>
    <n v="101705"/>
    <s v="AB103024"/>
    <x v="3"/>
    <n v="864896"/>
    <x v="1"/>
  </r>
  <r>
    <n v="10019"/>
    <n v="5"/>
    <d v="2013-08-29T00:00:00"/>
    <s v="DVD"/>
    <n v="101706"/>
    <s v="AB103025"/>
    <x v="9"/>
    <n v="964619"/>
    <x v="1"/>
  </r>
  <r>
    <n v="10106"/>
    <n v="5"/>
    <d v="2013-08-30T00:00:00"/>
    <s v="BLU-RAY"/>
    <n v="101707"/>
    <s v="AB103026"/>
    <x v="9"/>
    <n v="206078"/>
    <x v="1"/>
  </r>
  <r>
    <n v="10088"/>
    <n v="8"/>
    <d v="2013-08-29T00:00:00"/>
    <s v="BLU-RAY"/>
    <n v="101708"/>
    <s v="AB103027"/>
    <x v="0"/>
    <n v="575041"/>
    <x v="1"/>
  </r>
  <r>
    <n v="10274"/>
    <n v="4"/>
    <d v="2013-08-31T00:00:00"/>
    <s v="DVD"/>
    <n v="101709"/>
    <s v="AB103028"/>
    <x v="9"/>
    <n v="964619"/>
    <x v="1"/>
  </r>
  <r>
    <n v="10016"/>
    <n v="8"/>
    <d v="2013-08-29T00:00:00"/>
    <s v="DVD"/>
    <n v="101709"/>
    <s v="AB103029"/>
    <x v="7"/>
    <n v="964619"/>
    <x v="1"/>
  </r>
  <r>
    <n v="10044"/>
    <n v="6"/>
    <d v="2013-08-29T00:00:00"/>
    <s v="BLU-RAY"/>
    <n v="101710"/>
    <s v="AB103030"/>
    <x v="3"/>
    <n v="565259"/>
    <x v="1"/>
  </r>
  <r>
    <n v="10170"/>
    <n v="10"/>
    <d v="2013-09-02T00:00:00"/>
    <s v="DVD"/>
    <n v="101711"/>
    <s v="AB103031"/>
    <x v="15"/>
    <n v="616392"/>
    <x v="1"/>
  </r>
  <r>
    <n v="10145"/>
    <n v="3"/>
    <d v="2013-08-31T00:00:00"/>
    <s v="BLU-RAY"/>
    <n v="101712"/>
    <s v="AB103032"/>
    <x v="6"/>
    <n v="464277"/>
    <x v="1"/>
  </r>
  <r>
    <n v="10192"/>
    <n v="7"/>
    <d v="2013-08-30T00:00:00"/>
    <s v="BLU-RAY"/>
    <n v="101712"/>
    <s v="AB103033"/>
    <x v="7"/>
    <n v="464277"/>
    <x v="1"/>
  </r>
  <r>
    <n v="10230"/>
    <n v="9"/>
    <d v="2013-08-31T00:00:00"/>
    <s v="BLU-RAY"/>
    <n v="101713"/>
    <s v="AB103034"/>
    <x v="14"/>
    <n v="657495"/>
    <x v="1"/>
  </r>
  <r>
    <n v="10042"/>
    <n v="8"/>
    <d v="2013-08-30T00:00:00"/>
    <s v="BLU-RAY"/>
    <n v="101713"/>
    <s v="AB103035"/>
    <x v="1"/>
    <n v="657495"/>
    <x v="1"/>
  </r>
  <r>
    <n v="10172"/>
    <n v="4"/>
    <d v="2013-08-31T00:00:00"/>
    <s v="BLU-RAY"/>
    <n v="101714"/>
    <s v="AB103036"/>
    <x v="10"/>
    <n v="166612"/>
    <x v="1"/>
  </r>
  <r>
    <n v="10164"/>
    <n v="4"/>
    <d v="2013-08-30T00:00:00"/>
    <s v="BLU-RAY"/>
    <n v="101714"/>
    <s v="AB103037"/>
    <x v="2"/>
    <n v="166612"/>
    <x v="1"/>
  </r>
  <r>
    <n v="10039"/>
    <n v="7"/>
    <d v="2013-08-30T00:00:00"/>
    <s v="DVD"/>
    <n v="101714"/>
    <s v="AB103038"/>
    <x v="11"/>
    <n v="166612"/>
    <x v="1"/>
  </r>
  <r>
    <n v="10103"/>
    <n v="6"/>
    <d v="2013-08-31T00:00:00"/>
    <s v="DVD"/>
    <n v="101714"/>
    <s v="AB103039"/>
    <x v="9"/>
    <n v="166612"/>
    <x v="1"/>
  </r>
  <r>
    <n v="10239"/>
    <n v="3"/>
    <d v="2013-08-31T00:00:00"/>
    <s v="BLU-RAY"/>
    <n v="101714"/>
    <s v="AB103040"/>
    <x v="2"/>
    <n v="166612"/>
    <x v="1"/>
  </r>
  <r>
    <n v="10096"/>
    <n v="3"/>
    <d v="2013-08-30T00:00:00"/>
    <s v="BLU-RAY"/>
    <n v="101715"/>
    <s v="AB103041"/>
    <x v="7"/>
    <n v="404678"/>
    <x v="1"/>
  </r>
  <r>
    <n v="10070"/>
    <n v="3"/>
    <d v="2013-08-30T00:00:00"/>
    <s v="DVD"/>
    <n v="101715"/>
    <s v="AB103042"/>
    <x v="1"/>
    <n v="404678"/>
    <x v="1"/>
  </r>
  <r>
    <n v="10047"/>
    <n v="9"/>
    <d v="2013-08-31T00:00:00"/>
    <s v="BLU-RAY"/>
    <n v="101715"/>
    <s v="AB103043"/>
    <x v="0"/>
    <n v="404678"/>
    <x v="1"/>
  </r>
  <r>
    <n v="10223"/>
    <n v="2"/>
    <d v="2013-08-30T00:00:00"/>
    <s v="DVD"/>
    <n v="101716"/>
    <s v="AB103044"/>
    <x v="7"/>
    <n v="396166"/>
    <x v="1"/>
  </r>
  <r>
    <n v="10255"/>
    <n v="5"/>
    <d v="2013-08-30T00:00:00"/>
    <s v="BLU-RAY"/>
    <n v="101717"/>
    <s v="AB103045"/>
    <x v="1"/>
    <n v="838924"/>
    <x v="1"/>
  </r>
  <r>
    <n v="10089"/>
    <n v="6"/>
    <d v="2013-08-31T00:00:00"/>
    <s v="BLU-RAY"/>
    <n v="101717"/>
    <s v="AB103046"/>
    <x v="4"/>
    <n v="838924"/>
    <x v="1"/>
  </r>
  <r>
    <n v="10030"/>
    <n v="5"/>
    <d v="2013-08-30T00:00:00"/>
    <s v="BLU-RAY"/>
    <n v="101718"/>
    <s v="AB103047"/>
    <x v="0"/>
    <n v="274541"/>
    <x v="1"/>
  </r>
  <r>
    <n v="10188"/>
    <n v="7"/>
    <d v="2013-08-30T00:00:00"/>
    <s v="DVD"/>
    <n v="101719"/>
    <s v="AB103048"/>
    <x v="1"/>
    <n v="235720"/>
    <x v="1"/>
  </r>
  <r>
    <n v="10261"/>
    <n v="2"/>
    <d v="2013-08-30T00:00:00"/>
    <s v="DVD"/>
    <n v="101719"/>
    <s v="AB103049"/>
    <x v="9"/>
    <n v="235720"/>
    <x v="1"/>
  </r>
  <r>
    <n v="10128"/>
    <n v="9"/>
    <d v="2013-08-30T00:00:00"/>
    <s v="BLU-RAY"/>
    <n v="101720"/>
    <s v="AB103050"/>
    <x v="6"/>
    <n v="586201"/>
    <x v="1"/>
  </r>
  <r>
    <n v="10272"/>
    <n v="7"/>
    <d v="2013-08-30T00:00:00"/>
    <s v="BLU-RAY"/>
    <n v="101721"/>
    <s v="AB103051"/>
    <x v="4"/>
    <n v="789065"/>
    <x v="1"/>
  </r>
  <r>
    <n v="10221"/>
    <n v="6"/>
    <d v="2013-08-30T00:00:00"/>
    <s v="DVD"/>
    <n v="101721"/>
    <s v="AB103052"/>
    <x v="9"/>
    <n v="789065"/>
    <x v="1"/>
  </r>
  <r>
    <n v="10174"/>
    <n v="10"/>
    <d v="2013-08-30T00:00:00"/>
    <s v="DVD"/>
    <n v="101722"/>
    <s v="AB103053"/>
    <x v="7"/>
    <n v="116690"/>
    <x v="1"/>
  </r>
  <r>
    <n v="10074"/>
    <n v="8"/>
    <d v="2013-08-31T00:00:00"/>
    <s v="BLU-RAY"/>
    <n v="101722"/>
    <s v="AB103054"/>
    <x v="11"/>
    <n v="116690"/>
    <x v="1"/>
  </r>
  <r>
    <n v="10002"/>
    <n v="8"/>
    <d v="2013-08-30T00:00:00"/>
    <s v="DVD"/>
    <n v="101723"/>
    <s v="AB103055"/>
    <x v="10"/>
    <n v="420981"/>
    <x v="1"/>
  </r>
  <r>
    <n v="10106"/>
    <n v="9"/>
    <d v="2013-08-30T00:00:00"/>
    <s v="BLU-RAY"/>
    <n v="101723"/>
    <s v="AB103056"/>
    <x v="9"/>
    <n v="420981"/>
    <x v="1"/>
  </r>
  <r>
    <n v="10040"/>
    <n v="6"/>
    <d v="2013-08-31T00:00:00"/>
    <s v="DVD"/>
    <n v="101724"/>
    <s v="AB103057"/>
    <x v="7"/>
    <n v="250266"/>
    <x v="1"/>
  </r>
  <r>
    <n v="10291"/>
    <n v="7"/>
    <d v="2013-08-30T00:00:00"/>
    <s v="DVD"/>
    <n v="101725"/>
    <s v="AB103058"/>
    <x v="0"/>
    <n v="689877"/>
    <x v="1"/>
  </r>
  <r>
    <n v="10128"/>
    <n v="10"/>
    <d v="2013-08-30T00:00:00"/>
    <s v="DVD"/>
    <n v="101725"/>
    <s v="AB103059"/>
    <x v="6"/>
    <n v="689877"/>
    <x v="1"/>
  </r>
  <r>
    <n v="10028"/>
    <n v="8"/>
    <d v="2013-08-30T00:00:00"/>
    <s v="BLU-RAY"/>
    <n v="101725"/>
    <s v="AB103060"/>
    <x v="5"/>
    <n v="689877"/>
    <x v="1"/>
  </r>
  <r>
    <n v="10267"/>
    <n v="2"/>
    <d v="2013-09-01T00:00:00"/>
    <s v="DVD"/>
    <n v="101726"/>
    <s v="AB103061"/>
    <x v="6"/>
    <n v="230467"/>
    <x v="1"/>
  </r>
  <r>
    <n v="10136"/>
    <n v="9"/>
    <d v="2013-09-01T00:00:00"/>
    <s v="DVD"/>
    <n v="101727"/>
    <s v="AB103062"/>
    <x v="2"/>
    <n v="678940"/>
    <x v="1"/>
  </r>
  <r>
    <n v="10191"/>
    <n v="1"/>
    <d v="2013-08-31T00:00:00"/>
    <s v="BLU-RAY"/>
    <n v="101727"/>
    <s v="AB103063"/>
    <x v="7"/>
    <n v="678940"/>
    <x v="1"/>
  </r>
  <r>
    <n v="10280"/>
    <n v="6"/>
    <d v="2013-08-31T00:00:00"/>
    <s v="BLU-RAY"/>
    <n v="101728"/>
    <s v="AB103064"/>
    <x v="7"/>
    <n v="608290"/>
    <x v="1"/>
  </r>
  <r>
    <n v="10260"/>
    <n v="9"/>
    <d v="2013-08-31T00:00:00"/>
    <s v="BLU-RAY"/>
    <n v="101729"/>
    <s v="AB103065"/>
    <x v="4"/>
    <n v="797968"/>
    <x v="1"/>
  </r>
  <r>
    <n v="10049"/>
    <n v="2"/>
    <d v="2013-08-31T00:00:00"/>
    <s v="BLU-RAY"/>
    <n v="101730"/>
    <s v="AB103066"/>
    <x v="7"/>
    <n v="941876"/>
    <x v="1"/>
  </r>
  <r>
    <n v="10002"/>
    <n v="2"/>
    <d v="2013-08-31T00:00:00"/>
    <s v="DVD"/>
    <n v="101730"/>
    <s v="AB103067"/>
    <x v="10"/>
    <n v="941876"/>
    <x v="1"/>
  </r>
  <r>
    <n v="10195"/>
    <n v="10"/>
    <d v="2013-08-31T00:00:00"/>
    <s v="DVD"/>
    <n v="101731"/>
    <s v="AB103068"/>
    <x v="4"/>
    <n v="847289"/>
    <x v="1"/>
  </r>
  <r>
    <n v="10092"/>
    <n v="5"/>
    <d v="2013-09-01T00:00:00"/>
    <s v="BLU-RAY"/>
    <n v="101731"/>
    <s v="AB103069"/>
    <x v="0"/>
    <n v="847289"/>
    <x v="1"/>
  </r>
  <r>
    <n v="10023"/>
    <n v="2"/>
    <d v="2013-09-02T00:00:00"/>
    <s v="DVD"/>
    <n v="101731"/>
    <s v="AB103070"/>
    <x v="3"/>
    <n v="847289"/>
    <x v="1"/>
  </r>
  <r>
    <n v="10109"/>
    <n v="9"/>
    <d v="2013-08-31T00:00:00"/>
    <s v="BLU-RAY"/>
    <n v="101732"/>
    <s v="AB103071"/>
    <x v="0"/>
    <n v="924947"/>
    <x v="1"/>
  </r>
  <r>
    <n v="10136"/>
    <n v="3"/>
    <d v="2013-09-01T00:00:00"/>
    <s v="DVD"/>
    <n v="101733"/>
    <s v="AB103072"/>
    <x v="2"/>
    <n v="192738"/>
    <x v="1"/>
  </r>
  <r>
    <n v="10202"/>
    <n v="10"/>
    <d v="2013-09-01T00:00:00"/>
    <s v="DVD"/>
    <n v="101733"/>
    <s v="AB103073"/>
    <x v="0"/>
    <n v="192738"/>
    <x v="1"/>
  </r>
  <r>
    <n v="10222"/>
    <n v="3"/>
    <d v="2013-08-31T00:00:00"/>
    <s v="DVD"/>
    <n v="101734"/>
    <s v="AB103074"/>
    <x v="4"/>
    <n v="145929"/>
    <x v="1"/>
  </r>
  <r>
    <n v="10187"/>
    <n v="8"/>
    <d v="2013-08-31T00:00:00"/>
    <s v="DVD"/>
    <n v="101735"/>
    <s v="AB103075"/>
    <x v="1"/>
    <n v="772690"/>
    <x v="1"/>
  </r>
  <r>
    <n v="10243"/>
    <n v="4"/>
    <d v="2013-08-31T00:00:00"/>
    <s v="DVD"/>
    <n v="101736"/>
    <s v="AB103076"/>
    <x v="9"/>
    <n v="317807"/>
    <x v="1"/>
  </r>
  <r>
    <n v="10233"/>
    <n v="9"/>
    <d v="2013-08-31T00:00:00"/>
    <s v="BLU-RAY"/>
    <n v="101736"/>
    <s v="AB103077"/>
    <x v="8"/>
    <n v="317807"/>
    <x v="1"/>
  </r>
  <r>
    <n v="10237"/>
    <n v="4"/>
    <d v="2013-08-31T00:00:00"/>
    <s v="BLU-RAY"/>
    <n v="101736"/>
    <s v="AB103078"/>
    <x v="0"/>
    <n v="317807"/>
    <x v="1"/>
  </r>
  <r>
    <n v="10138"/>
    <n v="5"/>
    <d v="2013-08-31T00:00:00"/>
    <s v="BLU-RAY"/>
    <n v="101737"/>
    <s v="AB103079"/>
    <x v="7"/>
    <n v="448993"/>
    <x v="1"/>
  </r>
  <r>
    <n v="10168"/>
    <n v="7"/>
    <d v="2013-09-01T00:00:00"/>
    <s v="BLU-RAY"/>
    <n v="101738"/>
    <s v="AB103080"/>
    <x v="1"/>
    <n v="168607"/>
    <x v="1"/>
  </r>
  <r>
    <n v="10157"/>
    <n v="9"/>
    <d v="2013-08-31T00:00:00"/>
    <s v="DVD"/>
    <n v="101739"/>
    <s v="AB103081"/>
    <x v="1"/>
    <n v="678940"/>
    <x v="1"/>
  </r>
  <r>
    <n v="10179"/>
    <n v="7"/>
    <d v="2013-08-31T00:00:00"/>
    <s v="BLU-RAY"/>
    <n v="101739"/>
    <s v="AB103082"/>
    <x v="0"/>
    <n v="678940"/>
    <x v="1"/>
  </r>
  <r>
    <n v="10196"/>
    <n v="8"/>
    <d v="2013-09-01T00:00:00"/>
    <s v="BLU-RAY"/>
    <n v="101740"/>
    <s v="AB103083"/>
    <x v="9"/>
    <n v="383684"/>
    <x v="1"/>
  </r>
  <r>
    <n v="10032"/>
    <n v="4"/>
    <d v="2013-08-31T00:00:00"/>
    <s v="DVD"/>
    <n v="101740"/>
    <s v="AB103084"/>
    <x v="4"/>
    <n v="383684"/>
    <x v="1"/>
  </r>
  <r>
    <n v="10026"/>
    <n v="3"/>
    <d v="2013-09-02T00:00:00"/>
    <s v="DVD"/>
    <n v="101741"/>
    <s v="AB103085"/>
    <x v="9"/>
    <n v="143878"/>
    <x v="1"/>
  </r>
  <r>
    <n v="10274"/>
    <n v="9"/>
    <d v="2013-09-01T00:00:00"/>
    <s v="DVD"/>
    <n v="101742"/>
    <s v="AB103086"/>
    <x v="9"/>
    <n v="622131"/>
    <x v="1"/>
  </r>
  <r>
    <n v="10163"/>
    <n v="8"/>
    <d v="2013-08-31T00:00:00"/>
    <s v="BLU-RAY"/>
    <n v="101743"/>
    <s v="AB103087"/>
    <x v="0"/>
    <n v="111486"/>
    <x v="1"/>
  </r>
  <r>
    <n v="10088"/>
    <n v="9"/>
    <d v="2013-09-01T00:00:00"/>
    <s v="DVD"/>
    <n v="101744"/>
    <s v="AB103088"/>
    <x v="0"/>
    <n v="565259"/>
    <x v="1"/>
  </r>
  <r>
    <n v="10263"/>
    <n v="10"/>
    <d v="2013-09-01T00:00:00"/>
    <s v="DVD"/>
    <n v="101745"/>
    <s v="AB103089"/>
    <x v="9"/>
    <n v="270853"/>
    <x v="1"/>
  </r>
  <r>
    <n v="10160"/>
    <n v="10"/>
    <d v="2013-09-03T00:00:00"/>
    <s v="DVD"/>
    <n v="101746"/>
    <s v="AB103090"/>
    <x v="10"/>
    <n v="515790"/>
    <x v="1"/>
  </r>
  <r>
    <n v="10186"/>
    <n v="6"/>
    <d v="2013-09-01T00:00:00"/>
    <s v="DVD"/>
    <n v="101746"/>
    <s v="AB103091"/>
    <x v="10"/>
    <n v="515790"/>
    <x v="1"/>
  </r>
  <r>
    <n v="10009"/>
    <n v="1"/>
    <d v="2013-09-01T00:00:00"/>
    <s v="BLU-RAY"/>
    <n v="101746"/>
    <s v="AB103092"/>
    <x v="0"/>
    <n v="515790"/>
    <x v="1"/>
  </r>
  <r>
    <n v="10070"/>
    <n v="4"/>
    <d v="2013-09-01T00:00:00"/>
    <s v="BLU-RAY"/>
    <n v="101747"/>
    <s v="AB103093"/>
    <x v="1"/>
    <n v="924361"/>
    <x v="1"/>
  </r>
  <r>
    <n v="10204"/>
    <n v="1"/>
    <d v="2013-09-01T00:00:00"/>
    <s v="BLU-RAY"/>
    <n v="101748"/>
    <s v="AB103094"/>
    <x v="7"/>
    <n v="702197"/>
    <x v="1"/>
  </r>
  <r>
    <n v="10090"/>
    <n v="10"/>
    <d v="2013-09-02T00:00:00"/>
    <s v="DVD"/>
    <n v="101748"/>
    <s v="AB103095"/>
    <x v="1"/>
    <n v="702197"/>
    <x v="1"/>
  </r>
  <r>
    <n v="10224"/>
    <n v="6"/>
    <d v="2013-09-02T00:00:00"/>
    <s v="BLU-RAY"/>
    <n v="101749"/>
    <s v="AB103096"/>
    <x v="17"/>
    <n v="814512"/>
    <x v="1"/>
  </r>
  <r>
    <n v="10200"/>
    <n v="2"/>
    <d v="2013-09-02T00:00:00"/>
    <s v="DVD"/>
    <n v="101749"/>
    <s v="AB103097"/>
    <x v="9"/>
    <n v="814512"/>
    <x v="1"/>
  </r>
  <r>
    <n v="10057"/>
    <n v="2"/>
    <d v="2013-09-01T00:00:00"/>
    <s v="BLU-RAY"/>
    <n v="101749"/>
    <s v="AB103098"/>
    <x v="0"/>
    <n v="814512"/>
    <x v="1"/>
  </r>
  <r>
    <n v="10151"/>
    <n v="6"/>
    <d v="2013-09-01T00:00:00"/>
    <s v="DVD"/>
    <n v="101750"/>
    <s v="AB103099"/>
    <x v="8"/>
    <n v="216475"/>
    <x v="1"/>
  </r>
  <r>
    <n v="10147"/>
    <n v="10"/>
    <d v="2013-09-03T00:00:00"/>
    <s v="DVD"/>
    <n v="101750"/>
    <s v="AB103100"/>
    <x v="10"/>
    <n v="216475"/>
    <x v="1"/>
  </r>
  <r>
    <n v="10280"/>
    <n v="4"/>
    <d v="2013-09-01T00:00:00"/>
    <s v="DVD"/>
    <n v="101751"/>
    <s v="AB103101"/>
    <x v="7"/>
    <n v="270853"/>
    <x v="1"/>
  </r>
  <r>
    <n v="10010"/>
    <n v="6"/>
    <d v="2013-09-01T00:00:00"/>
    <s v="DVD"/>
    <n v="101751"/>
    <s v="AB103102"/>
    <x v="3"/>
    <n v="270853"/>
    <x v="1"/>
  </r>
  <r>
    <n v="10287"/>
    <n v="2"/>
    <d v="2013-09-02T00:00:00"/>
    <s v="BLU-RAY"/>
    <n v="101752"/>
    <s v="AB103103"/>
    <x v="10"/>
    <n v="857548"/>
    <x v="1"/>
  </r>
  <r>
    <n v="10273"/>
    <n v="3"/>
    <d v="2013-09-01T00:00:00"/>
    <s v="BLU-RAY"/>
    <n v="101752"/>
    <s v="AB103104"/>
    <x v="4"/>
    <n v="857548"/>
    <x v="1"/>
  </r>
  <r>
    <n v="10226"/>
    <n v="7"/>
    <d v="2013-09-01T00:00:00"/>
    <s v="DVD"/>
    <n v="101752"/>
    <s v="AB103105"/>
    <x v="4"/>
    <n v="857548"/>
    <x v="1"/>
  </r>
  <r>
    <n v="10048"/>
    <n v="6"/>
    <d v="2013-09-01T00:00:00"/>
    <s v="BLU-RAY"/>
    <n v="101752"/>
    <s v="AB103106"/>
    <x v="12"/>
    <n v="857548"/>
    <x v="1"/>
  </r>
  <r>
    <n v="10190"/>
    <n v="9"/>
    <d v="2013-09-02T00:00:00"/>
    <s v="DVD"/>
    <n v="101752"/>
    <s v="AB103107"/>
    <x v="10"/>
    <n v="857548"/>
    <x v="1"/>
  </r>
  <r>
    <n v="10129"/>
    <n v="6"/>
    <d v="2013-09-01T00:00:00"/>
    <s v="BLU-RAY"/>
    <n v="101753"/>
    <s v="AB103108"/>
    <x v="0"/>
    <n v="890651"/>
    <x v="1"/>
  </r>
  <r>
    <n v="10028"/>
    <n v="3"/>
    <d v="2013-09-01T00:00:00"/>
    <s v="BLU-RAY"/>
    <n v="101754"/>
    <s v="AB103109"/>
    <x v="5"/>
    <n v="972329"/>
    <x v="1"/>
  </r>
  <r>
    <n v="10240"/>
    <n v="1"/>
    <d v="2013-09-01T00:00:00"/>
    <s v="BLU-RAY"/>
    <n v="101755"/>
    <s v="AB103110"/>
    <x v="0"/>
    <n v="744416"/>
    <x v="1"/>
  </r>
  <r>
    <n v="10010"/>
    <n v="10"/>
    <d v="2013-09-01T00:00:00"/>
    <s v="DVD"/>
    <n v="101756"/>
    <s v="AB103111"/>
    <x v="3"/>
    <n v="422717"/>
    <x v="1"/>
  </r>
  <r>
    <n v="10080"/>
    <n v="4"/>
    <d v="2013-09-01T00:00:00"/>
    <s v="DVD"/>
    <n v="101756"/>
    <s v="AB103112"/>
    <x v="3"/>
    <n v="422717"/>
    <x v="1"/>
  </r>
  <r>
    <n v="10038"/>
    <n v="3"/>
    <d v="2013-09-02T00:00:00"/>
    <s v="BLU-RAY"/>
    <n v="101756"/>
    <s v="AB103113"/>
    <x v="1"/>
    <n v="422717"/>
    <x v="1"/>
  </r>
  <r>
    <n v="10141"/>
    <n v="8"/>
    <d v="2013-09-03T00:00:00"/>
    <s v="BLU-RAY"/>
    <n v="101757"/>
    <s v="AB103114"/>
    <x v="0"/>
    <n v="618955"/>
    <x v="1"/>
  </r>
  <r>
    <n v="10243"/>
    <n v="4"/>
    <d v="2013-09-01T00:00:00"/>
    <s v="DVD"/>
    <n v="101758"/>
    <s v="AB103115"/>
    <x v="9"/>
    <n v="143878"/>
    <x v="1"/>
  </r>
  <r>
    <n v="10029"/>
    <n v="9"/>
    <d v="2013-09-02T00:00:00"/>
    <s v="BLU-RAY"/>
    <n v="101759"/>
    <s v="AB103116"/>
    <x v="12"/>
    <n v="464782"/>
    <x v="1"/>
  </r>
  <r>
    <n v="10252"/>
    <n v="3"/>
    <d v="2013-09-02T00:00:00"/>
    <s v="DVD"/>
    <n v="101760"/>
    <s v="AB103117"/>
    <x v="0"/>
    <n v="710047"/>
    <x v="1"/>
  </r>
  <r>
    <n v="10287"/>
    <n v="7"/>
    <d v="2013-09-02T00:00:00"/>
    <s v="DVD"/>
    <n v="101761"/>
    <s v="AB103118"/>
    <x v="10"/>
    <n v="465275"/>
    <x v="1"/>
  </r>
  <r>
    <n v="10249"/>
    <n v="3"/>
    <d v="2013-09-02T00:00:00"/>
    <s v="DVD"/>
    <n v="101761"/>
    <s v="AB103119"/>
    <x v="5"/>
    <n v="465275"/>
    <x v="1"/>
  </r>
  <r>
    <n v="10023"/>
    <n v="5"/>
    <d v="2013-09-03T00:00:00"/>
    <s v="DVD"/>
    <n v="101762"/>
    <s v="AB103120"/>
    <x v="3"/>
    <n v="116690"/>
    <x v="1"/>
  </r>
  <r>
    <n v="10070"/>
    <n v="9"/>
    <d v="2013-09-02T00:00:00"/>
    <s v="BLU-RAY"/>
    <n v="101762"/>
    <s v="AB103121"/>
    <x v="1"/>
    <n v="116690"/>
    <x v="1"/>
  </r>
  <r>
    <n v="10262"/>
    <n v="10"/>
    <d v="2013-09-02T00:00:00"/>
    <s v="BLU-RAY"/>
    <n v="101763"/>
    <s v="AB103122"/>
    <x v="10"/>
    <n v="296353"/>
    <x v="1"/>
  </r>
  <r>
    <n v="10254"/>
    <n v="3"/>
    <d v="2013-09-02T00:00:00"/>
    <s v="DVD"/>
    <n v="101763"/>
    <s v="AB103123"/>
    <x v="1"/>
    <n v="296353"/>
    <x v="1"/>
  </r>
  <r>
    <n v="10135"/>
    <n v="9"/>
    <d v="2013-09-02T00:00:00"/>
    <s v="DVD"/>
    <n v="101764"/>
    <s v="AB103124"/>
    <x v="7"/>
    <n v="296353"/>
    <x v="1"/>
  </r>
  <r>
    <n v="10023"/>
    <n v="4"/>
    <d v="2013-09-03T00:00:00"/>
    <s v="BLU-RAY"/>
    <n v="101764"/>
    <s v="AB103125"/>
    <x v="3"/>
    <n v="296353"/>
    <x v="1"/>
  </r>
  <r>
    <n v="10287"/>
    <n v="5"/>
    <d v="2013-09-02T00:00:00"/>
    <s v="DVD"/>
    <n v="101765"/>
    <s v="AB103126"/>
    <x v="10"/>
    <n v="976778"/>
    <x v="1"/>
  </r>
  <r>
    <n v="10029"/>
    <n v="4"/>
    <d v="2013-09-02T00:00:00"/>
    <s v="DVD"/>
    <n v="101766"/>
    <s v="AB103127"/>
    <x v="12"/>
    <n v="592528"/>
    <x v="1"/>
  </r>
  <r>
    <n v="10138"/>
    <n v="8"/>
    <d v="2013-09-02T00:00:00"/>
    <s v="BLU-RAY"/>
    <n v="101767"/>
    <s v="AB103128"/>
    <x v="7"/>
    <n v="927518"/>
    <x v="1"/>
  </r>
  <r>
    <n v="10136"/>
    <n v="4"/>
    <d v="2013-09-02T00:00:00"/>
    <s v="DVD"/>
    <n v="101768"/>
    <s v="AB103129"/>
    <x v="2"/>
    <n v="944523"/>
    <x v="1"/>
  </r>
  <r>
    <n v="10276"/>
    <n v="2"/>
    <d v="2013-09-03T00:00:00"/>
    <s v="DVD"/>
    <n v="101768"/>
    <s v="AB103130"/>
    <x v="16"/>
    <n v="944523"/>
    <x v="1"/>
  </r>
  <r>
    <n v="10249"/>
    <n v="3"/>
    <d v="2013-09-02T00:00:00"/>
    <s v="DVD"/>
    <n v="101769"/>
    <s v="AB103131"/>
    <x v="5"/>
    <n v="706101"/>
    <x v="1"/>
  </r>
  <r>
    <n v="10160"/>
    <n v="3"/>
    <d v="2013-09-02T00:00:00"/>
    <s v="DVD"/>
    <n v="101769"/>
    <s v="AB103132"/>
    <x v="10"/>
    <n v="706101"/>
    <x v="1"/>
  </r>
  <r>
    <n v="10025"/>
    <n v="6"/>
    <d v="2013-09-02T00:00:00"/>
    <s v="DVD"/>
    <n v="101769"/>
    <s v="AB103133"/>
    <x v="4"/>
    <n v="706101"/>
    <x v="1"/>
  </r>
  <r>
    <n v="10129"/>
    <n v="5"/>
    <d v="2013-09-02T00:00:00"/>
    <s v="DVD"/>
    <n v="101769"/>
    <s v="AB103134"/>
    <x v="0"/>
    <n v="706101"/>
    <x v="1"/>
  </r>
  <r>
    <n v="10269"/>
    <n v="1"/>
    <d v="2013-09-02T00:00:00"/>
    <s v="DVD"/>
    <n v="101769"/>
    <s v="AB103135"/>
    <x v="3"/>
    <n v="706101"/>
    <x v="1"/>
  </r>
  <r>
    <n v="10203"/>
    <n v="4"/>
    <d v="2013-09-02T00:00:00"/>
    <s v="BLU-RAY"/>
    <n v="101769"/>
    <s v="AB103136"/>
    <x v="3"/>
    <n v="706101"/>
    <x v="1"/>
  </r>
  <r>
    <n v="10004"/>
    <n v="2"/>
    <d v="2013-09-02T00:00:00"/>
    <s v="DVD"/>
    <n v="101770"/>
    <s v="AB103137"/>
    <x v="1"/>
    <n v="651462"/>
    <x v="1"/>
  </r>
  <r>
    <n v="10182"/>
    <n v="7"/>
    <d v="2013-09-02T00:00:00"/>
    <s v="DVD"/>
    <n v="101770"/>
    <s v="AB103138"/>
    <x v="0"/>
    <n v="651462"/>
    <x v="1"/>
  </r>
  <r>
    <n v="10242"/>
    <n v="4"/>
    <d v="2013-09-02T00:00:00"/>
    <s v="BLU-RAY"/>
    <n v="101770"/>
    <s v="AB103139"/>
    <x v="3"/>
    <n v="651462"/>
    <x v="1"/>
  </r>
  <r>
    <n v="10117"/>
    <n v="4"/>
    <d v="2013-09-02T00:00:00"/>
    <s v="BLU-RAY"/>
    <n v="101771"/>
    <s v="AB103140"/>
    <x v="4"/>
    <n v="278809"/>
    <x v="1"/>
  </r>
  <r>
    <n v="10129"/>
    <n v="4"/>
    <d v="2013-09-03T00:00:00"/>
    <s v="DVD"/>
    <n v="101771"/>
    <s v="AB103141"/>
    <x v="0"/>
    <n v="278809"/>
    <x v="1"/>
  </r>
  <r>
    <n v="10282"/>
    <n v="6"/>
    <d v="2013-09-02T00:00:00"/>
    <s v="BLU-RAY"/>
    <n v="101772"/>
    <s v="AB103142"/>
    <x v="15"/>
    <n v="817159"/>
    <x v="1"/>
  </r>
  <r>
    <n v="10164"/>
    <n v="2"/>
    <d v="2013-09-02T00:00:00"/>
    <s v="BLU-RAY"/>
    <n v="101773"/>
    <s v="AB103143"/>
    <x v="2"/>
    <n v="670707"/>
    <x v="1"/>
  </r>
  <r>
    <n v="10238"/>
    <n v="1"/>
    <d v="2013-09-04T00:00:00"/>
    <s v="DVD"/>
    <n v="101773"/>
    <s v="AB103144"/>
    <x v="0"/>
    <n v="670707"/>
    <x v="1"/>
  </r>
  <r>
    <n v="10293"/>
    <n v="10"/>
    <d v="2013-09-02T00:00:00"/>
    <s v="BLU-RAY"/>
    <n v="101774"/>
    <s v="AB103145"/>
    <x v="12"/>
    <n v="772690"/>
    <x v="1"/>
  </r>
  <r>
    <n v="10091"/>
    <n v="4"/>
    <d v="2013-09-02T00:00:00"/>
    <s v="BLU-RAY"/>
    <n v="101774"/>
    <s v="AB103146"/>
    <x v="0"/>
    <n v="772690"/>
    <x v="1"/>
  </r>
  <r>
    <n v="10105"/>
    <n v="8"/>
    <d v="2013-09-03T00:00:00"/>
    <s v="BLU-RAY"/>
    <n v="101775"/>
    <s v="AB103147"/>
    <x v="2"/>
    <n v="143878"/>
    <x v="1"/>
  </r>
  <r>
    <n v="10186"/>
    <n v="8"/>
    <d v="2013-09-03T00:00:00"/>
    <s v="BLU-RAY"/>
    <n v="101775"/>
    <s v="AB103148"/>
    <x v="10"/>
    <n v="143878"/>
    <x v="1"/>
  </r>
  <r>
    <n v="10181"/>
    <n v="9"/>
    <d v="2013-09-04T00:00:00"/>
    <s v="DVD"/>
    <n v="101776"/>
    <s v="AB103149"/>
    <x v="9"/>
    <n v="464782"/>
    <x v="1"/>
  </r>
  <r>
    <n v="10090"/>
    <n v="8"/>
    <d v="2013-09-06T00:00:00"/>
    <s v="DVD"/>
    <n v="101776"/>
    <s v="AB103150"/>
    <x v="1"/>
    <n v="464782"/>
    <x v="1"/>
  </r>
  <r>
    <n v="10078"/>
    <n v="10"/>
    <d v="2013-09-03T00:00:00"/>
    <s v="BLU-RAY"/>
    <n v="101777"/>
    <s v="AB103151"/>
    <x v="1"/>
    <n v="297686"/>
    <x v="1"/>
  </r>
  <r>
    <n v="10201"/>
    <n v="10"/>
    <d v="2013-09-03T00:00:00"/>
    <s v="DVD"/>
    <n v="101778"/>
    <s v="AB103152"/>
    <x v="8"/>
    <n v="815980"/>
    <x v="1"/>
  </r>
  <r>
    <n v="10058"/>
    <n v="3"/>
    <d v="2013-09-03T00:00:00"/>
    <s v="DVD"/>
    <n v="101778"/>
    <s v="AB103153"/>
    <x v="4"/>
    <n v="815980"/>
    <x v="1"/>
  </r>
  <r>
    <n v="10133"/>
    <n v="2"/>
    <d v="2013-09-03T00:00:00"/>
    <s v="BLU-RAY"/>
    <n v="101778"/>
    <s v="AB103154"/>
    <x v="9"/>
    <n v="815980"/>
    <x v="1"/>
  </r>
  <r>
    <n v="10276"/>
    <n v="6"/>
    <d v="2013-09-03T00:00:00"/>
    <s v="BLU-RAY"/>
    <n v="101779"/>
    <s v="AB103155"/>
    <x v="16"/>
    <n v="202612"/>
    <x v="1"/>
  </r>
  <r>
    <n v="10085"/>
    <n v="10"/>
    <d v="2013-09-04T00:00:00"/>
    <s v="DVD"/>
    <n v="101779"/>
    <s v="AB103156"/>
    <x v="3"/>
    <n v="202612"/>
    <x v="1"/>
  </r>
  <r>
    <n v="10004"/>
    <n v="1"/>
    <d v="2013-09-04T00:00:00"/>
    <s v="DVD"/>
    <n v="101779"/>
    <s v="AB103157"/>
    <x v="1"/>
    <n v="202612"/>
    <x v="1"/>
  </r>
  <r>
    <n v="10212"/>
    <n v="7"/>
    <d v="2013-09-04T00:00:00"/>
    <s v="DVD"/>
    <n v="101779"/>
    <s v="AB103158"/>
    <x v="10"/>
    <n v="202612"/>
    <x v="1"/>
  </r>
  <r>
    <n v="10147"/>
    <n v="4"/>
    <d v="2013-09-03T00:00:00"/>
    <s v="DVD"/>
    <n v="101780"/>
    <s v="AB103159"/>
    <x v="10"/>
    <n v="548546"/>
    <x v="1"/>
  </r>
  <r>
    <n v="10102"/>
    <n v="8"/>
    <d v="2013-09-03T00:00:00"/>
    <s v="DVD"/>
    <n v="101780"/>
    <s v="AB103160"/>
    <x v="7"/>
    <n v="548546"/>
    <x v="1"/>
  </r>
  <r>
    <n v="10015"/>
    <n v="1"/>
    <d v="2013-09-04T00:00:00"/>
    <s v="BLU-RAY"/>
    <n v="101781"/>
    <s v="AB103161"/>
    <x v="6"/>
    <n v="611848"/>
    <x v="1"/>
  </r>
  <r>
    <n v="10116"/>
    <n v="5"/>
    <d v="2013-09-04T00:00:00"/>
    <s v="BLU-RAY"/>
    <n v="101782"/>
    <s v="AB103162"/>
    <x v="7"/>
    <n v="442254"/>
    <x v="1"/>
  </r>
  <r>
    <n v="10231"/>
    <n v="10"/>
    <d v="2013-09-03T00:00:00"/>
    <s v="BLU-RAY"/>
    <n v="101782"/>
    <s v="AB103163"/>
    <x v="7"/>
    <n v="442254"/>
    <x v="1"/>
  </r>
  <r>
    <n v="10244"/>
    <n v="9"/>
    <d v="2013-09-03T00:00:00"/>
    <s v="BLU-RAY"/>
    <n v="101783"/>
    <s v="AB103164"/>
    <x v="4"/>
    <n v="741514"/>
    <x v="1"/>
  </r>
  <r>
    <n v="10207"/>
    <n v="3"/>
    <d v="2013-09-03T00:00:00"/>
    <s v="BLU-RAY"/>
    <n v="101783"/>
    <s v="AB103165"/>
    <x v="1"/>
    <n v="741514"/>
    <x v="1"/>
  </r>
  <r>
    <n v="10118"/>
    <n v="10"/>
    <d v="2013-09-03T00:00:00"/>
    <s v="DVD"/>
    <n v="101784"/>
    <s v="AB103166"/>
    <x v="3"/>
    <n v="205927"/>
    <x v="1"/>
  </r>
  <r>
    <n v="10140"/>
    <n v="5"/>
    <d v="2013-09-03T00:00:00"/>
    <s v="DVD"/>
    <n v="101784"/>
    <s v="AB103167"/>
    <x v="2"/>
    <n v="205927"/>
    <x v="1"/>
  </r>
  <r>
    <n v="10044"/>
    <n v="8"/>
    <d v="2013-09-03T00:00:00"/>
    <s v="DVD"/>
    <n v="101784"/>
    <s v="AB103168"/>
    <x v="3"/>
    <n v="205927"/>
    <x v="1"/>
  </r>
  <r>
    <n v="10240"/>
    <n v="10"/>
    <d v="2013-09-03T00:00:00"/>
    <s v="BLU-RAY"/>
    <n v="101784"/>
    <s v="AB103169"/>
    <x v="0"/>
    <n v="205927"/>
    <x v="1"/>
  </r>
  <r>
    <n v="10164"/>
    <n v="8"/>
    <d v="2013-09-03T00:00:00"/>
    <s v="DVD"/>
    <n v="101785"/>
    <s v="AB103170"/>
    <x v="2"/>
    <n v="901388"/>
    <x v="1"/>
  </r>
  <r>
    <n v="10237"/>
    <n v="8"/>
    <d v="2013-09-03T00:00:00"/>
    <s v="BLU-RAY"/>
    <n v="101785"/>
    <s v="AB103171"/>
    <x v="0"/>
    <n v="901388"/>
    <x v="1"/>
  </r>
  <r>
    <n v="10137"/>
    <n v="7"/>
    <d v="2013-09-03T00:00:00"/>
    <s v="DVD"/>
    <n v="101786"/>
    <s v="AB103172"/>
    <x v="3"/>
    <n v="267632"/>
    <x v="1"/>
  </r>
  <r>
    <n v="10122"/>
    <n v="7"/>
    <d v="2013-09-03T00:00:00"/>
    <s v="BLU-RAY"/>
    <n v="101786"/>
    <s v="AB103173"/>
    <x v="12"/>
    <n v="267632"/>
    <x v="1"/>
  </r>
  <r>
    <n v="10260"/>
    <n v="7"/>
    <d v="2013-09-04T00:00:00"/>
    <s v="BLU-RAY"/>
    <n v="101787"/>
    <s v="AB103174"/>
    <x v="4"/>
    <n v="494106"/>
    <x v="1"/>
  </r>
  <r>
    <n v="10217"/>
    <n v="6"/>
    <d v="2013-09-04T00:00:00"/>
    <s v="BLU-RAY"/>
    <n v="101787"/>
    <s v="AB103175"/>
    <x v="0"/>
    <n v="494106"/>
    <x v="1"/>
  </r>
  <r>
    <n v="10169"/>
    <n v="4"/>
    <d v="2013-09-03T00:00:00"/>
    <s v="DVD"/>
    <n v="101788"/>
    <s v="AB103176"/>
    <x v="0"/>
    <n v="664934"/>
    <x v="1"/>
  </r>
  <r>
    <n v="10052"/>
    <n v="2"/>
    <d v="2013-09-04T00:00:00"/>
    <s v="DVD"/>
    <n v="101788"/>
    <s v="AB103177"/>
    <x v="0"/>
    <n v="664934"/>
    <x v="1"/>
  </r>
  <r>
    <n v="10053"/>
    <n v="10"/>
    <d v="2013-09-03T00:00:00"/>
    <s v="DVD"/>
    <n v="101788"/>
    <s v="AB103178"/>
    <x v="4"/>
    <n v="664934"/>
    <x v="1"/>
  </r>
  <r>
    <n v="10021"/>
    <n v="8"/>
    <d v="2013-09-03T00:00:00"/>
    <s v="BLU-RAY"/>
    <n v="101789"/>
    <s v="AB103179"/>
    <x v="1"/>
    <n v="395125"/>
    <x v="1"/>
  </r>
  <r>
    <n v="10296"/>
    <n v="8"/>
    <d v="2013-09-04T00:00:00"/>
    <s v="DVD"/>
    <n v="101790"/>
    <s v="AB103180"/>
    <x v="21"/>
    <n v="954812"/>
    <x v="1"/>
  </r>
  <r>
    <n v="10230"/>
    <n v="2"/>
    <d v="2013-09-04T00:00:00"/>
    <s v="DVD"/>
    <n v="101790"/>
    <s v="AB103181"/>
    <x v="14"/>
    <n v="954812"/>
    <x v="1"/>
  </r>
  <r>
    <n v="10271"/>
    <n v="5"/>
    <d v="2013-09-04T00:00:00"/>
    <s v="DVD"/>
    <n v="101791"/>
    <s v="AB103182"/>
    <x v="7"/>
    <n v="766161"/>
    <x v="1"/>
  </r>
  <r>
    <n v="10229"/>
    <n v="3"/>
    <d v="2013-09-04T00:00:00"/>
    <s v="BLU-RAY"/>
    <n v="101791"/>
    <s v="AB103183"/>
    <x v="6"/>
    <n v="766161"/>
    <x v="1"/>
  </r>
  <r>
    <n v="10026"/>
    <n v="8"/>
    <d v="2013-09-05T00:00:00"/>
    <s v="BLU-RAY"/>
    <n v="101792"/>
    <s v="AB103184"/>
    <x v="9"/>
    <n v="249779"/>
    <x v="1"/>
  </r>
  <r>
    <n v="10272"/>
    <n v="6"/>
    <d v="2013-09-04T00:00:00"/>
    <s v="BLU-RAY"/>
    <n v="101793"/>
    <s v="AB103185"/>
    <x v="4"/>
    <n v="612681"/>
    <x v="1"/>
  </r>
  <r>
    <n v="10165"/>
    <n v="7"/>
    <d v="2013-09-04T00:00:00"/>
    <s v="DVD"/>
    <n v="101793"/>
    <s v="AB103186"/>
    <x v="2"/>
    <n v="612681"/>
    <x v="1"/>
  </r>
  <r>
    <n v="10253"/>
    <n v="2"/>
    <d v="2013-09-06T00:00:00"/>
    <s v="DVD"/>
    <n v="101794"/>
    <s v="AB103187"/>
    <x v="3"/>
    <n v="734624"/>
    <x v="1"/>
  </r>
  <r>
    <n v="10031"/>
    <n v="7"/>
    <d v="2013-09-04T00:00:00"/>
    <s v="DVD"/>
    <n v="101795"/>
    <s v="AB103188"/>
    <x v="0"/>
    <n v="601753"/>
    <x v="1"/>
  </r>
  <r>
    <n v="10161"/>
    <n v="4"/>
    <d v="2013-09-07T00:00:00"/>
    <s v="DVD"/>
    <n v="101795"/>
    <s v="AB103189"/>
    <x v="6"/>
    <n v="601753"/>
    <x v="1"/>
  </r>
  <r>
    <n v="10177"/>
    <n v="3"/>
    <d v="2013-09-04T00:00:00"/>
    <s v="BLU-RAY"/>
    <n v="101795"/>
    <s v="AB103190"/>
    <x v="9"/>
    <n v="601753"/>
    <x v="1"/>
  </r>
  <r>
    <n v="10053"/>
    <n v="9"/>
    <d v="2013-09-04T00:00:00"/>
    <s v="BLU-RAY"/>
    <n v="101796"/>
    <s v="AB103191"/>
    <x v="4"/>
    <n v="826590"/>
    <x v="1"/>
  </r>
  <r>
    <n v="10059"/>
    <n v="4"/>
    <d v="2013-09-04T00:00:00"/>
    <s v="BLU-RAY"/>
    <n v="101796"/>
    <s v="AB103192"/>
    <x v="7"/>
    <n v="826590"/>
    <x v="1"/>
  </r>
  <r>
    <n v="10225"/>
    <n v="6"/>
    <d v="2013-09-04T00:00:00"/>
    <s v="DVD"/>
    <n v="101797"/>
    <s v="AB103193"/>
    <x v="0"/>
    <n v="352644"/>
    <x v="1"/>
  </r>
  <r>
    <n v="10184"/>
    <n v="1"/>
    <d v="2013-09-04T00:00:00"/>
    <s v="DVD"/>
    <n v="101797"/>
    <s v="AB103194"/>
    <x v="7"/>
    <n v="352644"/>
    <x v="1"/>
  </r>
  <r>
    <n v="10165"/>
    <n v="5"/>
    <d v="2013-09-04T00:00:00"/>
    <s v="DVD"/>
    <n v="101798"/>
    <s v="AB103195"/>
    <x v="2"/>
    <n v="817274"/>
    <x v="1"/>
  </r>
  <r>
    <n v="10001"/>
    <n v="8"/>
    <d v="2013-09-04T00:00:00"/>
    <s v="DVD"/>
    <n v="101799"/>
    <s v="AB103196"/>
    <x v="14"/>
    <n v="808177"/>
    <x v="1"/>
  </r>
  <r>
    <n v="10185"/>
    <n v="6"/>
    <d v="2013-09-04T00:00:00"/>
    <s v="DVD"/>
    <n v="101799"/>
    <s v="AB103197"/>
    <x v="0"/>
    <n v="808177"/>
    <x v="1"/>
  </r>
  <r>
    <n v="10178"/>
    <n v="6"/>
    <d v="2013-09-05T00:00:00"/>
    <s v="BLU-RAY"/>
    <n v="101799"/>
    <s v="AB103198"/>
    <x v="0"/>
    <n v="808177"/>
    <x v="1"/>
  </r>
  <r>
    <n v="10105"/>
    <n v="1"/>
    <d v="2013-09-05T00:00:00"/>
    <s v="BLU-RAY"/>
    <n v="101799"/>
    <s v="AB103199"/>
    <x v="2"/>
    <n v="808177"/>
    <x v="1"/>
  </r>
  <r>
    <n v="10147"/>
    <n v="10"/>
    <d v="2013-09-04T00:00:00"/>
    <s v="DVD"/>
    <n v="101800"/>
    <s v="AB103200"/>
    <x v="10"/>
    <n v="877877"/>
    <x v="1"/>
  </r>
  <r>
    <n v="10018"/>
    <n v="8"/>
    <d v="2013-09-04T00:00:00"/>
    <s v="DVD"/>
    <n v="101800"/>
    <s v="AB103201"/>
    <x v="9"/>
    <n v="877877"/>
    <x v="1"/>
  </r>
  <r>
    <n v="10244"/>
    <n v="6"/>
    <d v="2013-09-05T00:00:00"/>
    <s v="DVD"/>
    <n v="101801"/>
    <s v="AB103202"/>
    <x v="4"/>
    <n v="891738"/>
    <x v="1"/>
  </r>
  <r>
    <n v="10073"/>
    <n v="3"/>
    <d v="2013-09-04T00:00:00"/>
    <s v="DVD"/>
    <n v="101801"/>
    <s v="AB103203"/>
    <x v="16"/>
    <n v="891738"/>
    <x v="1"/>
  </r>
  <r>
    <n v="10185"/>
    <n v="1"/>
    <d v="2013-09-04T00:00:00"/>
    <s v="DVD"/>
    <n v="101802"/>
    <s v="AB103204"/>
    <x v="0"/>
    <n v="882493"/>
    <x v="1"/>
  </r>
  <r>
    <n v="10149"/>
    <n v="8"/>
    <d v="2013-09-04T00:00:00"/>
    <s v="DVD"/>
    <n v="101803"/>
    <s v="AB103205"/>
    <x v="12"/>
    <n v="231615"/>
    <x v="1"/>
  </r>
  <r>
    <n v="10143"/>
    <n v="5"/>
    <d v="2013-09-05T00:00:00"/>
    <s v="DVD"/>
    <n v="101804"/>
    <s v="AB103206"/>
    <x v="3"/>
    <n v="330570"/>
    <x v="1"/>
  </r>
  <r>
    <n v="10192"/>
    <n v="9"/>
    <d v="2013-09-05T00:00:00"/>
    <s v="DVD"/>
    <n v="101804"/>
    <s v="AB103207"/>
    <x v="7"/>
    <n v="330570"/>
    <x v="1"/>
  </r>
  <r>
    <n v="10231"/>
    <n v="9"/>
    <d v="2013-09-06T00:00:00"/>
    <s v="BLU-RAY"/>
    <n v="101804"/>
    <s v="AB103208"/>
    <x v="7"/>
    <n v="330570"/>
    <x v="1"/>
  </r>
  <r>
    <n v="10022"/>
    <n v="4"/>
    <d v="2013-09-06T00:00:00"/>
    <s v="DVD"/>
    <n v="101805"/>
    <s v="AB103209"/>
    <x v="7"/>
    <n v="606155"/>
    <x v="1"/>
  </r>
  <r>
    <n v="10279"/>
    <n v="8"/>
    <d v="2013-09-04T00:00:00"/>
    <s v="DVD"/>
    <n v="101806"/>
    <s v="AB103210"/>
    <x v="8"/>
    <n v="520377"/>
    <x v="1"/>
  </r>
  <r>
    <n v="10190"/>
    <n v="8"/>
    <d v="2013-09-06T00:00:00"/>
    <s v="DVD"/>
    <n v="101806"/>
    <s v="AB103211"/>
    <x v="10"/>
    <n v="520377"/>
    <x v="1"/>
  </r>
  <r>
    <n v="10292"/>
    <n v="10"/>
    <d v="2013-09-04T00:00:00"/>
    <s v="DVD"/>
    <n v="101806"/>
    <s v="AB103212"/>
    <x v="15"/>
    <n v="520377"/>
    <x v="1"/>
  </r>
  <r>
    <n v="10166"/>
    <n v="3"/>
    <d v="2013-09-05T00:00:00"/>
    <s v="BLU-RAY"/>
    <n v="101807"/>
    <s v="AB103213"/>
    <x v="9"/>
    <n v="189441"/>
    <x v="1"/>
  </r>
  <r>
    <n v="10280"/>
    <n v="4"/>
    <d v="2013-09-05T00:00:00"/>
    <s v="DVD"/>
    <n v="101808"/>
    <s v="AB103214"/>
    <x v="7"/>
    <n v="964619"/>
    <x v="1"/>
  </r>
  <r>
    <n v="10126"/>
    <n v="9"/>
    <d v="2013-09-07T00:00:00"/>
    <s v="BLU-RAY"/>
    <n v="101808"/>
    <s v="AB103215"/>
    <x v="9"/>
    <n v="964619"/>
    <x v="1"/>
  </r>
  <r>
    <n v="10054"/>
    <n v="6"/>
    <d v="2013-09-06T00:00:00"/>
    <s v="DVD"/>
    <n v="101809"/>
    <s v="AB103216"/>
    <x v="1"/>
    <n v="262579"/>
    <x v="1"/>
  </r>
  <r>
    <n v="10100"/>
    <n v="4"/>
    <d v="2013-09-05T00:00:00"/>
    <s v="DVD"/>
    <n v="101810"/>
    <s v="AB103217"/>
    <x v="9"/>
    <n v="973766"/>
    <x v="1"/>
  </r>
  <r>
    <n v="10191"/>
    <n v="7"/>
    <d v="2013-09-05T00:00:00"/>
    <s v="DVD"/>
    <n v="101810"/>
    <s v="AB103218"/>
    <x v="7"/>
    <n v="973766"/>
    <x v="1"/>
  </r>
  <r>
    <n v="10083"/>
    <n v="1"/>
    <d v="2013-09-06T00:00:00"/>
    <s v="BLU-RAY"/>
    <n v="101811"/>
    <s v="AB103219"/>
    <x v="3"/>
    <n v="464277"/>
    <x v="1"/>
  </r>
  <r>
    <n v="10025"/>
    <n v="2"/>
    <d v="2013-09-05T00:00:00"/>
    <s v="BLU-RAY"/>
    <n v="101812"/>
    <s v="AB103220"/>
    <x v="4"/>
    <n v="672834"/>
    <x v="1"/>
  </r>
  <r>
    <n v="10271"/>
    <n v="4"/>
    <d v="2013-09-05T00:00:00"/>
    <s v="BLU-RAY"/>
    <n v="101812"/>
    <s v="AB103221"/>
    <x v="7"/>
    <n v="672834"/>
    <x v="1"/>
  </r>
  <r>
    <n v="10289"/>
    <n v="3"/>
    <d v="2013-09-05T00:00:00"/>
    <s v="DVD"/>
    <n v="101813"/>
    <s v="AB103222"/>
    <x v="11"/>
    <n v="549823"/>
    <x v="1"/>
  </r>
  <r>
    <n v="10064"/>
    <n v="7"/>
    <d v="2013-09-05T00:00:00"/>
    <s v="DVD"/>
    <n v="101813"/>
    <s v="AB103223"/>
    <x v="7"/>
    <n v="549823"/>
    <x v="1"/>
  </r>
  <r>
    <n v="10175"/>
    <n v="7"/>
    <d v="2013-09-05T00:00:00"/>
    <s v="DVD"/>
    <n v="101813"/>
    <s v="AB103224"/>
    <x v="3"/>
    <n v="549823"/>
    <x v="1"/>
  </r>
  <r>
    <n v="10196"/>
    <n v="10"/>
    <d v="2013-09-07T00:00:00"/>
    <s v="DVD"/>
    <n v="101813"/>
    <s v="AB103225"/>
    <x v="9"/>
    <n v="549823"/>
    <x v="1"/>
  </r>
  <r>
    <n v="10281"/>
    <n v="10"/>
    <d v="2013-09-06T00:00:00"/>
    <s v="BLU-RAY"/>
    <n v="101813"/>
    <s v="AB103226"/>
    <x v="10"/>
    <n v="549823"/>
    <x v="1"/>
  </r>
  <r>
    <n v="10180"/>
    <n v="4"/>
    <d v="2013-09-06T00:00:00"/>
    <s v="BLU-RAY"/>
    <n v="101814"/>
    <s v="AB103227"/>
    <x v="12"/>
    <n v="216475"/>
    <x v="1"/>
  </r>
  <r>
    <n v="10201"/>
    <n v="9"/>
    <d v="2013-09-06T00:00:00"/>
    <s v="DVD"/>
    <n v="101815"/>
    <s v="AB103228"/>
    <x v="8"/>
    <n v="771285"/>
    <x v="1"/>
  </r>
  <r>
    <n v="10156"/>
    <n v="8"/>
    <d v="2013-09-06T00:00:00"/>
    <s v="DVD"/>
    <n v="101816"/>
    <s v="AB103229"/>
    <x v="3"/>
    <n v="900440"/>
    <x v="1"/>
  </r>
  <r>
    <n v="10001"/>
    <n v="9"/>
    <d v="2013-09-06T00:00:00"/>
    <s v="DVD"/>
    <n v="101816"/>
    <s v="AB103230"/>
    <x v="14"/>
    <n v="900440"/>
    <x v="1"/>
  </r>
  <r>
    <n v="10164"/>
    <n v="2"/>
    <d v="2013-09-06T00:00:00"/>
    <s v="BLU-RAY"/>
    <n v="101817"/>
    <s v="AB103231"/>
    <x v="2"/>
    <n v="606155"/>
    <x v="1"/>
  </r>
  <r>
    <n v="10011"/>
    <n v="8"/>
    <d v="2013-09-06T00:00:00"/>
    <s v="BLU-RAY"/>
    <n v="101818"/>
    <s v="AB103232"/>
    <x v="3"/>
    <n v="938393"/>
    <x v="1"/>
  </r>
  <r>
    <n v="10073"/>
    <n v="3"/>
    <d v="2013-09-06T00:00:00"/>
    <s v="DVD"/>
    <n v="101819"/>
    <s v="AB103233"/>
    <x v="16"/>
    <n v="664934"/>
    <x v="1"/>
  </r>
  <r>
    <n v="10092"/>
    <n v="6"/>
    <d v="2013-09-07T00:00:00"/>
    <s v="DVD"/>
    <n v="101819"/>
    <s v="AB103234"/>
    <x v="0"/>
    <n v="664934"/>
    <x v="1"/>
  </r>
  <r>
    <n v="10003"/>
    <n v="3"/>
    <d v="2013-09-08T00:00:00"/>
    <s v="BLU-RAY"/>
    <n v="101820"/>
    <s v="AB103235"/>
    <x v="1"/>
    <n v="468100"/>
    <x v="1"/>
  </r>
  <r>
    <n v="10266"/>
    <n v="1"/>
    <d v="2013-09-06T00:00:00"/>
    <s v="BLU-RAY"/>
    <n v="101821"/>
    <s v="AB103236"/>
    <x v="4"/>
    <n v="265707"/>
    <x v="1"/>
  </r>
  <r>
    <n v="10000"/>
    <n v="1"/>
    <d v="2013-09-06T00:00:00"/>
    <s v="BLU-RAY"/>
    <n v="101821"/>
    <s v="AB103237"/>
    <x v="6"/>
    <n v="265707"/>
    <x v="1"/>
  </r>
  <r>
    <n v="10283"/>
    <n v="1"/>
    <d v="2013-09-06T00:00:00"/>
    <s v="DVD"/>
    <n v="101822"/>
    <s v="AB103238"/>
    <x v="6"/>
    <n v="927518"/>
    <x v="1"/>
  </r>
  <r>
    <n v="10209"/>
    <n v="10"/>
    <d v="2013-09-06T00:00:00"/>
    <s v="BLU-RAY"/>
    <n v="101822"/>
    <s v="AB103239"/>
    <x v="7"/>
    <n v="927518"/>
    <x v="1"/>
  </r>
  <r>
    <n v="10218"/>
    <n v="6"/>
    <d v="2013-09-06T00:00:00"/>
    <s v="DVD"/>
    <n v="101823"/>
    <s v="AB103240"/>
    <x v="4"/>
    <n v="755271"/>
    <x v="1"/>
  </r>
  <r>
    <n v="10139"/>
    <n v="5"/>
    <d v="2013-09-07T00:00:00"/>
    <s v="BLU-RAY"/>
    <n v="101824"/>
    <s v="AB103241"/>
    <x v="14"/>
    <n v="442254"/>
    <x v="1"/>
  </r>
  <r>
    <n v="10016"/>
    <n v="3"/>
    <d v="2013-09-07T00:00:00"/>
    <s v="BLU-RAY"/>
    <n v="101825"/>
    <s v="AB103242"/>
    <x v="7"/>
    <n v="200272"/>
    <x v="1"/>
  </r>
  <r>
    <n v="10289"/>
    <n v="4"/>
    <d v="2013-09-06T00:00:00"/>
    <s v="BLU-RAY"/>
    <n v="101825"/>
    <s v="AB103243"/>
    <x v="11"/>
    <n v="200272"/>
    <x v="1"/>
  </r>
  <r>
    <n v="10209"/>
    <n v="2"/>
    <d v="2013-09-07T00:00:00"/>
    <s v="DVD"/>
    <n v="101826"/>
    <s v="AB103244"/>
    <x v="7"/>
    <n v="110363"/>
    <x v="1"/>
  </r>
  <r>
    <n v="10032"/>
    <n v="8"/>
    <d v="2013-09-06T00:00:00"/>
    <s v="DVD"/>
    <n v="101826"/>
    <s v="AB103245"/>
    <x v="4"/>
    <n v="110363"/>
    <x v="1"/>
  </r>
  <r>
    <n v="10224"/>
    <n v="2"/>
    <d v="2013-09-07T00:00:00"/>
    <s v="BLU-RAY"/>
    <n v="101827"/>
    <s v="AB103246"/>
    <x v="17"/>
    <n v="395125"/>
    <x v="1"/>
  </r>
  <r>
    <n v="10251"/>
    <n v="7"/>
    <d v="2013-09-07T00:00:00"/>
    <s v="BLU-RAY"/>
    <n v="101827"/>
    <s v="AB103247"/>
    <x v="7"/>
    <n v="395125"/>
    <x v="1"/>
  </r>
  <r>
    <n v="10132"/>
    <n v="5"/>
    <d v="2013-09-07T00:00:00"/>
    <s v="BLU-RAY"/>
    <n v="101827"/>
    <s v="AB103248"/>
    <x v="10"/>
    <n v="395125"/>
    <x v="1"/>
  </r>
  <r>
    <n v="10128"/>
    <n v="6"/>
    <d v="2013-09-07T00:00:00"/>
    <s v="BLU-RAY"/>
    <n v="101828"/>
    <s v="AB103249"/>
    <x v="6"/>
    <n v="670707"/>
    <x v="1"/>
  </r>
  <r>
    <n v="10035"/>
    <n v="10"/>
    <d v="2013-09-07T00:00:00"/>
    <s v="BLU-RAY"/>
    <n v="101829"/>
    <s v="AB103250"/>
    <x v="4"/>
    <n v="485769"/>
    <x v="1"/>
  </r>
  <r>
    <n v="10201"/>
    <n v="5"/>
    <d v="2013-09-07T00:00:00"/>
    <s v="DVD"/>
    <n v="101830"/>
    <s v="AB103251"/>
    <x v="8"/>
    <n v="796796"/>
    <x v="1"/>
  </r>
  <r>
    <n v="10187"/>
    <n v="9"/>
    <d v="2013-09-07T00:00:00"/>
    <s v="BLU-RAY"/>
    <n v="101830"/>
    <s v="AB103252"/>
    <x v="1"/>
    <n v="796796"/>
    <x v="1"/>
  </r>
  <r>
    <n v="10226"/>
    <n v="4"/>
    <d v="2013-09-07T00:00:00"/>
    <s v="DVD"/>
    <n v="101830"/>
    <s v="AB103253"/>
    <x v="4"/>
    <n v="796796"/>
    <x v="1"/>
  </r>
  <r>
    <n v="10004"/>
    <n v="8"/>
    <d v="2013-09-08T00:00:00"/>
    <s v="DVD"/>
    <n v="101830"/>
    <s v="AB103254"/>
    <x v="1"/>
    <n v="796796"/>
    <x v="1"/>
  </r>
  <r>
    <n v="10234"/>
    <n v="6"/>
    <d v="2013-09-07T00:00:00"/>
    <s v="DVD"/>
    <n v="101831"/>
    <s v="AB103255"/>
    <x v="0"/>
    <n v="722547"/>
    <x v="1"/>
  </r>
  <r>
    <n v="10146"/>
    <n v="7"/>
    <d v="2013-09-07T00:00:00"/>
    <s v="DVD"/>
    <n v="101832"/>
    <s v="AB103256"/>
    <x v="4"/>
    <n v="924361"/>
    <x v="1"/>
  </r>
  <r>
    <n v="10135"/>
    <n v="9"/>
    <d v="2013-09-07T00:00:00"/>
    <s v="DVD"/>
    <n v="101833"/>
    <s v="AB103257"/>
    <x v="7"/>
    <n v="216081"/>
    <x v="1"/>
  </r>
  <r>
    <n v="10044"/>
    <n v="4"/>
    <d v="2013-09-07T00:00:00"/>
    <s v="DVD"/>
    <n v="101833"/>
    <s v="AB103258"/>
    <x v="3"/>
    <n v="216081"/>
    <x v="1"/>
  </r>
  <r>
    <n v="10285"/>
    <n v="9"/>
    <d v="2013-09-08T00:00:00"/>
    <s v="DVD"/>
    <n v="101834"/>
    <s v="AB103259"/>
    <x v="20"/>
    <n v="889686"/>
    <x v="1"/>
  </r>
  <r>
    <n v="10181"/>
    <n v="3"/>
    <d v="2013-09-07T00:00:00"/>
    <s v="DVD"/>
    <n v="101834"/>
    <s v="AB103260"/>
    <x v="9"/>
    <n v="889686"/>
    <x v="1"/>
  </r>
  <r>
    <n v="10155"/>
    <n v="3"/>
    <d v="2013-09-07T00:00:00"/>
    <s v="BLU-RAY"/>
    <n v="101835"/>
    <s v="AB103261"/>
    <x v="9"/>
    <n v="296353"/>
    <x v="1"/>
  </r>
  <r>
    <n v="10109"/>
    <n v="5"/>
    <d v="2013-09-07T00:00:00"/>
    <s v="DVD"/>
    <n v="101835"/>
    <s v="AB103262"/>
    <x v="0"/>
    <n v="296353"/>
    <x v="1"/>
  </r>
  <r>
    <n v="10205"/>
    <n v="6"/>
    <d v="2013-09-07T00:00:00"/>
    <s v="BLU-RAY"/>
    <n v="101836"/>
    <s v="AB103263"/>
    <x v="1"/>
    <n v="143878"/>
    <x v="1"/>
  </r>
  <r>
    <n v="10003"/>
    <n v="6"/>
    <d v="2013-09-08T00:00:00"/>
    <s v="BLU-RAY"/>
    <n v="101837"/>
    <s v="AB103264"/>
    <x v="1"/>
    <n v="190721"/>
    <x v="1"/>
  </r>
  <r>
    <n v="10212"/>
    <n v="5"/>
    <d v="2013-09-07T00:00:00"/>
    <s v="BLU-RAY"/>
    <n v="101837"/>
    <s v="AB103265"/>
    <x v="10"/>
    <n v="190721"/>
    <x v="1"/>
  </r>
  <r>
    <n v="10299"/>
    <n v="5"/>
    <d v="2013-09-09T00:00:00"/>
    <s v="DVD"/>
    <n v="101838"/>
    <s v="AB103266"/>
    <x v="22"/>
    <n v="235720"/>
    <x v="1"/>
  </r>
  <r>
    <n v="10259"/>
    <n v="4"/>
    <d v="2013-09-08T00:00:00"/>
    <s v="BLU-RAY"/>
    <n v="101838"/>
    <s v="AB103267"/>
    <x v="0"/>
    <n v="235720"/>
    <x v="1"/>
  </r>
  <r>
    <n v="10225"/>
    <n v="1"/>
    <d v="2013-09-08T00:00:00"/>
    <s v="DVD"/>
    <n v="101838"/>
    <s v="AB103268"/>
    <x v="0"/>
    <n v="235720"/>
    <x v="1"/>
  </r>
  <r>
    <n v="10040"/>
    <n v="4"/>
    <d v="2013-09-08T00:00:00"/>
    <s v="DVD"/>
    <n v="101839"/>
    <s v="AB103269"/>
    <x v="7"/>
    <n v="568217"/>
    <x v="1"/>
  </r>
  <r>
    <n v="10284"/>
    <n v="2"/>
    <d v="2013-09-09T00:00:00"/>
    <s v="BLU-RAY"/>
    <n v="101839"/>
    <s v="AB103270"/>
    <x v="14"/>
    <n v="568217"/>
    <x v="1"/>
  </r>
  <r>
    <n v="10203"/>
    <n v="6"/>
    <d v="2013-09-10T00:00:00"/>
    <s v="BLU-RAY"/>
    <n v="101840"/>
    <s v="AB103271"/>
    <x v="3"/>
    <n v="659695"/>
    <x v="1"/>
  </r>
  <r>
    <n v="10188"/>
    <n v="9"/>
    <d v="2013-09-08T00:00:00"/>
    <s v="BLU-RAY"/>
    <n v="101841"/>
    <s v="AB103272"/>
    <x v="1"/>
    <n v="403000"/>
    <x v="1"/>
  </r>
  <r>
    <n v="10193"/>
    <n v="3"/>
    <d v="2013-09-09T00:00:00"/>
    <s v="BLU-RAY"/>
    <n v="101842"/>
    <s v="AB103273"/>
    <x v="9"/>
    <n v="352644"/>
    <x v="1"/>
  </r>
  <r>
    <n v="10085"/>
    <n v="1"/>
    <d v="2013-09-08T00:00:00"/>
    <s v="DVD"/>
    <n v="101842"/>
    <s v="AB103274"/>
    <x v="3"/>
    <n v="352644"/>
    <x v="1"/>
  </r>
  <r>
    <n v="10065"/>
    <n v="3"/>
    <d v="2013-09-08T00:00:00"/>
    <s v="DVD"/>
    <n v="101843"/>
    <s v="AB103275"/>
    <x v="0"/>
    <n v="944523"/>
    <x v="1"/>
  </r>
  <r>
    <n v="10227"/>
    <n v="7"/>
    <d v="2013-09-09T00:00:00"/>
    <s v="BLU-RAY"/>
    <n v="101843"/>
    <s v="AB103276"/>
    <x v="14"/>
    <n v="944523"/>
    <x v="1"/>
  </r>
  <r>
    <n v="10291"/>
    <n v="3"/>
    <d v="2013-09-09T00:00:00"/>
    <s v="BLU-RAY"/>
    <n v="101844"/>
    <s v="AB103277"/>
    <x v="0"/>
    <n v="161175"/>
    <x v="1"/>
  </r>
  <r>
    <n v="10052"/>
    <n v="1"/>
    <d v="2013-09-08T00:00:00"/>
    <s v="BLU-RAY"/>
    <n v="101844"/>
    <s v="AB103278"/>
    <x v="0"/>
    <n v="161175"/>
    <x v="1"/>
  </r>
  <r>
    <n v="10207"/>
    <n v="6"/>
    <d v="2013-09-10T00:00:00"/>
    <s v="DVD"/>
    <n v="101845"/>
    <s v="AB103279"/>
    <x v="1"/>
    <n v="161942"/>
    <x v="1"/>
  </r>
  <r>
    <n v="10059"/>
    <n v="7"/>
    <d v="2013-09-08T00:00:00"/>
    <s v="DVD"/>
    <n v="101846"/>
    <s v="AB103280"/>
    <x v="7"/>
    <n v="888759"/>
    <x v="1"/>
  </r>
  <r>
    <n v="10232"/>
    <n v="4"/>
    <d v="2013-09-08T00:00:00"/>
    <s v="BLU-RAY"/>
    <n v="101847"/>
    <s v="AB103281"/>
    <x v="1"/>
    <n v="468692"/>
    <x v="1"/>
  </r>
  <r>
    <n v="10009"/>
    <n v="8"/>
    <d v="2013-09-08T00:00:00"/>
    <s v="BLU-RAY"/>
    <n v="101847"/>
    <s v="AB103282"/>
    <x v="0"/>
    <n v="468692"/>
    <x v="1"/>
  </r>
  <r>
    <n v="10275"/>
    <n v="2"/>
    <d v="2013-09-09T00:00:00"/>
    <s v="BLU-RAY"/>
    <n v="101847"/>
    <s v="AB103283"/>
    <x v="10"/>
    <n v="468692"/>
    <x v="1"/>
  </r>
  <r>
    <n v="10278"/>
    <n v="6"/>
    <d v="2013-09-08T00:00:00"/>
    <s v="BLU-RAY"/>
    <n v="101847"/>
    <s v="AB103284"/>
    <x v="7"/>
    <n v="468692"/>
    <x v="1"/>
  </r>
  <r>
    <n v="10278"/>
    <n v="5"/>
    <d v="2013-09-10T00:00:00"/>
    <s v="BLU-RAY"/>
    <n v="101848"/>
    <s v="AB103285"/>
    <x v="7"/>
    <n v="857548"/>
    <x v="1"/>
  </r>
  <r>
    <n v="10028"/>
    <n v="9"/>
    <d v="2013-09-08T00:00:00"/>
    <s v="DVD"/>
    <n v="101849"/>
    <s v="AB103286"/>
    <x v="5"/>
    <n v="412544"/>
    <x v="1"/>
  </r>
  <r>
    <n v="10127"/>
    <n v="2"/>
    <d v="2013-09-09T00:00:00"/>
    <s v="DVD"/>
    <n v="101850"/>
    <s v="AB103287"/>
    <x v="6"/>
    <n v="882493"/>
    <x v="1"/>
  </r>
  <r>
    <n v="10150"/>
    <n v="6"/>
    <d v="2013-09-08T00:00:00"/>
    <s v="BLU-RAY"/>
    <n v="101850"/>
    <s v="AB103288"/>
    <x v="14"/>
    <n v="882493"/>
    <x v="1"/>
  </r>
  <r>
    <n v="10052"/>
    <n v="5"/>
    <d v="2013-09-10T00:00:00"/>
    <s v="BLU-RAY"/>
    <n v="101851"/>
    <s v="AB103289"/>
    <x v="0"/>
    <n v="433442"/>
    <x v="1"/>
  </r>
  <r>
    <n v="10137"/>
    <n v="5"/>
    <d v="2013-09-09T00:00:00"/>
    <s v="BLU-RAY"/>
    <n v="101852"/>
    <s v="AB103290"/>
    <x v="3"/>
    <n v="730305"/>
    <x v="1"/>
  </r>
  <r>
    <n v="10249"/>
    <n v="3"/>
    <d v="2013-09-09T00:00:00"/>
    <s v="DVD"/>
    <n v="101852"/>
    <s v="AB103291"/>
    <x v="5"/>
    <n v="730305"/>
    <x v="1"/>
  </r>
  <r>
    <n v="10238"/>
    <n v="7"/>
    <d v="2013-09-09T00:00:00"/>
    <s v="DVD"/>
    <n v="101852"/>
    <s v="AB103292"/>
    <x v="0"/>
    <n v="730305"/>
    <x v="1"/>
  </r>
  <r>
    <n v="10246"/>
    <n v="6"/>
    <d v="2013-09-09T00:00:00"/>
    <s v="DVD"/>
    <n v="101853"/>
    <s v="AB103293"/>
    <x v="2"/>
    <n v="884607"/>
    <x v="1"/>
  </r>
  <r>
    <n v="10030"/>
    <n v="9"/>
    <d v="2013-09-10T00:00:00"/>
    <s v="BLU-RAY"/>
    <n v="101854"/>
    <s v="AB103294"/>
    <x v="0"/>
    <n v="616392"/>
    <x v="1"/>
  </r>
  <r>
    <n v="10284"/>
    <n v="7"/>
    <d v="2013-09-10T00:00:00"/>
    <s v="DVD"/>
    <n v="101854"/>
    <s v="AB103295"/>
    <x v="14"/>
    <n v="616392"/>
    <x v="1"/>
  </r>
  <r>
    <n v="10181"/>
    <n v="10"/>
    <d v="2013-09-09T00:00:00"/>
    <s v="BLU-RAY"/>
    <n v="101855"/>
    <s v="AB103296"/>
    <x v="9"/>
    <n v="739393"/>
    <x v="1"/>
  </r>
  <r>
    <n v="10098"/>
    <n v="7"/>
    <d v="2013-09-09T00:00:00"/>
    <s v="BLU-RAY"/>
    <n v="101856"/>
    <s v="AB103297"/>
    <x v="0"/>
    <n v="762509"/>
    <x v="1"/>
  </r>
  <r>
    <n v="10146"/>
    <n v="9"/>
    <d v="2013-09-09T00:00:00"/>
    <s v="BLU-RAY"/>
    <n v="101856"/>
    <s v="AB103298"/>
    <x v="4"/>
    <n v="762509"/>
    <x v="1"/>
  </r>
  <r>
    <n v="10054"/>
    <n v="7"/>
    <d v="2013-09-09T00:00:00"/>
    <s v="BLU-RAY"/>
    <n v="101857"/>
    <s v="AB103299"/>
    <x v="1"/>
    <n v="568217"/>
    <x v="1"/>
  </r>
  <r>
    <n v="10151"/>
    <n v="1"/>
    <d v="2013-09-09T00:00:00"/>
    <s v="DVD"/>
    <n v="101857"/>
    <s v="AB103300"/>
    <x v="8"/>
    <n v="568217"/>
    <x v="1"/>
  </r>
  <r>
    <n v="10054"/>
    <n v="4"/>
    <d v="2013-09-09T00:00:00"/>
    <s v="DVD"/>
    <n v="101858"/>
    <s v="AB103301"/>
    <x v="1"/>
    <n v="447601"/>
    <x v="1"/>
  </r>
  <r>
    <n v="10116"/>
    <n v="9"/>
    <d v="2013-09-09T00:00:00"/>
    <s v="BLU-RAY"/>
    <n v="101858"/>
    <s v="AB103302"/>
    <x v="7"/>
    <n v="447601"/>
    <x v="1"/>
  </r>
  <r>
    <n v="10039"/>
    <n v="3"/>
    <d v="2013-09-09T00:00:00"/>
    <s v="DVD"/>
    <n v="101858"/>
    <s v="AB103303"/>
    <x v="11"/>
    <n v="447601"/>
    <x v="1"/>
  </r>
  <r>
    <n v="10067"/>
    <n v="8"/>
    <d v="2013-09-11T00:00:00"/>
    <s v="DVD"/>
    <n v="101858"/>
    <s v="AB103304"/>
    <x v="1"/>
    <n v="447601"/>
    <x v="1"/>
  </r>
  <r>
    <n v="10252"/>
    <n v="3"/>
    <d v="2013-09-09T00:00:00"/>
    <s v="DVD"/>
    <n v="101858"/>
    <s v="AB103305"/>
    <x v="0"/>
    <n v="447601"/>
    <x v="1"/>
  </r>
  <r>
    <n v="10071"/>
    <n v="7"/>
    <d v="2013-09-10T00:00:00"/>
    <s v="DVD"/>
    <n v="101859"/>
    <s v="AB103306"/>
    <x v="1"/>
    <n v="269687"/>
    <x v="1"/>
  </r>
  <r>
    <n v="10251"/>
    <n v="10"/>
    <d v="2013-09-10T00:00:00"/>
    <s v="BLU-RAY"/>
    <n v="101860"/>
    <s v="AB103307"/>
    <x v="7"/>
    <n v="796796"/>
    <x v="1"/>
  </r>
  <r>
    <n v="10257"/>
    <n v="3"/>
    <d v="2013-09-09T00:00:00"/>
    <s v="BLU-RAY"/>
    <n v="101860"/>
    <s v="AB103308"/>
    <x v="9"/>
    <n v="796796"/>
    <x v="1"/>
  </r>
  <r>
    <n v="10074"/>
    <n v="2"/>
    <d v="2013-09-10T00:00:00"/>
    <s v="DVD"/>
    <n v="101861"/>
    <s v="AB103309"/>
    <x v="11"/>
    <n v="429748"/>
    <x v="1"/>
  </r>
  <r>
    <n v="10052"/>
    <n v="8"/>
    <d v="2013-09-10T00:00:00"/>
    <s v="DVD"/>
    <n v="101862"/>
    <s v="AB103310"/>
    <x v="0"/>
    <n v="785444"/>
    <x v="1"/>
  </r>
  <r>
    <n v="10120"/>
    <n v="8"/>
    <d v="2013-09-10T00:00:00"/>
    <s v="BLU-RAY"/>
    <n v="101862"/>
    <s v="AB103311"/>
    <x v="14"/>
    <n v="785444"/>
    <x v="1"/>
  </r>
  <r>
    <n v="10097"/>
    <n v="7"/>
    <d v="2013-09-11T00:00:00"/>
    <s v="BLU-RAY"/>
    <n v="101863"/>
    <s v="AB103312"/>
    <x v="8"/>
    <n v="346006"/>
    <x v="1"/>
  </r>
  <r>
    <n v="10204"/>
    <n v="8"/>
    <d v="2013-09-10T00:00:00"/>
    <s v="BLU-RAY"/>
    <n v="101864"/>
    <s v="AB103313"/>
    <x v="7"/>
    <n v="646700"/>
    <x v="1"/>
  </r>
  <r>
    <n v="10076"/>
    <n v="6"/>
    <d v="2013-09-12T00:00:00"/>
    <s v="DVD"/>
    <n v="101865"/>
    <s v="AB103314"/>
    <x v="4"/>
    <n v="590616"/>
    <x v="1"/>
  </r>
  <r>
    <n v="10159"/>
    <n v="4"/>
    <d v="2013-09-10T00:00:00"/>
    <s v="BLU-RAY"/>
    <n v="101865"/>
    <s v="AB103315"/>
    <x v="10"/>
    <n v="590616"/>
    <x v="1"/>
  </r>
  <r>
    <n v="10096"/>
    <n v="8"/>
    <d v="2013-09-10T00:00:00"/>
    <s v="DVD"/>
    <n v="101866"/>
    <s v="AB103316"/>
    <x v="7"/>
    <n v="157695"/>
    <x v="1"/>
  </r>
  <r>
    <n v="10064"/>
    <n v="5"/>
    <d v="2013-09-10T00:00:00"/>
    <s v="DVD"/>
    <n v="101867"/>
    <s v="AB103317"/>
    <x v="7"/>
    <n v="516619"/>
    <x v="1"/>
  </r>
  <r>
    <n v="10245"/>
    <n v="7"/>
    <d v="2013-09-10T00:00:00"/>
    <s v="DVD"/>
    <n v="101867"/>
    <s v="AB103318"/>
    <x v="0"/>
    <n v="516619"/>
    <x v="1"/>
  </r>
  <r>
    <n v="10031"/>
    <n v="3"/>
    <d v="2013-09-11T00:00:00"/>
    <s v="DVD"/>
    <n v="101867"/>
    <s v="AB103319"/>
    <x v="0"/>
    <n v="516619"/>
    <x v="1"/>
  </r>
  <r>
    <n v="10208"/>
    <n v="10"/>
    <d v="2013-09-10T00:00:00"/>
    <s v="BLU-RAY"/>
    <n v="101867"/>
    <s v="AB103320"/>
    <x v="0"/>
    <n v="516619"/>
    <x v="1"/>
  </r>
  <r>
    <n v="10024"/>
    <n v="3"/>
    <d v="2013-09-11T00:00:00"/>
    <s v="BLU-RAY"/>
    <n v="101868"/>
    <s v="AB103321"/>
    <x v="9"/>
    <n v="520377"/>
    <x v="1"/>
  </r>
  <r>
    <n v="10007"/>
    <n v="3"/>
    <d v="2013-09-10T00:00:00"/>
    <s v="BLU-RAY"/>
    <n v="101869"/>
    <s v="AB103322"/>
    <x v="4"/>
    <n v="915766"/>
    <x v="1"/>
  </r>
  <r>
    <n v="10216"/>
    <n v="6"/>
    <d v="2013-09-10T00:00:00"/>
    <s v="DVD"/>
    <n v="101870"/>
    <s v="AB103323"/>
    <x v="4"/>
    <n v="832914"/>
    <x v="1"/>
  </r>
  <r>
    <n v="10096"/>
    <n v="10"/>
    <d v="2013-09-10T00:00:00"/>
    <s v="BLU-RAY"/>
    <n v="101871"/>
    <s v="AB103324"/>
    <x v="7"/>
    <n v="175940"/>
    <x v="1"/>
  </r>
  <r>
    <n v="10294"/>
    <n v="1"/>
    <d v="2013-09-10T00:00:00"/>
    <s v="DVD"/>
    <n v="101871"/>
    <s v="AB103325"/>
    <x v="2"/>
    <n v="175940"/>
    <x v="1"/>
  </r>
  <r>
    <n v="10214"/>
    <n v="9"/>
    <d v="2013-09-10T00:00:00"/>
    <s v="BLU-RAY"/>
    <n v="101871"/>
    <s v="AB103326"/>
    <x v="13"/>
    <n v="175940"/>
    <x v="1"/>
  </r>
  <r>
    <n v="10279"/>
    <n v="8"/>
    <d v="2013-09-10T00:00:00"/>
    <s v="DVD"/>
    <n v="101871"/>
    <s v="AB103327"/>
    <x v="8"/>
    <n v="175940"/>
    <x v="1"/>
  </r>
  <r>
    <n v="10203"/>
    <n v="5"/>
    <d v="2013-09-10T00:00:00"/>
    <s v="BLU-RAY"/>
    <n v="101872"/>
    <s v="AB103328"/>
    <x v="3"/>
    <n v="941876"/>
    <x v="1"/>
  </r>
  <r>
    <n v="10263"/>
    <n v="8"/>
    <d v="2013-09-10T00:00:00"/>
    <s v="BLU-RAY"/>
    <n v="101873"/>
    <s v="AB103329"/>
    <x v="9"/>
    <n v="347659"/>
    <x v="1"/>
  </r>
  <r>
    <n v="10154"/>
    <n v="10"/>
    <d v="2013-09-10T00:00:00"/>
    <s v="BLU-RAY"/>
    <n v="101873"/>
    <s v="AB103330"/>
    <x v="5"/>
    <n v="347659"/>
    <x v="1"/>
  </r>
  <r>
    <n v="10037"/>
    <n v="1"/>
    <d v="2013-09-10T00:00:00"/>
    <s v="DVD"/>
    <n v="101874"/>
    <s v="AB103331"/>
    <x v="3"/>
    <n v="925565"/>
    <x v="1"/>
  </r>
  <r>
    <n v="10023"/>
    <n v="1"/>
    <d v="2013-09-10T00:00:00"/>
    <s v="DVD"/>
    <n v="101874"/>
    <s v="AB103332"/>
    <x v="3"/>
    <n v="925565"/>
    <x v="1"/>
  </r>
  <r>
    <n v="10070"/>
    <n v="2"/>
    <d v="2013-09-10T00:00:00"/>
    <s v="DVD"/>
    <n v="101874"/>
    <s v="AB103333"/>
    <x v="1"/>
    <n v="925565"/>
    <x v="1"/>
  </r>
  <r>
    <n v="10162"/>
    <n v="1"/>
    <d v="2013-09-10T00:00:00"/>
    <s v="DVD"/>
    <n v="101874"/>
    <s v="AB103334"/>
    <x v="4"/>
    <n v="925565"/>
    <x v="1"/>
  </r>
  <r>
    <n v="10038"/>
    <n v="10"/>
    <d v="2013-09-10T00:00:00"/>
    <s v="BLU-RAY"/>
    <n v="101875"/>
    <s v="AB103335"/>
    <x v="1"/>
    <n v="822823"/>
    <x v="1"/>
  </r>
  <r>
    <n v="10143"/>
    <n v="8"/>
    <d v="2013-09-11T00:00:00"/>
    <s v="DVD"/>
    <n v="101875"/>
    <s v="AB103336"/>
    <x v="3"/>
    <n v="822823"/>
    <x v="1"/>
  </r>
  <r>
    <n v="10218"/>
    <n v="10"/>
    <d v="2013-09-11T00:00:00"/>
    <s v="DVD"/>
    <n v="101876"/>
    <s v="AB103337"/>
    <x v="4"/>
    <n v="270853"/>
    <x v="1"/>
  </r>
  <r>
    <n v="10078"/>
    <n v="9"/>
    <d v="2013-09-10T00:00:00"/>
    <s v="BLU-RAY"/>
    <n v="101877"/>
    <s v="AB103338"/>
    <x v="1"/>
    <n v="173125"/>
    <x v="1"/>
  </r>
  <r>
    <n v="10182"/>
    <n v="10"/>
    <d v="2013-09-10T00:00:00"/>
    <s v="BLU-RAY"/>
    <n v="101877"/>
    <s v="AB103339"/>
    <x v="0"/>
    <n v="173125"/>
    <x v="1"/>
  </r>
  <r>
    <n v="10075"/>
    <n v="10"/>
    <d v="2013-09-10T00:00:00"/>
    <s v="DVD"/>
    <n v="101878"/>
    <s v="AB103340"/>
    <x v="17"/>
    <n v="454143"/>
    <x v="1"/>
  </r>
  <r>
    <n v="10148"/>
    <n v="7"/>
    <d v="2013-09-12T00:00:00"/>
    <s v="BLU-RAY"/>
    <n v="101878"/>
    <s v="AB103341"/>
    <x v="1"/>
    <n v="454143"/>
    <x v="1"/>
  </r>
  <r>
    <n v="10267"/>
    <n v="2"/>
    <d v="2013-09-10T00:00:00"/>
    <s v="DVD"/>
    <n v="101879"/>
    <s v="AB103342"/>
    <x v="6"/>
    <n v="994185"/>
    <x v="1"/>
  </r>
  <r>
    <n v="10205"/>
    <n v="5"/>
    <d v="2013-09-11T00:00:00"/>
    <s v="DVD"/>
    <n v="101880"/>
    <s v="AB103343"/>
    <x v="1"/>
    <n v="143878"/>
    <x v="1"/>
  </r>
  <r>
    <n v="10071"/>
    <n v="8"/>
    <d v="2013-09-11T00:00:00"/>
    <s v="DVD"/>
    <n v="101881"/>
    <s v="AB103344"/>
    <x v="1"/>
    <n v="999915"/>
    <x v="1"/>
  </r>
  <r>
    <n v="10002"/>
    <n v="3"/>
    <d v="2013-09-11T00:00:00"/>
    <s v="BLU-RAY"/>
    <n v="101882"/>
    <s v="AB103345"/>
    <x v="10"/>
    <n v="730305"/>
    <x v="1"/>
  </r>
  <r>
    <n v="10168"/>
    <n v="2"/>
    <d v="2013-09-11T00:00:00"/>
    <s v="BLU-RAY"/>
    <n v="101883"/>
    <s v="AB103346"/>
    <x v="1"/>
    <n v="671101"/>
    <x v="1"/>
  </r>
  <r>
    <n v="10259"/>
    <n v="5"/>
    <d v="2013-09-11T00:00:00"/>
    <s v="DVD"/>
    <n v="101884"/>
    <s v="AB103347"/>
    <x v="0"/>
    <n v="427826"/>
    <x v="1"/>
  </r>
  <r>
    <n v="10243"/>
    <n v="4"/>
    <d v="2013-09-12T00:00:00"/>
    <s v="BLU-RAY"/>
    <n v="101885"/>
    <s v="AB103348"/>
    <x v="9"/>
    <n v="412235"/>
    <x v="1"/>
  </r>
  <r>
    <n v="10209"/>
    <n v="10"/>
    <d v="2013-09-13T00:00:00"/>
    <s v="BLU-RAY"/>
    <n v="101886"/>
    <s v="AB103349"/>
    <x v="7"/>
    <n v="717234"/>
    <x v="1"/>
  </r>
  <r>
    <n v="10274"/>
    <n v="9"/>
    <d v="2013-09-11T00:00:00"/>
    <s v="DVD"/>
    <n v="101887"/>
    <s v="AB103350"/>
    <x v="9"/>
    <n v="345748"/>
    <x v="1"/>
  </r>
  <r>
    <n v="10038"/>
    <n v="3"/>
    <d v="2013-09-13T00:00:00"/>
    <s v="BLU-RAY"/>
    <n v="101887"/>
    <s v="AB103351"/>
    <x v="1"/>
    <n v="345748"/>
    <x v="1"/>
  </r>
  <r>
    <n v="10134"/>
    <n v="2"/>
    <d v="2013-09-12T00:00:00"/>
    <s v="DVD"/>
    <n v="101888"/>
    <s v="AB103352"/>
    <x v="7"/>
    <n v="110363"/>
    <x v="1"/>
  </r>
  <r>
    <n v="10117"/>
    <n v="5"/>
    <d v="2013-09-12T00:00:00"/>
    <s v="BLU-RAY"/>
    <n v="101888"/>
    <s v="AB103353"/>
    <x v="4"/>
    <n v="110363"/>
    <x v="1"/>
  </r>
  <r>
    <n v="10166"/>
    <n v="9"/>
    <d v="2013-09-12T00:00:00"/>
    <s v="BLU-RAY"/>
    <n v="101889"/>
    <s v="AB103354"/>
    <x v="9"/>
    <n v="448739"/>
    <x v="1"/>
  </r>
  <r>
    <n v="10293"/>
    <n v="10"/>
    <d v="2013-09-11T00:00:00"/>
    <s v="BLU-RAY"/>
    <n v="101889"/>
    <s v="AB103355"/>
    <x v="12"/>
    <n v="448739"/>
    <x v="1"/>
  </r>
  <r>
    <n v="10076"/>
    <n v="7"/>
    <d v="2013-09-11T00:00:00"/>
    <s v="DVD"/>
    <n v="101890"/>
    <s v="AB103356"/>
    <x v="4"/>
    <n v="772690"/>
    <x v="1"/>
  </r>
  <r>
    <n v="10205"/>
    <n v="5"/>
    <d v="2013-09-13T00:00:00"/>
    <s v="DVD"/>
    <n v="101891"/>
    <s v="AB103357"/>
    <x v="1"/>
    <n v="485769"/>
    <x v="1"/>
  </r>
  <r>
    <n v="10022"/>
    <n v="2"/>
    <d v="2013-09-11T00:00:00"/>
    <s v="BLU-RAY"/>
    <n v="101891"/>
    <s v="AB103358"/>
    <x v="7"/>
    <n v="485769"/>
    <x v="1"/>
  </r>
  <r>
    <n v="10142"/>
    <n v="8"/>
    <d v="2013-09-12T00:00:00"/>
    <s v="DVD"/>
    <n v="101892"/>
    <s v="AB103359"/>
    <x v="0"/>
    <n v="744648"/>
    <x v="1"/>
  </r>
  <r>
    <n v="10264"/>
    <n v="9"/>
    <d v="2013-09-11T00:00:00"/>
    <s v="DVD"/>
    <n v="101892"/>
    <s v="AB103360"/>
    <x v="2"/>
    <n v="744648"/>
    <x v="1"/>
  </r>
  <r>
    <n v="10100"/>
    <n v="9"/>
    <d v="2013-09-12T00:00:00"/>
    <s v="DVD"/>
    <n v="101893"/>
    <s v="AB103361"/>
    <x v="9"/>
    <n v="487346"/>
    <x v="1"/>
  </r>
  <r>
    <n v="10229"/>
    <n v="5"/>
    <d v="2013-09-13T00:00:00"/>
    <s v="DVD"/>
    <n v="101893"/>
    <s v="AB103362"/>
    <x v="6"/>
    <n v="487346"/>
    <x v="1"/>
  </r>
  <r>
    <n v="10075"/>
    <n v="4"/>
    <d v="2013-09-11T00:00:00"/>
    <s v="DVD"/>
    <n v="101894"/>
    <s v="AB103363"/>
    <x v="17"/>
    <n v="739393"/>
    <x v="1"/>
  </r>
  <r>
    <n v="10188"/>
    <n v="3"/>
    <d v="2013-09-11T00:00:00"/>
    <s v="DVD"/>
    <n v="101895"/>
    <s v="AB103364"/>
    <x v="1"/>
    <n v="659695"/>
    <x v="1"/>
  </r>
  <r>
    <n v="10110"/>
    <n v="4"/>
    <d v="2013-09-11T00:00:00"/>
    <s v="DVD"/>
    <n v="101895"/>
    <s v="AB103365"/>
    <x v="0"/>
    <n v="659695"/>
    <x v="1"/>
  </r>
  <r>
    <n v="10140"/>
    <n v="9"/>
    <d v="2013-09-11T00:00:00"/>
    <s v="BLU-RAY"/>
    <n v="101895"/>
    <s v="AB103366"/>
    <x v="2"/>
    <n v="659695"/>
    <x v="1"/>
  </r>
  <r>
    <n v="10294"/>
    <n v="6"/>
    <d v="2013-09-12T00:00:00"/>
    <s v="DVD"/>
    <n v="101896"/>
    <s v="AB103367"/>
    <x v="2"/>
    <n v="226909"/>
    <x v="1"/>
  </r>
  <r>
    <n v="10101"/>
    <n v="4"/>
    <d v="2013-09-11T00:00:00"/>
    <s v="BLU-RAY"/>
    <n v="101896"/>
    <s v="AB103368"/>
    <x v="4"/>
    <n v="226909"/>
    <x v="1"/>
  </r>
  <r>
    <n v="10203"/>
    <n v="9"/>
    <d v="2013-09-11T00:00:00"/>
    <s v="DVD"/>
    <n v="101897"/>
    <s v="AB103369"/>
    <x v="3"/>
    <n v="301793"/>
    <x v="1"/>
  </r>
  <r>
    <n v="10297"/>
    <n v="5"/>
    <d v="2013-09-12T00:00:00"/>
    <s v="BLU-RAY"/>
    <n v="101897"/>
    <s v="AB103370"/>
    <x v="14"/>
    <n v="301793"/>
    <x v="1"/>
  </r>
  <r>
    <n v="10154"/>
    <n v="9"/>
    <d v="2013-09-12T00:00:00"/>
    <s v="DVD"/>
    <n v="101898"/>
    <s v="AB103371"/>
    <x v="5"/>
    <n v="964619"/>
    <x v="1"/>
  </r>
  <r>
    <n v="10100"/>
    <n v="4"/>
    <d v="2013-09-12T00:00:00"/>
    <s v="DVD"/>
    <n v="101898"/>
    <s v="AB103372"/>
    <x v="9"/>
    <n v="964619"/>
    <x v="1"/>
  </r>
  <r>
    <n v="10232"/>
    <n v="8"/>
    <d v="2013-09-12T00:00:00"/>
    <s v="DVD"/>
    <n v="101899"/>
    <s v="AB103373"/>
    <x v="1"/>
    <n v="817159"/>
    <x v="1"/>
  </r>
  <r>
    <n v="10062"/>
    <n v="7"/>
    <d v="2013-09-12T00:00:00"/>
    <s v="DVD"/>
    <n v="101900"/>
    <s v="AB103374"/>
    <x v="16"/>
    <n v="442254"/>
    <x v="1"/>
  </r>
  <r>
    <n v="10238"/>
    <n v="2"/>
    <d v="2013-09-12T00:00:00"/>
    <s v="DVD"/>
    <n v="101900"/>
    <s v="AB103375"/>
    <x v="0"/>
    <n v="442254"/>
    <x v="1"/>
  </r>
  <r>
    <n v="10006"/>
    <n v="6"/>
    <d v="2013-09-12T00:00:00"/>
    <s v="DVD"/>
    <n v="101900"/>
    <s v="AB103376"/>
    <x v="1"/>
    <n v="442254"/>
    <x v="1"/>
  </r>
  <r>
    <n v="10071"/>
    <n v="7"/>
    <d v="2013-09-12T00:00:00"/>
    <s v="DVD"/>
    <n v="101901"/>
    <s v="AB103377"/>
    <x v="1"/>
    <n v="147216"/>
    <x v="1"/>
  </r>
  <r>
    <n v="10195"/>
    <n v="5"/>
    <d v="2013-09-13T00:00:00"/>
    <s v="DVD"/>
    <n v="101901"/>
    <s v="AB103378"/>
    <x v="4"/>
    <n v="147216"/>
    <x v="1"/>
  </r>
  <r>
    <n v="10141"/>
    <n v="9"/>
    <d v="2013-09-12T00:00:00"/>
    <s v="DVD"/>
    <n v="101902"/>
    <s v="AB103379"/>
    <x v="0"/>
    <n v="884607"/>
    <x v="1"/>
  </r>
  <r>
    <n v="10136"/>
    <n v="4"/>
    <d v="2013-09-12T00:00:00"/>
    <s v="BLU-RAY"/>
    <n v="101903"/>
    <s v="AB103380"/>
    <x v="2"/>
    <n v="739393"/>
    <x v="1"/>
  </r>
  <r>
    <n v="10173"/>
    <n v="9"/>
    <d v="2013-09-12T00:00:00"/>
    <s v="BLU-RAY"/>
    <n v="101903"/>
    <s v="AB103381"/>
    <x v="4"/>
    <n v="739393"/>
    <x v="1"/>
  </r>
  <r>
    <n v="10139"/>
    <n v="7"/>
    <d v="2013-09-12T00:00:00"/>
    <s v="DVD"/>
    <n v="101904"/>
    <s v="AB103382"/>
    <x v="14"/>
    <n v="929344"/>
    <x v="1"/>
  </r>
  <r>
    <n v="10125"/>
    <n v="8"/>
    <d v="2013-09-13T00:00:00"/>
    <s v="BLU-RAY"/>
    <n v="101904"/>
    <s v="AB103383"/>
    <x v="9"/>
    <n v="929344"/>
    <x v="1"/>
  </r>
  <r>
    <n v="10263"/>
    <n v="9"/>
    <d v="2013-09-12T00:00:00"/>
    <s v="BLU-RAY"/>
    <n v="101905"/>
    <s v="AB103384"/>
    <x v="9"/>
    <n v="826590"/>
    <x v="1"/>
  </r>
  <r>
    <n v="10137"/>
    <n v="9"/>
    <d v="2013-09-12T00:00:00"/>
    <s v="DVD"/>
    <n v="101906"/>
    <s v="AB103385"/>
    <x v="3"/>
    <n v="744780"/>
    <x v="1"/>
  </r>
  <r>
    <n v="10049"/>
    <n v="6"/>
    <d v="2013-09-12T00:00:00"/>
    <s v="DVD"/>
    <n v="101906"/>
    <s v="AB103386"/>
    <x v="7"/>
    <n v="744780"/>
    <x v="1"/>
  </r>
  <r>
    <n v="10200"/>
    <n v="4"/>
    <d v="2013-09-12T00:00:00"/>
    <s v="BLU-RAY"/>
    <n v="101907"/>
    <s v="AB103387"/>
    <x v="9"/>
    <n v="622506"/>
    <x v="1"/>
  </r>
  <r>
    <n v="10015"/>
    <n v="6"/>
    <d v="2013-09-13T00:00:00"/>
    <s v="BLU-RAY"/>
    <n v="101908"/>
    <s v="AB103388"/>
    <x v="6"/>
    <n v="507743"/>
    <x v="1"/>
  </r>
  <r>
    <n v="10160"/>
    <n v="4"/>
    <d v="2013-09-13T00:00:00"/>
    <s v="DVD"/>
    <n v="101908"/>
    <s v="AB103389"/>
    <x v="10"/>
    <n v="507743"/>
    <x v="1"/>
  </r>
  <r>
    <n v="10159"/>
    <n v="10"/>
    <d v="2013-09-12T00:00:00"/>
    <s v="DVD"/>
    <n v="101909"/>
    <s v="AB103390"/>
    <x v="10"/>
    <n v="554099"/>
    <x v="1"/>
  </r>
  <r>
    <n v="10177"/>
    <n v="9"/>
    <d v="2013-09-12T00:00:00"/>
    <s v="BLU-RAY"/>
    <n v="101910"/>
    <s v="AB103391"/>
    <x v="9"/>
    <n v="393893"/>
    <x v="1"/>
  </r>
  <r>
    <n v="10059"/>
    <n v="5"/>
    <d v="2013-09-12T00:00:00"/>
    <s v="DVD"/>
    <n v="101910"/>
    <s v="AB103392"/>
    <x v="7"/>
    <n v="393893"/>
    <x v="1"/>
  </r>
  <r>
    <n v="10148"/>
    <n v="2"/>
    <d v="2013-09-13T00:00:00"/>
    <s v="DVD"/>
    <n v="101911"/>
    <s v="AB103393"/>
    <x v="1"/>
    <n v="110363"/>
    <x v="1"/>
  </r>
  <r>
    <n v="10180"/>
    <n v="10"/>
    <d v="2013-09-12T00:00:00"/>
    <s v="DVD"/>
    <n v="101912"/>
    <s v="AB103394"/>
    <x v="12"/>
    <n v="119406"/>
    <x v="1"/>
  </r>
  <r>
    <n v="10017"/>
    <n v="5"/>
    <d v="2013-09-12T00:00:00"/>
    <s v="BLU-RAY"/>
    <n v="101912"/>
    <s v="AB103395"/>
    <x v="4"/>
    <n v="119406"/>
    <x v="1"/>
  </r>
  <r>
    <n v="10034"/>
    <n v="9"/>
    <d v="2013-09-12T00:00:00"/>
    <s v="DVD"/>
    <n v="101913"/>
    <s v="AB103396"/>
    <x v="10"/>
    <n v="393893"/>
    <x v="1"/>
  </r>
  <r>
    <n v="10253"/>
    <n v="9"/>
    <d v="2013-09-12T00:00:00"/>
    <s v="DVD"/>
    <n v="101913"/>
    <s v="AB103397"/>
    <x v="3"/>
    <n v="393893"/>
    <x v="1"/>
  </r>
  <r>
    <n v="10167"/>
    <n v="2"/>
    <d v="2013-09-12T00:00:00"/>
    <s v="BLU-RAY"/>
    <n v="101913"/>
    <s v="AB103398"/>
    <x v="7"/>
    <n v="393893"/>
    <x v="1"/>
  </r>
  <r>
    <n v="10146"/>
    <n v="6"/>
    <d v="2013-09-12T00:00:00"/>
    <s v="BLU-RAY"/>
    <n v="101914"/>
    <s v="AB103399"/>
    <x v="4"/>
    <n v="395125"/>
    <x v="1"/>
  </r>
  <r>
    <n v="10192"/>
    <n v="6"/>
    <d v="2013-09-13T00:00:00"/>
    <s v="BLU-RAY"/>
    <n v="101914"/>
    <s v="AB103400"/>
    <x v="7"/>
    <n v="395125"/>
    <x v="1"/>
  </r>
  <r>
    <n v="10162"/>
    <n v="6"/>
    <d v="2013-09-12T00:00:00"/>
    <s v="BLU-RAY"/>
    <n v="101915"/>
    <s v="AB103401"/>
    <x v="4"/>
    <n v="161175"/>
    <x v="1"/>
  </r>
  <r>
    <n v="10252"/>
    <n v="8"/>
    <d v="2013-09-14T00:00:00"/>
    <s v="DVD"/>
    <n v="101916"/>
    <s v="AB103402"/>
    <x v="0"/>
    <n v="678940"/>
    <x v="1"/>
  </r>
  <r>
    <n v="10281"/>
    <n v="8"/>
    <d v="2013-09-13T00:00:00"/>
    <s v="BLU-RAY"/>
    <n v="101917"/>
    <s v="AB103403"/>
    <x v="10"/>
    <n v="205927"/>
    <x v="1"/>
  </r>
  <r>
    <n v="10136"/>
    <n v="2"/>
    <d v="2013-09-13T00:00:00"/>
    <s v="DVD"/>
    <n v="101918"/>
    <s v="AB103404"/>
    <x v="2"/>
    <n v="710047"/>
    <x v="1"/>
  </r>
  <r>
    <n v="10288"/>
    <n v="5"/>
    <d v="2013-09-13T00:00:00"/>
    <s v="DVD"/>
    <n v="101918"/>
    <s v="AB103405"/>
    <x v="12"/>
    <n v="710047"/>
    <x v="1"/>
  </r>
  <r>
    <n v="10272"/>
    <n v="4"/>
    <d v="2013-09-13T00:00:00"/>
    <s v="BLU-RAY"/>
    <n v="101918"/>
    <s v="AB103406"/>
    <x v="4"/>
    <n v="710047"/>
    <x v="1"/>
  </r>
  <r>
    <n v="10146"/>
    <n v="2"/>
    <d v="2013-09-13T00:00:00"/>
    <s v="BLU-RAY"/>
    <n v="101919"/>
    <s v="AB103407"/>
    <x v="4"/>
    <n v="412235"/>
    <x v="1"/>
  </r>
  <r>
    <n v="10247"/>
    <n v="4"/>
    <d v="2013-09-14T00:00:00"/>
    <s v="DVD"/>
    <n v="101919"/>
    <s v="AB103408"/>
    <x v="9"/>
    <n v="412235"/>
    <x v="1"/>
  </r>
  <r>
    <n v="10176"/>
    <n v="8"/>
    <d v="2013-09-13T00:00:00"/>
    <s v="BLU-RAY"/>
    <n v="101920"/>
    <s v="AB103409"/>
    <x v="7"/>
    <n v="739393"/>
    <x v="1"/>
  </r>
  <r>
    <n v="10168"/>
    <n v="1"/>
    <d v="2013-09-13T00:00:00"/>
    <s v="DVD"/>
    <n v="101920"/>
    <s v="AB103410"/>
    <x v="1"/>
    <n v="739393"/>
    <x v="1"/>
  </r>
  <r>
    <n v="10070"/>
    <n v="1"/>
    <d v="2013-09-14T00:00:00"/>
    <s v="BLU-RAY"/>
    <n v="101921"/>
    <s v="AB103411"/>
    <x v="1"/>
    <n v="924649"/>
    <x v="1"/>
  </r>
  <r>
    <n v="10288"/>
    <n v="7"/>
    <d v="2013-09-15T00:00:00"/>
    <s v="BLU-RAY"/>
    <n v="101921"/>
    <s v="AB103412"/>
    <x v="12"/>
    <n v="924649"/>
    <x v="1"/>
  </r>
  <r>
    <n v="10241"/>
    <n v="3"/>
    <d v="2013-09-13T00:00:00"/>
    <s v="DVD"/>
    <n v="101922"/>
    <s v="AB103413"/>
    <x v="0"/>
    <n v="808177"/>
    <x v="1"/>
  </r>
  <r>
    <n v="10081"/>
    <n v="10"/>
    <d v="2013-09-13T00:00:00"/>
    <s v="DVD"/>
    <n v="101922"/>
    <s v="AB103414"/>
    <x v="2"/>
    <n v="808177"/>
    <x v="1"/>
  </r>
  <r>
    <n v="10129"/>
    <n v="1"/>
    <d v="2013-09-14T00:00:00"/>
    <s v="DVD"/>
    <n v="101923"/>
    <s v="AB103415"/>
    <x v="0"/>
    <n v="296886"/>
    <x v="1"/>
  </r>
  <r>
    <n v="10044"/>
    <n v="1"/>
    <d v="2013-09-13T00:00:00"/>
    <s v="BLU-RAY"/>
    <n v="101923"/>
    <s v="AB103416"/>
    <x v="3"/>
    <n v="296886"/>
    <x v="1"/>
  </r>
  <r>
    <n v="10176"/>
    <n v="5"/>
    <d v="2013-09-14T00:00:00"/>
    <s v="BLU-RAY"/>
    <n v="101924"/>
    <s v="AB103417"/>
    <x v="7"/>
    <n v="395125"/>
    <x v="1"/>
  </r>
  <r>
    <n v="10288"/>
    <n v="1"/>
    <d v="2013-09-13T00:00:00"/>
    <s v="DVD"/>
    <n v="101924"/>
    <s v="AB103418"/>
    <x v="12"/>
    <n v="395125"/>
    <x v="1"/>
  </r>
  <r>
    <n v="10135"/>
    <n v="2"/>
    <d v="2013-09-14T00:00:00"/>
    <s v="DVD"/>
    <n v="101925"/>
    <s v="AB103419"/>
    <x v="7"/>
    <n v="974503"/>
    <x v="1"/>
  </r>
  <r>
    <n v="10063"/>
    <n v="2"/>
    <d v="2013-09-13T00:00:00"/>
    <s v="DVD"/>
    <n v="101925"/>
    <s v="AB103420"/>
    <x v="18"/>
    <n v="974503"/>
    <x v="1"/>
  </r>
  <r>
    <n v="10169"/>
    <n v="8"/>
    <d v="2013-09-13T00:00:00"/>
    <s v="BLU-RAY"/>
    <n v="101926"/>
    <s v="AB103421"/>
    <x v="0"/>
    <n v="612681"/>
    <x v="1"/>
  </r>
  <r>
    <n v="10108"/>
    <n v="4"/>
    <d v="2013-09-13T00:00:00"/>
    <s v="BLU-RAY"/>
    <n v="101926"/>
    <s v="AB103422"/>
    <x v="9"/>
    <n v="612681"/>
    <x v="1"/>
  </r>
  <r>
    <n v="10214"/>
    <n v="6"/>
    <d v="2013-09-14T00:00:00"/>
    <s v="DVD"/>
    <n v="101927"/>
    <s v="AB103423"/>
    <x v="13"/>
    <n v="679354"/>
    <x v="1"/>
  </r>
  <r>
    <n v="10218"/>
    <n v="2"/>
    <d v="2013-09-14T00:00:00"/>
    <s v="DVD"/>
    <n v="101927"/>
    <s v="AB103424"/>
    <x v="4"/>
    <n v="679354"/>
    <x v="1"/>
  </r>
  <r>
    <n v="10282"/>
    <n v="5"/>
    <d v="2013-09-15T00:00:00"/>
    <s v="BLU-RAY"/>
    <n v="101927"/>
    <s v="AB103425"/>
    <x v="15"/>
    <n v="679354"/>
    <x v="1"/>
  </r>
  <r>
    <n v="10173"/>
    <n v="6"/>
    <d v="2013-09-14T00:00:00"/>
    <s v="BLU-RAY"/>
    <n v="101928"/>
    <s v="AB103426"/>
    <x v="4"/>
    <n v="427391"/>
    <x v="1"/>
  </r>
  <r>
    <n v="10024"/>
    <n v="9"/>
    <d v="2013-09-15T00:00:00"/>
    <s v="DVD"/>
    <n v="101928"/>
    <s v="AB103427"/>
    <x v="9"/>
    <n v="427391"/>
    <x v="1"/>
  </r>
  <r>
    <n v="10204"/>
    <n v="3"/>
    <d v="2013-09-14T00:00:00"/>
    <s v="DVD"/>
    <n v="101929"/>
    <s v="AB103428"/>
    <x v="7"/>
    <n v="226909"/>
    <x v="1"/>
  </r>
  <r>
    <n v="10210"/>
    <n v="2"/>
    <d v="2013-09-14T00:00:00"/>
    <s v="DVD"/>
    <n v="101930"/>
    <s v="AB103429"/>
    <x v="4"/>
    <n v="701211"/>
    <x v="1"/>
  </r>
  <r>
    <n v="10135"/>
    <n v="4"/>
    <d v="2013-09-15T00:00:00"/>
    <s v="BLU-RAY"/>
    <n v="101930"/>
    <s v="AB103430"/>
    <x v="7"/>
    <n v="701211"/>
    <x v="1"/>
  </r>
  <r>
    <n v="10077"/>
    <n v="1"/>
    <d v="2013-09-14T00:00:00"/>
    <s v="BLU-RAY"/>
    <n v="101931"/>
    <s v="AB103431"/>
    <x v="0"/>
    <n v="547890"/>
    <x v="1"/>
  </r>
  <r>
    <n v="10138"/>
    <n v="3"/>
    <d v="2013-09-14T00:00:00"/>
    <s v="DVD"/>
    <n v="101931"/>
    <s v="AB103432"/>
    <x v="7"/>
    <n v="547890"/>
    <x v="1"/>
  </r>
  <r>
    <n v="10223"/>
    <n v="8"/>
    <d v="2013-09-15T00:00:00"/>
    <s v="DVD"/>
    <n v="101932"/>
    <s v="AB103433"/>
    <x v="7"/>
    <n v="678940"/>
    <x v="1"/>
  </r>
  <r>
    <n v="10023"/>
    <n v="1"/>
    <d v="2013-09-14T00:00:00"/>
    <s v="DVD"/>
    <n v="101933"/>
    <s v="AB103434"/>
    <x v="3"/>
    <n v="216081"/>
    <x v="1"/>
  </r>
  <r>
    <n v="10176"/>
    <n v="8"/>
    <d v="2013-09-14T00:00:00"/>
    <s v="DVD"/>
    <n v="101934"/>
    <s v="AB103435"/>
    <x v="7"/>
    <n v="762509"/>
    <x v="1"/>
  </r>
  <r>
    <n v="10259"/>
    <n v="4"/>
    <d v="2013-09-14T00:00:00"/>
    <s v="BLU-RAY"/>
    <n v="101934"/>
    <s v="AB103436"/>
    <x v="0"/>
    <n v="762509"/>
    <x v="1"/>
  </r>
  <r>
    <n v="10264"/>
    <n v="1"/>
    <d v="2013-09-15T00:00:00"/>
    <s v="DVD"/>
    <n v="101935"/>
    <s v="AB103437"/>
    <x v="2"/>
    <n v="659695"/>
    <x v="1"/>
  </r>
  <r>
    <n v="10100"/>
    <n v="5"/>
    <d v="2013-09-15T00:00:00"/>
    <s v="BLU-RAY"/>
    <n v="101936"/>
    <s v="AB103438"/>
    <x v="9"/>
    <n v="954812"/>
    <x v="1"/>
  </r>
  <r>
    <n v="10146"/>
    <n v="2"/>
    <d v="2013-09-14T00:00:00"/>
    <s v="DVD"/>
    <n v="101936"/>
    <s v="AB103439"/>
    <x v="4"/>
    <n v="954812"/>
    <x v="1"/>
  </r>
  <r>
    <n v="10218"/>
    <n v="7"/>
    <d v="2013-09-14T00:00:00"/>
    <s v="BLU-RAY"/>
    <n v="101937"/>
    <s v="AB103440"/>
    <x v="4"/>
    <n v="817274"/>
    <x v="1"/>
  </r>
  <r>
    <n v="10014"/>
    <n v="10"/>
    <d v="2013-09-14T00:00:00"/>
    <s v="BLU-RAY"/>
    <n v="101938"/>
    <s v="AB103441"/>
    <x v="0"/>
    <n v="494106"/>
    <x v="1"/>
  </r>
  <r>
    <n v="10200"/>
    <n v="3"/>
    <d v="2013-09-15T00:00:00"/>
    <s v="BLU-RAY"/>
    <n v="101938"/>
    <s v="AB103442"/>
    <x v="9"/>
    <n v="494106"/>
    <x v="1"/>
  </r>
  <r>
    <n v="10194"/>
    <n v="8"/>
    <d v="2013-09-15T00:00:00"/>
    <s v="DVD"/>
    <n v="101939"/>
    <s v="AB103443"/>
    <x v="16"/>
    <n v="111991"/>
    <x v="1"/>
  </r>
  <r>
    <n v="10008"/>
    <n v="1"/>
    <d v="2013-09-15T00:00:00"/>
    <s v="DVD"/>
    <n v="101940"/>
    <s v="AB103444"/>
    <x v="4"/>
    <n v="267632"/>
    <x v="1"/>
  </r>
  <r>
    <n v="10259"/>
    <n v="5"/>
    <d v="2013-09-14T00:00:00"/>
    <s v="DVD"/>
    <n v="101941"/>
    <s v="AB103445"/>
    <x v="0"/>
    <n v="308688"/>
    <x v="1"/>
  </r>
  <r>
    <n v="10130"/>
    <n v="1"/>
    <d v="2013-09-14T00:00:00"/>
    <s v="DVD"/>
    <n v="101941"/>
    <s v="AB103446"/>
    <x v="21"/>
    <n v="308688"/>
    <x v="1"/>
  </r>
  <r>
    <n v="10122"/>
    <n v="3"/>
    <d v="2013-09-14T00:00:00"/>
    <s v="BLU-RAY"/>
    <n v="101942"/>
    <s v="AB103447"/>
    <x v="12"/>
    <n v="403000"/>
    <x v="1"/>
  </r>
  <r>
    <n v="10161"/>
    <n v="9"/>
    <d v="2013-09-14T00:00:00"/>
    <s v="DVD"/>
    <n v="101942"/>
    <s v="AB103448"/>
    <x v="6"/>
    <n v="403000"/>
    <x v="1"/>
  </r>
  <r>
    <n v="10194"/>
    <n v="7"/>
    <d v="2013-09-14T00:00:00"/>
    <s v="DVD"/>
    <n v="101943"/>
    <s v="AB103449"/>
    <x v="16"/>
    <n v="226209"/>
    <x v="1"/>
  </r>
  <r>
    <n v="10013"/>
    <n v="6"/>
    <d v="2013-09-14T00:00:00"/>
    <s v="DVD"/>
    <n v="101943"/>
    <s v="AB103450"/>
    <x v="11"/>
    <n v="226209"/>
    <x v="1"/>
  </r>
  <r>
    <n v="10262"/>
    <n v="5"/>
    <d v="2013-09-16T00:00:00"/>
    <s v="BLU-RAY"/>
    <n v="101944"/>
    <s v="AB103451"/>
    <x v="10"/>
    <n v="331115"/>
    <x v="1"/>
  </r>
  <r>
    <n v="10099"/>
    <n v="2"/>
    <d v="2013-09-14T00:00:00"/>
    <s v="DVD"/>
    <n v="101944"/>
    <s v="AB103452"/>
    <x v="10"/>
    <n v="331115"/>
    <x v="1"/>
  </r>
  <r>
    <n v="10035"/>
    <n v="8"/>
    <d v="2013-09-14T00:00:00"/>
    <s v="DVD"/>
    <n v="101944"/>
    <s v="AB103453"/>
    <x v="4"/>
    <n v="331115"/>
    <x v="1"/>
  </r>
  <r>
    <n v="10087"/>
    <n v="4"/>
    <d v="2013-09-14T00:00:00"/>
    <s v="DVD"/>
    <n v="101945"/>
    <s v="AB103454"/>
    <x v="10"/>
    <n v="927518"/>
    <x v="1"/>
  </r>
  <r>
    <n v="10259"/>
    <n v="3"/>
    <d v="2013-09-15T00:00:00"/>
    <s v="BLU-RAY"/>
    <n v="101946"/>
    <s v="AB103455"/>
    <x v="0"/>
    <n v="157695"/>
    <x v="1"/>
  </r>
  <r>
    <n v="10290"/>
    <n v="9"/>
    <d v="2013-09-14T00:00:00"/>
    <s v="BLU-RAY"/>
    <n v="101946"/>
    <s v="AB103456"/>
    <x v="2"/>
    <n v="157695"/>
    <x v="1"/>
  </r>
  <r>
    <n v="10035"/>
    <n v="1"/>
    <d v="2013-09-14T00:00:00"/>
    <s v="DVD"/>
    <n v="101946"/>
    <s v="AB103457"/>
    <x v="4"/>
    <n v="157695"/>
    <x v="1"/>
  </r>
  <r>
    <n v="10132"/>
    <n v="6"/>
    <d v="2013-09-14T00:00:00"/>
    <s v="BLU-RAY"/>
    <n v="101946"/>
    <s v="AB103458"/>
    <x v="10"/>
    <n v="157695"/>
    <x v="1"/>
  </r>
  <r>
    <n v="10103"/>
    <n v="10"/>
    <d v="2013-09-14T00:00:00"/>
    <s v="BLU-RAY"/>
    <n v="101947"/>
    <s v="AB103459"/>
    <x v="9"/>
    <n v="554099"/>
    <x v="1"/>
  </r>
  <r>
    <n v="10120"/>
    <n v="7"/>
    <d v="2013-09-14T00:00:00"/>
    <s v="DVD"/>
    <n v="101947"/>
    <s v="AB103460"/>
    <x v="14"/>
    <n v="554099"/>
    <x v="1"/>
  </r>
  <r>
    <n v="10183"/>
    <n v="4"/>
    <d v="2013-09-16T00:00:00"/>
    <s v="DVD"/>
    <n v="101948"/>
    <s v="AB103461"/>
    <x v="4"/>
    <n v="908328"/>
    <x v="1"/>
  </r>
  <r>
    <n v="10034"/>
    <n v="5"/>
    <d v="2013-09-15T00:00:00"/>
    <s v="BLU-RAY"/>
    <n v="101948"/>
    <s v="AB103462"/>
    <x v="10"/>
    <n v="908328"/>
    <x v="1"/>
  </r>
  <r>
    <n v="10147"/>
    <n v="8"/>
    <d v="2013-09-15T00:00:00"/>
    <s v="DVD"/>
    <n v="101949"/>
    <s v="AB103463"/>
    <x v="10"/>
    <n v="412544"/>
    <x v="1"/>
  </r>
  <r>
    <n v="10092"/>
    <n v="1"/>
    <d v="2013-09-15T00:00:00"/>
    <s v="DVD"/>
    <n v="101949"/>
    <s v="AB103464"/>
    <x v="0"/>
    <n v="412544"/>
    <x v="1"/>
  </r>
  <r>
    <n v="10106"/>
    <n v="6"/>
    <d v="2013-09-16T00:00:00"/>
    <s v="DVD"/>
    <n v="101950"/>
    <s v="AB103465"/>
    <x v="9"/>
    <n v="550661"/>
    <x v="1"/>
  </r>
  <r>
    <n v="10076"/>
    <n v="5"/>
    <d v="2013-09-16T00:00:00"/>
    <s v="BLU-RAY"/>
    <n v="101951"/>
    <s v="AB103466"/>
    <x v="4"/>
    <n v="105771"/>
    <x v="1"/>
  </r>
  <r>
    <n v="10017"/>
    <n v="9"/>
    <d v="2013-09-17T00:00:00"/>
    <s v="BLU-RAY"/>
    <n v="101952"/>
    <s v="AB103467"/>
    <x v="4"/>
    <n v="262638"/>
    <x v="1"/>
  </r>
  <r>
    <n v="10106"/>
    <n v="2"/>
    <d v="2013-09-16T00:00:00"/>
    <s v="BLU-RAY"/>
    <n v="101952"/>
    <s v="AB103468"/>
    <x v="9"/>
    <n v="262638"/>
    <x v="1"/>
  </r>
  <r>
    <n v="10031"/>
    <n v="8"/>
    <d v="2013-09-15T00:00:00"/>
    <s v="DVD"/>
    <n v="101953"/>
    <s v="AB103469"/>
    <x v="0"/>
    <n v="607810"/>
    <x v="1"/>
  </r>
  <r>
    <n v="10117"/>
    <n v="6"/>
    <d v="2013-09-15T00:00:00"/>
    <s v="DVD"/>
    <n v="101953"/>
    <s v="AB103470"/>
    <x v="4"/>
    <n v="607810"/>
    <x v="1"/>
  </r>
  <r>
    <n v="10030"/>
    <n v="8"/>
    <d v="2013-09-15T00:00:00"/>
    <s v="BLU-RAY"/>
    <n v="101954"/>
    <s v="AB103471"/>
    <x v="0"/>
    <n v="479497"/>
    <x v="1"/>
  </r>
  <r>
    <n v="10071"/>
    <n v="9"/>
    <d v="2013-09-15T00:00:00"/>
    <s v="DVD"/>
    <n v="101955"/>
    <s v="AB103472"/>
    <x v="1"/>
    <n v="404678"/>
    <x v="1"/>
  </r>
  <r>
    <n v="10185"/>
    <n v="5"/>
    <d v="2013-09-15T00:00:00"/>
    <s v="BLU-RAY"/>
    <n v="101955"/>
    <s v="AB103473"/>
    <x v="0"/>
    <n v="404678"/>
    <x v="1"/>
  </r>
  <r>
    <n v="10230"/>
    <n v="8"/>
    <d v="2013-09-15T00:00:00"/>
    <s v="BLU-RAY"/>
    <n v="101956"/>
    <s v="AB103474"/>
    <x v="14"/>
    <n v="247216"/>
    <x v="1"/>
  </r>
  <r>
    <n v="10151"/>
    <n v="3"/>
    <d v="2013-09-15T00:00:00"/>
    <s v="BLU-RAY"/>
    <n v="101956"/>
    <s v="AB103475"/>
    <x v="8"/>
    <n v="247216"/>
    <x v="1"/>
  </r>
  <r>
    <n v="10026"/>
    <n v="1"/>
    <d v="2013-09-15T00:00:00"/>
    <s v="DVD"/>
    <n v="101956"/>
    <s v="AB103476"/>
    <x v="9"/>
    <n v="247216"/>
    <x v="1"/>
  </r>
  <r>
    <n v="10152"/>
    <n v="4"/>
    <d v="2013-09-15T00:00:00"/>
    <s v="DVD"/>
    <n v="101957"/>
    <s v="AB103477"/>
    <x v="16"/>
    <n v="429748"/>
    <x v="1"/>
  </r>
  <r>
    <n v="10275"/>
    <n v="9"/>
    <d v="2013-09-15T00:00:00"/>
    <s v="DVD"/>
    <n v="101958"/>
    <s v="AB103478"/>
    <x v="10"/>
    <n v="442254"/>
    <x v="1"/>
  </r>
  <r>
    <n v="10044"/>
    <n v="7"/>
    <d v="2013-09-15T00:00:00"/>
    <s v="BLU-RAY"/>
    <n v="101959"/>
    <s v="AB103479"/>
    <x v="3"/>
    <n v="717234"/>
    <x v="1"/>
  </r>
  <r>
    <n v="10005"/>
    <n v="4"/>
    <d v="2013-09-15T00:00:00"/>
    <s v="BLU-RAY"/>
    <n v="101960"/>
    <s v="AB103480"/>
    <x v="3"/>
    <n v="407605"/>
    <x v="1"/>
  </r>
  <r>
    <n v="10081"/>
    <n v="9"/>
    <d v="2013-09-15T00:00:00"/>
    <s v="BLU-RAY"/>
    <n v="101960"/>
    <s v="AB103481"/>
    <x v="2"/>
    <n v="407605"/>
    <x v="1"/>
  </r>
  <r>
    <n v="10137"/>
    <n v="5"/>
    <d v="2013-09-15T00:00:00"/>
    <s v="DVD"/>
    <n v="101961"/>
    <s v="AB103482"/>
    <x v="3"/>
    <n v="485769"/>
    <x v="1"/>
  </r>
  <r>
    <n v="10195"/>
    <n v="6"/>
    <d v="2013-09-15T00:00:00"/>
    <s v="DVD"/>
    <n v="101961"/>
    <s v="AB103483"/>
    <x v="4"/>
    <n v="485769"/>
    <x v="1"/>
  </r>
  <r>
    <n v="10198"/>
    <n v="10"/>
    <d v="2013-09-15T00:00:00"/>
    <s v="DVD"/>
    <n v="101962"/>
    <s v="AB103484"/>
    <x v="9"/>
    <n v="317461"/>
    <x v="1"/>
  </r>
  <r>
    <n v="10171"/>
    <n v="9"/>
    <d v="2013-09-16T00:00:00"/>
    <s v="DVD"/>
    <n v="101962"/>
    <s v="AB103485"/>
    <x v="7"/>
    <n v="317461"/>
    <x v="1"/>
  </r>
  <r>
    <n v="10076"/>
    <n v="3"/>
    <d v="2013-09-16T00:00:00"/>
    <s v="DVD"/>
    <n v="101963"/>
    <s v="AB103486"/>
    <x v="4"/>
    <n v="585972"/>
    <x v="1"/>
  </r>
  <r>
    <n v="10215"/>
    <n v="1"/>
    <d v="2013-09-15T00:00:00"/>
    <s v="BLU-RAY"/>
    <n v="101963"/>
    <s v="AB103487"/>
    <x v="1"/>
    <n v="585972"/>
    <x v="1"/>
  </r>
  <r>
    <n v="10092"/>
    <n v="9"/>
    <d v="2013-09-16T00:00:00"/>
    <s v="BLU-RAY"/>
    <n v="101964"/>
    <s v="AB103488"/>
    <x v="0"/>
    <n v="110363"/>
    <x v="1"/>
  </r>
  <r>
    <n v="10030"/>
    <n v="7"/>
    <d v="2013-09-17T00:00:00"/>
    <s v="BLU-RAY"/>
    <n v="101965"/>
    <s v="AB103489"/>
    <x v="0"/>
    <n v="500350"/>
    <x v="1"/>
  </r>
  <r>
    <n v="10208"/>
    <n v="7"/>
    <d v="2013-09-15T00:00:00"/>
    <s v="BLU-RAY"/>
    <n v="101965"/>
    <s v="AB103490"/>
    <x v="0"/>
    <n v="500350"/>
    <x v="1"/>
  </r>
  <r>
    <n v="10105"/>
    <n v="2"/>
    <d v="2013-09-17T00:00:00"/>
    <s v="DVD"/>
    <n v="101966"/>
    <s v="AB103491"/>
    <x v="2"/>
    <n v="110363"/>
    <x v="1"/>
  </r>
  <r>
    <n v="10161"/>
    <n v="1"/>
    <d v="2013-09-15T00:00:00"/>
    <s v="BLU-RAY"/>
    <n v="101966"/>
    <s v="AB103492"/>
    <x v="6"/>
    <n v="110363"/>
    <x v="1"/>
  </r>
  <r>
    <n v="10256"/>
    <n v="2"/>
    <d v="2013-09-16T00:00:00"/>
    <s v="BLU-RAY"/>
    <n v="101966"/>
    <s v="AB103493"/>
    <x v="9"/>
    <n v="110363"/>
    <x v="1"/>
  </r>
  <r>
    <n v="10234"/>
    <n v="10"/>
    <d v="2013-09-16T00:00:00"/>
    <s v="DVD"/>
    <n v="101967"/>
    <s v="AB103494"/>
    <x v="0"/>
    <n v="559054"/>
    <x v="1"/>
  </r>
  <r>
    <n v="10089"/>
    <n v="3"/>
    <d v="2013-09-16T00:00:00"/>
    <s v="DVD"/>
    <n v="101968"/>
    <s v="AB103495"/>
    <x v="4"/>
    <n v="568217"/>
    <x v="1"/>
  </r>
  <r>
    <n v="10192"/>
    <n v="2"/>
    <d v="2013-09-16T00:00:00"/>
    <s v="BLU-RAY"/>
    <n v="101968"/>
    <s v="AB103496"/>
    <x v="7"/>
    <n v="568217"/>
    <x v="1"/>
  </r>
  <r>
    <n v="10104"/>
    <n v="5"/>
    <d v="2013-09-18T00:00:00"/>
    <s v="BLU-RAY"/>
    <n v="101969"/>
    <s v="AB103497"/>
    <x v="7"/>
    <n v="302774"/>
    <x v="1"/>
  </r>
  <r>
    <n v="10121"/>
    <n v="3"/>
    <d v="2013-09-17T00:00:00"/>
    <s v="BLU-RAY"/>
    <n v="101969"/>
    <s v="AB103498"/>
    <x v="2"/>
    <n v="302774"/>
    <x v="1"/>
  </r>
  <r>
    <n v="10184"/>
    <n v="4"/>
    <d v="2013-09-16T00:00:00"/>
    <s v="DVD"/>
    <n v="101970"/>
    <s v="AB103499"/>
    <x v="7"/>
    <n v="806545"/>
    <x v="1"/>
  </r>
  <r>
    <n v="10032"/>
    <n v="2"/>
    <d v="2013-09-16T00:00:00"/>
    <s v="BLU-RAY"/>
    <n v="101971"/>
    <s v="AB103500"/>
    <x v="4"/>
    <n v="586201"/>
    <x v="1"/>
  </r>
  <r>
    <n v="10053"/>
    <n v="9"/>
    <d v="2013-09-16T00:00:00"/>
    <s v="BLU-RAY"/>
    <n v="101971"/>
    <s v="AB103501"/>
    <x v="4"/>
    <n v="586201"/>
    <x v="1"/>
  </r>
  <r>
    <n v="10243"/>
    <n v="1"/>
    <d v="2013-09-16T00:00:00"/>
    <s v="DVD"/>
    <n v="101971"/>
    <s v="AB103502"/>
    <x v="9"/>
    <n v="586201"/>
    <x v="1"/>
  </r>
  <r>
    <n v="10061"/>
    <n v="1"/>
    <d v="2013-09-17T00:00:00"/>
    <s v="BLU-RAY"/>
    <n v="101972"/>
    <s v="AB103503"/>
    <x v="9"/>
    <n v="517477"/>
    <x v="1"/>
  </r>
  <r>
    <n v="10260"/>
    <n v="2"/>
    <d v="2013-09-16T00:00:00"/>
    <s v="BLU-RAY"/>
    <n v="101972"/>
    <s v="AB103504"/>
    <x v="4"/>
    <n v="517477"/>
    <x v="1"/>
  </r>
  <r>
    <n v="10113"/>
    <n v="4"/>
    <d v="2013-09-16T00:00:00"/>
    <s v="DVD"/>
    <n v="101972"/>
    <s v="AB103505"/>
    <x v="10"/>
    <n v="517477"/>
    <x v="1"/>
  </r>
  <r>
    <n v="10192"/>
    <n v="6"/>
    <d v="2013-09-16T00:00:00"/>
    <s v="DVD"/>
    <n v="101972"/>
    <s v="AB103506"/>
    <x v="7"/>
    <n v="517477"/>
    <x v="1"/>
  </r>
  <r>
    <n v="10202"/>
    <n v="2"/>
    <d v="2013-09-16T00:00:00"/>
    <s v="DVD"/>
    <n v="101973"/>
    <s v="AB103507"/>
    <x v="0"/>
    <n v="110363"/>
    <x v="1"/>
  </r>
  <r>
    <n v="10236"/>
    <n v="6"/>
    <d v="2013-09-17T00:00:00"/>
    <s v="BLU-RAY"/>
    <n v="101973"/>
    <s v="AB103508"/>
    <x v="10"/>
    <n v="110363"/>
    <x v="1"/>
  </r>
  <r>
    <n v="10219"/>
    <n v="8"/>
    <d v="2013-09-16T00:00:00"/>
    <s v="BLU-RAY"/>
    <n v="101974"/>
    <s v="AB103509"/>
    <x v="1"/>
    <n v="927518"/>
    <x v="1"/>
  </r>
  <r>
    <n v="10179"/>
    <n v="6"/>
    <d v="2013-09-16T00:00:00"/>
    <s v="BLU-RAY"/>
    <n v="101975"/>
    <s v="AB103510"/>
    <x v="0"/>
    <n v="815980"/>
    <x v="1"/>
  </r>
  <r>
    <n v="10100"/>
    <n v="3"/>
    <d v="2013-09-16T00:00:00"/>
    <s v="DVD"/>
    <n v="101975"/>
    <s v="AB103511"/>
    <x v="9"/>
    <n v="815980"/>
    <x v="1"/>
  </r>
  <r>
    <n v="10285"/>
    <n v="6"/>
    <d v="2013-09-16T00:00:00"/>
    <s v="DVD"/>
    <n v="101976"/>
    <s v="AB103512"/>
    <x v="20"/>
    <n v="736500"/>
    <x v="1"/>
  </r>
  <r>
    <n v="10095"/>
    <n v="4"/>
    <d v="2013-09-16T00:00:00"/>
    <s v="BLU-RAY"/>
    <n v="101977"/>
    <s v="AB103513"/>
    <x v="2"/>
    <n v="296353"/>
    <x v="1"/>
  </r>
  <r>
    <n v="10288"/>
    <n v="9"/>
    <d v="2013-09-16T00:00:00"/>
    <s v="DVD"/>
    <n v="101978"/>
    <s v="AB103514"/>
    <x v="12"/>
    <n v="378374"/>
    <x v="1"/>
  </r>
  <r>
    <n v="10213"/>
    <n v="2"/>
    <d v="2013-09-16T00:00:00"/>
    <s v="BLU-RAY"/>
    <n v="101978"/>
    <s v="AB103515"/>
    <x v="4"/>
    <n v="378374"/>
    <x v="1"/>
  </r>
  <r>
    <n v="10270"/>
    <n v="2"/>
    <d v="2013-09-16T00:00:00"/>
    <s v="DVD"/>
    <n v="101978"/>
    <s v="AB103516"/>
    <x v="9"/>
    <n v="378374"/>
    <x v="1"/>
  </r>
  <r>
    <n v="10078"/>
    <n v="9"/>
    <d v="2013-09-17T00:00:00"/>
    <s v="DVD"/>
    <n v="101979"/>
    <s v="AB103517"/>
    <x v="1"/>
    <n v="442691"/>
    <x v="1"/>
  </r>
  <r>
    <n v="10040"/>
    <n v="1"/>
    <d v="2013-09-17T00:00:00"/>
    <s v="BLU-RAY"/>
    <n v="101979"/>
    <s v="AB103518"/>
    <x v="7"/>
    <n v="442691"/>
    <x v="1"/>
  </r>
  <r>
    <n v="10111"/>
    <n v="6"/>
    <d v="2013-09-16T00:00:00"/>
    <s v="DVD"/>
    <n v="101980"/>
    <s v="AB103519"/>
    <x v="9"/>
    <n v="191050"/>
    <x v="1"/>
  </r>
  <r>
    <n v="10030"/>
    <n v="6"/>
    <d v="2013-09-18T00:00:00"/>
    <s v="DVD"/>
    <n v="101981"/>
    <s v="AB103520"/>
    <x v="0"/>
    <n v="358901"/>
    <x v="1"/>
  </r>
  <r>
    <n v="10244"/>
    <n v="4"/>
    <d v="2013-09-16T00:00:00"/>
    <s v="DVD"/>
    <n v="101981"/>
    <s v="AB103521"/>
    <x v="4"/>
    <n v="358901"/>
    <x v="1"/>
  </r>
  <r>
    <n v="10018"/>
    <n v="8"/>
    <d v="2013-09-16T00:00:00"/>
    <s v="BLU-RAY"/>
    <n v="101981"/>
    <s v="AB103522"/>
    <x v="9"/>
    <n v="358901"/>
    <x v="1"/>
  </r>
  <r>
    <n v="10217"/>
    <n v="6"/>
    <d v="2013-09-16T00:00:00"/>
    <s v="DVD"/>
    <n v="101981"/>
    <s v="AB103523"/>
    <x v="0"/>
    <n v="358901"/>
    <x v="1"/>
  </r>
  <r>
    <n v="10089"/>
    <n v="2"/>
    <d v="2013-09-16T00:00:00"/>
    <s v="DVD"/>
    <n v="101982"/>
    <s v="AB103524"/>
    <x v="4"/>
    <n v="226209"/>
    <x v="1"/>
  </r>
  <r>
    <n v="10000"/>
    <n v="4"/>
    <d v="2013-09-16T00:00:00"/>
    <s v="BLU-RAY"/>
    <n v="101982"/>
    <s v="AB103525"/>
    <x v="6"/>
    <n v="226209"/>
    <x v="1"/>
  </r>
  <r>
    <n v="10101"/>
    <n v="6"/>
    <d v="2013-09-16T00:00:00"/>
    <s v="BLU-RAY"/>
    <n v="101983"/>
    <s v="AB103526"/>
    <x v="4"/>
    <n v="580783"/>
    <x v="1"/>
  </r>
  <r>
    <n v="10030"/>
    <n v="2"/>
    <d v="2013-09-16T00:00:00"/>
    <s v="BLU-RAY"/>
    <n v="101983"/>
    <s v="AB103527"/>
    <x v="0"/>
    <n v="580783"/>
    <x v="1"/>
  </r>
  <r>
    <n v="10253"/>
    <n v="8"/>
    <d v="2013-09-16T00:00:00"/>
    <s v="DVD"/>
    <n v="101984"/>
    <s v="AB103528"/>
    <x v="3"/>
    <n v="448739"/>
    <x v="1"/>
  </r>
  <r>
    <n v="10008"/>
    <n v="9"/>
    <d v="2013-09-16T00:00:00"/>
    <s v="BLU-RAY"/>
    <n v="101984"/>
    <s v="AB103529"/>
    <x v="4"/>
    <n v="448739"/>
    <x v="1"/>
  </r>
  <r>
    <n v="10299"/>
    <n v="8"/>
    <d v="2013-09-18T00:00:00"/>
    <s v="DVD"/>
    <n v="101985"/>
    <s v="AB103530"/>
    <x v="22"/>
    <n v="585972"/>
    <x v="1"/>
  </r>
  <r>
    <n v="10097"/>
    <n v="2"/>
    <d v="2013-09-17T00:00:00"/>
    <s v="BLU-RAY"/>
    <n v="101985"/>
    <s v="AB103531"/>
    <x v="8"/>
    <n v="585972"/>
    <x v="1"/>
  </r>
  <r>
    <n v="10120"/>
    <n v="1"/>
    <d v="2013-09-17T00:00:00"/>
    <s v="DVD"/>
    <n v="101986"/>
    <s v="AB103532"/>
    <x v="14"/>
    <n v="832914"/>
    <x v="1"/>
  </r>
  <r>
    <n v="10264"/>
    <n v="7"/>
    <d v="2013-09-17T00:00:00"/>
    <s v="DVD"/>
    <n v="101986"/>
    <s v="AB103533"/>
    <x v="2"/>
    <n v="832914"/>
    <x v="1"/>
  </r>
  <r>
    <n v="10066"/>
    <n v="4"/>
    <d v="2013-09-17T00:00:00"/>
    <s v="DVD"/>
    <n v="101987"/>
    <s v="AB103534"/>
    <x v="3"/>
    <n v="976778"/>
    <x v="1"/>
  </r>
  <r>
    <n v="10063"/>
    <n v="1"/>
    <d v="2013-09-17T00:00:00"/>
    <s v="BLU-RAY"/>
    <n v="101988"/>
    <s v="AB103535"/>
    <x v="18"/>
    <n v="663029"/>
    <x v="1"/>
  </r>
  <r>
    <n v="10098"/>
    <n v="4"/>
    <d v="2013-09-17T00:00:00"/>
    <s v="BLU-RAY"/>
    <n v="101989"/>
    <s v="AB103536"/>
    <x v="0"/>
    <n v="147216"/>
    <x v="1"/>
  </r>
  <r>
    <n v="10154"/>
    <n v="6"/>
    <d v="2013-09-18T00:00:00"/>
    <s v="DVD"/>
    <n v="101989"/>
    <s v="AB103537"/>
    <x v="5"/>
    <n v="147216"/>
    <x v="1"/>
  </r>
  <r>
    <n v="10217"/>
    <n v="7"/>
    <d v="2013-09-18T00:00:00"/>
    <s v="BLU-RAY"/>
    <n v="101990"/>
    <s v="AB103538"/>
    <x v="0"/>
    <n v="889686"/>
    <x v="1"/>
  </r>
  <r>
    <n v="10262"/>
    <n v="9"/>
    <d v="2013-09-17T00:00:00"/>
    <s v="BLU-RAY"/>
    <n v="101991"/>
    <s v="AB103539"/>
    <x v="10"/>
    <n v="242720"/>
    <x v="1"/>
  </r>
  <r>
    <n v="10133"/>
    <n v="6"/>
    <d v="2013-09-17T00:00:00"/>
    <s v="BLU-RAY"/>
    <n v="101992"/>
    <s v="AB103540"/>
    <x v="9"/>
    <n v="230467"/>
    <x v="1"/>
  </r>
  <r>
    <n v="10028"/>
    <n v="6"/>
    <d v="2013-09-18T00:00:00"/>
    <s v="DVD"/>
    <n v="101992"/>
    <s v="AB103541"/>
    <x v="5"/>
    <n v="230467"/>
    <x v="1"/>
  </r>
  <r>
    <n v="10117"/>
    <n v="1"/>
    <d v="2013-09-17T00:00:00"/>
    <s v="DVD"/>
    <n v="101992"/>
    <s v="AB103542"/>
    <x v="4"/>
    <n v="230467"/>
    <x v="1"/>
  </r>
  <r>
    <n v="10265"/>
    <n v="5"/>
    <d v="2013-09-17T00:00:00"/>
    <s v="BLU-RAY"/>
    <n v="101992"/>
    <s v="AB103543"/>
    <x v="0"/>
    <n v="230467"/>
    <x v="1"/>
  </r>
  <r>
    <n v="10181"/>
    <n v="10"/>
    <d v="2013-09-19T00:00:00"/>
    <s v="DVD"/>
    <n v="101993"/>
    <s v="AB103544"/>
    <x v="9"/>
    <n v="549823"/>
    <x v="1"/>
  </r>
  <r>
    <n v="10135"/>
    <n v="9"/>
    <d v="2013-09-17T00:00:00"/>
    <s v="DVD"/>
    <n v="101994"/>
    <s v="AB103545"/>
    <x v="7"/>
    <n v="384899"/>
    <x v="1"/>
  </r>
  <r>
    <n v="10181"/>
    <n v="6"/>
    <d v="2013-09-17T00:00:00"/>
    <s v="DVD"/>
    <n v="101994"/>
    <s v="AB103546"/>
    <x v="9"/>
    <n v="384899"/>
    <x v="1"/>
  </r>
  <r>
    <n v="10148"/>
    <n v="7"/>
    <d v="2013-09-17T00:00:00"/>
    <s v="BLU-RAY"/>
    <n v="101994"/>
    <s v="AB103547"/>
    <x v="1"/>
    <n v="384899"/>
    <x v="1"/>
  </r>
  <r>
    <n v="10097"/>
    <n v="7"/>
    <d v="2013-09-17T00:00:00"/>
    <s v="DVD"/>
    <n v="101995"/>
    <s v="AB103548"/>
    <x v="8"/>
    <n v="224094"/>
    <x v="1"/>
  </r>
  <r>
    <n v="10176"/>
    <n v="10"/>
    <d v="2013-09-18T00:00:00"/>
    <s v="BLU-RAY"/>
    <n v="101996"/>
    <s v="AB103549"/>
    <x v="7"/>
    <n v="550824"/>
    <x v="1"/>
  </r>
  <r>
    <n v="10020"/>
    <n v="3"/>
    <d v="2013-09-17T00:00:00"/>
    <s v="BLU-RAY"/>
    <n v="101997"/>
    <s v="AB103550"/>
    <x v="16"/>
    <n v="203787"/>
    <x v="1"/>
  </r>
  <r>
    <n v="10246"/>
    <n v="10"/>
    <d v="2013-09-18T00:00:00"/>
    <s v="BLU-RAY"/>
    <n v="101997"/>
    <s v="AB103551"/>
    <x v="2"/>
    <n v="203787"/>
    <x v="1"/>
  </r>
  <r>
    <n v="10183"/>
    <n v="5"/>
    <d v="2013-09-18T00:00:00"/>
    <s v="DVD"/>
    <n v="101997"/>
    <s v="AB103552"/>
    <x v="4"/>
    <n v="203787"/>
    <x v="1"/>
  </r>
  <r>
    <n v="10158"/>
    <n v="1"/>
    <d v="2013-09-17T00:00:00"/>
    <s v="DVD"/>
    <n v="101998"/>
    <s v="AB103553"/>
    <x v="0"/>
    <n v="651462"/>
    <x v="1"/>
  </r>
  <r>
    <n v="10210"/>
    <n v="5"/>
    <d v="2013-09-17T00:00:00"/>
    <s v="DVD"/>
    <n v="101998"/>
    <s v="AB103554"/>
    <x v="4"/>
    <n v="651462"/>
    <x v="1"/>
  </r>
  <r>
    <n v="10255"/>
    <n v="9"/>
    <d v="2013-09-18T00:00:00"/>
    <s v="DVD"/>
    <n v="101998"/>
    <s v="AB103555"/>
    <x v="1"/>
    <n v="651462"/>
    <x v="1"/>
  </r>
  <r>
    <n v="10004"/>
    <n v="5"/>
    <d v="2013-09-17T00:00:00"/>
    <s v="DVD"/>
    <n v="101999"/>
    <s v="AB103556"/>
    <x v="1"/>
    <n v="119406"/>
    <x v="1"/>
  </r>
  <r>
    <n v="10176"/>
    <n v="3"/>
    <d v="2013-09-17T00:00:00"/>
    <s v="BLU-RAY"/>
    <n v="102000"/>
    <s v="AB103557"/>
    <x v="7"/>
    <n v="739669"/>
    <x v="1"/>
  </r>
  <r>
    <n v="10031"/>
    <n v="10"/>
    <d v="2013-09-18T00:00:00"/>
    <s v="DVD"/>
    <n v="102001"/>
    <s v="AB103558"/>
    <x v="0"/>
    <n v="205927"/>
    <x v="1"/>
  </r>
  <r>
    <n v="10131"/>
    <n v="3"/>
    <d v="2013-09-17T00:00:00"/>
    <s v="DVD"/>
    <n v="102001"/>
    <s v="AB103559"/>
    <x v="0"/>
    <n v="205927"/>
    <x v="1"/>
  </r>
  <r>
    <n v="10173"/>
    <n v="8"/>
    <d v="2013-09-17T00:00:00"/>
    <s v="BLU-RAY"/>
    <n v="102002"/>
    <s v="AB103560"/>
    <x v="4"/>
    <n v="586201"/>
    <x v="1"/>
  </r>
  <r>
    <n v="10005"/>
    <n v="7"/>
    <d v="2013-09-17T00:00:00"/>
    <s v="BLU-RAY"/>
    <n v="102003"/>
    <s v="AB103561"/>
    <x v="3"/>
    <n v="901388"/>
    <x v="1"/>
  </r>
  <r>
    <n v="10097"/>
    <n v="8"/>
    <d v="2013-09-17T00:00:00"/>
    <s v="BLU-RAY"/>
    <n v="102004"/>
    <s v="AB103562"/>
    <x v="8"/>
    <n v="393893"/>
    <x v="1"/>
  </r>
  <r>
    <n v="10008"/>
    <n v="8"/>
    <d v="2013-09-17T00:00:00"/>
    <s v="BLU-RAY"/>
    <n v="102005"/>
    <s v="AB103563"/>
    <x v="4"/>
    <n v="580674"/>
    <x v="1"/>
  </r>
  <r>
    <n v="10266"/>
    <n v="10"/>
    <d v="2013-09-18T00:00:00"/>
    <s v="BLU-RAY"/>
    <n v="102006"/>
    <s v="AB103564"/>
    <x v="4"/>
    <n v="717234"/>
    <x v="1"/>
  </r>
  <r>
    <n v="10022"/>
    <n v="7"/>
    <d v="2013-09-19T00:00:00"/>
    <s v="DVD"/>
    <n v="102006"/>
    <s v="AB103565"/>
    <x v="7"/>
    <n v="717234"/>
    <x v="1"/>
  </r>
  <r>
    <n v="10250"/>
    <n v="5"/>
    <d v="2013-09-19T00:00:00"/>
    <s v="DVD"/>
    <n v="102007"/>
    <s v="AB103566"/>
    <x v="3"/>
    <n v="520196"/>
    <x v="1"/>
  </r>
  <r>
    <n v="10218"/>
    <n v="1"/>
    <d v="2013-09-19T00:00:00"/>
    <s v="DVD"/>
    <n v="102008"/>
    <s v="AB103567"/>
    <x v="4"/>
    <n v="772690"/>
    <x v="1"/>
  </r>
  <r>
    <n v="10183"/>
    <n v="9"/>
    <d v="2013-09-18T00:00:00"/>
    <s v="DVD"/>
    <n v="102009"/>
    <s v="AB103568"/>
    <x v="4"/>
    <n v="329994"/>
    <x v="1"/>
  </r>
  <r>
    <n v="10216"/>
    <n v="9"/>
    <d v="2013-09-18T00:00:00"/>
    <s v="DVD"/>
    <n v="102009"/>
    <s v="AB103569"/>
    <x v="4"/>
    <n v="329994"/>
    <x v="1"/>
  </r>
  <r>
    <n v="10126"/>
    <n v="8"/>
    <d v="2013-09-18T00:00:00"/>
    <s v="DVD"/>
    <n v="102010"/>
    <s v="AB103570"/>
    <x v="9"/>
    <n v="744416"/>
    <x v="1"/>
  </r>
  <r>
    <n v="10172"/>
    <n v="6"/>
    <d v="2013-09-18T00:00:00"/>
    <s v="DVD"/>
    <n v="102011"/>
    <s v="AB103571"/>
    <x v="10"/>
    <n v="448739"/>
    <x v="1"/>
  </r>
  <r>
    <n v="10277"/>
    <n v="4"/>
    <d v="2013-09-18T00:00:00"/>
    <s v="BLU-RAY"/>
    <n v="102011"/>
    <s v="AB103572"/>
    <x v="7"/>
    <n v="448739"/>
    <x v="1"/>
  </r>
  <r>
    <n v="10129"/>
    <n v="7"/>
    <d v="2013-09-18T00:00:00"/>
    <s v="DVD"/>
    <n v="102012"/>
    <s v="AB103573"/>
    <x v="0"/>
    <n v="944523"/>
    <x v="1"/>
  </r>
  <r>
    <n v="10273"/>
    <n v="3"/>
    <d v="2013-09-18T00:00:00"/>
    <s v="DVD"/>
    <n v="102012"/>
    <s v="AB103574"/>
    <x v="4"/>
    <n v="944523"/>
    <x v="1"/>
  </r>
  <r>
    <n v="10257"/>
    <n v="3"/>
    <d v="2013-09-18T00:00:00"/>
    <s v="DVD"/>
    <n v="102013"/>
    <s v="AB103575"/>
    <x v="9"/>
    <n v="452874"/>
    <x v="1"/>
  </r>
  <r>
    <n v="10234"/>
    <n v="10"/>
    <d v="2013-09-18T00:00:00"/>
    <s v="DVD"/>
    <n v="102013"/>
    <s v="AB103576"/>
    <x v="0"/>
    <n v="452874"/>
    <x v="1"/>
  </r>
  <r>
    <n v="10184"/>
    <n v="9"/>
    <d v="2013-09-18T00:00:00"/>
    <s v="DVD"/>
    <n v="102014"/>
    <s v="AB103577"/>
    <x v="7"/>
    <n v="814317"/>
    <x v="1"/>
  </r>
  <r>
    <n v="10007"/>
    <n v="9"/>
    <d v="2013-09-18T00:00:00"/>
    <s v="DVD"/>
    <n v="102014"/>
    <s v="AB103578"/>
    <x v="4"/>
    <n v="814317"/>
    <x v="1"/>
  </r>
  <r>
    <n v="10041"/>
    <n v="9"/>
    <d v="2013-09-18T00:00:00"/>
    <s v="DVD"/>
    <n v="102015"/>
    <s v="AB103579"/>
    <x v="10"/>
    <n v="231615"/>
    <x v="1"/>
  </r>
  <r>
    <n v="10216"/>
    <n v="6"/>
    <d v="2013-09-18T00:00:00"/>
    <s v="DVD"/>
    <n v="102015"/>
    <s v="AB103580"/>
    <x v="4"/>
    <n v="231615"/>
    <x v="1"/>
  </r>
  <r>
    <n v="10024"/>
    <n v="4"/>
    <d v="2013-09-18T00:00:00"/>
    <s v="BLU-RAY"/>
    <n v="102016"/>
    <s v="AB103581"/>
    <x v="9"/>
    <n v="550824"/>
    <x v="1"/>
  </r>
  <r>
    <n v="10114"/>
    <n v="10"/>
    <d v="2013-09-20T00:00:00"/>
    <s v="DVD"/>
    <n v="102017"/>
    <s v="AB103582"/>
    <x v="10"/>
    <n v="442691"/>
    <x v="1"/>
  </r>
  <r>
    <n v="10157"/>
    <n v="3"/>
    <d v="2013-09-19T00:00:00"/>
    <s v="DVD"/>
    <n v="102017"/>
    <s v="AB103583"/>
    <x v="1"/>
    <n v="442691"/>
    <x v="1"/>
  </r>
  <r>
    <n v="10012"/>
    <n v="6"/>
    <d v="2013-09-19T00:00:00"/>
    <s v="BLU-RAY"/>
    <n v="102018"/>
    <s v="AB103584"/>
    <x v="3"/>
    <n v="938006"/>
    <x v="1"/>
  </r>
  <r>
    <n v="10273"/>
    <n v="1"/>
    <d v="2013-09-18T00:00:00"/>
    <s v="DVD"/>
    <n v="102019"/>
    <s v="AB103585"/>
    <x v="4"/>
    <n v="173380"/>
    <x v="1"/>
  </r>
  <r>
    <n v="10144"/>
    <n v="2"/>
    <d v="2013-09-21T00:00:00"/>
    <s v="BLU-RAY"/>
    <n v="102019"/>
    <s v="AB103586"/>
    <x v="2"/>
    <n v="173380"/>
    <x v="1"/>
  </r>
  <r>
    <n v="10246"/>
    <n v="6"/>
    <d v="2013-09-18T00:00:00"/>
    <s v="BLU-RAY"/>
    <n v="102020"/>
    <s v="AB103587"/>
    <x v="2"/>
    <n v="426830"/>
    <x v="1"/>
  </r>
  <r>
    <n v="10024"/>
    <n v="1"/>
    <d v="2013-09-18T00:00:00"/>
    <s v="DVD"/>
    <n v="102020"/>
    <s v="AB103588"/>
    <x v="9"/>
    <n v="426830"/>
    <x v="1"/>
  </r>
  <r>
    <n v="10035"/>
    <n v="2"/>
    <d v="2013-09-19T00:00:00"/>
    <s v="BLU-RAY"/>
    <n v="102021"/>
    <s v="AB103589"/>
    <x v="4"/>
    <n v="651462"/>
    <x v="1"/>
  </r>
  <r>
    <n v="10136"/>
    <n v="6"/>
    <d v="2013-09-18T00:00:00"/>
    <s v="DVD"/>
    <n v="102021"/>
    <s v="AB103590"/>
    <x v="2"/>
    <n v="651462"/>
    <x v="1"/>
  </r>
  <r>
    <n v="10100"/>
    <n v="7"/>
    <d v="2013-09-20T00:00:00"/>
    <s v="DVD"/>
    <n v="102022"/>
    <s v="AB103591"/>
    <x v="9"/>
    <n v="193914"/>
    <x v="1"/>
  </r>
  <r>
    <n v="10206"/>
    <n v="3"/>
    <d v="2013-09-19T00:00:00"/>
    <s v="DVD"/>
    <n v="102022"/>
    <s v="AB103592"/>
    <x v="9"/>
    <n v="193914"/>
    <x v="1"/>
  </r>
  <r>
    <n v="10075"/>
    <n v="10"/>
    <d v="2013-09-19T00:00:00"/>
    <s v="DVD"/>
    <n v="102023"/>
    <s v="AB103593"/>
    <x v="17"/>
    <n v="270853"/>
    <x v="1"/>
  </r>
  <r>
    <n v="10203"/>
    <n v="7"/>
    <d v="2013-09-20T00:00:00"/>
    <s v="DVD"/>
    <n v="102023"/>
    <s v="AB103594"/>
    <x v="3"/>
    <n v="270853"/>
    <x v="1"/>
  </r>
  <r>
    <n v="10198"/>
    <n v="9"/>
    <d v="2013-09-21T00:00:00"/>
    <s v="DVD"/>
    <n v="102023"/>
    <s v="AB103595"/>
    <x v="9"/>
    <n v="270853"/>
    <x v="1"/>
  </r>
  <r>
    <n v="10235"/>
    <n v="5"/>
    <d v="2013-09-20T00:00:00"/>
    <s v="DVD"/>
    <n v="102024"/>
    <s v="AB103596"/>
    <x v="10"/>
    <n v="999915"/>
    <x v="1"/>
  </r>
  <r>
    <n v="10173"/>
    <n v="10"/>
    <d v="2013-09-19T00:00:00"/>
    <s v="BLU-RAY"/>
    <n v="102025"/>
    <s v="AB103597"/>
    <x v="4"/>
    <n v="484909"/>
    <x v="1"/>
  </r>
  <r>
    <n v="10000"/>
    <n v="4"/>
    <d v="2013-09-19T00:00:00"/>
    <s v="DVD"/>
    <n v="102025"/>
    <s v="AB103598"/>
    <x v="6"/>
    <n v="484909"/>
    <x v="1"/>
  </r>
  <r>
    <n v="10274"/>
    <n v="3"/>
    <d v="2013-09-20T00:00:00"/>
    <s v="DVD"/>
    <n v="102026"/>
    <s v="AB103599"/>
    <x v="9"/>
    <n v="559190"/>
    <x v="1"/>
  </r>
  <r>
    <n v="10223"/>
    <n v="6"/>
    <d v="2013-09-20T00:00:00"/>
    <s v="DVD"/>
    <n v="102026"/>
    <s v="AB103600"/>
    <x v="7"/>
    <n v="559190"/>
    <x v="1"/>
  </r>
  <r>
    <n v="10052"/>
    <n v="8"/>
    <d v="2013-09-19T00:00:00"/>
    <s v="DVD"/>
    <n v="102027"/>
    <s v="AB103601"/>
    <x v="0"/>
    <n v="405671"/>
    <x v="1"/>
  </r>
  <r>
    <n v="10190"/>
    <n v="10"/>
    <d v="2013-09-19T00:00:00"/>
    <s v="DVD"/>
    <n v="102028"/>
    <s v="AB103602"/>
    <x v="10"/>
    <n v="158528"/>
    <x v="1"/>
  </r>
  <r>
    <n v="10094"/>
    <n v="6"/>
    <d v="2013-09-20T00:00:00"/>
    <s v="DVD"/>
    <n v="102028"/>
    <s v="AB103603"/>
    <x v="12"/>
    <n v="158528"/>
    <x v="1"/>
  </r>
  <r>
    <n v="10293"/>
    <n v="5"/>
    <d v="2013-09-20T00:00:00"/>
    <s v="DVD"/>
    <n v="102028"/>
    <s v="AB103604"/>
    <x v="12"/>
    <n v="158528"/>
    <x v="1"/>
  </r>
  <r>
    <n v="10036"/>
    <n v="6"/>
    <d v="2013-09-21T00:00:00"/>
    <s v="BLU-RAY"/>
    <n v="102028"/>
    <s v="AB103605"/>
    <x v="7"/>
    <n v="158528"/>
    <x v="1"/>
  </r>
  <r>
    <n v="10166"/>
    <n v="8"/>
    <d v="2013-09-20T00:00:00"/>
    <s v="BLU-RAY"/>
    <n v="102029"/>
    <s v="AB103606"/>
    <x v="9"/>
    <n v="205878"/>
    <x v="1"/>
  </r>
  <r>
    <n v="10026"/>
    <n v="6"/>
    <d v="2013-09-19T00:00:00"/>
    <s v="BLU-RAY"/>
    <n v="102030"/>
    <s v="AB103607"/>
    <x v="9"/>
    <n v="236554"/>
    <x v="1"/>
  </r>
  <r>
    <n v="10018"/>
    <n v="4"/>
    <d v="2013-09-20T00:00:00"/>
    <s v="DVD"/>
    <n v="102030"/>
    <s v="AB103608"/>
    <x v="9"/>
    <n v="236554"/>
    <x v="1"/>
  </r>
  <r>
    <n v="10111"/>
    <n v="4"/>
    <d v="2013-09-21T00:00:00"/>
    <s v="DVD"/>
    <n v="102030"/>
    <s v="AB103609"/>
    <x v="9"/>
    <n v="236554"/>
    <x v="1"/>
  </r>
  <r>
    <n v="10129"/>
    <n v="8"/>
    <d v="2013-09-19T00:00:00"/>
    <s v="BLU-RAY"/>
    <n v="102030"/>
    <s v="AB103610"/>
    <x v="0"/>
    <n v="236554"/>
    <x v="1"/>
  </r>
  <r>
    <n v="10043"/>
    <n v="4"/>
    <d v="2013-09-19T00:00:00"/>
    <s v="BLU-RAY"/>
    <n v="102031"/>
    <s v="AB103611"/>
    <x v="8"/>
    <n v="390130"/>
    <x v="1"/>
  </r>
  <r>
    <n v="10186"/>
    <n v="10"/>
    <d v="2013-09-21T00:00:00"/>
    <s v="DVD"/>
    <n v="102032"/>
    <s v="AB103612"/>
    <x v="10"/>
    <n v="537860"/>
    <x v="1"/>
  </r>
  <r>
    <n v="10020"/>
    <n v="9"/>
    <d v="2013-09-20T00:00:00"/>
    <s v="DVD"/>
    <n v="102033"/>
    <s v="AB103613"/>
    <x v="16"/>
    <n v="226909"/>
    <x v="1"/>
  </r>
  <r>
    <n v="10119"/>
    <n v="1"/>
    <d v="2013-09-19T00:00:00"/>
    <s v="DVD"/>
    <n v="102034"/>
    <s v="AB103614"/>
    <x v="7"/>
    <n v="143878"/>
    <x v="1"/>
  </r>
  <r>
    <n v="10165"/>
    <n v="4"/>
    <d v="2013-09-19T00:00:00"/>
    <s v="BLU-RAY"/>
    <n v="102034"/>
    <s v="AB103615"/>
    <x v="2"/>
    <n v="143878"/>
    <x v="1"/>
  </r>
  <r>
    <n v="10258"/>
    <n v="2"/>
    <d v="2013-09-19T00:00:00"/>
    <s v="DVD"/>
    <n v="102035"/>
    <s v="AB103616"/>
    <x v="0"/>
    <n v="373200"/>
    <x v="1"/>
  </r>
  <r>
    <n v="10122"/>
    <n v="9"/>
    <d v="2013-09-19T00:00:00"/>
    <s v="BLU-RAY"/>
    <n v="102036"/>
    <s v="AB103617"/>
    <x v="12"/>
    <n v="226909"/>
    <x v="1"/>
  </r>
  <r>
    <n v="10264"/>
    <n v="10"/>
    <d v="2013-09-21T00:00:00"/>
    <s v="DVD"/>
    <n v="102036"/>
    <s v="AB103618"/>
    <x v="2"/>
    <n v="226909"/>
    <x v="1"/>
  </r>
  <r>
    <n v="10168"/>
    <n v="10"/>
    <d v="2013-09-20T00:00:00"/>
    <s v="BLU-RAY"/>
    <n v="102037"/>
    <s v="AB103619"/>
    <x v="1"/>
    <n v="373200"/>
    <x v="1"/>
  </r>
  <r>
    <n v="10140"/>
    <n v="3"/>
    <d v="2013-09-19T00:00:00"/>
    <s v="DVD"/>
    <n v="102037"/>
    <s v="AB103620"/>
    <x v="2"/>
    <n v="373200"/>
    <x v="1"/>
  </r>
  <r>
    <n v="10228"/>
    <n v="7"/>
    <d v="2013-09-20T00:00:00"/>
    <s v="BLU-RAY"/>
    <n v="102037"/>
    <s v="AB103621"/>
    <x v="7"/>
    <n v="373200"/>
    <x v="1"/>
  </r>
  <r>
    <n v="10064"/>
    <n v="2"/>
    <d v="2013-09-19T00:00:00"/>
    <s v="BLU-RAY"/>
    <n v="102038"/>
    <s v="AB103622"/>
    <x v="7"/>
    <n v="227372"/>
    <x v="1"/>
  </r>
  <r>
    <n v="10014"/>
    <n v="5"/>
    <d v="2013-09-19T00:00:00"/>
    <s v="DVD"/>
    <n v="102038"/>
    <s v="AB103623"/>
    <x v="0"/>
    <n v="227372"/>
    <x v="1"/>
  </r>
  <r>
    <n v="10195"/>
    <n v="6"/>
    <d v="2013-09-20T00:00:00"/>
    <s v="DVD"/>
    <n v="102039"/>
    <s v="AB103624"/>
    <x v="4"/>
    <n v="610766"/>
    <x v="1"/>
  </r>
  <r>
    <n v="10242"/>
    <n v="4"/>
    <d v="2013-09-19T00:00:00"/>
    <s v="BLU-RAY"/>
    <n v="102039"/>
    <s v="AB103625"/>
    <x v="3"/>
    <n v="610766"/>
    <x v="1"/>
  </r>
  <r>
    <n v="10066"/>
    <n v="8"/>
    <d v="2013-09-20T00:00:00"/>
    <s v="BLU-RAY"/>
    <n v="102040"/>
    <s v="AB103626"/>
    <x v="3"/>
    <n v="197102"/>
    <x v="1"/>
  </r>
  <r>
    <n v="10044"/>
    <n v="9"/>
    <d v="2013-09-19T00:00:00"/>
    <s v="BLU-RAY"/>
    <n v="102040"/>
    <s v="AB103627"/>
    <x v="3"/>
    <n v="197102"/>
    <x v="1"/>
  </r>
  <r>
    <n v="10245"/>
    <n v="7"/>
    <d v="2013-09-20T00:00:00"/>
    <s v="DVD"/>
    <n v="102040"/>
    <s v="AB103628"/>
    <x v="0"/>
    <n v="197102"/>
    <x v="1"/>
  </r>
  <r>
    <n v="10257"/>
    <n v="10"/>
    <d v="2013-09-20T00:00:00"/>
    <s v="BLU-RAY"/>
    <n v="102041"/>
    <s v="AB103629"/>
    <x v="9"/>
    <n v="464277"/>
    <x v="1"/>
  </r>
  <r>
    <n v="10197"/>
    <n v="10"/>
    <d v="2013-09-20T00:00:00"/>
    <s v="BLU-RAY"/>
    <n v="102041"/>
    <s v="AB103630"/>
    <x v="0"/>
    <n v="464277"/>
    <x v="1"/>
  </r>
  <r>
    <n v="10171"/>
    <n v="3"/>
    <d v="2013-09-20T00:00:00"/>
    <s v="BLU-RAY"/>
    <n v="102042"/>
    <s v="AB103631"/>
    <x v="7"/>
    <n v="274541"/>
    <x v="1"/>
  </r>
  <r>
    <n v="10285"/>
    <n v="9"/>
    <d v="2013-09-20T00:00:00"/>
    <s v="DVD"/>
    <n v="102042"/>
    <s v="AB103632"/>
    <x v="20"/>
    <n v="274541"/>
    <x v="1"/>
  </r>
  <r>
    <n v="10127"/>
    <n v="2"/>
    <d v="2013-09-21T00:00:00"/>
    <s v="DVD"/>
    <n v="102043"/>
    <s v="AB103633"/>
    <x v="6"/>
    <n v="494106"/>
    <x v="1"/>
  </r>
  <r>
    <n v="10258"/>
    <n v="6"/>
    <d v="2013-09-20T00:00:00"/>
    <s v="BLU-RAY"/>
    <n v="102044"/>
    <s v="AB103634"/>
    <x v="0"/>
    <n v="846722"/>
    <x v="1"/>
  </r>
  <r>
    <n v="10228"/>
    <n v="7"/>
    <d v="2013-09-22T00:00:00"/>
    <s v="DVD"/>
    <n v="102045"/>
    <s v="AB103635"/>
    <x v="7"/>
    <n v="370366"/>
    <x v="1"/>
  </r>
  <r>
    <n v="10289"/>
    <n v="8"/>
    <d v="2013-09-20T00:00:00"/>
    <s v="BLU-RAY"/>
    <n v="102046"/>
    <s v="AB103636"/>
    <x v="11"/>
    <n v="370366"/>
    <x v="1"/>
  </r>
  <r>
    <n v="10044"/>
    <n v="9"/>
    <d v="2013-09-21T00:00:00"/>
    <s v="BLU-RAY"/>
    <n v="102047"/>
    <s v="AB103637"/>
    <x v="3"/>
    <n v="710047"/>
    <x v="1"/>
  </r>
  <r>
    <n v="10289"/>
    <n v="3"/>
    <d v="2013-09-20T00:00:00"/>
    <s v="DVD"/>
    <n v="102048"/>
    <s v="AB103638"/>
    <x v="11"/>
    <n v="593317"/>
    <x v="1"/>
  </r>
  <r>
    <n v="10111"/>
    <n v="7"/>
    <d v="2013-09-21T00:00:00"/>
    <s v="DVD"/>
    <n v="102048"/>
    <s v="AB103639"/>
    <x v="9"/>
    <n v="593317"/>
    <x v="1"/>
  </r>
  <r>
    <n v="10159"/>
    <n v="8"/>
    <d v="2013-09-20T00:00:00"/>
    <s v="BLU-RAY"/>
    <n v="102049"/>
    <s v="AB103640"/>
    <x v="10"/>
    <n v="846722"/>
    <x v="1"/>
  </r>
  <r>
    <n v="10280"/>
    <n v="9"/>
    <d v="2013-09-20T00:00:00"/>
    <s v="DVD"/>
    <n v="102050"/>
    <s v="AB103641"/>
    <x v="7"/>
    <n v="850933"/>
    <x v="1"/>
  </r>
  <r>
    <n v="10009"/>
    <n v="5"/>
    <d v="2013-09-20T00:00:00"/>
    <s v="BLU-RAY"/>
    <n v="102050"/>
    <s v="AB103642"/>
    <x v="0"/>
    <n v="850933"/>
    <x v="1"/>
  </r>
  <r>
    <n v="10149"/>
    <n v="7"/>
    <d v="2013-09-20T00:00:00"/>
    <s v="DVD"/>
    <n v="102050"/>
    <s v="AB103643"/>
    <x v="12"/>
    <n v="850933"/>
    <x v="1"/>
  </r>
  <r>
    <n v="10006"/>
    <n v="2"/>
    <d v="2013-09-21T00:00:00"/>
    <s v="DVD"/>
    <n v="102051"/>
    <s v="AB103644"/>
    <x v="1"/>
    <n v="442254"/>
    <x v="1"/>
  </r>
  <r>
    <n v="10182"/>
    <n v="2"/>
    <d v="2013-09-20T00:00:00"/>
    <s v="BLU-RAY"/>
    <n v="102051"/>
    <s v="AB103645"/>
    <x v="0"/>
    <n v="442254"/>
    <x v="1"/>
  </r>
  <r>
    <n v="10079"/>
    <n v="3"/>
    <d v="2013-09-20T00:00:00"/>
    <s v="DVD"/>
    <n v="102052"/>
    <s v="AB103646"/>
    <x v="0"/>
    <n v="670707"/>
    <x v="1"/>
  </r>
  <r>
    <n v="10023"/>
    <n v="9"/>
    <d v="2013-09-21T00:00:00"/>
    <s v="BLU-RAY"/>
    <n v="102052"/>
    <s v="AB103647"/>
    <x v="3"/>
    <n v="670707"/>
    <x v="1"/>
  </r>
  <r>
    <n v="10135"/>
    <n v="8"/>
    <d v="2013-09-21T00:00:00"/>
    <s v="BLU-RAY"/>
    <n v="102053"/>
    <s v="AB103648"/>
    <x v="7"/>
    <n v="412235"/>
    <x v="1"/>
  </r>
  <r>
    <n v="10194"/>
    <n v="5"/>
    <d v="2013-09-21T00:00:00"/>
    <s v="DVD"/>
    <n v="102054"/>
    <s v="AB103649"/>
    <x v="16"/>
    <n v="678940"/>
    <x v="1"/>
  </r>
  <r>
    <n v="10035"/>
    <n v="8"/>
    <d v="2013-09-20T00:00:00"/>
    <s v="DVD"/>
    <n v="102054"/>
    <s v="AB103650"/>
    <x v="4"/>
    <n v="678940"/>
    <x v="1"/>
  </r>
  <r>
    <n v="10106"/>
    <n v="4"/>
    <d v="2013-09-20T00:00:00"/>
    <s v="BLU-RAY"/>
    <n v="102055"/>
    <s v="AB103651"/>
    <x v="9"/>
    <n v="739440"/>
    <x v="1"/>
  </r>
  <r>
    <n v="10014"/>
    <n v="1"/>
    <d v="2013-09-21T00:00:00"/>
    <s v="DVD"/>
    <n v="102056"/>
    <s v="AB103652"/>
    <x v="0"/>
    <n v="974503"/>
    <x v="1"/>
  </r>
  <r>
    <n v="10032"/>
    <n v="10"/>
    <d v="2013-09-22T00:00:00"/>
    <s v="BLU-RAY"/>
    <n v="102056"/>
    <s v="AB103653"/>
    <x v="4"/>
    <n v="974503"/>
    <x v="1"/>
  </r>
  <r>
    <n v="10037"/>
    <n v="9"/>
    <d v="2013-09-21T00:00:00"/>
    <s v="DVD"/>
    <n v="102056"/>
    <s v="AB103654"/>
    <x v="3"/>
    <n v="974503"/>
    <x v="1"/>
  </r>
  <r>
    <n v="10124"/>
    <n v="4"/>
    <d v="2013-09-23T00:00:00"/>
    <s v="BLU-RAY"/>
    <n v="102057"/>
    <s v="AB103655"/>
    <x v="1"/>
    <n v="470304"/>
    <x v="1"/>
  </r>
  <r>
    <n v="10038"/>
    <n v="8"/>
    <d v="2013-09-21T00:00:00"/>
    <s v="DVD"/>
    <n v="102058"/>
    <s v="AB103656"/>
    <x v="1"/>
    <n v="977759"/>
    <x v="1"/>
  </r>
  <r>
    <n v="10133"/>
    <n v="1"/>
    <d v="2013-09-21T00:00:00"/>
    <s v="DVD"/>
    <n v="102059"/>
    <s v="AB103657"/>
    <x v="9"/>
    <n v="412544"/>
    <x v="1"/>
  </r>
  <r>
    <n v="10239"/>
    <n v="8"/>
    <d v="2013-09-23T00:00:00"/>
    <s v="BLU-RAY"/>
    <n v="102060"/>
    <s v="AB103658"/>
    <x v="2"/>
    <n v="412544"/>
    <x v="1"/>
  </r>
  <r>
    <n v="10291"/>
    <n v="9"/>
    <d v="2013-09-22T00:00:00"/>
    <s v="BLU-RAY"/>
    <n v="102060"/>
    <s v="AB103659"/>
    <x v="0"/>
    <n v="412544"/>
    <x v="1"/>
  </r>
  <r>
    <n v="10127"/>
    <n v="6"/>
    <d v="2013-09-21T00:00:00"/>
    <s v="DVD"/>
    <n v="102061"/>
    <s v="AB103660"/>
    <x v="6"/>
    <n v="744648"/>
    <x v="1"/>
  </r>
  <r>
    <n v="10066"/>
    <n v="3"/>
    <d v="2013-09-22T00:00:00"/>
    <s v="BLU-RAY"/>
    <n v="102061"/>
    <s v="AB103661"/>
    <x v="3"/>
    <n v="744648"/>
    <x v="1"/>
  </r>
  <r>
    <n v="10039"/>
    <n v="9"/>
    <d v="2013-09-21T00:00:00"/>
    <s v="DVD"/>
    <n v="102061"/>
    <s v="AB103662"/>
    <x v="11"/>
    <n v="744648"/>
    <x v="1"/>
  </r>
  <r>
    <n v="10193"/>
    <n v="2"/>
    <d v="2013-09-21T00:00:00"/>
    <s v="DVD"/>
    <n v="102062"/>
    <s v="AB103663"/>
    <x v="9"/>
    <n v="748326"/>
    <x v="1"/>
  </r>
  <r>
    <n v="10240"/>
    <n v="3"/>
    <d v="2013-09-23T00:00:00"/>
    <s v="DVD"/>
    <n v="102062"/>
    <s v="AB103664"/>
    <x v="0"/>
    <n v="748326"/>
    <x v="1"/>
  </r>
  <r>
    <n v="10117"/>
    <n v="4"/>
    <d v="2013-09-22T00:00:00"/>
    <s v="BLU-RAY"/>
    <n v="102063"/>
    <s v="AB103665"/>
    <x v="4"/>
    <n v="403000"/>
    <x v="1"/>
  </r>
  <r>
    <n v="10169"/>
    <n v="5"/>
    <d v="2013-09-21T00:00:00"/>
    <s v="BLU-RAY"/>
    <n v="102064"/>
    <s v="AB103666"/>
    <x v="0"/>
    <n v="972329"/>
    <x v="1"/>
  </r>
  <r>
    <n v="10209"/>
    <n v="4"/>
    <d v="2013-09-21T00:00:00"/>
    <s v="DVD"/>
    <n v="102065"/>
    <s v="AB103667"/>
    <x v="7"/>
    <n v="549823"/>
    <x v="1"/>
  </r>
  <r>
    <n v="10294"/>
    <n v="5"/>
    <d v="2013-09-21T00:00:00"/>
    <s v="BLU-RAY"/>
    <n v="102065"/>
    <s v="AB103668"/>
    <x v="2"/>
    <n v="549823"/>
    <x v="1"/>
  </r>
  <r>
    <n v="10142"/>
    <n v="9"/>
    <d v="2013-09-22T00:00:00"/>
    <s v="BLU-RAY"/>
    <n v="102066"/>
    <s v="AB103669"/>
    <x v="0"/>
    <n v="384899"/>
    <x v="1"/>
  </r>
  <r>
    <n v="10219"/>
    <n v="10"/>
    <d v="2013-09-21T00:00:00"/>
    <s v="DVD"/>
    <n v="102066"/>
    <s v="AB103670"/>
    <x v="1"/>
    <n v="384899"/>
    <x v="1"/>
  </r>
  <r>
    <n v="10254"/>
    <n v="1"/>
    <d v="2013-09-21T00:00:00"/>
    <s v="DVD"/>
    <n v="102067"/>
    <s v="AB103671"/>
    <x v="1"/>
    <n v="442691"/>
    <x v="1"/>
  </r>
  <r>
    <n v="10055"/>
    <n v="9"/>
    <d v="2013-09-21T00:00:00"/>
    <s v="DVD"/>
    <n v="102068"/>
    <s v="AB103672"/>
    <x v="15"/>
    <n v="205190"/>
    <x v="1"/>
  </r>
  <r>
    <n v="10036"/>
    <n v="2"/>
    <d v="2013-09-21T00:00:00"/>
    <s v="DVD"/>
    <n v="102068"/>
    <s v="AB103673"/>
    <x v="7"/>
    <n v="205190"/>
    <x v="1"/>
  </r>
  <r>
    <n v="10060"/>
    <n v="9"/>
    <d v="2013-09-22T00:00:00"/>
    <s v="BLU-RAY"/>
    <n v="102069"/>
    <s v="AB103674"/>
    <x v="0"/>
    <n v="196068"/>
    <x v="1"/>
  </r>
  <r>
    <n v="10284"/>
    <n v="1"/>
    <d v="2013-09-21T00:00:00"/>
    <s v="BLU-RAY"/>
    <n v="102070"/>
    <s v="AB103675"/>
    <x v="14"/>
    <n v="728908"/>
    <x v="1"/>
  </r>
  <r>
    <n v="10188"/>
    <n v="1"/>
    <d v="2013-09-21T00:00:00"/>
    <s v="BLU-RAY"/>
    <n v="102071"/>
    <s v="AB103676"/>
    <x v="1"/>
    <n v="226209"/>
    <x v="1"/>
  </r>
  <r>
    <n v="10276"/>
    <n v="7"/>
    <d v="2013-09-22T00:00:00"/>
    <s v="DVD"/>
    <n v="102072"/>
    <s v="AB103677"/>
    <x v="16"/>
    <n v="296886"/>
    <x v="1"/>
  </r>
  <r>
    <n v="10219"/>
    <n v="9"/>
    <d v="2013-09-21T00:00:00"/>
    <s v="DVD"/>
    <n v="102072"/>
    <s v="AB103678"/>
    <x v="1"/>
    <n v="296886"/>
    <x v="1"/>
  </r>
  <r>
    <n v="10008"/>
    <n v="4"/>
    <d v="2013-09-22T00:00:00"/>
    <s v="DVD"/>
    <n v="102072"/>
    <s v="AB103679"/>
    <x v="4"/>
    <n v="296886"/>
    <x v="1"/>
  </r>
  <r>
    <n v="10108"/>
    <n v="7"/>
    <d v="2013-09-21T00:00:00"/>
    <s v="BLU-RAY"/>
    <n v="102073"/>
    <s v="AB103680"/>
    <x v="9"/>
    <n v="616392"/>
    <x v="1"/>
  </r>
  <r>
    <n v="10172"/>
    <n v="8"/>
    <d v="2013-09-21T00:00:00"/>
    <s v="BLU-RAY"/>
    <n v="102074"/>
    <s v="AB103681"/>
    <x v="10"/>
    <n v="191050"/>
    <x v="1"/>
  </r>
  <r>
    <n v="10072"/>
    <n v="8"/>
    <d v="2013-09-22T00:00:00"/>
    <s v="DVD"/>
    <n v="102075"/>
    <s v="AB103682"/>
    <x v="1"/>
    <n v="494106"/>
    <x v="1"/>
  </r>
  <r>
    <n v="10240"/>
    <n v="7"/>
    <d v="2013-09-21T00:00:00"/>
    <s v="DVD"/>
    <n v="102075"/>
    <s v="AB103683"/>
    <x v="0"/>
    <n v="494106"/>
    <x v="1"/>
  </r>
  <r>
    <n v="10261"/>
    <n v="10"/>
    <d v="2013-09-21T00:00:00"/>
    <s v="BLU-RAY"/>
    <n v="102075"/>
    <s v="AB103684"/>
    <x v="9"/>
    <n v="494106"/>
    <x v="1"/>
  </r>
  <r>
    <n v="10230"/>
    <n v="9"/>
    <d v="2013-09-25T00:00:00"/>
    <s v="DVD"/>
    <n v="102076"/>
    <s v="AB103685"/>
    <x v="14"/>
    <n v="803700"/>
    <x v="1"/>
  </r>
  <r>
    <n v="10013"/>
    <n v="4"/>
    <d v="2013-09-22T00:00:00"/>
    <s v="DVD"/>
    <n v="102076"/>
    <s v="AB103686"/>
    <x v="11"/>
    <n v="803700"/>
    <x v="1"/>
  </r>
  <r>
    <n v="10175"/>
    <n v="4"/>
    <d v="2013-09-22T00:00:00"/>
    <s v="DVD"/>
    <n v="102076"/>
    <s v="AB103687"/>
    <x v="3"/>
    <n v="803700"/>
    <x v="1"/>
  </r>
  <r>
    <n v="10022"/>
    <n v="4"/>
    <d v="2013-09-22T00:00:00"/>
    <s v="DVD"/>
    <n v="102077"/>
    <s v="AB103688"/>
    <x v="7"/>
    <n v="559190"/>
    <x v="1"/>
  </r>
  <r>
    <n v="10091"/>
    <n v="4"/>
    <d v="2013-09-22T00:00:00"/>
    <s v="DVD"/>
    <n v="102078"/>
    <s v="AB103689"/>
    <x v="0"/>
    <n v="912671"/>
    <x v="1"/>
  </r>
  <r>
    <n v="10075"/>
    <n v="4"/>
    <d v="2013-09-23T00:00:00"/>
    <s v="DVD"/>
    <n v="102078"/>
    <s v="AB103690"/>
    <x v="17"/>
    <n v="912671"/>
    <x v="1"/>
  </r>
  <r>
    <n v="10064"/>
    <n v="5"/>
    <d v="2013-09-22T00:00:00"/>
    <s v="DVD"/>
    <n v="102078"/>
    <s v="AB103691"/>
    <x v="7"/>
    <n v="912671"/>
    <x v="1"/>
  </r>
  <r>
    <n v="10028"/>
    <n v="9"/>
    <d v="2013-09-22T00:00:00"/>
    <s v="BLU-RAY"/>
    <n v="102079"/>
    <s v="AB103692"/>
    <x v="5"/>
    <n v="719921"/>
    <x v="1"/>
  </r>
  <r>
    <n v="10033"/>
    <n v="3"/>
    <d v="2013-09-22T00:00:00"/>
    <s v="BLU-RAY"/>
    <n v="102080"/>
    <s v="AB103693"/>
    <x v="10"/>
    <n v="567719"/>
    <x v="1"/>
  </r>
  <r>
    <n v="10249"/>
    <n v="5"/>
    <d v="2013-09-22T00:00:00"/>
    <s v="DVD"/>
    <n v="102080"/>
    <s v="AB103694"/>
    <x v="5"/>
    <n v="567719"/>
    <x v="1"/>
  </r>
  <r>
    <n v="10017"/>
    <n v="4"/>
    <d v="2013-09-22T00:00:00"/>
    <s v="BLU-RAY"/>
    <n v="102081"/>
    <s v="AB103695"/>
    <x v="4"/>
    <n v="296353"/>
    <x v="1"/>
  </r>
  <r>
    <n v="10069"/>
    <n v="1"/>
    <d v="2013-09-22T00:00:00"/>
    <s v="BLU-RAY"/>
    <n v="102081"/>
    <s v="AB103696"/>
    <x v="0"/>
    <n v="296353"/>
    <x v="1"/>
  </r>
  <r>
    <n v="10042"/>
    <n v="6"/>
    <d v="2013-09-22T00:00:00"/>
    <s v="BLU-RAY"/>
    <n v="102082"/>
    <s v="AB103697"/>
    <x v="1"/>
    <n v="762509"/>
    <x v="1"/>
  </r>
  <r>
    <n v="10018"/>
    <n v="4"/>
    <d v="2013-09-23T00:00:00"/>
    <s v="DVD"/>
    <n v="102082"/>
    <s v="AB103698"/>
    <x v="9"/>
    <n v="762509"/>
    <x v="1"/>
  </r>
  <r>
    <n v="10206"/>
    <n v="4"/>
    <d v="2013-09-23T00:00:00"/>
    <s v="BLU-RAY"/>
    <n v="102082"/>
    <s v="AB103699"/>
    <x v="9"/>
    <n v="762509"/>
    <x v="1"/>
  </r>
  <r>
    <n v="10117"/>
    <n v="2"/>
    <d v="2013-09-22T00:00:00"/>
    <s v="DVD"/>
    <n v="102083"/>
    <s v="AB103700"/>
    <x v="4"/>
    <n v="110363"/>
    <x v="1"/>
  </r>
  <r>
    <n v="10246"/>
    <n v="6"/>
    <d v="2013-09-22T00:00:00"/>
    <s v="BLU-RAY"/>
    <n v="102083"/>
    <s v="AB103701"/>
    <x v="2"/>
    <n v="110363"/>
    <x v="1"/>
  </r>
  <r>
    <n v="10176"/>
    <n v="3"/>
    <d v="2013-09-22T00:00:00"/>
    <s v="BLU-RAY"/>
    <n v="102084"/>
    <s v="AB103702"/>
    <x v="7"/>
    <n v="403000"/>
    <x v="1"/>
  </r>
  <r>
    <n v="10130"/>
    <n v="10"/>
    <d v="2013-09-23T00:00:00"/>
    <s v="DVD"/>
    <n v="102084"/>
    <s v="AB103703"/>
    <x v="21"/>
    <n v="403000"/>
    <x v="1"/>
  </r>
  <r>
    <n v="10028"/>
    <n v="9"/>
    <d v="2013-09-22T00:00:00"/>
    <s v="BLU-RAY"/>
    <n v="102085"/>
    <s v="AB103704"/>
    <x v="5"/>
    <n v="741514"/>
    <x v="1"/>
  </r>
  <r>
    <n v="10253"/>
    <n v="8"/>
    <d v="2013-09-23T00:00:00"/>
    <s v="DVD"/>
    <n v="102086"/>
    <s v="AB103705"/>
    <x v="3"/>
    <n v="143878"/>
    <x v="1"/>
  </r>
  <r>
    <n v="10276"/>
    <n v="9"/>
    <d v="2013-09-22T00:00:00"/>
    <s v="BLU-RAY"/>
    <n v="102086"/>
    <s v="AB103706"/>
    <x v="16"/>
    <n v="143878"/>
    <x v="1"/>
  </r>
  <r>
    <n v="10068"/>
    <n v="7"/>
    <d v="2013-09-24T00:00:00"/>
    <s v="DVD"/>
    <n v="102087"/>
    <s v="AB103707"/>
    <x v="0"/>
    <n v="664411"/>
    <x v="1"/>
  </r>
  <r>
    <n v="10131"/>
    <n v="9"/>
    <d v="2013-09-22T00:00:00"/>
    <s v="BLU-RAY"/>
    <n v="102088"/>
    <s v="AB103708"/>
    <x v="0"/>
    <n v="145929"/>
    <x v="1"/>
  </r>
  <r>
    <n v="10148"/>
    <n v="6"/>
    <d v="2013-09-22T00:00:00"/>
    <s v="DVD"/>
    <n v="102088"/>
    <s v="AB103709"/>
    <x v="1"/>
    <n v="145929"/>
    <x v="1"/>
  </r>
  <r>
    <n v="10247"/>
    <n v="1"/>
    <d v="2013-09-22T00:00:00"/>
    <s v="BLU-RAY"/>
    <n v="102089"/>
    <s v="AB103710"/>
    <x v="9"/>
    <n v="395125"/>
    <x v="1"/>
  </r>
  <r>
    <n v="10210"/>
    <n v="6"/>
    <d v="2013-09-24T00:00:00"/>
    <s v="DVD"/>
    <n v="102089"/>
    <s v="AB103711"/>
    <x v="4"/>
    <n v="395125"/>
    <x v="1"/>
  </r>
  <r>
    <n v="10025"/>
    <n v="5"/>
    <d v="2013-09-22T00:00:00"/>
    <s v="DVD"/>
    <n v="102089"/>
    <s v="AB103712"/>
    <x v="4"/>
    <n v="395125"/>
    <x v="1"/>
  </r>
  <r>
    <n v="10149"/>
    <n v="5"/>
    <d v="2013-09-22T00:00:00"/>
    <s v="BLU-RAY"/>
    <n v="102090"/>
    <s v="AB103713"/>
    <x v="12"/>
    <n v="110363"/>
    <x v="1"/>
  </r>
  <r>
    <n v="10105"/>
    <n v="2"/>
    <d v="2013-09-23T00:00:00"/>
    <s v="BLU-RAY"/>
    <n v="102090"/>
    <s v="AB103714"/>
    <x v="2"/>
    <n v="110363"/>
    <x v="1"/>
  </r>
  <r>
    <n v="10032"/>
    <n v="7"/>
    <d v="2013-09-22T00:00:00"/>
    <s v="BLU-RAY"/>
    <n v="102090"/>
    <s v="AB103715"/>
    <x v="4"/>
    <n v="110363"/>
    <x v="1"/>
  </r>
  <r>
    <n v="10268"/>
    <n v="5"/>
    <d v="2013-09-22T00:00:00"/>
    <s v="DVD"/>
    <n v="102090"/>
    <s v="AB103716"/>
    <x v="3"/>
    <n v="110363"/>
    <x v="1"/>
  </r>
  <r>
    <n v="10000"/>
    <n v="9"/>
    <d v="2013-09-23T00:00:00"/>
    <s v="BLU-RAY"/>
    <n v="102091"/>
    <s v="AB103717"/>
    <x v="6"/>
    <n v="230602"/>
    <x v="1"/>
  </r>
  <r>
    <n v="10210"/>
    <n v="7"/>
    <d v="2013-09-25T00:00:00"/>
    <s v="DVD"/>
    <n v="102092"/>
    <s v="AB103718"/>
    <x v="4"/>
    <n v="679354"/>
    <x v="1"/>
  </r>
  <r>
    <n v="10148"/>
    <n v="8"/>
    <d v="2013-09-23T00:00:00"/>
    <s v="DVD"/>
    <n v="102092"/>
    <s v="AB103719"/>
    <x v="1"/>
    <n v="679354"/>
    <x v="1"/>
  </r>
  <r>
    <n v="10206"/>
    <n v="1"/>
    <d v="2013-09-23T00:00:00"/>
    <s v="DVD"/>
    <n v="102093"/>
    <s v="AB103720"/>
    <x v="9"/>
    <n v="646700"/>
    <x v="1"/>
  </r>
  <r>
    <n v="10256"/>
    <n v="5"/>
    <d v="2013-09-23T00:00:00"/>
    <s v="BLU-RAY"/>
    <n v="102094"/>
    <s v="AB103721"/>
    <x v="9"/>
    <n v="612681"/>
    <x v="1"/>
  </r>
  <r>
    <n v="10011"/>
    <n v="10"/>
    <d v="2013-09-24T00:00:00"/>
    <s v="DVD"/>
    <n v="102095"/>
    <s v="AB103722"/>
    <x v="3"/>
    <n v="191050"/>
    <x v="1"/>
  </r>
  <r>
    <n v="10042"/>
    <n v="7"/>
    <d v="2013-09-23T00:00:00"/>
    <s v="DVD"/>
    <n v="102096"/>
    <s v="AB103723"/>
    <x v="1"/>
    <n v="283158"/>
    <x v="1"/>
  </r>
  <r>
    <n v="10266"/>
    <n v="9"/>
    <d v="2013-09-25T00:00:00"/>
    <s v="DVD"/>
    <n v="102097"/>
    <s v="AB103724"/>
    <x v="4"/>
    <n v="744780"/>
    <x v="1"/>
  </r>
  <r>
    <n v="10093"/>
    <n v="2"/>
    <d v="2013-09-23T00:00:00"/>
    <s v="BLU-RAY"/>
    <n v="102097"/>
    <s v="AB103725"/>
    <x v="11"/>
    <n v="744780"/>
    <x v="1"/>
  </r>
  <r>
    <n v="10220"/>
    <n v="7"/>
    <d v="2013-09-23T00:00:00"/>
    <s v="BLU-RAY"/>
    <n v="102098"/>
    <s v="AB103726"/>
    <x v="9"/>
    <n v="191050"/>
    <x v="1"/>
  </r>
  <r>
    <n v="10025"/>
    <n v="10"/>
    <d v="2013-09-23T00:00:00"/>
    <s v="DVD"/>
    <n v="102098"/>
    <s v="AB103727"/>
    <x v="4"/>
    <n v="191050"/>
    <x v="1"/>
  </r>
  <r>
    <n v="10198"/>
    <n v="9"/>
    <d v="2013-09-24T00:00:00"/>
    <s v="DVD"/>
    <n v="102099"/>
    <s v="AB103728"/>
    <x v="9"/>
    <n v="327750"/>
    <x v="1"/>
  </r>
  <r>
    <n v="10256"/>
    <n v="1"/>
    <d v="2013-09-23T00:00:00"/>
    <s v="BLU-RAY"/>
    <n v="102100"/>
    <s v="AB103729"/>
    <x v="9"/>
    <n v="270853"/>
    <x v="1"/>
  </r>
  <r>
    <n v="10051"/>
    <n v="9"/>
    <d v="2013-09-23T00:00:00"/>
    <s v="BLU-RAY"/>
    <n v="102101"/>
    <s v="AB103730"/>
    <x v="1"/>
    <n v="549823"/>
    <x v="1"/>
  </r>
  <r>
    <n v="10212"/>
    <n v="10"/>
    <d v="2013-09-23T00:00:00"/>
    <s v="BLU-RAY"/>
    <n v="102101"/>
    <s v="AB103731"/>
    <x v="10"/>
    <n v="549823"/>
    <x v="1"/>
  </r>
  <r>
    <n v="10151"/>
    <n v="9"/>
    <d v="2013-09-23T00:00:00"/>
    <s v="DVD"/>
    <n v="102102"/>
    <s v="AB103732"/>
    <x v="8"/>
    <n v="547890"/>
    <x v="1"/>
  </r>
  <r>
    <n v="10193"/>
    <n v="9"/>
    <d v="2013-09-24T00:00:00"/>
    <s v="BLU-RAY"/>
    <n v="102102"/>
    <s v="AB103733"/>
    <x v="9"/>
    <n v="547890"/>
    <x v="1"/>
  </r>
  <r>
    <n v="10296"/>
    <n v="5"/>
    <d v="2013-09-23T00:00:00"/>
    <s v="DVD"/>
    <n v="102103"/>
    <s v="AB103734"/>
    <x v="21"/>
    <n v="373200"/>
    <x v="1"/>
  </r>
  <r>
    <n v="10125"/>
    <n v="8"/>
    <d v="2013-09-23T00:00:00"/>
    <s v="BLU-RAY"/>
    <n v="102104"/>
    <s v="AB103735"/>
    <x v="9"/>
    <n v="454143"/>
    <x v="1"/>
  </r>
  <r>
    <n v="10297"/>
    <n v="10"/>
    <d v="2013-09-23T00:00:00"/>
    <s v="DVD"/>
    <n v="102104"/>
    <s v="AB103736"/>
    <x v="14"/>
    <n v="454143"/>
    <x v="1"/>
  </r>
  <r>
    <n v="10176"/>
    <n v="5"/>
    <d v="2013-09-25T00:00:00"/>
    <s v="BLU-RAY"/>
    <n v="102105"/>
    <s v="AB103737"/>
    <x v="7"/>
    <n v="999915"/>
    <x v="1"/>
  </r>
  <r>
    <n v="10228"/>
    <n v="2"/>
    <d v="2013-09-26T00:00:00"/>
    <s v="DVD"/>
    <n v="102105"/>
    <s v="AB103738"/>
    <x v="7"/>
    <n v="999915"/>
    <x v="1"/>
  </r>
  <r>
    <n v="10184"/>
    <n v="3"/>
    <d v="2013-09-24T00:00:00"/>
    <s v="BLU-RAY"/>
    <n v="102106"/>
    <s v="AB103739"/>
    <x v="7"/>
    <n v="781523"/>
    <x v="1"/>
  </r>
  <r>
    <n v="10232"/>
    <n v="6"/>
    <d v="2013-09-24T00:00:00"/>
    <s v="DVD"/>
    <n v="102107"/>
    <s v="AB103740"/>
    <x v="1"/>
    <n v="429748"/>
    <x v="1"/>
  </r>
  <r>
    <n v="10125"/>
    <n v="9"/>
    <d v="2013-09-24T00:00:00"/>
    <s v="BLU-RAY"/>
    <n v="102108"/>
    <s v="AB103741"/>
    <x v="9"/>
    <n v="766161"/>
    <x v="1"/>
  </r>
  <r>
    <n v="10037"/>
    <n v="10"/>
    <d v="2013-09-25T00:00:00"/>
    <s v="DVD"/>
    <n v="102108"/>
    <s v="AB103742"/>
    <x v="3"/>
    <n v="766161"/>
    <x v="1"/>
  </r>
  <r>
    <n v="10210"/>
    <n v="6"/>
    <d v="2013-09-26T00:00:00"/>
    <s v="DVD"/>
    <n v="102109"/>
    <s v="AB103743"/>
    <x v="4"/>
    <n v="964619"/>
    <x v="1"/>
  </r>
  <r>
    <n v="10147"/>
    <n v="10"/>
    <d v="2013-09-25T00:00:00"/>
    <s v="BLU-RAY"/>
    <n v="102110"/>
    <s v="AB103744"/>
    <x v="10"/>
    <n v="924361"/>
    <x v="1"/>
  </r>
  <r>
    <n v="10021"/>
    <n v="10"/>
    <d v="2013-09-24T00:00:00"/>
    <s v="DVD"/>
    <n v="102111"/>
    <s v="AB103745"/>
    <x v="1"/>
    <n v="373200"/>
    <x v="1"/>
  </r>
  <r>
    <n v="10065"/>
    <n v="5"/>
    <d v="2013-09-26T00:00:00"/>
    <s v="DVD"/>
    <n v="102111"/>
    <s v="AB103746"/>
    <x v="0"/>
    <n v="373200"/>
    <x v="1"/>
  </r>
  <r>
    <n v="10184"/>
    <n v="10"/>
    <d v="2013-09-24T00:00:00"/>
    <s v="BLU-RAY"/>
    <n v="102111"/>
    <s v="AB103747"/>
    <x v="7"/>
    <n v="373200"/>
    <x v="1"/>
  </r>
  <r>
    <n v="10257"/>
    <n v="10"/>
    <d v="2013-09-25T00:00:00"/>
    <s v="DVD"/>
    <n v="102112"/>
    <s v="AB103748"/>
    <x v="9"/>
    <n v="275152"/>
    <x v="1"/>
  </r>
  <r>
    <n v="10177"/>
    <n v="7"/>
    <d v="2013-09-25T00:00:00"/>
    <s v="BLU-RAY"/>
    <n v="102112"/>
    <s v="AB103749"/>
    <x v="9"/>
    <n v="275152"/>
    <x v="1"/>
  </r>
  <r>
    <n v="10253"/>
    <n v="1"/>
    <d v="2013-09-25T00:00:00"/>
    <s v="BLU-RAY"/>
    <n v="102113"/>
    <s v="AB103750"/>
    <x v="3"/>
    <n v="441628"/>
    <x v="1"/>
  </r>
  <r>
    <n v="10280"/>
    <n v="9"/>
    <d v="2013-09-24T00:00:00"/>
    <s v="DVD"/>
    <n v="102114"/>
    <s v="AB103751"/>
    <x v="7"/>
    <n v="393120"/>
    <x v="1"/>
  </r>
  <r>
    <n v="10217"/>
    <n v="4"/>
    <d v="2013-09-24T00:00:00"/>
    <s v="DVD"/>
    <n v="102114"/>
    <s v="AB103752"/>
    <x v="0"/>
    <n v="393120"/>
    <x v="1"/>
  </r>
  <r>
    <n v="10272"/>
    <n v="10"/>
    <d v="2013-09-24T00:00:00"/>
    <s v="BLU-RAY"/>
    <n v="102114"/>
    <s v="AB103753"/>
    <x v="4"/>
    <n v="393120"/>
    <x v="1"/>
  </r>
  <r>
    <n v="10031"/>
    <n v="3"/>
    <d v="2013-09-24T00:00:00"/>
    <s v="DVD"/>
    <n v="102115"/>
    <s v="AB103754"/>
    <x v="0"/>
    <n v="554099"/>
    <x v="1"/>
  </r>
  <r>
    <n v="10036"/>
    <n v="2"/>
    <d v="2013-09-25T00:00:00"/>
    <s v="BLU-RAY"/>
    <n v="102116"/>
    <s v="AB103755"/>
    <x v="7"/>
    <n v="425051"/>
    <x v="1"/>
  </r>
  <r>
    <n v="10057"/>
    <n v="5"/>
    <d v="2013-09-24T00:00:00"/>
    <s v="DVD"/>
    <n v="102117"/>
    <s v="AB103756"/>
    <x v="0"/>
    <n v="646953"/>
    <x v="1"/>
  </r>
  <r>
    <n v="10031"/>
    <n v="4"/>
    <d v="2013-09-25T00:00:00"/>
    <s v="DVD"/>
    <n v="102118"/>
    <s v="AB103757"/>
    <x v="0"/>
    <n v="852319"/>
    <x v="1"/>
  </r>
  <r>
    <n v="10165"/>
    <n v="5"/>
    <d v="2013-09-24T00:00:00"/>
    <s v="BLU-RAY"/>
    <n v="102118"/>
    <s v="AB103758"/>
    <x v="2"/>
    <n v="852319"/>
    <x v="1"/>
  </r>
  <r>
    <n v="10199"/>
    <n v="10"/>
    <d v="2013-09-24T00:00:00"/>
    <s v="DVD"/>
    <n v="102119"/>
    <s v="AB103759"/>
    <x v="10"/>
    <n v="694281"/>
    <x v="1"/>
  </r>
  <r>
    <n v="10013"/>
    <n v="1"/>
    <d v="2013-09-25T00:00:00"/>
    <s v="DVD"/>
    <n v="102119"/>
    <s v="AB103760"/>
    <x v="11"/>
    <n v="694281"/>
    <x v="1"/>
  </r>
  <r>
    <n v="10111"/>
    <n v="5"/>
    <d v="2013-09-25T00:00:00"/>
    <s v="BLU-RAY"/>
    <n v="102120"/>
    <s v="AB103761"/>
    <x v="9"/>
    <n v="262638"/>
    <x v="1"/>
  </r>
  <r>
    <n v="10078"/>
    <n v="8"/>
    <d v="2013-09-24T00:00:00"/>
    <s v="DVD"/>
    <n v="102120"/>
    <s v="AB103762"/>
    <x v="1"/>
    <n v="262638"/>
    <x v="1"/>
  </r>
  <r>
    <n v="10040"/>
    <n v="7"/>
    <d v="2013-09-24T00:00:00"/>
    <s v="DVD"/>
    <n v="102121"/>
    <s v="AB103763"/>
    <x v="7"/>
    <n v="437454"/>
    <x v="1"/>
  </r>
  <r>
    <n v="10232"/>
    <n v="1"/>
    <d v="2013-09-24T00:00:00"/>
    <s v="BLU-RAY"/>
    <n v="102122"/>
    <s v="AB103764"/>
    <x v="1"/>
    <n v="173125"/>
    <x v="1"/>
  </r>
  <r>
    <n v="10001"/>
    <n v="1"/>
    <d v="2013-09-26T00:00:00"/>
    <s v="DVD"/>
    <n v="102123"/>
    <s v="AB103765"/>
    <x v="14"/>
    <n v="954812"/>
    <x v="1"/>
  </r>
  <r>
    <n v="10113"/>
    <n v="2"/>
    <d v="2013-09-25T00:00:00"/>
    <s v="DVD"/>
    <n v="102124"/>
    <s v="AB103766"/>
    <x v="10"/>
    <n v="550661"/>
    <x v="1"/>
  </r>
  <r>
    <n v="10211"/>
    <n v="8"/>
    <d v="2013-09-25T00:00:00"/>
    <s v="DVD"/>
    <n v="102124"/>
    <s v="AB103767"/>
    <x v="3"/>
    <n v="550661"/>
    <x v="1"/>
  </r>
  <r>
    <n v="10115"/>
    <n v="3"/>
    <d v="2013-09-26T00:00:00"/>
    <s v="DVD"/>
    <n v="102124"/>
    <s v="AB103768"/>
    <x v="11"/>
    <n v="550661"/>
    <x v="1"/>
  </r>
  <r>
    <n v="10161"/>
    <n v="6"/>
    <d v="2013-09-25T00:00:00"/>
    <s v="DVD"/>
    <n v="102125"/>
    <s v="AB103769"/>
    <x v="6"/>
    <n v="205878"/>
    <x v="1"/>
  </r>
  <r>
    <n v="10078"/>
    <n v="1"/>
    <d v="2013-09-26T00:00:00"/>
    <s v="BLU-RAY"/>
    <n v="102125"/>
    <s v="AB103770"/>
    <x v="1"/>
    <n v="205878"/>
    <x v="1"/>
  </r>
  <r>
    <n v="10298"/>
    <n v="8"/>
    <d v="2013-09-25T00:00:00"/>
    <s v="BLU-RAY"/>
    <n v="102125"/>
    <s v="AB103771"/>
    <x v="19"/>
    <n v="205878"/>
    <x v="1"/>
  </r>
  <r>
    <n v="10112"/>
    <n v="5"/>
    <d v="2013-09-25T00:00:00"/>
    <s v="BLU-RAY"/>
    <n v="102125"/>
    <s v="AB103772"/>
    <x v="12"/>
    <n v="205878"/>
    <x v="1"/>
  </r>
  <r>
    <n v="10159"/>
    <n v="6"/>
    <d v="2013-09-25T00:00:00"/>
    <s v="BLU-RAY"/>
    <n v="102126"/>
    <s v="AB103773"/>
    <x v="10"/>
    <n v="385115"/>
    <x v="1"/>
  </r>
  <r>
    <n v="10137"/>
    <n v="2"/>
    <d v="2013-09-25T00:00:00"/>
    <s v="BLU-RAY"/>
    <n v="102126"/>
    <s v="AB103774"/>
    <x v="3"/>
    <n v="385115"/>
    <x v="1"/>
  </r>
  <r>
    <n v="10185"/>
    <n v="10"/>
    <d v="2013-09-26T00:00:00"/>
    <s v="BLU-RAY"/>
    <n v="102127"/>
    <s v="AB103775"/>
    <x v="0"/>
    <n v="918682"/>
    <x v="1"/>
  </r>
  <r>
    <n v="10087"/>
    <n v="1"/>
    <d v="2013-09-25T00:00:00"/>
    <s v="BLU-RAY"/>
    <n v="102128"/>
    <s v="AB103776"/>
    <x v="10"/>
    <n v="384899"/>
    <x v="1"/>
  </r>
  <r>
    <n v="10123"/>
    <n v="5"/>
    <d v="2013-09-25T00:00:00"/>
    <s v="DVD"/>
    <n v="102128"/>
    <s v="AB103777"/>
    <x v="9"/>
    <n v="384899"/>
    <x v="1"/>
  </r>
  <r>
    <n v="10251"/>
    <n v="10"/>
    <d v="2013-09-26T00:00:00"/>
    <s v="DVD"/>
    <n v="102129"/>
    <s v="AB103778"/>
    <x v="7"/>
    <n v="944523"/>
    <x v="1"/>
  </r>
  <r>
    <n v="10017"/>
    <n v="10"/>
    <d v="2013-09-26T00:00:00"/>
    <s v="BLU-RAY"/>
    <n v="102129"/>
    <s v="AB103779"/>
    <x v="4"/>
    <n v="944523"/>
    <x v="1"/>
  </r>
  <r>
    <n v="10270"/>
    <n v="3"/>
    <d v="2013-09-25T00:00:00"/>
    <s v="DVD"/>
    <n v="102129"/>
    <s v="AB103780"/>
    <x v="9"/>
    <n v="944523"/>
    <x v="1"/>
  </r>
  <r>
    <n v="10285"/>
    <n v="7"/>
    <d v="2013-09-25T00:00:00"/>
    <s v="DVD"/>
    <n v="102130"/>
    <s v="AB103781"/>
    <x v="20"/>
    <n v="147216"/>
    <x v="1"/>
  </r>
  <r>
    <n v="10139"/>
    <n v="1"/>
    <d v="2013-09-25T00:00:00"/>
    <s v="DVD"/>
    <n v="102131"/>
    <s v="AB103782"/>
    <x v="14"/>
    <n v="659695"/>
    <x v="1"/>
  </r>
  <r>
    <n v="10273"/>
    <n v="8"/>
    <d v="2013-09-25T00:00:00"/>
    <s v="DVD"/>
    <n v="102132"/>
    <s v="AB103783"/>
    <x v="4"/>
    <n v="550824"/>
    <x v="1"/>
  </r>
  <r>
    <n v="10229"/>
    <n v="4"/>
    <d v="2013-09-26T00:00:00"/>
    <s v="DVD"/>
    <n v="102133"/>
    <s v="AB103784"/>
    <x v="6"/>
    <n v="205878"/>
    <x v="1"/>
  </r>
  <r>
    <n v="10259"/>
    <n v="1"/>
    <d v="2013-09-25T00:00:00"/>
    <s v="DVD"/>
    <n v="102133"/>
    <s v="AB103785"/>
    <x v="0"/>
    <n v="205878"/>
    <x v="1"/>
  </r>
  <r>
    <n v="10069"/>
    <n v="7"/>
    <d v="2013-09-27T00:00:00"/>
    <s v="BLU-RAY"/>
    <n v="102134"/>
    <s v="AB103786"/>
    <x v="0"/>
    <n v="755271"/>
    <x v="1"/>
  </r>
  <r>
    <n v="10297"/>
    <n v="10"/>
    <d v="2013-09-25T00:00:00"/>
    <s v="DVD"/>
    <n v="102134"/>
    <s v="AB103787"/>
    <x v="14"/>
    <n v="755271"/>
    <x v="1"/>
  </r>
  <r>
    <n v="10104"/>
    <n v="9"/>
    <d v="2013-09-25T00:00:00"/>
    <s v="BLU-RAY"/>
    <n v="102135"/>
    <s v="AB103788"/>
    <x v="7"/>
    <n v="373200"/>
    <x v="1"/>
  </r>
  <r>
    <n v="10142"/>
    <n v="10"/>
    <d v="2013-09-25T00:00:00"/>
    <s v="BLU-RAY"/>
    <n v="102135"/>
    <s v="AB103789"/>
    <x v="0"/>
    <n v="373200"/>
    <x v="1"/>
  </r>
  <r>
    <n v="10131"/>
    <n v="7"/>
    <d v="2013-09-25T00:00:00"/>
    <s v="DVD"/>
    <n v="102135"/>
    <s v="AB103790"/>
    <x v="0"/>
    <n v="373200"/>
    <x v="1"/>
  </r>
  <r>
    <n v="10199"/>
    <n v="8"/>
    <d v="2013-09-25T00:00:00"/>
    <s v="BLU-RAY"/>
    <n v="102135"/>
    <s v="AB103791"/>
    <x v="10"/>
    <n v="373200"/>
    <x v="1"/>
  </r>
  <r>
    <n v="10220"/>
    <n v="8"/>
    <d v="2013-09-25T00:00:00"/>
    <s v="DVD"/>
    <n v="102136"/>
    <s v="AB103792"/>
    <x v="9"/>
    <n v="143878"/>
    <x v="1"/>
  </r>
  <r>
    <n v="10166"/>
    <n v="7"/>
    <d v="2013-09-25T00:00:00"/>
    <s v="BLU-RAY"/>
    <n v="102137"/>
    <s v="AB103793"/>
    <x v="9"/>
    <n v="236554"/>
    <x v="1"/>
  </r>
  <r>
    <n v="10276"/>
    <n v="10"/>
    <d v="2013-09-26T00:00:00"/>
    <s v="BLU-RAY"/>
    <n v="102137"/>
    <s v="AB103794"/>
    <x v="16"/>
    <n v="236554"/>
    <x v="1"/>
  </r>
  <r>
    <n v="10146"/>
    <n v="5"/>
    <d v="2013-09-25T00:00:00"/>
    <s v="BLU-RAY"/>
    <n v="102137"/>
    <s v="AB103795"/>
    <x v="4"/>
    <n v="236554"/>
    <x v="1"/>
  </r>
  <r>
    <n v="10247"/>
    <n v="4"/>
    <d v="2013-09-26T00:00:00"/>
    <s v="DVD"/>
    <n v="102138"/>
    <s v="AB103796"/>
    <x v="9"/>
    <n v="186353"/>
    <x v="1"/>
  </r>
  <r>
    <n v="10065"/>
    <n v="5"/>
    <d v="2013-09-26T00:00:00"/>
    <s v="DVD"/>
    <n v="102138"/>
    <s v="AB103797"/>
    <x v="0"/>
    <n v="186353"/>
    <x v="1"/>
  </r>
  <r>
    <n v="10292"/>
    <n v="1"/>
    <d v="2013-09-27T00:00:00"/>
    <s v="DVD"/>
    <n v="102139"/>
    <s v="AB103798"/>
    <x v="15"/>
    <n v="262579"/>
    <x v="1"/>
  </r>
  <r>
    <n v="10004"/>
    <n v="1"/>
    <d v="2013-09-26T00:00:00"/>
    <s v="DVD"/>
    <n v="102139"/>
    <s v="AB103799"/>
    <x v="1"/>
    <n v="262579"/>
    <x v="1"/>
  </r>
  <r>
    <n v="10031"/>
    <n v="9"/>
    <d v="2013-09-27T00:00:00"/>
    <s v="DVD"/>
    <n v="102139"/>
    <s v="AB103800"/>
    <x v="0"/>
    <n v="262579"/>
    <x v="1"/>
  </r>
  <r>
    <n v="10057"/>
    <n v="5"/>
    <d v="2013-09-27T00:00:00"/>
    <s v="BLU-RAY"/>
    <n v="102140"/>
    <s v="AB103801"/>
    <x v="0"/>
    <n v="304344"/>
    <x v="1"/>
  </r>
  <r>
    <n v="10107"/>
    <n v="5"/>
    <d v="2013-09-26T00:00:00"/>
    <s v="DVD"/>
    <n v="102141"/>
    <s v="AB103802"/>
    <x v="7"/>
    <n v="478274"/>
    <x v="1"/>
  </r>
  <r>
    <n v="10216"/>
    <n v="6"/>
    <d v="2013-09-26T00:00:00"/>
    <s v="DVD"/>
    <n v="102141"/>
    <s v="AB103803"/>
    <x v="4"/>
    <n v="478274"/>
    <x v="1"/>
  </r>
  <r>
    <n v="10155"/>
    <n v="1"/>
    <d v="2013-09-26T00:00:00"/>
    <s v="DVD"/>
    <n v="102142"/>
    <s v="AB103804"/>
    <x v="9"/>
    <n v="323830"/>
    <x v="1"/>
  </r>
  <r>
    <n v="10142"/>
    <n v="10"/>
    <d v="2013-09-26T00:00:00"/>
    <s v="BLU-RAY"/>
    <n v="102143"/>
    <s v="AB103805"/>
    <x v="0"/>
    <n v="147216"/>
    <x v="1"/>
  </r>
  <r>
    <n v="10261"/>
    <n v="5"/>
    <d v="2013-09-26T00:00:00"/>
    <s v="BLU-RAY"/>
    <n v="102144"/>
    <s v="AB103806"/>
    <x v="9"/>
    <n v="373200"/>
    <x v="1"/>
  </r>
  <r>
    <n v="10117"/>
    <n v="1"/>
    <d v="2013-09-26T00:00:00"/>
    <s v="DVD"/>
    <n v="102144"/>
    <s v="AB103807"/>
    <x v="4"/>
    <n v="373200"/>
    <x v="1"/>
  </r>
  <r>
    <n v="10060"/>
    <n v="2"/>
    <d v="2013-09-26T00:00:00"/>
    <s v="DVD"/>
    <n v="102145"/>
    <s v="AB103808"/>
    <x v="0"/>
    <n v="852319"/>
    <x v="1"/>
  </r>
  <r>
    <n v="10161"/>
    <n v="7"/>
    <d v="2013-09-27T00:00:00"/>
    <s v="DVD"/>
    <n v="102145"/>
    <s v="AB103809"/>
    <x v="6"/>
    <n v="852319"/>
    <x v="1"/>
  </r>
  <r>
    <n v="10261"/>
    <n v="6"/>
    <d v="2013-09-27T00:00:00"/>
    <s v="BLU-RAY"/>
    <n v="102146"/>
    <s v="AB103810"/>
    <x v="9"/>
    <n v="548800"/>
    <x v="1"/>
  </r>
  <r>
    <n v="10252"/>
    <n v="5"/>
    <d v="2013-09-26T00:00:00"/>
    <s v="DVD"/>
    <n v="102146"/>
    <s v="AB103811"/>
    <x v="0"/>
    <n v="548800"/>
    <x v="1"/>
  </r>
  <r>
    <n v="10199"/>
    <n v="1"/>
    <d v="2013-09-26T00:00:00"/>
    <s v="DVD"/>
    <n v="102147"/>
    <s v="AB103812"/>
    <x v="10"/>
    <n v="714947"/>
    <x v="1"/>
  </r>
  <r>
    <n v="10286"/>
    <n v="3"/>
    <d v="2013-09-26T00:00:00"/>
    <s v="DVD"/>
    <n v="102147"/>
    <s v="AB103813"/>
    <x v="17"/>
    <n v="714947"/>
    <x v="1"/>
  </r>
  <r>
    <n v="10254"/>
    <n v="9"/>
    <d v="2013-09-26T00:00:00"/>
    <s v="DVD"/>
    <n v="102148"/>
    <s v="AB103814"/>
    <x v="1"/>
    <n v="659695"/>
    <x v="1"/>
  </r>
  <r>
    <n v="10238"/>
    <n v="3"/>
    <d v="2013-09-26T00:00:00"/>
    <s v="DVD"/>
    <n v="102149"/>
    <s v="AB103815"/>
    <x v="0"/>
    <n v="475216"/>
    <x v="1"/>
  </r>
  <r>
    <n v="10123"/>
    <n v="8"/>
    <d v="2013-09-26T00:00:00"/>
    <s v="BLU-RAY"/>
    <n v="102150"/>
    <s v="AB103816"/>
    <x v="9"/>
    <n v="723057"/>
    <x v="1"/>
  </r>
  <r>
    <n v="10159"/>
    <n v="5"/>
    <d v="2013-09-26T00:00:00"/>
    <s v="DVD"/>
    <n v="102151"/>
    <s v="AB103817"/>
    <x v="10"/>
    <n v="458448"/>
    <x v="1"/>
  </r>
  <r>
    <n v="10203"/>
    <n v="1"/>
    <d v="2013-09-26T00:00:00"/>
    <s v="DVD"/>
    <n v="102151"/>
    <s v="AB103818"/>
    <x v="3"/>
    <n v="458448"/>
    <x v="1"/>
  </r>
  <r>
    <n v="10105"/>
    <n v="5"/>
    <d v="2013-09-26T00:00:00"/>
    <s v="BLU-RAY"/>
    <n v="102152"/>
    <s v="AB103819"/>
    <x v="2"/>
    <n v="205878"/>
    <x v="1"/>
  </r>
  <r>
    <n v="10178"/>
    <n v="5"/>
    <d v="2013-09-26T00:00:00"/>
    <s v="DVD"/>
    <n v="102152"/>
    <s v="AB103820"/>
    <x v="0"/>
    <n v="205878"/>
    <x v="1"/>
  </r>
  <r>
    <n v="10008"/>
    <n v="2"/>
    <d v="2013-09-26T00:00:00"/>
    <s v="DVD"/>
    <n v="102152"/>
    <s v="AB103821"/>
    <x v="4"/>
    <n v="205878"/>
    <x v="1"/>
  </r>
  <r>
    <n v="10078"/>
    <n v="1"/>
    <d v="2013-09-27T00:00:00"/>
    <s v="DVD"/>
    <n v="102153"/>
    <s v="AB103822"/>
    <x v="1"/>
    <n v="327750"/>
    <x v="1"/>
  </r>
  <r>
    <n v="10008"/>
    <n v="4"/>
    <d v="2013-09-26T00:00:00"/>
    <s v="DVD"/>
    <n v="102154"/>
    <s v="AB103823"/>
    <x v="4"/>
    <n v="607810"/>
    <x v="1"/>
  </r>
  <r>
    <n v="10065"/>
    <n v="10"/>
    <d v="2013-09-28T00:00:00"/>
    <s v="BLU-RAY"/>
    <n v="102155"/>
    <s v="AB103824"/>
    <x v="0"/>
    <n v="840096"/>
    <x v="1"/>
  </r>
  <r>
    <n v="10223"/>
    <n v="4"/>
    <d v="2013-09-27T00:00:00"/>
    <s v="BLU-RAY"/>
    <n v="102156"/>
    <s v="AB103825"/>
    <x v="7"/>
    <n v="298508"/>
    <x v="1"/>
  </r>
  <r>
    <n v="10093"/>
    <n v="2"/>
    <d v="2013-09-28T00:00:00"/>
    <s v="BLU-RAY"/>
    <n v="102156"/>
    <s v="AB103826"/>
    <x v="11"/>
    <n v="298508"/>
    <x v="1"/>
  </r>
  <r>
    <n v="10127"/>
    <n v="1"/>
    <d v="2013-09-27T00:00:00"/>
    <s v="BLU-RAY"/>
    <n v="102157"/>
    <s v="AB103827"/>
    <x v="6"/>
    <n v="161175"/>
    <x v="1"/>
  </r>
  <r>
    <n v="10201"/>
    <n v="3"/>
    <d v="2013-09-27T00:00:00"/>
    <s v="BLU-RAY"/>
    <n v="102158"/>
    <s v="AB103828"/>
    <x v="8"/>
    <n v="927518"/>
    <x v="1"/>
  </r>
  <r>
    <n v="10095"/>
    <n v="4"/>
    <d v="2013-09-28T00:00:00"/>
    <s v="BLU-RAY"/>
    <n v="102158"/>
    <s v="AB103829"/>
    <x v="2"/>
    <n v="927518"/>
    <x v="1"/>
  </r>
  <r>
    <n v="10017"/>
    <n v="1"/>
    <d v="2013-09-28T00:00:00"/>
    <s v="DVD"/>
    <n v="102158"/>
    <s v="AB103830"/>
    <x v="4"/>
    <n v="927518"/>
    <x v="1"/>
  </r>
  <r>
    <n v="10186"/>
    <n v="10"/>
    <d v="2013-09-27T00:00:00"/>
    <s v="BLU-RAY"/>
    <n v="102158"/>
    <s v="AB103831"/>
    <x v="10"/>
    <n v="927518"/>
    <x v="1"/>
  </r>
  <r>
    <n v="10180"/>
    <n v="1"/>
    <d v="2013-09-27T00:00:00"/>
    <s v="BLU-RAY"/>
    <n v="102159"/>
    <s v="AB103832"/>
    <x v="12"/>
    <n v="814317"/>
    <x v="1"/>
  </r>
  <r>
    <n v="10023"/>
    <n v="5"/>
    <d v="2013-09-28T00:00:00"/>
    <s v="BLU-RAY"/>
    <n v="102159"/>
    <s v="AB103833"/>
    <x v="3"/>
    <n v="814317"/>
    <x v="1"/>
  </r>
  <r>
    <n v="10149"/>
    <n v="7"/>
    <d v="2013-09-27T00:00:00"/>
    <s v="BLU-RAY"/>
    <n v="102160"/>
    <s v="AB103834"/>
    <x v="12"/>
    <n v="915766"/>
    <x v="1"/>
  </r>
  <r>
    <n v="10132"/>
    <n v="7"/>
    <d v="2013-09-28T00:00:00"/>
    <s v="DVD"/>
    <n v="102160"/>
    <s v="AB103835"/>
    <x v="10"/>
    <n v="915766"/>
    <x v="1"/>
  </r>
  <r>
    <n v="10147"/>
    <n v="6"/>
    <d v="2013-09-29T00:00:00"/>
    <s v="DVD"/>
    <n v="102161"/>
    <s v="AB103836"/>
    <x v="10"/>
    <n v="393893"/>
    <x v="1"/>
  </r>
  <r>
    <n v="10042"/>
    <n v="10"/>
    <d v="2013-09-27T00:00:00"/>
    <s v="BLU-RAY"/>
    <n v="102161"/>
    <s v="AB103837"/>
    <x v="1"/>
    <n v="393893"/>
    <x v="1"/>
  </r>
  <r>
    <n v="10078"/>
    <n v="6"/>
    <d v="2013-09-27T00:00:00"/>
    <s v="DVD"/>
    <n v="102162"/>
    <s v="AB103838"/>
    <x v="1"/>
    <n v="226909"/>
    <x v="1"/>
  </r>
  <r>
    <n v="10112"/>
    <n v="1"/>
    <d v="2013-09-27T00:00:00"/>
    <s v="BLU-RAY"/>
    <n v="102162"/>
    <s v="AB103839"/>
    <x v="12"/>
    <n v="226909"/>
    <x v="1"/>
  </r>
  <r>
    <n v="10211"/>
    <n v="8"/>
    <d v="2013-09-27T00:00:00"/>
    <s v="DVD"/>
    <n v="102162"/>
    <s v="AB103840"/>
    <x v="3"/>
    <n v="226909"/>
    <x v="1"/>
  </r>
  <r>
    <n v="10078"/>
    <n v="5"/>
    <d v="2013-09-28T00:00:00"/>
    <s v="DVD"/>
    <n v="102162"/>
    <s v="AB103841"/>
    <x v="1"/>
    <n v="226909"/>
    <x v="1"/>
  </r>
  <r>
    <n v="10065"/>
    <n v="2"/>
    <d v="2013-09-29T00:00:00"/>
    <s v="DVD"/>
    <n v="102163"/>
    <s v="AB103842"/>
    <x v="0"/>
    <n v="524667"/>
    <x v="1"/>
  </r>
  <r>
    <n v="10269"/>
    <n v="5"/>
    <d v="2013-09-27T00:00:00"/>
    <s v="DVD"/>
    <n v="102164"/>
    <s v="AB103843"/>
    <x v="3"/>
    <n v="803700"/>
    <x v="1"/>
  </r>
  <r>
    <n v="10296"/>
    <n v="10"/>
    <d v="2013-09-27T00:00:00"/>
    <s v="BLU-RAY"/>
    <n v="102165"/>
    <s v="AB103844"/>
    <x v="21"/>
    <n v="292402"/>
    <x v="1"/>
  </r>
  <r>
    <n v="10074"/>
    <n v="10"/>
    <d v="2013-09-27T00:00:00"/>
    <s v="DVD"/>
    <n v="102165"/>
    <s v="AB103845"/>
    <x v="11"/>
    <n v="292402"/>
    <x v="1"/>
  </r>
  <r>
    <n v="10298"/>
    <n v="8"/>
    <d v="2013-09-27T00:00:00"/>
    <s v="DVD"/>
    <n v="102166"/>
    <s v="AB103846"/>
    <x v="19"/>
    <n v="744416"/>
    <x v="1"/>
  </r>
  <r>
    <n v="10240"/>
    <n v="10"/>
    <d v="2013-09-27T00:00:00"/>
    <s v="DVD"/>
    <n v="102166"/>
    <s v="AB103847"/>
    <x v="0"/>
    <n v="744416"/>
    <x v="1"/>
  </r>
  <r>
    <n v="10081"/>
    <n v="1"/>
    <d v="2013-09-27T00:00:00"/>
    <s v="DVD"/>
    <n v="102167"/>
    <s v="AB103848"/>
    <x v="2"/>
    <n v="344702"/>
    <x v="1"/>
  </r>
  <r>
    <n v="10101"/>
    <n v="6"/>
    <d v="2013-09-27T00:00:00"/>
    <s v="BLU-RAY"/>
    <n v="102168"/>
    <s v="AB103849"/>
    <x v="4"/>
    <n v="330570"/>
    <x v="1"/>
  </r>
  <r>
    <n v="10269"/>
    <n v="4"/>
    <d v="2013-09-27T00:00:00"/>
    <s v="DVD"/>
    <n v="102169"/>
    <s v="AB103850"/>
    <x v="3"/>
    <n v="926144"/>
    <x v="1"/>
  </r>
  <r>
    <n v="10032"/>
    <n v="4"/>
    <d v="2013-09-27T00:00:00"/>
    <s v="DVD"/>
    <n v="102169"/>
    <s v="AB103851"/>
    <x v="4"/>
    <n v="926144"/>
    <x v="1"/>
  </r>
  <r>
    <n v="10167"/>
    <n v="8"/>
    <d v="2013-09-27T00:00:00"/>
    <s v="BLU-RAY"/>
    <n v="102169"/>
    <s v="AB103852"/>
    <x v="7"/>
    <n v="926144"/>
    <x v="1"/>
  </r>
  <r>
    <n v="10134"/>
    <n v="4"/>
    <d v="2013-09-27T00:00:00"/>
    <s v="BLU-RAY"/>
    <n v="102170"/>
    <s v="AB103853"/>
    <x v="7"/>
    <n v="327750"/>
    <x v="1"/>
  </r>
  <r>
    <n v="10222"/>
    <n v="4"/>
    <d v="2013-09-29T00:00:00"/>
    <s v="DVD"/>
    <n v="102170"/>
    <s v="AB103854"/>
    <x v="4"/>
    <n v="327750"/>
    <x v="1"/>
  </r>
  <r>
    <n v="10227"/>
    <n v="4"/>
    <d v="2013-09-27T00:00:00"/>
    <s v="DVD"/>
    <n v="102170"/>
    <s v="AB103855"/>
    <x v="14"/>
    <n v="327750"/>
    <x v="1"/>
  </r>
  <r>
    <n v="10057"/>
    <n v="10"/>
    <d v="2013-09-28T00:00:00"/>
    <s v="DVD"/>
    <n v="102171"/>
    <s v="AB103856"/>
    <x v="0"/>
    <n v="651462"/>
    <x v="1"/>
  </r>
  <r>
    <n v="10133"/>
    <n v="4"/>
    <d v="2013-09-29T00:00:00"/>
    <s v="BLU-RAY"/>
    <n v="102172"/>
    <s v="AB103857"/>
    <x v="9"/>
    <n v="599995"/>
    <x v="1"/>
  </r>
  <r>
    <n v="10185"/>
    <n v="6"/>
    <d v="2013-09-27T00:00:00"/>
    <s v="BLU-RAY"/>
    <n v="102172"/>
    <s v="AB103858"/>
    <x v="0"/>
    <n v="599995"/>
    <x v="1"/>
  </r>
  <r>
    <n v="10203"/>
    <n v="2"/>
    <d v="2013-09-28T00:00:00"/>
    <s v="DVD"/>
    <n v="102173"/>
    <s v="AB103859"/>
    <x v="3"/>
    <n v="116690"/>
    <x v="1"/>
  </r>
  <r>
    <n v="10154"/>
    <n v="3"/>
    <d v="2013-09-28T00:00:00"/>
    <s v="DVD"/>
    <n v="102173"/>
    <s v="AB103860"/>
    <x v="5"/>
    <n v="116690"/>
    <x v="1"/>
  </r>
  <r>
    <n v="10052"/>
    <n v="4"/>
    <d v="2013-09-27T00:00:00"/>
    <s v="BLU-RAY"/>
    <n v="102174"/>
    <s v="AB103861"/>
    <x v="0"/>
    <n v="166612"/>
    <x v="1"/>
  </r>
  <r>
    <n v="10200"/>
    <n v="6"/>
    <d v="2013-09-27T00:00:00"/>
    <s v="BLU-RAY"/>
    <n v="102174"/>
    <s v="AB103862"/>
    <x v="9"/>
    <n v="166612"/>
    <x v="1"/>
  </r>
  <r>
    <n v="10180"/>
    <n v="6"/>
    <d v="2013-09-28T00:00:00"/>
    <s v="DVD"/>
    <n v="102175"/>
    <s v="AB103863"/>
    <x v="12"/>
    <n v="882493"/>
    <x v="1"/>
  </r>
  <r>
    <n v="10096"/>
    <n v="7"/>
    <d v="2013-09-28T00:00:00"/>
    <s v="BLU-RAY"/>
    <n v="102176"/>
    <s v="AB103864"/>
    <x v="7"/>
    <n v="442691"/>
    <x v="1"/>
  </r>
  <r>
    <n v="10181"/>
    <n v="6"/>
    <d v="2013-09-28T00:00:00"/>
    <s v="DVD"/>
    <n v="102176"/>
    <s v="AB103865"/>
    <x v="9"/>
    <n v="442691"/>
    <x v="1"/>
  </r>
  <r>
    <n v="10245"/>
    <n v="1"/>
    <d v="2013-09-29T00:00:00"/>
    <s v="DVD"/>
    <n v="102177"/>
    <s v="AB103866"/>
    <x v="0"/>
    <n v="808869"/>
    <x v="1"/>
  </r>
  <r>
    <n v="10244"/>
    <n v="8"/>
    <d v="2013-09-28T00:00:00"/>
    <s v="DVD"/>
    <n v="102177"/>
    <s v="AB103867"/>
    <x v="4"/>
    <n v="808869"/>
    <x v="1"/>
  </r>
  <r>
    <n v="10014"/>
    <n v="7"/>
    <d v="2013-09-28T00:00:00"/>
    <s v="DVD"/>
    <n v="102178"/>
    <s v="AB103868"/>
    <x v="0"/>
    <n v="105771"/>
    <x v="1"/>
  </r>
  <r>
    <n v="10103"/>
    <n v="7"/>
    <d v="2013-09-28T00:00:00"/>
    <s v="DVD"/>
    <n v="102179"/>
    <s v="AB103869"/>
    <x v="9"/>
    <n v="323830"/>
    <x v="1"/>
  </r>
  <r>
    <n v="10057"/>
    <n v="8"/>
    <d v="2013-09-28T00:00:00"/>
    <s v="DVD"/>
    <n v="102179"/>
    <s v="AB103870"/>
    <x v="0"/>
    <n v="323830"/>
    <x v="1"/>
  </r>
  <r>
    <n v="10067"/>
    <n v="7"/>
    <d v="2013-09-29T00:00:00"/>
    <s v="DVD"/>
    <n v="102180"/>
    <s v="AB103871"/>
    <x v="1"/>
    <n v="205878"/>
    <x v="1"/>
  </r>
  <r>
    <n v="10009"/>
    <n v="1"/>
    <d v="2013-09-29T00:00:00"/>
    <s v="DVD"/>
    <n v="102180"/>
    <s v="AB103872"/>
    <x v="0"/>
    <n v="205878"/>
    <x v="1"/>
  </r>
  <r>
    <n v="10080"/>
    <n v="8"/>
    <d v="2013-09-28T00:00:00"/>
    <s v="BLU-RAY"/>
    <n v="102181"/>
    <s v="AB103873"/>
    <x v="3"/>
    <n v="659695"/>
    <x v="1"/>
  </r>
  <r>
    <n v="10178"/>
    <n v="8"/>
    <d v="2013-09-28T00:00:00"/>
    <s v="DVD"/>
    <n v="102182"/>
    <s v="AB103874"/>
    <x v="0"/>
    <n v="897980"/>
    <x v="1"/>
  </r>
  <r>
    <n v="10144"/>
    <n v="2"/>
    <d v="2013-09-29T00:00:00"/>
    <s v="DVD"/>
    <n v="102182"/>
    <s v="AB103875"/>
    <x v="2"/>
    <n v="897980"/>
    <x v="1"/>
  </r>
  <r>
    <n v="10287"/>
    <n v="1"/>
    <d v="2013-09-28T00:00:00"/>
    <s v="DVD"/>
    <n v="102183"/>
    <s v="AB103876"/>
    <x v="10"/>
    <n v="846722"/>
    <x v="1"/>
  </r>
  <r>
    <n v="10268"/>
    <n v="10"/>
    <d v="2013-09-28T00:00:00"/>
    <s v="DVD"/>
    <n v="102183"/>
    <s v="AB103877"/>
    <x v="3"/>
    <n v="846722"/>
    <x v="1"/>
  </r>
  <r>
    <n v="10227"/>
    <n v="9"/>
    <d v="2013-09-28T00:00:00"/>
    <s v="DVD"/>
    <n v="102184"/>
    <s v="AB103878"/>
    <x v="14"/>
    <n v="143878"/>
    <x v="1"/>
  </r>
  <r>
    <n v="10229"/>
    <n v="3"/>
    <d v="2013-09-28T00:00:00"/>
    <s v="DVD"/>
    <n v="102185"/>
    <s v="AB103879"/>
    <x v="6"/>
    <n v="817274"/>
    <x v="1"/>
  </r>
  <r>
    <n v="10255"/>
    <n v="8"/>
    <d v="2013-09-28T00:00:00"/>
    <s v="DVD"/>
    <n v="102185"/>
    <s v="AB103880"/>
    <x v="1"/>
    <n v="817274"/>
    <x v="1"/>
  </r>
  <r>
    <n v="10235"/>
    <n v="5"/>
    <d v="2013-09-28T00:00:00"/>
    <s v="BLU-RAY"/>
    <n v="102186"/>
    <s v="AB103881"/>
    <x v="10"/>
    <n v="407605"/>
    <x v="1"/>
  </r>
  <r>
    <n v="10023"/>
    <n v="8"/>
    <d v="2013-09-28T00:00:00"/>
    <s v="BLU-RAY"/>
    <n v="102186"/>
    <s v="AB103882"/>
    <x v="3"/>
    <n v="407605"/>
    <x v="1"/>
  </r>
  <r>
    <n v="10045"/>
    <n v="1"/>
    <d v="2013-09-30T00:00:00"/>
    <s v="DVD"/>
    <n v="102187"/>
    <s v="AB103883"/>
    <x v="0"/>
    <n v="994269"/>
    <x v="1"/>
  </r>
  <r>
    <n v="10244"/>
    <n v="1"/>
    <d v="2013-09-28T00:00:00"/>
    <s v="DVD"/>
    <n v="102187"/>
    <s v="AB103884"/>
    <x v="4"/>
    <n v="994269"/>
    <x v="1"/>
  </r>
  <r>
    <n v="10073"/>
    <n v="3"/>
    <d v="2013-09-28T00:00:00"/>
    <s v="DVD"/>
    <n v="102187"/>
    <s v="AB103885"/>
    <x v="16"/>
    <n v="994269"/>
    <x v="1"/>
  </r>
  <r>
    <n v="10139"/>
    <n v="8"/>
    <d v="2013-09-29T00:00:00"/>
    <s v="DVD"/>
    <n v="102188"/>
    <s v="AB103886"/>
    <x v="14"/>
    <n v="678940"/>
    <x v="1"/>
  </r>
  <r>
    <n v="10053"/>
    <n v="4"/>
    <d v="2013-09-30T00:00:00"/>
    <s v="BLU-RAY"/>
    <n v="102188"/>
    <s v="AB103887"/>
    <x v="4"/>
    <n v="678940"/>
    <x v="1"/>
  </r>
  <r>
    <n v="10235"/>
    <n v="9"/>
    <d v="2013-09-30T00:00:00"/>
    <s v="BLU-RAY"/>
    <n v="102188"/>
    <s v="AB103888"/>
    <x v="10"/>
    <n v="678940"/>
    <x v="1"/>
  </r>
  <r>
    <n v="10272"/>
    <n v="1"/>
    <d v="2013-09-29T00:00:00"/>
    <s v="BLU-RAY"/>
    <n v="102188"/>
    <s v="AB103889"/>
    <x v="4"/>
    <n v="678940"/>
    <x v="1"/>
  </r>
  <r>
    <n v="10140"/>
    <n v="6"/>
    <d v="2013-09-29T00:00:00"/>
    <s v="BLU-RAY"/>
    <n v="102189"/>
    <s v="AB103890"/>
    <x v="2"/>
    <n v="734514"/>
    <x v="1"/>
  </r>
  <r>
    <n v="10235"/>
    <n v="3"/>
    <d v="2013-09-30T00:00:00"/>
    <s v="BLU-RAY"/>
    <n v="102190"/>
    <s v="AB103891"/>
    <x v="10"/>
    <n v="911171"/>
    <x v="1"/>
  </r>
  <r>
    <n v="10203"/>
    <n v="1"/>
    <d v="2013-09-29T00:00:00"/>
    <s v="BLU-RAY"/>
    <n v="102190"/>
    <s v="AB103892"/>
    <x v="3"/>
    <n v="911171"/>
    <x v="1"/>
  </r>
  <r>
    <n v="10171"/>
    <n v="6"/>
    <d v="2013-09-29T00:00:00"/>
    <s v="DVD"/>
    <n v="102191"/>
    <s v="AB103893"/>
    <x v="7"/>
    <n v="442254"/>
    <x v="1"/>
  </r>
  <r>
    <n v="10007"/>
    <n v="10"/>
    <d v="2013-10-01T00:00:00"/>
    <s v="DVD"/>
    <n v="102191"/>
    <s v="AB103894"/>
    <x v="4"/>
    <n v="442254"/>
    <x v="1"/>
  </r>
  <r>
    <n v="10136"/>
    <n v="10"/>
    <d v="2013-09-30T00:00:00"/>
    <s v="DVD"/>
    <n v="102192"/>
    <s v="AB103895"/>
    <x v="2"/>
    <n v="270853"/>
    <x v="1"/>
  </r>
  <r>
    <n v="10109"/>
    <n v="2"/>
    <d v="2013-10-01T00:00:00"/>
    <s v="DVD"/>
    <n v="102192"/>
    <s v="AB103896"/>
    <x v="0"/>
    <n v="270853"/>
    <x v="1"/>
  </r>
  <r>
    <n v="10203"/>
    <n v="8"/>
    <d v="2013-09-29T00:00:00"/>
    <s v="DVD"/>
    <n v="102193"/>
    <s v="AB103897"/>
    <x v="3"/>
    <n v="186353"/>
    <x v="1"/>
  </r>
  <r>
    <n v="10271"/>
    <n v="6"/>
    <d v="2013-09-29T00:00:00"/>
    <s v="DVD"/>
    <n v="102194"/>
    <s v="AB103898"/>
    <x v="7"/>
    <n v="977759"/>
    <x v="1"/>
  </r>
  <r>
    <n v="10116"/>
    <n v="10"/>
    <d v="2013-09-29T00:00:00"/>
    <s v="DVD"/>
    <n v="102195"/>
    <s v="AB103899"/>
    <x v="7"/>
    <n v="665313"/>
    <x v="1"/>
  </r>
  <r>
    <n v="10057"/>
    <n v="7"/>
    <d v="2013-09-29T00:00:00"/>
    <s v="BLU-RAY"/>
    <n v="102195"/>
    <s v="AB103900"/>
    <x v="0"/>
    <n v="665313"/>
    <x v="1"/>
  </r>
  <r>
    <n v="10206"/>
    <n v="7"/>
    <d v="2013-09-29T00:00:00"/>
    <s v="BLU-RAY"/>
    <n v="102195"/>
    <s v="AB103901"/>
    <x v="9"/>
    <n v="665313"/>
    <x v="1"/>
  </r>
  <r>
    <n v="10135"/>
    <n v="7"/>
    <d v="2013-09-29T00:00:00"/>
    <s v="DVD"/>
    <n v="102196"/>
    <s v="AB103902"/>
    <x v="7"/>
    <n v="487346"/>
    <x v="1"/>
  </r>
  <r>
    <n v="10214"/>
    <n v="9"/>
    <d v="2013-10-01T00:00:00"/>
    <s v="BLU-RAY"/>
    <n v="102196"/>
    <s v="AB103903"/>
    <x v="13"/>
    <n v="487346"/>
    <x v="1"/>
  </r>
  <r>
    <n v="10115"/>
    <n v="4"/>
    <d v="2013-09-29T00:00:00"/>
    <s v="BLU-RAY"/>
    <n v="102196"/>
    <s v="AB103904"/>
    <x v="11"/>
    <n v="487346"/>
    <x v="1"/>
  </r>
  <r>
    <n v="10241"/>
    <n v="10"/>
    <d v="2013-09-29T00:00:00"/>
    <s v="DVD"/>
    <n v="102197"/>
    <s v="AB103905"/>
    <x v="0"/>
    <n v="694281"/>
    <x v="1"/>
  </r>
  <r>
    <n v="10257"/>
    <n v="8"/>
    <d v="2013-09-29T00:00:00"/>
    <s v="BLU-RAY"/>
    <n v="102197"/>
    <s v="AB103906"/>
    <x v="9"/>
    <n v="694281"/>
    <x v="1"/>
  </r>
  <r>
    <n v="10202"/>
    <n v="6"/>
    <d v="2013-09-29T00:00:00"/>
    <s v="DVD"/>
    <n v="102198"/>
    <s v="AB103907"/>
    <x v="0"/>
    <n v="918682"/>
    <x v="1"/>
  </r>
  <r>
    <n v="10187"/>
    <n v="4"/>
    <d v="2013-09-29T00:00:00"/>
    <s v="DVD"/>
    <n v="102198"/>
    <s v="AB103908"/>
    <x v="1"/>
    <n v="918682"/>
    <x v="1"/>
  </r>
  <r>
    <n v="10123"/>
    <n v="6"/>
    <d v="2013-09-29T00:00:00"/>
    <s v="DVD"/>
    <n v="102198"/>
    <s v="AB103909"/>
    <x v="9"/>
    <n v="918682"/>
    <x v="1"/>
  </r>
  <r>
    <n v="10270"/>
    <n v="2"/>
    <d v="2013-09-29T00:00:00"/>
    <s v="DVD"/>
    <n v="102199"/>
    <s v="AB103910"/>
    <x v="9"/>
    <n v="741514"/>
    <x v="1"/>
  </r>
  <r>
    <n v="10104"/>
    <n v="2"/>
    <d v="2013-09-29T00:00:00"/>
    <s v="BLU-RAY"/>
    <n v="102200"/>
    <s v="AB103911"/>
    <x v="7"/>
    <n v="230467"/>
    <x v="1"/>
  </r>
  <r>
    <n v="10014"/>
    <n v="3"/>
    <d v="2013-09-29T00:00:00"/>
    <s v="BLU-RAY"/>
    <n v="102200"/>
    <s v="AB103912"/>
    <x v="0"/>
    <n v="230467"/>
    <x v="1"/>
  </r>
  <r>
    <n v="10177"/>
    <n v="5"/>
    <d v="2013-09-29T00:00:00"/>
    <s v="BLU-RAY"/>
    <n v="102201"/>
    <s v="AB103913"/>
    <x v="9"/>
    <n v="315634"/>
    <x v="1"/>
  </r>
  <r>
    <n v="10206"/>
    <n v="9"/>
    <d v="2013-09-30T00:00:00"/>
    <s v="DVD"/>
    <n v="102202"/>
    <s v="AB103914"/>
    <x v="9"/>
    <n v="116690"/>
    <x v="1"/>
  </r>
  <r>
    <n v="10148"/>
    <n v="10"/>
    <d v="2013-09-29T00:00:00"/>
    <s v="BLU-RAY"/>
    <n v="102203"/>
    <s v="AB103915"/>
    <x v="1"/>
    <n v="475216"/>
    <x v="1"/>
  </r>
  <r>
    <n v="10204"/>
    <n v="3"/>
    <d v="2013-09-29T00:00:00"/>
    <s v="DVD"/>
    <n v="102204"/>
    <s v="AB103916"/>
    <x v="7"/>
    <n v="891738"/>
    <x v="1"/>
  </r>
  <r>
    <n v="10013"/>
    <n v="7"/>
    <d v="2013-09-29T00:00:00"/>
    <s v="BLU-RAY"/>
    <n v="102204"/>
    <s v="AB103917"/>
    <x v="11"/>
    <n v="891738"/>
    <x v="1"/>
  </r>
  <r>
    <n v="10262"/>
    <n v="3"/>
    <d v="2013-09-29T00:00:00"/>
    <s v="BLU-RAY"/>
    <n v="102204"/>
    <s v="AB103918"/>
    <x v="10"/>
    <n v="891738"/>
    <x v="1"/>
  </r>
  <r>
    <n v="10077"/>
    <n v="8"/>
    <d v="2013-09-30T00:00:00"/>
    <s v="BLU-RAY"/>
    <n v="102205"/>
    <s v="AB103919"/>
    <x v="0"/>
    <n v="390130"/>
    <x v="1"/>
  </r>
  <r>
    <n v="10224"/>
    <n v="2"/>
    <d v="2013-09-29T00:00:00"/>
    <s v="DVD"/>
    <n v="102206"/>
    <s v="AB103920"/>
    <x v="17"/>
    <n v="205878"/>
    <x v="1"/>
  </r>
  <r>
    <n v="10009"/>
    <n v="4"/>
    <d v="2013-09-30T00:00:00"/>
    <s v="BLU-RAY"/>
    <n v="102207"/>
    <s v="AB103921"/>
    <x v="0"/>
    <n v="500828"/>
    <x v="1"/>
  </r>
  <r>
    <n v="10171"/>
    <n v="2"/>
    <d v="2013-10-01T00:00:00"/>
    <s v="DVD"/>
    <n v="102207"/>
    <s v="AB103922"/>
    <x v="7"/>
    <n v="500828"/>
    <x v="1"/>
  </r>
  <r>
    <n v="10280"/>
    <n v="5"/>
    <d v="2013-09-30T00:00:00"/>
    <s v="DVD"/>
    <n v="102207"/>
    <s v="AB103923"/>
    <x v="7"/>
    <n v="500828"/>
    <x v="1"/>
  </r>
  <r>
    <n v="10265"/>
    <n v="1"/>
    <d v="2013-09-30T00:00:00"/>
    <s v="BLU-RAY"/>
    <n v="102208"/>
    <s v="AB103924"/>
    <x v="0"/>
    <n v="267632"/>
    <x v="1"/>
  </r>
  <r>
    <n v="10192"/>
    <n v="1"/>
    <d v="2013-09-30T00:00:00"/>
    <s v="DVD"/>
    <n v="102209"/>
    <s v="AB103925"/>
    <x v="7"/>
    <n v="147218"/>
    <x v="1"/>
  </r>
  <r>
    <n v="10150"/>
    <n v="10"/>
    <d v="2013-09-30T00:00:00"/>
    <s v="DVD"/>
    <n v="102209"/>
    <s v="AB103926"/>
    <x v="14"/>
    <n v="147218"/>
    <x v="1"/>
  </r>
  <r>
    <n v="10197"/>
    <n v="5"/>
    <d v="2013-09-30T00:00:00"/>
    <s v="BLU-RAY"/>
    <n v="102210"/>
    <s v="AB103927"/>
    <x v="0"/>
    <n v="744780"/>
    <x v="1"/>
  </r>
  <r>
    <n v="10029"/>
    <n v="6"/>
    <d v="2013-10-02T00:00:00"/>
    <s v="DVD"/>
    <n v="102210"/>
    <s v="AB103928"/>
    <x v="12"/>
    <n v="744780"/>
    <x v="1"/>
  </r>
  <r>
    <n v="10228"/>
    <n v="8"/>
    <d v="2013-09-30T00:00:00"/>
    <s v="DVD"/>
    <n v="102210"/>
    <s v="AB103929"/>
    <x v="7"/>
    <n v="744780"/>
    <x v="1"/>
  </r>
  <r>
    <n v="10111"/>
    <n v="10"/>
    <d v="2013-09-30T00:00:00"/>
    <s v="DVD"/>
    <n v="102211"/>
    <s v="AB103930"/>
    <x v="9"/>
    <n v="464277"/>
    <x v="1"/>
  </r>
  <r>
    <n v="10143"/>
    <n v="1"/>
    <d v="2013-10-01T00:00:00"/>
    <s v="DVD"/>
    <n v="102212"/>
    <s v="AB103931"/>
    <x v="3"/>
    <n v="524667"/>
    <x v="1"/>
  </r>
  <r>
    <n v="10024"/>
    <n v="10"/>
    <d v="2013-10-01T00:00:00"/>
    <s v="DVD"/>
    <n v="102213"/>
    <s v="AB103932"/>
    <x v="9"/>
    <n v="784218"/>
    <x v="1"/>
  </r>
  <r>
    <n v="10010"/>
    <n v="7"/>
    <d v="2013-09-30T00:00:00"/>
    <s v="BLU-RAY"/>
    <n v="102213"/>
    <s v="AB103933"/>
    <x v="3"/>
    <n v="784218"/>
    <x v="1"/>
  </r>
  <r>
    <n v="10142"/>
    <n v="1"/>
    <d v="2013-10-01T00:00:00"/>
    <s v="BLU-RAY"/>
    <n v="102214"/>
    <s v="AB103934"/>
    <x v="0"/>
    <n v="918682"/>
    <x v="1"/>
  </r>
  <r>
    <n v="10265"/>
    <n v="2"/>
    <d v="2013-09-30T00:00:00"/>
    <s v="BLU-RAY"/>
    <n v="102215"/>
    <s v="AB103935"/>
    <x v="0"/>
    <n v="373200"/>
    <x v="1"/>
  </r>
  <r>
    <n v="10181"/>
    <n v="2"/>
    <d v="2013-10-01T00:00:00"/>
    <s v="DVD"/>
    <n v="102216"/>
    <s v="AB103936"/>
    <x v="9"/>
    <n v="298508"/>
    <x v="1"/>
  </r>
  <r>
    <n v="10240"/>
    <n v="3"/>
    <d v="2013-10-01T00:00:00"/>
    <s v="DVD"/>
    <n v="102216"/>
    <s v="AB103937"/>
    <x v="0"/>
    <n v="298508"/>
    <x v="1"/>
  </r>
  <r>
    <n v="10040"/>
    <n v="4"/>
    <d v="2013-09-30T00:00:00"/>
    <s v="BLU-RAY"/>
    <n v="102216"/>
    <s v="AB103938"/>
    <x v="7"/>
    <n v="298508"/>
    <x v="1"/>
  </r>
  <r>
    <n v="10280"/>
    <n v="3"/>
    <d v="2013-10-01T00:00:00"/>
    <s v="DVD"/>
    <n v="102217"/>
    <s v="AB103939"/>
    <x v="7"/>
    <n v="225489"/>
    <x v="1"/>
  </r>
  <r>
    <n v="10262"/>
    <n v="1"/>
    <d v="2013-10-02T00:00:00"/>
    <s v="BLU-RAY"/>
    <n v="102218"/>
    <s v="AB103940"/>
    <x v="10"/>
    <n v="628132"/>
    <x v="1"/>
  </r>
  <r>
    <n v="10216"/>
    <n v="6"/>
    <d v="2013-09-30T00:00:00"/>
    <s v="DVD"/>
    <n v="102218"/>
    <s v="AB103941"/>
    <x v="4"/>
    <n v="628132"/>
    <x v="1"/>
  </r>
  <r>
    <n v="10017"/>
    <n v="8"/>
    <d v="2013-09-30T00:00:00"/>
    <s v="BLU-RAY"/>
    <n v="102219"/>
    <s v="AB103942"/>
    <x v="4"/>
    <n v="332324"/>
    <x v="1"/>
  </r>
  <r>
    <n v="10061"/>
    <n v="2"/>
    <d v="2013-09-30T00:00:00"/>
    <s v="DVD"/>
    <n v="102220"/>
    <s v="AB103943"/>
    <x v="9"/>
    <n v="143878"/>
    <x v="1"/>
  </r>
  <r>
    <n v="10131"/>
    <n v="10"/>
    <d v="2013-09-30T00:00:00"/>
    <s v="DVD"/>
    <n v="102221"/>
    <s v="AB103944"/>
    <x v="0"/>
    <n v="739669"/>
    <x v="1"/>
  </r>
  <r>
    <n v="10229"/>
    <n v="8"/>
    <d v="2013-09-30T00:00:00"/>
    <s v="BLU-RAY"/>
    <n v="102222"/>
    <s v="AB103945"/>
    <x v="6"/>
    <n v="147218"/>
    <x v="1"/>
  </r>
  <r>
    <n v="10089"/>
    <n v="1"/>
    <d v="2013-09-30T00:00:00"/>
    <s v="DVD"/>
    <n v="102222"/>
    <s v="AB103946"/>
    <x v="4"/>
    <n v="147218"/>
    <x v="1"/>
  </r>
  <r>
    <n v="10216"/>
    <n v="9"/>
    <d v="2013-10-01T00:00:00"/>
    <s v="DVD"/>
    <n v="102223"/>
    <s v="AB103947"/>
    <x v="4"/>
    <n v="951702"/>
    <x v="1"/>
  </r>
  <r>
    <n v="10030"/>
    <n v="10"/>
    <d v="2013-09-30T00:00:00"/>
    <s v="BLU-RAY"/>
    <n v="102224"/>
    <s v="AB103948"/>
    <x v="0"/>
    <n v="205878"/>
    <x v="1"/>
  </r>
  <r>
    <n v="10137"/>
    <n v="10"/>
    <d v="2013-09-30T00:00:00"/>
    <s v="BLU-RAY"/>
    <n v="102224"/>
    <s v="AB103949"/>
    <x v="3"/>
    <n v="205878"/>
    <x v="1"/>
  </r>
  <r>
    <n v="10299"/>
    <n v="6"/>
    <d v="2013-09-30T00:00:00"/>
    <s v="BLU-RAY"/>
    <n v="102225"/>
    <s v="AB103950"/>
    <x v="22"/>
    <n v="627324"/>
    <x v="1"/>
  </r>
  <r>
    <n v="10024"/>
    <n v="5"/>
    <d v="2013-09-30T00:00:00"/>
    <s v="BLU-RAY"/>
    <n v="102226"/>
    <s v="AB103951"/>
    <x v="9"/>
    <n v="166735"/>
    <x v="1"/>
  </r>
  <r>
    <n v="10130"/>
    <n v="9"/>
    <d v="2013-10-01T00:00:00"/>
    <s v="DVD"/>
    <n v="102226"/>
    <s v="AB103952"/>
    <x v="21"/>
    <n v="166735"/>
    <x v="1"/>
  </r>
  <r>
    <n v="10032"/>
    <n v="7"/>
    <d v="2013-09-30T00:00:00"/>
    <s v="DVD"/>
    <n v="102226"/>
    <s v="AB103953"/>
    <x v="4"/>
    <n v="166735"/>
    <x v="1"/>
  </r>
  <r>
    <n v="10175"/>
    <n v="8"/>
    <d v="2013-10-01T00:00:00"/>
    <s v="DVD"/>
    <n v="102226"/>
    <s v="AB103954"/>
    <x v="3"/>
    <n v="166735"/>
    <x v="1"/>
  </r>
  <r>
    <n v="10234"/>
    <n v="7"/>
    <d v="2013-09-30T00:00:00"/>
    <s v="BLU-RAY"/>
    <n v="102227"/>
    <s v="AB103955"/>
    <x v="0"/>
    <n v="147218"/>
    <x v="1"/>
  </r>
  <r>
    <n v="10199"/>
    <n v="9"/>
    <d v="2013-09-30T00:00:00"/>
    <s v="DVD"/>
    <n v="102228"/>
    <s v="AB103956"/>
    <x v="10"/>
    <n v="157695"/>
    <x v="1"/>
  </r>
  <r>
    <n v="10242"/>
    <n v="2"/>
    <d v="2013-10-02T00:00:00"/>
    <s v="DVD"/>
    <n v="102228"/>
    <s v="AB103957"/>
    <x v="3"/>
    <n v="157695"/>
    <x v="1"/>
  </r>
  <r>
    <n v="10228"/>
    <n v="8"/>
    <d v="2013-09-30T00:00:00"/>
    <s v="DVD"/>
    <n v="102229"/>
    <s v="AB103958"/>
    <x v="7"/>
    <n v="373200"/>
    <x v="1"/>
  </r>
  <r>
    <n v="10121"/>
    <n v="1"/>
    <d v="2013-10-01T00:00:00"/>
    <s v="DVD"/>
    <n v="102229"/>
    <s v="AB103959"/>
    <x v="2"/>
    <n v="373200"/>
    <x v="1"/>
  </r>
  <r>
    <n v="10147"/>
    <n v="3"/>
    <d v="2013-09-30T00:00:00"/>
    <s v="DVD"/>
    <n v="102229"/>
    <s v="AB103960"/>
    <x v="10"/>
    <n v="373200"/>
    <x v="1"/>
  </r>
  <r>
    <n v="10292"/>
    <n v="6"/>
    <d v="2013-09-30T00:00:00"/>
    <s v="BLU-RAY"/>
    <n v="102229"/>
    <s v="AB103961"/>
    <x v="15"/>
    <n v="373200"/>
    <x v="1"/>
  </r>
  <r>
    <n v="10170"/>
    <n v="7"/>
    <d v="2013-09-30T00:00:00"/>
    <s v="BLU-RAY"/>
    <n v="102230"/>
    <s v="AB103962"/>
    <x v="15"/>
    <n v="200272"/>
    <x v="1"/>
  </r>
  <r>
    <n v="10285"/>
    <n v="2"/>
    <d v="2013-09-30T00:00:00"/>
    <s v="DVD"/>
    <n v="102230"/>
    <s v="AB103963"/>
    <x v="20"/>
    <n v="200272"/>
    <x v="1"/>
  </r>
  <r>
    <n v="10201"/>
    <n v="1"/>
    <d v="2013-10-03T00:00:00"/>
    <s v="BLU-RAY"/>
    <n v="102231"/>
    <s v="AB103964"/>
    <x v="8"/>
    <n v="373200"/>
    <x v="1"/>
  </r>
  <r>
    <n v="10275"/>
    <n v="7"/>
    <d v="2013-10-01T00:00:00"/>
    <s v="DVD"/>
    <n v="102231"/>
    <s v="AB103965"/>
    <x v="10"/>
    <n v="373200"/>
    <x v="1"/>
  </r>
  <r>
    <n v="10058"/>
    <n v="10"/>
    <d v="2013-10-01T00:00:00"/>
    <s v="DVD"/>
    <n v="102232"/>
    <s v="AB103966"/>
    <x v="4"/>
    <n v="242720"/>
    <x v="1"/>
  </r>
  <r>
    <n v="10150"/>
    <n v="10"/>
    <d v="2013-10-01T00:00:00"/>
    <s v="DVD"/>
    <n v="102233"/>
    <s v="AB103967"/>
    <x v="14"/>
    <n v="550824"/>
    <x v="1"/>
  </r>
  <r>
    <n v="10012"/>
    <n v="10"/>
    <d v="2013-10-01T00:00:00"/>
    <s v="BLU-RAY"/>
    <n v="102233"/>
    <s v="AB103968"/>
    <x v="3"/>
    <n v="550824"/>
    <x v="1"/>
  </r>
  <r>
    <n v="10191"/>
    <n v="8"/>
    <d v="2013-10-02T00:00:00"/>
    <s v="DVD"/>
    <n v="102234"/>
    <s v="AB103969"/>
    <x v="7"/>
    <n v="442691"/>
    <x v="1"/>
  </r>
  <r>
    <n v="10079"/>
    <n v="5"/>
    <d v="2013-10-02T00:00:00"/>
    <s v="DVD"/>
    <n v="102235"/>
    <s v="AB103970"/>
    <x v="0"/>
    <n v="327750"/>
    <x v="1"/>
  </r>
  <r>
    <n v="10154"/>
    <n v="1"/>
    <d v="2013-10-01T00:00:00"/>
    <s v="DVD"/>
    <n v="102236"/>
    <s v="AB103971"/>
    <x v="5"/>
    <n v="659695"/>
    <x v="1"/>
  </r>
  <r>
    <n v="10275"/>
    <n v="5"/>
    <d v="2013-10-03T00:00:00"/>
    <s v="BLU-RAY"/>
    <n v="102236"/>
    <s v="AB103972"/>
    <x v="10"/>
    <n v="659695"/>
    <x v="1"/>
  </r>
  <r>
    <n v="10249"/>
    <n v="10"/>
    <d v="2013-10-01T00:00:00"/>
    <s v="DVD"/>
    <n v="102236"/>
    <s v="AB103973"/>
    <x v="5"/>
    <n v="659695"/>
    <x v="1"/>
  </r>
  <r>
    <n v="10124"/>
    <n v="5"/>
    <d v="2013-10-03T00:00:00"/>
    <s v="DVD"/>
    <n v="102237"/>
    <s v="AB103974"/>
    <x v="1"/>
    <n v="941876"/>
    <x v="1"/>
  </r>
  <r>
    <n v="10007"/>
    <n v="5"/>
    <d v="2013-10-01T00:00:00"/>
    <s v="DVD"/>
    <n v="102237"/>
    <s v="AB103975"/>
    <x v="4"/>
    <n v="941876"/>
    <x v="1"/>
  </r>
  <r>
    <n v="10039"/>
    <n v="2"/>
    <d v="2013-10-01T00:00:00"/>
    <s v="BLU-RAY"/>
    <n v="102237"/>
    <s v="AB103976"/>
    <x v="11"/>
    <n v="941876"/>
    <x v="1"/>
  </r>
  <r>
    <n v="10277"/>
    <n v="9"/>
    <d v="2013-10-01T00:00:00"/>
    <s v="BLU-RAY"/>
    <n v="102238"/>
    <s v="AB103977"/>
    <x v="7"/>
    <n v="994269"/>
    <x v="1"/>
  </r>
  <r>
    <n v="10068"/>
    <n v="7"/>
    <d v="2013-10-01T00:00:00"/>
    <s v="DVD"/>
    <n v="102238"/>
    <s v="AB103978"/>
    <x v="0"/>
    <n v="994269"/>
    <x v="1"/>
  </r>
  <r>
    <n v="10072"/>
    <n v="1"/>
    <d v="2013-10-01T00:00:00"/>
    <s v="BLU-RAY"/>
    <n v="102239"/>
    <s v="AB103979"/>
    <x v="1"/>
    <n v="568217"/>
    <x v="1"/>
  </r>
  <r>
    <n v="10056"/>
    <n v="7"/>
    <d v="2013-10-01T00:00:00"/>
    <s v="BLU-RAY"/>
    <n v="102240"/>
    <s v="AB103980"/>
    <x v="8"/>
    <n v="941876"/>
    <x v="1"/>
  </r>
  <r>
    <n v="10159"/>
    <n v="4"/>
    <d v="2013-10-02T00:00:00"/>
    <s v="BLU-RAY"/>
    <n v="102240"/>
    <s v="AB103981"/>
    <x v="10"/>
    <n v="941876"/>
    <x v="1"/>
  </r>
  <r>
    <n v="10166"/>
    <n v="6"/>
    <d v="2013-10-02T00:00:00"/>
    <s v="BLU-RAY"/>
    <n v="102241"/>
    <s v="AB103982"/>
    <x v="9"/>
    <n v="227456"/>
    <x v="1"/>
  </r>
  <r>
    <n v="10097"/>
    <n v="1"/>
    <d v="2013-10-01T00:00:00"/>
    <s v="BLU-RAY"/>
    <n v="102242"/>
    <s v="AB103983"/>
    <x v="8"/>
    <n v="421074"/>
    <x v="1"/>
  </r>
  <r>
    <n v="10051"/>
    <n v="7"/>
    <d v="2013-10-01T00:00:00"/>
    <s v="BLU-RAY"/>
    <n v="102242"/>
    <s v="AB103984"/>
    <x v="1"/>
    <n v="421074"/>
    <x v="1"/>
  </r>
  <r>
    <n v="10260"/>
    <n v="1"/>
    <d v="2013-10-01T00:00:00"/>
    <s v="DVD"/>
    <n v="102243"/>
    <s v="AB103985"/>
    <x v="4"/>
    <n v="327750"/>
    <x v="1"/>
  </r>
  <r>
    <n v="10131"/>
    <n v="2"/>
    <d v="2013-10-01T00:00:00"/>
    <s v="DVD"/>
    <n v="102243"/>
    <s v="AB103986"/>
    <x v="0"/>
    <n v="327750"/>
    <x v="1"/>
  </r>
  <r>
    <n v="10247"/>
    <n v="7"/>
    <d v="2013-10-01T00:00:00"/>
    <s v="DVD"/>
    <n v="102244"/>
    <s v="AB103987"/>
    <x v="9"/>
    <n v="806545"/>
    <x v="1"/>
  </r>
  <r>
    <n v="10164"/>
    <n v="10"/>
    <d v="2013-10-02T00:00:00"/>
    <s v="DVD"/>
    <n v="102244"/>
    <s v="AB103988"/>
    <x v="2"/>
    <n v="806545"/>
    <x v="1"/>
  </r>
  <r>
    <n v="10097"/>
    <n v="9"/>
    <d v="2013-10-01T00:00:00"/>
    <s v="BLU-RAY"/>
    <n v="102245"/>
    <s v="AB103989"/>
    <x v="8"/>
    <n v="191050"/>
    <x v="1"/>
  </r>
  <r>
    <n v="10194"/>
    <n v="4"/>
    <d v="2013-10-01T00:00:00"/>
    <s v="DVD"/>
    <n v="102246"/>
    <s v="AB103990"/>
    <x v="16"/>
    <n v="730305"/>
    <x v="1"/>
  </r>
  <r>
    <n v="10265"/>
    <n v="5"/>
    <d v="2013-10-01T00:00:00"/>
    <s v="DVD"/>
    <n v="102247"/>
    <s v="AB103991"/>
    <x v="0"/>
    <n v="730305"/>
    <x v="1"/>
  </r>
  <r>
    <n v="10057"/>
    <n v="3"/>
    <d v="2013-10-02T00:00:00"/>
    <s v="BLU-RAY"/>
    <n v="102247"/>
    <s v="AB103992"/>
    <x v="0"/>
    <n v="730305"/>
    <x v="1"/>
  </r>
  <r>
    <n v="10107"/>
    <n v="10"/>
    <d v="2013-10-02T00:00:00"/>
    <s v="BLU-RAY"/>
    <n v="102248"/>
    <s v="AB103993"/>
    <x v="7"/>
    <n v="235720"/>
    <x v="1"/>
  </r>
  <r>
    <n v="10097"/>
    <n v="3"/>
    <d v="2013-10-01T00:00:00"/>
    <s v="BLU-RAY"/>
    <n v="102249"/>
    <s v="AB103994"/>
    <x v="8"/>
    <n v="353846"/>
    <x v="1"/>
  </r>
  <r>
    <n v="10117"/>
    <n v="1"/>
    <d v="2013-10-01T00:00:00"/>
    <s v="DVD"/>
    <n v="102249"/>
    <s v="AB103995"/>
    <x v="4"/>
    <n v="353846"/>
    <x v="1"/>
  </r>
  <r>
    <n v="10265"/>
    <n v="5"/>
    <d v="2013-10-01T00:00:00"/>
    <s v="DVD"/>
    <n v="102249"/>
    <s v="AB103996"/>
    <x v="0"/>
    <n v="353846"/>
    <x v="1"/>
  </r>
  <r>
    <n v="10119"/>
    <n v="9"/>
    <d v="2013-10-01T00:00:00"/>
    <s v="DVD"/>
    <n v="102250"/>
    <s v="AB103997"/>
    <x v="7"/>
    <n v="671101"/>
    <x v="1"/>
  </r>
  <r>
    <n v="10165"/>
    <n v="8"/>
    <d v="2013-10-01T00:00:00"/>
    <s v="DVD"/>
    <n v="102250"/>
    <s v="AB103998"/>
    <x v="2"/>
    <n v="671101"/>
    <x v="1"/>
  </r>
  <r>
    <n v="10091"/>
    <n v="7"/>
    <d v="2013-10-01T00:00:00"/>
    <s v="BLU-RAY"/>
    <n v="102251"/>
    <s v="AB103999"/>
    <x v="0"/>
    <n v="866556"/>
    <x v="1"/>
  </r>
  <r>
    <n v="10019"/>
    <n v="10"/>
    <d v="2013-10-01T00:00:00"/>
    <s v="BLU-RAY"/>
    <n v="102251"/>
    <s v="AB104000"/>
    <x v="9"/>
    <n v="866556"/>
    <x v="1"/>
  </r>
  <r>
    <n v="10225"/>
    <n v="5"/>
    <d v="2013-10-01T00:00:00"/>
    <s v="BLU-RAY"/>
    <n v="102251"/>
    <s v="AB104001"/>
    <x v="0"/>
    <n v="866556"/>
    <x v="1"/>
  </r>
  <r>
    <n v="10135"/>
    <n v="2"/>
    <d v="2013-10-02T00:00:00"/>
    <s v="DVD"/>
    <n v="102252"/>
    <s v="AB104002"/>
    <x v="7"/>
    <n v="226909"/>
    <x v="1"/>
  </r>
  <r>
    <n v="10181"/>
    <n v="4"/>
    <d v="2013-10-02T00:00:00"/>
    <s v="DVD"/>
    <n v="102253"/>
    <s v="AB104003"/>
    <x v="9"/>
    <n v="739393"/>
    <x v="1"/>
  </r>
  <r>
    <n v="10246"/>
    <n v="9"/>
    <d v="2013-10-03T00:00:00"/>
    <s v="DVD"/>
    <n v="102253"/>
    <s v="AB104004"/>
    <x v="2"/>
    <n v="739393"/>
    <x v="1"/>
  </r>
  <r>
    <n v="10005"/>
    <n v="4"/>
    <d v="2013-10-02T00:00:00"/>
    <s v="BLU-RAY"/>
    <n v="102253"/>
    <s v="AB104005"/>
    <x v="3"/>
    <n v="739393"/>
    <x v="1"/>
  </r>
  <r>
    <n v="10068"/>
    <n v="6"/>
    <d v="2013-10-02T00:00:00"/>
    <s v="DVD"/>
    <n v="102254"/>
    <s v="AB104006"/>
    <x v="0"/>
    <n v="448739"/>
    <x v="1"/>
  </r>
  <r>
    <n v="10004"/>
    <n v="6"/>
    <d v="2013-10-02T00:00:00"/>
    <s v="DVD"/>
    <n v="102254"/>
    <s v="AB104007"/>
    <x v="1"/>
    <n v="448739"/>
    <x v="1"/>
  </r>
  <r>
    <n v="10215"/>
    <n v="4"/>
    <d v="2013-10-02T00:00:00"/>
    <s v="DVD"/>
    <n v="102254"/>
    <s v="AB104008"/>
    <x v="1"/>
    <n v="448739"/>
    <x v="1"/>
  </r>
  <r>
    <n v="10178"/>
    <n v="10"/>
    <d v="2013-10-02T00:00:00"/>
    <s v="BLU-RAY"/>
    <n v="102254"/>
    <s v="AB104009"/>
    <x v="0"/>
    <n v="448739"/>
    <x v="1"/>
  </r>
  <r>
    <n v="10178"/>
    <n v="5"/>
    <d v="2013-10-02T00:00:00"/>
    <s v="DVD"/>
    <n v="102254"/>
    <s v="AB104010"/>
    <x v="0"/>
    <n v="448739"/>
    <x v="1"/>
  </r>
  <r>
    <n v="10113"/>
    <n v="9"/>
    <d v="2013-10-02T00:00:00"/>
    <s v="DVD"/>
    <n v="102255"/>
    <s v="AB104011"/>
    <x v="10"/>
    <n v="657495"/>
    <x v="1"/>
  </r>
  <r>
    <n v="10238"/>
    <n v="2"/>
    <d v="2013-10-02T00:00:00"/>
    <s v="DVD"/>
    <n v="102256"/>
    <s v="AB104012"/>
    <x v="0"/>
    <n v="915766"/>
    <x v="1"/>
  </r>
  <r>
    <n v="10036"/>
    <n v="8"/>
    <d v="2013-10-02T00:00:00"/>
    <s v="DVD"/>
    <n v="102257"/>
    <s v="AB104013"/>
    <x v="7"/>
    <n v="468692"/>
    <x v="1"/>
  </r>
  <r>
    <n v="10034"/>
    <n v="5"/>
    <d v="2013-10-02T00:00:00"/>
    <s v="DVD"/>
    <n v="102257"/>
    <s v="AB104014"/>
    <x v="10"/>
    <n v="468692"/>
    <x v="1"/>
  </r>
  <r>
    <n v="10103"/>
    <n v="3"/>
    <d v="2013-10-02T00:00:00"/>
    <s v="DVD"/>
    <n v="102258"/>
    <s v="AB104015"/>
    <x v="9"/>
    <n v="345748"/>
    <x v="1"/>
  </r>
  <r>
    <n v="10188"/>
    <n v="9"/>
    <d v="2013-10-02T00:00:00"/>
    <s v="BLU-RAY"/>
    <n v="102259"/>
    <s v="AB104016"/>
    <x v="1"/>
    <n v="276549"/>
    <x v="1"/>
  </r>
  <r>
    <n v="10171"/>
    <n v="8"/>
    <d v="2013-10-02T00:00:00"/>
    <s v="DVD"/>
    <n v="102260"/>
    <s v="AB104017"/>
    <x v="7"/>
    <n v="897980"/>
    <x v="1"/>
  </r>
  <r>
    <n v="10208"/>
    <n v="7"/>
    <d v="2013-10-02T00:00:00"/>
    <s v="DVD"/>
    <n v="102260"/>
    <s v="AB104018"/>
    <x v="0"/>
    <n v="897980"/>
    <x v="1"/>
  </r>
  <r>
    <n v="10131"/>
    <n v="10"/>
    <d v="2013-10-02T00:00:00"/>
    <s v="BLU-RAY"/>
    <n v="102261"/>
    <s v="AB104019"/>
    <x v="0"/>
    <n v="728908"/>
    <x v="1"/>
  </r>
  <r>
    <n v="10143"/>
    <n v="7"/>
    <d v="2013-10-02T00:00:00"/>
    <s v="BLU-RAY"/>
    <n v="102262"/>
    <s v="AB104020"/>
    <x v="3"/>
    <n v="253106"/>
    <x v="1"/>
  </r>
  <r>
    <n v="10106"/>
    <n v="6"/>
    <d v="2013-10-03T00:00:00"/>
    <s v="BLU-RAY"/>
    <n v="102263"/>
    <s v="AB104021"/>
    <x v="9"/>
    <n v="233813"/>
    <x v="1"/>
  </r>
  <r>
    <n v="10066"/>
    <n v="6"/>
    <d v="2013-10-02T00:00:00"/>
    <s v="DVD"/>
    <n v="102263"/>
    <s v="AB104022"/>
    <x v="3"/>
    <n v="233813"/>
    <x v="1"/>
  </r>
  <r>
    <n v="10044"/>
    <n v="3"/>
    <d v="2013-10-02T00:00:00"/>
    <s v="DVD"/>
    <n v="102264"/>
    <s v="AB104023"/>
    <x v="3"/>
    <n v="262638"/>
    <x v="1"/>
  </r>
  <r>
    <n v="10001"/>
    <n v="10"/>
    <d v="2013-10-02T00:00:00"/>
    <s v="DVD"/>
    <n v="102264"/>
    <s v="AB104024"/>
    <x v="14"/>
    <n v="262638"/>
    <x v="1"/>
  </r>
  <r>
    <n v="10130"/>
    <n v="3"/>
    <d v="2013-10-02T00:00:00"/>
    <s v="DVD"/>
    <n v="102264"/>
    <s v="AB104025"/>
    <x v="21"/>
    <n v="262638"/>
    <x v="1"/>
  </r>
  <r>
    <n v="10179"/>
    <n v="9"/>
    <d v="2013-10-02T00:00:00"/>
    <s v="BLU-RAY"/>
    <n v="102265"/>
    <s v="AB104026"/>
    <x v="0"/>
    <n v="842028"/>
    <x v="1"/>
  </r>
  <r>
    <n v="10082"/>
    <n v="3"/>
    <d v="2013-10-03T00:00:00"/>
    <s v="DVD"/>
    <n v="102265"/>
    <s v="AB104027"/>
    <x v="3"/>
    <n v="842028"/>
    <x v="1"/>
  </r>
  <r>
    <n v="10269"/>
    <n v="6"/>
    <d v="2013-10-03T00:00:00"/>
    <s v="BLU-RAY"/>
    <n v="102266"/>
    <s v="AB104028"/>
    <x v="3"/>
    <n v="104939"/>
    <x v="1"/>
  </r>
  <r>
    <n v="10055"/>
    <n v="10"/>
    <d v="2013-10-04T00:00:00"/>
    <s v="BLU-RAY"/>
    <n v="102266"/>
    <s v="AB104029"/>
    <x v="15"/>
    <n v="104939"/>
    <x v="1"/>
  </r>
  <r>
    <n v="10279"/>
    <n v="3"/>
    <d v="2013-10-02T00:00:00"/>
    <s v="BLU-RAY"/>
    <n v="102267"/>
    <s v="AB104030"/>
    <x v="8"/>
    <n v="404678"/>
    <x v="1"/>
  </r>
  <r>
    <n v="10274"/>
    <n v="1"/>
    <d v="2013-10-03T00:00:00"/>
    <s v="BLU-RAY"/>
    <n v="102268"/>
    <s v="AB104031"/>
    <x v="9"/>
    <n v="249779"/>
    <x v="1"/>
  </r>
  <r>
    <n v="10110"/>
    <n v="10"/>
    <d v="2013-10-02T00:00:00"/>
    <s v="DVD"/>
    <n v="102269"/>
    <s v="AB104032"/>
    <x v="0"/>
    <n v="370366"/>
    <x v="1"/>
  </r>
  <r>
    <n v="10147"/>
    <n v="3"/>
    <d v="2013-10-03T00:00:00"/>
    <s v="DVD"/>
    <n v="102269"/>
    <s v="AB104033"/>
    <x v="10"/>
    <n v="370366"/>
    <x v="1"/>
  </r>
  <r>
    <n v="10266"/>
    <n v="1"/>
    <d v="2013-10-03T00:00:00"/>
    <s v="BLU-RAY"/>
    <n v="102270"/>
    <s v="AB104034"/>
    <x v="4"/>
    <n v="493552"/>
    <x v="1"/>
  </r>
  <r>
    <n v="10296"/>
    <n v="7"/>
    <d v="2013-10-02T00:00:00"/>
    <s v="DVD"/>
    <n v="102271"/>
    <s v="AB104035"/>
    <x v="21"/>
    <n v="729740"/>
    <x v="1"/>
  </r>
  <r>
    <n v="10166"/>
    <n v="9"/>
    <d v="2013-10-02T00:00:00"/>
    <s v="BLU-RAY"/>
    <n v="102272"/>
    <s v="AB104036"/>
    <x v="9"/>
    <n v="826590"/>
    <x v="1"/>
  </r>
  <r>
    <n v="10232"/>
    <n v="7"/>
    <d v="2013-10-02T00:00:00"/>
    <s v="DVD"/>
    <n v="102274"/>
    <s v="AB104038"/>
    <x v="1"/>
    <n v="168607"/>
    <x v="1"/>
  </r>
  <r>
    <n v="10088"/>
    <n v="4"/>
    <d v="2013-10-02T00:00:00"/>
    <s v="BLU-RAY"/>
    <n v="102275"/>
    <s v="AB104039"/>
    <x v="0"/>
    <n v="813719"/>
    <x v="1"/>
  </r>
  <r>
    <n v="10266"/>
    <n v="5"/>
    <d v="2013-10-02T00:00:00"/>
    <s v="DVD"/>
    <n v="102275"/>
    <s v="AB104040"/>
    <x v="4"/>
    <n v="813719"/>
    <x v="1"/>
  </r>
  <r>
    <n v="10035"/>
    <n v="10"/>
    <d v="2013-10-02T00:00:00"/>
    <s v="DVD"/>
    <n v="102276"/>
    <s v="AB104041"/>
    <x v="4"/>
    <n v="327750"/>
    <x v="1"/>
  </r>
  <r>
    <n v="10264"/>
    <n v="1"/>
    <d v="2013-10-02T00:00:00"/>
    <s v="BLU-RAY"/>
    <n v="102277"/>
    <s v="AB104042"/>
    <x v="2"/>
    <n v="175871"/>
    <x v="1"/>
  </r>
  <r>
    <n v="10031"/>
    <n v="4"/>
    <d v="2013-10-03T00:00:00"/>
    <s v="DVD"/>
    <n v="102277"/>
    <s v="AB104043"/>
    <x v="0"/>
    <n v="175871"/>
    <x v="1"/>
  </r>
  <r>
    <n v="10279"/>
    <n v="5"/>
    <d v="2013-10-03T00:00:00"/>
    <s v="BLU-RAY"/>
    <n v="102278"/>
    <s v="AB104044"/>
    <x v="8"/>
    <n v="427391"/>
    <x v="1"/>
  </r>
  <r>
    <n v="10120"/>
    <n v="7"/>
    <d v="2013-10-02T00:00:00"/>
    <s v="BLU-RAY"/>
    <n v="102278"/>
    <s v="AB104045"/>
    <x v="14"/>
    <n v="427391"/>
    <x v="1"/>
  </r>
  <r>
    <n v="10177"/>
    <n v="8"/>
    <d v="2013-10-08T00:00:00"/>
    <s v="BLU-RAY"/>
    <n v="102280"/>
    <s v="AB104048"/>
    <x v="9"/>
    <n v="590517"/>
    <x v="1"/>
  </r>
  <r>
    <n v="10288"/>
    <n v="6"/>
    <d v="2013-10-03T00:00:00"/>
    <s v="DVD"/>
    <n v="102280"/>
    <s v="AB104050"/>
    <x v="12"/>
    <n v="590517"/>
    <x v="1"/>
  </r>
  <r>
    <n v="10299"/>
    <n v="5"/>
    <d v="2013-10-03T00:00:00"/>
    <s v="DVD"/>
    <n v="102281"/>
    <s v="AB104053"/>
    <x v="22"/>
    <n v="396166"/>
    <x v="1"/>
  </r>
  <r>
    <n v="10022"/>
    <n v="7"/>
    <d v="2013-10-10T00:00:00"/>
    <s v="DVD"/>
    <n v="102282"/>
    <s v="AB104055"/>
    <x v="7"/>
    <n v="296886"/>
    <x v="1"/>
  </r>
  <r>
    <n v="10132"/>
    <n v="3"/>
    <d v="2013-10-04T00:00:00"/>
    <s v="DVD"/>
    <n v="102284"/>
    <s v="AB104058"/>
    <x v="10"/>
    <n v="407605"/>
    <x v="1"/>
  </r>
  <r>
    <n v="10199"/>
    <n v="3"/>
    <d v="2013-10-07T00:00:00"/>
    <s v="DVD"/>
    <n v="102287"/>
    <s v="AB104062"/>
    <x v="10"/>
    <n v="756928"/>
    <x v="1"/>
  </r>
  <r>
    <n v="10074"/>
    <n v="1"/>
    <d v="2013-10-04T00:00:00"/>
    <s v="DVD"/>
    <n v="102288"/>
    <s v="AB104064"/>
    <x v="11"/>
    <n v="332324"/>
    <x v="1"/>
  </r>
  <r>
    <n v="10212"/>
    <n v="1"/>
    <d v="2013-10-08T00:00:00"/>
    <s v="DVD"/>
    <n v="102289"/>
    <s v="AB104065"/>
    <x v="10"/>
    <n v="270853"/>
    <x v="1"/>
  </r>
  <r>
    <n v="10194"/>
    <n v="4"/>
    <d v="2013-10-04T00:00:00"/>
    <s v="DVD"/>
    <n v="102289"/>
    <s v="AB104066"/>
    <x v="16"/>
    <n v="270853"/>
    <x v="1"/>
  </r>
  <r>
    <n v="10128"/>
    <n v="3"/>
    <d v="2013-10-06T00:00:00"/>
    <s v="DVD"/>
    <n v="102289"/>
    <s v="AB104067"/>
    <x v="6"/>
    <n v="270853"/>
    <x v="1"/>
  </r>
  <r>
    <n v="10261"/>
    <n v="5"/>
    <d v="2013-10-04T00:00:00"/>
    <s v="DVD"/>
    <n v="102290"/>
    <s v="AB104068"/>
    <x v="9"/>
    <n v="566192"/>
    <x v="1"/>
  </r>
  <r>
    <n v="10349"/>
    <n v="3"/>
    <d v="2013-10-04T00:00:00"/>
    <s v="DVD"/>
    <n v="102292"/>
    <s v="AB104073"/>
    <x v="8"/>
    <n v="226909"/>
    <x v="1"/>
  </r>
  <r>
    <n v="10074"/>
    <n v="3"/>
    <d v="2013-10-06T00:00:00"/>
    <s v="DVD"/>
    <n v="102293"/>
    <s v="AB104074"/>
    <x v="11"/>
    <n v="189953"/>
    <x v="1"/>
  </r>
  <r>
    <n v="10252"/>
    <n v="4"/>
    <d v="2013-10-05T00:00:00"/>
    <s v="DVD"/>
    <n v="102293"/>
    <s v="AB104075"/>
    <x v="0"/>
    <n v="189953"/>
    <x v="1"/>
  </r>
  <r>
    <n v="10237"/>
    <n v="9"/>
    <d v="2013-10-04T00:00:00"/>
    <s v="DVD"/>
    <n v="102293"/>
    <s v="AB104076"/>
    <x v="0"/>
    <n v="189953"/>
    <x v="1"/>
  </r>
  <r>
    <n v="10186"/>
    <n v="3"/>
    <d v="2013-10-07T00:00:00"/>
    <s v="DVD"/>
    <n v="102294"/>
    <s v="AB104078"/>
    <x v="10"/>
    <n v="324435"/>
    <x v="1"/>
  </r>
  <r>
    <n v="10291"/>
    <n v="8"/>
    <d v="2013-10-05T00:00:00"/>
    <s v="BLU-RAY"/>
    <n v="102295"/>
    <s v="AB104080"/>
    <x v="0"/>
    <n v="537796"/>
    <x v="1"/>
  </r>
  <r>
    <n v="10271"/>
    <n v="9"/>
    <d v="2013-10-07T00:00:00"/>
    <s v="DVD"/>
    <n v="102295"/>
    <s v="AB104081"/>
    <x v="7"/>
    <n v="537796"/>
    <x v="1"/>
  </r>
  <r>
    <n v="10074"/>
    <n v="9"/>
    <d v="2013-10-05T00:00:00"/>
    <s v="DVD"/>
    <n v="102296"/>
    <s v="AB104082"/>
    <x v="11"/>
    <n v="418506"/>
    <x v="1"/>
  </r>
  <r>
    <n v="10166"/>
    <n v="5"/>
    <d v="2013-10-08T00:00:00"/>
    <s v="DVD"/>
    <n v="102296"/>
    <s v="AB104083"/>
    <x v="9"/>
    <n v="418506"/>
    <x v="1"/>
  </r>
  <r>
    <n v="10166"/>
    <n v="4"/>
    <d v="2013-10-05T00:00:00"/>
    <s v="DVD"/>
    <n v="102297"/>
    <s v="AB104087"/>
    <x v="9"/>
    <n v="701211"/>
    <x v="1"/>
  </r>
  <r>
    <n v="10270"/>
    <n v="8"/>
    <d v="2013-10-08T00:00:00"/>
    <s v="BLU-RAY"/>
    <n v="102302"/>
    <s v="AB104093"/>
    <x v="9"/>
    <n v="110363"/>
    <x v="1"/>
  </r>
  <r>
    <n v="10277"/>
    <n v="6"/>
    <d v="2013-10-10T00:00:00"/>
    <s v="DVD"/>
    <n v="102303"/>
    <s v="AB104094"/>
    <x v="7"/>
    <n v="592528"/>
    <x v="1"/>
  </r>
  <r>
    <n v="10238"/>
    <n v="9"/>
    <d v="2013-10-08T00:00:00"/>
    <s v="BLU-RAY"/>
    <n v="102304"/>
    <s v="AB104098"/>
    <x v="0"/>
    <n v="274541"/>
    <x v="1"/>
  </r>
  <r>
    <n v="10297"/>
    <n v="10"/>
    <d v="2013-10-07T00:00:00"/>
    <s v="BLU-RAY"/>
    <n v="102306"/>
    <s v="AB104100"/>
    <x v="14"/>
    <n v="111486"/>
    <x v="1"/>
  </r>
  <r>
    <n v="10155"/>
    <n v="1"/>
    <d v="2013-10-09T00:00:00"/>
    <s v="DVD"/>
    <n v="102307"/>
    <s v="AB104102"/>
    <x v="9"/>
    <n v="651462"/>
    <x v="1"/>
  </r>
  <r>
    <n v="10282"/>
    <n v="8"/>
    <d v="2013-10-07T00:00:00"/>
    <s v="DVD"/>
    <n v="102307"/>
    <s v="AB104104"/>
    <x v="15"/>
    <n v="651462"/>
    <x v="1"/>
  </r>
  <r>
    <n v="10080"/>
    <n v="3"/>
    <d v="2013-10-09T00:00:00"/>
    <s v="DVD"/>
    <n v="102311"/>
    <s v="AB104108"/>
    <x v="3"/>
    <n v="161175"/>
    <x v="1"/>
  </r>
  <r>
    <n v="10185"/>
    <n v="2"/>
    <d v="2013-10-08T00:00:00"/>
    <s v="DVD"/>
    <n v="102312"/>
    <s v="AB104110"/>
    <x v="0"/>
    <n v="765237"/>
    <x v="1"/>
  </r>
  <r>
    <n v="10203"/>
    <n v="9"/>
    <d v="2013-10-12T00:00:00"/>
    <s v="BLU-RAY"/>
    <n v="102313"/>
    <s v="AB104113"/>
    <x v="3"/>
    <n v="958321"/>
    <x v="1"/>
  </r>
  <r>
    <n v="10038"/>
    <n v="9"/>
    <d v="2013-10-08T00:00:00"/>
    <s v="DVD"/>
    <n v="102318"/>
    <s v="AB104121"/>
    <x v="1"/>
    <n v="325263"/>
    <x v="1"/>
  </r>
  <r>
    <n v="10236"/>
    <n v="10"/>
    <d v="2013-10-08T00:00:00"/>
    <s v="DVD"/>
    <n v="102318"/>
    <s v="AB104122"/>
    <x v="10"/>
    <n v="325263"/>
    <x v="1"/>
  </r>
  <r>
    <n v="10289"/>
    <n v="8"/>
    <d v="2013-10-08T00:00:00"/>
    <s v="DVD"/>
    <n v="102318"/>
    <s v="AB104123"/>
    <x v="11"/>
    <n v="325263"/>
    <x v="1"/>
  </r>
  <r>
    <n v="10009"/>
    <n v="3"/>
    <d v="2013-10-08T00:00:00"/>
    <s v="BLU-RAY"/>
    <n v="102321"/>
    <s v="AB104126"/>
    <x v="0"/>
    <n v="551950"/>
    <x v="1"/>
  </r>
  <r>
    <n v="10101"/>
    <n v="8"/>
    <d v="2013-10-08T00:00:00"/>
    <s v="BLU-RAY"/>
    <n v="102322"/>
    <s v="AB104127"/>
    <x v="4"/>
    <n v="105549"/>
    <x v="1"/>
  </r>
  <r>
    <n v="10231"/>
    <n v="10"/>
    <d v="2013-10-12T00:00:00"/>
    <s v="BLU-RAY"/>
    <n v="102322"/>
    <s v="AB104128"/>
    <x v="7"/>
    <n v="105549"/>
    <x v="1"/>
  </r>
  <r>
    <n v="10235"/>
    <n v="7"/>
    <d v="2013-10-10T00:00:00"/>
    <s v="BLU-RAY"/>
    <n v="102324"/>
    <s v="AB104130"/>
    <x v="10"/>
    <n v="157388"/>
    <x v="1"/>
  </r>
  <r>
    <n v="10236"/>
    <n v="9"/>
    <d v="2013-10-09T00:00:00"/>
    <s v="DVD"/>
    <n v="102324"/>
    <s v="AB104132"/>
    <x v="10"/>
    <n v="157388"/>
    <x v="1"/>
  </r>
  <r>
    <n v="10276"/>
    <n v="7"/>
    <d v="2013-10-09T00:00:00"/>
    <s v="DVD"/>
    <n v="102324"/>
    <s v="AB104133"/>
    <x v="16"/>
    <n v="157388"/>
    <x v="1"/>
  </r>
  <r>
    <n v="10148"/>
    <n v="9"/>
    <d v="2013-10-12T00:00:00"/>
    <s v="DVD"/>
    <n v="102326"/>
    <s v="AB104136"/>
    <x v="1"/>
    <n v="116934"/>
    <x v="1"/>
  </r>
  <r>
    <n v="10125"/>
    <n v="7"/>
    <d v="2013-10-09T00:00:00"/>
    <s v="DVD"/>
    <n v="102327"/>
    <s v="AB104137"/>
    <x v="9"/>
    <n v="734514"/>
    <x v="1"/>
  </r>
  <r>
    <n v="10207"/>
    <n v="3"/>
    <d v="2013-10-10T00:00:00"/>
    <s v="DVD"/>
    <n v="102328"/>
    <s v="AB104138"/>
    <x v="1"/>
    <n v="520196"/>
    <x v="1"/>
  </r>
  <r>
    <n v="10288"/>
    <n v="10"/>
    <d v="2013-10-11T00:00:00"/>
    <s v="DVD"/>
    <n v="102328"/>
    <s v="AB104140"/>
    <x v="12"/>
    <n v="520196"/>
    <x v="1"/>
  </r>
  <r>
    <n v="10152"/>
    <n v="5"/>
    <d v="2013-10-11T00:00:00"/>
    <s v="DVD"/>
    <n v="102330"/>
    <s v="AB104144"/>
    <x v="16"/>
    <n v="884729"/>
    <x v="1"/>
  </r>
  <r>
    <n v="10288"/>
    <n v="9"/>
    <d v="2013-10-10T00:00:00"/>
    <s v="DVD"/>
    <n v="102330"/>
    <s v="AB104146"/>
    <x v="12"/>
    <n v="884729"/>
    <x v="1"/>
  </r>
  <r>
    <n v="10155"/>
    <n v="7"/>
    <d v="2013-10-10T00:00:00"/>
    <s v="BLU-RAY"/>
    <n v="102331"/>
    <s v="AB104148"/>
    <x v="9"/>
    <n v="689877"/>
    <x v="1"/>
  </r>
  <r>
    <n v="10122"/>
    <n v="2"/>
    <d v="2013-10-10T00:00:00"/>
    <s v="DVD"/>
    <n v="102333"/>
    <s v="AB104151"/>
    <x v="12"/>
    <n v="315634"/>
    <x v="1"/>
  </r>
  <r>
    <n v="10185"/>
    <n v="5"/>
    <d v="2013-10-11T00:00:00"/>
    <s v="DVD"/>
    <n v="102334"/>
    <s v="AB104152"/>
    <x v="0"/>
    <n v="433442"/>
    <x v="1"/>
  </r>
  <r>
    <n v="10268"/>
    <n v="1"/>
    <d v="2013-10-10T00:00:00"/>
    <s v="DVD"/>
    <n v="102334"/>
    <s v="AB104153"/>
    <x v="3"/>
    <n v="433442"/>
    <x v="1"/>
  </r>
  <r>
    <n v="10198"/>
    <n v="10"/>
    <d v="2013-10-11T00:00:00"/>
    <s v="BLU-RAY"/>
    <n v="102335"/>
    <s v="AB104155"/>
    <x v="9"/>
    <n v="884607"/>
    <x v="1"/>
  </r>
  <r>
    <n v="10269"/>
    <n v="7"/>
    <d v="2013-10-11T00:00:00"/>
    <s v="DVD"/>
    <n v="102336"/>
    <s v="AB104156"/>
    <x v="3"/>
    <n v="739669"/>
    <x v="1"/>
  </r>
  <r>
    <n v="10119"/>
    <n v="8"/>
    <d v="2013-10-12T00:00:00"/>
    <s v="DVD"/>
    <n v="102336"/>
    <s v="AB104157"/>
    <x v="7"/>
    <n v="739669"/>
    <x v="1"/>
  </r>
  <r>
    <n v="10201"/>
    <n v="8"/>
    <d v="2013-10-11T00:00:00"/>
    <s v="DVD"/>
    <n v="102338"/>
    <s v="AB104160"/>
    <x v="8"/>
    <n v="190721"/>
    <x v="1"/>
  </r>
  <r>
    <n v="10217"/>
    <n v="4"/>
    <d v="2013-10-12T00:00:00"/>
    <s v="DVD"/>
    <n v="102339"/>
    <s v="AB104161"/>
    <x v="0"/>
    <n v="667170"/>
    <x v="1"/>
  </r>
  <r>
    <n v="10109"/>
    <n v="6"/>
    <d v="2013-10-15T00:00:00"/>
    <s v="DVD"/>
    <n v="102339"/>
    <s v="AB104162"/>
    <x v="0"/>
    <n v="667170"/>
    <x v="1"/>
  </r>
  <r>
    <n v="10143"/>
    <n v="8"/>
    <d v="2013-10-14T00:00:00"/>
    <s v="DVD"/>
    <n v="102341"/>
    <s v="AB104166"/>
    <x v="3"/>
    <n v="592726"/>
    <x v="1"/>
  </r>
  <r>
    <n v="10209"/>
    <n v="3"/>
    <d v="2013-10-12T00:00:00"/>
    <s v="DVD"/>
    <n v="102341"/>
    <s v="AB104167"/>
    <x v="7"/>
    <n v="592726"/>
    <x v="1"/>
  </r>
  <r>
    <n v="10288"/>
    <n v="9"/>
    <d v="2013-10-11T00:00:00"/>
    <s v="DVD"/>
    <n v="102342"/>
    <s v="AB104168"/>
    <x v="12"/>
    <n v="720602"/>
    <x v="1"/>
  </r>
  <r>
    <n v="10194"/>
    <n v="2"/>
    <d v="2013-10-11T00:00:00"/>
    <s v="DVD"/>
    <n v="102342"/>
    <s v="AB104169"/>
    <x v="16"/>
    <n v="720602"/>
    <x v="1"/>
  </r>
  <r>
    <n v="10260"/>
    <n v="4"/>
    <d v="2013-10-17T00:00:00"/>
    <s v="DVD"/>
    <n v="102343"/>
    <s v="AB104170"/>
    <x v="4"/>
    <n v="932618"/>
    <x v="1"/>
  </r>
  <r>
    <n v="10295"/>
    <n v="10"/>
    <d v="2013-10-12T00:00:00"/>
    <s v="DVD"/>
    <n v="102344"/>
    <s v="AB104173"/>
    <x v="21"/>
    <n v="427391"/>
    <x v="1"/>
  </r>
  <r>
    <n v="10270"/>
    <n v="10"/>
    <d v="2013-10-14T00:00:00"/>
    <s v="DVD"/>
    <n v="102346"/>
    <s v="AB104177"/>
    <x v="9"/>
    <n v="567719"/>
    <x v="1"/>
  </r>
  <r>
    <n v="10270"/>
    <n v="7"/>
    <d v="2013-10-12T00:00:00"/>
    <s v="BLU-RAY"/>
    <n v="102347"/>
    <s v="AB104179"/>
    <x v="9"/>
    <n v="607810"/>
    <x v="1"/>
  </r>
  <r>
    <n v="10295"/>
    <n v="6"/>
    <d v="2013-10-14T00:00:00"/>
    <s v="DVD"/>
    <n v="102350"/>
    <s v="AB104182"/>
    <x v="21"/>
    <n v="884729"/>
    <x v="1"/>
  </r>
  <r>
    <n v="10178"/>
    <n v="5"/>
    <d v="2013-10-13T00:00:00"/>
    <s v="DVD"/>
    <n v="102351"/>
    <s v="AB104183"/>
    <x v="0"/>
    <n v="900440"/>
    <x v="1"/>
  </r>
  <r>
    <n v="10299"/>
    <n v="4"/>
    <d v="2013-10-13T00:00:00"/>
    <s v="BLU-RAY"/>
    <n v="102352"/>
    <s v="AB104187"/>
    <x v="22"/>
    <n v="549823"/>
    <x v="1"/>
  </r>
  <r>
    <n v="10167"/>
    <n v="5"/>
    <d v="2013-10-13T00:00:00"/>
    <s v="BLU-RAY"/>
    <n v="102353"/>
    <s v="AB104188"/>
    <x v="7"/>
    <n v="575903"/>
    <x v="1"/>
  </r>
  <r>
    <n v="10286"/>
    <n v="6"/>
    <d v="2013-10-13T00:00:00"/>
    <s v="DVD"/>
    <n v="102354"/>
    <s v="AB104190"/>
    <x v="17"/>
    <n v="926144"/>
    <x v="1"/>
  </r>
  <r>
    <n v="10238"/>
    <n v="4"/>
    <d v="2013-10-17T00:00:00"/>
    <s v="DVD"/>
    <n v="102355"/>
    <s v="AB104192"/>
    <x v="0"/>
    <n v="808421"/>
    <x v="1"/>
  </r>
  <r>
    <n v="10085"/>
    <n v="1"/>
    <d v="2013-10-13T00:00:00"/>
    <s v="DVD"/>
    <n v="102357"/>
    <s v="AB104197"/>
    <x v="3"/>
    <n v="657736"/>
    <x v="1"/>
  </r>
  <r>
    <n v="10216"/>
    <n v="8"/>
    <d v="2013-10-13T00:00:00"/>
    <s v="DVD"/>
    <n v="102357"/>
    <s v="AB104198"/>
    <x v="4"/>
    <n v="657736"/>
    <x v="1"/>
  </r>
  <r>
    <n v="10248"/>
    <n v="5"/>
    <d v="2013-10-15T00:00:00"/>
    <s v="DVD"/>
    <n v="102358"/>
    <s v="AB104199"/>
    <x v="12"/>
    <n v="207846"/>
    <x v="1"/>
  </r>
  <r>
    <n v="10107"/>
    <n v="5"/>
    <d v="2013-10-14T00:00:00"/>
    <s v="BLU-RAY"/>
    <n v="102360"/>
    <s v="AB104204"/>
    <x v="7"/>
    <n v="897980"/>
    <x v="1"/>
  </r>
  <r>
    <n v="10074"/>
    <n v="4"/>
    <d v="2013-10-15T00:00:00"/>
    <s v="DVD"/>
    <n v="102361"/>
    <s v="AB104206"/>
    <x v="11"/>
    <n v="308505"/>
    <x v="1"/>
  </r>
  <r>
    <n v="10175"/>
    <n v="7"/>
    <d v="2013-10-14T00:00:00"/>
    <s v="DVD"/>
    <n v="102362"/>
    <s v="AB104208"/>
    <x v="3"/>
    <n v="893039"/>
    <x v="1"/>
  </r>
  <r>
    <n v="10275"/>
    <n v="3"/>
    <d v="2013-10-15T00:00:00"/>
    <s v="DVD"/>
    <n v="102363"/>
    <s v="AB104209"/>
    <x v="10"/>
    <n v="116934"/>
    <x v="1"/>
  </r>
  <r>
    <n v="10265"/>
    <n v="9"/>
    <d v="2013-10-17T00:00:00"/>
    <s v="BLU-RAY"/>
    <n v="102365"/>
    <s v="AB104211"/>
    <x v="0"/>
    <n v="498970"/>
    <x v="1"/>
  </r>
  <r>
    <n v="10285"/>
    <n v="8"/>
    <d v="2013-10-16T00:00:00"/>
    <s v="DVD"/>
    <n v="102365"/>
    <s v="AB104212"/>
    <x v="20"/>
    <n v="498970"/>
    <x v="1"/>
  </r>
  <r>
    <n v="10253"/>
    <n v="6"/>
    <d v="2013-10-15T00:00:00"/>
    <s v="DVD"/>
    <n v="102365"/>
    <s v="AB104213"/>
    <x v="3"/>
    <n v="498970"/>
    <x v="1"/>
  </r>
  <r>
    <n v="10250"/>
    <n v="6"/>
    <d v="2013-10-17T00:00:00"/>
    <s v="DVD"/>
    <n v="102366"/>
    <s v="AB104215"/>
    <x v="3"/>
    <n v="160392"/>
    <x v="1"/>
  </r>
  <r>
    <n v="10285"/>
    <n v="9"/>
    <d v="2013-10-15T00:00:00"/>
    <s v="BLU-RAY"/>
    <n v="102366"/>
    <s v="AB104216"/>
    <x v="20"/>
    <n v="160392"/>
    <x v="1"/>
  </r>
  <r>
    <n v="10223"/>
    <n v="3"/>
    <d v="2013-10-15T00:00:00"/>
    <s v="BLU-RAY"/>
    <n v="102369"/>
    <s v="AB104218"/>
    <x v="7"/>
    <n v="296208"/>
    <x v="1"/>
  </r>
  <r>
    <n v="10166"/>
    <n v="6"/>
    <d v="2013-10-15T00:00:00"/>
    <s v="DVD"/>
    <n v="102369"/>
    <s v="AB104219"/>
    <x v="9"/>
    <n v="296208"/>
    <x v="1"/>
  </r>
  <r>
    <n v="10110"/>
    <n v="2"/>
    <d v="2013-10-16T00:00:00"/>
    <s v="DVD"/>
    <n v="102369"/>
    <s v="AB104220"/>
    <x v="0"/>
    <n v="296208"/>
    <x v="1"/>
  </r>
  <r>
    <n v="10204"/>
    <n v="2"/>
    <d v="2013-10-16T00:00:00"/>
    <s v="DVD"/>
    <n v="102370"/>
    <s v="AB104221"/>
    <x v="7"/>
    <n v="283158"/>
    <x v="1"/>
  </r>
  <r>
    <n v="10178"/>
    <n v="6"/>
    <d v="2013-10-17T00:00:00"/>
    <s v="DVD"/>
    <n v="102371"/>
    <s v="AB104225"/>
    <x v="0"/>
    <n v="426984"/>
    <x v="1"/>
  </r>
  <r>
    <n v="10219"/>
    <n v="6"/>
    <d v="2013-10-16T00:00:00"/>
    <s v="BLU-RAY"/>
    <n v="102372"/>
    <s v="AB104226"/>
    <x v="1"/>
    <n v="193968"/>
    <x v="1"/>
  </r>
  <r>
    <n v="10128"/>
    <n v="8"/>
    <d v="2013-10-23T00:00:00"/>
    <s v="DVD"/>
    <n v="102373"/>
    <s v="AB104229"/>
    <x v="6"/>
    <n v="310195"/>
    <x v="1"/>
  </r>
  <r>
    <n v="10181"/>
    <n v="10"/>
    <d v="2013-10-17T00:00:00"/>
    <s v="DVD"/>
    <n v="102377"/>
    <s v="AB104235"/>
    <x v="9"/>
    <n v="585972"/>
    <x v="1"/>
  </r>
  <r>
    <n v="10296"/>
    <n v="6"/>
    <d v="2013-10-17T00:00:00"/>
    <s v="DVD"/>
    <n v="102378"/>
    <s v="AB104236"/>
    <x v="21"/>
    <n v="464984"/>
    <x v="1"/>
  </r>
  <r>
    <n v="10146"/>
    <n v="1"/>
    <d v="2013-10-17T00:00:00"/>
    <s v="DVD"/>
    <n v="102379"/>
    <s v="AB104238"/>
    <x v="4"/>
    <n v="479497"/>
    <x v="1"/>
  </r>
  <r>
    <n v="10259"/>
    <n v="2"/>
    <d v="2013-10-23T00:00:00"/>
    <s v="DVD"/>
    <n v="102379"/>
    <s v="AB104239"/>
    <x v="0"/>
    <n v="479497"/>
    <x v="1"/>
  </r>
  <r>
    <n v="10258"/>
    <n v="1"/>
    <d v="2013-10-17T00:00:00"/>
    <s v="DVD"/>
    <n v="102379"/>
    <s v="AB104240"/>
    <x v="0"/>
    <n v="479497"/>
    <x v="1"/>
  </r>
  <r>
    <n v="10037"/>
    <n v="6"/>
    <d v="2013-10-19T00:00:00"/>
    <s v="DVD"/>
    <n v="102382"/>
    <s v="AB104244"/>
    <x v="3"/>
    <n v="719921"/>
    <x v="1"/>
  </r>
  <r>
    <n v="10202"/>
    <n v="4"/>
    <d v="2013-10-18T00:00:00"/>
    <s v="DVD"/>
    <n v="102382"/>
    <s v="AB104245"/>
    <x v="0"/>
    <n v="719921"/>
    <x v="1"/>
  </r>
  <r>
    <n v="10236"/>
    <n v="1"/>
    <d v="2013-10-17T00:00:00"/>
    <s v="DVD"/>
    <n v="102383"/>
    <s v="AB104246"/>
    <x v="10"/>
    <n v="806545"/>
    <x v="1"/>
  </r>
  <r>
    <n v="10235"/>
    <n v="1"/>
    <d v="2013-10-20T00:00:00"/>
    <s v="DVD"/>
    <n v="102384"/>
    <s v="AB104247"/>
    <x v="10"/>
    <n v="850933"/>
    <x v="1"/>
  </r>
  <r>
    <n v="10288"/>
    <n v="10"/>
    <d v="2013-10-18T00:00:00"/>
    <s v="DVD"/>
    <n v="102385"/>
    <s v="AB104250"/>
    <x v="12"/>
    <n v="739669"/>
    <x v="1"/>
  </r>
  <r>
    <n v="10283"/>
    <n v="2"/>
    <d v="2013-10-19T00:00:00"/>
    <s v="DVD"/>
    <n v="102386"/>
    <s v="AB104251"/>
    <x v="6"/>
    <n v="884368"/>
    <x v="1"/>
  </r>
  <r>
    <n v="10204"/>
    <n v="7"/>
    <d v="2013-10-20T00:00:00"/>
    <s v="DVD"/>
    <n v="102391"/>
    <s v="AB104258"/>
    <x v="7"/>
    <n v="616028"/>
    <x v="1"/>
  </r>
  <r>
    <n v="10066"/>
    <n v="4"/>
    <d v="2013-10-19T00:00:00"/>
    <s v="DVD"/>
    <n v="102392"/>
    <s v="AB104259"/>
    <x v="3"/>
    <n v="970794"/>
    <x v="1"/>
  </r>
  <r>
    <n v="10042"/>
    <n v="7"/>
    <d v="2013-10-20T00:00:00"/>
    <s v="DVD"/>
    <n v="102393"/>
    <s v="AB104260"/>
    <x v="1"/>
    <n v="970794"/>
    <x v="1"/>
  </r>
  <r>
    <n v="10252"/>
    <n v="3"/>
    <d v="2013-10-20T00:00:00"/>
    <s v="DVD"/>
    <n v="102394"/>
    <s v="AB104262"/>
    <x v="0"/>
    <n v="657736"/>
    <x v="1"/>
  </r>
  <r>
    <n v="10235"/>
    <n v="2"/>
    <d v="2013-10-20T00:00:00"/>
    <s v="DVD"/>
    <n v="102394"/>
    <s v="AB104265"/>
    <x v="10"/>
    <n v="657736"/>
    <x v="1"/>
  </r>
  <r>
    <n v="10106"/>
    <n v="9"/>
    <d v="2013-10-22T00:00:00"/>
    <s v="DVD"/>
    <n v="102395"/>
    <s v="AB104267"/>
    <x v="9"/>
    <n v="580783"/>
    <x v="1"/>
  </r>
  <r>
    <n v="10193"/>
    <n v="5"/>
    <d v="2013-10-19T00:00:00"/>
    <s v="BLU-RAY"/>
    <n v="102395"/>
    <s v="AB104269"/>
    <x v="9"/>
    <n v="580783"/>
    <x v="1"/>
  </r>
  <r>
    <n v="10226"/>
    <n v="5"/>
    <d v="2013-10-19T00:00:00"/>
    <s v="BLU-RAY"/>
    <n v="102396"/>
    <s v="AB104270"/>
    <x v="4"/>
    <n v="137696"/>
    <x v="1"/>
  </r>
  <r>
    <n v="10275"/>
    <n v="5"/>
    <d v="2013-10-20T00:00:00"/>
    <s v="BLU-RAY"/>
    <n v="102396"/>
    <s v="AB104271"/>
    <x v="10"/>
    <n v="137696"/>
    <x v="1"/>
  </r>
  <r>
    <n v="10212"/>
    <n v="6"/>
    <d v="2013-10-19T00:00:00"/>
    <s v="DVD"/>
    <n v="102398"/>
    <s v="AB104275"/>
    <x v="10"/>
    <n v="610766"/>
    <x v="1"/>
  </r>
  <r>
    <n v="10184"/>
    <n v="10"/>
    <d v="2013-10-20T00:00:00"/>
    <s v="DVD"/>
    <n v="102399"/>
    <s v="AB104277"/>
    <x v="7"/>
    <n v="566192"/>
    <x v="1"/>
  </r>
  <r>
    <n v="10245"/>
    <n v="5"/>
    <d v="2013-10-20T00:00:00"/>
    <s v="BLU-RAY"/>
    <n v="102400"/>
    <s v="AB104278"/>
    <x v="0"/>
    <n v="175871"/>
    <x v="1"/>
  </r>
  <r>
    <n v="10215"/>
    <n v="9"/>
    <d v="2013-10-23T00:00:00"/>
    <s v="DVD"/>
    <n v="102402"/>
    <s v="AB104282"/>
    <x v="1"/>
    <n v="548800"/>
    <x v="1"/>
  </r>
  <r>
    <n v="10271"/>
    <n v="8"/>
    <d v="2013-10-21T00:00:00"/>
    <s v="DVD"/>
    <n v="102402"/>
    <s v="AB104283"/>
    <x v="7"/>
    <n v="548800"/>
    <x v="1"/>
  </r>
  <r>
    <n v="10103"/>
    <n v="7"/>
    <d v="2013-10-20T00:00:00"/>
    <s v="DVD"/>
    <n v="102403"/>
    <s v="AB104284"/>
    <x v="9"/>
    <n v="559486"/>
    <x v="1"/>
  </r>
  <r>
    <n v="10283"/>
    <n v="8"/>
    <d v="2013-10-22T00:00:00"/>
    <s v="DVD"/>
    <n v="102403"/>
    <s v="AB104285"/>
    <x v="6"/>
    <n v="559486"/>
    <x v="1"/>
  </r>
  <r>
    <n v="10187"/>
    <n v="8"/>
    <d v="2013-10-22T00:00:00"/>
    <s v="DVD"/>
    <n v="102404"/>
    <s v="AB104286"/>
    <x v="1"/>
    <n v="332324"/>
    <x v="1"/>
  </r>
  <r>
    <n v="10112"/>
    <n v="4"/>
    <d v="2013-10-21T00:00:00"/>
    <s v="BLU-RAY"/>
    <n v="102404"/>
    <s v="AB104287"/>
    <x v="12"/>
    <n v="332324"/>
    <x v="1"/>
  </r>
  <r>
    <n v="10235"/>
    <n v="4"/>
    <d v="2013-10-21T00:00:00"/>
    <s v="DVD"/>
    <n v="102405"/>
    <s v="AB104289"/>
    <x v="10"/>
    <n v="484909"/>
    <x v="1"/>
  </r>
  <r>
    <n v="10125"/>
    <n v="8"/>
    <d v="2013-10-21T00:00:00"/>
    <s v="DVD"/>
    <n v="102405"/>
    <s v="AB104290"/>
    <x v="9"/>
    <n v="484909"/>
    <x v="1"/>
  </r>
  <r>
    <n v="10223"/>
    <n v="8"/>
    <d v="2013-10-23T00:00:00"/>
    <s v="DVD"/>
    <n v="102407"/>
    <s v="AB104292"/>
    <x v="7"/>
    <n v="470304"/>
    <x v="1"/>
  </r>
  <r>
    <n v="10066"/>
    <n v="3"/>
    <d v="2013-10-21T00:00:00"/>
    <s v="DVD"/>
    <n v="102407"/>
    <s v="AB104293"/>
    <x v="3"/>
    <n v="470304"/>
    <x v="1"/>
  </r>
  <r>
    <n v="10177"/>
    <n v="2"/>
    <d v="2013-10-22T00:00:00"/>
    <s v="DVD"/>
    <n v="102411"/>
    <s v="AB104300"/>
    <x v="9"/>
    <n v="186353"/>
    <x v="1"/>
  </r>
  <r>
    <n v="10097"/>
    <n v="2"/>
    <d v="2013-10-22T00:00:00"/>
    <s v="BLU-RAY"/>
    <n v="102413"/>
    <s v="AB104305"/>
    <x v="8"/>
    <n v="454143"/>
    <x v="1"/>
  </r>
  <r>
    <n v="10099"/>
    <n v="6"/>
    <d v="2013-10-22T00:00:00"/>
    <s v="DVD"/>
    <n v="102414"/>
    <s v="AB104308"/>
    <x v="10"/>
    <n v="464984"/>
    <x v="1"/>
  </r>
  <r>
    <n v="10071"/>
    <n v="5"/>
    <d v="2013-10-23T00:00:00"/>
    <s v="DVD"/>
    <n v="102415"/>
    <s v="AB104309"/>
    <x v="1"/>
    <n v="888952"/>
    <x v="1"/>
  </r>
  <r>
    <n v="10248"/>
    <n v="10"/>
    <d v="2013-10-23T00:00:00"/>
    <s v="DVD"/>
    <n v="102416"/>
    <s v="AB104311"/>
    <x v="12"/>
    <n v="817500"/>
    <x v="1"/>
  </r>
  <r>
    <n v="10207"/>
    <n v="3"/>
    <d v="2013-10-25T00:00:00"/>
    <s v="BLU-RAY"/>
    <n v="102417"/>
    <s v="AB104313"/>
    <x v="1"/>
    <n v="723057"/>
    <x v="1"/>
  </r>
  <r>
    <n v="10156"/>
    <n v="10"/>
    <d v="2013-10-24T00:00:00"/>
    <s v="DVD"/>
    <n v="102417"/>
    <s v="AB104315"/>
    <x v="3"/>
    <n v="723057"/>
    <x v="1"/>
  </r>
  <r>
    <n v="10252"/>
    <n v="3"/>
    <d v="2013-10-24T00:00:00"/>
    <s v="DVD"/>
    <n v="102419"/>
    <s v="AB104318"/>
    <x v="0"/>
    <n v="616028"/>
    <x v="1"/>
  </r>
  <r>
    <n v="10148"/>
    <n v="9"/>
    <d v="2013-10-27T00:00:00"/>
    <s v="DVD"/>
    <n v="102419"/>
    <s v="AB104319"/>
    <x v="1"/>
    <n v="616028"/>
    <x v="1"/>
  </r>
  <r>
    <n v="10275"/>
    <n v="2"/>
    <d v="2013-10-23T00:00:00"/>
    <s v="DVD"/>
    <n v="102419"/>
    <s v="AB104320"/>
    <x v="10"/>
    <n v="616028"/>
    <x v="1"/>
  </r>
  <r>
    <n v="10290"/>
    <n v="2"/>
    <d v="2013-10-23T00:00:00"/>
    <s v="DVD"/>
    <n v="102420"/>
    <s v="AB104321"/>
    <x v="2"/>
    <n v="442254"/>
    <x v="1"/>
  </r>
  <r>
    <n v="10146"/>
    <n v="9"/>
    <d v="2013-10-23T00:00:00"/>
    <s v="DVD"/>
    <n v="102420"/>
    <s v="AB104322"/>
    <x v="4"/>
    <n v="442254"/>
    <x v="1"/>
  </r>
  <r>
    <n v="10274"/>
    <n v="6"/>
    <d v="2013-10-23T00:00:00"/>
    <s v="BLU-RAY"/>
    <n v="102421"/>
    <s v="AB104324"/>
    <x v="9"/>
    <n v="517477"/>
    <x v="1"/>
  </r>
  <r>
    <n v="10211"/>
    <n v="1"/>
    <d v="2013-10-23T00:00:00"/>
    <s v="DVD"/>
    <n v="102422"/>
    <s v="AB104327"/>
    <x v="3"/>
    <n v="442254"/>
    <x v="1"/>
  </r>
  <r>
    <n v="10005"/>
    <n v="5"/>
    <d v="2013-10-25T00:00:00"/>
    <s v="DVD"/>
    <n v="102423"/>
    <s v="AB104328"/>
    <x v="3"/>
    <n v="435907"/>
    <x v="1"/>
  </r>
  <r>
    <n v="10213"/>
    <n v="1"/>
    <d v="2013-10-24T00:00:00"/>
    <s v="DVD"/>
    <n v="102424"/>
    <s v="AB104331"/>
    <x v="4"/>
    <n v="766737"/>
    <x v="1"/>
  </r>
  <r>
    <n v="10104"/>
    <n v="7"/>
    <d v="2013-10-26T00:00:00"/>
    <s v="DVD"/>
    <n v="102424"/>
    <s v="AB104332"/>
    <x v="7"/>
    <n v="766737"/>
    <x v="1"/>
  </r>
  <r>
    <n v="10052"/>
    <n v="1"/>
    <d v="2013-10-24T00:00:00"/>
    <s v="BLU-RAY"/>
    <n v="102426"/>
    <s v="AB104337"/>
    <x v="0"/>
    <n v="840096"/>
    <x v="1"/>
  </r>
  <r>
    <n v="10185"/>
    <n v="10"/>
    <d v="2013-10-26T00:00:00"/>
    <s v="DVD"/>
    <n v="102426"/>
    <s v="AB104339"/>
    <x v="0"/>
    <n v="840096"/>
    <x v="1"/>
  </r>
  <r>
    <n v="10249"/>
    <n v="7"/>
    <d v="2013-10-28T00:00:00"/>
    <s v="DVD"/>
    <n v="102428"/>
    <s v="AB104341"/>
    <x v="5"/>
    <n v="403000"/>
    <x v="1"/>
  </r>
  <r>
    <n v="10052"/>
    <n v="9"/>
    <d v="2013-10-24T00:00:00"/>
    <s v="DVD"/>
    <n v="102428"/>
    <s v="AB104342"/>
    <x v="0"/>
    <n v="403000"/>
    <x v="1"/>
  </r>
  <r>
    <n v="10092"/>
    <n v="5"/>
    <d v="2013-10-26T00:00:00"/>
    <s v="DVD"/>
    <n v="102429"/>
    <s v="AB104344"/>
    <x v="0"/>
    <n v="814317"/>
    <x v="1"/>
  </r>
  <r>
    <n v="10245"/>
    <n v="10"/>
    <d v="2013-10-28T00:00:00"/>
    <s v="DVD"/>
    <n v="102429"/>
    <s v="AB104345"/>
    <x v="0"/>
    <n v="814317"/>
    <x v="1"/>
  </r>
  <r>
    <n v="10183"/>
    <n v="1"/>
    <d v="2013-10-28T00:00:00"/>
    <s v="DVD"/>
    <n v="102430"/>
    <s v="AB104347"/>
    <x v="4"/>
    <n v="366695"/>
    <x v="1"/>
  </r>
  <r>
    <n v="10155"/>
    <n v="7"/>
    <d v="2013-10-29T00:00:00"/>
    <s v="BLU-RAY"/>
    <n v="102431"/>
    <s v="AB104349"/>
    <x v="9"/>
    <n v="817274"/>
    <x v="1"/>
  </r>
  <r>
    <n v="10192"/>
    <n v="3"/>
    <d v="2013-10-25T00:00:00"/>
    <s v="DVD"/>
    <n v="102432"/>
    <s v="AB104350"/>
    <x v="7"/>
    <n v="714947"/>
    <x v="1"/>
  </r>
  <r>
    <n v="10256"/>
    <n v="7"/>
    <d v="2013-10-27T00:00:00"/>
    <s v="DVD"/>
    <n v="102434"/>
    <s v="AB104351"/>
    <x v="9"/>
    <n v="646700"/>
    <x v="1"/>
  </r>
  <r>
    <n v="10275"/>
    <n v="3"/>
    <d v="2013-10-25T00:00:00"/>
    <s v="BLU-RAY"/>
    <n v="102435"/>
    <s v="AB104352"/>
    <x v="10"/>
    <n v="515753"/>
    <x v="1"/>
  </r>
  <r>
    <n v="10222"/>
    <n v="6"/>
    <d v="2013-10-27T00:00:00"/>
    <s v="DVD"/>
    <n v="102436"/>
    <s v="AB104354"/>
    <x v="4"/>
    <n v="468692"/>
    <x v="1"/>
  </r>
  <r>
    <n v="10171"/>
    <n v="1"/>
    <d v="2013-10-26T00:00:00"/>
    <s v="DVD"/>
    <n v="102437"/>
    <s v="AB104356"/>
    <x v="7"/>
    <n v="317461"/>
    <x v="1"/>
  </r>
  <r>
    <n v="10200"/>
    <n v="7"/>
    <d v="2013-10-26T00:00:00"/>
    <s v="DVD"/>
    <n v="102439"/>
    <s v="AB104357"/>
    <x v="9"/>
    <n v="229742"/>
    <x v="1"/>
  </r>
  <r>
    <n v="10246"/>
    <n v="10"/>
    <d v="2013-10-29T00:00:00"/>
    <s v="BLU-RAY"/>
    <n v="102439"/>
    <s v="AB104359"/>
    <x v="2"/>
    <n v="229742"/>
    <x v="1"/>
  </r>
  <r>
    <n v="10241"/>
    <n v="8"/>
    <d v="2013-10-26T00:00:00"/>
    <s v="DVD"/>
    <n v="102440"/>
    <s v="AB104360"/>
    <x v="0"/>
    <n v="622506"/>
    <x v="1"/>
  </r>
  <r>
    <n v="10259"/>
    <n v="4"/>
    <d v="2013-10-29T00:00:00"/>
    <s v="DVD"/>
    <n v="102443"/>
    <s v="AB104369"/>
    <x v="0"/>
    <n v="619910"/>
    <x v="1"/>
  </r>
  <r>
    <n v="10210"/>
    <n v="6"/>
    <d v="2013-10-27T00:00:00"/>
    <s v="DVD"/>
    <n v="102444"/>
    <s v="AB104370"/>
    <x v="4"/>
    <n v="494106"/>
    <x v="1"/>
  </r>
  <r>
    <n v="10043"/>
    <n v="10"/>
    <d v="2013-10-27T00:00:00"/>
    <s v="DVD"/>
    <n v="102445"/>
    <s v="AB104372"/>
    <x v="8"/>
    <n v="524667"/>
    <x v="1"/>
  </r>
  <r>
    <n v="10212"/>
    <n v="10"/>
    <d v="2013-10-27T00:00:00"/>
    <s v="DVD"/>
    <n v="102446"/>
    <s v="AB104374"/>
    <x v="10"/>
    <n v="442254"/>
    <x v="1"/>
  </r>
  <r>
    <n v="10115"/>
    <n v="8"/>
    <d v="2013-10-29T00:00:00"/>
    <s v="DVD"/>
    <n v="102447"/>
    <s v="AB104378"/>
    <x v="11"/>
    <n v="498153"/>
    <x v="1"/>
  </r>
  <r>
    <n v="10274"/>
    <n v="8"/>
    <d v="2013-10-29T00:00:00"/>
    <s v="DVD"/>
    <n v="102449"/>
    <s v="AB104383"/>
    <x v="9"/>
    <n v="191951"/>
    <x v="1"/>
  </r>
  <r>
    <n v="10282"/>
    <n v="10"/>
    <d v="2013-10-30T00:00:00"/>
    <s v="DVD"/>
    <n v="102450"/>
    <s v="AB104385"/>
    <x v="15"/>
    <n v="762509"/>
    <x v="1"/>
  </r>
  <r>
    <n v="10274"/>
    <n v="8"/>
    <d v="2013-10-27T00:00:00"/>
    <s v="DVD"/>
    <n v="102450"/>
    <s v="AB104386"/>
    <x v="9"/>
    <n v="762509"/>
    <x v="1"/>
  </r>
  <r>
    <n v="10269"/>
    <n v="10"/>
    <d v="2013-10-30T00:00:00"/>
    <s v="DVD"/>
    <n v="102451"/>
    <s v="AB104388"/>
    <x v="3"/>
    <n v="926289"/>
    <x v="1"/>
  </r>
  <r>
    <n v="10203"/>
    <n v="7"/>
    <d v="2013-10-28T00:00:00"/>
    <s v="DVD"/>
    <n v="102453"/>
    <s v="AB104391"/>
    <x v="3"/>
    <n v="370366"/>
    <x v="1"/>
  </r>
  <r>
    <n v="10239"/>
    <n v="8"/>
    <d v="2013-10-29T00:00:00"/>
    <s v="DVD"/>
    <n v="102454"/>
    <s v="AB104394"/>
    <x v="2"/>
    <n v="944523"/>
    <x v="1"/>
  </r>
  <r>
    <n v="10189"/>
    <n v="1"/>
    <d v="2013-10-31T00:00:00"/>
    <s v="DVD"/>
    <n v="102456"/>
    <s v="AB104397"/>
    <x v="7"/>
    <n v="586201"/>
    <x v="1"/>
  </r>
  <r>
    <n v="10124"/>
    <n v="2"/>
    <d v="2013-10-28T00:00:00"/>
    <s v="DVD"/>
    <n v="102457"/>
    <s v="AB104400"/>
    <x v="1"/>
    <n v="657736"/>
    <x v="1"/>
  </r>
  <r>
    <n v="10239"/>
    <n v="4"/>
    <d v="2013-10-28T00:00:00"/>
    <s v="DVD"/>
    <n v="102457"/>
    <s v="AB104402"/>
    <x v="2"/>
    <n v="657736"/>
    <x v="1"/>
  </r>
  <r>
    <n v="10219"/>
    <n v="1"/>
    <d v="2013-10-28T00:00:00"/>
    <s v="BLU-RAY"/>
    <n v="102458"/>
    <s v="AB104403"/>
    <x v="1"/>
    <n v="170500"/>
    <x v="1"/>
  </r>
  <r>
    <n v="10097"/>
    <n v="1"/>
    <d v="2013-10-30T00:00:00"/>
    <s v="DVD"/>
    <n v="102459"/>
    <s v="AB104406"/>
    <x v="8"/>
    <n v="324435"/>
    <x v="1"/>
  </r>
  <r>
    <n v="10229"/>
    <n v="8"/>
    <d v="2013-10-31T00:00:00"/>
    <s v="DVD"/>
    <n v="102461"/>
    <s v="AB104410"/>
    <x v="6"/>
    <n v="755271"/>
    <x v="1"/>
  </r>
  <r>
    <n v="10199"/>
    <n v="8"/>
    <d v="2013-10-30T00:00:00"/>
    <s v="DVD"/>
    <n v="102464"/>
    <s v="AB104413"/>
    <x v="10"/>
    <n v="478274"/>
    <x v="1"/>
  </r>
  <r>
    <n v="10196"/>
    <n v="7"/>
    <d v="2013-10-30T00:00:00"/>
    <s v="DVD"/>
    <n v="102466"/>
    <s v="AB104417"/>
    <x v="9"/>
    <n v="332324"/>
    <x v="1"/>
  </r>
  <r>
    <n v="10231"/>
    <n v="5"/>
    <d v="2013-11-01T00:00:00"/>
    <s v="DVD"/>
    <n v="102468"/>
    <s v="AB104420"/>
    <x v="7"/>
    <n v="810369"/>
    <x v="1"/>
  </r>
  <r>
    <n v="10291"/>
    <n v="4"/>
    <d v="2013-10-31T00:00:00"/>
    <s v="DVD"/>
    <n v="102468"/>
    <s v="AB104421"/>
    <x v="0"/>
    <n v="810369"/>
    <x v="1"/>
  </r>
  <r>
    <n v="10113"/>
    <n v="5"/>
    <d v="2013-10-30T00:00:00"/>
    <s v="DVD"/>
    <n v="102470"/>
    <s v="AB104424"/>
    <x v="10"/>
    <n v="743517"/>
    <x v="1"/>
  </r>
  <r>
    <n v="10140"/>
    <n v="3"/>
    <d v="2013-10-30T00:00:00"/>
    <s v="DVD"/>
    <n v="102471"/>
    <s v="AB104426"/>
    <x v="2"/>
    <n v="707458"/>
    <x v="1"/>
  </r>
  <r>
    <n v="10117"/>
    <n v="6"/>
    <d v="2013-10-30T00:00:00"/>
    <s v="DVD"/>
    <n v="102471"/>
    <s v="AB104427"/>
    <x v="4"/>
    <n v="707458"/>
    <x v="1"/>
  </r>
  <r>
    <n v="10255"/>
    <n v="7"/>
    <d v="2013-10-31T00:00:00"/>
    <s v="DVD"/>
    <n v="102471"/>
    <s v="AB104428"/>
    <x v="1"/>
    <n v="707458"/>
    <x v="1"/>
  </r>
  <r>
    <n v="10213"/>
    <n v="5"/>
    <d v="2013-10-30T00:00:00"/>
    <s v="DVD"/>
    <n v="102472"/>
    <s v="AB104429"/>
    <x v="4"/>
    <n v="344702"/>
    <x v="1"/>
  </r>
  <r>
    <n v="10272"/>
    <n v="1"/>
    <d v="2013-10-30T00:00:00"/>
    <s v="DVD"/>
    <n v="102472"/>
    <s v="AB104430"/>
    <x v="4"/>
    <n v="344702"/>
    <x v="1"/>
  </r>
  <r>
    <n v="10265"/>
    <n v="9"/>
    <d v="2013-10-31T00:00:00"/>
    <s v="DVD"/>
    <n v="102473"/>
    <s v="AB104433"/>
    <x v="0"/>
    <n v="464782"/>
    <x v="1"/>
  </r>
  <r>
    <n v="10265"/>
    <n v="6"/>
    <d v="2013-11-02T00:00:00"/>
    <s v="DVD"/>
    <n v="102474"/>
    <s v="AB104434"/>
    <x v="0"/>
    <n v="516619"/>
    <x v="1"/>
  </r>
  <r>
    <n v="10051"/>
    <n v="10"/>
    <d v="2013-10-31T00:00:00"/>
    <s v="BLU-RAY"/>
    <n v="102474"/>
    <s v="AB104435"/>
    <x v="1"/>
    <n v="516619"/>
    <x v="1"/>
  </r>
  <r>
    <n v="10169"/>
    <n v="4"/>
    <d v="2013-10-30T00:00:00"/>
    <s v="DVD"/>
    <n v="102474"/>
    <s v="AB104436"/>
    <x v="0"/>
    <n v="516619"/>
    <x v="1"/>
  </r>
  <r>
    <n v="10235"/>
    <n v="9"/>
    <d v="2013-11-02T00:00:00"/>
    <s v="BLU-RAY"/>
    <n v="102474"/>
    <s v="AB104437"/>
    <x v="10"/>
    <n v="516619"/>
    <x v="1"/>
  </r>
  <r>
    <n v="10224"/>
    <n v="3"/>
    <d v="2013-10-31T00:00:00"/>
    <s v="DVD"/>
    <n v="102477"/>
    <s v="AB104440"/>
    <x v="17"/>
    <n v="269687"/>
    <x v="1"/>
  </r>
  <r>
    <n v="10177"/>
    <n v="2"/>
    <d v="2013-10-31T00:00:00"/>
    <s v="BLU-RAY"/>
    <n v="102478"/>
    <s v="AB104443"/>
    <x v="9"/>
    <n v="734514"/>
    <x v="1"/>
  </r>
  <r>
    <n v="10121"/>
    <n v="6"/>
    <d v="2013-10-31T00:00:00"/>
    <s v="BLU-RAY"/>
    <n v="102479"/>
    <s v="AB104444"/>
    <x v="2"/>
    <n v="205927"/>
    <x v="1"/>
  </r>
  <r>
    <n v="10289"/>
    <n v="7"/>
    <d v="2013-11-01T00:00:00"/>
    <s v="BLU-RAY"/>
    <n v="102481"/>
    <s v="AB104449"/>
    <x v="11"/>
    <n v="833180"/>
    <x v="1"/>
  </r>
  <r>
    <n v="10229"/>
    <n v="5"/>
    <d v="2013-10-31T00:00:00"/>
    <s v="DVD"/>
    <n v="102481"/>
    <s v="AB104450"/>
    <x v="6"/>
    <n v="833180"/>
    <x v="1"/>
  </r>
  <r>
    <n v="10153"/>
    <n v="3"/>
    <d v="2013-10-31T00:00:00"/>
    <s v="DVD"/>
    <n v="102482"/>
    <s v="AB104452"/>
    <x v="10"/>
    <n v="247216"/>
    <x v="1"/>
  </r>
  <r>
    <n v="10266"/>
    <n v="8"/>
    <d v="2013-11-01T00:00:00"/>
    <s v="DVD"/>
    <n v="102483"/>
    <s v="AB104453"/>
    <x v="4"/>
    <n v="723819"/>
    <x v="1"/>
  </r>
  <r>
    <n v="10065"/>
    <n v="1"/>
    <d v="2013-11-01T00:00:00"/>
    <s v="DVD"/>
    <n v="102484"/>
    <s v="AB104458"/>
    <x v="0"/>
    <n v="253106"/>
    <x v="1"/>
  </r>
  <r>
    <n v="10178"/>
    <n v="9"/>
    <d v="2013-11-01T00:00:00"/>
    <s v="DVD"/>
    <n v="102486"/>
    <s v="AB104459"/>
    <x v="0"/>
    <n v="250266"/>
    <x v="1"/>
  </r>
  <r>
    <n v="10057"/>
    <n v="4"/>
    <d v="2013-11-08T00:00:00"/>
    <s v="BLU-RAY"/>
    <n v="102487"/>
    <s v="AB104461"/>
    <x v="0"/>
    <n v="298508"/>
    <x v="1"/>
  </r>
  <r>
    <n v="10276"/>
    <n v="6"/>
    <d v="2013-11-01T00:00:00"/>
    <s v="DVD"/>
    <n v="102488"/>
    <s v="AB104464"/>
    <x v="16"/>
    <n v="386950"/>
    <x v="1"/>
  </r>
  <r>
    <n v="10167"/>
    <n v="5"/>
    <d v="2013-11-02T00:00:00"/>
    <s v="BLU-RAY"/>
    <n v="102490"/>
    <s v="AB104467"/>
    <x v="7"/>
    <n v="747066"/>
    <x v="1"/>
  </r>
  <r>
    <n v="10217"/>
    <n v="3"/>
    <d v="2013-11-01T00:00:00"/>
    <s v="DVD"/>
    <n v="102490"/>
    <s v="AB104468"/>
    <x v="0"/>
    <n v="747066"/>
    <x v="1"/>
  </r>
  <r>
    <n v="10265"/>
    <n v="8"/>
    <d v="2013-11-03T00:00:00"/>
    <s v="DVD"/>
    <n v="102494"/>
    <s v="AB104472"/>
    <x v="0"/>
    <n v="185863"/>
    <x v="1"/>
  </r>
  <r>
    <n v="10230"/>
    <n v="1"/>
    <d v="2013-11-05T00:00:00"/>
    <s v="DVD"/>
    <n v="102494"/>
    <s v="AB104473"/>
    <x v="14"/>
    <n v="185863"/>
    <x v="1"/>
  </r>
  <r>
    <n v="10198"/>
    <n v="10"/>
    <d v="2013-11-02T00:00:00"/>
    <s v="DVD"/>
    <n v="102494"/>
    <s v="AB104474"/>
    <x v="9"/>
    <n v="185863"/>
    <x v="1"/>
  </r>
  <r>
    <n v="10124"/>
    <n v="10"/>
    <d v="2013-11-04T00:00:00"/>
    <s v="DVD"/>
    <n v="102496"/>
    <s v="AB104478"/>
    <x v="1"/>
    <n v="927518"/>
    <x v="1"/>
  </r>
  <r>
    <n v="10238"/>
    <n v="6"/>
    <d v="2013-11-02T00:00:00"/>
    <s v="DVD"/>
    <n v="102496"/>
    <s v="AB104479"/>
    <x v="0"/>
    <n v="927518"/>
    <x v="1"/>
  </r>
  <r>
    <n v="10256"/>
    <n v="3"/>
    <d v="2013-11-08T00:00:00"/>
    <s v="DVD"/>
    <n v="102497"/>
    <s v="AB104481"/>
    <x v="9"/>
    <n v="622506"/>
    <x v="1"/>
  </r>
  <r>
    <n v="10175"/>
    <n v="9"/>
    <d v="2013-11-02T00:00:00"/>
    <s v="DVD"/>
    <n v="102497"/>
    <s v="AB104482"/>
    <x v="3"/>
    <n v="622506"/>
    <x v="1"/>
  </r>
  <r>
    <n v="10227"/>
    <n v="3"/>
    <d v="2013-11-03T00:00:00"/>
    <s v="DVD"/>
    <n v="102499"/>
    <s v="AB104484"/>
    <x v="14"/>
    <n v="649551"/>
    <x v="1"/>
  </r>
  <r>
    <n v="10237"/>
    <n v="3"/>
    <d v="2013-11-06T00:00:00"/>
    <s v="BLU-RAY"/>
    <n v="102501"/>
    <s v="AB104487"/>
    <x v="0"/>
    <n v="893039"/>
    <x v="1"/>
  </r>
  <r>
    <n v="10224"/>
    <n v="8"/>
    <d v="2013-11-04T00:00:00"/>
    <s v="DVD"/>
    <n v="102502"/>
    <s v="AB104489"/>
    <x v="17"/>
    <n v="421074"/>
    <x v="1"/>
  </r>
  <r>
    <n v="10169"/>
    <n v="4"/>
    <d v="2013-11-04T00:00:00"/>
    <s v="BLU-RAY"/>
    <n v="102503"/>
    <s v="AB104490"/>
    <x v="0"/>
    <n v="418506"/>
    <x v="1"/>
  </r>
  <r>
    <n v="10108"/>
    <n v="4"/>
    <d v="2013-11-03T00:00:00"/>
    <s v="BLU-RAY"/>
    <n v="102504"/>
    <s v="AB104493"/>
    <x v="9"/>
    <n v="893039"/>
    <x v="1"/>
  </r>
  <r>
    <n v="10185"/>
    <n v="6"/>
    <d v="2013-11-03T00:00:00"/>
    <s v="BLU-RAY"/>
    <n v="102505"/>
    <s v="AB104494"/>
    <x v="0"/>
    <n v="549823"/>
    <x v="1"/>
  </r>
  <r>
    <n v="10203"/>
    <n v="5"/>
    <d v="2013-11-08T00:00:00"/>
    <s v="DVD"/>
    <n v="102506"/>
    <s v="AB104496"/>
    <x v="3"/>
    <n v="936214"/>
    <x v="1"/>
  </r>
  <r>
    <n v="10256"/>
    <n v="4"/>
    <d v="2013-11-05T00:00:00"/>
    <s v="DVD"/>
    <n v="102506"/>
    <s v="AB104497"/>
    <x v="9"/>
    <n v="936214"/>
    <x v="1"/>
  </r>
  <r>
    <n v="10248"/>
    <n v="10"/>
    <d v="2013-11-09T00:00:00"/>
    <s v="DVD"/>
    <n v="102508"/>
    <s v="AB104500"/>
    <x v="12"/>
    <n v="892883"/>
    <x v="1"/>
  </r>
  <r>
    <n v="10038"/>
    <n v="8"/>
    <d v="2013-11-04T00:00:00"/>
    <s v="BLU-RAY"/>
    <n v="102508"/>
    <s v="AB104501"/>
    <x v="1"/>
    <n v="892883"/>
    <x v="1"/>
  </r>
  <r>
    <n v="10129"/>
    <n v="7"/>
    <d v="2013-11-07T00:00:00"/>
    <s v="DVD"/>
    <n v="102509"/>
    <s v="AB104503"/>
    <x v="0"/>
    <n v="926144"/>
    <x v="1"/>
  </r>
  <r>
    <n v="10163"/>
    <n v="9"/>
    <d v="2013-11-05T00:00:00"/>
    <s v="DVD"/>
    <n v="102509"/>
    <s v="AB104504"/>
    <x v="0"/>
    <n v="926144"/>
    <x v="1"/>
  </r>
  <r>
    <n v="10284"/>
    <n v="2"/>
    <d v="2013-11-04T00:00:00"/>
    <s v="DVD"/>
    <n v="102509"/>
    <s v="AB104505"/>
    <x v="14"/>
    <n v="926144"/>
    <x v="1"/>
  </r>
  <r>
    <n v="10071"/>
    <n v="10"/>
    <d v="2013-11-04T00:00:00"/>
    <s v="DVD"/>
    <n v="102510"/>
    <s v="AB104506"/>
    <x v="1"/>
    <n v="468692"/>
    <x v="1"/>
  </r>
  <r>
    <n v="10170"/>
    <n v="6"/>
    <d v="2013-11-04T00:00:00"/>
    <s v="DVD"/>
    <n v="102511"/>
    <s v="AB104508"/>
    <x v="15"/>
    <n v="610766"/>
    <x v="1"/>
  </r>
  <r>
    <n v="10194"/>
    <n v="9"/>
    <d v="2013-11-04T00:00:00"/>
    <s v="DVD"/>
    <n v="102512"/>
    <s v="AB104509"/>
    <x v="16"/>
    <n v="992956"/>
    <x v="1"/>
  </r>
  <r>
    <n v="10280"/>
    <n v="9"/>
    <d v="2013-11-06T00:00:00"/>
    <s v="DVD"/>
    <n v="102513"/>
    <s v="AB104511"/>
    <x v="7"/>
    <n v="590616"/>
    <x v="1"/>
  </r>
  <r>
    <n v="10155"/>
    <n v="7"/>
    <d v="2013-11-05T00:00:00"/>
    <s v="BLU-RAY"/>
    <n v="102515"/>
    <s v="AB104514"/>
    <x v="9"/>
    <n v="277373"/>
    <x v="1"/>
  </r>
  <r>
    <n v="10288"/>
    <n v="5"/>
    <d v="2013-11-06T00:00:00"/>
    <s v="DVD"/>
    <n v="102516"/>
    <s v="AB104517"/>
    <x v="12"/>
    <n v="433442"/>
    <x v="1"/>
  </r>
  <r>
    <n v="10155"/>
    <n v="4"/>
    <d v="2013-11-06T00:00:00"/>
    <s v="DVD"/>
    <n v="102517"/>
    <s v="AB104519"/>
    <x v="9"/>
    <n v="762509"/>
    <x v="1"/>
  </r>
  <r>
    <n v="10262"/>
    <n v="10"/>
    <d v="2013-11-05T00:00:00"/>
    <s v="DVD"/>
    <n v="102518"/>
    <s v="AB104521"/>
    <x v="10"/>
    <n v="427391"/>
    <x v="1"/>
  </r>
  <r>
    <n v="10211"/>
    <n v="4"/>
    <d v="2013-11-06T00:00:00"/>
    <s v="DVD"/>
    <n v="102518"/>
    <s v="AB104522"/>
    <x v="3"/>
    <n v="427391"/>
    <x v="1"/>
  </r>
  <r>
    <n v="10183"/>
    <n v="8"/>
    <d v="2013-11-05T00:00:00"/>
    <s v="DVD"/>
    <n v="102520"/>
    <s v="AB104524"/>
    <x v="4"/>
    <n v="999915"/>
    <x v="1"/>
  </r>
  <r>
    <n v="10286"/>
    <n v="10"/>
    <d v="2013-11-06T00:00:00"/>
    <s v="DVD"/>
    <n v="102520"/>
    <s v="AB104526"/>
    <x v="17"/>
    <n v="999915"/>
    <x v="1"/>
  </r>
  <r>
    <n v="10168"/>
    <n v="10"/>
    <d v="2013-11-06T00:00:00"/>
    <s v="DVD"/>
    <n v="102522"/>
    <s v="AB104532"/>
    <x v="1"/>
    <n v="515790"/>
    <x v="1"/>
  </r>
  <r>
    <n v="10084"/>
    <n v="5"/>
    <d v="2013-11-06T00:00:00"/>
    <s v="DVD"/>
    <n v="102524"/>
    <s v="AB104537"/>
    <x v="18"/>
    <n v="994269"/>
    <x v="1"/>
  </r>
  <r>
    <n v="10073"/>
    <n v="3"/>
    <d v="2013-11-09T00:00:00"/>
    <s v="DVD"/>
    <n v="102527"/>
    <s v="AB104542"/>
    <x v="16"/>
    <n v="646700"/>
    <x v="1"/>
  </r>
  <r>
    <n v="10211"/>
    <n v="1"/>
    <d v="2013-11-08T00:00:00"/>
    <s v="BLU-RAY"/>
    <n v="102527"/>
    <s v="AB104543"/>
    <x v="3"/>
    <n v="646700"/>
    <x v="1"/>
  </r>
  <r>
    <n v="10217"/>
    <n v="10"/>
    <d v="2013-11-08T00:00:00"/>
    <s v="DVD"/>
    <n v="102530"/>
    <s v="AB104550"/>
    <x v="0"/>
    <n v="561305"/>
    <x v="1"/>
  </r>
  <r>
    <n v="10292"/>
    <n v="6"/>
    <d v="2013-11-08T00:00:00"/>
    <s v="DVD"/>
    <n v="102531"/>
    <s v="AB104551"/>
    <x v="15"/>
    <n v="226909"/>
    <x v="1"/>
  </r>
  <r>
    <n v="10113"/>
    <n v="3"/>
    <d v="2013-11-08T00:00:00"/>
    <s v="DVD"/>
    <n v="102532"/>
    <s v="AB104553"/>
    <x v="10"/>
    <n v="590616"/>
    <x v="1"/>
  </r>
  <r>
    <n v="10271"/>
    <n v="7"/>
    <d v="2013-11-07T00:00:00"/>
    <s v="DVD"/>
    <n v="102533"/>
    <s v="AB104556"/>
    <x v="7"/>
    <n v="852925"/>
    <x v="1"/>
  </r>
  <r>
    <n v="10193"/>
    <n v="4"/>
    <d v="2013-11-15T00:00:00"/>
    <s v="DVD"/>
    <n v="102534"/>
    <s v="AB104557"/>
    <x v="9"/>
    <n v="840096"/>
    <x v="1"/>
  </r>
  <r>
    <n v="10274"/>
    <n v="10"/>
    <d v="2013-11-08T00:00:00"/>
    <s v="DVD"/>
    <n v="102535"/>
    <s v="AB104560"/>
    <x v="9"/>
    <n v="352644"/>
    <x v="1"/>
  </r>
  <r>
    <n v="10155"/>
    <n v="7"/>
    <d v="2013-11-08T00:00:00"/>
    <s v="BLU-RAY"/>
    <n v="102535"/>
    <s v="AB104561"/>
    <x v="9"/>
    <n v="352644"/>
    <x v="1"/>
  </r>
  <r>
    <n v="10219"/>
    <n v="10"/>
    <d v="2013-11-09T00:00:00"/>
    <s v="DVD"/>
    <n v="102537"/>
    <s v="AB104564"/>
    <x v="1"/>
    <n v="127472"/>
    <x v="1"/>
  </r>
  <r>
    <n v="10292"/>
    <n v="5"/>
    <d v="2013-11-09T00:00:00"/>
    <s v="DVD"/>
    <n v="102537"/>
    <s v="AB104565"/>
    <x v="15"/>
    <n v="127472"/>
    <x v="1"/>
  </r>
  <r>
    <n v="10090"/>
    <n v="2"/>
    <d v="2013-11-11T00:00:00"/>
    <s v="DVD"/>
    <n v="102539"/>
    <s v="AB104569"/>
    <x v="1"/>
    <n v="696852"/>
    <x v="1"/>
  </r>
  <r>
    <n v="10254"/>
    <n v="5"/>
    <d v="2013-11-09T00:00:00"/>
    <s v="DVD"/>
    <n v="102542"/>
    <s v="AB104576"/>
    <x v="1"/>
    <n v="216475"/>
    <x v="1"/>
  </r>
  <r>
    <n v="10219"/>
    <n v="3"/>
    <d v="2013-11-09T00:00:00"/>
    <s v="DVD"/>
    <n v="102542"/>
    <s v="AB104577"/>
    <x v="1"/>
    <n v="216475"/>
    <x v="1"/>
  </r>
  <r>
    <n v="10057"/>
    <n v="9"/>
    <d v="2013-11-12T00:00:00"/>
    <s v="DVD"/>
    <n v="102543"/>
    <s v="AB104578"/>
    <x v="0"/>
    <n v="706101"/>
    <x v="1"/>
  </r>
  <r>
    <n v="10267"/>
    <n v="5"/>
    <d v="2013-11-12T00:00:00"/>
    <s v="DVD"/>
    <n v="102544"/>
    <s v="AB104580"/>
    <x v="6"/>
    <n v="347189"/>
    <x v="1"/>
  </r>
  <r>
    <n v="10233"/>
    <n v="4"/>
    <d v="2013-11-09T00:00:00"/>
    <s v="DVD"/>
    <n v="102545"/>
    <s v="AB104582"/>
    <x v="8"/>
    <n v="412929"/>
    <x v="1"/>
  </r>
  <r>
    <n v="10206"/>
    <n v="8"/>
    <d v="2013-11-11T00:00:00"/>
    <s v="DVD"/>
    <n v="102546"/>
    <s v="AB104583"/>
    <x v="9"/>
    <n v="665282"/>
    <x v="1"/>
  </r>
  <r>
    <n v="10290"/>
    <n v="5"/>
    <d v="2013-11-10T00:00:00"/>
    <s v="DVD"/>
    <n v="102546"/>
    <s v="AB104585"/>
    <x v="2"/>
    <n v="665282"/>
    <x v="1"/>
  </r>
  <r>
    <n v="10137"/>
    <n v="4"/>
    <d v="2013-11-11T00:00:00"/>
    <s v="DVD"/>
    <n v="102547"/>
    <s v="AB104587"/>
    <x v="3"/>
    <n v="781523"/>
    <x v="1"/>
  </r>
  <r>
    <n v="10196"/>
    <n v="9"/>
    <d v="2013-11-10T00:00:00"/>
    <s v="BLU-RAY"/>
    <n v="102547"/>
    <s v="AB104588"/>
    <x v="9"/>
    <n v="781523"/>
    <x v="1"/>
  </r>
  <r>
    <n v="10230"/>
    <n v="1"/>
    <d v="2013-11-10T00:00:00"/>
    <s v="BLU-RAY"/>
    <n v="102548"/>
    <s v="AB104589"/>
    <x v="14"/>
    <n v="353846"/>
    <x v="1"/>
  </r>
  <r>
    <n v="10234"/>
    <n v="2"/>
    <d v="2013-11-10T00:00:00"/>
    <s v="DVD"/>
    <n v="102548"/>
    <s v="AB104591"/>
    <x v="0"/>
    <n v="353846"/>
    <x v="1"/>
  </r>
  <r>
    <n v="10072"/>
    <n v="10"/>
    <d v="2013-11-13T00:00:00"/>
    <s v="BLU-RAY"/>
    <n v="102549"/>
    <s v="AB104593"/>
    <x v="1"/>
    <n v="592592"/>
    <x v="1"/>
  </r>
  <r>
    <n v="10241"/>
    <n v="10"/>
    <d v="2013-11-10T00:00:00"/>
    <s v="DVD"/>
    <n v="102549"/>
    <s v="AB104594"/>
    <x v="0"/>
    <n v="592592"/>
    <x v="1"/>
  </r>
  <r>
    <n v="10255"/>
    <n v="7"/>
    <d v="2013-11-10T00:00:00"/>
    <s v="DVD"/>
    <n v="102550"/>
    <s v="AB104595"/>
    <x v="1"/>
    <n v="418521"/>
    <x v="1"/>
  </r>
  <r>
    <n v="10089"/>
    <n v="6"/>
    <d v="2013-11-11T00:00:00"/>
    <s v="DVD"/>
    <n v="102551"/>
    <s v="AB104596"/>
    <x v="4"/>
    <n v="137696"/>
    <x v="1"/>
  </r>
  <r>
    <n v="10069"/>
    <n v="6"/>
    <d v="2013-11-10T00:00:00"/>
    <s v="DVD"/>
    <n v="102551"/>
    <s v="AB104597"/>
    <x v="0"/>
    <n v="137696"/>
    <x v="1"/>
  </r>
  <r>
    <n v="10079"/>
    <n v="9"/>
    <d v="2013-11-11T00:00:00"/>
    <s v="DVD"/>
    <n v="102551"/>
    <s v="AB104598"/>
    <x v="0"/>
    <n v="137696"/>
    <x v="1"/>
  </r>
  <r>
    <n v="10215"/>
    <n v="8"/>
    <d v="2013-11-13T00:00:00"/>
    <s v="BLU-RAY"/>
    <n v="102552"/>
    <s v="AB104599"/>
    <x v="1"/>
    <n v="500350"/>
    <x v="1"/>
  </r>
  <r>
    <n v="10102"/>
    <n v="8"/>
    <d v="2013-11-10T00:00:00"/>
    <s v="DVD"/>
    <n v="102552"/>
    <s v="AB104600"/>
    <x v="7"/>
    <n v="500350"/>
    <x v="1"/>
  </r>
  <r>
    <n v="10286"/>
    <n v="3"/>
    <d v="2013-11-12T00:00:00"/>
    <s v="DVD"/>
    <n v="102558"/>
    <s v="AB104606"/>
    <x v="17"/>
    <n v="961080"/>
    <x v="1"/>
  </r>
  <r>
    <n v="10077"/>
    <n v="1"/>
    <d v="2013-11-12T00:00:00"/>
    <s v="DVD"/>
    <n v="102559"/>
    <s v="AB104609"/>
    <x v="0"/>
    <n v="175940"/>
    <x v="1"/>
  </r>
  <r>
    <n v="10133"/>
    <n v="1"/>
    <d v="2013-11-12T00:00:00"/>
    <s v="DVD"/>
    <n v="102561"/>
    <s v="AB104610"/>
    <x v="9"/>
    <n v="676155"/>
    <x v="1"/>
  </r>
  <r>
    <n v="10090"/>
    <n v="5"/>
    <d v="2013-11-11T00:00:00"/>
    <s v="DVD"/>
    <n v="102561"/>
    <s v="AB104612"/>
    <x v="1"/>
    <n v="676155"/>
    <x v="1"/>
  </r>
  <r>
    <n v="10201"/>
    <n v="4"/>
    <d v="2013-11-13T00:00:00"/>
    <s v="DVD"/>
    <n v="102562"/>
    <s v="AB104614"/>
    <x v="8"/>
    <n v="924649"/>
    <x v="1"/>
  </r>
  <r>
    <n v="10197"/>
    <n v="9"/>
    <d v="2013-11-13T00:00:00"/>
    <s v="DVD"/>
    <n v="102563"/>
    <s v="AB104617"/>
    <x v="0"/>
    <n v="134457"/>
    <x v="1"/>
  </r>
  <r>
    <n v="10160"/>
    <n v="6"/>
    <d v="2013-11-12T00:00:00"/>
    <s v="DVD"/>
    <n v="102567"/>
    <s v="AB104622"/>
    <x v="10"/>
    <n v="734624"/>
    <x v="1"/>
  </r>
  <r>
    <n v="10228"/>
    <n v="5"/>
    <d v="2013-11-13T00:00:00"/>
    <s v="DVD"/>
    <n v="102568"/>
    <s v="AB104625"/>
    <x v="7"/>
    <n v="534481"/>
    <x v="1"/>
  </r>
  <r>
    <n v="10187"/>
    <n v="9"/>
    <d v="2013-11-13T00:00:00"/>
    <s v="DVD"/>
    <n v="102569"/>
    <s v="AB104627"/>
    <x v="1"/>
    <n v="513968"/>
    <x v="1"/>
  </r>
  <r>
    <n v="10295"/>
    <n v="9"/>
    <d v="2013-11-12T00:00:00"/>
    <s v="DVD"/>
    <n v="102569"/>
    <s v="AB104628"/>
    <x v="21"/>
    <n v="513968"/>
    <x v="1"/>
  </r>
  <r>
    <n v="10182"/>
    <n v="2"/>
    <d v="2013-11-13T00:00:00"/>
    <s v="BLU-RAY"/>
    <n v="102571"/>
    <s v="AB104631"/>
    <x v="0"/>
    <n v="926289"/>
    <x v="1"/>
  </r>
  <r>
    <n v="10066"/>
    <n v="7"/>
    <d v="2013-11-14T00:00:00"/>
    <s v="DVD"/>
    <n v="102573"/>
    <s v="AB104636"/>
    <x v="3"/>
    <n v="249779"/>
    <x v="1"/>
  </r>
  <r>
    <n v="10258"/>
    <n v="9"/>
    <d v="2013-11-13T00:00:00"/>
    <s v="BLU-RAY"/>
    <n v="102573"/>
    <s v="AB104637"/>
    <x v="0"/>
    <n v="249779"/>
    <x v="1"/>
  </r>
  <r>
    <n v="10281"/>
    <n v="1"/>
    <d v="2013-11-16T00:00:00"/>
    <s v="DVD"/>
    <n v="102575"/>
    <s v="AB104641"/>
    <x v="10"/>
    <n v="494106"/>
    <x v="1"/>
  </r>
  <r>
    <n v="10253"/>
    <n v="5"/>
    <d v="2013-11-13T00:00:00"/>
    <s v="DVD"/>
    <n v="102575"/>
    <s v="AB104642"/>
    <x v="3"/>
    <n v="494106"/>
    <x v="1"/>
  </r>
  <r>
    <n v="10152"/>
    <n v="1"/>
    <d v="2013-11-13T00:00:00"/>
    <s v="DVD"/>
    <n v="102576"/>
    <s v="AB104643"/>
    <x v="16"/>
    <n v="274541"/>
    <x v="1"/>
  </r>
  <r>
    <n v="10215"/>
    <n v="2"/>
    <d v="2013-11-13T00:00:00"/>
    <s v="DVD"/>
    <n v="102577"/>
    <s v="AB104645"/>
    <x v="1"/>
    <n v="550824"/>
    <x v="1"/>
  </r>
  <r>
    <n v="10168"/>
    <n v="7"/>
    <d v="2013-11-14T00:00:00"/>
    <s v="DVD"/>
    <n v="102578"/>
    <s v="AB104647"/>
    <x v="1"/>
    <n v="405671"/>
    <x v="1"/>
  </r>
  <r>
    <n v="10287"/>
    <n v="5"/>
    <d v="2013-11-14T00:00:00"/>
    <s v="BLU-RAY"/>
    <n v="102581"/>
    <s v="AB104652"/>
    <x v="10"/>
    <n v="561305"/>
    <x v="1"/>
  </r>
  <r>
    <n v="10273"/>
    <n v="10"/>
    <d v="2013-11-14T00:00:00"/>
    <s v="DVD"/>
    <n v="102582"/>
    <s v="AB104654"/>
    <x v="4"/>
    <n v="301793"/>
    <x v="1"/>
  </r>
  <r>
    <n v="10136"/>
    <n v="10"/>
    <d v="2013-11-14T00:00:00"/>
    <s v="DVD"/>
    <n v="102584"/>
    <s v="AB104658"/>
    <x v="2"/>
    <n v="994185"/>
    <x v="1"/>
  </r>
  <r>
    <n v="10158"/>
    <n v="3"/>
    <d v="2013-11-17T00:00:00"/>
    <s v="DVD"/>
    <n v="102586"/>
    <s v="AB104661"/>
    <x v="0"/>
    <n v="803700"/>
    <x v="1"/>
  </r>
  <r>
    <n v="10195"/>
    <n v="5"/>
    <d v="2013-11-16T00:00:00"/>
    <s v="BLU-RAY"/>
    <n v="102587"/>
    <s v="AB104662"/>
    <x v="4"/>
    <n v="744416"/>
    <x v="1"/>
  </r>
  <r>
    <n v="10005"/>
    <n v="1"/>
    <d v="2013-11-21T00:00:00"/>
    <s v="BLU-RAY"/>
    <n v="102590"/>
    <s v="AB104666"/>
    <x v="3"/>
    <n v="781968"/>
    <x v="1"/>
  </r>
  <r>
    <n v="10088"/>
    <n v="8"/>
    <d v="2013-11-16T00:00:00"/>
    <s v="DVD"/>
    <n v="102590"/>
    <s v="AB104668"/>
    <x v="0"/>
    <n v="781968"/>
    <x v="1"/>
  </r>
  <r>
    <n v="10239"/>
    <n v="9"/>
    <d v="2013-11-20T00:00:00"/>
    <s v="DVD"/>
    <n v="102591"/>
    <s v="AB104669"/>
    <x v="2"/>
    <n v="216081"/>
    <x v="1"/>
  </r>
  <r>
    <n v="10055"/>
    <n v="7"/>
    <d v="2013-11-20T00:00:00"/>
    <s v="DVD"/>
    <n v="102591"/>
    <s v="AB104670"/>
    <x v="15"/>
    <n v="216081"/>
    <x v="1"/>
  </r>
  <r>
    <n v="10224"/>
    <n v="3"/>
    <d v="2013-11-16T00:00:00"/>
    <s v="DVD"/>
    <n v="102592"/>
    <s v="AB104673"/>
    <x v="17"/>
    <n v="657495"/>
    <x v="1"/>
  </r>
  <r>
    <n v="10133"/>
    <n v="7"/>
    <d v="2013-11-19T00:00:00"/>
    <s v="DVD"/>
    <n v="102594"/>
    <s v="AB104675"/>
    <x v="9"/>
    <n v="885548"/>
    <x v="1"/>
  </r>
  <r>
    <n v="10270"/>
    <n v="2"/>
    <d v="2013-11-17T00:00:00"/>
    <s v="DVD"/>
    <n v="102594"/>
    <s v="AB104676"/>
    <x v="9"/>
    <n v="885548"/>
    <x v="1"/>
  </r>
  <r>
    <n v="10257"/>
    <n v="3"/>
    <d v="2013-11-17T00:00:00"/>
    <s v="DVD"/>
    <n v="102595"/>
    <s v="AB104677"/>
    <x v="9"/>
    <n v="464984"/>
    <x v="1"/>
  </r>
  <r>
    <n v="10299"/>
    <n v="5"/>
    <d v="2013-11-17T00:00:00"/>
    <s v="DVD"/>
    <n v="102596"/>
    <s v="AB104678"/>
    <x v="22"/>
    <n v="317807"/>
    <x v="1"/>
  </r>
  <r>
    <n v="10146"/>
    <n v="1"/>
    <d v="2013-11-17T00:00:00"/>
    <s v="DVD"/>
    <n v="102597"/>
    <s v="AB104682"/>
    <x v="4"/>
    <n v="409910"/>
    <x v="1"/>
  </r>
  <r>
    <n v="10137"/>
    <n v="6"/>
    <d v="2013-11-20T00:00:00"/>
    <s v="DVD"/>
    <n v="102598"/>
    <s v="AB104683"/>
    <x v="3"/>
    <n v="459243"/>
    <x v="1"/>
  </r>
  <r>
    <n v="10281"/>
    <n v="8"/>
    <d v="2013-11-18T00:00:00"/>
    <s v="BLU-RAY"/>
    <n v="102599"/>
    <s v="AB104685"/>
    <x v="10"/>
    <n v="791559"/>
    <x v="1"/>
  </r>
  <r>
    <n v="10282"/>
    <n v="10"/>
    <d v="2013-11-20T00:00:00"/>
    <s v="DVD"/>
    <n v="102602"/>
    <s v="AB104690"/>
    <x v="15"/>
    <n v="547890"/>
    <x v="1"/>
  </r>
  <r>
    <n v="10166"/>
    <n v="9"/>
    <d v="2013-11-19T00:00:00"/>
    <s v="DVD"/>
    <n v="102604"/>
    <s v="AB104697"/>
    <x v="9"/>
    <n v="624668"/>
    <x v="1"/>
  </r>
  <r>
    <n v="10220"/>
    <n v="9"/>
    <d v="2013-11-18T00:00:00"/>
    <s v="DVD"/>
    <n v="102607"/>
    <s v="AB104700"/>
    <x v="9"/>
    <n v="657495"/>
    <x v="1"/>
  </r>
  <r>
    <n v="10045"/>
    <n v="7"/>
    <d v="2013-11-18T00:00:00"/>
    <s v="DVD"/>
    <n v="102607"/>
    <s v="AB104701"/>
    <x v="0"/>
    <n v="657495"/>
    <x v="1"/>
  </r>
  <r>
    <n v="10210"/>
    <n v="2"/>
    <d v="2013-11-19T00:00:00"/>
    <s v="DVD"/>
    <n v="102609"/>
    <s v="AB104708"/>
    <x v="4"/>
    <n v="487346"/>
    <x v="1"/>
  </r>
  <r>
    <n v="10282"/>
    <n v="9"/>
    <d v="2013-11-22T00:00:00"/>
    <s v="DVD"/>
    <n v="102610"/>
    <s v="AB104709"/>
    <x v="15"/>
    <n v="330223"/>
    <x v="1"/>
  </r>
  <r>
    <n v="10217"/>
    <n v="1"/>
    <d v="2013-11-21T00:00:00"/>
    <s v="DVD"/>
    <n v="102613"/>
    <s v="AB104713"/>
    <x v="0"/>
    <n v="781968"/>
    <x v="1"/>
  </r>
  <r>
    <n v="10019"/>
    <n v="4"/>
    <d v="2013-11-20T00:00:00"/>
    <s v="DVD"/>
    <n v="102614"/>
    <s v="AB104716"/>
    <x v="9"/>
    <n v="893039"/>
    <x v="1"/>
  </r>
  <r>
    <n v="10188"/>
    <n v="4"/>
    <d v="2013-11-21T00:00:00"/>
    <s v="DVD"/>
    <n v="102618"/>
    <s v="AB104718"/>
    <x v="1"/>
    <n v="880238"/>
    <x v="1"/>
  </r>
  <r>
    <n v="10230"/>
    <n v="10"/>
    <d v="2013-11-20T00:00:00"/>
    <s v="DVD"/>
    <n v="102620"/>
    <s v="AB104722"/>
    <x v="14"/>
    <n v="182040"/>
    <x v="1"/>
  </r>
  <r>
    <n v="10137"/>
    <n v="9"/>
    <d v="2013-11-20T00:00:00"/>
    <s v="BLU-RAY"/>
    <n v="102620"/>
    <s v="AB104723"/>
    <x v="3"/>
    <n v="182040"/>
    <x v="1"/>
  </r>
  <r>
    <n v="10088"/>
    <n v="10"/>
    <d v="2013-11-21T00:00:00"/>
    <s v="DVD"/>
    <n v="102621"/>
    <s v="AB104724"/>
    <x v="0"/>
    <n v="999915"/>
    <x v="1"/>
  </r>
  <r>
    <n v="10282"/>
    <n v="5"/>
    <d v="2013-11-21T00:00:00"/>
    <s v="BLU-RAY"/>
    <n v="102622"/>
    <s v="AB104728"/>
    <x v="15"/>
    <n v="671363"/>
    <x v="1"/>
  </r>
  <r>
    <n v="10176"/>
    <n v="4"/>
    <d v="2013-11-20T00:00:00"/>
    <s v="DVD"/>
    <n v="102623"/>
    <s v="AB104730"/>
    <x v="7"/>
    <n v="158528"/>
    <x v="1"/>
  </r>
  <r>
    <n v="10275"/>
    <n v="2"/>
    <d v="2013-11-20T00:00:00"/>
    <s v="DVD"/>
    <n v="102623"/>
    <s v="AB104731"/>
    <x v="10"/>
    <n v="158528"/>
    <x v="1"/>
  </r>
  <r>
    <n v="10068"/>
    <n v="5"/>
    <d v="2013-11-23T00:00:00"/>
    <s v="BLU-RAY"/>
    <n v="102627"/>
    <s v="AB104734"/>
    <x v="0"/>
    <n v="448993"/>
    <x v="1"/>
  </r>
  <r>
    <n v="10167"/>
    <n v="1"/>
    <d v="2013-11-22T00:00:00"/>
    <s v="DVD"/>
    <n v="102630"/>
    <s v="AB104738"/>
    <x v="7"/>
    <n v="414509"/>
    <x v="1"/>
  </r>
  <r>
    <n v="10265"/>
    <n v="7"/>
    <d v="2013-11-21T00:00:00"/>
    <s v="BLU-RAY"/>
    <n v="102630"/>
    <s v="AB104739"/>
    <x v="0"/>
    <n v="414509"/>
    <x v="1"/>
  </r>
  <r>
    <n v="10033"/>
    <n v="7"/>
    <d v="2013-11-21T00:00:00"/>
    <s v="DVD"/>
    <n v="102631"/>
    <s v="AB104742"/>
    <x v="10"/>
    <n v="111486"/>
    <x v="1"/>
  </r>
  <r>
    <n v="10288"/>
    <n v="6"/>
    <d v="2013-11-22T00:00:00"/>
    <s v="DVD"/>
    <n v="102634"/>
    <s v="AB104745"/>
    <x v="12"/>
    <n v="447601"/>
    <x v="1"/>
  </r>
  <r>
    <n v="10297"/>
    <n v="2"/>
    <d v="2013-11-25T00:00:00"/>
    <s v="DVD"/>
    <n v="102635"/>
    <s v="AB104746"/>
    <x v="14"/>
    <n v="995599"/>
    <x v="1"/>
  </r>
  <r>
    <n v="10224"/>
    <n v="8"/>
    <d v="2013-11-22T00:00:00"/>
    <s v="BLU-RAY"/>
    <n v="102635"/>
    <s v="AB104747"/>
    <x v="17"/>
    <n v="995599"/>
    <x v="1"/>
  </r>
  <r>
    <n v="10002"/>
    <n v="1"/>
    <d v="2013-11-25T00:00:00"/>
    <s v="DVD"/>
    <n v="102636"/>
    <s v="AB104752"/>
    <x v="10"/>
    <n v="390130"/>
    <x v="1"/>
  </r>
  <r>
    <n v="10175"/>
    <n v="9"/>
    <d v="2013-11-22T00:00:00"/>
    <s v="DVD"/>
    <n v="102637"/>
    <s v="AB104753"/>
    <x v="3"/>
    <n v="554099"/>
    <x v="1"/>
  </r>
  <r>
    <n v="10119"/>
    <n v="4"/>
    <d v="2013-11-23T00:00:00"/>
    <s v="DVD"/>
    <n v="102638"/>
    <s v="AB104754"/>
    <x v="7"/>
    <n v="992956"/>
    <x v="1"/>
  </r>
  <r>
    <n v="10288"/>
    <n v="10"/>
    <d v="2013-11-23T00:00:00"/>
    <s v="DVD"/>
    <n v="102639"/>
    <s v="AB104755"/>
    <x v="12"/>
    <n v="498153"/>
    <x v="1"/>
  </r>
  <r>
    <n v="10294"/>
    <n v="10"/>
    <d v="2013-11-23T00:00:00"/>
    <s v="DVD"/>
    <n v="102641"/>
    <s v="AB104758"/>
    <x v="2"/>
    <n v="565259"/>
    <x v="1"/>
  </r>
  <r>
    <n v="10239"/>
    <n v="2"/>
    <d v="2013-11-25T00:00:00"/>
    <s v="BLU-RAY"/>
    <n v="102644"/>
    <s v="AB104760"/>
    <x v="2"/>
    <n v="921901"/>
    <x v="1"/>
  </r>
  <r>
    <n v="10112"/>
    <n v="2"/>
    <d v="2013-11-23T00:00:00"/>
    <s v="DVD"/>
    <n v="102645"/>
    <s v="AB104762"/>
    <x v="12"/>
    <n v="741514"/>
    <x v="1"/>
  </r>
  <r>
    <n v="10261"/>
    <n v="3"/>
    <d v="2013-11-23T00:00:00"/>
    <s v="DVD"/>
    <n v="102645"/>
    <s v="AB104763"/>
    <x v="9"/>
    <n v="741514"/>
    <x v="1"/>
  </r>
  <r>
    <n v="10119"/>
    <n v="8"/>
    <d v="2013-11-27T00:00:00"/>
    <s v="BLU-RAY"/>
    <n v="102646"/>
    <s v="AB104764"/>
    <x v="7"/>
    <n v="693531"/>
    <x v="1"/>
  </r>
  <r>
    <n v="10204"/>
    <n v="9"/>
    <d v="2013-11-23T00:00:00"/>
    <s v="BLU-RAY"/>
    <n v="102646"/>
    <s v="AB104765"/>
    <x v="7"/>
    <n v="693531"/>
    <x v="1"/>
  </r>
  <r>
    <n v="10247"/>
    <n v="6"/>
    <d v="2013-11-28T00:00:00"/>
    <s v="DVD"/>
    <n v="102647"/>
    <s v="AB104766"/>
    <x v="9"/>
    <n v="958321"/>
    <x v="1"/>
  </r>
  <r>
    <n v="10016"/>
    <n v="6"/>
    <d v="2013-11-28T00:00:00"/>
    <s v="DVD"/>
    <n v="102649"/>
    <s v="AB104772"/>
    <x v="7"/>
    <n v="717234"/>
    <x v="1"/>
  </r>
  <r>
    <n v="10138"/>
    <n v="1"/>
    <d v="2013-11-24T00:00:00"/>
    <s v="BLU-RAY"/>
    <n v="102650"/>
    <s v="AB104774"/>
    <x v="7"/>
    <n v="147543"/>
    <x v="1"/>
  </r>
  <r>
    <n v="10167"/>
    <n v="8"/>
    <d v="2013-11-29T00:00:00"/>
    <s v="BLU-RAY"/>
    <n v="102650"/>
    <s v="AB104775"/>
    <x v="7"/>
    <n v="147543"/>
    <x v="1"/>
  </r>
  <r>
    <n v="10171"/>
    <n v="3"/>
    <d v="2013-11-29T00:00:00"/>
    <s v="DVD"/>
    <n v="102652"/>
    <s v="AB104777"/>
    <x v="7"/>
    <n v="888952"/>
    <x v="1"/>
  </r>
  <r>
    <n v="10076"/>
    <n v="3"/>
    <d v="2013-11-25T00:00:00"/>
    <s v="DVD"/>
    <n v="102652"/>
    <s v="AB104779"/>
    <x v="4"/>
    <n v="888952"/>
    <x v="1"/>
  </r>
  <r>
    <n v="10282"/>
    <n v="7"/>
    <d v="2013-11-24T00:00:00"/>
    <s v="DVD"/>
    <n v="102653"/>
    <s v="AB104781"/>
    <x v="15"/>
    <n v="761615"/>
    <x v="1"/>
  </r>
  <r>
    <n v="10187"/>
    <n v="10"/>
    <d v="2013-11-29T00:00:00"/>
    <s v="DVD"/>
    <n v="102653"/>
    <s v="AB104782"/>
    <x v="1"/>
    <n v="761615"/>
    <x v="1"/>
  </r>
  <r>
    <n v="10162"/>
    <n v="6"/>
    <d v="2013-11-24T00:00:00"/>
    <s v="DVD"/>
    <n v="102654"/>
    <s v="AB104783"/>
    <x v="4"/>
    <n v="734514"/>
    <x v="1"/>
  </r>
  <r>
    <n v="10251"/>
    <n v="2"/>
    <d v="2013-11-26T00:00:00"/>
    <s v="DVD"/>
    <n v="102654"/>
    <s v="AB104784"/>
    <x v="7"/>
    <n v="734514"/>
    <x v="1"/>
  </r>
  <r>
    <n v="10186"/>
    <n v="7"/>
    <d v="2013-12-02T00:00:00"/>
    <s v="DVD"/>
    <n v="102656"/>
    <s v="AB104788"/>
    <x v="10"/>
    <n v="286196"/>
    <x v="1"/>
  </r>
  <r>
    <n v="10238"/>
    <n v="10"/>
    <d v="2013-11-25T00:00:00"/>
    <s v="BLU-RAY"/>
    <n v="102658"/>
    <s v="AB104794"/>
    <x v="0"/>
    <n v="343021"/>
    <x v="1"/>
  </r>
  <r>
    <n v="10166"/>
    <n v="1"/>
    <d v="2013-11-25T00:00:00"/>
    <s v="DVD"/>
    <n v="102659"/>
    <s v="AB104795"/>
    <x v="9"/>
    <n v="924361"/>
    <x v="1"/>
  </r>
  <r>
    <n v="10197"/>
    <n v="7"/>
    <d v="2013-11-25T00:00:00"/>
    <s v="DVD"/>
    <n v="102659"/>
    <s v="AB104796"/>
    <x v="0"/>
    <n v="924361"/>
    <x v="1"/>
  </r>
  <r>
    <n v="10228"/>
    <n v="2"/>
    <d v="2013-11-25T00:00:00"/>
    <s v="DVD"/>
    <n v="102659"/>
    <s v="AB104797"/>
    <x v="7"/>
    <n v="924361"/>
    <x v="1"/>
  </r>
  <r>
    <n v="10046"/>
    <n v="6"/>
    <d v="2013-11-29T00:00:00"/>
    <s v="DVD"/>
    <n v="102660"/>
    <s v="AB104798"/>
    <x v="4"/>
    <n v="145929"/>
    <x v="1"/>
  </r>
  <r>
    <n v="10288"/>
    <n v="8"/>
    <d v="2013-11-25T00:00:00"/>
    <s v="DVD"/>
    <n v="102660"/>
    <s v="AB104799"/>
    <x v="12"/>
    <n v="145929"/>
    <x v="1"/>
  </r>
  <r>
    <n v="10149"/>
    <n v="1"/>
    <d v="2013-11-25T00:00:00"/>
    <s v="DVD"/>
    <n v="102660"/>
    <s v="AB104800"/>
    <x v="12"/>
    <n v="145929"/>
    <x v="1"/>
  </r>
  <r>
    <n v="10228"/>
    <n v="5"/>
    <d v="2013-11-29T00:00:00"/>
    <s v="DVD"/>
    <n v="102665"/>
    <s v="AB104809"/>
    <x v="7"/>
    <n v="775449"/>
    <x v="1"/>
  </r>
  <r>
    <n v="10265"/>
    <n v="7"/>
    <d v="2013-12-01T00:00:00"/>
    <s v="BLU-RAY"/>
    <n v="102666"/>
    <s v="AB104811"/>
    <x v="0"/>
    <n v="433442"/>
    <x v="1"/>
  </r>
  <r>
    <n v="10107"/>
    <n v="4"/>
    <d v="2013-11-27T00:00:00"/>
    <s v="BLU-RAY"/>
    <n v="102666"/>
    <s v="AB104812"/>
    <x v="7"/>
    <n v="433442"/>
    <x v="1"/>
  </r>
  <r>
    <n v="10212"/>
    <n v="3"/>
    <d v="2013-11-26T00:00:00"/>
    <s v="DVD"/>
    <n v="102666"/>
    <s v="AB104813"/>
    <x v="10"/>
    <n v="433442"/>
    <x v="1"/>
  </r>
  <r>
    <n v="10273"/>
    <n v="5"/>
    <d v="2013-11-27T00:00:00"/>
    <s v="DVD"/>
    <n v="102669"/>
    <s v="AB104816"/>
    <x v="4"/>
    <n v="194680"/>
    <x v="1"/>
  </r>
  <r>
    <n v="10079"/>
    <n v="6"/>
    <d v="2013-11-26T00:00:00"/>
    <s v="BLU-RAY"/>
    <n v="102670"/>
    <s v="AB104818"/>
    <x v="0"/>
    <n v="941876"/>
    <x v="1"/>
  </r>
  <r>
    <n v="10148"/>
    <n v="9"/>
    <d v="2013-11-27T00:00:00"/>
    <s v="DVD"/>
    <n v="102670"/>
    <s v="AB104819"/>
    <x v="1"/>
    <n v="941876"/>
    <x v="1"/>
  </r>
  <r>
    <n v="10099"/>
    <n v="8"/>
    <d v="2013-11-28T00:00:00"/>
    <s v="DVD"/>
    <n v="102671"/>
    <s v="AB104821"/>
    <x v="10"/>
    <n v="575041"/>
    <x v="1"/>
  </r>
  <r>
    <n v="10054"/>
    <n v="3"/>
    <d v="2013-11-27T00:00:00"/>
    <s v="BLU-RAY"/>
    <n v="102671"/>
    <s v="AB104823"/>
    <x v="1"/>
    <n v="575041"/>
    <x v="1"/>
  </r>
  <r>
    <n v="10039"/>
    <n v="8"/>
    <d v="2013-11-27T00:00:00"/>
    <s v="DVD"/>
    <n v="102672"/>
    <s v="AB104824"/>
    <x v="11"/>
    <n v="628132"/>
    <x v="1"/>
  </r>
  <r>
    <n v="10097"/>
    <n v="2"/>
    <d v="2013-11-28T00:00:00"/>
    <s v="DVD"/>
    <n v="102674"/>
    <s v="AB104828"/>
    <x v="8"/>
    <n v="426984"/>
    <x v="1"/>
  </r>
  <r>
    <n v="10160"/>
    <n v="8"/>
    <d v="2013-11-28T00:00:00"/>
    <s v="DVD"/>
    <n v="102677"/>
    <s v="AB104832"/>
    <x v="10"/>
    <n v="464277"/>
    <x v="1"/>
  </r>
  <r>
    <n v="10211"/>
    <n v="1"/>
    <d v="2013-11-29T00:00:00"/>
    <s v="DVD"/>
    <n v="102679"/>
    <s v="AB104835"/>
    <x v="3"/>
    <n v="241144"/>
    <x v="1"/>
  </r>
  <r>
    <n v="10376"/>
    <n v="5"/>
    <d v="2013-11-29T00:00:00"/>
    <s v="DVD"/>
    <n v="102680"/>
    <s v="AB104838"/>
    <x v="12"/>
    <n v="345348"/>
    <x v="1"/>
  </r>
  <r>
    <n v="10269"/>
    <n v="6"/>
    <d v="2013-12-01T00:00:00"/>
    <s v="DVD"/>
    <n v="102681"/>
    <s v="AB104840"/>
    <x v="3"/>
    <n v="693531"/>
    <x v="1"/>
  </r>
  <r>
    <n v="10064"/>
    <n v="4"/>
    <d v="2013-11-30T00:00:00"/>
    <s v="DVD"/>
    <n v="102683"/>
    <s v="AB104841"/>
    <x v="7"/>
    <n v="607810"/>
    <x v="1"/>
  </r>
  <r>
    <n v="10166"/>
    <n v="8"/>
    <d v="2013-11-28T00:00:00"/>
    <s v="DVD"/>
    <n v="102683"/>
    <s v="AB104842"/>
    <x v="9"/>
    <n v="607810"/>
    <x v="1"/>
  </r>
  <r>
    <n v="10298"/>
    <n v="9"/>
    <d v="2013-12-01T00:00:00"/>
    <s v="DVD"/>
    <n v="102684"/>
    <s v="AB104843"/>
    <x v="19"/>
    <n v="917728"/>
    <x v="1"/>
  </r>
  <r>
    <n v="10160"/>
    <n v="6"/>
    <d v="2013-12-05T00:00:00"/>
    <s v="DVD"/>
    <n v="102684"/>
    <s v="AB104844"/>
    <x v="10"/>
    <n v="917728"/>
    <x v="1"/>
  </r>
  <r>
    <n v="10152"/>
    <n v="5"/>
    <d v="2013-11-29T00:00:00"/>
    <s v="DVD"/>
    <n v="102686"/>
    <s v="AB104846"/>
    <x v="16"/>
    <n v="850952"/>
    <x v="1"/>
  </r>
  <r>
    <n v="10148"/>
    <n v="6"/>
    <d v="2013-11-29T00:00:00"/>
    <s v="BLU-RAY"/>
    <n v="102688"/>
    <s v="AB104849"/>
    <x v="1"/>
    <n v="515790"/>
    <x v="1"/>
  </r>
  <r>
    <n v="10181"/>
    <n v="9"/>
    <d v="2013-12-02T00:00:00"/>
    <s v="BLU-RAY"/>
    <n v="102689"/>
    <s v="AB104852"/>
    <x v="9"/>
    <n v="415869"/>
    <x v="1"/>
  </r>
  <r>
    <n v="10285"/>
    <n v="2"/>
    <d v="2013-11-29T00:00:00"/>
    <s v="BLU-RAY"/>
    <n v="102689"/>
    <s v="AB104854"/>
    <x v="20"/>
    <n v="415869"/>
    <x v="1"/>
  </r>
  <r>
    <n v="10276"/>
    <n v="5"/>
    <d v="2013-11-29T00:00:00"/>
    <s v="BLU-RAY"/>
    <n v="102691"/>
    <s v="AB104857"/>
    <x v="16"/>
    <n v="147218"/>
    <x v="1"/>
  </r>
  <r>
    <n v="10245"/>
    <n v="8"/>
    <d v="2013-11-29T00:00:00"/>
    <s v="BLU-RAY"/>
    <n v="102692"/>
    <s v="AB104860"/>
    <x v="0"/>
    <n v="468100"/>
    <x v="1"/>
  </r>
  <r>
    <n v="10216"/>
    <n v="4"/>
    <d v="2013-12-01T00:00:00"/>
    <s v="DVD"/>
    <n v="102693"/>
    <s v="AB104863"/>
    <x v="4"/>
    <n v="558749"/>
    <x v="1"/>
  </r>
  <r>
    <n v="10207"/>
    <n v="2"/>
    <d v="2013-12-01T00:00:00"/>
    <s v="BLU-RAY"/>
    <n v="102693"/>
    <s v="AB104864"/>
    <x v="1"/>
    <n v="558749"/>
    <x v="1"/>
  </r>
  <r>
    <n v="10289"/>
    <n v="8"/>
    <d v="2013-12-03T00:00:00"/>
    <s v="DVD"/>
    <n v="102694"/>
    <s v="AB104867"/>
    <x v="11"/>
    <n v="415869"/>
    <x v="1"/>
  </r>
  <r>
    <n v="10237"/>
    <n v="6"/>
    <d v="2013-12-01T00:00:00"/>
    <s v="DVD"/>
    <n v="102694"/>
    <s v="AB104868"/>
    <x v="0"/>
    <n v="415869"/>
    <x v="1"/>
  </r>
  <r>
    <n v="10253"/>
    <n v="7"/>
    <d v="2013-11-30T00:00:00"/>
    <s v="BLU-RAY"/>
    <n v="102697"/>
    <s v="AB104875"/>
    <x v="3"/>
    <n v="192738"/>
    <x v="1"/>
  </r>
  <r>
    <n v="10162"/>
    <n v="8"/>
    <d v="2013-11-30T00:00:00"/>
    <s v="BLU-RAY"/>
    <n v="102697"/>
    <s v="AB104876"/>
    <x v="4"/>
    <n v="192738"/>
    <x v="1"/>
  </r>
  <r>
    <n v="10082"/>
    <n v="4"/>
    <d v="2013-12-01T00:00:00"/>
    <s v="DVD"/>
    <n v="102698"/>
    <s v="AB104879"/>
    <x v="3"/>
    <n v="888952"/>
    <x v="1"/>
  </r>
  <r>
    <n v="10275"/>
    <n v="8"/>
    <d v="2013-12-01T00:00:00"/>
    <s v="DVD"/>
    <n v="102699"/>
    <s v="AB104881"/>
    <x v="10"/>
    <n v="371731"/>
    <x v="1"/>
  </r>
  <r>
    <n v="10289"/>
    <n v="4"/>
    <d v="2013-12-01T00:00:00"/>
    <s v="DVD"/>
    <n v="102699"/>
    <s v="AB104882"/>
    <x v="11"/>
    <n v="371731"/>
    <x v="1"/>
  </r>
  <r>
    <n v="10186"/>
    <n v="10"/>
    <d v="2013-12-01T00:00:00"/>
    <s v="DVD"/>
    <n v="102700"/>
    <s v="AB104883"/>
    <x v="10"/>
    <n v="701816"/>
    <x v="1"/>
  </r>
  <r>
    <n v="10263"/>
    <n v="6"/>
    <d v="2013-12-03T00:00:00"/>
    <s v="DVD"/>
    <n v="102701"/>
    <s v="AB104885"/>
    <x v="9"/>
    <n v="996970"/>
    <x v="1"/>
  </r>
  <r>
    <n v="10269"/>
    <n v="10"/>
    <d v="2013-12-01T00:00:00"/>
    <s v="DVD"/>
    <n v="102701"/>
    <s v="AB104886"/>
    <x v="3"/>
    <n v="996970"/>
    <x v="1"/>
  </r>
  <r>
    <n v="10197"/>
    <n v="4"/>
    <d v="2013-12-02T00:00:00"/>
    <s v="DVD"/>
    <n v="102703"/>
    <s v="AB104888"/>
    <x v="0"/>
    <n v="128131"/>
    <x v="1"/>
  </r>
  <r>
    <n v="10141"/>
    <n v="7"/>
    <d v="2013-12-01T00:00:00"/>
    <s v="DVD"/>
    <n v="102706"/>
    <s v="AB104893"/>
    <x v="0"/>
    <n v="245577"/>
    <x v="1"/>
  </r>
  <r>
    <n v="10253"/>
    <n v="3"/>
    <d v="2013-12-02T00:00:00"/>
    <s v="BLU-RAY"/>
    <n v="102709"/>
    <s v="AB104898"/>
    <x v="3"/>
    <n v="175940"/>
    <x v="1"/>
  </r>
  <r>
    <n v="10268"/>
    <n v="8"/>
    <d v="2013-12-02T00:00:00"/>
    <s v="DVD"/>
    <n v="102709"/>
    <s v="AB104899"/>
    <x v="3"/>
    <n v="175940"/>
    <x v="1"/>
  </r>
  <r>
    <n v="10275"/>
    <n v="5"/>
    <d v="2013-12-03T00:00:00"/>
    <s v="DVD"/>
    <n v="102709"/>
    <s v="AB104900"/>
    <x v="10"/>
    <n v="175940"/>
    <x v="1"/>
  </r>
  <r>
    <n v="10249"/>
    <n v="5"/>
    <d v="2013-12-02T00:00:00"/>
    <s v="DVD"/>
    <n v="102710"/>
    <s v="AB104902"/>
    <x v="5"/>
    <n v="238347"/>
    <x v="1"/>
  </r>
  <r>
    <n v="10248"/>
    <n v="4"/>
    <d v="2013-12-03T00:00:00"/>
    <s v="DVD"/>
    <n v="102710"/>
    <s v="AB104903"/>
    <x v="12"/>
    <n v="238347"/>
    <x v="1"/>
  </r>
  <r>
    <n v="10242"/>
    <n v="1"/>
    <d v="2013-12-03T00:00:00"/>
    <s v="DVD"/>
    <n v="102710"/>
    <s v="AB104904"/>
    <x v="3"/>
    <n v="238347"/>
    <x v="1"/>
  </r>
  <r>
    <n v="10197"/>
    <n v="3"/>
    <d v="2013-12-05T00:00:00"/>
    <s v="BLU-RAY"/>
    <n v="102712"/>
    <s v="AB104906"/>
    <x v="0"/>
    <n v="475216"/>
    <x v="1"/>
  </r>
  <r>
    <n v="10136"/>
    <n v="8"/>
    <d v="2013-12-05T00:00:00"/>
    <s v="DVD"/>
    <n v="102712"/>
    <s v="AB104907"/>
    <x v="2"/>
    <n v="475216"/>
    <x v="1"/>
  </r>
  <r>
    <n v="10123"/>
    <n v="6"/>
    <d v="2013-12-03T00:00:00"/>
    <s v="DVD"/>
    <n v="102716"/>
    <s v="AB104915"/>
    <x v="9"/>
    <n v="717234"/>
    <x v="1"/>
  </r>
  <r>
    <n v="10200"/>
    <n v="6"/>
    <d v="2013-12-05T00:00:00"/>
    <s v="BLU-RAY"/>
    <n v="102717"/>
    <s v="AB104917"/>
    <x v="9"/>
    <n v="784218"/>
    <x v="1"/>
  </r>
  <r>
    <n v="10283"/>
    <n v="1"/>
    <d v="2013-12-04T00:00:00"/>
    <s v="DVD"/>
    <n v="102718"/>
    <s v="AB104919"/>
    <x v="6"/>
    <n v="417823"/>
    <x v="1"/>
  </r>
  <r>
    <n v="10289"/>
    <n v="4"/>
    <d v="2013-12-04T00:00:00"/>
    <s v="DVD"/>
    <n v="102719"/>
    <s v="AB104921"/>
    <x v="11"/>
    <n v="157388"/>
    <x v="1"/>
  </r>
  <r>
    <n v="10278"/>
    <n v="4"/>
    <d v="2013-12-03T00:00:00"/>
    <s v="DVD"/>
    <n v="102721"/>
    <s v="AB104926"/>
    <x v="7"/>
    <n v="672834"/>
    <x v="1"/>
  </r>
  <r>
    <n v="10222"/>
    <n v="7"/>
    <d v="2013-12-04T00:00:00"/>
    <s v="DVD"/>
    <n v="102721"/>
    <s v="AB104927"/>
    <x v="4"/>
    <n v="672834"/>
    <x v="1"/>
  </r>
  <r>
    <n v="10137"/>
    <n v="10"/>
    <d v="2013-12-06T00:00:00"/>
    <s v="DVD"/>
    <n v="102725"/>
    <s v="AB104936"/>
    <x v="3"/>
    <n v="889686"/>
    <x v="1"/>
  </r>
  <r>
    <n v="10237"/>
    <n v="4"/>
    <d v="2013-12-06T00:00:00"/>
    <s v="DVD"/>
    <n v="102726"/>
    <s v="AB104939"/>
    <x v="0"/>
    <n v="994056"/>
    <x v="1"/>
  </r>
  <r>
    <n v="10267"/>
    <n v="9"/>
    <d v="2013-12-06T00:00:00"/>
    <s v="DVD"/>
    <n v="102729"/>
    <s v="AB104941"/>
    <x v="6"/>
    <n v="665282"/>
    <x v="1"/>
  </r>
  <r>
    <n v="10137"/>
    <n v="6"/>
    <d v="2013-12-05T00:00:00"/>
    <s v="DVD"/>
    <n v="102731"/>
    <s v="AB104945"/>
    <x v="3"/>
    <n v="850933"/>
    <x v="1"/>
  </r>
  <r>
    <n v="10169"/>
    <n v="6"/>
    <d v="2013-12-10T00:00:00"/>
    <s v="DVD"/>
    <n v="102732"/>
    <s v="AB104946"/>
    <x v="0"/>
    <n v="730305"/>
    <x v="1"/>
  </r>
  <r>
    <n v="10021"/>
    <n v="3"/>
    <d v="2013-12-05T00:00:00"/>
    <s v="DVD"/>
    <n v="102732"/>
    <s v="AB104947"/>
    <x v="1"/>
    <n v="730305"/>
    <x v="1"/>
  </r>
  <r>
    <n v="10247"/>
    <n v="3"/>
    <d v="2013-12-07T00:00:00"/>
    <s v="DVD"/>
    <n v="102732"/>
    <s v="AB104949"/>
    <x v="9"/>
    <n v="730305"/>
    <x v="1"/>
  </r>
  <r>
    <n v="10265"/>
    <n v="4"/>
    <d v="2013-12-06T00:00:00"/>
    <s v="DVD"/>
    <n v="102733"/>
    <s v="AB104952"/>
    <x v="0"/>
    <n v="860057"/>
    <x v="1"/>
  </r>
  <r>
    <n v="10072"/>
    <n v="2"/>
    <d v="2013-12-08T00:00:00"/>
    <s v="DVD"/>
    <n v="102734"/>
    <s v="AB104955"/>
    <x v="1"/>
    <n v="744780"/>
    <x v="1"/>
  </r>
  <r>
    <n v="10188"/>
    <n v="9"/>
    <d v="2013-12-05T00:00:00"/>
    <s v="DVD"/>
    <n v="102737"/>
    <s v="AB104959"/>
    <x v="1"/>
    <n v="305005"/>
    <x v="1"/>
  </r>
  <r>
    <n v="10293"/>
    <n v="6"/>
    <d v="2013-12-06T00:00:00"/>
    <s v="DVD"/>
    <n v="102738"/>
    <s v="AB104962"/>
    <x v="12"/>
    <n v="412544"/>
    <x v="1"/>
  </r>
  <r>
    <n v="10241"/>
    <n v="5"/>
    <d v="2013-12-06T00:00:00"/>
    <s v="DVD"/>
    <n v="102738"/>
    <s v="AB104963"/>
    <x v="0"/>
    <n v="412544"/>
    <x v="1"/>
  </r>
  <r>
    <n v="10120"/>
    <n v="6"/>
    <d v="2013-12-06T00:00:00"/>
    <s v="DVD"/>
    <n v="102739"/>
    <s v="AB104964"/>
    <x v="14"/>
    <n v="236554"/>
    <x v="1"/>
  </r>
  <r>
    <n v="10188"/>
    <n v="2"/>
    <d v="2013-12-07T00:00:00"/>
    <s v="DVD"/>
    <n v="102740"/>
    <s v="AB104966"/>
    <x v="1"/>
    <n v="717234"/>
    <x v="1"/>
  </r>
  <r>
    <n v="10103"/>
    <n v="3"/>
    <d v="2013-12-09T00:00:00"/>
    <s v="DVD"/>
    <n v="102741"/>
    <s v="AB104969"/>
    <x v="9"/>
    <n v="317461"/>
    <x v="1"/>
  </r>
  <r>
    <n v="10164"/>
    <n v="8"/>
    <d v="2013-12-07T00:00:00"/>
    <s v="DVD"/>
    <n v="102742"/>
    <s v="AB104971"/>
    <x v="2"/>
    <n v="158528"/>
    <x v="1"/>
  </r>
  <r>
    <n v="10248"/>
    <n v="9"/>
    <d v="2013-12-07T00:00:00"/>
    <s v="DVD"/>
    <n v="102743"/>
    <s v="AB104975"/>
    <x v="12"/>
    <n v="207846"/>
    <x v="1"/>
  </r>
  <r>
    <n v="10239"/>
    <n v="1"/>
    <d v="2013-12-06T00:00:00"/>
    <s v="DVD"/>
    <n v="102743"/>
    <s v="AB104976"/>
    <x v="2"/>
    <n v="207846"/>
    <x v="1"/>
  </r>
  <r>
    <n v="10066"/>
    <n v="1"/>
    <d v="2013-12-07T00:00:00"/>
    <s v="DVD"/>
    <n v="102744"/>
    <s v="AB104977"/>
    <x v="3"/>
    <n v="306853"/>
    <x v="1"/>
  </r>
  <r>
    <n v="10151"/>
    <n v="10"/>
    <d v="2013-12-07T00:00:00"/>
    <s v="DVD"/>
    <n v="102745"/>
    <s v="AB104980"/>
    <x v="8"/>
    <n v="149240"/>
    <x v="1"/>
  </r>
  <r>
    <n v="10289"/>
    <n v="3"/>
    <d v="2013-12-10T00:00:00"/>
    <s v="DVD"/>
    <n v="102746"/>
    <s v="AB104983"/>
    <x v="11"/>
    <n v="756928"/>
    <x v="1"/>
  </r>
  <r>
    <n v="10099"/>
    <n v="2"/>
    <d v="2013-12-07T00:00:00"/>
    <s v="DVD"/>
    <n v="102746"/>
    <s v="AB104984"/>
    <x v="10"/>
    <n v="756928"/>
    <x v="1"/>
  </r>
  <r>
    <n v="10184"/>
    <n v="4"/>
    <d v="2013-12-08T00:00:00"/>
    <s v="DVD"/>
    <n v="102748"/>
    <s v="AB104988"/>
    <x v="7"/>
    <n v="412235"/>
    <x v="1"/>
  </r>
  <r>
    <n v="10052"/>
    <n v="1"/>
    <d v="2013-12-09T00:00:00"/>
    <s v="DVD"/>
    <n v="102749"/>
    <s v="AB104990"/>
    <x v="0"/>
    <n v="193914"/>
    <x v="1"/>
  </r>
  <r>
    <n v="10221"/>
    <n v="9"/>
    <d v="2013-12-08T00:00:00"/>
    <s v="DVD"/>
    <n v="102749"/>
    <s v="AB104991"/>
    <x v="9"/>
    <n v="193914"/>
    <x v="1"/>
  </r>
  <r>
    <n v="10238"/>
    <n v="7"/>
    <d v="2013-12-08T00:00:00"/>
    <s v="BLU-RAY"/>
    <n v="102750"/>
    <s v="AB104993"/>
    <x v="0"/>
    <n v="722547"/>
    <x v="1"/>
  </r>
  <r>
    <n v="10096"/>
    <n v="5"/>
    <d v="2013-12-08T00:00:00"/>
    <s v="DVD"/>
    <n v="102752"/>
    <s v="AB104997"/>
    <x v="7"/>
    <n v="427391"/>
    <x v="1"/>
  </r>
  <r>
    <n v="10224"/>
    <n v="5"/>
    <d v="2013-12-09T00:00:00"/>
    <s v="BLU-RAY"/>
    <n v="102754"/>
    <s v="AB104998"/>
    <x v="17"/>
    <n v="877877"/>
    <x v="1"/>
  </r>
  <r>
    <n v="10284"/>
    <n v="5"/>
    <d v="2013-12-08T00:00:00"/>
    <s v="DVD"/>
    <n v="102755"/>
    <s v="AB104999"/>
    <x v="14"/>
    <n v="880238"/>
    <x v="1"/>
  </r>
  <r>
    <n v="10080"/>
    <n v="1"/>
    <d v="2013-12-09T00:00:00"/>
    <s v="DVD"/>
    <n v="102757"/>
    <s v="AB105002"/>
    <x v="3"/>
    <n v="278809"/>
    <x v="1"/>
  </r>
  <r>
    <n v="10204"/>
    <n v="2"/>
    <d v="2013-12-09T00:00:00"/>
    <s v="BLU-RAY"/>
    <n v="102760"/>
    <s v="AB105007"/>
    <x v="7"/>
    <n v="556619"/>
    <x v="1"/>
  </r>
  <r>
    <n v="10260"/>
    <n v="3"/>
    <d v="2013-12-10T00:00:00"/>
    <s v="DVD"/>
    <n v="102760"/>
    <s v="AB105008"/>
    <x v="4"/>
    <n v="556619"/>
    <x v="1"/>
  </r>
  <r>
    <n v="10088"/>
    <n v="7"/>
    <d v="2013-12-10T00:00:00"/>
    <s v="DVD"/>
    <n v="102761"/>
    <s v="AB105009"/>
    <x v="0"/>
    <n v="755271"/>
    <x v="1"/>
  </r>
  <r>
    <n v="10099"/>
    <n v="5"/>
    <d v="2013-12-09T00:00:00"/>
    <s v="DVD"/>
    <n v="102762"/>
    <s v="AB105010"/>
    <x v="10"/>
    <n v="469564"/>
    <x v="1"/>
  </r>
  <r>
    <n v="10271"/>
    <n v="10"/>
    <d v="2013-12-11T00:00:00"/>
    <s v="DVD"/>
    <n v="102763"/>
    <s v="AB105013"/>
    <x v="7"/>
    <n v="679354"/>
    <x v="1"/>
  </r>
  <r>
    <n v="10258"/>
    <n v="9"/>
    <d v="2013-12-10T00:00:00"/>
    <s v="DVD"/>
    <n v="102764"/>
    <s v="AB105017"/>
    <x v="0"/>
    <n v="746134"/>
    <x v="1"/>
  </r>
  <r>
    <n v="10215"/>
    <n v="5"/>
    <d v="2013-12-13T00:00:00"/>
    <s v="BLU-RAY"/>
    <n v="102765"/>
    <s v="AB105018"/>
    <x v="1"/>
    <n v="220206"/>
    <x v="1"/>
  </r>
  <r>
    <n v="10289"/>
    <n v="9"/>
    <d v="2013-12-10T00:00:00"/>
    <s v="DVD"/>
    <n v="102765"/>
    <s v="AB105019"/>
    <x v="11"/>
    <n v="220206"/>
    <x v="1"/>
  </r>
  <r>
    <n v="10203"/>
    <n v="8"/>
    <d v="2013-12-10T00:00:00"/>
    <s v="BLU-RAY"/>
    <n v="102765"/>
    <s v="AB105020"/>
    <x v="3"/>
    <n v="220206"/>
    <x v="1"/>
  </r>
  <r>
    <n v="10232"/>
    <n v="10"/>
    <d v="2013-12-10T00:00:00"/>
    <s v="DVD"/>
    <n v="102765"/>
    <s v="AB105021"/>
    <x v="1"/>
    <n v="220206"/>
    <x v="1"/>
  </r>
  <r>
    <n v="10048"/>
    <n v="2"/>
    <d v="2013-12-12T00:00:00"/>
    <s v="DVD"/>
    <n v="102766"/>
    <s v="AB105022"/>
    <x v="12"/>
    <n v="731346"/>
    <x v="1"/>
  </r>
  <r>
    <n v="10028"/>
    <n v="7"/>
    <d v="2013-12-16T00:00:00"/>
    <s v="DVD"/>
    <n v="102766"/>
    <s v="AB105023"/>
    <x v="5"/>
    <n v="731346"/>
    <x v="1"/>
  </r>
  <r>
    <n v="10065"/>
    <n v="5"/>
    <d v="2013-12-11T00:00:00"/>
    <s v="BLU-RAY"/>
    <n v="102767"/>
    <s v="AB105026"/>
    <x v="0"/>
    <n v="378374"/>
    <x v="1"/>
  </r>
  <r>
    <n v="10222"/>
    <n v="4"/>
    <d v="2013-12-10T00:00:00"/>
    <s v="DVD"/>
    <n v="102768"/>
    <s v="AB105028"/>
    <x v="4"/>
    <n v="226209"/>
    <x v="1"/>
  </r>
  <r>
    <n v="10253"/>
    <n v="6"/>
    <d v="2013-12-10T00:00:00"/>
    <s v="DVD"/>
    <n v="102768"/>
    <s v="AB105029"/>
    <x v="3"/>
    <n v="226209"/>
    <x v="1"/>
  </r>
  <r>
    <n v="10258"/>
    <n v="5"/>
    <d v="2013-12-12T00:00:00"/>
    <s v="DVD"/>
    <n v="102771"/>
    <s v="AB105033"/>
    <x v="0"/>
    <n v="412235"/>
    <x v="1"/>
  </r>
  <r>
    <n v="10261"/>
    <n v="1"/>
    <d v="2013-12-11T00:00:00"/>
    <s v="DVD"/>
    <n v="102772"/>
    <s v="AB105035"/>
    <x v="9"/>
    <n v="185863"/>
    <x v="1"/>
  </r>
  <r>
    <n v="10184"/>
    <n v="3"/>
    <d v="2013-12-15T00:00:00"/>
    <s v="DVD"/>
    <n v="102772"/>
    <s v="AB105037"/>
    <x v="7"/>
    <n v="185863"/>
    <x v="1"/>
  </r>
  <r>
    <n v="10208"/>
    <n v="7"/>
    <d v="2013-12-11T00:00:00"/>
    <s v="DVD"/>
    <n v="102773"/>
    <s v="AB105038"/>
    <x v="0"/>
    <n v="101811"/>
    <x v="1"/>
  </r>
  <r>
    <n v="10246"/>
    <n v="9"/>
    <d v="2013-12-14T00:00:00"/>
    <s v="BLU-RAY"/>
    <n v="102774"/>
    <s v="AB105044"/>
    <x v="2"/>
    <n v="247216"/>
    <x v="1"/>
  </r>
  <r>
    <n v="10274"/>
    <n v="2"/>
    <d v="2013-12-14T00:00:00"/>
    <s v="DVD"/>
    <n v="102774"/>
    <s v="AB105045"/>
    <x v="9"/>
    <n v="247216"/>
    <x v="1"/>
  </r>
  <r>
    <n v="10258"/>
    <n v="9"/>
    <d v="2013-12-12T00:00:00"/>
    <s v="BLU-RAY"/>
    <n v="102775"/>
    <s v="AB105046"/>
    <x v="0"/>
    <n v="347189"/>
    <x v="1"/>
  </r>
  <r>
    <n v="10271"/>
    <n v="3"/>
    <d v="2013-12-11T00:00:00"/>
    <s v="DVD"/>
    <n v="102776"/>
    <s v="AB105047"/>
    <x v="7"/>
    <n v="601753"/>
    <x v="1"/>
  </r>
  <r>
    <n v="10260"/>
    <n v="2"/>
    <d v="2013-12-12T00:00:00"/>
    <s v="DVD"/>
    <n v="102777"/>
    <s v="AB105048"/>
    <x v="4"/>
    <n v="437454"/>
    <x v="1"/>
  </r>
  <r>
    <n v="10293"/>
    <n v="2"/>
    <d v="2013-12-12T00:00:00"/>
    <s v="DVD"/>
    <n v="102777"/>
    <s v="AB105049"/>
    <x v="12"/>
    <n v="437454"/>
    <x v="1"/>
  </r>
  <r>
    <n v="10065"/>
    <n v="9"/>
    <d v="2013-12-18T00:00:00"/>
    <s v="DVD"/>
    <n v="102778"/>
    <s v="AB105051"/>
    <x v="0"/>
    <n v="182040"/>
    <x v="1"/>
  </r>
  <r>
    <n v="10041"/>
    <n v="6"/>
    <d v="2013-12-11T00:00:00"/>
    <s v="DVD"/>
    <n v="102778"/>
    <s v="AB105052"/>
    <x v="10"/>
    <n v="182040"/>
    <x v="1"/>
  </r>
  <r>
    <n v="10143"/>
    <n v="6"/>
    <d v="2013-12-13T00:00:00"/>
    <s v="BLU-RAY"/>
    <n v="102779"/>
    <s v="AB105054"/>
    <x v="3"/>
    <n v="884729"/>
    <x v="1"/>
  </r>
  <r>
    <n v="10211"/>
    <n v="4"/>
    <d v="2013-12-13T00:00:00"/>
    <s v="DVD"/>
    <n v="102780"/>
    <s v="AB105056"/>
    <x v="3"/>
    <n v="278204"/>
    <x v="1"/>
  </r>
  <r>
    <n v="10234"/>
    <n v="8"/>
    <d v="2013-12-13T00:00:00"/>
    <s v="DVD"/>
    <n v="102781"/>
    <s v="AB105057"/>
    <x v="0"/>
    <n v="498153"/>
    <x v="1"/>
  </r>
  <r>
    <n v="10287"/>
    <n v="5"/>
    <d v="2013-12-13T00:00:00"/>
    <s v="DVD"/>
    <n v="102781"/>
    <s v="AB105058"/>
    <x v="10"/>
    <n v="498153"/>
    <x v="1"/>
  </r>
  <r>
    <n v="10297"/>
    <n v="2"/>
    <d v="2013-12-13T00:00:00"/>
    <s v="DVD"/>
    <n v="102782"/>
    <s v="AB105060"/>
    <x v="14"/>
    <n v="247216"/>
    <x v="1"/>
  </r>
  <r>
    <n v="10238"/>
    <n v="1"/>
    <d v="2013-12-12T00:00:00"/>
    <s v="DVD"/>
    <n v="102784"/>
    <s v="AB105063"/>
    <x v="0"/>
    <n v="762509"/>
    <x v="1"/>
  </r>
  <r>
    <n v="10171"/>
    <n v="7"/>
    <d v="2013-12-16T00:00:00"/>
    <s v="DVD"/>
    <n v="102786"/>
    <s v="AB105065"/>
    <x v="7"/>
    <n v="624668"/>
    <x v="1"/>
  </r>
  <r>
    <n v="10098"/>
    <n v="1"/>
    <d v="2013-12-17T00:00:00"/>
    <s v="BLU-RAY"/>
    <n v="102787"/>
    <s v="AB105069"/>
    <x v="0"/>
    <n v="154427"/>
    <x v="1"/>
  </r>
  <r>
    <n v="10064"/>
    <n v="1"/>
    <d v="2013-12-14T00:00:00"/>
    <s v="DVD"/>
    <n v="102788"/>
    <s v="AB105070"/>
    <x v="7"/>
    <n v="970794"/>
    <x v="1"/>
  </r>
  <r>
    <n v="10282"/>
    <n v="4"/>
    <d v="2013-12-17T00:00:00"/>
    <s v="DVD"/>
    <n v="102789"/>
    <s v="AB105073"/>
    <x v="15"/>
    <n v="448993"/>
    <x v="1"/>
  </r>
  <r>
    <n v="10198"/>
    <n v="7"/>
    <d v="2013-12-14T00:00:00"/>
    <s v="DVD"/>
    <n v="102790"/>
    <s v="AB105075"/>
    <x v="9"/>
    <n v="173380"/>
    <x v="1"/>
  </r>
  <r>
    <n v="10065"/>
    <n v="6"/>
    <d v="2013-12-13T00:00:00"/>
    <s v="DVD"/>
    <n v="102791"/>
    <s v="AB105077"/>
    <x v="0"/>
    <n v="162236"/>
    <x v="1"/>
  </r>
  <r>
    <n v="10098"/>
    <n v="2"/>
    <d v="2013-12-14T00:00:00"/>
    <s v="BLU-RAY"/>
    <n v="102791"/>
    <s v="AB105078"/>
    <x v="0"/>
    <n v="162236"/>
    <x v="1"/>
  </r>
  <r>
    <n v="10249"/>
    <n v="3"/>
    <d v="2013-12-13T00:00:00"/>
    <s v="DVD"/>
    <n v="102793"/>
    <s v="AB105083"/>
    <x v="5"/>
    <n v="818287"/>
    <x v="1"/>
  </r>
  <r>
    <n v="10264"/>
    <n v="8"/>
    <d v="2013-12-17T00:00:00"/>
    <s v="DVD"/>
    <n v="102794"/>
    <s v="AB105084"/>
    <x v="2"/>
    <n v="238347"/>
    <x v="1"/>
  </r>
  <r>
    <n v="10272"/>
    <n v="9"/>
    <d v="2013-12-14T00:00:00"/>
    <s v="DVD"/>
    <n v="102794"/>
    <s v="AB105085"/>
    <x v="4"/>
    <n v="238347"/>
    <x v="1"/>
  </r>
  <r>
    <n v="10212"/>
    <n v="3"/>
    <d v="2013-12-14T00:00:00"/>
    <s v="DVD"/>
    <n v="102794"/>
    <s v="AB105086"/>
    <x v="10"/>
    <n v="238347"/>
    <x v="1"/>
  </r>
  <r>
    <n v="10107"/>
    <n v="1"/>
    <d v="2013-12-15T00:00:00"/>
    <s v="DVD"/>
    <n v="102795"/>
    <s v="AB105088"/>
    <x v="7"/>
    <n v="586201"/>
    <x v="1"/>
  </r>
  <r>
    <n v="10205"/>
    <n v="1"/>
    <d v="2013-12-19T00:00:00"/>
    <s v="DVD"/>
    <n v="102797"/>
    <s v="AB105093"/>
    <x v="1"/>
    <n v="992895"/>
    <x v="1"/>
  </r>
  <r>
    <n v="10253"/>
    <n v="9"/>
    <d v="2013-12-14T00:00:00"/>
    <s v="DVD"/>
    <n v="102798"/>
    <s v="AB105094"/>
    <x v="3"/>
    <n v="994199"/>
    <x v="1"/>
  </r>
  <r>
    <n v="10110"/>
    <n v="1"/>
    <d v="2013-12-14T00:00:00"/>
    <s v="DVD"/>
    <n v="102799"/>
    <s v="AB105097"/>
    <x v="0"/>
    <n v="608290"/>
    <x v="1"/>
  </r>
  <r>
    <n v="10149"/>
    <n v="8"/>
    <d v="2013-12-14T00:00:00"/>
    <s v="BLU-RAY"/>
    <n v="102799"/>
    <s v="AB105099"/>
    <x v="12"/>
    <n v="608290"/>
    <x v="1"/>
  </r>
  <r>
    <n v="10095"/>
    <n v="8"/>
    <d v="2013-12-17T00:00:00"/>
    <s v="DVD"/>
    <n v="102800"/>
    <s v="AB105101"/>
    <x v="2"/>
    <n v="528475"/>
    <x v="1"/>
  </r>
  <r>
    <n v="10112"/>
    <n v="5"/>
    <d v="2013-12-17T00:00:00"/>
    <s v="BLU-RAY"/>
    <n v="102802"/>
    <s v="AB105107"/>
    <x v="12"/>
    <n v="612681"/>
    <x v="1"/>
  </r>
  <r>
    <n v="10239"/>
    <n v="2"/>
    <d v="2013-12-15T00:00:00"/>
    <s v="DVD"/>
    <n v="102804"/>
    <s v="AB105108"/>
    <x v="2"/>
    <n v="484909"/>
    <x v="1"/>
  </r>
  <r>
    <n v="10006"/>
    <n v="2"/>
    <d v="2013-12-17T00:00:00"/>
    <s v="DVD"/>
    <n v="102805"/>
    <s v="AB105110"/>
    <x v="1"/>
    <n v="343021"/>
    <x v="1"/>
  </r>
  <r>
    <n v="10271"/>
    <n v="5"/>
    <d v="2013-12-16T00:00:00"/>
    <s v="BLU-RAY"/>
    <n v="102805"/>
    <s v="AB105111"/>
    <x v="7"/>
    <n v="343021"/>
    <x v="1"/>
  </r>
  <r>
    <n v="10172"/>
    <n v="1"/>
    <d v="2013-12-17T00:00:00"/>
    <s v="DVD"/>
    <n v="102807"/>
    <s v="AB105114"/>
    <x v="10"/>
    <n v="676018"/>
    <x v="1"/>
  </r>
  <r>
    <n v="10265"/>
    <n v="4"/>
    <d v="2013-12-17T00:00:00"/>
    <s v="DVD"/>
    <n v="102809"/>
    <s v="AB105118"/>
    <x v="0"/>
    <n v="880238"/>
    <x v="1"/>
  </r>
  <r>
    <n v="10209"/>
    <n v="1"/>
    <d v="2013-12-17T00:00:00"/>
    <s v="BLU-RAY"/>
    <n v="102810"/>
    <s v="AB105121"/>
    <x v="7"/>
    <n v="696852"/>
    <x v="1"/>
  </r>
  <r>
    <n v="10235"/>
    <n v="1"/>
    <d v="2013-12-17T00:00:00"/>
    <s v="BLU-RAY"/>
    <n v="102810"/>
    <s v="AB105122"/>
    <x v="10"/>
    <n v="696852"/>
    <x v="1"/>
  </r>
  <r>
    <n v="10261"/>
    <n v="9"/>
    <d v="2013-12-17T00:00:00"/>
    <s v="DVD"/>
    <n v="102811"/>
    <s v="AB105123"/>
    <x v="9"/>
    <n v="426830"/>
    <x v="1"/>
  </r>
  <r>
    <n v="10260"/>
    <n v="3"/>
    <d v="2013-12-16T00:00:00"/>
    <s v="DVD"/>
    <n v="102811"/>
    <s v="AB105124"/>
    <x v="4"/>
    <n v="426830"/>
    <x v="1"/>
  </r>
  <r>
    <n v="10218"/>
    <n v="8"/>
    <d v="2013-12-16T00:00:00"/>
    <s v="DVD"/>
    <n v="102811"/>
    <s v="AB105125"/>
    <x v="4"/>
    <n v="426830"/>
    <x v="1"/>
  </r>
  <r>
    <n v="10277"/>
    <n v="1"/>
    <d v="2013-12-16T00:00:00"/>
    <s v="DVD"/>
    <n v="102812"/>
    <s v="AB105126"/>
    <x v="7"/>
    <n v="147216"/>
    <x v="1"/>
  </r>
  <r>
    <n v="10139"/>
    <n v="2"/>
    <d v="2013-12-17T00:00:00"/>
    <s v="DVD"/>
    <n v="102813"/>
    <s v="AB105129"/>
    <x v="14"/>
    <n v="310195"/>
    <x v="1"/>
  </r>
  <r>
    <n v="10181"/>
    <n v="5"/>
    <d v="2013-12-16T00:00:00"/>
    <s v="BLU-RAY"/>
    <n v="102813"/>
    <s v="AB105130"/>
    <x v="9"/>
    <n v="310195"/>
    <x v="1"/>
  </r>
  <r>
    <n v="10349"/>
    <n v="4"/>
    <d v="2013-12-18T00:00:00"/>
    <s v="DVD"/>
    <n v="102814"/>
    <s v="AB105131"/>
    <x v="8"/>
    <n v="671363"/>
    <x v="1"/>
  </r>
  <r>
    <n v="10275"/>
    <n v="6"/>
    <d v="2013-12-22T00:00:00"/>
    <s v="BLU-RAY"/>
    <n v="102816"/>
    <s v="AB105135"/>
    <x v="10"/>
    <n v="329994"/>
    <x v="1"/>
  </r>
  <r>
    <n v="10273"/>
    <n v="6"/>
    <d v="2013-12-17T00:00:00"/>
    <s v="BLU-RAY"/>
    <n v="102816"/>
    <s v="AB105137"/>
    <x v="4"/>
    <n v="329994"/>
    <x v="1"/>
  </r>
  <r>
    <n v="10150"/>
    <n v="5"/>
    <d v="2013-12-17T00:00:00"/>
    <s v="DVD"/>
    <n v="102817"/>
    <s v="AB105139"/>
    <x v="14"/>
    <n v="643214"/>
    <x v="1"/>
  </r>
  <r>
    <n v="10089"/>
    <n v="9"/>
    <d v="2013-12-17T00:00:00"/>
    <s v="DVD"/>
    <n v="102817"/>
    <s v="AB105140"/>
    <x v="4"/>
    <n v="643214"/>
    <x v="1"/>
  </r>
  <r>
    <n v="10234"/>
    <n v="9"/>
    <d v="2013-12-17T00:00:00"/>
    <s v="DVD"/>
    <n v="102818"/>
    <s v="AB105143"/>
    <x v="0"/>
    <n v="766161"/>
    <x v="1"/>
  </r>
  <r>
    <n v="10207"/>
    <n v="8"/>
    <d v="2013-12-17T00:00:00"/>
    <s v="DVD"/>
    <n v="102818"/>
    <s v="AB105144"/>
    <x v="1"/>
    <n v="766161"/>
    <x v="1"/>
  </r>
  <r>
    <n v="10145"/>
    <n v="8"/>
    <d v="2013-12-20T00:00:00"/>
    <s v="DVD"/>
    <n v="102819"/>
    <s v="AB105145"/>
    <x v="6"/>
    <n v="244282"/>
    <x v="1"/>
  </r>
  <r>
    <n v="10278"/>
    <n v="8"/>
    <d v="2013-12-17T00:00:00"/>
    <s v="BLU-RAY"/>
    <n v="102820"/>
    <s v="AB105148"/>
    <x v="7"/>
    <n v="418635"/>
    <x v="1"/>
  </r>
  <r>
    <n v="10275"/>
    <n v="5"/>
    <d v="2013-12-19T00:00:00"/>
    <s v="BLU-RAY"/>
    <n v="102820"/>
    <s v="AB105149"/>
    <x v="10"/>
    <n v="418635"/>
    <x v="1"/>
  </r>
  <r>
    <n v="10259"/>
    <n v="7"/>
    <d v="2013-12-18T00:00:00"/>
    <s v="DVD"/>
    <n v="102820"/>
    <s v="AB105150"/>
    <x v="0"/>
    <n v="418635"/>
    <x v="1"/>
  </r>
  <r>
    <n v="10181"/>
    <n v="9"/>
    <d v="2013-12-17T00:00:00"/>
    <s v="DVD"/>
    <n v="102821"/>
    <s v="AB105153"/>
    <x v="9"/>
    <n v="175871"/>
    <x v="1"/>
  </r>
  <r>
    <n v="10261"/>
    <n v="1"/>
    <d v="2013-12-20T00:00:00"/>
    <s v="DVD"/>
    <n v="102821"/>
    <s v="AB105154"/>
    <x v="9"/>
    <n v="175871"/>
    <x v="1"/>
  </r>
  <r>
    <n v="10243"/>
    <n v="7"/>
    <d v="2013-12-18T00:00:00"/>
    <s v="DVD"/>
    <n v="102822"/>
    <s v="AB105155"/>
    <x v="9"/>
    <n v="741514"/>
    <x v="1"/>
  </r>
  <r>
    <n v="10053"/>
    <n v="2"/>
    <d v="2013-12-18T00:00:00"/>
    <s v="BLU-RAY"/>
    <n v="102823"/>
    <s v="AB105156"/>
    <x v="4"/>
    <n v="938417"/>
    <x v="1"/>
  </r>
  <r>
    <n v="10045"/>
    <n v="1"/>
    <d v="2013-12-19T00:00:00"/>
    <s v="DVD"/>
    <n v="102824"/>
    <s v="AB105157"/>
    <x v="0"/>
    <n v="441628"/>
    <x v="1"/>
  </r>
  <r>
    <n v="10178"/>
    <n v="1"/>
    <d v="2013-12-18T00:00:00"/>
    <s v="DVD"/>
    <n v="102825"/>
    <s v="AB105158"/>
    <x v="0"/>
    <n v="723819"/>
    <x v="1"/>
  </r>
  <r>
    <n v="10138"/>
    <n v="3"/>
    <d v="2013-12-19T00:00:00"/>
    <s v="DVD"/>
    <n v="102825"/>
    <s v="AB105160"/>
    <x v="7"/>
    <n v="723819"/>
    <x v="1"/>
  </r>
  <r>
    <n v="10199"/>
    <n v="2"/>
    <d v="2013-12-19T00:00:00"/>
    <s v="DVD"/>
    <n v="102826"/>
    <s v="AB105161"/>
    <x v="10"/>
    <n v="889686"/>
    <x v="1"/>
  </r>
  <r>
    <n v="10278"/>
    <n v="10"/>
    <d v="2013-12-21T00:00:00"/>
    <s v="DVD"/>
    <n v="102827"/>
    <s v="AB105162"/>
    <x v="7"/>
    <n v="612681"/>
    <x v="1"/>
  </r>
  <r>
    <n v="10252"/>
    <n v="1"/>
    <d v="2013-12-18T00:00:00"/>
    <s v="DVD"/>
    <n v="102827"/>
    <s v="AB105164"/>
    <x v="0"/>
    <n v="612681"/>
    <x v="1"/>
  </r>
  <r>
    <n v="10185"/>
    <n v="6"/>
    <d v="2013-12-18T00:00:00"/>
    <s v="DVD"/>
    <n v="102828"/>
    <s v="AB105165"/>
    <x v="0"/>
    <n v="253106"/>
    <x v="1"/>
  </r>
  <r>
    <n v="10245"/>
    <n v="6"/>
    <d v="2013-12-18T00:00:00"/>
    <s v="BLU-RAY"/>
    <n v="102829"/>
    <s v="AB105167"/>
    <x v="0"/>
    <n v="170500"/>
    <x v="1"/>
  </r>
  <r>
    <n v="10252"/>
    <n v="6"/>
    <d v="2013-12-21T00:00:00"/>
    <s v="DVD"/>
    <n v="102829"/>
    <s v="AB105168"/>
    <x v="0"/>
    <n v="170500"/>
    <x v="1"/>
  </r>
  <r>
    <n v="10245"/>
    <n v="8"/>
    <d v="2013-12-18T00:00:00"/>
    <s v="BLU-RAY"/>
    <n v="102830"/>
    <s v="AB105171"/>
    <x v="0"/>
    <n v="550824"/>
    <x v="1"/>
  </r>
  <r>
    <n v="10238"/>
    <n v="8"/>
    <d v="2013-12-23T00:00:00"/>
    <s v="DVD"/>
    <n v="102831"/>
    <s v="AB105173"/>
    <x v="0"/>
    <n v="442691"/>
    <x v="1"/>
  </r>
  <r>
    <n v="10112"/>
    <n v="7"/>
    <d v="2013-12-19T00:00:00"/>
    <s v="DVD"/>
    <n v="102834"/>
    <s v="AB105177"/>
    <x v="12"/>
    <n v="955591"/>
    <x v="1"/>
  </r>
  <r>
    <n v="10177"/>
    <n v="2"/>
    <d v="2013-12-20T00:00:00"/>
    <s v="DVD"/>
    <n v="102835"/>
    <s v="AB105178"/>
    <x v="9"/>
    <n v="925565"/>
    <x v="1"/>
  </r>
  <r>
    <n v="10218"/>
    <n v="10"/>
    <d v="2013-12-20T00:00:00"/>
    <s v="DVD"/>
    <n v="102838"/>
    <s v="AB105181"/>
    <x v="4"/>
    <n v="166612"/>
    <x v="1"/>
  </r>
  <r>
    <n v="10254"/>
    <n v="10"/>
    <d v="2013-12-20T00:00:00"/>
    <s v="DVD"/>
    <n v="102839"/>
    <s v="AB105182"/>
    <x v="1"/>
    <n v="781523"/>
    <x v="1"/>
  </r>
  <r>
    <n v="10127"/>
    <n v="7"/>
    <d v="2013-12-20T00:00:00"/>
    <s v="DVD"/>
    <n v="102839"/>
    <s v="AB105184"/>
    <x v="6"/>
    <n v="781523"/>
    <x v="1"/>
  </r>
  <r>
    <n v="10227"/>
    <n v="7"/>
    <d v="2013-12-23T00:00:00"/>
    <s v="BLU-RAY"/>
    <n v="102840"/>
    <s v="AB105185"/>
    <x v="14"/>
    <n v="534481"/>
    <x v="1"/>
  </r>
  <r>
    <n v="10228"/>
    <n v="3"/>
    <d v="2013-12-20T00:00:00"/>
    <s v="DVD"/>
    <n v="102841"/>
    <s v="AB105188"/>
    <x v="7"/>
    <n v="745543"/>
    <x v="1"/>
  </r>
  <r>
    <n v="10217"/>
    <n v="1"/>
    <d v="2013-12-20T00:00:00"/>
    <s v="DVD"/>
    <n v="102842"/>
    <s v="AB105190"/>
    <x v="0"/>
    <n v="932618"/>
    <x v="1"/>
  </r>
  <r>
    <n v="10237"/>
    <n v="7"/>
    <d v="2013-12-20T00:00:00"/>
    <s v="DVD"/>
    <n v="102842"/>
    <s v="AB105191"/>
    <x v="0"/>
    <n v="932618"/>
    <x v="1"/>
  </r>
  <r>
    <n v="10189"/>
    <n v="6"/>
    <d v="2013-12-25T00:00:00"/>
    <s v="DVD"/>
    <n v="102843"/>
    <s v="AB105194"/>
    <x v="7"/>
    <n v="422717"/>
    <x v="1"/>
  </r>
  <r>
    <n v="10115"/>
    <n v="9"/>
    <d v="2013-12-20T00:00:00"/>
    <s v="DVD"/>
    <n v="102843"/>
    <s v="AB105195"/>
    <x v="11"/>
    <n v="422717"/>
    <x v="1"/>
  </r>
  <r>
    <n v="10199"/>
    <n v="9"/>
    <d v="2013-12-21T00:00:00"/>
    <s v="DVD"/>
    <n v="102845"/>
    <s v="AB105198"/>
    <x v="10"/>
    <n v="724700"/>
    <x v="1"/>
  </r>
  <r>
    <n v="10298"/>
    <n v="3"/>
    <d v="2013-12-21T00:00:00"/>
    <s v="DVD"/>
    <n v="102845"/>
    <s v="AB105199"/>
    <x v="19"/>
    <n v="724700"/>
    <x v="1"/>
  </r>
  <r>
    <n v="10181"/>
    <n v="3"/>
    <d v="2013-12-21T00:00:00"/>
    <s v="BLU-RAY"/>
    <n v="102846"/>
    <s v="AB105200"/>
    <x v="9"/>
    <n v="657495"/>
    <x v="1"/>
  </r>
  <r>
    <n v="10193"/>
    <n v="2"/>
    <d v="2013-12-21T00:00:00"/>
    <s v="DVD"/>
    <n v="102850"/>
    <s v="AB105205"/>
    <x v="9"/>
    <n v="404678"/>
    <x v="1"/>
  </r>
  <r>
    <n v="10137"/>
    <n v="1"/>
    <d v="2013-12-24T00:00:00"/>
    <s v="DVD"/>
    <n v="102850"/>
    <s v="AB105206"/>
    <x v="3"/>
    <n v="404678"/>
    <x v="1"/>
  </r>
  <r>
    <n v="10164"/>
    <n v="1"/>
    <d v="2013-12-21T00:00:00"/>
    <s v="DVD"/>
    <n v="102851"/>
    <s v="AB105208"/>
    <x v="2"/>
    <n v="245577"/>
    <x v="1"/>
  </r>
  <r>
    <n v="10097"/>
    <n v="5"/>
    <d v="2013-12-25T00:00:00"/>
    <s v="DVD"/>
    <n v="102852"/>
    <s v="AB105210"/>
    <x v="8"/>
    <n v="166612"/>
    <x v="1"/>
  </r>
  <r>
    <n v="10209"/>
    <n v="8"/>
    <d v="2013-12-22T00:00:00"/>
    <s v="DVD"/>
    <n v="102854"/>
    <s v="AB105213"/>
    <x v="7"/>
    <n v="447601"/>
    <x v="1"/>
  </r>
  <r>
    <n v="10131"/>
    <n v="8"/>
    <d v="2013-12-25T00:00:00"/>
    <s v="DVD"/>
    <n v="102854"/>
    <s v="AB105215"/>
    <x v="0"/>
    <n v="447601"/>
    <x v="1"/>
  </r>
  <r>
    <n v="10189"/>
    <n v="1"/>
    <d v="2013-12-23T00:00:00"/>
    <s v="DVD"/>
    <n v="102855"/>
    <s v="AB105219"/>
    <x v="7"/>
    <n v="325263"/>
    <x v="1"/>
  </r>
  <r>
    <n v="10256"/>
    <n v="1"/>
    <d v="2013-12-23T00:00:00"/>
    <s v="DVD"/>
    <n v="102856"/>
    <s v="AB105220"/>
    <x v="9"/>
    <n v="491380"/>
    <x v="1"/>
  </r>
  <r>
    <n v="10200"/>
    <n v="1"/>
    <d v="2013-12-23T00:00:00"/>
    <s v="DVD"/>
    <n v="102856"/>
    <s v="AB105221"/>
    <x v="9"/>
    <n v="491380"/>
    <x v="1"/>
  </r>
  <r>
    <n v="10223"/>
    <n v="7"/>
    <d v="2013-12-26T00:00:00"/>
    <s v="DVD"/>
    <n v="102858"/>
    <s v="AB105224"/>
    <x v="7"/>
    <n v="590517"/>
    <x v="1"/>
  </r>
  <r>
    <n v="10112"/>
    <n v="4"/>
    <d v="2013-12-24T00:00:00"/>
    <s v="BLU-RAY"/>
    <n v="102858"/>
    <s v="AB105225"/>
    <x v="12"/>
    <n v="590517"/>
    <x v="1"/>
  </r>
  <r>
    <n v="10199"/>
    <n v="8"/>
    <d v="2013-12-23T00:00:00"/>
    <s v="DVD"/>
    <n v="102859"/>
    <s v="AB105227"/>
    <x v="10"/>
    <n v="459243"/>
    <x v="1"/>
  </r>
  <r>
    <n v="10256"/>
    <n v="4"/>
    <d v="2013-12-23T00:00:00"/>
    <s v="DVD"/>
    <n v="102861"/>
    <s v="AB105231"/>
    <x v="9"/>
    <n v="225489"/>
    <x v="1"/>
  </r>
  <r>
    <n v="10172"/>
    <n v="3"/>
    <d v="2013-12-25T00:00:00"/>
    <s v="DVD"/>
    <n v="102863"/>
    <s v="AB105233"/>
    <x v="10"/>
    <n v="690100"/>
    <x v="1"/>
  </r>
  <r>
    <n v="10238"/>
    <n v="8"/>
    <d v="2013-12-23T00:00:00"/>
    <s v="DVD"/>
    <n v="102865"/>
    <s v="AB105236"/>
    <x v="0"/>
    <n v="847289"/>
    <x v="1"/>
  </r>
  <r>
    <n v="10188"/>
    <n v="1"/>
    <d v="2013-12-26T00:00:00"/>
    <s v="DVD"/>
    <n v="102868"/>
    <s v="AB105239"/>
    <x v="1"/>
    <n v="585972"/>
    <x v="1"/>
  </r>
  <r>
    <n v="10058"/>
    <n v="2"/>
    <d v="2013-12-24T00:00:00"/>
    <s v="DVD"/>
    <n v="102868"/>
    <s v="AB105240"/>
    <x v="4"/>
    <n v="585972"/>
    <x v="1"/>
  </r>
  <r>
    <n v="10193"/>
    <n v="7"/>
    <d v="2013-12-25T00:00:00"/>
    <s v="DVD"/>
    <n v="102868"/>
    <s v="AB105241"/>
    <x v="9"/>
    <n v="585972"/>
    <x v="1"/>
  </r>
  <r>
    <n v="10131"/>
    <n v="9"/>
    <d v="2013-12-26T00:00:00"/>
    <s v="DVD"/>
    <n v="102869"/>
    <s v="AB105243"/>
    <x v="0"/>
    <n v="262579"/>
    <x v="1"/>
  </r>
  <r>
    <n v="10172"/>
    <n v="3"/>
    <d v="2013-12-26T00:00:00"/>
    <s v="BLU-RAY"/>
    <n v="102875"/>
    <s v="AB105253"/>
    <x v="10"/>
    <n v="196068"/>
    <x v="1"/>
  </r>
  <r>
    <n v="10159"/>
    <n v="8"/>
    <d v="2013-12-25T00:00:00"/>
    <s v="DVD"/>
    <n v="102875"/>
    <s v="AB105254"/>
    <x v="10"/>
    <n v="196068"/>
    <x v="1"/>
  </r>
  <r>
    <n v="10181"/>
    <n v="2"/>
    <d v="2013-12-26T00:00:00"/>
    <s v="DVD"/>
    <n v="102876"/>
    <s v="AB105256"/>
    <x v="9"/>
    <n v="405322"/>
    <x v="1"/>
  </r>
  <r>
    <n v="10115"/>
    <n v="4"/>
    <d v="2013-12-25T00:00:00"/>
    <s v="DVD"/>
    <n v="102878"/>
    <s v="AB105259"/>
    <x v="11"/>
    <n v="706101"/>
    <x v="1"/>
  </r>
  <r>
    <n v="10206"/>
    <n v="8"/>
    <d v="2013-12-26T00:00:00"/>
    <s v="DVD"/>
    <n v="102881"/>
    <s v="AB105262"/>
    <x v="9"/>
    <n v="267632"/>
    <x v="1"/>
  </r>
  <r>
    <n v="10101"/>
    <n v="10"/>
    <d v="2013-12-29T00:00:00"/>
    <s v="DVD"/>
    <n v="102881"/>
    <s v="AB105263"/>
    <x v="4"/>
    <n v="267632"/>
    <x v="1"/>
  </r>
  <r>
    <n v="10271"/>
    <n v="6"/>
    <d v="2013-12-28T00:00:00"/>
    <s v="BLU-RAY"/>
    <n v="102882"/>
    <s v="AB105265"/>
    <x v="7"/>
    <n v="559688"/>
    <x v="1"/>
  </r>
  <r>
    <n v="10270"/>
    <n v="4"/>
    <d v="2013-12-25T00:00:00"/>
    <s v="BLU-RAY"/>
    <n v="102882"/>
    <s v="AB105266"/>
    <x v="9"/>
    <n v="559688"/>
    <x v="1"/>
  </r>
  <r>
    <n v="10349"/>
    <n v="2"/>
    <d v="2013-12-26T00:00:00"/>
    <s v="DVD"/>
    <n v="102883"/>
    <s v="AB105267"/>
    <x v="8"/>
    <n v="493552"/>
    <x v="1"/>
  </r>
  <r>
    <n v="10194"/>
    <n v="7"/>
    <d v="2013-12-27T00:00:00"/>
    <s v="DVD"/>
    <n v="102883"/>
    <s v="AB105269"/>
    <x v="16"/>
    <n v="493552"/>
    <x v="1"/>
  </r>
  <r>
    <n v="10286"/>
    <n v="2"/>
    <d v="2013-12-28T00:00:00"/>
    <s v="DVD"/>
    <n v="102884"/>
    <s v="AB105270"/>
    <x v="17"/>
    <n v="580783"/>
    <x v="1"/>
  </r>
  <r>
    <n v="10088"/>
    <n v="2"/>
    <d v="2013-12-27T00:00:00"/>
    <s v="DVD"/>
    <n v="102885"/>
    <s v="AB105272"/>
    <x v="0"/>
    <n v="994199"/>
    <x v="1"/>
  </r>
  <r>
    <n v="10261"/>
    <n v="2"/>
    <d v="2013-12-28T00:00:00"/>
    <s v="DVD"/>
    <n v="102885"/>
    <s v="AB105273"/>
    <x v="9"/>
    <n v="994199"/>
    <x v="1"/>
  </r>
  <r>
    <n v="10145"/>
    <n v="6"/>
    <d v="2013-12-27T00:00:00"/>
    <s v="BLU-RAY"/>
    <n v="102887"/>
    <s v="AB105276"/>
    <x v="6"/>
    <n v="357579"/>
    <x v="1"/>
  </r>
  <r>
    <n v="10012"/>
    <n v="6"/>
    <d v="2013-12-26T00:00:00"/>
    <s v="DVD"/>
    <n v="102888"/>
    <s v="AB105278"/>
    <x v="3"/>
    <n v="304344"/>
    <x v="1"/>
  </r>
  <r>
    <n v="10289"/>
    <n v="1"/>
    <d v="2013-12-26T00:00:00"/>
    <s v="DVD"/>
    <n v="102890"/>
    <s v="AB105280"/>
    <x v="11"/>
    <n v="761615"/>
    <x v="1"/>
  </r>
  <r>
    <n v="10153"/>
    <n v="8"/>
    <d v="2013-12-27T00:00:00"/>
    <s v="DVD"/>
    <n v="102892"/>
    <s v="AB105285"/>
    <x v="10"/>
    <n v="676155"/>
    <x v="1"/>
  </r>
  <r>
    <n v="10089"/>
    <n v="4"/>
    <d v="2013-12-31T00:00:00"/>
    <s v="DVD"/>
    <n v="102892"/>
    <s v="AB105286"/>
    <x v="4"/>
    <n v="676155"/>
    <x v="1"/>
  </r>
  <r>
    <n v="10054"/>
    <n v="5"/>
    <d v="2013-12-28T00:00:00"/>
    <s v="DVD"/>
    <n v="102895"/>
    <s v="AB105289"/>
    <x v="1"/>
    <n v="884729"/>
    <x v="1"/>
  </r>
  <r>
    <n v="10376"/>
    <n v="10"/>
    <d v="2013-12-27T00:00:00"/>
    <s v="DVD"/>
    <n v="102896"/>
    <s v="AB105290"/>
    <x v="12"/>
    <n v="567388"/>
    <x v="1"/>
  </r>
  <r>
    <n v="10260"/>
    <n v="10"/>
    <d v="2013-12-29T00:00:00"/>
    <s v="DVD"/>
    <n v="102900"/>
    <s v="AB105294"/>
    <x v="4"/>
    <n v="889686"/>
    <x v="1"/>
  </r>
  <r>
    <n v="10231"/>
    <n v="7"/>
    <d v="2013-12-28T00:00:00"/>
    <s v="DVD"/>
    <n v="102901"/>
    <s v="AB105296"/>
    <x v="7"/>
    <n v="730305"/>
    <x v="1"/>
  </r>
  <r>
    <n v="10185"/>
    <n v="6"/>
    <d v="2014-01-01T00:00:00"/>
    <s v="DVD"/>
    <n v="102902"/>
    <s v="AB105300"/>
    <x v="0"/>
    <n v="592726"/>
    <x v="2"/>
  </r>
  <r>
    <n v="10167"/>
    <n v="8"/>
    <d v="2013-12-30T00:00:00"/>
    <s v="BLU-RAY"/>
    <n v="102904"/>
    <s v="AB105301"/>
    <x v="7"/>
    <n v="408341"/>
    <x v="1"/>
  </r>
  <r>
    <n v="10217"/>
    <n v="6"/>
    <d v="2014-01-03T00:00:00"/>
    <s v="DVD"/>
    <n v="102906"/>
    <s v="AB105303"/>
    <x v="0"/>
    <n v="412876"/>
    <x v="2"/>
  </r>
  <r>
    <n v="10253"/>
    <n v="10"/>
    <d v="2013-12-29T00:00:00"/>
    <s v="DVD"/>
    <n v="102906"/>
    <s v="AB105305"/>
    <x v="3"/>
    <n v="412876"/>
    <x v="1"/>
  </r>
  <r>
    <n v="10285"/>
    <n v="10"/>
    <d v="2013-12-29T00:00:00"/>
    <s v="DVD"/>
    <n v="102907"/>
    <s v="AB105306"/>
    <x v="20"/>
    <n v="761615"/>
    <x v="1"/>
  </r>
  <r>
    <n v="10279"/>
    <n v="7"/>
    <d v="2013-12-29T00:00:00"/>
    <s v="DVD"/>
    <n v="102908"/>
    <s v="AB105309"/>
    <x v="8"/>
    <n v="459243"/>
    <x v="1"/>
  </r>
  <r>
    <n v="10182"/>
    <n v="9"/>
    <d v="2014-01-01T00:00:00"/>
    <s v="DVD"/>
    <n v="102908"/>
    <s v="AB105311"/>
    <x v="0"/>
    <n v="459243"/>
    <x v="2"/>
  </r>
  <r>
    <n v="10277"/>
    <n v="9"/>
    <d v="2013-12-31T00:00:00"/>
    <s v="DVD"/>
    <n v="102911"/>
    <s v="AB105315"/>
    <x v="7"/>
    <n v="183797"/>
    <x v="1"/>
  </r>
  <r>
    <n v="10277"/>
    <n v="6"/>
    <d v="2013-12-31T00:00:00"/>
    <s v="DVD"/>
    <n v="102912"/>
    <s v="AB105318"/>
    <x v="7"/>
    <n v="765237"/>
    <x v="1"/>
  </r>
  <r>
    <n v="10092"/>
    <n v="10"/>
    <d v="2013-12-30T00:00:00"/>
    <s v="DVD"/>
    <n v="102914"/>
    <s v="AB105321"/>
    <x v="0"/>
    <n v="306475"/>
    <x v="1"/>
  </r>
  <r>
    <n v="10266"/>
    <n v="9"/>
    <d v="2014-01-04T00:00:00"/>
    <s v="DVD"/>
    <n v="102915"/>
    <s v="AB105322"/>
    <x v="4"/>
    <n v="936214"/>
    <x v="2"/>
  </r>
  <r>
    <n v="10207"/>
    <n v="7"/>
    <d v="2014-01-02T00:00:00"/>
    <s v="DVD"/>
    <n v="102916"/>
    <s v="AB105323"/>
    <x v="1"/>
    <n v="950299"/>
    <x v="2"/>
  </r>
  <r>
    <n v="10223"/>
    <n v="6"/>
    <d v="2013-12-30T00:00:00"/>
    <s v="DVD"/>
    <n v="102916"/>
    <s v="AB105324"/>
    <x v="7"/>
    <n v="950299"/>
    <x v="1"/>
  </r>
  <r>
    <n v="10169"/>
    <n v="5"/>
    <d v="2014-01-01T00:00:00"/>
    <s v="DVD"/>
    <n v="102917"/>
    <s v="AB105325"/>
    <x v="0"/>
    <n v="132454"/>
    <x v="2"/>
  </r>
  <r>
    <n v="10217"/>
    <n v="7"/>
    <d v="2014-01-03T00:00:00"/>
    <s v="DVD"/>
    <n v="102917"/>
    <s v="AB105327"/>
    <x v="0"/>
    <n v="132454"/>
    <x v="2"/>
  </r>
  <r>
    <n v="10239"/>
    <n v="7"/>
    <d v="2013-12-31T00:00:00"/>
    <s v="DVD"/>
    <n v="102918"/>
    <s v="AB105328"/>
    <x v="2"/>
    <n v="817159"/>
    <x v="1"/>
  </r>
  <r>
    <n v="10069"/>
    <n v="3"/>
    <d v="2013-12-31T00:00:00"/>
    <s v="BLU-RAY"/>
    <n v="102919"/>
    <s v="AB105331"/>
    <x v="0"/>
    <n v="551950"/>
    <x v="1"/>
  </r>
  <r>
    <n v="10240"/>
    <n v="10"/>
    <d v="2014-01-04T00:00:00"/>
    <s v="DVD"/>
    <n v="102920"/>
    <s v="AB105333"/>
    <x v="0"/>
    <n v="955591"/>
    <x v="2"/>
  </r>
  <r>
    <n v="10222"/>
    <n v="1"/>
    <d v="2013-12-31T00:00:00"/>
    <s v="DVD"/>
    <n v="102920"/>
    <s v="AB105335"/>
    <x v="4"/>
    <n v="955591"/>
    <x v="1"/>
  </r>
  <r>
    <n v="10110"/>
    <n v="1"/>
    <d v="2013-12-31T00:00:00"/>
    <s v="DVD"/>
    <n v="102921"/>
    <s v="AB105337"/>
    <x v="0"/>
    <n v="233813"/>
    <x v="1"/>
  </r>
  <r>
    <n v="10180"/>
    <n v="4"/>
    <d v="2014-01-01T00:00:00"/>
    <s v="DVD"/>
    <n v="102922"/>
    <s v="AB105338"/>
    <x v="12"/>
    <n v="762509"/>
    <x v="2"/>
  </r>
  <r>
    <n v="10097"/>
    <n v="4"/>
    <d v="2013-12-31T00:00:00"/>
    <s v="BLU-RAY"/>
    <n v="102923"/>
    <s v="AB105339"/>
    <x v="8"/>
    <n v="435907"/>
    <x v="1"/>
  </r>
  <r>
    <n v="10245"/>
    <n v="3"/>
    <d v="2014-01-02T00:00:00"/>
    <s v="BLU-RAY"/>
    <n v="102923"/>
    <s v="AB105340"/>
    <x v="0"/>
    <n v="435907"/>
    <x v="2"/>
  </r>
  <r>
    <n v="10204"/>
    <n v="2"/>
    <d v="2014-01-01T00:00:00"/>
    <s v="DVD"/>
    <n v="102924"/>
    <s v="AB105341"/>
    <x v="7"/>
    <n v="442254"/>
    <x v="2"/>
  </r>
  <r>
    <n v="10265"/>
    <n v="6"/>
    <d v="2014-01-01T00:00:00"/>
    <s v="BLU-RAY"/>
    <n v="102924"/>
    <s v="AB105342"/>
    <x v="0"/>
    <n v="442254"/>
    <x v="2"/>
  </r>
  <r>
    <n v="10256"/>
    <n v="1"/>
    <d v="2014-01-03T00:00:00"/>
    <s v="DVD"/>
    <n v="102928"/>
    <s v="AB105345"/>
    <x v="9"/>
    <n v="416523"/>
    <x v="2"/>
  </r>
  <r>
    <n v="10066"/>
    <n v="2"/>
    <d v="2014-01-01T00:00:00"/>
    <s v="DVD"/>
    <n v="102928"/>
    <s v="AB105346"/>
    <x v="3"/>
    <n v="416523"/>
    <x v="2"/>
  </r>
  <r>
    <n v="10220"/>
    <n v="1"/>
    <d v="2014-01-04T00:00:00"/>
    <s v="BLU-RAY"/>
    <n v="102931"/>
    <s v="AB105352"/>
    <x v="9"/>
    <n v="173125"/>
    <x v="2"/>
  </r>
  <r>
    <n v="10281"/>
    <n v="1"/>
    <d v="2014-01-06T00:00:00"/>
    <s v="DVD"/>
    <n v="102932"/>
    <s v="AB105354"/>
    <x v="10"/>
    <n v="850933"/>
    <x v="2"/>
  </r>
  <r>
    <n v="10241"/>
    <n v="9"/>
    <d v="2014-01-03T00:00:00"/>
    <s v="DVD"/>
    <n v="102934"/>
    <s v="AB105356"/>
    <x v="0"/>
    <n v="308662"/>
    <x v="2"/>
  </r>
  <r>
    <n v="10171"/>
    <n v="2"/>
    <d v="2014-01-02T00:00:00"/>
    <s v="DVD"/>
    <n v="102934"/>
    <s v="AB105358"/>
    <x v="7"/>
    <n v="308662"/>
    <x v="2"/>
  </r>
  <r>
    <n v="10288"/>
    <n v="6"/>
    <d v="2014-01-05T00:00:00"/>
    <s v="DVD"/>
    <n v="102937"/>
    <s v="AB105361"/>
    <x v="12"/>
    <n v="345348"/>
    <x v="2"/>
  </r>
  <r>
    <n v="10198"/>
    <n v="1"/>
    <d v="2014-01-02T00:00:00"/>
    <s v="BLU-RAY"/>
    <n v="102937"/>
    <s v="AB105362"/>
    <x v="9"/>
    <n v="345348"/>
    <x v="2"/>
  </r>
  <r>
    <n v="10279"/>
    <n v="9"/>
    <d v="2014-01-02T00:00:00"/>
    <s v="DVD"/>
    <n v="102938"/>
    <s v="AB105365"/>
    <x v="8"/>
    <n v="105771"/>
    <x v="2"/>
  </r>
  <r>
    <n v="10185"/>
    <n v="5"/>
    <d v="2014-01-03T00:00:00"/>
    <s v="BLU-RAY"/>
    <n v="102939"/>
    <s v="AB105366"/>
    <x v="0"/>
    <n v="371731"/>
    <x v="2"/>
  </r>
  <r>
    <n v="10212"/>
    <n v="6"/>
    <d v="2014-01-07T00:00:00"/>
    <s v="DVD"/>
    <n v="102941"/>
    <s v="AB105371"/>
    <x v="10"/>
    <n v="927518"/>
    <x v="2"/>
  </r>
  <r>
    <n v="10290"/>
    <n v="7"/>
    <d v="2014-01-05T00:00:00"/>
    <s v="DVD"/>
    <n v="102942"/>
    <s v="AB105374"/>
    <x v="2"/>
    <n v="468692"/>
    <x v="2"/>
  </r>
  <r>
    <n v="10179"/>
    <n v="5"/>
    <d v="2014-01-03T00:00:00"/>
    <s v="DVD"/>
    <n v="102943"/>
    <s v="AB105376"/>
    <x v="0"/>
    <n v="912671"/>
    <x v="2"/>
  </r>
  <r>
    <n v="10141"/>
    <n v="9"/>
    <d v="2014-01-03T00:00:00"/>
    <s v="DVD"/>
    <n v="102946"/>
    <s v="AB105382"/>
    <x v="0"/>
    <n v="244282"/>
    <x v="2"/>
  </r>
  <r>
    <n v="10095"/>
    <n v="10"/>
    <d v="2014-01-04T00:00:00"/>
    <s v="DVD"/>
    <n v="102950"/>
    <s v="AB105387"/>
    <x v="2"/>
    <n v="166735"/>
    <x v="2"/>
  </r>
  <r>
    <n v="10290"/>
    <n v="10"/>
    <d v="2014-01-05T00:00:00"/>
    <s v="DVD"/>
    <n v="102950"/>
    <s v="AB105388"/>
    <x v="2"/>
    <n v="166735"/>
    <x v="2"/>
  </r>
  <r>
    <n v="10048"/>
    <n v="6"/>
    <d v="2014-01-06T00:00:00"/>
    <s v="BLU-RAY"/>
    <n v="102951"/>
    <s v="AB105390"/>
    <x v="12"/>
    <n v="355107"/>
    <x v="2"/>
  </r>
  <r>
    <n v="10173"/>
    <n v="7"/>
    <d v="2014-01-06T00:00:00"/>
    <s v="DVD"/>
    <n v="102952"/>
    <s v="AB105393"/>
    <x v="4"/>
    <n v="366695"/>
    <x v="2"/>
  </r>
  <r>
    <n v="10112"/>
    <n v="9"/>
    <d v="2014-01-05T00:00:00"/>
    <s v="DVD"/>
    <n v="102954"/>
    <s v="AB105398"/>
    <x v="12"/>
    <n v="840096"/>
    <x v="2"/>
  </r>
  <r>
    <n v="10187"/>
    <n v="1"/>
    <d v="2014-01-06T00:00:00"/>
    <s v="DVD"/>
    <n v="102957"/>
    <s v="AB105402"/>
    <x v="1"/>
    <n v="488803"/>
    <x v="2"/>
  </r>
  <r>
    <n v="10230"/>
    <n v="3"/>
    <d v="2014-01-07T00:00:00"/>
    <s v="BLU-RAY"/>
    <n v="102957"/>
    <s v="AB105403"/>
    <x v="14"/>
    <n v="488803"/>
    <x v="2"/>
  </r>
  <r>
    <n v="10238"/>
    <n v="9"/>
    <d v="2014-01-06T00:00:00"/>
    <s v="BLU-RAY"/>
    <n v="102957"/>
    <s v="AB105404"/>
    <x v="0"/>
    <n v="488803"/>
    <x v="2"/>
  </r>
  <r>
    <n v="10233"/>
    <n v="9"/>
    <d v="2014-01-05T00:00:00"/>
    <s v="BLU-RAY"/>
    <n v="102960"/>
    <s v="AB105411"/>
    <x v="8"/>
    <n v="216081"/>
    <x v="2"/>
  </r>
  <r>
    <n v="10187"/>
    <n v="1"/>
    <d v="2014-01-08T00:00:00"/>
    <s v="DVD"/>
    <n v="102961"/>
    <s v="AB105412"/>
    <x v="1"/>
    <n v="278809"/>
    <x v="2"/>
  </r>
  <r>
    <n v="10082"/>
    <n v="7"/>
    <d v="2014-01-07T00:00:00"/>
    <s v="DVD"/>
    <n v="102962"/>
    <s v="AB105413"/>
    <x v="3"/>
    <n v="714277"/>
    <x v="2"/>
  </r>
  <r>
    <n v="10220"/>
    <n v="7"/>
    <d v="2014-01-06T00:00:00"/>
    <s v="BLU-RAY"/>
    <n v="102962"/>
    <s v="AB105414"/>
    <x v="9"/>
    <n v="714277"/>
    <x v="2"/>
  </r>
  <r>
    <n v="10294"/>
    <n v="8"/>
    <d v="2014-01-06T00:00:00"/>
    <s v="DVD"/>
    <n v="102962"/>
    <s v="AB105415"/>
    <x v="2"/>
    <n v="714277"/>
    <x v="2"/>
  </r>
  <r>
    <n v="10265"/>
    <n v="10"/>
    <d v="2014-01-06T00:00:00"/>
    <s v="DVD"/>
    <n v="102963"/>
    <s v="AB105416"/>
    <x v="0"/>
    <n v="304344"/>
    <x v="2"/>
  </r>
  <r>
    <n v="10299"/>
    <n v="8"/>
    <d v="2014-01-06T00:00:00"/>
    <s v="DVD"/>
    <n v="102963"/>
    <s v="AB105418"/>
    <x v="22"/>
    <n v="304344"/>
    <x v="2"/>
  </r>
  <r>
    <n v="10199"/>
    <n v="5"/>
    <d v="2014-01-08T00:00:00"/>
    <s v="DVD"/>
    <n v="102966"/>
    <s v="AB105424"/>
    <x v="10"/>
    <n v="202612"/>
    <x v="2"/>
  </r>
  <r>
    <n v="10071"/>
    <n v="6"/>
    <d v="2014-01-07T00:00:00"/>
    <s v="DVD"/>
    <n v="102967"/>
    <s v="AB105425"/>
    <x v="1"/>
    <n v="575041"/>
    <x v="2"/>
  </r>
  <r>
    <n v="10134"/>
    <n v="7"/>
    <d v="2014-01-09T00:00:00"/>
    <s v="BLU-RAY"/>
    <n v="102967"/>
    <s v="AB105426"/>
    <x v="7"/>
    <n v="575041"/>
    <x v="2"/>
  </r>
  <r>
    <n v="10054"/>
    <n v="2"/>
    <d v="2014-01-06T00:00:00"/>
    <s v="DVD"/>
    <n v="102967"/>
    <s v="AB105427"/>
    <x v="1"/>
    <n v="575041"/>
    <x v="2"/>
  </r>
  <r>
    <n v="10204"/>
    <n v="9"/>
    <d v="2014-01-07T00:00:00"/>
    <s v="BLU-RAY"/>
    <n v="102968"/>
    <s v="AB105428"/>
    <x v="7"/>
    <n v="242720"/>
    <x v="2"/>
  </r>
  <r>
    <n v="10235"/>
    <n v="1"/>
    <d v="2014-01-07T00:00:00"/>
    <s v="BLU-RAY"/>
    <n v="102971"/>
    <s v="AB105433"/>
    <x v="10"/>
    <n v="298508"/>
    <x v="2"/>
  </r>
  <r>
    <n v="10264"/>
    <n v="7"/>
    <d v="2014-01-07T00:00:00"/>
    <s v="DVD"/>
    <n v="102972"/>
    <s v="AB105435"/>
    <x v="2"/>
    <n v="559688"/>
    <x v="2"/>
  </r>
  <r>
    <n v="10235"/>
    <n v="2"/>
    <d v="2014-01-07T00:00:00"/>
    <s v="DVD"/>
    <n v="102972"/>
    <s v="AB105436"/>
    <x v="10"/>
    <n v="559688"/>
    <x v="2"/>
  </r>
  <r>
    <n v="10265"/>
    <n v="2"/>
    <d v="2014-01-08T00:00:00"/>
    <s v="DVD"/>
    <n v="102973"/>
    <s v="AB105437"/>
    <x v="0"/>
    <n v="358901"/>
    <x v="2"/>
  </r>
  <r>
    <n v="10116"/>
    <n v="3"/>
    <d v="2014-01-09T00:00:00"/>
    <s v="DVD"/>
    <n v="102975"/>
    <s v="AB105440"/>
    <x v="7"/>
    <n v="847289"/>
    <x v="2"/>
  </r>
  <r>
    <n v="10208"/>
    <n v="8"/>
    <d v="2014-01-08T00:00:00"/>
    <s v="DVD"/>
    <n v="102976"/>
    <s v="AB105443"/>
    <x v="0"/>
    <n v="206078"/>
    <x v="2"/>
  </r>
  <r>
    <n v="10064"/>
    <n v="8"/>
    <d v="2014-01-11T00:00:00"/>
    <s v="DVD"/>
    <n v="102977"/>
    <s v="AB105445"/>
    <x v="7"/>
    <n v="808177"/>
    <x v="2"/>
  </r>
  <r>
    <n v="10256"/>
    <n v="5"/>
    <d v="2014-01-08T00:00:00"/>
    <s v="BLU-RAY"/>
    <n v="102978"/>
    <s v="AB105446"/>
    <x v="9"/>
    <n v="319387"/>
    <x v="2"/>
  </r>
  <r>
    <n v="10127"/>
    <n v="7"/>
    <d v="2014-01-08T00:00:00"/>
    <s v="DVD"/>
    <n v="102978"/>
    <s v="AB105447"/>
    <x v="6"/>
    <n v="319387"/>
    <x v="2"/>
  </r>
  <r>
    <n v="10292"/>
    <n v="5"/>
    <d v="2014-01-10T00:00:00"/>
    <s v="DVD"/>
    <n v="102979"/>
    <s v="AB105450"/>
    <x v="15"/>
    <n v="358901"/>
    <x v="2"/>
  </r>
  <r>
    <n v="10175"/>
    <n v="10"/>
    <d v="2014-01-08T00:00:00"/>
    <s v="DVD"/>
    <n v="102980"/>
    <s v="AB105452"/>
    <x v="3"/>
    <n v="116934"/>
    <x v="2"/>
  </r>
  <r>
    <n v="10285"/>
    <n v="2"/>
    <d v="2014-01-08T00:00:00"/>
    <s v="DVD"/>
    <n v="102981"/>
    <s v="AB105454"/>
    <x v="20"/>
    <n v="296353"/>
    <x v="2"/>
  </r>
  <r>
    <n v="10222"/>
    <n v="2"/>
    <d v="2014-01-12T00:00:00"/>
    <s v="DVD"/>
    <n v="102981"/>
    <s v="AB105455"/>
    <x v="4"/>
    <n v="296353"/>
    <x v="2"/>
  </r>
  <r>
    <n v="10197"/>
    <n v="8"/>
    <d v="2014-01-14T00:00:00"/>
    <s v="DVD"/>
    <n v="102984"/>
    <s v="AB105459"/>
    <x v="0"/>
    <n v="353846"/>
    <x v="2"/>
  </r>
  <r>
    <n v="10071"/>
    <n v="4"/>
    <d v="2014-01-09T00:00:00"/>
    <s v="DVD"/>
    <n v="102985"/>
    <s v="AB105462"/>
    <x v="1"/>
    <n v="404678"/>
    <x v="2"/>
  </r>
  <r>
    <n v="10134"/>
    <n v="8"/>
    <d v="2014-01-10T00:00:00"/>
    <s v="DVD"/>
    <n v="102985"/>
    <s v="AB105465"/>
    <x v="7"/>
    <n v="404678"/>
    <x v="2"/>
  </r>
  <r>
    <n v="10167"/>
    <n v="10"/>
    <d v="2014-01-11T00:00:00"/>
    <s v="DVD"/>
    <n v="102987"/>
    <s v="AB105467"/>
    <x v="7"/>
    <n v="862302"/>
    <x v="2"/>
  </r>
  <r>
    <n v="10245"/>
    <n v="2"/>
    <d v="2014-01-10T00:00:00"/>
    <s v="DVD"/>
    <n v="102987"/>
    <s v="AB105468"/>
    <x v="0"/>
    <n v="862302"/>
    <x v="2"/>
  </r>
  <r>
    <n v="10267"/>
    <n v="9"/>
    <d v="2014-01-10T00:00:00"/>
    <s v="DVD"/>
    <n v="102988"/>
    <s v="AB105470"/>
    <x v="6"/>
    <n v="877877"/>
    <x v="2"/>
  </r>
  <r>
    <n v="10286"/>
    <n v="1"/>
    <d v="2014-01-09T00:00:00"/>
    <s v="DVD"/>
    <n v="102988"/>
    <s v="AB105471"/>
    <x v="17"/>
    <n v="877877"/>
    <x v="2"/>
  </r>
  <r>
    <n v="10299"/>
    <n v="8"/>
    <d v="2014-01-11T00:00:00"/>
    <s v="DVD"/>
    <n v="102989"/>
    <s v="AB105473"/>
    <x v="22"/>
    <n v="157388"/>
    <x v="2"/>
  </r>
  <r>
    <n v="10122"/>
    <n v="7"/>
    <d v="2014-01-10T00:00:00"/>
    <s v="DVD"/>
    <n v="102989"/>
    <s v="AB105474"/>
    <x v="12"/>
    <n v="157388"/>
    <x v="2"/>
  </r>
  <r>
    <n v="10283"/>
    <n v="5"/>
    <d v="2014-01-10T00:00:00"/>
    <s v="DVD"/>
    <n v="102991"/>
    <s v="AB105479"/>
    <x v="6"/>
    <n v="578275"/>
    <x v="2"/>
  </r>
  <r>
    <n v="10140"/>
    <n v="8"/>
    <d v="2014-01-13T00:00:00"/>
    <s v="BLU-RAY"/>
    <n v="102991"/>
    <s v="AB105480"/>
    <x v="2"/>
    <n v="578275"/>
    <x v="2"/>
  </r>
  <r>
    <n v="10073"/>
    <n v="6"/>
    <d v="2014-01-10T00:00:00"/>
    <s v="DVD"/>
    <n v="102993"/>
    <s v="AB105485"/>
    <x v="16"/>
    <n v="175871"/>
    <x v="2"/>
  </r>
  <r>
    <n v="10188"/>
    <n v="3"/>
    <d v="2014-01-11T00:00:00"/>
    <s v="DVD"/>
    <n v="102999"/>
    <s v="AB105495"/>
    <x v="1"/>
    <n v="548546"/>
    <x v="2"/>
  </r>
  <r>
    <n v="10144"/>
    <n v="3"/>
    <d v="2014-01-10T00:00:00"/>
    <s v="DVD"/>
    <n v="102999"/>
    <s v="AB105496"/>
    <x v="2"/>
    <n v="548546"/>
    <x v="2"/>
  </r>
  <r>
    <n v="10230"/>
    <n v="2"/>
    <d v="2014-01-11T00:00:00"/>
    <s v="BLU-RAY"/>
    <n v="103000"/>
    <s v="AB105499"/>
    <x v="14"/>
    <n v="884729"/>
    <x v="2"/>
  </r>
  <r>
    <n v="10215"/>
    <n v="2"/>
    <d v="2014-01-12T00:00:00"/>
    <s v="DVD"/>
    <n v="103001"/>
    <s v="AB105500"/>
    <x v="1"/>
    <n v="559688"/>
    <x v="2"/>
  </r>
  <r>
    <n v="10152"/>
    <n v="3"/>
    <d v="2014-01-12T00:00:00"/>
    <s v="DVD"/>
    <n v="103002"/>
    <s v="AB105504"/>
    <x v="16"/>
    <n v="105549"/>
    <x v="2"/>
  </r>
  <r>
    <n v="10177"/>
    <n v="7"/>
    <d v="2014-01-13T00:00:00"/>
    <s v="DVD"/>
    <n v="103003"/>
    <s v="AB105505"/>
    <x v="9"/>
    <n v="908768"/>
    <x v="2"/>
  </r>
  <r>
    <n v="10235"/>
    <n v="9"/>
    <d v="2014-01-14T00:00:00"/>
    <s v="BLU-RAY"/>
    <n v="103004"/>
    <s v="AB105507"/>
    <x v="10"/>
    <n v="741398"/>
    <x v="2"/>
  </r>
  <r>
    <n v="10288"/>
    <n v="5"/>
    <d v="2014-01-13T00:00:00"/>
    <s v="DVD"/>
    <n v="103007"/>
    <s v="AB105511"/>
    <x v="12"/>
    <n v="616028"/>
    <x v="2"/>
  </r>
  <r>
    <n v="10086"/>
    <n v="3"/>
    <d v="2014-01-12T00:00:00"/>
    <s v="BLU-RAY"/>
    <n v="103011"/>
    <s v="AB105520"/>
    <x v="3"/>
    <n v="161175"/>
    <x v="2"/>
  </r>
  <r>
    <n v="10020"/>
    <n v="1"/>
    <d v="2014-01-12T00:00:00"/>
    <s v="DVD"/>
    <n v="103012"/>
    <s v="AB105523"/>
    <x v="16"/>
    <n v="418521"/>
    <x v="2"/>
  </r>
  <r>
    <n v="10226"/>
    <n v="10"/>
    <d v="2014-01-12T00:00:00"/>
    <s v="DVD"/>
    <n v="103013"/>
    <s v="AB105526"/>
    <x v="4"/>
    <n v="800121"/>
    <x v="2"/>
  </r>
  <r>
    <n v="10105"/>
    <n v="8"/>
    <d v="2014-01-13T00:00:00"/>
    <s v="DVD"/>
    <n v="103014"/>
    <s v="AB105528"/>
    <x v="2"/>
    <n v="346006"/>
    <x v="2"/>
  </r>
  <r>
    <n v="10186"/>
    <n v="5"/>
    <d v="2014-01-14T00:00:00"/>
    <s v="DVD"/>
    <n v="103015"/>
    <s v="AB105530"/>
    <x v="10"/>
    <n v="994056"/>
    <x v="2"/>
  </r>
  <r>
    <n v="10263"/>
    <n v="10"/>
    <d v="2014-01-13T00:00:00"/>
    <s v="DVD"/>
    <n v="103015"/>
    <s v="AB105531"/>
    <x v="9"/>
    <n v="994056"/>
    <x v="2"/>
  </r>
  <r>
    <n v="10177"/>
    <n v="9"/>
    <d v="2014-01-14T00:00:00"/>
    <s v="BLU-RAY"/>
    <n v="103016"/>
    <s v="AB105532"/>
    <x v="9"/>
    <n v="901388"/>
    <x v="2"/>
  </r>
  <r>
    <n v="10227"/>
    <n v="1"/>
    <d v="2014-01-13T00:00:00"/>
    <s v="DVD"/>
    <n v="103017"/>
    <s v="AB105533"/>
    <x v="14"/>
    <n v="435907"/>
    <x v="2"/>
  </r>
  <r>
    <n v="10266"/>
    <n v="10"/>
    <d v="2014-01-14T00:00:00"/>
    <s v="DVD"/>
    <n v="103019"/>
    <s v="AB105534"/>
    <x v="4"/>
    <n v="703083"/>
    <x v="2"/>
  </r>
  <r>
    <n v="10211"/>
    <n v="6"/>
    <d v="2014-01-13T00:00:00"/>
    <s v="DVD"/>
    <n v="103020"/>
    <s v="AB105536"/>
    <x v="3"/>
    <n v="781968"/>
    <x v="2"/>
  </r>
  <r>
    <n v="10245"/>
    <n v="6"/>
    <d v="2014-01-15T00:00:00"/>
    <s v="DVD"/>
    <n v="103021"/>
    <s v="AB105537"/>
    <x v="0"/>
    <n v="154427"/>
    <x v="2"/>
  </r>
  <r>
    <n v="10208"/>
    <n v="3"/>
    <d v="2014-01-14T00:00:00"/>
    <s v="DVD"/>
    <n v="103021"/>
    <s v="AB105538"/>
    <x v="0"/>
    <n v="154427"/>
    <x v="2"/>
  </r>
  <r>
    <n v="10014"/>
    <n v="4"/>
    <d v="2014-01-13T00:00:00"/>
    <s v="DVD"/>
    <n v="103022"/>
    <s v="AB105541"/>
    <x v="0"/>
    <n v="924649"/>
    <x v="2"/>
  </r>
  <r>
    <n v="10086"/>
    <n v="6"/>
    <d v="2014-01-14T00:00:00"/>
    <s v="DVD"/>
    <n v="103023"/>
    <s v="AB105544"/>
    <x v="3"/>
    <n v="741514"/>
    <x v="2"/>
  </r>
  <r>
    <n v="10272"/>
    <n v="7"/>
    <d v="2014-01-15T00:00:00"/>
    <s v="BLU-RAY"/>
    <n v="103024"/>
    <s v="AB105547"/>
    <x v="4"/>
    <n v="468692"/>
    <x v="2"/>
  </r>
  <r>
    <n v="10252"/>
    <n v="3"/>
    <d v="2014-01-20T00:00:00"/>
    <s v="DVD"/>
    <n v="103025"/>
    <s v="AB105550"/>
    <x v="0"/>
    <n v="121639"/>
    <x v="2"/>
  </r>
  <r>
    <n v="10226"/>
    <n v="1"/>
    <d v="2014-01-16T00:00:00"/>
    <s v="BLU-RAY"/>
    <n v="103025"/>
    <s v="AB105551"/>
    <x v="4"/>
    <n v="121639"/>
    <x v="2"/>
  </r>
  <r>
    <n v="10157"/>
    <n v="6"/>
    <d v="2014-01-14T00:00:00"/>
    <s v="BLU-RAY"/>
    <n v="103027"/>
    <s v="AB105553"/>
    <x v="1"/>
    <n v="994185"/>
    <x v="2"/>
  </r>
  <r>
    <n v="10148"/>
    <n v="4"/>
    <d v="2014-01-16T00:00:00"/>
    <s v="DVD"/>
    <n v="103028"/>
    <s v="AB105554"/>
    <x v="1"/>
    <n v="624668"/>
    <x v="2"/>
  </r>
  <r>
    <n v="10274"/>
    <n v="1"/>
    <d v="2014-01-14T00:00:00"/>
    <s v="DVD"/>
    <n v="103028"/>
    <s v="AB105555"/>
    <x v="9"/>
    <n v="624668"/>
    <x v="2"/>
  </r>
  <r>
    <n v="10128"/>
    <n v="6"/>
    <d v="2014-01-14T00:00:00"/>
    <s v="DVD"/>
    <n v="103030"/>
    <s v="AB105557"/>
    <x v="6"/>
    <n v="191050"/>
    <x v="2"/>
  </r>
  <r>
    <n v="10281"/>
    <n v="6"/>
    <d v="2014-01-15T00:00:00"/>
    <s v="BLU-RAY"/>
    <n v="103031"/>
    <s v="AB105559"/>
    <x v="10"/>
    <n v="192738"/>
    <x v="2"/>
  </r>
  <r>
    <n v="10233"/>
    <n v="8"/>
    <d v="2014-01-15T00:00:00"/>
    <s v="DVD"/>
    <n v="103032"/>
    <s v="AB105561"/>
    <x v="8"/>
    <n v="265339"/>
    <x v="2"/>
  </r>
  <r>
    <n v="10137"/>
    <n v="4"/>
    <d v="2014-01-16T00:00:00"/>
    <s v="BLU-RAY"/>
    <n v="103033"/>
    <s v="AB105563"/>
    <x v="3"/>
    <n v="938417"/>
    <x v="2"/>
  </r>
  <r>
    <n v="10280"/>
    <n v="2"/>
    <d v="2014-01-15T00:00:00"/>
    <s v="DVD"/>
    <n v="103035"/>
    <s v="AB105566"/>
    <x v="7"/>
    <n v="241144"/>
    <x v="2"/>
  </r>
  <r>
    <n v="10246"/>
    <n v="3"/>
    <d v="2014-01-22T00:00:00"/>
    <s v="DVD"/>
    <n v="103035"/>
    <s v="AB105567"/>
    <x v="2"/>
    <n v="241144"/>
    <x v="2"/>
  </r>
  <r>
    <n v="10217"/>
    <n v="4"/>
    <d v="2014-01-15T00:00:00"/>
    <s v="DVD"/>
    <n v="103035"/>
    <s v="AB105568"/>
    <x v="0"/>
    <n v="241144"/>
    <x v="2"/>
  </r>
  <r>
    <n v="10169"/>
    <n v="8"/>
    <d v="2014-01-15T00:00:00"/>
    <s v="BLU-RAY"/>
    <n v="103036"/>
    <s v="AB105569"/>
    <x v="0"/>
    <n v="317461"/>
    <x v="2"/>
  </r>
  <r>
    <n v="10038"/>
    <n v="5"/>
    <d v="2014-01-17T00:00:00"/>
    <s v="DVD"/>
    <n v="103036"/>
    <s v="AB105570"/>
    <x v="1"/>
    <n v="317461"/>
    <x v="2"/>
  </r>
  <r>
    <n v="10285"/>
    <n v="8"/>
    <d v="2014-01-17T00:00:00"/>
    <s v="DVD"/>
    <n v="103036"/>
    <s v="AB105571"/>
    <x v="20"/>
    <n v="317461"/>
    <x v="2"/>
  </r>
  <r>
    <n v="10131"/>
    <n v="5"/>
    <d v="2014-01-17T00:00:00"/>
    <s v="DVD"/>
    <n v="103037"/>
    <s v="AB105572"/>
    <x v="0"/>
    <n v="734624"/>
    <x v="2"/>
  </r>
  <r>
    <n v="10248"/>
    <n v="8"/>
    <d v="2014-01-15T00:00:00"/>
    <s v="DVD"/>
    <n v="103037"/>
    <s v="AB105573"/>
    <x v="12"/>
    <n v="734624"/>
    <x v="2"/>
  </r>
  <r>
    <n v="10284"/>
    <n v="8"/>
    <d v="2014-01-15T00:00:00"/>
    <s v="DVD"/>
    <n v="103038"/>
    <s v="AB105574"/>
    <x v="14"/>
    <n v="405322"/>
    <x v="2"/>
  </r>
  <r>
    <n v="10296"/>
    <n v="9"/>
    <d v="2014-01-16T00:00:00"/>
    <s v="DVD"/>
    <n v="103039"/>
    <s v="AB105575"/>
    <x v="21"/>
    <n v="233956"/>
    <x v="2"/>
  </r>
  <r>
    <n v="10210"/>
    <n v="3"/>
    <d v="2014-01-17T00:00:00"/>
    <s v="DVD"/>
    <n v="103040"/>
    <s v="AB105577"/>
    <x v="4"/>
    <n v="121639"/>
    <x v="2"/>
  </r>
  <r>
    <n v="10250"/>
    <n v="5"/>
    <d v="2014-01-18T00:00:00"/>
    <s v="DVD"/>
    <n v="103042"/>
    <s v="AB105582"/>
    <x v="3"/>
    <n v="606155"/>
    <x v="2"/>
  </r>
  <r>
    <n v="10261"/>
    <n v="1"/>
    <d v="2014-01-16T00:00:00"/>
    <s v="DVD"/>
    <n v="103042"/>
    <s v="AB105583"/>
    <x v="9"/>
    <n v="606155"/>
    <x v="2"/>
  </r>
  <r>
    <n v="10233"/>
    <n v="9"/>
    <d v="2014-01-18T00:00:00"/>
    <s v="BLU-RAY"/>
    <n v="103044"/>
    <s v="AB105586"/>
    <x v="8"/>
    <n v="605188"/>
    <x v="2"/>
  </r>
  <r>
    <n v="10281"/>
    <n v="5"/>
    <d v="2014-01-16T00:00:00"/>
    <s v="DVD"/>
    <n v="103044"/>
    <s v="AB105587"/>
    <x v="10"/>
    <n v="605188"/>
    <x v="2"/>
  </r>
  <r>
    <n v="10182"/>
    <n v="6"/>
    <d v="2014-01-17T00:00:00"/>
    <s v="DVD"/>
    <n v="103045"/>
    <s v="AB105589"/>
    <x v="0"/>
    <n v="781523"/>
    <x v="2"/>
  </r>
  <r>
    <n v="10130"/>
    <n v="4"/>
    <d v="2014-01-20T00:00:00"/>
    <s v="DVD"/>
    <n v="103048"/>
    <s v="AB105594"/>
    <x v="21"/>
    <n v="964619"/>
    <x v="2"/>
  </r>
  <r>
    <n v="10190"/>
    <n v="2"/>
    <d v="2014-01-19T00:00:00"/>
    <s v="DVD"/>
    <n v="103049"/>
    <s v="AB105597"/>
    <x v="10"/>
    <n v="590616"/>
    <x v="2"/>
  </r>
  <r>
    <n v="10277"/>
    <n v="9"/>
    <d v="2014-01-17T00:00:00"/>
    <s v="DVD"/>
    <n v="103049"/>
    <s v="AB105599"/>
    <x v="7"/>
    <n v="590616"/>
    <x v="2"/>
  </r>
  <r>
    <n v="10158"/>
    <n v="8"/>
    <d v="2014-01-19T00:00:00"/>
    <s v="DVD"/>
    <n v="103050"/>
    <s v="AB105600"/>
    <x v="0"/>
    <n v="426984"/>
    <x v="2"/>
  </r>
  <r>
    <n v="10172"/>
    <n v="3"/>
    <d v="2014-01-17T00:00:00"/>
    <s v="DVD"/>
    <n v="103052"/>
    <s v="AB105603"/>
    <x v="10"/>
    <n v="346006"/>
    <x v="2"/>
  </r>
  <r>
    <n v="10041"/>
    <n v="9"/>
    <d v="2014-01-18T00:00:00"/>
    <s v="BLU-RAY"/>
    <n v="103055"/>
    <s v="AB105606"/>
    <x v="10"/>
    <n v="782947"/>
    <x v="2"/>
  </r>
  <r>
    <n v="10199"/>
    <n v="4"/>
    <d v="2014-01-18T00:00:00"/>
    <s v="DVD"/>
    <n v="103055"/>
    <s v="AB105607"/>
    <x v="10"/>
    <n v="782947"/>
    <x v="2"/>
  </r>
  <r>
    <n v="10297"/>
    <n v="10"/>
    <d v="2014-01-19T00:00:00"/>
    <s v="DVD"/>
    <n v="103056"/>
    <s v="AB105610"/>
    <x v="14"/>
    <n v="746134"/>
    <x v="2"/>
  </r>
  <r>
    <n v="10209"/>
    <n v="1"/>
    <d v="2014-01-18T00:00:00"/>
    <s v="DVD"/>
    <n v="103058"/>
    <s v="AB105615"/>
    <x v="7"/>
    <n v="890651"/>
    <x v="2"/>
  </r>
  <r>
    <n v="10224"/>
    <n v="9"/>
    <d v="2014-01-21T00:00:00"/>
    <s v="DVD"/>
    <n v="103058"/>
    <s v="AB105616"/>
    <x v="17"/>
    <n v="890651"/>
    <x v="2"/>
  </r>
  <r>
    <n v="10245"/>
    <n v="5"/>
    <d v="2014-01-23T00:00:00"/>
    <s v="DVD"/>
    <n v="103059"/>
    <s v="AB105617"/>
    <x v="0"/>
    <n v="817159"/>
    <x v="2"/>
  </r>
  <r>
    <n v="10185"/>
    <n v="4"/>
    <d v="2014-01-22T00:00:00"/>
    <s v="BLU-RAY"/>
    <n v="103059"/>
    <s v="AB105618"/>
    <x v="0"/>
    <n v="817159"/>
    <x v="2"/>
  </r>
  <r>
    <n v="10216"/>
    <n v="2"/>
    <d v="2014-01-18T00:00:00"/>
    <s v="DVD"/>
    <n v="103060"/>
    <s v="AB105620"/>
    <x v="4"/>
    <n v="689877"/>
    <x v="2"/>
  </r>
  <r>
    <n v="10123"/>
    <n v="1"/>
    <d v="2014-01-19T00:00:00"/>
    <s v="BLU-RAY"/>
    <n v="103061"/>
    <s v="AB105623"/>
    <x v="9"/>
    <n v="994056"/>
    <x v="2"/>
  </r>
  <r>
    <n v="10285"/>
    <n v="2"/>
    <d v="2014-01-19T00:00:00"/>
    <s v="BLU-RAY"/>
    <n v="103065"/>
    <s v="AB105628"/>
    <x v="20"/>
    <n v="912671"/>
    <x v="2"/>
  </r>
  <r>
    <n v="10280"/>
    <n v="6"/>
    <d v="2014-01-22T00:00:00"/>
    <s v="DVD"/>
    <n v="103065"/>
    <s v="AB105629"/>
    <x v="7"/>
    <n v="912671"/>
    <x v="2"/>
  </r>
  <r>
    <n v="10174"/>
    <n v="2"/>
    <d v="2014-01-22T00:00:00"/>
    <s v="DVD"/>
    <n v="103068"/>
    <s v="AB105637"/>
    <x v="7"/>
    <n v="220206"/>
    <x v="2"/>
  </r>
  <r>
    <n v="10181"/>
    <n v="10"/>
    <d v="2014-01-20T00:00:00"/>
    <s v="DVD"/>
    <n v="103068"/>
    <s v="AB105638"/>
    <x v="9"/>
    <n v="220206"/>
    <x v="2"/>
  </r>
  <r>
    <n v="10184"/>
    <n v="4"/>
    <d v="2014-01-20T00:00:00"/>
    <s v="DVD"/>
    <n v="103069"/>
    <s v="AB105640"/>
    <x v="7"/>
    <n v="739669"/>
    <x v="2"/>
  </r>
  <r>
    <n v="10182"/>
    <n v="5"/>
    <d v="2014-01-22T00:00:00"/>
    <s v="BLU-RAY"/>
    <n v="103071"/>
    <s v="AB105642"/>
    <x v="0"/>
    <n v="414509"/>
    <x v="2"/>
  </r>
  <r>
    <n v="10222"/>
    <n v="4"/>
    <d v="2014-01-20T00:00:00"/>
    <s v="DVD"/>
    <n v="103073"/>
    <s v="AB105645"/>
    <x v="4"/>
    <n v="235720"/>
    <x v="2"/>
  </r>
  <r>
    <n v="10140"/>
    <n v="2"/>
    <d v="2014-01-21T00:00:00"/>
    <s v="DVD"/>
    <n v="103075"/>
    <s v="AB105649"/>
    <x v="2"/>
    <n v="994056"/>
    <x v="2"/>
  </r>
  <r>
    <n v="10100"/>
    <n v="8"/>
    <d v="2014-01-21T00:00:00"/>
    <s v="DVD"/>
    <n v="103076"/>
    <s v="AB105651"/>
    <x v="9"/>
    <n v="520196"/>
    <x v="2"/>
  </r>
  <r>
    <n v="10171"/>
    <n v="8"/>
    <d v="2014-01-21T00:00:00"/>
    <s v="DVD"/>
    <n v="103077"/>
    <s v="AB105653"/>
    <x v="7"/>
    <n v="454143"/>
    <x v="2"/>
  </r>
  <r>
    <n v="10103"/>
    <n v="4"/>
    <d v="2014-01-22T00:00:00"/>
    <s v="BLU-RAY"/>
    <n v="103079"/>
    <s v="AB105654"/>
    <x v="9"/>
    <n v="278204"/>
    <x v="2"/>
  </r>
  <r>
    <n v="10210"/>
    <n v="6"/>
    <d v="2014-01-24T00:00:00"/>
    <s v="DVD"/>
    <n v="103084"/>
    <s v="AB105658"/>
    <x v="4"/>
    <n v="249779"/>
    <x v="2"/>
  </r>
  <r>
    <n v="10209"/>
    <n v="3"/>
    <d v="2014-01-22T00:00:00"/>
    <s v="DVD"/>
    <n v="103084"/>
    <s v="AB105659"/>
    <x v="7"/>
    <n v="249779"/>
    <x v="2"/>
  </r>
  <r>
    <n v="10265"/>
    <n v="4"/>
    <d v="2014-01-22T00:00:00"/>
    <s v="DVD"/>
    <n v="103085"/>
    <s v="AB105661"/>
    <x v="0"/>
    <n v="748326"/>
    <x v="2"/>
  </r>
  <r>
    <n v="10045"/>
    <n v="9"/>
    <d v="2014-01-23T00:00:00"/>
    <s v="BLU-RAY"/>
    <n v="103086"/>
    <s v="AB105666"/>
    <x v="0"/>
    <n v="331115"/>
    <x v="2"/>
  </r>
  <r>
    <n v="10079"/>
    <n v="9"/>
    <d v="2014-01-22T00:00:00"/>
    <s v="DVD"/>
    <n v="103087"/>
    <s v="AB105667"/>
    <x v="0"/>
    <n v="659695"/>
    <x v="2"/>
  </r>
  <r>
    <n v="10081"/>
    <n v="2"/>
    <d v="2014-01-22T00:00:00"/>
    <s v="BLU-RAY"/>
    <n v="103088"/>
    <s v="AB105672"/>
    <x v="2"/>
    <n v="656728"/>
    <x v="2"/>
  </r>
  <r>
    <n v="10128"/>
    <n v="9"/>
    <d v="2014-01-22T00:00:00"/>
    <s v="DVD"/>
    <n v="103089"/>
    <s v="AB105673"/>
    <x v="6"/>
    <n v="358901"/>
    <x v="2"/>
  </r>
  <r>
    <n v="10148"/>
    <n v="5"/>
    <d v="2014-01-24T00:00:00"/>
    <s v="DVD"/>
    <n v="103090"/>
    <s v="AB105675"/>
    <x v="1"/>
    <n v="308505"/>
    <x v="2"/>
  </r>
  <r>
    <n v="10152"/>
    <n v="9"/>
    <d v="2014-01-28T00:00:00"/>
    <s v="BLU-RAY"/>
    <n v="103092"/>
    <s v="AB105678"/>
    <x v="16"/>
    <n v="308505"/>
    <x v="2"/>
  </r>
  <r>
    <n v="10126"/>
    <n v="5"/>
    <d v="2014-01-26T00:00:00"/>
    <s v="DVD"/>
    <n v="103093"/>
    <s v="AB105679"/>
    <x v="9"/>
    <n v="741514"/>
    <x v="2"/>
  </r>
  <r>
    <n v="10260"/>
    <n v="1"/>
    <d v="2014-01-23T00:00:00"/>
    <s v="DVD"/>
    <n v="103094"/>
    <s v="AB105681"/>
    <x v="4"/>
    <n v="766737"/>
    <x v="2"/>
  </r>
  <r>
    <n v="10162"/>
    <n v="5"/>
    <d v="2014-01-24T00:00:00"/>
    <s v="BLU-RAY"/>
    <n v="103096"/>
    <s v="AB105687"/>
    <x v="4"/>
    <n v="137696"/>
    <x v="2"/>
  </r>
  <r>
    <n v="10221"/>
    <n v="3"/>
    <d v="2014-01-24T00:00:00"/>
    <s v="DVD"/>
    <n v="103097"/>
    <s v="AB105688"/>
    <x v="9"/>
    <n v="771285"/>
    <x v="2"/>
  </r>
  <r>
    <n v="10287"/>
    <n v="4"/>
    <d v="2014-01-27T00:00:00"/>
    <s v="BLU-RAY"/>
    <n v="103098"/>
    <s v="AB105690"/>
    <x v="10"/>
    <n v="143878"/>
    <x v="2"/>
  </r>
  <r>
    <n v="10216"/>
    <n v="5"/>
    <d v="2014-01-29T00:00:00"/>
    <s v="DVD"/>
    <n v="103099"/>
    <s v="AB105691"/>
    <x v="4"/>
    <n v="500828"/>
    <x v="2"/>
  </r>
  <r>
    <n v="10146"/>
    <n v="10"/>
    <d v="2014-01-24T00:00:00"/>
    <s v="DVD"/>
    <n v="103100"/>
    <s v="AB105694"/>
    <x v="4"/>
    <n v="958321"/>
    <x v="2"/>
  </r>
  <r>
    <n v="10227"/>
    <n v="3"/>
    <d v="2014-01-26T00:00:00"/>
    <s v="DVD"/>
    <n v="103106"/>
    <s v="AB105699"/>
    <x v="14"/>
    <n v="608290"/>
    <x v="2"/>
  </r>
  <r>
    <n v="10288"/>
    <n v="8"/>
    <d v="2014-01-25T00:00:00"/>
    <s v="DVD"/>
    <n v="103106"/>
    <s v="AB105700"/>
    <x v="12"/>
    <n v="608290"/>
    <x v="2"/>
  </r>
  <r>
    <n v="10204"/>
    <n v="1"/>
    <d v="2014-01-26T00:00:00"/>
    <s v="DVD"/>
    <n v="103107"/>
    <s v="AB105703"/>
    <x v="7"/>
    <n v="781968"/>
    <x v="2"/>
  </r>
  <r>
    <n v="10044"/>
    <n v="10"/>
    <d v="2014-01-28T00:00:00"/>
    <s v="DVD"/>
    <n v="103107"/>
    <s v="AB105704"/>
    <x v="3"/>
    <n v="781968"/>
    <x v="2"/>
  </r>
  <r>
    <n v="10162"/>
    <n v="5"/>
    <d v="2014-01-26T00:00:00"/>
    <s v="DVD"/>
    <n v="103108"/>
    <s v="AB105707"/>
    <x v="4"/>
    <n v="432113"/>
    <x v="2"/>
  </r>
  <r>
    <n v="10248"/>
    <n v="8"/>
    <d v="2014-01-25T00:00:00"/>
    <s v="DVD"/>
    <n v="103109"/>
    <s v="AB105708"/>
    <x v="12"/>
    <n v="825249"/>
    <x v="2"/>
  </r>
  <r>
    <n v="10196"/>
    <n v="3"/>
    <d v="2014-01-25T00:00:00"/>
    <s v="DVD"/>
    <n v="103109"/>
    <s v="AB105710"/>
    <x v="9"/>
    <n v="825249"/>
    <x v="2"/>
  </r>
  <r>
    <n v="10155"/>
    <n v="1"/>
    <d v="2014-01-25T00:00:00"/>
    <s v="DVD"/>
    <n v="103110"/>
    <s v="AB105712"/>
    <x v="9"/>
    <n v="418521"/>
    <x v="2"/>
  </r>
  <r>
    <n v="10233"/>
    <n v="5"/>
    <d v="2014-01-25T00:00:00"/>
    <s v="DVD"/>
    <n v="103112"/>
    <s v="AB105718"/>
    <x v="8"/>
    <n v="491380"/>
    <x v="2"/>
  </r>
  <r>
    <n v="10293"/>
    <n v="9"/>
    <d v="2014-01-25T00:00:00"/>
    <s v="DVD"/>
    <n v="103113"/>
    <s v="AB105719"/>
    <x v="12"/>
    <n v="426830"/>
    <x v="2"/>
  </r>
  <r>
    <n v="10121"/>
    <n v="6"/>
    <d v="2014-01-27T00:00:00"/>
    <s v="DVD"/>
    <n v="103114"/>
    <s v="AB105720"/>
    <x v="2"/>
    <n v="230602"/>
    <x v="2"/>
  </r>
  <r>
    <n v="10177"/>
    <n v="2"/>
    <d v="2014-01-28T00:00:00"/>
    <s v="DVD"/>
    <n v="103114"/>
    <s v="AB105722"/>
    <x v="9"/>
    <n v="230602"/>
    <x v="2"/>
  </r>
  <r>
    <n v="10087"/>
    <n v="1"/>
    <d v="2014-01-26T00:00:00"/>
    <s v="DVD"/>
    <n v="103117"/>
    <s v="AB105724"/>
    <x v="10"/>
    <n v="190721"/>
    <x v="2"/>
  </r>
  <r>
    <n v="10135"/>
    <n v="8"/>
    <d v="2014-01-27T00:00:00"/>
    <s v="DVD"/>
    <n v="103118"/>
    <s v="AB105727"/>
    <x v="7"/>
    <n v="240205"/>
    <x v="2"/>
  </r>
  <r>
    <n v="10321"/>
    <n v="10"/>
    <d v="2014-01-27T00:00:00"/>
    <s v="DVD"/>
    <n v="103119"/>
    <s v="AB105729"/>
    <x v="10"/>
    <n v="756769"/>
    <x v="2"/>
  </r>
  <r>
    <n v="10210"/>
    <n v="2"/>
    <d v="2014-01-27T00:00:00"/>
    <s v="DVD"/>
    <n v="103119"/>
    <s v="AB105731"/>
    <x v="4"/>
    <n v="756769"/>
    <x v="2"/>
  </r>
  <r>
    <n v="10290"/>
    <n v="1"/>
    <d v="2014-01-28T00:00:00"/>
    <s v="DVD"/>
    <n v="103120"/>
    <s v="AB105732"/>
    <x v="2"/>
    <n v="202612"/>
    <x v="2"/>
  </r>
  <r>
    <n v="10162"/>
    <n v="10"/>
    <d v="2014-01-28T00:00:00"/>
    <s v="BLU-RAY"/>
    <n v="103120"/>
    <s v="AB105733"/>
    <x v="4"/>
    <n v="202612"/>
    <x v="2"/>
  </r>
  <r>
    <n v="10213"/>
    <n v="3"/>
    <d v="2014-01-27T00:00:00"/>
    <s v="DVD"/>
    <n v="103120"/>
    <s v="AB105734"/>
    <x v="4"/>
    <n v="202612"/>
    <x v="2"/>
  </r>
  <r>
    <n v="10292"/>
    <n v="8"/>
    <d v="2014-01-27T00:00:00"/>
    <s v="DVD"/>
    <n v="103122"/>
    <s v="AB105739"/>
    <x v="15"/>
    <n v="924649"/>
    <x v="2"/>
  </r>
  <r>
    <n v="10167"/>
    <n v="10"/>
    <d v="2014-01-27T00:00:00"/>
    <s v="BLU-RAY"/>
    <n v="103123"/>
    <s v="AB105743"/>
    <x v="7"/>
    <n v="818287"/>
    <x v="2"/>
  </r>
  <r>
    <n v="10286"/>
    <n v="10"/>
    <d v="2014-01-28T00:00:00"/>
    <s v="DVD"/>
    <n v="103123"/>
    <s v="AB105744"/>
    <x v="17"/>
    <n v="818287"/>
    <x v="2"/>
  </r>
  <r>
    <n v="10171"/>
    <n v="9"/>
    <d v="2014-01-27T00:00:00"/>
    <s v="DVD"/>
    <n v="103124"/>
    <s v="AB105745"/>
    <x v="7"/>
    <n v="607810"/>
    <x v="2"/>
  </r>
  <r>
    <n v="10074"/>
    <n v="9"/>
    <d v="2014-01-28T00:00:00"/>
    <s v="DVD"/>
    <n v="103124"/>
    <s v="AB105746"/>
    <x v="11"/>
    <n v="607810"/>
    <x v="2"/>
  </r>
  <r>
    <n v="10215"/>
    <n v="3"/>
    <d v="2014-01-30T00:00:00"/>
    <s v="DVD"/>
    <n v="103125"/>
    <s v="AB105749"/>
    <x v="1"/>
    <n v="747066"/>
    <x v="2"/>
  </r>
  <r>
    <n v="10195"/>
    <n v="3"/>
    <d v="2014-01-27T00:00:00"/>
    <s v="DVD"/>
    <n v="103126"/>
    <s v="AB105752"/>
    <x v="4"/>
    <n v="346006"/>
    <x v="2"/>
  </r>
  <r>
    <n v="10274"/>
    <n v="4"/>
    <d v="2014-01-30T00:00:00"/>
    <s v="DVD"/>
    <n v="103127"/>
    <s v="AB105754"/>
    <x v="9"/>
    <n v="723819"/>
    <x v="2"/>
  </r>
  <r>
    <n v="10262"/>
    <n v="5"/>
    <d v="2014-01-27T00:00:00"/>
    <s v="BLU-RAY"/>
    <n v="103128"/>
    <s v="AB105755"/>
    <x v="10"/>
    <n v="265707"/>
    <x v="2"/>
  </r>
  <r>
    <n v="10209"/>
    <n v="3"/>
    <d v="2014-01-31T00:00:00"/>
    <s v="DVD"/>
    <n v="103130"/>
    <s v="AB105760"/>
    <x v="7"/>
    <n v="454015"/>
    <x v="2"/>
  </r>
  <r>
    <n v="10152"/>
    <n v="1"/>
    <d v="2014-01-29T00:00:00"/>
    <s v="BLU-RAY"/>
    <n v="103130"/>
    <s v="AB105761"/>
    <x v="16"/>
    <n v="454015"/>
    <x v="2"/>
  </r>
  <r>
    <n v="10280"/>
    <n v="3"/>
    <d v="2014-01-28T00:00:00"/>
    <s v="DVD"/>
    <n v="103131"/>
    <s v="AB105764"/>
    <x v="7"/>
    <n v="363931"/>
    <x v="2"/>
  </r>
  <r>
    <n v="10178"/>
    <n v="10"/>
    <d v="2014-01-28T00:00:00"/>
    <s v="DVD"/>
    <n v="103134"/>
    <s v="AB105770"/>
    <x v="0"/>
    <n v="207846"/>
    <x v="2"/>
  </r>
  <r>
    <n v="10137"/>
    <n v="7"/>
    <d v="2014-01-28T00:00:00"/>
    <s v="DVD"/>
    <n v="103135"/>
    <s v="AB105771"/>
    <x v="3"/>
    <n v="269687"/>
    <x v="2"/>
  </r>
  <r>
    <n v="10111"/>
    <n v="6"/>
    <d v="2014-01-31T00:00:00"/>
    <s v="DVD"/>
    <n v="103137"/>
    <s v="AB105773"/>
    <x v="9"/>
    <n v="528475"/>
    <x v="2"/>
  </r>
  <r>
    <n v="10284"/>
    <n v="7"/>
    <d v="2014-01-29T00:00:00"/>
    <s v="DVD"/>
    <n v="103137"/>
    <s v="AB105776"/>
    <x v="14"/>
    <n v="528475"/>
    <x v="2"/>
  </r>
  <r>
    <n v="10078"/>
    <n v="4"/>
    <d v="2014-01-29T00:00:00"/>
    <s v="BLU-RAY"/>
    <n v="103140"/>
    <s v="AB105780"/>
    <x v="1"/>
    <n v="393893"/>
    <x v="2"/>
  </r>
  <r>
    <n v="10206"/>
    <n v="1"/>
    <d v="2014-01-30T00:00:00"/>
    <s v="DVD"/>
    <n v="103141"/>
    <s v="AB105782"/>
    <x v="9"/>
    <n v="109251"/>
    <x v="2"/>
  </r>
  <r>
    <n v="10149"/>
    <n v="10"/>
    <d v="2014-01-30T00:00:00"/>
    <s v="BLU-RAY"/>
    <n v="103142"/>
    <s v="AB105785"/>
    <x v="12"/>
    <n v="416523"/>
    <x v="2"/>
  </r>
  <r>
    <n v="10117"/>
    <n v="1"/>
    <d v="2014-02-03T00:00:00"/>
    <s v="DVD"/>
    <n v="103144"/>
    <s v="AB105789"/>
    <x v="4"/>
    <n v="480298"/>
    <x v="2"/>
  </r>
  <r>
    <n v="10253"/>
    <n v="10"/>
    <d v="2014-02-04T00:00:00"/>
    <s v="DVD"/>
    <n v="103146"/>
    <s v="AB105794"/>
    <x v="3"/>
    <n v="161942"/>
    <x v="2"/>
  </r>
  <r>
    <n v="10267"/>
    <n v="6"/>
    <d v="2014-01-30T00:00:00"/>
    <s v="DVD"/>
    <n v="103146"/>
    <s v="AB105795"/>
    <x v="6"/>
    <n v="161942"/>
    <x v="2"/>
  </r>
  <r>
    <n v="10259"/>
    <n v="1"/>
    <d v="2014-01-30T00:00:00"/>
    <s v="DVD"/>
    <n v="103146"/>
    <s v="AB105796"/>
    <x v="0"/>
    <n v="161942"/>
    <x v="2"/>
  </r>
  <r>
    <n v="10275"/>
    <n v="3"/>
    <d v="2014-02-02T00:00:00"/>
    <s v="DVD"/>
    <n v="103148"/>
    <s v="AB105798"/>
    <x v="10"/>
    <n v="420981"/>
    <x v="2"/>
  </r>
  <r>
    <n v="10141"/>
    <n v="6"/>
    <d v="2014-02-02T00:00:00"/>
    <s v="DVD"/>
    <n v="103149"/>
    <s v="AB105801"/>
    <x v="0"/>
    <n v="879173"/>
    <x v="2"/>
  </r>
  <r>
    <n v="10206"/>
    <n v="6"/>
    <d v="2014-01-31T00:00:00"/>
    <s v="BLU-RAY"/>
    <n v="103149"/>
    <s v="AB105802"/>
    <x v="9"/>
    <n v="879173"/>
    <x v="2"/>
  </r>
  <r>
    <n v="10284"/>
    <n v="10"/>
    <d v="2014-01-30T00:00:00"/>
    <s v="DVD"/>
    <n v="103149"/>
    <s v="AB105803"/>
    <x v="14"/>
    <n v="879173"/>
    <x v="2"/>
  </r>
  <r>
    <n v="10249"/>
    <n v="10"/>
    <d v="2014-02-01T00:00:00"/>
    <s v="DVD"/>
    <n v="103150"/>
    <s v="AB105805"/>
    <x v="5"/>
    <n v="418635"/>
    <x v="2"/>
  </r>
  <r>
    <n v="10193"/>
    <n v="10"/>
    <d v="2014-01-31T00:00:00"/>
    <s v="DVD"/>
    <n v="103150"/>
    <s v="AB105806"/>
    <x v="9"/>
    <n v="418635"/>
    <x v="2"/>
  </r>
  <r>
    <n v="10216"/>
    <n v="3"/>
    <d v="2014-02-01T00:00:00"/>
    <s v="DVD"/>
    <n v="103151"/>
    <s v="AB105809"/>
    <x v="4"/>
    <n v="197102"/>
    <x v="2"/>
  </r>
  <r>
    <n v="10264"/>
    <n v="3"/>
    <d v="2014-01-31T00:00:00"/>
    <s v="BLU-RAY"/>
    <n v="103152"/>
    <s v="AB105810"/>
    <x v="2"/>
    <n v="230602"/>
    <x v="2"/>
  </r>
  <r>
    <n v="10281"/>
    <n v="1"/>
    <d v="2014-02-02T00:00:00"/>
    <s v="DVD"/>
    <n v="103152"/>
    <s v="AB105811"/>
    <x v="10"/>
    <n v="230602"/>
    <x v="2"/>
  </r>
  <r>
    <n v="10123"/>
    <n v="4"/>
    <d v="2014-02-01T00:00:00"/>
    <s v="DVD"/>
    <n v="103154"/>
    <s v="AB105815"/>
    <x v="9"/>
    <n v="378374"/>
    <x v="2"/>
  </r>
  <r>
    <n v="10187"/>
    <n v="1"/>
    <d v="2014-02-01T00:00:00"/>
    <s v="DVD"/>
    <n v="103154"/>
    <s v="AB105816"/>
    <x v="1"/>
    <n v="378374"/>
    <x v="2"/>
  </r>
  <r>
    <n v="10217"/>
    <n v="9"/>
    <d v="2014-02-02T00:00:00"/>
    <s v="BLU-RAY"/>
    <n v="103155"/>
    <s v="AB105817"/>
    <x v="0"/>
    <n v="838924"/>
    <x v="2"/>
  </r>
  <r>
    <n v="10238"/>
    <n v="10"/>
    <d v="2014-01-31T00:00:00"/>
    <s v="DVD"/>
    <n v="103155"/>
    <s v="AB105818"/>
    <x v="0"/>
    <n v="838924"/>
    <x v="2"/>
  </r>
  <r>
    <n v="10098"/>
    <n v="6"/>
    <d v="2014-01-31T00:00:00"/>
    <s v="DVD"/>
    <n v="103157"/>
    <s v="AB105819"/>
    <x v="0"/>
    <n v="262638"/>
    <x v="2"/>
  </r>
  <r>
    <n v="10286"/>
    <n v="10"/>
    <d v="2014-01-31T00:00:00"/>
    <s v="DVD"/>
    <n v="103158"/>
    <s v="AB105822"/>
    <x v="17"/>
    <n v="416523"/>
    <x v="2"/>
  </r>
  <r>
    <n v="10138"/>
    <n v="3"/>
    <d v="2014-02-02T00:00:00"/>
    <s v="DVD"/>
    <n v="103160"/>
    <s v="AB105826"/>
    <x v="7"/>
    <n v="344702"/>
    <x v="2"/>
  </r>
  <r>
    <n v="10221"/>
    <n v="4"/>
    <d v="2014-02-01T00:00:00"/>
    <s v="DVD"/>
    <n v="103161"/>
    <s v="AB105828"/>
    <x v="9"/>
    <n v="817500"/>
    <x v="2"/>
  </r>
  <r>
    <n v="10234"/>
    <n v="1"/>
    <d v="2014-02-08T00:00:00"/>
    <s v="DVD"/>
    <n v="103161"/>
    <s v="AB105830"/>
    <x v="0"/>
    <n v="817500"/>
    <x v="2"/>
  </r>
  <r>
    <n v="10274"/>
    <n v="6"/>
    <d v="2014-02-01T00:00:00"/>
    <s v="DVD"/>
    <n v="103162"/>
    <s v="AB105831"/>
    <x v="9"/>
    <n v="386336"/>
    <x v="2"/>
  </r>
  <r>
    <n v="10071"/>
    <n v="1"/>
    <d v="2014-02-02T00:00:00"/>
    <s v="BLU-RAY"/>
    <n v="103164"/>
    <s v="AB105835"/>
    <x v="1"/>
    <n v="296886"/>
    <x v="2"/>
  </r>
  <r>
    <n v="10268"/>
    <n v="5"/>
    <d v="2014-02-01T00:00:00"/>
    <s v="DVD"/>
    <n v="103164"/>
    <s v="AB105836"/>
    <x v="3"/>
    <n v="296886"/>
    <x v="2"/>
  </r>
  <r>
    <n v="10195"/>
    <n v="1"/>
    <d v="2014-02-02T00:00:00"/>
    <s v="DVD"/>
    <n v="103167"/>
    <s v="AB105839"/>
    <x v="4"/>
    <n v="590517"/>
    <x v="2"/>
  </r>
  <r>
    <n v="10150"/>
    <n v="10"/>
    <d v="2014-02-03T00:00:00"/>
    <s v="DVD"/>
    <n v="103169"/>
    <s v="AB105842"/>
    <x v="14"/>
    <n v="297686"/>
    <x v="2"/>
  </r>
  <r>
    <n v="10352"/>
    <n v="3"/>
    <d v="2014-02-04T00:00:00"/>
    <s v="DVD"/>
    <n v="103170"/>
    <s v="AB105844"/>
    <x v="0"/>
    <n v="158310"/>
    <x v="2"/>
  </r>
  <r>
    <n v="10144"/>
    <n v="8"/>
    <d v="2014-02-05T00:00:00"/>
    <s v="DVD"/>
    <n v="103171"/>
    <s v="AB105847"/>
    <x v="2"/>
    <n v="487346"/>
    <x v="2"/>
  </r>
  <r>
    <n v="10010"/>
    <n v="4"/>
    <d v="2014-02-02T00:00:00"/>
    <s v="DVD"/>
    <n v="103172"/>
    <s v="AB105849"/>
    <x v="3"/>
    <n v="137696"/>
    <x v="2"/>
  </r>
  <r>
    <n v="10176"/>
    <n v="8"/>
    <d v="2014-02-03T00:00:00"/>
    <s v="BLU-RAY"/>
    <n v="103172"/>
    <s v="AB105850"/>
    <x v="7"/>
    <n v="137696"/>
    <x v="2"/>
  </r>
  <r>
    <n v="10271"/>
    <n v="4"/>
    <d v="2014-02-02T00:00:00"/>
    <s v="DVD"/>
    <n v="103173"/>
    <s v="AB105851"/>
    <x v="7"/>
    <n v="879173"/>
    <x v="2"/>
  </r>
  <r>
    <n v="10115"/>
    <n v="5"/>
    <d v="2014-02-07T00:00:00"/>
    <s v="DVD"/>
    <n v="103174"/>
    <s v="AB105854"/>
    <x v="11"/>
    <n v="679354"/>
    <x v="2"/>
  </r>
  <r>
    <n v="10054"/>
    <n v="6"/>
    <d v="2014-02-04T00:00:00"/>
    <s v="DVD"/>
    <n v="103176"/>
    <s v="AB105855"/>
    <x v="1"/>
    <n v="742620"/>
    <x v="2"/>
  </r>
  <r>
    <n v="10285"/>
    <n v="10"/>
    <d v="2014-02-07T00:00:00"/>
    <s v="DVD"/>
    <n v="103176"/>
    <s v="AB105856"/>
    <x v="20"/>
    <n v="742620"/>
    <x v="2"/>
  </r>
  <r>
    <n v="10197"/>
    <n v="7"/>
    <d v="2014-02-05T00:00:00"/>
    <s v="DVD"/>
    <n v="103177"/>
    <s v="AB105858"/>
    <x v="0"/>
    <n v="435907"/>
    <x v="2"/>
  </r>
  <r>
    <n v="10243"/>
    <n v="7"/>
    <d v="2014-02-04T00:00:00"/>
    <s v="DVD"/>
    <n v="103178"/>
    <s v="AB105860"/>
    <x v="9"/>
    <n v="227372"/>
    <x v="2"/>
  </r>
  <r>
    <n v="10231"/>
    <n v="10"/>
    <d v="2014-02-03T00:00:00"/>
    <s v="DVD"/>
    <n v="103179"/>
    <s v="AB105862"/>
    <x v="7"/>
    <n v="190721"/>
    <x v="2"/>
  </r>
  <r>
    <n v="10234"/>
    <n v="3"/>
    <d v="2014-02-08T00:00:00"/>
    <s v="DVD"/>
    <n v="103181"/>
    <s v="AB105864"/>
    <x v="0"/>
    <n v="815980"/>
    <x v="2"/>
  </r>
  <r>
    <n v="10291"/>
    <n v="10"/>
    <d v="2014-02-03T00:00:00"/>
    <s v="DVD"/>
    <n v="103181"/>
    <s v="AB105865"/>
    <x v="0"/>
    <n v="815980"/>
    <x v="2"/>
  </r>
  <r>
    <n v="10266"/>
    <n v="8"/>
    <d v="2014-02-07T00:00:00"/>
    <s v="BLU-RAY"/>
    <n v="103182"/>
    <s v="AB105866"/>
    <x v="4"/>
    <n v="202612"/>
    <x v="2"/>
  </r>
  <r>
    <n v="10116"/>
    <n v="10"/>
    <d v="2014-02-03T00:00:00"/>
    <s v="DVD"/>
    <n v="103182"/>
    <s v="AB105867"/>
    <x v="7"/>
    <n v="202612"/>
    <x v="2"/>
  </r>
  <r>
    <n v="10285"/>
    <n v="5"/>
    <d v="2014-02-04T00:00:00"/>
    <s v="BLU-RAY"/>
    <n v="103182"/>
    <s v="AB105868"/>
    <x v="20"/>
    <n v="202612"/>
    <x v="2"/>
  </r>
  <r>
    <n v="10079"/>
    <n v="7"/>
    <d v="2014-02-04T00:00:00"/>
    <s v="BLU-RAY"/>
    <n v="103185"/>
    <s v="AB105872"/>
    <x v="0"/>
    <n v="147216"/>
    <x v="2"/>
  </r>
  <r>
    <n v="10138"/>
    <n v="1"/>
    <d v="2014-02-04T00:00:00"/>
    <s v="DVD"/>
    <n v="103186"/>
    <s v="AB105874"/>
    <x v="7"/>
    <n v="884607"/>
    <x v="2"/>
  </r>
  <r>
    <n v="10274"/>
    <n v="4"/>
    <d v="2014-02-04T00:00:00"/>
    <s v="DVD"/>
    <n v="103186"/>
    <s v="AB105876"/>
    <x v="9"/>
    <n v="884607"/>
    <x v="2"/>
  </r>
  <r>
    <n v="10247"/>
    <n v="7"/>
    <d v="2014-02-04T00:00:00"/>
    <s v="DVD"/>
    <n v="103187"/>
    <s v="AB105877"/>
    <x v="9"/>
    <n v="301793"/>
    <x v="2"/>
  </r>
  <r>
    <n v="10175"/>
    <n v="3"/>
    <d v="2014-02-04T00:00:00"/>
    <s v="BLU-RAY"/>
    <n v="103189"/>
    <s v="AB105879"/>
    <x v="3"/>
    <n v="429748"/>
    <x v="2"/>
  </r>
  <r>
    <n v="10198"/>
    <n v="10"/>
    <d v="2014-02-05T00:00:00"/>
    <s v="DVD"/>
    <n v="103189"/>
    <s v="AB105880"/>
    <x v="9"/>
    <n v="429748"/>
    <x v="2"/>
  </r>
  <r>
    <n v="10177"/>
    <n v="1"/>
    <d v="2014-02-05T00:00:00"/>
    <s v="DVD"/>
    <n v="103189"/>
    <s v="AB105881"/>
    <x v="9"/>
    <n v="429748"/>
    <x v="2"/>
  </r>
  <r>
    <n v="10288"/>
    <n v="1"/>
    <d v="2014-02-07T00:00:00"/>
    <s v="DVD"/>
    <n v="103195"/>
    <s v="AB105892"/>
    <x v="12"/>
    <n v="563500"/>
    <x v="2"/>
  </r>
  <r>
    <n v="10265"/>
    <n v="8"/>
    <d v="2014-02-09T00:00:00"/>
    <s v="DVD"/>
    <n v="103195"/>
    <s v="AB105893"/>
    <x v="0"/>
    <n v="563500"/>
    <x v="2"/>
  </r>
  <r>
    <n v="10131"/>
    <n v="9"/>
    <d v="2014-02-06T00:00:00"/>
    <s v="DVD"/>
    <n v="103200"/>
    <s v="AB105899"/>
    <x v="0"/>
    <n v="938417"/>
    <x v="2"/>
  </r>
  <r>
    <n v="10274"/>
    <n v="7"/>
    <d v="2014-02-08T00:00:00"/>
    <s v="BLU-RAY"/>
    <n v="103201"/>
    <s v="AB105900"/>
    <x v="9"/>
    <n v="426830"/>
    <x v="2"/>
  </r>
  <r>
    <n v="10182"/>
    <n v="8"/>
    <d v="2014-02-06T00:00:00"/>
    <s v="DVD"/>
    <n v="103201"/>
    <s v="AB105901"/>
    <x v="0"/>
    <n v="426830"/>
    <x v="2"/>
  </r>
  <r>
    <n v="10297"/>
    <n v="8"/>
    <d v="2014-02-06T00:00:00"/>
    <s v="DVD"/>
    <n v="103201"/>
    <s v="AB105902"/>
    <x v="14"/>
    <n v="426830"/>
    <x v="2"/>
  </r>
  <r>
    <n v="10272"/>
    <n v="1"/>
    <d v="2014-02-06T00:00:00"/>
    <s v="DVD"/>
    <n v="103201"/>
    <s v="AB105903"/>
    <x v="4"/>
    <n v="426830"/>
    <x v="2"/>
  </r>
  <r>
    <n v="10275"/>
    <n v="3"/>
    <d v="2014-02-07T00:00:00"/>
    <s v="DVD"/>
    <n v="103203"/>
    <s v="AB105907"/>
    <x v="10"/>
    <n v="905670"/>
    <x v="2"/>
  </r>
  <r>
    <n v="10147"/>
    <n v="8"/>
    <d v="2014-02-06T00:00:00"/>
    <s v="DVD"/>
    <n v="103204"/>
    <s v="AB105909"/>
    <x v="10"/>
    <n v="441628"/>
    <x v="2"/>
  </r>
  <r>
    <n v="10166"/>
    <n v="10"/>
    <d v="2014-02-07T00:00:00"/>
    <s v="DVD"/>
    <n v="103206"/>
    <s v="AB105911"/>
    <x v="9"/>
    <n v="826590"/>
    <x v="2"/>
  </r>
  <r>
    <n v="10233"/>
    <n v="3"/>
    <d v="2014-02-08T00:00:00"/>
    <s v="DVD"/>
    <n v="103209"/>
    <s v="AB105917"/>
    <x v="8"/>
    <n v="245577"/>
    <x v="2"/>
  </r>
  <r>
    <n v="10270"/>
    <n v="1"/>
    <d v="2014-02-07T00:00:00"/>
    <s v="DVD"/>
    <n v="103211"/>
    <s v="AB105920"/>
    <x v="9"/>
    <n v="498970"/>
    <x v="2"/>
  </r>
  <r>
    <n v="10201"/>
    <n v="7"/>
    <d v="2014-02-08T00:00:00"/>
    <s v="DVD"/>
    <n v="103212"/>
    <s v="AB105922"/>
    <x v="8"/>
    <n v="738357"/>
    <x v="2"/>
  </r>
  <r>
    <n v="10157"/>
    <n v="1"/>
    <d v="2014-02-09T00:00:00"/>
    <s v="BLU-RAY"/>
    <n v="103212"/>
    <s v="AB105924"/>
    <x v="1"/>
    <n v="738357"/>
    <x v="2"/>
  </r>
  <r>
    <n v="10289"/>
    <n v="5"/>
    <d v="2014-02-08T00:00:00"/>
    <s v="DVD"/>
    <n v="103212"/>
    <s v="AB105925"/>
    <x v="11"/>
    <n v="738357"/>
    <x v="2"/>
  </r>
  <r>
    <n v="10299"/>
    <n v="5"/>
    <d v="2014-02-11T00:00:00"/>
    <s v="DVD"/>
    <n v="103214"/>
    <s v="AB105928"/>
    <x v="22"/>
    <n v="549823"/>
    <x v="2"/>
  </r>
  <r>
    <n v="10136"/>
    <n v="8"/>
    <d v="2014-02-11T00:00:00"/>
    <s v="DVD"/>
    <n v="103214"/>
    <s v="AB105929"/>
    <x v="2"/>
    <n v="549823"/>
    <x v="2"/>
  </r>
  <r>
    <n v="10243"/>
    <n v="2"/>
    <d v="2014-02-08T00:00:00"/>
    <s v="DVD"/>
    <n v="103215"/>
    <s v="AB105931"/>
    <x v="9"/>
    <n v="759995"/>
    <x v="2"/>
  </r>
  <r>
    <n v="10071"/>
    <n v="8"/>
    <d v="2014-02-10T00:00:00"/>
    <s v="BLU-RAY"/>
    <n v="103216"/>
    <s v="AB105935"/>
    <x v="1"/>
    <n v="747066"/>
    <x v="2"/>
  </r>
  <r>
    <n v="10250"/>
    <n v="4"/>
    <d v="2014-02-08T00:00:00"/>
    <s v="DVD"/>
    <n v="103218"/>
    <s v="AB105937"/>
    <x v="3"/>
    <n v="695276"/>
    <x v="2"/>
  </r>
  <r>
    <n v="10203"/>
    <n v="1"/>
    <d v="2014-02-09T00:00:00"/>
    <s v="DVD"/>
    <n v="103222"/>
    <s v="AB105942"/>
    <x v="3"/>
    <n v="478274"/>
    <x v="2"/>
  </r>
  <r>
    <n v="10262"/>
    <n v="1"/>
    <d v="2014-02-09T00:00:00"/>
    <s v="DVD"/>
    <n v="103223"/>
    <s v="AB105944"/>
    <x v="10"/>
    <n v="860057"/>
    <x v="2"/>
  </r>
  <r>
    <n v="10193"/>
    <n v="4"/>
    <d v="2014-02-10T00:00:00"/>
    <s v="DVD"/>
    <n v="103225"/>
    <s v="AB105950"/>
    <x v="9"/>
    <n v="515753"/>
    <x v="2"/>
  </r>
  <r>
    <n v="10119"/>
    <n v="7"/>
    <d v="2014-02-09T00:00:00"/>
    <s v="BLU-RAY"/>
    <n v="103225"/>
    <s v="AB105951"/>
    <x v="7"/>
    <n v="515753"/>
    <x v="2"/>
  </r>
  <r>
    <n v="10268"/>
    <n v="10"/>
    <d v="2014-02-12T00:00:00"/>
    <s v="DVD"/>
    <n v="103227"/>
    <s v="AB105954"/>
    <x v="3"/>
    <n v="433442"/>
    <x v="2"/>
  </r>
  <r>
    <n v="10248"/>
    <n v="1"/>
    <d v="2014-02-10T00:00:00"/>
    <s v="DVD"/>
    <n v="103231"/>
    <s v="AB105963"/>
    <x v="12"/>
    <n v="265707"/>
    <x v="2"/>
  </r>
  <r>
    <n v="10223"/>
    <n v="4"/>
    <d v="2014-02-11T00:00:00"/>
    <s v="DVD"/>
    <n v="103232"/>
    <s v="AB105966"/>
    <x v="7"/>
    <n v="846722"/>
    <x v="2"/>
  </r>
  <r>
    <n v="10011"/>
    <n v="10"/>
    <d v="2014-02-16T00:00:00"/>
    <s v="DVD"/>
    <n v="103232"/>
    <s v="AB105967"/>
    <x v="3"/>
    <n v="846722"/>
    <x v="2"/>
  </r>
  <r>
    <n v="10242"/>
    <n v="10"/>
    <d v="2014-02-11T00:00:00"/>
    <s v="DVD"/>
    <n v="103233"/>
    <s v="AB105968"/>
    <x v="3"/>
    <n v="235720"/>
    <x v="2"/>
  </r>
  <r>
    <n v="10158"/>
    <n v="5"/>
    <d v="2014-02-11T00:00:00"/>
    <s v="DVD"/>
    <n v="103234"/>
    <s v="AB105970"/>
    <x v="0"/>
    <n v="408341"/>
    <x v="2"/>
  </r>
  <r>
    <n v="10238"/>
    <n v="1"/>
    <d v="2014-02-11T00:00:00"/>
    <s v="DVD"/>
    <n v="103235"/>
    <s v="AB105974"/>
    <x v="0"/>
    <n v="515790"/>
    <x v="2"/>
  </r>
  <r>
    <n v="10271"/>
    <n v="6"/>
    <d v="2014-02-15T00:00:00"/>
    <s v="DVD"/>
    <n v="103235"/>
    <s v="AB105975"/>
    <x v="7"/>
    <n v="515790"/>
    <x v="2"/>
  </r>
  <r>
    <n v="10285"/>
    <n v="8"/>
    <d v="2014-02-11T00:00:00"/>
    <s v="DVD"/>
    <n v="103237"/>
    <s v="AB105980"/>
    <x v="20"/>
    <n v="158528"/>
    <x v="2"/>
  </r>
  <r>
    <n v="10069"/>
    <n v="6"/>
    <d v="2014-02-12T00:00:00"/>
    <s v="BLU-RAY"/>
    <n v="103239"/>
    <s v="AB105982"/>
    <x v="0"/>
    <n v="977759"/>
    <x v="2"/>
  </r>
  <r>
    <n v="10082"/>
    <n v="8"/>
    <d v="2014-02-12T00:00:00"/>
    <s v="DVD"/>
    <n v="103239"/>
    <s v="AB105984"/>
    <x v="3"/>
    <n v="977759"/>
    <x v="2"/>
  </r>
  <r>
    <n v="10178"/>
    <n v="3"/>
    <d v="2014-02-12T00:00:00"/>
    <s v="DVD"/>
    <n v="103241"/>
    <s v="AB105988"/>
    <x v="0"/>
    <n v="189953"/>
    <x v="2"/>
  </r>
  <r>
    <n v="10245"/>
    <n v="10"/>
    <d v="2014-02-13T00:00:00"/>
    <s v="DVD"/>
    <n v="103242"/>
    <s v="AB105989"/>
    <x v="0"/>
    <n v="892883"/>
    <x v="2"/>
  </r>
  <r>
    <n v="10228"/>
    <n v="7"/>
    <d v="2014-02-13T00:00:00"/>
    <s v="DVD"/>
    <n v="103243"/>
    <s v="AB105992"/>
    <x v="7"/>
    <n v="575041"/>
    <x v="2"/>
  </r>
  <r>
    <n v="10217"/>
    <n v="8"/>
    <d v="2014-02-12T00:00:00"/>
    <s v="BLU-RAY"/>
    <n v="103243"/>
    <s v="AB105993"/>
    <x v="0"/>
    <n v="575041"/>
    <x v="2"/>
  </r>
  <r>
    <n v="10288"/>
    <n v="6"/>
    <d v="2014-02-13T00:00:00"/>
    <s v="DVD"/>
    <n v="103244"/>
    <s v="AB105994"/>
    <x v="12"/>
    <n v="160392"/>
    <x v="2"/>
  </r>
  <r>
    <n v="10285"/>
    <n v="6"/>
    <d v="2014-02-13T00:00:00"/>
    <s v="DVD"/>
    <n v="103248"/>
    <s v="AB105999"/>
    <x v="20"/>
    <n v="193968"/>
    <x v="2"/>
  </r>
  <r>
    <n v="10108"/>
    <n v="5"/>
    <d v="2014-02-14T00:00:00"/>
    <s v="DVD"/>
    <n v="103249"/>
    <s v="AB106002"/>
    <x v="9"/>
    <n v="498970"/>
    <x v="2"/>
  </r>
  <r>
    <n v="10236"/>
    <n v="10"/>
    <d v="2014-02-13T00:00:00"/>
    <s v="DVD"/>
    <n v="103250"/>
    <s v="AB106003"/>
    <x v="10"/>
    <n v="781523"/>
    <x v="2"/>
  </r>
  <r>
    <n v="10074"/>
    <n v="2"/>
    <d v="2014-02-14T00:00:00"/>
    <s v="DVD"/>
    <n v="103251"/>
    <s v="AB106004"/>
    <x v="11"/>
    <n v="418506"/>
    <x v="2"/>
  </r>
  <r>
    <n v="10196"/>
    <n v="4"/>
    <d v="2014-02-13T00:00:00"/>
    <s v="DVD"/>
    <n v="103251"/>
    <s v="AB106005"/>
    <x v="9"/>
    <n v="418506"/>
    <x v="2"/>
  </r>
  <r>
    <n v="10060"/>
    <n v="7"/>
    <d v="2014-02-13T00:00:00"/>
    <s v="DVD"/>
    <n v="103251"/>
    <s v="AB106006"/>
    <x v="0"/>
    <n v="418506"/>
    <x v="2"/>
  </r>
  <r>
    <n v="10124"/>
    <n v="10"/>
    <d v="2014-02-14T00:00:00"/>
    <s v="DVD"/>
    <n v="103251"/>
    <s v="AB106007"/>
    <x v="1"/>
    <n v="418506"/>
    <x v="2"/>
  </r>
  <r>
    <n v="10182"/>
    <n v="10"/>
    <d v="2014-02-16T00:00:00"/>
    <s v="DVD"/>
    <n v="103252"/>
    <s v="AB106010"/>
    <x v="0"/>
    <n v="241144"/>
    <x v="2"/>
  </r>
  <r>
    <n v="10228"/>
    <n v="7"/>
    <d v="2014-02-15T00:00:00"/>
    <s v="DVD"/>
    <n v="103253"/>
    <s v="AB106012"/>
    <x v="7"/>
    <n v="147543"/>
    <x v="2"/>
  </r>
  <r>
    <n v="10281"/>
    <n v="5"/>
    <d v="2014-02-15T00:00:00"/>
    <s v="DVD"/>
    <n v="103256"/>
    <s v="AB106017"/>
    <x v="10"/>
    <n v="253106"/>
    <x v="2"/>
  </r>
  <r>
    <n v="10275"/>
    <n v="8"/>
    <d v="2014-02-14T00:00:00"/>
    <s v="DVD"/>
    <n v="103257"/>
    <s v="AB106019"/>
    <x v="10"/>
    <n v="166735"/>
    <x v="2"/>
  </r>
  <r>
    <n v="10283"/>
    <n v="1"/>
    <d v="2014-02-15T00:00:00"/>
    <s v="DVD"/>
    <n v="103258"/>
    <s v="AB106020"/>
    <x v="6"/>
    <n v="143878"/>
    <x v="2"/>
  </r>
  <r>
    <n v="10260"/>
    <n v="8"/>
    <d v="2014-02-14T00:00:00"/>
    <s v="DVD"/>
    <n v="103259"/>
    <s v="AB106021"/>
    <x v="4"/>
    <n v="890497"/>
    <x v="2"/>
  </r>
  <r>
    <n v="10075"/>
    <n v="9"/>
    <d v="2014-02-14T00:00:00"/>
    <s v="DVD"/>
    <n v="103260"/>
    <s v="AB106024"/>
    <x v="17"/>
    <n v="822823"/>
    <x v="2"/>
  </r>
  <r>
    <n v="10233"/>
    <n v="10"/>
    <d v="2014-02-14T00:00:00"/>
    <s v="DVD"/>
    <n v="103260"/>
    <s v="AB106025"/>
    <x v="8"/>
    <n v="822823"/>
    <x v="2"/>
  </r>
  <r>
    <n v="10123"/>
    <n v="6"/>
    <d v="2014-02-17T00:00:00"/>
    <s v="DVD"/>
    <n v="103263"/>
    <s v="AB106028"/>
    <x v="9"/>
    <n v="838924"/>
    <x v="2"/>
  </r>
  <r>
    <n v="10193"/>
    <n v="8"/>
    <d v="2014-02-15T00:00:00"/>
    <s v="DVD"/>
    <n v="103264"/>
    <s v="AB106029"/>
    <x v="9"/>
    <n v="441628"/>
    <x v="2"/>
  </r>
  <r>
    <n v="10176"/>
    <n v="4"/>
    <d v="2014-02-15T00:00:00"/>
    <s v="DVD"/>
    <n v="103264"/>
    <s v="AB106031"/>
    <x v="7"/>
    <n v="441628"/>
    <x v="2"/>
  </r>
  <r>
    <n v="10207"/>
    <n v="1"/>
    <d v="2014-02-17T00:00:00"/>
    <s v="DVD"/>
    <n v="103265"/>
    <s v="AB106033"/>
    <x v="1"/>
    <n v="850952"/>
    <x v="2"/>
  </r>
  <r>
    <n v="10264"/>
    <n v="4"/>
    <d v="2014-02-16T00:00:00"/>
    <s v="DVD"/>
    <n v="103267"/>
    <s v="AB106036"/>
    <x v="2"/>
    <n v="994199"/>
    <x v="2"/>
  </r>
  <r>
    <n v="10092"/>
    <n v="3"/>
    <d v="2014-02-16T00:00:00"/>
    <s v="DVD"/>
    <n v="103269"/>
    <s v="AB106040"/>
    <x v="0"/>
    <n v="395125"/>
    <x v="2"/>
  </r>
  <r>
    <n v="10295"/>
    <n v="6"/>
    <d v="2014-02-18T00:00:00"/>
    <s v="DVD"/>
    <n v="103271"/>
    <s v="AB106046"/>
    <x v="21"/>
    <n v="412544"/>
    <x v="2"/>
  </r>
  <r>
    <n v="10242"/>
    <n v="8"/>
    <d v="2014-02-16T00:00:00"/>
    <s v="DVD"/>
    <n v="103272"/>
    <s v="AB106049"/>
    <x v="3"/>
    <n v="247216"/>
    <x v="2"/>
  </r>
  <r>
    <n v="10172"/>
    <n v="3"/>
    <d v="2014-02-17T00:00:00"/>
    <s v="DVD"/>
    <n v="103273"/>
    <s v="AB106051"/>
    <x v="10"/>
    <n v="383684"/>
    <x v="2"/>
  </r>
  <r>
    <n v="10267"/>
    <n v="4"/>
    <d v="2014-02-17T00:00:00"/>
    <s v="DVD"/>
    <n v="103275"/>
    <s v="AB106057"/>
    <x v="6"/>
    <n v="689877"/>
    <x v="2"/>
  </r>
  <r>
    <n v="10285"/>
    <n v="5"/>
    <d v="2014-02-21T00:00:00"/>
    <s v="DVD"/>
    <n v="103276"/>
    <s v="AB106059"/>
    <x v="20"/>
    <n v="840096"/>
    <x v="2"/>
  </r>
  <r>
    <n v="10258"/>
    <n v="5"/>
    <d v="2014-02-18T00:00:00"/>
    <s v="DVD"/>
    <n v="103280"/>
    <s v="AB106064"/>
    <x v="0"/>
    <n v="267632"/>
    <x v="2"/>
  </r>
  <r>
    <n v="10247"/>
    <n v="4"/>
    <d v="2014-02-17T00:00:00"/>
    <s v="BLU-RAY"/>
    <n v="103281"/>
    <s v="AB106065"/>
    <x v="9"/>
    <n v="226909"/>
    <x v="2"/>
  </r>
  <r>
    <n v="10216"/>
    <n v="10"/>
    <d v="2014-02-18T00:00:00"/>
    <s v="DVD"/>
    <n v="103281"/>
    <s v="AB106066"/>
    <x v="4"/>
    <n v="226909"/>
    <x v="2"/>
  </r>
  <r>
    <n v="10200"/>
    <n v="7"/>
    <d v="2014-02-18T00:00:00"/>
    <s v="DVD"/>
    <n v="103284"/>
    <s v="AB106072"/>
    <x v="9"/>
    <n v="929344"/>
    <x v="2"/>
  </r>
  <r>
    <n v="10349"/>
    <n v="2"/>
    <d v="2014-02-19T00:00:00"/>
    <s v="DVD"/>
    <n v="103285"/>
    <s v="AB106076"/>
    <x v="8"/>
    <n v="528475"/>
    <x v="2"/>
  </r>
  <r>
    <n v="10240"/>
    <n v="10"/>
    <d v="2014-02-19T00:00:00"/>
    <s v="DVD"/>
    <n v="103287"/>
    <s v="AB106078"/>
    <x v="0"/>
    <n v="627324"/>
    <x v="2"/>
  </r>
  <r>
    <n v="10097"/>
    <n v="5"/>
    <d v="2014-02-18T00:00:00"/>
    <s v="DVD"/>
    <n v="103287"/>
    <s v="AB106079"/>
    <x v="8"/>
    <n v="627324"/>
    <x v="2"/>
  </r>
  <r>
    <n v="10219"/>
    <n v="10"/>
    <d v="2014-02-19T00:00:00"/>
    <s v="DVD"/>
    <n v="103287"/>
    <s v="AB106080"/>
    <x v="1"/>
    <n v="627324"/>
    <x v="2"/>
  </r>
  <r>
    <n v="10075"/>
    <n v="8"/>
    <d v="2014-02-20T00:00:00"/>
    <s v="DVD"/>
    <n v="103289"/>
    <s v="AB106083"/>
    <x v="17"/>
    <n v="958321"/>
    <x v="2"/>
  </r>
  <r>
    <n v="10207"/>
    <n v="10"/>
    <d v="2014-02-18T00:00:00"/>
    <s v="DVD"/>
    <n v="103290"/>
    <s v="AB106085"/>
    <x v="1"/>
    <n v="897614"/>
    <x v="2"/>
  </r>
  <r>
    <n v="10265"/>
    <n v="2"/>
    <d v="2014-02-23T00:00:00"/>
    <s v="DVD"/>
    <n v="103290"/>
    <s v="AB106086"/>
    <x v="0"/>
    <n v="897614"/>
    <x v="2"/>
  </r>
  <r>
    <n v="10147"/>
    <n v="3"/>
    <d v="2014-02-19T00:00:00"/>
    <s v="DVD"/>
    <n v="103293"/>
    <s v="AB106095"/>
    <x v="10"/>
    <n v="730305"/>
    <x v="2"/>
  </r>
  <r>
    <n v="10054"/>
    <n v="9"/>
    <d v="2014-02-19T00:00:00"/>
    <s v="BLU-RAY"/>
    <n v="103294"/>
    <s v="AB106096"/>
    <x v="1"/>
    <n v="932618"/>
    <x v="2"/>
  </r>
  <r>
    <n v="10272"/>
    <n v="2"/>
    <d v="2014-02-19T00:00:00"/>
    <s v="DVD"/>
    <n v="103296"/>
    <s v="AB106101"/>
    <x v="4"/>
    <n v="696852"/>
    <x v="2"/>
  </r>
  <r>
    <n v="10201"/>
    <n v="2"/>
    <d v="2014-02-19T00:00:00"/>
    <s v="DVD"/>
    <n v="103296"/>
    <s v="AB106102"/>
    <x v="8"/>
    <n v="696852"/>
    <x v="2"/>
  </r>
  <r>
    <n v="10137"/>
    <n v="7"/>
    <d v="2014-02-20T00:00:00"/>
    <s v="DVD"/>
    <n v="103297"/>
    <s v="AB106105"/>
    <x v="3"/>
    <n v="663029"/>
    <x v="2"/>
  </r>
  <r>
    <n v="10180"/>
    <n v="10"/>
    <d v="2014-02-19T00:00:00"/>
    <s v="DVD"/>
    <n v="103298"/>
    <s v="AB106107"/>
    <x v="12"/>
    <n v="668931"/>
    <x v="2"/>
  </r>
  <r>
    <n v="10200"/>
    <n v="10"/>
    <d v="2014-02-21T00:00:00"/>
    <s v="BLU-RAY"/>
    <n v="103298"/>
    <s v="AB106108"/>
    <x v="9"/>
    <n v="668931"/>
    <x v="2"/>
  </r>
  <r>
    <n v="10290"/>
    <n v="1"/>
    <d v="2014-02-20T00:00:00"/>
    <s v="BLU-RAY"/>
    <n v="103300"/>
    <s v="AB106110"/>
    <x v="2"/>
    <n v="808177"/>
    <x v="2"/>
  </r>
  <r>
    <n v="10133"/>
    <n v="8"/>
    <d v="2014-02-20T00:00:00"/>
    <s v="DVD"/>
    <n v="103300"/>
    <s v="AB106112"/>
    <x v="9"/>
    <n v="808177"/>
    <x v="2"/>
  </r>
  <r>
    <n v="10176"/>
    <n v="2"/>
    <d v="2014-02-20T00:00:00"/>
    <s v="DVD"/>
    <n v="103301"/>
    <s v="AB106113"/>
    <x v="7"/>
    <n v="872851"/>
    <x v="2"/>
  </r>
  <r>
    <n v="10203"/>
    <n v="6"/>
    <d v="2014-02-21T00:00:00"/>
    <s v="DVD"/>
    <n v="103303"/>
    <s v="AB106117"/>
    <x v="3"/>
    <n v="233813"/>
    <x v="2"/>
  </r>
  <r>
    <n v="10254"/>
    <n v="7"/>
    <d v="2014-02-21T00:00:00"/>
    <s v="DVD"/>
    <n v="103304"/>
    <s v="AB106120"/>
    <x v="1"/>
    <n v="224094"/>
    <x v="2"/>
  </r>
  <r>
    <n v="10197"/>
    <n v="8"/>
    <d v="2014-02-22T00:00:00"/>
    <s v="DVD"/>
    <n v="103307"/>
    <s v="AB106123"/>
    <x v="0"/>
    <n v="332324"/>
    <x v="2"/>
  </r>
  <r>
    <n v="10210"/>
    <n v="1"/>
    <d v="2014-02-21T00:00:00"/>
    <s v="DVD"/>
    <n v="103307"/>
    <s v="AB106126"/>
    <x v="4"/>
    <n v="332324"/>
    <x v="2"/>
  </r>
  <r>
    <n v="10182"/>
    <n v="8"/>
    <d v="2014-02-21T00:00:00"/>
    <s v="DVD"/>
    <n v="103308"/>
    <s v="AB106127"/>
    <x v="0"/>
    <n v="194680"/>
    <x v="2"/>
  </r>
  <r>
    <n v="10158"/>
    <n v="5"/>
    <d v="2014-02-22T00:00:00"/>
    <s v="DVD"/>
    <n v="103308"/>
    <s v="AB106128"/>
    <x v="0"/>
    <n v="194680"/>
    <x v="2"/>
  </r>
  <r>
    <n v="10269"/>
    <n v="1"/>
    <d v="2014-02-21T00:00:00"/>
    <s v="DVD"/>
    <n v="103309"/>
    <s v="AB106129"/>
    <x v="3"/>
    <n v="262638"/>
    <x v="2"/>
  </r>
  <r>
    <n v="10137"/>
    <n v="8"/>
    <d v="2014-02-21T00:00:00"/>
    <s v="DVD"/>
    <n v="103311"/>
    <s v="AB106133"/>
    <x v="3"/>
    <n v="500350"/>
    <x v="2"/>
  </r>
  <r>
    <n v="10193"/>
    <n v="3"/>
    <d v="2014-02-24T00:00:00"/>
    <s v="DVD"/>
    <n v="103312"/>
    <s v="AB106136"/>
    <x v="9"/>
    <n v="161942"/>
    <x v="2"/>
  </r>
  <r>
    <n v="10193"/>
    <n v="5"/>
    <d v="2014-02-23T00:00:00"/>
    <s v="DVD"/>
    <n v="103313"/>
    <s v="AB106137"/>
    <x v="9"/>
    <n v="304344"/>
    <x v="2"/>
  </r>
  <r>
    <n v="10169"/>
    <n v="8"/>
    <d v="2014-02-23T00:00:00"/>
    <s v="BLU-RAY"/>
    <n v="103313"/>
    <s v="AB106138"/>
    <x v="0"/>
    <n v="304344"/>
    <x v="2"/>
  </r>
  <r>
    <n v="10219"/>
    <n v="3"/>
    <d v="2014-02-23T00:00:00"/>
    <s v="DVD"/>
    <n v="103314"/>
    <s v="AB106140"/>
    <x v="1"/>
    <n v="325263"/>
    <x v="2"/>
  </r>
  <r>
    <n v="10245"/>
    <n v="9"/>
    <d v="2014-02-23T00:00:00"/>
    <s v="DVD"/>
    <n v="103314"/>
    <s v="AB106141"/>
    <x v="0"/>
    <n v="325263"/>
    <x v="2"/>
  </r>
  <r>
    <n v="10217"/>
    <n v="1"/>
    <d v="2014-02-24T00:00:00"/>
    <s v="DVD"/>
    <n v="103314"/>
    <s v="AB106142"/>
    <x v="0"/>
    <n v="325263"/>
    <x v="2"/>
  </r>
  <r>
    <n v="10297"/>
    <n v="1"/>
    <d v="2014-02-22T00:00:00"/>
    <s v="DVD"/>
    <n v="103315"/>
    <s v="AB106144"/>
    <x v="14"/>
    <n v="578275"/>
    <x v="2"/>
  </r>
  <r>
    <n v="10256"/>
    <n v="9"/>
    <d v="2014-02-22T00:00:00"/>
    <s v="DVD"/>
    <n v="103315"/>
    <s v="AB106145"/>
    <x v="9"/>
    <n v="578275"/>
    <x v="2"/>
  </r>
  <r>
    <n v="10245"/>
    <n v="1"/>
    <d v="2014-02-22T00:00:00"/>
    <s v="DVD"/>
    <n v="103316"/>
    <s v="AB106147"/>
    <x v="0"/>
    <n v="383684"/>
    <x v="2"/>
  </r>
  <r>
    <n v="10162"/>
    <n v="4"/>
    <d v="2014-02-23T00:00:00"/>
    <s v="BLU-RAY"/>
    <n v="103317"/>
    <s v="AB106149"/>
    <x v="4"/>
    <n v="330570"/>
    <x v="2"/>
  </r>
  <r>
    <n v="10181"/>
    <n v="6"/>
    <d v="2014-02-23T00:00:00"/>
    <s v="DVD"/>
    <n v="103320"/>
    <s v="AB106154"/>
    <x v="9"/>
    <n v="464782"/>
    <x v="2"/>
  </r>
  <r>
    <n v="10078"/>
    <n v="4"/>
    <d v="2014-02-24T00:00:00"/>
    <s v="DVD"/>
    <n v="103322"/>
    <s v="AB106157"/>
    <x v="1"/>
    <n v="116934"/>
    <x v="2"/>
  </r>
  <r>
    <n v="10298"/>
    <n v="8"/>
    <d v="2014-02-25T00:00:00"/>
    <s v="DVD"/>
    <n v="103322"/>
    <s v="AB106158"/>
    <x v="19"/>
    <n v="116934"/>
    <x v="2"/>
  </r>
  <r>
    <n v="10011"/>
    <n v="6"/>
    <d v="2014-02-26T00:00:00"/>
    <s v="DVD"/>
    <n v="103333"/>
    <s v="AB106174"/>
    <x v="3"/>
    <n v="592592"/>
    <x v="2"/>
  </r>
  <r>
    <n v="10201"/>
    <n v="4"/>
    <d v="2014-02-24T00:00:00"/>
    <s v="DVD"/>
    <n v="103334"/>
    <s v="AB106175"/>
    <x v="8"/>
    <n v="695276"/>
    <x v="2"/>
  </r>
  <r>
    <n v="10166"/>
    <n v="2"/>
    <d v="2014-02-26T00:00:00"/>
    <s v="DVD"/>
    <n v="103334"/>
    <s v="AB106176"/>
    <x v="9"/>
    <n v="695276"/>
    <x v="2"/>
  </r>
  <r>
    <n v="10286"/>
    <n v="3"/>
    <d v="2014-02-26T00:00:00"/>
    <s v="DVD"/>
    <n v="103338"/>
    <s v="AB106184"/>
    <x v="17"/>
    <n v="111991"/>
    <x v="2"/>
  </r>
  <r>
    <n v="10112"/>
    <n v="2"/>
    <d v="2014-02-26T00:00:00"/>
    <s v="BLU-RAY"/>
    <n v="103343"/>
    <s v="AB106189"/>
    <x v="12"/>
    <n v="417823"/>
    <x v="2"/>
  </r>
  <r>
    <n v="10285"/>
    <n v="8"/>
    <d v="2014-02-28T00:00:00"/>
    <s v="BLU-RAY"/>
    <n v="103344"/>
    <s v="AB106191"/>
    <x v="20"/>
    <n v="879173"/>
    <x v="2"/>
  </r>
  <r>
    <n v="10264"/>
    <n v="9"/>
    <d v="2014-02-28T00:00:00"/>
    <s v="DVD"/>
    <n v="103348"/>
    <s v="AB106198"/>
    <x v="2"/>
    <n v="955591"/>
    <x v="2"/>
  </r>
  <r>
    <n v="10194"/>
    <n v="9"/>
    <d v="2014-03-05T00:00:00"/>
    <s v="DVD"/>
    <n v="103348"/>
    <s v="AB106199"/>
    <x v="16"/>
    <n v="955591"/>
    <x v="2"/>
  </r>
  <r>
    <n v="10071"/>
    <n v="7"/>
    <d v="2014-03-04T00:00:00"/>
    <s v="BLU-RAY"/>
    <n v="103351"/>
    <s v="AB106204"/>
    <x v="1"/>
    <n v="478274"/>
    <x v="2"/>
  </r>
  <r>
    <n v="10296"/>
    <n v="5"/>
    <d v="2014-02-27T00:00:00"/>
    <s v="DVD"/>
    <n v="103351"/>
    <s v="AB106205"/>
    <x v="21"/>
    <n v="478274"/>
    <x v="2"/>
  </r>
  <r>
    <n v="10238"/>
    <n v="10"/>
    <d v="2014-02-28T00:00:00"/>
    <s v="DVD"/>
    <n v="103355"/>
    <s v="AB106211"/>
    <x v="0"/>
    <n v="559688"/>
    <x v="2"/>
  </r>
  <r>
    <n v="10083"/>
    <n v="9"/>
    <d v="2014-03-01T00:00:00"/>
    <s v="DVD"/>
    <n v="103357"/>
    <s v="AB106213"/>
    <x v="3"/>
    <n v="331115"/>
    <x v="2"/>
  </r>
  <r>
    <n v="10083"/>
    <n v="9"/>
    <d v="2014-02-28T00:00:00"/>
    <s v="DVD"/>
    <n v="103359"/>
    <s v="AB106215"/>
    <x v="3"/>
    <n v="611848"/>
    <x v="2"/>
  </r>
  <r>
    <n v="10097"/>
    <n v="10"/>
    <d v="2014-03-02T00:00:00"/>
    <s v="DVD"/>
    <n v="103359"/>
    <s v="AB106216"/>
    <x v="8"/>
    <n v="611848"/>
    <x v="2"/>
  </r>
  <r>
    <n v="10222"/>
    <n v="5"/>
    <d v="2014-03-01T00:00:00"/>
    <s v="DVD"/>
    <n v="103360"/>
    <s v="AB106219"/>
    <x v="4"/>
    <n v="442254"/>
    <x v="2"/>
  </r>
  <r>
    <n v="10250"/>
    <n v="1"/>
    <d v="2014-02-28T00:00:00"/>
    <s v="BLU-RAY"/>
    <n v="103361"/>
    <s v="AB106220"/>
    <x v="3"/>
    <n v="427826"/>
    <x v="2"/>
  </r>
  <r>
    <n v="10188"/>
    <n v="6"/>
    <d v="2014-03-02T00:00:00"/>
    <s v="DVD"/>
    <n v="103362"/>
    <s v="AB106222"/>
    <x v="1"/>
    <n v="459243"/>
    <x v="2"/>
  </r>
  <r>
    <n v="10238"/>
    <n v="2"/>
    <d v="2014-02-28T00:00:00"/>
    <s v="BLU-RAY"/>
    <n v="103363"/>
    <s v="AB106223"/>
    <x v="0"/>
    <n v="730305"/>
    <x v="2"/>
  </r>
  <r>
    <n v="10269"/>
    <n v="1"/>
    <d v="2014-02-28T00:00:00"/>
    <s v="DVD"/>
    <n v="103363"/>
    <s v="AB106224"/>
    <x v="3"/>
    <n v="730305"/>
    <x v="2"/>
  </r>
  <r>
    <n v="10271"/>
    <n v="6"/>
    <d v="2014-02-28T00:00:00"/>
    <s v="DVD"/>
    <n v="103363"/>
    <s v="AB106225"/>
    <x v="7"/>
    <n v="730305"/>
    <x v="2"/>
  </r>
  <r>
    <n v="10247"/>
    <n v="3"/>
    <d v="2014-03-01T00:00:00"/>
    <s v="DVD"/>
    <n v="103364"/>
    <s v="AB106226"/>
    <x v="9"/>
    <n v="421074"/>
    <x v="2"/>
  </r>
  <r>
    <n v="10128"/>
    <n v="6"/>
    <d v="2014-03-02T00:00:00"/>
    <s v="DVD"/>
    <n v="103366"/>
    <s v="AB106231"/>
    <x v="6"/>
    <n v="250266"/>
    <x v="2"/>
  </r>
  <r>
    <n v="10352"/>
    <n v="7"/>
    <d v="2014-03-02T00:00:00"/>
    <s v="DVD"/>
    <n v="103367"/>
    <s v="AB106232"/>
    <x v="0"/>
    <n v="537860"/>
    <x v="2"/>
  </r>
  <r>
    <n v="10249"/>
    <n v="2"/>
    <d v="2014-03-02T00:00:00"/>
    <s v="DVD"/>
    <n v="103369"/>
    <s v="AB106235"/>
    <x v="5"/>
    <n v="196068"/>
    <x v="2"/>
  </r>
  <r>
    <n v="10160"/>
    <n v="8"/>
    <d v="2014-03-01T00:00:00"/>
    <s v="DVD"/>
    <n v="103370"/>
    <s v="AB106236"/>
    <x v="10"/>
    <n v="384899"/>
    <x v="2"/>
  </r>
  <r>
    <n v="10135"/>
    <n v="7"/>
    <d v="2014-03-03T00:00:00"/>
    <s v="DVD"/>
    <n v="103371"/>
    <s v="AB106237"/>
    <x v="7"/>
    <n v="412929"/>
    <x v="2"/>
  </r>
  <r>
    <n v="10182"/>
    <n v="10"/>
    <d v="2014-03-03T00:00:00"/>
    <s v="DVD"/>
    <n v="103371"/>
    <s v="AB106238"/>
    <x v="0"/>
    <n v="412929"/>
    <x v="2"/>
  </r>
  <r>
    <n v="10061"/>
    <n v="6"/>
    <d v="2014-03-02T00:00:00"/>
    <s v="DVD"/>
    <n v="103375"/>
    <s v="AB106244"/>
    <x v="9"/>
    <n v="808177"/>
    <x v="2"/>
  </r>
  <r>
    <n v="10289"/>
    <n v="2"/>
    <d v="2014-03-03T00:00:00"/>
    <s v="DVD"/>
    <n v="103376"/>
    <s v="AB106247"/>
    <x v="11"/>
    <n v="599995"/>
    <x v="2"/>
  </r>
  <r>
    <n v="10163"/>
    <n v="5"/>
    <d v="2014-03-03T00:00:00"/>
    <s v="BLU-RAY"/>
    <n v="103378"/>
    <s v="AB106249"/>
    <x v="0"/>
    <n v="782947"/>
    <x v="2"/>
  </r>
  <r>
    <n v="10095"/>
    <n v="3"/>
    <d v="2014-03-07T00:00:00"/>
    <s v="DVD"/>
    <n v="103378"/>
    <s v="AB106250"/>
    <x v="2"/>
    <n v="782947"/>
    <x v="2"/>
  </r>
  <r>
    <n v="10193"/>
    <n v="5"/>
    <d v="2014-03-03T00:00:00"/>
    <s v="DVD"/>
    <n v="103378"/>
    <s v="AB106251"/>
    <x v="9"/>
    <n v="782947"/>
    <x v="2"/>
  </r>
  <r>
    <n v="10110"/>
    <n v="10"/>
    <d v="2014-03-04T00:00:00"/>
    <s v="DVD"/>
    <n v="103379"/>
    <s v="AB106252"/>
    <x v="0"/>
    <n v="205927"/>
    <x v="2"/>
  </r>
  <r>
    <n v="10275"/>
    <n v="7"/>
    <d v="2014-03-03T00:00:00"/>
    <s v="BLU-RAY"/>
    <n v="103379"/>
    <s v="AB106254"/>
    <x v="10"/>
    <n v="205927"/>
    <x v="2"/>
  </r>
  <r>
    <n v="10349"/>
    <n v="2"/>
    <d v="2014-03-03T00:00:00"/>
    <s v="DVD"/>
    <n v="103380"/>
    <s v="AB106255"/>
    <x v="8"/>
    <n v="408341"/>
    <x v="2"/>
  </r>
  <r>
    <n v="10249"/>
    <n v="3"/>
    <d v="2014-03-03T00:00:00"/>
    <s v="BLU-RAY"/>
    <n v="103381"/>
    <s v="AB106257"/>
    <x v="5"/>
    <n v="111991"/>
    <x v="2"/>
  </r>
  <r>
    <n v="10020"/>
    <n v="4"/>
    <d v="2014-03-04T00:00:00"/>
    <s v="DVD"/>
    <n v="103381"/>
    <s v="AB106258"/>
    <x v="16"/>
    <n v="111991"/>
    <x v="2"/>
  </r>
  <r>
    <n v="10197"/>
    <n v="6"/>
    <d v="2014-03-03T00:00:00"/>
    <s v="DVD"/>
    <n v="103382"/>
    <s v="AB106260"/>
    <x v="0"/>
    <n v="724813"/>
    <x v="2"/>
  </r>
  <r>
    <n v="10106"/>
    <n v="3"/>
    <d v="2014-03-05T00:00:00"/>
    <s v="DVD"/>
    <n v="103382"/>
    <s v="AB106262"/>
    <x v="9"/>
    <n v="724813"/>
    <x v="2"/>
  </r>
  <r>
    <n v="10200"/>
    <n v="9"/>
    <d v="2014-03-04T00:00:00"/>
    <s v="BLU-RAY"/>
    <n v="103384"/>
    <s v="AB106264"/>
    <x v="9"/>
    <n v="426830"/>
    <x v="2"/>
  </r>
  <r>
    <n v="10273"/>
    <n v="10"/>
    <d v="2014-03-04T00:00:00"/>
    <s v="DVD"/>
    <n v="103386"/>
    <s v="AB106267"/>
    <x v="4"/>
    <n v="880238"/>
    <x v="2"/>
  </r>
  <r>
    <n v="10235"/>
    <n v="10"/>
    <d v="2014-03-04T00:00:00"/>
    <s v="DVD"/>
    <n v="103387"/>
    <s v="AB106270"/>
    <x v="10"/>
    <n v="329994"/>
    <x v="2"/>
  </r>
  <r>
    <n v="10285"/>
    <n v="8"/>
    <d v="2014-03-04T00:00:00"/>
    <s v="DVD"/>
    <n v="103388"/>
    <s v="AB106271"/>
    <x v="20"/>
    <n v="608290"/>
    <x v="2"/>
  </r>
  <r>
    <n v="10287"/>
    <n v="7"/>
    <d v="2014-03-05T00:00:00"/>
    <s v="DVD"/>
    <n v="103389"/>
    <s v="AB106273"/>
    <x v="10"/>
    <n v="292402"/>
    <x v="2"/>
  </r>
  <r>
    <n v="10233"/>
    <n v="8"/>
    <d v="2014-03-05T00:00:00"/>
    <s v="DVD"/>
    <n v="103390"/>
    <s v="AB106274"/>
    <x v="8"/>
    <n v="808421"/>
    <x v="2"/>
  </r>
  <r>
    <n v="10162"/>
    <n v="1"/>
    <d v="2014-03-11T00:00:00"/>
    <s v="DVD"/>
    <n v="103390"/>
    <s v="AB106275"/>
    <x v="4"/>
    <n v="808421"/>
    <x v="2"/>
  </r>
  <r>
    <n v="10108"/>
    <n v="2"/>
    <d v="2014-03-04T00:00:00"/>
    <s v="DVD"/>
    <n v="103390"/>
    <s v="AB106276"/>
    <x v="9"/>
    <n v="808421"/>
    <x v="2"/>
  </r>
  <r>
    <n v="10224"/>
    <n v="10"/>
    <d v="2014-03-07T00:00:00"/>
    <s v="DVD"/>
    <n v="103391"/>
    <s v="AB106277"/>
    <x v="17"/>
    <n v="524667"/>
    <x v="2"/>
  </r>
  <r>
    <n v="10298"/>
    <n v="3"/>
    <d v="2014-03-05T00:00:00"/>
    <s v="DVD"/>
    <n v="103393"/>
    <s v="AB106281"/>
    <x v="19"/>
    <n v="731346"/>
    <x v="2"/>
  </r>
  <r>
    <n v="10045"/>
    <n v="4"/>
    <d v="2014-03-05T00:00:00"/>
    <s v="BLU-RAY"/>
    <n v="103393"/>
    <s v="AB106282"/>
    <x v="0"/>
    <n v="731346"/>
    <x v="2"/>
  </r>
  <r>
    <n v="10234"/>
    <n v="2"/>
    <d v="2014-03-06T00:00:00"/>
    <s v="DVD"/>
    <n v="103393"/>
    <s v="AB106283"/>
    <x v="0"/>
    <n v="731346"/>
    <x v="2"/>
  </r>
  <r>
    <n v="10233"/>
    <n v="1"/>
    <d v="2014-03-05T00:00:00"/>
    <s v="DVD"/>
    <n v="103395"/>
    <s v="AB106287"/>
    <x v="8"/>
    <n v="994056"/>
    <x v="2"/>
  </r>
  <r>
    <n v="10207"/>
    <n v="10"/>
    <d v="2014-03-05T00:00:00"/>
    <s v="DVD"/>
    <n v="103396"/>
    <s v="AB106289"/>
    <x v="1"/>
    <n v="556619"/>
    <x v="2"/>
  </r>
  <r>
    <n v="10250"/>
    <n v="4"/>
    <d v="2014-03-06T00:00:00"/>
    <s v="BLU-RAY"/>
    <n v="103400"/>
    <s v="AB106296"/>
    <x v="3"/>
    <n v="951702"/>
    <x v="2"/>
  </r>
  <r>
    <n v="10225"/>
    <n v="10"/>
    <d v="2014-03-09T00:00:00"/>
    <s v="DVD"/>
    <n v="103402"/>
    <s v="AB106301"/>
    <x v="0"/>
    <n v="656512"/>
    <x v="2"/>
  </r>
  <r>
    <n v="10227"/>
    <n v="10"/>
    <d v="2014-03-06T00:00:00"/>
    <s v="DVD"/>
    <n v="103404"/>
    <s v="AB106304"/>
    <x v="14"/>
    <n v="427826"/>
    <x v="2"/>
  </r>
  <r>
    <n v="10206"/>
    <n v="6"/>
    <d v="2014-03-06T00:00:00"/>
    <s v="DVD"/>
    <n v="103405"/>
    <s v="AB106306"/>
    <x v="9"/>
    <n v="305005"/>
    <x v="2"/>
  </r>
  <r>
    <n v="10254"/>
    <n v="8"/>
    <d v="2014-03-07T00:00:00"/>
    <s v="DVD"/>
    <n v="103407"/>
    <s v="AB106311"/>
    <x v="1"/>
    <n v="493552"/>
    <x v="2"/>
  </r>
  <r>
    <n v="10140"/>
    <n v="1"/>
    <d v="2014-03-07T00:00:00"/>
    <s v="DVD"/>
    <n v="103408"/>
    <s v="AB106313"/>
    <x v="2"/>
    <n v="932618"/>
    <x v="2"/>
  </r>
  <r>
    <n v="10281"/>
    <n v="4"/>
    <d v="2014-03-13T00:00:00"/>
    <s v="BLU-RAY"/>
    <n v="103409"/>
    <s v="AB106315"/>
    <x v="10"/>
    <n v="745543"/>
    <x v="2"/>
  </r>
  <r>
    <n v="10244"/>
    <n v="7"/>
    <d v="2014-03-11T00:00:00"/>
    <s v="DVD"/>
    <n v="103409"/>
    <s v="AB106316"/>
    <x v="4"/>
    <n v="745543"/>
    <x v="2"/>
  </r>
  <r>
    <n v="10146"/>
    <n v="7"/>
    <d v="2014-03-07T00:00:00"/>
    <s v="DVD"/>
    <n v="103412"/>
    <s v="AB106320"/>
    <x v="4"/>
    <n v="717234"/>
    <x v="2"/>
  </r>
  <r>
    <n v="10276"/>
    <n v="4"/>
    <d v="2014-03-08T00:00:00"/>
    <s v="DVD"/>
    <n v="103412"/>
    <s v="AB106323"/>
    <x v="16"/>
    <n v="717234"/>
    <x v="2"/>
  </r>
  <r>
    <n v="10159"/>
    <n v="10"/>
    <d v="2014-03-09T00:00:00"/>
    <s v="DVD"/>
    <n v="103413"/>
    <s v="AB106324"/>
    <x v="10"/>
    <n v="441628"/>
    <x v="2"/>
  </r>
  <r>
    <n v="10228"/>
    <n v="10"/>
    <d v="2014-03-07T00:00:00"/>
    <s v="DVD"/>
    <n v="103413"/>
    <s v="AB106326"/>
    <x v="7"/>
    <n v="441628"/>
    <x v="2"/>
  </r>
  <r>
    <n v="10196"/>
    <n v="9"/>
    <d v="2014-03-07T00:00:00"/>
    <s v="DVD"/>
    <n v="103414"/>
    <s v="AB106329"/>
    <x v="9"/>
    <n v="561305"/>
    <x v="2"/>
  </r>
  <r>
    <n v="10091"/>
    <n v="7"/>
    <d v="2014-03-09T00:00:00"/>
    <s v="DVD"/>
    <n v="103415"/>
    <s v="AB106330"/>
    <x v="0"/>
    <n v="890497"/>
    <x v="2"/>
  </r>
  <r>
    <n v="10180"/>
    <n v="5"/>
    <d v="2014-03-08T00:00:00"/>
    <s v="DVD"/>
    <n v="103416"/>
    <s v="AB106333"/>
    <x v="12"/>
    <n v="149240"/>
    <x v="2"/>
  </r>
  <r>
    <n v="10275"/>
    <n v="6"/>
    <d v="2014-03-08T00:00:00"/>
    <s v="DVD"/>
    <n v="103418"/>
    <s v="AB106340"/>
    <x v="10"/>
    <n v="249188"/>
    <x v="2"/>
  </r>
  <r>
    <n v="10161"/>
    <n v="8"/>
    <d v="2014-03-10T00:00:00"/>
    <s v="DVD"/>
    <n v="103422"/>
    <s v="AB106346"/>
    <x v="6"/>
    <n v="893039"/>
    <x v="2"/>
  </r>
  <r>
    <n v="10251"/>
    <n v="8"/>
    <d v="2014-03-12T00:00:00"/>
    <s v="DVD"/>
    <n v="103423"/>
    <s v="AB106347"/>
    <x v="7"/>
    <n v="520377"/>
    <x v="2"/>
  </r>
  <r>
    <n v="10294"/>
    <n v="5"/>
    <d v="2014-03-11T00:00:00"/>
    <s v="DVD"/>
    <n v="103423"/>
    <s v="AB106349"/>
    <x v="2"/>
    <n v="520377"/>
    <x v="2"/>
  </r>
  <r>
    <n v="10224"/>
    <n v="10"/>
    <d v="2014-03-10T00:00:00"/>
    <s v="BLU-RAY"/>
    <n v="103423"/>
    <s v="AB106350"/>
    <x v="17"/>
    <n v="520377"/>
    <x v="2"/>
  </r>
  <r>
    <n v="10073"/>
    <n v="3"/>
    <d v="2014-03-11T00:00:00"/>
    <s v="DVD"/>
    <n v="103425"/>
    <s v="AB106353"/>
    <x v="16"/>
    <n v="498970"/>
    <x v="2"/>
  </r>
  <r>
    <n v="10270"/>
    <n v="10"/>
    <d v="2014-03-11T00:00:00"/>
    <s v="DVD"/>
    <n v="103425"/>
    <s v="AB106355"/>
    <x v="9"/>
    <n v="498970"/>
    <x v="2"/>
  </r>
  <r>
    <n v="10078"/>
    <n v="1"/>
    <d v="2014-03-09T00:00:00"/>
    <s v="DVD"/>
    <n v="103426"/>
    <s v="AB106357"/>
    <x v="1"/>
    <n v="332324"/>
    <x v="2"/>
  </r>
  <r>
    <n v="10234"/>
    <n v="1"/>
    <d v="2014-03-09T00:00:00"/>
    <s v="DVD"/>
    <n v="103427"/>
    <s v="AB106359"/>
    <x v="0"/>
    <n v="493552"/>
    <x v="2"/>
  </r>
  <r>
    <n v="10149"/>
    <n v="3"/>
    <d v="2014-03-10T00:00:00"/>
    <s v="BLU-RAY"/>
    <n v="103427"/>
    <s v="AB106361"/>
    <x v="12"/>
    <n v="493552"/>
    <x v="2"/>
  </r>
  <r>
    <n v="10293"/>
    <n v="2"/>
    <d v="2014-03-11T00:00:00"/>
    <s v="DVD"/>
    <n v="103428"/>
    <s v="AB106364"/>
    <x v="12"/>
    <n v="747066"/>
    <x v="2"/>
  </r>
  <r>
    <n v="10203"/>
    <n v="8"/>
    <d v="2014-03-10T00:00:00"/>
    <s v="DVD"/>
    <n v="103429"/>
    <s v="AB106365"/>
    <x v="3"/>
    <n v="308688"/>
    <x v="2"/>
  </r>
  <r>
    <n v="10212"/>
    <n v="3"/>
    <d v="2014-03-10T00:00:00"/>
    <s v="DVD"/>
    <n v="103429"/>
    <s v="AB106367"/>
    <x v="10"/>
    <n v="308688"/>
    <x v="2"/>
  </r>
  <r>
    <n v="10203"/>
    <n v="1"/>
    <d v="2014-03-10T00:00:00"/>
    <s v="BLU-RAY"/>
    <n v="103430"/>
    <s v="AB106369"/>
    <x v="3"/>
    <n v="882493"/>
    <x v="2"/>
  </r>
  <r>
    <n v="10174"/>
    <n v="3"/>
    <d v="2014-03-13T00:00:00"/>
    <s v="DVD"/>
    <n v="103431"/>
    <s v="AB106370"/>
    <x v="7"/>
    <n v="741514"/>
    <x v="2"/>
  </r>
  <r>
    <n v="10233"/>
    <n v="2"/>
    <d v="2014-03-16T00:00:00"/>
    <s v="DVD"/>
    <n v="103431"/>
    <s v="AB106371"/>
    <x v="8"/>
    <n v="741514"/>
    <x v="2"/>
  </r>
  <r>
    <n v="10269"/>
    <n v="5"/>
    <d v="2014-03-10T00:00:00"/>
    <s v="DVD"/>
    <n v="103432"/>
    <s v="AB106372"/>
    <x v="3"/>
    <n v="741398"/>
    <x v="2"/>
  </r>
  <r>
    <n v="10291"/>
    <n v="3"/>
    <d v="2014-03-10T00:00:00"/>
    <s v="DVD"/>
    <n v="103432"/>
    <s v="AB106373"/>
    <x v="0"/>
    <n v="741398"/>
    <x v="2"/>
  </r>
  <r>
    <n v="10212"/>
    <n v="9"/>
    <d v="2014-03-10T00:00:00"/>
    <s v="DVD"/>
    <n v="103433"/>
    <s v="AB106375"/>
    <x v="10"/>
    <n v="471187"/>
    <x v="2"/>
  </r>
  <r>
    <n v="10023"/>
    <n v="5"/>
    <d v="2014-03-14T00:00:00"/>
    <s v="DVD"/>
    <n v="103435"/>
    <s v="AB106378"/>
    <x v="3"/>
    <n v="249779"/>
    <x v="2"/>
  </r>
  <r>
    <n v="10203"/>
    <n v="10"/>
    <d v="2014-03-13T00:00:00"/>
    <s v="BLU-RAY"/>
    <n v="103436"/>
    <s v="AB106379"/>
    <x v="3"/>
    <n v="157695"/>
    <x v="2"/>
  </r>
  <r>
    <n v="10229"/>
    <n v="6"/>
    <d v="2014-03-12T00:00:00"/>
    <s v="DVD"/>
    <n v="103436"/>
    <s v="AB106380"/>
    <x v="6"/>
    <n v="157695"/>
    <x v="2"/>
  </r>
  <r>
    <n v="10070"/>
    <n v="8"/>
    <d v="2014-03-12T00:00:00"/>
    <s v="DVD"/>
    <n v="103437"/>
    <s v="AB106381"/>
    <x v="1"/>
    <n v="757780"/>
    <x v="2"/>
  </r>
  <r>
    <n v="10217"/>
    <n v="4"/>
    <d v="2014-03-11T00:00:00"/>
    <s v="DVD"/>
    <n v="103437"/>
    <s v="AB106383"/>
    <x v="0"/>
    <n v="757780"/>
    <x v="2"/>
  </r>
  <r>
    <n v="10188"/>
    <n v="3"/>
    <d v="2014-03-11T00:00:00"/>
    <s v="DVD"/>
    <n v="103438"/>
    <s v="AB106384"/>
    <x v="1"/>
    <n v="771285"/>
    <x v="2"/>
  </r>
  <r>
    <n v="10141"/>
    <n v="6"/>
    <d v="2014-03-11T00:00:00"/>
    <s v="DVD"/>
    <n v="103438"/>
    <s v="AB106385"/>
    <x v="0"/>
    <n v="771285"/>
    <x v="2"/>
  </r>
  <r>
    <n v="10271"/>
    <n v="7"/>
    <d v="2014-03-11T00:00:00"/>
    <s v="DVD"/>
    <n v="103440"/>
    <s v="AB106388"/>
    <x v="7"/>
    <n v="422592"/>
    <x v="2"/>
  </r>
  <r>
    <n v="10137"/>
    <n v="2"/>
    <d v="2014-03-14T00:00:00"/>
    <s v="DVD"/>
    <n v="103442"/>
    <s v="AB106393"/>
    <x v="3"/>
    <n v="643214"/>
    <x v="2"/>
  </r>
  <r>
    <n v="10224"/>
    <n v="9"/>
    <d v="2014-03-12T00:00:00"/>
    <s v="DVD"/>
    <n v="103442"/>
    <s v="AB106394"/>
    <x v="17"/>
    <n v="643214"/>
    <x v="2"/>
  </r>
  <r>
    <n v="10114"/>
    <n v="6"/>
    <d v="2014-03-13T00:00:00"/>
    <s v="DVD"/>
    <n v="103443"/>
    <s v="AB106395"/>
    <x v="10"/>
    <n v="736500"/>
    <x v="2"/>
  </r>
  <r>
    <n v="10241"/>
    <n v="9"/>
    <d v="2014-03-13T00:00:00"/>
    <s v="DVD"/>
    <n v="103443"/>
    <s v="AB106396"/>
    <x v="0"/>
    <n v="736500"/>
    <x v="2"/>
  </r>
  <r>
    <n v="10148"/>
    <n v="2"/>
    <d v="2014-03-12T00:00:00"/>
    <s v="DVD"/>
    <n v="103446"/>
    <s v="AB106401"/>
    <x v="1"/>
    <n v="292402"/>
    <x v="2"/>
  </r>
  <r>
    <n v="10083"/>
    <n v="8"/>
    <d v="2014-03-13T00:00:00"/>
    <s v="DVD"/>
    <n v="103446"/>
    <s v="AB106402"/>
    <x v="3"/>
    <n v="292402"/>
    <x v="2"/>
  </r>
  <r>
    <n v="10191"/>
    <n v="9"/>
    <d v="2014-03-14T00:00:00"/>
    <s v="BLU-RAY"/>
    <n v="103448"/>
    <s v="AB106405"/>
    <x v="7"/>
    <n v="166612"/>
    <x v="2"/>
  </r>
  <r>
    <n v="10055"/>
    <n v="2"/>
    <d v="2014-03-13T00:00:00"/>
    <s v="DVD"/>
    <n v="103448"/>
    <s v="AB106406"/>
    <x v="15"/>
    <n v="166612"/>
    <x v="2"/>
  </r>
  <r>
    <n v="10169"/>
    <n v="4"/>
    <d v="2014-03-13T00:00:00"/>
    <s v="DVD"/>
    <n v="103449"/>
    <s v="AB106408"/>
    <x v="0"/>
    <n v="412544"/>
    <x v="2"/>
  </r>
  <r>
    <n v="10126"/>
    <n v="5"/>
    <d v="2014-03-13T00:00:00"/>
    <s v="DVD"/>
    <n v="103449"/>
    <s v="AB106410"/>
    <x v="9"/>
    <n v="412544"/>
    <x v="2"/>
  </r>
  <r>
    <n v="10287"/>
    <n v="2"/>
    <d v="2014-03-13T00:00:00"/>
    <s v="DVD"/>
    <n v="103451"/>
    <s v="AB106413"/>
    <x v="10"/>
    <n v="128131"/>
    <x v="2"/>
  </r>
  <r>
    <n v="10256"/>
    <n v="10"/>
    <d v="2014-03-14T00:00:00"/>
    <s v="DVD"/>
    <n v="103452"/>
    <s v="AB106414"/>
    <x v="9"/>
    <n v="216475"/>
    <x v="2"/>
  </r>
  <r>
    <n v="10133"/>
    <n v="10"/>
    <d v="2014-03-14T00:00:00"/>
    <s v="DVD"/>
    <n v="103452"/>
    <s v="AB106415"/>
    <x v="9"/>
    <n v="216475"/>
    <x v="2"/>
  </r>
  <r>
    <n v="10207"/>
    <n v="6"/>
    <d v="2014-03-13T00:00:00"/>
    <s v="BLU-RAY"/>
    <n v="103452"/>
    <s v="AB106416"/>
    <x v="1"/>
    <n v="216475"/>
    <x v="2"/>
  </r>
  <r>
    <n v="10186"/>
    <n v="10"/>
    <d v="2014-03-15T00:00:00"/>
    <s v="DVD"/>
    <n v="103453"/>
    <s v="AB106417"/>
    <x v="10"/>
    <n v="938417"/>
    <x v="2"/>
  </r>
  <r>
    <n v="10159"/>
    <n v="9"/>
    <d v="2014-03-16T00:00:00"/>
    <s v="DVD"/>
    <n v="103454"/>
    <s v="AB106420"/>
    <x v="10"/>
    <n v="689877"/>
    <x v="2"/>
  </r>
  <r>
    <n v="10263"/>
    <n v="5"/>
    <d v="2014-03-14T00:00:00"/>
    <s v="DVD"/>
    <n v="103456"/>
    <s v="AB106424"/>
    <x v="9"/>
    <n v="302774"/>
    <x v="2"/>
  </r>
  <r>
    <n v="10159"/>
    <n v="5"/>
    <d v="2014-03-14T00:00:00"/>
    <s v="DVD"/>
    <n v="103456"/>
    <s v="AB106425"/>
    <x v="10"/>
    <n v="302774"/>
    <x v="2"/>
  </r>
  <r>
    <n v="10282"/>
    <n v="3"/>
    <d v="2014-03-14T00:00:00"/>
    <s v="DVD"/>
    <n v="103457"/>
    <s v="AB106426"/>
    <x v="15"/>
    <n v="520196"/>
    <x v="2"/>
  </r>
  <r>
    <n v="10158"/>
    <n v="7"/>
    <d v="2014-03-18T00:00:00"/>
    <s v="DVD"/>
    <n v="103458"/>
    <s v="AB106430"/>
    <x v="0"/>
    <n v="347189"/>
    <x v="2"/>
  </r>
  <r>
    <n v="10074"/>
    <n v="3"/>
    <d v="2014-03-14T00:00:00"/>
    <s v="DVD"/>
    <n v="103458"/>
    <s v="AB106431"/>
    <x v="11"/>
    <n v="347189"/>
    <x v="2"/>
  </r>
  <r>
    <n v="10175"/>
    <n v="9"/>
    <d v="2014-03-14T00:00:00"/>
    <s v="DVD"/>
    <n v="103459"/>
    <s v="AB106432"/>
    <x v="3"/>
    <n v="671101"/>
    <x v="2"/>
  </r>
  <r>
    <n v="10073"/>
    <n v="5"/>
    <d v="2014-03-16T00:00:00"/>
    <s v="DVD"/>
    <n v="103460"/>
    <s v="AB106434"/>
    <x v="16"/>
    <n v="689877"/>
    <x v="2"/>
  </r>
  <r>
    <n v="10220"/>
    <n v="5"/>
    <d v="2014-03-16T00:00:00"/>
    <s v="DVD"/>
    <n v="103461"/>
    <s v="AB106436"/>
    <x v="9"/>
    <n v="160392"/>
    <x v="2"/>
  </r>
  <r>
    <n v="10155"/>
    <n v="3"/>
    <d v="2014-03-17T00:00:00"/>
    <s v="DVD"/>
    <n v="103461"/>
    <s v="AB106437"/>
    <x v="9"/>
    <n v="160392"/>
    <x v="2"/>
  </r>
  <r>
    <n v="10155"/>
    <n v="8"/>
    <d v="2014-03-15T00:00:00"/>
    <s v="DVD"/>
    <n v="103462"/>
    <s v="AB106438"/>
    <x v="9"/>
    <n v="277310"/>
    <x v="2"/>
  </r>
  <r>
    <n v="10079"/>
    <n v="6"/>
    <d v="2014-03-15T00:00:00"/>
    <s v="DVD"/>
    <n v="103464"/>
    <s v="AB106442"/>
    <x v="0"/>
    <n v="182040"/>
    <x v="2"/>
  </r>
  <r>
    <n v="10208"/>
    <n v="3"/>
    <d v="2014-03-15T00:00:00"/>
    <s v="DVD"/>
    <n v="103464"/>
    <s v="AB106443"/>
    <x v="0"/>
    <n v="182040"/>
    <x v="2"/>
  </r>
  <r>
    <n v="10123"/>
    <n v="4"/>
    <d v="2014-03-16T00:00:00"/>
    <s v="BLU-RAY"/>
    <n v="103465"/>
    <s v="AB106445"/>
    <x v="9"/>
    <n v="551950"/>
    <x v="2"/>
  </r>
  <r>
    <n v="10018"/>
    <n v="1"/>
    <d v="2014-03-15T00:00:00"/>
    <s v="DVD"/>
    <n v="103467"/>
    <s v="AB106449"/>
    <x v="9"/>
    <n v="556152"/>
    <x v="2"/>
  </r>
  <r>
    <n v="10284"/>
    <n v="1"/>
    <d v="2014-03-16T00:00:00"/>
    <s v="DVD"/>
    <n v="103467"/>
    <s v="AB106451"/>
    <x v="14"/>
    <n v="556152"/>
    <x v="2"/>
  </r>
  <r>
    <n v="10270"/>
    <n v="7"/>
    <d v="2014-03-18T00:00:00"/>
    <s v="DVD"/>
    <n v="103468"/>
    <s v="AB106453"/>
    <x v="9"/>
    <n v="235720"/>
    <x v="2"/>
  </r>
  <r>
    <n v="10004"/>
    <n v="3"/>
    <d v="2014-03-16T00:00:00"/>
    <s v="DVD"/>
    <n v="103469"/>
    <s v="AB106456"/>
    <x v="1"/>
    <n v="409910"/>
    <x v="2"/>
  </r>
  <r>
    <n v="10252"/>
    <n v="2"/>
    <d v="2014-03-16T00:00:00"/>
    <s v="DVD"/>
    <n v="103473"/>
    <s v="AB106462"/>
    <x v="0"/>
    <n v="524667"/>
    <x v="2"/>
  </r>
  <r>
    <n v="10195"/>
    <n v="2"/>
    <d v="2014-03-18T00:00:00"/>
    <s v="DVD"/>
    <n v="103476"/>
    <s v="AB106468"/>
    <x v="4"/>
    <n v="791850"/>
    <x v="2"/>
  </r>
  <r>
    <n v="10225"/>
    <n v="1"/>
    <d v="2014-03-18T00:00:00"/>
    <s v="DVD"/>
    <n v="103477"/>
    <s v="AB106469"/>
    <x v="0"/>
    <n v="194680"/>
    <x v="2"/>
  </r>
  <r>
    <n v="10250"/>
    <n v="9"/>
    <d v="2014-03-20T00:00:00"/>
    <s v="BLU-RAY"/>
    <n v="103477"/>
    <s v="AB106470"/>
    <x v="3"/>
    <n v="194680"/>
    <x v="2"/>
  </r>
  <r>
    <n v="10183"/>
    <n v="6"/>
    <d v="2014-03-17T00:00:00"/>
    <s v="DVD"/>
    <n v="103478"/>
    <s v="AB106473"/>
    <x v="4"/>
    <n v="575041"/>
    <x v="2"/>
  </r>
  <r>
    <n v="10274"/>
    <n v="7"/>
    <d v="2014-03-17T00:00:00"/>
    <s v="BLU-RAY"/>
    <n v="103480"/>
    <s v="AB106477"/>
    <x v="9"/>
    <n v="605188"/>
    <x v="2"/>
  </r>
  <r>
    <n v="10167"/>
    <n v="7"/>
    <d v="2014-03-19T00:00:00"/>
    <s v="DVD"/>
    <n v="103480"/>
    <s v="AB106478"/>
    <x v="7"/>
    <n v="605188"/>
    <x v="2"/>
  </r>
  <r>
    <n v="10217"/>
    <n v="4"/>
    <d v="2014-03-18T00:00:00"/>
    <s v="BLU-RAY"/>
    <n v="103483"/>
    <s v="AB106484"/>
    <x v="0"/>
    <n v="478274"/>
    <x v="2"/>
  </r>
  <r>
    <n v="10200"/>
    <n v="6"/>
    <d v="2014-03-20T00:00:00"/>
    <s v="BLU-RAY"/>
    <n v="103485"/>
    <s v="AB106487"/>
    <x v="9"/>
    <n v="803700"/>
    <x v="2"/>
  </r>
  <r>
    <n v="10297"/>
    <n v="1"/>
    <d v="2014-03-18T00:00:00"/>
    <s v="DVD"/>
    <n v="103485"/>
    <s v="AB106488"/>
    <x v="14"/>
    <n v="803700"/>
    <x v="2"/>
  </r>
  <r>
    <n v="10209"/>
    <n v="10"/>
    <d v="2014-03-22T00:00:00"/>
    <s v="BLU-RAY"/>
    <n v="103485"/>
    <s v="AB106489"/>
    <x v="7"/>
    <n v="803700"/>
    <x v="2"/>
  </r>
  <r>
    <n v="10234"/>
    <n v="4"/>
    <d v="2014-03-18T00:00:00"/>
    <s v="DVD"/>
    <n v="103486"/>
    <s v="AB106490"/>
    <x v="0"/>
    <n v="847289"/>
    <x v="2"/>
  </r>
  <r>
    <n v="10175"/>
    <n v="5"/>
    <d v="2014-03-18T00:00:00"/>
    <s v="BLU-RAY"/>
    <n v="103488"/>
    <s v="AB106493"/>
    <x v="3"/>
    <n v="182040"/>
    <x v="2"/>
  </r>
  <r>
    <n v="10242"/>
    <n v="6"/>
    <d v="2014-03-19T00:00:00"/>
    <s v="DVD"/>
    <n v="103488"/>
    <s v="AB106494"/>
    <x v="3"/>
    <n v="182040"/>
    <x v="2"/>
  </r>
  <r>
    <n v="10277"/>
    <n v="10"/>
    <d v="2014-03-19T00:00:00"/>
    <s v="DVD"/>
    <n v="103491"/>
    <s v="AB106501"/>
    <x v="7"/>
    <n v="592592"/>
    <x v="2"/>
  </r>
  <r>
    <n v="10260"/>
    <n v="2"/>
    <d v="2014-03-24T00:00:00"/>
    <s v="DVD"/>
    <n v="103491"/>
    <s v="AB106502"/>
    <x v="4"/>
    <n v="592592"/>
    <x v="2"/>
  </r>
  <r>
    <n v="10274"/>
    <n v="3"/>
    <d v="2014-03-19T00:00:00"/>
    <s v="DVD"/>
    <n v="103491"/>
    <s v="AB106503"/>
    <x v="9"/>
    <n v="592592"/>
    <x v="2"/>
  </r>
  <r>
    <n v="10273"/>
    <n v="1"/>
    <d v="2014-03-19T00:00:00"/>
    <s v="DVD"/>
    <n v="103493"/>
    <s v="AB106505"/>
    <x v="4"/>
    <n v="193914"/>
    <x v="2"/>
  </r>
  <r>
    <n v="10123"/>
    <n v="8"/>
    <d v="2014-03-25T00:00:00"/>
    <s v="DVD"/>
    <n v="103494"/>
    <s v="AB106506"/>
    <x v="9"/>
    <n v="158528"/>
    <x v="2"/>
  </r>
  <r>
    <n v="10133"/>
    <n v="1"/>
    <d v="2014-03-20T00:00:00"/>
    <s v="DVD"/>
    <n v="103494"/>
    <s v="AB106507"/>
    <x v="9"/>
    <n v="158528"/>
    <x v="2"/>
  </r>
  <r>
    <n v="10079"/>
    <n v="1"/>
    <d v="2014-03-20T00:00:00"/>
    <s v="DVD"/>
    <n v="103495"/>
    <s v="AB106510"/>
    <x v="0"/>
    <n v="706884"/>
    <x v="2"/>
  </r>
  <r>
    <n v="10193"/>
    <n v="1"/>
    <d v="2014-03-19T00:00:00"/>
    <s v="BLU-RAY"/>
    <n v="103496"/>
    <s v="AB106513"/>
    <x v="9"/>
    <n v="671101"/>
    <x v="2"/>
  </r>
  <r>
    <n v="10170"/>
    <n v="9"/>
    <d v="2014-03-21T00:00:00"/>
    <s v="DVD"/>
    <n v="103499"/>
    <s v="AB106517"/>
    <x v="15"/>
    <n v="563500"/>
    <x v="2"/>
  </r>
  <r>
    <n v="10041"/>
    <n v="1"/>
    <d v="2014-04-04T00:00:00"/>
    <s v="DVD"/>
    <n v="103500"/>
    <s v="AB106520"/>
    <x v="10"/>
    <n v="558749"/>
    <x v="2"/>
  </r>
  <r>
    <n v="10277"/>
    <n v="8"/>
    <d v="2014-03-20T00:00:00"/>
    <s v="DVD"/>
    <n v="103501"/>
    <s v="AB106521"/>
    <x v="7"/>
    <n v="738357"/>
    <x v="2"/>
  </r>
  <r>
    <n v="10198"/>
    <n v="8"/>
    <d v="2014-03-22T00:00:00"/>
    <s v="DVD"/>
    <n v="103502"/>
    <s v="AB106523"/>
    <x v="9"/>
    <n v="771285"/>
    <x v="2"/>
  </r>
  <r>
    <n v="10039"/>
    <n v="4"/>
    <d v="2014-03-22T00:00:00"/>
    <s v="DVD"/>
    <n v="103502"/>
    <s v="AB106524"/>
    <x v="11"/>
    <n v="771285"/>
    <x v="2"/>
  </r>
  <r>
    <n v="10150"/>
    <n v="10"/>
    <d v="2014-03-20T00:00:00"/>
    <s v="DVD"/>
    <n v="103503"/>
    <s v="AB106525"/>
    <x v="14"/>
    <n v="194680"/>
    <x v="2"/>
  </r>
  <r>
    <n v="10149"/>
    <n v="10"/>
    <d v="2014-03-20T00:00:00"/>
    <s v="DVD"/>
    <n v="103504"/>
    <s v="AB106527"/>
    <x v="12"/>
    <n v="422951"/>
    <x v="2"/>
  </r>
  <r>
    <n v="10249"/>
    <n v="10"/>
    <d v="2014-03-22T00:00:00"/>
    <s v="DVD"/>
    <n v="103507"/>
    <s v="AB106531"/>
    <x v="5"/>
    <n v="183797"/>
    <x v="2"/>
  </r>
  <r>
    <n v="10290"/>
    <n v="1"/>
    <d v="2014-03-21T00:00:00"/>
    <s v="BLU-RAY"/>
    <n v="103508"/>
    <s v="AB106532"/>
    <x v="2"/>
    <n v="932618"/>
    <x v="2"/>
  </r>
  <r>
    <n v="10184"/>
    <n v="10"/>
    <d v="2014-03-22T00:00:00"/>
    <s v="DVD"/>
    <n v="103508"/>
    <s v="AB106533"/>
    <x v="7"/>
    <n v="932618"/>
    <x v="2"/>
  </r>
  <r>
    <n v="10295"/>
    <n v="5"/>
    <d v="2014-03-24T00:00:00"/>
    <s v="DVD"/>
    <n v="103509"/>
    <s v="AB106536"/>
    <x v="21"/>
    <n v="833180"/>
    <x v="2"/>
  </r>
  <r>
    <n v="10227"/>
    <n v="1"/>
    <d v="2014-03-21T00:00:00"/>
    <s v="DVD"/>
    <n v="103509"/>
    <s v="AB106537"/>
    <x v="14"/>
    <n v="833180"/>
    <x v="2"/>
  </r>
  <r>
    <n v="10176"/>
    <n v="9"/>
    <d v="2014-03-22T00:00:00"/>
    <s v="DVD"/>
    <n v="103512"/>
    <s v="AB106539"/>
    <x v="7"/>
    <n v="143878"/>
    <x v="2"/>
  </r>
  <r>
    <n v="10063"/>
    <n v="10"/>
    <d v="2014-03-22T00:00:00"/>
    <s v="DVD"/>
    <n v="103514"/>
    <s v="AB106540"/>
    <x v="18"/>
    <n v="278809"/>
    <x v="2"/>
  </r>
  <r>
    <n v="10274"/>
    <n v="1"/>
    <d v="2014-03-23T00:00:00"/>
    <s v="BLU-RAY"/>
    <n v="103515"/>
    <s v="AB106542"/>
    <x v="9"/>
    <n v="657495"/>
    <x v="2"/>
  </r>
  <r>
    <n v="10285"/>
    <n v="7"/>
    <d v="2014-03-25T00:00:00"/>
    <s v="DVD"/>
    <n v="103515"/>
    <s v="AB106543"/>
    <x v="20"/>
    <n v="657495"/>
    <x v="2"/>
  </r>
  <r>
    <n v="10275"/>
    <n v="8"/>
    <d v="2014-03-22T00:00:00"/>
    <s v="BLU-RAY"/>
    <n v="103516"/>
    <s v="AB106545"/>
    <x v="10"/>
    <n v="166612"/>
    <x v="2"/>
  </r>
  <r>
    <n v="10079"/>
    <n v="10"/>
    <d v="2014-03-26T00:00:00"/>
    <s v="DVD"/>
    <n v="103516"/>
    <s v="AB106546"/>
    <x v="0"/>
    <n v="166612"/>
    <x v="2"/>
  </r>
  <r>
    <n v="10271"/>
    <n v="10"/>
    <d v="2014-03-23T00:00:00"/>
    <s v="DVD"/>
    <n v="103517"/>
    <s v="AB106549"/>
    <x v="7"/>
    <n v="347189"/>
    <x v="2"/>
  </r>
  <r>
    <n v="10268"/>
    <n v="2"/>
    <d v="2014-03-24T00:00:00"/>
    <s v="BLU-RAY"/>
    <n v="103518"/>
    <s v="AB106550"/>
    <x v="3"/>
    <n v="761615"/>
    <x v="2"/>
  </r>
  <r>
    <n v="10224"/>
    <n v="8"/>
    <d v="2014-03-23T00:00:00"/>
    <s v="BLU-RAY"/>
    <n v="103522"/>
    <s v="AB106557"/>
    <x v="17"/>
    <n v="407605"/>
    <x v="2"/>
  </r>
  <r>
    <n v="10043"/>
    <n v="2"/>
    <d v="2014-03-24T00:00:00"/>
    <s v="DVD"/>
    <n v="103522"/>
    <s v="AB106558"/>
    <x v="8"/>
    <n v="407605"/>
    <x v="2"/>
  </r>
  <r>
    <n v="10026"/>
    <n v="6"/>
    <d v="2014-03-23T00:00:00"/>
    <s v="DVD"/>
    <n v="103525"/>
    <s v="AB106563"/>
    <x v="9"/>
    <n v="265133"/>
    <x v="2"/>
  </r>
  <r>
    <n v="10209"/>
    <n v="10"/>
    <d v="2014-03-26T00:00:00"/>
    <s v="DVD"/>
    <n v="103525"/>
    <s v="AB106564"/>
    <x v="7"/>
    <n v="265133"/>
    <x v="2"/>
  </r>
  <r>
    <n v="10108"/>
    <n v="9"/>
    <d v="2014-03-24T00:00:00"/>
    <s v="DVD"/>
    <n v="103529"/>
    <s v="AB106572"/>
    <x v="9"/>
    <n v="157388"/>
    <x v="2"/>
  </r>
  <r>
    <n v="10101"/>
    <n v="6"/>
    <d v="2014-03-25T00:00:00"/>
    <s v="DVD"/>
    <n v="103529"/>
    <s v="AB106573"/>
    <x v="4"/>
    <n v="157388"/>
    <x v="2"/>
  </r>
  <r>
    <n v="10118"/>
    <n v="8"/>
    <d v="2014-03-25T00:00:00"/>
    <s v="DVD"/>
    <n v="103533"/>
    <s v="AB106578"/>
    <x v="3"/>
    <n v="995599"/>
    <x v="2"/>
  </r>
  <r>
    <n v="10224"/>
    <n v="1"/>
    <d v="2014-03-27T00:00:00"/>
    <s v="BLU-RAY"/>
    <n v="103534"/>
    <s v="AB106579"/>
    <x v="17"/>
    <n v="992956"/>
    <x v="2"/>
  </r>
  <r>
    <n v="10166"/>
    <n v="7"/>
    <d v="2014-03-26T00:00:00"/>
    <s v="DVD"/>
    <n v="103536"/>
    <s v="AB106582"/>
    <x v="9"/>
    <n v="256181"/>
    <x v="2"/>
  </r>
  <r>
    <n v="10200"/>
    <n v="2"/>
    <d v="2014-03-25T00:00:00"/>
    <s v="BLU-RAY"/>
    <n v="103538"/>
    <s v="AB106588"/>
    <x v="9"/>
    <n v="442691"/>
    <x v="2"/>
  </r>
  <r>
    <n v="10245"/>
    <n v="3"/>
    <d v="2014-03-26T00:00:00"/>
    <s v="DVD"/>
    <n v="103540"/>
    <s v="AB106591"/>
    <x v="0"/>
    <n v="465275"/>
    <x v="2"/>
  </r>
  <r>
    <n v="10118"/>
    <n v="4"/>
    <d v="2014-03-26T00:00:00"/>
    <s v="DVD"/>
    <n v="103542"/>
    <s v="AB106595"/>
    <x v="3"/>
    <n v="826590"/>
    <x v="2"/>
  </r>
  <r>
    <n v="10291"/>
    <n v="5"/>
    <d v="2014-03-26T00:00:00"/>
    <s v="DVD"/>
    <n v="103543"/>
    <s v="AB106598"/>
    <x v="0"/>
    <n v="766737"/>
    <x v="2"/>
  </r>
  <r>
    <n v="10289"/>
    <n v="10"/>
    <d v="2014-03-27T00:00:00"/>
    <s v="BLU-RAY"/>
    <n v="103545"/>
    <s v="AB106600"/>
    <x v="11"/>
    <n v="111991"/>
    <x v="2"/>
  </r>
  <r>
    <n v="10253"/>
    <n v="9"/>
    <d v="2014-03-27T00:00:00"/>
    <s v="BLU-RAY"/>
    <n v="103546"/>
    <s v="AB106601"/>
    <x v="3"/>
    <n v="498970"/>
    <x v="2"/>
  </r>
  <r>
    <n v="10228"/>
    <n v="8"/>
    <d v="2014-03-27T00:00:00"/>
    <s v="DVD"/>
    <n v="103548"/>
    <s v="AB106604"/>
    <x v="7"/>
    <n v="537860"/>
    <x v="2"/>
  </r>
  <r>
    <n v="10114"/>
    <n v="7"/>
    <d v="2014-03-28T00:00:00"/>
    <s v="BLU-RAY"/>
    <n v="103548"/>
    <s v="AB106605"/>
    <x v="10"/>
    <n v="537860"/>
    <x v="2"/>
  </r>
  <r>
    <n v="10181"/>
    <n v="10"/>
    <d v="2014-03-29T00:00:00"/>
    <s v="DVD"/>
    <n v="103549"/>
    <s v="AB106606"/>
    <x v="9"/>
    <n v="422951"/>
    <x v="2"/>
  </r>
  <r>
    <n v="10028"/>
    <n v="9"/>
    <d v="2014-03-27T00:00:00"/>
    <s v="DVD"/>
    <n v="103549"/>
    <s v="AB106607"/>
    <x v="5"/>
    <n v="422951"/>
    <x v="2"/>
  </r>
  <r>
    <n v="10285"/>
    <n v="10"/>
    <d v="2014-03-29T00:00:00"/>
    <s v="BLU-RAY"/>
    <n v="103550"/>
    <s v="AB106610"/>
    <x v="20"/>
    <n v="245577"/>
    <x v="2"/>
  </r>
  <r>
    <n v="10061"/>
    <n v="3"/>
    <d v="2014-03-30T00:00:00"/>
    <s v="DVD"/>
    <n v="103551"/>
    <s v="AB106613"/>
    <x v="9"/>
    <n v="806545"/>
    <x v="2"/>
  </r>
  <r>
    <n v="10285"/>
    <n v="2"/>
    <d v="2014-03-29T00:00:00"/>
    <s v="DVD"/>
    <n v="103552"/>
    <s v="AB106614"/>
    <x v="20"/>
    <n v="651462"/>
    <x v="2"/>
  </r>
  <r>
    <n v="10056"/>
    <n v="3"/>
    <d v="2014-03-27T00:00:00"/>
    <s v="DVD"/>
    <n v="103553"/>
    <s v="AB106618"/>
    <x v="8"/>
    <n v="720602"/>
    <x v="2"/>
  </r>
  <r>
    <n v="10272"/>
    <n v="10"/>
    <d v="2014-03-28T00:00:00"/>
    <s v="DVD"/>
    <n v="103554"/>
    <s v="AB106619"/>
    <x v="4"/>
    <n v="193914"/>
    <x v="2"/>
  </r>
  <r>
    <n v="10284"/>
    <n v="5"/>
    <d v="2014-03-27T00:00:00"/>
    <s v="DVD"/>
    <n v="103554"/>
    <s v="AB106620"/>
    <x v="14"/>
    <n v="193914"/>
    <x v="2"/>
  </r>
  <r>
    <n v="10149"/>
    <n v="3"/>
    <d v="2014-03-27T00:00:00"/>
    <s v="DVD"/>
    <n v="103554"/>
    <s v="AB106621"/>
    <x v="12"/>
    <n v="193914"/>
    <x v="2"/>
  </r>
  <r>
    <n v="10217"/>
    <n v="2"/>
    <d v="2014-03-27T00:00:00"/>
    <s v="BLU-RAY"/>
    <n v="103555"/>
    <s v="AB106623"/>
    <x v="0"/>
    <n v="994199"/>
    <x v="2"/>
  </r>
  <r>
    <n v="10248"/>
    <n v="1"/>
    <d v="2014-03-29T00:00:00"/>
    <s v="DVD"/>
    <n v="103556"/>
    <s v="AB106624"/>
    <x v="12"/>
    <n v="789500"/>
    <x v="2"/>
  </r>
  <r>
    <n v="10072"/>
    <n v="3"/>
    <d v="2014-03-29T00:00:00"/>
    <s v="DVD"/>
    <n v="103556"/>
    <s v="AB106625"/>
    <x v="1"/>
    <n v="789500"/>
    <x v="2"/>
  </r>
  <r>
    <n v="10225"/>
    <n v="4"/>
    <d v="2014-03-29T00:00:00"/>
    <s v="DVD"/>
    <n v="103558"/>
    <s v="AB106630"/>
    <x v="0"/>
    <n v="771285"/>
    <x v="2"/>
  </r>
  <r>
    <n v="10233"/>
    <n v="2"/>
    <d v="2014-03-28T00:00:00"/>
    <s v="BLU-RAY"/>
    <n v="103558"/>
    <s v="AB106631"/>
    <x v="8"/>
    <n v="771285"/>
    <x v="2"/>
  </r>
  <r>
    <n v="10285"/>
    <n v="4"/>
    <d v="2014-03-28T00:00:00"/>
    <s v="DVD"/>
    <n v="103561"/>
    <s v="AB106635"/>
    <x v="20"/>
    <n v="800121"/>
    <x v="2"/>
  </r>
  <r>
    <n v="10185"/>
    <n v="2"/>
    <d v="2014-03-30T00:00:00"/>
    <s v="DVD"/>
    <n v="103562"/>
    <s v="AB106636"/>
    <x v="0"/>
    <n v="500828"/>
    <x v="2"/>
  </r>
  <r>
    <n v="10247"/>
    <n v="5"/>
    <d v="2014-03-29T00:00:00"/>
    <s v="DVD"/>
    <n v="103562"/>
    <s v="AB106637"/>
    <x v="9"/>
    <n v="500828"/>
    <x v="2"/>
  </r>
  <r>
    <n v="10194"/>
    <n v="9"/>
    <d v="2014-03-29T00:00:00"/>
    <s v="DVD"/>
    <n v="103565"/>
    <s v="AB106643"/>
    <x v="16"/>
    <n v="999915"/>
    <x v="2"/>
  </r>
  <r>
    <n v="10284"/>
    <n v="10"/>
    <d v="2014-04-01T00:00:00"/>
    <s v="DVD"/>
    <n v="103566"/>
    <s v="AB106647"/>
    <x v="14"/>
    <n v="879173"/>
    <x v="2"/>
  </r>
  <r>
    <n v="10193"/>
    <n v="9"/>
    <d v="2014-03-30T00:00:00"/>
    <s v="BLU-RAY"/>
    <n v="103567"/>
    <s v="AB106649"/>
    <x v="9"/>
    <n v="973766"/>
    <x v="2"/>
  </r>
  <r>
    <n v="10132"/>
    <n v="8"/>
    <d v="2014-03-29T00:00:00"/>
    <s v="BLU-RAY"/>
    <n v="103569"/>
    <s v="AB106653"/>
    <x v="10"/>
    <n v="110363"/>
    <x v="2"/>
  </r>
  <r>
    <n v="10137"/>
    <n v="4"/>
    <d v="2014-03-30T00:00:00"/>
    <s v="BLU-RAY"/>
    <n v="103570"/>
    <s v="AB106655"/>
    <x v="3"/>
    <n v="524667"/>
    <x v="2"/>
  </r>
  <r>
    <n v="10069"/>
    <n v="9"/>
    <d v="2014-04-01T00:00:00"/>
    <s v="BLU-RAY"/>
    <n v="103573"/>
    <s v="AB106661"/>
    <x v="0"/>
    <n v="111486"/>
    <x v="2"/>
  </r>
  <r>
    <n v="10265"/>
    <n v="9"/>
    <d v="2014-04-03T00:00:00"/>
    <s v="DVD"/>
    <n v="103573"/>
    <s v="AB106662"/>
    <x v="0"/>
    <n v="111486"/>
    <x v="2"/>
  </r>
  <r>
    <n v="10205"/>
    <n v="10"/>
    <d v="2014-04-02T00:00:00"/>
    <s v="DVD"/>
    <n v="103575"/>
    <s v="AB106664"/>
    <x v="1"/>
    <n v="616258"/>
    <x v="2"/>
  </r>
  <r>
    <n v="10252"/>
    <n v="1"/>
    <d v="2014-03-30T00:00:00"/>
    <s v="DVD"/>
    <n v="103576"/>
    <s v="AB106665"/>
    <x v="0"/>
    <n v="520196"/>
    <x v="2"/>
  </r>
  <r>
    <n v="10280"/>
    <n v="1"/>
    <d v="2014-03-31T00:00:00"/>
    <s v="DVD"/>
    <n v="103576"/>
    <s v="AB106667"/>
    <x v="7"/>
    <n v="520196"/>
    <x v="2"/>
  </r>
  <r>
    <n v="10232"/>
    <n v="2"/>
    <d v="2014-03-31T00:00:00"/>
    <s v="DVD"/>
    <n v="103578"/>
    <s v="AB106670"/>
    <x v="1"/>
    <n v="964403"/>
    <x v="2"/>
  </r>
  <r>
    <n v="10274"/>
    <n v="2"/>
    <d v="2014-04-03T00:00:00"/>
    <s v="DVD"/>
    <n v="103579"/>
    <s v="AB106673"/>
    <x v="9"/>
    <n v="723819"/>
    <x v="2"/>
  </r>
  <r>
    <n v="10273"/>
    <n v="4"/>
    <d v="2014-04-03T00:00:00"/>
    <s v="DVD"/>
    <n v="103579"/>
    <s v="AB106675"/>
    <x v="4"/>
    <n v="723819"/>
    <x v="2"/>
  </r>
  <r>
    <n v="10235"/>
    <n v="4"/>
    <d v="2014-04-02T00:00:00"/>
    <s v="DVD"/>
    <n v="103580"/>
    <s v="AB106676"/>
    <x v="10"/>
    <n v="482274"/>
    <x v="2"/>
  </r>
  <r>
    <n v="10237"/>
    <n v="6"/>
    <d v="2014-04-03T00:00:00"/>
    <s v="DVD"/>
    <n v="103580"/>
    <s v="AB106677"/>
    <x v="0"/>
    <n v="482274"/>
    <x v="2"/>
  </r>
  <r>
    <n v="10282"/>
    <n v="6"/>
    <d v="2014-03-31T00:00:00"/>
    <s v="DVD"/>
    <n v="103581"/>
    <s v="AB106678"/>
    <x v="15"/>
    <n v="385115"/>
    <x v="2"/>
  </r>
  <r>
    <n v="10124"/>
    <n v="4"/>
    <d v="2014-03-31T00:00:00"/>
    <s v="DVD"/>
    <n v="103583"/>
    <s v="AB106682"/>
    <x v="1"/>
    <n v="230467"/>
    <x v="2"/>
  </r>
  <r>
    <n v="10137"/>
    <n v="1"/>
    <d v="2014-03-31T00:00:00"/>
    <s v="DVD"/>
    <n v="103583"/>
    <s v="AB106683"/>
    <x v="3"/>
    <n v="230467"/>
    <x v="2"/>
  </r>
  <r>
    <n v="10166"/>
    <n v="4"/>
    <d v="2014-04-01T00:00:00"/>
    <s v="DVD"/>
    <n v="103585"/>
    <s v="AB106687"/>
    <x v="9"/>
    <n v="580674"/>
    <x v="2"/>
  </r>
  <r>
    <n v="10256"/>
    <n v="8"/>
    <d v="2014-04-01T00:00:00"/>
    <s v="DVD"/>
    <n v="103586"/>
    <s v="AB106689"/>
    <x v="9"/>
    <n v="624668"/>
    <x v="2"/>
  </r>
  <r>
    <n v="10224"/>
    <n v="9"/>
    <d v="2014-04-01T00:00:00"/>
    <s v="DVD"/>
    <n v="103588"/>
    <s v="AB106694"/>
    <x v="17"/>
    <n v="739669"/>
    <x v="2"/>
  </r>
  <r>
    <n v="10152"/>
    <n v="3"/>
    <d v="2014-04-01T00:00:00"/>
    <s v="DVD"/>
    <n v="103590"/>
    <s v="AB106696"/>
    <x v="16"/>
    <n v="306475"/>
    <x v="2"/>
  </r>
  <r>
    <n v="10282"/>
    <n v="4"/>
    <d v="2014-04-02T00:00:00"/>
    <s v="DVD"/>
    <n v="103590"/>
    <s v="AB106698"/>
    <x v="15"/>
    <n v="306475"/>
    <x v="2"/>
  </r>
  <r>
    <n v="10130"/>
    <n v="6"/>
    <d v="2014-04-04T00:00:00"/>
    <s v="DVD"/>
    <n v="103591"/>
    <s v="AB106699"/>
    <x v="21"/>
    <n v="590616"/>
    <x v="2"/>
  </r>
  <r>
    <n v="10256"/>
    <n v="6"/>
    <d v="2014-04-02T00:00:00"/>
    <s v="DVD"/>
    <n v="103592"/>
    <s v="AB106701"/>
    <x v="9"/>
    <n v="964619"/>
    <x v="2"/>
  </r>
  <r>
    <n v="10270"/>
    <n v="1"/>
    <d v="2014-04-04T00:00:00"/>
    <s v="DVD"/>
    <n v="103594"/>
    <s v="AB106704"/>
    <x v="9"/>
    <n v="671363"/>
    <x v="2"/>
  </r>
  <r>
    <n v="10111"/>
    <n v="3"/>
    <d v="2014-04-03T00:00:00"/>
    <s v="DVD"/>
    <n v="103599"/>
    <s v="AB106713"/>
    <x v="9"/>
    <n v="363931"/>
    <x v="2"/>
  </r>
  <r>
    <n v="10238"/>
    <n v="2"/>
    <d v="2014-04-06T00:00:00"/>
    <s v="BLU-RAY"/>
    <n v="103600"/>
    <s v="AB106715"/>
    <x v="0"/>
    <n v="196068"/>
    <x v="2"/>
  </r>
  <r>
    <n v="10172"/>
    <n v="1"/>
    <d v="2014-04-05T00:00:00"/>
    <s v="DVD"/>
    <n v="103601"/>
    <s v="AB106716"/>
    <x v="10"/>
    <n v="815980"/>
    <x v="2"/>
  </r>
  <r>
    <n v="10106"/>
    <n v="9"/>
    <d v="2014-04-06T00:00:00"/>
    <s v="DVD"/>
    <n v="103603"/>
    <s v="AB106718"/>
    <x v="9"/>
    <n v="900440"/>
    <x v="2"/>
  </r>
  <r>
    <n v="10224"/>
    <n v="1"/>
    <d v="2014-04-05T00:00:00"/>
    <s v="BLU-RAY"/>
    <n v="103603"/>
    <s v="AB106720"/>
    <x v="17"/>
    <n v="900440"/>
    <x v="2"/>
  </r>
  <r>
    <n v="10177"/>
    <n v="8"/>
    <d v="2014-04-03T00:00:00"/>
    <s v="DVD"/>
    <n v="103604"/>
    <s v="AB106722"/>
    <x v="9"/>
    <n v="690100"/>
    <x v="2"/>
  </r>
  <r>
    <n v="10270"/>
    <n v="6"/>
    <d v="2014-04-03T00:00:00"/>
    <s v="BLU-RAY"/>
    <n v="103605"/>
    <s v="AB106724"/>
    <x v="9"/>
    <n v="671363"/>
    <x v="2"/>
  </r>
  <r>
    <n v="10273"/>
    <n v="1"/>
    <d v="2014-04-04T00:00:00"/>
    <s v="DVD"/>
    <n v="103606"/>
    <s v="AB106726"/>
    <x v="4"/>
    <n v="517477"/>
    <x v="2"/>
  </r>
  <r>
    <n v="10290"/>
    <n v="1"/>
    <d v="2014-04-05T00:00:00"/>
    <s v="DVD"/>
    <n v="103608"/>
    <s v="AB106730"/>
    <x v="2"/>
    <n v="929344"/>
    <x v="2"/>
  </r>
  <r>
    <n v="10232"/>
    <n v="5"/>
    <d v="2014-04-05T00:00:00"/>
    <s v="DVD"/>
    <n v="103608"/>
    <s v="AB106731"/>
    <x v="1"/>
    <n v="929344"/>
    <x v="2"/>
  </r>
  <r>
    <n v="10270"/>
    <n v="7"/>
    <d v="2014-04-04T00:00:00"/>
    <s v="BLU-RAY"/>
    <n v="103609"/>
    <s v="AB106733"/>
    <x v="9"/>
    <n v="646953"/>
    <x v="2"/>
  </r>
  <r>
    <n v="10376"/>
    <n v="10"/>
    <d v="2014-04-04T00:00:00"/>
    <s v="DVD"/>
    <n v="103610"/>
    <s v="AB106734"/>
    <x v="12"/>
    <n v="775449"/>
    <x v="2"/>
  </r>
  <r>
    <n v="10099"/>
    <n v="9"/>
    <d v="2014-04-06T00:00:00"/>
    <s v="DVD"/>
    <n v="103611"/>
    <s v="AB106736"/>
    <x v="10"/>
    <n v="784218"/>
    <x v="2"/>
  </r>
  <r>
    <n v="10222"/>
    <n v="2"/>
    <d v="2014-04-04T00:00:00"/>
    <s v="DVD"/>
    <n v="103611"/>
    <s v="AB106738"/>
    <x v="4"/>
    <n v="784218"/>
    <x v="2"/>
  </r>
  <r>
    <n v="10258"/>
    <n v="9"/>
    <d v="2014-04-05T00:00:00"/>
    <s v="DVD"/>
    <n v="103612"/>
    <s v="AB106740"/>
    <x v="0"/>
    <n v="183797"/>
    <x v="2"/>
  </r>
  <r>
    <n v="10246"/>
    <n v="1"/>
    <d v="2014-04-05T00:00:00"/>
    <s v="DVD"/>
    <n v="103613"/>
    <s v="AB106742"/>
    <x v="2"/>
    <n v="643305"/>
    <x v="2"/>
  </r>
  <r>
    <n v="10137"/>
    <n v="5"/>
    <d v="2014-04-05T00:00:00"/>
    <s v="DVD"/>
    <n v="103614"/>
    <s v="AB106747"/>
    <x v="3"/>
    <n v="586201"/>
    <x v="2"/>
  </r>
  <r>
    <n v="10211"/>
    <n v="3"/>
    <d v="2014-04-06T00:00:00"/>
    <s v="BLU-RAY"/>
    <n v="103615"/>
    <s v="AB106748"/>
    <x v="3"/>
    <n v="103508"/>
    <x v="2"/>
  </r>
  <r>
    <n v="10006"/>
    <n v="8"/>
    <d v="2014-04-05T00:00:00"/>
    <s v="DVD"/>
    <n v="103617"/>
    <s v="AB106753"/>
    <x v="1"/>
    <n v="194680"/>
    <x v="2"/>
  </r>
  <r>
    <n v="10201"/>
    <n v="2"/>
    <d v="2014-04-06T00:00:00"/>
    <s v="BLU-RAY"/>
    <n v="103619"/>
    <s v="AB106758"/>
    <x v="8"/>
    <n v="701816"/>
    <x v="2"/>
  </r>
  <r>
    <n v="10281"/>
    <n v="7"/>
    <d v="2014-04-06T00:00:00"/>
    <s v="DVD"/>
    <n v="103621"/>
    <s v="AB106762"/>
    <x v="10"/>
    <n v="493552"/>
    <x v="2"/>
  </r>
  <r>
    <n v="10270"/>
    <n v="5"/>
    <d v="2014-04-06T00:00:00"/>
    <s v="DVD"/>
    <n v="103623"/>
    <s v="AB106765"/>
    <x v="9"/>
    <n v="207846"/>
    <x v="2"/>
  </r>
  <r>
    <n v="10080"/>
    <n v="9"/>
    <d v="2014-04-07T00:00:00"/>
    <s v="DVD"/>
    <n v="103623"/>
    <s v="AB106766"/>
    <x v="3"/>
    <n v="207846"/>
    <x v="2"/>
  </r>
  <r>
    <n v="10282"/>
    <n v="3"/>
    <d v="2014-04-06T00:00:00"/>
    <s v="DVD"/>
    <n v="103623"/>
    <s v="AB106767"/>
    <x v="15"/>
    <n v="207846"/>
    <x v="2"/>
  </r>
  <r>
    <n v="10046"/>
    <n v="9"/>
    <d v="2014-04-12T00:00:00"/>
    <s v="DVD"/>
    <n v="103628"/>
    <s v="AB106775"/>
    <x v="4"/>
    <n v="347189"/>
    <x v="2"/>
  </r>
  <r>
    <n v="10278"/>
    <n v="4"/>
    <d v="2014-04-08T00:00:00"/>
    <s v="DVD"/>
    <n v="103629"/>
    <s v="AB106776"/>
    <x v="7"/>
    <n v="775449"/>
    <x v="2"/>
  </r>
  <r>
    <n v="10163"/>
    <n v="7"/>
    <d v="2014-04-07T00:00:00"/>
    <s v="DVD"/>
    <n v="103629"/>
    <s v="AB106777"/>
    <x v="0"/>
    <n v="775449"/>
    <x v="2"/>
  </r>
  <r>
    <n v="10028"/>
    <n v="2"/>
    <d v="2014-04-07T00:00:00"/>
    <s v="DVD"/>
    <n v="103630"/>
    <s v="AB106778"/>
    <x v="5"/>
    <n v="200272"/>
    <x v="2"/>
  </r>
  <r>
    <n v="10127"/>
    <n v="3"/>
    <d v="2014-04-07T00:00:00"/>
    <s v="DVD"/>
    <n v="103630"/>
    <s v="AB106779"/>
    <x v="6"/>
    <n v="200272"/>
    <x v="2"/>
  </r>
  <r>
    <n v="10162"/>
    <n v="5"/>
    <d v="2014-04-08T00:00:00"/>
    <s v="DVD"/>
    <n v="103630"/>
    <s v="AB106780"/>
    <x v="4"/>
    <n v="200272"/>
    <x v="2"/>
  </r>
  <r>
    <n v="10249"/>
    <n v="1"/>
    <d v="2014-04-08T00:00:00"/>
    <s v="DVD"/>
    <n v="103631"/>
    <s v="AB106781"/>
    <x v="5"/>
    <n v="111486"/>
    <x v="2"/>
  </r>
  <r>
    <n v="10140"/>
    <n v="6"/>
    <d v="2014-04-07T00:00:00"/>
    <s v="DVD"/>
    <n v="103634"/>
    <s v="AB106785"/>
    <x v="2"/>
    <n v="734514"/>
    <x v="2"/>
  </r>
  <r>
    <n v="10133"/>
    <n v="8"/>
    <d v="2014-04-10T00:00:00"/>
    <s v="DVD"/>
    <n v="103636"/>
    <s v="AB106786"/>
    <x v="9"/>
    <n v="417823"/>
    <x v="2"/>
  </r>
  <r>
    <n v="10203"/>
    <n v="10"/>
    <d v="2014-04-07T00:00:00"/>
    <s v="DVD"/>
    <n v="103636"/>
    <s v="AB106787"/>
    <x v="3"/>
    <n v="417823"/>
    <x v="2"/>
  </r>
  <r>
    <n v="10229"/>
    <n v="7"/>
    <d v="2014-04-08T00:00:00"/>
    <s v="DVD"/>
    <n v="103637"/>
    <s v="AB106789"/>
    <x v="6"/>
    <n v="995599"/>
    <x v="2"/>
  </r>
  <r>
    <n v="10159"/>
    <n v="1"/>
    <d v="2014-04-08T00:00:00"/>
    <s v="BLU-RAY"/>
    <n v="103638"/>
    <s v="AB106792"/>
    <x v="10"/>
    <n v="679354"/>
    <x v="2"/>
  </r>
  <r>
    <n v="10269"/>
    <n v="7"/>
    <d v="2014-04-09T00:00:00"/>
    <s v="DVD"/>
    <n v="103639"/>
    <s v="AB106795"/>
    <x v="3"/>
    <n v="552124"/>
    <x v="2"/>
  </r>
  <r>
    <n v="10160"/>
    <n v="2"/>
    <d v="2014-04-09T00:00:00"/>
    <s v="DVD"/>
    <n v="103643"/>
    <s v="AB106802"/>
    <x v="10"/>
    <n v="676018"/>
    <x v="2"/>
  </r>
  <r>
    <n v="10117"/>
    <n v="3"/>
    <d v="2014-04-09T00:00:00"/>
    <s v="DVD"/>
    <n v="103643"/>
    <s v="AB106803"/>
    <x v="4"/>
    <n v="676018"/>
    <x v="2"/>
  </r>
  <r>
    <n v="10178"/>
    <n v="5"/>
    <d v="2014-04-08T00:00:00"/>
    <s v="DVD"/>
    <n v="103643"/>
    <s v="AB106804"/>
    <x v="0"/>
    <n v="676018"/>
    <x v="2"/>
  </r>
  <r>
    <n v="10193"/>
    <n v="9"/>
    <d v="2014-04-11T00:00:00"/>
    <s v="DVD"/>
    <n v="103644"/>
    <s v="AB106806"/>
    <x v="9"/>
    <n v="814317"/>
    <x v="2"/>
  </r>
  <r>
    <n v="10253"/>
    <n v="2"/>
    <d v="2014-04-09T00:00:00"/>
    <s v="DVD"/>
    <n v="103648"/>
    <s v="AB106811"/>
    <x v="3"/>
    <n v="759995"/>
    <x v="2"/>
  </r>
  <r>
    <n v="10135"/>
    <n v="10"/>
    <d v="2014-04-11T00:00:00"/>
    <s v="DVD"/>
    <n v="103649"/>
    <s v="AB106812"/>
    <x v="7"/>
    <n v="265707"/>
    <x v="2"/>
  </r>
  <r>
    <n v="10177"/>
    <n v="10"/>
    <d v="2014-04-09T00:00:00"/>
    <s v="DVD"/>
    <n v="103649"/>
    <s v="AB106814"/>
    <x v="9"/>
    <n v="265707"/>
    <x v="2"/>
  </r>
  <r>
    <n v="10208"/>
    <n v="10"/>
    <d v="2014-04-09T00:00:00"/>
    <s v="DVD"/>
    <n v="103650"/>
    <s v="AB106815"/>
    <x v="0"/>
    <n v="331115"/>
    <x v="2"/>
  </r>
  <r>
    <n v="10210"/>
    <n v="3"/>
    <d v="2014-04-15T00:00:00"/>
    <s v="BLU-RAY"/>
    <n v="103650"/>
    <s v="AB106816"/>
    <x v="4"/>
    <n v="331115"/>
    <x v="2"/>
  </r>
  <r>
    <n v="10232"/>
    <n v="9"/>
    <d v="2014-04-09T00:00:00"/>
    <s v="DVD"/>
    <n v="103652"/>
    <s v="AB106820"/>
    <x v="1"/>
    <n v="301793"/>
    <x v="2"/>
  </r>
  <r>
    <n v="10229"/>
    <n v="3"/>
    <d v="2014-04-10T00:00:00"/>
    <s v="DVD"/>
    <n v="103654"/>
    <s v="AB106821"/>
    <x v="6"/>
    <n v="938417"/>
    <x v="2"/>
  </r>
  <r>
    <n v="10164"/>
    <n v="4"/>
    <d v="2014-04-11T00:00:00"/>
    <s v="DVD"/>
    <n v="103656"/>
    <s v="AB106826"/>
    <x v="2"/>
    <n v="622506"/>
    <x v="2"/>
  </r>
  <r>
    <n v="10133"/>
    <n v="4"/>
    <d v="2014-04-10T00:00:00"/>
    <s v="DVD"/>
    <n v="103657"/>
    <s v="AB106827"/>
    <x v="9"/>
    <n v="670707"/>
    <x v="2"/>
  </r>
  <r>
    <n v="10195"/>
    <n v="9"/>
    <d v="2014-04-11T00:00:00"/>
    <s v="DVD"/>
    <n v="103657"/>
    <s v="AB106829"/>
    <x v="4"/>
    <n v="670707"/>
    <x v="2"/>
  </r>
  <r>
    <n v="10200"/>
    <n v="2"/>
    <d v="2014-04-10T00:00:00"/>
    <s v="BLU-RAY"/>
    <n v="103658"/>
    <s v="AB106830"/>
    <x v="9"/>
    <n v="775449"/>
    <x v="2"/>
  </r>
  <r>
    <n v="10295"/>
    <n v="7"/>
    <d v="2014-04-11T00:00:00"/>
    <s v="DVD"/>
    <n v="103658"/>
    <s v="AB106831"/>
    <x v="21"/>
    <n v="775449"/>
    <x v="2"/>
  </r>
  <r>
    <n v="10249"/>
    <n v="10"/>
    <d v="2014-04-11T00:00:00"/>
    <s v="DVD"/>
    <n v="103660"/>
    <s v="AB106833"/>
    <x v="5"/>
    <n v="575041"/>
    <x v="2"/>
  </r>
  <r>
    <n v="10127"/>
    <n v="1"/>
    <d v="2014-04-13T00:00:00"/>
    <s v="DVD"/>
    <n v="103662"/>
    <s v="AB106839"/>
    <x v="6"/>
    <n v="447368"/>
    <x v="2"/>
  </r>
  <r>
    <n v="10299"/>
    <n v="3"/>
    <d v="2014-04-11T00:00:00"/>
    <s v="DVD"/>
    <n v="103662"/>
    <s v="AB106841"/>
    <x v="22"/>
    <n v="447368"/>
    <x v="2"/>
  </r>
  <r>
    <n v="10207"/>
    <n v="7"/>
    <d v="2014-04-11T00:00:00"/>
    <s v="DVD"/>
    <n v="103663"/>
    <s v="AB106843"/>
    <x v="1"/>
    <n v="409910"/>
    <x v="2"/>
  </r>
  <r>
    <n v="10128"/>
    <n v="5"/>
    <d v="2014-04-11T00:00:00"/>
    <s v="BLU-RAY"/>
    <n v="103664"/>
    <s v="AB106844"/>
    <x v="6"/>
    <n v="672834"/>
    <x v="2"/>
  </r>
  <r>
    <n v="10274"/>
    <n v="8"/>
    <d v="2014-04-11T00:00:00"/>
    <s v="BLU-RAY"/>
    <n v="103664"/>
    <s v="AB106845"/>
    <x v="9"/>
    <n v="672834"/>
    <x v="2"/>
  </r>
  <r>
    <n v="10233"/>
    <n v="10"/>
    <d v="2014-04-11T00:00:00"/>
    <s v="DVD"/>
    <n v="103665"/>
    <s v="AB106847"/>
    <x v="8"/>
    <n v="981529"/>
    <x v="2"/>
  </r>
  <r>
    <n v="10289"/>
    <n v="7"/>
    <d v="2014-04-12T00:00:00"/>
    <s v="DVD"/>
    <n v="103665"/>
    <s v="AB106848"/>
    <x v="11"/>
    <n v="981529"/>
    <x v="2"/>
  </r>
  <r>
    <n v="10169"/>
    <n v="9"/>
    <d v="2014-04-11T00:00:00"/>
    <s v="DVD"/>
    <n v="103666"/>
    <s v="AB106850"/>
    <x v="0"/>
    <n v="426984"/>
    <x v="2"/>
  </r>
  <r>
    <n v="10286"/>
    <n v="9"/>
    <d v="2014-04-12T00:00:00"/>
    <s v="BLU-RAY"/>
    <n v="103667"/>
    <s v="AB106851"/>
    <x v="17"/>
    <n v="330223"/>
    <x v="2"/>
  </r>
  <r>
    <n v="10120"/>
    <n v="10"/>
    <d v="2014-04-12T00:00:00"/>
    <s v="DVD"/>
    <n v="103667"/>
    <s v="AB106853"/>
    <x v="14"/>
    <n v="330223"/>
    <x v="2"/>
  </r>
  <r>
    <n v="10219"/>
    <n v="10"/>
    <d v="2014-04-12T00:00:00"/>
    <s v="DVD"/>
    <n v="103667"/>
    <s v="AB106854"/>
    <x v="1"/>
    <n v="330223"/>
    <x v="2"/>
  </r>
  <r>
    <n v="10161"/>
    <n v="2"/>
    <d v="2014-04-12T00:00:00"/>
    <s v="DVD"/>
    <n v="103672"/>
    <s v="AB106863"/>
    <x v="6"/>
    <n v="897980"/>
    <x v="2"/>
  </r>
  <r>
    <n v="10225"/>
    <n v="3"/>
    <d v="2014-04-12T00:00:00"/>
    <s v="DVD"/>
    <n v="103673"/>
    <s v="AB106864"/>
    <x v="0"/>
    <n v="977759"/>
    <x v="2"/>
  </r>
  <r>
    <n v="10280"/>
    <n v="8"/>
    <d v="2014-04-14T00:00:00"/>
    <s v="DVD"/>
    <n v="103673"/>
    <s v="AB106865"/>
    <x v="7"/>
    <n v="977759"/>
    <x v="2"/>
  </r>
  <r>
    <n v="10227"/>
    <n v="7"/>
    <d v="2014-04-14T00:00:00"/>
    <s v="DVD"/>
    <n v="103673"/>
    <s v="AB106867"/>
    <x v="14"/>
    <n v="977759"/>
    <x v="2"/>
  </r>
  <r>
    <n v="10247"/>
    <n v="2"/>
    <d v="2014-04-15T00:00:00"/>
    <s v="DVD"/>
    <n v="103675"/>
    <s v="AB106871"/>
    <x v="9"/>
    <n v="743517"/>
    <x v="2"/>
  </r>
  <r>
    <n v="10228"/>
    <n v="4"/>
    <d v="2014-04-13T00:00:00"/>
    <s v="DVD"/>
    <n v="103680"/>
    <s v="AB106882"/>
    <x v="7"/>
    <n v="938417"/>
    <x v="2"/>
  </r>
  <r>
    <n v="10285"/>
    <n v="6"/>
    <d v="2014-04-17T00:00:00"/>
    <s v="DVD"/>
    <n v="103682"/>
    <s v="AB106885"/>
    <x v="20"/>
    <n v="132454"/>
    <x v="2"/>
  </r>
  <r>
    <n v="10250"/>
    <n v="7"/>
    <d v="2014-04-14T00:00:00"/>
    <s v="DVD"/>
    <n v="103683"/>
    <s v="AB106886"/>
    <x v="3"/>
    <n v="611848"/>
    <x v="2"/>
  </r>
  <r>
    <n v="10189"/>
    <n v="2"/>
    <d v="2014-04-15T00:00:00"/>
    <s v="DVD"/>
    <n v="103684"/>
    <s v="AB106888"/>
    <x v="7"/>
    <n v="413292"/>
    <x v="2"/>
  </r>
  <r>
    <n v="10263"/>
    <n v="4"/>
    <d v="2014-04-17T00:00:00"/>
    <s v="DVD"/>
    <n v="103686"/>
    <s v="AB106891"/>
    <x v="9"/>
    <n v="166135"/>
    <x v="2"/>
  </r>
  <r>
    <n v="10054"/>
    <n v="2"/>
    <d v="2014-04-14T00:00:00"/>
    <s v="DVD"/>
    <n v="103686"/>
    <s v="AB106892"/>
    <x v="1"/>
    <n v="166135"/>
    <x v="2"/>
  </r>
  <r>
    <n v="10225"/>
    <n v="2"/>
    <d v="2014-04-16T00:00:00"/>
    <s v="DVD"/>
    <n v="103686"/>
    <s v="AB106893"/>
    <x v="0"/>
    <n v="166135"/>
    <x v="2"/>
  </r>
  <r>
    <n v="10258"/>
    <n v="6"/>
    <d v="2014-04-16T00:00:00"/>
    <s v="DVD"/>
    <n v="103690"/>
    <s v="AB106898"/>
    <x v="0"/>
    <n v="160392"/>
    <x v="2"/>
  </r>
  <r>
    <n v="10250"/>
    <n v="10"/>
    <d v="2014-04-16T00:00:00"/>
    <s v="DVD"/>
    <n v="103691"/>
    <s v="AB106902"/>
    <x v="3"/>
    <n v="193914"/>
    <x v="2"/>
  </r>
  <r>
    <n v="10183"/>
    <n v="3"/>
    <d v="2014-04-15T00:00:00"/>
    <s v="DVD"/>
    <n v="103691"/>
    <s v="AB106903"/>
    <x v="4"/>
    <n v="193914"/>
    <x v="2"/>
  </r>
  <r>
    <n v="10185"/>
    <n v="3"/>
    <d v="2014-04-16T00:00:00"/>
    <s v="DVD"/>
    <n v="103692"/>
    <s v="AB106905"/>
    <x v="0"/>
    <n v="418506"/>
    <x v="2"/>
  </r>
  <r>
    <n v="10251"/>
    <n v="9"/>
    <d v="2014-04-16T00:00:00"/>
    <s v="DVD"/>
    <n v="103695"/>
    <s v="AB106910"/>
    <x v="7"/>
    <n v="892883"/>
    <x v="2"/>
  </r>
  <r>
    <n v="10203"/>
    <n v="2"/>
    <d v="2014-04-16T00:00:00"/>
    <s v="DVD"/>
    <n v="103696"/>
    <s v="AB106911"/>
    <x v="3"/>
    <n v="346006"/>
    <x v="2"/>
  </r>
  <r>
    <n v="10133"/>
    <n v="1"/>
    <d v="2014-04-16T00:00:00"/>
    <s v="DVD"/>
    <n v="103697"/>
    <s v="AB106912"/>
    <x v="9"/>
    <n v="158528"/>
    <x v="2"/>
  </r>
  <r>
    <n v="10039"/>
    <n v="3"/>
    <d v="2014-04-16T00:00:00"/>
    <s v="DVD"/>
    <n v="103697"/>
    <s v="AB106913"/>
    <x v="11"/>
    <n v="158528"/>
    <x v="2"/>
  </r>
  <r>
    <n v="10185"/>
    <n v="6"/>
    <d v="2014-04-22T00:00:00"/>
    <s v="DVD"/>
    <n v="103699"/>
    <s v="AB106915"/>
    <x v="0"/>
    <n v="190721"/>
    <x v="2"/>
  </r>
  <r>
    <n v="10235"/>
    <n v="10"/>
    <d v="2014-04-17T00:00:00"/>
    <s v="DVD"/>
    <n v="103700"/>
    <s v="AB106916"/>
    <x v="10"/>
    <n v="393120"/>
    <x v="2"/>
  </r>
  <r>
    <n v="10176"/>
    <n v="5"/>
    <d v="2014-04-16T00:00:00"/>
    <s v="DVD"/>
    <n v="103700"/>
    <s v="AB106917"/>
    <x v="7"/>
    <n v="393120"/>
    <x v="2"/>
  </r>
  <r>
    <n v="10283"/>
    <n v="6"/>
    <d v="2014-04-16T00:00:00"/>
    <s v="DVD"/>
    <n v="103701"/>
    <s v="AB106919"/>
    <x v="6"/>
    <n v="245577"/>
    <x v="2"/>
  </r>
  <r>
    <n v="10208"/>
    <n v="8"/>
    <d v="2014-04-16T00:00:00"/>
    <s v="DVD"/>
    <n v="103701"/>
    <s v="AB106920"/>
    <x v="0"/>
    <n v="245577"/>
    <x v="2"/>
  </r>
  <r>
    <n v="10250"/>
    <n v="7"/>
    <d v="2014-04-16T00:00:00"/>
    <s v="DVD"/>
    <n v="103701"/>
    <s v="AB106921"/>
    <x v="3"/>
    <n v="245577"/>
    <x v="2"/>
  </r>
  <r>
    <n v="10101"/>
    <n v="4"/>
    <d v="2014-04-16T00:00:00"/>
    <s v="DVD"/>
    <n v="103703"/>
    <s v="AB106925"/>
    <x v="4"/>
    <n v="265707"/>
    <x v="2"/>
  </r>
  <r>
    <n v="10204"/>
    <n v="8"/>
    <d v="2014-04-17T00:00:00"/>
    <s v="DVD"/>
    <n v="103704"/>
    <s v="AB106928"/>
    <x v="7"/>
    <n v="404678"/>
    <x v="2"/>
  </r>
  <r>
    <n v="10211"/>
    <n v="2"/>
    <d v="2014-04-21T00:00:00"/>
    <s v="DVD"/>
    <n v="103705"/>
    <s v="AB106930"/>
    <x v="3"/>
    <n v="643305"/>
    <x v="2"/>
  </r>
  <r>
    <n v="10202"/>
    <n v="8"/>
    <d v="2014-04-21T00:00:00"/>
    <s v="DVD"/>
    <n v="103708"/>
    <s v="AB106934"/>
    <x v="0"/>
    <n v="507743"/>
    <x v="2"/>
  </r>
  <r>
    <n v="10238"/>
    <n v="4"/>
    <d v="2014-04-19T00:00:00"/>
    <s v="BLU-RAY"/>
    <n v="103709"/>
    <s v="AB106939"/>
    <x v="0"/>
    <n v="618955"/>
    <x v="2"/>
  </r>
  <r>
    <n v="10155"/>
    <n v="8"/>
    <d v="2014-04-18T00:00:00"/>
    <s v="DVD"/>
    <n v="103710"/>
    <s v="AB106941"/>
    <x v="9"/>
    <n v="929344"/>
    <x v="2"/>
  </r>
  <r>
    <n v="10215"/>
    <n v="9"/>
    <d v="2014-04-17T00:00:00"/>
    <s v="BLU-RAY"/>
    <n v="103711"/>
    <s v="AB106943"/>
    <x v="1"/>
    <n v="240205"/>
    <x v="2"/>
  </r>
  <r>
    <n v="10277"/>
    <n v="8"/>
    <d v="2014-04-18T00:00:00"/>
    <s v="DVD"/>
    <n v="103712"/>
    <s v="AB106945"/>
    <x v="7"/>
    <n v="911171"/>
    <x v="2"/>
  </r>
  <r>
    <n v="10235"/>
    <n v="3"/>
    <d v="2014-04-19T00:00:00"/>
    <s v="BLU-RAY"/>
    <n v="103712"/>
    <s v="AB106946"/>
    <x v="10"/>
    <n v="911171"/>
    <x v="2"/>
  </r>
  <r>
    <n v="10273"/>
    <n v="4"/>
    <d v="2014-04-21T00:00:00"/>
    <s v="DVD"/>
    <n v="103713"/>
    <s v="AB106949"/>
    <x v="4"/>
    <n v="547890"/>
    <x v="2"/>
  </r>
  <r>
    <n v="10203"/>
    <n v="3"/>
    <d v="2014-04-20T00:00:00"/>
    <s v="BLU-RAY"/>
    <n v="103716"/>
    <s v="AB106954"/>
    <x v="3"/>
    <n v="818287"/>
    <x v="2"/>
  </r>
  <r>
    <n v="10352"/>
    <n v="9"/>
    <d v="2014-04-18T00:00:00"/>
    <s v="DVD"/>
    <n v="103717"/>
    <s v="AB106955"/>
    <x v="0"/>
    <n v="908328"/>
    <x v="2"/>
  </r>
  <r>
    <n v="10286"/>
    <n v="6"/>
    <d v="2014-04-20T00:00:00"/>
    <s v="DVD"/>
    <n v="103719"/>
    <s v="AB106957"/>
    <x v="17"/>
    <n v="890497"/>
    <x v="2"/>
  </r>
  <r>
    <n v="10129"/>
    <n v="8"/>
    <d v="2014-04-19T00:00:00"/>
    <s v="DVD"/>
    <n v="103720"/>
    <s v="AB106959"/>
    <x v="0"/>
    <n v="441628"/>
    <x v="2"/>
  </r>
  <r>
    <n v="10223"/>
    <n v="4"/>
    <d v="2014-04-21T00:00:00"/>
    <s v="DVD"/>
    <n v="103721"/>
    <s v="AB106962"/>
    <x v="7"/>
    <n v="938417"/>
    <x v="2"/>
  </r>
  <r>
    <n v="10247"/>
    <n v="5"/>
    <d v="2014-04-19T00:00:00"/>
    <s v="BLU-RAY"/>
    <n v="103722"/>
    <s v="AB106964"/>
    <x v="9"/>
    <n v="585972"/>
    <x v="2"/>
  </r>
  <r>
    <n v="10123"/>
    <n v="6"/>
    <d v="2014-04-19T00:00:00"/>
    <s v="DVD"/>
    <n v="103723"/>
    <s v="AB106968"/>
    <x v="9"/>
    <n v="306475"/>
    <x v="2"/>
  </r>
  <r>
    <n v="10175"/>
    <n v="3"/>
    <d v="2014-04-21T00:00:00"/>
    <s v="DVD"/>
    <n v="103724"/>
    <s v="AB106969"/>
    <x v="3"/>
    <n v="765237"/>
    <x v="2"/>
  </r>
  <r>
    <n v="10238"/>
    <n v="6"/>
    <d v="2014-04-20T00:00:00"/>
    <s v="DVD"/>
    <n v="103725"/>
    <s v="AB106974"/>
    <x v="0"/>
    <n v="808421"/>
    <x v="2"/>
  </r>
  <r>
    <n v="10247"/>
    <n v="5"/>
    <d v="2014-04-21T00:00:00"/>
    <s v="BLU-RAY"/>
    <n v="103726"/>
    <s v="AB106976"/>
    <x v="9"/>
    <n v="266633"/>
    <x v="2"/>
  </r>
  <r>
    <n v="10272"/>
    <n v="5"/>
    <d v="2014-04-21T00:00:00"/>
    <s v="DVD"/>
    <n v="103726"/>
    <s v="AB106977"/>
    <x v="4"/>
    <n v="266633"/>
    <x v="2"/>
  </r>
  <r>
    <n v="10231"/>
    <n v="5"/>
    <d v="2014-04-21T00:00:00"/>
    <s v="DVD"/>
    <n v="103726"/>
    <s v="AB106978"/>
    <x v="7"/>
    <n v="266633"/>
    <x v="2"/>
  </r>
  <r>
    <n v="10140"/>
    <n v="4"/>
    <d v="2014-04-21T00:00:00"/>
    <s v="DVD"/>
    <n v="103726"/>
    <s v="AB106979"/>
    <x v="2"/>
    <n v="266633"/>
    <x v="2"/>
  </r>
  <r>
    <n v="10152"/>
    <n v="1"/>
    <d v="2014-04-21T00:00:00"/>
    <s v="DVD"/>
    <n v="103727"/>
    <s v="AB106981"/>
    <x v="16"/>
    <n v="357579"/>
    <x v="2"/>
  </r>
  <r>
    <n v="10173"/>
    <n v="6"/>
    <d v="2014-04-20T00:00:00"/>
    <s v="DVD"/>
    <n v="103728"/>
    <s v="AB106984"/>
    <x v="4"/>
    <n v="651462"/>
    <x v="2"/>
  </r>
  <r>
    <n v="10235"/>
    <n v="9"/>
    <d v="2014-04-20T00:00:00"/>
    <s v="BLU-RAY"/>
    <n v="103728"/>
    <s v="AB106985"/>
    <x v="10"/>
    <n v="651462"/>
    <x v="2"/>
  </r>
  <r>
    <n v="10292"/>
    <n v="2"/>
    <d v="2014-04-21T00:00:00"/>
    <s v="DVD"/>
    <n v="103728"/>
    <s v="AB106986"/>
    <x v="15"/>
    <n v="651462"/>
    <x v="2"/>
  </r>
  <r>
    <n v="10158"/>
    <n v="10"/>
    <d v="2014-04-22T00:00:00"/>
    <s v="DVD"/>
    <n v="103732"/>
    <s v="AB106989"/>
    <x v="0"/>
    <n v="667170"/>
    <x v="2"/>
  </r>
  <r>
    <n v="10298"/>
    <n v="8"/>
    <d v="2014-04-22T00:00:00"/>
    <s v="DVD"/>
    <n v="103732"/>
    <s v="AB106990"/>
    <x v="19"/>
    <n v="667170"/>
    <x v="2"/>
  </r>
  <r>
    <n v="10269"/>
    <n v="6"/>
    <d v="2014-04-22T00:00:00"/>
    <s v="DVD"/>
    <n v="103733"/>
    <s v="AB106991"/>
    <x v="3"/>
    <n v="970794"/>
    <x v="2"/>
  </r>
  <r>
    <n v="10193"/>
    <n v="2"/>
    <d v="2014-04-23T00:00:00"/>
    <s v="DVD"/>
    <n v="103734"/>
    <s v="AB106992"/>
    <x v="9"/>
    <n v="422951"/>
    <x v="2"/>
  </r>
  <r>
    <n v="10247"/>
    <n v="1"/>
    <d v="2014-04-21T00:00:00"/>
    <s v="DVD"/>
    <n v="103734"/>
    <s v="AB106993"/>
    <x v="9"/>
    <n v="422951"/>
    <x v="2"/>
  </r>
  <r>
    <n v="10261"/>
    <n v="8"/>
    <d v="2014-04-21T00:00:00"/>
    <s v="DVD"/>
    <n v="103734"/>
    <s v="AB106994"/>
    <x v="9"/>
    <n v="422951"/>
    <x v="2"/>
  </r>
  <r>
    <n v="10184"/>
    <n v="4"/>
    <d v="2014-04-23T00:00:00"/>
    <s v="BLU-RAY"/>
    <n v="103735"/>
    <s v="AB106996"/>
    <x v="7"/>
    <n v="643305"/>
    <x v="2"/>
  </r>
  <r>
    <n v="10164"/>
    <n v="4"/>
    <d v="2014-04-25T00:00:00"/>
    <s v="DVD"/>
    <n v="103736"/>
    <s v="AB106999"/>
    <x v="2"/>
    <n v="225489"/>
    <x v="2"/>
  </r>
  <r>
    <n v="10164"/>
    <n v="3"/>
    <d v="2014-04-23T00:00:00"/>
    <s v="DVD"/>
    <n v="103739"/>
    <s v="AB107005"/>
    <x v="2"/>
    <n v="756769"/>
    <x v="2"/>
  </r>
  <r>
    <n v="10283"/>
    <n v="5"/>
    <d v="2014-04-22T00:00:00"/>
    <s v="DVD"/>
    <n v="103741"/>
    <s v="AB107010"/>
    <x v="6"/>
    <n v="127472"/>
    <x v="2"/>
  </r>
  <r>
    <n v="10286"/>
    <n v="7"/>
    <d v="2014-04-22T00:00:00"/>
    <s v="DVD"/>
    <n v="103742"/>
    <s v="AB107011"/>
    <x v="17"/>
    <n v="422717"/>
    <x v="2"/>
  </r>
  <r>
    <n v="10098"/>
    <n v="10"/>
    <d v="2014-04-22T00:00:00"/>
    <s v="BLU-RAY"/>
    <n v="103744"/>
    <s v="AB107014"/>
    <x v="0"/>
    <n v="456457"/>
    <x v="2"/>
  </r>
  <r>
    <n v="10248"/>
    <n v="6"/>
    <d v="2014-04-23T00:00:00"/>
    <s v="DVD"/>
    <n v="103747"/>
    <s v="AB107018"/>
    <x v="12"/>
    <n v="676155"/>
    <x v="2"/>
  </r>
  <r>
    <n v="10037"/>
    <n v="10"/>
    <d v="2014-04-25T00:00:00"/>
    <s v="DVD"/>
    <n v="103748"/>
    <s v="AB107019"/>
    <x v="3"/>
    <n v="296353"/>
    <x v="2"/>
  </r>
  <r>
    <n v="10230"/>
    <n v="4"/>
    <d v="2014-04-27T00:00:00"/>
    <s v="DVD"/>
    <n v="103750"/>
    <s v="AB107024"/>
    <x v="14"/>
    <n v="393120"/>
    <x v="2"/>
  </r>
  <r>
    <n v="10280"/>
    <n v="10"/>
    <d v="2014-04-24T00:00:00"/>
    <s v="DVD"/>
    <n v="103750"/>
    <s v="AB107025"/>
    <x v="7"/>
    <n v="393120"/>
    <x v="2"/>
  </r>
  <r>
    <n v="10169"/>
    <n v="1"/>
    <d v="2014-04-26T00:00:00"/>
    <s v="DVD"/>
    <n v="103751"/>
    <s v="AB107026"/>
    <x v="0"/>
    <n v="999915"/>
    <x v="2"/>
  </r>
  <r>
    <n v="10352"/>
    <n v="2"/>
    <d v="2014-04-23T00:00:00"/>
    <s v="DVD"/>
    <n v="103752"/>
    <s v="AB107029"/>
    <x v="0"/>
    <n v="908768"/>
    <x v="2"/>
  </r>
  <r>
    <n v="10216"/>
    <n v="10"/>
    <d v="2014-04-24T00:00:00"/>
    <s v="DVD"/>
    <n v="103752"/>
    <s v="AB107030"/>
    <x v="4"/>
    <n v="908768"/>
    <x v="2"/>
  </r>
  <r>
    <n v="10244"/>
    <n v="2"/>
    <d v="2014-04-23T00:00:00"/>
    <s v="DVD"/>
    <n v="103754"/>
    <s v="AB107033"/>
    <x v="4"/>
    <n v="549823"/>
    <x v="2"/>
  </r>
  <r>
    <n v="10166"/>
    <n v="6"/>
    <d v="2014-04-25T00:00:00"/>
    <s v="DVD"/>
    <n v="103756"/>
    <s v="AB107035"/>
    <x v="9"/>
    <n v="343021"/>
    <x v="2"/>
  </r>
  <r>
    <n v="10264"/>
    <n v="4"/>
    <d v="2014-04-24T00:00:00"/>
    <s v="DVD"/>
    <n v="103756"/>
    <s v="AB107036"/>
    <x v="2"/>
    <n v="343021"/>
    <x v="2"/>
  </r>
  <r>
    <n v="10139"/>
    <n v="9"/>
    <d v="2014-04-30T00:00:00"/>
    <s v="DVD"/>
    <n v="103760"/>
    <s v="AB107041"/>
    <x v="14"/>
    <n v="921901"/>
    <x v="2"/>
  </r>
  <r>
    <n v="10169"/>
    <n v="8"/>
    <d v="2014-04-24T00:00:00"/>
    <s v="DVD"/>
    <n v="103761"/>
    <s v="AB107044"/>
    <x v="0"/>
    <n v="568217"/>
    <x v="2"/>
  </r>
  <r>
    <n v="10126"/>
    <n v="8"/>
    <d v="2014-05-02T00:00:00"/>
    <s v="DVD"/>
    <n v="103762"/>
    <s v="AB107046"/>
    <x v="9"/>
    <n v="403000"/>
    <x v="2"/>
  </r>
  <r>
    <n v="10266"/>
    <n v="5"/>
    <d v="2014-04-26T00:00:00"/>
    <s v="DVD"/>
    <n v="103765"/>
    <s v="AB107051"/>
    <x v="4"/>
    <n v="972329"/>
    <x v="2"/>
  </r>
  <r>
    <n v="10123"/>
    <n v="1"/>
    <d v="2014-04-25T00:00:00"/>
    <s v="DVD"/>
    <n v="103765"/>
    <s v="AB107052"/>
    <x v="9"/>
    <n v="972329"/>
    <x v="2"/>
  </r>
  <r>
    <n v="10174"/>
    <n v="10"/>
    <d v="2014-04-27T00:00:00"/>
    <s v="DVD"/>
    <n v="103766"/>
    <s v="AB107055"/>
    <x v="7"/>
    <n v="384899"/>
    <x v="2"/>
  </r>
  <r>
    <n v="10202"/>
    <n v="7"/>
    <d v="2014-04-26T00:00:00"/>
    <s v="DVD"/>
    <n v="103770"/>
    <s v="AB107064"/>
    <x v="0"/>
    <n v="170500"/>
    <x v="2"/>
  </r>
  <r>
    <n v="10199"/>
    <n v="1"/>
    <d v="2014-04-27T00:00:00"/>
    <s v="DVD"/>
    <n v="103770"/>
    <s v="AB107067"/>
    <x v="10"/>
    <n v="170500"/>
    <x v="2"/>
  </r>
  <r>
    <n v="10097"/>
    <n v="10"/>
    <d v="2014-04-27T00:00:00"/>
    <s v="DVD"/>
    <n v="103773"/>
    <s v="AB107071"/>
    <x v="8"/>
    <n v="422717"/>
    <x v="2"/>
  </r>
  <r>
    <n v="10141"/>
    <n v="10"/>
    <d v="2014-04-28T00:00:00"/>
    <s v="DVD"/>
    <n v="103774"/>
    <s v="AB107072"/>
    <x v="0"/>
    <n v="559688"/>
    <x v="2"/>
  </r>
  <r>
    <n v="10201"/>
    <n v="5"/>
    <d v="2014-04-26T00:00:00"/>
    <s v="DVD"/>
    <n v="103774"/>
    <s v="AB107073"/>
    <x v="8"/>
    <n v="559688"/>
    <x v="2"/>
  </r>
  <r>
    <n v="10250"/>
    <n v="9"/>
    <d v="2014-04-26T00:00:00"/>
    <s v="BLU-RAY"/>
    <n v="103774"/>
    <s v="AB107074"/>
    <x v="3"/>
    <n v="559688"/>
    <x v="2"/>
  </r>
  <r>
    <n v="10148"/>
    <n v="1"/>
    <d v="2014-04-28T00:00:00"/>
    <s v="BLU-RAY"/>
    <n v="103778"/>
    <s v="AB107080"/>
    <x v="1"/>
    <n v="409910"/>
    <x v="2"/>
  </r>
  <r>
    <n v="10146"/>
    <n v="2"/>
    <d v="2014-04-28T00:00:00"/>
    <s v="DVD"/>
    <n v="103778"/>
    <s v="AB107081"/>
    <x v="4"/>
    <n v="409910"/>
    <x v="2"/>
  </r>
  <r>
    <n v="10257"/>
    <n v="9"/>
    <d v="2014-04-28T00:00:00"/>
    <s v="DVD"/>
    <n v="103781"/>
    <s v="AB107087"/>
    <x v="9"/>
    <n v="678940"/>
    <x v="2"/>
  </r>
  <r>
    <n v="10102"/>
    <n v="10"/>
    <d v="2014-04-28T00:00:00"/>
    <s v="DVD"/>
    <n v="103782"/>
    <s v="AB107090"/>
    <x v="7"/>
    <n v="885548"/>
    <x v="2"/>
  </r>
  <r>
    <n v="10167"/>
    <n v="2"/>
    <d v="2014-04-29T00:00:00"/>
    <s v="BLU-RAY"/>
    <n v="103784"/>
    <s v="AB107097"/>
    <x v="7"/>
    <n v="994056"/>
    <x v="2"/>
  </r>
  <r>
    <n v="10051"/>
    <n v="5"/>
    <d v="2014-04-30T00:00:00"/>
    <s v="BLU-RAY"/>
    <n v="103785"/>
    <s v="AB107098"/>
    <x v="1"/>
    <n v="235720"/>
    <x v="2"/>
  </r>
  <r>
    <n v="10133"/>
    <n v="5"/>
    <d v="2014-04-29T00:00:00"/>
    <s v="DVD"/>
    <n v="103785"/>
    <s v="AB107099"/>
    <x v="9"/>
    <n v="235720"/>
    <x v="2"/>
  </r>
  <r>
    <n v="10092"/>
    <n v="4"/>
    <d v="2014-04-29T00:00:00"/>
    <s v="DVD"/>
    <n v="103785"/>
    <s v="AB107100"/>
    <x v="0"/>
    <n v="235720"/>
    <x v="2"/>
  </r>
  <r>
    <n v="10196"/>
    <n v="4"/>
    <d v="2014-04-28T00:00:00"/>
    <s v="BLU-RAY"/>
    <n v="103791"/>
    <s v="AB107106"/>
    <x v="9"/>
    <n v="976778"/>
    <x v="2"/>
  </r>
  <r>
    <n v="10181"/>
    <n v="8"/>
    <d v="2014-04-29T00:00:00"/>
    <s v="DVD"/>
    <n v="103791"/>
    <s v="AB107107"/>
    <x v="9"/>
    <n v="976778"/>
    <x v="2"/>
  </r>
  <r>
    <n v="10198"/>
    <n v="6"/>
    <d v="2014-04-29T00:00:00"/>
    <s v="DVD"/>
    <n v="103792"/>
    <s v="AB107109"/>
    <x v="9"/>
    <n v="714947"/>
    <x v="2"/>
  </r>
  <r>
    <n v="10040"/>
    <n v="9"/>
    <d v="2014-05-01T00:00:00"/>
    <s v="BLU-RAY"/>
    <n v="103793"/>
    <s v="AB107110"/>
    <x v="7"/>
    <n v="992895"/>
    <x v="2"/>
  </r>
  <r>
    <n v="10200"/>
    <n v="3"/>
    <d v="2014-05-01T00:00:00"/>
    <s v="DVD"/>
    <n v="103794"/>
    <s v="AB107111"/>
    <x v="9"/>
    <n v="414509"/>
    <x v="2"/>
  </r>
  <r>
    <n v="10234"/>
    <n v="8"/>
    <d v="2014-04-29T00:00:00"/>
    <s v="DVD"/>
    <n v="103794"/>
    <s v="AB107112"/>
    <x v="0"/>
    <n v="414509"/>
    <x v="2"/>
  </r>
  <r>
    <n v="10101"/>
    <n v="6"/>
    <d v="2014-04-30T00:00:00"/>
    <s v="DVD"/>
    <n v="103795"/>
    <s v="AB107113"/>
    <x v="4"/>
    <n v="880238"/>
    <x v="2"/>
  </r>
  <r>
    <n v="10228"/>
    <n v="10"/>
    <d v="2014-04-29T00:00:00"/>
    <s v="DVD"/>
    <n v="103795"/>
    <s v="AB107115"/>
    <x v="7"/>
    <n v="880238"/>
    <x v="2"/>
  </r>
  <r>
    <n v="10297"/>
    <n v="1"/>
    <d v="2014-05-01T00:00:00"/>
    <s v="DVD"/>
    <n v="103799"/>
    <s v="AB107120"/>
    <x v="14"/>
    <n v="646700"/>
    <x v="2"/>
  </r>
  <r>
    <n v="10256"/>
    <n v="10"/>
    <d v="2014-04-30T00:00:00"/>
    <s v="DVD"/>
    <n v="103802"/>
    <s v="AB107126"/>
    <x v="9"/>
    <n v="380003"/>
    <x v="2"/>
  </r>
  <r>
    <n v="10207"/>
    <n v="1"/>
    <d v="2014-04-30T00:00:00"/>
    <s v="BLU-RAY"/>
    <n v="103803"/>
    <s v="AB107129"/>
    <x v="1"/>
    <n v="676018"/>
    <x v="2"/>
  </r>
  <r>
    <n v="10105"/>
    <n v="3"/>
    <d v="2014-05-02T00:00:00"/>
    <s v="DVD"/>
    <n v="103803"/>
    <s v="AB107130"/>
    <x v="2"/>
    <n v="676018"/>
    <x v="2"/>
  </r>
  <r>
    <n v="10292"/>
    <n v="3"/>
    <d v="2014-04-30T00:00:00"/>
    <s v="BLU-RAY"/>
    <n v="103805"/>
    <s v="AB107133"/>
    <x v="15"/>
    <n v="742620"/>
    <x v="2"/>
  </r>
  <r>
    <n v="10276"/>
    <n v="8"/>
    <d v="2014-04-30T00:00:00"/>
    <s v="DVD"/>
    <n v="103805"/>
    <s v="AB107135"/>
    <x v="16"/>
    <n v="742620"/>
    <x v="2"/>
  </r>
  <r>
    <n v="10143"/>
    <n v="1"/>
    <d v="2014-05-02T00:00:00"/>
    <s v="DVD"/>
    <n v="103807"/>
    <s v="AB107141"/>
    <x v="3"/>
    <n v="730305"/>
    <x v="2"/>
  </r>
  <r>
    <n v="10211"/>
    <n v="5"/>
    <d v="2014-05-02T00:00:00"/>
    <s v="DVD"/>
    <n v="103810"/>
    <s v="AB107144"/>
    <x v="3"/>
    <n v="892883"/>
    <x v="2"/>
  </r>
  <r>
    <n v="10253"/>
    <n v="8"/>
    <d v="2014-05-01T00:00:00"/>
    <s v="BLU-RAY"/>
    <n v="103810"/>
    <s v="AB107145"/>
    <x v="3"/>
    <n v="892883"/>
    <x v="2"/>
  </r>
  <r>
    <n v="10279"/>
    <n v="5"/>
    <d v="2014-05-02T00:00:00"/>
    <s v="BLU-RAY"/>
    <n v="103812"/>
    <s v="AB107151"/>
    <x v="8"/>
    <n v="194680"/>
    <x v="2"/>
  </r>
  <r>
    <n v="10247"/>
    <n v="3"/>
    <d v="2014-05-02T00:00:00"/>
    <s v="DVD"/>
    <n v="103814"/>
    <s v="AB107155"/>
    <x v="9"/>
    <n v="846558"/>
    <x v="2"/>
  </r>
  <r>
    <n v="10266"/>
    <n v="7"/>
    <d v="2014-05-04T00:00:00"/>
    <s v="DVD"/>
    <n v="103816"/>
    <s v="AB107161"/>
    <x v="4"/>
    <n v="482274"/>
    <x v="2"/>
  </r>
  <r>
    <n v="10153"/>
    <n v="7"/>
    <d v="2014-05-02T00:00:00"/>
    <s v="DVD"/>
    <n v="103818"/>
    <s v="AB107165"/>
    <x v="10"/>
    <n v="441628"/>
    <x v="2"/>
  </r>
  <r>
    <n v="10104"/>
    <n v="2"/>
    <d v="2014-05-02T00:00:00"/>
    <s v="BLU-RAY"/>
    <n v="103819"/>
    <s v="AB107166"/>
    <x v="7"/>
    <n v="789065"/>
    <x v="2"/>
  </r>
  <r>
    <n v="10292"/>
    <n v="1"/>
    <d v="2014-05-02T00:00:00"/>
    <s v="DVD"/>
    <n v="103820"/>
    <s v="AB107171"/>
    <x v="15"/>
    <n v="101811"/>
    <x v="2"/>
  </r>
  <r>
    <n v="10223"/>
    <n v="2"/>
    <d v="2014-05-06T00:00:00"/>
    <s v="DVD"/>
    <n v="103821"/>
    <s v="AB107173"/>
    <x v="7"/>
    <n v="808421"/>
    <x v="2"/>
  </r>
  <r>
    <n v="10167"/>
    <n v="3"/>
    <d v="2014-05-05T00:00:00"/>
    <s v="BLU-RAY"/>
    <n v="103821"/>
    <s v="AB107174"/>
    <x v="7"/>
    <n v="808421"/>
    <x v="2"/>
  </r>
  <r>
    <n v="10236"/>
    <n v="1"/>
    <d v="2014-05-04T00:00:00"/>
    <s v="DVD"/>
    <n v="103822"/>
    <s v="AB107177"/>
    <x v="10"/>
    <n v="728908"/>
    <x v="2"/>
  </r>
  <r>
    <n v="10158"/>
    <n v="10"/>
    <d v="2014-05-03T00:00:00"/>
    <s v="DVD"/>
    <n v="103824"/>
    <s v="AB107179"/>
    <x v="0"/>
    <n v="670707"/>
    <x v="2"/>
  </r>
  <r>
    <n v="10136"/>
    <n v="9"/>
    <d v="2014-05-05T00:00:00"/>
    <s v="DVD"/>
    <n v="103824"/>
    <s v="AB107180"/>
    <x v="2"/>
    <n v="670707"/>
    <x v="2"/>
  </r>
  <r>
    <n v="10265"/>
    <n v="10"/>
    <d v="2014-05-03T00:00:00"/>
    <s v="DVD"/>
    <n v="103824"/>
    <s v="AB107181"/>
    <x v="0"/>
    <n v="670707"/>
    <x v="2"/>
  </r>
  <r>
    <n v="10278"/>
    <n v="6"/>
    <d v="2014-05-05T00:00:00"/>
    <s v="DVD"/>
    <n v="103825"/>
    <s v="AB107182"/>
    <x v="7"/>
    <n v="556152"/>
    <x v="2"/>
  </r>
  <r>
    <n v="10166"/>
    <n v="2"/>
    <d v="2014-05-03T00:00:00"/>
    <s v="DVD"/>
    <n v="103825"/>
    <s v="AB107184"/>
    <x v="9"/>
    <n v="556152"/>
    <x v="2"/>
  </r>
  <r>
    <n v="10376"/>
    <n v="7"/>
    <d v="2014-05-03T00:00:00"/>
    <s v="DVD"/>
    <n v="103827"/>
    <s v="AB107187"/>
    <x v="12"/>
    <n v="785444"/>
    <x v="2"/>
  </r>
  <r>
    <n v="10158"/>
    <n v="7"/>
    <d v="2014-05-03T00:00:00"/>
    <s v="DVD"/>
    <n v="103827"/>
    <s v="AB107188"/>
    <x v="0"/>
    <n v="785444"/>
    <x v="2"/>
  </r>
  <r>
    <n v="10197"/>
    <n v="6"/>
    <d v="2014-05-06T00:00:00"/>
    <s v="DVD"/>
    <n v="103829"/>
    <s v="AB107191"/>
    <x v="0"/>
    <n v="785444"/>
    <x v="2"/>
  </r>
  <r>
    <n v="10079"/>
    <n v="9"/>
    <d v="2014-05-04T00:00:00"/>
    <s v="BLU-RAY"/>
    <n v="103831"/>
    <s v="AB107195"/>
    <x v="0"/>
    <n v="707458"/>
    <x v="2"/>
  </r>
  <r>
    <n v="10148"/>
    <n v="6"/>
    <d v="2014-05-04T00:00:00"/>
    <s v="DVD"/>
    <n v="103832"/>
    <s v="AB107198"/>
    <x v="1"/>
    <n v="297686"/>
    <x v="2"/>
  </r>
  <r>
    <n v="10097"/>
    <n v="8"/>
    <d v="2014-05-05T00:00:00"/>
    <s v="DVD"/>
    <n v="103832"/>
    <s v="AB107199"/>
    <x v="8"/>
    <n v="297686"/>
    <x v="2"/>
  </r>
  <r>
    <n v="10266"/>
    <n v="5"/>
    <d v="2014-05-05T00:00:00"/>
    <s v="DVD"/>
    <n v="103834"/>
    <s v="AB107202"/>
    <x v="4"/>
    <n v="500828"/>
    <x v="2"/>
  </r>
  <r>
    <n v="10274"/>
    <n v="1"/>
    <d v="2014-05-07T00:00:00"/>
    <s v="BLU-RAY"/>
    <n v="103834"/>
    <s v="AB107203"/>
    <x v="9"/>
    <n v="500828"/>
    <x v="2"/>
  </r>
  <r>
    <n v="10273"/>
    <n v="6"/>
    <d v="2014-05-05T00:00:00"/>
    <s v="DVD"/>
    <n v="103835"/>
    <s v="AB107205"/>
    <x v="4"/>
    <n v="789500"/>
    <x v="2"/>
  </r>
  <r>
    <n v="10230"/>
    <n v="1"/>
    <d v="2014-05-05T00:00:00"/>
    <s v="DVD"/>
    <n v="103837"/>
    <s v="AB107206"/>
    <x v="14"/>
    <n v="657736"/>
    <x v="2"/>
  </r>
  <r>
    <n v="10168"/>
    <n v="10"/>
    <d v="2014-05-06T00:00:00"/>
    <s v="DVD"/>
    <n v="103838"/>
    <s v="AB107208"/>
    <x v="1"/>
    <n v="420981"/>
    <x v="2"/>
  </r>
  <r>
    <n v="10230"/>
    <n v="2"/>
    <d v="2014-05-10T00:00:00"/>
    <s v="DVD"/>
    <n v="103838"/>
    <s v="AB107209"/>
    <x v="14"/>
    <n v="420981"/>
    <x v="2"/>
  </r>
  <r>
    <n v="10181"/>
    <n v="1"/>
    <d v="2014-05-05T00:00:00"/>
    <s v="BLU-RAY"/>
    <n v="103839"/>
    <s v="AB107210"/>
    <x v="9"/>
    <n v="814512"/>
    <x v="2"/>
  </r>
  <r>
    <n v="10293"/>
    <n v="6"/>
    <d v="2014-05-05T00:00:00"/>
    <s v="DVD"/>
    <n v="103840"/>
    <s v="AB107211"/>
    <x v="12"/>
    <n v="757780"/>
    <x v="2"/>
  </r>
  <r>
    <n v="10279"/>
    <n v="4"/>
    <d v="2014-05-05T00:00:00"/>
    <s v="DVD"/>
    <n v="103842"/>
    <s v="AB107213"/>
    <x v="8"/>
    <n v="194680"/>
    <x v="2"/>
  </r>
  <r>
    <n v="10287"/>
    <n v="3"/>
    <d v="2014-05-05T00:00:00"/>
    <s v="DVD"/>
    <n v="103842"/>
    <s v="AB107216"/>
    <x v="10"/>
    <n v="194680"/>
    <x v="2"/>
  </r>
  <r>
    <n v="10226"/>
    <n v="4"/>
    <d v="2014-05-06T00:00:00"/>
    <s v="DVD"/>
    <n v="103844"/>
    <s v="AB107217"/>
    <x v="4"/>
    <n v="567719"/>
    <x v="2"/>
  </r>
  <r>
    <n v="10241"/>
    <n v="8"/>
    <d v="2014-05-07T00:00:00"/>
    <s v="DVD"/>
    <n v="103845"/>
    <s v="AB107218"/>
    <x v="0"/>
    <n v="806545"/>
    <x v="2"/>
  </r>
  <r>
    <n v="10207"/>
    <n v="5"/>
    <d v="2014-05-06T00:00:00"/>
    <s v="DVD"/>
    <n v="103845"/>
    <s v="AB107219"/>
    <x v="1"/>
    <n v="806545"/>
    <x v="2"/>
  </r>
  <r>
    <n v="10214"/>
    <n v="5"/>
    <d v="2014-05-07T00:00:00"/>
    <s v="DVD"/>
    <n v="103846"/>
    <s v="AB107220"/>
    <x v="13"/>
    <n v="664411"/>
    <x v="2"/>
  </r>
  <r>
    <n v="10125"/>
    <n v="5"/>
    <d v="2014-05-09T00:00:00"/>
    <s v="DVD"/>
    <n v="103846"/>
    <s v="AB107221"/>
    <x v="9"/>
    <n v="664411"/>
    <x v="2"/>
  </r>
  <r>
    <n v="10191"/>
    <n v="4"/>
    <d v="2014-05-06T00:00:00"/>
    <s v="DVD"/>
    <n v="103847"/>
    <s v="AB107222"/>
    <x v="7"/>
    <n v="108708"/>
    <x v="2"/>
  </r>
  <r>
    <n v="10239"/>
    <n v="4"/>
    <d v="2014-05-07T00:00:00"/>
    <s v="DVD"/>
    <n v="103847"/>
    <s v="AB107223"/>
    <x v="2"/>
    <n v="108708"/>
    <x v="2"/>
  </r>
  <r>
    <n v="10079"/>
    <n v="4"/>
    <d v="2014-05-06T00:00:00"/>
    <s v="DVD"/>
    <n v="103849"/>
    <s v="AB107226"/>
    <x v="0"/>
    <n v="938006"/>
    <x v="2"/>
  </r>
  <r>
    <n v="10182"/>
    <n v="9"/>
    <d v="2014-05-08T00:00:00"/>
    <s v="DVD"/>
    <n v="103850"/>
    <s v="AB107228"/>
    <x v="0"/>
    <n v="781968"/>
    <x v="2"/>
  </r>
  <r>
    <n v="10160"/>
    <n v="1"/>
    <d v="2014-05-06T00:00:00"/>
    <s v="DVD"/>
    <n v="103850"/>
    <s v="AB107229"/>
    <x v="10"/>
    <n v="781968"/>
    <x v="2"/>
  </r>
  <r>
    <n v="10079"/>
    <n v="7"/>
    <d v="2014-05-07T00:00:00"/>
    <s v="DVD"/>
    <n v="103851"/>
    <s v="AB107230"/>
    <x v="0"/>
    <n v="926144"/>
    <x v="2"/>
  </r>
  <r>
    <n v="10106"/>
    <n v="5"/>
    <d v="2014-05-07T00:00:00"/>
    <s v="DVD"/>
    <n v="103851"/>
    <s v="AB107231"/>
    <x v="9"/>
    <n v="926144"/>
    <x v="2"/>
  </r>
  <r>
    <n v="10251"/>
    <n v="2"/>
    <d v="2014-05-07T00:00:00"/>
    <s v="DVD"/>
    <n v="103852"/>
    <s v="AB107233"/>
    <x v="7"/>
    <n v="296353"/>
    <x v="2"/>
  </r>
  <r>
    <n v="10204"/>
    <n v="7"/>
    <d v="2014-05-10T00:00:00"/>
    <s v="DVD"/>
    <n v="103852"/>
    <s v="AB107234"/>
    <x v="7"/>
    <n v="296353"/>
    <x v="2"/>
  </r>
  <r>
    <n v="10056"/>
    <n v="8"/>
    <d v="2014-05-07T00:00:00"/>
    <s v="BLU-RAY"/>
    <n v="103852"/>
    <s v="AB107235"/>
    <x v="8"/>
    <n v="296353"/>
    <x v="2"/>
  </r>
  <r>
    <n v="10066"/>
    <n v="10"/>
    <d v="2014-05-08T00:00:00"/>
    <s v="BLU-RAY"/>
    <n v="103855"/>
    <s v="AB107238"/>
    <x v="3"/>
    <n v="789500"/>
    <x v="2"/>
  </r>
  <r>
    <n v="10296"/>
    <n v="1"/>
    <d v="2014-05-07T00:00:00"/>
    <s v="DVD"/>
    <n v="103855"/>
    <s v="AB107239"/>
    <x v="21"/>
    <n v="789500"/>
    <x v="2"/>
  </r>
  <r>
    <n v="10199"/>
    <n v="8"/>
    <d v="2014-05-09T00:00:00"/>
    <s v="DVD"/>
    <n v="103856"/>
    <s v="AB107241"/>
    <x v="10"/>
    <n v="891738"/>
    <x v="2"/>
  </r>
  <r>
    <n v="10288"/>
    <n v="3"/>
    <d v="2014-05-07T00:00:00"/>
    <s v="DVD"/>
    <n v="103857"/>
    <s v="AB107242"/>
    <x v="12"/>
    <n v="192738"/>
    <x v="2"/>
  </r>
  <r>
    <n v="10292"/>
    <n v="9"/>
    <d v="2014-05-07T00:00:00"/>
    <s v="DVD"/>
    <n v="103857"/>
    <s v="AB107243"/>
    <x v="15"/>
    <n v="192738"/>
    <x v="2"/>
  </r>
  <r>
    <n v="10352"/>
    <n v="5"/>
    <d v="2014-05-10T00:00:00"/>
    <s v="DVD"/>
    <n v="103859"/>
    <s v="AB107246"/>
    <x v="0"/>
    <n v="166135"/>
    <x v="2"/>
  </r>
  <r>
    <n v="10285"/>
    <n v="10"/>
    <d v="2014-05-09T00:00:00"/>
    <s v="DVD"/>
    <n v="103860"/>
    <s v="AB107248"/>
    <x v="20"/>
    <n v="924361"/>
    <x v="2"/>
  </r>
  <r>
    <n v="10060"/>
    <n v="4"/>
    <d v="2014-05-09T00:00:00"/>
    <s v="BLU-RAY"/>
    <n v="103861"/>
    <s v="AB107251"/>
    <x v="0"/>
    <n v="741514"/>
    <x v="2"/>
  </r>
  <r>
    <n v="10288"/>
    <n v="4"/>
    <d v="2014-05-08T00:00:00"/>
    <s v="DVD"/>
    <n v="103862"/>
    <s v="AB107253"/>
    <x v="12"/>
    <n v="516619"/>
    <x v="2"/>
  </r>
  <r>
    <n v="10117"/>
    <n v="2"/>
    <d v="2014-05-09T00:00:00"/>
    <s v="DVD"/>
    <n v="103864"/>
    <s v="AB107255"/>
    <x v="4"/>
    <n v="664934"/>
    <x v="2"/>
  </r>
  <r>
    <n v="10168"/>
    <n v="2"/>
    <d v="2014-05-10T00:00:00"/>
    <s v="DVD"/>
    <n v="103864"/>
    <s v="AB107256"/>
    <x v="1"/>
    <n v="664934"/>
    <x v="2"/>
  </r>
  <r>
    <n v="10237"/>
    <n v="7"/>
    <d v="2014-05-09T00:00:00"/>
    <s v="DVD"/>
    <n v="103864"/>
    <s v="AB107257"/>
    <x v="0"/>
    <n v="664934"/>
    <x v="2"/>
  </r>
  <r>
    <n v="10071"/>
    <n v="3"/>
    <d v="2014-05-11T00:00:00"/>
    <s v="DVD"/>
    <n v="103866"/>
    <s v="AB107260"/>
    <x v="1"/>
    <n v="747066"/>
    <x v="2"/>
  </r>
  <r>
    <n v="10044"/>
    <n v="1"/>
    <d v="2014-05-10T00:00:00"/>
    <s v="DVD"/>
    <n v="103873"/>
    <s v="AB107270"/>
    <x v="3"/>
    <n v="746134"/>
    <x v="2"/>
  </r>
  <r>
    <n v="10151"/>
    <n v="6"/>
    <d v="2014-05-12T00:00:00"/>
    <s v="DVD"/>
    <n v="103874"/>
    <s v="AB107271"/>
    <x v="8"/>
    <n v="158310"/>
    <x v="2"/>
  </r>
  <r>
    <n v="10297"/>
    <n v="9"/>
    <d v="2014-05-10T00:00:00"/>
    <s v="DVD"/>
    <n v="103875"/>
    <s v="AB107272"/>
    <x v="14"/>
    <n v="498970"/>
    <x v="2"/>
  </r>
  <r>
    <n v="10174"/>
    <n v="3"/>
    <d v="2014-05-10T00:00:00"/>
    <s v="DVD"/>
    <n v="103875"/>
    <s v="AB107273"/>
    <x v="7"/>
    <n v="498970"/>
    <x v="2"/>
  </r>
  <r>
    <n v="10141"/>
    <n v="10"/>
    <d v="2014-05-11T00:00:00"/>
    <s v="DVD"/>
    <n v="103876"/>
    <s v="AB107277"/>
    <x v="0"/>
    <n v="739669"/>
    <x v="2"/>
  </r>
  <r>
    <n v="10111"/>
    <n v="1"/>
    <d v="2014-05-11T00:00:00"/>
    <s v="DVD"/>
    <n v="103877"/>
    <s v="AB107279"/>
    <x v="9"/>
    <n v="808421"/>
    <x v="2"/>
  </r>
  <r>
    <n v="10211"/>
    <n v="9"/>
    <d v="2014-05-10T00:00:00"/>
    <s v="BLU-RAY"/>
    <n v="103877"/>
    <s v="AB107280"/>
    <x v="3"/>
    <n v="808421"/>
    <x v="2"/>
  </r>
  <r>
    <n v="10278"/>
    <n v="10"/>
    <d v="2014-05-13T00:00:00"/>
    <s v="DVD"/>
    <n v="103878"/>
    <s v="AB107281"/>
    <x v="7"/>
    <n v="724700"/>
    <x v="2"/>
  </r>
  <r>
    <n v="10117"/>
    <n v="3"/>
    <d v="2014-05-13T00:00:00"/>
    <s v="BLU-RAY"/>
    <n v="103878"/>
    <s v="AB107282"/>
    <x v="4"/>
    <n v="724700"/>
    <x v="2"/>
  </r>
  <r>
    <n v="10246"/>
    <n v="3"/>
    <d v="2014-05-14T00:00:00"/>
    <s v="DVD"/>
    <n v="103880"/>
    <s v="AB107286"/>
    <x v="2"/>
    <n v="319387"/>
    <x v="2"/>
  </r>
  <r>
    <n v="10289"/>
    <n v="6"/>
    <d v="2014-05-11T00:00:00"/>
    <s v="DVD"/>
    <n v="103881"/>
    <s v="AB107288"/>
    <x v="11"/>
    <n v="744780"/>
    <x v="2"/>
  </r>
  <r>
    <n v="10136"/>
    <n v="6"/>
    <d v="2014-05-11T00:00:00"/>
    <s v="DVD"/>
    <n v="103883"/>
    <s v="AB107291"/>
    <x v="2"/>
    <n v="775449"/>
    <x v="2"/>
  </r>
  <r>
    <n v="10286"/>
    <n v="7"/>
    <d v="2014-05-14T00:00:00"/>
    <s v="DVD"/>
    <n v="103883"/>
    <s v="AB107292"/>
    <x v="17"/>
    <n v="775449"/>
    <x v="2"/>
  </r>
  <r>
    <n v="10166"/>
    <n v="10"/>
    <d v="2014-05-11T00:00:00"/>
    <s v="DVD"/>
    <n v="103884"/>
    <s v="AB107293"/>
    <x v="9"/>
    <n v="810369"/>
    <x v="2"/>
  </r>
  <r>
    <n v="10243"/>
    <n v="2"/>
    <d v="2014-05-11T00:00:00"/>
    <s v="DVD"/>
    <n v="103884"/>
    <s v="AB107295"/>
    <x v="9"/>
    <n v="810369"/>
    <x v="2"/>
  </r>
  <r>
    <n v="10172"/>
    <n v="9"/>
    <d v="2014-05-14T00:00:00"/>
    <s v="DVD"/>
    <n v="103887"/>
    <s v="AB107298"/>
    <x v="10"/>
    <n v="358901"/>
    <x v="2"/>
  </r>
  <r>
    <n v="10227"/>
    <n v="3"/>
    <d v="2014-05-14T00:00:00"/>
    <s v="DVD"/>
    <n v="103887"/>
    <s v="AB107300"/>
    <x v="14"/>
    <n v="358901"/>
    <x v="2"/>
  </r>
  <r>
    <n v="10138"/>
    <n v="6"/>
    <d v="2014-05-12T00:00:00"/>
    <s v="DVD"/>
    <n v="103889"/>
    <s v="AB107306"/>
    <x v="7"/>
    <n v="958321"/>
    <x v="2"/>
  </r>
  <r>
    <n v="10127"/>
    <n v="3"/>
    <d v="2014-05-12T00:00:00"/>
    <s v="DVD"/>
    <n v="103890"/>
    <s v="AB107307"/>
    <x v="6"/>
    <n v="656512"/>
    <x v="2"/>
  </r>
  <r>
    <n v="10095"/>
    <n v="8"/>
    <d v="2014-05-13T00:00:00"/>
    <s v="DVD"/>
    <n v="103890"/>
    <s v="AB107309"/>
    <x v="2"/>
    <n v="656512"/>
    <x v="2"/>
  </r>
  <r>
    <n v="10253"/>
    <n v="6"/>
    <d v="2014-05-12T00:00:00"/>
    <s v="DVD"/>
    <n v="103891"/>
    <s v="AB107310"/>
    <x v="3"/>
    <n v="500350"/>
    <x v="2"/>
  </r>
  <r>
    <n v="10169"/>
    <n v="5"/>
    <d v="2014-05-12T00:00:00"/>
    <s v="DVD"/>
    <n v="103891"/>
    <s v="AB107311"/>
    <x v="0"/>
    <n v="500350"/>
    <x v="2"/>
  </r>
  <r>
    <n v="10291"/>
    <n v="9"/>
    <d v="2014-05-12T00:00:00"/>
    <s v="DVD"/>
    <n v="103892"/>
    <s v="AB107314"/>
    <x v="0"/>
    <n v="227456"/>
    <x v="2"/>
  </r>
  <r>
    <n v="10065"/>
    <n v="4"/>
    <d v="2014-05-13T00:00:00"/>
    <s v="DVD"/>
    <n v="103893"/>
    <s v="AB107316"/>
    <x v="0"/>
    <n v="520196"/>
    <x v="2"/>
  </r>
  <r>
    <n v="10284"/>
    <n v="10"/>
    <d v="2014-05-19T00:00:00"/>
    <s v="DVD"/>
    <n v="103896"/>
    <s v="AB107323"/>
    <x v="14"/>
    <n v="378374"/>
    <x v="2"/>
  </r>
  <r>
    <n v="10229"/>
    <n v="7"/>
    <d v="2014-05-13T00:00:00"/>
    <s v="DVD"/>
    <n v="103897"/>
    <s v="AB107324"/>
    <x v="6"/>
    <n v="832914"/>
    <x v="2"/>
  </r>
  <r>
    <n v="10172"/>
    <n v="9"/>
    <d v="2014-05-14T00:00:00"/>
    <s v="DVD"/>
    <n v="103898"/>
    <s v="AB107325"/>
    <x v="10"/>
    <n v="242720"/>
    <x v="2"/>
  </r>
  <r>
    <n v="10106"/>
    <n v="8"/>
    <d v="2014-05-14T00:00:00"/>
    <s v="DVD"/>
    <n v="103902"/>
    <s v="AB107331"/>
    <x v="9"/>
    <n v="846558"/>
    <x v="2"/>
  </r>
  <r>
    <n v="10128"/>
    <n v="8"/>
    <d v="2014-05-16T00:00:00"/>
    <s v="BLU-RAY"/>
    <n v="103903"/>
    <s v="AB107333"/>
    <x v="6"/>
    <n v="567719"/>
    <x v="2"/>
  </r>
  <r>
    <n v="10235"/>
    <n v="5"/>
    <d v="2014-05-15T00:00:00"/>
    <s v="DVD"/>
    <n v="103904"/>
    <s v="AB107335"/>
    <x v="10"/>
    <n v="841141"/>
    <x v="2"/>
  </r>
  <r>
    <n v="10286"/>
    <n v="7"/>
    <d v="2014-05-14T00:00:00"/>
    <s v="DVD"/>
    <n v="103907"/>
    <s v="AB107338"/>
    <x v="17"/>
    <n v="193914"/>
    <x v="2"/>
  </r>
  <r>
    <n v="10036"/>
    <n v="2"/>
    <d v="2014-05-16T00:00:00"/>
    <s v="DVD"/>
    <n v="103908"/>
    <s v="AB107340"/>
    <x v="7"/>
    <n v="897614"/>
    <x v="2"/>
  </r>
  <r>
    <n v="10322"/>
    <n v="9"/>
    <d v="2014-05-18T00:00:00"/>
    <s v="BLU-RAY"/>
    <n v="103908"/>
    <s v="AB107342"/>
    <x v="7"/>
    <n v="897614"/>
    <x v="2"/>
  </r>
  <r>
    <n v="10100"/>
    <n v="7"/>
    <d v="2014-05-15T00:00:00"/>
    <s v="DVD"/>
    <n v="103909"/>
    <s v="AB107344"/>
    <x v="9"/>
    <n v="464277"/>
    <x v="2"/>
  </r>
  <r>
    <n v="10251"/>
    <n v="2"/>
    <d v="2014-05-15T00:00:00"/>
    <s v="DVD"/>
    <n v="103910"/>
    <s v="AB107345"/>
    <x v="7"/>
    <n v="929344"/>
    <x v="2"/>
  </r>
  <r>
    <n v="10113"/>
    <n v="2"/>
    <d v="2014-05-17T00:00:00"/>
    <s v="DVD"/>
    <n v="103910"/>
    <s v="AB107346"/>
    <x v="10"/>
    <n v="929344"/>
    <x v="2"/>
  </r>
  <r>
    <n v="10295"/>
    <n v="3"/>
    <d v="2014-05-17T00:00:00"/>
    <s v="DVD"/>
    <n v="103911"/>
    <s v="AB107347"/>
    <x v="21"/>
    <n v="485769"/>
    <x v="2"/>
  </r>
  <r>
    <n v="10180"/>
    <n v="8"/>
    <d v="2014-05-16T00:00:00"/>
    <s v="DVD"/>
    <n v="103911"/>
    <s v="AB107349"/>
    <x v="12"/>
    <n v="485769"/>
    <x v="2"/>
  </r>
  <r>
    <n v="10078"/>
    <n v="1"/>
    <d v="2014-05-17T00:00:00"/>
    <s v="DVD"/>
    <n v="103916"/>
    <s v="AB107352"/>
    <x v="1"/>
    <n v="488295"/>
    <x v="2"/>
  </r>
  <r>
    <n v="10117"/>
    <n v="4"/>
    <d v="2014-05-18T00:00:00"/>
    <s v="DVD"/>
    <n v="103916"/>
    <s v="AB107353"/>
    <x v="4"/>
    <n v="488295"/>
    <x v="2"/>
  </r>
  <r>
    <n v="10233"/>
    <n v="3"/>
    <d v="2014-05-20T00:00:00"/>
    <s v="BLU-RAY"/>
    <n v="103917"/>
    <s v="AB107355"/>
    <x v="8"/>
    <n v="767570"/>
    <x v="2"/>
  </r>
  <r>
    <n v="10085"/>
    <n v="1"/>
    <d v="2014-05-18T00:00:00"/>
    <s v="DVD"/>
    <n v="103919"/>
    <s v="AB107359"/>
    <x v="3"/>
    <n v="880238"/>
    <x v="2"/>
  </r>
  <r>
    <n v="10137"/>
    <n v="1"/>
    <d v="2014-05-22T00:00:00"/>
    <s v="BLU-RAY"/>
    <n v="103919"/>
    <s v="AB107360"/>
    <x v="3"/>
    <n v="880238"/>
    <x v="2"/>
  </r>
  <r>
    <n v="10288"/>
    <n v="2"/>
    <d v="2014-05-17T00:00:00"/>
    <s v="DVD"/>
    <n v="103920"/>
    <s v="AB107362"/>
    <x v="12"/>
    <n v="224094"/>
    <x v="2"/>
  </r>
  <r>
    <n v="10260"/>
    <n v="3"/>
    <d v="2014-05-17T00:00:00"/>
    <s v="DVD"/>
    <n v="103920"/>
    <s v="AB107363"/>
    <x v="4"/>
    <n v="224094"/>
    <x v="2"/>
  </r>
  <r>
    <n v="10090"/>
    <n v="3"/>
    <d v="2014-05-18T00:00:00"/>
    <s v="DVD"/>
    <n v="103921"/>
    <s v="AB107365"/>
    <x v="1"/>
    <n v="955591"/>
    <x v="2"/>
  </r>
  <r>
    <n v="10269"/>
    <n v="5"/>
    <d v="2014-05-16T00:00:00"/>
    <s v="DVD"/>
    <n v="103922"/>
    <s v="AB107367"/>
    <x v="3"/>
    <n v="994199"/>
    <x v="2"/>
  </r>
  <r>
    <n v="10204"/>
    <n v="10"/>
    <d v="2014-05-16T00:00:00"/>
    <s v="BLU-RAY"/>
    <n v="103922"/>
    <s v="AB107368"/>
    <x v="7"/>
    <n v="994199"/>
    <x v="2"/>
  </r>
  <r>
    <n v="10265"/>
    <n v="2"/>
    <d v="2014-05-17T00:00:00"/>
    <s v="DVD"/>
    <n v="103923"/>
    <s v="AB107370"/>
    <x v="0"/>
    <n v="761615"/>
    <x v="2"/>
  </r>
  <r>
    <n v="10201"/>
    <n v="4"/>
    <d v="2014-05-18T00:00:00"/>
    <s v="DVD"/>
    <n v="103923"/>
    <s v="AB107373"/>
    <x v="8"/>
    <n v="761615"/>
    <x v="2"/>
  </r>
  <r>
    <n v="10155"/>
    <n v="1"/>
    <d v="2014-05-19T00:00:00"/>
    <s v="DVD"/>
    <n v="103926"/>
    <s v="AB107376"/>
    <x v="9"/>
    <n v="866847"/>
    <x v="2"/>
  </r>
  <r>
    <n v="10204"/>
    <n v="10"/>
    <d v="2014-05-17T00:00:00"/>
    <s v="DVD"/>
    <n v="103927"/>
    <s v="AB107378"/>
    <x v="7"/>
    <n v="297686"/>
    <x v="2"/>
  </r>
  <r>
    <n v="10220"/>
    <n v="2"/>
    <d v="2014-05-17T00:00:00"/>
    <s v="DVD"/>
    <n v="103927"/>
    <s v="AB107379"/>
    <x v="9"/>
    <n v="297686"/>
    <x v="2"/>
  </r>
  <r>
    <n v="10219"/>
    <n v="3"/>
    <d v="2014-05-17T00:00:00"/>
    <s v="DVD"/>
    <n v="103929"/>
    <s v="AB107383"/>
    <x v="1"/>
    <n v="236554"/>
    <x v="2"/>
  </r>
  <r>
    <n v="10065"/>
    <n v="4"/>
    <d v="2014-05-19T00:00:00"/>
    <s v="BLU-RAY"/>
    <n v="103933"/>
    <s v="AB107390"/>
    <x v="0"/>
    <n v="330223"/>
    <x v="2"/>
  </r>
  <r>
    <n v="10196"/>
    <n v="7"/>
    <d v="2014-05-22T00:00:00"/>
    <s v="DVD"/>
    <n v="103934"/>
    <s v="AB107391"/>
    <x v="9"/>
    <n v="797968"/>
    <x v="2"/>
  </r>
  <r>
    <n v="10281"/>
    <n v="6"/>
    <d v="2014-05-18T00:00:00"/>
    <s v="DVD"/>
    <n v="103934"/>
    <s v="AB107392"/>
    <x v="10"/>
    <n v="797968"/>
    <x v="2"/>
  </r>
  <r>
    <n v="10057"/>
    <n v="7"/>
    <d v="2014-05-19T00:00:00"/>
    <s v="DVD"/>
    <n v="103934"/>
    <s v="AB107393"/>
    <x v="0"/>
    <n v="797968"/>
    <x v="2"/>
  </r>
  <r>
    <n v="10072"/>
    <n v="9"/>
    <d v="2014-05-20T00:00:00"/>
    <s v="DVD"/>
    <n v="103934"/>
    <s v="AB107394"/>
    <x v="1"/>
    <n v="797968"/>
    <x v="2"/>
  </r>
  <r>
    <n v="10276"/>
    <n v="7"/>
    <d v="2014-05-18T00:00:00"/>
    <s v="BLU-RAY"/>
    <n v="103936"/>
    <s v="AB107397"/>
    <x v="16"/>
    <n v="218889"/>
    <x v="2"/>
  </r>
  <r>
    <n v="10200"/>
    <n v="1"/>
    <d v="2014-05-19T00:00:00"/>
    <s v="BLU-RAY"/>
    <n v="103936"/>
    <s v="AB107398"/>
    <x v="9"/>
    <n v="218889"/>
    <x v="2"/>
  </r>
  <r>
    <n v="10288"/>
    <n v="7"/>
    <d v="2014-05-18T00:00:00"/>
    <s v="DVD"/>
    <n v="103936"/>
    <s v="AB107400"/>
    <x v="12"/>
    <n v="218889"/>
    <x v="2"/>
  </r>
  <r>
    <n v="10281"/>
    <n v="7"/>
    <d v="2014-05-19T00:00:00"/>
    <s v="DVD"/>
    <n v="103937"/>
    <s v="AB107402"/>
    <x v="10"/>
    <n v="897614"/>
    <x v="2"/>
  </r>
  <r>
    <n v="10186"/>
    <n v="4"/>
    <d v="2014-05-22T00:00:00"/>
    <s v="DVD"/>
    <n v="103939"/>
    <s v="AB107404"/>
    <x v="10"/>
    <n v="728908"/>
    <x v="2"/>
  </r>
  <r>
    <n v="10169"/>
    <n v="1"/>
    <d v="2014-05-20T00:00:00"/>
    <s v="BLU-RAY"/>
    <n v="103939"/>
    <s v="AB107405"/>
    <x v="0"/>
    <n v="728908"/>
    <x v="2"/>
  </r>
  <r>
    <n v="10185"/>
    <n v="7"/>
    <d v="2014-05-21T00:00:00"/>
    <s v="DVD"/>
    <n v="103940"/>
    <s v="AB107406"/>
    <x v="0"/>
    <n v="271531"/>
    <x v="2"/>
  </r>
  <r>
    <n v="10285"/>
    <n v="4"/>
    <d v="2014-05-20T00:00:00"/>
    <s v="DVD"/>
    <n v="103946"/>
    <s v="AB107416"/>
    <x v="20"/>
    <n v="767570"/>
    <x v="2"/>
  </r>
  <r>
    <n v="10112"/>
    <n v="1"/>
    <d v="2014-05-22T00:00:00"/>
    <s v="DVD"/>
    <n v="103946"/>
    <s v="AB107417"/>
    <x v="12"/>
    <n v="767570"/>
    <x v="2"/>
  </r>
  <r>
    <n v="10137"/>
    <n v="3"/>
    <d v="2014-05-22T00:00:00"/>
    <s v="DVD"/>
    <n v="103947"/>
    <s v="AB107420"/>
    <x v="3"/>
    <n v="841831"/>
    <x v="2"/>
  </r>
  <r>
    <n v="10272"/>
    <n v="5"/>
    <d v="2014-05-21T00:00:00"/>
    <s v="DVD"/>
    <n v="103948"/>
    <s v="AB107421"/>
    <x v="4"/>
    <n v="448993"/>
    <x v="2"/>
  </r>
  <r>
    <n v="10245"/>
    <n v="5"/>
    <d v="2014-05-21T00:00:00"/>
    <s v="DVD"/>
    <n v="103948"/>
    <s v="AB107422"/>
    <x v="0"/>
    <n v="448993"/>
    <x v="2"/>
  </r>
  <r>
    <n v="10259"/>
    <n v="8"/>
    <d v="2014-05-20T00:00:00"/>
    <s v="DVD"/>
    <n v="103949"/>
    <s v="AB107423"/>
    <x v="0"/>
    <n v="970794"/>
    <x v="2"/>
  </r>
  <r>
    <n v="10160"/>
    <n v="5"/>
    <d v="2014-05-20T00:00:00"/>
    <s v="DVD"/>
    <n v="103949"/>
    <s v="AB107424"/>
    <x v="10"/>
    <n v="970794"/>
    <x v="2"/>
  </r>
  <r>
    <n v="10193"/>
    <n v="2"/>
    <d v="2014-05-22T00:00:00"/>
    <s v="DVD"/>
    <n v="103949"/>
    <s v="AB107426"/>
    <x v="9"/>
    <n v="970794"/>
    <x v="2"/>
  </r>
  <r>
    <n v="10285"/>
    <n v="4"/>
    <d v="2014-05-20T00:00:00"/>
    <s v="DVD"/>
    <n v="103950"/>
    <s v="AB107428"/>
    <x v="20"/>
    <n v="612681"/>
    <x v="2"/>
  </r>
  <r>
    <n v="10252"/>
    <n v="9"/>
    <d v="2014-05-20T00:00:00"/>
    <s v="DVD"/>
    <n v="103951"/>
    <s v="AB107430"/>
    <x v="0"/>
    <n v="689877"/>
    <x v="2"/>
  </r>
  <r>
    <n v="10280"/>
    <n v="4"/>
    <d v="2014-05-21T00:00:00"/>
    <s v="DVD"/>
    <n v="103952"/>
    <s v="AB107432"/>
    <x v="7"/>
    <n v="866847"/>
    <x v="2"/>
  </r>
  <r>
    <n v="10235"/>
    <n v="6"/>
    <d v="2014-05-21T00:00:00"/>
    <s v="DVD"/>
    <n v="103954"/>
    <s v="AB107434"/>
    <x v="10"/>
    <n v="265707"/>
    <x v="2"/>
  </r>
  <r>
    <n v="10217"/>
    <n v="10"/>
    <d v="2014-05-21T00:00:00"/>
    <s v="DVD"/>
    <n v="103955"/>
    <s v="AB107435"/>
    <x v="0"/>
    <n v="714277"/>
    <x v="2"/>
  </r>
  <r>
    <n v="10184"/>
    <n v="10"/>
    <d v="2014-05-23T00:00:00"/>
    <s v="DVD"/>
    <n v="103955"/>
    <s v="AB107437"/>
    <x v="7"/>
    <n v="714277"/>
    <x v="2"/>
  </r>
  <r>
    <n v="10283"/>
    <n v="10"/>
    <d v="2014-05-21T00:00:00"/>
    <s v="DVD"/>
    <n v="103956"/>
    <s v="AB107438"/>
    <x v="6"/>
    <n v="818287"/>
    <x v="2"/>
  </r>
  <r>
    <n v="10198"/>
    <n v="2"/>
    <d v="2014-05-22T00:00:00"/>
    <s v="DVD"/>
    <n v="103956"/>
    <s v="AB107439"/>
    <x v="9"/>
    <n v="818287"/>
    <x v="2"/>
  </r>
  <r>
    <n v="10236"/>
    <n v="8"/>
    <d v="2014-05-22T00:00:00"/>
    <s v="DVD"/>
    <n v="103956"/>
    <s v="AB107440"/>
    <x v="10"/>
    <n v="818287"/>
    <x v="2"/>
  </r>
  <r>
    <n v="10031"/>
    <n v="3"/>
    <d v="2014-05-21T00:00:00"/>
    <s v="DVD"/>
    <n v="103957"/>
    <s v="AB107441"/>
    <x v="0"/>
    <n v="757780"/>
    <x v="2"/>
  </r>
  <r>
    <n v="10228"/>
    <n v="7"/>
    <d v="2014-05-22T00:00:00"/>
    <s v="DVD"/>
    <n v="103959"/>
    <s v="AB107445"/>
    <x v="7"/>
    <n v="344702"/>
    <x v="2"/>
  </r>
  <r>
    <n v="10102"/>
    <n v="9"/>
    <d v="2014-05-27T00:00:00"/>
    <s v="DVD"/>
    <n v="103959"/>
    <s v="AB107446"/>
    <x v="7"/>
    <n v="344702"/>
    <x v="2"/>
  </r>
  <r>
    <n v="10200"/>
    <n v="1"/>
    <d v="2014-05-24T00:00:00"/>
    <s v="DVD"/>
    <n v="103960"/>
    <s v="AB107447"/>
    <x v="9"/>
    <n v="225489"/>
    <x v="2"/>
  </r>
  <r>
    <n v="10140"/>
    <n v="8"/>
    <d v="2014-05-23T00:00:00"/>
    <s v="DVD"/>
    <n v="103961"/>
    <s v="AB107451"/>
    <x v="2"/>
    <n v="996970"/>
    <x v="2"/>
  </r>
  <r>
    <n v="10207"/>
    <n v="7"/>
    <d v="2014-05-23T00:00:00"/>
    <s v="DVD"/>
    <n v="103963"/>
    <s v="AB107453"/>
    <x v="1"/>
    <n v="498970"/>
    <x v="2"/>
  </r>
  <r>
    <n v="10270"/>
    <n v="1"/>
    <d v="2014-05-23T00:00:00"/>
    <s v="BLU-RAY"/>
    <n v="103964"/>
    <s v="AB107456"/>
    <x v="9"/>
    <n v="580783"/>
    <x v="2"/>
  </r>
  <r>
    <n v="10124"/>
    <n v="3"/>
    <d v="2014-05-23T00:00:00"/>
    <s v="DVD"/>
    <n v="103964"/>
    <s v="AB107457"/>
    <x v="1"/>
    <n v="580783"/>
    <x v="2"/>
  </r>
  <r>
    <n v="10265"/>
    <n v="2"/>
    <d v="2014-05-24T00:00:00"/>
    <s v="BLU-RAY"/>
    <n v="103967"/>
    <s v="AB107460"/>
    <x v="0"/>
    <n v="427391"/>
    <x v="2"/>
  </r>
  <r>
    <n v="10128"/>
    <n v="2"/>
    <d v="2014-05-24T00:00:00"/>
    <s v="BLU-RAY"/>
    <n v="103967"/>
    <s v="AB107461"/>
    <x v="6"/>
    <n v="427391"/>
    <x v="2"/>
  </r>
  <r>
    <n v="10259"/>
    <n v="8"/>
    <d v="2014-05-23T00:00:00"/>
    <s v="DVD"/>
    <n v="103967"/>
    <s v="AB107462"/>
    <x v="0"/>
    <n v="427391"/>
    <x v="2"/>
  </r>
  <r>
    <n v="10087"/>
    <n v="8"/>
    <d v="2014-05-23T00:00:00"/>
    <s v="DVD"/>
    <n v="103968"/>
    <s v="AB107463"/>
    <x v="10"/>
    <n v="524667"/>
    <x v="2"/>
  </r>
  <r>
    <n v="10289"/>
    <n v="7"/>
    <d v="2014-05-26T00:00:00"/>
    <s v="DVD"/>
    <n v="103968"/>
    <s v="AB107464"/>
    <x v="11"/>
    <n v="524667"/>
    <x v="2"/>
  </r>
  <r>
    <n v="10260"/>
    <n v="9"/>
    <d v="2014-05-23T00:00:00"/>
    <s v="DVD"/>
    <n v="103970"/>
    <s v="AB107467"/>
    <x v="4"/>
    <n v="961080"/>
    <x v="2"/>
  </r>
  <r>
    <n v="10239"/>
    <n v="2"/>
    <d v="2014-05-23T00:00:00"/>
    <s v="DVD"/>
    <n v="103971"/>
    <s v="AB107469"/>
    <x v="2"/>
    <n v="599995"/>
    <x v="2"/>
  </r>
  <r>
    <n v="10149"/>
    <n v="10"/>
    <d v="2014-05-23T00:00:00"/>
    <s v="DVD"/>
    <n v="103971"/>
    <s v="AB107470"/>
    <x v="12"/>
    <n v="599995"/>
    <x v="2"/>
  </r>
  <r>
    <n v="10039"/>
    <n v="1"/>
    <d v="2014-05-24T00:00:00"/>
    <s v="BLU-RAY"/>
    <n v="103972"/>
    <s v="AB107472"/>
    <x v="11"/>
    <n v="927518"/>
    <x v="2"/>
  </r>
  <r>
    <n v="10121"/>
    <n v="6"/>
    <d v="2014-05-23T00:00:00"/>
    <s v="DVD"/>
    <n v="103972"/>
    <s v="AB107473"/>
    <x v="2"/>
    <n v="927518"/>
    <x v="2"/>
  </r>
  <r>
    <n v="10207"/>
    <n v="9"/>
    <d v="2014-05-24T00:00:00"/>
    <s v="DVD"/>
    <n v="103972"/>
    <s v="AB107474"/>
    <x v="1"/>
    <n v="927518"/>
    <x v="2"/>
  </r>
  <r>
    <n v="10129"/>
    <n v="4"/>
    <d v="2014-05-25T00:00:00"/>
    <s v="DVD"/>
    <n v="103973"/>
    <s v="AB107475"/>
    <x v="0"/>
    <n v="951701"/>
    <x v="2"/>
  </r>
  <r>
    <n v="10254"/>
    <n v="7"/>
    <d v="2014-05-26T00:00:00"/>
    <s v="DVD"/>
    <n v="103974"/>
    <s v="AB107476"/>
    <x v="1"/>
    <n v="480298"/>
    <x v="2"/>
  </r>
  <r>
    <n v="10295"/>
    <n v="9"/>
    <d v="2014-05-24T00:00:00"/>
    <s v="DVD"/>
    <n v="103975"/>
    <s v="AB107478"/>
    <x v="21"/>
    <n v="274541"/>
    <x v="2"/>
  </r>
  <r>
    <n v="10033"/>
    <n v="1"/>
    <d v="2014-05-24T00:00:00"/>
    <s v="DVD"/>
    <n v="103977"/>
    <s v="AB107480"/>
    <x v="10"/>
    <n v="404678"/>
    <x v="2"/>
  </r>
  <r>
    <n v="10252"/>
    <n v="5"/>
    <d v="2014-05-24T00:00:00"/>
    <s v="DVD"/>
    <n v="103979"/>
    <s v="AB107485"/>
    <x v="0"/>
    <n v="147543"/>
    <x v="2"/>
  </r>
  <r>
    <n v="10194"/>
    <n v="10"/>
    <d v="2014-05-24T00:00:00"/>
    <s v="DVD"/>
    <n v="103980"/>
    <s v="AB107487"/>
    <x v="16"/>
    <n v="493552"/>
    <x v="2"/>
  </r>
  <r>
    <n v="10283"/>
    <n v="1"/>
    <d v="2014-05-25T00:00:00"/>
    <s v="DVD"/>
    <n v="103985"/>
    <s v="AB107492"/>
    <x v="6"/>
    <n v="723057"/>
    <x v="2"/>
  </r>
  <r>
    <n v="10225"/>
    <n v="3"/>
    <d v="2014-05-28T00:00:00"/>
    <s v="DVD"/>
    <n v="103986"/>
    <s v="AB107495"/>
    <x v="0"/>
    <n v="452874"/>
    <x v="2"/>
  </r>
  <r>
    <n v="10229"/>
    <n v="1"/>
    <d v="2014-05-26T00:00:00"/>
    <s v="DVD"/>
    <n v="103986"/>
    <s v="AB107497"/>
    <x v="6"/>
    <n v="452874"/>
    <x v="2"/>
  </r>
  <r>
    <n v="10204"/>
    <n v="5"/>
    <d v="2014-05-25T00:00:00"/>
    <s v="DVD"/>
    <n v="103987"/>
    <s v="AB107500"/>
    <x v="7"/>
    <n v="679354"/>
    <x v="2"/>
  </r>
  <r>
    <n v="10127"/>
    <n v="10"/>
    <d v="2014-05-25T00:00:00"/>
    <s v="DVD"/>
    <n v="103988"/>
    <s v="AB107503"/>
    <x v="6"/>
    <n v="317461"/>
    <x v="2"/>
  </r>
  <r>
    <n v="10223"/>
    <n v="9"/>
    <d v="2014-05-28T00:00:00"/>
    <s v="BLU-RAY"/>
    <n v="103990"/>
    <s v="AB107507"/>
    <x v="7"/>
    <n v="550661"/>
    <x v="2"/>
  </r>
  <r>
    <n v="10256"/>
    <n v="8"/>
    <d v="2014-05-26T00:00:00"/>
    <s v="DVD"/>
    <n v="103992"/>
    <s v="AB107509"/>
    <x v="9"/>
    <n v="680104"/>
    <x v="2"/>
  </r>
  <r>
    <n v="10039"/>
    <n v="6"/>
    <d v="2014-05-30T00:00:00"/>
    <s v="DVD"/>
    <n v="103993"/>
    <s v="AB107511"/>
    <x v="11"/>
    <n v="448739"/>
    <x v="2"/>
  </r>
  <r>
    <n v="10289"/>
    <n v="1"/>
    <d v="2014-05-26T00:00:00"/>
    <s v="DVD"/>
    <n v="103993"/>
    <s v="AB107512"/>
    <x v="11"/>
    <n v="448739"/>
    <x v="2"/>
  </r>
  <r>
    <n v="10215"/>
    <n v="9"/>
    <d v="2014-05-28T00:00:00"/>
    <s v="BLU-RAY"/>
    <n v="103994"/>
    <s v="AB107514"/>
    <x v="1"/>
    <n v="890270"/>
    <x v="2"/>
  </r>
  <r>
    <n v="10193"/>
    <n v="4"/>
    <d v="2014-06-01T00:00:00"/>
    <s v="BLU-RAY"/>
    <n v="103995"/>
    <s v="AB107515"/>
    <x v="9"/>
    <n v="592592"/>
    <x v="2"/>
  </r>
  <r>
    <n v="10213"/>
    <n v="7"/>
    <d v="2014-05-29T00:00:00"/>
    <s v="DVD"/>
    <n v="103996"/>
    <s v="AB107517"/>
    <x v="4"/>
    <n v="746134"/>
    <x v="2"/>
  </r>
  <r>
    <n v="10233"/>
    <n v="10"/>
    <d v="2014-05-28T00:00:00"/>
    <s v="DVD"/>
    <n v="103996"/>
    <s v="AB107518"/>
    <x v="8"/>
    <n v="746134"/>
    <x v="2"/>
  </r>
  <r>
    <n v="10164"/>
    <n v="4"/>
    <d v="2014-05-27T00:00:00"/>
    <s v="BLU-RAY"/>
    <n v="103997"/>
    <s v="AB107521"/>
    <x v="2"/>
    <n v="373200"/>
    <x v="2"/>
  </r>
  <r>
    <n v="10234"/>
    <n v="5"/>
    <d v="2014-05-27T00:00:00"/>
    <s v="DVD"/>
    <n v="103998"/>
    <s v="AB107523"/>
    <x v="0"/>
    <n v="407605"/>
    <x v="2"/>
  </r>
  <r>
    <n v="10250"/>
    <n v="2"/>
    <d v="2014-05-27T00:00:00"/>
    <s v="BLU-RAY"/>
    <n v="103999"/>
    <s v="AB107524"/>
    <x v="3"/>
    <n v="766737"/>
    <x v="2"/>
  </r>
  <r>
    <n v="10265"/>
    <n v="7"/>
    <d v="2014-05-29T00:00:00"/>
    <s v="BLU-RAY"/>
    <n v="103999"/>
    <s v="AB107525"/>
    <x v="0"/>
    <n v="766737"/>
    <x v="2"/>
  </r>
  <r>
    <n v="10201"/>
    <n v="9"/>
    <d v="2014-05-27T00:00:00"/>
    <s v="BLU-RAY"/>
    <n v="104001"/>
    <s v="AB107528"/>
    <x v="8"/>
    <n v="706884"/>
    <x v="2"/>
  </r>
  <r>
    <n v="10072"/>
    <n v="2"/>
    <d v="2014-05-28T00:00:00"/>
    <s v="DVD"/>
    <n v="104001"/>
    <s v="AB107529"/>
    <x v="1"/>
    <n v="706884"/>
    <x v="2"/>
  </r>
  <r>
    <n v="10236"/>
    <n v="2"/>
    <d v="2014-05-27T00:00:00"/>
    <s v="DVD"/>
    <n v="104002"/>
    <s v="AB107531"/>
    <x v="10"/>
    <n v="736500"/>
    <x v="2"/>
  </r>
  <r>
    <n v="10211"/>
    <n v="3"/>
    <d v="2014-05-28T00:00:00"/>
    <s v="BLU-RAY"/>
    <n v="104002"/>
    <s v="AB107532"/>
    <x v="3"/>
    <n v="736500"/>
    <x v="2"/>
  </r>
  <r>
    <n v="10115"/>
    <n v="5"/>
    <d v="2014-05-27T00:00:00"/>
    <s v="DVD"/>
    <n v="104002"/>
    <s v="AB107533"/>
    <x v="11"/>
    <n v="736500"/>
    <x v="2"/>
  </r>
  <r>
    <n v="10260"/>
    <n v="2"/>
    <d v="2014-05-29T00:00:00"/>
    <s v="DVD"/>
    <n v="104003"/>
    <s v="AB107536"/>
    <x v="4"/>
    <n v="882493"/>
    <x v="2"/>
  </r>
  <r>
    <n v="10040"/>
    <n v="1"/>
    <d v="2014-05-28T00:00:00"/>
    <s v="DVD"/>
    <n v="104006"/>
    <s v="AB107538"/>
    <x v="7"/>
    <n v="548800"/>
    <x v="2"/>
  </r>
  <r>
    <n v="10202"/>
    <n v="3"/>
    <d v="2014-05-28T00:00:00"/>
    <s v="DVD"/>
    <n v="104007"/>
    <s v="AB107540"/>
    <x v="0"/>
    <n v="806545"/>
    <x v="2"/>
  </r>
  <r>
    <n v="10248"/>
    <n v="9"/>
    <d v="2014-05-28T00:00:00"/>
    <s v="DVD"/>
    <n v="104008"/>
    <s v="AB107543"/>
    <x v="12"/>
    <n v="900440"/>
    <x v="2"/>
  </r>
  <r>
    <n v="10118"/>
    <n v="1"/>
    <d v="2014-05-28T00:00:00"/>
    <s v="BLU-RAY"/>
    <n v="104009"/>
    <s v="AB107546"/>
    <x v="3"/>
    <n v="404678"/>
    <x v="2"/>
  </r>
  <r>
    <n v="10349"/>
    <n v="10"/>
    <d v="2014-05-31T00:00:00"/>
    <s v="DVD"/>
    <n v="104010"/>
    <s v="AB107547"/>
    <x v="8"/>
    <n v="561305"/>
    <x v="2"/>
  </r>
  <r>
    <n v="10193"/>
    <n v="9"/>
    <d v="2014-05-31T00:00:00"/>
    <s v="BLU-RAY"/>
    <n v="104011"/>
    <s v="AB107549"/>
    <x v="9"/>
    <n v="456457"/>
    <x v="2"/>
  </r>
  <r>
    <n v="10250"/>
    <n v="2"/>
    <d v="2014-05-29T00:00:00"/>
    <s v="BLU-RAY"/>
    <n v="104012"/>
    <s v="AB107551"/>
    <x v="3"/>
    <n v="665313"/>
    <x v="2"/>
  </r>
  <r>
    <n v="10054"/>
    <n v="10"/>
    <d v="2014-05-29T00:00:00"/>
    <s v="DVD"/>
    <n v="104015"/>
    <s v="AB107561"/>
    <x v="1"/>
    <n v="888759"/>
    <x v="2"/>
  </r>
  <r>
    <n v="10175"/>
    <n v="5"/>
    <d v="2014-05-30T00:00:00"/>
    <s v="DVD"/>
    <n v="104015"/>
    <s v="AB107562"/>
    <x v="3"/>
    <n v="888759"/>
    <x v="2"/>
  </r>
  <r>
    <n v="10271"/>
    <n v="3"/>
    <d v="2014-05-29T00:00:00"/>
    <s v="DVD"/>
    <n v="104015"/>
    <s v="AB107563"/>
    <x v="7"/>
    <n v="888759"/>
    <x v="2"/>
  </r>
  <r>
    <n v="10252"/>
    <n v="9"/>
    <d v="2014-05-30T00:00:00"/>
    <s v="DVD"/>
    <n v="104016"/>
    <s v="AB107566"/>
    <x v="0"/>
    <n v="976778"/>
    <x v="2"/>
  </r>
  <r>
    <n v="10134"/>
    <n v="10"/>
    <d v="2014-05-31T00:00:00"/>
    <s v="DVD"/>
    <n v="104016"/>
    <s v="AB107567"/>
    <x v="7"/>
    <n v="976778"/>
    <x v="2"/>
  </r>
  <r>
    <n v="10105"/>
    <n v="8"/>
    <d v="2014-05-30T00:00:00"/>
    <s v="DVD"/>
    <n v="104019"/>
    <s v="AB107570"/>
    <x v="2"/>
    <n v="925565"/>
    <x v="2"/>
  </r>
  <r>
    <n v="10195"/>
    <n v="3"/>
    <d v="2014-06-04T00:00:00"/>
    <s v="DVD"/>
    <n v="104020"/>
    <s v="AB107572"/>
    <x v="4"/>
    <n v="346006"/>
    <x v="2"/>
  </r>
  <r>
    <n v="10250"/>
    <n v="5"/>
    <d v="2014-05-30T00:00:00"/>
    <s v="DVD"/>
    <n v="104020"/>
    <s v="AB107573"/>
    <x v="3"/>
    <n v="346006"/>
    <x v="2"/>
  </r>
  <r>
    <n v="10071"/>
    <n v="8"/>
    <d v="2014-05-30T00:00:00"/>
    <s v="DVD"/>
    <n v="104021"/>
    <s v="AB107574"/>
    <x v="1"/>
    <n v="528475"/>
    <x v="2"/>
  </r>
  <r>
    <n v="10199"/>
    <n v="2"/>
    <d v="2014-06-02T00:00:00"/>
    <s v="BLU-RAY"/>
    <n v="104023"/>
    <s v="AB107578"/>
    <x v="10"/>
    <n v="250266"/>
    <x v="2"/>
  </r>
  <r>
    <n v="10264"/>
    <n v="10"/>
    <d v="2014-05-30T00:00:00"/>
    <s v="DVD"/>
    <n v="104023"/>
    <s v="AB107579"/>
    <x v="2"/>
    <n v="250266"/>
    <x v="2"/>
  </r>
  <r>
    <n v="10042"/>
    <n v="4"/>
    <d v="2014-06-01T00:00:00"/>
    <s v="DVD"/>
    <n v="104023"/>
    <s v="AB107580"/>
    <x v="1"/>
    <n v="250266"/>
    <x v="2"/>
  </r>
  <r>
    <n v="10203"/>
    <n v="7"/>
    <d v="2014-06-01T00:00:00"/>
    <s v="BLU-RAY"/>
    <n v="104027"/>
    <s v="AB107584"/>
    <x v="3"/>
    <n v="964619"/>
    <x v="2"/>
  </r>
  <r>
    <n v="10275"/>
    <n v="5"/>
    <d v="2014-06-02T00:00:00"/>
    <s v="DVD"/>
    <n v="104027"/>
    <s v="AB107586"/>
    <x v="10"/>
    <n v="964619"/>
    <x v="2"/>
  </r>
  <r>
    <n v="10050"/>
    <n v="8"/>
    <d v="2014-06-01T00:00:00"/>
    <s v="DVD"/>
    <n v="104028"/>
    <s v="AB107587"/>
    <x v="1"/>
    <n v="104939"/>
    <x v="2"/>
  </r>
  <r>
    <n v="10166"/>
    <n v="9"/>
    <d v="2014-05-31T00:00:00"/>
    <s v="BLU-RAY"/>
    <n v="104028"/>
    <s v="AB107588"/>
    <x v="9"/>
    <n v="104939"/>
    <x v="2"/>
  </r>
  <r>
    <n v="10218"/>
    <n v="1"/>
    <d v="2014-06-06T00:00:00"/>
    <s v="DVD"/>
    <n v="104030"/>
    <s v="AB107592"/>
    <x v="4"/>
    <n v="927518"/>
    <x v="2"/>
  </r>
  <r>
    <n v="10241"/>
    <n v="4"/>
    <d v="2014-05-31T00:00:00"/>
    <s v="DVD"/>
    <n v="104030"/>
    <s v="AB107593"/>
    <x v="0"/>
    <n v="927518"/>
    <x v="2"/>
  </r>
  <r>
    <n v="10165"/>
    <n v="3"/>
    <d v="2014-06-06T00:00:00"/>
    <s v="DVD"/>
    <n v="104032"/>
    <s v="AB107598"/>
    <x v="2"/>
    <n v="200272"/>
    <x v="2"/>
  </r>
  <r>
    <n v="10146"/>
    <n v="5"/>
    <d v="2014-06-01T00:00:00"/>
    <s v="DVD"/>
    <n v="104032"/>
    <s v="AB107599"/>
    <x v="4"/>
    <n v="200272"/>
    <x v="2"/>
  </r>
  <r>
    <n v="10215"/>
    <n v="3"/>
    <d v="2014-06-02T00:00:00"/>
    <s v="DVD"/>
    <n v="104033"/>
    <s v="AB107601"/>
    <x v="1"/>
    <n v="818287"/>
    <x v="2"/>
  </r>
  <r>
    <n v="10165"/>
    <n v="3"/>
    <d v="2014-06-03T00:00:00"/>
    <s v="DVD"/>
    <n v="104034"/>
    <s v="AB107604"/>
    <x v="2"/>
    <n v="795957"/>
    <x v="2"/>
  </r>
  <r>
    <n v="10075"/>
    <n v="3"/>
    <d v="2014-06-08T00:00:00"/>
    <s v="DVD"/>
    <n v="104035"/>
    <s v="AB107605"/>
    <x v="17"/>
    <n v="330223"/>
    <x v="2"/>
  </r>
  <r>
    <n v="10099"/>
    <n v="4"/>
    <d v="2014-06-04T00:00:00"/>
    <s v="DVD"/>
    <n v="104035"/>
    <s v="AB107606"/>
    <x v="10"/>
    <n v="330223"/>
    <x v="2"/>
  </r>
  <r>
    <n v="10209"/>
    <n v="4"/>
    <d v="2014-06-02T00:00:00"/>
    <s v="DVD"/>
    <n v="104036"/>
    <s v="AB107609"/>
    <x v="7"/>
    <n v="116934"/>
    <x v="2"/>
  </r>
  <r>
    <n v="10163"/>
    <n v="9"/>
    <d v="2014-06-04T00:00:00"/>
    <s v="DVD"/>
    <n v="104037"/>
    <s v="AB107610"/>
    <x v="0"/>
    <n v="954812"/>
    <x v="2"/>
  </r>
  <r>
    <n v="10264"/>
    <n v="4"/>
    <d v="2014-06-01T00:00:00"/>
    <s v="DVD"/>
    <n v="104037"/>
    <s v="AB107612"/>
    <x v="2"/>
    <n v="954812"/>
    <x v="2"/>
  </r>
  <r>
    <n v="10240"/>
    <n v="6"/>
    <d v="2014-06-07T00:00:00"/>
    <s v="DVD"/>
    <n v="104039"/>
    <s v="AB107615"/>
    <x v="0"/>
    <n v="696852"/>
    <x v="2"/>
  </r>
  <r>
    <n v="10228"/>
    <n v="8"/>
    <d v="2014-06-06T00:00:00"/>
    <s v="DVD"/>
    <n v="104040"/>
    <s v="AB107617"/>
    <x v="7"/>
    <n v="925565"/>
    <x v="2"/>
  </r>
  <r>
    <n v="10289"/>
    <n v="4"/>
    <d v="2014-06-04T00:00:00"/>
    <s v="DVD"/>
    <n v="104041"/>
    <s v="AB107619"/>
    <x v="11"/>
    <n v="593317"/>
    <x v="2"/>
  </r>
  <r>
    <n v="10115"/>
    <n v="9"/>
    <d v="2014-06-04T00:00:00"/>
    <s v="DVD"/>
    <n v="104042"/>
    <s v="AB107620"/>
    <x v="11"/>
    <n v="580783"/>
    <x v="2"/>
  </r>
  <r>
    <n v="10281"/>
    <n v="5"/>
    <d v="2014-06-05T00:00:00"/>
    <s v="DVD"/>
    <n v="104043"/>
    <s v="AB107624"/>
    <x v="10"/>
    <n v="731346"/>
    <x v="2"/>
  </r>
  <r>
    <n v="10204"/>
    <n v="5"/>
    <d v="2014-06-04T00:00:00"/>
    <s v="DVD"/>
    <n v="104045"/>
    <s v="AB107627"/>
    <x v="7"/>
    <n v="590517"/>
    <x v="2"/>
  </r>
  <r>
    <n v="10069"/>
    <n v="8"/>
    <d v="2014-06-03T00:00:00"/>
    <s v="DVD"/>
    <n v="104046"/>
    <s v="AB107630"/>
    <x v="0"/>
    <n v="404678"/>
    <x v="2"/>
  </r>
  <r>
    <n v="10256"/>
    <n v="5"/>
    <d v="2014-06-03T00:00:00"/>
    <s v="DVD"/>
    <n v="104049"/>
    <s v="AB107634"/>
    <x v="9"/>
    <n v="877877"/>
    <x v="2"/>
  </r>
  <r>
    <n v="10145"/>
    <n v="7"/>
    <d v="2014-06-04T00:00:00"/>
    <s v="DVD"/>
    <n v="104049"/>
    <s v="AB107635"/>
    <x v="6"/>
    <n v="877877"/>
    <x v="2"/>
  </r>
  <r>
    <n v="10236"/>
    <n v="6"/>
    <d v="2014-06-04T00:00:00"/>
    <s v="DVD"/>
    <n v="104051"/>
    <s v="AB107637"/>
    <x v="10"/>
    <n v="671101"/>
    <x v="2"/>
  </r>
  <r>
    <n v="10264"/>
    <n v="8"/>
    <d v="2014-06-06T00:00:00"/>
    <s v="DVD"/>
    <n v="104053"/>
    <s v="AB107641"/>
    <x v="2"/>
    <n v="606155"/>
    <x v="2"/>
  </r>
  <r>
    <n v="10178"/>
    <n v="1"/>
    <d v="2014-06-08T00:00:00"/>
    <s v="DVD"/>
    <n v="104053"/>
    <s v="AB107642"/>
    <x v="0"/>
    <n v="606155"/>
    <x v="2"/>
  </r>
  <r>
    <n v="10160"/>
    <n v="8"/>
    <d v="2014-06-04T00:00:00"/>
    <s v="DVD"/>
    <n v="104054"/>
    <s v="AB107644"/>
    <x v="10"/>
    <n v="119406"/>
    <x v="2"/>
  </r>
  <r>
    <n v="10151"/>
    <n v="2"/>
    <d v="2014-06-04T00:00:00"/>
    <s v="DVD"/>
    <n v="104057"/>
    <s v="AB107647"/>
    <x v="8"/>
    <n v="189441"/>
    <x v="2"/>
  </r>
  <r>
    <n v="10286"/>
    <n v="7"/>
    <d v="2014-06-05T00:00:00"/>
    <s v="DVD"/>
    <n v="104057"/>
    <s v="AB107648"/>
    <x v="17"/>
    <n v="189441"/>
    <x v="2"/>
  </r>
  <r>
    <n v="10066"/>
    <n v="3"/>
    <d v="2014-06-05T00:00:00"/>
    <s v="DVD"/>
    <n v="104057"/>
    <s v="AB107649"/>
    <x v="3"/>
    <n v="189441"/>
    <x v="2"/>
  </r>
  <r>
    <n v="10250"/>
    <n v="9"/>
    <d v="2014-06-04T00:00:00"/>
    <s v="BLU-RAY"/>
    <n v="104058"/>
    <s v="AB107650"/>
    <x v="3"/>
    <n v="915766"/>
    <x v="2"/>
  </r>
  <r>
    <n v="10058"/>
    <n v="9"/>
    <d v="2014-06-05T00:00:00"/>
    <s v="DVD"/>
    <n v="104058"/>
    <s v="AB107651"/>
    <x v="4"/>
    <n v="915766"/>
    <x v="2"/>
  </r>
  <r>
    <n v="10054"/>
    <n v="7"/>
    <d v="2014-06-06T00:00:00"/>
    <s v="DVD"/>
    <n v="104058"/>
    <s v="AB107652"/>
    <x v="1"/>
    <n v="915766"/>
    <x v="2"/>
  </r>
  <r>
    <n v="10186"/>
    <n v="10"/>
    <d v="2014-06-04T00:00:00"/>
    <s v="DVD"/>
    <n v="104058"/>
    <s v="AB107653"/>
    <x v="10"/>
    <n v="915766"/>
    <x v="2"/>
  </r>
  <r>
    <n v="10096"/>
    <n v="4"/>
    <d v="2014-06-05T00:00:00"/>
    <s v="BLU-RAY"/>
    <n v="104059"/>
    <s v="AB107654"/>
    <x v="7"/>
    <n v="317807"/>
    <x v="2"/>
  </r>
  <r>
    <n v="10167"/>
    <n v="10"/>
    <d v="2014-06-07T00:00:00"/>
    <s v="DVD"/>
    <n v="104061"/>
    <s v="AB107659"/>
    <x v="7"/>
    <n v="103508"/>
    <x v="2"/>
  </r>
  <r>
    <n v="10210"/>
    <n v="9"/>
    <d v="2014-06-05T00:00:00"/>
    <s v="DVD"/>
    <n v="104061"/>
    <s v="AB107661"/>
    <x v="4"/>
    <n v="103508"/>
    <x v="2"/>
  </r>
  <r>
    <n v="10233"/>
    <n v="7"/>
    <d v="2014-06-06T00:00:00"/>
    <s v="DVD"/>
    <n v="104063"/>
    <s v="AB107663"/>
    <x v="8"/>
    <n v="417823"/>
    <x v="2"/>
  </r>
  <r>
    <n v="10219"/>
    <n v="3"/>
    <d v="2014-06-05T00:00:00"/>
    <s v="DVD"/>
    <n v="104064"/>
    <s v="AB107665"/>
    <x v="1"/>
    <n v="994056"/>
    <x v="2"/>
  </r>
  <r>
    <n v="10199"/>
    <n v="3"/>
    <d v="2014-06-06T00:00:00"/>
    <s v="DVD"/>
    <n v="104065"/>
    <s v="AB107667"/>
    <x v="10"/>
    <n v="891738"/>
    <x v="2"/>
  </r>
  <r>
    <n v="10045"/>
    <n v="3"/>
    <d v="2014-06-07T00:00:00"/>
    <s v="BLU-RAY"/>
    <n v="104066"/>
    <s v="AB107668"/>
    <x v="0"/>
    <n v="271531"/>
    <x v="2"/>
  </r>
  <r>
    <n v="10299"/>
    <n v="9"/>
    <d v="2014-06-06T00:00:00"/>
    <s v="DVD"/>
    <n v="104066"/>
    <s v="AB107669"/>
    <x v="22"/>
    <n v="271531"/>
    <x v="2"/>
  </r>
  <r>
    <n v="10214"/>
    <n v="7"/>
    <d v="2014-06-06T00:00:00"/>
    <s v="DVD"/>
    <n v="104066"/>
    <s v="AB107670"/>
    <x v="13"/>
    <n v="271531"/>
    <x v="2"/>
  </r>
  <r>
    <n v="10050"/>
    <n v="10"/>
    <d v="2014-06-07T00:00:00"/>
    <s v="DVD"/>
    <n v="104067"/>
    <s v="AB107671"/>
    <x v="1"/>
    <n v="479497"/>
    <x v="2"/>
  </r>
  <r>
    <n v="10073"/>
    <n v="5"/>
    <d v="2014-06-06T00:00:00"/>
    <s v="DVD"/>
    <n v="104069"/>
    <s v="AB107675"/>
    <x v="16"/>
    <n v="186353"/>
    <x v="2"/>
  </r>
  <r>
    <n v="10011"/>
    <n v="7"/>
    <d v="2014-06-09T00:00:00"/>
    <s v="DVD"/>
    <n v="104073"/>
    <s v="AB107680"/>
    <x v="3"/>
    <n v="974503"/>
    <x v="2"/>
  </r>
  <r>
    <n v="10232"/>
    <n v="1"/>
    <d v="2014-06-08T00:00:00"/>
    <s v="DVD"/>
    <n v="104074"/>
    <s v="AB107682"/>
    <x v="1"/>
    <n v="110363"/>
    <x v="2"/>
  </r>
  <r>
    <n v="10287"/>
    <n v="9"/>
    <d v="2014-06-09T00:00:00"/>
    <s v="DVD"/>
    <n v="104076"/>
    <s v="AB107688"/>
    <x v="10"/>
    <n v="995599"/>
    <x v="2"/>
  </r>
  <r>
    <n v="10283"/>
    <n v="1"/>
    <d v="2014-06-08T00:00:00"/>
    <s v="BLU-RAY"/>
    <n v="104076"/>
    <s v="AB107689"/>
    <x v="6"/>
    <n v="995599"/>
    <x v="2"/>
  </r>
  <r>
    <n v="10113"/>
    <n v="1"/>
    <d v="2014-06-07T00:00:00"/>
    <s v="DVD"/>
    <n v="104077"/>
    <s v="AB107691"/>
    <x v="10"/>
    <n v="330570"/>
    <x v="2"/>
  </r>
  <r>
    <n v="10296"/>
    <n v="4"/>
    <d v="2014-06-07T00:00:00"/>
    <s v="DVD"/>
    <n v="104078"/>
    <s v="AB107693"/>
    <x v="21"/>
    <n v="405671"/>
    <x v="2"/>
  </r>
  <r>
    <n v="10247"/>
    <n v="8"/>
    <d v="2014-06-07T00:00:00"/>
    <s v="DVD"/>
    <n v="104078"/>
    <s v="AB107694"/>
    <x v="9"/>
    <n v="405671"/>
    <x v="2"/>
  </r>
  <r>
    <n v="10240"/>
    <n v="7"/>
    <d v="2014-06-09T00:00:00"/>
    <s v="BLU-RAY"/>
    <n v="104081"/>
    <s v="AB107700"/>
    <x v="0"/>
    <n v="567719"/>
    <x v="2"/>
  </r>
  <r>
    <n v="10274"/>
    <n v="5"/>
    <d v="2014-06-08T00:00:00"/>
    <s v="BLU-RAY"/>
    <n v="104081"/>
    <s v="AB107702"/>
    <x v="9"/>
    <n v="567719"/>
    <x v="2"/>
  </r>
  <r>
    <n v="10138"/>
    <n v="7"/>
    <d v="2014-06-08T00:00:00"/>
    <s v="DVD"/>
    <n v="104084"/>
    <s v="AB107707"/>
    <x v="7"/>
    <n v="605188"/>
    <x v="2"/>
  </r>
  <r>
    <n v="10289"/>
    <n v="10"/>
    <d v="2014-06-08T00:00:00"/>
    <s v="DVD"/>
    <n v="104085"/>
    <s v="AB107708"/>
    <x v="11"/>
    <n v="448993"/>
    <x v="2"/>
  </r>
  <r>
    <n v="10216"/>
    <n v="6"/>
    <d v="2014-06-08T00:00:00"/>
    <s v="DVD"/>
    <n v="104086"/>
    <s v="AB107711"/>
    <x v="4"/>
    <n v="407605"/>
    <x v="2"/>
  </r>
  <r>
    <n v="10143"/>
    <n v="10"/>
    <d v="2014-06-09T00:00:00"/>
    <s v="DVD"/>
    <n v="104086"/>
    <s v="AB107712"/>
    <x v="3"/>
    <n v="407605"/>
    <x v="2"/>
  </r>
  <r>
    <n v="10281"/>
    <n v="10"/>
    <d v="2014-06-08T00:00:00"/>
    <s v="DVD"/>
    <n v="104087"/>
    <s v="AB107713"/>
    <x v="10"/>
    <n v="550824"/>
    <x v="2"/>
  </r>
  <r>
    <n v="10049"/>
    <n v="5"/>
    <d v="2014-06-12T00:00:00"/>
    <s v="DVD"/>
    <n v="104087"/>
    <s v="AB107714"/>
    <x v="7"/>
    <n v="550824"/>
    <x v="2"/>
  </r>
  <r>
    <n v="10271"/>
    <n v="5"/>
    <d v="2014-06-09T00:00:00"/>
    <s v="DVD"/>
    <n v="104088"/>
    <s v="AB107716"/>
    <x v="7"/>
    <n v="857548"/>
    <x v="2"/>
  </r>
  <r>
    <n v="10138"/>
    <n v="1"/>
    <d v="2014-06-09T00:00:00"/>
    <s v="DVD"/>
    <n v="104088"/>
    <s v="AB107717"/>
    <x v="7"/>
    <n v="857548"/>
    <x v="2"/>
  </r>
  <r>
    <n v="10155"/>
    <n v="3"/>
    <d v="2014-06-10T00:00:00"/>
    <s v="DVD"/>
    <n v="104089"/>
    <s v="AB107718"/>
    <x v="9"/>
    <n v="833180"/>
    <x v="2"/>
  </r>
  <r>
    <n v="10133"/>
    <n v="1"/>
    <d v="2014-06-12T00:00:00"/>
    <s v="DVD"/>
    <n v="104089"/>
    <s v="AB107719"/>
    <x v="9"/>
    <n v="833180"/>
    <x v="2"/>
  </r>
  <r>
    <n v="10145"/>
    <n v="7"/>
    <d v="2014-06-11T00:00:00"/>
    <s v="DVD"/>
    <n v="104090"/>
    <s v="AB107720"/>
    <x v="6"/>
    <n v="498970"/>
    <x v="2"/>
  </r>
  <r>
    <n v="10180"/>
    <n v="1"/>
    <d v="2014-06-09T00:00:00"/>
    <s v="DVD"/>
    <n v="104091"/>
    <s v="AB107721"/>
    <x v="12"/>
    <n v="908768"/>
    <x v="2"/>
  </r>
  <r>
    <n v="10376"/>
    <n v="6"/>
    <d v="2014-06-12T00:00:00"/>
    <s v="DVD"/>
    <n v="104091"/>
    <s v="AB107722"/>
    <x v="12"/>
    <n v="908768"/>
    <x v="2"/>
  </r>
  <r>
    <n v="10062"/>
    <n v="6"/>
    <d v="2014-06-09T00:00:00"/>
    <s v="DVD"/>
    <n v="104091"/>
    <s v="AB107723"/>
    <x v="16"/>
    <n v="908768"/>
    <x v="2"/>
  </r>
  <r>
    <n v="10226"/>
    <n v="10"/>
    <d v="2014-06-11T00:00:00"/>
    <s v="BLU-RAY"/>
    <n v="104092"/>
    <s v="AB107724"/>
    <x v="4"/>
    <n v="951702"/>
    <x v="2"/>
  </r>
  <r>
    <n v="10273"/>
    <n v="9"/>
    <d v="2014-06-09T00:00:00"/>
    <s v="DVD"/>
    <n v="104093"/>
    <s v="AB107726"/>
    <x v="4"/>
    <n v="606155"/>
    <x v="2"/>
  </r>
  <r>
    <n v="10072"/>
    <n v="5"/>
    <d v="2014-06-09T00:00:00"/>
    <s v="DVD"/>
    <n v="104093"/>
    <s v="AB107727"/>
    <x v="1"/>
    <n v="606155"/>
    <x v="2"/>
  </r>
  <r>
    <n v="10140"/>
    <n v="3"/>
    <d v="2014-06-09T00:00:00"/>
    <s v="DVD"/>
    <n v="104094"/>
    <s v="AB107728"/>
    <x v="2"/>
    <n v="488803"/>
    <x v="2"/>
  </r>
  <r>
    <n v="10279"/>
    <n v="5"/>
    <d v="2014-06-13T00:00:00"/>
    <s v="DVD"/>
    <n v="104094"/>
    <s v="AB107730"/>
    <x v="8"/>
    <n v="488803"/>
    <x v="2"/>
  </r>
  <r>
    <n v="10167"/>
    <n v="9"/>
    <d v="2014-06-12T00:00:00"/>
    <s v="DVD"/>
    <n v="104096"/>
    <s v="AB107733"/>
    <x v="7"/>
    <n v="216475"/>
    <x v="2"/>
  </r>
  <r>
    <n v="10093"/>
    <n v="4"/>
    <d v="2014-06-10T00:00:00"/>
    <s v="DVD"/>
    <n v="104098"/>
    <s v="AB107736"/>
    <x v="11"/>
    <n v="797968"/>
    <x v="2"/>
  </r>
  <r>
    <n v="10181"/>
    <n v="2"/>
    <d v="2014-06-10T00:00:00"/>
    <s v="DVD"/>
    <n v="104101"/>
    <s v="AB107742"/>
    <x v="9"/>
    <n v="193914"/>
    <x v="2"/>
  </r>
  <r>
    <n v="10286"/>
    <n v="9"/>
    <d v="2014-06-11T00:00:00"/>
    <s v="DVD"/>
    <n v="104102"/>
    <s v="AB107745"/>
    <x v="17"/>
    <n v="592726"/>
    <x v="2"/>
  </r>
  <r>
    <n v="10263"/>
    <n v="10"/>
    <d v="2014-06-15T00:00:00"/>
    <s v="DVD"/>
    <n v="104103"/>
    <s v="AB107746"/>
    <x v="9"/>
    <n v="936214"/>
    <x v="2"/>
  </r>
  <r>
    <n v="10174"/>
    <n v="6"/>
    <d v="2014-06-11T00:00:00"/>
    <s v="DVD"/>
    <n v="104104"/>
    <s v="AB107749"/>
    <x v="7"/>
    <n v="500828"/>
    <x v="2"/>
  </r>
  <r>
    <n v="10132"/>
    <n v="4"/>
    <d v="2014-06-11T00:00:00"/>
    <s v="DVD"/>
    <n v="104104"/>
    <s v="AB107750"/>
    <x v="10"/>
    <n v="500828"/>
    <x v="2"/>
  </r>
  <r>
    <n v="10244"/>
    <n v="2"/>
    <d v="2014-06-11T00:00:00"/>
    <s v="DVD"/>
    <n v="104105"/>
    <s v="AB107752"/>
    <x v="4"/>
    <n v="880238"/>
    <x v="2"/>
  </r>
  <r>
    <n v="10262"/>
    <n v="3"/>
    <d v="2014-06-12T00:00:00"/>
    <s v="DVD"/>
    <n v="104106"/>
    <s v="AB107754"/>
    <x v="10"/>
    <n v="216475"/>
    <x v="2"/>
  </r>
  <r>
    <n v="10122"/>
    <n v="6"/>
    <d v="2014-06-13T00:00:00"/>
    <s v="DVD"/>
    <n v="104106"/>
    <s v="AB107756"/>
    <x v="12"/>
    <n v="216475"/>
    <x v="2"/>
  </r>
  <r>
    <n v="10243"/>
    <n v="8"/>
    <d v="2014-06-11T00:00:00"/>
    <s v="DVD"/>
    <n v="104108"/>
    <s v="AB107757"/>
    <x v="9"/>
    <n v="265707"/>
    <x v="2"/>
  </r>
  <r>
    <n v="10064"/>
    <n v="8"/>
    <d v="2014-06-11T00:00:00"/>
    <s v="DVD"/>
    <n v="104108"/>
    <s v="AB107758"/>
    <x v="7"/>
    <n v="265707"/>
    <x v="2"/>
  </r>
  <r>
    <n v="10229"/>
    <n v="3"/>
    <d v="2014-06-12T00:00:00"/>
    <s v="DVD"/>
    <n v="104109"/>
    <s v="AB107761"/>
    <x v="6"/>
    <n v="979679"/>
    <x v="2"/>
  </r>
  <r>
    <n v="10174"/>
    <n v="9"/>
    <d v="2014-06-12T00:00:00"/>
    <s v="DVD"/>
    <n v="104110"/>
    <s v="AB107762"/>
    <x v="7"/>
    <n v="885548"/>
    <x v="2"/>
  </r>
  <r>
    <n v="10131"/>
    <n v="8"/>
    <d v="2014-06-13T00:00:00"/>
    <s v="DVD"/>
    <n v="104110"/>
    <s v="AB107763"/>
    <x v="0"/>
    <n v="885548"/>
    <x v="2"/>
  </r>
  <r>
    <n v="10261"/>
    <n v="3"/>
    <d v="2014-06-12T00:00:00"/>
    <s v="DVD"/>
    <n v="104112"/>
    <s v="AB107765"/>
    <x v="9"/>
    <n v="231615"/>
    <x v="2"/>
  </r>
  <r>
    <n v="10097"/>
    <n v="8"/>
    <d v="2014-06-12T00:00:00"/>
    <s v="DVD"/>
    <n v="104113"/>
    <s v="AB107766"/>
    <x v="8"/>
    <n v="879173"/>
    <x v="2"/>
  </r>
  <r>
    <n v="10212"/>
    <n v="3"/>
    <d v="2014-06-13T00:00:00"/>
    <s v="DVD"/>
    <n v="104113"/>
    <s v="AB107767"/>
    <x v="10"/>
    <n v="879173"/>
    <x v="2"/>
  </r>
  <r>
    <n v="10248"/>
    <n v="5"/>
    <d v="2014-06-12T00:00:00"/>
    <s v="DVD"/>
    <n v="104113"/>
    <s v="AB107768"/>
    <x v="12"/>
    <n v="879173"/>
    <x v="2"/>
  </r>
  <r>
    <n v="10169"/>
    <n v="1"/>
    <d v="2014-06-12T00:00:00"/>
    <s v="DVD"/>
    <n v="104114"/>
    <s v="AB107769"/>
    <x v="0"/>
    <n v="933331"/>
    <x v="2"/>
  </r>
  <r>
    <n v="10053"/>
    <n v="10"/>
    <d v="2014-06-13T00:00:00"/>
    <s v="DVD"/>
    <n v="104117"/>
    <s v="AB107774"/>
    <x v="4"/>
    <n v="660634"/>
    <x v="2"/>
  </r>
  <r>
    <n v="10259"/>
    <n v="5"/>
    <d v="2014-06-15T00:00:00"/>
    <s v="DVD"/>
    <n v="104117"/>
    <s v="AB107775"/>
    <x v="0"/>
    <n v="660634"/>
    <x v="2"/>
  </r>
  <r>
    <n v="10166"/>
    <n v="3"/>
    <d v="2014-06-13T00:00:00"/>
    <s v="DVD"/>
    <n v="104119"/>
    <s v="AB107778"/>
    <x v="9"/>
    <n v="955591"/>
    <x v="2"/>
  </r>
  <r>
    <n v="10203"/>
    <n v="1"/>
    <d v="2014-06-14T00:00:00"/>
    <s v="DVD"/>
    <n v="104120"/>
    <s v="AB107780"/>
    <x v="3"/>
    <n v="664934"/>
    <x v="2"/>
  </r>
  <r>
    <n v="10280"/>
    <n v="9"/>
    <d v="2014-06-13T00:00:00"/>
    <s v="DVD"/>
    <n v="104120"/>
    <s v="AB107781"/>
    <x v="7"/>
    <n v="664934"/>
    <x v="2"/>
  </r>
  <r>
    <n v="10280"/>
    <n v="5"/>
    <d v="2014-06-14T00:00:00"/>
    <s v="DVD"/>
    <n v="104123"/>
    <s v="AB107785"/>
    <x v="7"/>
    <n v="230602"/>
    <x v="2"/>
  </r>
  <r>
    <n v="10260"/>
    <n v="7"/>
    <d v="2014-06-14T00:00:00"/>
    <s v="DVD"/>
    <n v="104123"/>
    <s v="AB107786"/>
    <x v="4"/>
    <n v="230602"/>
    <x v="2"/>
  </r>
  <r>
    <n v="10135"/>
    <n v="8"/>
    <d v="2014-06-14T00:00:00"/>
    <s v="DVD"/>
    <n v="104124"/>
    <s v="AB107787"/>
    <x v="7"/>
    <n v="516619"/>
    <x v="2"/>
  </r>
  <r>
    <n v="10123"/>
    <n v="9"/>
    <d v="2014-06-15T00:00:00"/>
    <s v="DVD"/>
    <n v="104125"/>
    <s v="AB107791"/>
    <x v="9"/>
    <n v="884729"/>
    <x v="2"/>
  </r>
  <r>
    <n v="10101"/>
    <n v="6"/>
    <d v="2014-06-14T00:00:00"/>
    <s v="DVD"/>
    <n v="104126"/>
    <s v="AB107792"/>
    <x v="4"/>
    <n v="190721"/>
    <x v="2"/>
  </r>
  <r>
    <n v="10094"/>
    <n v="3"/>
    <d v="2014-06-14T00:00:00"/>
    <s v="DVD"/>
    <n v="104126"/>
    <s v="AB107793"/>
    <x v="12"/>
    <n v="190721"/>
    <x v="2"/>
  </r>
  <r>
    <n v="10169"/>
    <n v="2"/>
    <d v="2014-06-15T00:00:00"/>
    <s v="BLU-RAY"/>
    <n v="104127"/>
    <s v="AB107794"/>
    <x v="0"/>
    <n v="796796"/>
    <x v="2"/>
  </r>
  <r>
    <n v="10238"/>
    <n v="1"/>
    <d v="2014-06-15T00:00:00"/>
    <s v="BLU-RAY"/>
    <n v="104127"/>
    <s v="AB107796"/>
    <x v="0"/>
    <n v="796796"/>
    <x v="2"/>
  </r>
  <r>
    <n v="10281"/>
    <n v="2"/>
    <d v="2014-06-14T00:00:00"/>
    <s v="DVD"/>
    <n v="104128"/>
    <s v="AB107798"/>
    <x v="10"/>
    <n v="601753"/>
    <x v="2"/>
  </r>
  <r>
    <n v="10084"/>
    <n v="6"/>
    <d v="2014-06-15T00:00:00"/>
    <s v="DVD"/>
    <n v="104129"/>
    <s v="AB107800"/>
    <x v="18"/>
    <n v="373200"/>
    <x v="2"/>
  </r>
  <r>
    <n v="10200"/>
    <n v="4"/>
    <d v="2014-06-14T00:00:00"/>
    <s v="BLU-RAY"/>
    <n v="104129"/>
    <s v="AB107802"/>
    <x v="9"/>
    <n v="373200"/>
    <x v="2"/>
  </r>
  <r>
    <n v="10299"/>
    <n v="5"/>
    <d v="2014-06-15T00:00:00"/>
    <s v="DVD"/>
    <n v="104132"/>
    <s v="AB107807"/>
    <x v="22"/>
    <n v="161175"/>
    <x v="2"/>
  </r>
  <r>
    <n v="10115"/>
    <n v="10"/>
    <d v="2014-06-15T00:00:00"/>
    <s v="DVD"/>
    <n v="104132"/>
    <s v="AB107808"/>
    <x v="11"/>
    <n v="161175"/>
    <x v="2"/>
  </r>
  <r>
    <n v="10082"/>
    <n v="3"/>
    <d v="2014-06-15T00:00:00"/>
    <s v="DVD"/>
    <n v="104134"/>
    <s v="AB107810"/>
    <x v="3"/>
    <n v="761615"/>
    <x v="2"/>
  </r>
  <r>
    <n v="10138"/>
    <n v="4"/>
    <d v="2014-06-15T00:00:00"/>
    <s v="DVD"/>
    <n v="104135"/>
    <s v="AB107813"/>
    <x v="7"/>
    <n v="701211"/>
    <x v="2"/>
  </r>
  <r>
    <n v="10087"/>
    <n v="10"/>
    <d v="2014-06-17T00:00:00"/>
    <s v="DVD"/>
    <n v="104136"/>
    <s v="AB107816"/>
    <x v="10"/>
    <n v="938417"/>
    <x v="2"/>
  </r>
  <r>
    <n v="10048"/>
    <n v="1"/>
    <d v="2014-06-17T00:00:00"/>
    <s v="DVD"/>
    <n v="104136"/>
    <s v="AB107817"/>
    <x v="12"/>
    <n v="938417"/>
    <x v="2"/>
  </r>
  <r>
    <n v="10200"/>
    <n v="4"/>
    <d v="2014-06-16T00:00:00"/>
    <s v="DVD"/>
    <n v="104137"/>
    <s v="AB107818"/>
    <x v="9"/>
    <n v="173125"/>
    <x v="2"/>
  </r>
  <r>
    <n v="10226"/>
    <n v="5"/>
    <d v="2014-06-20T00:00:00"/>
    <s v="DVD"/>
    <n v="104140"/>
    <s v="AB107821"/>
    <x v="4"/>
    <n v="278204"/>
    <x v="2"/>
  </r>
  <r>
    <n v="10269"/>
    <n v="5"/>
    <d v="2014-06-16T00:00:00"/>
    <s v="DVD"/>
    <n v="104141"/>
    <s v="AB107825"/>
    <x v="3"/>
    <n v="157388"/>
    <x v="2"/>
  </r>
  <r>
    <n v="10222"/>
    <n v="10"/>
    <d v="2014-06-18T00:00:00"/>
    <s v="DVD"/>
    <n v="104142"/>
    <s v="AB107827"/>
    <x v="4"/>
    <n v="921792"/>
    <x v="2"/>
  </r>
  <r>
    <n v="10143"/>
    <n v="5"/>
    <d v="2014-06-17T00:00:00"/>
    <s v="DVD"/>
    <n v="104143"/>
    <s v="AB107828"/>
    <x v="3"/>
    <n v="744648"/>
    <x v="2"/>
  </r>
  <r>
    <n v="10297"/>
    <n v="4"/>
    <d v="2014-06-16T00:00:00"/>
    <s v="DVD"/>
    <n v="104143"/>
    <s v="AB107829"/>
    <x v="14"/>
    <n v="744648"/>
    <x v="2"/>
  </r>
  <r>
    <n v="10088"/>
    <n v="1"/>
    <d v="2014-06-21T00:00:00"/>
    <s v="DVD"/>
    <n v="104143"/>
    <s v="AB107830"/>
    <x v="0"/>
    <n v="744648"/>
    <x v="2"/>
  </r>
  <r>
    <n v="10147"/>
    <n v="9"/>
    <d v="2014-06-17T00:00:00"/>
    <s v="BLU-RAY"/>
    <n v="104144"/>
    <s v="AB107831"/>
    <x v="10"/>
    <n v="111486"/>
    <x v="2"/>
  </r>
  <r>
    <n v="10266"/>
    <n v="4"/>
    <d v="2014-06-21T00:00:00"/>
    <s v="DVD"/>
    <n v="104145"/>
    <s v="AB107834"/>
    <x v="4"/>
    <n v="275152"/>
    <x v="2"/>
  </r>
  <r>
    <n v="10285"/>
    <n v="6"/>
    <d v="2014-06-19T00:00:00"/>
    <s v="DVD"/>
    <n v="104146"/>
    <s v="AB107835"/>
    <x v="20"/>
    <n v="618955"/>
    <x v="2"/>
  </r>
  <r>
    <n v="10270"/>
    <n v="8"/>
    <d v="2014-06-21T00:00:00"/>
    <s v="DVD"/>
    <n v="104146"/>
    <s v="AB107836"/>
    <x v="9"/>
    <n v="618955"/>
    <x v="2"/>
  </r>
  <r>
    <n v="10294"/>
    <n v="2"/>
    <d v="2014-06-19T00:00:00"/>
    <s v="DVD"/>
    <n v="104149"/>
    <s v="AB107840"/>
    <x v="2"/>
    <n v="134457"/>
    <x v="2"/>
  </r>
  <r>
    <n v="10275"/>
    <n v="6"/>
    <d v="2014-06-17T00:00:00"/>
    <s v="BLU-RAY"/>
    <n v="104150"/>
    <s v="AB107841"/>
    <x v="10"/>
    <n v="191050"/>
    <x v="2"/>
  </r>
  <r>
    <n v="10200"/>
    <n v="1"/>
    <d v="2014-06-17T00:00:00"/>
    <s v="DVD"/>
    <n v="104151"/>
    <s v="AB107843"/>
    <x v="9"/>
    <n v="893039"/>
    <x v="2"/>
  </r>
  <r>
    <n v="10252"/>
    <n v="2"/>
    <d v="2014-06-18T00:00:00"/>
    <s v="DVD"/>
    <n v="104153"/>
    <s v="AB107848"/>
    <x v="0"/>
    <n v="822823"/>
    <x v="2"/>
  </r>
  <r>
    <n v="10194"/>
    <n v="2"/>
    <d v="2014-06-21T00:00:00"/>
    <s v="DVD"/>
    <n v="104153"/>
    <s v="AB107849"/>
    <x v="16"/>
    <n v="822823"/>
    <x v="2"/>
  </r>
  <r>
    <n v="10265"/>
    <n v="4"/>
    <d v="2014-06-20T00:00:00"/>
    <s v="DVD"/>
    <n v="104155"/>
    <s v="AB107852"/>
    <x v="0"/>
    <n v="741398"/>
    <x v="2"/>
  </r>
  <r>
    <n v="10147"/>
    <n v="8"/>
    <d v="2014-06-19T00:00:00"/>
    <s v="DVD"/>
    <n v="104157"/>
    <s v="AB107854"/>
    <x v="10"/>
    <n v="877877"/>
    <x v="2"/>
  </r>
  <r>
    <n v="10171"/>
    <n v="6"/>
    <d v="2014-06-18T00:00:00"/>
    <s v="BLU-RAY"/>
    <n v="104158"/>
    <s v="AB107858"/>
    <x v="7"/>
    <n v="491380"/>
    <x v="2"/>
  </r>
  <r>
    <n v="10197"/>
    <n v="6"/>
    <d v="2014-06-20T00:00:00"/>
    <s v="DVD"/>
    <n v="104158"/>
    <s v="AB107859"/>
    <x v="0"/>
    <n v="491380"/>
    <x v="2"/>
  </r>
  <r>
    <n v="10287"/>
    <n v="3"/>
    <d v="2014-06-25T00:00:00"/>
    <s v="DVD"/>
    <n v="104160"/>
    <s v="AB107861"/>
    <x v="10"/>
    <n v="265133"/>
    <x v="2"/>
  </r>
  <r>
    <n v="10289"/>
    <n v="10"/>
    <d v="2014-06-19T00:00:00"/>
    <s v="DVD"/>
    <n v="104160"/>
    <s v="AB107863"/>
    <x v="11"/>
    <n v="265133"/>
    <x v="2"/>
  </r>
  <r>
    <n v="10280"/>
    <n v="2"/>
    <d v="2014-06-19T00:00:00"/>
    <s v="DVD"/>
    <n v="104161"/>
    <s v="AB107864"/>
    <x v="7"/>
    <n v="513968"/>
    <x v="2"/>
  </r>
  <r>
    <n v="10275"/>
    <n v="2"/>
    <d v="2014-06-20T00:00:00"/>
    <s v="DVD"/>
    <n v="104161"/>
    <s v="AB107865"/>
    <x v="10"/>
    <n v="513968"/>
    <x v="2"/>
  </r>
  <r>
    <n v="10203"/>
    <n v="4"/>
    <d v="2014-06-19T00:00:00"/>
    <s v="DVD"/>
    <n v="104162"/>
    <s v="AB107867"/>
    <x v="3"/>
    <n v="744648"/>
    <x v="2"/>
  </r>
  <r>
    <n v="10224"/>
    <n v="3"/>
    <d v="2014-06-20T00:00:00"/>
    <s v="BLU-RAY"/>
    <n v="104162"/>
    <s v="AB107868"/>
    <x v="17"/>
    <n v="744648"/>
    <x v="2"/>
  </r>
  <r>
    <n v="10069"/>
    <n v="7"/>
    <d v="2014-06-19T00:00:00"/>
    <s v="BLU-RAY"/>
    <n v="104162"/>
    <s v="AB107869"/>
    <x v="0"/>
    <n v="744648"/>
    <x v="2"/>
  </r>
  <r>
    <n v="10224"/>
    <n v="9"/>
    <d v="2014-06-19T00:00:00"/>
    <s v="DVD"/>
    <n v="104163"/>
    <s v="AB107871"/>
    <x v="17"/>
    <n v="458448"/>
    <x v="2"/>
  </r>
  <r>
    <n v="10162"/>
    <n v="10"/>
    <d v="2014-06-20T00:00:00"/>
    <s v="BLU-RAY"/>
    <n v="104164"/>
    <s v="AB107874"/>
    <x v="4"/>
    <n v="759995"/>
    <x v="2"/>
  </r>
  <r>
    <n v="10237"/>
    <n v="9"/>
    <d v="2014-06-20T00:00:00"/>
    <s v="DVD"/>
    <n v="104165"/>
    <s v="AB107875"/>
    <x v="0"/>
    <n v="737707"/>
    <x v="2"/>
  </r>
  <r>
    <n v="10218"/>
    <n v="8"/>
    <d v="2014-06-21T00:00:00"/>
    <s v="DVD"/>
    <n v="104165"/>
    <s v="AB107876"/>
    <x v="4"/>
    <n v="737707"/>
    <x v="2"/>
  </r>
  <r>
    <n v="10200"/>
    <n v="10"/>
    <d v="2014-06-22T00:00:00"/>
    <s v="DVD"/>
    <n v="104166"/>
    <s v="AB107877"/>
    <x v="9"/>
    <n v="556619"/>
    <x v="2"/>
  </r>
  <r>
    <n v="10189"/>
    <n v="1"/>
    <d v="2014-06-20T00:00:00"/>
    <s v="DVD"/>
    <n v="104167"/>
    <s v="AB107879"/>
    <x v="7"/>
    <n v="592726"/>
    <x v="2"/>
  </r>
  <r>
    <n v="10298"/>
    <n v="4"/>
    <d v="2014-06-20T00:00:00"/>
    <s v="DVD"/>
    <n v="104167"/>
    <s v="AB107881"/>
    <x v="19"/>
    <n v="592726"/>
    <x v="2"/>
  </r>
  <r>
    <n v="10055"/>
    <n v="10"/>
    <d v="2014-06-22T00:00:00"/>
    <s v="DVD"/>
    <n v="104168"/>
    <s v="AB107882"/>
    <x v="15"/>
    <n v="498153"/>
    <x v="2"/>
  </r>
  <r>
    <n v="10129"/>
    <n v="3"/>
    <d v="2014-06-20T00:00:00"/>
    <s v="DVD"/>
    <n v="104168"/>
    <s v="AB107883"/>
    <x v="0"/>
    <n v="498153"/>
    <x v="2"/>
  </r>
  <r>
    <n v="10025"/>
    <n v="3"/>
    <d v="2014-06-20T00:00:00"/>
    <s v="BLU-RAY"/>
    <n v="104172"/>
    <s v="AB107891"/>
    <x v="4"/>
    <n v="345748"/>
    <x v="2"/>
  </r>
  <r>
    <n v="10291"/>
    <n v="7"/>
    <d v="2014-06-20T00:00:00"/>
    <s v="DVD"/>
    <n v="104172"/>
    <s v="AB107893"/>
    <x v="0"/>
    <n v="345748"/>
    <x v="2"/>
  </r>
  <r>
    <n v="10197"/>
    <n v="9"/>
    <d v="2014-06-21T00:00:00"/>
    <s v="DVD"/>
    <n v="104173"/>
    <s v="AB107894"/>
    <x v="0"/>
    <n v="409910"/>
    <x v="2"/>
  </r>
  <r>
    <n v="10299"/>
    <n v="8"/>
    <d v="2014-06-21T00:00:00"/>
    <s v="DVD"/>
    <n v="104174"/>
    <s v="AB107895"/>
    <x v="22"/>
    <n v="345348"/>
    <x v="2"/>
  </r>
  <r>
    <n v="10223"/>
    <n v="7"/>
    <d v="2014-06-21T00:00:00"/>
    <s v="DVD"/>
    <n v="104175"/>
    <s v="AB107898"/>
    <x v="7"/>
    <n v="464984"/>
    <x v="2"/>
  </r>
  <r>
    <n v="10086"/>
    <n v="3"/>
    <d v="2014-06-22T00:00:00"/>
    <s v="DVD"/>
    <n v="104176"/>
    <s v="AB107901"/>
    <x v="3"/>
    <n v="575041"/>
    <x v="2"/>
  </r>
  <r>
    <n v="10288"/>
    <n v="9"/>
    <d v="2014-06-21T00:00:00"/>
    <s v="DVD"/>
    <n v="104177"/>
    <s v="AB107904"/>
    <x v="12"/>
    <n v="813719"/>
    <x v="2"/>
  </r>
  <r>
    <n v="10274"/>
    <n v="3"/>
    <d v="2014-06-24T00:00:00"/>
    <s v="DVD"/>
    <n v="104178"/>
    <s v="AB107905"/>
    <x v="9"/>
    <n v="301793"/>
    <x v="2"/>
  </r>
  <r>
    <n v="10172"/>
    <n v="7"/>
    <d v="2014-06-21T00:00:00"/>
    <s v="DVD"/>
    <n v="104179"/>
    <s v="AB107906"/>
    <x v="10"/>
    <n v="743517"/>
    <x v="2"/>
  </r>
  <r>
    <n v="10285"/>
    <n v="3"/>
    <d v="2014-06-22T00:00:00"/>
    <s v="BLU-RAY"/>
    <n v="104184"/>
    <s v="AB107913"/>
    <x v="20"/>
    <n v="161175"/>
    <x v="2"/>
  </r>
  <r>
    <n v="10236"/>
    <n v="4"/>
    <d v="2014-06-22T00:00:00"/>
    <s v="DVD"/>
    <n v="104185"/>
    <s v="AB107914"/>
    <x v="10"/>
    <n v="464984"/>
    <x v="2"/>
  </r>
  <r>
    <n v="10288"/>
    <n v="8"/>
    <d v="2014-06-22T00:00:00"/>
    <s v="DVD"/>
    <n v="104186"/>
    <s v="AB107916"/>
    <x v="12"/>
    <n v="782947"/>
    <x v="2"/>
  </r>
  <r>
    <n v="10289"/>
    <n v="3"/>
    <d v="2014-06-23T00:00:00"/>
    <s v="BLU-RAY"/>
    <n v="104186"/>
    <s v="AB107917"/>
    <x v="11"/>
    <n v="782947"/>
    <x v="2"/>
  </r>
  <r>
    <n v="10244"/>
    <n v="4"/>
    <d v="2014-06-23T00:00:00"/>
    <s v="DVD"/>
    <n v="104189"/>
    <s v="AB107919"/>
    <x v="4"/>
    <n v="657495"/>
    <x v="2"/>
  </r>
  <r>
    <n v="10224"/>
    <n v="7"/>
    <d v="2014-06-24T00:00:00"/>
    <s v="BLU-RAY"/>
    <n v="104190"/>
    <s v="AB107921"/>
    <x v="17"/>
    <n v="168607"/>
    <x v="2"/>
  </r>
  <r>
    <n v="10207"/>
    <n v="4"/>
    <d v="2014-06-23T00:00:00"/>
    <s v="DVD"/>
    <n v="104190"/>
    <s v="AB107922"/>
    <x v="1"/>
    <n v="168607"/>
    <x v="2"/>
  </r>
  <r>
    <n v="10088"/>
    <n v="2"/>
    <d v="2014-06-25T00:00:00"/>
    <s v="BLU-RAY"/>
    <n v="104191"/>
    <s v="AB107924"/>
    <x v="0"/>
    <n v="454143"/>
    <x v="2"/>
  </r>
  <r>
    <n v="10016"/>
    <n v="7"/>
    <d v="2014-06-23T00:00:00"/>
    <s v="DVD"/>
    <n v="104191"/>
    <s v="AB107926"/>
    <x v="7"/>
    <n v="454143"/>
    <x v="2"/>
  </r>
  <r>
    <n v="10038"/>
    <n v="8"/>
    <d v="2014-06-23T00:00:00"/>
    <s v="BLU-RAY"/>
    <n v="104192"/>
    <s v="AB107927"/>
    <x v="1"/>
    <n v="465275"/>
    <x v="2"/>
  </r>
  <r>
    <n v="10057"/>
    <n v="9"/>
    <d v="2014-06-24T00:00:00"/>
    <s v="DVD"/>
    <n v="104192"/>
    <s v="AB107928"/>
    <x v="0"/>
    <n v="465275"/>
    <x v="2"/>
  </r>
  <r>
    <n v="10174"/>
    <n v="1"/>
    <d v="2014-06-24T00:00:00"/>
    <s v="DVD"/>
    <n v="104193"/>
    <s v="AB107929"/>
    <x v="7"/>
    <n v="241144"/>
    <x v="2"/>
  </r>
  <r>
    <n v="10281"/>
    <n v="10"/>
    <d v="2014-06-23T00:00:00"/>
    <s v="DVD"/>
    <n v="104193"/>
    <s v="AB107930"/>
    <x v="10"/>
    <n v="241144"/>
    <x v="2"/>
  </r>
  <r>
    <n v="10144"/>
    <n v="5"/>
    <d v="2014-06-24T00:00:00"/>
    <s v="DVD"/>
    <n v="104196"/>
    <s v="AB107935"/>
    <x v="2"/>
    <n v="882493"/>
    <x v="2"/>
  </r>
  <r>
    <n v="10128"/>
    <n v="7"/>
    <d v="2014-06-24T00:00:00"/>
    <s v="DVD"/>
    <n v="104196"/>
    <s v="AB107936"/>
    <x v="6"/>
    <n v="882493"/>
    <x v="2"/>
  </r>
  <r>
    <n v="10099"/>
    <n v="8"/>
    <d v="2014-06-25T00:00:00"/>
    <s v="DVD"/>
    <n v="104197"/>
    <s v="AB107938"/>
    <x v="10"/>
    <n v="905670"/>
    <x v="2"/>
  </r>
  <r>
    <n v="10164"/>
    <n v="5"/>
    <d v="2014-06-25T00:00:00"/>
    <s v="DVD"/>
    <n v="104198"/>
    <s v="AB107939"/>
    <x v="2"/>
    <n v="549823"/>
    <x v="2"/>
  </r>
  <r>
    <n v="10289"/>
    <n v="6"/>
    <d v="2014-06-24T00:00:00"/>
    <s v="DVD"/>
    <n v="104199"/>
    <s v="AB107943"/>
    <x v="11"/>
    <n v="707458"/>
    <x v="2"/>
  </r>
  <r>
    <n v="10349"/>
    <n v="4"/>
    <d v="2014-06-24T00:00:00"/>
    <s v="DVD"/>
    <n v="104200"/>
    <s v="AB107945"/>
    <x v="8"/>
    <n v="105549"/>
    <x v="2"/>
  </r>
  <r>
    <n v="10290"/>
    <n v="6"/>
    <d v="2014-06-25T00:00:00"/>
    <s v="DVD"/>
    <n v="104203"/>
    <s v="AB107948"/>
    <x v="2"/>
    <n v="825249"/>
    <x v="2"/>
  </r>
  <r>
    <n v="10265"/>
    <n v="8"/>
    <d v="2014-06-25T00:00:00"/>
    <s v="DVD"/>
    <n v="104203"/>
    <s v="AB107949"/>
    <x v="0"/>
    <n v="825249"/>
    <x v="2"/>
  </r>
  <r>
    <n v="10147"/>
    <n v="5"/>
    <d v="2014-06-29T00:00:00"/>
    <s v="DVD"/>
    <n v="104204"/>
    <s v="AB107950"/>
    <x v="10"/>
    <n v="996970"/>
    <x v="2"/>
  </r>
  <r>
    <n v="10158"/>
    <n v="2"/>
    <d v="2014-06-25T00:00:00"/>
    <s v="DVD"/>
    <n v="104204"/>
    <s v="AB107951"/>
    <x v="0"/>
    <n v="996970"/>
    <x v="2"/>
  </r>
  <r>
    <n v="10212"/>
    <n v="9"/>
    <d v="2014-06-26T00:00:00"/>
    <s v="DVD"/>
    <n v="104205"/>
    <s v="AB107953"/>
    <x v="10"/>
    <n v="345348"/>
    <x v="2"/>
  </r>
  <r>
    <n v="10250"/>
    <n v="7"/>
    <d v="2014-06-28T00:00:00"/>
    <s v="DVD"/>
    <n v="104206"/>
    <s v="AB107955"/>
    <x v="3"/>
    <n v="892883"/>
    <x v="2"/>
  </r>
  <r>
    <n v="10268"/>
    <n v="3"/>
    <d v="2014-06-25T00:00:00"/>
    <s v="DVD"/>
    <n v="104206"/>
    <s v="AB107956"/>
    <x v="3"/>
    <n v="892883"/>
    <x v="2"/>
  </r>
  <r>
    <n v="10188"/>
    <n v="4"/>
    <d v="2014-06-27T00:00:00"/>
    <s v="DVD"/>
    <n v="104209"/>
    <s v="AB107960"/>
    <x v="1"/>
    <n v="964403"/>
    <x v="2"/>
  </r>
  <r>
    <n v="10250"/>
    <n v="4"/>
    <d v="2014-06-26T00:00:00"/>
    <s v="DVD"/>
    <n v="104210"/>
    <s v="AB107962"/>
    <x v="3"/>
    <n v="116934"/>
    <x v="2"/>
  </r>
  <r>
    <n v="10230"/>
    <n v="6"/>
    <d v="2014-06-27T00:00:00"/>
    <s v="DVD"/>
    <n v="104211"/>
    <s v="AB107964"/>
    <x v="14"/>
    <n v="105771"/>
    <x v="2"/>
  </r>
  <r>
    <n v="10215"/>
    <n v="6"/>
    <d v="2014-06-27T00:00:00"/>
    <s v="BLU-RAY"/>
    <n v="104211"/>
    <s v="AB107965"/>
    <x v="1"/>
    <n v="105771"/>
    <x v="2"/>
  </r>
  <r>
    <n v="10067"/>
    <n v="5"/>
    <d v="2014-06-26T00:00:00"/>
    <s v="DVD"/>
    <n v="104212"/>
    <s v="AB107966"/>
    <x v="1"/>
    <n v="592528"/>
    <x v="2"/>
  </r>
  <r>
    <n v="10072"/>
    <n v="6"/>
    <d v="2014-06-29T00:00:00"/>
    <s v="DVD"/>
    <n v="104212"/>
    <s v="AB107967"/>
    <x v="1"/>
    <n v="592528"/>
    <x v="2"/>
  </r>
  <r>
    <n v="10073"/>
    <n v="7"/>
    <d v="2014-06-30T00:00:00"/>
    <s v="DVD"/>
    <n v="104213"/>
    <s v="AB107970"/>
    <x v="16"/>
    <n v="905670"/>
    <x v="2"/>
  </r>
  <r>
    <n v="10280"/>
    <n v="8"/>
    <d v="2014-06-28T00:00:00"/>
    <s v="DVD"/>
    <n v="104213"/>
    <s v="AB107971"/>
    <x v="7"/>
    <n v="905670"/>
    <x v="2"/>
  </r>
  <r>
    <n v="10233"/>
    <n v="6"/>
    <d v="2014-06-29T00:00:00"/>
    <s v="DVD"/>
    <n v="104214"/>
    <s v="AB107973"/>
    <x v="8"/>
    <n v="433442"/>
    <x v="2"/>
  </r>
  <r>
    <n v="10267"/>
    <n v="4"/>
    <d v="2014-06-27T00:00:00"/>
    <s v="DVD"/>
    <n v="104218"/>
    <s v="AB107982"/>
    <x v="6"/>
    <n v="567719"/>
    <x v="2"/>
  </r>
  <r>
    <n v="10137"/>
    <n v="1"/>
    <d v="2014-06-28T00:00:00"/>
    <s v="BLU-RAY"/>
    <n v="104219"/>
    <s v="AB107983"/>
    <x v="3"/>
    <n v="417823"/>
    <x v="2"/>
  </r>
  <r>
    <n v="10299"/>
    <n v="5"/>
    <d v="2014-06-28T00:00:00"/>
    <s v="DVD"/>
    <n v="104220"/>
    <s v="AB107984"/>
    <x v="22"/>
    <n v="346006"/>
    <x v="2"/>
  </r>
  <r>
    <n v="10274"/>
    <n v="10"/>
    <d v="2014-06-27T00:00:00"/>
    <s v="DVD"/>
    <n v="104220"/>
    <s v="AB107985"/>
    <x v="9"/>
    <n v="346006"/>
    <x v="2"/>
  </r>
  <r>
    <n v="10235"/>
    <n v="8"/>
    <d v="2014-06-27T00:00:00"/>
    <s v="BLU-RAY"/>
    <n v="104223"/>
    <s v="AB107992"/>
    <x v="10"/>
    <n v="798336"/>
    <x v="2"/>
  </r>
  <r>
    <n v="10192"/>
    <n v="7"/>
    <d v="2014-06-27T00:00:00"/>
    <s v="DVD"/>
    <n v="104224"/>
    <s v="AB107994"/>
    <x v="7"/>
    <n v="951702"/>
    <x v="2"/>
  </r>
  <r>
    <n v="10064"/>
    <n v="3"/>
    <d v="2014-06-27T00:00:00"/>
    <s v="DVD"/>
    <n v="104224"/>
    <s v="AB107996"/>
    <x v="7"/>
    <n v="951702"/>
    <x v="2"/>
  </r>
  <r>
    <n v="10219"/>
    <n v="3"/>
    <d v="2014-06-28T00:00:00"/>
    <s v="DVD"/>
    <n v="104225"/>
    <s v="AB107997"/>
    <x v="1"/>
    <n v="798336"/>
    <x v="2"/>
  </r>
  <r>
    <n v="10169"/>
    <n v="3"/>
    <d v="2014-06-29T00:00:00"/>
    <s v="DVD"/>
    <n v="104228"/>
    <s v="AB108003"/>
    <x v="0"/>
    <n v="580783"/>
    <x v="2"/>
  </r>
  <r>
    <n v="10219"/>
    <n v="7"/>
    <d v="2014-07-03T00:00:00"/>
    <s v="DVD"/>
    <n v="104228"/>
    <s v="AB108004"/>
    <x v="1"/>
    <n v="580783"/>
    <x v="2"/>
  </r>
  <r>
    <n v="10126"/>
    <n v="7"/>
    <d v="2014-07-05T00:00:00"/>
    <s v="DVD"/>
    <n v="104228"/>
    <s v="AB108005"/>
    <x v="9"/>
    <n v="580783"/>
    <x v="2"/>
  </r>
  <r>
    <n v="10273"/>
    <n v="9"/>
    <d v="2014-06-29T00:00:00"/>
    <s v="DVD"/>
    <n v="104229"/>
    <s v="AB108006"/>
    <x v="4"/>
    <n v="119406"/>
    <x v="2"/>
  </r>
  <r>
    <n v="10026"/>
    <n v="1"/>
    <d v="2014-07-03T00:00:00"/>
    <s v="DVD"/>
    <n v="104229"/>
    <s v="AB108008"/>
    <x v="9"/>
    <n v="119406"/>
    <x v="2"/>
  </r>
  <r>
    <n v="10171"/>
    <n v="10"/>
    <d v="2014-06-28T00:00:00"/>
    <s v="DVD"/>
    <n v="104230"/>
    <s v="AB108009"/>
    <x v="7"/>
    <n v="216475"/>
    <x v="2"/>
  </r>
  <r>
    <n v="10147"/>
    <n v="3"/>
    <d v="2014-07-01T00:00:00"/>
    <s v="DVD"/>
    <n v="104230"/>
    <s v="AB108011"/>
    <x v="10"/>
    <n v="216475"/>
    <x v="2"/>
  </r>
  <r>
    <n v="10182"/>
    <n v="7"/>
    <d v="2014-06-29T00:00:00"/>
    <s v="BLU-RAY"/>
    <n v="104231"/>
    <s v="AB108013"/>
    <x v="0"/>
    <n v="371731"/>
    <x v="2"/>
  </r>
  <r>
    <n v="10216"/>
    <n v="9"/>
    <d v="2014-06-28T00:00:00"/>
    <s v="DVD"/>
    <n v="104231"/>
    <s v="AB108014"/>
    <x v="4"/>
    <n v="371731"/>
    <x v="2"/>
  </r>
  <r>
    <n v="10190"/>
    <n v="7"/>
    <d v="2014-06-29T00:00:00"/>
    <s v="DVD"/>
    <n v="104232"/>
    <s v="AB108015"/>
    <x v="10"/>
    <n v="822823"/>
    <x v="2"/>
  </r>
  <r>
    <n v="10299"/>
    <n v="5"/>
    <d v="2014-06-29T00:00:00"/>
    <s v="DVD"/>
    <n v="104232"/>
    <s v="AB108017"/>
    <x v="22"/>
    <n v="822823"/>
    <x v="2"/>
  </r>
  <r>
    <n v="10065"/>
    <n v="5"/>
    <d v="2014-07-03T00:00:00"/>
    <s v="DVD"/>
    <n v="104233"/>
    <s v="AB108018"/>
    <x v="0"/>
    <n v="548546"/>
    <x v="2"/>
  </r>
  <r>
    <n v="10280"/>
    <n v="3"/>
    <d v="2014-07-01T00:00:00"/>
    <s v="DVD"/>
    <n v="104234"/>
    <s v="AB108021"/>
    <x v="7"/>
    <n v="815980"/>
    <x v="2"/>
  </r>
  <r>
    <n v="10283"/>
    <n v="5"/>
    <d v="2014-06-29T00:00:00"/>
    <s v="DVD"/>
    <n v="104235"/>
    <s v="AB108023"/>
    <x v="6"/>
    <n v="520196"/>
    <x v="2"/>
  </r>
  <r>
    <n v="10177"/>
    <n v="3"/>
    <d v="2014-06-29T00:00:00"/>
    <s v="DVD"/>
    <n v="104235"/>
    <s v="AB108024"/>
    <x v="9"/>
    <n v="520196"/>
    <x v="2"/>
  </r>
  <r>
    <n v="10130"/>
    <n v="5"/>
    <d v="2014-07-06T00:00:00"/>
    <s v="DVD"/>
    <n v="104236"/>
    <s v="AB108026"/>
    <x v="21"/>
    <n v="817274"/>
    <x v="2"/>
  </r>
  <r>
    <n v="10254"/>
    <n v="8"/>
    <d v="2014-06-29T00:00:00"/>
    <s v="DVD"/>
    <n v="104236"/>
    <s v="AB108027"/>
    <x v="1"/>
    <n v="817274"/>
    <x v="2"/>
  </r>
  <r>
    <n v="10231"/>
    <n v="1"/>
    <d v="2014-07-01T00:00:00"/>
    <s v="DVD"/>
    <n v="104239"/>
    <s v="AB108030"/>
    <x v="7"/>
    <n v="353846"/>
    <x v="2"/>
  </r>
  <r>
    <n v="10234"/>
    <n v="2"/>
    <d v="2014-06-30T00:00:00"/>
    <s v="BLU-RAY"/>
    <n v="104239"/>
    <s v="AB108032"/>
    <x v="0"/>
    <n v="353846"/>
    <x v="2"/>
  </r>
  <r>
    <n v="10248"/>
    <n v="9"/>
    <d v="2014-06-30T00:00:00"/>
    <s v="DVD"/>
    <n v="104240"/>
    <s v="AB108034"/>
    <x v="12"/>
    <n v="563500"/>
    <x v="2"/>
  </r>
  <r>
    <n v="10155"/>
    <n v="9"/>
    <d v="2014-07-02T00:00:00"/>
    <s v="DVD"/>
    <n v="104241"/>
    <s v="AB108038"/>
    <x v="9"/>
    <n v="852925"/>
    <x v="2"/>
  </r>
  <r>
    <n v="10169"/>
    <n v="1"/>
    <d v="2014-07-02T00:00:00"/>
    <s v="DVD"/>
    <n v="104245"/>
    <s v="AB108042"/>
    <x v="0"/>
    <n v="992895"/>
    <x v="2"/>
  </r>
  <r>
    <n v="10060"/>
    <n v="6"/>
    <d v="2014-07-02T00:00:00"/>
    <s v="BLU-RAY"/>
    <n v="104247"/>
    <s v="AB108046"/>
    <x v="0"/>
    <n v="396166"/>
    <x v="2"/>
  </r>
  <r>
    <n v="10250"/>
    <n v="5"/>
    <d v="2014-07-05T00:00:00"/>
    <s v="DVD"/>
    <n v="104248"/>
    <s v="AB108048"/>
    <x v="3"/>
    <n v="420981"/>
    <x v="2"/>
  </r>
  <r>
    <n v="10192"/>
    <n v="4"/>
    <d v="2014-07-01T00:00:00"/>
    <s v="BLU-RAY"/>
    <n v="104248"/>
    <s v="AB108049"/>
    <x v="7"/>
    <n v="420981"/>
    <x v="2"/>
  </r>
  <r>
    <n v="10201"/>
    <n v="10"/>
    <d v="2014-07-02T00:00:00"/>
    <s v="DVD"/>
    <n v="104249"/>
    <s v="AB108051"/>
    <x v="8"/>
    <n v="380003"/>
    <x v="2"/>
  </r>
  <r>
    <n v="10175"/>
    <n v="1"/>
    <d v="2014-07-02T00:00:00"/>
    <s v="DVD"/>
    <n v="104249"/>
    <s v="AB108052"/>
    <x v="3"/>
    <n v="380003"/>
    <x v="2"/>
  </r>
  <r>
    <n v="10269"/>
    <n v="4"/>
    <d v="2014-07-01T00:00:00"/>
    <s v="DVD"/>
    <n v="104251"/>
    <s v="AB108057"/>
    <x v="3"/>
    <n v="796796"/>
    <x v="2"/>
  </r>
  <r>
    <n v="10121"/>
    <n v="4"/>
    <d v="2014-07-03T00:00:00"/>
    <s v="DVD"/>
    <n v="104252"/>
    <s v="AB108059"/>
    <x v="2"/>
    <n v="393893"/>
    <x v="2"/>
  </r>
  <r>
    <n v="10297"/>
    <n v="1"/>
    <d v="2014-07-02T00:00:00"/>
    <s v="DVD"/>
    <n v="104252"/>
    <s v="AB108060"/>
    <x v="14"/>
    <n v="393893"/>
    <x v="2"/>
  </r>
  <r>
    <n v="10138"/>
    <n v="5"/>
    <d v="2014-07-03T00:00:00"/>
    <s v="DVD"/>
    <n v="104253"/>
    <s v="AB108063"/>
    <x v="7"/>
    <n v="667170"/>
    <x v="2"/>
  </r>
  <r>
    <n v="10217"/>
    <n v="8"/>
    <d v="2014-07-02T00:00:00"/>
    <s v="DVD"/>
    <n v="104254"/>
    <s v="AB108064"/>
    <x v="0"/>
    <n v="112690"/>
    <x v="2"/>
  </r>
  <r>
    <n v="10152"/>
    <n v="9"/>
    <d v="2014-07-02T00:00:00"/>
    <s v="DVD"/>
    <n v="104257"/>
    <s v="AB108072"/>
    <x v="16"/>
    <n v="996970"/>
    <x v="2"/>
  </r>
  <r>
    <n v="10396"/>
    <n v="2"/>
    <d v="2014-07-03T00:00:00"/>
    <s v="DVD"/>
    <n v="104259"/>
    <s v="AB108073"/>
    <x v="23"/>
    <n v="728908"/>
    <x v="2"/>
  </r>
  <r>
    <n v="10223"/>
    <n v="8"/>
    <d v="2014-07-03T00:00:00"/>
    <s v="DVD"/>
    <n v="104260"/>
    <s v="AB108078"/>
    <x v="7"/>
    <n v="840096"/>
    <x v="2"/>
  </r>
  <r>
    <n v="10263"/>
    <n v="9"/>
    <d v="2014-07-06T00:00:00"/>
    <s v="DVD"/>
    <n v="104261"/>
    <s v="AB108080"/>
    <x v="9"/>
    <n v="412544"/>
    <x v="2"/>
  </r>
  <r>
    <n v="10250"/>
    <n v="2"/>
    <d v="2014-07-05T00:00:00"/>
    <s v="DVD"/>
    <n v="104263"/>
    <s v="AB108085"/>
    <x v="3"/>
    <n v="734514"/>
    <x v="2"/>
  </r>
  <r>
    <n v="10274"/>
    <n v="2"/>
    <d v="2014-07-07T00:00:00"/>
    <s v="DVD"/>
    <n v="104264"/>
    <s v="AB108086"/>
    <x v="9"/>
    <n v="612681"/>
    <x v="2"/>
  </r>
  <r>
    <n v="10240"/>
    <n v="6"/>
    <d v="2014-07-03T00:00:00"/>
    <s v="DVD"/>
    <n v="104264"/>
    <s v="AB108087"/>
    <x v="0"/>
    <n v="612681"/>
    <x v="2"/>
  </r>
  <r>
    <n v="10140"/>
    <n v="2"/>
    <d v="2014-07-04T00:00:00"/>
    <s v="DVD"/>
    <n v="104265"/>
    <s v="AB108088"/>
    <x v="2"/>
    <n v="556619"/>
    <x v="2"/>
  </r>
  <r>
    <n v="10200"/>
    <n v="4"/>
    <d v="2014-07-05T00:00:00"/>
    <s v="BLU-RAY"/>
    <n v="104266"/>
    <s v="AB108090"/>
    <x v="9"/>
    <n v="566192"/>
    <x v="2"/>
  </r>
  <r>
    <n v="10282"/>
    <n v="1"/>
    <d v="2014-07-03T00:00:00"/>
    <s v="DVD"/>
    <n v="104266"/>
    <s v="AB108091"/>
    <x v="15"/>
    <n v="566192"/>
    <x v="2"/>
  </r>
  <r>
    <n v="10166"/>
    <n v="7"/>
    <d v="2014-07-04T00:00:00"/>
    <s v="DVD"/>
    <n v="104267"/>
    <s v="AB108094"/>
    <x v="9"/>
    <n v="404678"/>
    <x v="2"/>
  </r>
  <r>
    <n v="10193"/>
    <n v="2"/>
    <d v="2014-07-04T00:00:00"/>
    <s v="DVD"/>
    <n v="104267"/>
    <s v="AB108095"/>
    <x v="9"/>
    <n v="404678"/>
    <x v="2"/>
  </r>
  <r>
    <n v="10241"/>
    <n v="2"/>
    <d v="2014-07-04T00:00:00"/>
    <s v="DVD"/>
    <n v="104269"/>
    <s v="AB108097"/>
    <x v="0"/>
    <n v="908328"/>
    <x v="2"/>
  </r>
  <r>
    <n v="10250"/>
    <n v="2"/>
    <d v="2014-07-06T00:00:00"/>
    <s v="DVD"/>
    <n v="104271"/>
    <s v="AB108101"/>
    <x v="3"/>
    <n v="756928"/>
    <x v="2"/>
  </r>
  <r>
    <n v="10239"/>
    <n v="2"/>
    <d v="2014-07-05T00:00:00"/>
    <s v="DVD"/>
    <n v="104275"/>
    <s v="AB108104"/>
    <x v="2"/>
    <n v="494106"/>
    <x v="2"/>
  </r>
  <r>
    <n v="10230"/>
    <n v="10"/>
    <d v="2014-07-05T00:00:00"/>
    <s v="BLU-RAY"/>
    <n v="104276"/>
    <s v="AB108107"/>
    <x v="14"/>
    <n v="921792"/>
    <x v="2"/>
  </r>
  <r>
    <n v="10289"/>
    <n v="2"/>
    <d v="2014-07-05T00:00:00"/>
    <s v="BLU-RAY"/>
    <n v="104276"/>
    <s v="AB108108"/>
    <x v="11"/>
    <n v="921792"/>
    <x v="2"/>
  </r>
  <r>
    <n v="10127"/>
    <n v="5"/>
    <d v="2014-07-09T00:00:00"/>
    <s v="DVD"/>
    <n v="104277"/>
    <s v="AB108111"/>
    <x v="6"/>
    <n v="385115"/>
    <x v="2"/>
  </r>
  <r>
    <n v="10149"/>
    <n v="8"/>
    <d v="2014-07-08T00:00:00"/>
    <s v="DVD"/>
    <n v="104278"/>
    <s v="AB108113"/>
    <x v="12"/>
    <n v="432268"/>
    <x v="2"/>
  </r>
  <r>
    <n v="10148"/>
    <n v="6"/>
    <d v="2014-07-05T00:00:00"/>
    <s v="DVD"/>
    <n v="104279"/>
    <s v="AB108114"/>
    <x v="1"/>
    <n v="559486"/>
    <x v="2"/>
  </r>
  <r>
    <n v="10286"/>
    <n v="7"/>
    <d v="2014-07-06T00:00:00"/>
    <s v="DVD"/>
    <n v="104279"/>
    <s v="AB108116"/>
    <x v="17"/>
    <n v="559486"/>
    <x v="2"/>
  </r>
  <r>
    <n v="10143"/>
    <n v="7"/>
    <d v="2014-07-05T00:00:00"/>
    <s v="DVD"/>
    <n v="104281"/>
    <s v="AB108119"/>
    <x v="3"/>
    <n v="249779"/>
    <x v="2"/>
  </r>
  <r>
    <n v="10291"/>
    <n v="6"/>
    <d v="2014-07-08T00:00:00"/>
    <s v="DVD"/>
    <n v="104282"/>
    <s v="AB108120"/>
    <x v="0"/>
    <n v="890497"/>
    <x v="2"/>
  </r>
  <r>
    <n v="10216"/>
    <n v="5"/>
    <d v="2014-07-07T00:00:00"/>
    <s v="DVD"/>
    <n v="104282"/>
    <s v="AB108121"/>
    <x v="4"/>
    <n v="890497"/>
    <x v="2"/>
  </r>
  <r>
    <n v="10289"/>
    <n v="6"/>
    <d v="2014-07-06T00:00:00"/>
    <s v="DVD"/>
    <n v="104282"/>
    <s v="AB108122"/>
    <x v="11"/>
    <n v="890497"/>
    <x v="2"/>
  </r>
  <r>
    <n v="10238"/>
    <n v="8"/>
    <d v="2014-07-07T00:00:00"/>
    <s v="DVD"/>
    <n v="104283"/>
    <s v="AB108123"/>
    <x v="0"/>
    <n v="111991"/>
    <x v="2"/>
  </r>
  <r>
    <n v="10160"/>
    <n v="2"/>
    <d v="2014-07-07T00:00:00"/>
    <s v="DVD"/>
    <n v="104283"/>
    <s v="AB108124"/>
    <x v="10"/>
    <n v="111991"/>
    <x v="2"/>
  </r>
  <r>
    <n v="10270"/>
    <n v="4"/>
    <d v="2014-07-06T00:00:00"/>
    <s v="BLU-RAY"/>
    <n v="104284"/>
    <s v="AB108125"/>
    <x v="9"/>
    <n v="266633"/>
    <x v="2"/>
  </r>
  <r>
    <n v="10211"/>
    <n v="2"/>
    <d v="2014-07-07T00:00:00"/>
    <s v="BLU-RAY"/>
    <n v="104285"/>
    <s v="AB108126"/>
    <x v="3"/>
    <n v="707458"/>
    <x v="2"/>
  </r>
  <r>
    <n v="10217"/>
    <n v="9"/>
    <d v="2014-07-06T00:00:00"/>
    <s v="DVD"/>
    <n v="104285"/>
    <s v="AB108127"/>
    <x v="0"/>
    <n v="707458"/>
    <x v="2"/>
  </r>
  <r>
    <n v="10215"/>
    <n v="6"/>
    <d v="2014-07-06T00:00:00"/>
    <s v="BLU-RAY"/>
    <n v="104287"/>
    <s v="AB108129"/>
    <x v="1"/>
    <n v="170500"/>
    <x v="2"/>
  </r>
  <r>
    <n v="10354"/>
    <n v="2"/>
    <d v="2014-07-06T00:00:00"/>
    <s v="DVD"/>
    <n v="104288"/>
    <s v="AB108130"/>
    <x v="3"/>
    <n v="977759"/>
    <x v="2"/>
  </r>
  <r>
    <n v="10237"/>
    <n v="9"/>
    <d v="2014-07-08T00:00:00"/>
    <s v="DVD"/>
    <n v="104288"/>
    <s v="AB108132"/>
    <x v="0"/>
    <n v="977759"/>
    <x v="2"/>
  </r>
  <r>
    <n v="10082"/>
    <n v="5"/>
    <d v="2014-07-08T00:00:00"/>
    <s v="BLU-RAY"/>
    <n v="104294"/>
    <s v="AB108140"/>
    <x v="3"/>
    <n v="739440"/>
    <x v="2"/>
  </r>
  <r>
    <n v="10280"/>
    <n v="6"/>
    <d v="2014-07-07T00:00:00"/>
    <s v="DVD"/>
    <n v="104296"/>
    <s v="AB108142"/>
    <x v="7"/>
    <n v="233956"/>
    <x v="2"/>
  </r>
  <r>
    <n v="10158"/>
    <n v="7"/>
    <d v="2014-07-08T00:00:00"/>
    <s v="DVD"/>
    <n v="104298"/>
    <s v="AB108145"/>
    <x v="0"/>
    <n v="296886"/>
    <x v="2"/>
  </r>
  <r>
    <n v="10148"/>
    <n v="10"/>
    <d v="2014-07-10T00:00:00"/>
    <s v="BLU-RAY"/>
    <n v="104302"/>
    <s v="AB108153"/>
    <x v="1"/>
    <n v="491380"/>
    <x v="2"/>
  </r>
  <r>
    <n v="10245"/>
    <n v="7"/>
    <d v="2014-07-08T00:00:00"/>
    <s v="BLU-RAY"/>
    <n v="104303"/>
    <s v="AB108155"/>
    <x v="0"/>
    <n v="559486"/>
    <x v="2"/>
  </r>
  <r>
    <n v="10018"/>
    <n v="8"/>
    <d v="2014-07-09T00:00:00"/>
    <s v="DVD"/>
    <n v="104303"/>
    <s v="AB108156"/>
    <x v="9"/>
    <n v="559486"/>
    <x v="2"/>
  </r>
  <r>
    <n v="10286"/>
    <n v="10"/>
    <d v="2014-07-10T00:00:00"/>
    <s v="DVD"/>
    <n v="104305"/>
    <s v="AB108160"/>
    <x v="17"/>
    <n v="214537"/>
    <x v="2"/>
  </r>
  <r>
    <n v="10176"/>
    <n v="3"/>
    <d v="2014-07-09T00:00:00"/>
    <s v="BLU-RAY"/>
    <n v="104306"/>
    <s v="AB108161"/>
    <x v="7"/>
    <n v="775449"/>
    <x v="2"/>
  </r>
  <r>
    <n v="10150"/>
    <n v="8"/>
    <d v="2014-07-10T00:00:00"/>
    <s v="DVD"/>
    <n v="104308"/>
    <s v="AB108165"/>
    <x v="14"/>
    <n v="306853"/>
    <x v="2"/>
  </r>
  <r>
    <n v="10155"/>
    <n v="1"/>
    <d v="2014-07-12T00:00:00"/>
    <s v="DVD"/>
    <n v="104309"/>
    <s v="AB108166"/>
    <x v="9"/>
    <n v="166135"/>
    <x v="2"/>
  </r>
  <r>
    <n v="10282"/>
    <n v="6"/>
    <d v="2014-07-09T00:00:00"/>
    <s v="DVD"/>
    <n v="104312"/>
    <s v="AB108172"/>
    <x v="15"/>
    <n v="552124"/>
    <x v="2"/>
  </r>
  <r>
    <n v="10225"/>
    <n v="8"/>
    <d v="2014-07-09T00:00:00"/>
    <s v="DVD"/>
    <n v="104312"/>
    <s v="AB108173"/>
    <x v="0"/>
    <n v="552124"/>
    <x v="2"/>
  </r>
  <r>
    <n v="10098"/>
    <n v="2"/>
    <d v="2014-07-10T00:00:00"/>
    <s v="BLU-RAY"/>
    <n v="104314"/>
    <s v="AB108175"/>
    <x v="0"/>
    <n v="912671"/>
    <x v="2"/>
  </r>
  <r>
    <n v="10285"/>
    <n v="9"/>
    <d v="2014-07-13T00:00:00"/>
    <s v="DVD"/>
    <n v="104315"/>
    <s v="AB108177"/>
    <x v="20"/>
    <n v="785444"/>
    <x v="2"/>
  </r>
  <r>
    <n v="10197"/>
    <n v="7"/>
    <d v="2014-07-10T00:00:00"/>
    <s v="DVD"/>
    <n v="104316"/>
    <s v="AB108179"/>
    <x v="0"/>
    <n v="370870"/>
    <x v="2"/>
  </r>
  <r>
    <n v="10226"/>
    <n v="9"/>
    <d v="2014-07-10T00:00:00"/>
    <s v="DVD"/>
    <n v="104316"/>
    <s v="AB108180"/>
    <x v="4"/>
    <n v="370870"/>
    <x v="2"/>
  </r>
  <r>
    <n v="10197"/>
    <n v="1"/>
    <d v="2014-07-10T00:00:00"/>
    <s v="DVD"/>
    <n v="104317"/>
    <s v="AB108181"/>
    <x v="0"/>
    <n v="632495"/>
    <x v="2"/>
  </r>
  <r>
    <n v="10019"/>
    <n v="3"/>
    <d v="2014-07-12T00:00:00"/>
    <s v="BLU-RAY"/>
    <n v="104320"/>
    <s v="AB108186"/>
    <x v="9"/>
    <n v="554099"/>
    <x v="2"/>
  </r>
  <r>
    <n v="10194"/>
    <n v="5"/>
    <d v="2014-07-11T00:00:00"/>
    <s v="DVD"/>
    <n v="104324"/>
    <s v="AB108189"/>
    <x v="16"/>
    <n v="632495"/>
    <x v="2"/>
  </r>
  <r>
    <n v="10196"/>
    <n v="3"/>
    <d v="2014-07-11T00:00:00"/>
    <s v="DVD"/>
    <n v="104325"/>
    <s v="AB108191"/>
    <x v="9"/>
    <n v="447601"/>
    <x v="2"/>
  </r>
  <r>
    <n v="10112"/>
    <n v="10"/>
    <d v="2014-07-13T00:00:00"/>
    <s v="DVD"/>
    <n v="104327"/>
    <s v="AB108195"/>
    <x v="12"/>
    <n v="227456"/>
    <x v="2"/>
  </r>
  <r>
    <n v="10152"/>
    <n v="5"/>
    <d v="2014-07-14T00:00:00"/>
    <s v="DVD"/>
    <n v="104331"/>
    <s v="AB108203"/>
    <x v="16"/>
    <n v="393893"/>
    <x v="2"/>
  </r>
  <r>
    <n v="10177"/>
    <n v="2"/>
    <d v="2014-07-13T00:00:00"/>
    <s v="DVD"/>
    <n v="104333"/>
    <s v="AB108206"/>
    <x v="9"/>
    <n v="230467"/>
    <x v="2"/>
  </r>
  <r>
    <n v="10176"/>
    <n v="2"/>
    <d v="2014-07-14T00:00:00"/>
    <s v="DVD"/>
    <n v="104334"/>
    <s v="AB108207"/>
    <x v="7"/>
    <n v="175940"/>
    <x v="2"/>
  </r>
  <r>
    <n v="10050"/>
    <n v="3"/>
    <d v="2014-07-13T00:00:00"/>
    <s v="DVD"/>
    <n v="104334"/>
    <s v="AB108208"/>
    <x v="1"/>
    <n v="175940"/>
    <x v="2"/>
  </r>
  <r>
    <n v="10068"/>
    <n v="3"/>
    <d v="2014-07-18T00:00:00"/>
    <s v="BLU-RAY"/>
    <n v="104336"/>
    <s v="AB108213"/>
    <x v="0"/>
    <n v="331115"/>
    <x v="2"/>
  </r>
  <r>
    <n v="10279"/>
    <n v="9"/>
    <d v="2014-07-14T00:00:00"/>
    <s v="DVD"/>
    <n v="104337"/>
    <s v="AB108214"/>
    <x v="8"/>
    <n v="759995"/>
    <x v="2"/>
  </r>
  <r>
    <n v="10171"/>
    <n v="5"/>
    <d v="2014-07-14T00:00:00"/>
    <s v="DVD"/>
    <n v="104338"/>
    <s v="AB108218"/>
    <x v="7"/>
    <n v="516619"/>
    <x v="2"/>
  </r>
  <r>
    <n v="10126"/>
    <n v="5"/>
    <d v="2014-07-16T00:00:00"/>
    <s v="DVD"/>
    <n v="104340"/>
    <s v="AB108221"/>
    <x v="9"/>
    <n v="475216"/>
    <x v="2"/>
  </r>
  <r>
    <n v="10194"/>
    <n v="9"/>
    <d v="2014-07-15T00:00:00"/>
    <s v="DVD"/>
    <n v="104342"/>
    <s v="AB108225"/>
    <x v="16"/>
    <n v="456457"/>
    <x v="2"/>
  </r>
  <r>
    <n v="10239"/>
    <n v="6"/>
    <d v="2014-07-14T00:00:00"/>
    <s v="DVD"/>
    <n v="104342"/>
    <s v="AB108226"/>
    <x v="2"/>
    <n v="456457"/>
    <x v="2"/>
  </r>
  <r>
    <n v="10031"/>
    <n v="5"/>
    <d v="2014-07-14T00:00:00"/>
    <s v="DVD"/>
    <n v="104342"/>
    <s v="AB108227"/>
    <x v="0"/>
    <n v="456457"/>
    <x v="2"/>
  </r>
  <r>
    <n v="10113"/>
    <n v="6"/>
    <d v="2014-07-15T00:00:00"/>
    <s v="DVD"/>
    <n v="104345"/>
    <s v="AB108232"/>
    <x v="10"/>
    <n v="877877"/>
    <x v="2"/>
  </r>
  <r>
    <n v="10219"/>
    <n v="9"/>
    <d v="2014-07-16T00:00:00"/>
    <s v="DVD"/>
    <n v="104347"/>
    <s v="AB108237"/>
    <x v="1"/>
    <n v="380003"/>
    <x v="2"/>
  </r>
  <r>
    <n v="10230"/>
    <n v="10"/>
    <d v="2014-07-15T00:00:00"/>
    <s v="DVD"/>
    <n v="104347"/>
    <s v="AB108238"/>
    <x v="14"/>
    <n v="380003"/>
    <x v="2"/>
  </r>
  <r>
    <n v="10245"/>
    <n v="6"/>
    <d v="2014-07-19T00:00:00"/>
    <s v="BLU-RAY"/>
    <n v="104348"/>
    <s v="AB108240"/>
    <x v="0"/>
    <n v="249188"/>
    <x v="2"/>
  </r>
  <r>
    <n v="10211"/>
    <n v="2"/>
    <d v="2014-07-16T00:00:00"/>
    <s v="DVD"/>
    <n v="104349"/>
    <s v="AB108242"/>
    <x v="3"/>
    <n v="912671"/>
    <x v="2"/>
  </r>
  <r>
    <n v="10093"/>
    <n v="3"/>
    <d v="2014-07-19T00:00:00"/>
    <s v="DVD"/>
    <n v="104351"/>
    <s v="AB108247"/>
    <x v="11"/>
    <n v="723057"/>
    <x v="2"/>
  </r>
  <r>
    <n v="10283"/>
    <n v="4"/>
    <d v="2014-07-18T00:00:00"/>
    <s v="DVD"/>
    <n v="104351"/>
    <s v="AB108248"/>
    <x v="6"/>
    <n v="723057"/>
    <x v="2"/>
  </r>
  <r>
    <n v="10239"/>
    <n v="8"/>
    <d v="2014-07-16T00:00:00"/>
    <s v="DVD"/>
    <n v="104352"/>
    <s v="AB108249"/>
    <x v="2"/>
    <n v="265339"/>
    <x v="2"/>
  </r>
  <r>
    <n v="10146"/>
    <n v="7"/>
    <d v="2014-07-20T00:00:00"/>
    <s v="BLU-RAY"/>
    <n v="104352"/>
    <s v="AB108250"/>
    <x v="4"/>
    <n v="265339"/>
    <x v="2"/>
  </r>
  <r>
    <n v="10090"/>
    <n v="3"/>
    <d v="2014-08-05T00:00:00"/>
    <s v="BLU-RAY"/>
    <n v="104353"/>
    <s v="AB108252"/>
    <x v="1"/>
    <n v="253106"/>
    <x v="2"/>
  </r>
  <r>
    <n v="10018"/>
    <n v="4"/>
    <d v="2014-07-17T00:00:00"/>
    <s v="DVD"/>
    <n v="104355"/>
    <s v="AB108254"/>
    <x v="9"/>
    <n v="611848"/>
    <x v="2"/>
  </r>
  <r>
    <n v="10152"/>
    <n v="10"/>
    <d v="2014-07-18T00:00:00"/>
    <s v="DVD"/>
    <n v="104355"/>
    <s v="AB108256"/>
    <x v="16"/>
    <n v="611848"/>
    <x v="2"/>
  </r>
  <r>
    <n v="10287"/>
    <n v="4"/>
    <d v="2014-07-16T00:00:00"/>
    <s v="DVD"/>
    <n v="104356"/>
    <s v="AB108260"/>
    <x v="10"/>
    <n v="331115"/>
    <x v="2"/>
  </r>
  <r>
    <n v="10193"/>
    <n v="10"/>
    <d v="2014-07-17T00:00:00"/>
    <s v="BLU-RAY"/>
    <n v="104359"/>
    <s v="AB108265"/>
    <x v="9"/>
    <n v="203787"/>
    <x v="2"/>
  </r>
  <r>
    <n v="10143"/>
    <n v="2"/>
    <d v="2014-07-17T00:00:00"/>
    <s v="DVD"/>
    <n v="104360"/>
    <s v="AB108267"/>
    <x v="3"/>
    <n v="586201"/>
    <x v="2"/>
  </r>
  <r>
    <n v="10209"/>
    <n v="5"/>
    <d v="2014-07-17T00:00:00"/>
    <s v="DVD"/>
    <n v="104361"/>
    <s v="AB108270"/>
    <x v="7"/>
    <n v="791559"/>
    <x v="2"/>
  </r>
  <r>
    <n v="10187"/>
    <n v="9"/>
    <d v="2014-07-20T00:00:00"/>
    <s v="DVD"/>
    <n v="104361"/>
    <s v="AB108271"/>
    <x v="1"/>
    <n v="791559"/>
    <x v="2"/>
  </r>
  <r>
    <n v="10152"/>
    <n v="1"/>
    <d v="2014-07-17T00:00:00"/>
    <s v="BLU-RAY"/>
    <n v="104363"/>
    <s v="AB108274"/>
    <x v="16"/>
    <n v="319387"/>
    <x v="2"/>
  </r>
  <r>
    <n v="10074"/>
    <n v="3"/>
    <d v="2014-07-18T00:00:00"/>
    <s v="DVD"/>
    <n v="104364"/>
    <s v="AB108275"/>
    <x v="11"/>
    <n v="694281"/>
    <x v="2"/>
  </r>
  <r>
    <n v="10261"/>
    <n v="5"/>
    <d v="2014-07-18T00:00:00"/>
    <s v="DVD"/>
    <n v="104364"/>
    <s v="AB108276"/>
    <x v="9"/>
    <n v="694281"/>
    <x v="2"/>
  </r>
  <r>
    <n v="10161"/>
    <n v="5"/>
    <d v="2014-07-19T00:00:00"/>
    <s v="DVD"/>
    <n v="104365"/>
    <s v="AB108277"/>
    <x v="6"/>
    <n v="464984"/>
    <x v="2"/>
  </r>
  <r>
    <n v="10283"/>
    <n v="10"/>
    <d v="2014-07-18T00:00:00"/>
    <s v="DVD"/>
    <n v="104366"/>
    <s v="AB108281"/>
    <x v="6"/>
    <n v="908328"/>
    <x v="2"/>
  </r>
  <r>
    <n v="10271"/>
    <n v="2"/>
    <d v="2014-07-19T00:00:00"/>
    <s v="DVD"/>
    <n v="104367"/>
    <s v="AB108283"/>
    <x v="7"/>
    <n v="955591"/>
    <x v="2"/>
  </r>
  <r>
    <n v="10145"/>
    <n v="10"/>
    <d v="2014-07-18T00:00:00"/>
    <s v="DVD"/>
    <n v="104367"/>
    <s v="AB108284"/>
    <x v="6"/>
    <n v="955591"/>
    <x v="2"/>
  </r>
  <r>
    <n v="10194"/>
    <n v="3"/>
    <d v="2014-07-19T00:00:00"/>
    <s v="DVD"/>
    <n v="104368"/>
    <s v="AB108285"/>
    <x v="16"/>
    <n v="304344"/>
    <x v="2"/>
  </r>
  <r>
    <n v="10267"/>
    <n v="9"/>
    <d v="2014-07-20T00:00:00"/>
    <s v="DVD"/>
    <n v="104368"/>
    <s v="AB108286"/>
    <x v="6"/>
    <n v="304344"/>
    <x v="2"/>
  </r>
  <r>
    <n v="10177"/>
    <n v="10"/>
    <d v="2014-07-19T00:00:00"/>
    <s v="DVD"/>
    <n v="104371"/>
    <s v="AB108291"/>
    <x v="9"/>
    <n v="911171"/>
    <x v="2"/>
  </r>
  <r>
    <n v="10250"/>
    <n v="10"/>
    <d v="2014-07-18T00:00:00"/>
    <s v="DVD"/>
    <n v="104371"/>
    <s v="AB108292"/>
    <x v="3"/>
    <n v="911171"/>
    <x v="2"/>
  </r>
  <r>
    <n v="10116"/>
    <n v="6"/>
    <d v="2014-07-18T00:00:00"/>
    <s v="DVD"/>
    <n v="104371"/>
    <s v="AB108293"/>
    <x v="7"/>
    <n v="911171"/>
    <x v="2"/>
  </r>
  <r>
    <n v="10209"/>
    <n v="1"/>
    <d v="2014-07-20T00:00:00"/>
    <s v="DVD"/>
    <n v="104374"/>
    <s v="AB108300"/>
    <x v="7"/>
    <n v="116934"/>
    <x v="2"/>
  </r>
  <r>
    <n v="10037"/>
    <n v="4"/>
    <d v="2014-07-19T00:00:00"/>
    <s v="DVD"/>
    <n v="104375"/>
    <s v="AB108303"/>
    <x v="3"/>
    <n v="479497"/>
    <x v="2"/>
  </r>
  <r>
    <n v="10127"/>
    <n v="3"/>
    <d v="2014-07-19T00:00:00"/>
    <s v="DVD"/>
    <n v="104375"/>
    <s v="AB108304"/>
    <x v="6"/>
    <n v="479497"/>
    <x v="2"/>
  </r>
  <r>
    <n v="10225"/>
    <n v="1"/>
    <d v="2014-07-19T00:00:00"/>
    <s v="DVD"/>
    <n v="104375"/>
    <s v="AB108305"/>
    <x v="0"/>
    <n v="479497"/>
    <x v="2"/>
  </r>
  <r>
    <n v="10288"/>
    <n v="5"/>
    <d v="2014-07-20T00:00:00"/>
    <s v="DVD"/>
    <n v="104376"/>
    <s v="AB108308"/>
    <x v="12"/>
    <n v="885548"/>
    <x v="2"/>
  </r>
  <r>
    <n v="10200"/>
    <n v="5"/>
    <d v="2014-07-19T00:00:00"/>
    <s v="DVD"/>
    <n v="104377"/>
    <s v="AB108309"/>
    <x v="9"/>
    <n v="759995"/>
    <x v="2"/>
  </r>
  <r>
    <n v="10079"/>
    <n v="3"/>
    <d v="2014-07-19T00:00:00"/>
    <s v="BLU-RAY"/>
    <n v="104377"/>
    <s v="AB108310"/>
    <x v="0"/>
    <n v="759995"/>
    <x v="2"/>
  </r>
  <r>
    <n v="10237"/>
    <n v="8"/>
    <d v="2014-07-19T00:00:00"/>
    <s v="BLU-RAY"/>
    <n v="104377"/>
    <s v="AB108311"/>
    <x v="0"/>
    <n v="759995"/>
    <x v="2"/>
  </r>
  <r>
    <n v="10222"/>
    <n v="1"/>
    <d v="2014-07-20T00:00:00"/>
    <s v="DVD"/>
    <n v="104380"/>
    <s v="AB108314"/>
    <x v="4"/>
    <n v="973766"/>
    <x v="2"/>
  </r>
  <r>
    <n v="10281"/>
    <n v="8"/>
    <d v="2014-07-20T00:00:00"/>
    <s v="DVD"/>
    <n v="104380"/>
    <s v="AB108315"/>
    <x v="10"/>
    <n v="973766"/>
    <x v="2"/>
  </r>
  <r>
    <n v="10250"/>
    <n v="9"/>
    <d v="2014-07-20T00:00:00"/>
    <s v="BLU-RAY"/>
    <n v="104381"/>
    <s v="AB108320"/>
    <x v="3"/>
    <n v="253106"/>
    <x v="2"/>
  </r>
  <r>
    <n v="10142"/>
    <n v="5"/>
    <d v="2014-07-21T00:00:00"/>
    <s v="DVD"/>
    <n v="104383"/>
    <s v="AB108325"/>
    <x v="0"/>
    <n v="771285"/>
    <x v="2"/>
  </r>
  <r>
    <n v="10253"/>
    <n v="4"/>
    <d v="2014-07-20T00:00:00"/>
    <s v="BLU-RAY"/>
    <n v="104383"/>
    <s v="AB108327"/>
    <x v="3"/>
    <n v="771285"/>
    <x v="2"/>
  </r>
  <r>
    <n v="10288"/>
    <n v="2"/>
    <d v="2014-07-20T00:00:00"/>
    <s v="BLU-RAY"/>
    <n v="104384"/>
    <s v="AB108328"/>
    <x v="12"/>
    <n v="822823"/>
    <x v="2"/>
  </r>
  <r>
    <n v="10246"/>
    <n v="7"/>
    <d v="2014-07-20T00:00:00"/>
    <s v="DVD"/>
    <n v="104384"/>
    <s v="AB108329"/>
    <x v="2"/>
    <n v="822823"/>
    <x v="2"/>
  </r>
  <r>
    <n v="10083"/>
    <n v="8"/>
    <d v="2014-07-20T00:00:00"/>
    <s v="DVD"/>
    <n v="104385"/>
    <s v="AB108331"/>
    <x v="3"/>
    <n v="418635"/>
    <x v="2"/>
  </r>
  <r>
    <n v="10266"/>
    <n v="8"/>
    <d v="2014-07-20T00:00:00"/>
    <s v="DVD"/>
    <n v="104385"/>
    <s v="AB108334"/>
    <x v="4"/>
    <n v="418635"/>
    <x v="2"/>
  </r>
  <r>
    <n v="10101"/>
    <n v="10"/>
    <d v="2014-07-20T00:00:00"/>
    <s v="DVD"/>
    <n v="104386"/>
    <s v="AB108336"/>
    <x v="4"/>
    <n v="193914"/>
    <x v="2"/>
  </r>
  <r>
    <n v="10108"/>
    <n v="9"/>
    <d v="2014-07-21T00:00:00"/>
    <s v="DVD"/>
    <n v="104389"/>
    <s v="AB108341"/>
    <x v="9"/>
    <n v="884368"/>
    <x v="2"/>
  </r>
  <r>
    <n v="10134"/>
    <n v="3"/>
    <d v="2014-07-22T00:00:00"/>
    <s v="DVD"/>
    <n v="104390"/>
    <s v="AB108342"/>
    <x v="7"/>
    <n v="456457"/>
    <x v="2"/>
  </r>
  <r>
    <n v="10245"/>
    <n v="8"/>
    <d v="2014-07-21T00:00:00"/>
    <s v="BLU-RAY"/>
    <n v="104392"/>
    <s v="AB108344"/>
    <x v="0"/>
    <n v="325263"/>
    <x v="2"/>
  </r>
  <r>
    <n v="10297"/>
    <n v="2"/>
    <d v="2014-07-21T00:00:00"/>
    <s v="DVD"/>
    <n v="104392"/>
    <s v="AB108345"/>
    <x v="14"/>
    <n v="325263"/>
    <x v="2"/>
  </r>
  <r>
    <n v="10285"/>
    <n v="5"/>
    <d v="2014-07-22T00:00:00"/>
    <s v="BLU-RAY"/>
    <n v="104394"/>
    <s v="AB108349"/>
    <x v="20"/>
    <n v="866847"/>
    <x v="2"/>
  </r>
  <r>
    <n v="10188"/>
    <n v="4"/>
    <d v="2014-07-22T00:00:00"/>
    <s v="DVD"/>
    <n v="104395"/>
    <s v="AB108350"/>
    <x v="1"/>
    <n v="731346"/>
    <x v="2"/>
  </r>
  <r>
    <n v="10058"/>
    <n v="7"/>
    <d v="2014-07-23T00:00:00"/>
    <s v="DVD"/>
    <n v="104398"/>
    <s v="AB108353"/>
    <x v="4"/>
    <n v="442691"/>
    <x v="2"/>
  </r>
  <r>
    <n v="10294"/>
    <n v="9"/>
    <d v="2014-07-25T00:00:00"/>
    <s v="DVD"/>
    <n v="104398"/>
    <s v="AB108354"/>
    <x v="2"/>
    <n v="442691"/>
    <x v="2"/>
  </r>
  <r>
    <n v="10230"/>
    <n v="1"/>
    <d v="2014-07-27T00:00:00"/>
    <s v="DVD"/>
    <n v="104398"/>
    <s v="AB108355"/>
    <x v="14"/>
    <n v="442691"/>
    <x v="2"/>
  </r>
  <r>
    <n v="10216"/>
    <n v="5"/>
    <d v="2014-07-23T00:00:00"/>
    <s v="DVD"/>
    <n v="104399"/>
    <s v="AB108356"/>
    <x v="4"/>
    <n v="173380"/>
    <x v="2"/>
  </r>
  <r>
    <n v="10250"/>
    <n v="8"/>
    <d v="2014-07-22T00:00:00"/>
    <s v="BLU-RAY"/>
    <n v="104401"/>
    <s v="AB108360"/>
    <x v="3"/>
    <n v="412544"/>
    <x v="2"/>
  </r>
  <r>
    <n v="10262"/>
    <n v="4"/>
    <d v="2014-07-24T00:00:00"/>
    <s v="DVD"/>
    <n v="104403"/>
    <s v="AB108364"/>
    <x v="10"/>
    <n v="992895"/>
    <x v="2"/>
  </r>
  <r>
    <n v="10229"/>
    <n v="4"/>
    <d v="2014-07-25T00:00:00"/>
    <s v="DVD"/>
    <n v="104403"/>
    <s v="AB108365"/>
    <x v="6"/>
    <n v="992895"/>
    <x v="2"/>
  </r>
  <r>
    <n v="10237"/>
    <n v="3"/>
    <d v="2014-07-23T00:00:00"/>
    <s v="DVD"/>
    <n v="104404"/>
    <s v="AB108366"/>
    <x v="0"/>
    <n v="189953"/>
    <x v="2"/>
  </r>
  <r>
    <n v="10297"/>
    <n v="7"/>
    <d v="2014-07-24T00:00:00"/>
    <s v="DVD"/>
    <n v="104404"/>
    <s v="AB108367"/>
    <x v="14"/>
    <n v="189953"/>
    <x v="2"/>
  </r>
  <r>
    <n v="10236"/>
    <n v="8"/>
    <d v="2014-07-24T00:00:00"/>
    <s v="DVD"/>
    <n v="104404"/>
    <s v="AB108368"/>
    <x v="10"/>
    <n v="189953"/>
    <x v="2"/>
  </r>
  <r>
    <n v="10285"/>
    <n v="6"/>
    <d v="2014-07-24T00:00:00"/>
    <s v="BLU-RAY"/>
    <n v="104404"/>
    <s v="AB108369"/>
    <x v="20"/>
    <n v="189953"/>
    <x v="2"/>
  </r>
  <r>
    <n v="10218"/>
    <n v="10"/>
    <d v="2014-07-23T00:00:00"/>
    <s v="DVD"/>
    <n v="104405"/>
    <s v="AB108371"/>
    <x v="4"/>
    <n v="970794"/>
    <x v="2"/>
  </r>
  <r>
    <n v="10253"/>
    <n v="3"/>
    <d v="2014-07-29T00:00:00"/>
    <s v="BLU-RAY"/>
    <n v="104406"/>
    <s v="AB108373"/>
    <x v="3"/>
    <n v="628132"/>
    <x v="2"/>
  </r>
  <r>
    <n v="10016"/>
    <n v="9"/>
    <d v="2014-07-24T00:00:00"/>
    <s v="DVD"/>
    <n v="104406"/>
    <s v="AB108374"/>
    <x v="7"/>
    <n v="628132"/>
    <x v="2"/>
  </r>
  <r>
    <n v="10290"/>
    <n v="10"/>
    <d v="2014-07-24T00:00:00"/>
    <s v="BLU-RAY"/>
    <n v="104407"/>
    <s v="AB108375"/>
    <x v="2"/>
    <n v="170500"/>
    <x v="2"/>
  </r>
  <r>
    <n v="10064"/>
    <n v="6"/>
    <d v="2014-07-24T00:00:00"/>
    <s v="DVD"/>
    <n v="104408"/>
    <s v="AB108377"/>
    <x v="7"/>
    <n v="236554"/>
    <x v="2"/>
  </r>
  <r>
    <n v="10098"/>
    <n v="6"/>
    <d v="2014-07-26T00:00:00"/>
    <s v="BLU-RAY"/>
    <n v="104409"/>
    <s v="AB108379"/>
    <x v="0"/>
    <n v="200272"/>
    <x v="2"/>
  </r>
  <r>
    <n v="10133"/>
    <n v="8"/>
    <d v="2014-07-24T00:00:00"/>
    <s v="DVD"/>
    <n v="104409"/>
    <s v="AB108380"/>
    <x v="9"/>
    <n v="200272"/>
    <x v="2"/>
  </r>
  <r>
    <n v="10180"/>
    <n v="7"/>
    <d v="2014-07-24T00:00:00"/>
    <s v="DVD"/>
    <n v="104411"/>
    <s v="AB108384"/>
    <x v="12"/>
    <n v="162236"/>
    <x v="2"/>
  </r>
  <r>
    <n v="10280"/>
    <n v="5"/>
    <d v="2014-07-26T00:00:00"/>
    <s v="DVD"/>
    <n v="104413"/>
    <s v="AB108387"/>
    <x v="7"/>
    <n v="808177"/>
    <x v="2"/>
  </r>
  <r>
    <n v="10244"/>
    <n v="8"/>
    <d v="2014-07-24T00:00:00"/>
    <s v="DVD"/>
    <n v="104415"/>
    <s v="AB108392"/>
    <x v="4"/>
    <n v="183797"/>
    <x v="2"/>
  </r>
  <r>
    <n v="10234"/>
    <n v="4"/>
    <d v="2014-07-24T00:00:00"/>
    <s v="DVD"/>
    <n v="104415"/>
    <s v="AB108393"/>
    <x v="0"/>
    <n v="183797"/>
    <x v="2"/>
  </r>
  <r>
    <n v="10250"/>
    <n v="5"/>
    <d v="2014-07-24T00:00:00"/>
    <s v="BLU-RAY"/>
    <n v="104415"/>
    <s v="AB108394"/>
    <x v="3"/>
    <n v="183797"/>
    <x v="2"/>
  </r>
  <r>
    <n v="10066"/>
    <n v="5"/>
    <d v="2014-07-28T00:00:00"/>
    <s v="BLU-RAY"/>
    <n v="104416"/>
    <s v="AB108395"/>
    <x v="3"/>
    <n v="664934"/>
    <x v="2"/>
  </r>
  <r>
    <n v="10140"/>
    <n v="1"/>
    <d v="2014-07-31T00:00:00"/>
    <s v="BLU-RAY"/>
    <n v="104417"/>
    <s v="AB108398"/>
    <x v="2"/>
    <n v="938417"/>
    <x v="2"/>
  </r>
  <r>
    <n v="10194"/>
    <n v="5"/>
    <d v="2014-07-26T00:00:00"/>
    <s v="DVD"/>
    <n v="104417"/>
    <s v="AB108399"/>
    <x v="16"/>
    <n v="938417"/>
    <x v="2"/>
  </r>
  <r>
    <n v="10137"/>
    <n v="4"/>
    <d v="2014-07-25T00:00:00"/>
    <s v="DVD"/>
    <n v="104418"/>
    <s v="AB108400"/>
    <x v="3"/>
    <n v="407605"/>
    <x v="2"/>
  </r>
  <r>
    <n v="10200"/>
    <n v="4"/>
    <d v="2014-07-25T00:00:00"/>
    <s v="DVD"/>
    <n v="104419"/>
    <s v="AB108402"/>
    <x v="9"/>
    <n v="108708"/>
    <x v="2"/>
  </r>
  <r>
    <n v="10265"/>
    <n v="8"/>
    <d v="2014-07-25T00:00:00"/>
    <s v="DVD"/>
    <n v="104420"/>
    <s v="AB108404"/>
    <x v="0"/>
    <n v="659695"/>
    <x v="2"/>
  </r>
  <r>
    <n v="10212"/>
    <n v="10"/>
    <d v="2014-07-26T00:00:00"/>
    <s v="DVD"/>
    <n v="104421"/>
    <s v="AB108405"/>
    <x v="10"/>
    <n v="493552"/>
    <x v="2"/>
  </r>
  <r>
    <n v="10229"/>
    <n v="2"/>
    <d v="2014-07-25T00:00:00"/>
    <s v="DVD"/>
    <n v="104422"/>
    <s v="AB108407"/>
    <x v="6"/>
    <n v="422951"/>
    <x v="2"/>
  </r>
  <r>
    <n v="10203"/>
    <n v="7"/>
    <d v="2014-07-26T00:00:00"/>
    <s v="DVD"/>
    <n v="104422"/>
    <s v="AB108408"/>
    <x v="3"/>
    <n v="422951"/>
    <x v="2"/>
  </r>
  <r>
    <n v="10230"/>
    <n v="7"/>
    <d v="2014-07-25T00:00:00"/>
    <s v="DVD"/>
    <n v="104423"/>
    <s v="AB108409"/>
    <x v="14"/>
    <n v="817274"/>
    <x v="2"/>
  </r>
  <r>
    <n v="10239"/>
    <n v="7"/>
    <d v="2014-07-28T00:00:00"/>
    <s v="DVD"/>
    <n v="104424"/>
    <s v="AB108411"/>
    <x v="2"/>
    <n v="850952"/>
    <x v="2"/>
  </r>
  <r>
    <n v="10241"/>
    <n v="2"/>
    <d v="2014-07-28T00:00:00"/>
    <s v="DVD"/>
    <n v="104426"/>
    <s v="AB108416"/>
    <x v="0"/>
    <n v="196068"/>
    <x v="2"/>
  </r>
  <r>
    <n v="10238"/>
    <n v="7"/>
    <d v="2014-07-27T00:00:00"/>
    <s v="BLU-RAY"/>
    <n v="104427"/>
    <s v="AB108419"/>
    <x v="0"/>
    <n v="722547"/>
    <x v="2"/>
  </r>
  <r>
    <n v="10112"/>
    <n v="3"/>
    <d v="2014-07-27T00:00:00"/>
    <s v="DVD"/>
    <n v="104430"/>
    <s v="AB108424"/>
    <x v="12"/>
    <n v="994185"/>
    <x v="2"/>
  </r>
  <r>
    <n v="10037"/>
    <n v="6"/>
    <d v="2014-07-28T00:00:00"/>
    <s v="DVD"/>
    <n v="104431"/>
    <s v="AB108426"/>
    <x v="3"/>
    <n v="116690"/>
    <x v="2"/>
  </r>
  <r>
    <n v="10145"/>
    <n v="3"/>
    <d v="2014-07-28T00:00:00"/>
    <s v="DVD"/>
    <n v="104431"/>
    <s v="AB108427"/>
    <x v="6"/>
    <n v="116690"/>
    <x v="2"/>
  </r>
  <r>
    <n v="10209"/>
    <n v="1"/>
    <d v="2014-07-27T00:00:00"/>
    <s v="DVD"/>
    <n v="104432"/>
    <s v="AB108430"/>
    <x v="7"/>
    <n v="405671"/>
    <x v="2"/>
  </r>
  <r>
    <n v="10266"/>
    <n v="4"/>
    <d v="2014-07-27T00:00:00"/>
    <s v="DVD"/>
    <n v="104433"/>
    <s v="AB108433"/>
    <x v="4"/>
    <n v="951701"/>
    <x v="2"/>
  </r>
  <r>
    <n v="10171"/>
    <n v="5"/>
    <d v="2014-08-01T00:00:00"/>
    <s v="DVD"/>
    <n v="104433"/>
    <s v="AB108434"/>
    <x v="7"/>
    <n v="951701"/>
    <x v="2"/>
  </r>
  <r>
    <n v="10281"/>
    <n v="5"/>
    <d v="2014-07-30T00:00:00"/>
    <s v="DVD"/>
    <n v="104434"/>
    <s v="AB108437"/>
    <x v="10"/>
    <n v="242720"/>
    <x v="2"/>
  </r>
  <r>
    <n v="10198"/>
    <n v="3"/>
    <d v="2014-07-28T00:00:00"/>
    <s v="DVD"/>
    <n v="104435"/>
    <s v="AB108440"/>
    <x v="9"/>
    <n v="793987"/>
    <x v="2"/>
  </r>
  <r>
    <n v="10135"/>
    <n v="7"/>
    <d v="2014-07-28T00:00:00"/>
    <s v="DVD"/>
    <n v="104436"/>
    <s v="AB108441"/>
    <x v="7"/>
    <n v="371731"/>
    <x v="2"/>
  </r>
  <r>
    <n v="10099"/>
    <n v="5"/>
    <d v="2014-07-27T00:00:00"/>
    <s v="DVD"/>
    <n v="104436"/>
    <s v="AB108442"/>
    <x v="10"/>
    <n v="371731"/>
    <x v="2"/>
  </r>
  <r>
    <n v="10282"/>
    <n v="8"/>
    <d v="2014-07-28T00:00:00"/>
    <s v="DVD"/>
    <n v="104437"/>
    <s v="AB108443"/>
    <x v="15"/>
    <n v="193914"/>
    <x v="2"/>
  </r>
  <r>
    <n v="10270"/>
    <n v="10"/>
    <d v="2014-07-27T00:00:00"/>
    <s v="DVD"/>
    <n v="104438"/>
    <s v="AB108447"/>
    <x v="9"/>
    <n v="245577"/>
    <x v="2"/>
  </r>
  <r>
    <n v="10277"/>
    <n v="6"/>
    <d v="2014-07-30T00:00:00"/>
    <s v="DVD"/>
    <n v="104439"/>
    <s v="AB108450"/>
    <x v="7"/>
    <n v="767570"/>
    <x v="2"/>
  </r>
  <r>
    <n v="10250"/>
    <n v="8"/>
    <d v="2014-07-29T00:00:00"/>
    <s v="BLU-RAY"/>
    <n v="104440"/>
    <s v="AB108452"/>
    <x v="3"/>
    <n v="271531"/>
    <x v="2"/>
  </r>
  <r>
    <n v="10252"/>
    <n v="8"/>
    <d v="2014-07-28T00:00:00"/>
    <s v="DVD"/>
    <n v="104442"/>
    <s v="AB108456"/>
    <x v="0"/>
    <n v="390130"/>
    <x v="2"/>
  </r>
  <r>
    <n v="10204"/>
    <n v="7"/>
    <d v="2014-07-28T00:00:00"/>
    <s v="DVD"/>
    <n v="104446"/>
    <s v="AB108464"/>
    <x v="7"/>
    <n v="742620"/>
    <x v="2"/>
  </r>
  <r>
    <n v="10242"/>
    <n v="5"/>
    <d v="2014-07-29T00:00:00"/>
    <s v="DVD"/>
    <n v="104448"/>
    <s v="AB108469"/>
    <x v="3"/>
    <n v="253106"/>
    <x v="2"/>
  </r>
  <r>
    <n v="10175"/>
    <n v="9"/>
    <d v="2014-08-01T00:00:00"/>
    <s v="DVD"/>
    <n v="104450"/>
    <s v="AB108471"/>
    <x v="3"/>
    <n v="347659"/>
    <x v="2"/>
  </r>
  <r>
    <n v="10289"/>
    <n v="9"/>
    <d v="2014-07-29T00:00:00"/>
    <s v="DVD"/>
    <n v="104451"/>
    <s v="AB108474"/>
    <x v="11"/>
    <n v="534481"/>
    <x v="2"/>
  </r>
  <r>
    <n v="10092"/>
    <n v="4"/>
    <d v="2014-07-29T00:00:00"/>
    <s v="DVD"/>
    <n v="104452"/>
    <s v="AB108475"/>
    <x v="0"/>
    <n v="207846"/>
    <x v="2"/>
  </r>
  <r>
    <n v="10219"/>
    <n v="6"/>
    <d v="2014-07-29T00:00:00"/>
    <s v="DVD"/>
    <n v="104452"/>
    <s v="AB108477"/>
    <x v="1"/>
    <n v="207846"/>
    <x v="2"/>
  </r>
  <r>
    <n v="10138"/>
    <n v="5"/>
    <d v="2014-08-05T00:00:00"/>
    <s v="DVD"/>
    <n v="104454"/>
    <s v="AB108481"/>
    <x v="7"/>
    <n v="927518"/>
    <x v="2"/>
  </r>
  <r>
    <n v="10280"/>
    <n v="5"/>
    <d v="2014-07-30T00:00:00"/>
    <s v="DVD"/>
    <n v="104455"/>
    <s v="AB108484"/>
    <x v="7"/>
    <n v="556152"/>
    <x v="2"/>
  </r>
  <r>
    <n v="10246"/>
    <n v="9"/>
    <d v="2014-07-31T00:00:00"/>
    <s v="DVD"/>
    <n v="104456"/>
    <s v="AB108485"/>
    <x v="2"/>
    <n v="719921"/>
    <x v="2"/>
  </r>
  <r>
    <n v="10193"/>
    <n v="6"/>
    <d v="2014-07-30T00:00:00"/>
    <s v="DVD"/>
    <n v="104457"/>
    <s v="AB108487"/>
    <x v="9"/>
    <n v="694281"/>
    <x v="2"/>
  </r>
  <r>
    <n v="10285"/>
    <n v="10"/>
    <d v="2014-07-30T00:00:00"/>
    <s v="DVD"/>
    <n v="104458"/>
    <s v="AB108490"/>
    <x v="20"/>
    <n v="556152"/>
    <x v="2"/>
  </r>
  <r>
    <n v="10223"/>
    <n v="1"/>
    <d v="2014-07-31T00:00:00"/>
    <s v="DVD"/>
    <n v="104459"/>
    <s v="AB108491"/>
    <x v="7"/>
    <n v="366695"/>
    <x v="2"/>
  </r>
  <r>
    <n v="10207"/>
    <n v="5"/>
    <d v="2014-07-31T00:00:00"/>
    <s v="BLU-RAY"/>
    <n v="104459"/>
    <s v="AB108493"/>
    <x v="1"/>
    <n v="366695"/>
    <x v="2"/>
  </r>
  <r>
    <n v="10212"/>
    <n v="8"/>
    <d v="2014-08-01T00:00:00"/>
    <s v="DVD"/>
    <n v="104460"/>
    <s v="AB108496"/>
    <x v="10"/>
    <n v="657736"/>
    <x v="2"/>
  </r>
  <r>
    <n v="10185"/>
    <n v="7"/>
    <d v="2014-08-01T00:00:00"/>
    <s v="DVD"/>
    <n v="104462"/>
    <s v="AB108499"/>
    <x v="0"/>
    <n v="331115"/>
    <x v="2"/>
  </r>
  <r>
    <n v="10182"/>
    <n v="9"/>
    <d v="2014-08-01T00:00:00"/>
    <s v="BLU-RAY"/>
    <n v="104463"/>
    <s v="AB108502"/>
    <x v="0"/>
    <n v="739393"/>
    <x v="2"/>
  </r>
  <r>
    <n v="10243"/>
    <n v="3"/>
    <d v="2014-08-05T00:00:00"/>
    <s v="DVD"/>
    <n v="104466"/>
    <s v="AB108508"/>
    <x v="9"/>
    <n v="981529"/>
    <x v="2"/>
  </r>
  <r>
    <n v="10143"/>
    <n v="3"/>
    <d v="2014-07-31T00:00:00"/>
    <s v="DVD"/>
    <n v="104466"/>
    <s v="AB108510"/>
    <x v="3"/>
    <n v="981529"/>
    <x v="2"/>
  </r>
  <r>
    <n v="10289"/>
    <n v="5"/>
    <d v="2014-07-31T00:00:00"/>
    <s v="DVD"/>
    <n v="104467"/>
    <s v="AB108511"/>
    <x v="11"/>
    <n v="308505"/>
    <x v="2"/>
  </r>
  <r>
    <n v="10149"/>
    <n v="5"/>
    <d v="2014-07-31T00:00:00"/>
    <s v="DVD"/>
    <n v="104467"/>
    <s v="AB108513"/>
    <x v="12"/>
    <n v="308505"/>
    <x v="2"/>
  </r>
  <r>
    <n v="10165"/>
    <n v="2"/>
    <d v="2014-08-01T00:00:00"/>
    <s v="BLU-RAY"/>
    <n v="104468"/>
    <s v="AB108514"/>
    <x v="2"/>
    <n v="866847"/>
    <x v="2"/>
  </r>
  <r>
    <n v="10092"/>
    <n v="5"/>
    <d v="2014-08-02T00:00:00"/>
    <s v="DVD"/>
    <n v="104468"/>
    <s v="AB108515"/>
    <x v="0"/>
    <n v="866847"/>
    <x v="2"/>
  </r>
  <r>
    <n v="10299"/>
    <n v="1"/>
    <d v="2014-08-01T00:00:00"/>
    <s v="DVD"/>
    <n v="104469"/>
    <s v="AB108517"/>
    <x v="22"/>
    <n v="454015"/>
    <x v="2"/>
  </r>
  <r>
    <n v="10130"/>
    <n v="5"/>
    <d v="2014-07-31T00:00:00"/>
    <s v="BLU-RAY"/>
    <n v="104469"/>
    <s v="AB108518"/>
    <x v="21"/>
    <n v="454015"/>
    <x v="2"/>
  </r>
  <r>
    <n v="10214"/>
    <n v="2"/>
    <d v="2014-07-31T00:00:00"/>
    <s v="DVD"/>
    <n v="104471"/>
    <s v="AB108521"/>
    <x v="13"/>
    <n v="622506"/>
    <x v="2"/>
  </r>
  <r>
    <n v="10251"/>
    <n v="1"/>
    <d v="2014-08-01T00:00:00"/>
    <s v="DVD"/>
    <n v="104471"/>
    <s v="AB108522"/>
    <x v="7"/>
    <n v="622506"/>
    <x v="2"/>
  </r>
  <r>
    <n v="10285"/>
    <n v="1"/>
    <d v="2014-08-01T00:00:00"/>
    <s v="DVD"/>
    <n v="104472"/>
    <s v="AB108525"/>
    <x v="20"/>
    <n v="744780"/>
    <x v="2"/>
  </r>
  <r>
    <n v="10149"/>
    <n v="4"/>
    <d v="2014-08-02T00:00:00"/>
    <s v="DVD"/>
    <n v="104473"/>
    <s v="AB108527"/>
    <x v="12"/>
    <n v="924361"/>
    <x v="2"/>
  </r>
  <r>
    <n v="10191"/>
    <n v="7"/>
    <d v="2014-08-01T00:00:00"/>
    <s v="DVD"/>
    <n v="104475"/>
    <s v="AB108531"/>
    <x v="7"/>
    <n v="386950"/>
    <x v="2"/>
  </r>
  <r>
    <n v="10220"/>
    <n v="6"/>
    <d v="2014-08-03T00:00:00"/>
    <s v="BLU-RAY"/>
    <n v="104476"/>
    <s v="AB108534"/>
    <x v="9"/>
    <n v="926144"/>
    <x v="2"/>
  </r>
  <r>
    <n v="10098"/>
    <n v="3"/>
    <d v="2014-08-02T00:00:00"/>
    <s v="BLU-RAY"/>
    <n v="104480"/>
    <s v="AB108541"/>
    <x v="0"/>
    <n v="556619"/>
    <x v="2"/>
  </r>
  <r>
    <n v="10238"/>
    <n v="5"/>
    <d v="2014-08-02T00:00:00"/>
    <s v="BLU-RAY"/>
    <n v="104482"/>
    <s v="AB108545"/>
    <x v="0"/>
    <n v="278204"/>
    <x v="2"/>
  </r>
  <r>
    <n v="10180"/>
    <n v="1"/>
    <d v="2014-08-02T00:00:00"/>
    <s v="DVD"/>
    <n v="104482"/>
    <s v="AB108546"/>
    <x v="12"/>
    <n v="278204"/>
    <x v="2"/>
  </r>
  <r>
    <n v="10226"/>
    <n v="3"/>
    <d v="2014-08-02T00:00:00"/>
    <s v="DVD"/>
    <n v="104482"/>
    <s v="AB108547"/>
    <x v="4"/>
    <n v="278204"/>
    <x v="2"/>
  </r>
  <r>
    <n v="10273"/>
    <n v="3"/>
    <d v="2014-08-02T00:00:00"/>
    <s v="DVD"/>
    <n v="104486"/>
    <s v="AB108552"/>
    <x v="4"/>
    <n v="310195"/>
    <x v="2"/>
  </r>
  <r>
    <n v="10078"/>
    <n v="6"/>
    <d v="2014-08-03T00:00:00"/>
    <s v="DVD"/>
    <n v="104486"/>
    <s v="AB108553"/>
    <x v="1"/>
    <n v="310195"/>
    <x v="2"/>
  </r>
  <r>
    <n v="10032"/>
    <n v="2"/>
    <d v="2014-08-06T00:00:00"/>
    <s v="DVD"/>
    <n v="104488"/>
    <s v="AB108558"/>
    <x v="4"/>
    <n v="161942"/>
    <x v="2"/>
  </r>
  <r>
    <n v="10274"/>
    <n v="6"/>
    <d v="2014-08-05T00:00:00"/>
    <s v="DVD"/>
    <n v="104492"/>
    <s v="AB108567"/>
    <x v="9"/>
    <n v="111486"/>
    <x v="2"/>
  </r>
  <r>
    <n v="10122"/>
    <n v="3"/>
    <d v="2014-08-03T00:00:00"/>
    <s v="DVD"/>
    <n v="104493"/>
    <s v="AB108568"/>
    <x v="12"/>
    <n v="160392"/>
    <x v="2"/>
  </r>
  <r>
    <n v="10250"/>
    <n v="4"/>
    <d v="2014-08-05T00:00:00"/>
    <s v="DVD"/>
    <n v="104494"/>
    <s v="AB108570"/>
    <x v="3"/>
    <n v="413495"/>
    <x v="2"/>
  </r>
  <r>
    <n v="10226"/>
    <n v="5"/>
    <d v="2014-08-05T00:00:00"/>
    <s v="DVD"/>
    <n v="104497"/>
    <s v="AB108576"/>
    <x v="4"/>
    <n v="447368"/>
    <x v="2"/>
  </r>
  <r>
    <n v="10268"/>
    <n v="5"/>
    <d v="2014-08-08T00:00:00"/>
    <s v="DVD"/>
    <n v="104497"/>
    <s v="AB108577"/>
    <x v="3"/>
    <n v="447368"/>
    <x v="2"/>
  </r>
  <r>
    <n v="10138"/>
    <n v="9"/>
    <d v="2014-08-08T00:00:00"/>
    <s v="DVD"/>
    <n v="104498"/>
    <s v="AB108580"/>
    <x v="7"/>
    <n v="565259"/>
    <x v="2"/>
  </r>
  <r>
    <n v="10194"/>
    <n v="5"/>
    <d v="2014-08-05T00:00:00"/>
    <s v="DVD"/>
    <n v="104498"/>
    <s v="AB108581"/>
    <x v="16"/>
    <n v="565259"/>
    <x v="2"/>
  </r>
  <r>
    <n v="10064"/>
    <n v="6"/>
    <d v="2014-08-05T00:00:00"/>
    <s v="DVD"/>
    <n v="104499"/>
    <s v="AB108582"/>
    <x v="7"/>
    <n v="240205"/>
    <x v="2"/>
  </r>
  <r>
    <n v="10267"/>
    <n v="10"/>
    <d v="2014-08-04T00:00:00"/>
    <s v="DVD"/>
    <n v="104500"/>
    <s v="AB108584"/>
    <x v="6"/>
    <n v="857548"/>
    <x v="2"/>
  </r>
  <r>
    <n v="10152"/>
    <n v="1"/>
    <d v="2014-08-05T00:00:00"/>
    <s v="BLU-RAY"/>
    <n v="104502"/>
    <s v="AB108590"/>
    <x v="16"/>
    <n v="826590"/>
    <x v="2"/>
  </r>
  <r>
    <n v="10275"/>
    <n v="3"/>
    <d v="2014-08-09T00:00:00"/>
    <s v="DVD"/>
    <n v="104502"/>
    <s v="AB108591"/>
    <x v="10"/>
    <n v="826590"/>
    <x v="2"/>
  </r>
  <r>
    <n v="10123"/>
    <n v="6"/>
    <d v="2014-08-05T00:00:00"/>
    <s v="BLU-RAY"/>
    <n v="104503"/>
    <s v="AB108593"/>
    <x v="9"/>
    <n v="745543"/>
    <x v="2"/>
  </r>
  <r>
    <n v="10136"/>
    <n v="4"/>
    <d v="2014-08-05T00:00:00"/>
    <s v="DVD"/>
    <n v="104504"/>
    <s v="AB108595"/>
    <x v="2"/>
    <n v="781523"/>
    <x v="2"/>
  </r>
  <r>
    <n v="10283"/>
    <n v="4"/>
    <d v="2014-08-05T00:00:00"/>
    <s v="DVD"/>
    <n v="104505"/>
    <s v="AB108596"/>
    <x v="6"/>
    <n v="695276"/>
    <x v="2"/>
  </r>
  <r>
    <n v="10130"/>
    <n v="1"/>
    <d v="2014-08-06T00:00:00"/>
    <s v="DVD"/>
    <n v="104507"/>
    <s v="AB108600"/>
    <x v="21"/>
    <n v="667170"/>
    <x v="2"/>
  </r>
  <r>
    <n v="10194"/>
    <n v="9"/>
    <d v="2014-08-06T00:00:00"/>
    <s v="DVD"/>
    <n v="104508"/>
    <s v="AB108601"/>
    <x v="16"/>
    <n v="789500"/>
    <x v="2"/>
  </r>
  <r>
    <n v="10079"/>
    <n v="9"/>
    <d v="2014-08-08T00:00:00"/>
    <s v="DVD"/>
    <n v="104509"/>
    <s v="AB108604"/>
    <x v="0"/>
    <n v="808869"/>
    <x v="2"/>
  </r>
  <r>
    <n v="10229"/>
    <n v="5"/>
    <d v="2014-08-07T00:00:00"/>
    <s v="DVD"/>
    <n v="104509"/>
    <s v="AB108605"/>
    <x v="6"/>
    <n v="808869"/>
    <x v="2"/>
  </r>
  <r>
    <n v="10197"/>
    <n v="3"/>
    <d v="2014-08-07T00:00:00"/>
    <s v="DVD"/>
    <n v="104510"/>
    <s v="AB108606"/>
    <x v="0"/>
    <n v="127472"/>
    <x v="2"/>
  </r>
  <r>
    <n v="10241"/>
    <n v="4"/>
    <d v="2014-08-07T00:00:00"/>
    <s v="DVD"/>
    <n v="104512"/>
    <s v="AB108610"/>
    <x v="0"/>
    <n v="301793"/>
    <x v="2"/>
  </r>
  <r>
    <n v="10152"/>
    <n v="2"/>
    <d v="2014-08-06T00:00:00"/>
    <s v="DVD"/>
    <n v="104512"/>
    <s v="AB108611"/>
    <x v="16"/>
    <n v="301793"/>
    <x v="2"/>
  </r>
  <r>
    <n v="10185"/>
    <n v="4"/>
    <d v="2014-08-13T00:00:00"/>
    <s v="BLU-RAY"/>
    <n v="104516"/>
    <s v="AB108617"/>
    <x v="0"/>
    <n v="421074"/>
    <x v="2"/>
  </r>
  <r>
    <n v="10276"/>
    <n v="6"/>
    <d v="2014-08-07T00:00:00"/>
    <s v="DVD"/>
    <n v="104518"/>
    <s v="AB108620"/>
    <x v="16"/>
    <n v="491380"/>
    <x v="2"/>
  </r>
  <r>
    <n v="10056"/>
    <n v="7"/>
    <d v="2014-08-07T00:00:00"/>
    <s v="BLU-RAY"/>
    <n v="104519"/>
    <s v="AB108622"/>
    <x v="8"/>
    <n v="918682"/>
    <x v="2"/>
  </r>
  <r>
    <n v="10224"/>
    <n v="8"/>
    <d v="2014-08-09T00:00:00"/>
    <s v="BLU-RAY"/>
    <n v="104522"/>
    <s v="AB108626"/>
    <x v="17"/>
    <n v="667170"/>
    <x v="2"/>
  </r>
  <r>
    <n v="10137"/>
    <n v="7"/>
    <d v="2014-08-11T00:00:00"/>
    <s v="DVD"/>
    <n v="104522"/>
    <s v="AB108628"/>
    <x v="3"/>
    <n v="667170"/>
    <x v="2"/>
  </r>
  <r>
    <n v="10291"/>
    <n v="6"/>
    <d v="2014-08-08T00:00:00"/>
    <s v="DVD"/>
    <n v="104523"/>
    <s v="AB108629"/>
    <x v="0"/>
    <n v="194680"/>
    <x v="2"/>
  </r>
  <r>
    <n v="10052"/>
    <n v="9"/>
    <d v="2014-08-08T00:00:00"/>
    <s v="DVD"/>
    <n v="104523"/>
    <s v="AB108630"/>
    <x v="0"/>
    <n v="194680"/>
    <x v="2"/>
  </r>
  <r>
    <n v="10275"/>
    <n v="4"/>
    <d v="2014-08-09T00:00:00"/>
    <s v="DVD"/>
    <n v="104525"/>
    <s v="AB108632"/>
    <x v="10"/>
    <n v="866847"/>
    <x v="2"/>
  </r>
  <r>
    <n v="10211"/>
    <n v="8"/>
    <d v="2014-08-09T00:00:00"/>
    <s v="BLU-RAY"/>
    <n v="104525"/>
    <s v="AB108634"/>
    <x v="3"/>
    <n v="866847"/>
    <x v="2"/>
  </r>
  <r>
    <n v="10245"/>
    <n v="2"/>
    <d v="2014-08-10T00:00:00"/>
    <s v="DVD"/>
    <n v="104526"/>
    <s v="AB108635"/>
    <x v="0"/>
    <n v="958321"/>
    <x v="2"/>
  </r>
  <r>
    <n v="10289"/>
    <n v="8"/>
    <d v="2014-08-08T00:00:00"/>
    <s v="BLU-RAY"/>
    <n v="104526"/>
    <s v="AB108637"/>
    <x v="11"/>
    <n v="958321"/>
    <x v="2"/>
  </r>
  <r>
    <n v="10286"/>
    <n v="5"/>
    <d v="2014-08-08T00:00:00"/>
    <s v="BLU-RAY"/>
    <n v="104528"/>
    <s v="AB108641"/>
    <x v="17"/>
    <n v="926289"/>
    <x v="2"/>
  </r>
  <r>
    <n v="10213"/>
    <n v="1"/>
    <d v="2014-08-08T00:00:00"/>
    <s v="DVD"/>
    <n v="104528"/>
    <s v="AB108642"/>
    <x v="4"/>
    <n v="926289"/>
    <x v="2"/>
  </r>
  <r>
    <n v="10271"/>
    <n v="9"/>
    <d v="2014-08-09T00:00:00"/>
    <s v="DVD"/>
    <n v="104530"/>
    <s v="AB108648"/>
    <x v="7"/>
    <n v="783369"/>
    <x v="2"/>
  </r>
  <r>
    <n v="10232"/>
    <n v="10"/>
    <d v="2014-08-09T00:00:00"/>
    <s v="BLU-RAY"/>
    <n v="104531"/>
    <s v="AB108649"/>
    <x v="1"/>
    <n v="741398"/>
    <x v="2"/>
  </r>
  <r>
    <n v="10218"/>
    <n v="2"/>
    <d v="2014-08-09T00:00:00"/>
    <s v="DVD"/>
    <n v="104534"/>
    <s v="AB108656"/>
    <x v="4"/>
    <n v="441628"/>
    <x v="2"/>
  </r>
  <r>
    <n v="10270"/>
    <n v="1"/>
    <d v="2014-08-10T00:00:00"/>
    <s v="DVD"/>
    <n v="104534"/>
    <s v="AB108657"/>
    <x v="9"/>
    <n v="441628"/>
    <x v="2"/>
  </r>
  <r>
    <n v="10137"/>
    <n v="8"/>
    <d v="2014-08-09T00:00:00"/>
    <s v="DVD"/>
    <n v="104536"/>
    <s v="AB108659"/>
    <x v="3"/>
    <n v="103508"/>
    <x v="2"/>
  </r>
  <r>
    <n v="10236"/>
    <n v="6"/>
    <d v="2014-08-10T00:00:00"/>
    <s v="DVD"/>
    <n v="104537"/>
    <s v="AB108662"/>
    <x v="10"/>
    <n v="220206"/>
    <x v="2"/>
  </r>
  <r>
    <n v="10204"/>
    <n v="10"/>
    <d v="2014-08-10T00:00:00"/>
    <s v="BLU-RAY"/>
    <n v="104538"/>
    <s v="AB108664"/>
    <x v="7"/>
    <n v="507743"/>
    <x v="2"/>
  </r>
  <r>
    <n v="10261"/>
    <n v="10"/>
    <d v="2014-08-11T00:00:00"/>
    <s v="DVD"/>
    <n v="104538"/>
    <s v="AB108665"/>
    <x v="9"/>
    <n v="507743"/>
    <x v="2"/>
  </r>
  <r>
    <n v="10248"/>
    <n v="2"/>
    <d v="2014-08-11T00:00:00"/>
    <s v="DVD"/>
    <n v="104539"/>
    <s v="AB108667"/>
    <x v="12"/>
    <n v="563500"/>
    <x v="2"/>
  </r>
  <r>
    <n v="10259"/>
    <n v="10"/>
    <d v="2014-08-11T00:00:00"/>
    <s v="DVD"/>
    <n v="104541"/>
    <s v="AB108674"/>
    <x v="0"/>
    <n v="559190"/>
    <x v="2"/>
  </r>
  <r>
    <n v="10294"/>
    <n v="3"/>
    <d v="2014-08-11T00:00:00"/>
    <s v="BLU-RAY"/>
    <n v="104541"/>
    <s v="AB108675"/>
    <x v="2"/>
    <n v="559190"/>
    <x v="2"/>
  </r>
  <r>
    <n v="10004"/>
    <n v="10"/>
    <d v="2014-08-12T00:00:00"/>
    <s v="DVD"/>
    <n v="104542"/>
    <s v="AB108676"/>
    <x v="1"/>
    <n v="157695"/>
    <x v="2"/>
  </r>
  <r>
    <n v="10202"/>
    <n v="8"/>
    <d v="2014-08-11T00:00:00"/>
    <s v="DVD"/>
    <n v="104542"/>
    <s v="AB108677"/>
    <x v="0"/>
    <n v="157695"/>
    <x v="2"/>
  </r>
  <r>
    <n v="10220"/>
    <n v="1"/>
    <d v="2014-08-11T00:00:00"/>
    <s v="DVD"/>
    <n v="104544"/>
    <s v="AB108678"/>
    <x v="9"/>
    <n v="157388"/>
    <x v="2"/>
  </r>
  <r>
    <n v="10230"/>
    <n v="7"/>
    <d v="2014-08-10T00:00:00"/>
    <s v="DVD"/>
    <n v="104544"/>
    <s v="AB108679"/>
    <x v="14"/>
    <n v="157388"/>
    <x v="2"/>
  </r>
  <r>
    <n v="10226"/>
    <n v="3"/>
    <d v="2014-08-14T00:00:00"/>
    <s v="DVD"/>
    <n v="104549"/>
    <s v="AB108683"/>
    <x v="4"/>
    <n v="380003"/>
    <x v="2"/>
  </r>
  <r>
    <n v="10294"/>
    <n v="7"/>
    <d v="2014-08-11T00:00:00"/>
    <s v="DVD"/>
    <n v="104550"/>
    <s v="AB108684"/>
    <x v="2"/>
    <n v="926289"/>
    <x v="2"/>
  </r>
  <r>
    <n v="10203"/>
    <n v="4"/>
    <d v="2014-08-14T00:00:00"/>
    <s v="DVD"/>
    <n v="104553"/>
    <s v="AB108691"/>
    <x v="3"/>
    <n v="911171"/>
    <x v="2"/>
  </r>
  <r>
    <n v="10194"/>
    <n v="6"/>
    <d v="2014-08-14T00:00:00"/>
    <s v="DVD"/>
    <n v="104554"/>
    <s v="AB108693"/>
    <x v="16"/>
    <n v="744416"/>
    <x v="2"/>
  </r>
  <r>
    <n v="10045"/>
    <n v="8"/>
    <d v="2014-08-15T00:00:00"/>
    <s v="DVD"/>
    <n v="104555"/>
    <s v="AB108695"/>
    <x v="0"/>
    <n v="723819"/>
    <x v="2"/>
  </r>
  <r>
    <n v="10112"/>
    <n v="7"/>
    <d v="2014-08-15T00:00:00"/>
    <s v="BLU-RAY"/>
    <n v="104557"/>
    <s v="AB108698"/>
    <x v="12"/>
    <n v="306475"/>
    <x v="2"/>
  </r>
  <r>
    <n v="10128"/>
    <n v="3"/>
    <d v="2014-08-12T00:00:00"/>
    <s v="BLU-RAY"/>
    <n v="104557"/>
    <s v="AB108699"/>
    <x v="6"/>
    <n v="306475"/>
    <x v="2"/>
  </r>
  <r>
    <n v="10233"/>
    <n v="5"/>
    <d v="2014-08-12T00:00:00"/>
    <s v="DVD"/>
    <n v="104557"/>
    <s v="AB108700"/>
    <x v="8"/>
    <n v="306475"/>
    <x v="2"/>
  </r>
  <r>
    <n v="10169"/>
    <n v="7"/>
    <d v="2014-08-12T00:00:00"/>
    <s v="DVD"/>
    <n v="104558"/>
    <s v="AB108701"/>
    <x v="0"/>
    <n v="905670"/>
    <x v="2"/>
  </r>
  <r>
    <n v="10148"/>
    <n v="4"/>
    <d v="2014-08-12T00:00:00"/>
    <s v="BLU-RAY"/>
    <n v="104559"/>
    <s v="AB108703"/>
    <x v="1"/>
    <n v="808869"/>
    <x v="2"/>
  </r>
  <r>
    <n v="10191"/>
    <n v="2"/>
    <d v="2014-08-12T00:00:00"/>
    <s v="DVD"/>
    <n v="104560"/>
    <s v="AB108705"/>
    <x v="7"/>
    <n v="664411"/>
    <x v="2"/>
  </r>
  <r>
    <n v="10284"/>
    <n v="6"/>
    <d v="2014-08-14T00:00:00"/>
    <s v="DVD"/>
    <n v="104560"/>
    <s v="AB108706"/>
    <x v="14"/>
    <n v="664411"/>
    <x v="2"/>
  </r>
  <r>
    <n v="10349"/>
    <n v="3"/>
    <d v="2014-08-14T00:00:00"/>
    <s v="DVD"/>
    <n v="104561"/>
    <s v="AB108708"/>
    <x v="8"/>
    <n v="454015"/>
    <x v="2"/>
  </r>
  <r>
    <n v="10082"/>
    <n v="9"/>
    <d v="2014-08-15T00:00:00"/>
    <s v="DVD"/>
    <n v="104562"/>
    <s v="AB108712"/>
    <x v="3"/>
    <n v="205878"/>
    <x v="2"/>
  </r>
  <r>
    <n v="10201"/>
    <n v="6"/>
    <d v="2014-08-13T00:00:00"/>
    <s v="DVD"/>
    <n v="104564"/>
    <s v="AB108717"/>
    <x v="8"/>
    <n v="262638"/>
    <x v="2"/>
  </r>
  <r>
    <n v="10233"/>
    <n v="3"/>
    <d v="2014-08-13T00:00:00"/>
    <s v="DVD"/>
    <n v="104565"/>
    <s v="AB108719"/>
    <x v="8"/>
    <n v="663029"/>
    <x v="2"/>
  </r>
  <r>
    <n v="10106"/>
    <n v="8"/>
    <d v="2014-08-16T00:00:00"/>
    <s v="BLU-RAY"/>
    <n v="104566"/>
    <s v="AB108720"/>
    <x v="9"/>
    <n v="766161"/>
    <x v="2"/>
  </r>
  <r>
    <n v="10192"/>
    <n v="4"/>
    <d v="2014-08-13T00:00:00"/>
    <s v="DVD"/>
    <n v="104566"/>
    <s v="AB108721"/>
    <x v="7"/>
    <n v="766161"/>
    <x v="2"/>
  </r>
  <r>
    <n v="10226"/>
    <n v="8"/>
    <d v="2014-08-16T00:00:00"/>
    <s v="BLU-RAY"/>
    <n v="104566"/>
    <s v="AB108722"/>
    <x v="4"/>
    <n v="766161"/>
    <x v="2"/>
  </r>
  <r>
    <n v="10135"/>
    <n v="2"/>
    <d v="2014-08-13T00:00:00"/>
    <s v="DVD"/>
    <n v="104567"/>
    <s v="AB108723"/>
    <x v="7"/>
    <n v="231615"/>
    <x v="2"/>
  </r>
  <r>
    <n v="10147"/>
    <n v="2"/>
    <d v="2014-08-13T00:00:00"/>
    <s v="DVD"/>
    <n v="104568"/>
    <s v="AB108725"/>
    <x v="10"/>
    <n v="888759"/>
    <x v="2"/>
  </r>
  <r>
    <n v="10181"/>
    <n v="2"/>
    <d v="2014-08-15T00:00:00"/>
    <s v="BLU-RAY"/>
    <n v="104570"/>
    <s v="AB108727"/>
    <x v="9"/>
    <n v="905670"/>
    <x v="2"/>
  </r>
  <r>
    <n v="10252"/>
    <n v="6"/>
    <d v="2014-08-14T00:00:00"/>
    <s v="DVD"/>
    <n v="104570"/>
    <s v="AB108728"/>
    <x v="0"/>
    <n v="905670"/>
    <x v="2"/>
  </r>
  <r>
    <n v="10104"/>
    <n v="1"/>
    <d v="2014-08-18T00:00:00"/>
    <s v="DVD"/>
    <n v="104570"/>
    <s v="AB108729"/>
    <x v="7"/>
    <n v="905670"/>
    <x v="2"/>
  </r>
  <r>
    <n v="10290"/>
    <n v="3"/>
    <d v="2014-08-14T00:00:00"/>
    <s v="DVD"/>
    <n v="104572"/>
    <s v="AB108731"/>
    <x v="2"/>
    <n v="128131"/>
    <x v="2"/>
  </r>
  <r>
    <n v="10156"/>
    <n v="10"/>
    <d v="2014-08-21T00:00:00"/>
    <s v="DVD"/>
    <n v="104572"/>
    <s v="AB108732"/>
    <x v="3"/>
    <n v="128131"/>
    <x v="2"/>
  </r>
  <r>
    <n v="10134"/>
    <n v="2"/>
    <d v="2014-08-14T00:00:00"/>
    <s v="DVD"/>
    <n v="104573"/>
    <s v="AB108735"/>
    <x v="7"/>
    <n v="433442"/>
    <x v="2"/>
  </r>
  <r>
    <n v="10250"/>
    <n v="10"/>
    <d v="2014-08-15T00:00:00"/>
    <s v="BLU-RAY"/>
    <n v="104574"/>
    <s v="AB108737"/>
    <x v="3"/>
    <n v="951702"/>
    <x v="2"/>
  </r>
  <r>
    <n v="10202"/>
    <n v="5"/>
    <d v="2014-08-16T00:00:00"/>
    <s v="DVD"/>
    <n v="104577"/>
    <s v="AB108739"/>
    <x v="0"/>
    <n v="345348"/>
    <x v="2"/>
  </r>
  <r>
    <n v="10150"/>
    <n v="6"/>
    <d v="2014-08-17T00:00:00"/>
    <s v="DVD"/>
    <n v="104577"/>
    <s v="AB108741"/>
    <x v="14"/>
    <n v="345348"/>
    <x v="2"/>
  </r>
  <r>
    <n v="10194"/>
    <n v="8"/>
    <d v="2014-08-16T00:00:00"/>
    <s v="DVD"/>
    <n v="104579"/>
    <s v="AB108743"/>
    <x v="16"/>
    <n v="671101"/>
    <x v="2"/>
  </r>
  <r>
    <n v="10271"/>
    <n v="6"/>
    <d v="2014-08-15T00:00:00"/>
    <s v="BLU-RAY"/>
    <n v="104581"/>
    <s v="AB108745"/>
    <x v="7"/>
    <n v="976778"/>
    <x v="2"/>
  </r>
  <r>
    <n v="10252"/>
    <n v="7"/>
    <d v="2014-08-15T00:00:00"/>
    <s v="DVD"/>
    <n v="104582"/>
    <s v="AB108747"/>
    <x v="0"/>
    <n v="193914"/>
    <x v="2"/>
  </r>
  <r>
    <n v="10280"/>
    <n v="10"/>
    <d v="2014-08-16T00:00:00"/>
    <s v="DVD"/>
    <n v="104583"/>
    <s v="AB108748"/>
    <x v="7"/>
    <n v="866556"/>
    <x v="2"/>
  </r>
  <r>
    <n v="10245"/>
    <n v="8"/>
    <d v="2014-08-16T00:00:00"/>
    <s v="DVD"/>
    <n v="104586"/>
    <s v="AB108754"/>
    <x v="0"/>
    <n v="781968"/>
    <x v="2"/>
  </r>
  <r>
    <n v="10297"/>
    <n v="5"/>
    <d v="2014-08-16T00:00:00"/>
    <s v="DVD"/>
    <n v="104587"/>
    <s v="AB108756"/>
    <x v="14"/>
    <n v="128131"/>
    <x v="2"/>
  </r>
  <r>
    <n v="10296"/>
    <n v="3"/>
    <d v="2014-08-17T00:00:00"/>
    <s v="BLU-RAY"/>
    <n v="104588"/>
    <s v="AB108757"/>
    <x v="21"/>
    <n v="884607"/>
    <x v="2"/>
  </r>
  <r>
    <n v="10224"/>
    <n v="10"/>
    <d v="2014-08-17T00:00:00"/>
    <s v="DVD"/>
    <n v="104590"/>
    <s v="AB108761"/>
    <x v="17"/>
    <n v="498970"/>
    <x v="2"/>
  </r>
  <r>
    <n v="10008"/>
    <n v="9"/>
    <d v="2014-08-17T00:00:00"/>
    <s v="DVD"/>
    <n v="104591"/>
    <s v="AB108762"/>
    <x v="4"/>
    <n v="690100"/>
    <x v="2"/>
  </r>
  <r>
    <n v="10192"/>
    <n v="1"/>
    <d v="2014-08-19T00:00:00"/>
    <s v="DVD"/>
    <n v="104595"/>
    <s v="AB108768"/>
    <x v="7"/>
    <n v="101811"/>
    <x v="2"/>
  </r>
  <r>
    <n v="10162"/>
    <n v="3"/>
    <d v="2014-08-17T00:00:00"/>
    <s v="DVD"/>
    <n v="104596"/>
    <s v="AB108769"/>
    <x v="4"/>
    <n v="925565"/>
    <x v="2"/>
  </r>
  <r>
    <n v="10272"/>
    <n v="3"/>
    <d v="2014-08-20T00:00:00"/>
    <s v="DVD"/>
    <n v="104597"/>
    <s v="AB108771"/>
    <x v="4"/>
    <n v="498970"/>
    <x v="2"/>
  </r>
  <r>
    <n v="10274"/>
    <n v="2"/>
    <d v="2014-08-18T00:00:00"/>
    <s v="BLU-RAY"/>
    <n v="104598"/>
    <s v="AB108773"/>
    <x v="9"/>
    <n v="593317"/>
    <x v="2"/>
  </r>
  <r>
    <n v="10285"/>
    <n v="9"/>
    <d v="2014-08-20T00:00:00"/>
    <s v="BLU-RAY"/>
    <n v="104599"/>
    <s v="AB108776"/>
    <x v="20"/>
    <n v="378374"/>
    <x v="2"/>
  </r>
  <r>
    <n v="10177"/>
    <n v="2"/>
    <d v="2014-08-18T00:00:00"/>
    <s v="DVD"/>
    <n v="104601"/>
    <s v="AB108781"/>
    <x v="9"/>
    <n v="927518"/>
    <x v="2"/>
  </r>
  <r>
    <n v="10109"/>
    <n v="2"/>
    <d v="2014-08-18T00:00:00"/>
    <s v="DVD"/>
    <n v="104602"/>
    <s v="AB108783"/>
    <x v="0"/>
    <n v="559688"/>
    <x v="2"/>
  </r>
  <r>
    <n v="10050"/>
    <n v="7"/>
    <d v="2014-08-19T00:00:00"/>
    <s v="DVD"/>
    <n v="104602"/>
    <s v="AB108784"/>
    <x v="1"/>
    <n v="559688"/>
    <x v="2"/>
  </r>
  <r>
    <n v="10037"/>
    <n v="8"/>
    <d v="2014-08-20T00:00:00"/>
    <s v="DVD"/>
    <n v="104604"/>
    <s v="AB108787"/>
    <x v="3"/>
    <n v="484909"/>
    <x v="2"/>
  </r>
  <r>
    <n v="10247"/>
    <n v="10"/>
    <d v="2014-08-20T00:00:00"/>
    <s v="DVD"/>
    <n v="104605"/>
    <s v="AB108788"/>
    <x v="9"/>
    <n v="551950"/>
    <x v="2"/>
  </r>
  <r>
    <n v="10113"/>
    <n v="2"/>
    <d v="2014-08-20T00:00:00"/>
    <s v="DVD"/>
    <n v="104605"/>
    <s v="AB108790"/>
    <x v="10"/>
    <n v="551950"/>
    <x v="2"/>
  </r>
  <r>
    <n v="10139"/>
    <n v="4"/>
    <d v="2014-08-19T00:00:00"/>
    <s v="BLU-RAY"/>
    <n v="104606"/>
    <s v="AB108791"/>
    <x v="14"/>
    <n v="553931"/>
    <x v="2"/>
  </r>
  <r>
    <n v="10274"/>
    <n v="1"/>
    <d v="2014-08-19T00:00:00"/>
    <s v="DVD"/>
    <n v="104608"/>
    <s v="AB108795"/>
    <x v="9"/>
    <n v="111991"/>
    <x v="2"/>
  </r>
  <r>
    <n v="10103"/>
    <n v="6"/>
    <d v="2014-08-20T00:00:00"/>
    <s v="DVD"/>
    <n v="104610"/>
    <s v="AB108800"/>
    <x v="9"/>
    <n v="413292"/>
    <x v="2"/>
  </r>
  <r>
    <n v="10218"/>
    <n v="1"/>
    <d v="2014-08-20T00:00:00"/>
    <s v="DVD"/>
    <n v="104612"/>
    <s v="AB108802"/>
    <x v="4"/>
    <n v="191951"/>
    <x v="2"/>
  </r>
  <r>
    <n v="10211"/>
    <n v="8"/>
    <d v="2014-08-21T00:00:00"/>
    <s v="DVD"/>
    <n v="104612"/>
    <s v="AB108804"/>
    <x v="3"/>
    <n v="191951"/>
    <x v="2"/>
  </r>
  <r>
    <n v="10230"/>
    <n v="8"/>
    <d v="2014-08-21T00:00:00"/>
    <s v="BLU-RAY"/>
    <n v="104613"/>
    <s v="AB108806"/>
    <x v="14"/>
    <n v="994185"/>
    <x v="2"/>
  </r>
  <r>
    <n v="10266"/>
    <n v="3"/>
    <d v="2014-08-20T00:00:00"/>
    <s v="DVD"/>
    <n v="104615"/>
    <s v="AB108809"/>
    <x v="4"/>
    <n v="404678"/>
    <x v="2"/>
  </r>
  <r>
    <n v="10247"/>
    <n v="2"/>
    <d v="2014-08-21T00:00:00"/>
    <s v="DVD"/>
    <n v="104616"/>
    <s v="AB108811"/>
    <x v="9"/>
    <n v="345348"/>
    <x v="2"/>
  </r>
  <r>
    <n v="10127"/>
    <n v="7"/>
    <d v="2014-08-20T00:00:00"/>
    <s v="DVD"/>
    <n v="104617"/>
    <s v="AB108817"/>
    <x v="6"/>
    <n v="183797"/>
    <x v="2"/>
  </r>
  <r>
    <n v="10259"/>
    <n v="4"/>
    <d v="2014-08-23T00:00:00"/>
    <s v="DVD"/>
    <n v="104620"/>
    <s v="AB108822"/>
    <x v="0"/>
    <n v="714947"/>
    <x v="2"/>
  </r>
  <r>
    <n v="10252"/>
    <n v="7"/>
    <d v="2014-08-21T00:00:00"/>
    <s v="DVD"/>
    <n v="104620"/>
    <s v="AB108823"/>
    <x v="0"/>
    <n v="714947"/>
    <x v="2"/>
  </r>
  <r>
    <n v="10235"/>
    <n v="3"/>
    <d v="2014-08-23T00:00:00"/>
    <s v="BLU-RAY"/>
    <n v="104622"/>
    <s v="AB108826"/>
    <x v="10"/>
    <n v="205927"/>
    <x v="2"/>
  </r>
  <r>
    <n v="10183"/>
    <n v="10"/>
    <d v="2014-08-22T00:00:00"/>
    <s v="DVD"/>
    <n v="104623"/>
    <s v="AB108830"/>
    <x v="4"/>
    <n v="889686"/>
    <x v="2"/>
  </r>
  <r>
    <n v="10215"/>
    <n v="6"/>
    <d v="2014-08-24T00:00:00"/>
    <s v="BLU-RAY"/>
    <n v="104624"/>
    <s v="AB108832"/>
    <x v="1"/>
    <n v="491380"/>
    <x v="2"/>
  </r>
  <r>
    <n v="10143"/>
    <n v="2"/>
    <d v="2014-08-22T00:00:00"/>
    <s v="DVD"/>
    <n v="104627"/>
    <s v="AB108837"/>
    <x v="3"/>
    <n v="464984"/>
    <x v="2"/>
  </r>
  <r>
    <n v="10227"/>
    <n v="3"/>
    <d v="2014-08-22T00:00:00"/>
    <s v="BLU-RAY"/>
    <n v="104628"/>
    <s v="AB108838"/>
    <x v="14"/>
    <n v="672834"/>
    <x v="2"/>
  </r>
  <r>
    <n v="10207"/>
    <n v="3"/>
    <d v="2014-08-22T00:00:00"/>
    <s v="DVD"/>
    <n v="104629"/>
    <s v="AB108841"/>
    <x v="1"/>
    <n v="646700"/>
    <x v="2"/>
  </r>
  <r>
    <n v="10137"/>
    <n v="7"/>
    <d v="2014-08-23T00:00:00"/>
    <s v="BLU-RAY"/>
    <n v="104630"/>
    <s v="AB108844"/>
    <x v="3"/>
    <n v="992956"/>
    <x v="2"/>
  </r>
  <r>
    <n v="10244"/>
    <n v="8"/>
    <d v="2014-08-23T00:00:00"/>
    <s v="DVD"/>
    <n v="104631"/>
    <s v="AB108845"/>
    <x v="4"/>
    <n v="441628"/>
    <x v="2"/>
  </r>
  <r>
    <n v="10354"/>
    <n v="9"/>
    <d v="2014-08-22T00:00:00"/>
    <s v="DVD"/>
    <n v="104631"/>
    <s v="AB108846"/>
    <x v="3"/>
    <n v="441628"/>
    <x v="2"/>
  </r>
  <r>
    <n v="10219"/>
    <n v="3"/>
    <d v="2014-08-23T00:00:00"/>
    <s v="DVD"/>
    <n v="104631"/>
    <s v="AB108848"/>
    <x v="1"/>
    <n v="441628"/>
    <x v="2"/>
  </r>
  <r>
    <n v="10140"/>
    <n v="4"/>
    <d v="2014-08-22T00:00:00"/>
    <s v="BLU-RAY"/>
    <n v="104632"/>
    <s v="AB108849"/>
    <x v="2"/>
    <n v="447601"/>
    <x v="2"/>
  </r>
  <r>
    <n v="10171"/>
    <n v="3"/>
    <d v="2014-08-22T00:00:00"/>
    <s v="BLU-RAY"/>
    <n v="104632"/>
    <s v="AB108850"/>
    <x v="7"/>
    <n v="447601"/>
    <x v="2"/>
  </r>
  <r>
    <n v="10266"/>
    <n v="3"/>
    <d v="2014-08-22T00:00:00"/>
    <s v="DVD"/>
    <n v="104633"/>
    <s v="AB108852"/>
    <x v="4"/>
    <n v="230602"/>
    <x v="2"/>
  </r>
  <r>
    <n v="10246"/>
    <n v="1"/>
    <d v="2014-08-23T00:00:00"/>
    <s v="DVD"/>
    <n v="104634"/>
    <s v="AB108853"/>
    <x v="2"/>
    <n v="558749"/>
    <x v="2"/>
  </r>
  <r>
    <n v="10152"/>
    <n v="3"/>
    <d v="2014-08-23T00:00:00"/>
    <s v="DVD"/>
    <n v="104635"/>
    <s v="AB108855"/>
    <x v="16"/>
    <n v="559054"/>
    <x v="2"/>
  </r>
  <r>
    <n v="10032"/>
    <n v="9"/>
    <d v="2014-08-25T00:00:00"/>
    <s v="DVD"/>
    <n v="104636"/>
    <s v="AB108856"/>
    <x v="4"/>
    <n v="888759"/>
    <x v="2"/>
  </r>
  <r>
    <n v="10186"/>
    <n v="9"/>
    <d v="2014-08-25T00:00:00"/>
    <s v="DVD"/>
    <n v="104636"/>
    <s v="AB108857"/>
    <x v="10"/>
    <n v="888759"/>
    <x v="2"/>
  </r>
  <r>
    <n v="10193"/>
    <n v="7"/>
    <d v="2014-08-23T00:00:00"/>
    <s v="DVD"/>
    <n v="104637"/>
    <s v="AB108859"/>
    <x v="9"/>
    <n v="162236"/>
    <x v="2"/>
  </r>
  <r>
    <n v="10132"/>
    <n v="8"/>
    <d v="2014-08-24T00:00:00"/>
    <s v="DVD"/>
    <n v="104638"/>
    <s v="AB108861"/>
    <x v="10"/>
    <n v="194680"/>
    <x v="2"/>
  </r>
  <r>
    <n v="10105"/>
    <n v="5"/>
    <d v="2014-08-24T00:00:00"/>
    <s v="DVD"/>
    <n v="104639"/>
    <s v="AB108864"/>
    <x v="2"/>
    <n v="346006"/>
    <x v="2"/>
  </r>
  <r>
    <n v="10259"/>
    <n v="6"/>
    <d v="2014-08-24T00:00:00"/>
    <s v="DVD"/>
    <n v="104640"/>
    <s v="AB108865"/>
    <x v="0"/>
    <n v="563500"/>
    <x v="2"/>
  </r>
  <r>
    <n v="10175"/>
    <n v="8"/>
    <d v="2014-08-23T00:00:00"/>
    <s v="BLU-RAY"/>
    <n v="104640"/>
    <s v="AB108866"/>
    <x v="3"/>
    <n v="563500"/>
    <x v="2"/>
  </r>
  <r>
    <n v="10247"/>
    <n v="10"/>
    <d v="2014-08-25T00:00:00"/>
    <s v="DVD"/>
    <n v="104641"/>
    <s v="AB108870"/>
    <x v="9"/>
    <n v="275152"/>
    <x v="2"/>
  </r>
  <r>
    <n v="10275"/>
    <n v="8"/>
    <d v="2014-08-24T00:00:00"/>
    <s v="DVD"/>
    <n v="104642"/>
    <s v="AB108872"/>
    <x v="10"/>
    <n v="432113"/>
    <x v="2"/>
  </r>
  <r>
    <n v="10142"/>
    <n v="3"/>
    <d v="2014-08-24T00:00:00"/>
    <s v="DVD"/>
    <n v="104643"/>
    <s v="AB108874"/>
    <x v="0"/>
    <n v="240205"/>
    <x v="2"/>
  </r>
  <r>
    <n v="10194"/>
    <n v="8"/>
    <d v="2014-08-24T00:00:00"/>
    <s v="DVD"/>
    <n v="104646"/>
    <s v="AB108879"/>
    <x v="16"/>
    <n v="695276"/>
    <x v="2"/>
  </r>
  <r>
    <n v="10288"/>
    <n v="9"/>
    <d v="2014-08-24T00:00:00"/>
    <s v="DVD"/>
    <n v="104647"/>
    <s v="AB108880"/>
    <x v="12"/>
    <n v="994185"/>
    <x v="2"/>
  </r>
  <r>
    <n v="10053"/>
    <n v="10"/>
    <d v="2014-08-25T00:00:00"/>
    <s v="DVD"/>
    <n v="104648"/>
    <s v="AB108881"/>
    <x v="4"/>
    <n v="194680"/>
    <x v="2"/>
  </r>
  <r>
    <n v="10227"/>
    <n v="5"/>
    <d v="2014-08-24T00:00:00"/>
    <s v="BLU-RAY"/>
    <n v="104648"/>
    <s v="AB108882"/>
    <x v="14"/>
    <n v="194680"/>
    <x v="2"/>
  </r>
  <r>
    <n v="10238"/>
    <n v="7"/>
    <d v="2014-08-27T00:00:00"/>
    <s v="BLU-RAY"/>
    <n v="104650"/>
    <s v="AB108886"/>
    <x v="0"/>
    <n v="590517"/>
    <x v="2"/>
  </r>
  <r>
    <n v="10230"/>
    <n v="4"/>
    <d v="2014-08-25T00:00:00"/>
    <s v="BLU-RAY"/>
    <n v="104650"/>
    <s v="AB108887"/>
    <x v="14"/>
    <n v="590517"/>
    <x v="2"/>
  </r>
  <r>
    <n v="10152"/>
    <n v="3"/>
    <d v="2014-08-28T00:00:00"/>
    <s v="DVD"/>
    <n v="104651"/>
    <s v="AB108889"/>
    <x v="16"/>
    <n v="230602"/>
    <x v="2"/>
  </r>
  <r>
    <n v="10290"/>
    <n v="1"/>
    <d v="2014-08-25T00:00:00"/>
    <s v="BLU-RAY"/>
    <n v="104651"/>
    <s v="AB108890"/>
    <x v="2"/>
    <n v="230602"/>
    <x v="2"/>
  </r>
  <r>
    <n v="10123"/>
    <n v="3"/>
    <d v="2014-08-26T00:00:00"/>
    <s v="BLU-RAY"/>
    <n v="104652"/>
    <s v="AB108892"/>
    <x v="9"/>
    <n v="500733"/>
    <x v="2"/>
  </r>
  <r>
    <n v="10217"/>
    <n v="3"/>
    <d v="2014-08-27T00:00:00"/>
    <s v="DVD"/>
    <n v="104653"/>
    <s v="AB108893"/>
    <x v="0"/>
    <n v="116934"/>
    <x v="2"/>
  </r>
  <r>
    <n v="10136"/>
    <n v="3"/>
    <d v="2014-08-26T00:00:00"/>
    <s v="DVD"/>
    <n v="104654"/>
    <s v="AB108897"/>
    <x v="2"/>
    <n v="999915"/>
    <x v="2"/>
  </r>
  <r>
    <n v="10209"/>
    <n v="1"/>
    <d v="2014-08-26T00:00:00"/>
    <s v="DVD"/>
    <n v="104658"/>
    <s v="AB108906"/>
    <x v="7"/>
    <n v="231615"/>
    <x v="2"/>
  </r>
  <r>
    <n v="10204"/>
    <n v="9"/>
    <d v="2014-08-26T00:00:00"/>
    <s v="DVD"/>
    <n v="104658"/>
    <s v="AB108907"/>
    <x v="7"/>
    <n v="231615"/>
    <x v="2"/>
  </r>
  <r>
    <n v="10161"/>
    <n v="8"/>
    <d v="2014-08-26T00:00:00"/>
    <s v="DVD"/>
    <n v="104660"/>
    <s v="AB108911"/>
    <x v="6"/>
    <n v="116690"/>
    <x v="2"/>
  </r>
  <r>
    <n v="10139"/>
    <n v="7"/>
    <d v="2014-08-27T00:00:00"/>
    <s v="DVD"/>
    <n v="104662"/>
    <s v="AB108914"/>
    <x v="14"/>
    <n v="448739"/>
    <x v="2"/>
  </r>
  <r>
    <n v="10266"/>
    <n v="3"/>
    <d v="2014-08-28T00:00:00"/>
    <s v="DVD"/>
    <n v="104662"/>
    <s v="AB108916"/>
    <x v="4"/>
    <n v="448739"/>
    <x v="2"/>
  </r>
  <r>
    <n v="10288"/>
    <n v="1"/>
    <d v="2014-08-28T00:00:00"/>
    <s v="DVD"/>
    <n v="104663"/>
    <s v="AB108917"/>
    <x v="12"/>
    <n v="921901"/>
    <x v="2"/>
  </r>
  <r>
    <n v="10227"/>
    <n v="2"/>
    <d v="2014-08-28T00:00:00"/>
    <s v="DVD"/>
    <n v="104663"/>
    <s v="AB108918"/>
    <x v="14"/>
    <n v="921901"/>
    <x v="2"/>
  </r>
  <r>
    <n v="10091"/>
    <n v="4"/>
    <d v="2014-08-28T00:00:00"/>
    <s v="BLU-RAY"/>
    <n v="104666"/>
    <s v="AB108926"/>
    <x v="0"/>
    <n v="921901"/>
    <x v="2"/>
  </r>
  <r>
    <n v="10237"/>
    <n v="8"/>
    <d v="2014-08-27T00:00:00"/>
    <s v="DVD"/>
    <n v="104667"/>
    <s v="AB108928"/>
    <x v="0"/>
    <n v="111486"/>
    <x v="2"/>
  </r>
  <r>
    <n v="10050"/>
    <n v="1"/>
    <d v="2014-08-28T00:00:00"/>
    <s v="DVD"/>
    <n v="104672"/>
    <s v="AB108934"/>
    <x v="1"/>
    <n v="104939"/>
    <x v="2"/>
  </r>
  <r>
    <n v="10110"/>
    <n v="4"/>
    <d v="2014-08-28T00:00:00"/>
    <s v="DVD"/>
    <n v="104673"/>
    <s v="AB108938"/>
    <x v="0"/>
    <n v="921901"/>
    <x v="2"/>
  </r>
  <r>
    <n v="10165"/>
    <n v="9"/>
    <d v="2014-08-28T00:00:00"/>
    <s v="DVD"/>
    <n v="104674"/>
    <s v="AB108939"/>
    <x v="2"/>
    <n v="331115"/>
    <x v="2"/>
  </r>
  <r>
    <n v="10376"/>
    <n v="10"/>
    <d v="2014-08-28T00:00:00"/>
    <s v="DVD"/>
    <n v="104674"/>
    <s v="AB108940"/>
    <x v="12"/>
    <n v="331115"/>
    <x v="2"/>
  </r>
  <r>
    <n v="10123"/>
    <n v="5"/>
    <d v="2014-08-29T00:00:00"/>
    <s v="BLU-RAY"/>
    <n v="104675"/>
    <s v="AB108942"/>
    <x v="9"/>
    <n v="622131"/>
    <x v="2"/>
  </r>
  <r>
    <n v="10099"/>
    <n v="10"/>
    <d v="2014-08-28T00:00:00"/>
    <s v="DVD"/>
    <n v="104676"/>
    <s v="AB108944"/>
    <x v="10"/>
    <n v="407605"/>
    <x v="2"/>
  </r>
  <r>
    <n v="10288"/>
    <n v="9"/>
    <d v="2014-08-28T00:00:00"/>
    <s v="DVD"/>
    <n v="104677"/>
    <s v="AB108946"/>
    <x v="12"/>
    <n v="561305"/>
    <x v="2"/>
  </r>
  <r>
    <n v="10268"/>
    <n v="10"/>
    <d v="2014-08-29T00:00:00"/>
    <s v="DVD"/>
    <n v="104678"/>
    <s v="AB108949"/>
    <x v="3"/>
    <n v="109251"/>
    <x v="2"/>
  </r>
  <r>
    <n v="10135"/>
    <n v="3"/>
    <d v="2014-08-29T00:00:00"/>
    <s v="DVD"/>
    <n v="104680"/>
    <s v="AB108953"/>
    <x v="7"/>
    <n v="427391"/>
    <x v="2"/>
  </r>
  <r>
    <n v="10248"/>
    <n v="3"/>
    <d v="2014-08-30T00:00:00"/>
    <s v="DVD"/>
    <n v="104681"/>
    <s v="AB108954"/>
    <x v="12"/>
    <n v="447368"/>
    <x v="2"/>
  </r>
  <r>
    <n v="10055"/>
    <n v="8"/>
    <d v="2014-08-31T00:00:00"/>
    <s v="DVD"/>
    <n v="104683"/>
    <s v="AB108955"/>
    <x v="15"/>
    <n v="448739"/>
    <x v="2"/>
  </r>
  <r>
    <n v="10287"/>
    <n v="1"/>
    <d v="2014-08-30T00:00:00"/>
    <s v="BLU-RAY"/>
    <n v="104682"/>
    <s v="AB108956"/>
    <x v="10"/>
    <n v="192738"/>
    <x v="2"/>
  </r>
  <r>
    <n v="10185"/>
    <n v="3"/>
    <d v="2014-08-31T00:00:00"/>
    <s v="DVD"/>
    <n v="104683"/>
    <s v="AB108957"/>
    <x v="0"/>
    <n v="448739"/>
    <x v="2"/>
  </r>
  <r>
    <n v="10293"/>
    <n v="10"/>
    <d v="2014-08-31T00:00:00"/>
    <s v="DVD"/>
    <n v="104683"/>
    <s v="AB108958"/>
    <x v="12"/>
    <n v="448739"/>
    <x v="2"/>
  </r>
  <r>
    <n v="10288"/>
    <n v="3"/>
    <d v="2014-08-31T00:00:00"/>
    <s v="DVD"/>
    <n v="104684"/>
    <s v="AB108959"/>
    <x v="12"/>
    <n v="265707"/>
    <x v="2"/>
  </r>
  <r>
    <n v="10155"/>
    <n v="10"/>
    <d v="2014-09-03T00:00:00"/>
    <s v="DVD"/>
    <n v="104684"/>
    <s v="AB108960"/>
    <x v="9"/>
    <n v="265707"/>
    <x v="2"/>
  </r>
  <r>
    <n v="10139"/>
    <n v="6"/>
    <d v="2014-08-30T00:00:00"/>
    <s v="DVD"/>
    <n v="104686"/>
    <s v="AB108962"/>
    <x v="14"/>
    <n v="701211"/>
    <x v="2"/>
  </r>
  <r>
    <n v="10227"/>
    <n v="6"/>
    <d v="2014-09-01T00:00:00"/>
    <s v="BLU-RAY"/>
    <n v="104687"/>
    <s v="AB108964"/>
    <x v="14"/>
    <n v="852925"/>
    <x v="2"/>
  </r>
  <r>
    <n v="10240"/>
    <n v="10"/>
    <d v="2014-08-30T00:00:00"/>
    <s v="DVD"/>
    <n v="104689"/>
    <s v="AB108970"/>
    <x v="0"/>
    <n v="442691"/>
    <x v="2"/>
  </r>
  <r>
    <n v="10219"/>
    <n v="3"/>
    <d v="2014-09-03T00:00:00"/>
    <s v="DVD"/>
    <n v="104694"/>
    <s v="AB108980"/>
    <x v="1"/>
    <n v="995599"/>
    <x v="2"/>
  </r>
  <r>
    <n v="10038"/>
    <n v="6"/>
    <d v="2014-08-31T00:00:00"/>
    <s v="DVD"/>
    <n v="104694"/>
    <s v="AB108981"/>
    <x v="1"/>
    <n v="995599"/>
    <x v="2"/>
  </r>
  <r>
    <n v="10139"/>
    <n v="9"/>
    <d v="2014-09-02T00:00:00"/>
    <s v="DVD"/>
    <n v="104696"/>
    <s v="AB108983"/>
    <x v="14"/>
    <n v="860057"/>
    <x v="2"/>
  </r>
  <r>
    <n v="10162"/>
    <n v="7"/>
    <d v="2014-08-31T00:00:00"/>
    <s v="DVD"/>
    <n v="104697"/>
    <s v="AB108985"/>
    <x v="4"/>
    <n v="643214"/>
    <x v="2"/>
  </r>
  <r>
    <n v="10206"/>
    <n v="10"/>
    <d v="2014-08-31T00:00:00"/>
    <s v="BLU-RAY"/>
    <n v="104697"/>
    <s v="AB108986"/>
    <x v="9"/>
    <n v="643214"/>
    <x v="2"/>
  </r>
  <r>
    <n v="10181"/>
    <n v="4"/>
    <d v="2014-09-01T00:00:00"/>
    <s v="DVD"/>
    <n v="104698"/>
    <s v="AB108987"/>
    <x v="9"/>
    <n v="475216"/>
    <x v="2"/>
  </r>
  <r>
    <n v="10212"/>
    <n v="5"/>
    <d v="2014-09-01T00:00:00"/>
    <s v="DVD"/>
    <n v="104701"/>
    <s v="AB108991"/>
    <x v="10"/>
    <n v="761615"/>
    <x v="2"/>
  </r>
  <r>
    <n v="10352"/>
    <n v="9"/>
    <d v="2014-09-01T00:00:00"/>
    <s v="DVD"/>
    <n v="104701"/>
    <s v="AB108992"/>
    <x v="0"/>
    <n v="761615"/>
    <x v="2"/>
  </r>
  <r>
    <n v="10200"/>
    <n v="7"/>
    <d v="2014-09-03T00:00:00"/>
    <s v="DVD"/>
    <n v="104702"/>
    <s v="AB108993"/>
    <x v="9"/>
    <n v="390130"/>
    <x v="2"/>
  </r>
  <r>
    <n v="10283"/>
    <n v="3"/>
    <d v="2014-09-01T00:00:00"/>
    <s v="DVD"/>
    <n v="104707"/>
    <s v="AB109004"/>
    <x v="6"/>
    <n v="494106"/>
    <x v="2"/>
  </r>
  <r>
    <n v="10288"/>
    <n v="10"/>
    <d v="2014-09-02T00:00:00"/>
    <s v="DVD"/>
    <n v="104712"/>
    <s v="AB109012"/>
    <x v="12"/>
    <n v="611848"/>
    <x v="2"/>
  </r>
  <r>
    <n v="10038"/>
    <n v="6"/>
    <d v="2014-09-02T00:00:00"/>
    <s v="DVD"/>
    <n v="104714"/>
    <s v="AB109015"/>
    <x v="1"/>
    <n v="676018"/>
    <x v="2"/>
  </r>
  <r>
    <n v="10121"/>
    <n v="6"/>
    <d v="2014-09-04T00:00:00"/>
    <s v="DVD"/>
    <n v="104717"/>
    <s v="AB109018"/>
    <x v="2"/>
    <n v="205927"/>
    <x v="2"/>
  </r>
  <r>
    <n v="10263"/>
    <n v="2"/>
    <d v="2014-09-04T00:00:00"/>
    <s v="DVD"/>
    <n v="104721"/>
    <s v="AB109023"/>
    <x v="9"/>
    <n v="111486"/>
    <x v="2"/>
  </r>
  <r>
    <n v="10275"/>
    <n v="10"/>
    <d v="2014-09-03T00:00:00"/>
    <s v="BLU-RAY"/>
    <n v="104721"/>
    <s v="AB109024"/>
    <x v="10"/>
    <n v="111486"/>
    <x v="2"/>
  </r>
  <r>
    <n v="10021"/>
    <n v="2"/>
    <d v="2014-09-05T00:00:00"/>
    <s v="DVD"/>
    <n v="104724"/>
    <s v="AB109027"/>
    <x v="1"/>
    <n v="149240"/>
    <x v="2"/>
  </r>
  <r>
    <n v="10262"/>
    <n v="3"/>
    <d v="2014-09-08T00:00:00"/>
    <s v="DVD"/>
    <n v="104730"/>
    <s v="AB109037"/>
    <x v="10"/>
    <n v="471187"/>
    <x v="2"/>
  </r>
  <r>
    <n v="10180"/>
    <n v="7"/>
    <d v="2014-09-11T00:00:00"/>
    <s v="DVD"/>
    <n v="104731"/>
    <s v="AB109038"/>
    <x v="12"/>
    <n v="736500"/>
    <x v="2"/>
  </r>
  <r>
    <n v="10246"/>
    <n v="3"/>
    <d v="2014-09-06T00:00:00"/>
    <s v="DVD"/>
    <n v="104732"/>
    <s v="AB109040"/>
    <x v="2"/>
    <n v="748326"/>
    <x v="2"/>
  </r>
  <r>
    <n v="10170"/>
    <n v="6"/>
    <d v="2014-09-07T00:00:00"/>
    <s v="DVD"/>
    <n v="104733"/>
    <s v="AB109042"/>
    <x v="15"/>
    <n v="701211"/>
    <x v="2"/>
  </r>
  <r>
    <n v="10248"/>
    <n v="6"/>
    <d v="2014-09-05T00:00:00"/>
    <s v="DVD"/>
    <n v="104734"/>
    <s v="AB109043"/>
    <x v="12"/>
    <n v="112690"/>
    <x v="2"/>
  </r>
  <r>
    <n v="10174"/>
    <n v="8"/>
    <d v="2014-09-07T00:00:00"/>
    <s v="BLU-RAY"/>
    <n v="104735"/>
    <s v="AB109044"/>
    <x v="7"/>
    <n v="840970"/>
    <x v="2"/>
  </r>
  <r>
    <n v="10270"/>
    <n v="1"/>
    <d v="2014-09-07T00:00:00"/>
    <s v="DVD"/>
    <n v="104735"/>
    <s v="AB109045"/>
    <x v="9"/>
    <n v="840970"/>
    <x v="2"/>
  </r>
  <r>
    <n v="10194"/>
    <n v="9"/>
    <d v="2014-09-09T00:00:00"/>
    <s v="DVD"/>
    <n v="104735"/>
    <s v="AB109046"/>
    <x v="16"/>
    <n v="840970"/>
    <x v="2"/>
  </r>
  <r>
    <n v="10202"/>
    <n v="7"/>
    <d v="2014-09-08T00:00:00"/>
    <s v="DVD"/>
    <n v="104736"/>
    <s v="AB109048"/>
    <x v="0"/>
    <n v="200272"/>
    <x v="2"/>
  </r>
  <r>
    <n v="10189"/>
    <n v="10"/>
    <d v="2014-09-07T00:00:00"/>
    <s v="DVD"/>
    <n v="104739"/>
    <s v="AB109054"/>
    <x v="7"/>
    <n v="897980"/>
    <x v="2"/>
  </r>
  <r>
    <n v="10352"/>
    <n v="1"/>
    <d v="2014-09-06T00:00:00"/>
    <s v="DVD"/>
    <n v="104739"/>
    <s v="AB109055"/>
    <x v="0"/>
    <n v="897980"/>
    <x v="2"/>
  </r>
  <r>
    <n v="10268"/>
    <n v="9"/>
    <d v="2014-09-06T00:00:00"/>
    <s v="DVD"/>
    <n v="104740"/>
    <s v="AB109056"/>
    <x v="3"/>
    <n v="296353"/>
    <x v="2"/>
  </r>
  <r>
    <n v="10242"/>
    <n v="8"/>
    <d v="2014-09-06T00:00:00"/>
    <s v="DVD"/>
    <n v="104741"/>
    <s v="AB109058"/>
    <x v="3"/>
    <n v="500733"/>
    <x v="2"/>
  </r>
  <r>
    <n v="10215"/>
    <n v="6"/>
    <d v="2014-09-07T00:00:00"/>
    <s v="DVD"/>
    <n v="104742"/>
    <s v="AB109059"/>
    <x v="1"/>
    <n v="703083"/>
    <x v="2"/>
  </r>
  <r>
    <n v="10253"/>
    <n v="3"/>
    <d v="2014-09-08T00:00:00"/>
    <s v="DVD"/>
    <n v="104743"/>
    <s v="AB109060"/>
    <x v="3"/>
    <n v="846722"/>
    <x v="2"/>
  </r>
  <r>
    <n v="10245"/>
    <n v="2"/>
    <d v="2014-09-07T00:00:00"/>
    <s v="DVD"/>
    <n v="104745"/>
    <s v="AB109065"/>
    <x v="0"/>
    <n v="670707"/>
    <x v="2"/>
  </r>
  <r>
    <n v="10116"/>
    <n v="7"/>
    <d v="2014-09-07T00:00:00"/>
    <s v="DVD"/>
    <n v="104746"/>
    <s v="AB109066"/>
    <x v="7"/>
    <n v="941876"/>
    <x v="2"/>
  </r>
  <r>
    <n v="10266"/>
    <n v="3"/>
    <d v="2014-09-07T00:00:00"/>
    <s v="DVD"/>
    <n v="104747"/>
    <s v="AB109067"/>
    <x v="4"/>
    <n v="425051"/>
    <x v="2"/>
  </r>
  <r>
    <n v="10157"/>
    <n v="10"/>
    <d v="2014-09-14T00:00:00"/>
    <s v="DVD"/>
    <n v="104749"/>
    <s v="AB109069"/>
    <x v="1"/>
    <n v="308662"/>
    <x v="2"/>
  </r>
  <r>
    <n v="10174"/>
    <n v="7"/>
    <d v="2014-09-10T00:00:00"/>
    <s v="DVD"/>
    <n v="104751"/>
    <s v="AB109071"/>
    <x v="7"/>
    <n v="330570"/>
    <x v="2"/>
  </r>
  <r>
    <n v="10376"/>
    <n v="3"/>
    <d v="2014-09-10T00:00:00"/>
    <s v="DVD"/>
    <n v="104753"/>
    <s v="AB109075"/>
    <x v="12"/>
    <n v="783369"/>
    <x v="2"/>
  </r>
  <r>
    <n v="10267"/>
    <n v="8"/>
    <d v="2014-09-09T00:00:00"/>
    <s v="DVD"/>
    <n v="104755"/>
    <s v="AB109080"/>
    <x v="6"/>
    <n v="465275"/>
    <x v="2"/>
  </r>
  <r>
    <n v="10277"/>
    <n v="4"/>
    <d v="2014-09-15T00:00:00"/>
    <s v="DVD"/>
    <n v="104756"/>
    <s v="AB109081"/>
    <x v="7"/>
    <n v="371731"/>
    <x v="2"/>
  </r>
  <r>
    <n v="10171"/>
    <n v="5"/>
    <d v="2014-09-09T00:00:00"/>
    <s v="DVD"/>
    <n v="104756"/>
    <s v="AB109082"/>
    <x v="7"/>
    <n v="371731"/>
    <x v="2"/>
  </r>
  <r>
    <n v="10274"/>
    <n v="6"/>
    <d v="2014-09-09T00:00:00"/>
    <s v="BLU-RAY"/>
    <n v="104756"/>
    <s v="AB109083"/>
    <x v="9"/>
    <n v="371731"/>
    <x v="2"/>
  </r>
  <r>
    <n v="10135"/>
    <n v="9"/>
    <d v="2014-09-11T00:00:00"/>
    <s v="DVD"/>
    <n v="104756"/>
    <s v="AB109084"/>
    <x v="7"/>
    <n v="371731"/>
    <x v="2"/>
  </r>
  <r>
    <n v="10252"/>
    <n v="6"/>
    <d v="2014-09-10T00:00:00"/>
    <s v="DVD"/>
    <n v="104757"/>
    <s v="AB109085"/>
    <x v="0"/>
    <n v="500828"/>
    <x v="2"/>
  </r>
  <r>
    <n v="10077"/>
    <n v="10"/>
    <d v="2014-09-09T00:00:00"/>
    <s v="DVD"/>
    <n v="104758"/>
    <s v="AB109087"/>
    <x v="0"/>
    <n v="404678"/>
    <x v="2"/>
  </r>
  <r>
    <n v="10107"/>
    <n v="1"/>
    <d v="2014-09-14T00:00:00"/>
    <s v="DVD"/>
    <n v="104760"/>
    <s v="AB109091"/>
    <x v="7"/>
    <n v="370870"/>
    <x v="2"/>
  </r>
  <r>
    <n v="10179"/>
    <n v="2"/>
    <d v="2014-09-09T00:00:00"/>
    <s v="DVD"/>
    <n v="104761"/>
    <s v="AB109093"/>
    <x v="0"/>
    <n v="479497"/>
    <x v="2"/>
  </r>
  <r>
    <n v="10238"/>
    <n v="5"/>
    <d v="2014-09-12T00:00:00"/>
    <s v="DVD"/>
    <n v="104763"/>
    <s v="AB109097"/>
    <x v="0"/>
    <n v="347189"/>
    <x v="2"/>
  </r>
  <r>
    <n v="10208"/>
    <n v="1"/>
    <d v="2014-09-10T00:00:00"/>
    <s v="DVD"/>
    <n v="104765"/>
    <s v="AB109100"/>
    <x v="0"/>
    <n v="720602"/>
    <x v="2"/>
  </r>
  <r>
    <n v="10174"/>
    <n v="4"/>
    <d v="2014-09-14T00:00:00"/>
    <s v="DVD"/>
    <n v="104765"/>
    <s v="AB109101"/>
    <x v="7"/>
    <n v="720602"/>
    <x v="2"/>
  </r>
  <r>
    <n v="10271"/>
    <n v="7"/>
    <d v="2014-09-14T00:00:00"/>
    <s v="DVD"/>
    <n v="104765"/>
    <s v="AB109102"/>
    <x v="7"/>
    <n v="720602"/>
    <x v="2"/>
  </r>
  <r>
    <n v="10205"/>
    <n v="9"/>
    <d v="2014-09-10T00:00:00"/>
    <s v="DVD"/>
    <n v="104767"/>
    <s v="AB109107"/>
    <x v="1"/>
    <n v="147216"/>
    <x v="2"/>
  </r>
  <r>
    <n v="10193"/>
    <n v="2"/>
    <d v="2014-09-10T00:00:00"/>
    <s v="DVD"/>
    <n v="104769"/>
    <s v="AB109111"/>
    <x v="9"/>
    <n v="872851"/>
    <x v="2"/>
  </r>
  <r>
    <n v="10139"/>
    <n v="5"/>
    <d v="2014-09-10T00:00:00"/>
    <s v="BLU-RAY"/>
    <n v="104770"/>
    <s v="AB109113"/>
    <x v="14"/>
    <n v="951702"/>
    <x v="2"/>
  </r>
  <r>
    <n v="10123"/>
    <n v="1"/>
    <d v="2014-09-11T00:00:00"/>
    <s v="DVD"/>
    <n v="104772"/>
    <s v="AB109120"/>
    <x v="9"/>
    <n v="924947"/>
    <x v="2"/>
  </r>
  <r>
    <n v="10284"/>
    <n v="6"/>
    <d v="2014-09-15T00:00:00"/>
    <s v="DVD"/>
    <n v="104772"/>
    <s v="AB109121"/>
    <x v="14"/>
    <n v="924947"/>
    <x v="2"/>
  </r>
  <r>
    <n v="10150"/>
    <n v="5"/>
    <d v="2014-09-11T00:00:00"/>
    <s v="BLU-RAY"/>
    <n v="104776"/>
    <s v="AB109126"/>
    <x v="14"/>
    <n v="104939"/>
    <x v="2"/>
  </r>
  <r>
    <n v="10282"/>
    <n v="10"/>
    <d v="2014-09-14T00:00:00"/>
    <s v="DVD"/>
    <n v="104778"/>
    <s v="AB109131"/>
    <x v="15"/>
    <n v="240205"/>
    <x v="2"/>
  </r>
  <r>
    <n v="10284"/>
    <n v="9"/>
    <d v="2014-09-15T00:00:00"/>
    <s v="DVD"/>
    <n v="104779"/>
    <s v="AB109133"/>
    <x v="14"/>
    <n v="741398"/>
    <x v="2"/>
  </r>
  <r>
    <n v="10259"/>
    <n v="8"/>
    <d v="2014-09-13T00:00:00"/>
    <s v="DVD"/>
    <n v="104780"/>
    <s v="AB109136"/>
    <x v="0"/>
    <n v="493552"/>
    <x v="2"/>
  </r>
  <r>
    <n v="10043"/>
    <n v="8"/>
    <d v="2014-09-14T00:00:00"/>
    <s v="DVD"/>
    <n v="104783"/>
    <s v="AB109143"/>
    <x v="8"/>
    <n v="797968"/>
    <x v="2"/>
  </r>
  <r>
    <n v="10219"/>
    <n v="5"/>
    <d v="2014-09-12T00:00:00"/>
    <s v="DVD"/>
    <n v="104784"/>
    <s v="AB109146"/>
    <x v="1"/>
    <n v="245577"/>
    <x v="2"/>
  </r>
  <r>
    <n v="10114"/>
    <n v="5"/>
    <d v="2014-09-15T00:00:00"/>
    <s v="DVD"/>
    <n v="104786"/>
    <s v="AB109151"/>
    <x v="10"/>
    <n v="242720"/>
    <x v="2"/>
  </r>
  <r>
    <n v="10219"/>
    <n v="3"/>
    <d v="2014-09-13T00:00:00"/>
    <s v="DVD"/>
    <n v="104786"/>
    <s v="AB109154"/>
    <x v="1"/>
    <n v="242720"/>
    <x v="2"/>
  </r>
  <r>
    <n v="10396"/>
    <n v="9"/>
    <d v="2014-09-15T00:00:00"/>
    <s v="DVD"/>
    <n v="104787"/>
    <s v="AB109155"/>
    <x v="23"/>
    <n v="262579"/>
    <x v="2"/>
  </r>
  <r>
    <n v="10205"/>
    <n v="7"/>
    <d v="2014-09-13T00:00:00"/>
    <s v="DVD"/>
    <n v="104789"/>
    <s v="AB109158"/>
    <x v="1"/>
    <n v="105771"/>
    <x v="2"/>
  </r>
  <r>
    <n v="10174"/>
    <n v="7"/>
    <d v="2014-09-13T00:00:00"/>
    <s v="DVD"/>
    <n v="104789"/>
    <s v="AB109159"/>
    <x v="7"/>
    <n v="105771"/>
    <x v="2"/>
  </r>
  <r>
    <n v="10245"/>
    <n v="3"/>
    <d v="2014-09-15T00:00:00"/>
    <s v="DVD"/>
    <n v="104790"/>
    <s v="AB109160"/>
    <x v="0"/>
    <n v="601753"/>
    <x v="2"/>
  </r>
  <r>
    <n v="10200"/>
    <n v="7"/>
    <d v="2014-09-15T00:00:00"/>
    <s v="DVD"/>
    <n v="104791"/>
    <s v="AB109162"/>
    <x v="9"/>
    <n v="842028"/>
    <x v="2"/>
  </r>
  <r>
    <n v="10216"/>
    <n v="8"/>
    <d v="2014-09-14T00:00:00"/>
    <s v="DVD"/>
    <n v="104792"/>
    <s v="AB109164"/>
    <x v="4"/>
    <n v="611848"/>
    <x v="2"/>
  </r>
  <r>
    <n v="10349"/>
    <n v="6"/>
    <d v="2014-09-14T00:00:00"/>
    <s v="DVD"/>
    <n v="104793"/>
    <s v="AB109165"/>
    <x v="8"/>
    <n v="277310"/>
    <x v="2"/>
  </r>
  <r>
    <n v="10218"/>
    <n v="4"/>
    <d v="2014-09-16T00:00:00"/>
    <s v="DVD"/>
    <n v="104793"/>
    <s v="AB109166"/>
    <x v="4"/>
    <n v="277310"/>
    <x v="2"/>
  </r>
  <r>
    <n v="10185"/>
    <n v="3"/>
    <d v="2014-09-14T00:00:00"/>
    <s v="BLU-RAY"/>
    <n v="104794"/>
    <s v="AB109167"/>
    <x v="0"/>
    <n v="690100"/>
    <x v="2"/>
  </r>
  <r>
    <n v="10265"/>
    <n v="3"/>
    <d v="2014-09-15T00:00:00"/>
    <s v="BLU-RAY"/>
    <n v="104795"/>
    <s v="AB109170"/>
    <x v="0"/>
    <n v="646700"/>
    <x v="2"/>
  </r>
  <r>
    <n v="10055"/>
    <n v="9"/>
    <d v="2014-09-15T00:00:00"/>
    <s v="DVD"/>
    <n v="104795"/>
    <s v="AB109171"/>
    <x v="15"/>
    <n v="646700"/>
    <x v="2"/>
  </r>
  <r>
    <n v="10009"/>
    <n v="10"/>
    <d v="2014-09-14T00:00:00"/>
    <s v="BLU-RAY"/>
    <n v="104797"/>
    <s v="AB109173"/>
    <x v="0"/>
    <n v="657495"/>
    <x v="2"/>
  </r>
  <r>
    <n v="10182"/>
    <n v="4"/>
    <d v="2014-09-16T00:00:00"/>
    <s v="DVD"/>
    <n v="104797"/>
    <s v="AB109174"/>
    <x v="0"/>
    <n v="657495"/>
    <x v="2"/>
  </r>
  <r>
    <n v="10274"/>
    <n v="8"/>
    <d v="2014-09-14T00:00:00"/>
    <s v="DVD"/>
    <n v="104799"/>
    <s v="AB109177"/>
    <x v="9"/>
    <n v="606155"/>
    <x v="2"/>
  </r>
  <r>
    <n v="10142"/>
    <n v="7"/>
    <d v="2014-09-16T00:00:00"/>
    <s v="DVD"/>
    <n v="104800"/>
    <s v="AB109179"/>
    <x v="0"/>
    <n v="116934"/>
    <x v="2"/>
  </r>
  <r>
    <n v="10215"/>
    <n v="9"/>
    <d v="2014-09-18T00:00:00"/>
    <s v="DVD"/>
    <n v="104801"/>
    <s v="AB109182"/>
    <x v="1"/>
    <n v="663029"/>
    <x v="2"/>
  </r>
  <r>
    <n v="10182"/>
    <n v="10"/>
    <d v="2014-09-15T00:00:00"/>
    <s v="DVD"/>
    <n v="104802"/>
    <s v="AB109183"/>
    <x v="0"/>
    <n v="132454"/>
    <x v="2"/>
  </r>
  <r>
    <n v="10283"/>
    <n v="6"/>
    <d v="2014-09-15T00:00:00"/>
    <s v="DVD"/>
    <n v="104803"/>
    <s v="AB109185"/>
    <x v="6"/>
    <n v="301793"/>
    <x v="2"/>
  </r>
  <r>
    <n v="10172"/>
    <n v="8"/>
    <d v="2014-09-15T00:00:00"/>
    <s v="BLU-RAY"/>
    <n v="104805"/>
    <s v="AB109187"/>
    <x v="10"/>
    <n v="235720"/>
    <x v="2"/>
  </r>
  <r>
    <n v="10208"/>
    <n v="10"/>
    <d v="2014-09-17T00:00:00"/>
    <s v="DVD"/>
    <n v="104807"/>
    <s v="AB109189"/>
    <x v="0"/>
    <n v="517477"/>
    <x v="2"/>
  </r>
  <r>
    <n v="10349"/>
    <n v="7"/>
    <d v="2014-09-16T00:00:00"/>
    <s v="DVD"/>
    <n v="104807"/>
    <s v="AB109190"/>
    <x v="8"/>
    <n v="517477"/>
    <x v="2"/>
  </r>
  <r>
    <n v="10210"/>
    <n v="1"/>
    <d v="2014-09-19T00:00:00"/>
    <s v="BLU-RAY"/>
    <n v="104808"/>
    <s v="AB109191"/>
    <x v="4"/>
    <n v="270853"/>
    <x v="2"/>
  </r>
  <r>
    <n v="10249"/>
    <n v="8"/>
    <d v="2014-09-16T00:00:00"/>
    <s v="DVD"/>
    <n v="104809"/>
    <s v="AB109192"/>
    <x v="5"/>
    <n v="925565"/>
    <x v="2"/>
  </r>
  <r>
    <n v="10232"/>
    <n v="7"/>
    <d v="2014-09-22T00:00:00"/>
    <s v="DVD"/>
    <n v="104810"/>
    <s v="AB109194"/>
    <x v="1"/>
    <n v="227372"/>
    <x v="2"/>
  </r>
  <r>
    <n v="10198"/>
    <n v="7"/>
    <d v="2014-09-19T00:00:00"/>
    <s v="DVD"/>
    <n v="104812"/>
    <s v="AB109195"/>
    <x v="9"/>
    <n v="703083"/>
    <x v="2"/>
  </r>
  <r>
    <n v="10237"/>
    <n v="8"/>
    <d v="2014-09-16T00:00:00"/>
    <s v="DVD"/>
    <n v="104813"/>
    <s v="AB109196"/>
    <x v="0"/>
    <n v="480298"/>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10">
  <r>
    <n v="10208"/>
    <n v="5"/>
    <d v="2012-07-10T00:00:00"/>
    <s v="DVD"/>
    <n v="100000"/>
    <s v="AB100000"/>
    <x v="0"/>
    <n v="864896"/>
  </r>
  <r>
    <n v="10207"/>
    <n v="6"/>
    <d v="2012-07-08T00:00:00"/>
    <s v="DVD"/>
    <n v="100000"/>
    <s v="AB100001"/>
    <x v="1"/>
    <n v="864896"/>
  </r>
  <r>
    <n v="10168"/>
    <n v="4"/>
    <d v="2012-07-09T00:00:00"/>
    <s v="BLU-RAY"/>
    <n v="100000"/>
    <s v="AB100002"/>
    <x v="1"/>
    <n v="864896"/>
  </r>
  <r>
    <n v="10098"/>
    <n v="10"/>
    <d v="2012-07-08T00:00:00"/>
    <s v="BLU-RAY"/>
    <n v="100000"/>
    <s v="AB100003"/>
    <x v="0"/>
    <n v="864896"/>
  </r>
  <r>
    <n v="10121"/>
    <n v="5"/>
    <d v="2012-07-14T00:00:00"/>
    <s v="DVD"/>
    <n v="100001"/>
    <s v="AB100004"/>
    <x v="2"/>
    <n v="610766"/>
  </r>
  <r>
    <n v="10137"/>
    <n v="1"/>
    <d v="2012-07-14T00:00:00"/>
    <s v="BLU-RAY"/>
    <n v="100002"/>
    <s v="AB100005"/>
    <x v="3"/>
    <n v="207846"/>
  </r>
  <r>
    <n v="10124"/>
    <n v="10"/>
    <d v="2012-07-15T00:00:00"/>
    <s v="DVD"/>
    <n v="100002"/>
    <s v="AB100006"/>
    <x v="1"/>
    <n v="207846"/>
  </r>
  <r>
    <n v="10081"/>
    <n v="7"/>
    <d v="2012-07-18T00:00:00"/>
    <s v="DVD"/>
    <n v="100003"/>
    <s v="AB100007"/>
    <x v="2"/>
    <n v="166612"/>
  </r>
  <r>
    <n v="10025"/>
    <n v="2"/>
    <d v="2012-07-27T00:00:00"/>
    <s v="DVD"/>
    <n v="100004"/>
    <s v="AB100008"/>
    <x v="4"/>
    <n v="482274"/>
  </r>
  <r>
    <n v="10028"/>
    <n v="1"/>
    <d v="2012-07-27T00:00:00"/>
    <s v="DVD"/>
    <n v="100004"/>
    <s v="AB100009"/>
    <x v="5"/>
    <n v="482274"/>
  </r>
  <r>
    <n v="10080"/>
    <n v="7"/>
    <d v="2012-07-29T00:00:00"/>
    <s v="BLU-RAY"/>
    <n v="100005"/>
    <s v="AB100010"/>
    <x v="3"/>
    <n v="961080"/>
  </r>
  <r>
    <n v="10124"/>
    <n v="8"/>
    <d v="2012-08-01T00:00:00"/>
    <s v="BLU-RAY"/>
    <n v="100006"/>
    <s v="AB100011"/>
    <x v="1"/>
    <n v="736500"/>
  </r>
  <r>
    <n v="10015"/>
    <n v="7"/>
    <d v="2012-08-01T00:00:00"/>
    <s v="DVD"/>
    <n v="100006"/>
    <s v="AB100012"/>
    <x v="6"/>
    <n v="736500"/>
  </r>
  <r>
    <n v="10175"/>
    <n v="2"/>
    <d v="2012-08-02T00:00:00"/>
    <s v="DVD"/>
    <n v="100007"/>
    <s v="AB100013"/>
    <x v="3"/>
    <n v="714277"/>
  </r>
  <r>
    <n v="10053"/>
    <n v="2"/>
    <d v="2012-08-04T00:00:00"/>
    <s v="DVD"/>
    <n v="100008"/>
    <s v="AB100014"/>
    <x v="4"/>
    <n v="324435"/>
  </r>
  <r>
    <n v="10143"/>
    <n v="2"/>
    <d v="2012-08-03T00:00:00"/>
    <s v="DVD"/>
    <n v="100008"/>
    <s v="AB100015"/>
    <x v="3"/>
    <n v="324435"/>
  </r>
  <r>
    <n v="10239"/>
    <n v="3"/>
    <d v="2012-08-07T00:00:00"/>
    <s v="DVD"/>
    <n v="100009"/>
    <s v="AB100016"/>
    <x v="2"/>
    <n v="207846"/>
  </r>
  <r>
    <n v="10213"/>
    <n v="6"/>
    <d v="2012-08-06T00:00:00"/>
    <s v="DVD"/>
    <n v="100010"/>
    <s v="AB100017"/>
    <x v="4"/>
    <n v="862302"/>
  </r>
  <r>
    <n v="10006"/>
    <n v="6"/>
    <d v="2012-08-07T00:00:00"/>
    <s v="BLU-RAY"/>
    <n v="100010"/>
    <s v="AB100018"/>
    <x v="1"/>
    <n v="862302"/>
  </r>
  <r>
    <n v="10213"/>
    <n v="6"/>
    <d v="2012-08-11T00:00:00"/>
    <s v="DVD"/>
    <n v="100011"/>
    <s v="AB100019"/>
    <x v="4"/>
    <n v="274541"/>
  </r>
  <r>
    <n v="10006"/>
    <n v="9"/>
    <d v="2012-08-11T00:00:00"/>
    <s v="DVD"/>
    <n v="100012"/>
    <s v="AB100020"/>
    <x v="1"/>
    <n v="789308"/>
  </r>
  <r>
    <n v="10053"/>
    <n v="6"/>
    <d v="2012-08-14T00:00:00"/>
    <s v="BLU-RAY"/>
    <n v="100013"/>
    <s v="AB100021"/>
    <x v="4"/>
    <n v="108708"/>
  </r>
  <r>
    <n v="10171"/>
    <n v="5"/>
    <d v="2012-08-14T00:00:00"/>
    <s v="BLU-RAY"/>
    <n v="100014"/>
    <s v="AB100022"/>
    <x v="7"/>
    <n v="108708"/>
  </r>
  <r>
    <n v="10037"/>
    <n v="7"/>
    <d v="2012-08-16T00:00:00"/>
    <s v="DVD"/>
    <n v="100015"/>
    <s v="AB100023"/>
    <x v="3"/>
    <n v="306475"/>
  </r>
  <r>
    <n v="10032"/>
    <n v="5"/>
    <d v="2012-08-15T00:00:00"/>
    <s v="DVD"/>
    <n v="100015"/>
    <s v="AB100024"/>
    <x v="4"/>
    <n v="306475"/>
  </r>
  <r>
    <n v="10135"/>
    <n v="8"/>
    <d v="2012-08-19T00:00:00"/>
    <s v="BLU-RAY"/>
    <n v="100016"/>
    <s v="AB100025"/>
    <x v="7"/>
    <n v="324435"/>
  </r>
  <r>
    <n v="10207"/>
    <n v="1"/>
    <d v="2012-08-20T00:00:00"/>
    <s v="BLU-RAY"/>
    <n v="100016"/>
    <s v="AB100026"/>
    <x v="1"/>
    <n v="324435"/>
  </r>
  <r>
    <n v="10022"/>
    <n v="6"/>
    <d v="2012-08-20T00:00:00"/>
    <s v="DVD"/>
    <n v="100017"/>
    <s v="AB100027"/>
    <x v="7"/>
    <n v="860057"/>
  </r>
  <r>
    <n v="10091"/>
    <n v="2"/>
    <d v="2012-08-26T00:00:00"/>
    <s v="DVD"/>
    <n v="100018"/>
    <s v="AB100028"/>
    <x v="0"/>
    <n v="860057"/>
  </r>
  <r>
    <n v="10043"/>
    <n v="7"/>
    <d v="2012-08-25T00:00:00"/>
    <s v="DVD"/>
    <n v="100018"/>
    <s v="AB100029"/>
    <x v="8"/>
    <n v="860057"/>
  </r>
  <r>
    <n v="10007"/>
    <n v="5"/>
    <d v="2012-08-27T00:00:00"/>
    <s v="BLU-RAY"/>
    <n v="100019"/>
    <s v="AB100030"/>
    <x v="4"/>
    <n v="447601"/>
  </r>
  <r>
    <n v="10004"/>
    <n v="5"/>
    <d v="2012-08-28T00:00:00"/>
    <s v="DVD"/>
    <n v="100020"/>
    <s v="AB100031"/>
    <x v="1"/>
    <n v="961080"/>
  </r>
  <r>
    <n v="10201"/>
    <n v="8"/>
    <d v="2012-08-28T00:00:00"/>
    <s v="DVD"/>
    <n v="100020"/>
    <s v="AB100032"/>
    <x v="8"/>
    <n v="961080"/>
  </r>
  <r>
    <n v="10221"/>
    <n v="8"/>
    <d v="2012-08-31T00:00:00"/>
    <s v="BLU-RAY"/>
    <n v="100021"/>
    <s v="AB100033"/>
    <x v="9"/>
    <n v="161942"/>
  </r>
  <r>
    <n v="10058"/>
    <n v="2"/>
    <d v="2012-08-31T00:00:00"/>
    <s v="DVD"/>
    <n v="100021"/>
    <s v="AB100034"/>
    <x v="4"/>
    <n v="161942"/>
  </r>
  <r>
    <n v="10018"/>
    <n v="5"/>
    <d v="2012-09-02T00:00:00"/>
    <s v="DVD"/>
    <n v="100022"/>
    <s v="AB100035"/>
    <x v="9"/>
    <n v="656728"/>
  </r>
  <r>
    <n v="10202"/>
    <n v="2"/>
    <d v="2012-09-02T00:00:00"/>
    <s v="DVD"/>
    <n v="100023"/>
    <s v="AB100036"/>
    <x v="0"/>
    <n v="482274"/>
  </r>
  <r>
    <n v="10046"/>
    <n v="6"/>
    <d v="2012-09-02T00:00:00"/>
    <s v="DVD"/>
    <n v="100023"/>
    <s v="AB100037"/>
    <x v="4"/>
    <n v="482274"/>
  </r>
  <r>
    <n v="10217"/>
    <n v="6"/>
    <d v="2012-09-03T00:00:00"/>
    <s v="DVD"/>
    <n v="100024"/>
    <s v="AB100038"/>
    <x v="0"/>
    <n v="470304"/>
  </r>
  <r>
    <n v="10004"/>
    <n v="2"/>
    <d v="2012-09-03T00:00:00"/>
    <s v="BLU-RAY"/>
    <n v="100024"/>
    <s v="AB100039"/>
    <x v="1"/>
    <n v="470304"/>
  </r>
  <r>
    <n v="10159"/>
    <n v="4"/>
    <d v="2012-09-03T00:00:00"/>
    <s v="DVD"/>
    <n v="100024"/>
    <s v="AB100040"/>
    <x v="10"/>
    <n v="470304"/>
  </r>
  <r>
    <n v="10126"/>
    <n v="8"/>
    <d v="2012-09-04T00:00:00"/>
    <s v="BLU-RAY"/>
    <n v="100025"/>
    <s v="AB100041"/>
    <x v="9"/>
    <n v="841141"/>
  </r>
  <r>
    <n v="10229"/>
    <n v="7"/>
    <d v="2012-09-04T00:00:00"/>
    <s v="BLU-RAY"/>
    <n v="100025"/>
    <s v="AB100042"/>
    <x v="6"/>
    <n v="841141"/>
  </r>
  <r>
    <n v="10089"/>
    <n v="9"/>
    <d v="2012-09-05T00:00:00"/>
    <s v="DVD"/>
    <n v="100026"/>
    <s v="AB100043"/>
    <x v="4"/>
    <n v="175940"/>
  </r>
  <r>
    <n v="10203"/>
    <n v="2"/>
    <d v="2012-09-05T00:00:00"/>
    <s v="BLU-RAY"/>
    <n v="100026"/>
    <s v="AB100044"/>
    <x v="3"/>
    <n v="175940"/>
  </r>
  <r>
    <n v="10225"/>
    <n v="5"/>
    <d v="2012-09-06T00:00:00"/>
    <s v="DVD"/>
    <n v="100027"/>
    <s v="AB100045"/>
    <x v="0"/>
    <n v="616028"/>
  </r>
  <r>
    <n v="10151"/>
    <n v="2"/>
    <d v="2012-09-06T00:00:00"/>
    <s v="BLU-RAY"/>
    <n v="100027"/>
    <s v="AB100046"/>
    <x v="8"/>
    <n v="616028"/>
  </r>
  <r>
    <n v="10158"/>
    <n v="6"/>
    <d v="2012-09-11T00:00:00"/>
    <s v="DVD"/>
    <n v="100028"/>
    <s v="AB100047"/>
    <x v="0"/>
    <n v="269687"/>
  </r>
  <r>
    <n v="10123"/>
    <n v="10"/>
    <d v="2012-09-11T00:00:00"/>
    <s v="DVD"/>
    <n v="100028"/>
    <s v="AB100048"/>
    <x v="9"/>
    <n v="269687"/>
  </r>
  <r>
    <n v="10102"/>
    <n v="4"/>
    <d v="2012-09-16T00:00:00"/>
    <s v="DVD"/>
    <n v="100029"/>
    <s v="AB100049"/>
    <x v="7"/>
    <n v="370870"/>
  </r>
  <r>
    <n v="10036"/>
    <n v="8"/>
    <d v="2012-09-16T00:00:00"/>
    <s v="DVD"/>
    <n v="100029"/>
    <s v="AB100050"/>
    <x v="7"/>
    <n v="370870"/>
  </r>
  <r>
    <n v="10074"/>
    <n v="4"/>
    <d v="2012-09-16T00:00:00"/>
    <s v="BLU-RAY"/>
    <n v="100030"/>
    <s v="AB100051"/>
    <x v="11"/>
    <n v="951701"/>
  </r>
  <r>
    <n v="10208"/>
    <n v="5"/>
    <d v="2012-09-16T00:00:00"/>
    <s v="BLU-RAY"/>
    <n v="100030"/>
    <s v="AB100052"/>
    <x v="0"/>
    <n v="951701"/>
  </r>
  <r>
    <n v="10035"/>
    <n v="8"/>
    <d v="2012-09-19T00:00:00"/>
    <s v="DVD"/>
    <n v="100031"/>
    <s v="AB100053"/>
    <x v="4"/>
    <n v="553931"/>
  </r>
  <r>
    <n v="10082"/>
    <n v="5"/>
    <d v="2012-09-18T00:00:00"/>
    <s v="DVD"/>
    <n v="100032"/>
    <s v="AB100054"/>
    <x v="3"/>
    <n v="563468"/>
  </r>
  <r>
    <n v="10158"/>
    <n v="10"/>
    <d v="2012-09-19T00:00:00"/>
    <s v="DVD"/>
    <n v="100033"/>
    <s v="AB100055"/>
    <x v="0"/>
    <n v="464984"/>
  </r>
  <r>
    <n v="10031"/>
    <n v="8"/>
    <d v="2012-09-20T00:00:00"/>
    <s v="DVD"/>
    <n v="100034"/>
    <s v="AB100056"/>
    <x v="0"/>
    <n v="665313"/>
  </r>
  <r>
    <n v="10109"/>
    <n v="4"/>
    <d v="2012-09-20T00:00:00"/>
    <s v="BLU-RAY"/>
    <n v="100034"/>
    <s v="AB100057"/>
    <x v="0"/>
    <n v="665313"/>
  </r>
  <r>
    <n v="10244"/>
    <n v="4"/>
    <d v="2012-09-20T00:00:00"/>
    <s v="DVD"/>
    <n v="100034"/>
    <s v="AB100058"/>
    <x v="4"/>
    <n v="665313"/>
  </r>
  <r>
    <n v="10052"/>
    <n v="4"/>
    <d v="2012-09-22T00:00:00"/>
    <s v="DVD"/>
    <n v="100035"/>
    <s v="AB100059"/>
    <x v="0"/>
    <n v="306475"/>
  </r>
  <r>
    <n v="10245"/>
    <n v="8"/>
    <d v="2012-09-22T00:00:00"/>
    <s v="DVD"/>
    <n v="100035"/>
    <s v="AB100060"/>
    <x v="0"/>
    <n v="306475"/>
  </r>
  <r>
    <n v="10184"/>
    <n v="3"/>
    <d v="2012-09-23T00:00:00"/>
    <s v="BLU-RAY"/>
    <n v="100036"/>
    <s v="AB100061"/>
    <x v="7"/>
    <n v="465275"/>
  </r>
  <r>
    <n v="10199"/>
    <n v="5"/>
    <d v="2012-09-24T00:00:00"/>
    <s v="DVD"/>
    <n v="100037"/>
    <s v="AB100062"/>
    <x v="10"/>
    <n v="470304"/>
  </r>
  <r>
    <n v="10216"/>
    <n v="10"/>
    <d v="2012-09-27T00:00:00"/>
    <s v="DVD"/>
    <n v="100038"/>
    <s v="AB100063"/>
    <x v="4"/>
    <n v="370870"/>
  </r>
  <r>
    <n v="10091"/>
    <n v="6"/>
    <d v="2012-09-27T00:00:00"/>
    <s v="DVD"/>
    <n v="100039"/>
    <s v="AB100064"/>
    <x v="0"/>
    <n v="795957"/>
  </r>
  <r>
    <n v="10076"/>
    <n v="8"/>
    <d v="2012-09-28T00:00:00"/>
    <s v="DVD"/>
    <n v="100040"/>
    <s v="AB100065"/>
    <x v="4"/>
    <n v="122818"/>
  </r>
  <r>
    <n v="10041"/>
    <n v="6"/>
    <d v="2012-09-30T00:00:00"/>
    <s v="DVD"/>
    <n v="100041"/>
    <s v="AB100066"/>
    <x v="10"/>
    <n v="665313"/>
  </r>
  <r>
    <n v="10043"/>
    <n v="6"/>
    <d v="2012-10-02T00:00:00"/>
    <s v="BLU-RAY"/>
    <n v="100042"/>
    <s v="AB100067"/>
    <x v="8"/>
    <n v="324435"/>
  </r>
  <r>
    <n v="10220"/>
    <n v="2"/>
    <d v="2012-10-04T00:00:00"/>
    <s v="DVD"/>
    <n v="100043"/>
    <s v="AB100068"/>
    <x v="9"/>
    <n v="643305"/>
  </r>
  <r>
    <n v="10209"/>
    <n v="5"/>
    <d v="2012-10-05T00:00:00"/>
    <s v="BLU-RAY"/>
    <n v="100044"/>
    <s v="AB100069"/>
    <x v="7"/>
    <n v="832914"/>
  </r>
  <r>
    <n v="10203"/>
    <n v="6"/>
    <d v="2012-10-03T00:00:00"/>
    <s v="DVD"/>
    <n v="100044"/>
    <s v="AB100070"/>
    <x v="3"/>
    <n v="832914"/>
  </r>
  <r>
    <n v="10217"/>
    <n v="6"/>
    <d v="2012-10-04T00:00:00"/>
    <s v="BLU-RAY"/>
    <n v="100045"/>
    <s v="AB100071"/>
    <x v="0"/>
    <n v="112690"/>
  </r>
  <r>
    <n v="10045"/>
    <n v="7"/>
    <d v="2012-10-04T00:00:00"/>
    <s v="DVD"/>
    <n v="100046"/>
    <s v="AB100072"/>
    <x v="0"/>
    <n v="890270"/>
  </r>
  <r>
    <n v="10004"/>
    <n v="3"/>
    <d v="2012-10-06T00:00:00"/>
    <s v="DVD"/>
    <n v="100047"/>
    <s v="AB100073"/>
    <x v="1"/>
    <n v="950299"/>
  </r>
  <r>
    <n v="10082"/>
    <n v="1"/>
    <d v="2012-10-06T00:00:00"/>
    <s v="DVD"/>
    <n v="100047"/>
    <s v="AB100074"/>
    <x v="3"/>
    <n v="950299"/>
  </r>
  <r>
    <n v="10248"/>
    <n v="7"/>
    <d v="2012-10-08T00:00:00"/>
    <s v="BLU-RAY"/>
    <n v="100048"/>
    <s v="AB100075"/>
    <x v="12"/>
    <n v="112690"/>
  </r>
  <r>
    <n v="10109"/>
    <n v="1"/>
    <d v="2012-10-07T00:00:00"/>
    <s v="DVD"/>
    <n v="100049"/>
    <s v="AB100076"/>
    <x v="0"/>
    <n v="147543"/>
  </r>
  <r>
    <n v="10032"/>
    <n v="10"/>
    <d v="2012-10-07T00:00:00"/>
    <s v="DVD"/>
    <n v="100049"/>
    <s v="AB100077"/>
    <x v="4"/>
    <n v="147543"/>
  </r>
  <r>
    <n v="10004"/>
    <n v="1"/>
    <d v="2012-10-07T00:00:00"/>
    <s v="DVD"/>
    <n v="100050"/>
    <s v="AB100078"/>
    <x v="1"/>
    <n v="950299"/>
  </r>
  <r>
    <n v="10243"/>
    <n v="9"/>
    <d v="2012-10-08T00:00:00"/>
    <s v="DVD"/>
    <n v="100050"/>
    <s v="AB100079"/>
    <x v="9"/>
    <n v="950299"/>
  </r>
  <r>
    <n v="10028"/>
    <n v="4"/>
    <d v="2012-10-07T00:00:00"/>
    <s v="DVD"/>
    <n v="100050"/>
    <s v="AB100080"/>
    <x v="5"/>
    <n v="950299"/>
  </r>
  <r>
    <n v="10204"/>
    <n v="4"/>
    <d v="2012-10-07T00:00:00"/>
    <s v="BLU-RAY"/>
    <n v="100050"/>
    <s v="AB100081"/>
    <x v="7"/>
    <n v="950299"/>
  </r>
  <r>
    <n v="10074"/>
    <n v="6"/>
    <d v="2012-10-08T00:00:00"/>
    <s v="BLU-RAY"/>
    <n v="100050"/>
    <s v="AB100082"/>
    <x v="11"/>
    <n v="950299"/>
  </r>
  <r>
    <n v="10064"/>
    <n v="4"/>
    <d v="2012-10-09T00:00:00"/>
    <s v="DVD"/>
    <n v="100051"/>
    <s v="AB100083"/>
    <x v="7"/>
    <n v="656512"/>
  </r>
  <r>
    <n v="10151"/>
    <n v="7"/>
    <d v="2012-10-09T00:00:00"/>
    <s v="BLU-RAY"/>
    <n v="100051"/>
    <s v="AB100084"/>
    <x v="8"/>
    <n v="656512"/>
  </r>
  <r>
    <n v="10043"/>
    <n v="6"/>
    <d v="2012-10-09T00:00:00"/>
    <s v="BLU-RAY"/>
    <n v="100052"/>
    <s v="AB100085"/>
    <x v="8"/>
    <n v="480298"/>
  </r>
  <r>
    <n v="10116"/>
    <n v="2"/>
    <d v="2012-10-09T00:00:00"/>
    <s v="BLU-RAY"/>
    <n v="100052"/>
    <s v="AB100086"/>
    <x v="7"/>
    <n v="480298"/>
  </r>
  <r>
    <n v="10148"/>
    <n v="7"/>
    <d v="2012-10-13T00:00:00"/>
    <s v="BLU-RAY"/>
    <n v="100053"/>
    <s v="AB100087"/>
    <x v="1"/>
    <n v="447368"/>
  </r>
  <r>
    <n v="10166"/>
    <n v="6"/>
    <d v="2012-10-13T00:00:00"/>
    <s v="BLU-RAY"/>
    <n v="100054"/>
    <s v="AB100088"/>
    <x v="9"/>
    <n v="736500"/>
  </r>
  <r>
    <n v="10021"/>
    <n v="4"/>
    <d v="2012-10-13T00:00:00"/>
    <s v="BLU-RAY"/>
    <n v="100054"/>
    <s v="AB100089"/>
    <x v="1"/>
    <n v="736500"/>
  </r>
  <r>
    <n v="10046"/>
    <n v="3"/>
    <d v="2012-10-13T00:00:00"/>
    <s v="DVD"/>
    <n v="100054"/>
    <s v="AB100090"/>
    <x v="4"/>
    <n v="736500"/>
  </r>
  <r>
    <n v="10137"/>
    <n v="8"/>
    <d v="2012-10-14T00:00:00"/>
    <s v="DVD"/>
    <n v="100055"/>
    <s v="AB100091"/>
    <x v="3"/>
    <n v="435907"/>
  </r>
  <r>
    <n v="10234"/>
    <n v="10"/>
    <d v="2012-10-16T00:00:00"/>
    <s v="BLU-RAY"/>
    <n v="100056"/>
    <s v="AB100092"/>
    <x v="0"/>
    <n v="872851"/>
  </r>
  <r>
    <n v="10144"/>
    <n v="2"/>
    <d v="2012-10-16T00:00:00"/>
    <s v="DVD"/>
    <n v="100057"/>
    <s v="AB100093"/>
    <x v="2"/>
    <n v="755271"/>
  </r>
  <r>
    <n v="10124"/>
    <n v="9"/>
    <d v="2012-10-16T00:00:00"/>
    <s v="DVD"/>
    <n v="100057"/>
    <s v="AB100094"/>
    <x v="1"/>
    <n v="755271"/>
  </r>
  <r>
    <n v="10054"/>
    <n v="8"/>
    <d v="2012-10-18T00:00:00"/>
    <s v="BLU-RAY"/>
    <n v="100058"/>
    <s v="AB100095"/>
    <x v="1"/>
    <n v="791850"/>
  </r>
  <r>
    <n v="10155"/>
    <n v="4"/>
    <d v="2012-10-18T00:00:00"/>
    <s v="DVD"/>
    <n v="100058"/>
    <s v="AB100096"/>
    <x v="9"/>
    <n v="791850"/>
  </r>
  <r>
    <n v="10242"/>
    <n v="2"/>
    <d v="2012-10-18T00:00:00"/>
    <s v="DVD"/>
    <n v="100059"/>
    <s v="AB100097"/>
    <x v="3"/>
    <n v="386336"/>
  </r>
  <r>
    <n v="10143"/>
    <n v="8"/>
    <d v="2012-10-19T00:00:00"/>
    <s v="DVD"/>
    <n v="100060"/>
    <s v="AB100098"/>
    <x v="3"/>
    <n v="739669"/>
  </r>
  <r>
    <n v="10181"/>
    <n v="2"/>
    <d v="2012-10-20T00:00:00"/>
    <s v="BLU-RAY"/>
    <n v="100060"/>
    <s v="AB100099"/>
    <x v="9"/>
    <n v="739669"/>
  </r>
  <r>
    <n v="10240"/>
    <n v="9"/>
    <d v="2012-10-19T00:00:00"/>
    <s v="DVD"/>
    <n v="100061"/>
    <s v="AB100100"/>
    <x v="0"/>
    <n v="810369"/>
  </r>
  <r>
    <n v="10092"/>
    <n v="2"/>
    <d v="2012-10-19T00:00:00"/>
    <s v="DVD"/>
    <n v="100062"/>
    <s v="AB100101"/>
    <x v="0"/>
    <n v="926289"/>
  </r>
  <r>
    <n v="10028"/>
    <n v="10"/>
    <d v="2012-10-18T00:00:00"/>
    <s v="DVD"/>
    <n v="100062"/>
    <s v="AB100102"/>
    <x v="5"/>
    <n v="926289"/>
  </r>
  <r>
    <n v="10245"/>
    <n v="10"/>
    <d v="2012-10-20T00:00:00"/>
    <s v="DVD"/>
    <n v="100063"/>
    <s v="AB100103"/>
    <x v="0"/>
    <n v="553931"/>
  </r>
  <r>
    <n v="10195"/>
    <n v="8"/>
    <d v="2012-10-20T00:00:00"/>
    <s v="DVD"/>
    <n v="100064"/>
    <s v="AB100104"/>
    <x v="4"/>
    <n v="795957"/>
  </r>
  <r>
    <n v="10247"/>
    <n v="9"/>
    <d v="2012-10-21T00:00:00"/>
    <s v="BLU-RAY"/>
    <n v="100065"/>
    <s v="AB100105"/>
    <x v="9"/>
    <n v="690100"/>
  </r>
  <r>
    <n v="10019"/>
    <n v="5"/>
    <d v="2012-10-22T00:00:00"/>
    <s v="BLU-RAY"/>
    <n v="100066"/>
    <s v="AB100106"/>
    <x v="9"/>
    <n v="663029"/>
  </r>
  <r>
    <n v="10023"/>
    <n v="2"/>
    <d v="2012-10-23T00:00:00"/>
    <s v="DVD"/>
    <n v="100066"/>
    <s v="AB100107"/>
    <x v="3"/>
    <n v="663029"/>
  </r>
  <r>
    <n v="10169"/>
    <n v="3"/>
    <d v="2012-10-24T00:00:00"/>
    <s v="DVD"/>
    <n v="100067"/>
    <s v="AB100108"/>
    <x v="0"/>
    <n v="689877"/>
  </r>
  <r>
    <n v="10233"/>
    <n v="9"/>
    <d v="2012-10-23T00:00:00"/>
    <s v="DVD"/>
    <n v="100068"/>
    <s v="AB100109"/>
    <x v="8"/>
    <n v="214537"/>
  </r>
  <r>
    <n v="10155"/>
    <n v="5"/>
    <d v="2012-10-24T00:00:00"/>
    <s v="DVD"/>
    <n v="100069"/>
    <s v="AB100110"/>
    <x v="9"/>
    <n v="199895"/>
  </r>
  <r>
    <n v="10005"/>
    <n v="3"/>
    <d v="2012-10-24T00:00:00"/>
    <s v="BLU-RAY"/>
    <n v="100070"/>
    <s v="AB100111"/>
    <x v="3"/>
    <n v="158310"/>
  </r>
  <r>
    <n v="10038"/>
    <n v="7"/>
    <d v="2012-10-24T00:00:00"/>
    <s v="BLU-RAY"/>
    <n v="100070"/>
    <s v="AB100112"/>
    <x v="1"/>
    <n v="158310"/>
  </r>
  <r>
    <n v="10090"/>
    <n v="2"/>
    <d v="2012-10-24T00:00:00"/>
    <s v="DVD"/>
    <n v="100071"/>
    <s v="AB100113"/>
    <x v="1"/>
    <n v="707458"/>
  </r>
  <r>
    <n v="10242"/>
    <n v="2"/>
    <d v="2012-10-23T00:00:00"/>
    <s v="BLU-RAY"/>
    <n v="100072"/>
    <s v="AB100114"/>
    <x v="3"/>
    <n v="370870"/>
  </r>
  <r>
    <n v="10142"/>
    <n v="3"/>
    <d v="2012-10-24T00:00:00"/>
    <s v="BLU-RAY"/>
    <n v="100073"/>
    <s v="AB100115"/>
    <x v="0"/>
    <n v="689877"/>
  </r>
  <r>
    <n v="10197"/>
    <n v="1"/>
    <d v="2012-10-25T00:00:00"/>
    <s v="DVD"/>
    <n v="100074"/>
    <s v="AB100116"/>
    <x v="0"/>
    <n v="336644"/>
  </r>
  <r>
    <n v="10213"/>
    <n v="2"/>
    <d v="2012-10-26T00:00:00"/>
    <s v="BLU-RAY"/>
    <n v="100075"/>
    <s v="AB100117"/>
    <x v="4"/>
    <n v="378374"/>
  </r>
  <r>
    <n v="10100"/>
    <n v="5"/>
    <d v="2012-10-26T00:00:00"/>
    <s v="BLU-RAY"/>
    <n v="100075"/>
    <s v="AB100118"/>
    <x v="9"/>
    <n v="378374"/>
  </r>
  <r>
    <n v="10148"/>
    <n v="3"/>
    <d v="2012-10-25T00:00:00"/>
    <s v="DVD"/>
    <n v="100075"/>
    <s v="AB100119"/>
    <x v="1"/>
    <n v="378374"/>
  </r>
  <r>
    <n v="10011"/>
    <n v="7"/>
    <d v="2012-10-26T00:00:00"/>
    <s v="DVD"/>
    <n v="100075"/>
    <s v="AB100120"/>
    <x v="3"/>
    <n v="378374"/>
  </r>
  <r>
    <n v="10238"/>
    <n v="9"/>
    <d v="2012-10-25T00:00:00"/>
    <s v="DVD"/>
    <n v="100076"/>
    <s v="AB100121"/>
    <x v="0"/>
    <n v="924649"/>
  </r>
  <r>
    <n v="10169"/>
    <n v="5"/>
    <d v="2012-10-25T00:00:00"/>
    <s v="BLU-RAY"/>
    <n v="100076"/>
    <s v="AB100122"/>
    <x v="0"/>
    <n v="924649"/>
  </r>
  <r>
    <n v="10214"/>
    <n v="7"/>
    <d v="2012-10-25T00:00:00"/>
    <s v="DVD"/>
    <n v="100076"/>
    <s v="AB100123"/>
    <x v="13"/>
    <n v="924649"/>
  </r>
  <r>
    <n v="10074"/>
    <n v="3"/>
    <d v="2012-10-26T00:00:00"/>
    <s v="DVD"/>
    <n v="100077"/>
    <s v="AB100124"/>
    <x v="11"/>
    <n v="689877"/>
  </r>
  <r>
    <n v="10159"/>
    <n v="6"/>
    <d v="2012-10-25T00:00:00"/>
    <s v="BLU-RAY"/>
    <n v="100077"/>
    <s v="AB100125"/>
    <x v="10"/>
    <n v="689877"/>
  </r>
  <r>
    <n v="10108"/>
    <n v="4"/>
    <d v="2012-10-26T00:00:00"/>
    <s v="BLU-RAY"/>
    <n v="100078"/>
    <s v="AB100126"/>
    <x v="9"/>
    <n v="413292"/>
  </r>
  <r>
    <n v="10049"/>
    <n v="4"/>
    <d v="2012-10-25T00:00:00"/>
    <s v="DVD"/>
    <n v="100078"/>
    <s v="AB100127"/>
    <x v="7"/>
    <n v="413292"/>
  </r>
  <r>
    <n v="10182"/>
    <n v="10"/>
    <d v="2012-10-26T00:00:00"/>
    <s v="BLU-RAY"/>
    <n v="100079"/>
    <s v="AB100128"/>
    <x v="0"/>
    <n v="689877"/>
  </r>
  <r>
    <n v="10222"/>
    <n v="7"/>
    <d v="2012-10-26T00:00:00"/>
    <s v="DVD"/>
    <n v="100080"/>
    <s v="AB100129"/>
    <x v="4"/>
    <n v="292402"/>
  </r>
  <r>
    <n v="10177"/>
    <n v="7"/>
    <d v="2012-10-31T00:00:00"/>
    <s v="DVD"/>
    <n v="100081"/>
    <s v="AB100130"/>
    <x v="9"/>
    <n v="413495"/>
  </r>
  <r>
    <n v="10176"/>
    <n v="10"/>
    <d v="2012-10-30T00:00:00"/>
    <s v="BLU-RAY"/>
    <n v="100082"/>
    <s v="AB100131"/>
    <x v="7"/>
    <n v="537860"/>
  </r>
  <r>
    <n v="10249"/>
    <n v="4"/>
    <d v="2012-10-29T00:00:00"/>
    <s v="DVD"/>
    <n v="100083"/>
    <s v="AB100132"/>
    <x v="5"/>
    <n v="872851"/>
  </r>
  <r>
    <n v="10015"/>
    <n v="9"/>
    <d v="2012-11-01T00:00:00"/>
    <s v="BLU-RAY"/>
    <n v="100084"/>
    <s v="AB100133"/>
    <x v="6"/>
    <n v="791850"/>
  </r>
  <r>
    <n v="10107"/>
    <n v="8"/>
    <d v="2012-10-30T00:00:00"/>
    <s v="DVD"/>
    <n v="100084"/>
    <s v="AB100134"/>
    <x v="7"/>
    <n v="791850"/>
  </r>
  <r>
    <n v="10214"/>
    <n v="7"/>
    <d v="2012-11-01T00:00:00"/>
    <s v="DVD"/>
    <n v="100085"/>
    <s v="AB100135"/>
    <x v="13"/>
    <n v="789308"/>
  </r>
  <r>
    <n v="10116"/>
    <n v="7"/>
    <d v="2012-10-30T00:00:00"/>
    <s v="BLU-RAY"/>
    <n v="100085"/>
    <s v="AB100136"/>
    <x v="7"/>
    <n v="789308"/>
  </r>
  <r>
    <n v="10230"/>
    <n v="2"/>
    <d v="2012-10-30T00:00:00"/>
    <s v="BLU-RAY"/>
    <n v="100086"/>
    <s v="AB100137"/>
    <x v="14"/>
    <n v="336644"/>
  </r>
  <r>
    <n v="10055"/>
    <n v="4"/>
    <d v="2012-10-30T00:00:00"/>
    <s v="BLU-RAY"/>
    <n v="100086"/>
    <s v="AB100138"/>
    <x v="15"/>
    <n v="336644"/>
  </r>
  <r>
    <n v="10200"/>
    <n v="9"/>
    <d v="2012-10-31T00:00:00"/>
    <s v="DVD"/>
    <n v="100087"/>
    <s v="AB100139"/>
    <x v="9"/>
    <n v="720602"/>
  </r>
  <r>
    <n v="10205"/>
    <n v="2"/>
    <d v="2012-11-01T00:00:00"/>
    <s v="BLU-RAY"/>
    <n v="100087"/>
    <s v="AB100140"/>
    <x v="1"/>
    <n v="720602"/>
  </r>
  <r>
    <n v="10086"/>
    <n v="5"/>
    <d v="2012-11-02T00:00:00"/>
    <s v="BLU-RAY"/>
    <n v="100088"/>
    <s v="AB100141"/>
    <x v="3"/>
    <n v="553931"/>
  </r>
  <r>
    <n v="10219"/>
    <n v="1"/>
    <d v="2012-11-01T00:00:00"/>
    <s v="BLU-RAY"/>
    <n v="100088"/>
    <s v="AB100142"/>
    <x v="1"/>
    <n v="553931"/>
  </r>
  <r>
    <n v="10083"/>
    <n v="5"/>
    <d v="2012-11-01T00:00:00"/>
    <s v="BLU-RAY"/>
    <n v="100088"/>
    <s v="AB100143"/>
    <x v="3"/>
    <n v="553931"/>
  </r>
  <r>
    <n v="10240"/>
    <n v="2"/>
    <d v="2012-11-02T00:00:00"/>
    <s v="BLU-RAY"/>
    <n v="100089"/>
    <s v="AB100144"/>
    <x v="0"/>
    <n v="722547"/>
  </r>
  <r>
    <n v="10057"/>
    <n v="6"/>
    <d v="2012-11-01T00:00:00"/>
    <s v="BLU-RAY"/>
    <n v="100089"/>
    <s v="AB100145"/>
    <x v="0"/>
    <n v="722547"/>
  </r>
  <r>
    <n v="10019"/>
    <n v="10"/>
    <d v="2012-11-02T00:00:00"/>
    <s v="BLU-RAY"/>
    <n v="100090"/>
    <s v="AB100146"/>
    <x v="9"/>
    <n v="559486"/>
  </r>
  <r>
    <n v="10234"/>
    <n v="9"/>
    <d v="2012-11-02T00:00:00"/>
    <s v="DVD"/>
    <n v="100090"/>
    <s v="AB100147"/>
    <x v="0"/>
    <n v="559486"/>
  </r>
  <r>
    <n v="10161"/>
    <n v="10"/>
    <d v="2012-11-03T00:00:00"/>
    <s v="DVD"/>
    <n v="100091"/>
    <s v="AB100148"/>
    <x v="6"/>
    <n v="592726"/>
  </r>
  <r>
    <n v="10223"/>
    <n v="1"/>
    <d v="2012-11-02T00:00:00"/>
    <s v="DVD"/>
    <n v="100091"/>
    <s v="AB100149"/>
    <x v="7"/>
    <n v="592726"/>
  </r>
  <r>
    <n v="10213"/>
    <n v="6"/>
    <d v="2012-11-04T00:00:00"/>
    <s v="DVD"/>
    <n v="100092"/>
    <s v="AB100150"/>
    <x v="4"/>
    <n v="938417"/>
  </r>
  <r>
    <n v="10090"/>
    <n v="5"/>
    <d v="2012-11-04T00:00:00"/>
    <s v="DVD"/>
    <n v="100092"/>
    <s v="AB100151"/>
    <x v="1"/>
    <n v="938417"/>
  </r>
  <r>
    <n v="10067"/>
    <n v="10"/>
    <d v="2012-11-05T00:00:00"/>
    <s v="DVD"/>
    <n v="100092"/>
    <s v="AB100152"/>
    <x v="1"/>
    <n v="938417"/>
  </r>
  <r>
    <n v="10144"/>
    <n v="3"/>
    <d v="2012-11-04T00:00:00"/>
    <s v="DVD"/>
    <n v="100092"/>
    <s v="AB100153"/>
    <x v="2"/>
    <n v="938417"/>
  </r>
  <r>
    <n v="10193"/>
    <n v="9"/>
    <d v="2012-11-04T00:00:00"/>
    <s v="DVD"/>
    <n v="100093"/>
    <s v="AB100154"/>
    <x v="9"/>
    <n v="175940"/>
  </r>
  <r>
    <n v="10012"/>
    <n v="8"/>
    <d v="2012-11-06T00:00:00"/>
    <s v="BLU-RAY"/>
    <n v="100094"/>
    <s v="AB100155"/>
    <x v="3"/>
    <n v="447368"/>
  </r>
  <r>
    <n v="10050"/>
    <n v="9"/>
    <d v="2012-11-06T00:00:00"/>
    <s v="BLU-RAY"/>
    <n v="100094"/>
    <s v="AB100156"/>
    <x v="1"/>
    <n v="447368"/>
  </r>
  <r>
    <n v="10149"/>
    <n v="10"/>
    <d v="2012-11-06T00:00:00"/>
    <s v="DVD"/>
    <n v="100094"/>
    <s v="AB100157"/>
    <x v="12"/>
    <n v="447368"/>
  </r>
  <r>
    <n v="10215"/>
    <n v="3"/>
    <d v="2012-11-08T00:00:00"/>
    <s v="BLU-RAY"/>
    <n v="100095"/>
    <s v="AB100158"/>
    <x v="1"/>
    <n v="884607"/>
  </r>
  <r>
    <n v="10209"/>
    <n v="2"/>
    <d v="2012-11-06T00:00:00"/>
    <s v="DVD"/>
    <n v="100095"/>
    <s v="AB100159"/>
    <x v="7"/>
    <n v="884607"/>
  </r>
  <r>
    <n v="10180"/>
    <n v="4"/>
    <d v="2012-11-07T00:00:00"/>
    <s v="BLU-RAY"/>
    <n v="100096"/>
    <s v="AB100160"/>
    <x v="12"/>
    <n v="193968"/>
  </r>
  <r>
    <n v="10126"/>
    <n v="4"/>
    <d v="2012-11-07T00:00:00"/>
    <s v="BLU-RAY"/>
    <n v="100096"/>
    <s v="AB100161"/>
    <x v="9"/>
    <n v="193968"/>
  </r>
  <r>
    <n v="10032"/>
    <n v="9"/>
    <d v="2012-11-07T00:00:00"/>
    <s v="DVD"/>
    <n v="100096"/>
    <s v="AB100162"/>
    <x v="4"/>
    <n v="193968"/>
  </r>
  <r>
    <n v="10215"/>
    <n v="8"/>
    <d v="2012-11-09T00:00:00"/>
    <s v="DVD"/>
    <n v="100096"/>
    <s v="AB100163"/>
    <x v="1"/>
    <n v="193968"/>
  </r>
  <r>
    <n v="10237"/>
    <n v="3"/>
    <d v="2012-11-08T00:00:00"/>
    <s v="DVD"/>
    <n v="100096"/>
    <s v="AB100164"/>
    <x v="0"/>
    <n v="193968"/>
  </r>
  <r>
    <n v="10249"/>
    <n v="1"/>
    <d v="2012-11-07T00:00:00"/>
    <s v="DVD"/>
    <n v="100097"/>
    <s v="AB100165"/>
    <x v="5"/>
    <n v="468100"/>
  </r>
  <r>
    <n v="10238"/>
    <n v="4"/>
    <d v="2012-11-08T00:00:00"/>
    <s v="DVD"/>
    <n v="100097"/>
    <s v="AB100166"/>
    <x v="0"/>
    <n v="468100"/>
  </r>
  <r>
    <n v="10090"/>
    <n v="10"/>
    <d v="2012-11-07T00:00:00"/>
    <s v="BLU-RAY"/>
    <n v="100098"/>
    <s v="AB100167"/>
    <x v="1"/>
    <n v="132454"/>
  </r>
  <r>
    <n v="10142"/>
    <n v="7"/>
    <d v="2012-11-07T00:00:00"/>
    <s v="BLU-RAY"/>
    <n v="100099"/>
    <s v="AB100168"/>
    <x v="0"/>
    <n v="416523"/>
  </r>
  <r>
    <n v="10211"/>
    <n v="2"/>
    <d v="2012-11-08T00:00:00"/>
    <s v="DVD"/>
    <n v="100100"/>
    <s v="AB100169"/>
    <x v="3"/>
    <n v="277373"/>
  </r>
  <r>
    <n v="10142"/>
    <n v="2"/>
    <d v="2012-11-09T00:00:00"/>
    <s v="BLU-RAY"/>
    <n v="100100"/>
    <s v="AB100170"/>
    <x v="0"/>
    <n v="277373"/>
  </r>
  <r>
    <n v="10037"/>
    <n v="2"/>
    <d v="2012-11-08T00:00:00"/>
    <s v="DVD"/>
    <n v="100100"/>
    <s v="AB100171"/>
    <x v="3"/>
    <n v="277373"/>
  </r>
  <r>
    <n v="10108"/>
    <n v="7"/>
    <d v="2012-11-08T00:00:00"/>
    <s v="DVD"/>
    <n v="100100"/>
    <s v="AB100172"/>
    <x v="9"/>
    <n v="277373"/>
  </r>
  <r>
    <n v="10203"/>
    <n v="5"/>
    <d v="2012-11-08T00:00:00"/>
    <s v="BLU-RAY"/>
    <n v="100101"/>
    <s v="AB100173"/>
    <x v="3"/>
    <n v="789500"/>
  </r>
  <r>
    <n v="10024"/>
    <n v="2"/>
    <d v="2012-11-08T00:00:00"/>
    <s v="BLU-RAY"/>
    <n v="100101"/>
    <s v="AB100174"/>
    <x v="9"/>
    <n v="789500"/>
  </r>
  <r>
    <n v="10016"/>
    <n v="3"/>
    <d v="2012-11-08T00:00:00"/>
    <s v="DVD"/>
    <n v="100102"/>
    <s v="AB100175"/>
    <x v="7"/>
    <n v="736500"/>
  </r>
  <r>
    <n v="10111"/>
    <n v="10"/>
    <d v="2012-11-09T00:00:00"/>
    <s v="BLU-RAY"/>
    <n v="100102"/>
    <s v="AB100176"/>
    <x v="9"/>
    <n v="736500"/>
  </r>
  <r>
    <n v="10116"/>
    <n v="1"/>
    <d v="2012-11-08T00:00:00"/>
    <s v="BLU-RAY"/>
    <n v="100103"/>
    <s v="AB100177"/>
    <x v="7"/>
    <n v="465275"/>
  </r>
  <r>
    <n v="10234"/>
    <n v="4"/>
    <d v="2012-11-10T00:00:00"/>
    <s v="DVD"/>
    <n v="100104"/>
    <s v="AB100178"/>
    <x v="0"/>
    <n v="214537"/>
  </r>
  <r>
    <n v="10134"/>
    <n v="3"/>
    <d v="2012-11-10T00:00:00"/>
    <s v="DVD"/>
    <n v="100105"/>
    <s v="AB100179"/>
    <x v="7"/>
    <n v="814512"/>
  </r>
  <r>
    <n v="10137"/>
    <n v="7"/>
    <d v="2012-11-11T00:00:00"/>
    <s v="BLU-RAY"/>
    <n v="100105"/>
    <s v="AB100180"/>
    <x v="3"/>
    <n v="814512"/>
  </r>
  <r>
    <n v="10161"/>
    <n v="7"/>
    <d v="2012-11-10T00:00:00"/>
    <s v="DVD"/>
    <n v="100105"/>
    <s v="AB100181"/>
    <x v="6"/>
    <n v="814512"/>
  </r>
  <r>
    <n v="10018"/>
    <n v="10"/>
    <d v="2012-11-10T00:00:00"/>
    <s v="BLU-RAY"/>
    <n v="100105"/>
    <s v="AB100182"/>
    <x v="9"/>
    <n v="814512"/>
  </r>
  <r>
    <n v="10004"/>
    <n v="1"/>
    <d v="2012-11-11T00:00:00"/>
    <s v="DVD"/>
    <n v="100106"/>
    <s v="AB100183"/>
    <x v="1"/>
    <n v="166135"/>
  </r>
  <r>
    <n v="10181"/>
    <n v="8"/>
    <d v="2012-11-11T00:00:00"/>
    <s v="DVD"/>
    <n v="100106"/>
    <s v="AB100184"/>
    <x v="9"/>
    <n v="166135"/>
  </r>
  <r>
    <n v="10029"/>
    <n v="8"/>
    <d v="2012-11-12T00:00:00"/>
    <s v="DVD"/>
    <n v="100107"/>
    <s v="AB100185"/>
    <x v="12"/>
    <n v="739669"/>
  </r>
  <r>
    <n v="10118"/>
    <n v="3"/>
    <d v="2012-11-13T00:00:00"/>
    <s v="BLU-RAY"/>
    <n v="100107"/>
    <s v="AB100186"/>
    <x v="3"/>
    <n v="739669"/>
  </r>
  <r>
    <n v="10100"/>
    <n v="7"/>
    <d v="2012-11-12T00:00:00"/>
    <s v="BLU-RAY"/>
    <n v="100107"/>
    <s v="AB100187"/>
    <x v="9"/>
    <n v="739669"/>
  </r>
  <r>
    <n v="10020"/>
    <n v="6"/>
    <d v="2012-11-12T00:00:00"/>
    <s v="BLU-RAY"/>
    <n v="100108"/>
    <s v="AB100188"/>
    <x v="16"/>
    <n v="696852"/>
  </r>
  <r>
    <n v="10247"/>
    <n v="10"/>
    <d v="2012-11-15T00:00:00"/>
    <s v="DVD"/>
    <n v="100109"/>
    <s v="AB100189"/>
    <x v="9"/>
    <n v="567388"/>
  </r>
  <r>
    <n v="10068"/>
    <n v="9"/>
    <d v="2012-11-14T00:00:00"/>
    <s v="BLU-RAY"/>
    <n v="100109"/>
    <s v="AB100190"/>
    <x v="0"/>
    <n v="567388"/>
  </r>
  <r>
    <n v="10162"/>
    <n v="5"/>
    <d v="2012-11-18T00:00:00"/>
    <s v="BLU-RAY"/>
    <n v="100110"/>
    <s v="AB100191"/>
    <x v="4"/>
    <n v="122818"/>
  </r>
  <r>
    <n v="10194"/>
    <n v="4"/>
    <d v="2012-11-17T00:00:00"/>
    <s v="DVD"/>
    <n v="100111"/>
    <s v="AB100192"/>
    <x v="16"/>
    <n v="227372"/>
  </r>
  <r>
    <n v="10221"/>
    <n v="2"/>
    <d v="2012-11-19T00:00:00"/>
    <s v="BLU-RAY"/>
    <n v="100112"/>
    <s v="AB100193"/>
    <x v="9"/>
    <n v="464984"/>
  </r>
  <r>
    <n v="10011"/>
    <n v="7"/>
    <d v="2012-11-21T00:00:00"/>
    <s v="DVD"/>
    <n v="100113"/>
    <s v="AB100194"/>
    <x v="3"/>
    <n v="422951"/>
  </r>
  <r>
    <n v="10076"/>
    <n v="5"/>
    <d v="2012-11-20T00:00:00"/>
    <s v="BLU-RAY"/>
    <n v="100113"/>
    <s v="AB100195"/>
    <x v="4"/>
    <n v="422951"/>
  </r>
  <r>
    <n v="10000"/>
    <n v="1"/>
    <d v="2012-11-20T00:00:00"/>
    <s v="BLU-RAY"/>
    <n v="100114"/>
    <s v="AB100196"/>
    <x v="6"/>
    <n v="701816"/>
  </r>
  <r>
    <n v="10181"/>
    <n v="6"/>
    <d v="2012-11-21T00:00:00"/>
    <s v="DVD"/>
    <n v="100114"/>
    <s v="AB100197"/>
    <x v="9"/>
    <n v="701816"/>
  </r>
  <r>
    <n v="10096"/>
    <n v="1"/>
    <d v="2012-11-20T00:00:00"/>
    <s v="BLU-RAY"/>
    <n v="100114"/>
    <s v="AB100198"/>
    <x v="7"/>
    <n v="701816"/>
  </r>
  <r>
    <n v="10234"/>
    <n v="4"/>
    <d v="2012-11-21T00:00:00"/>
    <s v="BLU-RAY"/>
    <n v="100115"/>
    <s v="AB100199"/>
    <x v="0"/>
    <n v="336644"/>
  </r>
  <r>
    <n v="10021"/>
    <n v="7"/>
    <d v="2012-11-21T00:00:00"/>
    <s v="DVD"/>
    <n v="100116"/>
    <s v="AB100200"/>
    <x v="1"/>
    <n v="951701"/>
  </r>
  <r>
    <n v="10166"/>
    <n v="2"/>
    <d v="2012-11-23T00:00:00"/>
    <s v="BLU-RAY"/>
    <n v="100117"/>
    <s v="AB100201"/>
    <x v="9"/>
    <n v="286196"/>
  </r>
  <r>
    <n v="10045"/>
    <n v="5"/>
    <d v="2012-11-22T00:00:00"/>
    <s v="BLU-RAY"/>
    <n v="100118"/>
    <s v="AB100202"/>
    <x v="0"/>
    <n v="122818"/>
  </r>
  <r>
    <n v="10100"/>
    <n v="6"/>
    <d v="2012-11-21T00:00:00"/>
    <s v="BLU-RAY"/>
    <n v="100118"/>
    <s v="AB100203"/>
    <x v="9"/>
    <n v="122818"/>
  </r>
  <r>
    <n v="10230"/>
    <n v="3"/>
    <d v="2012-11-21T00:00:00"/>
    <s v="DVD"/>
    <n v="100119"/>
    <s v="AB100204"/>
    <x v="14"/>
    <n v="992956"/>
  </r>
  <r>
    <n v="10066"/>
    <n v="2"/>
    <d v="2012-11-22T00:00:00"/>
    <s v="BLU-RAY"/>
    <n v="100119"/>
    <s v="AB100205"/>
    <x v="3"/>
    <n v="992956"/>
  </r>
  <r>
    <n v="10171"/>
    <n v="1"/>
    <d v="2012-11-24T00:00:00"/>
    <s v="DVD"/>
    <n v="100120"/>
    <s v="AB100206"/>
    <x v="7"/>
    <n v="656728"/>
  </r>
  <r>
    <n v="10228"/>
    <n v="1"/>
    <d v="2012-11-22T00:00:00"/>
    <s v="DVD"/>
    <n v="100120"/>
    <s v="AB100207"/>
    <x v="7"/>
    <n v="656728"/>
  </r>
  <r>
    <n v="10208"/>
    <n v="8"/>
    <d v="2012-11-23T00:00:00"/>
    <s v="DVD"/>
    <n v="100120"/>
    <s v="AB100208"/>
    <x v="0"/>
    <n v="656728"/>
  </r>
  <r>
    <n v="10086"/>
    <n v="6"/>
    <d v="2012-11-24T00:00:00"/>
    <s v="BLU-RAY"/>
    <n v="100121"/>
    <s v="AB100209"/>
    <x v="3"/>
    <n v="189953"/>
  </r>
  <r>
    <n v="10067"/>
    <n v="6"/>
    <d v="2012-11-24T00:00:00"/>
    <s v="DVD"/>
    <n v="100121"/>
    <s v="AB100210"/>
    <x v="1"/>
    <n v="189953"/>
  </r>
  <r>
    <n v="10025"/>
    <n v="9"/>
    <d v="2012-11-25T00:00:00"/>
    <s v="BLU-RAY"/>
    <n v="100122"/>
    <s v="AB100211"/>
    <x v="4"/>
    <n v="422592"/>
  </r>
  <r>
    <n v="10213"/>
    <n v="1"/>
    <d v="2012-11-25T00:00:00"/>
    <s v="BLU-RAY"/>
    <n v="100123"/>
    <s v="AB100212"/>
    <x v="4"/>
    <n v="961080"/>
  </r>
  <r>
    <n v="10218"/>
    <n v="4"/>
    <d v="2012-11-26T00:00:00"/>
    <s v="DVD"/>
    <n v="100123"/>
    <s v="AB100213"/>
    <x v="4"/>
    <n v="961080"/>
  </r>
  <r>
    <n v="10065"/>
    <n v="3"/>
    <d v="2012-11-27T00:00:00"/>
    <s v="DVD"/>
    <n v="100124"/>
    <s v="AB100214"/>
    <x v="0"/>
    <n v="488803"/>
  </r>
  <r>
    <n v="10068"/>
    <n v="2"/>
    <d v="2012-11-27T00:00:00"/>
    <s v="DVD"/>
    <n v="100125"/>
    <s v="AB100215"/>
    <x v="0"/>
    <n v="137696"/>
  </r>
  <r>
    <n v="10191"/>
    <n v="4"/>
    <d v="2012-11-27T00:00:00"/>
    <s v="DVD"/>
    <n v="100125"/>
    <s v="AB100216"/>
    <x v="7"/>
    <n v="137696"/>
  </r>
  <r>
    <n v="10053"/>
    <n v="8"/>
    <d v="2012-11-27T00:00:00"/>
    <s v="DVD"/>
    <n v="100125"/>
    <s v="AB100217"/>
    <x v="4"/>
    <n v="137696"/>
  </r>
  <r>
    <n v="10222"/>
    <n v="9"/>
    <d v="2012-11-28T00:00:00"/>
    <s v="DVD"/>
    <n v="100126"/>
    <s v="AB100218"/>
    <x v="4"/>
    <n v="592726"/>
  </r>
  <r>
    <n v="10003"/>
    <n v="2"/>
    <d v="2012-11-29T00:00:00"/>
    <s v="BLU-RAY"/>
    <n v="100126"/>
    <s v="AB100219"/>
    <x v="1"/>
    <n v="592726"/>
  </r>
  <r>
    <n v="10031"/>
    <n v="2"/>
    <d v="2012-11-28T00:00:00"/>
    <s v="DVD"/>
    <n v="100127"/>
    <s v="AB100220"/>
    <x v="0"/>
    <n v="413292"/>
  </r>
  <r>
    <n v="10021"/>
    <n v="2"/>
    <d v="2012-11-28T00:00:00"/>
    <s v="DVD"/>
    <n v="100127"/>
    <s v="AB100221"/>
    <x v="1"/>
    <n v="413292"/>
  </r>
  <r>
    <n v="10240"/>
    <n v="10"/>
    <d v="2012-11-28T00:00:00"/>
    <s v="DVD"/>
    <n v="100127"/>
    <s v="AB100222"/>
    <x v="0"/>
    <n v="413292"/>
  </r>
  <r>
    <n v="10241"/>
    <n v="10"/>
    <d v="2012-11-28T00:00:00"/>
    <s v="BLU-RAY"/>
    <n v="100127"/>
    <s v="AB100223"/>
    <x v="0"/>
    <n v="413292"/>
  </r>
  <r>
    <n v="10074"/>
    <n v="6"/>
    <d v="2012-11-30T00:00:00"/>
    <s v="BLU-RAY"/>
    <n v="100128"/>
    <s v="AB100224"/>
    <x v="11"/>
    <n v="203787"/>
  </r>
  <r>
    <n v="10246"/>
    <n v="7"/>
    <d v="2012-11-29T00:00:00"/>
    <s v="DVD"/>
    <n v="100128"/>
    <s v="AB100225"/>
    <x v="2"/>
    <n v="203787"/>
  </r>
  <r>
    <n v="10179"/>
    <n v="1"/>
    <d v="2012-11-30T00:00:00"/>
    <s v="DVD"/>
    <n v="100129"/>
    <s v="AB100226"/>
    <x v="0"/>
    <n v="852925"/>
  </r>
  <r>
    <n v="10045"/>
    <n v="9"/>
    <d v="2012-11-29T00:00:00"/>
    <s v="DVD"/>
    <n v="100129"/>
    <s v="AB100227"/>
    <x v="0"/>
    <n v="852925"/>
  </r>
  <r>
    <n v="10020"/>
    <n v="3"/>
    <d v="2012-12-01T00:00:00"/>
    <s v="BLU-RAY"/>
    <n v="100129"/>
    <s v="AB100228"/>
    <x v="16"/>
    <n v="852925"/>
  </r>
  <r>
    <n v="10071"/>
    <n v="6"/>
    <d v="2012-11-30T00:00:00"/>
    <s v="DVD"/>
    <n v="100129"/>
    <s v="AB100229"/>
    <x v="1"/>
    <n v="852925"/>
  </r>
  <r>
    <n v="10238"/>
    <n v="10"/>
    <d v="2012-12-01T00:00:00"/>
    <s v="DVD"/>
    <n v="100130"/>
    <s v="AB100230"/>
    <x v="0"/>
    <n v="880238"/>
  </r>
  <r>
    <n v="10097"/>
    <n v="1"/>
    <d v="2012-12-01T00:00:00"/>
    <s v="BLU-RAY"/>
    <n v="100131"/>
    <s v="AB100231"/>
    <x v="8"/>
    <n v="610766"/>
  </r>
  <r>
    <n v="10160"/>
    <n v="6"/>
    <d v="2012-11-30T00:00:00"/>
    <s v="DVD"/>
    <n v="100132"/>
    <s v="AB100232"/>
    <x v="10"/>
    <n v="632495"/>
  </r>
  <r>
    <n v="10161"/>
    <n v="4"/>
    <d v="2012-12-02T00:00:00"/>
    <s v="DVD"/>
    <n v="100133"/>
    <s v="AB100233"/>
    <x v="6"/>
    <n v="890270"/>
  </r>
  <r>
    <n v="10091"/>
    <n v="1"/>
    <d v="2012-12-02T00:00:00"/>
    <s v="DVD"/>
    <n v="100134"/>
    <s v="AB100234"/>
    <x v="0"/>
    <n v="551950"/>
  </r>
  <r>
    <n v="10148"/>
    <n v="5"/>
    <d v="2012-12-01T00:00:00"/>
    <s v="BLU-RAY"/>
    <n v="100135"/>
    <s v="AB100235"/>
    <x v="1"/>
    <n v="757780"/>
  </r>
  <r>
    <n v="10003"/>
    <n v="7"/>
    <d v="2012-12-02T00:00:00"/>
    <s v="BLU-RAY"/>
    <n v="100136"/>
    <s v="AB100236"/>
    <x v="1"/>
    <n v="689877"/>
  </r>
  <r>
    <n v="10198"/>
    <n v="10"/>
    <d v="2012-12-03T00:00:00"/>
    <s v="BLU-RAY"/>
    <n v="100136"/>
    <s v="AB100237"/>
    <x v="9"/>
    <n v="689877"/>
  </r>
  <r>
    <n v="10013"/>
    <n v="5"/>
    <d v="2012-12-03T00:00:00"/>
    <s v="DVD"/>
    <n v="100137"/>
    <s v="AB100238"/>
    <x v="11"/>
    <n v="109251"/>
  </r>
  <r>
    <n v="10023"/>
    <n v="3"/>
    <d v="2012-12-03T00:00:00"/>
    <s v="BLU-RAY"/>
    <n v="100137"/>
    <s v="AB100239"/>
    <x v="3"/>
    <n v="109251"/>
  </r>
  <r>
    <n v="10204"/>
    <n v="4"/>
    <d v="2012-12-04T00:00:00"/>
    <s v="DVD"/>
    <n v="100138"/>
    <s v="AB100240"/>
    <x v="7"/>
    <n v="161942"/>
  </r>
  <r>
    <n v="10111"/>
    <n v="4"/>
    <d v="2012-12-03T00:00:00"/>
    <s v="BLU-RAY"/>
    <n v="100139"/>
    <s v="AB100241"/>
    <x v="9"/>
    <n v="961080"/>
  </r>
  <r>
    <n v="10190"/>
    <n v="4"/>
    <d v="2012-12-04T00:00:00"/>
    <s v="DVD"/>
    <n v="100140"/>
    <s v="AB100242"/>
    <x v="10"/>
    <n v="416523"/>
  </r>
  <r>
    <n v="10153"/>
    <n v="2"/>
    <d v="2012-12-08T00:00:00"/>
    <s v="DVD"/>
    <n v="100141"/>
    <s v="AB100243"/>
    <x v="10"/>
    <n v="149240"/>
  </r>
  <r>
    <n v="10108"/>
    <n v="3"/>
    <d v="2012-12-05T00:00:00"/>
    <s v="BLU-RAY"/>
    <n v="100141"/>
    <s v="AB100244"/>
    <x v="9"/>
    <n v="149240"/>
  </r>
  <r>
    <n v="10022"/>
    <n v="5"/>
    <d v="2012-12-05T00:00:00"/>
    <s v="DVD"/>
    <n v="100142"/>
    <s v="AB100245"/>
    <x v="7"/>
    <n v="893039"/>
  </r>
  <r>
    <n v="10161"/>
    <n v="2"/>
    <d v="2012-12-05T00:00:00"/>
    <s v="BLU-RAY"/>
    <n v="100143"/>
    <s v="AB100246"/>
    <x v="6"/>
    <n v="278809"/>
  </r>
  <r>
    <n v="10019"/>
    <n v="8"/>
    <d v="2012-12-06T00:00:00"/>
    <s v="BLU-RAY"/>
    <n v="100143"/>
    <s v="AB100247"/>
    <x v="9"/>
    <n v="278809"/>
  </r>
  <r>
    <n v="10122"/>
    <n v="10"/>
    <d v="2012-12-07T00:00:00"/>
    <s v="BLU-RAY"/>
    <n v="100144"/>
    <s v="AB100248"/>
    <x v="12"/>
    <n v="789308"/>
  </r>
  <r>
    <n v="10082"/>
    <n v="7"/>
    <d v="2012-12-06T00:00:00"/>
    <s v="DVD"/>
    <n v="100144"/>
    <s v="AB100249"/>
    <x v="3"/>
    <n v="789308"/>
  </r>
  <r>
    <n v="10207"/>
    <n v="9"/>
    <d v="2012-12-06T00:00:00"/>
    <s v="DVD"/>
    <n v="100145"/>
    <s v="AB100250"/>
    <x v="1"/>
    <n v="994056"/>
  </r>
  <r>
    <n v="10110"/>
    <n v="9"/>
    <d v="2012-12-06T00:00:00"/>
    <s v="DVD"/>
    <n v="100145"/>
    <s v="AB100251"/>
    <x v="0"/>
    <n v="994056"/>
  </r>
  <r>
    <n v="10192"/>
    <n v="3"/>
    <d v="2012-12-06T00:00:00"/>
    <s v="DVD"/>
    <n v="100145"/>
    <s v="AB100252"/>
    <x v="7"/>
    <n v="994056"/>
  </r>
  <r>
    <n v="10038"/>
    <n v="10"/>
    <d v="2012-12-08T00:00:00"/>
    <s v="BLU-RAY"/>
    <n v="100146"/>
    <s v="AB100253"/>
    <x v="1"/>
    <n v="789308"/>
  </r>
  <r>
    <n v="10239"/>
    <n v="1"/>
    <d v="2012-12-08T00:00:00"/>
    <s v="BLU-RAY"/>
    <n v="100147"/>
    <s v="AB100254"/>
    <x v="2"/>
    <n v="488803"/>
  </r>
  <r>
    <n v="10106"/>
    <n v="8"/>
    <d v="2012-12-07T00:00:00"/>
    <s v="BLU-RAY"/>
    <n v="100147"/>
    <s v="AB100255"/>
    <x v="9"/>
    <n v="488803"/>
  </r>
  <r>
    <n v="10022"/>
    <n v="4"/>
    <d v="2012-12-08T00:00:00"/>
    <s v="BLU-RAY"/>
    <n v="100147"/>
    <s v="AB100256"/>
    <x v="7"/>
    <n v="488803"/>
  </r>
  <r>
    <n v="10126"/>
    <n v="1"/>
    <d v="2012-12-07T00:00:00"/>
    <s v="DVD"/>
    <n v="100148"/>
    <s v="AB100257"/>
    <x v="9"/>
    <n v="905670"/>
  </r>
  <r>
    <n v="10072"/>
    <n v="4"/>
    <d v="2012-12-07T00:00:00"/>
    <s v="DVD"/>
    <n v="100148"/>
    <s v="AB100258"/>
    <x v="1"/>
    <n v="905670"/>
  </r>
  <r>
    <n v="10029"/>
    <n v="5"/>
    <d v="2012-12-07T00:00:00"/>
    <s v="DVD"/>
    <n v="100148"/>
    <s v="AB100259"/>
    <x v="12"/>
    <n v="905670"/>
  </r>
  <r>
    <n v="10000"/>
    <n v="9"/>
    <d v="2012-12-07T00:00:00"/>
    <s v="BLU-RAY"/>
    <n v="100148"/>
    <s v="AB100260"/>
    <x v="6"/>
    <n v="905670"/>
  </r>
  <r>
    <n v="10213"/>
    <n v="1"/>
    <d v="2012-12-08T00:00:00"/>
    <s v="BLU-RAY"/>
    <n v="100149"/>
    <s v="AB100261"/>
    <x v="4"/>
    <n v="247216"/>
  </r>
  <r>
    <n v="10234"/>
    <n v="3"/>
    <d v="2012-12-09T00:00:00"/>
    <s v="DVD"/>
    <n v="100149"/>
    <s v="AB100262"/>
    <x v="0"/>
    <n v="247216"/>
  </r>
  <r>
    <n v="10011"/>
    <n v="10"/>
    <d v="2012-12-08T00:00:00"/>
    <s v="DVD"/>
    <n v="100150"/>
    <s v="AB100263"/>
    <x v="3"/>
    <n v="951701"/>
  </r>
  <r>
    <n v="10200"/>
    <n v="1"/>
    <d v="2012-12-10T00:00:00"/>
    <s v="DVD"/>
    <n v="100150"/>
    <s v="AB100264"/>
    <x v="9"/>
    <n v="951701"/>
  </r>
  <r>
    <n v="10007"/>
    <n v="7"/>
    <d v="2012-12-08T00:00:00"/>
    <s v="DVD"/>
    <n v="100150"/>
    <s v="AB100265"/>
    <x v="4"/>
    <n v="951701"/>
  </r>
  <r>
    <n v="10201"/>
    <n v="9"/>
    <d v="2012-12-08T00:00:00"/>
    <s v="BLU-RAY"/>
    <n v="100151"/>
    <s v="AB100266"/>
    <x v="8"/>
    <n v="491380"/>
  </r>
  <r>
    <n v="10233"/>
    <n v="4"/>
    <d v="2012-12-08T00:00:00"/>
    <s v="DVD"/>
    <n v="100151"/>
    <s v="AB100267"/>
    <x v="8"/>
    <n v="491380"/>
  </r>
  <r>
    <n v="10074"/>
    <n v="3"/>
    <d v="2012-12-09T00:00:00"/>
    <s v="DVD"/>
    <n v="100152"/>
    <s v="AB100268"/>
    <x v="11"/>
    <n v="465275"/>
  </r>
  <r>
    <n v="10072"/>
    <n v="6"/>
    <d v="2012-12-09T00:00:00"/>
    <s v="BLU-RAY"/>
    <n v="100152"/>
    <s v="AB100269"/>
    <x v="1"/>
    <n v="465275"/>
  </r>
  <r>
    <n v="10159"/>
    <n v="8"/>
    <d v="2012-12-09T00:00:00"/>
    <s v="DVD"/>
    <n v="100153"/>
    <s v="AB100270"/>
    <x v="10"/>
    <n v="890270"/>
  </r>
  <r>
    <n v="10142"/>
    <n v="7"/>
    <d v="2012-12-09T00:00:00"/>
    <s v="BLU-RAY"/>
    <n v="100153"/>
    <s v="AB100271"/>
    <x v="0"/>
    <n v="890270"/>
  </r>
  <r>
    <n v="10050"/>
    <n v="6"/>
    <d v="2012-12-12T00:00:00"/>
    <s v="BLU-RAY"/>
    <n v="100154"/>
    <s v="AB100272"/>
    <x v="1"/>
    <n v="378374"/>
  </r>
  <r>
    <n v="10240"/>
    <n v="4"/>
    <d v="2012-12-10T00:00:00"/>
    <s v="DVD"/>
    <n v="100155"/>
    <s v="AB100273"/>
    <x v="0"/>
    <n v="157388"/>
  </r>
  <r>
    <n v="10237"/>
    <n v="3"/>
    <d v="2012-12-10T00:00:00"/>
    <s v="BLU-RAY"/>
    <n v="100155"/>
    <s v="AB100274"/>
    <x v="0"/>
    <n v="157388"/>
  </r>
  <r>
    <n v="10205"/>
    <n v="8"/>
    <d v="2012-12-11T00:00:00"/>
    <s v="DVD"/>
    <n v="100156"/>
    <s v="AB100275"/>
    <x v="1"/>
    <n v="781968"/>
  </r>
  <r>
    <n v="10107"/>
    <n v="10"/>
    <d v="2012-12-12T00:00:00"/>
    <s v="DVD"/>
    <n v="100157"/>
    <s v="AB100276"/>
    <x v="7"/>
    <n v="432113"/>
  </r>
  <r>
    <n v="10242"/>
    <n v="7"/>
    <d v="2012-12-13T00:00:00"/>
    <s v="DVD"/>
    <n v="100157"/>
    <s v="AB100277"/>
    <x v="3"/>
    <n v="432113"/>
  </r>
  <r>
    <n v="10016"/>
    <n v="8"/>
    <d v="2012-12-12T00:00:00"/>
    <s v="BLU-RAY"/>
    <n v="100157"/>
    <s v="AB100278"/>
    <x v="7"/>
    <n v="432113"/>
  </r>
  <r>
    <n v="10192"/>
    <n v="1"/>
    <d v="2012-12-12T00:00:00"/>
    <s v="DVD"/>
    <n v="100158"/>
    <s v="AB100279"/>
    <x v="7"/>
    <n v="500828"/>
  </r>
  <r>
    <n v="10171"/>
    <n v="10"/>
    <d v="2012-12-14T00:00:00"/>
    <s v="DVD"/>
    <n v="100159"/>
    <s v="AB100280"/>
    <x v="7"/>
    <n v="175940"/>
  </r>
  <r>
    <n v="10225"/>
    <n v="10"/>
    <d v="2012-12-13T00:00:00"/>
    <s v="DVD"/>
    <n v="100159"/>
    <s v="AB100281"/>
    <x v="0"/>
    <n v="175940"/>
  </r>
  <r>
    <n v="10202"/>
    <n v="6"/>
    <d v="2012-12-14T00:00:00"/>
    <s v="BLU-RAY"/>
    <n v="100160"/>
    <s v="AB100282"/>
    <x v="0"/>
    <n v="422717"/>
  </r>
  <r>
    <n v="10184"/>
    <n v="9"/>
    <d v="2012-12-14T00:00:00"/>
    <s v="BLU-RAY"/>
    <n v="100161"/>
    <s v="AB100283"/>
    <x v="7"/>
    <n v="556152"/>
  </r>
  <r>
    <n v="10004"/>
    <n v="4"/>
    <d v="2012-12-14T00:00:00"/>
    <s v="DVD"/>
    <n v="100162"/>
    <s v="AB100284"/>
    <x v="1"/>
    <n v="724813"/>
  </r>
  <r>
    <n v="10208"/>
    <n v="7"/>
    <d v="2012-12-14T00:00:00"/>
    <s v="DVD"/>
    <n v="100162"/>
    <s v="AB100285"/>
    <x v="0"/>
    <n v="724813"/>
  </r>
  <r>
    <n v="10106"/>
    <n v="7"/>
    <d v="2012-12-16T00:00:00"/>
    <s v="DVD"/>
    <n v="100163"/>
    <s v="AB100286"/>
    <x v="9"/>
    <n v="380003"/>
  </r>
  <r>
    <n v="10035"/>
    <n v="10"/>
    <d v="2012-12-16T00:00:00"/>
    <s v="DVD"/>
    <n v="100164"/>
    <s v="AB100287"/>
    <x v="4"/>
    <n v="693531"/>
  </r>
  <r>
    <n v="10018"/>
    <n v="10"/>
    <d v="2012-12-17T00:00:00"/>
    <s v="DVD"/>
    <n v="100165"/>
    <s v="AB100288"/>
    <x v="9"/>
    <n v="791850"/>
  </r>
  <r>
    <n v="10137"/>
    <n v="5"/>
    <d v="2012-12-17T00:00:00"/>
    <s v="DVD"/>
    <n v="100165"/>
    <s v="AB100289"/>
    <x v="3"/>
    <n v="791850"/>
  </r>
  <r>
    <n v="10224"/>
    <n v="1"/>
    <d v="2012-12-17T00:00:00"/>
    <s v="DVD"/>
    <n v="100165"/>
    <s v="AB100290"/>
    <x v="17"/>
    <n v="791850"/>
  </r>
  <r>
    <n v="10146"/>
    <n v="8"/>
    <d v="2012-12-17T00:00:00"/>
    <s v="BLU-RAY"/>
    <n v="100165"/>
    <s v="AB100291"/>
    <x v="4"/>
    <n v="791850"/>
  </r>
  <r>
    <n v="10071"/>
    <n v="9"/>
    <d v="2012-12-17T00:00:00"/>
    <s v="DVD"/>
    <n v="100166"/>
    <s v="AB100292"/>
    <x v="1"/>
    <n v="357579"/>
  </r>
  <r>
    <n v="10201"/>
    <n v="4"/>
    <d v="2012-12-17T00:00:00"/>
    <s v="BLU-RAY"/>
    <n v="100166"/>
    <s v="AB100293"/>
    <x v="8"/>
    <n v="357579"/>
  </r>
  <r>
    <n v="10022"/>
    <n v="3"/>
    <d v="2012-12-18T00:00:00"/>
    <s v="DVD"/>
    <n v="100167"/>
    <s v="AB100294"/>
    <x v="7"/>
    <n v="806545"/>
  </r>
  <r>
    <n v="10006"/>
    <n v="4"/>
    <d v="2012-12-18T00:00:00"/>
    <s v="BLU-RAY"/>
    <n v="100168"/>
    <s v="AB100295"/>
    <x v="1"/>
    <n v="905670"/>
  </r>
  <r>
    <n v="10050"/>
    <n v="1"/>
    <d v="2012-12-18T00:00:00"/>
    <s v="BLU-RAY"/>
    <n v="100169"/>
    <s v="AB100296"/>
    <x v="1"/>
    <n v="203787"/>
  </r>
  <r>
    <n v="10245"/>
    <n v="7"/>
    <d v="2012-12-19T00:00:00"/>
    <s v="DVD"/>
    <n v="100169"/>
    <s v="AB100297"/>
    <x v="0"/>
    <n v="203787"/>
  </r>
  <r>
    <n v="10090"/>
    <n v="6"/>
    <d v="2012-12-19T00:00:00"/>
    <s v="BLU-RAY"/>
    <n v="100170"/>
    <s v="AB100298"/>
    <x v="1"/>
    <n v="864896"/>
  </r>
  <r>
    <n v="10027"/>
    <n v="5"/>
    <d v="2012-12-19T00:00:00"/>
    <s v="DVD"/>
    <n v="100170"/>
    <s v="AB100299"/>
    <x v="16"/>
    <n v="864896"/>
  </r>
  <r>
    <n v="10051"/>
    <n v="6"/>
    <d v="2012-12-19T00:00:00"/>
    <s v="DVD"/>
    <n v="100171"/>
    <s v="AB100300"/>
    <x v="1"/>
    <n v="690100"/>
  </r>
  <r>
    <n v="10210"/>
    <n v="10"/>
    <d v="2012-12-19T00:00:00"/>
    <s v="BLU-RAY"/>
    <n v="100171"/>
    <s v="AB100301"/>
    <x v="4"/>
    <n v="690100"/>
  </r>
  <r>
    <n v="10145"/>
    <n v="2"/>
    <d v="2012-12-19T00:00:00"/>
    <s v="DVD"/>
    <n v="100171"/>
    <s v="AB100302"/>
    <x v="6"/>
    <n v="690100"/>
  </r>
  <r>
    <n v="10219"/>
    <n v="4"/>
    <d v="2012-12-19T00:00:00"/>
    <s v="DVD"/>
    <n v="100171"/>
    <s v="AB100303"/>
    <x v="1"/>
    <n v="690100"/>
  </r>
  <r>
    <n v="10085"/>
    <n v="1"/>
    <d v="2012-12-19T00:00:00"/>
    <s v="DVD"/>
    <n v="100171"/>
    <s v="AB100304"/>
    <x v="3"/>
    <n v="690100"/>
  </r>
  <r>
    <n v="10206"/>
    <n v="1"/>
    <d v="2012-12-20T00:00:00"/>
    <s v="DVD"/>
    <n v="100171"/>
    <s v="AB100305"/>
    <x v="9"/>
    <n v="690100"/>
  </r>
  <r>
    <n v="10095"/>
    <n v="8"/>
    <d v="2012-12-20T00:00:00"/>
    <s v="DVD"/>
    <n v="100172"/>
    <s v="AB100306"/>
    <x v="2"/>
    <n v="329994"/>
  </r>
  <r>
    <n v="10243"/>
    <n v="8"/>
    <d v="2012-12-20T00:00:00"/>
    <s v="DVD"/>
    <n v="100172"/>
    <s v="AB100307"/>
    <x v="9"/>
    <n v="329994"/>
  </r>
  <r>
    <n v="10154"/>
    <n v="2"/>
    <d v="2012-12-21T00:00:00"/>
    <s v="BLU-RAY"/>
    <n v="100173"/>
    <s v="AB100308"/>
    <x v="5"/>
    <n v="230602"/>
  </r>
  <r>
    <n v="10052"/>
    <n v="10"/>
    <d v="2012-12-23T00:00:00"/>
    <s v="DVD"/>
    <n v="100173"/>
    <s v="AB100309"/>
    <x v="0"/>
    <n v="230602"/>
  </r>
  <r>
    <n v="10117"/>
    <n v="6"/>
    <d v="2012-12-21T00:00:00"/>
    <s v="BLU-RAY"/>
    <n v="100174"/>
    <s v="AB100310"/>
    <x v="4"/>
    <n v="791850"/>
  </r>
  <r>
    <n v="10014"/>
    <n v="2"/>
    <d v="2012-12-22T00:00:00"/>
    <s v="BLU-RAY"/>
    <n v="100175"/>
    <s v="AB100311"/>
    <x v="0"/>
    <n v="137696"/>
  </r>
  <r>
    <n v="10016"/>
    <n v="2"/>
    <d v="2012-12-21T00:00:00"/>
    <s v="BLU-RAY"/>
    <n v="100175"/>
    <s v="AB100312"/>
    <x v="7"/>
    <n v="137696"/>
  </r>
  <r>
    <n v="10030"/>
    <n v="6"/>
    <d v="2012-12-23T00:00:00"/>
    <s v="BLU-RAY"/>
    <n v="100176"/>
    <s v="AB100313"/>
    <x v="0"/>
    <n v="409910"/>
  </r>
  <r>
    <n v="10014"/>
    <n v="9"/>
    <d v="2012-12-24T00:00:00"/>
    <s v="BLU-RAY"/>
    <n v="100177"/>
    <s v="AB100314"/>
    <x v="0"/>
    <n v="852925"/>
  </r>
  <r>
    <n v="10176"/>
    <n v="3"/>
    <d v="2012-12-23T00:00:00"/>
    <s v="BLU-RAY"/>
    <n v="100178"/>
    <s v="AB100315"/>
    <x v="7"/>
    <n v="454015"/>
  </r>
  <r>
    <n v="10223"/>
    <n v="4"/>
    <d v="2012-12-24T00:00:00"/>
    <s v="DVD"/>
    <n v="100179"/>
    <s v="AB100316"/>
    <x v="7"/>
    <n v="566192"/>
  </r>
  <r>
    <n v="10020"/>
    <n v="1"/>
    <d v="2012-12-23T00:00:00"/>
    <s v="DVD"/>
    <n v="100179"/>
    <s v="AB100317"/>
    <x v="16"/>
    <n v="566192"/>
  </r>
  <r>
    <n v="10027"/>
    <n v="3"/>
    <d v="2012-12-25T00:00:00"/>
    <s v="BLU-RAY"/>
    <n v="100180"/>
    <s v="AB100318"/>
    <x v="16"/>
    <n v="720602"/>
  </r>
  <r>
    <n v="10100"/>
    <n v="8"/>
    <d v="2012-12-25T00:00:00"/>
    <s v="DVD"/>
    <n v="100181"/>
    <s v="AB100319"/>
    <x v="9"/>
    <n v="951701"/>
  </r>
  <r>
    <n v="10172"/>
    <n v="10"/>
    <d v="2012-12-26T00:00:00"/>
    <s v="DVD"/>
    <n v="100182"/>
    <s v="AB100320"/>
    <x v="10"/>
    <n v="421074"/>
  </r>
  <r>
    <n v="10173"/>
    <n v="9"/>
    <d v="2012-12-26T00:00:00"/>
    <s v="BLU-RAY"/>
    <n v="100183"/>
    <s v="AB100321"/>
    <x v="4"/>
    <n v="109251"/>
  </r>
  <r>
    <n v="10041"/>
    <n v="4"/>
    <d v="2012-12-27T00:00:00"/>
    <s v="BLU-RAY"/>
    <n v="100184"/>
    <s v="AB100322"/>
    <x v="10"/>
    <n v="994199"/>
  </r>
  <r>
    <n v="10245"/>
    <n v="9"/>
    <d v="2012-12-26T00:00:00"/>
    <s v="DVD"/>
    <n v="100184"/>
    <s v="AB100323"/>
    <x v="0"/>
    <n v="994199"/>
  </r>
  <r>
    <n v="10223"/>
    <n v="8"/>
    <d v="2012-12-27T00:00:00"/>
    <s v="DVD"/>
    <n v="100184"/>
    <s v="AB100324"/>
    <x v="7"/>
    <n v="994199"/>
  </r>
  <r>
    <n v="10235"/>
    <n v="10"/>
    <d v="2012-12-26T00:00:00"/>
    <s v="BLU-RAY"/>
    <n v="100185"/>
    <s v="AB100325"/>
    <x v="10"/>
    <n v="724813"/>
  </r>
  <r>
    <n v="10148"/>
    <n v="4"/>
    <d v="2012-12-27T00:00:00"/>
    <s v="BLU-RAY"/>
    <n v="100185"/>
    <s v="AB100326"/>
    <x v="1"/>
    <n v="724813"/>
  </r>
  <r>
    <n v="10099"/>
    <n v="8"/>
    <d v="2012-12-26T00:00:00"/>
    <s v="DVD"/>
    <n v="100186"/>
    <s v="AB100327"/>
    <x v="10"/>
    <n v="693531"/>
  </r>
  <r>
    <n v="10022"/>
    <n v="5"/>
    <d v="2012-12-26T00:00:00"/>
    <s v="DVD"/>
    <n v="100187"/>
    <s v="AB100328"/>
    <x v="7"/>
    <n v="296208"/>
  </r>
  <r>
    <n v="10030"/>
    <n v="3"/>
    <d v="2012-12-27T00:00:00"/>
    <s v="BLU-RAY"/>
    <n v="100188"/>
    <s v="AB100329"/>
    <x v="0"/>
    <n v="183797"/>
  </r>
  <r>
    <n v="10212"/>
    <n v="5"/>
    <d v="2012-12-27T00:00:00"/>
    <s v="BLU-RAY"/>
    <n v="100189"/>
    <s v="AB100330"/>
    <x v="10"/>
    <n v="325263"/>
  </r>
  <r>
    <n v="10181"/>
    <n v="7"/>
    <d v="2012-12-27T00:00:00"/>
    <s v="DVD"/>
    <n v="100189"/>
    <s v="AB100331"/>
    <x v="9"/>
    <n v="325263"/>
  </r>
  <r>
    <n v="10142"/>
    <n v="1"/>
    <d v="2012-12-27T00:00:00"/>
    <s v="DVD"/>
    <n v="100190"/>
    <s v="AB100332"/>
    <x v="0"/>
    <n v="656728"/>
  </r>
  <r>
    <n v="10108"/>
    <n v="10"/>
    <d v="2012-12-29T00:00:00"/>
    <s v="BLU-RAY"/>
    <n v="100191"/>
    <s v="AB100333"/>
    <x v="9"/>
    <n v="137696"/>
  </r>
  <r>
    <n v="10037"/>
    <n v="9"/>
    <d v="2012-12-28T00:00:00"/>
    <s v="BLU-RAY"/>
    <n v="100191"/>
    <s v="AB100334"/>
    <x v="3"/>
    <n v="137696"/>
  </r>
  <r>
    <n v="10142"/>
    <n v="2"/>
    <d v="2012-12-29T00:00:00"/>
    <s v="BLU-RAY"/>
    <n v="100192"/>
    <s v="AB100335"/>
    <x v="0"/>
    <n v="418635"/>
  </r>
  <r>
    <n v="10055"/>
    <n v="5"/>
    <d v="2012-12-29T00:00:00"/>
    <s v="DVD"/>
    <n v="100192"/>
    <s v="AB100336"/>
    <x v="15"/>
    <n v="418635"/>
  </r>
  <r>
    <n v="10210"/>
    <n v="3"/>
    <d v="2012-12-31T00:00:00"/>
    <s v="DVD"/>
    <n v="100193"/>
    <s v="AB100337"/>
    <x v="4"/>
    <n v="528475"/>
  </r>
  <r>
    <n v="10076"/>
    <n v="9"/>
    <d v="2012-12-31T00:00:00"/>
    <s v="DVD"/>
    <n v="100193"/>
    <s v="AB100338"/>
    <x v="4"/>
    <n v="528475"/>
  </r>
  <r>
    <n v="10217"/>
    <n v="7"/>
    <d v="2012-12-29T00:00:00"/>
    <s v="BLU-RAY"/>
    <n v="100194"/>
    <s v="AB100339"/>
    <x v="0"/>
    <n v="265707"/>
  </r>
  <r>
    <n v="10238"/>
    <n v="8"/>
    <d v="2012-12-29T00:00:00"/>
    <s v="DVD"/>
    <n v="100195"/>
    <s v="AB100340"/>
    <x v="0"/>
    <n v="690100"/>
  </r>
  <r>
    <n v="10066"/>
    <n v="5"/>
    <d v="2012-12-30T00:00:00"/>
    <s v="BLU-RAY"/>
    <n v="100195"/>
    <s v="AB100341"/>
    <x v="3"/>
    <n v="690100"/>
  </r>
  <r>
    <n v="10092"/>
    <n v="8"/>
    <d v="2012-12-29T00:00:00"/>
    <s v="BLU-RAY"/>
    <n v="100195"/>
    <s v="AB100342"/>
    <x v="0"/>
    <n v="690100"/>
  </r>
  <r>
    <n v="10045"/>
    <n v="8"/>
    <d v="2012-12-29T00:00:00"/>
    <s v="BLU-RAY"/>
    <n v="100195"/>
    <s v="AB100343"/>
    <x v="0"/>
    <n v="690100"/>
  </r>
  <r>
    <n v="10084"/>
    <n v="8"/>
    <d v="2012-12-30T00:00:00"/>
    <s v="DVD"/>
    <n v="100196"/>
    <s v="AB100344"/>
    <x v="18"/>
    <n v="739669"/>
  </r>
  <r>
    <n v="10211"/>
    <n v="8"/>
    <d v="2012-12-29T00:00:00"/>
    <s v="DVD"/>
    <n v="100196"/>
    <s v="AB100345"/>
    <x v="3"/>
    <n v="739669"/>
  </r>
  <r>
    <n v="10219"/>
    <n v="5"/>
    <d v="2012-12-29T00:00:00"/>
    <s v="DVD"/>
    <n v="100196"/>
    <s v="AB100346"/>
    <x v="1"/>
    <n v="739669"/>
  </r>
  <r>
    <n v="10049"/>
    <n v="2"/>
    <d v="2012-12-29T00:00:00"/>
    <s v="BLU-RAY"/>
    <n v="100196"/>
    <s v="AB100347"/>
    <x v="7"/>
    <n v="739669"/>
  </r>
  <r>
    <n v="10095"/>
    <n v="8"/>
    <d v="2012-12-29T00:00:00"/>
    <s v="BLU-RAY"/>
    <n v="100196"/>
    <s v="AB100348"/>
    <x v="2"/>
    <n v="739669"/>
  </r>
  <r>
    <n v="10225"/>
    <n v="9"/>
    <d v="2012-12-29T00:00:00"/>
    <s v="BLU-RAY"/>
    <n v="100197"/>
    <s v="AB100349"/>
    <x v="0"/>
    <n v="238347"/>
  </r>
  <r>
    <n v="10247"/>
    <n v="1"/>
    <d v="2012-12-29T00:00:00"/>
    <s v="BLU-RAY"/>
    <n v="100197"/>
    <s v="AB100350"/>
    <x v="9"/>
    <n v="238347"/>
  </r>
  <r>
    <n v="10151"/>
    <n v="9"/>
    <d v="2012-12-31T00:00:00"/>
    <s v="DVD"/>
    <n v="100198"/>
    <s v="AB100351"/>
    <x v="8"/>
    <n v="325263"/>
  </r>
  <r>
    <n v="10223"/>
    <n v="2"/>
    <d v="2012-12-30T00:00:00"/>
    <s v="DVD"/>
    <n v="100198"/>
    <s v="AB100352"/>
    <x v="7"/>
    <n v="325263"/>
  </r>
  <r>
    <n v="10102"/>
    <n v="1"/>
    <d v="2012-12-30T00:00:00"/>
    <s v="DVD"/>
    <n v="100198"/>
    <s v="AB100353"/>
    <x v="7"/>
    <n v="325263"/>
  </r>
  <r>
    <n v="10191"/>
    <n v="4"/>
    <d v="2012-12-30T00:00:00"/>
    <s v="DVD"/>
    <n v="100198"/>
    <s v="AB100354"/>
    <x v="7"/>
    <n v="325263"/>
  </r>
  <r>
    <n v="10184"/>
    <n v="1"/>
    <d v="2012-12-31T00:00:00"/>
    <s v="DVD"/>
    <n v="100199"/>
    <s v="AB100355"/>
    <x v="7"/>
    <n v="789500"/>
  </r>
  <r>
    <n v="10234"/>
    <n v="4"/>
    <d v="2013-01-01T00:00:00"/>
    <s v="DVD"/>
    <n v="100199"/>
    <s v="AB100356"/>
    <x v="0"/>
    <n v="789500"/>
  </r>
  <r>
    <n v="10129"/>
    <n v="3"/>
    <d v="2012-12-31T00:00:00"/>
    <s v="BLU-RAY"/>
    <n v="100200"/>
    <s v="AB100357"/>
    <x v="0"/>
    <n v="324435"/>
  </r>
  <r>
    <n v="10016"/>
    <n v="2"/>
    <d v="2012-12-31T00:00:00"/>
    <s v="BLU-RAY"/>
    <n v="100201"/>
    <s v="AB100358"/>
    <x v="7"/>
    <n v="743517"/>
  </r>
  <r>
    <n v="10077"/>
    <n v="10"/>
    <d v="2012-12-31T00:00:00"/>
    <s v="BLU-RAY"/>
    <n v="100201"/>
    <s v="AB100359"/>
    <x v="0"/>
    <n v="743517"/>
  </r>
  <r>
    <n v="10029"/>
    <n v="6"/>
    <d v="2012-12-31T00:00:00"/>
    <s v="DVD"/>
    <n v="100201"/>
    <s v="AB100360"/>
    <x v="12"/>
    <n v="743517"/>
  </r>
  <r>
    <n v="10091"/>
    <n v="2"/>
    <d v="2013-01-01T00:00:00"/>
    <s v="DVD"/>
    <n v="100202"/>
    <s v="AB100361"/>
    <x v="0"/>
    <n v="748326"/>
  </r>
  <r>
    <n v="10212"/>
    <n v="10"/>
    <d v="2013-01-01T00:00:00"/>
    <s v="DVD"/>
    <n v="100202"/>
    <s v="AB100362"/>
    <x v="10"/>
    <n v="748326"/>
  </r>
  <r>
    <n v="10233"/>
    <n v="1"/>
    <d v="2013-01-02T00:00:00"/>
    <s v="DVD"/>
    <n v="100203"/>
    <s v="AB100363"/>
    <x v="8"/>
    <n v="806545"/>
  </r>
  <r>
    <n v="10244"/>
    <n v="3"/>
    <d v="2013-01-02T00:00:00"/>
    <s v="DVD"/>
    <n v="100204"/>
    <s v="AB100364"/>
    <x v="4"/>
    <n v="413292"/>
  </r>
  <r>
    <n v="10037"/>
    <n v="3"/>
    <d v="2013-01-03T00:00:00"/>
    <s v="DVD"/>
    <n v="100205"/>
    <s v="AB100365"/>
    <x v="3"/>
    <n v="723819"/>
  </r>
  <r>
    <n v="10288"/>
    <n v="5"/>
    <d v="2013-01-03T00:00:00"/>
    <s v="DVD"/>
    <n v="100206"/>
    <s v="AB100366"/>
    <x v="12"/>
    <n v="789500"/>
  </r>
  <r>
    <n v="10233"/>
    <n v="8"/>
    <d v="2013-01-03T00:00:00"/>
    <s v="DVD"/>
    <n v="100207"/>
    <s v="AB100367"/>
    <x v="8"/>
    <n v="781968"/>
  </r>
  <r>
    <n v="10280"/>
    <n v="4"/>
    <d v="2013-01-03T00:00:00"/>
    <s v="DVD"/>
    <n v="100208"/>
    <s v="AB100368"/>
    <x v="7"/>
    <n v="938417"/>
  </r>
  <r>
    <n v="10119"/>
    <n v="2"/>
    <d v="2013-01-03T00:00:00"/>
    <s v="BLU-RAY"/>
    <n v="100208"/>
    <s v="AB100369"/>
    <x v="7"/>
    <n v="938417"/>
  </r>
  <r>
    <n v="10174"/>
    <n v="3"/>
    <d v="2013-01-04T00:00:00"/>
    <s v="DVD"/>
    <n v="100209"/>
    <s v="AB100370"/>
    <x v="7"/>
    <n v="872851"/>
  </r>
  <r>
    <n v="10116"/>
    <n v="4"/>
    <d v="2013-01-05T00:00:00"/>
    <s v="DVD"/>
    <n v="100210"/>
    <s v="AB100371"/>
    <x v="7"/>
    <n v="422951"/>
  </r>
  <r>
    <n v="10166"/>
    <n v="8"/>
    <d v="2013-01-04T00:00:00"/>
    <s v="BLU-RAY"/>
    <n v="100210"/>
    <s v="AB100372"/>
    <x v="9"/>
    <n v="422951"/>
  </r>
  <r>
    <n v="10097"/>
    <n v="2"/>
    <d v="2013-01-06T00:00:00"/>
    <s v="DVD"/>
    <n v="100211"/>
    <s v="AB100373"/>
    <x v="8"/>
    <n v="183797"/>
  </r>
  <r>
    <n v="10037"/>
    <n v="4"/>
    <d v="2013-01-05T00:00:00"/>
    <s v="BLU-RAY"/>
    <n v="100211"/>
    <s v="AB100374"/>
    <x v="3"/>
    <n v="183797"/>
  </r>
  <r>
    <n v="10123"/>
    <n v="5"/>
    <d v="2013-01-05T00:00:00"/>
    <s v="DVD"/>
    <n v="100211"/>
    <s v="AB100375"/>
    <x v="9"/>
    <n v="183797"/>
  </r>
  <r>
    <n v="10183"/>
    <n v="8"/>
    <d v="2013-01-05T00:00:00"/>
    <s v="DVD"/>
    <n v="100211"/>
    <s v="AB100376"/>
    <x v="4"/>
    <n v="183797"/>
  </r>
  <r>
    <n v="10211"/>
    <n v="2"/>
    <d v="2013-01-06T00:00:00"/>
    <s v="DVD"/>
    <n v="100212"/>
    <s v="AB100377"/>
    <x v="3"/>
    <n v="513968"/>
  </r>
  <r>
    <n v="10037"/>
    <n v="1"/>
    <d v="2013-01-05T00:00:00"/>
    <s v="BLU-RAY"/>
    <n v="100212"/>
    <s v="AB100378"/>
    <x v="3"/>
    <n v="513968"/>
  </r>
  <r>
    <n v="10277"/>
    <n v="2"/>
    <d v="2013-01-05T00:00:00"/>
    <s v="DVD"/>
    <n v="100212"/>
    <s v="AB100379"/>
    <x v="7"/>
    <n v="513968"/>
  </r>
  <r>
    <n v="10010"/>
    <n v="6"/>
    <d v="2013-01-06T00:00:00"/>
    <s v="DVD"/>
    <n v="100212"/>
    <s v="AB100380"/>
    <x v="3"/>
    <n v="513968"/>
  </r>
  <r>
    <n v="10252"/>
    <n v="1"/>
    <d v="2013-01-06T00:00:00"/>
    <s v="DVD"/>
    <n v="100213"/>
    <s v="AB100381"/>
    <x v="0"/>
    <n v="563468"/>
  </r>
  <r>
    <n v="10211"/>
    <n v="5"/>
    <d v="2013-01-06T00:00:00"/>
    <s v="DVD"/>
    <n v="100213"/>
    <s v="AB100382"/>
    <x v="3"/>
    <n v="563468"/>
  </r>
  <r>
    <n v="10079"/>
    <n v="8"/>
    <d v="2013-01-06T00:00:00"/>
    <s v="DVD"/>
    <n v="100214"/>
    <s v="AB100383"/>
    <x v="0"/>
    <n v="416523"/>
  </r>
  <r>
    <n v="10279"/>
    <n v="2"/>
    <d v="2013-01-07T00:00:00"/>
    <s v="BLU-RAY"/>
    <n v="100214"/>
    <s v="AB100384"/>
    <x v="8"/>
    <n v="416523"/>
  </r>
  <r>
    <n v="10284"/>
    <n v="4"/>
    <d v="2013-01-07T00:00:00"/>
    <s v="BLU-RAY"/>
    <n v="100215"/>
    <s v="AB100385"/>
    <x v="14"/>
    <n v="992956"/>
  </r>
  <r>
    <n v="10071"/>
    <n v="1"/>
    <d v="2013-01-08T00:00:00"/>
    <s v="DVD"/>
    <n v="100216"/>
    <s v="AB100386"/>
    <x v="1"/>
    <n v="404678"/>
  </r>
  <r>
    <n v="10063"/>
    <n v="4"/>
    <d v="2013-01-10T00:00:00"/>
    <s v="DVD"/>
    <n v="100217"/>
    <s v="AB100387"/>
    <x v="18"/>
    <n v="643305"/>
  </r>
  <r>
    <n v="10008"/>
    <n v="1"/>
    <d v="2013-01-09T00:00:00"/>
    <s v="DVD"/>
    <n v="100217"/>
    <s v="AB100388"/>
    <x v="4"/>
    <n v="643305"/>
  </r>
  <r>
    <n v="10196"/>
    <n v="4"/>
    <d v="2013-01-11T00:00:00"/>
    <s v="BLU-RAY"/>
    <n v="100218"/>
    <s v="AB100389"/>
    <x v="9"/>
    <n v="556152"/>
  </r>
  <r>
    <n v="10137"/>
    <n v="9"/>
    <d v="2013-01-12T00:00:00"/>
    <s v="DVD"/>
    <n v="100219"/>
    <s v="AB100390"/>
    <x v="3"/>
    <n v="132454"/>
  </r>
  <r>
    <n v="10224"/>
    <n v="10"/>
    <d v="2013-01-12T00:00:00"/>
    <s v="BLU-RAY"/>
    <n v="100219"/>
    <s v="AB100391"/>
    <x v="17"/>
    <n v="132454"/>
  </r>
  <r>
    <n v="10168"/>
    <n v="5"/>
    <d v="2013-01-13T00:00:00"/>
    <s v="DVD"/>
    <n v="100219"/>
    <s v="AB100392"/>
    <x v="1"/>
    <n v="132454"/>
  </r>
  <r>
    <n v="10138"/>
    <n v="1"/>
    <d v="2013-01-12T00:00:00"/>
    <s v="BLU-RAY"/>
    <n v="100220"/>
    <s v="AB100393"/>
    <x v="7"/>
    <n v="765237"/>
  </r>
  <r>
    <n v="10117"/>
    <n v="3"/>
    <d v="2013-01-12T00:00:00"/>
    <s v="DVD"/>
    <n v="100220"/>
    <s v="AB100394"/>
    <x v="4"/>
    <n v="765237"/>
  </r>
  <r>
    <n v="10065"/>
    <n v="6"/>
    <d v="2013-01-13T00:00:00"/>
    <s v="DVD"/>
    <n v="100220"/>
    <s v="AB100395"/>
    <x v="0"/>
    <n v="765237"/>
  </r>
  <r>
    <n v="10031"/>
    <n v="5"/>
    <d v="2013-01-14T00:00:00"/>
    <s v="DVD"/>
    <n v="100221"/>
    <s v="AB100396"/>
    <x v="0"/>
    <n v="491380"/>
  </r>
  <r>
    <n v="10176"/>
    <n v="5"/>
    <d v="2013-01-13T00:00:00"/>
    <s v="BLU-RAY"/>
    <n v="100222"/>
    <s v="AB100397"/>
    <x v="7"/>
    <n v="157388"/>
  </r>
  <r>
    <n v="10151"/>
    <n v="10"/>
    <d v="2013-01-13T00:00:00"/>
    <s v="DVD"/>
    <n v="100223"/>
    <s v="AB100398"/>
    <x v="8"/>
    <n v="256181"/>
  </r>
  <r>
    <n v="10209"/>
    <n v="3"/>
    <d v="2013-01-13T00:00:00"/>
    <s v="DVD"/>
    <n v="100223"/>
    <s v="AB100399"/>
    <x v="7"/>
    <n v="256181"/>
  </r>
  <r>
    <n v="10004"/>
    <n v="7"/>
    <d v="2013-01-13T00:00:00"/>
    <s v="BLU-RAY"/>
    <n v="100223"/>
    <s v="AB100400"/>
    <x v="1"/>
    <n v="256181"/>
  </r>
  <r>
    <n v="10106"/>
    <n v="3"/>
    <d v="2013-01-14T00:00:00"/>
    <s v="BLU-RAY"/>
    <n v="100224"/>
    <s v="AB100401"/>
    <x v="9"/>
    <n v="500733"/>
  </r>
  <r>
    <n v="10214"/>
    <n v="7"/>
    <d v="2013-01-14T00:00:00"/>
    <s v="BLU-RAY"/>
    <n v="100224"/>
    <s v="AB100402"/>
    <x v="13"/>
    <n v="500733"/>
  </r>
  <r>
    <n v="10064"/>
    <n v="5"/>
    <d v="2013-01-14T00:00:00"/>
    <s v="DVD"/>
    <n v="100225"/>
    <s v="AB100403"/>
    <x v="7"/>
    <n v="795957"/>
  </r>
  <r>
    <n v="10181"/>
    <n v="10"/>
    <d v="2013-01-14T00:00:00"/>
    <s v="BLU-RAY"/>
    <n v="100225"/>
    <s v="AB100404"/>
    <x v="9"/>
    <n v="795957"/>
  </r>
  <r>
    <n v="10156"/>
    <n v="8"/>
    <d v="2013-01-16T00:00:00"/>
    <s v="DVD"/>
    <n v="100226"/>
    <s v="AB100405"/>
    <x v="3"/>
    <n v="109251"/>
  </r>
  <r>
    <n v="10294"/>
    <n v="9"/>
    <d v="2013-01-14T00:00:00"/>
    <s v="BLU-RAY"/>
    <n v="100226"/>
    <s v="AB100406"/>
    <x v="2"/>
    <n v="109251"/>
  </r>
  <r>
    <n v="10032"/>
    <n v="1"/>
    <d v="2013-01-15T00:00:00"/>
    <s v="BLU-RAY"/>
    <n v="100227"/>
    <s v="AB100407"/>
    <x v="4"/>
    <n v="308662"/>
  </r>
  <r>
    <n v="10202"/>
    <n v="8"/>
    <d v="2013-01-15T00:00:00"/>
    <s v="DVD"/>
    <n v="100228"/>
    <s v="AB100408"/>
    <x v="0"/>
    <n v="357579"/>
  </r>
  <r>
    <n v="10270"/>
    <n v="10"/>
    <d v="2013-01-15T00:00:00"/>
    <s v="DVD"/>
    <n v="100228"/>
    <s v="AB100409"/>
    <x v="9"/>
    <n v="357579"/>
  </r>
  <r>
    <n v="10264"/>
    <n v="6"/>
    <d v="2013-01-16T00:00:00"/>
    <s v="DVD"/>
    <n v="100228"/>
    <s v="AB100410"/>
    <x v="2"/>
    <n v="357579"/>
  </r>
  <r>
    <n v="10069"/>
    <n v="3"/>
    <d v="2013-01-16T00:00:00"/>
    <s v="DVD"/>
    <n v="100229"/>
    <s v="AB100411"/>
    <x v="0"/>
    <n v="332324"/>
  </r>
  <r>
    <n v="10226"/>
    <n v="5"/>
    <d v="2013-01-18T00:00:00"/>
    <s v="DVD"/>
    <n v="100230"/>
    <s v="AB100412"/>
    <x v="4"/>
    <n v="310195"/>
  </r>
  <r>
    <n v="10124"/>
    <n v="3"/>
    <d v="2013-01-16T00:00:00"/>
    <s v="BLU-RAY"/>
    <n v="100230"/>
    <s v="AB100413"/>
    <x v="1"/>
    <n v="310195"/>
  </r>
  <r>
    <n v="10012"/>
    <n v="6"/>
    <d v="2013-01-16T00:00:00"/>
    <s v="DVD"/>
    <n v="100231"/>
    <s v="AB100414"/>
    <x v="3"/>
    <n v="109251"/>
  </r>
  <r>
    <n v="10158"/>
    <n v="10"/>
    <d v="2013-01-16T00:00:00"/>
    <s v="DVD"/>
    <n v="100232"/>
    <s v="AB100415"/>
    <x v="0"/>
    <n v="363931"/>
  </r>
  <r>
    <n v="10059"/>
    <n v="1"/>
    <d v="2013-01-16T00:00:00"/>
    <s v="BLU-RAY"/>
    <n v="100233"/>
    <s v="AB100416"/>
    <x v="7"/>
    <n v="693531"/>
  </r>
  <r>
    <n v="10249"/>
    <n v="6"/>
    <d v="2013-01-17T00:00:00"/>
    <s v="DVD"/>
    <n v="100234"/>
    <s v="AB100417"/>
    <x v="5"/>
    <n v="995599"/>
  </r>
  <r>
    <n v="10193"/>
    <n v="2"/>
    <d v="2013-01-17T00:00:00"/>
    <s v="BLU-RAY"/>
    <n v="100235"/>
    <s v="AB100418"/>
    <x v="9"/>
    <n v="149240"/>
  </r>
  <r>
    <n v="10160"/>
    <n v="10"/>
    <d v="2013-01-17T00:00:00"/>
    <s v="BLU-RAY"/>
    <n v="100235"/>
    <s v="AB100419"/>
    <x v="10"/>
    <n v="149240"/>
  </r>
  <r>
    <n v="10284"/>
    <n v="4"/>
    <d v="2013-01-19T00:00:00"/>
    <s v="BLU-RAY"/>
    <n v="100236"/>
    <s v="AB100420"/>
    <x v="14"/>
    <n v="707458"/>
  </r>
  <r>
    <n v="10135"/>
    <n v="10"/>
    <d v="2013-01-18T00:00:00"/>
    <s v="BLU-RAY"/>
    <n v="100236"/>
    <s v="AB100421"/>
    <x v="7"/>
    <n v="707458"/>
  </r>
  <r>
    <n v="10192"/>
    <n v="8"/>
    <d v="2013-01-18T00:00:00"/>
    <s v="DVD"/>
    <n v="100237"/>
    <s v="AB100422"/>
    <x v="7"/>
    <n v="207846"/>
  </r>
  <r>
    <n v="10266"/>
    <n v="9"/>
    <d v="2013-01-19T00:00:00"/>
    <s v="DVD"/>
    <n v="100238"/>
    <s v="AB100423"/>
    <x v="4"/>
    <n v="671363"/>
  </r>
  <r>
    <n v="10167"/>
    <n v="10"/>
    <d v="2013-01-21T00:00:00"/>
    <s v="BLU-RAY"/>
    <n v="100239"/>
    <s v="AB100424"/>
    <x v="7"/>
    <n v="513968"/>
  </r>
  <r>
    <n v="10151"/>
    <n v="4"/>
    <d v="2013-01-21T00:00:00"/>
    <s v="DVD"/>
    <n v="100239"/>
    <s v="AB100425"/>
    <x v="8"/>
    <n v="513968"/>
  </r>
  <r>
    <n v="10164"/>
    <n v="1"/>
    <d v="2013-01-20T00:00:00"/>
    <s v="BLU-RAY"/>
    <n v="100240"/>
    <s v="AB100426"/>
    <x v="2"/>
    <n v="649551"/>
  </r>
  <r>
    <n v="10062"/>
    <n v="1"/>
    <d v="2013-01-20T00:00:00"/>
    <s v="BLU-RAY"/>
    <n v="100240"/>
    <s v="AB100427"/>
    <x v="16"/>
    <n v="649551"/>
  </r>
  <r>
    <n v="10083"/>
    <n v="9"/>
    <d v="2013-01-20T00:00:00"/>
    <s v="BLU-RAY"/>
    <n v="100240"/>
    <s v="AB100428"/>
    <x v="3"/>
    <n v="649551"/>
  </r>
  <r>
    <n v="10131"/>
    <n v="5"/>
    <d v="2013-01-21T00:00:00"/>
    <s v="DVD"/>
    <n v="100241"/>
    <s v="AB100429"/>
    <x v="0"/>
    <n v="737707"/>
  </r>
  <r>
    <n v="10176"/>
    <n v="6"/>
    <d v="2013-01-22T00:00:00"/>
    <s v="BLU-RAY"/>
    <n v="100242"/>
    <s v="AB100430"/>
    <x v="7"/>
    <n v="422717"/>
  </r>
  <r>
    <n v="10071"/>
    <n v="4"/>
    <d v="2013-01-23T00:00:00"/>
    <s v="DVD"/>
    <n v="100243"/>
    <s v="AB100431"/>
    <x v="1"/>
    <n v="841831"/>
  </r>
  <r>
    <n v="10221"/>
    <n v="1"/>
    <d v="2013-01-21T00:00:00"/>
    <s v="DVD"/>
    <n v="100244"/>
    <s v="AB100432"/>
    <x v="9"/>
    <n v="447368"/>
  </r>
  <r>
    <n v="10147"/>
    <n v="6"/>
    <d v="2013-01-21T00:00:00"/>
    <s v="DVD"/>
    <n v="100245"/>
    <s v="AB100433"/>
    <x v="10"/>
    <n v="256181"/>
  </r>
  <r>
    <n v="10139"/>
    <n v="5"/>
    <d v="2013-01-23T00:00:00"/>
    <s v="BLU-RAY"/>
    <n v="100246"/>
    <s v="AB100434"/>
    <x v="14"/>
    <n v="488803"/>
  </r>
  <r>
    <n v="10020"/>
    <n v="4"/>
    <d v="2013-01-24T00:00:00"/>
    <s v="DVD"/>
    <n v="100246"/>
    <s v="AB100435"/>
    <x v="16"/>
    <n v="488803"/>
  </r>
  <r>
    <n v="10064"/>
    <n v="7"/>
    <d v="2013-01-24T00:00:00"/>
    <s v="DVD"/>
    <n v="100247"/>
    <s v="AB100436"/>
    <x v="7"/>
    <n v="289693"/>
  </r>
  <r>
    <n v="10095"/>
    <n v="9"/>
    <d v="2013-01-23T00:00:00"/>
    <s v="BLU-RAY"/>
    <n v="100247"/>
    <s v="AB100437"/>
    <x v="2"/>
    <n v="289693"/>
  </r>
  <r>
    <n v="10007"/>
    <n v="9"/>
    <d v="2013-01-24T00:00:00"/>
    <s v="DVD"/>
    <n v="100248"/>
    <s v="AB100438"/>
    <x v="4"/>
    <n v="776775"/>
  </r>
  <r>
    <n v="10193"/>
    <n v="6"/>
    <d v="2013-01-24T00:00:00"/>
    <s v="BLU-RAY"/>
    <n v="100249"/>
    <s v="AB100439"/>
    <x v="9"/>
    <n v="147543"/>
  </r>
  <r>
    <n v="10150"/>
    <n v="6"/>
    <d v="2013-01-24T00:00:00"/>
    <s v="DVD"/>
    <n v="100250"/>
    <s v="AB100440"/>
    <x v="14"/>
    <n v="757780"/>
  </r>
  <r>
    <n v="10074"/>
    <n v="3"/>
    <d v="2013-01-24T00:00:00"/>
    <s v="DVD"/>
    <n v="100250"/>
    <s v="AB100441"/>
    <x v="11"/>
    <n v="757780"/>
  </r>
  <r>
    <n v="10066"/>
    <n v="9"/>
    <d v="2013-01-24T00:00:00"/>
    <s v="BLU-RAY"/>
    <n v="100250"/>
    <s v="AB100442"/>
    <x v="3"/>
    <n v="757780"/>
  </r>
  <r>
    <n v="10162"/>
    <n v="5"/>
    <d v="2013-01-24T00:00:00"/>
    <s v="BLU-RAY"/>
    <n v="100250"/>
    <s v="AB100443"/>
    <x v="4"/>
    <n v="757780"/>
  </r>
  <r>
    <n v="10021"/>
    <n v="9"/>
    <d v="2013-01-25T00:00:00"/>
    <s v="BLU-RAY"/>
    <n v="100251"/>
    <s v="AB100444"/>
    <x v="1"/>
    <n v="465275"/>
  </r>
  <r>
    <n v="10106"/>
    <n v="6"/>
    <d v="2013-01-26T00:00:00"/>
    <s v="BLU-RAY"/>
    <n v="100252"/>
    <s v="AB100445"/>
    <x v="9"/>
    <n v="665313"/>
  </r>
  <r>
    <n v="10246"/>
    <n v="5"/>
    <d v="2013-01-25T00:00:00"/>
    <s v="DVD"/>
    <n v="100253"/>
    <s v="AB100446"/>
    <x v="2"/>
    <n v="286196"/>
  </r>
  <r>
    <n v="10272"/>
    <n v="1"/>
    <d v="2013-01-25T00:00:00"/>
    <s v="BLU-RAY"/>
    <n v="100253"/>
    <s v="AB100447"/>
    <x v="4"/>
    <n v="286196"/>
  </r>
  <r>
    <n v="10283"/>
    <n v="5"/>
    <d v="2013-01-25T00:00:00"/>
    <s v="DVD"/>
    <n v="100254"/>
    <s v="AB100448"/>
    <x v="6"/>
    <n v="795957"/>
  </r>
  <r>
    <n v="10214"/>
    <n v="10"/>
    <d v="2013-01-26T00:00:00"/>
    <s v="DVD"/>
    <n v="100254"/>
    <s v="AB100449"/>
    <x v="13"/>
    <n v="795957"/>
  </r>
  <r>
    <n v="10287"/>
    <n v="3"/>
    <d v="2013-01-25T00:00:00"/>
    <s v="DVD"/>
    <n v="100254"/>
    <s v="AB100450"/>
    <x v="10"/>
    <n v="795957"/>
  </r>
  <r>
    <n v="10158"/>
    <n v="8"/>
    <d v="2013-01-25T00:00:00"/>
    <s v="DVD"/>
    <n v="100255"/>
    <s v="AB100451"/>
    <x v="0"/>
    <n v="304344"/>
  </r>
  <r>
    <n v="10281"/>
    <n v="7"/>
    <d v="2013-01-26T00:00:00"/>
    <s v="DVD"/>
    <n v="100256"/>
    <s v="AB100452"/>
    <x v="10"/>
    <n v="416523"/>
  </r>
  <r>
    <n v="10250"/>
    <n v="8"/>
    <d v="2013-01-26T00:00:00"/>
    <s v="DVD"/>
    <n v="100256"/>
    <s v="AB100453"/>
    <x v="3"/>
    <n v="416523"/>
  </r>
  <r>
    <n v="10023"/>
    <n v="3"/>
    <d v="2013-01-25T00:00:00"/>
    <s v="DVD"/>
    <n v="100256"/>
    <s v="AB100454"/>
    <x v="3"/>
    <n v="416523"/>
  </r>
  <r>
    <n v="10026"/>
    <n v="7"/>
    <d v="2013-01-27T00:00:00"/>
    <s v="DVD"/>
    <n v="100257"/>
    <s v="AB100455"/>
    <x v="9"/>
    <n v="929344"/>
  </r>
  <r>
    <n v="10036"/>
    <n v="7"/>
    <d v="2013-01-27T00:00:00"/>
    <s v="DVD"/>
    <n v="100257"/>
    <s v="AB100456"/>
    <x v="7"/>
    <n v="929344"/>
  </r>
  <r>
    <n v="10075"/>
    <n v="1"/>
    <d v="2013-01-28T00:00:00"/>
    <s v="DVD"/>
    <n v="100258"/>
    <s v="AB100457"/>
    <x v="17"/>
    <n v="154427"/>
  </r>
  <r>
    <n v="10225"/>
    <n v="6"/>
    <d v="2013-01-27T00:00:00"/>
    <s v="DVD"/>
    <n v="100258"/>
    <s v="AB100458"/>
    <x v="0"/>
    <n v="154427"/>
  </r>
  <r>
    <n v="10220"/>
    <n v="6"/>
    <d v="2013-01-27T00:00:00"/>
    <s v="DVD"/>
    <n v="100258"/>
    <s v="AB100459"/>
    <x v="9"/>
    <n v="154427"/>
  </r>
  <r>
    <n v="10269"/>
    <n v="3"/>
    <d v="2013-01-27T00:00:00"/>
    <s v="DVD"/>
    <n v="100258"/>
    <s v="AB100460"/>
    <x v="3"/>
    <n v="154427"/>
  </r>
  <r>
    <n v="10106"/>
    <n v="8"/>
    <d v="2013-01-27T00:00:00"/>
    <s v="BLU-RAY"/>
    <n v="100259"/>
    <s v="AB100461"/>
    <x v="9"/>
    <n v="121639"/>
  </r>
  <r>
    <n v="10012"/>
    <n v="6"/>
    <d v="2013-01-27T00:00:00"/>
    <s v="DVD"/>
    <n v="100260"/>
    <s v="AB100462"/>
    <x v="3"/>
    <n v="657736"/>
  </r>
  <r>
    <n v="10093"/>
    <n v="7"/>
    <d v="2013-01-27T00:00:00"/>
    <s v="DVD"/>
    <n v="100260"/>
    <s v="AB100463"/>
    <x v="11"/>
    <n v="657736"/>
  </r>
  <r>
    <n v="10096"/>
    <n v="6"/>
    <d v="2013-01-29T00:00:00"/>
    <s v="BLU-RAY"/>
    <n v="100261"/>
    <s v="AB100464"/>
    <x v="7"/>
    <n v="331115"/>
  </r>
  <r>
    <n v="10105"/>
    <n v="3"/>
    <d v="2013-01-30T00:00:00"/>
    <s v="BLU-RAY"/>
    <n v="100261"/>
    <s v="AB100465"/>
    <x v="2"/>
    <n v="331115"/>
  </r>
  <r>
    <n v="10233"/>
    <n v="5"/>
    <d v="2013-01-30T00:00:00"/>
    <s v="DVD"/>
    <n v="100261"/>
    <s v="AB100466"/>
    <x v="8"/>
    <n v="331115"/>
  </r>
  <r>
    <n v="10248"/>
    <n v="8"/>
    <d v="2013-01-29T00:00:00"/>
    <s v="DVD"/>
    <n v="100261"/>
    <s v="AB100467"/>
    <x v="12"/>
    <n v="331115"/>
  </r>
  <r>
    <n v="10113"/>
    <n v="5"/>
    <d v="2013-01-28T00:00:00"/>
    <s v="DVD"/>
    <n v="100262"/>
    <s v="AB100468"/>
    <x v="10"/>
    <n v="992956"/>
  </r>
  <r>
    <n v="10216"/>
    <n v="3"/>
    <d v="2013-01-28T00:00:00"/>
    <s v="DVD"/>
    <n v="100262"/>
    <s v="AB100469"/>
    <x v="4"/>
    <n v="992956"/>
  </r>
  <r>
    <n v="10138"/>
    <n v="9"/>
    <d v="2013-01-28T00:00:00"/>
    <s v="DVD"/>
    <n v="100263"/>
    <s v="AB100470"/>
    <x v="7"/>
    <n v="269687"/>
  </r>
  <r>
    <n v="10170"/>
    <n v="5"/>
    <d v="2013-01-28T00:00:00"/>
    <s v="DVD"/>
    <n v="100263"/>
    <s v="AB100471"/>
    <x v="15"/>
    <n v="269687"/>
  </r>
  <r>
    <n v="10038"/>
    <n v="2"/>
    <d v="2013-01-28T00:00:00"/>
    <s v="BLU-RAY"/>
    <n v="100264"/>
    <s v="AB100472"/>
    <x v="1"/>
    <n v="111991"/>
  </r>
  <r>
    <n v="10164"/>
    <n v="7"/>
    <d v="2013-01-28T00:00:00"/>
    <s v="DVD"/>
    <n v="100264"/>
    <s v="AB100473"/>
    <x v="2"/>
    <n v="111991"/>
  </r>
  <r>
    <n v="10220"/>
    <n v="2"/>
    <d v="2013-01-28T00:00:00"/>
    <s v="BLU-RAY"/>
    <n v="100264"/>
    <s v="AB100474"/>
    <x v="9"/>
    <n v="111991"/>
  </r>
  <r>
    <n v="10064"/>
    <n v="7"/>
    <d v="2013-01-29T00:00:00"/>
    <s v="DVD"/>
    <n v="100265"/>
    <s v="AB100475"/>
    <x v="7"/>
    <n v="938006"/>
  </r>
  <r>
    <n v="10001"/>
    <n v="3"/>
    <d v="2013-01-31T00:00:00"/>
    <s v="DVD"/>
    <n v="100266"/>
    <s v="AB100476"/>
    <x v="14"/>
    <n v="413292"/>
  </r>
  <r>
    <n v="10165"/>
    <n v="5"/>
    <d v="2013-01-31T00:00:00"/>
    <s v="BLU-RAY"/>
    <n v="100267"/>
    <s v="AB100477"/>
    <x v="2"/>
    <n v="227456"/>
  </r>
  <r>
    <n v="10294"/>
    <n v="8"/>
    <d v="2013-01-30T00:00:00"/>
    <s v="BLU-RAY"/>
    <n v="100267"/>
    <s v="AB100478"/>
    <x v="2"/>
    <n v="227456"/>
  </r>
  <r>
    <n v="10110"/>
    <n v="4"/>
    <d v="2013-02-02T00:00:00"/>
    <s v="DVD"/>
    <n v="100267"/>
    <s v="AB100479"/>
    <x v="0"/>
    <n v="227456"/>
  </r>
  <r>
    <n v="10093"/>
    <n v="3"/>
    <d v="2013-01-31T00:00:00"/>
    <s v="BLU-RAY"/>
    <n v="100268"/>
    <s v="AB100480"/>
    <x v="11"/>
    <n v="245577"/>
  </r>
  <r>
    <n v="10270"/>
    <n v="6"/>
    <d v="2013-01-31T00:00:00"/>
    <s v="BLU-RAY"/>
    <n v="100269"/>
    <s v="AB100481"/>
    <x v="9"/>
    <n v="247216"/>
  </r>
  <r>
    <n v="10298"/>
    <n v="8"/>
    <d v="2013-01-31T00:00:00"/>
    <s v="DVD"/>
    <n v="100269"/>
    <s v="AB100482"/>
    <x v="19"/>
    <n v="247216"/>
  </r>
  <r>
    <n v="10215"/>
    <n v="4"/>
    <d v="2013-01-31T00:00:00"/>
    <s v="BLU-RAY"/>
    <n v="100270"/>
    <s v="AB100483"/>
    <x v="1"/>
    <n v="671363"/>
  </r>
  <r>
    <n v="10124"/>
    <n v="7"/>
    <d v="2013-01-31T00:00:00"/>
    <s v="DVD"/>
    <n v="100270"/>
    <s v="AB100484"/>
    <x v="1"/>
    <n v="671363"/>
  </r>
  <r>
    <n v="10097"/>
    <n v="6"/>
    <d v="2013-02-01T00:00:00"/>
    <s v="BLU-RAY"/>
    <n v="100271"/>
    <s v="AB100485"/>
    <x v="8"/>
    <n v="166735"/>
  </r>
  <r>
    <n v="10053"/>
    <n v="3"/>
    <d v="2013-02-01T00:00:00"/>
    <s v="BLU-RAY"/>
    <n v="100271"/>
    <s v="AB100486"/>
    <x v="4"/>
    <n v="166735"/>
  </r>
  <r>
    <n v="10241"/>
    <n v="7"/>
    <d v="2013-02-01T00:00:00"/>
    <s v="BLU-RAY"/>
    <n v="100272"/>
    <s v="AB100487"/>
    <x v="0"/>
    <n v="324435"/>
  </r>
  <r>
    <n v="10181"/>
    <n v="6"/>
    <d v="2013-02-02T00:00:00"/>
    <s v="DVD"/>
    <n v="100272"/>
    <s v="AB100488"/>
    <x v="9"/>
    <n v="324435"/>
  </r>
  <r>
    <n v="10226"/>
    <n v="10"/>
    <d v="2013-02-02T00:00:00"/>
    <s v="DVD"/>
    <n v="100273"/>
    <s v="AB100489"/>
    <x v="4"/>
    <n v="378374"/>
  </r>
  <r>
    <n v="10252"/>
    <n v="8"/>
    <d v="2013-02-01T00:00:00"/>
    <s v="DVD"/>
    <n v="100274"/>
    <s v="AB100490"/>
    <x v="0"/>
    <n v="454015"/>
  </r>
  <r>
    <n v="10260"/>
    <n v="2"/>
    <d v="2013-02-01T00:00:00"/>
    <s v="BLU-RAY"/>
    <n v="100274"/>
    <s v="AB100491"/>
    <x v="4"/>
    <n v="454015"/>
  </r>
  <r>
    <n v="10030"/>
    <n v="8"/>
    <d v="2013-02-02T00:00:00"/>
    <s v="DVD"/>
    <n v="100275"/>
    <s v="AB100492"/>
    <x v="0"/>
    <n v="767570"/>
  </r>
  <r>
    <n v="10086"/>
    <n v="3"/>
    <d v="2013-02-03T00:00:00"/>
    <s v="DVD"/>
    <n v="100275"/>
    <s v="AB100493"/>
    <x v="3"/>
    <n v="767570"/>
  </r>
  <r>
    <n v="10186"/>
    <n v="1"/>
    <d v="2013-02-02T00:00:00"/>
    <s v="BLU-RAY"/>
    <n v="100276"/>
    <s v="AB100494"/>
    <x v="10"/>
    <n v="278809"/>
  </r>
  <r>
    <n v="10017"/>
    <n v="4"/>
    <d v="2013-02-03T00:00:00"/>
    <s v="BLU-RAY"/>
    <n v="100277"/>
    <s v="AB100495"/>
    <x v="4"/>
    <n v="245577"/>
  </r>
  <r>
    <n v="10099"/>
    <n v="4"/>
    <d v="2013-02-04T00:00:00"/>
    <s v="DVD"/>
    <n v="100277"/>
    <s v="AB100496"/>
    <x v="10"/>
    <n v="245577"/>
  </r>
  <r>
    <n v="10029"/>
    <n v="1"/>
    <d v="2013-02-03T00:00:00"/>
    <s v="DVD"/>
    <n v="100277"/>
    <s v="AB100497"/>
    <x v="12"/>
    <n v="245577"/>
  </r>
  <r>
    <n v="10180"/>
    <n v="4"/>
    <d v="2013-02-03T00:00:00"/>
    <s v="BLU-RAY"/>
    <n v="100278"/>
    <s v="AB100498"/>
    <x v="12"/>
    <n v="158310"/>
  </r>
  <r>
    <n v="10095"/>
    <n v="7"/>
    <d v="2013-02-04T00:00:00"/>
    <s v="BLU-RAY"/>
    <n v="100278"/>
    <s v="AB100499"/>
    <x v="2"/>
    <n v="158310"/>
  </r>
  <r>
    <n v="10147"/>
    <n v="4"/>
    <d v="2013-02-04T00:00:00"/>
    <s v="DVD"/>
    <n v="100278"/>
    <s v="AB100500"/>
    <x v="10"/>
    <n v="158310"/>
  </r>
  <r>
    <n v="10036"/>
    <n v="7"/>
    <d v="2013-02-03T00:00:00"/>
    <s v="DVD"/>
    <n v="100279"/>
    <s v="AB100501"/>
    <x v="7"/>
    <n v="358901"/>
  </r>
  <r>
    <n v="10145"/>
    <n v="2"/>
    <d v="2013-02-05T00:00:00"/>
    <s v="DVD"/>
    <n v="100279"/>
    <s v="AB100502"/>
    <x v="6"/>
    <n v="358901"/>
  </r>
  <r>
    <n v="10180"/>
    <n v="6"/>
    <d v="2013-02-04T00:00:00"/>
    <s v="DVD"/>
    <n v="100279"/>
    <s v="AB100503"/>
    <x v="12"/>
    <n v="358901"/>
  </r>
  <r>
    <n v="10157"/>
    <n v="7"/>
    <d v="2013-02-03T00:00:00"/>
    <s v="DVD"/>
    <n v="100280"/>
    <s v="AB100504"/>
    <x v="1"/>
    <n v="841831"/>
  </r>
  <r>
    <n v="10113"/>
    <n v="10"/>
    <d v="2013-02-04T00:00:00"/>
    <s v="DVD"/>
    <n v="100280"/>
    <s v="AB100505"/>
    <x v="10"/>
    <n v="841831"/>
  </r>
  <r>
    <n v="10170"/>
    <n v="7"/>
    <d v="2013-02-03T00:00:00"/>
    <s v="BLU-RAY"/>
    <n v="100281"/>
    <s v="AB100506"/>
    <x v="15"/>
    <n v="656512"/>
  </r>
  <r>
    <n v="10224"/>
    <n v="2"/>
    <d v="2013-02-06T00:00:00"/>
    <s v="DVD"/>
    <n v="100282"/>
    <s v="AB100507"/>
    <x v="17"/>
    <n v="537860"/>
  </r>
  <r>
    <n v="10123"/>
    <n v="2"/>
    <d v="2013-02-03T00:00:00"/>
    <s v="DVD"/>
    <n v="100282"/>
    <s v="AB100508"/>
    <x v="9"/>
    <n v="537860"/>
  </r>
  <r>
    <n v="10000"/>
    <n v="3"/>
    <d v="2013-02-03T00:00:00"/>
    <s v="DVD"/>
    <n v="100283"/>
    <s v="AB100509"/>
    <x v="6"/>
    <n v="739440"/>
  </r>
  <r>
    <n v="10285"/>
    <n v="2"/>
    <d v="2013-02-04T00:00:00"/>
    <s v="BLU-RAY"/>
    <n v="100284"/>
    <s v="AB100510"/>
    <x v="20"/>
    <n v="656728"/>
  </r>
  <r>
    <n v="10016"/>
    <n v="5"/>
    <d v="2013-02-04T00:00:00"/>
    <s v="DVD"/>
    <n v="100285"/>
    <s v="AB100511"/>
    <x v="7"/>
    <n v="370870"/>
  </r>
  <r>
    <n v="10008"/>
    <n v="1"/>
    <d v="2013-02-04T00:00:00"/>
    <s v="DVD"/>
    <n v="100285"/>
    <s v="AB100512"/>
    <x v="4"/>
    <n v="370870"/>
  </r>
  <r>
    <n v="10161"/>
    <n v="8"/>
    <d v="2013-02-05T00:00:00"/>
    <s v="DVD"/>
    <n v="100286"/>
    <s v="AB100513"/>
    <x v="6"/>
    <n v="566192"/>
  </r>
  <r>
    <n v="10041"/>
    <n v="1"/>
    <d v="2013-02-05T00:00:00"/>
    <s v="BLU-RAY"/>
    <n v="100287"/>
    <s v="AB100514"/>
    <x v="10"/>
    <n v="405322"/>
  </r>
  <r>
    <n v="10207"/>
    <n v="2"/>
    <d v="2013-02-05T00:00:00"/>
    <s v="BLU-RAY"/>
    <n v="100288"/>
    <s v="AB100515"/>
    <x v="1"/>
    <n v="791559"/>
  </r>
  <r>
    <n v="10281"/>
    <n v="1"/>
    <d v="2013-02-06T00:00:00"/>
    <s v="BLU-RAY"/>
    <n v="100289"/>
    <s v="AB100516"/>
    <x v="10"/>
    <n v="292402"/>
  </r>
  <r>
    <n v="10025"/>
    <n v="7"/>
    <d v="2013-02-07T00:00:00"/>
    <s v="BLU-RAY"/>
    <n v="100289"/>
    <s v="AB100517"/>
    <x v="4"/>
    <n v="292402"/>
  </r>
  <r>
    <n v="10258"/>
    <n v="9"/>
    <d v="2013-02-07T00:00:00"/>
    <s v="BLU-RAY"/>
    <n v="100289"/>
    <s v="AB100518"/>
    <x v="0"/>
    <n v="292402"/>
  </r>
  <r>
    <n v="10229"/>
    <n v="2"/>
    <d v="2013-02-07T00:00:00"/>
    <s v="BLU-RAY"/>
    <n v="100289"/>
    <s v="AB100519"/>
    <x v="6"/>
    <n v="292402"/>
  </r>
  <r>
    <n v="10088"/>
    <n v="9"/>
    <d v="2013-02-05T00:00:00"/>
    <s v="BLU-RAY"/>
    <n v="100290"/>
    <s v="AB100520"/>
    <x v="0"/>
    <n v="154427"/>
  </r>
  <r>
    <n v="10100"/>
    <n v="3"/>
    <d v="2013-02-06T00:00:00"/>
    <s v="BLU-RAY"/>
    <n v="100291"/>
    <s v="AB100521"/>
    <x v="9"/>
    <n v="757780"/>
  </r>
  <r>
    <n v="10156"/>
    <n v="10"/>
    <d v="2013-02-05T00:00:00"/>
    <s v="DVD"/>
    <n v="100291"/>
    <s v="AB100522"/>
    <x v="3"/>
    <n v="757780"/>
  </r>
  <r>
    <n v="10090"/>
    <n v="5"/>
    <d v="2013-02-05T00:00:00"/>
    <s v="DVD"/>
    <n v="100292"/>
    <s v="AB100523"/>
    <x v="1"/>
    <n v="386950"/>
  </r>
  <r>
    <n v="10252"/>
    <n v="3"/>
    <d v="2013-02-06T00:00:00"/>
    <s v="DVD"/>
    <n v="100293"/>
    <s v="AB100524"/>
    <x v="0"/>
    <n v="534481"/>
  </r>
  <r>
    <n v="10090"/>
    <n v="6"/>
    <d v="2013-02-06T00:00:00"/>
    <s v="BLU-RAY"/>
    <n v="100293"/>
    <s v="AB100525"/>
    <x v="1"/>
    <n v="534481"/>
  </r>
  <r>
    <n v="10042"/>
    <n v="6"/>
    <d v="2013-02-06T00:00:00"/>
    <s v="DVD"/>
    <n v="100294"/>
    <s v="AB100526"/>
    <x v="1"/>
    <n v="707458"/>
  </r>
  <r>
    <n v="10082"/>
    <n v="7"/>
    <d v="2013-02-06T00:00:00"/>
    <s v="DVD"/>
    <n v="100295"/>
    <s v="AB100527"/>
    <x v="3"/>
    <n v="815980"/>
  </r>
  <r>
    <n v="10143"/>
    <n v="7"/>
    <d v="2013-02-06T00:00:00"/>
    <s v="DVD"/>
    <n v="100296"/>
    <s v="AB100528"/>
    <x v="3"/>
    <n v="500733"/>
  </r>
  <r>
    <n v="10188"/>
    <n v="2"/>
    <d v="2013-02-08T00:00:00"/>
    <s v="DVD"/>
    <n v="100297"/>
    <s v="AB100529"/>
    <x v="1"/>
    <n v="229742"/>
  </r>
  <r>
    <n v="10239"/>
    <n v="4"/>
    <d v="2013-02-08T00:00:00"/>
    <s v="DVD"/>
    <n v="100297"/>
    <s v="AB100530"/>
    <x v="2"/>
    <n v="229742"/>
  </r>
  <r>
    <n v="10202"/>
    <n v="2"/>
    <d v="2013-02-07T00:00:00"/>
    <s v="DVD"/>
    <n v="100298"/>
    <s v="AB100531"/>
    <x v="0"/>
    <n v="746134"/>
  </r>
  <r>
    <n v="10297"/>
    <n v="3"/>
    <d v="2013-02-08T00:00:00"/>
    <s v="BLU-RAY"/>
    <n v="100298"/>
    <s v="AB100532"/>
    <x v="14"/>
    <n v="746134"/>
  </r>
  <r>
    <n v="10030"/>
    <n v="3"/>
    <d v="2013-02-07T00:00:00"/>
    <s v="BLU-RAY"/>
    <n v="100298"/>
    <s v="AB100533"/>
    <x v="0"/>
    <n v="746134"/>
  </r>
  <r>
    <n v="10293"/>
    <n v="10"/>
    <d v="2013-02-07T00:00:00"/>
    <s v="DVD"/>
    <n v="100299"/>
    <s v="AB100534"/>
    <x v="12"/>
    <n v="929344"/>
  </r>
  <r>
    <n v="10105"/>
    <n v="2"/>
    <d v="2013-02-07T00:00:00"/>
    <s v="DVD"/>
    <n v="100300"/>
    <s v="AB100535"/>
    <x v="2"/>
    <n v="567388"/>
  </r>
  <r>
    <n v="10078"/>
    <n v="10"/>
    <d v="2013-02-08T00:00:00"/>
    <s v="DVD"/>
    <n v="100301"/>
    <s v="AB100536"/>
    <x v="1"/>
    <n v="743517"/>
  </r>
  <r>
    <n v="10122"/>
    <n v="1"/>
    <d v="2013-02-09T00:00:00"/>
    <s v="BLU-RAY"/>
    <n v="100302"/>
    <s v="AB100537"/>
    <x v="12"/>
    <n v="454015"/>
  </r>
  <r>
    <n v="10281"/>
    <n v="3"/>
    <d v="2013-02-09T00:00:00"/>
    <s v="BLU-RAY"/>
    <n v="100303"/>
    <s v="AB100538"/>
    <x v="10"/>
    <n v="149240"/>
  </r>
  <r>
    <n v="10022"/>
    <n v="3"/>
    <d v="2013-02-09T00:00:00"/>
    <s v="DVD"/>
    <n v="100303"/>
    <s v="AB100539"/>
    <x v="7"/>
    <n v="149240"/>
  </r>
  <r>
    <n v="10087"/>
    <n v="10"/>
    <d v="2013-02-10T00:00:00"/>
    <s v="DVD"/>
    <n v="100303"/>
    <s v="AB100540"/>
    <x v="10"/>
    <n v="149240"/>
  </r>
  <r>
    <n v="10284"/>
    <n v="7"/>
    <d v="2013-02-09T00:00:00"/>
    <s v="BLU-RAY"/>
    <n v="100303"/>
    <s v="AB100541"/>
    <x v="14"/>
    <n v="149240"/>
  </r>
  <r>
    <n v="10174"/>
    <n v="9"/>
    <d v="2013-02-09T00:00:00"/>
    <s v="BLU-RAY"/>
    <n v="100303"/>
    <s v="AB100542"/>
    <x v="7"/>
    <n v="149240"/>
  </r>
  <r>
    <n v="10163"/>
    <n v="6"/>
    <d v="2013-02-09T00:00:00"/>
    <s v="BLU-RAY"/>
    <n v="100304"/>
    <s v="AB100543"/>
    <x v="0"/>
    <n v="109251"/>
  </r>
  <r>
    <n v="10113"/>
    <n v="2"/>
    <d v="2013-02-10T00:00:00"/>
    <s v="DVD"/>
    <n v="100305"/>
    <s v="AB100544"/>
    <x v="10"/>
    <n v="162236"/>
  </r>
  <r>
    <n v="10163"/>
    <n v="5"/>
    <d v="2013-02-11T00:00:00"/>
    <s v="BLU-RAY"/>
    <n v="100306"/>
    <s v="AB100545"/>
    <x v="0"/>
    <n v="149240"/>
  </r>
  <r>
    <n v="10173"/>
    <n v="10"/>
    <d v="2013-02-11T00:00:00"/>
    <s v="BLU-RAY"/>
    <n v="100307"/>
    <s v="AB100546"/>
    <x v="4"/>
    <n v="776775"/>
  </r>
  <r>
    <n v="10263"/>
    <n v="5"/>
    <d v="2013-02-10T00:00:00"/>
    <s v="DVD"/>
    <n v="100307"/>
    <s v="AB100547"/>
    <x v="9"/>
    <n v="776775"/>
  </r>
  <r>
    <n v="10049"/>
    <n v="1"/>
    <d v="2013-02-10T00:00:00"/>
    <s v="BLU-RAY"/>
    <n v="100307"/>
    <s v="AB100548"/>
    <x v="7"/>
    <n v="776775"/>
  </r>
  <r>
    <n v="10279"/>
    <n v="3"/>
    <d v="2013-02-10T00:00:00"/>
    <s v="DVD"/>
    <n v="100308"/>
    <s v="AB100549"/>
    <x v="8"/>
    <n v="649551"/>
  </r>
  <r>
    <n v="10131"/>
    <n v="3"/>
    <d v="2013-02-11T00:00:00"/>
    <s v="DVD"/>
    <n v="100309"/>
    <s v="AB100550"/>
    <x v="0"/>
    <n v="199895"/>
  </r>
  <r>
    <n v="10268"/>
    <n v="9"/>
    <d v="2013-02-12T00:00:00"/>
    <s v="BLU-RAY"/>
    <n v="100309"/>
    <s v="AB100551"/>
    <x v="3"/>
    <n v="199895"/>
  </r>
  <r>
    <n v="10160"/>
    <n v="5"/>
    <d v="2013-02-12T00:00:00"/>
    <s v="DVD"/>
    <n v="100310"/>
    <s v="AB100552"/>
    <x v="10"/>
    <n v="161942"/>
  </r>
  <r>
    <n v="10034"/>
    <n v="4"/>
    <d v="2013-02-12T00:00:00"/>
    <s v="DVD"/>
    <n v="100310"/>
    <s v="AB100553"/>
    <x v="10"/>
    <n v="161942"/>
  </r>
  <r>
    <n v="10211"/>
    <n v="4"/>
    <d v="2013-02-11T00:00:00"/>
    <s v="DVD"/>
    <n v="100310"/>
    <s v="AB100554"/>
    <x v="3"/>
    <n v="161942"/>
  </r>
  <r>
    <n v="10043"/>
    <n v="3"/>
    <d v="2013-02-12T00:00:00"/>
    <s v="DVD"/>
    <n v="100311"/>
    <s v="AB100555"/>
    <x v="8"/>
    <n v="513968"/>
  </r>
  <r>
    <n v="10077"/>
    <n v="9"/>
    <d v="2013-02-12T00:00:00"/>
    <s v="BLU-RAY"/>
    <n v="100312"/>
    <s v="AB100556"/>
    <x v="0"/>
    <n v="994199"/>
  </r>
  <r>
    <n v="10060"/>
    <n v="4"/>
    <d v="2013-02-11T00:00:00"/>
    <s v="DVD"/>
    <n v="100312"/>
    <s v="AB100557"/>
    <x v="0"/>
    <n v="994199"/>
  </r>
  <r>
    <n v="10117"/>
    <n v="1"/>
    <d v="2013-02-12T00:00:00"/>
    <s v="DVD"/>
    <n v="100313"/>
    <s v="AB100558"/>
    <x v="4"/>
    <n v="734624"/>
  </r>
  <r>
    <n v="10126"/>
    <n v="5"/>
    <d v="2013-02-12T00:00:00"/>
    <s v="DVD"/>
    <n v="100313"/>
    <s v="AB100559"/>
    <x v="9"/>
    <n v="734624"/>
  </r>
  <r>
    <n v="10114"/>
    <n v="5"/>
    <d v="2013-02-12T00:00:00"/>
    <s v="DVD"/>
    <n v="100314"/>
    <s v="AB100560"/>
    <x v="10"/>
    <n v="592726"/>
  </r>
  <r>
    <n v="10109"/>
    <n v="6"/>
    <d v="2013-02-13T00:00:00"/>
    <s v="DVD"/>
    <n v="100315"/>
    <s v="AB100561"/>
    <x v="0"/>
    <n v="189953"/>
  </r>
  <r>
    <n v="10116"/>
    <n v="9"/>
    <d v="2013-02-13T00:00:00"/>
    <s v="BLU-RAY"/>
    <n v="100316"/>
    <s v="AB100562"/>
    <x v="7"/>
    <n v="480298"/>
  </r>
  <r>
    <n v="10088"/>
    <n v="4"/>
    <d v="2013-02-13T00:00:00"/>
    <s v="BLU-RAY"/>
    <n v="100316"/>
    <s v="AB100563"/>
    <x v="0"/>
    <n v="480298"/>
  </r>
  <r>
    <n v="10256"/>
    <n v="9"/>
    <d v="2013-02-13T00:00:00"/>
    <s v="BLU-RAY"/>
    <n v="100317"/>
    <s v="AB100564"/>
    <x v="9"/>
    <n v="767570"/>
  </r>
  <r>
    <n v="10234"/>
    <n v="2"/>
    <d v="2013-02-15T00:00:00"/>
    <s v="DVD"/>
    <n v="100317"/>
    <s v="AB100565"/>
    <x v="0"/>
    <n v="767570"/>
  </r>
  <r>
    <n v="10179"/>
    <n v="6"/>
    <d v="2013-02-14T00:00:00"/>
    <s v="BLU-RAY"/>
    <n v="100318"/>
    <s v="AB100566"/>
    <x v="0"/>
    <n v="308662"/>
  </r>
  <r>
    <n v="10039"/>
    <n v="7"/>
    <d v="2013-02-14T00:00:00"/>
    <s v="DVD"/>
    <n v="100318"/>
    <s v="AB100567"/>
    <x v="11"/>
    <n v="308662"/>
  </r>
  <r>
    <n v="10118"/>
    <n v="9"/>
    <d v="2013-02-15T00:00:00"/>
    <s v="DVD"/>
    <n v="100319"/>
    <s v="AB100568"/>
    <x v="3"/>
    <n v="643214"/>
  </r>
  <r>
    <n v="10162"/>
    <n v="9"/>
    <d v="2013-02-16T00:00:00"/>
    <s v="DVD"/>
    <n v="100319"/>
    <s v="AB100569"/>
    <x v="4"/>
    <n v="643214"/>
  </r>
  <r>
    <n v="10117"/>
    <n v="8"/>
    <d v="2013-02-15T00:00:00"/>
    <s v="DVD"/>
    <n v="100319"/>
    <s v="AB100570"/>
    <x v="4"/>
    <n v="643214"/>
  </r>
  <r>
    <n v="10111"/>
    <n v="5"/>
    <d v="2013-02-15T00:00:00"/>
    <s v="DVD"/>
    <n v="100320"/>
    <s v="AB100571"/>
    <x v="9"/>
    <n v="973766"/>
  </r>
  <r>
    <n v="10193"/>
    <n v="8"/>
    <d v="2013-02-15T00:00:00"/>
    <s v="DVD"/>
    <n v="100321"/>
    <s v="AB100572"/>
    <x v="9"/>
    <n v="808421"/>
  </r>
  <r>
    <n v="10168"/>
    <n v="1"/>
    <d v="2013-02-16T00:00:00"/>
    <s v="DVD"/>
    <n v="100322"/>
    <s v="AB100573"/>
    <x v="1"/>
    <n v="756769"/>
  </r>
  <r>
    <n v="10022"/>
    <n v="4"/>
    <d v="2013-02-15T00:00:00"/>
    <s v="DVD"/>
    <n v="100322"/>
    <s v="AB100574"/>
    <x v="7"/>
    <n v="756769"/>
  </r>
  <r>
    <n v="10164"/>
    <n v="4"/>
    <d v="2013-02-15T00:00:00"/>
    <s v="DVD"/>
    <n v="100323"/>
    <s v="AB100575"/>
    <x v="2"/>
    <n v="556619"/>
  </r>
  <r>
    <n v="10183"/>
    <n v="10"/>
    <d v="2013-02-16T00:00:00"/>
    <s v="DVD"/>
    <n v="100324"/>
    <s v="AB100576"/>
    <x v="4"/>
    <n v="921792"/>
  </r>
  <r>
    <n v="10292"/>
    <n v="5"/>
    <d v="2013-02-16T00:00:00"/>
    <s v="BLU-RAY"/>
    <n v="100324"/>
    <s v="AB100577"/>
    <x v="15"/>
    <n v="921792"/>
  </r>
  <r>
    <n v="10240"/>
    <n v="5"/>
    <d v="2013-02-16T00:00:00"/>
    <s v="DVD"/>
    <n v="100325"/>
    <s v="AB100578"/>
    <x v="0"/>
    <n v="866556"/>
  </r>
  <r>
    <n v="10115"/>
    <n v="6"/>
    <d v="2013-02-16T00:00:00"/>
    <s v="DVD"/>
    <n v="100326"/>
    <s v="AB100579"/>
    <x v="11"/>
    <n v="884368"/>
  </r>
  <r>
    <n v="10283"/>
    <n v="2"/>
    <d v="2013-02-17T00:00:00"/>
    <s v="BLU-RAY"/>
    <n v="100327"/>
    <s v="AB100580"/>
    <x v="6"/>
    <n v="559054"/>
  </r>
  <r>
    <n v="10230"/>
    <n v="2"/>
    <d v="2013-02-16T00:00:00"/>
    <s v="BLU-RAY"/>
    <n v="100327"/>
    <s v="AB100581"/>
    <x v="14"/>
    <n v="559054"/>
  </r>
  <r>
    <n v="10055"/>
    <n v="1"/>
    <d v="2013-02-16T00:00:00"/>
    <s v="BLU-RAY"/>
    <n v="100328"/>
    <s v="AB100582"/>
    <x v="15"/>
    <n v="218889"/>
  </r>
  <r>
    <n v="10278"/>
    <n v="7"/>
    <d v="2013-02-17T00:00:00"/>
    <s v="DVD"/>
    <n v="100328"/>
    <s v="AB100583"/>
    <x v="7"/>
    <n v="218889"/>
  </r>
  <r>
    <n v="10266"/>
    <n v="2"/>
    <d v="2013-02-17T00:00:00"/>
    <s v="BLU-RAY"/>
    <n v="100329"/>
    <s v="AB100584"/>
    <x v="4"/>
    <n v="864896"/>
  </r>
  <r>
    <n v="10268"/>
    <n v="9"/>
    <d v="2013-02-17T00:00:00"/>
    <s v="BLU-RAY"/>
    <n v="100329"/>
    <s v="AB100585"/>
    <x v="3"/>
    <n v="864896"/>
  </r>
  <r>
    <n v="10051"/>
    <n v="6"/>
    <d v="2013-02-17T00:00:00"/>
    <s v="DVD"/>
    <n v="100329"/>
    <s v="AB100586"/>
    <x v="1"/>
    <n v="864896"/>
  </r>
  <r>
    <n v="10070"/>
    <n v="8"/>
    <d v="2013-02-17T00:00:00"/>
    <s v="DVD"/>
    <n v="100330"/>
    <s v="AB100587"/>
    <x v="1"/>
    <n v="378374"/>
  </r>
  <r>
    <n v="10215"/>
    <n v="2"/>
    <d v="2013-02-18T00:00:00"/>
    <s v="DVD"/>
    <n v="100331"/>
    <s v="AB100588"/>
    <x v="1"/>
    <n v="950299"/>
  </r>
  <r>
    <n v="10182"/>
    <n v="9"/>
    <d v="2013-02-18T00:00:00"/>
    <s v="BLU-RAY"/>
    <n v="100332"/>
    <s v="AB100589"/>
    <x v="0"/>
    <n v="701816"/>
  </r>
  <r>
    <n v="10040"/>
    <n v="1"/>
    <d v="2013-02-18T00:00:00"/>
    <s v="DVD"/>
    <n v="100333"/>
    <s v="AB100590"/>
    <x v="7"/>
    <n v="363931"/>
  </r>
  <r>
    <n v="10100"/>
    <n v="8"/>
    <d v="2013-02-19T00:00:00"/>
    <s v="DVD"/>
    <n v="100333"/>
    <s v="AB100591"/>
    <x v="9"/>
    <n v="363931"/>
  </r>
  <r>
    <n v="10126"/>
    <n v="1"/>
    <d v="2013-02-19T00:00:00"/>
    <s v="DVD"/>
    <n v="100334"/>
    <s v="AB100592"/>
    <x v="9"/>
    <n v="723057"/>
  </r>
  <r>
    <n v="10244"/>
    <n v="8"/>
    <d v="2013-02-18T00:00:00"/>
    <s v="DVD"/>
    <n v="100335"/>
    <s v="AB100593"/>
    <x v="4"/>
    <n v="961080"/>
  </r>
  <r>
    <n v="10123"/>
    <n v="10"/>
    <d v="2013-02-18T00:00:00"/>
    <s v="BLU-RAY"/>
    <n v="100336"/>
    <s v="AB100594"/>
    <x v="9"/>
    <n v="204295"/>
  </r>
  <r>
    <n v="10075"/>
    <n v="10"/>
    <d v="2013-02-19T00:00:00"/>
    <s v="DVD"/>
    <n v="100337"/>
    <s v="AB100595"/>
    <x v="17"/>
    <n v="325263"/>
  </r>
  <r>
    <n v="10141"/>
    <n v="2"/>
    <d v="2013-02-19T00:00:00"/>
    <s v="BLU-RAY"/>
    <n v="100337"/>
    <s v="AB100596"/>
    <x v="0"/>
    <n v="325263"/>
  </r>
  <r>
    <n v="10073"/>
    <n v="4"/>
    <d v="2013-02-20T00:00:00"/>
    <s v="BLU-RAY"/>
    <n v="100338"/>
    <s v="AB100597"/>
    <x v="16"/>
    <n v="840970"/>
  </r>
  <r>
    <n v="10161"/>
    <n v="7"/>
    <d v="2013-02-20T00:00:00"/>
    <s v="DVD"/>
    <n v="100339"/>
    <s v="AB100598"/>
    <x v="6"/>
    <n v="701816"/>
  </r>
  <r>
    <n v="10052"/>
    <n v="6"/>
    <d v="2013-02-19T00:00:00"/>
    <s v="BLU-RAY"/>
    <n v="100340"/>
    <s v="AB100599"/>
    <x v="0"/>
    <n v="233956"/>
  </r>
  <r>
    <n v="10062"/>
    <n v="1"/>
    <d v="2013-02-20T00:00:00"/>
    <s v="BLU-RAY"/>
    <n v="100341"/>
    <s v="AB100600"/>
    <x v="16"/>
    <n v="408341"/>
  </r>
  <r>
    <n v="10077"/>
    <n v="9"/>
    <d v="2013-02-19T00:00:00"/>
    <s v="DVD"/>
    <n v="100341"/>
    <s v="AB100601"/>
    <x v="0"/>
    <n v="408341"/>
  </r>
  <r>
    <n v="10027"/>
    <n v="9"/>
    <d v="2013-02-21T00:00:00"/>
    <s v="DVD"/>
    <n v="100342"/>
    <s v="AB100602"/>
    <x v="16"/>
    <n v="147543"/>
  </r>
  <r>
    <n v="10288"/>
    <n v="1"/>
    <d v="2013-02-20T00:00:00"/>
    <s v="DVD"/>
    <n v="100342"/>
    <s v="AB100603"/>
    <x v="12"/>
    <n v="147543"/>
  </r>
  <r>
    <n v="10233"/>
    <n v="6"/>
    <d v="2013-02-21T00:00:00"/>
    <s v="DVD"/>
    <n v="100343"/>
    <s v="AB100604"/>
    <x v="8"/>
    <n v="225489"/>
  </r>
  <r>
    <n v="10060"/>
    <n v="8"/>
    <d v="2013-02-20T00:00:00"/>
    <s v="BLU-RAY"/>
    <n v="100344"/>
    <s v="AB100605"/>
    <x v="0"/>
    <n v="958321"/>
  </r>
  <r>
    <n v="10249"/>
    <n v="7"/>
    <d v="2013-02-21T00:00:00"/>
    <s v="BLU-RAY"/>
    <n v="100345"/>
    <s v="AB100606"/>
    <x v="5"/>
    <n v="426984"/>
  </r>
  <r>
    <n v="10291"/>
    <n v="9"/>
    <d v="2013-02-21T00:00:00"/>
    <s v="DVD"/>
    <n v="100345"/>
    <s v="AB100607"/>
    <x v="0"/>
    <n v="426984"/>
  </r>
  <r>
    <n v="10196"/>
    <n v="10"/>
    <d v="2013-02-21T00:00:00"/>
    <s v="DVD"/>
    <n v="100346"/>
    <s v="AB100608"/>
    <x v="9"/>
    <n v="108708"/>
  </r>
  <r>
    <n v="10148"/>
    <n v="2"/>
    <d v="2013-02-22T00:00:00"/>
    <s v="BLU-RAY"/>
    <n v="100346"/>
    <s v="AB100609"/>
    <x v="1"/>
    <n v="108708"/>
  </r>
  <r>
    <n v="10103"/>
    <n v="6"/>
    <d v="2013-02-22T00:00:00"/>
    <s v="DVD"/>
    <n v="100346"/>
    <s v="AB100610"/>
    <x v="9"/>
    <n v="108708"/>
  </r>
  <r>
    <n v="10160"/>
    <n v="3"/>
    <d v="2013-02-21T00:00:00"/>
    <s v="DVD"/>
    <n v="100347"/>
    <s v="AB100611"/>
    <x v="10"/>
    <n v="432113"/>
  </r>
  <r>
    <n v="10041"/>
    <n v="5"/>
    <d v="2013-02-21T00:00:00"/>
    <s v="DVD"/>
    <n v="100348"/>
    <s v="AB100612"/>
    <x v="10"/>
    <n v="563500"/>
  </r>
  <r>
    <n v="10206"/>
    <n v="6"/>
    <d v="2013-02-21T00:00:00"/>
    <s v="DVD"/>
    <n v="100349"/>
    <s v="AB100613"/>
    <x v="9"/>
    <n v="459243"/>
  </r>
  <r>
    <n v="10267"/>
    <n v="8"/>
    <d v="2013-02-23T00:00:00"/>
    <s v="DVD"/>
    <n v="100350"/>
    <s v="AB100614"/>
    <x v="6"/>
    <n v="701816"/>
  </r>
  <r>
    <n v="10229"/>
    <n v="5"/>
    <d v="2013-02-22T00:00:00"/>
    <s v="BLU-RAY"/>
    <n v="100351"/>
    <s v="AB100615"/>
    <x v="6"/>
    <n v="756928"/>
  </r>
  <r>
    <n v="10137"/>
    <n v="7"/>
    <d v="2013-02-22T00:00:00"/>
    <s v="BLU-RAY"/>
    <n v="100351"/>
    <s v="AB100616"/>
    <x v="3"/>
    <n v="756928"/>
  </r>
  <r>
    <n v="10140"/>
    <n v="5"/>
    <d v="2013-02-22T00:00:00"/>
    <s v="BLU-RAY"/>
    <n v="100352"/>
    <s v="AB100617"/>
    <x v="2"/>
    <n v="866847"/>
  </r>
  <r>
    <n v="10090"/>
    <n v="2"/>
    <d v="2013-02-22T00:00:00"/>
    <s v="DVD"/>
    <n v="100352"/>
    <s v="AB100618"/>
    <x v="1"/>
    <n v="866847"/>
  </r>
  <r>
    <n v="10159"/>
    <n v="1"/>
    <d v="2013-02-22T00:00:00"/>
    <s v="DVD"/>
    <n v="100353"/>
    <s v="AB100619"/>
    <x v="10"/>
    <n v="448739"/>
  </r>
  <r>
    <n v="10188"/>
    <n v="3"/>
    <d v="2013-02-22T00:00:00"/>
    <s v="DVD"/>
    <n v="100353"/>
    <s v="AB100620"/>
    <x v="1"/>
    <n v="448739"/>
  </r>
  <r>
    <n v="10295"/>
    <n v="4"/>
    <d v="2013-02-23T00:00:00"/>
    <s v="BLU-RAY"/>
    <n v="100354"/>
    <s v="AB100621"/>
    <x v="21"/>
    <n v="286196"/>
  </r>
  <r>
    <n v="10178"/>
    <n v="8"/>
    <d v="2013-02-23T00:00:00"/>
    <s v="DVD"/>
    <n v="100354"/>
    <s v="AB100622"/>
    <x v="0"/>
    <n v="286196"/>
  </r>
  <r>
    <n v="10092"/>
    <n v="6"/>
    <d v="2013-02-24T00:00:00"/>
    <s v="DVD"/>
    <n v="100355"/>
    <s v="AB100623"/>
    <x v="0"/>
    <n v="250266"/>
  </r>
  <r>
    <n v="10064"/>
    <n v="6"/>
    <d v="2013-02-23T00:00:00"/>
    <s v="BLU-RAY"/>
    <n v="100355"/>
    <s v="AB100624"/>
    <x v="7"/>
    <n v="250266"/>
  </r>
  <r>
    <n v="10276"/>
    <n v="9"/>
    <d v="2013-02-24T00:00:00"/>
    <s v="BLU-RAY"/>
    <n v="100356"/>
    <s v="AB100625"/>
    <x v="16"/>
    <n v="325263"/>
  </r>
  <r>
    <n v="10078"/>
    <n v="6"/>
    <d v="2013-02-25T00:00:00"/>
    <s v="BLU-RAY"/>
    <n v="100357"/>
    <s v="AB100626"/>
    <x v="1"/>
    <n v="748326"/>
  </r>
  <r>
    <n v="10024"/>
    <n v="6"/>
    <d v="2013-02-24T00:00:00"/>
    <s v="DVD"/>
    <n v="100357"/>
    <s v="AB100627"/>
    <x v="9"/>
    <n v="748326"/>
  </r>
  <r>
    <n v="10014"/>
    <n v="9"/>
    <d v="2013-02-24T00:00:00"/>
    <s v="DVD"/>
    <n v="100358"/>
    <s v="AB100628"/>
    <x v="0"/>
    <n v="479497"/>
  </r>
  <r>
    <n v="10086"/>
    <n v="10"/>
    <d v="2013-02-24T00:00:00"/>
    <s v="BLU-RAY"/>
    <n v="100359"/>
    <s v="AB100629"/>
    <x v="3"/>
    <n v="154427"/>
  </r>
  <r>
    <n v="10285"/>
    <n v="2"/>
    <d v="2013-02-24T00:00:00"/>
    <s v="DVD"/>
    <n v="100359"/>
    <s v="AB100630"/>
    <x v="20"/>
    <n v="154427"/>
  </r>
  <r>
    <n v="10046"/>
    <n v="8"/>
    <d v="2013-02-26T00:00:00"/>
    <s v="DVD"/>
    <n v="100359"/>
    <s v="AB100631"/>
    <x v="4"/>
    <n v="154427"/>
  </r>
  <r>
    <n v="10223"/>
    <n v="10"/>
    <d v="2013-02-24T00:00:00"/>
    <s v="BLU-RAY"/>
    <n v="100360"/>
    <s v="AB100632"/>
    <x v="7"/>
    <n v="841831"/>
  </r>
  <r>
    <n v="10218"/>
    <n v="7"/>
    <d v="2013-02-25T00:00:00"/>
    <s v="BLU-RAY"/>
    <n v="100361"/>
    <s v="AB100633"/>
    <x v="4"/>
    <n v="765237"/>
  </r>
  <r>
    <n v="10049"/>
    <n v="6"/>
    <d v="2013-02-25T00:00:00"/>
    <s v="DVD"/>
    <n v="100361"/>
    <s v="AB100634"/>
    <x v="7"/>
    <n v="765237"/>
  </r>
  <r>
    <n v="10120"/>
    <n v="2"/>
    <d v="2013-02-25T00:00:00"/>
    <s v="BLU-RAY"/>
    <n v="100362"/>
    <s v="AB100635"/>
    <x v="14"/>
    <n v="203787"/>
  </r>
  <r>
    <n v="10104"/>
    <n v="7"/>
    <d v="2013-02-25T00:00:00"/>
    <s v="DVD"/>
    <n v="100362"/>
    <s v="AB100636"/>
    <x v="7"/>
    <n v="203787"/>
  </r>
  <r>
    <n v="10078"/>
    <n v="9"/>
    <d v="2013-02-25T00:00:00"/>
    <s v="BLU-RAY"/>
    <n v="100362"/>
    <s v="AB100637"/>
    <x v="1"/>
    <n v="203787"/>
  </r>
  <r>
    <n v="10288"/>
    <n v="8"/>
    <d v="2013-02-25T00:00:00"/>
    <s v="DVD"/>
    <n v="100363"/>
    <s v="AB100638"/>
    <x v="12"/>
    <n v="193968"/>
  </r>
  <r>
    <n v="10277"/>
    <n v="9"/>
    <d v="2013-02-25T00:00:00"/>
    <s v="DVD"/>
    <n v="100363"/>
    <s v="AB100639"/>
    <x v="7"/>
    <n v="193968"/>
  </r>
  <r>
    <n v="10106"/>
    <n v="6"/>
    <d v="2013-02-26T00:00:00"/>
    <s v="BLU-RAY"/>
    <n v="100364"/>
    <s v="AB100640"/>
    <x v="9"/>
    <n v="846558"/>
  </r>
  <r>
    <n v="10085"/>
    <n v="4"/>
    <d v="2013-02-25T00:00:00"/>
    <s v="DVD"/>
    <n v="100364"/>
    <s v="AB100641"/>
    <x v="3"/>
    <n v="846558"/>
  </r>
  <r>
    <n v="10065"/>
    <n v="2"/>
    <d v="2013-02-27T00:00:00"/>
    <s v="DVD"/>
    <n v="100365"/>
    <s v="AB100642"/>
    <x v="0"/>
    <n v="534481"/>
  </r>
  <r>
    <n v="10215"/>
    <n v="9"/>
    <d v="2013-02-25T00:00:00"/>
    <s v="DVD"/>
    <n v="100365"/>
    <s v="AB100643"/>
    <x v="1"/>
    <n v="534481"/>
  </r>
  <r>
    <n v="10293"/>
    <n v="5"/>
    <d v="2013-02-25T00:00:00"/>
    <s v="BLU-RAY"/>
    <n v="100365"/>
    <s v="AB100644"/>
    <x v="12"/>
    <n v="534481"/>
  </r>
  <r>
    <n v="10070"/>
    <n v="5"/>
    <d v="2013-02-27T00:00:00"/>
    <s v="DVD"/>
    <n v="100365"/>
    <s v="AB100645"/>
    <x v="1"/>
    <n v="534481"/>
  </r>
  <r>
    <n v="10039"/>
    <n v="9"/>
    <d v="2013-02-26T00:00:00"/>
    <s v="DVD"/>
    <n v="100366"/>
    <s v="AB100646"/>
    <x v="11"/>
    <n v="175940"/>
  </r>
  <r>
    <n v="10264"/>
    <n v="8"/>
    <d v="2013-02-26T00:00:00"/>
    <s v="DVD"/>
    <n v="100366"/>
    <s v="AB100647"/>
    <x v="2"/>
    <n v="175940"/>
  </r>
  <r>
    <n v="10232"/>
    <n v="10"/>
    <d v="2013-02-26T00:00:00"/>
    <s v="DVD"/>
    <n v="100366"/>
    <s v="AB100648"/>
    <x v="1"/>
    <n v="175940"/>
  </r>
  <r>
    <n v="10299"/>
    <n v="6"/>
    <d v="2013-03-02T00:00:00"/>
    <s v="BLU-RAY"/>
    <n v="100367"/>
    <s v="AB100649"/>
    <x v="22"/>
    <n v="757525"/>
  </r>
  <r>
    <n v="10092"/>
    <n v="10"/>
    <d v="2013-02-26T00:00:00"/>
    <s v="DVD"/>
    <n v="100368"/>
    <s v="AB100650"/>
    <x v="0"/>
    <n v="566192"/>
  </r>
  <r>
    <n v="10249"/>
    <n v="8"/>
    <d v="2013-02-26T00:00:00"/>
    <s v="DVD"/>
    <n v="100369"/>
    <s v="AB100651"/>
    <x v="5"/>
    <n v="850952"/>
  </r>
  <r>
    <n v="10064"/>
    <n v="3"/>
    <d v="2013-02-26T00:00:00"/>
    <s v="DVD"/>
    <n v="100370"/>
    <s v="AB100652"/>
    <x v="7"/>
    <n v="275152"/>
  </r>
  <r>
    <n v="10270"/>
    <n v="6"/>
    <d v="2013-02-27T00:00:00"/>
    <s v="DVD"/>
    <n v="100371"/>
    <s v="AB100653"/>
    <x v="9"/>
    <n v="448739"/>
  </r>
  <r>
    <n v="10005"/>
    <n v="4"/>
    <d v="2013-02-27T00:00:00"/>
    <s v="DVD"/>
    <n v="100372"/>
    <s v="AB100654"/>
    <x v="3"/>
    <n v="537860"/>
  </r>
  <r>
    <n v="10033"/>
    <n v="7"/>
    <d v="2013-02-27T00:00:00"/>
    <s v="BLU-RAY"/>
    <n v="100372"/>
    <s v="AB100655"/>
    <x v="10"/>
    <n v="537860"/>
  </r>
  <r>
    <n v="10226"/>
    <n v="4"/>
    <d v="2013-02-28T00:00:00"/>
    <s v="DVD"/>
    <n v="100373"/>
    <s v="AB100656"/>
    <x v="4"/>
    <n v="418635"/>
  </r>
  <r>
    <n v="10285"/>
    <n v="10"/>
    <d v="2013-02-28T00:00:00"/>
    <s v="DVD"/>
    <n v="100373"/>
    <s v="AB100657"/>
    <x v="20"/>
    <n v="418635"/>
  </r>
  <r>
    <n v="10228"/>
    <n v="3"/>
    <d v="2013-02-28T00:00:00"/>
    <s v="DVD"/>
    <n v="100373"/>
    <s v="AB100658"/>
    <x v="7"/>
    <n v="418635"/>
  </r>
  <r>
    <n v="10009"/>
    <n v="3"/>
    <d v="2013-03-02T00:00:00"/>
    <s v="DVD"/>
    <n v="100374"/>
    <s v="AB100659"/>
    <x v="0"/>
    <n v="498153"/>
  </r>
  <r>
    <n v="10039"/>
    <n v="10"/>
    <d v="2013-03-01T00:00:00"/>
    <s v="BLU-RAY"/>
    <n v="100374"/>
    <s v="AB100660"/>
    <x v="11"/>
    <n v="498153"/>
  </r>
  <r>
    <n v="10193"/>
    <n v="6"/>
    <d v="2013-02-28T00:00:00"/>
    <s v="DVD"/>
    <n v="100374"/>
    <s v="AB100661"/>
    <x v="9"/>
    <n v="498153"/>
  </r>
  <r>
    <n v="10289"/>
    <n v="10"/>
    <d v="2013-03-01T00:00:00"/>
    <s v="BLU-RAY"/>
    <n v="100375"/>
    <s v="AB100662"/>
    <x v="11"/>
    <n v="841831"/>
  </r>
  <r>
    <n v="10163"/>
    <n v="10"/>
    <d v="2013-03-01T00:00:00"/>
    <s v="DVD"/>
    <n v="100375"/>
    <s v="AB100663"/>
    <x v="0"/>
    <n v="841831"/>
  </r>
  <r>
    <n v="10098"/>
    <n v="7"/>
    <d v="2013-02-28T00:00:00"/>
    <s v="BLU-RAY"/>
    <n v="100376"/>
    <s v="AB100664"/>
    <x v="0"/>
    <n v="230602"/>
  </r>
  <r>
    <n v="10114"/>
    <n v="2"/>
    <d v="2013-03-02T00:00:00"/>
    <s v="DVD"/>
    <n v="100377"/>
    <s v="AB100665"/>
    <x v="10"/>
    <n v="161942"/>
  </r>
  <r>
    <n v="10143"/>
    <n v="3"/>
    <d v="2013-03-02T00:00:00"/>
    <s v="DVD"/>
    <n v="100377"/>
    <s v="AB100666"/>
    <x v="3"/>
    <n v="161942"/>
  </r>
  <r>
    <n v="10112"/>
    <n v="2"/>
    <d v="2013-03-01T00:00:00"/>
    <s v="BLU-RAY"/>
    <n v="100378"/>
    <s v="AB100667"/>
    <x v="12"/>
    <n v="796796"/>
  </r>
  <r>
    <n v="10094"/>
    <n v="4"/>
    <d v="2013-03-01T00:00:00"/>
    <s v="DVD"/>
    <n v="100378"/>
    <s v="AB100668"/>
    <x v="12"/>
    <n v="796796"/>
  </r>
  <r>
    <n v="10280"/>
    <n v="9"/>
    <d v="2013-03-02T00:00:00"/>
    <s v="DVD"/>
    <n v="100379"/>
    <s v="AB100669"/>
    <x v="7"/>
    <n v="122818"/>
  </r>
  <r>
    <n v="10111"/>
    <n v="10"/>
    <d v="2013-03-01T00:00:00"/>
    <s v="DVD"/>
    <n v="100379"/>
    <s v="AB100670"/>
    <x v="9"/>
    <n v="122818"/>
  </r>
  <r>
    <n v="10066"/>
    <n v="3"/>
    <d v="2013-03-02T00:00:00"/>
    <s v="BLU-RAY"/>
    <n v="100380"/>
    <s v="AB100671"/>
    <x v="3"/>
    <n v="366695"/>
  </r>
  <r>
    <n v="10299"/>
    <n v="2"/>
    <d v="2013-03-02T00:00:00"/>
    <s v="DVD"/>
    <n v="100381"/>
    <s v="AB100672"/>
    <x v="22"/>
    <n v="908768"/>
  </r>
  <r>
    <n v="10021"/>
    <n v="7"/>
    <d v="2013-03-02T00:00:00"/>
    <s v="BLU-RAY"/>
    <n v="100381"/>
    <s v="AB100673"/>
    <x v="1"/>
    <n v="908768"/>
  </r>
  <r>
    <n v="10096"/>
    <n v="4"/>
    <d v="2013-03-03T00:00:00"/>
    <s v="BLU-RAY"/>
    <n v="100381"/>
    <s v="AB100674"/>
    <x v="7"/>
    <n v="908768"/>
  </r>
  <r>
    <n v="10106"/>
    <n v="10"/>
    <d v="2013-03-03T00:00:00"/>
    <s v="BLU-RAY"/>
    <n v="100382"/>
    <s v="AB100675"/>
    <x v="9"/>
    <n v="938417"/>
  </r>
  <r>
    <n v="10289"/>
    <n v="2"/>
    <d v="2013-03-03T00:00:00"/>
    <s v="DVD"/>
    <n v="100383"/>
    <s v="AB100676"/>
    <x v="11"/>
    <n v="879173"/>
  </r>
  <r>
    <n v="10017"/>
    <n v="3"/>
    <d v="2013-03-03T00:00:00"/>
    <s v="DVD"/>
    <n v="100383"/>
    <s v="AB100677"/>
    <x v="4"/>
    <n v="879173"/>
  </r>
  <r>
    <n v="10293"/>
    <n v="1"/>
    <d v="2013-03-03T00:00:00"/>
    <s v="DVD"/>
    <n v="100384"/>
    <s v="AB100678"/>
    <x v="12"/>
    <n v="537860"/>
  </r>
  <r>
    <n v="10135"/>
    <n v="6"/>
    <d v="2013-03-03T00:00:00"/>
    <s v="BLU-RAY"/>
    <n v="100385"/>
    <s v="AB100679"/>
    <x v="7"/>
    <n v="370870"/>
  </r>
  <r>
    <n v="10065"/>
    <n v="4"/>
    <d v="2013-03-04T00:00:00"/>
    <s v="DVD"/>
    <n v="100386"/>
    <s v="AB100680"/>
    <x v="0"/>
    <n v="218889"/>
  </r>
  <r>
    <n v="10229"/>
    <n v="3"/>
    <d v="2013-03-04T00:00:00"/>
    <s v="BLU-RAY"/>
    <n v="100387"/>
    <s v="AB100681"/>
    <x v="6"/>
    <n v="575903"/>
  </r>
  <r>
    <n v="10039"/>
    <n v="4"/>
    <d v="2013-03-05T00:00:00"/>
    <s v="DVD"/>
    <n v="100387"/>
    <s v="AB100682"/>
    <x v="11"/>
    <n v="575903"/>
  </r>
  <r>
    <n v="10096"/>
    <n v="3"/>
    <d v="2013-03-04T00:00:00"/>
    <s v="BLU-RAY"/>
    <n v="100388"/>
    <s v="AB100683"/>
    <x v="7"/>
    <n v="694281"/>
  </r>
  <r>
    <n v="10093"/>
    <n v="4"/>
    <d v="2013-03-04T00:00:00"/>
    <s v="BLU-RAY"/>
    <n v="100389"/>
    <s v="AB100684"/>
    <x v="11"/>
    <n v="132454"/>
  </r>
  <r>
    <n v="10057"/>
    <n v="8"/>
    <d v="2013-03-04T00:00:00"/>
    <s v="DVD"/>
    <n v="100389"/>
    <s v="AB100685"/>
    <x v="0"/>
    <n v="132454"/>
  </r>
  <r>
    <n v="10113"/>
    <n v="4"/>
    <d v="2013-03-04T00:00:00"/>
    <s v="BLU-RAY"/>
    <n v="100390"/>
    <s v="AB100686"/>
    <x v="10"/>
    <n v="738357"/>
  </r>
  <r>
    <n v="10274"/>
    <n v="8"/>
    <d v="2013-03-07T00:00:00"/>
    <s v="BLU-RAY"/>
    <n v="100391"/>
    <s v="AB100687"/>
    <x v="9"/>
    <n v="610766"/>
  </r>
  <r>
    <n v="10171"/>
    <n v="1"/>
    <d v="2013-03-04T00:00:00"/>
    <s v="DVD"/>
    <n v="100391"/>
    <s v="AB100688"/>
    <x v="7"/>
    <n v="610766"/>
  </r>
  <r>
    <n v="10136"/>
    <n v="5"/>
    <d v="2013-03-06T00:00:00"/>
    <s v="DVD"/>
    <n v="100391"/>
    <s v="AB100689"/>
    <x v="2"/>
    <n v="610766"/>
  </r>
  <r>
    <n v="10008"/>
    <n v="1"/>
    <d v="2013-03-05T00:00:00"/>
    <s v="DVD"/>
    <n v="100392"/>
    <s v="AB100690"/>
    <x v="4"/>
    <n v="841831"/>
  </r>
  <r>
    <n v="10175"/>
    <n v="3"/>
    <d v="2013-03-04T00:00:00"/>
    <s v="DVD"/>
    <n v="100392"/>
    <s v="AB100691"/>
    <x v="3"/>
    <n v="841831"/>
  </r>
  <r>
    <n v="10040"/>
    <n v="8"/>
    <d v="2013-03-06T00:00:00"/>
    <s v="DVD"/>
    <n v="100393"/>
    <s v="AB100692"/>
    <x v="7"/>
    <n v="950299"/>
  </r>
  <r>
    <n v="10137"/>
    <n v="8"/>
    <d v="2013-03-06T00:00:00"/>
    <s v="BLU-RAY"/>
    <n v="100394"/>
    <s v="AB100693"/>
    <x v="3"/>
    <n v="578275"/>
  </r>
  <r>
    <n v="10071"/>
    <n v="1"/>
    <d v="2013-03-06T00:00:00"/>
    <s v="DVD"/>
    <n v="100394"/>
    <s v="AB100694"/>
    <x v="1"/>
    <n v="578275"/>
  </r>
  <r>
    <n v="10209"/>
    <n v="3"/>
    <d v="2013-03-06T00:00:00"/>
    <s v="BLU-RAY"/>
    <n v="100395"/>
    <s v="AB100695"/>
    <x v="7"/>
    <n v="964403"/>
  </r>
  <r>
    <n v="10242"/>
    <n v="6"/>
    <d v="2013-03-05T00:00:00"/>
    <s v="DVD"/>
    <n v="100396"/>
    <s v="AB100696"/>
    <x v="3"/>
    <n v="336644"/>
  </r>
  <r>
    <n v="10106"/>
    <n v="8"/>
    <d v="2013-03-05T00:00:00"/>
    <s v="DVD"/>
    <n v="100396"/>
    <s v="AB100697"/>
    <x v="9"/>
    <n v="336644"/>
  </r>
  <r>
    <n v="10149"/>
    <n v="6"/>
    <d v="2013-03-05T00:00:00"/>
    <s v="BLU-RAY"/>
    <n v="100397"/>
    <s v="AB100698"/>
    <x v="12"/>
    <n v="668931"/>
  </r>
  <r>
    <n v="10038"/>
    <n v="1"/>
    <d v="2013-03-05T00:00:00"/>
    <s v="BLU-RAY"/>
    <n v="100397"/>
    <s v="AB100699"/>
    <x v="1"/>
    <n v="668931"/>
  </r>
  <r>
    <n v="10136"/>
    <n v="3"/>
    <d v="2013-03-06T00:00:00"/>
    <s v="DVD"/>
    <n v="100398"/>
    <s v="AB100700"/>
    <x v="2"/>
    <n v="746134"/>
  </r>
  <r>
    <n v="10197"/>
    <n v="5"/>
    <d v="2013-03-06T00:00:00"/>
    <s v="BLU-RAY"/>
    <n v="100399"/>
    <s v="AB100701"/>
    <x v="0"/>
    <n v="330223"/>
  </r>
  <r>
    <n v="10223"/>
    <n v="6"/>
    <d v="2013-03-06T00:00:00"/>
    <s v="DVD"/>
    <n v="100399"/>
    <s v="AB100702"/>
    <x v="7"/>
    <n v="330223"/>
  </r>
  <r>
    <n v="10002"/>
    <n v="10"/>
    <d v="2013-03-07T00:00:00"/>
    <s v="DVD"/>
    <n v="100400"/>
    <s v="AB100703"/>
    <x v="10"/>
    <n v="756769"/>
  </r>
  <r>
    <n v="10120"/>
    <n v="3"/>
    <d v="2013-03-06T00:00:00"/>
    <s v="DVD"/>
    <n v="100401"/>
    <s v="AB100704"/>
    <x v="14"/>
    <n v="951702"/>
  </r>
  <r>
    <n v="10278"/>
    <n v="5"/>
    <d v="2013-03-06T00:00:00"/>
    <s v="BLU-RAY"/>
    <n v="100401"/>
    <s v="AB100705"/>
    <x v="7"/>
    <n v="951702"/>
  </r>
  <r>
    <n v="10087"/>
    <n v="7"/>
    <d v="2013-03-06T00:00:00"/>
    <s v="DVD"/>
    <n v="100401"/>
    <s v="AB100706"/>
    <x v="10"/>
    <n v="951702"/>
  </r>
  <r>
    <n v="10273"/>
    <n v="5"/>
    <d v="2013-03-08T00:00:00"/>
    <s v="BLU-RAY"/>
    <n v="100402"/>
    <s v="AB100707"/>
    <x v="4"/>
    <n v="103508"/>
  </r>
  <r>
    <n v="10053"/>
    <n v="1"/>
    <d v="2013-03-07T00:00:00"/>
    <s v="DVD"/>
    <n v="100403"/>
    <s v="AB100708"/>
    <x v="4"/>
    <n v="921792"/>
  </r>
  <r>
    <n v="10042"/>
    <n v="7"/>
    <d v="2013-03-08T00:00:00"/>
    <s v="BLU-RAY"/>
    <n v="100403"/>
    <s v="AB100709"/>
    <x v="1"/>
    <n v="921792"/>
  </r>
  <r>
    <n v="10290"/>
    <n v="8"/>
    <d v="2013-03-07T00:00:00"/>
    <s v="DVD"/>
    <n v="100403"/>
    <s v="AB100710"/>
    <x v="2"/>
    <n v="921792"/>
  </r>
  <r>
    <n v="10284"/>
    <n v="1"/>
    <d v="2013-03-09T00:00:00"/>
    <s v="DVD"/>
    <n v="100404"/>
    <s v="AB100711"/>
    <x v="14"/>
    <n v="817159"/>
  </r>
  <r>
    <n v="10067"/>
    <n v="5"/>
    <d v="2013-03-07T00:00:00"/>
    <s v="DVD"/>
    <n v="100405"/>
    <s v="AB100712"/>
    <x v="1"/>
    <n v="190721"/>
  </r>
  <r>
    <n v="10166"/>
    <n v="4"/>
    <d v="2013-03-07T00:00:00"/>
    <s v="BLU-RAY"/>
    <n v="100405"/>
    <s v="AB100713"/>
    <x v="9"/>
    <n v="190721"/>
  </r>
  <r>
    <n v="10106"/>
    <n v="3"/>
    <d v="2013-03-08T00:00:00"/>
    <s v="DVD"/>
    <n v="100405"/>
    <s v="AB100714"/>
    <x v="9"/>
    <n v="190721"/>
  </r>
  <r>
    <n v="10080"/>
    <n v="8"/>
    <d v="2013-03-07T00:00:00"/>
    <s v="BLU-RAY"/>
    <n v="100406"/>
    <s v="AB100715"/>
    <x v="3"/>
    <n v="513968"/>
  </r>
  <r>
    <n v="10172"/>
    <n v="8"/>
    <d v="2013-03-08T00:00:00"/>
    <s v="DVD"/>
    <n v="100407"/>
    <s v="AB100716"/>
    <x v="10"/>
    <n v="796796"/>
  </r>
  <r>
    <n v="10091"/>
    <n v="6"/>
    <d v="2013-03-08T00:00:00"/>
    <s v="DVD"/>
    <n v="100407"/>
    <s v="AB100717"/>
    <x v="0"/>
    <n v="796796"/>
  </r>
  <r>
    <n v="10237"/>
    <n v="5"/>
    <d v="2013-03-08T00:00:00"/>
    <s v="DVD"/>
    <n v="100407"/>
    <s v="AB100718"/>
    <x v="0"/>
    <n v="796796"/>
  </r>
  <r>
    <n v="10162"/>
    <n v="1"/>
    <d v="2013-03-08T00:00:00"/>
    <s v="BLU-RAY"/>
    <n v="100408"/>
    <s v="AB100719"/>
    <x v="4"/>
    <n v="214537"/>
  </r>
  <r>
    <n v="10183"/>
    <n v="1"/>
    <d v="2013-03-08T00:00:00"/>
    <s v="DVD"/>
    <n v="100408"/>
    <s v="AB100720"/>
    <x v="4"/>
    <n v="214537"/>
  </r>
  <r>
    <n v="10011"/>
    <n v="8"/>
    <d v="2013-03-10T00:00:00"/>
    <s v="DVD"/>
    <n v="100409"/>
    <s v="AB100721"/>
    <x v="3"/>
    <n v="111991"/>
  </r>
  <r>
    <n v="10188"/>
    <n v="10"/>
    <d v="2013-03-09T00:00:00"/>
    <s v="BLU-RAY"/>
    <n v="100410"/>
    <s v="AB100722"/>
    <x v="1"/>
    <n v="358901"/>
  </r>
  <r>
    <n v="10184"/>
    <n v="2"/>
    <d v="2013-03-09T00:00:00"/>
    <s v="DVD"/>
    <n v="100411"/>
    <s v="AB100723"/>
    <x v="7"/>
    <n v="332324"/>
  </r>
  <r>
    <n v="10150"/>
    <n v="6"/>
    <d v="2013-03-09T00:00:00"/>
    <s v="DVD"/>
    <n v="100412"/>
    <s v="AB100724"/>
    <x v="14"/>
    <n v="190721"/>
  </r>
  <r>
    <n v="10053"/>
    <n v="4"/>
    <d v="2013-03-09T00:00:00"/>
    <s v="BLU-RAY"/>
    <n v="100412"/>
    <s v="AB100725"/>
    <x v="4"/>
    <n v="190721"/>
  </r>
  <r>
    <n v="10015"/>
    <n v="5"/>
    <d v="2013-03-10T00:00:00"/>
    <s v="BLU-RAY"/>
    <n v="100413"/>
    <s v="AB100726"/>
    <x v="6"/>
    <n v="694281"/>
  </r>
  <r>
    <n v="10069"/>
    <n v="9"/>
    <d v="2013-03-09T00:00:00"/>
    <s v="BLU-RAY"/>
    <n v="100414"/>
    <s v="AB100727"/>
    <x v="0"/>
    <n v="665282"/>
  </r>
  <r>
    <n v="10102"/>
    <n v="7"/>
    <d v="2013-03-09T00:00:00"/>
    <s v="DVD"/>
    <n v="100414"/>
    <s v="AB100728"/>
    <x v="7"/>
    <n v="665282"/>
  </r>
  <r>
    <n v="10092"/>
    <n v="8"/>
    <d v="2013-03-10T00:00:00"/>
    <s v="BLU-RAY"/>
    <n v="100414"/>
    <s v="AB100729"/>
    <x v="0"/>
    <n v="665282"/>
  </r>
  <r>
    <n v="10114"/>
    <n v="7"/>
    <d v="2013-03-11T00:00:00"/>
    <s v="DVD"/>
    <n v="100415"/>
    <s v="AB100730"/>
    <x v="10"/>
    <n v="578275"/>
  </r>
  <r>
    <n v="10296"/>
    <n v="7"/>
    <d v="2013-03-09T00:00:00"/>
    <s v="DVD"/>
    <n v="100415"/>
    <s v="AB100731"/>
    <x v="21"/>
    <n v="578275"/>
  </r>
  <r>
    <n v="10114"/>
    <n v="1"/>
    <d v="2013-03-10T00:00:00"/>
    <s v="DVD"/>
    <n v="100416"/>
    <s v="AB100732"/>
    <x v="10"/>
    <n v="964403"/>
  </r>
  <r>
    <n v="10293"/>
    <n v="5"/>
    <d v="2013-03-10T00:00:00"/>
    <s v="DVD"/>
    <n v="100417"/>
    <s v="AB100733"/>
    <x v="12"/>
    <n v="938006"/>
  </r>
  <r>
    <n v="10043"/>
    <n v="6"/>
    <d v="2013-03-10T00:00:00"/>
    <s v="DVD"/>
    <n v="100417"/>
    <s v="AB100734"/>
    <x v="8"/>
    <n v="938006"/>
  </r>
  <r>
    <n v="10216"/>
    <n v="6"/>
    <d v="2013-03-10T00:00:00"/>
    <s v="DVD"/>
    <n v="100417"/>
    <s v="AB100735"/>
    <x v="4"/>
    <n v="938006"/>
  </r>
  <r>
    <n v="10199"/>
    <n v="8"/>
    <d v="2013-03-10T00:00:00"/>
    <s v="DVD"/>
    <n v="100417"/>
    <s v="AB100736"/>
    <x v="10"/>
    <n v="938006"/>
  </r>
  <r>
    <n v="10278"/>
    <n v="5"/>
    <d v="2013-03-11T00:00:00"/>
    <s v="BLU-RAY"/>
    <n v="100418"/>
    <s v="AB100737"/>
    <x v="7"/>
    <n v="657495"/>
  </r>
  <r>
    <n v="10016"/>
    <n v="9"/>
    <d v="2013-03-10T00:00:00"/>
    <s v="DVD"/>
    <n v="100419"/>
    <s v="AB100738"/>
    <x v="7"/>
    <n v="841141"/>
  </r>
  <r>
    <n v="10236"/>
    <n v="10"/>
    <d v="2013-03-10T00:00:00"/>
    <s v="BLU-RAY"/>
    <n v="100420"/>
    <s v="AB100739"/>
    <x v="10"/>
    <n v="380003"/>
  </r>
  <r>
    <n v="10043"/>
    <n v="6"/>
    <d v="2013-03-11T00:00:00"/>
    <s v="BLU-RAY"/>
    <n v="100421"/>
    <s v="AB100740"/>
    <x v="8"/>
    <n v="771285"/>
  </r>
  <r>
    <n v="10040"/>
    <n v="10"/>
    <d v="2013-03-11T00:00:00"/>
    <s v="BLU-RAY"/>
    <n v="100421"/>
    <s v="AB100741"/>
    <x v="7"/>
    <n v="771285"/>
  </r>
  <r>
    <n v="10232"/>
    <n v="8"/>
    <d v="2013-03-12T00:00:00"/>
    <s v="BLU-RAY"/>
    <n v="100421"/>
    <s v="AB100742"/>
    <x v="1"/>
    <n v="771285"/>
  </r>
  <r>
    <n v="10133"/>
    <n v="6"/>
    <d v="2013-03-12T00:00:00"/>
    <s v="DVD"/>
    <n v="100422"/>
    <s v="AB100743"/>
    <x v="9"/>
    <n v="671363"/>
  </r>
  <r>
    <n v="10064"/>
    <n v="9"/>
    <d v="2013-03-12T00:00:00"/>
    <s v="DVD"/>
    <n v="100423"/>
    <s v="AB100744"/>
    <x v="7"/>
    <n v="166135"/>
  </r>
  <r>
    <n v="10199"/>
    <n v="2"/>
    <d v="2013-03-11T00:00:00"/>
    <s v="BLU-RAY"/>
    <n v="100424"/>
    <s v="AB100745"/>
    <x v="10"/>
    <n v="616028"/>
  </r>
  <r>
    <n v="10151"/>
    <n v="3"/>
    <d v="2013-03-11T00:00:00"/>
    <s v="DVD"/>
    <n v="100424"/>
    <s v="AB100746"/>
    <x v="8"/>
    <n v="616028"/>
  </r>
  <r>
    <n v="10075"/>
    <n v="2"/>
    <d v="2013-03-12T00:00:00"/>
    <s v="BLU-RAY"/>
    <n v="100424"/>
    <s v="AB100747"/>
    <x v="17"/>
    <n v="616028"/>
  </r>
  <r>
    <n v="10094"/>
    <n v="6"/>
    <d v="2013-03-12T00:00:00"/>
    <s v="DVD"/>
    <n v="100425"/>
    <s v="AB100748"/>
    <x v="12"/>
    <n v="537860"/>
  </r>
  <r>
    <n v="10229"/>
    <n v="3"/>
    <d v="2013-03-12T00:00:00"/>
    <s v="BLU-RAY"/>
    <n v="100425"/>
    <s v="AB100749"/>
    <x v="6"/>
    <n v="537860"/>
  </r>
  <r>
    <n v="10040"/>
    <n v="9"/>
    <d v="2013-03-13T00:00:00"/>
    <s v="DVD"/>
    <n v="100426"/>
    <s v="AB100750"/>
    <x v="7"/>
    <n v="747066"/>
  </r>
  <r>
    <n v="10063"/>
    <n v="10"/>
    <d v="2013-03-13T00:00:00"/>
    <s v="BLU-RAY"/>
    <n v="100426"/>
    <s v="AB100751"/>
    <x v="18"/>
    <n v="747066"/>
  </r>
  <r>
    <n v="10144"/>
    <n v="7"/>
    <d v="2013-03-15T00:00:00"/>
    <s v="BLU-RAY"/>
    <n v="100427"/>
    <s v="AB100752"/>
    <x v="2"/>
    <n v="905670"/>
  </r>
  <r>
    <n v="10170"/>
    <n v="9"/>
    <d v="2013-03-14T00:00:00"/>
    <s v="DVD"/>
    <n v="100427"/>
    <s v="AB100753"/>
    <x v="15"/>
    <n v="905670"/>
  </r>
  <r>
    <n v="10103"/>
    <n v="10"/>
    <d v="2013-03-16T00:00:00"/>
    <s v="BLU-RAY"/>
    <n v="100428"/>
    <s v="AB100754"/>
    <x v="9"/>
    <n v="973766"/>
  </r>
  <r>
    <n v="10017"/>
    <n v="10"/>
    <d v="2013-03-14T00:00:00"/>
    <s v="DVD"/>
    <n v="100429"/>
    <s v="AB100755"/>
    <x v="4"/>
    <n v="624668"/>
  </r>
  <r>
    <n v="10133"/>
    <n v="8"/>
    <d v="2013-03-14T00:00:00"/>
    <s v="BLU-RAY"/>
    <n v="100430"/>
    <s v="AB100756"/>
    <x v="9"/>
    <n v="358901"/>
  </r>
  <r>
    <n v="10256"/>
    <n v="6"/>
    <d v="2013-03-14T00:00:00"/>
    <s v="DVD"/>
    <n v="100430"/>
    <s v="AB100757"/>
    <x v="9"/>
    <n v="358901"/>
  </r>
  <r>
    <n v="10238"/>
    <n v="7"/>
    <d v="2013-03-16T00:00:00"/>
    <s v="BLU-RAY"/>
    <n v="100430"/>
    <s v="AB100758"/>
    <x v="0"/>
    <n v="358901"/>
  </r>
  <r>
    <n v="10090"/>
    <n v="1"/>
    <d v="2013-03-16T00:00:00"/>
    <s v="BLU-RAY"/>
    <n v="100430"/>
    <s v="AB100759"/>
    <x v="1"/>
    <n v="358901"/>
  </r>
  <r>
    <n v="10006"/>
    <n v="4"/>
    <d v="2013-03-15T00:00:00"/>
    <s v="BLU-RAY"/>
    <n v="100431"/>
    <s v="AB100760"/>
    <x v="1"/>
    <n v="427826"/>
  </r>
  <r>
    <n v="10145"/>
    <n v="2"/>
    <d v="2013-03-16T00:00:00"/>
    <s v="DVD"/>
    <n v="100432"/>
    <s v="AB100761"/>
    <x v="6"/>
    <n v="308662"/>
  </r>
  <r>
    <n v="10187"/>
    <n v="1"/>
    <d v="2013-03-15T00:00:00"/>
    <s v="DVD"/>
    <n v="100433"/>
    <s v="AB100762"/>
    <x v="1"/>
    <n v="840970"/>
  </r>
  <r>
    <n v="10243"/>
    <n v="5"/>
    <d v="2013-03-15T00:00:00"/>
    <s v="BLU-RAY"/>
    <n v="100434"/>
    <s v="AB100763"/>
    <x v="9"/>
    <n v="793987"/>
  </r>
  <r>
    <n v="10289"/>
    <n v="6"/>
    <d v="2013-03-15T00:00:00"/>
    <s v="DVD"/>
    <n v="100434"/>
    <s v="AB100764"/>
    <x v="11"/>
    <n v="793987"/>
  </r>
  <r>
    <n v="10005"/>
    <n v="6"/>
    <d v="2013-03-16T00:00:00"/>
    <s v="DVD"/>
    <n v="100434"/>
    <s v="AB100765"/>
    <x v="3"/>
    <n v="793987"/>
  </r>
  <r>
    <n v="10122"/>
    <n v="1"/>
    <d v="2013-03-16T00:00:00"/>
    <s v="BLU-RAY"/>
    <n v="100435"/>
    <s v="AB100766"/>
    <x v="12"/>
    <n v="840096"/>
  </r>
  <r>
    <n v="10238"/>
    <n v="4"/>
    <d v="2013-03-15T00:00:00"/>
    <s v="BLU-RAY"/>
    <n v="100435"/>
    <s v="AB100767"/>
    <x v="0"/>
    <n v="840096"/>
  </r>
  <r>
    <n v="10259"/>
    <n v="10"/>
    <d v="2013-03-15T00:00:00"/>
    <s v="BLU-RAY"/>
    <n v="100436"/>
    <s v="AB100768"/>
    <x v="0"/>
    <n v="880238"/>
  </r>
  <r>
    <n v="10210"/>
    <n v="2"/>
    <d v="2013-03-15T00:00:00"/>
    <s v="DVD"/>
    <n v="100436"/>
    <s v="AB100769"/>
    <x v="4"/>
    <n v="880238"/>
  </r>
  <r>
    <n v="10235"/>
    <n v="5"/>
    <d v="2013-03-15T00:00:00"/>
    <s v="BLU-RAY"/>
    <n v="100436"/>
    <s v="AB100770"/>
    <x v="10"/>
    <n v="880238"/>
  </r>
  <r>
    <n v="10198"/>
    <n v="6"/>
    <d v="2013-03-16T00:00:00"/>
    <s v="BLU-RAY"/>
    <n v="100437"/>
    <s v="AB100771"/>
    <x v="9"/>
    <n v="837763"/>
  </r>
  <r>
    <n v="10007"/>
    <n v="10"/>
    <d v="2013-03-16T00:00:00"/>
    <s v="BLU-RAY"/>
    <n v="100437"/>
    <s v="AB100772"/>
    <x v="4"/>
    <n v="837763"/>
  </r>
  <r>
    <n v="10000"/>
    <n v="2"/>
    <d v="2013-03-16T00:00:00"/>
    <s v="BLU-RAY"/>
    <n v="100437"/>
    <s v="AB100773"/>
    <x v="6"/>
    <n v="837763"/>
  </r>
  <r>
    <n v="10090"/>
    <n v="9"/>
    <d v="2013-03-16T00:00:00"/>
    <s v="DVD"/>
    <n v="100437"/>
    <s v="AB100774"/>
    <x v="1"/>
    <n v="837763"/>
  </r>
  <r>
    <n v="10046"/>
    <n v="10"/>
    <d v="2013-03-17T00:00:00"/>
    <s v="BLU-RAY"/>
    <n v="100438"/>
    <s v="AB100775"/>
    <x v="4"/>
    <n v="426984"/>
  </r>
  <r>
    <n v="10149"/>
    <n v="2"/>
    <d v="2013-03-16T00:00:00"/>
    <s v="BLU-RAY"/>
    <n v="100439"/>
    <s v="AB100776"/>
    <x v="12"/>
    <n v="724813"/>
  </r>
  <r>
    <n v="10031"/>
    <n v="2"/>
    <d v="2013-03-17T00:00:00"/>
    <s v="DVD"/>
    <n v="100440"/>
    <s v="AB100777"/>
    <x v="0"/>
    <n v="649551"/>
  </r>
  <r>
    <n v="10277"/>
    <n v="10"/>
    <d v="2013-03-18T00:00:00"/>
    <s v="BLU-RAY"/>
    <n v="100440"/>
    <s v="AB100778"/>
    <x v="7"/>
    <n v="649551"/>
  </r>
  <r>
    <n v="10029"/>
    <n v="8"/>
    <d v="2013-03-16T00:00:00"/>
    <s v="DVD"/>
    <n v="100441"/>
    <s v="AB100779"/>
    <x v="12"/>
    <n v="782947"/>
  </r>
  <r>
    <n v="10029"/>
    <n v="8"/>
    <d v="2013-03-16T00:00:00"/>
    <s v="DVD"/>
    <n v="100441"/>
    <s v="AB100780"/>
    <x v="12"/>
    <n v="782947"/>
  </r>
  <r>
    <n v="10232"/>
    <n v="8"/>
    <d v="2013-03-17T00:00:00"/>
    <s v="BLU-RAY"/>
    <n v="100442"/>
    <s v="AB100781"/>
    <x v="1"/>
    <n v="289693"/>
  </r>
  <r>
    <n v="10097"/>
    <n v="6"/>
    <d v="2013-03-17T00:00:00"/>
    <s v="DVD"/>
    <n v="100443"/>
    <s v="AB100782"/>
    <x v="8"/>
    <n v="800121"/>
  </r>
  <r>
    <n v="10182"/>
    <n v="9"/>
    <d v="2013-03-17T00:00:00"/>
    <s v="DVD"/>
    <n v="100444"/>
    <s v="AB100783"/>
    <x v="0"/>
    <n v="491380"/>
  </r>
  <r>
    <n v="10178"/>
    <n v="8"/>
    <d v="2013-03-18T00:00:00"/>
    <s v="BLU-RAY"/>
    <n v="100445"/>
    <s v="AB100784"/>
    <x v="0"/>
    <n v="454015"/>
  </r>
  <r>
    <n v="10252"/>
    <n v="7"/>
    <d v="2013-03-17T00:00:00"/>
    <s v="DVD"/>
    <n v="100445"/>
    <s v="AB100785"/>
    <x v="0"/>
    <n v="454015"/>
  </r>
  <r>
    <n v="10197"/>
    <n v="2"/>
    <d v="2013-03-17T00:00:00"/>
    <s v="BLU-RAY"/>
    <n v="100446"/>
    <s v="AB100786"/>
    <x v="0"/>
    <n v="491380"/>
  </r>
  <r>
    <n v="10063"/>
    <n v="5"/>
    <d v="2013-03-17T00:00:00"/>
    <s v="DVD"/>
    <n v="100447"/>
    <s v="AB100787"/>
    <x v="18"/>
    <n v="893039"/>
  </r>
  <r>
    <n v="10050"/>
    <n v="1"/>
    <d v="2013-03-19T00:00:00"/>
    <s v="DVD"/>
    <n v="100448"/>
    <s v="AB100788"/>
    <x v="1"/>
    <n v="220206"/>
  </r>
  <r>
    <n v="10152"/>
    <n v="7"/>
    <d v="2013-03-17T00:00:00"/>
    <s v="DVD"/>
    <n v="100448"/>
    <s v="AB100789"/>
    <x v="16"/>
    <n v="220206"/>
  </r>
  <r>
    <n v="10271"/>
    <n v="6"/>
    <d v="2013-03-17T00:00:00"/>
    <s v="DVD"/>
    <n v="100448"/>
    <s v="AB100790"/>
    <x v="7"/>
    <n v="220206"/>
  </r>
  <r>
    <n v="10148"/>
    <n v="9"/>
    <d v="2013-03-18T00:00:00"/>
    <s v="BLU-RAY"/>
    <n v="100449"/>
    <s v="AB100791"/>
    <x v="1"/>
    <n v="157695"/>
  </r>
  <r>
    <n v="10223"/>
    <n v="5"/>
    <d v="2013-03-18T00:00:00"/>
    <s v="DVD"/>
    <n v="100449"/>
    <s v="AB100792"/>
    <x v="7"/>
    <n v="157695"/>
  </r>
  <r>
    <n v="10106"/>
    <n v="10"/>
    <d v="2013-03-17T00:00:00"/>
    <s v="DVD"/>
    <n v="100449"/>
    <s v="AB100793"/>
    <x v="9"/>
    <n v="157695"/>
  </r>
  <r>
    <n v="10160"/>
    <n v="10"/>
    <d v="2013-03-17T00:00:00"/>
    <s v="DVD"/>
    <n v="100449"/>
    <s v="AB100794"/>
    <x v="10"/>
    <n v="157695"/>
  </r>
  <r>
    <n v="10157"/>
    <n v="1"/>
    <d v="2013-03-18T00:00:00"/>
    <s v="DVD"/>
    <n v="100450"/>
    <s v="AB100795"/>
    <x v="1"/>
    <n v="806545"/>
  </r>
  <r>
    <n v="10101"/>
    <n v="1"/>
    <d v="2013-03-18T00:00:00"/>
    <s v="DVD"/>
    <n v="100451"/>
    <s v="AB100796"/>
    <x v="4"/>
    <n v="785444"/>
  </r>
  <r>
    <n v="10195"/>
    <n v="10"/>
    <d v="2013-03-20T00:00:00"/>
    <s v="DVD"/>
    <n v="100452"/>
    <s v="AB100797"/>
    <x v="4"/>
    <n v="925565"/>
  </r>
  <r>
    <n v="10172"/>
    <n v="10"/>
    <d v="2013-03-19T00:00:00"/>
    <s v="DVD"/>
    <n v="100452"/>
    <s v="AB100798"/>
    <x v="10"/>
    <n v="925565"/>
  </r>
  <r>
    <n v="10047"/>
    <n v="4"/>
    <d v="2013-03-19T00:00:00"/>
    <s v="BLU-RAY"/>
    <n v="100453"/>
    <s v="AB100799"/>
    <x v="0"/>
    <n v="347189"/>
  </r>
  <r>
    <n v="10068"/>
    <n v="1"/>
    <d v="2013-03-21T00:00:00"/>
    <s v="BLU-RAY"/>
    <n v="100454"/>
    <s v="AB100800"/>
    <x v="0"/>
    <n v="224094"/>
  </r>
  <r>
    <n v="10289"/>
    <n v="8"/>
    <d v="2013-03-19T00:00:00"/>
    <s v="BLU-RAY"/>
    <n v="100455"/>
    <s v="AB100801"/>
    <x v="11"/>
    <n v="199895"/>
  </r>
  <r>
    <n v="10042"/>
    <n v="7"/>
    <d v="2013-03-19T00:00:00"/>
    <s v="BLU-RAY"/>
    <n v="100455"/>
    <s v="AB100802"/>
    <x v="1"/>
    <n v="199895"/>
  </r>
  <r>
    <n v="10260"/>
    <n v="2"/>
    <d v="2013-03-19T00:00:00"/>
    <s v="DVD"/>
    <n v="100456"/>
    <s v="AB100803"/>
    <x v="4"/>
    <n v="415869"/>
  </r>
  <r>
    <n v="10295"/>
    <n v="6"/>
    <d v="2013-03-19T00:00:00"/>
    <s v="DVD"/>
    <n v="100456"/>
    <s v="AB100804"/>
    <x v="21"/>
    <n v="415869"/>
  </r>
  <r>
    <n v="10152"/>
    <n v="10"/>
    <d v="2013-03-19T00:00:00"/>
    <s v="BLU-RAY"/>
    <n v="100457"/>
    <s v="AB100805"/>
    <x v="16"/>
    <n v="137696"/>
  </r>
  <r>
    <n v="10196"/>
    <n v="1"/>
    <d v="2013-03-20T00:00:00"/>
    <s v="DVD"/>
    <n v="100458"/>
    <s v="AB100806"/>
    <x v="9"/>
    <n v="961080"/>
  </r>
  <r>
    <n v="10289"/>
    <n v="1"/>
    <d v="2013-03-20T00:00:00"/>
    <s v="BLU-RAY"/>
    <n v="100458"/>
    <s v="AB100807"/>
    <x v="11"/>
    <n v="961080"/>
  </r>
  <r>
    <n v="10264"/>
    <n v="10"/>
    <d v="2013-03-20T00:00:00"/>
    <s v="BLU-RAY"/>
    <n v="100458"/>
    <s v="AB100808"/>
    <x v="2"/>
    <n v="961080"/>
  </r>
  <r>
    <n v="10244"/>
    <n v="8"/>
    <d v="2013-03-20T00:00:00"/>
    <s v="BLU-RAY"/>
    <n v="100459"/>
    <s v="AB100809"/>
    <x v="4"/>
    <n v="244282"/>
  </r>
  <r>
    <n v="10074"/>
    <n v="1"/>
    <d v="2013-03-22T00:00:00"/>
    <s v="BLU-RAY"/>
    <n v="100460"/>
    <s v="AB100810"/>
    <x v="11"/>
    <n v="147543"/>
  </r>
  <r>
    <n v="10024"/>
    <n v="5"/>
    <d v="2013-03-20T00:00:00"/>
    <s v="BLU-RAY"/>
    <n v="100461"/>
    <s v="AB100811"/>
    <x v="9"/>
    <n v="665282"/>
  </r>
  <r>
    <n v="10046"/>
    <n v="2"/>
    <d v="2013-03-20T00:00:00"/>
    <s v="BLU-RAY"/>
    <n v="100461"/>
    <s v="AB100812"/>
    <x v="4"/>
    <n v="665282"/>
  </r>
  <r>
    <n v="10015"/>
    <n v="1"/>
    <d v="2013-03-21T00:00:00"/>
    <s v="BLU-RAY"/>
    <n v="100462"/>
    <s v="AB100813"/>
    <x v="6"/>
    <n v="479497"/>
  </r>
  <r>
    <n v="10232"/>
    <n v="1"/>
    <d v="2013-03-22T00:00:00"/>
    <s v="BLU-RAY"/>
    <n v="100463"/>
    <s v="AB100814"/>
    <x v="1"/>
    <n v="166612"/>
  </r>
  <r>
    <n v="10093"/>
    <n v="3"/>
    <d v="2013-03-21T00:00:00"/>
    <s v="DVD"/>
    <n v="100463"/>
    <s v="AB100815"/>
    <x v="11"/>
    <n v="166612"/>
  </r>
  <r>
    <n v="10244"/>
    <n v="3"/>
    <d v="2013-03-21T00:00:00"/>
    <s v="DVD"/>
    <n v="100464"/>
    <s v="AB100816"/>
    <x v="4"/>
    <n v="227372"/>
  </r>
  <r>
    <n v="10027"/>
    <n v="8"/>
    <d v="2013-03-23T00:00:00"/>
    <s v="DVD"/>
    <n v="100465"/>
    <s v="AB100817"/>
    <x v="16"/>
    <n v="734624"/>
  </r>
  <r>
    <n v="10252"/>
    <n v="2"/>
    <d v="2013-03-21T00:00:00"/>
    <s v="BLU-RAY"/>
    <n v="100465"/>
    <s v="AB100818"/>
    <x v="0"/>
    <n v="734624"/>
  </r>
  <r>
    <n v="10031"/>
    <n v="10"/>
    <d v="2013-03-21T00:00:00"/>
    <s v="DVD"/>
    <n v="100465"/>
    <s v="AB100819"/>
    <x v="0"/>
    <n v="734624"/>
  </r>
  <r>
    <n v="10045"/>
    <n v="1"/>
    <d v="2013-03-21T00:00:00"/>
    <s v="DVD"/>
    <n v="100466"/>
    <s v="AB100820"/>
    <x v="0"/>
    <n v="689877"/>
  </r>
  <r>
    <n v="10185"/>
    <n v="9"/>
    <d v="2013-03-21T00:00:00"/>
    <s v="BLU-RAY"/>
    <n v="100467"/>
    <s v="AB100821"/>
    <x v="0"/>
    <n v="814512"/>
  </r>
  <r>
    <n v="10261"/>
    <n v="3"/>
    <d v="2013-03-21T00:00:00"/>
    <s v="DVD"/>
    <n v="100467"/>
    <s v="AB100822"/>
    <x v="9"/>
    <n v="814512"/>
  </r>
  <r>
    <n v="10272"/>
    <n v="2"/>
    <d v="2013-03-22T00:00:00"/>
    <s v="BLU-RAY"/>
    <n v="100468"/>
    <s v="AB100823"/>
    <x v="4"/>
    <n v="178806"/>
  </r>
  <r>
    <n v="10003"/>
    <n v="8"/>
    <d v="2013-03-22T00:00:00"/>
    <s v="DVD"/>
    <n v="100469"/>
    <s v="AB100824"/>
    <x v="1"/>
    <n v="166735"/>
  </r>
  <r>
    <n v="10154"/>
    <n v="1"/>
    <d v="2013-03-22T00:00:00"/>
    <s v="BLU-RAY"/>
    <n v="100469"/>
    <s v="AB100825"/>
    <x v="5"/>
    <n v="166735"/>
  </r>
  <r>
    <n v="10085"/>
    <n v="1"/>
    <d v="2013-03-22T00:00:00"/>
    <s v="DVD"/>
    <n v="100470"/>
    <s v="AB100826"/>
    <x v="3"/>
    <n v="429748"/>
  </r>
  <r>
    <n v="10153"/>
    <n v="1"/>
    <d v="2013-03-22T00:00:00"/>
    <s v="DVD"/>
    <n v="100470"/>
    <s v="AB100827"/>
    <x v="10"/>
    <n v="429748"/>
  </r>
  <r>
    <n v="10151"/>
    <n v="5"/>
    <d v="2013-03-22T00:00:00"/>
    <s v="BLU-RAY"/>
    <n v="100471"/>
    <s v="AB100828"/>
    <x v="8"/>
    <n v="415869"/>
  </r>
  <r>
    <n v="10273"/>
    <n v="2"/>
    <d v="2013-03-22T00:00:00"/>
    <s v="DVD"/>
    <n v="100472"/>
    <s v="AB100829"/>
    <x v="4"/>
    <n v="756928"/>
  </r>
  <r>
    <n v="10150"/>
    <n v="6"/>
    <d v="2013-03-22T00:00:00"/>
    <s v="DVD"/>
    <n v="100473"/>
    <s v="AB100830"/>
    <x v="14"/>
    <n v="926289"/>
  </r>
  <r>
    <n v="10248"/>
    <n v="7"/>
    <d v="2013-03-22T00:00:00"/>
    <s v="BLU-RAY"/>
    <n v="100474"/>
    <s v="AB100831"/>
    <x v="12"/>
    <n v="517477"/>
  </r>
  <r>
    <n v="10159"/>
    <n v="9"/>
    <d v="2013-03-23T00:00:00"/>
    <s v="DVD"/>
    <n v="100475"/>
    <s v="AB100832"/>
    <x v="10"/>
    <n v="724813"/>
  </r>
  <r>
    <n v="10091"/>
    <n v="4"/>
    <d v="2013-03-23T00:00:00"/>
    <s v="BLU-RAY"/>
    <n v="100475"/>
    <s v="AB100833"/>
    <x v="0"/>
    <n v="724813"/>
  </r>
  <r>
    <n v="10057"/>
    <n v="7"/>
    <d v="2013-03-22T00:00:00"/>
    <s v="BLU-RAY"/>
    <n v="100476"/>
    <s v="AB100834"/>
    <x v="0"/>
    <n v="784218"/>
  </r>
  <r>
    <n v="10076"/>
    <n v="4"/>
    <d v="2013-03-22T00:00:00"/>
    <s v="BLU-RAY"/>
    <n v="100477"/>
    <s v="AB100835"/>
    <x v="4"/>
    <n v="227372"/>
  </r>
  <r>
    <n v="10081"/>
    <n v="7"/>
    <d v="2013-03-22T00:00:00"/>
    <s v="BLU-RAY"/>
    <n v="100478"/>
    <s v="AB100836"/>
    <x v="2"/>
    <n v="220206"/>
  </r>
  <r>
    <n v="10210"/>
    <n v="7"/>
    <d v="2013-03-22T00:00:00"/>
    <s v="DVD"/>
    <n v="100479"/>
    <s v="AB100837"/>
    <x v="4"/>
    <n v="563500"/>
  </r>
  <r>
    <n v="10229"/>
    <n v="5"/>
    <d v="2013-03-25T00:00:00"/>
    <s v="DVD"/>
    <n v="100480"/>
    <s v="AB100838"/>
    <x v="6"/>
    <n v="808421"/>
  </r>
  <r>
    <n v="10139"/>
    <n v="3"/>
    <d v="2013-03-24T00:00:00"/>
    <s v="DVD"/>
    <n v="100481"/>
    <s v="AB100839"/>
    <x v="14"/>
    <n v="668931"/>
  </r>
  <r>
    <n v="10056"/>
    <n v="8"/>
    <d v="2013-03-23T00:00:00"/>
    <s v="DVD"/>
    <n v="100481"/>
    <s v="AB100840"/>
    <x v="8"/>
    <n v="668931"/>
  </r>
  <r>
    <n v="10087"/>
    <n v="2"/>
    <d v="2013-03-24T00:00:00"/>
    <s v="DVD"/>
    <n v="100481"/>
    <s v="AB100841"/>
    <x v="10"/>
    <n v="668931"/>
  </r>
  <r>
    <n v="10068"/>
    <n v="9"/>
    <d v="2013-03-23T00:00:00"/>
    <s v="BLU-RAY"/>
    <n v="100481"/>
    <s v="AB100842"/>
    <x v="0"/>
    <n v="668931"/>
  </r>
  <r>
    <n v="10068"/>
    <n v="2"/>
    <d v="2013-03-25T00:00:00"/>
    <s v="DVD"/>
    <n v="100482"/>
    <s v="AB100843"/>
    <x v="0"/>
    <n v="561305"/>
  </r>
  <r>
    <n v="10197"/>
    <n v="3"/>
    <d v="2013-03-23T00:00:00"/>
    <s v="DVD"/>
    <n v="100482"/>
    <s v="AB100844"/>
    <x v="0"/>
    <n v="561305"/>
  </r>
  <r>
    <n v="10050"/>
    <n v="10"/>
    <d v="2013-03-24T00:00:00"/>
    <s v="DVD"/>
    <n v="100483"/>
    <s v="AB100845"/>
    <x v="1"/>
    <n v="994199"/>
  </r>
  <r>
    <n v="10127"/>
    <n v="2"/>
    <d v="2013-03-24T00:00:00"/>
    <s v="DVD"/>
    <n v="100483"/>
    <s v="AB100846"/>
    <x v="6"/>
    <n v="994199"/>
  </r>
  <r>
    <n v="10130"/>
    <n v="8"/>
    <d v="2013-03-24T00:00:00"/>
    <s v="BLU-RAY"/>
    <n v="100484"/>
    <s v="AB100847"/>
    <x v="21"/>
    <n v="513968"/>
  </r>
  <r>
    <n v="10084"/>
    <n v="1"/>
    <d v="2013-03-24T00:00:00"/>
    <s v="BLU-RAY"/>
    <n v="100484"/>
    <s v="AB100848"/>
    <x v="18"/>
    <n v="513968"/>
  </r>
  <r>
    <n v="10064"/>
    <n v="9"/>
    <d v="2013-03-24T00:00:00"/>
    <s v="BLU-RAY"/>
    <n v="100485"/>
    <s v="AB100849"/>
    <x v="7"/>
    <n v="926144"/>
  </r>
  <r>
    <n v="10094"/>
    <n v="4"/>
    <d v="2013-03-25T00:00:00"/>
    <s v="DVD"/>
    <n v="100486"/>
    <s v="AB100850"/>
    <x v="12"/>
    <n v="317807"/>
  </r>
  <r>
    <n v="10074"/>
    <n v="9"/>
    <d v="2013-03-25T00:00:00"/>
    <s v="BLU-RAY"/>
    <n v="100486"/>
    <s v="AB100851"/>
    <x v="11"/>
    <n v="317807"/>
  </r>
  <r>
    <n v="10025"/>
    <n v="6"/>
    <d v="2013-03-26T00:00:00"/>
    <s v="BLU-RAY"/>
    <n v="100486"/>
    <s v="AB100852"/>
    <x v="4"/>
    <n v="317807"/>
  </r>
  <r>
    <n v="10030"/>
    <n v="7"/>
    <d v="2013-03-25T00:00:00"/>
    <s v="BLU-RAY"/>
    <n v="100487"/>
    <s v="AB100853"/>
    <x v="0"/>
    <n v="308505"/>
  </r>
  <r>
    <n v="10141"/>
    <n v="4"/>
    <d v="2013-03-26T00:00:00"/>
    <s v="DVD"/>
    <n v="100487"/>
    <s v="AB100854"/>
    <x v="0"/>
    <n v="308505"/>
  </r>
  <r>
    <n v="10060"/>
    <n v="4"/>
    <d v="2013-03-26T00:00:00"/>
    <s v="BLU-RAY"/>
    <n v="100488"/>
    <s v="AB100855"/>
    <x v="0"/>
    <n v="757525"/>
  </r>
  <r>
    <n v="10079"/>
    <n v="4"/>
    <d v="2013-03-25T00:00:00"/>
    <s v="DVD"/>
    <n v="100489"/>
    <s v="AB100856"/>
    <x v="0"/>
    <n v="994185"/>
  </r>
  <r>
    <n v="10175"/>
    <n v="5"/>
    <d v="2013-03-25T00:00:00"/>
    <s v="DVD"/>
    <n v="100489"/>
    <s v="AB100857"/>
    <x v="3"/>
    <n v="994185"/>
  </r>
  <r>
    <n v="10140"/>
    <n v="8"/>
    <d v="2013-03-26T00:00:00"/>
    <s v="DVD"/>
    <n v="100489"/>
    <s v="AB100858"/>
    <x v="2"/>
    <n v="994185"/>
  </r>
  <r>
    <n v="10266"/>
    <n v="5"/>
    <d v="2013-03-25T00:00:00"/>
    <s v="DVD"/>
    <n v="100490"/>
    <s v="AB100859"/>
    <x v="4"/>
    <n v="134457"/>
  </r>
  <r>
    <n v="10191"/>
    <n v="3"/>
    <d v="2013-03-25T00:00:00"/>
    <s v="BLU-RAY"/>
    <n v="100490"/>
    <s v="AB100860"/>
    <x v="7"/>
    <n v="134457"/>
  </r>
  <r>
    <n v="10179"/>
    <n v="7"/>
    <d v="2013-03-25T00:00:00"/>
    <s v="BLU-RAY"/>
    <n v="100490"/>
    <s v="AB100861"/>
    <x v="0"/>
    <n v="134457"/>
  </r>
  <r>
    <n v="10041"/>
    <n v="2"/>
    <d v="2013-03-25T00:00:00"/>
    <s v="DVD"/>
    <n v="100491"/>
    <s v="AB100862"/>
    <x v="10"/>
    <n v="256181"/>
  </r>
  <r>
    <n v="10044"/>
    <n v="10"/>
    <d v="2013-03-26T00:00:00"/>
    <s v="BLU-RAY"/>
    <n v="100492"/>
    <s v="AB100863"/>
    <x v="3"/>
    <n v="214537"/>
  </r>
  <r>
    <n v="10281"/>
    <n v="6"/>
    <d v="2013-03-25T00:00:00"/>
    <s v="DVD"/>
    <n v="100493"/>
    <s v="AB100864"/>
    <x v="10"/>
    <n v="448739"/>
  </r>
  <r>
    <n v="10270"/>
    <n v="8"/>
    <d v="2013-03-27T00:00:00"/>
    <s v="BLU-RAY"/>
    <n v="100494"/>
    <s v="AB100865"/>
    <x v="9"/>
    <n v="308505"/>
  </r>
  <r>
    <n v="10143"/>
    <n v="8"/>
    <d v="2013-03-26T00:00:00"/>
    <s v="BLU-RAY"/>
    <n v="100495"/>
    <s v="AB100866"/>
    <x v="3"/>
    <n v="405322"/>
  </r>
  <r>
    <n v="10103"/>
    <n v="9"/>
    <d v="2013-03-27T00:00:00"/>
    <s v="DVD"/>
    <n v="100495"/>
    <s v="AB100867"/>
    <x v="9"/>
    <n v="405322"/>
  </r>
  <r>
    <n v="10197"/>
    <n v="9"/>
    <d v="2013-03-26T00:00:00"/>
    <s v="DVD"/>
    <n v="100496"/>
    <s v="AB100868"/>
    <x v="0"/>
    <n v="240205"/>
  </r>
  <r>
    <n v="10208"/>
    <n v="2"/>
    <d v="2013-03-27T00:00:00"/>
    <s v="BLU-RAY"/>
    <n v="100497"/>
    <s v="AB100869"/>
    <x v="0"/>
    <n v="304344"/>
  </r>
  <r>
    <n v="10180"/>
    <n v="3"/>
    <d v="2013-03-27T00:00:00"/>
    <s v="BLU-RAY"/>
    <n v="100498"/>
    <s v="AB100870"/>
    <x v="12"/>
    <n v="206078"/>
  </r>
  <r>
    <n v="10195"/>
    <n v="3"/>
    <d v="2013-03-27T00:00:00"/>
    <s v="DVD"/>
    <n v="100499"/>
    <s v="AB100871"/>
    <x v="4"/>
    <n v="343021"/>
  </r>
  <r>
    <n v="10026"/>
    <n v="7"/>
    <d v="2013-03-26T00:00:00"/>
    <s v="DVD"/>
    <n v="100500"/>
    <s v="AB100872"/>
    <x v="9"/>
    <n v="847289"/>
  </r>
  <r>
    <n v="10215"/>
    <n v="4"/>
    <d v="2013-03-26T00:00:00"/>
    <s v="DVD"/>
    <n v="100500"/>
    <s v="AB100873"/>
    <x v="1"/>
    <n v="847289"/>
  </r>
  <r>
    <n v="10155"/>
    <n v="7"/>
    <d v="2013-03-27T00:00:00"/>
    <s v="BLU-RAY"/>
    <n v="100501"/>
    <s v="AB100874"/>
    <x v="9"/>
    <n v="274541"/>
  </r>
  <r>
    <n v="10197"/>
    <n v="3"/>
    <d v="2013-03-28T00:00:00"/>
    <s v="BLU-RAY"/>
    <n v="100501"/>
    <s v="AB100875"/>
    <x v="0"/>
    <n v="274541"/>
  </r>
  <r>
    <n v="10251"/>
    <n v="3"/>
    <d v="2013-03-27T00:00:00"/>
    <s v="DVD"/>
    <n v="100502"/>
    <s v="AB100876"/>
    <x v="7"/>
    <n v="745543"/>
  </r>
  <r>
    <n v="10227"/>
    <n v="1"/>
    <d v="2013-03-29T00:00:00"/>
    <s v="DVD"/>
    <n v="100503"/>
    <s v="AB100877"/>
    <x v="14"/>
    <n v="757780"/>
  </r>
  <r>
    <n v="10085"/>
    <n v="7"/>
    <d v="2013-03-28T00:00:00"/>
    <s v="DVD"/>
    <n v="100504"/>
    <s v="AB100878"/>
    <x v="3"/>
    <n v="973766"/>
  </r>
  <r>
    <n v="10002"/>
    <n v="5"/>
    <d v="2013-03-29T00:00:00"/>
    <s v="DVD"/>
    <n v="100504"/>
    <s v="AB100879"/>
    <x v="10"/>
    <n v="973766"/>
  </r>
  <r>
    <n v="10183"/>
    <n v="4"/>
    <d v="2013-03-28T00:00:00"/>
    <s v="BLU-RAY"/>
    <n v="100505"/>
    <s v="AB100880"/>
    <x v="4"/>
    <n v="791850"/>
  </r>
  <r>
    <n v="10191"/>
    <n v="7"/>
    <d v="2013-03-28T00:00:00"/>
    <s v="BLU-RAY"/>
    <n v="100505"/>
    <s v="AB100881"/>
    <x v="7"/>
    <n v="791850"/>
  </r>
  <r>
    <n v="10096"/>
    <n v="3"/>
    <d v="2013-03-28T00:00:00"/>
    <s v="DVD"/>
    <n v="100506"/>
    <s v="AB100882"/>
    <x v="7"/>
    <n v="456457"/>
  </r>
  <r>
    <n v="10025"/>
    <n v="9"/>
    <d v="2013-03-28T00:00:00"/>
    <s v="BLU-RAY"/>
    <n v="100506"/>
    <s v="AB100883"/>
    <x v="4"/>
    <n v="456457"/>
  </r>
  <r>
    <n v="10121"/>
    <n v="4"/>
    <d v="2013-03-29T00:00:00"/>
    <s v="DVD"/>
    <n v="100507"/>
    <s v="AB100884"/>
    <x v="2"/>
    <n v="386336"/>
  </r>
  <r>
    <n v="10048"/>
    <n v="10"/>
    <d v="2013-03-30T00:00:00"/>
    <s v="BLU-RAY"/>
    <n v="100507"/>
    <s v="AB100885"/>
    <x v="12"/>
    <n v="386336"/>
  </r>
  <r>
    <n v="10231"/>
    <n v="3"/>
    <d v="2013-03-29T00:00:00"/>
    <s v="DVD"/>
    <n v="100507"/>
    <s v="AB100886"/>
    <x v="7"/>
    <n v="386336"/>
  </r>
  <r>
    <n v="10210"/>
    <n v="3"/>
    <d v="2013-03-30T00:00:00"/>
    <s v="DVD"/>
    <n v="100507"/>
    <s v="AB100887"/>
    <x v="4"/>
    <n v="386336"/>
  </r>
  <r>
    <n v="10029"/>
    <n v="4"/>
    <d v="2013-03-29T00:00:00"/>
    <s v="DVD"/>
    <n v="100508"/>
    <s v="AB100888"/>
    <x v="12"/>
    <n v="932618"/>
  </r>
  <r>
    <n v="10181"/>
    <n v="3"/>
    <d v="2013-03-29T00:00:00"/>
    <s v="DVD"/>
    <n v="100508"/>
    <s v="AB100889"/>
    <x v="9"/>
    <n v="932618"/>
  </r>
  <r>
    <n v="10007"/>
    <n v="2"/>
    <d v="2013-03-29T00:00:00"/>
    <s v="DVD"/>
    <n v="100508"/>
    <s v="AB100890"/>
    <x v="4"/>
    <n v="932618"/>
  </r>
  <r>
    <n v="10089"/>
    <n v="3"/>
    <d v="2013-03-30T00:00:00"/>
    <s v="BLU-RAY"/>
    <n v="100508"/>
    <s v="AB100891"/>
    <x v="4"/>
    <n v="932618"/>
  </r>
  <r>
    <n v="10106"/>
    <n v="7"/>
    <d v="2013-03-30T00:00:00"/>
    <s v="BLU-RAY"/>
    <n v="100509"/>
    <s v="AB100892"/>
    <x v="9"/>
    <n v="734624"/>
  </r>
  <r>
    <n v="10153"/>
    <n v="8"/>
    <d v="2013-03-29T00:00:00"/>
    <s v="DVD"/>
    <n v="100510"/>
    <s v="AB100893"/>
    <x v="10"/>
    <n v="734514"/>
  </r>
  <r>
    <n v="10015"/>
    <n v="5"/>
    <d v="2013-03-30T00:00:00"/>
    <s v="BLU-RAY"/>
    <n v="100510"/>
    <s v="AB100894"/>
    <x v="6"/>
    <n v="734514"/>
  </r>
  <r>
    <n v="10026"/>
    <n v="1"/>
    <d v="2013-03-30T00:00:00"/>
    <s v="BLU-RAY"/>
    <n v="100511"/>
    <s v="AB100895"/>
    <x v="9"/>
    <n v="308505"/>
  </r>
  <r>
    <n v="10247"/>
    <n v="5"/>
    <d v="2013-03-30T00:00:00"/>
    <s v="BLU-RAY"/>
    <n v="100512"/>
    <s v="AB100896"/>
    <x v="9"/>
    <n v="791559"/>
  </r>
  <r>
    <n v="10114"/>
    <n v="1"/>
    <d v="2013-03-30T00:00:00"/>
    <s v="BLU-RAY"/>
    <n v="100513"/>
    <s v="AB100897"/>
    <x v="10"/>
    <n v="418506"/>
  </r>
  <r>
    <n v="10167"/>
    <n v="7"/>
    <d v="2013-03-30T00:00:00"/>
    <s v="DVD"/>
    <n v="100514"/>
    <s v="AB100898"/>
    <x v="7"/>
    <n v="227372"/>
  </r>
  <r>
    <n v="10256"/>
    <n v="8"/>
    <d v="2013-03-30T00:00:00"/>
    <s v="DVD"/>
    <n v="100514"/>
    <s v="AB100899"/>
    <x v="9"/>
    <n v="227372"/>
  </r>
  <r>
    <n v="10278"/>
    <n v="10"/>
    <d v="2013-03-30T00:00:00"/>
    <s v="BLU-RAY"/>
    <n v="100514"/>
    <s v="AB100900"/>
    <x v="7"/>
    <n v="227372"/>
  </r>
  <r>
    <n v="10245"/>
    <n v="9"/>
    <d v="2013-03-30T00:00:00"/>
    <s v="DVD"/>
    <n v="100515"/>
    <s v="AB100901"/>
    <x v="0"/>
    <n v="183797"/>
  </r>
  <r>
    <n v="10059"/>
    <n v="1"/>
    <d v="2013-04-01T00:00:00"/>
    <s v="DVD"/>
    <n v="100516"/>
    <s v="AB100902"/>
    <x v="7"/>
    <n v="103508"/>
  </r>
  <r>
    <n v="10208"/>
    <n v="3"/>
    <d v="2013-03-31T00:00:00"/>
    <s v="DVD"/>
    <n v="100517"/>
    <s v="AB100903"/>
    <x v="0"/>
    <n v="426984"/>
  </r>
  <r>
    <n v="10039"/>
    <n v="3"/>
    <d v="2013-04-01T00:00:00"/>
    <s v="BLU-RAY"/>
    <n v="100517"/>
    <s v="AB100904"/>
    <x v="11"/>
    <n v="426984"/>
  </r>
  <r>
    <n v="10041"/>
    <n v="10"/>
    <d v="2013-04-02T00:00:00"/>
    <s v="BLU-RAY"/>
    <n v="100517"/>
    <s v="AB100905"/>
    <x v="10"/>
    <n v="426984"/>
  </r>
  <r>
    <n v="10114"/>
    <n v="8"/>
    <d v="2013-03-31T00:00:00"/>
    <s v="DVD"/>
    <n v="100517"/>
    <s v="AB100906"/>
    <x v="10"/>
    <n v="426984"/>
  </r>
  <r>
    <n v="10031"/>
    <n v="7"/>
    <d v="2013-04-01T00:00:00"/>
    <s v="BLU-RAY"/>
    <n v="100518"/>
    <s v="AB100907"/>
    <x v="0"/>
    <n v="775449"/>
  </r>
  <r>
    <n v="10131"/>
    <n v="6"/>
    <d v="2013-03-31T00:00:00"/>
    <s v="BLU-RAY"/>
    <n v="100519"/>
    <s v="AB100908"/>
    <x v="0"/>
    <n v="676018"/>
  </r>
  <r>
    <n v="10179"/>
    <n v="6"/>
    <d v="2013-04-02T00:00:00"/>
    <s v="DVD"/>
    <n v="100519"/>
    <s v="AB100909"/>
    <x v="0"/>
    <n v="676018"/>
  </r>
  <r>
    <n v="10098"/>
    <n v="7"/>
    <d v="2013-03-31T00:00:00"/>
    <s v="DVD"/>
    <n v="100519"/>
    <s v="AB100910"/>
    <x v="0"/>
    <n v="676018"/>
  </r>
  <r>
    <n v="10184"/>
    <n v="10"/>
    <d v="2013-03-31T00:00:00"/>
    <s v="BLU-RAY"/>
    <n v="100520"/>
    <s v="AB100911"/>
    <x v="7"/>
    <n v="932618"/>
  </r>
  <r>
    <n v="10124"/>
    <n v="8"/>
    <d v="2013-03-31T00:00:00"/>
    <s v="DVD"/>
    <n v="100521"/>
    <s v="AB100912"/>
    <x v="1"/>
    <n v="776775"/>
  </r>
  <r>
    <n v="10196"/>
    <n v="8"/>
    <d v="2013-04-02T00:00:00"/>
    <s v="BLU-RAY"/>
    <n v="100522"/>
    <s v="AB100913"/>
    <x v="9"/>
    <n v="393120"/>
  </r>
  <r>
    <n v="10037"/>
    <n v="4"/>
    <d v="2013-04-01T00:00:00"/>
    <s v="BLU-RAY"/>
    <n v="100522"/>
    <s v="AB100914"/>
    <x v="3"/>
    <n v="393120"/>
  </r>
  <r>
    <n v="10215"/>
    <n v="3"/>
    <d v="2013-04-03T00:00:00"/>
    <s v="BLU-RAY"/>
    <n v="100523"/>
    <s v="AB100915"/>
    <x v="1"/>
    <n v="412876"/>
  </r>
  <r>
    <n v="10252"/>
    <n v="4"/>
    <d v="2013-04-01T00:00:00"/>
    <s v="BLU-RAY"/>
    <n v="100524"/>
    <s v="AB100916"/>
    <x v="0"/>
    <n v="412876"/>
  </r>
  <r>
    <n v="10001"/>
    <n v="2"/>
    <d v="2013-04-01T00:00:00"/>
    <s v="BLU-RAY"/>
    <n v="100524"/>
    <s v="AB100917"/>
    <x v="14"/>
    <n v="412876"/>
  </r>
  <r>
    <n v="10002"/>
    <n v="5"/>
    <d v="2013-04-02T00:00:00"/>
    <s v="DVD"/>
    <n v="100525"/>
    <s v="AB100918"/>
    <x v="10"/>
    <n v="346006"/>
  </r>
  <r>
    <n v="10248"/>
    <n v="5"/>
    <d v="2013-04-04T00:00:00"/>
    <s v="DVD"/>
    <n v="100525"/>
    <s v="AB100919"/>
    <x v="12"/>
    <n v="346006"/>
  </r>
  <r>
    <n v="10275"/>
    <n v="6"/>
    <d v="2013-04-03T00:00:00"/>
    <s v="DVD"/>
    <n v="100526"/>
    <s v="AB100920"/>
    <x v="10"/>
    <n v="386950"/>
  </r>
  <r>
    <n v="10277"/>
    <n v="7"/>
    <d v="2013-04-02T00:00:00"/>
    <s v="DVD"/>
    <n v="100527"/>
    <s v="AB100921"/>
    <x v="7"/>
    <n v="393120"/>
  </r>
  <r>
    <n v="10273"/>
    <n v="3"/>
    <d v="2013-04-02T00:00:00"/>
    <s v="DVD"/>
    <n v="100527"/>
    <s v="AB100922"/>
    <x v="4"/>
    <n v="393120"/>
  </r>
  <r>
    <n v="10277"/>
    <n v="10"/>
    <d v="2013-04-02T00:00:00"/>
    <s v="BLU-RAY"/>
    <n v="100527"/>
    <s v="AB100923"/>
    <x v="7"/>
    <n v="393120"/>
  </r>
  <r>
    <n v="10163"/>
    <n v="8"/>
    <d v="2013-04-04T00:00:00"/>
    <s v="BLU-RAY"/>
    <n v="100528"/>
    <s v="AB100924"/>
    <x v="0"/>
    <n v="305005"/>
  </r>
  <r>
    <n v="10199"/>
    <n v="6"/>
    <d v="2013-04-02T00:00:00"/>
    <s v="DVD"/>
    <n v="100528"/>
    <s v="AB100925"/>
    <x v="10"/>
    <n v="305005"/>
  </r>
  <r>
    <n v="10044"/>
    <n v="5"/>
    <d v="2013-04-04T00:00:00"/>
    <s v="DVD"/>
    <n v="100529"/>
    <s v="AB100926"/>
    <x v="3"/>
    <n v="278809"/>
  </r>
  <r>
    <n v="10244"/>
    <n v="9"/>
    <d v="2013-04-03T00:00:00"/>
    <s v="BLU-RAY"/>
    <n v="100530"/>
    <s v="AB100927"/>
    <x v="4"/>
    <n v="275152"/>
  </r>
  <r>
    <n v="10270"/>
    <n v="1"/>
    <d v="2013-04-03T00:00:00"/>
    <s v="BLU-RAY"/>
    <n v="100531"/>
    <s v="AB100928"/>
    <x v="9"/>
    <n v="233956"/>
  </r>
  <r>
    <n v="10114"/>
    <n v="10"/>
    <d v="2013-04-03T00:00:00"/>
    <s v="DVD"/>
    <n v="100532"/>
    <s v="AB100929"/>
    <x v="10"/>
    <n v="734624"/>
  </r>
  <r>
    <n v="10225"/>
    <n v="10"/>
    <d v="2013-04-03T00:00:00"/>
    <s v="DVD"/>
    <n v="100532"/>
    <s v="AB100930"/>
    <x v="0"/>
    <n v="734624"/>
  </r>
  <r>
    <n v="10062"/>
    <n v="8"/>
    <d v="2013-04-03T00:00:00"/>
    <s v="BLU-RAY"/>
    <n v="100533"/>
    <s v="AB100931"/>
    <x v="16"/>
    <n v="846558"/>
  </r>
  <r>
    <n v="10002"/>
    <n v="1"/>
    <d v="2013-04-03T00:00:00"/>
    <s v="BLU-RAY"/>
    <n v="100533"/>
    <s v="AB100932"/>
    <x v="10"/>
    <n v="846558"/>
  </r>
  <r>
    <n v="10206"/>
    <n v="4"/>
    <d v="2013-04-03T00:00:00"/>
    <s v="BLU-RAY"/>
    <n v="100533"/>
    <s v="AB100933"/>
    <x v="9"/>
    <n v="846558"/>
  </r>
  <r>
    <n v="10068"/>
    <n v="2"/>
    <d v="2013-04-03T00:00:00"/>
    <s v="BLU-RAY"/>
    <n v="100533"/>
    <s v="AB100934"/>
    <x v="0"/>
    <n v="846558"/>
  </r>
  <r>
    <n v="10065"/>
    <n v="9"/>
    <d v="2013-04-04T00:00:00"/>
    <s v="DVD"/>
    <n v="100534"/>
    <s v="AB100935"/>
    <x v="0"/>
    <n v="932618"/>
  </r>
  <r>
    <n v="10263"/>
    <n v="6"/>
    <d v="2013-04-03T00:00:00"/>
    <s v="BLU-RAY"/>
    <n v="100534"/>
    <s v="AB100936"/>
    <x v="9"/>
    <n v="932618"/>
  </r>
  <r>
    <n v="10237"/>
    <n v="7"/>
    <d v="2013-04-03T00:00:00"/>
    <s v="BLU-RAY"/>
    <n v="100534"/>
    <s v="AB100937"/>
    <x v="0"/>
    <n v="932618"/>
  </r>
  <r>
    <n v="10054"/>
    <n v="7"/>
    <d v="2013-04-04T00:00:00"/>
    <s v="DVD"/>
    <n v="100535"/>
    <s v="AB100938"/>
    <x v="1"/>
    <n v="378374"/>
  </r>
  <r>
    <n v="10275"/>
    <n v="6"/>
    <d v="2013-04-04T00:00:00"/>
    <s v="DVD"/>
    <n v="100536"/>
    <s v="AB100939"/>
    <x v="10"/>
    <n v="649551"/>
  </r>
  <r>
    <n v="10201"/>
    <n v="2"/>
    <d v="2013-04-03T00:00:00"/>
    <s v="BLU-RAY"/>
    <n v="100537"/>
    <s v="AB100940"/>
    <x v="8"/>
    <n v="994199"/>
  </r>
  <r>
    <n v="10273"/>
    <n v="10"/>
    <d v="2013-04-03T00:00:00"/>
    <s v="DVD"/>
    <n v="100537"/>
    <s v="AB100941"/>
    <x v="4"/>
    <n v="994199"/>
  </r>
  <r>
    <n v="10087"/>
    <n v="6"/>
    <d v="2013-04-04T00:00:00"/>
    <s v="DVD"/>
    <n v="100537"/>
    <s v="AB100942"/>
    <x v="10"/>
    <n v="994199"/>
  </r>
  <r>
    <n v="10279"/>
    <n v="9"/>
    <d v="2013-04-04T00:00:00"/>
    <s v="DVD"/>
    <n v="100538"/>
    <s v="AB100943"/>
    <x v="8"/>
    <n v="567388"/>
  </r>
  <r>
    <n v="10076"/>
    <n v="5"/>
    <d v="2013-04-03T00:00:00"/>
    <s v="DVD"/>
    <n v="100539"/>
    <s v="AB100944"/>
    <x v="4"/>
    <n v="892883"/>
  </r>
  <r>
    <n v="10240"/>
    <n v="10"/>
    <d v="2013-04-03T00:00:00"/>
    <s v="BLU-RAY"/>
    <n v="100540"/>
    <s v="AB100945"/>
    <x v="0"/>
    <n v="746134"/>
  </r>
  <r>
    <n v="10281"/>
    <n v="5"/>
    <d v="2013-04-03T00:00:00"/>
    <s v="DVD"/>
    <n v="100540"/>
    <s v="AB100946"/>
    <x v="10"/>
    <n v="746134"/>
  </r>
  <r>
    <n v="10214"/>
    <n v="3"/>
    <d v="2013-04-04T00:00:00"/>
    <s v="DVD"/>
    <n v="100540"/>
    <s v="AB100947"/>
    <x v="13"/>
    <n v="746134"/>
  </r>
  <r>
    <n v="10064"/>
    <n v="9"/>
    <d v="2013-04-04T00:00:00"/>
    <s v="DVD"/>
    <n v="100541"/>
    <s v="AB100948"/>
    <x v="7"/>
    <n v="739669"/>
  </r>
  <r>
    <n v="10038"/>
    <n v="2"/>
    <d v="2013-04-05T00:00:00"/>
    <s v="DVD"/>
    <n v="100541"/>
    <s v="AB100949"/>
    <x v="1"/>
    <n v="739669"/>
  </r>
  <r>
    <n v="10239"/>
    <n v="1"/>
    <d v="2013-04-05T00:00:00"/>
    <s v="DVD"/>
    <n v="100541"/>
    <s v="AB100950"/>
    <x v="2"/>
    <n v="739669"/>
  </r>
  <r>
    <n v="10145"/>
    <n v="9"/>
    <d v="2013-04-04T00:00:00"/>
    <s v="BLU-RAY"/>
    <n v="100542"/>
    <s v="AB100951"/>
    <x v="6"/>
    <n v="860057"/>
  </r>
  <r>
    <n v="10142"/>
    <n v="4"/>
    <d v="2013-04-04T00:00:00"/>
    <s v="BLU-RAY"/>
    <n v="100542"/>
    <s v="AB100952"/>
    <x v="0"/>
    <n v="860057"/>
  </r>
  <r>
    <n v="10057"/>
    <n v="9"/>
    <d v="2013-04-04T00:00:00"/>
    <s v="DVD"/>
    <n v="100542"/>
    <s v="AB100953"/>
    <x v="0"/>
    <n v="860057"/>
  </r>
  <r>
    <n v="10152"/>
    <n v="7"/>
    <d v="2013-04-04T00:00:00"/>
    <s v="DVD"/>
    <n v="100542"/>
    <s v="AB100954"/>
    <x v="16"/>
    <n v="860057"/>
  </r>
  <r>
    <n v="10154"/>
    <n v="1"/>
    <d v="2013-04-04T00:00:00"/>
    <s v="BLU-RAY"/>
    <n v="100542"/>
    <s v="AB100955"/>
    <x v="5"/>
    <n v="860057"/>
  </r>
  <r>
    <n v="10033"/>
    <n v="5"/>
    <d v="2013-04-04T00:00:00"/>
    <s v="DVD"/>
    <n v="100542"/>
    <s v="AB100956"/>
    <x v="10"/>
    <n v="860057"/>
  </r>
  <r>
    <n v="10248"/>
    <n v="2"/>
    <d v="2013-04-04T00:00:00"/>
    <s v="BLU-RAY"/>
    <n v="100542"/>
    <s v="AB100957"/>
    <x v="12"/>
    <n v="860057"/>
  </r>
  <r>
    <n v="10051"/>
    <n v="4"/>
    <d v="2013-04-04T00:00:00"/>
    <s v="BLU-RAY"/>
    <n v="100542"/>
    <s v="AB100958"/>
    <x v="1"/>
    <n v="860057"/>
  </r>
  <r>
    <n v="10225"/>
    <n v="1"/>
    <d v="2013-04-04T00:00:00"/>
    <s v="BLU-RAY"/>
    <n v="100543"/>
    <s v="AB100959"/>
    <x v="0"/>
    <n v="884729"/>
  </r>
  <r>
    <n v="10005"/>
    <n v="4"/>
    <d v="2013-04-04T00:00:00"/>
    <s v="BLU-RAY"/>
    <n v="100543"/>
    <s v="AB100960"/>
    <x v="3"/>
    <n v="884729"/>
  </r>
  <r>
    <n v="10078"/>
    <n v="6"/>
    <d v="2013-04-04T00:00:00"/>
    <s v="BLU-RAY"/>
    <n v="100543"/>
    <s v="AB100961"/>
    <x v="1"/>
    <n v="884729"/>
  </r>
  <r>
    <n v="10188"/>
    <n v="2"/>
    <d v="2013-04-04T00:00:00"/>
    <s v="DVD"/>
    <n v="100543"/>
    <s v="AB100962"/>
    <x v="1"/>
    <n v="884729"/>
  </r>
  <r>
    <n v="10222"/>
    <n v="10"/>
    <d v="2013-04-04T00:00:00"/>
    <s v="DVD"/>
    <n v="100544"/>
    <s v="AB100963"/>
    <x v="4"/>
    <n v="292402"/>
  </r>
  <r>
    <n v="10206"/>
    <n v="3"/>
    <d v="2013-04-05T00:00:00"/>
    <s v="DVD"/>
    <n v="100545"/>
    <s v="AB100964"/>
    <x v="9"/>
    <n v="771285"/>
  </r>
  <r>
    <n v="10130"/>
    <n v="4"/>
    <d v="2013-04-04T00:00:00"/>
    <s v="BLU-RAY"/>
    <n v="100545"/>
    <s v="AB100965"/>
    <x v="21"/>
    <n v="771285"/>
  </r>
  <r>
    <n v="10167"/>
    <n v="10"/>
    <d v="2013-04-04T00:00:00"/>
    <s v="BLU-RAY"/>
    <n v="100545"/>
    <s v="AB100966"/>
    <x v="7"/>
    <n v="771285"/>
  </r>
  <r>
    <n v="10159"/>
    <n v="2"/>
    <d v="2013-04-05T00:00:00"/>
    <s v="DVD"/>
    <n v="100546"/>
    <s v="AB100967"/>
    <x v="10"/>
    <n v="921792"/>
  </r>
  <r>
    <n v="10112"/>
    <n v="9"/>
    <d v="2013-04-04T00:00:00"/>
    <s v="DVD"/>
    <n v="100547"/>
    <s v="AB100968"/>
    <x v="12"/>
    <n v="737707"/>
  </r>
  <r>
    <n v="10201"/>
    <n v="1"/>
    <d v="2013-04-06T00:00:00"/>
    <s v="BLU-RAY"/>
    <n v="100548"/>
    <s v="AB100969"/>
    <x v="8"/>
    <n v="412929"/>
  </r>
  <r>
    <n v="10004"/>
    <n v="7"/>
    <d v="2013-04-05T00:00:00"/>
    <s v="DVD"/>
    <n v="100548"/>
    <s v="AB100970"/>
    <x v="1"/>
    <n v="412929"/>
  </r>
  <r>
    <n v="10098"/>
    <n v="4"/>
    <d v="2013-04-07T00:00:00"/>
    <s v="DVD"/>
    <n v="100548"/>
    <s v="AB100971"/>
    <x v="0"/>
    <n v="412929"/>
  </r>
  <r>
    <n v="10098"/>
    <n v="7"/>
    <d v="2013-04-05T00:00:00"/>
    <s v="BLU-RAY"/>
    <n v="100549"/>
    <s v="AB100972"/>
    <x v="0"/>
    <n v="756769"/>
  </r>
  <r>
    <n v="10221"/>
    <n v="3"/>
    <d v="2013-04-05T00:00:00"/>
    <s v="BLU-RAY"/>
    <n v="100550"/>
    <s v="AB100973"/>
    <x v="9"/>
    <n v="292402"/>
  </r>
  <r>
    <n v="10269"/>
    <n v="6"/>
    <d v="2013-04-05T00:00:00"/>
    <s v="DVD"/>
    <n v="100551"/>
    <s v="AB100974"/>
    <x v="3"/>
    <n v="276549"/>
  </r>
  <r>
    <n v="10260"/>
    <n v="4"/>
    <d v="2013-04-07T00:00:00"/>
    <s v="DVD"/>
    <n v="100551"/>
    <s v="AB100975"/>
    <x v="4"/>
    <n v="276549"/>
  </r>
  <r>
    <n v="10163"/>
    <n v="10"/>
    <d v="2013-04-06T00:00:00"/>
    <s v="DVD"/>
    <n v="100552"/>
    <s v="AB100976"/>
    <x v="0"/>
    <n v="665282"/>
  </r>
  <r>
    <n v="10258"/>
    <n v="9"/>
    <d v="2013-04-07T00:00:00"/>
    <s v="BLU-RAY"/>
    <n v="100553"/>
    <s v="AB100977"/>
    <x v="0"/>
    <n v="737707"/>
  </r>
  <r>
    <n v="10234"/>
    <n v="10"/>
    <d v="2013-04-06T00:00:00"/>
    <s v="DVD"/>
    <n v="100553"/>
    <s v="AB100978"/>
    <x v="0"/>
    <n v="737707"/>
  </r>
  <r>
    <n v="10261"/>
    <n v="9"/>
    <d v="2013-04-06T00:00:00"/>
    <s v="DVD"/>
    <n v="100554"/>
    <s v="AB100979"/>
    <x v="9"/>
    <n v="720602"/>
  </r>
  <r>
    <n v="10013"/>
    <n v="5"/>
    <d v="2013-04-07T00:00:00"/>
    <s v="BLU-RAY"/>
    <n v="100554"/>
    <s v="AB100980"/>
    <x v="11"/>
    <n v="720602"/>
  </r>
  <r>
    <n v="10069"/>
    <n v="1"/>
    <d v="2013-04-06T00:00:00"/>
    <s v="DVD"/>
    <n v="100555"/>
    <s v="AB100981"/>
    <x v="0"/>
    <n v="283158"/>
  </r>
  <r>
    <n v="10295"/>
    <n v="9"/>
    <d v="2013-04-06T00:00:00"/>
    <s v="BLU-RAY"/>
    <n v="100555"/>
    <s v="AB100982"/>
    <x v="21"/>
    <n v="283158"/>
  </r>
  <r>
    <n v="10221"/>
    <n v="10"/>
    <d v="2013-04-06T00:00:00"/>
    <s v="DVD"/>
    <n v="100555"/>
    <s v="AB100983"/>
    <x v="9"/>
    <n v="283158"/>
  </r>
  <r>
    <n v="10082"/>
    <n v="5"/>
    <d v="2013-04-07T00:00:00"/>
    <s v="BLU-RAY"/>
    <n v="100556"/>
    <s v="AB100984"/>
    <x v="3"/>
    <n v="776775"/>
  </r>
  <r>
    <n v="10214"/>
    <n v="2"/>
    <d v="2013-04-07T00:00:00"/>
    <s v="BLU-RAY"/>
    <n v="100557"/>
    <s v="AB100985"/>
    <x v="13"/>
    <n v="938417"/>
  </r>
  <r>
    <n v="10056"/>
    <n v="7"/>
    <d v="2013-04-08T00:00:00"/>
    <s v="BLU-RAY"/>
    <n v="100557"/>
    <s v="AB100986"/>
    <x v="8"/>
    <n v="938417"/>
  </r>
  <r>
    <n v="10136"/>
    <n v="2"/>
    <d v="2013-04-09T00:00:00"/>
    <s v="DVD"/>
    <n v="100558"/>
    <s v="AB100987"/>
    <x v="2"/>
    <n v="841831"/>
  </r>
  <r>
    <n v="10127"/>
    <n v="1"/>
    <d v="2013-04-07T00:00:00"/>
    <s v="BLU-RAY"/>
    <n v="100558"/>
    <s v="AB100988"/>
    <x v="6"/>
    <n v="841831"/>
  </r>
  <r>
    <n v="10077"/>
    <n v="4"/>
    <d v="2013-04-07T00:00:00"/>
    <s v="DVD"/>
    <n v="100559"/>
    <s v="AB100989"/>
    <x v="0"/>
    <n v="628132"/>
  </r>
  <r>
    <n v="10251"/>
    <n v="7"/>
    <d v="2013-04-08T00:00:00"/>
    <s v="BLU-RAY"/>
    <n v="100560"/>
    <s v="AB100990"/>
    <x v="7"/>
    <n v="608290"/>
  </r>
  <r>
    <n v="10240"/>
    <n v="8"/>
    <d v="2013-04-08T00:00:00"/>
    <s v="DVD"/>
    <n v="100560"/>
    <s v="AB100991"/>
    <x v="0"/>
    <n v="608290"/>
  </r>
  <r>
    <n v="10042"/>
    <n v="7"/>
    <d v="2013-04-07T00:00:00"/>
    <s v="DVD"/>
    <n v="100561"/>
    <s v="AB100992"/>
    <x v="1"/>
    <n v="491380"/>
  </r>
  <r>
    <n v="10217"/>
    <n v="4"/>
    <d v="2013-04-08T00:00:00"/>
    <s v="DVD"/>
    <n v="100561"/>
    <s v="AB100993"/>
    <x v="0"/>
    <n v="491380"/>
  </r>
  <r>
    <n v="10159"/>
    <n v="3"/>
    <d v="2013-04-07T00:00:00"/>
    <s v="DVD"/>
    <n v="100561"/>
    <s v="AB100994"/>
    <x v="10"/>
    <n v="491380"/>
  </r>
  <r>
    <n v="10144"/>
    <n v="9"/>
    <d v="2013-04-09T00:00:00"/>
    <s v="BLU-RAY"/>
    <n v="100562"/>
    <s v="AB100995"/>
    <x v="2"/>
    <n v="378374"/>
  </r>
  <r>
    <n v="10211"/>
    <n v="2"/>
    <d v="2013-04-08T00:00:00"/>
    <s v="DVD"/>
    <n v="100563"/>
    <s v="AB100996"/>
    <x v="3"/>
    <n v="585972"/>
  </r>
  <r>
    <n v="10237"/>
    <n v="10"/>
    <d v="2013-04-09T00:00:00"/>
    <s v="DVD"/>
    <n v="100564"/>
    <s v="AB100997"/>
    <x v="0"/>
    <n v="346006"/>
  </r>
  <r>
    <n v="10180"/>
    <n v="4"/>
    <d v="2013-04-09T00:00:00"/>
    <s v="DVD"/>
    <n v="100565"/>
    <s v="AB100998"/>
    <x v="12"/>
    <n v="995599"/>
  </r>
  <r>
    <n v="10096"/>
    <n v="1"/>
    <d v="2013-04-09T00:00:00"/>
    <s v="BLU-RAY"/>
    <n v="100566"/>
    <s v="AB100999"/>
    <x v="7"/>
    <n v="515753"/>
  </r>
  <r>
    <n v="10161"/>
    <n v="1"/>
    <d v="2013-04-09T00:00:00"/>
    <s v="BLU-RAY"/>
    <n v="100566"/>
    <s v="AB101000"/>
    <x v="6"/>
    <n v="515753"/>
  </r>
  <r>
    <n v="10048"/>
    <n v="1"/>
    <d v="2013-04-09T00:00:00"/>
    <s v="DVD"/>
    <n v="100567"/>
    <s v="AB101001"/>
    <x v="12"/>
    <n v="500828"/>
  </r>
  <r>
    <n v="10046"/>
    <n v="7"/>
    <d v="2013-04-11T00:00:00"/>
    <s v="DVD"/>
    <n v="100567"/>
    <s v="AB101002"/>
    <x v="4"/>
    <n v="500828"/>
  </r>
  <r>
    <n v="10235"/>
    <n v="10"/>
    <d v="2013-04-09T00:00:00"/>
    <s v="BLU-RAY"/>
    <n v="100567"/>
    <s v="AB101003"/>
    <x v="10"/>
    <n v="500828"/>
  </r>
  <r>
    <n v="10051"/>
    <n v="3"/>
    <d v="2013-04-09T00:00:00"/>
    <s v="BLU-RAY"/>
    <n v="100568"/>
    <s v="AB101004"/>
    <x v="1"/>
    <n v="926289"/>
  </r>
  <r>
    <n v="10111"/>
    <n v="1"/>
    <d v="2013-04-10T00:00:00"/>
    <s v="BLU-RAY"/>
    <n v="100569"/>
    <s v="AB101005"/>
    <x v="9"/>
    <n v="304344"/>
  </r>
  <r>
    <n v="10228"/>
    <n v="7"/>
    <d v="2013-04-10T00:00:00"/>
    <s v="BLU-RAY"/>
    <n v="100569"/>
    <s v="AB101006"/>
    <x v="7"/>
    <n v="304344"/>
  </r>
  <r>
    <n v="10292"/>
    <n v="8"/>
    <d v="2013-04-11T00:00:00"/>
    <s v="BLU-RAY"/>
    <n v="100569"/>
    <s v="AB101007"/>
    <x v="15"/>
    <n v="304344"/>
  </r>
  <r>
    <n v="10122"/>
    <n v="1"/>
    <d v="2013-04-10T00:00:00"/>
    <s v="DVD"/>
    <n v="100570"/>
    <s v="AB101008"/>
    <x v="12"/>
    <n v="741514"/>
  </r>
  <r>
    <n v="10226"/>
    <n v="8"/>
    <d v="2013-04-10T00:00:00"/>
    <s v="DVD"/>
    <n v="100570"/>
    <s v="AB101009"/>
    <x v="4"/>
    <n v="741514"/>
  </r>
  <r>
    <n v="10140"/>
    <n v="8"/>
    <d v="2013-04-10T00:00:00"/>
    <s v="DVD"/>
    <n v="100571"/>
    <s v="AB101010"/>
    <x v="2"/>
    <n v="454015"/>
  </r>
  <r>
    <n v="10122"/>
    <n v="2"/>
    <d v="2013-04-10T00:00:00"/>
    <s v="BLU-RAY"/>
    <n v="100572"/>
    <s v="AB101011"/>
    <x v="12"/>
    <n v="305005"/>
  </r>
  <r>
    <n v="10061"/>
    <n v="2"/>
    <d v="2013-04-10T00:00:00"/>
    <s v="BLU-RAY"/>
    <n v="100572"/>
    <s v="AB101012"/>
    <x v="9"/>
    <n v="305005"/>
  </r>
  <r>
    <n v="10010"/>
    <n v="5"/>
    <d v="2013-04-10T00:00:00"/>
    <s v="DVD"/>
    <n v="100572"/>
    <s v="AB101013"/>
    <x v="3"/>
    <n v="305005"/>
  </r>
  <r>
    <n v="10185"/>
    <n v="8"/>
    <d v="2013-04-11T00:00:00"/>
    <s v="DVD"/>
    <n v="100573"/>
    <s v="AB101014"/>
    <x v="0"/>
    <n v="336644"/>
  </r>
  <r>
    <n v="10021"/>
    <n v="8"/>
    <d v="2013-04-12T00:00:00"/>
    <s v="DVD"/>
    <n v="100573"/>
    <s v="AB101015"/>
    <x v="1"/>
    <n v="336644"/>
  </r>
  <r>
    <n v="10017"/>
    <n v="3"/>
    <d v="2013-04-12T00:00:00"/>
    <s v="DVD"/>
    <n v="100573"/>
    <s v="AB101016"/>
    <x v="4"/>
    <n v="336644"/>
  </r>
  <r>
    <n v="10127"/>
    <n v="6"/>
    <d v="2013-04-12T00:00:00"/>
    <s v="DVD"/>
    <n v="100573"/>
    <s v="AB101017"/>
    <x v="6"/>
    <n v="336644"/>
  </r>
  <r>
    <n v="10180"/>
    <n v="4"/>
    <d v="2013-04-11T00:00:00"/>
    <s v="BLU-RAY"/>
    <n v="100574"/>
    <s v="AB101018"/>
    <x v="12"/>
    <n v="305005"/>
  </r>
  <r>
    <n v="10061"/>
    <n v="9"/>
    <d v="2013-04-12T00:00:00"/>
    <s v="DVD"/>
    <n v="100574"/>
    <s v="AB101019"/>
    <x v="9"/>
    <n v="305005"/>
  </r>
  <r>
    <n v="10265"/>
    <n v="5"/>
    <d v="2013-04-11T00:00:00"/>
    <s v="BLU-RAY"/>
    <n v="100575"/>
    <s v="AB101020"/>
    <x v="0"/>
    <n v="921792"/>
  </r>
  <r>
    <n v="10263"/>
    <n v="4"/>
    <d v="2013-04-13T00:00:00"/>
    <s v="BLU-RAY"/>
    <n v="100575"/>
    <s v="AB101021"/>
    <x v="9"/>
    <n v="921792"/>
  </r>
  <r>
    <n v="10197"/>
    <n v="8"/>
    <d v="2013-04-11T00:00:00"/>
    <s v="DVD"/>
    <n v="100576"/>
    <s v="AB101022"/>
    <x v="0"/>
    <n v="739440"/>
  </r>
  <r>
    <n v="10139"/>
    <n v="8"/>
    <d v="2013-04-11T00:00:00"/>
    <s v="BLU-RAY"/>
    <n v="100576"/>
    <s v="AB101023"/>
    <x v="14"/>
    <n v="739440"/>
  </r>
  <r>
    <n v="10152"/>
    <n v="6"/>
    <d v="2013-04-11T00:00:00"/>
    <s v="BLU-RAY"/>
    <n v="100576"/>
    <s v="AB101024"/>
    <x v="16"/>
    <n v="739440"/>
  </r>
  <r>
    <n v="10186"/>
    <n v="7"/>
    <d v="2013-04-11T00:00:00"/>
    <s v="BLU-RAY"/>
    <n v="100577"/>
    <s v="AB101025"/>
    <x v="10"/>
    <n v="567388"/>
  </r>
  <r>
    <n v="10211"/>
    <n v="7"/>
    <d v="2013-04-12T00:00:00"/>
    <s v="DVD"/>
    <n v="100577"/>
    <s v="AB101026"/>
    <x v="3"/>
    <n v="567388"/>
  </r>
  <r>
    <n v="10249"/>
    <n v="1"/>
    <d v="2013-04-11T00:00:00"/>
    <s v="DVD"/>
    <n v="100577"/>
    <s v="AB101027"/>
    <x v="5"/>
    <n v="567388"/>
  </r>
  <r>
    <n v="10064"/>
    <n v="2"/>
    <d v="2013-04-11T00:00:00"/>
    <s v="DVD"/>
    <n v="100577"/>
    <s v="AB101028"/>
    <x v="7"/>
    <n v="567388"/>
  </r>
  <r>
    <n v="10024"/>
    <n v="4"/>
    <d v="2013-04-11T00:00:00"/>
    <s v="DVD"/>
    <n v="100578"/>
    <s v="AB101029"/>
    <x v="9"/>
    <n v="214537"/>
  </r>
  <r>
    <n v="10132"/>
    <n v="1"/>
    <d v="2013-04-11T00:00:00"/>
    <s v="BLU-RAY"/>
    <n v="100578"/>
    <s v="AB101030"/>
    <x v="10"/>
    <n v="214537"/>
  </r>
  <r>
    <n v="10205"/>
    <n v="2"/>
    <d v="2013-04-11T00:00:00"/>
    <s v="BLU-RAY"/>
    <n v="100578"/>
    <s v="AB101031"/>
    <x v="1"/>
    <n v="214537"/>
  </r>
  <r>
    <n v="10208"/>
    <n v="1"/>
    <d v="2013-04-12T00:00:00"/>
    <s v="DVD"/>
    <n v="100578"/>
    <s v="AB101032"/>
    <x v="0"/>
    <n v="214537"/>
  </r>
  <r>
    <n v="10281"/>
    <n v="7"/>
    <d v="2013-04-13T00:00:00"/>
    <s v="DVD"/>
    <n v="100579"/>
    <s v="AB101033"/>
    <x v="10"/>
    <n v="643305"/>
  </r>
  <r>
    <n v="10031"/>
    <n v="9"/>
    <d v="2013-04-13T00:00:00"/>
    <s v="DVD"/>
    <n v="100579"/>
    <s v="AB101034"/>
    <x v="0"/>
    <n v="643305"/>
  </r>
  <r>
    <n v="10220"/>
    <n v="3"/>
    <d v="2013-04-14T00:00:00"/>
    <s v="DVD"/>
    <n v="100579"/>
    <s v="AB101035"/>
    <x v="9"/>
    <n v="643305"/>
  </r>
  <r>
    <n v="10291"/>
    <n v="8"/>
    <d v="2013-04-13T00:00:00"/>
    <s v="BLU-RAY"/>
    <n v="100580"/>
    <s v="AB101036"/>
    <x v="0"/>
    <n v="884607"/>
  </r>
  <r>
    <n v="10271"/>
    <n v="5"/>
    <d v="2013-04-12T00:00:00"/>
    <s v="BLU-RAY"/>
    <n v="100581"/>
    <s v="AB101037"/>
    <x v="7"/>
    <n v="734624"/>
  </r>
  <r>
    <n v="10234"/>
    <n v="6"/>
    <d v="2013-04-12T00:00:00"/>
    <s v="DVD"/>
    <n v="100582"/>
    <s v="AB101038"/>
    <x v="0"/>
    <n v="885548"/>
  </r>
  <r>
    <n v="10133"/>
    <n v="2"/>
    <d v="2013-04-12T00:00:00"/>
    <s v="BLU-RAY"/>
    <n v="100583"/>
    <s v="AB101039"/>
    <x v="9"/>
    <n v="249188"/>
  </r>
  <r>
    <n v="10014"/>
    <n v="6"/>
    <d v="2013-04-12T00:00:00"/>
    <s v="BLU-RAY"/>
    <n v="100584"/>
    <s v="AB101040"/>
    <x v="0"/>
    <n v="464782"/>
  </r>
  <r>
    <n v="10110"/>
    <n v="5"/>
    <d v="2013-04-13T00:00:00"/>
    <s v="BLU-RAY"/>
    <n v="100584"/>
    <s v="AB101041"/>
    <x v="0"/>
    <n v="464782"/>
  </r>
  <r>
    <n v="10101"/>
    <n v="2"/>
    <d v="2013-04-13T00:00:00"/>
    <s v="BLU-RAY"/>
    <n v="100584"/>
    <s v="AB101042"/>
    <x v="4"/>
    <n v="464782"/>
  </r>
  <r>
    <n v="10260"/>
    <n v="8"/>
    <d v="2013-04-12T00:00:00"/>
    <s v="BLU-RAY"/>
    <n v="100585"/>
    <s v="AB101043"/>
    <x v="4"/>
    <n v="748326"/>
  </r>
  <r>
    <n v="10253"/>
    <n v="3"/>
    <d v="2013-04-13T00:00:00"/>
    <s v="DVD"/>
    <n v="100586"/>
    <s v="AB101044"/>
    <x v="3"/>
    <n v="415869"/>
  </r>
  <r>
    <n v="10162"/>
    <n v="4"/>
    <d v="2013-04-13T00:00:00"/>
    <s v="DVD"/>
    <n v="100587"/>
    <s v="AB101045"/>
    <x v="4"/>
    <n v="825249"/>
  </r>
  <r>
    <n v="10223"/>
    <n v="5"/>
    <d v="2013-04-13T00:00:00"/>
    <s v="BLU-RAY"/>
    <n v="100587"/>
    <s v="AB101046"/>
    <x v="7"/>
    <n v="825249"/>
  </r>
  <r>
    <n v="10029"/>
    <n v="5"/>
    <d v="2013-04-13T00:00:00"/>
    <s v="DVD"/>
    <n v="100588"/>
    <s v="AB101047"/>
    <x v="12"/>
    <n v="817159"/>
  </r>
  <r>
    <n v="10226"/>
    <n v="1"/>
    <d v="2013-04-14T00:00:00"/>
    <s v="DVD"/>
    <n v="100588"/>
    <s v="AB101048"/>
    <x v="4"/>
    <n v="817159"/>
  </r>
  <r>
    <n v="10263"/>
    <n v="5"/>
    <d v="2013-04-13T00:00:00"/>
    <s v="BLU-RAY"/>
    <n v="100589"/>
    <s v="AB101049"/>
    <x v="9"/>
    <n v="771285"/>
  </r>
  <r>
    <n v="10082"/>
    <n v="3"/>
    <d v="2013-04-13T00:00:00"/>
    <s v="DVD"/>
    <n v="100590"/>
    <s v="AB101050"/>
    <x v="3"/>
    <n v="227456"/>
  </r>
  <r>
    <n v="10249"/>
    <n v="5"/>
    <d v="2013-04-13T00:00:00"/>
    <s v="BLU-RAY"/>
    <n v="100591"/>
    <s v="AB101051"/>
    <x v="5"/>
    <n v="862302"/>
  </r>
  <r>
    <n v="10033"/>
    <n v="9"/>
    <d v="2013-04-14T00:00:00"/>
    <s v="DVD"/>
    <n v="100592"/>
    <s v="AB101052"/>
    <x v="10"/>
    <n v="879173"/>
  </r>
  <r>
    <n v="10274"/>
    <n v="8"/>
    <d v="2013-04-14T00:00:00"/>
    <s v="DVD"/>
    <n v="100592"/>
    <s v="AB101053"/>
    <x v="9"/>
    <n v="879173"/>
  </r>
  <r>
    <n v="10287"/>
    <n v="5"/>
    <d v="2013-04-15T00:00:00"/>
    <s v="BLU-RAY"/>
    <n v="100592"/>
    <s v="AB101054"/>
    <x v="10"/>
    <n v="879173"/>
  </r>
  <r>
    <n v="10098"/>
    <n v="8"/>
    <d v="2013-04-15T00:00:00"/>
    <s v="DVD"/>
    <n v="100593"/>
    <s v="AB101055"/>
    <x v="0"/>
    <n v="459243"/>
  </r>
  <r>
    <n v="10018"/>
    <n v="1"/>
    <d v="2013-04-14T00:00:00"/>
    <s v="BLU-RAY"/>
    <n v="100594"/>
    <s v="AB101056"/>
    <x v="9"/>
    <n v="418635"/>
  </r>
  <r>
    <n v="10192"/>
    <n v="9"/>
    <d v="2013-04-14T00:00:00"/>
    <s v="DVD"/>
    <n v="100595"/>
    <s v="AB101057"/>
    <x v="7"/>
    <n v="278204"/>
  </r>
  <r>
    <n v="10149"/>
    <n v="9"/>
    <d v="2013-04-17T00:00:00"/>
    <s v="DVD"/>
    <n v="100596"/>
    <s v="AB101058"/>
    <x v="12"/>
    <n v="643214"/>
  </r>
  <r>
    <n v="10120"/>
    <n v="6"/>
    <d v="2013-04-15T00:00:00"/>
    <s v="BLU-RAY"/>
    <n v="100597"/>
    <s v="AB101059"/>
    <x v="14"/>
    <n v="800121"/>
  </r>
  <r>
    <n v="10087"/>
    <n v="2"/>
    <d v="2013-04-15T00:00:00"/>
    <s v="DVD"/>
    <n v="100598"/>
    <s v="AB101060"/>
    <x v="10"/>
    <n v="981529"/>
  </r>
  <r>
    <n v="10291"/>
    <n v="4"/>
    <d v="2013-04-15T00:00:00"/>
    <s v="DVD"/>
    <n v="100599"/>
    <s v="AB101061"/>
    <x v="0"/>
    <n v="283158"/>
  </r>
  <r>
    <n v="10195"/>
    <n v="3"/>
    <d v="2013-04-15T00:00:00"/>
    <s v="DVD"/>
    <n v="100599"/>
    <s v="AB101062"/>
    <x v="4"/>
    <n v="283158"/>
  </r>
  <r>
    <n v="10226"/>
    <n v="8"/>
    <d v="2013-04-15T00:00:00"/>
    <s v="BLU-RAY"/>
    <n v="100600"/>
    <s v="AB101063"/>
    <x v="4"/>
    <n v="412929"/>
  </r>
  <r>
    <n v="10039"/>
    <n v="4"/>
    <d v="2013-04-16T00:00:00"/>
    <s v="DVD"/>
    <n v="100601"/>
    <s v="AB101064"/>
    <x v="11"/>
    <n v="756769"/>
  </r>
  <r>
    <n v="10259"/>
    <n v="3"/>
    <d v="2013-04-16T00:00:00"/>
    <s v="DVD"/>
    <n v="100601"/>
    <s v="AB101065"/>
    <x v="0"/>
    <n v="756769"/>
  </r>
  <r>
    <n v="10242"/>
    <n v="9"/>
    <d v="2013-04-18T00:00:00"/>
    <s v="BLU-RAY"/>
    <n v="100602"/>
    <s v="AB101066"/>
    <x v="3"/>
    <n v="782947"/>
  </r>
  <r>
    <n v="10052"/>
    <n v="3"/>
    <d v="2013-04-16T00:00:00"/>
    <s v="DVD"/>
    <n v="100603"/>
    <s v="AB101067"/>
    <x v="0"/>
    <n v="832914"/>
  </r>
  <r>
    <n v="10094"/>
    <n v="5"/>
    <d v="2013-04-17T00:00:00"/>
    <s v="DVD"/>
    <n v="100604"/>
    <s v="AB101068"/>
    <x v="12"/>
    <n v="199895"/>
  </r>
  <r>
    <n v="10207"/>
    <n v="3"/>
    <d v="2013-04-17T00:00:00"/>
    <s v="DVD"/>
    <n v="100604"/>
    <s v="AB101069"/>
    <x v="1"/>
    <n v="199895"/>
  </r>
  <r>
    <n v="10008"/>
    <n v="7"/>
    <d v="2013-04-16T00:00:00"/>
    <s v="BLU-RAY"/>
    <n v="100605"/>
    <s v="AB101070"/>
    <x v="4"/>
    <n v="566192"/>
  </r>
  <r>
    <n v="10042"/>
    <n v="8"/>
    <d v="2013-04-17T00:00:00"/>
    <s v="BLU-RAY"/>
    <n v="100606"/>
    <s v="AB101071"/>
    <x v="1"/>
    <n v="580783"/>
  </r>
  <r>
    <n v="10147"/>
    <n v="2"/>
    <d v="2013-04-18T00:00:00"/>
    <s v="BLU-RAY"/>
    <n v="100606"/>
    <s v="AB101072"/>
    <x v="10"/>
    <n v="580783"/>
  </r>
  <r>
    <n v="10232"/>
    <n v="9"/>
    <d v="2013-04-18T00:00:00"/>
    <s v="DVD"/>
    <n v="100607"/>
    <s v="AB101073"/>
    <x v="1"/>
    <n v="386950"/>
  </r>
  <r>
    <n v="10146"/>
    <n v="6"/>
    <d v="2013-04-18T00:00:00"/>
    <s v="DVD"/>
    <n v="100608"/>
    <s v="AB101074"/>
    <x v="4"/>
    <n v="992956"/>
  </r>
  <r>
    <n v="10222"/>
    <n v="10"/>
    <d v="2013-04-18T00:00:00"/>
    <s v="DVD"/>
    <n v="100609"/>
    <s v="AB101075"/>
    <x v="4"/>
    <n v="464782"/>
  </r>
  <r>
    <n v="10105"/>
    <n v="2"/>
    <d v="2013-04-19T00:00:00"/>
    <s v="DVD"/>
    <n v="100610"/>
    <s v="AB101076"/>
    <x v="2"/>
    <n v="408341"/>
  </r>
  <r>
    <n v="10208"/>
    <n v="4"/>
    <d v="2013-04-18T00:00:00"/>
    <s v="BLU-RAY"/>
    <n v="100610"/>
    <s v="AB101077"/>
    <x v="0"/>
    <n v="408341"/>
  </r>
  <r>
    <n v="10261"/>
    <n v="4"/>
    <d v="2013-04-19T00:00:00"/>
    <s v="BLU-RAY"/>
    <n v="100611"/>
    <s v="AB101078"/>
    <x v="9"/>
    <n v="464984"/>
  </r>
  <r>
    <n v="10202"/>
    <n v="1"/>
    <d v="2013-04-19T00:00:00"/>
    <s v="DVD"/>
    <n v="100612"/>
    <s v="AB101079"/>
    <x v="0"/>
    <n v="781523"/>
  </r>
  <r>
    <n v="10126"/>
    <n v="1"/>
    <d v="2013-04-20T00:00:00"/>
    <s v="DVD"/>
    <n v="100612"/>
    <s v="AB101080"/>
    <x v="9"/>
    <n v="781523"/>
  </r>
  <r>
    <n v="10008"/>
    <n v="8"/>
    <d v="2013-04-20T00:00:00"/>
    <s v="DVD"/>
    <n v="100612"/>
    <s v="AB101081"/>
    <x v="4"/>
    <n v="781523"/>
  </r>
  <r>
    <n v="10087"/>
    <n v="10"/>
    <d v="2013-04-19T00:00:00"/>
    <s v="BLU-RAY"/>
    <n v="100613"/>
    <s v="AB101082"/>
    <x v="10"/>
    <n v="917728"/>
  </r>
  <r>
    <n v="10050"/>
    <n v="2"/>
    <d v="2013-04-19T00:00:00"/>
    <s v="BLU-RAY"/>
    <n v="100613"/>
    <s v="AB101083"/>
    <x v="1"/>
    <n v="917728"/>
  </r>
  <r>
    <n v="10037"/>
    <n v="4"/>
    <d v="2013-04-21T00:00:00"/>
    <s v="BLU-RAY"/>
    <n v="100613"/>
    <s v="AB101084"/>
    <x v="3"/>
    <n v="917728"/>
  </r>
  <r>
    <n v="10227"/>
    <n v="7"/>
    <d v="2013-04-20T00:00:00"/>
    <s v="DVD"/>
    <n v="100614"/>
    <s v="AB101085"/>
    <x v="14"/>
    <n v="249188"/>
  </r>
  <r>
    <n v="10064"/>
    <n v="1"/>
    <d v="2013-04-22T00:00:00"/>
    <s v="BLU-RAY"/>
    <n v="100615"/>
    <s v="AB101086"/>
    <x v="7"/>
    <n v="127472"/>
  </r>
  <r>
    <n v="10192"/>
    <n v="9"/>
    <d v="2013-04-20T00:00:00"/>
    <s v="DVD"/>
    <n v="100616"/>
    <s v="AB101087"/>
    <x v="7"/>
    <n v="432268"/>
  </r>
  <r>
    <n v="10017"/>
    <n v="10"/>
    <d v="2013-04-20T00:00:00"/>
    <s v="DVD"/>
    <n v="100617"/>
    <s v="AB101088"/>
    <x v="4"/>
    <n v="628132"/>
  </r>
  <r>
    <n v="10206"/>
    <n v="2"/>
    <d v="2013-04-21T00:00:00"/>
    <s v="BLU-RAY"/>
    <n v="100617"/>
    <s v="AB101089"/>
    <x v="9"/>
    <n v="628132"/>
  </r>
  <r>
    <n v="10283"/>
    <n v="8"/>
    <d v="2013-04-20T00:00:00"/>
    <s v="DVD"/>
    <n v="100618"/>
    <s v="AB101090"/>
    <x v="6"/>
    <n v="520078"/>
  </r>
  <r>
    <n v="10203"/>
    <n v="7"/>
    <d v="2013-04-20T00:00:00"/>
    <s v="BLU-RAY"/>
    <n v="100618"/>
    <s v="AB101091"/>
    <x v="3"/>
    <n v="520078"/>
  </r>
  <r>
    <n v="10082"/>
    <n v="2"/>
    <d v="2013-04-20T00:00:00"/>
    <s v="BLU-RAY"/>
    <n v="100619"/>
    <s v="AB101092"/>
    <x v="3"/>
    <n v="676155"/>
  </r>
  <r>
    <n v="10059"/>
    <n v="5"/>
    <d v="2013-04-21T00:00:00"/>
    <s v="DVD"/>
    <n v="100620"/>
    <s v="AB101093"/>
    <x v="7"/>
    <n v="950299"/>
  </r>
  <r>
    <n v="10290"/>
    <n v="9"/>
    <d v="2013-04-22T00:00:00"/>
    <s v="DVD"/>
    <n v="100620"/>
    <s v="AB101094"/>
    <x v="2"/>
    <n v="950299"/>
  </r>
  <r>
    <n v="10221"/>
    <n v="6"/>
    <d v="2013-04-21T00:00:00"/>
    <s v="DVD"/>
    <n v="100621"/>
    <s v="AB101095"/>
    <x v="9"/>
    <n v="739669"/>
  </r>
  <r>
    <n v="10184"/>
    <n v="10"/>
    <d v="2013-04-21T00:00:00"/>
    <s v="DVD"/>
    <n v="100621"/>
    <s v="AB101096"/>
    <x v="7"/>
    <n v="739669"/>
  </r>
  <r>
    <n v="10285"/>
    <n v="7"/>
    <d v="2013-04-21T00:00:00"/>
    <s v="DVD"/>
    <n v="100622"/>
    <s v="AB101097"/>
    <x v="20"/>
    <n v="850952"/>
  </r>
  <r>
    <n v="10175"/>
    <n v="9"/>
    <d v="2013-04-21T00:00:00"/>
    <s v="DVD"/>
    <n v="100622"/>
    <s v="AB101098"/>
    <x v="3"/>
    <n v="850952"/>
  </r>
  <r>
    <n v="10026"/>
    <n v="3"/>
    <d v="2013-04-21T00:00:00"/>
    <s v="BLU-RAY"/>
    <n v="100623"/>
    <s v="AB101099"/>
    <x v="9"/>
    <n v="789308"/>
  </r>
  <r>
    <n v="10115"/>
    <n v="8"/>
    <d v="2013-04-21T00:00:00"/>
    <s v="DVD"/>
    <n v="100624"/>
    <s v="AB101100"/>
    <x v="11"/>
    <n v="578275"/>
  </r>
  <r>
    <n v="10112"/>
    <n v="2"/>
    <d v="2013-04-21T00:00:00"/>
    <s v="DVD"/>
    <n v="100624"/>
    <s v="AB101101"/>
    <x v="12"/>
    <n v="578275"/>
  </r>
  <r>
    <n v="10258"/>
    <n v="9"/>
    <d v="2013-04-22T00:00:00"/>
    <s v="DVD"/>
    <n v="100625"/>
    <s v="AB101102"/>
    <x v="0"/>
    <n v="994185"/>
  </r>
  <r>
    <n v="10183"/>
    <n v="3"/>
    <d v="2013-04-21T00:00:00"/>
    <s v="DVD"/>
    <n v="100625"/>
    <s v="AB101103"/>
    <x v="4"/>
    <n v="994185"/>
  </r>
  <r>
    <n v="10182"/>
    <n v="2"/>
    <d v="2013-04-22T00:00:00"/>
    <s v="BLU-RAY"/>
    <n v="100626"/>
    <s v="AB101104"/>
    <x v="0"/>
    <n v="885548"/>
  </r>
  <r>
    <n v="10147"/>
    <n v="2"/>
    <d v="2013-04-22T00:00:00"/>
    <s v="BLU-RAY"/>
    <n v="100627"/>
    <s v="AB101105"/>
    <x v="10"/>
    <n v="432268"/>
  </r>
  <r>
    <n v="10214"/>
    <n v="10"/>
    <d v="2013-04-22T00:00:00"/>
    <s v="DVD"/>
    <n v="100627"/>
    <s v="AB101106"/>
    <x v="13"/>
    <n v="432268"/>
  </r>
  <r>
    <n v="10238"/>
    <n v="9"/>
    <d v="2013-04-23T00:00:00"/>
    <s v="BLU-RAY"/>
    <n v="100628"/>
    <s v="AB101107"/>
    <x v="0"/>
    <n v="390130"/>
  </r>
  <r>
    <n v="10141"/>
    <n v="10"/>
    <d v="2013-04-21T00:00:00"/>
    <s v="DVD"/>
    <n v="100629"/>
    <s v="AB101108"/>
    <x v="0"/>
    <n v="757525"/>
  </r>
  <r>
    <n v="10024"/>
    <n v="3"/>
    <d v="2013-04-23T00:00:00"/>
    <s v="DVD"/>
    <n v="100630"/>
    <s v="AB101109"/>
    <x v="9"/>
    <n v="938393"/>
  </r>
  <r>
    <n v="10235"/>
    <n v="8"/>
    <d v="2013-04-22T00:00:00"/>
    <s v="BLU-RAY"/>
    <n v="100631"/>
    <s v="AB101110"/>
    <x v="10"/>
    <n v="422951"/>
  </r>
  <r>
    <n v="10290"/>
    <n v="8"/>
    <d v="2013-04-22T00:00:00"/>
    <s v="BLU-RAY"/>
    <n v="100631"/>
    <s v="AB101111"/>
    <x v="2"/>
    <n v="422951"/>
  </r>
  <r>
    <n v="10105"/>
    <n v="1"/>
    <d v="2013-04-22T00:00:00"/>
    <s v="BLU-RAY"/>
    <n v="100631"/>
    <s v="AB101112"/>
    <x v="2"/>
    <n v="422951"/>
  </r>
  <r>
    <n v="10260"/>
    <n v="9"/>
    <d v="2013-04-24T00:00:00"/>
    <s v="BLU-RAY"/>
    <n v="100632"/>
    <s v="AB101113"/>
    <x v="4"/>
    <n v="149240"/>
  </r>
  <r>
    <n v="10100"/>
    <n v="8"/>
    <d v="2013-04-22T00:00:00"/>
    <s v="DVD"/>
    <n v="100633"/>
    <s v="AB101114"/>
    <x v="9"/>
    <n v="464984"/>
  </r>
  <r>
    <n v="10078"/>
    <n v="4"/>
    <d v="2013-04-22T00:00:00"/>
    <s v="DVD"/>
    <n v="100634"/>
    <s v="AB101115"/>
    <x v="1"/>
    <n v="841831"/>
  </r>
  <r>
    <n v="10198"/>
    <n v="9"/>
    <d v="2013-04-22T00:00:00"/>
    <s v="DVD"/>
    <n v="100634"/>
    <s v="AB101116"/>
    <x v="9"/>
    <n v="841831"/>
  </r>
  <r>
    <n v="10119"/>
    <n v="7"/>
    <d v="2013-04-22T00:00:00"/>
    <s v="BLU-RAY"/>
    <n v="100634"/>
    <s v="AB101117"/>
    <x v="7"/>
    <n v="841831"/>
  </r>
  <r>
    <n v="10171"/>
    <n v="4"/>
    <d v="2013-04-22T00:00:00"/>
    <s v="BLU-RAY"/>
    <n v="100635"/>
    <s v="AB101118"/>
    <x v="7"/>
    <n v="981529"/>
  </r>
  <r>
    <n v="10199"/>
    <n v="5"/>
    <d v="2013-04-23T00:00:00"/>
    <s v="DVD"/>
    <n v="100635"/>
    <s v="AB101119"/>
    <x v="10"/>
    <n v="981529"/>
  </r>
  <r>
    <n v="10297"/>
    <n v="7"/>
    <d v="2013-04-24T00:00:00"/>
    <s v="BLU-RAY"/>
    <n v="100636"/>
    <s v="AB101120"/>
    <x v="14"/>
    <n v="513968"/>
  </r>
  <r>
    <n v="10263"/>
    <n v="7"/>
    <d v="2013-04-23T00:00:00"/>
    <s v="DVD"/>
    <n v="100637"/>
    <s v="AB101121"/>
    <x v="9"/>
    <n v="464984"/>
  </r>
  <r>
    <n v="10053"/>
    <n v="9"/>
    <d v="2013-04-24T00:00:00"/>
    <s v="DVD"/>
    <n v="100637"/>
    <s v="AB101122"/>
    <x v="4"/>
    <n v="464984"/>
  </r>
  <r>
    <n v="10186"/>
    <n v="1"/>
    <d v="2013-04-25T00:00:00"/>
    <s v="BLU-RAY"/>
    <n v="100638"/>
    <s v="AB101123"/>
    <x v="10"/>
    <n v="448739"/>
  </r>
  <r>
    <n v="10288"/>
    <n v="3"/>
    <d v="2013-04-24T00:00:00"/>
    <s v="BLU-RAY"/>
    <n v="100638"/>
    <s v="AB101124"/>
    <x v="12"/>
    <n v="448739"/>
  </r>
  <r>
    <n v="10078"/>
    <n v="7"/>
    <d v="2013-04-23T00:00:00"/>
    <s v="DVD"/>
    <n v="100638"/>
    <s v="AB101125"/>
    <x v="1"/>
    <n v="448739"/>
  </r>
  <r>
    <n v="10125"/>
    <n v="9"/>
    <d v="2013-04-23T00:00:00"/>
    <s v="BLU-RAY"/>
    <n v="100639"/>
    <s v="AB101126"/>
    <x v="9"/>
    <n v="563500"/>
  </r>
  <r>
    <n v="10090"/>
    <n v="1"/>
    <d v="2013-04-23T00:00:00"/>
    <s v="DVD"/>
    <n v="100640"/>
    <s v="AB101127"/>
    <x v="1"/>
    <n v="765237"/>
  </r>
  <r>
    <n v="10123"/>
    <n v="9"/>
    <d v="2013-04-24T00:00:00"/>
    <s v="BLU-RAY"/>
    <n v="100641"/>
    <s v="AB101128"/>
    <x v="9"/>
    <n v="563500"/>
  </r>
  <r>
    <n v="10237"/>
    <n v="4"/>
    <d v="2013-04-25T00:00:00"/>
    <s v="BLU-RAY"/>
    <n v="100641"/>
    <s v="AB101129"/>
    <x v="0"/>
    <n v="563500"/>
  </r>
  <r>
    <n v="10285"/>
    <n v="6"/>
    <d v="2013-04-25T00:00:00"/>
    <s v="DVD"/>
    <n v="100642"/>
    <s v="AB101130"/>
    <x v="20"/>
    <n v="289693"/>
  </r>
  <r>
    <n v="10191"/>
    <n v="5"/>
    <d v="2013-04-25T00:00:00"/>
    <s v="BLU-RAY"/>
    <n v="100643"/>
    <s v="AB101131"/>
    <x v="7"/>
    <n v="244282"/>
  </r>
  <r>
    <n v="10148"/>
    <n v="4"/>
    <d v="2013-04-25T00:00:00"/>
    <s v="BLU-RAY"/>
    <n v="100643"/>
    <s v="AB101132"/>
    <x v="1"/>
    <n v="244282"/>
  </r>
  <r>
    <n v="10006"/>
    <n v="6"/>
    <d v="2013-04-25T00:00:00"/>
    <s v="BLU-RAY"/>
    <n v="100644"/>
    <s v="AB101133"/>
    <x v="1"/>
    <n v="950299"/>
  </r>
  <r>
    <n v="10111"/>
    <n v="8"/>
    <d v="2013-04-25T00:00:00"/>
    <s v="DVD"/>
    <n v="100644"/>
    <s v="AB101134"/>
    <x v="9"/>
    <n v="950299"/>
  </r>
  <r>
    <n v="10061"/>
    <n v="8"/>
    <d v="2013-04-25T00:00:00"/>
    <s v="DVD"/>
    <n v="100644"/>
    <s v="AB101135"/>
    <x v="9"/>
    <n v="950299"/>
  </r>
  <r>
    <n v="10197"/>
    <n v="5"/>
    <d v="2013-04-26T00:00:00"/>
    <s v="BLU-RAY"/>
    <n v="100645"/>
    <s v="AB101136"/>
    <x v="0"/>
    <n v="748326"/>
  </r>
  <r>
    <n v="10121"/>
    <n v="7"/>
    <d v="2013-04-27T00:00:00"/>
    <s v="BLU-RAY"/>
    <n v="100646"/>
    <s v="AB101137"/>
    <x v="2"/>
    <n v="668931"/>
  </r>
  <r>
    <n v="10043"/>
    <n v="9"/>
    <d v="2013-04-26T00:00:00"/>
    <s v="DVD"/>
    <n v="100647"/>
    <s v="AB101138"/>
    <x v="8"/>
    <n v="994185"/>
  </r>
  <r>
    <n v="10025"/>
    <n v="4"/>
    <d v="2013-04-27T00:00:00"/>
    <s v="DVD"/>
    <n v="100648"/>
    <s v="AB101139"/>
    <x v="4"/>
    <n v="145929"/>
  </r>
  <r>
    <n v="10109"/>
    <n v="4"/>
    <d v="2013-04-26T00:00:00"/>
    <s v="DVD"/>
    <n v="100648"/>
    <s v="AB101140"/>
    <x v="0"/>
    <n v="145929"/>
  </r>
  <r>
    <n v="10137"/>
    <n v="7"/>
    <d v="2013-04-28T00:00:00"/>
    <s v="BLU-RAY"/>
    <n v="100649"/>
    <s v="AB101141"/>
    <x v="3"/>
    <n v="132454"/>
  </r>
  <r>
    <n v="10118"/>
    <n v="6"/>
    <d v="2013-04-28T00:00:00"/>
    <s v="DVD"/>
    <n v="100650"/>
    <s v="AB101142"/>
    <x v="3"/>
    <n v="427826"/>
  </r>
  <r>
    <n v="10166"/>
    <n v="3"/>
    <d v="2013-04-28T00:00:00"/>
    <s v="DVD"/>
    <n v="100650"/>
    <s v="AB101143"/>
    <x v="9"/>
    <n v="427826"/>
  </r>
  <r>
    <n v="10199"/>
    <n v="3"/>
    <d v="2013-04-28T00:00:00"/>
    <s v="BLU-RAY"/>
    <n v="100650"/>
    <s v="AB101144"/>
    <x v="10"/>
    <n v="427826"/>
  </r>
  <r>
    <n v="10260"/>
    <n v="8"/>
    <d v="2013-04-28T00:00:00"/>
    <s v="BLU-RAY"/>
    <n v="100651"/>
    <s v="AB101145"/>
    <x v="4"/>
    <n v="225489"/>
  </r>
  <r>
    <n v="10027"/>
    <n v="3"/>
    <d v="2013-04-27T00:00:00"/>
    <s v="DVD"/>
    <n v="100652"/>
    <s v="AB101146"/>
    <x v="16"/>
    <n v="940912"/>
  </r>
  <r>
    <n v="10088"/>
    <n v="7"/>
    <d v="2013-04-27T00:00:00"/>
    <s v="DVD"/>
    <n v="100652"/>
    <s v="AB101147"/>
    <x v="0"/>
    <n v="940912"/>
  </r>
  <r>
    <n v="10047"/>
    <n v="10"/>
    <d v="2013-04-27T00:00:00"/>
    <s v="BLU-RAY"/>
    <n v="100653"/>
    <s v="AB101148"/>
    <x v="0"/>
    <n v="121639"/>
  </r>
  <r>
    <n v="10077"/>
    <n v="7"/>
    <d v="2013-04-28T00:00:00"/>
    <s v="DVD"/>
    <n v="100654"/>
    <s v="AB101149"/>
    <x v="0"/>
    <n v="720602"/>
  </r>
  <r>
    <n v="10204"/>
    <n v="9"/>
    <d v="2013-04-29T00:00:00"/>
    <s v="BLU-RAY"/>
    <n v="100654"/>
    <s v="AB101150"/>
    <x v="7"/>
    <n v="720602"/>
  </r>
  <r>
    <n v="10082"/>
    <n v="6"/>
    <d v="2013-04-28T00:00:00"/>
    <s v="BLU-RAY"/>
    <n v="100655"/>
    <s v="AB101151"/>
    <x v="3"/>
    <n v="833180"/>
  </r>
  <r>
    <n v="10084"/>
    <n v="7"/>
    <d v="2013-04-28T00:00:00"/>
    <s v="BLU-RAY"/>
    <n v="100655"/>
    <s v="AB101152"/>
    <x v="18"/>
    <n v="833180"/>
  </r>
  <r>
    <n v="10144"/>
    <n v="4"/>
    <d v="2013-04-28T00:00:00"/>
    <s v="BLU-RAY"/>
    <n v="100656"/>
    <s v="AB101153"/>
    <x v="2"/>
    <n v="660634"/>
  </r>
  <r>
    <n v="10120"/>
    <n v="5"/>
    <d v="2013-04-28T00:00:00"/>
    <s v="BLU-RAY"/>
    <n v="100656"/>
    <s v="AB101154"/>
    <x v="14"/>
    <n v="660634"/>
  </r>
  <r>
    <n v="10227"/>
    <n v="5"/>
    <d v="2013-04-28T00:00:00"/>
    <s v="DVD"/>
    <n v="100657"/>
    <s v="AB101155"/>
    <x v="14"/>
    <n v="739440"/>
  </r>
  <r>
    <n v="10102"/>
    <n v="9"/>
    <d v="2013-04-28T00:00:00"/>
    <s v="DVD"/>
    <n v="100657"/>
    <s v="AB101156"/>
    <x v="7"/>
    <n v="739440"/>
  </r>
  <r>
    <n v="10125"/>
    <n v="1"/>
    <d v="2013-04-28T00:00:00"/>
    <s v="DVD"/>
    <n v="100657"/>
    <s v="AB101157"/>
    <x v="9"/>
    <n v="739440"/>
  </r>
  <r>
    <n v="10171"/>
    <n v="9"/>
    <d v="2013-04-29T00:00:00"/>
    <s v="DVD"/>
    <n v="100658"/>
    <s v="AB101158"/>
    <x v="7"/>
    <n v="488295"/>
  </r>
  <r>
    <n v="10276"/>
    <n v="3"/>
    <d v="2013-04-30T00:00:00"/>
    <s v="BLU-RAY"/>
    <n v="100659"/>
    <s v="AB101159"/>
    <x v="16"/>
    <n v="585972"/>
  </r>
  <r>
    <n v="10086"/>
    <n v="7"/>
    <d v="2013-04-30T00:00:00"/>
    <s v="BLU-RAY"/>
    <n v="100659"/>
    <s v="AB101160"/>
    <x v="3"/>
    <n v="585972"/>
  </r>
  <r>
    <n v="10123"/>
    <n v="9"/>
    <d v="2013-04-29T00:00:00"/>
    <s v="DVD"/>
    <n v="100660"/>
    <s v="AB101161"/>
    <x v="9"/>
    <n v="723057"/>
  </r>
  <r>
    <n v="10183"/>
    <n v="8"/>
    <d v="2013-04-29T00:00:00"/>
    <s v="BLU-RAY"/>
    <n v="100660"/>
    <s v="AB101162"/>
    <x v="4"/>
    <n v="723057"/>
  </r>
  <r>
    <n v="10104"/>
    <n v="4"/>
    <d v="2013-04-29T00:00:00"/>
    <s v="DVD"/>
    <n v="100661"/>
    <s v="AB101163"/>
    <x v="7"/>
    <n v="566192"/>
  </r>
  <r>
    <n v="10065"/>
    <n v="7"/>
    <d v="2013-04-29T00:00:00"/>
    <s v="DVD"/>
    <n v="100662"/>
    <s v="AB101164"/>
    <x v="0"/>
    <n v="561305"/>
  </r>
  <r>
    <n v="10154"/>
    <n v="7"/>
    <d v="2013-04-29T00:00:00"/>
    <s v="DVD"/>
    <n v="100663"/>
    <s v="AB101165"/>
    <x v="5"/>
    <n v="548800"/>
  </r>
  <r>
    <n v="10273"/>
    <n v="10"/>
    <d v="2013-04-29T00:00:00"/>
    <s v="DVD"/>
    <n v="100664"/>
    <s v="AB101166"/>
    <x v="4"/>
    <n v="275152"/>
  </r>
  <r>
    <n v="10118"/>
    <n v="6"/>
    <d v="2013-04-29T00:00:00"/>
    <s v="BLU-RAY"/>
    <n v="100664"/>
    <s v="AB101167"/>
    <x v="3"/>
    <n v="275152"/>
  </r>
  <r>
    <n v="10174"/>
    <n v="8"/>
    <d v="2013-04-29T00:00:00"/>
    <s v="DVD"/>
    <n v="100664"/>
    <s v="AB101168"/>
    <x v="7"/>
    <n v="275152"/>
  </r>
  <r>
    <n v="10270"/>
    <n v="1"/>
    <d v="2013-04-30T00:00:00"/>
    <s v="DVD"/>
    <n v="100665"/>
    <s v="AB101169"/>
    <x v="9"/>
    <n v="249188"/>
  </r>
  <r>
    <n v="10282"/>
    <n v="3"/>
    <d v="2013-04-30T00:00:00"/>
    <s v="BLU-RAY"/>
    <n v="100666"/>
    <s v="AB101170"/>
    <x v="15"/>
    <n v="938006"/>
  </r>
  <r>
    <n v="10007"/>
    <n v="6"/>
    <d v="2013-04-30T00:00:00"/>
    <s v="DVD"/>
    <n v="100666"/>
    <s v="AB101171"/>
    <x v="4"/>
    <n v="938006"/>
  </r>
  <r>
    <n v="10250"/>
    <n v="10"/>
    <d v="2013-04-30T00:00:00"/>
    <s v="DVD"/>
    <n v="100667"/>
    <s v="AB101172"/>
    <x v="3"/>
    <n v="771285"/>
  </r>
  <r>
    <n v="10282"/>
    <n v="8"/>
    <d v="2013-05-02T00:00:00"/>
    <s v="BLU-RAY"/>
    <n v="100668"/>
    <s v="AB101173"/>
    <x v="15"/>
    <n v="236554"/>
  </r>
  <r>
    <n v="10049"/>
    <n v="6"/>
    <d v="2013-05-02T00:00:00"/>
    <s v="DVD"/>
    <n v="100669"/>
    <s v="AB101174"/>
    <x v="7"/>
    <n v="884368"/>
  </r>
  <r>
    <n v="10239"/>
    <n v="9"/>
    <d v="2013-05-01T00:00:00"/>
    <s v="DVD"/>
    <n v="100669"/>
    <s v="AB101175"/>
    <x v="2"/>
    <n v="884368"/>
  </r>
  <r>
    <n v="10257"/>
    <n v="2"/>
    <d v="2013-05-02T00:00:00"/>
    <s v="DVD"/>
    <n v="100669"/>
    <s v="AB101176"/>
    <x v="9"/>
    <n v="884368"/>
  </r>
  <r>
    <n v="10270"/>
    <n v="1"/>
    <d v="2013-05-03T00:00:00"/>
    <s v="BLU-RAY"/>
    <n v="100670"/>
    <s v="AB101177"/>
    <x v="9"/>
    <n v="852319"/>
  </r>
  <r>
    <n v="10197"/>
    <n v="1"/>
    <d v="2013-05-02T00:00:00"/>
    <s v="DVD"/>
    <n v="100671"/>
    <s v="AB101178"/>
    <x v="0"/>
    <n v="974503"/>
  </r>
  <r>
    <n v="10239"/>
    <n v="6"/>
    <d v="2013-05-01T00:00:00"/>
    <s v="BLU-RAY"/>
    <n v="100671"/>
    <s v="AB101179"/>
    <x v="2"/>
    <n v="974503"/>
  </r>
  <r>
    <n v="10116"/>
    <n v="5"/>
    <d v="2013-05-02T00:00:00"/>
    <s v="BLU-RAY"/>
    <n v="100672"/>
    <s v="AB101180"/>
    <x v="7"/>
    <n v="216081"/>
  </r>
  <r>
    <n v="10152"/>
    <n v="7"/>
    <d v="2013-05-02T00:00:00"/>
    <s v="DVD"/>
    <n v="100673"/>
    <s v="AB101181"/>
    <x v="16"/>
    <n v="605188"/>
  </r>
  <r>
    <n v="10139"/>
    <n v="5"/>
    <d v="2013-05-01T00:00:00"/>
    <s v="BLU-RAY"/>
    <n v="100673"/>
    <s v="AB101182"/>
    <x v="14"/>
    <n v="605188"/>
  </r>
  <r>
    <n v="10216"/>
    <n v="7"/>
    <d v="2013-05-01T00:00:00"/>
    <s v="DVD"/>
    <n v="100674"/>
    <s v="AB101183"/>
    <x v="4"/>
    <n v="193968"/>
  </r>
  <r>
    <n v="10045"/>
    <n v="2"/>
    <d v="2013-05-01T00:00:00"/>
    <s v="BLU-RAY"/>
    <n v="100674"/>
    <s v="AB101184"/>
    <x v="0"/>
    <n v="193968"/>
  </r>
  <r>
    <n v="10027"/>
    <n v="2"/>
    <d v="2013-05-01T00:00:00"/>
    <s v="BLU-RAY"/>
    <n v="100675"/>
    <s v="AB101185"/>
    <x v="16"/>
    <n v="203787"/>
  </r>
  <r>
    <n v="10186"/>
    <n v="4"/>
    <d v="2013-05-02T00:00:00"/>
    <s v="DVD"/>
    <n v="100676"/>
    <s v="AB101186"/>
    <x v="10"/>
    <n v="189953"/>
  </r>
  <r>
    <n v="10197"/>
    <n v="6"/>
    <d v="2013-05-02T00:00:00"/>
    <s v="DVD"/>
    <n v="100676"/>
    <s v="AB101187"/>
    <x v="0"/>
    <n v="189953"/>
  </r>
  <r>
    <n v="10180"/>
    <n v="3"/>
    <d v="2013-05-03T00:00:00"/>
    <s v="DVD"/>
    <n v="100677"/>
    <s v="AB101188"/>
    <x v="12"/>
    <n v="775449"/>
  </r>
  <r>
    <n v="10271"/>
    <n v="3"/>
    <d v="2013-05-02T00:00:00"/>
    <s v="BLU-RAY"/>
    <n v="100678"/>
    <s v="AB101189"/>
    <x v="7"/>
    <n v="850952"/>
  </r>
  <r>
    <n v="10094"/>
    <n v="9"/>
    <d v="2013-05-03T00:00:00"/>
    <s v="DVD"/>
    <n v="100679"/>
    <s v="AB101190"/>
    <x v="12"/>
    <n v="784218"/>
  </r>
  <r>
    <n v="10028"/>
    <n v="7"/>
    <d v="2013-05-03T00:00:00"/>
    <s v="DVD"/>
    <n v="100679"/>
    <s v="AB101191"/>
    <x v="5"/>
    <n v="784218"/>
  </r>
  <r>
    <n v="10078"/>
    <n v="3"/>
    <d v="2013-05-02T00:00:00"/>
    <s v="BLU-RAY"/>
    <n v="100680"/>
    <s v="AB101192"/>
    <x v="1"/>
    <n v="561305"/>
  </r>
  <r>
    <n v="10051"/>
    <n v="3"/>
    <d v="2013-05-02T00:00:00"/>
    <s v="BLU-RAY"/>
    <n v="100680"/>
    <s v="AB101193"/>
    <x v="1"/>
    <n v="561305"/>
  </r>
  <r>
    <n v="10076"/>
    <n v="6"/>
    <d v="2013-05-03T00:00:00"/>
    <s v="DVD"/>
    <n v="100681"/>
    <s v="AB101194"/>
    <x v="4"/>
    <n v="703083"/>
  </r>
  <r>
    <n v="10009"/>
    <n v="6"/>
    <d v="2013-05-03T00:00:00"/>
    <s v="DVD"/>
    <n v="100682"/>
    <s v="AB101195"/>
    <x v="0"/>
    <n v="408341"/>
  </r>
  <r>
    <n v="10142"/>
    <n v="2"/>
    <d v="2013-05-02T00:00:00"/>
    <s v="BLU-RAY"/>
    <n v="100682"/>
    <s v="AB101196"/>
    <x v="0"/>
    <n v="408341"/>
  </r>
  <r>
    <n v="10264"/>
    <n v="8"/>
    <d v="2013-05-02T00:00:00"/>
    <s v="DVD"/>
    <n v="100683"/>
    <s v="AB101197"/>
    <x v="2"/>
    <n v="911171"/>
  </r>
  <r>
    <n v="10119"/>
    <n v="9"/>
    <d v="2013-05-02T00:00:00"/>
    <s v="BLU-RAY"/>
    <n v="100683"/>
    <s v="AB101198"/>
    <x v="7"/>
    <n v="911171"/>
  </r>
  <r>
    <n v="10186"/>
    <n v="7"/>
    <d v="2013-05-03T00:00:00"/>
    <s v="DVD"/>
    <n v="100684"/>
    <s v="AB101199"/>
    <x v="10"/>
    <n v="793987"/>
  </r>
  <r>
    <n v="10274"/>
    <n v="5"/>
    <d v="2013-05-03T00:00:00"/>
    <s v="BLU-RAY"/>
    <n v="100685"/>
    <s v="AB101200"/>
    <x v="9"/>
    <n v="366695"/>
  </r>
  <r>
    <n v="10209"/>
    <n v="8"/>
    <d v="2013-05-04T00:00:00"/>
    <s v="DVD"/>
    <n v="100686"/>
    <s v="AB101201"/>
    <x v="7"/>
    <n v="242720"/>
  </r>
  <r>
    <n v="10021"/>
    <n v="10"/>
    <d v="2013-05-03T00:00:00"/>
    <s v="DVD"/>
    <n v="100686"/>
    <s v="AB101202"/>
    <x v="1"/>
    <n v="242720"/>
  </r>
  <r>
    <n v="10268"/>
    <n v="1"/>
    <d v="2013-05-03T00:00:00"/>
    <s v="DVD"/>
    <n v="100687"/>
    <s v="AB101203"/>
    <x v="3"/>
    <n v="720602"/>
  </r>
  <r>
    <n v="10040"/>
    <n v="9"/>
    <d v="2013-05-03T00:00:00"/>
    <s v="DVD"/>
    <n v="100687"/>
    <s v="AB101204"/>
    <x v="7"/>
    <n v="720602"/>
  </r>
  <r>
    <n v="10202"/>
    <n v="10"/>
    <d v="2013-05-04T00:00:00"/>
    <s v="BLU-RAY"/>
    <n v="100688"/>
    <s v="AB101205"/>
    <x v="0"/>
    <n v="938006"/>
  </r>
  <r>
    <n v="10028"/>
    <n v="5"/>
    <d v="2013-05-03T00:00:00"/>
    <s v="BLU-RAY"/>
    <n v="100688"/>
    <s v="AB101206"/>
    <x v="5"/>
    <n v="938006"/>
  </r>
  <r>
    <n v="10139"/>
    <n v="6"/>
    <d v="2013-05-03T00:00:00"/>
    <s v="DVD"/>
    <n v="100688"/>
    <s v="AB101207"/>
    <x v="14"/>
    <n v="938006"/>
  </r>
  <r>
    <n v="10048"/>
    <n v="1"/>
    <d v="2013-05-04T00:00:00"/>
    <s v="DVD"/>
    <n v="100689"/>
    <s v="AB101208"/>
    <x v="12"/>
    <n v="668931"/>
  </r>
  <r>
    <n v="10044"/>
    <n v="6"/>
    <d v="2013-05-03T00:00:00"/>
    <s v="DVD"/>
    <n v="100690"/>
    <s v="AB101209"/>
    <x v="3"/>
    <n v="515790"/>
  </r>
  <r>
    <n v="10042"/>
    <n v="7"/>
    <d v="2013-05-05T00:00:00"/>
    <s v="DVD"/>
    <n v="100691"/>
    <s v="AB101210"/>
    <x v="1"/>
    <n v="866556"/>
  </r>
  <r>
    <n v="10282"/>
    <n v="8"/>
    <d v="2013-05-05T00:00:00"/>
    <s v="BLU-RAY"/>
    <n v="100691"/>
    <s v="AB101211"/>
    <x v="15"/>
    <n v="866556"/>
  </r>
  <r>
    <n v="10154"/>
    <n v="1"/>
    <d v="2013-05-04T00:00:00"/>
    <s v="BLU-RAY"/>
    <n v="100691"/>
    <s v="AB101212"/>
    <x v="5"/>
    <n v="866556"/>
  </r>
  <r>
    <n v="10211"/>
    <n v="8"/>
    <d v="2013-05-04T00:00:00"/>
    <s v="DVD"/>
    <n v="100692"/>
    <s v="AB101213"/>
    <x v="3"/>
    <n v="884368"/>
  </r>
  <r>
    <n v="10287"/>
    <n v="5"/>
    <d v="2013-05-04T00:00:00"/>
    <s v="DVD"/>
    <n v="100693"/>
    <s v="AB101214"/>
    <x v="10"/>
    <n v="132454"/>
  </r>
  <r>
    <n v="10029"/>
    <n v="1"/>
    <d v="2013-05-04T00:00:00"/>
    <s v="DVD"/>
    <n v="100693"/>
    <s v="AB101215"/>
    <x v="12"/>
    <n v="132454"/>
  </r>
  <r>
    <n v="10018"/>
    <n v="2"/>
    <d v="2013-05-04T00:00:00"/>
    <s v="DVD"/>
    <n v="100693"/>
    <s v="AB101216"/>
    <x v="9"/>
    <n v="132454"/>
  </r>
  <r>
    <n v="10097"/>
    <n v="1"/>
    <d v="2013-05-04T00:00:00"/>
    <s v="BLU-RAY"/>
    <n v="100694"/>
    <s v="AB101217"/>
    <x v="8"/>
    <n v="269687"/>
  </r>
  <r>
    <n v="10277"/>
    <n v="8"/>
    <d v="2013-05-04T00:00:00"/>
    <s v="DVD"/>
    <n v="100695"/>
    <s v="AB101218"/>
    <x v="7"/>
    <n v="418521"/>
  </r>
  <r>
    <n v="10132"/>
    <n v="7"/>
    <d v="2013-05-06T00:00:00"/>
    <s v="BLU-RAY"/>
    <n v="100695"/>
    <s v="AB101219"/>
    <x v="10"/>
    <n v="418521"/>
  </r>
  <r>
    <n v="10141"/>
    <n v="2"/>
    <d v="2013-05-04T00:00:00"/>
    <s v="DVD"/>
    <n v="100696"/>
    <s v="AB101220"/>
    <x v="0"/>
    <n v="657736"/>
  </r>
  <r>
    <n v="10179"/>
    <n v="3"/>
    <d v="2013-05-04T00:00:00"/>
    <s v="BLU-RAY"/>
    <n v="100696"/>
    <s v="AB101221"/>
    <x v="0"/>
    <n v="657736"/>
  </r>
  <r>
    <n v="10287"/>
    <n v="10"/>
    <d v="2013-05-04T00:00:00"/>
    <s v="DVD"/>
    <n v="100697"/>
    <s v="AB101222"/>
    <x v="10"/>
    <n v="464782"/>
  </r>
  <r>
    <n v="10265"/>
    <n v="6"/>
    <d v="2013-05-04T00:00:00"/>
    <s v="BLU-RAY"/>
    <n v="100697"/>
    <s v="AB101223"/>
    <x v="0"/>
    <n v="464782"/>
  </r>
  <r>
    <n v="10008"/>
    <n v="9"/>
    <d v="2013-05-05T00:00:00"/>
    <s v="DVD"/>
    <n v="100698"/>
    <s v="AB101224"/>
    <x v="4"/>
    <n v="245577"/>
  </r>
  <r>
    <n v="10151"/>
    <n v="2"/>
    <d v="2013-05-05T00:00:00"/>
    <s v="DVD"/>
    <n v="100698"/>
    <s v="AB101225"/>
    <x v="8"/>
    <n v="245577"/>
  </r>
  <r>
    <n v="10259"/>
    <n v="9"/>
    <d v="2013-05-05T00:00:00"/>
    <s v="BLU-RAY"/>
    <n v="100699"/>
    <s v="AB101226"/>
    <x v="0"/>
    <n v="427826"/>
  </r>
  <r>
    <n v="10119"/>
    <n v="8"/>
    <d v="2013-05-05T00:00:00"/>
    <s v="BLU-RAY"/>
    <n v="100699"/>
    <s v="AB101227"/>
    <x v="7"/>
    <n v="427826"/>
  </r>
  <r>
    <n v="10252"/>
    <n v="7"/>
    <d v="2013-05-05T00:00:00"/>
    <s v="DVD"/>
    <n v="100699"/>
    <s v="AB101228"/>
    <x v="0"/>
    <n v="427826"/>
  </r>
  <r>
    <n v="10095"/>
    <n v="7"/>
    <d v="2013-05-05T00:00:00"/>
    <s v="DVD"/>
    <n v="100699"/>
    <s v="AB101229"/>
    <x v="2"/>
    <n v="427826"/>
  </r>
  <r>
    <n v="10117"/>
    <n v="5"/>
    <d v="2013-05-06T00:00:00"/>
    <s v="DVD"/>
    <n v="100700"/>
    <s v="AB101230"/>
    <x v="4"/>
    <n v="276549"/>
  </r>
  <r>
    <n v="10252"/>
    <n v="5"/>
    <d v="2013-05-05T00:00:00"/>
    <s v="DVD"/>
    <n v="100700"/>
    <s v="AB101231"/>
    <x v="0"/>
    <n v="276549"/>
  </r>
  <r>
    <n v="10177"/>
    <n v="7"/>
    <d v="2013-05-05T00:00:00"/>
    <s v="DVD"/>
    <n v="100700"/>
    <s v="AB101232"/>
    <x v="9"/>
    <n v="276549"/>
  </r>
  <r>
    <n v="10113"/>
    <n v="4"/>
    <d v="2013-05-06T00:00:00"/>
    <s v="BLU-RAY"/>
    <n v="100701"/>
    <s v="AB101233"/>
    <x v="10"/>
    <n v="242720"/>
  </r>
  <r>
    <n v="10193"/>
    <n v="6"/>
    <d v="2013-05-06T00:00:00"/>
    <s v="BLU-RAY"/>
    <n v="100701"/>
    <s v="AB101234"/>
    <x v="9"/>
    <n v="242720"/>
  </r>
  <r>
    <n v="10270"/>
    <n v="7"/>
    <d v="2013-05-07T00:00:00"/>
    <s v="DVD"/>
    <n v="100702"/>
    <s v="AB101235"/>
    <x v="9"/>
    <n v="646953"/>
  </r>
  <r>
    <n v="10129"/>
    <n v="2"/>
    <d v="2013-05-06T00:00:00"/>
    <s v="BLU-RAY"/>
    <n v="100702"/>
    <s v="AB101236"/>
    <x v="0"/>
    <n v="646953"/>
  </r>
  <r>
    <n v="10011"/>
    <n v="5"/>
    <d v="2013-05-07T00:00:00"/>
    <s v="DVD"/>
    <n v="100703"/>
    <s v="AB101237"/>
    <x v="3"/>
    <n v="429748"/>
  </r>
  <r>
    <n v="10191"/>
    <n v="2"/>
    <d v="2013-05-06T00:00:00"/>
    <s v="DVD"/>
    <n v="100703"/>
    <s v="AB101238"/>
    <x v="7"/>
    <n v="429748"/>
  </r>
  <r>
    <n v="10197"/>
    <n v="10"/>
    <d v="2013-05-07T00:00:00"/>
    <s v="DVD"/>
    <n v="100704"/>
    <s v="AB101239"/>
    <x v="0"/>
    <n v="757525"/>
  </r>
  <r>
    <n v="10183"/>
    <n v="3"/>
    <d v="2013-05-07T00:00:00"/>
    <s v="BLU-RAY"/>
    <n v="100704"/>
    <s v="AB101240"/>
    <x v="4"/>
    <n v="757525"/>
  </r>
  <r>
    <n v="10208"/>
    <n v="5"/>
    <d v="2013-05-07T00:00:00"/>
    <s v="DVD"/>
    <n v="100704"/>
    <s v="AB101241"/>
    <x v="0"/>
    <n v="757525"/>
  </r>
  <r>
    <n v="10024"/>
    <n v="6"/>
    <d v="2013-05-08T00:00:00"/>
    <s v="DVD"/>
    <n v="100705"/>
    <s v="AB101242"/>
    <x v="9"/>
    <n v="301793"/>
  </r>
  <r>
    <n v="10056"/>
    <n v="3"/>
    <d v="2013-05-07T00:00:00"/>
    <s v="BLU-RAY"/>
    <n v="100706"/>
    <s v="AB101243"/>
    <x v="8"/>
    <n v="994185"/>
  </r>
  <r>
    <n v="10006"/>
    <n v="9"/>
    <d v="2013-05-09T00:00:00"/>
    <s v="DVD"/>
    <n v="100706"/>
    <s v="AB101244"/>
    <x v="1"/>
    <n v="994185"/>
  </r>
  <r>
    <n v="10255"/>
    <n v="10"/>
    <d v="2013-05-07T00:00:00"/>
    <s v="DVD"/>
    <n v="100706"/>
    <s v="AB101245"/>
    <x v="1"/>
    <n v="994185"/>
  </r>
  <r>
    <n v="10071"/>
    <n v="7"/>
    <d v="2013-05-07T00:00:00"/>
    <s v="DVD"/>
    <n v="100707"/>
    <s v="AB101246"/>
    <x v="1"/>
    <n v="175871"/>
  </r>
  <r>
    <n v="10191"/>
    <n v="10"/>
    <d v="2013-05-08T00:00:00"/>
    <s v="DVD"/>
    <n v="100708"/>
    <s v="AB101247"/>
    <x v="7"/>
    <n v="671363"/>
  </r>
  <r>
    <n v="10126"/>
    <n v="2"/>
    <d v="2013-05-08T00:00:00"/>
    <s v="BLU-RAY"/>
    <n v="100709"/>
    <s v="AB101248"/>
    <x v="9"/>
    <n v="900440"/>
  </r>
  <r>
    <n v="10116"/>
    <n v="9"/>
    <d v="2013-05-08T00:00:00"/>
    <s v="BLU-RAY"/>
    <n v="100709"/>
    <s v="AB101249"/>
    <x v="7"/>
    <n v="900440"/>
  </r>
  <r>
    <n v="10080"/>
    <n v="4"/>
    <d v="2013-05-08T00:00:00"/>
    <s v="DVD"/>
    <n v="100709"/>
    <s v="AB101250"/>
    <x v="3"/>
    <n v="900440"/>
  </r>
  <r>
    <n v="10212"/>
    <n v="3"/>
    <d v="2013-05-09T00:00:00"/>
    <s v="DVD"/>
    <n v="100710"/>
    <s v="AB101251"/>
    <x v="10"/>
    <n v="766737"/>
  </r>
  <r>
    <n v="10096"/>
    <n v="5"/>
    <d v="2013-05-09T00:00:00"/>
    <s v="BLU-RAY"/>
    <n v="100710"/>
    <s v="AB101252"/>
    <x v="7"/>
    <n v="766737"/>
  </r>
  <r>
    <n v="10015"/>
    <n v="9"/>
    <d v="2013-05-08T00:00:00"/>
    <s v="DVD"/>
    <n v="100710"/>
    <s v="AB101253"/>
    <x v="6"/>
    <n v="766737"/>
  </r>
  <r>
    <n v="10176"/>
    <n v="3"/>
    <d v="2013-05-08T00:00:00"/>
    <s v="BLU-RAY"/>
    <n v="100711"/>
    <s v="AB101254"/>
    <x v="7"/>
    <n v="908328"/>
  </r>
  <r>
    <n v="10262"/>
    <n v="3"/>
    <d v="2013-05-08T00:00:00"/>
    <s v="DVD"/>
    <n v="100712"/>
    <s v="AB101255"/>
    <x v="10"/>
    <n v="332324"/>
  </r>
  <r>
    <n v="10046"/>
    <n v="9"/>
    <d v="2013-05-08T00:00:00"/>
    <s v="DVD"/>
    <n v="100713"/>
    <s v="AB101256"/>
    <x v="4"/>
    <n v="355107"/>
  </r>
  <r>
    <n v="10234"/>
    <n v="7"/>
    <d v="2013-05-08T00:00:00"/>
    <s v="BLU-RAY"/>
    <n v="100714"/>
    <s v="AB101257"/>
    <x v="0"/>
    <n v="344702"/>
  </r>
  <r>
    <n v="10198"/>
    <n v="3"/>
    <d v="2013-05-08T00:00:00"/>
    <s v="DVD"/>
    <n v="100714"/>
    <s v="AB101258"/>
    <x v="9"/>
    <n v="344702"/>
  </r>
  <r>
    <n v="10070"/>
    <n v="9"/>
    <d v="2013-05-08T00:00:00"/>
    <s v="DVD"/>
    <n v="100714"/>
    <s v="AB101259"/>
    <x v="1"/>
    <n v="344702"/>
  </r>
  <r>
    <n v="10184"/>
    <n v="3"/>
    <d v="2013-05-10T00:00:00"/>
    <s v="DVD"/>
    <n v="100715"/>
    <s v="AB101260"/>
    <x v="7"/>
    <n v="706884"/>
  </r>
  <r>
    <n v="10013"/>
    <n v="10"/>
    <d v="2013-05-09T00:00:00"/>
    <s v="DVD"/>
    <n v="100715"/>
    <s v="AB101261"/>
    <x v="11"/>
    <n v="706884"/>
  </r>
  <r>
    <n v="10039"/>
    <n v="10"/>
    <d v="2013-05-09T00:00:00"/>
    <s v="DVD"/>
    <n v="100716"/>
    <s v="AB101262"/>
    <x v="11"/>
    <n v="355107"/>
  </r>
  <r>
    <n v="10038"/>
    <n v="2"/>
    <d v="2013-05-09T00:00:00"/>
    <s v="BLU-RAY"/>
    <n v="100716"/>
    <s v="AB101263"/>
    <x v="1"/>
    <n v="355107"/>
  </r>
  <r>
    <n v="10161"/>
    <n v="2"/>
    <d v="2013-05-09T00:00:00"/>
    <s v="DVD"/>
    <n v="100716"/>
    <s v="AB101264"/>
    <x v="6"/>
    <n v="355107"/>
  </r>
  <r>
    <n v="10108"/>
    <n v="6"/>
    <d v="2013-05-09T00:00:00"/>
    <s v="DVD"/>
    <n v="100716"/>
    <s v="AB101265"/>
    <x v="9"/>
    <n v="355107"/>
  </r>
  <r>
    <n v="10281"/>
    <n v="2"/>
    <d v="2013-05-11T00:00:00"/>
    <s v="DVD"/>
    <n v="100717"/>
    <s v="AB101266"/>
    <x v="10"/>
    <n v="656512"/>
  </r>
  <r>
    <n v="10001"/>
    <n v="4"/>
    <d v="2013-05-09T00:00:00"/>
    <s v="BLU-RAY"/>
    <n v="100718"/>
    <s v="AB101267"/>
    <x v="14"/>
    <n v="724700"/>
  </r>
  <r>
    <n v="10034"/>
    <n v="5"/>
    <d v="2013-05-09T00:00:00"/>
    <s v="BLU-RAY"/>
    <n v="100718"/>
    <s v="AB101268"/>
    <x v="10"/>
    <n v="724700"/>
  </r>
  <r>
    <n v="10079"/>
    <n v="10"/>
    <d v="2013-05-09T00:00:00"/>
    <s v="BLU-RAY"/>
    <n v="100719"/>
    <s v="AB101269"/>
    <x v="0"/>
    <n v="884368"/>
  </r>
  <r>
    <n v="10007"/>
    <n v="3"/>
    <d v="2013-05-09T00:00:00"/>
    <s v="DVD"/>
    <n v="100719"/>
    <s v="AB101270"/>
    <x v="4"/>
    <n v="884368"/>
  </r>
  <r>
    <n v="10119"/>
    <n v="1"/>
    <d v="2013-05-11T00:00:00"/>
    <s v="DVD"/>
    <n v="100720"/>
    <s v="AB101271"/>
    <x v="7"/>
    <n v="515753"/>
  </r>
  <r>
    <n v="10038"/>
    <n v="5"/>
    <d v="2013-05-10T00:00:00"/>
    <s v="DVD"/>
    <n v="100721"/>
    <s v="AB101272"/>
    <x v="1"/>
    <n v="515790"/>
  </r>
  <r>
    <n v="10049"/>
    <n v="8"/>
    <d v="2013-05-10T00:00:00"/>
    <s v="BLU-RAY"/>
    <n v="100721"/>
    <s v="AB101273"/>
    <x v="7"/>
    <n v="515790"/>
  </r>
  <r>
    <n v="10192"/>
    <n v="5"/>
    <d v="2013-05-10T00:00:00"/>
    <s v="DVD"/>
    <n v="100722"/>
    <s v="AB101274"/>
    <x v="7"/>
    <n v="416523"/>
  </r>
  <r>
    <n v="10221"/>
    <n v="6"/>
    <d v="2013-05-11T00:00:00"/>
    <s v="DVD"/>
    <n v="100722"/>
    <s v="AB101275"/>
    <x v="9"/>
    <n v="416523"/>
  </r>
  <r>
    <n v="10214"/>
    <n v="4"/>
    <d v="2013-05-10T00:00:00"/>
    <s v="DVD"/>
    <n v="100722"/>
    <s v="AB101276"/>
    <x v="13"/>
    <n v="416523"/>
  </r>
  <r>
    <n v="10278"/>
    <n v="9"/>
    <d v="2013-05-11T00:00:00"/>
    <s v="DVD"/>
    <n v="100723"/>
    <s v="AB101277"/>
    <x v="7"/>
    <n v="330223"/>
  </r>
  <r>
    <n v="10227"/>
    <n v="1"/>
    <d v="2013-05-10T00:00:00"/>
    <s v="DVD"/>
    <n v="100724"/>
    <s v="AB101278"/>
    <x v="14"/>
    <n v="924947"/>
  </r>
  <r>
    <n v="10170"/>
    <n v="6"/>
    <d v="2013-05-10T00:00:00"/>
    <s v="DVD"/>
    <n v="100724"/>
    <s v="AB101279"/>
    <x v="15"/>
    <n v="924947"/>
  </r>
  <r>
    <n v="10075"/>
    <n v="3"/>
    <d v="2013-05-10T00:00:00"/>
    <s v="BLU-RAY"/>
    <n v="100725"/>
    <s v="AB101280"/>
    <x v="17"/>
    <n v="884729"/>
  </r>
  <r>
    <n v="10051"/>
    <n v="3"/>
    <d v="2013-05-10T00:00:00"/>
    <s v="DVD"/>
    <n v="100725"/>
    <s v="AB101281"/>
    <x v="1"/>
    <n v="884729"/>
  </r>
  <r>
    <n v="10157"/>
    <n v="9"/>
    <d v="2013-05-11T00:00:00"/>
    <s v="BLU-RAY"/>
    <n v="100726"/>
    <s v="AB101282"/>
    <x v="1"/>
    <n v="432268"/>
  </r>
  <r>
    <n v="10187"/>
    <n v="1"/>
    <d v="2013-05-10T00:00:00"/>
    <s v="DVD"/>
    <n v="100726"/>
    <s v="AB101283"/>
    <x v="1"/>
    <n v="432268"/>
  </r>
  <r>
    <n v="10115"/>
    <n v="2"/>
    <d v="2013-05-11T00:00:00"/>
    <s v="DVD"/>
    <n v="100727"/>
    <s v="AB101284"/>
    <x v="11"/>
    <n v="116934"/>
  </r>
  <r>
    <n v="10221"/>
    <n v="10"/>
    <d v="2013-05-11T00:00:00"/>
    <s v="DVD"/>
    <n v="100728"/>
    <s v="AB101285"/>
    <x v="9"/>
    <n v="817159"/>
  </r>
  <r>
    <n v="10015"/>
    <n v="10"/>
    <d v="2013-05-11T00:00:00"/>
    <s v="DVD"/>
    <n v="100728"/>
    <s v="AB101286"/>
    <x v="6"/>
    <n v="817159"/>
  </r>
  <r>
    <n v="10231"/>
    <n v="7"/>
    <d v="2013-05-11T00:00:00"/>
    <s v="DVD"/>
    <n v="100729"/>
    <s v="AB101287"/>
    <x v="7"/>
    <n v="605188"/>
  </r>
  <r>
    <n v="10016"/>
    <n v="9"/>
    <d v="2013-05-12T00:00:00"/>
    <s v="DVD"/>
    <n v="100729"/>
    <s v="AB101288"/>
    <x v="7"/>
    <n v="605188"/>
  </r>
  <r>
    <n v="10269"/>
    <n v="5"/>
    <d v="2013-05-12T00:00:00"/>
    <s v="DVD"/>
    <n v="100729"/>
    <s v="AB101289"/>
    <x v="3"/>
    <n v="605188"/>
  </r>
  <r>
    <n v="10104"/>
    <n v="2"/>
    <d v="2013-05-11T00:00:00"/>
    <s v="BLU-RAY"/>
    <n v="100730"/>
    <s v="AB101290"/>
    <x v="7"/>
    <n v="456457"/>
  </r>
  <r>
    <n v="10140"/>
    <n v="8"/>
    <d v="2013-05-11T00:00:00"/>
    <s v="DVD"/>
    <n v="100730"/>
    <s v="AB101291"/>
    <x v="2"/>
    <n v="456457"/>
  </r>
  <r>
    <n v="10024"/>
    <n v="2"/>
    <d v="2013-05-12T00:00:00"/>
    <s v="BLU-RAY"/>
    <n v="100730"/>
    <s v="AB101292"/>
    <x v="9"/>
    <n v="456457"/>
  </r>
  <r>
    <n v="10108"/>
    <n v="4"/>
    <d v="2013-05-12T00:00:00"/>
    <s v="BLU-RAY"/>
    <n v="100731"/>
    <s v="AB101293"/>
    <x v="9"/>
    <n v="793987"/>
  </r>
  <r>
    <n v="10085"/>
    <n v="5"/>
    <d v="2013-05-12T00:00:00"/>
    <s v="BLU-RAY"/>
    <n v="100731"/>
    <s v="AB101294"/>
    <x v="3"/>
    <n v="793987"/>
  </r>
  <r>
    <n v="10269"/>
    <n v="1"/>
    <d v="2013-05-14T00:00:00"/>
    <s v="BLU-RAY"/>
    <n v="100732"/>
    <s v="AB101295"/>
    <x v="3"/>
    <n v="892883"/>
  </r>
  <r>
    <n v="10029"/>
    <n v="8"/>
    <d v="2013-05-12T00:00:00"/>
    <s v="DVD"/>
    <n v="100733"/>
    <s v="AB101296"/>
    <x v="12"/>
    <n v="890270"/>
  </r>
  <r>
    <n v="10038"/>
    <n v="10"/>
    <d v="2013-05-13T00:00:00"/>
    <s v="BLU-RAY"/>
    <n v="100733"/>
    <s v="AB101297"/>
    <x v="1"/>
    <n v="890270"/>
  </r>
  <r>
    <n v="10151"/>
    <n v="5"/>
    <d v="2013-05-12T00:00:00"/>
    <s v="DVD"/>
    <n v="100734"/>
    <s v="AB101298"/>
    <x v="8"/>
    <n v="901388"/>
  </r>
  <r>
    <n v="10029"/>
    <n v="1"/>
    <d v="2013-05-13T00:00:00"/>
    <s v="DVD"/>
    <n v="100734"/>
    <s v="AB101299"/>
    <x v="12"/>
    <n v="901388"/>
  </r>
  <r>
    <n v="10107"/>
    <n v="5"/>
    <d v="2013-05-14T00:00:00"/>
    <s v="DVD"/>
    <n v="100735"/>
    <s v="AB101300"/>
    <x v="7"/>
    <n v="951702"/>
  </r>
  <r>
    <n v="10294"/>
    <n v="10"/>
    <d v="2013-05-12T00:00:00"/>
    <s v="DVD"/>
    <n v="100736"/>
    <s v="AB101301"/>
    <x v="2"/>
    <n v="667170"/>
  </r>
  <r>
    <n v="10274"/>
    <n v="1"/>
    <d v="2013-05-13T00:00:00"/>
    <s v="DVD"/>
    <n v="100736"/>
    <s v="AB101302"/>
    <x v="9"/>
    <n v="667170"/>
  </r>
  <r>
    <n v="10053"/>
    <n v="5"/>
    <d v="2013-05-12T00:00:00"/>
    <s v="DVD"/>
    <n v="100737"/>
    <s v="AB101303"/>
    <x v="4"/>
    <n v="204295"/>
  </r>
  <r>
    <n v="10094"/>
    <n v="5"/>
    <d v="2013-05-12T00:00:00"/>
    <s v="DVD"/>
    <n v="100737"/>
    <s v="AB101304"/>
    <x v="12"/>
    <n v="204295"/>
  </r>
  <r>
    <n v="10256"/>
    <n v="3"/>
    <d v="2013-05-12T00:00:00"/>
    <s v="DVD"/>
    <n v="100737"/>
    <s v="AB101305"/>
    <x v="9"/>
    <n v="204295"/>
  </r>
  <r>
    <n v="10052"/>
    <n v="2"/>
    <d v="2013-05-15T00:00:00"/>
    <s v="BLU-RAY"/>
    <n v="100737"/>
    <s v="AB101306"/>
    <x v="0"/>
    <n v="204295"/>
  </r>
  <r>
    <n v="10098"/>
    <n v="5"/>
    <d v="2013-05-12T00:00:00"/>
    <s v="DVD"/>
    <n v="100738"/>
    <s v="AB101307"/>
    <x v="0"/>
    <n v="734514"/>
  </r>
  <r>
    <n v="10265"/>
    <n v="10"/>
    <d v="2013-05-14T00:00:00"/>
    <s v="DVD"/>
    <n v="100738"/>
    <s v="AB101308"/>
    <x v="0"/>
    <n v="734514"/>
  </r>
  <r>
    <n v="10072"/>
    <n v="6"/>
    <d v="2013-05-12T00:00:00"/>
    <s v="DVD"/>
    <n v="100739"/>
    <s v="AB101309"/>
    <x v="1"/>
    <n v="627324"/>
  </r>
  <r>
    <n v="10141"/>
    <n v="10"/>
    <d v="2013-05-12T00:00:00"/>
    <s v="BLU-RAY"/>
    <n v="100739"/>
    <s v="AB101310"/>
    <x v="0"/>
    <n v="627324"/>
  </r>
  <r>
    <n v="10047"/>
    <n v="6"/>
    <d v="2013-05-12T00:00:00"/>
    <s v="BLU-RAY"/>
    <n v="100739"/>
    <s v="AB101311"/>
    <x v="0"/>
    <n v="627324"/>
  </r>
  <r>
    <n v="10293"/>
    <n v="4"/>
    <d v="2013-05-12T00:00:00"/>
    <s v="BLU-RAY"/>
    <n v="100739"/>
    <s v="AB101312"/>
    <x v="12"/>
    <n v="627324"/>
  </r>
  <r>
    <n v="10091"/>
    <n v="10"/>
    <d v="2013-05-13T00:00:00"/>
    <s v="BLU-RAY"/>
    <n v="100740"/>
    <s v="AB101313"/>
    <x v="0"/>
    <n v="412929"/>
  </r>
  <r>
    <n v="10115"/>
    <n v="2"/>
    <d v="2013-05-13T00:00:00"/>
    <s v="DVD"/>
    <n v="100741"/>
    <s v="AB101314"/>
    <x v="11"/>
    <n v="936214"/>
  </r>
  <r>
    <n v="10117"/>
    <n v="2"/>
    <d v="2013-05-13T00:00:00"/>
    <s v="DVD"/>
    <n v="100741"/>
    <s v="AB101315"/>
    <x v="4"/>
    <n v="936214"/>
  </r>
  <r>
    <n v="10096"/>
    <n v="6"/>
    <d v="2013-05-14T00:00:00"/>
    <s v="BLU-RAY"/>
    <n v="100741"/>
    <s v="AB101316"/>
    <x v="7"/>
    <n v="936214"/>
  </r>
  <r>
    <n v="10234"/>
    <n v="1"/>
    <d v="2013-05-14T00:00:00"/>
    <s v="DVD"/>
    <n v="100742"/>
    <s v="AB101317"/>
    <x v="0"/>
    <n v="175940"/>
  </r>
  <r>
    <n v="10282"/>
    <n v="9"/>
    <d v="2013-05-13T00:00:00"/>
    <s v="DVD"/>
    <n v="100743"/>
    <s v="AB101318"/>
    <x v="15"/>
    <n v="810369"/>
  </r>
  <r>
    <n v="10134"/>
    <n v="5"/>
    <d v="2013-05-13T00:00:00"/>
    <s v="BLU-RAY"/>
    <n v="100743"/>
    <s v="AB101319"/>
    <x v="7"/>
    <n v="810369"/>
  </r>
  <r>
    <n v="10246"/>
    <n v="6"/>
    <d v="2013-05-14T00:00:00"/>
    <s v="BLU-RAY"/>
    <n v="100744"/>
    <s v="AB101320"/>
    <x v="2"/>
    <n v="432268"/>
  </r>
  <r>
    <n v="10001"/>
    <n v="5"/>
    <d v="2013-05-14T00:00:00"/>
    <s v="BLU-RAY"/>
    <n v="100744"/>
    <s v="AB101321"/>
    <x v="14"/>
    <n v="432268"/>
  </r>
  <r>
    <n v="10134"/>
    <n v="9"/>
    <d v="2013-05-14T00:00:00"/>
    <s v="BLU-RAY"/>
    <n v="100744"/>
    <s v="AB101322"/>
    <x v="7"/>
    <n v="432268"/>
  </r>
  <r>
    <n v="10134"/>
    <n v="9"/>
    <d v="2013-05-13T00:00:00"/>
    <s v="BLU-RAY"/>
    <n v="100744"/>
    <s v="AB101323"/>
    <x v="7"/>
    <n v="432268"/>
  </r>
  <r>
    <n v="10088"/>
    <n v="7"/>
    <d v="2013-05-14T00:00:00"/>
    <s v="DVD"/>
    <n v="100744"/>
    <s v="AB101324"/>
    <x v="0"/>
    <n v="432268"/>
  </r>
  <r>
    <n v="10013"/>
    <n v="8"/>
    <d v="2013-05-13T00:00:00"/>
    <s v="DVD"/>
    <n v="100745"/>
    <s v="AB101325"/>
    <x v="11"/>
    <n v="265339"/>
  </r>
  <r>
    <n v="10233"/>
    <n v="9"/>
    <d v="2013-05-14T00:00:00"/>
    <s v="DVD"/>
    <n v="100746"/>
    <s v="AB101326"/>
    <x v="8"/>
    <n v="145929"/>
  </r>
  <r>
    <n v="10165"/>
    <n v="9"/>
    <d v="2013-05-13T00:00:00"/>
    <s v="DVD"/>
    <n v="100747"/>
    <s v="AB101327"/>
    <x v="2"/>
    <n v="578275"/>
  </r>
  <r>
    <n v="10199"/>
    <n v="9"/>
    <d v="2013-05-15T00:00:00"/>
    <s v="BLU-RAY"/>
    <n v="100748"/>
    <s v="AB101328"/>
    <x v="10"/>
    <n v="441628"/>
  </r>
  <r>
    <n v="10027"/>
    <n v="10"/>
    <d v="2013-05-14T00:00:00"/>
    <s v="BLU-RAY"/>
    <n v="100748"/>
    <s v="AB101329"/>
    <x v="16"/>
    <n v="441628"/>
  </r>
  <r>
    <n v="10146"/>
    <n v="6"/>
    <d v="2013-05-14T00:00:00"/>
    <s v="DVD"/>
    <n v="100749"/>
    <s v="AB101330"/>
    <x v="4"/>
    <n v="206078"/>
  </r>
  <r>
    <n v="10173"/>
    <n v="6"/>
    <d v="2013-05-14T00:00:00"/>
    <s v="DVD"/>
    <n v="100750"/>
    <s v="AB101331"/>
    <x v="4"/>
    <n v="437454"/>
  </r>
  <r>
    <n v="10287"/>
    <n v="10"/>
    <d v="2013-05-14T00:00:00"/>
    <s v="BLU-RAY"/>
    <n v="100751"/>
    <s v="AB101332"/>
    <x v="10"/>
    <n v="344702"/>
  </r>
  <r>
    <n v="10248"/>
    <n v="5"/>
    <d v="2013-05-14T00:00:00"/>
    <s v="BLU-RAY"/>
    <n v="100751"/>
    <s v="AB101333"/>
    <x v="12"/>
    <n v="344702"/>
  </r>
  <r>
    <n v="10070"/>
    <n v="8"/>
    <d v="2013-05-14T00:00:00"/>
    <s v="DVD"/>
    <n v="100752"/>
    <s v="AB101334"/>
    <x v="1"/>
    <n v="347189"/>
  </r>
  <r>
    <n v="10019"/>
    <n v="2"/>
    <d v="2013-05-14T00:00:00"/>
    <s v="DVD"/>
    <n v="100752"/>
    <s v="AB101335"/>
    <x v="9"/>
    <n v="347189"/>
  </r>
  <r>
    <n v="10218"/>
    <n v="10"/>
    <d v="2013-05-14T00:00:00"/>
    <s v="BLU-RAY"/>
    <n v="100753"/>
    <s v="AB101336"/>
    <x v="4"/>
    <n v="537796"/>
  </r>
  <r>
    <n v="10052"/>
    <n v="1"/>
    <d v="2013-05-15T00:00:00"/>
    <s v="DVD"/>
    <n v="100754"/>
    <s v="AB101337"/>
    <x v="0"/>
    <n v="191951"/>
  </r>
  <r>
    <n v="10118"/>
    <n v="5"/>
    <d v="2013-05-16T00:00:00"/>
    <s v="BLU-RAY"/>
    <n v="100755"/>
    <s v="AB101338"/>
    <x v="3"/>
    <n v="336644"/>
  </r>
  <r>
    <n v="10173"/>
    <n v="1"/>
    <d v="2013-05-14T00:00:00"/>
    <s v="DVD"/>
    <n v="100755"/>
    <s v="AB101339"/>
    <x v="4"/>
    <n v="336644"/>
  </r>
  <r>
    <n v="10170"/>
    <n v="3"/>
    <d v="2013-05-16T00:00:00"/>
    <s v="DVD"/>
    <n v="100756"/>
    <s v="AB101340"/>
    <x v="15"/>
    <n v="850933"/>
  </r>
  <r>
    <n v="10193"/>
    <n v="6"/>
    <d v="2013-05-14T00:00:00"/>
    <s v="DVD"/>
    <n v="100756"/>
    <s v="AB101341"/>
    <x v="9"/>
    <n v="850933"/>
  </r>
  <r>
    <n v="10193"/>
    <n v="9"/>
    <d v="2013-05-14T00:00:00"/>
    <s v="DVD"/>
    <n v="100757"/>
    <s v="AB101342"/>
    <x v="9"/>
    <n v="193914"/>
  </r>
  <r>
    <n v="10193"/>
    <n v="3"/>
    <d v="2013-05-15T00:00:00"/>
    <s v="BLU-RAY"/>
    <n v="100758"/>
    <s v="AB101343"/>
    <x v="9"/>
    <n v="325263"/>
  </r>
  <r>
    <n v="10005"/>
    <n v="1"/>
    <d v="2013-05-18T00:00:00"/>
    <s v="DVD"/>
    <n v="100758"/>
    <s v="AB101344"/>
    <x v="3"/>
    <n v="325263"/>
  </r>
  <r>
    <n v="10027"/>
    <n v="7"/>
    <d v="2013-05-15T00:00:00"/>
    <s v="DVD"/>
    <n v="100759"/>
    <s v="AB101345"/>
    <x v="16"/>
    <n v="441628"/>
  </r>
  <r>
    <n v="10019"/>
    <n v="10"/>
    <d v="2013-05-16T00:00:00"/>
    <s v="BLU-RAY"/>
    <n v="100759"/>
    <s v="AB101346"/>
    <x v="9"/>
    <n v="441628"/>
  </r>
  <r>
    <n v="10074"/>
    <n v="7"/>
    <d v="2013-05-16T00:00:00"/>
    <s v="DVD"/>
    <n v="100760"/>
    <s v="AB101347"/>
    <x v="11"/>
    <n v="846558"/>
  </r>
  <r>
    <n v="10003"/>
    <n v="8"/>
    <d v="2013-05-15T00:00:00"/>
    <s v="DVD"/>
    <n v="100760"/>
    <s v="AB101348"/>
    <x v="1"/>
    <n v="846558"/>
  </r>
  <r>
    <n v="10155"/>
    <n v="2"/>
    <d v="2013-05-15T00:00:00"/>
    <s v="DVD"/>
    <n v="100760"/>
    <s v="AB101349"/>
    <x v="9"/>
    <n v="846558"/>
  </r>
  <r>
    <n v="10192"/>
    <n v="5"/>
    <d v="2013-05-15T00:00:00"/>
    <s v="DVD"/>
    <n v="100760"/>
    <s v="AB101350"/>
    <x v="7"/>
    <n v="846558"/>
  </r>
  <r>
    <n v="10107"/>
    <n v="5"/>
    <d v="2013-05-15T00:00:00"/>
    <s v="BLU-RAY"/>
    <n v="100760"/>
    <s v="AB101351"/>
    <x v="7"/>
    <n v="846558"/>
  </r>
  <r>
    <n v="10126"/>
    <n v="3"/>
    <d v="2013-05-15T00:00:00"/>
    <s v="DVD"/>
    <n v="100761"/>
    <s v="AB101352"/>
    <x v="9"/>
    <n v="852319"/>
  </r>
  <r>
    <n v="10026"/>
    <n v="4"/>
    <d v="2013-05-16T00:00:00"/>
    <s v="BLU-RAY"/>
    <n v="100761"/>
    <s v="AB101353"/>
    <x v="9"/>
    <n v="852319"/>
  </r>
  <r>
    <n v="10097"/>
    <n v="4"/>
    <d v="2013-05-16T00:00:00"/>
    <s v="DVD"/>
    <n v="100762"/>
    <s v="AB101354"/>
    <x v="8"/>
    <n v="418506"/>
  </r>
  <r>
    <n v="10203"/>
    <n v="6"/>
    <d v="2013-05-16T00:00:00"/>
    <s v="BLU-RAY"/>
    <n v="100762"/>
    <s v="AB101355"/>
    <x v="3"/>
    <n v="418506"/>
  </r>
  <r>
    <n v="10128"/>
    <n v="9"/>
    <d v="2013-05-17T00:00:00"/>
    <s v="BLU-RAY"/>
    <n v="100763"/>
    <s v="AB101356"/>
    <x v="6"/>
    <n v="418506"/>
  </r>
  <r>
    <n v="10249"/>
    <n v="3"/>
    <d v="2013-05-16T00:00:00"/>
    <s v="DVD"/>
    <n v="100764"/>
    <s v="AB101357"/>
    <x v="5"/>
    <n v="693531"/>
  </r>
  <r>
    <n v="10254"/>
    <n v="3"/>
    <d v="2013-05-18T00:00:00"/>
    <s v="DVD"/>
    <n v="100764"/>
    <s v="AB101358"/>
    <x v="1"/>
    <n v="693531"/>
  </r>
  <r>
    <n v="10175"/>
    <n v="10"/>
    <d v="2013-05-16T00:00:00"/>
    <s v="DVD"/>
    <n v="100765"/>
    <s v="AB101359"/>
    <x v="3"/>
    <n v="193914"/>
  </r>
  <r>
    <n v="10117"/>
    <n v="5"/>
    <d v="2013-05-16T00:00:00"/>
    <s v="BLU-RAY"/>
    <n v="100766"/>
    <s v="AB101360"/>
    <x v="4"/>
    <n v="355107"/>
  </r>
  <r>
    <n v="10088"/>
    <n v="5"/>
    <d v="2013-05-17T00:00:00"/>
    <s v="DVD"/>
    <n v="100766"/>
    <s v="AB101361"/>
    <x v="0"/>
    <n v="355107"/>
  </r>
  <r>
    <n v="10184"/>
    <n v="8"/>
    <d v="2013-05-16T00:00:00"/>
    <s v="DVD"/>
    <n v="100767"/>
    <s v="AB101362"/>
    <x v="7"/>
    <n v="145929"/>
  </r>
  <r>
    <n v="10083"/>
    <n v="8"/>
    <d v="2013-05-16T00:00:00"/>
    <s v="DVD"/>
    <n v="100768"/>
    <s v="AB101363"/>
    <x v="3"/>
    <n v="657736"/>
  </r>
  <r>
    <n v="10186"/>
    <n v="9"/>
    <d v="2013-05-16T00:00:00"/>
    <s v="DVD"/>
    <n v="100768"/>
    <s v="AB101364"/>
    <x v="10"/>
    <n v="657736"/>
  </r>
  <r>
    <n v="10209"/>
    <n v="10"/>
    <d v="2013-05-17T00:00:00"/>
    <s v="DVD"/>
    <n v="100769"/>
    <s v="AB101365"/>
    <x v="7"/>
    <n v="789065"/>
  </r>
  <r>
    <n v="10203"/>
    <n v="8"/>
    <d v="2013-05-16T00:00:00"/>
    <s v="DVD"/>
    <n v="100770"/>
    <s v="AB101366"/>
    <x v="3"/>
    <n v="789065"/>
  </r>
  <r>
    <n v="10117"/>
    <n v="2"/>
    <d v="2013-05-17T00:00:00"/>
    <s v="DVD"/>
    <n v="100771"/>
    <s v="AB101367"/>
    <x v="4"/>
    <n v="559486"/>
  </r>
  <r>
    <n v="10267"/>
    <n v="1"/>
    <d v="2013-05-17T00:00:00"/>
    <s v="DVD"/>
    <n v="100772"/>
    <s v="AB101368"/>
    <x v="6"/>
    <n v="437454"/>
  </r>
  <r>
    <n v="10121"/>
    <n v="7"/>
    <d v="2013-05-17T00:00:00"/>
    <s v="BLU-RAY"/>
    <n v="100773"/>
    <s v="AB101369"/>
    <x v="2"/>
    <n v="938393"/>
  </r>
  <r>
    <n v="10270"/>
    <n v="2"/>
    <d v="2013-05-17T00:00:00"/>
    <s v="DVD"/>
    <n v="100773"/>
    <s v="AB101370"/>
    <x v="9"/>
    <n v="938393"/>
  </r>
  <r>
    <n v="10283"/>
    <n v="7"/>
    <d v="2013-05-18T00:00:00"/>
    <s v="DVD"/>
    <n v="100774"/>
    <s v="AB101371"/>
    <x v="6"/>
    <n v="793987"/>
  </r>
  <r>
    <n v="10125"/>
    <n v="9"/>
    <d v="2013-05-19T00:00:00"/>
    <s v="BLU-RAY"/>
    <n v="100774"/>
    <s v="AB101372"/>
    <x v="9"/>
    <n v="793987"/>
  </r>
  <r>
    <n v="10116"/>
    <n v="9"/>
    <d v="2013-05-17T00:00:00"/>
    <s v="BLU-RAY"/>
    <n v="100774"/>
    <s v="AB101373"/>
    <x v="7"/>
    <n v="793987"/>
  </r>
  <r>
    <n v="10021"/>
    <n v="5"/>
    <d v="2013-05-17T00:00:00"/>
    <s v="BLU-RAY"/>
    <n v="100774"/>
    <s v="AB101374"/>
    <x v="1"/>
    <n v="793987"/>
  </r>
  <r>
    <n v="10119"/>
    <n v="6"/>
    <d v="2013-05-17T00:00:00"/>
    <s v="DVD"/>
    <n v="100775"/>
    <s v="AB101375"/>
    <x v="7"/>
    <n v="385115"/>
  </r>
  <r>
    <n v="10211"/>
    <n v="2"/>
    <d v="2013-05-17T00:00:00"/>
    <s v="DVD"/>
    <n v="100776"/>
    <s v="AB101376"/>
    <x v="3"/>
    <n v="765237"/>
  </r>
  <r>
    <n v="10018"/>
    <n v="10"/>
    <d v="2013-05-17T00:00:00"/>
    <s v="DVD"/>
    <n v="100777"/>
    <s v="AB101377"/>
    <x v="9"/>
    <n v="422951"/>
  </r>
  <r>
    <n v="10168"/>
    <n v="10"/>
    <d v="2013-05-17T00:00:00"/>
    <s v="DVD"/>
    <n v="100777"/>
    <s v="AB101378"/>
    <x v="1"/>
    <n v="422951"/>
  </r>
  <r>
    <n v="10196"/>
    <n v="4"/>
    <d v="2013-05-17T00:00:00"/>
    <s v="DVD"/>
    <n v="100777"/>
    <s v="AB101379"/>
    <x v="9"/>
    <n v="422951"/>
  </r>
  <r>
    <n v="10070"/>
    <n v="5"/>
    <d v="2013-05-19T00:00:00"/>
    <s v="DVD"/>
    <n v="100778"/>
    <s v="AB101380"/>
    <x v="1"/>
    <n v="319387"/>
  </r>
  <r>
    <n v="10076"/>
    <n v="8"/>
    <d v="2013-05-18T00:00:00"/>
    <s v="DVD"/>
    <n v="100778"/>
    <s v="AB101381"/>
    <x v="4"/>
    <n v="319387"/>
  </r>
  <r>
    <n v="10273"/>
    <n v="9"/>
    <d v="2013-05-18T00:00:00"/>
    <s v="BLU-RAY"/>
    <n v="100779"/>
    <s v="AB101382"/>
    <x v="4"/>
    <n v="929344"/>
  </r>
  <r>
    <n v="10259"/>
    <n v="3"/>
    <d v="2013-05-18T00:00:00"/>
    <s v="DVD"/>
    <n v="100779"/>
    <s v="AB101383"/>
    <x v="0"/>
    <n v="929344"/>
  </r>
  <r>
    <n v="10143"/>
    <n v="1"/>
    <d v="2013-05-19T00:00:00"/>
    <s v="BLU-RAY"/>
    <n v="100779"/>
    <s v="AB101384"/>
    <x v="3"/>
    <n v="929344"/>
  </r>
  <r>
    <n v="10024"/>
    <n v="7"/>
    <d v="2013-05-18T00:00:00"/>
    <s v="DVD"/>
    <n v="100780"/>
    <s v="AB101385"/>
    <x v="9"/>
    <n v="605188"/>
  </r>
  <r>
    <n v="10068"/>
    <n v="4"/>
    <d v="2013-05-18T00:00:00"/>
    <s v="BLU-RAY"/>
    <n v="100780"/>
    <s v="AB101386"/>
    <x v="0"/>
    <n v="605188"/>
  </r>
  <r>
    <n v="10193"/>
    <n v="5"/>
    <d v="2013-05-18T00:00:00"/>
    <s v="BLU-RAY"/>
    <n v="100781"/>
    <s v="AB101387"/>
    <x v="9"/>
    <n v="247216"/>
  </r>
  <r>
    <n v="10156"/>
    <n v="7"/>
    <d v="2013-05-19T00:00:00"/>
    <s v="DVD"/>
    <n v="100781"/>
    <s v="AB101388"/>
    <x v="3"/>
    <n v="247216"/>
  </r>
  <r>
    <n v="10101"/>
    <n v="6"/>
    <d v="2013-05-19T00:00:00"/>
    <s v="BLU-RAY"/>
    <n v="100782"/>
    <s v="AB101389"/>
    <x v="4"/>
    <n v="317461"/>
  </r>
  <r>
    <n v="10144"/>
    <n v="2"/>
    <d v="2013-05-19T00:00:00"/>
    <s v="DVD"/>
    <n v="100782"/>
    <s v="AB101390"/>
    <x v="2"/>
    <n v="317461"/>
  </r>
  <r>
    <n v="10299"/>
    <n v="2"/>
    <d v="2013-05-20T00:00:00"/>
    <s v="BLU-RAY"/>
    <n v="100783"/>
    <s v="AB101391"/>
    <x v="22"/>
    <n v="371731"/>
  </r>
  <r>
    <n v="10240"/>
    <n v="1"/>
    <d v="2013-05-19T00:00:00"/>
    <s v="DVD"/>
    <n v="100783"/>
    <s v="AB101392"/>
    <x v="0"/>
    <n v="371731"/>
  </r>
  <r>
    <n v="10031"/>
    <n v="5"/>
    <d v="2013-05-19T00:00:00"/>
    <s v="DVD"/>
    <n v="100784"/>
    <s v="AB101393"/>
    <x v="0"/>
    <n v="814317"/>
  </r>
  <r>
    <n v="10113"/>
    <n v="2"/>
    <d v="2013-05-19T00:00:00"/>
    <s v="DVD"/>
    <n v="100785"/>
    <s v="AB101394"/>
    <x v="10"/>
    <n v="207846"/>
  </r>
  <r>
    <n v="10157"/>
    <n v="4"/>
    <d v="2013-05-19T00:00:00"/>
    <s v="DVD"/>
    <n v="100785"/>
    <s v="AB101395"/>
    <x v="1"/>
    <n v="207846"/>
  </r>
  <r>
    <n v="10228"/>
    <n v="7"/>
    <d v="2013-05-19T00:00:00"/>
    <s v="BLU-RAY"/>
    <n v="100785"/>
    <s v="AB101396"/>
    <x v="7"/>
    <n v="207846"/>
  </r>
  <r>
    <n v="10064"/>
    <n v="1"/>
    <d v="2013-05-20T00:00:00"/>
    <s v="DVD"/>
    <n v="100786"/>
    <s v="AB101397"/>
    <x v="7"/>
    <n v="917728"/>
  </r>
  <r>
    <n v="10062"/>
    <n v="2"/>
    <d v="2013-05-19T00:00:00"/>
    <s v="BLU-RAY"/>
    <n v="100787"/>
    <s v="AB101398"/>
    <x v="16"/>
    <n v="757525"/>
  </r>
  <r>
    <n v="10085"/>
    <n v="1"/>
    <d v="2013-05-19T00:00:00"/>
    <s v="BLU-RAY"/>
    <n v="100787"/>
    <s v="AB101399"/>
    <x v="3"/>
    <n v="757525"/>
  </r>
  <r>
    <n v="10089"/>
    <n v="3"/>
    <d v="2013-05-20T00:00:00"/>
    <s v="DVD"/>
    <n v="100787"/>
    <s v="AB101400"/>
    <x v="4"/>
    <n v="757525"/>
  </r>
  <r>
    <n v="10020"/>
    <n v="5"/>
    <d v="2013-05-20T00:00:00"/>
    <s v="DVD"/>
    <n v="100788"/>
    <s v="AB101401"/>
    <x v="16"/>
    <n v="767570"/>
  </r>
  <r>
    <n v="10124"/>
    <n v="10"/>
    <d v="2013-05-21T00:00:00"/>
    <s v="DVD"/>
    <n v="100788"/>
    <s v="AB101402"/>
    <x v="1"/>
    <n v="767570"/>
  </r>
  <r>
    <n v="10296"/>
    <n v="10"/>
    <d v="2013-05-21T00:00:00"/>
    <s v="DVD"/>
    <n v="100789"/>
    <s v="AB101403"/>
    <x v="21"/>
    <n v="905670"/>
  </r>
  <r>
    <n v="10213"/>
    <n v="9"/>
    <d v="2013-05-21T00:00:00"/>
    <s v="BLU-RAY"/>
    <n v="100790"/>
    <s v="AB101404"/>
    <x v="4"/>
    <n v="616028"/>
  </r>
  <r>
    <n v="10120"/>
    <n v="10"/>
    <d v="2013-05-21T00:00:00"/>
    <s v="BLU-RAY"/>
    <n v="100791"/>
    <s v="AB101405"/>
    <x v="14"/>
    <n v="766737"/>
  </r>
  <r>
    <n v="10030"/>
    <n v="4"/>
    <d v="2013-05-22T00:00:00"/>
    <s v="DVD"/>
    <n v="100791"/>
    <s v="AB101406"/>
    <x v="0"/>
    <n v="766737"/>
  </r>
  <r>
    <n v="10041"/>
    <n v="8"/>
    <d v="2013-05-20T00:00:00"/>
    <s v="BLU-RAY"/>
    <n v="100791"/>
    <s v="AB101407"/>
    <x v="10"/>
    <n v="766737"/>
  </r>
  <r>
    <n v="10284"/>
    <n v="4"/>
    <d v="2013-05-20T00:00:00"/>
    <s v="DVD"/>
    <n v="100792"/>
    <s v="AB101408"/>
    <x v="14"/>
    <n v="888952"/>
  </r>
  <r>
    <n v="10088"/>
    <n v="6"/>
    <d v="2013-05-20T00:00:00"/>
    <s v="DVD"/>
    <n v="100792"/>
    <s v="AB101409"/>
    <x v="0"/>
    <n v="888952"/>
  </r>
  <r>
    <n v="10157"/>
    <n v="2"/>
    <d v="2013-05-20T00:00:00"/>
    <s v="DVD"/>
    <n v="100792"/>
    <s v="AB101410"/>
    <x v="1"/>
    <n v="888952"/>
  </r>
  <r>
    <n v="10286"/>
    <n v="8"/>
    <d v="2013-05-21T00:00:00"/>
    <s v="DVD"/>
    <n v="100793"/>
    <s v="AB101411"/>
    <x v="17"/>
    <n v="319387"/>
  </r>
  <r>
    <n v="10078"/>
    <n v="5"/>
    <d v="2013-05-21T00:00:00"/>
    <s v="DVD"/>
    <n v="100793"/>
    <s v="AB101412"/>
    <x v="1"/>
    <n v="319387"/>
  </r>
  <r>
    <n v="10282"/>
    <n v="4"/>
    <d v="2013-05-21T00:00:00"/>
    <s v="DVD"/>
    <n v="100794"/>
    <s v="AB101413"/>
    <x v="15"/>
    <n v="759995"/>
  </r>
  <r>
    <n v="10041"/>
    <n v="5"/>
    <d v="2013-05-21T00:00:00"/>
    <s v="DVD"/>
    <n v="100794"/>
    <s v="AB101414"/>
    <x v="10"/>
    <n v="759995"/>
  </r>
  <r>
    <n v="10087"/>
    <n v="7"/>
    <d v="2013-05-21T00:00:00"/>
    <s v="DVD"/>
    <n v="100795"/>
    <s v="AB101415"/>
    <x v="10"/>
    <n v="271531"/>
  </r>
  <r>
    <n v="10236"/>
    <n v="3"/>
    <d v="2013-05-20T00:00:00"/>
    <s v="DVD"/>
    <n v="100796"/>
    <s v="AB101416"/>
    <x v="10"/>
    <n v="108708"/>
  </r>
  <r>
    <n v="10037"/>
    <n v="1"/>
    <d v="2013-05-20T00:00:00"/>
    <s v="DVD"/>
    <n v="100796"/>
    <s v="AB101417"/>
    <x v="3"/>
    <n v="108708"/>
  </r>
  <r>
    <n v="10287"/>
    <n v="1"/>
    <d v="2013-05-21T00:00:00"/>
    <s v="DVD"/>
    <n v="100796"/>
    <s v="AB101418"/>
    <x v="10"/>
    <n v="108708"/>
  </r>
  <r>
    <n v="10116"/>
    <n v="9"/>
    <d v="2013-05-21T00:00:00"/>
    <s v="DVD"/>
    <n v="100797"/>
    <s v="AB101419"/>
    <x v="7"/>
    <n v="803700"/>
  </r>
  <r>
    <n v="10174"/>
    <n v="7"/>
    <d v="2013-05-20T00:00:00"/>
    <s v="BLU-RAY"/>
    <n v="100797"/>
    <s v="AB101420"/>
    <x v="7"/>
    <n v="803700"/>
  </r>
  <r>
    <n v="10004"/>
    <n v="9"/>
    <d v="2013-05-20T00:00:00"/>
    <s v="DVD"/>
    <n v="100797"/>
    <s v="AB101421"/>
    <x v="1"/>
    <n v="803700"/>
  </r>
  <r>
    <n v="10228"/>
    <n v="10"/>
    <d v="2013-05-21T00:00:00"/>
    <s v="DVD"/>
    <n v="100798"/>
    <s v="AB101422"/>
    <x v="7"/>
    <n v="964403"/>
  </r>
  <r>
    <n v="10129"/>
    <n v="6"/>
    <d v="2013-05-22T00:00:00"/>
    <s v="DVD"/>
    <n v="100798"/>
    <s v="AB101423"/>
    <x v="0"/>
    <n v="964403"/>
  </r>
  <r>
    <n v="10093"/>
    <n v="3"/>
    <d v="2013-05-22T00:00:00"/>
    <s v="BLU-RAY"/>
    <n v="100798"/>
    <s v="AB101424"/>
    <x v="11"/>
    <n v="964403"/>
  </r>
  <r>
    <n v="10070"/>
    <n v="10"/>
    <d v="2013-05-22T00:00:00"/>
    <s v="DVD"/>
    <n v="100799"/>
    <s v="AB101425"/>
    <x v="1"/>
    <n v="317807"/>
  </r>
  <r>
    <n v="10095"/>
    <n v="2"/>
    <d v="2013-05-22T00:00:00"/>
    <s v="DVD"/>
    <n v="100800"/>
    <s v="AB101426"/>
    <x v="2"/>
    <n v="355107"/>
  </r>
  <r>
    <n v="10232"/>
    <n v="3"/>
    <d v="2013-05-22T00:00:00"/>
    <s v="DVD"/>
    <n v="100800"/>
    <s v="AB101427"/>
    <x v="1"/>
    <n v="355107"/>
  </r>
  <r>
    <n v="10167"/>
    <n v="1"/>
    <d v="2013-05-21T00:00:00"/>
    <s v="BLU-RAY"/>
    <n v="100801"/>
    <s v="AB101428"/>
    <x v="7"/>
    <n v="756769"/>
  </r>
  <r>
    <n v="10298"/>
    <n v="8"/>
    <d v="2013-05-21T00:00:00"/>
    <s v="DVD"/>
    <n v="100801"/>
    <s v="AB101429"/>
    <x v="19"/>
    <n v="756769"/>
  </r>
  <r>
    <n v="10206"/>
    <n v="10"/>
    <d v="2013-05-22T00:00:00"/>
    <s v="DVD"/>
    <n v="100802"/>
    <s v="AB101430"/>
    <x v="9"/>
    <n v="236554"/>
  </r>
  <r>
    <n v="10121"/>
    <n v="5"/>
    <d v="2013-05-22T00:00:00"/>
    <s v="BLU-RAY"/>
    <n v="100802"/>
    <s v="AB101431"/>
    <x v="2"/>
    <n v="236554"/>
  </r>
  <r>
    <n v="10216"/>
    <n v="1"/>
    <d v="2013-05-21T00:00:00"/>
    <s v="BLU-RAY"/>
    <n v="100803"/>
    <s v="AB101432"/>
    <x v="4"/>
    <n v="558749"/>
  </r>
  <r>
    <n v="10211"/>
    <n v="9"/>
    <d v="2013-05-21T00:00:00"/>
    <s v="DVD"/>
    <n v="100804"/>
    <s v="AB101433"/>
    <x v="3"/>
    <n v="227456"/>
  </r>
  <r>
    <n v="10077"/>
    <n v="1"/>
    <d v="2013-05-21T00:00:00"/>
    <s v="BLU-RAY"/>
    <n v="100805"/>
    <s v="AB101434"/>
    <x v="0"/>
    <n v="189441"/>
  </r>
  <r>
    <n v="10246"/>
    <n v="1"/>
    <d v="2013-05-22T00:00:00"/>
    <s v="BLU-RAY"/>
    <n v="100806"/>
    <s v="AB101435"/>
    <x v="2"/>
    <n v="842028"/>
  </r>
  <r>
    <n v="10267"/>
    <n v="3"/>
    <d v="2013-05-21T00:00:00"/>
    <s v="BLU-RAY"/>
    <n v="100806"/>
    <s v="AB101436"/>
    <x v="6"/>
    <n v="842028"/>
  </r>
  <r>
    <n v="10138"/>
    <n v="10"/>
    <d v="2013-05-22T00:00:00"/>
    <s v="BLU-RAY"/>
    <n v="100807"/>
    <s v="AB101437"/>
    <x v="7"/>
    <n v="168607"/>
  </r>
  <r>
    <n v="10296"/>
    <n v="8"/>
    <d v="2013-05-21T00:00:00"/>
    <s v="BLU-RAY"/>
    <n v="100807"/>
    <s v="AB101438"/>
    <x v="21"/>
    <n v="168607"/>
  </r>
  <r>
    <n v="10247"/>
    <n v="6"/>
    <d v="2013-05-22T00:00:00"/>
    <s v="DVD"/>
    <n v="100808"/>
    <s v="AB101439"/>
    <x v="9"/>
    <n v="743517"/>
  </r>
  <r>
    <n v="10140"/>
    <n v="9"/>
    <d v="2013-05-21T00:00:00"/>
    <s v="DVD"/>
    <n v="100808"/>
    <s v="AB101440"/>
    <x v="2"/>
    <n v="743517"/>
  </r>
  <r>
    <n v="10042"/>
    <n v="5"/>
    <d v="2013-05-22T00:00:00"/>
    <s v="DVD"/>
    <n v="100809"/>
    <s v="AB101441"/>
    <x v="1"/>
    <n v="580783"/>
  </r>
  <r>
    <n v="10001"/>
    <n v="8"/>
    <d v="2013-05-22T00:00:00"/>
    <s v="BLU-RAY"/>
    <n v="100810"/>
    <s v="AB101442"/>
    <x v="14"/>
    <n v="418635"/>
  </r>
  <r>
    <n v="10236"/>
    <n v="10"/>
    <d v="2013-05-22T00:00:00"/>
    <s v="DVD"/>
    <n v="100811"/>
    <s v="AB101443"/>
    <x v="10"/>
    <n v="556152"/>
  </r>
  <r>
    <n v="10225"/>
    <n v="7"/>
    <d v="2013-05-22T00:00:00"/>
    <s v="BLU-RAY"/>
    <n v="100812"/>
    <s v="AB101444"/>
    <x v="0"/>
    <n v="265133"/>
  </r>
  <r>
    <n v="10137"/>
    <n v="4"/>
    <d v="2013-05-23T00:00:00"/>
    <s v="BLU-RAY"/>
    <n v="100813"/>
    <s v="AB101445"/>
    <x v="3"/>
    <n v="191951"/>
  </r>
  <r>
    <n v="10241"/>
    <n v="3"/>
    <d v="2013-05-22T00:00:00"/>
    <s v="BLU-RAY"/>
    <n v="100814"/>
    <s v="AB101446"/>
    <x v="0"/>
    <n v="471187"/>
  </r>
  <r>
    <n v="10121"/>
    <n v="4"/>
    <d v="2013-05-23T00:00:00"/>
    <s v="BLU-RAY"/>
    <n v="100814"/>
    <s v="AB101447"/>
    <x v="2"/>
    <n v="471187"/>
  </r>
  <r>
    <n v="10131"/>
    <n v="10"/>
    <d v="2013-05-23T00:00:00"/>
    <s v="DVD"/>
    <n v="100815"/>
    <s v="AB101448"/>
    <x v="0"/>
    <n v="421074"/>
  </r>
  <r>
    <n v="10284"/>
    <n v="9"/>
    <d v="2013-05-24T00:00:00"/>
    <s v="DVD"/>
    <n v="100815"/>
    <s v="AB101449"/>
    <x v="14"/>
    <n v="421074"/>
  </r>
  <r>
    <n v="10272"/>
    <n v="6"/>
    <d v="2013-05-23T00:00:00"/>
    <s v="BLU-RAY"/>
    <n v="100816"/>
    <s v="AB101450"/>
    <x v="4"/>
    <n v="468100"/>
  </r>
  <r>
    <n v="10205"/>
    <n v="7"/>
    <d v="2013-05-24T00:00:00"/>
    <s v="BLU-RAY"/>
    <n v="100817"/>
    <s v="AB101451"/>
    <x v="1"/>
    <n v="380003"/>
  </r>
  <r>
    <n v="10051"/>
    <n v="2"/>
    <d v="2013-05-26T00:00:00"/>
    <s v="BLU-RAY"/>
    <n v="100818"/>
    <s v="AB101452"/>
    <x v="1"/>
    <n v="884368"/>
  </r>
  <r>
    <n v="10069"/>
    <n v="9"/>
    <d v="2013-05-24T00:00:00"/>
    <s v="BLU-RAY"/>
    <n v="100819"/>
    <s v="AB101453"/>
    <x v="0"/>
    <n v="880238"/>
  </r>
  <r>
    <n v="10093"/>
    <n v="2"/>
    <d v="2013-05-24T00:00:00"/>
    <s v="DVD"/>
    <n v="100820"/>
    <s v="AB101454"/>
    <x v="11"/>
    <n v="515753"/>
  </r>
  <r>
    <n v="10259"/>
    <n v="1"/>
    <d v="2013-05-24T00:00:00"/>
    <s v="DVD"/>
    <n v="100821"/>
    <s v="AB101455"/>
    <x v="0"/>
    <n v="352644"/>
  </r>
  <r>
    <n v="10024"/>
    <n v="4"/>
    <d v="2013-05-24T00:00:00"/>
    <s v="BLU-RAY"/>
    <n v="100822"/>
    <s v="AB101456"/>
    <x v="9"/>
    <n v="271531"/>
  </r>
  <r>
    <n v="10121"/>
    <n v="2"/>
    <d v="2013-05-26T00:00:00"/>
    <s v="BLU-RAY"/>
    <n v="100822"/>
    <s v="AB101457"/>
    <x v="2"/>
    <n v="271531"/>
  </r>
  <r>
    <n v="10140"/>
    <n v="7"/>
    <d v="2013-05-25T00:00:00"/>
    <s v="DVD"/>
    <n v="100823"/>
    <s v="AB101458"/>
    <x v="2"/>
    <n v="559054"/>
  </r>
  <r>
    <n v="10032"/>
    <n v="8"/>
    <d v="2013-05-25T00:00:00"/>
    <s v="DVD"/>
    <n v="100824"/>
    <s v="AB101459"/>
    <x v="4"/>
    <n v="605188"/>
  </r>
  <r>
    <n v="10183"/>
    <n v="10"/>
    <d v="2013-05-26T00:00:00"/>
    <s v="DVD"/>
    <n v="100825"/>
    <s v="AB101460"/>
    <x v="4"/>
    <n v="833180"/>
  </r>
  <r>
    <n v="10130"/>
    <n v="3"/>
    <d v="2013-05-25T00:00:00"/>
    <s v="BLU-RAY"/>
    <n v="100826"/>
    <s v="AB101461"/>
    <x v="21"/>
    <n v="974503"/>
  </r>
  <r>
    <n v="10090"/>
    <n v="2"/>
    <d v="2013-05-25T00:00:00"/>
    <s v="DVD"/>
    <n v="100826"/>
    <s v="AB101462"/>
    <x v="1"/>
    <n v="974503"/>
  </r>
  <r>
    <n v="10036"/>
    <n v="2"/>
    <d v="2013-05-25T00:00:00"/>
    <s v="DVD"/>
    <n v="100827"/>
    <s v="AB101463"/>
    <x v="7"/>
    <n v="567388"/>
  </r>
  <r>
    <n v="10073"/>
    <n v="6"/>
    <d v="2013-05-25T00:00:00"/>
    <s v="DVD"/>
    <n v="100827"/>
    <s v="AB101464"/>
    <x v="16"/>
    <n v="567388"/>
  </r>
  <r>
    <n v="10168"/>
    <n v="7"/>
    <d v="2013-05-26T00:00:00"/>
    <s v="BLU-RAY"/>
    <n v="100828"/>
    <s v="AB101465"/>
    <x v="1"/>
    <n v="548800"/>
  </r>
  <r>
    <n v="10189"/>
    <n v="9"/>
    <d v="2013-05-27T00:00:00"/>
    <s v="DVD"/>
    <n v="100828"/>
    <s v="AB101466"/>
    <x v="7"/>
    <n v="548800"/>
  </r>
  <r>
    <n v="10259"/>
    <n v="3"/>
    <d v="2013-05-26T00:00:00"/>
    <s v="DVD"/>
    <n v="100828"/>
    <s v="AB101467"/>
    <x v="0"/>
    <n v="548800"/>
  </r>
  <r>
    <n v="10185"/>
    <n v="2"/>
    <d v="2013-05-26T00:00:00"/>
    <s v="BLU-RAY"/>
    <n v="100829"/>
    <s v="AB101468"/>
    <x v="0"/>
    <n v="912671"/>
  </r>
  <r>
    <n v="10199"/>
    <n v="1"/>
    <d v="2013-05-26T00:00:00"/>
    <s v="DVD"/>
    <n v="100829"/>
    <s v="AB101469"/>
    <x v="10"/>
    <n v="912671"/>
  </r>
  <r>
    <n v="10221"/>
    <n v="2"/>
    <d v="2013-05-26T00:00:00"/>
    <s v="DVD"/>
    <n v="100830"/>
    <s v="AB101470"/>
    <x v="9"/>
    <n v="513968"/>
  </r>
  <r>
    <n v="10197"/>
    <n v="2"/>
    <d v="2013-05-26T00:00:00"/>
    <s v="DVD"/>
    <n v="100830"/>
    <s v="AB101471"/>
    <x v="0"/>
    <n v="513968"/>
  </r>
  <r>
    <n v="10295"/>
    <n v="4"/>
    <d v="2013-05-26T00:00:00"/>
    <s v="DVD"/>
    <n v="100831"/>
    <s v="AB101472"/>
    <x v="21"/>
    <n v="162236"/>
  </r>
  <r>
    <n v="10202"/>
    <n v="1"/>
    <d v="2013-05-27T00:00:00"/>
    <s v="DVD"/>
    <n v="100832"/>
    <s v="AB101473"/>
    <x v="0"/>
    <n v="170500"/>
  </r>
  <r>
    <n v="10286"/>
    <n v="1"/>
    <d v="2013-05-28T00:00:00"/>
    <s v="DVD"/>
    <n v="100832"/>
    <s v="AB101474"/>
    <x v="17"/>
    <n v="170500"/>
  </r>
  <r>
    <n v="10168"/>
    <n v="9"/>
    <d v="2013-05-26T00:00:00"/>
    <s v="BLU-RAY"/>
    <n v="100833"/>
    <s v="AB101475"/>
    <x v="1"/>
    <n v="478274"/>
  </r>
  <r>
    <n v="10291"/>
    <n v="1"/>
    <d v="2013-05-26T00:00:00"/>
    <s v="DVD"/>
    <n v="100833"/>
    <s v="AB101476"/>
    <x v="0"/>
    <n v="478274"/>
  </r>
  <r>
    <n v="10284"/>
    <n v="5"/>
    <d v="2013-05-28T00:00:00"/>
    <s v="BLU-RAY"/>
    <n v="100834"/>
    <s v="AB101477"/>
    <x v="14"/>
    <n v="926144"/>
  </r>
  <r>
    <n v="10111"/>
    <n v="7"/>
    <d v="2013-05-27T00:00:00"/>
    <s v="DVD"/>
    <n v="100834"/>
    <s v="AB101478"/>
    <x v="9"/>
    <n v="926144"/>
  </r>
  <r>
    <n v="10227"/>
    <n v="6"/>
    <d v="2013-05-26T00:00:00"/>
    <s v="BLU-RAY"/>
    <n v="100835"/>
    <s v="AB101479"/>
    <x v="14"/>
    <n v="672834"/>
  </r>
  <r>
    <n v="10225"/>
    <n v="4"/>
    <d v="2013-05-26T00:00:00"/>
    <s v="BLU-RAY"/>
    <n v="100835"/>
    <s v="AB101480"/>
    <x v="0"/>
    <n v="672834"/>
  </r>
  <r>
    <n v="10174"/>
    <n v="10"/>
    <d v="2013-05-26T00:00:00"/>
    <s v="DVD"/>
    <n v="100835"/>
    <s v="AB101481"/>
    <x v="7"/>
    <n v="672834"/>
  </r>
  <r>
    <n v="10127"/>
    <n v="10"/>
    <d v="2013-05-27T00:00:00"/>
    <s v="DVD"/>
    <n v="100836"/>
    <s v="AB101482"/>
    <x v="6"/>
    <n v="346006"/>
  </r>
  <r>
    <n v="10288"/>
    <n v="4"/>
    <d v="2013-05-27T00:00:00"/>
    <s v="DVD"/>
    <n v="100836"/>
    <s v="AB101483"/>
    <x v="12"/>
    <n v="346006"/>
  </r>
  <r>
    <n v="10272"/>
    <n v="5"/>
    <d v="2013-05-27T00:00:00"/>
    <s v="BLU-RAY"/>
    <n v="100837"/>
    <s v="AB101484"/>
    <x v="4"/>
    <n v="908768"/>
  </r>
  <r>
    <n v="10148"/>
    <n v="7"/>
    <d v="2013-05-28T00:00:00"/>
    <s v="DVD"/>
    <n v="100838"/>
    <s v="AB101485"/>
    <x v="1"/>
    <n v="781523"/>
  </r>
  <r>
    <n v="10286"/>
    <n v="6"/>
    <d v="2013-05-27T00:00:00"/>
    <s v="BLU-RAY"/>
    <n v="100839"/>
    <s v="AB101486"/>
    <x v="17"/>
    <n v="464782"/>
  </r>
  <r>
    <n v="10005"/>
    <n v="10"/>
    <d v="2013-05-29T00:00:00"/>
    <s v="DVD"/>
    <n v="100839"/>
    <s v="AB101487"/>
    <x v="3"/>
    <n v="464782"/>
  </r>
  <r>
    <n v="10184"/>
    <n v="9"/>
    <d v="2013-05-27T00:00:00"/>
    <s v="BLU-RAY"/>
    <n v="100840"/>
    <s v="AB101488"/>
    <x v="7"/>
    <n v="329994"/>
  </r>
  <r>
    <n v="10110"/>
    <n v="4"/>
    <d v="2013-05-27T00:00:00"/>
    <s v="BLU-RAY"/>
    <n v="100841"/>
    <s v="AB101489"/>
    <x v="0"/>
    <n v="116934"/>
  </r>
  <r>
    <n v="10217"/>
    <n v="7"/>
    <d v="2013-05-27T00:00:00"/>
    <s v="BLU-RAY"/>
    <n v="100841"/>
    <s v="AB101490"/>
    <x v="0"/>
    <n v="116934"/>
  </r>
  <r>
    <n v="10099"/>
    <n v="3"/>
    <d v="2013-05-28T00:00:00"/>
    <s v="DVD"/>
    <n v="100842"/>
    <s v="AB101491"/>
    <x v="10"/>
    <n v="170500"/>
  </r>
  <r>
    <n v="10269"/>
    <n v="6"/>
    <d v="2013-05-27T00:00:00"/>
    <s v="DVD"/>
    <n v="100843"/>
    <s v="AB101492"/>
    <x v="3"/>
    <n v="478274"/>
  </r>
  <r>
    <n v="10115"/>
    <n v="10"/>
    <d v="2013-05-27T00:00:00"/>
    <s v="DVD"/>
    <n v="100843"/>
    <s v="AB101493"/>
    <x v="11"/>
    <n v="478274"/>
  </r>
  <r>
    <n v="10080"/>
    <n v="10"/>
    <d v="2013-05-29T00:00:00"/>
    <s v="BLU-RAY"/>
    <n v="100843"/>
    <s v="AB101494"/>
    <x v="3"/>
    <n v="478274"/>
  </r>
  <r>
    <n v="10250"/>
    <n v="4"/>
    <d v="2013-05-29T00:00:00"/>
    <s v="DVD"/>
    <n v="100844"/>
    <s v="AB101495"/>
    <x v="3"/>
    <n v="178806"/>
  </r>
  <r>
    <n v="10284"/>
    <n v="10"/>
    <d v="2013-05-30T00:00:00"/>
    <s v="DVD"/>
    <n v="100844"/>
    <s v="AB101496"/>
    <x v="14"/>
    <n v="178806"/>
  </r>
  <r>
    <n v="10132"/>
    <n v="5"/>
    <d v="2013-05-28T00:00:00"/>
    <s v="BLU-RAY"/>
    <n v="100845"/>
    <s v="AB101497"/>
    <x v="10"/>
    <n v="253106"/>
  </r>
  <r>
    <n v="10180"/>
    <n v="9"/>
    <d v="2013-05-28T00:00:00"/>
    <s v="DVD"/>
    <n v="100846"/>
    <s v="AB101498"/>
    <x v="12"/>
    <n v="676018"/>
  </r>
  <r>
    <n v="10271"/>
    <n v="5"/>
    <d v="2013-05-28T00:00:00"/>
    <s v="DVD"/>
    <n v="100846"/>
    <s v="AB101499"/>
    <x v="7"/>
    <n v="676018"/>
  </r>
  <r>
    <n v="10136"/>
    <n v="9"/>
    <d v="2013-05-28T00:00:00"/>
    <s v="DVD"/>
    <n v="100847"/>
    <s v="AB101500"/>
    <x v="2"/>
    <n v="199895"/>
  </r>
  <r>
    <n v="10041"/>
    <n v="3"/>
    <d v="2013-05-28T00:00:00"/>
    <s v="DVD"/>
    <n v="100847"/>
    <s v="AB101501"/>
    <x v="10"/>
    <n v="199895"/>
  </r>
  <r>
    <n v="10058"/>
    <n v="3"/>
    <d v="2013-05-29T00:00:00"/>
    <s v="DVD"/>
    <n v="100848"/>
    <s v="AB101502"/>
    <x v="4"/>
    <n v="932618"/>
  </r>
  <r>
    <n v="10262"/>
    <n v="9"/>
    <d v="2013-05-29T00:00:00"/>
    <s v="DVD"/>
    <n v="100848"/>
    <s v="AB101503"/>
    <x v="10"/>
    <n v="932618"/>
  </r>
  <r>
    <n v="10097"/>
    <n v="3"/>
    <d v="2013-05-30T00:00:00"/>
    <s v="DVD"/>
    <n v="100849"/>
    <s v="AB101504"/>
    <x v="8"/>
    <n v="932618"/>
  </r>
  <r>
    <n v="10213"/>
    <n v="6"/>
    <d v="2013-05-29T00:00:00"/>
    <s v="DVD"/>
    <n v="100850"/>
    <s v="AB101505"/>
    <x v="4"/>
    <n v="785444"/>
  </r>
  <r>
    <n v="10110"/>
    <n v="7"/>
    <d v="2013-05-30T00:00:00"/>
    <s v="BLU-RAY"/>
    <n v="100851"/>
    <s v="AB101506"/>
    <x v="0"/>
    <n v="616028"/>
  </r>
  <r>
    <n v="10164"/>
    <n v="7"/>
    <d v="2013-05-29T00:00:00"/>
    <s v="BLU-RAY"/>
    <n v="100851"/>
    <s v="AB101507"/>
    <x v="2"/>
    <n v="616028"/>
  </r>
  <r>
    <n v="10011"/>
    <n v="5"/>
    <d v="2013-05-29T00:00:00"/>
    <s v="BLU-RAY"/>
    <n v="100852"/>
    <s v="AB101508"/>
    <x v="3"/>
    <n v="694281"/>
  </r>
  <r>
    <n v="10073"/>
    <n v="1"/>
    <d v="2013-05-29T00:00:00"/>
    <s v="BLU-RAY"/>
    <n v="100852"/>
    <s v="AB101509"/>
    <x v="16"/>
    <n v="694281"/>
  </r>
  <r>
    <n v="10193"/>
    <n v="3"/>
    <d v="2013-05-30T00:00:00"/>
    <s v="BLU-RAY"/>
    <n v="100853"/>
    <s v="AB101510"/>
    <x v="9"/>
    <n v="649551"/>
  </r>
  <r>
    <n v="10288"/>
    <n v="8"/>
    <d v="2013-05-29T00:00:00"/>
    <s v="BLU-RAY"/>
    <n v="100853"/>
    <s v="AB101511"/>
    <x v="12"/>
    <n v="649551"/>
  </r>
  <r>
    <n v="10202"/>
    <n v="9"/>
    <d v="2013-05-29T00:00:00"/>
    <s v="DVD"/>
    <n v="100853"/>
    <s v="AB101512"/>
    <x v="0"/>
    <n v="649551"/>
  </r>
  <r>
    <n v="10023"/>
    <n v="10"/>
    <d v="2013-05-29T00:00:00"/>
    <s v="DVD"/>
    <n v="100854"/>
    <s v="AB101513"/>
    <x v="3"/>
    <n v="200272"/>
  </r>
  <r>
    <n v="10255"/>
    <n v="10"/>
    <d v="2013-05-30T00:00:00"/>
    <s v="BLU-RAY"/>
    <n v="100854"/>
    <s v="AB101514"/>
    <x v="1"/>
    <n v="200272"/>
  </r>
  <r>
    <n v="10018"/>
    <n v="6"/>
    <d v="2013-05-30T00:00:00"/>
    <s v="DVD"/>
    <n v="100855"/>
    <s v="AB101515"/>
    <x v="9"/>
    <n v="938393"/>
  </r>
  <r>
    <n v="10076"/>
    <n v="7"/>
    <d v="2013-05-30T00:00:00"/>
    <s v="BLU-RAY"/>
    <n v="100856"/>
    <s v="AB101516"/>
    <x v="4"/>
    <n v="825249"/>
  </r>
  <r>
    <n v="10095"/>
    <n v="3"/>
    <d v="2013-05-29T00:00:00"/>
    <s v="BLU-RAY"/>
    <n v="100856"/>
    <s v="AB101517"/>
    <x v="2"/>
    <n v="825249"/>
  </r>
  <r>
    <n v="10064"/>
    <n v="6"/>
    <d v="2013-05-30T00:00:00"/>
    <s v="BLU-RAY"/>
    <n v="100857"/>
    <s v="AB101518"/>
    <x v="7"/>
    <n v="742620"/>
  </r>
  <r>
    <n v="10097"/>
    <n v="6"/>
    <d v="2013-05-30T00:00:00"/>
    <s v="DVD"/>
    <n v="100857"/>
    <s v="AB101519"/>
    <x v="8"/>
    <n v="742620"/>
  </r>
  <r>
    <n v="10231"/>
    <n v="8"/>
    <d v="2013-05-31T00:00:00"/>
    <s v="BLU-RAY"/>
    <n v="100857"/>
    <s v="AB101520"/>
    <x v="7"/>
    <n v="742620"/>
  </r>
  <r>
    <n v="10090"/>
    <n v="8"/>
    <d v="2013-05-30T00:00:00"/>
    <s v="DVD"/>
    <n v="100858"/>
    <s v="AB101521"/>
    <x v="1"/>
    <n v="414509"/>
  </r>
  <r>
    <n v="10003"/>
    <n v="9"/>
    <d v="2013-05-30T00:00:00"/>
    <s v="BLU-RAY"/>
    <n v="100859"/>
    <s v="AB101522"/>
    <x v="1"/>
    <n v="242720"/>
  </r>
  <r>
    <n v="10102"/>
    <n v="7"/>
    <d v="2013-06-01T00:00:00"/>
    <s v="DVD"/>
    <n v="100860"/>
    <s v="AB101523"/>
    <x v="7"/>
    <n v="256181"/>
  </r>
  <r>
    <n v="10030"/>
    <n v="10"/>
    <d v="2013-05-31T00:00:00"/>
    <s v="BLU-RAY"/>
    <n v="100861"/>
    <s v="AB101524"/>
    <x v="0"/>
    <n v="611848"/>
  </r>
  <r>
    <n v="10027"/>
    <n v="3"/>
    <d v="2013-05-31T00:00:00"/>
    <s v="DVD"/>
    <n v="100861"/>
    <s v="AB101525"/>
    <x v="16"/>
    <n v="611848"/>
  </r>
  <r>
    <n v="10241"/>
    <n v="7"/>
    <d v="2013-05-31T00:00:00"/>
    <s v="DVD"/>
    <n v="100861"/>
    <s v="AB101526"/>
    <x v="0"/>
    <n v="611848"/>
  </r>
  <r>
    <n v="10266"/>
    <n v="1"/>
    <d v="2013-05-31T00:00:00"/>
    <s v="DVD"/>
    <n v="100862"/>
    <s v="AB101527"/>
    <x v="4"/>
    <n v="441628"/>
  </r>
  <r>
    <n v="10056"/>
    <n v="3"/>
    <d v="2013-05-31T00:00:00"/>
    <s v="DVD"/>
    <n v="100863"/>
    <s v="AB101528"/>
    <x v="8"/>
    <n v="818287"/>
  </r>
  <r>
    <n v="10114"/>
    <n v="5"/>
    <d v="2013-05-31T00:00:00"/>
    <s v="DVD"/>
    <n v="100863"/>
    <s v="AB101529"/>
    <x v="10"/>
    <n v="818287"/>
  </r>
  <r>
    <n v="10286"/>
    <n v="1"/>
    <d v="2013-06-01T00:00:00"/>
    <s v="DVD"/>
    <n v="100864"/>
    <s v="AB101530"/>
    <x v="17"/>
    <n v="912671"/>
  </r>
  <r>
    <n v="10003"/>
    <n v="9"/>
    <d v="2013-05-31T00:00:00"/>
    <s v="DVD"/>
    <n v="100864"/>
    <s v="AB101531"/>
    <x v="1"/>
    <n v="912671"/>
  </r>
  <r>
    <n v="10014"/>
    <n v="3"/>
    <d v="2013-05-31T00:00:00"/>
    <s v="DVD"/>
    <n v="100865"/>
    <s v="AB101532"/>
    <x v="0"/>
    <n v="253106"/>
  </r>
  <r>
    <n v="10199"/>
    <n v="2"/>
    <d v="2013-06-01T00:00:00"/>
    <s v="DVD"/>
    <n v="100866"/>
    <s v="AB101533"/>
    <x v="10"/>
    <n v="276549"/>
  </r>
  <r>
    <n v="10274"/>
    <n v="3"/>
    <d v="2013-05-31T00:00:00"/>
    <s v="DVD"/>
    <n v="100866"/>
    <s v="AB101534"/>
    <x v="9"/>
    <n v="276549"/>
  </r>
  <r>
    <n v="10119"/>
    <n v="8"/>
    <d v="2013-05-31T00:00:00"/>
    <s v="DVD"/>
    <n v="100866"/>
    <s v="AB101535"/>
    <x v="7"/>
    <n v="276549"/>
  </r>
  <r>
    <n v="10063"/>
    <n v="1"/>
    <d v="2013-05-31T00:00:00"/>
    <s v="DVD"/>
    <n v="100867"/>
    <s v="AB101536"/>
    <x v="18"/>
    <n v="302774"/>
  </r>
  <r>
    <n v="10237"/>
    <n v="1"/>
    <d v="2013-05-31T00:00:00"/>
    <s v="BLU-RAY"/>
    <n v="100867"/>
    <s v="AB101537"/>
    <x v="0"/>
    <n v="302774"/>
  </r>
  <r>
    <n v="10165"/>
    <n v="4"/>
    <d v="2013-06-01T00:00:00"/>
    <s v="DVD"/>
    <n v="100868"/>
    <s v="AB101538"/>
    <x v="2"/>
    <n v="189441"/>
  </r>
  <r>
    <n v="10114"/>
    <n v="7"/>
    <d v="2013-05-31T00:00:00"/>
    <s v="DVD"/>
    <n v="100869"/>
    <s v="AB101539"/>
    <x v="10"/>
    <n v="785444"/>
  </r>
  <r>
    <n v="10215"/>
    <n v="4"/>
    <d v="2013-05-31T00:00:00"/>
    <s v="DVD"/>
    <n v="100869"/>
    <s v="AB101540"/>
    <x v="1"/>
    <n v="785444"/>
  </r>
  <r>
    <n v="10124"/>
    <n v="7"/>
    <d v="2013-06-01T00:00:00"/>
    <s v="BLU-RAY"/>
    <n v="100869"/>
    <s v="AB101541"/>
    <x v="1"/>
    <n v="785444"/>
  </r>
  <r>
    <n v="10169"/>
    <n v="3"/>
    <d v="2013-06-01T00:00:00"/>
    <s v="BLU-RAY"/>
    <n v="100870"/>
    <s v="AB101542"/>
    <x v="0"/>
    <n v="108708"/>
  </r>
  <r>
    <n v="10195"/>
    <n v="4"/>
    <d v="2013-06-01T00:00:00"/>
    <s v="DVD"/>
    <n v="100871"/>
    <s v="AB101543"/>
    <x v="4"/>
    <n v="534481"/>
  </r>
  <r>
    <n v="10240"/>
    <n v="9"/>
    <d v="2013-06-01T00:00:00"/>
    <s v="DVD"/>
    <n v="100872"/>
    <s v="AB101544"/>
    <x v="0"/>
    <n v="808421"/>
  </r>
  <r>
    <n v="10111"/>
    <n v="5"/>
    <d v="2013-06-01T00:00:00"/>
    <s v="DVD"/>
    <n v="100873"/>
    <s v="AB101545"/>
    <x v="9"/>
    <n v="448739"/>
  </r>
  <r>
    <n v="10055"/>
    <n v="3"/>
    <d v="2013-06-01T00:00:00"/>
    <s v="BLU-RAY"/>
    <n v="100873"/>
    <s v="AB101546"/>
    <x v="15"/>
    <n v="448739"/>
  </r>
  <r>
    <n v="10101"/>
    <n v="7"/>
    <d v="2013-06-01T00:00:00"/>
    <s v="DVD"/>
    <n v="100873"/>
    <s v="AB101547"/>
    <x v="4"/>
    <n v="448739"/>
  </r>
  <r>
    <n v="10235"/>
    <n v="7"/>
    <d v="2013-06-01T00:00:00"/>
    <s v="BLU-RAY"/>
    <n v="100874"/>
    <s v="AB101548"/>
    <x v="10"/>
    <n v="719921"/>
  </r>
  <r>
    <n v="10031"/>
    <n v="6"/>
    <d v="2013-06-01T00:00:00"/>
    <s v="DVD"/>
    <n v="100874"/>
    <s v="AB101549"/>
    <x v="0"/>
    <n v="719921"/>
  </r>
  <r>
    <n v="10150"/>
    <n v="5"/>
    <d v="2013-06-01T00:00:00"/>
    <s v="BLU-RAY"/>
    <n v="100874"/>
    <s v="AB101550"/>
    <x v="14"/>
    <n v="719921"/>
  </r>
  <r>
    <n v="10183"/>
    <n v="7"/>
    <d v="2013-06-01T00:00:00"/>
    <s v="DVD"/>
    <n v="100874"/>
    <s v="AB101551"/>
    <x v="4"/>
    <n v="719921"/>
  </r>
  <r>
    <n v="10040"/>
    <n v="6"/>
    <d v="2013-06-01T00:00:00"/>
    <s v="BLU-RAY"/>
    <n v="100875"/>
    <s v="AB101552"/>
    <x v="7"/>
    <n v="632495"/>
  </r>
  <r>
    <n v="10212"/>
    <n v="6"/>
    <d v="2013-06-02T00:00:00"/>
    <s v="BLU-RAY"/>
    <n v="100875"/>
    <s v="AB101553"/>
    <x v="10"/>
    <n v="632495"/>
  </r>
  <r>
    <n v="10200"/>
    <n v="9"/>
    <d v="2013-06-01T00:00:00"/>
    <s v="DVD"/>
    <n v="100876"/>
    <s v="AB101554"/>
    <x v="9"/>
    <n v="783369"/>
  </r>
  <r>
    <n v="10034"/>
    <n v="7"/>
    <d v="2013-06-02T00:00:00"/>
    <s v="BLU-RAY"/>
    <n v="100877"/>
    <s v="AB101555"/>
    <x v="10"/>
    <n v="756928"/>
  </r>
  <r>
    <n v="10244"/>
    <n v="7"/>
    <d v="2013-06-02T00:00:00"/>
    <s v="BLU-RAY"/>
    <n v="100878"/>
    <s v="AB101556"/>
    <x v="4"/>
    <n v="417823"/>
  </r>
  <r>
    <n v="10170"/>
    <n v="1"/>
    <d v="2013-06-02T00:00:00"/>
    <s v="DVD"/>
    <n v="100878"/>
    <s v="AB101557"/>
    <x v="15"/>
    <n v="417823"/>
  </r>
  <r>
    <n v="10105"/>
    <n v="2"/>
    <d v="2013-06-03T00:00:00"/>
    <s v="BLU-RAY"/>
    <n v="100878"/>
    <s v="AB101558"/>
    <x v="2"/>
    <n v="417823"/>
  </r>
  <r>
    <n v="10056"/>
    <n v="2"/>
    <d v="2013-06-02T00:00:00"/>
    <s v="BLU-RAY"/>
    <n v="100879"/>
    <s v="AB101559"/>
    <x v="8"/>
    <n v="646953"/>
  </r>
  <r>
    <n v="10262"/>
    <n v="1"/>
    <d v="2013-06-02T00:00:00"/>
    <s v="BLU-RAY"/>
    <n v="100880"/>
    <s v="AB101560"/>
    <x v="10"/>
    <n v="158310"/>
  </r>
  <r>
    <n v="10095"/>
    <n v="9"/>
    <d v="2013-06-02T00:00:00"/>
    <s v="DVD"/>
    <n v="100880"/>
    <s v="AB101561"/>
    <x v="2"/>
    <n v="158310"/>
  </r>
  <r>
    <n v="10052"/>
    <n v="2"/>
    <d v="2013-06-02T00:00:00"/>
    <s v="DVD"/>
    <n v="100881"/>
    <s v="AB101562"/>
    <x v="0"/>
    <n v="301793"/>
  </r>
  <r>
    <n v="10008"/>
    <n v="3"/>
    <d v="2013-06-03T00:00:00"/>
    <s v="DVD"/>
    <n v="100882"/>
    <s v="AB101563"/>
    <x v="4"/>
    <n v="611848"/>
  </r>
  <r>
    <n v="10242"/>
    <n v="1"/>
    <d v="2013-06-02T00:00:00"/>
    <s v="BLU-RAY"/>
    <n v="100882"/>
    <s v="AB101564"/>
    <x v="3"/>
    <n v="611848"/>
  </r>
  <r>
    <n v="10272"/>
    <n v="6"/>
    <d v="2013-06-04T00:00:00"/>
    <s v="DVD"/>
    <n v="100883"/>
    <s v="AB101565"/>
    <x v="4"/>
    <n v="757525"/>
  </r>
  <r>
    <n v="10260"/>
    <n v="8"/>
    <d v="2013-06-03T00:00:00"/>
    <s v="BLU-RAY"/>
    <n v="100884"/>
    <s v="AB101566"/>
    <x v="4"/>
    <n v="996970"/>
  </r>
  <r>
    <n v="10038"/>
    <n v="5"/>
    <d v="2013-06-02T00:00:00"/>
    <s v="BLU-RAY"/>
    <n v="100884"/>
    <s v="AB101567"/>
    <x v="1"/>
    <n v="996970"/>
  </r>
  <r>
    <n v="10197"/>
    <n v="2"/>
    <d v="2013-06-02T00:00:00"/>
    <s v="DVD"/>
    <n v="100885"/>
    <s v="AB101568"/>
    <x v="0"/>
    <n v="205190"/>
  </r>
  <r>
    <n v="10237"/>
    <n v="8"/>
    <d v="2013-06-02T00:00:00"/>
    <s v="BLU-RAY"/>
    <n v="100885"/>
    <s v="AB101569"/>
    <x v="0"/>
    <n v="205190"/>
  </r>
  <r>
    <n v="10135"/>
    <n v="5"/>
    <d v="2013-06-03T00:00:00"/>
    <s v="BLU-RAY"/>
    <n v="100886"/>
    <s v="AB101570"/>
    <x v="7"/>
    <n v="432268"/>
  </r>
  <r>
    <n v="10188"/>
    <n v="7"/>
    <d v="2013-06-04T00:00:00"/>
    <s v="DVD"/>
    <n v="100887"/>
    <s v="AB101571"/>
    <x v="1"/>
    <n v="385115"/>
  </r>
  <r>
    <n v="10291"/>
    <n v="7"/>
    <d v="2013-06-05T00:00:00"/>
    <s v="BLU-RAY"/>
    <n v="100888"/>
    <s v="AB101572"/>
    <x v="0"/>
    <n v="336644"/>
  </r>
  <r>
    <n v="10080"/>
    <n v="10"/>
    <d v="2013-06-03T00:00:00"/>
    <s v="DVD"/>
    <n v="100888"/>
    <s v="AB101573"/>
    <x v="3"/>
    <n v="336644"/>
  </r>
  <r>
    <n v="10065"/>
    <n v="2"/>
    <d v="2013-06-03T00:00:00"/>
    <s v="DVD"/>
    <n v="100889"/>
    <s v="AB101574"/>
    <x v="0"/>
    <n v="493552"/>
  </r>
  <r>
    <n v="10052"/>
    <n v="4"/>
    <d v="2013-06-03T00:00:00"/>
    <s v="DVD"/>
    <n v="100890"/>
    <s v="AB101575"/>
    <x v="0"/>
    <n v="822823"/>
  </r>
  <r>
    <n v="10165"/>
    <n v="6"/>
    <d v="2013-06-04T00:00:00"/>
    <s v="DVD"/>
    <n v="100891"/>
    <s v="AB101576"/>
    <x v="2"/>
    <n v="426984"/>
  </r>
  <r>
    <n v="10197"/>
    <n v="4"/>
    <d v="2013-06-05T00:00:00"/>
    <s v="BLU-RAY"/>
    <n v="100892"/>
    <s v="AB101577"/>
    <x v="0"/>
    <n v="738357"/>
  </r>
  <r>
    <n v="10013"/>
    <n v="10"/>
    <d v="2013-06-05T00:00:00"/>
    <s v="BLU-RAY"/>
    <n v="100893"/>
    <s v="AB101578"/>
    <x v="11"/>
    <n v="128131"/>
  </r>
  <r>
    <n v="10244"/>
    <n v="2"/>
    <d v="2013-06-04T00:00:00"/>
    <s v="DVD"/>
    <n v="100893"/>
    <s v="AB101579"/>
    <x v="4"/>
    <n v="128131"/>
  </r>
  <r>
    <n v="10232"/>
    <n v="10"/>
    <d v="2013-06-04T00:00:00"/>
    <s v="DVD"/>
    <n v="100894"/>
    <s v="AB101580"/>
    <x v="1"/>
    <n v="250266"/>
  </r>
  <r>
    <n v="10210"/>
    <n v="5"/>
    <d v="2013-06-04T00:00:00"/>
    <s v="DVD"/>
    <n v="100894"/>
    <s v="AB101581"/>
    <x v="4"/>
    <n v="250266"/>
  </r>
  <r>
    <n v="10247"/>
    <n v="4"/>
    <d v="2013-06-05T00:00:00"/>
    <s v="DVD"/>
    <n v="100895"/>
    <s v="AB101582"/>
    <x v="9"/>
    <n v="266633"/>
  </r>
  <r>
    <n v="10192"/>
    <n v="6"/>
    <d v="2013-06-05T00:00:00"/>
    <s v="DVD"/>
    <n v="100895"/>
    <s v="AB101583"/>
    <x v="7"/>
    <n v="266633"/>
  </r>
  <r>
    <n v="10285"/>
    <n v="9"/>
    <d v="2013-06-04T00:00:00"/>
    <s v="DVD"/>
    <n v="100896"/>
    <s v="AB101584"/>
    <x v="20"/>
    <n v="344702"/>
  </r>
  <r>
    <n v="10005"/>
    <n v="2"/>
    <d v="2013-06-04T00:00:00"/>
    <s v="BLU-RAY"/>
    <n v="100896"/>
    <s v="AB101585"/>
    <x v="3"/>
    <n v="344702"/>
  </r>
  <r>
    <n v="10269"/>
    <n v="1"/>
    <d v="2013-06-04T00:00:00"/>
    <s v="DVD"/>
    <n v="100897"/>
    <s v="AB101586"/>
    <x v="3"/>
    <n v="160392"/>
  </r>
  <r>
    <n v="10073"/>
    <n v="10"/>
    <d v="2013-06-06T00:00:00"/>
    <s v="DVD"/>
    <n v="100898"/>
    <s v="AB101587"/>
    <x v="16"/>
    <n v="352644"/>
  </r>
  <r>
    <n v="10243"/>
    <n v="9"/>
    <d v="2013-06-04T00:00:00"/>
    <s v="BLU-RAY"/>
    <n v="100898"/>
    <s v="AB101588"/>
    <x v="9"/>
    <n v="352644"/>
  </r>
  <r>
    <n v="10226"/>
    <n v="3"/>
    <d v="2013-06-04T00:00:00"/>
    <s v="DVD"/>
    <n v="100899"/>
    <s v="AB101589"/>
    <x v="4"/>
    <n v="676155"/>
  </r>
  <r>
    <n v="10018"/>
    <n v="3"/>
    <d v="2013-06-04T00:00:00"/>
    <s v="DVD"/>
    <n v="100899"/>
    <s v="AB101590"/>
    <x v="9"/>
    <n v="676155"/>
  </r>
  <r>
    <n v="10046"/>
    <n v="9"/>
    <d v="2013-06-04T00:00:00"/>
    <s v="DVD"/>
    <n v="100900"/>
    <s v="AB101591"/>
    <x v="4"/>
    <n v="710047"/>
  </r>
  <r>
    <n v="10213"/>
    <n v="3"/>
    <d v="2013-06-04T00:00:00"/>
    <s v="BLU-RAY"/>
    <n v="100900"/>
    <s v="AB101592"/>
    <x v="4"/>
    <n v="710047"/>
  </r>
  <r>
    <n v="10113"/>
    <n v="7"/>
    <d v="2013-06-05T00:00:00"/>
    <s v="DVD"/>
    <n v="100901"/>
    <s v="AB101593"/>
    <x v="10"/>
    <n v="559688"/>
  </r>
  <r>
    <n v="10136"/>
    <n v="9"/>
    <d v="2013-06-05T00:00:00"/>
    <s v="DVD"/>
    <n v="100902"/>
    <s v="AB101594"/>
    <x v="2"/>
    <n v="961080"/>
  </r>
  <r>
    <n v="10234"/>
    <n v="3"/>
    <d v="2013-06-05T00:00:00"/>
    <s v="DVD"/>
    <n v="100903"/>
    <s v="AB101595"/>
    <x v="0"/>
    <n v="559054"/>
  </r>
  <r>
    <n v="10216"/>
    <n v="6"/>
    <d v="2013-06-05T00:00:00"/>
    <s v="DVD"/>
    <n v="100904"/>
    <s v="AB101596"/>
    <x v="4"/>
    <n v="741398"/>
  </r>
  <r>
    <n v="10087"/>
    <n v="2"/>
    <d v="2013-06-05T00:00:00"/>
    <s v="BLU-RAY"/>
    <n v="100905"/>
    <s v="AB101597"/>
    <x v="10"/>
    <n v="147216"/>
  </r>
  <r>
    <n v="10260"/>
    <n v="3"/>
    <d v="2013-06-06T00:00:00"/>
    <s v="BLU-RAY"/>
    <n v="100905"/>
    <s v="AB101598"/>
    <x v="4"/>
    <n v="147216"/>
  </r>
  <r>
    <n v="10104"/>
    <n v="9"/>
    <d v="2013-06-06T00:00:00"/>
    <s v="BLU-RAY"/>
    <n v="100906"/>
    <s v="AB101599"/>
    <x v="7"/>
    <n v="418506"/>
  </r>
  <r>
    <n v="10298"/>
    <n v="8"/>
    <d v="2013-06-07T00:00:00"/>
    <s v="BLU-RAY"/>
    <n v="100907"/>
    <s v="AB101600"/>
    <x v="19"/>
    <n v="888759"/>
  </r>
  <r>
    <n v="10052"/>
    <n v="8"/>
    <d v="2013-06-07T00:00:00"/>
    <s v="BLU-RAY"/>
    <n v="100908"/>
    <s v="AB101601"/>
    <x v="0"/>
    <n v="249779"/>
  </r>
  <r>
    <n v="10268"/>
    <n v="4"/>
    <d v="2013-06-07T00:00:00"/>
    <s v="BLU-RAY"/>
    <n v="100909"/>
    <s v="AB101602"/>
    <x v="3"/>
    <n v="921792"/>
  </r>
  <r>
    <n v="10289"/>
    <n v="8"/>
    <d v="2013-06-07T00:00:00"/>
    <s v="DVD"/>
    <n v="100910"/>
    <s v="AB101603"/>
    <x v="11"/>
    <n v="756928"/>
  </r>
  <r>
    <n v="10269"/>
    <n v="10"/>
    <d v="2013-06-07T00:00:00"/>
    <s v="BLU-RAY"/>
    <n v="100911"/>
    <s v="AB101604"/>
    <x v="3"/>
    <n v="407605"/>
  </r>
  <r>
    <n v="10241"/>
    <n v="8"/>
    <d v="2013-06-06T00:00:00"/>
    <s v="BLU-RAY"/>
    <n v="100911"/>
    <s v="AB101605"/>
    <x v="0"/>
    <n v="407605"/>
  </r>
  <r>
    <n v="10015"/>
    <n v="4"/>
    <d v="2013-06-06T00:00:00"/>
    <s v="BLU-RAY"/>
    <n v="100912"/>
    <s v="AB101606"/>
    <x v="6"/>
    <n v="407605"/>
  </r>
  <r>
    <n v="10057"/>
    <n v="1"/>
    <d v="2013-06-07T00:00:00"/>
    <s v="BLU-RAY"/>
    <n v="100913"/>
    <s v="AB101607"/>
    <x v="0"/>
    <n v="308505"/>
  </r>
  <r>
    <n v="10042"/>
    <n v="3"/>
    <d v="2013-06-07T00:00:00"/>
    <s v="BLU-RAY"/>
    <n v="100914"/>
    <s v="AB101608"/>
    <x v="1"/>
    <n v="101811"/>
  </r>
  <r>
    <n v="10288"/>
    <n v="8"/>
    <d v="2013-06-07T00:00:00"/>
    <s v="DVD"/>
    <n v="100915"/>
    <s v="AB101609"/>
    <x v="12"/>
    <n v="520196"/>
  </r>
  <r>
    <n v="10208"/>
    <n v="9"/>
    <d v="2013-06-07T00:00:00"/>
    <s v="DVD"/>
    <n v="100916"/>
    <s v="AB101610"/>
    <x v="0"/>
    <n v="283158"/>
  </r>
  <r>
    <n v="10126"/>
    <n v="2"/>
    <d v="2013-06-07T00:00:00"/>
    <s v="BLU-RAY"/>
    <n v="100917"/>
    <s v="AB101611"/>
    <x v="9"/>
    <n v="488295"/>
  </r>
  <r>
    <n v="10258"/>
    <n v="7"/>
    <d v="2013-06-08T00:00:00"/>
    <s v="DVD"/>
    <n v="100917"/>
    <s v="AB101612"/>
    <x v="0"/>
    <n v="488295"/>
  </r>
  <r>
    <n v="10120"/>
    <n v="6"/>
    <d v="2013-06-07T00:00:00"/>
    <s v="DVD"/>
    <n v="100917"/>
    <s v="AB101613"/>
    <x v="14"/>
    <n v="488295"/>
  </r>
  <r>
    <n v="10236"/>
    <n v="6"/>
    <d v="2013-06-08T00:00:00"/>
    <s v="DVD"/>
    <n v="100918"/>
    <s v="AB101614"/>
    <x v="10"/>
    <n v="814317"/>
  </r>
  <r>
    <n v="10230"/>
    <n v="2"/>
    <d v="2013-06-08T00:00:00"/>
    <s v="DVD"/>
    <n v="100919"/>
    <s v="AB101615"/>
    <x v="14"/>
    <n v="413495"/>
  </r>
  <r>
    <n v="10083"/>
    <n v="7"/>
    <d v="2013-06-08T00:00:00"/>
    <s v="BLU-RAY"/>
    <n v="100920"/>
    <s v="AB101616"/>
    <x v="3"/>
    <n v="846558"/>
  </r>
  <r>
    <n v="10178"/>
    <n v="1"/>
    <d v="2013-06-09T00:00:00"/>
    <s v="BLU-RAY"/>
    <n v="100921"/>
    <s v="AB101617"/>
    <x v="0"/>
    <n v="308505"/>
  </r>
  <r>
    <n v="10115"/>
    <n v="5"/>
    <d v="2013-06-08T00:00:00"/>
    <s v="DVD"/>
    <n v="100921"/>
    <s v="AB101618"/>
    <x v="11"/>
    <n v="308505"/>
  </r>
  <r>
    <n v="10157"/>
    <n v="1"/>
    <d v="2013-06-08T00:00:00"/>
    <s v="BLU-RAY"/>
    <n v="100922"/>
    <s v="AB101619"/>
    <x v="1"/>
    <n v="465275"/>
  </r>
  <r>
    <n v="10184"/>
    <n v="3"/>
    <d v="2013-06-08T00:00:00"/>
    <s v="BLU-RAY"/>
    <n v="100922"/>
    <s v="AB101620"/>
    <x v="7"/>
    <n v="465275"/>
  </r>
  <r>
    <n v="10288"/>
    <n v="10"/>
    <d v="2013-06-08T00:00:00"/>
    <s v="BLU-RAY"/>
    <n v="100923"/>
    <s v="AB101621"/>
    <x v="12"/>
    <n v="608290"/>
  </r>
  <r>
    <n v="10295"/>
    <n v="6"/>
    <d v="2013-06-08T00:00:00"/>
    <s v="DVD"/>
    <n v="100923"/>
    <s v="AB101622"/>
    <x v="21"/>
    <n v="608290"/>
  </r>
  <r>
    <n v="10133"/>
    <n v="2"/>
    <d v="2013-06-09T00:00:00"/>
    <s v="BLU-RAY"/>
    <n v="100924"/>
    <s v="AB101623"/>
    <x v="9"/>
    <n v="344702"/>
  </r>
  <r>
    <n v="10039"/>
    <n v="7"/>
    <d v="2013-06-08T00:00:00"/>
    <s v="BLU-RAY"/>
    <n v="100924"/>
    <s v="AB101624"/>
    <x v="11"/>
    <n v="344702"/>
  </r>
  <r>
    <n v="10168"/>
    <n v="9"/>
    <d v="2013-06-09T00:00:00"/>
    <s v="BLU-RAY"/>
    <n v="100925"/>
    <s v="AB101625"/>
    <x v="1"/>
    <n v="225489"/>
  </r>
  <r>
    <n v="10049"/>
    <n v="8"/>
    <d v="2013-06-09T00:00:00"/>
    <s v="DVD"/>
    <n v="100925"/>
    <s v="AB101626"/>
    <x v="7"/>
    <n v="225489"/>
  </r>
  <r>
    <n v="10112"/>
    <n v="3"/>
    <d v="2013-06-09T00:00:00"/>
    <s v="BLU-RAY"/>
    <n v="100925"/>
    <s v="AB101627"/>
    <x v="12"/>
    <n v="225489"/>
  </r>
  <r>
    <n v="10078"/>
    <n v="6"/>
    <d v="2013-06-10T00:00:00"/>
    <s v="DVD"/>
    <n v="100926"/>
    <s v="AB101628"/>
    <x v="1"/>
    <n v="249779"/>
  </r>
  <r>
    <n v="10279"/>
    <n v="1"/>
    <d v="2013-06-09T00:00:00"/>
    <s v="BLU-RAY"/>
    <n v="100927"/>
    <s v="AB101629"/>
    <x v="8"/>
    <n v="563468"/>
  </r>
  <r>
    <n v="10088"/>
    <n v="3"/>
    <d v="2013-06-10T00:00:00"/>
    <s v="BLU-RAY"/>
    <n v="100927"/>
    <s v="AB101630"/>
    <x v="0"/>
    <n v="563468"/>
  </r>
  <r>
    <n v="10003"/>
    <n v="3"/>
    <d v="2013-06-09T00:00:00"/>
    <s v="BLU-RAY"/>
    <n v="100927"/>
    <s v="AB101631"/>
    <x v="1"/>
    <n v="563468"/>
  </r>
  <r>
    <n v="10154"/>
    <n v="3"/>
    <d v="2013-06-09T00:00:00"/>
    <s v="BLU-RAY"/>
    <n v="100928"/>
    <s v="AB101632"/>
    <x v="5"/>
    <n v="892883"/>
  </r>
  <r>
    <n v="10163"/>
    <n v="3"/>
    <d v="2013-06-09T00:00:00"/>
    <s v="DVD"/>
    <n v="100928"/>
    <s v="AB101633"/>
    <x v="0"/>
    <n v="892883"/>
  </r>
  <r>
    <n v="10072"/>
    <n v="3"/>
    <d v="2013-06-11T00:00:00"/>
    <s v="DVD"/>
    <n v="100929"/>
    <s v="AB101634"/>
    <x v="1"/>
    <n v="437454"/>
  </r>
  <r>
    <n v="10110"/>
    <n v="6"/>
    <d v="2013-06-10T00:00:00"/>
    <s v="DVD"/>
    <n v="100929"/>
    <s v="AB101635"/>
    <x v="0"/>
    <n v="437454"/>
  </r>
  <r>
    <n v="10236"/>
    <n v="8"/>
    <d v="2013-06-10T00:00:00"/>
    <s v="DVD"/>
    <n v="100929"/>
    <s v="AB101636"/>
    <x v="10"/>
    <n v="437454"/>
  </r>
  <r>
    <n v="10001"/>
    <n v="2"/>
    <d v="2013-06-12T00:00:00"/>
    <s v="DVD"/>
    <n v="100930"/>
    <s v="AB101637"/>
    <x v="14"/>
    <n v="912671"/>
  </r>
  <r>
    <n v="10040"/>
    <n v="7"/>
    <d v="2013-06-10T00:00:00"/>
    <s v="DVD"/>
    <n v="100931"/>
    <s v="AB101638"/>
    <x v="7"/>
    <n v="885548"/>
  </r>
  <r>
    <n v="10025"/>
    <n v="3"/>
    <d v="2013-06-10T00:00:00"/>
    <s v="DVD"/>
    <n v="100932"/>
    <s v="AB101639"/>
    <x v="4"/>
    <n v="814317"/>
  </r>
  <r>
    <n v="10047"/>
    <n v="9"/>
    <d v="2013-06-13T00:00:00"/>
    <s v="DVD"/>
    <n v="100932"/>
    <s v="AB101640"/>
    <x v="0"/>
    <n v="814317"/>
  </r>
  <r>
    <n v="10296"/>
    <n v="5"/>
    <d v="2013-06-10T00:00:00"/>
    <s v="DVD"/>
    <n v="100933"/>
    <s v="AB101641"/>
    <x v="21"/>
    <n v="515753"/>
  </r>
  <r>
    <n v="10072"/>
    <n v="2"/>
    <d v="2013-06-10T00:00:00"/>
    <s v="BLU-RAY"/>
    <n v="100933"/>
    <s v="AB101642"/>
    <x v="1"/>
    <n v="515753"/>
  </r>
  <r>
    <n v="10296"/>
    <n v="9"/>
    <d v="2013-06-10T00:00:00"/>
    <s v="DVD"/>
    <n v="100934"/>
    <s v="AB101643"/>
    <x v="21"/>
    <n v="817500"/>
  </r>
  <r>
    <n v="10273"/>
    <n v="10"/>
    <d v="2013-06-10T00:00:00"/>
    <s v="DVD"/>
    <n v="100934"/>
    <s v="AB101644"/>
    <x v="4"/>
    <n v="817500"/>
  </r>
  <r>
    <n v="10160"/>
    <n v="10"/>
    <d v="2013-06-10T00:00:00"/>
    <s v="BLU-RAY"/>
    <n v="100934"/>
    <s v="AB101645"/>
    <x v="10"/>
    <n v="817500"/>
  </r>
  <r>
    <n v="10182"/>
    <n v="4"/>
    <d v="2013-06-11T00:00:00"/>
    <s v="BLU-RAY"/>
    <n v="100935"/>
    <s v="AB101646"/>
    <x v="0"/>
    <n v="308505"/>
  </r>
  <r>
    <n v="10050"/>
    <n v="2"/>
    <d v="2013-06-11T00:00:00"/>
    <s v="BLU-RAY"/>
    <n v="100936"/>
    <s v="AB101647"/>
    <x v="1"/>
    <n v="147543"/>
  </r>
  <r>
    <n v="10063"/>
    <n v="3"/>
    <d v="2013-06-11T00:00:00"/>
    <s v="DVD"/>
    <n v="100936"/>
    <s v="AB101648"/>
    <x v="18"/>
    <n v="147543"/>
  </r>
  <r>
    <n v="10260"/>
    <n v="7"/>
    <d v="2013-06-11T00:00:00"/>
    <s v="BLU-RAY"/>
    <n v="100937"/>
    <s v="AB101649"/>
    <x v="4"/>
    <n v="567388"/>
  </r>
  <r>
    <n v="10071"/>
    <n v="10"/>
    <d v="2013-06-12T00:00:00"/>
    <s v="DVD"/>
    <n v="100937"/>
    <s v="AB101650"/>
    <x v="1"/>
    <n v="567388"/>
  </r>
  <r>
    <n v="10053"/>
    <n v="7"/>
    <d v="2013-06-11T00:00:00"/>
    <s v="BLU-RAY"/>
    <n v="100938"/>
    <s v="AB101651"/>
    <x v="4"/>
    <n v="720602"/>
  </r>
  <r>
    <n v="10020"/>
    <n v="8"/>
    <d v="2013-06-11T00:00:00"/>
    <s v="BLU-RAY"/>
    <n v="100939"/>
    <s v="AB101652"/>
    <x v="16"/>
    <n v="363931"/>
  </r>
  <r>
    <n v="10230"/>
    <n v="8"/>
    <d v="2013-06-11T00:00:00"/>
    <s v="BLU-RAY"/>
    <n v="100939"/>
    <s v="AB101653"/>
    <x v="14"/>
    <n v="363931"/>
  </r>
  <r>
    <n v="10044"/>
    <n v="2"/>
    <d v="2013-06-11T00:00:00"/>
    <s v="DVD"/>
    <n v="100940"/>
    <s v="AB101654"/>
    <x v="3"/>
    <n v="537796"/>
  </r>
  <r>
    <n v="10235"/>
    <n v="1"/>
    <d v="2013-06-12T00:00:00"/>
    <s v="DVD"/>
    <n v="100940"/>
    <s v="AB101655"/>
    <x v="10"/>
    <n v="537796"/>
  </r>
  <r>
    <n v="10138"/>
    <n v="4"/>
    <d v="2013-06-12T00:00:00"/>
    <s v="DVD"/>
    <n v="100940"/>
    <s v="AB101656"/>
    <x v="7"/>
    <n v="537796"/>
  </r>
  <r>
    <n v="10019"/>
    <n v="9"/>
    <d v="2013-06-11T00:00:00"/>
    <s v="BLU-RAY"/>
    <n v="100941"/>
    <s v="AB101657"/>
    <x v="9"/>
    <n v="782947"/>
  </r>
  <r>
    <n v="10272"/>
    <n v="8"/>
    <d v="2013-06-11T00:00:00"/>
    <s v="BLU-RAY"/>
    <n v="100942"/>
    <s v="AB101658"/>
    <x v="4"/>
    <n v="500350"/>
  </r>
  <r>
    <n v="10293"/>
    <n v="8"/>
    <d v="2013-06-11T00:00:00"/>
    <s v="BLU-RAY"/>
    <n v="100943"/>
    <s v="AB101659"/>
    <x v="12"/>
    <n v="994185"/>
  </r>
  <r>
    <n v="10081"/>
    <n v="6"/>
    <d v="2013-06-12T00:00:00"/>
    <s v="BLU-RAY"/>
    <n v="100943"/>
    <s v="AB101660"/>
    <x v="2"/>
    <n v="994185"/>
  </r>
  <r>
    <n v="10232"/>
    <n v="10"/>
    <d v="2013-06-11T00:00:00"/>
    <s v="DVD"/>
    <n v="100944"/>
    <s v="AB101661"/>
    <x v="1"/>
    <n v="548800"/>
  </r>
  <r>
    <n v="10139"/>
    <n v="3"/>
    <d v="2013-06-11T00:00:00"/>
    <s v="DVD"/>
    <n v="100944"/>
    <s v="AB101662"/>
    <x v="14"/>
    <n v="548800"/>
  </r>
  <r>
    <n v="10121"/>
    <n v="3"/>
    <d v="2013-06-11T00:00:00"/>
    <s v="BLU-RAY"/>
    <n v="100945"/>
    <s v="AB101663"/>
    <x v="2"/>
    <n v="500828"/>
  </r>
  <r>
    <n v="10218"/>
    <n v="7"/>
    <d v="2013-06-12T00:00:00"/>
    <s v="DVD"/>
    <n v="100946"/>
    <s v="AB101664"/>
    <x v="4"/>
    <n v="761615"/>
  </r>
  <r>
    <n v="10162"/>
    <n v="1"/>
    <d v="2013-06-12T00:00:00"/>
    <s v="DVD"/>
    <n v="100946"/>
    <s v="AB101665"/>
    <x v="4"/>
    <n v="761615"/>
  </r>
  <r>
    <n v="10165"/>
    <n v="2"/>
    <d v="2013-06-12T00:00:00"/>
    <s v="DVD"/>
    <n v="100946"/>
    <s v="AB101666"/>
    <x v="2"/>
    <n v="761615"/>
  </r>
  <r>
    <n v="10249"/>
    <n v="8"/>
    <d v="2013-06-12T00:00:00"/>
    <s v="DVD"/>
    <n v="100947"/>
    <s v="AB101667"/>
    <x v="5"/>
    <n v="822823"/>
  </r>
  <r>
    <n v="10085"/>
    <n v="3"/>
    <d v="2013-06-12T00:00:00"/>
    <s v="DVD"/>
    <n v="100947"/>
    <s v="AB101668"/>
    <x v="3"/>
    <n v="822823"/>
  </r>
  <r>
    <n v="10014"/>
    <n v="9"/>
    <d v="2013-06-12T00:00:00"/>
    <s v="BLU-RAY"/>
    <n v="100948"/>
    <s v="AB101669"/>
    <x v="0"/>
    <n v="736500"/>
  </r>
  <r>
    <n v="10295"/>
    <n v="5"/>
    <d v="2013-06-13T00:00:00"/>
    <s v="BLU-RAY"/>
    <n v="100948"/>
    <s v="AB101670"/>
    <x v="21"/>
    <n v="736500"/>
  </r>
  <r>
    <n v="10032"/>
    <n v="6"/>
    <d v="2013-06-13T00:00:00"/>
    <s v="DVD"/>
    <n v="100949"/>
    <s v="AB101671"/>
    <x v="4"/>
    <n v="336644"/>
  </r>
  <r>
    <n v="10276"/>
    <n v="4"/>
    <d v="2013-06-12T00:00:00"/>
    <s v="DVD"/>
    <n v="100949"/>
    <s v="AB101672"/>
    <x v="16"/>
    <n v="336644"/>
  </r>
  <r>
    <n v="10101"/>
    <n v="2"/>
    <d v="2013-06-13T00:00:00"/>
    <s v="BLU-RAY"/>
    <n v="100950"/>
    <s v="AB101673"/>
    <x v="4"/>
    <n v="738357"/>
  </r>
  <r>
    <n v="10292"/>
    <n v="10"/>
    <d v="2013-06-13T00:00:00"/>
    <s v="DVD"/>
    <n v="100950"/>
    <s v="AB101674"/>
    <x v="15"/>
    <n v="738357"/>
  </r>
  <r>
    <n v="10059"/>
    <n v="3"/>
    <d v="2013-06-12T00:00:00"/>
    <s v="DVD"/>
    <n v="100951"/>
    <s v="AB101675"/>
    <x v="7"/>
    <n v="366695"/>
  </r>
  <r>
    <n v="10032"/>
    <n v="9"/>
    <d v="2013-06-13T00:00:00"/>
    <s v="BLU-RAY"/>
    <n v="100951"/>
    <s v="AB101676"/>
    <x v="4"/>
    <n v="366695"/>
  </r>
  <r>
    <n v="10152"/>
    <n v="10"/>
    <d v="2013-06-13T00:00:00"/>
    <s v="DVD"/>
    <n v="100952"/>
    <s v="AB101677"/>
    <x v="16"/>
    <n v="706884"/>
  </r>
  <r>
    <n v="10024"/>
    <n v="8"/>
    <d v="2013-06-13T00:00:00"/>
    <s v="BLU-RAY"/>
    <n v="100952"/>
    <s v="AB101678"/>
    <x v="9"/>
    <n v="706884"/>
  </r>
  <r>
    <n v="10284"/>
    <n v="2"/>
    <d v="2013-06-13T00:00:00"/>
    <s v="DVD"/>
    <n v="100953"/>
    <s v="AB101679"/>
    <x v="14"/>
    <n v="616258"/>
  </r>
  <r>
    <n v="10170"/>
    <n v="10"/>
    <d v="2013-06-14T00:00:00"/>
    <s v="DVD"/>
    <n v="100954"/>
    <s v="AB101680"/>
    <x v="15"/>
    <n v="194680"/>
  </r>
  <r>
    <n v="10223"/>
    <n v="2"/>
    <d v="2013-06-13T00:00:00"/>
    <s v="DVD"/>
    <n v="100954"/>
    <s v="AB101681"/>
    <x v="7"/>
    <n v="194680"/>
  </r>
  <r>
    <n v="10232"/>
    <n v="8"/>
    <d v="2013-06-14T00:00:00"/>
    <s v="BLU-RAY"/>
    <n v="100955"/>
    <s v="AB101682"/>
    <x v="1"/>
    <n v="777145"/>
  </r>
  <r>
    <n v="10076"/>
    <n v="3"/>
    <d v="2013-06-15T00:00:00"/>
    <s v="BLU-RAY"/>
    <n v="100955"/>
    <s v="AB101683"/>
    <x v="4"/>
    <n v="777145"/>
  </r>
  <r>
    <n v="10046"/>
    <n v="7"/>
    <d v="2013-06-17T00:00:00"/>
    <s v="BLU-RAY"/>
    <n v="100955"/>
    <s v="AB101684"/>
    <x v="4"/>
    <n v="777145"/>
  </r>
  <r>
    <n v="10056"/>
    <n v="9"/>
    <d v="2013-06-14T00:00:00"/>
    <s v="DVD"/>
    <n v="100956"/>
    <s v="AB101685"/>
    <x v="8"/>
    <n v="262579"/>
  </r>
  <r>
    <n v="10148"/>
    <n v="3"/>
    <d v="2013-06-16T00:00:00"/>
    <s v="BLU-RAY"/>
    <n v="100957"/>
    <s v="AB101686"/>
    <x v="1"/>
    <n v="253106"/>
  </r>
  <r>
    <n v="10134"/>
    <n v="3"/>
    <d v="2013-06-14T00:00:00"/>
    <s v="DVD"/>
    <n v="100957"/>
    <s v="AB101687"/>
    <x v="7"/>
    <n v="253106"/>
  </r>
  <r>
    <n v="10298"/>
    <n v="3"/>
    <d v="2013-06-14T00:00:00"/>
    <s v="BLU-RAY"/>
    <n v="100957"/>
    <s v="AB101688"/>
    <x v="19"/>
    <n v="253106"/>
  </r>
  <r>
    <n v="10147"/>
    <n v="6"/>
    <d v="2013-06-14T00:00:00"/>
    <s v="DVD"/>
    <n v="100958"/>
    <s v="AB101689"/>
    <x v="10"/>
    <n v="408341"/>
  </r>
  <r>
    <n v="10014"/>
    <n v="4"/>
    <d v="2013-06-14T00:00:00"/>
    <s v="DVD"/>
    <n v="100958"/>
    <s v="AB101690"/>
    <x v="0"/>
    <n v="408341"/>
  </r>
  <r>
    <n v="10265"/>
    <n v="4"/>
    <d v="2013-06-14T00:00:00"/>
    <s v="DVD"/>
    <n v="100958"/>
    <s v="AB101691"/>
    <x v="0"/>
    <n v="408341"/>
  </r>
  <r>
    <n v="10145"/>
    <n v="5"/>
    <d v="2013-06-14T00:00:00"/>
    <s v="BLU-RAY"/>
    <n v="100959"/>
    <s v="AB101692"/>
    <x v="6"/>
    <n v="970794"/>
  </r>
  <r>
    <n v="10280"/>
    <n v="5"/>
    <d v="2013-06-16T00:00:00"/>
    <s v="BLU-RAY"/>
    <n v="100959"/>
    <s v="AB101693"/>
    <x v="7"/>
    <n v="970794"/>
  </r>
  <r>
    <n v="10088"/>
    <n v="10"/>
    <d v="2013-06-15T00:00:00"/>
    <s v="DVD"/>
    <n v="100960"/>
    <s v="AB101694"/>
    <x v="0"/>
    <n v="793987"/>
  </r>
  <r>
    <n v="10239"/>
    <n v="4"/>
    <d v="2013-06-15T00:00:00"/>
    <s v="BLU-RAY"/>
    <n v="100961"/>
    <s v="AB101695"/>
    <x v="2"/>
    <n v="479497"/>
  </r>
  <r>
    <n v="10226"/>
    <n v="3"/>
    <d v="2013-06-16T00:00:00"/>
    <s v="DVD"/>
    <n v="100962"/>
    <s v="AB101696"/>
    <x v="4"/>
    <n v="585972"/>
  </r>
  <r>
    <n v="10100"/>
    <n v="4"/>
    <d v="2013-06-15T00:00:00"/>
    <s v="DVD"/>
    <n v="100963"/>
    <s v="AB101697"/>
    <x v="9"/>
    <n v="761615"/>
  </r>
  <r>
    <n v="10264"/>
    <n v="6"/>
    <d v="2013-06-16T00:00:00"/>
    <s v="DVD"/>
    <n v="100964"/>
    <s v="AB101698"/>
    <x v="2"/>
    <n v="218889"/>
  </r>
  <r>
    <n v="10082"/>
    <n v="4"/>
    <d v="2013-06-15T00:00:00"/>
    <s v="DVD"/>
    <n v="100964"/>
    <s v="AB101699"/>
    <x v="3"/>
    <n v="218889"/>
  </r>
  <r>
    <n v="10284"/>
    <n v="2"/>
    <d v="2013-06-16T00:00:00"/>
    <s v="DVD"/>
    <n v="100964"/>
    <s v="AB101700"/>
    <x v="14"/>
    <n v="218889"/>
  </r>
  <r>
    <n v="10226"/>
    <n v="10"/>
    <d v="2013-06-15T00:00:00"/>
    <s v="DVD"/>
    <n v="100965"/>
    <s v="AB101701"/>
    <x v="4"/>
    <n v="765237"/>
  </r>
  <r>
    <n v="10222"/>
    <n v="4"/>
    <d v="2013-06-15T00:00:00"/>
    <s v="DVD"/>
    <n v="100965"/>
    <s v="AB101702"/>
    <x v="4"/>
    <n v="765237"/>
  </r>
  <r>
    <n v="10150"/>
    <n v="4"/>
    <d v="2013-06-17T00:00:00"/>
    <s v="DVD"/>
    <n v="100966"/>
    <s v="AB101703"/>
    <x v="14"/>
    <n v="759995"/>
  </r>
  <r>
    <n v="10254"/>
    <n v="8"/>
    <d v="2013-06-17T00:00:00"/>
    <s v="DVD"/>
    <n v="100967"/>
    <s v="AB101704"/>
    <x v="1"/>
    <n v="706101"/>
  </r>
  <r>
    <n v="10065"/>
    <n v="2"/>
    <d v="2013-06-16T00:00:00"/>
    <s v="DVD"/>
    <n v="100967"/>
    <s v="AB101705"/>
    <x v="0"/>
    <n v="706101"/>
  </r>
  <r>
    <n v="10288"/>
    <n v="10"/>
    <d v="2013-06-16T00:00:00"/>
    <s v="DVD"/>
    <n v="100968"/>
    <s v="AB101706"/>
    <x v="12"/>
    <n v="747066"/>
  </r>
  <r>
    <n v="10187"/>
    <n v="10"/>
    <d v="2013-06-17T00:00:00"/>
    <s v="DVD"/>
    <n v="100969"/>
    <s v="AB101707"/>
    <x v="1"/>
    <n v="185863"/>
  </r>
  <r>
    <n v="10112"/>
    <n v="5"/>
    <d v="2013-06-16T00:00:00"/>
    <s v="BLU-RAY"/>
    <n v="100970"/>
    <s v="AB101708"/>
    <x v="12"/>
    <n v="744648"/>
  </r>
  <r>
    <n v="10174"/>
    <n v="9"/>
    <d v="2013-06-17T00:00:00"/>
    <s v="BLU-RAY"/>
    <n v="100971"/>
    <s v="AB101709"/>
    <x v="7"/>
    <n v="304344"/>
  </r>
  <r>
    <n v="10093"/>
    <n v="9"/>
    <d v="2013-06-16T00:00:00"/>
    <s v="DVD"/>
    <n v="100971"/>
    <s v="AB101710"/>
    <x v="11"/>
    <n v="304344"/>
  </r>
  <r>
    <n v="10070"/>
    <n v="4"/>
    <d v="2013-06-16T00:00:00"/>
    <s v="DVD"/>
    <n v="100972"/>
    <s v="AB101711"/>
    <x v="1"/>
    <n v="663029"/>
  </r>
  <r>
    <n v="10265"/>
    <n v="1"/>
    <d v="2013-06-17T00:00:00"/>
    <s v="BLU-RAY"/>
    <n v="100972"/>
    <s v="AB101712"/>
    <x v="0"/>
    <n v="663029"/>
  </r>
  <r>
    <n v="10215"/>
    <n v="2"/>
    <d v="2013-06-17T00:00:00"/>
    <s v="DVD"/>
    <n v="100973"/>
    <s v="AB101713"/>
    <x v="1"/>
    <n v="412929"/>
  </r>
  <r>
    <n v="10142"/>
    <n v="1"/>
    <d v="2013-06-19T00:00:00"/>
    <s v="BLU-RAY"/>
    <n v="100973"/>
    <s v="AB101714"/>
    <x v="0"/>
    <n v="412929"/>
  </r>
  <r>
    <n v="10198"/>
    <n v="8"/>
    <d v="2013-06-17T00:00:00"/>
    <s v="BLU-RAY"/>
    <n v="100974"/>
    <s v="AB101715"/>
    <x v="9"/>
    <n v="667170"/>
  </r>
  <r>
    <n v="10165"/>
    <n v="1"/>
    <d v="2013-06-17T00:00:00"/>
    <s v="BLU-RAY"/>
    <n v="100974"/>
    <s v="AB101716"/>
    <x v="2"/>
    <n v="667170"/>
  </r>
  <r>
    <n v="10289"/>
    <n v="1"/>
    <d v="2013-06-18T00:00:00"/>
    <s v="BLU-RAY"/>
    <n v="100975"/>
    <s v="AB101717"/>
    <x v="11"/>
    <n v="412929"/>
  </r>
  <r>
    <n v="10115"/>
    <n v="7"/>
    <d v="2013-06-17T00:00:00"/>
    <s v="DVD"/>
    <n v="100976"/>
    <s v="AB101718"/>
    <x v="11"/>
    <n v="559486"/>
  </r>
  <r>
    <n v="10183"/>
    <n v="8"/>
    <d v="2013-06-17T00:00:00"/>
    <s v="DVD"/>
    <n v="100976"/>
    <s v="AB101719"/>
    <x v="4"/>
    <n v="559486"/>
  </r>
  <r>
    <n v="10183"/>
    <n v="5"/>
    <d v="2013-06-17T00:00:00"/>
    <s v="DVD"/>
    <n v="100976"/>
    <s v="AB101720"/>
    <x v="4"/>
    <n v="559486"/>
  </r>
  <r>
    <n v="10237"/>
    <n v="1"/>
    <d v="2013-06-17T00:00:00"/>
    <s v="BLU-RAY"/>
    <n v="100977"/>
    <s v="AB101721"/>
    <x v="0"/>
    <n v="292402"/>
  </r>
  <r>
    <n v="10142"/>
    <n v="5"/>
    <d v="2013-06-17T00:00:00"/>
    <s v="BLU-RAY"/>
    <n v="100977"/>
    <s v="AB101722"/>
    <x v="0"/>
    <n v="292402"/>
  </r>
  <r>
    <n v="10079"/>
    <n v="6"/>
    <d v="2013-06-18T00:00:00"/>
    <s v="BLU-RAY"/>
    <n v="100978"/>
    <s v="AB101723"/>
    <x v="0"/>
    <n v="745543"/>
  </r>
  <r>
    <n v="10270"/>
    <n v="9"/>
    <d v="2013-06-18T00:00:00"/>
    <s v="DVD"/>
    <n v="100979"/>
    <s v="AB101724"/>
    <x v="9"/>
    <n v="297686"/>
  </r>
  <r>
    <n v="10225"/>
    <n v="2"/>
    <d v="2013-06-19T00:00:00"/>
    <s v="DVD"/>
    <n v="100979"/>
    <s v="AB101725"/>
    <x v="0"/>
    <n v="297686"/>
  </r>
  <r>
    <n v="10271"/>
    <n v="5"/>
    <d v="2013-06-18T00:00:00"/>
    <s v="DVD"/>
    <n v="100980"/>
    <s v="AB101726"/>
    <x v="7"/>
    <n v="256181"/>
  </r>
  <r>
    <n v="10218"/>
    <n v="6"/>
    <d v="2013-06-18T00:00:00"/>
    <s v="DVD"/>
    <n v="100980"/>
    <s v="AB101727"/>
    <x v="4"/>
    <n v="256181"/>
  </r>
  <r>
    <n v="10000"/>
    <n v="8"/>
    <d v="2013-06-18T00:00:00"/>
    <s v="BLU-RAY"/>
    <n v="100981"/>
    <s v="AB101728"/>
    <x v="6"/>
    <n v="220206"/>
  </r>
  <r>
    <n v="10072"/>
    <n v="10"/>
    <d v="2013-06-18T00:00:00"/>
    <s v="DVD"/>
    <n v="100982"/>
    <s v="AB101729"/>
    <x v="1"/>
    <n v="520078"/>
  </r>
  <r>
    <n v="10015"/>
    <n v="4"/>
    <d v="2013-06-18T00:00:00"/>
    <s v="BLU-RAY"/>
    <n v="100983"/>
    <s v="AB101730"/>
    <x v="6"/>
    <n v="933331"/>
  </r>
  <r>
    <n v="10216"/>
    <n v="5"/>
    <d v="2013-06-18T00:00:00"/>
    <s v="DVD"/>
    <n v="100983"/>
    <s v="AB101731"/>
    <x v="4"/>
    <n v="933331"/>
  </r>
  <r>
    <n v="10091"/>
    <n v="7"/>
    <d v="2013-06-18T00:00:00"/>
    <s v="DVD"/>
    <n v="100983"/>
    <s v="AB101732"/>
    <x v="0"/>
    <n v="933331"/>
  </r>
  <r>
    <n v="10039"/>
    <n v="7"/>
    <d v="2013-06-19T00:00:00"/>
    <s v="BLU-RAY"/>
    <n v="100984"/>
    <s v="AB101733"/>
    <x v="11"/>
    <n v="413292"/>
  </r>
  <r>
    <n v="10230"/>
    <n v="5"/>
    <d v="2013-06-18T00:00:00"/>
    <s v="DVD"/>
    <n v="100984"/>
    <s v="AB101734"/>
    <x v="14"/>
    <n v="413292"/>
  </r>
  <r>
    <n v="10219"/>
    <n v="4"/>
    <d v="2013-06-19T00:00:00"/>
    <s v="BLU-RAY"/>
    <n v="100984"/>
    <s v="AB101735"/>
    <x v="1"/>
    <n v="413292"/>
  </r>
  <r>
    <n v="10058"/>
    <n v="5"/>
    <d v="2013-06-18T00:00:00"/>
    <s v="DVD"/>
    <n v="100985"/>
    <s v="AB101736"/>
    <x v="4"/>
    <n v="236554"/>
  </r>
  <r>
    <n v="10085"/>
    <n v="10"/>
    <d v="2013-06-18T00:00:00"/>
    <s v="DVD"/>
    <n v="100986"/>
    <s v="AB101737"/>
    <x v="3"/>
    <n v="507743"/>
  </r>
  <r>
    <n v="10094"/>
    <n v="10"/>
    <d v="2013-06-18T00:00:00"/>
    <s v="BLU-RAY"/>
    <n v="100986"/>
    <s v="AB101738"/>
    <x v="12"/>
    <n v="507743"/>
  </r>
  <r>
    <n v="10208"/>
    <n v="6"/>
    <d v="2013-06-20T00:00:00"/>
    <s v="BLU-RAY"/>
    <n v="100987"/>
    <s v="AB101739"/>
    <x v="0"/>
    <n v="815980"/>
  </r>
  <r>
    <n v="10275"/>
    <n v="1"/>
    <d v="2013-06-20T00:00:00"/>
    <s v="DVD"/>
    <n v="100988"/>
    <s v="AB101740"/>
    <x v="10"/>
    <n v="343021"/>
  </r>
  <r>
    <n v="10010"/>
    <n v="6"/>
    <d v="2013-06-19T00:00:00"/>
    <s v="DVD"/>
    <n v="100988"/>
    <s v="AB101741"/>
    <x v="3"/>
    <n v="343021"/>
  </r>
  <r>
    <n v="10269"/>
    <n v="3"/>
    <d v="2013-06-19T00:00:00"/>
    <s v="DVD"/>
    <n v="100989"/>
    <s v="AB101742"/>
    <x v="3"/>
    <n v="393120"/>
  </r>
  <r>
    <n v="10231"/>
    <n v="8"/>
    <d v="2013-06-20T00:00:00"/>
    <s v="BLU-RAY"/>
    <n v="100989"/>
    <s v="AB101743"/>
    <x v="7"/>
    <n v="393120"/>
  </r>
  <r>
    <n v="10203"/>
    <n v="3"/>
    <d v="2013-06-20T00:00:00"/>
    <s v="BLU-RAY"/>
    <n v="100990"/>
    <s v="AB101744"/>
    <x v="3"/>
    <n v="484909"/>
  </r>
  <r>
    <n v="10242"/>
    <n v="8"/>
    <d v="2013-06-19T00:00:00"/>
    <s v="DVD"/>
    <n v="100991"/>
    <s v="AB101745"/>
    <x v="3"/>
    <n v="612681"/>
  </r>
  <r>
    <n v="10171"/>
    <n v="2"/>
    <d v="2013-06-20T00:00:00"/>
    <s v="BLU-RAY"/>
    <n v="100991"/>
    <s v="AB101746"/>
    <x v="7"/>
    <n v="612681"/>
  </r>
  <r>
    <n v="10223"/>
    <n v="7"/>
    <d v="2013-06-19T00:00:00"/>
    <s v="DVD"/>
    <n v="100992"/>
    <s v="AB101747"/>
    <x v="7"/>
    <n v="478274"/>
  </r>
  <r>
    <n v="10050"/>
    <n v="5"/>
    <d v="2013-06-19T00:00:00"/>
    <s v="DVD"/>
    <n v="100993"/>
    <s v="AB101748"/>
    <x v="1"/>
    <n v="168607"/>
  </r>
  <r>
    <n v="10205"/>
    <n v="6"/>
    <d v="2013-06-19T00:00:00"/>
    <s v="DVD"/>
    <n v="100993"/>
    <s v="AB101749"/>
    <x v="1"/>
    <n v="168607"/>
  </r>
  <r>
    <n v="10023"/>
    <n v="6"/>
    <d v="2013-06-20T00:00:00"/>
    <s v="DVD"/>
    <n v="100994"/>
    <s v="AB101750"/>
    <x v="3"/>
    <n v="149240"/>
  </r>
  <r>
    <n v="10085"/>
    <n v="1"/>
    <d v="2013-06-22T00:00:00"/>
    <s v="BLU-RAY"/>
    <n v="100995"/>
    <s v="AB101751"/>
    <x v="3"/>
    <n v="306475"/>
  </r>
  <r>
    <n v="10198"/>
    <n v="6"/>
    <d v="2013-06-22T00:00:00"/>
    <s v="DVD"/>
    <n v="100996"/>
    <s v="AB101752"/>
    <x v="9"/>
    <n v="520196"/>
  </r>
  <r>
    <n v="10015"/>
    <n v="6"/>
    <d v="2013-06-21T00:00:00"/>
    <s v="BLU-RAY"/>
    <n v="100996"/>
    <s v="AB101753"/>
    <x v="6"/>
    <n v="520196"/>
  </r>
  <r>
    <n v="10249"/>
    <n v="6"/>
    <d v="2013-06-20T00:00:00"/>
    <s v="DVD"/>
    <n v="100996"/>
    <s v="AB101754"/>
    <x v="5"/>
    <n v="520196"/>
  </r>
  <r>
    <n v="10125"/>
    <n v="10"/>
    <d v="2013-06-21T00:00:00"/>
    <s v="BLU-RAY"/>
    <n v="100997"/>
    <s v="AB101755"/>
    <x v="9"/>
    <n v="791850"/>
  </r>
  <r>
    <n v="10282"/>
    <n v="6"/>
    <d v="2013-06-21T00:00:00"/>
    <s v="BLU-RAY"/>
    <n v="100997"/>
    <s v="AB101756"/>
    <x v="15"/>
    <n v="791850"/>
  </r>
  <r>
    <n v="10051"/>
    <n v="6"/>
    <d v="2013-06-21T00:00:00"/>
    <s v="BLU-RAY"/>
    <n v="100998"/>
    <s v="AB101757"/>
    <x v="1"/>
    <n v="592726"/>
  </r>
  <r>
    <n v="10011"/>
    <n v="1"/>
    <d v="2013-06-20T00:00:00"/>
    <s v="DVD"/>
    <n v="100999"/>
    <s v="AB101758"/>
    <x v="3"/>
    <n v="465275"/>
  </r>
  <r>
    <n v="10118"/>
    <n v="8"/>
    <d v="2013-06-22T00:00:00"/>
    <s v="BLU-RAY"/>
    <n v="100999"/>
    <s v="AB101759"/>
    <x v="3"/>
    <n v="465275"/>
  </r>
  <r>
    <n v="10078"/>
    <n v="9"/>
    <d v="2013-06-20T00:00:00"/>
    <s v="DVD"/>
    <n v="101000"/>
    <s v="AB101760"/>
    <x v="1"/>
    <n v="743517"/>
  </r>
  <r>
    <n v="10265"/>
    <n v="9"/>
    <d v="2013-06-22T00:00:00"/>
    <s v="BLU-RAY"/>
    <n v="101001"/>
    <s v="AB101761"/>
    <x v="0"/>
    <n v="818287"/>
  </r>
  <r>
    <n v="10012"/>
    <n v="2"/>
    <d v="2013-06-20T00:00:00"/>
    <s v="BLU-RAY"/>
    <n v="101001"/>
    <s v="AB101762"/>
    <x v="3"/>
    <n v="818287"/>
  </r>
  <r>
    <n v="10112"/>
    <n v="9"/>
    <d v="2013-06-21T00:00:00"/>
    <s v="DVD"/>
    <n v="101001"/>
    <s v="AB101763"/>
    <x v="12"/>
    <n v="818287"/>
  </r>
  <r>
    <n v="10251"/>
    <n v="10"/>
    <d v="2013-06-20T00:00:00"/>
    <s v="DVD"/>
    <n v="101002"/>
    <s v="AB101764"/>
    <x v="7"/>
    <n v="548546"/>
  </r>
  <r>
    <n v="10141"/>
    <n v="2"/>
    <d v="2013-06-21T00:00:00"/>
    <s v="BLU-RAY"/>
    <n v="101002"/>
    <s v="AB101765"/>
    <x v="0"/>
    <n v="548546"/>
  </r>
  <r>
    <n v="10167"/>
    <n v="6"/>
    <d v="2013-06-20T00:00:00"/>
    <s v="DVD"/>
    <n v="101003"/>
    <s v="AB101766"/>
    <x v="7"/>
    <n v="319387"/>
  </r>
  <r>
    <n v="10137"/>
    <n v="2"/>
    <d v="2013-06-20T00:00:00"/>
    <s v="DVD"/>
    <n v="101003"/>
    <s v="AB101767"/>
    <x v="3"/>
    <n v="319387"/>
  </r>
  <r>
    <n v="10004"/>
    <n v="2"/>
    <d v="2013-06-21T00:00:00"/>
    <s v="DVD"/>
    <n v="101004"/>
    <s v="AB101768"/>
    <x v="1"/>
    <n v="109251"/>
  </r>
  <r>
    <n v="10096"/>
    <n v="9"/>
    <d v="2013-06-21T00:00:00"/>
    <s v="BLU-RAY"/>
    <n v="101004"/>
    <s v="AB101769"/>
    <x v="7"/>
    <n v="109251"/>
  </r>
  <r>
    <n v="10190"/>
    <n v="10"/>
    <d v="2013-06-21T00:00:00"/>
    <s v="DVD"/>
    <n v="101004"/>
    <s v="AB101770"/>
    <x v="10"/>
    <n v="109251"/>
  </r>
  <r>
    <n v="10182"/>
    <n v="3"/>
    <d v="2013-06-21T00:00:00"/>
    <s v="BLU-RAY"/>
    <n v="101004"/>
    <s v="AB101771"/>
    <x v="0"/>
    <n v="109251"/>
  </r>
  <r>
    <n v="10144"/>
    <n v="7"/>
    <d v="2013-06-23T00:00:00"/>
    <s v="DVD"/>
    <n v="101005"/>
    <s v="AB101772"/>
    <x v="2"/>
    <n v="746134"/>
  </r>
  <r>
    <n v="10019"/>
    <n v="9"/>
    <d v="2013-06-21T00:00:00"/>
    <s v="BLU-RAY"/>
    <n v="101006"/>
    <s v="AB101773"/>
    <x v="9"/>
    <n v="741514"/>
  </r>
  <r>
    <n v="10106"/>
    <n v="10"/>
    <d v="2013-06-21T00:00:00"/>
    <s v="BLU-RAY"/>
    <n v="101007"/>
    <s v="AB101774"/>
    <x v="9"/>
    <n v="755271"/>
  </r>
  <r>
    <n v="10137"/>
    <n v="10"/>
    <d v="2013-06-22T00:00:00"/>
    <s v="DVD"/>
    <n v="101008"/>
    <s v="AB101775"/>
    <x v="3"/>
    <n v="840096"/>
  </r>
  <r>
    <n v="10072"/>
    <n v="4"/>
    <d v="2013-06-22T00:00:00"/>
    <s v="DVD"/>
    <n v="101009"/>
    <s v="AB101776"/>
    <x v="1"/>
    <n v="912671"/>
  </r>
  <r>
    <n v="10075"/>
    <n v="1"/>
    <d v="2013-06-21T00:00:00"/>
    <s v="BLU-RAY"/>
    <n v="101010"/>
    <s v="AB101777"/>
    <x v="17"/>
    <n v="885548"/>
  </r>
  <r>
    <n v="10224"/>
    <n v="4"/>
    <d v="2013-06-22T00:00:00"/>
    <s v="BLU-RAY"/>
    <n v="101011"/>
    <s v="AB101778"/>
    <x v="17"/>
    <n v="798336"/>
  </r>
  <r>
    <n v="10101"/>
    <n v="8"/>
    <d v="2013-06-21T00:00:00"/>
    <s v="BLU-RAY"/>
    <n v="101011"/>
    <s v="AB101779"/>
    <x v="4"/>
    <n v="798336"/>
  </r>
  <r>
    <n v="10288"/>
    <n v="9"/>
    <d v="2013-06-21T00:00:00"/>
    <s v="DVD"/>
    <n v="101011"/>
    <s v="AB101780"/>
    <x v="12"/>
    <n v="798336"/>
  </r>
  <r>
    <n v="10164"/>
    <n v="1"/>
    <d v="2013-06-22T00:00:00"/>
    <s v="BLU-RAY"/>
    <n v="101012"/>
    <s v="AB101781"/>
    <x v="2"/>
    <n v="646700"/>
  </r>
  <r>
    <n v="10058"/>
    <n v="9"/>
    <d v="2013-06-24T00:00:00"/>
    <s v="DVD"/>
    <n v="101013"/>
    <s v="AB101782"/>
    <x v="4"/>
    <n v="745543"/>
  </r>
  <r>
    <n v="10267"/>
    <n v="8"/>
    <d v="2013-06-23T00:00:00"/>
    <s v="BLU-RAY"/>
    <n v="101013"/>
    <s v="AB101783"/>
    <x v="6"/>
    <n v="745543"/>
  </r>
  <r>
    <n v="10106"/>
    <n v="2"/>
    <d v="2013-06-22T00:00:00"/>
    <s v="DVD"/>
    <n v="101014"/>
    <s v="AB101784"/>
    <x v="9"/>
    <n v="680104"/>
  </r>
  <r>
    <n v="10264"/>
    <n v="4"/>
    <d v="2013-06-23T00:00:00"/>
    <s v="DVD"/>
    <n v="101014"/>
    <s v="AB101785"/>
    <x v="2"/>
    <n v="680104"/>
  </r>
  <r>
    <n v="10152"/>
    <n v="3"/>
    <d v="2013-06-23T00:00:00"/>
    <s v="DVD"/>
    <n v="101015"/>
    <s v="AB101786"/>
    <x v="16"/>
    <n v="646700"/>
  </r>
  <r>
    <n v="10170"/>
    <n v="4"/>
    <d v="2013-06-22T00:00:00"/>
    <s v="DVD"/>
    <n v="101016"/>
    <s v="AB101787"/>
    <x v="15"/>
    <n v="612681"/>
  </r>
  <r>
    <n v="10222"/>
    <n v="8"/>
    <d v="2013-06-22T00:00:00"/>
    <s v="DVD"/>
    <n v="101016"/>
    <s v="AB101788"/>
    <x v="4"/>
    <n v="612681"/>
  </r>
  <r>
    <n v="10206"/>
    <n v="2"/>
    <d v="2013-06-22T00:00:00"/>
    <s v="BLU-RAY"/>
    <n v="101016"/>
    <s v="AB101789"/>
    <x v="9"/>
    <n v="612681"/>
  </r>
  <r>
    <n v="10114"/>
    <n v="4"/>
    <d v="2013-06-23T00:00:00"/>
    <s v="DVD"/>
    <n v="101017"/>
    <s v="AB101790"/>
    <x v="10"/>
    <n v="355107"/>
  </r>
  <r>
    <n v="10294"/>
    <n v="9"/>
    <d v="2013-06-22T00:00:00"/>
    <s v="DVD"/>
    <n v="101017"/>
    <s v="AB101791"/>
    <x v="2"/>
    <n v="355107"/>
  </r>
  <r>
    <n v="10272"/>
    <n v="3"/>
    <d v="2013-06-22T00:00:00"/>
    <s v="BLU-RAY"/>
    <n v="101018"/>
    <s v="AB101792"/>
    <x v="4"/>
    <n v="484909"/>
  </r>
  <r>
    <n v="10197"/>
    <n v="6"/>
    <d v="2013-06-23T00:00:00"/>
    <s v="DVD"/>
    <n v="101019"/>
    <s v="AB101793"/>
    <x v="0"/>
    <n v="310195"/>
  </r>
  <r>
    <n v="10270"/>
    <n v="2"/>
    <d v="2013-06-23T00:00:00"/>
    <s v="DVD"/>
    <n v="101019"/>
    <s v="AB101794"/>
    <x v="9"/>
    <n v="310195"/>
  </r>
  <r>
    <n v="10032"/>
    <n v="8"/>
    <d v="2013-06-23T00:00:00"/>
    <s v="BLU-RAY"/>
    <n v="101020"/>
    <s v="AB101795"/>
    <x v="4"/>
    <n v="901388"/>
  </r>
  <r>
    <n v="10035"/>
    <n v="4"/>
    <d v="2013-06-24T00:00:00"/>
    <s v="DVD"/>
    <n v="101020"/>
    <s v="AB101796"/>
    <x v="4"/>
    <n v="901388"/>
  </r>
  <r>
    <n v="10059"/>
    <n v="1"/>
    <d v="2013-06-24T00:00:00"/>
    <s v="BLU-RAY"/>
    <n v="101021"/>
    <s v="AB101797"/>
    <x v="7"/>
    <n v="747066"/>
  </r>
  <r>
    <n v="10209"/>
    <n v="10"/>
    <d v="2013-06-23T00:00:00"/>
    <s v="BLU-RAY"/>
    <n v="101021"/>
    <s v="AB101798"/>
    <x v="7"/>
    <n v="747066"/>
  </r>
  <r>
    <n v="10279"/>
    <n v="6"/>
    <d v="2013-06-23T00:00:00"/>
    <s v="DVD"/>
    <n v="101022"/>
    <s v="AB101799"/>
    <x v="8"/>
    <n v="306853"/>
  </r>
  <r>
    <n v="10098"/>
    <n v="1"/>
    <d v="2013-06-23T00:00:00"/>
    <s v="BLU-RAY"/>
    <n v="101022"/>
    <s v="AB101800"/>
    <x v="0"/>
    <n v="306853"/>
  </r>
  <r>
    <n v="10089"/>
    <n v="6"/>
    <d v="2013-06-23T00:00:00"/>
    <s v="BLU-RAY"/>
    <n v="101022"/>
    <s v="AB101801"/>
    <x v="4"/>
    <n v="306853"/>
  </r>
  <r>
    <n v="10214"/>
    <n v="10"/>
    <d v="2013-06-24T00:00:00"/>
    <s v="DVD"/>
    <n v="101023"/>
    <s v="AB101802"/>
    <x v="13"/>
    <n v="905670"/>
  </r>
  <r>
    <n v="10078"/>
    <n v="2"/>
    <d v="2013-06-23T00:00:00"/>
    <s v="BLU-RAY"/>
    <n v="101023"/>
    <s v="AB101803"/>
    <x v="1"/>
    <n v="905670"/>
  </r>
  <r>
    <n v="10216"/>
    <n v="3"/>
    <d v="2013-06-23T00:00:00"/>
    <s v="DVD"/>
    <n v="101023"/>
    <s v="AB101804"/>
    <x v="4"/>
    <n v="905670"/>
  </r>
  <r>
    <n v="10173"/>
    <n v="10"/>
    <d v="2013-06-23T00:00:00"/>
    <s v="BLU-RAY"/>
    <n v="101024"/>
    <s v="AB101805"/>
    <x v="4"/>
    <n v="847289"/>
  </r>
  <r>
    <n v="10255"/>
    <n v="4"/>
    <d v="2013-06-23T00:00:00"/>
    <s v="DVD"/>
    <n v="101025"/>
    <s v="AB101806"/>
    <x v="1"/>
    <n v="289693"/>
  </r>
  <r>
    <n v="10238"/>
    <n v="10"/>
    <d v="2013-06-24T00:00:00"/>
    <s v="DVD"/>
    <n v="101026"/>
    <s v="AB101807"/>
    <x v="0"/>
    <n v="619910"/>
  </r>
  <r>
    <n v="10077"/>
    <n v="8"/>
    <d v="2013-06-25T00:00:00"/>
    <s v="DVD"/>
    <n v="101026"/>
    <s v="AB101808"/>
    <x v="0"/>
    <n v="619910"/>
  </r>
  <r>
    <n v="10184"/>
    <n v="2"/>
    <d v="2013-06-24T00:00:00"/>
    <s v="DVD"/>
    <n v="101027"/>
    <s v="AB101809"/>
    <x v="7"/>
    <n v="888952"/>
  </r>
  <r>
    <n v="10089"/>
    <n v="8"/>
    <d v="2013-06-24T00:00:00"/>
    <s v="DVD"/>
    <n v="101027"/>
    <s v="AB101810"/>
    <x v="4"/>
    <n v="888952"/>
  </r>
  <r>
    <n v="10094"/>
    <n v="10"/>
    <d v="2013-06-24T00:00:00"/>
    <s v="BLU-RAY"/>
    <n v="101027"/>
    <s v="AB101811"/>
    <x v="12"/>
    <n v="888952"/>
  </r>
  <r>
    <n v="10267"/>
    <n v="4"/>
    <d v="2013-06-24T00:00:00"/>
    <s v="DVD"/>
    <n v="101028"/>
    <s v="AB101812"/>
    <x v="6"/>
    <n v="950299"/>
  </r>
  <r>
    <n v="10160"/>
    <n v="7"/>
    <d v="2013-06-24T00:00:00"/>
    <s v="DVD"/>
    <n v="101029"/>
    <s v="AB101813"/>
    <x v="10"/>
    <n v="418521"/>
  </r>
  <r>
    <n v="10154"/>
    <n v="5"/>
    <d v="2013-06-24T00:00:00"/>
    <s v="BLU-RAY"/>
    <n v="101030"/>
    <s v="AB101814"/>
    <x v="5"/>
    <n v="551950"/>
  </r>
  <r>
    <n v="10220"/>
    <n v="5"/>
    <d v="2013-06-25T00:00:00"/>
    <s v="DVD"/>
    <n v="101030"/>
    <s v="AB101815"/>
    <x v="9"/>
    <n v="551950"/>
  </r>
  <r>
    <n v="10027"/>
    <n v="1"/>
    <d v="2013-06-25T00:00:00"/>
    <s v="BLU-RAY"/>
    <n v="101030"/>
    <s v="AB101816"/>
    <x v="16"/>
    <n v="551950"/>
  </r>
  <r>
    <n v="10107"/>
    <n v="9"/>
    <d v="2013-06-24T00:00:00"/>
    <s v="BLU-RAY"/>
    <n v="101031"/>
    <s v="AB101817"/>
    <x v="7"/>
    <n v="225489"/>
  </r>
  <r>
    <n v="10053"/>
    <n v="7"/>
    <d v="2013-06-26T00:00:00"/>
    <s v="BLU-RAY"/>
    <n v="101031"/>
    <s v="AB101818"/>
    <x v="4"/>
    <n v="225489"/>
  </r>
  <r>
    <n v="10126"/>
    <n v="5"/>
    <d v="2013-06-24T00:00:00"/>
    <s v="DVD"/>
    <n v="101031"/>
    <s v="AB101819"/>
    <x v="9"/>
    <n v="225489"/>
  </r>
  <r>
    <n v="10247"/>
    <n v="1"/>
    <d v="2013-06-25T00:00:00"/>
    <s v="BLU-RAY"/>
    <n v="101032"/>
    <s v="AB101820"/>
    <x v="9"/>
    <n v="908328"/>
  </r>
  <r>
    <n v="10189"/>
    <n v="6"/>
    <d v="2013-06-25T00:00:00"/>
    <s v="DVD"/>
    <n v="101032"/>
    <s v="AB101821"/>
    <x v="7"/>
    <n v="908328"/>
  </r>
  <r>
    <n v="10181"/>
    <n v="1"/>
    <d v="2013-06-26T00:00:00"/>
    <s v="DVD"/>
    <n v="101033"/>
    <s v="AB101822"/>
    <x v="9"/>
    <n v="924649"/>
  </r>
  <r>
    <n v="10296"/>
    <n v="2"/>
    <d v="2013-06-25T00:00:00"/>
    <s v="BLU-RAY"/>
    <n v="101033"/>
    <s v="AB101823"/>
    <x v="21"/>
    <n v="924649"/>
  </r>
  <r>
    <n v="10079"/>
    <n v="5"/>
    <d v="2013-06-25T00:00:00"/>
    <s v="DVD"/>
    <n v="101034"/>
    <s v="AB101824"/>
    <x v="0"/>
    <n v="283158"/>
  </r>
  <r>
    <n v="10045"/>
    <n v="6"/>
    <d v="2013-06-25T00:00:00"/>
    <s v="BLU-RAY"/>
    <n v="101034"/>
    <s v="AB101825"/>
    <x v="0"/>
    <n v="283158"/>
  </r>
  <r>
    <n v="10253"/>
    <n v="10"/>
    <d v="2013-06-25T00:00:00"/>
    <s v="DVD"/>
    <n v="101034"/>
    <s v="AB101826"/>
    <x v="3"/>
    <n v="283158"/>
  </r>
  <r>
    <n v="10236"/>
    <n v="1"/>
    <d v="2013-06-25T00:00:00"/>
    <s v="DVD"/>
    <n v="101035"/>
    <s v="AB101827"/>
    <x v="10"/>
    <n v="343021"/>
  </r>
  <r>
    <n v="10066"/>
    <n v="9"/>
    <d v="2013-06-25T00:00:00"/>
    <s v="DVD"/>
    <n v="101036"/>
    <s v="AB101828"/>
    <x v="3"/>
    <n v="741398"/>
  </r>
  <r>
    <n v="10096"/>
    <n v="1"/>
    <d v="2013-06-26T00:00:00"/>
    <s v="DVD"/>
    <n v="101037"/>
    <s v="AB101829"/>
    <x v="7"/>
    <n v="908328"/>
  </r>
  <r>
    <n v="10036"/>
    <n v="9"/>
    <d v="2013-06-26T00:00:00"/>
    <s v="DVD"/>
    <n v="101038"/>
    <s v="AB101830"/>
    <x v="7"/>
    <n v="842028"/>
  </r>
  <r>
    <n v="10138"/>
    <n v="9"/>
    <d v="2013-06-26T00:00:00"/>
    <s v="DVD"/>
    <n v="101038"/>
    <s v="AB101831"/>
    <x v="7"/>
    <n v="842028"/>
  </r>
  <r>
    <n v="10205"/>
    <n v="8"/>
    <d v="2013-06-26T00:00:00"/>
    <s v="BLU-RAY"/>
    <n v="101039"/>
    <s v="AB101832"/>
    <x v="1"/>
    <n v="612681"/>
  </r>
  <r>
    <n v="10199"/>
    <n v="3"/>
    <d v="2013-06-26T00:00:00"/>
    <s v="DVD"/>
    <n v="101039"/>
    <s v="AB101833"/>
    <x v="10"/>
    <n v="612681"/>
  </r>
  <r>
    <n v="10203"/>
    <n v="6"/>
    <d v="2013-06-29T00:00:00"/>
    <s v="BLU-RAY"/>
    <n v="101039"/>
    <s v="AB101834"/>
    <x v="3"/>
    <n v="612681"/>
  </r>
  <r>
    <n v="10274"/>
    <n v="3"/>
    <d v="2013-06-26T00:00:00"/>
    <s v="BLU-RAY"/>
    <n v="101040"/>
    <s v="AB101835"/>
    <x v="9"/>
    <n v="694281"/>
  </r>
  <r>
    <n v="10186"/>
    <n v="9"/>
    <d v="2013-06-27T00:00:00"/>
    <s v="DVD"/>
    <n v="101041"/>
    <s v="AB101836"/>
    <x v="10"/>
    <n v="147216"/>
  </r>
  <r>
    <n v="10195"/>
    <n v="4"/>
    <d v="2013-06-27T00:00:00"/>
    <s v="DVD"/>
    <n v="101041"/>
    <s v="AB101837"/>
    <x v="4"/>
    <n v="147216"/>
  </r>
  <r>
    <n v="10194"/>
    <n v="10"/>
    <d v="2013-06-26T00:00:00"/>
    <s v="DVD"/>
    <n v="101042"/>
    <s v="AB101838"/>
    <x v="16"/>
    <n v="249188"/>
  </r>
  <r>
    <n v="10196"/>
    <n v="8"/>
    <d v="2013-06-26T00:00:00"/>
    <s v="BLU-RAY"/>
    <n v="101042"/>
    <s v="AB101839"/>
    <x v="9"/>
    <n v="249188"/>
  </r>
  <r>
    <n v="10059"/>
    <n v="4"/>
    <d v="2013-06-27T00:00:00"/>
    <s v="DVD"/>
    <n v="101043"/>
    <s v="AB101840"/>
    <x v="7"/>
    <n v="719921"/>
  </r>
  <r>
    <n v="10075"/>
    <n v="3"/>
    <d v="2013-06-27T00:00:00"/>
    <s v="BLU-RAY"/>
    <n v="101043"/>
    <s v="AB101841"/>
    <x v="17"/>
    <n v="719921"/>
  </r>
  <r>
    <n v="10032"/>
    <n v="2"/>
    <d v="2013-06-27T00:00:00"/>
    <s v="DVD"/>
    <n v="101044"/>
    <s v="AB101842"/>
    <x v="4"/>
    <n v="734514"/>
  </r>
  <r>
    <n v="10007"/>
    <n v="5"/>
    <d v="2013-06-27T00:00:00"/>
    <s v="DVD"/>
    <n v="101045"/>
    <s v="AB101843"/>
    <x v="4"/>
    <n v="190721"/>
  </r>
  <r>
    <n v="10127"/>
    <n v="9"/>
    <d v="2013-06-28T00:00:00"/>
    <s v="DVD"/>
    <n v="101046"/>
    <s v="AB101844"/>
    <x v="6"/>
    <n v="390130"/>
  </r>
  <r>
    <n v="10263"/>
    <n v="9"/>
    <d v="2013-06-29T00:00:00"/>
    <s v="DVD"/>
    <n v="101047"/>
    <s v="AB101845"/>
    <x v="9"/>
    <n v="548800"/>
  </r>
  <r>
    <n v="10276"/>
    <n v="10"/>
    <d v="2013-06-28T00:00:00"/>
    <s v="BLU-RAY"/>
    <n v="101048"/>
    <s v="AB101846"/>
    <x v="16"/>
    <n v="396166"/>
  </r>
  <r>
    <n v="10206"/>
    <n v="10"/>
    <d v="2013-06-28T00:00:00"/>
    <s v="DVD"/>
    <n v="101048"/>
    <s v="AB101847"/>
    <x v="9"/>
    <n v="396166"/>
  </r>
  <r>
    <n v="10285"/>
    <n v="5"/>
    <d v="2013-06-28T00:00:00"/>
    <s v="BLU-RAY"/>
    <n v="101049"/>
    <s v="AB101848"/>
    <x v="20"/>
    <n v="822823"/>
  </r>
  <r>
    <n v="10187"/>
    <n v="10"/>
    <d v="2013-06-28T00:00:00"/>
    <s v="BLU-RAY"/>
    <n v="101049"/>
    <s v="AB101849"/>
    <x v="1"/>
    <n v="822823"/>
  </r>
  <r>
    <n v="10273"/>
    <n v="4"/>
    <d v="2013-06-29T00:00:00"/>
    <s v="DVD"/>
    <n v="101049"/>
    <s v="AB101850"/>
    <x v="4"/>
    <n v="822823"/>
  </r>
  <r>
    <n v="10010"/>
    <n v="6"/>
    <d v="2013-06-28T00:00:00"/>
    <s v="DVD"/>
    <n v="101049"/>
    <s v="AB101851"/>
    <x v="3"/>
    <n v="822823"/>
  </r>
  <r>
    <n v="10135"/>
    <n v="7"/>
    <d v="2013-06-29T00:00:00"/>
    <s v="BLU-RAY"/>
    <n v="101050"/>
    <s v="AB101852"/>
    <x v="7"/>
    <n v="229742"/>
  </r>
  <r>
    <n v="10048"/>
    <n v="9"/>
    <d v="2013-06-29T00:00:00"/>
    <s v="BLU-RAY"/>
    <n v="101050"/>
    <s v="AB101853"/>
    <x v="12"/>
    <n v="229742"/>
  </r>
  <r>
    <n v="10227"/>
    <n v="3"/>
    <d v="2013-07-01T00:00:00"/>
    <s v="BLU-RAY"/>
    <n v="101051"/>
    <s v="AB101854"/>
    <x v="14"/>
    <n v="706884"/>
  </r>
  <r>
    <n v="10055"/>
    <n v="3"/>
    <d v="2013-06-30T00:00:00"/>
    <s v="BLU-RAY"/>
    <n v="101052"/>
    <s v="AB101855"/>
    <x v="15"/>
    <n v="471187"/>
  </r>
  <r>
    <n v="10103"/>
    <n v="6"/>
    <d v="2013-06-29T00:00:00"/>
    <s v="BLU-RAY"/>
    <n v="101052"/>
    <s v="AB101856"/>
    <x v="9"/>
    <n v="471187"/>
  </r>
  <r>
    <n v="10216"/>
    <n v="8"/>
    <d v="2013-06-30T00:00:00"/>
    <s v="DVD"/>
    <n v="101052"/>
    <s v="AB101857"/>
    <x v="4"/>
    <n v="471187"/>
  </r>
  <r>
    <n v="10212"/>
    <n v="7"/>
    <d v="2013-06-29T00:00:00"/>
    <s v="DVD"/>
    <n v="101053"/>
    <s v="AB101858"/>
    <x v="10"/>
    <n v="837763"/>
  </r>
  <r>
    <n v="10292"/>
    <n v="7"/>
    <d v="2013-07-01T00:00:00"/>
    <s v="DVD"/>
    <n v="101054"/>
    <s v="AB101859"/>
    <x v="15"/>
    <n v="147216"/>
  </r>
  <r>
    <n v="10111"/>
    <n v="5"/>
    <d v="2013-06-29T00:00:00"/>
    <s v="BLU-RAY"/>
    <n v="101055"/>
    <s v="AB101860"/>
    <x v="9"/>
    <n v="242720"/>
  </r>
  <r>
    <n v="10219"/>
    <n v="10"/>
    <d v="2013-06-29T00:00:00"/>
    <s v="BLU-RAY"/>
    <n v="101056"/>
    <s v="AB101861"/>
    <x v="1"/>
    <n v="900440"/>
  </r>
  <r>
    <n v="10084"/>
    <n v="10"/>
    <d v="2013-06-30T00:00:00"/>
    <s v="DVD"/>
    <n v="101057"/>
    <s v="AB101862"/>
    <x v="18"/>
    <n v="189953"/>
  </r>
  <r>
    <n v="10214"/>
    <n v="6"/>
    <d v="2013-06-30T00:00:00"/>
    <s v="BLU-RAY"/>
    <n v="101058"/>
    <s v="AB101863"/>
    <x v="13"/>
    <n v="205190"/>
  </r>
  <r>
    <n v="10219"/>
    <n v="1"/>
    <d v="2013-06-30T00:00:00"/>
    <s v="BLU-RAY"/>
    <n v="101059"/>
    <s v="AB101864"/>
    <x v="1"/>
    <n v="371731"/>
  </r>
  <r>
    <n v="10034"/>
    <n v="8"/>
    <d v="2013-07-01T00:00:00"/>
    <s v="BLU-RAY"/>
    <n v="101059"/>
    <s v="AB101865"/>
    <x v="10"/>
    <n v="371731"/>
  </r>
  <r>
    <n v="10169"/>
    <n v="10"/>
    <d v="2013-06-30T00:00:00"/>
    <s v="BLU-RAY"/>
    <n v="101059"/>
    <s v="AB101866"/>
    <x v="0"/>
    <n v="371731"/>
  </r>
  <r>
    <n v="10173"/>
    <n v="5"/>
    <d v="2013-06-30T00:00:00"/>
    <s v="DVD"/>
    <n v="101060"/>
    <s v="AB101867"/>
    <x v="4"/>
    <n v="227372"/>
  </r>
  <r>
    <n v="10059"/>
    <n v="10"/>
    <d v="2013-06-30T00:00:00"/>
    <s v="BLU-RAY"/>
    <n v="101060"/>
    <s v="AB101868"/>
    <x v="7"/>
    <n v="227372"/>
  </r>
  <r>
    <n v="10155"/>
    <n v="8"/>
    <d v="2013-07-01T00:00:00"/>
    <s v="BLU-RAY"/>
    <n v="101060"/>
    <s v="AB101869"/>
    <x v="9"/>
    <n v="227372"/>
  </r>
  <r>
    <n v="10263"/>
    <n v="10"/>
    <d v="2013-07-02T00:00:00"/>
    <s v="DVD"/>
    <n v="101061"/>
    <s v="AB101870"/>
    <x v="9"/>
    <n v="624668"/>
  </r>
  <r>
    <n v="10239"/>
    <n v="3"/>
    <d v="2013-06-30T00:00:00"/>
    <s v="BLU-RAY"/>
    <n v="101062"/>
    <s v="AB101871"/>
    <x v="2"/>
    <n v="646953"/>
  </r>
  <r>
    <n v="10026"/>
    <n v="7"/>
    <d v="2013-07-01T00:00:00"/>
    <s v="DVD"/>
    <n v="101062"/>
    <s v="AB101872"/>
    <x v="9"/>
    <n v="646953"/>
  </r>
  <r>
    <n v="10248"/>
    <n v="9"/>
    <d v="2013-06-30T00:00:00"/>
    <s v="BLU-RAY"/>
    <n v="101063"/>
    <s v="AB101873"/>
    <x v="12"/>
    <n v="810369"/>
  </r>
  <r>
    <n v="10199"/>
    <n v="3"/>
    <d v="2013-07-01T00:00:00"/>
    <s v="DVD"/>
    <n v="101063"/>
    <s v="AB101874"/>
    <x v="10"/>
    <n v="810369"/>
  </r>
  <r>
    <n v="10094"/>
    <n v="8"/>
    <d v="2013-07-01T00:00:00"/>
    <s v="DVD"/>
    <n v="101063"/>
    <s v="AB101875"/>
    <x v="12"/>
    <n v="810369"/>
  </r>
  <r>
    <n v="10092"/>
    <n v="2"/>
    <d v="2013-07-02T00:00:00"/>
    <s v="BLU-RAY"/>
    <n v="101064"/>
    <s v="AB101876"/>
    <x v="0"/>
    <n v="561305"/>
  </r>
  <r>
    <n v="10080"/>
    <n v="10"/>
    <d v="2013-06-30T00:00:00"/>
    <s v="BLU-RAY"/>
    <n v="101065"/>
    <s v="AB101877"/>
    <x v="3"/>
    <n v="344702"/>
  </r>
  <r>
    <n v="10192"/>
    <n v="1"/>
    <d v="2013-07-01T00:00:00"/>
    <s v="DVD"/>
    <n v="101066"/>
    <s v="AB101878"/>
    <x v="7"/>
    <n v="649551"/>
  </r>
  <r>
    <n v="10275"/>
    <n v="6"/>
    <d v="2013-07-01T00:00:00"/>
    <s v="BLU-RAY"/>
    <n v="101066"/>
    <s v="AB101879"/>
    <x v="10"/>
    <n v="649551"/>
  </r>
  <r>
    <n v="10095"/>
    <n v="2"/>
    <d v="2013-07-01T00:00:00"/>
    <s v="DVD"/>
    <n v="101067"/>
    <s v="AB101880"/>
    <x v="2"/>
    <n v="611078"/>
  </r>
  <r>
    <n v="10077"/>
    <n v="6"/>
    <d v="2013-07-01T00:00:00"/>
    <s v="DVD"/>
    <n v="101067"/>
    <s v="AB101881"/>
    <x v="0"/>
    <n v="611078"/>
  </r>
  <r>
    <n v="10114"/>
    <n v="3"/>
    <d v="2013-07-01T00:00:00"/>
    <s v="DVD"/>
    <n v="101068"/>
    <s v="AB101882"/>
    <x v="10"/>
    <n v="308505"/>
  </r>
  <r>
    <n v="10202"/>
    <n v="9"/>
    <d v="2013-07-01T00:00:00"/>
    <s v="DVD"/>
    <n v="101069"/>
    <s v="AB101883"/>
    <x v="0"/>
    <n v="355107"/>
  </r>
  <r>
    <n v="10084"/>
    <n v="7"/>
    <d v="2013-07-03T00:00:00"/>
    <s v="DVD"/>
    <n v="101070"/>
    <s v="AB101884"/>
    <x v="18"/>
    <n v="608290"/>
  </r>
  <r>
    <n v="10036"/>
    <n v="2"/>
    <d v="2013-07-01T00:00:00"/>
    <s v="BLU-RAY"/>
    <n v="101070"/>
    <s v="AB101885"/>
    <x v="7"/>
    <n v="608290"/>
  </r>
  <r>
    <n v="10007"/>
    <n v="4"/>
    <d v="2013-07-01T00:00:00"/>
    <s v="DVD"/>
    <n v="101071"/>
    <s v="AB101886"/>
    <x v="4"/>
    <n v="611078"/>
  </r>
  <r>
    <n v="10213"/>
    <n v="5"/>
    <d v="2013-07-01T00:00:00"/>
    <s v="BLU-RAY"/>
    <n v="101072"/>
    <s v="AB101887"/>
    <x v="4"/>
    <n v="238347"/>
  </r>
  <r>
    <n v="10214"/>
    <n v="9"/>
    <d v="2013-07-01T00:00:00"/>
    <s v="BLU-RAY"/>
    <n v="101072"/>
    <s v="AB101888"/>
    <x v="13"/>
    <n v="238347"/>
  </r>
  <r>
    <n v="10151"/>
    <n v="10"/>
    <d v="2013-07-04T00:00:00"/>
    <s v="DVD"/>
    <n v="101073"/>
    <s v="AB101889"/>
    <x v="8"/>
    <n v="330223"/>
  </r>
  <r>
    <n v="10226"/>
    <n v="7"/>
    <d v="2013-07-03T00:00:00"/>
    <s v="BLU-RAY"/>
    <n v="101073"/>
    <s v="AB101890"/>
    <x v="4"/>
    <n v="330223"/>
  </r>
  <r>
    <n v="10222"/>
    <n v="1"/>
    <d v="2013-07-02T00:00:00"/>
    <s v="BLU-RAY"/>
    <n v="101074"/>
    <s v="AB101891"/>
    <x v="4"/>
    <n v="739669"/>
  </r>
  <r>
    <n v="10145"/>
    <n v="3"/>
    <d v="2013-07-02T00:00:00"/>
    <s v="BLU-RAY"/>
    <n v="101075"/>
    <s v="AB101892"/>
    <x v="6"/>
    <n v="890497"/>
  </r>
  <r>
    <n v="10201"/>
    <n v="4"/>
    <d v="2013-07-03T00:00:00"/>
    <s v="BLU-RAY"/>
    <n v="101076"/>
    <s v="AB101893"/>
    <x v="8"/>
    <n v="352644"/>
  </r>
  <r>
    <n v="10103"/>
    <n v="6"/>
    <d v="2013-07-02T00:00:00"/>
    <s v="BLU-RAY"/>
    <n v="101076"/>
    <s v="AB101894"/>
    <x v="9"/>
    <n v="352644"/>
  </r>
  <r>
    <n v="10126"/>
    <n v="8"/>
    <d v="2013-07-02T00:00:00"/>
    <s v="DVD"/>
    <n v="101076"/>
    <s v="AB101895"/>
    <x v="9"/>
    <n v="352644"/>
  </r>
  <r>
    <n v="10216"/>
    <n v="5"/>
    <d v="2013-07-02T00:00:00"/>
    <s v="DVD"/>
    <n v="101076"/>
    <s v="AB101896"/>
    <x v="4"/>
    <n v="352644"/>
  </r>
  <r>
    <n v="10239"/>
    <n v="5"/>
    <d v="2013-07-02T00:00:00"/>
    <s v="BLU-RAY"/>
    <n v="101077"/>
    <s v="AB101897"/>
    <x v="2"/>
    <n v="220206"/>
  </r>
  <r>
    <n v="10139"/>
    <n v="9"/>
    <d v="2013-07-02T00:00:00"/>
    <s v="BLU-RAY"/>
    <n v="101077"/>
    <s v="AB101898"/>
    <x v="14"/>
    <n v="220206"/>
  </r>
  <r>
    <n v="10157"/>
    <n v="10"/>
    <d v="2013-07-03T00:00:00"/>
    <s v="DVD"/>
    <n v="101077"/>
    <s v="AB101899"/>
    <x v="1"/>
    <n v="220206"/>
  </r>
  <r>
    <n v="10017"/>
    <n v="1"/>
    <d v="2013-07-02T00:00:00"/>
    <s v="DVD"/>
    <n v="101078"/>
    <s v="AB101900"/>
    <x v="4"/>
    <n v="204295"/>
  </r>
  <r>
    <n v="10214"/>
    <n v="9"/>
    <d v="2013-07-02T00:00:00"/>
    <s v="BLU-RAY"/>
    <n v="101079"/>
    <s v="AB101901"/>
    <x v="13"/>
    <n v="435907"/>
  </r>
  <r>
    <n v="10028"/>
    <n v="1"/>
    <d v="2013-07-04T00:00:00"/>
    <s v="DVD"/>
    <n v="101080"/>
    <s v="AB101902"/>
    <x v="5"/>
    <n v="719921"/>
  </r>
  <r>
    <n v="10021"/>
    <n v="3"/>
    <d v="2013-07-04T00:00:00"/>
    <s v="BLU-RAY"/>
    <n v="101081"/>
    <s v="AB101903"/>
    <x v="1"/>
    <n v="249188"/>
  </r>
  <r>
    <n v="10287"/>
    <n v="4"/>
    <d v="2013-07-04T00:00:00"/>
    <s v="BLU-RAY"/>
    <n v="101081"/>
    <s v="AB101904"/>
    <x v="10"/>
    <n v="249188"/>
  </r>
  <r>
    <n v="10288"/>
    <n v="5"/>
    <d v="2013-07-03T00:00:00"/>
    <s v="DVD"/>
    <n v="101082"/>
    <s v="AB101905"/>
    <x v="12"/>
    <n v="186353"/>
  </r>
  <r>
    <n v="10217"/>
    <n v="10"/>
    <d v="2013-07-04T00:00:00"/>
    <s v="BLU-RAY"/>
    <n v="101083"/>
    <s v="AB101906"/>
    <x v="0"/>
    <n v="346006"/>
  </r>
  <r>
    <n v="10196"/>
    <n v="6"/>
    <d v="2013-07-04T00:00:00"/>
    <s v="DVD"/>
    <n v="101084"/>
    <s v="AB101907"/>
    <x v="9"/>
    <n v="862302"/>
  </r>
  <r>
    <n v="10129"/>
    <n v="2"/>
    <d v="2013-07-03T00:00:00"/>
    <s v="BLU-RAY"/>
    <n v="101085"/>
    <s v="AB101908"/>
    <x v="0"/>
    <n v="592592"/>
  </r>
  <r>
    <n v="10033"/>
    <n v="8"/>
    <d v="2013-07-03T00:00:00"/>
    <s v="BLU-RAY"/>
    <n v="101085"/>
    <s v="AB101909"/>
    <x v="10"/>
    <n v="592592"/>
  </r>
  <r>
    <n v="10229"/>
    <n v="4"/>
    <d v="2013-07-05T00:00:00"/>
    <s v="BLU-RAY"/>
    <n v="101086"/>
    <s v="AB101910"/>
    <x v="6"/>
    <n v="396166"/>
  </r>
  <r>
    <n v="10222"/>
    <n v="8"/>
    <d v="2013-07-03T00:00:00"/>
    <s v="DVD"/>
    <n v="101086"/>
    <s v="AB101911"/>
    <x v="4"/>
    <n v="396166"/>
  </r>
  <r>
    <n v="10139"/>
    <n v="2"/>
    <d v="2013-07-03T00:00:00"/>
    <s v="DVD"/>
    <n v="101086"/>
    <s v="AB101912"/>
    <x v="14"/>
    <n v="396166"/>
  </r>
  <r>
    <n v="10173"/>
    <n v="10"/>
    <d v="2013-07-03T00:00:00"/>
    <s v="BLU-RAY"/>
    <n v="101087"/>
    <s v="AB101913"/>
    <x v="4"/>
    <n v="668931"/>
  </r>
  <r>
    <n v="10121"/>
    <n v="2"/>
    <d v="2013-07-04T00:00:00"/>
    <s v="BLU-RAY"/>
    <n v="101087"/>
    <s v="AB101914"/>
    <x v="2"/>
    <n v="668931"/>
  </r>
  <r>
    <n v="10125"/>
    <n v="3"/>
    <d v="2013-07-03T00:00:00"/>
    <s v="BLU-RAY"/>
    <n v="101088"/>
    <s v="AB101915"/>
    <x v="9"/>
    <n v="162236"/>
  </r>
  <r>
    <n v="10119"/>
    <n v="2"/>
    <d v="2013-07-04T00:00:00"/>
    <s v="BLU-RAY"/>
    <n v="101089"/>
    <s v="AB101916"/>
    <x v="7"/>
    <n v="178806"/>
  </r>
  <r>
    <n v="10046"/>
    <n v="9"/>
    <d v="2013-07-03T00:00:00"/>
    <s v="DVD"/>
    <n v="101089"/>
    <s v="AB101917"/>
    <x v="4"/>
    <n v="178806"/>
  </r>
  <r>
    <n v="10083"/>
    <n v="1"/>
    <d v="2013-07-04T00:00:00"/>
    <s v="DVD"/>
    <n v="101090"/>
    <s v="AB101918"/>
    <x v="3"/>
    <n v="622131"/>
  </r>
  <r>
    <n v="10128"/>
    <n v="4"/>
    <d v="2013-07-04T00:00:00"/>
    <s v="BLU-RAY"/>
    <n v="101090"/>
    <s v="AB101919"/>
    <x v="6"/>
    <n v="622131"/>
  </r>
  <r>
    <n v="10008"/>
    <n v="5"/>
    <d v="2013-07-04T00:00:00"/>
    <s v="DVD"/>
    <n v="101091"/>
    <s v="AB101920"/>
    <x v="4"/>
    <n v="676018"/>
  </r>
  <r>
    <n v="10145"/>
    <n v="1"/>
    <d v="2013-07-04T00:00:00"/>
    <s v="BLU-RAY"/>
    <n v="101091"/>
    <s v="AB101921"/>
    <x v="6"/>
    <n v="676018"/>
  </r>
  <r>
    <n v="10083"/>
    <n v="4"/>
    <d v="2013-07-04T00:00:00"/>
    <s v="BLU-RAY"/>
    <n v="101092"/>
    <s v="AB101922"/>
    <x v="3"/>
    <n v="911171"/>
  </r>
  <r>
    <n v="10066"/>
    <n v="3"/>
    <d v="2013-07-05T00:00:00"/>
    <s v="DVD"/>
    <n v="101092"/>
    <s v="AB101923"/>
    <x v="3"/>
    <n v="911171"/>
  </r>
  <r>
    <n v="10136"/>
    <n v="8"/>
    <d v="2013-07-04T00:00:00"/>
    <s v="DVD"/>
    <n v="101093"/>
    <s v="AB101924"/>
    <x v="2"/>
    <n v="744648"/>
  </r>
  <r>
    <n v="10097"/>
    <n v="3"/>
    <d v="2013-07-05T00:00:00"/>
    <s v="BLU-RAY"/>
    <n v="101094"/>
    <s v="AB101925"/>
    <x v="8"/>
    <n v="606155"/>
  </r>
  <r>
    <n v="10141"/>
    <n v="2"/>
    <d v="2013-07-04T00:00:00"/>
    <s v="DVD"/>
    <n v="101094"/>
    <s v="AB101926"/>
    <x v="0"/>
    <n v="606155"/>
  </r>
  <r>
    <n v="10048"/>
    <n v="1"/>
    <d v="2013-07-04T00:00:00"/>
    <s v="BLU-RAY"/>
    <n v="101095"/>
    <s v="AB101927"/>
    <x v="12"/>
    <n v="706884"/>
  </r>
  <r>
    <n v="10197"/>
    <n v="9"/>
    <d v="2013-07-04T00:00:00"/>
    <s v="BLU-RAY"/>
    <n v="101096"/>
    <s v="AB101928"/>
    <x v="0"/>
    <n v="378374"/>
  </r>
  <r>
    <n v="10225"/>
    <n v="7"/>
    <d v="2013-07-04T00:00:00"/>
    <s v="DVD"/>
    <n v="101097"/>
    <s v="AB101929"/>
    <x v="0"/>
    <n v="765237"/>
  </r>
  <r>
    <n v="10233"/>
    <n v="5"/>
    <d v="2013-07-04T00:00:00"/>
    <s v="DVD"/>
    <n v="101098"/>
    <s v="AB101930"/>
    <x v="8"/>
    <n v="447368"/>
  </r>
  <r>
    <n v="10251"/>
    <n v="3"/>
    <d v="2013-07-05T00:00:00"/>
    <s v="BLU-RAY"/>
    <n v="101099"/>
    <s v="AB101931"/>
    <x v="7"/>
    <n v="852319"/>
  </r>
  <r>
    <n v="10147"/>
    <n v="6"/>
    <d v="2013-07-05T00:00:00"/>
    <s v="BLU-RAY"/>
    <n v="101099"/>
    <s v="AB101932"/>
    <x v="10"/>
    <n v="852319"/>
  </r>
  <r>
    <n v="10212"/>
    <n v="9"/>
    <d v="2013-07-05T00:00:00"/>
    <s v="DVD"/>
    <n v="101100"/>
    <s v="AB101933"/>
    <x v="10"/>
    <n v="605188"/>
  </r>
  <r>
    <n v="10298"/>
    <n v="8"/>
    <d v="2013-07-05T00:00:00"/>
    <s v="DVD"/>
    <n v="101101"/>
    <s v="AB101934"/>
    <x v="19"/>
    <n v="561305"/>
  </r>
  <r>
    <n v="10037"/>
    <n v="5"/>
    <d v="2013-07-06T00:00:00"/>
    <s v="BLU-RAY"/>
    <n v="101102"/>
    <s v="AB101935"/>
    <x v="3"/>
    <n v="305005"/>
  </r>
  <r>
    <n v="10109"/>
    <n v="7"/>
    <d v="2013-07-05T00:00:00"/>
    <s v="DVD"/>
    <n v="101103"/>
    <s v="AB101936"/>
    <x v="0"/>
    <n v="242720"/>
  </r>
  <r>
    <n v="10168"/>
    <n v="1"/>
    <d v="2013-07-05T00:00:00"/>
    <s v="DVD"/>
    <n v="101103"/>
    <s v="AB101937"/>
    <x v="1"/>
    <n v="242720"/>
  </r>
  <r>
    <n v="10134"/>
    <n v="4"/>
    <d v="2013-07-05T00:00:00"/>
    <s v="BLU-RAY"/>
    <n v="101103"/>
    <s v="AB101938"/>
    <x v="7"/>
    <n v="242720"/>
  </r>
  <r>
    <n v="10039"/>
    <n v="7"/>
    <d v="2013-07-06T00:00:00"/>
    <s v="BLU-RAY"/>
    <n v="101104"/>
    <s v="AB101939"/>
    <x v="11"/>
    <n v="111486"/>
  </r>
  <r>
    <n v="10063"/>
    <n v="7"/>
    <d v="2013-07-05T00:00:00"/>
    <s v="DVD"/>
    <n v="101104"/>
    <s v="AB101940"/>
    <x v="18"/>
    <n v="111486"/>
  </r>
  <r>
    <n v="10104"/>
    <n v="2"/>
    <d v="2013-07-05T00:00:00"/>
    <s v="DVD"/>
    <n v="101105"/>
    <s v="AB101941"/>
    <x v="7"/>
    <n v="888759"/>
  </r>
  <r>
    <n v="10277"/>
    <n v="4"/>
    <d v="2013-07-06T00:00:00"/>
    <s v="BLU-RAY"/>
    <n v="101106"/>
    <s v="AB101942"/>
    <x v="7"/>
    <n v="590616"/>
  </r>
  <r>
    <n v="10214"/>
    <n v="9"/>
    <d v="2013-07-05T00:00:00"/>
    <s v="DVD"/>
    <n v="101106"/>
    <s v="AB101943"/>
    <x v="13"/>
    <n v="590616"/>
  </r>
  <r>
    <n v="10113"/>
    <n v="10"/>
    <d v="2013-07-06T00:00:00"/>
    <s v="DVD"/>
    <n v="101106"/>
    <s v="AB101944"/>
    <x v="10"/>
    <n v="590616"/>
  </r>
  <r>
    <n v="10047"/>
    <n v="5"/>
    <d v="2013-07-05T00:00:00"/>
    <s v="BLU-RAY"/>
    <n v="101106"/>
    <s v="AB101945"/>
    <x v="0"/>
    <n v="590616"/>
  </r>
  <r>
    <n v="10021"/>
    <n v="1"/>
    <d v="2013-07-05T00:00:00"/>
    <s v="DVD"/>
    <n v="101107"/>
    <s v="AB101946"/>
    <x v="1"/>
    <n v="777145"/>
  </r>
  <r>
    <n v="10232"/>
    <n v="10"/>
    <d v="2013-07-06T00:00:00"/>
    <s v="BLU-RAY"/>
    <n v="101107"/>
    <s v="AB101947"/>
    <x v="1"/>
    <n v="777145"/>
  </r>
  <r>
    <n v="10052"/>
    <n v="6"/>
    <d v="2013-07-05T00:00:00"/>
    <s v="BLU-RAY"/>
    <n v="101107"/>
    <s v="AB101948"/>
    <x v="0"/>
    <n v="777145"/>
  </r>
  <r>
    <n v="10245"/>
    <n v="2"/>
    <d v="2013-07-07T00:00:00"/>
    <s v="DVD"/>
    <n v="101108"/>
    <s v="AB101949"/>
    <x v="0"/>
    <n v="795957"/>
  </r>
  <r>
    <n v="10285"/>
    <n v="4"/>
    <d v="2013-07-07T00:00:00"/>
    <s v="BLU-RAY"/>
    <n v="101108"/>
    <s v="AB101950"/>
    <x v="20"/>
    <n v="795957"/>
  </r>
  <r>
    <n v="10064"/>
    <n v="8"/>
    <d v="2013-07-07T00:00:00"/>
    <s v="DVD"/>
    <n v="101109"/>
    <s v="AB101951"/>
    <x v="7"/>
    <n v="825249"/>
  </r>
  <r>
    <n v="10150"/>
    <n v="10"/>
    <d v="2013-07-06T00:00:00"/>
    <s v="DVD"/>
    <n v="101110"/>
    <s v="AB101952"/>
    <x v="14"/>
    <n v="736500"/>
  </r>
  <r>
    <n v="10042"/>
    <n v="8"/>
    <d v="2013-07-07T00:00:00"/>
    <s v="BLU-RAY"/>
    <n v="101110"/>
    <s v="AB101953"/>
    <x v="1"/>
    <n v="736500"/>
  </r>
  <r>
    <n v="10153"/>
    <n v="5"/>
    <d v="2013-07-06T00:00:00"/>
    <s v="DVD"/>
    <n v="101110"/>
    <s v="AB101954"/>
    <x v="10"/>
    <n v="736500"/>
  </r>
  <r>
    <n v="10049"/>
    <n v="5"/>
    <d v="2013-07-06T00:00:00"/>
    <s v="DVD"/>
    <n v="101111"/>
    <s v="AB101955"/>
    <x v="7"/>
    <n v="479497"/>
  </r>
  <r>
    <n v="10242"/>
    <n v="10"/>
    <d v="2013-07-06T00:00:00"/>
    <s v="DVD"/>
    <n v="101112"/>
    <s v="AB101956"/>
    <x v="3"/>
    <n v="908768"/>
  </r>
  <r>
    <n v="10290"/>
    <n v="6"/>
    <d v="2013-07-06T00:00:00"/>
    <s v="BLU-RAY"/>
    <n v="101112"/>
    <s v="AB101957"/>
    <x v="2"/>
    <n v="908768"/>
  </r>
  <r>
    <n v="10060"/>
    <n v="10"/>
    <d v="2013-07-06T00:00:00"/>
    <s v="DVD"/>
    <n v="101113"/>
    <s v="AB101958"/>
    <x v="0"/>
    <n v="249188"/>
  </r>
  <r>
    <n v="10293"/>
    <n v="8"/>
    <d v="2013-07-07T00:00:00"/>
    <s v="BLU-RAY"/>
    <n v="101114"/>
    <s v="AB101959"/>
    <x v="12"/>
    <n v="277373"/>
  </r>
  <r>
    <n v="10028"/>
    <n v="4"/>
    <d v="2013-07-07T00:00:00"/>
    <s v="DVD"/>
    <n v="101114"/>
    <s v="AB101960"/>
    <x v="5"/>
    <n v="277373"/>
  </r>
  <r>
    <n v="10044"/>
    <n v="1"/>
    <d v="2013-07-07T00:00:00"/>
    <s v="BLU-RAY"/>
    <n v="101115"/>
    <s v="AB101961"/>
    <x v="3"/>
    <n v="590517"/>
  </r>
  <r>
    <n v="10104"/>
    <n v="5"/>
    <d v="2013-07-08T00:00:00"/>
    <s v="DVD"/>
    <n v="101115"/>
    <s v="AB101962"/>
    <x v="7"/>
    <n v="590517"/>
  </r>
  <r>
    <n v="10264"/>
    <n v="9"/>
    <d v="2013-07-07T00:00:00"/>
    <s v="DVD"/>
    <n v="101116"/>
    <s v="AB101963"/>
    <x v="2"/>
    <n v="912671"/>
  </r>
  <r>
    <n v="10280"/>
    <n v="2"/>
    <d v="2013-07-07T00:00:00"/>
    <s v="BLU-RAY"/>
    <n v="101117"/>
    <s v="AB101964"/>
    <x v="7"/>
    <n v="415869"/>
  </r>
  <r>
    <n v="10063"/>
    <n v="2"/>
    <d v="2013-07-08T00:00:00"/>
    <s v="DVD"/>
    <n v="101118"/>
    <s v="AB101965"/>
    <x v="18"/>
    <n v="803700"/>
  </r>
  <r>
    <n v="10025"/>
    <n v="2"/>
    <d v="2013-07-07T00:00:00"/>
    <s v="DVD"/>
    <n v="101119"/>
    <s v="AB101966"/>
    <x v="4"/>
    <n v="748326"/>
  </r>
  <r>
    <n v="10012"/>
    <n v="2"/>
    <d v="2013-07-07T00:00:00"/>
    <s v="DVD"/>
    <n v="101119"/>
    <s v="AB101967"/>
    <x v="3"/>
    <n v="748326"/>
  </r>
  <r>
    <n v="10075"/>
    <n v="3"/>
    <d v="2013-07-08T00:00:00"/>
    <s v="DVD"/>
    <n v="101120"/>
    <s v="AB101968"/>
    <x v="17"/>
    <n v="199895"/>
  </r>
  <r>
    <n v="10124"/>
    <n v="1"/>
    <d v="2013-07-07T00:00:00"/>
    <s v="DVD"/>
    <n v="101121"/>
    <s v="AB101969"/>
    <x v="1"/>
    <n v="599995"/>
  </r>
  <r>
    <n v="10274"/>
    <n v="10"/>
    <d v="2013-07-07T00:00:00"/>
    <s v="DVD"/>
    <n v="101122"/>
    <s v="AB101970"/>
    <x v="9"/>
    <n v="592592"/>
  </r>
  <r>
    <n v="10071"/>
    <n v="5"/>
    <d v="2013-07-08T00:00:00"/>
    <s v="DVD"/>
    <n v="101123"/>
    <s v="AB101971"/>
    <x v="1"/>
    <n v="385115"/>
  </r>
  <r>
    <n v="10043"/>
    <n v="8"/>
    <d v="2013-07-08T00:00:00"/>
    <s v="BLU-RAY"/>
    <n v="101124"/>
    <s v="AB101972"/>
    <x v="8"/>
    <n v="815980"/>
  </r>
  <r>
    <n v="10094"/>
    <n v="1"/>
    <d v="2013-07-08T00:00:00"/>
    <s v="BLU-RAY"/>
    <n v="101124"/>
    <s v="AB101973"/>
    <x v="12"/>
    <n v="815980"/>
  </r>
  <r>
    <n v="10154"/>
    <n v="5"/>
    <d v="2013-07-08T00:00:00"/>
    <s v="BLU-RAY"/>
    <n v="101125"/>
    <s v="AB101974"/>
    <x v="5"/>
    <n v="214537"/>
  </r>
  <r>
    <n v="10154"/>
    <n v="3"/>
    <d v="2013-07-08T00:00:00"/>
    <s v="DVD"/>
    <n v="101125"/>
    <s v="AB101975"/>
    <x v="5"/>
    <n v="214537"/>
  </r>
  <r>
    <n v="10177"/>
    <n v="4"/>
    <d v="2013-07-08T00:00:00"/>
    <s v="DVD"/>
    <n v="101126"/>
    <s v="AB101976"/>
    <x v="9"/>
    <n v="308662"/>
  </r>
  <r>
    <n v="10062"/>
    <n v="8"/>
    <d v="2013-07-08T00:00:00"/>
    <s v="DVD"/>
    <n v="101127"/>
    <s v="AB101977"/>
    <x v="16"/>
    <n v="955591"/>
  </r>
  <r>
    <n v="10284"/>
    <n v="9"/>
    <d v="2013-07-08T00:00:00"/>
    <s v="BLU-RAY"/>
    <n v="101127"/>
    <s v="AB101978"/>
    <x v="14"/>
    <n v="955591"/>
  </r>
  <r>
    <n v="10157"/>
    <n v="2"/>
    <d v="2013-07-10T00:00:00"/>
    <s v="DVD"/>
    <n v="101128"/>
    <s v="AB101979"/>
    <x v="1"/>
    <n v="396166"/>
  </r>
  <r>
    <n v="10134"/>
    <n v="1"/>
    <d v="2013-07-09T00:00:00"/>
    <s v="DVD"/>
    <n v="101129"/>
    <s v="AB101980"/>
    <x v="7"/>
    <n v="840096"/>
  </r>
  <r>
    <n v="10281"/>
    <n v="4"/>
    <d v="2013-07-09T00:00:00"/>
    <s v="BLU-RAY"/>
    <n v="101130"/>
    <s v="AB101981"/>
    <x v="10"/>
    <n v="302774"/>
  </r>
  <r>
    <n v="10051"/>
    <n v="9"/>
    <d v="2013-07-08T00:00:00"/>
    <s v="BLU-RAY"/>
    <n v="101131"/>
    <s v="AB101982"/>
    <x v="1"/>
    <n v="958321"/>
  </r>
  <r>
    <n v="10226"/>
    <n v="1"/>
    <d v="2013-07-11T00:00:00"/>
    <s v="DVD"/>
    <n v="101132"/>
    <s v="AB101983"/>
    <x v="4"/>
    <n v="128131"/>
  </r>
  <r>
    <n v="10122"/>
    <n v="5"/>
    <d v="2013-07-11T00:00:00"/>
    <s v="BLU-RAY"/>
    <n v="101132"/>
    <s v="AB101984"/>
    <x v="12"/>
    <n v="128131"/>
  </r>
  <r>
    <n v="10215"/>
    <n v="2"/>
    <d v="2013-07-09T00:00:00"/>
    <s v="DVD"/>
    <n v="101133"/>
    <s v="AB101985"/>
    <x v="1"/>
    <n v="891738"/>
  </r>
  <r>
    <n v="10157"/>
    <n v="10"/>
    <d v="2013-07-09T00:00:00"/>
    <s v="DVD"/>
    <n v="101134"/>
    <s v="AB101986"/>
    <x v="1"/>
    <n v="739440"/>
  </r>
  <r>
    <n v="10027"/>
    <n v="10"/>
    <d v="2013-07-09T00:00:00"/>
    <s v="BLU-RAY"/>
    <n v="101134"/>
    <s v="AB101987"/>
    <x v="16"/>
    <n v="739440"/>
  </r>
  <r>
    <n v="10025"/>
    <n v="10"/>
    <d v="2013-07-09T00:00:00"/>
    <s v="BLU-RAY"/>
    <n v="101135"/>
    <s v="AB101988"/>
    <x v="4"/>
    <n v="744648"/>
  </r>
  <r>
    <n v="10158"/>
    <n v="6"/>
    <d v="2013-07-09T00:00:00"/>
    <s v="DVD"/>
    <n v="101135"/>
    <s v="AB101989"/>
    <x v="0"/>
    <n v="744648"/>
  </r>
  <r>
    <n v="10108"/>
    <n v="7"/>
    <d v="2013-07-09T00:00:00"/>
    <s v="DVD"/>
    <n v="101135"/>
    <s v="AB101990"/>
    <x v="9"/>
    <n v="744648"/>
  </r>
  <r>
    <n v="10042"/>
    <n v="1"/>
    <d v="2013-07-09T00:00:00"/>
    <s v="BLU-RAY"/>
    <n v="101136"/>
    <s v="AB101991"/>
    <x v="1"/>
    <n v="352644"/>
  </r>
  <r>
    <n v="10071"/>
    <n v="5"/>
    <d v="2013-07-09T00:00:00"/>
    <s v="DVD"/>
    <n v="101136"/>
    <s v="AB101992"/>
    <x v="1"/>
    <n v="352644"/>
  </r>
  <r>
    <n v="10218"/>
    <n v="5"/>
    <d v="2013-07-10T00:00:00"/>
    <s v="DVD"/>
    <n v="101136"/>
    <s v="AB101993"/>
    <x v="4"/>
    <n v="352644"/>
  </r>
  <r>
    <n v="10210"/>
    <n v="5"/>
    <d v="2013-07-09T00:00:00"/>
    <s v="DVD"/>
    <n v="101137"/>
    <s v="AB101994"/>
    <x v="4"/>
    <n v="649551"/>
  </r>
  <r>
    <n v="10289"/>
    <n v="9"/>
    <d v="2013-07-09T00:00:00"/>
    <s v="BLU-RAY"/>
    <n v="101137"/>
    <s v="AB101995"/>
    <x v="11"/>
    <n v="649551"/>
  </r>
  <r>
    <n v="10069"/>
    <n v="7"/>
    <d v="2013-07-10T00:00:00"/>
    <s v="BLU-RAY"/>
    <n v="101138"/>
    <s v="AB101996"/>
    <x v="0"/>
    <n v="242720"/>
  </r>
  <r>
    <n v="10260"/>
    <n v="6"/>
    <d v="2013-07-09T00:00:00"/>
    <s v="BLU-RAY"/>
    <n v="101139"/>
    <s v="AB101997"/>
    <x v="4"/>
    <n v="911171"/>
  </r>
  <r>
    <n v="10122"/>
    <n v="9"/>
    <d v="2013-07-12T00:00:00"/>
    <s v="BLU-RAY"/>
    <n v="101140"/>
    <s v="AB101998"/>
    <x v="12"/>
    <n v="324435"/>
  </r>
  <r>
    <n v="10081"/>
    <n v="6"/>
    <d v="2013-07-10T00:00:00"/>
    <s v="BLU-RAY"/>
    <n v="101140"/>
    <s v="AB101999"/>
    <x v="2"/>
    <n v="324435"/>
  </r>
  <r>
    <n v="10255"/>
    <n v="9"/>
    <d v="2013-07-10T00:00:00"/>
    <s v="BLU-RAY"/>
    <n v="101141"/>
    <s v="AB102000"/>
    <x v="1"/>
    <n v="737707"/>
  </r>
  <r>
    <n v="10030"/>
    <n v="3"/>
    <d v="2013-07-11T00:00:00"/>
    <s v="DVD"/>
    <n v="101141"/>
    <s v="AB102001"/>
    <x v="0"/>
    <n v="737707"/>
  </r>
  <r>
    <n v="10142"/>
    <n v="10"/>
    <d v="2013-07-10T00:00:00"/>
    <s v="BLU-RAY"/>
    <n v="101141"/>
    <s v="AB102002"/>
    <x v="0"/>
    <n v="737707"/>
  </r>
  <r>
    <n v="10155"/>
    <n v="4"/>
    <d v="2013-07-10T00:00:00"/>
    <s v="DVD"/>
    <n v="101142"/>
    <s v="AB102003"/>
    <x v="9"/>
    <n v="355107"/>
  </r>
  <r>
    <n v="10029"/>
    <n v="9"/>
    <d v="2013-07-10T00:00:00"/>
    <s v="DVD"/>
    <n v="101142"/>
    <s v="AB102004"/>
    <x v="12"/>
    <n v="355107"/>
  </r>
  <r>
    <n v="10063"/>
    <n v="3"/>
    <d v="2013-07-10T00:00:00"/>
    <s v="DVD"/>
    <n v="101143"/>
    <s v="AB102005"/>
    <x v="18"/>
    <n v="471187"/>
  </r>
  <r>
    <n v="10227"/>
    <n v="7"/>
    <d v="2013-07-11T00:00:00"/>
    <s v="DVD"/>
    <n v="101143"/>
    <s v="AB102006"/>
    <x v="14"/>
    <n v="471187"/>
  </r>
  <r>
    <n v="10204"/>
    <n v="3"/>
    <d v="2013-07-10T00:00:00"/>
    <s v="DVD"/>
    <n v="101144"/>
    <s v="AB102007"/>
    <x v="7"/>
    <n v="456457"/>
  </r>
  <r>
    <n v="10097"/>
    <n v="9"/>
    <d v="2013-07-10T00:00:00"/>
    <s v="DVD"/>
    <n v="101145"/>
    <s v="AB102008"/>
    <x v="8"/>
    <n v="891738"/>
  </r>
  <r>
    <n v="10145"/>
    <n v="10"/>
    <d v="2013-07-10T00:00:00"/>
    <s v="DVD"/>
    <n v="101145"/>
    <s v="AB102009"/>
    <x v="6"/>
    <n v="891738"/>
  </r>
  <r>
    <n v="10084"/>
    <n v="2"/>
    <d v="2013-07-10T00:00:00"/>
    <s v="DVD"/>
    <n v="101146"/>
    <s v="AB102010"/>
    <x v="18"/>
    <n v="427826"/>
  </r>
  <r>
    <n v="10037"/>
    <n v="6"/>
    <d v="2013-07-10T00:00:00"/>
    <s v="DVD"/>
    <n v="101146"/>
    <s v="AB102011"/>
    <x v="3"/>
    <n v="427826"/>
  </r>
  <r>
    <n v="10225"/>
    <n v="4"/>
    <d v="2013-07-10T00:00:00"/>
    <s v="DVD"/>
    <n v="101147"/>
    <s v="AB102012"/>
    <x v="0"/>
    <n v="992895"/>
  </r>
  <r>
    <n v="10017"/>
    <n v="4"/>
    <d v="2013-07-11T00:00:00"/>
    <s v="DVD"/>
    <n v="101147"/>
    <s v="AB102013"/>
    <x v="4"/>
    <n v="992895"/>
  </r>
  <r>
    <n v="10227"/>
    <n v="9"/>
    <d v="2013-07-10T00:00:00"/>
    <s v="BLU-RAY"/>
    <n v="101147"/>
    <s v="AB102014"/>
    <x v="14"/>
    <n v="992895"/>
  </r>
  <r>
    <n v="10281"/>
    <n v="9"/>
    <d v="2013-07-11T00:00:00"/>
    <s v="DVD"/>
    <n v="101148"/>
    <s v="AB102015"/>
    <x v="10"/>
    <n v="741398"/>
  </r>
  <r>
    <n v="10008"/>
    <n v="4"/>
    <d v="2013-07-10T00:00:00"/>
    <s v="BLU-RAY"/>
    <n v="101149"/>
    <s v="AB102016"/>
    <x v="4"/>
    <n v="242720"/>
  </r>
  <r>
    <n v="10233"/>
    <n v="9"/>
    <d v="2013-07-11T00:00:00"/>
    <s v="DVD"/>
    <n v="101149"/>
    <s v="AB102017"/>
    <x v="8"/>
    <n v="242720"/>
  </r>
  <r>
    <n v="10087"/>
    <n v="1"/>
    <d v="2013-07-11T00:00:00"/>
    <s v="DVD"/>
    <n v="101150"/>
    <s v="AB102018"/>
    <x v="10"/>
    <n v="723819"/>
  </r>
  <r>
    <n v="10052"/>
    <n v="10"/>
    <d v="2013-07-11T00:00:00"/>
    <s v="DVD"/>
    <n v="101150"/>
    <s v="AB102019"/>
    <x v="0"/>
    <n v="723819"/>
  </r>
  <r>
    <n v="10005"/>
    <n v="4"/>
    <d v="2013-07-13T00:00:00"/>
    <s v="BLU-RAY"/>
    <n v="101151"/>
    <s v="AB102020"/>
    <x v="3"/>
    <n v="105549"/>
  </r>
  <r>
    <n v="10081"/>
    <n v="10"/>
    <d v="2013-07-11T00:00:00"/>
    <s v="BLU-RAY"/>
    <n v="101152"/>
    <s v="AB102021"/>
    <x v="2"/>
    <n v="665282"/>
  </r>
  <r>
    <n v="10009"/>
    <n v="10"/>
    <d v="2013-07-11T00:00:00"/>
    <s v="DVD"/>
    <n v="101153"/>
    <s v="AB102022"/>
    <x v="0"/>
    <n v="783369"/>
  </r>
  <r>
    <n v="10086"/>
    <n v="10"/>
    <d v="2013-07-11T00:00:00"/>
    <s v="DVD"/>
    <n v="101153"/>
    <s v="AB102023"/>
    <x v="3"/>
    <n v="783369"/>
  </r>
  <r>
    <n v="10059"/>
    <n v="6"/>
    <d v="2013-07-11T00:00:00"/>
    <s v="DVD"/>
    <n v="101154"/>
    <s v="AB102024"/>
    <x v="7"/>
    <n v="147216"/>
  </r>
  <r>
    <n v="10039"/>
    <n v="6"/>
    <d v="2013-07-11T00:00:00"/>
    <s v="DVD"/>
    <n v="101154"/>
    <s v="AB102025"/>
    <x v="11"/>
    <n v="147216"/>
  </r>
  <r>
    <n v="10203"/>
    <n v="8"/>
    <d v="2013-07-13T00:00:00"/>
    <s v="DVD"/>
    <n v="101155"/>
    <s v="AB102026"/>
    <x v="3"/>
    <n v="329994"/>
  </r>
  <r>
    <n v="10252"/>
    <n v="5"/>
    <d v="2013-07-11T00:00:00"/>
    <s v="DVD"/>
    <n v="101156"/>
    <s v="AB102027"/>
    <x v="0"/>
    <n v="302774"/>
  </r>
  <r>
    <n v="10089"/>
    <n v="10"/>
    <d v="2013-07-11T00:00:00"/>
    <s v="BLU-RAY"/>
    <n v="101156"/>
    <s v="AB102028"/>
    <x v="4"/>
    <n v="302774"/>
  </r>
  <r>
    <n v="10006"/>
    <n v="6"/>
    <d v="2013-07-11T00:00:00"/>
    <s v="DVD"/>
    <n v="101157"/>
    <s v="AB102029"/>
    <x v="1"/>
    <n v="611078"/>
  </r>
  <r>
    <n v="10252"/>
    <n v="10"/>
    <d v="2013-07-11T00:00:00"/>
    <s v="DVD"/>
    <n v="101157"/>
    <s v="AB102030"/>
    <x v="0"/>
    <n v="611078"/>
  </r>
  <r>
    <n v="10264"/>
    <n v="5"/>
    <d v="2013-07-11T00:00:00"/>
    <s v="BLU-RAY"/>
    <n v="101157"/>
    <s v="AB102031"/>
    <x v="2"/>
    <n v="611078"/>
  </r>
  <r>
    <n v="10235"/>
    <n v="9"/>
    <d v="2013-07-11T00:00:00"/>
    <s v="DVD"/>
    <n v="101157"/>
    <s v="AB102032"/>
    <x v="10"/>
    <n v="611078"/>
  </r>
  <r>
    <n v="10102"/>
    <n v="6"/>
    <d v="2013-07-12T00:00:00"/>
    <s v="DVD"/>
    <n v="101158"/>
    <s v="AB102033"/>
    <x v="7"/>
    <n v="567388"/>
  </r>
  <r>
    <n v="10087"/>
    <n v="1"/>
    <d v="2013-07-12T00:00:00"/>
    <s v="BLU-RAY"/>
    <n v="101158"/>
    <s v="AB102034"/>
    <x v="10"/>
    <n v="567388"/>
  </r>
  <r>
    <n v="10026"/>
    <n v="10"/>
    <d v="2013-07-12T00:00:00"/>
    <s v="DVD"/>
    <n v="101159"/>
    <s v="AB102035"/>
    <x v="9"/>
    <n v="611848"/>
  </r>
  <r>
    <n v="10275"/>
    <n v="1"/>
    <d v="2013-07-13T00:00:00"/>
    <s v="DVD"/>
    <n v="101159"/>
    <s v="AB102036"/>
    <x v="10"/>
    <n v="611848"/>
  </r>
  <r>
    <n v="10077"/>
    <n v="5"/>
    <d v="2013-07-13T00:00:00"/>
    <s v="DVD"/>
    <n v="101160"/>
    <s v="AB102037"/>
    <x v="0"/>
    <n v="403000"/>
  </r>
  <r>
    <n v="10094"/>
    <n v="8"/>
    <d v="2013-07-12T00:00:00"/>
    <s v="DVD"/>
    <n v="101161"/>
    <s v="AB102038"/>
    <x v="12"/>
    <n v="627324"/>
  </r>
  <r>
    <n v="10082"/>
    <n v="2"/>
    <d v="2013-07-12T00:00:00"/>
    <s v="BLU-RAY"/>
    <n v="101162"/>
    <s v="AB102039"/>
    <x v="3"/>
    <n v="891738"/>
  </r>
  <r>
    <n v="10019"/>
    <n v="9"/>
    <d v="2013-07-13T00:00:00"/>
    <s v="DVD"/>
    <n v="101162"/>
    <s v="AB102040"/>
    <x v="9"/>
    <n v="891738"/>
  </r>
  <r>
    <n v="10249"/>
    <n v="4"/>
    <d v="2013-07-12T00:00:00"/>
    <s v="DVD"/>
    <n v="101163"/>
    <s v="AB102041"/>
    <x v="5"/>
    <n v="798336"/>
  </r>
  <r>
    <n v="10244"/>
    <n v="1"/>
    <d v="2013-07-12T00:00:00"/>
    <s v="DVD"/>
    <n v="101164"/>
    <s v="AB102042"/>
    <x v="4"/>
    <n v="407605"/>
  </r>
  <r>
    <n v="10211"/>
    <n v="4"/>
    <d v="2013-07-13T00:00:00"/>
    <s v="BLU-RAY"/>
    <n v="101164"/>
    <s v="AB102043"/>
    <x v="3"/>
    <n v="407605"/>
  </r>
  <r>
    <n v="10275"/>
    <n v="5"/>
    <d v="2013-07-12T00:00:00"/>
    <s v="DVD"/>
    <n v="101164"/>
    <s v="AB102044"/>
    <x v="10"/>
    <n v="407605"/>
  </r>
  <r>
    <n v="10229"/>
    <n v="9"/>
    <d v="2013-07-12T00:00:00"/>
    <s v="BLU-RAY"/>
    <n v="101164"/>
    <s v="AB102045"/>
    <x v="6"/>
    <n v="407605"/>
  </r>
  <r>
    <n v="10200"/>
    <n v="4"/>
    <d v="2013-07-13T00:00:00"/>
    <s v="BLU-RAY"/>
    <n v="101165"/>
    <s v="AB102046"/>
    <x v="9"/>
    <n v="396166"/>
  </r>
  <r>
    <n v="10009"/>
    <n v="3"/>
    <d v="2013-07-13T00:00:00"/>
    <s v="BLU-RAY"/>
    <n v="101166"/>
    <s v="AB102047"/>
    <x v="0"/>
    <n v="500350"/>
  </r>
  <r>
    <n v="10045"/>
    <n v="8"/>
    <d v="2013-07-13T00:00:00"/>
    <s v="BLU-RAY"/>
    <n v="101166"/>
    <s v="AB102048"/>
    <x v="0"/>
    <n v="500350"/>
  </r>
  <r>
    <n v="10043"/>
    <n v="9"/>
    <d v="2013-07-12T00:00:00"/>
    <s v="DVD"/>
    <n v="101167"/>
    <s v="AB102049"/>
    <x v="8"/>
    <n v="329994"/>
  </r>
  <r>
    <n v="10073"/>
    <n v="1"/>
    <d v="2013-07-13T00:00:00"/>
    <s v="DVD"/>
    <n v="101168"/>
    <s v="AB102050"/>
    <x v="16"/>
    <n v="837763"/>
  </r>
  <r>
    <n v="10108"/>
    <n v="7"/>
    <d v="2013-07-13T00:00:00"/>
    <s v="BLU-RAY"/>
    <n v="101169"/>
    <s v="AB102051"/>
    <x v="9"/>
    <n v="905670"/>
  </r>
  <r>
    <n v="10175"/>
    <n v="1"/>
    <d v="2013-07-14T00:00:00"/>
    <s v="DVD"/>
    <n v="101169"/>
    <s v="AB102052"/>
    <x v="3"/>
    <n v="905670"/>
  </r>
  <r>
    <n v="10261"/>
    <n v="6"/>
    <d v="2013-07-15T00:00:00"/>
    <s v="BLU-RAY"/>
    <n v="101170"/>
    <s v="AB102053"/>
    <x v="9"/>
    <n v="103508"/>
  </r>
  <r>
    <n v="10241"/>
    <n v="4"/>
    <d v="2013-07-15T00:00:00"/>
    <s v="BLU-RAY"/>
    <n v="101171"/>
    <s v="AB102054"/>
    <x v="0"/>
    <n v="433442"/>
  </r>
  <r>
    <n v="10250"/>
    <n v="6"/>
    <d v="2013-07-13T00:00:00"/>
    <s v="BLU-RAY"/>
    <n v="101171"/>
    <s v="AB102055"/>
    <x v="3"/>
    <n v="433442"/>
  </r>
  <r>
    <n v="10093"/>
    <n v="9"/>
    <d v="2013-07-14T00:00:00"/>
    <s v="BLU-RAY"/>
    <n v="101171"/>
    <s v="AB102056"/>
    <x v="11"/>
    <n v="433442"/>
  </r>
  <r>
    <n v="10139"/>
    <n v="9"/>
    <d v="2013-07-14T00:00:00"/>
    <s v="DVD"/>
    <n v="101172"/>
    <s v="AB102057"/>
    <x v="14"/>
    <n v="182040"/>
  </r>
  <r>
    <n v="10129"/>
    <n v="6"/>
    <d v="2013-07-13T00:00:00"/>
    <s v="DVD"/>
    <n v="101172"/>
    <s v="AB102058"/>
    <x v="0"/>
    <n v="182040"/>
  </r>
  <r>
    <n v="10228"/>
    <n v="10"/>
    <d v="2013-07-15T00:00:00"/>
    <s v="BLU-RAY"/>
    <n v="101173"/>
    <s v="AB102059"/>
    <x v="7"/>
    <n v="452874"/>
  </r>
  <r>
    <n v="10143"/>
    <n v="10"/>
    <d v="2013-07-13T00:00:00"/>
    <s v="DVD"/>
    <n v="101173"/>
    <s v="AB102060"/>
    <x v="3"/>
    <n v="452874"/>
  </r>
  <r>
    <n v="10270"/>
    <n v="4"/>
    <d v="2013-07-13T00:00:00"/>
    <s v="DVD"/>
    <n v="101174"/>
    <s v="AB102061"/>
    <x v="9"/>
    <n v="782947"/>
  </r>
  <r>
    <n v="10057"/>
    <n v="3"/>
    <d v="2013-07-13T00:00:00"/>
    <s v="BLU-RAY"/>
    <n v="101174"/>
    <s v="AB102062"/>
    <x v="0"/>
    <n v="782947"/>
  </r>
  <r>
    <n v="10221"/>
    <n v="5"/>
    <d v="2013-07-13T00:00:00"/>
    <s v="BLU-RAY"/>
    <n v="101174"/>
    <s v="AB102063"/>
    <x v="9"/>
    <n v="782947"/>
  </r>
  <r>
    <n v="10080"/>
    <n v="4"/>
    <d v="2013-07-13T00:00:00"/>
    <s v="BLU-RAY"/>
    <n v="101175"/>
    <s v="AB102064"/>
    <x v="3"/>
    <n v="590616"/>
  </r>
  <r>
    <n v="10142"/>
    <n v="2"/>
    <d v="2013-07-13T00:00:00"/>
    <s v="BLU-RAY"/>
    <n v="101176"/>
    <s v="AB102065"/>
    <x v="0"/>
    <n v="412544"/>
  </r>
  <r>
    <n v="10199"/>
    <n v="2"/>
    <d v="2013-07-13T00:00:00"/>
    <s v="DVD"/>
    <n v="101176"/>
    <s v="AB102066"/>
    <x v="10"/>
    <n v="412544"/>
  </r>
  <r>
    <n v="10269"/>
    <n v="8"/>
    <d v="2013-07-13T00:00:00"/>
    <s v="DVD"/>
    <n v="101177"/>
    <s v="AB102067"/>
    <x v="3"/>
    <n v="616258"/>
  </r>
  <r>
    <n v="10045"/>
    <n v="4"/>
    <d v="2013-07-13T00:00:00"/>
    <s v="DVD"/>
    <n v="101177"/>
    <s v="AB102068"/>
    <x v="0"/>
    <n v="616258"/>
  </r>
  <r>
    <n v="10054"/>
    <n v="3"/>
    <d v="2013-07-13T00:00:00"/>
    <s v="BLU-RAY"/>
    <n v="101177"/>
    <s v="AB102069"/>
    <x v="1"/>
    <n v="616258"/>
  </r>
  <r>
    <n v="10176"/>
    <n v="7"/>
    <d v="2013-07-13T00:00:00"/>
    <s v="BLU-RAY"/>
    <n v="101178"/>
    <s v="AB102070"/>
    <x v="7"/>
    <n v="701816"/>
  </r>
  <r>
    <n v="10218"/>
    <n v="1"/>
    <d v="2013-07-13T00:00:00"/>
    <s v="DVD"/>
    <n v="101178"/>
    <s v="AB102071"/>
    <x v="4"/>
    <n v="701816"/>
  </r>
  <r>
    <n v="10177"/>
    <n v="10"/>
    <d v="2013-07-13T00:00:00"/>
    <s v="BLU-RAY"/>
    <n v="101179"/>
    <s v="AB102072"/>
    <x v="9"/>
    <n v="701816"/>
  </r>
  <r>
    <n v="10284"/>
    <n v="7"/>
    <d v="2013-07-13T00:00:00"/>
    <s v="BLU-RAY"/>
    <n v="101179"/>
    <s v="AB102073"/>
    <x v="14"/>
    <n v="701816"/>
  </r>
  <r>
    <n v="10159"/>
    <n v="1"/>
    <d v="2013-07-13T00:00:00"/>
    <s v="DVD"/>
    <n v="101179"/>
    <s v="AB102074"/>
    <x v="10"/>
    <n v="701816"/>
  </r>
  <r>
    <n v="10024"/>
    <n v="3"/>
    <d v="2013-07-13T00:00:00"/>
    <s v="BLU-RAY"/>
    <n v="101180"/>
    <s v="AB102075"/>
    <x v="9"/>
    <n v="412544"/>
  </r>
  <r>
    <n v="10290"/>
    <n v="4"/>
    <d v="2013-07-13T00:00:00"/>
    <s v="BLU-RAY"/>
    <n v="101181"/>
    <s v="AB102076"/>
    <x v="2"/>
    <n v="756769"/>
  </r>
  <r>
    <n v="10194"/>
    <n v="9"/>
    <d v="2013-07-14T00:00:00"/>
    <s v="DVD"/>
    <n v="101182"/>
    <s v="AB102077"/>
    <x v="16"/>
    <n v="619910"/>
  </r>
  <r>
    <n v="10150"/>
    <n v="1"/>
    <d v="2013-07-14T00:00:00"/>
    <s v="BLU-RAY"/>
    <n v="101182"/>
    <s v="AB102078"/>
    <x v="14"/>
    <n v="619910"/>
  </r>
  <r>
    <n v="10234"/>
    <n v="6"/>
    <d v="2013-07-15T00:00:00"/>
    <s v="DVD"/>
    <n v="101183"/>
    <s v="AB102079"/>
    <x v="0"/>
    <n v="958321"/>
  </r>
  <r>
    <n v="10027"/>
    <n v="9"/>
    <d v="2013-07-14T00:00:00"/>
    <s v="DVD"/>
    <n v="101183"/>
    <s v="AB102080"/>
    <x v="16"/>
    <n v="958321"/>
  </r>
  <r>
    <n v="10199"/>
    <n v="5"/>
    <d v="2013-07-14T00:00:00"/>
    <s v="BLU-RAY"/>
    <n v="101184"/>
    <s v="AB102081"/>
    <x v="10"/>
    <n v="808177"/>
  </r>
  <r>
    <n v="10218"/>
    <n v="5"/>
    <d v="2013-07-14T00:00:00"/>
    <s v="BLU-RAY"/>
    <n v="101185"/>
    <s v="AB102082"/>
    <x v="4"/>
    <n v="561305"/>
  </r>
  <r>
    <n v="10271"/>
    <n v="8"/>
    <d v="2013-07-14T00:00:00"/>
    <s v="DVD"/>
    <n v="101185"/>
    <s v="AB102083"/>
    <x v="7"/>
    <n v="561305"/>
  </r>
  <r>
    <n v="10129"/>
    <n v="7"/>
    <d v="2013-07-14T00:00:00"/>
    <s v="DVD"/>
    <n v="101185"/>
    <s v="AB102084"/>
    <x v="0"/>
    <n v="561305"/>
  </r>
  <r>
    <n v="10273"/>
    <n v="2"/>
    <d v="2013-07-15T00:00:00"/>
    <s v="BLU-RAY"/>
    <n v="101186"/>
    <s v="AB102085"/>
    <x v="4"/>
    <n v="745543"/>
  </r>
  <r>
    <n v="10256"/>
    <n v="2"/>
    <d v="2013-07-14T00:00:00"/>
    <s v="DVD"/>
    <n v="101186"/>
    <s v="AB102086"/>
    <x v="9"/>
    <n v="745543"/>
  </r>
  <r>
    <n v="10023"/>
    <n v="2"/>
    <d v="2013-07-14T00:00:00"/>
    <s v="DVD"/>
    <n v="101187"/>
    <s v="AB102087"/>
    <x v="3"/>
    <n v="183797"/>
  </r>
  <r>
    <n v="10065"/>
    <n v="1"/>
    <d v="2013-07-15T00:00:00"/>
    <s v="DVD"/>
    <n v="101188"/>
    <s v="AB102088"/>
    <x v="0"/>
    <n v="471187"/>
  </r>
  <r>
    <n v="10039"/>
    <n v="10"/>
    <d v="2013-07-15T00:00:00"/>
    <s v="BLU-RAY"/>
    <n v="101189"/>
    <s v="AB102089"/>
    <x v="11"/>
    <n v="305005"/>
  </r>
  <r>
    <n v="10002"/>
    <n v="3"/>
    <d v="2013-07-14T00:00:00"/>
    <s v="BLU-RAY"/>
    <n v="101189"/>
    <s v="AB102090"/>
    <x v="10"/>
    <n v="305005"/>
  </r>
  <r>
    <n v="10296"/>
    <n v="8"/>
    <d v="2013-07-15T00:00:00"/>
    <s v="DVD"/>
    <n v="101189"/>
    <s v="AB102091"/>
    <x v="21"/>
    <n v="305005"/>
  </r>
  <r>
    <n v="10166"/>
    <n v="8"/>
    <d v="2013-07-14T00:00:00"/>
    <s v="BLU-RAY"/>
    <n v="101189"/>
    <s v="AB102092"/>
    <x v="9"/>
    <n v="305005"/>
  </r>
  <r>
    <n v="10272"/>
    <n v="4"/>
    <d v="2013-07-14T00:00:00"/>
    <s v="BLU-RAY"/>
    <n v="101190"/>
    <s v="AB102093"/>
    <x v="4"/>
    <n v="207846"/>
  </r>
  <r>
    <n v="10115"/>
    <n v="7"/>
    <d v="2013-07-15T00:00:00"/>
    <s v="DVD"/>
    <n v="101191"/>
    <s v="AB102094"/>
    <x v="11"/>
    <n v="484909"/>
  </r>
  <r>
    <n v="10110"/>
    <n v="2"/>
    <d v="2013-07-16T00:00:00"/>
    <s v="DVD"/>
    <n v="101191"/>
    <s v="AB102095"/>
    <x v="0"/>
    <n v="484909"/>
  </r>
  <r>
    <n v="10118"/>
    <n v="10"/>
    <d v="2013-07-15T00:00:00"/>
    <s v="DVD"/>
    <n v="101192"/>
    <s v="AB102096"/>
    <x v="3"/>
    <n v="888759"/>
  </r>
  <r>
    <n v="10121"/>
    <n v="6"/>
    <d v="2013-07-16T00:00:00"/>
    <s v="BLU-RAY"/>
    <n v="101193"/>
    <s v="AB102097"/>
    <x v="2"/>
    <n v="128131"/>
  </r>
  <r>
    <n v="10289"/>
    <n v="3"/>
    <d v="2013-07-15T00:00:00"/>
    <s v="BLU-RAY"/>
    <n v="101193"/>
    <s v="AB102098"/>
    <x v="11"/>
    <n v="128131"/>
  </r>
  <r>
    <n v="10065"/>
    <n v="8"/>
    <d v="2013-07-15T00:00:00"/>
    <s v="DVD"/>
    <n v="101193"/>
    <s v="AB102099"/>
    <x v="0"/>
    <n v="128131"/>
  </r>
  <r>
    <n v="10165"/>
    <n v="10"/>
    <d v="2013-07-15T00:00:00"/>
    <s v="DVD"/>
    <n v="101194"/>
    <s v="AB102100"/>
    <x v="2"/>
    <n v="244282"/>
  </r>
  <r>
    <n v="10228"/>
    <n v="9"/>
    <d v="2013-07-16T00:00:00"/>
    <s v="DVD"/>
    <n v="101195"/>
    <s v="AB102101"/>
    <x v="7"/>
    <n v="433442"/>
  </r>
  <r>
    <n v="10086"/>
    <n v="2"/>
    <d v="2013-07-16T00:00:00"/>
    <s v="DVD"/>
    <n v="101195"/>
    <s v="AB102102"/>
    <x v="3"/>
    <n v="433442"/>
  </r>
  <r>
    <n v="10286"/>
    <n v="6"/>
    <d v="2013-07-15T00:00:00"/>
    <s v="DVD"/>
    <n v="101195"/>
    <s v="AB102103"/>
    <x v="17"/>
    <n v="433442"/>
  </r>
  <r>
    <n v="10115"/>
    <n v="6"/>
    <d v="2013-07-15T00:00:00"/>
    <s v="DVD"/>
    <n v="101196"/>
    <s v="AB102104"/>
    <x v="11"/>
    <n v="347659"/>
  </r>
  <r>
    <n v="10120"/>
    <n v="8"/>
    <d v="2013-07-15T00:00:00"/>
    <s v="BLU-RAY"/>
    <n v="101197"/>
    <s v="AB102105"/>
    <x v="14"/>
    <n v="710047"/>
  </r>
  <r>
    <n v="10035"/>
    <n v="8"/>
    <d v="2013-07-15T00:00:00"/>
    <s v="BLU-RAY"/>
    <n v="101197"/>
    <s v="AB102106"/>
    <x v="4"/>
    <n v="710047"/>
  </r>
  <r>
    <n v="10046"/>
    <n v="1"/>
    <d v="2013-07-15T00:00:00"/>
    <s v="DVD"/>
    <n v="101197"/>
    <s v="AB102107"/>
    <x v="4"/>
    <n v="710047"/>
  </r>
  <r>
    <n v="10025"/>
    <n v="10"/>
    <d v="2013-07-15T00:00:00"/>
    <s v="BLU-RAY"/>
    <n v="101198"/>
    <s v="AB102108"/>
    <x v="4"/>
    <n v="317461"/>
  </r>
  <r>
    <n v="10042"/>
    <n v="7"/>
    <d v="2013-07-15T00:00:00"/>
    <s v="DVD"/>
    <n v="101199"/>
    <s v="AB102109"/>
    <x v="1"/>
    <n v="157695"/>
  </r>
  <r>
    <n v="10273"/>
    <n v="7"/>
    <d v="2013-07-15T00:00:00"/>
    <s v="DVD"/>
    <n v="101200"/>
    <s v="AB102110"/>
    <x v="4"/>
    <n v="918682"/>
  </r>
  <r>
    <n v="10268"/>
    <n v="1"/>
    <d v="2013-07-15T00:00:00"/>
    <s v="BLU-RAY"/>
    <n v="101201"/>
    <s v="AB102111"/>
    <x v="3"/>
    <n v="266633"/>
  </r>
  <r>
    <n v="10136"/>
    <n v="2"/>
    <d v="2013-07-16T00:00:00"/>
    <s v="DVD"/>
    <n v="101201"/>
    <s v="AB102112"/>
    <x v="2"/>
    <n v="266633"/>
  </r>
  <r>
    <n v="10051"/>
    <n v="6"/>
    <d v="2013-07-16T00:00:00"/>
    <s v="BLU-RAY"/>
    <n v="101202"/>
    <s v="AB102113"/>
    <x v="1"/>
    <n v="425051"/>
  </r>
  <r>
    <n v="10221"/>
    <n v="4"/>
    <d v="2013-07-16T00:00:00"/>
    <s v="BLU-RAY"/>
    <n v="101202"/>
    <s v="AB102114"/>
    <x v="9"/>
    <n v="425051"/>
  </r>
  <r>
    <n v="10120"/>
    <n v="4"/>
    <d v="2013-07-16T00:00:00"/>
    <s v="BLU-RAY"/>
    <n v="101202"/>
    <s v="AB102115"/>
    <x v="14"/>
    <n v="425051"/>
  </r>
  <r>
    <n v="10036"/>
    <n v="4"/>
    <d v="2013-07-16T00:00:00"/>
    <s v="DVD"/>
    <n v="101203"/>
    <s v="AB102116"/>
    <x v="7"/>
    <n v="297686"/>
  </r>
  <r>
    <n v="10214"/>
    <n v="4"/>
    <d v="2013-07-16T00:00:00"/>
    <s v="DVD"/>
    <n v="101204"/>
    <s v="AB102117"/>
    <x v="13"/>
    <n v="994056"/>
  </r>
  <r>
    <n v="10101"/>
    <n v="8"/>
    <d v="2013-07-16T00:00:00"/>
    <s v="DVD"/>
    <n v="101204"/>
    <s v="AB102118"/>
    <x v="4"/>
    <n v="994056"/>
  </r>
  <r>
    <n v="10177"/>
    <n v="7"/>
    <d v="2013-07-17T00:00:00"/>
    <s v="DVD"/>
    <n v="101205"/>
    <s v="AB102119"/>
    <x v="9"/>
    <n v="421074"/>
  </r>
  <r>
    <n v="10174"/>
    <n v="1"/>
    <d v="2013-07-16T00:00:00"/>
    <s v="BLU-RAY"/>
    <n v="101206"/>
    <s v="AB102120"/>
    <x v="7"/>
    <n v="396166"/>
  </r>
  <r>
    <n v="10178"/>
    <n v="4"/>
    <d v="2013-07-16T00:00:00"/>
    <s v="DVD"/>
    <n v="101206"/>
    <s v="AB102121"/>
    <x v="0"/>
    <n v="396166"/>
  </r>
  <r>
    <n v="10158"/>
    <n v="3"/>
    <d v="2013-07-16T00:00:00"/>
    <s v="DVD"/>
    <n v="101206"/>
    <s v="AB102122"/>
    <x v="0"/>
    <n v="396166"/>
  </r>
  <r>
    <n v="10131"/>
    <n v="9"/>
    <d v="2013-07-16T00:00:00"/>
    <s v="BLU-RAY"/>
    <n v="101207"/>
    <s v="AB102123"/>
    <x v="0"/>
    <n v="900440"/>
  </r>
  <r>
    <n v="10279"/>
    <n v="5"/>
    <d v="2013-07-17T00:00:00"/>
    <s v="BLU-RAY"/>
    <n v="101207"/>
    <s v="AB102124"/>
    <x v="8"/>
    <n v="900440"/>
  </r>
  <r>
    <n v="10289"/>
    <n v="3"/>
    <d v="2013-07-16T00:00:00"/>
    <s v="DVD"/>
    <n v="101208"/>
    <s v="AB102125"/>
    <x v="11"/>
    <n v="862302"/>
  </r>
  <r>
    <n v="10019"/>
    <n v="7"/>
    <d v="2013-07-16T00:00:00"/>
    <s v="BLU-RAY"/>
    <n v="101208"/>
    <s v="AB102126"/>
    <x v="9"/>
    <n v="862302"/>
  </r>
  <r>
    <n v="10173"/>
    <n v="6"/>
    <d v="2013-07-16T00:00:00"/>
    <s v="BLU-RAY"/>
    <n v="101209"/>
    <s v="AB102127"/>
    <x v="4"/>
    <n v="720602"/>
  </r>
  <r>
    <n v="10237"/>
    <n v="2"/>
    <d v="2013-07-16T00:00:00"/>
    <s v="BLU-RAY"/>
    <n v="101209"/>
    <s v="AB102128"/>
    <x v="0"/>
    <n v="720602"/>
  </r>
  <r>
    <n v="10050"/>
    <n v="10"/>
    <d v="2013-07-16T00:00:00"/>
    <s v="BLU-RAY"/>
    <n v="101210"/>
    <s v="AB102129"/>
    <x v="1"/>
    <n v="498970"/>
  </r>
  <r>
    <n v="10284"/>
    <n v="5"/>
    <d v="2013-07-16T00:00:00"/>
    <s v="DVD"/>
    <n v="101211"/>
    <s v="AB102130"/>
    <x v="14"/>
    <n v="175871"/>
  </r>
  <r>
    <n v="10190"/>
    <n v="4"/>
    <d v="2013-07-18T00:00:00"/>
    <s v="DVD"/>
    <n v="101211"/>
    <s v="AB102131"/>
    <x v="10"/>
    <n v="175871"/>
  </r>
  <r>
    <n v="10123"/>
    <n v="7"/>
    <d v="2013-07-18T00:00:00"/>
    <s v="BLU-RAY"/>
    <n v="101212"/>
    <s v="AB102132"/>
    <x v="9"/>
    <n v="757780"/>
  </r>
  <r>
    <n v="10147"/>
    <n v="8"/>
    <d v="2013-07-17T00:00:00"/>
    <s v="DVD"/>
    <n v="101212"/>
    <s v="AB102133"/>
    <x v="10"/>
    <n v="757780"/>
  </r>
  <r>
    <n v="10100"/>
    <n v="3"/>
    <d v="2013-07-17T00:00:00"/>
    <s v="DVD"/>
    <n v="101212"/>
    <s v="AB102134"/>
    <x v="9"/>
    <n v="757780"/>
  </r>
  <r>
    <n v="10072"/>
    <n v="4"/>
    <d v="2013-07-17T00:00:00"/>
    <s v="BLU-RAY"/>
    <n v="101212"/>
    <s v="AB102135"/>
    <x v="1"/>
    <n v="757780"/>
  </r>
  <r>
    <n v="10246"/>
    <n v="3"/>
    <d v="2013-07-18T00:00:00"/>
    <s v="DVD"/>
    <n v="101213"/>
    <s v="AB102136"/>
    <x v="2"/>
    <n v="745543"/>
  </r>
  <r>
    <n v="10283"/>
    <n v="8"/>
    <d v="2013-07-18T00:00:00"/>
    <s v="DVD"/>
    <n v="101213"/>
    <s v="AB102137"/>
    <x v="6"/>
    <n v="745543"/>
  </r>
  <r>
    <n v="10105"/>
    <n v="7"/>
    <d v="2013-07-18T00:00:00"/>
    <s v="DVD"/>
    <n v="101214"/>
    <s v="AB102138"/>
    <x v="2"/>
    <n v="427391"/>
  </r>
  <r>
    <n v="10252"/>
    <n v="4"/>
    <d v="2013-07-17T00:00:00"/>
    <s v="BLU-RAY"/>
    <n v="101215"/>
    <s v="AB102139"/>
    <x v="0"/>
    <n v="605188"/>
  </r>
  <r>
    <n v="10299"/>
    <n v="1"/>
    <d v="2013-07-17T00:00:00"/>
    <s v="DVD"/>
    <n v="101216"/>
    <s v="AB102140"/>
    <x v="22"/>
    <n v="253106"/>
  </r>
  <r>
    <n v="10052"/>
    <n v="2"/>
    <d v="2013-07-17T00:00:00"/>
    <s v="DVD"/>
    <n v="101216"/>
    <s v="AB102141"/>
    <x v="0"/>
    <n v="253106"/>
  </r>
  <r>
    <n v="10137"/>
    <n v="9"/>
    <d v="2013-07-17T00:00:00"/>
    <s v="DVD"/>
    <n v="101217"/>
    <s v="AB102142"/>
    <x v="3"/>
    <n v="575903"/>
  </r>
  <r>
    <n v="10010"/>
    <n v="9"/>
    <d v="2013-07-17T00:00:00"/>
    <s v="DVD"/>
    <n v="101218"/>
    <s v="AB102143"/>
    <x v="3"/>
    <n v="933331"/>
  </r>
  <r>
    <n v="10126"/>
    <n v="5"/>
    <d v="2013-07-17T00:00:00"/>
    <s v="BLU-RAY"/>
    <n v="101219"/>
    <s v="AB102144"/>
    <x v="9"/>
    <n v="627324"/>
  </r>
  <r>
    <n v="10060"/>
    <n v="3"/>
    <d v="2013-07-17T00:00:00"/>
    <s v="DVD"/>
    <n v="101219"/>
    <s v="AB102145"/>
    <x v="0"/>
    <n v="627324"/>
  </r>
  <r>
    <n v="10203"/>
    <n v="3"/>
    <d v="2013-07-17T00:00:00"/>
    <s v="BLU-RAY"/>
    <n v="101219"/>
    <s v="AB102146"/>
    <x v="3"/>
    <n v="627324"/>
  </r>
  <r>
    <n v="10140"/>
    <n v="8"/>
    <d v="2013-07-18T00:00:00"/>
    <s v="DVD"/>
    <n v="101220"/>
    <s v="AB102147"/>
    <x v="2"/>
    <n v="229742"/>
  </r>
  <r>
    <n v="10101"/>
    <n v="5"/>
    <d v="2013-07-18T00:00:00"/>
    <s v="BLU-RAY"/>
    <n v="101221"/>
    <s v="AB102148"/>
    <x v="4"/>
    <n v="498970"/>
  </r>
  <r>
    <n v="10184"/>
    <n v="10"/>
    <d v="2013-07-17T00:00:00"/>
    <s v="DVD"/>
    <n v="101221"/>
    <s v="AB102149"/>
    <x v="7"/>
    <n v="498970"/>
  </r>
  <r>
    <n v="10090"/>
    <n v="8"/>
    <d v="2013-07-17T00:00:00"/>
    <s v="DVD"/>
    <n v="101221"/>
    <s v="AB102150"/>
    <x v="1"/>
    <n v="498970"/>
  </r>
  <r>
    <n v="10230"/>
    <n v="4"/>
    <d v="2013-07-17T00:00:00"/>
    <s v="BLU-RAY"/>
    <n v="101222"/>
    <s v="AB102151"/>
    <x v="14"/>
    <n v="422951"/>
  </r>
  <r>
    <n v="10041"/>
    <n v="4"/>
    <d v="2013-07-17T00:00:00"/>
    <s v="DVD"/>
    <n v="101223"/>
    <s v="AB102152"/>
    <x v="10"/>
    <n v="289693"/>
  </r>
  <r>
    <n v="10025"/>
    <n v="10"/>
    <d v="2013-07-17T00:00:00"/>
    <s v="BLU-RAY"/>
    <n v="101223"/>
    <s v="AB102153"/>
    <x v="4"/>
    <n v="289693"/>
  </r>
  <r>
    <n v="10115"/>
    <n v="3"/>
    <d v="2013-07-18T00:00:00"/>
    <s v="DVD"/>
    <n v="101223"/>
    <s v="AB102154"/>
    <x v="11"/>
    <n v="289693"/>
  </r>
  <r>
    <n v="10207"/>
    <n v="5"/>
    <d v="2013-07-18T00:00:00"/>
    <s v="DVD"/>
    <n v="101224"/>
    <s v="AB102155"/>
    <x v="1"/>
    <n v="885548"/>
  </r>
  <r>
    <n v="10078"/>
    <n v="3"/>
    <d v="2013-07-18T00:00:00"/>
    <s v="BLU-RAY"/>
    <n v="101224"/>
    <s v="AB102156"/>
    <x v="1"/>
    <n v="885548"/>
  </r>
  <r>
    <n v="10035"/>
    <n v="10"/>
    <d v="2013-07-18T00:00:00"/>
    <s v="BLU-RAY"/>
    <n v="101225"/>
    <s v="AB102157"/>
    <x v="4"/>
    <n v="814512"/>
  </r>
  <r>
    <n v="10246"/>
    <n v="3"/>
    <d v="2013-07-19T00:00:00"/>
    <s v="BLU-RAY"/>
    <n v="101226"/>
    <s v="AB102158"/>
    <x v="2"/>
    <n v="808869"/>
  </r>
  <r>
    <n v="10124"/>
    <n v="3"/>
    <d v="2013-07-18T00:00:00"/>
    <s v="DVD"/>
    <n v="101227"/>
    <s v="AB102159"/>
    <x v="1"/>
    <n v="420981"/>
  </r>
  <r>
    <n v="10270"/>
    <n v="10"/>
    <d v="2013-07-18T00:00:00"/>
    <s v="DVD"/>
    <n v="101228"/>
    <s v="AB102160"/>
    <x v="9"/>
    <n v="422592"/>
  </r>
  <r>
    <n v="10299"/>
    <n v="4"/>
    <d v="2013-07-18T00:00:00"/>
    <s v="BLU-RAY"/>
    <n v="101228"/>
    <s v="AB102161"/>
    <x v="22"/>
    <n v="422592"/>
  </r>
  <r>
    <n v="10203"/>
    <n v="3"/>
    <d v="2013-07-18T00:00:00"/>
    <s v="BLU-RAY"/>
    <n v="101229"/>
    <s v="AB102162"/>
    <x v="3"/>
    <n v="249779"/>
  </r>
  <r>
    <n v="10066"/>
    <n v="7"/>
    <d v="2013-07-18T00:00:00"/>
    <s v="DVD"/>
    <n v="101229"/>
    <s v="AB102163"/>
    <x v="3"/>
    <n v="249779"/>
  </r>
  <r>
    <n v="10126"/>
    <n v="3"/>
    <d v="2013-07-18T00:00:00"/>
    <s v="DVD"/>
    <n v="101229"/>
    <s v="AB102164"/>
    <x v="9"/>
    <n v="249779"/>
  </r>
  <r>
    <n v="10097"/>
    <n v="2"/>
    <d v="2013-07-19T00:00:00"/>
    <s v="DVD"/>
    <n v="101230"/>
    <s v="AB102165"/>
    <x v="8"/>
    <n v="719921"/>
  </r>
  <r>
    <n v="10168"/>
    <n v="2"/>
    <d v="2013-07-18T00:00:00"/>
    <s v="BLU-RAY"/>
    <n v="101230"/>
    <s v="AB102166"/>
    <x v="1"/>
    <n v="719921"/>
  </r>
  <r>
    <n v="10274"/>
    <n v="10"/>
    <d v="2013-07-19T00:00:00"/>
    <s v="DVD"/>
    <n v="101230"/>
    <s v="AB102167"/>
    <x v="9"/>
    <n v="719921"/>
  </r>
  <r>
    <n v="10223"/>
    <n v="8"/>
    <d v="2013-07-18T00:00:00"/>
    <s v="DVD"/>
    <n v="101231"/>
    <s v="AB102168"/>
    <x v="7"/>
    <n v="608290"/>
  </r>
  <r>
    <n v="10082"/>
    <n v="2"/>
    <d v="2013-07-18T00:00:00"/>
    <s v="DVD"/>
    <n v="101231"/>
    <s v="AB102169"/>
    <x v="3"/>
    <n v="608290"/>
  </r>
  <r>
    <n v="10033"/>
    <n v="7"/>
    <d v="2013-07-18T00:00:00"/>
    <s v="DVD"/>
    <n v="101232"/>
    <s v="AB102170"/>
    <x v="10"/>
    <n v="498970"/>
  </r>
  <r>
    <n v="10079"/>
    <n v="2"/>
    <d v="2013-07-18T00:00:00"/>
    <s v="DVD"/>
    <n v="101232"/>
    <s v="AB102171"/>
    <x v="0"/>
    <n v="498970"/>
  </r>
  <r>
    <n v="10109"/>
    <n v="5"/>
    <d v="2013-07-18T00:00:00"/>
    <s v="DVD"/>
    <n v="101233"/>
    <s v="AB102172"/>
    <x v="0"/>
    <n v="559486"/>
  </r>
  <r>
    <n v="10166"/>
    <n v="7"/>
    <d v="2013-07-18T00:00:00"/>
    <s v="DVD"/>
    <n v="101233"/>
    <s v="AB102173"/>
    <x v="9"/>
    <n v="559486"/>
  </r>
  <r>
    <n v="10261"/>
    <n v="5"/>
    <d v="2013-07-19T00:00:00"/>
    <s v="DVD"/>
    <n v="101233"/>
    <s v="AB102174"/>
    <x v="9"/>
    <n v="559486"/>
  </r>
  <r>
    <n v="10217"/>
    <n v="10"/>
    <d v="2013-07-18T00:00:00"/>
    <s v="DVD"/>
    <n v="101234"/>
    <s v="AB102175"/>
    <x v="0"/>
    <n v="892883"/>
  </r>
  <r>
    <n v="10159"/>
    <n v="8"/>
    <d v="2013-07-19T00:00:00"/>
    <s v="DVD"/>
    <n v="101234"/>
    <s v="AB102176"/>
    <x v="10"/>
    <n v="892883"/>
  </r>
  <r>
    <n v="10072"/>
    <n v="9"/>
    <d v="2013-07-18T00:00:00"/>
    <s v="BLU-RAY"/>
    <n v="101234"/>
    <s v="AB102177"/>
    <x v="1"/>
    <n v="892883"/>
  </r>
  <r>
    <n v="10214"/>
    <n v="8"/>
    <d v="2013-07-18T00:00:00"/>
    <s v="DVD"/>
    <n v="101235"/>
    <s v="AB102178"/>
    <x v="13"/>
    <n v="672834"/>
  </r>
  <r>
    <n v="10101"/>
    <n v="8"/>
    <d v="2013-07-18T00:00:00"/>
    <s v="BLU-RAY"/>
    <n v="101235"/>
    <s v="AB102179"/>
    <x v="4"/>
    <n v="672834"/>
  </r>
  <r>
    <n v="10018"/>
    <n v="10"/>
    <d v="2013-07-19T00:00:00"/>
    <s v="DVD"/>
    <n v="101236"/>
    <s v="AB102180"/>
    <x v="9"/>
    <n v="520377"/>
  </r>
  <r>
    <n v="10250"/>
    <n v="4"/>
    <d v="2013-07-18T00:00:00"/>
    <s v="BLU-RAY"/>
    <n v="101236"/>
    <s v="AB102181"/>
    <x v="3"/>
    <n v="520377"/>
  </r>
  <r>
    <n v="10278"/>
    <n v="10"/>
    <d v="2013-07-18T00:00:00"/>
    <s v="BLU-RAY"/>
    <n v="101237"/>
    <s v="AB102182"/>
    <x v="7"/>
    <n v="663029"/>
  </r>
  <r>
    <n v="10068"/>
    <n v="4"/>
    <d v="2013-07-18T00:00:00"/>
    <s v="DVD"/>
    <n v="101237"/>
    <s v="AB102183"/>
    <x v="0"/>
    <n v="663029"/>
  </r>
  <r>
    <n v="10003"/>
    <n v="2"/>
    <d v="2013-07-18T00:00:00"/>
    <s v="BLU-RAY"/>
    <n v="101238"/>
    <s v="AB102184"/>
    <x v="1"/>
    <n v="890270"/>
  </r>
  <r>
    <n v="10237"/>
    <n v="9"/>
    <d v="2013-07-21T00:00:00"/>
    <s v="BLU-RAY"/>
    <n v="101239"/>
    <s v="AB102185"/>
    <x v="0"/>
    <n v="761615"/>
  </r>
  <r>
    <n v="10018"/>
    <n v="6"/>
    <d v="2013-07-19T00:00:00"/>
    <s v="BLU-RAY"/>
    <n v="101239"/>
    <s v="AB102186"/>
    <x v="9"/>
    <n v="761615"/>
  </r>
  <r>
    <n v="10155"/>
    <n v="4"/>
    <d v="2013-07-19T00:00:00"/>
    <s v="BLU-RAY"/>
    <n v="101240"/>
    <s v="AB102187"/>
    <x v="9"/>
    <n v="552124"/>
  </r>
  <r>
    <n v="10247"/>
    <n v="4"/>
    <d v="2013-07-19T00:00:00"/>
    <s v="DVD"/>
    <n v="101240"/>
    <s v="AB102188"/>
    <x v="9"/>
    <n v="552124"/>
  </r>
  <r>
    <n v="10144"/>
    <n v="3"/>
    <d v="2013-07-19T00:00:00"/>
    <s v="DVD"/>
    <n v="101241"/>
    <s v="AB102189"/>
    <x v="2"/>
    <n v="487346"/>
  </r>
  <r>
    <n v="10113"/>
    <n v="10"/>
    <d v="2013-07-19T00:00:00"/>
    <s v="BLU-RAY"/>
    <n v="101242"/>
    <s v="AB102190"/>
    <x v="10"/>
    <n v="470304"/>
  </r>
  <r>
    <n v="10210"/>
    <n v="3"/>
    <d v="2013-07-20T00:00:00"/>
    <s v="DVD"/>
    <n v="101243"/>
    <s v="AB102191"/>
    <x v="4"/>
    <n v="789065"/>
  </r>
  <r>
    <n v="10211"/>
    <n v="8"/>
    <d v="2013-07-19T00:00:00"/>
    <s v="BLU-RAY"/>
    <n v="101243"/>
    <s v="AB102192"/>
    <x v="3"/>
    <n v="789065"/>
  </r>
  <r>
    <n v="10270"/>
    <n v="9"/>
    <d v="2013-07-19T00:00:00"/>
    <s v="BLU-RAY"/>
    <n v="101244"/>
    <s v="AB102193"/>
    <x v="9"/>
    <n v="317807"/>
  </r>
  <r>
    <n v="10157"/>
    <n v="1"/>
    <d v="2013-07-19T00:00:00"/>
    <s v="DVD"/>
    <n v="101244"/>
    <s v="AB102194"/>
    <x v="1"/>
    <n v="317807"/>
  </r>
  <r>
    <n v="10129"/>
    <n v="5"/>
    <d v="2013-07-20T00:00:00"/>
    <s v="DVD"/>
    <n v="101245"/>
    <s v="AB102195"/>
    <x v="0"/>
    <n v="448993"/>
  </r>
  <r>
    <n v="10060"/>
    <n v="5"/>
    <d v="2013-07-21T00:00:00"/>
    <s v="DVD"/>
    <n v="101245"/>
    <s v="AB102196"/>
    <x v="0"/>
    <n v="448993"/>
  </r>
  <r>
    <n v="10241"/>
    <n v="4"/>
    <d v="2013-07-21T00:00:00"/>
    <s v="DVD"/>
    <n v="101246"/>
    <s v="AB102197"/>
    <x v="0"/>
    <n v="759995"/>
  </r>
  <r>
    <n v="10106"/>
    <n v="3"/>
    <d v="2013-07-20T00:00:00"/>
    <s v="DVD"/>
    <n v="101247"/>
    <s v="AB102198"/>
    <x v="9"/>
    <n v="905670"/>
  </r>
  <r>
    <n v="10041"/>
    <n v="9"/>
    <d v="2013-07-21T00:00:00"/>
    <s v="DVD"/>
    <n v="101248"/>
    <s v="AB102199"/>
    <x v="10"/>
    <n v="734514"/>
  </r>
  <r>
    <n v="10295"/>
    <n v="9"/>
    <d v="2013-07-20T00:00:00"/>
    <s v="DVD"/>
    <n v="101249"/>
    <s v="AB102200"/>
    <x v="21"/>
    <n v="265133"/>
  </r>
  <r>
    <n v="10154"/>
    <n v="9"/>
    <d v="2013-07-20T00:00:00"/>
    <s v="DVD"/>
    <n v="101249"/>
    <s v="AB102201"/>
    <x v="5"/>
    <n v="265133"/>
  </r>
  <r>
    <n v="10269"/>
    <n v="10"/>
    <d v="2013-07-21T00:00:00"/>
    <s v="BLU-RAY"/>
    <n v="101250"/>
    <s v="AB102202"/>
    <x v="3"/>
    <n v="191951"/>
  </r>
  <r>
    <n v="10229"/>
    <n v="3"/>
    <d v="2013-07-20T00:00:00"/>
    <s v="BLU-RAY"/>
    <n v="101250"/>
    <s v="AB102203"/>
    <x v="6"/>
    <n v="191951"/>
  </r>
  <r>
    <n v="10007"/>
    <n v="10"/>
    <d v="2013-07-20T00:00:00"/>
    <s v="DVD"/>
    <n v="101250"/>
    <s v="AB102204"/>
    <x v="4"/>
    <n v="191951"/>
  </r>
  <r>
    <n v="10179"/>
    <n v="8"/>
    <d v="2013-07-20T00:00:00"/>
    <s v="DVD"/>
    <n v="101251"/>
    <s v="AB102205"/>
    <x v="0"/>
    <n v="882493"/>
  </r>
  <r>
    <n v="10044"/>
    <n v="9"/>
    <d v="2013-07-21T00:00:00"/>
    <s v="DVD"/>
    <n v="101252"/>
    <s v="AB102206"/>
    <x v="3"/>
    <n v="610766"/>
  </r>
  <r>
    <n v="10081"/>
    <n v="6"/>
    <d v="2013-07-21T00:00:00"/>
    <s v="DVD"/>
    <n v="101252"/>
    <s v="AB102207"/>
    <x v="2"/>
    <n v="610766"/>
  </r>
  <r>
    <n v="10117"/>
    <n v="1"/>
    <d v="2013-07-20T00:00:00"/>
    <s v="DVD"/>
    <n v="101253"/>
    <s v="AB102208"/>
    <x v="4"/>
    <n v="702197"/>
  </r>
  <r>
    <n v="10068"/>
    <n v="8"/>
    <d v="2013-07-20T00:00:00"/>
    <s v="BLU-RAY"/>
    <n v="101254"/>
    <s v="AB102209"/>
    <x v="0"/>
    <n v="452874"/>
  </r>
  <r>
    <n v="10222"/>
    <n v="7"/>
    <d v="2013-07-21T00:00:00"/>
    <s v="DVD"/>
    <n v="101254"/>
    <s v="AB102210"/>
    <x v="4"/>
    <n v="452874"/>
  </r>
  <r>
    <n v="10117"/>
    <n v="5"/>
    <d v="2013-07-20T00:00:00"/>
    <s v="BLU-RAY"/>
    <n v="101255"/>
    <s v="AB102211"/>
    <x v="4"/>
    <n v="938393"/>
  </r>
  <r>
    <n v="10249"/>
    <n v="9"/>
    <d v="2013-07-20T00:00:00"/>
    <s v="DVD"/>
    <n v="101256"/>
    <s v="AB102212"/>
    <x v="5"/>
    <n v="548800"/>
  </r>
  <r>
    <n v="10021"/>
    <n v="1"/>
    <d v="2013-07-20T00:00:00"/>
    <s v="BLU-RAY"/>
    <n v="101256"/>
    <s v="AB102213"/>
    <x v="1"/>
    <n v="548800"/>
  </r>
  <r>
    <n v="10144"/>
    <n v="5"/>
    <d v="2013-07-20T00:00:00"/>
    <s v="BLU-RAY"/>
    <n v="101257"/>
    <s v="AB102214"/>
    <x v="2"/>
    <n v="791559"/>
  </r>
  <r>
    <n v="10105"/>
    <n v="10"/>
    <d v="2013-07-22T00:00:00"/>
    <s v="DVD"/>
    <n v="101258"/>
    <s v="AB102215"/>
    <x v="2"/>
    <n v="745543"/>
  </r>
  <r>
    <n v="10122"/>
    <n v="7"/>
    <d v="2013-07-21T00:00:00"/>
    <s v="BLU-RAY"/>
    <n v="101259"/>
    <s v="AB102216"/>
    <x v="12"/>
    <n v="622506"/>
  </r>
  <r>
    <n v="10128"/>
    <n v="2"/>
    <d v="2013-07-22T00:00:00"/>
    <s v="DVD"/>
    <n v="101259"/>
    <s v="AB102217"/>
    <x v="6"/>
    <n v="622506"/>
  </r>
  <r>
    <n v="10072"/>
    <n v="6"/>
    <d v="2013-07-21T00:00:00"/>
    <s v="BLU-RAY"/>
    <n v="101260"/>
    <s v="AB102218"/>
    <x v="1"/>
    <n v="757525"/>
  </r>
  <r>
    <n v="10006"/>
    <n v="3"/>
    <d v="2013-07-21T00:00:00"/>
    <s v="BLU-RAY"/>
    <n v="101261"/>
    <s v="AB102219"/>
    <x v="1"/>
    <n v="723057"/>
  </r>
  <r>
    <n v="10169"/>
    <n v="10"/>
    <d v="2013-07-23T00:00:00"/>
    <s v="BLU-RAY"/>
    <n v="101261"/>
    <s v="AB102220"/>
    <x v="0"/>
    <n v="723057"/>
  </r>
  <r>
    <n v="10200"/>
    <n v="10"/>
    <d v="2013-07-21T00:00:00"/>
    <s v="BLU-RAY"/>
    <n v="101261"/>
    <s v="AB102221"/>
    <x v="9"/>
    <n v="723057"/>
  </r>
  <r>
    <n v="10179"/>
    <n v="10"/>
    <d v="2013-07-21T00:00:00"/>
    <s v="DVD"/>
    <n v="101261"/>
    <s v="AB102222"/>
    <x v="0"/>
    <n v="723057"/>
  </r>
  <r>
    <n v="10047"/>
    <n v="3"/>
    <d v="2013-07-21T00:00:00"/>
    <s v="DVD"/>
    <n v="101261"/>
    <s v="AB102223"/>
    <x v="0"/>
    <n v="723057"/>
  </r>
  <r>
    <n v="10093"/>
    <n v="5"/>
    <d v="2013-07-21T00:00:00"/>
    <s v="DVD"/>
    <n v="101261"/>
    <s v="AB102224"/>
    <x v="11"/>
    <n v="723057"/>
  </r>
  <r>
    <n v="10296"/>
    <n v="10"/>
    <d v="2013-07-21T00:00:00"/>
    <s v="DVD"/>
    <n v="101261"/>
    <s v="AB102225"/>
    <x v="21"/>
    <n v="723057"/>
  </r>
  <r>
    <n v="10013"/>
    <n v="7"/>
    <d v="2013-07-21T00:00:00"/>
    <s v="BLU-RAY"/>
    <n v="101262"/>
    <s v="AB102226"/>
    <x v="11"/>
    <n v="520196"/>
  </r>
  <r>
    <n v="10151"/>
    <n v="3"/>
    <d v="2013-07-21T00:00:00"/>
    <s v="BLU-RAY"/>
    <n v="101263"/>
    <s v="AB102227"/>
    <x v="8"/>
    <n v="500733"/>
  </r>
  <r>
    <n v="10017"/>
    <n v="1"/>
    <d v="2013-07-23T00:00:00"/>
    <s v="DVD"/>
    <n v="101263"/>
    <s v="AB102228"/>
    <x v="4"/>
    <n v="500733"/>
  </r>
  <r>
    <n v="10025"/>
    <n v="10"/>
    <d v="2013-07-21T00:00:00"/>
    <s v="DVD"/>
    <n v="101264"/>
    <s v="AB102229"/>
    <x v="4"/>
    <n v="347659"/>
  </r>
  <r>
    <n v="10251"/>
    <n v="10"/>
    <d v="2013-07-21T00:00:00"/>
    <s v="DVD"/>
    <n v="101264"/>
    <s v="AB102230"/>
    <x v="7"/>
    <n v="347659"/>
  </r>
  <r>
    <n v="10036"/>
    <n v="2"/>
    <d v="2013-07-22T00:00:00"/>
    <s v="DVD"/>
    <n v="101264"/>
    <s v="AB102231"/>
    <x v="7"/>
    <n v="347659"/>
  </r>
  <r>
    <n v="10196"/>
    <n v="1"/>
    <d v="2013-07-21T00:00:00"/>
    <s v="DVD"/>
    <n v="101265"/>
    <s v="AB102232"/>
    <x v="9"/>
    <n v="158528"/>
  </r>
  <r>
    <n v="10066"/>
    <n v="8"/>
    <d v="2013-07-22T00:00:00"/>
    <s v="DVD"/>
    <n v="101266"/>
    <s v="AB102233"/>
    <x v="3"/>
    <n v="689877"/>
  </r>
  <r>
    <n v="10272"/>
    <n v="7"/>
    <d v="2013-07-21T00:00:00"/>
    <s v="BLU-RAY"/>
    <n v="101267"/>
    <s v="AB102234"/>
    <x v="4"/>
    <n v="550661"/>
  </r>
  <r>
    <n v="10153"/>
    <n v="9"/>
    <d v="2013-07-22T00:00:00"/>
    <s v="DVD"/>
    <n v="101268"/>
    <s v="AB102235"/>
    <x v="10"/>
    <n v="160392"/>
  </r>
  <r>
    <n v="10132"/>
    <n v="2"/>
    <d v="2013-07-22T00:00:00"/>
    <s v="BLU-RAY"/>
    <n v="101269"/>
    <s v="AB102236"/>
    <x v="10"/>
    <n v="304344"/>
  </r>
  <r>
    <n v="10049"/>
    <n v="5"/>
    <d v="2013-07-22T00:00:00"/>
    <s v="DVD"/>
    <n v="101270"/>
    <s v="AB102237"/>
    <x v="7"/>
    <n v="766737"/>
  </r>
  <r>
    <n v="10171"/>
    <n v="5"/>
    <d v="2013-07-22T00:00:00"/>
    <s v="BLU-RAY"/>
    <n v="101270"/>
    <s v="AB102238"/>
    <x v="7"/>
    <n v="766737"/>
  </r>
  <r>
    <n v="10061"/>
    <n v="10"/>
    <d v="2013-07-22T00:00:00"/>
    <s v="DVD"/>
    <n v="101271"/>
    <s v="AB102239"/>
    <x v="9"/>
    <n v="270853"/>
  </r>
  <r>
    <n v="10010"/>
    <n v="6"/>
    <d v="2013-07-24T00:00:00"/>
    <s v="DVD"/>
    <n v="101271"/>
    <s v="AB102240"/>
    <x v="3"/>
    <n v="270853"/>
  </r>
  <r>
    <n v="10278"/>
    <n v="4"/>
    <d v="2013-07-22T00:00:00"/>
    <s v="BLU-RAY"/>
    <n v="101272"/>
    <s v="AB102241"/>
    <x v="7"/>
    <n v="344702"/>
  </r>
  <r>
    <n v="10198"/>
    <n v="5"/>
    <d v="2013-07-22T00:00:00"/>
    <s v="DVD"/>
    <n v="101273"/>
    <s v="AB102242"/>
    <x v="9"/>
    <n v="932618"/>
  </r>
  <r>
    <n v="10098"/>
    <n v="1"/>
    <d v="2013-07-22T00:00:00"/>
    <s v="BLU-RAY"/>
    <n v="101273"/>
    <s v="AB102243"/>
    <x v="0"/>
    <n v="932618"/>
  </r>
  <r>
    <n v="10075"/>
    <n v="8"/>
    <d v="2013-07-23T00:00:00"/>
    <s v="BLU-RAY"/>
    <n v="101274"/>
    <s v="AB102244"/>
    <x v="17"/>
    <n v="897614"/>
  </r>
  <r>
    <n v="10208"/>
    <n v="2"/>
    <d v="2013-07-22T00:00:00"/>
    <s v="DVD"/>
    <n v="101275"/>
    <s v="AB102245"/>
    <x v="0"/>
    <n v="999915"/>
  </r>
  <r>
    <n v="10236"/>
    <n v="9"/>
    <d v="2013-07-23T00:00:00"/>
    <s v="BLU-RAY"/>
    <n v="101275"/>
    <s v="AB102246"/>
    <x v="10"/>
    <n v="999915"/>
  </r>
  <r>
    <n v="10045"/>
    <n v="10"/>
    <d v="2013-07-23T00:00:00"/>
    <s v="DVD"/>
    <n v="101275"/>
    <s v="AB102247"/>
    <x v="0"/>
    <n v="999915"/>
  </r>
  <r>
    <n v="10162"/>
    <n v="10"/>
    <d v="2013-07-22T00:00:00"/>
    <s v="BLU-RAY"/>
    <n v="101275"/>
    <s v="AB102248"/>
    <x v="4"/>
    <n v="999915"/>
  </r>
  <r>
    <n v="10151"/>
    <n v="9"/>
    <d v="2013-07-22T00:00:00"/>
    <s v="DVD"/>
    <n v="101275"/>
    <s v="AB102249"/>
    <x v="8"/>
    <n v="999915"/>
  </r>
  <r>
    <n v="10216"/>
    <n v="6"/>
    <d v="2013-07-22T00:00:00"/>
    <s v="DVD"/>
    <n v="101276"/>
    <s v="AB102250"/>
    <x v="4"/>
    <n v="305005"/>
  </r>
  <r>
    <n v="10241"/>
    <n v="3"/>
    <d v="2013-07-23T00:00:00"/>
    <s v="DVD"/>
    <n v="101276"/>
    <s v="AB102251"/>
    <x v="0"/>
    <n v="305005"/>
  </r>
  <r>
    <n v="10255"/>
    <n v="5"/>
    <d v="2013-07-22T00:00:00"/>
    <s v="DVD"/>
    <n v="101276"/>
    <s v="AB102252"/>
    <x v="1"/>
    <n v="305005"/>
  </r>
  <r>
    <n v="10295"/>
    <n v="9"/>
    <d v="2013-07-22T00:00:00"/>
    <s v="DVD"/>
    <n v="101277"/>
    <s v="AB102253"/>
    <x v="21"/>
    <n v="563468"/>
  </r>
  <r>
    <n v="10180"/>
    <n v="10"/>
    <d v="2013-07-22T00:00:00"/>
    <s v="DVD"/>
    <n v="101277"/>
    <s v="AB102254"/>
    <x v="12"/>
    <n v="563468"/>
  </r>
  <r>
    <n v="10133"/>
    <n v="9"/>
    <d v="2013-07-22T00:00:00"/>
    <s v="DVD"/>
    <n v="101277"/>
    <s v="AB102255"/>
    <x v="9"/>
    <n v="563468"/>
  </r>
  <r>
    <n v="10014"/>
    <n v="5"/>
    <d v="2013-07-22T00:00:00"/>
    <s v="DVD"/>
    <n v="101277"/>
    <s v="AB102256"/>
    <x v="0"/>
    <n v="563468"/>
  </r>
  <r>
    <n v="10000"/>
    <n v="5"/>
    <d v="2013-07-23T00:00:00"/>
    <s v="DVD"/>
    <n v="101278"/>
    <s v="AB102257"/>
    <x v="6"/>
    <n v="592592"/>
  </r>
  <r>
    <n v="10107"/>
    <n v="10"/>
    <d v="2013-07-23T00:00:00"/>
    <s v="DVD"/>
    <n v="101278"/>
    <s v="AB102258"/>
    <x v="7"/>
    <n v="592592"/>
  </r>
  <r>
    <n v="10043"/>
    <n v="3"/>
    <d v="2013-07-23T00:00:00"/>
    <s v="DVD"/>
    <n v="101278"/>
    <s v="AB102259"/>
    <x v="8"/>
    <n v="592592"/>
  </r>
  <r>
    <n v="10286"/>
    <n v="6"/>
    <d v="2013-07-23T00:00:00"/>
    <s v="DVD"/>
    <n v="101279"/>
    <s v="AB102260"/>
    <x v="17"/>
    <n v="520196"/>
  </r>
  <r>
    <n v="10033"/>
    <n v="7"/>
    <d v="2013-07-23T00:00:00"/>
    <s v="BLU-RAY"/>
    <n v="101280"/>
    <s v="AB102261"/>
    <x v="10"/>
    <n v="189441"/>
  </r>
  <r>
    <n v="10082"/>
    <n v="10"/>
    <d v="2013-07-23T00:00:00"/>
    <s v="DVD"/>
    <n v="101281"/>
    <s v="AB102262"/>
    <x v="3"/>
    <n v="955591"/>
  </r>
  <r>
    <n v="10227"/>
    <n v="3"/>
    <d v="2013-07-23T00:00:00"/>
    <s v="DVD"/>
    <n v="101281"/>
    <s v="AB102263"/>
    <x v="14"/>
    <n v="955591"/>
  </r>
  <r>
    <n v="10171"/>
    <n v="1"/>
    <d v="2013-07-24T00:00:00"/>
    <s v="DVD"/>
    <n v="101282"/>
    <s v="AB102264"/>
    <x v="7"/>
    <n v="575041"/>
  </r>
  <r>
    <n v="10197"/>
    <n v="3"/>
    <d v="2013-07-23T00:00:00"/>
    <s v="BLU-RAY"/>
    <n v="101283"/>
    <s v="AB102265"/>
    <x v="0"/>
    <n v="378374"/>
  </r>
  <r>
    <n v="10224"/>
    <n v="10"/>
    <d v="2013-07-23T00:00:00"/>
    <s v="DVD"/>
    <n v="101283"/>
    <s v="AB102266"/>
    <x v="17"/>
    <n v="378374"/>
  </r>
  <r>
    <n v="10036"/>
    <n v="5"/>
    <d v="2013-07-24T00:00:00"/>
    <s v="DVD"/>
    <n v="101284"/>
    <s v="AB102267"/>
    <x v="7"/>
    <n v="618955"/>
  </r>
  <r>
    <n v="10231"/>
    <n v="3"/>
    <d v="2013-07-24T00:00:00"/>
    <s v="DVD"/>
    <n v="101284"/>
    <s v="AB102268"/>
    <x v="7"/>
    <n v="618955"/>
  </r>
  <r>
    <n v="10057"/>
    <n v="6"/>
    <d v="2013-07-24T00:00:00"/>
    <s v="BLU-RAY"/>
    <n v="101285"/>
    <s v="AB102269"/>
    <x v="0"/>
    <n v="304344"/>
  </r>
  <r>
    <n v="10049"/>
    <n v="8"/>
    <d v="2013-07-23T00:00:00"/>
    <s v="DVD"/>
    <n v="101285"/>
    <s v="AB102270"/>
    <x v="7"/>
    <n v="304344"/>
  </r>
  <r>
    <n v="10104"/>
    <n v="7"/>
    <d v="2013-07-24T00:00:00"/>
    <s v="DVD"/>
    <n v="101286"/>
    <s v="AB102271"/>
    <x v="7"/>
    <n v="175940"/>
  </r>
  <r>
    <n v="10112"/>
    <n v="2"/>
    <d v="2013-07-24T00:00:00"/>
    <s v="BLU-RAY"/>
    <n v="101286"/>
    <s v="AB102272"/>
    <x v="12"/>
    <n v="175940"/>
  </r>
  <r>
    <n v="10163"/>
    <n v="2"/>
    <d v="2013-07-24T00:00:00"/>
    <s v="BLU-RAY"/>
    <n v="101287"/>
    <s v="AB102273"/>
    <x v="0"/>
    <n v="147216"/>
  </r>
  <r>
    <n v="10140"/>
    <n v="6"/>
    <d v="2013-07-24T00:00:00"/>
    <s v="BLU-RAY"/>
    <n v="101288"/>
    <s v="AB102274"/>
    <x v="2"/>
    <n v="777145"/>
  </r>
  <r>
    <n v="10187"/>
    <n v="3"/>
    <d v="2013-07-24T00:00:00"/>
    <s v="BLU-RAY"/>
    <n v="101288"/>
    <s v="AB102275"/>
    <x v="1"/>
    <n v="777145"/>
  </r>
  <r>
    <n v="10214"/>
    <n v="6"/>
    <d v="2013-07-24T00:00:00"/>
    <s v="DVD"/>
    <n v="101289"/>
    <s v="AB102276"/>
    <x v="13"/>
    <n v="524667"/>
  </r>
  <r>
    <n v="10059"/>
    <n v="8"/>
    <d v="2013-07-25T00:00:00"/>
    <s v="DVD"/>
    <n v="101290"/>
    <s v="AB102277"/>
    <x v="7"/>
    <n v="344702"/>
  </r>
  <r>
    <n v="10026"/>
    <n v="9"/>
    <d v="2013-07-24T00:00:00"/>
    <s v="DVD"/>
    <n v="101290"/>
    <s v="AB102278"/>
    <x v="9"/>
    <n v="344702"/>
  </r>
  <r>
    <n v="10053"/>
    <n v="2"/>
    <d v="2013-07-25T00:00:00"/>
    <s v="DVD"/>
    <n v="101291"/>
    <s v="AB102279"/>
    <x v="4"/>
    <n v="233813"/>
  </r>
  <r>
    <n v="10053"/>
    <n v="4"/>
    <d v="2013-07-24T00:00:00"/>
    <s v="DVD"/>
    <n v="101291"/>
    <s v="AB102280"/>
    <x v="4"/>
    <n v="233813"/>
  </r>
  <r>
    <n v="10183"/>
    <n v="7"/>
    <d v="2013-07-24T00:00:00"/>
    <s v="DVD"/>
    <n v="101292"/>
    <s v="AB102281"/>
    <x v="4"/>
    <n v="643305"/>
  </r>
  <r>
    <n v="10048"/>
    <n v="4"/>
    <d v="2013-07-24T00:00:00"/>
    <s v="BLU-RAY"/>
    <n v="101292"/>
    <s v="AB102282"/>
    <x v="12"/>
    <n v="643305"/>
  </r>
  <r>
    <n v="10262"/>
    <n v="9"/>
    <d v="2013-07-24T00:00:00"/>
    <s v="BLU-RAY"/>
    <n v="101292"/>
    <s v="AB102283"/>
    <x v="10"/>
    <n v="643305"/>
  </r>
  <r>
    <n v="10206"/>
    <n v="8"/>
    <d v="2013-07-25T00:00:00"/>
    <s v="DVD"/>
    <n v="101293"/>
    <s v="AB102284"/>
    <x v="9"/>
    <n v="586201"/>
  </r>
  <r>
    <n v="10247"/>
    <n v="8"/>
    <d v="2013-07-24T00:00:00"/>
    <s v="DVD"/>
    <n v="101293"/>
    <s v="AB102285"/>
    <x v="9"/>
    <n v="586201"/>
  </r>
  <r>
    <n v="10213"/>
    <n v="1"/>
    <d v="2013-07-24T00:00:00"/>
    <s v="BLU-RAY"/>
    <n v="101293"/>
    <s v="AB102286"/>
    <x v="4"/>
    <n v="586201"/>
  </r>
  <r>
    <n v="10192"/>
    <n v="6"/>
    <d v="2013-07-25T00:00:00"/>
    <s v="BLU-RAY"/>
    <n v="101294"/>
    <s v="AB102287"/>
    <x v="7"/>
    <n v="796796"/>
  </r>
  <r>
    <n v="10068"/>
    <n v="9"/>
    <d v="2013-07-26T00:00:00"/>
    <s v="DVD"/>
    <n v="101295"/>
    <s v="AB102288"/>
    <x v="0"/>
    <n v="296208"/>
  </r>
  <r>
    <n v="10285"/>
    <n v="5"/>
    <d v="2013-07-25T00:00:00"/>
    <s v="DVD"/>
    <n v="101296"/>
    <s v="AB102289"/>
    <x v="20"/>
    <n v="884368"/>
  </r>
  <r>
    <n v="10223"/>
    <n v="1"/>
    <d v="2013-07-25T00:00:00"/>
    <s v="DVD"/>
    <n v="101297"/>
    <s v="AB102290"/>
    <x v="7"/>
    <n v="890497"/>
  </r>
  <r>
    <n v="10112"/>
    <n v="10"/>
    <d v="2013-07-25T00:00:00"/>
    <s v="BLU-RAY"/>
    <n v="101297"/>
    <s v="AB102291"/>
    <x v="12"/>
    <n v="890497"/>
  </r>
  <r>
    <n v="10231"/>
    <n v="9"/>
    <d v="2013-07-25T00:00:00"/>
    <s v="BLU-RAY"/>
    <n v="101298"/>
    <s v="AB102292"/>
    <x v="7"/>
    <n v="992895"/>
  </r>
  <r>
    <n v="10213"/>
    <n v="2"/>
    <d v="2013-07-25T00:00:00"/>
    <s v="DVD"/>
    <n v="101299"/>
    <s v="AB102293"/>
    <x v="4"/>
    <n v="242720"/>
  </r>
  <r>
    <n v="10190"/>
    <n v="6"/>
    <d v="2013-07-26T00:00:00"/>
    <s v="DVD"/>
    <n v="101299"/>
    <s v="AB102294"/>
    <x v="10"/>
    <n v="242720"/>
  </r>
  <r>
    <n v="10167"/>
    <n v="10"/>
    <d v="2013-07-25T00:00:00"/>
    <s v="BLU-RAY"/>
    <n v="101300"/>
    <s v="AB102295"/>
    <x v="7"/>
    <n v="233956"/>
  </r>
  <r>
    <n v="10026"/>
    <n v="10"/>
    <d v="2013-07-25T00:00:00"/>
    <s v="BLU-RAY"/>
    <n v="101301"/>
    <s v="AB102296"/>
    <x v="9"/>
    <n v="204295"/>
  </r>
  <r>
    <n v="10072"/>
    <n v="2"/>
    <d v="2013-07-27T00:00:00"/>
    <s v="BLU-RAY"/>
    <n v="101301"/>
    <s v="AB102297"/>
    <x v="1"/>
    <n v="204295"/>
  </r>
  <r>
    <n v="10201"/>
    <n v="6"/>
    <d v="2013-07-25T00:00:00"/>
    <s v="BLU-RAY"/>
    <n v="101302"/>
    <s v="AB102298"/>
    <x v="8"/>
    <n v="480298"/>
  </r>
  <r>
    <n v="10082"/>
    <n v="1"/>
    <d v="2013-07-25T00:00:00"/>
    <s v="BLU-RAY"/>
    <n v="101303"/>
    <s v="AB102299"/>
    <x v="3"/>
    <n v="664411"/>
  </r>
  <r>
    <n v="10222"/>
    <n v="10"/>
    <d v="2013-07-25T00:00:00"/>
    <s v="DVD"/>
    <n v="101303"/>
    <s v="AB102300"/>
    <x v="4"/>
    <n v="664411"/>
  </r>
  <r>
    <n v="10289"/>
    <n v="3"/>
    <d v="2013-07-25T00:00:00"/>
    <s v="BLU-RAY"/>
    <n v="101304"/>
    <s v="AB102301"/>
    <x v="11"/>
    <n v="842028"/>
  </r>
  <r>
    <n v="10033"/>
    <n v="5"/>
    <d v="2013-07-25T00:00:00"/>
    <s v="BLU-RAY"/>
    <n v="101305"/>
    <s v="AB102302"/>
    <x v="10"/>
    <n v="317807"/>
  </r>
  <r>
    <n v="10155"/>
    <n v="6"/>
    <d v="2013-07-27T00:00:00"/>
    <s v="BLU-RAY"/>
    <n v="101306"/>
    <s v="AB102303"/>
    <x v="9"/>
    <n v="427391"/>
  </r>
  <r>
    <n v="10057"/>
    <n v="4"/>
    <d v="2013-07-26T00:00:00"/>
    <s v="DVD"/>
    <n v="101307"/>
    <s v="AB102304"/>
    <x v="0"/>
    <n v="723057"/>
  </r>
  <r>
    <n v="10097"/>
    <n v="1"/>
    <d v="2013-07-26T00:00:00"/>
    <s v="BLU-RAY"/>
    <n v="101308"/>
    <s v="AB102305"/>
    <x v="8"/>
    <n v="592726"/>
  </r>
  <r>
    <n v="10288"/>
    <n v="5"/>
    <d v="2013-07-26T00:00:00"/>
    <s v="DVD"/>
    <n v="101309"/>
    <s v="AB102306"/>
    <x v="12"/>
    <n v="719921"/>
  </r>
  <r>
    <n v="10174"/>
    <n v="4"/>
    <d v="2013-07-26T00:00:00"/>
    <s v="BLU-RAY"/>
    <n v="101310"/>
    <s v="AB102307"/>
    <x v="7"/>
    <n v="891738"/>
  </r>
  <r>
    <n v="10022"/>
    <n v="4"/>
    <d v="2013-07-27T00:00:00"/>
    <s v="DVD"/>
    <n v="101310"/>
    <s v="AB102308"/>
    <x v="7"/>
    <n v="891738"/>
  </r>
  <r>
    <n v="10295"/>
    <n v="10"/>
    <d v="2013-07-26T00:00:00"/>
    <s v="DVD"/>
    <n v="101311"/>
    <s v="AB102309"/>
    <x v="21"/>
    <n v="565259"/>
  </r>
  <r>
    <n v="10253"/>
    <n v="10"/>
    <d v="2013-07-27T00:00:00"/>
    <s v="DVD"/>
    <n v="101311"/>
    <s v="AB102310"/>
    <x v="3"/>
    <n v="565259"/>
  </r>
  <r>
    <n v="10246"/>
    <n v="8"/>
    <d v="2013-07-26T00:00:00"/>
    <s v="BLU-RAY"/>
    <n v="101312"/>
    <s v="AB102311"/>
    <x v="2"/>
    <n v="101811"/>
  </r>
  <r>
    <n v="10106"/>
    <n v="5"/>
    <d v="2013-07-26T00:00:00"/>
    <s v="BLU-RAY"/>
    <n v="101312"/>
    <s v="AB102312"/>
    <x v="9"/>
    <n v="101811"/>
  </r>
  <r>
    <n v="10222"/>
    <n v="3"/>
    <d v="2013-07-28T00:00:00"/>
    <s v="DVD"/>
    <n v="101313"/>
    <s v="AB102313"/>
    <x v="4"/>
    <n v="563468"/>
  </r>
  <r>
    <n v="10131"/>
    <n v="10"/>
    <d v="2013-07-27T00:00:00"/>
    <s v="BLU-RAY"/>
    <n v="101314"/>
    <s v="AB102314"/>
    <x v="0"/>
    <n v="161942"/>
  </r>
  <r>
    <n v="10006"/>
    <n v="9"/>
    <d v="2013-07-27T00:00:00"/>
    <s v="DVD"/>
    <n v="101314"/>
    <s v="AB102315"/>
    <x v="1"/>
    <n v="161942"/>
  </r>
  <r>
    <n v="10033"/>
    <n v="2"/>
    <d v="2013-07-26T00:00:00"/>
    <s v="DVD"/>
    <n v="101315"/>
    <s v="AB102316"/>
    <x v="10"/>
    <n v="302774"/>
  </r>
  <r>
    <n v="10182"/>
    <n v="4"/>
    <d v="2013-07-26T00:00:00"/>
    <s v="BLU-RAY"/>
    <n v="101316"/>
    <s v="AB102317"/>
    <x v="0"/>
    <n v="796796"/>
  </r>
  <r>
    <n v="10205"/>
    <n v="7"/>
    <d v="2013-07-27T00:00:00"/>
    <s v="DVD"/>
    <n v="101316"/>
    <s v="AB102318"/>
    <x v="1"/>
    <n v="796796"/>
  </r>
  <r>
    <n v="10202"/>
    <n v="10"/>
    <d v="2013-07-27T00:00:00"/>
    <s v="DVD"/>
    <n v="101316"/>
    <s v="AB102319"/>
    <x v="0"/>
    <n v="796796"/>
  </r>
  <r>
    <n v="10237"/>
    <n v="1"/>
    <d v="2013-07-27T00:00:00"/>
    <s v="DVD"/>
    <n v="101317"/>
    <s v="AB102320"/>
    <x v="0"/>
    <n v="317807"/>
  </r>
  <r>
    <n v="10236"/>
    <n v="1"/>
    <d v="2013-07-26T00:00:00"/>
    <s v="DVD"/>
    <n v="101317"/>
    <s v="AB102321"/>
    <x v="10"/>
    <n v="317807"/>
  </r>
  <r>
    <n v="10077"/>
    <n v="10"/>
    <d v="2013-07-27T00:00:00"/>
    <s v="BLU-RAY"/>
    <n v="101318"/>
    <s v="AB102322"/>
    <x v="0"/>
    <n v="627324"/>
  </r>
  <r>
    <n v="10232"/>
    <n v="2"/>
    <d v="2013-07-26T00:00:00"/>
    <s v="DVD"/>
    <n v="101319"/>
    <s v="AB102323"/>
    <x v="1"/>
    <n v="417823"/>
  </r>
  <r>
    <n v="10258"/>
    <n v="3"/>
    <d v="2013-07-26T00:00:00"/>
    <s v="BLU-RAY"/>
    <n v="101319"/>
    <s v="AB102324"/>
    <x v="0"/>
    <n v="417823"/>
  </r>
  <r>
    <n v="10278"/>
    <n v="10"/>
    <d v="2013-07-26T00:00:00"/>
    <s v="BLU-RAY"/>
    <n v="101320"/>
    <s v="AB102325"/>
    <x v="7"/>
    <n v="911171"/>
  </r>
  <r>
    <n v="10252"/>
    <n v="5"/>
    <d v="2013-07-27T00:00:00"/>
    <s v="DVD"/>
    <n v="101320"/>
    <s v="AB102326"/>
    <x v="0"/>
    <n v="911171"/>
  </r>
  <r>
    <n v="10221"/>
    <n v="2"/>
    <d v="2013-07-26T00:00:00"/>
    <s v="DVD"/>
    <n v="101321"/>
    <s v="AB102327"/>
    <x v="9"/>
    <n v="996970"/>
  </r>
  <r>
    <n v="10000"/>
    <n v="2"/>
    <d v="2013-07-27T00:00:00"/>
    <s v="DVD"/>
    <n v="101322"/>
    <s v="AB102328"/>
    <x v="6"/>
    <n v="433442"/>
  </r>
  <r>
    <n v="10216"/>
    <n v="9"/>
    <d v="2013-07-28T00:00:00"/>
    <s v="DVD"/>
    <n v="101322"/>
    <s v="AB102329"/>
    <x v="4"/>
    <n v="433442"/>
  </r>
  <r>
    <n v="10127"/>
    <n v="3"/>
    <d v="2013-07-28T00:00:00"/>
    <s v="DVD"/>
    <n v="101323"/>
    <s v="AB102330"/>
    <x v="6"/>
    <n v="676155"/>
  </r>
  <r>
    <n v="10003"/>
    <n v="10"/>
    <d v="2013-07-27T00:00:00"/>
    <s v="BLU-RAY"/>
    <n v="101324"/>
    <s v="AB102331"/>
    <x v="1"/>
    <n v="808421"/>
  </r>
  <r>
    <n v="10286"/>
    <n v="7"/>
    <d v="2013-07-27T00:00:00"/>
    <s v="BLU-RAY"/>
    <n v="101325"/>
    <s v="AB102332"/>
    <x v="17"/>
    <n v="795957"/>
  </r>
  <r>
    <n v="10042"/>
    <n v="7"/>
    <d v="2013-07-28T00:00:00"/>
    <s v="BLU-RAY"/>
    <n v="101326"/>
    <s v="AB102333"/>
    <x v="1"/>
    <n v="627324"/>
  </r>
  <r>
    <n v="10122"/>
    <n v="9"/>
    <d v="2013-07-27T00:00:00"/>
    <s v="BLU-RAY"/>
    <n v="101327"/>
    <s v="AB102334"/>
    <x v="12"/>
    <n v="524667"/>
  </r>
  <r>
    <n v="10125"/>
    <n v="5"/>
    <d v="2013-07-27T00:00:00"/>
    <s v="BLU-RAY"/>
    <n v="101327"/>
    <s v="AB102335"/>
    <x v="9"/>
    <n v="524667"/>
  </r>
  <r>
    <n v="10040"/>
    <n v="2"/>
    <d v="2013-07-27T00:00:00"/>
    <s v="BLU-RAY"/>
    <n v="101328"/>
    <s v="AB102336"/>
    <x v="7"/>
    <n v="413495"/>
  </r>
  <r>
    <n v="10037"/>
    <n v="5"/>
    <d v="2013-07-27T00:00:00"/>
    <s v="DVD"/>
    <n v="101328"/>
    <s v="AB102337"/>
    <x v="3"/>
    <n v="413495"/>
  </r>
  <r>
    <n v="10245"/>
    <n v="6"/>
    <d v="2013-07-27T00:00:00"/>
    <s v="DVD"/>
    <n v="101329"/>
    <s v="AB102338"/>
    <x v="0"/>
    <n v="970794"/>
  </r>
  <r>
    <n v="10168"/>
    <n v="2"/>
    <d v="2013-07-27T00:00:00"/>
    <s v="DVD"/>
    <n v="101329"/>
    <s v="AB102339"/>
    <x v="1"/>
    <n v="970794"/>
  </r>
  <r>
    <n v="10036"/>
    <n v="9"/>
    <d v="2013-07-29T00:00:00"/>
    <s v="DVD"/>
    <n v="101330"/>
    <s v="AB102340"/>
    <x v="7"/>
    <n v="433442"/>
  </r>
  <r>
    <n v="10148"/>
    <n v="1"/>
    <d v="2013-07-29T00:00:00"/>
    <s v="BLU-RAY"/>
    <n v="101330"/>
    <s v="AB102341"/>
    <x v="1"/>
    <n v="433442"/>
  </r>
  <r>
    <n v="10127"/>
    <n v="2"/>
    <d v="2013-07-27T00:00:00"/>
    <s v="BLU-RAY"/>
    <n v="101330"/>
    <s v="AB102342"/>
    <x v="6"/>
    <n v="433442"/>
  </r>
  <r>
    <n v="10270"/>
    <n v="9"/>
    <d v="2013-07-28T00:00:00"/>
    <s v="DVD"/>
    <n v="101331"/>
    <s v="AB102343"/>
    <x v="9"/>
    <n v="933331"/>
  </r>
  <r>
    <n v="10069"/>
    <n v="5"/>
    <d v="2013-07-27T00:00:00"/>
    <s v="BLU-RAY"/>
    <n v="101331"/>
    <s v="AB102344"/>
    <x v="0"/>
    <n v="933331"/>
  </r>
  <r>
    <n v="10181"/>
    <n v="2"/>
    <d v="2013-07-27T00:00:00"/>
    <s v="DVD"/>
    <n v="101332"/>
    <s v="AB102345"/>
    <x v="9"/>
    <n v="925565"/>
  </r>
  <r>
    <n v="10050"/>
    <n v="4"/>
    <d v="2013-07-27T00:00:00"/>
    <s v="DVD"/>
    <n v="101333"/>
    <s v="AB102346"/>
    <x v="1"/>
    <n v="233813"/>
  </r>
  <r>
    <n v="10228"/>
    <n v="4"/>
    <d v="2013-07-27T00:00:00"/>
    <s v="BLU-RAY"/>
    <n v="101333"/>
    <s v="AB102347"/>
    <x v="7"/>
    <n v="233813"/>
  </r>
  <r>
    <n v="10083"/>
    <n v="3"/>
    <d v="2013-07-28T00:00:00"/>
    <s v="BLU-RAY"/>
    <n v="101334"/>
    <s v="AB102348"/>
    <x v="3"/>
    <n v="233813"/>
  </r>
  <r>
    <n v="10154"/>
    <n v="1"/>
    <d v="2013-07-28T00:00:00"/>
    <s v="BLU-RAY"/>
    <n v="101334"/>
    <s v="AB102349"/>
    <x v="5"/>
    <n v="233813"/>
  </r>
  <r>
    <n v="10091"/>
    <n v="8"/>
    <d v="2013-07-28T00:00:00"/>
    <s v="DVD"/>
    <n v="101334"/>
    <s v="AB102350"/>
    <x v="0"/>
    <n v="233813"/>
  </r>
  <r>
    <n v="10294"/>
    <n v="8"/>
    <d v="2013-07-28T00:00:00"/>
    <s v="DVD"/>
    <n v="101334"/>
    <s v="AB102351"/>
    <x v="2"/>
    <n v="233813"/>
  </r>
  <r>
    <n v="10245"/>
    <n v="7"/>
    <d v="2013-07-29T00:00:00"/>
    <s v="BLU-RAY"/>
    <n v="101335"/>
    <s v="AB102352"/>
    <x v="0"/>
    <n v="575041"/>
  </r>
  <r>
    <n v="10175"/>
    <n v="6"/>
    <d v="2013-07-28T00:00:00"/>
    <s v="BLU-RAY"/>
    <n v="101335"/>
    <s v="AB102353"/>
    <x v="3"/>
    <n v="575041"/>
  </r>
  <r>
    <n v="10077"/>
    <n v="10"/>
    <d v="2013-07-29T00:00:00"/>
    <s v="DVD"/>
    <n v="101336"/>
    <s v="AB102354"/>
    <x v="0"/>
    <n v="197102"/>
  </r>
  <r>
    <n v="10125"/>
    <n v="1"/>
    <d v="2013-07-28T00:00:00"/>
    <s v="BLU-RAY"/>
    <n v="101337"/>
    <s v="AB102355"/>
    <x v="9"/>
    <n v="706884"/>
  </r>
  <r>
    <n v="10297"/>
    <n v="1"/>
    <d v="2013-07-30T00:00:00"/>
    <s v="BLU-RAY"/>
    <n v="101337"/>
    <s v="AB102356"/>
    <x v="14"/>
    <n v="706884"/>
  </r>
  <r>
    <n v="10244"/>
    <n v="1"/>
    <d v="2013-07-28T00:00:00"/>
    <s v="DVD"/>
    <n v="101338"/>
    <s v="AB102357"/>
    <x v="4"/>
    <n v="803700"/>
  </r>
  <r>
    <n v="10259"/>
    <n v="3"/>
    <d v="2013-07-29T00:00:00"/>
    <s v="BLU-RAY"/>
    <n v="101338"/>
    <s v="AB102358"/>
    <x v="0"/>
    <n v="803700"/>
  </r>
  <r>
    <n v="10280"/>
    <n v="10"/>
    <d v="2013-07-28T00:00:00"/>
    <s v="BLU-RAY"/>
    <n v="101339"/>
    <s v="AB102359"/>
    <x v="7"/>
    <n v="145929"/>
  </r>
  <r>
    <n v="10174"/>
    <n v="6"/>
    <d v="2013-07-28T00:00:00"/>
    <s v="BLU-RAY"/>
    <n v="101339"/>
    <s v="AB102360"/>
    <x v="7"/>
    <n v="145929"/>
  </r>
  <r>
    <n v="10161"/>
    <n v="2"/>
    <d v="2013-07-28T00:00:00"/>
    <s v="DVD"/>
    <n v="101340"/>
    <s v="AB102361"/>
    <x v="6"/>
    <n v="599995"/>
  </r>
  <r>
    <n v="10083"/>
    <n v="3"/>
    <d v="2013-07-28T00:00:00"/>
    <s v="BLU-RAY"/>
    <n v="101341"/>
    <s v="AB102362"/>
    <x v="3"/>
    <n v="315634"/>
  </r>
  <r>
    <n v="10188"/>
    <n v="10"/>
    <d v="2013-07-28T00:00:00"/>
    <s v="BLU-RAY"/>
    <n v="101341"/>
    <s v="AB102363"/>
    <x v="1"/>
    <n v="315634"/>
  </r>
  <r>
    <n v="10296"/>
    <n v="4"/>
    <d v="2013-07-28T00:00:00"/>
    <s v="DVD"/>
    <n v="101341"/>
    <s v="AB102364"/>
    <x v="21"/>
    <n v="315634"/>
  </r>
  <r>
    <n v="10205"/>
    <n v="10"/>
    <d v="2013-07-28T00:00:00"/>
    <s v="DVD"/>
    <n v="101342"/>
    <s v="AB102365"/>
    <x v="1"/>
    <n v="269687"/>
  </r>
  <r>
    <n v="10170"/>
    <n v="4"/>
    <d v="2013-07-29T00:00:00"/>
    <s v="BLU-RAY"/>
    <n v="101342"/>
    <s v="AB102366"/>
    <x v="15"/>
    <n v="269687"/>
  </r>
  <r>
    <n v="10009"/>
    <n v="10"/>
    <d v="2013-07-29T00:00:00"/>
    <s v="BLU-RAY"/>
    <n v="101343"/>
    <s v="AB102367"/>
    <x v="0"/>
    <n v="734624"/>
  </r>
  <r>
    <n v="10020"/>
    <n v="4"/>
    <d v="2013-07-29T00:00:00"/>
    <s v="DVD"/>
    <n v="101343"/>
    <s v="AB102368"/>
    <x v="16"/>
    <n v="734624"/>
  </r>
  <r>
    <n v="10188"/>
    <n v="4"/>
    <d v="2013-07-28T00:00:00"/>
    <s v="BLU-RAY"/>
    <n v="101344"/>
    <s v="AB102369"/>
    <x v="1"/>
    <n v="552124"/>
  </r>
  <r>
    <n v="10273"/>
    <n v="7"/>
    <d v="2013-07-29T00:00:00"/>
    <s v="DVD"/>
    <n v="101345"/>
    <s v="AB102370"/>
    <x v="4"/>
    <n v="238347"/>
  </r>
  <r>
    <n v="10252"/>
    <n v="1"/>
    <d v="2013-07-29T00:00:00"/>
    <s v="DVD"/>
    <n v="101346"/>
    <s v="AB102371"/>
    <x v="0"/>
    <n v="793987"/>
  </r>
  <r>
    <n v="10222"/>
    <n v="3"/>
    <d v="2013-07-29T00:00:00"/>
    <s v="DVD"/>
    <n v="101347"/>
    <s v="AB102372"/>
    <x v="4"/>
    <n v="755271"/>
  </r>
  <r>
    <n v="10233"/>
    <n v="5"/>
    <d v="2013-07-29T00:00:00"/>
    <s v="DVD"/>
    <n v="101347"/>
    <s v="AB102373"/>
    <x v="8"/>
    <n v="755271"/>
  </r>
  <r>
    <n v="10256"/>
    <n v="7"/>
    <d v="2013-07-29T00:00:00"/>
    <s v="DVD"/>
    <n v="101347"/>
    <s v="AB102374"/>
    <x v="9"/>
    <n v="755271"/>
  </r>
  <r>
    <n v="10282"/>
    <n v="10"/>
    <d v="2013-07-29T00:00:00"/>
    <s v="DVD"/>
    <n v="101348"/>
    <s v="AB102375"/>
    <x v="15"/>
    <n v="741514"/>
  </r>
  <r>
    <n v="10180"/>
    <n v="7"/>
    <d v="2013-07-29T00:00:00"/>
    <s v="DVD"/>
    <n v="101349"/>
    <s v="AB102376"/>
    <x v="12"/>
    <n v="974503"/>
  </r>
  <r>
    <n v="10249"/>
    <n v="10"/>
    <d v="2013-07-30T00:00:00"/>
    <s v="DVD"/>
    <n v="101349"/>
    <s v="AB102377"/>
    <x v="5"/>
    <n v="974503"/>
  </r>
  <r>
    <n v="10018"/>
    <n v="6"/>
    <d v="2013-07-30T00:00:00"/>
    <s v="DVD"/>
    <n v="101350"/>
    <s v="AB102378"/>
    <x v="9"/>
    <n v="404678"/>
  </r>
  <r>
    <n v="10143"/>
    <n v="8"/>
    <d v="2013-07-29T00:00:00"/>
    <s v="DVD"/>
    <n v="101351"/>
    <s v="AB102379"/>
    <x v="3"/>
    <n v="791559"/>
  </r>
  <r>
    <n v="10121"/>
    <n v="6"/>
    <d v="2013-07-29T00:00:00"/>
    <s v="BLU-RAY"/>
    <n v="101351"/>
    <s v="AB102380"/>
    <x v="2"/>
    <n v="791559"/>
  </r>
  <r>
    <n v="10173"/>
    <n v="4"/>
    <d v="2013-07-30T00:00:00"/>
    <s v="BLU-RAY"/>
    <n v="101352"/>
    <s v="AB102381"/>
    <x v="4"/>
    <n v="885548"/>
  </r>
  <r>
    <n v="10031"/>
    <n v="8"/>
    <d v="2013-07-29T00:00:00"/>
    <s v="DVD"/>
    <n v="101353"/>
    <s v="AB102382"/>
    <x v="0"/>
    <n v="979679"/>
  </r>
  <r>
    <n v="10176"/>
    <n v="3"/>
    <d v="2013-07-29T00:00:00"/>
    <s v="BLU-RAY"/>
    <n v="101353"/>
    <s v="AB102383"/>
    <x v="7"/>
    <n v="979679"/>
  </r>
  <r>
    <n v="10044"/>
    <n v="2"/>
    <d v="2013-07-29T00:00:00"/>
    <s v="BLU-RAY"/>
    <n v="101353"/>
    <s v="AB102384"/>
    <x v="3"/>
    <n v="979679"/>
  </r>
  <r>
    <n v="10141"/>
    <n v="5"/>
    <d v="2013-07-29T00:00:00"/>
    <s v="DVD"/>
    <n v="101354"/>
    <s v="AB102385"/>
    <x v="0"/>
    <n v="426984"/>
  </r>
  <r>
    <n v="10223"/>
    <n v="4"/>
    <d v="2013-07-29T00:00:00"/>
    <s v="DVD"/>
    <n v="101355"/>
    <s v="AB102386"/>
    <x v="7"/>
    <n v="270853"/>
  </r>
  <r>
    <n v="10224"/>
    <n v="5"/>
    <d v="2013-07-30T00:00:00"/>
    <s v="DVD"/>
    <n v="101356"/>
    <s v="AB102387"/>
    <x v="17"/>
    <n v="277310"/>
  </r>
  <r>
    <n v="10233"/>
    <n v="4"/>
    <d v="2013-07-29T00:00:00"/>
    <s v="DVD"/>
    <n v="101356"/>
    <s v="AB102388"/>
    <x v="8"/>
    <n v="277310"/>
  </r>
  <r>
    <n v="10248"/>
    <n v="9"/>
    <d v="2013-07-29T00:00:00"/>
    <s v="DVD"/>
    <n v="101356"/>
    <s v="AB102389"/>
    <x v="12"/>
    <n v="277310"/>
  </r>
  <r>
    <n v="10024"/>
    <n v="9"/>
    <d v="2013-07-29T00:00:00"/>
    <s v="BLU-RAY"/>
    <n v="101357"/>
    <s v="AB102390"/>
    <x v="9"/>
    <n v="524667"/>
  </r>
  <r>
    <n v="10089"/>
    <n v="4"/>
    <d v="2013-07-30T00:00:00"/>
    <s v="BLU-RAY"/>
    <n v="101357"/>
    <s v="AB102391"/>
    <x v="4"/>
    <n v="524667"/>
  </r>
  <r>
    <n v="10141"/>
    <n v="2"/>
    <d v="2013-07-31T00:00:00"/>
    <s v="DVD"/>
    <n v="101358"/>
    <s v="AB102392"/>
    <x v="0"/>
    <n v="267632"/>
  </r>
  <r>
    <n v="10129"/>
    <n v="9"/>
    <d v="2013-07-30T00:00:00"/>
    <s v="BLU-RAY"/>
    <n v="101358"/>
    <s v="AB102393"/>
    <x v="0"/>
    <n v="267632"/>
  </r>
  <r>
    <n v="10220"/>
    <n v="9"/>
    <d v="2013-07-31T00:00:00"/>
    <s v="BLU-RAY"/>
    <n v="101359"/>
    <s v="AB102394"/>
    <x v="9"/>
    <n v="196068"/>
  </r>
  <r>
    <n v="10125"/>
    <n v="5"/>
    <d v="2013-07-30T00:00:00"/>
    <s v="BLU-RAY"/>
    <n v="101360"/>
    <s v="AB102395"/>
    <x v="9"/>
    <n v="730305"/>
  </r>
  <r>
    <n v="10221"/>
    <n v="8"/>
    <d v="2013-07-30T00:00:00"/>
    <s v="DVD"/>
    <n v="101360"/>
    <s v="AB102396"/>
    <x v="9"/>
    <n v="730305"/>
  </r>
  <r>
    <n v="10214"/>
    <n v="1"/>
    <d v="2013-07-30T00:00:00"/>
    <s v="DVD"/>
    <n v="101361"/>
    <s v="AB102397"/>
    <x v="13"/>
    <n v="185863"/>
  </r>
  <r>
    <n v="10068"/>
    <n v="1"/>
    <d v="2013-07-30T00:00:00"/>
    <s v="BLU-RAY"/>
    <n v="101361"/>
    <s v="AB102398"/>
    <x v="0"/>
    <n v="185863"/>
  </r>
  <r>
    <n v="10295"/>
    <n v="3"/>
    <d v="2013-07-30T00:00:00"/>
    <s v="DVD"/>
    <n v="101361"/>
    <s v="AB102399"/>
    <x v="21"/>
    <n v="185863"/>
  </r>
  <r>
    <n v="10284"/>
    <n v="3"/>
    <d v="2013-07-30T00:00:00"/>
    <s v="DVD"/>
    <n v="101361"/>
    <s v="AB102400"/>
    <x v="14"/>
    <n v="185863"/>
  </r>
  <r>
    <n v="10139"/>
    <n v="6"/>
    <d v="2013-07-30T00:00:00"/>
    <s v="BLU-RAY"/>
    <n v="101362"/>
    <s v="AB102401"/>
    <x v="14"/>
    <n v="580783"/>
  </r>
  <r>
    <n v="10282"/>
    <n v="4"/>
    <d v="2013-07-31T00:00:00"/>
    <s v="BLU-RAY"/>
    <n v="101362"/>
    <s v="AB102402"/>
    <x v="15"/>
    <n v="580783"/>
  </r>
  <r>
    <n v="10157"/>
    <n v="8"/>
    <d v="2013-07-31T00:00:00"/>
    <s v="DVD"/>
    <n v="101363"/>
    <s v="AB102403"/>
    <x v="1"/>
    <n v="921901"/>
  </r>
  <r>
    <n v="10122"/>
    <n v="9"/>
    <d v="2013-07-30T00:00:00"/>
    <s v="DVD"/>
    <n v="101363"/>
    <s v="AB102404"/>
    <x v="12"/>
    <n v="921901"/>
  </r>
  <r>
    <n v="10095"/>
    <n v="9"/>
    <d v="2013-07-31T00:00:00"/>
    <s v="DVD"/>
    <n v="101363"/>
    <s v="AB102405"/>
    <x v="2"/>
    <n v="921901"/>
  </r>
  <r>
    <n v="10184"/>
    <n v="5"/>
    <d v="2013-07-31T00:00:00"/>
    <s v="BLU-RAY"/>
    <n v="101364"/>
    <s v="AB102406"/>
    <x v="7"/>
    <n v="888759"/>
  </r>
  <r>
    <n v="10268"/>
    <n v="9"/>
    <d v="2013-07-31T00:00:00"/>
    <s v="DVD"/>
    <n v="101364"/>
    <s v="AB102407"/>
    <x v="3"/>
    <n v="888759"/>
  </r>
  <r>
    <n v="10285"/>
    <n v="6"/>
    <d v="2013-07-31T00:00:00"/>
    <s v="DVD"/>
    <n v="101365"/>
    <s v="AB102408"/>
    <x v="20"/>
    <n v="104939"/>
  </r>
  <r>
    <n v="10148"/>
    <n v="7"/>
    <d v="2013-07-31T00:00:00"/>
    <s v="DVD"/>
    <n v="101365"/>
    <s v="AB102409"/>
    <x v="1"/>
    <n v="104939"/>
  </r>
  <r>
    <n v="10145"/>
    <n v="5"/>
    <d v="2013-07-30T00:00:00"/>
    <s v="DVD"/>
    <n v="101366"/>
    <s v="AB102410"/>
    <x v="6"/>
    <n v="202612"/>
  </r>
  <r>
    <n v="10076"/>
    <n v="7"/>
    <d v="2013-07-30T00:00:00"/>
    <s v="DVD"/>
    <n v="101366"/>
    <s v="AB102411"/>
    <x v="4"/>
    <n v="202612"/>
  </r>
  <r>
    <n v="10025"/>
    <n v="2"/>
    <d v="2013-07-31T00:00:00"/>
    <s v="BLU-RAY"/>
    <n v="101367"/>
    <s v="AB102412"/>
    <x v="4"/>
    <n v="745543"/>
  </r>
  <r>
    <n v="10174"/>
    <n v="3"/>
    <d v="2013-07-30T00:00:00"/>
    <s v="BLU-RAY"/>
    <n v="101368"/>
    <s v="AB102413"/>
    <x v="7"/>
    <n v="550824"/>
  </r>
  <r>
    <n v="10185"/>
    <n v="7"/>
    <d v="2013-07-31T00:00:00"/>
    <s v="DVD"/>
    <n v="101369"/>
    <s v="AB102414"/>
    <x v="0"/>
    <n v="999915"/>
  </r>
  <r>
    <n v="10220"/>
    <n v="7"/>
    <d v="2013-07-30T00:00:00"/>
    <s v="DVD"/>
    <n v="101369"/>
    <s v="AB102415"/>
    <x v="9"/>
    <n v="999915"/>
  </r>
  <r>
    <n v="10248"/>
    <n v="5"/>
    <d v="2013-07-31T00:00:00"/>
    <s v="BLU-RAY"/>
    <n v="101370"/>
    <s v="AB102416"/>
    <x v="12"/>
    <n v="994185"/>
  </r>
  <r>
    <n v="10291"/>
    <n v="6"/>
    <d v="2013-07-31T00:00:00"/>
    <s v="BLU-RAY"/>
    <n v="101370"/>
    <s v="AB102417"/>
    <x v="0"/>
    <n v="994185"/>
  </r>
  <r>
    <n v="10032"/>
    <n v="2"/>
    <d v="2013-08-01T00:00:00"/>
    <s v="DVD"/>
    <n v="101371"/>
    <s v="AB102418"/>
    <x v="4"/>
    <n v="218889"/>
  </r>
  <r>
    <n v="10109"/>
    <n v="4"/>
    <d v="2013-07-31T00:00:00"/>
    <s v="BLU-RAY"/>
    <n v="101372"/>
    <s v="AB102419"/>
    <x v="0"/>
    <n v="304344"/>
  </r>
  <r>
    <n v="10087"/>
    <n v="4"/>
    <d v="2013-08-01T00:00:00"/>
    <s v="BLU-RAY"/>
    <n v="101372"/>
    <s v="AB102420"/>
    <x v="10"/>
    <n v="304344"/>
  </r>
  <r>
    <n v="10188"/>
    <n v="8"/>
    <d v="2013-07-31T00:00:00"/>
    <s v="BLU-RAY"/>
    <n v="101373"/>
    <s v="AB102421"/>
    <x v="1"/>
    <n v="347659"/>
  </r>
  <r>
    <n v="10176"/>
    <n v="6"/>
    <d v="2013-07-31T00:00:00"/>
    <s v="BLU-RAY"/>
    <n v="101374"/>
    <s v="AB102422"/>
    <x v="7"/>
    <n v="680104"/>
  </r>
  <r>
    <n v="10011"/>
    <n v="1"/>
    <d v="2013-07-31T00:00:00"/>
    <s v="BLU-RAY"/>
    <n v="101375"/>
    <s v="AB102423"/>
    <x v="3"/>
    <n v="841141"/>
  </r>
  <r>
    <n v="10099"/>
    <n v="2"/>
    <d v="2013-08-02T00:00:00"/>
    <s v="DVD"/>
    <n v="101375"/>
    <s v="AB102424"/>
    <x v="10"/>
    <n v="841141"/>
  </r>
  <r>
    <n v="10133"/>
    <n v="1"/>
    <d v="2013-08-01T00:00:00"/>
    <s v="DVD"/>
    <n v="101376"/>
    <s v="AB102425"/>
    <x v="9"/>
    <n v="469564"/>
  </r>
  <r>
    <n v="10098"/>
    <n v="1"/>
    <d v="2013-07-31T00:00:00"/>
    <s v="BLU-RAY"/>
    <n v="101376"/>
    <s v="AB102426"/>
    <x v="0"/>
    <n v="469564"/>
  </r>
  <r>
    <n v="10018"/>
    <n v="5"/>
    <d v="2013-07-31T00:00:00"/>
    <s v="DVD"/>
    <n v="101376"/>
    <s v="AB102427"/>
    <x v="9"/>
    <n v="469564"/>
  </r>
  <r>
    <n v="10166"/>
    <n v="9"/>
    <d v="2013-07-31T00:00:00"/>
    <s v="BLU-RAY"/>
    <n v="101376"/>
    <s v="AB102428"/>
    <x v="9"/>
    <n v="469564"/>
  </r>
  <r>
    <n v="10111"/>
    <n v="4"/>
    <d v="2013-07-31T00:00:00"/>
    <s v="BLU-RAY"/>
    <n v="101376"/>
    <s v="AB102429"/>
    <x v="9"/>
    <n v="469564"/>
  </r>
  <r>
    <n v="10063"/>
    <n v="1"/>
    <d v="2013-07-31T00:00:00"/>
    <s v="DVD"/>
    <n v="101377"/>
    <s v="AB102430"/>
    <x v="18"/>
    <n v="256181"/>
  </r>
  <r>
    <n v="10252"/>
    <n v="8"/>
    <d v="2013-07-31T00:00:00"/>
    <s v="DVD"/>
    <n v="101378"/>
    <s v="AB102431"/>
    <x v="0"/>
    <n v="795957"/>
  </r>
  <r>
    <n v="10042"/>
    <n v="3"/>
    <d v="2013-07-31T00:00:00"/>
    <s v="DVD"/>
    <n v="101379"/>
    <s v="AB102432"/>
    <x v="1"/>
    <n v="552124"/>
  </r>
  <r>
    <n v="10096"/>
    <n v="1"/>
    <d v="2013-07-31T00:00:00"/>
    <s v="BLU-RAY"/>
    <n v="101379"/>
    <s v="AB102433"/>
    <x v="7"/>
    <n v="552124"/>
  </r>
  <r>
    <n v="10237"/>
    <n v="3"/>
    <d v="2013-07-31T00:00:00"/>
    <s v="BLU-RAY"/>
    <n v="101379"/>
    <s v="AB102434"/>
    <x v="0"/>
    <n v="552124"/>
  </r>
  <r>
    <n v="10131"/>
    <n v="10"/>
    <d v="2013-08-01T00:00:00"/>
    <s v="DVD"/>
    <n v="101380"/>
    <s v="AB102435"/>
    <x v="0"/>
    <n v="267632"/>
  </r>
  <r>
    <n v="10122"/>
    <n v="3"/>
    <d v="2013-07-31T00:00:00"/>
    <s v="BLU-RAY"/>
    <n v="101380"/>
    <s v="AB102436"/>
    <x v="12"/>
    <n v="267632"/>
  </r>
  <r>
    <n v="10175"/>
    <n v="10"/>
    <d v="2013-07-31T00:00:00"/>
    <s v="DVD"/>
    <n v="101381"/>
    <s v="AB102437"/>
    <x v="3"/>
    <n v="926289"/>
  </r>
  <r>
    <n v="10290"/>
    <n v="9"/>
    <d v="2013-07-31T00:00:00"/>
    <s v="DVD"/>
    <n v="101381"/>
    <s v="AB102438"/>
    <x v="2"/>
    <n v="926289"/>
  </r>
  <r>
    <n v="10008"/>
    <n v="9"/>
    <d v="2013-07-31T00:00:00"/>
    <s v="BLU-RAY"/>
    <n v="101382"/>
    <s v="AB102439"/>
    <x v="4"/>
    <n v="491380"/>
  </r>
  <r>
    <n v="10028"/>
    <n v="2"/>
    <d v="2013-07-31T00:00:00"/>
    <s v="DVD"/>
    <n v="101382"/>
    <s v="AB102440"/>
    <x v="5"/>
    <n v="491380"/>
  </r>
  <r>
    <n v="10120"/>
    <n v="3"/>
    <d v="2013-07-31T00:00:00"/>
    <s v="DVD"/>
    <n v="101383"/>
    <s v="AB102441"/>
    <x v="14"/>
    <n v="924947"/>
  </r>
  <r>
    <n v="10040"/>
    <n v="4"/>
    <d v="2013-07-31T00:00:00"/>
    <s v="BLU-RAY"/>
    <n v="101384"/>
    <s v="AB102442"/>
    <x v="7"/>
    <n v="702197"/>
  </r>
  <r>
    <n v="10063"/>
    <n v="1"/>
    <d v="2013-07-31T00:00:00"/>
    <s v="BLU-RAY"/>
    <n v="101384"/>
    <s v="AB102443"/>
    <x v="18"/>
    <n v="702197"/>
  </r>
  <r>
    <n v="10207"/>
    <n v="8"/>
    <d v="2013-07-31T00:00:00"/>
    <s v="BLU-RAY"/>
    <n v="101384"/>
    <s v="AB102444"/>
    <x v="1"/>
    <n v="702197"/>
  </r>
  <r>
    <n v="10229"/>
    <n v="1"/>
    <d v="2013-08-02T00:00:00"/>
    <s v="DVD"/>
    <n v="101385"/>
    <s v="AB102445"/>
    <x v="6"/>
    <n v="266633"/>
  </r>
  <r>
    <n v="10101"/>
    <n v="6"/>
    <d v="2013-08-02T00:00:00"/>
    <s v="BLU-RAY"/>
    <n v="101386"/>
    <s v="AB102446"/>
    <x v="4"/>
    <n v="611848"/>
  </r>
  <r>
    <n v="10052"/>
    <n v="3"/>
    <d v="2013-08-02T00:00:00"/>
    <s v="BLU-RAY"/>
    <n v="101387"/>
    <s v="AB102447"/>
    <x v="0"/>
    <n v="996970"/>
  </r>
  <r>
    <n v="10106"/>
    <n v="3"/>
    <d v="2013-08-02T00:00:00"/>
    <s v="DVD"/>
    <n v="101388"/>
    <s v="AB102448"/>
    <x v="9"/>
    <n v="599995"/>
  </r>
  <r>
    <n v="10290"/>
    <n v="1"/>
    <d v="2013-08-01T00:00:00"/>
    <s v="DVD"/>
    <n v="101388"/>
    <s v="AB102449"/>
    <x v="2"/>
    <n v="599995"/>
  </r>
  <r>
    <n v="10189"/>
    <n v="1"/>
    <d v="2013-08-01T00:00:00"/>
    <s v="DVD"/>
    <n v="101389"/>
    <s v="AB102450"/>
    <x v="7"/>
    <n v="345348"/>
  </r>
  <r>
    <n v="10288"/>
    <n v="3"/>
    <d v="2013-08-01T00:00:00"/>
    <s v="DVD"/>
    <n v="101389"/>
    <s v="AB102451"/>
    <x v="12"/>
    <n v="345348"/>
  </r>
  <r>
    <n v="10053"/>
    <n v="9"/>
    <d v="2013-08-01T00:00:00"/>
    <s v="BLU-RAY"/>
    <n v="101390"/>
    <s v="AB102452"/>
    <x v="4"/>
    <n v="756928"/>
  </r>
  <r>
    <n v="10180"/>
    <n v="5"/>
    <d v="2013-08-01T00:00:00"/>
    <s v="DVD"/>
    <n v="101391"/>
    <s v="AB102453"/>
    <x v="12"/>
    <n v="216081"/>
  </r>
  <r>
    <n v="10291"/>
    <n v="1"/>
    <d v="2013-08-01T00:00:00"/>
    <s v="BLU-RAY"/>
    <n v="101391"/>
    <s v="AB102454"/>
    <x v="0"/>
    <n v="216081"/>
  </r>
  <r>
    <n v="10031"/>
    <n v="4"/>
    <d v="2013-08-01T00:00:00"/>
    <s v="DVD"/>
    <n v="101392"/>
    <s v="AB102455"/>
    <x v="0"/>
    <n v="918682"/>
  </r>
  <r>
    <n v="10234"/>
    <n v="10"/>
    <d v="2013-08-02T00:00:00"/>
    <s v="DVD"/>
    <n v="101393"/>
    <s v="AB102456"/>
    <x v="0"/>
    <n v="995599"/>
  </r>
  <r>
    <n v="10017"/>
    <n v="3"/>
    <d v="2013-08-01T00:00:00"/>
    <s v="BLU-RAY"/>
    <n v="101394"/>
    <s v="AB102457"/>
    <x v="4"/>
    <n v="689877"/>
  </r>
  <r>
    <n v="10143"/>
    <n v="4"/>
    <d v="2013-08-01T00:00:00"/>
    <s v="BLU-RAY"/>
    <n v="101395"/>
    <s v="AB102458"/>
    <x v="3"/>
    <n v="660634"/>
  </r>
  <r>
    <n v="10197"/>
    <n v="3"/>
    <d v="2013-08-01T00:00:00"/>
    <s v="DVD"/>
    <n v="101395"/>
    <s v="AB102459"/>
    <x v="0"/>
    <n v="660634"/>
  </r>
  <r>
    <n v="10059"/>
    <n v="3"/>
    <d v="2013-08-01T00:00:00"/>
    <s v="DVD"/>
    <n v="101396"/>
    <s v="AB102460"/>
    <x v="7"/>
    <n v="593317"/>
  </r>
  <r>
    <n v="10263"/>
    <n v="7"/>
    <d v="2013-08-03T00:00:00"/>
    <s v="BLU-RAY"/>
    <n v="101397"/>
    <s v="AB102461"/>
    <x v="9"/>
    <n v="458448"/>
  </r>
  <r>
    <n v="10119"/>
    <n v="1"/>
    <d v="2013-08-02T00:00:00"/>
    <s v="DVD"/>
    <n v="101398"/>
    <s v="AB102462"/>
    <x v="7"/>
    <n v="448739"/>
  </r>
  <r>
    <n v="10156"/>
    <n v="9"/>
    <d v="2013-08-04T00:00:00"/>
    <s v="DVD"/>
    <n v="101399"/>
    <s v="AB102463"/>
    <x v="3"/>
    <n v="193968"/>
  </r>
  <r>
    <n v="10226"/>
    <n v="5"/>
    <d v="2013-08-03T00:00:00"/>
    <s v="DVD"/>
    <n v="101399"/>
    <s v="AB102464"/>
    <x v="4"/>
    <n v="193968"/>
  </r>
  <r>
    <n v="10056"/>
    <n v="10"/>
    <d v="2013-08-03T00:00:00"/>
    <s v="BLU-RAY"/>
    <n v="101399"/>
    <s v="AB102465"/>
    <x v="8"/>
    <n v="193968"/>
  </r>
  <r>
    <n v="10274"/>
    <n v="4"/>
    <d v="2013-08-02T00:00:00"/>
    <s v="BLU-RAY"/>
    <n v="101400"/>
    <s v="AB102466"/>
    <x v="9"/>
    <n v="306853"/>
  </r>
  <r>
    <n v="10026"/>
    <n v="1"/>
    <d v="2013-08-05T00:00:00"/>
    <s v="BLU-RAY"/>
    <n v="101400"/>
    <s v="AB102467"/>
    <x v="9"/>
    <n v="306853"/>
  </r>
  <r>
    <n v="10210"/>
    <n v="9"/>
    <d v="2013-08-02T00:00:00"/>
    <s v="BLU-RAY"/>
    <n v="101400"/>
    <s v="AB102468"/>
    <x v="4"/>
    <n v="306853"/>
  </r>
  <r>
    <n v="10000"/>
    <n v="3"/>
    <d v="2013-08-02T00:00:00"/>
    <s v="BLU-RAY"/>
    <n v="101401"/>
    <s v="AB102469"/>
    <x v="6"/>
    <n v="803700"/>
  </r>
  <r>
    <n v="10276"/>
    <n v="2"/>
    <d v="2013-08-02T00:00:00"/>
    <s v="DVD"/>
    <n v="101402"/>
    <s v="AB102470"/>
    <x v="16"/>
    <n v="425051"/>
  </r>
  <r>
    <n v="10294"/>
    <n v="4"/>
    <d v="2013-08-02T00:00:00"/>
    <s v="BLU-RAY"/>
    <n v="101402"/>
    <s v="AB102471"/>
    <x v="2"/>
    <n v="425051"/>
  </r>
  <r>
    <n v="10155"/>
    <n v="7"/>
    <d v="2013-08-02T00:00:00"/>
    <s v="DVD"/>
    <n v="101402"/>
    <s v="AB102472"/>
    <x v="9"/>
    <n v="425051"/>
  </r>
  <r>
    <n v="10284"/>
    <n v="3"/>
    <d v="2013-08-02T00:00:00"/>
    <s v="BLU-RAY"/>
    <n v="101403"/>
    <s v="AB102473"/>
    <x v="14"/>
    <n v="736500"/>
  </r>
  <r>
    <n v="10127"/>
    <n v="10"/>
    <d v="2013-08-02T00:00:00"/>
    <s v="BLU-RAY"/>
    <n v="101404"/>
    <s v="AB102474"/>
    <x v="6"/>
    <n v="766737"/>
  </r>
  <r>
    <n v="10206"/>
    <n v="8"/>
    <d v="2013-08-02T00:00:00"/>
    <s v="DVD"/>
    <n v="101404"/>
    <s v="AB102475"/>
    <x v="9"/>
    <n v="766737"/>
  </r>
  <r>
    <n v="10180"/>
    <n v="4"/>
    <d v="2013-08-02T00:00:00"/>
    <s v="DVD"/>
    <n v="101405"/>
    <s v="AB102476"/>
    <x v="12"/>
    <n v="193914"/>
  </r>
  <r>
    <n v="10007"/>
    <n v="1"/>
    <d v="2013-08-03T00:00:00"/>
    <s v="BLU-RAY"/>
    <n v="101405"/>
    <s v="AB102477"/>
    <x v="4"/>
    <n v="193914"/>
  </r>
  <r>
    <n v="10172"/>
    <n v="8"/>
    <d v="2013-08-02T00:00:00"/>
    <s v="DVD"/>
    <n v="101406"/>
    <s v="AB102478"/>
    <x v="10"/>
    <n v="890651"/>
  </r>
  <r>
    <n v="10242"/>
    <n v="4"/>
    <d v="2013-08-03T00:00:00"/>
    <s v="BLU-RAY"/>
    <n v="101407"/>
    <s v="AB102479"/>
    <x v="3"/>
    <n v="500828"/>
  </r>
  <r>
    <n v="10261"/>
    <n v="10"/>
    <d v="2013-08-02T00:00:00"/>
    <s v="BLU-RAY"/>
    <n v="101407"/>
    <s v="AB102480"/>
    <x v="9"/>
    <n v="500828"/>
  </r>
  <r>
    <n v="10005"/>
    <n v="8"/>
    <d v="2013-08-02T00:00:00"/>
    <s v="BLU-RAY"/>
    <n v="101407"/>
    <s v="AB102481"/>
    <x v="3"/>
    <n v="500828"/>
  </r>
  <r>
    <n v="10016"/>
    <n v="1"/>
    <d v="2013-08-04T00:00:00"/>
    <s v="BLU-RAY"/>
    <n v="101408"/>
    <s v="AB102482"/>
    <x v="7"/>
    <n v="833180"/>
  </r>
  <r>
    <n v="10020"/>
    <n v="4"/>
    <d v="2013-08-02T00:00:00"/>
    <s v="DVD"/>
    <n v="101408"/>
    <s v="AB102483"/>
    <x v="16"/>
    <n v="833180"/>
  </r>
  <r>
    <n v="10033"/>
    <n v="6"/>
    <d v="2013-08-03T00:00:00"/>
    <s v="BLU-RAY"/>
    <n v="101409"/>
    <s v="AB102484"/>
    <x v="10"/>
    <n v="974503"/>
  </r>
  <r>
    <n v="10007"/>
    <n v="1"/>
    <d v="2013-08-03T00:00:00"/>
    <s v="BLU-RAY"/>
    <n v="101409"/>
    <s v="AB102485"/>
    <x v="4"/>
    <n v="974503"/>
  </r>
  <r>
    <n v="10130"/>
    <n v="3"/>
    <d v="2013-08-03T00:00:00"/>
    <s v="BLU-RAY"/>
    <n v="101410"/>
    <s v="AB102486"/>
    <x v="21"/>
    <n v="599995"/>
  </r>
  <r>
    <n v="10065"/>
    <n v="3"/>
    <d v="2013-08-04T00:00:00"/>
    <s v="BLU-RAY"/>
    <n v="101411"/>
    <s v="AB102487"/>
    <x v="0"/>
    <n v="196068"/>
  </r>
  <r>
    <n v="10262"/>
    <n v="9"/>
    <d v="2013-08-03T00:00:00"/>
    <s v="BLU-RAY"/>
    <n v="101412"/>
    <s v="AB102488"/>
    <x v="10"/>
    <n v="241144"/>
  </r>
  <r>
    <n v="10199"/>
    <n v="8"/>
    <d v="2013-08-03T00:00:00"/>
    <s v="DVD"/>
    <n v="101412"/>
    <s v="AB102489"/>
    <x v="10"/>
    <n v="241144"/>
  </r>
  <r>
    <n v="10100"/>
    <n v="2"/>
    <d v="2013-08-03T00:00:00"/>
    <s v="DVD"/>
    <n v="101413"/>
    <s v="AB102490"/>
    <x v="9"/>
    <n v="694281"/>
  </r>
  <r>
    <n v="10116"/>
    <n v="4"/>
    <d v="2013-08-04T00:00:00"/>
    <s v="BLU-RAY"/>
    <n v="101414"/>
    <s v="AB102491"/>
    <x v="7"/>
    <n v="199895"/>
  </r>
  <r>
    <n v="10012"/>
    <n v="3"/>
    <d v="2013-08-03T00:00:00"/>
    <s v="DVD"/>
    <n v="101414"/>
    <s v="AB102492"/>
    <x v="3"/>
    <n v="199895"/>
  </r>
  <r>
    <n v="10269"/>
    <n v="9"/>
    <d v="2013-08-03T00:00:00"/>
    <s v="BLU-RAY"/>
    <n v="101415"/>
    <s v="AB102493"/>
    <x v="3"/>
    <n v="999915"/>
  </r>
  <r>
    <n v="10249"/>
    <n v="9"/>
    <d v="2013-08-03T00:00:00"/>
    <s v="BLU-RAY"/>
    <n v="101415"/>
    <s v="AB102494"/>
    <x v="5"/>
    <n v="999915"/>
  </r>
  <r>
    <n v="10208"/>
    <n v="6"/>
    <d v="2013-08-03T00:00:00"/>
    <s v="DVD"/>
    <n v="101415"/>
    <s v="AB102495"/>
    <x v="0"/>
    <n v="999915"/>
  </r>
  <r>
    <n v="10221"/>
    <n v="7"/>
    <d v="2013-08-03T00:00:00"/>
    <s v="BLU-RAY"/>
    <n v="101416"/>
    <s v="AB102496"/>
    <x v="9"/>
    <n v="739669"/>
  </r>
  <r>
    <n v="10141"/>
    <n v="10"/>
    <d v="2013-08-03T00:00:00"/>
    <s v="BLU-RAY"/>
    <n v="101417"/>
    <s v="AB102497"/>
    <x v="0"/>
    <n v="628132"/>
  </r>
  <r>
    <n v="10120"/>
    <n v="7"/>
    <d v="2013-08-04T00:00:00"/>
    <s v="BLU-RAY"/>
    <n v="101418"/>
    <s v="AB102498"/>
    <x v="14"/>
    <n v="173125"/>
  </r>
  <r>
    <n v="10284"/>
    <n v="9"/>
    <d v="2013-08-03T00:00:00"/>
    <s v="DVD"/>
    <n v="101418"/>
    <s v="AB102499"/>
    <x v="14"/>
    <n v="173125"/>
  </r>
  <r>
    <n v="10237"/>
    <n v="5"/>
    <d v="2013-08-03T00:00:00"/>
    <s v="BLU-RAY"/>
    <n v="101419"/>
    <s v="AB102500"/>
    <x v="0"/>
    <n v="116934"/>
  </r>
  <r>
    <n v="10138"/>
    <n v="8"/>
    <d v="2013-08-05T00:00:00"/>
    <s v="DVD"/>
    <n v="101419"/>
    <s v="AB102501"/>
    <x v="7"/>
    <n v="116934"/>
  </r>
  <r>
    <n v="10056"/>
    <n v="5"/>
    <d v="2013-08-03T00:00:00"/>
    <s v="DVD"/>
    <n v="101419"/>
    <s v="AB102502"/>
    <x v="8"/>
    <n v="116934"/>
  </r>
  <r>
    <n v="10146"/>
    <n v="5"/>
    <d v="2013-08-04T00:00:00"/>
    <s v="BLU-RAY"/>
    <n v="101419"/>
    <s v="AB102503"/>
    <x v="4"/>
    <n v="116934"/>
  </r>
  <r>
    <n v="10151"/>
    <n v="1"/>
    <d v="2013-08-04T00:00:00"/>
    <s v="DVD"/>
    <n v="101419"/>
    <s v="AB102504"/>
    <x v="8"/>
    <n v="116934"/>
  </r>
  <r>
    <n v="10209"/>
    <n v="4"/>
    <d v="2013-08-04T00:00:00"/>
    <s v="BLU-RAY"/>
    <n v="101420"/>
    <s v="AB102505"/>
    <x v="7"/>
    <n v="776775"/>
  </r>
  <r>
    <n v="10091"/>
    <n v="6"/>
    <d v="2013-08-04T00:00:00"/>
    <s v="DVD"/>
    <n v="101421"/>
    <s v="AB102506"/>
    <x v="0"/>
    <n v="196068"/>
  </r>
  <r>
    <n v="10251"/>
    <n v="6"/>
    <d v="2013-08-05T00:00:00"/>
    <s v="DVD"/>
    <n v="101421"/>
    <s v="AB102507"/>
    <x v="7"/>
    <n v="196068"/>
  </r>
  <r>
    <n v="10136"/>
    <n v="3"/>
    <d v="2013-08-04T00:00:00"/>
    <s v="DVD"/>
    <n v="101422"/>
    <s v="AB102508"/>
    <x v="2"/>
    <n v="741398"/>
  </r>
  <r>
    <n v="10235"/>
    <n v="2"/>
    <d v="2013-08-04T00:00:00"/>
    <s v="BLU-RAY"/>
    <n v="101422"/>
    <s v="AB102509"/>
    <x v="10"/>
    <n v="741398"/>
  </r>
  <r>
    <n v="10244"/>
    <n v="3"/>
    <d v="2013-08-04T00:00:00"/>
    <s v="DVD"/>
    <n v="101423"/>
    <s v="AB102510"/>
    <x v="4"/>
    <n v="425051"/>
  </r>
  <r>
    <n v="10069"/>
    <n v="6"/>
    <d v="2013-08-04T00:00:00"/>
    <s v="DVD"/>
    <n v="101424"/>
    <s v="AB102511"/>
    <x v="0"/>
    <n v="643214"/>
  </r>
  <r>
    <n v="10210"/>
    <n v="9"/>
    <d v="2013-08-04T00:00:00"/>
    <s v="BLU-RAY"/>
    <n v="101424"/>
    <s v="AB102512"/>
    <x v="4"/>
    <n v="643214"/>
  </r>
  <r>
    <n v="10156"/>
    <n v="3"/>
    <d v="2013-08-05T00:00:00"/>
    <s v="DVD"/>
    <n v="101424"/>
    <s v="AB102513"/>
    <x v="3"/>
    <n v="643214"/>
  </r>
  <r>
    <n v="10174"/>
    <n v="2"/>
    <d v="2013-08-04T00:00:00"/>
    <s v="DVD"/>
    <n v="101425"/>
    <s v="AB102514"/>
    <x v="7"/>
    <n v="798336"/>
  </r>
  <r>
    <n v="10264"/>
    <n v="10"/>
    <d v="2013-08-04T00:00:00"/>
    <s v="DVD"/>
    <n v="101426"/>
    <s v="AB102515"/>
    <x v="2"/>
    <n v="847289"/>
  </r>
  <r>
    <n v="10283"/>
    <n v="4"/>
    <d v="2013-08-06T00:00:00"/>
    <s v="DVD"/>
    <n v="101427"/>
    <s v="AB102516"/>
    <x v="6"/>
    <n v="385115"/>
  </r>
  <r>
    <n v="10257"/>
    <n v="9"/>
    <d v="2013-08-04T00:00:00"/>
    <s v="BLU-RAY"/>
    <n v="101427"/>
    <s v="AB102517"/>
    <x v="9"/>
    <n v="385115"/>
  </r>
  <r>
    <n v="10076"/>
    <n v="3"/>
    <d v="2013-08-04T00:00:00"/>
    <s v="BLU-RAY"/>
    <n v="101427"/>
    <s v="AB102518"/>
    <x v="4"/>
    <n v="385115"/>
  </r>
  <r>
    <n v="10058"/>
    <n v="3"/>
    <d v="2013-08-04T00:00:00"/>
    <s v="DVD"/>
    <n v="101428"/>
    <s v="AB102519"/>
    <x v="4"/>
    <n v="344702"/>
  </r>
  <r>
    <n v="10059"/>
    <n v="7"/>
    <d v="2013-08-05T00:00:00"/>
    <s v="BLU-RAY"/>
    <n v="101428"/>
    <s v="AB102520"/>
    <x v="7"/>
    <n v="344702"/>
  </r>
  <r>
    <n v="10136"/>
    <n v="9"/>
    <d v="2013-08-05T00:00:00"/>
    <s v="BLU-RAY"/>
    <n v="101428"/>
    <s v="AB102521"/>
    <x v="2"/>
    <n v="344702"/>
  </r>
  <r>
    <n v="10157"/>
    <n v="4"/>
    <d v="2013-08-04T00:00:00"/>
    <s v="DVD"/>
    <n v="101428"/>
    <s v="AB102522"/>
    <x v="1"/>
    <n v="344702"/>
  </r>
  <r>
    <n v="10202"/>
    <n v="7"/>
    <d v="2013-08-04T00:00:00"/>
    <s v="DVD"/>
    <n v="101429"/>
    <s v="AB102523"/>
    <x v="0"/>
    <n v="448993"/>
  </r>
  <r>
    <n v="10265"/>
    <n v="10"/>
    <d v="2013-08-05T00:00:00"/>
    <s v="DVD"/>
    <n v="101430"/>
    <s v="AB102524"/>
    <x v="0"/>
    <n v="676155"/>
  </r>
  <r>
    <n v="10156"/>
    <n v="8"/>
    <d v="2013-08-05T00:00:00"/>
    <s v="DVD"/>
    <n v="101430"/>
    <s v="AB102525"/>
    <x v="3"/>
    <n v="676155"/>
  </r>
  <r>
    <n v="10184"/>
    <n v="7"/>
    <d v="2013-08-05T00:00:00"/>
    <s v="DVD"/>
    <n v="101431"/>
    <s v="AB102526"/>
    <x v="7"/>
    <n v="517477"/>
  </r>
  <r>
    <n v="10151"/>
    <n v="1"/>
    <d v="2013-08-06T00:00:00"/>
    <s v="DVD"/>
    <n v="101432"/>
    <s v="AB102527"/>
    <x v="8"/>
    <n v="412544"/>
  </r>
  <r>
    <n v="10282"/>
    <n v="8"/>
    <d v="2013-08-05T00:00:00"/>
    <s v="DVD"/>
    <n v="101433"/>
    <s v="AB102528"/>
    <x v="15"/>
    <n v="944523"/>
  </r>
  <r>
    <n v="10166"/>
    <n v="10"/>
    <d v="2013-08-05T00:00:00"/>
    <s v="BLU-RAY"/>
    <n v="101433"/>
    <s v="AB102529"/>
    <x v="9"/>
    <n v="944523"/>
  </r>
  <r>
    <n v="10236"/>
    <n v="9"/>
    <d v="2013-08-06T00:00:00"/>
    <s v="DVD"/>
    <n v="101433"/>
    <s v="AB102530"/>
    <x v="10"/>
    <n v="944523"/>
  </r>
  <r>
    <n v="10041"/>
    <n v="1"/>
    <d v="2013-08-05T00:00:00"/>
    <s v="DVD"/>
    <n v="101434"/>
    <s v="AB102531"/>
    <x v="10"/>
    <n v="363931"/>
  </r>
  <r>
    <n v="10109"/>
    <n v="5"/>
    <d v="2013-08-05T00:00:00"/>
    <s v="DVD"/>
    <n v="101434"/>
    <s v="AB102532"/>
    <x v="0"/>
    <n v="363931"/>
  </r>
  <r>
    <n v="10134"/>
    <n v="6"/>
    <d v="2013-08-05T00:00:00"/>
    <s v="BLU-RAY"/>
    <n v="101435"/>
    <s v="AB102533"/>
    <x v="7"/>
    <n v="305005"/>
  </r>
  <r>
    <n v="10238"/>
    <n v="2"/>
    <d v="2013-08-05T00:00:00"/>
    <s v="BLU-RAY"/>
    <n v="101436"/>
    <s v="AB102534"/>
    <x v="0"/>
    <n v="277310"/>
  </r>
  <r>
    <n v="10205"/>
    <n v="10"/>
    <d v="2013-08-05T00:00:00"/>
    <s v="BLU-RAY"/>
    <n v="101436"/>
    <s v="AB102535"/>
    <x v="1"/>
    <n v="277310"/>
  </r>
  <r>
    <n v="10214"/>
    <n v="1"/>
    <d v="2013-08-05T00:00:00"/>
    <s v="DVD"/>
    <n v="101437"/>
    <s v="AB102536"/>
    <x v="13"/>
    <n v="317461"/>
  </r>
  <r>
    <n v="10090"/>
    <n v="10"/>
    <d v="2013-08-05T00:00:00"/>
    <s v="DVD"/>
    <n v="101438"/>
    <s v="AB102537"/>
    <x v="1"/>
    <n v="796796"/>
  </r>
  <r>
    <n v="10132"/>
    <n v="6"/>
    <d v="2013-08-05T00:00:00"/>
    <s v="BLU-RAY"/>
    <n v="101439"/>
    <s v="AB102538"/>
    <x v="10"/>
    <n v="944523"/>
  </r>
  <r>
    <n v="10129"/>
    <n v="9"/>
    <d v="2013-08-06T00:00:00"/>
    <s v="DVD"/>
    <n v="101440"/>
    <s v="AB102539"/>
    <x v="0"/>
    <n v="706101"/>
  </r>
  <r>
    <n v="10272"/>
    <n v="5"/>
    <d v="2013-08-05T00:00:00"/>
    <s v="BLU-RAY"/>
    <n v="101440"/>
    <s v="AB102540"/>
    <x v="4"/>
    <n v="706101"/>
  </r>
  <r>
    <n v="10120"/>
    <n v="2"/>
    <d v="2013-08-05T00:00:00"/>
    <s v="DVD"/>
    <n v="101440"/>
    <s v="AB102541"/>
    <x v="14"/>
    <n v="706101"/>
  </r>
  <r>
    <n v="10264"/>
    <n v="10"/>
    <d v="2013-08-05T00:00:00"/>
    <s v="DVD"/>
    <n v="101441"/>
    <s v="AB102542"/>
    <x v="2"/>
    <n v="813719"/>
  </r>
  <r>
    <n v="10178"/>
    <n v="6"/>
    <d v="2013-08-06T00:00:00"/>
    <s v="DVD"/>
    <n v="101442"/>
    <s v="AB102543"/>
    <x v="0"/>
    <n v="864896"/>
  </r>
  <r>
    <n v="10014"/>
    <n v="2"/>
    <d v="2013-08-06T00:00:00"/>
    <s v="BLU-RAY"/>
    <n v="101442"/>
    <s v="AB102544"/>
    <x v="0"/>
    <n v="864896"/>
  </r>
  <r>
    <n v="10187"/>
    <n v="4"/>
    <d v="2013-08-05T00:00:00"/>
    <s v="BLU-RAY"/>
    <n v="101442"/>
    <s v="AB102545"/>
    <x v="1"/>
    <n v="864896"/>
  </r>
  <r>
    <n v="10136"/>
    <n v="2"/>
    <d v="2013-08-05T00:00:00"/>
    <s v="DVD"/>
    <n v="101443"/>
    <s v="AB102546"/>
    <x v="2"/>
    <n v="147216"/>
  </r>
  <r>
    <n v="10059"/>
    <n v="8"/>
    <d v="2013-08-05T00:00:00"/>
    <s v="DVD"/>
    <n v="101443"/>
    <s v="AB102547"/>
    <x v="7"/>
    <n v="147216"/>
  </r>
  <r>
    <n v="10158"/>
    <n v="2"/>
    <d v="2013-08-07T00:00:00"/>
    <s v="DVD"/>
    <n v="101443"/>
    <s v="AB102548"/>
    <x v="0"/>
    <n v="147216"/>
  </r>
  <r>
    <n v="10136"/>
    <n v="4"/>
    <d v="2013-08-06T00:00:00"/>
    <s v="BLU-RAY"/>
    <n v="101443"/>
    <s v="AB102549"/>
    <x v="2"/>
    <n v="147216"/>
  </r>
  <r>
    <n v="10292"/>
    <n v="10"/>
    <d v="2013-08-07T00:00:00"/>
    <s v="BLU-RAY"/>
    <n v="101444"/>
    <s v="AB102550"/>
    <x v="15"/>
    <n v="265339"/>
  </r>
  <r>
    <n v="10018"/>
    <n v="4"/>
    <d v="2013-08-06T00:00:00"/>
    <s v="BLU-RAY"/>
    <n v="101445"/>
    <s v="AB102551"/>
    <x v="9"/>
    <n v="317461"/>
  </r>
  <r>
    <n v="10035"/>
    <n v="1"/>
    <d v="2013-08-07T00:00:00"/>
    <s v="DVD"/>
    <n v="101446"/>
    <s v="AB102552"/>
    <x v="4"/>
    <n v="556152"/>
  </r>
  <r>
    <n v="10056"/>
    <n v="9"/>
    <d v="2013-08-06T00:00:00"/>
    <s v="DVD"/>
    <n v="101446"/>
    <s v="AB102553"/>
    <x v="8"/>
    <n v="556152"/>
  </r>
  <r>
    <n v="10228"/>
    <n v="8"/>
    <d v="2013-08-06T00:00:00"/>
    <s v="DVD"/>
    <n v="101447"/>
    <s v="AB102554"/>
    <x v="7"/>
    <n v="954812"/>
  </r>
  <r>
    <n v="10073"/>
    <n v="6"/>
    <d v="2013-08-06T00:00:00"/>
    <s v="DVD"/>
    <n v="101448"/>
    <s v="AB102555"/>
    <x v="16"/>
    <n v="649551"/>
  </r>
  <r>
    <n v="10098"/>
    <n v="10"/>
    <d v="2013-08-06T00:00:00"/>
    <s v="BLU-RAY"/>
    <n v="101448"/>
    <s v="AB102556"/>
    <x v="0"/>
    <n v="649551"/>
  </r>
  <r>
    <n v="10080"/>
    <n v="5"/>
    <d v="2013-08-07T00:00:00"/>
    <s v="BLU-RAY"/>
    <n v="101448"/>
    <s v="AB102557"/>
    <x v="3"/>
    <n v="649551"/>
  </r>
  <r>
    <n v="10153"/>
    <n v="4"/>
    <d v="2013-08-06T00:00:00"/>
    <s v="DVD"/>
    <n v="101449"/>
    <s v="AB102558"/>
    <x v="10"/>
    <n v="813719"/>
  </r>
  <r>
    <n v="10188"/>
    <n v="10"/>
    <d v="2013-08-08T00:00:00"/>
    <s v="BLU-RAY"/>
    <n v="101449"/>
    <s v="AB102559"/>
    <x v="1"/>
    <n v="813719"/>
  </r>
  <r>
    <n v="10170"/>
    <n v="6"/>
    <d v="2013-08-07T00:00:00"/>
    <s v="BLU-RAY"/>
    <n v="101450"/>
    <s v="AB102560"/>
    <x v="15"/>
    <n v="193968"/>
  </r>
  <r>
    <n v="10296"/>
    <n v="10"/>
    <d v="2013-08-06T00:00:00"/>
    <s v="DVD"/>
    <n v="101451"/>
    <s v="AB102561"/>
    <x v="21"/>
    <n v="447368"/>
  </r>
  <r>
    <n v="10025"/>
    <n v="2"/>
    <d v="2013-08-06T00:00:00"/>
    <s v="DVD"/>
    <n v="101451"/>
    <s v="AB102562"/>
    <x v="4"/>
    <n v="447368"/>
  </r>
  <r>
    <n v="10165"/>
    <n v="1"/>
    <d v="2013-08-06T00:00:00"/>
    <s v="DVD"/>
    <n v="101452"/>
    <s v="AB102563"/>
    <x v="2"/>
    <n v="478274"/>
  </r>
  <r>
    <n v="10274"/>
    <n v="6"/>
    <d v="2013-08-06T00:00:00"/>
    <s v="BLU-RAY"/>
    <n v="101452"/>
    <s v="AB102564"/>
    <x v="9"/>
    <n v="478274"/>
  </r>
  <r>
    <n v="10031"/>
    <n v="4"/>
    <d v="2013-08-06T00:00:00"/>
    <s v="DVD"/>
    <n v="101453"/>
    <s v="AB102565"/>
    <x v="0"/>
    <n v="298508"/>
  </r>
  <r>
    <n v="10062"/>
    <n v="9"/>
    <d v="2013-08-07T00:00:00"/>
    <s v="DVD"/>
    <n v="101453"/>
    <s v="AB102566"/>
    <x v="16"/>
    <n v="298508"/>
  </r>
  <r>
    <n v="10181"/>
    <n v="2"/>
    <d v="2013-08-06T00:00:00"/>
    <s v="DVD"/>
    <n v="101454"/>
    <s v="AB102567"/>
    <x v="9"/>
    <n v="578275"/>
  </r>
  <r>
    <n v="10161"/>
    <n v="1"/>
    <d v="2013-08-07T00:00:00"/>
    <s v="DVD"/>
    <n v="101454"/>
    <s v="AB102568"/>
    <x v="6"/>
    <n v="578275"/>
  </r>
  <r>
    <n v="10264"/>
    <n v="8"/>
    <d v="2013-08-06T00:00:00"/>
    <s v="DVD"/>
    <n v="101454"/>
    <s v="AB102569"/>
    <x v="2"/>
    <n v="578275"/>
  </r>
  <r>
    <n v="10007"/>
    <n v="6"/>
    <d v="2013-08-08T00:00:00"/>
    <s v="DVD"/>
    <n v="101455"/>
    <s v="AB102570"/>
    <x v="4"/>
    <n v="611848"/>
  </r>
  <r>
    <n v="10044"/>
    <n v="1"/>
    <d v="2013-08-06T00:00:00"/>
    <s v="BLU-RAY"/>
    <n v="101456"/>
    <s v="AB102571"/>
    <x v="3"/>
    <n v="742620"/>
  </r>
  <r>
    <n v="10197"/>
    <n v="2"/>
    <d v="2013-08-07T00:00:00"/>
    <s v="DVD"/>
    <n v="101456"/>
    <s v="AB102572"/>
    <x v="0"/>
    <n v="742620"/>
  </r>
  <r>
    <n v="10068"/>
    <n v="9"/>
    <d v="2013-08-06T00:00:00"/>
    <s v="BLU-RAY"/>
    <n v="101457"/>
    <s v="AB102573"/>
    <x v="0"/>
    <n v="731346"/>
  </r>
  <r>
    <n v="10010"/>
    <n v="8"/>
    <d v="2013-08-07T00:00:00"/>
    <s v="DVD"/>
    <n v="101457"/>
    <s v="AB102574"/>
    <x v="3"/>
    <n v="731346"/>
  </r>
  <r>
    <n v="10051"/>
    <n v="9"/>
    <d v="2013-08-06T00:00:00"/>
    <s v="DVD"/>
    <n v="101457"/>
    <s v="AB102575"/>
    <x v="1"/>
    <n v="731346"/>
  </r>
  <r>
    <n v="10061"/>
    <n v="6"/>
    <d v="2013-08-06T00:00:00"/>
    <s v="BLU-RAY"/>
    <n v="101458"/>
    <s v="AB102576"/>
    <x v="9"/>
    <n v="485769"/>
  </r>
  <r>
    <n v="10040"/>
    <n v="9"/>
    <d v="2013-08-07T00:00:00"/>
    <s v="BLU-RAY"/>
    <n v="101459"/>
    <s v="AB102577"/>
    <x v="7"/>
    <n v="842028"/>
  </r>
  <r>
    <n v="10232"/>
    <n v="7"/>
    <d v="2013-08-07T00:00:00"/>
    <s v="BLU-RAY"/>
    <n v="101459"/>
    <s v="AB102578"/>
    <x v="1"/>
    <n v="842028"/>
  </r>
  <r>
    <n v="10166"/>
    <n v="3"/>
    <d v="2013-08-09T00:00:00"/>
    <s v="DVD"/>
    <n v="101459"/>
    <s v="AB102579"/>
    <x v="9"/>
    <n v="842028"/>
  </r>
  <r>
    <n v="10195"/>
    <n v="3"/>
    <d v="2013-08-07T00:00:00"/>
    <s v="BLU-RAY"/>
    <n v="101459"/>
    <s v="AB102580"/>
    <x v="4"/>
    <n v="842028"/>
  </r>
  <r>
    <n v="10142"/>
    <n v="1"/>
    <d v="2013-08-09T00:00:00"/>
    <s v="BLU-RAY"/>
    <n v="101460"/>
    <s v="AB102581"/>
    <x v="0"/>
    <n v="253106"/>
  </r>
  <r>
    <n v="10025"/>
    <n v="8"/>
    <d v="2013-08-07T00:00:00"/>
    <s v="BLU-RAY"/>
    <n v="101460"/>
    <s v="AB102582"/>
    <x v="4"/>
    <n v="253106"/>
  </r>
  <r>
    <n v="10155"/>
    <n v="5"/>
    <d v="2013-08-07T00:00:00"/>
    <s v="BLU-RAY"/>
    <n v="101461"/>
    <s v="AB102583"/>
    <x v="9"/>
    <n v="646700"/>
  </r>
  <r>
    <n v="10237"/>
    <n v="5"/>
    <d v="2013-08-07T00:00:00"/>
    <s v="BLU-RAY"/>
    <n v="101462"/>
    <s v="AB102584"/>
    <x v="0"/>
    <n v="616392"/>
  </r>
  <r>
    <n v="10247"/>
    <n v="7"/>
    <d v="2013-08-07T00:00:00"/>
    <s v="BLU-RAY"/>
    <n v="101462"/>
    <s v="AB102585"/>
    <x v="9"/>
    <n v="616392"/>
  </r>
  <r>
    <n v="10109"/>
    <n v="2"/>
    <d v="2013-08-07T00:00:00"/>
    <s v="DVD"/>
    <n v="101463"/>
    <s v="AB102586"/>
    <x v="0"/>
    <n v="884729"/>
  </r>
  <r>
    <n v="10174"/>
    <n v="8"/>
    <d v="2013-08-07T00:00:00"/>
    <s v="BLU-RAY"/>
    <n v="101464"/>
    <s v="AB102587"/>
    <x v="7"/>
    <n v="256181"/>
  </r>
  <r>
    <n v="10298"/>
    <n v="6"/>
    <d v="2013-08-07T00:00:00"/>
    <s v="BLU-RAY"/>
    <n v="101464"/>
    <s v="AB102588"/>
    <x v="19"/>
    <n v="256181"/>
  </r>
  <r>
    <n v="10180"/>
    <n v="9"/>
    <d v="2013-08-07T00:00:00"/>
    <s v="BLU-RAY"/>
    <n v="101464"/>
    <s v="AB102589"/>
    <x v="12"/>
    <n v="256181"/>
  </r>
  <r>
    <n v="10063"/>
    <n v="3"/>
    <d v="2013-08-07T00:00:00"/>
    <s v="BLU-RAY"/>
    <n v="101464"/>
    <s v="AB102590"/>
    <x v="18"/>
    <n v="256181"/>
  </r>
  <r>
    <n v="10226"/>
    <n v="5"/>
    <d v="2013-08-07T00:00:00"/>
    <s v="BLU-RAY"/>
    <n v="101465"/>
    <s v="AB102591"/>
    <x v="4"/>
    <n v="366695"/>
  </r>
  <r>
    <n v="10290"/>
    <n v="9"/>
    <d v="2013-08-08T00:00:00"/>
    <s v="BLU-RAY"/>
    <n v="101465"/>
    <s v="AB102592"/>
    <x v="2"/>
    <n v="366695"/>
  </r>
  <r>
    <n v="10283"/>
    <n v="3"/>
    <d v="2013-08-08T00:00:00"/>
    <s v="BLU-RAY"/>
    <n v="101465"/>
    <s v="AB102593"/>
    <x v="6"/>
    <n v="366695"/>
  </r>
  <r>
    <n v="10185"/>
    <n v="2"/>
    <d v="2013-08-07T00:00:00"/>
    <s v="DVD"/>
    <n v="101466"/>
    <s v="AB102594"/>
    <x v="0"/>
    <n v="371731"/>
  </r>
  <r>
    <n v="10009"/>
    <n v="10"/>
    <d v="2013-08-07T00:00:00"/>
    <s v="BLU-RAY"/>
    <n v="101466"/>
    <s v="AB102595"/>
    <x v="0"/>
    <n v="371731"/>
  </r>
  <r>
    <n v="10196"/>
    <n v="2"/>
    <d v="2013-08-07T00:00:00"/>
    <s v="DVD"/>
    <n v="101467"/>
    <s v="AB102596"/>
    <x v="9"/>
    <n v="837763"/>
  </r>
  <r>
    <n v="10059"/>
    <n v="1"/>
    <d v="2013-08-07T00:00:00"/>
    <s v="DVD"/>
    <n v="101467"/>
    <s v="AB102597"/>
    <x v="7"/>
    <n v="837763"/>
  </r>
  <r>
    <n v="10299"/>
    <n v="1"/>
    <d v="2013-08-08T00:00:00"/>
    <s v="BLU-RAY"/>
    <n v="101468"/>
    <s v="AB102598"/>
    <x v="22"/>
    <n v="550824"/>
  </r>
  <r>
    <n v="10129"/>
    <n v="4"/>
    <d v="2013-08-07T00:00:00"/>
    <s v="BLU-RAY"/>
    <n v="101468"/>
    <s v="AB102599"/>
    <x v="0"/>
    <n v="550824"/>
  </r>
  <r>
    <n v="10159"/>
    <n v="2"/>
    <d v="2013-08-08T00:00:00"/>
    <s v="BLU-RAY"/>
    <n v="101469"/>
    <s v="AB102600"/>
    <x v="10"/>
    <n v="671101"/>
  </r>
  <r>
    <n v="10248"/>
    <n v="3"/>
    <d v="2013-08-08T00:00:00"/>
    <s v="BLU-RAY"/>
    <n v="101469"/>
    <s v="AB102601"/>
    <x v="12"/>
    <n v="671101"/>
  </r>
  <r>
    <n v="10193"/>
    <n v="8"/>
    <d v="2013-08-08T00:00:00"/>
    <s v="DVD"/>
    <n v="101470"/>
    <s v="AB102602"/>
    <x v="9"/>
    <n v="586201"/>
  </r>
  <r>
    <n v="10065"/>
    <n v="6"/>
    <d v="2013-08-08T00:00:00"/>
    <s v="DVD"/>
    <n v="101470"/>
    <s v="AB102603"/>
    <x v="0"/>
    <n v="586201"/>
  </r>
  <r>
    <n v="10212"/>
    <n v="10"/>
    <d v="2013-08-08T00:00:00"/>
    <s v="BLU-RAY"/>
    <n v="101471"/>
    <s v="AB102604"/>
    <x v="10"/>
    <n v="593317"/>
  </r>
  <r>
    <n v="10288"/>
    <n v="8"/>
    <d v="2013-08-09T00:00:00"/>
    <s v="DVD"/>
    <n v="101472"/>
    <s v="AB102605"/>
    <x v="12"/>
    <n v="469564"/>
  </r>
  <r>
    <n v="10165"/>
    <n v="1"/>
    <d v="2013-08-09T00:00:00"/>
    <s v="DVD"/>
    <n v="101473"/>
    <s v="AB102606"/>
    <x v="2"/>
    <n v="249779"/>
  </r>
  <r>
    <n v="10258"/>
    <n v="3"/>
    <d v="2013-08-09T00:00:00"/>
    <s v="BLU-RAY"/>
    <n v="101474"/>
    <s v="AB102607"/>
    <x v="0"/>
    <n v="189953"/>
  </r>
  <r>
    <n v="10178"/>
    <n v="8"/>
    <d v="2013-08-09T00:00:00"/>
    <s v="BLU-RAY"/>
    <n v="101474"/>
    <s v="AB102608"/>
    <x v="0"/>
    <n v="189953"/>
  </r>
  <r>
    <n v="10180"/>
    <n v="7"/>
    <d v="2013-08-09T00:00:00"/>
    <s v="DVD"/>
    <n v="101475"/>
    <s v="AB102609"/>
    <x v="12"/>
    <n v="157388"/>
  </r>
  <r>
    <n v="10175"/>
    <n v="8"/>
    <d v="2013-08-09T00:00:00"/>
    <s v="DVD"/>
    <n v="101475"/>
    <s v="AB102610"/>
    <x v="3"/>
    <n v="157388"/>
  </r>
  <r>
    <n v="10118"/>
    <n v="3"/>
    <d v="2013-08-09T00:00:00"/>
    <s v="DVD"/>
    <n v="101476"/>
    <s v="AB102611"/>
    <x v="3"/>
    <n v="782947"/>
  </r>
  <r>
    <n v="10017"/>
    <n v="2"/>
    <d v="2013-08-10T00:00:00"/>
    <s v="DVD"/>
    <n v="101476"/>
    <s v="AB102612"/>
    <x v="4"/>
    <n v="782947"/>
  </r>
  <r>
    <n v="10052"/>
    <n v="2"/>
    <d v="2013-08-09T00:00:00"/>
    <s v="DVD"/>
    <n v="101476"/>
    <s v="AB102613"/>
    <x v="0"/>
    <n v="782947"/>
  </r>
  <r>
    <n v="10133"/>
    <n v="10"/>
    <d v="2013-08-09T00:00:00"/>
    <s v="BLU-RAY"/>
    <n v="101477"/>
    <s v="AB102614"/>
    <x v="9"/>
    <n v="454143"/>
  </r>
  <r>
    <n v="10073"/>
    <n v="9"/>
    <d v="2013-08-10T00:00:00"/>
    <s v="BLU-RAY"/>
    <n v="101478"/>
    <s v="AB102615"/>
    <x v="16"/>
    <n v="927518"/>
  </r>
  <r>
    <n v="10037"/>
    <n v="2"/>
    <d v="2013-08-09T00:00:00"/>
    <s v="BLU-RAY"/>
    <n v="101479"/>
    <s v="AB102616"/>
    <x v="3"/>
    <n v="469564"/>
  </r>
  <r>
    <n v="10059"/>
    <n v="6"/>
    <d v="2013-08-09T00:00:00"/>
    <s v="BLU-RAY"/>
    <n v="101479"/>
    <s v="AB102617"/>
    <x v="7"/>
    <n v="469564"/>
  </r>
  <r>
    <n v="10299"/>
    <n v="7"/>
    <d v="2013-08-09T00:00:00"/>
    <s v="BLU-RAY"/>
    <n v="101480"/>
    <s v="AB102618"/>
    <x v="22"/>
    <n v="731346"/>
  </r>
  <r>
    <n v="10082"/>
    <n v="4"/>
    <d v="2013-08-10T00:00:00"/>
    <s v="BLU-RAY"/>
    <n v="101481"/>
    <s v="AB102619"/>
    <x v="3"/>
    <n v="908328"/>
  </r>
  <r>
    <n v="10290"/>
    <n v="6"/>
    <d v="2013-08-10T00:00:00"/>
    <s v="DVD"/>
    <n v="101482"/>
    <s v="AB102620"/>
    <x v="2"/>
    <n v="927518"/>
  </r>
  <r>
    <n v="10220"/>
    <n v="9"/>
    <d v="2013-08-09T00:00:00"/>
    <s v="BLU-RAY"/>
    <n v="101483"/>
    <s v="AB102621"/>
    <x v="9"/>
    <n v="191951"/>
  </r>
  <r>
    <n v="10187"/>
    <n v="5"/>
    <d v="2013-08-09T00:00:00"/>
    <s v="DVD"/>
    <n v="101483"/>
    <s v="AB102622"/>
    <x v="1"/>
    <n v="191951"/>
  </r>
  <r>
    <n v="10257"/>
    <n v="4"/>
    <d v="2013-08-10T00:00:00"/>
    <s v="DVD"/>
    <n v="101484"/>
    <s v="AB102623"/>
    <x v="9"/>
    <n v="448993"/>
  </r>
  <r>
    <n v="10022"/>
    <n v="3"/>
    <d v="2013-08-09T00:00:00"/>
    <s v="DVD"/>
    <n v="101484"/>
    <s v="AB102624"/>
    <x v="7"/>
    <n v="448993"/>
  </r>
  <r>
    <n v="10040"/>
    <n v="5"/>
    <d v="2013-08-09T00:00:00"/>
    <s v="DVD"/>
    <n v="101484"/>
    <s v="AB102625"/>
    <x v="7"/>
    <n v="448993"/>
  </r>
  <r>
    <n v="10108"/>
    <n v="2"/>
    <d v="2013-08-10T00:00:00"/>
    <s v="BLU-RAY"/>
    <n v="101485"/>
    <s v="AB102626"/>
    <x v="9"/>
    <n v="485769"/>
  </r>
  <r>
    <n v="10070"/>
    <n v="3"/>
    <d v="2013-08-10T00:00:00"/>
    <s v="BLU-RAY"/>
    <n v="101485"/>
    <s v="AB102627"/>
    <x v="1"/>
    <n v="485769"/>
  </r>
  <r>
    <n v="10062"/>
    <n v="9"/>
    <d v="2013-08-10T00:00:00"/>
    <s v="BLU-RAY"/>
    <n v="101486"/>
    <s v="AB102628"/>
    <x v="16"/>
    <n v="925565"/>
  </r>
  <r>
    <n v="10127"/>
    <n v="4"/>
    <d v="2013-08-10T00:00:00"/>
    <s v="BLU-RAY"/>
    <n v="101487"/>
    <s v="AB102629"/>
    <x v="6"/>
    <n v="739669"/>
  </r>
  <r>
    <n v="10276"/>
    <n v="5"/>
    <d v="2013-08-11T00:00:00"/>
    <s v="BLU-RAY"/>
    <n v="101487"/>
    <s v="AB102630"/>
    <x v="16"/>
    <n v="739669"/>
  </r>
  <r>
    <n v="10008"/>
    <n v="8"/>
    <d v="2013-08-10T00:00:00"/>
    <s v="DVD"/>
    <n v="101488"/>
    <s v="AB102631"/>
    <x v="4"/>
    <n v="580674"/>
  </r>
  <r>
    <n v="10067"/>
    <n v="1"/>
    <d v="2013-08-10T00:00:00"/>
    <s v="DVD"/>
    <n v="101489"/>
    <s v="AB102632"/>
    <x v="1"/>
    <n v="170500"/>
  </r>
  <r>
    <n v="10174"/>
    <n v="4"/>
    <d v="2013-08-11T00:00:00"/>
    <s v="BLU-RAY"/>
    <n v="101490"/>
    <s v="AB102633"/>
    <x v="7"/>
    <n v="422717"/>
  </r>
  <r>
    <n v="10154"/>
    <n v="1"/>
    <d v="2013-08-12T00:00:00"/>
    <s v="DVD"/>
    <n v="101490"/>
    <s v="AB102634"/>
    <x v="5"/>
    <n v="422717"/>
  </r>
  <r>
    <n v="10007"/>
    <n v="7"/>
    <d v="2013-08-12T00:00:00"/>
    <s v="BLU-RAY"/>
    <n v="101491"/>
    <s v="AB102635"/>
    <x v="4"/>
    <n v="592528"/>
  </r>
  <r>
    <n v="10287"/>
    <n v="7"/>
    <d v="2013-08-12T00:00:00"/>
    <s v="DVD"/>
    <n v="101491"/>
    <s v="AB102636"/>
    <x v="10"/>
    <n v="592528"/>
  </r>
  <r>
    <n v="10126"/>
    <n v="7"/>
    <d v="2013-08-11T00:00:00"/>
    <s v="DVD"/>
    <n v="101491"/>
    <s v="AB102637"/>
    <x v="9"/>
    <n v="592528"/>
  </r>
  <r>
    <n v="10297"/>
    <n v="5"/>
    <d v="2013-08-10T00:00:00"/>
    <s v="BLU-RAY"/>
    <n v="101492"/>
    <s v="AB102638"/>
    <x v="14"/>
    <n v="296208"/>
  </r>
  <r>
    <n v="10250"/>
    <n v="8"/>
    <d v="2013-08-10T00:00:00"/>
    <s v="DVD"/>
    <n v="101492"/>
    <s v="AB102639"/>
    <x v="3"/>
    <n v="296208"/>
  </r>
  <r>
    <n v="10152"/>
    <n v="10"/>
    <d v="2013-08-10T00:00:00"/>
    <s v="BLU-RAY"/>
    <n v="101493"/>
    <s v="AB102640"/>
    <x v="16"/>
    <n v="872851"/>
  </r>
  <r>
    <n v="10086"/>
    <n v="10"/>
    <d v="2013-08-10T00:00:00"/>
    <s v="DVD"/>
    <n v="101494"/>
    <s v="AB102641"/>
    <x v="3"/>
    <n v="160392"/>
  </r>
  <r>
    <n v="10060"/>
    <n v="4"/>
    <d v="2013-08-10T00:00:00"/>
    <s v="BLU-RAY"/>
    <n v="101495"/>
    <s v="AB102642"/>
    <x v="0"/>
    <n v="616392"/>
  </r>
  <r>
    <n v="10060"/>
    <n v="9"/>
    <d v="2013-08-10T00:00:00"/>
    <s v="BLU-RAY"/>
    <n v="101495"/>
    <s v="AB102643"/>
    <x v="0"/>
    <n v="616392"/>
  </r>
  <r>
    <n v="10129"/>
    <n v="8"/>
    <d v="2013-08-11T00:00:00"/>
    <s v="BLU-RAY"/>
    <n v="101496"/>
    <s v="AB102644"/>
    <x v="0"/>
    <n v="941876"/>
  </r>
  <r>
    <n v="10268"/>
    <n v="1"/>
    <d v="2013-08-12T00:00:00"/>
    <s v="BLU-RAY"/>
    <n v="101497"/>
    <s v="AB102645"/>
    <x v="3"/>
    <n v="643214"/>
  </r>
  <r>
    <n v="10244"/>
    <n v="9"/>
    <d v="2013-08-11T00:00:00"/>
    <s v="DVD"/>
    <n v="101498"/>
    <s v="AB102646"/>
    <x v="4"/>
    <n v="220206"/>
  </r>
  <r>
    <n v="10211"/>
    <n v="4"/>
    <d v="2013-08-11T00:00:00"/>
    <s v="BLU-RAY"/>
    <n v="101499"/>
    <s v="AB102647"/>
    <x v="3"/>
    <n v="396166"/>
  </r>
  <r>
    <n v="10057"/>
    <n v="2"/>
    <d v="2013-08-12T00:00:00"/>
    <s v="DVD"/>
    <n v="101499"/>
    <s v="AB102648"/>
    <x v="0"/>
    <n v="396166"/>
  </r>
  <r>
    <n v="10221"/>
    <n v="8"/>
    <d v="2013-08-11T00:00:00"/>
    <s v="DVD"/>
    <n v="101500"/>
    <s v="AB102649"/>
    <x v="9"/>
    <n v="464984"/>
  </r>
  <r>
    <n v="10227"/>
    <n v="3"/>
    <d v="2013-08-12T00:00:00"/>
    <s v="DVD"/>
    <n v="101500"/>
    <s v="AB102650"/>
    <x v="14"/>
    <n v="464984"/>
  </r>
  <r>
    <n v="10287"/>
    <n v="10"/>
    <d v="2013-08-11T00:00:00"/>
    <s v="DVD"/>
    <n v="101501"/>
    <s v="AB102651"/>
    <x v="10"/>
    <n v="286196"/>
  </r>
  <r>
    <n v="10238"/>
    <n v="2"/>
    <d v="2013-08-11T00:00:00"/>
    <s v="DVD"/>
    <n v="101501"/>
    <s v="AB102652"/>
    <x v="0"/>
    <n v="286196"/>
  </r>
  <r>
    <n v="10196"/>
    <n v="9"/>
    <d v="2013-08-11T00:00:00"/>
    <s v="DVD"/>
    <n v="101501"/>
    <s v="AB102653"/>
    <x v="9"/>
    <n v="286196"/>
  </r>
  <r>
    <n v="10035"/>
    <n v="2"/>
    <d v="2013-08-11T00:00:00"/>
    <s v="DVD"/>
    <n v="101502"/>
    <s v="AB102654"/>
    <x v="4"/>
    <n v="664411"/>
  </r>
  <r>
    <n v="10016"/>
    <n v="10"/>
    <d v="2013-08-11T00:00:00"/>
    <s v="BLU-RAY"/>
    <n v="101502"/>
    <s v="AB102655"/>
    <x v="7"/>
    <n v="664411"/>
  </r>
  <r>
    <n v="10086"/>
    <n v="2"/>
    <d v="2013-08-11T00:00:00"/>
    <s v="BLU-RAY"/>
    <n v="101502"/>
    <s v="AB102656"/>
    <x v="3"/>
    <n v="664411"/>
  </r>
  <r>
    <n v="10232"/>
    <n v="6"/>
    <d v="2013-08-12T00:00:00"/>
    <s v="BLU-RAY"/>
    <n v="101503"/>
    <s v="AB102657"/>
    <x v="1"/>
    <n v="590517"/>
  </r>
  <r>
    <n v="10005"/>
    <n v="5"/>
    <d v="2013-08-11T00:00:00"/>
    <s v="BLU-RAY"/>
    <n v="101504"/>
    <s v="AB102658"/>
    <x v="3"/>
    <n v="664411"/>
  </r>
  <r>
    <n v="10258"/>
    <n v="9"/>
    <d v="2013-08-12T00:00:00"/>
    <s v="DVD"/>
    <n v="101505"/>
    <s v="AB102659"/>
    <x v="0"/>
    <n v="742620"/>
  </r>
  <r>
    <n v="10289"/>
    <n v="1"/>
    <d v="2013-08-11T00:00:00"/>
    <s v="BLU-RAY"/>
    <n v="101506"/>
    <s v="AB102660"/>
    <x v="11"/>
    <n v="882493"/>
  </r>
  <r>
    <n v="10160"/>
    <n v="4"/>
    <d v="2013-08-11T00:00:00"/>
    <s v="BLU-RAY"/>
    <n v="101507"/>
    <s v="AB102661"/>
    <x v="10"/>
    <n v="465275"/>
  </r>
  <r>
    <n v="10124"/>
    <n v="8"/>
    <d v="2013-08-11T00:00:00"/>
    <s v="DVD"/>
    <n v="101507"/>
    <s v="AB102662"/>
    <x v="1"/>
    <n v="465275"/>
  </r>
  <r>
    <n v="10003"/>
    <n v="1"/>
    <d v="2013-08-11T00:00:00"/>
    <s v="DVD"/>
    <n v="101507"/>
    <s v="AB102663"/>
    <x v="1"/>
    <n v="465275"/>
  </r>
  <r>
    <n v="10288"/>
    <n v="4"/>
    <d v="2013-08-11T00:00:00"/>
    <s v="DVD"/>
    <n v="101508"/>
    <s v="AB102664"/>
    <x v="12"/>
    <n v="813719"/>
  </r>
  <r>
    <n v="10014"/>
    <n v="10"/>
    <d v="2013-08-12T00:00:00"/>
    <s v="DVD"/>
    <n v="101509"/>
    <s v="AB102665"/>
    <x v="0"/>
    <n v="202612"/>
  </r>
  <r>
    <n v="10173"/>
    <n v="4"/>
    <d v="2013-08-12T00:00:00"/>
    <s v="BLU-RAY"/>
    <n v="101510"/>
    <s v="AB102666"/>
    <x v="4"/>
    <n v="493552"/>
  </r>
  <r>
    <n v="10046"/>
    <n v="4"/>
    <d v="2013-08-13T00:00:00"/>
    <s v="BLU-RAY"/>
    <n v="101511"/>
    <s v="AB102667"/>
    <x v="4"/>
    <n v="888952"/>
  </r>
  <r>
    <n v="10015"/>
    <n v="5"/>
    <d v="2013-08-11T00:00:00"/>
    <s v="BLU-RAY"/>
    <n v="101511"/>
    <s v="AB102668"/>
    <x v="6"/>
    <n v="888952"/>
  </r>
  <r>
    <n v="10063"/>
    <n v="8"/>
    <d v="2013-08-12T00:00:00"/>
    <s v="DVD"/>
    <n v="101512"/>
    <s v="AB102669"/>
    <x v="18"/>
    <n v="766161"/>
  </r>
  <r>
    <n v="10251"/>
    <n v="10"/>
    <d v="2013-08-13T00:00:00"/>
    <s v="BLU-RAY"/>
    <n v="101513"/>
    <s v="AB102670"/>
    <x v="7"/>
    <n v="194680"/>
  </r>
  <r>
    <n v="10045"/>
    <n v="7"/>
    <d v="2013-08-12T00:00:00"/>
    <s v="DVD"/>
    <n v="101514"/>
    <s v="AB102671"/>
    <x v="0"/>
    <n v="593317"/>
  </r>
  <r>
    <n v="10276"/>
    <n v="10"/>
    <d v="2013-08-12T00:00:00"/>
    <s v="BLU-RAY"/>
    <n v="101515"/>
    <s v="AB102672"/>
    <x v="16"/>
    <n v="618955"/>
  </r>
  <r>
    <n v="10066"/>
    <n v="7"/>
    <d v="2013-08-12T00:00:00"/>
    <s v="BLU-RAY"/>
    <n v="101515"/>
    <s v="AB102673"/>
    <x v="3"/>
    <n v="618955"/>
  </r>
  <r>
    <n v="10299"/>
    <n v="7"/>
    <d v="2013-08-12T00:00:00"/>
    <s v="BLU-RAY"/>
    <n v="101515"/>
    <s v="AB102674"/>
    <x v="22"/>
    <n v="618955"/>
  </r>
  <r>
    <n v="10099"/>
    <n v="2"/>
    <d v="2013-08-12T00:00:00"/>
    <s v="DVD"/>
    <n v="101516"/>
    <s v="AB102675"/>
    <x v="10"/>
    <n v="808421"/>
  </r>
  <r>
    <n v="10239"/>
    <n v="3"/>
    <d v="2013-08-12T00:00:00"/>
    <s v="BLU-RAY"/>
    <n v="101516"/>
    <s v="AB102676"/>
    <x v="2"/>
    <n v="808421"/>
  </r>
  <r>
    <n v="10161"/>
    <n v="1"/>
    <d v="2013-08-13T00:00:00"/>
    <s v="DVD"/>
    <n v="101516"/>
    <s v="AB102677"/>
    <x v="6"/>
    <n v="808421"/>
  </r>
  <r>
    <n v="10150"/>
    <n v="7"/>
    <d v="2013-08-13T00:00:00"/>
    <s v="DVD"/>
    <n v="101517"/>
    <s v="AB102678"/>
    <x v="14"/>
    <n v="547890"/>
  </r>
  <r>
    <n v="10086"/>
    <n v="4"/>
    <d v="2013-08-13T00:00:00"/>
    <s v="BLU-RAY"/>
    <n v="101517"/>
    <s v="AB102679"/>
    <x v="3"/>
    <n v="547890"/>
  </r>
  <r>
    <n v="10098"/>
    <n v="8"/>
    <d v="2013-08-13T00:00:00"/>
    <s v="BLU-RAY"/>
    <n v="101518"/>
    <s v="AB102680"/>
    <x v="0"/>
    <n v="918682"/>
  </r>
  <r>
    <n v="10101"/>
    <n v="8"/>
    <d v="2013-08-13T00:00:00"/>
    <s v="BLU-RAY"/>
    <n v="101518"/>
    <s v="AB102681"/>
    <x v="4"/>
    <n v="918682"/>
  </r>
  <r>
    <n v="10073"/>
    <n v="5"/>
    <d v="2013-08-13T00:00:00"/>
    <s v="DVD"/>
    <n v="101519"/>
    <s v="AB102682"/>
    <x v="16"/>
    <n v="306853"/>
  </r>
  <r>
    <n v="10008"/>
    <n v="5"/>
    <d v="2013-08-13T00:00:00"/>
    <s v="DVD"/>
    <n v="101519"/>
    <s v="AB102683"/>
    <x v="4"/>
    <n v="306853"/>
  </r>
  <r>
    <n v="10041"/>
    <n v="4"/>
    <d v="2013-08-14T00:00:00"/>
    <s v="DVD"/>
    <n v="101520"/>
    <s v="AB102684"/>
    <x v="10"/>
    <n v="724813"/>
  </r>
  <r>
    <n v="10174"/>
    <n v="6"/>
    <d v="2013-08-14T00:00:00"/>
    <s v="BLU-RAY"/>
    <n v="101520"/>
    <s v="AB102685"/>
    <x v="7"/>
    <n v="724813"/>
  </r>
  <r>
    <n v="10064"/>
    <n v="2"/>
    <d v="2013-08-13T00:00:00"/>
    <s v="BLU-RAY"/>
    <n v="101520"/>
    <s v="AB102686"/>
    <x v="7"/>
    <n v="724813"/>
  </r>
  <r>
    <n v="10071"/>
    <n v="1"/>
    <d v="2013-08-13T00:00:00"/>
    <s v="DVD"/>
    <n v="101521"/>
    <s v="AB102687"/>
    <x v="1"/>
    <n v="149240"/>
  </r>
  <r>
    <n v="10258"/>
    <n v="4"/>
    <d v="2013-08-13T00:00:00"/>
    <s v="BLU-RAY"/>
    <n v="101521"/>
    <s v="AB102688"/>
    <x v="0"/>
    <n v="149240"/>
  </r>
  <r>
    <n v="10285"/>
    <n v="7"/>
    <d v="2013-08-14T00:00:00"/>
    <s v="BLU-RAY"/>
    <n v="101522"/>
    <s v="AB102689"/>
    <x v="20"/>
    <n v="479497"/>
  </r>
  <r>
    <n v="10061"/>
    <n v="2"/>
    <d v="2013-08-14T00:00:00"/>
    <s v="BLU-RAY"/>
    <n v="101522"/>
    <s v="AB102690"/>
    <x v="9"/>
    <n v="479497"/>
  </r>
  <r>
    <n v="10247"/>
    <n v="8"/>
    <d v="2013-08-15T00:00:00"/>
    <s v="DVD"/>
    <n v="101523"/>
    <s v="AB102691"/>
    <x v="9"/>
    <n v="315634"/>
  </r>
  <r>
    <n v="10176"/>
    <n v="1"/>
    <d v="2013-08-13T00:00:00"/>
    <s v="BLU-RAY"/>
    <n v="101524"/>
    <s v="AB102692"/>
    <x v="7"/>
    <n v="933331"/>
  </r>
  <r>
    <n v="10074"/>
    <n v="1"/>
    <d v="2013-08-14T00:00:00"/>
    <s v="DVD"/>
    <n v="101524"/>
    <s v="AB102693"/>
    <x v="11"/>
    <n v="933331"/>
  </r>
  <r>
    <n v="10189"/>
    <n v="3"/>
    <d v="2013-08-14T00:00:00"/>
    <s v="DVD"/>
    <n v="101525"/>
    <s v="AB102694"/>
    <x v="7"/>
    <n v="305005"/>
  </r>
  <r>
    <n v="10050"/>
    <n v="6"/>
    <d v="2013-08-13T00:00:00"/>
    <s v="BLU-RAY"/>
    <n v="101526"/>
    <s v="AB102695"/>
    <x v="1"/>
    <n v="345748"/>
  </r>
  <r>
    <n v="10180"/>
    <n v="1"/>
    <d v="2013-08-13T00:00:00"/>
    <s v="DVD"/>
    <n v="101526"/>
    <s v="AB102696"/>
    <x v="12"/>
    <n v="345748"/>
  </r>
  <r>
    <n v="10117"/>
    <n v="7"/>
    <d v="2013-08-14T00:00:00"/>
    <s v="DVD"/>
    <n v="101527"/>
    <s v="AB102697"/>
    <x v="4"/>
    <n v="385115"/>
  </r>
  <r>
    <n v="10007"/>
    <n v="8"/>
    <d v="2013-08-15T00:00:00"/>
    <s v="BLU-RAY"/>
    <n v="101527"/>
    <s v="AB102698"/>
    <x v="4"/>
    <n v="385115"/>
  </r>
  <r>
    <n v="10112"/>
    <n v="10"/>
    <d v="2013-08-14T00:00:00"/>
    <s v="DVD"/>
    <n v="101528"/>
    <s v="AB102699"/>
    <x v="12"/>
    <n v="850933"/>
  </r>
  <r>
    <n v="10227"/>
    <n v="9"/>
    <d v="2013-08-14T00:00:00"/>
    <s v="DVD"/>
    <n v="101528"/>
    <s v="AB102700"/>
    <x v="14"/>
    <n v="850933"/>
  </r>
  <r>
    <n v="10239"/>
    <n v="5"/>
    <d v="2013-08-14T00:00:00"/>
    <s v="BLU-RAY"/>
    <n v="101529"/>
    <s v="AB102701"/>
    <x v="2"/>
    <n v="622506"/>
  </r>
  <r>
    <n v="10047"/>
    <n v="10"/>
    <d v="2013-08-14T00:00:00"/>
    <s v="DVD"/>
    <n v="101529"/>
    <s v="AB102702"/>
    <x v="0"/>
    <n v="622506"/>
  </r>
  <r>
    <n v="10276"/>
    <n v="3"/>
    <d v="2013-08-14T00:00:00"/>
    <s v="BLU-RAY"/>
    <n v="101530"/>
    <s v="AB102703"/>
    <x v="16"/>
    <n v="550824"/>
  </r>
  <r>
    <n v="10184"/>
    <n v="10"/>
    <d v="2013-08-14T00:00:00"/>
    <s v="DVD"/>
    <n v="101530"/>
    <s v="AB102704"/>
    <x v="7"/>
    <n v="550824"/>
  </r>
  <r>
    <n v="10028"/>
    <n v="2"/>
    <d v="2013-08-14T00:00:00"/>
    <s v="DVD"/>
    <n v="101531"/>
    <s v="AB102705"/>
    <x v="5"/>
    <n v="924649"/>
  </r>
  <r>
    <n v="10116"/>
    <n v="5"/>
    <d v="2013-08-15T00:00:00"/>
    <s v="DVD"/>
    <n v="101531"/>
    <s v="AB102706"/>
    <x v="7"/>
    <n v="924649"/>
  </r>
  <r>
    <n v="10127"/>
    <n v="3"/>
    <d v="2013-08-14T00:00:00"/>
    <s v="DVD"/>
    <n v="101532"/>
    <s v="AB102707"/>
    <x v="6"/>
    <n v="425051"/>
  </r>
  <r>
    <n v="10271"/>
    <n v="7"/>
    <d v="2013-08-15T00:00:00"/>
    <s v="DVD"/>
    <n v="101532"/>
    <s v="AB102708"/>
    <x v="7"/>
    <n v="425051"/>
  </r>
  <r>
    <n v="10135"/>
    <n v="10"/>
    <d v="2013-08-14T00:00:00"/>
    <s v="DVD"/>
    <n v="101533"/>
    <s v="AB102709"/>
    <x v="7"/>
    <n v="586201"/>
  </r>
  <r>
    <n v="10052"/>
    <n v="1"/>
    <d v="2013-08-14T00:00:00"/>
    <s v="BLU-RAY"/>
    <n v="101534"/>
    <s v="AB102710"/>
    <x v="0"/>
    <n v="900440"/>
  </r>
  <r>
    <n v="10206"/>
    <n v="1"/>
    <d v="2013-08-15T00:00:00"/>
    <s v="BLU-RAY"/>
    <n v="101534"/>
    <s v="AB102711"/>
    <x v="9"/>
    <n v="900440"/>
  </r>
  <r>
    <n v="10062"/>
    <n v="9"/>
    <d v="2013-08-14T00:00:00"/>
    <s v="DVD"/>
    <n v="101534"/>
    <s v="AB102712"/>
    <x v="16"/>
    <n v="900440"/>
  </r>
  <r>
    <n v="10252"/>
    <n v="10"/>
    <d v="2013-08-14T00:00:00"/>
    <s v="DVD"/>
    <n v="101535"/>
    <s v="AB102713"/>
    <x v="0"/>
    <n v="559688"/>
  </r>
  <r>
    <n v="10101"/>
    <n v="6"/>
    <d v="2013-08-16T00:00:00"/>
    <s v="BLU-RAY"/>
    <n v="101535"/>
    <s v="AB102714"/>
    <x v="4"/>
    <n v="559688"/>
  </r>
  <r>
    <n v="10189"/>
    <n v="7"/>
    <d v="2013-08-15T00:00:00"/>
    <s v="DVD"/>
    <n v="101535"/>
    <s v="AB102715"/>
    <x v="7"/>
    <n v="559688"/>
  </r>
  <r>
    <n v="10025"/>
    <n v="4"/>
    <d v="2013-08-16T00:00:00"/>
    <s v="DVD"/>
    <n v="101536"/>
    <s v="AB102716"/>
    <x v="4"/>
    <n v="766161"/>
  </r>
  <r>
    <n v="10054"/>
    <n v="5"/>
    <d v="2013-08-15T00:00:00"/>
    <s v="BLU-RAY"/>
    <n v="101537"/>
    <s v="AB102717"/>
    <x v="1"/>
    <n v="897614"/>
  </r>
  <r>
    <n v="10084"/>
    <n v="6"/>
    <d v="2013-08-16T00:00:00"/>
    <s v="BLU-RAY"/>
    <n v="101537"/>
    <s v="AB102718"/>
    <x v="18"/>
    <n v="897614"/>
  </r>
  <r>
    <n v="10048"/>
    <n v="1"/>
    <d v="2013-08-15T00:00:00"/>
    <s v="DVD"/>
    <n v="101538"/>
    <s v="AB102719"/>
    <x v="12"/>
    <n v="119406"/>
  </r>
  <r>
    <n v="10276"/>
    <n v="2"/>
    <d v="2013-08-15T00:00:00"/>
    <s v="DVD"/>
    <n v="101539"/>
    <s v="AB102720"/>
    <x v="16"/>
    <n v="627324"/>
  </r>
  <r>
    <n v="10128"/>
    <n v="7"/>
    <d v="2013-08-15T00:00:00"/>
    <s v="DVD"/>
    <n v="101539"/>
    <s v="AB102721"/>
    <x v="6"/>
    <n v="627324"/>
  </r>
  <r>
    <n v="10229"/>
    <n v="9"/>
    <d v="2013-08-15T00:00:00"/>
    <s v="BLU-RAY"/>
    <n v="101540"/>
    <s v="AB102722"/>
    <x v="6"/>
    <n v="347659"/>
  </r>
  <r>
    <n v="10125"/>
    <n v="8"/>
    <d v="2013-08-15T00:00:00"/>
    <s v="BLU-RAY"/>
    <n v="101540"/>
    <s v="AB102723"/>
    <x v="9"/>
    <n v="347659"/>
  </r>
  <r>
    <n v="10230"/>
    <n v="2"/>
    <d v="2013-08-16T00:00:00"/>
    <s v="BLU-RAY"/>
    <n v="101540"/>
    <s v="AB102724"/>
    <x v="14"/>
    <n v="347659"/>
  </r>
  <r>
    <n v="10131"/>
    <n v="6"/>
    <d v="2013-08-15T00:00:00"/>
    <s v="DVD"/>
    <n v="101541"/>
    <s v="AB102725"/>
    <x v="0"/>
    <n v="199895"/>
  </r>
  <r>
    <n v="10027"/>
    <n v="10"/>
    <d v="2013-08-16T00:00:00"/>
    <s v="DVD"/>
    <n v="101542"/>
    <s v="AB102726"/>
    <x v="16"/>
    <n v="668931"/>
  </r>
  <r>
    <n v="10127"/>
    <n v="9"/>
    <d v="2013-08-15T00:00:00"/>
    <s v="DVD"/>
    <n v="101542"/>
    <s v="AB102727"/>
    <x v="6"/>
    <n v="668931"/>
  </r>
  <r>
    <n v="10161"/>
    <n v="8"/>
    <d v="2013-08-15T00:00:00"/>
    <s v="DVD"/>
    <n v="101542"/>
    <s v="AB102728"/>
    <x v="6"/>
    <n v="668931"/>
  </r>
  <r>
    <n v="10122"/>
    <n v="9"/>
    <d v="2013-08-15T00:00:00"/>
    <s v="BLU-RAY"/>
    <n v="101542"/>
    <s v="AB102729"/>
    <x v="12"/>
    <n v="668931"/>
  </r>
  <r>
    <n v="10122"/>
    <n v="6"/>
    <d v="2013-08-15T00:00:00"/>
    <s v="DVD"/>
    <n v="101543"/>
    <s v="AB102730"/>
    <x v="12"/>
    <n v="798336"/>
  </r>
  <r>
    <n v="10234"/>
    <n v="2"/>
    <d v="2013-08-15T00:00:00"/>
    <s v="BLU-RAY"/>
    <n v="101544"/>
    <s v="AB102731"/>
    <x v="0"/>
    <n v="616392"/>
  </r>
  <r>
    <n v="10236"/>
    <n v="10"/>
    <d v="2013-08-17T00:00:00"/>
    <s v="DVD"/>
    <n v="101544"/>
    <s v="AB102732"/>
    <x v="10"/>
    <n v="616392"/>
  </r>
  <r>
    <n v="10157"/>
    <n v="8"/>
    <d v="2013-08-15T00:00:00"/>
    <s v="BLU-RAY"/>
    <n v="101544"/>
    <s v="AB102733"/>
    <x v="1"/>
    <n v="616392"/>
  </r>
  <r>
    <n v="10182"/>
    <n v="9"/>
    <d v="2013-08-17T00:00:00"/>
    <s v="DVD"/>
    <n v="101545"/>
    <s v="AB102734"/>
    <x v="0"/>
    <n v="454143"/>
  </r>
  <r>
    <n v="10130"/>
    <n v="3"/>
    <d v="2013-08-16T00:00:00"/>
    <s v="DVD"/>
    <n v="101546"/>
    <s v="AB102735"/>
    <x v="21"/>
    <n v="412876"/>
  </r>
  <r>
    <n v="10124"/>
    <n v="4"/>
    <d v="2013-08-16T00:00:00"/>
    <s v="BLU-RAY"/>
    <n v="101546"/>
    <s v="AB102736"/>
    <x v="1"/>
    <n v="412876"/>
  </r>
  <r>
    <n v="10252"/>
    <n v="6"/>
    <d v="2013-08-17T00:00:00"/>
    <s v="DVD"/>
    <n v="101547"/>
    <s v="AB102737"/>
    <x v="0"/>
    <n v="380003"/>
  </r>
  <r>
    <n v="10195"/>
    <n v="3"/>
    <d v="2013-08-16T00:00:00"/>
    <s v="BLU-RAY"/>
    <n v="101548"/>
    <s v="AB102738"/>
    <x v="4"/>
    <n v="567719"/>
  </r>
  <r>
    <n v="10066"/>
    <n v="6"/>
    <d v="2013-08-18T00:00:00"/>
    <s v="DVD"/>
    <n v="101549"/>
    <s v="AB102739"/>
    <x v="3"/>
    <n v="622131"/>
  </r>
  <r>
    <n v="10028"/>
    <n v="9"/>
    <d v="2013-08-17T00:00:00"/>
    <s v="DVD"/>
    <n v="101549"/>
    <s v="AB102740"/>
    <x v="5"/>
    <n v="622131"/>
  </r>
  <r>
    <n v="10182"/>
    <n v="7"/>
    <d v="2013-08-18T00:00:00"/>
    <s v="DVD"/>
    <n v="101550"/>
    <s v="AB102741"/>
    <x v="0"/>
    <n v="458448"/>
  </r>
  <r>
    <n v="10092"/>
    <n v="8"/>
    <d v="2013-08-16T00:00:00"/>
    <s v="DVD"/>
    <n v="101550"/>
    <s v="AB102742"/>
    <x v="0"/>
    <n v="458448"/>
  </r>
  <r>
    <n v="10128"/>
    <n v="2"/>
    <d v="2013-08-17T00:00:00"/>
    <s v="DVD"/>
    <n v="101551"/>
    <s v="AB102743"/>
    <x v="6"/>
    <n v="366695"/>
  </r>
  <r>
    <n v="10193"/>
    <n v="5"/>
    <d v="2013-08-16T00:00:00"/>
    <s v="DVD"/>
    <n v="101551"/>
    <s v="AB102744"/>
    <x v="9"/>
    <n v="366695"/>
  </r>
  <r>
    <n v="10267"/>
    <n v="5"/>
    <d v="2013-08-17T00:00:00"/>
    <s v="BLU-RAY"/>
    <n v="101552"/>
    <s v="AB102745"/>
    <x v="6"/>
    <n v="197102"/>
  </r>
  <r>
    <n v="10041"/>
    <n v="2"/>
    <d v="2013-08-16T00:00:00"/>
    <s v="BLU-RAY"/>
    <n v="101552"/>
    <s v="AB102746"/>
    <x v="10"/>
    <n v="197102"/>
  </r>
  <r>
    <n v="10090"/>
    <n v="3"/>
    <d v="2013-08-16T00:00:00"/>
    <s v="DVD"/>
    <n v="101553"/>
    <s v="AB102747"/>
    <x v="1"/>
    <n v="345348"/>
  </r>
  <r>
    <n v="10288"/>
    <n v="2"/>
    <d v="2013-08-16T00:00:00"/>
    <s v="DVD"/>
    <n v="101554"/>
    <s v="AB102748"/>
    <x v="12"/>
    <n v="797968"/>
  </r>
  <r>
    <n v="10010"/>
    <n v="6"/>
    <d v="2013-08-16T00:00:00"/>
    <s v="BLU-RAY"/>
    <n v="101554"/>
    <s v="AB102749"/>
    <x v="3"/>
    <n v="797968"/>
  </r>
  <r>
    <n v="10166"/>
    <n v="7"/>
    <d v="2013-08-18T00:00:00"/>
    <s v="DVD"/>
    <n v="101555"/>
    <s v="AB102750"/>
    <x v="9"/>
    <n v="302774"/>
  </r>
  <r>
    <n v="10029"/>
    <n v="2"/>
    <d v="2013-08-16T00:00:00"/>
    <s v="BLU-RAY"/>
    <n v="101555"/>
    <s v="AB102751"/>
    <x v="12"/>
    <n v="302774"/>
  </r>
  <r>
    <n v="10148"/>
    <n v="3"/>
    <d v="2013-08-16T00:00:00"/>
    <s v="BLU-RAY"/>
    <n v="101556"/>
    <s v="AB102752"/>
    <x v="1"/>
    <n v="890270"/>
  </r>
  <r>
    <n v="10081"/>
    <n v="4"/>
    <d v="2013-08-16T00:00:00"/>
    <s v="DVD"/>
    <n v="101556"/>
    <s v="AB102753"/>
    <x v="2"/>
    <n v="890270"/>
  </r>
  <r>
    <n v="10241"/>
    <n v="10"/>
    <d v="2013-08-16T00:00:00"/>
    <s v="DVD"/>
    <n v="101557"/>
    <s v="AB102754"/>
    <x v="0"/>
    <n v="745543"/>
  </r>
  <r>
    <n v="10153"/>
    <n v="4"/>
    <d v="2013-08-16T00:00:00"/>
    <s v="DVD"/>
    <n v="101557"/>
    <s v="AB102755"/>
    <x v="10"/>
    <n v="745543"/>
  </r>
  <r>
    <n v="10191"/>
    <n v="2"/>
    <d v="2013-08-17T00:00:00"/>
    <s v="BLU-RAY"/>
    <n v="101558"/>
    <s v="AB102756"/>
    <x v="7"/>
    <n v="924649"/>
  </r>
  <r>
    <n v="10029"/>
    <n v="8"/>
    <d v="2013-08-16T00:00:00"/>
    <s v="DVD"/>
    <n v="101559"/>
    <s v="AB102757"/>
    <x v="12"/>
    <n v="200272"/>
  </r>
  <r>
    <n v="10125"/>
    <n v="1"/>
    <d v="2013-08-17T00:00:00"/>
    <s v="DVD"/>
    <n v="101560"/>
    <s v="AB102758"/>
    <x v="9"/>
    <n v="964403"/>
  </r>
  <r>
    <n v="10088"/>
    <n v="4"/>
    <d v="2013-08-17T00:00:00"/>
    <s v="BLU-RAY"/>
    <n v="101560"/>
    <s v="AB102759"/>
    <x v="0"/>
    <n v="964403"/>
  </r>
  <r>
    <n v="10131"/>
    <n v="5"/>
    <d v="2013-08-17T00:00:00"/>
    <s v="DVD"/>
    <n v="101561"/>
    <s v="AB102760"/>
    <x v="0"/>
    <n v="841141"/>
  </r>
  <r>
    <n v="10105"/>
    <n v="5"/>
    <d v="2013-08-18T00:00:00"/>
    <s v="DVD"/>
    <n v="101562"/>
    <s v="AB102761"/>
    <x v="2"/>
    <n v="297686"/>
  </r>
  <r>
    <n v="10249"/>
    <n v="2"/>
    <d v="2013-08-17T00:00:00"/>
    <s v="BLU-RAY"/>
    <n v="101563"/>
    <s v="AB102762"/>
    <x v="5"/>
    <n v="157695"/>
  </r>
  <r>
    <n v="10171"/>
    <n v="1"/>
    <d v="2013-08-17T00:00:00"/>
    <s v="BLU-RAY"/>
    <n v="101563"/>
    <s v="AB102763"/>
    <x v="7"/>
    <n v="157695"/>
  </r>
  <r>
    <n v="10147"/>
    <n v="8"/>
    <d v="2013-08-17T00:00:00"/>
    <s v="BLU-RAY"/>
    <n v="101564"/>
    <s v="AB102764"/>
    <x v="10"/>
    <n v="817500"/>
  </r>
  <r>
    <n v="10015"/>
    <n v="8"/>
    <d v="2013-08-17T00:00:00"/>
    <s v="BLU-RAY"/>
    <n v="101565"/>
    <s v="AB102765"/>
    <x v="6"/>
    <n v="783369"/>
  </r>
  <r>
    <n v="10064"/>
    <n v="4"/>
    <d v="2013-08-17T00:00:00"/>
    <s v="BLU-RAY"/>
    <n v="101565"/>
    <s v="AB102766"/>
    <x v="7"/>
    <n v="783369"/>
  </r>
  <r>
    <n v="10134"/>
    <n v="8"/>
    <d v="2013-08-18T00:00:00"/>
    <s v="BLU-RAY"/>
    <n v="101566"/>
    <s v="AB102767"/>
    <x v="7"/>
    <n v="671101"/>
  </r>
  <r>
    <n v="10201"/>
    <n v="7"/>
    <d v="2013-08-18T00:00:00"/>
    <s v="DVD"/>
    <n v="101566"/>
    <s v="AB102768"/>
    <x v="8"/>
    <n v="671101"/>
  </r>
  <r>
    <n v="10116"/>
    <n v="8"/>
    <d v="2013-08-17T00:00:00"/>
    <s v="BLU-RAY"/>
    <n v="101567"/>
    <s v="AB102769"/>
    <x v="7"/>
    <n v="200272"/>
  </r>
  <r>
    <n v="10068"/>
    <n v="6"/>
    <d v="2013-08-18T00:00:00"/>
    <s v="BLU-RAY"/>
    <n v="101567"/>
    <s v="AB102770"/>
    <x v="0"/>
    <n v="200272"/>
  </r>
  <r>
    <n v="10001"/>
    <n v="9"/>
    <d v="2013-08-17T00:00:00"/>
    <s v="DVD"/>
    <n v="101568"/>
    <s v="AB102771"/>
    <x v="14"/>
    <n v="185863"/>
  </r>
  <r>
    <n v="10023"/>
    <n v="3"/>
    <d v="2013-08-18T00:00:00"/>
    <s v="BLU-RAY"/>
    <n v="101568"/>
    <s v="AB102772"/>
    <x v="3"/>
    <n v="185863"/>
  </r>
  <r>
    <n v="10136"/>
    <n v="10"/>
    <d v="2013-08-17T00:00:00"/>
    <s v="DVD"/>
    <n v="101569"/>
    <s v="AB102773"/>
    <x v="2"/>
    <n v="308505"/>
  </r>
  <r>
    <n v="10037"/>
    <n v="8"/>
    <d v="2013-08-17T00:00:00"/>
    <s v="BLU-RAY"/>
    <n v="101570"/>
    <s v="AB102774"/>
    <x v="3"/>
    <n v="755271"/>
  </r>
  <r>
    <n v="10070"/>
    <n v="7"/>
    <d v="2013-08-17T00:00:00"/>
    <s v="DVD"/>
    <n v="101571"/>
    <s v="AB102775"/>
    <x v="1"/>
    <n v="412544"/>
  </r>
  <r>
    <n v="10081"/>
    <n v="4"/>
    <d v="2013-08-17T00:00:00"/>
    <s v="BLU-RAY"/>
    <n v="101572"/>
    <s v="AB102776"/>
    <x v="2"/>
    <n v="347659"/>
  </r>
  <r>
    <n v="10048"/>
    <n v="10"/>
    <d v="2013-08-17T00:00:00"/>
    <s v="BLU-RAY"/>
    <n v="101572"/>
    <s v="AB102777"/>
    <x v="12"/>
    <n v="347659"/>
  </r>
  <r>
    <n v="10279"/>
    <n v="2"/>
    <d v="2013-08-19T00:00:00"/>
    <s v="DVD"/>
    <n v="101573"/>
    <s v="AB102778"/>
    <x v="8"/>
    <n v="897980"/>
  </r>
  <r>
    <n v="10036"/>
    <n v="5"/>
    <d v="2013-08-19T00:00:00"/>
    <s v="BLU-RAY"/>
    <n v="101574"/>
    <s v="AB102779"/>
    <x v="7"/>
    <n v="128131"/>
  </r>
  <r>
    <n v="10158"/>
    <n v="2"/>
    <d v="2013-08-18T00:00:00"/>
    <s v="DVD"/>
    <n v="101574"/>
    <s v="AB102780"/>
    <x v="0"/>
    <n v="128131"/>
  </r>
  <r>
    <n v="10174"/>
    <n v="4"/>
    <d v="2013-08-18T00:00:00"/>
    <s v="DVD"/>
    <n v="101575"/>
    <s v="AB102781"/>
    <x v="7"/>
    <n v="346006"/>
  </r>
  <r>
    <n v="10260"/>
    <n v="8"/>
    <d v="2013-08-18T00:00:00"/>
    <s v="DVD"/>
    <n v="101575"/>
    <s v="AB102782"/>
    <x v="4"/>
    <n v="346006"/>
  </r>
  <r>
    <n v="10246"/>
    <n v="8"/>
    <d v="2013-08-18T00:00:00"/>
    <s v="BLU-RAY"/>
    <n v="101575"/>
    <s v="AB102783"/>
    <x v="2"/>
    <n v="346006"/>
  </r>
  <r>
    <n v="10281"/>
    <n v="5"/>
    <d v="2013-08-19T00:00:00"/>
    <s v="BLU-RAY"/>
    <n v="101576"/>
    <s v="AB102784"/>
    <x v="10"/>
    <n v="593317"/>
  </r>
  <r>
    <n v="10129"/>
    <n v="9"/>
    <d v="2013-08-19T00:00:00"/>
    <s v="DVD"/>
    <n v="101576"/>
    <s v="AB102785"/>
    <x v="0"/>
    <n v="593317"/>
  </r>
  <r>
    <n v="10255"/>
    <n v="2"/>
    <d v="2013-08-18T00:00:00"/>
    <s v="BLU-RAY"/>
    <n v="101576"/>
    <s v="AB102786"/>
    <x v="1"/>
    <n v="593317"/>
  </r>
  <r>
    <n v="10193"/>
    <n v="1"/>
    <d v="2013-08-18T00:00:00"/>
    <s v="BLU-RAY"/>
    <n v="101576"/>
    <s v="AB102787"/>
    <x v="9"/>
    <n v="593317"/>
  </r>
  <r>
    <n v="10129"/>
    <n v="9"/>
    <d v="2013-08-18T00:00:00"/>
    <s v="BLU-RAY"/>
    <n v="101577"/>
    <s v="AB102788"/>
    <x v="0"/>
    <n v="766161"/>
  </r>
  <r>
    <n v="10187"/>
    <n v="1"/>
    <d v="2013-08-19T00:00:00"/>
    <s v="BLU-RAY"/>
    <n v="101577"/>
    <s v="AB102789"/>
    <x v="1"/>
    <n v="766161"/>
  </r>
  <r>
    <n v="10078"/>
    <n v="3"/>
    <d v="2013-08-18T00:00:00"/>
    <s v="DVD"/>
    <n v="101577"/>
    <s v="AB102790"/>
    <x v="1"/>
    <n v="766161"/>
  </r>
  <r>
    <n v="10163"/>
    <n v="3"/>
    <d v="2013-08-18T00:00:00"/>
    <s v="DVD"/>
    <n v="101577"/>
    <s v="AB102791"/>
    <x v="0"/>
    <n v="766161"/>
  </r>
  <r>
    <n v="10032"/>
    <n v="4"/>
    <d v="2013-08-18T00:00:00"/>
    <s v="DVD"/>
    <n v="101578"/>
    <s v="AB102792"/>
    <x v="4"/>
    <n v="891738"/>
  </r>
  <r>
    <n v="10070"/>
    <n v="2"/>
    <d v="2013-08-19T00:00:00"/>
    <s v="DVD"/>
    <n v="101578"/>
    <s v="AB102793"/>
    <x v="1"/>
    <n v="891738"/>
  </r>
  <r>
    <n v="10286"/>
    <n v="8"/>
    <d v="2013-08-20T00:00:00"/>
    <s v="BLU-RAY"/>
    <n v="101579"/>
    <s v="AB102794"/>
    <x v="17"/>
    <n v="197102"/>
  </r>
  <r>
    <n v="10160"/>
    <n v="1"/>
    <d v="2013-08-19T00:00:00"/>
    <s v="BLU-RAY"/>
    <n v="101579"/>
    <s v="AB102795"/>
    <x v="10"/>
    <n v="197102"/>
  </r>
  <r>
    <n v="10070"/>
    <n v="8"/>
    <d v="2013-08-19T00:00:00"/>
    <s v="BLU-RAY"/>
    <n v="101580"/>
    <s v="AB102796"/>
    <x v="1"/>
    <n v="744648"/>
  </r>
  <r>
    <n v="10297"/>
    <n v="5"/>
    <d v="2013-08-20T00:00:00"/>
    <s v="BLU-RAY"/>
    <n v="101581"/>
    <s v="AB102797"/>
    <x v="14"/>
    <n v="347659"/>
  </r>
  <r>
    <n v="10285"/>
    <n v="4"/>
    <d v="2013-08-19T00:00:00"/>
    <s v="DVD"/>
    <n v="101582"/>
    <s v="AB102798"/>
    <x v="20"/>
    <n v="840970"/>
  </r>
  <r>
    <n v="10275"/>
    <n v="4"/>
    <d v="2013-08-19T00:00:00"/>
    <s v="DVD"/>
    <n v="101583"/>
    <s v="AB102799"/>
    <x v="10"/>
    <n v="524667"/>
  </r>
  <r>
    <n v="10239"/>
    <n v="3"/>
    <d v="2013-08-19T00:00:00"/>
    <s v="DVD"/>
    <n v="101583"/>
    <s v="AB102800"/>
    <x v="2"/>
    <n v="524667"/>
  </r>
  <r>
    <n v="10135"/>
    <n v="2"/>
    <d v="2013-08-19T00:00:00"/>
    <s v="DVD"/>
    <n v="101584"/>
    <s v="AB102801"/>
    <x v="7"/>
    <n v="797968"/>
  </r>
  <r>
    <n v="10138"/>
    <n v="8"/>
    <d v="2013-08-21T00:00:00"/>
    <s v="DVD"/>
    <n v="101585"/>
    <s v="AB102802"/>
    <x v="7"/>
    <n v="924649"/>
  </r>
  <r>
    <n v="10245"/>
    <n v="3"/>
    <d v="2013-08-20T00:00:00"/>
    <s v="BLU-RAY"/>
    <n v="101585"/>
    <s v="AB102803"/>
    <x v="0"/>
    <n v="924649"/>
  </r>
  <r>
    <n v="10248"/>
    <n v="5"/>
    <d v="2013-08-19T00:00:00"/>
    <s v="DVD"/>
    <n v="101586"/>
    <s v="AB102804"/>
    <x v="12"/>
    <n v="611848"/>
  </r>
  <r>
    <n v="10085"/>
    <n v="6"/>
    <d v="2013-08-20T00:00:00"/>
    <s v="DVD"/>
    <n v="101586"/>
    <s v="AB102805"/>
    <x v="3"/>
    <n v="611848"/>
  </r>
  <r>
    <n v="10033"/>
    <n v="8"/>
    <d v="2013-08-20T00:00:00"/>
    <s v="BLU-RAY"/>
    <n v="101586"/>
    <s v="AB102806"/>
    <x v="10"/>
    <n v="611848"/>
  </r>
  <r>
    <n v="10018"/>
    <n v="4"/>
    <d v="2013-08-20T00:00:00"/>
    <s v="BLU-RAY"/>
    <n v="101586"/>
    <s v="AB102807"/>
    <x v="9"/>
    <n v="611848"/>
  </r>
  <r>
    <n v="10071"/>
    <n v="2"/>
    <d v="2013-08-19T00:00:00"/>
    <s v="DVD"/>
    <n v="101587"/>
    <s v="AB102808"/>
    <x v="1"/>
    <n v="970794"/>
  </r>
  <r>
    <n v="10107"/>
    <n v="3"/>
    <d v="2013-08-20T00:00:00"/>
    <s v="BLU-RAY"/>
    <n v="101588"/>
    <s v="AB102809"/>
    <x v="7"/>
    <n v="485769"/>
  </r>
  <r>
    <n v="10139"/>
    <n v="5"/>
    <d v="2013-08-19T00:00:00"/>
    <s v="BLU-RAY"/>
    <n v="101588"/>
    <s v="AB102810"/>
    <x v="14"/>
    <n v="485769"/>
  </r>
  <r>
    <n v="10232"/>
    <n v="6"/>
    <d v="2013-08-19T00:00:00"/>
    <s v="BLU-RAY"/>
    <n v="101588"/>
    <s v="AB102811"/>
    <x v="1"/>
    <n v="485769"/>
  </r>
  <r>
    <n v="10060"/>
    <n v="1"/>
    <d v="2013-08-19T00:00:00"/>
    <s v="DVD"/>
    <n v="101589"/>
    <s v="AB102812"/>
    <x v="0"/>
    <n v="412235"/>
  </r>
  <r>
    <n v="10127"/>
    <n v="8"/>
    <d v="2013-08-19T00:00:00"/>
    <s v="BLU-RAY"/>
    <n v="101589"/>
    <s v="AB102813"/>
    <x v="6"/>
    <n v="412235"/>
  </r>
  <r>
    <n v="10284"/>
    <n v="7"/>
    <d v="2013-08-19T00:00:00"/>
    <s v="BLU-RAY"/>
    <n v="101590"/>
    <s v="AB102814"/>
    <x v="14"/>
    <n v="119406"/>
  </r>
  <r>
    <n v="10234"/>
    <n v="6"/>
    <d v="2013-08-19T00:00:00"/>
    <s v="DVD"/>
    <n v="101590"/>
    <s v="AB102815"/>
    <x v="0"/>
    <n v="119406"/>
  </r>
  <r>
    <n v="10246"/>
    <n v="5"/>
    <d v="2013-08-19T00:00:00"/>
    <s v="DVD"/>
    <n v="101591"/>
    <s v="AB102816"/>
    <x v="2"/>
    <n v="565259"/>
  </r>
  <r>
    <n v="10292"/>
    <n v="9"/>
    <d v="2013-08-19T00:00:00"/>
    <s v="BLU-RAY"/>
    <n v="101592"/>
    <s v="AB102817"/>
    <x v="15"/>
    <n v="548800"/>
  </r>
  <r>
    <n v="10167"/>
    <n v="10"/>
    <d v="2013-08-19T00:00:00"/>
    <s v="BLU-RAY"/>
    <n v="101592"/>
    <s v="AB102818"/>
    <x v="7"/>
    <n v="548800"/>
  </r>
  <r>
    <n v="10154"/>
    <n v="6"/>
    <d v="2013-08-20T00:00:00"/>
    <s v="BLU-RAY"/>
    <n v="101592"/>
    <s v="AB102819"/>
    <x v="5"/>
    <n v="548800"/>
  </r>
  <r>
    <n v="10146"/>
    <n v="9"/>
    <d v="2013-08-19T00:00:00"/>
    <s v="DVD"/>
    <n v="101593"/>
    <s v="AB102820"/>
    <x v="4"/>
    <n v="500350"/>
  </r>
  <r>
    <n v="10200"/>
    <n v="10"/>
    <d v="2013-08-20T00:00:00"/>
    <s v="BLU-RAY"/>
    <n v="101594"/>
    <s v="AB102821"/>
    <x v="9"/>
    <n v="414509"/>
  </r>
  <r>
    <n v="10103"/>
    <n v="9"/>
    <d v="2013-08-21T00:00:00"/>
    <s v="DVD"/>
    <n v="101594"/>
    <s v="AB102822"/>
    <x v="9"/>
    <n v="414509"/>
  </r>
  <r>
    <n v="10199"/>
    <n v="4"/>
    <d v="2013-08-20T00:00:00"/>
    <s v="DVD"/>
    <n v="101595"/>
    <s v="AB102823"/>
    <x v="10"/>
    <n v="901388"/>
  </r>
  <r>
    <n v="10036"/>
    <n v="9"/>
    <d v="2013-08-21T00:00:00"/>
    <s v="BLU-RAY"/>
    <n v="101596"/>
    <s v="AB102824"/>
    <x v="7"/>
    <n v="191951"/>
  </r>
  <r>
    <n v="10261"/>
    <n v="8"/>
    <d v="2013-08-21T00:00:00"/>
    <s v="BLU-RAY"/>
    <n v="101596"/>
    <s v="AB102825"/>
    <x v="9"/>
    <n v="191951"/>
  </r>
  <r>
    <n v="10151"/>
    <n v="7"/>
    <d v="2013-08-20T00:00:00"/>
    <s v="DVD"/>
    <n v="101597"/>
    <s v="AB102826"/>
    <x v="8"/>
    <n v="846558"/>
  </r>
  <r>
    <n v="10202"/>
    <n v="6"/>
    <d v="2013-08-20T00:00:00"/>
    <s v="DVD"/>
    <n v="101598"/>
    <s v="AB102827"/>
    <x v="0"/>
    <n v="296353"/>
  </r>
  <r>
    <n v="10115"/>
    <n v="1"/>
    <d v="2013-08-21T00:00:00"/>
    <s v="DVD"/>
    <n v="101598"/>
    <s v="AB102828"/>
    <x v="11"/>
    <n v="296353"/>
  </r>
  <r>
    <n v="10048"/>
    <n v="8"/>
    <d v="2013-08-20T00:00:00"/>
    <s v="DVD"/>
    <n v="101599"/>
    <s v="AB102829"/>
    <x v="12"/>
    <n v="714947"/>
  </r>
  <r>
    <n v="10225"/>
    <n v="3"/>
    <d v="2013-08-20T00:00:00"/>
    <s v="DVD"/>
    <n v="101599"/>
    <s v="AB102830"/>
    <x v="0"/>
    <n v="714947"/>
  </r>
  <r>
    <n v="10130"/>
    <n v="10"/>
    <d v="2013-08-20T00:00:00"/>
    <s v="BLU-RAY"/>
    <n v="101600"/>
    <s v="AB102831"/>
    <x v="21"/>
    <n v="680104"/>
  </r>
  <r>
    <n v="10169"/>
    <n v="6"/>
    <d v="2013-08-20T00:00:00"/>
    <s v="BLU-RAY"/>
    <n v="101600"/>
    <s v="AB102832"/>
    <x v="0"/>
    <n v="680104"/>
  </r>
  <r>
    <n v="10265"/>
    <n v="1"/>
    <d v="2013-08-20T00:00:00"/>
    <s v="DVD"/>
    <n v="101600"/>
    <s v="AB102833"/>
    <x v="0"/>
    <n v="680104"/>
  </r>
  <r>
    <n v="10228"/>
    <n v="3"/>
    <d v="2013-08-20T00:00:00"/>
    <s v="DVD"/>
    <n v="101600"/>
    <s v="AB102834"/>
    <x v="7"/>
    <n v="680104"/>
  </r>
  <r>
    <n v="10055"/>
    <n v="7"/>
    <d v="2013-08-20T00:00:00"/>
    <s v="BLU-RAY"/>
    <n v="101601"/>
    <s v="AB102835"/>
    <x v="15"/>
    <n v="575041"/>
  </r>
  <r>
    <n v="10114"/>
    <n v="4"/>
    <d v="2013-08-20T00:00:00"/>
    <s v="BLU-RAY"/>
    <n v="101601"/>
    <s v="AB102836"/>
    <x v="10"/>
    <n v="575041"/>
  </r>
  <r>
    <n v="10077"/>
    <n v="10"/>
    <d v="2013-08-20T00:00:00"/>
    <s v="DVD"/>
    <n v="101601"/>
    <s v="AB102837"/>
    <x v="0"/>
    <n v="575041"/>
  </r>
  <r>
    <n v="10199"/>
    <n v="7"/>
    <d v="2013-08-20T00:00:00"/>
    <s v="DVD"/>
    <n v="101601"/>
    <s v="AB102838"/>
    <x v="10"/>
    <n v="575041"/>
  </r>
  <r>
    <n v="10121"/>
    <n v="7"/>
    <d v="2013-08-20T00:00:00"/>
    <s v="DVD"/>
    <n v="101601"/>
    <s v="AB102839"/>
    <x v="2"/>
    <n v="575041"/>
  </r>
  <r>
    <n v="10085"/>
    <n v="2"/>
    <d v="2013-08-21T00:00:00"/>
    <s v="DVD"/>
    <n v="101602"/>
    <s v="AB102840"/>
    <x v="3"/>
    <n v="568217"/>
  </r>
  <r>
    <n v="10207"/>
    <n v="4"/>
    <d v="2013-08-20T00:00:00"/>
    <s v="BLU-RAY"/>
    <n v="101602"/>
    <s v="AB102841"/>
    <x v="1"/>
    <n v="568217"/>
  </r>
  <r>
    <n v="10237"/>
    <n v="9"/>
    <d v="2013-08-21T00:00:00"/>
    <s v="BLU-RAY"/>
    <n v="101603"/>
    <s v="AB102842"/>
    <x v="0"/>
    <n v="815980"/>
  </r>
  <r>
    <n v="10039"/>
    <n v="3"/>
    <d v="2013-08-20T00:00:00"/>
    <s v="DVD"/>
    <n v="101603"/>
    <s v="AB102843"/>
    <x v="11"/>
    <n v="815980"/>
  </r>
  <r>
    <n v="10273"/>
    <n v="6"/>
    <d v="2013-08-20T00:00:00"/>
    <s v="DVD"/>
    <n v="101604"/>
    <s v="AB102844"/>
    <x v="4"/>
    <n v="890651"/>
  </r>
  <r>
    <n v="10138"/>
    <n v="1"/>
    <d v="2013-08-20T00:00:00"/>
    <s v="BLU-RAY"/>
    <n v="101605"/>
    <s v="AB102845"/>
    <x v="7"/>
    <n v="520377"/>
  </r>
  <r>
    <n v="10053"/>
    <n v="5"/>
    <d v="2013-08-22T00:00:00"/>
    <s v="BLU-RAY"/>
    <n v="101606"/>
    <s v="AB102846"/>
    <x v="4"/>
    <n v="134457"/>
  </r>
  <r>
    <n v="10206"/>
    <n v="5"/>
    <d v="2013-08-23T00:00:00"/>
    <s v="DVD"/>
    <n v="101607"/>
    <s v="AB102847"/>
    <x v="9"/>
    <n v="230467"/>
  </r>
  <r>
    <n v="10106"/>
    <n v="6"/>
    <d v="2013-08-21T00:00:00"/>
    <s v="DVD"/>
    <n v="101608"/>
    <s v="AB102848"/>
    <x v="9"/>
    <n v="703083"/>
  </r>
  <r>
    <n v="10063"/>
    <n v="4"/>
    <d v="2013-08-22T00:00:00"/>
    <s v="DVD"/>
    <n v="101608"/>
    <s v="AB102849"/>
    <x v="18"/>
    <n v="703083"/>
  </r>
  <r>
    <n v="10061"/>
    <n v="2"/>
    <d v="2013-08-21T00:00:00"/>
    <s v="DVD"/>
    <n v="101609"/>
    <s v="AB102850"/>
    <x v="9"/>
    <n v="166135"/>
  </r>
  <r>
    <n v="10015"/>
    <n v="6"/>
    <d v="2013-08-23T00:00:00"/>
    <s v="BLU-RAY"/>
    <n v="101609"/>
    <s v="AB102851"/>
    <x v="6"/>
    <n v="166135"/>
  </r>
  <r>
    <n v="10274"/>
    <n v="2"/>
    <d v="2013-08-21T00:00:00"/>
    <s v="DVD"/>
    <n v="101609"/>
    <s v="AB102852"/>
    <x v="9"/>
    <n v="166135"/>
  </r>
  <r>
    <n v="10032"/>
    <n v="2"/>
    <d v="2013-08-21T00:00:00"/>
    <s v="DVD"/>
    <n v="101610"/>
    <s v="AB102853"/>
    <x v="4"/>
    <n v="567719"/>
  </r>
  <r>
    <n v="10233"/>
    <n v="5"/>
    <d v="2013-08-23T00:00:00"/>
    <s v="BLU-RAY"/>
    <n v="101611"/>
    <s v="AB102854"/>
    <x v="8"/>
    <n v="757780"/>
  </r>
  <r>
    <n v="10225"/>
    <n v="3"/>
    <d v="2013-08-21T00:00:00"/>
    <s v="DVD"/>
    <n v="101611"/>
    <s v="AB102855"/>
    <x v="0"/>
    <n v="757780"/>
  </r>
  <r>
    <n v="10020"/>
    <n v="3"/>
    <d v="2013-08-22T00:00:00"/>
    <s v="DVD"/>
    <n v="101612"/>
    <s v="AB102856"/>
    <x v="16"/>
    <n v="706101"/>
  </r>
  <r>
    <n v="10174"/>
    <n v="6"/>
    <d v="2013-08-21T00:00:00"/>
    <s v="DVD"/>
    <n v="101613"/>
    <s v="AB102857"/>
    <x v="7"/>
    <n v="912671"/>
  </r>
  <r>
    <n v="10109"/>
    <n v="1"/>
    <d v="2013-08-21T00:00:00"/>
    <s v="DVD"/>
    <n v="101613"/>
    <s v="AB102858"/>
    <x v="0"/>
    <n v="912671"/>
  </r>
  <r>
    <n v="10049"/>
    <n v="6"/>
    <d v="2013-08-21T00:00:00"/>
    <s v="BLU-RAY"/>
    <n v="101614"/>
    <s v="AB102859"/>
    <x v="7"/>
    <n v="266633"/>
  </r>
  <r>
    <n v="10031"/>
    <n v="10"/>
    <d v="2013-08-22T00:00:00"/>
    <s v="DVD"/>
    <n v="101615"/>
    <s v="AB102860"/>
    <x v="0"/>
    <n v="599995"/>
  </r>
  <r>
    <n v="10020"/>
    <n v="9"/>
    <d v="2013-08-24T00:00:00"/>
    <s v="BLU-RAY"/>
    <n v="101615"/>
    <s v="AB102861"/>
    <x v="16"/>
    <n v="599995"/>
  </r>
  <r>
    <n v="10225"/>
    <n v="5"/>
    <d v="2013-08-22T00:00:00"/>
    <s v="DVD"/>
    <n v="101615"/>
    <s v="AB102862"/>
    <x v="0"/>
    <n v="599995"/>
  </r>
  <r>
    <n v="10022"/>
    <n v="1"/>
    <d v="2013-08-22T00:00:00"/>
    <s v="DVD"/>
    <n v="101616"/>
    <s v="AB102863"/>
    <x v="7"/>
    <n v="745543"/>
  </r>
  <r>
    <n v="10283"/>
    <n v="9"/>
    <d v="2013-08-23T00:00:00"/>
    <s v="DVD"/>
    <n v="101617"/>
    <s v="AB102864"/>
    <x v="6"/>
    <n v="672834"/>
  </r>
  <r>
    <n v="10001"/>
    <n v="8"/>
    <d v="2013-08-22T00:00:00"/>
    <s v="DVD"/>
    <n v="101617"/>
    <s v="AB102865"/>
    <x v="14"/>
    <n v="672834"/>
  </r>
  <r>
    <n v="10034"/>
    <n v="4"/>
    <d v="2013-08-22T00:00:00"/>
    <s v="BLU-RAY"/>
    <n v="101617"/>
    <s v="AB102866"/>
    <x v="10"/>
    <n v="672834"/>
  </r>
  <r>
    <n v="10130"/>
    <n v="2"/>
    <d v="2013-08-22T00:00:00"/>
    <s v="BLU-RAY"/>
    <n v="101618"/>
    <s v="AB102867"/>
    <x v="21"/>
    <n v="900440"/>
  </r>
  <r>
    <n v="10276"/>
    <n v="5"/>
    <d v="2013-08-22T00:00:00"/>
    <s v="BLU-RAY"/>
    <n v="101618"/>
    <s v="AB102868"/>
    <x v="16"/>
    <n v="900440"/>
  </r>
  <r>
    <n v="10269"/>
    <n v="5"/>
    <d v="2013-08-24T00:00:00"/>
    <s v="DVD"/>
    <n v="101619"/>
    <s v="AB102869"/>
    <x v="3"/>
    <n v="912671"/>
  </r>
  <r>
    <n v="10202"/>
    <n v="4"/>
    <d v="2013-08-24T00:00:00"/>
    <s v="DVD"/>
    <n v="101619"/>
    <s v="AB102870"/>
    <x v="0"/>
    <n v="912671"/>
  </r>
  <r>
    <n v="10136"/>
    <n v="10"/>
    <d v="2013-08-24T00:00:00"/>
    <s v="DVD"/>
    <n v="101620"/>
    <s v="AB102871"/>
    <x v="2"/>
    <n v="866556"/>
  </r>
  <r>
    <n v="10103"/>
    <n v="5"/>
    <d v="2013-08-22T00:00:00"/>
    <s v="DVD"/>
    <n v="101621"/>
    <s v="AB102872"/>
    <x v="9"/>
    <n v="781523"/>
  </r>
  <r>
    <n v="10247"/>
    <n v="5"/>
    <d v="2013-08-23T00:00:00"/>
    <s v="DVD"/>
    <n v="101622"/>
    <s v="AB102873"/>
    <x v="9"/>
    <n v="464782"/>
  </r>
  <r>
    <n v="10246"/>
    <n v="1"/>
    <d v="2013-08-23T00:00:00"/>
    <s v="DVD"/>
    <n v="101623"/>
    <s v="AB102874"/>
    <x v="2"/>
    <n v="941876"/>
  </r>
  <r>
    <n v="10029"/>
    <n v="9"/>
    <d v="2013-08-23T00:00:00"/>
    <s v="DVD"/>
    <n v="101623"/>
    <s v="AB102875"/>
    <x v="12"/>
    <n v="941876"/>
  </r>
  <r>
    <n v="10148"/>
    <n v="5"/>
    <d v="2013-08-23T00:00:00"/>
    <s v="DVD"/>
    <n v="101623"/>
    <s v="AB102876"/>
    <x v="1"/>
    <n v="941876"/>
  </r>
  <r>
    <n v="10101"/>
    <n v="8"/>
    <d v="2013-08-23T00:00:00"/>
    <s v="BLU-RAY"/>
    <n v="101623"/>
    <s v="AB102877"/>
    <x v="4"/>
    <n v="941876"/>
  </r>
  <r>
    <n v="10047"/>
    <n v="9"/>
    <d v="2013-08-23T00:00:00"/>
    <s v="BLU-RAY"/>
    <n v="101623"/>
    <s v="AB102878"/>
    <x v="0"/>
    <n v="941876"/>
  </r>
  <r>
    <n v="10246"/>
    <n v="6"/>
    <d v="2013-08-23T00:00:00"/>
    <s v="DVD"/>
    <n v="101624"/>
    <s v="AB102879"/>
    <x v="2"/>
    <n v="944523"/>
  </r>
  <r>
    <n v="10172"/>
    <n v="7"/>
    <d v="2013-08-23T00:00:00"/>
    <s v="BLU-RAY"/>
    <n v="101624"/>
    <s v="AB102880"/>
    <x v="10"/>
    <n v="944523"/>
  </r>
  <r>
    <n v="10168"/>
    <n v="3"/>
    <d v="2013-08-23T00:00:00"/>
    <s v="BLU-RAY"/>
    <n v="101624"/>
    <s v="AB102881"/>
    <x v="1"/>
    <n v="944523"/>
  </r>
  <r>
    <n v="10109"/>
    <n v="10"/>
    <d v="2013-08-23T00:00:00"/>
    <s v="DVD"/>
    <n v="101625"/>
    <s v="AB102882"/>
    <x v="0"/>
    <n v="889686"/>
  </r>
  <r>
    <n v="10118"/>
    <n v="3"/>
    <d v="2013-08-23T00:00:00"/>
    <s v="BLU-RAY"/>
    <n v="101626"/>
    <s v="AB102883"/>
    <x v="3"/>
    <n v="701211"/>
  </r>
  <r>
    <n v="10237"/>
    <n v="4"/>
    <d v="2013-08-23T00:00:00"/>
    <s v="DVD"/>
    <n v="101626"/>
    <s v="AB102884"/>
    <x v="0"/>
    <n v="701211"/>
  </r>
  <r>
    <n v="10224"/>
    <n v="4"/>
    <d v="2013-08-23T00:00:00"/>
    <s v="DVD"/>
    <n v="101626"/>
    <s v="AB102885"/>
    <x v="17"/>
    <n v="701211"/>
  </r>
  <r>
    <n v="10152"/>
    <n v="1"/>
    <d v="2013-08-23T00:00:00"/>
    <s v="BLU-RAY"/>
    <n v="101627"/>
    <s v="AB102886"/>
    <x v="16"/>
    <n v="233956"/>
  </r>
  <r>
    <n v="10001"/>
    <n v="5"/>
    <d v="2013-08-23T00:00:00"/>
    <s v="DVD"/>
    <n v="101627"/>
    <s v="AB102887"/>
    <x v="14"/>
    <n v="233956"/>
  </r>
  <r>
    <n v="10231"/>
    <n v="5"/>
    <d v="2013-08-23T00:00:00"/>
    <s v="DVD"/>
    <n v="101627"/>
    <s v="AB102888"/>
    <x v="7"/>
    <n v="233956"/>
  </r>
  <r>
    <n v="10148"/>
    <n v="1"/>
    <d v="2013-08-23T00:00:00"/>
    <s v="DVD"/>
    <n v="101627"/>
    <s v="AB102889"/>
    <x v="1"/>
    <n v="233956"/>
  </r>
  <r>
    <n v="10185"/>
    <n v="6"/>
    <d v="2013-08-24T00:00:00"/>
    <s v="BLU-RAY"/>
    <n v="101628"/>
    <s v="AB102890"/>
    <x v="0"/>
    <n v="420981"/>
  </r>
  <r>
    <n v="10129"/>
    <n v="6"/>
    <d v="2013-08-23T00:00:00"/>
    <s v="DVD"/>
    <n v="101628"/>
    <s v="AB102891"/>
    <x v="0"/>
    <n v="420981"/>
  </r>
  <r>
    <n v="10213"/>
    <n v="9"/>
    <d v="2013-08-23T00:00:00"/>
    <s v="DVD"/>
    <n v="101629"/>
    <s v="AB102892"/>
    <x v="4"/>
    <n v="108708"/>
  </r>
  <r>
    <n v="10233"/>
    <n v="10"/>
    <d v="2013-08-23T00:00:00"/>
    <s v="DVD"/>
    <n v="101630"/>
    <s v="AB102893"/>
    <x v="8"/>
    <n v="407605"/>
  </r>
  <r>
    <n v="10270"/>
    <n v="10"/>
    <d v="2013-08-23T00:00:00"/>
    <s v="DVD"/>
    <n v="101631"/>
    <s v="AB102894"/>
    <x v="9"/>
    <n v="796796"/>
  </r>
  <r>
    <n v="10028"/>
    <n v="9"/>
    <d v="2013-08-24T00:00:00"/>
    <s v="DVD"/>
    <n v="101631"/>
    <s v="AB102895"/>
    <x v="5"/>
    <n v="796796"/>
  </r>
  <r>
    <n v="10084"/>
    <n v="1"/>
    <d v="2013-08-26T00:00:00"/>
    <s v="DVD"/>
    <n v="101632"/>
    <s v="AB102896"/>
    <x v="18"/>
    <n v="484909"/>
  </r>
  <r>
    <n v="10069"/>
    <n v="8"/>
    <d v="2013-08-23T00:00:00"/>
    <s v="BLU-RAY"/>
    <n v="101633"/>
    <s v="AB102897"/>
    <x v="0"/>
    <n v="730305"/>
  </r>
  <r>
    <n v="10257"/>
    <n v="9"/>
    <d v="2013-08-23T00:00:00"/>
    <s v="BLU-RAY"/>
    <n v="101633"/>
    <s v="AB102898"/>
    <x v="9"/>
    <n v="730305"/>
  </r>
  <r>
    <n v="10218"/>
    <n v="8"/>
    <d v="2013-08-23T00:00:00"/>
    <s v="DVD"/>
    <n v="101633"/>
    <s v="AB102899"/>
    <x v="4"/>
    <n v="730305"/>
  </r>
  <r>
    <n v="10136"/>
    <n v="9"/>
    <d v="2013-08-25T00:00:00"/>
    <s v="BLU-RAY"/>
    <n v="101634"/>
    <s v="AB102900"/>
    <x v="2"/>
    <n v="158528"/>
  </r>
  <r>
    <n v="10297"/>
    <n v="2"/>
    <d v="2013-08-23T00:00:00"/>
    <s v="BLU-RAY"/>
    <n v="101634"/>
    <s v="AB102901"/>
    <x v="14"/>
    <n v="158528"/>
  </r>
  <r>
    <n v="10121"/>
    <n v="2"/>
    <d v="2013-08-24T00:00:00"/>
    <s v="BLU-RAY"/>
    <n v="101635"/>
    <s v="AB102902"/>
    <x v="2"/>
    <n v="908328"/>
  </r>
  <r>
    <n v="10206"/>
    <n v="3"/>
    <d v="2013-08-25T00:00:00"/>
    <s v="DVD"/>
    <n v="101635"/>
    <s v="AB102903"/>
    <x v="9"/>
    <n v="908328"/>
  </r>
  <r>
    <n v="10051"/>
    <n v="2"/>
    <d v="2013-08-23T00:00:00"/>
    <s v="BLU-RAY"/>
    <n v="101636"/>
    <s v="AB102904"/>
    <x v="1"/>
    <n v="447601"/>
  </r>
  <r>
    <n v="10065"/>
    <n v="5"/>
    <d v="2013-08-23T00:00:00"/>
    <s v="DVD"/>
    <n v="101636"/>
    <s v="AB102905"/>
    <x v="0"/>
    <n v="447601"/>
  </r>
  <r>
    <n v="10168"/>
    <n v="2"/>
    <d v="2013-08-23T00:00:00"/>
    <s v="DVD"/>
    <n v="101637"/>
    <s v="AB102906"/>
    <x v="1"/>
    <n v="622506"/>
  </r>
  <r>
    <n v="10240"/>
    <n v="2"/>
    <d v="2013-08-24T00:00:00"/>
    <s v="DVD"/>
    <n v="101638"/>
    <s v="AB102907"/>
    <x v="0"/>
    <n v="842028"/>
  </r>
  <r>
    <n v="10216"/>
    <n v="3"/>
    <d v="2013-08-24T00:00:00"/>
    <s v="BLU-RAY"/>
    <n v="101638"/>
    <s v="AB102908"/>
    <x v="4"/>
    <n v="842028"/>
  </r>
  <r>
    <n v="10138"/>
    <n v="3"/>
    <d v="2013-08-25T00:00:00"/>
    <s v="DVD"/>
    <n v="101639"/>
    <s v="AB102909"/>
    <x v="7"/>
    <n v="298508"/>
  </r>
  <r>
    <n v="10210"/>
    <n v="5"/>
    <d v="2013-08-25T00:00:00"/>
    <s v="DVD"/>
    <n v="101640"/>
    <s v="AB102910"/>
    <x v="4"/>
    <n v="357579"/>
  </r>
  <r>
    <n v="10065"/>
    <n v="3"/>
    <d v="2013-08-25T00:00:00"/>
    <s v="BLU-RAY"/>
    <n v="101640"/>
    <s v="AB102911"/>
    <x v="0"/>
    <n v="357579"/>
  </r>
  <r>
    <n v="10259"/>
    <n v="3"/>
    <d v="2013-08-24T00:00:00"/>
    <s v="DVD"/>
    <n v="101641"/>
    <s v="AB102912"/>
    <x v="0"/>
    <n v="493552"/>
  </r>
  <r>
    <n v="10068"/>
    <n v="10"/>
    <d v="2013-08-25T00:00:00"/>
    <s v="BLU-RAY"/>
    <n v="101642"/>
    <s v="AB102913"/>
    <x v="0"/>
    <n v="612681"/>
  </r>
  <r>
    <n v="10139"/>
    <n v="8"/>
    <d v="2013-08-24T00:00:00"/>
    <s v="DVD"/>
    <n v="101642"/>
    <s v="AB102914"/>
    <x v="14"/>
    <n v="612681"/>
  </r>
  <r>
    <n v="10067"/>
    <n v="10"/>
    <d v="2013-08-24T00:00:00"/>
    <s v="DVD"/>
    <n v="101642"/>
    <s v="AB102915"/>
    <x v="1"/>
    <n v="612681"/>
  </r>
  <r>
    <n v="10118"/>
    <n v="5"/>
    <d v="2013-08-24T00:00:00"/>
    <s v="DVD"/>
    <n v="101643"/>
    <s v="AB102916"/>
    <x v="3"/>
    <n v="238347"/>
  </r>
  <r>
    <n v="10105"/>
    <n v="4"/>
    <d v="2013-08-26T00:00:00"/>
    <s v="DVD"/>
    <n v="101644"/>
    <s v="AB102917"/>
    <x v="2"/>
    <n v="173125"/>
  </r>
  <r>
    <n v="10005"/>
    <n v="6"/>
    <d v="2013-08-24T00:00:00"/>
    <s v="DVD"/>
    <n v="101644"/>
    <s v="AB102918"/>
    <x v="3"/>
    <n v="173125"/>
  </r>
  <r>
    <n v="10011"/>
    <n v="4"/>
    <d v="2013-08-25T00:00:00"/>
    <s v="BLU-RAY"/>
    <n v="101645"/>
    <s v="AB102919"/>
    <x v="3"/>
    <n v="454015"/>
  </r>
  <r>
    <n v="10081"/>
    <n v="4"/>
    <d v="2013-08-24T00:00:00"/>
    <s v="DVD"/>
    <n v="101646"/>
    <s v="AB102920"/>
    <x v="2"/>
    <n v="941876"/>
  </r>
  <r>
    <n v="10073"/>
    <n v="2"/>
    <d v="2013-08-24T00:00:00"/>
    <s v="BLU-RAY"/>
    <n v="101647"/>
    <s v="AB102921"/>
    <x v="16"/>
    <n v="714277"/>
  </r>
  <r>
    <n v="10235"/>
    <n v="8"/>
    <d v="2013-08-24T00:00:00"/>
    <s v="BLU-RAY"/>
    <n v="101647"/>
    <s v="AB102922"/>
    <x v="10"/>
    <n v="714277"/>
  </r>
  <r>
    <n v="10259"/>
    <n v="10"/>
    <d v="2013-08-25T00:00:00"/>
    <s v="DVD"/>
    <n v="101647"/>
    <s v="AB102923"/>
    <x v="0"/>
    <n v="714277"/>
  </r>
  <r>
    <n v="10236"/>
    <n v="8"/>
    <d v="2013-08-25T00:00:00"/>
    <s v="DVD"/>
    <n v="101648"/>
    <s v="AB102924"/>
    <x v="10"/>
    <n v="568217"/>
  </r>
  <r>
    <n v="10197"/>
    <n v="8"/>
    <d v="2013-08-24T00:00:00"/>
    <s v="BLU-RAY"/>
    <n v="101648"/>
    <s v="AB102925"/>
    <x v="0"/>
    <n v="568217"/>
  </r>
  <r>
    <n v="10116"/>
    <n v="9"/>
    <d v="2013-08-25T00:00:00"/>
    <s v="DVD"/>
    <n v="101649"/>
    <s v="AB102926"/>
    <x v="7"/>
    <n v="793987"/>
  </r>
  <r>
    <n v="10014"/>
    <n v="1"/>
    <d v="2013-08-25T00:00:00"/>
    <s v="DVD"/>
    <n v="101650"/>
    <s v="AB102927"/>
    <x v="0"/>
    <n v="838924"/>
  </r>
  <r>
    <n v="10189"/>
    <n v="1"/>
    <d v="2013-08-25T00:00:00"/>
    <s v="DVD"/>
    <n v="101650"/>
    <s v="AB102928"/>
    <x v="7"/>
    <n v="838924"/>
  </r>
  <r>
    <n v="10169"/>
    <n v="8"/>
    <d v="2013-08-25T00:00:00"/>
    <s v="DVD"/>
    <n v="101650"/>
    <s v="AB102929"/>
    <x v="0"/>
    <n v="838924"/>
  </r>
  <r>
    <n v="10212"/>
    <n v="6"/>
    <d v="2013-08-25T00:00:00"/>
    <s v="BLU-RAY"/>
    <n v="101651"/>
    <s v="AB102930"/>
    <x v="10"/>
    <n v="412235"/>
  </r>
  <r>
    <n v="10127"/>
    <n v="7"/>
    <d v="2013-08-25T00:00:00"/>
    <s v="BLU-RAY"/>
    <n v="101652"/>
    <s v="AB102931"/>
    <x v="6"/>
    <n v="826590"/>
  </r>
  <r>
    <n v="10202"/>
    <n v="3"/>
    <d v="2013-08-25T00:00:00"/>
    <s v="DVD"/>
    <n v="101653"/>
    <s v="AB102932"/>
    <x v="0"/>
    <n v="317461"/>
  </r>
  <r>
    <n v="10137"/>
    <n v="8"/>
    <d v="2013-08-25T00:00:00"/>
    <s v="DVD"/>
    <n v="101653"/>
    <s v="AB102933"/>
    <x v="3"/>
    <n v="317461"/>
  </r>
  <r>
    <n v="10023"/>
    <n v="3"/>
    <d v="2013-08-25T00:00:00"/>
    <s v="BLU-RAY"/>
    <n v="101653"/>
    <s v="AB102934"/>
    <x v="3"/>
    <n v="317461"/>
  </r>
  <r>
    <n v="10256"/>
    <n v="9"/>
    <d v="2013-08-26T00:00:00"/>
    <s v="BLU-RAY"/>
    <n v="101654"/>
    <s v="AB102935"/>
    <x v="9"/>
    <n v="412235"/>
  </r>
  <r>
    <n v="10279"/>
    <n v="1"/>
    <d v="2013-08-25T00:00:00"/>
    <s v="DVD"/>
    <n v="101654"/>
    <s v="AB102936"/>
    <x v="8"/>
    <n v="412235"/>
  </r>
  <r>
    <n v="10204"/>
    <n v="9"/>
    <d v="2013-08-25T00:00:00"/>
    <s v="DVD"/>
    <n v="101654"/>
    <s v="AB102937"/>
    <x v="7"/>
    <n v="412235"/>
  </r>
  <r>
    <n v="10266"/>
    <n v="6"/>
    <d v="2013-08-27T00:00:00"/>
    <s v="BLU-RAY"/>
    <n v="101655"/>
    <s v="AB102938"/>
    <x v="4"/>
    <n v="308688"/>
  </r>
  <r>
    <n v="10245"/>
    <n v="1"/>
    <d v="2013-08-25T00:00:00"/>
    <s v="DVD"/>
    <n v="101656"/>
    <s v="AB102939"/>
    <x v="0"/>
    <n v="220206"/>
  </r>
  <r>
    <n v="10200"/>
    <n v="5"/>
    <d v="2013-08-25T00:00:00"/>
    <s v="BLU-RAY"/>
    <n v="101656"/>
    <s v="AB102940"/>
    <x v="9"/>
    <n v="220206"/>
  </r>
  <r>
    <n v="10264"/>
    <n v="4"/>
    <d v="2013-08-25T00:00:00"/>
    <s v="DVD"/>
    <n v="101657"/>
    <s v="AB102941"/>
    <x v="2"/>
    <n v="847289"/>
  </r>
  <r>
    <n v="10172"/>
    <n v="5"/>
    <d v="2013-08-26T00:00:00"/>
    <s v="BLU-RAY"/>
    <n v="101657"/>
    <s v="AB102942"/>
    <x v="10"/>
    <n v="847289"/>
  </r>
  <r>
    <n v="10061"/>
    <n v="9"/>
    <d v="2013-08-25T00:00:00"/>
    <s v="BLU-RAY"/>
    <n v="101657"/>
    <s v="AB102943"/>
    <x v="9"/>
    <n v="847289"/>
  </r>
  <r>
    <n v="10136"/>
    <n v="4"/>
    <d v="2013-08-26T00:00:00"/>
    <s v="BLU-RAY"/>
    <n v="101657"/>
    <s v="AB102944"/>
    <x v="2"/>
    <n v="847289"/>
  </r>
  <r>
    <n v="10014"/>
    <n v="5"/>
    <d v="2013-08-26T00:00:00"/>
    <s v="DVD"/>
    <n v="101658"/>
    <s v="AB102945"/>
    <x v="0"/>
    <n v="427391"/>
  </r>
  <r>
    <n v="10014"/>
    <n v="3"/>
    <d v="2013-08-26T00:00:00"/>
    <s v="BLU-RAY"/>
    <n v="101658"/>
    <s v="AB102946"/>
    <x v="0"/>
    <n v="427391"/>
  </r>
  <r>
    <n v="10011"/>
    <n v="8"/>
    <d v="2013-08-27T00:00:00"/>
    <s v="DVD"/>
    <n v="101659"/>
    <s v="AB102947"/>
    <x v="3"/>
    <n v="296886"/>
  </r>
  <r>
    <n v="10232"/>
    <n v="3"/>
    <d v="2013-08-27T00:00:00"/>
    <s v="DVD"/>
    <n v="101659"/>
    <s v="AB102948"/>
    <x v="1"/>
    <n v="296886"/>
  </r>
  <r>
    <n v="10145"/>
    <n v="5"/>
    <d v="2013-08-26T00:00:00"/>
    <s v="BLU-RAY"/>
    <n v="101660"/>
    <s v="AB102949"/>
    <x v="6"/>
    <n v="938417"/>
  </r>
  <r>
    <n v="10296"/>
    <n v="3"/>
    <d v="2013-08-26T00:00:00"/>
    <s v="DVD"/>
    <n v="101661"/>
    <s v="AB102950"/>
    <x v="21"/>
    <n v="938006"/>
  </r>
  <r>
    <n v="10139"/>
    <n v="10"/>
    <d v="2013-08-26T00:00:00"/>
    <s v="DVD"/>
    <n v="101661"/>
    <s v="AB102951"/>
    <x v="14"/>
    <n v="938006"/>
  </r>
  <r>
    <n v="10265"/>
    <n v="6"/>
    <d v="2013-08-27T00:00:00"/>
    <s v="BLU-RAY"/>
    <n v="101662"/>
    <s v="AB102952"/>
    <x v="0"/>
    <n v="841831"/>
  </r>
  <r>
    <n v="10054"/>
    <n v="10"/>
    <d v="2013-08-26T00:00:00"/>
    <s v="BLU-RAY"/>
    <n v="101663"/>
    <s v="AB102953"/>
    <x v="1"/>
    <n v="520377"/>
  </r>
  <r>
    <n v="10289"/>
    <n v="7"/>
    <d v="2013-08-26T00:00:00"/>
    <s v="DVD"/>
    <n v="101663"/>
    <s v="AB102954"/>
    <x v="11"/>
    <n v="520377"/>
  </r>
  <r>
    <n v="10117"/>
    <n v="4"/>
    <d v="2013-08-26T00:00:00"/>
    <s v="BLU-RAY"/>
    <n v="101663"/>
    <s v="AB102955"/>
    <x v="4"/>
    <n v="520377"/>
  </r>
  <r>
    <n v="10164"/>
    <n v="9"/>
    <d v="2013-08-26T00:00:00"/>
    <s v="DVD"/>
    <n v="101664"/>
    <s v="AB102956"/>
    <x v="2"/>
    <n v="417823"/>
  </r>
  <r>
    <n v="10121"/>
    <n v="8"/>
    <d v="2013-08-28T00:00:00"/>
    <s v="BLU-RAY"/>
    <n v="101665"/>
    <s v="AB102957"/>
    <x v="2"/>
    <n v="482274"/>
  </r>
  <r>
    <n v="10280"/>
    <n v="4"/>
    <d v="2013-08-27T00:00:00"/>
    <s v="DVD"/>
    <n v="101666"/>
    <s v="AB102958"/>
    <x v="7"/>
    <n v="231615"/>
  </r>
  <r>
    <n v="10168"/>
    <n v="8"/>
    <d v="2013-08-26T00:00:00"/>
    <s v="BLU-RAY"/>
    <n v="101667"/>
    <s v="AB102959"/>
    <x v="1"/>
    <n v="249779"/>
  </r>
  <r>
    <n v="10136"/>
    <n v="3"/>
    <d v="2013-08-26T00:00:00"/>
    <s v="DVD"/>
    <n v="101668"/>
    <s v="AB102960"/>
    <x v="2"/>
    <n v="407605"/>
  </r>
  <r>
    <n v="10152"/>
    <n v="2"/>
    <d v="2013-08-26T00:00:00"/>
    <s v="BLU-RAY"/>
    <n v="101668"/>
    <s v="AB102961"/>
    <x v="16"/>
    <n v="407605"/>
  </r>
  <r>
    <n v="10200"/>
    <n v="7"/>
    <d v="2013-08-27T00:00:00"/>
    <s v="BLU-RAY"/>
    <n v="101669"/>
    <s v="AB102962"/>
    <x v="9"/>
    <n v="976778"/>
  </r>
  <r>
    <n v="10002"/>
    <n v="3"/>
    <d v="2013-08-28T00:00:00"/>
    <s v="DVD"/>
    <n v="101669"/>
    <s v="AB102963"/>
    <x v="10"/>
    <n v="976778"/>
  </r>
  <r>
    <n v="10257"/>
    <n v="1"/>
    <d v="2013-08-27T00:00:00"/>
    <s v="DVD"/>
    <n v="101670"/>
    <s v="AB102964"/>
    <x v="9"/>
    <n v="196068"/>
  </r>
  <r>
    <n v="10112"/>
    <n v="4"/>
    <d v="2013-08-27T00:00:00"/>
    <s v="DVD"/>
    <n v="101670"/>
    <s v="AB102965"/>
    <x v="12"/>
    <n v="196068"/>
  </r>
  <r>
    <n v="10282"/>
    <n v="9"/>
    <d v="2013-08-28T00:00:00"/>
    <s v="DVD"/>
    <n v="101671"/>
    <s v="AB102966"/>
    <x v="15"/>
    <n v="559688"/>
  </r>
  <r>
    <n v="10294"/>
    <n v="1"/>
    <d v="2013-08-28T00:00:00"/>
    <s v="DVD"/>
    <n v="101671"/>
    <s v="AB102967"/>
    <x v="2"/>
    <n v="559688"/>
  </r>
  <r>
    <n v="10280"/>
    <n v="2"/>
    <d v="2013-08-27T00:00:00"/>
    <s v="DVD"/>
    <n v="101672"/>
    <s v="AB102968"/>
    <x v="7"/>
    <n v="396166"/>
  </r>
  <r>
    <n v="10295"/>
    <n v="3"/>
    <d v="2013-08-28T00:00:00"/>
    <s v="BLU-RAY"/>
    <n v="101673"/>
    <s v="AB102969"/>
    <x v="21"/>
    <n v="548800"/>
  </r>
  <r>
    <n v="10003"/>
    <n v="4"/>
    <d v="2013-08-27T00:00:00"/>
    <s v="DVD"/>
    <n v="101673"/>
    <s v="AB102970"/>
    <x v="1"/>
    <n v="548800"/>
  </r>
  <r>
    <n v="10265"/>
    <n v="3"/>
    <d v="2013-08-28T00:00:00"/>
    <s v="BLU-RAY"/>
    <n v="101674"/>
    <s v="AB102971"/>
    <x v="0"/>
    <n v="889686"/>
  </r>
  <r>
    <n v="10229"/>
    <n v="8"/>
    <d v="2013-08-27T00:00:00"/>
    <s v="DVD"/>
    <n v="101674"/>
    <s v="AB102972"/>
    <x v="6"/>
    <n v="889686"/>
  </r>
  <r>
    <n v="10065"/>
    <n v="8"/>
    <d v="2013-08-28T00:00:00"/>
    <s v="DVD"/>
    <n v="101675"/>
    <s v="AB102973"/>
    <x v="0"/>
    <n v="559190"/>
  </r>
  <r>
    <n v="10039"/>
    <n v="5"/>
    <d v="2013-08-28T00:00:00"/>
    <s v="DVD"/>
    <n v="101676"/>
    <s v="AB102974"/>
    <x v="11"/>
    <n v="744648"/>
  </r>
  <r>
    <n v="10111"/>
    <n v="9"/>
    <d v="2013-08-28T00:00:00"/>
    <s v="DVD"/>
    <n v="101676"/>
    <s v="AB102975"/>
    <x v="9"/>
    <n v="744648"/>
  </r>
  <r>
    <n v="10037"/>
    <n v="6"/>
    <d v="2013-08-27T00:00:00"/>
    <s v="BLU-RAY"/>
    <n v="101677"/>
    <s v="AB102976"/>
    <x v="3"/>
    <n v="226209"/>
  </r>
  <r>
    <n v="10246"/>
    <n v="9"/>
    <d v="2013-08-27T00:00:00"/>
    <s v="BLU-RAY"/>
    <n v="101678"/>
    <s v="AB102977"/>
    <x v="2"/>
    <n v="469564"/>
  </r>
  <r>
    <n v="10136"/>
    <n v="9"/>
    <d v="2013-08-29T00:00:00"/>
    <s v="DVD"/>
    <n v="101678"/>
    <s v="AB102978"/>
    <x v="2"/>
    <n v="469564"/>
  </r>
  <r>
    <n v="10165"/>
    <n v="4"/>
    <d v="2013-08-29T00:00:00"/>
    <s v="DVD"/>
    <n v="101678"/>
    <s v="AB102979"/>
    <x v="2"/>
    <n v="469564"/>
  </r>
  <r>
    <n v="10086"/>
    <n v="10"/>
    <d v="2013-08-27T00:00:00"/>
    <s v="BLU-RAY"/>
    <n v="101679"/>
    <s v="AB102980"/>
    <x v="3"/>
    <n v="192738"/>
  </r>
  <r>
    <n v="10226"/>
    <n v="9"/>
    <d v="2013-08-29T00:00:00"/>
    <s v="BLU-RAY"/>
    <n v="101679"/>
    <s v="AB102981"/>
    <x v="4"/>
    <n v="192738"/>
  </r>
  <r>
    <n v="10074"/>
    <n v="2"/>
    <d v="2013-08-29T00:00:00"/>
    <s v="DVD"/>
    <n v="101680"/>
    <s v="AB102982"/>
    <x v="11"/>
    <n v="826590"/>
  </r>
  <r>
    <n v="10000"/>
    <n v="1"/>
    <d v="2013-08-29T00:00:00"/>
    <s v="BLU-RAY"/>
    <n v="101681"/>
    <s v="AB102983"/>
    <x v="6"/>
    <n v="265339"/>
  </r>
  <r>
    <n v="10066"/>
    <n v="6"/>
    <d v="2013-08-28T00:00:00"/>
    <s v="DVD"/>
    <n v="101681"/>
    <s v="AB102984"/>
    <x v="3"/>
    <n v="265339"/>
  </r>
  <r>
    <n v="10155"/>
    <n v="7"/>
    <d v="2013-08-28T00:00:00"/>
    <s v="DVD"/>
    <n v="101682"/>
    <s v="AB102985"/>
    <x v="9"/>
    <n v="826590"/>
  </r>
  <r>
    <n v="10078"/>
    <n v="8"/>
    <d v="2013-08-30T00:00:00"/>
    <s v="DVD"/>
    <n v="101683"/>
    <s v="AB102986"/>
    <x v="1"/>
    <n v="459243"/>
  </r>
  <r>
    <n v="10135"/>
    <n v="6"/>
    <d v="2013-08-29T00:00:00"/>
    <s v="BLU-RAY"/>
    <n v="101684"/>
    <s v="AB102987"/>
    <x v="7"/>
    <n v="315634"/>
  </r>
  <r>
    <n v="10038"/>
    <n v="8"/>
    <d v="2013-08-28T00:00:00"/>
    <s v="BLU-RAY"/>
    <n v="101684"/>
    <s v="AB102988"/>
    <x v="1"/>
    <n v="315634"/>
  </r>
  <r>
    <n v="10140"/>
    <n v="8"/>
    <d v="2013-08-28T00:00:00"/>
    <s v="BLU-RAY"/>
    <n v="101684"/>
    <s v="AB102989"/>
    <x v="2"/>
    <n v="315634"/>
  </r>
  <r>
    <n v="10161"/>
    <n v="7"/>
    <d v="2013-08-28T00:00:00"/>
    <s v="DVD"/>
    <n v="101685"/>
    <s v="AB102990"/>
    <x v="6"/>
    <n v="161175"/>
  </r>
  <r>
    <n v="10286"/>
    <n v="2"/>
    <d v="2013-08-28T00:00:00"/>
    <s v="BLU-RAY"/>
    <n v="101685"/>
    <s v="AB102991"/>
    <x v="17"/>
    <n v="161175"/>
  </r>
  <r>
    <n v="10250"/>
    <n v="1"/>
    <d v="2013-08-29T00:00:00"/>
    <s v="DVD"/>
    <n v="101685"/>
    <s v="AB102992"/>
    <x v="3"/>
    <n v="161175"/>
  </r>
  <r>
    <n v="10157"/>
    <n v="7"/>
    <d v="2013-08-28T00:00:00"/>
    <s v="DVD"/>
    <n v="101686"/>
    <s v="AB102993"/>
    <x v="1"/>
    <n v="857548"/>
  </r>
  <r>
    <n v="10159"/>
    <n v="4"/>
    <d v="2013-08-28T00:00:00"/>
    <s v="BLU-RAY"/>
    <n v="101686"/>
    <s v="AB102994"/>
    <x v="10"/>
    <n v="857548"/>
  </r>
  <r>
    <n v="10147"/>
    <n v="4"/>
    <d v="2013-08-29T00:00:00"/>
    <s v="DVD"/>
    <n v="101687"/>
    <s v="AB102995"/>
    <x v="10"/>
    <n v="797968"/>
  </r>
  <r>
    <n v="10052"/>
    <n v="8"/>
    <d v="2013-08-29T00:00:00"/>
    <s v="BLU-RAY"/>
    <n v="101688"/>
    <s v="AB102996"/>
    <x v="0"/>
    <n v="826590"/>
  </r>
  <r>
    <n v="10176"/>
    <n v="5"/>
    <d v="2013-08-28T00:00:00"/>
    <s v="BLU-RAY"/>
    <n v="101688"/>
    <s v="AB102997"/>
    <x v="7"/>
    <n v="826590"/>
  </r>
  <r>
    <n v="10036"/>
    <n v="5"/>
    <d v="2013-08-29T00:00:00"/>
    <s v="DVD"/>
    <n v="101689"/>
    <s v="AB102998"/>
    <x v="7"/>
    <n v="977759"/>
  </r>
  <r>
    <n v="10076"/>
    <n v="7"/>
    <d v="2013-08-29T00:00:00"/>
    <s v="DVD"/>
    <n v="101689"/>
    <s v="AB102999"/>
    <x v="4"/>
    <n v="977759"/>
  </r>
  <r>
    <n v="10134"/>
    <n v="1"/>
    <d v="2013-08-28T00:00:00"/>
    <s v="DVD"/>
    <n v="101689"/>
    <s v="AB103000"/>
    <x v="7"/>
    <n v="977759"/>
  </r>
  <r>
    <n v="10010"/>
    <n v="4"/>
    <d v="2013-08-29T00:00:00"/>
    <s v="DVD"/>
    <n v="101690"/>
    <s v="AB103001"/>
    <x v="3"/>
    <n v="954812"/>
  </r>
  <r>
    <n v="10200"/>
    <n v="5"/>
    <d v="2013-08-29T00:00:00"/>
    <s v="DVD"/>
    <n v="101690"/>
    <s v="AB103002"/>
    <x v="9"/>
    <n v="954812"/>
  </r>
  <r>
    <n v="10251"/>
    <n v="5"/>
    <d v="2013-08-29T00:00:00"/>
    <s v="DVD"/>
    <n v="101690"/>
    <s v="AB103003"/>
    <x v="7"/>
    <n v="954812"/>
  </r>
  <r>
    <n v="10079"/>
    <n v="10"/>
    <d v="2013-08-29T00:00:00"/>
    <s v="BLU-RAY"/>
    <n v="101691"/>
    <s v="AB103004"/>
    <x v="0"/>
    <n v="852925"/>
  </r>
  <r>
    <n v="10217"/>
    <n v="4"/>
    <d v="2013-08-30T00:00:00"/>
    <s v="DVD"/>
    <n v="101692"/>
    <s v="AB103005"/>
    <x v="0"/>
    <n v="143878"/>
  </r>
  <r>
    <n v="10134"/>
    <n v="1"/>
    <d v="2013-08-29T00:00:00"/>
    <s v="DVD"/>
    <n v="101692"/>
    <s v="AB103006"/>
    <x v="7"/>
    <n v="143878"/>
  </r>
  <r>
    <n v="10231"/>
    <n v="6"/>
    <d v="2013-08-29T00:00:00"/>
    <s v="BLU-RAY"/>
    <n v="101693"/>
    <s v="AB103007"/>
    <x v="7"/>
    <n v="918682"/>
  </r>
  <r>
    <n v="10124"/>
    <n v="8"/>
    <d v="2013-08-30T00:00:00"/>
    <s v="BLU-RAY"/>
    <n v="101694"/>
    <s v="AB103008"/>
    <x v="1"/>
    <n v="775449"/>
  </r>
  <r>
    <n v="10290"/>
    <n v="10"/>
    <d v="2013-08-29T00:00:00"/>
    <s v="DVD"/>
    <n v="101694"/>
    <s v="AB103009"/>
    <x v="2"/>
    <n v="775449"/>
  </r>
  <r>
    <n v="10077"/>
    <n v="4"/>
    <d v="2013-08-29T00:00:00"/>
    <s v="DVD"/>
    <n v="101694"/>
    <s v="AB103010"/>
    <x v="0"/>
    <n v="775449"/>
  </r>
  <r>
    <n v="10229"/>
    <n v="5"/>
    <d v="2013-08-29T00:00:00"/>
    <s v="BLU-RAY"/>
    <n v="101695"/>
    <s v="AB103011"/>
    <x v="6"/>
    <n v="127472"/>
  </r>
  <r>
    <n v="10088"/>
    <n v="4"/>
    <d v="2013-08-29T00:00:00"/>
    <s v="DVD"/>
    <n v="101696"/>
    <s v="AB103012"/>
    <x v="0"/>
    <n v="231615"/>
  </r>
  <r>
    <n v="10088"/>
    <n v="10"/>
    <d v="2013-08-29T00:00:00"/>
    <s v="DVD"/>
    <n v="101697"/>
    <s v="AB103013"/>
    <x v="0"/>
    <n v="862302"/>
  </r>
  <r>
    <n v="10293"/>
    <n v="8"/>
    <d v="2013-08-29T00:00:00"/>
    <s v="BLU-RAY"/>
    <n v="101698"/>
    <s v="AB103014"/>
    <x v="12"/>
    <n v="550824"/>
  </r>
  <r>
    <n v="10187"/>
    <n v="8"/>
    <d v="2013-08-29T00:00:00"/>
    <s v="DVD"/>
    <n v="101699"/>
    <s v="AB103015"/>
    <x v="1"/>
    <n v="396166"/>
  </r>
  <r>
    <n v="10195"/>
    <n v="8"/>
    <d v="2013-08-29T00:00:00"/>
    <s v="BLU-RAY"/>
    <n v="101699"/>
    <s v="AB103016"/>
    <x v="4"/>
    <n v="396166"/>
  </r>
  <r>
    <n v="10209"/>
    <n v="7"/>
    <d v="2013-09-01T00:00:00"/>
    <s v="BLU-RAY"/>
    <n v="101700"/>
    <s v="AB103017"/>
    <x v="7"/>
    <n v="500350"/>
  </r>
  <r>
    <n v="10243"/>
    <n v="6"/>
    <d v="2013-08-29T00:00:00"/>
    <s v="DVD"/>
    <n v="101700"/>
    <s v="AB103018"/>
    <x v="9"/>
    <n v="500350"/>
  </r>
  <r>
    <n v="10287"/>
    <n v="5"/>
    <d v="2013-08-29T00:00:00"/>
    <s v="BLU-RAY"/>
    <n v="101701"/>
    <s v="AB103019"/>
    <x v="10"/>
    <n v="487346"/>
  </r>
  <r>
    <n v="10249"/>
    <n v="3"/>
    <d v="2013-08-30T00:00:00"/>
    <s v="DVD"/>
    <n v="101702"/>
    <s v="AB103020"/>
    <x v="5"/>
    <n v="891738"/>
  </r>
  <r>
    <n v="10114"/>
    <n v="10"/>
    <d v="2013-08-29T00:00:00"/>
    <s v="BLU-RAY"/>
    <n v="101703"/>
    <s v="AB103021"/>
    <x v="10"/>
    <n v="586201"/>
  </r>
  <r>
    <n v="10075"/>
    <n v="6"/>
    <d v="2013-08-30T00:00:00"/>
    <s v="DVD"/>
    <n v="101703"/>
    <s v="AB103022"/>
    <x v="17"/>
    <n v="586201"/>
  </r>
  <r>
    <n v="10064"/>
    <n v="5"/>
    <d v="2013-08-29T00:00:00"/>
    <s v="DVD"/>
    <n v="101704"/>
    <s v="AB103023"/>
    <x v="7"/>
    <n v="695276"/>
  </r>
  <r>
    <n v="10203"/>
    <n v="4"/>
    <d v="2013-08-29T00:00:00"/>
    <s v="DVD"/>
    <n v="101705"/>
    <s v="AB103024"/>
    <x v="3"/>
    <n v="864896"/>
  </r>
  <r>
    <n v="10019"/>
    <n v="5"/>
    <d v="2013-08-29T00:00:00"/>
    <s v="DVD"/>
    <n v="101706"/>
    <s v="AB103025"/>
    <x v="9"/>
    <n v="964619"/>
  </r>
  <r>
    <n v="10106"/>
    <n v="5"/>
    <d v="2013-08-30T00:00:00"/>
    <s v="BLU-RAY"/>
    <n v="101707"/>
    <s v="AB103026"/>
    <x v="9"/>
    <n v="206078"/>
  </r>
  <r>
    <n v="10088"/>
    <n v="8"/>
    <d v="2013-08-29T00:00:00"/>
    <s v="BLU-RAY"/>
    <n v="101708"/>
    <s v="AB103027"/>
    <x v="0"/>
    <n v="575041"/>
  </r>
  <r>
    <n v="10274"/>
    <n v="4"/>
    <d v="2013-08-31T00:00:00"/>
    <s v="DVD"/>
    <n v="101709"/>
    <s v="AB103028"/>
    <x v="9"/>
    <n v="964619"/>
  </r>
  <r>
    <n v="10016"/>
    <n v="8"/>
    <d v="2013-08-29T00:00:00"/>
    <s v="DVD"/>
    <n v="101709"/>
    <s v="AB103029"/>
    <x v="7"/>
    <n v="964619"/>
  </r>
  <r>
    <n v="10044"/>
    <n v="6"/>
    <d v="2013-08-29T00:00:00"/>
    <s v="BLU-RAY"/>
    <n v="101710"/>
    <s v="AB103030"/>
    <x v="3"/>
    <n v="565259"/>
  </r>
  <r>
    <n v="10170"/>
    <n v="10"/>
    <d v="2013-09-02T00:00:00"/>
    <s v="DVD"/>
    <n v="101711"/>
    <s v="AB103031"/>
    <x v="15"/>
    <n v="616392"/>
  </r>
  <r>
    <n v="10145"/>
    <n v="3"/>
    <d v="2013-08-31T00:00:00"/>
    <s v="BLU-RAY"/>
    <n v="101712"/>
    <s v="AB103032"/>
    <x v="6"/>
    <n v="464277"/>
  </r>
  <r>
    <n v="10192"/>
    <n v="7"/>
    <d v="2013-08-30T00:00:00"/>
    <s v="BLU-RAY"/>
    <n v="101712"/>
    <s v="AB103033"/>
    <x v="7"/>
    <n v="464277"/>
  </r>
  <r>
    <n v="10230"/>
    <n v="9"/>
    <d v="2013-08-31T00:00:00"/>
    <s v="BLU-RAY"/>
    <n v="101713"/>
    <s v="AB103034"/>
    <x v="14"/>
    <n v="657495"/>
  </r>
  <r>
    <n v="10042"/>
    <n v="8"/>
    <d v="2013-08-30T00:00:00"/>
    <s v="BLU-RAY"/>
    <n v="101713"/>
    <s v="AB103035"/>
    <x v="1"/>
    <n v="657495"/>
  </r>
  <r>
    <n v="10172"/>
    <n v="4"/>
    <d v="2013-08-31T00:00:00"/>
    <s v="BLU-RAY"/>
    <n v="101714"/>
    <s v="AB103036"/>
    <x v="10"/>
    <n v="166612"/>
  </r>
  <r>
    <n v="10164"/>
    <n v="4"/>
    <d v="2013-08-30T00:00:00"/>
    <s v="BLU-RAY"/>
    <n v="101714"/>
    <s v="AB103037"/>
    <x v="2"/>
    <n v="166612"/>
  </r>
  <r>
    <n v="10039"/>
    <n v="7"/>
    <d v="2013-08-30T00:00:00"/>
    <s v="DVD"/>
    <n v="101714"/>
    <s v="AB103038"/>
    <x v="11"/>
    <n v="166612"/>
  </r>
  <r>
    <n v="10103"/>
    <n v="6"/>
    <d v="2013-08-31T00:00:00"/>
    <s v="DVD"/>
    <n v="101714"/>
    <s v="AB103039"/>
    <x v="9"/>
    <n v="166612"/>
  </r>
  <r>
    <n v="10239"/>
    <n v="3"/>
    <d v="2013-08-31T00:00:00"/>
    <s v="BLU-RAY"/>
    <n v="101714"/>
    <s v="AB103040"/>
    <x v="2"/>
    <n v="166612"/>
  </r>
  <r>
    <n v="10096"/>
    <n v="3"/>
    <d v="2013-08-30T00:00:00"/>
    <s v="BLU-RAY"/>
    <n v="101715"/>
    <s v="AB103041"/>
    <x v="7"/>
    <n v="404678"/>
  </r>
  <r>
    <n v="10070"/>
    <n v="3"/>
    <d v="2013-08-30T00:00:00"/>
    <s v="DVD"/>
    <n v="101715"/>
    <s v="AB103042"/>
    <x v="1"/>
    <n v="404678"/>
  </r>
  <r>
    <n v="10047"/>
    <n v="9"/>
    <d v="2013-08-31T00:00:00"/>
    <s v="BLU-RAY"/>
    <n v="101715"/>
    <s v="AB103043"/>
    <x v="0"/>
    <n v="404678"/>
  </r>
  <r>
    <n v="10223"/>
    <n v="2"/>
    <d v="2013-08-30T00:00:00"/>
    <s v="DVD"/>
    <n v="101716"/>
    <s v="AB103044"/>
    <x v="7"/>
    <n v="396166"/>
  </r>
  <r>
    <n v="10255"/>
    <n v="5"/>
    <d v="2013-08-30T00:00:00"/>
    <s v="BLU-RAY"/>
    <n v="101717"/>
    <s v="AB103045"/>
    <x v="1"/>
    <n v="838924"/>
  </r>
  <r>
    <n v="10089"/>
    <n v="6"/>
    <d v="2013-08-31T00:00:00"/>
    <s v="BLU-RAY"/>
    <n v="101717"/>
    <s v="AB103046"/>
    <x v="4"/>
    <n v="838924"/>
  </r>
  <r>
    <n v="10030"/>
    <n v="5"/>
    <d v="2013-08-30T00:00:00"/>
    <s v="BLU-RAY"/>
    <n v="101718"/>
    <s v="AB103047"/>
    <x v="0"/>
    <n v="274541"/>
  </r>
  <r>
    <n v="10188"/>
    <n v="7"/>
    <d v="2013-08-30T00:00:00"/>
    <s v="DVD"/>
    <n v="101719"/>
    <s v="AB103048"/>
    <x v="1"/>
    <n v="235720"/>
  </r>
  <r>
    <n v="10261"/>
    <n v="2"/>
    <d v="2013-08-30T00:00:00"/>
    <s v="DVD"/>
    <n v="101719"/>
    <s v="AB103049"/>
    <x v="9"/>
    <n v="235720"/>
  </r>
  <r>
    <n v="10128"/>
    <n v="9"/>
    <d v="2013-08-30T00:00:00"/>
    <s v="BLU-RAY"/>
    <n v="101720"/>
    <s v="AB103050"/>
    <x v="6"/>
    <n v="586201"/>
  </r>
  <r>
    <n v="10272"/>
    <n v="7"/>
    <d v="2013-08-30T00:00:00"/>
    <s v="BLU-RAY"/>
    <n v="101721"/>
    <s v="AB103051"/>
    <x v="4"/>
    <n v="789065"/>
  </r>
  <r>
    <n v="10221"/>
    <n v="6"/>
    <d v="2013-08-30T00:00:00"/>
    <s v="DVD"/>
    <n v="101721"/>
    <s v="AB103052"/>
    <x v="9"/>
    <n v="789065"/>
  </r>
  <r>
    <n v="10174"/>
    <n v="10"/>
    <d v="2013-08-30T00:00:00"/>
    <s v="DVD"/>
    <n v="101722"/>
    <s v="AB103053"/>
    <x v="7"/>
    <n v="116690"/>
  </r>
  <r>
    <n v="10074"/>
    <n v="8"/>
    <d v="2013-08-31T00:00:00"/>
    <s v="BLU-RAY"/>
    <n v="101722"/>
    <s v="AB103054"/>
    <x v="11"/>
    <n v="116690"/>
  </r>
  <r>
    <n v="10002"/>
    <n v="8"/>
    <d v="2013-08-30T00:00:00"/>
    <s v="DVD"/>
    <n v="101723"/>
    <s v="AB103055"/>
    <x v="10"/>
    <n v="420981"/>
  </r>
  <r>
    <n v="10106"/>
    <n v="9"/>
    <d v="2013-08-30T00:00:00"/>
    <s v="BLU-RAY"/>
    <n v="101723"/>
    <s v="AB103056"/>
    <x v="9"/>
    <n v="420981"/>
  </r>
  <r>
    <n v="10040"/>
    <n v="6"/>
    <d v="2013-08-31T00:00:00"/>
    <s v="DVD"/>
    <n v="101724"/>
    <s v="AB103057"/>
    <x v="7"/>
    <n v="250266"/>
  </r>
  <r>
    <n v="10291"/>
    <n v="7"/>
    <d v="2013-08-30T00:00:00"/>
    <s v="DVD"/>
    <n v="101725"/>
    <s v="AB103058"/>
    <x v="0"/>
    <n v="689877"/>
  </r>
  <r>
    <n v="10128"/>
    <n v="10"/>
    <d v="2013-08-30T00:00:00"/>
    <s v="DVD"/>
    <n v="101725"/>
    <s v="AB103059"/>
    <x v="6"/>
    <n v="689877"/>
  </r>
  <r>
    <n v="10028"/>
    <n v="8"/>
    <d v="2013-08-30T00:00:00"/>
    <s v="BLU-RAY"/>
    <n v="101725"/>
    <s v="AB103060"/>
    <x v="5"/>
    <n v="689877"/>
  </r>
  <r>
    <n v="10267"/>
    <n v="2"/>
    <d v="2013-09-01T00:00:00"/>
    <s v="DVD"/>
    <n v="101726"/>
    <s v="AB103061"/>
    <x v="6"/>
    <n v="230467"/>
  </r>
  <r>
    <n v="10136"/>
    <n v="9"/>
    <d v="2013-09-01T00:00:00"/>
    <s v="DVD"/>
    <n v="101727"/>
    <s v="AB103062"/>
    <x v="2"/>
    <n v="678940"/>
  </r>
  <r>
    <n v="10191"/>
    <n v="1"/>
    <d v="2013-08-31T00:00:00"/>
    <s v="BLU-RAY"/>
    <n v="101727"/>
    <s v="AB103063"/>
    <x v="7"/>
    <n v="678940"/>
  </r>
  <r>
    <n v="10280"/>
    <n v="6"/>
    <d v="2013-08-31T00:00:00"/>
    <s v="BLU-RAY"/>
    <n v="101728"/>
    <s v="AB103064"/>
    <x v="7"/>
    <n v="608290"/>
  </r>
  <r>
    <n v="10260"/>
    <n v="9"/>
    <d v="2013-08-31T00:00:00"/>
    <s v="BLU-RAY"/>
    <n v="101729"/>
    <s v="AB103065"/>
    <x v="4"/>
    <n v="797968"/>
  </r>
  <r>
    <n v="10049"/>
    <n v="2"/>
    <d v="2013-08-31T00:00:00"/>
    <s v="BLU-RAY"/>
    <n v="101730"/>
    <s v="AB103066"/>
    <x v="7"/>
    <n v="941876"/>
  </r>
  <r>
    <n v="10002"/>
    <n v="2"/>
    <d v="2013-08-31T00:00:00"/>
    <s v="DVD"/>
    <n v="101730"/>
    <s v="AB103067"/>
    <x v="10"/>
    <n v="941876"/>
  </r>
  <r>
    <n v="10195"/>
    <n v="10"/>
    <d v="2013-08-31T00:00:00"/>
    <s v="DVD"/>
    <n v="101731"/>
    <s v="AB103068"/>
    <x v="4"/>
    <n v="847289"/>
  </r>
  <r>
    <n v="10092"/>
    <n v="5"/>
    <d v="2013-09-01T00:00:00"/>
    <s v="BLU-RAY"/>
    <n v="101731"/>
    <s v="AB103069"/>
    <x v="0"/>
    <n v="847289"/>
  </r>
  <r>
    <n v="10023"/>
    <n v="2"/>
    <d v="2013-09-02T00:00:00"/>
    <s v="DVD"/>
    <n v="101731"/>
    <s v="AB103070"/>
    <x v="3"/>
    <n v="847289"/>
  </r>
  <r>
    <n v="10109"/>
    <n v="9"/>
    <d v="2013-08-31T00:00:00"/>
    <s v="BLU-RAY"/>
    <n v="101732"/>
    <s v="AB103071"/>
    <x v="0"/>
    <n v="924947"/>
  </r>
  <r>
    <n v="10136"/>
    <n v="3"/>
    <d v="2013-09-01T00:00:00"/>
    <s v="DVD"/>
    <n v="101733"/>
    <s v="AB103072"/>
    <x v="2"/>
    <n v="192738"/>
  </r>
  <r>
    <n v="10202"/>
    <n v="10"/>
    <d v="2013-09-01T00:00:00"/>
    <s v="DVD"/>
    <n v="101733"/>
    <s v="AB103073"/>
    <x v="0"/>
    <n v="192738"/>
  </r>
  <r>
    <n v="10222"/>
    <n v="3"/>
    <d v="2013-08-31T00:00:00"/>
    <s v="DVD"/>
    <n v="101734"/>
    <s v="AB103074"/>
    <x v="4"/>
    <n v="145929"/>
  </r>
  <r>
    <n v="10187"/>
    <n v="8"/>
    <d v="2013-08-31T00:00:00"/>
    <s v="DVD"/>
    <n v="101735"/>
    <s v="AB103075"/>
    <x v="1"/>
    <n v="772690"/>
  </r>
  <r>
    <n v="10243"/>
    <n v="4"/>
    <d v="2013-08-31T00:00:00"/>
    <s v="DVD"/>
    <n v="101736"/>
    <s v="AB103076"/>
    <x v="9"/>
    <n v="317807"/>
  </r>
  <r>
    <n v="10233"/>
    <n v="9"/>
    <d v="2013-08-31T00:00:00"/>
    <s v="BLU-RAY"/>
    <n v="101736"/>
    <s v="AB103077"/>
    <x v="8"/>
    <n v="317807"/>
  </r>
  <r>
    <n v="10237"/>
    <n v="4"/>
    <d v="2013-08-31T00:00:00"/>
    <s v="BLU-RAY"/>
    <n v="101736"/>
    <s v="AB103078"/>
    <x v="0"/>
    <n v="317807"/>
  </r>
  <r>
    <n v="10138"/>
    <n v="5"/>
    <d v="2013-08-31T00:00:00"/>
    <s v="BLU-RAY"/>
    <n v="101737"/>
    <s v="AB103079"/>
    <x v="7"/>
    <n v="448993"/>
  </r>
  <r>
    <n v="10168"/>
    <n v="7"/>
    <d v="2013-09-01T00:00:00"/>
    <s v="BLU-RAY"/>
    <n v="101738"/>
    <s v="AB103080"/>
    <x v="1"/>
    <n v="168607"/>
  </r>
  <r>
    <n v="10157"/>
    <n v="9"/>
    <d v="2013-08-31T00:00:00"/>
    <s v="DVD"/>
    <n v="101739"/>
    <s v="AB103081"/>
    <x v="1"/>
    <n v="678940"/>
  </r>
  <r>
    <n v="10179"/>
    <n v="7"/>
    <d v="2013-08-31T00:00:00"/>
    <s v="BLU-RAY"/>
    <n v="101739"/>
    <s v="AB103082"/>
    <x v="0"/>
    <n v="678940"/>
  </r>
  <r>
    <n v="10196"/>
    <n v="8"/>
    <d v="2013-09-01T00:00:00"/>
    <s v="BLU-RAY"/>
    <n v="101740"/>
    <s v="AB103083"/>
    <x v="9"/>
    <n v="383684"/>
  </r>
  <r>
    <n v="10032"/>
    <n v="4"/>
    <d v="2013-08-31T00:00:00"/>
    <s v="DVD"/>
    <n v="101740"/>
    <s v="AB103084"/>
    <x v="4"/>
    <n v="383684"/>
  </r>
  <r>
    <n v="10026"/>
    <n v="3"/>
    <d v="2013-09-02T00:00:00"/>
    <s v="DVD"/>
    <n v="101741"/>
    <s v="AB103085"/>
    <x v="9"/>
    <n v="143878"/>
  </r>
  <r>
    <n v="10274"/>
    <n v="9"/>
    <d v="2013-09-01T00:00:00"/>
    <s v="DVD"/>
    <n v="101742"/>
    <s v="AB103086"/>
    <x v="9"/>
    <n v="622131"/>
  </r>
  <r>
    <n v="10163"/>
    <n v="8"/>
    <d v="2013-08-31T00:00:00"/>
    <s v="BLU-RAY"/>
    <n v="101743"/>
    <s v="AB103087"/>
    <x v="0"/>
    <n v="111486"/>
  </r>
  <r>
    <n v="10088"/>
    <n v="9"/>
    <d v="2013-09-01T00:00:00"/>
    <s v="DVD"/>
    <n v="101744"/>
    <s v="AB103088"/>
    <x v="0"/>
    <n v="565259"/>
  </r>
  <r>
    <n v="10263"/>
    <n v="10"/>
    <d v="2013-09-01T00:00:00"/>
    <s v="DVD"/>
    <n v="101745"/>
    <s v="AB103089"/>
    <x v="9"/>
    <n v="270853"/>
  </r>
  <r>
    <n v="10160"/>
    <n v="10"/>
    <d v="2013-09-03T00:00:00"/>
    <s v="DVD"/>
    <n v="101746"/>
    <s v="AB103090"/>
    <x v="10"/>
    <n v="515790"/>
  </r>
  <r>
    <n v="10186"/>
    <n v="6"/>
    <d v="2013-09-01T00:00:00"/>
    <s v="DVD"/>
    <n v="101746"/>
    <s v="AB103091"/>
    <x v="10"/>
    <n v="515790"/>
  </r>
  <r>
    <n v="10009"/>
    <n v="1"/>
    <d v="2013-09-01T00:00:00"/>
    <s v="BLU-RAY"/>
    <n v="101746"/>
    <s v="AB103092"/>
    <x v="0"/>
    <n v="515790"/>
  </r>
  <r>
    <n v="10070"/>
    <n v="4"/>
    <d v="2013-09-01T00:00:00"/>
    <s v="BLU-RAY"/>
    <n v="101747"/>
    <s v="AB103093"/>
    <x v="1"/>
    <n v="924361"/>
  </r>
  <r>
    <n v="10204"/>
    <n v="1"/>
    <d v="2013-09-01T00:00:00"/>
    <s v="BLU-RAY"/>
    <n v="101748"/>
    <s v="AB103094"/>
    <x v="7"/>
    <n v="702197"/>
  </r>
  <r>
    <n v="10090"/>
    <n v="10"/>
    <d v="2013-09-02T00:00:00"/>
    <s v="DVD"/>
    <n v="101748"/>
    <s v="AB103095"/>
    <x v="1"/>
    <n v="702197"/>
  </r>
  <r>
    <n v="10224"/>
    <n v="6"/>
    <d v="2013-09-02T00:00:00"/>
    <s v="BLU-RAY"/>
    <n v="101749"/>
    <s v="AB103096"/>
    <x v="17"/>
    <n v="814512"/>
  </r>
  <r>
    <n v="10200"/>
    <n v="2"/>
    <d v="2013-09-02T00:00:00"/>
    <s v="DVD"/>
    <n v="101749"/>
    <s v="AB103097"/>
    <x v="9"/>
    <n v="814512"/>
  </r>
  <r>
    <n v="10057"/>
    <n v="2"/>
    <d v="2013-09-01T00:00:00"/>
    <s v="BLU-RAY"/>
    <n v="101749"/>
    <s v="AB103098"/>
    <x v="0"/>
    <n v="814512"/>
  </r>
  <r>
    <n v="10151"/>
    <n v="6"/>
    <d v="2013-09-01T00:00:00"/>
    <s v="DVD"/>
    <n v="101750"/>
    <s v="AB103099"/>
    <x v="8"/>
    <n v="216475"/>
  </r>
  <r>
    <n v="10147"/>
    <n v="10"/>
    <d v="2013-09-03T00:00:00"/>
    <s v="DVD"/>
    <n v="101750"/>
    <s v="AB103100"/>
    <x v="10"/>
    <n v="216475"/>
  </r>
  <r>
    <n v="10280"/>
    <n v="4"/>
    <d v="2013-09-01T00:00:00"/>
    <s v="DVD"/>
    <n v="101751"/>
    <s v="AB103101"/>
    <x v="7"/>
    <n v="270853"/>
  </r>
  <r>
    <n v="10010"/>
    <n v="6"/>
    <d v="2013-09-01T00:00:00"/>
    <s v="DVD"/>
    <n v="101751"/>
    <s v="AB103102"/>
    <x v="3"/>
    <n v="270853"/>
  </r>
  <r>
    <n v="10287"/>
    <n v="2"/>
    <d v="2013-09-02T00:00:00"/>
    <s v="BLU-RAY"/>
    <n v="101752"/>
    <s v="AB103103"/>
    <x v="10"/>
    <n v="857548"/>
  </r>
  <r>
    <n v="10273"/>
    <n v="3"/>
    <d v="2013-09-01T00:00:00"/>
    <s v="BLU-RAY"/>
    <n v="101752"/>
    <s v="AB103104"/>
    <x v="4"/>
    <n v="857548"/>
  </r>
  <r>
    <n v="10226"/>
    <n v="7"/>
    <d v="2013-09-01T00:00:00"/>
    <s v="DVD"/>
    <n v="101752"/>
    <s v="AB103105"/>
    <x v="4"/>
    <n v="857548"/>
  </r>
  <r>
    <n v="10048"/>
    <n v="6"/>
    <d v="2013-09-01T00:00:00"/>
    <s v="BLU-RAY"/>
    <n v="101752"/>
    <s v="AB103106"/>
    <x v="12"/>
    <n v="857548"/>
  </r>
  <r>
    <n v="10190"/>
    <n v="9"/>
    <d v="2013-09-02T00:00:00"/>
    <s v="DVD"/>
    <n v="101752"/>
    <s v="AB103107"/>
    <x v="10"/>
    <n v="857548"/>
  </r>
  <r>
    <n v="10129"/>
    <n v="6"/>
    <d v="2013-09-01T00:00:00"/>
    <s v="BLU-RAY"/>
    <n v="101753"/>
    <s v="AB103108"/>
    <x v="0"/>
    <n v="890651"/>
  </r>
  <r>
    <n v="10028"/>
    <n v="3"/>
    <d v="2013-09-01T00:00:00"/>
    <s v="BLU-RAY"/>
    <n v="101754"/>
    <s v="AB103109"/>
    <x v="5"/>
    <n v="972329"/>
  </r>
  <r>
    <n v="10240"/>
    <n v="1"/>
    <d v="2013-09-01T00:00:00"/>
    <s v="BLU-RAY"/>
    <n v="101755"/>
    <s v="AB103110"/>
    <x v="0"/>
    <n v="744416"/>
  </r>
  <r>
    <n v="10010"/>
    <n v="10"/>
    <d v="2013-09-01T00:00:00"/>
    <s v="DVD"/>
    <n v="101756"/>
    <s v="AB103111"/>
    <x v="3"/>
    <n v="422717"/>
  </r>
  <r>
    <n v="10080"/>
    <n v="4"/>
    <d v="2013-09-01T00:00:00"/>
    <s v="DVD"/>
    <n v="101756"/>
    <s v="AB103112"/>
    <x v="3"/>
    <n v="422717"/>
  </r>
  <r>
    <n v="10038"/>
    <n v="3"/>
    <d v="2013-09-02T00:00:00"/>
    <s v="BLU-RAY"/>
    <n v="101756"/>
    <s v="AB103113"/>
    <x v="1"/>
    <n v="422717"/>
  </r>
  <r>
    <n v="10141"/>
    <n v="8"/>
    <d v="2013-09-03T00:00:00"/>
    <s v="BLU-RAY"/>
    <n v="101757"/>
    <s v="AB103114"/>
    <x v="0"/>
    <n v="618955"/>
  </r>
  <r>
    <n v="10243"/>
    <n v="4"/>
    <d v="2013-09-01T00:00:00"/>
    <s v="DVD"/>
    <n v="101758"/>
    <s v="AB103115"/>
    <x v="9"/>
    <n v="143878"/>
  </r>
  <r>
    <n v="10029"/>
    <n v="9"/>
    <d v="2013-09-02T00:00:00"/>
    <s v="BLU-RAY"/>
    <n v="101759"/>
    <s v="AB103116"/>
    <x v="12"/>
    <n v="464782"/>
  </r>
  <r>
    <n v="10252"/>
    <n v="3"/>
    <d v="2013-09-02T00:00:00"/>
    <s v="DVD"/>
    <n v="101760"/>
    <s v="AB103117"/>
    <x v="0"/>
    <n v="710047"/>
  </r>
  <r>
    <n v="10287"/>
    <n v="7"/>
    <d v="2013-09-02T00:00:00"/>
    <s v="DVD"/>
    <n v="101761"/>
    <s v="AB103118"/>
    <x v="10"/>
    <n v="465275"/>
  </r>
  <r>
    <n v="10249"/>
    <n v="3"/>
    <d v="2013-09-02T00:00:00"/>
    <s v="DVD"/>
    <n v="101761"/>
    <s v="AB103119"/>
    <x v="5"/>
    <n v="465275"/>
  </r>
  <r>
    <n v="10023"/>
    <n v="5"/>
    <d v="2013-09-03T00:00:00"/>
    <s v="DVD"/>
    <n v="101762"/>
    <s v="AB103120"/>
    <x v="3"/>
    <n v="116690"/>
  </r>
  <r>
    <n v="10070"/>
    <n v="9"/>
    <d v="2013-09-02T00:00:00"/>
    <s v="BLU-RAY"/>
    <n v="101762"/>
    <s v="AB103121"/>
    <x v="1"/>
    <n v="116690"/>
  </r>
  <r>
    <n v="10262"/>
    <n v="10"/>
    <d v="2013-09-02T00:00:00"/>
    <s v="BLU-RAY"/>
    <n v="101763"/>
    <s v="AB103122"/>
    <x v="10"/>
    <n v="296353"/>
  </r>
  <r>
    <n v="10254"/>
    <n v="3"/>
    <d v="2013-09-02T00:00:00"/>
    <s v="DVD"/>
    <n v="101763"/>
    <s v="AB103123"/>
    <x v="1"/>
    <n v="296353"/>
  </r>
  <r>
    <n v="10135"/>
    <n v="9"/>
    <d v="2013-09-02T00:00:00"/>
    <s v="DVD"/>
    <n v="101764"/>
    <s v="AB103124"/>
    <x v="7"/>
    <n v="296353"/>
  </r>
  <r>
    <n v="10023"/>
    <n v="4"/>
    <d v="2013-09-03T00:00:00"/>
    <s v="BLU-RAY"/>
    <n v="101764"/>
    <s v="AB103125"/>
    <x v="3"/>
    <n v="296353"/>
  </r>
  <r>
    <n v="10287"/>
    <n v="5"/>
    <d v="2013-09-02T00:00:00"/>
    <s v="DVD"/>
    <n v="101765"/>
    <s v="AB103126"/>
    <x v="10"/>
    <n v="976778"/>
  </r>
  <r>
    <n v="10029"/>
    <n v="4"/>
    <d v="2013-09-02T00:00:00"/>
    <s v="DVD"/>
    <n v="101766"/>
    <s v="AB103127"/>
    <x v="12"/>
    <n v="592528"/>
  </r>
  <r>
    <n v="10138"/>
    <n v="8"/>
    <d v="2013-09-02T00:00:00"/>
    <s v="BLU-RAY"/>
    <n v="101767"/>
    <s v="AB103128"/>
    <x v="7"/>
    <n v="927518"/>
  </r>
  <r>
    <n v="10136"/>
    <n v="4"/>
    <d v="2013-09-02T00:00:00"/>
    <s v="DVD"/>
    <n v="101768"/>
    <s v="AB103129"/>
    <x v="2"/>
    <n v="944523"/>
  </r>
  <r>
    <n v="10276"/>
    <n v="2"/>
    <d v="2013-09-03T00:00:00"/>
    <s v="DVD"/>
    <n v="101768"/>
    <s v="AB103130"/>
    <x v="16"/>
    <n v="944523"/>
  </r>
  <r>
    <n v="10249"/>
    <n v="3"/>
    <d v="2013-09-02T00:00:00"/>
    <s v="DVD"/>
    <n v="101769"/>
    <s v="AB103131"/>
    <x v="5"/>
    <n v="706101"/>
  </r>
  <r>
    <n v="10160"/>
    <n v="3"/>
    <d v="2013-09-02T00:00:00"/>
    <s v="DVD"/>
    <n v="101769"/>
    <s v="AB103132"/>
    <x v="10"/>
    <n v="706101"/>
  </r>
  <r>
    <n v="10025"/>
    <n v="6"/>
    <d v="2013-09-02T00:00:00"/>
    <s v="DVD"/>
    <n v="101769"/>
    <s v="AB103133"/>
    <x v="4"/>
    <n v="706101"/>
  </r>
  <r>
    <n v="10129"/>
    <n v="5"/>
    <d v="2013-09-02T00:00:00"/>
    <s v="DVD"/>
    <n v="101769"/>
    <s v="AB103134"/>
    <x v="0"/>
    <n v="706101"/>
  </r>
  <r>
    <n v="10269"/>
    <n v="1"/>
    <d v="2013-09-02T00:00:00"/>
    <s v="DVD"/>
    <n v="101769"/>
    <s v="AB103135"/>
    <x v="3"/>
    <n v="706101"/>
  </r>
  <r>
    <n v="10203"/>
    <n v="4"/>
    <d v="2013-09-02T00:00:00"/>
    <s v="BLU-RAY"/>
    <n v="101769"/>
    <s v="AB103136"/>
    <x v="3"/>
    <n v="706101"/>
  </r>
  <r>
    <n v="10004"/>
    <n v="2"/>
    <d v="2013-09-02T00:00:00"/>
    <s v="DVD"/>
    <n v="101770"/>
    <s v="AB103137"/>
    <x v="1"/>
    <n v="651462"/>
  </r>
  <r>
    <n v="10182"/>
    <n v="7"/>
    <d v="2013-09-02T00:00:00"/>
    <s v="DVD"/>
    <n v="101770"/>
    <s v="AB103138"/>
    <x v="0"/>
    <n v="651462"/>
  </r>
  <r>
    <n v="10242"/>
    <n v="4"/>
    <d v="2013-09-02T00:00:00"/>
    <s v="BLU-RAY"/>
    <n v="101770"/>
    <s v="AB103139"/>
    <x v="3"/>
    <n v="651462"/>
  </r>
  <r>
    <n v="10117"/>
    <n v="4"/>
    <d v="2013-09-02T00:00:00"/>
    <s v="BLU-RAY"/>
    <n v="101771"/>
    <s v="AB103140"/>
    <x v="4"/>
    <n v="278809"/>
  </r>
  <r>
    <n v="10129"/>
    <n v="4"/>
    <d v="2013-09-03T00:00:00"/>
    <s v="DVD"/>
    <n v="101771"/>
    <s v="AB103141"/>
    <x v="0"/>
    <n v="278809"/>
  </r>
  <r>
    <n v="10282"/>
    <n v="6"/>
    <d v="2013-09-02T00:00:00"/>
    <s v="BLU-RAY"/>
    <n v="101772"/>
    <s v="AB103142"/>
    <x v="15"/>
    <n v="817159"/>
  </r>
  <r>
    <n v="10164"/>
    <n v="2"/>
    <d v="2013-09-02T00:00:00"/>
    <s v="BLU-RAY"/>
    <n v="101773"/>
    <s v="AB103143"/>
    <x v="2"/>
    <n v="670707"/>
  </r>
  <r>
    <n v="10238"/>
    <n v="1"/>
    <d v="2013-09-04T00:00:00"/>
    <s v="DVD"/>
    <n v="101773"/>
    <s v="AB103144"/>
    <x v="0"/>
    <n v="670707"/>
  </r>
  <r>
    <n v="10293"/>
    <n v="10"/>
    <d v="2013-09-02T00:00:00"/>
    <s v="BLU-RAY"/>
    <n v="101774"/>
    <s v="AB103145"/>
    <x v="12"/>
    <n v="772690"/>
  </r>
  <r>
    <n v="10091"/>
    <n v="4"/>
    <d v="2013-09-02T00:00:00"/>
    <s v="BLU-RAY"/>
    <n v="101774"/>
    <s v="AB103146"/>
    <x v="0"/>
    <n v="772690"/>
  </r>
  <r>
    <n v="10105"/>
    <n v="8"/>
    <d v="2013-09-03T00:00:00"/>
    <s v="BLU-RAY"/>
    <n v="101775"/>
    <s v="AB103147"/>
    <x v="2"/>
    <n v="143878"/>
  </r>
  <r>
    <n v="10186"/>
    <n v="8"/>
    <d v="2013-09-03T00:00:00"/>
    <s v="BLU-RAY"/>
    <n v="101775"/>
    <s v="AB103148"/>
    <x v="10"/>
    <n v="143878"/>
  </r>
  <r>
    <n v="10181"/>
    <n v="9"/>
    <d v="2013-09-04T00:00:00"/>
    <s v="DVD"/>
    <n v="101776"/>
    <s v="AB103149"/>
    <x v="9"/>
    <n v="464782"/>
  </r>
  <r>
    <n v="10090"/>
    <n v="8"/>
    <d v="2013-09-06T00:00:00"/>
    <s v="DVD"/>
    <n v="101776"/>
    <s v="AB103150"/>
    <x v="1"/>
    <n v="464782"/>
  </r>
  <r>
    <n v="10078"/>
    <n v="10"/>
    <d v="2013-09-03T00:00:00"/>
    <s v="BLU-RAY"/>
    <n v="101777"/>
    <s v="AB103151"/>
    <x v="1"/>
    <n v="297686"/>
  </r>
  <r>
    <n v="10201"/>
    <n v="10"/>
    <d v="2013-09-03T00:00:00"/>
    <s v="DVD"/>
    <n v="101778"/>
    <s v="AB103152"/>
    <x v="8"/>
    <n v="815980"/>
  </r>
  <r>
    <n v="10058"/>
    <n v="3"/>
    <d v="2013-09-03T00:00:00"/>
    <s v="DVD"/>
    <n v="101778"/>
    <s v="AB103153"/>
    <x v="4"/>
    <n v="815980"/>
  </r>
  <r>
    <n v="10133"/>
    <n v="2"/>
    <d v="2013-09-03T00:00:00"/>
    <s v="BLU-RAY"/>
    <n v="101778"/>
    <s v="AB103154"/>
    <x v="9"/>
    <n v="815980"/>
  </r>
  <r>
    <n v="10276"/>
    <n v="6"/>
    <d v="2013-09-03T00:00:00"/>
    <s v="BLU-RAY"/>
    <n v="101779"/>
    <s v="AB103155"/>
    <x v="16"/>
    <n v="202612"/>
  </r>
  <r>
    <n v="10085"/>
    <n v="10"/>
    <d v="2013-09-04T00:00:00"/>
    <s v="DVD"/>
    <n v="101779"/>
    <s v="AB103156"/>
    <x v="3"/>
    <n v="202612"/>
  </r>
  <r>
    <n v="10004"/>
    <n v="1"/>
    <d v="2013-09-04T00:00:00"/>
    <s v="DVD"/>
    <n v="101779"/>
    <s v="AB103157"/>
    <x v="1"/>
    <n v="202612"/>
  </r>
  <r>
    <n v="10212"/>
    <n v="7"/>
    <d v="2013-09-04T00:00:00"/>
    <s v="DVD"/>
    <n v="101779"/>
    <s v="AB103158"/>
    <x v="10"/>
    <n v="202612"/>
  </r>
  <r>
    <n v="10147"/>
    <n v="4"/>
    <d v="2013-09-03T00:00:00"/>
    <s v="DVD"/>
    <n v="101780"/>
    <s v="AB103159"/>
    <x v="10"/>
    <n v="548546"/>
  </r>
  <r>
    <n v="10102"/>
    <n v="8"/>
    <d v="2013-09-03T00:00:00"/>
    <s v="DVD"/>
    <n v="101780"/>
    <s v="AB103160"/>
    <x v="7"/>
    <n v="548546"/>
  </r>
  <r>
    <n v="10015"/>
    <n v="1"/>
    <d v="2013-09-04T00:00:00"/>
    <s v="BLU-RAY"/>
    <n v="101781"/>
    <s v="AB103161"/>
    <x v="6"/>
    <n v="611848"/>
  </r>
  <r>
    <n v="10116"/>
    <n v="5"/>
    <d v="2013-09-04T00:00:00"/>
    <s v="BLU-RAY"/>
    <n v="101782"/>
    <s v="AB103162"/>
    <x v="7"/>
    <n v="442254"/>
  </r>
  <r>
    <n v="10231"/>
    <n v="10"/>
    <d v="2013-09-03T00:00:00"/>
    <s v="BLU-RAY"/>
    <n v="101782"/>
    <s v="AB103163"/>
    <x v="7"/>
    <n v="442254"/>
  </r>
  <r>
    <n v="10244"/>
    <n v="9"/>
    <d v="2013-09-03T00:00:00"/>
    <s v="BLU-RAY"/>
    <n v="101783"/>
    <s v="AB103164"/>
    <x v="4"/>
    <n v="741514"/>
  </r>
  <r>
    <n v="10207"/>
    <n v="3"/>
    <d v="2013-09-03T00:00:00"/>
    <s v="BLU-RAY"/>
    <n v="101783"/>
    <s v="AB103165"/>
    <x v="1"/>
    <n v="741514"/>
  </r>
  <r>
    <n v="10118"/>
    <n v="10"/>
    <d v="2013-09-03T00:00:00"/>
    <s v="DVD"/>
    <n v="101784"/>
    <s v="AB103166"/>
    <x v="3"/>
    <n v="205927"/>
  </r>
  <r>
    <n v="10140"/>
    <n v="5"/>
    <d v="2013-09-03T00:00:00"/>
    <s v="DVD"/>
    <n v="101784"/>
    <s v="AB103167"/>
    <x v="2"/>
    <n v="205927"/>
  </r>
  <r>
    <n v="10044"/>
    <n v="8"/>
    <d v="2013-09-03T00:00:00"/>
    <s v="DVD"/>
    <n v="101784"/>
    <s v="AB103168"/>
    <x v="3"/>
    <n v="205927"/>
  </r>
  <r>
    <n v="10240"/>
    <n v="10"/>
    <d v="2013-09-03T00:00:00"/>
    <s v="BLU-RAY"/>
    <n v="101784"/>
    <s v="AB103169"/>
    <x v="0"/>
    <n v="205927"/>
  </r>
  <r>
    <n v="10164"/>
    <n v="8"/>
    <d v="2013-09-03T00:00:00"/>
    <s v="DVD"/>
    <n v="101785"/>
    <s v="AB103170"/>
    <x v="2"/>
    <n v="901388"/>
  </r>
  <r>
    <n v="10237"/>
    <n v="8"/>
    <d v="2013-09-03T00:00:00"/>
    <s v="BLU-RAY"/>
    <n v="101785"/>
    <s v="AB103171"/>
    <x v="0"/>
    <n v="901388"/>
  </r>
  <r>
    <n v="10137"/>
    <n v="7"/>
    <d v="2013-09-03T00:00:00"/>
    <s v="DVD"/>
    <n v="101786"/>
    <s v="AB103172"/>
    <x v="3"/>
    <n v="267632"/>
  </r>
  <r>
    <n v="10122"/>
    <n v="7"/>
    <d v="2013-09-03T00:00:00"/>
    <s v="BLU-RAY"/>
    <n v="101786"/>
    <s v="AB103173"/>
    <x v="12"/>
    <n v="267632"/>
  </r>
  <r>
    <n v="10260"/>
    <n v="7"/>
    <d v="2013-09-04T00:00:00"/>
    <s v="BLU-RAY"/>
    <n v="101787"/>
    <s v="AB103174"/>
    <x v="4"/>
    <n v="494106"/>
  </r>
  <r>
    <n v="10217"/>
    <n v="6"/>
    <d v="2013-09-04T00:00:00"/>
    <s v="BLU-RAY"/>
    <n v="101787"/>
    <s v="AB103175"/>
    <x v="0"/>
    <n v="494106"/>
  </r>
  <r>
    <n v="10169"/>
    <n v="4"/>
    <d v="2013-09-03T00:00:00"/>
    <s v="DVD"/>
    <n v="101788"/>
    <s v="AB103176"/>
    <x v="0"/>
    <n v="664934"/>
  </r>
  <r>
    <n v="10052"/>
    <n v="2"/>
    <d v="2013-09-04T00:00:00"/>
    <s v="DVD"/>
    <n v="101788"/>
    <s v="AB103177"/>
    <x v="0"/>
    <n v="664934"/>
  </r>
  <r>
    <n v="10053"/>
    <n v="10"/>
    <d v="2013-09-03T00:00:00"/>
    <s v="DVD"/>
    <n v="101788"/>
    <s v="AB103178"/>
    <x v="4"/>
    <n v="664934"/>
  </r>
  <r>
    <n v="10021"/>
    <n v="8"/>
    <d v="2013-09-03T00:00:00"/>
    <s v="BLU-RAY"/>
    <n v="101789"/>
    <s v="AB103179"/>
    <x v="1"/>
    <n v="395125"/>
  </r>
  <r>
    <n v="10296"/>
    <n v="8"/>
    <d v="2013-09-04T00:00:00"/>
    <s v="DVD"/>
    <n v="101790"/>
    <s v="AB103180"/>
    <x v="21"/>
    <n v="954812"/>
  </r>
  <r>
    <n v="10230"/>
    <n v="2"/>
    <d v="2013-09-04T00:00:00"/>
    <s v="DVD"/>
    <n v="101790"/>
    <s v="AB103181"/>
    <x v="14"/>
    <n v="954812"/>
  </r>
  <r>
    <n v="10271"/>
    <n v="5"/>
    <d v="2013-09-04T00:00:00"/>
    <s v="DVD"/>
    <n v="101791"/>
    <s v="AB103182"/>
    <x v="7"/>
    <n v="766161"/>
  </r>
  <r>
    <n v="10229"/>
    <n v="3"/>
    <d v="2013-09-04T00:00:00"/>
    <s v="BLU-RAY"/>
    <n v="101791"/>
    <s v="AB103183"/>
    <x v="6"/>
    <n v="766161"/>
  </r>
  <r>
    <n v="10026"/>
    <n v="8"/>
    <d v="2013-09-05T00:00:00"/>
    <s v="BLU-RAY"/>
    <n v="101792"/>
    <s v="AB103184"/>
    <x v="9"/>
    <n v="249779"/>
  </r>
  <r>
    <n v="10272"/>
    <n v="6"/>
    <d v="2013-09-04T00:00:00"/>
    <s v="BLU-RAY"/>
    <n v="101793"/>
    <s v="AB103185"/>
    <x v="4"/>
    <n v="612681"/>
  </r>
  <r>
    <n v="10165"/>
    <n v="7"/>
    <d v="2013-09-04T00:00:00"/>
    <s v="DVD"/>
    <n v="101793"/>
    <s v="AB103186"/>
    <x v="2"/>
    <n v="612681"/>
  </r>
  <r>
    <n v="10253"/>
    <n v="2"/>
    <d v="2013-09-06T00:00:00"/>
    <s v="DVD"/>
    <n v="101794"/>
    <s v="AB103187"/>
    <x v="3"/>
    <n v="734624"/>
  </r>
  <r>
    <n v="10031"/>
    <n v="7"/>
    <d v="2013-09-04T00:00:00"/>
    <s v="DVD"/>
    <n v="101795"/>
    <s v="AB103188"/>
    <x v="0"/>
    <n v="601753"/>
  </r>
  <r>
    <n v="10161"/>
    <n v="4"/>
    <d v="2013-09-07T00:00:00"/>
    <s v="DVD"/>
    <n v="101795"/>
    <s v="AB103189"/>
    <x v="6"/>
    <n v="601753"/>
  </r>
  <r>
    <n v="10177"/>
    <n v="3"/>
    <d v="2013-09-04T00:00:00"/>
    <s v="BLU-RAY"/>
    <n v="101795"/>
    <s v="AB103190"/>
    <x v="9"/>
    <n v="601753"/>
  </r>
  <r>
    <n v="10053"/>
    <n v="9"/>
    <d v="2013-09-04T00:00:00"/>
    <s v="BLU-RAY"/>
    <n v="101796"/>
    <s v="AB103191"/>
    <x v="4"/>
    <n v="826590"/>
  </r>
  <r>
    <n v="10059"/>
    <n v="4"/>
    <d v="2013-09-04T00:00:00"/>
    <s v="BLU-RAY"/>
    <n v="101796"/>
    <s v="AB103192"/>
    <x v="7"/>
    <n v="826590"/>
  </r>
  <r>
    <n v="10225"/>
    <n v="6"/>
    <d v="2013-09-04T00:00:00"/>
    <s v="DVD"/>
    <n v="101797"/>
    <s v="AB103193"/>
    <x v="0"/>
    <n v="352644"/>
  </r>
  <r>
    <n v="10184"/>
    <n v="1"/>
    <d v="2013-09-04T00:00:00"/>
    <s v="DVD"/>
    <n v="101797"/>
    <s v="AB103194"/>
    <x v="7"/>
    <n v="352644"/>
  </r>
  <r>
    <n v="10165"/>
    <n v="5"/>
    <d v="2013-09-04T00:00:00"/>
    <s v="DVD"/>
    <n v="101798"/>
    <s v="AB103195"/>
    <x v="2"/>
    <n v="817274"/>
  </r>
  <r>
    <n v="10001"/>
    <n v="8"/>
    <d v="2013-09-04T00:00:00"/>
    <s v="DVD"/>
    <n v="101799"/>
    <s v="AB103196"/>
    <x v="14"/>
    <n v="808177"/>
  </r>
  <r>
    <n v="10185"/>
    <n v="6"/>
    <d v="2013-09-04T00:00:00"/>
    <s v="DVD"/>
    <n v="101799"/>
    <s v="AB103197"/>
    <x v="0"/>
    <n v="808177"/>
  </r>
  <r>
    <n v="10178"/>
    <n v="6"/>
    <d v="2013-09-05T00:00:00"/>
    <s v="BLU-RAY"/>
    <n v="101799"/>
    <s v="AB103198"/>
    <x v="0"/>
    <n v="808177"/>
  </r>
  <r>
    <n v="10105"/>
    <n v="1"/>
    <d v="2013-09-05T00:00:00"/>
    <s v="BLU-RAY"/>
    <n v="101799"/>
    <s v="AB103199"/>
    <x v="2"/>
    <n v="808177"/>
  </r>
  <r>
    <n v="10147"/>
    <n v="10"/>
    <d v="2013-09-04T00:00:00"/>
    <s v="DVD"/>
    <n v="101800"/>
    <s v="AB103200"/>
    <x v="10"/>
    <n v="877877"/>
  </r>
  <r>
    <n v="10018"/>
    <n v="8"/>
    <d v="2013-09-04T00:00:00"/>
    <s v="DVD"/>
    <n v="101800"/>
    <s v="AB103201"/>
    <x v="9"/>
    <n v="877877"/>
  </r>
  <r>
    <n v="10244"/>
    <n v="6"/>
    <d v="2013-09-05T00:00:00"/>
    <s v="DVD"/>
    <n v="101801"/>
    <s v="AB103202"/>
    <x v="4"/>
    <n v="891738"/>
  </r>
  <r>
    <n v="10073"/>
    <n v="3"/>
    <d v="2013-09-04T00:00:00"/>
    <s v="DVD"/>
    <n v="101801"/>
    <s v="AB103203"/>
    <x v="16"/>
    <n v="891738"/>
  </r>
  <r>
    <n v="10185"/>
    <n v="1"/>
    <d v="2013-09-04T00:00:00"/>
    <s v="DVD"/>
    <n v="101802"/>
    <s v="AB103204"/>
    <x v="0"/>
    <n v="882493"/>
  </r>
  <r>
    <n v="10149"/>
    <n v="8"/>
    <d v="2013-09-04T00:00:00"/>
    <s v="DVD"/>
    <n v="101803"/>
    <s v="AB103205"/>
    <x v="12"/>
    <n v="231615"/>
  </r>
  <r>
    <n v="10143"/>
    <n v="5"/>
    <d v="2013-09-05T00:00:00"/>
    <s v="DVD"/>
    <n v="101804"/>
    <s v="AB103206"/>
    <x v="3"/>
    <n v="330570"/>
  </r>
  <r>
    <n v="10192"/>
    <n v="9"/>
    <d v="2013-09-05T00:00:00"/>
    <s v="DVD"/>
    <n v="101804"/>
    <s v="AB103207"/>
    <x v="7"/>
    <n v="330570"/>
  </r>
  <r>
    <n v="10231"/>
    <n v="9"/>
    <d v="2013-09-06T00:00:00"/>
    <s v="BLU-RAY"/>
    <n v="101804"/>
    <s v="AB103208"/>
    <x v="7"/>
    <n v="330570"/>
  </r>
  <r>
    <n v="10022"/>
    <n v="4"/>
    <d v="2013-09-06T00:00:00"/>
    <s v="DVD"/>
    <n v="101805"/>
    <s v="AB103209"/>
    <x v="7"/>
    <n v="606155"/>
  </r>
  <r>
    <n v="10279"/>
    <n v="8"/>
    <d v="2013-09-04T00:00:00"/>
    <s v="DVD"/>
    <n v="101806"/>
    <s v="AB103210"/>
    <x v="8"/>
    <n v="520377"/>
  </r>
  <r>
    <n v="10190"/>
    <n v="8"/>
    <d v="2013-09-06T00:00:00"/>
    <s v="DVD"/>
    <n v="101806"/>
    <s v="AB103211"/>
    <x v="10"/>
    <n v="520377"/>
  </r>
  <r>
    <n v="10292"/>
    <n v="10"/>
    <d v="2013-09-04T00:00:00"/>
    <s v="DVD"/>
    <n v="101806"/>
    <s v="AB103212"/>
    <x v="15"/>
    <n v="520377"/>
  </r>
  <r>
    <n v="10166"/>
    <n v="3"/>
    <d v="2013-09-05T00:00:00"/>
    <s v="BLU-RAY"/>
    <n v="101807"/>
    <s v="AB103213"/>
    <x v="9"/>
    <n v="189441"/>
  </r>
  <r>
    <n v="10280"/>
    <n v="4"/>
    <d v="2013-09-05T00:00:00"/>
    <s v="DVD"/>
    <n v="101808"/>
    <s v="AB103214"/>
    <x v="7"/>
    <n v="964619"/>
  </r>
  <r>
    <n v="10126"/>
    <n v="9"/>
    <d v="2013-09-07T00:00:00"/>
    <s v="BLU-RAY"/>
    <n v="101808"/>
    <s v="AB103215"/>
    <x v="9"/>
    <n v="964619"/>
  </r>
  <r>
    <n v="10054"/>
    <n v="6"/>
    <d v="2013-09-06T00:00:00"/>
    <s v="DVD"/>
    <n v="101809"/>
    <s v="AB103216"/>
    <x v="1"/>
    <n v="262579"/>
  </r>
  <r>
    <n v="10100"/>
    <n v="4"/>
    <d v="2013-09-05T00:00:00"/>
    <s v="DVD"/>
    <n v="101810"/>
    <s v="AB103217"/>
    <x v="9"/>
    <n v="973766"/>
  </r>
  <r>
    <n v="10191"/>
    <n v="7"/>
    <d v="2013-09-05T00:00:00"/>
    <s v="DVD"/>
    <n v="101810"/>
    <s v="AB103218"/>
    <x v="7"/>
    <n v="973766"/>
  </r>
  <r>
    <n v="10083"/>
    <n v="1"/>
    <d v="2013-09-06T00:00:00"/>
    <s v="BLU-RAY"/>
    <n v="101811"/>
    <s v="AB103219"/>
    <x v="3"/>
    <n v="464277"/>
  </r>
  <r>
    <n v="10025"/>
    <n v="2"/>
    <d v="2013-09-05T00:00:00"/>
    <s v="BLU-RAY"/>
    <n v="101812"/>
    <s v="AB103220"/>
    <x v="4"/>
    <n v="672834"/>
  </r>
  <r>
    <n v="10271"/>
    <n v="4"/>
    <d v="2013-09-05T00:00:00"/>
    <s v="BLU-RAY"/>
    <n v="101812"/>
    <s v="AB103221"/>
    <x v="7"/>
    <n v="672834"/>
  </r>
  <r>
    <n v="10289"/>
    <n v="3"/>
    <d v="2013-09-05T00:00:00"/>
    <s v="DVD"/>
    <n v="101813"/>
    <s v="AB103222"/>
    <x v="11"/>
    <n v="549823"/>
  </r>
  <r>
    <n v="10064"/>
    <n v="7"/>
    <d v="2013-09-05T00:00:00"/>
    <s v="DVD"/>
    <n v="101813"/>
    <s v="AB103223"/>
    <x v="7"/>
    <n v="549823"/>
  </r>
  <r>
    <n v="10175"/>
    <n v="7"/>
    <d v="2013-09-05T00:00:00"/>
    <s v="DVD"/>
    <n v="101813"/>
    <s v="AB103224"/>
    <x v="3"/>
    <n v="549823"/>
  </r>
  <r>
    <n v="10196"/>
    <n v="10"/>
    <d v="2013-09-07T00:00:00"/>
    <s v="DVD"/>
    <n v="101813"/>
    <s v="AB103225"/>
    <x v="9"/>
    <n v="549823"/>
  </r>
  <r>
    <n v="10281"/>
    <n v="10"/>
    <d v="2013-09-06T00:00:00"/>
    <s v="BLU-RAY"/>
    <n v="101813"/>
    <s v="AB103226"/>
    <x v="10"/>
    <n v="549823"/>
  </r>
  <r>
    <n v="10180"/>
    <n v="4"/>
    <d v="2013-09-06T00:00:00"/>
    <s v="BLU-RAY"/>
    <n v="101814"/>
    <s v="AB103227"/>
    <x v="12"/>
    <n v="216475"/>
  </r>
  <r>
    <n v="10201"/>
    <n v="9"/>
    <d v="2013-09-06T00:00:00"/>
    <s v="DVD"/>
    <n v="101815"/>
    <s v="AB103228"/>
    <x v="8"/>
    <n v="771285"/>
  </r>
  <r>
    <n v="10156"/>
    <n v="8"/>
    <d v="2013-09-06T00:00:00"/>
    <s v="DVD"/>
    <n v="101816"/>
    <s v="AB103229"/>
    <x v="3"/>
    <n v="900440"/>
  </r>
  <r>
    <n v="10001"/>
    <n v="9"/>
    <d v="2013-09-06T00:00:00"/>
    <s v="DVD"/>
    <n v="101816"/>
    <s v="AB103230"/>
    <x v="14"/>
    <n v="900440"/>
  </r>
  <r>
    <n v="10164"/>
    <n v="2"/>
    <d v="2013-09-06T00:00:00"/>
    <s v="BLU-RAY"/>
    <n v="101817"/>
    <s v="AB103231"/>
    <x v="2"/>
    <n v="606155"/>
  </r>
  <r>
    <n v="10011"/>
    <n v="8"/>
    <d v="2013-09-06T00:00:00"/>
    <s v="BLU-RAY"/>
    <n v="101818"/>
    <s v="AB103232"/>
    <x v="3"/>
    <n v="938393"/>
  </r>
  <r>
    <n v="10073"/>
    <n v="3"/>
    <d v="2013-09-06T00:00:00"/>
    <s v="DVD"/>
    <n v="101819"/>
    <s v="AB103233"/>
    <x v="16"/>
    <n v="664934"/>
  </r>
  <r>
    <n v="10092"/>
    <n v="6"/>
    <d v="2013-09-07T00:00:00"/>
    <s v="DVD"/>
    <n v="101819"/>
    <s v="AB103234"/>
    <x v="0"/>
    <n v="664934"/>
  </r>
  <r>
    <n v="10003"/>
    <n v="3"/>
    <d v="2013-09-08T00:00:00"/>
    <s v="BLU-RAY"/>
    <n v="101820"/>
    <s v="AB103235"/>
    <x v="1"/>
    <n v="468100"/>
  </r>
  <r>
    <n v="10266"/>
    <n v="1"/>
    <d v="2013-09-06T00:00:00"/>
    <s v="BLU-RAY"/>
    <n v="101821"/>
    <s v="AB103236"/>
    <x v="4"/>
    <n v="265707"/>
  </r>
  <r>
    <n v="10000"/>
    <n v="1"/>
    <d v="2013-09-06T00:00:00"/>
    <s v="BLU-RAY"/>
    <n v="101821"/>
    <s v="AB103237"/>
    <x v="6"/>
    <n v="265707"/>
  </r>
  <r>
    <n v="10283"/>
    <n v="1"/>
    <d v="2013-09-06T00:00:00"/>
    <s v="DVD"/>
    <n v="101822"/>
    <s v="AB103238"/>
    <x v="6"/>
    <n v="927518"/>
  </r>
  <r>
    <n v="10209"/>
    <n v="10"/>
    <d v="2013-09-06T00:00:00"/>
    <s v="BLU-RAY"/>
    <n v="101822"/>
    <s v="AB103239"/>
    <x v="7"/>
    <n v="927518"/>
  </r>
  <r>
    <n v="10218"/>
    <n v="6"/>
    <d v="2013-09-06T00:00:00"/>
    <s v="DVD"/>
    <n v="101823"/>
    <s v="AB103240"/>
    <x v="4"/>
    <n v="755271"/>
  </r>
  <r>
    <n v="10139"/>
    <n v="5"/>
    <d v="2013-09-07T00:00:00"/>
    <s v="BLU-RAY"/>
    <n v="101824"/>
    <s v="AB103241"/>
    <x v="14"/>
    <n v="442254"/>
  </r>
  <r>
    <n v="10016"/>
    <n v="3"/>
    <d v="2013-09-07T00:00:00"/>
    <s v="BLU-RAY"/>
    <n v="101825"/>
    <s v="AB103242"/>
    <x v="7"/>
    <n v="200272"/>
  </r>
  <r>
    <n v="10289"/>
    <n v="4"/>
    <d v="2013-09-06T00:00:00"/>
    <s v="BLU-RAY"/>
    <n v="101825"/>
    <s v="AB103243"/>
    <x v="11"/>
    <n v="200272"/>
  </r>
  <r>
    <n v="10209"/>
    <n v="2"/>
    <d v="2013-09-07T00:00:00"/>
    <s v="DVD"/>
    <n v="101826"/>
    <s v="AB103244"/>
    <x v="7"/>
    <n v="110363"/>
  </r>
  <r>
    <n v="10032"/>
    <n v="8"/>
    <d v="2013-09-06T00:00:00"/>
    <s v="DVD"/>
    <n v="101826"/>
    <s v="AB103245"/>
    <x v="4"/>
    <n v="110363"/>
  </r>
  <r>
    <n v="10224"/>
    <n v="2"/>
    <d v="2013-09-07T00:00:00"/>
    <s v="BLU-RAY"/>
    <n v="101827"/>
    <s v="AB103246"/>
    <x v="17"/>
    <n v="395125"/>
  </r>
  <r>
    <n v="10251"/>
    <n v="7"/>
    <d v="2013-09-07T00:00:00"/>
    <s v="BLU-RAY"/>
    <n v="101827"/>
    <s v="AB103247"/>
    <x v="7"/>
    <n v="395125"/>
  </r>
  <r>
    <n v="10132"/>
    <n v="5"/>
    <d v="2013-09-07T00:00:00"/>
    <s v="BLU-RAY"/>
    <n v="101827"/>
    <s v="AB103248"/>
    <x v="10"/>
    <n v="395125"/>
  </r>
  <r>
    <n v="10128"/>
    <n v="6"/>
    <d v="2013-09-07T00:00:00"/>
    <s v="BLU-RAY"/>
    <n v="101828"/>
    <s v="AB103249"/>
    <x v="6"/>
    <n v="670707"/>
  </r>
  <r>
    <n v="10035"/>
    <n v="10"/>
    <d v="2013-09-07T00:00:00"/>
    <s v="BLU-RAY"/>
    <n v="101829"/>
    <s v="AB103250"/>
    <x v="4"/>
    <n v="485769"/>
  </r>
  <r>
    <n v="10201"/>
    <n v="5"/>
    <d v="2013-09-07T00:00:00"/>
    <s v="DVD"/>
    <n v="101830"/>
    <s v="AB103251"/>
    <x v="8"/>
    <n v="796796"/>
  </r>
  <r>
    <n v="10187"/>
    <n v="9"/>
    <d v="2013-09-07T00:00:00"/>
    <s v="BLU-RAY"/>
    <n v="101830"/>
    <s v="AB103252"/>
    <x v="1"/>
    <n v="796796"/>
  </r>
  <r>
    <n v="10226"/>
    <n v="4"/>
    <d v="2013-09-07T00:00:00"/>
    <s v="DVD"/>
    <n v="101830"/>
    <s v="AB103253"/>
    <x v="4"/>
    <n v="796796"/>
  </r>
  <r>
    <n v="10004"/>
    <n v="8"/>
    <d v="2013-09-08T00:00:00"/>
    <s v="DVD"/>
    <n v="101830"/>
    <s v="AB103254"/>
    <x v="1"/>
    <n v="796796"/>
  </r>
  <r>
    <n v="10234"/>
    <n v="6"/>
    <d v="2013-09-07T00:00:00"/>
    <s v="DVD"/>
    <n v="101831"/>
    <s v="AB103255"/>
    <x v="0"/>
    <n v="722547"/>
  </r>
  <r>
    <n v="10146"/>
    <n v="7"/>
    <d v="2013-09-07T00:00:00"/>
    <s v="DVD"/>
    <n v="101832"/>
    <s v="AB103256"/>
    <x v="4"/>
    <n v="924361"/>
  </r>
  <r>
    <n v="10135"/>
    <n v="9"/>
    <d v="2013-09-07T00:00:00"/>
    <s v="DVD"/>
    <n v="101833"/>
    <s v="AB103257"/>
    <x v="7"/>
    <n v="216081"/>
  </r>
  <r>
    <n v="10044"/>
    <n v="4"/>
    <d v="2013-09-07T00:00:00"/>
    <s v="DVD"/>
    <n v="101833"/>
    <s v="AB103258"/>
    <x v="3"/>
    <n v="216081"/>
  </r>
  <r>
    <n v="10285"/>
    <n v="9"/>
    <d v="2013-09-08T00:00:00"/>
    <s v="DVD"/>
    <n v="101834"/>
    <s v="AB103259"/>
    <x v="20"/>
    <n v="889686"/>
  </r>
  <r>
    <n v="10181"/>
    <n v="3"/>
    <d v="2013-09-07T00:00:00"/>
    <s v="DVD"/>
    <n v="101834"/>
    <s v="AB103260"/>
    <x v="9"/>
    <n v="889686"/>
  </r>
  <r>
    <n v="10155"/>
    <n v="3"/>
    <d v="2013-09-07T00:00:00"/>
    <s v="BLU-RAY"/>
    <n v="101835"/>
    <s v="AB103261"/>
    <x v="9"/>
    <n v="296353"/>
  </r>
  <r>
    <n v="10109"/>
    <n v="5"/>
    <d v="2013-09-07T00:00:00"/>
    <s v="DVD"/>
    <n v="101835"/>
    <s v="AB103262"/>
    <x v="0"/>
    <n v="296353"/>
  </r>
  <r>
    <n v="10205"/>
    <n v="6"/>
    <d v="2013-09-07T00:00:00"/>
    <s v="BLU-RAY"/>
    <n v="101836"/>
    <s v="AB103263"/>
    <x v="1"/>
    <n v="143878"/>
  </r>
  <r>
    <n v="10003"/>
    <n v="6"/>
    <d v="2013-09-08T00:00:00"/>
    <s v="BLU-RAY"/>
    <n v="101837"/>
    <s v="AB103264"/>
    <x v="1"/>
    <n v="190721"/>
  </r>
  <r>
    <n v="10212"/>
    <n v="5"/>
    <d v="2013-09-07T00:00:00"/>
    <s v="BLU-RAY"/>
    <n v="101837"/>
    <s v="AB103265"/>
    <x v="10"/>
    <n v="190721"/>
  </r>
  <r>
    <n v="10299"/>
    <n v="5"/>
    <d v="2013-09-09T00:00:00"/>
    <s v="DVD"/>
    <n v="101838"/>
    <s v="AB103266"/>
    <x v="22"/>
    <n v="235720"/>
  </r>
  <r>
    <n v="10259"/>
    <n v="4"/>
    <d v="2013-09-08T00:00:00"/>
    <s v="BLU-RAY"/>
    <n v="101838"/>
    <s v="AB103267"/>
    <x v="0"/>
    <n v="235720"/>
  </r>
  <r>
    <n v="10225"/>
    <n v="1"/>
    <d v="2013-09-08T00:00:00"/>
    <s v="DVD"/>
    <n v="101838"/>
    <s v="AB103268"/>
    <x v="0"/>
    <n v="235720"/>
  </r>
  <r>
    <n v="10040"/>
    <n v="4"/>
    <d v="2013-09-08T00:00:00"/>
    <s v="DVD"/>
    <n v="101839"/>
    <s v="AB103269"/>
    <x v="7"/>
    <n v="568217"/>
  </r>
  <r>
    <n v="10284"/>
    <n v="2"/>
    <d v="2013-09-09T00:00:00"/>
    <s v="BLU-RAY"/>
    <n v="101839"/>
    <s v="AB103270"/>
    <x v="14"/>
    <n v="568217"/>
  </r>
  <r>
    <n v="10203"/>
    <n v="6"/>
    <d v="2013-09-10T00:00:00"/>
    <s v="BLU-RAY"/>
    <n v="101840"/>
    <s v="AB103271"/>
    <x v="3"/>
    <n v="659695"/>
  </r>
  <r>
    <n v="10188"/>
    <n v="9"/>
    <d v="2013-09-08T00:00:00"/>
    <s v="BLU-RAY"/>
    <n v="101841"/>
    <s v="AB103272"/>
    <x v="1"/>
    <n v="403000"/>
  </r>
  <r>
    <n v="10193"/>
    <n v="3"/>
    <d v="2013-09-09T00:00:00"/>
    <s v="BLU-RAY"/>
    <n v="101842"/>
    <s v="AB103273"/>
    <x v="9"/>
    <n v="352644"/>
  </r>
  <r>
    <n v="10085"/>
    <n v="1"/>
    <d v="2013-09-08T00:00:00"/>
    <s v="DVD"/>
    <n v="101842"/>
    <s v="AB103274"/>
    <x v="3"/>
    <n v="352644"/>
  </r>
  <r>
    <n v="10065"/>
    <n v="3"/>
    <d v="2013-09-08T00:00:00"/>
    <s v="DVD"/>
    <n v="101843"/>
    <s v="AB103275"/>
    <x v="0"/>
    <n v="944523"/>
  </r>
  <r>
    <n v="10227"/>
    <n v="7"/>
    <d v="2013-09-09T00:00:00"/>
    <s v="BLU-RAY"/>
    <n v="101843"/>
    <s v="AB103276"/>
    <x v="14"/>
    <n v="944523"/>
  </r>
  <r>
    <n v="10291"/>
    <n v="3"/>
    <d v="2013-09-09T00:00:00"/>
    <s v="BLU-RAY"/>
    <n v="101844"/>
    <s v="AB103277"/>
    <x v="0"/>
    <n v="161175"/>
  </r>
  <r>
    <n v="10052"/>
    <n v="1"/>
    <d v="2013-09-08T00:00:00"/>
    <s v="BLU-RAY"/>
    <n v="101844"/>
    <s v="AB103278"/>
    <x v="0"/>
    <n v="161175"/>
  </r>
  <r>
    <n v="10207"/>
    <n v="6"/>
    <d v="2013-09-10T00:00:00"/>
    <s v="DVD"/>
    <n v="101845"/>
    <s v="AB103279"/>
    <x v="1"/>
    <n v="161942"/>
  </r>
  <r>
    <n v="10059"/>
    <n v="7"/>
    <d v="2013-09-08T00:00:00"/>
    <s v="DVD"/>
    <n v="101846"/>
    <s v="AB103280"/>
    <x v="7"/>
    <n v="888759"/>
  </r>
  <r>
    <n v="10232"/>
    <n v="4"/>
    <d v="2013-09-08T00:00:00"/>
    <s v="BLU-RAY"/>
    <n v="101847"/>
    <s v="AB103281"/>
    <x v="1"/>
    <n v="468692"/>
  </r>
  <r>
    <n v="10009"/>
    <n v="8"/>
    <d v="2013-09-08T00:00:00"/>
    <s v="BLU-RAY"/>
    <n v="101847"/>
    <s v="AB103282"/>
    <x v="0"/>
    <n v="468692"/>
  </r>
  <r>
    <n v="10275"/>
    <n v="2"/>
    <d v="2013-09-09T00:00:00"/>
    <s v="BLU-RAY"/>
    <n v="101847"/>
    <s v="AB103283"/>
    <x v="10"/>
    <n v="468692"/>
  </r>
  <r>
    <n v="10278"/>
    <n v="6"/>
    <d v="2013-09-08T00:00:00"/>
    <s v="BLU-RAY"/>
    <n v="101847"/>
    <s v="AB103284"/>
    <x v="7"/>
    <n v="468692"/>
  </r>
  <r>
    <n v="10278"/>
    <n v="5"/>
    <d v="2013-09-10T00:00:00"/>
    <s v="BLU-RAY"/>
    <n v="101848"/>
    <s v="AB103285"/>
    <x v="7"/>
    <n v="857548"/>
  </r>
  <r>
    <n v="10028"/>
    <n v="9"/>
    <d v="2013-09-08T00:00:00"/>
    <s v="DVD"/>
    <n v="101849"/>
    <s v="AB103286"/>
    <x v="5"/>
    <n v="412544"/>
  </r>
  <r>
    <n v="10127"/>
    <n v="2"/>
    <d v="2013-09-09T00:00:00"/>
    <s v="DVD"/>
    <n v="101850"/>
    <s v="AB103287"/>
    <x v="6"/>
    <n v="882493"/>
  </r>
  <r>
    <n v="10150"/>
    <n v="6"/>
    <d v="2013-09-08T00:00:00"/>
    <s v="BLU-RAY"/>
    <n v="101850"/>
    <s v="AB103288"/>
    <x v="14"/>
    <n v="882493"/>
  </r>
  <r>
    <n v="10052"/>
    <n v="5"/>
    <d v="2013-09-10T00:00:00"/>
    <s v="BLU-RAY"/>
    <n v="101851"/>
    <s v="AB103289"/>
    <x v="0"/>
    <n v="433442"/>
  </r>
  <r>
    <n v="10137"/>
    <n v="5"/>
    <d v="2013-09-09T00:00:00"/>
    <s v="BLU-RAY"/>
    <n v="101852"/>
    <s v="AB103290"/>
    <x v="3"/>
    <n v="730305"/>
  </r>
  <r>
    <n v="10249"/>
    <n v="3"/>
    <d v="2013-09-09T00:00:00"/>
    <s v="DVD"/>
    <n v="101852"/>
    <s v="AB103291"/>
    <x v="5"/>
    <n v="730305"/>
  </r>
  <r>
    <n v="10238"/>
    <n v="7"/>
    <d v="2013-09-09T00:00:00"/>
    <s v="DVD"/>
    <n v="101852"/>
    <s v="AB103292"/>
    <x v="0"/>
    <n v="730305"/>
  </r>
  <r>
    <n v="10246"/>
    <n v="6"/>
    <d v="2013-09-09T00:00:00"/>
    <s v="DVD"/>
    <n v="101853"/>
    <s v="AB103293"/>
    <x v="2"/>
    <n v="884607"/>
  </r>
  <r>
    <n v="10030"/>
    <n v="9"/>
    <d v="2013-09-10T00:00:00"/>
    <s v="BLU-RAY"/>
    <n v="101854"/>
    <s v="AB103294"/>
    <x v="0"/>
    <n v="616392"/>
  </r>
  <r>
    <n v="10284"/>
    <n v="7"/>
    <d v="2013-09-10T00:00:00"/>
    <s v="DVD"/>
    <n v="101854"/>
    <s v="AB103295"/>
    <x v="14"/>
    <n v="616392"/>
  </r>
  <r>
    <n v="10181"/>
    <n v="10"/>
    <d v="2013-09-09T00:00:00"/>
    <s v="BLU-RAY"/>
    <n v="101855"/>
    <s v="AB103296"/>
    <x v="9"/>
    <n v="739393"/>
  </r>
  <r>
    <n v="10098"/>
    <n v="7"/>
    <d v="2013-09-09T00:00:00"/>
    <s v="BLU-RAY"/>
    <n v="101856"/>
    <s v="AB103297"/>
    <x v="0"/>
    <n v="762509"/>
  </r>
  <r>
    <n v="10146"/>
    <n v="9"/>
    <d v="2013-09-09T00:00:00"/>
    <s v="BLU-RAY"/>
    <n v="101856"/>
    <s v="AB103298"/>
    <x v="4"/>
    <n v="762509"/>
  </r>
  <r>
    <n v="10054"/>
    <n v="7"/>
    <d v="2013-09-09T00:00:00"/>
    <s v="BLU-RAY"/>
    <n v="101857"/>
    <s v="AB103299"/>
    <x v="1"/>
    <n v="568217"/>
  </r>
  <r>
    <n v="10151"/>
    <n v="1"/>
    <d v="2013-09-09T00:00:00"/>
    <s v="DVD"/>
    <n v="101857"/>
    <s v="AB103300"/>
    <x v="8"/>
    <n v="568217"/>
  </r>
  <r>
    <n v="10054"/>
    <n v="4"/>
    <d v="2013-09-09T00:00:00"/>
    <s v="DVD"/>
    <n v="101858"/>
    <s v="AB103301"/>
    <x v="1"/>
    <n v="447601"/>
  </r>
  <r>
    <n v="10116"/>
    <n v="9"/>
    <d v="2013-09-09T00:00:00"/>
    <s v="BLU-RAY"/>
    <n v="101858"/>
    <s v="AB103302"/>
    <x v="7"/>
    <n v="447601"/>
  </r>
  <r>
    <n v="10039"/>
    <n v="3"/>
    <d v="2013-09-09T00:00:00"/>
    <s v="DVD"/>
    <n v="101858"/>
    <s v="AB103303"/>
    <x v="11"/>
    <n v="447601"/>
  </r>
  <r>
    <n v="10067"/>
    <n v="8"/>
    <d v="2013-09-11T00:00:00"/>
    <s v="DVD"/>
    <n v="101858"/>
    <s v="AB103304"/>
    <x v="1"/>
    <n v="447601"/>
  </r>
  <r>
    <n v="10252"/>
    <n v="3"/>
    <d v="2013-09-09T00:00:00"/>
    <s v="DVD"/>
    <n v="101858"/>
    <s v="AB103305"/>
    <x v="0"/>
    <n v="447601"/>
  </r>
  <r>
    <n v="10071"/>
    <n v="7"/>
    <d v="2013-09-10T00:00:00"/>
    <s v="DVD"/>
    <n v="101859"/>
    <s v="AB103306"/>
    <x v="1"/>
    <n v="269687"/>
  </r>
  <r>
    <n v="10251"/>
    <n v="10"/>
    <d v="2013-09-10T00:00:00"/>
    <s v="BLU-RAY"/>
    <n v="101860"/>
    <s v="AB103307"/>
    <x v="7"/>
    <n v="796796"/>
  </r>
  <r>
    <n v="10257"/>
    <n v="3"/>
    <d v="2013-09-09T00:00:00"/>
    <s v="BLU-RAY"/>
    <n v="101860"/>
    <s v="AB103308"/>
    <x v="9"/>
    <n v="796796"/>
  </r>
  <r>
    <n v="10074"/>
    <n v="2"/>
    <d v="2013-09-10T00:00:00"/>
    <s v="DVD"/>
    <n v="101861"/>
    <s v="AB103309"/>
    <x v="11"/>
    <n v="429748"/>
  </r>
  <r>
    <n v="10052"/>
    <n v="8"/>
    <d v="2013-09-10T00:00:00"/>
    <s v="DVD"/>
    <n v="101862"/>
    <s v="AB103310"/>
    <x v="0"/>
    <n v="785444"/>
  </r>
  <r>
    <n v="10120"/>
    <n v="8"/>
    <d v="2013-09-10T00:00:00"/>
    <s v="BLU-RAY"/>
    <n v="101862"/>
    <s v="AB103311"/>
    <x v="14"/>
    <n v="785444"/>
  </r>
  <r>
    <n v="10097"/>
    <n v="7"/>
    <d v="2013-09-11T00:00:00"/>
    <s v="BLU-RAY"/>
    <n v="101863"/>
    <s v="AB103312"/>
    <x v="8"/>
    <n v="346006"/>
  </r>
  <r>
    <n v="10204"/>
    <n v="8"/>
    <d v="2013-09-10T00:00:00"/>
    <s v="BLU-RAY"/>
    <n v="101864"/>
    <s v="AB103313"/>
    <x v="7"/>
    <n v="646700"/>
  </r>
  <r>
    <n v="10076"/>
    <n v="6"/>
    <d v="2013-09-12T00:00:00"/>
    <s v="DVD"/>
    <n v="101865"/>
    <s v="AB103314"/>
    <x v="4"/>
    <n v="590616"/>
  </r>
  <r>
    <n v="10159"/>
    <n v="4"/>
    <d v="2013-09-10T00:00:00"/>
    <s v="BLU-RAY"/>
    <n v="101865"/>
    <s v="AB103315"/>
    <x v="10"/>
    <n v="590616"/>
  </r>
  <r>
    <n v="10096"/>
    <n v="8"/>
    <d v="2013-09-10T00:00:00"/>
    <s v="DVD"/>
    <n v="101866"/>
    <s v="AB103316"/>
    <x v="7"/>
    <n v="157695"/>
  </r>
  <r>
    <n v="10064"/>
    <n v="5"/>
    <d v="2013-09-10T00:00:00"/>
    <s v="DVD"/>
    <n v="101867"/>
    <s v="AB103317"/>
    <x v="7"/>
    <n v="516619"/>
  </r>
  <r>
    <n v="10245"/>
    <n v="7"/>
    <d v="2013-09-10T00:00:00"/>
    <s v="DVD"/>
    <n v="101867"/>
    <s v="AB103318"/>
    <x v="0"/>
    <n v="516619"/>
  </r>
  <r>
    <n v="10031"/>
    <n v="3"/>
    <d v="2013-09-11T00:00:00"/>
    <s v="DVD"/>
    <n v="101867"/>
    <s v="AB103319"/>
    <x v="0"/>
    <n v="516619"/>
  </r>
  <r>
    <n v="10208"/>
    <n v="10"/>
    <d v="2013-09-10T00:00:00"/>
    <s v="BLU-RAY"/>
    <n v="101867"/>
    <s v="AB103320"/>
    <x v="0"/>
    <n v="516619"/>
  </r>
  <r>
    <n v="10024"/>
    <n v="3"/>
    <d v="2013-09-11T00:00:00"/>
    <s v="BLU-RAY"/>
    <n v="101868"/>
    <s v="AB103321"/>
    <x v="9"/>
    <n v="520377"/>
  </r>
  <r>
    <n v="10007"/>
    <n v="3"/>
    <d v="2013-09-10T00:00:00"/>
    <s v="BLU-RAY"/>
    <n v="101869"/>
    <s v="AB103322"/>
    <x v="4"/>
    <n v="915766"/>
  </r>
  <r>
    <n v="10216"/>
    <n v="6"/>
    <d v="2013-09-10T00:00:00"/>
    <s v="DVD"/>
    <n v="101870"/>
    <s v="AB103323"/>
    <x v="4"/>
    <n v="832914"/>
  </r>
  <r>
    <n v="10096"/>
    <n v="10"/>
    <d v="2013-09-10T00:00:00"/>
    <s v="BLU-RAY"/>
    <n v="101871"/>
    <s v="AB103324"/>
    <x v="7"/>
    <n v="175940"/>
  </r>
  <r>
    <n v="10294"/>
    <n v="1"/>
    <d v="2013-09-10T00:00:00"/>
    <s v="DVD"/>
    <n v="101871"/>
    <s v="AB103325"/>
    <x v="2"/>
    <n v="175940"/>
  </r>
  <r>
    <n v="10214"/>
    <n v="9"/>
    <d v="2013-09-10T00:00:00"/>
    <s v="BLU-RAY"/>
    <n v="101871"/>
    <s v="AB103326"/>
    <x v="13"/>
    <n v="175940"/>
  </r>
  <r>
    <n v="10279"/>
    <n v="8"/>
    <d v="2013-09-10T00:00:00"/>
    <s v="DVD"/>
    <n v="101871"/>
    <s v="AB103327"/>
    <x v="8"/>
    <n v="175940"/>
  </r>
  <r>
    <n v="10203"/>
    <n v="5"/>
    <d v="2013-09-10T00:00:00"/>
    <s v="BLU-RAY"/>
    <n v="101872"/>
    <s v="AB103328"/>
    <x v="3"/>
    <n v="941876"/>
  </r>
  <r>
    <n v="10263"/>
    <n v="8"/>
    <d v="2013-09-10T00:00:00"/>
    <s v="BLU-RAY"/>
    <n v="101873"/>
    <s v="AB103329"/>
    <x v="9"/>
    <n v="347659"/>
  </r>
  <r>
    <n v="10154"/>
    <n v="10"/>
    <d v="2013-09-10T00:00:00"/>
    <s v="BLU-RAY"/>
    <n v="101873"/>
    <s v="AB103330"/>
    <x v="5"/>
    <n v="347659"/>
  </r>
  <r>
    <n v="10037"/>
    <n v="1"/>
    <d v="2013-09-10T00:00:00"/>
    <s v="DVD"/>
    <n v="101874"/>
    <s v="AB103331"/>
    <x v="3"/>
    <n v="925565"/>
  </r>
  <r>
    <n v="10023"/>
    <n v="1"/>
    <d v="2013-09-10T00:00:00"/>
    <s v="DVD"/>
    <n v="101874"/>
    <s v="AB103332"/>
    <x v="3"/>
    <n v="925565"/>
  </r>
  <r>
    <n v="10070"/>
    <n v="2"/>
    <d v="2013-09-10T00:00:00"/>
    <s v="DVD"/>
    <n v="101874"/>
    <s v="AB103333"/>
    <x v="1"/>
    <n v="925565"/>
  </r>
  <r>
    <n v="10162"/>
    <n v="1"/>
    <d v="2013-09-10T00:00:00"/>
    <s v="DVD"/>
    <n v="101874"/>
    <s v="AB103334"/>
    <x v="4"/>
    <n v="925565"/>
  </r>
  <r>
    <n v="10038"/>
    <n v="10"/>
    <d v="2013-09-10T00:00:00"/>
    <s v="BLU-RAY"/>
    <n v="101875"/>
    <s v="AB103335"/>
    <x v="1"/>
    <n v="822823"/>
  </r>
  <r>
    <n v="10143"/>
    <n v="8"/>
    <d v="2013-09-11T00:00:00"/>
    <s v="DVD"/>
    <n v="101875"/>
    <s v="AB103336"/>
    <x v="3"/>
    <n v="822823"/>
  </r>
  <r>
    <n v="10218"/>
    <n v="10"/>
    <d v="2013-09-11T00:00:00"/>
    <s v="DVD"/>
    <n v="101876"/>
    <s v="AB103337"/>
    <x v="4"/>
    <n v="270853"/>
  </r>
  <r>
    <n v="10078"/>
    <n v="9"/>
    <d v="2013-09-10T00:00:00"/>
    <s v="BLU-RAY"/>
    <n v="101877"/>
    <s v="AB103338"/>
    <x v="1"/>
    <n v="173125"/>
  </r>
  <r>
    <n v="10182"/>
    <n v="10"/>
    <d v="2013-09-10T00:00:00"/>
    <s v="BLU-RAY"/>
    <n v="101877"/>
    <s v="AB103339"/>
    <x v="0"/>
    <n v="173125"/>
  </r>
  <r>
    <n v="10075"/>
    <n v="10"/>
    <d v="2013-09-10T00:00:00"/>
    <s v="DVD"/>
    <n v="101878"/>
    <s v="AB103340"/>
    <x v="17"/>
    <n v="454143"/>
  </r>
  <r>
    <n v="10148"/>
    <n v="7"/>
    <d v="2013-09-12T00:00:00"/>
    <s v="BLU-RAY"/>
    <n v="101878"/>
    <s v="AB103341"/>
    <x v="1"/>
    <n v="454143"/>
  </r>
  <r>
    <n v="10267"/>
    <n v="2"/>
    <d v="2013-09-10T00:00:00"/>
    <s v="DVD"/>
    <n v="101879"/>
    <s v="AB103342"/>
    <x v="6"/>
    <n v="994185"/>
  </r>
  <r>
    <n v="10205"/>
    <n v="5"/>
    <d v="2013-09-11T00:00:00"/>
    <s v="DVD"/>
    <n v="101880"/>
    <s v="AB103343"/>
    <x v="1"/>
    <n v="143878"/>
  </r>
  <r>
    <n v="10071"/>
    <n v="8"/>
    <d v="2013-09-11T00:00:00"/>
    <s v="DVD"/>
    <n v="101881"/>
    <s v="AB103344"/>
    <x v="1"/>
    <n v="999915"/>
  </r>
  <r>
    <n v="10002"/>
    <n v="3"/>
    <d v="2013-09-11T00:00:00"/>
    <s v="BLU-RAY"/>
    <n v="101882"/>
    <s v="AB103345"/>
    <x v="10"/>
    <n v="730305"/>
  </r>
  <r>
    <n v="10168"/>
    <n v="2"/>
    <d v="2013-09-11T00:00:00"/>
    <s v="BLU-RAY"/>
    <n v="101883"/>
    <s v="AB103346"/>
    <x v="1"/>
    <n v="671101"/>
  </r>
  <r>
    <n v="10259"/>
    <n v="5"/>
    <d v="2013-09-11T00:00:00"/>
    <s v="DVD"/>
    <n v="101884"/>
    <s v="AB103347"/>
    <x v="0"/>
    <n v="427826"/>
  </r>
  <r>
    <n v="10243"/>
    <n v="4"/>
    <d v="2013-09-12T00:00:00"/>
    <s v="BLU-RAY"/>
    <n v="101885"/>
    <s v="AB103348"/>
    <x v="9"/>
    <n v="412235"/>
  </r>
  <r>
    <n v="10209"/>
    <n v="10"/>
    <d v="2013-09-13T00:00:00"/>
    <s v="BLU-RAY"/>
    <n v="101886"/>
    <s v="AB103349"/>
    <x v="7"/>
    <n v="717234"/>
  </r>
  <r>
    <n v="10274"/>
    <n v="9"/>
    <d v="2013-09-11T00:00:00"/>
    <s v="DVD"/>
    <n v="101887"/>
    <s v="AB103350"/>
    <x v="9"/>
    <n v="345748"/>
  </r>
  <r>
    <n v="10038"/>
    <n v="3"/>
    <d v="2013-09-13T00:00:00"/>
    <s v="BLU-RAY"/>
    <n v="101887"/>
    <s v="AB103351"/>
    <x v="1"/>
    <n v="345748"/>
  </r>
  <r>
    <n v="10134"/>
    <n v="2"/>
    <d v="2013-09-12T00:00:00"/>
    <s v="DVD"/>
    <n v="101888"/>
    <s v="AB103352"/>
    <x v="7"/>
    <n v="110363"/>
  </r>
  <r>
    <n v="10117"/>
    <n v="5"/>
    <d v="2013-09-12T00:00:00"/>
    <s v="BLU-RAY"/>
    <n v="101888"/>
    <s v="AB103353"/>
    <x v="4"/>
    <n v="110363"/>
  </r>
  <r>
    <n v="10166"/>
    <n v="9"/>
    <d v="2013-09-12T00:00:00"/>
    <s v="BLU-RAY"/>
    <n v="101889"/>
    <s v="AB103354"/>
    <x v="9"/>
    <n v="448739"/>
  </r>
  <r>
    <n v="10293"/>
    <n v="10"/>
    <d v="2013-09-11T00:00:00"/>
    <s v="BLU-RAY"/>
    <n v="101889"/>
    <s v="AB103355"/>
    <x v="12"/>
    <n v="448739"/>
  </r>
  <r>
    <n v="10076"/>
    <n v="7"/>
    <d v="2013-09-11T00:00:00"/>
    <s v="DVD"/>
    <n v="101890"/>
    <s v="AB103356"/>
    <x v="4"/>
    <n v="772690"/>
  </r>
  <r>
    <n v="10205"/>
    <n v="5"/>
    <d v="2013-09-13T00:00:00"/>
    <s v="DVD"/>
    <n v="101891"/>
    <s v="AB103357"/>
    <x v="1"/>
    <n v="485769"/>
  </r>
  <r>
    <n v="10022"/>
    <n v="2"/>
    <d v="2013-09-11T00:00:00"/>
    <s v="BLU-RAY"/>
    <n v="101891"/>
    <s v="AB103358"/>
    <x v="7"/>
    <n v="485769"/>
  </r>
  <r>
    <n v="10142"/>
    <n v="8"/>
    <d v="2013-09-12T00:00:00"/>
    <s v="DVD"/>
    <n v="101892"/>
    <s v="AB103359"/>
    <x v="0"/>
    <n v="744648"/>
  </r>
  <r>
    <n v="10264"/>
    <n v="9"/>
    <d v="2013-09-11T00:00:00"/>
    <s v="DVD"/>
    <n v="101892"/>
    <s v="AB103360"/>
    <x v="2"/>
    <n v="744648"/>
  </r>
  <r>
    <n v="10100"/>
    <n v="9"/>
    <d v="2013-09-12T00:00:00"/>
    <s v="DVD"/>
    <n v="101893"/>
    <s v="AB103361"/>
    <x v="9"/>
    <n v="487346"/>
  </r>
  <r>
    <n v="10229"/>
    <n v="5"/>
    <d v="2013-09-13T00:00:00"/>
    <s v="DVD"/>
    <n v="101893"/>
    <s v="AB103362"/>
    <x v="6"/>
    <n v="487346"/>
  </r>
  <r>
    <n v="10075"/>
    <n v="4"/>
    <d v="2013-09-11T00:00:00"/>
    <s v="DVD"/>
    <n v="101894"/>
    <s v="AB103363"/>
    <x v="17"/>
    <n v="739393"/>
  </r>
  <r>
    <n v="10188"/>
    <n v="3"/>
    <d v="2013-09-11T00:00:00"/>
    <s v="DVD"/>
    <n v="101895"/>
    <s v="AB103364"/>
    <x v="1"/>
    <n v="659695"/>
  </r>
  <r>
    <n v="10110"/>
    <n v="4"/>
    <d v="2013-09-11T00:00:00"/>
    <s v="DVD"/>
    <n v="101895"/>
    <s v="AB103365"/>
    <x v="0"/>
    <n v="659695"/>
  </r>
  <r>
    <n v="10140"/>
    <n v="9"/>
    <d v="2013-09-11T00:00:00"/>
    <s v="BLU-RAY"/>
    <n v="101895"/>
    <s v="AB103366"/>
    <x v="2"/>
    <n v="659695"/>
  </r>
  <r>
    <n v="10294"/>
    <n v="6"/>
    <d v="2013-09-12T00:00:00"/>
    <s v="DVD"/>
    <n v="101896"/>
    <s v="AB103367"/>
    <x v="2"/>
    <n v="226909"/>
  </r>
  <r>
    <n v="10101"/>
    <n v="4"/>
    <d v="2013-09-11T00:00:00"/>
    <s v="BLU-RAY"/>
    <n v="101896"/>
    <s v="AB103368"/>
    <x v="4"/>
    <n v="226909"/>
  </r>
  <r>
    <n v="10203"/>
    <n v="9"/>
    <d v="2013-09-11T00:00:00"/>
    <s v="DVD"/>
    <n v="101897"/>
    <s v="AB103369"/>
    <x v="3"/>
    <n v="301793"/>
  </r>
  <r>
    <n v="10297"/>
    <n v="5"/>
    <d v="2013-09-12T00:00:00"/>
    <s v="BLU-RAY"/>
    <n v="101897"/>
    <s v="AB103370"/>
    <x v="14"/>
    <n v="301793"/>
  </r>
  <r>
    <n v="10154"/>
    <n v="9"/>
    <d v="2013-09-12T00:00:00"/>
    <s v="DVD"/>
    <n v="101898"/>
    <s v="AB103371"/>
    <x v="5"/>
    <n v="964619"/>
  </r>
  <r>
    <n v="10100"/>
    <n v="4"/>
    <d v="2013-09-12T00:00:00"/>
    <s v="DVD"/>
    <n v="101898"/>
    <s v="AB103372"/>
    <x v="9"/>
    <n v="964619"/>
  </r>
  <r>
    <n v="10232"/>
    <n v="8"/>
    <d v="2013-09-12T00:00:00"/>
    <s v="DVD"/>
    <n v="101899"/>
    <s v="AB103373"/>
    <x v="1"/>
    <n v="817159"/>
  </r>
  <r>
    <n v="10062"/>
    <n v="7"/>
    <d v="2013-09-12T00:00:00"/>
    <s v="DVD"/>
    <n v="101900"/>
    <s v="AB103374"/>
    <x v="16"/>
    <n v="442254"/>
  </r>
  <r>
    <n v="10238"/>
    <n v="2"/>
    <d v="2013-09-12T00:00:00"/>
    <s v="DVD"/>
    <n v="101900"/>
    <s v="AB103375"/>
    <x v="0"/>
    <n v="442254"/>
  </r>
  <r>
    <n v="10006"/>
    <n v="6"/>
    <d v="2013-09-12T00:00:00"/>
    <s v="DVD"/>
    <n v="101900"/>
    <s v="AB103376"/>
    <x v="1"/>
    <n v="442254"/>
  </r>
  <r>
    <n v="10071"/>
    <n v="7"/>
    <d v="2013-09-12T00:00:00"/>
    <s v="DVD"/>
    <n v="101901"/>
    <s v="AB103377"/>
    <x v="1"/>
    <n v="147216"/>
  </r>
  <r>
    <n v="10195"/>
    <n v="5"/>
    <d v="2013-09-13T00:00:00"/>
    <s v="DVD"/>
    <n v="101901"/>
    <s v="AB103378"/>
    <x v="4"/>
    <n v="147216"/>
  </r>
  <r>
    <n v="10141"/>
    <n v="9"/>
    <d v="2013-09-12T00:00:00"/>
    <s v="DVD"/>
    <n v="101902"/>
    <s v="AB103379"/>
    <x v="0"/>
    <n v="884607"/>
  </r>
  <r>
    <n v="10136"/>
    <n v="4"/>
    <d v="2013-09-12T00:00:00"/>
    <s v="BLU-RAY"/>
    <n v="101903"/>
    <s v="AB103380"/>
    <x v="2"/>
    <n v="739393"/>
  </r>
  <r>
    <n v="10173"/>
    <n v="9"/>
    <d v="2013-09-12T00:00:00"/>
    <s v="BLU-RAY"/>
    <n v="101903"/>
    <s v="AB103381"/>
    <x v="4"/>
    <n v="739393"/>
  </r>
  <r>
    <n v="10139"/>
    <n v="7"/>
    <d v="2013-09-12T00:00:00"/>
    <s v="DVD"/>
    <n v="101904"/>
    <s v="AB103382"/>
    <x v="14"/>
    <n v="929344"/>
  </r>
  <r>
    <n v="10125"/>
    <n v="8"/>
    <d v="2013-09-13T00:00:00"/>
    <s v="BLU-RAY"/>
    <n v="101904"/>
    <s v="AB103383"/>
    <x v="9"/>
    <n v="929344"/>
  </r>
  <r>
    <n v="10263"/>
    <n v="9"/>
    <d v="2013-09-12T00:00:00"/>
    <s v="BLU-RAY"/>
    <n v="101905"/>
    <s v="AB103384"/>
    <x v="9"/>
    <n v="826590"/>
  </r>
  <r>
    <n v="10137"/>
    <n v="9"/>
    <d v="2013-09-12T00:00:00"/>
    <s v="DVD"/>
    <n v="101906"/>
    <s v="AB103385"/>
    <x v="3"/>
    <n v="744780"/>
  </r>
  <r>
    <n v="10049"/>
    <n v="6"/>
    <d v="2013-09-12T00:00:00"/>
    <s v="DVD"/>
    <n v="101906"/>
    <s v="AB103386"/>
    <x v="7"/>
    <n v="744780"/>
  </r>
  <r>
    <n v="10200"/>
    <n v="4"/>
    <d v="2013-09-12T00:00:00"/>
    <s v="BLU-RAY"/>
    <n v="101907"/>
    <s v="AB103387"/>
    <x v="9"/>
    <n v="622506"/>
  </r>
  <r>
    <n v="10015"/>
    <n v="6"/>
    <d v="2013-09-13T00:00:00"/>
    <s v="BLU-RAY"/>
    <n v="101908"/>
    <s v="AB103388"/>
    <x v="6"/>
    <n v="507743"/>
  </r>
  <r>
    <n v="10160"/>
    <n v="4"/>
    <d v="2013-09-13T00:00:00"/>
    <s v="DVD"/>
    <n v="101908"/>
    <s v="AB103389"/>
    <x v="10"/>
    <n v="507743"/>
  </r>
  <r>
    <n v="10159"/>
    <n v="10"/>
    <d v="2013-09-12T00:00:00"/>
    <s v="DVD"/>
    <n v="101909"/>
    <s v="AB103390"/>
    <x v="10"/>
    <n v="554099"/>
  </r>
  <r>
    <n v="10177"/>
    <n v="9"/>
    <d v="2013-09-12T00:00:00"/>
    <s v="BLU-RAY"/>
    <n v="101910"/>
    <s v="AB103391"/>
    <x v="9"/>
    <n v="393893"/>
  </r>
  <r>
    <n v="10059"/>
    <n v="5"/>
    <d v="2013-09-12T00:00:00"/>
    <s v="DVD"/>
    <n v="101910"/>
    <s v="AB103392"/>
    <x v="7"/>
    <n v="393893"/>
  </r>
  <r>
    <n v="10148"/>
    <n v="2"/>
    <d v="2013-09-13T00:00:00"/>
    <s v="DVD"/>
    <n v="101911"/>
    <s v="AB103393"/>
    <x v="1"/>
    <n v="110363"/>
  </r>
  <r>
    <n v="10180"/>
    <n v="10"/>
    <d v="2013-09-12T00:00:00"/>
    <s v="DVD"/>
    <n v="101912"/>
    <s v="AB103394"/>
    <x v="12"/>
    <n v="119406"/>
  </r>
  <r>
    <n v="10017"/>
    <n v="5"/>
    <d v="2013-09-12T00:00:00"/>
    <s v="BLU-RAY"/>
    <n v="101912"/>
    <s v="AB103395"/>
    <x v="4"/>
    <n v="119406"/>
  </r>
  <r>
    <n v="10034"/>
    <n v="9"/>
    <d v="2013-09-12T00:00:00"/>
    <s v="DVD"/>
    <n v="101913"/>
    <s v="AB103396"/>
    <x v="10"/>
    <n v="393893"/>
  </r>
  <r>
    <n v="10253"/>
    <n v="9"/>
    <d v="2013-09-12T00:00:00"/>
    <s v="DVD"/>
    <n v="101913"/>
    <s v="AB103397"/>
    <x v="3"/>
    <n v="393893"/>
  </r>
  <r>
    <n v="10167"/>
    <n v="2"/>
    <d v="2013-09-12T00:00:00"/>
    <s v="BLU-RAY"/>
    <n v="101913"/>
    <s v="AB103398"/>
    <x v="7"/>
    <n v="393893"/>
  </r>
  <r>
    <n v="10146"/>
    <n v="6"/>
    <d v="2013-09-12T00:00:00"/>
    <s v="BLU-RAY"/>
    <n v="101914"/>
    <s v="AB103399"/>
    <x v="4"/>
    <n v="395125"/>
  </r>
  <r>
    <n v="10192"/>
    <n v="6"/>
    <d v="2013-09-13T00:00:00"/>
    <s v="BLU-RAY"/>
    <n v="101914"/>
    <s v="AB103400"/>
    <x v="7"/>
    <n v="395125"/>
  </r>
  <r>
    <n v="10162"/>
    <n v="6"/>
    <d v="2013-09-12T00:00:00"/>
    <s v="BLU-RAY"/>
    <n v="101915"/>
    <s v="AB103401"/>
    <x v="4"/>
    <n v="161175"/>
  </r>
  <r>
    <n v="10252"/>
    <n v="8"/>
    <d v="2013-09-14T00:00:00"/>
    <s v="DVD"/>
    <n v="101916"/>
    <s v="AB103402"/>
    <x v="0"/>
    <n v="678940"/>
  </r>
  <r>
    <n v="10281"/>
    <n v="8"/>
    <d v="2013-09-13T00:00:00"/>
    <s v="BLU-RAY"/>
    <n v="101917"/>
    <s v="AB103403"/>
    <x v="10"/>
    <n v="205927"/>
  </r>
  <r>
    <n v="10136"/>
    <n v="2"/>
    <d v="2013-09-13T00:00:00"/>
    <s v="DVD"/>
    <n v="101918"/>
    <s v="AB103404"/>
    <x v="2"/>
    <n v="710047"/>
  </r>
  <r>
    <n v="10288"/>
    <n v="5"/>
    <d v="2013-09-13T00:00:00"/>
    <s v="DVD"/>
    <n v="101918"/>
    <s v="AB103405"/>
    <x v="12"/>
    <n v="710047"/>
  </r>
  <r>
    <n v="10272"/>
    <n v="4"/>
    <d v="2013-09-13T00:00:00"/>
    <s v="BLU-RAY"/>
    <n v="101918"/>
    <s v="AB103406"/>
    <x v="4"/>
    <n v="710047"/>
  </r>
  <r>
    <n v="10146"/>
    <n v="2"/>
    <d v="2013-09-13T00:00:00"/>
    <s v="BLU-RAY"/>
    <n v="101919"/>
    <s v="AB103407"/>
    <x v="4"/>
    <n v="412235"/>
  </r>
  <r>
    <n v="10247"/>
    <n v="4"/>
    <d v="2013-09-14T00:00:00"/>
    <s v="DVD"/>
    <n v="101919"/>
    <s v="AB103408"/>
    <x v="9"/>
    <n v="412235"/>
  </r>
  <r>
    <n v="10176"/>
    <n v="8"/>
    <d v="2013-09-13T00:00:00"/>
    <s v="BLU-RAY"/>
    <n v="101920"/>
    <s v="AB103409"/>
    <x v="7"/>
    <n v="739393"/>
  </r>
  <r>
    <n v="10168"/>
    <n v="1"/>
    <d v="2013-09-13T00:00:00"/>
    <s v="DVD"/>
    <n v="101920"/>
    <s v="AB103410"/>
    <x v="1"/>
    <n v="739393"/>
  </r>
  <r>
    <n v="10070"/>
    <n v="1"/>
    <d v="2013-09-14T00:00:00"/>
    <s v="BLU-RAY"/>
    <n v="101921"/>
    <s v="AB103411"/>
    <x v="1"/>
    <n v="924649"/>
  </r>
  <r>
    <n v="10288"/>
    <n v="7"/>
    <d v="2013-09-15T00:00:00"/>
    <s v="BLU-RAY"/>
    <n v="101921"/>
    <s v="AB103412"/>
    <x v="12"/>
    <n v="924649"/>
  </r>
  <r>
    <n v="10241"/>
    <n v="3"/>
    <d v="2013-09-13T00:00:00"/>
    <s v="DVD"/>
    <n v="101922"/>
    <s v="AB103413"/>
    <x v="0"/>
    <n v="808177"/>
  </r>
  <r>
    <n v="10081"/>
    <n v="10"/>
    <d v="2013-09-13T00:00:00"/>
    <s v="DVD"/>
    <n v="101922"/>
    <s v="AB103414"/>
    <x v="2"/>
    <n v="808177"/>
  </r>
  <r>
    <n v="10129"/>
    <n v="1"/>
    <d v="2013-09-14T00:00:00"/>
    <s v="DVD"/>
    <n v="101923"/>
    <s v="AB103415"/>
    <x v="0"/>
    <n v="296886"/>
  </r>
  <r>
    <n v="10044"/>
    <n v="1"/>
    <d v="2013-09-13T00:00:00"/>
    <s v="BLU-RAY"/>
    <n v="101923"/>
    <s v="AB103416"/>
    <x v="3"/>
    <n v="296886"/>
  </r>
  <r>
    <n v="10176"/>
    <n v="5"/>
    <d v="2013-09-14T00:00:00"/>
    <s v="BLU-RAY"/>
    <n v="101924"/>
    <s v="AB103417"/>
    <x v="7"/>
    <n v="395125"/>
  </r>
  <r>
    <n v="10288"/>
    <n v="1"/>
    <d v="2013-09-13T00:00:00"/>
    <s v="DVD"/>
    <n v="101924"/>
    <s v="AB103418"/>
    <x v="12"/>
    <n v="395125"/>
  </r>
  <r>
    <n v="10135"/>
    <n v="2"/>
    <d v="2013-09-14T00:00:00"/>
    <s v="DVD"/>
    <n v="101925"/>
    <s v="AB103419"/>
    <x v="7"/>
    <n v="974503"/>
  </r>
  <r>
    <n v="10063"/>
    <n v="2"/>
    <d v="2013-09-13T00:00:00"/>
    <s v="DVD"/>
    <n v="101925"/>
    <s v="AB103420"/>
    <x v="18"/>
    <n v="974503"/>
  </r>
  <r>
    <n v="10169"/>
    <n v="8"/>
    <d v="2013-09-13T00:00:00"/>
    <s v="BLU-RAY"/>
    <n v="101926"/>
    <s v="AB103421"/>
    <x v="0"/>
    <n v="612681"/>
  </r>
  <r>
    <n v="10108"/>
    <n v="4"/>
    <d v="2013-09-13T00:00:00"/>
    <s v="BLU-RAY"/>
    <n v="101926"/>
    <s v="AB103422"/>
    <x v="9"/>
    <n v="612681"/>
  </r>
  <r>
    <n v="10214"/>
    <n v="6"/>
    <d v="2013-09-14T00:00:00"/>
    <s v="DVD"/>
    <n v="101927"/>
    <s v="AB103423"/>
    <x v="13"/>
    <n v="679354"/>
  </r>
  <r>
    <n v="10218"/>
    <n v="2"/>
    <d v="2013-09-14T00:00:00"/>
    <s v="DVD"/>
    <n v="101927"/>
    <s v="AB103424"/>
    <x v="4"/>
    <n v="679354"/>
  </r>
  <r>
    <n v="10282"/>
    <n v="5"/>
    <d v="2013-09-15T00:00:00"/>
    <s v="BLU-RAY"/>
    <n v="101927"/>
    <s v="AB103425"/>
    <x v="15"/>
    <n v="679354"/>
  </r>
  <r>
    <n v="10173"/>
    <n v="6"/>
    <d v="2013-09-14T00:00:00"/>
    <s v="BLU-RAY"/>
    <n v="101928"/>
    <s v="AB103426"/>
    <x v="4"/>
    <n v="427391"/>
  </r>
  <r>
    <n v="10024"/>
    <n v="9"/>
    <d v="2013-09-15T00:00:00"/>
    <s v="DVD"/>
    <n v="101928"/>
    <s v="AB103427"/>
    <x v="9"/>
    <n v="427391"/>
  </r>
  <r>
    <n v="10204"/>
    <n v="3"/>
    <d v="2013-09-14T00:00:00"/>
    <s v="DVD"/>
    <n v="101929"/>
    <s v="AB103428"/>
    <x v="7"/>
    <n v="226909"/>
  </r>
  <r>
    <n v="10210"/>
    <n v="2"/>
    <d v="2013-09-14T00:00:00"/>
    <s v="DVD"/>
    <n v="101930"/>
    <s v="AB103429"/>
    <x v="4"/>
    <n v="701211"/>
  </r>
  <r>
    <n v="10135"/>
    <n v="4"/>
    <d v="2013-09-15T00:00:00"/>
    <s v="BLU-RAY"/>
    <n v="101930"/>
    <s v="AB103430"/>
    <x v="7"/>
    <n v="701211"/>
  </r>
  <r>
    <n v="10077"/>
    <n v="1"/>
    <d v="2013-09-14T00:00:00"/>
    <s v="BLU-RAY"/>
    <n v="101931"/>
    <s v="AB103431"/>
    <x v="0"/>
    <n v="547890"/>
  </r>
  <r>
    <n v="10138"/>
    <n v="3"/>
    <d v="2013-09-14T00:00:00"/>
    <s v="DVD"/>
    <n v="101931"/>
    <s v="AB103432"/>
    <x v="7"/>
    <n v="547890"/>
  </r>
  <r>
    <n v="10223"/>
    <n v="8"/>
    <d v="2013-09-15T00:00:00"/>
    <s v="DVD"/>
    <n v="101932"/>
    <s v="AB103433"/>
    <x v="7"/>
    <n v="678940"/>
  </r>
  <r>
    <n v="10023"/>
    <n v="1"/>
    <d v="2013-09-14T00:00:00"/>
    <s v="DVD"/>
    <n v="101933"/>
    <s v="AB103434"/>
    <x v="3"/>
    <n v="216081"/>
  </r>
  <r>
    <n v="10176"/>
    <n v="8"/>
    <d v="2013-09-14T00:00:00"/>
    <s v="DVD"/>
    <n v="101934"/>
    <s v="AB103435"/>
    <x v="7"/>
    <n v="762509"/>
  </r>
  <r>
    <n v="10259"/>
    <n v="4"/>
    <d v="2013-09-14T00:00:00"/>
    <s v="BLU-RAY"/>
    <n v="101934"/>
    <s v="AB103436"/>
    <x v="0"/>
    <n v="762509"/>
  </r>
  <r>
    <n v="10264"/>
    <n v="1"/>
    <d v="2013-09-15T00:00:00"/>
    <s v="DVD"/>
    <n v="101935"/>
    <s v="AB103437"/>
    <x v="2"/>
    <n v="659695"/>
  </r>
  <r>
    <n v="10100"/>
    <n v="5"/>
    <d v="2013-09-15T00:00:00"/>
    <s v="BLU-RAY"/>
    <n v="101936"/>
    <s v="AB103438"/>
    <x v="9"/>
    <n v="954812"/>
  </r>
  <r>
    <n v="10146"/>
    <n v="2"/>
    <d v="2013-09-14T00:00:00"/>
    <s v="DVD"/>
    <n v="101936"/>
    <s v="AB103439"/>
    <x v="4"/>
    <n v="954812"/>
  </r>
  <r>
    <n v="10218"/>
    <n v="7"/>
    <d v="2013-09-14T00:00:00"/>
    <s v="BLU-RAY"/>
    <n v="101937"/>
    <s v="AB103440"/>
    <x v="4"/>
    <n v="817274"/>
  </r>
  <r>
    <n v="10014"/>
    <n v="10"/>
    <d v="2013-09-14T00:00:00"/>
    <s v="BLU-RAY"/>
    <n v="101938"/>
    <s v="AB103441"/>
    <x v="0"/>
    <n v="494106"/>
  </r>
  <r>
    <n v="10200"/>
    <n v="3"/>
    <d v="2013-09-15T00:00:00"/>
    <s v="BLU-RAY"/>
    <n v="101938"/>
    <s v="AB103442"/>
    <x v="9"/>
    <n v="494106"/>
  </r>
  <r>
    <n v="10194"/>
    <n v="8"/>
    <d v="2013-09-15T00:00:00"/>
    <s v="DVD"/>
    <n v="101939"/>
    <s v="AB103443"/>
    <x v="16"/>
    <n v="111991"/>
  </r>
  <r>
    <n v="10008"/>
    <n v="1"/>
    <d v="2013-09-15T00:00:00"/>
    <s v="DVD"/>
    <n v="101940"/>
    <s v="AB103444"/>
    <x v="4"/>
    <n v="267632"/>
  </r>
  <r>
    <n v="10259"/>
    <n v="5"/>
    <d v="2013-09-14T00:00:00"/>
    <s v="DVD"/>
    <n v="101941"/>
    <s v="AB103445"/>
    <x v="0"/>
    <n v="308688"/>
  </r>
  <r>
    <n v="10130"/>
    <n v="1"/>
    <d v="2013-09-14T00:00:00"/>
    <s v="DVD"/>
    <n v="101941"/>
    <s v="AB103446"/>
    <x v="21"/>
    <n v="308688"/>
  </r>
  <r>
    <n v="10122"/>
    <n v="3"/>
    <d v="2013-09-14T00:00:00"/>
    <s v="BLU-RAY"/>
    <n v="101942"/>
    <s v="AB103447"/>
    <x v="12"/>
    <n v="403000"/>
  </r>
  <r>
    <n v="10161"/>
    <n v="9"/>
    <d v="2013-09-14T00:00:00"/>
    <s v="DVD"/>
    <n v="101942"/>
    <s v="AB103448"/>
    <x v="6"/>
    <n v="403000"/>
  </r>
  <r>
    <n v="10194"/>
    <n v="7"/>
    <d v="2013-09-14T00:00:00"/>
    <s v="DVD"/>
    <n v="101943"/>
    <s v="AB103449"/>
    <x v="16"/>
    <n v="226209"/>
  </r>
  <r>
    <n v="10013"/>
    <n v="6"/>
    <d v="2013-09-14T00:00:00"/>
    <s v="DVD"/>
    <n v="101943"/>
    <s v="AB103450"/>
    <x v="11"/>
    <n v="226209"/>
  </r>
  <r>
    <n v="10262"/>
    <n v="5"/>
    <d v="2013-09-16T00:00:00"/>
    <s v="BLU-RAY"/>
    <n v="101944"/>
    <s v="AB103451"/>
    <x v="10"/>
    <n v="331115"/>
  </r>
  <r>
    <n v="10099"/>
    <n v="2"/>
    <d v="2013-09-14T00:00:00"/>
    <s v="DVD"/>
    <n v="101944"/>
    <s v="AB103452"/>
    <x v="10"/>
    <n v="331115"/>
  </r>
  <r>
    <n v="10035"/>
    <n v="8"/>
    <d v="2013-09-14T00:00:00"/>
    <s v="DVD"/>
    <n v="101944"/>
    <s v="AB103453"/>
    <x v="4"/>
    <n v="331115"/>
  </r>
  <r>
    <n v="10087"/>
    <n v="4"/>
    <d v="2013-09-14T00:00:00"/>
    <s v="DVD"/>
    <n v="101945"/>
    <s v="AB103454"/>
    <x v="10"/>
    <n v="927518"/>
  </r>
  <r>
    <n v="10259"/>
    <n v="3"/>
    <d v="2013-09-15T00:00:00"/>
    <s v="BLU-RAY"/>
    <n v="101946"/>
    <s v="AB103455"/>
    <x v="0"/>
    <n v="157695"/>
  </r>
  <r>
    <n v="10290"/>
    <n v="9"/>
    <d v="2013-09-14T00:00:00"/>
    <s v="BLU-RAY"/>
    <n v="101946"/>
    <s v="AB103456"/>
    <x v="2"/>
    <n v="157695"/>
  </r>
  <r>
    <n v="10035"/>
    <n v="1"/>
    <d v="2013-09-14T00:00:00"/>
    <s v="DVD"/>
    <n v="101946"/>
    <s v="AB103457"/>
    <x v="4"/>
    <n v="157695"/>
  </r>
  <r>
    <n v="10132"/>
    <n v="6"/>
    <d v="2013-09-14T00:00:00"/>
    <s v="BLU-RAY"/>
    <n v="101946"/>
    <s v="AB103458"/>
    <x v="10"/>
    <n v="157695"/>
  </r>
  <r>
    <n v="10103"/>
    <n v="10"/>
    <d v="2013-09-14T00:00:00"/>
    <s v="BLU-RAY"/>
    <n v="101947"/>
    <s v="AB103459"/>
    <x v="9"/>
    <n v="554099"/>
  </r>
  <r>
    <n v="10120"/>
    <n v="7"/>
    <d v="2013-09-14T00:00:00"/>
    <s v="DVD"/>
    <n v="101947"/>
    <s v="AB103460"/>
    <x v="14"/>
    <n v="554099"/>
  </r>
  <r>
    <n v="10183"/>
    <n v="4"/>
    <d v="2013-09-16T00:00:00"/>
    <s v="DVD"/>
    <n v="101948"/>
    <s v="AB103461"/>
    <x v="4"/>
    <n v="908328"/>
  </r>
  <r>
    <n v="10034"/>
    <n v="5"/>
    <d v="2013-09-15T00:00:00"/>
    <s v="BLU-RAY"/>
    <n v="101948"/>
    <s v="AB103462"/>
    <x v="10"/>
    <n v="908328"/>
  </r>
  <r>
    <n v="10147"/>
    <n v="8"/>
    <d v="2013-09-15T00:00:00"/>
    <s v="DVD"/>
    <n v="101949"/>
    <s v="AB103463"/>
    <x v="10"/>
    <n v="412544"/>
  </r>
  <r>
    <n v="10092"/>
    <n v="1"/>
    <d v="2013-09-15T00:00:00"/>
    <s v="DVD"/>
    <n v="101949"/>
    <s v="AB103464"/>
    <x v="0"/>
    <n v="412544"/>
  </r>
  <r>
    <n v="10106"/>
    <n v="6"/>
    <d v="2013-09-16T00:00:00"/>
    <s v="DVD"/>
    <n v="101950"/>
    <s v="AB103465"/>
    <x v="9"/>
    <n v="550661"/>
  </r>
  <r>
    <n v="10076"/>
    <n v="5"/>
    <d v="2013-09-16T00:00:00"/>
    <s v="BLU-RAY"/>
    <n v="101951"/>
    <s v="AB103466"/>
    <x v="4"/>
    <n v="105771"/>
  </r>
  <r>
    <n v="10017"/>
    <n v="9"/>
    <d v="2013-09-17T00:00:00"/>
    <s v="BLU-RAY"/>
    <n v="101952"/>
    <s v="AB103467"/>
    <x v="4"/>
    <n v="262638"/>
  </r>
  <r>
    <n v="10106"/>
    <n v="2"/>
    <d v="2013-09-16T00:00:00"/>
    <s v="BLU-RAY"/>
    <n v="101952"/>
    <s v="AB103468"/>
    <x v="9"/>
    <n v="262638"/>
  </r>
  <r>
    <n v="10031"/>
    <n v="8"/>
    <d v="2013-09-15T00:00:00"/>
    <s v="DVD"/>
    <n v="101953"/>
    <s v="AB103469"/>
    <x v="0"/>
    <n v="607810"/>
  </r>
  <r>
    <n v="10117"/>
    <n v="6"/>
    <d v="2013-09-15T00:00:00"/>
    <s v="DVD"/>
    <n v="101953"/>
    <s v="AB103470"/>
    <x v="4"/>
    <n v="607810"/>
  </r>
  <r>
    <n v="10030"/>
    <n v="8"/>
    <d v="2013-09-15T00:00:00"/>
    <s v="BLU-RAY"/>
    <n v="101954"/>
    <s v="AB103471"/>
    <x v="0"/>
    <n v="479497"/>
  </r>
  <r>
    <n v="10071"/>
    <n v="9"/>
    <d v="2013-09-15T00:00:00"/>
    <s v="DVD"/>
    <n v="101955"/>
    <s v="AB103472"/>
    <x v="1"/>
    <n v="404678"/>
  </r>
  <r>
    <n v="10185"/>
    <n v="5"/>
    <d v="2013-09-15T00:00:00"/>
    <s v="BLU-RAY"/>
    <n v="101955"/>
    <s v="AB103473"/>
    <x v="0"/>
    <n v="404678"/>
  </r>
  <r>
    <n v="10230"/>
    <n v="8"/>
    <d v="2013-09-15T00:00:00"/>
    <s v="BLU-RAY"/>
    <n v="101956"/>
    <s v="AB103474"/>
    <x v="14"/>
    <n v="247216"/>
  </r>
  <r>
    <n v="10151"/>
    <n v="3"/>
    <d v="2013-09-15T00:00:00"/>
    <s v="BLU-RAY"/>
    <n v="101956"/>
    <s v="AB103475"/>
    <x v="8"/>
    <n v="247216"/>
  </r>
  <r>
    <n v="10026"/>
    <n v="1"/>
    <d v="2013-09-15T00:00:00"/>
    <s v="DVD"/>
    <n v="101956"/>
    <s v="AB103476"/>
    <x v="9"/>
    <n v="247216"/>
  </r>
  <r>
    <n v="10152"/>
    <n v="4"/>
    <d v="2013-09-15T00:00:00"/>
    <s v="DVD"/>
    <n v="101957"/>
    <s v="AB103477"/>
    <x v="16"/>
    <n v="429748"/>
  </r>
  <r>
    <n v="10275"/>
    <n v="9"/>
    <d v="2013-09-15T00:00:00"/>
    <s v="DVD"/>
    <n v="101958"/>
    <s v="AB103478"/>
    <x v="10"/>
    <n v="442254"/>
  </r>
  <r>
    <n v="10044"/>
    <n v="7"/>
    <d v="2013-09-15T00:00:00"/>
    <s v="BLU-RAY"/>
    <n v="101959"/>
    <s v="AB103479"/>
    <x v="3"/>
    <n v="717234"/>
  </r>
  <r>
    <n v="10005"/>
    <n v="4"/>
    <d v="2013-09-15T00:00:00"/>
    <s v="BLU-RAY"/>
    <n v="101960"/>
    <s v="AB103480"/>
    <x v="3"/>
    <n v="407605"/>
  </r>
  <r>
    <n v="10081"/>
    <n v="9"/>
    <d v="2013-09-15T00:00:00"/>
    <s v="BLU-RAY"/>
    <n v="101960"/>
    <s v="AB103481"/>
    <x v="2"/>
    <n v="407605"/>
  </r>
  <r>
    <n v="10137"/>
    <n v="5"/>
    <d v="2013-09-15T00:00:00"/>
    <s v="DVD"/>
    <n v="101961"/>
    <s v="AB103482"/>
    <x v="3"/>
    <n v="485769"/>
  </r>
  <r>
    <n v="10195"/>
    <n v="6"/>
    <d v="2013-09-15T00:00:00"/>
    <s v="DVD"/>
    <n v="101961"/>
    <s v="AB103483"/>
    <x v="4"/>
    <n v="485769"/>
  </r>
  <r>
    <n v="10198"/>
    <n v="10"/>
    <d v="2013-09-15T00:00:00"/>
    <s v="DVD"/>
    <n v="101962"/>
    <s v="AB103484"/>
    <x v="9"/>
    <n v="317461"/>
  </r>
  <r>
    <n v="10171"/>
    <n v="9"/>
    <d v="2013-09-16T00:00:00"/>
    <s v="DVD"/>
    <n v="101962"/>
    <s v="AB103485"/>
    <x v="7"/>
    <n v="317461"/>
  </r>
  <r>
    <n v="10076"/>
    <n v="3"/>
    <d v="2013-09-16T00:00:00"/>
    <s v="DVD"/>
    <n v="101963"/>
    <s v="AB103486"/>
    <x v="4"/>
    <n v="585972"/>
  </r>
  <r>
    <n v="10215"/>
    <n v="1"/>
    <d v="2013-09-15T00:00:00"/>
    <s v="BLU-RAY"/>
    <n v="101963"/>
    <s v="AB103487"/>
    <x v="1"/>
    <n v="585972"/>
  </r>
  <r>
    <n v="10092"/>
    <n v="9"/>
    <d v="2013-09-16T00:00:00"/>
    <s v="BLU-RAY"/>
    <n v="101964"/>
    <s v="AB103488"/>
    <x v="0"/>
    <n v="110363"/>
  </r>
  <r>
    <n v="10030"/>
    <n v="7"/>
    <d v="2013-09-17T00:00:00"/>
    <s v="BLU-RAY"/>
    <n v="101965"/>
    <s v="AB103489"/>
    <x v="0"/>
    <n v="500350"/>
  </r>
  <r>
    <n v="10208"/>
    <n v="7"/>
    <d v="2013-09-15T00:00:00"/>
    <s v="BLU-RAY"/>
    <n v="101965"/>
    <s v="AB103490"/>
    <x v="0"/>
    <n v="500350"/>
  </r>
  <r>
    <n v="10105"/>
    <n v="2"/>
    <d v="2013-09-17T00:00:00"/>
    <s v="DVD"/>
    <n v="101966"/>
    <s v="AB103491"/>
    <x v="2"/>
    <n v="110363"/>
  </r>
  <r>
    <n v="10161"/>
    <n v="1"/>
    <d v="2013-09-15T00:00:00"/>
    <s v="BLU-RAY"/>
    <n v="101966"/>
    <s v="AB103492"/>
    <x v="6"/>
    <n v="110363"/>
  </r>
  <r>
    <n v="10256"/>
    <n v="2"/>
    <d v="2013-09-16T00:00:00"/>
    <s v="BLU-RAY"/>
    <n v="101966"/>
    <s v="AB103493"/>
    <x v="9"/>
    <n v="110363"/>
  </r>
  <r>
    <n v="10234"/>
    <n v="10"/>
    <d v="2013-09-16T00:00:00"/>
    <s v="DVD"/>
    <n v="101967"/>
    <s v="AB103494"/>
    <x v="0"/>
    <n v="559054"/>
  </r>
  <r>
    <n v="10089"/>
    <n v="3"/>
    <d v="2013-09-16T00:00:00"/>
    <s v="DVD"/>
    <n v="101968"/>
    <s v="AB103495"/>
    <x v="4"/>
    <n v="568217"/>
  </r>
  <r>
    <n v="10192"/>
    <n v="2"/>
    <d v="2013-09-16T00:00:00"/>
    <s v="BLU-RAY"/>
    <n v="101968"/>
    <s v="AB103496"/>
    <x v="7"/>
    <n v="568217"/>
  </r>
  <r>
    <n v="10104"/>
    <n v="5"/>
    <d v="2013-09-18T00:00:00"/>
    <s v="BLU-RAY"/>
    <n v="101969"/>
    <s v="AB103497"/>
    <x v="7"/>
    <n v="302774"/>
  </r>
  <r>
    <n v="10121"/>
    <n v="3"/>
    <d v="2013-09-17T00:00:00"/>
    <s v="BLU-RAY"/>
    <n v="101969"/>
    <s v="AB103498"/>
    <x v="2"/>
    <n v="302774"/>
  </r>
  <r>
    <n v="10184"/>
    <n v="4"/>
    <d v="2013-09-16T00:00:00"/>
    <s v="DVD"/>
    <n v="101970"/>
    <s v="AB103499"/>
    <x v="7"/>
    <n v="806545"/>
  </r>
  <r>
    <n v="10032"/>
    <n v="2"/>
    <d v="2013-09-16T00:00:00"/>
    <s v="BLU-RAY"/>
    <n v="101971"/>
    <s v="AB103500"/>
    <x v="4"/>
    <n v="586201"/>
  </r>
  <r>
    <n v="10053"/>
    <n v="9"/>
    <d v="2013-09-16T00:00:00"/>
    <s v="BLU-RAY"/>
    <n v="101971"/>
    <s v="AB103501"/>
    <x v="4"/>
    <n v="586201"/>
  </r>
  <r>
    <n v="10243"/>
    <n v="1"/>
    <d v="2013-09-16T00:00:00"/>
    <s v="DVD"/>
    <n v="101971"/>
    <s v="AB103502"/>
    <x v="9"/>
    <n v="586201"/>
  </r>
  <r>
    <n v="10061"/>
    <n v="1"/>
    <d v="2013-09-17T00:00:00"/>
    <s v="BLU-RAY"/>
    <n v="101972"/>
    <s v="AB103503"/>
    <x v="9"/>
    <n v="517477"/>
  </r>
  <r>
    <n v="10260"/>
    <n v="2"/>
    <d v="2013-09-16T00:00:00"/>
    <s v="BLU-RAY"/>
    <n v="101972"/>
    <s v="AB103504"/>
    <x v="4"/>
    <n v="517477"/>
  </r>
  <r>
    <n v="10113"/>
    <n v="4"/>
    <d v="2013-09-16T00:00:00"/>
    <s v="DVD"/>
    <n v="101972"/>
    <s v="AB103505"/>
    <x v="10"/>
    <n v="517477"/>
  </r>
  <r>
    <n v="10192"/>
    <n v="6"/>
    <d v="2013-09-16T00:00:00"/>
    <s v="DVD"/>
    <n v="101972"/>
    <s v="AB103506"/>
    <x v="7"/>
    <n v="517477"/>
  </r>
  <r>
    <n v="10202"/>
    <n v="2"/>
    <d v="2013-09-16T00:00:00"/>
    <s v="DVD"/>
    <n v="101973"/>
    <s v="AB103507"/>
    <x v="0"/>
    <n v="110363"/>
  </r>
  <r>
    <n v="10236"/>
    <n v="6"/>
    <d v="2013-09-17T00:00:00"/>
    <s v="BLU-RAY"/>
    <n v="101973"/>
    <s v="AB103508"/>
    <x v="10"/>
    <n v="110363"/>
  </r>
  <r>
    <n v="10219"/>
    <n v="8"/>
    <d v="2013-09-16T00:00:00"/>
    <s v="BLU-RAY"/>
    <n v="101974"/>
    <s v="AB103509"/>
    <x v="1"/>
    <n v="927518"/>
  </r>
  <r>
    <n v="10179"/>
    <n v="6"/>
    <d v="2013-09-16T00:00:00"/>
    <s v="BLU-RAY"/>
    <n v="101975"/>
    <s v="AB103510"/>
    <x v="0"/>
    <n v="815980"/>
  </r>
  <r>
    <n v="10100"/>
    <n v="3"/>
    <d v="2013-09-16T00:00:00"/>
    <s v="DVD"/>
    <n v="101975"/>
    <s v="AB103511"/>
    <x v="9"/>
    <n v="815980"/>
  </r>
  <r>
    <n v="10285"/>
    <n v="6"/>
    <d v="2013-09-16T00:00:00"/>
    <s v="DVD"/>
    <n v="101976"/>
    <s v="AB103512"/>
    <x v="20"/>
    <n v="736500"/>
  </r>
  <r>
    <n v="10095"/>
    <n v="4"/>
    <d v="2013-09-16T00:00:00"/>
    <s v="BLU-RAY"/>
    <n v="101977"/>
    <s v="AB103513"/>
    <x v="2"/>
    <n v="296353"/>
  </r>
  <r>
    <n v="10288"/>
    <n v="9"/>
    <d v="2013-09-16T00:00:00"/>
    <s v="DVD"/>
    <n v="101978"/>
    <s v="AB103514"/>
    <x v="12"/>
    <n v="378374"/>
  </r>
  <r>
    <n v="10213"/>
    <n v="2"/>
    <d v="2013-09-16T00:00:00"/>
    <s v="BLU-RAY"/>
    <n v="101978"/>
    <s v="AB103515"/>
    <x v="4"/>
    <n v="378374"/>
  </r>
  <r>
    <n v="10270"/>
    <n v="2"/>
    <d v="2013-09-16T00:00:00"/>
    <s v="DVD"/>
    <n v="101978"/>
    <s v="AB103516"/>
    <x v="9"/>
    <n v="378374"/>
  </r>
  <r>
    <n v="10078"/>
    <n v="9"/>
    <d v="2013-09-17T00:00:00"/>
    <s v="DVD"/>
    <n v="101979"/>
    <s v="AB103517"/>
    <x v="1"/>
    <n v="442691"/>
  </r>
  <r>
    <n v="10040"/>
    <n v="1"/>
    <d v="2013-09-17T00:00:00"/>
    <s v="BLU-RAY"/>
    <n v="101979"/>
    <s v="AB103518"/>
    <x v="7"/>
    <n v="442691"/>
  </r>
  <r>
    <n v="10111"/>
    <n v="6"/>
    <d v="2013-09-16T00:00:00"/>
    <s v="DVD"/>
    <n v="101980"/>
    <s v="AB103519"/>
    <x v="9"/>
    <n v="191050"/>
  </r>
  <r>
    <n v="10030"/>
    <n v="6"/>
    <d v="2013-09-18T00:00:00"/>
    <s v="DVD"/>
    <n v="101981"/>
    <s v="AB103520"/>
    <x v="0"/>
    <n v="358901"/>
  </r>
  <r>
    <n v="10244"/>
    <n v="4"/>
    <d v="2013-09-16T00:00:00"/>
    <s v="DVD"/>
    <n v="101981"/>
    <s v="AB103521"/>
    <x v="4"/>
    <n v="358901"/>
  </r>
  <r>
    <n v="10018"/>
    <n v="8"/>
    <d v="2013-09-16T00:00:00"/>
    <s v="BLU-RAY"/>
    <n v="101981"/>
    <s v="AB103522"/>
    <x v="9"/>
    <n v="358901"/>
  </r>
  <r>
    <n v="10217"/>
    <n v="6"/>
    <d v="2013-09-16T00:00:00"/>
    <s v="DVD"/>
    <n v="101981"/>
    <s v="AB103523"/>
    <x v="0"/>
    <n v="358901"/>
  </r>
  <r>
    <n v="10089"/>
    <n v="2"/>
    <d v="2013-09-16T00:00:00"/>
    <s v="DVD"/>
    <n v="101982"/>
    <s v="AB103524"/>
    <x v="4"/>
    <n v="226209"/>
  </r>
  <r>
    <n v="10000"/>
    <n v="4"/>
    <d v="2013-09-16T00:00:00"/>
    <s v="BLU-RAY"/>
    <n v="101982"/>
    <s v="AB103525"/>
    <x v="6"/>
    <n v="226209"/>
  </r>
  <r>
    <n v="10101"/>
    <n v="6"/>
    <d v="2013-09-16T00:00:00"/>
    <s v="BLU-RAY"/>
    <n v="101983"/>
    <s v="AB103526"/>
    <x v="4"/>
    <n v="580783"/>
  </r>
  <r>
    <n v="10030"/>
    <n v="2"/>
    <d v="2013-09-16T00:00:00"/>
    <s v="BLU-RAY"/>
    <n v="101983"/>
    <s v="AB103527"/>
    <x v="0"/>
    <n v="580783"/>
  </r>
  <r>
    <n v="10253"/>
    <n v="8"/>
    <d v="2013-09-16T00:00:00"/>
    <s v="DVD"/>
    <n v="101984"/>
    <s v="AB103528"/>
    <x v="3"/>
    <n v="448739"/>
  </r>
  <r>
    <n v="10008"/>
    <n v="9"/>
    <d v="2013-09-16T00:00:00"/>
    <s v="BLU-RAY"/>
    <n v="101984"/>
    <s v="AB103529"/>
    <x v="4"/>
    <n v="448739"/>
  </r>
  <r>
    <n v="10299"/>
    <n v="8"/>
    <d v="2013-09-18T00:00:00"/>
    <s v="DVD"/>
    <n v="101985"/>
    <s v="AB103530"/>
    <x v="22"/>
    <n v="585972"/>
  </r>
  <r>
    <n v="10097"/>
    <n v="2"/>
    <d v="2013-09-17T00:00:00"/>
    <s v="BLU-RAY"/>
    <n v="101985"/>
    <s v="AB103531"/>
    <x v="8"/>
    <n v="585972"/>
  </r>
  <r>
    <n v="10120"/>
    <n v="1"/>
    <d v="2013-09-17T00:00:00"/>
    <s v="DVD"/>
    <n v="101986"/>
    <s v="AB103532"/>
    <x v="14"/>
    <n v="832914"/>
  </r>
  <r>
    <n v="10264"/>
    <n v="7"/>
    <d v="2013-09-17T00:00:00"/>
    <s v="DVD"/>
    <n v="101986"/>
    <s v="AB103533"/>
    <x v="2"/>
    <n v="832914"/>
  </r>
  <r>
    <n v="10066"/>
    <n v="4"/>
    <d v="2013-09-17T00:00:00"/>
    <s v="DVD"/>
    <n v="101987"/>
    <s v="AB103534"/>
    <x v="3"/>
    <n v="976778"/>
  </r>
  <r>
    <n v="10063"/>
    <n v="1"/>
    <d v="2013-09-17T00:00:00"/>
    <s v="BLU-RAY"/>
    <n v="101988"/>
    <s v="AB103535"/>
    <x v="18"/>
    <n v="663029"/>
  </r>
  <r>
    <n v="10098"/>
    <n v="4"/>
    <d v="2013-09-17T00:00:00"/>
    <s v="BLU-RAY"/>
    <n v="101989"/>
    <s v="AB103536"/>
    <x v="0"/>
    <n v="147216"/>
  </r>
  <r>
    <n v="10154"/>
    <n v="6"/>
    <d v="2013-09-18T00:00:00"/>
    <s v="DVD"/>
    <n v="101989"/>
    <s v="AB103537"/>
    <x v="5"/>
    <n v="147216"/>
  </r>
  <r>
    <n v="10217"/>
    <n v="7"/>
    <d v="2013-09-18T00:00:00"/>
    <s v="BLU-RAY"/>
    <n v="101990"/>
    <s v="AB103538"/>
    <x v="0"/>
    <n v="889686"/>
  </r>
  <r>
    <n v="10262"/>
    <n v="9"/>
    <d v="2013-09-17T00:00:00"/>
    <s v="BLU-RAY"/>
    <n v="101991"/>
    <s v="AB103539"/>
    <x v="10"/>
    <n v="242720"/>
  </r>
  <r>
    <n v="10133"/>
    <n v="6"/>
    <d v="2013-09-17T00:00:00"/>
    <s v="BLU-RAY"/>
    <n v="101992"/>
    <s v="AB103540"/>
    <x v="9"/>
    <n v="230467"/>
  </r>
  <r>
    <n v="10028"/>
    <n v="6"/>
    <d v="2013-09-18T00:00:00"/>
    <s v="DVD"/>
    <n v="101992"/>
    <s v="AB103541"/>
    <x v="5"/>
    <n v="230467"/>
  </r>
  <r>
    <n v="10117"/>
    <n v="1"/>
    <d v="2013-09-17T00:00:00"/>
    <s v="DVD"/>
    <n v="101992"/>
    <s v="AB103542"/>
    <x v="4"/>
    <n v="230467"/>
  </r>
  <r>
    <n v="10265"/>
    <n v="5"/>
    <d v="2013-09-17T00:00:00"/>
    <s v="BLU-RAY"/>
    <n v="101992"/>
    <s v="AB103543"/>
    <x v="0"/>
    <n v="230467"/>
  </r>
  <r>
    <n v="10181"/>
    <n v="10"/>
    <d v="2013-09-19T00:00:00"/>
    <s v="DVD"/>
    <n v="101993"/>
    <s v="AB103544"/>
    <x v="9"/>
    <n v="549823"/>
  </r>
  <r>
    <n v="10135"/>
    <n v="9"/>
    <d v="2013-09-17T00:00:00"/>
    <s v="DVD"/>
    <n v="101994"/>
    <s v="AB103545"/>
    <x v="7"/>
    <n v="384899"/>
  </r>
  <r>
    <n v="10181"/>
    <n v="6"/>
    <d v="2013-09-17T00:00:00"/>
    <s v="DVD"/>
    <n v="101994"/>
    <s v="AB103546"/>
    <x v="9"/>
    <n v="384899"/>
  </r>
  <r>
    <n v="10148"/>
    <n v="7"/>
    <d v="2013-09-17T00:00:00"/>
    <s v="BLU-RAY"/>
    <n v="101994"/>
    <s v="AB103547"/>
    <x v="1"/>
    <n v="384899"/>
  </r>
  <r>
    <n v="10097"/>
    <n v="7"/>
    <d v="2013-09-17T00:00:00"/>
    <s v="DVD"/>
    <n v="101995"/>
    <s v="AB103548"/>
    <x v="8"/>
    <n v="224094"/>
  </r>
  <r>
    <n v="10176"/>
    <n v="10"/>
    <d v="2013-09-18T00:00:00"/>
    <s v="BLU-RAY"/>
    <n v="101996"/>
    <s v="AB103549"/>
    <x v="7"/>
    <n v="550824"/>
  </r>
  <r>
    <n v="10020"/>
    <n v="3"/>
    <d v="2013-09-17T00:00:00"/>
    <s v="BLU-RAY"/>
    <n v="101997"/>
    <s v="AB103550"/>
    <x v="16"/>
    <n v="203787"/>
  </r>
  <r>
    <n v="10246"/>
    <n v="10"/>
    <d v="2013-09-18T00:00:00"/>
    <s v="BLU-RAY"/>
    <n v="101997"/>
    <s v="AB103551"/>
    <x v="2"/>
    <n v="203787"/>
  </r>
  <r>
    <n v="10183"/>
    <n v="5"/>
    <d v="2013-09-18T00:00:00"/>
    <s v="DVD"/>
    <n v="101997"/>
    <s v="AB103552"/>
    <x v="4"/>
    <n v="203787"/>
  </r>
  <r>
    <n v="10158"/>
    <n v="1"/>
    <d v="2013-09-17T00:00:00"/>
    <s v="DVD"/>
    <n v="101998"/>
    <s v="AB103553"/>
    <x v="0"/>
    <n v="651462"/>
  </r>
  <r>
    <n v="10210"/>
    <n v="5"/>
    <d v="2013-09-17T00:00:00"/>
    <s v="DVD"/>
    <n v="101998"/>
    <s v="AB103554"/>
    <x v="4"/>
    <n v="651462"/>
  </r>
  <r>
    <n v="10255"/>
    <n v="9"/>
    <d v="2013-09-18T00:00:00"/>
    <s v="DVD"/>
    <n v="101998"/>
    <s v="AB103555"/>
    <x v="1"/>
    <n v="651462"/>
  </r>
  <r>
    <n v="10004"/>
    <n v="5"/>
    <d v="2013-09-17T00:00:00"/>
    <s v="DVD"/>
    <n v="101999"/>
    <s v="AB103556"/>
    <x v="1"/>
    <n v="119406"/>
  </r>
  <r>
    <n v="10176"/>
    <n v="3"/>
    <d v="2013-09-17T00:00:00"/>
    <s v="BLU-RAY"/>
    <n v="102000"/>
    <s v="AB103557"/>
    <x v="7"/>
    <n v="739669"/>
  </r>
  <r>
    <n v="10031"/>
    <n v="10"/>
    <d v="2013-09-18T00:00:00"/>
    <s v="DVD"/>
    <n v="102001"/>
    <s v="AB103558"/>
    <x v="0"/>
    <n v="205927"/>
  </r>
  <r>
    <n v="10131"/>
    <n v="3"/>
    <d v="2013-09-17T00:00:00"/>
    <s v="DVD"/>
    <n v="102001"/>
    <s v="AB103559"/>
    <x v="0"/>
    <n v="205927"/>
  </r>
  <r>
    <n v="10173"/>
    <n v="8"/>
    <d v="2013-09-17T00:00:00"/>
    <s v="BLU-RAY"/>
    <n v="102002"/>
    <s v="AB103560"/>
    <x v="4"/>
    <n v="586201"/>
  </r>
  <r>
    <n v="10005"/>
    <n v="7"/>
    <d v="2013-09-17T00:00:00"/>
    <s v="BLU-RAY"/>
    <n v="102003"/>
    <s v="AB103561"/>
    <x v="3"/>
    <n v="901388"/>
  </r>
  <r>
    <n v="10097"/>
    <n v="8"/>
    <d v="2013-09-17T00:00:00"/>
    <s v="BLU-RAY"/>
    <n v="102004"/>
    <s v="AB103562"/>
    <x v="8"/>
    <n v="393893"/>
  </r>
  <r>
    <n v="10008"/>
    <n v="8"/>
    <d v="2013-09-17T00:00:00"/>
    <s v="BLU-RAY"/>
    <n v="102005"/>
    <s v="AB103563"/>
    <x v="4"/>
    <n v="580674"/>
  </r>
  <r>
    <n v="10266"/>
    <n v="10"/>
    <d v="2013-09-18T00:00:00"/>
    <s v="BLU-RAY"/>
    <n v="102006"/>
    <s v="AB103564"/>
    <x v="4"/>
    <n v="717234"/>
  </r>
  <r>
    <n v="10022"/>
    <n v="7"/>
    <d v="2013-09-19T00:00:00"/>
    <s v="DVD"/>
    <n v="102006"/>
    <s v="AB103565"/>
    <x v="7"/>
    <n v="717234"/>
  </r>
  <r>
    <n v="10250"/>
    <n v="5"/>
    <d v="2013-09-19T00:00:00"/>
    <s v="DVD"/>
    <n v="102007"/>
    <s v="AB103566"/>
    <x v="3"/>
    <n v="520196"/>
  </r>
  <r>
    <n v="10218"/>
    <n v="1"/>
    <d v="2013-09-19T00:00:00"/>
    <s v="DVD"/>
    <n v="102008"/>
    <s v="AB103567"/>
    <x v="4"/>
    <n v="772690"/>
  </r>
  <r>
    <n v="10183"/>
    <n v="9"/>
    <d v="2013-09-18T00:00:00"/>
    <s v="DVD"/>
    <n v="102009"/>
    <s v="AB103568"/>
    <x v="4"/>
    <n v="329994"/>
  </r>
  <r>
    <n v="10216"/>
    <n v="9"/>
    <d v="2013-09-18T00:00:00"/>
    <s v="DVD"/>
    <n v="102009"/>
    <s v="AB103569"/>
    <x v="4"/>
    <n v="329994"/>
  </r>
  <r>
    <n v="10126"/>
    <n v="8"/>
    <d v="2013-09-18T00:00:00"/>
    <s v="DVD"/>
    <n v="102010"/>
    <s v="AB103570"/>
    <x v="9"/>
    <n v="744416"/>
  </r>
  <r>
    <n v="10172"/>
    <n v="6"/>
    <d v="2013-09-18T00:00:00"/>
    <s v="DVD"/>
    <n v="102011"/>
    <s v="AB103571"/>
    <x v="10"/>
    <n v="448739"/>
  </r>
  <r>
    <n v="10277"/>
    <n v="4"/>
    <d v="2013-09-18T00:00:00"/>
    <s v="BLU-RAY"/>
    <n v="102011"/>
    <s v="AB103572"/>
    <x v="7"/>
    <n v="448739"/>
  </r>
  <r>
    <n v="10129"/>
    <n v="7"/>
    <d v="2013-09-18T00:00:00"/>
    <s v="DVD"/>
    <n v="102012"/>
    <s v="AB103573"/>
    <x v="0"/>
    <n v="944523"/>
  </r>
  <r>
    <n v="10273"/>
    <n v="3"/>
    <d v="2013-09-18T00:00:00"/>
    <s v="DVD"/>
    <n v="102012"/>
    <s v="AB103574"/>
    <x v="4"/>
    <n v="944523"/>
  </r>
  <r>
    <n v="10257"/>
    <n v="3"/>
    <d v="2013-09-18T00:00:00"/>
    <s v="DVD"/>
    <n v="102013"/>
    <s v="AB103575"/>
    <x v="9"/>
    <n v="452874"/>
  </r>
  <r>
    <n v="10234"/>
    <n v="10"/>
    <d v="2013-09-18T00:00:00"/>
    <s v="DVD"/>
    <n v="102013"/>
    <s v="AB103576"/>
    <x v="0"/>
    <n v="452874"/>
  </r>
  <r>
    <n v="10184"/>
    <n v="9"/>
    <d v="2013-09-18T00:00:00"/>
    <s v="DVD"/>
    <n v="102014"/>
    <s v="AB103577"/>
    <x v="7"/>
    <n v="814317"/>
  </r>
  <r>
    <n v="10007"/>
    <n v="9"/>
    <d v="2013-09-18T00:00:00"/>
    <s v="DVD"/>
    <n v="102014"/>
    <s v="AB103578"/>
    <x v="4"/>
    <n v="814317"/>
  </r>
  <r>
    <n v="10041"/>
    <n v="9"/>
    <d v="2013-09-18T00:00:00"/>
    <s v="DVD"/>
    <n v="102015"/>
    <s v="AB103579"/>
    <x v="10"/>
    <n v="231615"/>
  </r>
  <r>
    <n v="10216"/>
    <n v="6"/>
    <d v="2013-09-18T00:00:00"/>
    <s v="DVD"/>
    <n v="102015"/>
    <s v="AB103580"/>
    <x v="4"/>
    <n v="231615"/>
  </r>
  <r>
    <n v="10024"/>
    <n v="4"/>
    <d v="2013-09-18T00:00:00"/>
    <s v="BLU-RAY"/>
    <n v="102016"/>
    <s v="AB103581"/>
    <x v="9"/>
    <n v="550824"/>
  </r>
  <r>
    <n v="10114"/>
    <n v="10"/>
    <d v="2013-09-20T00:00:00"/>
    <s v="DVD"/>
    <n v="102017"/>
    <s v="AB103582"/>
    <x v="10"/>
    <n v="442691"/>
  </r>
  <r>
    <n v="10157"/>
    <n v="3"/>
    <d v="2013-09-19T00:00:00"/>
    <s v="DVD"/>
    <n v="102017"/>
    <s v="AB103583"/>
    <x v="1"/>
    <n v="442691"/>
  </r>
  <r>
    <n v="10012"/>
    <n v="6"/>
    <d v="2013-09-19T00:00:00"/>
    <s v="BLU-RAY"/>
    <n v="102018"/>
    <s v="AB103584"/>
    <x v="3"/>
    <n v="938006"/>
  </r>
  <r>
    <n v="10273"/>
    <n v="1"/>
    <d v="2013-09-18T00:00:00"/>
    <s v="DVD"/>
    <n v="102019"/>
    <s v="AB103585"/>
    <x v="4"/>
    <n v="173380"/>
  </r>
  <r>
    <n v="10144"/>
    <n v="2"/>
    <d v="2013-09-21T00:00:00"/>
    <s v="BLU-RAY"/>
    <n v="102019"/>
    <s v="AB103586"/>
    <x v="2"/>
    <n v="173380"/>
  </r>
  <r>
    <n v="10246"/>
    <n v="6"/>
    <d v="2013-09-18T00:00:00"/>
    <s v="BLU-RAY"/>
    <n v="102020"/>
    <s v="AB103587"/>
    <x v="2"/>
    <n v="426830"/>
  </r>
  <r>
    <n v="10024"/>
    <n v="1"/>
    <d v="2013-09-18T00:00:00"/>
    <s v="DVD"/>
    <n v="102020"/>
    <s v="AB103588"/>
    <x v="9"/>
    <n v="426830"/>
  </r>
  <r>
    <n v="10035"/>
    <n v="2"/>
    <d v="2013-09-19T00:00:00"/>
    <s v="BLU-RAY"/>
    <n v="102021"/>
    <s v="AB103589"/>
    <x v="4"/>
    <n v="651462"/>
  </r>
  <r>
    <n v="10136"/>
    <n v="6"/>
    <d v="2013-09-18T00:00:00"/>
    <s v="DVD"/>
    <n v="102021"/>
    <s v="AB103590"/>
    <x v="2"/>
    <n v="651462"/>
  </r>
  <r>
    <n v="10100"/>
    <n v="7"/>
    <d v="2013-09-20T00:00:00"/>
    <s v="DVD"/>
    <n v="102022"/>
    <s v="AB103591"/>
    <x v="9"/>
    <n v="193914"/>
  </r>
  <r>
    <n v="10206"/>
    <n v="3"/>
    <d v="2013-09-19T00:00:00"/>
    <s v="DVD"/>
    <n v="102022"/>
    <s v="AB103592"/>
    <x v="9"/>
    <n v="193914"/>
  </r>
  <r>
    <n v="10075"/>
    <n v="10"/>
    <d v="2013-09-19T00:00:00"/>
    <s v="DVD"/>
    <n v="102023"/>
    <s v="AB103593"/>
    <x v="17"/>
    <n v="270853"/>
  </r>
  <r>
    <n v="10203"/>
    <n v="7"/>
    <d v="2013-09-20T00:00:00"/>
    <s v="DVD"/>
    <n v="102023"/>
    <s v="AB103594"/>
    <x v="3"/>
    <n v="270853"/>
  </r>
  <r>
    <n v="10198"/>
    <n v="9"/>
    <d v="2013-09-21T00:00:00"/>
    <s v="DVD"/>
    <n v="102023"/>
    <s v="AB103595"/>
    <x v="9"/>
    <n v="270853"/>
  </r>
  <r>
    <n v="10235"/>
    <n v="5"/>
    <d v="2013-09-20T00:00:00"/>
    <s v="DVD"/>
    <n v="102024"/>
    <s v="AB103596"/>
    <x v="10"/>
    <n v="999915"/>
  </r>
  <r>
    <n v="10173"/>
    <n v="10"/>
    <d v="2013-09-19T00:00:00"/>
    <s v="BLU-RAY"/>
    <n v="102025"/>
    <s v="AB103597"/>
    <x v="4"/>
    <n v="484909"/>
  </r>
  <r>
    <n v="10000"/>
    <n v="4"/>
    <d v="2013-09-19T00:00:00"/>
    <s v="DVD"/>
    <n v="102025"/>
    <s v="AB103598"/>
    <x v="6"/>
    <n v="484909"/>
  </r>
  <r>
    <n v="10274"/>
    <n v="3"/>
    <d v="2013-09-20T00:00:00"/>
    <s v="DVD"/>
    <n v="102026"/>
    <s v="AB103599"/>
    <x v="9"/>
    <n v="559190"/>
  </r>
  <r>
    <n v="10223"/>
    <n v="6"/>
    <d v="2013-09-20T00:00:00"/>
    <s v="DVD"/>
    <n v="102026"/>
    <s v="AB103600"/>
    <x v="7"/>
    <n v="559190"/>
  </r>
  <r>
    <n v="10052"/>
    <n v="8"/>
    <d v="2013-09-19T00:00:00"/>
    <s v="DVD"/>
    <n v="102027"/>
    <s v="AB103601"/>
    <x v="0"/>
    <n v="405671"/>
  </r>
  <r>
    <n v="10190"/>
    <n v="10"/>
    <d v="2013-09-19T00:00:00"/>
    <s v="DVD"/>
    <n v="102028"/>
    <s v="AB103602"/>
    <x v="10"/>
    <n v="158528"/>
  </r>
  <r>
    <n v="10094"/>
    <n v="6"/>
    <d v="2013-09-20T00:00:00"/>
    <s v="DVD"/>
    <n v="102028"/>
    <s v="AB103603"/>
    <x v="12"/>
    <n v="158528"/>
  </r>
  <r>
    <n v="10293"/>
    <n v="5"/>
    <d v="2013-09-20T00:00:00"/>
    <s v="DVD"/>
    <n v="102028"/>
    <s v="AB103604"/>
    <x v="12"/>
    <n v="158528"/>
  </r>
  <r>
    <n v="10036"/>
    <n v="6"/>
    <d v="2013-09-21T00:00:00"/>
    <s v="BLU-RAY"/>
    <n v="102028"/>
    <s v="AB103605"/>
    <x v="7"/>
    <n v="158528"/>
  </r>
  <r>
    <n v="10166"/>
    <n v="8"/>
    <d v="2013-09-20T00:00:00"/>
    <s v="BLU-RAY"/>
    <n v="102029"/>
    <s v="AB103606"/>
    <x v="9"/>
    <n v="205878"/>
  </r>
  <r>
    <n v="10026"/>
    <n v="6"/>
    <d v="2013-09-19T00:00:00"/>
    <s v="BLU-RAY"/>
    <n v="102030"/>
    <s v="AB103607"/>
    <x v="9"/>
    <n v="236554"/>
  </r>
  <r>
    <n v="10018"/>
    <n v="4"/>
    <d v="2013-09-20T00:00:00"/>
    <s v="DVD"/>
    <n v="102030"/>
    <s v="AB103608"/>
    <x v="9"/>
    <n v="236554"/>
  </r>
  <r>
    <n v="10111"/>
    <n v="4"/>
    <d v="2013-09-21T00:00:00"/>
    <s v="DVD"/>
    <n v="102030"/>
    <s v="AB103609"/>
    <x v="9"/>
    <n v="236554"/>
  </r>
  <r>
    <n v="10129"/>
    <n v="8"/>
    <d v="2013-09-19T00:00:00"/>
    <s v="BLU-RAY"/>
    <n v="102030"/>
    <s v="AB103610"/>
    <x v="0"/>
    <n v="236554"/>
  </r>
  <r>
    <n v="10043"/>
    <n v="4"/>
    <d v="2013-09-19T00:00:00"/>
    <s v="BLU-RAY"/>
    <n v="102031"/>
    <s v="AB103611"/>
    <x v="8"/>
    <n v="390130"/>
  </r>
  <r>
    <n v="10186"/>
    <n v="10"/>
    <d v="2013-09-21T00:00:00"/>
    <s v="DVD"/>
    <n v="102032"/>
    <s v="AB103612"/>
    <x v="10"/>
    <n v="537860"/>
  </r>
  <r>
    <n v="10020"/>
    <n v="9"/>
    <d v="2013-09-20T00:00:00"/>
    <s v="DVD"/>
    <n v="102033"/>
    <s v="AB103613"/>
    <x v="16"/>
    <n v="226909"/>
  </r>
  <r>
    <n v="10119"/>
    <n v="1"/>
    <d v="2013-09-19T00:00:00"/>
    <s v="DVD"/>
    <n v="102034"/>
    <s v="AB103614"/>
    <x v="7"/>
    <n v="143878"/>
  </r>
  <r>
    <n v="10165"/>
    <n v="4"/>
    <d v="2013-09-19T00:00:00"/>
    <s v="BLU-RAY"/>
    <n v="102034"/>
    <s v="AB103615"/>
    <x v="2"/>
    <n v="143878"/>
  </r>
  <r>
    <n v="10258"/>
    <n v="2"/>
    <d v="2013-09-19T00:00:00"/>
    <s v="DVD"/>
    <n v="102035"/>
    <s v="AB103616"/>
    <x v="0"/>
    <n v="373200"/>
  </r>
  <r>
    <n v="10122"/>
    <n v="9"/>
    <d v="2013-09-19T00:00:00"/>
    <s v="BLU-RAY"/>
    <n v="102036"/>
    <s v="AB103617"/>
    <x v="12"/>
    <n v="226909"/>
  </r>
  <r>
    <n v="10264"/>
    <n v="10"/>
    <d v="2013-09-21T00:00:00"/>
    <s v="DVD"/>
    <n v="102036"/>
    <s v="AB103618"/>
    <x v="2"/>
    <n v="226909"/>
  </r>
  <r>
    <n v="10168"/>
    <n v="10"/>
    <d v="2013-09-20T00:00:00"/>
    <s v="BLU-RAY"/>
    <n v="102037"/>
    <s v="AB103619"/>
    <x v="1"/>
    <n v="373200"/>
  </r>
  <r>
    <n v="10140"/>
    <n v="3"/>
    <d v="2013-09-19T00:00:00"/>
    <s v="DVD"/>
    <n v="102037"/>
    <s v="AB103620"/>
    <x v="2"/>
    <n v="373200"/>
  </r>
  <r>
    <n v="10228"/>
    <n v="7"/>
    <d v="2013-09-20T00:00:00"/>
    <s v="BLU-RAY"/>
    <n v="102037"/>
    <s v="AB103621"/>
    <x v="7"/>
    <n v="373200"/>
  </r>
  <r>
    <n v="10064"/>
    <n v="2"/>
    <d v="2013-09-19T00:00:00"/>
    <s v="BLU-RAY"/>
    <n v="102038"/>
    <s v="AB103622"/>
    <x v="7"/>
    <n v="227372"/>
  </r>
  <r>
    <n v="10014"/>
    <n v="5"/>
    <d v="2013-09-19T00:00:00"/>
    <s v="DVD"/>
    <n v="102038"/>
    <s v="AB103623"/>
    <x v="0"/>
    <n v="227372"/>
  </r>
  <r>
    <n v="10195"/>
    <n v="6"/>
    <d v="2013-09-20T00:00:00"/>
    <s v="DVD"/>
    <n v="102039"/>
    <s v="AB103624"/>
    <x v="4"/>
    <n v="610766"/>
  </r>
  <r>
    <n v="10242"/>
    <n v="4"/>
    <d v="2013-09-19T00:00:00"/>
    <s v="BLU-RAY"/>
    <n v="102039"/>
    <s v="AB103625"/>
    <x v="3"/>
    <n v="610766"/>
  </r>
  <r>
    <n v="10066"/>
    <n v="8"/>
    <d v="2013-09-20T00:00:00"/>
    <s v="BLU-RAY"/>
    <n v="102040"/>
    <s v="AB103626"/>
    <x v="3"/>
    <n v="197102"/>
  </r>
  <r>
    <n v="10044"/>
    <n v="9"/>
    <d v="2013-09-19T00:00:00"/>
    <s v="BLU-RAY"/>
    <n v="102040"/>
    <s v="AB103627"/>
    <x v="3"/>
    <n v="197102"/>
  </r>
  <r>
    <n v="10245"/>
    <n v="7"/>
    <d v="2013-09-20T00:00:00"/>
    <s v="DVD"/>
    <n v="102040"/>
    <s v="AB103628"/>
    <x v="0"/>
    <n v="197102"/>
  </r>
  <r>
    <n v="10257"/>
    <n v="10"/>
    <d v="2013-09-20T00:00:00"/>
    <s v="BLU-RAY"/>
    <n v="102041"/>
    <s v="AB103629"/>
    <x v="9"/>
    <n v="464277"/>
  </r>
  <r>
    <n v="10197"/>
    <n v="10"/>
    <d v="2013-09-20T00:00:00"/>
    <s v="BLU-RAY"/>
    <n v="102041"/>
    <s v="AB103630"/>
    <x v="0"/>
    <n v="464277"/>
  </r>
  <r>
    <n v="10171"/>
    <n v="3"/>
    <d v="2013-09-20T00:00:00"/>
    <s v="BLU-RAY"/>
    <n v="102042"/>
    <s v="AB103631"/>
    <x v="7"/>
    <n v="274541"/>
  </r>
  <r>
    <n v="10285"/>
    <n v="9"/>
    <d v="2013-09-20T00:00:00"/>
    <s v="DVD"/>
    <n v="102042"/>
    <s v="AB103632"/>
    <x v="20"/>
    <n v="274541"/>
  </r>
  <r>
    <n v="10127"/>
    <n v="2"/>
    <d v="2013-09-21T00:00:00"/>
    <s v="DVD"/>
    <n v="102043"/>
    <s v="AB103633"/>
    <x v="6"/>
    <n v="494106"/>
  </r>
  <r>
    <n v="10258"/>
    <n v="6"/>
    <d v="2013-09-20T00:00:00"/>
    <s v="BLU-RAY"/>
    <n v="102044"/>
    <s v="AB103634"/>
    <x v="0"/>
    <n v="846722"/>
  </r>
  <r>
    <n v="10228"/>
    <n v="7"/>
    <d v="2013-09-22T00:00:00"/>
    <s v="DVD"/>
    <n v="102045"/>
    <s v="AB103635"/>
    <x v="7"/>
    <n v="370366"/>
  </r>
  <r>
    <n v="10289"/>
    <n v="8"/>
    <d v="2013-09-20T00:00:00"/>
    <s v="BLU-RAY"/>
    <n v="102046"/>
    <s v="AB103636"/>
    <x v="11"/>
    <n v="370366"/>
  </r>
  <r>
    <n v="10044"/>
    <n v="9"/>
    <d v="2013-09-21T00:00:00"/>
    <s v="BLU-RAY"/>
    <n v="102047"/>
    <s v="AB103637"/>
    <x v="3"/>
    <n v="710047"/>
  </r>
  <r>
    <n v="10289"/>
    <n v="3"/>
    <d v="2013-09-20T00:00:00"/>
    <s v="DVD"/>
    <n v="102048"/>
    <s v="AB103638"/>
    <x v="11"/>
    <n v="593317"/>
  </r>
  <r>
    <n v="10111"/>
    <n v="7"/>
    <d v="2013-09-21T00:00:00"/>
    <s v="DVD"/>
    <n v="102048"/>
    <s v="AB103639"/>
    <x v="9"/>
    <n v="593317"/>
  </r>
  <r>
    <n v="10159"/>
    <n v="8"/>
    <d v="2013-09-20T00:00:00"/>
    <s v="BLU-RAY"/>
    <n v="102049"/>
    <s v="AB103640"/>
    <x v="10"/>
    <n v="846722"/>
  </r>
  <r>
    <n v="10280"/>
    <n v="9"/>
    <d v="2013-09-20T00:00:00"/>
    <s v="DVD"/>
    <n v="102050"/>
    <s v="AB103641"/>
    <x v="7"/>
    <n v="850933"/>
  </r>
  <r>
    <n v="10009"/>
    <n v="5"/>
    <d v="2013-09-20T00:00:00"/>
    <s v="BLU-RAY"/>
    <n v="102050"/>
    <s v="AB103642"/>
    <x v="0"/>
    <n v="850933"/>
  </r>
  <r>
    <n v="10149"/>
    <n v="7"/>
    <d v="2013-09-20T00:00:00"/>
    <s v="DVD"/>
    <n v="102050"/>
    <s v="AB103643"/>
    <x v="12"/>
    <n v="850933"/>
  </r>
  <r>
    <n v="10006"/>
    <n v="2"/>
    <d v="2013-09-21T00:00:00"/>
    <s v="DVD"/>
    <n v="102051"/>
    <s v="AB103644"/>
    <x v="1"/>
    <n v="442254"/>
  </r>
  <r>
    <n v="10182"/>
    <n v="2"/>
    <d v="2013-09-20T00:00:00"/>
    <s v="BLU-RAY"/>
    <n v="102051"/>
    <s v="AB103645"/>
    <x v="0"/>
    <n v="442254"/>
  </r>
  <r>
    <n v="10079"/>
    <n v="3"/>
    <d v="2013-09-20T00:00:00"/>
    <s v="DVD"/>
    <n v="102052"/>
    <s v="AB103646"/>
    <x v="0"/>
    <n v="670707"/>
  </r>
  <r>
    <n v="10023"/>
    <n v="9"/>
    <d v="2013-09-21T00:00:00"/>
    <s v="BLU-RAY"/>
    <n v="102052"/>
    <s v="AB103647"/>
    <x v="3"/>
    <n v="670707"/>
  </r>
  <r>
    <n v="10135"/>
    <n v="8"/>
    <d v="2013-09-21T00:00:00"/>
    <s v="BLU-RAY"/>
    <n v="102053"/>
    <s v="AB103648"/>
    <x v="7"/>
    <n v="412235"/>
  </r>
  <r>
    <n v="10194"/>
    <n v="5"/>
    <d v="2013-09-21T00:00:00"/>
    <s v="DVD"/>
    <n v="102054"/>
    <s v="AB103649"/>
    <x v="16"/>
    <n v="678940"/>
  </r>
  <r>
    <n v="10035"/>
    <n v="8"/>
    <d v="2013-09-20T00:00:00"/>
    <s v="DVD"/>
    <n v="102054"/>
    <s v="AB103650"/>
    <x v="4"/>
    <n v="678940"/>
  </r>
  <r>
    <n v="10106"/>
    <n v="4"/>
    <d v="2013-09-20T00:00:00"/>
    <s v="BLU-RAY"/>
    <n v="102055"/>
    <s v="AB103651"/>
    <x v="9"/>
    <n v="739440"/>
  </r>
  <r>
    <n v="10014"/>
    <n v="1"/>
    <d v="2013-09-21T00:00:00"/>
    <s v="DVD"/>
    <n v="102056"/>
    <s v="AB103652"/>
    <x v="0"/>
    <n v="974503"/>
  </r>
  <r>
    <n v="10032"/>
    <n v="10"/>
    <d v="2013-09-22T00:00:00"/>
    <s v="BLU-RAY"/>
    <n v="102056"/>
    <s v="AB103653"/>
    <x v="4"/>
    <n v="974503"/>
  </r>
  <r>
    <n v="10037"/>
    <n v="9"/>
    <d v="2013-09-21T00:00:00"/>
    <s v="DVD"/>
    <n v="102056"/>
    <s v="AB103654"/>
    <x v="3"/>
    <n v="974503"/>
  </r>
  <r>
    <n v="10124"/>
    <n v="4"/>
    <d v="2013-09-23T00:00:00"/>
    <s v="BLU-RAY"/>
    <n v="102057"/>
    <s v="AB103655"/>
    <x v="1"/>
    <n v="470304"/>
  </r>
  <r>
    <n v="10038"/>
    <n v="8"/>
    <d v="2013-09-21T00:00:00"/>
    <s v="DVD"/>
    <n v="102058"/>
    <s v="AB103656"/>
    <x v="1"/>
    <n v="977759"/>
  </r>
  <r>
    <n v="10133"/>
    <n v="1"/>
    <d v="2013-09-21T00:00:00"/>
    <s v="DVD"/>
    <n v="102059"/>
    <s v="AB103657"/>
    <x v="9"/>
    <n v="412544"/>
  </r>
  <r>
    <n v="10239"/>
    <n v="8"/>
    <d v="2013-09-23T00:00:00"/>
    <s v="BLU-RAY"/>
    <n v="102060"/>
    <s v="AB103658"/>
    <x v="2"/>
    <n v="412544"/>
  </r>
  <r>
    <n v="10291"/>
    <n v="9"/>
    <d v="2013-09-22T00:00:00"/>
    <s v="BLU-RAY"/>
    <n v="102060"/>
    <s v="AB103659"/>
    <x v="0"/>
    <n v="412544"/>
  </r>
  <r>
    <n v="10127"/>
    <n v="6"/>
    <d v="2013-09-21T00:00:00"/>
    <s v="DVD"/>
    <n v="102061"/>
    <s v="AB103660"/>
    <x v="6"/>
    <n v="744648"/>
  </r>
  <r>
    <n v="10066"/>
    <n v="3"/>
    <d v="2013-09-22T00:00:00"/>
    <s v="BLU-RAY"/>
    <n v="102061"/>
    <s v="AB103661"/>
    <x v="3"/>
    <n v="744648"/>
  </r>
  <r>
    <n v="10039"/>
    <n v="9"/>
    <d v="2013-09-21T00:00:00"/>
    <s v="DVD"/>
    <n v="102061"/>
    <s v="AB103662"/>
    <x v="11"/>
    <n v="744648"/>
  </r>
  <r>
    <n v="10193"/>
    <n v="2"/>
    <d v="2013-09-21T00:00:00"/>
    <s v="DVD"/>
    <n v="102062"/>
    <s v="AB103663"/>
    <x v="9"/>
    <n v="748326"/>
  </r>
  <r>
    <n v="10240"/>
    <n v="3"/>
    <d v="2013-09-23T00:00:00"/>
    <s v="DVD"/>
    <n v="102062"/>
    <s v="AB103664"/>
    <x v="0"/>
    <n v="748326"/>
  </r>
  <r>
    <n v="10117"/>
    <n v="4"/>
    <d v="2013-09-22T00:00:00"/>
    <s v="BLU-RAY"/>
    <n v="102063"/>
    <s v="AB103665"/>
    <x v="4"/>
    <n v="403000"/>
  </r>
  <r>
    <n v="10169"/>
    <n v="5"/>
    <d v="2013-09-21T00:00:00"/>
    <s v="BLU-RAY"/>
    <n v="102064"/>
    <s v="AB103666"/>
    <x v="0"/>
    <n v="972329"/>
  </r>
  <r>
    <n v="10209"/>
    <n v="4"/>
    <d v="2013-09-21T00:00:00"/>
    <s v="DVD"/>
    <n v="102065"/>
    <s v="AB103667"/>
    <x v="7"/>
    <n v="549823"/>
  </r>
  <r>
    <n v="10294"/>
    <n v="5"/>
    <d v="2013-09-21T00:00:00"/>
    <s v="BLU-RAY"/>
    <n v="102065"/>
    <s v="AB103668"/>
    <x v="2"/>
    <n v="549823"/>
  </r>
  <r>
    <n v="10142"/>
    <n v="9"/>
    <d v="2013-09-22T00:00:00"/>
    <s v="BLU-RAY"/>
    <n v="102066"/>
    <s v="AB103669"/>
    <x v="0"/>
    <n v="384899"/>
  </r>
  <r>
    <n v="10219"/>
    <n v="10"/>
    <d v="2013-09-21T00:00:00"/>
    <s v="DVD"/>
    <n v="102066"/>
    <s v="AB103670"/>
    <x v="1"/>
    <n v="384899"/>
  </r>
  <r>
    <n v="10254"/>
    <n v="1"/>
    <d v="2013-09-21T00:00:00"/>
    <s v="DVD"/>
    <n v="102067"/>
    <s v="AB103671"/>
    <x v="1"/>
    <n v="442691"/>
  </r>
  <r>
    <n v="10055"/>
    <n v="9"/>
    <d v="2013-09-21T00:00:00"/>
    <s v="DVD"/>
    <n v="102068"/>
    <s v="AB103672"/>
    <x v="15"/>
    <n v="205190"/>
  </r>
  <r>
    <n v="10036"/>
    <n v="2"/>
    <d v="2013-09-21T00:00:00"/>
    <s v="DVD"/>
    <n v="102068"/>
    <s v="AB103673"/>
    <x v="7"/>
    <n v="205190"/>
  </r>
  <r>
    <n v="10060"/>
    <n v="9"/>
    <d v="2013-09-22T00:00:00"/>
    <s v="BLU-RAY"/>
    <n v="102069"/>
    <s v="AB103674"/>
    <x v="0"/>
    <n v="196068"/>
  </r>
  <r>
    <n v="10284"/>
    <n v="1"/>
    <d v="2013-09-21T00:00:00"/>
    <s v="BLU-RAY"/>
    <n v="102070"/>
    <s v="AB103675"/>
    <x v="14"/>
    <n v="728908"/>
  </r>
  <r>
    <n v="10188"/>
    <n v="1"/>
    <d v="2013-09-21T00:00:00"/>
    <s v="BLU-RAY"/>
    <n v="102071"/>
    <s v="AB103676"/>
    <x v="1"/>
    <n v="226209"/>
  </r>
  <r>
    <n v="10276"/>
    <n v="7"/>
    <d v="2013-09-22T00:00:00"/>
    <s v="DVD"/>
    <n v="102072"/>
    <s v="AB103677"/>
    <x v="16"/>
    <n v="296886"/>
  </r>
  <r>
    <n v="10219"/>
    <n v="9"/>
    <d v="2013-09-21T00:00:00"/>
    <s v="DVD"/>
    <n v="102072"/>
    <s v="AB103678"/>
    <x v="1"/>
    <n v="296886"/>
  </r>
  <r>
    <n v="10008"/>
    <n v="4"/>
    <d v="2013-09-22T00:00:00"/>
    <s v="DVD"/>
    <n v="102072"/>
    <s v="AB103679"/>
    <x v="4"/>
    <n v="296886"/>
  </r>
  <r>
    <n v="10108"/>
    <n v="7"/>
    <d v="2013-09-21T00:00:00"/>
    <s v="BLU-RAY"/>
    <n v="102073"/>
    <s v="AB103680"/>
    <x v="9"/>
    <n v="616392"/>
  </r>
  <r>
    <n v="10172"/>
    <n v="8"/>
    <d v="2013-09-21T00:00:00"/>
    <s v="BLU-RAY"/>
    <n v="102074"/>
    <s v="AB103681"/>
    <x v="10"/>
    <n v="191050"/>
  </r>
  <r>
    <n v="10072"/>
    <n v="8"/>
    <d v="2013-09-22T00:00:00"/>
    <s v="DVD"/>
    <n v="102075"/>
    <s v="AB103682"/>
    <x v="1"/>
    <n v="494106"/>
  </r>
  <r>
    <n v="10240"/>
    <n v="7"/>
    <d v="2013-09-21T00:00:00"/>
    <s v="DVD"/>
    <n v="102075"/>
    <s v="AB103683"/>
    <x v="0"/>
    <n v="494106"/>
  </r>
  <r>
    <n v="10261"/>
    <n v="10"/>
    <d v="2013-09-21T00:00:00"/>
    <s v="BLU-RAY"/>
    <n v="102075"/>
    <s v="AB103684"/>
    <x v="9"/>
    <n v="494106"/>
  </r>
  <r>
    <n v="10230"/>
    <n v="9"/>
    <d v="2013-09-25T00:00:00"/>
    <s v="DVD"/>
    <n v="102076"/>
    <s v="AB103685"/>
    <x v="14"/>
    <n v="803700"/>
  </r>
  <r>
    <n v="10013"/>
    <n v="4"/>
    <d v="2013-09-22T00:00:00"/>
    <s v="DVD"/>
    <n v="102076"/>
    <s v="AB103686"/>
    <x v="11"/>
    <n v="803700"/>
  </r>
  <r>
    <n v="10175"/>
    <n v="4"/>
    <d v="2013-09-22T00:00:00"/>
    <s v="DVD"/>
    <n v="102076"/>
    <s v="AB103687"/>
    <x v="3"/>
    <n v="803700"/>
  </r>
  <r>
    <n v="10022"/>
    <n v="4"/>
    <d v="2013-09-22T00:00:00"/>
    <s v="DVD"/>
    <n v="102077"/>
    <s v="AB103688"/>
    <x v="7"/>
    <n v="559190"/>
  </r>
  <r>
    <n v="10091"/>
    <n v="4"/>
    <d v="2013-09-22T00:00:00"/>
    <s v="DVD"/>
    <n v="102078"/>
    <s v="AB103689"/>
    <x v="0"/>
    <n v="912671"/>
  </r>
  <r>
    <n v="10075"/>
    <n v="4"/>
    <d v="2013-09-23T00:00:00"/>
    <s v="DVD"/>
    <n v="102078"/>
    <s v="AB103690"/>
    <x v="17"/>
    <n v="912671"/>
  </r>
  <r>
    <n v="10064"/>
    <n v="5"/>
    <d v="2013-09-22T00:00:00"/>
    <s v="DVD"/>
    <n v="102078"/>
    <s v="AB103691"/>
    <x v="7"/>
    <n v="912671"/>
  </r>
  <r>
    <n v="10028"/>
    <n v="9"/>
    <d v="2013-09-22T00:00:00"/>
    <s v="BLU-RAY"/>
    <n v="102079"/>
    <s v="AB103692"/>
    <x v="5"/>
    <n v="719921"/>
  </r>
  <r>
    <n v="10033"/>
    <n v="3"/>
    <d v="2013-09-22T00:00:00"/>
    <s v="BLU-RAY"/>
    <n v="102080"/>
    <s v="AB103693"/>
    <x v="10"/>
    <n v="567719"/>
  </r>
  <r>
    <n v="10249"/>
    <n v="5"/>
    <d v="2013-09-22T00:00:00"/>
    <s v="DVD"/>
    <n v="102080"/>
    <s v="AB103694"/>
    <x v="5"/>
    <n v="567719"/>
  </r>
  <r>
    <n v="10017"/>
    <n v="4"/>
    <d v="2013-09-22T00:00:00"/>
    <s v="BLU-RAY"/>
    <n v="102081"/>
    <s v="AB103695"/>
    <x v="4"/>
    <n v="296353"/>
  </r>
  <r>
    <n v="10069"/>
    <n v="1"/>
    <d v="2013-09-22T00:00:00"/>
    <s v="BLU-RAY"/>
    <n v="102081"/>
    <s v="AB103696"/>
    <x v="0"/>
    <n v="296353"/>
  </r>
  <r>
    <n v="10042"/>
    <n v="6"/>
    <d v="2013-09-22T00:00:00"/>
    <s v="BLU-RAY"/>
    <n v="102082"/>
    <s v="AB103697"/>
    <x v="1"/>
    <n v="762509"/>
  </r>
  <r>
    <n v="10018"/>
    <n v="4"/>
    <d v="2013-09-23T00:00:00"/>
    <s v="DVD"/>
    <n v="102082"/>
    <s v="AB103698"/>
    <x v="9"/>
    <n v="762509"/>
  </r>
  <r>
    <n v="10206"/>
    <n v="4"/>
    <d v="2013-09-23T00:00:00"/>
    <s v="BLU-RAY"/>
    <n v="102082"/>
    <s v="AB103699"/>
    <x v="9"/>
    <n v="762509"/>
  </r>
  <r>
    <n v="10117"/>
    <n v="2"/>
    <d v="2013-09-22T00:00:00"/>
    <s v="DVD"/>
    <n v="102083"/>
    <s v="AB103700"/>
    <x v="4"/>
    <n v="110363"/>
  </r>
  <r>
    <n v="10246"/>
    <n v="6"/>
    <d v="2013-09-22T00:00:00"/>
    <s v="BLU-RAY"/>
    <n v="102083"/>
    <s v="AB103701"/>
    <x v="2"/>
    <n v="110363"/>
  </r>
  <r>
    <n v="10176"/>
    <n v="3"/>
    <d v="2013-09-22T00:00:00"/>
    <s v="BLU-RAY"/>
    <n v="102084"/>
    <s v="AB103702"/>
    <x v="7"/>
    <n v="403000"/>
  </r>
  <r>
    <n v="10130"/>
    <n v="10"/>
    <d v="2013-09-23T00:00:00"/>
    <s v="DVD"/>
    <n v="102084"/>
    <s v="AB103703"/>
    <x v="21"/>
    <n v="403000"/>
  </r>
  <r>
    <n v="10028"/>
    <n v="9"/>
    <d v="2013-09-22T00:00:00"/>
    <s v="BLU-RAY"/>
    <n v="102085"/>
    <s v="AB103704"/>
    <x v="5"/>
    <n v="741514"/>
  </r>
  <r>
    <n v="10253"/>
    <n v="8"/>
    <d v="2013-09-23T00:00:00"/>
    <s v="DVD"/>
    <n v="102086"/>
    <s v="AB103705"/>
    <x v="3"/>
    <n v="143878"/>
  </r>
  <r>
    <n v="10276"/>
    <n v="9"/>
    <d v="2013-09-22T00:00:00"/>
    <s v="BLU-RAY"/>
    <n v="102086"/>
    <s v="AB103706"/>
    <x v="16"/>
    <n v="143878"/>
  </r>
  <r>
    <n v="10068"/>
    <n v="7"/>
    <d v="2013-09-24T00:00:00"/>
    <s v="DVD"/>
    <n v="102087"/>
    <s v="AB103707"/>
    <x v="0"/>
    <n v="664411"/>
  </r>
  <r>
    <n v="10131"/>
    <n v="9"/>
    <d v="2013-09-22T00:00:00"/>
    <s v="BLU-RAY"/>
    <n v="102088"/>
    <s v="AB103708"/>
    <x v="0"/>
    <n v="145929"/>
  </r>
  <r>
    <n v="10148"/>
    <n v="6"/>
    <d v="2013-09-22T00:00:00"/>
    <s v="DVD"/>
    <n v="102088"/>
    <s v="AB103709"/>
    <x v="1"/>
    <n v="145929"/>
  </r>
  <r>
    <n v="10247"/>
    <n v="1"/>
    <d v="2013-09-22T00:00:00"/>
    <s v="BLU-RAY"/>
    <n v="102089"/>
    <s v="AB103710"/>
    <x v="9"/>
    <n v="395125"/>
  </r>
  <r>
    <n v="10210"/>
    <n v="6"/>
    <d v="2013-09-24T00:00:00"/>
    <s v="DVD"/>
    <n v="102089"/>
    <s v="AB103711"/>
    <x v="4"/>
    <n v="395125"/>
  </r>
  <r>
    <n v="10025"/>
    <n v="5"/>
    <d v="2013-09-22T00:00:00"/>
    <s v="DVD"/>
    <n v="102089"/>
    <s v="AB103712"/>
    <x v="4"/>
    <n v="395125"/>
  </r>
  <r>
    <n v="10149"/>
    <n v="5"/>
    <d v="2013-09-22T00:00:00"/>
    <s v="BLU-RAY"/>
    <n v="102090"/>
    <s v="AB103713"/>
    <x v="12"/>
    <n v="110363"/>
  </r>
  <r>
    <n v="10105"/>
    <n v="2"/>
    <d v="2013-09-23T00:00:00"/>
    <s v="BLU-RAY"/>
    <n v="102090"/>
    <s v="AB103714"/>
    <x v="2"/>
    <n v="110363"/>
  </r>
  <r>
    <n v="10032"/>
    <n v="7"/>
    <d v="2013-09-22T00:00:00"/>
    <s v="BLU-RAY"/>
    <n v="102090"/>
    <s v="AB103715"/>
    <x v="4"/>
    <n v="110363"/>
  </r>
  <r>
    <n v="10268"/>
    <n v="5"/>
    <d v="2013-09-22T00:00:00"/>
    <s v="DVD"/>
    <n v="102090"/>
    <s v="AB103716"/>
    <x v="3"/>
    <n v="110363"/>
  </r>
  <r>
    <n v="10000"/>
    <n v="9"/>
    <d v="2013-09-23T00:00:00"/>
    <s v="BLU-RAY"/>
    <n v="102091"/>
    <s v="AB103717"/>
    <x v="6"/>
    <n v="230602"/>
  </r>
  <r>
    <n v="10210"/>
    <n v="7"/>
    <d v="2013-09-25T00:00:00"/>
    <s v="DVD"/>
    <n v="102092"/>
    <s v="AB103718"/>
    <x v="4"/>
    <n v="679354"/>
  </r>
  <r>
    <n v="10148"/>
    <n v="8"/>
    <d v="2013-09-23T00:00:00"/>
    <s v="DVD"/>
    <n v="102092"/>
    <s v="AB103719"/>
    <x v="1"/>
    <n v="679354"/>
  </r>
  <r>
    <n v="10206"/>
    <n v="1"/>
    <d v="2013-09-23T00:00:00"/>
    <s v="DVD"/>
    <n v="102093"/>
    <s v="AB103720"/>
    <x v="9"/>
    <n v="646700"/>
  </r>
  <r>
    <n v="10256"/>
    <n v="5"/>
    <d v="2013-09-23T00:00:00"/>
    <s v="BLU-RAY"/>
    <n v="102094"/>
    <s v="AB103721"/>
    <x v="9"/>
    <n v="612681"/>
  </r>
  <r>
    <n v="10011"/>
    <n v="10"/>
    <d v="2013-09-24T00:00:00"/>
    <s v="DVD"/>
    <n v="102095"/>
    <s v="AB103722"/>
    <x v="3"/>
    <n v="191050"/>
  </r>
  <r>
    <n v="10042"/>
    <n v="7"/>
    <d v="2013-09-23T00:00:00"/>
    <s v="DVD"/>
    <n v="102096"/>
    <s v="AB103723"/>
    <x v="1"/>
    <n v="283158"/>
  </r>
  <r>
    <n v="10266"/>
    <n v="9"/>
    <d v="2013-09-25T00:00:00"/>
    <s v="DVD"/>
    <n v="102097"/>
    <s v="AB103724"/>
    <x v="4"/>
    <n v="744780"/>
  </r>
  <r>
    <n v="10093"/>
    <n v="2"/>
    <d v="2013-09-23T00:00:00"/>
    <s v="BLU-RAY"/>
    <n v="102097"/>
    <s v="AB103725"/>
    <x v="11"/>
    <n v="744780"/>
  </r>
  <r>
    <n v="10220"/>
    <n v="7"/>
    <d v="2013-09-23T00:00:00"/>
    <s v="BLU-RAY"/>
    <n v="102098"/>
    <s v="AB103726"/>
    <x v="9"/>
    <n v="191050"/>
  </r>
  <r>
    <n v="10025"/>
    <n v="10"/>
    <d v="2013-09-23T00:00:00"/>
    <s v="DVD"/>
    <n v="102098"/>
    <s v="AB103727"/>
    <x v="4"/>
    <n v="191050"/>
  </r>
  <r>
    <n v="10198"/>
    <n v="9"/>
    <d v="2013-09-24T00:00:00"/>
    <s v="DVD"/>
    <n v="102099"/>
    <s v="AB103728"/>
    <x v="9"/>
    <n v="327750"/>
  </r>
  <r>
    <n v="10256"/>
    <n v="1"/>
    <d v="2013-09-23T00:00:00"/>
    <s v="BLU-RAY"/>
    <n v="102100"/>
    <s v="AB103729"/>
    <x v="9"/>
    <n v="270853"/>
  </r>
  <r>
    <n v="10051"/>
    <n v="9"/>
    <d v="2013-09-23T00:00:00"/>
    <s v="BLU-RAY"/>
    <n v="102101"/>
    <s v="AB103730"/>
    <x v="1"/>
    <n v="549823"/>
  </r>
  <r>
    <n v="10212"/>
    <n v="10"/>
    <d v="2013-09-23T00:00:00"/>
    <s v="BLU-RAY"/>
    <n v="102101"/>
    <s v="AB103731"/>
    <x v="10"/>
    <n v="549823"/>
  </r>
  <r>
    <n v="10151"/>
    <n v="9"/>
    <d v="2013-09-23T00:00:00"/>
    <s v="DVD"/>
    <n v="102102"/>
    <s v="AB103732"/>
    <x v="8"/>
    <n v="547890"/>
  </r>
  <r>
    <n v="10193"/>
    <n v="9"/>
    <d v="2013-09-24T00:00:00"/>
    <s v="BLU-RAY"/>
    <n v="102102"/>
    <s v="AB103733"/>
    <x v="9"/>
    <n v="547890"/>
  </r>
  <r>
    <n v="10296"/>
    <n v="5"/>
    <d v="2013-09-23T00:00:00"/>
    <s v="DVD"/>
    <n v="102103"/>
    <s v="AB103734"/>
    <x v="21"/>
    <n v="373200"/>
  </r>
  <r>
    <n v="10125"/>
    <n v="8"/>
    <d v="2013-09-23T00:00:00"/>
    <s v="BLU-RAY"/>
    <n v="102104"/>
    <s v="AB103735"/>
    <x v="9"/>
    <n v="454143"/>
  </r>
  <r>
    <n v="10297"/>
    <n v="10"/>
    <d v="2013-09-23T00:00:00"/>
    <s v="DVD"/>
    <n v="102104"/>
    <s v="AB103736"/>
    <x v="14"/>
    <n v="454143"/>
  </r>
  <r>
    <n v="10176"/>
    <n v="5"/>
    <d v="2013-09-25T00:00:00"/>
    <s v="BLU-RAY"/>
    <n v="102105"/>
    <s v="AB103737"/>
    <x v="7"/>
    <n v="999915"/>
  </r>
  <r>
    <n v="10228"/>
    <n v="2"/>
    <d v="2013-09-26T00:00:00"/>
    <s v="DVD"/>
    <n v="102105"/>
    <s v="AB103738"/>
    <x v="7"/>
    <n v="999915"/>
  </r>
  <r>
    <n v="10184"/>
    <n v="3"/>
    <d v="2013-09-24T00:00:00"/>
    <s v="BLU-RAY"/>
    <n v="102106"/>
    <s v="AB103739"/>
    <x v="7"/>
    <n v="781523"/>
  </r>
  <r>
    <n v="10232"/>
    <n v="6"/>
    <d v="2013-09-24T00:00:00"/>
    <s v="DVD"/>
    <n v="102107"/>
    <s v="AB103740"/>
    <x v="1"/>
    <n v="429748"/>
  </r>
  <r>
    <n v="10125"/>
    <n v="9"/>
    <d v="2013-09-24T00:00:00"/>
    <s v="BLU-RAY"/>
    <n v="102108"/>
    <s v="AB103741"/>
    <x v="9"/>
    <n v="766161"/>
  </r>
  <r>
    <n v="10037"/>
    <n v="10"/>
    <d v="2013-09-25T00:00:00"/>
    <s v="DVD"/>
    <n v="102108"/>
    <s v="AB103742"/>
    <x v="3"/>
    <n v="766161"/>
  </r>
  <r>
    <n v="10210"/>
    <n v="6"/>
    <d v="2013-09-26T00:00:00"/>
    <s v="DVD"/>
    <n v="102109"/>
    <s v="AB103743"/>
    <x v="4"/>
    <n v="964619"/>
  </r>
  <r>
    <n v="10147"/>
    <n v="10"/>
    <d v="2013-09-25T00:00:00"/>
    <s v="BLU-RAY"/>
    <n v="102110"/>
    <s v="AB103744"/>
    <x v="10"/>
    <n v="924361"/>
  </r>
  <r>
    <n v="10021"/>
    <n v="10"/>
    <d v="2013-09-24T00:00:00"/>
    <s v="DVD"/>
    <n v="102111"/>
    <s v="AB103745"/>
    <x v="1"/>
    <n v="373200"/>
  </r>
  <r>
    <n v="10065"/>
    <n v="5"/>
    <d v="2013-09-26T00:00:00"/>
    <s v="DVD"/>
    <n v="102111"/>
    <s v="AB103746"/>
    <x v="0"/>
    <n v="373200"/>
  </r>
  <r>
    <n v="10184"/>
    <n v="10"/>
    <d v="2013-09-24T00:00:00"/>
    <s v="BLU-RAY"/>
    <n v="102111"/>
    <s v="AB103747"/>
    <x v="7"/>
    <n v="373200"/>
  </r>
  <r>
    <n v="10257"/>
    <n v="10"/>
    <d v="2013-09-25T00:00:00"/>
    <s v="DVD"/>
    <n v="102112"/>
    <s v="AB103748"/>
    <x v="9"/>
    <n v="275152"/>
  </r>
  <r>
    <n v="10177"/>
    <n v="7"/>
    <d v="2013-09-25T00:00:00"/>
    <s v="BLU-RAY"/>
    <n v="102112"/>
    <s v="AB103749"/>
    <x v="9"/>
    <n v="275152"/>
  </r>
  <r>
    <n v="10253"/>
    <n v="1"/>
    <d v="2013-09-25T00:00:00"/>
    <s v="BLU-RAY"/>
    <n v="102113"/>
    <s v="AB103750"/>
    <x v="3"/>
    <n v="441628"/>
  </r>
  <r>
    <n v="10280"/>
    <n v="9"/>
    <d v="2013-09-24T00:00:00"/>
    <s v="DVD"/>
    <n v="102114"/>
    <s v="AB103751"/>
    <x v="7"/>
    <n v="393120"/>
  </r>
  <r>
    <n v="10217"/>
    <n v="4"/>
    <d v="2013-09-24T00:00:00"/>
    <s v="DVD"/>
    <n v="102114"/>
    <s v="AB103752"/>
    <x v="0"/>
    <n v="393120"/>
  </r>
  <r>
    <n v="10272"/>
    <n v="10"/>
    <d v="2013-09-24T00:00:00"/>
    <s v="BLU-RAY"/>
    <n v="102114"/>
    <s v="AB103753"/>
    <x v="4"/>
    <n v="393120"/>
  </r>
  <r>
    <n v="10031"/>
    <n v="3"/>
    <d v="2013-09-24T00:00:00"/>
    <s v="DVD"/>
    <n v="102115"/>
    <s v="AB103754"/>
    <x v="0"/>
    <n v="554099"/>
  </r>
  <r>
    <n v="10036"/>
    <n v="2"/>
    <d v="2013-09-25T00:00:00"/>
    <s v="BLU-RAY"/>
    <n v="102116"/>
    <s v="AB103755"/>
    <x v="7"/>
    <n v="425051"/>
  </r>
  <r>
    <n v="10057"/>
    <n v="5"/>
    <d v="2013-09-24T00:00:00"/>
    <s v="DVD"/>
    <n v="102117"/>
    <s v="AB103756"/>
    <x v="0"/>
    <n v="646953"/>
  </r>
  <r>
    <n v="10031"/>
    <n v="4"/>
    <d v="2013-09-25T00:00:00"/>
    <s v="DVD"/>
    <n v="102118"/>
    <s v="AB103757"/>
    <x v="0"/>
    <n v="852319"/>
  </r>
  <r>
    <n v="10165"/>
    <n v="5"/>
    <d v="2013-09-24T00:00:00"/>
    <s v="BLU-RAY"/>
    <n v="102118"/>
    <s v="AB103758"/>
    <x v="2"/>
    <n v="852319"/>
  </r>
  <r>
    <n v="10199"/>
    <n v="10"/>
    <d v="2013-09-24T00:00:00"/>
    <s v="DVD"/>
    <n v="102119"/>
    <s v="AB103759"/>
    <x v="10"/>
    <n v="694281"/>
  </r>
  <r>
    <n v="10013"/>
    <n v="1"/>
    <d v="2013-09-25T00:00:00"/>
    <s v="DVD"/>
    <n v="102119"/>
    <s v="AB103760"/>
    <x v="11"/>
    <n v="694281"/>
  </r>
  <r>
    <n v="10111"/>
    <n v="5"/>
    <d v="2013-09-25T00:00:00"/>
    <s v="BLU-RAY"/>
    <n v="102120"/>
    <s v="AB103761"/>
    <x v="9"/>
    <n v="262638"/>
  </r>
  <r>
    <n v="10078"/>
    <n v="8"/>
    <d v="2013-09-24T00:00:00"/>
    <s v="DVD"/>
    <n v="102120"/>
    <s v="AB103762"/>
    <x v="1"/>
    <n v="262638"/>
  </r>
  <r>
    <n v="10040"/>
    <n v="7"/>
    <d v="2013-09-24T00:00:00"/>
    <s v="DVD"/>
    <n v="102121"/>
    <s v="AB103763"/>
    <x v="7"/>
    <n v="437454"/>
  </r>
  <r>
    <n v="10232"/>
    <n v="1"/>
    <d v="2013-09-24T00:00:00"/>
    <s v="BLU-RAY"/>
    <n v="102122"/>
    <s v="AB103764"/>
    <x v="1"/>
    <n v="173125"/>
  </r>
  <r>
    <n v="10001"/>
    <n v="1"/>
    <d v="2013-09-26T00:00:00"/>
    <s v="DVD"/>
    <n v="102123"/>
    <s v="AB103765"/>
    <x v="14"/>
    <n v="954812"/>
  </r>
  <r>
    <n v="10113"/>
    <n v="2"/>
    <d v="2013-09-25T00:00:00"/>
    <s v="DVD"/>
    <n v="102124"/>
    <s v="AB103766"/>
    <x v="10"/>
    <n v="550661"/>
  </r>
  <r>
    <n v="10211"/>
    <n v="8"/>
    <d v="2013-09-25T00:00:00"/>
    <s v="DVD"/>
    <n v="102124"/>
    <s v="AB103767"/>
    <x v="3"/>
    <n v="550661"/>
  </r>
  <r>
    <n v="10115"/>
    <n v="3"/>
    <d v="2013-09-26T00:00:00"/>
    <s v="DVD"/>
    <n v="102124"/>
    <s v="AB103768"/>
    <x v="11"/>
    <n v="550661"/>
  </r>
  <r>
    <n v="10161"/>
    <n v="6"/>
    <d v="2013-09-25T00:00:00"/>
    <s v="DVD"/>
    <n v="102125"/>
    <s v="AB103769"/>
    <x v="6"/>
    <n v="205878"/>
  </r>
  <r>
    <n v="10078"/>
    <n v="1"/>
    <d v="2013-09-26T00:00:00"/>
    <s v="BLU-RAY"/>
    <n v="102125"/>
    <s v="AB103770"/>
    <x v="1"/>
    <n v="205878"/>
  </r>
  <r>
    <n v="10298"/>
    <n v="8"/>
    <d v="2013-09-25T00:00:00"/>
    <s v="BLU-RAY"/>
    <n v="102125"/>
    <s v="AB103771"/>
    <x v="19"/>
    <n v="205878"/>
  </r>
  <r>
    <n v="10112"/>
    <n v="5"/>
    <d v="2013-09-25T00:00:00"/>
    <s v="BLU-RAY"/>
    <n v="102125"/>
    <s v="AB103772"/>
    <x v="12"/>
    <n v="205878"/>
  </r>
  <r>
    <n v="10159"/>
    <n v="6"/>
    <d v="2013-09-25T00:00:00"/>
    <s v="BLU-RAY"/>
    <n v="102126"/>
    <s v="AB103773"/>
    <x v="10"/>
    <n v="385115"/>
  </r>
  <r>
    <n v="10137"/>
    <n v="2"/>
    <d v="2013-09-25T00:00:00"/>
    <s v="BLU-RAY"/>
    <n v="102126"/>
    <s v="AB103774"/>
    <x v="3"/>
    <n v="385115"/>
  </r>
  <r>
    <n v="10185"/>
    <n v="10"/>
    <d v="2013-09-26T00:00:00"/>
    <s v="BLU-RAY"/>
    <n v="102127"/>
    <s v="AB103775"/>
    <x v="0"/>
    <n v="918682"/>
  </r>
  <r>
    <n v="10087"/>
    <n v="1"/>
    <d v="2013-09-25T00:00:00"/>
    <s v="BLU-RAY"/>
    <n v="102128"/>
    <s v="AB103776"/>
    <x v="10"/>
    <n v="384899"/>
  </r>
  <r>
    <n v="10123"/>
    <n v="5"/>
    <d v="2013-09-25T00:00:00"/>
    <s v="DVD"/>
    <n v="102128"/>
    <s v="AB103777"/>
    <x v="9"/>
    <n v="384899"/>
  </r>
  <r>
    <n v="10251"/>
    <n v="10"/>
    <d v="2013-09-26T00:00:00"/>
    <s v="DVD"/>
    <n v="102129"/>
    <s v="AB103778"/>
    <x v="7"/>
    <n v="944523"/>
  </r>
  <r>
    <n v="10017"/>
    <n v="10"/>
    <d v="2013-09-26T00:00:00"/>
    <s v="BLU-RAY"/>
    <n v="102129"/>
    <s v="AB103779"/>
    <x v="4"/>
    <n v="944523"/>
  </r>
  <r>
    <n v="10270"/>
    <n v="3"/>
    <d v="2013-09-25T00:00:00"/>
    <s v="DVD"/>
    <n v="102129"/>
    <s v="AB103780"/>
    <x v="9"/>
    <n v="944523"/>
  </r>
  <r>
    <n v="10285"/>
    <n v="7"/>
    <d v="2013-09-25T00:00:00"/>
    <s v="DVD"/>
    <n v="102130"/>
    <s v="AB103781"/>
    <x v="20"/>
    <n v="147216"/>
  </r>
  <r>
    <n v="10139"/>
    <n v="1"/>
    <d v="2013-09-25T00:00:00"/>
    <s v="DVD"/>
    <n v="102131"/>
    <s v="AB103782"/>
    <x v="14"/>
    <n v="659695"/>
  </r>
  <r>
    <n v="10273"/>
    <n v="8"/>
    <d v="2013-09-25T00:00:00"/>
    <s v="DVD"/>
    <n v="102132"/>
    <s v="AB103783"/>
    <x v="4"/>
    <n v="550824"/>
  </r>
  <r>
    <n v="10229"/>
    <n v="4"/>
    <d v="2013-09-26T00:00:00"/>
    <s v="DVD"/>
    <n v="102133"/>
    <s v="AB103784"/>
    <x v="6"/>
    <n v="205878"/>
  </r>
  <r>
    <n v="10259"/>
    <n v="1"/>
    <d v="2013-09-25T00:00:00"/>
    <s v="DVD"/>
    <n v="102133"/>
    <s v="AB103785"/>
    <x v="0"/>
    <n v="205878"/>
  </r>
  <r>
    <n v="10069"/>
    <n v="7"/>
    <d v="2013-09-27T00:00:00"/>
    <s v="BLU-RAY"/>
    <n v="102134"/>
    <s v="AB103786"/>
    <x v="0"/>
    <n v="755271"/>
  </r>
  <r>
    <n v="10297"/>
    <n v="10"/>
    <d v="2013-09-25T00:00:00"/>
    <s v="DVD"/>
    <n v="102134"/>
    <s v="AB103787"/>
    <x v="14"/>
    <n v="755271"/>
  </r>
  <r>
    <n v="10104"/>
    <n v="9"/>
    <d v="2013-09-25T00:00:00"/>
    <s v="BLU-RAY"/>
    <n v="102135"/>
    <s v="AB103788"/>
    <x v="7"/>
    <n v="373200"/>
  </r>
  <r>
    <n v="10142"/>
    <n v="10"/>
    <d v="2013-09-25T00:00:00"/>
    <s v="BLU-RAY"/>
    <n v="102135"/>
    <s v="AB103789"/>
    <x v="0"/>
    <n v="373200"/>
  </r>
  <r>
    <n v="10131"/>
    <n v="7"/>
    <d v="2013-09-25T00:00:00"/>
    <s v="DVD"/>
    <n v="102135"/>
    <s v="AB103790"/>
    <x v="0"/>
    <n v="373200"/>
  </r>
  <r>
    <n v="10199"/>
    <n v="8"/>
    <d v="2013-09-25T00:00:00"/>
    <s v="BLU-RAY"/>
    <n v="102135"/>
    <s v="AB103791"/>
    <x v="10"/>
    <n v="373200"/>
  </r>
  <r>
    <n v="10220"/>
    <n v="8"/>
    <d v="2013-09-25T00:00:00"/>
    <s v="DVD"/>
    <n v="102136"/>
    <s v="AB103792"/>
    <x v="9"/>
    <n v="143878"/>
  </r>
  <r>
    <n v="10166"/>
    <n v="7"/>
    <d v="2013-09-25T00:00:00"/>
    <s v="BLU-RAY"/>
    <n v="102137"/>
    <s v="AB103793"/>
    <x v="9"/>
    <n v="236554"/>
  </r>
  <r>
    <n v="10276"/>
    <n v="10"/>
    <d v="2013-09-26T00:00:00"/>
    <s v="BLU-RAY"/>
    <n v="102137"/>
    <s v="AB103794"/>
    <x v="16"/>
    <n v="236554"/>
  </r>
  <r>
    <n v="10146"/>
    <n v="5"/>
    <d v="2013-09-25T00:00:00"/>
    <s v="BLU-RAY"/>
    <n v="102137"/>
    <s v="AB103795"/>
    <x v="4"/>
    <n v="236554"/>
  </r>
  <r>
    <n v="10247"/>
    <n v="4"/>
    <d v="2013-09-26T00:00:00"/>
    <s v="DVD"/>
    <n v="102138"/>
    <s v="AB103796"/>
    <x v="9"/>
    <n v="186353"/>
  </r>
  <r>
    <n v="10065"/>
    <n v="5"/>
    <d v="2013-09-26T00:00:00"/>
    <s v="DVD"/>
    <n v="102138"/>
    <s v="AB103797"/>
    <x v="0"/>
    <n v="186353"/>
  </r>
  <r>
    <n v="10292"/>
    <n v="1"/>
    <d v="2013-09-27T00:00:00"/>
    <s v="DVD"/>
    <n v="102139"/>
    <s v="AB103798"/>
    <x v="15"/>
    <n v="262579"/>
  </r>
  <r>
    <n v="10004"/>
    <n v="1"/>
    <d v="2013-09-26T00:00:00"/>
    <s v="DVD"/>
    <n v="102139"/>
    <s v="AB103799"/>
    <x v="1"/>
    <n v="262579"/>
  </r>
  <r>
    <n v="10031"/>
    <n v="9"/>
    <d v="2013-09-27T00:00:00"/>
    <s v="DVD"/>
    <n v="102139"/>
    <s v="AB103800"/>
    <x v="0"/>
    <n v="262579"/>
  </r>
  <r>
    <n v="10057"/>
    <n v="5"/>
    <d v="2013-09-27T00:00:00"/>
    <s v="BLU-RAY"/>
    <n v="102140"/>
    <s v="AB103801"/>
    <x v="0"/>
    <n v="304344"/>
  </r>
  <r>
    <n v="10107"/>
    <n v="5"/>
    <d v="2013-09-26T00:00:00"/>
    <s v="DVD"/>
    <n v="102141"/>
    <s v="AB103802"/>
    <x v="7"/>
    <n v="478274"/>
  </r>
  <r>
    <n v="10216"/>
    <n v="6"/>
    <d v="2013-09-26T00:00:00"/>
    <s v="DVD"/>
    <n v="102141"/>
    <s v="AB103803"/>
    <x v="4"/>
    <n v="478274"/>
  </r>
  <r>
    <n v="10155"/>
    <n v="1"/>
    <d v="2013-09-26T00:00:00"/>
    <s v="DVD"/>
    <n v="102142"/>
    <s v="AB103804"/>
    <x v="9"/>
    <n v="323830"/>
  </r>
  <r>
    <n v="10142"/>
    <n v="10"/>
    <d v="2013-09-26T00:00:00"/>
    <s v="BLU-RAY"/>
    <n v="102143"/>
    <s v="AB103805"/>
    <x v="0"/>
    <n v="147216"/>
  </r>
  <r>
    <n v="10261"/>
    <n v="5"/>
    <d v="2013-09-26T00:00:00"/>
    <s v="BLU-RAY"/>
    <n v="102144"/>
    <s v="AB103806"/>
    <x v="9"/>
    <n v="373200"/>
  </r>
  <r>
    <n v="10117"/>
    <n v="1"/>
    <d v="2013-09-26T00:00:00"/>
    <s v="DVD"/>
    <n v="102144"/>
    <s v="AB103807"/>
    <x v="4"/>
    <n v="373200"/>
  </r>
  <r>
    <n v="10060"/>
    <n v="2"/>
    <d v="2013-09-26T00:00:00"/>
    <s v="DVD"/>
    <n v="102145"/>
    <s v="AB103808"/>
    <x v="0"/>
    <n v="852319"/>
  </r>
  <r>
    <n v="10161"/>
    <n v="7"/>
    <d v="2013-09-27T00:00:00"/>
    <s v="DVD"/>
    <n v="102145"/>
    <s v="AB103809"/>
    <x v="6"/>
    <n v="852319"/>
  </r>
  <r>
    <n v="10261"/>
    <n v="6"/>
    <d v="2013-09-27T00:00:00"/>
    <s v="BLU-RAY"/>
    <n v="102146"/>
    <s v="AB103810"/>
    <x v="9"/>
    <n v="548800"/>
  </r>
  <r>
    <n v="10252"/>
    <n v="5"/>
    <d v="2013-09-26T00:00:00"/>
    <s v="DVD"/>
    <n v="102146"/>
    <s v="AB103811"/>
    <x v="0"/>
    <n v="548800"/>
  </r>
  <r>
    <n v="10199"/>
    <n v="1"/>
    <d v="2013-09-26T00:00:00"/>
    <s v="DVD"/>
    <n v="102147"/>
    <s v="AB103812"/>
    <x v="10"/>
    <n v="714947"/>
  </r>
  <r>
    <n v="10286"/>
    <n v="3"/>
    <d v="2013-09-26T00:00:00"/>
    <s v="DVD"/>
    <n v="102147"/>
    <s v="AB103813"/>
    <x v="17"/>
    <n v="714947"/>
  </r>
  <r>
    <n v="10254"/>
    <n v="9"/>
    <d v="2013-09-26T00:00:00"/>
    <s v="DVD"/>
    <n v="102148"/>
    <s v="AB103814"/>
    <x v="1"/>
    <n v="659695"/>
  </r>
  <r>
    <n v="10238"/>
    <n v="3"/>
    <d v="2013-09-26T00:00:00"/>
    <s v="DVD"/>
    <n v="102149"/>
    <s v="AB103815"/>
    <x v="0"/>
    <n v="475216"/>
  </r>
  <r>
    <n v="10123"/>
    <n v="8"/>
    <d v="2013-09-26T00:00:00"/>
    <s v="BLU-RAY"/>
    <n v="102150"/>
    <s v="AB103816"/>
    <x v="9"/>
    <n v="723057"/>
  </r>
  <r>
    <n v="10159"/>
    <n v="5"/>
    <d v="2013-09-26T00:00:00"/>
    <s v="DVD"/>
    <n v="102151"/>
    <s v="AB103817"/>
    <x v="10"/>
    <n v="458448"/>
  </r>
  <r>
    <n v="10203"/>
    <n v="1"/>
    <d v="2013-09-26T00:00:00"/>
    <s v="DVD"/>
    <n v="102151"/>
    <s v="AB103818"/>
    <x v="3"/>
    <n v="458448"/>
  </r>
  <r>
    <n v="10105"/>
    <n v="5"/>
    <d v="2013-09-26T00:00:00"/>
    <s v="BLU-RAY"/>
    <n v="102152"/>
    <s v="AB103819"/>
    <x v="2"/>
    <n v="205878"/>
  </r>
  <r>
    <n v="10178"/>
    <n v="5"/>
    <d v="2013-09-26T00:00:00"/>
    <s v="DVD"/>
    <n v="102152"/>
    <s v="AB103820"/>
    <x v="0"/>
    <n v="205878"/>
  </r>
  <r>
    <n v="10008"/>
    <n v="2"/>
    <d v="2013-09-26T00:00:00"/>
    <s v="DVD"/>
    <n v="102152"/>
    <s v="AB103821"/>
    <x v="4"/>
    <n v="205878"/>
  </r>
  <r>
    <n v="10078"/>
    <n v="1"/>
    <d v="2013-09-27T00:00:00"/>
    <s v="DVD"/>
    <n v="102153"/>
    <s v="AB103822"/>
    <x v="1"/>
    <n v="327750"/>
  </r>
  <r>
    <n v="10008"/>
    <n v="4"/>
    <d v="2013-09-26T00:00:00"/>
    <s v="DVD"/>
    <n v="102154"/>
    <s v="AB103823"/>
    <x v="4"/>
    <n v="607810"/>
  </r>
  <r>
    <n v="10065"/>
    <n v="10"/>
    <d v="2013-09-28T00:00:00"/>
    <s v="BLU-RAY"/>
    <n v="102155"/>
    <s v="AB103824"/>
    <x v="0"/>
    <n v="840096"/>
  </r>
  <r>
    <n v="10223"/>
    <n v="4"/>
    <d v="2013-09-27T00:00:00"/>
    <s v="BLU-RAY"/>
    <n v="102156"/>
    <s v="AB103825"/>
    <x v="7"/>
    <n v="298508"/>
  </r>
  <r>
    <n v="10093"/>
    <n v="2"/>
    <d v="2013-09-28T00:00:00"/>
    <s v="BLU-RAY"/>
    <n v="102156"/>
    <s v="AB103826"/>
    <x v="11"/>
    <n v="298508"/>
  </r>
  <r>
    <n v="10127"/>
    <n v="1"/>
    <d v="2013-09-27T00:00:00"/>
    <s v="BLU-RAY"/>
    <n v="102157"/>
    <s v="AB103827"/>
    <x v="6"/>
    <n v="161175"/>
  </r>
  <r>
    <n v="10201"/>
    <n v="3"/>
    <d v="2013-09-27T00:00:00"/>
    <s v="BLU-RAY"/>
    <n v="102158"/>
    <s v="AB103828"/>
    <x v="8"/>
    <n v="927518"/>
  </r>
  <r>
    <n v="10095"/>
    <n v="4"/>
    <d v="2013-09-28T00:00:00"/>
    <s v="BLU-RAY"/>
    <n v="102158"/>
    <s v="AB103829"/>
    <x v="2"/>
    <n v="927518"/>
  </r>
  <r>
    <n v="10017"/>
    <n v="1"/>
    <d v="2013-09-28T00:00:00"/>
    <s v="DVD"/>
    <n v="102158"/>
    <s v="AB103830"/>
    <x v="4"/>
    <n v="927518"/>
  </r>
  <r>
    <n v="10186"/>
    <n v="10"/>
    <d v="2013-09-27T00:00:00"/>
    <s v="BLU-RAY"/>
    <n v="102158"/>
    <s v="AB103831"/>
    <x v="10"/>
    <n v="927518"/>
  </r>
  <r>
    <n v="10180"/>
    <n v="1"/>
    <d v="2013-09-27T00:00:00"/>
    <s v="BLU-RAY"/>
    <n v="102159"/>
    <s v="AB103832"/>
    <x v="12"/>
    <n v="814317"/>
  </r>
  <r>
    <n v="10023"/>
    <n v="5"/>
    <d v="2013-09-28T00:00:00"/>
    <s v="BLU-RAY"/>
    <n v="102159"/>
    <s v="AB103833"/>
    <x v="3"/>
    <n v="814317"/>
  </r>
  <r>
    <n v="10149"/>
    <n v="7"/>
    <d v="2013-09-27T00:00:00"/>
    <s v="BLU-RAY"/>
    <n v="102160"/>
    <s v="AB103834"/>
    <x v="12"/>
    <n v="915766"/>
  </r>
  <r>
    <n v="10132"/>
    <n v="7"/>
    <d v="2013-09-28T00:00:00"/>
    <s v="DVD"/>
    <n v="102160"/>
    <s v="AB103835"/>
    <x v="10"/>
    <n v="915766"/>
  </r>
  <r>
    <n v="10147"/>
    <n v="6"/>
    <d v="2013-09-29T00:00:00"/>
    <s v="DVD"/>
    <n v="102161"/>
    <s v="AB103836"/>
    <x v="10"/>
    <n v="393893"/>
  </r>
  <r>
    <n v="10042"/>
    <n v="10"/>
    <d v="2013-09-27T00:00:00"/>
    <s v="BLU-RAY"/>
    <n v="102161"/>
    <s v="AB103837"/>
    <x v="1"/>
    <n v="393893"/>
  </r>
  <r>
    <n v="10078"/>
    <n v="6"/>
    <d v="2013-09-27T00:00:00"/>
    <s v="DVD"/>
    <n v="102162"/>
    <s v="AB103838"/>
    <x v="1"/>
    <n v="226909"/>
  </r>
  <r>
    <n v="10112"/>
    <n v="1"/>
    <d v="2013-09-27T00:00:00"/>
    <s v="BLU-RAY"/>
    <n v="102162"/>
    <s v="AB103839"/>
    <x v="12"/>
    <n v="226909"/>
  </r>
  <r>
    <n v="10211"/>
    <n v="8"/>
    <d v="2013-09-27T00:00:00"/>
    <s v="DVD"/>
    <n v="102162"/>
    <s v="AB103840"/>
    <x v="3"/>
    <n v="226909"/>
  </r>
  <r>
    <n v="10078"/>
    <n v="5"/>
    <d v="2013-09-28T00:00:00"/>
    <s v="DVD"/>
    <n v="102162"/>
    <s v="AB103841"/>
    <x v="1"/>
    <n v="226909"/>
  </r>
  <r>
    <n v="10065"/>
    <n v="2"/>
    <d v="2013-09-29T00:00:00"/>
    <s v="DVD"/>
    <n v="102163"/>
    <s v="AB103842"/>
    <x v="0"/>
    <n v="524667"/>
  </r>
  <r>
    <n v="10269"/>
    <n v="5"/>
    <d v="2013-09-27T00:00:00"/>
    <s v="DVD"/>
    <n v="102164"/>
    <s v="AB103843"/>
    <x v="3"/>
    <n v="803700"/>
  </r>
  <r>
    <n v="10296"/>
    <n v="10"/>
    <d v="2013-09-27T00:00:00"/>
    <s v="BLU-RAY"/>
    <n v="102165"/>
    <s v="AB103844"/>
    <x v="21"/>
    <n v="292402"/>
  </r>
  <r>
    <n v="10074"/>
    <n v="10"/>
    <d v="2013-09-27T00:00:00"/>
    <s v="DVD"/>
    <n v="102165"/>
    <s v="AB103845"/>
    <x v="11"/>
    <n v="292402"/>
  </r>
  <r>
    <n v="10298"/>
    <n v="8"/>
    <d v="2013-09-27T00:00:00"/>
    <s v="DVD"/>
    <n v="102166"/>
    <s v="AB103846"/>
    <x v="19"/>
    <n v="744416"/>
  </r>
  <r>
    <n v="10240"/>
    <n v="10"/>
    <d v="2013-09-27T00:00:00"/>
    <s v="DVD"/>
    <n v="102166"/>
    <s v="AB103847"/>
    <x v="0"/>
    <n v="744416"/>
  </r>
  <r>
    <n v="10081"/>
    <n v="1"/>
    <d v="2013-09-27T00:00:00"/>
    <s v="DVD"/>
    <n v="102167"/>
    <s v="AB103848"/>
    <x v="2"/>
    <n v="344702"/>
  </r>
  <r>
    <n v="10101"/>
    <n v="6"/>
    <d v="2013-09-27T00:00:00"/>
    <s v="BLU-RAY"/>
    <n v="102168"/>
    <s v="AB103849"/>
    <x v="4"/>
    <n v="330570"/>
  </r>
  <r>
    <n v="10269"/>
    <n v="4"/>
    <d v="2013-09-27T00:00:00"/>
    <s v="DVD"/>
    <n v="102169"/>
    <s v="AB103850"/>
    <x v="3"/>
    <n v="926144"/>
  </r>
  <r>
    <n v="10032"/>
    <n v="4"/>
    <d v="2013-09-27T00:00:00"/>
    <s v="DVD"/>
    <n v="102169"/>
    <s v="AB103851"/>
    <x v="4"/>
    <n v="926144"/>
  </r>
  <r>
    <n v="10167"/>
    <n v="8"/>
    <d v="2013-09-27T00:00:00"/>
    <s v="BLU-RAY"/>
    <n v="102169"/>
    <s v="AB103852"/>
    <x v="7"/>
    <n v="926144"/>
  </r>
  <r>
    <n v="10134"/>
    <n v="4"/>
    <d v="2013-09-27T00:00:00"/>
    <s v="BLU-RAY"/>
    <n v="102170"/>
    <s v="AB103853"/>
    <x v="7"/>
    <n v="327750"/>
  </r>
  <r>
    <n v="10222"/>
    <n v="4"/>
    <d v="2013-09-29T00:00:00"/>
    <s v="DVD"/>
    <n v="102170"/>
    <s v="AB103854"/>
    <x v="4"/>
    <n v="327750"/>
  </r>
  <r>
    <n v="10227"/>
    <n v="4"/>
    <d v="2013-09-27T00:00:00"/>
    <s v="DVD"/>
    <n v="102170"/>
    <s v="AB103855"/>
    <x v="14"/>
    <n v="327750"/>
  </r>
  <r>
    <n v="10057"/>
    <n v="10"/>
    <d v="2013-09-28T00:00:00"/>
    <s v="DVD"/>
    <n v="102171"/>
    <s v="AB103856"/>
    <x v="0"/>
    <n v="651462"/>
  </r>
  <r>
    <n v="10133"/>
    <n v="4"/>
    <d v="2013-09-29T00:00:00"/>
    <s v="BLU-RAY"/>
    <n v="102172"/>
    <s v="AB103857"/>
    <x v="9"/>
    <n v="599995"/>
  </r>
  <r>
    <n v="10185"/>
    <n v="6"/>
    <d v="2013-09-27T00:00:00"/>
    <s v="BLU-RAY"/>
    <n v="102172"/>
    <s v="AB103858"/>
    <x v="0"/>
    <n v="599995"/>
  </r>
  <r>
    <n v="10203"/>
    <n v="2"/>
    <d v="2013-09-28T00:00:00"/>
    <s v="DVD"/>
    <n v="102173"/>
    <s v="AB103859"/>
    <x v="3"/>
    <n v="116690"/>
  </r>
  <r>
    <n v="10154"/>
    <n v="3"/>
    <d v="2013-09-28T00:00:00"/>
    <s v="DVD"/>
    <n v="102173"/>
    <s v="AB103860"/>
    <x v="5"/>
    <n v="116690"/>
  </r>
  <r>
    <n v="10052"/>
    <n v="4"/>
    <d v="2013-09-27T00:00:00"/>
    <s v="BLU-RAY"/>
    <n v="102174"/>
    <s v="AB103861"/>
    <x v="0"/>
    <n v="166612"/>
  </r>
  <r>
    <n v="10200"/>
    <n v="6"/>
    <d v="2013-09-27T00:00:00"/>
    <s v="BLU-RAY"/>
    <n v="102174"/>
    <s v="AB103862"/>
    <x v="9"/>
    <n v="166612"/>
  </r>
  <r>
    <n v="10180"/>
    <n v="6"/>
    <d v="2013-09-28T00:00:00"/>
    <s v="DVD"/>
    <n v="102175"/>
    <s v="AB103863"/>
    <x v="12"/>
    <n v="882493"/>
  </r>
  <r>
    <n v="10096"/>
    <n v="7"/>
    <d v="2013-09-28T00:00:00"/>
    <s v="BLU-RAY"/>
    <n v="102176"/>
    <s v="AB103864"/>
    <x v="7"/>
    <n v="442691"/>
  </r>
  <r>
    <n v="10181"/>
    <n v="6"/>
    <d v="2013-09-28T00:00:00"/>
    <s v="DVD"/>
    <n v="102176"/>
    <s v="AB103865"/>
    <x v="9"/>
    <n v="442691"/>
  </r>
  <r>
    <n v="10245"/>
    <n v="1"/>
    <d v="2013-09-29T00:00:00"/>
    <s v="DVD"/>
    <n v="102177"/>
    <s v="AB103866"/>
    <x v="0"/>
    <n v="808869"/>
  </r>
  <r>
    <n v="10244"/>
    <n v="8"/>
    <d v="2013-09-28T00:00:00"/>
    <s v="DVD"/>
    <n v="102177"/>
    <s v="AB103867"/>
    <x v="4"/>
    <n v="808869"/>
  </r>
  <r>
    <n v="10014"/>
    <n v="7"/>
    <d v="2013-09-28T00:00:00"/>
    <s v="DVD"/>
    <n v="102178"/>
    <s v="AB103868"/>
    <x v="0"/>
    <n v="105771"/>
  </r>
  <r>
    <n v="10103"/>
    <n v="7"/>
    <d v="2013-09-28T00:00:00"/>
    <s v="DVD"/>
    <n v="102179"/>
    <s v="AB103869"/>
    <x v="9"/>
    <n v="323830"/>
  </r>
  <r>
    <n v="10057"/>
    <n v="8"/>
    <d v="2013-09-28T00:00:00"/>
    <s v="DVD"/>
    <n v="102179"/>
    <s v="AB103870"/>
    <x v="0"/>
    <n v="323830"/>
  </r>
  <r>
    <n v="10067"/>
    <n v="7"/>
    <d v="2013-09-29T00:00:00"/>
    <s v="DVD"/>
    <n v="102180"/>
    <s v="AB103871"/>
    <x v="1"/>
    <n v="205878"/>
  </r>
  <r>
    <n v="10009"/>
    <n v="1"/>
    <d v="2013-09-29T00:00:00"/>
    <s v="DVD"/>
    <n v="102180"/>
    <s v="AB103872"/>
    <x v="0"/>
    <n v="205878"/>
  </r>
  <r>
    <n v="10080"/>
    <n v="8"/>
    <d v="2013-09-28T00:00:00"/>
    <s v="BLU-RAY"/>
    <n v="102181"/>
    <s v="AB103873"/>
    <x v="3"/>
    <n v="659695"/>
  </r>
  <r>
    <n v="10178"/>
    <n v="8"/>
    <d v="2013-09-28T00:00:00"/>
    <s v="DVD"/>
    <n v="102182"/>
    <s v="AB103874"/>
    <x v="0"/>
    <n v="897980"/>
  </r>
  <r>
    <n v="10144"/>
    <n v="2"/>
    <d v="2013-09-29T00:00:00"/>
    <s v="DVD"/>
    <n v="102182"/>
    <s v="AB103875"/>
    <x v="2"/>
    <n v="897980"/>
  </r>
  <r>
    <n v="10287"/>
    <n v="1"/>
    <d v="2013-09-28T00:00:00"/>
    <s v="DVD"/>
    <n v="102183"/>
    <s v="AB103876"/>
    <x v="10"/>
    <n v="846722"/>
  </r>
  <r>
    <n v="10268"/>
    <n v="10"/>
    <d v="2013-09-28T00:00:00"/>
    <s v="DVD"/>
    <n v="102183"/>
    <s v="AB103877"/>
    <x v="3"/>
    <n v="846722"/>
  </r>
  <r>
    <n v="10227"/>
    <n v="9"/>
    <d v="2013-09-28T00:00:00"/>
    <s v="DVD"/>
    <n v="102184"/>
    <s v="AB103878"/>
    <x v="14"/>
    <n v="143878"/>
  </r>
  <r>
    <n v="10229"/>
    <n v="3"/>
    <d v="2013-09-28T00:00:00"/>
    <s v="DVD"/>
    <n v="102185"/>
    <s v="AB103879"/>
    <x v="6"/>
    <n v="817274"/>
  </r>
  <r>
    <n v="10255"/>
    <n v="8"/>
    <d v="2013-09-28T00:00:00"/>
    <s v="DVD"/>
    <n v="102185"/>
    <s v="AB103880"/>
    <x v="1"/>
    <n v="817274"/>
  </r>
  <r>
    <n v="10235"/>
    <n v="5"/>
    <d v="2013-09-28T00:00:00"/>
    <s v="BLU-RAY"/>
    <n v="102186"/>
    <s v="AB103881"/>
    <x v="10"/>
    <n v="407605"/>
  </r>
  <r>
    <n v="10023"/>
    <n v="8"/>
    <d v="2013-09-28T00:00:00"/>
    <s v="BLU-RAY"/>
    <n v="102186"/>
    <s v="AB103882"/>
    <x v="3"/>
    <n v="407605"/>
  </r>
  <r>
    <n v="10045"/>
    <n v="1"/>
    <d v="2013-09-30T00:00:00"/>
    <s v="DVD"/>
    <n v="102187"/>
    <s v="AB103883"/>
    <x v="0"/>
    <n v="994269"/>
  </r>
  <r>
    <n v="10244"/>
    <n v="1"/>
    <d v="2013-09-28T00:00:00"/>
    <s v="DVD"/>
    <n v="102187"/>
    <s v="AB103884"/>
    <x v="4"/>
    <n v="994269"/>
  </r>
  <r>
    <n v="10073"/>
    <n v="3"/>
    <d v="2013-09-28T00:00:00"/>
    <s v="DVD"/>
    <n v="102187"/>
    <s v="AB103885"/>
    <x v="16"/>
    <n v="994269"/>
  </r>
  <r>
    <n v="10139"/>
    <n v="8"/>
    <d v="2013-09-29T00:00:00"/>
    <s v="DVD"/>
    <n v="102188"/>
    <s v="AB103886"/>
    <x v="14"/>
    <n v="678940"/>
  </r>
  <r>
    <n v="10053"/>
    <n v="4"/>
    <d v="2013-09-30T00:00:00"/>
    <s v="BLU-RAY"/>
    <n v="102188"/>
    <s v="AB103887"/>
    <x v="4"/>
    <n v="678940"/>
  </r>
  <r>
    <n v="10235"/>
    <n v="9"/>
    <d v="2013-09-30T00:00:00"/>
    <s v="BLU-RAY"/>
    <n v="102188"/>
    <s v="AB103888"/>
    <x v="10"/>
    <n v="678940"/>
  </r>
  <r>
    <n v="10272"/>
    <n v="1"/>
    <d v="2013-09-29T00:00:00"/>
    <s v="BLU-RAY"/>
    <n v="102188"/>
    <s v="AB103889"/>
    <x v="4"/>
    <n v="678940"/>
  </r>
  <r>
    <n v="10140"/>
    <n v="6"/>
    <d v="2013-09-29T00:00:00"/>
    <s v="BLU-RAY"/>
    <n v="102189"/>
    <s v="AB103890"/>
    <x v="2"/>
    <n v="734514"/>
  </r>
  <r>
    <n v="10235"/>
    <n v="3"/>
    <d v="2013-09-30T00:00:00"/>
    <s v="BLU-RAY"/>
    <n v="102190"/>
    <s v="AB103891"/>
    <x v="10"/>
    <n v="911171"/>
  </r>
  <r>
    <n v="10203"/>
    <n v="1"/>
    <d v="2013-09-29T00:00:00"/>
    <s v="BLU-RAY"/>
    <n v="102190"/>
    <s v="AB103892"/>
    <x v="3"/>
    <n v="911171"/>
  </r>
  <r>
    <n v="10171"/>
    <n v="6"/>
    <d v="2013-09-29T00:00:00"/>
    <s v="DVD"/>
    <n v="102191"/>
    <s v="AB103893"/>
    <x v="7"/>
    <n v="442254"/>
  </r>
  <r>
    <n v="10007"/>
    <n v="10"/>
    <d v="2013-10-01T00:00:00"/>
    <s v="DVD"/>
    <n v="102191"/>
    <s v="AB103894"/>
    <x v="4"/>
    <n v="442254"/>
  </r>
  <r>
    <n v="10136"/>
    <n v="10"/>
    <d v="2013-09-30T00:00:00"/>
    <s v="DVD"/>
    <n v="102192"/>
    <s v="AB103895"/>
    <x v="2"/>
    <n v="270853"/>
  </r>
  <r>
    <n v="10109"/>
    <n v="2"/>
    <d v="2013-10-01T00:00:00"/>
    <s v="DVD"/>
    <n v="102192"/>
    <s v="AB103896"/>
    <x v="0"/>
    <n v="270853"/>
  </r>
  <r>
    <n v="10203"/>
    <n v="8"/>
    <d v="2013-09-29T00:00:00"/>
    <s v="DVD"/>
    <n v="102193"/>
    <s v="AB103897"/>
    <x v="3"/>
    <n v="186353"/>
  </r>
  <r>
    <n v="10271"/>
    <n v="6"/>
    <d v="2013-09-29T00:00:00"/>
    <s v="DVD"/>
    <n v="102194"/>
    <s v="AB103898"/>
    <x v="7"/>
    <n v="977759"/>
  </r>
  <r>
    <n v="10116"/>
    <n v="10"/>
    <d v="2013-09-29T00:00:00"/>
    <s v="DVD"/>
    <n v="102195"/>
    <s v="AB103899"/>
    <x v="7"/>
    <n v="665313"/>
  </r>
  <r>
    <n v="10057"/>
    <n v="7"/>
    <d v="2013-09-29T00:00:00"/>
    <s v="BLU-RAY"/>
    <n v="102195"/>
    <s v="AB103900"/>
    <x v="0"/>
    <n v="665313"/>
  </r>
  <r>
    <n v="10206"/>
    <n v="7"/>
    <d v="2013-09-29T00:00:00"/>
    <s v="BLU-RAY"/>
    <n v="102195"/>
    <s v="AB103901"/>
    <x v="9"/>
    <n v="665313"/>
  </r>
  <r>
    <n v="10135"/>
    <n v="7"/>
    <d v="2013-09-29T00:00:00"/>
    <s v="DVD"/>
    <n v="102196"/>
    <s v="AB103902"/>
    <x v="7"/>
    <n v="487346"/>
  </r>
  <r>
    <n v="10214"/>
    <n v="9"/>
    <d v="2013-10-01T00:00:00"/>
    <s v="BLU-RAY"/>
    <n v="102196"/>
    <s v="AB103903"/>
    <x v="13"/>
    <n v="487346"/>
  </r>
  <r>
    <n v="10115"/>
    <n v="4"/>
    <d v="2013-09-29T00:00:00"/>
    <s v="BLU-RAY"/>
    <n v="102196"/>
    <s v="AB103904"/>
    <x v="11"/>
    <n v="487346"/>
  </r>
  <r>
    <n v="10241"/>
    <n v="10"/>
    <d v="2013-09-29T00:00:00"/>
    <s v="DVD"/>
    <n v="102197"/>
    <s v="AB103905"/>
    <x v="0"/>
    <n v="694281"/>
  </r>
  <r>
    <n v="10257"/>
    <n v="8"/>
    <d v="2013-09-29T00:00:00"/>
    <s v="BLU-RAY"/>
    <n v="102197"/>
    <s v="AB103906"/>
    <x v="9"/>
    <n v="694281"/>
  </r>
  <r>
    <n v="10202"/>
    <n v="6"/>
    <d v="2013-09-29T00:00:00"/>
    <s v="DVD"/>
    <n v="102198"/>
    <s v="AB103907"/>
    <x v="0"/>
    <n v="918682"/>
  </r>
  <r>
    <n v="10187"/>
    <n v="4"/>
    <d v="2013-09-29T00:00:00"/>
    <s v="DVD"/>
    <n v="102198"/>
    <s v="AB103908"/>
    <x v="1"/>
    <n v="918682"/>
  </r>
  <r>
    <n v="10123"/>
    <n v="6"/>
    <d v="2013-09-29T00:00:00"/>
    <s v="DVD"/>
    <n v="102198"/>
    <s v="AB103909"/>
    <x v="9"/>
    <n v="918682"/>
  </r>
  <r>
    <n v="10270"/>
    <n v="2"/>
    <d v="2013-09-29T00:00:00"/>
    <s v="DVD"/>
    <n v="102199"/>
    <s v="AB103910"/>
    <x v="9"/>
    <n v="741514"/>
  </r>
  <r>
    <n v="10104"/>
    <n v="2"/>
    <d v="2013-09-29T00:00:00"/>
    <s v="BLU-RAY"/>
    <n v="102200"/>
    <s v="AB103911"/>
    <x v="7"/>
    <n v="230467"/>
  </r>
  <r>
    <n v="10014"/>
    <n v="3"/>
    <d v="2013-09-29T00:00:00"/>
    <s v="BLU-RAY"/>
    <n v="102200"/>
    <s v="AB103912"/>
    <x v="0"/>
    <n v="230467"/>
  </r>
  <r>
    <n v="10177"/>
    <n v="5"/>
    <d v="2013-09-29T00:00:00"/>
    <s v="BLU-RAY"/>
    <n v="102201"/>
    <s v="AB103913"/>
    <x v="9"/>
    <n v="315634"/>
  </r>
  <r>
    <n v="10206"/>
    <n v="9"/>
    <d v="2013-09-30T00:00:00"/>
    <s v="DVD"/>
    <n v="102202"/>
    <s v="AB103914"/>
    <x v="9"/>
    <n v="116690"/>
  </r>
  <r>
    <n v="10148"/>
    <n v="10"/>
    <d v="2013-09-29T00:00:00"/>
    <s v="BLU-RAY"/>
    <n v="102203"/>
    <s v="AB103915"/>
    <x v="1"/>
    <n v="475216"/>
  </r>
  <r>
    <n v="10204"/>
    <n v="3"/>
    <d v="2013-09-29T00:00:00"/>
    <s v="DVD"/>
    <n v="102204"/>
    <s v="AB103916"/>
    <x v="7"/>
    <n v="891738"/>
  </r>
  <r>
    <n v="10013"/>
    <n v="7"/>
    <d v="2013-09-29T00:00:00"/>
    <s v="BLU-RAY"/>
    <n v="102204"/>
    <s v="AB103917"/>
    <x v="11"/>
    <n v="891738"/>
  </r>
  <r>
    <n v="10262"/>
    <n v="3"/>
    <d v="2013-09-29T00:00:00"/>
    <s v="BLU-RAY"/>
    <n v="102204"/>
    <s v="AB103918"/>
    <x v="10"/>
    <n v="891738"/>
  </r>
  <r>
    <n v="10077"/>
    <n v="8"/>
    <d v="2013-09-30T00:00:00"/>
    <s v="BLU-RAY"/>
    <n v="102205"/>
    <s v="AB103919"/>
    <x v="0"/>
    <n v="390130"/>
  </r>
  <r>
    <n v="10224"/>
    <n v="2"/>
    <d v="2013-09-29T00:00:00"/>
    <s v="DVD"/>
    <n v="102206"/>
    <s v="AB103920"/>
    <x v="17"/>
    <n v="205878"/>
  </r>
  <r>
    <n v="10009"/>
    <n v="4"/>
    <d v="2013-09-30T00:00:00"/>
    <s v="BLU-RAY"/>
    <n v="102207"/>
    <s v="AB103921"/>
    <x v="0"/>
    <n v="500828"/>
  </r>
  <r>
    <n v="10171"/>
    <n v="2"/>
    <d v="2013-10-01T00:00:00"/>
    <s v="DVD"/>
    <n v="102207"/>
    <s v="AB103922"/>
    <x v="7"/>
    <n v="500828"/>
  </r>
  <r>
    <n v="10280"/>
    <n v="5"/>
    <d v="2013-09-30T00:00:00"/>
    <s v="DVD"/>
    <n v="102207"/>
    <s v="AB103923"/>
    <x v="7"/>
    <n v="500828"/>
  </r>
  <r>
    <n v="10265"/>
    <n v="1"/>
    <d v="2013-09-30T00:00:00"/>
    <s v="BLU-RAY"/>
    <n v="102208"/>
    <s v="AB103924"/>
    <x v="0"/>
    <n v="267632"/>
  </r>
  <r>
    <n v="10192"/>
    <n v="1"/>
    <d v="2013-09-30T00:00:00"/>
    <s v="DVD"/>
    <n v="102209"/>
    <s v="AB103925"/>
    <x v="7"/>
    <n v="147218"/>
  </r>
  <r>
    <n v="10150"/>
    <n v="10"/>
    <d v="2013-09-30T00:00:00"/>
    <s v="DVD"/>
    <n v="102209"/>
    <s v="AB103926"/>
    <x v="14"/>
    <n v="147218"/>
  </r>
  <r>
    <n v="10197"/>
    <n v="5"/>
    <d v="2013-09-30T00:00:00"/>
    <s v="BLU-RAY"/>
    <n v="102210"/>
    <s v="AB103927"/>
    <x v="0"/>
    <n v="744780"/>
  </r>
  <r>
    <n v="10029"/>
    <n v="6"/>
    <d v="2013-10-02T00:00:00"/>
    <s v="DVD"/>
    <n v="102210"/>
    <s v="AB103928"/>
    <x v="12"/>
    <n v="744780"/>
  </r>
  <r>
    <n v="10228"/>
    <n v="8"/>
    <d v="2013-09-30T00:00:00"/>
    <s v="DVD"/>
    <n v="102210"/>
    <s v="AB103929"/>
    <x v="7"/>
    <n v="744780"/>
  </r>
  <r>
    <n v="10111"/>
    <n v="10"/>
    <d v="2013-09-30T00:00:00"/>
    <s v="DVD"/>
    <n v="102211"/>
    <s v="AB103930"/>
    <x v="9"/>
    <n v="464277"/>
  </r>
  <r>
    <n v="10143"/>
    <n v="1"/>
    <d v="2013-10-01T00:00:00"/>
    <s v="DVD"/>
    <n v="102212"/>
    <s v="AB103931"/>
    <x v="3"/>
    <n v="524667"/>
  </r>
  <r>
    <n v="10024"/>
    <n v="10"/>
    <d v="2013-10-01T00:00:00"/>
    <s v="DVD"/>
    <n v="102213"/>
    <s v="AB103932"/>
    <x v="9"/>
    <n v="784218"/>
  </r>
  <r>
    <n v="10010"/>
    <n v="7"/>
    <d v="2013-09-30T00:00:00"/>
    <s v="BLU-RAY"/>
    <n v="102213"/>
    <s v="AB103933"/>
    <x v="3"/>
    <n v="784218"/>
  </r>
  <r>
    <n v="10142"/>
    <n v="1"/>
    <d v="2013-10-01T00:00:00"/>
    <s v="BLU-RAY"/>
    <n v="102214"/>
    <s v="AB103934"/>
    <x v="0"/>
    <n v="918682"/>
  </r>
  <r>
    <n v="10265"/>
    <n v="2"/>
    <d v="2013-09-30T00:00:00"/>
    <s v="BLU-RAY"/>
    <n v="102215"/>
    <s v="AB103935"/>
    <x v="0"/>
    <n v="373200"/>
  </r>
  <r>
    <n v="10181"/>
    <n v="2"/>
    <d v="2013-10-01T00:00:00"/>
    <s v="DVD"/>
    <n v="102216"/>
    <s v="AB103936"/>
    <x v="9"/>
    <n v="298508"/>
  </r>
  <r>
    <n v="10240"/>
    <n v="3"/>
    <d v="2013-10-01T00:00:00"/>
    <s v="DVD"/>
    <n v="102216"/>
    <s v="AB103937"/>
    <x v="0"/>
    <n v="298508"/>
  </r>
  <r>
    <n v="10040"/>
    <n v="4"/>
    <d v="2013-09-30T00:00:00"/>
    <s v="BLU-RAY"/>
    <n v="102216"/>
    <s v="AB103938"/>
    <x v="7"/>
    <n v="298508"/>
  </r>
  <r>
    <n v="10280"/>
    <n v="3"/>
    <d v="2013-10-01T00:00:00"/>
    <s v="DVD"/>
    <n v="102217"/>
    <s v="AB103939"/>
    <x v="7"/>
    <n v="225489"/>
  </r>
  <r>
    <n v="10262"/>
    <n v="1"/>
    <d v="2013-10-02T00:00:00"/>
    <s v="BLU-RAY"/>
    <n v="102218"/>
    <s v="AB103940"/>
    <x v="10"/>
    <n v="628132"/>
  </r>
  <r>
    <n v="10216"/>
    <n v="6"/>
    <d v="2013-09-30T00:00:00"/>
    <s v="DVD"/>
    <n v="102218"/>
    <s v="AB103941"/>
    <x v="4"/>
    <n v="628132"/>
  </r>
  <r>
    <n v="10017"/>
    <n v="8"/>
    <d v="2013-09-30T00:00:00"/>
    <s v="BLU-RAY"/>
    <n v="102219"/>
    <s v="AB103942"/>
    <x v="4"/>
    <n v="332324"/>
  </r>
  <r>
    <n v="10061"/>
    <n v="2"/>
    <d v="2013-09-30T00:00:00"/>
    <s v="DVD"/>
    <n v="102220"/>
    <s v="AB103943"/>
    <x v="9"/>
    <n v="143878"/>
  </r>
  <r>
    <n v="10131"/>
    <n v="10"/>
    <d v="2013-09-30T00:00:00"/>
    <s v="DVD"/>
    <n v="102221"/>
    <s v="AB103944"/>
    <x v="0"/>
    <n v="739669"/>
  </r>
  <r>
    <n v="10229"/>
    <n v="8"/>
    <d v="2013-09-30T00:00:00"/>
    <s v="BLU-RAY"/>
    <n v="102222"/>
    <s v="AB103945"/>
    <x v="6"/>
    <n v="147218"/>
  </r>
  <r>
    <n v="10089"/>
    <n v="1"/>
    <d v="2013-09-30T00:00:00"/>
    <s v="DVD"/>
    <n v="102222"/>
    <s v="AB103946"/>
    <x v="4"/>
    <n v="147218"/>
  </r>
  <r>
    <n v="10216"/>
    <n v="9"/>
    <d v="2013-10-01T00:00:00"/>
    <s v="DVD"/>
    <n v="102223"/>
    <s v="AB103947"/>
    <x v="4"/>
    <n v="951702"/>
  </r>
  <r>
    <n v="10030"/>
    <n v="10"/>
    <d v="2013-09-30T00:00:00"/>
    <s v="BLU-RAY"/>
    <n v="102224"/>
    <s v="AB103948"/>
    <x v="0"/>
    <n v="205878"/>
  </r>
  <r>
    <n v="10137"/>
    <n v="10"/>
    <d v="2013-09-30T00:00:00"/>
    <s v="BLU-RAY"/>
    <n v="102224"/>
    <s v="AB103949"/>
    <x v="3"/>
    <n v="205878"/>
  </r>
  <r>
    <n v="10299"/>
    <n v="6"/>
    <d v="2013-09-30T00:00:00"/>
    <s v="BLU-RAY"/>
    <n v="102225"/>
    <s v="AB103950"/>
    <x v="22"/>
    <n v="627324"/>
  </r>
  <r>
    <n v="10024"/>
    <n v="5"/>
    <d v="2013-09-30T00:00:00"/>
    <s v="BLU-RAY"/>
    <n v="102226"/>
    <s v="AB103951"/>
    <x v="9"/>
    <n v="166735"/>
  </r>
  <r>
    <n v="10130"/>
    <n v="9"/>
    <d v="2013-10-01T00:00:00"/>
    <s v="DVD"/>
    <n v="102226"/>
    <s v="AB103952"/>
    <x v="21"/>
    <n v="166735"/>
  </r>
  <r>
    <n v="10032"/>
    <n v="7"/>
    <d v="2013-09-30T00:00:00"/>
    <s v="DVD"/>
    <n v="102226"/>
    <s v="AB103953"/>
    <x v="4"/>
    <n v="166735"/>
  </r>
  <r>
    <n v="10175"/>
    <n v="8"/>
    <d v="2013-10-01T00:00:00"/>
    <s v="DVD"/>
    <n v="102226"/>
    <s v="AB103954"/>
    <x v="3"/>
    <n v="166735"/>
  </r>
  <r>
    <n v="10234"/>
    <n v="7"/>
    <d v="2013-09-30T00:00:00"/>
    <s v="BLU-RAY"/>
    <n v="102227"/>
    <s v="AB103955"/>
    <x v="0"/>
    <n v="147218"/>
  </r>
  <r>
    <n v="10199"/>
    <n v="9"/>
    <d v="2013-09-30T00:00:00"/>
    <s v="DVD"/>
    <n v="102228"/>
    <s v="AB103956"/>
    <x v="10"/>
    <n v="157695"/>
  </r>
  <r>
    <n v="10242"/>
    <n v="2"/>
    <d v="2013-10-02T00:00:00"/>
    <s v="DVD"/>
    <n v="102228"/>
    <s v="AB103957"/>
    <x v="3"/>
    <n v="157695"/>
  </r>
  <r>
    <n v="10228"/>
    <n v="8"/>
    <d v="2013-09-30T00:00:00"/>
    <s v="DVD"/>
    <n v="102229"/>
    <s v="AB103958"/>
    <x v="7"/>
    <n v="373200"/>
  </r>
  <r>
    <n v="10121"/>
    <n v="1"/>
    <d v="2013-10-01T00:00:00"/>
    <s v="DVD"/>
    <n v="102229"/>
    <s v="AB103959"/>
    <x v="2"/>
    <n v="373200"/>
  </r>
  <r>
    <n v="10147"/>
    <n v="3"/>
    <d v="2013-09-30T00:00:00"/>
    <s v="DVD"/>
    <n v="102229"/>
    <s v="AB103960"/>
    <x v="10"/>
    <n v="373200"/>
  </r>
  <r>
    <n v="10292"/>
    <n v="6"/>
    <d v="2013-09-30T00:00:00"/>
    <s v="BLU-RAY"/>
    <n v="102229"/>
    <s v="AB103961"/>
    <x v="15"/>
    <n v="373200"/>
  </r>
  <r>
    <n v="10170"/>
    <n v="7"/>
    <d v="2013-09-30T00:00:00"/>
    <s v="BLU-RAY"/>
    <n v="102230"/>
    <s v="AB103962"/>
    <x v="15"/>
    <n v="200272"/>
  </r>
  <r>
    <n v="10285"/>
    <n v="2"/>
    <d v="2013-09-30T00:00:00"/>
    <s v="DVD"/>
    <n v="102230"/>
    <s v="AB103963"/>
    <x v="20"/>
    <n v="200272"/>
  </r>
  <r>
    <n v="10201"/>
    <n v="1"/>
    <d v="2013-10-03T00:00:00"/>
    <s v="BLU-RAY"/>
    <n v="102231"/>
    <s v="AB103964"/>
    <x v="8"/>
    <n v="373200"/>
  </r>
  <r>
    <n v="10275"/>
    <n v="7"/>
    <d v="2013-10-01T00:00:00"/>
    <s v="DVD"/>
    <n v="102231"/>
    <s v="AB103965"/>
    <x v="10"/>
    <n v="373200"/>
  </r>
  <r>
    <n v="10058"/>
    <n v="10"/>
    <d v="2013-10-01T00:00:00"/>
    <s v="DVD"/>
    <n v="102232"/>
    <s v="AB103966"/>
    <x v="4"/>
    <n v="242720"/>
  </r>
  <r>
    <n v="10150"/>
    <n v="10"/>
    <d v="2013-10-01T00:00:00"/>
    <s v="DVD"/>
    <n v="102233"/>
    <s v="AB103967"/>
    <x v="14"/>
    <n v="550824"/>
  </r>
  <r>
    <n v="10012"/>
    <n v="10"/>
    <d v="2013-10-01T00:00:00"/>
    <s v="BLU-RAY"/>
    <n v="102233"/>
    <s v="AB103968"/>
    <x v="3"/>
    <n v="550824"/>
  </r>
  <r>
    <n v="10191"/>
    <n v="8"/>
    <d v="2013-10-02T00:00:00"/>
    <s v="DVD"/>
    <n v="102234"/>
    <s v="AB103969"/>
    <x v="7"/>
    <n v="442691"/>
  </r>
  <r>
    <n v="10079"/>
    <n v="5"/>
    <d v="2013-10-02T00:00:00"/>
    <s v="DVD"/>
    <n v="102235"/>
    <s v="AB103970"/>
    <x v="0"/>
    <n v="327750"/>
  </r>
  <r>
    <n v="10154"/>
    <n v="1"/>
    <d v="2013-10-01T00:00:00"/>
    <s v="DVD"/>
    <n v="102236"/>
    <s v="AB103971"/>
    <x v="5"/>
    <n v="659695"/>
  </r>
  <r>
    <n v="10275"/>
    <n v="5"/>
    <d v="2013-10-03T00:00:00"/>
    <s v="BLU-RAY"/>
    <n v="102236"/>
    <s v="AB103972"/>
    <x v="10"/>
    <n v="659695"/>
  </r>
  <r>
    <n v="10249"/>
    <n v="10"/>
    <d v="2013-10-01T00:00:00"/>
    <s v="DVD"/>
    <n v="102236"/>
    <s v="AB103973"/>
    <x v="5"/>
    <n v="659695"/>
  </r>
  <r>
    <n v="10124"/>
    <n v="5"/>
    <d v="2013-10-03T00:00:00"/>
    <s v="DVD"/>
    <n v="102237"/>
    <s v="AB103974"/>
    <x v="1"/>
    <n v="941876"/>
  </r>
  <r>
    <n v="10007"/>
    <n v="5"/>
    <d v="2013-10-01T00:00:00"/>
    <s v="DVD"/>
    <n v="102237"/>
    <s v="AB103975"/>
    <x v="4"/>
    <n v="941876"/>
  </r>
  <r>
    <n v="10039"/>
    <n v="2"/>
    <d v="2013-10-01T00:00:00"/>
    <s v="BLU-RAY"/>
    <n v="102237"/>
    <s v="AB103976"/>
    <x v="11"/>
    <n v="941876"/>
  </r>
  <r>
    <n v="10277"/>
    <n v="9"/>
    <d v="2013-10-01T00:00:00"/>
    <s v="BLU-RAY"/>
    <n v="102238"/>
    <s v="AB103977"/>
    <x v="7"/>
    <n v="994269"/>
  </r>
  <r>
    <n v="10068"/>
    <n v="7"/>
    <d v="2013-10-01T00:00:00"/>
    <s v="DVD"/>
    <n v="102238"/>
    <s v="AB103978"/>
    <x v="0"/>
    <n v="994269"/>
  </r>
  <r>
    <n v="10072"/>
    <n v="1"/>
    <d v="2013-10-01T00:00:00"/>
    <s v="BLU-RAY"/>
    <n v="102239"/>
    <s v="AB103979"/>
    <x v="1"/>
    <n v="568217"/>
  </r>
  <r>
    <n v="10056"/>
    <n v="7"/>
    <d v="2013-10-01T00:00:00"/>
    <s v="BLU-RAY"/>
    <n v="102240"/>
    <s v="AB103980"/>
    <x v="8"/>
    <n v="941876"/>
  </r>
  <r>
    <n v="10159"/>
    <n v="4"/>
    <d v="2013-10-02T00:00:00"/>
    <s v="BLU-RAY"/>
    <n v="102240"/>
    <s v="AB103981"/>
    <x v="10"/>
    <n v="941876"/>
  </r>
  <r>
    <n v="10166"/>
    <n v="6"/>
    <d v="2013-10-02T00:00:00"/>
    <s v="BLU-RAY"/>
    <n v="102241"/>
    <s v="AB103982"/>
    <x v="9"/>
    <n v="227456"/>
  </r>
  <r>
    <n v="10097"/>
    <n v="1"/>
    <d v="2013-10-01T00:00:00"/>
    <s v="BLU-RAY"/>
    <n v="102242"/>
    <s v="AB103983"/>
    <x v="8"/>
    <n v="421074"/>
  </r>
  <r>
    <n v="10051"/>
    <n v="7"/>
    <d v="2013-10-01T00:00:00"/>
    <s v="BLU-RAY"/>
    <n v="102242"/>
    <s v="AB103984"/>
    <x v="1"/>
    <n v="421074"/>
  </r>
  <r>
    <n v="10260"/>
    <n v="1"/>
    <d v="2013-10-01T00:00:00"/>
    <s v="DVD"/>
    <n v="102243"/>
    <s v="AB103985"/>
    <x v="4"/>
    <n v="327750"/>
  </r>
  <r>
    <n v="10131"/>
    <n v="2"/>
    <d v="2013-10-01T00:00:00"/>
    <s v="DVD"/>
    <n v="102243"/>
    <s v="AB103986"/>
    <x v="0"/>
    <n v="327750"/>
  </r>
  <r>
    <n v="10247"/>
    <n v="7"/>
    <d v="2013-10-01T00:00:00"/>
    <s v="DVD"/>
    <n v="102244"/>
    <s v="AB103987"/>
    <x v="9"/>
    <n v="806545"/>
  </r>
  <r>
    <n v="10164"/>
    <n v="10"/>
    <d v="2013-10-02T00:00:00"/>
    <s v="DVD"/>
    <n v="102244"/>
    <s v="AB103988"/>
    <x v="2"/>
    <n v="806545"/>
  </r>
  <r>
    <n v="10097"/>
    <n v="9"/>
    <d v="2013-10-01T00:00:00"/>
    <s v="BLU-RAY"/>
    <n v="102245"/>
    <s v="AB103989"/>
    <x v="8"/>
    <n v="191050"/>
  </r>
  <r>
    <n v="10194"/>
    <n v="4"/>
    <d v="2013-10-01T00:00:00"/>
    <s v="DVD"/>
    <n v="102246"/>
    <s v="AB103990"/>
    <x v="16"/>
    <n v="730305"/>
  </r>
  <r>
    <n v="10265"/>
    <n v="5"/>
    <d v="2013-10-01T00:00:00"/>
    <s v="DVD"/>
    <n v="102247"/>
    <s v="AB103991"/>
    <x v="0"/>
    <n v="730305"/>
  </r>
  <r>
    <n v="10057"/>
    <n v="3"/>
    <d v="2013-10-02T00:00:00"/>
    <s v="BLU-RAY"/>
    <n v="102247"/>
    <s v="AB103992"/>
    <x v="0"/>
    <n v="730305"/>
  </r>
  <r>
    <n v="10107"/>
    <n v="10"/>
    <d v="2013-10-02T00:00:00"/>
    <s v="BLU-RAY"/>
    <n v="102248"/>
    <s v="AB103993"/>
    <x v="7"/>
    <n v="235720"/>
  </r>
  <r>
    <n v="10097"/>
    <n v="3"/>
    <d v="2013-10-01T00:00:00"/>
    <s v="BLU-RAY"/>
    <n v="102249"/>
    <s v="AB103994"/>
    <x v="8"/>
    <n v="353846"/>
  </r>
  <r>
    <n v="10117"/>
    <n v="1"/>
    <d v="2013-10-01T00:00:00"/>
    <s v="DVD"/>
    <n v="102249"/>
    <s v="AB103995"/>
    <x v="4"/>
    <n v="353846"/>
  </r>
  <r>
    <n v="10265"/>
    <n v="5"/>
    <d v="2013-10-01T00:00:00"/>
    <s v="DVD"/>
    <n v="102249"/>
    <s v="AB103996"/>
    <x v="0"/>
    <n v="353846"/>
  </r>
  <r>
    <n v="10119"/>
    <n v="9"/>
    <d v="2013-10-01T00:00:00"/>
    <s v="DVD"/>
    <n v="102250"/>
    <s v="AB103997"/>
    <x v="7"/>
    <n v="671101"/>
  </r>
  <r>
    <n v="10165"/>
    <n v="8"/>
    <d v="2013-10-01T00:00:00"/>
    <s v="DVD"/>
    <n v="102250"/>
    <s v="AB103998"/>
    <x v="2"/>
    <n v="671101"/>
  </r>
  <r>
    <n v="10091"/>
    <n v="7"/>
    <d v="2013-10-01T00:00:00"/>
    <s v="BLU-RAY"/>
    <n v="102251"/>
    <s v="AB103999"/>
    <x v="0"/>
    <n v="866556"/>
  </r>
  <r>
    <n v="10019"/>
    <n v="10"/>
    <d v="2013-10-01T00:00:00"/>
    <s v="BLU-RAY"/>
    <n v="102251"/>
    <s v="AB104000"/>
    <x v="9"/>
    <n v="866556"/>
  </r>
  <r>
    <n v="10225"/>
    <n v="5"/>
    <d v="2013-10-01T00:00:00"/>
    <s v="BLU-RAY"/>
    <n v="102251"/>
    <s v="AB104001"/>
    <x v="0"/>
    <n v="866556"/>
  </r>
  <r>
    <n v="10135"/>
    <n v="2"/>
    <d v="2013-10-02T00:00:00"/>
    <s v="DVD"/>
    <n v="102252"/>
    <s v="AB104002"/>
    <x v="7"/>
    <n v="226909"/>
  </r>
  <r>
    <n v="10181"/>
    <n v="4"/>
    <d v="2013-10-02T00:00:00"/>
    <s v="DVD"/>
    <n v="102253"/>
    <s v="AB104003"/>
    <x v="9"/>
    <n v="739393"/>
  </r>
  <r>
    <n v="10246"/>
    <n v="9"/>
    <d v="2013-10-03T00:00:00"/>
    <s v="DVD"/>
    <n v="102253"/>
    <s v="AB104004"/>
    <x v="2"/>
    <n v="739393"/>
  </r>
  <r>
    <n v="10005"/>
    <n v="4"/>
    <d v="2013-10-02T00:00:00"/>
    <s v="BLU-RAY"/>
    <n v="102253"/>
    <s v="AB104005"/>
    <x v="3"/>
    <n v="739393"/>
  </r>
  <r>
    <n v="10068"/>
    <n v="6"/>
    <d v="2013-10-02T00:00:00"/>
    <s v="DVD"/>
    <n v="102254"/>
    <s v="AB104006"/>
    <x v="0"/>
    <n v="448739"/>
  </r>
  <r>
    <n v="10004"/>
    <n v="6"/>
    <d v="2013-10-02T00:00:00"/>
    <s v="DVD"/>
    <n v="102254"/>
    <s v="AB104007"/>
    <x v="1"/>
    <n v="448739"/>
  </r>
  <r>
    <n v="10215"/>
    <n v="4"/>
    <d v="2013-10-02T00:00:00"/>
    <s v="DVD"/>
    <n v="102254"/>
    <s v="AB104008"/>
    <x v="1"/>
    <n v="448739"/>
  </r>
  <r>
    <n v="10178"/>
    <n v="10"/>
    <d v="2013-10-02T00:00:00"/>
    <s v="BLU-RAY"/>
    <n v="102254"/>
    <s v="AB104009"/>
    <x v="0"/>
    <n v="448739"/>
  </r>
  <r>
    <n v="10178"/>
    <n v="5"/>
    <d v="2013-10-02T00:00:00"/>
    <s v="DVD"/>
    <n v="102254"/>
    <s v="AB104010"/>
    <x v="0"/>
    <n v="448739"/>
  </r>
  <r>
    <n v="10113"/>
    <n v="9"/>
    <d v="2013-10-02T00:00:00"/>
    <s v="DVD"/>
    <n v="102255"/>
    <s v="AB104011"/>
    <x v="10"/>
    <n v="657495"/>
  </r>
  <r>
    <n v="10238"/>
    <n v="2"/>
    <d v="2013-10-02T00:00:00"/>
    <s v="DVD"/>
    <n v="102256"/>
    <s v="AB104012"/>
    <x v="0"/>
    <n v="915766"/>
  </r>
  <r>
    <n v="10036"/>
    <n v="8"/>
    <d v="2013-10-02T00:00:00"/>
    <s v="DVD"/>
    <n v="102257"/>
    <s v="AB104013"/>
    <x v="7"/>
    <n v="468692"/>
  </r>
  <r>
    <n v="10034"/>
    <n v="5"/>
    <d v="2013-10-02T00:00:00"/>
    <s v="DVD"/>
    <n v="102257"/>
    <s v="AB104014"/>
    <x v="10"/>
    <n v="468692"/>
  </r>
  <r>
    <n v="10103"/>
    <n v="3"/>
    <d v="2013-10-02T00:00:00"/>
    <s v="DVD"/>
    <n v="102258"/>
    <s v="AB104015"/>
    <x v="9"/>
    <n v="345748"/>
  </r>
  <r>
    <n v="10188"/>
    <n v="9"/>
    <d v="2013-10-02T00:00:00"/>
    <s v="BLU-RAY"/>
    <n v="102259"/>
    <s v="AB104016"/>
    <x v="1"/>
    <n v="276549"/>
  </r>
  <r>
    <n v="10171"/>
    <n v="8"/>
    <d v="2013-10-02T00:00:00"/>
    <s v="DVD"/>
    <n v="102260"/>
    <s v="AB104017"/>
    <x v="7"/>
    <n v="897980"/>
  </r>
  <r>
    <n v="10208"/>
    <n v="7"/>
    <d v="2013-10-02T00:00:00"/>
    <s v="DVD"/>
    <n v="102260"/>
    <s v="AB104018"/>
    <x v="0"/>
    <n v="897980"/>
  </r>
  <r>
    <n v="10131"/>
    <n v="10"/>
    <d v="2013-10-02T00:00:00"/>
    <s v="BLU-RAY"/>
    <n v="102261"/>
    <s v="AB104019"/>
    <x v="0"/>
    <n v="728908"/>
  </r>
  <r>
    <n v="10143"/>
    <n v="7"/>
    <d v="2013-10-02T00:00:00"/>
    <s v="BLU-RAY"/>
    <n v="102262"/>
    <s v="AB104020"/>
    <x v="3"/>
    <n v="253106"/>
  </r>
  <r>
    <n v="10106"/>
    <n v="6"/>
    <d v="2013-10-03T00:00:00"/>
    <s v="BLU-RAY"/>
    <n v="102263"/>
    <s v="AB104021"/>
    <x v="9"/>
    <n v="233813"/>
  </r>
  <r>
    <n v="10066"/>
    <n v="6"/>
    <d v="2013-10-02T00:00:00"/>
    <s v="DVD"/>
    <n v="102263"/>
    <s v="AB104022"/>
    <x v="3"/>
    <n v="233813"/>
  </r>
  <r>
    <n v="10044"/>
    <n v="3"/>
    <d v="2013-10-02T00:00:00"/>
    <s v="DVD"/>
    <n v="102264"/>
    <s v="AB104023"/>
    <x v="3"/>
    <n v="262638"/>
  </r>
  <r>
    <n v="10001"/>
    <n v="10"/>
    <d v="2013-10-02T00:00:00"/>
    <s v="DVD"/>
    <n v="102264"/>
    <s v="AB104024"/>
    <x v="14"/>
    <n v="262638"/>
  </r>
  <r>
    <n v="10130"/>
    <n v="3"/>
    <d v="2013-10-02T00:00:00"/>
    <s v="DVD"/>
    <n v="102264"/>
    <s v="AB104025"/>
    <x v="21"/>
    <n v="262638"/>
  </r>
  <r>
    <n v="10179"/>
    <n v="9"/>
    <d v="2013-10-02T00:00:00"/>
    <s v="BLU-RAY"/>
    <n v="102265"/>
    <s v="AB104026"/>
    <x v="0"/>
    <n v="842028"/>
  </r>
  <r>
    <n v="10082"/>
    <n v="3"/>
    <d v="2013-10-03T00:00:00"/>
    <s v="DVD"/>
    <n v="102265"/>
    <s v="AB104027"/>
    <x v="3"/>
    <n v="842028"/>
  </r>
  <r>
    <n v="10269"/>
    <n v="6"/>
    <d v="2013-10-03T00:00:00"/>
    <s v="BLU-RAY"/>
    <n v="102266"/>
    <s v="AB104028"/>
    <x v="3"/>
    <n v="104939"/>
  </r>
  <r>
    <n v="10055"/>
    <n v="10"/>
    <d v="2013-10-04T00:00:00"/>
    <s v="BLU-RAY"/>
    <n v="102266"/>
    <s v="AB104029"/>
    <x v="15"/>
    <n v="104939"/>
  </r>
  <r>
    <n v="10279"/>
    <n v="3"/>
    <d v="2013-10-02T00:00:00"/>
    <s v="BLU-RAY"/>
    <n v="102267"/>
    <s v="AB104030"/>
    <x v="8"/>
    <n v="404678"/>
  </r>
  <r>
    <n v="10274"/>
    <n v="1"/>
    <d v="2013-10-03T00:00:00"/>
    <s v="BLU-RAY"/>
    <n v="102268"/>
    <s v="AB104031"/>
    <x v="9"/>
    <n v="249779"/>
  </r>
  <r>
    <n v="10110"/>
    <n v="10"/>
    <d v="2013-10-02T00:00:00"/>
    <s v="DVD"/>
    <n v="102269"/>
    <s v="AB104032"/>
    <x v="0"/>
    <n v="370366"/>
  </r>
  <r>
    <n v="10147"/>
    <n v="3"/>
    <d v="2013-10-03T00:00:00"/>
    <s v="DVD"/>
    <n v="102269"/>
    <s v="AB104033"/>
    <x v="10"/>
    <n v="370366"/>
  </r>
  <r>
    <n v="10266"/>
    <n v="1"/>
    <d v="2013-10-03T00:00:00"/>
    <s v="BLU-RAY"/>
    <n v="102270"/>
    <s v="AB104034"/>
    <x v="4"/>
    <n v="493552"/>
  </r>
  <r>
    <n v="10296"/>
    <n v="7"/>
    <d v="2013-10-02T00:00:00"/>
    <s v="DVD"/>
    <n v="102271"/>
    <s v="AB104035"/>
    <x v="21"/>
    <n v="729740"/>
  </r>
  <r>
    <n v="10166"/>
    <n v="9"/>
    <d v="2013-10-02T00:00:00"/>
    <s v="BLU-RAY"/>
    <n v="102272"/>
    <s v="AB104036"/>
    <x v="9"/>
    <n v="826590"/>
  </r>
  <r>
    <n v="10232"/>
    <n v="7"/>
    <d v="2013-10-02T00:00:00"/>
    <s v="DVD"/>
    <n v="102274"/>
    <s v="AB104038"/>
    <x v="1"/>
    <n v="168607"/>
  </r>
  <r>
    <n v="10088"/>
    <n v="4"/>
    <d v="2013-10-02T00:00:00"/>
    <s v="BLU-RAY"/>
    <n v="102275"/>
    <s v="AB104039"/>
    <x v="0"/>
    <n v="813719"/>
  </r>
  <r>
    <n v="10266"/>
    <n v="5"/>
    <d v="2013-10-02T00:00:00"/>
    <s v="DVD"/>
    <n v="102275"/>
    <s v="AB104040"/>
    <x v="4"/>
    <n v="813719"/>
  </r>
  <r>
    <n v="10035"/>
    <n v="10"/>
    <d v="2013-10-02T00:00:00"/>
    <s v="DVD"/>
    <n v="102276"/>
    <s v="AB104041"/>
    <x v="4"/>
    <n v="327750"/>
  </r>
  <r>
    <n v="10264"/>
    <n v="1"/>
    <d v="2013-10-02T00:00:00"/>
    <s v="BLU-RAY"/>
    <n v="102277"/>
    <s v="AB104042"/>
    <x v="2"/>
    <n v="175871"/>
  </r>
  <r>
    <n v="10031"/>
    <n v="4"/>
    <d v="2013-10-03T00:00:00"/>
    <s v="DVD"/>
    <n v="102277"/>
    <s v="AB104043"/>
    <x v="0"/>
    <n v="175871"/>
  </r>
  <r>
    <n v="10279"/>
    <n v="5"/>
    <d v="2013-10-03T00:00:00"/>
    <s v="BLU-RAY"/>
    <n v="102278"/>
    <s v="AB104044"/>
    <x v="8"/>
    <n v="427391"/>
  </r>
  <r>
    <n v="10120"/>
    <n v="7"/>
    <d v="2013-10-02T00:00:00"/>
    <s v="BLU-RAY"/>
    <n v="102278"/>
    <s v="AB104045"/>
    <x v="14"/>
    <n v="427391"/>
  </r>
  <r>
    <n v="10177"/>
    <n v="8"/>
    <d v="2013-10-08T00:00:00"/>
    <s v="BLU-RAY"/>
    <n v="102280"/>
    <s v="AB104048"/>
    <x v="9"/>
    <n v="590517"/>
  </r>
  <r>
    <n v="10288"/>
    <n v="6"/>
    <d v="2013-10-03T00:00:00"/>
    <s v="DVD"/>
    <n v="102280"/>
    <s v="AB104050"/>
    <x v="12"/>
    <n v="590517"/>
  </r>
  <r>
    <n v="10299"/>
    <n v="5"/>
    <d v="2013-10-03T00:00:00"/>
    <s v="DVD"/>
    <n v="102281"/>
    <s v="AB104053"/>
    <x v="22"/>
    <n v="396166"/>
  </r>
  <r>
    <n v="10022"/>
    <n v="7"/>
    <d v="2013-10-10T00:00:00"/>
    <s v="DVD"/>
    <n v="102282"/>
    <s v="AB104055"/>
    <x v="7"/>
    <n v="296886"/>
  </r>
  <r>
    <n v="10132"/>
    <n v="3"/>
    <d v="2013-10-04T00:00:00"/>
    <s v="DVD"/>
    <n v="102284"/>
    <s v="AB104058"/>
    <x v="10"/>
    <n v="407605"/>
  </r>
  <r>
    <n v="10199"/>
    <n v="3"/>
    <d v="2013-10-07T00:00:00"/>
    <s v="DVD"/>
    <n v="102287"/>
    <s v="AB104062"/>
    <x v="10"/>
    <n v="756928"/>
  </r>
  <r>
    <n v="10074"/>
    <n v="1"/>
    <d v="2013-10-04T00:00:00"/>
    <s v="DVD"/>
    <n v="102288"/>
    <s v="AB104064"/>
    <x v="11"/>
    <n v="332324"/>
  </r>
  <r>
    <n v="10212"/>
    <n v="1"/>
    <d v="2013-10-08T00:00:00"/>
    <s v="DVD"/>
    <n v="102289"/>
    <s v="AB104065"/>
    <x v="10"/>
    <n v="270853"/>
  </r>
  <r>
    <n v="10194"/>
    <n v="4"/>
    <d v="2013-10-04T00:00:00"/>
    <s v="DVD"/>
    <n v="102289"/>
    <s v="AB104066"/>
    <x v="16"/>
    <n v="270853"/>
  </r>
  <r>
    <n v="10128"/>
    <n v="3"/>
    <d v="2013-10-06T00:00:00"/>
    <s v="DVD"/>
    <n v="102289"/>
    <s v="AB104067"/>
    <x v="6"/>
    <n v="270853"/>
  </r>
  <r>
    <n v="10261"/>
    <n v="5"/>
    <d v="2013-10-04T00:00:00"/>
    <s v="DVD"/>
    <n v="102290"/>
    <s v="AB104068"/>
    <x v="9"/>
    <n v="566192"/>
  </r>
  <r>
    <n v="10349"/>
    <n v="3"/>
    <d v="2013-10-04T00:00:00"/>
    <s v="DVD"/>
    <n v="102292"/>
    <s v="AB104073"/>
    <x v="8"/>
    <n v="226909"/>
  </r>
  <r>
    <n v="10074"/>
    <n v="3"/>
    <d v="2013-10-06T00:00:00"/>
    <s v="DVD"/>
    <n v="102293"/>
    <s v="AB104074"/>
    <x v="11"/>
    <n v="189953"/>
  </r>
  <r>
    <n v="10252"/>
    <n v="4"/>
    <d v="2013-10-05T00:00:00"/>
    <s v="DVD"/>
    <n v="102293"/>
    <s v="AB104075"/>
    <x v="0"/>
    <n v="189953"/>
  </r>
  <r>
    <n v="10237"/>
    <n v="9"/>
    <d v="2013-10-04T00:00:00"/>
    <s v="DVD"/>
    <n v="102293"/>
    <s v="AB104076"/>
    <x v="0"/>
    <n v="189953"/>
  </r>
  <r>
    <n v="10186"/>
    <n v="3"/>
    <d v="2013-10-07T00:00:00"/>
    <s v="DVD"/>
    <n v="102294"/>
    <s v="AB104078"/>
    <x v="10"/>
    <n v="324435"/>
  </r>
  <r>
    <n v="10291"/>
    <n v="8"/>
    <d v="2013-10-05T00:00:00"/>
    <s v="BLU-RAY"/>
    <n v="102295"/>
    <s v="AB104080"/>
    <x v="0"/>
    <n v="537796"/>
  </r>
  <r>
    <n v="10271"/>
    <n v="9"/>
    <d v="2013-10-07T00:00:00"/>
    <s v="DVD"/>
    <n v="102295"/>
    <s v="AB104081"/>
    <x v="7"/>
    <n v="537796"/>
  </r>
  <r>
    <n v="10074"/>
    <n v="9"/>
    <d v="2013-10-05T00:00:00"/>
    <s v="DVD"/>
    <n v="102296"/>
    <s v="AB104082"/>
    <x v="11"/>
    <n v="418506"/>
  </r>
  <r>
    <n v="10166"/>
    <n v="5"/>
    <d v="2013-10-08T00:00:00"/>
    <s v="DVD"/>
    <n v="102296"/>
    <s v="AB104083"/>
    <x v="9"/>
    <n v="418506"/>
  </r>
  <r>
    <n v="10166"/>
    <n v="4"/>
    <d v="2013-10-05T00:00:00"/>
    <s v="DVD"/>
    <n v="102297"/>
    <s v="AB104087"/>
    <x v="9"/>
    <n v="701211"/>
  </r>
  <r>
    <n v="10270"/>
    <n v="8"/>
    <d v="2013-10-08T00:00:00"/>
    <s v="BLU-RAY"/>
    <n v="102302"/>
    <s v="AB104093"/>
    <x v="9"/>
    <n v="110363"/>
  </r>
  <r>
    <n v="10277"/>
    <n v="6"/>
    <d v="2013-10-10T00:00:00"/>
    <s v="DVD"/>
    <n v="102303"/>
    <s v="AB104094"/>
    <x v="7"/>
    <n v="592528"/>
  </r>
  <r>
    <n v="10238"/>
    <n v="9"/>
    <d v="2013-10-08T00:00:00"/>
    <s v="BLU-RAY"/>
    <n v="102304"/>
    <s v="AB104098"/>
    <x v="0"/>
    <n v="274541"/>
  </r>
  <r>
    <n v="10297"/>
    <n v="10"/>
    <d v="2013-10-07T00:00:00"/>
    <s v="BLU-RAY"/>
    <n v="102306"/>
    <s v="AB104100"/>
    <x v="14"/>
    <n v="111486"/>
  </r>
  <r>
    <n v="10155"/>
    <n v="1"/>
    <d v="2013-10-09T00:00:00"/>
    <s v="DVD"/>
    <n v="102307"/>
    <s v="AB104102"/>
    <x v="9"/>
    <n v="651462"/>
  </r>
  <r>
    <n v="10282"/>
    <n v="8"/>
    <d v="2013-10-07T00:00:00"/>
    <s v="DVD"/>
    <n v="102307"/>
    <s v="AB104104"/>
    <x v="15"/>
    <n v="651462"/>
  </r>
  <r>
    <n v="10080"/>
    <n v="3"/>
    <d v="2013-10-09T00:00:00"/>
    <s v="DVD"/>
    <n v="102311"/>
    <s v="AB104108"/>
    <x v="3"/>
    <n v="161175"/>
  </r>
  <r>
    <n v="10185"/>
    <n v="2"/>
    <d v="2013-10-08T00:00:00"/>
    <s v="DVD"/>
    <n v="102312"/>
    <s v="AB104110"/>
    <x v="0"/>
    <n v="765237"/>
  </r>
  <r>
    <n v="10203"/>
    <n v="9"/>
    <d v="2013-10-12T00:00:00"/>
    <s v="BLU-RAY"/>
    <n v="102313"/>
    <s v="AB104113"/>
    <x v="3"/>
    <n v="958321"/>
  </r>
  <r>
    <n v="10038"/>
    <n v="9"/>
    <d v="2013-10-08T00:00:00"/>
    <s v="DVD"/>
    <n v="102318"/>
    <s v="AB104121"/>
    <x v="1"/>
    <n v="325263"/>
  </r>
  <r>
    <n v="10236"/>
    <n v="10"/>
    <d v="2013-10-08T00:00:00"/>
    <s v="DVD"/>
    <n v="102318"/>
    <s v="AB104122"/>
    <x v="10"/>
    <n v="325263"/>
  </r>
  <r>
    <n v="10289"/>
    <n v="8"/>
    <d v="2013-10-08T00:00:00"/>
    <s v="DVD"/>
    <n v="102318"/>
    <s v="AB104123"/>
    <x v="11"/>
    <n v="325263"/>
  </r>
  <r>
    <n v="10009"/>
    <n v="3"/>
    <d v="2013-10-08T00:00:00"/>
    <s v="BLU-RAY"/>
    <n v="102321"/>
    <s v="AB104126"/>
    <x v="0"/>
    <n v="551950"/>
  </r>
  <r>
    <n v="10101"/>
    <n v="8"/>
    <d v="2013-10-08T00:00:00"/>
    <s v="BLU-RAY"/>
    <n v="102322"/>
    <s v="AB104127"/>
    <x v="4"/>
    <n v="105549"/>
  </r>
  <r>
    <n v="10231"/>
    <n v="10"/>
    <d v="2013-10-12T00:00:00"/>
    <s v="BLU-RAY"/>
    <n v="102322"/>
    <s v="AB104128"/>
    <x v="7"/>
    <n v="105549"/>
  </r>
  <r>
    <n v="10235"/>
    <n v="7"/>
    <d v="2013-10-10T00:00:00"/>
    <s v="BLU-RAY"/>
    <n v="102324"/>
    <s v="AB104130"/>
    <x v="10"/>
    <n v="157388"/>
  </r>
  <r>
    <n v="10236"/>
    <n v="9"/>
    <d v="2013-10-09T00:00:00"/>
    <s v="DVD"/>
    <n v="102324"/>
    <s v="AB104132"/>
    <x v="10"/>
    <n v="157388"/>
  </r>
  <r>
    <n v="10276"/>
    <n v="7"/>
    <d v="2013-10-09T00:00:00"/>
    <s v="DVD"/>
    <n v="102324"/>
    <s v="AB104133"/>
    <x v="16"/>
    <n v="157388"/>
  </r>
  <r>
    <n v="10148"/>
    <n v="9"/>
    <d v="2013-10-12T00:00:00"/>
    <s v="DVD"/>
    <n v="102326"/>
    <s v="AB104136"/>
    <x v="1"/>
    <n v="116934"/>
  </r>
  <r>
    <n v="10125"/>
    <n v="7"/>
    <d v="2013-10-09T00:00:00"/>
    <s v="DVD"/>
    <n v="102327"/>
    <s v="AB104137"/>
    <x v="9"/>
    <n v="734514"/>
  </r>
  <r>
    <n v="10207"/>
    <n v="3"/>
    <d v="2013-10-10T00:00:00"/>
    <s v="DVD"/>
    <n v="102328"/>
    <s v="AB104138"/>
    <x v="1"/>
    <n v="520196"/>
  </r>
  <r>
    <n v="10288"/>
    <n v="10"/>
    <d v="2013-10-11T00:00:00"/>
    <s v="DVD"/>
    <n v="102328"/>
    <s v="AB104140"/>
    <x v="12"/>
    <n v="520196"/>
  </r>
  <r>
    <n v="10152"/>
    <n v="5"/>
    <d v="2013-10-11T00:00:00"/>
    <s v="DVD"/>
    <n v="102330"/>
    <s v="AB104144"/>
    <x v="16"/>
    <n v="884729"/>
  </r>
  <r>
    <n v="10288"/>
    <n v="9"/>
    <d v="2013-10-10T00:00:00"/>
    <s v="DVD"/>
    <n v="102330"/>
    <s v="AB104146"/>
    <x v="12"/>
    <n v="884729"/>
  </r>
  <r>
    <n v="10155"/>
    <n v="7"/>
    <d v="2013-10-10T00:00:00"/>
    <s v="BLU-RAY"/>
    <n v="102331"/>
    <s v="AB104148"/>
    <x v="9"/>
    <n v="689877"/>
  </r>
  <r>
    <n v="10122"/>
    <n v="2"/>
    <d v="2013-10-10T00:00:00"/>
    <s v="DVD"/>
    <n v="102333"/>
    <s v="AB104151"/>
    <x v="12"/>
    <n v="315634"/>
  </r>
  <r>
    <n v="10185"/>
    <n v="5"/>
    <d v="2013-10-11T00:00:00"/>
    <s v="DVD"/>
    <n v="102334"/>
    <s v="AB104152"/>
    <x v="0"/>
    <n v="433442"/>
  </r>
  <r>
    <n v="10268"/>
    <n v="1"/>
    <d v="2013-10-10T00:00:00"/>
    <s v="DVD"/>
    <n v="102334"/>
    <s v="AB104153"/>
    <x v="3"/>
    <n v="433442"/>
  </r>
  <r>
    <n v="10198"/>
    <n v="10"/>
    <d v="2013-10-11T00:00:00"/>
    <s v="BLU-RAY"/>
    <n v="102335"/>
    <s v="AB104155"/>
    <x v="9"/>
    <n v="884607"/>
  </r>
  <r>
    <n v="10269"/>
    <n v="7"/>
    <d v="2013-10-11T00:00:00"/>
    <s v="DVD"/>
    <n v="102336"/>
    <s v="AB104156"/>
    <x v="3"/>
    <n v="739669"/>
  </r>
  <r>
    <n v="10119"/>
    <n v="8"/>
    <d v="2013-10-12T00:00:00"/>
    <s v="DVD"/>
    <n v="102336"/>
    <s v="AB104157"/>
    <x v="7"/>
    <n v="739669"/>
  </r>
  <r>
    <n v="10201"/>
    <n v="8"/>
    <d v="2013-10-11T00:00:00"/>
    <s v="DVD"/>
    <n v="102338"/>
    <s v="AB104160"/>
    <x v="8"/>
    <n v="190721"/>
  </r>
  <r>
    <n v="10217"/>
    <n v="4"/>
    <d v="2013-10-12T00:00:00"/>
    <s v="DVD"/>
    <n v="102339"/>
    <s v="AB104161"/>
    <x v="0"/>
    <n v="667170"/>
  </r>
  <r>
    <n v="10109"/>
    <n v="6"/>
    <d v="2013-10-15T00:00:00"/>
    <s v="DVD"/>
    <n v="102339"/>
    <s v="AB104162"/>
    <x v="0"/>
    <n v="667170"/>
  </r>
  <r>
    <n v="10143"/>
    <n v="8"/>
    <d v="2013-10-14T00:00:00"/>
    <s v="DVD"/>
    <n v="102341"/>
    <s v="AB104166"/>
    <x v="3"/>
    <n v="592726"/>
  </r>
  <r>
    <n v="10209"/>
    <n v="3"/>
    <d v="2013-10-12T00:00:00"/>
    <s v="DVD"/>
    <n v="102341"/>
    <s v="AB104167"/>
    <x v="7"/>
    <n v="592726"/>
  </r>
  <r>
    <n v="10288"/>
    <n v="9"/>
    <d v="2013-10-11T00:00:00"/>
    <s v="DVD"/>
    <n v="102342"/>
    <s v="AB104168"/>
    <x v="12"/>
    <n v="720602"/>
  </r>
  <r>
    <n v="10194"/>
    <n v="2"/>
    <d v="2013-10-11T00:00:00"/>
    <s v="DVD"/>
    <n v="102342"/>
    <s v="AB104169"/>
    <x v="16"/>
    <n v="720602"/>
  </r>
  <r>
    <n v="10260"/>
    <n v="4"/>
    <d v="2013-10-17T00:00:00"/>
    <s v="DVD"/>
    <n v="102343"/>
    <s v="AB104170"/>
    <x v="4"/>
    <n v="932618"/>
  </r>
  <r>
    <n v="10295"/>
    <n v="10"/>
    <d v="2013-10-12T00:00:00"/>
    <s v="DVD"/>
    <n v="102344"/>
    <s v="AB104173"/>
    <x v="21"/>
    <n v="427391"/>
  </r>
  <r>
    <n v="10270"/>
    <n v="10"/>
    <d v="2013-10-14T00:00:00"/>
    <s v="DVD"/>
    <n v="102346"/>
    <s v="AB104177"/>
    <x v="9"/>
    <n v="567719"/>
  </r>
  <r>
    <n v="10270"/>
    <n v="7"/>
    <d v="2013-10-12T00:00:00"/>
    <s v="BLU-RAY"/>
    <n v="102347"/>
    <s v="AB104179"/>
    <x v="9"/>
    <n v="607810"/>
  </r>
  <r>
    <n v="10295"/>
    <n v="6"/>
    <d v="2013-10-14T00:00:00"/>
    <s v="DVD"/>
    <n v="102350"/>
    <s v="AB104182"/>
    <x v="21"/>
    <n v="884729"/>
  </r>
  <r>
    <n v="10178"/>
    <n v="5"/>
    <d v="2013-10-13T00:00:00"/>
    <s v="DVD"/>
    <n v="102351"/>
    <s v="AB104183"/>
    <x v="0"/>
    <n v="900440"/>
  </r>
  <r>
    <n v="10299"/>
    <n v="4"/>
    <d v="2013-10-13T00:00:00"/>
    <s v="BLU-RAY"/>
    <n v="102352"/>
    <s v="AB104187"/>
    <x v="22"/>
    <n v="549823"/>
  </r>
  <r>
    <n v="10167"/>
    <n v="5"/>
    <d v="2013-10-13T00:00:00"/>
    <s v="BLU-RAY"/>
    <n v="102353"/>
    <s v="AB104188"/>
    <x v="7"/>
    <n v="575903"/>
  </r>
  <r>
    <n v="10286"/>
    <n v="6"/>
    <d v="2013-10-13T00:00:00"/>
    <s v="DVD"/>
    <n v="102354"/>
    <s v="AB104190"/>
    <x v="17"/>
    <n v="926144"/>
  </r>
  <r>
    <n v="10238"/>
    <n v="4"/>
    <d v="2013-10-17T00:00:00"/>
    <s v="DVD"/>
    <n v="102355"/>
    <s v="AB104192"/>
    <x v="0"/>
    <n v="808421"/>
  </r>
  <r>
    <n v="10085"/>
    <n v="1"/>
    <d v="2013-10-13T00:00:00"/>
    <s v="DVD"/>
    <n v="102357"/>
    <s v="AB104197"/>
    <x v="3"/>
    <n v="657736"/>
  </r>
  <r>
    <n v="10216"/>
    <n v="8"/>
    <d v="2013-10-13T00:00:00"/>
    <s v="DVD"/>
    <n v="102357"/>
    <s v="AB104198"/>
    <x v="4"/>
    <n v="657736"/>
  </r>
  <r>
    <n v="10248"/>
    <n v="5"/>
    <d v="2013-10-15T00:00:00"/>
    <s v="DVD"/>
    <n v="102358"/>
    <s v="AB104199"/>
    <x v="12"/>
    <n v="207846"/>
  </r>
  <r>
    <n v="10107"/>
    <n v="5"/>
    <d v="2013-10-14T00:00:00"/>
    <s v="BLU-RAY"/>
    <n v="102360"/>
    <s v="AB104204"/>
    <x v="7"/>
    <n v="897980"/>
  </r>
  <r>
    <n v="10074"/>
    <n v="4"/>
    <d v="2013-10-15T00:00:00"/>
    <s v="DVD"/>
    <n v="102361"/>
    <s v="AB104206"/>
    <x v="11"/>
    <n v="308505"/>
  </r>
  <r>
    <n v="10175"/>
    <n v="7"/>
    <d v="2013-10-14T00:00:00"/>
    <s v="DVD"/>
    <n v="102362"/>
    <s v="AB104208"/>
    <x v="3"/>
    <n v="893039"/>
  </r>
  <r>
    <n v="10275"/>
    <n v="3"/>
    <d v="2013-10-15T00:00:00"/>
    <s v="DVD"/>
    <n v="102363"/>
    <s v="AB104209"/>
    <x v="10"/>
    <n v="116934"/>
  </r>
  <r>
    <n v="10265"/>
    <n v="9"/>
    <d v="2013-10-17T00:00:00"/>
    <s v="BLU-RAY"/>
    <n v="102365"/>
    <s v="AB104211"/>
    <x v="0"/>
    <n v="498970"/>
  </r>
  <r>
    <n v="10285"/>
    <n v="8"/>
    <d v="2013-10-16T00:00:00"/>
    <s v="DVD"/>
    <n v="102365"/>
    <s v="AB104212"/>
    <x v="20"/>
    <n v="498970"/>
  </r>
  <r>
    <n v="10253"/>
    <n v="6"/>
    <d v="2013-10-15T00:00:00"/>
    <s v="DVD"/>
    <n v="102365"/>
    <s v="AB104213"/>
    <x v="3"/>
    <n v="498970"/>
  </r>
  <r>
    <n v="10250"/>
    <n v="6"/>
    <d v="2013-10-17T00:00:00"/>
    <s v="DVD"/>
    <n v="102366"/>
    <s v="AB104215"/>
    <x v="3"/>
    <n v="160392"/>
  </r>
  <r>
    <n v="10285"/>
    <n v="9"/>
    <d v="2013-10-15T00:00:00"/>
    <s v="BLU-RAY"/>
    <n v="102366"/>
    <s v="AB104216"/>
    <x v="20"/>
    <n v="160392"/>
  </r>
  <r>
    <n v="10223"/>
    <n v="3"/>
    <d v="2013-10-15T00:00:00"/>
    <s v="BLU-RAY"/>
    <n v="102369"/>
    <s v="AB104218"/>
    <x v="7"/>
    <n v="296208"/>
  </r>
  <r>
    <n v="10166"/>
    <n v="6"/>
    <d v="2013-10-15T00:00:00"/>
    <s v="DVD"/>
    <n v="102369"/>
    <s v="AB104219"/>
    <x v="9"/>
    <n v="296208"/>
  </r>
  <r>
    <n v="10110"/>
    <n v="2"/>
    <d v="2013-10-16T00:00:00"/>
    <s v="DVD"/>
    <n v="102369"/>
    <s v="AB104220"/>
    <x v="0"/>
    <n v="296208"/>
  </r>
  <r>
    <n v="10204"/>
    <n v="2"/>
    <d v="2013-10-16T00:00:00"/>
    <s v="DVD"/>
    <n v="102370"/>
    <s v="AB104221"/>
    <x v="7"/>
    <n v="283158"/>
  </r>
  <r>
    <n v="10178"/>
    <n v="6"/>
    <d v="2013-10-17T00:00:00"/>
    <s v="DVD"/>
    <n v="102371"/>
    <s v="AB104225"/>
    <x v="0"/>
    <n v="426984"/>
  </r>
  <r>
    <n v="10219"/>
    <n v="6"/>
    <d v="2013-10-16T00:00:00"/>
    <s v="BLU-RAY"/>
    <n v="102372"/>
    <s v="AB104226"/>
    <x v="1"/>
    <n v="193968"/>
  </r>
  <r>
    <n v="10128"/>
    <n v="8"/>
    <d v="2013-10-23T00:00:00"/>
    <s v="DVD"/>
    <n v="102373"/>
    <s v="AB104229"/>
    <x v="6"/>
    <n v="310195"/>
  </r>
  <r>
    <n v="10181"/>
    <n v="10"/>
    <d v="2013-10-17T00:00:00"/>
    <s v="DVD"/>
    <n v="102377"/>
    <s v="AB104235"/>
    <x v="9"/>
    <n v="585972"/>
  </r>
  <r>
    <n v="10296"/>
    <n v="6"/>
    <d v="2013-10-17T00:00:00"/>
    <s v="DVD"/>
    <n v="102378"/>
    <s v="AB104236"/>
    <x v="21"/>
    <n v="464984"/>
  </r>
  <r>
    <n v="10146"/>
    <n v="1"/>
    <d v="2013-10-17T00:00:00"/>
    <s v="DVD"/>
    <n v="102379"/>
    <s v="AB104238"/>
    <x v="4"/>
    <n v="479497"/>
  </r>
  <r>
    <n v="10259"/>
    <n v="2"/>
    <d v="2013-10-23T00:00:00"/>
    <s v="DVD"/>
    <n v="102379"/>
    <s v="AB104239"/>
    <x v="0"/>
    <n v="479497"/>
  </r>
  <r>
    <n v="10258"/>
    <n v="1"/>
    <d v="2013-10-17T00:00:00"/>
    <s v="DVD"/>
    <n v="102379"/>
    <s v="AB104240"/>
    <x v="0"/>
    <n v="479497"/>
  </r>
  <r>
    <n v="10037"/>
    <n v="6"/>
    <d v="2013-10-19T00:00:00"/>
    <s v="DVD"/>
    <n v="102382"/>
    <s v="AB104244"/>
    <x v="3"/>
    <n v="719921"/>
  </r>
  <r>
    <n v="10202"/>
    <n v="4"/>
    <d v="2013-10-18T00:00:00"/>
    <s v="DVD"/>
    <n v="102382"/>
    <s v="AB104245"/>
    <x v="0"/>
    <n v="719921"/>
  </r>
  <r>
    <n v="10236"/>
    <n v="1"/>
    <d v="2013-10-17T00:00:00"/>
    <s v="DVD"/>
    <n v="102383"/>
    <s v="AB104246"/>
    <x v="10"/>
    <n v="806545"/>
  </r>
  <r>
    <n v="10235"/>
    <n v="1"/>
    <d v="2013-10-20T00:00:00"/>
    <s v="DVD"/>
    <n v="102384"/>
    <s v="AB104247"/>
    <x v="10"/>
    <n v="850933"/>
  </r>
  <r>
    <n v="10288"/>
    <n v="10"/>
    <d v="2013-10-18T00:00:00"/>
    <s v="DVD"/>
    <n v="102385"/>
    <s v="AB104250"/>
    <x v="12"/>
    <n v="739669"/>
  </r>
  <r>
    <n v="10283"/>
    <n v="2"/>
    <d v="2013-10-19T00:00:00"/>
    <s v="DVD"/>
    <n v="102386"/>
    <s v="AB104251"/>
    <x v="6"/>
    <n v="884368"/>
  </r>
  <r>
    <n v="10204"/>
    <n v="7"/>
    <d v="2013-10-20T00:00:00"/>
    <s v="DVD"/>
    <n v="102391"/>
    <s v="AB104258"/>
    <x v="7"/>
    <n v="616028"/>
  </r>
  <r>
    <n v="10066"/>
    <n v="4"/>
    <d v="2013-10-19T00:00:00"/>
    <s v="DVD"/>
    <n v="102392"/>
    <s v="AB104259"/>
    <x v="3"/>
    <n v="970794"/>
  </r>
  <r>
    <n v="10042"/>
    <n v="7"/>
    <d v="2013-10-20T00:00:00"/>
    <s v="DVD"/>
    <n v="102393"/>
    <s v="AB104260"/>
    <x v="1"/>
    <n v="970794"/>
  </r>
  <r>
    <n v="10252"/>
    <n v="3"/>
    <d v="2013-10-20T00:00:00"/>
    <s v="DVD"/>
    <n v="102394"/>
    <s v="AB104262"/>
    <x v="0"/>
    <n v="657736"/>
  </r>
  <r>
    <n v="10235"/>
    <n v="2"/>
    <d v="2013-10-20T00:00:00"/>
    <s v="DVD"/>
    <n v="102394"/>
    <s v="AB104265"/>
    <x v="10"/>
    <n v="657736"/>
  </r>
  <r>
    <n v="10106"/>
    <n v="9"/>
    <d v="2013-10-22T00:00:00"/>
    <s v="DVD"/>
    <n v="102395"/>
    <s v="AB104267"/>
    <x v="9"/>
    <n v="580783"/>
  </r>
  <r>
    <n v="10193"/>
    <n v="5"/>
    <d v="2013-10-19T00:00:00"/>
    <s v="BLU-RAY"/>
    <n v="102395"/>
    <s v="AB104269"/>
    <x v="9"/>
    <n v="580783"/>
  </r>
  <r>
    <n v="10226"/>
    <n v="5"/>
    <d v="2013-10-19T00:00:00"/>
    <s v="BLU-RAY"/>
    <n v="102396"/>
    <s v="AB104270"/>
    <x v="4"/>
    <n v="137696"/>
  </r>
  <r>
    <n v="10275"/>
    <n v="5"/>
    <d v="2013-10-20T00:00:00"/>
    <s v="BLU-RAY"/>
    <n v="102396"/>
    <s v="AB104271"/>
    <x v="10"/>
    <n v="137696"/>
  </r>
  <r>
    <n v="10212"/>
    <n v="6"/>
    <d v="2013-10-19T00:00:00"/>
    <s v="DVD"/>
    <n v="102398"/>
    <s v="AB104275"/>
    <x v="10"/>
    <n v="610766"/>
  </r>
  <r>
    <n v="10184"/>
    <n v="10"/>
    <d v="2013-10-20T00:00:00"/>
    <s v="DVD"/>
    <n v="102399"/>
    <s v="AB104277"/>
    <x v="7"/>
    <n v="566192"/>
  </r>
  <r>
    <n v="10245"/>
    <n v="5"/>
    <d v="2013-10-20T00:00:00"/>
    <s v="BLU-RAY"/>
    <n v="102400"/>
    <s v="AB104278"/>
    <x v="0"/>
    <n v="175871"/>
  </r>
  <r>
    <n v="10215"/>
    <n v="9"/>
    <d v="2013-10-23T00:00:00"/>
    <s v="DVD"/>
    <n v="102402"/>
    <s v="AB104282"/>
    <x v="1"/>
    <n v="548800"/>
  </r>
  <r>
    <n v="10271"/>
    <n v="8"/>
    <d v="2013-10-21T00:00:00"/>
    <s v="DVD"/>
    <n v="102402"/>
    <s v="AB104283"/>
    <x v="7"/>
    <n v="548800"/>
  </r>
  <r>
    <n v="10103"/>
    <n v="7"/>
    <d v="2013-10-20T00:00:00"/>
    <s v="DVD"/>
    <n v="102403"/>
    <s v="AB104284"/>
    <x v="9"/>
    <n v="559486"/>
  </r>
  <r>
    <n v="10283"/>
    <n v="8"/>
    <d v="2013-10-22T00:00:00"/>
    <s v="DVD"/>
    <n v="102403"/>
    <s v="AB104285"/>
    <x v="6"/>
    <n v="559486"/>
  </r>
  <r>
    <n v="10187"/>
    <n v="8"/>
    <d v="2013-10-22T00:00:00"/>
    <s v="DVD"/>
    <n v="102404"/>
    <s v="AB104286"/>
    <x v="1"/>
    <n v="332324"/>
  </r>
  <r>
    <n v="10112"/>
    <n v="4"/>
    <d v="2013-10-21T00:00:00"/>
    <s v="BLU-RAY"/>
    <n v="102404"/>
    <s v="AB104287"/>
    <x v="12"/>
    <n v="332324"/>
  </r>
  <r>
    <n v="10235"/>
    <n v="4"/>
    <d v="2013-10-21T00:00:00"/>
    <s v="DVD"/>
    <n v="102405"/>
    <s v="AB104289"/>
    <x v="10"/>
    <n v="484909"/>
  </r>
  <r>
    <n v="10125"/>
    <n v="8"/>
    <d v="2013-10-21T00:00:00"/>
    <s v="DVD"/>
    <n v="102405"/>
    <s v="AB104290"/>
    <x v="9"/>
    <n v="484909"/>
  </r>
  <r>
    <n v="10223"/>
    <n v="8"/>
    <d v="2013-10-23T00:00:00"/>
    <s v="DVD"/>
    <n v="102407"/>
    <s v="AB104292"/>
    <x v="7"/>
    <n v="470304"/>
  </r>
  <r>
    <n v="10066"/>
    <n v="3"/>
    <d v="2013-10-21T00:00:00"/>
    <s v="DVD"/>
    <n v="102407"/>
    <s v="AB104293"/>
    <x v="3"/>
    <n v="470304"/>
  </r>
  <r>
    <n v="10177"/>
    <n v="2"/>
    <d v="2013-10-22T00:00:00"/>
    <s v="DVD"/>
    <n v="102411"/>
    <s v="AB104300"/>
    <x v="9"/>
    <n v="186353"/>
  </r>
  <r>
    <n v="10097"/>
    <n v="2"/>
    <d v="2013-10-22T00:00:00"/>
    <s v="BLU-RAY"/>
    <n v="102413"/>
    <s v="AB104305"/>
    <x v="8"/>
    <n v="454143"/>
  </r>
  <r>
    <n v="10099"/>
    <n v="6"/>
    <d v="2013-10-22T00:00:00"/>
    <s v="DVD"/>
    <n v="102414"/>
    <s v="AB104308"/>
    <x v="10"/>
    <n v="464984"/>
  </r>
  <r>
    <n v="10071"/>
    <n v="5"/>
    <d v="2013-10-23T00:00:00"/>
    <s v="DVD"/>
    <n v="102415"/>
    <s v="AB104309"/>
    <x v="1"/>
    <n v="888952"/>
  </r>
  <r>
    <n v="10248"/>
    <n v="10"/>
    <d v="2013-10-23T00:00:00"/>
    <s v="DVD"/>
    <n v="102416"/>
    <s v="AB104311"/>
    <x v="12"/>
    <n v="817500"/>
  </r>
  <r>
    <n v="10207"/>
    <n v="3"/>
    <d v="2013-10-25T00:00:00"/>
    <s v="BLU-RAY"/>
    <n v="102417"/>
    <s v="AB104313"/>
    <x v="1"/>
    <n v="723057"/>
  </r>
  <r>
    <n v="10156"/>
    <n v="10"/>
    <d v="2013-10-24T00:00:00"/>
    <s v="DVD"/>
    <n v="102417"/>
    <s v="AB104315"/>
    <x v="3"/>
    <n v="723057"/>
  </r>
  <r>
    <n v="10252"/>
    <n v="3"/>
    <d v="2013-10-24T00:00:00"/>
    <s v="DVD"/>
    <n v="102419"/>
    <s v="AB104318"/>
    <x v="0"/>
    <n v="616028"/>
  </r>
  <r>
    <n v="10148"/>
    <n v="9"/>
    <d v="2013-10-27T00:00:00"/>
    <s v="DVD"/>
    <n v="102419"/>
    <s v="AB104319"/>
    <x v="1"/>
    <n v="616028"/>
  </r>
  <r>
    <n v="10275"/>
    <n v="2"/>
    <d v="2013-10-23T00:00:00"/>
    <s v="DVD"/>
    <n v="102419"/>
    <s v="AB104320"/>
    <x v="10"/>
    <n v="616028"/>
  </r>
  <r>
    <n v="10290"/>
    <n v="2"/>
    <d v="2013-10-23T00:00:00"/>
    <s v="DVD"/>
    <n v="102420"/>
    <s v="AB104321"/>
    <x v="2"/>
    <n v="442254"/>
  </r>
  <r>
    <n v="10146"/>
    <n v="9"/>
    <d v="2013-10-23T00:00:00"/>
    <s v="DVD"/>
    <n v="102420"/>
    <s v="AB104322"/>
    <x v="4"/>
    <n v="442254"/>
  </r>
  <r>
    <n v="10274"/>
    <n v="6"/>
    <d v="2013-10-23T00:00:00"/>
    <s v="BLU-RAY"/>
    <n v="102421"/>
    <s v="AB104324"/>
    <x v="9"/>
    <n v="517477"/>
  </r>
  <r>
    <n v="10211"/>
    <n v="1"/>
    <d v="2013-10-23T00:00:00"/>
    <s v="DVD"/>
    <n v="102422"/>
    <s v="AB104327"/>
    <x v="3"/>
    <n v="442254"/>
  </r>
  <r>
    <n v="10005"/>
    <n v="5"/>
    <d v="2013-10-25T00:00:00"/>
    <s v="DVD"/>
    <n v="102423"/>
    <s v="AB104328"/>
    <x v="3"/>
    <n v="435907"/>
  </r>
  <r>
    <n v="10213"/>
    <n v="1"/>
    <d v="2013-10-24T00:00:00"/>
    <s v="DVD"/>
    <n v="102424"/>
    <s v="AB104331"/>
    <x v="4"/>
    <n v="766737"/>
  </r>
  <r>
    <n v="10104"/>
    <n v="7"/>
    <d v="2013-10-26T00:00:00"/>
    <s v="DVD"/>
    <n v="102424"/>
    <s v="AB104332"/>
    <x v="7"/>
    <n v="766737"/>
  </r>
  <r>
    <n v="10052"/>
    <n v="1"/>
    <d v="2013-10-24T00:00:00"/>
    <s v="BLU-RAY"/>
    <n v="102426"/>
    <s v="AB104337"/>
    <x v="0"/>
    <n v="840096"/>
  </r>
  <r>
    <n v="10185"/>
    <n v="10"/>
    <d v="2013-10-26T00:00:00"/>
    <s v="DVD"/>
    <n v="102426"/>
    <s v="AB104339"/>
    <x v="0"/>
    <n v="840096"/>
  </r>
  <r>
    <n v="10249"/>
    <n v="7"/>
    <d v="2013-10-28T00:00:00"/>
    <s v="DVD"/>
    <n v="102428"/>
    <s v="AB104341"/>
    <x v="5"/>
    <n v="403000"/>
  </r>
  <r>
    <n v="10052"/>
    <n v="9"/>
    <d v="2013-10-24T00:00:00"/>
    <s v="DVD"/>
    <n v="102428"/>
    <s v="AB104342"/>
    <x v="0"/>
    <n v="403000"/>
  </r>
  <r>
    <n v="10092"/>
    <n v="5"/>
    <d v="2013-10-26T00:00:00"/>
    <s v="DVD"/>
    <n v="102429"/>
    <s v="AB104344"/>
    <x v="0"/>
    <n v="814317"/>
  </r>
  <r>
    <n v="10245"/>
    <n v="10"/>
    <d v="2013-10-28T00:00:00"/>
    <s v="DVD"/>
    <n v="102429"/>
    <s v="AB104345"/>
    <x v="0"/>
    <n v="814317"/>
  </r>
  <r>
    <n v="10183"/>
    <n v="1"/>
    <d v="2013-10-28T00:00:00"/>
    <s v="DVD"/>
    <n v="102430"/>
    <s v="AB104347"/>
    <x v="4"/>
    <n v="366695"/>
  </r>
  <r>
    <n v="10155"/>
    <n v="7"/>
    <d v="2013-10-29T00:00:00"/>
    <s v="BLU-RAY"/>
    <n v="102431"/>
    <s v="AB104349"/>
    <x v="9"/>
    <n v="817274"/>
  </r>
  <r>
    <n v="10192"/>
    <n v="3"/>
    <d v="2013-10-25T00:00:00"/>
    <s v="DVD"/>
    <n v="102432"/>
    <s v="AB104350"/>
    <x v="7"/>
    <n v="714947"/>
  </r>
  <r>
    <n v="10256"/>
    <n v="7"/>
    <d v="2013-10-27T00:00:00"/>
    <s v="DVD"/>
    <n v="102434"/>
    <s v="AB104351"/>
    <x v="9"/>
    <n v="646700"/>
  </r>
  <r>
    <n v="10275"/>
    <n v="3"/>
    <d v="2013-10-25T00:00:00"/>
    <s v="BLU-RAY"/>
    <n v="102435"/>
    <s v="AB104352"/>
    <x v="10"/>
    <n v="515753"/>
  </r>
  <r>
    <n v="10222"/>
    <n v="6"/>
    <d v="2013-10-27T00:00:00"/>
    <s v="DVD"/>
    <n v="102436"/>
    <s v="AB104354"/>
    <x v="4"/>
    <n v="468692"/>
  </r>
  <r>
    <n v="10171"/>
    <n v="1"/>
    <d v="2013-10-26T00:00:00"/>
    <s v="DVD"/>
    <n v="102437"/>
    <s v="AB104356"/>
    <x v="7"/>
    <n v="317461"/>
  </r>
  <r>
    <n v="10200"/>
    <n v="7"/>
    <d v="2013-10-26T00:00:00"/>
    <s v="DVD"/>
    <n v="102439"/>
    <s v="AB104357"/>
    <x v="9"/>
    <n v="229742"/>
  </r>
  <r>
    <n v="10246"/>
    <n v="10"/>
    <d v="2013-10-29T00:00:00"/>
    <s v="BLU-RAY"/>
    <n v="102439"/>
    <s v="AB104359"/>
    <x v="2"/>
    <n v="229742"/>
  </r>
  <r>
    <n v="10241"/>
    <n v="8"/>
    <d v="2013-10-26T00:00:00"/>
    <s v="DVD"/>
    <n v="102440"/>
    <s v="AB104360"/>
    <x v="0"/>
    <n v="622506"/>
  </r>
  <r>
    <n v="10259"/>
    <n v="4"/>
    <d v="2013-10-29T00:00:00"/>
    <s v="DVD"/>
    <n v="102443"/>
    <s v="AB104369"/>
    <x v="0"/>
    <n v="619910"/>
  </r>
  <r>
    <n v="10210"/>
    <n v="6"/>
    <d v="2013-10-27T00:00:00"/>
    <s v="DVD"/>
    <n v="102444"/>
    <s v="AB104370"/>
    <x v="4"/>
    <n v="494106"/>
  </r>
  <r>
    <n v="10043"/>
    <n v="10"/>
    <d v="2013-10-27T00:00:00"/>
    <s v="DVD"/>
    <n v="102445"/>
    <s v="AB104372"/>
    <x v="8"/>
    <n v="524667"/>
  </r>
  <r>
    <n v="10212"/>
    <n v="10"/>
    <d v="2013-10-27T00:00:00"/>
    <s v="DVD"/>
    <n v="102446"/>
    <s v="AB104374"/>
    <x v="10"/>
    <n v="442254"/>
  </r>
  <r>
    <n v="10115"/>
    <n v="8"/>
    <d v="2013-10-29T00:00:00"/>
    <s v="DVD"/>
    <n v="102447"/>
    <s v="AB104378"/>
    <x v="11"/>
    <n v="498153"/>
  </r>
  <r>
    <n v="10274"/>
    <n v="8"/>
    <d v="2013-10-29T00:00:00"/>
    <s v="DVD"/>
    <n v="102449"/>
    <s v="AB104383"/>
    <x v="9"/>
    <n v="191951"/>
  </r>
  <r>
    <n v="10282"/>
    <n v="10"/>
    <d v="2013-10-30T00:00:00"/>
    <s v="DVD"/>
    <n v="102450"/>
    <s v="AB104385"/>
    <x v="15"/>
    <n v="762509"/>
  </r>
  <r>
    <n v="10274"/>
    <n v="8"/>
    <d v="2013-10-27T00:00:00"/>
    <s v="DVD"/>
    <n v="102450"/>
    <s v="AB104386"/>
    <x v="9"/>
    <n v="762509"/>
  </r>
  <r>
    <n v="10269"/>
    <n v="10"/>
    <d v="2013-10-30T00:00:00"/>
    <s v="DVD"/>
    <n v="102451"/>
    <s v="AB104388"/>
    <x v="3"/>
    <n v="926289"/>
  </r>
  <r>
    <n v="10203"/>
    <n v="7"/>
    <d v="2013-10-28T00:00:00"/>
    <s v="DVD"/>
    <n v="102453"/>
    <s v="AB104391"/>
    <x v="3"/>
    <n v="370366"/>
  </r>
  <r>
    <n v="10239"/>
    <n v="8"/>
    <d v="2013-10-29T00:00:00"/>
    <s v="DVD"/>
    <n v="102454"/>
    <s v="AB104394"/>
    <x v="2"/>
    <n v="944523"/>
  </r>
  <r>
    <n v="10189"/>
    <n v="1"/>
    <d v="2013-10-31T00:00:00"/>
    <s v="DVD"/>
    <n v="102456"/>
    <s v="AB104397"/>
    <x v="7"/>
    <n v="586201"/>
  </r>
  <r>
    <n v="10124"/>
    <n v="2"/>
    <d v="2013-10-28T00:00:00"/>
    <s v="DVD"/>
    <n v="102457"/>
    <s v="AB104400"/>
    <x v="1"/>
    <n v="657736"/>
  </r>
  <r>
    <n v="10239"/>
    <n v="4"/>
    <d v="2013-10-28T00:00:00"/>
    <s v="DVD"/>
    <n v="102457"/>
    <s v="AB104402"/>
    <x v="2"/>
    <n v="657736"/>
  </r>
  <r>
    <n v="10219"/>
    <n v="1"/>
    <d v="2013-10-28T00:00:00"/>
    <s v="BLU-RAY"/>
    <n v="102458"/>
    <s v="AB104403"/>
    <x v="1"/>
    <n v="170500"/>
  </r>
  <r>
    <n v="10097"/>
    <n v="1"/>
    <d v="2013-10-30T00:00:00"/>
    <s v="DVD"/>
    <n v="102459"/>
    <s v="AB104406"/>
    <x v="8"/>
    <n v="324435"/>
  </r>
  <r>
    <n v="10229"/>
    <n v="8"/>
    <d v="2013-10-31T00:00:00"/>
    <s v="DVD"/>
    <n v="102461"/>
    <s v="AB104410"/>
    <x v="6"/>
    <n v="755271"/>
  </r>
  <r>
    <n v="10199"/>
    <n v="8"/>
    <d v="2013-10-30T00:00:00"/>
    <s v="DVD"/>
    <n v="102464"/>
    <s v="AB104413"/>
    <x v="10"/>
    <n v="478274"/>
  </r>
  <r>
    <n v="10196"/>
    <n v="7"/>
    <d v="2013-10-30T00:00:00"/>
    <s v="DVD"/>
    <n v="102466"/>
    <s v="AB104417"/>
    <x v="9"/>
    <n v="332324"/>
  </r>
  <r>
    <n v="10231"/>
    <n v="5"/>
    <d v="2013-11-01T00:00:00"/>
    <s v="DVD"/>
    <n v="102468"/>
    <s v="AB104420"/>
    <x v="7"/>
    <n v="810369"/>
  </r>
  <r>
    <n v="10291"/>
    <n v="4"/>
    <d v="2013-10-31T00:00:00"/>
    <s v="DVD"/>
    <n v="102468"/>
    <s v="AB104421"/>
    <x v="0"/>
    <n v="810369"/>
  </r>
  <r>
    <n v="10113"/>
    <n v="5"/>
    <d v="2013-10-30T00:00:00"/>
    <s v="DVD"/>
    <n v="102470"/>
    <s v="AB104424"/>
    <x v="10"/>
    <n v="743517"/>
  </r>
  <r>
    <n v="10140"/>
    <n v="3"/>
    <d v="2013-10-30T00:00:00"/>
    <s v="DVD"/>
    <n v="102471"/>
    <s v="AB104426"/>
    <x v="2"/>
    <n v="707458"/>
  </r>
  <r>
    <n v="10117"/>
    <n v="6"/>
    <d v="2013-10-30T00:00:00"/>
    <s v="DVD"/>
    <n v="102471"/>
    <s v="AB104427"/>
    <x v="4"/>
    <n v="707458"/>
  </r>
  <r>
    <n v="10255"/>
    <n v="7"/>
    <d v="2013-10-31T00:00:00"/>
    <s v="DVD"/>
    <n v="102471"/>
    <s v="AB104428"/>
    <x v="1"/>
    <n v="707458"/>
  </r>
  <r>
    <n v="10213"/>
    <n v="5"/>
    <d v="2013-10-30T00:00:00"/>
    <s v="DVD"/>
    <n v="102472"/>
    <s v="AB104429"/>
    <x v="4"/>
    <n v="344702"/>
  </r>
  <r>
    <n v="10272"/>
    <n v="1"/>
    <d v="2013-10-30T00:00:00"/>
    <s v="DVD"/>
    <n v="102472"/>
    <s v="AB104430"/>
    <x v="4"/>
    <n v="344702"/>
  </r>
  <r>
    <n v="10265"/>
    <n v="9"/>
    <d v="2013-10-31T00:00:00"/>
    <s v="DVD"/>
    <n v="102473"/>
    <s v="AB104433"/>
    <x v="0"/>
    <n v="464782"/>
  </r>
  <r>
    <n v="10265"/>
    <n v="6"/>
    <d v="2013-11-02T00:00:00"/>
    <s v="DVD"/>
    <n v="102474"/>
    <s v="AB104434"/>
    <x v="0"/>
    <n v="516619"/>
  </r>
  <r>
    <n v="10051"/>
    <n v="10"/>
    <d v="2013-10-31T00:00:00"/>
    <s v="BLU-RAY"/>
    <n v="102474"/>
    <s v="AB104435"/>
    <x v="1"/>
    <n v="516619"/>
  </r>
  <r>
    <n v="10169"/>
    <n v="4"/>
    <d v="2013-10-30T00:00:00"/>
    <s v="DVD"/>
    <n v="102474"/>
    <s v="AB104436"/>
    <x v="0"/>
    <n v="516619"/>
  </r>
  <r>
    <n v="10235"/>
    <n v="9"/>
    <d v="2013-11-02T00:00:00"/>
    <s v="BLU-RAY"/>
    <n v="102474"/>
    <s v="AB104437"/>
    <x v="10"/>
    <n v="516619"/>
  </r>
  <r>
    <n v="10224"/>
    <n v="3"/>
    <d v="2013-10-31T00:00:00"/>
    <s v="DVD"/>
    <n v="102477"/>
    <s v="AB104440"/>
    <x v="17"/>
    <n v="269687"/>
  </r>
  <r>
    <n v="10177"/>
    <n v="2"/>
    <d v="2013-10-31T00:00:00"/>
    <s v="BLU-RAY"/>
    <n v="102478"/>
    <s v="AB104443"/>
    <x v="9"/>
    <n v="734514"/>
  </r>
  <r>
    <n v="10121"/>
    <n v="6"/>
    <d v="2013-10-31T00:00:00"/>
    <s v="BLU-RAY"/>
    <n v="102479"/>
    <s v="AB104444"/>
    <x v="2"/>
    <n v="205927"/>
  </r>
  <r>
    <n v="10289"/>
    <n v="7"/>
    <d v="2013-11-01T00:00:00"/>
    <s v="BLU-RAY"/>
    <n v="102481"/>
    <s v="AB104449"/>
    <x v="11"/>
    <n v="833180"/>
  </r>
  <r>
    <n v="10229"/>
    <n v="5"/>
    <d v="2013-10-31T00:00:00"/>
    <s v="DVD"/>
    <n v="102481"/>
    <s v="AB104450"/>
    <x v="6"/>
    <n v="833180"/>
  </r>
  <r>
    <n v="10153"/>
    <n v="3"/>
    <d v="2013-10-31T00:00:00"/>
    <s v="DVD"/>
    <n v="102482"/>
    <s v="AB104452"/>
    <x v="10"/>
    <n v="247216"/>
  </r>
  <r>
    <n v="10266"/>
    <n v="8"/>
    <d v="2013-11-01T00:00:00"/>
    <s v="DVD"/>
    <n v="102483"/>
    <s v="AB104453"/>
    <x v="4"/>
    <n v="723819"/>
  </r>
  <r>
    <n v="10065"/>
    <n v="1"/>
    <d v="2013-11-01T00:00:00"/>
    <s v="DVD"/>
    <n v="102484"/>
    <s v="AB104458"/>
    <x v="0"/>
    <n v="253106"/>
  </r>
  <r>
    <n v="10178"/>
    <n v="9"/>
    <d v="2013-11-01T00:00:00"/>
    <s v="DVD"/>
    <n v="102486"/>
    <s v="AB104459"/>
    <x v="0"/>
    <n v="250266"/>
  </r>
  <r>
    <n v="10057"/>
    <n v="4"/>
    <d v="2013-11-08T00:00:00"/>
    <s v="BLU-RAY"/>
    <n v="102487"/>
    <s v="AB104461"/>
    <x v="0"/>
    <n v="298508"/>
  </r>
  <r>
    <n v="10276"/>
    <n v="6"/>
    <d v="2013-11-01T00:00:00"/>
    <s v="DVD"/>
    <n v="102488"/>
    <s v="AB104464"/>
    <x v="16"/>
    <n v="386950"/>
  </r>
  <r>
    <n v="10167"/>
    <n v="5"/>
    <d v="2013-11-02T00:00:00"/>
    <s v="BLU-RAY"/>
    <n v="102490"/>
    <s v="AB104467"/>
    <x v="7"/>
    <n v="747066"/>
  </r>
  <r>
    <n v="10217"/>
    <n v="3"/>
    <d v="2013-11-01T00:00:00"/>
    <s v="DVD"/>
    <n v="102490"/>
    <s v="AB104468"/>
    <x v="0"/>
    <n v="747066"/>
  </r>
  <r>
    <n v="10265"/>
    <n v="8"/>
    <d v="2013-11-03T00:00:00"/>
    <s v="DVD"/>
    <n v="102494"/>
    <s v="AB104472"/>
    <x v="0"/>
    <n v="185863"/>
  </r>
  <r>
    <n v="10230"/>
    <n v="1"/>
    <d v="2013-11-05T00:00:00"/>
    <s v="DVD"/>
    <n v="102494"/>
    <s v="AB104473"/>
    <x v="14"/>
    <n v="185863"/>
  </r>
  <r>
    <n v="10198"/>
    <n v="10"/>
    <d v="2013-11-02T00:00:00"/>
    <s v="DVD"/>
    <n v="102494"/>
    <s v="AB104474"/>
    <x v="9"/>
    <n v="185863"/>
  </r>
  <r>
    <n v="10124"/>
    <n v="10"/>
    <d v="2013-11-04T00:00:00"/>
    <s v="DVD"/>
    <n v="102496"/>
    <s v="AB104478"/>
    <x v="1"/>
    <n v="927518"/>
  </r>
  <r>
    <n v="10238"/>
    <n v="6"/>
    <d v="2013-11-02T00:00:00"/>
    <s v="DVD"/>
    <n v="102496"/>
    <s v="AB104479"/>
    <x v="0"/>
    <n v="927518"/>
  </r>
  <r>
    <n v="10256"/>
    <n v="3"/>
    <d v="2013-11-08T00:00:00"/>
    <s v="DVD"/>
    <n v="102497"/>
    <s v="AB104481"/>
    <x v="9"/>
    <n v="622506"/>
  </r>
  <r>
    <n v="10175"/>
    <n v="9"/>
    <d v="2013-11-02T00:00:00"/>
    <s v="DVD"/>
    <n v="102497"/>
    <s v="AB104482"/>
    <x v="3"/>
    <n v="622506"/>
  </r>
  <r>
    <n v="10227"/>
    <n v="3"/>
    <d v="2013-11-03T00:00:00"/>
    <s v="DVD"/>
    <n v="102499"/>
    <s v="AB104484"/>
    <x v="14"/>
    <n v="649551"/>
  </r>
  <r>
    <n v="10237"/>
    <n v="3"/>
    <d v="2013-11-06T00:00:00"/>
    <s v="BLU-RAY"/>
    <n v="102501"/>
    <s v="AB104487"/>
    <x v="0"/>
    <n v="893039"/>
  </r>
  <r>
    <n v="10224"/>
    <n v="8"/>
    <d v="2013-11-04T00:00:00"/>
    <s v="DVD"/>
    <n v="102502"/>
    <s v="AB104489"/>
    <x v="17"/>
    <n v="421074"/>
  </r>
  <r>
    <n v="10169"/>
    <n v="4"/>
    <d v="2013-11-04T00:00:00"/>
    <s v="BLU-RAY"/>
    <n v="102503"/>
    <s v="AB104490"/>
    <x v="0"/>
    <n v="418506"/>
  </r>
  <r>
    <n v="10108"/>
    <n v="4"/>
    <d v="2013-11-03T00:00:00"/>
    <s v="BLU-RAY"/>
    <n v="102504"/>
    <s v="AB104493"/>
    <x v="9"/>
    <n v="893039"/>
  </r>
  <r>
    <n v="10185"/>
    <n v="6"/>
    <d v="2013-11-03T00:00:00"/>
    <s v="BLU-RAY"/>
    <n v="102505"/>
    <s v="AB104494"/>
    <x v="0"/>
    <n v="549823"/>
  </r>
  <r>
    <n v="10203"/>
    <n v="5"/>
    <d v="2013-11-08T00:00:00"/>
    <s v="DVD"/>
    <n v="102506"/>
    <s v="AB104496"/>
    <x v="3"/>
    <n v="936214"/>
  </r>
  <r>
    <n v="10256"/>
    <n v="4"/>
    <d v="2013-11-05T00:00:00"/>
    <s v="DVD"/>
    <n v="102506"/>
    <s v="AB104497"/>
    <x v="9"/>
    <n v="936214"/>
  </r>
  <r>
    <n v="10248"/>
    <n v="10"/>
    <d v="2013-11-09T00:00:00"/>
    <s v="DVD"/>
    <n v="102508"/>
    <s v="AB104500"/>
    <x v="12"/>
    <n v="892883"/>
  </r>
  <r>
    <n v="10038"/>
    <n v="8"/>
    <d v="2013-11-04T00:00:00"/>
    <s v="BLU-RAY"/>
    <n v="102508"/>
    <s v="AB104501"/>
    <x v="1"/>
    <n v="892883"/>
  </r>
  <r>
    <n v="10129"/>
    <n v="7"/>
    <d v="2013-11-07T00:00:00"/>
    <s v="DVD"/>
    <n v="102509"/>
    <s v="AB104503"/>
    <x v="0"/>
    <n v="926144"/>
  </r>
  <r>
    <n v="10163"/>
    <n v="9"/>
    <d v="2013-11-05T00:00:00"/>
    <s v="DVD"/>
    <n v="102509"/>
    <s v="AB104504"/>
    <x v="0"/>
    <n v="926144"/>
  </r>
  <r>
    <n v="10284"/>
    <n v="2"/>
    <d v="2013-11-04T00:00:00"/>
    <s v="DVD"/>
    <n v="102509"/>
    <s v="AB104505"/>
    <x v="14"/>
    <n v="926144"/>
  </r>
  <r>
    <n v="10071"/>
    <n v="10"/>
    <d v="2013-11-04T00:00:00"/>
    <s v="DVD"/>
    <n v="102510"/>
    <s v="AB104506"/>
    <x v="1"/>
    <n v="468692"/>
  </r>
  <r>
    <n v="10170"/>
    <n v="6"/>
    <d v="2013-11-04T00:00:00"/>
    <s v="DVD"/>
    <n v="102511"/>
    <s v="AB104508"/>
    <x v="15"/>
    <n v="610766"/>
  </r>
  <r>
    <n v="10194"/>
    <n v="9"/>
    <d v="2013-11-04T00:00:00"/>
    <s v="DVD"/>
    <n v="102512"/>
    <s v="AB104509"/>
    <x v="16"/>
    <n v="992956"/>
  </r>
  <r>
    <n v="10280"/>
    <n v="9"/>
    <d v="2013-11-06T00:00:00"/>
    <s v="DVD"/>
    <n v="102513"/>
    <s v="AB104511"/>
    <x v="7"/>
    <n v="590616"/>
  </r>
  <r>
    <n v="10155"/>
    <n v="7"/>
    <d v="2013-11-05T00:00:00"/>
    <s v="BLU-RAY"/>
    <n v="102515"/>
    <s v="AB104514"/>
    <x v="9"/>
    <n v="277373"/>
  </r>
  <r>
    <n v="10288"/>
    <n v="5"/>
    <d v="2013-11-06T00:00:00"/>
    <s v="DVD"/>
    <n v="102516"/>
    <s v="AB104517"/>
    <x v="12"/>
    <n v="433442"/>
  </r>
  <r>
    <n v="10155"/>
    <n v="4"/>
    <d v="2013-11-06T00:00:00"/>
    <s v="DVD"/>
    <n v="102517"/>
    <s v="AB104519"/>
    <x v="9"/>
    <n v="762509"/>
  </r>
  <r>
    <n v="10262"/>
    <n v="10"/>
    <d v="2013-11-05T00:00:00"/>
    <s v="DVD"/>
    <n v="102518"/>
    <s v="AB104521"/>
    <x v="10"/>
    <n v="427391"/>
  </r>
  <r>
    <n v="10211"/>
    <n v="4"/>
    <d v="2013-11-06T00:00:00"/>
    <s v="DVD"/>
    <n v="102518"/>
    <s v="AB104522"/>
    <x v="3"/>
    <n v="427391"/>
  </r>
  <r>
    <n v="10183"/>
    <n v="8"/>
    <d v="2013-11-05T00:00:00"/>
    <s v="DVD"/>
    <n v="102520"/>
    <s v="AB104524"/>
    <x v="4"/>
    <n v="999915"/>
  </r>
  <r>
    <n v="10286"/>
    <n v="10"/>
    <d v="2013-11-06T00:00:00"/>
    <s v="DVD"/>
    <n v="102520"/>
    <s v="AB104526"/>
    <x v="17"/>
    <n v="999915"/>
  </r>
  <r>
    <n v="10168"/>
    <n v="10"/>
    <d v="2013-11-06T00:00:00"/>
    <s v="DVD"/>
    <n v="102522"/>
    <s v="AB104532"/>
    <x v="1"/>
    <n v="515790"/>
  </r>
  <r>
    <n v="10084"/>
    <n v="5"/>
    <d v="2013-11-06T00:00:00"/>
    <s v="DVD"/>
    <n v="102524"/>
    <s v="AB104537"/>
    <x v="18"/>
    <n v="994269"/>
  </r>
  <r>
    <n v="10073"/>
    <n v="3"/>
    <d v="2013-11-09T00:00:00"/>
    <s v="DVD"/>
    <n v="102527"/>
    <s v="AB104542"/>
    <x v="16"/>
    <n v="646700"/>
  </r>
  <r>
    <n v="10211"/>
    <n v="1"/>
    <d v="2013-11-08T00:00:00"/>
    <s v="BLU-RAY"/>
    <n v="102527"/>
    <s v="AB104543"/>
    <x v="3"/>
    <n v="646700"/>
  </r>
  <r>
    <n v="10217"/>
    <n v="10"/>
    <d v="2013-11-08T00:00:00"/>
    <s v="DVD"/>
    <n v="102530"/>
    <s v="AB104550"/>
    <x v="0"/>
    <n v="561305"/>
  </r>
  <r>
    <n v="10292"/>
    <n v="6"/>
    <d v="2013-11-08T00:00:00"/>
    <s v="DVD"/>
    <n v="102531"/>
    <s v="AB104551"/>
    <x v="15"/>
    <n v="226909"/>
  </r>
  <r>
    <n v="10113"/>
    <n v="3"/>
    <d v="2013-11-08T00:00:00"/>
    <s v="DVD"/>
    <n v="102532"/>
    <s v="AB104553"/>
    <x v="10"/>
    <n v="590616"/>
  </r>
  <r>
    <n v="10271"/>
    <n v="7"/>
    <d v="2013-11-07T00:00:00"/>
    <s v="DVD"/>
    <n v="102533"/>
    <s v="AB104556"/>
    <x v="7"/>
    <n v="852925"/>
  </r>
  <r>
    <n v="10193"/>
    <n v="4"/>
    <d v="2013-11-15T00:00:00"/>
    <s v="DVD"/>
    <n v="102534"/>
    <s v="AB104557"/>
    <x v="9"/>
    <n v="840096"/>
  </r>
  <r>
    <n v="10274"/>
    <n v="10"/>
    <d v="2013-11-08T00:00:00"/>
    <s v="DVD"/>
    <n v="102535"/>
    <s v="AB104560"/>
    <x v="9"/>
    <n v="352644"/>
  </r>
  <r>
    <n v="10155"/>
    <n v="7"/>
    <d v="2013-11-08T00:00:00"/>
    <s v="BLU-RAY"/>
    <n v="102535"/>
    <s v="AB104561"/>
    <x v="9"/>
    <n v="352644"/>
  </r>
  <r>
    <n v="10219"/>
    <n v="10"/>
    <d v="2013-11-09T00:00:00"/>
    <s v="DVD"/>
    <n v="102537"/>
    <s v="AB104564"/>
    <x v="1"/>
    <n v="127472"/>
  </r>
  <r>
    <n v="10292"/>
    <n v="5"/>
    <d v="2013-11-09T00:00:00"/>
    <s v="DVD"/>
    <n v="102537"/>
    <s v="AB104565"/>
    <x v="15"/>
    <n v="127472"/>
  </r>
  <r>
    <n v="10090"/>
    <n v="2"/>
    <d v="2013-11-11T00:00:00"/>
    <s v="DVD"/>
    <n v="102539"/>
    <s v="AB104569"/>
    <x v="1"/>
    <n v="696852"/>
  </r>
  <r>
    <n v="10254"/>
    <n v="5"/>
    <d v="2013-11-09T00:00:00"/>
    <s v="DVD"/>
    <n v="102542"/>
    <s v="AB104576"/>
    <x v="1"/>
    <n v="216475"/>
  </r>
  <r>
    <n v="10219"/>
    <n v="3"/>
    <d v="2013-11-09T00:00:00"/>
    <s v="DVD"/>
    <n v="102542"/>
    <s v="AB104577"/>
    <x v="1"/>
    <n v="216475"/>
  </r>
  <r>
    <n v="10057"/>
    <n v="9"/>
    <d v="2013-11-12T00:00:00"/>
    <s v="DVD"/>
    <n v="102543"/>
    <s v="AB104578"/>
    <x v="0"/>
    <n v="706101"/>
  </r>
  <r>
    <n v="10267"/>
    <n v="5"/>
    <d v="2013-11-12T00:00:00"/>
    <s v="DVD"/>
    <n v="102544"/>
    <s v="AB104580"/>
    <x v="6"/>
    <n v="347189"/>
  </r>
  <r>
    <n v="10233"/>
    <n v="4"/>
    <d v="2013-11-09T00:00:00"/>
    <s v="DVD"/>
    <n v="102545"/>
    <s v="AB104582"/>
    <x v="8"/>
    <n v="412929"/>
  </r>
  <r>
    <n v="10206"/>
    <n v="8"/>
    <d v="2013-11-11T00:00:00"/>
    <s v="DVD"/>
    <n v="102546"/>
    <s v="AB104583"/>
    <x v="9"/>
    <n v="665282"/>
  </r>
  <r>
    <n v="10290"/>
    <n v="5"/>
    <d v="2013-11-10T00:00:00"/>
    <s v="DVD"/>
    <n v="102546"/>
    <s v="AB104585"/>
    <x v="2"/>
    <n v="665282"/>
  </r>
  <r>
    <n v="10137"/>
    <n v="4"/>
    <d v="2013-11-11T00:00:00"/>
    <s v="DVD"/>
    <n v="102547"/>
    <s v="AB104587"/>
    <x v="3"/>
    <n v="781523"/>
  </r>
  <r>
    <n v="10196"/>
    <n v="9"/>
    <d v="2013-11-10T00:00:00"/>
    <s v="BLU-RAY"/>
    <n v="102547"/>
    <s v="AB104588"/>
    <x v="9"/>
    <n v="781523"/>
  </r>
  <r>
    <n v="10230"/>
    <n v="1"/>
    <d v="2013-11-10T00:00:00"/>
    <s v="BLU-RAY"/>
    <n v="102548"/>
    <s v="AB104589"/>
    <x v="14"/>
    <n v="353846"/>
  </r>
  <r>
    <n v="10234"/>
    <n v="2"/>
    <d v="2013-11-10T00:00:00"/>
    <s v="DVD"/>
    <n v="102548"/>
    <s v="AB104591"/>
    <x v="0"/>
    <n v="353846"/>
  </r>
  <r>
    <n v="10072"/>
    <n v="10"/>
    <d v="2013-11-13T00:00:00"/>
    <s v="BLU-RAY"/>
    <n v="102549"/>
    <s v="AB104593"/>
    <x v="1"/>
    <n v="592592"/>
  </r>
  <r>
    <n v="10241"/>
    <n v="10"/>
    <d v="2013-11-10T00:00:00"/>
    <s v="DVD"/>
    <n v="102549"/>
    <s v="AB104594"/>
    <x v="0"/>
    <n v="592592"/>
  </r>
  <r>
    <n v="10255"/>
    <n v="7"/>
    <d v="2013-11-10T00:00:00"/>
    <s v="DVD"/>
    <n v="102550"/>
    <s v="AB104595"/>
    <x v="1"/>
    <n v="418521"/>
  </r>
  <r>
    <n v="10089"/>
    <n v="6"/>
    <d v="2013-11-11T00:00:00"/>
    <s v="DVD"/>
    <n v="102551"/>
    <s v="AB104596"/>
    <x v="4"/>
    <n v="137696"/>
  </r>
  <r>
    <n v="10069"/>
    <n v="6"/>
    <d v="2013-11-10T00:00:00"/>
    <s v="DVD"/>
    <n v="102551"/>
    <s v="AB104597"/>
    <x v="0"/>
    <n v="137696"/>
  </r>
  <r>
    <n v="10079"/>
    <n v="9"/>
    <d v="2013-11-11T00:00:00"/>
    <s v="DVD"/>
    <n v="102551"/>
    <s v="AB104598"/>
    <x v="0"/>
    <n v="137696"/>
  </r>
  <r>
    <n v="10215"/>
    <n v="8"/>
    <d v="2013-11-13T00:00:00"/>
    <s v="BLU-RAY"/>
    <n v="102552"/>
    <s v="AB104599"/>
    <x v="1"/>
    <n v="500350"/>
  </r>
  <r>
    <n v="10102"/>
    <n v="8"/>
    <d v="2013-11-10T00:00:00"/>
    <s v="DVD"/>
    <n v="102552"/>
    <s v="AB104600"/>
    <x v="7"/>
    <n v="500350"/>
  </r>
  <r>
    <n v="10286"/>
    <n v="3"/>
    <d v="2013-11-12T00:00:00"/>
    <s v="DVD"/>
    <n v="102558"/>
    <s v="AB104606"/>
    <x v="17"/>
    <n v="961080"/>
  </r>
  <r>
    <n v="10077"/>
    <n v="1"/>
    <d v="2013-11-12T00:00:00"/>
    <s v="DVD"/>
    <n v="102559"/>
    <s v="AB104609"/>
    <x v="0"/>
    <n v="175940"/>
  </r>
  <r>
    <n v="10133"/>
    <n v="1"/>
    <d v="2013-11-12T00:00:00"/>
    <s v="DVD"/>
    <n v="102561"/>
    <s v="AB104610"/>
    <x v="9"/>
    <n v="676155"/>
  </r>
  <r>
    <n v="10090"/>
    <n v="5"/>
    <d v="2013-11-11T00:00:00"/>
    <s v="DVD"/>
    <n v="102561"/>
    <s v="AB104612"/>
    <x v="1"/>
    <n v="676155"/>
  </r>
  <r>
    <n v="10201"/>
    <n v="4"/>
    <d v="2013-11-13T00:00:00"/>
    <s v="DVD"/>
    <n v="102562"/>
    <s v="AB104614"/>
    <x v="8"/>
    <n v="924649"/>
  </r>
  <r>
    <n v="10197"/>
    <n v="9"/>
    <d v="2013-11-13T00:00:00"/>
    <s v="DVD"/>
    <n v="102563"/>
    <s v="AB104617"/>
    <x v="0"/>
    <n v="134457"/>
  </r>
  <r>
    <n v="10160"/>
    <n v="6"/>
    <d v="2013-11-12T00:00:00"/>
    <s v="DVD"/>
    <n v="102567"/>
    <s v="AB104622"/>
    <x v="10"/>
    <n v="734624"/>
  </r>
  <r>
    <n v="10228"/>
    <n v="5"/>
    <d v="2013-11-13T00:00:00"/>
    <s v="DVD"/>
    <n v="102568"/>
    <s v="AB104625"/>
    <x v="7"/>
    <n v="534481"/>
  </r>
  <r>
    <n v="10187"/>
    <n v="9"/>
    <d v="2013-11-13T00:00:00"/>
    <s v="DVD"/>
    <n v="102569"/>
    <s v="AB104627"/>
    <x v="1"/>
    <n v="513968"/>
  </r>
  <r>
    <n v="10295"/>
    <n v="9"/>
    <d v="2013-11-12T00:00:00"/>
    <s v="DVD"/>
    <n v="102569"/>
    <s v="AB104628"/>
    <x v="21"/>
    <n v="513968"/>
  </r>
  <r>
    <n v="10182"/>
    <n v="2"/>
    <d v="2013-11-13T00:00:00"/>
    <s v="BLU-RAY"/>
    <n v="102571"/>
    <s v="AB104631"/>
    <x v="0"/>
    <n v="926289"/>
  </r>
  <r>
    <n v="10066"/>
    <n v="7"/>
    <d v="2013-11-14T00:00:00"/>
    <s v="DVD"/>
    <n v="102573"/>
    <s v="AB104636"/>
    <x v="3"/>
    <n v="249779"/>
  </r>
  <r>
    <n v="10258"/>
    <n v="9"/>
    <d v="2013-11-13T00:00:00"/>
    <s v="BLU-RAY"/>
    <n v="102573"/>
    <s v="AB104637"/>
    <x v="0"/>
    <n v="249779"/>
  </r>
  <r>
    <n v="10281"/>
    <n v="1"/>
    <d v="2013-11-16T00:00:00"/>
    <s v="DVD"/>
    <n v="102575"/>
    <s v="AB104641"/>
    <x v="10"/>
    <n v="494106"/>
  </r>
  <r>
    <n v="10253"/>
    <n v="5"/>
    <d v="2013-11-13T00:00:00"/>
    <s v="DVD"/>
    <n v="102575"/>
    <s v="AB104642"/>
    <x v="3"/>
    <n v="494106"/>
  </r>
  <r>
    <n v="10152"/>
    <n v="1"/>
    <d v="2013-11-13T00:00:00"/>
    <s v="DVD"/>
    <n v="102576"/>
    <s v="AB104643"/>
    <x v="16"/>
    <n v="274541"/>
  </r>
  <r>
    <n v="10215"/>
    <n v="2"/>
    <d v="2013-11-13T00:00:00"/>
    <s v="DVD"/>
    <n v="102577"/>
    <s v="AB104645"/>
    <x v="1"/>
    <n v="550824"/>
  </r>
  <r>
    <n v="10168"/>
    <n v="7"/>
    <d v="2013-11-14T00:00:00"/>
    <s v="DVD"/>
    <n v="102578"/>
    <s v="AB104647"/>
    <x v="1"/>
    <n v="405671"/>
  </r>
  <r>
    <n v="10287"/>
    <n v="5"/>
    <d v="2013-11-14T00:00:00"/>
    <s v="BLU-RAY"/>
    <n v="102581"/>
    <s v="AB104652"/>
    <x v="10"/>
    <n v="561305"/>
  </r>
  <r>
    <n v="10273"/>
    <n v="10"/>
    <d v="2013-11-14T00:00:00"/>
    <s v="DVD"/>
    <n v="102582"/>
    <s v="AB104654"/>
    <x v="4"/>
    <n v="301793"/>
  </r>
  <r>
    <n v="10136"/>
    <n v="10"/>
    <d v="2013-11-14T00:00:00"/>
    <s v="DVD"/>
    <n v="102584"/>
    <s v="AB104658"/>
    <x v="2"/>
    <n v="994185"/>
  </r>
  <r>
    <n v="10158"/>
    <n v="3"/>
    <d v="2013-11-17T00:00:00"/>
    <s v="DVD"/>
    <n v="102586"/>
    <s v="AB104661"/>
    <x v="0"/>
    <n v="803700"/>
  </r>
  <r>
    <n v="10195"/>
    <n v="5"/>
    <d v="2013-11-16T00:00:00"/>
    <s v="BLU-RAY"/>
    <n v="102587"/>
    <s v="AB104662"/>
    <x v="4"/>
    <n v="744416"/>
  </r>
  <r>
    <n v="10005"/>
    <n v="1"/>
    <d v="2013-11-21T00:00:00"/>
    <s v="BLU-RAY"/>
    <n v="102590"/>
    <s v="AB104666"/>
    <x v="3"/>
    <n v="781968"/>
  </r>
  <r>
    <n v="10088"/>
    <n v="8"/>
    <d v="2013-11-16T00:00:00"/>
    <s v="DVD"/>
    <n v="102590"/>
    <s v="AB104668"/>
    <x v="0"/>
    <n v="781968"/>
  </r>
  <r>
    <n v="10239"/>
    <n v="9"/>
    <d v="2013-11-20T00:00:00"/>
    <s v="DVD"/>
    <n v="102591"/>
    <s v="AB104669"/>
    <x v="2"/>
    <n v="216081"/>
  </r>
  <r>
    <n v="10055"/>
    <n v="7"/>
    <d v="2013-11-20T00:00:00"/>
    <s v="DVD"/>
    <n v="102591"/>
    <s v="AB104670"/>
    <x v="15"/>
    <n v="216081"/>
  </r>
  <r>
    <n v="10224"/>
    <n v="3"/>
    <d v="2013-11-16T00:00:00"/>
    <s v="DVD"/>
    <n v="102592"/>
    <s v="AB104673"/>
    <x v="17"/>
    <n v="657495"/>
  </r>
  <r>
    <n v="10133"/>
    <n v="7"/>
    <d v="2013-11-19T00:00:00"/>
    <s v="DVD"/>
    <n v="102594"/>
    <s v="AB104675"/>
    <x v="9"/>
    <n v="885548"/>
  </r>
  <r>
    <n v="10270"/>
    <n v="2"/>
    <d v="2013-11-17T00:00:00"/>
    <s v="DVD"/>
    <n v="102594"/>
    <s v="AB104676"/>
    <x v="9"/>
    <n v="885548"/>
  </r>
  <r>
    <n v="10257"/>
    <n v="3"/>
    <d v="2013-11-17T00:00:00"/>
    <s v="DVD"/>
    <n v="102595"/>
    <s v="AB104677"/>
    <x v="9"/>
    <n v="464984"/>
  </r>
  <r>
    <n v="10299"/>
    <n v="5"/>
    <d v="2013-11-17T00:00:00"/>
    <s v="DVD"/>
    <n v="102596"/>
    <s v="AB104678"/>
    <x v="22"/>
    <n v="317807"/>
  </r>
  <r>
    <n v="10146"/>
    <n v="1"/>
    <d v="2013-11-17T00:00:00"/>
    <s v="DVD"/>
    <n v="102597"/>
    <s v="AB104682"/>
    <x v="4"/>
    <n v="409910"/>
  </r>
  <r>
    <n v="10137"/>
    <n v="6"/>
    <d v="2013-11-20T00:00:00"/>
    <s v="DVD"/>
    <n v="102598"/>
    <s v="AB104683"/>
    <x v="3"/>
    <n v="459243"/>
  </r>
  <r>
    <n v="10281"/>
    <n v="8"/>
    <d v="2013-11-18T00:00:00"/>
    <s v="BLU-RAY"/>
    <n v="102599"/>
    <s v="AB104685"/>
    <x v="10"/>
    <n v="791559"/>
  </r>
  <r>
    <n v="10282"/>
    <n v="10"/>
    <d v="2013-11-20T00:00:00"/>
    <s v="DVD"/>
    <n v="102602"/>
    <s v="AB104690"/>
    <x v="15"/>
    <n v="547890"/>
  </r>
  <r>
    <n v="10166"/>
    <n v="9"/>
    <d v="2013-11-19T00:00:00"/>
    <s v="DVD"/>
    <n v="102604"/>
    <s v="AB104697"/>
    <x v="9"/>
    <n v="624668"/>
  </r>
  <r>
    <n v="10220"/>
    <n v="9"/>
    <d v="2013-11-18T00:00:00"/>
    <s v="DVD"/>
    <n v="102607"/>
    <s v="AB104700"/>
    <x v="9"/>
    <n v="657495"/>
  </r>
  <r>
    <n v="10045"/>
    <n v="7"/>
    <d v="2013-11-18T00:00:00"/>
    <s v="DVD"/>
    <n v="102607"/>
    <s v="AB104701"/>
    <x v="0"/>
    <n v="657495"/>
  </r>
  <r>
    <n v="10210"/>
    <n v="2"/>
    <d v="2013-11-19T00:00:00"/>
    <s v="DVD"/>
    <n v="102609"/>
    <s v="AB104708"/>
    <x v="4"/>
    <n v="487346"/>
  </r>
  <r>
    <n v="10282"/>
    <n v="9"/>
    <d v="2013-11-22T00:00:00"/>
    <s v="DVD"/>
    <n v="102610"/>
    <s v="AB104709"/>
    <x v="15"/>
    <n v="330223"/>
  </r>
  <r>
    <n v="10217"/>
    <n v="1"/>
    <d v="2013-11-21T00:00:00"/>
    <s v="DVD"/>
    <n v="102613"/>
    <s v="AB104713"/>
    <x v="0"/>
    <n v="781968"/>
  </r>
  <r>
    <n v="10019"/>
    <n v="4"/>
    <d v="2013-11-20T00:00:00"/>
    <s v="DVD"/>
    <n v="102614"/>
    <s v="AB104716"/>
    <x v="9"/>
    <n v="893039"/>
  </r>
  <r>
    <n v="10188"/>
    <n v="4"/>
    <d v="2013-11-21T00:00:00"/>
    <s v="DVD"/>
    <n v="102618"/>
    <s v="AB104718"/>
    <x v="1"/>
    <n v="880238"/>
  </r>
  <r>
    <n v="10230"/>
    <n v="10"/>
    <d v="2013-11-20T00:00:00"/>
    <s v="DVD"/>
    <n v="102620"/>
    <s v="AB104722"/>
    <x v="14"/>
    <n v="182040"/>
  </r>
  <r>
    <n v="10137"/>
    <n v="9"/>
    <d v="2013-11-20T00:00:00"/>
    <s v="BLU-RAY"/>
    <n v="102620"/>
    <s v="AB104723"/>
    <x v="3"/>
    <n v="182040"/>
  </r>
  <r>
    <n v="10088"/>
    <n v="10"/>
    <d v="2013-11-21T00:00:00"/>
    <s v="DVD"/>
    <n v="102621"/>
    <s v="AB104724"/>
    <x v="0"/>
    <n v="999915"/>
  </r>
  <r>
    <n v="10282"/>
    <n v="5"/>
    <d v="2013-11-21T00:00:00"/>
    <s v="BLU-RAY"/>
    <n v="102622"/>
    <s v="AB104728"/>
    <x v="15"/>
    <n v="671363"/>
  </r>
  <r>
    <n v="10176"/>
    <n v="4"/>
    <d v="2013-11-20T00:00:00"/>
    <s v="DVD"/>
    <n v="102623"/>
    <s v="AB104730"/>
    <x v="7"/>
    <n v="158528"/>
  </r>
  <r>
    <n v="10275"/>
    <n v="2"/>
    <d v="2013-11-20T00:00:00"/>
    <s v="DVD"/>
    <n v="102623"/>
    <s v="AB104731"/>
    <x v="10"/>
    <n v="158528"/>
  </r>
  <r>
    <n v="10068"/>
    <n v="5"/>
    <d v="2013-11-23T00:00:00"/>
    <s v="BLU-RAY"/>
    <n v="102627"/>
    <s v="AB104734"/>
    <x v="0"/>
    <n v="448993"/>
  </r>
  <r>
    <n v="10167"/>
    <n v="1"/>
    <d v="2013-11-22T00:00:00"/>
    <s v="DVD"/>
    <n v="102630"/>
    <s v="AB104738"/>
    <x v="7"/>
    <n v="414509"/>
  </r>
  <r>
    <n v="10265"/>
    <n v="7"/>
    <d v="2013-11-21T00:00:00"/>
    <s v="BLU-RAY"/>
    <n v="102630"/>
    <s v="AB104739"/>
    <x v="0"/>
    <n v="414509"/>
  </r>
  <r>
    <n v="10033"/>
    <n v="7"/>
    <d v="2013-11-21T00:00:00"/>
    <s v="DVD"/>
    <n v="102631"/>
    <s v="AB104742"/>
    <x v="10"/>
    <n v="111486"/>
  </r>
  <r>
    <n v="10288"/>
    <n v="6"/>
    <d v="2013-11-22T00:00:00"/>
    <s v="DVD"/>
    <n v="102634"/>
    <s v="AB104745"/>
    <x v="12"/>
    <n v="447601"/>
  </r>
  <r>
    <n v="10297"/>
    <n v="2"/>
    <d v="2013-11-25T00:00:00"/>
    <s v="DVD"/>
    <n v="102635"/>
    <s v="AB104746"/>
    <x v="14"/>
    <n v="995599"/>
  </r>
  <r>
    <n v="10224"/>
    <n v="8"/>
    <d v="2013-11-22T00:00:00"/>
    <s v="BLU-RAY"/>
    <n v="102635"/>
    <s v="AB104747"/>
    <x v="17"/>
    <n v="995599"/>
  </r>
  <r>
    <n v="10002"/>
    <n v="1"/>
    <d v="2013-11-25T00:00:00"/>
    <s v="DVD"/>
    <n v="102636"/>
    <s v="AB104752"/>
    <x v="10"/>
    <n v="390130"/>
  </r>
  <r>
    <n v="10175"/>
    <n v="9"/>
    <d v="2013-11-22T00:00:00"/>
    <s v="DVD"/>
    <n v="102637"/>
    <s v="AB104753"/>
    <x v="3"/>
    <n v="554099"/>
  </r>
  <r>
    <n v="10119"/>
    <n v="4"/>
    <d v="2013-11-23T00:00:00"/>
    <s v="DVD"/>
    <n v="102638"/>
    <s v="AB104754"/>
    <x v="7"/>
    <n v="992956"/>
  </r>
  <r>
    <n v="10288"/>
    <n v="10"/>
    <d v="2013-11-23T00:00:00"/>
    <s v="DVD"/>
    <n v="102639"/>
    <s v="AB104755"/>
    <x v="12"/>
    <n v="498153"/>
  </r>
  <r>
    <n v="10294"/>
    <n v="10"/>
    <d v="2013-11-23T00:00:00"/>
    <s v="DVD"/>
    <n v="102641"/>
    <s v="AB104758"/>
    <x v="2"/>
    <n v="565259"/>
  </r>
  <r>
    <n v="10239"/>
    <n v="2"/>
    <d v="2013-11-25T00:00:00"/>
    <s v="BLU-RAY"/>
    <n v="102644"/>
    <s v="AB104760"/>
    <x v="2"/>
    <n v="921901"/>
  </r>
  <r>
    <n v="10112"/>
    <n v="2"/>
    <d v="2013-11-23T00:00:00"/>
    <s v="DVD"/>
    <n v="102645"/>
    <s v="AB104762"/>
    <x v="12"/>
    <n v="741514"/>
  </r>
  <r>
    <n v="10261"/>
    <n v="3"/>
    <d v="2013-11-23T00:00:00"/>
    <s v="DVD"/>
    <n v="102645"/>
    <s v="AB104763"/>
    <x v="9"/>
    <n v="741514"/>
  </r>
  <r>
    <n v="10119"/>
    <n v="8"/>
    <d v="2013-11-27T00:00:00"/>
    <s v="BLU-RAY"/>
    <n v="102646"/>
    <s v="AB104764"/>
    <x v="7"/>
    <n v="693531"/>
  </r>
  <r>
    <n v="10204"/>
    <n v="9"/>
    <d v="2013-11-23T00:00:00"/>
    <s v="BLU-RAY"/>
    <n v="102646"/>
    <s v="AB104765"/>
    <x v="7"/>
    <n v="693531"/>
  </r>
  <r>
    <n v="10247"/>
    <n v="6"/>
    <d v="2013-11-28T00:00:00"/>
    <s v="DVD"/>
    <n v="102647"/>
    <s v="AB104766"/>
    <x v="9"/>
    <n v="958321"/>
  </r>
  <r>
    <n v="10016"/>
    <n v="6"/>
    <d v="2013-11-28T00:00:00"/>
    <s v="DVD"/>
    <n v="102649"/>
    <s v="AB104772"/>
    <x v="7"/>
    <n v="717234"/>
  </r>
  <r>
    <n v="10138"/>
    <n v="1"/>
    <d v="2013-11-24T00:00:00"/>
    <s v="BLU-RAY"/>
    <n v="102650"/>
    <s v="AB104774"/>
    <x v="7"/>
    <n v="147543"/>
  </r>
  <r>
    <n v="10167"/>
    <n v="8"/>
    <d v="2013-11-29T00:00:00"/>
    <s v="BLU-RAY"/>
    <n v="102650"/>
    <s v="AB104775"/>
    <x v="7"/>
    <n v="147543"/>
  </r>
  <r>
    <n v="10171"/>
    <n v="3"/>
    <d v="2013-11-29T00:00:00"/>
    <s v="DVD"/>
    <n v="102652"/>
    <s v="AB104777"/>
    <x v="7"/>
    <n v="888952"/>
  </r>
  <r>
    <n v="10076"/>
    <n v="3"/>
    <d v="2013-11-25T00:00:00"/>
    <s v="DVD"/>
    <n v="102652"/>
    <s v="AB104779"/>
    <x v="4"/>
    <n v="888952"/>
  </r>
  <r>
    <n v="10282"/>
    <n v="7"/>
    <d v="2013-11-24T00:00:00"/>
    <s v="DVD"/>
    <n v="102653"/>
    <s v="AB104781"/>
    <x v="15"/>
    <n v="761615"/>
  </r>
  <r>
    <n v="10187"/>
    <n v="10"/>
    <d v="2013-11-29T00:00:00"/>
    <s v="DVD"/>
    <n v="102653"/>
    <s v="AB104782"/>
    <x v="1"/>
    <n v="761615"/>
  </r>
  <r>
    <n v="10162"/>
    <n v="6"/>
    <d v="2013-11-24T00:00:00"/>
    <s v="DVD"/>
    <n v="102654"/>
    <s v="AB104783"/>
    <x v="4"/>
    <n v="734514"/>
  </r>
  <r>
    <n v="10251"/>
    <n v="2"/>
    <d v="2013-11-26T00:00:00"/>
    <s v="DVD"/>
    <n v="102654"/>
    <s v="AB104784"/>
    <x v="7"/>
    <n v="734514"/>
  </r>
  <r>
    <n v="10186"/>
    <n v="7"/>
    <d v="2013-12-02T00:00:00"/>
    <s v="DVD"/>
    <n v="102656"/>
    <s v="AB104788"/>
    <x v="10"/>
    <n v="286196"/>
  </r>
  <r>
    <n v="10238"/>
    <n v="10"/>
    <d v="2013-11-25T00:00:00"/>
    <s v="BLU-RAY"/>
    <n v="102658"/>
    <s v="AB104794"/>
    <x v="0"/>
    <n v="343021"/>
  </r>
  <r>
    <n v="10166"/>
    <n v="1"/>
    <d v="2013-11-25T00:00:00"/>
    <s v="DVD"/>
    <n v="102659"/>
    <s v="AB104795"/>
    <x v="9"/>
    <n v="924361"/>
  </r>
  <r>
    <n v="10197"/>
    <n v="7"/>
    <d v="2013-11-25T00:00:00"/>
    <s v="DVD"/>
    <n v="102659"/>
    <s v="AB104796"/>
    <x v="0"/>
    <n v="924361"/>
  </r>
  <r>
    <n v="10228"/>
    <n v="2"/>
    <d v="2013-11-25T00:00:00"/>
    <s v="DVD"/>
    <n v="102659"/>
    <s v="AB104797"/>
    <x v="7"/>
    <n v="924361"/>
  </r>
  <r>
    <n v="10046"/>
    <n v="6"/>
    <d v="2013-11-29T00:00:00"/>
    <s v="DVD"/>
    <n v="102660"/>
    <s v="AB104798"/>
    <x v="4"/>
    <n v="145929"/>
  </r>
  <r>
    <n v="10288"/>
    <n v="8"/>
    <d v="2013-11-25T00:00:00"/>
    <s v="DVD"/>
    <n v="102660"/>
    <s v="AB104799"/>
    <x v="12"/>
    <n v="145929"/>
  </r>
  <r>
    <n v="10149"/>
    <n v="1"/>
    <d v="2013-11-25T00:00:00"/>
    <s v="DVD"/>
    <n v="102660"/>
    <s v="AB104800"/>
    <x v="12"/>
    <n v="145929"/>
  </r>
  <r>
    <n v="10228"/>
    <n v="5"/>
    <d v="2013-11-29T00:00:00"/>
    <s v="DVD"/>
    <n v="102665"/>
    <s v="AB104809"/>
    <x v="7"/>
    <n v="775449"/>
  </r>
  <r>
    <n v="10265"/>
    <n v="7"/>
    <d v="2013-12-01T00:00:00"/>
    <s v="BLU-RAY"/>
    <n v="102666"/>
    <s v="AB104811"/>
    <x v="0"/>
    <n v="433442"/>
  </r>
  <r>
    <n v="10107"/>
    <n v="4"/>
    <d v="2013-11-27T00:00:00"/>
    <s v="BLU-RAY"/>
    <n v="102666"/>
    <s v="AB104812"/>
    <x v="7"/>
    <n v="433442"/>
  </r>
  <r>
    <n v="10212"/>
    <n v="3"/>
    <d v="2013-11-26T00:00:00"/>
    <s v="DVD"/>
    <n v="102666"/>
    <s v="AB104813"/>
    <x v="10"/>
    <n v="433442"/>
  </r>
  <r>
    <n v="10273"/>
    <n v="5"/>
    <d v="2013-11-27T00:00:00"/>
    <s v="DVD"/>
    <n v="102669"/>
    <s v="AB104816"/>
    <x v="4"/>
    <n v="194680"/>
  </r>
  <r>
    <n v="10079"/>
    <n v="6"/>
    <d v="2013-11-26T00:00:00"/>
    <s v="BLU-RAY"/>
    <n v="102670"/>
    <s v="AB104818"/>
    <x v="0"/>
    <n v="941876"/>
  </r>
  <r>
    <n v="10148"/>
    <n v="9"/>
    <d v="2013-11-27T00:00:00"/>
    <s v="DVD"/>
    <n v="102670"/>
    <s v="AB104819"/>
    <x v="1"/>
    <n v="941876"/>
  </r>
  <r>
    <n v="10099"/>
    <n v="8"/>
    <d v="2013-11-28T00:00:00"/>
    <s v="DVD"/>
    <n v="102671"/>
    <s v="AB104821"/>
    <x v="10"/>
    <n v="575041"/>
  </r>
  <r>
    <n v="10054"/>
    <n v="3"/>
    <d v="2013-11-27T00:00:00"/>
    <s v="BLU-RAY"/>
    <n v="102671"/>
    <s v="AB104823"/>
    <x v="1"/>
    <n v="575041"/>
  </r>
  <r>
    <n v="10039"/>
    <n v="8"/>
    <d v="2013-11-27T00:00:00"/>
    <s v="DVD"/>
    <n v="102672"/>
    <s v="AB104824"/>
    <x v="11"/>
    <n v="628132"/>
  </r>
  <r>
    <n v="10097"/>
    <n v="2"/>
    <d v="2013-11-28T00:00:00"/>
    <s v="DVD"/>
    <n v="102674"/>
    <s v="AB104828"/>
    <x v="8"/>
    <n v="426984"/>
  </r>
  <r>
    <n v="10160"/>
    <n v="8"/>
    <d v="2013-11-28T00:00:00"/>
    <s v="DVD"/>
    <n v="102677"/>
    <s v="AB104832"/>
    <x v="10"/>
    <n v="464277"/>
  </r>
  <r>
    <n v="10211"/>
    <n v="1"/>
    <d v="2013-11-29T00:00:00"/>
    <s v="DVD"/>
    <n v="102679"/>
    <s v="AB104835"/>
    <x v="3"/>
    <n v="241144"/>
  </r>
  <r>
    <n v="10376"/>
    <n v="5"/>
    <d v="2013-11-29T00:00:00"/>
    <s v="DVD"/>
    <n v="102680"/>
    <s v="AB104838"/>
    <x v="12"/>
    <n v="345348"/>
  </r>
  <r>
    <n v="10269"/>
    <n v="6"/>
    <d v="2013-12-01T00:00:00"/>
    <s v="DVD"/>
    <n v="102681"/>
    <s v="AB104840"/>
    <x v="3"/>
    <n v="693531"/>
  </r>
  <r>
    <n v="10064"/>
    <n v="4"/>
    <d v="2013-11-30T00:00:00"/>
    <s v="DVD"/>
    <n v="102683"/>
    <s v="AB104841"/>
    <x v="7"/>
    <n v="607810"/>
  </r>
  <r>
    <n v="10166"/>
    <n v="8"/>
    <d v="2013-11-28T00:00:00"/>
    <s v="DVD"/>
    <n v="102683"/>
    <s v="AB104842"/>
    <x v="9"/>
    <n v="607810"/>
  </r>
  <r>
    <n v="10298"/>
    <n v="9"/>
    <d v="2013-12-01T00:00:00"/>
    <s v="DVD"/>
    <n v="102684"/>
    <s v="AB104843"/>
    <x v="19"/>
    <n v="917728"/>
  </r>
  <r>
    <n v="10160"/>
    <n v="6"/>
    <d v="2013-12-05T00:00:00"/>
    <s v="DVD"/>
    <n v="102684"/>
    <s v="AB104844"/>
    <x v="10"/>
    <n v="917728"/>
  </r>
  <r>
    <n v="10152"/>
    <n v="5"/>
    <d v="2013-11-29T00:00:00"/>
    <s v="DVD"/>
    <n v="102686"/>
    <s v="AB104846"/>
    <x v="16"/>
    <n v="850952"/>
  </r>
  <r>
    <n v="10148"/>
    <n v="6"/>
    <d v="2013-11-29T00:00:00"/>
    <s v="BLU-RAY"/>
    <n v="102688"/>
    <s v="AB104849"/>
    <x v="1"/>
    <n v="515790"/>
  </r>
  <r>
    <n v="10181"/>
    <n v="9"/>
    <d v="2013-12-02T00:00:00"/>
    <s v="BLU-RAY"/>
    <n v="102689"/>
    <s v="AB104852"/>
    <x v="9"/>
    <n v="415869"/>
  </r>
  <r>
    <n v="10285"/>
    <n v="2"/>
    <d v="2013-11-29T00:00:00"/>
    <s v="BLU-RAY"/>
    <n v="102689"/>
    <s v="AB104854"/>
    <x v="20"/>
    <n v="415869"/>
  </r>
  <r>
    <n v="10276"/>
    <n v="5"/>
    <d v="2013-11-29T00:00:00"/>
    <s v="BLU-RAY"/>
    <n v="102691"/>
    <s v="AB104857"/>
    <x v="16"/>
    <n v="147218"/>
  </r>
  <r>
    <n v="10245"/>
    <n v="8"/>
    <d v="2013-11-29T00:00:00"/>
    <s v="BLU-RAY"/>
    <n v="102692"/>
    <s v="AB104860"/>
    <x v="0"/>
    <n v="468100"/>
  </r>
  <r>
    <n v="10216"/>
    <n v="4"/>
    <d v="2013-12-01T00:00:00"/>
    <s v="DVD"/>
    <n v="102693"/>
    <s v="AB104863"/>
    <x v="4"/>
    <n v="558749"/>
  </r>
  <r>
    <n v="10207"/>
    <n v="2"/>
    <d v="2013-12-01T00:00:00"/>
    <s v="BLU-RAY"/>
    <n v="102693"/>
    <s v="AB104864"/>
    <x v="1"/>
    <n v="558749"/>
  </r>
  <r>
    <n v="10289"/>
    <n v="8"/>
    <d v="2013-12-03T00:00:00"/>
    <s v="DVD"/>
    <n v="102694"/>
    <s v="AB104867"/>
    <x v="11"/>
    <n v="415869"/>
  </r>
  <r>
    <n v="10237"/>
    <n v="6"/>
    <d v="2013-12-01T00:00:00"/>
    <s v="DVD"/>
    <n v="102694"/>
    <s v="AB104868"/>
    <x v="0"/>
    <n v="415869"/>
  </r>
  <r>
    <n v="10253"/>
    <n v="7"/>
    <d v="2013-11-30T00:00:00"/>
    <s v="BLU-RAY"/>
    <n v="102697"/>
    <s v="AB104875"/>
    <x v="3"/>
    <n v="192738"/>
  </r>
  <r>
    <n v="10162"/>
    <n v="8"/>
    <d v="2013-11-30T00:00:00"/>
    <s v="BLU-RAY"/>
    <n v="102697"/>
    <s v="AB104876"/>
    <x v="4"/>
    <n v="192738"/>
  </r>
  <r>
    <n v="10082"/>
    <n v="4"/>
    <d v="2013-12-01T00:00:00"/>
    <s v="DVD"/>
    <n v="102698"/>
    <s v="AB104879"/>
    <x v="3"/>
    <n v="888952"/>
  </r>
  <r>
    <n v="10275"/>
    <n v="8"/>
    <d v="2013-12-01T00:00:00"/>
    <s v="DVD"/>
    <n v="102699"/>
    <s v="AB104881"/>
    <x v="10"/>
    <n v="371731"/>
  </r>
  <r>
    <n v="10289"/>
    <n v="4"/>
    <d v="2013-12-01T00:00:00"/>
    <s v="DVD"/>
    <n v="102699"/>
    <s v="AB104882"/>
    <x v="11"/>
    <n v="371731"/>
  </r>
  <r>
    <n v="10186"/>
    <n v="10"/>
    <d v="2013-12-01T00:00:00"/>
    <s v="DVD"/>
    <n v="102700"/>
    <s v="AB104883"/>
    <x v="10"/>
    <n v="701816"/>
  </r>
  <r>
    <n v="10263"/>
    <n v="6"/>
    <d v="2013-12-03T00:00:00"/>
    <s v="DVD"/>
    <n v="102701"/>
    <s v="AB104885"/>
    <x v="9"/>
    <n v="996970"/>
  </r>
  <r>
    <n v="10269"/>
    <n v="10"/>
    <d v="2013-12-01T00:00:00"/>
    <s v="DVD"/>
    <n v="102701"/>
    <s v="AB104886"/>
    <x v="3"/>
    <n v="996970"/>
  </r>
  <r>
    <n v="10197"/>
    <n v="4"/>
    <d v="2013-12-02T00:00:00"/>
    <s v="DVD"/>
    <n v="102703"/>
    <s v="AB104888"/>
    <x v="0"/>
    <n v="128131"/>
  </r>
  <r>
    <n v="10141"/>
    <n v="7"/>
    <d v="2013-12-01T00:00:00"/>
    <s v="DVD"/>
    <n v="102706"/>
    <s v="AB104893"/>
    <x v="0"/>
    <n v="245577"/>
  </r>
  <r>
    <n v="10253"/>
    <n v="3"/>
    <d v="2013-12-02T00:00:00"/>
    <s v="BLU-RAY"/>
    <n v="102709"/>
    <s v="AB104898"/>
    <x v="3"/>
    <n v="175940"/>
  </r>
  <r>
    <n v="10268"/>
    <n v="8"/>
    <d v="2013-12-02T00:00:00"/>
    <s v="DVD"/>
    <n v="102709"/>
    <s v="AB104899"/>
    <x v="3"/>
    <n v="175940"/>
  </r>
  <r>
    <n v="10275"/>
    <n v="5"/>
    <d v="2013-12-03T00:00:00"/>
    <s v="DVD"/>
    <n v="102709"/>
    <s v="AB104900"/>
    <x v="10"/>
    <n v="175940"/>
  </r>
  <r>
    <n v="10249"/>
    <n v="5"/>
    <d v="2013-12-02T00:00:00"/>
    <s v="DVD"/>
    <n v="102710"/>
    <s v="AB104902"/>
    <x v="5"/>
    <n v="238347"/>
  </r>
  <r>
    <n v="10248"/>
    <n v="4"/>
    <d v="2013-12-03T00:00:00"/>
    <s v="DVD"/>
    <n v="102710"/>
    <s v="AB104903"/>
    <x v="12"/>
    <n v="238347"/>
  </r>
  <r>
    <n v="10242"/>
    <n v="1"/>
    <d v="2013-12-03T00:00:00"/>
    <s v="DVD"/>
    <n v="102710"/>
    <s v="AB104904"/>
    <x v="3"/>
    <n v="238347"/>
  </r>
  <r>
    <n v="10197"/>
    <n v="3"/>
    <d v="2013-12-05T00:00:00"/>
    <s v="BLU-RAY"/>
    <n v="102712"/>
    <s v="AB104906"/>
    <x v="0"/>
    <n v="475216"/>
  </r>
  <r>
    <n v="10136"/>
    <n v="8"/>
    <d v="2013-12-05T00:00:00"/>
    <s v="DVD"/>
    <n v="102712"/>
    <s v="AB104907"/>
    <x v="2"/>
    <n v="475216"/>
  </r>
  <r>
    <n v="10123"/>
    <n v="6"/>
    <d v="2013-12-03T00:00:00"/>
    <s v="DVD"/>
    <n v="102716"/>
    <s v="AB104915"/>
    <x v="9"/>
    <n v="717234"/>
  </r>
  <r>
    <n v="10200"/>
    <n v="6"/>
    <d v="2013-12-05T00:00:00"/>
    <s v="BLU-RAY"/>
    <n v="102717"/>
    <s v="AB104917"/>
    <x v="9"/>
    <n v="784218"/>
  </r>
  <r>
    <n v="10283"/>
    <n v="1"/>
    <d v="2013-12-04T00:00:00"/>
    <s v="DVD"/>
    <n v="102718"/>
    <s v="AB104919"/>
    <x v="6"/>
    <n v="417823"/>
  </r>
  <r>
    <n v="10289"/>
    <n v="4"/>
    <d v="2013-12-04T00:00:00"/>
    <s v="DVD"/>
    <n v="102719"/>
    <s v="AB104921"/>
    <x v="11"/>
    <n v="157388"/>
  </r>
  <r>
    <n v="10278"/>
    <n v="4"/>
    <d v="2013-12-03T00:00:00"/>
    <s v="DVD"/>
    <n v="102721"/>
    <s v="AB104926"/>
    <x v="7"/>
    <n v="672834"/>
  </r>
  <r>
    <n v="10222"/>
    <n v="7"/>
    <d v="2013-12-04T00:00:00"/>
    <s v="DVD"/>
    <n v="102721"/>
    <s v="AB104927"/>
    <x v="4"/>
    <n v="672834"/>
  </r>
  <r>
    <n v="10137"/>
    <n v="10"/>
    <d v="2013-12-06T00:00:00"/>
    <s v="DVD"/>
    <n v="102725"/>
    <s v="AB104936"/>
    <x v="3"/>
    <n v="889686"/>
  </r>
  <r>
    <n v="10237"/>
    <n v="4"/>
    <d v="2013-12-06T00:00:00"/>
    <s v="DVD"/>
    <n v="102726"/>
    <s v="AB104939"/>
    <x v="0"/>
    <n v="994056"/>
  </r>
  <r>
    <n v="10267"/>
    <n v="9"/>
    <d v="2013-12-06T00:00:00"/>
    <s v="DVD"/>
    <n v="102729"/>
    <s v="AB104941"/>
    <x v="6"/>
    <n v="665282"/>
  </r>
  <r>
    <n v="10137"/>
    <n v="6"/>
    <d v="2013-12-05T00:00:00"/>
    <s v="DVD"/>
    <n v="102731"/>
    <s v="AB104945"/>
    <x v="3"/>
    <n v="850933"/>
  </r>
  <r>
    <n v="10169"/>
    <n v="6"/>
    <d v="2013-12-10T00:00:00"/>
    <s v="DVD"/>
    <n v="102732"/>
    <s v="AB104946"/>
    <x v="0"/>
    <n v="730305"/>
  </r>
  <r>
    <n v="10021"/>
    <n v="3"/>
    <d v="2013-12-05T00:00:00"/>
    <s v="DVD"/>
    <n v="102732"/>
    <s v="AB104947"/>
    <x v="1"/>
    <n v="730305"/>
  </r>
  <r>
    <n v="10247"/>
    <n v="3"/>
    <d v="2013-12-07T00:00:00"/>
    <s v="DVD"/>
    <n v="102732"/>
    <s v="AB104949"/>
    <x v="9"/>
    <n v="730305"/>
  </r>
  <r>
    <n v="10265"/>
    <n v="4"/>
    <d v="2013-12-06T00:00:00"/>
    <s v="DVD"/>
    <n v="102733"/>
    <s v="AB104952"/>
    <x v="0"/>
    <n v="860057"/>
  </r>
  <r>
    <n v="10072"/>
    <n v="2"/>
    <d v="2013-12-08T00:00:00"/>
    <s v="DVD"/>
    <n v="102734"/>
    <s v="AB104955"/>
    <x v="1"/>
    <n v="744780"/>
  </r>
  <r>
    <n v="10188"/>
    <n v="9"/>
    <d v="2013-12-05T00:00:00"/>
    <s v="DVD"/>
    <n v="102737"/>
    <s v="AB104959"/>
    <x v="1"/>
    <n v="305005"/>
  </r>
  <r>
    <n v="10293"/>
    <n v="6"/>
    <d v="2013-12-06T00:00:00"/>
    <s v="DVD"/>
    <n v="102738"/>
    <s v="AB104962"/>
    <x v="12"/>
    <n v="412544"/>
  </r>
  <r>
    <n v="10241"/>
    <n v="5"/>
    <d v="2013-12-06T00:00:00"/>
    <s v="DVD"/>
    <n v="102738"/>
    <s v="AB104963"/>
    <x v="0"/>
    <n v="412544"/>
  </r>
  <r>
    <n v="10120"/>
    <n v="6"/>
    <d v="2013-12-06T00:00:00"/>
    <s v="DVD"/>
    <n v="102739"/>
    <s v="AB104964"/>
    <x v="14"/>
    <n v="236554"/>
  </r>
  <r>
    <n v="10188"/>
    <n v="2"/>
    <d v="2013-12-07T00:00:00"/>
    <s v="DVD"/>
    <n v="102740"/>
    <s v="AB104966"/>
    <x v="1"/>
    <n v="717234"/>
  </r>
  <r>
    <n v="10103"/>
    <n v="3"/>
    <d v="2013-12-09T00:00:00"/>
    <s v="DVD"/>
    <n v="102741"/>
    <s v="AB104969"/>
    <x v="9"/>
    <n v="317461"/>
  </r>
  <r>
    <n v="10164"/>
    <n v="8"/>
    <d v="2013-12-07T00:00:00"/>
    <s v="DVD"/>
    <n v="102742"/>
    <s v="AB104971"/>
    <x v="2"/>
    <n v="158528"/>
  </r>
  <r>
    <n v="10248"/>
    <n v="9"/>
    <d v="2013-12-07T00:00:00"/>
    <s v="DVD"/>
    <n v="102743"/>
    <s v="AB104975"/>
    <x v="12"/>
    <n v="207846"/>
  </r>
  <r>
    <n v="10239"/>
    <n v="1"/>
    <d v="2013-12-06T00:00:00"/>
    <s v="DVD"/>
    <n v="102743"/>
    <s v="AB104976"/>
    <x v="2"/>
    <n v="207846"/>
  </r>
  <r>
    <n v="10066"/>
    <n v="1"/>
    <d v="2013-12-07T00:00:00"/>
    <s v="DVD"/>
    <n v="102744"/>
    <s v="AB104977"/>
    <x v="3"/>
    <n v="306853"/>
  </r>
  <r>
    <n v="10151"/>
    <n v="10"/>
    <d v="2013-12-07T00:00:00"/>
    <s v="DVD"/>
    <n v="102745"/>
    <s v="AB104980"/>
    <x v="8"/>
    <n v="149240"/>
  </r>
  <r>
    <n v="10289"/>
    <n v="3"/>
    <d v="2013-12-10T00:00:00"/>
    <s v="DVD"/>
    <n v="102746"/>
    <s v="AB104983"/>
    <x v="11"/>
    <n v="756928"/>
  </r>
  <r>
    <n v="10099"/>
    <n v="2"/>
    <d v="2013-12-07T00:00:00"/>
    <s v="DVD"/>
    <n v="102746"/>
    <s v="AB104984"/>
    <x v="10"/>
    <n v="756928"/>
  </r>
  <r>
    <n v="10184"/>
    <n v="4"/>
    <d v="2013-12-08T00:00:00"/>
    <s v="DVD"/>
    <n v="102748"/>
    <s v="AB104988"/>
    <x v="7"/>
    <n v="412235"/>
  </r>
  <r>
    <n v="10052"/>
    <n v="1"/>
    <d v="2013-12-09T00:00:00"/>
    <s v="DVD"/>
    <n v="102749"/>
    <s v="AB104990"/>
    <x v="0"/>
    <n v="193914"/>
  </r>
  <r>
    <n v="10221"/>
    <n v="9"/>
    <d v="2013-12-08T00:00:00"/>
    <s v="DVD"/>
    <n v="102749"/>
    <s v="AB104991"/>
    <x v="9"/>
    <n v="193914"/>
  </r>
  <r>
    <n v="10238"/>
    <n v="7"/>
    <d v="2013-12-08T00:00:00"/>
    <s v="BLU-RAY"/>
    <n v="102750"/>
    <s v="AB104993"/>
    <x v="0"/>
    <n v="722547"/>
  </r>
  <r>
    <n v="10096"/>
    <n v="5"/>
    <d v="2013-12-08T00:00:00"/>
    <s v="DVD"/>
    <n v="102752"/>
    <s v="AB104997"/>
    <x v="7"/>
    <n v="427391"/>
  </r>
  <r>
    <n v="10224"/>
    <n v="5"/>
    <d v="2013-12-09T00:00:00"/>
    <s v="BLU-RAY"/>
    <n v="102754"/>
    <s v="AB104998"/>
    <x v="17"/>
    <n v="877877"/>
  </r>
  <r>
    <n v="10284"/>
    <n v="5"/>
    <d v="2013-12-08T00:00:00"/>
    <s v="DVD"/>
    <n v="102755"/>
    <s v="AB104999"/>
    <x v="14"/>
    <n v="880238"/>
  </r>
  <r>
    <n v="10080"/>
    <n v="1"/>
    <d v="2013-12-09T00:00:00"/>
    <s v="DVD"/>
    <n v="102757"/>
    <s v="AB105002"/>
    <x v="3"/>
    <n v="278809"/>
  </r>
  <r>
    <n v="10204"/>
    <n v="2"/>
    <d v="2013-12-09T00:00:00"/>
    <s v="BLU-RAY"/>
    <n v="102760"/>
    <s v="AB105007"/>
    <x v="7"/>
    <n v="556619"/>
  </r>
  <r>
    <n v="10260"/>
    <n v="3"/>
    <d v="2013-12-10T00:00:00"/>
    <s v="DVD"/>
    <n v="102760"/>
    <s v="AB105008"/>
    <x v="4"/>
    <n v="556619"/>
  </r>
  <r>
    <n v="10088"/>
    <n v="7"/>
    <d v="2013-12-10T00:00:00"/>
    <s v="DVD"/>
    <n v="102761"/>
    <s v="AB105009"/>
    <x v="0"/>
    <n v="755271"/>
  </r>
  <r>
    <n v="10099"/>
    <n v="5"/>
    <d v="2013-12-09T00:00:00"/>
    <s v="DVD"/>
    <n v="102762"/>
    <s v="AB105010"/>
    <x v="10"/>
    <n v="469564"/>
  </r>
  <r>
    <n v="10271"/>
    <n v="10"/>
    <d v="2013-12-11T00:00:00"/>
    <s v="DVD"/>
    <n v="102763"/>
    <s v="AB105013"/>
    <x v="7"/>
    <n v="679354"/>
  </r>
  <r>
    <n v="10258"/>
    <n v="9"/>
    <d v="2013-12-10T00:00:00"/>
    <s v="DVD"/>
    <n v="102764"/>
    <s v="AB105017"/>
    <x v="0"/>
    <n v="746134"/>
  </r>
  <r>
    <n v="10215"/>
    <n v="5"/>
    <d v="2013-12-13T00:00:00"/>
    <s v="BLU-RAY"/>
    <n v="102765"/>
    <s v="AB105018"/>
    <x v="1"/>
    <n v="220206"/>
  </r>
  <r>
    <n v="10289"/>
    <n v="9"/>
    <d v="2013-12-10T00:00:00"/>
    <s v="DVD"/>
    <n v="102765"/>
    <s v="AB105019"/>
    <x v="11"/>
    <n v="220206"/>
  </r>
  <r>
    <n v="10203"/>
    <n v="8"/>
    <d v="2013-12-10T00:00:00"/>
    <s v="BLU-RAY"/>
    <n v="102765"/>
    <s v="AB105020"/>
    <x v="3"/>
    <n v="220206"/>
  </r>
  <r>
    <n v="10232"/>
    <n v="10"/>
    <d v="2013-12-10T00:00:00"/>
    <s v="DVD"/>
    <n v="102765"/>
    <s v="AB105021"/>
    <x v="1"/>
    <n v="220206"/>
  </r>
  <r>
    <n v="10048"/>
    <n v="2"/>
    <d v="2013-12-12T00:00:00"/>
    <s v="DVD"/>
    <n v="102766"/>
    <s v="AB105022"/>
    <x v="12"/>
    <n v="731346"/>
  </r>
  <r>
    <n v="10028"/>
    <n v="7"/>
    <d v="2013-12-16T00:00:00"/>
    <s v="DVD"/>
    <n v="102766"/>
    <s v="AB105023"/>
    <x v="5"/>
    <n v="731346"/>
  </r>
  <r>
    <n v="10065"/>
    <n v="5"/>
    <d v="2013-12-11T00:00:00"/>
    <s v="BLU-RAY"/>
    <n v="102767"/>
    <s v="AB105026"/>
    <x v="0"/>
    <n v="378374"/>
  </r>
  <r>
    <n v="10222"/>
    <n v="4"/>
    <d v="2013-12-10T00:00:00"/>
    <s v="DVD"/>
    <n v="102768"/>
    <s v="AB105028"/>
    <x v="4"/>
    <n v="226209"/>
  </r>
  <r>
    <n v="10253"/>
    <n v="6"/>
    <d v="2013-12-10T00:00:00"/>
    <s v="DVD"/>
    <n v="102768"/>
    <s v="AB105029"/>
    <x v="3"/>
    <n v="226209"/>
  </r>
  <r>
    <n v="10258"/>
    <n v="5"/>
    <d v="2013-12-12T00:00:00"/>
    <s v="DVD"/>
    <n v="102771"/>
    <s v="AB105033"/>
    <x v="0"/>
    <n v="412235"/>
  </r>
  <r>
    <n v="10261"/>
    <n v="1"/>
    <d v="2013-12-11T00:00:00"/>
    <s v="DVD"/>
    <n v="102772"/>
    <s v="AB105035"/>
    <x v="9"/>
    <n v="185863"/>
  </r>
  <r>
    <n v="10184"/>
    <n v="3"/>
    <d v="2013-12-15T00:00:00"/>
    <s v="DVD"/>
    <n v="102772"/>
    <s v="AB105037"/>
    <x v="7"/>
    <n v="185863"/>
  </r>
  <r>
    <n v="10208"/>
    <n v="7"/>
    <d v="2013-12-11T00:00:00"/>
    <s v="DVD"/>
    <n v="102773"/>
    <s v="AB105038"/>
    <x v="0"/>
    <n v="101811"/>
  </r>
  <r>
    <n v="10246"/>
    <n v="9"/>
    <d v="2013-12-14T00:00:00"/>
    <s v="BLU-RAY"/>
    <n v="102774"/>
    <s v="AB105044"/>
    <x v="2"/>
    <n v="247216"/>
  </r>
  <r>
    <n v="10274"/>
    <n v="2"/>
    <d v="2013-12-14T00:00:00"/>
    <s v="DVD"/>
    <n v="102774"/>
    <s v="AB105045"/>
    <x v="9"/>
    <n v="247216"/>
  </r>
  <r>
    <n v="10258"/>
    <n v="9"/>
    <d v="2013-12-12T00:00:00"/>
    <s v="BLU-RAY"/>
    <n v="102775"/>
    <s v="AB105046"/>
    <x v="0"/>
    <n v="347189"/>
  </r>
  <r>
    <n v="10271"/>
    <n v="3"/>
    <d v="2013-12-11T00:00:00"/>
    <s v="DVD"/>
    <n v="102776"/>
    <s v="AB105047"/>
    <x v="7"/>
    <n v="601753"/>
  </r>
  <r>
    <n v="10260"/>
    <n v="2"/>
    <d v="2013-12-12T00:00:00"/>
    <s v="DVD"/>
    <n v="102777"/>
    <s v="AB105048"/>
    <x v="4"/>
    <n v="437454"/>
  </r>
  <r>
    <n v="10293"/>
    <n v="2"/>
    <d v="2013-12-12T00:00:00"/>
    <s v="DVD"/>
    <n v="102777"/>
    <s v="AB105049"/>
    <x v="12"/>
    <n v="437454"/>
  </r>
  <r>
    <n v="10065"/>
    <n v="9"/>
    <d v="2013-12-18T00:00:00"/>
    <s v="DVD"/>
    <n v="102778"/>
    <s v="AB105051"/>
    <x v="0"/>
    <n v="182040"/>
  </r>
  <r>
    <n v="10041"/>
    <n v="6"/>
    <d v="2013-12-11T00:00:00"/>
    <s v="DVD"/>
    <n v="102778"/>
    <s v="AB105052"/>
    <x v="10"/>
    <n v="182040"/>
  </r>
  <r>
    <n v="10143"/>
    <n v="6"/>
    <d v="2013-12-13T00:00:00"/>
    <s v="BLU-RAY"/>
    <n v="102779"/>
    <s v="AB105054"/>
    <x v="3"/>
    <n v="884729"/>
  </r>
  <r>
    <n v="10211"/>
    <n v="4"/>
    <d v="2013-12-13T00:00:00"/>
    <s v="DVD"/>
    <n v="102780"/>
    <s v="AB105056"/>
    <x v="3"/>
    <n v="278204"/>
  </r>
  <r>
    <n v="10234"/>
    <n v="8"/>
    <d v="2013-12-13T00:00:00"/>
    <s v="DVD"/>
    <n v="102781"/>
    <s v="AB105057"/>
    <x v="0"/>
    <n v="498153"/>
  </r>
  <r>
    <n v="10287"/>
    <n v="5"/>
    <d v="2013-12-13T00:00:00"/>
    <s v="DVD"/>
    <n v="102781"/>
    <s v="AB105058"/>
    <x v="10"/>
    <n v="498153"/>
  </r>
  <r>
    <n v="10297"/>
    <n v="2"/>
    <d v="2013-12-13T00:00:00"/>
    <s v="DVD"/>
    <n v="102782"/>
    <s v="AB105060"/>
    <x v="14"/>
    <n v="247216"/>
  </r>
  <r>
    <n v="10238"/>
    <n v="1"/>
    <d v="2013-12-12T00:00:00"/>
    <s v="DVD"/>
    <n v="102784"/>
    <s v="AB105063"/>
    <x v="0"/>
    <n v="762509"/>
  </r>
  <r>
    <n v="10171"/>
    <n v="7"/>
    <d v="2013-12-16T00:00:00"/>
    <s v="DVD"/>
    <n v="102786"/>
    <s v="AB105065"/>
    <x v="7"/>
    <n v="624668"/>
  </r>
  <r>
    <n v="10098"/>
    <n v="1"/>
    <d v="2013-12-17T00:00:00"/>
    <s v="BLU-RAY"/>
    <n v="102787"/>
    <s v="AB105069"/>
    <x v="0"/>
    <n v="154427"/>
  </r>
  <r>
    <n v="10064"/>
    <n v="1"/>
    <d v="2013-12-14T00:00:00"/>
    <s v="DVD"/>
    <n v="102788"/>
    <s v="AB105070"/>
    <x v="7"/>
    <n v="970794"/>
  </r>
  <r>
    <n v="10282"/>
    <n v="4"/>
    <d v="2013-12-17T00:00:00"/>
    <s v="DVD"/>
    <n v="102789"/>
    <s v="AB105073"/>
    <x v="15"/>
    <n v="448993"/>
  </r>
  <r>
    <n v="10198"/>
    <n v="7"/>
    <d v="2013-12-14T00:00:00"/>
    <s v="DVD"/>
    <n v="102790"/>
    <s v="AB105075"/>
    <x v="9"/>
    <n v="173380"/>
  </r>
  <r>
    <n v="10065"/>
    <n v="6"/>
    <d v="2013-12-13T00:00:00"/>
    <s v="DVD"/>
    <n v="102791"/>
    <s v="AB105077"/>
    <x v="0"/>
    <n v="162236"/>
  </r>
  <r>
    <n v="10098"/>
    <n v="2"/>
    <d v="2013-12-14T00:00:00"/>
    <s v="BLU-RAY"/>
    <n v="102791"/>
    <s v="AB105078"/>
    <x v="0"/>
    <n v="162236"/>
  </r>
  <r>
    <n v="10249"/>
    <n v="3"/>
    <d v="2013-12-13T00:00:00"/>
    <s v="DVD"/>
    <n v="102793"/>
    <s v="AB105083"/>
    <x v="5"/>
    <n v="818287"/>
  </r>
  <r>
    <n v="10264"/>
    <n v="8"/>
    <d v="2013-12-17T00:00:00"/>
    <s v="DVD"/>
    <n v="102794"/>
    <s v="AB105084"/>
    <x v="2"/>
    <n v="238347"/>
  </r>
  <r>
    <n v="10272"/>
    <n v="9"/>
    <d v="2013-12-14T00:00:00"/>
    <s v="DVD"/>
    <n v="102794"/>
    <s v="AB105085"/>
    <x v="4"/>
    <n v="238347"/>
  </r>
  <r>
    <n v="10212"/>
    <n v="3"/>
    <d v="2013-12-14T00:00:00"/>
    <s v="DVD"/>
    <n v="102794"/>
    <s v="AB105086"/>
    <x v="10"/>
    <n v="238347"/>
  </r>
  <r>
    <n v="10107"/>
    <n v="1"/>
    <d v="2013-12-15T00:00:00"/>
    <s v="DVD"/>
    <n v="102795"/>
    <s v="AB105088"/>
    <x v="7"/>
    <n v="586201"/>
  </r>
  <r>
    <n v="10205"/>
    <n v="1"/>
    <d v="2013-12-19T00:00:00"/>
    <s v="DVD"/>
    <n v="102797"/>
    <s v="AB105093"/>
    <x v="1"/>
    <n v="992895"/>
  </r>
  <r>
    <n v="10253"/>
    <n v="9"/>
    <d v="2013-12-14T00:00:00"/>
    <s v="DVD"/>
    <n v="102798"/>
    <s v="AB105094"/>
    <x v="3"/>
    <n v="994199"/>
  </r>
  <r>
    <n v="10110"/>
    <n v="1"/>
    <d v="2013-12-14T00:00:00"/>
    <s v="DVD"/>
    <n v="102799"/>
    <s v="AB105097"/>
    <x v="0"/>
    <n v="608290"/>
  </r>
  <r>
    <n v="10149"/>
    <n v="8"/>
    <d v="2013-12-14T00:00:00"/>
    <s v="BLU-RAY"/>
    <n v="102799"/>
    <s v="AB105099"/>
    <x v="12"/>
    <n v="608290"/>
  </r>
  <r>
    <n v="10095"/>
    <n v="8"/>
    <d v="2013-12-17T00:00:00"/>
    <s v="DVD"/>
    <n v="102800"/>
    <s v="AB105101"/>
    <x v="2"/>
    <n v="528475"/>
  </r>
  <r>
    <n v="10112"/>
    <n v="5"/>
    <d v="2013-12-17T00:00:00"/>
    <s v="BLU-RAY"/>
    <n v="102802"/>
    <s v="AB105107"/>
    <x v="12"/>
    <n v="612681"/>
  </r>
  <r>
    <n v="10239"/>
    <n v="2"/>
    <d v="2013-12-15T00:00:00"/>
    <s v="DVD"/>
    <n v="102804"/>
    <s v="AB105108"/>
    <x v="2"/>
    <n v="484909"/>
  </r>
  <r>
    <n v="10006"/>
    <n v="2"/>
    <d v="2013-12-17T00:00:00"/>
    <s v="DVD"/>
    <n v="102805"/>
    <s v="AB105110"/>
    <x v="1"/>
    <n v="343021"/>
  </r>
  <r>
    <n v="10271"/>
    <n v="5"/>
    <d v="2013-12-16T00:00:00"/>
    <s v="BLU-RAY"/>
    <n v="102805"/>
    <s v="AB105111"/>
    <x v="7"/>
    <n v="343021"/>
  </r>
  <r>
    <n v="10172"/>
    <n v="1"/>
    <d v="2013-12-17T00:00:00"/>
    <s v="DVD"/>
    <n v="102807"/>
    <s v="AB105114"/>
    <x v="10"/>
    <n v="676018"/>
  </r>
  <r>
    <n v="10265"/>
    <n v="4"/>
    <d v="2013-12-17T00:00:00"/>
    <s v="DVD"/>
    <n v="102809"/>
    <s v="AB105118"/>
    <x v="0"/>
    <n v="880238"/>
  </r>
  <r>
    <n v="10209"/>
    <n v="1"/>
    <d v="2013-12-17T00:00:00"/>
    <s v="BLU-RAY"/>
    <n v="102810"/>
    <s v="AB105121"/>
    <x v="7"/>
    <n v="696852"/>
  </r>
  <r>
    <n v="10235"/>
    <n v="1"/>
    <d v="2013-12-17T00:00:00"/>
    <s v="BLU-RAY"/>
    <n v="102810"/>
    <s v="AB105122"/>
    <x v="10"/>
    <n v="696852"/>
  </r>
  <r>
    <n v="10261"/>
    <n v="9"/>
    <d v="2013-12-17T00:00:00"/>
    <s v="DVD"/>
    <n v="102811"/>
    <s v="AB105123"/>
    <x v="9"/>
    <n v="426830"/>
  </r>
  <r>
    <n v="10260"/>
    <n v="3"/>
    <d v="2013-12-16T00:00:00"/>
    <s v="DVD"/>
    <n v="102811"/>
    <s v="AB105124"/>
    <x v="4"/>
    <n v="426830"/>
  </r>
  <r>
    <n v="10218"/>
    <n v="8"/>
    <d v="2013-12-16T00:00:00"/>
    <s v="DVD"/>
    <n v="102811"/>
    <s v="AB105125"/>
    <x v="4"/>
    <n v="426830"/>
  </r>
  <r>
    <n v="10277"/>
    <n v="1"/>
    <d v="2013-12-16T00:00:00"/>
    <s v="DVD"/>
    <n v="102812"/>
    <s v="AB105126"/>
    <x v="7"/>
    <n v="147216"/>
  </r>
  <r>
    <n v="10139"/>
    <n v="2"/>
    <d v="2013-12-17T00:00:00"/>
    <s v="DVD"/>
    <n v="102813"/>
    <s v="AB105129"/>
    <x v="14"/>
    <n v="310195"/>
  </r>
  <r>
    <n v="10181"/>
    <n v="5"/>
    <d v="2013-12-16T00:00:00"/>
    <s v="BLU-RAY"/>
    <n v="102813"/>
    <s v="AB105130"/>
    <x v="9"/>
    <n v="310195"/>
  </r>
  <r>
    <n v="10349"/>
    <n v="4"/>
    <d v="2013-12-18T00:00:00"/>
    <s v="DVD"/>
    <n v="102814"/>
    <s v="AB105131"/>
    <x v="8"/>
    <n v="671363"/>
  </r>
  <r>
    <n v="10275"/>
    <n v="6"/>
    <d v="2013-12-22T00:00:00"/>
    <s v="BLU-RAY"/>
    <n v="102816"/>
    <s v="AB105135"/>
    <x v="10"/>
    <n v="329994"/>
  </r>
  <r>
    <n v="10273"/>
    <n v="6"/>
    <d v="2013-12-17T00:00:00"/>
    <s v="BLU-RAY"/>
    <n v="102816"/>
    <s v="AB105137"/>
    <x v="4"/>
    <n v="329994"/>
  </r>
  <r>
    <n v="10150"/>
    <n v="5"/>
    <d v="2013-12-17T00:00:00"/>
    <s v="DVD"/>
    <n v="102817"/>
    <s v="AB105139"/>
    <x v="14"/>
    <n v="643214"/>
  </r>
  <r>
    <n v="10089"/>
    <n v="9"/>
    <d v="2013-12-17T00:00:00"/>
    <s v="DVD"/>
    <n v="102817"/>
    <s v="AB105140"/>
    <x v="4"/>
    <n v="643214"/>
  </r>
  <r>
    <n v="10234"/>
    <n v="9"/>
    <d v="2013-12-17T00:00:00"/>
    <s v="DVD"/>
    <n v="102818"/>
    <s v="AB105143"/>
    <x v="0"/>
    <n v="766161"/>
  </r>
  <r>
    <n v="10207"/>
    <n v="8"/>
    <d v="2013-12-17T00:00:00"/>
    <s v="DVD"/>
    <n v="102818"/>
    <s v="AB105144"/>
    <x v="1"/>
    <n v="766161"/>
  </r>
  <r>
    <n v="10145"/>
    <n v="8"/>
    <d v="2013-12-20T00:00:00"/>
    <s v="DVD"/>
    <n v="102819"/>
    <s v="AB105145"/>
    <x v="6"/>
    <n v="244282"/>
  </r>
  <r>
    <n v="10278"/>
    <n v="8"/>
    <d v="2013-12-17T00:00:00"/>
    <s v="BLU-RAY"/>
    <n v="102820"/>
    <s v="AB105148"/>
    <x v="7"/>
    <n v="418635"/>
  </r>
  <r>
    <n v="10275"/>
    <n v="5"/>
    <d v="2013-12-19T00:00:00"/>
    <s v="BLU-RAY"/>
    <n v="102820"/>
    <s v="AB105149"/>
    <x v="10"/>
    <n v="418635"/>
  </r>
  <r>
    <n v="10259"/>
    <n v="7"/>
    <d v="2013-12-18T00:00:00"/>
    <s v="DVD"/>
    <n v="102820"/>
    <s v="AB105150"/>
    <x v="0"/>
    <n v="418635"/>
  </r>
  <r>
    <n v="10181"/>
    <n v="9"/>
    <d v="2013-12-17T00:00:00"/>
    <s v="DVD"/>
    <n v="102821"/>
    <s v="AB105153"/>
    <x v="9"/>
    <n v="175871"/>
  </r>
  <r>
    <n v="10261"/>
    <n v="1"/>
    <d v="2013-12-20T00:00:00"/>
    <s v="DVD"/>
    <n v="102821"/>
    <s v="AB105154"/>
    <x v="9"/>
    <n v="175871"/>
  </r>
  <r>
    <n v="10243"/>
    <n v="7"/>
    <d v="2013-12-18T00:00:00"/>
    <s v="DVD"/>
    <n v="102822"/>
    <s v="AB105155"/>
    <x v="9"/>
    <n v="741514"/>
  </r>
  <r>
    <n v="10053"/>
    <n v="2"/>
    <d v="2013-12-18T00:00:00"/>
    <s v="BLU-RAY"/>
    <n v="102823"/>
    <s v="AB105156"/>
    <x v="4"/>
    <n v="938417"/>
  </r>
  <r>
    <n v="10045"/>
    <n v="1"/>
    <d v="2013-12-19T00:00:00"/>
    <s v="DVD"/>
    <n v="102824"/>
    <s v="AB105157"/>
    <x v="0"/>
    <n v="441628"/>
  </r>
  <r>
    <n v="10178"/>
    <n v="1"/>
    <d v="2013-12-18T00:00:00"/>
    <s v="DVD"/>
    <n v="102825"/>
    <s v="AB105158"/>
    <x v="0"/>
    <n v="723819"/>
  </r>
  <r>
    <n v="10138"/>
    <n v="3"/>
    <d v="2013-12-19T00:00:00"/>
    <s v="DVD"/>
    <n v="102825"/>
    <s v="AB105160"/>
    <x v="7"/>
    <n v="723819"/>
  </r>
  <r>
    <n v="10199"/>
    <n v="2"/>
    <d v="2013-12-19T00:00:00"/>
    <s v="DVD"/>
    <n v="102826"/>
    <s v="AB105161"/>
    <x v="10"/>
    <n v="889686"/>
  </r>
  <r>
    <n v="10278"/>
    <n v="10"/>
    <d v="2013-12-21T00:00:00"/>
    <s v="DVD"/>
    <n v="102827"/>
    <s v="AB105162"/>
    <x v="7"/>
    <n v="612681"/>
  </r>
  <r>
    <n v="10252"/>
    <n v="1"/>
    <d v="2013-12-18T00:00:00"/>
    <s v="DVD"/>
    <n v="102827"/>
    <s v="AB105164"/>
    <x v="0"/>
    <n v="612681"/>
  </r>
  <r>
    <n v="10185"/>
    <n v="6"/>
    <d v="2013-12-18T00:00:00"/>
    <s v="DVD"/>
    <n v="102828"/>
    <s v="AB105165"/>
    <x v="0"/>
    <n v="253106"/>
  </r>
  <r>
    <n v="10245"/>
    <n v="6"/>
    <d v="2013-12-18T00:00:00"/>
    <s v="BLU-RAY"/>
    <n v="102829"/>
    <s v="AB105167"/>
    <x v="0"/>
    <n v="170500"/>
  </r>
  <r>
    <n v="10252"/>
    <n v="6"/>
    <d v="2013-12-21T00:00:00"/>
    <s v="DVD"/>
    <n v="102829"/>
    <s v="AB105168"/>
    <x v="0"/>
    <n v="170500"/>
  </r>
  <r>
    <n v="10245"/>
    <n v="8"/>
    <d v="2013-12-18T00:00:00"/>
    <s v="BLU-RAY"/>
    <n v="102830"/>
    <s v="AB105171"/>
    <x v="0"/>
    <n v="550824"/>
  </r>
  <r>
    <n v="10238"/>
    <n v="8"/>
    <d v="2013-12-23T00:00:00"/>
    <s v="DVD"/>
    <n v="102831"/>
    <s v="AB105173"/>
    <x v="0"/>
    <n v="442691"/>
  </r>
  <r>
    <n v="10112"/>
    <n v="7"/>
    <d v="2013-12-19T00:00:00"/>
    <s v="DVD"/>
    <n v="102834"/>
    <s v="AB105177"/>
    <x v="12"/>
    <n v="955591"/>
  </r>
  <r>
    <n v="10177"/>
    <n v="2"/>
    <d v="2013-12-20T00:00:00"/>
    <s v="DVD"/>
    <n v="102835"/>
    <s v="AB105178"/>
    <x v="9"/>
    <n v="925565"/>
  </r>
  <r>
    <n v="10218"/>
    <n v="10"/>
    <d v="2013-12-20T00:00:00"/>
    <s v="DVD"/>
    <n v="102838"/>
    <s v="AB105181"/>
    <x v="4"/>
    <n v="166612"/>
  </r>
  <r>
    <n v="10254"/>
    <n v="10"/>
    <d v="2013-12-20T00:00:00"/>
    <s v="DVD"/>
    <n v="102839"/>
    <s v="AB105182"/>
    <x v="1"/>
    <n v="781523"/>
  </r>
  <r>
    <n v="10127"/>
    <n v="7"/>
    <d v="2013-12-20T00:00:00"/>
    <s v="DVD"/>
    <n v="102839"/>
    <s v="AB105184"/>
    <x v="6"/>
    <n v="781523"/>
  </r>
  <r>
    <n v="10227"/>
    <n v="7"/>
    <d v="2013-12-23T00:00:00"/>
    <s v="BLU-RAY"/>
    <n v="102840"/>
    <s v="AB105185"/>
    <x v="14"/>
    <n v="534481"/>
  </r>
  <r>
    <n v="10228"/>
    <n v="3"/>
    <d v="2013-12-20T00:00:00"/>
    <s v="DVD"/>
    <n v="102841"/>
    <s v="AB105188"/>
    <x v="7"/>
    <n v="745543"/>
  </r>
  <r>
    <n v="10217"/>
    <n v="1"/>
    <d v="2013-12-20T00:00:00"/>
    <s v="DVD"/>
    <n v="102842"/>
    <s v="AB105190"/>
    <x v="0"/>
    <n v="932618"/>
  </r>
  <r>
    <n v="10237"/>
    <n v="7"/>
    <d v="2013-12-20T00:00:00"/>
    <s v="DVD"/>
    <n v="102842"/>
    <s v="AB105191"/>
    <x v="0"/>
    <n v="932618"/>
  </r>
  <r>
    <n v="10189"/>
    <n v="6"/>
    <d v="2013-12-25T00:00:00"/>
    <s v="DVD"/>
    <n v="102843"/>
    <s v="AB105194"/>
    <x v="7"/>
    <n v="422717"/>
  </r>
  <r>
    <n v="10115"/>
    <n v="9"/>
    <d v="2013-12-20T00:00:00"/>
    <s v="DVD"/>
    <n v="102843"/>
    <s v="AB105195"/>
    <x v="11"/>
    <n v="422717"/>
  </r>
  <r>
    <n v="10199"/>
    <n v="9"/>
    <d v="2013-12-21T00:00:00"/>
    <s v="DVD"/>
    <n v="102845"/>
    <s v="AB105198"/>
    <x v="10"/>
    <n v="724700"/>
  </r>
  <r>
    <n v="10298"/>
    <n v="3"/>
    <d v="2013-12-21T00:00:00"/>
    <s v="DVD"/>
    <n v="102845"/>
    <s v="AB105199"/>
    <x v="19"/>
    <n v="724700"/>
  </r>
  <r>
    <n v="10181"/>
    <n v="3"/>
    <d v="2013-12-21T00:00:00"/>
    <s v="BLU-RAY"/>
    <n v="102846"/>
    <s v="AB105200"/>
    <x v="9"/>
    <n v="657495"/>
  </r>
  <r>
    <n v="10193"/>
    <n v="2"/>
    <d v="2013-12-21T00:00:00"/>
    <s v="DVD"/>
    <n v="102850"/>
    <s v="AB105205"/>
    <x v="9"/>
    <n v="404678"/>
  </r>
  <r>
    <n v="10137"/>
    <n v="1"/>
    <d v="2013-12-24T00:00:00"/>
    <s v="DVD"/>
    <n v="102850"/>
    <s v="AB105206"/>
    <x v="3"/>
    <n v="404678"/>
  </r>
  <r>
    <n v="10164"/>
    <n v="1"/>
    <d v="2013-12-21T00:00:00"/>
    <s v="DVD"/>
    <n v="102851"/>
    <s v="AB105208"/>
    <x v="2"/>
    <n v="245577"/>
  </r>
  <r>
    <n v="10097"/>
    <n v="5"/>
    <d v="2013-12-25T00:00:00"/>
    <s v="DVD"/>
    <n v="102852"/>
    <s v="AB105210"/>
    <x v="8"/>
    <n v="166612"/>
  </r>
  <r>
    <n v="10209"/>
    <n v="8"/>
    <d v="2013-12-22T00:00:00"/>
    <s v="DVD"/>
    <n v="102854"/>
    <s v="AB105213"/>
    <x v="7"/>
    <n v="447601"/>
  </r>
  <r>
    <n v="10131"/>
    <n v="8"/>
    <d v="2013-12-25T00:00:00"/>
    <s v="DVD"/>
    <n v="102854"/>
    <s v="AB105215"/>
    <x v="0"/>
    <n v="447601"/>
  </r>
  <r>
    <n v="10189"/>
    <n v="1"/>
    <d v="2013-12-23T00:00:00"/>
    <s v="DVD"/>
    <n v="102855"/>
    <s v="AB105219"/>
    <x v="7"/>
    <n v="325263"/>
  </r>
  <r>
    <n v="10256"/>
    <n v="1"/>
    <d v="2013-12-23T00:00:00"/>
    <s v="DVD"/>
    <n v="102856"/>
    <s v="AB105220"/>
    <x v="9"/>
    <n v="491380"/>
  </r>
  <r>
    <n v="10200"/>
    <n v="1"/>
    <d v="2013-12-23T00:00:00"/>
    <s v="DVD"/>
    <n v="102856"/>
    <s v="AB105221"/>
    <x v="9"/>
    <n v="491380"/>
  </r>
  <r>
    <n v="10223"/>
    <n v="7"/>
    <d v="2013-12-26T00:00:00"/>
    <s v="DVD"/>
    <n v="102858"/>
    <s v="AB105224"/>
    <x v="7"/>
    <n v="590517"/>
  </r>
  <r>
    <n v="10112"/>
    <n v="4"/>
    <d v="2013-12-24T00:00:00"/>
    <s v="BLU-RAY"/>
    <n v="102858"/>
    <s v="AB105225"/>
    <x v="12"/>
    <n v="590517"/>
  </r>
  <r>
    <n v="10199"/>
    <n v="8"/>
    <d v="2013-12-23T00:00:00"/>
    <s v="DVD"/>
    <n v="102859"/>
    <s v="AB105227"/>
    <x v="10"/>
    <n v="459243"/>
  </r>
  <r>
    <n v="10256"/>
    <n v="4"/>
    <d v="2013-12-23T00:00:00"/>
    <s v="DVD"/>
    <n v="102861"/>
    <s v="AB105231"/>
    <x v="9"/>
    <n v="225489"/>
  </r>
  <r>
    <n v="10172"/>
    <n v="3"/>
    <d v="2013-12-25T00:00:00"/>
    <s v="DVD"/>
    <n v="102863"/>
    <s v="AB105233"/>
    <x v="10"/>
    <n v="690100"/>
  </r>
  <r>
    <n v="10238"/>
    <n v="8"/>
    <d v="2013-12-23T00:00:00"/>
    <s v="DVD"/>
    <n v="102865"/>
    <s v="AB105236"/>
    <x v="0"/>
    <n v="847289"/>
  </r>
  <r>
    <n v="10188"/>
    <n v="1"/>
    <d v="2013-12-26T00:00:00"/>
    <s v="DVD"/>
    <n v="102868"/>
    <s v="AB105239"/>
    <x v="1"/>
    <n v="585972"/>
  </r>
  <r>
    <n v="10058"/>
    <n v="2"/>
    <d v="2013-12-24T00:00:00"/>
    <s v="DVD"/>
    <n v="102868"/>
    <s v="AB105240"/>
    <x v="4"/>
    <n v="585972"/>
  </r>
  <r>
    <n v="10193"/>
    <n v="7"/>
    <d v="2013-12-25T00:00:00"/>
    <s v="DVD"/>
    <n v="102868"/>
    <s v="AB105241"/>
    <x v="9"/>
    <n v="585972"/>
  </r>
  <r>
    <n v="10131"/>
    <n v="9"/>
    <d v="2013-12-26T00:00:00"/>
    <s v="DVD"/>
    <n v="102869"/>
    <s v="AB105243"/>
    <x v="0"/>
    <n v="262579"/>
  </r>
  <r>
    <n v="10172"/>
    <n v="3"/>
    <d v="2013-12-26T00:00:00"/>
    <s v="BLU-RAY"/>
    <n v="102875"/>
    <s v="AB105253"/>
    <x v="10"/>
    <n v="196068"/>
  </r>
  <r>
    <n v="10159"/>
    <n v="8"/>
    <d v="2013-12-25T00:00:00"/>
    <s v="DVD"/>
    <n v="102875"/>
    <s v="AB105254"/>
    <x v="10"/>
    <n v="196068"/>
  </r>
  <r>
    <n v="10181"/>
    <n v="2"/>
    <d v="2013-12-26T00:00:00"/>
    <s v="DVD"/>
    <n v="102876"/>
    <s v="AB105256"/>
    <x v="9"/>
    <n v="405322"/>
  </r>
  <r>
    <n v="10115"/>
    <n v="4"/>
    <d v="2013-12-25T00:00:00"/>
    <s v="DVD"/>
    <n v="102878"/>
    <s v="AB105259"/>
    <x v="11"/>
    <n v="706101"/>
  </r>
  <r>
    <n v="10206"/>
    <n v="8"/>
    <d v="2013-12-26T00:00:00"/>
    <s v="DVD"/>
    <n v="102881"/>
    <s v="AB105262"/>
    <x v="9"/>
    <n v="267632"/>
  </r>
  <r>
    <n v="10101"/>
    <n v="10"/>
    <d v="2013-12-29T00:00:00"/>
    <s v="DVD"/>
    <n v="102881"/>
    <s v="AB105263"/>
    <x v="4"/>
    <n v="267632"/>
  </r>
  <r>
    <n v="10271"/>
    <n v="6"/>
    <d v="2013-12-28T00:00:00"/>
    <s v="BLU-RAY"/>
    <n v="102882"/>
    <s v="AB105265"/>
    <x v="7"/>
    <n v="559688"/>
  </r>
  <r>
    <n v="10270"/>
    <n v="4"/>
    <d v="2013-12-25T00:00:00"/>
    <s v="BLU-RAY"/>
    <n v="102882"/>
    <s v="AB105266"/>
    <x v="9"/>
    <n v="559688"/>
  </r>
  <r>
    <n v="10349"/>
    <n v="2"/>
    <d v="2013-12-26T00:00:00"/>
    <s v="DVD"/>
    <n v="102883"/>
    <s v="AB105267"/>
    <x v="8"/>
    <n v="493552"/>
  </r>
  <r>
    <n v="10194"/>
    <n v="7"/>
    <d v="2013-12-27T00:00:00"/>
    <s v="DVD"/>
    <n v="102883"/>
    <s v="AB105269"/>
    <x v="16"/>
    <n v="493552"/>
  </r>
  <r>
    <n v="10286"/>
    <n v="2"/>
    <d v="2013-12-28T00:00:00"/>
    <s v="DVD"/>
    <n v="102884"/>
    <s v="AB105270"/>
    <x v="17"/>
    <n v="580783"/>
  </r>
  <r>
    <n v="10088"/>
    <n v="2"/>
    <d v="2013-12-27T00:00:00"/>
    <s v="DVD"/>
    <n v="102885"/>
    <s v="AB105272"/>
    <x v="0"/>
    <n v="994199"/>
  </r>
  <r>
    <n v="10261"/>
    <n v="2"/>
    <d v="2013-12-28T00:00:00"/>
    <s v="DVD"/>
    <n v="102885"/>
    <s v="AB105273"/>
    <x v="9"/>
    <n v="994199"/>
  </r>
  <r>
    <n v="10145"/>
    <n v="6"/>
    <d v="2013-12-27T00:00:00"/>
    <s v="BLU-RAY"/>
    <n v="102887"/>
    <s v="AB105276"/>
    <x v="6"/>
    <n v="357579"/>
  </r>
  <r>
    <n v="10012"/>
    <n v="6"/>
    <d v="2013-12-26T00:00:00"/>
    <s v="DVD"/>
    <n v="102888"/>
    <s v="AB105278"/>
    <x v="3"/>
    <n v="304344"/>
  </r>
  <r>
    <n v="10289"/>
    <n v="1"/>
    <d v="2013-12-26T00:00:00"/>
    <s v="DVD"/>
    <n v="102890"/>
    <s v="AB105280"/>
    <x v="11"/>
    <n v="761615"/>
  </r>
  <r>
    <n v="10153"/>
    <n v="8"/>
    <d v="2013-12-27T00:00:00"/>
    <s v="DVD"/>
    <n v="102892"/>
    <s v="AB105285"/>
    <x v="10"/>
    <n v="676155"/>
  </r>
  <r>
    <n v="10089"/>
    <n v="4"/>
    <d v="2013-12-31T00:00:00"/>
    <s v="DVD"/>
    <n v="102892"/>
    <s v="AB105286"/>
    <x v="4"/>
    <n v="676155"/>
  </r>
  <r>
    <n v="10054"/>
    <n v="5"/>
    <d v="2013-12-28T00:00:00"/>
    <s v="DVD"/>
    <n v="102895"/>
    <s v="AB105289"/>
    <x v="1"/>
    <n v="884729"/>
  </r>
  <r>
    <n v="10376"/>
    <n v="10"/>
    <d v="2013-12-27T00:00:00"/>
    <s v="DVD"/>
    <n v="102896"/>
    <s v="AB105290"/>
    <x v="12"/>
    <n v="567388"/>
  </r>
  <r>
    <n v="10260"/>
    <n v="10"/>
    <d v="2013-12-29T00:00:00"/>
    <s v="DVD"/>
    <n v="102900"/>
    <s v="AB105294"/>
    <x v="4"/>
    <n v="889686"/>
  </r>
  <r>
    <n v="10231"/>
    <n v="7"/>
    <d v="2013-12-28T00:00:00"/>
    <s v="DVD"/>
    <n v="102901"/>
    <s v="AB105296"/>
    <x v="7"/>
    <n v="730305"/>
  </r>
  <r>
    <n v="10185"/>
    <n v="6"/>
    <d v="2014-01-01T00:00:00"/>
    <s v="DVD"/>
    <n v="102902"/>
    <s v="AB105300"/>
    <x v="0"/>
    <n v="592726"/>
  </r>
  <r>
    <n v="10167"/>
    <n v="8"/>
    <d v="2013-12-30T00:00:00"/>
    <s v="BLU-RAY"/>
    <n v="102904"/>
    <s v="AB105301"/>
    <x v="7"/>
    <n v="408341"/>
  </r>
  <r>
    <n v="10217"/>
    <n v="6"/>
    <d v="2014-01-03T00:00:00"/>
    <s v="DVD"/>
    <n v="102906"/>
    <s v="AB105303"/>
    <x v="0"/>
    <n v="412876"/>
  </r>
  <r>
    <n v="10253"/>
    <n v="10"/>
    <d v="2013-12-29T00:00:00"/>
    <s v="DVD"/>
    <n v="102906"/>
    <s v="AB105305"/>
    <x v="3"/>
    <n v="412876"/>
  </r>
  <r>
    <n v="10285"/>
    <n v="10"/>
    <d v="2013-12-29T00:00:00"/>
    <s v="DVD"/>
    <n v="102907"/>
    <s v="AB105306"/>
    <x v="20"/>
    <n v="761615"/>
  </r>
  <r>
    <n v="10279"/>
    <n v="7"/>
    <d v="2013-12-29T00:00:00"/>
    <s v="DVD"/>
    <n v="102908"/>
    <s v="AB105309"/>
    <x v="8"/>
    <n v="459243"/>
  </r>
  <r>
    <n v="10182"/>
    <n v="9"/>
    <d v="2014-01-01T00:00:00"/>
    <s v="DVD"/>
    <n v="102908"/>
    <s v="AB105311"/>
    <x v="0"/>
    <n v="459243"/>
  </r>
  <r>
    <n v="10277"/>
    <n v="9"/>
    <d v="2013-12-31T00:00:00"/>
    <s v="DVD"/>
    <n v="102911"/>
    <s v="AB105315"/>
    <x v="7"/>
    <n v="183797"/>
  </r>
  <r>
    <n v="10277"/>
    <n v="6"/>
    <d v="2013-12-31T00:00:00"/>
    <s v="DVD"/>
    <n v="102912"/>
    <s v="AB105318"/>
    <x v="7"/>
    <n v="765237"/>
  </r>
  <r>
    <n v="10092"/>
    <n v="10"/>
    <d v="2013-12-30T00:00:00"/>
    <s v="DVD"/>
    <n v="102914"/>
    <s v="AB105321"/>
    <x v="0"/>
    <n v="306475"/>
  </r>
  <r>
    <n v="10266"/>
    <n v="9"/>
    <d v="2014-01-04T00:00:00"/>
    <s v="DVD"/>
    <n v="102915"/>
    <s v="AB105322"/>
    <x v="4"/>
    <n v="936214"/>
  </r>
  <r>
    <n v="10207"/>
    <n v="7"/>
    <d v="2014-01-02T00:00:00"/>
    <s v="DVD"/>
    <n v="102916"/>
    <s v="AB105323"/>
    <x v="1"/>
    <n v="950299"/>
  </r>
  <r>
    <n v="10223"/>
    <n v="6"/>
    <d v="2013-12-30T00:00:00"/>
    <s v="DVD"/>
    <n v="102916"/>
    <s v="AB105324"/>
    <x v="7"/>
    <n v="950299"/>
  </r>
  <r>
    <n v="10169"/>
    <n v="5"/>
    <d v="2014-01-01T00:00:00"/>
    <s v="DVD"/>
    <n v="102917"/>
    <s v="AB105325"/>
    <x v="0"/>
    <n v="132454"/>
  </r>
  <r>
    <n v="10217"/>
    <n v="7"/>
    <d v="2014-01-03T00:00:00"/>
    <s v="DVD"/>
    <n v="102917"/>
    <s v="AB105327"/>
    <x v="0"/>
    <n v="132454"/>
  </r>
  <r>
    <n v="10239"/>
    <n v="7"/>
    <d v="2013-12-31T00:00:00"/>
    <s v="DVD"/>
    <n v="102918"/>
    <s v="AB105328"/>
    <x v="2"/>
    <n v="817159"/>
  </r>
  <r>
    <n v="10069"/>
    <n v="3"/>
    <d v="2013-12-31T00:00:00"/>
    <s v="BLU-RAY"/>
    <n v="102919"/>
    <s v="AB105331"/>
    <x v="0"/>
    <n v="551950"/>
  </r>
  <r>
    <n v="10240"/>
    <n v="10"/>
    <d v="2014-01-04T00:00:00"/>
    <s v="DVD"/>
    <n v="102920"/>
    <s v="AB105333"/>
    <x v="0"/>
    <n v="955591"/>
  </r>
  <r>
    <n v="10222"/>
    <n v="1"/>
    <d v="2013-12-31T00:00:00"/>
    <s v="DVD"/>
    <n v="102920"/>
    <s v="AB105335"/>
    <x v="4"/>
    <n v="955591"/>
  </r>
  <r>
    <n v="10110"/>
    <n v="1"/>
    <d v="2013-12-31T00:00:00"/>
    <s v="DVD"/>
    <n v="102921"/>
    <s v="AB105337"/>
    <x v="0"/>
    <n v="233813"/>
  </r>
  <r>
    <n v="10180"/>
    <n v="4"/>
    <d v="2014-01-01T00:00:00"/>
    <s v="DVD"/>
    <n v="102922"/>
    <s v="AB105338"/>
    <x v="12"/>
    <n v="762509"/>
  </r>
  <r>
    <n v="10097"/>
    <n v="4"/>
    <d v="2013-12-31T00:00:00"/>
    <s v="BLU-RAY"/>
    <n v="102923"/>
    <s v="AB105339"/>
    <x v="8"/>
    <n v="435907"/>
  </r>
  <r>
    <n v="10245"/>
    <n v="3"/>
    <d v="2014-01-02T00:00:00"/>
    <s v="BLU-RAY"/>
    <n v="102923"/>
    <s v="AB105340"/>
    <x v="0"/>
    <n v="435907"/>
  </r>
  <r>
    <n v="10204"/>
    <n v="2"/>
    <d v="2014-01-01T00:00:00"/>
    <s v="DVD"/>
    <n v="102924"/>
    <s v="AB105341"/>
    <x v="7"/>
    <n v="442254"/>
  </r>
  <r>
    <n v="10265"/>
    <n v="6"/>
    <d v="2014-01-01T00:00:00"/>
    <s v="BLU-RAY"/>
    <n v="102924"/>
    <s v="AB105342"/>
    <x v="0"/>
    <n v="442254"/>
  </r>
  <r>
    <n v="10256"/>
    <n v="1"/>
    <d v="2014-01-03T00:00:00"/>
    <s v="DVD"/>
    <n v="102928"/>
    <s v="AB105345"/>
    <x v="9"/>
    <n v="416523"/>
  </r>
  <r>
    <n v="10066"/>
    <n v="2"/>
    <d v="2014-01-01T00:00:00"/>
    <s v="DVD"/>
    <n v="102928"/>
    <s v="AB105346"/>
    <x v="3"/>
    <n v="416523"/>
  </r>
  <r>
    <n v="10220"/>
    <n v="1"/>
    <d v="2014-01-04T00:00:00"/>
    <s v="BLU-RAY"/>
    <n v="102931"/>
    <s v="AB105352"/>
    <x v="9"/>
    <n v="173125"/>
  </r>
  <r>
    <n v="10281"/>
    <n v="1"/>
    <d v="2014-01-06T00:00:00"/>
    <s v="DVD"/>
    <n v="102932"/>
    <s v="AB105354"/>
    <x v="10"/>
    <n v="850933"/>
  </r>
  <r>
    <n v="10241"/>
    <n v="9"/>
    <d v="2014-01-03T00:00:00"/>
    <s v="DVD"/>
    <n v="102934"/>
    <s v="AB105356"/>
    <x v="0"/>
    <n v="308662"/>
  </r>
  <r>
    <n v="10171"/>
    <n v="2"/>
    <d v="2014-01-02T00:00:00"/>
    <s v="DVD"/>
    <n v="102934"/>
    <s v="AB105358"/>
    <x v="7"/>
    <n v="308662"/>
  </r>
  <r>
    <n v="10288"/>
    <n v="6"/>
    <d v="2014-01-05T00:00:00"/>
    <s v="DVD"/>
    <n v="102937"/>
    <s v="AB105361"/>
    <x v="12"/>
    <n v="345348"/>
  </r>
  <r>
    <n v="10198"/>
    <n v="1"/>
    <d v="2014-01-02T00:00:00"/>
    <s v="BLU-RAY"/>
    <n v="102937"/>
    <s v="AB105362"/>
    <x v="9"/>
    <n v="345348"/>
  </r>
  <r>
    <n v="10279"/>
    <n v="9"/>
    <d v="2014-01-02T00:00:00"/>
    <s v="DVD"/>
    <n v="102938"/>
    <s v="AB105365"/>
    <x v="8"/>
    <n v="105771"/>
  </r>
  <r>
    <n v="10185"/>
    <n v="5"/>
    <d v="2014-01-03T00:00:00"/>
    <s v="BLU-RAY"/>
    <n v="102939"/>
    <s v="AB105366"/>
    <x v="0"/>
    <n v="371731"/>
  </r>
  <r>
    <n v="10212"/>
    <n v="6"/>
    <d v="2014-01-07T00:00:00"/>
    <s v="DVD"/>
    <n v="102941"/>
    <s v="AB105371"/>
    <x v="10"/>
    <n v="927518"/>
  </r>
  <r>
    <n v="10290"/>
    <n v="7"/>
    <d v="2014-01-05T00:00:00"/>
    <s v="DVD"/>
    <n v="102942"/>
    <s v="AB105374"/>
    <x v="2"/>
    <n v="468692"/>
  </r>
  <r>
    <n v="10179"/>
    <n v="5"/>
    <d v="2014-01-03T00:00:00"/>
    <s v="DVD"/>
    <n v="102943"/>
    <s v="AB105376"/>
    <x v="0"/>
    <n v="912671"/>
  </r>
  <r>
    <n v="10141"/>
    <n v="9"/>
    <d v="2014-01-03T00:00:00"/>
    <s v="DVD"/>
    <n v="102946"/>
    <s v="AB105382"/>
    <x v="0"/>
    <n v="244282"/>
  </r>
  <r>
    <n v="10095"/>
    <n v="10"/>
    <d v="2014-01-04T00:00:00"/>
    <s v="DVD"/>
    <n v="102950"/>
    <s v="AB105387"/>
    <x v="2"/>
    <n v="166735"/>
  </r>
  <r>
    <n v="10290"/>
    <n v="10"/>
    <d v="2014-01-05T00:00:00"/>
    <s v="DVD"/>
    <n v="102950"/>
    <s v="AB105388"/>
    <x v="2"/>
    <n v="166735"/>
  </r>
  <r>
    <n v="10048"/>
    <n v="6"/>
    <d v="2014-01-06T00:00:00"/>
    <s v="BLU-RAY"/>
    <n v="102951"/>
    <s v="AB105390"/>
    <x v="12"/>
    <n v="355107"/>
  </r>
  <r>
    <n v="10173"/>
    <n v="7"/>
    <d v="2014-01-06T00:00:00"/>
    <s v="DVD"/>
    <n v="102952"/>
    <s v="AB105393"/>
    <x v="4"/>
    <n v="366695"/>
  </r>
  <r>
    <n v="10112"/>
    <n v="9"/>
    <d v="2014-01-05T00:00:00"/>
    <s v="DVD"/>
    <n v="102954"/>
    <s v="AB105398"/>
    <x v="12"/>
    <n v="840096"/>
  </r>
  <r>
    <n v="10187"/>
    <n v="1"/>
    <d v="2014-01-06T00:00:00"/>
    <s v="DVD"/>
    <n v="102957"/>
    <s v="AB105402"/>
    <x v="1"/>
    <n v="488803"/>
  </r>
  <r>
    <n v="10230"/>
    <n v="3"/>
    <d v="2014-01-07T00:00:00"/>
    <s v="BLU-RAY"/>
    <n v="102957"/>
    <s v="AB105403"/>
    <x v="14"/>
    <n v="488803"/>
  </r>
  <r>
    <n v="10238"/>
    <n v="9"/>
    <d v="2014-01-06T00:00:00"/>
    <s v="BLU-RAY"/>
    <n v="102957"/>
    <s v="AB105404"/>
    <x v="0"/>
    <n v="488803"/>
  </r>
  <r>
    <n v="10233"/>
    <n v="9"/>
    <d v="2014-01-05T00:00:00"/>
    <s v="BLU-RAY"/>
    <n v="102960"/>
    <s v="AB105411"/>
    <x v="8"/>
    <n v="216081"/>
  </r>
  <r>
    <n v="10187"/>
    <n v="1"/>
    <d v="2014-01-08T00:00:00"/>
    <s v="DVD"/>
    <n v="102961"/>
    <s v="AB105412"/>
    <x v="1"/>
    <n v="278809"/>
  </r>
  <r>
    <n v="10082"/>
    <n v="7"/>
    <d v="2014-01-07T00:00:00"/>
    <s v="DVD"/>
    <n v="102962"/>
    <s v="AB105413"/>
    <x v="3"/>
    <n v="714277"/>
  </r>
  <r>
    <n v="10220"/>
    <n v="7"/>
    <d v="2014-01-06T00:00:00"/>
    <s v="BLU-RAY"/>
    <n v="102962"/>
    <s v="AB105414"/>
    <x v="9"/>
    <n v="714277"/>
  </r>
  <r>
    <n v="10294"/>
    <n v="8"/>
    <d v="2014-01-06T00:00:00"/>
    <s v="DVD"/>
    <n v="102962"/>
    <s v="AB105415"/>
    <x v="2"/>
    <n v="714277"/>
  </r>
  <r>
    <n v="10265"/>
    <n v="10"/>
    <d v="2014-01-06T00:00:00"/>
    <s v="DVD"/>
    <n v="102963"/>
    <s v="AB105416"/>
    <x v="0"/>
    <n v="304344"/>
  </r>
  <r>
    <n v="10299"/>
    <n v="8"/>
    <d v="2014-01-06T00:00:00"/>
    <s v="DVD"/>
    <n v="102963"/>
    <s v="AB105418"/>
    <x v="22"/>
    <n v="304344"/>
  </r>
  <r>
    <n v="10199"/>
    <n v="5"/>
    <d v="2014-01-08T00:00:00"/>
    <s v="DVD"/>
    <n v="102966"/>
    <s v="AB105424"/>
    <x v="10"/>
    <n v="202612"/>
  </r>
  <r>
    <n v="10071"/>
    <n v="6"/>
    <d v="2014-01-07T00:00:00"/>
    <s v="DVD"/>
    <n v="102967"/>
    <s v="AB105425"/>
    <x v="1"/>
    <n v="575041"/>
  </r>
  <r>
    <n v="10134"/>
    <n v="7"/>
    <d v="2014-01-09T00:00:00"/>
    <s v="BLU-RAY"/>
    <n v="102967"/>
    <s v="AB105426"/>
    <x v="7"/>
    <n v="575041"/>
  </r>
  <r>
    <n v="10054"/>
    <n v="2"/>
    <d v="2014-01-06T00:00:00"/>
    <s v="DVD"/>
    <n v="102967"/>
    <s v="AB105427"/>
    <x v="1"/>
    <n v="575041"/>
  </r>
  <r>
    <n v="10204"/>
    <n v="9"/>
    <d v="2014-01-07T00:00:00"/>
    <s v="BLU-RAY"/>
    <n v="102968"/>
    <s v="AB105428"/>
    <x v="7"/>
    <n v="242720"/>
  </r>
  <r>
    <n v="10235"/>
    <n v="1"/>
    <d v="2014-01-07T00:00:00"/>
    <s v="BLU-RAY"/>
    <n v="102971"/>
    <s v="AB105433"/>
    <x v="10"/>
    <n v="298508"/>
  </r>
  <r>
    <n v="10264"/>
    <n v="7"/>
    <d v="2014-01-07T00:00:00"/>
    <s v="DVD"/>
    <n v="102972"/>
    <s v="AB105435"/>
    <x v="2"/>
    <n v="559688"/>
  </r>
  <r>
    <n v="10235"/>
    <n v="2"/>
    <d v="2014-01-07T00:00:00"/>
    <s v="DVD"/>
    <n v="102972"/>
    <s v="AB105436"/>
    <x v="10"/>
    <n v="559688"/>
  </r>
  <r>
    <n v="10265"/>
    <n v="2"/>
    <d v="2014-01-08T00:00:00"/>
    <s v="DVD"/>
    <n v="102973"/>
    <s v="AB105437"/>
    <x v="0"/>
    <n v="358901"/>
  </r>
  <r>
    <n v="10116"/>
    <n v="3"/>
    <d v="2014-01-09T00:00:00"/>
    <s v="DVD"/>
    <n v="102975"/>
    <s v="AB105440"/>
    <x v="7"/>
    <n v="847289"/>
  </r>
  <r>
    <n v="10208"/>
    <n v="8"/>
    <d v="2014-01-08T00:00:00"/>
    <s v="DVD"/>
    <n v="102976"/>
    <s v="AB105443"/>
    <x v="0"/>
    <n v="206078"/>
  </r>
  <r>
    <n v="10064"/>
    <n v="8"/>
    <d v="2014-01-11T00:00:00"/>
    <s v="DVD"/>
    <n v="102977"/>
    <s v="AB105445"/>
    <x v="7"/>
    <n v="808177"/>
  </r>
  <r>
    <n v="10256"/>
    <n v="5"/>
    <d v="2014-01-08T00:00:00"/>
    <s v="BLU-RAY"/>
    <n v="102978"/>
    <s v="AB105446"/>
    <x v="9"/>
    <n v="319387"/>
  </r>
  <r>
    <n v="10127"/>
    <n v="7"/>
    <d v="2014-01-08T00:00:00"/>
    <s v="DVD"/>
    <n v="102978"/>
    <s v="AB105447"/>
    <x v="6"/>
    <n v="319387"/>
  </r>
  <r>
    <n v="10292"/>
    <n v="5"/>
    <d v="2014-01-10T00:00:00"/>
    <s v="DVD"/>
    <n v="102979"/>
    <s v="AB105450"/>
    <x v="15"/>
    <n v="358901"/>
  </r>
  <r>
    <n v="10175"/>
    <n v="10"/>
    <d v="2014-01-08T00:00:00"/>
    <s v="DVD"/>
    <n v="102980"/>
    <s v="AB105452"/>
    <x v="3"/>
    <n v="116934"/>
  </r>
  <r>
    <n v="10285"/>
    <n v="2"/>
    <d v="2014-01-08T00:00:00"/>
    <s v="DVD"/>
    <n v="102981"/>
    <s v="AB105454"/>
    <x v="20"/>
    <n v="296353"/>
  </r>
  <r>
    <n v="10222"/>
    <n v="2"/>
    <d v="2014-01-12T00:00:00"/>
    <s v="DVD"/>
    <n v="102981"/>
    <s v="AB105455"/>
    <x v="4"/>
    <n v="296353"/>
  </r>
  <r>
    <n v="10197"/>
    <n v="8"/>
    <d v="2014-01-14T00:00:00"/>
    <s v="DVD"/>
    <n v="102984"/>
    <s v="AB105459"/>
    <x v="0"/>
    <n v="353846"/>
  </r>
  <r>
    <n v="10071"/>
    <n v="4"/>
    <d v="2014-01-09T00:00:00"/>
    <s v="DVD"/>
    <n v="102985"/>
    <s v="AB105462"/>
    <x v="1"/>
    <n v="404678"/>
  </r>
  <r>
    <n v="10134"/>
    <n v="8"/>
    <d v="2014-01-10T00:00:00"/>
    <s v="DVD"/>
    <n v="102985"/>
    <s v="AB105465"/>
    <x v="7"/>
    <n v="404678"/>
  </r>
  <r>
    <n v="10167"/>
    <n v="10"/>
    <d v="2014-01-11T00:00:00"/>
    <s v="DVD"/>
    <n v="102987"/>
    <s v="AB105467"/>
    <x v="7"/>
    <n v="862302"/>
  </r>
  <r>
    <n v="10245"/>
    <n v="2"/>
    <d v="2014-01-10T00:00:00"/>
    <s v="DVD"/>
    <n v="102987"/>
    <s v="AB105468"/>
    <x v="0"/>
    <n v="862302"/>
  </r>
  <r>
    <n v="10267"/>
    <n v="9"/>
    <d v="2014-01-10T00:00:00"/>
    <s v="DVD"/>
    <n v="102988"/>
    <s v="AB105470"/>
    <x v="6"/>
    <n v="877877"/>
  </r>
  <r>
    <n v="10286"/>
    <n v="1"/>
    <d v="2014-01-09T00:00:00"/>
    <s v="DVD"/>
    <n v="102988"/>
    <s v="AB105471"/>
    <x v="17"/>
    <n v="877877"/>
  </r>
  <r>
    <n v="10299"/>
    <n v="8"/>
    <d v="2014-01-11T00:00:00"/>
    <s v="DVD"/>
    <n v="102989"/>
    <s v="AB105473"/>
    <x v="22"/>
    <n v="157388"/>
  </r>
  <r>
    <n v="10122"/>
    <n v="7"/>
    <d v="2014-01-10T00:00:00"/>
    <s v="DVD"/>
    <n v="102989"/>
    <s v="AB105474"/>
    <x v="12"/>
    <n v="157388"/>
  </r>
  <r>
    <n v="10283"/>
    <n v="5"/>
    <d v="2014-01-10T00:00:00"/>
    <s v="DVD"/>
    <n v="102991"/>
    <s v="AB105479"/>
    <x v="6"/>
    <n v="578275"/>
  </r>
  <r>
    <n v="10140"/>
    <n v="8"/>
    <d v="2014-01-13T00:00:00"/>
    <s v="BLU-RAY"/>
    <n v="102991"/>
    <s v="AB105480"/>
    <x v="2"/>
    <n v="578275"/>
  </r>
  <r>
    <n v="10073"/>
    <n v="6"/>
    <d v="2014-01-10T00:00:00"/>
    <s v="DVD"/>
    <n v="102993"/>
    <s v="AB105485"/>
    <x v="16"/>
    <n v="175871"/>
  </r>
  <r>
    <n v="10188"/>
    <n v="3"/>
    <d v="2014-01-11T00:00:00"/>
    <s v="DVD"/>
    <n v="102999"/>
    <s v="AB105495"/>
    <x v="1"/>
    <n v="548546"/>
  </r>
  <r>
    <n v="10144"/>
    <n v="3"/>
    <d v="2014-01-10T00:00:00"/>
    <s v="DVD"/>
    <n v="102999"/>
    <s v="AB105496"/>
    <x v="2"/>
    <n v="548546"/>
  </r>
  <r>
    <n v="10230"/>
    <n v="2"/>
    <d v="2014-01-11T00:00:00"/>
    <s v="BLU-RAY"/>
    <n v="103000"/>
    <s v="AB105499"/>
    <x v="14"/>
    <n v="884729"/>
  </r>
  <r>
    <n v="10215"/>
    <n v="2"/>
    <d v="2014-01-12T00:00:00"/>
    <s v="DVD"/>
    <n v="103001"/>
    <s v="AB105500"/>
    <x v="1"/>
    <n v="559688"/>
  </r>
  <r>
    <n v="10152"/>
    <n v="3"/>
    <d v="2014-01-12T00:00:00"/>
    <s v="DVD"/>
    <n v="103002"/>
    <s v="AB105504"/>
    <x v="16"/>
    <n v="105549"/>
  </r>
  <r>
    <n v="10177"/>
    <n v="7"/>
    <d v="2014-01-13T00:00:00"/>
    <s v="DVD"/>
    <n v="103003"/>
    <s v="AB105505"/>
    <x v="9"/>
    <n v="908768"/>
  </r>
  <r>
    <n v="10235"/>
    <n v="9"/>
    <d v="2014-01-14T00:00:00"/>
    <s v="BLU-RAY"/>
    <n v="103004"/>
    <s v="AB105507"/>
    <x v="10"/>
    <n v="741398"/>
  </r>
  <r>
    <n v="10288"/>
    <n v="5"/>
    <d v="2014-01-13T00:00:00"/>
    <s v="DVD"/>
    <n v="103007"/>
    <s v="AB105511"/>
    <x v="12"/>
    <n v="616028"/>
  </r>
  <r>
    <n v="10086"/>
    <n v="3"/>
    <d v="2014-01-12T00:00:00"/>
    <s v="BLU-RAY"/>
    <n v="103011"/>
    <s v="AB105520"/>
    <x v="3"/>
    <n v="161175"/>
  </r>
  <r>
    <n v="10020"/>
    <n v="1"/>
    <d v="2014-01-12T00:00:00"/>
    <s v="DVD"/>
    <n v="103012"/>
    <s v="AB105523"/>
    <x v="16"/>
    <n v="418521"/>
  </r>
  <r>
    <n v="10226"/>
    <n v="10"/>
    <d v="2014-01-12T00:00:00"/>
    <s v="DVD"/>
    <n v="103013"/>
    <s v="AB105526"/>
    <x v="4"/>
    <n v="800121"/>
  </r>
  <r>
    <n v="10105"/>
    <n v="8"/>
    <d v="2014-01-13T00:00:00"/>
    <s v="DVD"/>
    <n v="103014"/>
    <s v="AB105528"/>
    <x v="2"/>
    <n v="346006"/>
  </r>
  <r>
    <n v="10186"/>
    <n v="5"/>
    <d v="2014-01-14T00:00:00"/>
    <s v="DVD"/>
    <n v="103015"/>
    <s v="AB105530"/>
    <x v="10"/>
    <n v="994056"/>
  </r>
  <r>
    <n v="10263"/>
    <n v="10"/>
    <d v="2014-01-13T00:00:00"/>
    <s v="DVD"/>
    <n v="103015"/>
    <s v="AB105531"/>
    <x v="9"/>
    <n v="994056"/>
  </r>
  <r>
    <n v="10177"/>
    <n v="9"/>
    <d v="2014-01-14T00:00:00"/>
    <s v="BLU-RAY"/>
    <n v="103016"/>
    <s v="AB105532"/>
    <x v="9"/>
    <n v="901388"/>
  </r>
  <r>
    <n v="10227"/>
    <n v="1"/>
    <d v="2014-01-13T00:00:00"/>
    <s v="DVD"/>
    <n v="103017"/>
    <s v="AB105533"/>
    <x v="14"/>
    <n v="435907"/>
  </r>
  <r>
    <n v="10266"/>
    <n v="10"/>
    <d v="2014-01-14T00:00:00"/>
    <s v="DVD"/>
    <n v="103019"/>
    <s v="AB105534"/>
    <x v="4"/>
    <n v="703083"/>
  </r>
  <r>
    <n v="10211"/>
    <n v="6"/>
    <d v="2014-01-13T00:00:00"/>
    <s v="DVD"/>
    <n v="103020"/>
    <s v="AB105536"/>
    <x v="3"/>
    <n v="781968"/>
  </r>
  <r>
    <n v="10245"/>
    <n v="6"/>
    <d v="2014-01-15T00:00:00"/>
    <s v="DVD"/>
    <n v="103021"/>
    <s v="AB105537"/>
    <x v="0"/>
    <n v="154427"/>
  </r>
  <r>
    <n v="10208"/>
    <n v="3"/>
    <d v="2014-01-14T00:00:00"/>
    <s v="DVD"/>
    <n v="103021"/>
    <s v="AB105538"/>
    <x v="0"/>
    <n v="154427"/>
  </r>
  <r>
    <n v="10014"/>
    <n v="4"/>
    <d v="2014-01-13T00:00:00"/>
    <s v="DVD"/>
    <n v="103022"/>
    <s v="AB105541"/>
    <x v="0"/>
    <n v="924649"/>
  </r>
  <r>
    <n v="10086"/>
    <n v="6"/>
    <d v="2014-01-14T00:00:00"/>
    <s v="DVD"/>
    <n v="103023"/>
    <s v="AB105544"/>
    <x v="3"/>
    <n v="741514"/>
  </r>
  <r>
    <n v="10272"/>
    <n v="7"/>
    <d v="2014-01-15T00:00:00"/>
    <s v="BLU-RAY"/>
    <n v="103024"/>
    <s v="AB105547"/>
    <x v="4"/>
    <n v="468692"/>
  </r>
  <r>
    <n v="10252"/>
    <n v="3"/>
    <d v="2014-01-20T00:00:00"/>
    <s v="DVD"/>
    <n v="103025"/>
    <s v="AB105550"/>
    <x v="0"/>
    <n v="121639"/>
  </r>
  <r>
    <n v="10226"/>
    <n v="1"/>
    <d v="2014-01-16T00:00:00"/>
    <s v="BLU-RAY"/>
    <n v="103025"/>
    <s v="AB105551"/>
    <x v="4"/>
    <n v="121639"/>
  </r>
  <r>
    <n v="10157"/>
    <n v="6"/>
    <d v="2014-01-14T00:00:00"/>
    <s v="BLU-RAY"/>
    <n v="103027"/>
    <s v="AB105553"/>
    <x v="1"/>
    <n v="994185"/>
  </r>
  <r>
    <n v="10148"/>
    <n v="4"/>
    <d v="2014-01-16T00:00:00"/>
    <s v="DVD"/>
    <n v="103028"/>
    <s v="AB105554"/>
    <x v="1"/>
    <n v="624668"/>
  </r>
  <r>
    <n v="10274"/>
    <n v="1"/>
    <d v="2014-01-14T00:00:00"/>
    <s v="DVD"/>
    <n v="103028"/>
    <s v="AB105555"/>
    <x v="9"/>
    <n v="624668"/>
  </r>
  <r>
    <n v="10128"/>
    <n v="6"/>
    <d v="2014-01-14T00:00:00"/>
    <s v="DVD"/>
    <n v="103030"/>
    <s v="AB105557"/>
    <x v="6"/>
    <n v="191050"/>
  </r>
  <r>
    <n v="10281"/>
    <n v="6"/>
    <d v="2014-01-15T00:00:00"/>
    <s v="BLU-RAY"/>
    <n v="103031"/>
    <s v="AB105559"/>
    <x v="10"/>
    <n v="192738"/>
  </r>
  <r>
    <n v="10233"/>
    <n v="8"/>
    <d v="2014-01-15T00:00:00"/>
    <s v="DVD"/>
    <n v="103032"/>
    <s v="AB105561"/>
    <x v="8"/>
    <n v="265339"/>
  </r>
  <r>
    <n v="10137"/>
    <n v="4"/>
    <d v="2014-01-16T00:00:00"/>
    <s v="BLU-RAY"/>
    <n v="103033"/>
    <s v="AB105563"/>
    <x v="3"/>
    <n v="938417"/>
  </r>
  <r>
    <n v="10280"/>
    <n v="2"/>
    <d v="2014-01-15T00:00:00"/>
    <s v="DVD"/>
    <n v="103035"/>
    <s v="AB105566"/>
    <x v="7"/>
    <n v="241144"/>
  </r>
  <r>
    <n v="10246"/>
    <n v="3"/>
    <d v="2014-01-22T00:00:00"/>
    <s v="DVD"/>
    <n v="103035"/>
    <s v="AB105567"/>
    <x v="2"/>
    <n v="241144"/>
  </r>
  <r>
    <n v="10217"/>
    <n v="4"/>
    <d v="2014-01-15T00:00:00"/>
    <s v="DVD"/>
    <n v="103035"/>
    <s v="AB105568"/>
    <x v="0"/>
    <n v="241144"/>
  </r>
  <r>
    <n v="10169"/>
    <n v="8"/>
    <d v="2014-01-15T00:00:00"/>
    <s v="BLU-RAY"/>
    <n v="103036"/>
    <s v="AB105569"/>
    <x v="0"/>
    <n v="317461"/>
  </r>
  <r>
    <n v="10038"/>
    <n v="5"/>
    <d v="2014-01-17T00:00:00"/>
    <s v="DVD"/>
    <n v="103036"/>
    <s v="AB105570"/>
    <x v="1"/>
    <n v="317461"/>
  </r>
  <r>
    <n v="10285"/>
    <n v="8"/>
    <d v="2014-01-17T00:00:00"/>
    <s v="DVD"/>
    <n v="103036"/>
    <s v="AB105571"/>
    <x v="20"/>
    <n v="317461"/>
  </r>
  <r>
    <n v="10131"/>
    <n v="5"/>
    <d v="2014-01-17T00:00:00"/>
    <s v="DVD"/>
    <n v="103037"/>
    <s v="AB105572"/>
    <x v="0"/>
    <n v="734624"/>
  </r>
  <r>
    <n v="10248"/>
    <n v="8"/>
    <d v="2014-01-15T00:00:00"/>
    <s v="DVD"/>
    <n v="103037"/>
    <s v="AB105573"/>
    <x v="12"/>
    <n v="734624"/>
  </r>
  <r>
    <n v="10284"/>
    <n v="8"/>
    <d v="2014-01-15T00:00:00"/>
    <s v="DVD"/>
    <n v="103038"/>
    <s v="AB105574"/>
    <x v="14"/>
    <n v="405322"/>
  </r>
  <r>
    <n v="10296"/>
    <n v="9"/>
    <d v="2014-01-16T00:00:00"/>
    <s v="DVD"/>
    <n v="103039"/>
    <s v="AB105575"/>
    <x v="21"/>
    <n v="233956"/>
  </r>
  <r>
    <n v="10210"/>
    <n v="3"/>
    <d v="2014-01-17T00:00:00"/>
    <s v="DVD"/>
    <n v="103040"/>
    <s v="AB105577"/>
    <x v="4"/>
    <n v="121639"/>
  </r>
  <r>
    <n v="10250"/>
    <n v="5"/>
    <d v="2014-01-18T00:00:00"/>
    <s v="DVD"/>
    <n v="103042"/>
    <s v="AB105582"/>
    <x v="3"/>
    <n v="606155"/>
  </r>
  <r>
    <n v="10261"/>
    <n v="1"/>
    <d v="2014-01-16T00:00:00"/>
    <s v="DVD"/>
    <n v="103042"/>
    <s v="AB105583"/>
    <x v="9"/>
    <n v="606155"/>
  </r>
  <r>
    <n v="10233"/>
    <n v="9"/>
    <d v="2014-01-18T00:00:00"/>
    <s v="BLU-RAY"/>
    <n v="103044"/>
    <s v="AB105586"/>
    <x v="8"/>
    <n v="605188"/>
  </r>
  <r>
    <n v="10281"/>
    <n v="5"/>
    <d v="2014-01-16T00:00:00"/>
    <s v="DVD"/>
    <n v="103044"/>
    <s v="AB105587"/>
    <x v="10"/>
    <n v="605188"/>
  </r>
  <r>
    <n v="10182"/>
    <n v="6"/>
    <d v="2014-01-17T00:00:00"/>
    <s v="DVD"/>
    <n v="103045"/>
    <s v="AB105589"/>
    <x v="0"/>
    <n v="781523"/>
  </r>
  <r>
    <n v="10130"/>
    <n v="4"/>
    <d v="2014-01-20T00:00:00"/>
    <s v="DVD"/>
    <n v="103048"/>
    <s v="AB105594"/>
    <x v="21"/>
    <n v="964619"/>
  </r>
  <r>
    <n v="10190"/>
    <n v="2"/>
    <d v="2014-01-19T00:00:00"/>
    <s v="DVD"/>
    <n v="103049"/>
    <s v="AB105597"/>
    <x v="10"/>
    <n v="590616"/>
  </r>
  <r>
    <n v="10277"/>
    <n v="9"/>
    <d v="2014-01-17T00:00:00"/>
    <s v="DVD"/>
    <n v="103049"/>
    <s v="AB105599"/>
    <x v="7"/>
    <n v="590616"/>
  </r>
  <r>
    <n v="10158"/>
    <n v="8"/>
    <d v="2014-01-19T00:00:00"/>
    <s v="DVD"/>
    <n v="103050"/>
    <s v="AB105600"/>
    <x v="0"/>
    <n v="426984"/>
  </r>
  <r>
    <n v="10172"/>
    <n v="3"/>
    <d v="2014-01-17T00:00:00"/>
    <s v="DVD"/>
    <n v="103052"/>
    <s v="AB105603"/>
    <x v="10"/>
    <n v="346006"/>
  </r>
  <r>
    <n v="10041"/>
    <n v="9"/>
    <d v="2014-01-18T00:00:00"/>
    <s v="BLU-RAY"/>
    <n v="103055"/>
    <s v="AB105606"/>
    <x v="10"/>
    <n v="782947"/>
  </r>
  <r>
    <n v="10199"/>
    <n v="4"/>
    <d v="2014-01-18T00:00:00"/>
    <s v="DVD"/>
    <n v="103055"/>
    <s v="AB105607"/>
    <x v="10"/>
    <n v="782947"/>
  </r>
  <r>
    <n v="10297"/>
    <n v="10"/>
    <d v="2014-01-19T00:00:00"/>
    <s v="DVD"/>
    <n v="103056"/>
    <s v="AB105610"/>
    <x v="14"/>
    <n v="746134"/>
  </r>
  <r>
    <n v="10209"/>
    <n v="1"/>
    <d v="2014-01-18T00:00:00"/>
    <s v="DVD"/>
    <n v="103058"/>
    <s v="AB105615"/>
    <x v="7"/>
    <n v="890651"/>
  </r>
  <r>
    <n v="10224"/>
    <n v="9"/>
    <d v="2014-01-21T00:00:00"/>
    <s v="DVD"/>
    <n v="103058"/>
    <s v="AB105616"/>
    <x v="17"/>
    <n v="890651"/>
  </r>
  <r>
    <n v="10245"/>
    <n v="5"/>
    <d v="2014-01-23T00:00:00"/>
    <s v="DVD"/>
    <n v="103059"/>
    <s v="AB105617"/>
    <x v="0"/>
    <n v="817159"/>
  </r>
  <r>
    <n v="10185"/>
    <n v="4"/>
    <d v="2014-01-22T00:00:00"/>
    <s v="BLU-RAY"/>
    <n v="103059"/>
    <s v="AB105618"/>
    <x v="0"/>
    <n v="817159"/>
  </r>
  <r>
    <n v="10216"/>
    <n v="2"/>
    <d v="2014-01-18T00:00:00"/>
    <s v="DVD"/>
    <n v="103060"/>
    <s v="AB105620"/>
    <x v="4"/>
    <n v="689877"/>
  </r>
  <r>
    <n v="10123"/>
    <n v="1"/>
    <d v="2014-01-19T00:00:00"/>
    <s v="BLU-RAY"/>
    <n v="103061"/>
    <s v="AB105623"/>
    <x v="9"/>
    <n v="994056"/>
  </r>
  <r>
    <n v="10285"/>
    <n v="2"/>
    <d v="2014-01-19T00:00:00"/>
    <s v="BLU-RAY"/>
    <n v="103065"/>
    <s v="AB105628"/>
    <x v="20"/>
    <n v="912671"/>
  </r>
  <r>
    <n v="10280"/>
    <n v="6"/>
    <d v="2014-01-22T00:00:00"/>
    <s v="DVD"/>
    <n v="103065"/>
    <s v="AB105629"/>
    <x v="7"/>
    <n v="912671"/>
  </r>
  <r>
    <n v="10174"/>
    <n v="2"/>
    <d v="2014-01-22T00:00:00"/>
    <s v="DVD"/>
    <n v="103068"/>
    <s v="AB105637"/>
    <x v="7"/>
    <n v="220206"/>
  </r>
  <r>
    <n v="10181"/>
    <n v="10"/>
    <d v="2014-01-20T00:00:00"/>
    <s v="DVD"/>
    <n v="103068"/>
    <s v="AB105638"/>
    <x v="9"/>
    <n v="220206"/>
  </r>
  <r>
    <n v="10184"/>
    <n v="4"/>
    <d v="2014-01-20T00:00:00"/>
    <s v="DVD"/>
    <n v="103069"/>
    <s v="AB105640"/>
    <x v="7"/>
    <n v="739669"/>
  </r>
  <r>
    <n v="10182"/>
    <n v="5"/>
    <d v="2014-01-22T00:00:00"/>
    <s v="BLU-RAY"/>
    <n v="103071"/>
    <s v="AB105642"/>
    <x v="0"/>
    <n v="414509"/>
  </r>
  <r>
    <n v="10222"/>
    <n v="4"/>
    <d v="2014-01-20T00:00:00"/>
    <s v="DVD"/>
    <n v="103073"/>
    <s v="AB105645"/>
    <x v="4"/>
    <n v="235720"/>
  </r>
  <r>
    <n v="10140"/>
    <n v="2"/>
    <d v="2014-01-21T00:00:00"/>
    <s v="DVD"/>
    <n v="103075"/>
    <s v="AB105649"/>
    <x v="2"/>
    <n v="994056"/>
  </r>
  <r>
    <n v="10100"/>
    <n v="8"/>
    <d v="2014-01-21T00:00:00"/>
    <s v="DVD"/>
    <n v="103076"/>
    <s v="AB105651"/>
    <x v="9"/>
    <n v="520196"/>
  </r>
  <r>
    <n v="10171"/>
    <n v="8"/>
    <d v="2014-01-21T00:00:00"/>
    <s v="DVD"/>
    <n v="103077"/>
    <s v="AB105653"/>
    <x v="7"/>
    <n v="454143"/>
  </r>
  <r>
    <n v="10103"/>
    <n v="4"/>
    <d v="2014-01-22T00:00:00"/>
    <s v="BLU-RAY"/>
    <n v="103079"/>
    <s v="AB105654"/>
    <x v="9"/>
    <n v="278204"/>
  </r>
  <r>
    <n v="10210"/>
    <n v="6"/>
    <d v="2014-01-24T00:00:00"/>
    <s v="DVD"/>
    <n v="103084"/>
    <s v="AB105658"/>
    <x v="4"/>
    <n v="249779"/>
  </r>
  <r>
    <n v="10209"/>
    <n v="3"/>
    <d v="2014-01-22T00:00:00"/>
    <s v="DVD"/>
    <n v="103084"/>
    <s v="AB105659"/>
    <x v="7"/>
    <n v="249779"/>
  </r>
  <r>
    <n v="10265"/>
    <n v="4"/>
    <d v="2014-01-22T00:00:00"/>
    <s v="DVD"/>
    <n v="103085"/>
    <s v="AB105661"/>
    <x v="0"/>
    <n v="748326"/>
  </r>
  <r>
    <n v="10045"/>
    <n v="9"/>
    <d v="2014-01-23T00:00:00"/>
    <s v="BLU-RAY"/>
    <n v="103086"/>
    <s v="AB105666"/>
    <x v="0"/>
    <n v="331115"/>
  </r>
  <r>
    <n v="10079"/>
    <n v="9"/>
    <d v="2014-01-22T00:00:00"/>
    <s v="DVD"/>
    <n v="103087"/>
    <s v="AB105667"/>
    <x v="0"/>
    <n v="659695"/>
  </r>
  <r>
    <n v="10081"/>
    <n v="2"/>
    <d v="2014-01-22T00:00:00"/>
    <s v="BLU-RAY"/>
    <n v="103088"/>
    <s v="AB105672"/>
    <x v="2"/>
    <n v="656728"/>
  </r>
  <r>
    <n v="10128"/>
    <n v="9"/>
    <d v="2014-01-22T00:00:00"/>
    <s v="DVD"/>
    <n v="103089"/>
    <s v="AB105673"/>
    <x v="6"/>
    <n v="358901"/>
  </r>
  <r>
    <n v="10148"/>
    <n v="5"/>
    <d v="2014-01-24T00:00:00"/>
    <s v="DVD"/>
    <n v="103090"/>
    <s v="AB105675"/>
    <x v="1"/>
    <n v="308505"/>
  </r>
  <r>
    <n v="10152"/>
    <n v="9"/>
    <d v="2014-01-28T00:00:00"/>
    <s v="BLU-RAY"/>
    <n v="103092"/>
    <s v="AB105678"/>
    <x v="16"/>
    <n v="308505"/>
  </r>
  <r>
    <n v="10126"/>
    <n v="5"/>
    <d v="2014-01-26T00:00:00"/>
    <s v="DVD"/>
    <n v="103093"/>
    <s v="AB105679"/>
    <x v="9"/>
    <n v="741514"/>
  </r>
  <r>
    <n v="10260"/>
    <n v="1"/>
    <d v="2014-01-23T00:00:00"/>
    <s v="DVD"/>
    <n v="103094"/>
    <s v="AB105681"/>
    <x v="4"/>
    <n v="766737"/>
  </r>
  <r>
    <n v="10162"/>
    <n v="5"/>
    <d v="2014-01-24T00:00:00"/>
    <s v="BLU-RAY"/>
    <n v="103096"/>
    <s v="AB105687"/>
    <x v="4"/>
    <n v="137696"/>
  </r>
  <r>
    <n v="10221"/>
    <n v="3"/>
    <d v="2014-01-24T00:00:00"/>
    <s v="DVD"/>
    <n v="103097"/>
    <s v="AB105688"/>
    <x v="9"/>
    <n v="771285"/>
  </r>
  <r>
    <n v="10287"/>
    <n v="4"/>
    <d v="2014-01-27T00:00:00"/>
    <s v="BLU-RAY"/>
    <n v="103098"/>
    <s v="AB105690"/>
    <x v="10"/>
    <n v="143878"/>
  </r>
  <r>
    <n v="10216"/>
    <n v="5"/>
    <d v="2014-01-29T00:00:00"/>
    <s v="DVD"/>
    <n v="103099"/>
    <s v="AB105691"/>
    <x v="4"/>
    <n v="500828"/>
  </r>
  <r>
    <n v="10146"/>
    <n v="10"/>
    <d v="2014-01-24T00:00:00"/>
    <s v="DVD"/>
    <n v="103100"/>
    <s v="AB105694"/>
    <x v="4"/>
    <n v="958321"/>
  </r>
  <r>
    <n v="10227"/>
    <n v="3"/>
    <d v="2014-01-26T00:00:00"/>
    <s v="DVD"/>
    <n v="103106"/>
    <s v="AB105699"/>
    <x v="14"/>
    <n v="608290"/>
  </r>
  <r>
    <n v="10288"/>
    <n v="8"/>
    <d v="2014-01-25T00:00:00"/>
    <s v="DVD"/>
    <n v="103106"/>
    <s v="AB105700"/>
    <x v="12"/>
    <n v="608290"/>
  </r>
  <r>
    <n v="10204"/>
    <n v="1"/>
    <d v="2014-01-26T00:00:00"/>
    <s v="DVD"/>
    <n v="103107"/>
    <s v="AB105703"/>
    <x v="7"/>
    <n v="781968"/>
  </r>
  <r>
    <n v="10044"/>
    <n v="10"/>
    <d v="2014-01-28T00:00:00"/>
    <s v="DVD"/>
    <n v="103107"/>
    <s v="AB105704"/>
    <x v="3"/>
    <n v="781968"/>
  </r>
  <r>
    <n v="10162"/>
    <n v="5"/>
    <d v="2014-01-26T00:00:00"/>
    <s v="DVD"/>
    <n v="103108"/>
    <s v="AB105707"/>
    <x v="4"/>
    <n v="432113"/>
  </r>
  <r>
    <n v="10248"/>
    <n v="8"/>
    <d v="2014-01-25T00:00:00"/>
    <s v="DVD"/>
    <n v="103109"/>
    <s v="AB105708"/>
    <x v="12"/>
    <n v="825249"/>
  </r>
  <r>
    <n v="10196"/>
    <n v="3"/>
    <d v="2014-01-25T00:00:00"/>
    <s v="DVD"/>
    <n v="103109"/>
    <s v="AB105710"/>
    <x v="9"/>
    <n v="825249"/>
  </r>
  <r>
    <n v="10155"/>
    <n v="1"/>
    <d v="2014-01-25T00:00:00"/>
    <s v="DVD"/>
    <n v="103110"/>
    <s v="AB105712"/>
    <x v="9"/>
    <n v="418521"/>
  </r>
  <r>
    <n v="10233"/>
    <n v="5"/>
    <d v="2014-01-25T00:00:00"/>
    <s v="DVD"/>
    <n v="103112"/>
    <s v="AB105718"/>
    <x v="8"/>
    <n v="491380"/>
  </r>
  <r>
    <n v="10293"/>
    <n v="9"/>
    <d v="2014-01-25T00:00:00"/>
    <s v="DVD"/>
    <n v="103113"/>
    <s v="AB105719"/>
    <x v="12"/>
    <n v="426830"/>
  </r>
  <r>
    <n v="10121"/>
    <n v="6"/>
    <d v="2014-01-27T00:00:00"/>
    <s v="DVD"/>
    <n v="103114"/>
    <s v="AB105720"/>
    <x v="2"/>
    <n v="230602"/>
  </r>
  <r>
    <n v="10177"/>
    <n v="2"/>
    <d v="2014-01-28T00:00:00"/>
    <s v="DVD"/>
    <n v="103114"/>
    <s v="AB105722"/>
    <x v="9"/>
    <n v="230602"/>
  </r>
  <r>
    <n v="10087"/>
    <n v="1"/>
    <d v="2014-01-26T00:00:00"/>
    <s v="DVD"/>
    <n v="103117"/>
    <s v="AB105724"/>
    <x v="10"/>
    <n v="190721"/>
  </r>
  <r>
    <n v="10135"/>
    <n v="8"/>
    <d v="2014-01-27T00:00:00"/>
    <s v="DVD"/>
    <n v="103118"/>
    <s v="AB105727"/>
    <x v="7"/>
    <n v="240205"/>
  </r>
  <r>
    <n v="10321"/>
    <n v="10"/>
    <d v="2014-01-27T00:00:00"/>
    <s v="DVD"/>
    <n v="103119"/>
    <s v="AB105729"/>
    <x v="10"/>
    <n v="756769"/>
  </r>
  <r>
    <n v="10210"/>
    <n v="2"/>
    <d v="2014-01-27T00:00:00"/>
    <s v="DVD"/>
    <n v="103119"/>
    <s v="AB105731"/>
    <x v="4"/>
    <n v="756769"/>
  </r>
  <r>
    <n v="10290"/>
    <n v="1"/>
    <d v="2014-01-28T00:00:00"/>
    <s v="DVD"/>
    <n v="103120"/>
    <s v="AB105732"/>
    <x v="2"/>
    <n v="202612"/>
  </r>
  <r>
    <n v="10162"/>
    <n v="10"/>
    <d v="2014-01-28T00:00:00"/>
    <s v="BLU-RAY"/>
    <n v="103120"/>
    <s v="AB105733"/>
    <x v="4"/>
    <n v="202612"/>
  </r>
  <r>
    <n v="10213"/>
    <n v="3"/>
    <d v="2014-01-27T00:00:00"/>
    <s v="DVD"/>
    <n v="103120"/>
    <s v="AB105734"/>
    <x v="4"/>
    <n v="202612"/>
  </r>
  <r>
    <n v="10292"/>
    <n v="8"/>
    <d v="2014-01-27T00:00:00"/>
    <s v="DVD"/>
    <n v="103122"/>
    <s v="AB105739"/>
    <x v="15"/>
    <n v="924649"/>
  </r>
  <r>
    <n v="10167"/>
    <n v="10"/>
    <d v="2014-01-27T00:00:00"/>
    <s v="BLU-RAY"/>
    <n v="103123"/>
    <s v="AB105743"/>
    <x v="7"/>
    <n v="818287"/>
  </r>
  <r>
    <n v="10286"/>
    <n v="10"/>
    <d v="2014-01-28T00:00:00"/>
    <s v="DVD"/>
    <n v="103123"/>
    <s v="AB105744"/>
    <x v="17"/>
    <n v="818287"/>
  </r>
  <r>
    <n v="10171"/>
    <n v="9"/>
    <d v="2014-01-27T00:00:00"/>
    <s v="DVD"/>
    <n v="103124"/>
    <s v="AB105745"/>
    <x v="7"/>
    <n v="607810"/>
  </r>
  <r>
    <n v="10074"/>
    <n v="9"/>
    <d v="2014-01-28T00:00:00"/>
    <s v="DVD"/>
    <n v="103124"/>
    <s v="AB105746"/>
    <x v="11"/>
    <n v="607810"/>
  </r>
  <r>
    <n v="10215"/>
    <n v="3"/>
    <d v="2014-01-30T00:00:00"/>
    <s v="DVD"/>
    <n v="103125"/>
    <s v="AB105749"/>
    <x v="1"/>
    <n v="747066"/>
  </r>
  <r>
    <n v="10195"/>
    <n v="3"/>
    <d v="2014-01-27T00:00:00"/>
    <s v="DVD"/>
    <n v="103126"/>
    <s v="AB105752"/>
    <x v="4"/>
    <n v="346006"/>
  </r>
  <r>
    <n v="10274"/>
    <n v="4"/>
    <d v="2014-01-30T00:00:00"/>
    <s v="DVD"/>
    <n v="103127"/>
    <s v="AB105754"/>
    <x v="9"/>
    <n v="723819"/>
  </r>
  <r>
    <n v="10262"/>
    <n v="5"/>
    <d v="2014-01-27T00:00:00"/>
    <s v="BLU-RAY"/>
    <n v="103128"/>
    <s v="AB105755"/>
    <x v="10"/>
    <n v="265707"/>
  </r>
  <r>
    <n v="10209"/>
    <n v="3"/>
    <d v="2014-01-31T00:00:00"/>
    <s v="DVD"/>
    <n v="103130"/>
    <s v="AB105760"/>
    <x v="7"/>
    <n v="454015"/>
  </r>
  <r>
    <n v="10152"/>
    <n v="1"/>
    <d v="2014-01-29T00:00:00"/>
    <s v="BLU-RAY"/>
    <n v="103130"/>
    <s v="AB105761"/>
    <x v="16"/>
    <n v="454015"/>
  </r>
  <r>
    <n v="10280"/>
    <n v="3"/>
    <d v="2014-01-28T00:00:00"/>
    <s v="DVD"/>
    <n v="103131"/>
    <s v="AB105764"/>
    <x v="7"/>
    <n v="363931"/>
  </r>
  <r>
    <n v="10178"/>
    <n v="10"/>
    <d v="2014-01-28T00:00:00"/>
    <s v="DVD"/>
    <n v="103134"/>
    <s v="AB105770"/>
    <x v="0"/>
    <n v="207846"/>
  </r>
  <r>
    <n v="10137"/>
    <n v="7"/>
    <d v="2014-01-28T00:00:00"/>
    <s v="DVD"/>
    <n v="103135"/>
    <s v="AB105771"/>
    <x v="3"/>
    <n v="269687"/>
  </r>
  <r>
    <n v="10111"/>
    <n v="6"/>
    <d v="2014-01-31T00:00:00"/>
    <s v="DVD"/>
    <n v="103137"/>
    <s v="AB105773"/>
    <x v="9"/>
    <n v="528475"/>
  </r>
  <r>
    <n v="10284"/>
    <n v="7"/>
    <d v="2014-01-29T00:00:00"/>
    <s v="DVD"/>
    <n v="103137"/>
    <s v="AB105776"/>
    <x v="14"/>
    <n v="528475"/>
  </r>
  <r>
    <n v="10078"/>
    <n v="4"/>
    <d v="2014-01-29T00:00:00"/>
    <s v="BLU-RAY"/>
    <n v="103140"/>
    <s v="AB105780"/>
    <x v="1"/>
    <n v="393893"/>
  </r>
  <r>
    <n v="10206"/>
    <n v="1"/>
    <d v="2014-01-30T00:00:00"/>
    <s v="DVD"/>
    <n v="103141"/>
    <s v="AB105782"/>
    <x v="9"/>
    <n v="109251"/>
  </r>
  <r>
    <n v="10149"/>
    <n v="10"/>
    <d v="2014-01-30T00:00:00"/>
    <s v="BLU-RAY"/>
    <n v="103142"/>
    <s v="AB105785"/>
    <x v="12"/>
    <n v="416523"/>
  </r>
  <r>
    <n v="10117"/>
    <n v="1"/>
    <d v="2014-02-03T00:00:00"/>
    <s v="DVD"/>
    <n v="103144"/>
    <s v="AB105789"/>
    <x v="4"/>
    <n v="480298"/>
  </r>
  <r>
    <n v="10253"/>
    <n v="10"/>
    <d v="2014-02-04T00:00:00"/>
    <s v="DVD"/>
    <n v="103146"/>
    <s v="AB105794"/>
    <x v="3"/>
    <n v="161942"/>
  </r>
  <r>
    <n v="10267"/>
    <n v="6"/>
    <d v="2014-01-30T00:00:00"/>
    <s v="DVD"/>
    <n v="103146"/>
    <s v="AB105795"/>
    <x v="6"/>
    <n v="161942"/>
  </r>
  <r>
    <n v="10259"/>
    <n v="1"/>
    <d v="2014-01-30T00:00:00"/>
    <s v="DVD"/>
    <n v="103146"/>
    <s v="AB105796"/>
    <x v="0"/>
    <n v="161942"/>
  </r>
  <r>
    <n v="10275"/>
    <n v="3"/>
    <d v="2014-02-02T00:00:00"/>
    <s v="DVD"/>
    <n v="103148"/>
    <s v="AB105798"/>
    <x v="10"/>
    <n v="420981"/>
  </r>
  <r>
    <n v="10141"/>
    <n v="6"/>
    <d v="2014-02-02T00:00:00"/>
    <s v="DVD"/>
    <n v="103149"/>
    <s v="AB105801"/>
    <x v="0"/>
    <n v="879173"/>
  </r>
  <r>
    <n v="10206"/>
    <n v="6"/>
    <d v="2014-01-31T00:00:00"/>
    <s v="BLU-RAY"/>
    <n v="103149"/>
    <s v="AB105802"/>
    <x v="9"/>
    <n v="879173"/>
  </r>
  <r>
    <n v="10284"/>
    <n v="10"/>
    <d v="2014-01-30T00:00:00"/>
    <s v="DVD"/>
    <n v="103149"/>
    <s v="AB105803"/>
    <x v="14"/>
    <n v="879173"/>
  </r>
  <r>
    <n v="10249"/>
    <n v="10"/>
    <d v="2014-02-01T00:00:00"/>
    <s v="DVD"/>
    <n v="103150"/>
    <s v="AB105805"/>
    <x v="5"/>
    <n v="418635"/>
  </r>
  <r>
    <n v="10193"/>
    <n v="10"/>
    <d v="2014-01-31T00:00:00"/>
    <s v="DVD"/>
    <n v="103150"/>
    <s v="AB105806"/>
    <x v="9"/>
    <n v="418635"/>
  </r>
  <r>
    <n v="10216"/>
    <n v="3"/>
    <d v="2014-02-01T00:00:00"/>
    <s v="DVD"/>
    <n v="103151"/>
    <s v="AB105809"/>
    <x v="4"/>
    <n v="197102"/>
  </r>
  <r>
    <n v="10264"/>
    <n v="3"/>
    <d v="2014-01-31T00:00:00"/>
    <s v="BLU-RAY"/>
    <n v="103152"/>
    <s v="AB105810"/>
    <x v="2"/>
    <n v="230602"/>
  </r>
  <r>
    <n v="10281"/>
    <n v="1"/>
    <d v="2014-02-02T00:00:00"/>
    <s v="DVD"/>
    <n v="103152"/>
    <s v="AB105811"/>
    <x v="10"/>
    <n v="230602"/>
  </r>
  <r>
    <n v="10123"/>
    <n v="4"/>
    <d v="2014-02-01T00:00:00"/>
    <s v="DVD"/>
    <n v="103154"/>
    <s v="AB105815"/>
    <x v="9"/>
    <n v="378374"/>
  </r>
  <r>
    <n v="10187"/>
    <n v="1"/>
    <d v="2014-02-01T00:00:00"/>
    <s v="DVD"/>
    <n v="103154"/>
    <s v="AB105816"/>
    <x v="1"/>
    <n v="378374"/>
  </r>
  <r>
    <n v="10217"/>
    <n v="9"/>
    <d v="2014-02-02T00:00:00"/>
    <s v="BLU-RAY"/>
    <n v="103155"/>
    <s v="AB105817"/>
    <x v="0"/>
    <n v="838924"/>
  </r>
  <r>
    <n v="10238"/>
    <n v="10"/>
    <d v="2014-01-31T00:00:00"/>
    <s v="DVD"/>
    <n v="103155"/>
    <s v="AB105818"/>
    <x v="0"/>
    <n v="838924"/>
  </r>
  <r>
    <n v="10098"/>
    <n v="6"/>
    <d v="2014-01-31T00:00:00"/>
    <s v="DVD"/>
    <n v="103157"/>
    <s v="AB105819"/>
    <x v="0"/>
    <n v="262638"/>
  </r>
  <r>
    <n v="10286"/>
    <n v="10"/>
    <d v="2014-01-31T00:00:00"/>
    <s v="DVD"/>
    <n v="103158"/>
    <s v="AB105822"/>
    <x v="17"/>
    <n v="416523"/>
  </r>
  <r>
    <n v="10138"/>
    <n v="3"/>
    <d v="2014-02-02T00:00:00"/>
    <s v="DVD"/>
    <n v="103160"/>
    <s v="AB105826"/>
    <x v="7"/>
    <n v="344702"/>
  </r>
  <r>
    <n v="10221"/>
    <n v="4"/>
    <d v="2014-02-01T00:00:00"/>
    <s v="DVD"/>
    <n v="103161"/>
    <s v="AB105828"/>
    <x v="9"/>
    <n v="817500"/>
  </r>
  <r>
    <n v="10234"/>
    <n v="1"/>
    <d v="2014-02-08T00:00:00"/>
    <s v="DVD"/>
    <n v="103161"/>
    <s v="AB105830"/>
    <x v="0"/>
    <n v="817500"/>
  </r>
  <r>
    <n v="10274"/>
    <n v="6"/>
    <d v="2014-02-01T00:00:00"/>
    <s v="DVD"/>
    <n v="103162"/>
    <s v="AB105831"/>
    <x v="9"/>
    <n v="386336"/>
  </r>
  <r>
    <n v="10071"/>
    <n v="1"/>
    <d v="2014-02-02T00:00:00"/>
    <s v="BLU-RAY"/>
    <n v="103164"/>
    <s v="AB105835"/>
    <x v="1"/>
    <n v="296886"/>
  </r>
  <r>
    <n v="10268"/>
    <n v="5"/>
    <d v="2014-02-01T00:00:00"/>
    <s v="DVD"/>
    <n v="103164"/>
    <s v="AB105836"/>
    <x v="3"/>
    <n v="296886"/>
  </r>
  <r>
    <n v="10195"/>
    <n v="1"/>
    <d v="2014-02-02T00:00:00"/>
    <s v="DVD"/>
    <n v="103167"/>
    <s v="AB105839"/>
    <x v="4"/>
    <n v="590517"/>
  </r>
  <r>
    <n v="10150"/>
    <n v="10"/>
    <d v="2014-02-03T00:00:00"/>
    <s v="DVD"/>
    <n v="103169"/>
    <s v="AB105842"/>
    <x v="14"/>
    <n v="297686"/>
  </r>
  <r>
    <n v="10352"/>
    <n v="3"/>
    <d v="2014-02-04T00:00:00"/>
    <s v="DVD"/>
    <n v="103170"/>
    <s v="AB105844"/>
    <x v="0"/>
    <n v="158310"/>
  </r>
  <r>
    <n v="10144"/>
    <n v="8"/>
    <d v="2014-02-05T00:00:00"/>
    <s v="DVD"/>
    <n v="103171"/>
    <s v="AB105847"/>
    <x v="2"/>
    <n v="487346"/>
  </r>
  <r>
    <n v="10010"/>
    <n v="4"/>
    <d v="2014-02-02T00:00:00"/>
    <s v="DVD"/>
    <n v="103172"/>
    <s v="AB105849"/>
    <x v="3"/>
    <n v="137696"/>
  </r>
  <r>
    <n v="10176"/>
    <n v="8"/>
    <d v="2014-02-03T00:00:00"/>
    <s v="BLU-RAY"/>
    <n v="103172"/>
    <s v="AB105850"/>
    <x v="7"/>
    <n v="137696"/>
  </r>
  <r>
    <n v="10271"/>
    <n v="4"/>
    <d v="2014-02-02T00:00:00"/>
    <s v="DVD"/>
    <n v="103173"/>
    <s v="AB105851"/>
    <x v="7"/>
    <n v="879173"/>
  </r>
  <r>
    <n v="10115"/>
    <n v="5"/>
    <d v="2014-02-07T00:00:00"/>
    <s v="DVD"/>
    <n v="103174"/>
    <s v="AB105854"/>
    <x v="11"/>
    <n v="679354"/>
  </r>
  <r>
    <n v="10054"/>
    <n v="6"/>
    <d v="2014-02-04T00:00:00"/>
    <s v="DVD"/>
    <n v="103176"/>
    <s v="AB105855"/>
    <x v="1"/>
    <n v="742620"/>
  </r>
  <r>
    <n v="10285"/>
    <n v="10"/>
    <d v="2014-02-07T00:00:00"/>
    <s v="DVD"/>
    <n v="103176"/>
    <s v="AB105856"/>
    <x v="20"/>
    <n v="742620"/>
  </r>
  <r>
    <n v="10197"/>
    <n v="7"/>
    <d v="2014-02-05T00:00:00"/>
    <s v="DVD"/>
    <n v="103177"/>
    <s v="AB105858"/>
    <x v="0"/>
    <n v="435907"/>
  </r>
  <r>
    <n v="10243"/>
    <n v="7"/>
    <d v="2014-02-04T00:00:00"/>
    <s v="DVD"/>
    <n v="103178"/>
    <s v="AB105860"/>
    <x v="9"/>
    <n v="227372"/>
  </r>
  <r>
    <n v="10231"/>
    <n v="10"/>
    <d v="2014-02-03T00:00:00"/>
    <s v="DVD"/>
    <n v="103179"/>
    <s v="AB105862"/>
    <x v="7"/>
    <n v="190721"/>
  </r>
  <r>
    <n v="10234"/>
    <n v="3"/>
    <d v="2014-02-08T00:00:00"/>
    <s v="DVD"/>
    <n v="103181"/>
    <s v="AB105864"/>
    <x v="0"/>
    <n v="815980"/>
  </r>
  <r>
    <n v="10291"/>
    <n v="10"/>
    <d v="2014-02-03T00:00:00"/>
    <s v="DVD"/>
    <n v="103181"/>
    <s v="AB105865"/>
    <x v="0"/>
    <n v="815980"/>
  </r>
  <r>
    <n v="10266"/>
    <n v="8"/>
    <d v="2014-02-07T00:00:00"/>
    <s v="BLU-RAY"/>
    <n v="103182"/>
    <s v="AB105866"/>
    <x v="4"/>
    <n v="202612"/>
  </r>
  <r>
    <n v="10116"/>
    <n v="10"/>
    <d v="2014-02-03T00:00:00"/>
    <s v="DVD"/>
    <n v="103182"/>
    <s v="AB105867"/>
    <x v="7"/>
    <n v="202612"/>
  </r>
  <r>
    <n v="10285"/>
    <n v="5"/>
    <d v="2014-02-04T00:00:00"/>
    <s v="BLU-RAY"/>
    <n v="103182"/>
    <s v="AB105868"/>
    <x v="20"/>
    <n v="202612"/>
  </r>
  <r>
    <n v="10079"/>
    <n v="7"/>
    <d v="2014-02-04T00:00:00"/>
    <s v="BLU-RAY"/>
    <n v="103185"/>
    <s v="AB105872"/>
    <x v="0"/>
    <n v="147216"/>
  </r>
  <r>
    <n v="10138"/>
    <n v="1"/>
    <d v="2014-02-04T00:00:00"/>
    <s v="DVD"/>
    <n v="103186"/>
    <s v="AB105874"/>
    <x v="7"/>
    <n v="884607"/>
  </r>
  <r>
    <n v="10274"/>
    <n v="4"/>
    <d v="2014-02-04T00:00:00"/>
    <s v="DVD"/>
    <n v="103186"/>
    <s v="AB105876"/>
    <x v="9"/>
    <n v="884607"/>
  </r>
  <r>
    <n v="10247"/>
    <n v="7"/>
    <d v="2014-02-04T00:00:00"/>
    <s v="DVD"/>
    <n v="103187"/>
    <s v="AB105877"/>
    <x v="9"/>
    <n v="301793"/>
  </r>
  <r>
    <n v="10175"/>
    <n v="3"/>
    <d v="2014-02-04T00:00:00"/>
    <s v="BLU-RAY"/>
    <n v="103189"/>
    <s v="AB105879"/>
    <x v="3"/>
    <n v="429748"/>
  </r>
  <r>
    <n v="10198"/>
    <n v="10"/>
    <d v="2014-02-05T00:00:00"/>
    <s v="DVD"/>
    <n v="103189"/>
    <s v="AB105880"/>
    <x v="9"/>
    <n v="429748"/>
  </r>
  <r>
    <n v="10177"/>
    <n v="1"/>
    <d v="2014-02-05T00:00:00"/>
    <s v="DVD"/>
    <n v="103189"/>
    <s v="AB105881"/>
    <x v="9"/>
    <n v="429748"/>
  </r>
  <r>
    <n v="10288"/>
    <n v="1"/>
    <d v="2014-02-07T00:00:00"/>
    <s v="DVD"/>
    <n v="103195"/>
    <s v="AB105892"/>
    <x v="12"/>
    <n v="563500"/>
  </r>
  <r>
    <n v="10265"/>
    <n v="8"/>
    <d v="2014-02-09T00:00:00"/>
    <s v="DVD"/>
    <n v="103195"/>
    <s v="AB105893"/>
    <x v="0"/>
    <n v="563500"/>
  </r>
  <r>
    <n v="10131"/>
    <n v="9"/>
    <d v="2014-02-06T00:00:00"/>
    <s v="DVD"/>
    <n v="103200"/>
    <s v="AB105899"/>
    <x v="0"/>
    <n v="938417"/>
  </r>
  <r>
    <n v="10274"/>
    <n v="7"/>
    <d v="2014-02-08T00:00:00"/>
    <s v="BLU-RAY"/>
    <n v="103201"/>
    <s v="AB105900"/>
    <x v="9"/>
    <n v="426830"/>
  </r>
  <r>
    <n v="10182"/>
    <n v="8"/>
    <d v="2014-02-06T00:00:00"/>
    <s v="DVD"/>
    <n v="103201"/>
    <s v="AB105901"/>
    <x v="0"/>
    <n v="426830"/>
  </r>
  <r>
    <n v="10297"/>
    <n v="8"/>
    <d v="2014-02-06T00:00:00"/>
    <s v="DVD"/>
    <n v="103201"/>
    <s v="AB105902"/>
    <x v="14"/>
    <n v="426830"/>
  </r>
  <r>
    <n v="10272"/>
    <n v="1"/>
    <d v="2014-02-06T00:00:00"/>
    <s v="DVD"/>
    <n v="103201"/>
    <s v="AB105903"/>
    <x v="4"/>
    <n v="426830"/>
  </r>
  <r>
    <n v="10275"/>
    <n v="3"/>
    <d v="2014-02-07T00:00:00"/>
    <s v="DVD"/>
    <n v="103203"/>
    <s v="AB105907"/>
    <x v="10"/>
    <n v="905670"/>
  </r>
  <r>
    <n v="10147"/>
    <n v="8"/>
    <d v="2014-02-06T00:00:00"/>
    <s v="DVD"/>
    <n v="103204"/>
    <s v="AB105909"/>
    <x v="10"/>
    <n v="441628"/>
  </r>
  <r>
    <n v="10166"/>
    <n v="10"/>
    <d v="2014-02-07T00:00:00"/>
    <s v="DVD"/>
    <n v="103206"/>
    <s v="AB105911"/>
    <x v="9"/>
    <n v="826590"/>
  </r>
  <r>
    <n v="10233"/>
    <n v="3"/>
    <d v="2014-02-08T00:00:00"/>
    <s v="DVD"/>
    <n v="103209"/>
    <s v="AB105917"/>
    <x v="8"/>
    <n v="245577"/>
  </r>
  <r>
    <n v="10270"/>
    <n v="1"/>
    <d v="2014-02-07T00:00:00"/>
    <s v="DVD"/>
    <n v="103211"/>
    <s v="AB105920"/>
    <x v="9"/>
    <n v="498970"/>
  </r>
  <r>
    <n v="10201"/>
    <n v="7"/>
    <d v="2014-02-08T00:00:00"/>
    <s v="DVD"/>
    <n v="103212"/>
    <s v="AB105922"/>
    <x v="8"/>
    <n v="738357"/>
  </r>
  <r>
    <n v="10157"/>
    <n v="1"/>
    <d v="2014-02-09T00:00:00"/>
    <s v="BLU-RAY"/>
    <n v="103212"/>
    <s v="AB105924"/>
    <x v="1"/>
    <n v="738357"/>
  </r>
  <r>
    <n v="10289"/>
    <n v="5"/>
    <d v="2014-02-08T00:00:00"/>
    <s v="DVD"/>
    <n v="103212"/>
    <s v="AB105925"/>
    <x v="11"/>
    <n v="738357"/>
  </r>
  <r>
    <n v="10299"/>
    <n v="5"/>
    <d v="2014-02-11T00:00:00"/>
    <s v="DVD"/>
    <n v="103214"/>
    <s v="AB105928"/>
    <x v="22"/>
    <n v="549823"/>
  </r>
  <r>
    <n v="10136"/>
    <n v="8"/>
    <d v="2014-02-11T00:00:00"/>
    <s v="DVD"/>
    <n v="103214"/>
    <s v="AB105929"/>
    <x v="2"/>
    <n v="549823"/>
  </r>
  <r>
    <n v="10243"/>
    <n v="2"/>
    <d v="2014-02-08T00:00:00"/>
    <s v="DVD"/>
    <n v="103215"/>
    <s v="AB105931"/>
    <x v="9"/>
    <n v="759995"/>
  </r>
  <r>
    <n v="10071"/>
    <n v="8"/>
    <d v="2014-02-10T00:00:00"/>
    <s v="BLU-RAY"/>
    <n v="103216"/>
    <s v="AB105935"/>
    <x v="1"/>
    <n v="747066"/>
  </r>
  <r>
    <n v="10250"/>
    <n v="4"/>
    <d v="2014-02-08T00:00:00"/>
    <s v="DVD"/>
    <n v="103218"/>
    <s v="AB105937"/>
    <x v="3"/>
    <n v="695276"/>
  </r>
  <r>
    <n v="10203"/>
    <n v="1"/>
    <d v="2014-02-09T00:00:00"/>
    <s v="DVD"/>
    <n v="103222"/>
    <s v="AB105942"/>
    <x v="3"/>
    <n v="478274"/>
  </r>
  <r>
    <n v="10262"/>
    <n v="1"/>
    <d v="2014-02-09T00:00:00"/>
    <s v="DVD"/>
    <n v="103223"/>
    <s v="AB105944"/>
    <x v="10"/>
    <n v="860057"/>
  </r>
  <r>
    <n v="10193"/>
    <n v="4"/>
    <d v="2014-02-10T00:00:00"/>
    <s v="DVD"/>
    <n v="103225"/>
    <s v="AB105950"/>
    <x v="9"/>
    <n v="515753"/>
  </r>
  <r>
    <n v="10119"/>
    <n v="7"/>
    <d v="2014-02-09T00:00:00"/>
    <s v="BLU-RAY"/>
    <n v="103225"/>
    <s v="AB105951"/>
    <x v="7"/>
    <n v="515753"/>
  </r>
  <r>
    <n v="10268"/>
    <n v="10"/>
    <d v="2014-02-12T00:00:00"/>
    <s v="DVD"/>
    <n v="103227"/>
    <s v="AB105954"/>
    <x v="3"/>
    <n v="433442"/>
  </r>
  <r>
    <n v="10248"/>
    <n v="1"/>
    <d v="2014-02-10T00:00:00"/>
    <s v="DVD"/>
    <n v="103231"/>
    <s v="AB105963"/>
    <x v="12"/>
    <n v="265707"/>
  </r>
  <r>
    <n v="10223"/>
    <n v="4"/>
    <d v="2014-02-11T00:00:00"/>
    <s v="DVD"/>
    <n v="103232"/>
    <s v="AB105966"/>
    <x v="7"/>
    <n v="846722"/>
  </r>
  <r>
    <n v="10011"/>
    <n v="10"/>
    <d v="2014-02-16T00:00:00"/>
    <s v="DVD"/>
    <n v="103232"/>
    <s v="AB105967"/>
    <x v="3"/>
    <n v="846722"/>
  </r>
  <r>
    <n v="10242"/>
    <n v="10"/>
    <d v="2014-02-11T00:00:00"/>
    <s v="DVD"/>
    <n v="103233"/>
    <s v="AB105968"/>
    <x v="3"/>
    <n v="235720"/>
  </r>
  <r>
    <n v="10158"/>
    <n v="5"/>
    <d v="2014-02-11T00:00:00"/>
    <s v="DVD"/>
    <n v="103234"/>
    <s v="AB105970"/>
    <x v="0"/>
    <n v="408341"/>
  </r>
  <r>
    <n v="10238"/>
    <n v="1"/>
    <d v="2014-02-11T00:00:00"/>
    <s v="DVD"/>
    <n v="103235"/>
    <s v="AB105974"/>
    <x v="0"/>
    <n v="515790"/>
  </r>
  <r>
    <n v="10271"/>
    <n v="6"/>
    <d v="2014-02-15T00:00:00"/>
    <s v="DVD"/>
    <n v="103235"/>
    <s v="AB105975"/>
    <x v="7"/>
    <n v="515790"/>
  </r>
  <r>
    <n v="10285"/>
    <n v="8"/>
    <d v="2014-02-11T00:00:00"/>
    <s v="DVD"/>
    <n v="103237"/>
    <s v="AB105980"/>
    <x v="20"/>
    <n v="158528"/>
  </r>
  <r>
    <n v="10069"/>
    <n v="6"/>
    <d v="2014-02-12T00:00:00"/>
    <s v="BLU-RAY"/>
    <n v="103239"/>
    <s v="AB105982"/>
    <x v="0"/>
    <n v="977759"/>
  </r>
  <r>
    <n v="10082"/>
    <n v="8"/>
    <d v="2014-02-12T00:00:00"/>
    <s v="DVD"/>
    <n v="103239"/>
    <s v="AB105984"/>
    <x v="3"/>
    <n v="977759"/>
  </r>
  <r>
    <n v="10178"/>
    <n v="3"/>
    <d v="2014-02-12T00:00:00"/>
    <s v="DVD"/>
    <n v="103241"/>
    <s v="AB105988"/>
    <x v="0"/>
    <n v="189953"/>
  </r>
  <r>
    <n v="10245"/>
    <n v="10"/>
    <d v="2014-02-13T00:00:00"/>
    <s v="DVD"/>
    <n v="103242"/>
    <s v="AB105989"/>
    <x v="0"/>
    <n v="892883"/>
  </r>
  <r>
    <n v="10228"/>
    <n v="7"/>
    <d v="2014-02-13T00:00:00"/>
    <s v="DVD"/>
    <n v="103243"/>
    <s v="AB105992"/>
    <x v="7"/>
    <n v="575041"/>
  </r>
  <r>
    <n v="10217"/>
    <n v="8"/>
    <d v="2014-02-12T00:00:00"/>
    <s v="BLU-RAY"/>
    <n v="103243"/>
    <s v="AB105993"/>
    <x v="0"/>
    <n v="575041"/>
  </r>
  <r>
    <n v="10288"/>
    <n v="6"/>
    <d v="2014-02-13T00:00:00"/>
    <s v="DVD"/>
    <n v="103244"/>
    <s v="AB105994"/>
    <x v="12"/>
    <n v="160392"/>
  </r>
  <r>
    <n v="10285"/>
    <n v="6"/>
    <d v="2014-02-13T00:00:00"/>
    <s v="DVD"/>
    <n v="103248"/>
    <s v="AB105999"/>
    <x v="20"/>
    <n v="193968"/>
  </r>
  <r>
    <n v="10108"/>
    <n v="5"/>
    <d v="2014-02-14T00:00:00"/>
    <s v="DVD"/>
    <n v="103249"/>
    <s v="AB106002"/>
    <x v="9"/>
    <n v="498970"/>
  </r>
  <r>
    <n v="10236"/>
    <n v="10"/>
    <d v="2014-02-13T00:00:00"/>
    <s v="DVD"/>
    <n v="103250"/>
    <s v="AB106003"/>
    <x v="10"/>
    <n v="781523"/>
  </r>
  <r>
    <n v="10074"/>
    <n v="2"/>
    <d v="2014-02-14T00:00:00"/>
    <s v="DVD"/>
    <n v="103251"/>
    <s v="AB106004"/>
    <x v="11"/>
    <n v="418506"/>
  </r>
  <r>
    <n v="10196"/>
    <n v="4"/>
    <d v="2014-02-13T00:00:00"/>
    <s v="DVD"/>
    <n v="103251"/>
    <s v="AB106005"/>
    <x v="9"/>
    <n v="418506"/>
  </r>
  <r>
    <n v="10060"/>
    <n v="7"/>
    <d v="2014-02-13T00:00:00"/>
    <s v="DVD"/>
    <n v="103251"/>
    <s v="AB106006"/>
    <x v="0"/>
    <n v="418506"/>
  </r>
  <r>
    <n v="10124"/>
    <n v="10"/>
    <d v="2014-02-14T00:00:00"/>
    <s v="DVD"/>
    <n v="103251"/>
    <s v="AB106007"/>
    <x v="1"/>
    <n v="418506"/>
  </r>
  <r>
    <n v="10182"/>
    <n v="10"/>
    <d v="2014-02-16T00:00:00"/>
    <s v="DVD"/>
    <n v="103252"/>
    <s v="AB106010"/>
    <x v="0"/>
    <n v="241144"/>
  </r>
  <r>
    <n v="10228"/>
    <n v="7"/>
    <d v="2014-02-15T00:00:00"/>
    <s v="DVD"/>
    <n v="103253"/>
    <s v="AB106012"/>
    <x v="7"/>
    <n v="147543"/>
  </r>
  <r>
    <n v="10281"/>
    <n v="5"/>
    <d v="2014-02-15T00:00:00"/>
    <s v="DVD"/>
    <n v="103256"/>
    <s v="AB106017"/>
    <x v="10"/>
    <n v="253106"/>
  </r>
  <r>
    <n v="10275"/>
    <n v="8"/>
    <d v="2014-02-14T00:00:00"/>
    <s v="DVD"/>
    <n v="103257"/>
    <s v="AB106019"/>
    <x v="10"/>
    <n v="166735"/>
  </r>
  <r>
    <n v="10283"/>
    <n v="1"/>
    <d v="2014-02-15T00:00:00"/>
    <s v="DVD"/>
    <n v="103258"/>
    <s v="AB106020"/>
    <x v="6"/>
    <n v="143878"/>
  </r>
  <r>
    <n v="10260"/>
    <n v="8"/>
    <d v="2014-02-14T00:00:00"/>
    <s v="DVD"/>
    <n v="103259"/>
    <s v="AB106021"/>
    <x v="4"/>
    <n v="890497"/>
  </r>
  <r>
    <n v="10075"/>
    <n v="9"/>
    <d v="2014-02-14T00:00:00"/>
    <s v="DVD"/>
    <n v="103260"/>
    <s v="AB106024"/>
    <x v="17"/>
    <n v="822823"/>
  </r>
  <r>
    <n v="10233"/>
    <n v="10"/>
    <d v="2014-02-14T00:00:00"/>
    <s v="DVD"/>
    <n v="103260"/>
    <s v="AB106025"/>
    <x v="8"/>
    <n v="822823"/>
  </r>
  <r>
    <n v="10123"/>
    <n v="6"/>
    <d v="2014-02-17T00:00:00"/>
    <s v="DVD"/>
    <n v="103263"/>
    <s v="AB106028"/>
    <x v="9"/>
    <n v="838924"/>
  </r>
  <r>
    <n v="10193"/>
    <n v="8"/>
    <d v="2014-02-15T00:00:00"/>
    <s v="DVD"/>
    <n v="103264"/>
    <s v="AB106029"/>
    <x v="9"/>
    <n v="441628"/>
  </r>
  <r>
    <n v="10176"/>
    <n v="4"/>
    <d v="2014-02-15T00:00:00"/>
    <s v="DVD"/>
    <n v="103264"/>
    <s v="AB106031"/>
    <x v="7"/>
    <n v="441628"/>
  </r>
  <r>
    <n v="10207"/>
    <n v="1"/>
    <d v="2014-02-17T00:00:00"/>
    <s v="DVD"/>
    <n v="103265"/>
    <s v="AB106033"/>
    <x v="1"/>
    <n v="850952"/>
  </r>
  <r>
    <n v="10264"/>
    <n v="4"/>
    <d v="2014-02-16T00:00:00"/>
    <s v="DVD"/>
    <n v="103267"/>
    <s v="AB106036"/>
    <x v="2"/>
    <n v="994199"/>
  </r>
  <r>
    <n v="10092"/>
    <n v="3"/>
    <d v="2014-02-16T00:00:00"/>
    <s v="DVD"/>
    <n v="103269"/>
    <s v="AB106040"/>
    <x v="0"/>
    <n v="395125"/>
  </r>
  <r>
    <n v="10295"/>
    <n v="6"/>
    <d v="2014-02-18T00:00:00"/>
    <s v="DVD"/>
    <n v="103271"/>
    <s v="AB106046"/>
    <x v="21"/>
    <n v="412544"/>
  </r>
  <r>
    <n v="10242"/>
    <n v="8"/>
    <d v="2014-02-16T00:00:00"/>
    <s v="DVD"/>
    <n v="103272"/>
    <s v="AB106049"/>
    <x v="3"/>
    <n v="247216"/>
  </r>
  <r>
    <n v="10172"/>
    <n v="3"/>
    <d v="2014-02-17T00:00:00"/>
    <s v="DVD"/>
    <n v="103273"/>
    <s v="AB106051"/>
    <x v="10"/>
    <n v="383684"/>
  </r>
  <r>
    <n v="10267"/>
    <n v="4"/>
    <d v="2014-02-17T00:00:00"/>
    <s v="DVD"/>
    <n v="103275"/>
    <s v="AB106057"/>
    <x v="6"/>
    <n v="689877"/>
  </r>
  <r>
    <n v="10285"/>
    <n v="5"/>
    <d v="2014-02-21T00:00:00"/>
    <s v="DVD"/>
    <n v="103276"/>
    <s v="AB106059"/>
    <x v="20"/>
    <n v="840096"/>
  </r>
  <r>
    <n v="10258"/>
    <n v="5"/>
    <d v="2014-02-18T00:00:00"/>
    <s v="DVD"/>
    <n v="103280"/>
    <s v="AB106064"/>
    <x v="0"/>
    <n v="267632"/>
  </r>
  <r>
    <n v="10247"/>
    <n v="4"/>
    <d v="2014-02-17T00:00:00"/>
    <s v="BLU-RAY"/>
    <n v="103281"/>
    <s v="AB106065"/>
    <x v="9"/>
    <n v="226909"/>
  </r>
  <r>
    <n v="10216"/>
    <n v="10"/>
    <d v="2014-02-18T00:00:00"/>
    <s v="DVD"/>
    <n v="103281"/>
    <s v="AB106066"/>
    <x v="4"/>
    <n v="226909"/>
  </r>
  <r>
    <n v="10200"/>
    <n v="7"/>
    <d v="2014-02-18T00:00:00"/>
    <s v="DVD"/>
    <n v="103284"/>
    <s v="AB106072"/>
    <x v="9"/>
    <n v="929344"/>
  </r>
  <r>
    <n v="10349"/>
    <n v="2"/>
    <d v="2014-02-19T00:00:00"/>
    <s v="DVD"/>
    <n v="103285"/>
    <s v="AB106076"/>
    <x v="8"/>
    <n v="528475"/>
  </r>
  <r>
    <n v="10240"/>
    <n v="10"/>
    <d v="2014-02-19T00:00:00"/>
    <s v="DVD"/>
    <n v="103287"/>
    <s v="AB106078"/>
    <x v="0"/>
    <n v="627324"/>
  </r>
  <r>
    <n v="10097"/>
    <n v="5"/>
    <d v="2014-02-18T00:00:00"/>
    <s v="DVD"/>
    <n v="103287"/>
    <s v="AB106079"/>
    <x v="8"/>
    <n v="627324"/>
  </r>
  <r>
    <n v="10219"/>
    <n v="10"/>
    <d v="2014-02-19T00:00:00"/>
    <s v="DVD"/>
    <n v="103287"/>
    <s v="AB106080"/>
    <x v="1"/>
    <n v="627324"/>
  </r>
  <r>
    <n v="10075"/>
    <n v="8"/>
    <d v="2014-02-20T00:00:00"/>
    <s v="DVD"/>
    <n v="103289"/>
    <s v="AB106083"/>
    <x v="17"/>
    <n v="958321"/>
  </r>
  <r>
    <n v="10207"/>
    <n v="10"/>
    <d v="2014-02-18T00:00:00"/>
    <s v="DVD"/>
    <n v="103290"/>
    <s v="AB106085"/>
    <x v="1"/>
    <n v="897614"/>
  </r>
  <r>
    <n v="10265"/>
    <n v="2"/>
    <d v="2014-02-23T00:00:00"/>
    <s v="DVD"/>
    <n v="103290"/>
    <s v="AB106086"/>
    <x v="0"/>
    <n v="897614"/>
  </r>
  <r>
    <n v="10147"/>
    <n v="3"/>
    <d v="2014-02-19T00:00:00"/>
    <s v="DVD"/>
    <n v="103293"/>
    <s v="AB106095"/>
    <x v="10"/>
    <n v="730305"/>
  </r>
  <r>
    <n v="10054"/>
    <n v="9"/>
    <d v="2014-02-19T00:00:00"/>
    <s v="BLU-RAY"/>
    <n v="103294"/>
    <s v="AB106096"/>
    <x v="1"/>
    <n v="932618"/>
  </r>
  <r>
    <n v="10272"/>
    <n v="2"/>
    <d v="2014-02-19T00:00:00"/>
    <s v="DVD"/>
    <n v="103296"/>
    <s v="AB106101"/>
    <x v="4"/>
    <n v="696852"/>
  </r>
  <r>
    <n v="10201"/>
    <n v="2"/>
    <d v="2014-02-19T00:00:00"/>
    <s v="DVD"/>
    <n v="103296"/>
    <s v="AB106102"/>
    <x v="8"/>
    <n v="696852"/>
  </r>
  <r>
    <n v="10137"/>
    <n v="7"/>
    <d v="2014-02-20T00:00:00"/>
    <s v="DVD"/>
    <n v="103297"/>
    <s v="AB106105"/>
    <x v="3"/>
    <n v="663029"/>
  </r>
  <r>
    <n v="10180"/>
    <n v="10"/>
    <d v="2014-02-19T00:00:00"/>
    <s v="DVD"/>
    <n v="103298"/>
    <s v="AB106107"/>
    <x v="12"/>
    <n v="668931"/>
  </r>
  <r>
    <n v="10200"/>
    <n v="10"/>
    <d v="2014-02-21T00:00:00"/>
    <s v="BLU-RAY"/>
    <n v="103298"/>
    <s v="AB106108"/>
    <x v="9"/>
    <n v="668931"/>
  </r>
  <r>
    <n v="10290"/>
    <n v="1"/>
    <d v="2014-02-20T00:00:00"/>
    <s v="BLU-RAY"/>
    <n v="103300"/>
    <s v="AB106110"/>
    <x v="2"/>
    <n v="808177"/>
  </r>
  <r>
    <n v="10133"/>
    <n v="8"/>
    <d v="2014-02-20T00:00:00"/>
    <s v="DVD"/>
    <n v="103300"/>
    <s v="AB106112"/>
    <x v="9"/>
    <n v="808177"/>
  </r>
  <r>
    <n v="10176"/>
    <n v="2"/>
    <d v="2014-02-20T00:00:00"/>
    <s v="DVD"/>
    <n v="103301"/>
    <s v="AB106113"/>
    <x v="7"/>
    <n v="872851"/>
  </r>
  <r>
    <n v="10203"/>
    <n v="6"/>
    <d v="2014-02-21T00:00:00"/>
    <s v="DVD"/>
    <n v="103303"/>
    <s v="AB106117"/>
    <x v="3"/>
    <n v="233813"/>
  </r>
  <r>
    <n v="10254"/>
    <n v="7"/>
    <d v="2014-02-21T00:00:00"/>
    <s v="DVD"/>
    <n v="103304"/>
    <s v="AB106120"/>
    <x v="1"/>
    <n v="224094"/>
  </r>
  <r>
    <n v="10197"/>
    <n v="8"/>
    <d v="2014-02-22T00:00:00"/>
    <s v="DVD"/>
    <n v="103307"/>
    <s v="AB106123"/>
    <x v="0"/>
    <n v="332324"/>
  </r>
  <r>
    <n v="10210"/>
    <n v="1"/>
    <d v="2014-02-21T00:00:00"/>
    <s v="DVD"/>
    <n v="103307"/>
    <s v="AB106126"/>
    <x v="4"/>
    <n v="332324"/>
  </r>
  <r>
    <n v="10182"/>
    <n v="8"/>
    <d v="2014-02-21T00:00:00"/>
    <s v="DVD"/>
    <n v="103308"/>
    <s v="AB106127"/>
    <x v="0"/>
    <n v="194680"/>
  </r>
  <r>
    <n v="10158"/>
    <n v="5"/>
    <d v="2014-02-22T00:00:00"/>
    <s v="DVD"/>
    <n v="103308"/>
    <s v="AB106128"/>
    <x v="0"/>
    <n v="194680"/>
  </r>
  <r>
    <n v="10269"/>
    <n v="1"/>
    <d v="2014-02-21T00:00:00"/>
    <s v="DVD"/>
    <n v="103309"/>
    <s v="AB106129"/>
    <x v="3"/>
    <n v="262638"/>
  </r>
  <r>
    <n v="10137"/>
    <n v="8"/>
    <d v="2014-02-21T00:00:00"/>
    <s v="DVD"/>
    <n v="103311"/>
    <s v="AB106133"/>
    <x v="3"/>
    <n v="500350"/>
  </r>
  <r>
    <n v="10193"/>
    <n v="3"/>
    <d v="2014-02-24T00:00:00"/>
    <s v="DVD"/>
    <n v="103312"/>
    <s v="AB106136"/>
    <x v="9"/>
    <n v="161942"/>
  </r>
  <r>
    <n v="10193"/>
    <n v="5"/>
    <d v="2014-02-23T00:00:00"/>
    <s v="DVD"/>
    <n v="103313"/>
    <s v="AB106137"/>
    <x v="9"/>
    <n v="304344"/>
  </r>
  <r>
    <n v="10169"/>
    <n v="8"/>
    <d v="2014-02-23T00:00:00"/>
    <s v="BLU-RAY"/>
    <n v="103313"/>
    <s v="AB106138"/>
    <x v="0"/>
    <n v="304344"/>
  </r>
  <r>
    <n v="10219"/>
    <n v="3"/>
    <d v="2014-02-23T00:00:00"/>
    <s v="DVD"/>
    <n v="103314"/>
    <s v="AB106140"/>
    <x v="1"/>
    <n v="325263"/>
  </r>
  <r>
    <n v="10245"/>
    <n v="9"/>
    <d v="2014-02-23T00:00:00"/>
    <s v="DVD"/>
    <n v="103314"/>
    <s v="AB106141"/>
    <x v="0"/>
    <n v="325263"/>
  </r>
  <r>
    <n v="10217"/>
    <n v="1"/>
    <d v="2014-02-24T00:00:00"/>
    <s v="DVD"/>
    <n v="103314"/>
    <s v="AB106142"/>
    <x v="0"/>
    <n v="325263"/>
  </r>
  <r>
    <n v="10297"/>
    <n v="1"/>
    <d v="2014-02-22T00:00:00"/>
    <s v="DVD"/>
    <n v="103315"/>
    <s v="AB106144"/>
    <x v="14"/>
    <n v="578275"/>
  </r>
  <r>
    <n v="10256"/>
    <n v="9"/>
    <d v="2014-02-22T00:00:00"/>
    <s v="DVD"/>
    <n v="103315"/>
    <s v="AB106145"/>
    <x v="9"/>
    <n v="578275"/>
  </r>
  <r>
    <n v="10245"/>
    <n v="1"/>
    <d v="2014-02-22T00:00:00"/>
    <s v="DVD"/>
    <n v="103316"/>
    <s v="AB106147"/>
    <x v="0"/>
    <n v="383684"/>
  </r>
  <r>
    <n v="10162"/>
    <n v="4"/>
    <d v="2014-02-23T00:00:00"/>
    <s v="BLU-RAY"/>
    <n v="103317"/>
    <s v="AB106149"/>
    <x v="4"/>
    <n v="330570"/>
  </r>
  <r>
    <n v="10181"/>
    <n v="6"/>
    <d v="2014-02-23T00:00:00"/>
    <s v="DVD"/>
    <n v="103320"/>
    <s v="AB106154"/>
    <x v="9"/>
    <n v="464782"/>
  </r>
  <r>
    <n v="10078"/>
    <n v="4"/>
    <d v="2014-02-24T00:00:00"/>
    <s v="DVD"/>
    <n v="103322"/>
    <s v="AB106157"/>
    <x v="1"/>
    <n v="116934"/>
  </r>
  <r>
    <n v="10298"/>
    <n v="8"/>
    <d v="2014-02-25T00:00:00"/>
    <s v="DVD"/>
    <n v="103322"/>
    <s v="AB106158"/>
    <x v="19"/>
    <n v="116934"/>
  </r>
  <r>
    <n v="10011"/>
    <n v="6"/>
    <d v="2014-02-26T00:00:00"/>
    <s v="DVD"/>
    <n v="103333"/>
    <s v="AB106174"/>
    <x v="3"/>
    <n v="592592"/>
  </r>
  <r>
    <n v="10201"/>
    <n v="4"/>
    <d v="2014-02-24T00:00:00"/>
    <s v="DVD"/>
    <n v="103334"/>
    <s v="AB106175"/>
    <x v="8"/>
    <n v="695276"/>
  </r>
  <r>
    <n v="10166"/>
    <n v="2"/>
    <d v="2014-02-26T00:00:00"/>
    <s v="DVD"/>
    <n v="103334"/>
    <s v="AB106176"/>
    <x v="9"/>
    <n v="695276"/>
  </r>
  <r>
    <n v="10286"/>
    <n v="3"/>
    <d v="2014-02-26T00:00:00"/>
    <s v="DVD"/>
    <n v="103338"/>
    <s v="AB106184"/>
    <x v="17"/>
    <n v="111991"/>
  </r>
  <r>
    <n v="10112"/>
    <n v="2"/>
    <d v="2014-02-26T00:00:00"/>
    <s v="BLU-RAY"/>
    <n v="103343"/>
    <s v="AB106189"/>
    <x v="12"/>
    <n v="417823"/>
  </r>
  <r>
    <n v="10285"/>
    <n v="8"/>
    <d v="2014-02-28T00:00:00"/>
    <s v="BLU-RAY"/>
    <n v="103344"/>
    <s v="AB106191"/>
    <x v="20"/>
    <n v="879173"/>
  </r>
  <r>
    <n v="10264"/>
    <n v="9"/>
    <d v="2014-02-28T00:00:00"/>
    <s v="DVD"/>
    <n v="103348"/>
    <s v="AB106198"/>
    <x v="2"/>
    <n v="955591"/>
  </r>
  <r>
    <n v="10194"/>
    <n v="9"/>
    <d v="2014-03-05T00:00:00"/>
    <s v="DVD"/>
    <n v="103348"/>
    <s v="AB106199"/>
    <x v="16"/>
    <n v="955591"/>
  </r>
  <r>
    <n v="10071"/>
    <n v="7"/>
    <d v="2014-03-04T00:00:00"/>
    <s v="BLU-RAY"/>
    <n v="103351"/>
    <s v="AB106204"/>
    <x v="1"/>
    <n v="478274"/>
  </r>
  <r>
    <n v="10296"/>
    <n v="5"/>
    <d v="2014-02-27T00:00:00"/>
    <s v="DVD"/>
    <n v="103351"/>
    <s v="AB106205"/>
    <x v="21"/>
    <n v="478274"/>
  </r>
  <r>
    <n v="10238"/>
    <n v="10"/>
    <d v="2014-02-28T00:00:00"/>
    <s v="DVD"/>
    <n v="103355"/>
    <s v="AB106211"/>
    <x v="0"/>
    <n v="559688"/>
  </r>
  <r>
    <n v="10083"/>
    <n v="9"/>
    <d v="2014-03-01T00:00:00"/>
    <s v="DVD"/>
    <n v="103357"/>
    <s v="AB106213"/>
    <x v="3"/>
    <n v="331115"/>
  </r>
  <r>
    <n v="10083"/>
    <n v="9"/>
    <d v="2014-02-28T00:00:00"/>
    <s v="DVD"/>
    <n v="103359"/>
    <s v="AB106215"/>
    <x v="3"/>
    <n v="611848"/>
  </r>
  <r>
    <n v="10097"/>
    <n v="10"/>
    <d v="2014-03-02T00:00:00"/>
    <s v="DVD"/>
    <n v="103359"/>
    <s v="AB106216"/>
    <x v="8"/>
    <n v="611848"/>
  </r>
  <r>
    <n v="10222"/>
    <n v="5"/>
    <d v="2014-03-01T00:00:00"/>
    <s v="DVD"/>
    <n v="103360"/>
    <s v="AB106219"/>
    <x v="4"/>
    <n v="442254"/>
  </r>
  <r>
    <n v="10250"/>
    <n v="1"/>
    <d v="2014-02-28T00:00:00"/>
    <s v="BLU-RAY"/>
    <n v="103361"/>
    <s v="AB106220"/>
    <x v="3"/>
    <n v="427826"/>
  </r>
  <r>
    <n v="10188"/>
    <n v="6"/>
    <d v="2014-03-02T00:00:00"/>
    <s v="DVD"/>
    <n v="103362"/>
    <s v="AB106222"/>
    <x v="1"/>
    <n v="459243"/>
  </r>
  <r>
    <n v="10238"/>
    <n v="2"/>
    <d v="2014-02-28T00:00:00"/>
    <s v="BLU-RAY"/>
    <n v="103363"/>
    <s v="AB106223"/>
    <x v="0"/>
    <n v="730305"/>
  </r>
  <r>
    <n v="10269"/>
    <n v="1"/>
    <d v="2014-02-28T00:00:00"/>
    <s v="DVD"/>
    <n v="103363"/>
    <s v="AB106224"/>
    <x v="3"/>
    <n v="730305"/>
  </r>
  <r>
    <n v="10271"/>
    <n v="6"/>
    <d v="2014-02-28T00:00:00"/>
    <s v="DVD"/>
    <n v="103363"/>
    <s v="AB106225"/>
    <x v="7"/>
    <n v="730305"/>
  </r>
  <r>
    <n v="10247"/>
    <n v="3"/>
    <d v="2014-03-01T00:00:00"/>
    <s v="DVD"/>
    <n v="103364"/>
    <s v="AB106226"/>
    <x v="9"/>
    <n v="421074"/>
  </r>
  <r>
    <n v="10128"/>
    <n v="6"/>
    <d v="2014-03-02T00:00:00"/>
    <s v="DVD"/>
    <n v="103366"/>
    <s v="AB106231"/>
    <x v="6"/>
    <n v="250266"/>
  </r>
  <r>
    <n v="10352"/>
    <n v="7"/>
    <d v="2014-03-02T00:00:00"/>
    <s v="DVD"/>
    <n v="103367"/>
    <s v="AB106232"/>
    <x v="0"/>
    <n v="537860"/>
  </r>
  <r>
    <n v="10249"/>
    <n v="2"/>
    <d v="2014-03-02T00:00:00"/>
    <s v="DVD"/>
    <n v="103369"/>
    <s v="AB106235"/>
    <x v="5"/>
    <n v="196068"/>
  </r>
  <r>
    <n v="10160"/>
    <n v="8"/>
    <d v="2014-03-01T00:00:00"/>
    <s v="DVD"/>
    <n v="103370"/>
    <s v="AB106236"/>
    <x v="10"/>
    <n v="384899"/>
  </r>
  <r>
    <n v="10135"/>
    <n v="7"/>
    <d v="2014-03-03T00:00:00"/>
    <s v="DVD"/>
    <n v="103371"/>
    <s v="AB106237"/>
    <x v="7"/>
    <n v="412929"/>
  </r>
  <r>
    <n v="10182"/>
    <n v="10"/>
    <d v="2014-03-03T00:00:00"/>
    <s v="DVD"/>
    <n v="103371"/>
    <s v="AB106238"/>
    <x v="0"/>
    <n v="412929"/>
  </r>
  <r>
    <n v="10061"/>
    <n v="6"/>
    <d v="2014-03-02T00:00:00"/>
    <s v="DVD"/>
    <n v="103375"/>
    <s v="AB106244"/>
    <x v="9"/>
    <n v="808177"/>
  </r>
  <r>
    <n v="10289"/>
    <n v="2"/>
    <d v="2014-03-03T00:00:00"/>
    <s v="DVD"/>
    <n v="103376"/>
    <s v="AB106247"/>
    <x v="11"/>
    <n v="599995"/>
  </r>
  <r>
    <n v="10163"/>
    <n v="5"/>
    <d v="2014-03-03T00:00:00"/>
    <s v="BLU-RAY"/>
    <n v="103378"/>
    <s v="AB106249"/>
    <x v="0"/>
    <n v="782947"/>
  </r>
  <r>
    <n v="10095"/>
    <n v="3"/>
    <d v="2014-03-07T00:00:00"/>
    <s v="DVD"/>
    <n v="103378"/>
    <s v="AB106250"/>
    <x v="2"/>
    <n v="782947"/>
  </r>
  <r>
    <n v="10193"/>
    <n v="5"/>
    <d v="2014-03-03T00:00:00"/>
    <s v="DVD"/>
    <n v="103378"/>
    <s v="AB106251"/>
    <x v="9"/>
    <n v="782947"/>
  </r>
  <r>
    <n v="10110"/>
    <n v="10"/>
    <d v="2014-03-04T00:00:00"/>
    <s v="DVD"/>
    <n v="103379"/>
    <s v="AB106252"/>
    <x v="0"/>
    <n v="205927"/>
  </r>
  <r>
    <n v="10275"/>
    <n v="7"/>
    <d v="2014-03-03T00:00:00"/>
    <s v="BLU-RAY"/>
    <n v="103379"/>
    <s v="AB106254"/>
    <x v="10"/>
    <n v="205927"/>
  </r>
  <r>
    <n v="10349"/>
    <n v="2"/>
    <d v="2014-03-03T00:00:00"/>
    <s v="DVD"/>
    <n v="103380"/>
    <s v="AB106255"/>
    <x v="8"/>
    <n v="408341"/>
  </r>
  <r>
    <n v="10249"/>
    <n v="3"/>
    <d v="2014-03-03T00:00:00"/>
    <s v="BLU-RAY"/>
    <n v="103381"/>
    <s v="AB106257"/>
    <x v="5"/>
    <n v="111991"/>
  </r>
  <r>
    <n v="10020"/>
    <n v="4"/>
    <d v="2014-03-04T00:00:00"/>
    <s v="DVD"/>
    <n v="103381"/>
    <s v="AB106258"/>
    <x v="16"/>
    <n v="111991"/>
  </r>
  <r>
    <n v="10197"/>
    <n v="6"/>
    <d v="2014-03-03T00:00:00"/>
    <s v="DVD"/>
    <n v="103382"/>
    <s v="AB106260"/>
    <x v="0"/>
    <n v="724813"/>
  </r>
  <r>
    <n v="10106"/>
    <n v="3"/>
    <d v="2014-03-05T00:00:00"/>
    <s v="DVD"/>
    <n v="103382"/>
    <s v="AB106262"/>
    <x v="9"/>
    <n v="724813"/>
  </r>
  <r>
    <n v="10200"/>
    <n v="9"/>
    <d v="2014-03-04T00:00:00"/>
    <s v="BLU-RAY"/>
    <n v="103384"/>
    <s v="AB106264"/>
    <x v="9"/>
    <n v="426830"/>
  </r>
  <r>
    <n v="10273"/>
    <n v="10"/>
    <d v="2014-03-04T00:00:00"/>
    <s v="DVD"/>
    <n v="103386"/>
    <s v="AB106267"/>
    <x v="4"/>
    <n v="880238"/>
  </r>
  <r>
    <n v="10235"/>
    <n v="10"/>
    <d v="2014-03-04T00:00:00"/>
    <s v="DVD"/>
    <n v="103387"/>
    <s v="AB106270"/>
    <x v="10"/>
    <n v="329994"/>
  </r>
  <r>
    <n v="10285"/>
    <n v="8"/>
    <d v="2014-03-04T00:00:00"/>
    <s v="DVD"/>
    <n v="103388"/>
    <s v="AB106271"/>
    <x v="20"/>
    <n v="608290"/>
  </r>
  <r>
    <n v="10287"/>
    <n v="7"/>
    <d v="2014-03-05T00:00:00"/>
    <s v="DVD"/>
    <n v="103389"/>
    <s v="AB106273"/>
    <x v="10"/>
    <n v="292402"/>
  </r>
  <r>
    <n v="10233"/>
    <n v="8"/>
    <d v="2014-03-05T00:00:00"/>
    <s v="DVD"/>
    <n v="103390"/>
    <s v="AB106274"/>
    <x v="8"/>
    <n v="808421"/>
  </r>
  <r>
    <n v="10162"/>
    <n v="1"/>
    <d v="2014-03-11T00:00:00"/>
    <s v="DVD"/>
    <n v="103390"/>
    <s v="AB106275"/>
    <x v="4"/>
    <n v="808421"/>
  </r>
  <r>
    <n v="10108"/>
    <n v="2"/>
    <d v="2014-03-04T00:00:00"/>
    <s v="DVD"/>
    <n v="103390"/>
    <s v="AB106276"/>
    <x v="9"/>
    <n v="808421"/>
  </r>
  <r>
    <n v="10224"/>
    <n v="10"/>
    <d v="2014-03-07T00:00:00"/>
    <s v="DVD"/>
    <n v="103391"/>
    <s v="AB106277"/>
    <x v="17"/>
    <n v="524667"/>
  </r>
  <r>
    <n v="10298"/>
    <n v="3"/>
    <d v="2014-03-05T00:00:00"/>
    <s v="DVD"/>
    <n v="103393"/>
    <s v="AB106281"/>
    <x v="19"/>
    <n v="731346"/>
  </r>
  <r>
    <n v="10045"/>
    <n v="4"/>
    <d v="2014-03-05T00:00:00"/>
    <s v="BLU-RAY"/>
    <n v="103393"/>
    <s v="AB106282"/>
    <x v="0"/>
    <n v="731346"/>
  </r>
  <r>
    <n v="10234"/>
    <n v="2"/>
    <d v="2014-03-06T00:00:00"/>
    <s v="DVD"/>
    <n v="103393"/>
    <s v="AB106283"/>
    <x v="0"/>
    <n v="731346"/>
  </r>
  <r>
    <n v="10233"/>
    <n v="1"/>
    <d v="2014-03-05T00:00:00"/>
    <s v="DVD"/>
    <n v="103395"/>
    <s v="AB106287"/>
    <x v="8"/>
    <n v="994056"/>
  </r>
  <r>
    <n v="10207"/>
    <n v="10"/>
    <d v="2014-03-05T00:00:00"/>
    <s v="DVD"/>
    <n v="103396"/>
    <s v="AB106289"/>
    <x v="1"/>
    <n v="556619"/>
  </r>
  <r>
    <n v="10250"/>
    <n v="4"/>
    <d v="2014-03-06T00:00:00"/>
    <s v="BLU-RAY"/>
    <n v="103400"/>
    <s v="AB106296"/>
    <x v="3"/>
    <n v="951702"/>
  </r>
  <r>
    <n v="10225"/>
    <n v="10"/>
    <d v="2014-03-09T00:00:00"/>
    <s v="DVD"/>
    <n v="103402"/>
    <s v="AB106301"/>
    <x v="0"/>
    <n v="656512"/>
  </r>
  <r>
    <n v="10227"/>
    <n v="10"/>
    <d v="2014-03-06T00:00:00"/>
    <s v="DVD"/>
    <n v="103404"/>
    <s v="AB106304"/>
    <x v="14"/>
    <n v="427826"/>
  </r>
  <r>
    <n v="10206"/>
    <n v="6"/>
    <d v="2014-03-06T00:00:00"/>
    <s v="DVD"/>
    <n v="103405"/>
    <s v="AB106306"/>
    <x v="9"/>
    <n v="305005"/>
  </r>
  <r>
    <n v="10254"/>
    <n v="8"/>
    <d v="2014-03-07T00:00:00"/>
    <s v="DVD"/>
    <n v="103407"/>
    <s v="AB106311"/>
    <x v="1"/>
    <n v="493552"/>
  </r>
  <r>
    <n v="10140"/>
    <n v="1"/>
    <d v="2014-03-07T00:00:00"/>
    <s v="DVD"/>
    <n v="103408"/>
    <s v="AB106313"/>
    <x v="2"/>
    <n v="932618"/>
  </r>
  <r>
    <n v="10281"/>
    <n v="4"/>
    <d v="2014-03-13T00:00:00"/>
    <s v="BLU-RAY"/>
    <n v="103409"/>
    <s v="AB106315"/>
    <x v="10"/>
    <n v="745543"/>
  </r>
  <r>
    <n v="10244"/>
    <n v="7"/>
    <d v="2014-03-11T00:00:00"/>
    <s v="DVD"/>
    <n v="103409"/>
    <s v="AB106316"/>
    <x v="4"/>
    <n v="745543"/>
  </r>
  <r>
    <n v="10146"/>
    <n v="7"/>
    <d v="2014-03-07T00:00:00"/>
    <s v="DVD"/>
    <n v="103412"/>
    <s v="AB106320"/>
    <x v="4"/>
    <n v="717234"/>
  </r>
  <r>
    <n v="10276"/>
    <n v="4"/>
    <d v="2014-03-08T00:00:00"/>
    <s v="DVD"/>
    <n v="103412"/>
    <s v="AB106323"/>
    <x v="16"/>
    <n v="717234"/>
  </r>
  <r>
    <n v="10159"/>
    <n v="10"/>
    <d v="2014-03-09T00:00:00"/>
    <s v="DVD"/>
    <n v="103413"/>
    <s v="AB106324"/>
    <x v="10"/>
    <n v="441628"/>
  </r>
  <r>
    <n v="10228"/>
    <n v="10"/>
    <d v="2014-03-07T00:00:00"/>
    <s v="DVD"/>
    <n v="103413"/>
    <s v="AB106326"/>
    <x v="7"/>
    <n v="441628"/>
  </r>
  <r>
    <n v="10196"/>
    <n v="9"/>
    <d v="2014-03-07T00:00:00"/>
    <s v="DVD"/>
    <n v="103414"/>
    <s v="AB106329"/>
    <x v="9"/>
    <n v="561305"/>
  </r>
  <r>
    <n v="10091"/>
    <n v="7"/>
    <d v="2014-03-09T00:00:00"/>
    <s v="DVD"/>
    <n v="103415"/>
    <s v="AB106330"/>
    <x v="0"/>
    <n v="890497"/>
  </r>
  <r>
    <n v="10180"/>
    <n v="5"/>
    <d v="2014-03-08T00:00:00"/>
    <s v="DVD"/>
    <n v="103416"/>
    <s v="AB106333"/>
    <x v="12"/>
    <n v="149240"/>
  </r>
  <r>
    <n v="10275"/>
    <n v="6"/>
    <d v="2014-03-08T00:00:00"/>
    <s v="DVD"/>
    <n v="103418"/>
    <s v="AB106340"/>
    <x v="10"/>
    <n v="249188"/>
  </r>
  <r>
    <n v="10161"/>
    <n v="8"/>
    <d v="2014-03-10T00:00:00"/>
    <s v="DVD"/>
    <n v="103422"/>
    <s v="AB106346"/>
    <x v="6"/>
    <n v="893039"/>
  </r>
  <r>
    <n v="10251"/>
    <n v="8"/>
    <d v="2014-03-12T00:00:00"/>
    <s v="DVD"/>
    <n v="103423"/>
    <s v="AB106347"/>
    <x v="7"/>
    <n v="520377"/>
  </r>
  <r>
    <n v="10294"/>
    <n v="5"/>
    <d v="2014-03-11T00:00:00"/>
    <s v="DVD"/>
    <n v="103423"/>
    <s v="AB106349"/>
    <x v="2"/>
    <n v="520377"/>
  </r>
  <r>
    <n v="10224"/>
    <n v="10"/>
    <d v="2014-03-10T00:00:00"/>
    <s v="BLU-RAY"/>
    <n v="103423"/>
    <s v="AB106350"/>
    <x v="17"/>
    <n v="520377"/>
  </r>
  <r>
    <n v="10073"/>
    <n v="3"/>
    <d v="2014-03-11T00:00:00"/>
    <s v="DVD"/>
    <n v="103425"/>
    <s v="AB106353"/>
    <x v="16"/>
    <n v="498970"/>
  </r>
  <r>
    <n v="10270"/>
    <n v="10"/>
    <d v="2014-03-11T00:00:00"/>
    <s v="DVD"/>
    <n v="103425"/>
    <s v="AB106355"/>
    <x v="9"/>
    <n v="498970"/>
  </r>
  <r>
    <n v="10078"/>
    <n v="1"/>
    <d v="2014-03-09T00:00:00"/>
    <s v="DVD"/>
    <n v="103426"/>
    <s v="AB106357"/>
    <x v="1"/>
    <n v="332324"/>
  </r>
  <r>
    <n v="10234"/>
    <n v="1"/>
    <d v="2014-03-09T00:00:00"/>
    <s v="DVD"/>
    <n v="103427"/>
    <s v="AB106359"/>
    <x v="0"/>
    <n v="493552"/>
  </r>
  <r>
    <n v="10149"/>
    <n v="3"/>
    <d v="2014-03-10T00:00:00"/>
    <s v="BLU-RAY"/>
    <n v="103427"/>
    <s v="AB106361"/>
    <x v="12"/>
    <n v="493552"/>
  </r>
  <r>
    <n v="10293"/>
    <n v="2"/>
    <d v="2014-03-11T00:00:00"/>
    <s v="DVD"/>
    <n v="103428"/>
    <s v="AB106364"/>
    <x v="12"/>
    <n v="747066"/>
  </r>
  <r>
    <n v="10203"/>
    <n v="8"/>
    <d v="2014-03-10T00:00:00"/>
    <s v="DVD"/>
    <n v="103429"/>
    <s v="AB106365"/>
    <x v="3"/>
    <n v="308688"/>
  </r>
  <r>
    <n v="10212"/>
    <n v="3"/>
    <d v="2014-03-10T00:00:00"/>
    <s v="DVD"/>
    <n v="103429"/>
    <s v="AB106367"/>
    <x v="10"/>
    <n v="308688"/>
  </r>
  <r>
    <n v="10203"/>
    <n v="1"/>
    <d v="2014-03-10T00:00:00"/>
    <s v="BLU-RAY"/>
    <n v="103430"/>
    <s v="AB106369"/>
    <x v="3"/>
    <n v="882493"/>
  </r>
  <r>
    <n v="10174"/>
    <n v="3"/>
    <d v="2014-03-13T00:00:00"/>
    <s v="DVD"/>
    <n v="103431"/>
    <s v="AB106370"/>
    <x v="7"/>
    <n v="741514"/>
  </r>
  <r>
    <n v="10233"/>
    <n v="2"/>
    <d v="2014-03-16T00:00:00"/>
    <s v="DVD"/>
    <n v="103431"/>
    <s v="AB106371"/>
    <x v="8"/>
    <n v="741514"/>
  </r>
  <r>
    <n v="10269"/>
    <n v="5"/>
    <d v="2014-03-10T00:00:00"/>
    <s v="DVD"/>
    <n v="103432"/>
    <s v="AB106372"/>
    <x v="3"/>
    <n v="741398"/>
  </r>
  <r>
    <n v="10291"/>
    <n v="3"/>
    <d v="2014-03-10T00:00:00"/>
    <s v="DVD"/>
    <n v="103432"/>
    <s v="AB106373"/>
    <x v="0"/>
    <n v="741398"/>
  </r>
  <r>
    <n v="10212"/>
    <n v="9"/>
    <d v="2014-03-10T00:00:00"/>
    <s v="DVD"/>
    <n v="103433"/>
    <s v="AB106375"/>
    <x v="10"/>
    <n v="471187"/>
  </r>
  <r>
    <n v="10023"/>
    <n v="5"/>
    <d v="2014-03-14T00:00:00"/>
    <s v="DVD"/>
    <n v="103435"/>
    <s v="AB106378"/>
    <x v="3"/>
    <n v="249779"/>
  </r>
  <r>
    <n v="10203"/>
    <n v="10"/>
    <d v="2014-03-13T00:00:00"/>
    <s v="BLU-RAY"/>
    <n v="103436"/>
    <s v="AB106379"/>
    <x v="3"/>
    <n v="157695"/>
  </r>
  <r>
    <n v="10229"/>
    <n v="6"/>
    <d v="2014-03-12T00:00:00"/>
    <s v="DVD"/>
    <n v="103436"/>
    <s v="AB106380"/>
    <x v="6"/>
    <n v="157695"/>
  </r>
  <r>
    <n v="10070"/>
    <n v="8"/>
    <d v="2014-03-12T00:00:00"/>
    <s v="DVD"/>
    <n v="103437"/>
    <s v="AB106381"/>
    <x v="1"/>
    <n v="757780"/>
  </r>
  <r>
    <n v="10217"/>
    <n v="4"/>
    <d v="2014-03-11T00:00:00"/>
    <s v="DVD"/>
    <n v="103437"/>
    <s v="AB106383"/>
    <x v="0"/>
    <n v="757780"/>
  </r>
  <r>
    <n v="10188"/>
    <n v="3"/>
    <d v="2014-03-11T00:00:00"/>
    <s v="DVD"/>
    <n v="103438"/>
    <s v="AB106384"/>
    <x v="1"/>
    <n v="771285"/>
  </r>
  <r>
    <n v="10141"/>
    <n v="6"/>
    <d v="2014-03-11T00:00:00"/>
    <s v="DVD"/>
    <n v="103438"/>
    <s v="AB106385"/>
    <x v="0"/>
    <n v="771285"/>
  </r>
  <r>
    <n v="10271"/>
    <n v="7"/>
    <d v="2014-03-11T00:00:00"/>
    <s v="DVD"/>
    <n v="103440"/>
    <s v="AB106388"/>
    <x v="7"/>
    <n v="422592"/>
  </r>
  <r>
    <n v="10137"/>
    <n v="2"/>
    <d v="2014-03-14T00:00:00"/>
    <s v="DVD"/>
    <n v="103442"/>
    <s v="AB106393"/>
    <x v="3"/>
    <n v="643214"/>
  </r>
  <r>
    <n v="10224"/>
    <n v="9"/>
    <d v="2014-03-12T00:00:00"/>
    <s v="DVD"/>
    <n v="103442"/>
    <s v="AB106394"/>
    <x v="17"/>
    <n v="643214"/>
  </r>
  <r>
    <n v="10114"/>
    <n v="6"/>
    <d v="2014-03-13T00:00:00"/>
    <s v="DVD"/>
    <n v="103443"/>
    <s v="AB106395"/>
    <x v="10"/>
    <n v="736500"/>
  </r>
  <r>
    <n v="10241"/>
    <n v="9"/>
    <d v="2014-03-13T00:00:00"/>
    <s v="DVD"/>
    <n v="103443"/>
    <s v="AB106396"/>
    <x v="0"/>
    <n v="736500"/>
  </r>
  <r>
    <n v="10148"/>
    <n v="2"/>
    <d v="2014-03-12T00:00:00"/>
    <s v="DVD"/>
    <n v="103446"/>
    <s v="AB106401"/>
    <x v="1"/>
    <n v="292402"/>
  </r>
  <r>
    <n v="10083"/>
    <n v="8"/>
    <d v="2014-03-13T00:00:00"/>
    <s v="DVD"/>
    <n v="103446"/>
    <s v="AB106402"/>
    <x v="3"/>
    <n v="292402"/>
  </r>
  <r>
    <n v="10191"/>
    <n v="9"/>
    <d v="2014-03-14T00:00:00"/>
    <s v="BLU-RAY"/>
    <n v="103448"/>
    <s v="AB106405"/>
    <x v="7"/>
    <n v="166612"/>
  </r>
  <r>
    <n v="10055"/>
    <n v="2"/>
    <d v="2014-03-13T00:00:00"/>
    <s v="DVD"/>
    <n v="103448"/>
    <s v="AB106406"/>
    <x v="15"/>
    <n v="166612"/>
  </r>
  <r>
    <n v="10169"/>
    <n v="4"/>
    <d v="2014-03-13T00:00:00"/>
    <s v="DVD"/>
    <n v="103449"/>
    <s v="AB106408"/>
    <x v="0"/>
    <n v="412544"/>
  </r>
  <r>
    <n v="10126"/>
    <n v="5"/>
    <d v="2014-03-13T00:00:00"/>
    <s v="DVD"/>
    <n v="103449"/>
    <s v="AB106410"/>
    <x v="9"/>
    <n v="412544"/>
  </r>
  <r>
    <n v="10287"/>
    <n v="2"/>
    <d v="2014-03-13T00:00:00"/>
    <s v="DVD"/>
    <n v="103451"/>
    <s v="AB106413"/>
    <x v="10"/>
    <n v="128131"/>
  </r>
  <r>
    <n v="10256"/>
    <n v="10"/>
    <d v="2014-03-14T00:00:00"/>
    <s v="DVD"/>
    <n v="103452"/>
    <s v="AB106414"/>
    <x v="9"/>
    <n v="216475"/>
  </r>
  <r>
    <n v="10133"/>
    <n v="10"/>
    <d v="2014-03-14T00:00:00"/>
    <s v="DVD"/>
    <n v="103452"/>
    <s v="AB106415"/>
    <x v="9"/>
    <n v="216475"/>
  </r>
  <r>
    <n v="10207"/>
    <n v="6"/>
    <d v="2014-03-13T00:00:00"/>
    <s v="BLU-RAY"/>
    <n v="103452"/>
    <s v="AB106416"/>
    <x v="1"/>
    <n v="216475"/>
  </r>
  <r>
    <n v="10186"/>
    <n v="10"/>
    <d v="2014-03-15T00:00:00"/>
    <s v="DVD"/>
    <n v="103453"/>
    <s v="AB106417"/>
    <x v="10"/>
    <n v="938417"/>
  </r>
  <r>
    <n v="10159"/>
    <n v="9"/>
    <d v="2014-03-16T00:00:00"/>
    <s v="DVD"/>
    <n v="103454"/>
    <s v="AB106420"/>
    <x v="10"/>
    <n v="689877"/>
  </r>
  <r>
    <n v="10263"/>
    <n v="5"/>
    <d v="2014-03-14T00:00:00"/>
    <s v="DVD"/>
    <n v="103456"/>
    <s v="AB106424"/>
    <x v="9"/>
    <n v="302774"/>
  </r>
  <r>
    <n v="10159"/>
    <n v="5"/>
    <d v="2014-03-14T00:00:00"/>
    <s v="DVD"/>
    <n v="103456"/>
    <s v="AB106425"/>
    <x v="10"/>
    <n v="302774"/>
  </r>
  <r>
    <n v="10282"/>
    <n v="3"/>
    <d v="2014-03-14T00:00:00"/>
    <s v="DVD"/>
    <n v="103457"/>
    <s v="AB106426"/>
    <x v="15"/>
    <n v="520196"/>
  </r>
  <r>
    <n v="10158"/>
    <n v="7"/>
    <d v="2014-03-18T00:00:00"/>
    <s v="DVD"/>
    <n v="103458"/>
    <s v="AB106430"/>
    <x v="0"/>
    <n v="347189"/>
  </r>
  <r>
    <n v="10074"/>
    <n v="3"/>
    <d v="2014-03-14T00:00:00"/>
    <s v="DVD"/>
    <n v="103458"/>
    <s v="AB106431"/>
    <x v="11"/>
    <n v="347189"/>
  </r>
  <r>
    <n v="10175"/>
    <n v="9"/>
    <d v="2014-03-14T00:00:00"/>
    <s v="DVD"/>
    <n v="103459"/>
    <s v="AB106432"/>
    <x v="3"/>
    <n v="671101"/>
  </r>
  <r>
    <n v="10073"/>
    <n v="5"/>
    <d v="2014-03-16T00:00:00"/>
    <s v="DVD"/>
    <n v="103460"/>
    <s v="AB106434"/>
    <x v="16"/>
    <n v="689877"/>
  </r>
  <r>
    <n v="10220"/>
    <n v="5"/>
    <d v="2014-03-16T00:00:00"/>
    <s v="DVD"/>
    <n v="103461"/>
    <s v="AB106436"/>
    <x v="9"/>
    <n v="160392"/>
  </r>
  <r>
    <n v="10155"/>
    <n v="3"/>
    <d v="2014-03-17T00:00:00"/>
    <s v="DVD"/>
    <n v="103461"/>
    <s v="AB106437"/>
    <x v="9"/>
    <n v="160392"/>
  </r>
  <r>
    <n v="10155"/>
    <n v="8"/>
    <d v="2014-03-15T00:00:00"/>
    <s v="DVD"/>
    <n v="103462"/>
    <s v="AB106438"/>
    <x v="9"/>
    <n v="277310"/>
  </r>
  <r>
    <n v="10079"/>
    <n v="6"/>
    <d v="2014-03-15T00:00:00"/>
    <s v="DVD"/>
    <n v="103464"/>
    <s v="AB106442"/>
    <x v="0"/>
    <n v="182040"/>
  </r>
  <r>
    <n v="10208"/>
    <n v="3"/>
    <d v="2014-03-15T00:00:00"/>
    <s v="DVD"/>
    <n v="103464"/>
    <s v="AB106443"/>
    <x v="0"/>
    <n v="182040"/>
  </r>
  <r>
    <n v="10123"/>
    <n v="4"/>
    <d v="2014-03-16T00:00:00"/>
    <s v="BLU-RAY"/>
    <n v="103465"/>
    <s v="AB106445"/>
    <x v="9"/>
    <n v="551950"/>
  </r>
  <r>
    <n v="10018"/>
    <n v="1"/>
    <d v="2014-03-15T00:00:00"/>
    <s v="DVD"/>
    <n v="103467"/>
    <s v="AB106449"/>
    <x v="9"/>
    <n v="556152"/>
  </r>
  <r>
    <n v="10284"/>
    <n v="1"/>
    <d v="2014-03-16T00:00:00"/>
    <s v="DVD"/>
    <n v="103467"/>
    <s v="AB106451"/>
    <x v="14"/>
    <n v="556152"/>
  </r>
  <r>
    <n v="10270"/>
    <n v="7"/>
    <d v="2014-03-18T00:00:00"/>
    <s v="DVD"/>
    <n v="103468"/>
    <s v="AB106453"/>
    <x v="9"/>
    <n v="235720"/>
  </r>
  <r>
    <n v="10004"/>
    <n v="3"/>
    <d v="2014-03-16T00:00:00"/>
    <s v="DVD"/>
    <n v="103469"/>
    <s v="AB106456"/>
    <x v="1"/>
    <n v="409910"/>
  </r>
  <r>
    <n v="10252"/>
    <n v="2"/>
    <d v="2014-03-16T00:00:00"/>
    <s v="DVD"/>
    <n v="103473"/>
    <s v="AB106462"/>
    <x v="0"/>
    <n v="524667"/>
  </r>
  <r>
    <n v="10195"/>
    <n v="2"/>
    <d v="2014-03-18T00:00:00"/>
    <s v="DVD"/>
    <n v="103476"/>
    <s v="AB106468"/>
    <x v="4"/>
    <n v="791850"/>
  </r>
  <r>
    <n v="10225"/>
    <n v="1"/>
    <d v="2014-03-18T00:00:00"/>
    <s v="DVD"/>
    <n v="103477"/>
    <s v="AB106469"/>
    <x v="0"/>
    <n v="194680"/>
  </r>
  <r>
    <n v="10250"/>
    <n v="9"/>
    <d v="2014-03-20T00:00:00"/>
    <s v="BLU-RAY"/>
    <n v="103477"/>
    <s v="AB106470"/>
    <x v="3"/>
    <n v="194680"/>
  </r>
  <r>
    <n v="10183"/>
    <n v="6"/>
    <d v="2014-03-17T00:00:00"/>
    <s v="DVD"/>
    <n v="103478"/>
    <s v="AB106473"/>
    <x v="4"/>
    <n v="575041"/>
  </r>
  <r>
    <n v="10274"/>
    <n v="7"/>
    <d v="2014-03-17T00:00:00"/>
    <s v="BLU-RAY"/>
    <n v="103480"/>
    <s v="AB106477"/>
    <x v="9"/>
    <n v="605188"/>
  </r>
  <r>
    <n v="10167"/>
    <n v="7"/>
    <d v="2014-03-19T00:00:00"/>
    <s v="DVD"/>
    <n v="103480"/>
    <s v="AB106478"/>
    <x v="7"/>
    <n v="605188"/>
  </r>
  <r>
    <n v="10217"/>
    <n v="4"/>
    <d v="2014-03-18T00:00:00"/>
    <s v="BLU-RAY"/>
    <n v="103483"/>
    <s v="AB106484"/>
    <x v="0"/>
    <n v="478274"/>
  </r>
  <r>
    <n v="10200"/>
    <n v="6"/>
    <d v="2014-03-20T00:00:00"/>
    <s v="BLU-RAY"/>
    <n v="103485"/>
    <s v="AB106487"/>
    <x v="9"/>
    <n v="803700"/>
  </r>
  <r>
    <n v="10297"/>
    <n v="1"/>
    <d v="2014-03-18T00:00:00"/>
    <s v="DVD"/>
    <n v="103485"/>
    <s v="AB106488"/>
    <x v="14"/>
    <n v="803700"/>
  </r>
  <r>
    <n v="10209"/>
    <n v="10"/>
    <d v="2014-03-22T00:00:00"/>
    <s v="BLU-RAY"/>
    <n v="103485"/>
    <s v="AB106489"/>
    <x v="7"/>
    <n v="803700"/>
  </r>
  <r>
    <n v="10234"/>
    <n v="4"/>
    <d v="2014-03-18T00:00:00"/>
    <s v="DVD"/>
    <n v="103486"/>
    <s v="AB106490"/>
    <x v="0"/>
    <n v="847289"/>
  </r>
  <r>
    <n v="10175"/>
    <n v="5"/>
    <d v="2014-03-18T00:00:00"/>
    <s v="BLU-RAY"/>
    <n v="103488"/>
    <s v="AB106493"/>
    <x v="3"/>
    <n v="182040"/>
  </r>
  <r>
    <n v="10242"/>
    <n v="6"/>
    <d v="2014-03-19T00:00:00"/>
    <s v="DVD"/>
    <n v="103488"/>
    <s v="AB106494"/>
    <x v="3"/>
    <n v="182040"/>
  </r>
  <r>
    <n v="10277"/>
    <n v="10"/>
    <d v="2014-03-19T00:00:00"/>
    <s v="DVD"/>
    <n v="103491"/>
    <s v="AB106501"/>
    <x v="7"/>
    <n v="592592"/>
  </r>
  <r>
    <n v="10260"/>
    <n v="2"/>
    <d v="2014-03-24T00:00:00"/>
    <s v="DVD"/>
    <n v="103491"/>
    <s v="AB106502"/>
    <x v="4"/>
    <n v="592592"/>
  </r>
  <r>
    <n v="10274"/>
    <n v="3"/>
    <d v="2014-03-19T00:00:00"/>
    <s v="DVD"/>
    <n v="103491"/>
    <s v="AB106503"/>
    <x v="9"/>
    <n v="592592"/>
  </r>
  <r>
    <n v="10273"/>
    <n v="1"/>
    <d v="2014-03-19T00:00:00"/>
    <s v="DVD"/>
    <n v="103493"/>
    <s v="AB106505"/>
    <x v="4"/>
    <n v="193914"/>
  </r>
  <r>
    <n v="10123"/>
    <n v="8"/>
    <d v="2014-03-25T00:00:00"/>
    <s v="DVD"/>
    <n v="103494"/>
    <s v="AB106506"/>
    <x v="9"/>
    <n v="158528"/>
  </r>
  <r>
    <n v="10133"/>
    <n v="1"/>
    <d v="2014-03-20T00:00:00"/>
    <s v="DVD"/>
    <n v="103494"/>
    <s v="AB106507"/>
    <x v="9"/>
    <n v="158528"/>
  </r>
  <r>
    <n v="10079"/>
    <n v="1"/>
    <d v="2014-03-20T00:00:00"/>
    <s v="DVD"/>
    <n v="103495"/>
    <s v="AB106510"/>
    <x v="0"/>
    <n v="706884"/>
  </r>
  <r>
    <n v="10193"/>
    <n v="1"/>
    <d v="2014-03-19T00:00:00"/>
    <s v="BLU-RAY"/>
    <n v="103496"/>
    <s v="AB106513"/>
    <x v="9"/>
    <n v="671101"/>
  </r>
  <r>
    <n v="10170"/>
    <n v="9"/>
    <d v="2014-03-21T00:00:00"/>
    <s v="DVD"/>
    <n v="103499"/>
    <s v="AB106517"/>
    <x v="15"/>
    <n v="563500"/>
  </r>
  <r>
    <n v="10041"/>
    <n v="1"/>
    <d v="2014-04-04T00:00:00"/>
    <s v="DVD"/>
    <n v="103500"/>
    <s v="AB106520"/>
    <x v="10"/>
    <n v="558749"/>
  </r>
  <r>
    <n v="10277"/>
    <n v="8"/>
    <d v="2014-03-20T00:00:00"/>
    <s v="DVD"/>
    <n v="103501"/>
    <s v="AB106521"/>
    <x v="7"/>
    <n v="738357"/>
  </r>
  <r>
    <n v="10198"/>
    <n v="8"/>
    <d v="2014-03-22T00:00:00"/>
    <s v="DVD"/>
    <n v="103502"/>
    <s v="AB106523"/>
    <x v="9"/>
    <n v="771285"/>
  </r>
  <r>
    <n v="10039"/>
    <n v="4"/>
    <d v="2014-03-22T00:00:00"/>
    <s v="DVD"/>
    <n v="103502"/>
    <s v="AB106524"/>
    <x v="11"/>
    <n v="771285"/>
  </r>
  <r>
    <n v="10150"/>
    <n v="10"/>
    <d v="2014-03-20T00:00:00"/>
    <s v="DVD"/>
    <n v="103503"/>
    <s v="AB106525"/>
    <x v="14"/>
    <n v="194680"/>
  </r>
  <r>
    <n v="10149"/>
    <n v="10"/>
    <d v="2014-03-20T00:00:00"/>
    <s v="DVD"/>
    <n v="103504"/>
    <s v="AB106527"/>
    <x v="12"/>
    <n v="422951"/>
  </r>
  <r>
    <n v="10249"/>
    <n v="10"/>
    <d v="2014-03-22T00:00:00"/>
    <s v="DVD"/>
    <n v="103507"/>
    <s v="AB106531"/>
    <x v="5"/>
    <n v="183797"/>
  </r>
  <r>
    <n v="10290"/>
    <n v="1"/>
    <d v="2014-03-21T00:00:00"/>
    <s v="BLU-RAY"/>
    <n v="103508"/>
    <s v="AB106532"/>
    <x v="2"/>
    <n v="932618"/>
  </r>
  <r>
    <n v="10184"/>
    <n v="10"/>
    <d v="2014-03-22T00:00:00"/>
    <s v="DVD"/>
    <n v="103508"/>
    <s v="AB106533"/>
    <x v="7"/>
    <n v="932618"/>
  </r>
  <r>
    <n v="10295"/>
    <n v="5"/>
    <d v="2014-03-24T00:00:00"/>
    <s v="DVD"/>
    <n v="103509"/>
    <s v="AB106536"/>
    <x v="21"/>
    <n v="833180"/>
  </r>
  <r>
    <n v="10227"/>
    <n v="1"/>
    <d v="2014-03-21T00:00:00"/>
    <s v="DVD"/>
    <n v="103509"/>
    <s v="AB106537"/>
    <x v="14"/>
    <n v="833180"/>
  </r>
  <r>
    <n v="10176"/>
    <n v="9"/>
    <d v="2014-03-22T00:00:00"/>
    <s v="DVD"/>
    <n v="103512"/>
    <s v="AB106539"/>
    <x v="7"/>
    <n v="143878"/>
  </r>
  <r>
    <n v="10063"/>
    <n v="10"/>
    <d v="2014-03-22T00:00:00"/>
    <s v="DVD"/>
    <n v="103514"/>
    <s v="AB106540"/>
    <x v="18"/>
    <n v="278809"/>
  </r>
  <r>
    <n v="10274"/>
    <n v="1"/>
    <d v="2014-03-23T00:00:00"/>
    <s v="BLU-RAY"/>
    <n v="103515"/>
    <s v="AB106542"/>
    <x v="9"/>
    <n v="657495"/>
  </r>
  <r>
    <n v="10285"/>
    <n v="7"/>
    <d v="2014-03-25T00:00:00"/>
    <s v="DVD"/>
    <n v="103515"/>
    <s v="AB106543"/>
    <x v="20"/>
    <n v="657495"/>
  </r>
  <r>
    <n v="10275"/>
    <n v="8"/>
    <d v="2014-03-22T00:00:00"/>
    <s v="BLU-RAY"/>
    <n v="103516"/>
    <s v="AB106545"/>
    <x v="10"/>
    <n v="166612"/>
  </r>
  <r>
    <n v="10079"/>
    <n v="10"/>
    <d v="2014-03-26T00:00:00"/>
    <s v="DVD"/>
    <n v="103516"/>
    <s v="AB106546"/>
    <x v="0"/>
    <n v="166612"/>
  </r>
  <r>
    <n v="10271"/>
    <n v="10"/>
    <d v="2014-03-23T00:00:00"/>
    <s v="DVD"/>
    <n v="103517"/>
    <s v="AB106549"/>
    <x v="7"/>
    <n v="347189"/>
  </r>
  <r>
    <n v="10268"/>
    <n v="2"/>
    <d v="2014-03-24T00:00:00"/>
    <s v="BLU-RAY"/>
    <n v="103518"/>
    <s v="AB106550"/>
    <x v="3"/>
    <n v="761615"/>
  </r>
  <r>
    <n v="10224"/>
    <n v="8"/>
    <d v="2014-03-23T00:00:00"/>
    <s v="BLU-RAY"/>
    <n v="103522"/>
    <s v="AB106557"/>
    <x v="17"/>
    <n v="407605"/>
  </r>
  <r>
    <n v="10043"/>
    <n v="2"/>
    <d v="2014-03-24T00:00:00"/>
    <s v="DVD"/>
    <n v="103522"/>
    <s v="AB106558"/>
    <x v="8"/>
    <n v="407605"/>
  </r>
  <r>
    <n v="10026"/>
    <n v="6"/>
    <d v="2014-03-23T00:00:00"/>
    <s v="DVD"/>
    <n v="103525"/>
    <s v="AB106563"/>
    <x v="9"/>
    <n v="265133"/>
  </r>
  <r>
    <n v="10209"/>
    <n v="10"/>
    <d v="2014-03-26T00:00:00"/>
    <s v="DVD"/>
    <n v="103525"/>
    <s v="AB106564"/>
    <x v="7"/>
    <n v="265133"/>
  </r>
  <r>
    <n v="10108"/>
    <n v="9"/>
    <d v="2014-03-24T00:00:00"/>
    <s v="DVD"/>
    <n v="103529"/>
    <s v="AB106572"/>
    <x v="9"/>
    <n v="157388"/>
  </r>
  <r>
    <n v="10101"/>
    <n v="6"/>
    <d v="2014-03-25T00:00:00"/>
    <s v="DVD"/>
    <n v="103529"/>
    <s v="AB106573"/>
    <x v="4"/>
    <n v="157388"/>
  </r>
  <r>
    <n v="10118"/>
    <n v="8"/>
    <d v="2014-03-25T00:00:00"/>
    <s v="DVD"/>
    <n v="103533"/>
    <s v="AB106578"/>
    <x v="3"/>
    <n v="995599"/>
  </r>
  <r>
    <n v="10224"/>
    <n v="1"/>
    <d v="2014-03-27T00:00:00"/>
    <s v="BLU-RAY"/>
    <n v="103534"/>
    <s v="AB106579"/>
    <x v="17"/>
    <n v="992956"/>
  </r>
  <r>
    <n v="10166"/>
    <n v="7"/>
    <d v="2014-03-26T00:00:00"/>
    <s v="DVD"/>
    <n v="103536"/>
    <s v="AB106582"/>
    <x v="9"/>
    <n v="256181"/>
  </r>
  <r>
    <n v="10200"/>
    <n v="2"/>
    <d v="2014-03-25T00:00:00"/>
    <s v="BLU-RAY"/>
    <n v="103538"/>
    <s v="AB106588"/>
    <x v="9"/>
    <n v="442691"/>
  </r>
  <r>
    <n v="10245"/>
    <n v="3"/>
    <d v="2014-03-26T00:00:00"/>
    <s v="DVD"/>
    <n v="103540"/>
    <s v="AB106591"/>
    <x v="0"/>
    <n v="465275"/>
  </r>
  <r>
    <n v="10118"/>
    <n v="4"/>
    <d v="2014-03-26T00:00:00"/>
    <s v="DVD"/>
    <n v="103542"/>
    <s v="AB106595"/>
    <x v="3"/>
    <n v="826590"/>
  </r>
  <r>
    <n v="10291"/>
    <n v="5"/>
    <d v="2014-03-26T00:00:00"/>
    <s v="DVD"/>
    <n v="103543"/>
    <s v="AB106598"/>
    <x v="0"/>
    <n v="766737"/>
  </r>
  <r>
    <n v="10289"/>
    <n v="10"/>
    <d v="2014-03-27T00:00:00"/>
    <s v="BLU-RAY"/>
    <n v="103545"/>
    <s v="AB106600"/>
    <x v="11"/>
    <n v="111991"/>
  </r>
  <r>
    <n v="10253"/>
    <n v="9"/>
    <d v="2014-03-27T00:00:00"/>
    <s v="BLU-RAY"/>
    <n v="103546"/>
    <s v="AB106601"/>
    <x v="3"/>
    <n v="498970"/>
  </r>
  <r>
    <n v="10228"/>
    <n v="8"/>
    <d v="2014-03-27T00:00:00"/>
    <s v="DVD"/>
    <n v="103548"/>
    <s v="AB106604"/>
    <x v="7"/>
    <n v="537860"/>
  </r>
  <r>
    <n v="10114"/>
    <n v="7"/>
    <d v="2014-03-28T00:00:00"/>
    <s v="BLU-RAY"/>
    <n v="103548"/>
    <s v="AB106605"/>
    <x v="10"/>
    <n v="537860"/>
  </r>
  <r>
    <n v="10181"/>
    <n v="10"/>
    <d v="2014-03-29T00:00:00"/>
    <s v="DVD"/>
    <n v="103549"/>
    <s v="AB106606"/>
    <x v="9"/>
    <n v="422951"/>
  </r>
  <r>
    <n v="10028"/>
    <n v="9"/>
    <d v="2014-03-27T00:00:00"/>
    <s v="DVD"/>
    <n v="103549"/>
    <s v="AB106607"/>
    <x v="5"/>
    <n v="422951"/>
  </r>
  <r>
    <n v="10285"/>
    <n v="10"/>
    <d v="2014-03-29T00:00:00"/>
    <s v="BLU-RAY"/>
    <n v="103550"/>
    <s v="AB106610"/>
    <x v="20"/>
    <n v="245577"/>
  </r>
  <r>
    <n v="10061"/>
    <n v="3"/>
    <d v="2014-03-30T00:00:00"/>
    <s v="DVD"/>
    <n v="103551"/>
    <s v="AB106613"/>
    <x v="9"/>
    <n v="806545"/>
  </r>
  <r>
    <n v="10285"/>
    <n v="2"/>
    <d v="2014-03-29T00:00:00"/>
    <s v="DVD"/>
    <n v="103552"/>
    <s v="AB106614"/>
    <x v="20"/>
    <n v="651462"/>
  </r>
  <r>
    <n v="10056"/>
    <n v="3"/>
    <d v="2014-03-27T00:00:00"/>
    <s v="DVD"/>
    <n v="103553"/>
    <s v="AB106618"/>
    <x v="8"/>
    <n v="720602"/>
  </r>
  <r>
    <n v="10272"/>
    <n v="10"/>
    <d v="2014-03-28T00:00:00"/>
    <s v="DVD"/>
    <n v="103554"/>
    <s v="AB106619"/>
    <x v="4"/>
    <n v="193914"/>
  </r>
  <r>
    <n v="10284"/>
    <n v="5"/>
    <d v="2014-03-27T00:00:00"/>
    <s v="DVD"/>
    <n v="103554"/>
    <s v="AB106620"/>
    <x v="14"/>
    <n v="193914"/>
  </r>
  <r>
    <n v="10149"/>
    <n v="3"/>
    <d v="2014-03-27T00:00:00"/>
    <s v="DVD"/>
    <n v="103554"/>
    <s v="AB106621"/>
    <x v="12"/>
    <n v="193914"/>
  </r>
  <r>
    <n v="10217"/>
    <n v="2"/>
    <d v="2014-03-27T00:00:00"/>
    <s v="BLU-RAY"/>
    <n v="103555"/>
    <s v="AB106623"/>
    <x v="0"/>
    <n v="994199"/>
  </r>
  <r>
    <n v="10248"/>
    <n v="1"/>
    <d v="2014-03-29T00:00:00"/>
    <s v="DVD"/>
    <n v="103556"/>
    <s v="AB106624"/>
    <x v="12"/>
    <n v="789500"/>
  </r>
  <r>
    <n v="10072"/>
    <n v="3"/>
    <d v="2014-03-29T00:00:00"/>
    <s v="DVD"/>
    <n v="103556"/>
    <s v="AB106625"/>
    <x v="1"/>
    <n v="789500"/>
  </r>
  <r>
    <n v="10225"/>
    <n v="4"/>
    <d v="2014-03-29T00:00:00"/>
    <s v="DVD"/>
    <n v="103558"/>
    <s v="AB106630"/>
    <x v="0"/>
    <n v="771285"/>
  </r>
  <r>
    <n v="10233"/>
    <n v="2"/>
    <d v="2014-03-28T00:00:00"/>
    <s v="BLU-RAY"/>
    <n v="103558"/>
    <s v="AB106631"/>
    <x v="8"/>
    <n v="771285"/>
  </r>
  <r>
    <n v="10285"/>
    <n v="4"/>
    <d v="2014-03-28T00:00:00"/>
    <s v="DVD"/>
    <n v="103561"/>
    <s v="AB106635"/>
    <x v="20"/>
    <n v="800121"/>
  </r>
  <r>
    <n v="10185"/>
    <n v="2"/>
    <d v="2014-03-30T00:00:00"/>
    <s v="DVD"/>
    <n v="103562"/>
    <s v="AB106636"/>
    <x v="0"/>
    <n v="500828"/>
  </r>
  <r>
    <n v="10247"/>
    <n v="5"/>
    <d v="2014-03-29T00:00:00"/>
    <s v="DVD"/>
    <n v="103562"/>
    <s v="AB106637"/>
    <x v="9"/>
    <n v="500828"/>
  </r>
  <r>
    <n v="10194"/>
    <n v="9"/>
    <d v="2014-03-29T00:00:00"/>
    <s v="DVD"/>
    <n v="103565"/>
    <s v="AB106643"/>
    <x v="16"/>
    <n v="999915"/>
  </r>
  <r>
    <n v="10284"/>
    <n v="10"/>
    <d v="2014-04-01T00:00:00"/>
    <s v="DVD"/>
    <n v="103566"/>
    <s v="AB106647"/>
    <x v="14"/>
    <n v="879173"/>
  </r>
  <r>
    <n v="10193"/>
    <n v="9"/>
    <d v="2014-03-30T00:00:00"/>
    <s v="BLU-RAY"/>
    <n v="103567"/>
    <s v="AB106649"/>
    <x v="9"/>
    <n v="973766"/>
  </r>
  <r>
    <n v="10132"/>
    <n v="8"/>
    <d v="2014-03-29T00:00:00"/>
    <s v="BLU-RAY"/>
    <n v="103569"/>
    <s v="AB106653"/>
    <x v="10"/>
    <n v="110363"/>
  </r>
  <r>
    <n v="10137"/>
    <n v="4"/>
    <d v="2014-03-30T00:00:00"/>
    <s v="BLU-RAY"/>
    <n v="103570"/>
    <s v="AB106655"/>
    <x v="3"/>
    <n v="524667"/>
  </r>
  <r>
    <n v="10069"/>
    <n v="9"/>
    <d v="2014-04-01T00:00:00"/>
    <s v="BLU-RAY"/>
    <n v="103573"/>
    <s v="AB106661"/>
    <x v="0"/>
    <n v="111486"/>
  </r>
  <r>
    <n v="10265"/>
    <n v="9"/>
    <d v="2014-04-03T00:00:00"/>
    <s v="DVD"/>
    <n v="103573"/>
    <s v="AB106662"/>
    <x v="0"/>
    <n v="111486"/>
  </r>
  <r>
    <n v="10205"/>
    <n v="10"/>
    <d v="2014-04-02T00:00:00"/>
    <s v="DVD"/>
    <n v="103575"/>
    <s v="AB106664"/>
    <x v="1"/>
    <n v="616258"/>
  </r>
  <r>
    <n v="10252"/>
    <n v="1"/>
    <d v="2014-03-30T00:00:00"/>
    <s v="DVD"/>
    <n v="103576"/>
    <s v="AB106665"/>
    <x v="0"/>
    <n v="520196"/>
  </r>
  <r>
    <n v="10280"/>
    <n v="1"/>
    <d v="2014-03-31T00:00:00"/>
    <s v="DVD"/>
    <n v="103576"/>
    <s v="AB106667"/>
    <x v="7"/>
    <n v="520196"/>
  </r>
  <r>
    <n v="10232"/>
    <n v="2"/>
    <d v="2014-03-31T00:00:00"/>
    <s v="DVD"/>
    <n v="103578"/>
    <s v="AB106670"/>
    <x v="1"/>
    <n v="964403"/>
  </r>
  <r>
    <n v="10274"/>
    <n v="2"/>
    <d v="2014-04-03T00:00:00"/>
    <s v="DVD"/>
    <n v="103579"/>
    <s v="AB106673"/>
    <x v="9"/>
    <n v="723819"/>
  </r>
  <r>
    <n v="10273"/>
    <n v="4"/>
    <d v="2014-04-03T00:00:00"/>
    <s v="DVD"/>
    <n v="103579"/>
    <s v="AB106675"/>
    <x v="4"/>
    <n v="723819"/>
  </r>
  <r>
    <n v="10235"/>
    <n v="4"/>
    <d v="2014-04-02T00:00:00"/>
    <s v="DVD"/>
    <n v="103580"/>
    <s v="AB106676"/>
    <x v="10"/>
    <n v="482274"/>
  </r>
  <r>
    <n v="10237"/>
    <n v="6"/>
    <d v="2014-04-03T00:00:00"/>
    <s v="DVD"/>
    <n v="103580"/>
    <s v="AB106677"/>
    <x v="0"/>
    <n v="482274"/>
  </r>
  <r>
    <n v="10282"/>
    <n v="6"/>
    <d v="2014-03-31T00:00:00"/>
    <s v="DVD"/>
    <n v="103581"/>
    <s v="AB106678"/>
    <x v="15"/>
    <n v="385115"/>
  </r>
  <r>
    <n v="10124"/>
    <n v="4"/>
    <d v="2014-03-31T00:00:00"/>
    <s v="DVD"/>
    <n v="103583"/>
    <s v="AB106682"/>
    <x v="1"/>
    <n v="230467"/>
  </r>
  <r>
    <n v="10137"/>
    <n v="1"/>
    <d v="2014-03-31T00:00:00"/>
    <s v="DVD"/>
    <n v="103583"/>
    <s v="AB106683"/>
    <x v="3"/>
    <n v="230467"/>
  </r>
  <r>
    <n v="10166"/>
    <n v="4"/>
    <d v="2014-04-01T00:00:00"/>
    <s v="DVD"/>
    <n v="103585"/>
    <s v="AB106687"/>
    <x v="9"/>
    <n v="580674"/>
  </r>
  <r>
    <n v="10256"/>
    <n v="8"/>
    <d v="2014-04-01T00:00:00"/>
    <s v="DVD"/>
    <n v="103586"/>
    <s v="AB106689"/>
    <x v="9"/>
    <n v="624668"/>
  </r>
  <r>
    <n v="10224"/>
    <n v="9"/>
    <d v="2014-04-01T00:00:00"/>
    <s v="DVD"/>
    <n v="103588"/>
    <s v="AB106694"/>
    <x v="17"/>
    <n v="739669"/>
  </r>
  <r>
    <n v="10152"/>
    <n v="3"/>
    <d v="2014-04-01T00:00:00"/>
    <s v="DVD"/>
    <n v="103590"/>
    <s v="AB106696"/>
    <x v="16"/>
    <n v="306475"/>
  </r>
  <r>
    <n v="10282"/>
    <n v="4"/>
    <d v="2014-04-02T00:00:00"/>
    <s v="DVD"/>
    <n v="103590"/>
    <s v="AB106698"/>
    <x v="15"/>
    <n v="306475"/>
  </r>
  <r>
    <n v="10130"/>
    <n v="6"/>
    <d v="2014-04-04T00:00:00"/>
    <s v="DVD"/>
    <n v="103591"/>
    <s v="AB106699"/>
    <x v="21"/>
    <n v="590616"/>
  </r>
  <r>
    <n v="10256"/>
    <n v="6"/>
    <d v="2014-04-02T00:00:00"/>
    <s v="DVD"/>
    <n v="103592"/>
    <s v="AB106701"/>
    <x v="9"/>
    <n v="964619"/>
  </r>
  <r>
    <n v="10270"/>
    <n v="1"/>
    <d v="2014-04-04T00:00:00"/>
    <s v="DVD"/>
    <n v="103594"/>
    <s v="AB106704"/>
    <x v="9"/>
    <n v="671363"/>
  </r>
  <r>
    <n v="10111"/>
    <n v="3"/>
    <d v="2014-04-03T00:00:00"/>
    <s v="DVD"/>
    <n v="103599"/>
    <s v="AB106713"/>
    <x v="9"/>
    <n v="363931"/>
  </r>
  <r>
    <n v="10238"/>
    <n v="2"/>
    <d v="2014-04-06T00:00:00"/>
    <s v="BLU-RAY"/>
    <n v="103600"/>
    <s v="AB106715"/>
    <x v="0"/>
    <n v="196068"/>
  </r>
  <r>
    <n v="10172"/>
    <n v="1"/>
    <d v="2014-04-05T00:00:00"/>
    <s v="DVD"/>
    <n v="103601"/>
    <s v="AB106716"/>
    <x v="10"/>
    <n v="815980"/>
  </r>
  <r>
    <n v="10106"/>
    <n v="9"/>
    <d v="2014-04-06T00:00:00"/>
    <s v="DVD"/>
    <n v="103603"/>
    <s v="AB106718"/>
    <x v="9"/>
    <n v="900440"/>
  </r>
  <r>
    <n v="10224"/>
    <n v="1"/>
    <d v="2014-04-05T00:00:00"/>
    <s v="BLU-RAY"/>
    <n v="103603"/>
    <s v="AB106720"/>
    <x v="17"/>
    <n v="900440"/>
  </r>
  <r>
    <n v="10177"/>
    <n v="8"/>
    <d v="2014-04-03T00:00:00"/>
    <s v="DVD"/>
    <n v="103604"/>
    <s v="AB106722"/>
    <x v="9"/>
    <n v="690100"/>
  </r>
  <r>
    <n v="10270"/>
    <n v="6"/>
    <d v="2014-04-03T00:00:00"/>
    <s v="BLU-RAY"/>
    <n v="103605"/>
    <s v="AB106724"/>
    <x v="9"/>
    <n v="671363"/>
  </r>
  <r>
    <n v="10273"/>
    <n v="1"/>
    <d v="2014-04-04T00:00:00"/>
    <s v="DVD"/>
    <n v="103606"/>
    <s v="AB106726"/>
    <x v="4"/>
    <n v="517477"/>
  </r>
  <r>
    <n v="10290"/>
    <n v="1"/>
    <d v="2014-04-05T00:00:00"/>
    <s v="DVD"/>
    <n v="103608"/>
    <s v="AB106730"/>
    <x v="2"/>
    <n v="929344"/>
  </r>
  <r>
    <n v="10232"/>
    <n v="5"/>
    <d v="2014-04-05T00:00:00"/>
    <s v="DVD"/>
    <n v="103608"/>
    <s v="AB106731"/>
    <x v="1"/>
    <n v="929344"/>
  </r>
  <r>
    <n v="10270"/>
    <n v="7"/>
    <d v="2014-04-04T00:00:00"/>
    <s v="BLU-RAY"/>
    <n v="103609"/>
    <s v="AB106733"/>
    <x v="9"/>
    <n v="646953"/>
  </r>
  <r>
    <n v="10376"/>
    <n v="10"/>
    <d v="2014-04-04T00:00:00"/>
    <s v="DVD"/>
    <n v="103610"/>
    <s v="AB106734"/>
    <x v="12"/>
    <n v="775449"/>
  </r>
  <r>
    <n v="10099"/>
    <n v="9"/>
    <d v="2014-04-06T00:00:00"/>
    <s v="DVD"/>
    <n v="103611"/>
    <s v="AB106736"/>
    <x v="10"/>
    <n v="784218"/>
  </r>
  <r>
    <n v="10222"/>
    <n v="2"/>
    <d v="2014-04-04T00:00:00"/>
    <s v="DVD"/>
    <n v="103611"/>
    <s v="AB106738"/>
    <x v="4"/>
    <n v="784218"/>
  </r>
  <r>
    <n v="10258"/>
    <n v="9"/>
    <d v="2014-04-05T00:00:00"/>
    <s v="DVD"/>
    <n v="103612"/>
    <s v="AB106740"/>
    <x v="0"/>
    <n v="183797"/>
  </r>
  <r>
    <n v="10246"/>
    <n v="1"/>
    <d v="2014-04-05T00:00:00"/>
    <s v="DVD"/>
    <n v="103613"/>
    <s v="AB106742"/>
    <x v="2"/>
    <n v="643305"/>
  </r>
  <r>
    <n v="10137"/>
    <n v="5"/>
    <d v="2014-04-05T00:00:00"/>
    <s v="DVD"/>
    <n v="103614"/>
    <s v="AB106747"/>
    <x v="3"/>
    <n v="586201"/>
  </r>
  <r>
    <n v="10211"/>
    <n v="3"/>
    <d v="2014-04-06T00:00:00"/>
    <s v="BLU-RAY"/>
    <n v="103615"/>
    <s v="AB106748"/>
    <x v="3"/>
    <n v="103508"/>
  </r>
  <r>
    <n v="10006"/>
    <n v="8"/>
    <d v="2014-04-05T00:00:00"/>
    <s v="DVD"/>
    <n v="103617"/>
    <s v="AB106753"/>
    <x v="1"/>
    <n v="194680"/>
  </r>
  <r>
    <n v="10201"/>
    <n v="2"/>
    <d v="2014-04-06T00:00:00"/>
    <s v="BLU-RAY"/>
    <n v="103619"/>
    <s v="AB106758"/>
    <x v="8"/>
    <n v="701816"/>
  </r>
  <r>
    <n v="10281"/>
    <n v="7"/>
    <d v="2014-04-06T00:00:00"/>
    <s v="DVD"/>
    <n v="103621"/>
    <s v="AB106762"/>
    <x v="10"/>
    <n v="493552"/>
  </r>
  <r>
    <n v="10270"/>
    <n v="5"/>
    <d v="2014-04-06T00:00:00"/>
    <s v="DVD"/>
    <n v="103623"/>
    <s v="AB106765"/>
    <x v="9"/>
    <n v="207846"/>
  </r>
  <r>
    <n v="10080"/>
    <n v="9"/>
    <d v="2014-04-07T00:00:00"/>
    <s v="DVD"/>
    <n v="103623"/>
    <s v="AB106766"/>
    <x v="3"/>
    <n v="207846"/>
  </r>
  <r>
    <n v="10282"/>
    <n v="3"/>
    <d v="2014-04-06T00:00:00"/>
    <s v="DVD"/>
    <n v="103623"/>
    <s v="AB106767"/>
    <x v="15"/>
    <n v="207846"/>
  </r>
  <r>
    <n v="10046"/>
    <n v="9"/>
    <d v="2014-04-12T00:00:00"/>
    <s v="DVD"/>
    <n v="103628"/>
    <s v="AB106775"/>
    <x v="4"/>
    <n v="347189"/>
  </r>
  <r>
    <n v="10278"/>
    <n v="4"/>
    <d v="2014-04-08T00:00:00"/>
    <s v="DVD"/>
    <n v="103629"/>
    <s v="AB106776"/>
    <x v="7"/>
    <n v="775449"/>
  </r>
  <r>
    <n v="10163"/>
    <n v="7"/>
    <d v="2014-04-07T00:00:00"/>
    <s v="DVD"/>
    <n v="103629"/>
    <s v="AB106777"/>
    <x v="0"/>
    <n v="775449"/>
  </r>
  <r>
    <n v="10028"/>
    <n v="2"/>
    <d v="2014-04-07T00:00:00"/>
    <s v="DVD"/>
    <n v="103630"/>
    <s v="AB106778"/>
    <x v="5"/>
    <n v="200272"/>
  </r>
  <r>
    <n v="10127"/>
    <n v="3"/>
    <d v="2014-04-07T00:00:00"/>
    <s v="DVD"/>
    <n v="103630"/>
    <s v="AB106779"/>
    <x v="6"/>
    <n v="200272"/>
  </r>
  <r>
    <n v="10162"/>
    <n v="5"/>
    <d v="2014-04-08T00:00:00"/>
    <s v="DVD"/>
    <n v="103630"/>
    <s v="AB106780"/>
    <x v="4"/>
    <n v="200272"/>
  </r>
  <r>
    <n v="10249"/>
    <n v="1"/>
    <d v="2014-04-08T00:00:00"/>
    <s v="DVD"/>
    <n v="103631"/>
    <s v="AB106781"/>
    <x v="5"/>
    <n v="111486"/>
  </r>
  <r>
    <n v="10140"/>
    <n v="6"/>
    <d v="2014-04-07T00:00:00"/>
    <s v="DVD"/>
    <n v="103634"/>
    <s v="AB106785"/>
    <x v="2"/>
    <n v="734514"/>
  </r>
  <r>
    <n v="10133"/>
    <n v="8"/>
    <d v="2014-04-10T00:00:00"/>
    <s v="DVD"/>
    <n v="103636"/>
    <s v="AB106786"/>
    <x v="9"/>
    <n v="417823"/>
  </r>
  <r>
    <n v="10203"/>
    <n v="10"/>
    <d v="2014-04-07T00:00:00"/>
    <s v="DVD"/>
    <n v="103636"/>
    <s v="AB106787"/>
    <x v="3"/>
    <n v="417823"/>
  </r>
  <r>
    <n v="10229"/>
    <n v="7"/>
    <d v="2014-04-08T00:00:00"/>
    <s v="DVD"/>
    <n v="103637"/>
    <s v="AB106789"/>
    <x v="6"/>
    <n v="995599"/>
  </r>
  <r>
    <n v="10159"/>
    <n v="1"/>
    <d v="2014-04-08T00:00:00"/>
    <s v="BLU-RAY"/>
    <n v="103638"/>
    <s v="AB106792"/>
    <x v="10"/>
    <n v="679354"/>
  </r>
  <r>
    <n v="10269"/>
    <n v="7"/>
    <d v="2014-04-09T00:00:00"/>
    <s v="DVD"/>
    <n v="103639"/>
    <s v="AB106795"/>
    <x v="3"/>
    <n v="552124"/>
  </r>
  <r>
    <n v="10160"/>
    <n v="2"/>
    <d v="2014-04-09T00:00:00"/>
    <s v="DVD"/>
    <n v="103643"/>
    <s v="AB106802"/>
    <x v="10"/>
    <n v="676018"/>
  </r>
  <r>
    <n v="10117"/>
    <n v="3"/>
    <d v="2014-04-09T00:00:00"/>
    <s v="DVD"/>
    <n v="103643"/>
    <s v="AB106803"/>
    <x v="4"/>
    <n v="676018"/>
  </r>
  <r>
    <n v="10178"/>
    <n v="5"/>
    <d v="2014-04-08T00:00:00"/>
    <s v="DVD"/>
    <n v="103643"/>
    <s v="AB106804"/>
    <x v="0"/>
    <n v="676018"/>
  </r>
  <r>
    <n v="10193"/>
    <n v="9"/>
    <d v="2014-04-11T00:00:00"/>
    <s v="DVD"/>
    <n v="103644"/>
    <s v="AB106806"/>
    <x v="9"/>
    <n v="814317"/>
  </r>
  <r>
    <n v="10253"/>
    <n v="2"/>
    <d v="2014-04-09T00:00:00"/>
    <s v="DVD"/>
    <n v="103648"/>
    <s v="AB106811"/>
    <x v="3"/>
    <n v="759995"/>
  </r>
  <r>
    <n v="10135"/>
    <n v="10"/>
    <d v="2014-04-11T00:00:00"/>
    <s v="DVD"/>
    <n v="103649"/>
    <s v="AB106812"/>
    <x v="7"/>
    <n v="265707"/>
  </r>
  <r>
    <n v="10177"/>
    <n v="10"/>
    <d v="2014-04-09T00:00:00"/>
    <s v="DVD"/>
    <n v="103649"/>
    <s v="AB106814"/>
    <x v="9"/>
    <n v="265707"/>
  </r>
  <r>
    <n v="10208"/>
    <n v="10"/>
    <d v="2014-04-09T00:00:00"/>
    <s v="DVD"/>
    <n v="103650"/>
    <s v="AB106815"/>
    <x v="0"/>
    <n v="331115"/>
  </r>
  <r>
    <n v="10210"/>
    <n v="3"/>
    <d v="2014-04-15T00:00:00"/>
    <s v="BLU-RAY"/>
    <n v="103650"/>
    <s v="AB106816"/>
    <x v="4"/>
    <n v="331115"/>
  </r>
  <r>
    <n v="10232"/>
    <n v="9"/>
    <d v="2014-04-09T00:00:00"/>
    <s v="DVD"/>
    <n v="103652"/>
    <s v="AB106820"/>
    <x v="1"/>
    <n v="301793"/>
  </r>
  <r>
    <n v="10229"/>
    <n v="3"/>
    <d v="2014-04-10T00:00:00"/>
    <s v="DVD"/>
    <n v="103654"/>
    <s v="AB106821"/>
    <x v="6"/>
    <n v="938417"/>
  </r>
  <r>
    <n v="10164"/>
    <n v="4"/>
    <d v="2014-04-11T00:00:00"/>
    <s v="DVD"/>
    <n v="103656"/>
    <s v="AB106826"/>
    <x v="2"/>
    <n v="622506"/>
  </r>
  <r>
    <n v="10133"/>
    <n v="4"/>
    <d v="2014-04-10T00:00:00"/>
    <s v="DVD"/>
    <n v="103657"/>
    <s v="AB106827"/>
    <x v="9"/>
    <n v="670707"/>
  </r>
  <r>
    <n v="10195"/>
    <n v="9"/>
    <d v="2014-04-11T00:00:00"/>
    <s v="DVD"/>
    <n v="103657"/>
    <s v="AB106829"/>
    <x v="4"/>
    <n v="670707"/>
  </r>
  <r>
    <n v="10200"/>
    <n v="2"/>
    <d v="2014-04-10T00:00:00"/>
    <s v="BLU-RAY"/>
    <n v="103658"/>
    <s v="AB106830"/>
    <x v="9"/>
    <n v="775449"/>
  </r>
  <r>
    <n v="10295"/>
    <n v="7"/>
    <d v="2014-04-11T00:00:00"/>
    <s v="DVD"/>
    <n v="103658"/>
    <s v="AB106831"/>
    <x v="21"/>
    <n v="775449"/>
  </r>
  <r>
    <n v="10249"/>
    <n v="10"/>
    <d v="2014-04-11T00:00:00"/>
    <s v="DVD"/>
    <n v="103660"/>
    <s v="AB106833"/>
    <x v="5"/>
    <n v="575041"/>
  </r>
  <r>
    <n v="10127"/>
    <n v="1"/>
    <d v="2014-04-13T00:00:00"/>
    <s v="DVD"/>
    <n v="103662"/>
    <s v="AB106839"/>
    <x v="6"/>
    <n v="447368"/>
  </r>
  <r>
    <n v="10299"/>
    <n v="3"/>
    <d v="2014-04-11T00:00:00"/>
    <s v="DVD"/>
    <n v="103662"/>
    <s v="AB106841"/>
    <x v="22"/>
    <n v="447368"/>
  </r>
  <r>
    <n v="10207"/>
    <n v="7"/>
    <d v="2014-04-11T00:00:00"/>
    <s v="DVD"/>
    <n v="103663"/>
    <s v="AB106843"/>
    <x v="1"/>
    <n v="409910"/>
  </r>
  <r>
    <n v="10128"/>
    <n v="5"/>
    <d v="2014-04-11T00:00:00"/>
    <s v="BLU-RAY"/>
    <n v="103664"/>
    <s v="AB106844"/>
    <x v="6"/>
    <n v="672834"/>
  </r>
  <r>
    <n v="10274"/>
    <n v="8"/>
    <d v="2014-04-11T00:00:00"/>
    <s v="BLU-RAY"/>
    <n v="103664"/>
    <s v="AB106845"/>
    <x v="9"/>
    <n v="672834"/>
  </r>
  <r>
    <n v="10233"/>
    <n v="10"/>
    <d v="2014-04-11T00:00:00"/>
    <s v="DVD"/>
    <n v="103665"/>
    <s v="AB106847"/>
    <x v="8"/>
    <n v="981529"/>
  </r>
  <r>
    <n v="10289"/>
    <n v="7"/>
    <d v="2014-04-12T00:00:00"/>
    <s v="DVD"/>
    <n v="103665"/>
    <s v="AB106848"/>
    <x v="11"/>
    <n v="981529"/>
  </r>
  <r>
    <n v="10169"/>
    <n v="9"/>
    <d v="2014-04-11T00:00:00"/>
    <s v="DVD"/>
    <n v="103666"/>
    <s v="AB106850"/>
    <x v="0"/>
    <n v="426984"/>
  </r>
  <r>
    <n v="10286"/>
    <n v="9"/>
    <d v="2014-04-12T00:00:00"/>
    <s v="BLU-RAY"/>
    <n v="103667"/>
    <s v="AB106851"/>
    <x v="17"/>
    <n v="330223"/>
  </r>
  <r>
    <n v="10120"/>
    <n v="10"/>
    <d v="2014-04-12T00:00:00"/>
    <s v="DVD"/>
    <n v="103667"/>
    <s v="AB106853"/>
    <x v="14"/>
    <n v="330223"/>
  </r>
  <r>
    <n v="10219"/>
    <n v="10"/>
    <d v="2014-04-12T00:00:00"/>
    <s v="DVD"/>
    <n v="103667"/>
    <s v="AB106854"/>
    <x v="1"/>
    <n v="330223"/>
  </r>
  <r>
    <n v="10161"/>
    <n v="2"/>
    <d v="2014-04-12T00:00:00"/>
    <s v="DVD"/>
    <n v="103672"/>
    <s v="AB106863"/>
    <x v="6"/>
    <n v="897980"/>
  </r>
  <r>
    <n v="10225"/>
    <n v="3"/>
    <d v="2014-04-12T00:00:00"/>
    <s v="DVD"/>
    <n v="103673"/>
    <s v="AB106864"/>
    <x v="0"/>
    <n v="977759"/>
  </r>
  <r>
    <n v="10280"/>
    <n v="8"/>
    <d v="2014-04-14T00:00:00"/>
    <s v="DVD"/>
    <n v="103673"/>
    <s v="AB106865"/>
    <x v="7"/>
    <n v="977759"/>
  </r>
  <r>
    <n v="10227"/>
    <n v="7"/>
    <d v="2014-04-14T00:00:00"/>
    <s v="DVD"/>
    <n v="103673"/>
    <s v="AB106867"/>
    <x v="14"/>
    <n v="977759"/>
  </r>
  <r>
    <n v="10247"/>
    <n v="2"/>
    <d v="2014-04-15T00:00:00"/>
    <s v="DVD"/>
    <n v="103675"/>
    <s v="AB106871"/>
    <x v="9"/>
    <n v="743517"/>
  </r>
  <r>
    <n v="10228"/>
    <n v="4"/>
    <d v="2014-04-13T00:00:00"/>
    <s v="DVD"/>
    <n v="103680"/>
    <s v="AB106882"/>
    <x v="7"/>
    <n v="938417"/>
  </r>
  <r>
    <n v="10285"/>
    <n v="6"/>
    <d v="2014-04-17T00:00:00"/>
    <s v="DVD"/>
    <n v="103682"/>
    <s v="AB106885"/>
    <x v="20"/>
    <n v="132454"/>
  </r>
  <r>
    <n v="10250"/>
    <n v="7"/>
    <d v="2014-04-14T00:00:00"/>
    <s v="DVD"/>
    <n v="103683"/>
    <s v="AB106886"/>
    <x v="3"/>
    <n v="611848"/>
  </r>
  <r>
    <n v="10189"/>
    <n v="2"/>
    <d v="2014-04-15T00:00:00"/>
    <s v="DVD"/>
    <n v="103684"/>
    <s v="AB106888"/>
    <x v="7"/>
    <n v="413292"/>
  </r>
  <r>
    <n v="10263"/>
    <n v="4"/>
    <d v="2014-04-17T00:00:00"/>
    <s v="DVD"/>
    <n v="103686"/>
    <s v="AB106891"/>
    <x v="9"/>
    <n v="166135"/>
  </r>
  <r>
    <n v="10054"/>
    <n v="2"/>
    <d v="2014-04-14T00:00:00"/>
    <s v="DVD"/>
    <n v="103686"/>
    <s v="AB106892"/>
    <x v="1"/>
    <n v="166135"/>
  </r>
  <r>
    <n v="10225"/>
    <n v="2"/>
    <d v="2014-04-16T00:00:00"/>
    <s v="DVD"/>
    <n v="103686"/>
    <s v="AB106893"/>
    <x v="0"/>
    <n v="166135"/>
  </r>
  <r>
    <n v="10258"/>
    <n v="6"/>
    <d v="2014-04-16T00:00:00"/>
    <s v="DVD"/>
    <n v="103690"/>
    <s v="AB106898"/>
    <x v="0"/>
    <n v="160392"/>
  </r>
  <r>
    <n v="10250"/>
    <n v="10"/>
    <d v="2014-04-16T00:00:00"/>
    <s v="DVD"/>
    <n v="103691"/>
    <s v="AB106902"/>
    <x v="3"/>
    <n v="193914"/>
  </r>
  <r>
    <n v="10183"/>
    <n v="3"/>
    <d v="2014-04-15T00:00:00"/>
    <s v="DVD"/>
    <n v="103691"/>
    <s v="AB106903"/>
    <x v="4"/>
    <n v="193914"/>
  </r>
  <r>
    <n v="10185"/>
    <n v="3"/>
    <d v="2014-04-16T00:00:00"/>
    <s v="DVD"/>
    <n v="103692"/>
    <s v="AB106905"/>
    <x v="0"/>
    <n v="418506"/>
  </r>
  <r>
    <n v="10251"/>
    <n v="9"/>
    <d v="2014-04-16T00:00:00"/>
    <s v="DVD"/>
    <n v="103695"/>
    <s v="AB106910"/>
    <x v="7"/>
    <n v="892883"/>
  </r>
  <r>
    <n v="10203"/>
    <n v="2"/>
    <d v="2014-04-16T00:00:00"/>
    <s v="DVD"/>
    <n v="103696"/>
    <s v="AB106911"/>
    <x v="3"/>
    <n v="346006"/>
  </r>
  <r>
    <n v="10133"/>
    <n v="1"/>
    <d v="2014-04-16T00:00:00"/>
    <s v="DVD"/>
    <n v="103697"/>
    <s v="AB106912"/>
    <x v="9"/>
    <n v="158528"/>
  </r>
  <r>
    <n v="10039"/>
    <n v="3"/>
    <d v="2014-04-16T00:00:00"/>
    <s v="DVD"/>
    <n v="103697"/>
    <s v="AB106913"/>
    <x v="11"/>
    <n v="158528"/>
  </r>
  <r>
    <n v="10185"/>
    <n v="6"/>
    <d v="2014-04-22T00:00:00"/>
    <s v="DVD"/>
    <n v="103699"/>
    <s v="AB106915"/>
    <x v="0"/>
    <n v="190721"/>
  </r>
  <r>
    <n v="10235"/>
    <n v="10"/>
    <d v="2014-04-17T00:00:00"/>
    <s v="DVD"/>
    <n v="103700"/>
    <s v="AB106916"/>
    <x v="10"/>
    <n v="393120"/>
  </r>
  <r>
    <n v="10176"/>
    <n v="5"/>
    <d v="2014-04-16T00:00:00"/>
    <s v="DVD"/>
    <n v="103700"/>
    <s v="AB106917"/>
    <x v="7"/>
    <n v="393120"/>
  </r>
  <r>
    <n v="10283"/>
    <n v="6"/>
    <d v="2014-04-16T00:00:00"/>
    <s v="DVD"/>
    <n v="103701"/>
    <s v="AB106919"/>
    <x v="6"/>
    <n v="245577"/>
  </r>
  <r>
    <n v="10208"/>
    <n v="8"/>
    <d v="2014-04-16T00:00:00"/>
    <s v="DVD"/>
    <n v="103701"/>
    <s v="AB106920"/>
    <x v="0"/>
    <n v="245577"/>
  </r>
  <r>
    <n v="10250"/>
    <n v="7"/>
    <d v="2014-04-16T00:00:00"/>
    <s v="DVD"/>
    <n v="103701"/>
    <s v="AB106921"/>
    <x v="3"/>
    <n v="245577"/>
  </r>
  <r>
    <n v="10101"/>
    <n v="4"/>
    <d v="2014-04-16T00:00:00"/>
    <s v="DVD"/>
    <n v="103703"/>
    <s v="AB106925"/>
    <x v="4"/>
    <n v="265707"/>
  </r>
  <r>
    <n v="10204"/>
    <n v="8"/>
    <d v="2014-04-17T00:00:00"/>
    <s v="DVD"/>
    <n v="103704"/>
    <s v="AB106928"/>
    <x v="7"/>
    <n v="404678"/>
  </r>
  <r>
    <n v="10211"/>
    <n v="2"/>
    <d v="2014-04-21T00:00:00"/>
    <s v="DVD"/>
    <n v="103705"/>
    <s v="AB106930"/>
    <x v="3"/>
    <n v="643305"/>
  </r>
  <r>
    <n v="10202"/>
    <n v="8"/>
    <d v="2014-04-21T00:00:00"/>
    <s v="DVD"/>
    <n v="103708"/>
    <s v="AB106934"/>
    <x v="0"/>
    <n v="507743"/>
  </r>
  <r>
    <n v="10238"/>
    <n v="4"/>
    <d v="2014-04-19T00:00:00"/>
    <s v="BLU-RAY"/>
    <n v="103709"/>
    <s v="AB106939"/>
    <x v="0"/>
    <n v="618955"/>
  </r>
  <r>
    <n v="10155"/>
    <n v="8"/>
    <d v="2014-04-18T00:00:00"/>
    <s v="DVD"/>
    <n v="103710"/>
    <s v="AB106941"/>
    <x v="9"/>
    <n v="929344"/>
  </r>
  <r>
    <n v="10215"/>
    <n v="9"/>
    <d v="2014-04-17T00:00:00"/>
    <s v="BLU-RAY"/>
    <n v="103711"/>
    <s v="AB106943"/>
    <x v="1"/>
    <n v="240205"/>
  </r>
  <r>
    <n v="10277"/>
    <n v="8"/>
    <d v="2014-04-18T00:00:00"/>
    <s v="DVD"/>
    <n v="103712"/>
    <s v="AB106945"/>
    <x v="7"/>
    <n v="911171"/>
  </r>
  <r>
    <n v="10235"/>
    <n v="3"/>
    <d v="2014-04-19T00:00:00"/>
    <s v="BLU-RAY"/>
    <n v="103712"/>
    <s v="AB106946"/>
    <x v="10"/>
    <n v="911171"/>
  </r>
  <r>
    <n v="10273"/>
    <n v="4"/>
    <d v="2014-04-21T00:00:00"/>
    <s v="DVD"/>
    <n v="103713"/>
    <s v="AB106949"/>
    <x v="4"/>
    <n v="547890"/>
  </r>
  <r>
    <n v="10203"/>
    <n v="3"/>
    <d v="2014-04-20T00:00:00"/>
    <s v="BLU-RAY"/>
    <n v="103716"/>
    <s v="AB106954"/>
    <x v="3"/>
    <n v="818287"/>
  </r>
  <r>
    <n v="10352"/>
    <n v="9"/>
    <d v="2014-04-18T00:00:00"/>
    <s v="DVD"/>
    <n v="103717"/>
    <s v="AB106955"/>
    <x v="0"/>
    <n v="908328"/>
  </r>
  <r>
    <n v="10286"/>
    <n v="6"/>
    <d v="2014-04-20T00:00:00"/>
    <s v="DVD"/>
    <n v="103719"/>
    <s v="AB106957"/>
    <x v="17"/>
    <n v="890497"/>
  </r>
  <r>
    <n v="10129"/>
    <n v="8"/>
    <d v="2014-04-19T00:00:00"/>
    <s v="DVD"/>
    <n v="103720"/>
    <s v="AB106959"/>
    <x v="0"/>
    <n v="441628"/>
  </r>
  <r>
    <n v="10223"/>
    <n v="4"/>
    <d v="2014-04-21T00:00:00"/>
    <s v="DVD"/>
    <n v="103721"/>
    <s v="AB106962"/>
    <x v="7"/>
    <n v="938417"/>
  </r>
  <r>
    <n v="10247"/>
    <n v="5"/>
    <d v="2014-04-19T00:00:00"/>
    <s v="BLU-RAY"/>
    <n v="103722"/>
    <s v="AB106964"/>
    <x v="9"/>
    <n v="585972"/>
  </r>
  <r>
    <n v="10123"/>
    <n v="6"/>
    <d v="2014-04-19T00:00:00"/>
    <s v="DVD"/>
    <n v="103723"/>
    <s v="AB106968"/>
    <x v="9"/>
    <n v="306475"/>
  </r>
  <r>
    <n v="10175"/>
    <n v="3"/>
    <d v="2014-04-21T00:00:00"/>
    <s v="DVD"/>
    <n v="103724"/>
    <s v="AB106969"/>
    <x v="3"/>
    <n v="765237"/>
  </r>
  <r>
    <n v="10238"/>
    <n v="6"/>
    <d v="2014-04-20T00:00:00"/>
    <s v="DVD"/>
    <n v="103725"/>
    <s v="AB106974"/>
    <x v="0"/>
    <n v="808421"/>
  </r>
  <r>
    <n v="10247"/>
    <n v="5"/>
    <d v="2014-04-21T00:00:00"/>
    <s v="BLU-RAY"/>
    <n v="103726"/>
    <s v="AB106976"/>
    <x v="9"/>
    <n v="266633"/>
  </r>
  <r>
    <n v="10272"/>
    <n v="5"/>
    <d v="2014-04-21T00:00:00"/>
    <s v="DVD"/>
    <n v="103726"/>
    <s v="AB106977"/>
    <x v="4"/>
    <n v="266633"/>
  </r>
  <r>
    <n v="10231"/>
    <n v="5"/>
    <d v="2014-04-21T00:00:00"/>
    <s v="DVD"/>
    <n v="103726"/>
    <s v="AB106978"/>
    <x v="7"/>
    <n v="266633"/>
  </r>
  <r>
    <n v="10140"/>
    <n v="4"/>
    <d v="2014-04-21T00:00:00"/>
    <s v="DVD"/>
    <n v="103726"/>
    <s v="AB106979"/>
    <x v="2"/>
    <n v="266633"/>
  </r>
  <r>
    <n v="10152"/>
    <n v="1"/>
    <d v="2014-04-21T00:00:00"/>
    <s v="DVD"/>
    <n v="103727"/>
    <s v="AB106981"/>
    <x v="16"/>
    <n v="357579"/>
  </r>
  <r>
    <n v="10173"/>
    <n v="6"/>
    <d v="2014-04-20T00:00:00"/>
    <s v="DVD"/>
    <n v="103728"/>
    <s v="AB106984"/>
    <x v="4"/>
    <n v="651462"/>
  </r>
  <r>
    <n v="10235"/>
    <n v="9"/>
    <d v="2014-04-20T00:00:00"/>
    <s v="BLU-RAY"/>
    <n v="103728"/>
    <s v="AB106985"/>
    <x v="10"/>
    <n v="651462"/>
  </r>
  <r>
    <n v="10292"/>
    <n v="2"/>
    <d v="2014-04-21T00:00:00"/>
    <s v="DVD"/>
    <n v="103728"/>
    <s v="AB106986"/>
    <x v="15"/>
    <n v="651462"/>
  </r>
  <r>
    <n v="10158"/>
    <n v="10"/>
    <d v="2014-04-22T00:00:00"/>
    <s v="DVD"/>
    <n v="103732"/>
    <s v="AB106989"/>
    <x v="0"/>
    <n v="667170"/>
  </r>
  <r>
    <n v="10298"/>
    <n v="8"/>
    <d v="2014-04-22T00:00:00"/>
    <s v="DVD"/>
    <n v="103732"/>
    <s v="AB106990"/>
    <x v="19"/>
    <n v="667170"/>
  </r>
  <r>
    <n v="10269"/>
    <n v="6"/>
    <d v="2014-04-22T00:00:00"/>
    <s v="DVD"/>
    <n v="103733"/>
    <s v="AB106991"/>
    <x v="3"/>
    <n v="970794"/>
  </r>
  <r>
    <n v="10193"/>
    <n v="2"/>
    <d v="2014-04-23T00:00:00"/>
    <s v="DVD"/>
    <n v="103734"/>
    <s v="AB106992"/>
    <x v="9"/>
    <n v="422951"/>
  </r>
  <r>
    <n v="10247"/>
    <n v="1"/>
    <d v="2014-04-21T00:00:00"/>
    <s v="DVD"/>
    <n v="103734"/>
    <s v="AB106993"/>
    <x v="9"/>
    <n v="422951"/>
  </r>
  <r>
    <n v="10261"/>
    <n v="8"/>
    <d v="2014-04-21T00:00:00"/>
    <s v="DVD"/>
    <n v="103734"/>
    <s v="AB106994"/>
    <x v="9"/>
    <n v="422951"/>
  </r>
  <r>
    <n v="10184"/>
    <n v="4"/>
    <d v="2014-04-23T00:00:00"/>
    <s v="BLU-RAY"/>
    <n v="103735"/>
    <s v="AB106996"/>
    <x v="7"/>
    <n v="643305"/>
  </r>
  <r>
    <n v="10164"/>
    <n v="4"/>
    <d v="2014-04-25T00:00:00"/>
    <s v="DVD"/>
    <n v="103736"/>
    <s v="AB106999"/>
    <x v="2"/>
    <n v="225489"/>
  </r>
  <r>
    <n v="10164"/>
    <n v="3"/>
    <d v="2014-04-23T00:00:00"/>
    <s v="DVD"/>
    <n v="103739"/>
    <s v="AB107005"/>
    <x v="2"/>
    <n v="756769"/>
  </r>
  <r>
    <n v="10283"/>
    <n v="5"/>
    <d v="2014-04-22T00:00:00"/>
    <s v="DVD"/>
    <n v="103741"/>
    <s v="AB107010"/>
    <x v="6"/>
    <n v="127472"/>
  </r>
  <r>
    <n v="10286"/>
    <n v="7"/>
    <d v="2014-04-22T00:00:00"/>
    <s v="DVD"/>
    <n v="103742"/>
    <s v="AB107011"/>
    <x v="17"/>
    <n v="422717"/>
  </r>
  <r>
    <n v="10098"/>
    <n v="10"/>
    <d v="2014-04-22T00:00:00"/>
    <s v="BLU-RAY"/>
    <n v="103744"/>
    <s v="AB107014"/>
    <x v="0"/>
    <n v="456457"/>
  </r>
  <r>
    <n v="10248"/>
    <n v="6"/>
    <d v="2014-04-23T00:00:00"/>
    <s v="DVD"/>
    <n v="103747"/>
    <s v="AB107018"/>
    <x v="12"/>
    <n v="676155"/>
  </r>
  <r>
    <n v="10037"/>
    <n v="10"/>
    <d v="2014-04-25T00:00:00"/>
    <s v="DVD"/>
    <n v="103748"/>
    <s v="AB107019"/>
    <x v="3"/>
    <n v="296353"/>
  </r>
  <r>
    <n v="10230"/>
    <n v="4"/>
    <d v="2014-04-27T00:00:00"/>
    <s v="DVD"/>
    <n v="103750"/>
    <s v="AB107024"/>
    <x v="14"/>
    <n v="393120"/>
  </r>
  <r>
    <n v="10280"/>
    <n v="10"/>
    <d v="2014-04-24T00:00:00"/>
    <s v="DVD"/>
    <n v="103750"/>
    <s v="AB107025"/>
    <x v="7"/>
    <n v="393120"/>
  </r>
  <r>
    <n v="10169"/>
    <n v="1"/>
    <d v="2014-04-26T00:00:00"/>
    <s v="DVD"/>
    <n v="103751"/>
    <s v="AB107026"/>
    <x v="0"/>
    <n v="999915"/>
  </r>
  <r>
    <n v="10352"/>
    <n v="2"/>
    <d v="2014-04-23T00:00:00"/>
    <s v="DVD"/>
    <n v="103752"/>
    <s v="AB107029"/>
    <x v="0"/>
    <n v="908768"/>
  </r>
  <r>
    <n v="10216"/>
    <n v="10"/>
    <d v="2014-04-24T00:00:00"/>
    <s v="DVD"/>
    <n v="103752"/>
    <s v="AB107030"/>
    <x v="4"/>
    <n v="908768"/>
  </r>
  <r>
    <n v="10244"/>
    <n v="2"/>
    <d v="2014-04-23T00:00:00"/>
    <s v="DVD"/>
    <n v="103754"/>
    <s v="AB107033"/>
    <x v="4"/>
    <n v="549823"/>
  </r>
  <r>
    <n v="10166"/>
    <n v="6"/>
    <d v="2014-04-25T00:00:00"/>
    <s v="DVD"/>
    <n v="103756"/>
    <s v="AB107035"/>
    <x v="9"/>
    <n v="343021"/>
  </r>
  <r>
    <n v="10264"/>
    <n v="4"/>
    <d v="2014-04-24T00:00:00"/>
    <s v="DVD"/>
    <n v="103756"/>
    <s v="AB107036"/>
    <x v="2"/>
    <n v="343021"/>
  </r>
  <r>
    <n v="10139"/>
    <n v="9"/>
    <d v="2014-04-30T00:00:00"/>
    <s v="DVD"/>
    <n v="103760"/>
    <s v="AB107041"/>
    <x v="14"/>
    <n v="921901"/>
  </r>
  <r>
    <n v="10169"/>
    <n v="8"/>
    <d v="2014-04-24T00:00:00"/>
    <s v="DVD"/>
    <n v="103761"/>
    <s v="AB107044"/>
    <x v="0"/>
    <n v="568217"/>
  </r>
  <r>
    <n v="10126"/>
    <n v="8"/>
    <d v="2014-05-02T00:00:00"/>
    <s v="DVD"/>
    <n v="103762"/>
    <s v="AB107046"/>
    <x v="9"/>
    <n v="403000"/>
  </r>
  <r>
    <n v="10266"/>
    <n v="5"/>
    <d v="2014-04-26T00:00:00"/>
    <s v="DVD"/>
    <n v="103765"/>
    <s v="AB107051"/>
    <x v="4"/>
    <n v="972329"/>
  </r>
  <r>
    <n v="10123"/>
    <n v="1"/>
    <d v="2014-04-25T00:00:00"/>
    <s v="DVD"/>
    <n v="103765"/>
    <s v="AB107052"/>
    <x v="9"/>
    <n v="972329"/>
  </r>
  <r>
    <n v="10174"/>
    <n v="10"/>
    <d v="2014-04-27T00:00:00"/>
    <s v="DVD"/>
    <n v="103766"/>
    <s v="AB107055"/>
    <x v="7"/>
    <n v="384899"/>
  </r>
  <r>
    <n v="10202"/>
    <n v="7"/>
    <d v="2014-04-26T00:00:00"/>
    <s v="DVD"/>
    <n v="103770"/>
    <s v="AB107064"/>
    <x v="0"/>
    <n v="170500"/>
  </r>
  <r>
    <n v="10199"/>
    <n v="1"/>
    <d v="2014-04-27T00:00:00"/>
    <s v="DVD"/>
    <n v="103770"/>
    <s v="AB107067"/>
    <x v="10"/>
    <n v="170500"/>
  </r>
  <r>
    <n v="10097"/>
    <n v="10"/>
    <d v="2014-04-27T00:00:00"/>
    <s v="DVD"/>
    <n v="103773"/>
    <s v="AB107071"/>
    <x v="8"/>
    <n v="422717"/>
  </r>
  <r>
    <n v="10141"/>
    <n v="10"/>
    <d v="2014-04-28T00:00:00"/>
    <s v="DVD"/>
    <n v="103774"/>
    <s v="AB107072"/>
    <x v="0"/>
    <n v="559688"/>
  </r>
  <r>
    <n v="10201"/>
    <n v="5"/>
    <d v="2014-04-26T00:00:00"/>
    <s v="DVD"/>
    <n v="103774"/>
    <s v="AB107073"/>
    <x v="8"/>
    <n v="559688"/>
  </r>
  <r>
    <n v="10250"/>
    <n v="9"/>
    <d v="2014-04-26T00:00:00"/>
    <s v="BLU-RAY"/>
    <n v="103774"/>
    <s v="AB107074"/>
    <x v="3"/>
    <n v="559688"/>
  </r>
  <r>
    <n v="10148"/>
    <n v="1"/>
    <d v="2014-04-28T00:00:00"/>
    <s v="BLU-RAY"/>
    <n v="103778"/>
    <s v="AB107080"/>
    <x v="1"/>
    <n v="409910"/>
  </r>
  <r>
    <n v="10146"/>
    <n v="2"/>
    <d v="2014-04-28T00:00:00"/>
    <s v="DVD"/>
    <n v="103778"/>
    <s v="AB107081"/>
    <x v="4"/>
    <n v="409910"/>
  </r>
  <r>
    <n v="10257"/>
    <n v="9"/>
    <d v="2014-04-28T00:00:00"/>
    <s v="DVD"/>
    <n v="103781"/>
    <s v="AB107087"/>
    <x v="9"/>
    <n v="678940"/>
  </r>
  <r>
    <n v="10102"/>
    <n v="10"/>
    <d v="2014-04-28T00:00:00"/>
    <s v="DVD"/>
    <n v="103782"/>
    <s v="AB107090"/>
    <x v="7"/>
    <n v="885548"/>
  </r>
  <r>
    <n v="10167"/>
    <n v="2"/>
    <d v="2014-04-29T00:00:00"/>
    <s v="BLU-RAY"/>
    <n v="103784"/>
    <s v="AB107097"/>
    <x v="7"/>
    <n v="994056"/>
  </r>
  <r>
    <n v="10051"/>
    <n v="5"/>
    <d v="2014-04-30T00:00:00"/>
    <s v="BLU-RAY"/>
    <n v="103785"/>
    <s v="AB107098"/>
    <x v="1"/>
    <n v="235720"/>
  </r>
  <r>
    <n v="10133"/>
    <n v="5"/>
    <d v="2014-04-29T00:00:00"/>
    <s v="DVD"/>
    <n v="103785"/>
    <s v="AB107099"/>
    <x v="9"/>
    <n v="235720"/>
  </r>
  <r>
    <n v="10092"/>
    <n v="4"/>
    <d v="2014-04-29T00:00:00"/>
    <s v="DVD"/>
    <n v="103785"/>
    <s v="AB107100"/>
    <x v="0"/>
    <n v="235720"/>
  </r>
  <r>
    <n v="10196"/>
    <n v="4"/>
    <d v="2014-04-28T00:00:00"/>
    <s v="BLU-RAY"/>
    <n v="103791"/>
    <s v="AB107106"/>
    <x v="9"/>
    <n v="976778"/>
  </r>
  <r>
    <n v="10181"/>
    <n v="8"/>
    <d v="2014-04-29T00:00:00"/>
    <s v="DVD"/>
    <n v="103791"/>
    <s v="AB107107"/>
    <x v="9"/>
    <n v="976778"/>
  </r>
  <r>
    <n v="10198"/>
    <n v="6"/>
    <d v="2014-04-29T00:00:00"/>
    <s v="DVD"/>
    <n v="103792"/>
    <s v="AB107109"/>
    <x v="9"/>
    <n v="714947"/>
  </r>
  <r>
    <n v="10040"/>
    <n v="9"/>
    <d v="2014-05-01T00:00:00"/>
    <s v="BLU-RAY"/>
    <n v="103793"/>
    <s v="AB107110"/>
    <x v="7"/>
    <n v="992895"/>
  </r>
  <r>
    <n v="10200"/>
    <n v="3"/>
    <d v="2014-05-01T00:00:00"/>
    <s v="DVD"/>
    <n v="103794"/>
    <s v="AB107111"/>
    <x v="9"/>
    <n v="414509"/>
  </r>
  <r>
    <n v="10234"/>
    <n v="8"/>
    <d v="2014-04-29T00:00:00"/>
    <s v="DVD"/>
    <n v="103794"/>
    <s v="AB107112"/>
    <x v="0"/>
    <n v="414509"/>
  </r>
  <r>
    <n v="10101"/>
    <n v="6"/>
    <d v="2014-04-30T00:00:00"/>
    <s v="DVD"/>
    <n v="103795"/>
    <s v="AB107113"/>
    <x v="4"/>
    <n v="880238"/>
  </r>
  <r>
    <n v="10228"/>
    <n v="10"/>
    <d v="2014-04-29T00:00:00"/>
    <s v="DVD"/>
    <n v="103795"/>
    <s v="AB107115"/>
    <x v="7"/>
    <n v="880238"/>
  </r>
  <r>
    <n v="10297"/>
    <n v="1"/>
    <d v="2014-05-01T00:00:00"/>
    <s v="DVD"/>
    <n v="103799"/>
    <s v="AB107120"/>
    <x v="14"/>
    <n v="646700"/>
  </r>
  <r>
    <n v="10256"/>
    <n v="10"/>
    <d v="2014-04-30T00:00:00"/>
    <s v="DVD"/>
    <n v="103802"/>
    <s v="AB107126"/>
    <x v="9"/>
    <n v="380003"/>
  </r>
  <r>
    <n v="10207"/>
    <n v="1"/>
    <d v="2014-04-30T00:00:00"/>
    <s v="BLU-RAY"/>
    <n v="103803"/>
    <s v="AB107129"/>
    <x v="1"/>
    <n v="676018"/>
  </r>
  <r>
    <n v="10105"/>
    <n v="3"/>
    <d v="2014-05-02T00:00:00"/>
    <s v="DVD"/>
    <n v="103803"/>
    <s v="AB107130"/>
    <x v="2"/>
    <n v="676018"/>
  </r>
  <r>
    <n v="10292"/>
    <n v="3"/>
    <d v="2014-04-30T00:00:00"/>
    <s v="BLU-RAY"/>
    <n v="103805"/>
    <s v="AB107133"/>
    <x v="15"/>
    <n v="742620"/>
  </r>
  <r>
    <n v="10276"/>
    <n v="8"/>
    <d v="2014-04-30T00:00:00"/>
    <s v="DVD"/>
    <n v="103805"/>
    <s v="AB107135"/>
    <x v="16"/>
    <n v="742620"/>
  </r>
  <r>
    <n v="10143"/>
    <n v="1"/>
    <d v="2014-05-02T00:00:00"/>
    <s v="DVD"/>
    <n v="103807"/>
    <s v="AB107141"/>
    <x v="3"/>
    <n v="730305"/>
  </r>
  <r>
    <n v="10211"/>
    <n v="5"/>
    <d v="2014-05-02T00:00:00"/>
    <s v="DVD"/>
    <n v="103810"/>
    <s v="AB107144"/>
    <x v="3"/>
    <n v="892883"/>
  </r>
  <r>
    <n v="10253"/>
    <n v="8"/>
    <d v="2014-05-01T00:00:00"/>
    <s v="BLU-RAY"/>
    <n v="103810"/>
    <s v="AB107145"/>
    <x v="3"/>
    <n v="892883"/>
  </r>
  <r>
    <n v="10279"/>
    <n v="5"/>
    <d v="2014-05-02T00:00:00"/>
    <s v="BLU-RAY"/>
    <n v="103812"/>
    <s v="AB107151"/>
    <x v="8"/>
    <n v="194680"/>
  </r>
  <r>
    <n v="10247"/>
    <n v="3"/>
    <d v="2014-05-02T00:00:00"/>
    <s v="DVD"/>
    <n v="103814"/>
    <s v="AB107155"/>
    <x v="9"/>
    <n v="846558"/>
  </r>
  <r>
    <n v="10266"/>
    <n v="7"/>
    <d v="2014-05-04T00:00:00"/>
    <s v="DVD"/>
    <n v="103816"/>
    <s v="AB107161"/>
    <x v="4"/>
    <n v="482274"/>
  </r>
  <r>
    <n v="10153"/>
    <n v="7"/>
    <d v="2014-05-02T00:00:00"/>
    <s v="DVD"/>
    <n v="103818"/>
    <s v="AB107165"/>
    <x v="10"/>
    <n v="441628"/>
  </r>
  <r>
    <n v="10104"/>
    <n v="2"/>
    <d v="2014-05-02T00:00:00"/>
    <s v="BLU-RAY"/>
    <n v="103819"/>
    <s v="AB107166"/>
    <x v="7"/>
    <n v="789065"/>
  </r>
  <r>
    <n v="10292"/>
    <n v="1"/>
    <d v="2014-05-02T00:00:00"/>
    <s v="DVD"/>
    <n v="103820"/>
    <s v="AB107171"/>
    <x v="15"/>
    <n v="101811"/>
  </r>
  <r>
    <n v="10223"/>
    <n v="2"/>
    <d v="2014-05-06T00:00:00"/>
    <s v="DVD"/>
    <n v="103821"/>
    <s v="AB107173"/>
    <x v="7"/>
    <n v="808421"/>
  </r>
  <r>
    <n v="10167"/>
    <n v="3"/>
    <d v="2014-05-05T00:00:00"/>
    <s v="BLU-RAY"/>
    <n v="103821"/>
    <s v="AB107174"/>
    <x v="7"/>
    <n v="808421"/>
  </r>
  <r>
    <n v="10236"/>
    <n v="1"/>
    <d v="2014-05-04T00:00:00"/>
    <s v="DVD"/>
    <n v="103822"/>
    <s v="AB107177"/>
    <x v="10"/>
    <n v="728908"/>
  </r>
  <r>
    <n v="10158"/>
    <n v="10"/>
    <d v="2014-05-03T00:00:00"/>
    <s v="DVD"/>
    <n v="103824"/>
    <s v="AB107179"/>
    <x v="0"/>
    <n v="670707"/>
  </r>
  <r>
    <n v="10136"/>
    <n v="9"/>
    <d v="2014-05-05T00:00:00"/>
    <s v="DVD"/>
    <n v="103824"/>
    <s v="AB107180"/>
    <x v="2"/>
    <n v="670707"/>
  </r>
  <r>
    <n v="10265"/>
    <n v="10"/>
    <d v="2014-05-03T00:00:00"/>
    <s v="DVD"/>
    <n v="103824"/>
    <s v="AB107181"/>
    <x v="0"/>
    <n v="670707"/>
  </r>
  <r>
    <n v="10278"/>
    <n v="6"/>
    <d v="2014-05-05T00:00:00"/>
    <s v="DVD"/>
    <n v="103825"/>
    <s v="AB107182"/>
    <x v="7"/>
    <n v="556152"/>
  </r>
  <r>
    <n v="10166"/>
    <n v="2"/>
    <d v="2014-05-03T00:00:00"/>
    <s v="DVD"/>
    <n v="103825"/>
    <s v="AB107184"/>
    <x v="9"/>
    <n v="556152"/>
  </r>
  <r>
    <n v="10376"/>
    <n v="7"/>
    <d v="2014-05-03T00:00:00"/>
    <s v="DVD"/>
    <n v="103827"/>
    <s v="AB107187"/>
    <x v="12"/>
    <n v="785444"/>
  </r>
  <r>
    <n v="10158"/>
    <n v="7"/>
    <d v="2014-05-03T00:00:00"/>
    <s v="DVD"/>
    <n v="103827"/>
    <s v="AB107188"/>
    <x v="0"/>
    <n v="785444"/>
  </r>
  <r>
    <n v="10197"/>
    <n v="6"/>
    <d v="2014-05-06T00:00:00"/>
    <s v="DVD"/>
    <n v="103829"/>
    <s v="AB107191"/>
    <x v="0"/>
    <n v="785444"/>
  </r>
  <r>
    <n v="10079"/>
    <n v="9"/>
    <d v="2014-05-04T00:00:00"/>
    <s v="BLU-RAY"/>
    <n v="103831"/>
    <s v="AB107195"/>
    <x v="0"/>
    <n v="707458"/>
  </r>
  <r>
    <n v="10148"/>
    <n v="6"/>
    <d v="2014-05-04T00:00:00"/>
    <s v="DVD"/>
    <n v="103832"/>
    <s v="AB107198"/>
    <x v="1"/>
    <n v="297686"/>
  </r>
  <r>
    <n v="10097"/>
    <n v="8"/>
    <d v="2014-05-05T00:00:00"/>
    <s v="DVD"/>
    <n v="103832"/>
    <s v="AB107199"/>
    <x v="8"/>
    <n v="297686"/>
  </r>
  <r>
    <n v="10266"/>
    <n v="5"/>
    <d v="2014-05-05T00:00:00"/>
    <s v="DVD"/>
    <n v="103834"/>
    <s v="AB107202"/>
    <x v="4"/>
    <n v="500828"/>
  </r>
  <r>
    <n v="10274"/>
    <n v="1"/>
    <d v="2014-05-07T00:00:00"/>
    <s v="BLU-RAY"/>
    <n v="103834"/>
    <s v="AB107203"/>
    <x v="9"/>
    <n v="500828"/>
  </r>
  <r>
    <n v="10273"/>
    <n v="6"/>
    <d v="2014-05-05T00:00:00"/>
    <s v="DVD"/>
    <n v="103835"/>
    <s v="AB107205"/>
    <x v="4"/>
    <n v="789500"/>
  </r>
  <r>
    <n v="10230"/>
    <n v="1"/>
    <d v="2014-05-05T00:00:00"/>
    <s v="DVD"/>
    <n v="103837"/>
    <s v="AB107206"/>
    <x v="14"/>
    <n v="657736"/>
  </r>
  <r>
    <n v="10168"/>
    <n v="10"/>
    <d v="2014-05-06T00:00:00"/>
    <s v="DVD"/>
    <n v="103838"/>
    <s v="AB107208"/>
    <x v="1"/>
    <n v="420981"/>
  </r>
  <r>
    <n v="10230"/>
    <n v="2"/>
    <d v="2014-05-10T00:00:00"/>
    <s v="DVD"/>
    <n v="103838"/>
    <s v="AB107209"/>
    <x v="14"/>
    <n v="420981"/>
  </r>
  <r>
    <n v="10181"/>
    <n v="1"/>
    <d v="2014-05-05T00:00:00"/>
    <s v="BLU-RAY"/>
    <n v="103839"/>
    <s v="AB107210"/>
    <x v="9"/>
    <n v="814512"/>
  </r>
  <r>
    <n v="10293"/>
    <n v="6"/>
    <d v="2014-05-05T00:00:00"/>
    <s v="DVD"/>
    <n v="103840"/>
    <s v="AB107211"/>
    <x v="12"/>
    <n v="757780"/>
  </r>
  <r>
    <n v="10279"/>
    <n v="4"/>
    <d v="2014-05-05T00:00:00"/>
    <s v="DVD"/>
    <n v="103842"/>
    <s v="AB107213"/>
    <x v="8"/>
    <n v="194680"/>
  </r>
  <r>
    <n v="10287"/>
    <n v="3"/>
    <d v="2014-05-05T00:00:00"/>
    <s v="DVD"/>
    <n v="103842"/>
    <s v="AB107216"/>
    <x v="10"/>
    <n v="194680"/>
  </r>
  <r>
    <n v="10226"/>
    <n v="4"/>
    <d v="2014-05-06T00:00:00"/>
    <s v="DVD"/>
    <n v="103844"/>
    <s v="AB107217"/>
    <x v="4"/>
    <n v="567719"/>
  </r>
  <r>
    <n v="10241"/>
    <n v="8"/>
    <d v="2014-05-07T00:00:00"/>
    <s v="DVD"/>
    <n v="103845"/>
    <s v="AB107218"/>
    <x v="0"/>
    <n v="806545"/>
  </r>
  <r>
    <n v="10207"/>
    <n v="5"/>
    <d v="2014-05-06T00:00:00"/>
    <s v="DVD"/>
    <n v="103845"/>
    <s v="AB107219"/>
    <x v="1"/>
    <n v="806545"/>
  </r>
  <r>
    <n v="10214"/>
    <n v="5"/>
    <d v="2014-05-07T00:00:00"/>
    <s v="DVD"/>
    <n v="103846"/>
    <s v="AB107220"/>
    <x v="13"/>
    <n v="664411"/>
  </r>
  <r>
    <n v="10125"/>
    <n v="5"/>
    <d v="2014-05-09T00:00:00"/>
    <s v="DVD"/>
    <n v="103846"/>
    <s v="AB107221"/>
    <x v="9"/>
    <n v="664411"/>
  </r>
  <r>
    <n v="10191"/>
    <n v="4"/>
    <d v="2014-05-06T00:00:00"/>
    <s v="DVD"/>
    <n v="103847"/>
    <s v="AB107222"/>
    <x v="7"/>
    <n v="108708"/>
  </r>
  <r>
    <n v="10239"/>
    <n v="4"/>
    <d v="2014-05-07T00:00:00"/>
    <s v="DVD"/>
    <n v="103847"/>
    <s v="AB107223"/>
    <x v="2"/>
    <n v="108708"/>
  </r>
  <r>
    <n v="10079"/>
    <n v="4"/>
    <d v="2014-05-06T00:00:00"/>
    <s v="DVD"/>
    <n v="103849"/>
    <s v="AB107226"/>
    <x v="0"/>
    <n v="938006"/>
  </r>
  <r>
    <n v="10182"/>
    <n v="9"/>
    <d v="2014-05-08T00:00:00"/>
    <s v="DVD"/>
    <n v="103850"/>
    <s v="AB107228"/>
    <x v="0"/>
    <n v="781968"/>
  </r>
  <r>
    <n v="10160"/>
    <n v="1"/>
    <d v="2014-05-06T00:00:00"/>
    <s v="DVD"/>
    <n v="103850"/>
    <s v="AB107229"/>
    <x v="10"/>
    <n v="781968"/>
  </r>
  <r>
    <n v="10079"/>
    <n v="7"/>
    <d v="2014-05-07T00:00:00"/>
    <s v="DVD"/>
    <n v="103851"/>
    <s v="AB107230"/>
    <x v="0"/>
    <n v="926144"/>
  </r>
  <r>
    <n v="10106"/>
    <n v="5"/>
    <d v="2014-05-07T00:00:00"/>
    <s v="DVD"/>
    <n v="103851"/>
    <s v="AB107231"/>
    <x v="9"/>
    <n v="926144"/>
  </r>
  <r>
    <n v="10251"/>
    <n v="2"/>
    <d v="2014-05-07T00:00:00"/>
    <s v="DVD"/>
    <n v="103852"/>
    <s v="AB107233"/>
    <x v="7"/>
    <n v="296353"/>
  </r>
  <r>
    <n v="10204"/>
    <n v="7"/>
    <d v="2014-05-10T00:00:00"/>
    <s v="DVD"/>
    <n v="103852"/>
    <s v="AB107234"/>
    <x v="7"/>
    <n v="296353"/>
  </r>
  <r>
    <n v="10056"/>
    <n v="8"/>
    <d v="2014-05-07T00:00:00"/>
    <s v="BLU-RAY"/>
    <n v="103852"/>
    <s v="AB107235"/>
    <x v="8"/>
    <n v="296353"/>
  </r>
  <r>
    <n v="10066"/>
    <n v="10"/>
    <d v="2014-05-08T00:00:00"/>
    <s v="BLU-RAY"/>
    <n v="103855"/>
    <s v="AB107238"/>
    <x v="3"/>
    <n v="789500"/>
  </r>
  <r>
    <n v="10296"/>
    <n v="1"/>
    <d v="2014-05-07T00:00:00"/>
    <s v="DVD"/>
    <n v="103855"/>
    <s v="AB107239"/>
    <x v="21"/>
    <n v="789500"/>
  </r>
  <r>
    <n v="10199"/>
    <n v="8"/>
    <d v="2014-05-09T00:00:00"/>
    <s v="DVD"/>
    <n v="103856"/>
    <s v="AB107241"/>
    <x v="10"/>
    <n v="891738"/>
  </r>
  <r>
    <n v="10288"/>
    <n v="3"/>
    <d v="2014-05-07T00:00:00"/>
    <s v="DVD"/>
    <n v="103857"/>
    <s v="AB107242"/>
    <x v="12"/>
    <n v="192738"/>
  </r>
  <r>
    <n v="10292"/>
    <n v="9"/>
    <d v="2014-05-07T00:00:00"/>
    <s v="DVD"/>
    <n v="103857"/>
    <s v="AB107243"/>
    <x v="15"/>
    <n v="192738"/>
  </r>
  <r>
    <n v="10352"/>
    <n v="5"/>
    <d v="2014-05-10T00:00:00"/>
    <s v="DVD"/>
    <n v="103859"/>
    <s v="AB107246"/>
    <x v="0"/>
    <n v="166135"/>
  </r>
  <r>
    <n v="10285"/>
    <n v="10"/>
    <d v="2014-05-09T00:00:00"/>
    <s v="DVD"/>
    <n v="103860"/>
    <s v="AB107248"/>
    <x v="20"/>
    <n v="924361"/>
  </r>
  <r>
    <n v="10060"/>
    <n v="4"/>
    <d v="2014-05-09T00:00:00"/>
    <s v="BLU-RAY"/>
    <n v="103861"/>
    <s v="AB107251"/>
    <x v="0"/>
    <n v="741514"/>
  </r>
  <r>
    <n v="10288"/>
    <n v="4"/>
    <d v="2014-05-08T00:00:00"/>
    <s v="DVD"/>
    <n v="103862"/>
    <s v="AB107253"/>
    <x v="12"/>
    <n v="516619"/>
  </r>
  <r>
    <n v="10117"/>
    <n v="2"/>
    <d v="2014-05-09T00:00:00"/>
    <s v="DVD"/>
    <n v="103864"/>
    <s v="AB107255"/>
    <x v="4"/>
    <n v="664934"/>
  </r>
  <r>
    <n v="10168"/>
    <n v="2"/>
    <d v="2014-05-10T00:00:00"/>
    <s v="DVD"/>
    <n v="103864"/>
    <s v="AB107256"/>
    <x v="1"/>
    <n v="664934"/>
  </r>
  <r>
    <n v="10237"/>
    <n v="7"/>
    <d v="2014-05-09T00:00:00"/>
    <s v="DVD"/>
    <n v="103864"/>
    <s v="AB107257"/>
    <x v="0"/>
    <n v="664934"/>
  </r>
  <r>
    <n v="10071"/>
    <n v="3"/>
    <d v="2014-05-11T00:00:00"/>
    <s v="DVD"/>
    <n v="103866"/>
    <s v="AB107260"/>
    <x v="1"/>
    <n v="747066"/>
  </r>
  <r>
    <n v="10044"/>
    <n v="1"/>
    <d v="2014-05-10T00:00:00"/>
    <s v="DVD"/>
    <n v="103873"/>
    <s v="AB107270"/>
    <x v="3"/>
    <n v="746134"/>
  </r>
  <r>
    <n v="10151"/>
    <n v="6"/>
    <d v="2014-05-12T00:00:00"/>
    <s v="DVD"/>
    <n v="103874"/>
    <s v="AB107271"/>
    <x v="8"/>
    <n v="158310"/>
  </r>
  <r>
    <n v="10297"/>
    <n v="9"/>
    <d v="2014-05-10T00:00:00"/>
    <s v="DVD"/>
    <n v="103875"/>
    <s v="AB107272"/>
    <x v="14"/>
    <n v="498970"/>
  </r>
  <r>
    <n v="10174"/>
    <n v="3"/>
    <d v="2014-05-10T00:00:00"/>
    <s v="DVD"/>
    <n v="103875"/>
    <s v="AB107273"/>
    <x v="7"/>
    <n v="498970"/>
  </r>
  <r>
    <n v="10141"/>
    <n v="10"/>
    <d v="2014-05-11T00:00:00"/>
    <s v="DVD"/>
    <n v="103876"/>
    <s v="AB107277"/>
    <x v="0"/>
    <n v="739669"/>
  </r>
  <r>
    <n v="10111"/>
    <n v="1"/>
    <d v="2014-05-11T00:00:00"/>
    <s v="DVD"/>
    <n v="103877"/>
    <s v="AB107279"/>
    <x v="9"/>
    <n v="808421"/>
  </r>
  <r>
    <n v="10211"/>
    <n v="9"/>
    <d v="2014-05-10T00:00:00"/>
    <s v="BLU-RAY"/>
    <n v="103877"/>
    <s v="AB107280"/>
    <x v="3"/>
    <n v="808421"/>
  </r>
  <r>
    <n v="10278"/>
    <n v="10"/>
    <d v="2014-05-13T00:00:00"/>
    <s v="DVD"/>
    <n v="103878"/>
    <s v="AB107281"/>
    <x v="7"/>
    <n v="724700"/>
  </r>
  <r>
    <n v="10117"/>
    <n v="3"/>
    <d v="2014-05-13T00:00:00"/>
    <s v="BLU-RAY"/>
    <n v="103878"/>
    <s v="AB107282"/>
    <x v="4"/>
    <n v="724700"/>
  </r>
  <r>
    <n v="10246"/>
    <n v="3"/>
    <d v="2014-05-14T00:00:00"/>
    <s v="DVD"/>
    <n v="103880"/>
    <s v="AB107286"/>
    <x v="2"/>
    <n v="319387"/>
  </r>
  <r>
    <n v="10289"/>
    <n v="6"/>
    <d v="2014-05-11T00:00:00"/>
    <s v="DVD"/>
    <n v="103881"/>
    <s v="AB107288"/>
    <x v="11"/>
    <n v="744780"/>
  </r>
  <r>
    <n v="10136"/>
    <n v="6"/>
    <d v="2014-05-11T00:00:00"/>
    <s v="DVD"/>
    <n v="103883"/>
    <s v="AB107291"/>
    <x v="2"/>
    <n v="775449"/>
  </r>
  <r>
    <n v="10286"/>
    <n v="7"/>
    <d v="2014-05-14T00:00:00"/>
    <s v="DVD"/>
    <n v="103883"/>
    <s v="AB107292"/>
    <x v="17"/>
    <n v="775449"/>
  </r>
  <r>
    <n v="10166"/>
    <n v="10"/>
    <d v="2014-05-11T00:00:00"/>
    <s v="DVD"/>
    <n v="103884"/>
    <s v="AB107293"/>
    <x v="9"/>
    <n v="810369"/>
  </r>
  <r>
    <n v="10243"/>
    <n v="2"/>
    <d v="2014-05-11T00:00:00"/>
    <s v="DVD"/>
    <n v="103884"/>
    <s v="AB107295"/>
    <x v="9"/>
    <n v="810369"/>
  </r>
  <r>
    <n v="10172"/>
    <n v="9"/>
    <d v="2014-05-14T00:00:00"/>
    <s v="DVD"/>
    <n v="103887"/>
    <s v="AB107298"/>
    <x v="10"/>
    <n v="358901"/>
  </r>
  <r>
    <n v="10227"/>
    <n v="3"/>
    <d v="2014-05-14T00:00:00"/>
    <s v="DVD"/>
    <n v="103887"/>
    <s v="AB107300"/>
    <x v="14"/>
    <n v="358901"/>
  </r>
  <r>
    <n v="10138"/>
    <n v="6"/>
    <d v="2014-05-12T00:00:00"/>
    <s v="DVD"/>
    <n v="103889"/>
    <s v="AB107306"/>
    <x v="7"/>
    <n v="958321"/>
  </r>
  <r>
    <n v="10127"/>
    <n v="3"/>
    <d v="2014-05-12T00:00:00"/>
    <s v="DVD"/>
    <n v="103890"/>
    <s v="AB107307"/>
    <x v="6"/>
    <n v="656512"/>
  </r>
  <r>
    <n v="10095"/>
    <n v="8"/>
    <d v="2014-05-13T00:00:00"/>
    <s v="DVD"/>
    <n v="103890"/>
    <s v="AB107309"/>
    <x v="2"/>
    <n v="656512"/>
  </r>
  <r>
    <n v="10253"/>
    <n v="6"/>
    <d v="2014-05-12T00:00:00"/>
    <s v="DVD"/>
    <n v="103891"/>
    <s v="AB107310"/>
    <x v="3"/>
    <n v="500350"/>
  </r>
  <r>
    <n v="10169"/>
    <n v="5"/>
    <d v="2014-05-12T00:00:00"/>
    <s v="DVD"/>
    <n v="103891"/>
    <s v="AB107311"/>
    <x v="0"/>
    <n v="500350"/>
  </r>
  <r>
    <n v="10291"/>
    <n v="9"/>
    <d v="2014-05-12T00:00:00"/>
    <s v="DVD"/>
    <n v="103892"/>
    <s v="AB107314"/>
    <x v="0"/>
    <n v="227456"/>
  </r>
  <r>
    <n v="10065"/>
    <n v="4"/>
    <d v="2014-05-13T00:00:00"/>
    <s v="DVD"/>
    <n v="103893"/>
    <s v="AB107316"/>
    <x v="0"/>
    <n v="520196"/>
  </r>
  <r>
    <n v="10284"/>
    <n v="10"/>
    <d v="2014-05-19T00:00:00"/>
    <s v="DVD"/>
    <n v="103896"/>
    <s v="AB107323"/>
    <x v="14"/>
    <n v="378374"/>
  </r>
  <r>
    <n v="10229"/>
    <n v="7"/>
    <d v="2014-05-13T00:00:00"/>
    <s v="DVD"/>
    <n v="103897"/>
    <s v="AB107324"/>
    <x v="6"/>
    <n v="832914"/>
  </r>
  <r>
    <n v="10172"/>
    <n v="9"/>
    <d v="2014-05-14T00:00:00"/>
    <s v="DVD"/>
    <n v="103898"/>
    <s v="AB107325"/>
    <x v="10"/>
    <n v="242720"/>
  </r>
  <r>
    <n v="10106"/>
    <n v="8"/>
    <d v="2014-05-14T00:00:00"/>
    <s v="DVD"/>
    <n v="103902"/>
    <s v="AB107331"/>
    <x v="9"/>
    <n v="846558"/>
  </r>
  <r>
    <n v="10128"/>
    <n v="8"/>
    <d v="2014-05-16T00:00:00"/>
    <s v="BLU-RAY"/>
    <n v="103903"/>
    <s v="AB107333"/>
    <x v="6"/>
    <n v="567719"/>
  </r>
  <r>
    <n v="10235"/>
    <n v="5"/>
    <d v="2014-05-15T00:00:00"/>
    <s v="DVD"/>
    <n v="103904"/>
    <s v="AB107335"/>
    <x v="10"/>
    <n v="841141"/>
  </r>
  <r>
    <n v="10286"/>
    <n v="7"/>
    <d v="2014-05-14T00:00:00"/>
    <s v="DVD"/>
    <n v="103907"/>
    <s v="AB107338"/>
    <x v="17"/>
    <n v="193914"/>
  </r>
  <r>
    <n v="10036"/>
    <n v="2"/>
    <d v="2014-05-16T00:00:00"/>
    <s v="DVD"/>
    <n v="103908"/>
    <s v="AB107340"/>
    <x v="7"/>
    <n v="897614"/>
  </r>
  <r>
    <n v="10322"/>
    <n v="9"/>
    <d v="2014-05-18T00:00:00"/>
    <s v="BLU-RAY"/>
    <n v="103908"/>
    <s v="AB107342"/>
    <x v="7"/>
    <n v="897614"/>
  </r>
  <r>
    <n v="10100"/>
    <n v="7"/>
    <d v="2014-05-15T00:00:00"/>
    <s v="DVD"/>
    <n v="103909"/>
    <s v="AB107344"/>
    <x v="9"/>
    <n v="464277"/>
  </r>
  <r>
    <n v="10251"/>
    <n v="2"/>
    <d v="2014-05-15T00:00:00"/>
    <s v="DVD"/>
    <n v="103910"/>
    <s v="AB107345"/>
    <x v="7"/>
    <n v="929344"/>
  </r>
  <r>
    <n v="10113"/>
    <n v="2"/>
    <d v="2014-05-17T00:00:00"/>
    <s v="DVD"/>
    <n v="103910"/>
    <s v="AB107346"/>
    <x v="10"/>
    <n v="929344"/>
  </r>
  <r>
    <n v="10295"/>
    <n v="3"/>
    <d v="2014-05-17T00:00:00"/>
    <s v="DVD"/>
    <n v="103911"/>
    <s v="AB107347"/>
    <x v="21"/>
    <n v="485769"/>
  </r>
  <r>
    <n v="10180"/>
    <n v="8"/>
    <d v="2014-05-16T00:00:00"/>
    <s v="DVD"/>
    <n v="103911"/>
    <s v="AB107349"/>
    <x v="12"/>
    <n v="485769"/>
  </r>
  <r>
    <n v="10078"/>
    <n v="1"/>
    <d v="2014-05-17T00:00:00"/>
    <s v="DVD"/>
    <n v="103916"/>
    <s v="AB107352"/>
    <x v="1"/>
    <n v="488295"/>
  </r>
  <r>
    <n v="10117"/>
    <n v="4"/>
    <d v="2014-05-18T00:00:00"/>
    <s v="DVD"/>
    <n v="103916"/>
    <s v="AB107353"/>
    <x v="4"/>
    <n v="488295"/>
  </r>
  <r>
    <n v="10233"/>
    <n v="3"/>
    <d v="2014-05-20T00:00:00"/>
    <s v="BLU-RAY"/>
    <n v="103917"/>
    <s v="AB107355"/>
    <x v="8"/>
    <n v="767570"/>
  </r>
  <r>
    <n v="10085"/>
    <n v="1"/>
    <d v="2014-05-18T00:00:00"/>
    <s v="DVD"/>
    <n v="103919"/>
    <s v="AB107359"/>
    <x v="3"/>
    <n v="880238"/>
  </r>
  <r>
    <n v="10137"/>
    <n v="1"/>
    <d v="2014-05-22T00:00:00"/>
    <s v="BLU-RAY"/>
    <n v="103919"/>
    <s v="AB107360"/>
    <x v="3"/>
    <n v="880238"/>
  </r>
  <r>
    <n v="10288"/>
    <n v="2"/>
    <d v="2014-05-17T00:00:00"/>
    <s v="DVD"/>
    <n v="103920"/>
    <s v="AB107362"/>
    <x v="12"/>
    <n v="224094"/>
  </r>
  <r>
    <n v="10260"/>
    <n v="3"/>
    <d v="2014-05-17T00:00:00"/>
    <s v="DVD"/>
    <n v="103920"/>
    <s v="AB107363"/>
    <x v="4"/>
    <n v="224094"/>
  </r>
  <r>
    <n v="10090"/>
    <n v="3"/>
    <d v="2014-05-18T00:00:00"/>
    <s v="DVD"/>
    <n v="103921"/>
    <s v="AB107365"/>
    <x v="1"/>
    <n v="955591"/>
  </r>
  <r>
    <n v="10269"/>
    <n v="5"/>
    <d v="2014-05-16T00:00:00"/>
    <s v="DVD"/>
    <n v="103922"/>
    <s v="AB107367"/>
    <x v="3"/>
    <n v="994199"/>
  </r>
  <r>
    <n v="10204"/>
    <n v="10"/>
    <d v="2014-05-16T00:00:00"/>
    <s v="BLU-RAY"/>
    <n v="103922"/>
    <s v="AB107368"/>
    <x v="7"/>
    <n v="994199"/>
  </r>
  <r>
    <n v="10265"/>
    <n v="2"/>
    <d v="2014-05-17T00:00:00"/>
    <s v="DVD"/>
    <n v="103923"/>
    <s v="AB107370"/>
    <x v="0"/>
    <n v="761615"/>
  </r>
  <r>
    <n v="10201"/>
    <n v="4"/>
    <d v="2014-05-18T00:00:00"/>
    <s v="DVD"/>
    <n v="103923"/>
    <s v="AB107373"/>
    <x v="8"/>
    <n v="761615"/>
  </r>
  <r>
    <n v="10155"/>
    <n v="1"/>
    <d v="2014-05-19T00:00:00"/>
    <s v="DVD"/>
    <n v="103926"/>
    <s v="AB107376"/>
    <x v="9"/>
    <n v="866847"/>
  </r>
  <r>
    <n v="10204"/>
    <n v="10"/>
    <d v="2014-05-17T00:00:00"/>
    <s v="DVD"/>
    <n v="103927"/>
    <s v="AB107378"/>
    <x v="7"/>
    <n v="297686"/>
  </r>
  <r>
    <n v="10220"/>
    <n v="2"/>
    <d v="2014-05-17T00:00:00"/>
    <s v="DVD"/>
    <n v="103927"/>
    <s v="AB107379"/>
    <x v="9"/>
    <n v="297686"/>
  </r>
  <r>
    <n v="10219"/>
    <n v="3"/>
    <d v="2014-05-17T00:00:00"/>
    <s v="DVD"/>
    <n v="103929"/>
    <s v="AB107383"/>
    <x v="1"/>
    <n v="236554"/>
  </r>
  <r>
    <n v="10065"/>
    <n v="4"/>
    <d v="2014-05-19T00:00:00"/>
    <s v="BLU-RAY"/>
    <n v="103933"/>
    <s v="AB107390"/>
    <x v="0"/>
    <n v="330223"/>
  </r>
  <r>
    <n v="10196"/>
    <n v="7"/>
    <d v="2014-05-22T00:00:00"/>
    <s v="DVD"/>
    <n v="103934"/>
    <s v="AB107391"/>
    <x v="9"/>
    <n v="797968"/>
  </r>
  <r>
    <n v="10281"/>
    <n v="6"/>
    <d v="2014-05-18T00:00:00"/>
    <s v="DVD"/>
    <n v="103934"/>
    <s v="AB107392"/>
    <x v="10"/>
    <n v="797968"/>
  </r>
  <r>
    <n v="10057"/>
    <n v="7"/>
    <d v="2014-05-19T00:00:00"/>
    <s v="DVD"/>
    <n v="103934"/>
    <s v="AB107393"/>
    <x v="0"/>
    <n v="797968"/>
  </r>
  <r>
    <n v="10072"/>
    <n v="9"/>
    <d v="2014-05-20T00:00:00"/>
    <s v="DVD"/>
    <n v="103934"/>
    <s v="AB107394"/>
    <x v="1"/>
    <n v="797968"/>
  </r>
  <r>
    <n v="10276"/>
    <n v="7"/>
    <d v="2014-05-18T00:00:00"/>
    <s v="BLU-RAY"/>
    <n v="103936"/>
    <s v="AB107397"/>
    <x v="16"/>
    <n v="218889"/>
  </r>
  <r>
    <n v="10200"/>
    <n v="1"/>
    <d v="2014-05-19T00:00:00"/>
    <s v="BLU-RAY"/>
    <n v="103936"/>
    <s v="AB107398"/>
    <x v="9"/>
    <n v="218889"/>
  </r>
  <r>
    <n v="10288"/>
    <n v="7"/>
    <d v="2014-05-18T00:00:00"/>
    <s v="DVD"/>
    <n v="103936"/>
    <s v="AB107400"/>
    <x v="12"/>
    <n v="218889"/>
  </r>
  <r>
    <n v="10281"/>
    <n v="7"/>
    <d v="2014-05-19T00:00:00"/>
    <s v="DVD"/>
    <n v="103937"/>
    <s v="AB107402"/>
    <x v="10"/>
    <n v="897614"/>
  </r>
  <r>
    <n v="10186"/>
    <n v="4"/>
    <d v="2014-05-22T00:00:00"/>
    <s v="DVD"/>
    <n v="103939"/>
    <s v="AB107404"/>
    <x v="10"/>
    <n v="728908"/>
  </r>
  <r>
    <n v="10169"/>
    <n v="1"/>
    <d v="2014-05-20T00:00:00"/>
    <s v="BLU-RAY"/>
    <n v="103939"/>
    <s v="AB107405"/>
    <x v="0"/>
    <n v="728908"/>
  </r>
  <r>
    <n v="10185"/>
    <n v="7"/>
    <d v="2014-05-21T00:00:00"/>
    <s v="DVD"/>
    <n v="103940"/>
    <s v="AB107406"/>
    <x v="0"/>
    <n v="271531"/>
  </r>
  <r>
    <n v="10285"/>
    <n v="4"/>
    <d v="2014-05-20T00:00:00"/>
    <s v="DVD"/>
    <n v="103946"/>
    <s v="AB107416"/>
    <x v="20"/>
    <n v="767570"/>
  </r>
  <r>
    <n v="10112"/>
    <n v="1"/>
    <d v="2014-05-22T00:00:00"/>
    <s v="DVD"/>
    <n v="103946"/>
    <s v="AB107417"/>
    <x v="12"/>
    <n v="767570"/>
  </r>
  <r>
    <n v="10137"/>
    <n v="3"/>
    <d v="2014-05-22T00:00:00"/>
    <s v="DVD"/>
    <n v="103947"/>
    <s v="AB107420"/>
    <x v="3"/>
    <n v="841831"/>
  </r>
  <r>
    <n v="10272"/>
    <n v="5"/>
    <d v="2014-05-21T00:00:00"/>
    <s v="DVD"/>
    <n v="103948"/>
    <s v="AB107421"/>
    <x v="4"/>
    <n v="448993"/>
  </r>
  <r>
    <n v="10245"/>
    <n v="5"/>
    <d v="2014-05-21T00:00:00"/>
    <s v="DVD"/>
    <n v="103948"/>
    <s v="AB107422"/>
    <x v="0"/>
    <n v="448993"/>
  </r>
  <r>
    <n v="10259"/>
    <n v="8"/>
    <d v="2014-05-20T00:00:00"/>
    <s v="DVD"/>
    <n v="103949"/>
    <s v="AB107423"/>
    <x v="0"/>
    <n v="970794"/>
  </r>
  <r>
    <n v="10160"/>
    <n v="5"/>
    <d v="2014-05-20T00:00:00"/>
    <s v="DVD"/>
    <n v="103949"/>
    <s v="AB107424"/>
    <x v="10"/>
    <n v="970794"/>
  </r>
  <r>
    <n v="10193"/>
    <n v="2"/>
    <d v="2014-05-22T00:00:00"/>
    <s v="DVD"/>
    <n v="103949"/>
    <s v="AB107426"/>
    <x v="9"/>
    <n v="970794"/>
  </r>
  <r>
    <n v="10285"/>
    <n v="4"/>
    <d v="2014-05-20T00:00:00"/>
    <s v="DVD"/>
    <n v="103950"/>
    <s v="AB107428"/>
    <x v="20"/>
    <n v="612681"/>
  </r>
  <r>
    <n v="10252"/>
    <n v="9"/>
    <d v="2014-05-20T00:00:00"/>
    <s v="DVD"/>
    <n v="103951"/>
    <s v="AB107430"/>
    <x v="0"/>
    <n v="689877"/>
  </r>
  <r>
    <n v="10280"/>
    <n v="4"/>
    <d v="2014-05-21T00:00:00"/>
    <s v="DVD"/>
    <n v="103952"/>
    <s v="AB107432"/>
    <x v="7"/>
    <n v="866847"/>
  </r>
  <r>
    <n v="10235"/>
    <n v="6"/>
    <d v="2014-05-21T00:00:00"/>
    <s v="DVD"/>
    <n v="103954"/>
    <s v="AB107434"/>
    <x v="10"/>
    <n v="265707"/>
  </r>
  <r>
    <n v="10217"/>
    <n v="10"/>
    <d v="2014-05-21T00:00:00"/>
    <s v="DVD"/>
    <n v="103955"/>
    <s v="AB107435"/>
    <x v="0"/>
    <n v="714277"/>
  </r>
  <r>
    <n v="10184"/>
    <n v="10"/>
    <d v="2014-05-23T00:00:00"/>
    <s v="DVD"/>
    <n v="103955"/>
    <s v="AB107437"/>
    <x v="7"/>
    <n v="714277"/>
  </r>
  <r>
    <n v="10283"/>
    <n v="10"/>
    <d v="2014-05-21T00:00:00"/>
    <s v="DVD"/>
    <n v="103956"/>
    <s v="AB107438"/>
    <x v="6"/>
    <n v="818287"/>
  </r>
  <r>
    <n v="10198"/>
    <n v="2"/>
    <d v="2014-05-22T00:00:00"/>
    <s v="DVD"/>
    <n v="103956"/>
    <s v="AB107439"/>
    <x v="9"/>
    <n v="818287"/>
  </r>
  <r>
    <n v="10236"/>
    <n v="8"/>
    <d v="2014-05-22T00:00:00"/>
    <s v="DVD"/>
    <n v="103956"/>
    <s v="AB107440"/>
    <x v="10"/>
    <n v="818287"/>
  </r>
  <r>
    <n v="10031"/>
    <n v="3"/>
    <d v="2014-05-21T00:00:00"/>
    <s v="DVD"/>
    <n v="103957"/>
    <s v="AB107441"/>
    <x v="0"/>
    <n v="757780"/>
  </r>
  <r>
    <n v="10228"/>
    <n v="7"/>
    <d v="2014-05-22T00:00:00"/>
    <s v="DVD"/>
    <n v="103959"/>
    <s v="AB107445"/>
    <x v="7"/>
    <n v="344702"/>
  </r>
  <r>
    <n v="10102"/>
    <n v="9"/>
    <d v="2014-05-27T00:00:00"/>
    <s v="DVD"/>
    <n v="103959"/>
    <s v="AB107446"/>
    <x v="7"/>
    <n v="344702"/>
  </r>
  <r>
    <n v="10200"/>
    <n v="1"/>
    <d v="2014-05-24T00:00:00"/>
    <s v="DVD"/>
    <n v="103960"/>
    <s v="AB107447"/>
    <x v="9"/>
    <n v="225489"/>
  </r>
  <r>
    <n v="10140"/>
    <n v="8"/>
    <d v="2014-05-23T00:00:00"/>
    <s v="DVD"/>
    <n v="103961"/>
    <s v="AB107451"/>
    <x v="2"/>
    <n v="996970"/>
  </r>
  <r>
    <n v="10207"/>
    <n v="7"/>
    <d v="2014-05-23T00:00:00"/>
    <s v="DVD"/>
    <n v="103963"/>
    <s v="AB107453"/>
    <x v="1"/>
    <n v="498970"/>
  </r>
  <r>
    <n v="10270"/>
    <n v="1"/>
    <d v="2014-05-23T00:00:00"/>
    <s v="BLU-RAY"/>
    <n v="103964"/>
    <s v="AB107456"/>
    <x v="9"/>
    <n v="580783"/>
  </r>
  <r>
    <n v="10124"/>
    <n v="3"/>
    <d v="2014-05-23T00:00:00"/>
    <s v="DVD"/>
    <n v="103964"/>
    <s v="AB107457"/>
    <x v="1"/>
    <n v="580783"/>
  </r>
  <r>
    <n v="10265"/>
    <n v="2"/>
    <d v="2014-05-24T00:00:00"/>
    <s v="BLU-RAY"/>
    <n v="103967"/>
    <s v="AB107460"/>
    <x v="0"/>
    <n v="427391"/>
  </r>
  <r>
    <n v="10128"/>
    <n v="2"/>
    <d v="2014-05-24T00:00:00"/>
    <s v="BLU-RAY"/>
    <n v="103967"/>
    <s v="AB107461"/>
    <x v="6"/>
    <n v="427391"/>
  </r>
  <r>
    <n v="10259"/>
    <n v="8"/>
    <d v="2014-05-23T00:00:00"/>
    <s v="DVD"/>
    <n v="103967"/>
    <s v="AB107462"/>
    <x v="0"/>
    <n v="427391"/>
  </r>
  <r>
    <n v="10087"/>
    <n v="8"/>
    <d v="2014-05-23T00:00:00"/>
    <s v="DVD"/>
    <n v="103968"/>
    <s v="AB107463"/>
    <x v="10"/>
    <n v="524667"/>
  </r>
  <r>
    <n v="10289"/>
    <n v="7"/>
    <d v="2014-05-26T00:00:00"/>
    <s v="DVD"/>
    <n v="103968"/>
    <s v="AB107464"/>
    <x v="11"/>
    <n v="524667"/>
  </r>
  <r>
    <n v="10260"/>
    <n v="9"/>
    <d v="2014-05-23T00:00:00"/>
    <s v="DVD"/>
    <n v="103970"/>
    <s v="AB107467"/>
    <x v="4"/>
    <n v="961080"/>
  </r>
  <r>
    <n v="10239"/>
    <n v="2"/>
    <d v="2014-05-23T00:00:00"/>
    <s v="DVD"/>
    <n v="103971"/>
    <s v="AB107469"/>
    <x v="2"/>
    <n v="599995"/>
  </r>
  <r>
    <n v="10149"/>
    <n v="10"/>
    <d v="2014-05-23T00:00:00"/>
    <s v="DVD"/>
    <n v="103971"/>
    <s v="AB107470"/>
    <x v="12"/>
    <n v="599995"/>
  </r>
  <r>
    <n v="10039"/>
    <n v="1"/>
    <d v="2014-05-24T00:00:00"/>
    <s v="BLU-RAY"/>
    <n v="103972"/>
    <s v="AB107472"/>
    <x v="11"/>
    <n v="927518"/>
  </r>
  <r>
    <n v="10121"/>
    <n v="6"/>
    <d v="2014-05-23T00:00:00"/>
    <s v="DVD"/>
    <n v="103972"/>
    <s v="AB107473"/>
    <x v="2"/>
    <n v="927518"/>
  </r>
  <r>
    <n v="10207"/>
    <n v="9"/>
    <d v="2014-05-24T00:00:00"/>
    <s v="DVD"/>
    <n v="103972"/>
    <s v="AB107474"/>
    <x v="1"/>
    <n v="927518"/>
  </r>
  <r>
    <n v="10129"/>
    <n v="4"/>
    <d v="2014-05-25T00:00:00"/>
    <s v="DVD"/>
    <n v="103973"/>
    <s v="AB107475"/>
    <x v="0"/>
    <n v="951701"/>
  </r>
  <r>
    <n v="10254"/>
    <n v="7"/>
    <d v="2014-05-26T00:00:00"/>
    <s v="DVD"/>
    <n v="103974"/>
    <s v="AB107476"/>
    <x v="1"/>
    <n v="480298"/>
  </r>
  <r>
    <n v="10295"/>
    <n v="9"/>
    <d v="2014-05-24T00:00:00"/>
    <s v="DVD"/>
    <n v="103975"/>
    <s v="AB107478"/>
    <x v="21"/>
    <n v="274541"/>
  </r>
  <r>
    <n v="10033"/>
    <n v="1"/>
    <d v="2014-05-24T00:00:00"/>
    <s v="DVD"/>
    <n v="103977"/>
    <s v="AB107480"/>
    <x v="10"/>
    <n v="404678"/>
  </r>
  <r>
    <n v="10252"/>
    <n v="5"/>
    <d v="2014-05-24T00:00:00"/>
    <s v="DVD"/>
    <n v="103979"/>
    <s v="AB107485"/>
    <x v="0"/>
    <n v="147543"/>
  </r>
  <r>
    <n v="10194"/>
    <n v="10"/>
    <d v="2014-05-24T00:00:00"/>
    <s v="DVD"/>
    <n v="103980"/>
    <s v="AB107487"/>
    <x v="16"/>
    <n v="493552"/>
  </r>
  <r>
    <n v="10283"/>
    <n v="1"/>
    <d v="2014-05-25T00:00:00"/>
    <s v="DVD"/>
    <n v="103985"/>
    <s v="AB107492"/>
    <x v="6"/>
    <n v="723057"/>
  </r>
  <r>
    <n v="10225"/>
    <n v="3"/>
    <d v="2014-05-28T00:00:00"/>
    <s v="DVD"/>
    <n v="103986"/>
    <s v="AB107495"/>
    <x v="0"/>
    <n v="452874"/>
  </r>
  <r>
    <n v="10229"/>
    <n v="1"/>
    <d v="2014-05-26T00:00:00"/>
    <s v="DVD"/>
    <n v="103986"/>
    <s v="AB107497"/>
    <x v="6"/>
    <n v="452874"/>
  </r>
  <r>
    <n v="10204"/>
    <n v="5"/>
    <d v="2014-05-25T00:00:00"/>
    <s v="DVD"/>
    <n v="103987"/>
    <s v="AB107500"/>
    <x v="7"/>
    <n v="679354"/>
  </r>
  <r>
    <n v="10127"/>
    <n v="10"/>
    <d v="2014-05-25T00:00:00"/>
    <s v="DVD"/>
    <n v="103988"/>
    <s v="AB107503"/>
    <x v="6"/>
    <n v="317461"/>
  </r>
  <r>
    <n v="10223"/>
    <n v="9"/>
    <d v="2014-05-28T00:00:00"/>
    <s v="BLU-RAY"/>
    <n v="103990"/>
    <s v="AB107507"/>
    <x v="7"/>
    <n v="550661"/>
  </r>
  <r>
    <n v="10256"/>
    <n v="8"/>
    <d v="2014-05-26T00:00:00"/>
    <s v="DVD"/>
    <n v="103992"/>
    <s v="AB107509"/>
    <x v="9"/>
    <n v="680104"/>
  </r>
  <r>
    <n v="10039"/>
    <n v="6"/>
    <d v="2014-05-30T00:00:00"/>
    <s v="DVD"/>
    <n v="103993"/>
    <s v="AB107511"/>
    <x v="11"/>
    <n v="448739"/>
  </r>
  <r>
    <n v="10289"/>
    <n v="1"/>
    <d v="2014-05-26T00:00:00"/>
    <s v="DVD"/>
    <n v="103993"/>
    <s v="AB107512"/>
    <x v="11"/>
    <n v="448739"/>
  </r>
  <r>
    <n v="10215"/>
    <n v="9"/>
    <d v="2014-05-28T00:00:00"/>
    <s v="BLU-RAY"/>
    <n v="103994"/>
    <s v="AB107514"/>
    <x v="1"/>
    <n v="890270"/>
  </r>
  <r>
    <n v="10193"/>
    <n v="4"/>
    <d v="2014-06-01T00:00:00"/>
    <s v="BLU-RAY"/>
    <n v="103995"/>
    <s v="AB107515"/>
    <x v="9"/>
    <n v="592592"/>
  </r>
  <r>
    <n v="10213"/>
    <n v="7"/>
    <d v="2014-05-29T00:00:00"/>
    <s v="DVD"/>
    <n v="103996"/>
    <s v="AB107517"/>
    <x v="4"/>
    <n v="746134"/>
  </r>
  <r>
    <n v="10233"/>
    <n v="10"/>
    <d v="2014-05-28T00:00:00"/>
    <s v="DVD"/>
    <n v="103996"/>
    <s v="AB107518"/>
    <x v="8"/>
    <n v="746134"/>
  </r>
  <r>
    <n v="10164"/>
    <n v="4"/>
    <d v="2014-05-27T00:00:00"/>
    <s v="BLU-RAY"/>
    <n v="103997"/>
    <s v="AB107521"/>
    <x v="2"/>
    <n v="373200"/>
  </r>
  <r>
    <n v="10234"/>
    <n v="5"/>
    <d v="2014-05-27T00:00:00"/>
    <s v="DVD"/>
    <n v="103998"/>
    <s v="AB107523"/>
    <x v="0"/>
    <n v="407605"/>
  </r>
  <r>
    <n v="10250"/>
    <n v="2"/>
    <d v="2014-05-27T00:00:00"/>
    <s v="BLU-RAY"/>
    <n v="103999"/>
    <s v="AB107524"/>
    <x v="3"/>
    <n v="766737"/>
  </r>
  <r>
    <n v="10265"/>
    <n v="7"/>
    <d v="2014-05-29T00:00:00"/>
    <s v="BLU-RAY"/>
    <n v="103999"/>
    <s v="AB107525"/>
    <x v="0"/>
    <n v="766737"/>
  </r>
  <r>
    <n v="10201"/>
    <n v="9"/>
    <d v="2014-05-27T00:00:00"/>
    <s v="BLU-RAY"/>
    <n v="104001"/>
    <s v="AB107528"/>
    <x v="8"/>
    <n v="706884"/>
  </r>
  <r>
    <n v="10072"/>
    <n v="2"/>
    <d v="2014-05-28T00:00:00"/>
    <s v="DVD"/>
    <n v="104001"/>
    <s v="AB107529"/>
    <x v="1"/>
    <n v="706884"/>
  </r>
  <r>
    <n v="10236"/>
    <n v="2"/>
    <d v="2014-05-27T00:00:00"/>
    <s v="DVD"/>
    <n v="104002"/>
    <s v="AB107531"/>
    <x v="10"/>
    <n v="736500"/>
  </r>
  <r>
    <n v="10211"/>
    <n v="3"/>
    <d v="2014-05-28T00:00:00"/>
    <s v="BLU-RAY"/>
    <n v="104002"/>
    <s v="AB107532"/>
    <x v="3"/>
    <n v="736500"/>
  </r>
  <r>
    <n v="10115"/>
    <n v="5"/>
    <d v="2014-05-27T00:00:00"/>
    <s v="DVD"/>
    <n v="104002"/>
    <s v="AB107533"/>
    <x v="11"/>
    <n v="736500"/>
  </r>
  <r>
    <n v="10260"/>
    <n v="2"/>
    <d v="2014-05-29T00:00:00"/>
    <s v="DVD"/>
    <n v="104003"/>
    <s v="AB107536"/>
    <x v="4"/>
    <n v="882493"/>
  </r>
  <r>
    <n v="10040"/>
    <n v="1"/>
    <d v="2014-05-28T00:00:00"/>
    <s v="DVD"/>
    <n v="104006"/>
    <s v="AB107538"/>
    <x v="7"/>
    <n v="548800"/>
  </r>
  <r>
    <n v="10202"/>
    <n v="3"/>
    <d v="2014-05-28T00:00:00"/>
    <s v="DVD"/>
    <n v="104007"/>
    <s v="AB107540"/>
    <x v="0"/>
    <n v="806545"/>
  </r>
  <r>
    <n v="10248"/>
    <n v="9"/>
    <d v="2014-05-28T00:00:00"/>
    <s v="DVD"/>
    <n v="104008"/>
    <s v="AB107543"/>
    <x v="12"/>
    <n v="900440"/>
  </r>
  <r>
    <n v="10118"/>
    <n v="1"/>
    <d v="2014-05-28T00:00:00"/>
    <s v="BLU-RAY"/>
    <n v="104009"/>
    <s v="AB107546"/>
    <x v="3"/>
    <n v="404678"/>
  </r>
  <r>
    <n v="10349"/>
    <n v="10"/>
    <d v="2014-05-31T00:00:00"/>
    <s v="DVD"/>
    <n v="104010"/>
    <s v="AB107547"/>
    <x v="8"/>
    <n v="561305"/>
  </r>
  <r>
    <n v="10193"/>
    <n v="9"/>
    <d v="2014-05-31T00:00:00"/>
    <s v="BLU-RAY"/>
    <n v="104011"/>
    <s v="AB107549"/>
    <x v="9"/>
    <n v="456457"/>
  </r>
  <r>
    <n v="10250"/>
    <n v="2"/>
    <d v="2014-05-29T00:00:00"/>
    <s v="BLU-RAY"/>
    <n v="104012"/>
    <s v="AB107551"/>
    <x v="3"/>
    <n v="665313"/>
  </r>
  <r>
    <n v="10054"/>
    <n v="10"/>
    <d v="2014-05-29T00:00:00"/>
    <s v="DVD"/>
    <n v="104015"/>
    <s v="AB107561"/>
    <x v="1"/>
    <n v="888759"/>
  </r>
  <r>
    <n v="10175"/>
    <n v="5"/>
    <d v="2014-05-30T00:00:00"/>
    <s v="DVD"/>
    <n v="104015"/>
    <s v="AB107562"/>
    <x v="3"/>
    <n v="888759"/>
  </r>
  <r>
    <n v="10271"/>
    <n v="3"/>
    <d v="2014-05-29T00:00:00"/>
    <s v="DVD"/>
    <n v="104015"/>
    <s v="AB107563"/>
    <x v="7"/>
    <n v="888759"/>
  </r>
  <r>
    <n v="10252"/>
    <n v="9"/>
    <d v="2014-05-30T00:00:00"/>
    <s v="DVD"/>
    <n v="104016"/>
    <s v="AB107566"/>
    <x v="0"/>
    <n v="976778"/>
  </r>
  <r>
    <n v="10134"/>
    <n v="10"/>
    <d v="2014-05-31T00:00:00"/>
    <s v="DVD"/>
    <n v="104016"/>
    <s v="AB107567"/>
    <x v="7"/>
    <n v="976778"/>
  </r>
  <r>
    <n v="10105"/>
    <n v="8"/>
    <d v="2014-05-30T00:00:00"/>
    <s v="DVD"/>
    <n v="104019"/>
    <s v="AB107570"/>
    <x v="2"/>
    <n v="925565"/>
  </r>
  <r>
    <n v="10195"/>
    <n v="3"/>
    <d v="2014-06-04T00:00:00"/>
    <s v="DVD"/>
    <n v="104020"/>
    <s v="AB107572"/>
    <x v="4"/>
    <n v="346006"/>
  </r>
  <r>
    <n v="10250"/>
    <n v="5"/>
    <d v="2014-05-30T00:00:00"/>
    <s v="DVD"/>
    <n v="104020"/>
    <s v="AB107573"/>
    <x v="3"/>
    <n v="346006"/>
  </r>
  <r>
    <n v="10071"/>
    <n v="8"/>
    <d v="2014-05-30T00:00:00"/>
    <s v="DVD"/>
    <n v="104021"/>
    <s v="AB107574"/>
    <x v="1"/>
    <n v="528475"/>
  </r>
  <r>
    <n v="10199"/>
    <n v="2"/>
    <d v="2014-06-02T00:00:00"/>
    <s v="BLU-RAY"/>
    <n v="104023"/>
    <s v="AB107578"/>
    <x v="10"/>
    <n v="250266"/>
  </r>
  <r>
    <n v="10264"/>
    <n v="10"/>
    <d v="2014-05-30T00:00:00"/>
    <s v="DVD"/>
    <n v="104023"/>
    <s v="AB107579"/>
    <x v="2"/>
    <n v="250266"/>
  </r>
  <r>
    <n v="10042"/>
    <n v="4"/>
    <d v="2014-06-01T00:00:00"/>
    <s v="DVD"/>
    <n v="104023"/>
    <s v="AB107580"/>
    <x v="1"/>
    <n v="250266"/>
  </r>
  <r>
    <n v="10203"/>
    <n v="7"/>
    <d v="2014-06-01T00:00:00"/>
    <s v="BLU-RAY"/>
    <n v="104027"/>
    <s v="AB107584"/>
    <x v="3"/>
    <n v="964619"/>
  </r>
  <r>
    <n v="10275"/>
    <n v="5"/>
    <d v="2014-06-02T00:00:00"/>
    <s v="DVD"/>
    <n v="104027"/>
    <s v="AB107586"/>
    <x v="10"/>
    <n v="964619"/>
  </r>
  <r>
    <n v="10050"/>
    <n v="8"/>
    <d v="2014-06-01T00:00:00"/>
    <s v="DVD"/>
    <n v="104028"/>
    <s v="AB107587"/>
    <x v="1"/>
    <n v="104939"/>
  </r>
  <r>
    <n v="10166"/>
    <n v="9"/>
    <d v="2014-05-31T00:00:00"/>
    <s v="BLU-RAY"/>
    <n v="104028"/>
    <s v="AB107588"/>
    <x v="9"/>
    <n v="104939"/>
  </r>
  <r>
    <n v="10218"/>
    <n v="1"/>
    <d v="2014-06-06T00:00:00"/>
    <s v="DVD"/>
    <n v="104030"/>
    <s v="AB107592"/>
    <x v="4"/>
    <n v="927518"/>
  </r>
  <r>
    <n v="10241"/>
    <n v="4"/>
    <d v="2014-05-31T00:00:00"/>
    <s v="DVD"/>
    <n v="104030"/>
    <s v="AB107593"/>
    <x v="0"/>
    <n v="927518"/>
  </r>
  <r>
    <n v="10165"/>
    <n v="3"/>
    <d v="2014-06-06T00:00:00"/>
    <s v="DVD"/>
    <n v="104032"/>
    <s v="AB107598"/>
    <x v="2"/>
    <n v="200272"/>
  </r>
  <r>
    <n v="10146"/>
    <n v="5"/>
    <d v="2014-06-01T00:00:00"/>
    <s v="DVD"/>
    <n v="104032"/>
    <s v="AB107599"/>
    <x v="4"/>
    <n v="200272"/>
  </r>
  <r>
    <n v="10215"/>
    <n v="3"/>
    <d v="2014-06-02T00:00:00"/>
    <s v="DVD"/>
    <n v="104033"/>
    <s v="AB107601"/>
    <x v="1"/>
    <n v="818287"/>
  </r>
  <r>
    <n v="10165"/>
    <n v="3"/>
    <d v="2014-06-03T00:00:00"/>
    <s v="DVD"/>
    <n v="104034"/>
    <s v="AB107604"/>
    <x v="2"/>
    <n v="795957"/>
  </r>
  <r>
    <n v="10075"/>
    <n v="3"/>
    <d v="2014-06-08T00:00:00"/>
    <s v="DVD"/>
    <n v="104035"/>
    <s v="AB107605"/>
    <x v="17"/>
    <n v="330223"/>
  </r>
  <r>
    <n v="10099"/>
    <n v="4"/>
    <d v="2014-06-04T00:00:00"/>
    <s v="DVD"/>
    <n v="104035"/>
    <s v="AB107606"/>
    <x v="10"/>
    <n v="330223"/>
  </r>
  <r>
    <n v="10209"/>
    <n v="4"/>
    <d v="2014-06-02T00:00:00"/>
    <s v="DVD"/>
    <n v="104036"/>
    <s v="AB107609"/>
    <x v="7"/>
    <n v="116934"/>
  </r>
  <r>
    <n v="10163"/>
    <n v="9"/>
    <d v="2014-06-04T00:00:00"/>
    <s v="DVD"/>
    <n v="104037"/>
    <s v="AB107610"/>
    <x v="0"/>
    <n v="954812"/>
  </r>
  <r>
    <n v="10264"/>
    <n v="4"/>
    <d v="2014-06-01T00:00:00"/>
    <s v="DVD"/>
    <n v="104037"/>
    <s v="AB107612"/>
    <x v="2"/>
    <n v="954812"/>
  </r>
  <r>
    <n v="10240"/>
    <n v="6"/>
    <d v="2014-06-07T00:00:00"/>
    <s v="DVD"/>
    <n v="104039"/>
    <s v="AB107615"/>
    <x v="0"/>
    <n v="696852"/>
  </r>
  <r>
    <n v="10228"/>
    <n v="8"/>
    <d v="2014-06-06T00:00:00"/>
    <s v="DVD"/>
    <n v="104040"/>
    <s v="AB107617"/>
    <x v="7"/>
    <n v="925565"/>
  </r>
  <r>
    <n v="10289"/>
    <n v="4"/>
    <d v="2014-06-04T00:00:00"/>
    <s v="DVD"/>
    <n v="104041"/>
    <s v="AB107619"/>
    <x v="11"/>
    <n v="593317"/>
  </r>
  <r>
    <n v="10115"/>
    <n v="9"/>
    <d v="2014-06-04T00:00:00"/>
    <s v="DVD"/>
    <n v="104042"/>
    <s v="AB107620"/>
    <x v="11"/>
    <n v="580783"/>
  </r>
  <r>
    <n v="10281"/>
    <n v="5"/>
    <d v="2014-06-05T00:00:00"/>
    <s v="DVD"/>
    <n v="104043"/>
    <s v="AB107624"/>
    <x v="10"/>
    <n v="731346"/>
  </r>
  <r>
    <n v="10204"/>
    <n v="5"/>
    <d v="2014-06-04T00:00:00"/>
    <s v="DVD"/>
    <n v="104045"/>
    <s v="AB107627"/>
    <x v="7"/>
    <n v="590517"/>
  </r>
  <r>
    <n v="10069"/>
    <n v="8"/>
    <d v="2014-06-03T00:00:00"/>
    <s v="DVD"/>
    <n v="104046"/>
    <s v="AB107630"/>
    <x v="0"/>
    <n v="404678"/>
  </r>
  <r>
    <n v="10256"/>
    <n v="5"/>
    <d v="2014-06-03T00:00:00"/>
    <s v="DVD"/>
    <n v="104049"/>
    <s v="AB107634"/>
    <x v="9"/>
    <n v="877877"/>
  </r>
  <r>
    <n v="10145"/>
    <n v="7"/>
    <d v="2014-06-04T00:00:00"/>
    <s v="DVD"/>
    <n v="104049"/>
    <s v="AB107635"/>
    <x v="6"/>
    <n v="877877"/>
  </r>
  <r>
    <n v="10236"/>
    <n v="6"/>
    <d v="2014-06-04T00:00:00"/>
    <s v="DVD"/>
    <n v="104051"/>
    <s v="AB107637"/>
    <x v="10"/>
    <n v="671101"/>
  </r>
  <r>
    <n v="10264"/>
    <n v="8"/>
    <d v="2014-06-06T00:00:00"/>
    <s v="DVD"/>
    <n v="104053"/>
    <s v="AB107641"/>
    <x v="2"/>
    <n v="606155"/>
  </r>
  <r>
    <n v="10178"/>
    <n v="1"/>
    <d v="2014-06-08T00:00:00"/>
    <s v="DVD"/>
    <n v="104053"/>
    <s v="AB107642"/>
    <x v="0"/>
    <n v="606155"/>
  </r>
  <r>
    <n v="10160"/>
    <n v="8"/>
    <d v="2014-06-04T00:00:00"/>
    <s v="DVD"/>
    <n v="104054"/>
    <s v="AB107644"/>
    <x v="10"/>
    <n v="119406"/>
  </r>
  <r>
    <n v="10151"/>
    <n v="2"/>
    <d v="2014-06-04T00:00:00"/>
    <s v="DVD"/>
    <n v="104057"/>
    <s v="AB107647"/>
    <x v="8"/>
    <n v="189441"/>
  </r>
  <r>
    <n v="10286"/>
    <n v="7"/>
    <d v="2014-06-05T00:00:00"/>
    <s v="DVD"/>
    <n v="104057"/>
    <s v="AB107648"/>
    <x v="17"/>
    <n v="189441"/>
  </r>
  <r>
    <n v="10066"/>
    <n v="3"/>
    <d v="2014-06-05T00:00:00"/>
    <s v="DVD"/>
    <n v="104057"/>
    <s v="AB107649"/>
    <x v="3"/>
    <n v="189441"/>
  </r>
  <r>
    <n v="10250"/>
    <n v="9"/>
    <d v="2014-06-04T00:00:00"/>
    <s v="BLU-RAY"/>
    <n v="104058"/>
    <s v="AB107650"/>
    <x v="3"/>
    <n v="915766"/>
  </r>
  <r>
    <n v="10058"/>
    <n v="9"/>
    <d v="2014-06-05T00:00:00"/>
    <s v="DVD"/>
    <n v="104058"/>
    <s v="AB107651"/>
    <x v="4"/>
    <n v="915766"/>
  </r>
  <r>
    <n v="10054"/>
    <n v="7"/>
    <d v="2014-06-06T00:00:00"/>
    <s v="DVD"/>
    <n v="104058"/>
    <s v="AB107652"/>
    <x v="1"/>
    <n v="915766"/>
  </r>
  <r>
    <n v="10186"/>
    <n v="10"/>
    <d v="2014-06-04T00:00:00"/>
    <s v="DVD"/>
    <n v="104058"/>
    <s v="AB107653"/>
    <x v="10"/>
    <n v="915766"/>
  </r>
  <r>
    <n v="10096"/>
    <n v="4"/>
    <d v="2014-06-05T00:00:00"/>
    <s v="BLU-RAY"/>
    <n v="104059"/>
    <s v="AB107654"/>
    <x v="7"/>
    <n v="317807"/>
  </r>
  <r>
    <n v="10167"/>
    <n v="10"/>
    <d v="2014-06-07T00:00:00"/>
    <s v="DVD"/>
    <n v="104061"/>
    <s v="AB107659"/>
    <x v="7"/>
    <n v="103508"/>
  </r>
  <r>
    <n v="10210"/>
    <n v="9"/>
    <d v="2014-06-05T00:00:00"/>
    <s v="DVD"/>
    <n v="104061"/>
    <s v="AB107661"/>
    <x v="4"/>
    <n v="103508"/>
  </r>
  <r>
    <n v="10233"/>
    <n v="7"/>
    <d v="2014-06-06T00:00:00"/>
    <s v="DVD"/>
    <n v="104063"/>
    <s v="AB107663"/>
    <x v="8"/>
    <n v="417823"/>
  </r>
  <r>
    <n v="10219"/>
    <n v="3"/>
    <d v="2014-06-05T00:00:00"/>
    <s v="DVD"/>
    <n v="104064"/>
    <s v="AB107665"/>
    <x v="1"/>
    <n v="994056"/>
  </r>
  <r>
    <n v="10199"/>
    <n v="3"/>
    <d v="2014-06-06T00:00:00"/>
    <s v="DVD"/>
    <n v="104065"/>
    <s v="AB107667"/>
    <x v="10"/>
    <n v="891738"/>
  </r>
  <r>
    <n v="10045"/>
    <n v="3"/>
    <d v="2014-06-07T00:00:00"/>
    <s v="BLU-RAY"/>
    <n v="104066"/>
    <s v="AB107668"/>
    <x v="0"/>
    <n v="271531"/>
  </r>
  <r>
    <n v="10299"/>
    <n v="9"/>
    <d v="2014-06-06T00:00:00"/>
    <s v="DVD"/>
    <n v="104066"/>
    <s v="AB107669"/>
    <x v="22"/>
    <n v="271531"/>
  </r>
  <r>
    <n v="10214"/>
    <n v="7"/>
    <d v="2014-06-06T00:00:00"/>
    <s v="DVD"/>
    <n v="104066"/>
    <s v="AB107670"/>
    <x v="13"/>
    <n v="271531"/>
  </r>
  <r>
    <n v="10050"/>
    <n v="10"/>
    <d v="2014-06-07T00:00:00"/>
    <s v="DVD"/>
    <n v="104067"/>
    <s v="AB107671"/>
    <x v="1"/>
    <n v="479497"/>
  </r>
  <r>
    <n v="10073"/>
    <n v="5"/>
    <d v="2014-06-06T00:00:00"/>
    <s v="DVD"/>
    <n v="104069"/>
    <s v="AB107675"/>
    <x v="16"/>
    <n v="186353"/>
  </r>
  <r>
    <n v="10011"/>
    <n v="7"/>
    <d v="2014-06-09T00:00:00"/>
    <s v="DVD"/>
    <n v="104073"/>
    <s v="AB107680"/>
    <x v="3"/>
    <n v="974503"/>
  </r>
  <r>
    <n v="10232"/>
    <n v="1"/>
    <d v="2014-06-08T00:00:00"/>
    <s v="DVD"/>
    <n v="104074"/>
    <s v="AB107682"/>
    <x v="1"/>
    <n v="110363"/>
  </r>
  <r>
    <n v="10287"/>
    <n v="9"/>
    <d v="2014-06-09T00:00:00"/>
    <s v="DVD"/>
    <n v="104076"/>
    <s v="AB107688"/>
    <x v="10"/>
    <n v="995599"/>
  </r>
  <r>
    <n v="10283"/>
    <n v="1"/>
    <d v="2014-06-08T00:00:00"/>
    <s v="BLU-RAY"/>
    <n v="104076"/>
    <s v="AB107689"/>
    <x v="6"/>
    <n v="995599"/>
  </r>
  <r>
    <n v="10113"/>
    <n v="1"/>
    <d v="2014-06-07T00:00:00"/>
    <s v="DVD"/>
    <n v="104077"/>
    <s v="AB107691"/>
    <x v="10"/>
    <n v="330570"/>
  </r>
  <r>
    <n v="10296"/>
    <n v="4"/>
    <d v="2014-06-07T00:00:00"/>
    <s v="DVD"/>
    <n v="104078"/>
    <s v="AB107693"/>
    <x v="21"/>
    <n v="405671"/>
  </r>
  <r>
    <n v="10247"/>
    <n v="8"/>
    <d v="2014-06-07T00:00:00"/>
    <s v="DVD"/>
    <n v="104078"/>
    <s v="AB107694"/>
    <x v="9"/>
    <n v="405671"/>
  </r>
  <r>
    <n v="10240"/>
    <n v="7"/>
    <d v="2014-06-09T00:00:00"/>
    <s v="BLU-RAY"/>
    <n v="104081"/>
    <s v="AB107700"/>
    <x v="0"/>
    <n v="567719"/>
  </r>
  <r>
    <n v="10274"/>
    <n v="5"/>
    <d v="2014-06-08T00:00:00"/>
    <s v="BLU-RAY"/>
    <n v="104081"/>
    <s v="AB107702"/>
    <x v="9"/>
    <n v="567719"/>
  </r>
  <r>
    <n v="10138"/>
    <n v="7"/>
    <d v="2014-06-08T00:00:00"/>
    <s v="DVD"/>
    <n v="104084"/>
    <s v="AB107707"/>
    <x v="7"/>
    <n v="605188"/>
  </r>
  <r>
    <n v="10289"/>
    <n v="10"/>
    <d v="2014-06-08T00:00:00"/>
    <s v="DVD"/>
    <n v="104085"/>
    <s v="AB107708"/>
    <x v="11"/>
    <n v="448993"/>
  </r>
  <r>
    <n v="10216"/>
    <n v="6"/>
    <d v="2014-06-08T00:00:00"/>
    <s v="DVD"/>
    <n v="104086"/>
    <s v="AB107711"/>
    <x v="4"/>
    <n v="407605"/>
  </r>
  <r>
    <n v="10143"/>
    <n v="10"/>
    <d v="2014-06-09T00:00:00"/>
    <s v="DVD"/>
    <n v="104086"/>
    <s v="AB107712"/>
    <x v="3"/>
    <n v="407605"/>
  </r>
  <r>
    <n v="10281"/>
    <n v="10"/>
    <d v="2014-06-08T00:00:00"/>
    <s v="DVD"/>
    <n v="104087"/>
    <s v="AB107713"/>
    <x v="10"/>
    <n v="550824"/>
  </r>
  <r>
    <n v="10049"/>
    <n v="5"/>
    <d v="2014-06-12T00:00:00"/>
    <s v="DVD"/>
    <n v="104087"/>
    <s v="AB107714"/>
    <x v="7"/>
    <n v="550824"/>
  </r>
  <r>
    <n v="10271"/>
    <n v="5"/>
    <d v="2014-06-09T00:00:00"/>
    <s v="DVD"/>
    <n v="104088"/>
    <s v="AB107716"/>
    <x v="7"/>
    <n v="857548"/>
  </r>
  <r>
    <n v="10138"/>
    <n v="1"/>
    <d v="2014-06-09T00:00:00"/>
    <s v="DVD"/>
    <n v="104088"/>
    <s v="AB107717"/>
    <x v="7"/>
    <n v="857548"/>
  </r>
  <r>
    <n v="10155"/>
    <n v="3"/>
    <d v="2014-06-10T00:00:00"/>
    <s v="DVD"/>
    <n v="104089"/>
    <s v="AB107718"/>
    <x v="9"/>
    <n v="833180"/>
  </r>
  <r>
    <n v="10133"/>
    <n v="1"/>
    <d v="2014-06-12T00:00:00"/>
    <s v="DVD"/>
    <n v="104089"/>
    <s v="AB107719"/>
    <x v="9"/>
    <n v="833180"/>
  </r>
  <r>
    <n v="10145"/>
    <n v="7"/>
    <d v="2014-06-11T00:00:00"/>
    <s v="DVD"/>
    <n v="104090"/>
    <s v="AB107720"/>
    <x v="6"/>
    <n v="498970"/>
  </r>
  <r>
    <n v="10180"/>
    <n v="1"/>
    <d v="2014-06-09T00:00:00"/>
    <s v="DVD"/>
    <n v="104091"/>
    <s v="AB107721"/>
    <x v="12"/>
    <n v="908768"/>
  </r>
  <r>
    <n v="10376"/>
    <n v="6"/>
    <d v="2014-06-12T00:00:00"/>
    <s v="DVD"/>
    <n v="104091"/>
    <s v="AB107722"/>
    <x v="12"/>
    <n v="908768"/>
  </r>
  <r>
    <n v="10062"/>
    <n v="6"/>
    <d v="2014-06-09T00:00:00"/>
    <s v="DVD"/>
    <n v="104091"/>
    <s v="AB107723"/>
    <x v="16"/>
    <n v="908768"/>
  </r>
  <r>
    <n v="10226"/>
    <n v="10"/>
    <d v="2014-06-11T00:00:00"/>
    <s v="BLU-RAY"/>
    <n v="104092"/>
    <s v="AB107724"/>
    <x v="4"/>
    <n v="951702"/>
  </r>
  <r>
    <n v="10273"/>
    <n v="9"/>
    <d v="2014-06-09T00:00:00"/>
    <s v="DVD"/>
    <n v="104093"/>
    <s v="AB107726"/>
    <x v="4"/>
    <n v="606155"/>
  </r>
  <r>
    <n v="10072"/>
    <n v="5"/>
    <d v="2014-06-09T00:00:00"/>
    <s v="DVD"/>
    <n v="104093"/>
    <s v="AB107727"/>
    <x v="1"/>
    <n v="606155"/>
  </r>
  <r>
    <n v="10140"/>
    <n v="3"/>
    <d v="2014-06-09T00:00:00"/>
    <s v="DVD"/>
    <n v="104094"/>
    <s v="AB107728"/>
    <x v="2"/>
    <n v="488803"/>
  </r>
  <r>
    <n v="10279"/>
    <n v="5"/>
    <d v="2014-06-13T00:00:00"/>
    <s v="DVD"/>
    <n v="104094"/>
    <s v="AB107730"/>
    <x v="8"/>
    <n v="488803"/>
  </r>
  <r>
    <n v="10167"/>
    <n v="9"/>
    <d v="2014-06-12T00:00:00"/>
    <s v="DVD"/>
    <n v="104096"/>
    <s v="AB107733"/>
    <x v="7"/>
    <n v="216475"/>
  </r>
  <r>
    <n v="10093"/>
    <n v="4"/>
    <d v="2014-06-10T00:00:00"/>
    <s v="DVD"/>
    <n v="104098"/>
    <s v="AB107736"/>
    <x v="11"/>
    <n v="797968"/>
  </r>
  <r>
    <n v="10181"/>
    <n v="2"/>
    <d v="2014-06-10T00:00:00"/>
    <s v="DVD"/>
    <n v="104101"/>
    <s v="AB107742"/>
    <x v="9"/>
    <n v="193914"/>
  </r>
  <r>
    <n v="10286"/>
    <n v="9"/>
    <d v="2014-06-11T00:00:00"/>
    <s v="DVD"/>
    <n v="104102"/>
    <s v="AB107745"/>
    <x v="17"/>
    <n v="592726"/>
  </r>
  <r>
    <n v="10263"/>
    <n v="10"/>
    <d v="2014-06-15T00:00:00"/>
    <s v="DVD"/>
    <n v="104103"/>
    <s v="AB107746"/>
    <x v="9"/>
    <n v="936214"/>
  </r>
  <r>
    <n v="10174"/>
    <n v="6"/>
    <d v="2014-06-11T00:00:00"/>
    <s v="DVD"/>
    <n v="104104"/>
    <s v="AB107749"/>
    <x v="7"/>
    <n v="500828"/>
  </r>
  <r>
    <n v="10132"/>
    <n v="4"/>
    <d v="2014-06-11T00:00:00"/>
    <s v="DVD"/>
    <n v="104104"/>
    <s v="AB107750"/>
    <x v="10"/>
    <n v="500828"/>
  </r>
  <r>
    <n v="10244"/>
    <n v="2"/>
    <d v="2014-06-11T00:00:00"/>
    <s v="DVD"/>
    <n v="104105"/>
    <s v="AB107752"/>
    <x v="4"/>
    <n v="880238"/>
  </r>
  <r>
    <n v="10262"/>
    <n v="3"/>
    <d v="2014-06-12T00:00:00"/>
    <s v="DVD"/>
    <n v="104106"/>
    <s v="AB107754"/>
    <x v="10"/>
    <n v="216475"/>
  </r>
  <r>
    <n v="10122"/>
    <n v="6"/>
    <d v="2014-06-13T00:00:00"/>
    <s v="DVD"/>
    <n v="104106"/>
    <s v="AB107756"/>
    <x v="12"/>
    <n v="216475"/>
  </r>
  <r>
    <n v="10243"/>
    <n v="8"/>
    <d v="2014-06-11T00:00:00"/>
    <s v="DVD"/>
    <n v="104108"/>
    <s v="AB107757"/>
    <x v="9"/>
    <n v="265707"/>
  </r>
  <r>
    <n v="10064"/>
    <n v="8"/>
    <d v="2014-06-11T00:00:00"/>
    <s v="DVD"/>
    <n v="104108"/>
    <s v="AB107758"/>
    <x v="7"/>
    <n v="265707"/>
  </r>
  <r>
    <n v="10229"/>
    <n v="3"/>
    <d v="2014-06-12T00:00:00"/>
    <s v="DVD"/>
    <n v="104109"/>
    <s v="AB107761"/>
    <x v="6"/>
    <n v="979679"/>
  </r>
  <r>
    <n v="10174"/>
    <n v="9"/>
    <d v="2014-06-12T00:00:00"/>
    <s v="DVD"/>
    <n v="104110"/>
    <s v="AB107762"/>
    <x v="7"/>
    <n v="885548"/>
  </r>
  <r>
    <n v="10131"/>
    <n v="8"/>
    <d v="2014-06-13T00:00:00"/>
    <s v="DVD"/>
    <n v="104110"/>
    <s v="AB107763"/>
    <x v="0"/>
    <n v="885548"/>
  </r>
  <r>
    <n v="10261"/>
    <n v="3"/>
    <d v="2014-06-12T00:00:00"/>
    <s v="DVD"/>
    <n v="104112"/>
    <s v="AB107765"/>
    <x v="9"/>
    <n v="231615"/>
  </r>
  <r>
    <n v="10097"/>
    <n v="8"/>
    <d v="2014-06-12T00:00:00"/>
    <s v="DVD"/>
    <n v="104113"/>
    <s v="AB107766"/>
    <x v="8"/>
    <n v="879173"/>
  </r>
  <r>
    <n v="10212"/>
    <n v="3"/>
    <d v="2014-06-13T00:00:00"/>
    <s v="DVD"/>
    <n v="104113"/>
    <s v="AB107767"/>
    <x v="10"/>
    <n v="879173"/>
  </r>
  <r>
    <n v="10248"/>
    <n v="5"/>
    <d v="2014-06-12T00:00:00"/>
    <s v="DVD"/>
    <n v="104113"/>
    <s v="AB107768"/>
    <x v="12"/>
    <n v="879173"/>
  </r>
  <r>
    <n v="10169"/>
    <n v="1"/>
    <d v="2014-06-12T00:00:00"/>
    <s v="DVD"/>
    <n v="104114"/>
    <s v="AB107769"/>
    <x v="0"/>
    <n v="933331"/>
  </r>
  <r>
    <n v="10053"/>
    <n v="10"/>
    <d v="2014-06-13T00:00:00"/>
    <s v="DVD"/>
    <n v="104117"/>
    <s v="AB107774"/>
    <x v="4"/>
    <n v="660634"/>
  </r>
  <r>
    <n v="10259"/>
    <n v="5"/>
    <d v="2014-06-15T00:00:00"/>
    <s v="DVD"/>
    <n v="104117"/>
    <s v="AB107775"/>
    <x v="0"/>
    <n v="660634"/>
  </r>
  <r>
    <n v="10166"/>
    <n v="3"/>
    <d v="2014-06-13T00:00:00"/>
    <s v="DVD"/>
    <n v="104119"/>
    <s v="AB107778"/>
    <x v="9"/>
    <n v="955591"/>
  </r>
  <r>
    <n v="10203"/>
    <n v="1"/>
    <d v="2014-06-14T00:00:00"/>
    <s v="DVD"/>
    <n v="104120"/>
    <s v="AB107780"/>
    <x v="3"/>
    <n v="664934"/>
  </r>
  <r>
    <n v="10280"/>
    <n v="9"/>
    <d v="2014-06-13T00:00:00"/>
    <s v="DVD"/>
    <n v="104120"/>
    <s v="AB107781"/>
    <x v="7"/>
    <n v="664934"/>
  </r>
  <r>
    <n v="10280"/>
    <n v="5"/>
    <d v="2014-06-14T00:00:00"/>
    <s v="DVD"/>
    <n v="104123"/>
    <s v="AB107785"/>
    <x v="7"/>
    <n v="230602"/>
  </r>
  <r>
    <n v="10260"/>
    <n v="7"/>
    <d v="2014-06-14T00:00:00"/>
    <s v="DVD"/>
    <n v="104123"/>
    <s v="AB107786"/>
    <x v="4"/>
    <n v="230602"/>
  </r>
  <r>
    <n v="10135"/>
    <n v="8"/>
    <d v="2014-06-14T00:00:00"/>
    <s v="DVD"/>
    <n v="104124"/>
    <s v="AB107787"/>
    <x v="7"/>
    <n v="516619"/>
  </r>
  <r>
    <n v="10123"/>
    <n v="9"/>
    <d v="2014-06-15T00:00:00"/>
    <s v="DVD"/>
    <n v="104125"/>
    <s v="AB107791"/>
    <x v="9"/>
    <n v="884729"/>
  </r>
  <r>
    <n v="10101"/>
    <n v="6"/>
    <d v="2014-06-14T00:00:00"/>
    <s v="DVD"/>
    <n v="104126"/>
    <s v="AB107792"/>
    <x v="4"/>
    <n v="190721"/>
  </r>
  <r>
    <n v="10094"/>
    <n v="3"/>
    <d v="2014-06-14T00:00:00"/>
    <s v="DVD"/>
    <n v="104126"/>
    <s v="AB107793"/>
    <x v="12"/>
    <n v="190721"/>
  </r>
  <r>
    <n v="10169"/>
    <n v="2"/>
    <d v="2014-06-15T00:00:00"/>
    <s v="BLU-RAY"/>
    <n v="104127"/>
    <s v="AB107794"/>
    <x v="0"/>
    <n v="796796"/>
  </r>
  <r>
    <n v="10238"/>
    <n v="1"/>
    <d v="2014-06-15T00:00:00"/>
    <s v="BLU-RAY"/>
    <n v="104127"/>
    <s v="AB107796"/>
    <x v="0"/>
    <n v="796796"/>
  </r>
  <r>
    <n v="10281"/>
    <n v="2"/>
    <d v="2014-06-14T00:00:00"/>
    <s v="DVD"/>
    <n v="104128"/>
    <s v="AB107798"/>
    <x v="10"/>
    <n v="601753"/>
  </r>
  <r>
    <n v="10084"/>
    <n v="6"/>
    <d v="2014-06-15T00:00:00"/>
    <s v="DVD"/>
    <n v="104129"/>
    <s v="AB107800"/>
    <x v="18"/>
    <n v="373200"/>
  </r>
  <r>
    <n v="10200"/>
    <n v="4"/>
    <d v="2014-06-14T00:00:00"/>
    <s v="BLU-RAY"/>
    <n v="104129"/>
    <s v="AB107802"/>
    <x v="9"/>
    <n v="373200"/>
  </r>
  <r>
    <n v="10299"/>
    <n v="5"/>
    <d v="2014-06-15T00:00:00"/>
    <s v="DVD"/>
    <n v="104132"/>
    <s v="AB107807"/>
    <x v="22"/>
    <n v="161175"/>
  </r>
  <r>
    <n v="10115"/>
    <n v="10"/>
    <d v="2014-06-15T00:00:00"/>
    <s v="DVD"/>
    <n v="104132"/>
    <s v="AB107808"/>
    <x v="11"/>
    <n v="161175"/>
  </r>
  <r>
    <n v="10082"/>
    <n v="3"/>
    <d v="2014-06-15T00:00:00"/>
    <s v="DVD"/>
    <n v="104134"/>
    <s v="AB107810"/>
    <x v="3"/>
    <n v="761615"/>
  </r>
  <r>
    <n v="10138"/>
    <n v="4"/>
    <d v="2014-06-15T00:00:00"/>
    <s v="DVD"/>
    <n v="104135"/>
    <s v="AB107813"/>
    <x v="7"/>
    <n v="701211"/>
  </r>
  <r>
    <n v="10087"/>
    <n v="10"/>
    <d v="2014-06-17T00:00:00"/>
    <s v="DVD"/>
    <n v="104136"/>
    <s v="AB107816"/>
    <x v="10"/>
    <n v="938417"/>
  </r>
  <r>
    <n v="10048"/>
    <n v="1"/>
    <d v="2014-06-17T00:00:00"/>
    <s v="DVD"/>
    <n v="104136"/>
    <s v="AB107817"/>
    <x v="12"/>
    <n v="938417"/>
  </r>
  <r>
    <n v="10200"/>
    <n v="4"/>
    <d v="2014-06-16T00:00:00"/>
    <s v="DVD"/>
    <n v="104137"/>
    <s v="AB107818"/>
    <x v="9"/>
    <n v="173125"/>
  </r>
  <r>
    <n v="10226"/>
    <n v="5"/>
    <d v="2014-06-20T00:00:00"/>
    <s v="DVD"/>
    <n v="104140"/>
    <s v="AB107821"/>
    <x v="4"/>
    <n v="278204"/>
  </r>
  <r>
    <n v="10269"/>
    <n v="5"/>
    <d v="2014-06-16T00:00:00"/>
    <s v="DVD"/>
    <n v="104141"/>
    <s v="AB107825"/>
    <x v="3"/>
    <n v="157388"/>
  </r>
  <r>
    <n v="10222"/>
    <n v="10"/>
    <d v="2014-06-18T00:00:00"/>
    <s v="DVD"/>
    <n v="104142"/>
    <s v="AB107827"/>
    <x v="4"/>
    <n v="921792"/>
  </r>
  <r>
    <n v="10143"/>
    <n v="5"/>
    <d v="2014-06-17T00:00:00"/>
    <s v="DVD"/>
    <n v="104143"/>
    <s v="AB107828"/>
    <x v="3"/>
    <n v="744648"/>
  </r>
  <r>
    <n v="10297"/>
    <n v="4"/>
    <d v="2014-06-16T00:00:00"/>
    <s v="DVD"/>
    <n v="104143"/>
    <s v="AB107829"/>
    <x v="14"/>
    <n v="744648"/>
  </r>
  <r>
    <n v="10088"/>
    <n v="1"/>
    <d v="2014-06-21T00:00:00"/>
    <s v="DVD"/>
    <n v="104143"/>
    <s v="AB107830"/>
    <x v="0"/>
    <n v="744648"/>
  </r>
  <r>
    <n v="10147"/>
    <n v="9"/>
    <d v="2014-06-17T00:00:00"/>
    <s v="BLU-RAY"/>
    <n v="104144"/>
    <s v="AB107831"/>
    <x v="10"/>
    <n v="111486"/>
  </r>
  <r>
    <n v="10266"/>
    <n v="4"/>
    <d v="2014-06-21T00:00:00"/>
    <s v="DVD"/>
    <n v="104145"/>
    <s v="AB107834"/>
    <x v="4"/>
    <n v="275152"/>
  </r>
  <r>
    <n v="10285"/>
    <n v="6"/>
    <d v="2014-06-19T00:00:00"/>
    <s v="DVD"/>
    <n v="104146"/>
    <s v="AB107835"/>
    <x v="20"/>
    <n v="618955"/>
  </r>
  <r>
    <n v="10270"/>
    <n v="8"/>
    <d v="2014-06-21T00:00:00"/>
    <s v="DVD"/>
    <n v="104146"/>
    <s v="AB107836"/>
    <x v="9"/>
    <n v="618955"/>
  </r>
  <r>
    <n v="10294"/>
    <n v="2"/>
    <d v="2014-06-19T00:00:00"/>
    <s v="DVD"/>
    <n v="104149"/>
    <s v="AB107840"/>
    <x v="2"/>
    <n v="134457"/>
  </r>
  <r>
    <n v="10275"/>
    <n v="6"/>
    <d v="2014-06-17T00:00:00"/>
    <s v="BLU-RAY"/>
    <n v="104150"/>
    <s v="AB107841"/>
    <x v="10"/>
    <n v="191050"/>
  </r>
  <r>
    <n v="10200"/>
    <n v="1"/>
    <d v="2014-06-17T00:00:00"/>
    <s v="DVD"/>
    <n v="104151"/>
    <s v="AB107843"/>
    <x v="9"/>
    <n v="893039"/>
  </r>
  <r>
    <n v="10252"/>
    <n v="2"/>
    <d v="2014-06-18T00:00:00"/>
    <s v="DVD"/>
    <n v="104153"/>
    <s v="AB107848"/>
    <x v="0"/>
    <n v="822823"/>
  </r>
  <r>
    <n v="10194"/>
    <n v="2"/>
    <d v="2014-06-21T00:00:00"/>
    <s v="DVD"/>
    <n v="104153"/>
    <s v="AB107849"/>
    <x v="16"/>
    <n v="822823"/>
  </r>
  <r>
    <n v="10265"/>
    <n v="4"/>
    <d v="2014-06-20T00:00:00"/>
    <s v="DVD"/>
    <n v="104155"/>
    <s v="AB107852"/>
    <x v="0"/>
    <n v="741398"/>
  </r>
  <r>
    <n v="10147"/>
    <n v="8"/>
    <d v="2014-06-19T00:00:00"/>
    <s v="DVD"/>
    <n v="104157"/>
    <s v="AB107854"/>
    <x v="10"/>
    <n v="877877"/>
  </r>
  <r>
    <n v="10171"/>
    <n v="6"/>
    <d v="2014-06-18T00:00:00"/>
    <s v="BLU-RAY"/>
    <n v="104158"/>
    <s v="AB107858"/>
    <x v="7"/>
    <n v="491380"/>
  </r>
  <r>
    <n v="10197"/>
    <n v="6"/>
    <d v="2014-06-20T00:00:00"/>
    <s v="DVD"/>
    <n v="104158"/>
    <s v="AB107859"/>
    <x v="0"/>
    <n v="491380"/>
  </r>
  <r>
    <n v="10287"/>
    <n v="3"/>
    <d v="2014-06-25T00:00:00"/>
    <s v="DVD"/>
    <n v="104160"/>
    <s v="AB107861"/>
    <x v="10"/>
    <n v="265133"/>
  </r>
  <r>
    <n v="10289"/>
    <n v="10"/>
    <d v="2014-06-19T00:00:00"/>
    <s v="DVD"/>
    <n v="104160"/>
    <s v="AB107863"/>
    <x v="11"/>
    <n v="265133"/>
  </r>
  <r>
    <n v="10280"/>
    <n v="2"/>
    <d v="2014-06-19T00:00:00"/>
    <s v="DVD"/>
    <n v="104161"/>
    <s v="AB107864"/>
    <x v="7"/>
    <n v="513968"/>
  </r>
  <r>
    <n v="10275"/>
    <n v="2"/>
    <d v="2014-06-20T00:00:00"/>
    <s v="DVD"/>
    <n v="104161"/>
    <s v="AB107865"/>
    <x v="10"/>
    <n v="513968"/>
  </r>
  <r>
    <n v="10203"/>
    <n v="4"/>
    <d v="2014-06-19T00:00:00"/>
    <s v="DVD"/>
    <n v="104162"/>
    <s v="AB107867"/>
    <x v="3"/>
    <n v="744648"/>
  </r>
  <r>
    <n v="10224"/>
    <n v="3"/>
    <d v="2014-06-20T00:00:00"/>
    <s v="BLU-RAY"/>
    <n v="104162"/>
    <s v="AB107868"/>
    <x v="17"/>
    <n v="744648"/>
  </r>
  <r>
    <n v="10069"/>
    <n v="7"/>
    <d v="2014-06-19T00:00:00"/>
    <s v="BLU-RAY"/>
    <n v="104162"/>
    <s v="AB107869"/>
    <x v="0"/>
    <n v="744648"/>
  </r>
  <r>
    <n v="10224"/>
    <n v="9"/>
    <d v="2014-06-19T00:00:00"/>
    <s v="DVD"/>
    <n v="104163"/>
    <s v="AB107871"/>
    <x v="17"/>
    <n v="458448"/>
  </r>
  <r>
    <n v="10162"/>
    <n v="10"/>
    <d v="2014-06-20T00:00:00"/>
    <s v="BLU-RAY"/>
    <n v="104164"/>
    <s v="AB107874"/>
    <x v="4"/>
    <n v="759995"/>
  </r>
  <r>
    <n v="10237"/>
    <n v="9"/>
    <d v="2014-06-20T00:00:00"/>
    <s v="DVD"/>
    <n v="104165"/>
    <s v="AB107875"/>
    <x v="0"/>
    <n v="737707"/>
  </r>
  <r>
    <n v="10218"/>
    <n v="8"/>
    <d v="2014-06-21T00:00:00"/>
    <s v="DVD"/>
    <n v="104165"/>
    <s v="AB107876"/>
    <x v="4"/>
    <n v="737707"/>
  </r>
  <r>
    <n v="10200"/>
    <n v="10"/>
    <d v="2014-06-22T00:00:00"/>
    <s v="DVD"/>
    <n v="104166"/>
    <s v="AB107877"/>
    <x v="9"/>
    <n v="556619"/>
  </r>
  <r>
    <n v="10189"/>
    <n v="1"/>
    <d v="2014-06-20T00:00:00"/>
    <s v="DVD"/>
    <n v="104167"/>
    <s v="AB107879"/>
    <x v="7"/>
    <n v="592726"/>
  </r>
  <r>
    <n v="10298"/>
    <n v="4"/>
    <d v="2014-06-20T00:00:00"/>
    <s v="DVD"/>
    <n v="104167"/>
    <s v="AB107881"/>
    <x v="19"/>
    <n v="592726"/>
  </r>
  <r>
    <n v="10055"/>
    <n v="10"/>
    <d v="2014-06-22T00:00:00"/>
    <s v="DVD"/>
    <n v="104168"/>
    <s v="AB107882"/>
    <x v="15"/>
    <n v="498153"/>
  </r>
  <r>
    <n v="10129"/>
    <n v="3"/>
    <d v="2014-06-20T00:00:00"/>
    <s v="DVD"/>
    <n v="104168"/>
    <s v="AB107883"/>
    <x v="0"/>
    <n v="498153"/>
  </r>
  <r>
    <n v="10025"/>
    <n v="3"/>
    <d v="2014-06-20T00:00:00"/>
    <s v="BLU-RAY"/>
    <n v="104172"/>
    <s v="AB107891"/>
    <x v="4"/>
    <n v="345748"/>
  </r>
  <r>
    <n v="10291"/>
    <n v="7"/>
    <d v="2014-06-20T00:00:00"/>
    <s v="DVD"/>
    <n v="104172"/>
    <s v="AB107893"/>
    <x v="0"/>
    <n v="345748"/>
  </r>
  <r>
    <n v="10197"/>
    <n v="9"/>
    <d v="2014-06-21T00:00:00"/>
    <s v="DVD"/>
    <n v="104173"/>
    <s v="AB107894"/>
    <x v="0"/>
    <n v="409910"/>
  </r>
  <r>
    <n v="10299"/>
    <n v="8"/>
    <d v="2014-06-21T00:00:00"/>
    <s v="DVD"/>
    <n v="104174"/>
    <s v="AB107895"/>
    <x v="22"/>
    <n v="345348"/>
  </r>
  <r>
    <n v="10223"/>
    <n v="7"/>
    <d v="2014-06-21T00:00:00"/>
    <s v="DVD"/>
    <n v="104175"/>
    <s v="AB107898"/>
    <x v="7"/>
    <n v="464984"/>
  </r>
  <r>
    <n v="10086"/>
    <n v="3"/>
    <d v="2014-06-22T00:00:00"/>
    <s v="DVD"/>
    <n v="104176"/>
    <s v="AB107901"/>
    <x v="3"/>
    <n v="575041"/>
  </r>
  <r>
    <n v="10288"/>
    <n v="9"/>
    <d v="2014-06-21T00:00:00"/>
    <s v="DVD"/>
    <n v="104177"/>
    <s v="AB107904"/>
    <x v="12"/>
    <n v="813719"/>
  </r>
  <r>
    <n v="10274"/>
    <n v="3"/>
    <d v="2014-06-24T00:00:00"/>
    <s v="DVD"/>
    <n v="104178"/>
    <s v="AB107905"/>
    <x v="9"/>
    <n v="301793"/>
  </r>
  <r>
    <n v="10172"/>
    <n v="7"/>
    <d v="2014-06-21T00:00:00"/>
    <s v="DVD"/>
    <n v="104179"/>
    <s v="AB107906"/>
    <x v="10"/>
    <n v="743517"/>
  </r>
  <r>
    <n v="10285"/>
    <n v="3"/>
    <d v="2014-06-22T00:00:00"/>
    <s v="BLU-RAY"/>
    <n v="104184"/>
    <s v="AB107913"/>
    <x v="20"/>
    <n v="161175"/>
  </r>
  <r>
    <n v="10236"/>
    <n v="4"/>
    <d v="2014-06-22T00:00:00"/>
    <s v="DVD"/>
    <n v="104185"/>
    <s v="AB107914"/>
    <x v="10"/>
    <n v="464984"/>
  </r>
  <r>
    <n v="10288"/>
    <n v="8"/>
    <d v="2014-06-22T00:00:00"/>
    <s v="DVD"/>
    <n v="104186"/>
    <s v="AB107916"/>
    <x v="12"/>
    <n v="782947"/>
  </r>
  <r>
    <n v="10289"/>
    <n v="3"/>
    <d v="2014-06-23T00:00:00"/>
    <s v="BLU-RAY"/>
    <n v="104186"/>
    <s v="AB107917"/>
    <x v="11"/>
    <n v="782947"/>
  </r>
  <r>
    <n v="10244"/>
    <n v="4"/>
    <d v="2014-06-23T00:00:00"/>
    <s v="DVD"/>
    <n v="104189"/>
    <s v="AB107919"/>
    <x v="4"/>
    <n v="657495"/>
  </r>
  <r>
    <n v="10224"/>
    <n v="7"/>
    <d v="2014-06-24T00:00:00"/>
    <s v="BLU-RAY"/>
    <n v="104190"/>
    <s v="AB107921"/>
    <x v="17"/>
    <n v="168607"/>
  </r>
  <r>
    <n v="10207"/>
    <n v="4"/>
    <d v="2014-06-23T00:00:00"/>
    <s v="DVD"/>
    <n v="104190"/>
    <s v="AB107922"/>
    <x v="1"/>
    <n v="168607"/>
  </r>
  <r>
    <n v="10088"/>
    <n v="2"/>
    <d v="2014-06-25T00:00:00"/>
    <s v="BLU-RAY"/>
    <n v="104191"/>
    <s v="AB107924"/>
    <x v="0"/>
    <n v="454143"/>
  </r>
  <r>
    <n v="10016"/>
    <n v="7"/>
    <d v="2014-06-23T00:00:00"/>
    <s v="DVD"/>
    <n v="104191"/>
    <s v="AB107926"/>
    <x v="7"/>
    <n v="454143"/>
  </r>
  <r>
    <n v="10038"/>
    <n v="8"/>
    <d v="2014-06-23T00:00:00"/>
    <s v="BLU-RAY"/>
    <n v="104192"/>
    <s v="AB107927"/>
    <x v="1"/>
    <n v="465275"/>
  </r>
  <r>
    <n v="10057"/>
    <n v="9"/>
    <d v="2014-06-24T00:00:00"/>
    <s v="DVD"/>
    <n v="104192"/>
    <s v="AB107928"/>
    <x v="0"/>
    <n v="465275"/>
  </r>
  <r>
    <n v="10174"/>
    <n v="1"/>
    <d v="2014-06-24T00:00:00"/>
    <s v="DVD"/>
    <n v="104193"/>
    <s v="AB107929"/>
    <x v="7"/>
    <n v="241144"/>
  </r>
  <r>
    <n v="10281"/>
    <n v="10"/>
    <d v="2014-06-23T00:00:00"/>
    <s v="DVD"/>
    <n v="104193"/>
    <s v="AB107930"/>
    <x v="10"/>
    <n v="241144"/>
  </r>
  <r>
    <n v="10144"/>
    <n v="5"/>
    <d v="2014-06-24T00:00:00"/>
    <s v="DVD"/>
    <n v="104196"/>
    <s v="AB107935"/>
    <x v="2"/>
    <n v="882493"/>
  </r>
  <r>
    <n v="10128"/>
    <n v="7"/>
    <d v="2014-06-24T00:00:00"/>
    <s v="DVD"/>
    <n v="104196"/>
    <s v="AB107936"/>
    <x v="6"/>
    <n v="882493"/>
  </r>
  <r>
    <n v="10099"/>
    <n v="8"/>
    <d v="2014-06-25T00:00:00"/>
    <s v="DVD"/>
    <n v="104197"/>
    <s v="AB107938"/>
    <x v="10"/>
    <n v="905670"/>
  </r>
  <r>
    <n v="10164"/>
    <n v="5"/>
    <d v="2014-06-25T00:00:00"/>
    <s v="DVD"/>
    <n v="104198"/>
    <s v="AB107939"/>
    <x v="2"/>
    <n v="549823"/>
  </r>
  <r>
    <n v="10289"/>
    <n v="6"/>
    <d v="2014-06-24T00:00:00"/>
    <s v="DVD"/>
    <n v="104199"/>
    <s v="AB107943"/>
    <x v="11"/>
    <n v="707458"/>
  </r>
  <r>
    <n v="10349"/>
    <n v="4"/>
    <d v="2014-06-24T00:00:00"/>
    <s v="DVD"/>
    <n v="104200"/>
    <s v="AB107945"/>
    <x v="8"/>
    <n v="105549"/>
  </r>
  <r>
    <n v="10290"/>
    <n v="6"/>
    <d v="2014-06-25T00:00:00"/>
    <s v="DVD"/>
    <n v="104203"/>
    <s v="AB107948"/>
    <x v="2"/>
    <n v="825249"/>
  </r>
  <r>
    <n v="10265"/>
    <n v="8"/>
    <d v="2014-06-25T00:00:00"/>
    <s v="DVD"/>
    <n v="104203"/>
    <s v="AB107949"/>
    <x v="0"/>
    <n v="825249"/>
  </r>
  <r>
    <n v="10147"/>
    <n v="5"/>
    <d v="2014-06-29T00:00:00"/>
    <s v="DVD"/>
    <n v="104204"/>
    <s v="AB107950"/>
    <x v="10"/>
    <n v="996970"/>
  </r>
  <r>
    <n v="10158"/>
    <n v="2"/>
    <d v="2014-06-25T00:00:00"/>
    <s v="DVD"/>
    <n v="104204"/>
    <s v="AB107951"/>
    <x v="0"/>
    <n v="996970"/>
  </r>
  <r>
    <n v="10212"/>
    <n v="9"/>
    <d v="2014-06-26T00:00:00"/>
    <s v="DVD"/>
    <n v="104205"/>
    <s v="AB107953"/>
    <x v="10"/>
    <n v="345348"/>
  </r>
  <r>
    <n v="10250"/>
    <n v="7"/>
    <d v="2014-06-28T00:00:00"/>
    <s v="DVD"/>
    <n v="104206"/>
    <s v="AB107955"/>
    <x v="3"/>
    <n v="892883"/>
  </r>
  <r>
    <n v="10268"/>
    <n v="3"/>
    <d v="2014-06-25T00:00:00"/>
    <s v="DVD"/>
    <n v="104206"/>
    <s v="AB107956"/>
    <x v="3"/>
    <n v="892883"/>
  </r>
  <r>
    <n v="10188"/>
    <n v="4"/>
    <d v="2014-06-27T00:00:00"/>
    <s v="DVD"/>
    <n v="104209"/>
    <s v="AB107960"/>
    <x v="1"/>
    <n v="964403"/>
  </r>
  <r>
    <n v="10250"/>
    <n v="4"/>
    <d v="2014-06-26T00:00:00"/>
    <s v="DVD"/>
    <n v="104210"/>
    <s v="AB107962"/>
    <x v="3"/>
    <n v="116934"/>
  </r>
  <r>
    <n v="10230"/>
    <n v="6"/>
    <d v="2014-06-27T00:00:00"/>
    <s v="DVD"/>
    <n v="104211"/>
    <s v="AB107964"/>
    <x v="14"/>
    <n v="105771"/>
  </r>
  <r>
    <n v="10215"/>
    <n v="6"/>
    <d v="2014-06-27T00:00:00"/>
    <s v="BLU-RAY"/>
    <n v="104211"/>
    <s v="AB107965"/>
    <x v="1"/>
    <n v="105771"/>
  </r>
  <r>
    <n v="10067"/>
    <n v="5"/>
    <d v="2014-06-26T00:00:00"/>
    <s v="DVD"/>
    <n v="104212"/>
    <s v="AB107966"/>
    <x v="1"/>
    <n v="592528"/>
  </r>
  <r>
    <n v="10072"/>
    <n v="6"/>
    <d v="2014-06-29T00:00:00"/>
    <s v="DVD"/>
    <n v="104212"/>
    <s v="AB107967"/>
    <x v="1"/>
    <n v="592528"/>
  </r>
  <r>
    <n v="10073"/>
    <n v="7"/>
    <d v="2014-06-30T00:00:00"/>
    <s v="DVD"/>
    <n v="104213"/>
    <s v="AB107970"/>
    <x v="16"/>
    <n v="905670"/>
  </r>
  <r>
    <n v="10280"/>
    <n v="8"/>
    <d v="2014-06-28T00:00:00"/>
    <s v="DVD"/>
    <n v="104213"/>
    <s v="AB107971"/>
    <x v="7"/>
    <n v="905670"/>
  </r>
  <r>
    <n v="10233"/>
    <n v="6"/>
    <d v="2014-06-29T00:00:00"/>
    <s v="DVD"/>
    <n v="104214"/>
    <s v="AB107973"/>
    <x v="8"/>
    <n v="433442"/>
  </r>
  <r>
    <n v="10267"/>
    <n v="4"/>
    <d v="2014-06-27T00:00:00"/>
    <s v="DVD"/>
    <n v="104218"/>
    <s v="AB107982"/>
    <x v="6"/>
    <n v="567719"/>
  </r>
  <r>
    <n v="10137"/>
    <n v="1"/>
    <d v="2014-06-28T00:00:00"/>
    <s v="BLU-RAY"/>
    <n v="104219"/>
    <s v="AB107983"/>
    <x v="3"/>
    <n v="417823"/>
  </r>
  <r>
    <n v="10299"/>
    <n v="5"/>
    <d v="2014-06-28T00:00:00"/>
    <s v="DVD"/>
    <n v="104220"/>
    <s v="AB107984"/>
    <x v="22"/>
    <n v="346006"/>
  </r>
  <r>
    <n v="10274"/>
    <n v="10"/>
    <d v="2014-06-27T00:00:00"/>
    <s v="DVD"/>
    <n v="104220"/>
    <s v="AB107985"/>
    <x v="9"/>
    <n v="346006"/>
  </r>
  <r>
    <n v="10235"/>
    <n v="8"/>
    <d v="2014-06-27T00:00:00"/>
    <s v="BLU-RAY"/>
    <n v="104223"/>
    <s v="AB107992"/>
    <x v="10"/>
    <n v="798336"/>
  </r>
  <r>
    <n v="10192"/>
    <n v="7"/>
    <d v="2014-06-27T00:00:00"/>
    <s v="DVD"/>
    <n v="104224"/>
    <s v="AB107994"/>
    <x v="7"/>
    <n v="951702"/>
  </r>
  <r>
    <n v="10064"/>
    <n v="3"/>
    <d v="2014-06-27T00:00:00"/>
    <s v="DVD"/>
    <n v="104224"/>
    <s v="AB107996"/>
    <x v="7"/>
    <n v="951702"/>
  </r>
  <r>
    <n v="10219"/>
    <n v="3"/>
    <d v="2014-06-28T00:00:00"/>
    <s v="DVD"/>
    <n v="104225"/>
    <s v="AB107997"/>
    <x v="1"/>
    <n v="798336"/>
  </r>
  <r>
    <n v="10169"/>
    <n v="3"/>
    <d v="2014-06-29T00:00:00"/>
    <s v="DVD"/>
    <n v="104228"/>
    <s v="AB108003"/>
    <x v="0"/>
    <n v="580783"/>
  </r>
  <r>
    <n v="10219"/>
    <n v="7"/>
    <d v="2014-07-03T00:00:00"/>
    <s v="DVD"/>
    <n v="104228"/>
    <s v="AB108004"/>
    <x v="1"/>
    <n v="580783"/>
  </r>
  <r>
    <n v="10126"/>
    <n v="7"/>
    <d v="2014-07-05T00:00:00"/>
    <s v="DVD"/>
    <n v="104228"/>
    <s v="AB108005"/>
    <x v="9"/>
    <n v="580783"/>
  </r>
  <r>
    <n v="10273"/>
    <n v="9"/>
    <d v="2014-06-29T00:00:00"/>
    <s v="DVD"/>
    <n v="104229"/>
    <s v="AB108006"/>
    <x v="4"/>
    <n v="119406"/>
  </r>
  <r>
    <n v="10026"/>
    <n v="1"/>
    <d v="2014-07-03T00:00:00"/>
    <s v="DVD"/>
    <n v="104229"/>
    <s v="AB108008"/>
    <x v="9"/>
    <n v="119406"/>
  </r>
  <r>
    <n v="10171"/>
    <n v="10"/>
    <d v="2014-06-28T00:00:00"/>
    <s v="DVD"/>
    <n v="104230"/>
    <s v="AB108009"/>
    <x v="7"/>
    <n v="216475"/>
  </r>
  <r>
    <n v="10147"/>
    <n v="3"/>
    <d v="2014-07-01T00:00:00"/>
    <s v="DVD"/>
    <n v="104230"/>
    <s v="AB108011"/>
    <x v="10"/>
    <n v="216475"/>
  </r>
  <r>
    <n v="10182"/>
    <n v="7"/>
    <d v="2014-06-29T00:00:00"/>
    <s v="BLU-RAY"/>
    <n v="104231"/>
    <s v="AB108013"/>
    <x v="0"/>
    <n v="371731"/>
  </r>
  <r>
    <n v="10216"/>
    <n v="9"/>
    <d v="2014-06-28T00:00:00"/>
    <s v="DVD"/>
    <n v="104231"/>
    <s v="AB108014"/>
    <x v="4"/>
    <n v="371731"/>
  </r>
  <r>
    <n v="10190"/>
    <n v="7"/>
    <d v="2014-06-29T00:00:00"/>
    <s v="DVD"/>
    <n v="104232"/>
    <s v="AB108015"/>
    <x v="10"/>
    <n v="822823"/>
  </r>
  <r>
    <n v="10299"/>
    <n v="5"/>
    <d v="2014-06-29T00:00:00"/>
    <s v="DVD"/>
    <n v="104232"/>
    <s v="AB108017"/>
    <x v="22"/>
    <n v="822823"/>
  </r>
  <r>
    <n v="10065"/>
    <n v="5"/>
    <d v="2014-07-03T00:00:00"/>
    <s v="DVD"/>
    <n v="104233"/>
    <s v="AB108018"/>
    <x v="0"/>
    <n v="548546"/>
  </r>
  <r>
    <n v="10280"/>
    <n v="3"/>
    <d v="2014-07-01T00:00:00"/>
    <s v="DVD"/>
    <n v="104234"/>
    <s v="AB108021"/>
    <x v="7"/>
    <n v="815980"/>
  </r>
  <r>
    <n v="10283"/>
    <n v="5"/>
    <d v="2014-06-29T00:00:00"/>
    <s v="DVD"/>
    <n v="104235"/>
    <s v="AB108023"/>
    <x v="6"/>
    <n v="520196"/>
  </r>
  <r>
    <n v="10177"/>
    <n v="3"/>
    <d v="2014-06-29T00:00:00"/>
    <s v="DVD"/>
    <n v="104235"/>
    <s v="AB108024"/>
    <x v="9"/>
    <n v="520196"/>
  </r>
  <r>
    <n v="10130"/>
    <n v="5"/>
    <d v="2014-07-06T00:00:00"/>
    <s v="DVD"/>
    <n v="104236"/>
    <s v="AB108026"/>
    <x v="21"/>
    <n v="817274"/>
  </r>
  <r>
    <n v="10254"/>
    <n v="8"/>
    <d v="2014-06-29T00:00:00"/>
    <s v="DVD"/>
    <n v="104236"/>
    <s v="AB108027"/>
    <x v="1"/>
    <n v="817274"/>
  </r>
  <r>
    <n v="10231"/>
    <n v="1"/>
    <d v="2014-07-01T00:00:00"/>
    <s v="DVD"/>
    <n v="104239"/>
    <s v="AB108030"/>
    <x v="7"/>
    <n v="353846"/>
  </r>
  <r>
    <n v="10234"/>
    <n v="2"/>
    <d v="2014-06-30T00:00:00"/>
    <s v="BLU-RAY"/>
    <n v="104239"/>
    <s v="AB108032"/>
    <x v="0"/>
    <n v="353846"/>
  </r>
  <r>
    <n v="10248"/>
    <n v="9"/>
    <d v="2014-06-30T00:00:00"/>
    <s v="DVD"/>
    <n v="104240"/>
    <s v="AB108034"/>
    <x v="12"/>
    <n v="563500"/>
  </r>
  <r>
    <n v="10155"/>
    <n v="9"/>
    <d v="2014-07-02T00:00:00"/>
    <s v="DVD"/>
    <n v="104241"/>
    <s v="AB108038"/>
    <x v="9"/>
    <n v="852925"/>
  </r>
  <r>
    <n v="10169"/>
    <n v="1"/>
    <d v="2014-07-02T00:00:00"/>
    <s v="DVD"/>
    <n v="104245"/>
    <s v="AB108042"/>
    <x v="0"/>
    <n v="992895"/>
  </r>
  <r>
    <n v="10060"/>
    <n v="6"/>
    <d v="2014-07-02T00:00:00"/>
    <s v="BLU-RAY"/>
    <n v="104247"/>
    <s v="AB108046"/>
    <x v="0"/>
    <n v="396166"/>
  </r>
  <r>
    <n v="10250"/>
    <n v="5"/>
    <d v="2014-07-05T00:00:00"/>
    <s v="DVD"/>
    <n v="104248"/>
    <s v="AB108048"/>
    <x v="3"/>
    <n v="420981"/>
  </r>
  <r>
    <n v="10192"/>
    <n v="4"/>
    <d v="2014-07-01T00:00:00"/>
    <s v="BLU-RAY"/>
    <n v="104248"/>
    <s v="AB108049"/>
    <x v="7"/>
    <n v="420981"/>
  </r>
  <r>
    <n v="10201"/>
    <n v="10"/>
    <d v="2014-07-02T00:00:00"/>
    <s v="DVD"/>
    <n v="104249"/>
    <s v="AB108051"/>
    <x v="8"/>
    <n v="380003"/>
  </r>
  <r>
    <n v="10175"/>
    <n v="1"/>
    <d v="2014-07-02T00:00:00"/>
    <s v="DVD"/>
    <n v="104249"/>
    <s v="AB108052"/>
    <x v="3"/>
    <n v="380003"/>
  </r>
  <r>
    <n v="10269"/>
    <n v="4"/>
    <d v="2014-07-01T00:00:00"/>
    <s v="DVD"/>
    <n v="104251"/>
    <s v="AB108057"/>
    <x v="3"/>
    <n v="796796"/>
  </r>
  <r>
    <n v="10121"/>
    <n v="4"/>
    <d v="2014-07-03T00:00:00"/>
    <s v="DVD"/>
    <n v="104252"/>
    <s v="AB108059"/>
    <x v="2"/>
    <n v="393893"/>
  </r>
  <r>
    <n v="10297"/>
    <n v="1"/>
    <d v="2014-07-02T00:00:00"/>
    <s v="DVD"/>
    <n v="104252"/>
    <s v="AB108060"/>
    <x v="14"/>
    <n v="393893"/>
  </r>
  <r>
    <n v="10138"/>
    <n v="5"/>
    <d v="2014-07-03T00:00:00"/>
    <s v="DVD"/>
    <n v="104253"/>
    <s v="AB108063"/>
    <x v="7"/>
    <n v="667170"/>
  </r>
  <r>
    <n v="10217"/>
    <n v="8"/>
    <d v="2014-07-02T00:00:00"/>
    <s v="DVD"/>
    <n v="104254"/>
    <s v="AB108064"/>
    <x v="0"/>
    <n v="112690"/>
  </r>
  <r>
    <n v="10152"/>
    <n v="9"/>
    <d v="2014-07-02T00:00:00"/>
    <s v="DVD"/>
    <n v="104257"/>
    <s v="AB108072"/>
    <x v="16"/>
    <n v="996970"/>
  </r>
  <r>
    <n v="10396"/>
    <n v="2"/>
    <d v="2014-07-03T00:00:00"/>
    <s v="DVD"/>
    <n v="104259"/>
    <s v="AB108073"/>
    <x v="23"/>
    <n v="728908"/>
  </r>
  <r>
    <n v="10223"/>
    <n v="8"/>
    <d v="2014-07-03T00:00:00"/>
    <s v="DVD"/>
    <n v="104260"/>
    <s v="AB108078"/>
    <x v="7"/>
    <n v="840096"/>
  </r>
  <r>
    <n v="10263"/>
    <n v="9"/>
    <d v="2014-07-06T00:00:00"/>
    <s v="DVD"/>
    <n v="104261"/>
    <s v="AB108080"/>
    <x v="9"/>
    <n v="412544"/>
  </r>
  <r>
    <n v="10250"/>
    <n v="2"/>
    <d v="2014-07-05T00:00:00"/>
    <s v="DVD"/>
    <n v="104263"/>
    <s v="AB108085"/>
    <x v="3"/>
    <n v="734514"/>
  </r>
  <r>
    <n v="10274"/>
    <n v="2"/>
    <d v="2014-07-07T00:00:00"/>
    <s v="DVD"/>
    <n v="104264"/>
    <s v="AB108086"/>
    <x v="9"/>
    <n v="612681"/>
  </r>
  <r>
    <n v="10240"/>
    <n v="6"/>
    <d v="2014-07-03T00:00:00"/>
    <s v="DVD"/>
    <n v="104264"/>
    <s v="AB108087"/>
    <x v="0"/>
    <n v="612681"/>
  </r>
  <r>
    <n v="10140"/>
    <n v="2"/>
    <d v="2014-07-04T00:00:00"/>
    <s v="DVD"/>
    <n v="104265"/>
    <s v="AB108088"/>
    <x v="2"/>
    <n v="556619"/>
  </r>
  <r>
    <n v="10200"/>
    <n v="4"/>
    <d v="2014-07-05T00:00:00"/>
    <s v="BLU-RAY"/>
    <n v="104266"/>
    <s v="AB108090"/>
    <x v="9"/>
    <n v="566192"/>
  </r>
  <r>
    <n v="10282"/>
    <n v="1"/>
    <d v="2014-07-03T00:00:00"/>
    <s v="DVD"/>
    <n v="104266"/>
    <s v="AB108091"/>
    <x v="15"/>
    <n v="566192"/>
  </r>
  <r>
    <n v="10166"/>
    <n v="7"/>
    <d v="2014-07-04T00:00:00"/>
    <s v="DVD"/>
    <n v="104267"/>
    <s v="AB108094"/>
    <x v="9"/>
    <n v="404678"/>
  </r>
  <r>
    <n v="10193"/>
    <n v="2"/>
    <d v="2014-07-04T00:00:00"/>
    <s v="DVD"/>
    <n v="104267"/>
    <s v="AB108095"/>
    <x v="9"/>
    <n v="404678"/>
  </r>
  <r>
    <n v="10241"/>
    <n v="2"/>
    <d v="2014-07-04T00:00:00"/>
    <s v="DVD"/>
    <n v="104269"/>
    <s v="AB108097"/>
    <x v="0"/>
    <n v="908328"/>
  </r>
  <r>
    <n v="10250"/>
    <n v="2"/>
    <d v="2014-07-06T00:00:00"/>
    <s v="DVD"/>
    <n v="104271"/>
    <s v="AB108101"/>
    <x v="3"/>
    <n v="756928"/>
  </r>
  <r>
    <n v="10239"/>
    <n v="2"/>
    <d v="2014-07-05T00:00:00"/>
    <s v="DVD"/>
    <n v="104275"/>
    <s v="AB108104"/>
    <x v="2"/>
    <n v="494106"/>
  </r>
  <r>
    <n v="10230"/>
    <n v="10"/>
    <d v="2014-07-05T00:00:00"/>
    <s v="BLU-RAY"/>
    <n v="104276"/>
    <s v="AB108107"/>
    <x v="14"/>
    <n v="921792"/>
  </r>
  <r>
    <n v="10289"/>
    <n v="2"/>
    <d v="2014-07-05T00:00:00"/>
    <s v="BLU-RAY"/>
    <n v="104276"/>
    <s v="AB108108"/>
    <x v="11"/>
    <n v="921792"/>
  </r>
  <r>
    <n v="10127"/>
    <n v="5"/>
    <d v="2014-07-09T00:00:00"/>
    <s v="DVD"/>
    <n v="104277"/>
    <s v="AB108111"/>
    <x v="6"/>
    <n v="385115"/>
  </r>
  <r>
    <n v="10149"/>
    <n v="8"/>
    <d v="2014-07-08T00:00:00"/>
    <s v="DVD"/>
    <n v="104278"/>
    <s v="AB108113"/>
    <x v="12"/>
    <n v="432268"/>
  </r>
  <r>
    <n v="10148"/>
    <n v="6"/>
    <d v="2014-07-05T00:00:00"/>
    <s v="DVD"/>
    <n v="104279"/>
    <s v="AB108114"/>
    <x v="1"/>
    <n v="559486"/>
  </r>
  <r>
    <n v="10286"/>
    <n v="7"/>
    <d v="2014-07-06T00:00:00"/>
    <s v="DVD"/>
    <n v="104279"/>
    <s v="AB108116"/>
    <x v="17"/>
    <n v="559486"/>
  </r>
  <r>
    <n v="10143"/>
    <n v="7"/>
    <d v="2014-07-05T00:00:00"/>
    <s v="DVD"/>
    <n v="104281"/>
    <s v="AB108119"/>
    <x v="3"/>
    <n v="249779"/>
  </r>
  <r>
    <n v="10291"/>
    <n v="6"/>
    <d v="2014-07-08T00:00:00"/>
    <s v="DVD"/>
    <n v="104282"/>
    <s v="AB108120"/>
    <x v="0"/>
    <n v="890497"/>
  </r>
  <r>
    <n v="10216"/>
    <n v="5"/>
    <d v="2014-07-07T00:00:00"/>
    <s v="DVD"/>
    <n v="104282"/>
    <s v="AB108121"/>
    <x v="4"/>
    <n v="890497"/>
  </r>
  <r>
    <n v="10289"/>
    <n v="6"/>
    <d v="2014-07-06T00:00:00"/>
    <s v="DVD"/>
    <n v="104282"/>
    <s v="AB108122"/>
    <x v="11"/>
    <n v="890497"/>
  </r>
  <r>
    <n v="10238"/>
    <n v="8"/>
    <d v="2014-07-07T00:00:00"/>
    <s v="DVD"/>
    <n v="104283"/>
    <s v="AB108123"/>
    <x v="0"/>
    <n v="111991"/>
  </r>
  <r>
    <n v="10160"/>
    <n v="2"/>
    <d v="2014-07-07T00:00:00"/>
    <s v="DVD"/>
    <n v="104283"/>
    <s v="AB108124"/>
    <x v="10"/>
    <n v="111991"/>
  </r>
  <r>
    <n v="10270"/>
    <n v="4"/>
    <d v="2014-07-06T00:00:00"/>
    <s v="BLU-RAY"/>
    <n v="104284"/>
    <s v="AB108125"/>
    <x v="9"/>
    <n v="266633"/>
  </r>
  <r>
    <n v="10211"/>
    <n v="2"/>
    <d v="2014-07-07T00:00:00"/>
    <s v="BLU-RAY"/>
    <n v="104285"/>
    <s v="AB108126"/>
    <x v="3"/>
    <n v="707458"/>
  </r>
  <r>
    <n v="10217"/>
    <n v="9"/>
    <d v="2014-07-06T00:00:00"/>
    <s v="DVD"/>
    <n v="104285"/>
    <s v="AB108127"/>
    <x v="0"/>
    <n v="707458"/>
  </r>
  <r>
    <n v="10215"/>
    <n v="6"/>
    <d v="2014-07-06T00:00:00"/>
    <s v="BLU-RAY"/>
    <n v="104287"/>
    <s v="AB108129"/>
    <x v="1"/>
    <n v="170500"/>
  </r>
  <r>
    <n v="10354"/>
    <n v="2"/>
    <d v="2014-07-06T00:00:00"/>
    <s v="DVD"/>
    <n v="104288"/>
    <s v="AB108130"/>
    <x v="3"/>
    <n v="977759"/>
  </r>
  <r>
    <n v="10237"/>
    <n v="9"/>
    <d v="2014-07-08T00:00:00"/>
    <s v="DVD"/>
    <n v="104288"/>
    <s v="AB108132"/>
    <x v="0"/>
    <n v="977759"/>
  </r>
  <r>
    <n v="10082"/>
    <n v="5"/>
    <d v="2014-07-08T00:00:00"/>
    <s v="BLU-RAY"/>
    <n v="104294"/>
    <s v="AB108140"/>
    <x v="3"/>
    <n v="739440"/>
  </r>
  <r>
    <n v="10280"/>
    <n v="6"/>
    <d v="2014-07-07T00:00:00"/>
    <s v="DVD"/>
    <n v="104296"/>
    <s v="AB108142"/>
    <x v="7"/>
    <n v="233956"/>
  </r>
  <r>
    <n v="10158"/>
    <n v="7"/>
    <d v="2014-07-08T00:00:00"/>
    <s v="DVD"/>
    <n v="104298"/>
    <s v="AB108145"/>
    <x v="0"/>
    <n v="296886"/>
  </r>
  <r>
    <n v="10148"/>
    <n v="10"/>
    <d v="2014-07-10T00:00:00"/>
    <s v="BLU-RAY"/>
    <n v="104302"/>
    <s v="AB108153"/>
    <x v="1"/>
    <n v="491380"/>
  </r>
  <r>
    <n v="10245"/>
    <n v="7"/>
    <d v="2014-07-08T00:00:00"/>
    <s v="BLU-RAY"/>
    <n v="104303"/>
    <s v="AB108155"/>
    <x v="0"/>
    <n v="559486"/>
  </r>
  <r>
    <n v="10018"/>
    <n v="8"/>
    <d v="2014-07-09T00:00:00"/>
    <s v="DVD"/>
    <n v="104303"/>
    <s v="AB108156"/>
    <x v="9"/>
    <n v="559486"/>
  </r>
  <r>
    <n v="10286"/>
    <n v="10"/>
    <d v="2014-07-10T00:00:00"/>
    <s v="DVD"/>
    <n v="104305"/>
    <s v="AB108160"/>
    <x v="17"/>
    <n v="214537"/>
  </r>
  <r>
    <n v="10176"/>
    <n v="3"/>
    <d v="2014-07-09T00:00:00"/>
    <s v="BLU-RAY"/>
    <n v="104306"/>
    <s v="AB108161"/>
    <x v="7"/>
    <n v="775449"/>
  </r>
  <r>
    <n v="10150"/>
    <n v="8"/>
    <d v="2014-07-10T00:00:00"/>
    <s v="DVD"/>
    <n v="104308"/>
    <s v="AB108165"/>
    <x v="14"/>
    <n v="306853"/>
  </r>
  <r>
    <n v="10155"/>
    <n v="1"/>
    <d v="2014-07-12T00:00:00"/>
    <s v="DVD"/>
    <n v="104309"/>
    <s v="AB108166"/>
    <x v="9"/>
    <n v="166135"/>
  </r>
  <r>
    <n v="10282"/>
    <n v="6"/>
    <d v="2014-07-09T00:00:00"/>
    <s v="DVD"/>
    <n v="104312"/>
    <s v="AB108172"/>
    <x v="15"/>
    <n v="552124"/>
  </r>
  <r>
    <n v="10225"/>
    <n v="8"/>
    <d v="2014-07-09T00:00:00"/>
    <s v="DVD"/>
    <n v="104312"/>
    <s v="AB108173"/>
    <x v="0"/>
    <n v="552124"/>
  </r>
  <r>
    <n v="10098"/>
    <n v="2"/>
    <d v="2014-07-10T00:00:00"/>
    <s v="BLU-RAY"/>
    <n v="104314"/>
    <s v="AB108175"/>
    <x v="0"/>
    <n v="912671"/>
  </r>
  <r>
    <n v="10285"/>
    <n v="9"/>
    <d v="2014-07-13T00:00:00"/>
    <s v="DVD"/>
    <n v="104315"/>
    <s v="AB108177"/>
    <x v="20"/>
    <n v="785444"/>
  </r>
  <r>
    <n v="10197"/>
    <n v="7"/>
    <d v="2014-07-10T00:00:00"/>
    <s v="DVD"/>
    <n v="104316"/>
    <s v="AB108179"/>
    <x v="0"/>
    <n v="370870"/>
  </r>
  <r>
    <n v="10226"/>
    <n v="9"/>
    <d v="2014-07-10T00:00:00"/>
    <s v="DVD"/>
    <n v="104316"/>
    <s v="AB108180"/>
    <x v="4"/>
    <n v="370870"/>
  </r>
  <r>
    <n v="10197"/>
    <n v="1"/>
    <d v="2014-07-10T00:00:00"/>
    <s v="DVD"/>
    <n v="104317"/>
    <s v="AB108181"/>
    <x v="0"/>
    <n v="632495"/>
  </r>
  <r>
    <n v="10019"/>
    <n v="3"/>
    <d v="2014-07-12T00:00:00"/>
    <s v="BLU-RAY"/>
    <n v="104320"/>
    <s v="AB108186"/>
    <x v="9"/>
    <n v="554099"/>
  </r>
  <r>
    <n v="10194"/>
    <n v="5"/>
    <d v="2014-07-11T00:00:00"/>
    <s v="DVD"/>
    <n v="104324"/>
    <s v="AB108189"/>
    <x v="16"/>
    <n v="632495"/>
  </r>
  <r>
    <n v="10196"/>
    <n v="3"/>
    <d v="2014-07-11T00:00:00"/>
    <s v="DVD"/>
    <n v="104325"/>
    <s v="AB108191"/>
    <x v="9"/>
    <n v="447601"/>
  </r>
  <r>
    <n v="10112"/>
    <n v="10"/>
    <d v="2014-07-13T00:00:00"/>
    <s v="DVD"/>
    <n v="104327"/>
    <s v="AB108195"/>
    <x v="12"/>
    <n v="227456"/>
  </r>
  <r>
    <n v="10152"/>
    <n v="5"/>
    <d v="2014-07-14T00:00:00"/>
    <s v="DVD"/>
    <n v="104331"/>
    <s v="AB108203"/>
    <x v="16"/>
    <n v="393893"/>
  </r>
  <r>
    <n v="10177"/>
    <n v="2"/>
    <d v="2014-07-13T00:00:00"/>
    <s v="DVD"/>
    <n v="104333"/>
    <s v="AB108206"/>
    <x v="9"/>
    <n v="230467"/>
  </r>
  <r>
    <n v="10176"/>
    <n v="2"/>
    <d v="2014-07-14T00:00:00"/>
    <s v="DVD"/>
    <n v="104334"/>
    <s v="AB108207"/>
    <x v="7"/>
    <n v="175940"/>
  </r>
  <r>
    <n v="10050"/>
    <n v="3"/>
    <d v="2014-07-13T00:00:00"/>
    <s v="DVD"/>
    <n v="104334"/>
    <s v="AB108208"/>
    <x v="1"/>
    <n v="175940"/>
  </r>
  <r>
    <n v="10068"/>
    <n v="3"/>
    <d v="2014-07-18T00:00:00"/>
    <s v="BLU-RAY"/>
    <n v="104336"/>
    <s v="AB108213"/>
    <x v="0"/>
    <n v="331115"/>
  </r>
  <r>
    <n v="10279"/>
    <n v="9"/>
    <d v="2014-07-14T00:00:00"/>
    <s v="DVD"/>
    <n v="104337"/>
    <s v="AB108214"/>
    <x v="8"/>
    <n v="759995"/>
  </r>
  <r>
    <n v="10171"/>
    <n v="5"/>
    <d v="2014-07-14T00:00:00"/>
    <s v="DVD"/>
    <n v="104338"/>
    <s v="AB108218"/>
    <x v="7"/>
    <n v="516619"/>
  </r>
  <r>
    <n v="10126"/>
    <n v="5"/>
    <d v="2014-07-16T00:00:00"/>
    <s v="DVD"/>
    <n v="104340"/>
    <s v="AB108221"/>
    <x v="9"/>
    <n v="475216"/>
  </r>
  <r>
    <n v="10194"/>
    <n v="9"/>
    <d v="2014-07-15T00:00:00"/>
    <s v="DVD"/>
    <n v="104342"/>
    <s v="AB108225"/>
    <x v="16"/>
    <n v="456457"/>
  </r>
  <r>
    <n v="10239"/>
    <n v="6"/>
    <d v="2014-07-14T00:00:00"/>
    <s v="DVD"/>
    <n v="104342"/>
    <s v="AB108226"/>
    <x v="2"/>
    <n v="456457"/>
  </r>
  <r>
    <n v="10031"/>
    <n v="5"/>
    <d v="2014-07-14T00:00:00"/>
    <s v="DVD"/>
    <n v="104342"/>
    <s v="AB108227"/>
    <x v="0"/>
    <n v="456457"/>
  </r>
  <r>
    <n v="10113"/>
    <n v="6"/>
    <d v="2014-07-15T00:00:00"/>
    <s v="DVD"/>
    <n v="104345"/>
    <s v="AB108232"/>
    <x v="10"/>
    <n v="877877"/>
  </r>
  <r>
    <n v="10219"/>
    <n v="9"/>
    <d v="2014-07-16T00:00:00"/>
    <s v="DVD"/>
    <n v="104347"/>
    <s v="AB108237"/>
    <x v="1"/>
    <n v="380003"/>
  </r>
  <r>
    <n v="10230"/>
    <n v="10"/>
    <d v="2014-07-15T00:00:00"/>
    <s v="DVD"/>
    <n v="104347"/>
    <s v="AB108238"/>
    <x v="14"/>
    <n v="380003"/>
  </r>
  <r>
    <n v="10245"/>
    <n v="6"/>
    <d v="2014-07-19T00:00:00"/>
    <s v="BLU-RAY"/>
    <n v="104348"/>
    <s v="AB108240"/>
    <x v="0"/>
    <n v="249188"/>
  </r>
  <r>
    <n v="10211"/>
    <n v="2"/>
    <d v="2014-07-16T00:00:00"/>
    <s v="DVD"/>
    <n v="104349"/>
    <s v="AB108242"/>
    <x v="3"/>
    <n v="912671"/>
  </r>
  <r>
    <n v="10093"/>
    <n v="3"/>
    <d v="2014-07-19T00:00:00"/>
    <s v="DVD"/>
    <n v="104351"/>
    <s v="AB108247"/>
    <x v="11"/>
    <n v="723057"/>
  </r>
  <r>
    <n v="10283"/>
    <n v="4"/>
    <d v="2014-07-18T00:00:00"/>
    <s v="DVD"/>
    <n v="104351"/>
    <s v="AB108248"/>
    <x v="6"/>
    <n v="723057"/>
  </r>
  <r>
    <n v="10239"/>
    <n v="8"/>
    <d v="2014-07-16T00:00:00"/>
    <s v="DVD"/>
    <n v="104352"/>
    <s v="AB108249"/>
    <x v="2"/>
    <n v="265339"/>
  </r>
  <r>
    <n v="10146"/>
    <n v="7"/>
    <d v="2014-07-20T00:00:00"/>
    <s v="BLU-RAY"/>
    <n v="104352"/>
    <s v="AB108250"/>
    <x v="4"/>
    <n v="265339"/>
  </r>
  <r>
    <n v="10090"/>
    <n v="3"/>
    <d v="2014-08-05T00:00:00"/>
    <s v="BLU-RAY"/>
    <n v="104353"/>
    <s v="AB108252"/>
    <x v="1"/>
    <n v="253106"/>
  </r>
  <r>
    <n v="10018"/>
    <n v="4"/>
    <d v="2014-07-17T00:00:00"/>
    <s v="DVD"/>
    <n v="104355"/>
    <s v="AB108254"/>
    <x v="9"/>
    <n v="611848"/>
  </r>
  <r>
    <n v="10152"/>
    <n v="10"/>
    <d v="2014-07-18T00:00:00"/>
    <s v="DVD"/>
    <n v="104355"/>
    <s v="AB108256"/>
    <x v="16"/>
    <n v="611848"/>
  </r>
  <r>
    <n v="10287"/>
    <n v="4"/>
    <d v="2014-07-16T00:00:00"/>
    <s v="DVD"/>
    <n v="104356"/>
    <s v="AB108260"/>
    <x v="10"/>
    <n v="331115"/>
  </r>
  <r>
    <n v="10193"/>
    <n v="10"/>
    <d v="2014-07-17T00:00:00"/>
    <s v="BLU-RAY"/>
    <n v="104359"/>
    <s v="AB108265"/>
    <x v="9"/>
    <n v="203787"/>
  </r>
  <r>
    <n v="10143"/>
    <n v="2"/>
    <d v="2014-07-17T00:00:00"/>
    <s v="DVD"/>
    <n v="104360"/>
    <s v="AB108267"/>
    <x v="3"/>
    <n v="586201"/>
  </r>
  <r>
    <n v="10209"/>
    <n v="5"/>
    <d v="2014-07-17T00:00:00"/>
    <s v="DVD"/>
    <n v="104361"/>
    <s v="AB108270"/>
    <x v="7"/>
    <n v="791559"/>
  </r>
  <r>
    <n v="10187"/>
    <n v="9"/>
    <d v="2014-07-20T00:00:00"/>
    <s v="DVD"/>
    <n v="104361"/>
    <s v="AB108271"/>
    <x v="1"/>
    <n v="791559"/>
  </r>
  <r>
    <n v="10152"/>
    <n v="1"/>
    <d v="2014-07-17T00:00:00"/>
    <s v="BLU-RAY"/>
    <n v="104363"/>
    <s v="AB108274"/>
    <x v="16"/>
    <n v="319387"/>
  </r>
  <r>
    <n v="10074"/>
    <n v="3"/>
    <d v="2014-07-18T00:00:00"/>
    <s v="DVD"/>
    <n v="104364"/>
    <s v="AB108275"/>
    <x v="11"/>
    <n v="694281"/>
  </r>
  <r>
    <n v="10261"/>
    <n v="5"/>
    <d v="2014-07-18T00:00:00"/>
    <s v="DVD"/>
    <n v="104364"/>
    <s v="AB108276"/>
    <x v="9"/>
    <n v="694281"/>
  </r>
  <r>
    <n v="10161"/>
    <n v="5"/>
    <d v="2014-07-19T00:00:00"/>
    <s v="DVD"/>
    <n v="104365"/>
    <s v="AB108277"/>
    <x v="6"/>
    <n v="464984"/>
  </r>
  <r>
    <n v="10283"/>
    <n v="10"/>
    <d v="2014-07-18T00:00:00"/>
    <s v="DVD"/>
    <n v="104366"/>
    <s v="AB108281"/>
    <x v="6"/>
    <n v="908328"/>
  </r>
  <r>
    <n v="10271"/>
    <n v="2"/>
    <d v="2014-07-19T00:00:00"/>
    <s v="DVD"/>
    <n v="104367"/>
    <s v="AB108283"/>
    <x v="7"/>
    <n v="955591"/>
  </r>
  <r>
    <n v="10145"/>
    <n v="10"/>
    <d v="2014-07-18T00:00:00"/>
    <s v="DVD"/>
    <n v="104367"/>
    <s v="AB108284"/>
    <x v="6"/>
    <n v="955591"/>
  </r>
  <r>
    <n v="10194"/>
    <n v="3"/>
    <d v="2014-07-19T00:00:00"/>
    <s v="DVD"/>
    <n v="104368"/>
    <s v="AB108285"/>
    <x v="16"/>
    <n v="304344"/>
  </r>
  <r>
    <n v="10267"/>
    <n v="9"/>
    <d v="2014-07-20T00:00:00"/>
    <s v="DVD"/>
    <n v="104368"/>
    <s v="AB108286"/>
    <x v="6"/>
    <n v="304344"/>
  </r>
  <r>
    <n v="10177"/>
    <n v="10"/>
    <d v="2014-07-19T00:00:00"/>
    <s v="DVD"/>
    <n v="104371"/>
    <s v="AB108291"/>
    <x v="9"/>
    <n v="911171"/>
  </r>
  <r>
    <n v="10250"/>
    <n v="10"/>
    <d v="2014-07-18T00:00:00"/>
    <s v="DVD"/>
    <n v="104371"/>
    <s v="AB108292"/>
    <x v="3"/>
    <n v="911171"/>
  </r>
  <r>
    <n v="10116"/>
    <n v="6"/>
    <d v="2014-07-18T00:00:00"/>
    <s v="DVD"/>
    <n v="104371"/>
    <s v="AB108293"/>
    <x v="7"/>
    <n v="911171"/>
  </r>
  <r>
    <n v="10209"/>
    <n v="1"/>
    <d v="2014-07-20T00:00:00"/>
    <s v="DVD"/>
    <n v="104374"/>
    <s v="AB108300"/>
    <x v="7"/>
    <n v="116934"/>
  </r>
  <r>
    <n v="10037"/>
    <n v="4"/>
    <d v="2014-07-19T00:00:00"/>
    <s v="DVD"/>
    <n v="104375"/>
    <s v="AB108303"/>
    <x v="3"/>
    <n v="479497"/>
  </r>
  <r>
    <n v="10127"/>
    <n v="3"/>
    <d v="2014-07-19T00:00:00"/>
    <s v="DVD"/>
    <n v="104375"/>
    <s v="AB108304"/>
    <x v="6"/>
    <n v="479497"/>
  </r>
  <r>
    <n v="10225"/>
    <n v="1"/>
    <d v="2014-07-19T00:00:00"/>
    <s v="DVD"/>
    <n v="104375"/>
    <s v="AB108305"/>
    <x v="0"/>
    <n v="479497"/>
  </r>
  <r>
    <n v="10288"/>
    <n v="5"/>
    <d v="2014-07-20T00:00:00"/>
    <s v="DVD"/>
    <n v="104376"/>
    <s v="AB108308"/>
    <x v="12"/>
    <n v="885548"/>
  </r>
  <r>
    <n v="10200"/>
    <n v="5"/>
    <d v="2014-07-19T00:00:00"/>
    <s v="DVD"/>
    <n v="104377"/>
    <s v="AB108309"/>
    <x v="9"/>
    <n v="759995"/>
  </r>
  <r>
    <n v="10079"/>
    <n v="3"/>
    <d v="2014-07-19T00:00:00"/>
    <s v="BLU-RAY"/>
    <n v="104377"/>
    <s v="AB108310"/>
    <x v="0"/>
    <n v="759995"/>
  </r>
  <r>
    <n v="10237"/>
    <n v="8"/>
    <d v="2014-07-19T00:00:00"/>
    <s v="BLU-RAY"/>
    <n v="104377"/>
    <s v="AB108311"/>
    <x v="0"/>
    <n v="759995"/>
  </r>
  <r>
    <n v="10222"/>
    <n v="1"/>
    <d v="2014-07-20T00:00:00"/>
    <s v="DVD"/>
    <n v="104380"/>
    <s v="AB108314"/>
    <x v="4"/>
    <n v="973766"/>
  </r>
  <r>
    <n v="10281"/>
    <n v="8"/>
    <d v="2014-07-20T00:00:00"/>
    <s v="DVD"/>
    <n v="104380"/>
    <s v="AB108315"/>
    <x v="10"/>
    <n v="973766"/>
  </r>
  <r>
    <n v="10250"/>
    <n v="9"/>
    <d v="2014-07-20T00:00:00"/>
    <s v="BLU-RAY"/>
    <n v="104381"/>
    <s v="AB108320"/>
    <x v="3"/>
    <n v="253106"/>
  </r>
  <r>
    <n v="10142"/>
    <n v="5"/>
    <d v="2014-07-21T00:00:00"/>
    <s v="DVD"/>
    <n v="104383"/>
    <s v="AB108325"/>
    <x v="0"/>
    <n v="771285"/>
  </r>
  <r>
    <n v="10253"/>
    <n v="4"/>
    <d v="2014-07-20T00:00:00"/>
    <s v="BLU-RAY"/>
    <n v="104383"/>
    <s v="AB108327"/>
    <x v="3"/>
    <n v="771285"/>
  </r>
  <r>
    <n v="10288"/>
    <n v="2"/>
    <d v="2014-07-20T00:00:00"/>
    <s v="BLU-RAY"/>
    <n v="104384"/>
    <s v="AB108328"/>
    <x v="12"/>
    <n v="822823"/>
  </r>
  <r>
    <n v="10246"/>
    <n v="7"/>
    <d v="2014-07-20T00:00:00"/>
    <s v="DVD"/>
    <n v="104384"/>
    <s v="AB108329"/>
    <x v="2"/>
    <n v="822823"/>
  </r>
  <r>
    <n v="10083"/>
    <n v="8"/>
    <d v="2014-07-20T00:00:00"/>
    <s v="DVD"/>
    <n v="104385"/>
    <s v="AB108331"/>
    <x v="3"/>
    <n v="418635"/>
  </r>
  <r>
    <n v="10266"/>
    <n v="8"/>
    <d v="2014-07-20T00:00:00"/>
    <s v="DVD"/>
    <n v="104385"/>
    <s v="AB108334"/>
    <x v="4"/>
    <n v="418635"/>
  </r>
  <r>
    <n v="10101"/>
    <n v="10"/>
    <d v="2014-07-20T00:00:00"/>
    <s v="DVD"/>
    <n v="104386"/>
    <s v="AB108336"/>
    <x v="4"/>
    <n v="193914"/>
  </r>
  <r>
    <n v="10108"/>
    <n v="9"/>
    <d v="2014-07-21T00:00:00"/>
    <s v="DVD"/>
    <n v="104389"/>
    <s v="AB108341"/>
    <x v="9"/>
    <n v="884368"/>
  </r>
  <r>
    <n v="10134"/>
    <n v="3"/>
    <d v="2014-07-22T00:00:00"/>
    <s v="DVD"/>
    <n v="104390"/>
    <s v="AB108342"/>
    <x v="7"/>
    <n v="456457"/>
  </r>
  <r>
    <n v="10245"/>
    <n v="8"/>
    <d v="2014-07-21T00:00:00"/>
    <s v="BLU-RAY"/>
    <n v="104392"/>
    <s v="AB108344"/>
    <x v="0"/>
    <n v="325263"/>
  </r>
  <r>
    <n v="10297"/>
    <n v="2"/>
    <d v="2014-07-21T00:00:00"/>
    <s v="DVD"/>
    <n v="104392"/>
    <s v="AB108345"/>
    <x v="14"/>
    <n v="325263"/>
  </r>
  <r>
    <n v="10285"/>
    <n v="5"/>
    <d v="2014-07-22T00:00:00"/>
    <s v="BLU-RAY"/>
    <n v="104394"/>
    <s v="AB108349"/>
    <x v="20"/>
    <n v="866847"/>
  </r>
  <r>
    <n v="10188"/>
    <n v="4"/>
    <d v="2014-07-22T00:00:00"/>
    <s v="DVD"/>
    <n v="104395"/>
    <s v="AB108350"/>
    <x v="1"/>
    <n v="731346"/>
  </r>
  <r>
    <n v="10058"/>
    <n v="7"/>
    <d v="2014-07-23T00:00:00"/>
    <s v="DVD"/>
    <n v="104398"/>
    <s v="AB108353"/>
    <x v="4"/>
    <n v="442691"/>
  </r>
  <r>
    <n v="10294"/>
    <n v="9"/>
    <d v="2014-07-25T00:00:00"/>
    <s v="DVD"/>
    <n v="104398"/>
    <s v="AB108354"/>
    <x v="2"/>
    <n v="442691"/>
  </r>
  <r>
    <n v="10230"/>
    <n v="1"/>
    <d v="2014-07-27T00:00:00"/>
    <s v="DVD"/>
    <n v="104398"/>
    <s v="AB108355"/>
    <x v="14"/>
    <n v="442691"/>
  </r>
  <r>
    <n v="10216"/>
    <n v="5"/>
    <d v="2014-07-23T00:00:00"/>
    <s v="DVD"/>
    <n v="104399"/>
    <s v="AB108356"/>
    <x v="4"/>
    <n v="173380"/>
  </r>
  <r>
    <n v="10250"/>
    <n v="8"/>
    <d v="2014-07-22T00:00:00"/>
    <s v="BLU-RAY"/>
    <n v="104401"/>
    <s v="AB108360"/>
    <x v="3"/>
    <n v="412544"/>
  </r>
  <r>
    <n v="10262"/>
    <n v="4"/>
    <d v="2014-07-24T00:00:00"/>
    <s v="DVD"/>
    <n v="104403"/>
    <s v="AB108364"/>
    <x v="10"/>
    <n v="992895"/>
  </r>
  <r>
    <n v="10229"/>
    <n v="4"/>
    <d v="2014-07-25T00:00:00"/>
    <s v="DVD"/>
    <n v="104403"/>
    <s v="AB108365"/>
    <x v="6"/>
    <n v="992895"/>
  </r>
  <r>
    <n v="10237"/>
    <n v="3"/>
    <d v="2014-07-23T00:00:00"/>
    <s v="DVD"/>
    <n v="104404"/>
    <s v="AB108366"/>
    <x v="0"/>
    <n v="189953"/>
  </r>
  <r>
    <n v="10297"/>
    <n v="7"/>
    <d v="2014-07-24T00:00:00"/>
    <s v="DVD"/>
    <n v="104404"/>
    <s v="AB108367"/>
    <x v="14"/>
    <n v="189953"/>
  </r>
  <r>
    <n v="10236"/>
    <n v="8"/>
    <d v="2014-07-24T00:00:00"/>
    <s v="DVD"/>
    <n v="104404"/>
    <s v="AB108368"/>
    <x v="10"/>
    <n v="189953"/>
  </r>
  <r>
    <n v="10285"/>
    <n v="6"/>
    <d v="2014-07-24T00:00:00"/>
    <s v="BLU-RAY"/>
    <n v="104404"/>
    <s v="AB108369"/>
    <x v="20"/>
    <n v="189953"/>
  </r>
  <r>
    <n v="10218"/>
    <n v="10"/>
    <d v="2014-07-23T00:00:00"/>
    <s v="DVD"/>
    <n v="104405"/>
    <s v="AB108371"/>
    <x v="4"/>
    <n v="970794"/>
  </r>
  <r>
    <n v="10253"/>
    <n v="3"/>
    <d v="2014-07-29T00:00:00"/>
    <s v="BLU-RAY"/>
    <n v="104406"/>
    <s v="AB108373"/>
    <x v="3"/>
    <n v="628132"/>
  </r>
  <r>
    <n v="10016"/>
    <n v="9"/>
    <d v="2014-07-24T00:00:00"/>
    <s v="DVD"/>
    <n v="104406"/>
    <s v="AB108374"/>
    <x v="7"/>
    <n v="628132"/>
  </r>
  <r>
    <n v="10290"/>
    <n v="10"/>
    <d v="2014-07-24T00:00:00"/>
    <s v="BLU-RAY"/>
    <n v="104407"/>
    <s v="AB108375"/>
    <x v="2"/>
    <n v="170500"/>
  </r>
  <r>
    <n v="10064"/>
    <n v="6"/>
    <d v="2014-07-24T00:00:00"/>
    <s v="DVD"/>
    <n v="104408"/>
    <s v="AB108377"/>
    <x v="7"/>
    <n v="236554"/>
  </r>
  <r>
    <n v="10098"/>
    <n v="6"/>
    <d v="2014-07-26T00:00:00"/>
    <s v="BLU-RAY"/>
    <n v="104409"/>
    <s v="AB108379"/>
    <x v="0"/>
    <n v="200272"/>
  </r>
  <r>
    <n v="10133"/>
    <n v="8"/>
    <d v="2014-07-24T00:00:00"/>
    <s v="DVD"/>
    <n v="104409"/>
    <s v="AB108380"/>
    <x v="9"/>
    <n v="200272"/>
  </r>
  <r>
    <n v="10180"/>
    <n v="7"/>
    <d v="2014-07-24T00:00:00"/>
    <s v="DVD"/>
    <n v="104411"/>
    <s v="AB108384"/>
    <x v="12"/>
    <n v="162236"/>
  </r>
  <r>
    <n v="10280"/>
    <n v="5"/>
    <d v="2014-07-26T00:00:00"/>
    <s v="DVD"/>
    <n v="104413"/>
    <s v="AB108387"/>
    <x v="7"/>
    <n v="808177"/>
  </r>
  <r>
    <n v="10244"/>
    <n v="8"/>
    <d v="2014-07-24T00:00:00"/>
    <s v="DVD"/>
    <n v="104415"/>
    <s v="AB108392"/>
    <x v="4"/>
    <n v="183797"/>
  </r>
  <r>
    <n v="10234"/>
    <n v="4"/>
    <d v="2014-07-24T00:00:00"/>
    <s v="DVD"/>
    <n v="104415"/>
    <s v="AB108393"/>
    <x v="0"/>
    <n v="183797"/>
  </r>
  <r>
    <n v="10250"/>
    <n v="5"/>
    <d v="2014-07-24T00:00:00"/>
    <s v="BLU-RAY"/>
    <n v="104415"/>
    <s v="AB108394"/>
    <x v="3"/>
    <n v="183797"/>
  </r>
  <r>
    <n v="10066"/>
    <n v="5"/>
    <d v="2014-07-28T00:00:00"/>
    <s v="BLU-RAY"/>
    <n v="104416"/>
    <s v="AB108395"/>
    <x v="3"/>
    <n v="664934"/>
  </r>
  <r>
    <n v="10140"/>
    <n v="1"/>
    <d v="2014-07-31T00:00:00"/>
    <s v="BLU-RAY"/>
    <n v="104417"/>
    <s v="AB108398"/>
    <x v="2"/>
    <n v="938417"/>
  </r>
  <r>
    <n v="10194"/>
    <n v="5"/>
    <d v="2014-07-26T00:00:00"/>
    <s v="DVD"/>
    <n v="104417"/>
    <s v="AB108399"/>
    <x v="16"/>
    <n v="938417"/>
  </r>
  <r>
    <n v="10137"/>
    <n v="4"/>
    <d v="2014-07-25T00:00:00"/>
    <s v="DVD"/>
    <n v="104418"/>
    <s v="AB108400"/>
    <x v="3"/>
    <n v="407605"/>
  </r>
  <r>
    <n v="10200"/>
    <n v="4"/>
    <d v="2014-07-25T00:00:00"/>
    <s v="DVD"/>
    <n v="104419"/>
    <s v="AB108402"/>
    <x v="9"/>
    <n v="108708"/>
  </r>
  <r>
    <n v="10265"/>
    <n v="8"/>
    <d v="2014-07-25T00:00:00"/>
    <s v="DVD"/>
    <n v="104420"/>
    <s v="AB108404"/>
    <x v="0"/>
    <n v="659695"/>
  </r>
  <r>
    <n v="10212"/>
    <n v="10"/>
    <d v="2014-07-26T00:00:00"/>
    <s v="DVD"/>
    <n v="104421"/>
    <s v="AB108405"/>
    <x v="10"/>
    <n v="493552"/>
  </r>
  <r>
    <n v="10229"/>
    <n v="2"/>
    <d v="2014-07-25T00:00:00"/>
    <s v="DVD"/>
    <n v="104422"/>
    <s v="AB108407"/>
    <x v="6"/>
    <n v="422951"/>
  </r>
  <r>
    <n v="10203"/>
    <n v="7"/>
    <d v="2014-07-26T00:00:00"/>
    <s v="DVD"/>
    <n v="104422"/>
    <s v="AB108408"/>
    <x v="3"/>
    <n v="422951"/>
  </r>
  <r>
    <n v="10230"/>
    <n v="7"/>
    <d v="2014-07-25T00:00:00"/>
    <s v="DVD"/>
    <n v="104423"/>
    <s v="AB108409"/>
    <x v="14"/>
    <n v="817274"/>
  </r>
  <r>
    <n v="10239"/>
    <n v="7"/>
    <d v="2014-07-28T00:00:00"/>
    <s v="DVD"/>
    <n v="104424"/>
    <s v="AB108411"/>
    <x v="2"/>
    <n v="850952"/>
  </r>
  <r>
    <n v="10241"/>
    <n v="2"/>
    <d v="2014-07-28T00:00:00"/>
    <s v="DVD"/>
    <n v="104426"/>
    <s v="AB108416"/>
    <x v="0"/>
    <n v="196068"/>
  </r>
  <r>
    <n v="10238"/>
    <n v="7"/>
    <d v="2014-07-27T00:00:00"/>
    <s v="BLU-RAY"/>
    <n v="104427"/>
    <s v="AB108419"/>
    <x v="0"/>
    <n v="722547"/>
  </r>
  <r>
    <n v="10112"/>
    <n v="3"/>
    <d v="2014-07-27T00:00:00"/>
    <s v="DVD"/>
    <n v="104430"/>
    <s v="AB108424"/>
    <x v="12"/>
    <n v="994185"/>
  </r>
  <r>
    <n v="10037"/>
    <n v="6"/>
    <d v="2014-07-28T00:00:00"/>
    <s v="DVD"/>
    <n v="104431"/>
    <s v="AB108426"/>
    <x v="3"/>
    <n v="116690"/>
  </r>
  <r>
    <n v="10145"/>
    <n v="3"/>
    <d v="2014-07-28T00:00:00"/>
    <s v="DVD"/>
    <n v="104431"/>
    <s v="AB108427"/>
    <x v="6"/>
    <n v="116690"/>
  </r>
  <r>
    <n v="10209"/>
    <n v="1"/>
    <d v="2014-07-27T00:00:00"/>
    <s v="DVD"/>
    <n v="104432"/>
    <s v="AB108430"/>
    <x v="7"/>
    <n v="405671"/>
  </r>
  <r>
    <n v="10266"/>
    <n v="4"/>
    <d v="2014-07-27T00:00:00"/>
    <s v="DVD"/>
    <n v="104433"/>
    <s v="AB108433"/>
    <x v="4"/>
    <n v="951701"/>
  </r>
  <r>
    <n v="10171"/>
    <n v="5"/>
    <d v="2014-08-01T00:00:00"/>
    <s v="DVD"/>
    <n v="104433"/>
    <s v="AB108434"/>
    <x v="7"/>
    <n v="951701"/>
  </r>
  <r>
    <n v="10281"/>
    <n v="5"/>
    <d v="2014-07-30T00:00:00"/>
    <s v="DVD"/>
    <n v="104434"/>
    <s v="AB108437"/>
    <x v="10"/>
    <n v="242720"/>
  </r>
  <r>
    <n v="10198"/>
    <n v="3"/>
    <d v="2014-07-28T00:00:00"/>
    <s v="DVD"/>
    <n v="104435"/>
    <s v="AB108440"/>
    <x v="9"/>
    <n v="793987"/>
  </r>
  <r>
    <n v="10135"/>
    <n v="7"/>
    <d v="2014-07-28T00:00:00"/>
    <s v="DVD"/>
    <n v="104436"/>
    <s v="AB108441"/>
    <x v="7"/>
    <n v="371731"/>
  </r>
  <r>
    <n v="10099"/>
    <n v="5"/>
    <d v="2014-07-27T00:00:00"/>
    <s v="DVD"/>
    <n v="104436"/>
    <s v="AB108442"/>
    <x v="10"/>
    <n v="371731"/>
  </r>
  <r>
    <n v="10282"/>
    <n v="8"/>
    <d v="2014-07-28T00:00:00"/>
    <s v="DVD"/>
    <n v="104437"/>
    <s v="AB108443"/>
    <x v="15"/>
    <n v="193914"/>
  </r>
  <r>
    <n v="10270"/>
    <n v="10"/>
    <d v="2014-07-27T00:00:00"/>
    <s v="DVD"/>
    <n v="104438"/>
    <s v="AB108447"/>
    <x v="9"/>
    <n v="245577"/>
  </r>
  <r>
    <n v="10277"/>
    <n v="6"/>
    <d v="2014-07-30T00:00:00"/>
    <s v="DVD"/>
    <n v="104439"/>
    <s v="AB108450"/>
    <x v="7"/>
    <n v="767570"/>
  </r>
  <r>
    <n v="10250"/>
    <n v="8"/>
    <d v="2014-07-29T00:00:00"/>
    <s v="BLU-RAY"/>
    <n v="104440"/>
    <s v="AB108452"/>
    <x v="3"/>
    <n v="271531"/>
  </r>
  <r>
    <n v="10252"/>
    <n v="8"/>
    <d v="2014-07-28T00:00:00"/>
    <s v="DVD"/>
    <n v="104442"/>
    <s v="AB108456"/>
    <x v="0"/>
    <n v="390130"/>
  </r>
  <r>
    <n v="10204"/>
    <n v="7"/>
    <d v="2014-07-28T00:00:00"/>
    <s v="DVD"/>
    <n v="104446"/>
    <s v="AB108464"/>
    <x v="7"/>
    <n v="742620"/>
  </r>
  <r>
    <n v="10242"/>
    <n v="5"/>
    <d v="2014-07-29T00:00:00"/>
    <s v="DVD"/>
    <n v="104448"/>
    <s v="AB108469"/>
    <x v="3"/>
    <n v="253106"/>
  </r>
  <r>
    <n v="10175"/>
    <n v="9"/>
    <d v="2014-08-01T00:00:00"/>
    <s v="DVD"/>
    <n v="104450"/>
    <s v="AB108471"/>
    <x v="3"/>
    <n v="347659"/>
  </r>
  <r>
    <n v="10289"/>
    <n v="9"/>
    <d v="2014-07-29T00:00:00"/>
    <s v="DVD"/>
    <n v="104451"/>
    <s v="AB108474"/>
    <x v="11"/>
    <n v="534481"/>
  </r>
  <r>
    <n v="10092"/>
    <n v="4"/>
    <d v="2014-07-29T00:00:00"/>
    <s v="DVD"/>
    <n v="104452"/>
    <s v="AB108475"/>
    <x v="0"/>
    <n v="207846"/>
  </r>
  <r>
    <n v="10219"/>
    <n v="6"/>
    <d v="2014-07-29T00:00:00"/>
    <s v="DVD"/>
    <n v="104452"/>
    <s v="AB108477"/>
    <x v="1"/>
    <n v="207846"/>
  </r>
  <r>
    <n v="10138"/>
    <n v="5"/>
    <d v="2014-08-05T00:00:00"/>
    <s v="DVD"/>
    <n v="104454"/>
    <s v="AB108481"/>
    <x v="7"/>
    <n v="927518"/>
  </r>
  <r>
    <n v="10280"/>
    <n v="5"/>
    <d v="2014-07-30T00:00:00"/>
    <s v="DVD"/>
    <n v="104455"/>
    <s v="AB108484"/>
    <x v="7"/>
    <n v="556152"/>
  </r>
  <r>
    <n v="10246"/>
    <n v="9"/>
    <d v="2014-07-31T00:00:00"/>
    <s v="DVD"/>
    <n v="104456"/>
    <s v="AB108485"/>
    <x v="2"/>
    <n v="719921"/>
  </r>
  <r>
    <n v="10193"/>
    <n v="6"/>
    <d v="2014-07-30T00:00:00"/>
    <s v="DVD"/>
    <n v="104457"/>
    <s v="AB108487"/>
    <x v="9"/>
    <n v="694281"/>
  </r>
  <r>
    <n v="10285"/>
    <n v="10"/>
    <d v="2014-07-30T00:00:00"/>
    <s v="DVD"/>
    <n v="104458"/>
    <s v="AB108490"/>
    <x v="20"/>
    <n v="556152"/>
  </r>
  <r>
    <n v="10223"/>
    <n v="1"/>
    <d v="2014-07-31T00:00:00"/>
    <s v="DVD"/>
    <n v="104459"/>
    <s v="AB108491"/>
    <x v="7"/>
    <n v="366695"/>
  </r>
  <r>
    <n v="10207"/>
    <n v="5"/>
    <d v="2014-07-31T00:00:00"/>
    <s v="BLU-RAY"/>
    <n v="104459"/>
    <s v="AB108493"/>
    <x v="1"/>
    <n v="366695"/>
  </r>
  <r>
    <n v="10212"/>
    <n v="8"/>
    <d v="2014-08-01T00:00:00"/>
    <s v="DVD"/>
    <n v="104460"/>
    <s v="AB108496"/>
    <x v="10"/>
    <n v="657736"/>
  </r>
  <r>
    <n v="10185"/>
    <n v="7"/>
    <d v="2014-08-01T00:00:00"/>
    <s v="DVD"/>
    <n v="104462"/>
    <s v="AB108499"/>
    <x v="0"/>
    <n v="331115"/>
  </r>
  <r>
    <n v="10182"/>
    <n v="9"/>
    <d v="2014-08-01T00:00:00"/>
    <s v="BLU-RAY"/>
    <n v="104463"/>
    <s v="AB108502"/>
    <x v="0"/>
    <n v="739393"/>
  </r>
  <r>
    <n v="10243"/>
    <n v="3"/>
    <d v="2014-08-05T00:00:00"/>
    <s v="DVD"/>
    <n v="104466"/>
    <s v="AB108508"/>
    <x v="9"/>
    <n v="981529"/>
  </r>
  <r>
    <n v="10143"/>
    <n v="3"/>
    <d v="2014-07-31T00:00:00"/>
    <s v="DVD"/>
    <n v="104466"/>
    <s v="AB108510"/>
    <x v="3"/>
    <n v="981529"/>
  </r>
  <r>
    <n v="10289"/>
    <n v="5"/>
    <d v="2014-07-31T00:00:00"/>
    <s v="DVD"/>
    <n v="104467"/>
    <s v="AB108511"/>
    <x v="11"/>
    <n v="308505"/>
  </r>
  <r>
    <n v="10149"/>
    <n v="5"/>
    <d v="2014-07-31T00:00:00"/>
    <s v="DVD"/>
    <n v="104467"/>
    <s v="AB108513"/>
    <x v="12"/>
    <n v="308505"/>
  </r>
  <r>
    <n v="10165"/>
    <n v="2"/>
    <d v="2014-08-01T00:00:00"/>
    <s v="BLU-RAY"/>
    <n v="104468"/>
    <s v="AB108514"/>
    <x v="2"/>
    <n v="866847"/>
  </r>
  <r>
    <n v="10092"/>
    <n v="5"/>
    <d v="2014-08-02T00:00:00"/>
    <s v="DVD"/>
    <n v="104468"/>
    <s v="AB108515"/>
    <x v="0"/>
    <n v="866847"/>
  </r>
  <r>
    <n v="10299"/>
    <n v="1"/>
    <d v="2014-08-01T00:00:00"/>
    <s v="DVD"/>
    <n v="104469"/>
    <s v="AB108517"/>
    <x v="22"/>
    <n v="454015"/>
  </r>
  <r>
    <n v="10130"/>
    <n v="5"/>
    <d v="2014-07-31T00:00:00"/>
    <s v="BLU-RAY"/>
    <n v="104469"/>
    <s v="AB108518"/>
    <x v="21"/>
    <n v="454015"/>
  </r>
  <r>
    <n v="10214"/>
    <n v="2"/>
    <d v="2014-07-31T00:00:00"/>
    <s v="DVD"/>
    <n v="104471"/>
    <s v="AB108521"/>
    <x v="13"/>
    <n v="622506"/>
  </r>
  <r>
    <n v="10251"/>
    <n v="1"/>
    <d v="2014-08-01T00:00:00"/>
    <s v="DVD"/>
    <n v="104471"/>
    <s v="AB108522"/>
    <x v="7"/>
    <n v="622506"/>
  </r>
  <r>
    <n v="10285"/>
    <n v="1"/>
    <d v="2014-08-01T00:00:00"/>
    <s v="DVD"/>
    <n v="104472"/>
    <s v="AB108525"/>
    <x v="20"/>
    <n v="744780"/>
  </r>
  <r>
    <n v="10149"/>
    <n v="4"/>
    <d v="2014-08-02T00:00:00"/>
    <s v="DVD"/>
    <n v="104473"/>
    <s v="AB108527"/>
    <x v="12"/>
    <n v="924361"/>
  </r>
  <r>
    <n v="10191"/>
    <n v="7"/>
    <d v="2014-08-01T00:00:00"/>
    <s v="DVD"/>
    <n v="104475"/>
    <s v="AB108531"/>
    <x v="7"/>
    <n v="386950"/>
  </r>
  <r>
    <n v="10220"/>
    <n v="6"/>
    <d v="2014-08-03T00:00:00"/>
    <s v="BLU-RAY"/>
    <n v="104476"/>
    <s v="AB108534"/>
    <x v="9"/>
    <n v="926144"/>
  </r>
  <r>
    <n v="10098"/>
    <n v="3"/>
    <d v="2014-08-02T00:00:00"/>
    <s v="BLU-RAY"/>
    <n v="104480"/>
    <s v="AB108541"/>
    <x v="0"/>
    <n v="556619"/>
  </r>
  <r>
    <n v="10238"/>
    <n v="5"/>
    <d v="2014-08-02T00:00:00"/>
    <s v="BLU-RAY"/>
    <n v="104482"/>
    <s v="AB108545"/>
    <x v="0"/>
    <n v="278204"/>
  </r>
  <r>
    <n v="10180"/>
    <n v="1"/>
    <d v="2014-08-02T00:00:00"/>
    <s v="DVD"/>
    <n v="104482"/>
    <s v="AB108546"/>
    <x v="12"/>
    <n v="278204"/>
  </r>
  <r>
    <n v="10226"/>
    <n v="3"/>
    <d v="2014-08-02T00:00:00"/>
    <s v="DVD"/>
    <n v="104482"/>
    <s v="AB108547"/>
    <x v="4"/>
    <n v="278204"/>
  </r>
  <r>
    <n v="10273"/>
    <n v="3"/>
    <d v="2014-08-02T00:00:00"/>
    <s v="DVD"/>
    <n v="104486"/>
    <s v="AB108552"/>
    <x v="4"/>
    <n v="310195"/>
  </r>
  <r>
    <n v="10078"/>
    <n v="6"/>
    <d v="2014-08-03T00:00:00"/>
    <s v="DVD"/>
    <n v="104486"/>
    <s v="AB108553"/>
    <x v="1"/>
    <n v="310195"/>
  </r>
  <r>
    <n v="10032"/>
    <n v="2"/>
    <d v="2014-08-06T00:00:00"/>
    <s v="DVD"/>
    <n v="104488"/>
    <s v="AB108558"/>
    <x v="4"/>
    <n v="161942"/>
  </r>
  <r>
    <n v="10274"/>
    <n v="6"/>
    <d v="2014-08-05T00:00:00"/>
    <s v="DVD"/>
    <n v="104492"/>
    <s v="AB108567"/>
    <x v="9"/>
    <n v="111486"/>
  </r>
  <r>
    <n v="10122"/>
    <n v="3"/>
    <d v="2014-08-03T00:00:00"/>
    <s v="DVD"/>
    <n v="104493"/>
    <s v="AB108568"/>
    <x v="12"/>
    <n v="160392"/>
  </r>
  <r>
    <n v="10250"/>
    <n v="4"/>
    <d v="2014-08-05T00:00:00"/>
    <s v="DVD"/>
    <n v="104494"/>
    <s v="AB108570"/>
    <x v="3"/>
    <n v="413495"/>
  </r>
  <r>
    <n v="10226"/>
    <n v="5"/>
    <d v="2014-08-05T00:00:00"/>
    <s v="DVD"/>
    <n v="104497"/>
    <s v="AB108576"/>
    <x v="4"/>
    <n v="447368"/>
  </r>
  <r>
    <n v="10268"/>
    <n v="5"/>
    <d v="2014-08-08T00:00:00"/>
    <s v="DVD"/>
    <n v="104497"/>
    <s v="AB108577"/>
    <x v="3"/>
    <n v="447368"/>
  </r>
  <r>
    <n v="10138"/>
    <n v="9"/>
    <d v="2014-08-08T00:00:00"/>
    <s v="DVD"/>
    <n v="104498"/>
    <s v="AB108580"/>
    <x v="7"/>
    <n v="565259"/>
  </r>
  <r>
    <n v="10194"/>
    <n v="5"/>
    <d v="2014-08-05T00:00:00"/>
    <s v="DVD"/>
    <n v="104498"/>
    <s v="AB108581"/>
    <x v="16"/>
    <n v="565259"/>
  </r>
  <r>
    <n v="10064"/>
    <n v="6"/>
    <d v="2014-08-05T00:00:00"/>
    <s v="DVD"/>
    <n v="104499"/>
    <s v="AB108582"/>
    <x v="7"/>
    <n v="240205"/>
  </r>
  <r>
    <n v="10267"/>
    <n v="10"/>
    <d v="2014-08-04T00:00:00"/>
    <s v="DVD"/>
    <n v="104500"/>
    <s v="AB108584"/>
    <x v="6"/>
    <n v="857548"/>
  </r>
  <r>
    <n v="10152"/>
    <n v="1"/>
    <d v="2014-08-05T00:00:00"/>
    <s v="BLU-RAY"/>
    <n v="104502"/>
    <s v="AB108590"/>
    <x v="16"/>
    <n v="826590"/>
  </r>
  <r>
    <n v="10275"/>
    <n v="3"/>
    <d v="2014-08-09T00:00:00"/>
    <s v="DVD"/>
    <n v="104502"/>
    <s v="AB108591"/>
    <x v="10"/>
    <n v="826590"/>
  </r>
  <r>
    <n v="10123"/>
    <n v="6"/>
    <d v="2014-08-05T00:00:00"/>
    <s v="BLU-RAY"/>
    <n v="104503"/>
    <s v="AB108593"/>
    <x v="9"/>
    <n v="745543"/>
  </r>
  <r>
    <n v="10136"/>
    <n v="4"/>
    <d v="2014-08-05T00:00:00"/>
    <s v="DVD"/>
    <n v="104504"/>
    <s v="AB108595"/>
    <x v="2"/>
    <n v="781523"/>
  </r>
  <r>
    <n v="10283"/>
    <n v="4"/>
    <d v="2014-08-05T00:00:00"/>
    <s v="DVD"/>
    <n v="104505"/>
    <s v="AB108596"/>
    <x v="6"/>
    <n v="695276"/>
  </r>
  <r>
    <n v="10130"/>
    <n v="1"/>
    <d v="2014-08-06T00:00:00"/>
    <s v="DVD"/>
    <n v="104507"/>
    <s v="AB108600"/>
    <x v="21"/>
    <n v="667170"/>
  </r>
  <r>
    <n v="10194"/>
    <n v="9"/>
    <d v="2014-08-06T00:00:00"/>
    <s v="DVD"/>
    <n v="104508"/>
    <s v="AB108601"/>
    <x v="16"/>
    <n v="789500"/>
  </r>
  <r>
    <n v="10079"/>
    <n v="9"/>
    <d v="2014-08-08T00:00:00"/>
    <s v="DVD"/>
    <n v="104509"/>
    <s v="AB108604"/>
    <x v="0"/>
    <n v="808869"/>
  </r>
  <r>
    <n v="10229"/>
    <n v="5"/>
    <d v="2014-08-07T00:00:00"/>
    <s v="DVD"/>
    <n v="104509"/>
    <s v="AB108605"/>
    <x v="6"/>
    <n v="808869"/>
  </r>
  <r>
    <n v="10197"/>
    <n v="3"/>
    <d v="2014-08-07T00:00:00"/>
    <s v="DVD"/>
    <n v="104510"/>
    <s v="AB108606"/>
    <x v="0"/>
    <n v="127472"/>
  </r>
  <r>
    <n v="10241"/>
    <n v="4"/>
    <d v="2014-08-07T00:00:00"/>
    <s v="DVD"/>
    <n v="104512"/>
    <s v="AB108610"/>
    <x v="0"/>
    <n v="301793"/>
  </r>
  <r>
    <n v="10152"/>
    <n v="2"/>
    <d v="2014-08-06T00:00:00"/>
    <s v="DVD"/>
    <n v="104512"/>
    <s v="AB108611"/>
    <x v="16"/>
    <n v="301793"/>
  </r>
  <r>
    <n v="10185"/>
    <n v="4"/>
    <d v="2014-08-13T00:00:00"/>
    <s v="BLU-RAY"/>
    <n v="104516"/>
    <s v="AB108617"/>
    <x v="0"/>
    <n v="421074"/>
  </r>
  <r>
    <n v="10276"/>
    <n v="6"/>
    <d v="2014-08-07T00:00:00"/>
    <s v="DVD"/>
    <n v="104518"/>
    <s v="AB108620"/>
    <x v="16"/>
    <n v="491380"/>
  </r>
  <r>
    <n v="10056"/>
    <n v="7"/>
    <d v="2014-08-07T00:00:00"/>
    <s v="BLU-RAY"/>
    <n v="104519"/>
    <s v="AB108622"/>
    <x v="8"/>
    <n v="918682"/>
  </r>
  <r>
    <n v="10224"/>
    <n v="8"/>
    <d v="2014-08-09T00:00:00"/>
    <s v="BLU-RAY"/>
    <n v="104522"/>
    <s v="AB108626"/>
    <x v="17"/>
    <n v="667170"/>
  </r>
  <r>
    <n v="10137"/>
    <n v="7"/>
    <d v="2014-08-11T00:00:00"/>
    <s v="DVD"/>
    <n v="104522"/>
    <s v="AB108628"/>
    <x v="3"/>
    <n v="667170"/>
  </r>
  <r>
    <n v="10291"/>
    <n v="6"/>
    <d v="2014-08-08T00:00:00"/>
    <s v="DVD"/>
    <n v="104523"/>
    <s v="AB108629"/>
    <x v="0"/>
    <n v="194680"/>
  </r>
  <r>
    <n v="10052"/>
    <n v="9"/>
    <d v="2014-08-08T00:00:00"/>
    <s v="DVD"/>
    <n v="104523"/>
    <s v="AB108630"/>
    <x v="0"/>
    <n v="194680"/>
  </r>
  <r>
    <n v="10275"/>
    <n v="4"/>
    <d v="2014-08-09T00:00:00"/>
    <s v="DVD"/>
    <n v="104525"/>
    <s v="AB108632"/>
    <x v="10"/>
    <n v="866847"/>
  </r>
  <r>
    <n v="10211"/>
    <n v="8"/>
    <d v="2014-08-09T00:00:00"/>
    <s v="BLU-RAY"/>
    <n v="104525"/>
    <s v="AB108634"/>
    <x v="3"/>
    <n v="866847"/>
  </r>
  <r>
    <n v="10245"/>
    <n v="2"/>
    <d v="2014-08-10T00:00:00"/>
    <s v="DVD"/>
    <n v="104526"/>
    <s v="AB108635"/>
    <x v="0"/>
    <n v="958321"/>
  </r>
  <r>
    <n v="10289"/>
    <n v="8"/>
    <d v="2014-08-08T00:00:00"/>
    <s v="BLU-RAY"/>
    <n v="104526"/>
    <s v="AB108637"/>
    <x v="11"/>
    <n v="958321"/>
  </r>
  <r>
    <n v="10286"/>
    <n v="5"/>
    <d v="2014-08-08T00:00:00"/>
    <s v="BLU-RAY"/>
    <n v="104528"/>
    <s v="AB108641"/>
    <x v="17"/>
    <n v="926289"/>
  </r>
  <r>
    <n v="10213"/>
    <n v="1"/>
    <d v="2014-08-08T00:00:00"/>
    <s v="DVD"/>
    <n v="104528"/>
    <s v="AB108642"/>
    <x v="4"/>
    <n v="926289"/>
  </r>
  <r>
    <n v="10271"/>
    <n v="9"/>
    <d v="2014-08-09T00:00:00"/>
    <s v="DVD"/>
    <n v="104530"/>
    <s v="AB108648"/>
    <x v="7"/>
    <n v="783369"/>
  </r>
  <r>
    <n v="10232"/>
    <n v="10"/>
    <d v="2014-08-09T00:00:00"/>
    <s v="BLU-RAY"/>
    <n v="104531"/>
    <s v="AB108649"/>
    <x v="1"/>
    <n v="741398"/>
  </r>
  <r>
    <n v="10218"/>
    <n v="2"/>
    <d v="2014-08-09T00:00:00"/>
    <s v="DVD"/>
    <n v="104534"/>
    <s v="AB108656"/>
    <x v="4"/>
    <n v="441628"/>
  </r>
  <r>
    <n v="10270"/>
    <n v="1"/>
    <d v="2014-08-10T00:00:00"/>
    <s v="DVD"/>
    <n v="104534"/>
    <s v="AB108657"/>
    <x v="9"/>
    <n v="441628"/>
  </r>
  <r>
    <n v="10137"/>
    <n v="8"/>
    <d v="2014-08-09T00:00:00"/>
    <s v="DVD"/>
    <n v="104536"/>
    <s v="AB108659"/>
    <x v="3"/>
    <n v="103508"/>
  </r>
  <r>
    <n v="10236"/>
    <n v="6"/>
    <d v="2014-08-10T00:00:00"/>
    <s v="DVD"/>
    <n v="104537"/>
    <s v="AB108662"/>
    <x v="10"/>
    <n v="220206"/>
  </r>
  <r>
    <n v="10204"/>
    <n v="10"/>
    <d v="2014-08-10T00:00:00"/>
    <s v="BLU-RAY"/>
    <n v="104538"/>
    <s v="AB108664"/>
    <x v="7"/>
    <n v="507743"/>
  </r>
  <r>
    <n v="10261"/>
    <n v="10"/>
    <d v="2014-08-11T00:00:00"/>
    <s v="DVD"/>
    <n v="104538"/>
    <s v="AB108665"/>
    <x v="9"/>
    <n v="507743"/>
  </r>
  <r>
    <n v="10248"/>
    <n v="2"/>
    <d v="2014-08-11T00:00:00"/>
    <s v="DVD"/>
    <n v="104539"/>
    <s v="AB108667"/>
    <x v="12"/>
    <n v="563500"/>
  </r>
  <r>
    <n v="10259"/>
    <n v="10"/>
    <d v="2014-08-11T00:00:00"/>
    <s v="DVD"/>
    <n v="104541"/>
    <s v="AB108674"/>
    <x v="0"/>
    <n v="559190"/>
  </r>
  <r>
    <n v="10294"/>
    <n v="3"/>
    <d v="2014-08-11T00:00:00"/>
    <s v="BLU-RAY"/>
    <n v="104541"/>
    <s v="AB108675"/>
    <x v="2"/>
    <n v="559190"/>
  </r>
  <r>
    <n v="10004"/>
    <n v="10"/>
    <d v="2014-08-12T00:00:00"/>
    <s v="DVD"/>
    <n v="104542"/>
    <s v="AB108676"/>
    <x v="1"/>
    <n v="157695"/>
  </r>
  <r>
    <n v="10202"/>
    <n v="8"/>
    <d v="2014-08-11T00:00:00"/>
    <s v="DVD"/>
    <n v="104542"/>
    <s v="AB108677"/>
    <x v="0"/>
    <n v="157695"/>
  </r>
  <r>
    <n v="10220"/>
    <n v="1"/>
    <d v="2014-08-11T00:00:00"/>
    <s v="DVD"/>
    <n v="104544"/>
    <s v="AB108678"/>
    <x v="9"/>
    <n v="157388"/>
  </r>
  <r>
    <n v="10230"/>
    <n v="7"/>
    <d v="2014-08-10T00:00:00"/>
    <s v="DVD"/>
    <n v="104544"/>
    <s v="AB108679"/>
    <x v="14"/>
    <n v="157388"/>
  </r>
  <r>
    <n v="10226"/>
    <n v="3"/>
    <d v="2014-08-14T00:00:00"/>
    <s v="DVD"/>
    <n v="104549"/>
    <s v="AB108683"/>
    <x v="4"/>
    <n v="380003"/>
  </r>
  <r>
    <n v="10294"/>
    <n v="7"/>
    <d v="2014-08-11T00:00:00"/>
    <s v="DVD"/>
    <n v="104550"/>
    <s v="AB108684"/>
    <x v="2"/>
    <n v="926289"/>
  </r>
  <r>
    <n v="10203"/>
    <n v="4"/>
    <d v="2014-08-14T00:00:00"/>
    <s v="DVD"/>
    <n v="104553"/>
    <s v="AB108691"/>
    <x v="3"/>
    <n v="911171"/>
  </r>
  <r>
    <n v="10194"/>
    <n v="6"/>
    <d v="2014-08-14T00:00:00"/>
    <s v="DVD"/>
    <n v="104554"/>
    <s v="AB108693"/>
    <x v="16"/>
    <n v="744416"/>
  </r>
  <r>
    <n v="10045"/>
    <n v="8"/>
    <d v="2014-08-15T00:00:00"/>
    <s v="DVD"/>
    <n v="104555"/>
    <s v="AB108695"/>
    <x v="0"/>
    <n v="723819"/>
  </r>
  <r>
    <n v="10112"/>
    <n v="7"/>
    <d v="2014-08-15T00:00:00"/>
    <s v="BLU-RAY"/>
    <n v="104557"/>
    <s v="AB108698"/>
    <x v="12"/>
    <n v="306475"/>
  </r>
  <r>
    <n v="10128"/>
    <n v="3"/>
    <d v="2014-08-12T00:00:00"/>
    <s v="BLU-RAY"/>
    <n v="104557"/>
    <s v="AB108699"/>
    <x v="6"/>
    <n v="306475"/>
  </r>
  <r>
    <n v="10233"/>
    <n v="5"/>
    <d v="2014-08-12T00:00:00"/>
    <s v="DVD"/>
    <n v="104557"/>
    <s v="AB108700"/>
    <x v="8"/>
    <n v="306475"/>
  </r>
  <r>
    <n v="10169"/>
    <n v="7"/>
    <d v="2014-08-12T00:00:00"/>
    <s v="DVD"/>
    <n v="104558"/>
    <s v="AB108701"/>
    <x v="0"/>
    <n v="905670"/>
  </r>
  <r>
    <n v="10148"/>
    <n v="4"/>
    <d v="2014-08-12T00:00:00"/>
    <s v="BLU-RAY"/>
    <n v="104559"/>
    <s v="AB108703"/>
    <x v="1"/>
    <n v="808869"/>
  </r>
  <r>
    <n v="10191"/>
    <n v="2"/>
    <d v="2014-08-12T00:00:00"/>
    <s v="DVD"/>
    <n v="104560"/>
    <s v="AB108705"/>
    <x v="7"/>
    <n v="664411"/>
  </r>
  <r>
    <n v="10284"/>
    <n v="6"/>
    <d v="2014-08-14T00:00:00"/>
    <s v="DVD"/>
    <n v="104560"/>
    <s v="AB108706"/>
    <x v="14"/>
    <n v="664411"/>
  </r>
  <r>
    <n v="10349"/>
    <n v="3"/>
    <d v="2014-08-14T00:00:00"/>
    <s v="DVD"/>
    <n v="104561"/>
    <s v="AB108708"/>
    <x v="8"/>
    <n v="454015"/>
  </r>
  <r>
    <n v="10082"/>
    <n v="9"/>
    <d v="2014-08-15T00:00:00"/>
    <s v="DVD"/>
    <n v="104562"/>
    <s v="AB108712"/>
    <x v="3"/>
    <n v="205878"/>
  </r>
  <r>
    <n v="10201"/>
    <n v="6"/>
    <d v="2014-08-13T00:00:00"/>
    <s v="DVD"/>
    <n v="104564"/>
    <s v="AB108717"/>
    <x v="8"/>
    <n v="262638"/>
  </r>
  <r>
    <n v="10233"/>
    <n v="3"/>
    <d v="2014-08-13T00:00:00"/>
    <s v="DVD"/>
    <n v="104565"/>
    <s v="AB108719"/>
    <x v="8"/>
    <n v="663029"/>
  </r>
  <r>
    <n v="10106"/>
    <n v="8"/>
    <d v="2014-08-16T00:00:00"/>
    <s v="BLU-RAY"/>
    <n v="104566"/>
    <s v="AB108720"/>
    <x v="9"/>
    <n v="766161"/>
  </r>
  <r>
    <n v="10192"/>
    <n v="4"/>
    <d v="2014-08-13T00:00:00"/>
    <s v="DVD"/>
    <n v="104566"/>
    <s v="AB108721"/>
    <x v="7"/>
    <n v="766161"/>
  </r>
  <r>
    <n v="10226"/>
    <n v="8"/>
    <d v="2014-08-16T00:00:00"/>
    <s v="BLU-RAY"/>
    <n v="104566"/>
    <s v="AB108722"/>
    <x v="4"/>
    <n v="766161"/>
  </r>
  <r>
    <n v="10135"/>
    <n v="2"/>
    <d v="2014-08-13T00:00:00"/>
    <s v="DVD"/>
    <n v="104567"/>
    <s v="AB108723"/>
    <x v="7"/>
    <n v="231615"/>
  </r>
  <r>
    <n v="10147"/>
    <n v="2"/>
    <d v="2014-08-13T00:00:00"/>
    <s v="DVD"/>
    <n v="104568"/>
    <s v="AB108725"/>
    <x v="10"/>
    <n v="888759"/>
  </r>
  <r>
    <n v="10181"/>
    <n v="2"/>
    <d v="2014-08-15T00:00:00"/>
    <s v="BLU-RAY"/>
    <n v="104570"/>
    <s v="AB108727"/>
    <x v="9"/>
    <n v="905670"/>
  </r>
  <r>
    <n v="10252"/>
    <n v="6"/>
    <d v="2014-08-14T00:00:00"/>
    <s v="DVD"/>
    <n v="104570"/>
    <s v="AB108728"/>
    <x v="0"/>
    <n v="905670"/>
  </r>
  <r>
    <n v="10104"/>
    <n v="1"/>
    <d v="2014-08-18T00:00:00"/>
    <s v="DVD"/>
    <n v="104570"/>
    <s v="AB108729"/>
    <x v="7"/>
    <n v="905670"/>
  </r>
  <r>
    <n v="10290"/>
    <n v="3"/>
    <d v="2014-08-14T00:00:00"/>
    <s v="DVD"/>
    <n v="104572"/>
    <s v="AB108731"/>
    <x v="2"/>
    <n v="128131"/>
  </r>
  <r>
    <n v="10156"/>
    <n v="10"/>
    <d v="2014-08-21T00:00:00"/>
    <s v="DVD"/>
    <n v="104572"/>
    <s v="AB108732"/>
    <x v="3"/>
    <n v="128131"/>
  </r>
  <r>
    <n v="10134"/>
    <n v="2"/>
    <d v="2014-08-14T00:00:00"/>
    <s v="DVD"/>
    <n v="104573"/>
    <s v="AB108735"/>
    <x v="7"/>
    <n v="433442"/>
  </r>
  <r>
    <n v="10250"/>
    <n v="10"/>
    <d v="2014-08-15T00:00:00"/>
    <s v="BLU-RAY"/>
    <n v="104574"/>
    <s v="AB108737"/>
    <x v="3"/>
    <n v="951702"/>
  </r>
  <r>
    <n v="10202"/>
    <n v="5"/>
    <d v="2014-08-16T00:00:00"/>
    <s v="DVD"/>
    <n v="104577"/>
    <s v="AB108739"/>
    <x v="0"/>
    <n v="345348"/>
  </r>
  <r>
    <n v="10150"/>
    <n v="6"/>
    <d v="2014-08-17T00:00:00"/>
    <s v="DVD"/>
    <n v="104577"/>
    <s v="AB108741"/>
    <x v="14"/>
    <n v="345348"/>
  </r>
  <r>
    <n v="10194"/>
    <n v="8"/>
    <d v="2014-08-16T00:00:00"/>
    <s v="DVD"/>
    <n v="104579"/>
    <s v="AB108743"/>
    <x v="16"/>
    <n v="671101"/>
  </r>
  <r>
    <n v="10271"/>
    <n v="6"/>
    <d v="2014-08-15T00:00:00"/>
    <s v="BLU-RAY"/>
    <n v="104581"/>
    <s v="AB108745"/>
    <x v="7"/>
    <n v="976778"/>
  </r>
  <r>
    <n v="10252"/>
    <n v="7"/>
    <d v="2014-08-15T00:00:00"/>
    <s v="DVD"/>
    <n v="104582"/>
    <s v="AB108747"/>
    <x v="0"/>
    <n v="193914"/>
  </r>
  <r>
    <n v="10280"/>
    <n v="10"/>
    <d v="2014-08-16T00:00:00"/>
    <s v="DVD"/>
    <n v="104583"/>
    <s v="AB108748"/>
    <x v="7"/>
    <n v="866556"/>
  </r>
  <r>
    <n v="10245"/>
    <n v="8"/>
    <d v="2014-08-16T00:00:00"/>
    <s v="DVD"/>
    <n v="104586"/>
    <s v="AB108754"/>
    <x v="0"/>
    <n v="781968"/>
  </r>
  <r>
    <n v="10297"/>
    <n v="5"/>
    <d v="2014-08-16T00:00:00"/>
    <s v="DVD"/>
    <n v="104587"/>
    <s v="AB108756"/>
    <x v="14"/>
    <n v="128131"/>
  </r>
  <r>
    <n v="10296"/>
    <n v="3"/>
    <d v="2014-08-17T00:00:00"/>
    <s v="BLU-RAY"/>
    <n v="104588"/>
    <s v="AB108757"/>
    <x v="21"/>
    <n v="884607"/>
  </r>
  <r>
    <n v="10224"/>
    <n v="10"/>
    <d v="2014-08-17T00:00:00"/>
    <s v="DVD"/>
    <n v="104590"/>
    <s v="AB108761"/>
    <x v="17"/>
    <n v="498970"/>
  </r>
  <r>
    <n v="10008"/>
    <n v="9"/>
    <d v="2014-08-17T00:00:00"/>
    <s v="DVD"/>
    <n v="104591"/>
    <s v="AB108762"/>
    <x v="4"/>
    <n v="690100"/>
  </r>
  <r>
    <n v="10192"/>
    <n v="1"/>
    <d v="2014-08-19T00:00:00"/>
    <s v="DVD"/>
    <n v="104595"/>
    <s v="AB108768"/>
    <x v="7"/>
    <n v="101811"/>
  </r>
  <r>
    <n v="10162"/>
    <n v="3"/>
    <d v="2014-08-17T00:00:00"/>
    <s v="DVD"/>
    <n v="104596"/>
    <s v="AB108769"/>
    <x v="4"/>
    <n v="925565"/>
  </r>
  <r>
    <n v="10272"/>
    <n v="3"/>
    <d v="2014-08-20T00:00:00"/>
    <s v="DVD"/>
    <n v="104597"/>
    <s v="AB108771"/>
    <x v="4"/>
    <n v="498970"/>
  </r>
  <r>
    <n v="10274"/>
    <n v="2"/>
    <d v="2014-08-18T00:00:00"/>
    <s v="BLU-RAY"/>
    <n v="104598"/>
    <s v="AB108773"/>
    <x v="9"/>
    <n v="593317"/>
  </r>
  <r>
    <n v="10285"/>
    <n v="9"/>
    <d v="2014-08-20T00:00:00"/>
    <s v="BLU-RAY"/>
    <n v="104599"/>
    <s v="AB108776"/>
    <x v="20"/>
    <n v="378374"/>
  </r>
  <r>
    <n v="10177"/>
    <n v="2"/>
    <d v="2014-08-18T00:00:00"/>
    <s v="DVD"/>
    <n v="104601"/>
    <s v="AB108781"/>
    <x v="9"/>
    <n v="927518"/>
  </r>
  <r>
    <n v="10109"/>
    <n v="2"/>
    <d v="2014-08-18T00:00:00"/>
    <s v="DVD"/>
    <n v="104602"/>
    <s v="AB108783"/>
    <x v="0"/>
    <n v="559688"/>
  </r>
  <r>
    <n v="10050"/>
    <n v="7"/>
    <d v="2014-08-19T00:00:00"/>
    <s v="DVD"/>
    <n v="104602"/>
    <s v="AB108784"/>
    <x v="1"/>
    <n v="559688"/>
  </r>
  <r>
    <n v="10037"/>
    <n v="8"/>
    <d v="2014-08-20T00:00:00"/>
    <s v="DVD"/>
    <n v="104604"/>
    <s v="AB108787"/>
    <x v="3"/>
    <n v="484909"/>
  </r>
  <r>
    <n v="10247"/>
    <n v="10"/>
    <d v="2014-08-20T00:00:00"/>
    <s v="DVD"/>
    <n v="104605"/>
    <s v="AB108788"/>
    <x v="9"/>
    <n v="551950"/>
  </r>
  <r>
    <n v="10113"/>
    <n v="2"/>
    <d v="2014-08-20T00:00:00"/>
    <s v="DVD"/>
    <n v="104605"/>
    <s v="AB108790"/>
    <x v="10"/>
    <n v="551950"/>
  </r>
  <r>
    <n v="10139"/>
    <n v="4"/>
    <d v="2014-08-19T00:00:00"/>
    <s v="BLU-RAY"/>
    <n v="104606"/>
    <s v="AB108791"/>
    <x v="14"/>
    <n v="553931"/>
  </r>
  <r>
    <n v="10274"/>
    <n v="1"/>
    <d v="2014-08-19T00:00:00"/>
    <s v="DVD"/>
    <n v="104608"/>
    <s v="AB108795"/>
    <x v="9"/>
    <n v="111991"/>
  </r>
  <r>
    <n v="10103"/>
    <n v="6"/>
    <d v="2014-08-20T00:00:00"/>
    <s v="DVD"/>
    <n v="104610"/>
    <s v="AB108800"/>
    <x v="9"/>
    <n v="413292"/>
  </r>
  <r>
    <n v="10218"/>
    <n v="1"/>
    <d v="2014-08-20T00:00:00"/>
    <s v="DVD"/>
    <n v="104612"/>
    <s v="AB108802"/>
    <x v="4"/>
    <n v="191951"/>
  </r>
  <r>
    <n v="10211"/>
    <n v="8"/>
    <d v="2014-08-21T00:00:00"/>
    <s v="DVD"/>
    <n v="104612"/>
    <s v="AB108804"/>
    <x v="3"/>
    <n v="191951"/>
  </r>
  <r>
    <n v="10230"/>
    <n v="8"/>
    <d v="2014-08-21T00:00:00"/>
    <s v="BLU-RAY"/>
    <n v="104613"/>
    <s v="AB108806"/>
    <x v="14"/>
    <n v="994185"/>
  </r>
  <r>
    <n v="10266"/>
    <n v="3"/>
    <d v="2014-08-20T00:00:00"/>
    <s v="DVD"/>
    <n v="104615"/>
    <s v="AB108809"/>
    <x v="4"/>
    <n v="404678"/>
  </r>
  <r>
    <n v="10247"/>
    <n v="2"/>
    <d v="2014-08-21T00:00:00"/>
    <s v="DVD"/>
    <n v="104616"/>
    <s v="AB108811"/>
    <x v="9"/>
    <n v="345348"/>
  </r>
  <r>
    <n v="10127"/>
    <n v="7"/>
    <d v="2014-08-20T00:00:00"/>
    <s v="DVD"/>
    <n v="104617"/>
    <s v="AB108817"/>
    <x v="6"/>
    <n v="183797"/>
  </r>
  <r>
    <n v="10259"/>
    <n v="4"/>
    <d v="2014-08-23T00:00:00"/>
    <s v="DVD"/>
    <n v="104620"/>
    <s v="AB108822"/>
    <x v="0"/>
    <n v="714947"/>
  </r>
  <r>
    <n v="10252"/>
    <n v="7"/>
    <d v="2014-08-21T00:00:00"/>
    <s v="DVD"/>
    <n v="104620"/>
    <s v="AB108823"/>
    <x v="0"/>
    <n v="714947"/>
  </r>
  <r>
    <n v="10235"/>
    <n v="3"/>
    <d v="2014-08-23T00:00:00"/>
    <s v="BLU-RAY"/>
    <n v="104622"/>
    <s v="AB108826"/>
    <x v="10"/>
    <n v="205927"/>
  </r>
  <r>
    <n v="10183"/>
    <n v="10"/>
    <d v="2014-08-22T00:00:00"/>
    <s v="DVD"/>
    <n v="104623"/>
    <s v="AB108830"/>
    <x v="4"/>
    <n v="889686"/>
  </r>
  <r>
    <n v="10215"/>
    <n v="6"/>
    <d v="2014-08-24T00:00:00"/>
    <s v="BLU-RAY"/>
    <n v="104624"/>
    <s v="AB108832"/>
    <x v="1"/>
    <n v="491380"/>
  </r>
  <r>
    <n v="10143"/>
    <n v="2"/>
    <d v="2014-08-22T00:00:00"/>
    <s v="DVD"/>
    <n v="104627"/>
    <s v="AB108837"/>
    <x v="3"/>
    <n v="464984"/>
  </r>
  <r>
    <n v="10227"/>
    <n v="3"/>
    <d v="2014-08-22T00:00:00"/>
    <s v="BLU-RAY"/>
    <n v="104628"/>
    <s v="AB108838"/>
    <x v="14"/>
    <n v="672834"/>
  </r>
  <r>
    <n v="10207"/>
    <n v="3"/>
    <d v="2014-08-22T00:00:00"/>
    <s v="DVD"/>
    <n v="104629"/>
    <s v="AB108841"/>
    <x v="1"/>
    <n v="646700"/>
  </r>
  <r>
    <n v="10137"/>
    <n v="7"/>
    <d v="2014-08-23T00:00:00"/>
    <s v="BLU-RAY"/>
    <n v="104630"/>
    <s v="AB108844"/>
    <x v="3"/>
    <n v="992956"/>
  </r>
  <r>
    <n v="10244"/>
    <n v="8"/>
    <d v="2014-08-23T00:00:00"/>
    <s v="DVD"/>
    <n v="104631"/>
    <s v="AB108845"/>
    <x v="4"/>
    <n v="441628"/>
  </r>
  <r>
    <n v="10354"/>
    <n v="9"/>
    <d v="2014-08-22T00:00:00"/>
    <s v="DVD"/>
    <n v="104631"/>
    <s v="AB108846"/>
    <x v="3"/>
    <n v="441628"/>
  </r>
  <r>
    <n v="10219"/>
    <n v="3"/>
    <d v="2014-08-23T00:00:00"/>
    <s v="DVD"/>
    <n v="104631"/>
    <s v="AB108848"/>
    <x v="1"/>
    <n v="441628"/>
  </r>
  <r>
    <n v="10140"/>
    <n v="4"/>
    <d v="2014-08-22T00:00:00"/>
    <s v="BLU-RAY"/>
    <n v="104632"/>
    <s v="AB108849"/>
    <x v="2"/>
    <n v="447601"/>
  </r>
  <r>
    <n v="10171"/>
    <n v="3"/>
    <d v="2014-08-22T00:00:00"/>
    <s v="BLU-RAY"/>
    <n v="104632"/>
    <s v="AB108850"/>
    <x v="7"/>
    <n v="447601"/>
  </r>
  <r>
    <n v="10266"/>
    <n v="3"/>
    <d v="2014-08-22T00:00:00"/>
    <s v="DVD"/>
    <n v="104633"/>
    <s v="AB108852"/>
    <x v="4"/>
    <n v="230602"/>
  </r>
  <r>
    <n v="10246"/>
    <n v="1"/>
    <d v="2014-08-23T00:00:00"/>
    <s v="DVD"/>
    <n v="104634"/>
    <s v="AB108853"/>
    <x v="2"/>
    <n v="558749"/>
  </r>
  <r>
    <n v="10152"/>
    <n v="3"/>
    <d v="2014-08-23T00:00:00"/>
    <s v="DVD"/>
    <n v="104635"/>
    <s v="AB108855"/>
    <x v="16"/>
    <n v="559054"/>
  </r>
  <r>
    <n v="10032"/>
    <n v="9"/>
    <d v="2014-08-25T00:00:00"/>
    <s v="DVD"/>
    <n v="104636"/>
    <s v="AB108856"/>
    <x v="4"/>
    <n v="888759"/>
  </r>
  <r>
    <n v="10186"/>
    <n v="9"/>
    <d v="2014-08-25T00:00:00"/>
    <s v="DVD"/>
    <n v="104636"/>
    <s v="AB108857"/>
    <x v="10"/>
    <n v="888759"/>
  </r>
  <r>
    <n v="10193"/>
    <n v="7"/>
    <d v="2014-08-23T00:00:00"/>
    <s v="DVD"/>
    <n v="104637"/>
    <s v="AB108859"/>
    <x v="9"/>
    <n v="162236"/>
  </r>
  <r>
    <n v="10132"/>
    <n v="8"/>
    <d v="2014-08-24T00:00:00"/>
    <s v="DVD"/>
    <n v="104638"/>
    <s v="AB108861"/>
    <x v="10"/>
    <n v="194680"/>
  </r>
  <r>
    <n v="10105"/>
    <n v="5"/>
    <d v="2014-08-24T00:00:00"/>
    <s v="DVD"/>
    <n v="104639"/>
    <s v="AB108864"/>
    <x v="2"/>
    <n v="346006"/>
  </r>
  <r>
    <n v="10259"/>
    <n v="6"/>
    <d v="2014-08-24T00:00:00"/>
    <s v="DVD"/>
    <n v="104640"/>
    <s v="AB108865"/>
    <x v="0"/>
    <n v="563500"/>
  </r>
  <r>
    <n v="10175"/>
    <n v="8"/>
    <d v="2014-08-23T00:00:00"/>
    <s v="BLU-RAY"/>
    <n v="104640"/>
    <s v="AB108866"/>
    <x v="3"/>
    <n v="563500"/>
  </r>
  <r>
    <n v="10247"/>
    <n v="10"/>
    <d v="2014-08-25T00:00:00"/>
    <s v="DVD"/>
    <n v="104641"/>
    <s v="AB108870"/>
    <x v="9"/>
    <n v="275152"/>
  </r>
  <r>
    <n v="10275"/>
    <n v="8"/>
    <d v="2014-08-24T00:00:00"/>
    <s v="DVD"/>
    <n v="104642"/>
    <s v="AB108872"/>
    <x v="10"/>
    <n v="432113"/>
  </r>
  <r>
    <n v="10142"/>
    <n v="3"/>
    <d v="2014-08-24T00:00:00"/>
    <s v="DVD"/>
    <n v="104643"/>
    <s v="AB108874"/>
    <x v="0"/>
    <n v="240205"/>
  </r>
  <r>
    <n v="10194"/>
    <n v="8"/>
    <d v="2014-08-24T00:00:00"/>
    <s v="DVD"/>
    <n v="104646"/>
    <s v="AB108879"/>
    <x v="16"/>
    <n v="695276"/>
  </r>
  <r>
    <n v="10288"/>
    <n v="9"/>
    <d v="2014-08-24T00:00:00"/>
    <s v="DVD"/>
    <n v="104647"/>
    <s v="AB108880"/>
    <x v="12"/>
    <n v="994185"/>
  </r>
  <r>
    <n v="10053"/>
    <n v="10"/>
    <d v="2014-08-25T00:00:00"/>
    <s v="DVD"/>
    <n v="104648"/>
    <s v="AB108881"/>
    <x v="4"/>
    <n v="194680"/>
  </r>
  <r>
    <n v="10227"/>
    <n v="5"/>
    <d v="2014-08-24T00:00:00"/>
    <s v="BLU-RAY"/>
    <n v="104648"/>
    <s v="AB108882"/>
    <x v="14"/>
    <n v="194680"/>
  </r>
  <r>
    <n v="10238"/>
    <n v="7"/>
    <d v="2014-08-27T00:00:00"/>
    <s v="BLU-RAY"/>
    <n v="104650"/>
    <s v="AB108886"/>
    <x v="0"/>
    <n v="590517"/>
  </r>
  <r>
    <n v="10230"/>
    <n v="4"/>
    <d v="2014-08-25T00:00:00"/>
    <s v="BLU-RAY"/>
    <n v="104650"/>
    <s v="AB108887"/>
    <x v="14"/>
    <n v="590517"/>
  </r>
  <r>
    <n v="10152"/>
    <n v="3"/>
    <d v="2014-08-28T00:00:00"/>
    <s v="DVD"/>
    <n v="104651"/>
    <s v="AB108889"/>
    <x v="16"/>
    <n v="230602"/>
  </r>
  <r>
    <n v="10290"/>
    <n v="1"/>
    <d v="2014-08-25T00:00:00"/>
    <s v="BLU-RAY"/>
    <n v="104651"/>
    <s v="AB108890"/>
    <x v="2"/>
    <n v="230602"/>
  </r>
  <r>
    <n v="10123"/>
    <n v="3"/>
    <d v="2014-08-26T00:00:00"/>
    <s v="BLU-RAY"/>
    <n v="104652"/>
    <s v="AB108892"/>
    <x v="9"/>
    <n v="500733"/>
  </r>
  <r>
    <n v="10217"/>
    <n v="3"/>
    <d v="2014-08-27T00:00:00"/>
    <s v="DVD"/>
    <n v="104653"/>
    <s v="AB108893"/>
    <x v="0"/>
    <n v="116934"/>
  </r>
  <r>
    <n v="10136"/>
    <n v="3"/>
    <d v="2014-08-26T00:00:00"/>
    <s v="DVD"/>
    <n v="104654"/>
    <s v="AB108897"/>
    <x v="2"/>
    <n v="999915"/>
  </r>
  <r>
    <n v="10209"/>
    <n v="1"/>
    <d v="2014-08-26T00:00:00"/>
    <s v="DVD"/>
    <n v="104658"/>
    <s v="AB108906"/>
    <x v="7"/>
    <n v="231615"/>
  </r>
  <r>
    <n v="10204"/>
    <n v="9"/>
    <d v="2014-08-26T00:00:00"/>
    <s v="DVD"/>
    <n v="104658"/>
    <s v="AB108907"/>
    <x v="7"/>
    <n v="231615"/>
  </r>
  <r>
    <n v="10161"/>
    <n v="8"/>
    <d v="2014-08-26T00:00:00"/>
    <s v="DVD"/>
    <n v="104660"/>
    <s v="AB108911"/>
    <x v="6"/>
    <n v="116690"/>
  </r>
  <r>
    <n v="10139"/>
    <n v="7"/>
    <d v="2014-08-27T00:00:00"/>
    <s v="DVD"/>
    <n v="104662"/>
    <s v="AB108914"/>
    <x v="14"/>
    <n v="448739"/>
  </r>
  <r>
    <n v="10266"/>
    <n v="3"/>
    <d v="2014-08-28T00:00:00"/>
    <s v="DVD"/>
    <n v="104662"/>
    <s v="AB108916"/>
    <x v="4"/>
    <n v="448739"/>
  </r>
  <r>
    <n v="10288"/>
    <n v="1"/>
    <d v="2014-08-28T00:00:00"/>
    <s v="DVD"/>
    <n v="104663"/>
    <s v="AB108917"/>
    <x v="12"/>
    <n v="921901"/>
  </r>
  <r>
    <n v="10227"/>
    <n v="2"/>
    <d v="2014-08-28T00:00:00"/>
    <s v="DVD"/>
    <n v="104663"/>
    <s v="AB108918"/>
    <x v="14"/>
    <n v="921901"/>
  </r>
  <r>
    <n v="10091"/>
    <n v="4"/>
    <d v="2014-08-28T00:00:00"/>
    <s v="BLU-RAY"/>
    <n v="104666"/>
    <s v="AB108926"/>
    <x v="0"/>
    <n v="921901"/>
  </r>
  <r>
    <n v="10237"/>
    <n v="8"/>
    <d v="2014-08-27T00:00:00"/>
    <s v="DVD"/>
    <n v="104667"/>
    <s v="AB108928"/>
    <x v="0"/>
    <n v="111486"/>
  </r>
  <r>
    <n v="10050"/>
    <n v="1"/>
    <d v="2014-08-28T00:00:00"/>
    <s v="DVD"/>
    <n v="104672"/>
    <s v="AB108934"/>
    <x v="1"/>
    <n v="104939"/>
  </r>
  <r>
    <n v="10110"/>
    <n v="4"/>
    <d v="2014-08-28T00:00:00"/>
    <s v="DVD"/>
    <n v="104673"/>
    <s v="AB108938"/>
    <x v="0"/>
    <n v="921901"/>
  </r>
  <r>
    <n v="10165"/>
    <n v="9"/>
    <d v="2014-08-28T00:00:00"/>
    <s v="DVD"/>
    <n v="104674"/>
    <s v="AB108939"/>
    <x v="2"/>
    <n v="331115"/>
  </r>
  <r>
    <n v="10376"/>
    <n v="10"/>
    <d v="2014-08-28T00:00:00"/>
    <s v="DVD"/>
    <n v="104674"/>
    <s v="AB108940"/>
    <x v="12"/>
    <n v="331115"/>
  </r>
  <r>
    <n v="10123"/>
    <n v="5"/>
    <d v="2014-08-29T00:00:00"/>
    <s v="BLU-RAY"/>
    <n v="104675"/>
    <s v="AB108942"/>
    <x v="9"/>
    <n v="622131"/>
  </r>
  <r>
    <n v="10099"/>
    <n v="10"/>
    <d v="2014-08-28T00:00:00"/>
    <s v="DVD"/>
    <n v="104676"/>
    <s v="AB108944"/>
    <x v="10"/>
    <n v="407605"/>
  </r>
  <r>
    <n v="10288"/>
    <n v="9"/>
    <d v="2014-08-28T00:00:00"/>
    <s v="DVD"/>
    <n v="104677"/>
    <s v="AB108946"/>
    <x v="12"/>
    <n v="561305"/>
  </r>
  <r>
    <n v="10268"/>
    <n v="10"/>
    <d v="2014-08-29T00:00:00"/>
    <s v="DVD"/>
    <n v="104678"/>
    <s v="AB108949"/>
    <x v="3"/>
    <n v="109251"/>
  </r>
  <r>
    <n v="10135"/>
    <n v="3"/>
    <d v="2014-08-29T00:00:00"/>
    <s v="DVD"/>
    <n v="104680"/>
    <s v="AB108953"/>
    <x v="7"/>
    <n v="427391"/>
  </r>
  <r>
    <n v="10248"/>
    <n v="3"/>
    <d v="2014-08-30T00:00:00"/>
    <s v="DVD"/>
    <n v="104681"/>
    <s v="AB108954"/>
    <x v="12"/>
    <n v="447368"/>
  </r>
  <r>
    <n v="10055"/>
    <n v="8"/>
    <d v="2014-08-31T00:00:00"/>
    <s v="DVD"/>
    <n v="104683"/>
    <s v="AB108955"/>
    <x v="15"/>
    <n v="448739"/>
  </r>
  <r>
    <n v="10287"/>
    <n v="1"/>
    <d v="2014-08-30T00:00:00"/>
    <s v="BLU-RAY"/>
    <n v="104682"/>
    <s v="AB108956"/>
    <x v="10"/>
    <n v="192738"/>
  </r>
  <r>
    <n v="10185"/>
    <n v="3"/>
    <d v="2014-08-31T00:00:00"/>
    <s v="DVD"/>
    <n v="104683"/>
    <s v="AB108957"/>
    <x v="0"/>
    <n v="448739"/>
  </r>
  <r>
    <n v="10293"/>
    <n v="10"/>
    <d v="2014-08-31T00:00:00"/>
    <s v="DVD"/>
    <n v="104683"/>
    <s v="AB108958"/>
    <x v="12"/>
    <n v="448739"/>
  </r>
  <r>
    <n v="10288"/>
    <n v="3"/>
    <d v="2014-08-31T00:00:00"/>
    <s v="DVD"/>
    <n v="104684"/>
    <s v="AB108959"/>
    <x v="12"/>
    <n v="265707"/>
  </r>
  <r>
    <n v="10155"/>
    <n v="10"/>
    <d v="2014-09-03T00:00:00"/>
    <s v="DVD"/>
    <n v="104684"/>
    <s v="AB108960"/>
    <x v="9"/>
    <n v="265707"/>
  </r>
  <r>
    <n v="10139"/>
    <n v="6"/>
    <d v="2014-08-30T00:00:00"/>
    <s v="DVD"/>
    <n v="104686"/>
    <s v="AB108962"/>
    <x v="14"/>
    <n v="701211"/>
  </r>
  <r>
    <n v="10227"/>
    <n v="6"/>
    <d v="2014-09-01T00:00:00"/>
    <s v="BLU-RAY"/>
    <n v="104687"/>
    <s v="AB108964"/>
    <x v="14"/>
    <n v="852925"/>
  </r>
  <r>
    <n v="10240"/>
    <n v="10"/>
    <d v="2014-08-30T00:00:00"/>
    <s v="DVD"/>
    <n v="104689"/>
    <s v="AB108970"/>
    <x v="0"/>
    <n v="442691"/>
  </r>
  <r>
    <n v="10219"/>
    <n v="3"/>
    <d v="2014-09-03T00:00:00"/>
    <s v="DVD"/>
    <n v="104694"/>
    <s v="AB108980"/>
    <x v="1"/>
    <n v="995599"/>
  </r>
  <r>
    <n v="10038"/>
    <n v="6"/>
    <d v="2014-08-31T00:00:00"/>
    <s v="DVD"/>
    <n v="104694"/>
    <s v="AB108981"/>
    <x v="1"/>
    <n v="995599"/>
  </r>
  <r>
    <n v="10139"/>
    <n v="9"/>
    <d v="2014-09-02T00:00:00"/>
    <s v="DVD"/>
    <n v="104696"/>
    <s v="AB108983"/>
    <x v="14"/>
    <n v="860057"/>
  </r>
  <r>
    <n v="10162"/>
    <n v="7"/>
    <d v="2014-08-31T00:00:00"/>
    <s v="DVD"/>
    <n v="104697"/>
    <s v="AB108985"/>
    <x v="4"/>
    <n v="643214"/>
  </r>
  <r>
    <n v="10206"/>
    <n v="10"/>
    <d v="2014-08-31T00:00:00"/>
    <s v="BLU-RAY"/>
    <n v="104697"/>
    <s v="AB108986"/>
    <x v="9"/>
    <n v="643214"/>
  </r>
  <r>
    <n v="10181"/>
    <n v="4"/>
    <d v="2014-09-01T00:00:00"/>
    <s v="DVD"/>
    <n v="104698"/>
    <s v="AB108987"/>
    <x v="9"/>
    <n v="475216"/>
  </r>
  <r>
    <n v="10212"/>
    <n v="5"/>
    <d v="2014-09-01T00:00:00"/>
    <s v="DVD"/>
    <n v="104701"/>
    <s v="AB108991"/>
    <x v="10"/>
    <n v="761615"/>
  </r>
  <r>
    <n v="10352"/>
    <n v="9"/>
    <d v="2014-09-01T00:00:00"/>
    <s v="DVD"/>
    <n v="104701"/>
    <s v="AB108992"/>
    <x v="0"/>
    <n v="761615"/>
  </r>
  <r>
    <n v="10200"/>
    <n v="7"/>
    <d v="2014-09-03T00:00:00"/>
    <s v="DVD"/>
    <n v="104702"/>
    <s v="AB108993"/>
    <x v="9"/>
    <n v="390130"/>
  </r>
  <r>
    <n v="10283"/>
    <n v="3"/>
    <d v="2014-09-01T00:00:00"/>
    <s v="DVD"/>
    <n v="104707"/>
    <s v="AB109004"/>
    <x v="6"/>
    <n v="494106"/>
  </r>
  <r>
    <n v="10288"/>
    <n v="10"/>
    <d v="2014-09-02T00:00:00"/>
    <s v="DVD"/>
    <n v="104712"/>
    <s v="AB109012"/>
    <x v="12"/>
    <n v="611848"/>
  </r>
  <r>
    <n v="10038"/>
    <n v="6"/>
    <d v="2014-09-02T00:00:00"/>
    <s v="DVD"/>
    <n v="104714"/>
    <s v="AB109015"/>
    <x v="1"/>
    <n v="676018"/>
  </r>
  <r>
    <n v="10121"/>
    <n v="6"/>
    <d v="2014-09-04T00:00:00"/>
    <s v="DVD"/>
    <n v="104717"/>
    <s v="AB109018"/>
    <x v="2"/>
    <n v="205927"/>
  </r>
  <r>
    <n v="10263"/>
    <n v="2"/>
    <d v="2014-09-04T00:00:00"/>
    <s v="DVD"/>
    <n v="104721"/>
    <s v="AB109023"/>
    <x v="9"/>
    <n v="111486"/>
  </r>
  <r>
    <n v="10275"/>
    <n v="10"/>
    <d v="2014-09-03T00:00:00"/>
    <s v="BLU-RAY"/>
    <n v="104721"/>
    <s v="AB109024"/>
    <x v="10"/>
    <n v="111486"/>
  </r>
  <r>
    <n v="10021"/>
    <n v="2"/>
    <d v="2014-09-05T00:00:00"/>
    <s v="DVD"/>
    <n v="104724"/>
    <s v="AB109027"/>
    <x v="1"/>
    <n v="149240"/>
  </r>
  <r>
    <n v="10262"/>
    <n v="3"/>
    <d v="2014-09-08T00:00:00"/>
    <s v="DVD"/>
    <n v="104730"/>
    <s v="AB109037"/>
    <x v="10"/>
    <n v="471187"/>
  </r>
  <r>
    <n v="10180"/>
    <n v="7"/>
    <d v="2014-09-11T00:00:00"/>
    <s v="DVD"/>
    <n v="104731"/>
    <s v="AB109038"/>
    <x v="12"/>
    <n v="736500"/>
  </r>
  <r>
    <n v="10246"/>
    <n v="3"/>
    <d v="2014-09-06T00:00:00"/>
    <s v="DVD"/>
    <n v="104732"/>
    <s v="AB109040"/>
    <x v="2"/>
    <n v="748326"/>
  </r>
  <r>
    <n v="10170"/>
    <n v="6"/>
    <d v="2014-09-07T00:00:00"/>
    <s v="DVD"/>
    <n v="104733"/>
    <s v="AB109042"/>
    <x v="15"/>
    <n v="701211"/>
  </r>
  <r>
    <n v="10248"/>
    <n v="6"/>
    <d v="2014-09-05T00:00:00"/>
    <s v="DVD"/>
    <n v="104734"/>
    <s v="AB109043"/>
    <x v="12"/>
    <n v="112690"/>
  </r>
  <r>
    <n v="10174"/>
    <n v="8"/>
    <d v="2014-09-07T00:00:00"/>
    <s v="BLU-RAY"/>
    <n v="104735"/>
    <s v="AB109044"/>
    <x v="7"/>
    <n v="840970"/>
  </r>
  <r>
    <n v="10270"/>
    <n v="1"/>
    <d v="2014-09-07T00:00:00"/>
    <s v="DVD"/>
    <n v="104735"/>
    <s v="AB109045"/>
    <x v="9"/>
    <n v="840970"/>
  </r>
  <r>
    <n v="10194"/>
    <n v="9"/>
    <d v="2014-09-09T00:00:00"/>
    <s v="DVD"/>
    <n v="104735"/>
    <s v="AB109046"/>
    <x v="16"/>
    <n v="840970"/>
  </r>
  <r>
    <n v="10202"/>
    <n v="7"/>
    <d v="2014-09-08T00:00:00"/>
    <s v="DVD"/>
    <n v="104736"/>
    <s v="AB109048"/>
    <x v="0"/>
    <n v="200272"/>
  </r>
  <r>
    <n v="10189"/>
    <n v="10"/>
    <d v="2014-09-07T00:00:00"/>
    <s v="DVD"/>
    <n v="104739"/>
    <s v="AB109054"/>
    <x v="7"/>
    <n v="897980"/>
  </r>
  <r>
    <n v="10352"/>
    <n v="1"/>
    <d v="2014-09-06T00:00:00"/>
    <s v="DVD"/>
    <n v="104739"/>
    <s v="AB109055"/>
    <x v="0"/>
    <n v="897980"/>
  </r>
  <r>
    <n v="10268"/>
    <n v="9"/>
    <d v="2014-09-06T00:00:00"/>
    <s v="DVD"/>
    <n v="104740"/>
    <s v="AB109056"/>
    <x v="3"/>
    <n v="296353"/>
  </r>
  <r>
    <n v="10242"/>
    <n v="8"/>
    <d v="2014-09-06T00:00:00"/>
    <s v="DVD"/>
    <n v="104741"/>
    <s v="AB109058"/>
    <x v="3"/>
    <n v="500733"/>
  </r>
  <r>
    <n v="10215"/>
    <n v="6"/>
    <d v="2014-09-07T00:00:00"/>
    <s v="DVD"/>
    <n v="104742"/>
    <s v="AB109059"/>
    <x v="1"/>
    <n v="703083"/>
  </r>
  <r>
    <n v="10253"/>
    <n v="3"/>
    <d v="2014-09-08T00:00:00"/>
    <s v="DVD"/>
    <n v="104743"/>
    <s v="AB109060"/>
    <x v="3"/>
    <n v="846722"/>
  </r>
  <r>
    <n v="10245"/>
    <n v="2"/>
    <d v="2014-09-07T00:00:00"/>
    <s v="DVD"/>
    <n v="104745"/>
    <s v="AB109065"/>
    <x v="0"/>
    <n v="670707"/>
  </r>
  <r>
    <n v="10116"/>
    <n v="7"/>
    <d v="2014-09-07T00:00:00"/>
    <s v="DVD"/>
    <n v="104746"/>
    <s v="AB109066"/>
    <x v="7"/>
    <n v="941876"/>
  </r>
  <r>
    <n v="10266"/>
    <n v="3"/>
    <d v="2014-09-07T00:00:00"/>
    <s v="DVD"/>
    <n v="104747"/>
    <s v="AB109067"/>
    <x v="4"/>
    <n v="425051"/>
  </r>
  <r>
    <n v="10157"/>
    <n v="10"/>
    <d v="2014-09-14T00:00:00"/>
    <s v="DVD"/>
    <n v="104749"/>
    <s v="AB109069"/>
    <x v="1"/>
    <n v="308662"/>
  </r>
  <r>
    <n v="10174"/>
    <n v="7"/>
    <d v="2014-09-10T00:00:00"/>
    <s v="DVD"/>
    <n v="104751"/>
    <s v="AB109071"/>
    <x v="7"/>
    <n v="330570"/>
  </r>
  <r>
    <n v="10376"/>
    <n v="3"/>
    <d v="2014-09-10T00:00:00"/>
    <s v="DVD"/>
    <n v="104753"/>
    <s v="AB109075"/>
    <x v="12"/>
    <n v="783369"/>
  </r>
  <r>
    <n v="10267"/>
    <n v="8"/>
    <d v="2014-09-09T00:00:00"/>
    <s v="DVD"/>
    <n v="104755"/>
    <s v="AB109080"/>
    <x v="6"/>
    <n v="465275"/>
  </r>
  <r>
    <n v="10277"/>
    <n v="4"/>
    <d v="2014-09-15T00:00:00"/>
    <s v="DVD"/>
    <n v="104756"/>
    <s v="AB109081"/>
    <x v="7"/>
    <n v="371731"/>
  </r>
  <r>
    <n v="10171"/>
    <n v="5"/>
    <d v="2014-09-09T00:00:00"/>
    <s v="DVD"/>
    <n v="104756"/>
    <s v="AB109082"/>
    <x v="7"/>
    <n v="371731"/>
  </r>
  <r>
    <n v="10274"/>
    <n v="6"/>
    <d v="2014-09-09T00:00:00"/>
    <s v="BLU-RAY"/>
    <n v="104756"/>
    <s v="AB109083"/>
    <x v="9"/>
    <n v="371731"/>
  </r>
  <r>
    <n v="10135"/>
    <n v="9"/>
    <d v="2014-09-11T00:00:00"/>
    <s v="DVD"/>
    <n v="104756"/>
    <s v="AB109084"/>
    <x v="7"/>
    <n v="371731"/>
  </r>
  <r>
    <n v="10252"/>
    <n v="6"/>
    <d v="2014-09-10T00:00:00"/>
    <s v="DVD"/>
    <n v="104757"/>
    <s v="AB109085"/>
    <x v="0"/>
    <n v="500828"/>
  </r>
  <r>
    <n v="10077"/>
    <n v="10"/>
    <d v="2014-09-09T00:00:00"/>
    <s v="DVD"/>
    <n v="104758"/>
    <s v="AB109087"/>
    <x v="0"/>
    <n v="404678"/>
  </r>
  <r>
    <n v="10107"/>
    <n v="1"/>
    <d v="2014-09-14T00:00:00"/>
    <s v="DVD"/>
    <n v="104760"/>
    <s v="AB109091"/>
    <x v="7"/>
    <n v="370870"/>
  </r>
  <r>
    <n v="10179"/>
    <n v="2"/>
    <d v="2014-09-09T00:00:00"/>
    <s v="DVD"/>
    <n v="104761"/>
    <s v="AB109093"/>
    <x v="0"/>
    <n v="479497"/>
  </r>
  <r>
    <n v="10238"/>
    <n v="5"/>
    <d v="2014-09-12T00:00:00"/>
    <s v="DVD"/>
    <n v="104763"/>
    <s v="AB109097"/>
    <x v="0"/>
    <n v="347189"/>
  </r>
  <r>
    <n v="10208"/>
    <n v="1"/>
    <d v="2014-09-10T00:00:00"/>
    <s v="DVD"/>
    <n v="104765"/>
    <s v="AB109100"/>
    <x v="0"/>
    <n v="720602"/>
  </r>
  <r>
    <n v="10174"/>
    <n v="4"/>
    <d v="2014-09-14T00:00:00"/>
    <s v="DVD"/>
    <n v="104765"/>
    <s v="AB109101"/>
    <x v="7"/>
    <n v="720602"/>
  </r>
  <r>
    <n v="10271"/>
    <n v="7"/>
    <d v="2014-09-14T00:00:00"/>
    <s v="DVD"/>
    <n v="104765"/>
    <s v="AB109102"/>
    <x v="7"/>
    <n v="720602"/>
  </r>
  <r>
    <n v="10205"/>
    <n v="9"/>
    <d v="2014-09-10T00:00:00"/>
    <s v="DVD"/>
    <n v="104767"/>
    <s v="AB109107"/>
    <x v="1"/>
    <n v="147216"/>
  </r>
  <r>
    <n v="10193"/>
    <n v="2"/>
    <d v="2014-09-10T00:00:00"/>
    <s v="DVD"/>
    <n v="104769"/>
    <s v="AB109111"/>
    <x v="9"/>
    <n v="872851"/>
  </r>
  <r>
    <n v="10139"/>
    <n v="5"/>
    <d v="2014-09-10T00:00:00"/>
    <s v="BLU-RAY"/>
    <n v="104770"/>
    <s v="AB109113"/>
    <x v="14"/>
    <n v="951702"/>
  </r>
  <r>
    <n v="10123"/>
    <n v="1"/>
    <d v="2014-09-11T00:00:00"/>
    <s v="DVD"/>
    <n v="104772"/>
    <s v="AB109120"/>
    <x v="9"/>
    <n v="924947"/>
  </r>
  <r>
    <n v="10284"/>
    <n v="6"/>
    <d v="2014-09-15T00:00:00"/>
    <s v="DVD"/>
    <n v="104772"/>
    <s v="AB109121"/>
    <x v="14"/>
    <n v="924947"/>
  </r>
  <r>
    <n v="10150"/>
    <n v="5"/>
    <d v="2014-09-11T00:00:00"/>
    <s v="BLU-RAY"/>
    <n v="104776"/>
    <s v="AB109126"/>
    <x v="14"/>
    <n v="104939"/>
  </r>
  <r>
    <n v="10282"/>
    <n v="10"/>
    <d v="2014-09-14T00:00:00"/>
    <s v="DVD"/>
    <n v="104778"/>
    <s v="AB109131"/>
    <x v="15"/>
    <n v="240205"/>
  </r>
  <r>
    <n v="10284"/>
    <n v="9"/>
    <d v="2014-09-15T00:00:00"/>
    <s v="DVD"/>
    <n v="104779"/>
    <s v="AB109133"/>
    <x v="14"/>
    <n v="741398"/>
  </r>
  <r>
    <n v="10259"/>
    <n v="8"/>
    <d v="2014-09-13T00:00:00"/>
    <s v="DVD"/>
    <n v="104780"/>
    <s v="AB109136"/>
    <x v="0"/>
    <n v="493552"/>
  </r>
  <r>
    <n v="10043"/>
    <n v="8"/>
    <d v="2014-09-14T00:00:00"/>
    <s v="DVD"/>
    <n v="104783"/>
    <s v="AB109143"/>
    <x v="8"/>
    <n v="797968"/>
  </r>
  <r>
    <n v="10219"/>
    <n v="5"/>
    <d v="2014-09-12T00:00:00"/>
    <s v="DVD"/>
    <n v="104784"/>
    <s v="AB109146"/>
    <x v="1"/>
    <n v="245577"/>
  </r>
  <r>
    <n v="10114"/>
    <n v="5"/>
    <d v="2014-09-15T00:00:00"/>
    <s v="DVD"/>
    <n v="104786"/>
    <s v="AB109151"/>
    <x v="10"/>
    <n v="242720"/>
  </r>
  <r>
    <n v="10219"/>
    <n v="3"/>
    <d v="2014-09-13T00:00:00"/>
    <s v="DVD"/>
    <n v="104786"/>
    <s v="AB109154"/>
    <x v="1"/>
    <n v="242720"/>
  </r>
  <r>
    <n v="10396"/>
    <n v="9"/>
    <d v="2014-09-15T00:00:00"/>
    <s v="DVD"/>
    <n v="104787"/>
    <s v="AB109155"/>
    <x v="23"/>
    <n v="262579"/>
  </r>
  <r>
    <n v="10205"/>
    <n v="7"/>
    <d v="2014-09-13T00:00:00"/>
    <s v="DVD"/>
    <n v="104789"/>
    <s v="AB109158"/>
    <x v="1"/>
    <n v="105771"/>
  </r>
  <r>
    <n v="10174"/>
    <n v="7"/>
    <d v="2014-09-13T00:00:00"/>
    <s v="DVD"/>
    <n v="104789"/>
    <s v="AB109159"/>
    <x v="7"/>
    <n v="105771"/>
  </r>
  <r>
    <n v="10245"/>
    <n v="3"/>
    <d v="2014-09-15T00:00:00"/>
    <s v="DVD"/>
    <n v="104790"/>
    <s v="AB109160"/>
    <x v="0"/>
    <n v="601753"/>
  </r>
  <r>
    <n v="10200"/>
    <n v="7"/>
    <d v="2014-09-15T00:00:00"/>
    <s v="DVD"/>
    <n v="104791"/>
    <s v="AB109162"/>
    <x v="9"/>
    <n v="842028"/>
  </r>
  <r>
    <n v="10216"/>
    <n v="8"/>
    <d v="2014-09-14T00:00:00"/>
    <s v="DVD"/>
    <n v="104792"/>
    <s v="AB109164"/>
    <x v="4"/>
    <n v="611848"/>
  </r>
  <r>
    <n v="10349"/>
    <n v="6"/>
    <d v="2014-09-14T00:00:00"/>
    <s v="DVD"/>
    <n v="104793"/>
    <s v="AB109165"/>
    <x v="8"/>
    <n v="277310"/>
  </r>
  <r>
    <n v="10218"/>
    <n v="4"/>
    <d v="2014-09-16T00:00:00"/>
    <s v="DVD"/>
    <n v="104793"/>
    <s v="AB109166"/>
    <x v="4"/>
    <n v="277310"/>
  </r>
  <r>
    <n v="10185"/>
    <n v="3"/>
    <d v="2014-09-14T00:00:00"/>
    <s v="BLU-RAY"/>
    <n v="104794"/>
    <s v="AB109167"/>
    <x v="0"/>
    <n v="690100"/>
  </r>
  <r>
    <n v="10265"/>
    <n v="3"/>
    <d v="2014-09-15T00:00:00"/>
    <s v="BLU-RAY"/>
    <n v="104795"/>
    <s v="AB109170"/>
    <x v="0"/>
    <n v="646700"/>
  </r>
  <r>
    <n v="10055"/>
    <n v="9"/>
    <d v="2014-09-15T00:00:00"/>
    <s v="DVD"/>
    <n v="104795"/>
    <s v="AB109171"/>
    <x v="15"/>
    <n v="646700"/>
  </r>
  <r>
    <n v="10009"/>
    <n v="10"/>
    <d v="2014-09-14T00:00:00"/>
    <s v="BLU-RAY"/>
    <n v="104797"/>
    <s v="AB109173"/>
    <x v="0"/>
    <n v="657495"/>
  </r>
  <r>
    <n v="10182"/>
    <n v="4"/>
    <d v="2014-09-16T00:00:00"/>
    <s v="DVD"/>
    <n v="104797"/>
    <s v="AB109174"/>
    <x v="0"/>
    <n v="657495"/>
  </r>
  <r>
    <n v="10274"/>
    <n v="8"/>
    <d v="2014-09-14T00:00:00"/>
    <s v="DVD"/>
    <n v="104799"/>
    <s v="AB109177"/>
    <x v="9"/>
    <n v="606155"/>
  </r>
  <r>
    <n v="10142"/>
    <n v="7"/>
    <d v="2014-09-16T00:00:00"/>
    <s v="DVD"/>
    <n v="104800"/>
    <s v="AB109179"/>
    <x v="0"/>
    <n v="116934"/>
  </r>
  <r>
    <n v="10215"/>
    <n v="9"/>
    <d v="2014-09-18T00:00:00"/>
    <s v="DVD"/>
    <n v="104801"/>
    <s v="AB109182"/>
    <x v="1"/>
    <n v="663029"/>
  </r>
  <r>
    <n v="10182"/>
    <n v="10"/>
    <d v="2014-09-15T00:00:00"/>
    <s v="DVD"/>
    <n v="104802"/>
    <s v="AB109183"/>
    <x v="0"/>
    <n v="132454"/>
  </r>
  <r>
    <n v="10283"/>
    <n v="6"/>
    <d v="2014-09-15T00:00:00"/>
    <s v="DVD"/>
    <n v="104803"/>
    <s v="AB109185"/>
    <x v="6"/>
    <n v="301793"/>
  </r>
  <r>
    <n v="10172"/>
    <n v="8"/>
    <d v="2014-09-15T00:00:00"/>
    <s v="BLU-RAY"/>
    <n v="104805"/>
    <s v="AB109187"/>
    <x v="10"/>
    <n v="235720"/>
  </r>
  <r>
    <n v="10208"/>
    <n v="10"/>
    <d v="2014-09-17T00:00:00"/>
    <s v="DVD"/>
    <n v="104807"/>
    <s v="AB109189"/>
    <x v="0"/>
    <n v="517477"/>
  </r>
  <r>
    <n v="10349"/>
    <n v="7"/>
    <d v="2014-09-16T00:00:00"/>
    <s v="DVD"/>
    <n v="104807"/>
    <s v="AB109190"/>
    <x v="8"/>
    <n v="517477"/>
  </r>
  <r>
    <n v="10210"/>
    <n v="1"/>
    <d v="2014-09-19T00:00:00"/>
    <s v="BLU-RAY"/>
    <n v="104808"/>
    <s v="AB109191"/>
    <x v="4"/>
    <n v="270853"/>
  </r>
  <r>
    <n v="10249"/>
    <n v="8"/>
    <d v="2014-09-16T00:00:00"/>
    <s v="DVD"/>
    <n v="104809"/>
    <s v="AB109192"/>
    <x v="5"/>
    <n v="925565"/>
  </r>
  <r>
    <n v="10232"/>
    <n v="7"/>
    <d v="2014-09-22T00:00:00"/>
    <s v="DVD"/>
    <n v="104810"/>
    <s v="AB109194"/>
    <x v="1"/>
    <n v="227372"/>
  </r>
  <r>
    <n v="10198"/>
    <n v="7"/>
    <d v="2014-09-19T00:00:00"/>
    <s v="DVD"/>
    <n v="104812"/>
    <s v="AB109195"/>
    <x v="9"/>
    <n v="703083"/>
  </r>
  <r>
    <n v="10237"/>
    <n v="8"/>
    <d v="2014-09-16T00:00:00"/>
    <s v="DVD"/>
    <n v="104813"/>
    <s v="AB109196"/>
    <x v="0"/>
    <n v="4802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A7D0938-A88E-4FEA-92A6-BBA582205C2C}" name="PivotTable1" cacheId="16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C26" firstHeaderRow="0" firstDataRow="1" firstDataCol="1"/>
  <pivotFields count="8">
    <pivotField compact="0" outline="0" showAll="0"/>
    <pivotField dataField="1" compact="0" outline="0" showAll="0"/>
    <pivotField compact="0" numFmtId="14" outline="0" showAll="0"/>
    <pivotField compact="0" outline="0" showAll="0"/>
    <pivotField compact="0" outline="0" showAll="0"/>
    <pivotField compact="0" outline="0" showAll="0"/>
    <pivotField axis="axisRow" compact="0" outline="0" showAll="0" sortType="descending">
      <items count="25">
        <item x="21"/>
        <item x="3"/>
        <item x="18"/>
        <item x="16"/>
        <item x="14"/>
        <item x="9"/>
        <item x="17"/>
        <item x="10"/>
        <item x="11"/>
        <item x="1"/>
        <item x="22"/>
        <item x="12"/>
        <item x="13"/>
        <item x="20"/>
        <item x="8"/>
        <item x="4"/>
        <item x="15"/>
        <item x="23"/>
        <item x="5"/>
        <item x="6"/>
        <item x="7"/>
        <item x="19"/>
        <item x="0"/>
        <item x="2"/>
        <item t="default"/>
      </items>
      <autoSortScope>
        <pivotArea dataOnly="0" outline="0" fieldPosition="0">
          <references count="1">
            <reference field="4294967294" count="1" selected="0">
              <x v="0"/>
            </reference>
          </references>
        </pivotArea>
      </autoSortScope>
    </pivotField>
    <pivotField compact="0" outline="0" showAll="0"/>
  </pivotFields>
  <rowFields count="1">
    <field x="6"/>
  </rowFields>
  <rowItems count="25">
    <i>
      <x v="22"/>
    </i>
    <i>
      <x v="5"/>
    </i>
    <i>
      <x v="20"/>
    </i>
    <i>
      <x v="15"/>
    </i>
    <i>
      <x v="9"/>
    </i>
    <i>
      <x v="1"/>
    </i>
    <i>
      <x v="7"/>
    </i>
    <i>
      <x v="23"/>
    </i>
    <i>
      <x v="11"/>
    </i>
    <i>
      <x v="4"/>
    </i>
    <i>
      <x v="19"/>
    </i>
    <i>
      <x v="14"/>
    </i>
    <i>
      <x v="3"/>
    </i>
    <i>
      <x v="8"/>
    </i>
    <i>
      <x v="16"/>
    </i>
    <i>
      <x v="6"/>
    </i>
    <i>
      <x v="18"/>
    </i>
    <i>
      <x/>
    </i>
    <i>
      <x v="13"/>
    </i>
    <i>
      <x v="12"/>
    </i>
    <i>
      <x v="10"/>
    </i>
    <i>
      <x v="2"/>
    </i>
    <i>
      <x v="21"/>
    </i>
    <i>
      <x v="17"/>
    </i>
    <i t="grand">
      <x/>
    </i>
  </rowItems>
  <colFields count="1">
    <field x="-2"/>
  </colFields>
  <colItems count="2">
    <i>
      <x/>
    </i>
    <i i="1">
      <x v="1"/>
    </i>
  </colItems>
  <dataFields count="2">
    <dataField name="Sum of Price" fld="1" baseField="0" baseItem="0"/>
    <dataField name="Average of Price" fld="1"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77B53C9-EA7C-4D33-B4C3-66127A08FF29}" name="PivotTable1" cacheId="16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C71" firstHeaderRow="1" firstDataRow="1" firstDataCol="2"/>
  <pivotFields count="9">
    <pivotField compact="0" outline="0" showAll="0"/>
    <pivotField dataField="1" compact="0" outline="0" showAll="0"/>
    <pivotField compact="0" numFmtId="14" outline="0" showAll="0"/>
    <pivotField compact="0" outline="0" showAll="0"/>
    <pivotField compact="0" outline="0" showAll="0"/>
    <pivotField compact="0" outline="0" showAll="0"/>
    <pivotField axis="axisRow" compact="0" outline="0" showAll="0">
      <items count="25">
        <item x="21"/>
        <item x="3"/>
        <item x="18"/>
        <item x="16"/>
        <item x="14"/>
        <item x="9"/>
        <item x="17"/>
        <item x="10"/>
        <item x="11"/>
        <item x="1"/>
        <item x="22"/>
        <item x="12"/>
        <item x="13"/>
        <item x="20"/>
        <item x="8"/>
        <item x="4"/>
        <item x="15"/>
        <item x="23"/>
        <item x="5"/>
        <item x="6"/>
        <item x="7"/>
        <item x="19"/>
        <item x="0"/>
        <item x="2"/>
        <item t="default"/>
      </items>
    </pivotField>
    <pivotField compact="0" outline="0" showAll="0"/>
    <pivotField axis="axisRow" compact="0" outline="0" showAll="0">
      <items count="4">
        <item x="0"/>
        <item x="1"/>
        <item x="2"/>
        <item t="default"/>
      </items>
    </pivotField>
  </pivotFields>
  <rowFields count="2">
    <field x="8"/>
    <field x="6"/>
  </rowFields>
  <rowItems count="70">
    <i>
      <x/>
      <x v="1"/>
    </i>
    <i r="1">
      <x v="2"/>
    </i>
    <i r="1">
      <x v="3"/>
    </i>
    <i r="1">
      <x v="4"/>
    </i>
    <i r="1">
      <x v="5"/>
    </i>
    <i r="1">
      <x v="6"/>
    </i>
    <i r="1">
      <x v="7"/>
    </i>
    <i r="1">
      <x v="8"/>
    </i>
    <i r="1">
      <x v="9"/>
    </i>
    <i r="1">
      <x v="11"/>
    </i>
    <i r="1">
      <x v="12"/>
    </i>
    <i r="1">
      <x v="14"/>
    </i>
    <i r="1">
      <x v="15"/>
    </i>
    <i r="1">
      <x v="16"/>
    </i>
    <i r="1">
      <x v="18"/>
    </i>
    <i r="1">
      <x v="19"/>
    </i>
    <i r="1">
      <x v="20"/>
    </i>
    <i r="1">
      <x v="22"/>
    </i>
    <i r="1">
      <x v="23"/>
    </i>
    <i t="default">
      <x/>
    </i>
    <i>
      <x v="1"/>
      <x/>
    </i>
    <i r="1">
      <x v="1"/>
    </i>
    <i r="1">
      <x v="2"/>
    </i>
    <i r="1">
      <x v="3"/>
    </i>
    <i r="1">
      <x v="4"/>
    </i>
    <i r="1">
      <x v="5"/>
    </i>
    <i r="1">
      <x v="6"/>
    </i>
    <i r="1">
      <x v="7"/>
    </i>
    <i r="1">
      <x v="8"/>
    </i>
    <i r="1">
      <x v="9"/>
    </i>
    <i r="1">
      <x v="10"/>
    </i>
    <i r="1">
      <x v="11"/>
    </i>
    <i r="1">
      <x v="12"/>
    </i>
    <i r="1">
      <x v="13"/>
    </i>
    <i r="1">
      <x v="14"/>
    </i>
    <i r="1">
      <x v="15"/>
    </i>
    <i r="1">
      <x v="16"/>
    </i>
    <i r="1">
      <x v="18"/>
    </i>
    <i r="1">
      <x v="19"/>
    </i>
    <i r="1">
      <x v="20"/>
    </i>
    <i r="1">
      <x v="21"/>
    </i>
    <i r="1">
      <x v="22"/>
    </i>
    <i r="1">
      <x v="23"/>
    </i>
    <i t="default">
      <x v="1"/>
    </i>
    <i>
      <x v="2"/>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t="default">
      <x v="2"/>
    </i>
    <i t="grand">
      <x/>
    </i>
  </rowItems>
  <colItems count="1">
    <i/>
  </colItems>
  <dataFields count="1">
    <dataField name="Sum of Price"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E369A8E-1AEE-48A5-8B0A-56CB0BA69A6C}" name="PivotTable2" cacheId="16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1:D6" firstHeaderRow="1" firstDataRow="2" firstDataCol="1"/>
  <pivotFields count="9">
    <pivotField compact="0" outline="0" showAll="0"/>
    <pivotField dataField="1" compact="0" outline="0" showAll="0"/>
    <pivotField compact="0" numFmtId="14" outline="0" showAll="0"/>
    <pivotField compact="0" outline="0" showAll="0"/>
    <pivotField compact="0" outline="0" showAll="0"/>
    <pivotField compact="0" outline="0" showAll="0"/>
    <pivotField axis="axisCol" compact="0" outline="0" showAll="0">
      <items count="25">
        <item x="21"/>
        <item h="1" x="3"/>
        <item h="1" x="18"/>
        <item h="1" x="16"/>
        <item h="1" x="14"/>
        <item x="9"/>
        <item h="1" x="17"/>
        <item h="1" x="10"/>
        <item h="1" x="11"/>
        <item h="1" x="1"/>
        <item h="1" x="22"/>
        <item h="1" x="12"/>
        <item h="1" x="13"/>
        <item h="1" x="20"/>
        <item h="1" x="8"/>
        <item h="1" x="4"/>
        <item h="1" x="15"/>
        <item h="1" x="23"/>
        <item h="1" x="5"/>
        <item h="1" x="6"/>
        <item h="1" x="7"/>
        <item h="1" x="19"/>
        <item h="1" x="0"/>
        <item h="1" x="2"/>
        <item t="default"/>
      </items>
    </pivotField>
    <pivotField compact="0" outline="0" showAll="0"/>
    <pivotField axis="axisRow" compact="0" outline="0" showAll="0">
      <items count="4">
        <item x="0"/>
        <item x="1"/>
        <item x="2"/>
        <item t="default"/>
      </items>
    </pivotField>
  </pivotFields>
  <rowFields count="1">
    <field x="8"/>
  </rowFields>
  <rowItems count="4">
    <i>
      <x/>
    </i>
    <i>
      <x v="1"/>
    </i>
    <i>
      <x v="2"/>
    </i>
    <i t="grand">
      <x/>
    </i>
  </rowItems>
  <colFields count="1">
    <field x="6"/>
  </colFields>
  <colItems count="3">
    <i>
      <x/>
    </i>
    <i>
      <x v="5"/>
    </i>
    <i t="grand">
      <x/>
    </i>
  </colItems>
  <dataFields count="1">
    <dataField name="Sum of Price" fld="1" baseField="0" baseItem="0"/>
  </dataFields>
  <chartFormats count="2">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19AB6-0FEB-428A-8CC2-778820F83211}">
  <dimension ref="A2:C10"/>
  <sheetViews>
    <sheetView topLeftCell="A4" workbookViewId="0">
      <selection activeCell="B8" sqref="A1:XFD1048576"/>
    </sheetView>
  </sheetViews>
  <sheetFormatPr defaultRowHeight="15"/>
  <cols>
    <col min="1" max="1" width="14.85546875" bestFit="1" customWidth="1"/>
    <col min="2" max="2" width="87.85546875" customWidth="1"/>
  </cols>
  <sheetData>
    <row r="2" spans="1:3">
      <c r="A2" s="13" t="s">
        <v>0</v>
      </c>
      <c r="B2" t="s">
        <v>1</v>
      </c>
    </row>
    <row r="3" spans="1:3">
      <c r="B3" t="s">
        <v>2</v>
      </c>
    </row>
    <row r="5" spans="1:3">
      <c r="A5" s="10" t="s">
        <v>3</v>
      </c>
      <c r="B5" s="10" t="s">
        <v>4</v>
      </c>
      <c r="C5" s="10" t="s">
        <v>5</v>
      </c>
    </row>
    <row r="6" spans="1:3" ht="42.6" customHeight="1">
      <c r="A6" s="8">
        <v>1</v>
      </c>
      <c r="B6" s="9" t="s">
        <v>6</v>
      </c>
      <c r="C6" s="8">
        <v>5</v>
      </c>
    </row>
    <row r="7" spans="1:3" ht="72.75">
      <c r="A7" s="8">
        <v>2</v>
      </c>
      <c r="B7" s="9" t="s">
        <v>7</v>
      </c>
      <c r="C7" s="8">
        <v>5</v>
      </c>
    </row>
    <row r="8" spans="1:3" ht="43.5">
      <c r="A8" s="8">
        <v>3</v>
      </c>
      <c r="B8" s="9" t="s">
        <v>8</v>
      </c>
      <c r="C8" s="8">
        <v>6</v>
      </c>
    </row>
    <row r="9" spans="1:3" ht="99.75" customHeight="1">
      <c r="A9" s="8">
        <v>4</v>
      </c>
      <c r="B9" s="9" t="s">
        <v>9</v>
      </c>
      <c r="C9" s="8">
        <v>6</v>
      </c>
    </row>
    <row r="10" spans="1:3" ht="64.5" customHeight="1">
      <c r="A10" s="8">
        <v>5</v>
      </c>
      <c r="B10" s="9" t="s">
        <v>10</v>
      </c>
      <c r="C10" s="8">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D480E-573C-446E-892F-FF4EC98CBF03}">
  <dimension ref="A1:L555"/>
  <sheetViews>
    <sheetView topLeftCell="D1" workbookViewId="0">
      <selection activeCell="E1" sqref="E1:L1"/>
    </sheetView>
  </sheetViews>
  <sheetFormatPr defaultRowHeight="15"/>
  <cols>
    <col min="1" max="1" width="14.28515625" bestFit="1" customWidth="1"/>
    <col min="2" max="2" width="10.7109375" bestFit="1" customWidth="1"/>
    <col min="3" max="3" width="13.5703125" bestFit="1" customWidth="1"/>
    <col min="4" max="4" width="24.28515625" bestFit="1" customWidth="1"/>
    <col min="5" max="5" width="15.5703125" bestFit="1" customWidth="1"/>
    <col min="6" max="6" width="25.42578125" customWidth="1"/>
    <col min="7" max="7" width="17" style="3" customWidth="1"/>
    <col min="8" max="8" width="29.140625" customWidth="1"/>
    <col min="9" max="9" width="15" customWidth="1"/>
    <col min="10" max="10" width="25.28515625" bestFit="1" customWidth="1"/>
    <col min="11" max="11" width="27.85546875" bestFit="1" customWidth="1"/>
    <col min="12" max="12" width="36.5703125" style="18" bestFit="1" customWidth="1"/>
  </cols>
  <sheetData>
    <row r="1" spans="1:12">
      <c r="A1" s="4" t="s">
        <v>11</v>
      </c>
      <c r="B1" s="4" t="s">
        <v>12</v>
      </c>
      <c r="C1" s="4" t="s">
        <v>13</v>
      </c>
      <c r="D1" s="4" t="s">
        <v>14</v>
      </c>
      <c r="E1" s="4" t="s">
        <v>15</v>
      </c>
      <c r="F1" s="4" t="s">
        <v>16</v>
      </c>
      <c r="G1" s="5" t="s">
        <v>17</v>
      </c>
      <c r="H1" s="4" t="s">
        <v>18</v>
      </c>
      <c r="I1" s="7" t="s">
        <v>19</v>
      </c>
      <c r="J1" s="11" t="s">
        <v>20</v>
      </c>
      <c r="K1" s="11" t="s">
        <v>21</v>
      </c>
      <c r="L1" s="16" t="s">
        <v>22</v>
      </c>
    </row>
    <row r="2" spans="1:12" ht="29.25">
      <c r="A2" s="1">
        <v>101811</v>
      </c>
      <c r="B2" s="1" t="s">
        <v>23</v>
      </c>
      <c r="C2" s="1" t="s">
        <v>24</v>
      </c>
      <c r="D2" s="1" t="s">
        <v>25</v>
      </c>
      <c r="E2" s="1" t="s">
        <v>26</v>
      </c>
      <c r="F2" s="1" t="s">
        <v>27</v>
      </c>
      <c r="G2" s="2">
        <v>41424</v>
      </c>
      <c r="H2" s="1" t="b">
        <v>0</v>
      </c>
      <c r="I2" s="6" t="s">
        <v>28</v>
      </c>
      <c r="J2" s="1">
        <f>COUNTIF('Rental Transaction'!B2:B3873,A2)</f>
        <v>5</v>
      </c>
      <c r="K2" s="1">
        <f>SUMIF('Rental Transaction'!B:B,A2,'Rental Transaction'!H:H)</f>
        <v>25</v>
      </c>
      <c r="L2" s="17">
        <f>COUNTIFS('Retal Tran Line Item'!D:D,"BLU-RAY",'Retal Tran Line Item'!H:H,A2)/J2</f>
        <v>0.6</v>
      </c>
    </row>
    <row r="3" spans="1:12">
      <c r="A3" s="1">
        <v>103508</v>
      </c>
      <c r="B3" s="1" t="s">
        <v>29</v>
      </c>
      <c r="C3" s="1" t="s">
        <v>30</v>
      </c>
      <c r="D3" s="1" t="s">
        <v>31</v>
      </c>
      <c r="E3" s="1" t="s">
        <v>26</v>
      </c>
      <c r="F3" s="1" t="s">
        <v>32</v>
      </c>
      <c r="G3" s="2">
        <v>41311</v>
      </c>
      <c r="H3" s="1" t="b">
        <v>0</v>
      </c>
      <c r="I3" s="6" t="s">
        <v>33</v>
      </c>
      <c r="J3" s="1">
        <f>COUNTIF('Rental Transaction'!B3:B3874,A3)</f>
        <v>6</v>
      </c>
      <c r="K3" s="1">
        <f>SUMIF('Rental Transaction'!B:B,A3,'Rental Transaction'!H:H)</f>
        <v>42</v>
      </c>
      <c r="L3" s="17">
        <f>COUNTIFS('Retal Tran Line Item'!D:D,"BLU-RAY",'Retal Tran Line Item'!H:H,A3)/J3</f>
        <v>0.5</v>
      </c>
    </row>
    <row r="4" spans="1:12">
      <c r="A4" s="1">
        <v>104939</v>
      </c>
      <c r="B4" s="1" t="s">
        <v>34</v>
      </c>
      <c r="C4" s="1" t="s">
        <v>35</v>
      </c>
      <c r="D4" s="1" t="s">
        <v>36</v>
      </c>
      <c r="E4" s="1" t="s">
        <v>37</v>
      </c>
      <c r="F4" s="1" t="s">
        <v>38</v>
      </c>
      <c r="G4" s="2">
        <v>41375</v>
      </c>
      <c r="H4" s="1" t="b">
        <v>0</v>
      </c>
      <c r="I4" s="6" t="s">
        <v>28</v>
      </c>
      <c r="J4" s="1">
        <f>COUNTIF('Rental Transaction'!B4:B3875,A4)</f>
        <v>5</v>
      </c>
      <c r="K4" s="1">
        <f>SUMIF('Rental Transaction'!B:B,A4,'Rental Transaction'!H:H)</f>
        <v>52</v>
      </c>
      <c r="L4" s="17">
        <f>COUNTIFS('Retal Tran Line Item'!D:D,"BLU-RAY",'Retal Tran Line Item'!H:H,A4)/J4</f>
        <v>0.8</v>
      </c>
    </row>
    <row r="5" spans="1:12">
      <c r="A5" s="1">
        <v>105549</v>
      </c>
      <c r="B5" s="1" t="s">
        <v>39</v>
      </c>
      <c r="C5" s="1" t="s">
        <v>40</v>
      </c>
      <c r="D5" s="1" t="s">
        <v>41</v>
      </c>
      <c r="E5" s="1" t="s">
        <v>42</v>
      </c>
      <c r="F5" s="1" t="s">
        <v>43</v>
      </c>
      <c r="G5" s="2">
        <v>41333</v>
      </c>
      <c r="H5" s="1" t="b">
        <v>1</v>
      </c>
      <c r="I5" s="6" t="s">
        <v>28</v>
      </c>
      <c r="J5" s="1">
        <f>COUNTIF('Rental Transaction'!B5:B3876,A5)</f>
        <v>4</v>
      </c>
      <c r="K5" s="1">
        <f>SUMIF('Rental Transaction'!B:B,A5,'Rental Transaction'!H:H)</f>
        <v>29</v>
      </c>
      <c r="L5" s="17">
        <f>COUNTIFS('Retal Tran Line Item'!D:D,"BLU-RAY",'Retal Tran Line Item'!H:H,A5)/J5</f>
        <v>0.75</v>
      </c>
    </row>
    <row r="6" spans="1:12">
      <c r="A6" s="1">
        <v>105771</v>
      </c>
      <c r="B6" s="1" t="s">
        <v>44</v>
      </c>
      <c r="C6" s="1" t="s">
        <v>45</v>
      </c>
      <c r="D6" s="1" t="s">
        <v>46</v>
      </c>
      <c r="E6" s="1" t="s">
        <v>26</v>
      </c>
      <c r="F6" s="1" t="s">
        <v>47</v>
      </c>
      <c r="G6" s="2">
        <v>41522</v>
      </c>
      <c r="H6" s="1" t="b">
        <v>1</v>
      </c>
      <c r="I6" s="6" t="s">
        <v>28</v>
      </c>
      <c r="J6" s="1">
        <f>COUNTIF('Rental Transaction'!B6:B3877,A6)</f>
        <v>5</v>
      </c>
      <c r="K6" s="1">
        <f>SUMIF('Rental Transaction'!B:B,A6,'Rental Transaction'!H:H)</f>
        <v>47</v>
      </c>
      <c r="L6" s="17">
        <f>COUNTIFS('Retal Tran Line Item'!D:D,"BLU-RAY",'Retal Tran Line Item'!H:H,A6)/J6</f>
        <v>0.4</v>
      </c>
    </row>
    <row r="7" spans="1:12">
      <c r="A7" s="1">
        <v>108708</v>
      </c>
      <c r="B7" s="1" t="s">
        <v>48</v>
      </c>
      <c r="C7" s="1" t="s">
        <v>49</v>
      </c>
      <c r="D7" s="1" t="s">
        <v>50</v>
      </c>
      <c r="E7" s="1" t="s">
        <v>51</v>
      </c>
      <c r="F7" s="1" t="s">
        <v>52</v>
      </c>
      <c r="G7" s="2">
        <v>41091</v>
      </c>
      <c r="H7" s="1" t="b">
        <v>0</v>
      </c>
      <c r="I7" s="6" t="s">
        <v>28</v>
      </c>
      <c r="J7" s="1">
        <f>COUNTIF('Rental Transaction'!B7:B3878,A7)</f>
        <v>8</v>
      </c>
      <c r="K7" s="1">
        <f>SUMIF('Rental Transaction'!B:B,A7,'Rental Transaction'!H:H)</f>
        <v>58</v>
      </c>
      <c r="L7" s="17">
        <f>COUNTIFS('Retal Tran Line Item'!D:D,"BLU-RAY",'Retal Tran Line Item'!H:H,A7)/J7</f>
        <v>0.5</v>
      </c>
    </row>
    <row r="8" spans="1:12">
      <c r="A8" s="1">
        <v>109251</v>
      </c>
      <c r="B8" s="1" t="s">
        <v>53</v>
      </c>
      <c r="C8" s="1" t="s">
        <v>54</v>
      </c>
      <c r="D8" s="1" t="s">
        <v>55</v>
      </c>
      <c r="E8" s="1" t="s">
        <v>26</v>
      </c>
      <c r="F8" s="1" t="s">
        <v>56</v>
      </c>
      <c r="G8" s="2">
        <v>41208</v>
      </c>
      <c r="H8" s="1" t="b">
        <v>1</v>
      </c>
      <c r="I8" s="6" t="s">
        <v>33</v>
      </c>
      <c r="J8" s="1">
        <f>COUNTIF('Rental Transaction'!B8:B3879,A8)</f>
        <v>8</v>
      </c>
      <c r="K8" s="1">
        <f>SUMIF('Rental Transaction'!B:B,A8,'Rental Transaction'!H:H)</f>
        <v>81</v>
      </c>
      <c r="L8" s="17">
        <f>COUNTIFS('Retal Tran Line Item'!D:D,"BLU-RAY",'Retal Tran Line Item'!H:H,A8)/J8</f>
        <v>0.75</v>
      </c>
    </row>
    <row r="9" spans="1:12">
      <c r="A9" s="1">
        <v>110363</v>
      </c>
      <c r="B9" s="1" t="s">
        <v>57</v>
      </c>
      <c r="C9" s="1" t="s">
        <v>58</v>
      </c>
      <c r="D9" s="1" t="s">
        <v>59</v>
      </c>
      <c r="E9" s="1" t="s">
        <v>26</v>
      </c>
      <c r="F9" s="1" t="s">
        <v>60</v>
      </c>
      <c r="G9" s="2">
        <v>41508</v>
      </c>
      <c r="H9" s="1" t="b">
        <v>1</v>
      </c>
      <c r="I9" s="6" t="s">
        <v>33</v>
      </c>
      <c r="J9" s="1">
        <f>COUNTIF('Rental Transaction'!B9:B3880,A9)</f>
        <v>11</v>
      </c>
      <c r="K9" s="1">
        <f>SUMIF('Rental Transaction'!B:B,A9,'Rental Transaction'!H:H)</f>
        <v>85</v>
      </c>
      <c r="L9" s="17">
        <f>COUNTIFS('Retal Tran Line Item'!D:D,"BLU-RAY",'Retal Tran Line Item'!H:H,A9)/J9</f>
        <v>1</v>
      </c>
    </row>
    <row r="10" spans="1:12">
      <c r="A10" s="1">
        <v>111486</v>
      </c>
      <c r="B10" s="1" t="s">
        <v>61</v>
      </c>
      <c r="C10" s="1" t="s">
        <v>62</v>
      </c>
      <c r="D10" s="1" t="s">
        <v>63</v>
      </c>
      <c r="E10" s="1" t="s">
        <v>26</v>
      </c>
      <c r="F10" s="1" t="s">
        <v>64</v>
      </c>
      <c r="G10" s="2">
        <v>41395</v>
      </c>
      <c r="H10" s="1" t="b">
        <v>0</v>
      </c>
      <c r="I10" s="6" t="s">
        <v>33</v>
      </c>
      <c r="J10" s="1">
        <f>COUNTIF('Rental Transaction'!B10:B3881,A10)</f>
        <v>10</v>
      </c>
      <c r="K10" s="1">
        <f>SUMIF('Rental Transaction'!B:B,A10,'Rental Transaction'!H:H)</f>
        <v>93</v>
      </c>
      <c r="L10" s="17">
        <f>COUNTIFS('Retal Tran Line Item'!D:D,"BLU-RAY",'Retal Tran Line Item'!H:H,A10)/J10</f>
        <v>0.6</v>
      </c>
    </row>
    <row r="11" spans="1:12">
      <c r="A11" s="1">
        <v>111991</v>
      </c>
      <c r="B11" s="1" t="s">
        <v>65</v>
      </c>
      <c r="C11" s="1" t="s">
        <v>66</v>
      </c>
      <c r="D11" s="1" t="s">
        <v>67</v>
      </c>
      <c r="E11" s="1" t="s">
        <v>26</v>
      </c>
      <c r="F11" s="1" t="s">
        <v>68</v>
      </c>
      <c r="G11" s="2">
        <v>41280</v>
      </c>
      <c r="H11" s="1" t="b">
        <v>1</v>
      </c>
      <c r="I11" s="6" t="s">
        <v>28</v>
      </c>
      <c r="J11" s="1">
        <f>COUNTIF('Rental Transaction'!B11:B3882,A11)</f>
        <v>8</v>
      </c>
      <c r="K11" s="1">
        <f>SUMIF('Rental Transaction'!B:B,A11,'Rental Transaction'!H:H)</f>
        <v>58</v>
      </c>
      <c r="L11" s="17">
        <f>COUNTIFS('Retal Tran Line Item'!D:D,"BLU-RAY",'Retal Tran Line Item'!H:H,A11)/J11</f>
        <v>0.5</v>
      </c>
    </row>
    <row r="12" spans="1:12">
      <c r="A12" s="1">
        <v>112690</v>
      </c>
      <c r="B12" s="1" t="s">
        <v>69</v>
      </c>
      <c r="C12" s="1" t="s">
        <v>70</v>
      </c>
      <c r="D12" s="1" t="s">
        <v>71</v>
      </c>
      <c r="E12" s="1" t="s">
        <v>72</v>
      </c>
      <c r="F12" s="1" t="s">
        <v>73</v>
      </c>
      <c r="G12" s="2">
        <v>41154</v>
      </c>
      <c r="H12" s="1" t="b">
        <v>0</v>
      </c>
      <c r="I12" s="6" t="s">
        <v>28</v>
      </c>
      <c r="J12" s="1">
        <f>COUNTIF('Rental Transaction'!B12:B3883,A12)</f>
        <v>4</v>
      </c>
      <c r="K12" s="1">
        <f>SUMIF('Rental Transaction'!B:B,A12,'Rental Transaction'!H:H)</f>
        <v>27</v>
      </c>
      <c r="L12" s="17">
        <f>COUNTIFS('Retal Tran Line Item'!D:D,"BLU-RAY",'Retal Tran Line Item'!H:H,A12)/J12</f>
        <v>0.5</v>
      </c>
    </row>
    <row r="13" spans="1:12">
      <c r="A13" s="1">
        <v>116690</v>
      </c>
      <c r="B13" s="1" t="s">
        <v>74</v>
      </c>
      <c r="C13" s="1" t="s">
        <v>75</v>
      </c>
      <c r="D13" s="1" t="s">
        <v>76</v>
      </c>
      <c r="E13" s="1" t="s">
        <v>26</v>
      </c>
      <c r="F13" s="1" t="s">
        <v>77</v>
      </c>
      <c r="G13" s="2">
        <v>41332</v>
      </c>
      <c r="H13" s="1" t="b">
        <v>0</v>
      </c>
      <c r="I13" s="6" t="s">
        <v>28</v>
      </c>
      <c r="J13" s="1">
        <f>COUNTIF('Rental Transaction'!B13:B3884,A13)</f>
        <v>6</v>
      </c>
      <c r="K13" s="1">
        <f>SUMIF('Rental Transaction'!B:B,A13,'Rental Transaction'!H:H)</f>
        <v>63</v>
      </c>
      <c r="L13" s="17">
        <f>COUNTIFS('Retal Tran Line Item'!D:D,"BLU-RAY",'Retal Tran Line Item'!H:H,A13)/J13</f>
        <v>0.33333333333333331</v>
      </c>
    </row>
    <row r="14" spans="1:12">
      <c r="A14" s="1">
        <v>116934</v>
      </c>
      <c r="B14" s="1" t="s">
        <v>78</v>
      </c>
      <c r="C14" s="1" t="s">
        <v>79</v>
      </c>
      <c r="D14" s="1" t="s">
        <v>80</v>
      </c>
      <c r="E14" s="1" t="s">
        <v>26</v>
      </c>
      <c r="F14" s="1" t="s">
        <v>81</v>
      </c>
      <c r="G14" s="2">
        <v>41249</v>
      </c>
      <c r="H14" s="1" t="b">
        <v>1</v>
      </c>
      <c r="I14" s="6" t="s">
        <v>33</v>
      </c>
      <c r="J14" s="1">
        <f>COUNTIF('Rental Transaction'!B14:B3885,A14)</f>
        <v>12</v>
      </c>
      <c r="K14" s="1">
        <f>SUMIF('Rental Transaction'!B:B,A14,'Rental Transaction'!H:H)</f>
        <v>90</v>
      </c>
      <c r="L14" s="17">
        <f>COUNTIFS('Retal Tran Line Item'!D:D,"BLU-RAY",'Retal Tran Line Item'!H:H,A14)/J14</f>
        <v>0.33333333333333331</v>
      </c>
    </row>
    <row r="15" spans="1:12">
      <c r="A15" s="1">
        <v>119406</v>
      </c>
      <c r="B15" s="1" t="s">
        <v>82</v>
      </c>
      <c r="C15" s="1" t="s">
        <v>83</v>
      </c>
      <c r="D15" s="1" t="s">
        <v>84</v>
      </c>
      <c r="E15" s="1" t="s">
        <v>26</v>
      </c>
      <c r="F15" s="1" t="s">
        <v>85</v>
      </c>
      <c r="G15" s="2">
        <v>41445</v>
      </c>
      <c r="H15" s="1" t="b">
        <v>0</v>
      </c>
      <c r="I15" s="6" t="s">
        <v>28</v>
      </c>
      <c r="J15" s="1">
        <f>COUNTIF('Rental Transaction'!B15:B3886,A15)</f>
        <v>6</v>
      </c>
      <c r="K15" s="1">
        <f>SUMIF('Rental Transaction'!B:B,A15,'Rental Transaction'!H:H)</f>
        <v>52</v>
      </c>
      <c r="L15" s="17">
        <f>COUNTIFS('Retal Tran Line Item'!D:D,"BLU-RAY",'Retal Tran Line Item'!H:H,A15)/J15</f>
        <v>0.33333333333333331</v>
      </c>
    </row>
    <row r="16" spans="1:12">
      <c r="A16" s="1">
        <v>121639</v>
      </c>
      <c r="B16" s="1" t="s">
        <v>86</v>
      </c>
      <c r="C16" s="1" t="s">
        <v>87</v>
      </c>
      <c r="D16" s="1" t="s">
        <v>88</v>
      </c>
      <c r="E16" s="1" t="s">
        <v>26</v>
      </c>
      <c r="F16" s="1" t="s">
        <v>89</v>
      </c>
      <c r="G16" s="2">
        <v>41254</v>
      </c>
      <c r="H16" s="1" t="b">
        <v>1</v>
      </c>
      <c r="I16" s="6" t="s">
        <v>28</v>
      </c>
      <c r="J16" s="1">
        <f>COUNTIF('Rental Transaction'!B16:B3887,A16)</f>
        <v>4</v>
      </c>
      <c r="K16" s="1">
        <f>SUMIF('Rental Transaction'!B:B,A16,'Rental Transaction'!H:H)</f>
        <v>25</v>
      </c>
      <c r="L16" s="17">
        <f>COUNTIFS('Retal Tran Line Item'!D:D,"BLU-RAY",'Retal Tran Line Item'!H:H,A16)/J16</f>
        <v>0.75</v>
      </c>
    </row>
    <row r="17" spans="1:12">
      <c r="A17" s="1">
        <v>122818</v>
      </c>
      <c r="B17" s="1" t="s">
        <v>90</v>
      </c>
      <c r="C17" s="1" t="s">
        <v>91</v>
      </c>
      <c r="D17" s="1" t="s">
        <v>92</v>
      </c>
      <c r="E17" s="1" t="s">
        <v>26</v>
      </c>
      <c r="F17" s="1" t="s">
        <v>93</v>
      </c>
      <c r="G17" s="2">
        <v>41166</v>
      </c>
      <c r="H17" s="1" t="b">
        <v>0</v>
      </c>
      <c r="I17" s="6" t="s">
        <v>33</v>
      </c>
      <c r="J17" s="1">
        <f>COUNTIF('Rental Transaction'!B17:B3888,A17)</f>
        <v>4</v>
      </c>
      <c r="K17" s="1">
        <f>SUMIF('Rental Transaction'!B:B,A17,'Rental Transaction'!H:H)</f>
        <v>43</v>
      </c>
      <c r="L17" s="17">
        <f>COUNTIFS('Retal Tran Line Item'!D:D,"BLU-RAY",'Retal Tran Line Item'!H:H,A17)/J17</f>
        <v>0.75</v>
      </c>
    </row>
    <row r="18" spans="1:12">
      <c r="A18" s="1">
        <v>127472</v>
      </c>
      <c r="B18" s="1" t="s">
        <v>94</v>
      </c>
      <c r="C18" s="1" t="s">
        <v>95</v>
      </c>
      <c r="D18" s="1" t="s">
        <v>96</v>
      </c>
      <c r="E18" s="1" t="s">
        <v>72</v>
      </c>
      <c r="F18" s="1" t="s">
        <v>97</v>
      </c>
      <c r="G18" s="2">
        <v>41257</v>
      </c>
      <c r="H18" s="1" t="b">
        <v>1</v>
      </c>
      <c r="I18" s="6" t="s">
        <v>28</v>
      </c>
      <c r="J18" s="1">
        <f>COUNTIF('Rental Transaction'!B18:B3889,A18)</f>
        <v>5</v>
      </c>
      <c r="K18" s="1">
        <f>SUMIF('Rental Transaction'!B:B,A18,'Rental Transaction'!H:H)</f>
        <v>29</v>
      </c>
      <c r="L18" s="17">
        <f>COUNTIFS('Retal Tran Line Item'!D:D,"BLU-RAY",'Retal Tran Line Item'!H:H,A18)/J18</f>
        <v>0.4</v>
      </c>
    </row>
    <row r="19" spans="1:12">
      <c r="A19" s="1">
        <v>128131</v>
      </c>
      <c r="B19" s="1" t="s">
        <v>98</v>
      </c>
      <c r="C19" s="1" t="s">
        <v>99</v>
      </c>
      <c r="D19" s="1" t="s">
        <v>100</v>
      </c>
      <c r="E19" s="1" t="s">
        <v>26</v>
      </c>
      <c r="F19" s="1" t="s">
        <v>101</v>
      </c>
      <c r="G19" s="2">
        <v>41406</v>
      </c>
      <c r="H19" s="1" t="b">
        <v>0</v>
      </c>
      <c r="I19" s="6" t="s">
        <v>28</v>
      </c>
      <c r="J19" s="1">
        <f>COUNTIF('Rental Transaction'!B19:B3890,A19)</f>
        <v>8</v>
      </c>
      <c r="K19" s="1">
        <f>SUMIF('Rental Transaction'!B:B,A19,'Rental Transaction'!H:H)</f>
        <v>66</v>
      </c>
      <c r="L19" s="17">
        <f>COUNTIFS('Retal Tran Line Item'!D:D,"BLU-RAY",'Retal Tran Line Item'!H:H,A19)/J19</f>
        <v>0.625</v>
      </c>
    </row>
    <row r="20" spans="1:12">
      <c r="A20" s="1">
        <v>132454</v>
      </c>
      <c r="B20" s="1" t="s">
        <v>102</v>
      </c>
      <c r="C20" s="1" t="s">
        <v>103</v>
      </c>
      <c r="D20" s="1" t="s">
        <v>104</v>
      </c>
      <c r="E20" s="1" t="s">
        <v>26</v>
      </c>
      <c r="F20" s="1" t="s">
        <v>105</v>
      </c>
      <c r="G20" s="2">
        <v>41136</v>
      </c>
      <c r="H20" s="1" t="b">
        <v>0</v>
      </c>
      <c r="I20" s="6" t="s">
        <v>33</v>
      </c>
      <c r="J20" s="1">
        <f>COUNTIF('Rental Transaction'!B20:B3891,A20)</f>
        <v>8</v>
      </c>
      <c r="K20" s="1">
        <f>SUMIF('Rental Transaction'!B:B,A20,'Rental Transaction'!H:H)</f>
        <v>89</v>
      </c>
      <c r="L20" s="17">
        <f>COUNTIFS('Retal Tran Line Item'!D:D,"BLU-RAY",'Retal Tran Line Item'!H:H,A20)/J20</f>
        <v>0.5</v>
      </c>
    </row>
    <row r="21" spans="1:12">
      <c r="A21" s="1">
        <v>134457</v>
      </c>
      <c r="B21" s="1" t="s">
        <v>106</v>
      </c>
      <c r="C21" s="1" t="s">
        <v>107</v>
      </c>
      <c r="D21" s="1" t="s">
        <v>108</v>
      </c>
      <c r="E21" s="1" t="s">
        <v>26</v>
      </c>
      <c r="F21" s="1" t="s">
        <v>109</v>
      </c>
      <c r="G21" s="2">
        <v>41287</v>
      </c>
      <c r="H21" s="1" t="b">
        <v>0</v>
      </c>
      <c r="I21" s="6" t="s">
        <v>33</v>
      </c>
      <c r="J21" s="1">
        <f>COUNTIF('Rental Transaction'!B21:B3892,A21)</f>
        <v>4</v>
      </c>
      <c r="K21" s="1">
        <f>SUMIF('Rental Transaction'!B:B,A21,'Rental Transaction'!H:H)</f>
        <v>31</v>
      </c>
      <c r="L21" s="17">
        <f>COUNTIFS('Retal Tran Line Item'!D:D,"BLU-RAY",'Retal Tran Line Item'!H:H,A21)/J21</f>
        <v>0.75</v>
      </c>
    </row>
    <row r="22" spans="1:12">
      <c r="A22" s="1">
        <v>137696</v>
      </c>
      <c r="B22" s="1" t="s">
        <v>110</v>
      </c>
      <c r="C22" s="1" t="s">
        <v>111</v>
      </c>
      <c r="D22" s="1" t="s">
        <v>112</v>
      </c>
      <c r="E22" s="1" t="s">
        <v>72</v>
      </c>
      <c r="F22" s="1" t="s">
        <v>113</v>
      </c>
      <c r="G22" s="2">
        <v>41157</v>
      </c>
      <c r="H22" s="1" t="b">
        <v>1</v>
      </c>
      <c r="I22" s="6" t="s">
        <v>33</v>
      </c>
      <c r="J22" s="1">
        <f>COUNTIF('Rental Transaction'!B22:B3893,A22)</f>
        <v>8</v>
      </c>
      <c r="K22" s="1">
        <f>SUMIF('Rental Transaction'!B:B,A22,'Rental Transaction'!H:H)</f>
        <v>95</v>
      </c>
      <c r="L22" s="17">
        <f>COUNTIFS('Retal Tran Line Item'!D:D,"BLU-RAY",'Retal Tran Line Item'!H:H,A22)/J22</f>
        <v>1.125</v>
      </c>
    </row>
    <row r="23" spans="1:12">
      <c r="A23" s="1">
        <v>143878</v>
      </c>
      <c r="B23" s="1" t="s">
        <v>114</v>
      </c>
      <c r="C23" s="1" t="s">
        <v>115</v>
      </c>
      <c r="D23" s="1" t="s">
        <v>116</v>
      </c>
      <c r="E23" s="1" t="s">
        <v>26</v>
      </c>
      <c r="F23" s="1" t="s">
        <v>117</v>
      </c>
      <c r="G23" s="2">
        <v>41513</v>
      </c>
      <c r="H23" s="1" t="b">
        <v>0</v>
      </c>
      <c r="I23" s="6" t="s">
        <v>33</v>
      </c>
      <c r="J23" s="1">
        <f>COUNTIF('Rental Transaction'!B23:B3894,A23)</f>
        <v>14</v>
      </c>
      <c r="K23" s="1">
        <f>SUMIF('Rental Transaction'!B:B,A23,'Rental Transaction'!H:H)</f>
        <v>94</v>
      </c>
      <c r="L23" s="17">
        <f>COUNTIFS('Retal Tran Line Item'!D:D,"BLU-RAY",'Retal Tran Line Item'!H:H,A23)/J23</f>
        <v>0.42857142857142855</v>
      </c>
    </row>
    <row r="24" spans="1:12">
      <c r="A24" s="1">
        <v>145929</v>
      </c>
      <c r="B24" s="1" t="s">
        <v>118</v>
      </c>
      <c r="C24" s="1" t="s">
        <v>119</v>
      </c>
      <c r="D24" s="1" t="s">
        <v>120</v>
      </c>
      <c r="E24" s="1" t="s">
        <v>26</v>
      </c>
      <c r="F24" s="1" t="s">
        <v>121</v>
      </c>
      <c r="G24" s="2">
        <v>41384</v>
      </c>
      <c r="H24" s="1" t="b">
        <v>0</v>
      </c>
      <c r="I24" s="6" t="s">
        <v>33</v>
      </c>
      <c r="J24" s="1">
        <f>COUNTIF('Rental Transaction'!B24:B3895,A24)</f>
        <v>7</v>
      </c>
      <c r="K24" s="1">
        <f>SUMIF('Rental Transaction'!B:B,A24,'Rental Transaction'!H:H)</f>
        <v>74</v>
      </c>
      <c r="L24" s="17">
        <f>COUNTIFS('Retal Tran Line Item'!D:D,"BLU-RAY",'Retal Tran Line Item'!H:H,A24)/J24</f>
        <v>0.42857142857142855</v>
      </c>
    </row>
    <row r="25" spans="1:12">
      <c r="A25" s="1">
        <v>147216</v>
      </c>
      <c r="B25" s="1" t="s">
        <v>122</v>
      </c>
      <c r="C25" s="1" t="s">
        <v>123</v>
      </c>
      <c r="D25" s="1" t="s">
        <v>124</v>
      </c>
      <c r="E25" s="1" t="s">
        <v>26</v>
      </c>
      <c r="F25" s="1" t="s">
        <v>125</v>
      </c>
      <c r="G25" s="2">
        <v>41423</v>
      </c>
      <c r="H25" s="1" t="b">
        <v>0</v>
      </c>
      <c r="I25" s="6" t="s">
        <v>33</v>
      </c>
      <c r="J25" s="1">
        <f>COUNTIF('Rental Transaction'!B25:B3896,A25)</f>
        <v>13</v>
      </c>
      <c r="K25" s="1">
        <f>SUMIF('Rental Transaction'!B:B,A25,'Rental Transaction'!H:H)</f>
        <v>111</v>
      </c>
      <c r="L25" s="17">
        <f>COUNTIFS('Retal Tran Line Item'!D:D,"BLU-RAY",'Retal Tran Line Item'!H:H,A25)/J25</f>
        <v>0.53846153846153844</v>
      </c>
    </row>
    <row r="26" spans="1:12">
      <c r="A26" s="1">
        <v>147218</v>
      </c>
      <c r="B26" s="1" t="s">
        <v>29</v>
      </c>
      <c r="C26" s="1" t="s">
        <v>126</v>
      </c>
      <c r="D26" s="1" t="s">
        <v>127</v>
      </c>
      <c r="E26" s="1" t="s">
        <v>26</v>
      </c>
      <c r="F26" s="1" t="s">
        <v>128</v>
      </c>
      <c r="G26" s="2">
        <v>41531</v>
      </c>
      <c r="H26" s="1" t="b">
        <v>1</v>
      </c>
      <c r="I26" s="6" t="s">
        <v>33</v>
      </c>
      <c r="J26" s="1">
        <f>COUNTIF('Rental Transaction'!B26:B3897,A26)</f>
        <v>4</v>
      </c>
      <c r="K26" s="1">
        <f>SUMIF('Rental Transaction'!B:B,A26,'Rental Transaction'!H:H)</f>
        <v>32</v>
      </c>
      <c r="L26" s="17">
        <f>COUNTIFS('Retal Tran Line Item'!D:D,"BLU-RAY",'Retal Tran Line Item'!H:H,A26)/J26</f>
        <v>0.75</v>
      </c>
    </row>
    <row r="27" spans="1:12">
      <c r="A27" s="1">
        <v>147543</v>
      </c>
      <c r="B27" s="1" t="s">
        <v>129</v>
      </c>
      <c r="C27" s="1" t="s">
        <v>130</v>
      </c>
      <c r="D27" s="1" t="s">
        <v>131</v>
      </c>
      <c r="E27" s="1" t="s">
        <v>26</v>
      </c>
      <c r="F27" s="1" t="s">
        <v>132</v>
      </c>
      <c r="G27" s="2">
        <v>41116</v>
      </c>
      <c r="H27" s="1" t="b">
        <v>1</v>
      </c>
      <c r="I27" s="6" t="s">
        <v>28</v>
      </c>
      <c r="J27" s="1">
        <f>COUNTIF('Rental Transaction'!B27:B3898,A27)</f>
        <v>8</v>
      </c>
      <c r="K27" s="1">
        <f>SUMIF('Rental Transaction'!B:B,A27,'Rental Transaction'!H:H)</f>
        <v>54</v>
      </c>
      <c r="L27" s="17">
        <f>COUNTIFS('Retal Tran Line Item'!D:D,"BLU-RAY",'Retal Tran Line Item'!H:H,A27)/J27</f>
        <v>0.625</v>
      </c>
    </row>
    <row r="28" spans="1:12">
      <c r="A28" s="1">
        <v>149240</v>
      </c>
      <c r="B28" s="1" t="s">
        <v>133</v>
      </c>
      <c r="C28" s="1" t="s">
        <v>134</v>
      </c>
      <c r="D28" s="1" t="s">
        <v>135</v>
      </c>
      <c r="E28" s="1" t="s">
        <v>26</v>
      </c>
      <c r="F28" s="1" t="s">
        <v>136</v>
      </c>
      <c r="G28" s="2">
        <v>41244</v>
      </c>
      <c r="H28" s="1" t="b">
        <v>0</v>
      </c>
      <c r="I28" s="6" t="s">
        <v>28</v>
      </c>
      <c r="J28" s="1">
        <f>COUNTIF('Rental Transaction'!B28:B3899,A28)</f>
        <v>10</v>
      </c>
      <c r="K28" s="1">
        <f>SUMIF('Rental Transaction'!B:B,A28,'Rental Transaction'!H:H)</f>
        <v>91</v>
      </c>
      <c r="L28" s="17">
        <f>COUNTIFS('Retal Tran Line Item'!D:D,"BLU-RAY",'Retal Tran Line Item'!H:H,A28)/J28</f>
        <v>0.9</v>
      </c>
    </row>
    <row r="29" spans="1:12">
      <c r="A29" s="1">
        <v>154427</v>
      </c>
      <c r="B29" s="1" t="s">
        <v>137</v>
      </c>
      <c r="C29" s="1" t="s">
        <v>138</v>
      </c>
      <c r="D29" s="1" t="s">
        <v>139</v>
      </c>
      <c r="E29" s="1" t="s">
        <v>26</v>
      </c>
      <c r="F29" s="1" t="s">
        <v>140</v>
      </c>
      <c r="G29" s="2">
        <v>41292</v>
      </c>
      <c r="H29" s="1" t="b">
        <v>1</v>
      </c>
      <c r="I29" s="6" t="s">
        <v>28</v>
      </c>
      <c r="J29" s="1">
        <f>COUNTIF('Rental Transaction'!B29:B3900,A29)</f>
        <v>5</v>
      </c>
      <c r="K29" s="1">
        <f>SUMIF('Rental Transaction'!B:B,A29,'Rental Transaction'!H:H)</f>
        <v>55</v>
      </c>
      <c r="L29" s="17">
        <f>COUNTIFS('Retal Tran Line Item'!D:D,"BLU-RAY",'Retal Tran Line Item'!H:H,A29)/J29</f>
        <v>0.6</v>
      </c>
    </row>
    <row r="30" spans="1:12">
      <c r="A30" s="1">
        <v>157388</v>
      </c>
      <c r="B30" s="1" t="s">
        <v>141</v>
      </c>
      <c r="C30" s="1" t="s">
        <v>142</v>
      </c>
      <c r="D30" s="1" t="s">
        <v>143</v>
      </c>
      <c r="E30" s="1" t="s">
        <v>26</v>
      </c>
      <c r="F30" s="1" t="s">
        <v>144</v>
      </c>
      <c r="G30" s="2">
        <v>41237</v>
      </c>
      <c r="H30" s="1" t="b">
        <v>0</v>
      </c>
      <c r="I30" s="6" t="s">
        <v>28</v>
      </c>
      <c r="J30" s="1">
        <f>COUNTIF('Rental Transaction'!B30:B3901,A30)</f>
        <v>9</v>
      </c>
      <c r="K30" s="1">
        <f>SUMIF('Rental Transaction'!B:B,A30,'Rental Transaction'!H:H)</f>
        <v>97</v>
      </c>
      <c r="L30" s="17">
        <f>COUNTIFS('Retal Tran Line Item'!D:D,"BLU-RAY",'Retal Tran Line Item'!H:H,A30)/J30</f>
        <v>0.33333333333333331</v>
      </c>
    </row>
    <row r="31" spans="1:12">
      <c r="A31" s="1">
        <v>157695</v>
      </c>
      <c r="B31" s="1" t="s">
        <v>145</v>
      </c>
      <c r="C31" s="1" t="s">
        <v>146</v>
      </c>
      <c r="D31" s="1" t="s">
        <v>147</v>
      </c>
      <c r="E31" s="1" t="s">
        <v>26</v>
      </c>
      <c r="F31" s="1" t="s">
        <v>148</v>
      </c>
      <c r="G31" s="2">
        <v>41341</v>
      </c>
      <c r="H31" s="1" t="b">
        <v>1</v>
      </c>
      <c r="I31" s="6" t="s">
        <v>33</v>
      </c>
      <c r="J31" s="1">
        <f>COUNTIF('Rental Transaction'!B31:B3902,A31)</f>
        <v>8</v>
      </c>
      <c r="K31" s="1">
        <f>SUMIF('Rental Transaction'!B:B,A31,'Rental Transaction'!H:H)</f>
        <v>116</v>
      </c>
      <c r="L31" s="17">
        <f>COUNTIFS('Retal Tran Line Item'!D:D,"BLU-RAY",'Retal Tran Line Item'!H:H,A31)/J31</f>
        <v>0.875</v>
      </c>
    </row>
    <row r="32" spans="1:12">
      <c r="A32" s="1">
        <v>158310</v>
      </c>
      <c r="B32" s="1" t="s">
        <v>149</v>
      </c>
      <c r="C32" s="1" t="s">
        <v>150</v>
      </c>
      <c r="D32" s="1" t="s">
        <v>151</v>
      </c>
      <c r="E32" s="1" t="s">
        <v>152</v>
      </c>
      <c r="F32" s="1" t="s">
        <v>153</v>
      </c>
      <c r="G32" s="2">
        <v>41166</v>
      </c>
      <c r="H32" s="1" t="b">
        <v>0</v>
      </c>
      <c r="I32" s="6" t="s">
        <v>33</v>
      </c>
      <c r="J32" s="1">
        <f>COUNTIF('Rental Transaction'!B32:B3903,A32)</f>
        <v>5</v>
      </c>
      <c r="K32" s="1">
        <f>SUMIF('Rental Transaction'!B:B,A32,'Rental Transaction'!H:H)</f>
        <v>44</v>
      </c>
      <c r="L32" s="17">
        <f>COUNTIFS('Retal Tran Line Item'!D:D,"BLU-RAY",'Retal Tran Line Item'!H:H,A32)/J32</f>
        <v>1</v>
      </c>
    </row>
    <row r="33" spans="1:12">
      <c r="A33" s="1">
        <v>158528</v>
      </c>
      <c r="B33" s="1" t="s">
        <v>154</v>
      </c>
      <c r="C33" s="1" t="s">
        <v>155</v>
      </c>
      <c r="D33" s="1" t="s">
        <v>156</v>
      </c>
      <c r="E33" s="1" t="s">
        <v>26</v>
      </c>
      <c r="F33" s="1" t="s">
        <v>157</v>
      </c>
      <c r="G33" s="2">
        <v>41425</v>
      </c>
      <c r="H33" s="1" t="b">
        <v>1</v>
      </c>
      <c r="I33" s="6" t="s">
        <v>33</v>
      </c>
      <c r="J33" s="1">
        <f>COUNTIF('Rental Transaction'!B33:B3904,A33)</f>
        <v>8</v>
      </c>
      <c r="K33" s="1">
        <f>SUMIF('Rental Transaction'!B:B,A33,'Rental Transaction'!H:H)</f>
        <v>74</v>
      </c>
      <c r="L33" s="17">
        <f>COUNTIFS('Retal Tran Line Item'!D:D,"BLU-RAY",'Retal Tran Line Item'!H:H,A33)/J33</f>
        <v>0.375</v>
      </c>
    </row>
    <row r="34" spans="1:12">
      <c r="A34" s="1">
        <v>160392</v>
      </c>
      <c r="B34" s="1" t="s">
        <v>158</v>
      </c>
      <c r="C34" s="1" t="s">
        <v>159</v>
      </c>
      <c r="D34" s="1" t="s">
        <v>160</v>
      </c>
      <c r="E34" s="1" t="s">
        <v>161</v>
      </c>
      <c r="F34" s="1" t="s">
        <v>162</v>
      </c>
      <c r="G34" s="2">
        <v>41113</v>
      </c>
      <c r="H34" s="1" t="b">
        <v>0</v>
      </c>
      <c r="I34" s="6" t="s">
        <v>28</v>
      </c>
      <c r="J34" s="1">
        <f>COUNTIF('Rental Transaction'!B34:B3905,A34)</f>
        <v>8</v>
      </c>
      <c r="K34" s="1">
        <f>SUMIF('Rental Transaction'!B:B,A34,'Rental Transaction'!H:H)</f>
        <v>58</v>
      </c>
      <c r="L34" s="17">
        <f>COUNTIFS('Retal Tran Line Item'!D:D,"BLU-RAY",'Retal Tran Line Item'!H:H,A34)/J34</f>
        <v>0.125</v>
      </c>
    </row>
    <row r="35" spans="1:12">
      <c r="A35" s="1">
        <v>161175</v>
      </c>
      <c r="B35" s="1" t="s">
        <v>163</v>
      </c>
      <c r="C35" s="1" t="s">
        <v>164</v>
      </c>
      <c r="D35" s="1" t="s">
        <v>165</v>
      </c>
      <c r="E35" s="1" t="s">
        <v>26</v>
      </c>
      <c r="F35" s="1" t="s">
        <v>166</v>
      </c>
      <c r="G35" s="2">
        <v>41487</v>
      </c>
      <c r="H35" s="1" t="b">
        <v>0</v>
      </c>
      <c r="I35" s="6" t="s">
        <v>28</v>
      </c>
      <c r="J35" s="1">
        <f>COUNTIF('Rental Transaction'!B35:B3906,A35)</f>
        <v>8</v>
      </c>
      <c r="K35" s="1">
        <f>SUMIF('Rental Transaction'!B:B,A35,'Rental Transaction'!H:H)</f>
        <v>45</v>
      </c>
      <c r="L35" s="17">
        <f>COUNTIFS('Retal Tran Line Item'!D:D,"BLU-RAY",'Retal Tran Line Item'!H:H,A35)/J35</f>
        <v>0.875</v>
      </c>
    </row>
    <row r="36" spans="1:12">
      <c r="A36" s="1">
        <v>161942</v>
      </c>
      <c r="B36" s="1" t="s">
        <v>167</v>
      </c>
      <c r="C36" s="1" t="s">
        <v>168</v>
      </c>
      <c r="D36" s="1" t="s">
        <v>169</v>
      </c>
      <c r="E36" s="1" t="s">
        <v>26</v>
      </c>
      <c r="F36" s="1" t="s">
        <v>170</v>
      </c>
      <c r="G36" s="2">
        <v>41136</v>
      </c>
      <c r="H36" s="1" t="b">
        <v>0</v>
      </c>
      <c r="I36" s="6" t="s">
        <v>28</v>
      </c>
      <c r="J36" s="1">
        <f>COUNTIF('Rental Transaction'!B36:B3907,A36)</f>
        <v>8</v>
      </c>
      <c r="K36" s="1">
        <f>SUMIF('Rental Transaction'!B:B,A36,'Rental Transaction'!H:H)</f>
        <v>79</v>
      </c>
      <c r="L36" s="17">
        <f>COUNTIFS('Retal Tran Line Item'!D:D,"BLU-RAY",'Retal Tran Line Item'!H:H,A36)/J36</f>
        <v>0.25</v>
      </c>
    </row>
    <row r="37" spans="1:12">
      <c r="A37" s="1">
        <v>162236</v>
      </c>
      <c r="B37" s="1" t="s">
        <v>171</v>
      </c>
      <c r="C37" s="1" t="s">
        <v>172</v>
      </c>
      <c r="D37" s="1" t="s">
        <v>173</v>
      </c>
      <c r="E37" s="1" t="s">
        <v>26</v>
      </c>
      <c r="F37" s="1" t="s">
        <v>174</v>
      </c>
      <c r="G37" s="2">
        <v>41276</v>
      </c>
      <c r="H37" s="1" t="b">
        <v>1</v>
      </c>
      <c r="I37" s="6" t="s">
        <v>33</v>
      </c>
      <c r="J37" s="1">
        <f>COUNTIF('Rental Transaction'!B37:B3908,A37)</f>
        <v>6</v>
      </c>
      <c r="K37" s="1">
        <f>SUMIF('Rental Transaction'!B:B,A37,'Rental Transaction'!H:H)</f>
        <v>31</v>
      </c>
      <c r="L37" s="17">
        <f>COUNTIFS('Retal Tran Line Item'!D:D,"BLU-RAY",'Retal Tran Line Item'!H:H,A37)/J37</f>
        <v>0.33333333333333331</v>
      </c>
    </row>
    <row r="38" spans="1:12">
      <c r="A38" s="1">
        <v>166135</v>
      </c>
      <c r="B38" s="1" t="s">
        <v>163</v>
      </c>
      <c r="C38" s="1" t="s">
        <v>175</v>
      </c>
      <c r="D38" s="1" t="s">
        <v>176</v>
      </c>
      <c r="E38" s="1" t="s">
        <v>42</v>
      </c>
      <c r="F38" s="1" t="s">
        <v>177</v>
      </c>
      <c r="G38" s="2">
        <v>41099</v>
      </c>
      <c r="H38" s="1" t="b">
        <v>0</v>
      </c>
      <c r="I38" s="6" t="s">
        <v>28</v>
      </c>
      <c r="J38" s="1">
        <f>COUNTIF('Rental Transaction'!B38:B3909,A38)</f>
        <v>6</v>
      </c>
      <c r="K38" s="1">
        <f>SUMIF('Rental Transaction'!B:B,A38,'Rental Transaction'!H:H)</f>
        <v>42</v>
      </c>
      <c r="L38" s="17">
        <f>COUNTIFS('Retal Tran Line Item'!D:D,"BLU-RAY",'Retal Tran Line Item'!H:H,A38)/J38</f>
        <v>0.16666666666666666</v>
      </c>
    </row>
    <row r="39" spans="1:12">
      <c r="A39" s="1">
        <v>166612</v>
      </c>
      <c r="B39" s="1" t="s">
        <v>178</v>
      </c>
      <c r="C39" s="1" t="s">
        <v>179</v>
      </c>
      <c r="D39" s="1" t="s">
        <v>180</v>
      </c>
      <c r="E39" s="1" t="s">
        <v>26</v>
      </c>
      <c r="F39" s="1" t="s">
        <v>181</v>
      </c>
      <c r="G39" s="2">
        <v>41094</v>
      </c>
      <c r="H39" s="1" t="b">
        <v>0</v>
      </c>
      <c r="I39" s="6" t="s">
        <v>28</v>
      </c>
      <c r="J39" s="1">
        <f>COUNTIF('Rental Transaction'!B39:B3910,A39)</f>
        <v>7</v>
      </c>
      <c r="K39" s="1">
        <f>SUMIF('Rental Transaction'!B:B,A39,'Rental Transaction'!H:H)</f>
        <v>89</v>
      </c>
      <c r="L39" s="17">
        <f>COUNTIFS('Retal Tran Line Item'!D:D,"BLU-RAY",'Retal Tran Line Item'!H:H,A39)/J39</f>
        <v>1.1428571428571428</v>
      </c>
    </row>
    <row r="40" spans="1:12">
      <c r="A40" s="1">
        <v>166735</v>
      </c>
      <c r="B40" s="1" t="s">
        <v>182</v>
      </c>
      <c r="C40" s="1" t="s">
        <v>183</v>
      </c>
      <c r="D40" s="1" t="s">
        <v>184</v>
      </c>
      <c r="E40" s="1" t="s">
        <v>26</v>
      </c>
      <c r="F40" s="1" t="s">
        <v>185</v>
      </c>
      <c r="G40" s="2">
        <v>41284</v>
      </c>
      <c r="H40" s="1" t="b">
        <v>0</v>
      </c>
      <c r="I40" s="6" t="s">
        <v>33</v>
      </c>
      <c r="J40" s="1">
        <f>COUNTIF('Rental Transaction'!B40:B3911,A40)</f>
        <v>5</v>
      </c>
      <c r="K40" s="1">
        <f>SUMIF('Rental Transaction'!B:B,A40,'Rental Transaction'!H:H)</f>
        <v>75</v>
      </c>
      <c r="L40" s="17">
        <f>COUNTIFS('Retal Tran Line Item'!D:D,"BLU-RAY",'Retal Tran Line Item'!H:H,A40)/J40</f>
        <v>0.8</v>
      </c>
    </row>
    <row r="41" spans="1:12">
      <c r="A41" s="1">
        <v>168607</v>
      </c>
      <c r="B41" s="1" t="s">
        <v>186</v>
      </c>
      <c r="C41" s="1" t="s">
        <v>187</v>
      </c>
      <c r="D41" s="1" t="s">
        <v>188</v>
      </c>
      <c r="E41" s="1" t="s">
        <v>26</v>
      </c>
      <c r="F41" s="1" t="s">
        <v>189</v>
      </c>
      <c r="G41" s="2">
        <v>41356</v>
      </c>
      <c r="H41" s="1" t="b">
        <v>0</v>
      </c>
      <c r="I41" s="6" t="s">
        <v>33</v>
      </c>
      <c r="J41" s="1">
        <f>COUNTIF('Rental Transaction'!B41:B3912,A41)</f>
        <v>5</v>
      </c>
      <c r="K41" s="1">
        <f>SUMIF('Rental Transaction'!B:B,A41,'Rental Transaction'!H:H)</f>
        <v>54</v>
      </c>
      <c r="L41" s="17">
        <f>COUNTIFS('Retal Tran Line Item'!D:D,"BLU-RAY",'Retal Tran Line Item'!H:H,A41)/J41</f>
        <v>0.8</v>
      </c>
    </row>
    <row r="42" spans="1:12">
      <c r="A42" s="1">
        <v>170500</v>
      </c>
      <c r="B42" s="1" t="s">
        <v>190</v>
      </c>
      <c r="C42" s="1" t="s">
        <v>191</v>
      </c>
      <c r="D42" s="1" t="s">
        <v>192</v>
      </c>
      <c r="E42" s="1" t="s">
        <v>26</v>
      </c>
      <c r="F42" s="1" t="s">
        <v>193</v>
      </c>
      <c r="G42" s="2">
        <v>41214</v>
      </c>
      <c r="H42" s="1" t="b">
        <v>0</v>
      </c>
      <c r="I42" s="6" t="s">
        <v>33</v>
      </c>
      <c r="J42" s="1">
        <f>COUNTIF('Rental Transaction'!B42:B3913,A42)</f>
        <v>8</v>
      </c>
      <c r="K42" s="1">
        <f>SUMIF('Rental Transaction'!B:B,A42,'Rental Transaction'!H:H)</f>
        <v>43</v>
      </c>
      <c r="L42" s="17">
        <f>COUNTIFS('Retal Tran Line Item'!D:D,"BLU-RAY",'Retal Tran Line Item'!H:H,A42)/J42</f>
        <v>0.5</v>
      </c>
    </row>
    <row r="43" spans="1:12">
      <c r="A43" s="1">
        <v>173125</v>
      </c>
      <c r="B43" s="1" t="s">
        <v>194</v>
      </c>
      <c r="C43" s="1" t="s">
        <v>195</v>
      </c>
      <c r="D43" s="1" t="s">
        <v>196</v>
      </c>
      <c r="E43" s="1" t="s">
        <v>26</v>
      </c>
      <c r="F43" s="1" t="s">
        <v>197</v>
      </c>
      <c r="G43" s="2">
        <v>41482</v>
      </c>
      <c r="H43" s="1" t="b">
        <v>0</v>
      </c>
      <c r="I43" s="6" t="s">
        <v>28</v>
      </c>
      <c r="J43" s="1">
        <f>COUNTIF('Rental Transaction'!B43:B3914,A43)</f>
        <v>6</v>
      </c>
      <c r="K43" s="1">
        <f>SUMIF('Rental Transaction'!B:B,A43,'Rental Transaction'!H:H)</f>
        <v>51</v>
      </c>
      <c r="L43" s="17">
        <f>COUNTIFS('Retal Tran Line Item'!D:D,"BLU-RAY",'Retal Tran Line Item'!H:H,A43)/J43</f>
        <v>0.83333333333333337</v>
      </c>
    </row>
    <row r="44" spans="1:12">
      <c r="A44" s="1">
        <v>173380</v>
      </c>
      <c r="B44" s="1" t="s">
        <v>198</v>
      </c>
      <c r="C44" s="1" t="s">
        <v>199</v>
      </c>
      <c r="D44" s="1" t="s">
        <v>200</v>
      </c>
      <c r="E44" s="1" t="s">
        <v>201</v>
      </c>
      <c r="F44" s="1" t="s">
        <v>202</v>
      </c>
      <c r="G44" s="2">
        <v>41418</v>
      </c>
      <c r="H44" s="1" t="b">
        <v>0</v>
      </c>
      <c r="I44" s="6" t="s">
        <v>28</v>
      </c>
      <c r="J44" s="1">
        <f>COUNTIF('Rental Transaction'!B44:B3915,A44)</f>
        <v>3</v>
      </c>
      <c r="K44" s="1">
        <f>SUMIF('Rental Transaction'!B:B,A44,'Rental Transaction'!H:H)</f>
        <v>15</v>
      </c>
      <c r="L44" s="17">
        <f>COUNTIFS('Retal Tran Line Item'!D:D,"BLU-RAY",'Retal Tran Line Item'!H:H,A44)/J44</f>
        <v>0.33333333333333331</v>
      </c>
    </row>
    <row r="45" spans="1:12">
      <c r="A45" s="1">
        <v>175871</v>
      </c>
      <c r="B45" s="1" t="s">
        <v>203</v>
      </c>
      <c r="C45" s="1" t="s">
        <v>204</v>
      </c>
      <c r="D45" s="1" t="s">
        <v>205</v>
      </c>
      <c r="E45" s="1" t="s">
        <v>26</v>
      </c>
      <c r="F45" s="1" t="s">
        <v>206</v>
      </c>
      <c r="G45" s="2">
        <v>41218</v>
      </c>
      <c r="H45" s="1" t="b">
        <v>1</v>
      </c>
      <c r="I45" s="6" t="s">
        <v>28</v>
      </c>
      <c r="J45" s="1">
        <f>COUNTIF('Rental Transaction'!B45:B3916,A45)</f>
        <v>6</v>
      </c>
      <c r="K45" s="1">
        <f>SUMIF('Rental Transaction'!B:B,A45,'Rental Transaction'!H:H)</f>
        <v>42</v>
      </c>
      <c r="L45" s="17">
        <f>COUNTIFS('Retal Tran Line Item'!D:D,"BLU-RAY",'Retal Tran Line Item'!H:H,A45)/J45</f>
        <v>0.33333333333333331</v>
      </c>
    </row>
    <row r="46" spans="1:12">
      <c r="A46" s="1">
        <v>175940</v>
      </c>
      <c r="B46" s="1" t="s">
        <v>207</v>
      </c>
      <c r="C46" s="1" t="s">
        <v>208</v>
      </c>
      <c r="D46" s="1" t="s">
        <v>209</v>
      </c>
      <c r="E46" s="1" t="s">
        <v>210</v>
      </c>
      <c r="F46" s="1" t="s">
        <v>211</v>
      </c>
      <c r="G46" s="2">
        <v>41109</v>
      </c>
      <c r="H46" s="1" t="b">
        <v>0</v>
      </c>
      <c r="I46" s="6" t="s">
        <v>28</v>
      </c>
      <c r="J46" s="1">
        <f>COUNTIF('Rental Transaction'!B46:B3917,A46)</f>
        <v>9</v>
      </c>
      <c r="K46" s="1">
        <f>SUMIF('Rental Transaction'!B:B,A46,'Rental Transaction'!H:H)</f>
        <v>127</v>
      </c>
      <c r="L46" s="17">
        <f>COUNTIFS('Retal Tran Line Item'!D:D,"BLU-RAY",'Retal Tran Line Item'!H:H,A46)/J46</f>
        <v>0.55555555555555558</v>
      </c>
    </row>
    <row r="47" spans="1:12">
      <c r="A47" s="1">
        <v>178806</v>
      </c>
      <c r="B47" s="1" t="s">
        <v>212</v>
      </c>
      <c r="C47" s="1" t="s">
        <v>213</v>
      </c>
      <c r="D47" s="1" t="s">
        <v>214</v>
      </c>
      <c r="E47" s="1" t="s">
        <v>26</v>
      </c>
      <c r="F47" s="1" t="s">
        <v>215</v>
      </c>
      <c r="G47" s="2">
        <v>41351</v>
      </c>
      <c r="H47" s="1" t="b">
        <v>0</v>
      </c>
      <c r="I47" s="6" t="s">
        <v>33</v>
      </c>
      <c r="J47" s="1">
        <f>COUNTIF('Rental Transaction'!B47:B3918,A47)</f>
        <v>3</v>
      </c>
      <c r="K47" s="1">
        <f>SUMIF('Rental Transaction'!B:B,A47,'Rental Transaction'!H:H)</f>
        <v>27</v>
      </c>
      <c r="L47" s="17">
        <f>COUNTIFS('Retal Tran Line Item'!D:D,"BLU-RAY",'Retal Tran Line Item'!H:H,A47)/J47</f>
        <v>0.66666666666666663</v>
      </c>
    </row>
    <row r="48" spans="1:12">
      <c r="A48" s="1">
        <v>182040</v>
      </c>
      <c r="B48" s="1" t="s">
        <v>216</v>
      </c>
      <c r="C48" s="1" t="s">
        <v>217</v>
      </c>
      <c r="D48" s="1" t="s">
        <v>218</v>
      </c>
      <c r="E48" s="1" t="s">
        <v>26</v>
      </c>
      <c r="F48" s="1" t="s">
        <v>219</v>
      </c>
      <c r="G48" s="2">
        <v>41383</v>
      </c>
      <c r="H48" s="1" t="b">
        <v>0</v>
      </c>
      <c r="I48" s="6" t="s">
        <v>28</v>
      </c>
      <c r="J48" s="1">
        <f>COUNTIF('Rental Transaction'!B48:B3919,A48)</f>
        <v>5</v>
      </c>
      <c r="K48" s="1">
        <f>SUMIF('Rental Transaction'!B:B,A48,'Rental Transaction'!H:H)</f>
        <v>69</v>
      </c>
      <c r="L48" s="17">
        <f>COUNTIFS('Retal Tran Line Item'!D:D,"BLU-RAY",'Retal Tran Line Item'!H:H,A48)/J48</f>
        <v>0.4</v>
      </c>
    </row>
    <row r="49" spans="1:12">
      <c r="A49" s="1">
        <v>183797</v>
      </c>
      <c r="B49" s="1" t="s">
        <v>220</v>
      </c>
      <c r="C49" s="1" t="s">
        <v>221</v>
      </c>
      <c r="D49" s="1" t="s">
        <v>222</v>
      </c>
      <c r="E49" s="1" t="s">
        <v>223</v>
      </c>
      <c r="F49" s="1" t="s">
        <v>224</v>
      </c>
      <c r="G49" s="2">
        <v>41224</v>
      </c>
      <c r="H49" s="1" t="b">
        <v>0</v>
      </c>
      <c r="I49" s="6" t="s">
        <v>33</v>
      </c>
      <c r="J49" s="1">
        <f>COUNTIF('Rental Transaction'!B49:B3920,A49)</f>
        <v>9</v>
      </c>
      <c r="K49" s="1">
        <f>SUMIF('Rental Transaction'!B:B,A49,'Rental Transaction'!H:H)</f>
        <v>85</v>
      </c>
      <c r="L49" s="17">
        <f>COUNTIFS('Retal Tran Line Item'!D:D,"BLU-RAY",'Retal Tran Line Item'!H:H,A49)/J49</f>
        <v>0.33333333333333331</v>
      </c>
    </row>
    <row r="50" spans="1:12">
      <c r="A50" s="1">
        <v>185863</v>
      </c>
      <c r="B50" s="1" t="s">
        <v>225</v>
      </c>
      <c r="C50" s="1" t="s">
        <v>226</v>
      </c>
      <c r="D50" s="1" t="s">
        <v>227</v>
      </c>
      <c r="E50" s="1" t="s">
        <v>228</v>
      </c>
      <c r="F50" s="1" t="s">
        <v>229</v>
      </c>
      <c r="G50" s="2">
        <v>41436</v>
      </c>
      <c r="H50" s="1" t="b">
        <v>1</v>
      </c>
      <c r="I50" s="6" t="s">
        <v>33</v>
      </c>
      <c r="J50" s="1">
        <f>COUNTIF('Rental Transaction'!B50:B3921,A50)</f>
        <v>5</v>
      </c>
      <c r="K50" s="1">
        <f>SUMIF('Rental Transaction'!B:B,A50,'Rental Transaction'!H:H)</f>
        <v>53</v>
      </c>
      <c r="L50" s="17">
        <f>COUNTIFS('Retal Tran Line Item'!D:D,"BLU-RAY",'Retal Tran Line Item'!H:H,A50)/J50</f>
        <v>0.4</v>
      </c>
    </row>
    <row r="51" spans="1:12">
      <c r="A51" s="1">
        <v>186353</v>
      </c>
      <c r="B51" s="1" t="s">
        <v>230</v>
      </c>
      <c r="C51" s="1" t="s">
        <v>231</v>
      </c>
      <c r="D51" s="1" t="s">
        <v>232</v>
      </c>
      <c r="E51" s="1" t="s">
        <v>26</v>
      </c>
      <c r="F51" s="1" t="s">
        <v>233</v>
      </c>
      <c r="G51" s="2">
        <v>41389</v>
      </c>
      <c r="H51" s="1" t="b">
        <v>0</v>
      </c>
      <c r="I51" s="6" t="s">
        <v>33</v>
      </c>
      <c r="J51" s="1">
        <f>COUNTIF('Rental Transaction'!B51:B3922,A51)</f>
        <v>5</v>
      </c>
      <c r="K51" s="1">
        <f>SUMIF('Rental Transaction'!B:B,A51,'Rental Transaction'!H:H)</f>
        <v>29</v>
      </c>
      <c r="L51" s="17">
        <f>COUNTIFS('Retal Tran Line Item'!D:D,"BLU-RAY",'Retal Tran Line Item'!H:H,A51)/J51</f>
        <v>0</v>
      </c>
    </row>
    <row r="52" spans="1:12">
      <c r="A52" s="1">
        <v>189441</v>
      </c>
      <c r="B52" s="1" t="s">
        <v>234</v>
      </c>
      <c r="C52" s="1" t="s">
        <v>235</v>
      </c>
      <c r="D52" s="1" t="s">
        <v>236</v>
      </c>
      <c r="E52" s="1" t="s">
        <v>26</v>
      </c>
      <c r="F52" s="1" t="s">
        <v>237</v>
      </c>
      <c r="G52" s="2">
        <v>41392</v>
      </c>
      <c r="H52" s="1" t="b">
        <v>1</v>
      </c>
      <c r="I52" s="6" t="s">
        <v>28</v>
      </c>
      <c r="J52" s="1">
        <f>COUNTIF('Rental Transaction'!B52:B3923,A52)</f>
        <v>5</v>
      </c>
      <c r="K52" s="1">
        <f>SUMIF('Rental Transaction'!B:B,A52,'Rental Transaction'!H:H)</f>
        <v>27</v>
      </c>
      <c r="L52" s="17">
        <f>COUNTIFS('Retal Tran Line Item'!D:D,"BLU-RAY",'Retal Tran Line Item'!H:H,A52)/J52</f>
        <v>0.6</v>
      </c>
    </row>
    <row r="53" spans="1:12">
      <c r="A53" s="1">
        <v>189953</v>
      </c>
      <c r="B53" s="1" t="s">
        <v>238</v>
      </c>
      <c r="C53" s="1" t="s">
        <v>239</v>
      </c>
      <c r="D53" s="1" t="s">
        <v>240</v>
      </c>
      <c r="E53" s="1" t="s">
        <v>152</v>
      </c>
      <c r="F53" s="1" t="s">
        <v>241</v>
      </c>
      <c r="G53" s="2">
        <v>41132</v>
      </c>
      <c r="H53" s="1" t="b">
        <v>0</v>
      </c>
      <c r="I53" s="6" t="s">
        <v>33</v>
      </c>
      <c r="J53" s="1">
        <f>COUNTIF('Rental Transaction'!B53:B3924,A53)</f>
        <v>8</v>
      </c>
      <c r="K53" s="1">
        <f>SUMIF('Rental Transaction'!B:B,A53,'Rental Transaction'!H:H)</f>
        <v>92</v>
      </c>
      <c r="L53" s="17">
        <f>COUNTIFS('Retal Tran Line Item'!D:D,"BLU-RAY",'Retal Tran Line Item'!H:H,A53)/J53</f>
        <v>0.5</v>
      </c>
    </row>
    <row r="54" spans="1:12">
      <c r="A54" s="1">
        <v>190721</v>
      </c>
      <c r="B54" s="1" t="s">
        <v>242</v>
      </c>
      <c r="C54" s="1" t="s">
        <v>243</v>
      </c>
      <c r="D54" s="1" t="s">
        <v>244</v>
      </c>
      <c r="E54" s="1" t="s">
        <v>26</v>
      </c>
      <c r="F54" s="1" t="s">
        <v>245</v>
      </c>
      <c r="G54" s="2">
        <v>41204</v>
      </c>
      <c r="H54" s="1" t="b">
        <v>0</v>
      </c>
      <c r="I54" s="6" t="s">
        <v>33</v>
      </c>
      <c r="J54" s="1">
        <f>COUNTIF('Rental Transaction'!B54:B3925,A54)</f>
        <v>9</v>
      </c>
      <c r="K54" s="1">
        <f>SUMIF('Rental Transaction'!B:B,A54,'Rental Transaction'!H:H)</f>
        <v>72</v>
      </c>
      <c r="L54" s="17">
        <f>COUNTIFS('Retal Tran Line Item'!D:D,"BLU-RAY",'Retal Tran Line Item'!H:H,A54)/J54</f>
        <v>0.44444444444444442</v>
      </c>
    </row>
    <row r="55" spans="1:12">
      <c r="A55" s="1">
        <v>191050</v>
      </c>
      <c r="B55" s="1" t="s">
        <v>246</v>
      </c>
      <c r="C55" s="1" t="s">
        <v>247</v>
      </c>
      <c r="D55" s="1" t="s">
        <v>248</v>
      </c>
      <c r="E55" s="1" t="s">
        <v>26</v>
      </c>
      <c r="F55" s="1" t="s">
        <v>249</v>
      </c>
      <c r="G55" s="2">
        <v>41529</v>
      </c>
      <c r="H55" s="1" t="b">
        <v>0</v>
      </c>
      <c r="I55" s="6" t="s">
        <v>33</v>
      </c>
      <c r="J55" s="1">
        <f>COUNTIF('Rental Transaction'!B55:B3926,A55)</f>
        <v>7</v>
      </c>
      <c r="K55" s="1">
        <f>SUMIF('Rental Transaction'!B:B,A55,'Rental Transaction'!H:H)</f>
        <v>62</v>
      </c>
      <c r="L55" s="17">
        <f>COUNTIFS('Retal Tran Line Item'!D:D,"BLU-RAY",'Retal Tran Line Item'!H:H,A55)/J55</f>
        <v>0.5714285714285714</v>
      </c>
    </row>
    <row r="56" spans="1:12">
      <c r="A56" s="1">
        <v>191951</v>
      </c>
      <c r="B56" s="1" t="s">
        <v>250</v>
      </c>
      <c r="C56" s="1" t="s">
        <v>251</v>
      </c>
      <c r="D56" s="1" t="s">
        <v>252</v>
      </c>
      <c r="E56" s="1" t="s">
        <v>26</v>
      </c>
      <c r="F56" s="1" t="s">
        <v>253</v>
      </c>
      <c r="G56" s="2">
        <v>41400</v>
      </c>
      <c r="H56" s="1" t="b">
        <v>0</v>
      </c>
      <c r="I56" s="6" t="s">
        <v>33</v>
      </c>
      <c r="J56" s="1">
        <f>COUNTIF('Rental Transaction'!B56:B3927,A56)</f>
        <v>7</v>
      </c>
      <c r="K56" s="1">
        <f>SUMIF('Rental Transaction'!B:B,A56,'Rental Transaction'!H:H)</f>
        <v>76</v>
      </c>
      <c r="L56" s="17">
        <f>COUNTIFS('Retal Tran Line Item'!D:D,"BLU-RAY",'Retal Tran Line Item'!H:H,A56)/J56</f>
        <v>0.8571428571428571</v>
      </c>
    </row>
    <row r="57" spans="1:12">
      <c r="A57" s="1">
        <v>192738</v>
      </c>
      <c r="B57" s="1" t="s">
        <v>254</v>
      </c>
      <c r="C57" s="1" t="s">
        <v>255</v>
      </c>
      <c r="D57" s="1" t="s">
        <v>256</v>
      </c>
      <c r="E57" s="1" t="s">
        <v>26</v>
      </c>
      <c r="F57" s="1" t="s">
        <v>257</v>
      </c>
      <c r="G57" s="2">
        <v>41414</v>
      </c>
      <c r="H57" s="1" t="b">
        <v>0</v>
      </c>
      <c r="I57" s="6" t="s">
        <v>28</v>
      </c>
      <c r="J57" s="1">
        <f>COUNTIF('Rental Transaction'!B57:B3928,A57)</f>
        <v>6</v>
      </c>
      <c r="K57" s="1">
        <f>SUMIF('Rental Transaction'!B:B,A57,'Rental Transaction'!H:H)</f>
        <v>66</v>
      </c>
      <c r="L57" s="17">
        <f>COUNTIFS('Retal Tran Line Item'!D:D,"BLU-RAY",'Retal Tran Line Item'!H:H,A57)/J57</f>
        <v>1</v>
      </c>
    </row>
    <row r="58" spans="1:12">
      <c r="A58" s="1">
        <v>193914</v>
      </c>
      <c r="B58" s="1" t="s">
        <v>258</v>
      </c>
      <c r="C58" s="1" t="s">
        <v>259</v>
      </c>
      <c r="D58" s="1" t="s">
        <v>260</v>
      </c>
      <c r="E58" s="1" t="s">
        <v>26</v>
      </c>
      <c r="F58" s="1" t="s">
        <v>261</v>
      </c>
      <c r="G58" s="2">
        <v>41398</v>
      </c>
      <c r="H58" s="1" t="b">
        <v>0</v>
      </c>
      <c r="I58" s="6" t="s">
        <v>33</v>
      </c>
      <c r="J58" s="1">
        <f>COUNTIF('Rental Transaction'!B58:B3929,A58)</f>
        <v>13</v>
      </c>
      <c r="K58" s="1">
        <f>SUMIF('Rental Transaction'!B:B,A58,'Rental Transaction'!H:H)</f>
        <v>110</v>
      </c>
      <c r="L58" s="17">
        <f>COUNTIFS('Retal Tran Line Item'!D:D,"BLU-RAY",'Retal Tran Line Item'!H:H,A58)/J58</f>
        <v>7.6923076923076927E-2</v>
      </c>
    </row>
    <row r="59" spans="1:12">
      <c r="A59" s="1">
        <v>193968</v>
      </c>
      <c r="B59" s="1" t="s">
        <v>57</v>
      </c>
      <c r="C59" s="1" t="s">
        <v>262</v>
      </c>
      <c r="D59" s="1" t="s">
        <v>263</v>
      </c>
      <c r="E59" s="1" t="s">
        <v>26</v>
      </c>
      <c r="F59" s="1" t="s">
        <v>264</v>
      </c>
      <c r="G59" s="2">
        <v>41195</v>
      </c>
      <c r="H59" s="1" t="b">
        <v>0</v>
      </c>
      <c r="I59" s="6" t="s">
        <v>33</v>
      </c>
      <c r="J59" s="1">
        <f>COUNTIF('Rental Transaction'!B59:B3930,A59)</f>
        <v>7</v>
      </c>
      <c r="K59" s="1">
        <f>SUMIF('Rental Transaction'!B:B,A59,'Rental Transaction'!H:H)</f>
        <v>96</v>
      </c>
      <c r="L59" s="17">
        <f>COUNTIFS('Retal Tran Line Item'!D:D,"BLU-RAY",'Retal Tran Line Item'!H:H,A59)/J59</f>
        <v>0.8571428571428571</v>
      </c>
    </row>
    <row r="60" spans="1:12">
      <c r="A60" s="1">
        <v>194680</v>
      </c>
      <c r="B60" s="1" t="s">
        <v>265</v>
      </c>
      <c r="C60" s="1" t="s">
        <v>266</v>
      </c>
      <c r="D60" s="1" t="s">
        <v>267</v>
      </c>
      <c r="E60" s="1" t="s">
        <v>161</v>
      </c>
      <c r="F60" s="1" t="s">
        <v>268</v>
      </c>
      <c r="G60" s="2">
        <v>41371</v>
      </c>
      <c r="H60" s="1" t="b">
        <v>0</v>
      </c>
      <c r="I60" s="6" t="s">
        <v>28</v>
      </c>
      <c r="J60" s="1">
        <f>COUNTIF('Rental Transaction'!B60:B3931,A60)</f>
        <v>12</v>
      </c>
      <c r="K60" s="1">
        <f>SUMIF('Rental Transaction'!B:B,A60,'Rental Transaction'!H:H)</f>
        <v>118</v>
      </c>
      <c r="L60" s="17">
        <f>COUNTIFS('Retal Tran Line Item'!D:D,"BLU-RAY",'Retal Tran Line Item'!H:H,A60)/J60</f>
        <v>0.33333333333333331</v>
      </c>
    </row>
    <row r="61" spans="1:12">
      <c r="A61" s="1">
        <v>196068</v>
      </c>
      <c r="B61" s="1" t="s">
        <v>269</v>
      </c>
      <c r="C61" s="1" t="s">
        <v>270</v>
      </c>
      <c r="D61" s="1" t="s">
        <v>271</v>
      </c>
      <c r="E61" s="1" t="s">
        <v>26</v>
      </c>
      <c r="F61" s="1" t="s">
        <v>272</v>
      </c>
      <c r="G61" s="2">
        <v>41460</v>
      </c>
      <c r="H61" s="1" t="b">
        <v>1</v>
      </c>
      <c r="I61" s="6" t="s">
        <v>33</v>
      </c>
      <c r="J61" s="1">
        <f>COUNTIF('Rental Transaction'!B61:B3932,A61)</f>
        <v>9</v>
      </c>
      <c r="K61" s="1">
        <f>SUMIF('Rental Transaction'!B:B,A61,'Rental Transaction'!H:H)</f>
        <v>55</v>
      </c>
      <c r="L61" s="17">
        <f>COUNTIFS('Retal Tran Line Item'!D:D,"BLU-RAY",'Retal Tran Line Item'!H:H,A61)/J61</f>
        <v>0.55555555555555558</v>
      </c>
    </row>
    <row r="62" spans="1:12">
      <c r="A62" s="1">
        <v>197102</v>
      </c>
      <c r="B62" s="1" t="s">
        <v>273</v>
      </c>
      <c r="C62" s="1" t="s">
        <v>274</v>
      </c>
      <c r="D62" s="1" t="s">
        <v>275</v>
      </c>
      <c r="E62" s="1" t="s">
        <v>26</v>
      </c>
      <c r="F62" s="1" t="s">
        <v>276</v>
      </c>
      <c r="G62" s="2">
        <v>41466</v>
      </c>
      <c r="H62" s="1" t="b">
        <v>1</v>
      </c>
      <c r="I62" s="6" t="s">
        <v>33</v>
      </c>
      <c r="J62" s="1">
        <f>COUNTIF('Rental Transaction'!B62:B3933,A62)</f>
        <v>5</v>
      </c>
      <c r="K62" s="1">
        <f>SUMIF('Rental Transaction'!B:B,A62,'Rental Transaction'!H:H)</f>
        <v>53</v>
      </c>
      <c r="L62" s="17">
        <f>COUNTIFS('Retal Tran Line Item'!D:D,"BLU-RAY",'Retal Tran Line Item'!H:H,A62)/J62</f>
        <v>1.2</v>
      </c>
    </row>
    <row r="63" spans="1:12">
      <c r="A63" s="1">
        <v>199895</v>
      </c>
      <c r="B63" s="1" t="s">
        <v>277</v>
      </c>
      <c r="C63" s="1" t="s">
        <v>278</v>
      </c>
      <c r="D63" s="1" t="s">
        <v>279</v>
      </c>
      <c r="E63" s="1" t="s">
        <v>26</v>
      </c>
      <c r="F63" s="1" t="s">
        <v>280</v>
      </c>
      <c r="G63" s="2">
        <v>41189</v>
      </c>
      <c r="H63" s="1" t="b">
        <v>0</v>
      </c>
      <c r="I63" s="6" t="s">
        <v>28</v>
      </c>
      <c r="J63" s="1">
        <f>COUNTIF('Rental Transaction'!B63:B3934,A63)</f>
        <v>8</v>
      </c>
      <c r="K63" s="1">
        <f>SUMIF('Rental Transaction'!B:B,A63,'Rental Transaction'!H:H)</f>
        <v>68</v>
      </c>
      <c r="L63" s="17">
        <f>COUNTIFS('Retal Tran Line Item'!D:D,"BLU-RAY",'Retal Tran Line Item'!H:H,A63)/J63</f>
        <v>0.5</v>
      </c>
    </row>
    <row r="64" spans="1:12">
      <c r="A64" s="1">
        <v>200272</v>
      </c>
      <c r="B64" s="1" t="s">
        <v>281</v>
      </c>
      <c r="C64" s="1" t="s">
        <v>282</v>
      </c>
      <c r="D64" s="1" t="s">
        <v>283</v>
      </c>
      <c r="E64" s="1" t="s">
        <v>284</v>
      </c>
      <c r="F64" s="1" t="s">
        <v>285</v>
      </c>
      <c r="G64" s="2">
        <v>41340</v>
      </c>
      <c r="H64" s="1" t="b">
        <v>1</v>
      </c>
      <c r="I64" s="6" t="s">
        <v>33</v>
      </c>
      <c r="J64" s="1">
        <f>COUNTIF('Rental Transaction'!B64:B3935,A64)</f>
        <v>9</v>
      </c>
      <c r="K64" s="1">
        <f>SUMIF('Rental Transaction'!B:B,A64,'Rental Transaction'!H:H)</f>
        <v>97</v>
      </c>
      <c r="L64" s="17">
        <f>COUNTIFS('Retal Tran Line Item'!D:D,"BLU-RAY",'Retal Tran Line Item'!H:H,A64)/J64</f>
        <v>0.77777777777777779</v>
      </c>
    </row>
    <row r="65" spans="1:12">
      <c r="A65" s="1">
        <v>202612</v>
      </c>
      <c r="B65" s="1" t="s">
        <v>286</v>
      </c>
      <c r="C65" s="1" t="s">
        <v>287</v>
      </c>
      <c r="D65" s="1" t="s">
        <v>288</v>
      </c>
      <c r="E65" s="1" t="s">
        <v>26</v>
      </c>
      <c r="F65" s="1" t="s">
        <v>289</v>
      </c>
      <c r="G65" s="2">
        <v>41472</v>
      </c>
      <c r="H65" s="1" t="b">
        <v>0</v>
      </c>
      <c r="I65" s="6" t="s">
        <v>28</v>
      </c>
      <c r="J65" s="1">
        <f>COUNTIF('Rental Transaction'!B65:B3936,A65)</f>
        <v>6</v>
      </c>
      <c r="K65" s="1">
        <f>SUMIF('Rental Transaction'!B:B,A65,'Rental Transaction'!H:H)</f>
        <v>88</v>
      </c>
      <c r="L65" s="17">
        <f>COUNTIFS('Retal Tran Line Item'!D:D,"BLU-RAY",'Retal Tran Line Item'!H:H,A65)/J65</f>
        <v>0.66666666666666663</v>
      </c>
    </row>
    <row r="66" spans="1:12">
      <c r="A66" s="1">
        <v>203787</v>
      </c>
      <c r="B66" s="1" t="s">
        <v>290</v>
      </c>
      <c r="C66" s="1" t="s">
        <v>291</v>
      </c>
      <c r="D66" s="1" t="s">
        <v>292</v>
      </c>
      <c r="E66" s="1" t="s">
        <v>26</v>
      </c>
      <c r="F66" s="1" t="s">
        <v>293</v>
      </c>
      <c r="G66" s="2">
        <v>41216</v>
      </c>
      <c r="H66" s="1" t="b">
        <v>0</v>
      </c>
      <c r="I66" s="6" t="s">
        <v>33</v>
      </c>
      <c r="J66" s="1">
        <f>COUNTIF('Rental Transaction'!B66:B3937,A66)</f>
        <v>6</v>
      </c>
      <c r="K66" s="1">
        <f>SUMIF('Rental Transaction'!B:B,A66,'Rental Transaction'!H:H)</f>
        <v>69</v>
      </c>
      <c r="L66" s="17">
        <f>COUNTIFS('Retal Tran Line Item'!D:D,"BLU-RAY",'Retal Tran Line Item'!H:H,A66)/J66</f>
        <v>1.3333333333333333</v>
      </c>
    </row>
    <row r="67" spans="1:12">
      <c r="A67" s="1">
        <v>204295</v>
      </c>
      <c r="B67" s="1" t="s">
        <v>294</v>
      </c>
      <c r="C67" s="1" t="s">
        <v>295</v>
      </c>
      <c r="D67" s="1" t="s">
        <v>296</v>
      </c>
      <c r="E67" s="1" t="s">
        <v>26</v>
      </c>
      <c r="F67" s="1" t="s">
        <v>297</v>
      </c>
      <c r="G67" s="2">
        <v>41317</v>
      </c>
      <c r="H67" s="1" t="b">
        <v>0</v>
      </c>
      <c r="I67" s="6" t="s">
        <v>33</v>
      </c>
      <c r="J67" s="1">
        <f>COUNTIF('Rental Transaction'!B67:B3938,A67)</f>
        <v>4</v>
      </c>
      <c r="K67" s="1">
        <f>SUMIF('Rental Transaction'!B:B,A67,'Rental Transaction'!H:H)</f>
        <v>38</v>
      </c>
      <c r="L67" s="17">
        <f>COUNTIFS('Retal Tran Line Item'!D:D,"BLU-RAY",'Retal Tran Line Item'!H:H,A67)/J67</f>
        <v>1</v>
      </c>
    </row>
    <row r="68" spans="1:12">
      <c r="A68" s="1">
        <v>205190</v>
      </c>
      <c r="B68" s="1" t="s">
        <v>298</v>
      </c>
      <c r="C68" s="1" t="s">
        <v>299</v>
      </c>
      <c r="D68" s="1" t="s">
        <v>300</v>
      </c>
      <c r="E68" s="1" t="s">
        <v>42</v>
      </c>
      <c r="F68" s="1" t="s">
        <v>301</v>
      </c>
      <c r="G68" s="2">
        <v>41391</v>
      </c>
      <c r="H68" s="1" t="b">
        <v>0</v>
      </c>
      <c r="I68" s="6" t="s">
        <v>28</v>
      </c>
      <c r="J68" s="1">
        <f>COUNTIF('Rental Transaction'!B68:B3939,A68)</f>
        <v>3</v>
      </c>
      <c r="K68" s="1">
        <f>SUMIF('Rental Transaction'!B:B,A68,'Rental Transaction'!H:H)</f>
        <v>27</v>
      </c>
      <c r="L68" s="17">
        <f>COUNTIFS('Retal Tran Line Item'!D:D,"BLU-RAY",'Retal Tran Line Item'!H:H,A68)/J68</f>
        <v>0.66666666666666663</v>
      </c>
    </row>
    <row r="69" spans="1:12">
      <c r="A69" s="1">
        <v>205878</v>
      </c>
      <c r="B69" s="1" t="s">
        <v>302</v>
      </c>
      <c r="C69" s="1" t="s">
        <v>303</v>
      </c>
      <c r="D69" s="1" t="s">
        <v>304</v>
      </c>
      <c r="E69" s="1" t="s">
        <v>26</v>
      </c>
      <c r="F69" s="1" t="s">
        <v>305</v>
      </c>
      <c r="G69" s="2">
        <v>41531</v>
      </c>
      <c r="H69" s="1" t="b">
        <v>1</v>
      </c>
      <c r="I69" s="6" t="s">
        <v>28</v>
      </c>
      <c r="J69" s="1">
        <f>COUNTIF('Rental Transaction'!B69:B3940,A69)</f>
        <v>8</v>
      </c>
      <c r="K69" s="1">
        <f>SUMIF('Rental Transaction'!B:B,A69,'Rental Transaction'!H:H)</f>
        <v>84</v>
      </c>
      <c r="L69" s="17">
        <f>COUNTIFS('Retal Tran Line Item'!D:D,"BLU-RAY",'Retal Tran Line Item'!H:H,A69)/J69</f>
        <v>0.875</v>
      </c>
    </row>
    <row r="70" spans="1:12">
      <c r="A70" s="1">
        <v>205927</v>
      </c>
      <c r="B70" s="1" t="s">
        <v>306</v>
      </c>
      <c r="C70" s="1" t="s">
        <v>307</v>
      </c>
      <c r="D70" s="1" t="s">
        <v>308</v>
      </c>
      <c r="E70" s="1" t="s">
        <v>309</v>
      </c>
      <c r="F70" s="1" t="s">
        <v>310</v>
      </c>
      <c r="G70" s="2">
        <v>41482</v>
      </c>
      <c r="H70" s="1" t="b">
        <v>0</v>
      </c>
      <c r="I70" s="6" t="s">
        <v>28</v>
      </c>
      <c r="J70" s="1">
        <f>COUNTIF('Rental Transaction'!B70:B3941,A70)</f>
        <v>7</v>
      </c>
      <c r="K70" s="1">
        <f>SUMIF('Rental Transaction'!B:B,A70,'Rental Transaction'!H:H)</f>
        <v>86</v>
      </c>
      <c r="L70" s="17">
        <f>COUNTIFS('Retal Tran Line Item'!D:D,"BLU-RAY",'Retal Tran Line Item'!H:H,A70)/J70</f>
        <v>0.7142857142857143</v>
      </c>
    </row>
    <row r="71" spans="1:12">
      <c r="A71" s="1">
        <v>206078</v>
      </c>
      <c r="B71" s="1" t="s">
        <v>311</v>
      </c>
      <c r="C71" s="1" t="s">
        <v>312</v>
      </c>
      <c r="D71" s="1" t="s">
        <v>313</v>
      </c>
      <c r="E71" s="1" t="s">
        <v>26</v>
      </c>
      <c r="F71" s="1" t="s">
        <v>314</v>
      </c>
      <c r="G71" s="2">
        <v>41138</v>
      </c>
      <c r="H71" s="1" t="b">
        <v>0</v>
      </c>
      <c r="I71" s="6" t="s">
        <v>28</v>
      </c>
      <c r="J71" s="1">
        <f>COUNTIF('Rental Transaction'!B71:B3942,A71)</f>
        <v>4</v>
      </c>
      <c r="K71" s="1">
        <f>SUMIF('Rental Transaction'!B:B,A71,'Rental Transaction'!H:H)</f>
        <v>22</v>
      </c>
      <c r="L71" s="17">
        <f>COUNTIFS('Retal Tran Line Item'!D:D,"BLU-RAY",'Retal Tran Line Item'!H:H,A71)/J71</f>
        <v>0.5</v>
      </c>
    </row>
    <row r="72" spans="1:12">
      <c r="A72" s="1">
        <v>207846</v>
      </c>
      <c r="B72" s="1" t="s">
        <v>315</v>
      </c>
      <c r="C72" s="1" t="s">
        <v>316</v>
      </c>
      <c r="D72" s="1" t="s">
        <v>317</v>
      </c>
      <c r="E72" s="1" t="s">
        <v>26</v>
      </c>
      <c r="F72" s="1" t="s">
        <v>318</v>
      </c>
      <c r="G72" s="2">
        <v>41093</v>
      </c>
      <c r="H72" s="1" t="b">
        <v>1</v>
      </c>
      <c r="I72" s="6" t="s">
        <v>28</v>
      </c>
      <c r="J72" s="1">
        <f>COUNTIF('Rental Transaction'!B72:B3943,A72)</f>
        <v>8</v>
      </c>
      <c r="K72" s="1">
        <f>SUMIF('Rental Transaction'!B:B,A72,'Rental Transaction'!H:H)</f>
        <v>91</v>
      </c>
      <c r="L72" s="17">
        <f>COUNTIFS('Retal Tran Line Item'!D:D,"BLU-RAY",'Retal Tran Line Item'!H:H,A72)/J72</f>
        <v>0.375</v>
      </c>
    </row>
    <row r="73" spans="1:12">
      <c r="A73" s="1">
        <v>214537</v>
      </c>
      <c r="B73" s="1" t="s">
        <v>319</v>
      </c>
      <c r="C73" s="1" t="s">
        <v>320</v>
      </c>
      <c r="D73" s="1" t="s">
        <v>321</v>
      </c>
      <c r="E73" s="1" t="s">
        <v>26</v>
      </c>
      <c r="F73" s="1" t="s">
        <v>322</v>
      </c>
      <c r="G73" s="2">
        <v>41203</v>
      </c>
      <c r="H73" s="1" t="b">
        <v>0</v>
      </c>
      <c r="I73" s="6" t="s">
        <v>33</v>
      </c>
      <c r="J73" s="1">
        <f>COUNTIF('Rental Transaction'!B73:B3944,A73)</f>
        <v>6</v>
      </c>
      <c r="K73" s="1">
        <f>SUMIF('Rental Transaction'!B:B,A73,'Rental Transaction'!H:H)</f>
        <v>51</v>
      </c>
      <c r="L73" s="17">
        <f>COUNTIFS('Retal Tran Line Item'!D:D,"BLU-RAY",'Retal Tran Line Item'!H:H,A73)/J73</f>
        <v>0.83333333333333337</v>
      </c>
    </row>
    <row r="74" spans="1:12">
      <c r="A74" s="1">
        <v>216081</v>
      </c>
      <c r="B74" s="1" t="s">
        <v>323</v>
      </c>
      <c r="C74" s="1" t="s">
        <v>324</v>
      </c>
      <c r="D74" s="1" t="s">
        <v>325</v>
      </c>
      <c r="E74" s="1" t="s">
        <v>26</v>
      </c>
      <c r="F74" s="1" t="s">
        <v>326</v>
      </c>
      <c r="G74" s="2">
        <v>41391</v>
      </c>
      <c r="H74" s="1" t="b">
        <v>0</v>
      </c>
      <c r="I74" s="6" t="s">
        <v>28</v>
      </c>
      <c r="J74" s="1">
        <f>COUNTIF('Rental Transaction'!B74:B3945,A74)</f>
        <v>6</v>
      </c>
      <c r="K74" s="1">
        <f>SUMIF('Rental Transaction'!B:B,A74,'Rental Transaction'!H:H)</f>
        <v>50</v>
      </c>
      <c r="L74" s="17">
        <f>COUNTIFS('Retal Tran Line Item'!D:D,"BLU-RAY",'Retal Tran Line Item'!H:H,A74)/J74</f>
        <v>0.5</v>
      </c>
    </row>
    <row r="75" spans="1:12">
      <c r="A75" s="1">
        <v>216475</v>
      </c>
      <c r="B75" s="1" t="s">
        <v>327</v>
      </c>
      <c r="C75" s="1" t="s">
        <v>328</v>
      </c>
      <c r="D75" s="1" t="s">
        <v>329</v>
      </c>
      <c r="E75" s="1" t="s">
        <v>26</v>
      </c>
      <c r="F75" s="1" t="s">
        <v>330</v>
      </c>
      <c r="G75" s="2">
        <v>41502</v>
      </c>
      <c r="H75" s="1" t="b">
        <v>1</v>
      </c>
      <c r="I75" s="6" t="s">
        <v>33</v>
      </c>
      <c r="J75" s="1">
        <f>COUNTIF('Rental Transaction'!B75:B3946,A75)</f>
        <v>7</v>
      </c>
      <c r="K75" s="1">
        <f>SUMIF('Rental Transaction'!B:B,A75,'Rental Transaction'!H:H)</f>
        <v>85</v>
      </c>
      <c r="L75" s="17">
        <f>COUNTIFS('Retal Tran Line Item'!D:D,"BLU-RAY",'Retal Tran Line Item'!H:H,A75)/J75</f>
        <v>0.2857142857142857</v>
      </c>
    </row>
    <row r="76" spans="1:12">
      <c r="A76" s="1">
        <v>218889</v>
      </c>
      <c r="B76" s="1" t="s">
        <v>149</v>
      </c>
      <c r="C76" s="1" t="s">
        <v>331</v>
      </c>
      <c r="D76" s="1" t="s">
        <v>332</v>
      </c>
      <c r="E76" s="1" t="s">
        <v>51</v>
      </c>
      <c r="F76" s="1" t="s">
        <v>333</v>
      </c>
      <c r="G76" s="2">
        <v>41298</v>
      </c>
      <c r="H76" s="1" t="b">
        <v>1</v>
      </c>
      <c r="I76" s="6" t="s">
        <v>33</v>
      </c>
      <c r="J76" s="1">
        <f>COUNTIF('Rental Transaction'!B76:B3947,A76)</f>
        <v>5</v>
      </c>
      <c r="K76" s="1">
        <f>SUMIF('Rental Transaction'!B:B,A76,'Rental Transaction'!H:H)</f>
        <v>41</v>
      </c>
      <c r="L76" s="17">
        <f>COUNTIFS('Retal Tran Line Item'!D:D,"BLU-RAY",'Retal Tran Line Item'!H:H,A76)/J76</f>
        <v>0.6</v>
      </c>
    </row>
    <row r="77" spans="1:12">
      <c r="A77" s="1">
        <v>220206</v>
      </c>
      <c r="B77" s="1" t="s">
        <v>334</v>
      </c>
      <c r="C77" s="1" t="s">
        <v>335</v>
      </c>
      <c r="D77" s="1" t="s">
        <v>336</v>
      </c>
      <c r="E77" s="1" t="s">
        <v>26</v>
      </c>
      <c r="F77" s="1" t="s">
        <v>337</v>
      </c>
      <c r="G77" s="2">
        <v>41324</v>
      </c>
      <c r="H77" s="1" t="b">
        <v>1</v>
      </c>
      <c r="I77" s="6" t="s">
        <v>28</v>
      </c>
      <c r="J77" s="1">
        <f>COUNTIF('Rental Transaction'!B77:B3948,A77)</f>
        <v>9</v>
      </c>
      <c r="K77" s="1">
        <f>SUMIF('Rental Transaction'!B:B,A77,'Rental Transaction'!H:H)</f>
        <v>118</v>
      </c>
      <c r="L77" s="17">
        <f>COUNTIFS('Retal Tran Line Item'!D:D,"BLU-RAY",'Retal Tran Line Item'!H:H,A77)/J77</f>
        <v>0.77777777777777779</v>
      </c>
    </row>
    <row r="78" spans="1:12">
      <c r="A78" s="1">
        <v>224094</v>
      </c>
      <c r="B78" s="1" t="s">
        <v>338</v>
      </c>
      <c r="C78" s="1" t="s">
        <v>339</v>
      </c>
      <c r="D78" s="1" t="s">
        <v>340</v>
      </c>
      <c r="E78" s="1" t="s">
        <v>341</v>
      </c>
      <c r="F78" s="1" t="s">
        <v>342</v>
      </c>
      <c r="G78" s="2">
        <v>41343</v>
      </c>
      <c r="H78" s="1" t="b">
        <v>1</v>
      </c>
      <c r="I78" s="6" t="s">
        <v>33</v>
      </c>
      <c r="J78" s="1">
        <f>COUNTIF('Rental Transaction'!B78:B3949,A78)</f>
        <v>4</v>
      </c>
      <c r="K78" s="1">
        <f>SUMIF('Rental Transaction'!B:B,A78,'Rental Transaction'!H:H)</f>
        <v>20</v>
      </c>
      <c r="L78" s="17">
        <f>COUNTIFS('Retal Tran Line Item'!D:D,"BLU-RAY",'Retal Tran Line Item'!H:H,A78)/J78</f>
        <v>0.25</v>
      </c>
    </row>
    <row r="79" spans="1:12">
      <c r="A79" s="1">
        <v>225489</v>
      </c>
      <c r="B79" s="1" t="s">
        <v>343</v>
      </c>
      <c r="C79" s="1" t="s">
        <v>344</v>
      </c>
      <c r="D79" s="1" t="s">
        <v>345</v>
      </c>
      <c r="E79" s="1" t="s">
        <v>210</v>
      </c>
      <c r="F79" s="1" t="s">
        <v>346</v>
      </c>
      <c r="G79" s="2">
        <v>41288</v>
      </c>
      <c r="H79" s="1" t="b">
        <v>1</v>
      </c>
      <c r="I79" s="6" t="s">
        <v>33</v>
      </c>
      <c r="J79" s="1">
        <f>COUNTIF('Rental Transaction'!B79:B3950,A79)</f>
        <v>8</v>
      </c>
      <c r="K79" s="1">
        <f>SUMIF('Rental Transaction'!B:B,A79,'Rental Transaction'!H:H)</f>
        <v>67</v>
      </c>
      <c r="L79" s="17">
        <f>COUNTIFS('Retal Tran Line Item'!D:D,"BLU-RAY",'Retal Tran Line Item'!H:H,A79)/J79</f>
        <v>0.625</v>
      </c>
    </row>
    <row r="80" spans="1:12">
      <c r="A80" s="1">
        <v>226209</v>
      </c>
      <c r="B80" s="1" t="s">
        <v>98</v>
      </c>
      <c r="C80" s="1" t="s">
        <v>347</v>
      </c>
      <c r="D80" s="1" t="s">
        <v>348</v>
      </c>
      <c r="E80" s="1" t="s">
        <v>349</v>
      </c>
      <c r="F80" s="1" t="s">
        <v>350</v>
      </c>
      <c r="G80" s="2">
        <v>41345</v>
      </c>
      <c r="H80" s="1" t="b">
        <v>0</v>
      </c>
      <c r="I80" s="6" t="s">
        <v>28</v>
      </c>
      <c r="J80" s="1">
        <f>COUNTIF('Rental Transaction'!B80:B3951,A80)</f>
        <v>5</v>
      </c>
      <c r="K80" s="1">
        <f>SUMIF('Rental Transaction'!B:B,A80,'Rental Transaction'!H:H)</f>
        <v>36</v>
      </c>
      <c r="L80" s="17">
        <f>COUNTIFS('Retal Tran Line Item'!D:D,"BLU-RAY",'Retal Tran Line Item'!H:H,A80)/J80</f>
        <v>0.6</v>
      </c>
    </row>
    <row r="81" spans="1:12">
      <c r="A81" s="1">
        <v>226909</v>
      </c>
      <c r="B81" s="1" t="s">
        <v>351</v>
      </c>
      <c r="C81" s="1" t="s">
        <v>352</v>
      </c>
      <c r="D81" s="1" t="s">
        <v>353</v>
      </c>
      <c r="E81" s="1" t="s">
        <v>26</v>
      </c>
      <c r="F81" s="1" t="s">
        <v>354</v>
      </c>
      <c r="G81" s="2">
        <v>41527</v>
      </c>
      <c r="H81" s="1" t="b">
        <v>0</v>
      </c>
      <c r="I81" s="6" t="s">
        <v>33</v>
      </c>
      <c r="J81" s="1">
        <f>COUNTIF('Rental Transaction'!B81:B3952,A81)</f>
        <v>9</v>
      </c>
      <c r="K81" s="1">
        <f>SUMIF('Rental Transaction'!B:B,A81,'Rental Transaction'!H:H)</f>
        <v>86</v>
      </c>
      <c r="L81" s="17">
        <f>COUNTIFS('Retal Tran Line Item'!D:D,"BLU-RAY",'Retal Tran Line Item'!H:H,A81)/J81</f>
        <v>0.44444444444444442</v>
      </c>
    </row>
    <row r="82" spans="1:12">
      <c r="A82" s="1">
        <v>227372</v>
      </c>
      <c r="B82" s="1" t="s">
        <v>355</v>
      </c>
      <c r="C82" s="1" t="s">
        <v>356</v>
      </c>
      <c r="D82" s="1" t="s">
        <v>357</v>
      </c>
      <c r="E82" s="1" t="s">
        <v>358</v>
      </c>
      <c r="F82" s="1" t="s">
        <v>359</v>
      </c>
      <c r="G82" s="2">
        <v>41210</v>
      </c>
      <c r="H82" s="1" t="b">
        <v>0</v>
      </c>
      <c r="I82" s="6" t="s">
        <v>33</v>
      </c>
      <c r="J82" s="1">
        <f>COUNTIF('Rental Transaction'!B82:B3953,A82)</f>
        <v>8</v>
      </c>
      <c r="K82" s="1">
        <f>SUMIF('Rental Transaction'!B:B,A82,'Rental Transaction'!H:H)</f>
        <v>80</v>
      </c>
      <c r="L82" s="17">
        <f>COUNTIFS('Retal Tran Line Item'!D:D,"BLU-RAY",'Retal Tran Line Item'!H:H,A82)/J82</f>
        <v>0.625</v>
      </c>
    </row>
    <row r="83" spans="1:12">
      <c r="A83" s="1">
        <v>227456</v>
      </c>
      <c r="B83" s="1" t="s">
        <v>360</v>
      </c>
      <c r="C83" s="1" t="s">
        <v>361</v>
      </c>
      <c r="D83" s="1" t="s">
        <v>362</v>
      </c>
      <c r="E83" s="1" t="s">
        <v>26</v>
      </c>
      <c r="F83" s="1" t="s">
        <v>363</v>
      </c>
      <c r="G83" s="2">
        <v>41209</v>
      </c>
      <c r="H83" s="1" t="b">
        <v>1</v>
      </c>
      <c r="I83" s="6" t="s">
        <v>33</v>
      </c>
      <c r="J83" s="1">
        <f>COUNTIF('Rental Transaction'!B83:B3954,A83)</f>
        <v>6</v>
      </c>
      <c r="K83" s="1">
        <f>SUMIF('Rental Transaction'!B:B,A83,'Rental Transaction'!H:H)</f>
        <v>54</v>
      </c>
      <c r="L83" s="17">
        <f>COUNTIFS('Retal Tran Line Item'!D:D,"BLU-RAY",'Retal Tran Line Item'!H:H,A83)/J83</f>
        <v>0.5</v>
      </c>
    </row>
    <row r="84" spans="1:12">
      <c r="A84" s="1">
        <v>229742</v>
      </c>
      <c r="B84" s="1" t="s">
        <v>343</v>
      </c>
      <c r="C84" s="1" t="s">
        <v>364</v>
      </c>
      <c r="D84" s="1" t="s">
        <v>365</v>
      </c>
      <c r="E84" s="1" t="s">
        <v>152</v>
      </c>
      <c r="F84" s="1" t="s">
        <v>366</v>
      </c>
      <c r="G84" s="2">
        <v>41282</v>
      </c>
      <c r="H84" s="1" t="b">
        <v>1</v>
      </c>
      <c r="I84" s="6" t="s">
        <v>33</v>
      </c>
      <c r="J84" s="1">
        <f>COUNTIF('Rental Transaction'!B84:B3955,A84)</f>
        <v>4</v>
      </c>
      <c r="K84" s="1">
        <f>SUMIF('Rental Transaction'!B:B,A84,'Rental Transaction'!H:H)</f>
        <v>47</v>
      </c>
      <c r="L84" s="17">
        <f>COUNTIFS('Retal Tran Line Item'!D:D,"BLU-RAY",'Retal Tran Line Item'!H:H,A84)/J84</f>
        <v>0.75</v>
      </c>
    </row>
    <row r="85" spans="1:12">
      <c r="A85" s="1">
        <v>230467</v>
      </c>
      <c r="B85" s="1" t="s">
        <v>367</v>
      </c>
      <c r="C85" s="1" t="s">
        <v>368</v>
      </c>
      <c r="D85" s="1" t="s">
        <v>369</v>
      </c>
      <c r="E85" s="1" t="s">
        <v>26</v>
      </c>
      <c r="F85" s="1" t="s">
        <v>370</v>
      </c>
      <c r="G85" s="2">
        <v>41489</v>
      </c>
      <c r="H85" s="1" t="b">
        <v>1</v>
      </c>
      <c r="I85" s="6" t="s">
        <v>28</v>
      </c>
      <c r="J85" s="1">
        <f>COUNTIF('Rental Transaction'!B85:B3956,A85)</f>
        <v>6</v>
      </c>
      <c r="K85" s="1">
        <f>SUMIF('Rental Transaction'!B:B,A85,'Rental Transaction'!H:H)</f>
        <v>37</v>
      </c>
      <c r="L85" s="17">
        <f>COUNTIFS('Retal Tran Line Item'!D:D,"BLU-RAY",'Retal Tran Line Item'!H:H,A85)/J85</f>
        <v>0.66666666666666663</v>
      </c>
    </row>
    <row r="86" spans="1:12">
      <c r="A86" s="1">
        <v>230602</v>
      </c>
      <c r="B86" s="1" t="s">
        <v>371</v>
      </c>
      <c r="C86" s="1" t="s">
        <v>79</v>
      </c>
      <c r="D86" s="1" t="s">
        <v>372</v>
      </c>
      <c r="E86" s="1" t="s">
        <v>26</v>
      </c>
      <c r="F86" s="1" t="s">
        <v>373</v>
      </c>
      <c r="G86" s="2">
        <v>41236</v>
      </c>
      <c r="H86" s="1" t="b">
        <v>1</v>
      </c>
      <c r="I86" s="6" t="s">
        <v>33</v>
      </c>
      <c r="J86" s="1">
        <f>COUNTIF('Rental Transaction'!B86:B3957,A86)</f>
        <v>8</v>
      </c>
      <c r="K86" s="1">
        <f>SUMIF('Rental Transaction'!B:B,A86,'Rental Transaction'!H:H)</f>
        <v>59</v>
      </c>
      <c r="L86" s="17">
        <f>COUNTIFS('Retal Tran Line Item'!D:D,"BLU-RAY",'Retal Tran Line Item'!H:H,A86)/J86</f>
        <v>0.625</v>
      </c>
    </row>
    <row r="87" spans="1:12">
      <c r="A87" s="1">
        <v>231615</v>
      </c>
      <c r="B87" s="1" t="s">
        <v>374</v>
      </c>
      <c r="C87" s="1" t="s">
        <v>375</v>
      </c>
      <c r="D87" s="1" t="s">
        <v>376</v>
      </c>
      <c r="E87" s="1" t="s">
        <v>26</v>
      </c>
      <c r="F87" s="1" t="s">
        <v>377</v>
      </c>
      <c r="G87" s="2">
        <v>41508</v>
      </c>
      <c r="H87" s="1" t="b">
        <v>0</v>
      </c>
      <c r="I87" s="6" t="s">
        <v>28</v>
      </c>
      <c r="J87" s="1">
        <f>COUNTIF('Rental Transaction'!B87:B3958,A87)</f>
        <v>7</v>
      </c>
      <c r="K87" s="1">
        <f>SUMIF('Rental Transaction'!B:B,A87,'Rental Transaction'!H:H)</f>
        <v>46</v>
      </c>
      <c r="L87" s="17">
        <f>COUNTIFS('Retal Tran Line Item'!D:D,"BLU-RAY",'Retal Tran Line Item'!H:H,A87)/J87</f>
        <v>0</v>
      </c>
    </row>
    <row r="88" spans="1:12">
      <c r="A88" s="1">
        <v>233813</v>
      </c>
      <c r="B88" s="1" t="s">
        <v>378</v>
      </c>
      <c r="C88" s="1" t="s">
        <v>379</v>
      </c>
      <c r="D88" s="1" t="s">
        <v>380</v>
      </c>
      <c r="E88" s="1" t="s">
        <v>26</v>
      </c>
      <c r="F88" s="1" t="s">
        <v>381</v>
      </c>
      <c r="G88" s="2">
        <v>41448</v>
      </c>
      <c r="H88" s="1" t="b">
        <v>0</v>
      </c>
      <c r="I88" s="6" t="s">
        <v>28</v>
      </c>
      <c r="J88" s="1">
        <f>COUNTIF('Rental Transaction'!B88:B3959,A88)</f>
        <v>6</v>
      </c>
      <c r="K88" s="1">
        <f>SUMIF('Rental Transaction'!B:B,A88,'Rental Transaction'!H:H)</f>
        <v>53</v>
      </c>
      <c r="L88" s="17">
        <f>COUNTIFS('Retal Tran Line Item'!D:D,"BLU-RAY",'Retal Tran Line Item'!H:H,A88)/J88</f>
        <v>0.66666666666666663</v>
      </c>
    </row>
    <row r="89" spans="1:12">
      <c r="A89" s="1">
        <v>233956</v>
      </c>
      <c r="B89" s="1" t="s">
        <v>382</v>
      </c>
      <c r="C89" s="1" t="s">
        <v>383</v>
      </c>
      <c r="D89" s="1" t="s">
        <v>384</v>
      </c>
      <c r="E89" s="1" t="s">
        <v>358</v>
      </c>
      <c r="F89" s="1" t="s">
        <v>385</v>
      </c>
      <c r="G89" s="2">
        <v>41289</v>
      </c>
      <c r="H89" s="1" t="b">
        <v>0</v>
      </c>
      <c r="I89" s="6" t="s">
        <v>28</v>
      </c>
      <c r="J89" s="1">
        <f>COUNTIF('Rental Transaction'!B89:B3960,A89)</f>
        <v>6</v>
      </c>
      <c r="K89" s="1">
        <f>SUMIF('Rental Transaction'!B:B,A89,'Rental Transaction'!H:H)</f>
        <v>44</v>
      </c>
      <c r="L89" s="17">
        <f>COUNTIFS('Retal Tran Line Item'!D:D,"BLU-RAY",'Retal Tran Line Item'!H:H,A89)/J89</f>
        <v>0.66666666666666663</v>
      </c>
    </row>
    <row r="90" spans="1:12">
      <c r="A90" s="1">
        <v>235720</v>
      </c>
      <c r="B90" s="1" t="s">
        <v>386</v>
      </c>
      <c r="C90" s="1" t="s">
        <v>387</v>
      </c>
      <c r="D90" s="1" t="s">
        <v>388</v>
      </c>
      <c r="E90" s="1" t="s">
        <v>26</v>
      </c>
      <c r="F90" s="1" t="s">
        <v>389</v>
      </c>
      <c r="G90" s="2">
        <v>41502</v>
      </c>
      <c r="H90" s="1" t="b">
        <v>0</v>
      </c>
      <c r="I90" s="6" t="s">
        <v>28</v>
      </c>
      <c r="J90" s="1">
        <f>COUNTIF('Rental Transaction'!B90:B3961,A90)</f>
        <v>8</v>
      </c>
      <c r="K90" s="1">
        <f>SUMIF('Rental Transaction'!B:B,A90,'Rental Transaction'!H:H)</f>
        <v>72</v>
      </c>
      <c r="L90" s="17">
        <f>COUNTIFS('Retal Tran Line Item'!D:D,"BLU-RAY",'Retal Tran Line Item'!H:H,A90)/J90</f>
        <v>0.5</v>
      </c>
    </row>
    <row r="91" spans="1:12">
      <c r="A91" s="1">
        <v>236554</v>
      </c>
      <c r="B91" s="1" t="s">
        <v>390</v>
      </c>
      <c r="C91" s="1" t="s">
        <v>391</v>
      </c>
      <c r="D91" s="1" t="s">
        <v>392</v>
      </c>
      <c r="E91" s="1" t="s">
        <v>26</v>
      </c>
      <c r="F91" s="1" t="s">
        <v>393</v>
      </c>
      <c r="G91" s="2">
        <v>41383</v>
      </c>
      <c r="H91" s="1" t="b">
        <v>0</v>
      </c>
      <c r="I91" s="6" t="s">
        <v>28</v>
      </c>
      <c r="J91" s="1">
        <f>COUNTIF('Rental Transaction'!B91:B3962,A91)</f>
        <v>8</v>
      </c>
      <c r="K91" s="1">
        <f>SUMIF('Rental Transaction'!B:B,A91,'Rental Transaction'!H:H)</f>
        <v>87</v>
      </c>
      <c r="L91" s="17">
        <f>COUNTIFS('Retal Tran Line Item'!D:D,"BLU-RAY",'Retal Tran Line Item'!H:H,A91)/J91</f>
        <v>0.875</v>
      </c>
    </row>
    <row r="92" spans="1:12">
      <c r="A92" s="1">
        <v>238347</v>
      </c>
      <c r="B92" s="1" t="s">
        <v>394</v>
      </c>
      <c r="C92" s="1" t="s">
        <v>395</v>
      </c>
      <c r="D92" s="1" t="s">
        <v>396</v>
      </c>
      <c r="E92" s="1" t="s">
        <v>26</v>
      </c>
      <c r="F92" s="1" t="s">
        <v>397</v>
      </c>
      <c r="G92" s="2">
        <v>41206</v>
      </c>
      <c r="H92" s="1" t="b">
        <v>1</v>
      </c>
      <c r="I92" s="6" t="s">
        <v>33</v>
      </c>
      <c r="J92" s="1">
        <f>COUNTIF('Rental Transaction'!B92:B3963,A92)</f>
        <v>6</v>
      </c>
      <c r="K92" s="1">
        <f>SUMIF('Rental Transaction'!B:B,A92,'Rental Transaction'!H:H)</f>
        <v>66</v>
      </c>
      <c r="L92" s="17">
        <f>COUNTIFS('Retal Tran Line Item'!D:D,"BLU-RAY",'Retal Tran Line Item'!H:H,A92)/J92</f>
        <v>0.66666666666666663</v>
      </c>
    </row>
    <row r="93" spans="1:12">
      <c r="A93" s="1">
        <v>240205</v>
      </c>
      <c r="B93" s="1" t="s">
        <v>53</v>
      </c>
      <c r="C93" s="1" t="s">
        <v>398</v>
      </c>
      <c r="D93" s="1" t="s">
        <v>399</v>
      </c>
      <c r="E93" s="1" t="s">
        <v>26</v>
      </c>
      <c r="F93" s="1" t="s">
        <v>400</v>
      </c>
      <c r="G93" s="2">
        <v>41157</v>
      </c>
      <c r="H93" s="1" t="b">
        <v>1</v>
      </c>
      <c r="I93" s="6" t="s">
        <v>33</v>
      </c>
      <c r="J93" s="1">
        <f>COUNTIF('Rental Transaction'!B93:B3964,A93)</f>
        <v>6</v>
      </c>
      <c r="K93" s="1">
        <f>SUMIF('Rental Transaction'!B:B,A93,'Rental Transaction'!H:H)</f>
        <v>45</v>
      </c>
      <c r="L93" s="17">
        <f>COUNTIFS('Retal Tran Line Item'!D:D,"BLU-RAY",'Retal Tran Line Item'!H:H,A93)/J93</f>
        <v>0.16666666666666666</v>
      </c>
    </row>
    <row r="94" spans="1:12">
      <c r="A94" s="1">
        <v>241144</v>
      </c>
      <c r="B94" s="1" t="s">
        <v>401</v>
      </c>
      <c r="C94" s="1" t="s">
        <v>402</v>
      </c>
      <c r="D94" s="1" t="s">
        <v>403</v>
      </c>
      <c r="E94" s="1" t="s">
        <v>26</v>
      </c>
      <c r="F94" s="1" t="s">
        <v>404</v>
      </c>
      <c r="G94" s="2">
        <v>41458</v>
      </c>
      <c r="H94" s="1" t="b">
        <v>0</v>
      </c>
      <c r="I94" s="6" t="s">
        <v>33</v>
      </c>
      <c r="J94" s="1">
        <f>COUNTIF('Rental Transaction'!B94:B3965,A94)</f>
        <v>5</v>
      </c>
      <c r="K94" s="1">
        <f>SUMIF('Rental Transaction'!B:B,A94,'Rental Transaction'!H:H)</f>
        <v>48</v>
      </c>
      <c r="L94" s="17">
        <f>COUNTIFS('Retal Tran Line Item'!D:D,"BLU-RAY",'Retal Tran Line Item'!H:H,A94)/J94</f>
        <v>0.2</v>
      </c>
    </row>
    <row r="95" spans="1:12">
      <c r="A95" s="1">
        <v>242720</v>
      </c>
      <c r="B95" s="1" t="s">
        <v>405</v>
      </c>
      <c r="C95" s="1" t="s">
        <v>406</v>
      </c>
      <c r="D95" s="1" t="s">
        <v>407</v>
      </c>
      <c r="E95" s="1" t="s">
        <v>309</v>
      </c>
      <c r="F95" s="1" t="s">
        <v>408</v>
      </c>
      <c r="G95" s="2">
        <v>41357</v>
      </c>
      <c r="H95" s="1" t="b">
        <v>1</v>
      </c>
      <c r="I95" s="6" t="s">
        <v>28</v>
      </c>
      <c r="J95" s="1">
        <f>COUNTIF('Rental Transaction'!B95:B3966,A95)</f>
        <v>14</v>
      </c>
      <c r="K95" s="1">
        <f>SUMIF('Rental Transaction'!B:B,A95,'Rental Transaction'!H:H)</f>
        <v>132</v>
      </c>
      <c r="L95" s="17">
        <f>COUNTIFS('Retal Tran Line Item'!D:D,"BLU-RAY",'Retal Tran Line Item'!H:H,A95)/J95</f>
        <v>0.6428571428571429</v>
      </c>
    </row>
    <row r="96" spans="1:12">
      <c r="A96" s="1">
        <v>244282</v>
      </c>
      <c r="B96" s="1" t="s">
        <v>409</v>
      </c>
      <c r="C96" s="1" t="s">
        <v>179</v>
      </c>
      <c r="D96" s="1" t="s">
        <v>410</v>
      </c>
      <c r="E96" s="1" t="s">
        <v>26</v>
      </c>
      <c r="F96" s="1" t="s">
        <v>411</v>
      </c>
      <c r="G96" s="2">
        <v>41290</v>
      </c>
      <c r="H96" s="1" t="b">
        <v>0</v>
      </c>
      <c r="I96" s="6" t="s">
        <v>33</v>
      </c>
      <c r="J96" s="1">
        <f>COUNTIF('Rental Transaction'!B96:B3967,A96)</f>
        <v>5</v>
      </c>
      <c r="K96" s="1">
        <f>SUMIF('Rental Transaction'!B:B,A96,'Rental Transaction'!H:H)</f>
        <v>44</v>
      </c>
      <c r="L96" s="17">
        <f>COUNTIFS('Retal Tran Line Item'!D:D,"BLU-RAY",'Retal Tran Line Item'!H:H,A96)/J96</f>
        <v>0.6</v>
      </c>
    </row>
    <row r="97" spans="1:12">
      <c r="A97" s="1">
        <v>245577</v>
      </c>
      <c r="B97" s="1" t="s">
        <v>39</v>
      </c>
      <c r="C97" s="1" t="s">
        <v>412</v>
      </c>
      <c r="D97" s="1" t="s">
        <v>413</v>
      </c>
      <c r="E97" s="1" t="s">
        <v>26</v>
      </c>
      <c r="F97" s="1" t="s">
        <v>414</v>
      </c>
      <c r="G97" s="2">
        <v>41294</v>
      </c>
      <c r="H97" s="1" t="b">
        <v>0</v>
      </c>
      <c r="I97" s="6" t="s">
        <v>28</v>
      </c>
      <c r="J97" s="1">
        <f>COUNTIF('Rental Transaction'!B97:B3968,A97)</f>
        <v>10</v>
      </c>
      <c r="K97" s="1">
        <f>SUMIF('Rental Transaction'!B:B,A97,'Rental Transaction'!H:H)</f>
        <v>80</v>
      </c>
      <c r="L97" s="17">
        <f>COUNTIFS('Retal Tran Line Item'!D:D,"BLU-RAY",'Retal Tran Line Item'!H:H,A97)/J97</f>
        <v>0.3</v>
      </c>
    </row>
    <row r="98" spans="1:12">
      <c r="A98" s="1">
        <v>247216</v>
      </c>
      <c r="B98" s="1" t="s">
        <v>415</v>
      </c>
      <c r="C98" s="1" t="s">
        <v>416</v>
      </c>
      <c r="D98" s="1" t="s">
        <v>417</v>
      </c>
      <c r="E98" s="1" t="s">
        <v>26</v>
      </c>
      <c r="F98" s="1" t="s">
        <v>418</v>
      </c>
      <c r="G98" s="2">
        <v>41246</v>
      </c>
      <c r="H98" s="1" t="b">
        <v>1</v>
      </c>
      <c r="I98" s="6" t="s">
        <v>33</v>
      </c>
      <c r="J98" s="1">
        <f>COUNTIF('Rental Transaction'!B98:B3969,A98)</f>
        <v>8</v>
      </c>
      <c r="K98" s="1">
        <f>SUMIF('Rental Transaction'!B:B,A98,'Rental Transaction'!H:H)</f>
        <v>66</v>
      </c>
      <c r="L98" s="17">
        <f>COUNTIFS('Retal Tran Line Item'!D:D,"BLU-RAY",'Retal Tran Line Item'!H:H,A98)/J98</f>
        <v>0.75</v>
      </c>
    </row>
    <row r="99" spans="1:12">
      <c r="A99" s="1">
        <v>249188</v>
      </c>
      <c r="B99" s="1" t="s">
        <v>419</v>
      </c>
      <c r="C99" s="1" t="s">
        <v>420</v>
      </c>
      <c r="D99" s="1" t="s">
        <v>421</v>
      </c>
      <c r="E99" s="1" t="s">
        <v>37</v>
      </c>
      <c r="F99" s="1" t="s">
        <v>422</v>
      </c>
      <c r="G99" s="2">
        <v>41349</v>
      </c>
      <c r="H99" s="1" t="b">
        <v>1</v>
      </c>
      <c r="I99" s="6" t="s">
        <v>28</v>
      </c>
      <c r="J99" s="1">
        <f>COUNTIF('Rental Transaction'!B99:B3970,A99)</f>
        <v>8</v>
      </c>
      <c r="K99" s="1">
        <f>SUMIF('Rental Transaction'!B:B,A99,'Rental Transaction'!H:H)</f>
        <v>57</v>
      </c>
      <c r="L99" s="17">
        <f>COUNTIFS('Retal Tran Line Item'!D:D,"BLU-RAY",'Retal Tran Line Item'!H:H,A99)/J99</f>
        <v>0.625</v>
      </c>
    </row>
    <row r="100" spans="1:12">
      <c r="A100" s="1">
        <v>249779</v>
      </c>
      <c r="B100" s="1" t="s">
        <v>423</v>
      </c>
      <c r="C100" s="1" t="s">
        <v>424</v>
      </c>
      <c r="D100" s="1" t="s">
        <v>425</v>
      </c>
      <c r="E100" s="1" t="s">
        <v>341</v>
      </c>
      <c r="F100" s="1" t="s">
        <v>426</v>
      </c>
      <c r="G100" s="2">
        <v>41420</v>
      </c>
      <c r="H100" s="1" t="b">
        <v>0</v>
      </c>
      <c r="I100" s="6" t="s">
        <v>28</v>
      </c>
      <c r="J100" s="1">
        <f>COUNTIF('Rental Transaction'!B100:B3971,A100)</f>
        <v>11</v>
      </c>
      <c r="K100" s="1">
        <f>SUMIF('Rental Transaction'!B:B,A100,'Rental Transaction'!H:H)</f>
        <v>82</v>
      </c>
      <c r="L100" s="17">
        <f>COUNTIFS('Retal Tran Line Item'!D:D,"BLU-RAY",'Retal Tran Line Item'!H:H,A100)/J100</f>
        <v>0.54545454545454541</v>
      </c>
    </row>
    <row r="101" spans="1:12">
      <c r="A101" s="1">
        <v>250266</v>
      </c>
      <c r="B101" s="1" t="s">
        <v>427</v>
      </c>
      <c r="C101" s="1" t="s">
        <v>428</v>
      </c>
      <c r="D101" s="1" t="s">
        <v>429</v>
      </c>
      <c r="E101" s="1" t="s">
        <v>26</v>
      </c>
      <c r="F101" s="1" t="s">
        <v>430</v>
      </c>
      <c r="G101" s="2">
        <v>41326</v>
      </c>
      <c r="H101" s="1" t="b">
        <v>0</v>
      </c>
      <c r="I101" s="6" t="s">
        <v>33</v>
      </c>
      <c r="J101" s="1">
        <f>COUNTIF('Rental Transaction'!B101:B3972,A101)</f>
        <v>6</v>
      </c>
      <c r="K101" s="1">
        <f>SUMIF('Rental Transaction'!B:B,A101,'Rental Transaction'!H:H)</f>
        <v>64</v>
      </c>
      <c r="L101" s="17">
        <f>COUNTIFS('Retal Tran Line Item'!D:D,"BLU-RAY",'Retal Tran Line Item'!H:H,A101)/J101</f>
        <v>0.33333333333333331</v>
      </c>
    </row>
    <row r="102" spans="1:12">
      <c r="A102" s="1">
        <v>253106</v>
      </c>
      <c r="B102" s="1" t="s">
        <v>394</v>
      </c>
      <c r="C102" s="1" t="s">
        <v>431</v>
      </c>
      <c r="D102" s="1" t="s">
        <v>432</v>
      </c>
      <c r="E102" s="1" t="s">
        <v>26</v>
      </c>
      <c r="F102" s="1" t="s">
        <v>433</v>
      </c>
      <c r="G102" s="2">
        <v>41406</v>
      </c>
      <c r="H102" s="1" t="b">
        <v>0</v>
      </c>
      <c r="I102" s="6" t="s">
        <v>33</v>
      </c>
      <c r="J102" s="1">
        <f>COUNTIF('Rental Transaction'!B102:B3973,A102)</f>
        <v>12</v>
      </c>
      <c r="K102" s="1">
        <f>SUMIF('Rental Transaction'!B:B,A102,'Rental Transaction'!H:H)</f>
        <v>65</v>
      </c>
      <c r="L102" s="17">
        <f>COUNTIFS('Retal Tran Line Item'!D:D,"BLU-RAY",'Retal Tran Line Item'!H:H,A102)/J102</f>
        <v>0.66666666666666663</v>
      </c>
    </row>
    <row r="103" spans="1:12">
      <c r="A103" s="1">
        <v>256181</v>
      </c>
      <c r="B103" s="1" t="s">
        <v>434</v>
      </c>
      <c r="C103" s="1" t="s">
        <v>435</v>
      </c>
      <c r="D103" s="1" t="s">
        <v>436</v>
      </c>
      <c r="E103" s="1" t="s">
        <v>26</v>
      </c>
      <c r="F103" s="1" t="s">
        <v>437</v>
      </c>
      <c r="G103" s="2">
        <v>41165</v>
      </c>
      <c r="H103" s="1" t="b">
        <v>0</v>
      </c>
      <c r="I103" s="6" t="s">
        <v>28</v>
      </c>
      <c r="J103" s="1">
        <f>COUNTIF('Rental Transaction'!B103:B3974,A103)</f>
        <v>8</v>
      </c>
      <c r="K103" s="1">
        <f>SUMIF('Rental Transaction'!B:B,A103,'Rental Transaction'!H:H)</f>
        <v>80</v>
      </c>
      <c r="L103" s="17">
        <f>COUNTIFS('Retal Tran Line Item'!D:D,"BLU-RAY",'Retal Tran Line Item'!H:H,A103)/J103</f>
        <v>0.625</v>
      </c>
    </row>
    <row r="104" spans="1:12">
      <c r="A104" s="1">
        <v>262579</v>
      </c>
      <c r="B104" s="1" t="s">
        <v>438</v>
      </c>
      <c r="C104" s="1" t="s">
        <v>302</v>
      </c>
      <c r="D104" s="1" t="s">
        <v>439</v>
      </c>
      <c r="E104" s="1" t="s">
        <v>228</v>
      </c>
      <c r="F104" s="1" t="s">
        <v>440</v>
      </c>
      <c r="G104" s="2">
        <v>41422</v>
      </c>
      <c r="H104" s="1" t="b">
        <v>1</v>
      </c>
      <c r="I104" s="6" t="s">
        <v>33</v>
      </c>
      <c r="J104" s="1">
        <f>COUNTIF('Rental Transaction'!B104:B3975,A104)</f>
        <v>5</v>
      </c>
      <c r="K104" s="1">
        <f>SUMIF('Rental Transaction'!B:B,A104,'Rental Transaction'!H:H)</f>
        <v>44</v>
      </c>
      <c r="L104" s="17">
        <f>COUNTIFS('Retal Tran Line Item'!D:D,"BLU-RAY",'Retal Tran Line Item'!H:H,A104)/J104</f>
        <v>0</v>
      </c>
    </row>
    <row r="105" spans="1:12">
      <c r="A105" s="1">
        <v>262638</v>
      </c>
      <c r="B105" s="1" t="s">
        <v>441</v>
      </c>
      <c r="C105" s="1" t="s">
        <v>442</v>
      </c>
      <c r="D105" s="1" t="s">
        <v>443</v>
      </c>
      <c r="E105" s="1" t="s">
        <v>26</v>
      </c>
      <c r="F105" s="1" t="s">
        <v>444</v>
      </c>
      <c r="G105" s="2">
        <v>41482</v>
      </c>
      <c r="H105" s="1" t="b">
        <v>1</v>
      </c>
      <c r="I105" s="6" t="s">
        <v>28</v>
      </c>
      <c r="J105" s="1">
        <f>COUNTIF('Rental Transaction'!B105:B3976,A105)</f>
        <v>6</v>
      </c>
      <c r="K105" s="1">
        <f>SUMIF('Rental Transaction'!B:B,A105,'Rental Transaction'!H:H)</f>
        <v>53</v>
      </c>
      <c r="L105" s="17">
        <f>COUNTIFS('Retal Tran Line Item'!D:D,"BLU-RAY",'Retal Tran Line Item'!H:H,A105)/J105</f>
        <v>0.5</v>
      </c>
    </row>
    <row r="106" spans="1:12">
      <c r="A106" s="1">
        <v>265133</v>
      </c>
      <c r="B106" s="1" t="s">
        <v>445</v>
      </c>
      <c r="C106" s="1" t="s">
        <v>446</v>
      </c>
      <c r="D106" s="1" t="s">
        <v>447</v>
      </c>
      <c r="E106" s="1" t="s">
        <v>26</v>
      </c>
      <c r="F106" s="1" t="s">
        <v>448</v>
      </c>
      <c r="G106" s="2">
        <v>41179</v>
      </c>
      <c r="H106" s="1" t="b">
        <v>1</v>
      </c>
      <c r="I106" s="6" t="s">
        <v>33</v>
      </c>
      <c r="J106" s="1">
        <f>COUNTIF('Rental Transaction'!B106:B3977,A106)</f>
        <v>4</v>
      </c>
      <c r="K106" s="1">
        <f>SUMIF('Rental Transaction'!B:B,A106,'Rental Transaction'!H:H)</f>
        <v>54</v>
      </c>
      <c r="L106" s="17">
        <f>COUNTIFS('Retal Tran Line Item'!D:D,"BLU-RAY",'Retal Tran Line Item'!H:H,A106)/J106</f>
        <v>0.25</v>
      </c>
    </row>
    <row r="107" spans="1:12">
      <c r="A107" s="1">
        <v>265339</v>
      </c>
      <c r="B107" s="1" t="s">
        <v>449</v>
      </c>
      <c r="C107" s="1" t="s">
        <v>450</v>
      </c>
      <c r="D107" s="1" t="s">
        <v>451</v>
      </c>
      <c r="E107" s="1" t="s">
        <v>26</v>
      </c>
      <c r="F107" s="1" t="s">
        <v>452</v>
      </c>
      <c r="G107" s="2">
        <v>41385</v>
      </c>
      <c r="H107" s="1" t="b">
        <v>1</v>
      </c>
      <c r="I107" s="6" t="s">
        <v>33</v>
      </c>
      <c r="J107" s="1">
        <f>COUNTIF('Rental Transaction'!B107:B3978,A107)</f>
        <v>5</v>
      </c>
      <c r="K107" s="1">
        <f>SUMIF('Rental Transaction'!B:B,A107,'Rental Transaction'!H:H)</f>
        <v>48</v>
      </c>
      <c r="L107" s="17">
        <f>COUNTIFS('Retal Tran Line Item'!D:D,"BLU-RAY",'Retal Tran Line Item'!H:H,A107)/J107</f>
        <v>0.6</v>
      </c>
    </row>
    <row r="108" spans="1:12">
      <c r="A108" s="1">
        <v>265707</v>
      </c>
      <c r="B108" s="1" t="s">
        <v>453</v>
      </c>
      <c r="C108" s="1" t="s">
        <v>454</v>
      </c>
      <c r="D108" s="1" t="s">
        <v>455</v>
      </c>
      <c r="E108" s="1" t="s">
        <v>26</v>
      </c>
      <c r="F108" s="1" t="s">
        <v>456</v>
      </c>
      <c r="G108" s="2">
        <v>41263</v>
      </c>
      <c r="H108" s="1" t="b">
        <v>1</v>
      </c>
      <c r="I108" s="6" t="s">
        <v>28</v>
      </c>
      <c r="J108" s="1">
        <f>COUNTIF('Rental Transaction'!B108:B3979,A108)</f>
        <v>9</v>
      </c>
      <c r="K108" s="1">
        <f>SUMIF('Rental Transaction'!B:B,A108,'Rental Transaction'!H:H)</f>
        <v>74</v>
      </c>
      <c r="L108" s="17">
        <f>COUNTIFS('Retal Tran Line Item'!D:D,"BLU-RAY",'Retal Tran Line Item'!H:H,A108)/J108</f>
        <v>0.44444444444444442</v>
      </c>
    </row>
    <row r="109" spans="1:12">
      <c r="A109" s="1">
        <v>266633</v>
      </c>
      <c r="B109" s="1" t="s">
        <v>457</v>
      </c>
      <c r="C109" s="1" t="s">
        <v>458</v>
      </c>
      <c r="D109" s="1" t="s">
        <v>459</v>
      </c>
      <c r="E109" s="1" t="s">
        <v>26</v>
      </c>
      <c r="F109" s="1" t="s">
        <v>460</v>
      </c>
      <c r="G109" s="2">
        <v>41364</v>
      </c>
      <c r="H109" s="1" t="b">
        <v>0</v>
      </c>
      <c r="I109" s="6" t="s">
        <v>28</v>
      </c>
      <c r="J109" s="1">
        <f>COUNTIF('Rental Transaction'!B109:B3980,A109)</f>
        <v>6</v>
      </c>
      <c r="K109" s="1">
        <f>SUMIF('Rental Transaction'!B:B,A109,'Rental Transaction'!H:H)</f>
        <v>43</v>
      </c>
      <c r="L109" s="17">
        <f>COUNTIFS('Retal Tran Line Item'!D:D,"BLU-RAY",'Retal Tran Line Item'!H:H,A109)/J109</f>
        <v>0.66666666666666663</v>
      </c>
    </row>
    <row r="110" spans="1:12">
      <c r="A110" s="1">
        <v>267632</v>
      </c>
      <c r="B110" s="1" t="s">
        <v>405</v>
      </c>
      <c r="C110" s="1" t="s">
        <v>461</v>
      </c>
      <c r="D110" s="1" t="s">
        <v>462</v>
      </c>
      <c r="E110" s="1" t="s">
        <v>26</v>
      </c>
      <c r="F110" s="1" t="s">
        <v>463</v>
      </c>
      <c r="G110" s="2">
        <v>41431</v>
      </c>
      <c r="H110" s="1" t="b">
        <v>1</v>
      </c>
      <c r="I110" s="6" t="s">
        <v>28</v>
      </c>
      <c r="J110" s="1">
        <f>COUNTIF('Rental Transaction'!B110:B3981,A110)</f>
        <v>7</v>
      </c>
      <c r="K110" s="1">
        <f>SUMIF('Rental Transaction'!B:B,A110,'Rental Transaction'!H:H)</f>
        <v>63</v>
      </c>
      <c r="L110" s="17">
        <f>COUNTIFS('Retal Tran Line Item'!D:D,"BLU-RAY",'Retal Tran Line Item'!H:H,A110)/J110</f>
        <v>0.5714285714285714</v>
      </c>
    </row>
    <row r="111" spans="1:12">
      <c r="A111" s="1">
        <v>269687</v>
      </c>
      <c r="B111" s="1" t="s">
        <v>423</v>
      </c>
      <c r="C111" s="1" t="s">
        <v>464</v>
      </c>
      <c r="D111" s="1" t="s">
        <v>465</v>
      </c>
      <c r="E111" s="1" t="s">
        <v>51</v>
      </c>
      <c r="F111" s="1" t="s">
        <v>466</v>
      </c>
      <c r="G111" s="2">
        <v>41092</v>
      </c>
      <c r="H111" s="1" t="b">
        <v>1</v>
      </c>
      <c r="I111" s="6" t="s">
        <v>28</v>
      </c>
      <c r="J111" s="1">
        <f>COUNTIF('Rental Transaction'!B111:B3982,A111)</f>
        <v>6</v>
      </c>
      <c r="K111" s="1">
        <f>SUMIF('Rental Transaction'!B:B,A111,'Rental Transaction'!H:H)</f>
        <v>62</v>
      </c>
      <c r="L111" s="17">
        <f>COUNTIFS('Retal Tran Line Item'!D:D,"BLU-RAY",'Retal Tran Line Item'!H:H,A111)/J111</f>
        <v>0.33333333333333331</v>
      </c>
    </row>
    <row r="112" spans="1:12">
      <c r="A112" s="1">
        <v>270853</v>
      </c>
      <c r="B112" s="1" t="s">
        <v>467</v>
      </c>
      <c r="C112" s="1" t="s">
        <v>243</v>
      </c>
      <c r="D112" s="1" t="s">
        <v>468</v>
      </c>
      <c r="E112" s="1" t="s">
        <v>26</v>
      </c>
      <c r="F112" s="1" t="s">
        <v>469</v>
      </c>
      <c r="G112" s="2">
        <v>41475</v>
      </c>
      <c r="H112" s="1" t="b">
        <v>0</v>
      </c>
      <c r="I112" s="6" t="s">
        <v>33</v>
      </c>
      <c r="J112" s="1">
        <f>COUNTIF('Rental Transaction'!B112:B3983,A112)</f>
        <v>10</v>
      </c>
      <c r="K112" s="1">
        <f>SUMIF('Rental Transaction'!B:B,A112,'Rental Transaction'!H:H)</f>
        <v>98</v>
      </c>
      <c r="L112" s="17">
        <f>COUNTIFS('Retal Tran Line Item'!D:D,"BLU-RAY",'Retal Tran Line Item'!H:H,A112)/J112</f>
        <v>0.2</v>
      </c>
    </row>
    <row r="113" spans="1:12">
      <c r="A113" s="1">
        <v>271531</v>
      </c>
      <c r="B113" s="1" t="s">
        <v>427</v>
      </c>
      <c r="C113" s="1" t="s">
        <v>470</v>
      </c>
      <c r="D113" s="1" t="s">
        <v>471</v>
      </c>
      <c r="E113" s="1" t="s">
        <v>26</v>
      </c>
      <c r="F113" s="1" t="s">
        <v>472</v>
      </c>
      <c r="G113" s="2">
        <v>41397</v>
      </c>
      <c r="H113" s="1" t="b">
        <v>1</v>
      </c>
      <c r="I113" s="6" t="s">
        <v>33</v>
      </c>
      <c r="J113" s="1">
        <f>COUNTIF('Rental Transaction'!B113:B3984,A113)</f>
        <v>5</v>
      </c>
      <c r="K113" s="1">
        <f>SUMIF('Rental Transaction'!B:B,A113,'Rental Transaction'!H:H)</f>
        <v>47</v>
      </c>
      <c r="L113" s="17">
        <f>COUNTIFS('Retal Tran Line Item'!D:D,"BLU-RAY",'Retal Tran Line Item'!H:H,A113)/J113</f>
        <v>0.8</v>
      </c>
    </row>
    <row r="114" spans="1:12">
      <c r="A114" s="1">
        <v>274541</v>
      </c>
      <c r="B114" s="1" t="s">
        <v>473</v>
      </c>
      <c r="C114" s="1" t="s">
        <v>474</v>
      </c>
      <c r="D114" s="1" t="s">
        <v>475</v>
      </c>
      <c r="E114" s="1" t="s">
        <v>26</v>
      </c>
      <c r="F114" s="1" t="s">
        <v>476</v>
      </c>
      <c r="G114" s="2">
        <v>41121</v>
      </c>
      <c r="H114" s="1" t="b">
        <v>1</v>
      </c>
      <c r="I114" s="6" t="s">
        <v>33</v>
      </c>
      <c r="J114" s="1">
        <f>COUNTIF('Rental Transaction'!B114:B3985,A114)</f>
        <v>6</v>
      </c>
      <c r="K114" s="1">
        <f>SUMIF('Rental Transaction'!B:B,A114,'Rental Transaction'!H:H)</f>
        <v>52</v>
      </c>
      <c r="L114" s="17">
        <f>COUNTIFS('Retal Tran Line Item'!D:D,"BLU-RAY",'Retal Tran Line Item'!H:H,A114)/J114</f>
        <v>0.83333333333333337</v>
      </c>
    </row>
    <row r="115" spans="1:12">
      <c r="A115" s="1">
        <v>275152</v>
      </c>
      <c r="B115" s="1" t="s">
        <v>306</v>
      </c>
      <c r="C115" s="1" t="s">
        <v>477</v>
      </c>
      <c r="D115" s="1" t="s">
        <v>478</v>
      </c>
      <c r="E115" s="1" t="s">
        <v>26</v>
      </c>
      <c r="F115" s="1" t="s">
        <v>479</v>
      </c>
      <c r="G115" s="2">
        <v>41286</v>
      </c>
      <c r="H115" s="1" t="b">
        <v>1</v>
      </c>
      <c r="I115" s="6" t="s">
        <v>28</v>
      </c>
      <c r="J115" s="1">
        <f>COUNTIF('Rental Transaction'!B115:B3986,A115)</f>
        <v>6</v>
      </c>
      <c r="K115" s="1">
        <f>SUMIF('Rental Transaction'!B:B,A115,'Rental Transaction'!H:H)</f>
        <v>67</v>
      </c>
      <c r="L115" s="17">
        <f>COUNTIFS('Retal Tran Line Item'!D:D,"BLU-RAY",'Retal Tran Line Item'!H:H,A115)/J115</f>
        <v>0.5</v>
      </c>
    </row>
    <row r="116" spans="1:12">
      <c r="A116" s="1">
        <v>276549</v>
      </c>
      <c r="B116" s="1" t="s">
        <v>44</v>
      </c>
      <c r="C116" s="1" t="s">
        <v>480</v>
      </c>
      <c r="D116" s="1" t="s">
        <v>481</v>
      </c>
      <c r="E116" s="1" t="s">
        <v>26</v>
      </c>
      <c r="F116" s="1" t="s">
        <v>482</v>
      </c>
      <c r="G116" s="2">
        <v>41260</v>
      </c>
      <c r="H116" s="1" t="b">
        <v>1</v>
      </c>
      <c r="I116" s="6" t="s">
        <v>28</v>
      </c>
      <c r="J116" s="1">
        <f>COUNTIF('Rental Transaction'!B116:B3987,A116)</f>
        <v>4</v>
      </c>
      <c r="K116" s="1">
        <f>SUMIF('Rental Transaction'!B:B,A116,'Rental Transaction'!H:H)</f>
        <v>49</v>
      </c>
      <c r="L116" s="17">
        <f>COUNTIFS('Retal Tran Line Item'!D:D,"BLU-RAY",'Retal Tran Line Item'!H:H,A116)/J116</f>
        <v>0.25</v>
      </c>
    </row>
    <row r="117" spans="1:12">
      <c r="A117" s="1">
        <v>277310</v>
      </c>
      <c r="B117" s="1" t="s">
        <v>483</v>
      </c>
      <c r="C117" s="1" t="s">
        <v>191</v>
      </c>
      <c r="D117" s="1" t="s">
        <v>484</v>
      </c>
      <c r="E117" s="1" t="s">
        <v>26</v>
      </c>
      <c r="F117" s="1" t="s">
        <v>485</v>
      </c>
      <c r="G117" s="2">
        <v>41276</v>
      </c>
      <c r="H117" s="1" t="b">
        <v>0</v>
      </c>
      <c r="I117" s="6" t="s">
        <v>33</v>
      </c>
      <c r="J117" s="1">
        <f>COUNTIF('Rental Transaction'!B117:B3988,A117)</f>
        <v>4</v>
      </c>
      <c r="K117" s="1">
        <f>SUMIF('Rental Transaction'!B:B,A117,'Rental Transaction'!H:H)</f>
        <v>48</v>
      </c>
      <c r="L117" s="17">
        <f>COUNTIFS('Retal Tran Line Item'!D:D,"BLU-RAY",'Retal Tran Line Item'!H:H,A117)/J117</f>
        <v>0.5</v>
      </c>
    </row>
    <row r="118" spans="1:12">
      <c r="A118" s="1">
        <v>277373</v>
      </c>
      <c r="B118" s="1" t="s">
        <v>486</v>
      </c>
      <c r="C118" s="1" t="s">
        <v>487</v>
      </c>
      <c r="D118" s="1" t="s">
        <v>488</v>
      </c>
      <c r="E118" s="1" t="s">
        <v>228</v>
      </c>
      <c r="F118" s="1" t="s">
        <v>489</v>
      </c>
      <c r="G118" s="2">
        <v>41206</v>
      </c>
      <c r="H118" s="1" t="b">
        <v>1</v>
      </c>
      <c r="I118" s="6" t="s">
        <v>28</v>
      </c>
      <c r="J118" s="1">
        <f>COUNTIF('Rental Transaction'!B118:B3989,A118)</f>
        <v>2</v>
      </c>
      <c r="K118" s="1">
        <f>SUMIF('Rental Transaction'!B:B,A118,'Rental Transaction'!H:H)</f>
        <v>32</v>
      </c>
      <c r="L118" s="17">
        <f>COUNTIFS('Retal Tran Line Item'!D:D,"BLU-RAY",'Retal Tran Line Item'!H:H,A118)/J118</f>
        <v>1.5</v>
      </c>
    </row>
    <row r="119" spans="1:12">
      <c r="A119" s="1">
        <v>278204</v>
      </c>
      <c r="B119" s="1" t="s">
        <v>490</v>
      </c>
      <c r="C119" s="1" t="s">
        <v>491</v>
      </c>
      <c r="D119" s="1" t="s">
        <v>492</v>
      </c>
      <c r="E119" s="1" t="s">
        <v>26</v>
      </c>
      <c r="F119" s="1" t="s">
        <v>493</v>
      </c>
      <c r="G119" s="2">
        <v>41150</v>
      </c>
      <c r="H119" s="1" t="b">
        <v>1</v>
      </c>
      <c r="I119" s="6" t="s">
        <v>33</v>
      </c>
      <c r="J119" s="1">
        <f>COUNTIF('Rental Transaction'!B119:B3990,A119)</f>
        <v>5</v>
      </c>
      <c r="K119" s="1">
        <f>SUMIF('Rental Transaction'!B:B,A119,'Rental Transaction'!H:H)</f>
        <v>31</v>
      </c>
      <c r="L119" s="17">
        <f>COUNTIFS('Retal Tran Line Item'!D:D,"BLU-RAY",'Retal Tran Line Item'!H:H,A119)/J119</f>
        <v>0.4</v>
      </c>
    </row>
    <row r="120" spans="1:12">
      <c r="A120" s="1">
        <v>278809</v>
      </c>
      <c r="B120" s="1" t="s">
        <v>494</v>
      </c>
      <c r="C120" s="1" t="s">
        <v>495</v>
      </c>
      <c r="D120" s="1" t="s">
        <v>496</v>
      </c>
      <c r="E120" s="1" t="s">
        <v>26</v>
      </c>
      <c r="F120" s="1" t="s">
        <v>497</v>
      </c>
      <c r="G120" s="2">
        <v>41219</v>
      </c>
      <c r="H120" s="1" t="b">
        <v>1</v>
      </c>
      <c r="I120" s="6" t="s">
        <v>28</v>
      </c>
      <c r="J120" s="1">
        <f>COUNTIF('Rental Transaction'!B120:B3991,A120)</f>
        <v>7</v>
      </c>
      <c r="K120" s="1">
        <f>SUMIF('Rental Transaction'!B:B,A120,'Rental Transaction'!H:H)</f>
        <v>36</v>
      </c>
      <c r="L120" s="17">
        <f>COUNTIFS('Retal Tran Line Item'!D:D,"BLU-RAY",'Retal Tran Line Item'!H:H,A120)/J120</f>
        <v>0.5714285714285714</v>
      </c>
    </row>
    <row r="121" spans="1:12">
      <c r="A121" s="1">
        <v>283158</v>
      </c>
      <c r="B121" s="1" t="s">
        <v>498</v>
      </c>
      <c r="C121" s="1" t="s">
        <v>499</v>
      </c>
      <c r="D121" s="1" t="s">
        <v>500</v>
      </c>
      <c r="E121" s="1" t="s">
        <v>26</v>
      </c>
      <c r="F121" s="1" t="s">
        <v>501</v>
      </c>
      <c r="G121" s="2">
        <v>41347</v>
      </c>
      <c r="H121" s="1" t="b">
        <v>1</v>
      </c>
      <c r="I121" s="6" t="s">
        <v>33</v>
      </c>
      <c r="J121" s="1">
        <f>COUNTIF('Rental Transaction'!B121:B3992,A121)</f>
        <v>6</v>
      </c>
      <c r="K121" s="1">
        <f>SUMIF('Rental Transaction'!B:B,A121,'Rental Transaction'!H:H)</f>
        <v>66</v>
      </c>
      <c r="L121" s="17">
        <f>COUNTIFS('Retal Tran Line Item'!D:D,"BLU-RAY",'Retal Tran Line Item'!H:H,A121)/J121</f>
        <v>0.33333333333333331</v>
      </c>
    </row>
    <row r="122" spans="1:12">
      <c r="A122" s="1">
        <v>286196</v>
      </c>
      <c r="B122" s="1" t="s">
        <v>216</v>
      </c>
      <c r="C122" s="1" t="s">
        <v>502</v>
      </c>
      <c r="D122" s="1" t="s">
        <v>503</v>
      </c>
      <c r="E122" s="1" t="s">
        <v>358</v>
      </c>
      <c r="F122" s="1" t="s">
        <v>504</v>
      </c>
      <c r="G122" s="2">
        <v>41152</v>
      </c>
      <c r="H122" s="1" t="b">
        <v>0</v>
      </c>
      <c r="I122" s="6" t="s">
        <v>28</v>
      </c>
      <c r="J122" s="1">
        <f>COUNTIF('Rental Transaction'!B122:B3993,A122)</f>
        <v>4</v>
      </c>
      <c r="K122" s="1">
        <f>SUMIF('Rental Transaction'!B:B,A122,'Rental Transaction'!H:H)</f>
        <v>48</v>
      </c>
      <c r="L122" s="17">
        <f>COUNTIFS('Retal Tran Line Item'!D:D,"BLU-RAY",'Retal Tran Line Item'!H:H,A122)/J122</f>
        <v>0.75</v>
      </c>
    </row>
    <row r="123" spans="1:12">
      <c r="A123" s="1">
        <v>289693</v>
      </c>
      <c r="B123" s="1" t="s">
        <v>423</v>
      </c>
      <c r="C123" s="1" t="s">
        <v>505</v>
      </c>
      <c r="D123" s="1" t="s">
        <v>506</v>
      </c>
      <c r="E123" s="1" t="s">
        <v>26</v>
      </c>
      <c r="F123" s="1" t="s">
        <v>507</v>
      </c>
      <c r="G123" s="2">
        <v>41273</v>
      </c>
      <c r="H123" s="1" t="b">
        <v>1</v>
      </c>
      <c r="I123" s="6" t="s">
        <v>28</v>
      </c>
      <c r="J123" s="1">
        <f>COUNTIF('Rental Transaction'!B123:B3994,A123)</f>
        <v>5</v>
      </c>
      <c r="K123" s="1">
        <f>SUMIF('Rental Transaction'!B:B,A123,'Rental Transaction'!H:H)</f>
        <v>51</v>
      </c>
      <c r="L123" s="17">
        <f>COUNTIFS('Retal Tran Line Item'!D:D,"BLU-RAY",'Retal Tran Line Item'!H:H,A123)/J123</f>
        <v>0.6</v>
      </c>
    </row>
    <row r="124" spans="1:12">
      <c r="A124" s="1">
        <v>292402</v>
      </c>
      <c r="B124" s="1" t="s">
        <v>508</v>
      </c>
      <c r="C124" s="1" t="s">
        <v>464</v>
      </c>
      <c r="D124" s="1" t="s">
        <v>509</v>
      </c>
      <c r="E124" s="1" t="s">
        <v>26</v>
      </c>
      <c r="F124" s="1" t="s">
        <v>510</v>
      </c>
      <c r="G124" s="2">
        <v>41137</v>
      </c>
      <c r="H124" s="1" t="b">
        <v>0</v>
      </c>
      <c r="I124" s="6" t="s">
        <v>28</v>
      </c>
      <c r="J124" s="1">
        <f>COUNTIF('Rental Transaction'!B124:B3995,A124)</f>
        <v>7</v>
      </c>
      <c r="K124" s="1">
        <f>SUMIF('Rental Transaction'!B:B,A124,'Rental Transaction'!H:H)</f>
        <v>82</v>
      </c>
      <c r="L124" s="17">
        <f>COUNTIFS('Retal Tran Line Item'!D:D,"BLU-RAY",'Retal Tran Line Item'!H:H,A124)/J124</f>
        <v>1.1428571428571428</v>
      </c>
    </row>
    <row r="125" spans="1:12">
      <c r="A125" s="1">
        <v>296208</v>
      </c>
      <c r="B125" s="1" t="s">
        <v>511</v>
      </c>
      <c r="C125" s="1" t="s">
        <v>512</v>
      </c>
      <c r="D125" s="1" t="s">
        <v>513</v>
      </c>
      <c r="E125" s="1" t="s">
        <v>26</v>
      </c>
      <c r="F125" s="1" t="s">
        <v>514</v>
      </c>
      <c r="G125" s="2">
        <v>41230</v>
      </c>
      <c r="H125" s="1" t="b">
        <v>1</v>
      </c>
      <c r="I125" s="6" t="s">
        <v>33</v>
      </c>
      <c r="J125" s="1">
        <f>COUNTIF('Rental Transaction'!B125:B3996,A125)</f>
        <v>4</v>
      </c>
      <c r="K125" s="1">
        <f>SUMIF('Rental Transaction'!B:B,A125,'Rental Transaction'!H:H)</f>
        <v>38</v>
      </c>
      <c r="L125" s="17">
        <f>COUNTIFS('Retal Tran Line Item'!D:D,"BLU-RAY",'Retal Tran Line Item'!H:H,A125)/J125</f>
        <v>0.5</v>
      </c>
    </row>
    <row r="126" spans="1:12">
      <c r="A126" s="1">
        <v>296353</v>
      </c>
      <c r="B126" s="1" t="s">
        <v>515</v>
      </c>
      <c r="C126" s="1" t="s">
        <v>516</v>
      </c>
      <c r="D126" s="1" t="s">
        <v>517</v>
      </c>
      <c r="E126" s="1" t="s">
        <v>201</v>
      </c>
      <c r="F126" s="1" t="s">
        <v>518</v>
      </c>
      <c r="G126" s="2">
        <v>41499</v>
      </c>
      <c r="H126" s="1" t="b">
        <v>0</v>
      </c>
      <c r="I126" s="6" t="s">
        <v>28</v>
      </c>
      <c r="J126" s="1">
        <f>COUNTIF('Rental Transaction'!B126:B3997,A126)</f>
        <v>10</v>
      </c>
      <c r="K126" s="1">
        <f>SUMIF('Rental Transaction'!B:B,A126,'Rental Transaction'!H:H)</f>
        <v>90</v>
      </c>
      <c r="L126" s="17">
        <f>COUNTIFS('Retal Tran Line Item'!D:D,"BLU-RAY",'Retal Tran Line Item'!H:H,A126)/J126</f>
        <v>0.7</v>
      </c>
    </row>
    <row r="127" spans="1:12">
      <c r="A127" s="1">
        <v>296886</v>
      </c>
      <c r="B127" s="1" t="s">
        <v>519</v>
      </c>
      <c r="C127" s="1" t="s">
        <v>146</v>
      </c>
      <c r="D127" s="1" t="s">
        <v>520</v>
      </c>
      <c r="E127" s="1" t="s">
        <v>521</v>
      </c>
      <c r="F127" s="1" t="s">
        <v>522</v>
      </c>
      <c r="G127" s="2">
        <v>41495</v>
      </c>
      <c r="H127" s="1" t="b">
        <v>0</v>
      </c>
      <c r="I127" s="6" t="s">
        <v>33</v>
      </c>
      <c r="J127" s="1">
        <f>COUNTIF('Rental Transaction'!B127:B3998,A127)</f>
        <v>6</v>
      </c>
      <c r="K127" s="1">
        <f>SUMIF('Rental Transaction'!B:B,A127,'Rental Transaction'!H:H)</f>
        <v>53</v>
      </c>
      <c r="L127" s="17">
        <f>COUNTIFS('Retal Tran Line Item'!D:D,"BLU-RAY",'Retal Tran Line Item'!H:H,A127)/J127</f>
        <v>0.33333333333333331</v>
      </c>
    </row>
    <row r="128" spans="1:12">
      <c r="A128" s="1">
        <v>297686</v>
      </c>
      <c r="B128" s="1" t="s">
        <v>225</v>
      </c>
      <c r="C128" s="1" t="s">
        <v>523</v>
      </c>
      <c r="D128" s="1" t="s">
        <v>524</v>
      </c>
      <c r="E128" s="1" t="s">
        <v>26</v>
      </c>
      <c r="F128" s="1" t="s">
        <v>525</v>
      </c>
      <c r="G128" s="2">
        <v>41438</v>
      </c>
      <c r="H128" s="1" t="b">
        <v>0</v>
      </c>
      <c r="I128" s="6" t="s">
        <v>33</v>
      </c>
      <c r="J128" s="1">
        <f>COUNTIF('Rental Transaction'!B128:B3999,A128)</f>
        <v>7</v>
      </c>
      <c r="K128" s="1">
        <f>SUMIF('Rental Transaction'!B:B,A128,'Rental Transaction'!H:H)</f>
        <v>66</v>
      </c>
      <c r="L128" s="17">
        <f>COUNTIFS('Retal Tran Line Item'!D:D,"BLU-RAY",'Retal Tran Line Item'!H:H,A128)/J128</f>
        <v>0.14285714285714285</v>
      </c>
    </row>
    <row r="129" spans="1:12">
      <c r="A129" s="1">
        <v>298508</v>
      </c>
      <c r="B129" s="1" t="s">
        <v>526</v>
      </c>
      <c r="C129" s="1" t="s">
        <v>527</v>
      </c>
      <c r="D129" s="1" t="s">
        <v>528</v>
      </c>
      <c r="E129" s="1" t="s">
        <v>26</v>
      </c>
      <c r="F129" s="1" t="s">
        <v>529</v>
      </c>
      <c r="G129" s="2">
        <v>41480</v>
      </c>
      <c r="H129" s="1" t="b">
        <v>0</v>
      </c>
      <c r="I129" s="6" t="s">
        <v>33</v>
      </c>
      <c r="J129" s="1">
        <f>COUNTIF('Rental Transaction'!B129:B4000,A129)</f>
        <v>6</v>
      </c>
      <c r="K129" s="1">
        <f>SUMIF('Rental Transaction'!B:B,A129,'Rental Transaction'!H:H)</f>
        <v>36</v>
      </c>
      <c r="L129" s="17">
        <f>COUNTIFS('Retal Tran Line Item'!D:D,"BLU-RAY",'Retal Tran Line Item'!H:H,A129)/J129</f>
        <v>0.83333333333333337</v>
      </c>
    </row>
    <row r="130" spans="1:12">
      <c r="A130" s="1">
        <v>301793</v>
      </c>
      <c r="B130" s="1" t="s">
        <v>178</v>
      </c>
      <c r="C130" s="1" t="s">
        <v>530</v>
      </c>
      <c r="D130" s="1" t="s">
        <v>531</v>
      </c>
      <c r="E130" s="1" t="s">
        <v>26</v>
      </c>
      <c r="F130" s="1" t="s">
        <v>532</v>
      </c>
      <c r="G130" s="2">
        <v>41337</v>
      </c>
      <c r="H130" s="1" t="b">
        <v>1</v>
      </c>
      <c r="I130" s="6" t="s">
        <v>28</v>
      </c>
      <c r="J130" s="1">
        <f>COUNTIF('Rental Transaction'!B130:B4001,A130)</f>
        <v>9</v>
      </c>
      <c r="K130" s="1">
        <f>SUMIF('Rental Transaction'!B:B,A130,'Rental Transaction'!H:H)</f>
        <v>63</v>
      </c>
      <c r="L130" s="17">
        <f>COUNTIFS('Retal Tran Line Item'!D:D,"BLU-RAY",'Retal Tran Line Item'!H:H,A130)/J130</f>
        <v>0.1111111111111111</v>
      </c>
    </row>
    <row r="131" spans="1:12">
      <c r="A131" s="1">
        <v>302774</v>
      </c>
      <c r="B131" s="1" t="s">
        <v>486</v>
      </c>
      <c r="C131" s="1" t="s">
        <v>533</v>
      </c>
      <c r="D131" s="1" t="s">
        <v>534</v>
      </c>
      <c r="E131" s="1" t="s">
        <v>26</v>
      </c>
      <c r="F131" s="1" t="s">
        <v>535</v>
      </c>
      <c r="G131" s="2">
        <v>41398</v>
      </c>
      <c r="H131" s="1" t="b">
        <v>0</v>
      </c>
      <c r="I131" s="6" t="s">
        <v>28</v>
      </c>
      <c r="J131" s="1">
        <f>COUNTIF('Rental Transaction'!B131:B4002,A131)</f>
        <v>7</v>
      </c>
      <c r="K131" s="1">
        <f>SUMIF('Rental Transaction'!B:B,A131,'Rental Transaction'!H:H)</f>
        <v>50</v>
      </c>
      <c r="L131" s="17">
        <f>COUNTIFS('Retal Tran Line Item'!D:D,"BLU-RAY",'Retal Tran Line Item'!H:H,A131)/J131</f>
        <v>0.8571428571428571</v>
      </c>
    </row>
    <row r="132" spans="1:12">
      <c r="A132" s="1">
        <v>304344</v>
      </c>
      <c r="B132" s="1" t="s">
        <v>137</v>
      </c>
      <c r="C132" s="1" t="s">
        <v>536</v>
      </c>
      <c r="D132" s="1" t="s">
        <v>537</v>
      </c>
      <c r="E132" s="1" t="s">
        <v>26</v>
      </c>
      <c r="F132" s="1" t="s">
        <v>538</v>
      </c>
      <c r="G132" s="2">
        <v>41292</v>
      </c>
      <c r="H132" s="1" t="b">
        <v>1</v>
      </c>
      <c r="I132" s="6" t="s">
        <v>28</v>
      </c>
      <c r="J132" s="1">
        <f>COUNTIF('Rental Transaction'!B132:B4003,A132)</f>
        <v>12</v>
      </c>
      <c r="K132" s="1">
        <f>SUMIF('Rental Transaction'!B:B,A132,'Rental Transaction'!H:H)</f>
        <v>122</v>
      </c>
      <c r="L132" s="17">
        <f>COUNTIFS('Retal Tran Line Item'!D:D,"BLU-RAY",'Retal Tran Line Item'!H:H,A132)/J132</f>
        <v>0.91666666666666663</v>
      </c>
    </row>
    <row r="133" spans="1:12">
      <c r="A133" s="1">
        <v>305005</v>
      </c>
      <c r="B133" s="1" t="s">
        <v>491</v>
      </c>
      <c r="C133" s="1" t="s">
        <v>539</v>
      </c>
      <c r="D133" s="1" t="s">
        <v>540</v>
      </c>
      <c r="E133" s="1" t="s">
        <v>26</v>
      </c>
      <c r="F133" s="1" t="s">
        <v>541</v>
      </c>
      <c r="G133" s="2">
        <v>41356</v>
      </c>
      <c r="H133" s="1" t="b">
        <v>0</v>
      </c>
      <c r="I133" s="6" t="s">
        <v>28</v>
      </c>
      <c r="J133" s="1">
        <f>COUNTIF('Rental Transaction'!B133:B4004,A133)</f>
        <v>10</v>
      </c>
      <c r="K133" s="1">
        <f>SUMIF('Rental Transaction'!B:B,A133,'Rental Transaction'!H:H)</f>
        <v>108</v>
      </c>
      <c r="L133" s="17">
        <f>COUNTIFS('Retal Tran Line Item'!D:D,"BLU-RAY",'Retal Tran Line Item'!H:H,A133)/J133</f>
        <v>0.9</v>
      </c>
    </row>
    <row r="134" spans="1:12">
      <c r="A134" s="1">
        <v>306475</v>
      </c>
      <c r="B134" s="1" t="s">
        <v>542</v>
      </c>
      <c r="C134" s="1" t="s">
        <v>302</v>
      </c>
      <c r="D134" s="1" t="s">
        <v>543</v>
      </c>
      <c r="E134" s="1" t="s">
        <v>26</v>
      </c>
      <c r="F134" s="1" t="s">
        <v>544</v>
      </c>
      <c r="G134" s="2">
        <v>41093</v>
      </c>
      <c r="H134" s="1" t="b">
        <v>1</v>
      </c>
      <c r="I134" s="6" t="s">
        <v>33</v>
      </c>
      <c r="J134" s="1">
        <f>COUNTIF('Rental Transaction'!B134:B4005,A134)</f>
        <v>5</v>
      </c>
      <c r="K134" s="1">
        <f>SUMIF('Rental Transaction'!B:B,A134,'Rental Transaction'!H:H)</f>
        <v>63</v>
      </c>
      <c r="L134" s="17">
        <f>COUNTIFS('Retal Tran Line Item'!D:D,"BLU-RAY",'Retal Tran Line Item'!H:H,A134)/J134</f>
        <v>0.6</v>
      </c>
    </row>
    <row r="135" spans="1:12">
      <c r="A135" s="1">
        <v>306853</v>
      </c>
      <c r="B135" s="1" t="s">
        <v>545</v>
      </c>
      <c r="C135" s="1" t="s">
        <v>546</v>
      </c>
      <c r="D135" s="1" t="s">
        <v>547</v>
      </c>
      <c r="E135" s="1" t="s">
        <v>26</v>
      </c>
      <c r="F135" s="1" t="s">
        <v>548</v>
      </c>
      <c r="G135" s="2">
        <v>41447</v>
      </c>
      <c r="H135" s="1" t="b">
        <v>1</v>
      </c>
      <c r="I135" s="6" t="s">
        <v>28</v>
      </c>
      <c r="J135" s="1">
        <f>COUNTIF('Rental Transaction'!B135:B4006,A135)</f>
        <v>5</v>
      </c>
      <c r="K135" s="1">
        <f>SUMIF('Rental Transaction'!B:B,A135,'Rental Transaction'!H:H)</f>
        <v>46</v>
      </c>
      <c r="L135" s="17">
        <f>COUNTIFS('Retal Tran Line Item'!D:D,"BLU-RAY",'Retal Tran Line Item'!H:H,A135)/J135</f>
        <v>1</v>
      </c>
    </row>
    <row r="136" spans="1:12">
      <c r="A136" s="1">
        <v>308505</v>
      </c>
      <c r="B136" s="1" t="s">
        <v>549</v>
      </c>
      <c r="C136" s="1" t="s">
        <v>550</v>
      </c>
      <c r="D136" s="1" t="s">
        <v>551</v>
      </c>
      <c r="E136" s="1" t="s">
        <v>26</v>
      </c>
      <c r="F136" s="1" t="s">
        <v>552</v>
      </c>
      <c r="G136" s="2">
        <v>41340</v>
      </c>
      <c r="H136" s="1" t="b">
        <v>1</v>
      </c>
      <c r="I136" s="6" t="s">
        <v>28</v>
      </c>
      <c r="J136" s="1">
        <f>COUNTIF('Rental Transaction'!B136:B4007,A136)</f>
        <v>12</v>
      </c>
      <c r="K136" s="1">
        <f>SUMIF('Rental Transaction'!B:B,A136,'Rental Transaction'!H:H)</f>
        <v>72</v>
      </c>
      <c r="L136" s="17">
        <f>COUNTIFS('Retal Tran Line Item'!D:D,"BLU-RAY",'Retal Tran Line Item'!H:H,A136)/J136</f>
        <v>0.58333333333333337</v>
      </c>
    </row>
    <row r="137" spans="1:12">
      <c r="A137" s="1">
        <v>308662</v>
      </c>
      <c r="B137" s="1" t="s">
        <v>343</v>
      </c>
      <c r="C137" s="1" t="s">
        <v>553</v>
      </c>
      <c r="D137" s="1" t="s">
        <v>554</v>
      </c>
      <c r="E137" s="1" t="s">
        <v>26</v>
      </c>
      <c r="F137" s="1" t="s">
        <v>555</v>
      </c>
      <c r="G137" s="2">
        <v>41251</v>
      </c>
      <c r="H137" s="1" t="b">
        <v>1</v>
      </c>
      <c r="I137" s="6" t="s">
        <v>33</v>
      </c>
      <c r="J137" s="1">
        <f>COUNTIF('Rental Transaction'!B137:B4008,A137)</f>
        <v>6</v>
      </c>
      <c r="K137" s="1">
        <f>SUMIF('Rental Transaction'!B:B,A137,'Rental Transaction'!H:H)</f>
        <v>41</v>
      </c>
      <c r="L137" s="17">
        <f>COUNTIFS('Retal Tran Line Item'!D:D,"BLU-RAY",'Retal Tran Line Item'!H:H,A137)/J137</f>
        <v>0.33333333333333331</v>
      </c>
    </row>
    <row r="138" spans="1:12">
      <c r="A138" s="1">
        <v>308688</v>
      </c>
      <c r="B138" s="1" t="s">
        <v>556</v>
      </c>
      <c r="C138" s="1" t="s">
        <v>557</v>
      </c>
      <c r="D138" s="1" t="s">
        <v>558</v>
      </c>
      <c r="E138" s="1" t="s">
        <v>26</v>
      </c>
      <c r="F138" s="1" t="s">
        <v>559</v>
      </c>
      <c r="G138" s="2">
        <v>41505</v>
      </c>
      <c r="H138" s="1" t="b">
        <v>1</v>
      </c>
      <c r="I138" s="6" t="s">
        <v>33</v>
      </c>
      <c r="J138" s="1">
        <f>COUNTIF('Rental Transaction'!B138:B4009,A138)</f>
        <v>3</v>
      </c>
      <c r="K138" s="1">
        <f>SUMIF('Rental Transaction'!B:B,A138,'Rental Transaction'!H:H)</f>
        <v>23</v>
      </c>
      <c r="L138" s="17">
        <f>COUNTIFS('Retal Tran Line Item'!D:D,"BLU-RAY",'Retal Tran Line Item'!H:H,A138)/J138</f>
        <v>0.33333333333333331</v>
      </c>
    </row>
    <row r="139" spans="1:12">
      <c r="A139" s="1">
        <v>310195</v>
      </c>
      <c r="B139" s="1" t="s">
        <v>560</v>
      </c>
      <c r="C139" s="1" t="s">
        <v>561</v>
      </c>
      <c r="D139" s="1" t="s">
        <v>562</v>
      </c>
      <c r="E139" s="1" t="s">
        <v>26</v>
      </c>
      <c r="F139" s="1" t="s">
        <v>563</v>
      </c>
      <c r="G139" s="2">
        <v>41219</v>
      </c>
      <c r="H139" s="1" t="b">
        <v>0</v>
      </c>
      <c r="I139" s="6" t="s">
        <v>33</v>
      </c>
      <c r="J139" s="1">
        <f>COUNTIF('Rental Transaction'!B139:B4010,A139)</f>
        <v>5</v>
      </c>
      <c r="K139" s="1">
        <f>SUMIF('Rental Transaction'!B:B,A139,'Rental Transaction'!H:H)</f>
        <v>40</v>
      </c>
      <c r="L139" s="17">
        <f>COUNTIFS('Retal Tran Line Item'!D:D,"BLU-RAY",'Retal Tran Line Item'!H:H,A139)/J139</f>
        <v>0.4</v>
      </c>
    </row>
    <row r="140" spans="1:12">
      <c r="A140" s="1">
        <v>315634</v>
      </c>
      <c r="B140" s="1" t="s">
        <v>564</v>
      </c>
      <c r="C140" s="1" t="s">
        <v>565</v>
      </c>
      <c r="D140" s="1" t="s">
        <v>566</v>
      </c>
      <c r="E140" s="1" t="s">
        <v>228</v>
      </c>
      <c r="F140" s="1" t="s">
        <v>567</v>
      </c>
      <c r="G140" s="2">
        <v>41466</v>
      </c>
      <c r="H140" s="1" t="b">
        <v>0</v>
      </c>
      <c r="I140" s="6" t="s">
        <v>33</v>
      </c>
      <c r="J140" s="1">
        <f>COUNTIF('Rental Transaction'!B140:B4011,A140)</f>
        <v>5</v>
      </c>
      <c r="K140" s="1">
        <f>SUMIF('Rental Transaction'!B:B,A140,'Rental Transaction'!H:H)</f>
        <v>54</v>
      </c>
      <c r="L140" s="17">
        <f>COUNTIFS('Retal Tran Line Item'!D:D,"BLU-RAY",'Retal Tran Line Item'!H:H,A140)/J140</f>
        <v>1.2</v>
      </c>
    </row>
    <row r="141" spans="1:12">
      <c r="A141" s="1">
        <v>317461</v>
      </c>
      <c r="B141" s="1" t="s">
        <v>250</v>
      </c>
      <c r="C141" s="1" t="s">
        <v>568</v>
      </c>
      <c r="D141" s="1" t="s">
        <v>569</v>
      </c>
      <c r="E141" s="1" t="s">
        <v>26</v>
      </c>
      <c r="F141" s="1" t="s">
        <v>570</v>
      </c>
      <c r="G141" s="2">
        <v>41305</v>
      </c>
      <c r="H141" s="1" t="b">
        <v>0</v>
      </c>
      <c r="I141" s="6" t="s">
        <v>33</v>
      </c>
      <c r="J141" s="1">
        <f>COUNTIF('Rental Transaction'!B141:B4012,A141)</f>
        <v>10</v>
      </c>
      <c r="K141" s="1">
        <f>SUMIF('Rental Transaction'!B:B,A141,'Rental Transaction'!H:H)</f>
        <v>91</v>
      </c>
      <c r="L141" s="17">
        <f>COUNTIFS('Retal Tran Line Item'!D:D,"BLU-RAY",'Retal Tran Line Item'!H:H,A141)/J141</f>
        <v>0.5</v>
      </c>
    </row>
    <row r="142" spans="1:12">
      <c r="A142" s="1">
        <v>317807</v>
      </c>
      <c r="B142" s="1" t="s">
        <v>571</v>
      </c>
      <c r="C142" s="1" t="s">
        <v>30</v>
      </c>
      <c r="D142" s="1" t="s">
        <v>572</v>
      </c>
      <c r="E142" s="1" t="s">
        <v>26</v>
      </c>
      <c r="F142" s="1" t="s">
        <v>573</v>
      </c>
      <c r="G142" s="2">
        <v>41304</v>
      </c>
      <c r="H142" s="1" t="b">
        <v>1</v>
      </c>
      <c r="I142" s="6" t="s">
        <v>28</v>
      </c>
      <c r="J142" s="1">
        <f>COUNTIF('Rental Transaction'!B142:B4013,A142)</f>
        <v>8</v>
      </c>
      <c r="K142" s="1">
        <f>SUMIF('Rental Transaction'!B:B,A142,'Rental Transaction'!H:H)</f>
        <v>72</v>
      </c>
      <c r="L142" s="17">
        <f>COUNTIFS('Retal Tran Line Item'!D:D,"BLU-RAY",'Retal Tran Line Item'!H:H,A142)/J142</f>
        <v>0.875</v>
      </c>
    </row>
    <row r="143" spans="1:12">
      <c r="A143" s="1">
        <v>319387</v>
      </c>
      <c r="B143" s="1" t="s">
        <v>574</v>
      </c>
      <c r="C143" s="1" t="s">
        <v>575</v>
      </c>
      <c r="D143" s="1" t="s">
        <v>576</v>
      </c>
      <c r="E143" s="1" t="s">
        <v>26</v>
      </c>
      <c r="F143" s="1" t="s">
        <v>577</v>
      </c>
      <c r="G143" s="2">
        <v>41280</v>
      </c>
      <c r="H143" s="1" t="b">
        <v>0</v>
      </c>
      <c r="I143" s="6" t="s">
        <v>28</v>
      </c>
      <c r="J143" s="1">
        <f>COUNTIF('Rental Transaction'!B143:B4014,A143)</f>
        <v>6</v>
      </c>
      <c r="K143" s="1">
        <f>SUMIF('Rental Transaction'!B:B,A143,'Rental Transaction'!H:H)</f>
        <v>50</v>
      </c>
      <c r="L143" s="17">
        <f>COUNTIFS('Retal Tran Line Item'!D:D,"BLU-RAY",'Retal Tran Line Item'!H:H,A143)/J143</f>
        <v>0.33333333333333331</v>
      </c>
    </row>
    <row r="144" spans="1:12">
      <c r="A144" s="1">
        <v>323830</v>
      </c>
      <c r="B144" s="1" t="s">
        <v>578</v>
      </c>
      <c r="C144" s="1" t="s">
        <v>579</v>
      </c>
      <c r="D144" s="1" t="s">
        <v>580</v>
      </c>
      <c r="E144" s="1" t="s">
        <v>26</v>
      </c>
      <c r="F144" s="1" t="s">
        <v>581</v>
      </c>
      <c r="G144" s="2">
        <v>41468</v>
      </c>
      <c r="H144" s="1" t="b">
        <v>1</v>
      </c>
      <c r="I144" s="6" t="s">
        <v>28</v>
      </c>
      <c r="J144" s="1">
        <f>COUNTIF('Rental Transaction'!B144:B4015,A144)</f>
        <v>2</v>
      </c>
      <c r="K144" s="1">
        <f>SUMIF('Rental Transaction'!B:B,A144,'Rental Transaction'!H:H)</f>
        <v>16</v>
      </c>
      <c r="L144" s="17">
        <f>COUNTIFS('Retal Tran Line Item'!D:D,"BLU-RAY",'Retal Tran Line Item'!H:H,A144)/J144</f>
        <v>0</v>
      </c>
    </row>
    <row r="145" spans="1:12">
      <c r="A145" s="1">
        <v>324435</v>
      </c>
      <c r="B145" s="1" t="s">
        <v>582</v>
      </c>
      <c r="C145" s="1" t="s">
        <v>583</v>
      </c>
      <c r="D145" s="1" t="s">
        <v>584</v>
      </c>
      <c r="E145" s="1" t="s">
        <v>26</v>
      </c>
      <c r="F145" s="1" t="s">
        <v>585</v>
      </c>
      <c r="G145" s="2">
        <v>41112</v>
      </c>
      <c r="H145" s="1" t="b">
        <v>0</v>
      </c>
      <c r="I145" s="6" t="s">
        <v>28</v>
      </c>
      <c r="J145" s="1">
        <f>COUNTIF('Rental Transaction'!B145:B4016,A145)</f>
        <v>5</v>
      </c>
      <c r="K145" s="1">
        <f>SUMIF('Rental Transaction'!B:B,A145,'Rental Transaction'!H:H)</f>
        <v>54</v>
      </c>
      <c r="L145" s="17">
        <f>COUNTIFS('Retal Tran Line Item'!D:D,"BLU-RAY",'Retal Tran Line Item'!H:H,A145)/J145</f>
        <v>1.4</v>
      </c>
    </row>
    <row r="146" spans="1:12">
      <c r="A146" s="1">
        <v>325263</v>
      </c>
      <c r="B146" s="1" t="s">
        <v>586</v>
      </c>
      <c r="C146" s="1" t="s">
        <v>587</v>
      </c>
      <c r="D146" s="1" t="s">
        <v>588</v>
      </c>
      <c r="E146" s="1" t="s">
        <v>223</v>
      </c>
      <c r="F146" s="1" t="s">
        <v>589</v>
      </c>
      <c r="G146" s="2">
        <v>41234</v>
      </c>
      <c r="H146" s="1" t="b">
        <v>1</v>
      </c>
      <c r="I146" s="6" t="s">
        <v>33</v>
      </c>
      <c r="J146" s="1">
        <f>COUNTIF('Rental Transaction'!B146:B4017,A146)</f>
        <v>9</v>
      </c>
      <c r="K146" s="1">
        <f>SUMIF('Rental Transaction'!B:B,A146,'Rental Transaction'!H:H)</f>
        <v>104</v>
      </c>
      <c r="L146" s="17">
        <f>COUNTIFS('Retal Tran Line Item'!D:D,"BLU-RAY",'Retal Tran Line Item'!H:H,A146)/J146</f>
        <v>0.55555555555555558</v>
      </c>
    </row>
    <row r="147" spans="1:12">
      <c r="A147" s="1">
        <v>327750</v>
      </c>
      <c r="B147" s="1" t="s">
        <v>590</v>
      </c>
      <c r="C147" s="1" t="s">
        <v>591</v>
      </c>
      <c r="D147" s="1" t="s">
        <v>592</v>
      </c>
      <c r="E147" s="1" t="s">
        <v>26</v>
      </c>
      <c r="F147" s="1" t="s">
        <v>593</v>
      </c>
      <c r="G147" s="2">
        <v>41535</v>
      </c>
      <c r="H147" s="1" t="b">
        <v>0</v>
      </c>
      <c r="I147" s="6" t="s">
        <v>33</v>
      </c>
      <c r="J147" s="1">
        <f>COUNTIF('Rental Transaction'!B147:B4018,A147)</f>
        <v>6</v>
      </c>
      <c r="K147" s="1">
        <f>SUMIF('Rental Transaction'!B:B,A147,'Rental Transaction'!H:H)</f>
        <v>40</v>
      </c>
      <c r="L147" s="17">
        <f>COUNTIFS('Retal Tran Line Item'!D:D,"BLU-RAY",'Retal Tran Line Item'!H:H,A147)/J147</f>
        <v>0.16666666666666666</v>
      </c>
    </row>
    <row r="148" spans="1:12">
      <c r="A148" s="1">
        <v>329994</v>
      </c>
      <c r="B148" s="1" t="s">
        <v>594</v>
      </c>
      <c r="C148" s="1" t="s">
        <v>595</v>
      </c>
      <c r="D148" s="1" t="s">
        <v>596</v>
      </c>
      <c r="E148" s="1" t="s">
        <v>26</v>
      </c>
      <c r="F148" s="1" t="s">
        <v>597</v>
      </c>
      <c r="G148" s="2">
        <v>41204</v>
      </c>
      <c r="H148" s="1" t="b">
        <v>0</v>
      </c>
      <c r="I148" s="6" t="s">
        <v>28</v>
      </c>
      <c r="J148" s="1">
        <f>COUNTIF('Rental Transaction'!B148:B4019,A148)</f>
        <v>7</v>
      </c>
      <c r="K148" s="1">
        <f>SUMIF('Rental Transaction'!B:B,A148,'Rental Transaction'!H:H)</f>
        <v>82</v>
      </c>
      <c r="L148" s="17">
        <f>COUNTIFS('Retal Tran Line Item'!D:D,"BLU-RAY",'Retal Tran Line Item'!H:H,A148)/J148</f>
        <v>0.42857142857142855</v>
      </c>
    </row>
    <row r="149" spans="1:12">
      <c r="A149" s="1">
        <v>330223</v>
      </c>
      <c r="B149" s="1" t="s">
        <v>598</v>
      </c>
      <c r="C149" s="1" t="s">
        <v>599</v>
      </c>
      <c r="D149" s="1" t="s">
        <v>600</v>
      </c>
      <c r="E149" s="1" t="s">
        <v>26</v>
      </c>
      <c r="F149" s="1" t="s">
        <v>601</v>
      </c>
      <c r="G149" s="2">
        <v>41314</v>
      </c>
      <c r="H149" s="1" t="b">
        <v>1</v>
      </c>
      <c r="I149" s="6" t="s">
        <v>28</v>
      </c>
      <c r="J149" s="1">
        <f>COUNTIF('Rental Transaction'!B149:B4020,A149)</f>
        <v>7</v>
      </c>
      <c r="K149" s="1">
        <f>SUMIF('Rental Transaction'!B:B,A149,'Rental Transaction'!H:H)</f>
        <v>86</v>
      </c>
      <c r="L149" s="17">
        <f>COUNTIFS('Retal Tran Line Item'!D:D,"BLU-RAY",'Retal Tran Line Item'!H:H,A149)/J149</f>
        <v>0.5714285714285714</v>
      </c>
    </row>
    <row r="150" spans="1:12">
      <c r="A150" s="1">
        <v>330570</v>
      </c>
      <c r="B150" s="1" t="s">
        <v>602</v>
      </c>
      <c r="C150" s="1" t="s">
        <v>603</v>
      </c>
      <c r="D150" s="1" t="s">
        <v>604</v>
      </c>
      <c r="E150" s="1" t="s">
        <v>26</v>
      </c>
      <c r="F150" s="1" t="s">
        <v>605</v>
      </c>
      <c r="G150" s="2">
        <v>41500</v>
      </c>
      <c r="H150" s="1" t="b">
        <v>1</v>
      </c>
      <c r="I150" s="6" t="s">
        <v>28</v>
      </c>
      <c r="J150" s="1">
        <f>COUNTIF('Rental Transaction'!B150:B4021,A150)</f>
        <v>5</v>
      </c>
      <c r="K150" s="1">
        <f>SUMIF('Rental Transaction'!B:B,A150,'Rental Transaction'!H:H)</f>
        <v>41</v>
      </c>
      <c r="L150" s="17">
        <f>COUNTIFS('Retal Tran Line Item'!D:D,"BLU-RAY",'Retal Tran Line Item'!H:H,A150)/J150</f>
        <v>0.6</v>
      </c>
    </row>
    <row r="151" spans="1:12">
      <c r="A151" s="1">
        <v>331115</v>
      </c>
      <c r="B151" s="1" t="s">
        <v>606</v>
      </c>
      <c r="C151" s="1" t="s">
        <v>607</v>
      </c>
      <c r="D151" s="1" t="s">
        <v>608</v>
      </c>
      <c r="E151" s="1" t="s">
        <v>309</v>
      </c>
      <c r="F151" s="1" t="s">
        <v>609</v>
      </c>
      <c r="G151" s="2">
        <v>41114</v>
      </c>
      <c r="H151" s="1" t="b">
        <v>1</v>
      </c>
      <c r="I151" s="6" t="s">
        <v>33</v>
      </c>
      <c r="J151" s="1">
        <f>COUNTIF('Rental Transaction'!B151:B4022,A151)</f>
        <v>9</v>
      </c>
      <c r="K151" s="1">
        <f>SUMIF('Rental Transaction'!B:B,A151,'Rental Transaction'!H:H)</f>
        <v>101</v>
      </c>
      <c r="L151" s="17">
        <f>COUNTIFS('Retal Tran Line Item'!D:D,"BLU-RAY",'Retal Tran Line Item'!H:H,A151)/J151</f>
        <v>0.66666666666666663</v>
      </c>
    </row>
    <row r="152" spans="1:12">
      <c r="A152" s="1">
        <v>332324</v>
      </c>
      <c r="B152" s="1" t="s">
        <v>610</v>
      </c>
      <c r="C152" s="1" t="s">
        <v>611</v>
      </c>
      <c r="D152" s="1" t="s">
        <v>612</v>
      </c>
      <c r="E152" s="1" t="s">
        <v>26</v>
      </c>
      <c r="F152" s="1" t="s">
        <v>613</v>
      </c>
      <c r="G152" s="2">
        <v>41253</v>
      </c>
      <c r="H152" s="1" t="b">
        <v>0</v>
      </c>
      <c r="I152" s="6" t="s">
        <v>33</v>
      </c>
      <c r="J152" s="1">
        <f>COUNTIF('Rental Transaction'!B152:B4023,A152)</f>
        <v>9</v>
      </c>
      <c r="K152" s="1">
        <f>SUMIF('Rental Transaction'!B:B,A152,'Rental Transaction'!H:H)</f>
        <v>46</v>
      </c>
      <c r="L152" s="17">
        <f>COUNTIFS('Retal Tran Line Item'!D:D,"BLU-RAY",'Retal Tran Line Item'!H:H,A152)/J152</f>
        <v>0.22222222222222221</v>
      </c>
    </row>
    <row r="153" spans="1:12">
      <c r="A153" s="1">
        <v>336644</v>
      </c>
      <c r="B153" s="1" t="s">
        <v>614</v>
      </c>
      <c r="C153" s="1" t="s">
        <v>615</v>
      </c>
      <c r="D153" s="1" t="s">
        <v>616</v>
      </c>
      <c r="E153" s="1" t="s">
        <v>26</v>
      </c>
      <c r="F153" s="1" t="s">
        <v>617</v>
      </c>
      <c r="G153" s="2">
        <v>41164</v>
      </c>
      <c r="H153" s="1" t="b">
        <v>0</v>
      </c>
      <c r="I153" s="6" t="s">
        <v>28</v>
      </c>
      <c r="J153" s="1">
        <f>COUNTIF('Rental Transaction'!B153:B4024,A153)</f>
        <v>5</v>
      </c>
      <c r="K153" s="1">
        <f>SUMIF('Rental Transaction'!B:B,A153,'Rental Transaction'!H:H)</f>
        <v>83</v>
      </c>
      <c r="L153" s="17">
        <f>COUNTIFS('Retal Tran Line Item'!D:D,"BLU-RAY",'Retal Tran Line Item'!H:H,A153)/J153</f>
        <v>1</v>
      </c>
    </row>
    <row r="154" spans="1:12">
      <c r="A154" s="1">
        <v>343021</v>
      </c>
      <c r="B154" s="1" t="s">
        <v>618</v>
      </c>
      <c r="C154" s="1" t="s">
        <v>619</v>
      </c>
      <c r="D154" s="1" t="s">
        <v>620</v>
      </c>
      <c r="E154" s="1" t="s">
        <v>621</v>
      </c>
      <c r="F154" s="1" t="s">
        <v>622</v>
      </c>
      <c r="G154" s="2">
        <v>41288</v>
      </c>
      <c r="H154" s="1" t="b">
        <v>1</v>
      </c>
      <c r="I154" s="6" t="s">
        <v>28</v>
      </c>
      <c r="J154" s="1">
        <f>COUNTIF('Rental Transaction'!B154:B4025,A154)</f>
        <v>6</v>
      </c>
      <c r="K154" s="1">
        <f>SUMIF('Rental Transaction'!B:B,A154,'Rental Transaction'!H:H)</f>
        <v>38</v>
      </c>
      <c r="L154" s="17">
        <f>COUNTIFS('Retal Tran Line Item'!D:D,"BLU-RAY",'Retal Tran Line Item'!H:H,A154)/J154</f>
        <v>0.33333333333333331</v>
      </c>
    </row>
    <row r="155" spans="1:12">
      <c r="A155" s="1">
        <v>344702</v>
      </c>
      <c r="B155" s="1" t="s">
        <v>44</v>
      </c>
      <c r="C155" s="1" t="s">
        <v>623</v>
      </c>
      <c r="D155" s="1" t="s">
        <v>624</v>
      </c>
      <c r="E155" s="1" t="s">
        <v>223</v>
      </c>
      <c r="F155" s="1" t="s">
        <v>625</v>
      </c>
      <c r="G155" s="2">
        <v>41336</v>
      </c>
      <c r="H155" s="1" t="b">
        <v>1</v>
      </c>
      <c r="I155" s="6" t="s">
        <v>28</v>
      </c>
      <c r="J155" s="1">
        <f>COUNTIF('Rental Transaction'!B155:B4026,A155)</f>
        <v>12</v>
      </c>
      <c r="K155" s="1">
        <f>SUMIF('Rental Transaction'!B:B,A155,'Rental Transaction'!H:H)</f>
        <v>134</v>
      </c>
      <c r="L155" s="17">
        <f>COUNTIFS('Retal Tran Line Item'!D:D,"BLU-RAY",'Retal Tran Line Item'!H:H,A155)/J155</f>
        <v>0.83333333333333337</v>
      </c>
    </row>
    <row r="156" spans="1:12">
      <c r="A156" s="1">
        <v>345348</v>
      </c>
      <c r="B156" s="1" t="s">
        <v>626</v>
      </c>
      <c r="C156" s="1" t="s">
        <v>627</v>
      </c>
      <c r="D156" s="1" t="s">
        <v>628</v>
      </c>
      <c r="E156" s="1" t="s">
        <v>26</v>
      </c>
      <c r="F156" s="1" t="s">
        <v>629</v>
      </c>
      <c r="G156" s="2">
        <v>41432</v>
      </c>
      <c r="H156" s="1" t="b">
        <v>0</v>
      </c>
      <c r="I156" s="6" t="s">
        <v>33</v>
      </c>
      <c r="J156" s="1">
        <f>COUNTIF('Rental Transaction'!B156:B4027,A156)</f>
        <v>8</v>
      </c>
      <c r="K156" s="1">
        <f>SUMIF('Rental Transaction'!B:B,A156,'Rental Transaction'!H:H)</f>
        <v>49</v>
      </c>
      <c r="L156" s="17">
        <f>COUNTIFS('Retal Tran Line Item'!D:D,"BLU-RAY",'Retal Tran Line Item'!H:H,A156)/J156</f>
        <v>0.125</v>
      </c>
    </row>
    <row r="157" spans="1:12">
      <c r="A157" s="1">
        <v>345748</v>
      </c>
      <c r="B157" s="1" t="s">
        <v>630</v>
      </c>
      <c r="C157" s="1" t="s">
        <v>631</v>
      </c>
      <c r="D157" s="1" t="s">
        <v>632</v>
      </c>
      <c r="E157" s="1" t="s">
        <v>26</v>
      </c>
      <c r="F157" s="1" t="s">
        <v>633</v>
      </c>
      <c r="G157" s="2">
        <v>41496</v>
      </c>
      <c r="H157" s="1" t="b">
        <v>1</v>
      </c>
      <c r="I157" s="6" t="s">
        <v>28</v>
      </c>
      <c r="J157" s="1">
        <f>COUNTIF('Rental Transaction'!B157:B4028,A157)</f>
        <v>4</v>
      </c>
      <c r="K157" s="1">
        <f>SUMIF('Rental Transaction'!B:B,A157,'Rental Transaction'!H:H)</f>
        <v>32</v>
      </c>
      <c r="L157" s="17">
        <f>COUNTIFS('Retal Tran Line Item'!D:D,"BLU-RAY",'Retal Tran Line Item'!H:H,A157)/J157</f>
        <v>0.75</v>
      </c>
    </row>
    <row r="158" spans="1:12">
      <c r="A158" s="1">
        <v>346006</v>
      </c>
      <c r="B158" s="1" t="s">
        <v>634</v>
      </c>
      <c r="C158" s="1" t="s">
        <v>635</v>
      </c>
      <c r="D158" s="1" t="s">
        <v>636</v>
      </c>
      <c r="E158" s="1" t="s">
        <v>309</v>
      </c>
      <c r="F158" s="1" t="s">
        <v>637</v>
      </c>
      <c r="G158" s="2">
        <v>41354</v>
      </c>
      <c r="H158" s="1" t="b">
        <v>0</v>
      </c>
      <c r="I158" s="6" t="s">
        <v>33</v>
      </c>
      <c r="J158" s="1">
        <f>COUNTIF('Rental Transaction'!B158:B4029,A158)</f>
        <v>13</v>
      </c>
      <c r="K158" s="1">
        <f>SUMIF('Rental Transaction'!B:B,A158,'Rental Transaction'!H:H)</f>
        <v>115</v>
      </c>
      <c r="L158" s="17">
        <f>COUNTIFS('Retal Tran Line Item'!D:D,"BLU-RAY",'Retal Tran Line Item'!H:H,A158)/J158</f>
        <v>0.23076923076923078</v>
      </c>
    </row>
    <row r="159" spans="1:12">
      <c r="A159" s="1">
        <v>347189</v>
      </c>
      <c r="B159" s="1" t="s">
        <v>638</v>
      </c>
      <c r="C159" s="1" t="s">
        <v>639</v>
      </c>
      <c r="D159" s="1" t="s">
        <v>640</v>
      </c>
      <c r="E159" s="1" t="s">
        <v>26</v>
      </c>
      <c r="F159" s="1" t="s">
        <v>641</v>
      </c>
      <c r="G159" s="2">
        <v>41112</v>
      </c>
      <c r="H159" s="1" t="b">
        <v>0</v>
      </c>
      <c r="I159" s="6" t="s">
        <v>33</v>
      </c>
      <c r="J159" s="1">
        <f>COUNTIF('Rental Transaction'!B159:B4030,A159)</f>
        <v>8</v>
      </c>
      <c r="K159" s="1">
        <f>SUMIF('Rental Transaction'!B:B,A159,'Rental Transaction'!H:H)</f>
        <v>62</v>
      </c>
      <c r="L159" s="17">
        <f>COUNTIFS('Retal Tran Line Item'!D:D,"BLU-RAY",'Retal Tran Line Item'!H:H,A159)/J159</f>
        <v>0.25</v>
      </c>
    </row>
    <row r="160" spans="1:12">
      <c r="A160" s="1">
        <v>347659</v>
      </c>
      <c r="B160" s="1" t="s">
        <v>642</v>
      </c>
      <c r="C160" s="1" t="s">
        <v>361</v>
      </c>
      <c r="D160" s="1" t="s">
        <v>643</v>
      </c>
      <c r="E160" s="1" t="s">
        <v>26</v>
      </c>
      <c r="F160" s="1" t="s">
        <v>644</v>
      </c>
      <c r="G160" s="2">
        <v>41441</v>
      </c>
      <c r="H160" s="1" t="b">
        <v>0</v>
      </c>
      <c r="I160" s="6" t="s">
        <v>33</v>
      </c>
      <c r="J160" s="1">
        <f>COUNTIF('Rental Transaction'!B160:B4031,A160)</f>
        <v>8</v>
      </c>
      <c r="K160" s="1">
        <f>SUMIF('Rental Transaction'!B:B,A160,'Rental Transaction'!H:H)</f>
        <v>101</v>
      </c>
      <c r="L160" s="17">
        <f>COUNTIFS('Retal Tran Line Item'!D:D,"BLU-RAY",'Retal Tran Line Item'!H:H,A160)/J160</f>
        <v>1.125</v>
      </c>
    </row>
    <row r="161" spans="1:12">
      <c r="A161" s="1">
        <v>352644</v>
      </c>
      <c r="B161" s="1" t="s">
        <v>645</v>
      </c>
      <c r="C161" s="1" t="s">
        <v>464</v>
      </c>
      <c r="D161" s="1" t="s">
        <v>646</v>
      </c>
      <c r="E161" s="1" t="s">
        <v>26</v>
      </c>
      <c r="F161" s="1" t="s">
        <v>647</v>
      </c>
      <c r="G161" s="2">
        <v>41404</v>
      </c>
      <c r="H161" s="1" t="b">
        <v>1</v>
      </c>
      <c r="I161" s="6" t="s">
        <v>28</v>
      </c>
      <c r="J161" s="1">
        <f>COUNTIF('Rental Transaction'!B161:B4032,A161)</f>
        <v>7</v>
      </c>
      <c r="K161" s="1">
        <f>SUMIF('Rental Transaction'!B:B,A161,'Rental Transaction'!H:H)</f>
        <v>82</v>
      </c>
      <c r="L161" s="17">
        <f>COUNTIFS('Retal Tran Line Item'!D:D,"BLU-RAY",'Retal Tran Line Item'!H:H,A161)/J161</f>
        <v>0.8571428571428571</v>
      </c>
    </row>
    <row r="162" spans="1:12">
      <c r="A162" s="1">
        <v>353846</v>
      </c>
      <c r="B162" s="1" t="s">
        <v>648</v>
      </c>
      <c r="C162" s="1" t="s">
        <v>649</v>
      </c>
      <c r="D162" s="1" t="s">
        <v>650</v>
      </c>
      <c r="E162" s="1" t="s">
        <v>26</v>
      </c>
      <c r="F162" s="1" t="s">
        <v>651</v>
      </c>
      <c r="G162" s="2">
        <v>41259</v>
      </c>
      <c r="H162" s="1" t="b">
        <v>1</v>
      </c>
      <c r="I162" s="6" t="s">
        <v>33</v>
      </c>
      <c r="J162" s="1">
        <f>COUNTIF('Rental Transaction'!B162:B4033,A162)</f>
        <v>4</v>
      </c>
      <c r="K162" s="1">
        <f>SUMIF('Rental Transaction'!B:B,A162,'Rental Transaction'!H:H)</f>
        <v>23</v>
      </c>
      <c r="L162" s="17">
        <f>COUNTIFS('Retal Tran Line Item'!D:D,"BLU-RAY",'Retal Tran Line Item'!H:H,A162)/J162</f>
        <v>0.75</v>
      </c>
    </row>
    <row r="163" spans="1:12">
      <c r="A163" s="1">
        <v>355107</v>
      </c>
      <c r="B163" s="1" t="s">
        <v>652</v>
      </c>
      <c r="C163" s="1" t="s">
        <v>653</v>
      </c>
      <c r="D163" s="1" t="s">
        <v>654</v>
      </c>
      <c r="E163" s="1" t="s">
        <v>26</v>
      </c>
      <c r="F163" s="1" t="s">
        <v>655</v>
      </c>
      <c r="G163" s="2">
        <v>41400</v>
      </c>
      <c r="H163" s="1" t="b">
        <v>1</v>
      </c>
      <c r="I163" s="6" t="s">
        <v>28</v>
      </c>
      <c r="J163" s="1">
        <f>COUNTIF('Rental Transaction'!B163:B4034,A163)</f>
        <v>8</v>
      </c>
      <c r="K163" s="1">
        <f>SUMIF('Rental Transaction'!B:B,A163,'Rental Transaction'!H:H)</f>
        <v>85</v>
      </c>
      <c r="L163" s="17">
        <f>COUNTIFS('Retal Tran Line Item'!D:D,"BLU-RAY",'Retal Tran Line Item'!H:H,A163)/J163</f>
        <v>0.375</v>
      </c>
    </row>
    <row r="164" spans="1:12">
      <c r="A164" s="1">
        <v>357579</v>
      </c>
      <c r="B164" s="1" t="s">
        <v>656</v>
      </c>
      <c r="C164" s="1" t="s">
        <v>657</v>
      </c>
      <c r="D164" s="1" t="s">
        <v>658</v>
      </c>
      <c r="E164" s="1" t="s">
        <v>152</v>
      </c>
      <c r="F164" s="1" t="s">
        <v>659</v>
      </c>
      <c r="G164" s="2">
        <v>41239</v>
      </c>
      <c r="H164" s="1" t="b">
        <v>1</v>
      </c>
      <c r="I164" s="6" t="s">
        <v>33</v>
      </c>
      <c r="J164" s="1">
        <f>COUNTIF('Rental Transaction'!B164:B4035,A164)</f>
        <v>5</v>
      </c>
      <c r="K164" s="1">
        <f>SUMIF('Rental Transaction'!B:B,A164,'Rental Transaction'!H:H)</f>
        <v>52</v>
      </c>
      <c r="L164" s="17">
        <f>COUNTIFS('Retal Tran Line Item'!D:D,"BLU-RAY",'Retal Tran Line Item'!H:H,A164)/J164</f>
        <v>0.6</v>
      </c>
    </row>
    <row r="165" spans="1:12">
      <c r="A165" s="1">
        <v>358901</v>
      </c>
      <c r="B165" s="1" t="s">
        <v>660</v>
      </c>
      <c r="C165" s="1" t="s">
        <v>661</v>
      </c>
      <c r="D165" s="1" t="s">
        <v>662</v>
      </c>
      <c r="E165" s="1" t="s">
        <v>26</v>
      </c>
      <c r="F165" s="1" t="s">
        <v>663</v>
      </c>
      <c r="G165" s="2">
        <v>41288</v>
      </c>
      <c r="H165" s="1" t="b">
        <v>0</v>
      </c>
      <c r="I165" s="6" t="s">
        <v>33</v>
      </c>
      <c r="J165" s="1">
        <f>COUNTIF('Rental Transaction'!B165:B4036,A165)</f>
        <v>8</v>
      </c>
      <c r="K165" s="1">
        <f>SUMIF('Rental Transaction'!B:B,A165,'Rental Transaction'!H:H)</f>
        <v>99</v>
      </c>
      <c r="L165" s="17">
        <f>COUNTIFS('Retal Tran Line Item'!D:D,"BLU-RAY",'Retal Tran Line Item'!H:H,A165)/J165</f>
        <v>0.625</v>
      </c>
    </row>
    <row r="166" spans="1:12">
      <c r="A166" s="1">
        <v>363931</v>
      </c>
      <c r="B166" s="1" t="s">
        <v>302</v>
      </c>
      <c r="C166" s="1" t="s">
        <v>664</v>
      </c>
      <c r="D166" s="1" t="s">
        <v>665</v>
      </c>
      <c r="E166" s="1" t="s">
        <v>26</v>
      </c>
      <c r="F166" s="1" t="s">
        <v>666</v>
      </c>
      <c r="G166" s="2">
        <v>41098</v>
      </c>
      <c r="H166" s="1" t="b">
        <v>1</v>
      </c>
      <c r="I166" s="6" t="s">
        <v>28</v>
      </c>
      <c r="J166" s="1">
        <f>COUNTIF('Rental Transaction'!B166:B4037,A166)</f>
        <v>6</v>
      </c>
      <c r="K166" s="1">
        <f>SUMIF('Rental Transaction'!B:B,A166,'Rental Transaction'!H:H)</f>
        <v>47</v>
      </c>
      <c r="L166" s="17">
        <f>COUNTIFS('Retal Tran Line Item'!D:D,"BLU-RAY",'Retal Tran Line Item'!H:H,A166)/J166</f>
        <v>0.33333333333333331</v>
      </c>
    </row>
    <row r="167" spans="1:12">
      <c r="A167" s="1">
        <v>366695</v>
      </c>
      <c r="B167" s="1" t="s">
        <v>78</v>
      </c>
      <c r="C167" s="1" t="s">
        <v>667</v>
      </c>
      <c r="D167" s="1" t="s">
        <v>668</v>
      </c>
      <c r="E167" s="1" t="s">
        <v>152</v>
      </c>
      <c r="F167" s="1" t="s">
        <v>669</v>
      </c>
      <c r="G167" s="2">
        <v>41324</v>
      </c>
      <c r="H167" s="1" t="b">
        <v>0</v>
      </c>
      <c r="I167" s="6" t="s">
        <v>33</v>
      </c>
      <c r="J167" s="1">
        <f>COUNTIF('Rental Transaction'!B167:B4038,A167)</f>
        <v>8</v>
      </c>
      <c r="K167" s="1">
        <f>SUMIF('Rental Transaction'!B:B,A167,'Rental Transaction'!H:H)</f>
        <v>58</v>
      </c>
      <c r="L167" s="17">
        <f>COUNTIFS('Retal Tran Line Item'!D:D,"BLU-RAY",'Retal Tran Line Item'!H:H,A167)/J167</f>
        <v>0.875</v>
      </c>
    </row>
    <row r="168" spans="1:12">
      <c r="A168" s="1">
        <v>370366</v>
      </c>
      <c r="B168" s="1" t="s">
        <v>670</v>
      </c>
      <c r="C168" s="1" t="s">
        <v>382</v>
      </c>
      <c r="D168" s="1" t="s">
        <v>671</v>
      </c>
      <c r="E168" s="1" t="s">
        <v>26</v>
      </c>
      <c r="F168" s="1" t="s">
        <v>672</v>
      </c>
      <c r="G168" s="2">
        <v>41330</v>
      </c>
      <c r="H168" s="1" t="b">
        <v>1</v>
      </c>
      <c r="I168" s="6" t="s">
        <v>28</v>
      </c>
      <c r="J168" s="1">
        <f>COUNTIF('Rental Transaction'!B168:B4039,A168)</f>
        <v>4</v>
      </c>
      <c r="K168" s="1">
        <f>SUMIF('Rental Transaction'!B:B,A168,'Rental Transaction'!H:H)</f>
        <v>35</v>
      </c>
      <c r="L168" s="17">
        <f>COUNTIFS('Retal Tran Line Item'!D:D,"BLU-RAY",'Retal Tran Line Item'!H:H,A168)/J168</f>
        <v>0.25</v>
      </c>
    </row>
    <row r="169" spans="1:12">
      <c r="A169" s="1">
        <v>370870</v>
      </c>
      <c r="B169" s="1" t="s">
        <v>673</v>
      </c>
      <c r="C169" s="1" t="s">
        <v>674</v>
      </c>
      <c r="D169" s="1" t="s">
        <v>675</v>
      </c>
      <c r="E169" s="1" t="s">
        <v>26</v>
      </c>
      <c r="F169" s="1" t="s">
        <v>676</v>
      </c>
      <c r="G169" s="2">
        <v>41105</v>
      </c>
      <c r="H169" s="1" t="b">
        <v>1</v>
      </c>
      <c r="I169" s="6" t="s">
        <v>28</v>
      </c>
      <c r="J169" s="1">
        <f>COUNTIF('Rental Transaction'!B169:B4040,A169)</f>
        <v>4</v>
      </c>
      <c r="K169" s="1">
        <f>SUMIF('Rental Transaction'!B:B,A169,'Rental Transaction'!H:H)</f>
        <v>53</v>
      </c>
      <c r="L169" s="17">
        <f>COUNTIFS('Retal Tran Line Item'!D:D,"BLU-RAY",'Retal Tran Line Item'!H:H,A169)/J169</f>
        <v>0.5</v>
      </c>
    </row>
    <row r="170" spans="1:12">
      <c r="A170" s="1">
        <v>371731</v>
      </c>
      <c r="B170" s="1" t="s">
        <v>677</v>
      </c>
      <c r="C170" s="1" t="s">
        <v>678</v>
      </c>
      <c r="D170" s="1" t="s">
        <v>679</v>
      </c>
      <c r="E170" s="1" t="s">
        <v>26</v>
      </c>
      <c r="F170" s="1" t="s">
        <v>680</v>
      </c>
      <c r="G170" s="2">
        <v>41373</v>
      </c>
      <c r="H170" s="1" t="b">
        <v>1</v>
      </c>
      <c r="I170" s="6" t="s">
        <v>33</v>
      </c>
      <c r="J170" s="1">
        <f>COUNTIF('Rental Transaction'!B170:B4041,A170)</f>
        <v>8</v>
      </c>
      <c r="K170" s="1">
        <f>SUMIF('Rental Transaction'!B:B,A170,'Rental Transaction'!H:H)</f>
        <v>103</v>
      </c>
      <c r="L170" s="17">
        <f>COUNTIFS('Retal Tran Line Item'!D:D,"BLU-RAY",'Retal Tran Line Item'!H:H,A170)/J170</f>
        <v>1</v>
      </c>
    </row>
    <row r="171" spans="1:12">
      <c r="A171" s="1">
        <v>373200</v>
      </c>
      <c r="B171" s="1" t="s">
        <v>681</v>
      </c>
      <c r="C171" s="1" t="s">
        <v>682</v>
      </c>
      <c r="D171" s="1" t="s">
        <v>683</v>
      </c>
      <c r="E171" s="1" t="s">
        <v>26</v>
      </c>
      <c r="F171" s="1" t="s">
        <v>684</v>
      </c>
      <c r="G171" s="2">
        <v>41534</v>
      </c>
      <c r="H171" s="1" t="b">
        <v>0</v>
      </c>
      <c r="I171" s="6" t="s">
        <v>33</v>
      </c>
      <c r="J171" s="1">
        <f>COUNTIF('Rental Transaction'!B171:B4042,A171)</f>
        <v>11</v>
      </c>
      <c r="K171" s="1">
        <f>SUMIF('Rental Transaction'!B:B,A171,'Rental Transaction'!H:H)</f>
        <v>134</v>
      </c>
      <c r="L171" s="17">
        <f>COUNTIFS('Retal Tran Line Item'!D:D,"BLU-RAY",'Retal Tran Line Item'!H:H,A171)/J171</f>
        <v>1.0909090909090908</v>
      </c>
    </row>
    <row r="172" spans="1:12">
      <c r="A172" s="1">
        <v>378374</v>
      </c>
      <c r="B172" s="1" t="s">
        <v>685</v>
      </c>
      <c r="C172" s="1" t="s">
        <v>686</v>
      </c>
      <c r="D172" s="1" t="s">
        <v>687</v>
      </c>
      <c r="E172" s="1" t="s">
        <v>284</v>
      </c>
      <c r="F172" s="1" t="s">
        <v>688</v>
      </c>
      <c r="G172" s="2">
        <v>41152</v>
      </c>
      <c r="H172" s="1" t="b">
        <v>0</v>
      </c>
      <c r="I172" s="6" t="s">
        <v>28</v>
      </c>
      <c r="J172" s="1">
        <f>COUNTIF('Rental Transaction'!B172:B4043,A172)</f>
        <v>11</v>
      </c>
      <c r="K172" s="1">
        <f>SUMIF('Rental Transaction'!B:B,A172,'Rental Transaction'!H:H)</f>
        <v>121</v>
      </c>
      <c r="L172" s="17">
        <f>COUNTIFS('Retal Tran Line Item'!D:D,"BLU-RAY",'Retal Tran Line Item'!H:H,A172)/J172</f>
        <v>0.81818181818181823</v>
      </c>
    </row>
    <row r="173" spans="1:12">
      <c r="A173" s="1">
        <v>380003</v>
      </c>
      <c r="B173" s="1" t="s">
        <v>689</v>
      </c>
      <c r="C173" s="1" t="s">
        <v>690</v>
      </c>
      <c r="D173" s="1" t="s">
        <v>691</v>
      </c>
      <c r="E173" s="1" t="s">
        <v>26</v>
      </c>
      <c r="F173" s="1" t="s">
        <v>692</v>
      </c>
      <c r="G173" s="2">
        <v>41203</v>
      </c>
      <c r="H173" s="1" t="b">
        <v>0</v>
      </c>
      <c r="I173" s="6" t="s">
        <v>28</v>
      </c>
      <c r="J173" s="1">
        <f>COUNTIF('Rental Transaction'!B173:B4044,A173)</f>
        <v>7</v>
      </c>
      <c r="K173" s="1">
        <f>SUMIF('Rental Transaction'!B:B,A173,'Rental Transaction'!H:H)</f>
        <v>73</v>
      </c>
      <c r="L173" s="17">
        <f>COUNTIFS('Retal Tran Line Item'!D:D,"BLU-RAY",'Retal Tran Line Item'!H:H,A173)/J173</f>
        <v>0.2857142857142857</v>
      </c>
    </row>
    <row r="174" spans="1:12">
      <c r="A174" s="1">
        <v>383684</v>
      </c>
      <c r="B174" s="1" t="s">
        <v>693</v>
      </c>
      <c r="C174" s="1" t="s">
        <v>694</v>
      </c>
      <c r="D174" s="1" t="s">
        <v>695</v>
      </c>
      <c r="E174" s="1" t="s">
        <v>26</v>
      </c>
      <c r="F174" s="1" t="s">
        <v>696</v>
      </c>
      <c r="G174" s="2">
        <v>41227</v>
      </c>
      <c r="H174" s="1" t="b">
        <v>0</v>
      </c>
      <c r="I174" s="6" t="s">
        <v>28</v>
      </c>
      <c r="J174" s="1">
        <f>COUNTIF('Rental Transaction'!B174:B4045,A174)</f>
        <v>3</v>
      </c>
      <c r="K174" s="1">
        <f>SUMIF('Rental Transaction'!B:B,A174,'Rental Transaction'!H:H)</f>
        <v>16</v>
      </c>
      <c r="L174" s="17">
        <f>COUNTIFS('Retal Tran Line Item'!D:D,"BLU-RAY",'Retal Tran Line Item'!H:H,A174)/J174</f>
        <v>0.33333333333333331</v>
      </c>
    </row>
    <row r="175" spans="1:12">
      <c r="A175" s="1">
        <v>384899</v>
      </c>
      <c r="B175" s="1" t="s">
        <v>198</v>
      </c>
      <c r="C175" s="1" t="s">
        <v>697</v>
      </c>
      <c r="D175" s="1" t="s">
        <v>698</v>
      </c>
      <c r="E175" s="1" t="s">
        <v>26</v>
      </c>
      <c r="F175" s="1" t="s">
        <v>699</v>
      </c>
      <c r="G175" s="2">
        <v>41531</v>
      </c>
      <c r="H175" s="1" t="b">
        <v>0</v>
      </c>
      <c r="I175" s="6" t="s">
        <v>28</v>
      </c>
      <c r="J175" s="1">
        <f>COUNTIF('Rental Transaction'!B175:B4046,A175)</f>
        <v>5</v>
      </c>
      <c r="K175" s="1">
        <f>SUMIF('Rental Transaction'!B:B,A175,'Rental Transaction'!H:H)</f>
        <v>65</v>
      </c>
      <c r="L175" s="17">
        <f>COUNTIFS('Retal Tran Line Item'!D:D,"BLU-RAY",'Retal Tran Line Item'!H:H,A175)/J175</f>
        <v>0.6</v>
      </c>
    </row>
    <row r="176" spans="1:12">
      <c r="A176" s="1">
        <v>385115</v>
      </c>
      <c r="B176" s="1" t="s">
        <v>700</v>
      </c>
      <c r="C176" s="1" t="s">
        <v>701</v>
      </c>
      <c r="D176" s="1" t="s">
        <v>702</v>
      </c>
      <c r="E176" s="1" t="s">
        <v>201</v>
      </c>
      <c r="F176" s="1" t="s">
        <v>703</v>
      </c>
      <c r="G176" s="2">
        <v>41395</v>
      </c>
      <c r="H176" s="1" t="b">
        <v>1</v>
      </c>
      <c r="I176" s="6" t="s">
        <v>28</v>
      </c>
      <c r="J176" s="1">
        <f>COUNTIF('Rental Transaction'!B176:B4047,A176)</f>
        <v>8</v>
      </c>
      <c r="K176" s="1">
        <f>SUMIF('Rental Transaction'!B:B,A176,'Rental Transaction'!H:H)</f>
        <v>68</v>
      </c>
      <c r="L176" s="17">
        <f>COUNTIFS('Retal Tran Line Item'!D:D,"BLU-RAY",'Retal Tran Line Item'!H:H,A176)/J176</f>
        <v>0.625</v>
      </c>
    </row>
    <row r="177" spans="1:12">
      <c r="A177" s="1">
        <v>386336</v>
      </c>
      <c r="B177" s="1" t="s">
        <v>220</v>
      </c>
      <c r="C177" s="1" t="s">
        <v>704</v>
      </c>
      <c r="D177" s="1" t="s">
        <v>705</v>
      </c>
      <c r="E177" s="1" t="s">
        <v>26</v>
      </c>
      <c r="F177" s="1" t="s">
        <v>706</v>
      </c>
      <c r="G177" s="2">
        <v>41104</v>
      </c>
      <c r="H177" s="1" t="b">
        <v>1</v>
      </c>
      <c r="I177" s="6" t="s">
        <v>33</v>
      </c>
      <c r="J177" s="1">
        <f>COUNTIF('Rental Transaction'!B177:B4048,A177)</f>
        <v>2</v>
      </c>
      <c r="K177" s="1">
        <f>SUMIF('Rental Transaction'!B:B,A177,'Rental Transaction'!H:H)</f>
        <v>28</v>
      </c>
      <c r="L177" s="17">
        <f>COUNTIFS('Retal Tran Line Item'!D:D,"BLU-RAY",'Retal Tran Line Item'!H:H,A177)/J177</f>
        <v>0.5</v>
      </c>
    </row>
    <row r="178" spans="1:12">
      <c r="A178" s="1">
        <v>386950</v>
      </c>
      <c r="B178" s="1" t="s">
        <v>707</v>
      </c>
      <c r="C178" s="1" t="s">
        <v>708</v>
      </c>
      <c r="D178" s="1" t="s">
        <v>709</v>
      </c>
      <c r="E178" s="1" t="s">
        <v>26</v>
      </c>
      <c r="F178" s="1" t="s">
        <v>710</v>
      </c>
      <c r="G178" s="2">
        <v>41300</v>
      </c>
      <c r="H178" s="1" t="b">
        <v>1</v>
      </c>
      <c r="I178" s="6" t="s">
        <v>33</v>
      </c>
      <c r="J178" s="1">
        <f>COUNTIF('Rental Transaction'!B178:B4049,A178)</f>
        <v>5</v>
      </c>
      <c r="K178" s="1">
        <f>SUMIF('Rental Transaction'!B:B,A178,'Rental Transaction'!H:H)</f>
        <v>33</v>
      </c>
      <c r="L178" s="17">
        <f>COUNTIFS('Retal Tran Line Item'!D:D,"BLU-RAY",'Retal Tran Line Item'!H:H,A178)/J178</f>
        <v>0</v>
      </c>
    </row>
    <row r="179" spans="1:12">
      <c r="A179" s="1">
        <v>390130</v>
      </c>
      <c r="B179" s="1" t="s">
        <v>711</v>
      </c>
      <c r="C179" s="1" t="s">
        <v>712</v>
      </c>
      <c r="D179" s="1" t="s">
        <v>713</v>
      </c>
      <c r="E179" s="1" t="s">
        <v>26</v>
      </c>
      <c r="F179" s="1" t="s">
        <v>714</v>
      </c>
      <c r="G179" s="2">
        <v>41365</v>
      </c>
      <c r="H179" s="1" t="b">
        <v>1</v>
      </c>
      <c r="I179" s="6" t="s">
        <v>28</v>
      </c>
      <c r="J179" s="1">
        <f>COUNTIF('Rental Transaction'!B179:B4050,A179)</f>
        <v>7</v>
      </c>
      <c r="K179" s="1">
        <f>SUMIF('Rental Transaction'!B:B,A179,'Rental Transaction'!H:H)</f>
        <v>46</v>
      </c>
      <c r="L179" s="17">
        <f>COUNTIFS('Retal Tran Line Item'!D:D,"BLU-RAY",'Retal Tran Line Item'!H:H,A179)/J179</f>
        <v>0.42857142857142855</v>
      </c>
    </row>
    <row r="180" spans="1:12">
      <c r="A180" s="1">
        <v>393120</v>
      </c>
      <c r="B180" s="1" t="s">
        <v>715</v>
      </c>
      <c r="C180" s="1" t="s">
        <v>568</v>
      </c>
      <c r="D180" s="1" t="s">
        <v>716</v>
      </c>
      <c r="E180" s="1" t="s">
        <v>223</v>
      </c>
      <c r="F180" s="1" t="s">
        <v>717</v>
      </c>
      <c r="G180" s="2">
        <v>41301</v>
      </c>
      <c r="H180" s="1" t="b">
        <v>1</v>
      </c>
      <c r="I180" s="6" t="s">
        <v>33</v>
      </c>
      <c r="J180" s="1">
        <f>COUNTIF('Rental Transaction'!B180:B4051,A180)</f>
        <v>6</v>
      </c>
      <c r="K180" s="1">
        <f>SUMIF('Rental Transaction'!B:B,A180,'Rental Transaction'!H:H)</f>
        <v>95</v>
      </c>
      <c r="L180" s="17">
        <f>COUNTIFS('Retal Tran Line Item'!D:D,"BLU-RAY",'Retal Tran Line Item'!H:H,A180)/J180</f>
        <v>0.83333333333333337</v>
      </c>
    </row>
    <row r="181" spans="1:12">
      <c r="A181" s="1">
        <v>393893</v>
      </c>
      <c r="B181" s="1" t="s">
        <v>172</v>
      </c>
      <c r="C181" s="1" t="s">
        <v>718</v>
      </c>
      <c r="D181" s="1" t="s">
        <v>719</v>
      </c>
      <c r="E181" s="1" t="s">
        <v>521</v>
      </c>
      <c r="F181" s="1" t="s">
        <v>720</v>
      </c>
      <c r="G181" s="2">
        <v>41525</v>
      </c>
      <c r="H181" s="1" t="b">
        <v>1</v>
      </c>
      <c r="I181" s="6" t="s">
        <v>28</v>
      </c>
      <c r="J181" s="1">
        <f>COUNTIF('Rental Transaction'!B181:B4052,A181)</f>
        <v>7</v>
      </c>
      <c r="K181" s="1">
        <f>SUMIF('Rental Transaction'!B:B,A181,'Rental Transaction'!H:H)</f>
        <v>72</v>
      </c>
      <c r="L181" s="17">
        <f>COUNTIFS('Retal Tran Line Item'!D:D,"BLU-RAY",'Retal Tran Line Item'!H:H,A181)/J181</f>
        <v>0.7142857142857143</v>
      </c>
    </row>
    <row r="182" spans="1:12">
      <c r="A182" s="1">
        <v>395125</v>
      </c>
      <c r="B182" s="1" t="s">
        <v>721</v>
      </c>
      <c r="C182" s="1" t="s">
        <v>722</v>
      </c>
      <c r="D182" s="1" t="s">
        <v>723</v>
      </c>
      <c r="E182" s="1" t="s">
        <v>26</v>
      </c>
      <c r="F182" s="1" t="s">
        <v>724</v>
      </c>
      <c r="G182" s="2">
        <v>41516</v>
      </c>
      <c r="H182" s="1" t="b">
        <v>1</v>
      </c>
      <c r="I182" s="6" t="s">
        <v>28</v>
      </c>
      <c r="J182" s="1">
        <f>COUNTIF('Rental Transaction'!B182:B4053,A182)</f>
        <v>6</v>
      </c>
      <c r="K182" s="1">
        <f>SUMIF('Rental Transaction'!B:B,A182,'Rental Transaction'!H:H)</f>
        <v>55</v>
      </c>
      <c r="L182" s="17">
        <f>COUNTIFS('Retal Tran Line Item'!D:D,"BLU-RAY",'Retal Tran Line Item'!H:H,A182)/J182</f>
        <v>1.3333333333333333</v>
      </c>
    </row>
    <row r="183" spans="1:12">
      <c r="A183" s="1">
        <v>396166</v>
      </c>
      <c r="B183" s="1" t="s">
        <v>61</v>
      </c>
      <c r="C183" s="1" t="s">
        <v>725</v>
      </c>
      <c r="D183" s="1" t="s">
        <v>726</v>
      </c>
      <c r="E183" s="1" t="s">
        <v>26</v>
      </c>
      <c r="F183" s="1" t="s">
        <v>727</v>
      </c>
      <c r="G183" s="2">
        <v>41452</v>
      </c>
      <c r="H183" s="1" t="b">
        <v>1</v>
      </c>
      <c r="I183" s="6" t="s">
        <v>33</v>
      </c>
      <c r="J183" s="1">
        <f>COUNTIF('Rental Transaction'!B183:B4054,A183)</f>
        <v>11</v>
      </c>
      <c r="K183" s="1">
        <f>SUMIF('Rental Transaction'!B:B,A183,'Rental Transaction'!H:H)</f>
        <v>85</v>
      </c>
      <c r="L183" s="17">
        <f>COUNTIFS('Retal Tran Line Item'!D:D,"BLU-RAY",'Retal Tran Line Item'!H:H,A183)/J183</f>
        <v>0.63636363636363635</v>
      </c>
    </row>
    <row r="184" spans="1:12">
      <c r="A184" s="1">
        <v>403000</v>
      </c>
      <c r="B184" s="1" t="s">
        <v>728</v>
      </c>
      <c r="C184" s="1" t="s">
        <v>729</v>
      </c>
      <c r="D184" s="1" t="s">
        <v>730</v>
      </c>
      <c r="E184" s="1" t="s">
        <v>26</v>
      </c>
      <c r="F184" s="1" t="s">
        <v>731</v>
      </c>
      <c r="G184" s="2">
        <v>41453</v>
      </c>
      <c r="H184" s="1" t="b">
        <v>1</v>
      </c>
      <c r="I184" s="6" t="s">
        <v>33</v>
      </c>
      <c r="J184" s="1">
        <f>COUNTIF('Rental Transaction'!B184:B4055,A184)</f>
        <v>7</v>
      </c>
      <c r="K184" s="1">
        <f>SUMIF('Rental Transaction'!B:B,A184,'Rental Transaction'!H:H)</f>
        <v>67</v>
      </c>
      <c r="L184" s="17">
        <f>COUNTIFS('Retal Tran Line Item'!D:D,"BLU-RAY",'Retal Tran Line Item'!H:H,A184)/J184</f>
        <v>0.5714285714285714</v>
      </c>
    </row>
    <row r="185" spans="1:12">
      <c r="A185" s="1">
        <v>404678</v>
      </c>
      <c r="B185" s="1" t="s">
        <v>53</v>
      </c>
      <c r="C185" s="1" t="s">
        <v>635</v>
      </c>
      <c r="D185" s="1" t="s">
        <v>732</v>
      </c>
      <c r="E185" s="1" t="s">
        <v>42</v>
      </c>
      <c r="F185" s="1" t="s">
        <v>733</v>
      </c>
      <c r="G185" s="2">
        <v>41241</v>
      </c>
      <c r="H185" s="1" t="b">
        <v>1</v>
      </c>
      <c r="I185" s="6" t="s">
        <v>33</v>
      </c>
      <c r="J185" s="1">
        <f>COUNTIF('Rental Transaction'!B185:B4056,A185)</f>
        <v>14</v>
      </c>
      <c r="K185" s="1">
        <f>SUMIF('Rental Transaction'!B:B,A185,'Rental Transaction'!H:H)</f>
        <v>94</v>
      </c>
      <c r="L185" s="17">
        <f>COUNTIFS('Retal Tran Line Item'!D:D,"BLU-RAY",'Retal Tran Line Item'!H:H,A185)/J185</f>
        <v>0.35714285714285715</v>
      </c>
    </row>
    <row r="186" spans="1:12">
      <c r="A186" s="1">
        <v>405322</v>
      </c>
      <c r="B186" s="1" t="s">
        <v>734</v>
      </c>
      <c r="C186" s="1" t="s">
        <v>735</v>
      </c>
      <c r="D186" s="1" t="s">
        <v>736</v>
      </c>
      <c r="E186" s="1" t="s">
        <v>26</v>
      </c>
      <c r="F186" s="1" t="s">
        <v>737</v>
      </c>
      <c r="G186" s="2">
        <v>41147</v>
      </c>
      <c r="H186" s="1" t="b">
        <v>1</v>
      </c>
      <c r="I186" s="6" t="s">
        <v>28</v>
      </c>
      <c r="J186" s="1">
        <f>COUNTIF('Rental Transaction'!B186:B4057,A186)</f>
        <v>4</v>
      </c>
      <c r="K186" s="1">
        <f>SUMIF('Rental Transaction'!B:B,A186,'Rental Transaction'!H:H)</f>
        <v>28</v>
      </c>
      <c r="L186" s="17">
        <f>COUNTIFS('Retal Tran Line Item'!D:D,"BLU-RAY",'Retal Tran Line Item'!H:H,A186)/J186</f>
        <v>0.5</v>
      </c>
    </row>
    <row r="187" spans="1:12">
      <c r="A187" s="1">
        <v>405671</v>
      </c>
      <c r="B187" s="1" t="s">
        <v>258</v>
      </c>
      <c r="C187" s="1" t="s">
        <v>738</v>
      </c>
      <c r="D187" s="1" t="s">
        <v>739</v>
      </c>
      <c r="E187" s="1" t="s">
        <v>26</v>
      </c>
      <c r="F187" s="1" t="s">
        <v>740</v>
      </c>
      <c r="G187" s="2">
        <v>41390</v>
      </c>
      <c r="H187" s="1" t="b">
        <v>1</v>
      </c>
      <c r="I187" s="6" t="s">
        <v>33</v>
      </c>
      <c r="J187" s="1">
        <f>COUNTIF('Rental Transaction'!B187:B4058,A187)</f>
        <v>4</v>
      </c>
      <c r="K187" s="1">
        <f>SUMIF('Rental Transaction'!B:B,A187,'Rental Transaction'!H:H)</f>
        <v>28</v>
      </c>
      <c r="L187" s="17">
        <f>COUNTIFS('Retal Tran Line Item'!D:D,"BLU-RAY",'Retal Tran Line Item'!H:H,A187)/J187</f>
        <v>0</v>
      </c>
    </row>
    <row r="188" spans="1:12">
      <c r="A188" s="1">
        <v>407605</v>
      </c>
      <c r="B188" s="1" t="s">
        <v>741</v>
      </c>
      <c r="C188" s="1" t="s">
        <v>742</v>
      </c>
      <c r="D188" s="1" t="s">
        <v>743</v>
      </c>
      <c r="E188" s="1" t="s">
        <v>26</v>
      </c>
      <c r="F188" s="1" t="s">
        <v>744</v>
      </c>
      <c r="G188" s="2">
        <v>41391</v>
      </c>
      <c r="H188" s="1" t="b">
        <v>0</v>
      </c>
      <c r="I188" s="6" t="s">
        <v>28</v>
      </c>
      <c r="J188" s="1">
        <f>COUNTIF('Rental Transaction'!B188:B4059,A188)</f>
        <v>13</v>
      </c>
      <c r="K188" s="1">
        <f>SUMIF('Rental Transaction'!B:B,A188,'Rental Transaction'!H:H)</f>
        <v>130</v>
      </c>
      <c r="L188" s="17">
        <f>COUNTIFS('Retal Tran Line Item'!D:D,"BLU-RAY",'Retal Tran Line Item'!H:H,A188)/J188</f>
        <v>0.84615384615384615</v>
      </c>
    </row>
    <row r="189" spans="1:12">
      <c r="A189" s="1">
        <v>408341</v>
      </c>
      <c r="B189" s="1" t="s">
        <v>526</v>
      </c>
      <c r="C189" s="1" t="s">
        <v>745</v>
      </c>
      <c r="D189" s="1" t="s">
        <v>746</v>
      </c>
      <c r="E189" s="1" t="s">
        <v>26</v>
      </c>
      <c r="F189" s="1" t="s">
        <v>747</v>
      </c>
      <c r="G189" s="2">
        <v>41142</v>
      </c>
      <c r="H189" s="1" t="b">
        <v>0</v>
      </c>
      <c r="I189" s="6" t="s">
        <v>33</v>
      </c>
      <c r="J189" s="1">
        <f>COUNTIF('Rental Transaction'!B189:B4060,A189)</f>
        <v>7</v>
      </c>
      <c r="K189" s="1">
        <f>SUMIF('Rental Transaction'!B:B,A189,'Rental Transaction'!H:H)</f>
        <v>53</v>
      </c>
      <c r="L189" s="17">
        <f>COUNTIFS('Retal Tran Line Item'!D:D,"BLU-RAY",'Retal Tran Line Item'!H:H,A189)/J189</f>
        <v>0.5714285714285714</v>
      </c>
    </row>
    <row r="190" spans="1:12">
      <c r="A190" s="1">
        <v>409910</v>
      </c>
      <c r="B190" s="1" t="s">
        <v>748</v>
      </c>
      <c r="C190" s="1" t="s">
        <v>749</v>
      </c>
      <c r="D190" s="1" t="s">
        <v>750</v>
      </c>
      <c r="E190" s="1" t="s">
        <v>26</v>
      </c>
      <c r="F190" s="1" t="s">
        <v>751</v>
      </c>
      <c r="G190" s="2">
        <v>41235</v>
      </c>
      <c r="H190" s="1" t="b">
        <v>0</v>
      </c>
      <c r="I190" s="6" t="s">
        <v>28</v>
      </c>
      <c r="J190" s="1">
        <f>COUNTIF('Rental Transaction'!B190:B4061,A190)</f>
        <v>5</v>
      </c>
      <c r="K190" s="1">
        <f>SUMIF('Rental Transaction'!B:B,A190,'Rental Transaction'!H:H)</f>
        <v>29</v>
      </c>
      <c r="L190" s="17">
        <f>COUNTIFS('Retal Tran Line Item'!D:D,"BLU-RAY",'Retal Tran Line Item'!H:H,A190)/J190</f>
        <v>0.4</v>
      </c>
    </row>
    <row r="191" spans="1:12">
      <c r="A191" s="1">
        <v>412235</v>
      </c>
      <c r="B191" s="1" t="s">
        <v>752</v>
      </c>
      <c r="C191" s="1" t="s">
        <v>753</v>
      </c>
      <c r="D191" s="1" t="s">
        <v>754</v>
      </c>
      <c r="E191" s="1" t="s">
        <v>26</v>
      </c>
      <c r="F191" s="1" t="s">
        <v>755</v>
      </c>
      <c r="G191" s="2">
        <v>41488</v>
      </c>
      <c r="H191" s="1" t="b">
        <v>1</v>
      </c>
      <c r="I191" s="6" t="s">
        <v>33</v>
      </c>
      <c r="J191" s="1">
        <f>COUNTIF('Rental Transaction'!B191:B4062,A191)</f>
        <v>8</v>
      </c>
      <c r="K191" s="1">
        <f>SUMIF('Rental Transaction'!B:B,A191,'Rental Transaction'!H:H)</f>
        <v>61</v>
      </c>
      <c r="L191" s="17">
        <f>COUNTIFS('Retal Tran Line Item'!D:D,"BLU-RAY",'Retal Tran Line Item'!H:H,A191)/J191</f>
        <v>0.75</v>
      </c>
    </row>
    <row r="192" spans="1:12">
      <c r="A192" s="1">
        <v>412544</v>
      </c>
      <c r="B192" s="1" t="s">
        <v>756</v>
      </c>
      <c r="C192" s="1" t="s">
        <v>757</v>
      </c>
      <c r="D192" s="1" t="s">
        <v>758</v>
      </c>
      <c r="E192" s="1" t="s">
        <v>26</v>
      </c>
      <c r="F192" s="1" t="s">
        <v>759</v>
      </c>
      <c r="G192" s="2">
        <v>41454</v>
      </c>
      <c r="H192" s="1" t="b">
        <v>1</v>
      </c>
      <c r="I192" s="6" t="s">
        <v>28</v>
      </c>
      <c r="J192" s="1">
        <f>COUNTIF('Rental Transaction'!B192:B4063,A192)</f>
        <v>13</v>
      </c>
      <c r="K192" s="1">
        <f>SUMIF('Rental Transaction'!B:B,A192,'Rental Transaction'!H:H)</f>
        <v>94</v>
      </c>
      <c r="L192" s="17">
        <f>COUNTIFS('Retal Tran Line Item'!D:D,"BLU-RAY",'Retal Tran Line Item'!H:H,A192)/J192</f>
        <v>0.38461538461538464</v>
      </c>
    </row>
    <row r="193" spans="1:12">
      <c r="A193" s="1">
        <v>412876</v>
      </c>
      <c r="B193" s="1" t="s">
        <v>760</v>
      </c>
      <c r="C193" s="1" t="s">
        <v>761</v>
      </c>
      <c r="D193" s="1" t="s">
        <v>762</v>
      </c>
      <c r="E193" s="1" t="s">
        <v>26</v>
      </c>
      <c r="F193" s="1" t="s">
        <v>763</v>
      </c>
      <c r="G193" s="2">
        <v>41353</v>
      </c>
      <c r="H193" s="1" t="b">
        <v>1</v>
      </c>
      <c r="I193" s="6" t="s">
        <v>33</v>
      </c>
      <c r="J193" s="1">
        <f>COUNTIF('Rental Transaction'!B193:B4064,A193)</f>
        <v>4</v>
      </c>
      <c r="K193" s="1">
        <f>SUMIF('Rental Transaction'!B:B,A193,'Rental Transaction'!H:H)</f>
        <v>32</v>
      </c>
      <c r="L193" s="17">
        <f>COUNTIFS('Retal Tran Line Item'!D:D,"BLU-RAY",'Retal Tran Line Item'!H:H,A193)/J193</f>
        <v>1</v>
      </c>
    </row>
    <row r="194" spans="1:12">
      <c r="A194" s="1">
        <v>412929</v>
      </c>
      <c r="B194" s="1" t="s">
        <v>764</v>
      </c>
      <c r="C194" s="1" t="s">
        <v>765</v>
      </c>
      <c r="D194" s="1" t="s">
        <v>766</v>
      </c>
      <c r="E194" s="1" t="s">
        <v>26</v>
      </c>
      <c r="F194" s="1" t="s">
        <v>767</v>
      </c>
      <c r="G194" s="2">
        <v>41367</v>
      </c>
      <c r="H194" s="1" t="b">
        <v>1</v>
      </c>
      <c r="I194" s="6" t="s">
        <v>33</v>
      </c>
      <c r="J194" s="1">
        <f>COUNTIF('Rental Transaction'!B194:B4065,A194)</f>
        <v>7</v>
      </c>
      <c r="K194" s="1">
        <f>SUMIF('Rental Transaction'!B:B,A194,'Rental Transaction'!H:H)</f>
        <v>55</v>
      </c>
      <c r="L194" s="17">
        <f>COUNTIFS('Retal Tran Line Item'!D:D,"BLU-RAY",'Retal Tran Line Item'!H:H,A194)/J194</f>
        <v>0.7142857142857143</v>
      </c>
    </row>
    <row r="195" spans="1:12">
      <c r="A195" s="1">
        <v>413292</v>
      </c>
      <c r="B195" s="1" t="s">
        <v>401</v>
      </c>
      <c r="C195" s="1" t="s">
        <v>768</v>
      </c>
      <c r="D195" s="1" t="s">
        <v>769</v>
      </c>
      <c r="E195" s="1" t="s">
        <v>26</v>
      </c>
      <c r="F195" s="1" t="s">
        <v>770</v>
      </c>
      <c r="G195" s="2">
        <v>41111</v>
      </c>
      <c r="H195" s="1" t="b">
        <v>0</v>
      </c>
      <c r="I195" s="6" t="s">
        <v>33</v>
      </c>
      <c r="J195" s="1">
        <f>COUNTIF('Rental Transaction'!B195:B4066,A195)</f>
        <v>5</v>
      </c>
      <c r="K195" s="1">
        <f>SUMIF('Rental Transaction'!B:B,A195,'Rental Transaction'!H:H)</f>
        <v>62</v>
      </c>
      <c r="L195" s="17">
        <f>COUNTIFS('Retal Tran Line Item'!D:D,"BLU-RAY",'Retal Tran Line Item'!H:H,A195)/J195</f>
        <v>0.8</v>
      </c>
    </row>
    <row r="196" spans="1:12">
      <c r="A196" s="1">
        <v>413495</v>
      </c>
      <c r="B196" s="1" t="s">
        <v>771</v>
      </c>
      <c r="C196" s="1" t="s">
        <v>772</v>
      </c>
      <c r="D196" s="1" t="s">
        <v>773</v>
      </c>
      <c r="E196" s="1" t="s">
        <v>26</v>
      </c>
      <c r="F196" s="1" t="s">
        <v>774</v>
      </c>
      <c r="G196" s="2">
        <v>41117</v>
      </c>
      <c r="H196" s="1" t="b">
        <v>1</v>
      </c>
      <c r="I196" s="6" t="s">
        <v>28</v>
      </c>
      <c r="J196" s="1">
        <f>COUNTIF('Rental Transaction'!B196:B4067,A196)</f>
        <v>3</v>
      </c>
      <c r="K196" s="1">
        <f>SUMIF('Rental Transaction'!B:B,A196,'Rental Transaction'!H:H)</f>
        <v>20</v>
      </c>
      <c r="L196" s="17">
        <f>COUNTIFS('Retal Tran Line Item'!D:D,"BLU-RAY",'Retal Tran Line Item'!H:H,A196)/J196</f>
        <v>0.33333333333333331</v>
      </c>
    </row>
    <row r="197" spans="1:12">
      <c r="A197" s="1">
        <v>414509</v>
      </c>
      <c r="B197" s="1" t="s">
        <v>290</v>
      </c>
      <c r="C197" s="1" t="s">
        <v>775</v>
      </c>
      <c r="D197" s="1" t="s">
        <v>776</v>
      </c>
      <c r="E197" s="1" t="s">
        <v>26</v>
      </c>
      <c r="F197" s="1" t="s">
        <v>777</v>
      </c>
      <c r="G197" s="2">
        <v>41389</v>
      </c>
      <c r="H197" s="1" t="b">
        <v>1</v>
      </c>
      <c r="I197" s="6" t="s">
        <v>33</v>
      </c>
      <c r="J197" s="1">
        <f>COUNTIF('Rental Transaction'!B197:B4068,A197)</f>
        <v>5</v>
      </c>
      <c r="K197" s="1">
        <f>SUMIF('Rental Transaction'!B:B,A197,'Rental Transaction'!H:H)</f>
        <v>51</v>
      </c>
      <c r="L197" s="17">
        <f>COUNTIFS('Retal Tran Line Item'!D:D,"BLU-RAY",'Retal Tran Line Item'!H:H,A197)/J197</f>
        <v>0.6</v>
      </c>
    </row>
    <row r="198" spans="1:12">
      <c r="A198" s="1">
        <v>415869</v>
      </c>
      <c r="B198" s="1" t="s">
        <v>118</v>
      </c>
      <c r="C198" s="1" t="s">
        <v>753</v>
      </c>
      <c r="D198" s="1" t="s">
        <v>778</v>
      </c>
      <c r="E198" s="1" t="s">
        <v>26</v>
      </c>
      <c r="F198" s="1" t="s">
        <v>779</v>
      </c>
      <c r="G198" s="2">
        <v>41313</v>
      </c>
      <c r="H198" s="1" t="b">
        <v>0</v>
      </c>
      <c r="I198" s="6" t="s">
        <v>33</v>
      </c>
      <c r="J198" s="1">
        <f>COUNTIF('Rental Transaction'!B198:B4069,A198)</f>
        <v>6</v>
      </c>
      <c r="K198" s="1">
        <f>SUMIF('Rental Transaction'!B:B,A198,'Rental Transaction'!H:H)</f>
        <v>43</v>
      </c>
      <c r="L198" s="17">
        <f>COUNTIFS('Retal Tran Line Item'!D:D,"BLU-RAY",'Retal Tran Line Item'!H:H,A198)/J198</f>
        <v>0.66666666666666663</v>
      </c>
    </row>
    <row r="199" spans="1:12">
      <c r="A199" s="1">
        <v>416523</v>
      </c>
      <c r="B199" s="1" t="s">
        <v>780</v>
      </c>
      <c r="C199" s="1" t="s">
        <v>111</v>
      </c>
      <c r="D199" s="1" t="s">
        <v>781</v>
      </c>
      <c r="E199" s="1" t="s">
        <v>201</v>
      </c>
      <c r="F199" s="1" t="s">
        <v>782</v>
      </c>
      <c r="G199" s="2">
        <v>41184</v>
      </c>
      <c r="H199" s="1" t="b">
        <v>1</v>
      </c>
      <c r="I199" s="6" t="s">
        <v>33</v>
      </c>
      <c r="J199" s="1">
        <f>COUNTIF('Rental Transaction'!B199:B4070,A199)</f>
        <v>6</v>
      </c>
      <c r="K199" s="1">
        <f>SUMIF('Rental Transaction'!B:B,A199,'Rental Transaction'!H:H)</f>
        <v>77</v>
      </c>
      <c r="L199" s="17">
        <f>COUNTIFS('Retal Tran Line Item'!D:D,"BLU-RAY",'Retal Tran Line Item'!H:H,A199)/J199</f>
        <v>0.5</v>
      </c>
    </row>
    <row r="200" spans="1:12">
      <c r="A200" s="1">
        <v>417823</v>
      </c>
      <c r="B200" s="1" t="s">
        <v>118</v>
      </c>
      <c r="C200" s="1" t="s">
        <v>783</v>
      </c>
      <c r="D200" s="1" t="s">
        <v>784</v>
      </c>
      <c r="E200" s="1" t="s">
        <v>26</v>
      </c>
      <c r="F200" s="1" t="s">
        <v>785</v>
      </c>
      <c r="G200" s="2">
        <v>41268</v>
      </c>
      <c r="H200" s="1" t="b">
        <v>1</v>
      </c>
      <c r="I200" s="6" t="s">
        <v>33</v>
      </c>
      <c r="J200" s="1">
        <f>COUNTIF('Rental Transaction'!B200:B4071,A200)</f>
        <v>8</v>
      </c>
      <c r="K200" s="1">
        <f>SUMIF('Rental Transaction'!B:B,A200,'Rental Transaction'!H:H)</f>
        <v>53</v>
      </c>
      <c r="L200" s="17">
        <f>COUNTIFS('Retal Tran Line Item'!D:D,"BLU-RAY",'Retal Tran Line Item'!H:H,A200)/J200</f>
        <v>0.625</v>
      </c>
    </row>
    <row r="201" spans="1:12">
      <c r="A201" s="1">
        <v>418506</v>
      </c>
      <c r="B201" s="1" t="s">
        <v>786</v>
      </c>
      <c r="C201" s="1" t="s">
        <v>787</v>
      </c>
      <c r="D201" s="1" t="s">
        <v>788</v>
      </c>
      <c r="E201" s="1" t="s">
        <v>789</v>
      </c>
      <c r="F201" s="1" t="s">
        <v>790</v>
      </c>
      <c r="G201" s="2">
        <v>41321</v>
      </c>
      <c r="H201" s="1" t="b">
        <v>1</v>
      </c>
      <c r="I201" s="6" t="s">
        <v>28</v>
      </c>
      <c r="J201" s="1">
        <f>COUNTIF('Rental Transaction'!B201:B4072,A201)</f>
        <v>8</v>
      </c>
      <c r="K201" s="1">
        <f>SUMIF('Rental Transaction'!B:B,A201,'Rental Transaction'!H:H)</f>
        <v>73</v>
      </c>
      <c r="L201" s="17">
        <f>COUNTIFS('Retal Tran Line Item'!D:D,"BLU-RAY",'Retal Tran Line Item'!H:H,A201)/J201</f>
        <v>0.625</v>
      </c>
    </row>
    <row r="202" spans="1:12">
      <c r="A202" s="1">
        <v>418521</v>
      </c>
      <c r="B202" s="1" t="s">
        <v>791</v>
      </c>
      <c r="C202" s="1" t="s">
        <v>792</v>
      </c>
      <c r="D202" s="1" t="s">
        <v>793</v>
      </c>
      <c r="E202" s="1" t="s">
        <v>26</v>
      </c>
      <c r="F202" s="1" t="s">
        <v>794</v>
      </c>
      <c r="G202" s="2">
        <v>41386</v>
      </c>
      <c r="H202" s="1" t="b">
        <v>1</v>
      </c>
      <c r="I202" s="6" t="s">
        <v>33</v>
      </c>
      <c r="J202" s="1">
        <f>COUNTIF('Rental Transaction'!B202:B4073,A202)</f>
        <v>5</v>
      </c>
      <c r="K202" s="1">
        <f>SUMIF('Rental Transaction'!B:B,A202,'Rental Transaction'!H:H)</f>
        <v>31</v>
      </c>
      <c r="L202" s="17">
        <f>COUNTIFS('Retal Tran Line Item'!D:D,"BLU-RAY",'Retal Tran Line Item'!H:H,A202)/J202</f>
        <v>0.2</v>
      </c>
    </row>
    <row r="203" spans="1:12">
      <c r="A203" s="1">
        <v>418635</v>
      </c>
      <c r="B203" s="1" t="s">
        <v>423</v>
      </c>
      <c r="C203" s="1" t="s">
        <v>795</v>
      </c>
      <c r="D203" s="1" t="s">
        <v>796</v>
      </c>
      <c r="E203" s="1" t="s">
        <v>26</v>
      </c>
      <c r="F203" s="1" t="s">
        <v>797</v>
      </c>
      <c r="G203" s="2">
        <v>41199</v>
      </c>
      <c r="H203" s="1" t="b">
        <v>0</v>
      </c>
      <c r="I203" s="6" t="s">
        <v>28</v>
      </c>
      <c r="J203" s="1">
        <f>COUNTIF('Rental Transaction'!B203:B4074,A203)</f>
        <v>6</v>
      </c>
      <c r="K203" s="1">
        <f>SUMIF('Rental Transaction'!B:B,A203,'Rental Transaction'!H:H)</f>
        <v>89</v>
      </c>
      <c r="L203" s="17">
        <f>COUNTIFS('Retal Tran Line Item'!D:D,"BLU-RAY",'Retal Tran Line Item'!H:H,A203)/J203</f>
        <v>0.83333333333333337</v>
      </c>
    </row>
    <row r="204" spans="1:12">
      <c r="A204" s="1">
        <v>420981</v>
      </c>
      <c r="B204" s="1" t="s">
        <v>69</v>
      </c>
      <c r="C204" s="1" t="s">
        <v>798</v>
      </c>
      <c r="D204" s="1" t="s">
        <v>799</v>
      </c>
      <c r="E204" s="1" t="s">
        <v>26</v>
      </c>
      <c r="F204" s="1" t="s">
        <v>800</v>
      </c>
      <c r="G204" s="2">
        <v>41451</v>
      </c>
      <c r="H204" s="1" t="b">
        <v>1</v>
      </c>
      <c r="I204" s="6" t="s">
        <v>28</v>
      </c>
      <c r="J204" s="1">
        <f>COUNTIF('Rental Transaction'!B204:B4075,A204)</f>
        <v>6</v>
      </c>
      <c r="K204" s="1">
        <f>SUMIF('Rental Transaction'!B:B,A204,'Rental Transaction'!H:H)</f>
        <v>56</v>
      </c>
      <c r="L204" s="17">
        <f>COUNTIFS('Retal Tran Line Item'!D:D,"BLU-RAY",'Retal Tran Line Item'!H:H,A204)/J204</f>
        <v>0.5</v>
      </c>
    </row>
    <row r="205" spans="1:12">
      <c r="A205" s="1">
        <v>421074</v>
      </c>
      <c r="B205" s="1" t="s">
        <v>801</v>
      </c>
      <c r="C205" s="1" t="s">
        <v>802</v>
      </c>
      <c r="D205" s="1" t="s">
        <v>803</v>
      </c>
      <c r="E205" s="1" t="s">
        <v>26</v>
      </c>
      <c r="F205" s="1" t="s">
        <v>804</v>
      </c>
      <c r="G205" s="2">
        <v>41242</v>
      </c>
      <c r="H205" s="1" t="b">
        <v>0</v>
      </c>
      <c r="I205" s="6" t="s">
        <v>28</v>
      </c>
      <c r="J205" s="1">
        <f>COUNTIF('Rental Transaction'!B205:B4076,A205)</f>
        <v>6</v>
      </c>
      <c r="K205" s="1">
        <f>SUMIF('Rental Transaction'!B:B,A205,'Rental Transaction'!H:H)</f>
        <v>59</v>
      </c>
      <c r="L205" s="17">
        <f>COUNTIFS('Retal Tran Line Item'!D:D,"BLU-RAY",'Retal Tran Line Item'!H:H,A205)/J205</f>
        <v>0.5</v>
      </c>
    </row>
    <row r="206" spans="1:12">
      <c r="A206" s="1">
        <v>422592</v>
      </c>
      <c r="B206" s="1" t="s">
        <v>700</v>
      </c>
      <c r="C206" s="1" t="s">
        <v>805</v>
      </c>
      <c r="D206" s="1" t="s">
        <v>806</v>
      </c>
      <c r="E206" s="1" t="s">
        <v>26</v>
      </c>
      <c r="F206" s="1" t="s">
        <v>807</v>
      </c>
      <c r="G206" s="2">
        <v>41165</v>
      </c>
      <c r="H206" s="1" t="b">
        <v>0</v>
      </c>
      <c r="I206" s="6" t="s">
        <v>28</v>
      </c>
      <c r="J206" s="1">
        <f>COUNTIF('Rental Transaction'!B206:B4077,A206)</f>
        <v>2</v>
      </c>
      <c r="K206" s="1">
        <f>SUMIF('Rental Transaction'!B:B,A206,'Rental Transaction'!H:H)</f>
        <v>30</v>
      </c>
      <c r="L206" s="17">
        <f>COUNTIFS('Retal Tran Line Item'!D:D,"BLU-RAY",'Retal Tran Line Item'!H:H,A206)/J206</f>
        <v>1</v>
      </c>
    </row>
    <row r="207" spans="1:12">
      <c r="A207" s="1">
        <v>422717</v>
      </c>
      <c r="B207" s="1" t="s">
        <v>808</v>
      </c>
      <c r="C207" s="1" t="s">
        <v>809</v>
      </c>
      <c r="D207" s="1" t="s">
        <v>810</v>
      </c>
      <c r="E207" s="1" t="s">
        <v>26</v>
      </c>
      <c r="F207" s="1" t="s">
        <v>811</v>
      </c>
      <c r="G207" s="2">
        <v>41209</v>
      </c>
      <c r="H207" s="1" t="b">
        <v>0</v>
      </c>
      <c r="I207" s="6" t="s">
        <v>33</v>
      </c>
      <c r="J207" s="1">
        <f>COUNTIF('Rental Transaction'!B207:B4078,A207)</f>
        <v>6</v>
      </c>
      <c r="K207" s="1">
        <f>SUMIF('Rental Transaction'!B:B,A207,'Rental Transaction'!H:H)</f>
        <v>66</v>
      </c>
      <c r="L207" s="17">
        <f>COUNTIFS('Retal Tran Line Item'!D:D,"BLU-RAY",'Retal Tran Line Item'!H:H,A207)/J207</f>
        <v>0.66666666666666663</v>
      </c>
    </row>
    <row r="208" spans="1:12">
      <c r="A208" s="1">
        <v>422951</v>
      </c>
      <c r="B208" s="1" t="s">
        <v>812</v>
      </c>
      <c r="C208" s="1" t="s">
        <v>813</v>
      </c>
      <c r="D208" s="1" t="s">
        <v>814</v>
      </c>
      <c r="E208" s="1" t="s">
        <v>26</v>
      </c>
      <c r="F208" s="1" t="s">
        <v>815</v>
      </c>
      <c r="G208" s="2">
        <v>41225</v>
      </c>
      <c r="H208" s="1" t="b">
        <v>0</v>
      </c>
      <c r="I208" s="6" t="s">
        <v>33</v>
      </c>
      <c r="J208" s="1">
        <f>COUNTIF('Rental Transaction'!B208:B4079,A208)</f>
        <v>8</v>
      </c>
      <c r="K208" s="1">
        <f>SUMIF('Rental Transaction'!B:B,A208,'Rental Transaction'!H:H)</f>
        <v>118</v>
      </c>
      <c r="L208" s="17">
        <f>COUNTIFS('Retal Tran Line Item'!D:D,"BLU-RAY",'Retal Tran Line Item'!H:H,A208)/J208</f>
        <v>0.75</v>
      </c>
    </row>
    <row r="209" spans="1:12">
      <c r="A209" s="1">
        <v>425051</v>
      </c>
      <c r="B209" s="1" t="s">
        <v>614</v>
      </c>
      <c r="C209" s="1" t="s">
        <v>816</v>
      </c>
      <c r="D209" s="1" t="s">
        <v>817</v>
      </c>
      <c r="E209" s="1" t="s">
        <v>26</v>
      </c>
      <c r="F209" s="1" t="s">
        <v>818</v>
      </c>
      <c r="G209" s="2">
        <v>41338</v>
      </c>
      <c r="H209" s="1" t="b">
        <v>0</v>
      </c>
      <c r="I209" s="6" t="s">
        <v>28</v>
      </c>
      <c r="J209" s="1">
        <f>COUNTIF('Rental Transaction'!B209:B4080,A209)</f>
        <v>6</v>
      </c>
      <c r="K209" s="1">
        <f>SUMIF('Rental Transaction'!B:B,A209,'Rental Transaction'!H:H)</f>
        <v>45</v>
      </c>
      <c r="L209" s="17">
        <f>COUNTIFS('Retal Tran Line Item'!D:D,"BLU-RAY",'Retal Tran Line Item'!H:H,A209)/J209</f>
        <v>0.83333333333333337</v>
      </c>
    </row>
    <row r="210" spans="1:12">
      <c r="A210" s="1">
        <v>426830</v>
      </c>
      <c r="B210" s="1" t="s">
        <v>819</v>
      </c>
      <c r="C210" s="1" t="s">
        <v>820</v>
      </c>
      <c r="D210" s="1" t="s">
        <v>821</v>
      </c>
      <c r="E210" s="1" t="s">
        <v>152</v>
      </c>
      <c r="F210" s="1" t="s">
        <v>822</v>
      </c>
      <c r="G210" s="2">
        <v>41215</v>
      </c>
      <c r="H210" s="1" t="b">
        <v>1</v>
      </c>
      <c r="I210" s="6" t="s">
        <v>28</v>
      </c>
      <c r="J210" s="1">
        <f>COUNTIF('Rental Transaction'!B210:B4081,A210)</f>
        <v>5</v>
      </c>
      <c r="K210" s="1">
        <f>SUMIF('Rental Transaction'!B:B,A210,'Rental Transaction'!H:H)</f>
        <v>69</v>
      </c>
      <c r="L210" s="17">
        <f>COUNTIFS('Retal Tran Line Item'!D:D,"BLU-RAY",'Retal Tran Line Item'!H:H,A210)/J210</f>
        <v>0.6</v>
      </c>
    </row>
    <row r="211" spans="1:12">
      <c r="A211" s="1">
        <v>426984</v>
      </c>
      <c r="B211" s="1" t="s">
        <v>823</v>
      </c>
      <c r="C211" s="1" t="s">
        <v>824</v>
      </c>
      <c r="D211" s="1" t="s">
        <v>825</v>
      </c>
      <c r="E211" s="1" t="s">
        <v>26</v>
      </c>
      <c r="F211" s="1" t="s">
        <v>826</v>
      </c>
      <c r="G211" s="2">
        <v>41318</v>
      </c>
      <c r="H211" s="1" t="b">
        <v>1</v>
      </c>
      <c r="I211" s="6" t="s">
        <v>28</v>
      </c>
      <c r="J211" s="1">
        <f>COUNTIF('Rental Transaction'!B211:B4082,A211)</f>
        <v>9</v>
      </c>
      <c r="K211" s="1">
        <f>SUMIF('Rental Transaction'!B:B,A211,'Rental Transaction'!H:H)</f>
        <v>86</v>
      </c>
      <c r="L211" s="17">
        <f>COUNTIFS('Retal Tran Line Item'!D:D,"BLU-RAY",'Retal Tran Line Item'!H:H,A211)/J211</f>
        <v>0.44444444444444442</v>
      </c>
    </row>
    <row r="212" spans="1:12">
      <c r="A212" s="1">
        <v>427391</v>
      </c>
      <c r="B212" s="1" t="s">
        <v>827</v>
      </c>
      <c r="C212" s="1" t="s">
        <v>828</v>
      </c>
      <c r="D212" s="1" t="s">
        <v>829</v>
      </c>
      <c r="E212" s="1" t="s">
        <v>830</v>
      </c>
      <c r="F212" s="1" t="s">
        <v>831</v>
      </c>
      <c r="G212" s="2">
        <v>41470</v>
      </c>
      <c r="H212" s="1" t="b">
        <v>1</v>
      </c>
      <c r="I212" s="6" t="s">
        <v>28</v>
      </c>
      <c r="J212" s="1">
        <f>COUNTIF('Rental Transaction'!B212:B4083,A212)</f>
        <v>10</v>
      </c>
      <c r="K212" s="1">
        <f>SUMIF('Rental Transaction'!B:B,A212,'Rental Transaction'!H:H)</f>
        <v>92</v>
      </c>
      <c r="L212" s="17">
        <f>COUNTIFS('Retal Tran Line Item'!D:D,"BLU-RAY",'Retal Tran Line Item'!H:H,A212)/J212</f>
        <v>0.7</v>
      </c>
    </row>
    <row r="213" spans="1:12">
      <c r="A213" s="1">
        <v>427826</v>
      </c>
      <c r="B213" s="1" t="s">
        <v>832</v>
      </c>
      <c r="C213" s="1" t="s">
        <v>833</v>
      </c>
      <c r="D213" s="1" t="s">
        <v>834</v>
      </c>
      <c r="E213" s="1" t="s">
        <v>26</v>
      </c>
      <c r="F213" s="1" t="s">
        <v>835</v>
      </c>
      <c r="G213" s="2">
        <v>41323</v>
      </c>
      <c r="H213" s="1" t="b">
        <v>1</v>
      </c>
      <c r="I213" s="6" t="s">
        <v>28</v>
      </c>
      <c r="J213" s="1">
        <f>COUNTIF('Rental Transaction'!B213:B4084,A213)</f>
        <v>7</v>
      </c>
      <c r="K213" s="1">
        <f>SUMIF('Rental Transaction'!B:B,A213,'Rental Transaction'!H:H)</f>
        <v>71</v>
      </c>
      <c r="L213" s="17">
        <f>COUNTIFS('Retal Tran Line Item'!D:D,"BLU-RAY",'Retal Tran Line Item'!H:H,A213)/J213</f>
        <v>0.7142857142857143</v>
      </c>
    </row>
    <row r="214" spans="1:12">
      <c r="A214" s="1">
        <v>429748</v>
      </c>
      <c r="B214" s="1" t="s">
        <v>39</v>
      </c>
      <c r="C214" s="1" t="s">
        <v>836</v>
      </c>
      <c r="D214" s="1" t="s">
        <v>837</v>
      </c>
      <c r="E214" s="1" t="s">
        <v>26</v>
      </c>
      <c r="F214" s="1" t="s">
        <v>838</v>
      </c>
      <c r="G214" s="2">
        <v>41219</v>
      </c>
      <c r="H214" s="1" t="b">
        <v>1</v>
      </c>
      <c r="I214" s="6" t="s">
        <v>28</v>
      </c>
      <c r="J214" s="1">
        <f>COUNTIF('Rental Transaction'!B214:B4085,A214)</f>
        <v>6</v>
      </c>
      <c r="K214" s="1">
        <f>SUMIF('Rental Transaction'!B:B,A214,'Rental Transaction'!H:H)</f>
        <v>35</v>
      </c>
      <c r="L214" s="17">
        <f>COUNTIFS('Retal Tran Line Item'!D:D,"BLU-RAY",'Retal Tran Line Item'!H:H,A214)/J214</f>
        <v>0.16666666666666666</v>
      </c>
    </row>
    <row r="215" spans="1:12">
      <c r="A215" s="1">
        <v>432113</v>
      </c>
      <c r="B215" s="1" t="s">
        <v>839</v>
      </c>
      <c r="C215" s="1" t="s">
        <v>840</v>
      </c>
      <c r="D215" s="1" t="s">
        <v>841</v>
      </c>
      <c r="E215" s="1" t="s">
        <v>26</v>
      </c>
      <c r="F215" s="1" t="s">
        <v>842</v>
      </c>
      <c r="G215" s="2">
        <v>41124</v>
      </c>
      <c r="H215" s="1" t="b">
        <v>0</v>
      </c>
      <c r="I215" s="6" t="s">
        <v>28</v>
      </c>
      <c r="J215" s="1">
        <f>COUNTIF('Rental Transaction'!B215:B4086,A215)</f>
        <v>3</v>
      </c>
      <c r="K215" s="1">
        <f>SUMIF('Rental Transaction'!B:B,A215,'Rental Transaction'!H:H)</f>
        <v>41</v>
      </c>
      <c r="L215" s="17">
        <f>COUNTIFS('Retal Tran Line Item'!D:D,"BLU-RAY",'Retal Tran Line Item'!H:H,A215)/J215</f>
        <v>0.33333333333333331</v>
      </c>
    </row>
    <row r="216" spans="1:12">
      <c r="A216" s="1">
        <v>432268</v>
      </c>
      <c r="B216" s="1" t="s">
        <v>843</v>
      </c>
      <c r="C216" s="1" t="s">
        <v>844</v>
      </c>
      <c r="D216" s="1" t="s">
        <v>845</v>
      </c>
      <c r="E216" s="1" t="s">
        <v>26</v>
      </c>
      <c r="F216" s="1" t="s">
        <v>846</v>
      </c>
      <c r="G216" s="2">
        <v>41296</v>
      </c>
      <c r="H216" s="1" t="b">
        <v>0</v>
      </c>
      <c r="I216" s="6" t="s">
        <v>28</v>
      </c>
      <c r="J216" s="1">
        <f>COUNTIF('Rental Transaction'!B216:B4087,A216)</f>
        <v>6</v>
      </c>
      <c r="K216" s="1">
        <f>SUMIF('Rental Transaction'!B:B,A216,'Rental Transaction'!H:H)</f>
        <v>80</v>
      </c>
      <c r="L216" s="17">
        <f>COUNTIFS('Retal Tran Line Item'!D:D,"BLU-RAY",'Retal Tran Line Item'!H:H,A216)/J216</f>
        <v>1.1666666666666667</v>
      </c>
    </row>
    <row r="217" spans="1:12">
      <c r="A217" s="1">
        <v>433442</v>
      </c>
      <c r="B217" s="1" t="s">
        <v>847</v>
      </c>
      <c r="C217" s="1" t="s">
        <v>848</v>
      </c>
      <c r="D217" s="1" t="s">
        <v>849</v>
      </c>
      <c r="E217" s="1" t="s">
        <v>72</v>
      </c>
      <c r="F217" s="1" t="s">
        <v>850</v>
      </c>
      <c r="G217" s="2">
        <v>41451</v>
      </c>
      <c r="H217" s="1" t="b">
        <v>0</v>
      </c>
      <c r="I217" s="6" t="s">
        <v>33</v>
      </c>
      <c r="J217" s="1">
        <f>COUNTIF('Rental Transaction'!B217:B4088,A217)</f>
        <v>11</v>
      </c>
      <c r="K217" s="1">
        <f>SUMIF('Rental Transaction'!B:B,A217,'Rental Transaction'!H:H)</f>
        <v>107</v>
      </c>
      <c r="L217" s="17">
        <f>COUNTIFS('Retal Tran Line Item'!D:D,"BLU-RAY",'Retal Tran Line Item'!H:H,A217)/J217</f>
        <v>0.72727272727272729</v>
      </c>
    </row>
    <row r="218" spans="1:12">
      <c r="A218" s="1">
        <v>435907</v>
      </c>
      <c r="B218" s="1" t="s">
        <v>851</v>
      </c>
      <c r="C218" s="1" t="s">
        <v>852</v>
      </c>
      <c r="D218" s="1" t="s">
        <v>853</v>
      </c>
      <c r="E218" s="1" t="s">
        <v>358</v>
      </c>
      <c r="F218" s="1" t="s">
        <v>854</v>
      </c>
      <c r="G218" s="2">
        <v>41139</v>
      </c>
      <c r="H218" s="1" t="b">
        <v>1</v>
      </c>
      <c r="I218" s="6" t="s">
        <v>33</v>
      </c>
      <c r="J218" s="1">
        <f>COUNTIF('Rental Transaction'!B218:B4089,A218)</f>
        <v>5</v>
      </c>
      <c r="K218" s="1">
        <f>SUMIF('Rental Transaction'!B:B,A218,'Rental Transaction'!H:H)</f>
        <v>37</v>
      </c>
      <c r="L218" s="17">
        <f>COUNTIFS('Retal Tran Line Item'!D:D,"BLU-RAY",'Retal Tran Line Item'!H:H,A218)/J218</f>
        <v>0.6</v>
      </c>
    </row>
    <row r="219" spans="1:12">
      <c r="A219" s="1">
        <v>437454</v>
      </c>
      <c r="B219" s="1" t="s">
        <v>855</v>
      </c>
      <c r="C219" s="1" t="s">
        <v>856</v>
      </c>
      <c r="D219" s="1" t="s">
        <v>857</v>
      </c>
      <c r="E219" s="1" t="s">
        <v>26</v>
      </c>
      <c r="F219" s="1" t="s">
        <v>858</v>
      </c>
      <c r="G219" s="2">
        <v>41405</v>
      </c>
      <c r="H219" s="1" t="b">
        <v>0</v>
      </c>
      <c r="I219" s="6" t="s">
        <v>28</v>
      </c>
      <c r="J219" s="1">
        <f>COUNTIF('Rental Transaction'!B219:B4090,A219)</f>
        <v>5</v>
      </c>
      <c r="K219" s="1">
        <f>SUMIF('Rental Transaction'!B:B,A219,'Rental Transaction'!H:H)</f>
        <v>35</v>
      </c>
      <c r="L219" s="17">
        <f>COUNTIFS('Retal Tran Line Item'!D:D,"BLU-RAY",'Retal Tran Line Item'!H:H,A219)/J219</f>
        <v>0</v>
      </c>
    </row>
    <row r="220" spans="1:12">
      <c r="A220" s="1">
        <v>441628</v>
      </c>
      <c r="B220" s="1" t="s">
        <v>707</v>
      </c>
      <c r="C220" s="1" t="s">
        <v>859</v>
      </c>
      <c r="D220" s="1" t="s">
        <v>860</v>
      </c>
      <c r="E220" s="1" t="s">
        <v>26</v>
      </c>
      <c r="F220" s="1" t="s">
        <v>861</v>
      </c>
      <c r="G220" s="2">
        <v>41269</v>
      </c>
      <c r="H220" s="1" t="b">
        <v>1</v>
      </c>
      <c r="I220" s="6" t="s">
        <v>33</v>
      </c>
      <c r="J220" s="1">
        <f>COUNTIF('Rental Transaction'!B220:B4091,A220)</f>
        <v>12</v>
      </c>
      <c r="K220" s="1">
        <f>SUMIF('Rental Transaction'!B:B,A220,'Rental Transaction'!H:H)</f>
        <v>117</v>
      </c>
      <c r="L220" s="17">
        <f>COUNTIFS('Retal Tran Line Item'!D:D,"BLU-RAY",'Retal Tran Line Item'!H:H,A220)/J220</f>
        <v>0.33333333333333331</v>
      </c>
    </row>
    <row r="221" spans="1:12">
      <c r="A221" s="1">
        <v>442254</v>
      </c>
      <c r="B221" s="1" t="s">
        <v>490</v>
      </c>
      <c r="C221" s="1" t="s">
        <v>862</v>
      </c>
      <c r="D221" s="1" t="s">
        <v>863</v>
      </c>
      <c r="E221" s="1" t="s">
        <v>26</v>
      </c>
      <c r="F221" s="1" t="s">
        <v>864</v>
      </c>
      <c r="G221" s="2">
        <v>41515</v>
      </c>
      <c r="H221" s="1" t="b">
        <v>1</v>
      </c>
      <c r="I221" s="6" t="s">
        <v>33</v>
      </c>
      <c r="J221" s="1">
        <f>COUNTIF('Rental Transaction'!B221:B4092,A221)</f>
        <v>11</v>
      </c>
      <c r="K221" s="1">
        <f>SUMIF('Rental Transaction'!B:B,A221,'Rental Transaction'!H:H)</f>
        <v>99</v>
      </c>
      <c r="L221" s="17">
        <f>COUNTIFS('Retal Tran Line Item'!D:D,"BLU-RAY",'Retal Tran Line Item'!H:H,A221)/J221</f>
        <v>0.45454545454545453</v>
      </c>
    </row>
    <row r="222" spans="1:12">
      <c r="A222" s="1">
        <v>442691</v>
      </c>
      <c r="B222" s="1" t="s">
        <v>865</v>
      </c>
      <c r="C222" s="1" t="s">
        <v>428</v>
      </c>
      <c r="D222" s="1" t="s">
        <v>866</v>
      </c>
      <c r="E222" s="1" t="s">
        <v>26</v>
      </c>
      <c r="F222" s="1" t="s">
        <v>867</v>
      </c>
      <c r="G222" s="2">
        <v>41532</v>
      </c>
      <c r="H222" s="1" t="b">
        <v>0</v>
      </c>
      <c r="I222" s="6" t="s">
        <v>33</v>
      </c>
      <c r="J222" s="1">
        <f>COUNTIF('Rental Transaction'!B222:B4093,A222)</f>
        <v>9</v>
      </c>
      <c r="K222" s="1">
        <f>SUMIF('Rental Transaction'!B:B,A222,'Rental Transaction'!H:H)</f>
        <v>82</v>
      </c>
      <c r="L222" s="17">
        <f>COUNTIFS('Retal Tran Line Item'!D:D,"BLU-RAY",'Retal Tran Line Item'!H:H,A222)/J222</f>
        <v>0.33333333333333331</v>
      </c>
    </row>
    <row r="223" spans="1:12">
      <c r="A223" s="1">
        <v>447368</v>
      </c>
      <c r="B223" s="1" t="s">
        <v>868</v>
      </c>
      <c r="C223" s="1" t="s">
        <v>869</v>
      </c>
      <c r="D223" s="1" t="s">
        <v>870</v>
      </c>
      <c r="E223" s="1" t="s">
        <v>26</v>
      </c>
      <c r="F223" s="1" t="s">
        <v>871</v>
      </c>
      <c r="G223" s="2">
        <v>41153</v>
      </c>
      <c r="H223" s="1" t="b">
        <v>1</v>
      </c>
      <c r="I223" s="6" t="s">
        <v>28</v>
      </c>
      <c r="J223" s="1">
        <f>COUNTIF('Rental Transaction'!B223:B4094,A223)</f>
        <v>6</v>
      </c>
      <c r="K223" s="1">
        <f>SUMIF('Rental Transaction'!B:B,A223,'Rental Transaction'!H:H)</f>
        <v>69</v>
      </c>
      <c r="L223" s="17">
        <f>COUNTIFS('Retal Tran Line Item'!D:D,"BLU-RAY",'Retal Tran Line Item'!H:H,A223)/J223</f>
        <v>0.5</v>
      </c>
    </row>
    <row r="224" spans="1:12">
      <c r="A224" s="1">
        <v>447601</v>
      </c>
      <c r="B224" s="1" t="s">
        <v>306</v>
      </c>
      <c r="C224" s="1" t="s">
        <v>872</v>
      </c>
      <c r="D224" s="1" t="s">
        <v>873</v>
      </c>
      <c r="E224" s="1" t="s">
        <v>874</v>
      </c>
      <c r="F224" s="1" t="s">
        <v>875</v>
      </c>
      <c r="G224" s="2">
        <v>41145</v>
      </c>
      <c r="H224" s="1" t="b">
        <v>1</v>
      </c>
      <c r="I224" s="6" t="s">
        <v>28</v>
      </c>
      <c r="J224" s="1">
        <f>COUNTIF('Rental Transaction'!B224:B4095,A224)</f>
        <v>6</v>
      </c>
      <c r="K224" s="1">
        <f>SUMIF('Rental Transaction'!B:B,A224,'Rental Transaction'!H:H)</f>
        <v>71</v>
      </c>
      <c r="L224" s="17">
        <f>COUNTIFS('Retal Tran Line Item'!D:D,"BLU-RAY",'Retal Tran Line Item'!H:H,A224)/J224</f>
        <v>0.83333333333333337</v>
      </c>
    </row>
    <row r="225" spans="1:12">
      <c r="A225" s="1">
        <v>448739</v>
      </c>
      <c r="B225" s="1" t="s">
        <v>234</v>
      </c>
      <c r="C225" s="1" t="s">
        <v>876</v>
      </c>
      <c r="D225" s="1" t="s">
        <v>877</v>
      </c>
      <c r="E225" s="1" t="s">
        <v>26</v>
      </c>
      <c r="F225" s="1" t="s">
        <v>878</v>
      </c>
      <c r="G225" s="2">
        <v>41306</v>
      </c>
      <c r="H225" s="1" t="b">
        <v>1</v>
      </c>
      <c r="I225" s="6" t="s">
        <v>28</v>
      </c>
      <c r="J225" s="1">
        <f>COUNTIF('Rental Transaction'!B225:B4096,A225)</f>
        <v>13</v>
      </c>
      <c r="K225" s="1">
        <f>SUMIF('Rental Transaction'!B:B,A225,'Rental Transaction'!H:H)</f>
        <v>158</v>
      </c>
      <c r="L225" s="17">
        <f>COUNTIFS('Retal Tran Line Item'!D:D,"BLU-RAY",'Retal Tran Line Item'!H:H,A225)/J225</f>
        <v>0.61538461538461542</v>
      </c>
    </row>
    <row r="226" spans="1:12">
      <c r="A226" s="1">
        <v>448993</v>
      </c>
      <c r="B226" s="1" t="s">
        <v>879</v>
      </c>
      <c r="C226" s="1" t="s">
        <v>234</v>
      </c>
      <c r="D226" s="1" t="s">
        <v>880</v>
      </c>
      <c r="E226" s="1" t="s">
        <v>26</v>
      </c>
      <c r="F226" s="1" t="s">
        <v>881</v>
      </c>
      <c r="G226" s="2">
        <v>41454</v>
      </c>
      <c r="H226" s="1" t="b">
        <v>1</v>
      </c>
      <c r="I226" s="6" t="s">
        <v>33</v>
      </c>
      <c r="J226" s="1">
        <f>COUNTIF('Rental Transaction'!B226:B4097,A226)</f>
        <v>8</v>
      </c>
      <c r="K226" s="1">
        <f>SUMIF('Rental Transaction'!B:B,A226,'Rental Transaction'!H:H)</f>
        <v>63</v>
      </c>
      <c r="L226" s="17">
        <f>COUNTIFS('Retal Tran Line Item'!D:D,"BLU-RAY",'Retal Tran Line Item'!H:H,A226)/J226</f>
        <v>0.25</v>
      </c>
    </row>
    <row r="227" spans="1:12">
      <c r="A227" s="1">
        <v>452874</v>
      </c>
      <c r="B227" s="1" t="s">
        <v>882</v>
      </c>
      <c r="C227" s="1" t="s">
        <v>883</v>
      </c>
      <c r="D227" s="1" t="s">
        <v>884</v>
      </c>
      <c r="E227" s="1" t="s">
        <v>26</v>
      </c>
      <c r="F227" s="1" t="s">
        <v>885</v>
      </c>
      <c r="G227" s="2">
        <v>41464</v>
      </c>
      <c r="H227" s="1" t="b">
        <v>1</v>
      </c>
      <c r="I227" s="6" t="s">
        <v>28</v>
      </c>
      <c r="J227" s="1">
        <f>COUNTIF('Rental Transaction'!B227:B4098,A227)</f>
        <v>4</v>
      </c>
      <c r="K227" s="1">
        <f>SUMIF('Rental Transaction'!B:B,A227,'Rental Transaction'!H:H)</f>
        <v>52</v>
      </c>
      <c r="L227" s="17">
        <f>COUNTIFS('Retal Tran Line Item'!D:D,"BLU-RAY",'Retal Tran Line Item'!H:H,A227)/J227</f>
        <v>0.5</v>
      </c>
    </row>
    <row r="228" spans="1:12">
      <c r="A228" s="1">
        <v>454015</v>
      </c>
      <c r="B228" s="1" t="s">
        <v>886</v>
      </c>
      <c r="C228" s="1" t="s">
        <v>887</v>
      </c>
      <c r="D228" s="1" t="s">
        <v>888</v>
      </c>
      <c r="E228" s="1" t="s">
        <v>26</v>
      </c>
      <c r="F228" s="1" t="s">
        <v>889</v>
      </c>
      <c r="G228" s="2">
        <v>41204</v>
      </c>
      <c r="H228" s="1" t="b">
        <v>1</v>
      </c>
      <c r="I228" s="6" t="s">
        <v>28</v>
      </c>
      <c r="J228" s="1">
        <f>COUNTIF('Rental Transaction'!B228:B4099,A228)</f>
        <v>8</v>
      </c>
      <c r="K228" s="1">
        <f>SUMIF('Rental Transaction'!B:B,A228,'Rental Transaction'!H:H)</f>
        <v>54</v>
      </c>
      <c r="L228" s="17">
        <f>COUNTIFS('Retal Tran Line Item'!D:D,"BLU-RAY",'Retal Tran Line Item'!H:H,A228)/J228</f>
        <v>0.875</v>
      </c>
    </row>
    <row r="229" spans="1:12">
      <c r="A229" s="1">
        <v>454143</v>
      </c>
      <c r="B229" s="1" t="s">
        <v>890</v>
      </c>
      <c r="C229" s="1" t="s">
        <v>891</v>
      </c>
      <c r="D229" s="1" t="s">
        <v>892</v>
      </c>
      <c r="E229" s="1" t="s">
        <v>341</v>
      </c>
      <c r="F229" s="1" t="s">
        <v>893</v>
      </c>
      <c r="G229" s="2">
        <v>41470</v>
      </c>
      <c r="H229" s="1" t="b">
        <v>1</v>
      </c>
      <c r="I229" s="6" t="s">
        <v>28</v>
      </c>
      <c r="J229" s="1">
        <f>COUNTIF('Rental Transaction'!B229:B4100,A229)</f>
        <v>7</v>
      </c>
      <c r="K229" s="1">
        <f>SUMIF('Rental Transaction'!B:B,A229,'Rental Transaction'!H:H)</f>
        <v>73</v>
      </c>
      <c r="L229" s="17">
        <f>COUNTIFS('Retal Tran Line Item'!D:D,"BLU-RAY",'Retal Tran Line Item'!H:H,A229)/J229</f>
        <v>0.7142857142857143</v>
      </c>
    </row>
    <row r="230" spans="1:12">
      <c r="A230" s="1">
        <v>456457</v>
      </c>
      <c r="B230" s="1" t="s">
        <v>230</v>
      </c>
      <c r="C230" s="1" t="s">
        <v>894</v>
      </c>
      <c r="D230" s="1" t="s">
        <v>895</v>
      </c>
      <c r="E230" s="1" t="s">
        <v>26</v>
      </c>
      <c r="F230" s="1" t="s">
        <v>896</v>
      </c>
      <c r="G230" s="2">
        <v>41204</v>
      </c>
      <c r="H230" s="1" t="b">
        <v>0</v>
      </c>
      <c r="I230" s="6" t="s">
        <v>33</v>
      </c>
      <c r="J230" s="1">
        <f>COUNTIF('Rental Transaction'!B230:B4101,A230)</f>
        <v>7</v>
      </c>
      <c r="K230" s="1">
        <f>SUMIF('Rental Transaction'!B:B,A230,'Rental Transaction'!H:H)</f>
        <v>69</v>
      </c>
      <c r="L230" s="17">
        <f>COUNTIFS('Retal Tran Line Item'!D:D,"BLU-RAY",'Retal Tran Line Item'!H:H,A230)/J230</f>
        <v>0.7142857142857143</v>
      </c>
    </row>
    <row r="231" spans="1:12">
      <c r="A231" s="1">
        <v>458448</v>
      </c>
      <c r="B231" s="1" t="s">
        <v>897</v>
      </c>
      <c r="C231" s="1" t="s">
        <v>898</v>
      </c>
      <c r="D231" s="1" t="s">
        <v>899</v>
      </c>
      <c r="E231" s="1" t="s">
        <v>26</v>
      </c>
      <c r="F231" s="1" t="s">
        <v>900</v>
      </c>
      <c r="G231" s="2">
        <v>41478</v>
      </c>
      <c r="H231" s="1" t="b">
        <v>0</v>
      </c>
      <c r="I231" s="6" t="s">
        <v>33</v>
      </c>
      <c r="J231" s="1">
        <f>COUNTIF('Rental Transaction'!B231:B4102,A231)</f>
        <v>4</v>
      </c>
      <c r="K231" s="1">
        <f>SUMIF('Rental Transaction'!B:B,A231,'Rental Transaction'!H:H)</f>
        <v>37</v>
      </c>
      <c r="L231" s="17">
        <f>COUNTIFS('Retal Tran Line Item'!D:D,"BLU-RAY",'Retal Tran Line Item'!H:H,A231)/J231</f>
        <v>0.25</v>
      </c>
    </row>
    <row r="232" spans="1:12">
      <c r="A232" s="1">
        <v>459243</v>
      </c>
      <c r="B232" s="1" t="s">
        <v>901</v>
      </c>
      <c r="C232" s="1" t="s">
        <v>902</v>
      </c>
      <c r="D232" s="1" t="s">
        <v>903</v>
      </c>
      <c r="E232" s="1" t="s">
        <v>789</v>
      </c>
      <c r="F232" s="1" t="s">
        <v>904</v>
      </c>
      <c r="G232" s="2">
        <v>41319</v>
      </c>
      <c r="H232" s="1" t="b">
        <v>0</v>
      </c>
      <c r="I232" s="6" t="s">
        <v>28</v>
      </c>
      <c r="J232" s="1">
        <f>COUNTIF('Rental Transaction'!B232:B4103,A232)</f>
        <v>7</v>
      </c>
      <c r="K232" s="1">
        <f>SUMIF('Rental Transaction'!B:B,A232,'Rental Transaction'!H:H)</f>
        <v>58</v>
      </c>
      <c r="L232" s="17">
        <f>COUNTIFS('Retal Tran Line Item'!D:D,"BLU-RAY",'Retal Tran Line Item'!H:H,A232)/J232</f>
        <v>0</v>
      </c>
    </row>
    <row r="233" spans="1:12">
      <c r="A233" s="1">
        <v>464277</v>
      </c>
      <c r="B233" s="1" t="s">
        <v>486</v>
      </c>
      <c r="C233" s="1" t="s">
        <v>594</v>
      </c>
      <c r="D233" s="1" t="s">
        <v>905</v>
      </c>
      <c r="E233" s="1" t="s">
        <v>26</v>
      </c>
      <c r="F233" s="1" t="s">
        <v>906</v>
      </c>
      <c r="G233" s="2">
        <v>41469</v>
      </c>
      <c r="H233" s="1" t="b">
        <v>0</v>
      </c>
      <c r="I233" s="6" t="s">
        <v>28</v>
      </c>
      <c r="J233" s="1">
        <f>COUNTIF('Rental Transaction'!B233:B4104,A233)</f>
        <v>6</v>
      </c>
      <c r="K233" s="1">
        <f>SUMIF('Rental Transaction'!B:B,A233,'Rental Transaction'!H:H)</f>
        <v>56</v>
      </c>
      <c r="L233" s="17">
        <f>COUNTIFS('Retal Tran Line Item'!D:D,"BLU-RAY",'Retal Tran Line Item'!H:H,A233)/J233</f>
        <v>0.83333333333333337</v>
      </c>
    </row>
    <row r="234" spans="1:12">
      <c r="A234" s="1">
        <v>464782</v>
      </c>
      <c r="B234" s="1" t="s">
        <v>212</v>
      </c>
      <c r="C234" s="1" t="s">
        <v>907</v>
      </c>
      <c r="D234" s="1" t="s">
        <v>908</v>
      </c>
      <c r="E234" s="1" t="s">
        <v>26</v>
      </c>
      <c r="F234" s="1" t="s">
        <v>909</v>
      </c>
      <c r="G234" s="2">
        <v>41374</v>
      </c>
      <c r="H234" s="1" t="b">
        <v>0</v>
      </c>
      <c r="I234" s="6" t="s">
        <v>33</v>
      </c>
      <c r="J234" s="1">
        <f>COUNTIF('Rental Transaction'!B234:B4105,A234)</f>
        <v>9</v>
      </c>
      <c r="K234" s="1">
        <f>SUMIF('Rental Transaction'!B:B,A234,'Rental Transaction'!H:H)</f>
        <v>101</v>
      </c>
      <c r="L234" s="17">
        <f>COUNTIFS('Retal Tran Line Item'!D:D,"BLU-RAY",'Retal Tran Line Item'!H:H,A234)/J234</f>
        <v>0.66666666666666663</v>
      </c>
    </row>
    <row r="235" spans="1:12">
      <c r="A235" s="1">
        <v>464984</v>
      </c>
      <c r="B235" s="1" t="s">
        <v>39</v>
      </c>
      <c r="C235" s="1" t="s">
        <v>798</v>
      </c>
      <c r="D235" s="1" t="s">
        <v>910</v>
      </c>
      <c r="E235" s="1" t="s">
        <v>26</v>
      </c>
      <c r="F235" s="1" t="s">
        <v>911</v>
      </c>
      <c r="G235" s="2">
        <v>41121</v>
      </c>
      <c r="H235" s="1" t="b">
        <v>0</v>
      </c>
      <c r="I235" s="6" t="s">
        <v>28</v>
      </c>
      <c r="J235" s="1">
        <f>COUNTIF('Rental Transaction'!B235:B4106,A235)</f>
        <v>11</v>
      </c>
      <c r="K235" s="1">
        <f>SUMIF('Rental Transaction'!B:B,A235,'Rental Transaction'!H:H)</f>
        <v>84</v>
      </c>
      <c r="L235" s="17">
        <f>COUNTIFS('Retal Tran Line Item'!D:D,"BLU-RAY",'Retal Tran Line Item'!H:H,A235)/J235</f>
        <v>0.18181818181818182</v>
      </c>
    </row>
    <row r="236" spans="1:12">
      <c r="A236" s="1">
        <v>465275</v>
      </c>
      <c r="B236" s="1" t="s">
        <v>912</v>
      </c>
      <c r="C236" s="1" t="s">
        <v>913</v>
      </c>
      <c r="D236" s="1" t="s">
        <v>914</v>
      </c>
      <c r="E236" s="1" t="s">
        <v>26</v>
      </c>
      <c r="F236" s="1" t="s">
        <v>915</v>
      </c>
      <c r="G236" s="2">
        <v>41143</v>
      </c>
      <c r="H236" s="1" t="b">
        <v>0</v>
      </c>
      <c r="I236" s="6" t="s">
        <v>33</v>
      </c>
      <c r="J236" s="1">
        <f>COUNTIF('Rental Transaction'!B236:B4107,A236)</f>
        <v>8</v>
      </c>
      <c r="K236" s="1">
        <f>SUMIF('Rental Transaction'!B:B,A236,'Rental Transaction'!H:H)</f>
        <v>86</v>
      </c>
      <c r="L236" s="17">
        <f>COUNTIFS('Retal Tran Line Item'!D:D,"BLU-RAY",'Retal Tran Line Item'!H:H,A236)/J236</f>
        <v>1.125</v>
      </c>
    </row>
    <row r="237" spans="1:12">
      <c r="A237" s="1">
        <v>468100</v>
      </c>
      <c r="B237" s="1" t="s">
        <v>916</v>
      </c>
      <c r="C237" s="1" t="s">
        <v>917</v>
      </c>
      <c r="D237" s="1" t="s">
        <v>918</v>
      </c>
      <c r="E237" s="1" t="s">
        <v>228</v>
      </c>
      <c r="F237" s="1" t="s">
        <v>919</v>
      </c>
      <c r="G237" s="2">
        <v>41182</v>
      </c>
      <c r="H237" s="1" t="b">
        <v>1</v>
      </c>
      <c r="I237" s="6" t="s">
        <v>28</v>
      </c>
      <c r="J237" s="1">
        <f>COUNTIF('Rental Transaction'!B237:B4108,A237)</f>
        <v>3</v>
      </c>
      <c r="K237" s="1">
        <f>SUMIF('Rental Transaction'!B:B,A237,'Rental Transaction'!H:H)</f>
        <v>22</v>
      </c>
      <c r="L237" s="17">
        <f>COUNTIFS('Retal Tran Line Item'!D:D,"BLU-RAY",'Retal Tran Line Item'!H:H,A237)/J237</f>
        <v>1</v>
      </c>
    </row>
    <row r="238" spans="1:12">
      <c r="A238" s="1">
        <v>468692</v>
      </c>
      <c r="B238" s="1" t="s">
        <v>920</v>
      </c>
      <c r="C238" s="1" t="s">
        <v>921</v>
      </c>
      <c r="D238" s="1" t="s">
        <v>922</v>
      </c>
      <c r="E238" s="1" t="s">
        <v>26</v>
      </c>
      <c r="F238" s="1" t="s">
        <v>923</v>
      </c>
      <c r="G238" s="2">
        <v>41440</v>
      </c>
      <c r="H238" s="1" t="b">
        <v>1</v>
      </c>
      <c r="I238" s="6" t="s">
        <v>33</v>
      </c>
      <c r="J238" s="1">
        <f>COUNTIF('Rental Transaction'!B238:B4109,A238)</f>
        <v>6</v>
      </c>
      <c r="K238" s="1">
        <f>SUMIF('Rental Transaction'!B:B,A238,'Rental Transaction'!H:H)</f>
        <v>63</v>
      </c>
      <c r="L238" s="17">
        <f>COUNTIFS('Retal Tran Line Item'!D:D,"BLU-RAY",'Retal Tran Line Item'!H:H,A238)/J238</f>
        <v>0.83333333333333337</v>
      </c>
    </row>
    <row r="239" spans="1:12">
      <c r="A239" s="1">
        <v>469564</v>
      </c>
      <c r="B239" s="1" t="s">
        <v>924</v>
      </c>
      <c r="C239" s="1" t="s">
        <v>925</v>
      </c>
      <c r="D239" s="1" t="s">
        <v>926</v>
      </c>
      <c r="E239" s="1" t="s">
        <v>789</v>
      </c>
      <c r="F239" s="1" t="s">
        <v>927</v>
      </c>
      <c r="G239" s="2">
        <v>41456</v>
      </c>
      <c r="H239" s="1" t="b">
        <v>1</v>
      </c>
      <c r="I239" s="6" t="s">
        <v>33</v>
      </c>
      <c r="J239" s="1">
        <f>COUNTIF('Rental Transaction'!B239:B4110,A239)</f>
        <v>5</v>
      </c>
      <c r="K239" s="1">
        <f>SUMIF('Rental Transaction'!B:B,A239,'Rental Transaction'!H:H)</f>
        <v>63</v>
      </c>
      <c r="L239" s="17">
        <f>COUNTIFS('Retal Tran Line Item'!D:D,"BLU-RAY",'Retal Tran Line Item'!H:H,A239)/J239</f>
        <v>1.2</v>
      </c>
    </row>
    <row r="240" spans="1:12">
      <c r="A240" s="1">
        <v>470304</v>
      </c>
      <c r="B240" s="1" t="s">
        <v>928</v>
      </c>
      <c r="C240" s="1" t="s">
        <v>929</v>
      </c>
      <c r="D240" s="1" t="s">
        <v>930</v>
      </c>
      <c r="E240" s="1" t="s">
        <v>26</v>
      </c>
      <c r="F240" s="1" t="s">
        <v>931</v>
      </c>
      <c r="G240" s="2">
        <v>41109</v>
      </c>
      <c r="H240" s="1" t="b">
        <v>1</v>
      </c>
      <c r="I240" s="6" t="s">
        <v>33</v>
      </c>
      <c r="J240" s="1">
        <f>COUNTIF('Rental Transaction'!B240:B4111,A240)</f>
        <v>3</v>
      </c>
      <c r="K240" s="1">
        <f>SUMIF('Rental Transaction'!B:B,A240,'Rental Transaction'!H:H)</f>
        <v>42</v>
      </c>
      <c r="L240" s="17">
        <f>COUNTIFS('Retal Tran Line Item'!D:D,"BLU-RAY",'Retal Tran Line Item'!H:H,A240)/J240</f>
        <v>1</v>
      </c>
    </row>
    <row r="241" spans="1:12">
      <c r="A241" s="1">
        <v>471187</v>
      </c>
      <c r="B241" s="1" t="s">
        <v>932</v>
      </c>
      <c r="C241" s="1" t="s">
        <v>933</v>
      </c>
      <c r="D241" s="1" t="s">
        <v>934</v>
      </c>
      <c r="E241" s="1" t="s">
        <v>621</v>
      </c>
      <c r="F241" s="1" t="s">
        <v>935</v>
      </c>
      <c r="G241" s="2">
        <v>41406</v>
      </c>
      <c r="H241" s="1" t="b">
        <v>0</v>
      </c>
      <c r="I241" s="6" t="s">
        <v>28</v>
      </c>
      <c r="J241" s="1">
        <f>COUNTIF('Rental Transaction'!B241:B4112,A241)</f>
        <v>6</v>
      </c>
      <c r="K241" s="1">
        <f>SUMIF('Rental Transaction'!B:B,A241,'Rental Transaction'!H:H)</f>
        <v>47</v>
      </c>
      <c r="L241" s="17">
        <f>COUNTIFS('Retal Tran Line Item'!D:D,"BLU-RAY",'Retal Tran Line Item'!H:H,A241)/J241</f>
        <v>0.66666666666666663</v>
      </c>
    </row>
    <row r="242" spans="1:12">
      <c r="A242" s="1">
        <v>475216</v>
      </c>
      <c r="B242" s="1" t="s">
        <v>936</v>
      </c>
      <c r="C242" s="1" t="s">
        <v>937</v>
      </c>
      <c r="D242" s="1" t="s">
        <v>938</v>
      </c>
      <c r="E242" s="1" t="s">
        <v>228</v>
      </c>
      <c r="F242" s="1" t="s">
        <v>939</v>
      </c>
      <c r="G242" s="2">
        <v>41412</v>
      </c>
      <c r="H242" s="1" t="b">
        <v>1</v>
      </c>
      <c r="I242" s="6" t="s">
        <v>28</v>
      </c>
      <c r="J242" s="1">
        <f>COUNTIF('Rental Transaction'!B242:B4113,A242)</f>
        <v>5</v>
      </c>
      <c r="K242" s="1">
        <f>SUMIF('Rental Transaction'!B:B,A242,'Rental Transaction'!H:H)</f>
        <v>33</v>
      </c>
      <c r="L242" s="17">
        <f>COUNTIFS('Retal Tran Line Item'!D:D,"BLU-RAY",'Retal Tran Line Item'!H:H,A242)/J242</f>
        <v>0.4</v>
      </c>
    </row>
    <row r="243" spans="1:12">
      <c r="A243" s="1">
        <v>478274</v>
      </c>
      <c r="B243" s="1" t="s">
        <v>940</v>
      </c>
      <c r="C243" s="1" t="s">
        <v>941</v>
      </c>
      <c r="D243" s="1" t="s">
        <v>942</v>
      </c>
      <c r="E243" s="1" t="s">
        <v>26</v>
      </c>
      <c r="F243" s="1" t="s">
        <v>943</v>
      </c>
      <c r="G243" s="2">
        <v>41398</v>
      </c>
      <c r="H243" s="1" t="b">
        <v>1</v>
      </c>
      <c r="I243" s="6" t="s">
        <v>28</v>
      </c>
      <c r="J243" s="1">
        <f>COUNTIF('Rental Transaction'!B243:B4114,A243)</f>
        <v>9</v>
      </c>
      <c r="K243" s="1">
        <f>SUMIF('Rental Transaction'!B:B,A243,'Rental Transaction'!H:H)</f>
        <v>86</v>
      </c>
      <c r="L243" s="17">
        <f>COUNTIFS('Retal Tran Line Item'!D:D,"BLU-RAY",'Retal Tran Line Item'!H:H,A243)/J243</f>
        <v>0.55555555555555558</v>
      </c>
    </row>
    <row r="244" spans="1:12">
      <c r="A244" s="1">
        <v>479497</v>
      </c>
      <c r="B244" s="1" t="s">
        <v>944</v>
      </c>
      <c r="C244" s="1" t="s">
        <v>945</v>
      </c>
      <c r="D244" s="1" t="s">
        <v>946</v>
      </c>
      <c r="E244" s="1" t="s">
        <v>284</v>
      </c>
      <c r="F244" s="1" t="s">
        <v>947</v>
      </c>
      <c r="G244" s="2">
        <v>41232</v>
      </c>
      <c r="H244" s="1" t="b">
        <v>1</v>
      </c>
      <c r="I244" s="6" t="s">
        <v>33</v>
      </c>
      <c r="J244" s="1">
        <f>COUNTIF('Rental Transaction'!B244:B4115,A244)</f>
        <v>10</v>
      </c>
      <c r="K244" s="1">
        <f>SUMIF('Rental Transaction'!B:B,A244,'Rental Transaction'!H:H)</f>
        <v>60</v>
      </c>
      <c r="L244" s="17">
        <f>COUNTIFS('Retal Tran Line Item'!D:D,"BLU-RAY",'Retal Tran Line Item'!H:H,A244)/J244</f>
        <v>0.5</v>
      </c>
    </row>
    <row r="245" spans="1:12">
      <c r="A245" s="1">
        <v>480298</v>
      </c>
      <c r="B245" s="1" t="s">
        <v>515</v>
      </c>
      <c r="C245" s="1" t="s">
        <v>948</v>
      </c>
      <c r="D245" s="1" t="s">
        <v>949</v>
      </c>
      <c r="E245" s="1" t="s">
        <v>26</v>
      </c>
      <c r="F245" s="1" t="s">
        <v>950</v>
      </c>
      <c r="G245" s="2">
        <v>41147</v>
      </c>
      <c r="H245" s="1" t="b">
        <v>1</v>
      </c>
      <c r="I245" s="6" t="s">
        <v>28</v>
      </c>
      <c r="J245" s="1">
        <f>COUNTIF('Rental Transaction'!B245:B4116,A245)</f>
        <v>5</v>
      </c>
      <c r="K245" s="1">
        <f>SUMIF('Rental Transaction'!B:B,A245,'Rental Transaction'!H:H)</f>
        <v>43</v>
      </c>
      <c r="L245" s="17">
        <f>COUNTIFS('Retal Tran Line Item'!D:D,"BLU-RAY",'Retal Tran Line Item'!H:H,A245)/J245</f>
        <v>1</v>
      </c>
    </row>
    <row r="246" spans="1:12">
      <c r="A246" s="1">
        <v>482274</v>
      </c>
      <c r="B246" s="1" t="s">
        <v>951</v>
      </c>
      <c r="C246" s="1" t="s">
        <v>952</v>
      </c>
      <c r="D246" s="1" t="s">
        <v>953</v>
      </c>
      <c r="E246" s="1" t="s">
        <v>26</v>
      </c>
      <c r="F246" s="1" t="s">
        <v>954</v>
      </c>
      <c r="G246" s="2">
        <v>41116</v>
      </c>
      <c r="H246" s="1" t="b">
        <v>0</v>
      </c>
      <c r="I246" s="6" t="s">
        <v>33</v>
      </c>
      <c r="J246" s="1">
        <f>COUNTIF('Rental Transaction'!B246:B4117,A246)</f>
        <v>3</v>
      </c>
      <c r="K246" s="1">
        <f>SUMIF('Rental Transaction'!B:B,A246,'Rental Transaction'!H:H)</f>
        <v>36</v>
      </c>
      <c r="L246" s="17">
        <f>COUNTIFS('Retal Tran Line Item'!D:D,"BLU-RAY",'Retal Tran Line Item'!H:H,A246)/J246</f>
        <v>0.33333333333333331</v>
      </c>
    </row>
    <row r="247" spans="1:12">
      <c r="A247" s="1">
        <v>484909</v>
      </c>
      <c r="B247" s="1" t="s">
        <v>955</v>
      </c>
      <c r="C247" s="1" t="s">
        <v>956</v>
      </c>
      <c r="D247" s="1" t="s">
        <v>957</v>
      </c>
      <c r="E247" s="1" t="s">
        <v>26</v>
      </c>
      <c r="F247" s="1" t="s">
        <v>958</v>
      </c>
      <c r="G247" s="2">
        <v>41429</v>
      </c>
      <c r="H247" s="1" t="b">
        <v>0</v>
      </c>
      <c r="I247" s="6" t="s">
        <v>28</v>
      </c>
      <c r="J247" s="1">
        <f>COUNTIF('Rental Transaction'!B247:B4118,A247)</f>
        <v>8</v>
      </c>
      <c r="K247" s="1">
        <f>SUMIF('Rental Transaction'!B:B,A247,'Rental Transaction'!H:H)</f>
        <v>52</v>
      </c>
      <c r="L247" s="17">
        <f>COUNTIFS('Retal Tran Line Item'!D:D,"BLU-RAY",'Retal Tran Line Item'!H:H,A247)/J247</f>
        <v>0.375</v>
      </c>
    </row>
    <row r="248" spans="1:12">
      <c r="A248" s="1">
        <v>485769</v>
      </c>
      <c r="B248" s="1" t="s">
        <v>959</v>
      </c>
      <c r="C248" s="1" t="s">
        <v>960</v>
      </c>
      <c r="D248" s="1" t="s">
        <v>961</v>
      </c>
      <c r="E248" s="1" t="s">
        <v>26</v>
      </c>
      <c r="F248" s="1" t="s">
        <v>962</v>
      </c>
      <c r="G248" s="2">
        <v>41490</v>
      </c>
      <c r="H248" s="1" t="b">
        <v>0</v>
      </c>
      <c r="I248" s="6" t="s">
        <v>28</v>
      </c>
      <c r="J248" s="1">
        <f>COUNTIF('Rental Transaction'!B248:B4119,A248)</f>
        <v>7</v>
      </c>
      <c r="K248" s="1">
        <f>SUMIF('Rental Transaction'!B:B,A248,'Rental Transaction'!H:H)</f>
        <v>64</v>
      </c>
      <c r="L248" s="17">
        <f>COUNTIFS('Retal Tran Line Item'!D:D,"BLU-RAY",'Retal Tran Line Item'!H:H,A248)/J248</f>
        <v>1.1428571428571428</v>
      </c>
    </row>
    <row r="249" spans="1:12">
      <c r="A249" s="1">
        <v>487346</v>
      </c>
      <c r="B249" s="1" t="s">
        <v>963</v>
      </c>
      <c r="C249" s="1" t="s">
        <v>964</v>
      </c>
      <c r="D249" s="1" t="s">
        <v>965</v>
      </c>
      <c r="E249" s="1" t="s">
        <v>26</v>
      </c>
      <c r="F249" s="1" t="s">
        <v>966</v>
      </c>
      <c r="G249" s="2">
        <v>41435</v>
      </c>
      <c r="H249" s="1" t="b">
        <v>0</v>
      </c>
      <c r="I249" s="6" t="s">
        <v>28</v>
      </c>
      <c r="J249" s="1">
        <f>COUNTIF('Rental Transaction'!B249:B4120,A249)</f>
        <v>6</v>
      </c>
      <c r="K249" s="1">
        <f>SUMIF('Rental Transaction'!B:B,A249,'Rental Transaction'!H:H)</f>
        <v>52</v>
      </c>
      <c r="L249" s="17">
        <f>COUNTIFS('Retal Tran Line Item'!D:D,"BLU-RAY",'Retal Tran Line Item'!H:H,A249)/J249</f>
        <v>0.5</v>
      </c>
    </row>
    <row r="250" spans="1:12">
      <c r="A250" s="1">
        <v>488295</v>
      </c>
      <c r="B250" s="1" t="s">
        <v>967</v>
      </c>
      <c r="C250" s="1" t="s">
        <v>968</v>
      </c>
      <c r="D250" s="1" t="s">
        <v>969</v>
      </c>
      <c r="E250" s="1" t="s">
        <v>26</v>
      </c>
      <c r="F250" s="1" t="s">
        <v>970</v>
      </c>
      <c r="G250" s="2">
        <v>41263</v>
      </c>
      <c r="H250" s="1" t="b">
        <v>0</v>
      </c>
      <c r="I250" s="6" t="s">
        <v>28</v>
      </c>
      <c r="J250" s="1">
        <f>COUNTIF('Rental Transaction'!B250:B4121,A250)</f>
        <v>3</v>
      </c>
      <c r="K250" s="1">
        <f>SUMIF('Rental Transaction'!B:B,A250,'Rental Transaction'!H:H)</f>
        <v>29</v>
      </c>
      <c r="L250" s="17">
        <f>COUNTIFS('Retal Tran Line Item'!D:D,"BLU-RAY",'Retal Tran Line Item'!H:H,A250)/J250</f>
        <v>0.33333333333333331</v>
      </c>
    </row>
    <row r="251" spans="1:12">
      <c r="A251" s="1">
        <v>488803</v>
      </c>
      <c r="B251" s="1" t="s">
        <v>971</v>
      </c>
      <c r="C251" s="1" t="s">
        <v>972</v>
      </c>
      <c r="D251" s="1" t="s">
        <v>973</v>
      </c>
      <c r="E251" s="1" t="s">
        <v>26</v>
      </c>
      <c r="F251" s="1" t="s">
        <v>974</v>
      </c>
      <c r="G251" s="2">
        <v>41172</v>
      </c>
      <c r="H251" s="1" t="b">
        <v>1</v>
      </c>
      <c r="I251" s="6" t="s">
        <v>33</v>
      </c>
      <c r="J251" s="1">
        <f>COUNTIF('Rental Transaction'!B251:B4122,A251)</f>
        <v>2</v>
      </c>
      <c r="K251" s="1">
        <f>SUMIF('Rental Transaction'!B:B,A251,'Rental Transaction'!H:H)</f>
        <v>46</v>
      </c>
      <c r="L251" s="17">
        <f>COUNTIFS('Retal Tran Line Item'!D:D,"BLU-RAY",'Retal Tran Line Item'!H:H,A251)/J251</f>
        <v>3</v>
      </c>
    </row>
    <row r="252" spans="1:12">
      <c r="A252" s="1">
        <v>491380</v>
      </c>
      <c r="B252" s="1" t="s">
        <v>178</v>
      </c>
      <c r="C252" s="1" t="s">
        <v>975</v>
      </c>
      <c r="D252" s="1" t="s">
        <v>976</v>
      </c>
      <c r="E252" s="1" t="s">
        <v>874</v>
      </c>
      <c r="F252" s="1" t="s">
        <v>977</v>
      </c>
      <c r="G252" s="2">
        <v>41229</v>
      </c>
      <c r="H252" s="1" t="b">
        <v>0</v>
      </c>
      <c r="I252" s="6" t="s">
        <v>28</v>
      </c>
      <c r="J252" s="1">
        <f>COUNTIF('Rental Transaction'!B252:B4123,A252)</f>
        <v>10</v>
      </c>
      <c r="K252" s="1">
        <f>SUMIF('Rental Transaction'!B:B,A252,'Rental Transaction'!H:H)</f>
        <v>95</v>
      </c>
      <c r="L252" s="17">
        <f>COUNTIFS('Retal Tran Line Item'!D:D,"BLU-RAY",'Retal Tran Line Item'!H:H,A252)/J252</f>
        <v>0.6</v>
      </c>
    </row>
    <row r="253" spans="1:12">
      <c r="A253" s="1">
        <v>493552</v>
      </c>
      <c r="B253" s="1" t="s">
        <v>978</v>
      </c>
      <c r="C253" s="1" t="s">
        <v>420</v>
      </c>
      <c r="D253" s="1" t="s">
        <v>979</v>
      </c>
      <c r="E253" s="1" t="s">
        <v>37</v>
      </c>
      <c r="F253" s="1" t="s">
        <v>980</v>
      </c>
      <c r="G253" s="2">
        <v>41377</v>
      </c>
      <c r="H253" s="1" t="b">
        <v>0</v>
      </c>
      <c r="I253" s="6" t="s">
        <v>28</v>
      </c>
      <c r="J253" s="1">
        <f>COUNTIF('Rental Transaction'!B253:B4124,A253)</f>
        <v>11</v>
      </c>
      <c r="K253" s="1">
        <f>SUMIF('Rental Transaction'!B:B,A253,'Rental Transaction'!H:H)</f>
        <v>66</v>
      </c>
      <c r="L253" s="17">
        <f>COUNTIFS('Retal Tran Line Item'!D:D,"BLU-RAY",'Retal Tran Line Item'!H:H,A253)/J253</f>
        <v>0.27272727272727271</v>
      </c>
    </row>
    <row r="254" spans="1:12">
      <c r="A254" s="1">
        <v>494106</v>
      </c>
      <c r="B254" s="1" t="s">
        <v>981</v>
      </c>
      <c r="C254" s="1" t="s">
        <v>982</v>
      </c>
      <c r="D254" s="1" t="s">
        <v>983</v>
      </c>
      <c r="E254" s="1" t="s">
        <v>26</v>
      </c>
      <c r="F254" s="1" t="s">
        <v>984</v>
      </c>
      <c r="G254" s="2">
        <v>41512</v>
      </c>
      <c r="H254" s="1" t="b">
        <v>1</v>
      </c>
      <c r="I254" s="6" t="s">
        <v>33</v>
      </c>
      <c r="J254" s="1">
        <f>COUNTIF('Rental Transaction'!B254:B4125,A254)</f>
        <v>8</v>
      </c>
      <c r="K254" s="1">
        <f>SUMIF('Rental Transaction'!B:B,A254,'Rental Transaction'!H:H)</f>
        <v>70</v>
      </c>
      <c r="L254" s="17">
        <f>COUNTIFS('Retal Tran Line Item'!D:D,"BLU-RAY",'Retal Tran Line Item'!H:H,A254)/J254</f>
        <v>0.625</v>
      </c>
    </row>
    <row r="255" spans="1:12">
      <c r="A255" s="1">
        <v>498153</v>
      </c>
      <c r="B255" s="1" t="s">
        <v>985</v>
      </c>
      <c r="C255" s="1" t="s">
        <v>708</v>
      </c>
      <c r="D255" s="1" t="s">
        <v>986</v>
      </c>
      <c r="E255" s="1" t="s">
        <v>26</v>
      </c>
      <c r="F255" s="1" t="s">
        <v>987</v>
      </c>
      <c r="G255" s="2">
        <v>41131</v>
      </c>
      <c r="H255" s="1" t="b">
        <v>0</v>
      </c>
      <c r="I255" s="6" t="s">
        <v>33</v>
      </c>
      <c r="J255" s="1">
        <f>COUNTIF('Rental Transaction'!B255:B4126,A255)</f>
        <v>5</v>
      </c>
      <c r="K255" s="1">
        <f>SUMIF('Rental Transaction'!B:B,A255,'Rental Transaction'!H:H)</f>
        <v>63</v>
      </c>
      <c r="L255" s="17">
        <f>COUNTIFS('Retal Tran Line Item'!D:D,"BLU-RAY",'Retal Tran Line Item'!H:H,A255)/J255</f>
        <v>0.2</v>
      </c>
    </row>
    <row r="256" spans="1:12">
      <c r="A256" s="1">
        <v>498970</v>
      </c>
      <c r="B256" s="1" t="s">
        <v>988</v>
      </c>
      <c r="C256" s="1" t="s">
        <v>989</v>
      </c>
      <c r="D256" s="1" t="s">
        <v>990</v>
      </c>
      <c r="E256" s="1" t="s">
        <v>26</v>
      </c>
      <c r="F256" s="1" t="s">
        <v>991</v>
      </c>
      <c r="G256" s="2">
        <v>41290</v>
      </c>
      <c r="H256" s="1" t="b">
        <v>1</v>
      </c>
      <c r="I256" s="6" t="s">
        <v>33</v>
      </c>
      <c r="J256" s="1">
        <f>COUNTIF('Rental Transaction'!B256:B4127,A256)</f>
        <v>13</v>
      </c>
      <c r="K256" s="1">
        <f>SUMIF('Rental Transaction'!B:B,A256,'Rental Transaction'!H:H)</f>
        <v>132</v>
      </c>
      <c r="L256" s="17">
        <f>COUNTIFS('Retal Tran Line Item'!D:D,"BLU-RAY",'Retal Tran Line Item'!H:H,A256)/J256</f>
        <v>0.30769230769230771</v>
      </c>
    </row>
    <row r="257" spans="1:12">
      <c r="A257" s="1">
        <v>500350</v>
      </c>
      <c r="B257" s="1" t="s">
        <v>992</v>
      </c>
      <c r="C257" s="1" t="s">
        <v>993</v>
      </c>
      <c r="D257" s="1" t="s">
        <v>994</v>
      </c>
      <c r="E257" s="1" t="s">
        <v>228</v>
      </c>
      <c r="F257" s="1" t="s">
        <v>995</v>
      </c>
      <c r="G257" s="2">
        <v>41427</v>
      </c>
      <c r="H257" s="1" t="b">
        <v>1</v>
      </c>
      <c r="I257" s="6" t="s">
        <v>33</v>
      </c>
      <c r="J257" s="1">
        <f>COUNTIF('Rental Transaction'!B257:B4128,A257)</f>
        <v>8</v>
      </c>
      <c r="K257" s="1">
        <f>SUMIF('Rental Transaction'!B:B,A257,'Rental Transaction'!H:H)</f>
        <v>90</v>
      </c>
      <c r="L257" s="17">
        <f>COUNTIFS('Retal Tran Line Item'!D:D,"BLU-RAY",'Retal Tran Line Item'!H:H,A257)/J257</f>
        <v>0.875</v>
      </c>
    </row>
    <row r="258" spans="1:12">
      <c r="A258" s="1">
        <v>500733</v>
      </c>
      <c r="B258" s="1" t="s">
        <v>996</v>
      </c>
      <c r="C258" s="1" t="s">
        <v>997</v>
      </c>
      <c r="D258" s="1" t="s">
        <v>998</v>
      </c>
      <c r="E258" s="1" t="s">
        <v>26</v>
      </c>
      <c r="F258" s="1" t="s">
        <v>999</v>
      </c>
      <c r="G258" s="2">
        <v>41242</v>
      </c>
      <c r="H258" s="1" t="b">
        <v>0</v>
      </c>
      <c r="I258" s="6" t="s">
        <v>28</v>
      </c>
      <c r="J258" s="1">
        <f>COUNTIF('Rental Transaction'!B258:B4129,A258)</f>
        <v>4</v>
      </c>
      <c r="K258" s="1">
        <f>SUMIF('Rental Transaction'!B:B,A258,'Rental Transaction'!H:H)</f>
        <v>32</v>
      </c>
      <c r="L258" s="17">
        <f>COUNTIFS('Retal Tran Line Item'!D:D,"BLU-RAY",'Retal Tran Line Item'!H:H,A258)/J258</f>
        <v>1</v>
      </c>
    </row>
    <row r="259" spans="1:12">
      <c r="A259" s="1">
        <v>500828</v>
      </c>
      <c r="B259" s="1" t="s">
        <v>1000</v>
      </c>
      <c r="C259" s="1" t="s">
        <v>1001</v>
      </c>
      <c r="D259" s="1" t="s">
        <v>1002</v>
      </c>
      <c r="E259" s="1" t="s">
        <v>26</v>
      </c>
      <c r="F259" s="1" t="s">
        <v>1003</v>
      </c>
      <c r="G259" s="2">
        <v>41212</v>
      </c>
      <c r="H259" s="1" t="b">
        <v>1</v>
      </c>
      <c r="I259" s="6" t="s">
        <v>28</v>
      </c>
      <c r="J259" s="1">
        <f>COUNTIF('Rental Transaction'!B259:B4130,A259)</f>
        <v>9</v>
      </c>
      <c r="K259" s="1">
        <f>SUMIF('Rental Transaction'!B:B,A259,'Rental Transaction'!H:H)</f>
        <v>89</v>
      </c>
      <c r="L259" s="17">
        <f>COUNTIFS('Retal Tran Line Item'!D:D,"BLU-RAY",'Retal Tran Line Item'!H:H,A259)/J259</f>
        <v>0.77777777777777779</v>
      </c>
    </row>
    <row r="260" spans="1:12">
      <c r="A260" s="1">
        <v>507743</v>
      </c>
      <c r="B260" s="1" t="s">
        <v>371</v>
      </c>
      <c r="C260" s="1" t="s">
        <v>1004</v>
      </c>
      <c r="D260" s="1" t="s">
        <v>1005</v>
      </c>
      <c r="E260" s="1" t="s">
        <v>26</v>
      </c>
      <c r="F260" s="1" t="s">
        <v>1006</v>
      </c>
      <c r="G260" s="2">
        <v>41352</v>
      </c>
      <c r="H260" s="1" t="b">
        <v>0</v>
      </c>
      <c r="I260" s="6" t="s">
        <v>33</v>
      </c>
      <c r="J260" s="1">
        <f>COUNTIF('Rental Transaction'!B260:B4131,A260)</f>
        <v>4</v>
      </c>
      <c r="K260" s="1">
        <f>SUMIF('Rental Transaction'!B:B,A260,'Rental Transaction'!H:H)</f>
        <v>58</v>
      </c>
      <c r="L260" s="17">
        <f>COUNTIFS('Retal Tran Line Item'!D:D,"BLU-RAY",'Retal Tran Line Item'!H:H,A260)/J260</f>
        <v>0.75</v>
      </c>
    </row>
    <row r="261" spans="1:12">
      <c r="A261" s="1">
        <v>513968</v>
      </c>
      <c r="B261" s="1" t="s">
        <v>1007</v>
      </c>
      <c r="C261" s="1" t="s">
        <v>1008</v>
      </c>
      <c r="D261" s="1" t="s">
        <v>1009</v>
      </c>
      <c r="E261" s="1" t="s">
        <v>26</v>
      </c>
      <c r="F261" s="1" t="s">
        <v>1010</v>
      </c>
      <c r="G261" s="2">
        <v>41240</v>
      </c>
      <c r="H261" s="1" t="b">
        <v>1</v>
      </c>
      <c r="I261" s="6" t="s">
        <v>33</v>
      </c>
      <c r="J261" s="1">
        <f>COUNTIF('Rental Transaction'!B261:B4132,A261)</f>
        <v>7</v>
      </c>
      <c r="K261" s="1">
        <f>SUMIF('Rental Transaction'!B:B,A261,'Rental Transaction'!H:H)</f>
        <v>78</v>
      </c>
      <c r="L261" s="17">
        <f>COUNTIFS('Retal Tran Line Item'!D:D,"BLU-RAY",'Retal Tran Line Item'!H:H,A261)/J261</f>
        <v>0.8571428571428571</v>
      </c>
    </row>
    <row r="262" spans="1:12">
      <c r="A262" s="1">
        <v>515753</v>
      </c>
      <c r="B262" s="1" t="s">
        <v>323</v>
      </c>
      <c r="C262" s="1" t="s">
        <v>1011</v>
      </c>
      <c r="D262" s="1" t="s">
        <v>1012</v>
      </c>
      <c r="E262" s="1" t="s">
        <v>26</v>
      </c>
      <c r="F262" s="1" t="s">
        <v>1013</v>
      </c>
      <c r="G262" s="2">
        <v>41370</v>
      </c>
      <c r="H262" s="1" t="b">
        <v>0</v>
      </c>
      <c r="I262" s="6" t="s">
        <v>28</v>
      </c>
      <c r="J262" s="1">
        <f>COUNTIF('Rental Transaction'!B262:B4133,A262)</f>
        <v>6</v>
      </c>
      <c r="K262" s="1">
        <f>SUMIF('Rental Transaction'!B:B,A262,'Rental Transaction'!H:H)</f>
        <v>26</v>
      </c>
      <c r="L262" s="17">
        <f>COUNTIFS('Retal Tran Line Item'!D:D,"BLU-RAY",'Retal Tran Line Item'!H:H,A262)/J262</f>
        <v>0.83333333333333337</v>
      </c>
    </row>
    <row r="263" spans="1:12">
      <c r="A263" s="1">
        <v>515790</v>
      </c>
      <c r="B263" s="1" t="s">
        <v>1014</v>
      </c>
      <c r="C263" s="1" t="s">
        <v>1015</v>
      </c>
      <c r="D263" s="1" t="s">
        <v>1016</v>
      </c>
      <c r="E263" s="1" t="s">
        <v>26</v>
      </c>
      <c r="F263" s="1" t="s">
        <v>1017</v>
      </c>
      <c r="G263" s="2">
        <v>41289</v>
      </c>
      <c r="H263" s="1" t="b">
        <v>1</v>
      </c>
      <c r="I263" s="6" t="s">
        <v>28</v>
      </c>
      <c r="J263" s="1">
        <f>COUNTIF('Rental Transaction'!B263:B4134,A263)</f>
        <v>6</v>
      </c>
      <c r="K263" s="1">
        <f>SUMIF('Rental Transaction'!B:B,A263,'Rental Transaction'!H:H)</f>
        <v>59</v>
      </c>
      <c r="L263" s="17">
        <f>COUNTIFS('Retal Tran Line Item'!D:D,"BLU-RAY",'Retal Tran Line Item'!H:H,A263)/J263</f>
        <v>0.5</v>
      </c>
    </row>
    <row r="264" spans="1:12">
      <c r="A264" s="1">
        <v>516619</v>
      </c>
      <c r="B264" s="1" t="s">
        <v>1018</v>
      </c>
      <c r="C264" s="1" t="s">
        <v>798</v>
      </c>
      <c r="D264" s="1" t="s">
        <v>1019</v>
      </c>
      <c r="E264" s="1" t="s">
        <v>26</v>
      </c>
      <c r="F264" s="1" t="s">
        <v>1020</v>
      </c>
      <c r="G264" s="2">
        <v>41424</v>
      </c>
      <c r="H264" s="1" t="b">
        <v>0</v>
      </c>
      <c r="I264" s="6" t="s">
        <v>28</v>
      </c>
      <c r="J264" s="1">
        <f>COUNTIF('Rental Transaction'!B264:B4135,A264)</f>
        <v>5</v>
      </c>
      <c r="K264" s="1">
        <f>SUMIF('Rental Transaction'!B:B,A264,'Rental Transaction'!H:H)</f>
        <v>71</v>
      </c>
      <c r="L264" s="17">
        <f>COUNTIFS('Retal Tran Line Item'!D:D,"BLU-RAY",'Retal Tran Line Item'!H:H,A264)/J264</f>
        <v>0.6</v>
      </c>
    </row>
    <row r="265" spans="1:12">
      <c r="A265" s="1">
        <v>517477</v>
      </c>
      <c r="B265" s="1" t="s">
        <v>1021</v>
      </c>
      <c r="C265" s="1" t="s">
        <v>1022</v>
      </c>
      <c r="D265" s="1" t="s">
        <v>1023</v>
      </c>
      <c r="E265" s="1" t="s">
        <v>26</v>
      </c>
      <c r="F265" s="1" t="s">
        <v>1024</v>
      </c>
      <c r="G265" s="2">
        <v>41340</v>
      </c>
      <c r="H265" s="1" t="b">
        <v>1</v>
      </c>
      <c r="I265" s="6" t="s">
        <v>33</v>
      </c>
      <c r="J265" s="1">
        <f>COUNTIF('Rental Transaction'!B265:B4136,A265)</f>
        <v>6</v>
      </c>
      <c r="K265" s="1">
        <f>SUMIF('Rental Transaction'!B:B,A265,'Rental Transaction'!H:H)</f>
        <v>51</v>
      </c>
      <c r="L265" s="17">
        <f>COUNTIFS('Retal Tran Line Item'!D:D,"BLU-RAY",'Retal Tran Line Item'!H:H,A265)/J265</f>
        <v>0.66666666666666663</v>
      </c>
    </row>
    <row r="266" spans="1:12">
      <c r="A266" s="1">
        <v>520078</v>
      </c>
      <c r="B266" s="1" t="s">
        <v>996</v>
      </c>
      <c r="C266" s="1" t="s">
        <v>1025</v>
      </c>
      <c r="D266" s="1" t="s">
        <v>1026</v>
      </c>
      <c r="E266" s="1" t="s">
        <v>223</v>
      </c>
      <c r="F266" s="1" t="s">
        <v>1027</v>
      </c>
      <c r="G266" s="2">
        <v>41352</v>
      </c>
      <c r="H266" s="1" t="b">
        <v>1</v>
      </c>
      <c r="I266" s="6" t="s">
        <v>28</v>
      </c>
      <c r="J266" s="1">
        <f>COUNTIF('Rental Transaction'!B266:B4137,A266)</f>
        <v>2</v>
      </c>
      <c r="K266" s="1">
        <f>SUMIF('Rental Transaction'!B:B,A266,'Rental Transaction'!H:H)</f>
        <v>25</v>
      </c>
      <c r="L266" s="17">
        <f>COUNTIFS('Retal Tran Line Item'!D:D,"BLU-RAY",'Retal Tran Line Item'!H:H,A266)/J266</f>
        <v>0.5</v>
      </c>
    </row>
    <row r="267" spans="1:12">
      <c r="A267" s="1">
        <v>520196</v>
      </c>
      <c r="B267" s="1" t="s">
        <v>1028</v>
      </c>
      <c r="C267" s="1" t="s">
        <v>1029</v>
      </c>
      <c r="D267" s="1" t="s">
        <v>1030</v>
      </c>
      <c r="E267" s="1" t="s">
        <v>26</v>
      </c>
      <c r="F267" s="1" t="s">
        <v>1031</v>
      </c>
      <c r="G267" s="2">
        <v>41387</v>
      </c>
      <c r="H267" s="1" t="b">
        <v>0</v>
      </c>
      <c r="I267" s="6" t="s">
        <v>33</v>
      </c>
      <c r="J267" s="1">
        <f>COUNTIF('Rental Transaction'!B267:B4138,A267)</f>
        <v>11</v>
      </c>
      <c r="K267" s="1">
        <f>SUMIF('Rental Transaction'!B:B,A267,'Rental Transaction'!H:H)</f>
        <v>82</v>
      </c>
      <c r="L267" s="17">
        <f>COUNTIFS('Retal Tran Line Item'!D:D,"BLU-RAY",'Retal Tran Line Item'!H:H,A267)/J267</f>
        <v>0.18181818181818182</v>
      </c>
    </row>
    <row r="268" spans="1:12">
      <c r="A268" s="1">
        <v>520377</v>
      </c>
      <c r="B268" s="1" t="s">
        <v>1032</v>
      </c>
      <c r="C268" s="1" t="s">
        <v>1033</v>
      </c>
      <c r="D268" s="1" t="s">
        <v>1034</v>
      </c>
      <c r="E268" s="1" t="s">
        <v>830</v>
      </c>
      <c r="F268" s="1" t="s">
        <v>1035</v>
      </c>
      <c r="G268" s="2">
        <v>41438</v>
      </c>
      <c r="H268" s="1" t="b">
        <v>0</v>
      </c>
      <c r="I268" s="6" t="s">
        <v>28</v>
      </c>
      <c r="J268" s="1">
        <f>COUNTIF('Rental Transaction'!B268:B4139,A268)</f>
        <v>6</v>
      </c>
      <c r="K268" s="1">
        <f>SUMIF('Rental Transaction'!B:B,A268,'Rental Transaction'!H:H)</f>
        <v>88</v>
      </c>
      <c r="L268" s="17">
        <f>COUNTIFS('Retal Tran Line Item'!D:D,"BLU-RAY",'Retal Tran Line Item'!H:H,A268)/J268</f>
        <v>1</v>
      </c>
    </row>
    <row r="269" spans="1:12">
      <c r="A269" s="1">
        <v>524667</v>
      </c>
      <c r="B269" s="1" t="s">
        <v>1036</v>
      </c>
      <c r="C269" s="1" t="s">
        <v>725</v>
      </c>
      <c r="D269" s="1" t="s">
        <v>1037</v>
      </c>
      <c r="E269" s="1" t="s">
        <v>26</v>
      </c>
      <c r="F269" s="1" t="s">
        <v>1038</v>
      </c>
      <c r="G269" s="2">
        <v>41456</v>
      </c>
      <c r="H269" s="1" t="b">
        <v>0</v>
      </c>
      <c r="I269" s="6" t="s">
        <v>33</v>
      </c>
      <c r="J269" s="1">
        <f>COUNTIF('Rental Transaction'!B269:B4140,A269)</f>
        <v>11</v>
      </c>
      <c r="K269" s="1">
        <f>SUMIF('Rental Transaction'!B:B,A269,'Rental Transaction'!H:H)</f>
        <v>84</v>
      </c>
      <c r="L269" s="17">
        <f>COUNTIFS('Retal Tran Line Item'!D:D,"BLU-RAY",'Retal Tran Line Item'!H:H,A269)/J269</f>
        <v>0.45454545454545453</v>
      </c>
    </row>
    <row r="270" spans="1:12">
      <c r="A270" s="1">
        <v>528475</v>
      </c>
      <c r="B270" s="1" t="s">
        <v>519</v>
      </c>
      <c r="C270" s="1" t="s">
        <v>1039</v>
      </c>
      <c r="D270" s="1" t="s">
        <v>1040</v>
      </c>
      <c r="E270" s="1" t="s">
        <v>26</v>
      </c>
      <c r="F270" s="1" t="s">
        <v>1041</v>
      </c>
      <c r="G270" s="2">
        <v>41235</v>
      </c>
      <c r="H270" s="1" t="b">
        <v>0</v>
      </c>
      <c r="I270" s="6" t="s">
        <v>33</v>
      </c>
      <c r="J270" s="1">
        <f>COUNTIF('Rental Transaction'!B270:B4141,A270)</f>
        <v>4</v>
      </c>
      <c r="K270" s="1">
        <f>SUMIF('Rental Transaction'!B:B,A270,'Rental Transaction'!H:H)</f>
        <v>43</v>
      </c>
      <c r="L270" s="17">
        <f>COUNTIFS('Retal Tran Line Item'!D:D,"BLU-RAY",'Retal Tran Line Item'!H:H,A270)/J270</f>
        <v>0</v>
      </c>
    </row>
    <row r="271" spans="1:12">
      <c r="A271" s="1">
        <v>534481</v>
      </c>
      <c r="B271" s="1" t="s">
        <v>118</v>
      </c>
      <c r="C271" s="1" t="s">
        <v>1042</v>
      </c>
      <c r="D271" s="1" t="s">
        <v>1043</v>
      </c>
      <c r="E271" s="1" t="s">
        <v>26</v>
      </c>
      <c r="F271" s="1" t="s">
        <v>1044</v>
      </c>
      <c r="G271" s="2">
        <v>41294</v>
      </c>
      <c r="H271" s="1" t="b">
        <v>0</v>
      </c>
      <c r="I271" s="6" t="s">
        <v>33</v>
      </c>
      <c r="J271" s="1">
        <f>COUNTIF('Rental Transaction'!B271:B4142,A271)</f>
        <v>6</v>
      </c>
      <c r="K271" s="1">
        <f>SUMIF('Rental Transaction'!B:B,A271,'Rental Transaction'!H:H)</f>
        <v>55</v>
      </c>
      <c r="L271" s="17">
        <f>COUNTIFS('Retal Tran Line Item'!D:D,"BLU-RAY",'Retal Tran Line Item'!H:H,A271)/J271</f>
        <v>0.5</v>
      </c>
    </row>
    <row r="272" spans="1:12">
      <c r="A272" s="1">
        <v>537796</v>
      </c>
      <c r="B272" s="1" t="s">
        <v>1045</v>
      </c>
      <c r="C272" s="1" t="s">
        <v>1046</v>
      </c>
      <c r="D272" s="1" t="s">
        <v>1047</v>
      </c>
      <c r="E272" s="1" t="s">
        <v>874</v>
      </c>
      <c r="F272" s="1" t="s">
        <v>1048</v>
      </c>
      <c r="G272" s="2">
        <v>41204</v>
      </c>
      <c r="H272" s="1" t="b">
        <v>0</v>
      </c>
      <c r="I272" s="6" t="s">
        <v>28</v>
      </c>
      <c r="J272" s="1">
        <f>COUNTIF('Rental Transaction'!B272:B4143,A272)</f>
        <v>3</v>
      </c>
      <c r="K272" s="1">
        <f>SUMIF('Rental Transaction'!B:B,A272,'Rental Transaction'!H:H)</f>
        <v>34</v>
      </c>
      <c r="L272" s="17">
        <f>COUNTIFS('Retal Tran Line Item'!D:D,"BLU-RAY",'Retal Tran Line Item'!H:H,A272)/J272</f>
        <v>0.66666666666666663</v>
      </c>
    </row>
    <row r="273" spans="1:12">
      <c r="A273" s="1">
        <v>537860</v>
      </c>
      <c r="B273" s="1" t="s">
        <v>1049</v>
      </c>
      <c r="C273" s="1" t="s">
        <v>1050</v>
      </c>
      <c r="D273" s="1" t="s">
        <v>1051</v>
      </c>
      <c r="E273" s="1" t="s">
        <v>152</v>
      </c>
      <c r="F273" s="1" t="s">
        <v>1052</v>
      </c>
      <c r="G273" s="2">
        <v>41203</v>
      </c>
      <c r="H273" s="1" t="b">
        <v>1</v>
      </c>
      <c r="I273" s="6" t="s">
        <v>33</v>
      </c>
      <c r="J273" s="1">
        <f>COUNTIF('Rental Transaction'!B273:B4144,A273)</f>
        <v>7</v>
      </c>
      <c r="K273" s="1">
        <f>SUMIF('Rental Transaction'!B:B,A273,'Rental Transaction'!H:H)</f>
        <v>67</v>
      </c>
      <c r="L273" s="17">
        <f>COUNTIFS('Retal Tran Line Item'!D:D,"BLU-RAY",'Retal Tran Line Item'!H:H,A273)/J273</f>
        <v>0.5714285714285714</v>
      </c>
    </row>
    <row r="274" spans="1:12">
      <c r="A274" s="1">
        <v>547890</v>
      </c>
      <c r="B274" s="1" t="s">
        <v>1053</v>
      </c>
      <c r="C274" s="1" t="s">
        <v>1054</v>
      </c>
      <c r="D274" s="1" t="s">
        <v>1055</v>
      </c>
      <c r="E274" s="1" t="s">
        <v>223</v>
      </c>
      <c r="F274" s="1" t="s">
        <v>1056</v>
      </c>
      <c r="G274" s="2">
        <v>41411</v>
      </c>
      <c r="H274" s="1" t="b">
        <v>0</v>
      </c>
      <c r="I274" s="6" t="s">
        <v>28</v>
      </c>
      <c r="J274" s="1">
        <f>COUNTIF('Rental Transaction'!B274:B4145,A274)</f>
        <v>5</v>
      </c>
      <c r="K274" s="1">
        <f>SUMIF('Rental Transaction'!B:B,A274,'Rental Transaction'!H:H)</f>
        <v>47</v>
      </c>
      <c r="L274" s="17">
        <f>COUNTIFS('Retal Tran Line Item'!D:D,"BLU-RAY",'Retal Tran Line Item'!H:H,A274)/J274</f>
        <v>0.6</v>
      </c>
    </row>
    <row r="275" spans="1:12">
      <c r="A275" s="1">
        <v>548546</v>
      </c>
      <c r="B275" s="1" t="s">
        <v>486</v>
      </c>
      <c r="C275" s="1" t="s">
        <v>287</v>
      </c>
      <c r="D275" s="1" t="s">
        <v>1057</v>
      </c>
      <c r="E275" s="1" t="s">
        <v>621</v>
      </c>
      <c r="F275" s="1" t="s">
        <v>1058</v>
      </c>
      <c r="G275" s="2">
        <v>41418</v>
      </c>
      <c r="H275" s="1" t="b">
        <v>0</v>
      </c>
      <c r="I275" s="6" t="s">
        <v>28</v>
      </c>
      <c r="J275" s="1">
        <f>COUNTIF('Rental Transaction'!B275:B4146,A275)</f>
        <v>4</v>
      </c>
      <c r="K275" s="1">
        <f>SUMIF('Rental Transaction'!B:B,A275,'Rental Transaction'!H:H)</f>
        <v>35</v>
      </c>
      <c r="L275" s="17">
        <f>COUNTIFS('Retal Tran Line Item'!D:D,"BLU-RAY",'Retal Tran Line Item'!H:H,A275)/J275</f>
        <v>0.25</v>
      </c>
    </row>
    <row r="276" spans="1:12">
      <c r="A276" s="1">
        <v>548800</v>
      </c>
      <c r="B276" s="1" t="s">
        <v>1059</v>
      </c>
      <c r="C276" s="1" t="s">
        <v>1060</v>
      </c>
      <c r="D276" s="1" t="s">
        <v>1061</v>
      </c>
      <c r="E276" s="1" t="s">
        <v>26</v>
      </c>
      <c r="F276" s="1" t="s">
        <v>1062</v>
      </c>
      <c r="G276" s="2">
        <v>41342</v>
      </c>
      <c r="H276" s="1" t="b">
        <v>1</v>
      </c>
      <c r="I276" s="6" t="s">
        <v>33</v>
      </c>
      <c r="J276" s="1">
        <f>COUNTIF('Rental Transaction'!B276:B4147,A276)</f>
        <v>10</v>
      </c>
      <c r="K276" s="1">
        <f>SUMIF('Rental Transaction'!B:B,A276,'Rental Transaction'!H:H)</f>
        <v>119</v>
      </c>
      <c r="L276" s="17">
        <f>COUNTIFS('Retal Tran Line Item'!D:D,"BLU-RAY",'Retal Tran Line Item'!H:H,A276)/J276</f>
        <v>0.7</v>
      </c>
    </row>
    <row r="277" spans="1:12">
      <c r="A277" s="1">
        <v>549823</v>
      </c>
      <c r="B277" s="1" t="s">
        <v>1063</v>
      </c>
      <c r="C277" s="1" t="s">
        <v>594</v>
      </c>
      <c r="D277" s="1" t="s">
        <v>1064</v>
      </c>
      <c r="E277" s="1" t="s">
        <v>223</v>
      </c>
      <c r="F277" s="1" t="s">
        <v>1065</v>
      </c>
      <c r="G277" s="2">
        <v>41508</v>
      </c>
      <c r="H277" s="1" t="b">
        <v>1</v>
      </c>
      <c r="I277" s="6" t="s">
        <v>28</v>
      </c>
      <c r="J277" s="1">
        <f>COUNTIF('Rental Transaction'!B277:B4148,A277)</f>
        <v>9</v>
      </c>
      <c r="K277" s="1">
        <f>SUMIF('Rental Transaction'!B:B,A277,'Rental Transaction'!H:H)</f>
        <v>105</v>
      </c>
      <c r="L277" s="17">
        <f>COUNTIFS('Retal Tran Line Item'!D:D,"BLU-RAY",'Retal Tran Line Item'!H:H,A277)/J277</f>
        <v>0.66666666666666663</v>
      </c>
    </row>
    <row r="278" spans="1:12">
      <c r="A278" s="1">
        <v>550661</v>
      </c>
      <c r="B278" s="1" t="s">
        <v>988</v>
      </c>
      <c r="C278" s="1" t="s">
        <v>1066</v>
      </c>
      <c r="D278" s="1" t="s">
        <v>1067</v>
      </c>
      <c r="E278" s="1" t="s">
        <v>26</v>
      </c>
      <c r="F278" s="1" t="s">
        <v>1068</v>
      </c>
      <c r="G278" s="2">
        <v>41375</v>
      </c>
      <c r="H278" s="1" t="b">
        <v>1</v>
      </c>
      <c r="I278" s="6" t="s">
        <v>33</v>
      </c>
      <c r="J278" s="1">
        <f>COUNTIF('Rental Transaction'!B278:B4149,A278)</f>
        <v>4</v>
      </c>
      <c r="K278" s="1">
        <f>SUMIF('Rental Transaction'!B:B,A278,'Rental Transaction'!H:H)</f>
        <v>35</v>
      </c>
      <c r="L278" s="17">
        <f>COUNTIFS('Retal Tran Line Item'!D:D,"BLU-RAY",'Retal Tran Line Item'!H:H,A278)/J278</f>
        <v>0.5</v>
      </c>
    </row>
    <row r="279" spans="1:12">
      <c r="A279" s="1">
        <v>550824</v>
      </c>
      <c r="B279" s="1" t="s">
        <v>1069</v>
      </c>
      <c r="C279" s="1" t="s">
        <v>1070</v>
      </c>
      <c r="D279" s="1" t="s">
        <v>1071</v>
      </c>
      <c r="E279" s="1" t="s">
        <v>26</v>
      </c>
      <c r="F279" s="1" t="s">
        <v>1072</v>
      </c>
      <c r="G279" s="2">
        <v>41484</v>
      </c>
      <c r="H279" s="1" t="b">
        <v>1</v>
      </c>
      <c r="I279" s="6" t="s">
        <v>28</v>
      </c>
      <c r="J279" s="1">
        <f>COUNTIF('Rental Transaction'!B279:B4150,A279)</f>
        <v>11</v>
      </c>
      <c r="K279" s="1">
        <f>SUMIF('Rental Transaction'!B:B,A279,'Rental Transaction'!H:H)</f>
        <v>96</v>
      </c>
      <c r="L279" s="17">
        <f>COUNTIFS('Retal Tran Line Item'!D:D,"BLU-RAY",'Retal Tran Line Item'!H:H,A279)/J279</f>
        <v>0.81818181818181823</v>
      </c>
    </row>
    <row r="280" spans="1:12">
      <c r="A280" s="1">
        <v>551950</v>
      </c>
      <c r="B280" s="1" t="s">
        <v>1073</v>
      </c>
      <c r="C280" s="1" t="s">
        <v>1074</v>
      </c>
      <c r="D280" s="1" t="s">
        <v>1075</v>
      </c>
      <c r="E280" s="1" t="s">
        <v>37</v>
      </c>
      <c r="F280" s="1" t="s">
        <v>1076</v>
      </c>
      <c r="G280" s="2">
        <v>41142</v>
      </c>
      <c r="H280" s="1" t="b">
        <v>1</v>
      </c>
      <c r="I280" s="6" t="s">
        <v>28</v>
      </c>
      <c r="J280" s="1">
        <f>COUNTIF('Rental Transaction'!B280:B4151,A280)</f>
        <v>5</v>
      </c>
      <c r="K280" s="1">
        <f>SUMIF('Rental Transaction'!B:B,A280,'Rental Transaction'!H:H)</f>
        <v>34</v>
      </c>
      <c r="L280" s="17">
        <f>COUNTIFS('Retal Tran Line Item'!D:D,"BLU-RAY",'Retal Tran Line Item'!H:H,A280)/J280</f>
        <v>1</v>
      </c>
    </row>
    <row r="281" spans="1:12">
      <c r="A281" s="1">
        <v>552124</v>
      </c>
      <c r="B281" s="1" t="s">
        <v>1077</v>
      </c>
      <c r="C281" s="1" t="s">
        <v>1078</v>
      </c>
      <c r="D281" s="1" t="s">
        <v>1079</v>
      </c>
      <c r="E281" s="1" t="s">
        <v>26</v>
      </c>
      <c r="F281" s="1" t="s">
        <v>1080</v>
      </c>
      <c r="G281" s="2">
        <v>41319</v>
      </c>
      <c r="H281" s="1" t="b">
        <v>1</v>
      </c>
      <c r="I281" s="6" t="s">
        <v>33</v>
      </c>
      <c r="J281" s="1">
        <f>COUNTIF('Rental Transaction'!B281:B4152,A281)</f>
        <v>5</v>
      </c>
      <c r="K281" s="1">
        <f>SUMIF('Rental Transaction'!B:B,A281,'Rental Transaction'!H:H)</f>
        <v>40</v>
      </c>
      <c r="L281" s="17">
        <f>COUNTIFS('Retal Tran Line Item'!D:D,"BLU-RAY",'Retal Tran Line Item'!H:H,A281)/J281</f>
        <v>0.8</v>
      </c>
    </row>
    <row r="282" spans="1:12">
      <c r="A282" s="1">
        <v>553931</v>
      </c>
      <c r="B282" s="1" t="s">
        <v>545</v>
      </c>
      <c r="C282" s="1" t="s">
        <v>30</v>
      </c>
      <c r="D282" s="1" t="s">
        <v>1081</v>
      </c>
      <c r="E282" s="1" t="s">
        <v>26</v>
      </c>
      <c r="F282" s="1" t="s">
        <v>1082</v>
      </c>
      <c r="G282" s="2">
        <v>41118</v>
      </c>
      <c r="H282" s="1" t="b">
        <v>1</v>
      </c>
      <c r="I282" s="6" t="s">
        <v>28</v>
      </c>
      <c r="J282" s="1">
        <f>COUNTIF('Rental Transaction'!B282:B4153,A282)</f>
        <v>1</v>
      </c>
      <c r="K282" s="1">
        <f>SUMIF('Rental Transaction'!B:B,A282,'Rental Transaction'!H:H)</f>
        <v>33</v>
      </c>
      <c r="L282" s="17">
        <f>COUNTIFS('Retal Tran Line Item'!D:D,"BLU-RAY",'Retal Tran Line Item'!H:H,A282)/J282</f>
        <v>4</v>
      </c>
    </row>
    <row r="283" spans="1:12">
      <c r="A283" s="1">
        <v>554099</v>
      </c>
      <c r="B283" s="1" t="s">
        <v>1083</v>
      </c>
      <c r="C283" s="1" t="s">
        <v>1084</v>
      </c>
      <c r="D283" s="1" t="s">
        <v>1085</v>
      </c>
      <c r="E283" s="1" t="s">
        <v>26</v>
      </c>
      <c r="F283" s="1" t="s">
        <v>1086</v>
      </c>
      <c r="G283" s="2">
        <v>41523</v>
      </c>
      <c r="H283" s="1" t="b">
        <v>1</v>
      </c>
      <c r="I283" s="6" t="s">
        <v>33</v>
      </c>
      <c r="J283" s="1">
        <f>COUNTIF('Rental Transaction'!B283:B4154,A283)</f>
        <v>5</v>
      </c>
      <c r="K283" s="1">
        <f>SUMIF('Rental Transaction'!B:B,A283,'Rental Transaction'!H:H)</f>
        <v>42</v>
      </c>
      <c r="L283" s="17">
        <f>COUNTIFS('Retal Tran Line Item'!D:D,"BLU-RAY",'Retal Tran Line Item'!H:H,A283)/J283</f>
        <v>0.4</v>
      </c>
    </row>
    <row r="284" spans="1:12">
      <c r="A284" s="1">
        <v>556152</v>
      </c>
      <c r="B284" s="1" t="s">
        <v>212</v>
      </c>
      <c r="C284" s="1" t="s">
        <v>58</v>
      </c>
      <c r="D284" s="1" t="s">
        <v>1087</v>
      </c>
      <c r="E284" s="1" t="s">
        <v>26</v>
      </c>
      <c r="F284" s="1" t="s">
        <v>1088</v>
      </c>
      <c r="G284" s="2">
        <v>41180</v>
      </c>
      <c r="H284" s="1" t="b">
        <v>1</v>
      </c>
      <c r="I284" s="6" t="s">
        <v>33</v>
      </c>
      <c r="J284" s="1">
        <f>COUNTIF('Rental Transaction'!B284:B4155,A284)</f>
        <v>6</v>
      </c>
      <c r="K284" s="1">
        <f>SUMIF('Rental Transaction'!B:B,A284,'Rental Transaction'!H:H)</f>
        <v>58</v>
      </c>
      <c r="L284" s="17">
        <f>COUNTIFS('Retal Tran Line Item'!D:D,"BLU-RAY",'Retal Tran Line Item'!H:H,A284)/J284</f>
        <v>0.33333333333333331</v>
      </c>
    </row>
    <row r="285" spans="1:12">
      <c r="A285" s="1">
        <v>556619</v>
      </c>
      <c r="B285" s="1" t="s">
        <v>1089</v>
      </c>
      <c r="C285" s="1" t="s">
        <v>1090</v>
      </c>
      <c r="D285" s="1" t="s">
        <v>1091</v>
      </c>
      <c r="E285" s="1" t="s">
        <v>26</v>
      </c>
      <c r="F285" s="1" t="s">
        <v>1092</v>
      </c>
      <c r="G285" s="2">
        <v>41173</v>
      </c>
      <c r="H285" s="1" t="b">
        <v>1</v>
      </c>
      <c r="I285" s="6" t="s">
        <v>33</v>
      </c>
      <c r="J285" s="1">
        <f>COUNTIF('Rental Transaction'!B285:B4156,A285)</f>
        <v>6</v>
      </c>
      <c r="K285" s="1">
        <f>SUMIF('Rental Transaction'!B:B,A285,'Rental Transaction'!H:H)</f>
        <v>34</v>
      </c>
      <c r="L285" s="17">
        <f>COUNTIFS('Retal Tran Line Item'!D:D,"BLU-RAY",'Retal Tran Line Item'!H:H,A285)/J285</f>
        <v>0.33333333333333331</v>
      </c>
    </row>
    <row r="286" spans="1:12">
      <c r="A286" s="1">
        <v>558749</v>
      </c>
      <c r="B286" s="1" t="s">
        <v>1093</v>
      </c>
      <c r="C286" s="1" t="s">
        <v>1094</v>
      </c>
      <c r="D286" s="1" t="s">
        <v>1095</v>
      </c>
      <c r="E286" s="1" t="s">
        <v>26</v>
      </c>
      <c r="F286" s="1" t="s">
        <v>1096</v>
      </c>
      <c r="G286" s="2">
        <v>41363</v>
      </c>
      <c r="H286" s="1" t="b">
        <v>1</v>
      </c>
      <c r="I286" s="6" t="s">
        <v>33</v>
      </c>
      <c r="J286" s="1">
        <f>COUNTIF('Rental Transaction'!B286:B4157,A286)</f>
        <v>4</v>
      </c>
      <c r="K286" s="1">
        <f>SUMIF('Rental Transaction'!B:B,A286,'Rental Transaction'!H:H)</f>
        <v>9</v>
      </c>
      <c r="L286" s="17">
        <f>COUNTIFS('Retal Tran Line Item'!D:D,"BLU-RAY",'Retal Tran Line Item'!H:H,A286)/J286</f>
        <v>0.5</v>
      </c>
    </row>
    <row r="287" spans="1:12">
      <c r="A287" s="1">
        <v>559054</v>
      </c>
      <c r="B287" s="1" t="s">
        <v>1097</v>
      </c>
      <c r="C287" s="1" t="s">
        <v>1098</v>
      </c>
      <c r="D287" s="1" t="s">
        <v>1099</v>
      </c>
      <c r="E287" s="1" t="s">
        <v>26</v>
      </c>
      <c r="F287" s="1" t="s">
        <v>1100</v>
      </c>
      <c r="G287" s="2">
        <v>41209</v>
      </c>
      <c r="H287" s="1" t="b">
        <v>1</v>
      </c>
      <c r="I287" s="6" t="s">
        <v>28</v>
      </c>
      <c r="J287" s="1">
        <f>COUNTIF('Rental Transaction'!B287:B4158,A287)</f>
        <v>5</v>
      </c>
      <c r="K287" s="1">
        <f>SUMIF('Rental Transaction'!B:B,A287,'Rental Transaction'!H:H)</f>
        <v>27</v>
      </c>
      <c r="L287" s="17">
        <f>COUNTIFS('Retal Tran Line Item'!D:D,"BLU-RAY",'Retal Tran Line Item'!H:H,A287)/J287</f>
        <v>0.4</v>
      </c>
    </row>
    <row r="288" spans="1:12">
      <c r="A288" s="1">
        <v>559190</v>
      </c>
      <c r="B288" s="1" t="s">
        <v>178</v>
      </c>
      <c r="C288" s="1" t="s">
        <v>594</v>
      </c>
      <c r="D288" s="1" t="s">
        <v>1101</v>
      </c>
      <c r="E288" s="1" t="s">
        <v>26</v>
      </c>
      <c r="F288" s="1" t="s">
        <v>1102</v>
      </c>
      <c r="G288" s="2">
        <v>41489</v>
      </c>
      <c r="H288" s="1" t="b">
        <v>0</v>
      </c>
      <c r="I288" s="6" t="s">
        <v>28</v>
      </c>
      <c r="J288" s="1">
        <f>COUNTIF('Rental Transaction'!B288:B4159,A288)</f>
        <v>4</v>
      </c>
      <c r="K288" s="1">
        <f>SUMIF('Rental Transaction'!B:B,A288,'Rental Transaction'!H:H)</f>
        <v>34</v>
      </c>
      <c r="L288" s="17">
        <f>COUNTIFS('Retal Tran Line Item'!D:D,"BLU-RAY",'Retal Tran Line Item'!H:H,A288)/J288</f>
        <v>0.25</v>
      </c>
    </row>
    <row r="289" spans="1:12">
      <c r="A289" s="1">
        <v>559486</v>
      </c>
      <c r="B289" s="1" t="s">
        <v>526</v>
      </c>
      <c r="C289" s="1" t="s">
        <v>1103</v>
      </c>
      <c r="D289" s="1" t="s">
        <v>1104</v>
      </c>
      <c r="E289" s="1" t="s">
        <v>26</v>
      </c>
      <c r="F289" s="1" t="s">
        <v>1105</v>
      </c>
      <c r="G289" s="2">
        <v>41163</v>
      </c>
      <c r="H289" s="1" t="b">
        <v>1</v>
      </c>
      <c r="I289" s="6" t="s">
        <v>33</v>
      </c>
      <c r="J289" s="1">
        <f>COUNTIF('Rental Transaction'!B289:B4160,A289)</f>
        <v>6</v>
      </c>
      <c r="K289" s="1">
        <f>SUMIF('Rental Transaction'!B:B,A289,'Rental Transaction'!H:H)</f>
        <v>101</v>
      </c>
      <c r="L289" s="17">
        <f>COUNTIFS('Retal Tran Line Item'!D:D,"BLU-RAY",'Retal Tran Line Item'!H:H,A289)/J289</f>
        <v>0.33333333333333331</v>
      </c>
    </row>
    <row r="290" spans="1:12">
      <c r="A290" s="1">
        <v>559688</v>
      </c>
      <c r="B290" s="1" t="s">
        <v>1106</v>
      </c>
      <c r="C290" s="1" t="s">
        <v>1107</v>
      </c>
      <c r="D290" s="1" t="s">
        <v>1108</v>
      </c>
      <c r="E290" s="1" t="s">
        <v>26</v>
      </c>
      <c r="F290" s="1" t="s">
        <v>1109</v>
      </c>
      <c r="G290" s="2">
        <v>41426</v>
      </c>
      <c r="H290" s="1" t="b">
        <v>1</v>
      </c>
      <c r="I290" s="6" t="s">
        <v>33</v>
      </c>
      <c r="J290" s="1">
        <f>COUNTIF('Rental Transaction'!B290:B4161,A290)</f>
        <v>9</v>
      </c>
      <c r="K290" s="1">
        <f>SUMIF('Rental Transaction'!B:B,A290,'Rental Transaction'!H:H)</f>
        <v>104</v>
      </c>
      <c r="L290" s="17">
        <f>COUNTIFS('Retal Tran Line Item'!D:D,"BLU-RAY",'Retal Tran Line Item'!H:H,A290)/J290</f>
        <v>0.44444444444444442</v>
      </c>
    </row>
    <row r="291" spans="1:12">
      <c r="A291" s="1">
        <v>561305</v>
      </c>
      <c r="B291" s="1" t="s">
        <v>1110</v>
      </c>
      <c r="C291" s="1" t="s">
        <v>1111</v>
      </c>
      <c r="D291" s="1" t="s">
        <v>1112</v>
      </c>
      <c r="E291" s="1" t="s">
        <v>26</v>
      </c>
      <c r="F291" s="1" t="s">
        <v>1113</v>
      </c>
      <c r="G291" s="2">
        <v>41348</v>
      </c>
      <c r="H291" s="1" t="b">
        <v>1</v>
      </c>
      <c r="I291" s="6" t="s">
        <v>28</v>
      </c>
      <c r="J291" s="1">
        <f>COUNTIF('Rental Transaction'!B291:B4162,A291)</f>
        <v>11</v>
      </c>
      <c r="K291" s="1">
        <f>SUMIF('Rental Transaction'!B:B,A291,'Rental Transaction'!H:H)</f>
        <v>91</v>
      </c>
      <c r="L291" s="17">
        <f>COUNTIFS('Retal Tran Line Item'!D:D,"BLU-RAY",'Retal Tran Line Item'!H:H,A291)/J291</f>
        <v>0.45454545454545453</v>
      </c>
    </row>
    <row r="292" spans="1:12">
      <c r="A292" s="1">
        <v>563468</v>
      </c>
      <c r="B292" s="1" t="s">
        <v>427</v>
      </c>
      <c r="C292" s="1" t="s">
        <v>1114</v>
      </c>
      <c r="D292" s="1" t="s">
        <v>1115</v>
      </c>
      <c r="E292" s="1" t="s">
        <v>42</v>
      </c>
      <c r="F292" s="1" t="s">
        <v>1116</v>
      </c>
      <c r="G292" s="2">
        <v>41093</v>
      </c>
      <c r="H292" s="1" t="b">
        <v>1</v>
      </c>
      <c r="I292" s="6" t="s">
        <v>33</v>
      </c>
      <c r="J292" s="1">
        <f>COUNTIF('Rental Transaction'!B292:B4163,A292)</f>
        <v>3</v>
      </c>
      <c r="K292" s="1">
        <f>SUMIF('Rental Transaction'!B:B,A292,'Rental Transaction'!H:H)</f>
        <v>54</v>
      </c>
      <c r="L292" s="17">
        <f>COUNTIFS('Retal Tran Line Item'!D:D,"BLU-RAY",'Retal Tran Line Item'!H:H,A292)/J292</f>
        <v>1</v>
      </c>
    </row>
    <row r="293" spans="1:12">
      <c r="A293" s="1">
        <v>563500</v>
      </c>
      <c r="B293" s="1" t="s">
        <v>1117</v>
      </c>
      <c r="C293" s="1" t="s">
        <v>649</v>
      </c>
      <c r="D293" s="1" t="s">
        <v>1118</v>
      </c>
      <c r="E293" s="1" t="s">
        <v>26</v>
      </c>
      <c r="F293" s="1" t="s">
        <v>1119</v>
      </c>
      <c r="G293" s="2">
        <v>41202</v>
      </c>
      <c r="H293" s="1" t="b">
        <v>0</v>
      </c>
      <c r="I293" s="6" t="s">
        <v>33</v>
      </c>
      <c r="J293" s="1">
        <f>COUNTIF('Rental Transaction'!B293:B4164,A293)</f>
        <v>9</v>
      </c>
      <c r="K293" s="1">
        <f>SUMIF('Rental Transaction'!B:B,A293,'Rental Transaction'!H:H)</f>
        <v>77</v>
      </c>
      <c r="L293" s="17">
        <f>COUNTIFS('Retal Tran Line Item'!D:D,"BLU-RAY",'Retal Tran Line Item'!H:H,A293)/J293</f>
        <v>0.44444444444444442</v>
      </c>
    </row>
    <row r="294" spans="1:12">
      <c r="A294" s="1">
        <v>565259</v>
      </c>
      <c r="B294" s="1" t="s">
        <v>996</v>
      </c>
      <c r="C294" s="1" t="s">
        <v>1120</v>
      </c>
      <c r="D294" s="1" t="s">
        <v>1121</v>
      </c>
      <c r="E294" s="1" t="s">
        <v>26</v>
      </c>
      <c r="F294" s="1" t="s">
        <v>1122</v>
      </c>
      <c r="G294" s="2">
        <v>41443</v>
      </c>
      <c r="H294" s="1" t="b">
        <v>0</v>
      </c>
      <c r="I294" s="6" t="s">
        <v>28</v>
      </c>
      <c r="J294" s="1">
        <f>COUNTIF('Rental Transaction'!B294:B4165,A294)</f>
        <v>6</v>
      </c>
      <c r="K294" s="1">
        <f>SUMIF('Rental Transaction'!B:B,A294,'Rental Transaction'!H:H)</f>
        <v>64</v>
      </c>
      <c r="L294" s="17">
        <f>COUNTIFS('Retal Tran Line Item'!D:D,"BLU-RAY",'Retal Tran Line Item'!H:H,A294)/J294</f>
        <v>0.16666666666666666</v>
      </c>
    </row>
    <row r="295" spans="1:12">
      <c r="A295" s="1">
        <v>566192</v>
      </c>
      <c r="B295" s="1" t="s">
        <v>1123</v>
      </c>
      <c r="C295" s="1" t="s">
        <v>1124</v>
      </c>
      <c r="D295" s="1" t="s">
        <v>1125</v>
      </c>
      <c r="E295" s="1" t="s">
        <v>309</v>
      </c>
      <c r="F295" s="1" t="s">
        <v>1126</v>
      </c>
      <c r="G295" s="2">
        <v>41264</v>
      </c>
      <c r="H295" s="1" t="b">
        <v>1</v>
      </c>
      <c r="I295" s="6" t="s">
        <v>33</v>
      </c>
      <c r="J295" s="1">
        <f>COUNTIF('Rental Transaction'!B295:B4166,A295)</f>
        <v>6</v>
      </c>
      <c r="K295" s="1">
        <f>SUMIF('Rental Transaction'!B:B,A295,'Rental Transaction'!H:H)</f>
        <v>54</v>
      </c>
      <c r="L295" s="17">
        <f>COUNTIFS('Retal Tran Line Item'!D:D,"BLU-RAY",'Retal Tran Line Item'!H:H,A295)/J295</f>
        <v>0.33333333333333331</v>
      </c>
    </row>
    <row r="296" spans="1:12">
      <c r="A296" s="1">
        <v>567388</v>
      </c>
      <c r="B296" s="1" t="s">
        <v>338</v>
      </c>
      <c r="C296" s="1" t="s">
        <v>1094</v>
      </c>
      <c r="D296" s="1" t="s">
        <v>1127</v>
      </c>
      <c r="E296" s="1" t="s">
        <v>26</v>
      </c>
      <c r="F296" s="1" t="s">
        <v>1128</v>
      </c>
      <c r="G296" s="2">
        <v>41170</v>
      </c>
      <c r="H296" s="1" t="b">
        <v>0</v>
      </c>
      <c r="I296" s="6" t="s">
        <v>33</v>
      </c>
      <c r="J296" s="1">
        <f>COUNTIF('Rental Transaction'!B296:B4167,A296)</f>
        <v>7</v>
      </c>
      <c r="K296" s="1">
        <f>SUMIF('Rental Transaction'!B:B,A296,'Rental Transaction'!H:H)</f>
        <v>89</v>
      </c>
      <c r="L296" s="17">
        <f>COUNTIFS('Retal Tran Line Item'!D:D,"BLU-RAY",'Retal Tran Line Item'!H:H,A296)/J296</f>
        <v>0.5714285714285714</v>
      </c>
    </row>
    <row r="297" spans="1:12">
      <c r="A297" s="1">
        <v>567719</v>
      </c>
      <c r="B297" s="1" t="s">
        <v>1129</v>
      </c>
      <c r="C297" s="1" t="s">
        <v>1130</v>
      </c>
      <c r="D297" s="1" t="s">
        <v>1131</v>
      </c>
      <c r="E297" s="1" t="s">
        <v>26</v>
      </c>
      <c r="F297" s="1" t="s">
        <v>1132</v>
      </c>
      <c r="G297" s="2">
        <v>41485</v>
      </c>
      <c r="H297" s="1" t="b">
        <v>1</v>
      </c>
      <c r="I297" s="6" t="s">
        <v>33</v>
      </c>
      <c r="J297" s="1">
        <f>COUNTIF('Rental Transaction'!B297:B4168,A297)</f>
        <v>8</v>
      </c>
      <c r="K297" s="1">
        <f>SUMIF('Rental Transaction'!B:B,A297,'Rental Transaction'!H:H)</f>
        <v>51</v>
      </c>
      <c r="L297" s="17">
        <f>COUNTIFS('Retal Tran Line Item'!D:D,"BLU-RAY",'Retal Tran Line Item'!H:H,A297)/J297</f>
        <v>0.625</v>
      </c>
    </row>
    <row r="298" spans="1:12">
      <c r="A298" s="1">
        <v>568217</v>
      </c>
      <c r="B298" s="1" t="s">
        <v>1133</v>
      </c>
      <c r="C298" s="1" t="s">
        <v>1134</v>
      </c>
      <c r="D298" s="1" t="s">
        <v>1135</v>
      </c>
      <c r="E298" s="1" t="s">
        <v>26</v>
      </c>
      <c r="F298" s="1" t="s">
        <v>1136</v>
      </c>
      <c r="G298" s="2">
        <v>41504</v>
      </c>
      <c r="H298" s="1" t="b">
        <v>1</v>
      </c>
      <c r="I298" s="6" t="s">
        <v>33</v>
      </c>
      <c r="J298" s="1">
        <f>COUNTIF('Rental Transaction'!B298:B4169,A298)</f>
        <v>7</v>
      </c>
      <c r="K298" s="1">
        <f>SUMIF('Rental Transaction'!B:B,A298,'Rental Transaction'!H:H)</f>
        <v>50</v>
      </c>
      <c r="L298" s="17">
        <f>COUNTIFS('Retal Tran Line Item'!D:D,"BLU-RAY",'Retal Tran Line Item'!H:H,A298)/J298</f>
        <v>0.8571428571428571</v>
      </c>
    </row>
    <row r="299" spans="1:12">
      <c r="A299" s="1">
        <v>575041</v>
      </c>
      <c r="B299" s="1" t="s">
        <v>203</v>
      </c>
      <c r="C299" s="1" t="s">
        <v>1137</v>
      </c>
      <c r="D299" s="1" t="s">
        <v>1138</v>
      </c>
      <c r="E299" s="1" t="s">
        <v>26</v>
      </c>
      <c r="F299" s="1" t="s">
        <v>1139</v>
      </c>
      <c r="G299" s="2">
        <v>41473</v>
      </c>
      <c r="H299" s="1" t="b">
        <v>1</v>
      </c>
      <c r="I299" s="6" t="s">
        <v>28</v>
      </c>
      <c r="J299" s="1">
        <f>COUNTIF('Rental Transaction'!B299:B4170,A299)</f>
        <v>10</v>
      </c>
      <c r="K299" s="1">
        <f>SUMIF('Rental Transaction'!B:B,A299,'Rental Transaction'!H:H)</f>
        <v>117</v>
      </c>
      <c r="L299" s="17">
        <f>COUNTIFS('Retal Tran Line Item'!D:D,"BLU-RAY",'Retal Tran Line Item'!H:H,A299)/J299</f>
        <v>0.8</v>
      </c>
    </row>
    <row r="300" spans="1:12">
      <c r="A300" s="1">
        <v>575903</v>
      </c>
      <c r="B300" s="1" t="s">
        <v>1140</v>
      </c>
      <c r="C300" s="1" t="s">
        <v>1141</v>
      </c>
      <c r="D300" s="1" t="s">
        <v>1142</v>
      </c>
      <c r="E300" s="1" t="s">
        <v>26</v>
      </c>
      <c r="F300" s="1" t="s">
        <v>1143</v>
      </c>
      <c r="G300" s="2">
        <v>41329</v>
      </c>
      <c r="H300" s="1" t="b">
        <v>0</v>
      </c>
      <c r="I300" s="6" t="s">
        <v>28</v>
      </c>
      <c r="J300" s="1">
        <f>COUNTIF('Rental Transaction'!B300:B4171,A300)</f>
        <v>3</v>
      </c>
      <c r="K300" s="1">
        <f>SUMIF('Rental Transaction'!B:B,A300,'Rental Transaction'!H:H)</f>
        <v>21</v>
      </c>
      <c r="L300" s="17">
        <f>COUNTIFS('Retal Tran Line Item'!D:D,"BLU-RAY",'Retal Tran Line Item'!H:H,A300)/J300</f>
        <v>0.66666666666666663</v>
      </c>
    </row>
    <row r="301" spans="1:12">
      <c r="A301" s="1">
        <v>578275</v>
      </c>
      <c r="B301" s="1" t="s">
        <v>985</v>
      </c>
      <c r="C301" s="1" t="s">
        <v>1144</v>
      </c>
      <c r="D301" s="1" t="s">
        <v>1145</v>
      </c>
      <c r="E301" s="1" t="s">
        <v>26</v>
      </c>
      <c r="F301" s="1" t="s">
        <v>1146</v>
      </c>
      <c r="G301" s="2">
        <v>41260</v>
      </c>
      <c r="H301" s="1" t="b">
        <v>1</v>
      </c>
      <c r="I301" s="6" t="s">
        <v>33</v>
      </c>
      <c r="J301" s="1">
        <f>COUNTIF('Rental Transaction'!B301:B4172,A301)</f>
        <v>7</v>
      </c>
      <c r="K301" s="1">
        <f>SUMIF('Rental Transaction'!B:B,A301,'Rental Transaction'!H:H)</f>
        <v>76</v>
      </c>
      <c r="L301" s="17">
        <f>COUNTIFS('Retal Tran Line Item'!D:D,"BLU-RAY",'Retal Tran Line Item'!H:H,A301)/J301</f>
        <v>0.2857142857142857</v>
      </c>
    </row>
    <row r="302" spans="1:12">
      <c r="A302" s="1">
        <v>580674</v>
      </c>
      <c r="B302" s="1" t="s">
        <v>1147</v>
      </c>
      <c r="C302" s="1" t="s">
        <v>1148</v>
      </c>
      <c r="D302" s="1" t="s">
        <v>1149</v>
      </c>
      <c r="E302" s="1" t="s">
        <v>26</v>
      </c>
      <c r="F302" s="1" t="s">
        <v>1150</v>
      </c>
      <c r="G302" s="2">
        <v>41469</v>
      </c>
      <c r="H302" s="1" t="b">
        <v>1</v>
      </c>
      <c r="I302" s="6" t="s">
        <v>28</v>
      </c>
      <c r="J302" s="1">
        <f>COUNTIF('Rental Transaction'!B302:B4173,A302)</f>
        <v>3</v>
      </c>
      <c r="K302" s="1">
        <f>SUMIF('Rental Transaction'!B:B,A302,'Rental Transaction'!H:H)</f>
        <v>20</v>
      </c>
      <c r="L302" s="17">
        <f>COUNTIFS('Retal Tran Line Item'!D:D,"BLU-RAY",'Retal Tran Line Item'!H:H,A302)/J302</f>
        <v>0.33333333333333331</v>
      </c>
    </row>
    <row r="303" spans="1:12">
      <c r="A303" s="1">
        <v>580783</v>
      </c>
      <c r="B303" s="1" t="s">
        <v>1151</v>
      </c>
      <c r="C303" s="1" t="s">
        <v>1152</v>
      </c>
      <c r="D303" s="1" t="s">
        <v>1153</v>
      </c>
      <c r="E303" s="1" t="s">
        <v>26</v>
      </c>
      <c r="F303" s="1" t="s">
        <v>1154</v>
      </c>
      <c r="G303" s="2">
        <v>41311</v>
      </c>
      <c r="H303" s="1" t="b">
        <v>0</v>
      </c>
      <c r="I303" s="6" t="s">
        <v>33</v>
      </c>
      <c r="J303" s="1">
        <f>COUNTIF('Rental Transaction'!B303:B4174,A303)</f>
        <v>9</v>
      </c>
      <c r="K303" s="1">
        <f>SUMIF('Rental Transaction'!B:B,A303,'Rental Transaction'!H:H)</f>
        <v>79</v>
      </c>
      <c r="L303" s="17">
        <f>COUNTIFS('Retal Tran Line Item'!D:D,"BLU-RAY",'Retal Tran Line Item'!H:H,A303)/J303</f>
        <v>0.88888888888888884</v>
      </c>
    </row>
    <row r="304" spans="1:12">
      <c r="A304" s="1">
        <v>585972</v>
      </c>
      <c r="B304" s="1" t="s">
        <v>1155</v>
      </c>
      <c r="C304" s="1" t="s">
        <v>1156</v>
      </c>
      <c r="D304" s="1" t="s">
        <v>1157</v>
      </c>
      <c r="E304" s="1" t="s">
        <v>37</v>
      </c>
      <c r="F304" s="1" t="s">
        <v>1158</v>
      </c>
      <c r="G304" s="2">
        <v>41358</v>
      </c>
      <c r="H304" s="1" t="b">
        <v>0</v>
      </c>
      <c r="I304" s="6" t="s">
        <v>28</v>
      </c>
      <c r="J304" s="1">
        <f>COUNTIF('Rental Transaction'!B304:B4175,A304)</f>
        <v>8</v>
      </c>
      <c r="K304" s="1">
        <f>SUMIF('Rental Transaction'!B:B,A304,'Rental Transaction'!H:H)</f>
        <v>54</v>
      </c>
      <c r="L304" s="17">
        <f>COUNTIFS('Retal Tran Line Item'!D:D,"BLU-RAY",'Retal Tran Line Item'!H:H,A304)/J304</f>
        <v>0.625</v>
      </c>
    </row>
    <row r="305" spans="1:12">
      <c r="A305" s="1">
        <v>586201</v>
      </c>
      <c r="B305" s="1" t="s">
        <v>114</v>
      </c>
      <c r="C305" s="1" t="s">
        <v>1159</v>
      </c>
      <c r="D305" s="1" t="s">
        <v>1160</v>
      </c>
      <c r="E305" s="1" t="s">
        <v>521</v>
      </c>
      <c r="F305" s="1" t="s">
        <v>1161</v>
      </c>
      <c r="G305" s="2">
        <v>41475</v>
      </c>
      <c r="H305" s="1" t="b">
        <v>1</v>
      </c>
      <c r="I305" s="6" t="s">
        <v>33</v>
      </c>
      <c r="J305" s="1">
        <f>COUNTIF('Rental Transaction'!B305:B4176,A305)</f>
        <v>11</v>
      </c>
      <c r="K305" s="1">
        <f>SUMIF('Rental Transaction'!B:B,A305,'Rental Transaction'!H:H)</f>
        <v>95</v>
      </c>
      <c r="L305" s="17">
        <f>COUNTIFS('Retal Tran Line Item'!D:D,"BLU-RAY",'Retal Tran Line Item'!H:H,A305)/J305</f>
        <v>0.54545454545454541</v>
      </c>
    </row>
    <row r="306" spans="1:12">
      <c r="A306" s="1">
        <v>590517</v>
      </c>
      <c r="B306" s="1" t="s">
        <v>225</v>
      </c>
      <c r="C306" s="1" t="s">
        <v>1162</v>
      </c>
      <c r="D306" s="1" t="s">
        <v>1163</v>
      </c>
      <c r="E306" s="1" t="s">
        <v>26</v>
      </c>
      <c r="F306" s="1" t="s">
        <v>1164</v>
      </c>
      <c r="G306" s="2">
        <v>41398</v>
      </c>
      <c r="H306" s="1" t="b">
        <v>1</v>
      </c>
      <c r="I306" s="6" t="s">
        <v>33</v>
      </c>
      <c r="J306" s="1">
        <f>COUNTIF('Rental Transaction'!B306:B4177,A306)</f>
        <v>7</v>
      </c>
      <c r="K306" s="1">
        <f>SUMIF('Rental Transaction'!B:B,A306,'Rental Transaction'!H:H)</f>
        <v>54</v>
      </c>
      <c r="L306" s="17">
        <f>COUNTIFS('Retal Tran Line Item'!D:D,"BLU-RAY",'Retal Tran Line Item'!H:H,A306)/J306</f>
        <v>0.8571428571428571</v>
      </c>
    </row>
    <row r="307" spans="1:12">
      <c r="A307" s="1">
        <v>590616</v>
      </c>
      <c r="B307" s="1" t="s">
        <v>234</v>
      </c>
      <c r="C307" s="1" t="s">
        <v>1165</v>
      </c>
      <c r="D307" s="1" t="s">
        <v>1166</v>
      </c>
      <c r="E307" s="1" t="s">
        <v>26</v>
      </c>
      <c r="F307" s="1" t="s">
        <v>1167</v>
      </c>
      <c r="G307" s="2">
        <v>41197</v>
      </c>
      <c r="H307" s="1" t="b">
        <v>1</v>
      </c>
      <c r="I307" s="6" t="s">
        <v>28</v>
      </c>
      <c r="J307" s="1">
        <f>COUNTIF('Rental Transaction'!B307:B4178,A307)</f>
        <v>7</v>
      </c>
      <c r="K307" s="1">
        <f>SUMIF('Rental Transaction'!B:B,A307,'Rental Transaction'!H:H)</f>
        <v>71</v>
      </c>
      <c r="L307" s="17">
        <f>COUNTIFS('Retal Tran Line Item'!D:D,"BLU-RAY",'Retal Tran Line Item'!H:H,A307)/J307</f>
        <v>0.5714285714285714</v>
      </c>
    </row>
    <row r="308" spans="1:12">
      <c r="A308" s="1">
        <v>592528</v>
      </c>
      <c r="B308" s="1" t="s">
        <v>1168</v>
      </c>
      <c r="C308" s="1" t="s">
        <v>1169</v>
      </c>
      <c r="D308" s="1" t="s">
        <v>1170</v>
      </c>
      <c r="E308" s="1" t="s">
        <v>26</v>
      </c>
      <c r="F308" s="1" t="s">
        <v>1171</v>
      </c>
      <c r="G308" s="2">
        <v>41426</v>
      </c>
      <c r="H308" s="1" t="b">
        <v>1</v>
      </c>
      <c r="I308" s="6" t="s">
        <v>28</v>
      </c>
      <c r="J308" s="1">
        <f>COUNTIF('Rental Transaction'!B308:B4179,A308)</f>
        <v>4</v>
      </c>
      <c r="K308" s="1">
        <f>SUMIF('Rental Transaction'!B:B,A308,'Rental Transaction'!H:H)</f>
        <v>42</v>
      </c>
      <c r="L308" s="17">
        <f>COUNTIFS('Retal Tran Line Item'!D:D,"BLU-RAY",'Retal Tran Line Item'!H:H,A308)/J308</f>
        <v>0.25</v>
      </c>
    </row>
    <row r="309" spans="1:12">
      <c r="A309" s="1">
        <v>592592</v>
      </c>
      <c r="B309" s="1" t="s">
        <v>1089</v>
      </c>
      <c r="C309" s="1" t="s">
        <v>1172</v>
      </c>
      <c r="D309" s="1" t="s">
        <v>1173</v>
      </c>
      <c r="E309" s="1" t="s">
        <v>26</v>
      </c>
      <c r="F309" s="1" t="s">
        <v>1174</v>
      </c>
      <c r="G309" s="2">
        <v>41450</v>
      </c>
      <c r="H309" s="1" t="b">
        <v>1</v>
      </c>
      <c r="I309" s="6" t="s">
        <v>33</v>
      </c>
      <c r="J309" s="1">
        <f>COUNTIF('Rental Transaction'!B309:B4180,A309)</f>
        <v>7</v>
      </c>
      <c r="K309" s="1">
        <f>SUMIF('Rental Transaction'!B:B,A309,'Rental Transaction'!H:H)</f>
        <v>83</v>
      </c>
      <c r="L309" s="17">
        <f>COUNTIFS('Retal Tran Line Item'!D:D,"BLU-RAY",'Retal Tran Line Item'!H:H,A309)/J309</f>
        <v>0.5714285714285714</v>
      </c>
    </row>
    <row r="310" spans="1:12">
      <c r="A310" s="1">
        <v>592726</v>
      </c>
      <c r="B310" s="1" t="s">
        <v>606</v>
      </c>
      <c r="C310" s="1" t="s">
        <v>1175</v>
      </c>
      <c r="D310" s="1" t="s">
        <v>1176</v>
      </c>
      <c r="E310" s="1" t="s">
        <v>26</v>
      </c>
      <c r="F310" s="1" t="s">
        <v>1177</v>
      </c>
      <c r="G310" s="2">
        <v>41206</v>
      </c>
      <c r="H310" s="1" t="b">
        <v>1</v>
      </c>
      <c r="I310" s="6" t="s">
        <v>33</v>
      </c>
      <c r="J310" s="1">
        <f>COUNTIF('Rental Transaction'!B310:B4181,A310)</f>
        <v>7</v>
      </c>
      <c r="K310" s="1">
        <f>SUMIF('Rental Transaction'!B:B,A310,'Rental Transaction'!H:H)</f>
        <v>65</v>
      </c>
      <c r="L310" s="17">
        <f>COUNTIFS('Retal Tran Line Item'!D:D,"BLU-RAY",'Retal Tran Line Item'!H:H,A310)/J310</f>
        <v>0.42857142857142855</v>
      </c>
    </row>
    <row r="311" spans="1:12">
      <c r="A311" s="1">
        <v>593317</v>
      </c>
      <c r="B311" s="1" t="s">
        <v>1178</v>
      </c>
      <c r="C311" s="1" t="s">
        <v>1179</v>
      </c>
      <c r="D311" s="1" t="s">
        <v>1180</v>
      </c>
      <c r="E311" s="1" t="s">
        <v>26</v>
      </c>
      <c r="F311" s="1" t="s">
        <v>1181</v>
      </c>
      <c r="G311" s="2">
        <v>41482</v>
      </c>
      <c r="H311" s="1" t="b">
        <v>0</v>
      </c>
      <c r="I311" s="6" t="s">
        <v>33</v>
      </c>
      <c r="J311" s="1">
        <f>COUNTIF('Rental Transaction'!B311:B4182,A311)</f>
        <v>7</v>
      </c>
      <c r="K311" s="1">
        <f>SUMIF('Rental Transaction'!B:B,A311,'Rental Transaction'!H:H)</f>
        <v>53</v>
      </c>
      <c r="L311" s="17">
        <f>COUNTIFS('Retal Tran Line Item'!D:D,"BLU-RAY",'Retal Tran Line Item'!H:H,A311)/J311</f>
        <v>0.7142857142857143</v>
      </c>
    </row>
    <row r="312" spans="1:12">
      <c r="A312" s="1">
        <v>599995</v>
      </c>
      <c r="B312" s="1" t="s">
        <v>1182</v>
      </c>
      <c r="C312" s="1" t="s">
        <v>1183</v>
      </c>
      <c r="D312" s="1" t="s">
        <v>1184</v>
      </c>
      <c r="E312" s="1" t="s">
        <v>26</v>
      </c>
      <c r="F312" s="1" t="s">
        <v>1185</v>
      </c>
      <c r="G312" s="2">
        <v>41442</v>
      </c>
      <c r="H312" s="1" t="b">
        <v>0</v>
      </c>
      <c r="I312" s="6" t="s">
        <v>28</v>
      </c>
      <c r="J312" s="1">
        <f>COUNTIF('Rental Transaction'!B312:B4183,A312)</f>
        <v>8</v>
      </c>
      <c r="K312" s="1">
        <f>SUMIF('Rental Transaction'!B:B,A312,'Rental Transaction'!H:H)</f>
        <v>58</v>
      </c>
      <c r="L312" s="17">
        <f>COUNTIFS('Retal Tran Line Item'!D:D,"BLU-RAY",'Retal Tran Line Item'!H:H,A312)/J312</f>
        <v>0.5</v>
      </c>
    </row>
    <row r="313" spans="1:12">
      <c r="A313" s="1">
        <v>601753</v>
      </c>
      <c r="B313" s="1" t="s">
        <v>1186</v>
      </c>
      <c r="C313" s="1" t="s">
        <v>1187</v>
      </c>
      <c r="D313" s="1" t="s">
        <v>1188</v>
      </c>
      <c r="E313" s="1" t="s">
        <v>26</v>
      </c>
      <c r="F313" s="1" t="s">
        <v>1189</v>
      </c>
      <c r="G313" s="2">
        <v>41240</v>
      </c>
      <c r="H313" s="1" t="b">
        <v>0</v>
      </c>
      <c r="I313" s="6" t="s">
        <v>28</v>
      </c>
      <c r="J313" s="1">
        <f>COUNTIF('Rental Transaction'!B313:B4184,A313)</f>
        <v>4</v>
      </c>
      <c r="K313" s="1">
        <f>SUMIF('Rental Transaction'!B:B,A313,'Rental Transaction'!H:H)</f>
        <v>22</v>
      </c>
      <c r="L313" s="17">
        <f>COUNTIFS('Retal Tran Line Item'!D:D,"BLU-RAY",'Retal Tran Line Item'!H:H,A313)/J313</f>
        <v>0.25</v>
      </c>
    </row>
    <row r="314" spans="1:12">
      <c r="A314" s="1">
        <v>605188</v>
      </c>
      <c r="B314" s="1" t="s">
        <v>1190</v>
      </c>
      <c r="C314" s="1" t="s">
        <v>1191</v>
      </c>
      <c r="D314" s="1" t="s">
        <v>1192</v>
      </c>
      <c r="E314" s="1" t="s">
        <v>521</v>
      </c>
      <c r="F314" s="1" t="s">
        <v>1193</v>
      </c>
      <c r="G314" s="2">
        <v>41391</v>
      </c>
      <c r="H314" s="1" t="b">
        <v>1</v>
      </c>
      <c r="I314" s="6" t="s">
        <v>33</v>
      </c>
      <c r="J314" s="1">
        <f>COUNTIF('Rental Transaction'!B314:B4185,A314)</f>
        <v>9</v>
      </c>
      <c r="K314" s="1">
        <f>SUMIF('Rental Transaction'!B:B,A314,'Rental Transaction'!H:H)</f>
        <v>100</v>
      </c>
      <c r="L314" s="17">
        <f>COUNTIFS('Retal Tran Line Item'!D:D,"BLU-RAY",'Retal Tran Line Item'!H:H,A314)/J314</f>
        <v>0.55555555555555558</v>
      </c>
    </row>
    <row r="315" spans="1:12">
      <c r="A315" s="1">
        <v>606155</v>
      </c>
      <c r="B315" s="1" t="s">
        <v>1194</v>
      </c>
      <c r="C315" s="1" t="s">
        <v>925</v>
      </c>
      <c r="D315" s="1" t="s">
        <v>1195</v>
      </c>
      <c r="E315" s="1" t="s">
        <v>26</v>
      </c>
      <c r="F315" s="1" t="s">
        <v>1196</v>
      </c>
      <c r="G315" s="2">
        <v>41441</v>
      </c>
      <c r="H315" s="1" t="b">
        <v>0</v>
      </c>
      <c r="I315" s="6" t="s">
        <v>33</v>
      </c>
      <c r="J315" s="1">
        <f>COUNTIF('Rental Transaction'!B315:B4186,A315)</f>
        <v>7</v>
      </c>
      <c r="K315" s="1">
        <f>SUMIF('Rental Transaction'!B:B,A315,'Rental Transaction'!H:H)</f>
        <v>48</v>
      </c>
      <c r="L315" s="17">
        <f>COUNTIFS('Retal Tran Line Item'!D:D,"BLU-RAY",'Retal Tran Line Item'!H:H,A315)/J315</f>
        <v>0.2857142857142857</v>
      </c>
    </row>
    <row r="316" spans="1:12">
      <c r="A316" s="1">
        <v>607810</v>
      </c>
      <c r="B316" s="1" t="s">
        <v>483</v>
      </c>
      <c r="C316" s="1" t="s">
        <v>1197</v>
      </c>
      <c r="D316" s="1" t="s">
        <v>1198</v>
      </c>
      <c r="E316" s="1" t="s">
        <v>26</v>
      </c>
      <c r="F316" s="1" t="s">
        <v>1199</v>
      </c>
      <c r="G316" s="2">
        <v>41528</v>
      </c>
      <c r="H316" s="1" t="b">
        <v>1</v>
      </c>
      <c r="I316" s="6" t="s">
        <v>33</v>
      </c>
      <c r="J316" s="1">
        <f>COUNTIF('Rental Transaction'!B316:B4187,A316)</f>
        <v>5</v>
      </c>
      <c r="K316" s="1">
        <f>SUMIF('Rental Transaction'!B:B,A316,'Rental Transaction'!H:H)</f>
        <v>55</v>
      </c>
      <c r="L316" s="17">
        <f>COUNTIFS('Retal Tran Line Item'!D:D,"BLU-RAY",'Retal Tran Line Item'!H:H,A316)/J316</f>
        <v>0.2</v>
      </c>
    </row>
    <row r="317" spans="1:12">
      <c r="A317" s="1">
        <v>608290</v>
      </c>
      <c r="B317" s="1" t="s">
        <v>1200</v>
      </c>
      <c r="C317" s="1" t="s">
        <v>1201</v>
      </c>
      <c r="D317" s="1" t="s">
        <v>1202</v>
      </c>
      <c r="E317" s="1" t="s">
        <v>26</v>
      </c>
      <c r="F317" s="1" t="s">
        <v>1203</v>
      </c>
      <c r="G317" s="2">
        <v>41365</v>
      </c>
      <c r="H317" s="1" t="b">
        <v>1</v>
      </c>
      <c r="I317" s="6" t="s">
        <v>33</v>
      </c>
      <c r="J317" s="1">
        <f>COUNTIF('Rental Transaction'!B317:B4188,A317)</f>
        <v>8</v>
      </c>
      <c r="K317" s="1">
        <f>SUMIF('Rental Transaction'!B:B,A317,'Rental Transaction'!H:H)</f>
        <v>84</v>
      </c>
      <c r="L317" s="17">
        <f>COUNTIFS('Retal Tran Line Item'!D:D,"BLU-RAY",'Retal Tran Line Item'!H:H,A317)/J317</f>
        <v>0.625</v>
      </c>
    </row>
    <row r="318" spans="1:12">
      <c r="A318" s="1">
        <v>610766</v>
      </c>
      <c r="B318" s="1" t="s">
        <v>940</v>
      </c>
      <c r="C318" s="1" t="s">
        <v>1204</v>
      </c>
      <c r="D318" s="1" t="s">
        <v>1205</v>
      </c>
      <c r="E318" s="1" t="s">
        <v>26</v>
      </c>
      <c r="F318" s="1" t="s">
        <v>1206</v>
      </c>
      <c r="G318" s="2">
        <v>41093</v>
      </c>
      <c r="H318" s="1" t="b">
        <v>1</v>
      </c>
      <c r="I318" s="6" t="s">
        <v>28</v>
      </c>
      <c r="J318" s="1">
        <f>COUNTIF('Rental Transaction'!B318:B4189,A318)</f>
        <v>5</v>
      </c>
      <c r="K318" s="1">
        <f>SUMIF('Rental Transaction'!B:B,A318,'Rental Transaction'!H:H)</f>
        <v>57</v>
      </c>
      <c r="L318" s="17">
        <f>COUNTIFS('Retal Tran Line Item'!D:D,"BLU-RAY",'Retal Tran Line Item'!H:H,A318)/J318</f>
        <v>0.6</v>
      </c>
    </row>
    <row r="319" spans="1:12">
      <c r="A319" s="1">
        <v>611078</v>
      </c>
      <c r="B319" s="1" t="s">
        <v>901</v>
      </c>
      <c r="C319" s="1" t="s">
        <v>1207</v>
      </c>
      <c r="D319" s="1" t="s">
        <v>1208</v>
      </c>
      <c r="E319" s="1" t="s">
        <v>26</v>
      </c>
      <c r="F319" s="1" t="s">
        <v>1209</v>
      </c>
      <c r="G319" s="2">
        <v>41429</v>
      </c>
      <c r="H319" s="1" t="b">
        <v>1</v>
      </c>
      <c r="I319" s="6" t="s">
        <v>28</v>
      </c>
      <c r="J319" s="1">
        <f>COUNTIF('Rental Transaction'!B319:B4190,A319)</f>
        <v>3</v>
      </c>
      <c r="K319" s="1">
        <f>SUMIF('Rental Transaction'!B:B,A319,'Rental Transaction'!H:H)</f>
        <v>42</v>
      </c>
      <c r="L319" s="17">
        <f>COUNTIFS('Retal Tran Line Item'!D:D,"BLU-RAY",'Retal Tran Line Item'!H:H,A319)/J319</f>
        <v>0.33333333333333331</v>
      </c>
    </row>
    <row r="320" spans="1:12">
      <c r="A320" s="1">
        <v>611848</v>
      </c>
      <c r="B320" s="1" t="s">
        <v>856</v>
      </c>
      <c r="C320" s="1" t="s">
        <v>1210</v>
      </c>
      <c r="D320" s="1" t="s">
        <v>1211</v>
      </c>
      <c r="E320" s="1" t="s">
        <v>26</v>
      </c>
      <c r="F320" s="1" t="s">
        <v>1212</v>
      </c>
      <c r="G320" s="2">
        <v>41424</v>
      </c>
      <c r="H320" s="1" t="b">
        <v>0</v>
      </c>
      <c r="I320" s="6" t="s">
        <v>28</v>
      </c>
      <c r="J320" s="1">
        <f>COUNTIF('Rental Transaction'!B320:B4191,A320)</f>
        <v>12</v>
      </c>
      <c r="K320" s="1">
        <f>SUMIF('Rental Transaction'!B:B,A320,'Rental Transaction'!H:H)</f>
        <v>129</v>
      </c>
      <c r="L320" s="17">
        <f>COUNTIFS('Retal Tran Line Item'!D:D,"BLU-RAY",'Retal Tran Line Item'!H:H,A320)/J320</f>
        <v>0.5</v>
      </c>
    </row>
    <row r="321" spans="1:12">
      <c r="A321" s="1">
        <v>612681</v>
      </c>
      <c r="B321" s="1" t="s">
        <v>1213</v>
      </c>
      <c r="C321" s="1" t="s">
        <v>70</v>
      </c>
      <c r="D321" s="1" t="s">
        <v>1214</v>
      </c>
      <c r="E321" s="1" t="s">
        <v>341</v>
      </c>
      <c r="F321" s="1" t="s">
        <v>1215</v>
      </c>
      <c r="G321" s="2">
        <v>41435</v>
      </c>
      <c r="H321" s="1" t="b">
        <v>1</v>
      </c>
      <c r="I321" s="6" t="s">
        <v>28</v>
      </c>
      <c r="J321" s="1">
        <f>COUNTIF('Rental Transaction'!B321:B4192,A321)</f>
        <v>11</v>
      </c>
      <c r="K321" s="1">
        <f>SUMIF('Rental Transaction'!B:B,A321,'Rental Transaction'!H:H)</f>
        <v>127</v>
      </c>
      <c r="L321" s="17">
        <f>COUNTIFS('Retal Tran Line Item'!D:D,"BLU-RAY",'Retal Tran Line Item'!H:H,A321)/J321</f>
        <v>0.90909090909090906</v>
      </c>
    </row>
    <row r="322" spans="1:12">
      <c r="A322" s="1">
        <v>616028</v>
      </c>
      <c r="B322" s="1" t="s">
        <v>606</v>
      </c>
      <c r="C322" s="1" t="s">
        <v>1216</v>
      </c>
      <c r="D322" s="1" t="s">
        <v>1217</v>
      </c>
      <c r="E322" s="1" t="s">
        <v>42</v>
      </c>
      <c r="F322" s="1" t="s">
        <v>1218</v>
      </c>
      <c r="G322" s="2">
        <v>41128</v>
      </c>
      <c r="H322" s="1" t="b">
        <v>0</v>
      </c>
      <c r="I322" s="6" t="s">
        <v>33</v>
      </c>
      <c r="J322" s="1">
        <f>COUNTIF('Rental Transaction'!B322:B4193,A322)</f>
        <v>6</v>
      </c>
      <c r="K322" s="1">
        <f>SUMIF('Rental Transaction'!B:B,A322,'Rental Transaction'!H:H)</f>
        <v>63</v>
      </c>
      <c r="L322" s="17">
        <f>COUNTIFS('Retal Tran Line Item'!D:D,"BLU-RAY",'Retal Tran Line Item'!H:H,A322)/J322</f>
        <v>1</v>
      </c>
    </row>
    <row r="323" spans="1:12">
      <c r="A323" s="1">
        <v>616258</v>
      </c>
      <c r="B323" s="1" t="s">
        <v>1219</v>
      </c>
      <c r="C323" s="1" t="s">
        <v>894</v>
      </c>
      <c r="D323" s="1" t="s">
        <v>1220</v>
      </c>
      <c r="E323" s="1" t="s">
        <v>26</v>
      </c>
      <c r="F323" s="1" t="s">
        <v>1221</v>
      </c>
      <c r="G323" s="2">
        <v>41308</v>
      </c>
      <c r="H323" s="1" t="b">
        <v>1</v>
      </c>
      <c r="I323" s="6" t="s">
        <v>33</v>
      </c>
      <c r="J323" s="1">
        <f>COUNTIF('Rental Transaction'!B323:B4194,A323)</f>
        <v>3</v>
      </c>
      <c r="K323" s="1">
        <f>SUMIF('Rental Transaction'!B:B,A323,'Rental Transaction'!H:H)</f>
        <v>27</v>
      </c>
      <c r="L323" s="17">
        <f>COUNTIFS('Retal Tran Line Item'!D:D,"BLU-RAY",'Retal Tran Line Item'!H:H,A323)/J323</f>
        <v>0.33333333333333331</v>
      </c>
    </row>
    <row r="324" spans="1:12">
      <c r="A324" s="1">
        <v>616392</v>
      </c>
      <c r="B324" s="1" t="s">
        <v>1222</v>
      </c>
      <c r="C324" s="1" t="s">
        <v>1223</v>
      </c>
      <c r="D324" s="1" t="s">
        <v>1224</v>
      </c>
      <c r="E324" s="1" t="s">
        <v>26</v>
      </c>
      <c r="F324" s="1" t="s">
        <v>1225</v>
      </c>
      <c r="G324" s="2">
        <v>41466</v>
      </c>
      <c r="H324" s="1" t="b">
        <v>1</v>
      </c>
      <c r="I324" s="6" t="s">
        <v>28</v>
      </c>
      <c r="J324" s="1">
        <f>COUNTIF('Rental Transaction'!B324:B4195,A324)</f>
        <v>6</v>
      </c>
      <c r="K324" s="1">
        <f>SUMIF('Rental Transaction'!B:B,A324,'Rental Transaction'!H:H)</f>
        <v>78</v>
      </c>
      <c r="L324" s="17">
        <f>COUNTIFS('Retal Tran Line Item'!D:D,"BLU-RAY",'Retal Tran Line Item'!H:H,A324)/J324</f>
        <v>1.3333333333333333</v>
      </c>
    </row>
    <row r="325" spans="1:12">
      <c r="A325" s="1">
        <v>618955</v>
      </c>
      <c r="B325" s="1" t="s">
        <v>1018</v>
      </c>
      <c r="C325" s="1" t="s">
        <v>1226</v>
      </c>
      <c r="D325" s="1" t="s">
        <v>1227</v>
      </c>
      <c r="E325" s="1" t="s">
        <v>26</v>
      </c>
      <c r="F325" s="1" t="s">
        <v>1228</v>
      </c>
      <c r="G325" s="2">
        <v>41469</v>
      </c>
      <c r="H325" s="1" t="b">
        <v>1</v>
      </c>
      <c r="I325" s="6" t="s">
        <v>28</v>
      </c>
      <c r="J325" s="1">
        <f>COUNTIF('Rental Transaction'!B325:B4196,A325)</f>
        <v>5</v>
      </c>
      <c r="K325" s="1">
        <f>SUMIF('Rental Transaction'!B:B,A325,'Rental Transaction'!H:H)</f>
        <v>58</v>
      </c>
      <c r="L325" s="17">
        <f>COUNTIFS('Retal Tran Line Item'!D:D,"BLU-RAY",'Retal Tran Line Item'!H:H,A325)/J325</f>
        <v>1</v>
      </c>
    </row>
    <row r="326" spans="1:12">
      <c r="A326" s="1">
        <v>619910</v>
      </c>
      <c r="B326" s="1" t="s">
        <v>1229</v>
      </c>
      <c r="C326" s="1" t="s">
        <v>1230</v>
      </c>
      <c r="D326" s="1" t="s">
        <v>1231</v>
      </c>
      <c r="E326" s="1" t="s">
        <v>26</v>
      </c>
      <c r="F326" s="1" t="s">
        <v>1232</v>
      </c>
      <c r="G326" s="2">
        <v>41404</v>
      </c>
      <c r="H326" s="1" t="b">
        <v>1</v>
      </c>
      <c r="I326" s="6" t="s">
        <v>28</v>
      </c>
      <c r="J326" s="1">
        <f>COUNTIF('Rental Transaction'!B326:B4197,A326)</f>
        <v>3</v>
      </c>
      <c r="K326" s="1">
        <f>SUMIF('Rental Transaction'!B:B,A326,'Rental Transaction'!H:H)</f>
        <v>32</v>
      </c>
      <c r="L326" s="17">
        <f>COUNTIFS('Retal Tran Line Item'!D:D,"BLU-RAY",'Retal Tran Line Item'!H:H,A326)/J326</f>
        <v>0.33333333333333331</v>
      </c>
    </row>
    <row r="327" spans="1:12">
      <c r="A327" s="1">
        <v>622131</v>
      </c>
      <c r="B327" s="1" t="s">
        <v>1233</v>
      </c>
      <c r="C327" s="1" t="s">
        <v>1234</v>
      </c>
      <c r="D327" s="1" t="s">
        <v>1235</v>
      </c>
      <c r="E327" s="1" t="s">
        <v>223</v>
      </c>
      <c r="F327" s="1" t="s">
        <v>1236</v>
      </c>
      <c r="G327" s="2">
        <v>41454</v>
      </c>
      <c r="H327" s="1" t="b">
        <v>0</v>
      </c>
      <c r="I327" s="6" t="s">
        <v>28</v>
      </c>
      <c r="J327" s="1">
        <f>COUNTIF('Rental Transaction'!B327:B4198,A327)</f>
        <v>4</v>
      </c>
      <c r="K327" s="1">
        <f>SUMIF('Rental Transaction'!B:B,A327,'Rental Transaction'!H:H)</f>
        <v>34</v>
      </c>
      <c r="L327" s="17">
        <f>COUNTIFS('Retal Tran Line Item'!D:D,"BLU-RAY",'Retal Tran Line Item'!H:H,A327)/J327</f>
        <v>0.5</v>
      </c>
    </row>
    <row r="328" spans="1:12">
      <c r="A328" s="1">
        <v>622506</v>
      </c>
      <c r="B328" s="1" t="s">
        <v>122</v>
      </c>
      <c r="C328" s="1" t="s">
        <v>575</v>
      </c>
      <c r="D328" s="1" t="s">
        <v>1237</v>
      </c>
      <c r="E328" s="1" t="s">
        <v>26</v>
      </c>
      <c r="F328" s="1" t="s">
        <v>1238</v>
      </c>
      <c r="G328" s="2">
        <v>41467</v>
      </c>
      <c r="H328" s="1" t="b">
        <v>1</v>
      </c>
      <c r="I328" s="6" t="s">
        <v>33</v>
      </c>
      <c r="J328" s="1">
        <f>COUNTIF('Rental Transaction'!B328:B4199,A328)</f>
        <v>8</v>
      </c>
      <c r="K328" s="1">
        <f>SUMIF('Rental Transaction'!B:B,A328,'Rental Transaction'!H:H)</f>
        <v>57</v>
      </c>
      <c r="L328" s="17">
        <f>COUNTIFS('Retal Tran Line Item'!D:D,"BLU-RAY",'Retal Tran Line Item'!H:H,A328)/J328</f>
        <v>0.375</v>
      </c>
    </row>
    <row r="329" spans="1:12">
      <c r="A329" s="1">
        <v>624668</v>
      </c>
      <c r="B329" s="1" t="s">
        <v>490</v>
      </c>
      <c r="C329" s="1" t="s">
        <v>1239</v>
      </c>
      <c r="D329" s="1" t="s">
        <v>1240</v>
      </c>
      <c r="E329" s="1" t="s">
        <v>201</v>
      </c>
      <c r="F329" s="1" t="s">
        <v>1241</v>
      </c>
      <c r="G329" s="2">
        <v>41190</v>
      </c>
      <c r="H329" s="1" t="b">
        <v>0</v>
      </c>
      <c r="I329" s="6" t="s">
        <v>33</v>
      </c>
      <c r="J329" s="1">
        <f>COUNTIF('Rental Transaction'!B329:B4200,A329)</f>
        <v>6</v>
      </c>
      <c r="K329" s="1">
        <f>SUMIF('Rental Transaction'!B:B,A329,'Rental Transaction'!H:H)</f>
        <v>49</v>
      </c>
      <c r="L329" s="17">
        <f>COUNTIFS('Retal Tran Line Item'!D:D,"BLU-RAY",'Retal Tran Line Item'!H:H,A329)/J329</f>
        <v>0</v>
      </c>
    </row>
    <row r="330" spans="1:12">
      <c r="A330" s="1">
        <v>627324</v>
      </c>
      <c r="B330" s="1" t="s">
        <v>545</v>
      </c>
      <c r="C330" s="1" t="s">
        <v>1242</v>
      </c>
      <c r="D330" s="1" t="s">
        <v>1243</v>
      </c>
      <c r="E330" s="1" t="s">
        <v>26</v>
      </c>
      <c r="F330" s="1" t="s">
        <v>1244</v>
      </c>
      <c r="G330" s="2">
        <v>41377</v>
      </c>
      <c r="H330" s="1" t="b">
        <v>0</v>
      </c>
      <c r="I330" s="6" t="s">
        <v>28</v>
      </c>
      <c r="J330" s="1">
        <f>COUNTIF('Rental Transaction'!B330:B4201,A330)</f>
        <v>8</v>
      </c>
      <c r="K330" s="1">
        <f>SUMIF('Rental Transaction'!B:B,A330,'Rental Transaction'!H:H)</f>
        <v>102</v>
      </c>
      <c r="L330" s="17">
        <f>COUNTIFS('Retal Tran Line Item'!D:D,"BLU-RAY",'Retal Tran Line Item'!H:H,A330)/J330</f>
        <v>1</v>
      </c>
    </row>
    <row r="331" spans="1:12">
      <c r="A331" s="1">
        <v>628132</v>
      </c>
      <c r="B331" s="1" t="s">
        <v>182</v>
      </c>
      <c r="C331" s="1" t="s">
        <v>809</v>
      </c>
      <c r="D331" s="1" t="s">
        <v>1245</v>
      </c>
      <c r="E331" s="1" t="s">
        <v>42</v>
      </c>
      <c r="F331" s="1" t="s">
        <v>1246</v>
      </c>
      <c r="G331" s="2">
        <v>41350</v>
      </c>
      <c r="H331" s="1" t="b">
        <v>1</v>
      </c>
      <c r="I331" s="6" t="s">
        <v>33</v>
      </c>
      <c r="J331" s="1">
        <f>COUNTIF('Rental Transaction'!B331:B4202,A331)</f>
        <v>6</v>
      </c>
      <c r="K331" s="1">
        <f>SUMIF('Rental Transaction'!B:B,A331,'Rental Transaction'!H:H)</f>
        <v>53</v>
      </c>
      <c r="L331" s="17">
        <f>COUNTIFS('Retal Tran Line Item'!D:D,"BLU-RAY",'Retal Tran Line Item'!H:H,A331)/J331</f>
        <v>0.66666666666666663</v>
      </c>
    </row>
    <row r="332" spans="1:12">
      <c r="A332" s="1">
        <v>632495</v>
      </c>
      <c r="B332" s="1" t="s">
        <v>294</v>
      </c>
      <c r="C332" s="1" t="s">
        <v>1247</v>
      </c>
      <c r="D332" s="1" t="s">
        <v>1248</v>
      </c>
      <c r="E332" s="1" t="s">
        <v>26</v>
      </c>
      <c r="F332" s="1" t="s">
        <v>1249</v>
      </c>
      <c r="G332" s="2">
        <v>41180</v>
      </c>
      <c r="H332" s="1" t="b">
        <v>0</v>
      </c>
      <c r="I332" s="6" t="s">
        <v>33</v>
      </c>
      <c r="J332" s="1">
        <f>COUNTIF('Rental Transaction'!B332:B4203,A332)</f>
        <v>3</v>
      </c>
      <c r="K332" s="1">
        <f>SUMIF('Rental Transaction'!B:B,A332,'Rental Transaction'!H:H)</f>
        <v>24</v>
      </c>
      <c r="L332" s="17">
        <f>COUNTIFS('Retal Tran Line Item'!D:D,"BLU-RAY",'Retal Tran Line Item'!H:H,A332)/J332</f>
        <v>0.66666666666666663</v>
      </c>
    </row>
    <row r="333" spans="1:12">
      <c r="A333" s="1">
        <v>643214</v>
      </c>
      <c r="B333" s="1" t="s">
        <v>367</v>
      </c>
      <c r="C333" s="1" t="s">
        <v>1250</v>
      </c>
      <c r="D333" s="1" t="s">
        <v>1251</v>
      </c>
      <c r="E333" s="1" t="s">
        <v>26</v>
      </c>
      <c r="F333" s="1" t="s">
        <v>1252</v>
      </c>
      <c r="G333" s="2">
        <v>41287</v>
      </c>
      <c r="H333" s="1" t="b">
        <v>0</v>
      </c>
      <c r="I333" s="6" t="s">
        <v>28</v>
      </c>
      <c r="J333" s="1">
        <f>COUNTIF('Rental Transaction'!B333:B4204,A333)</f>
        <v>6</v>
      </c>
      <c r="K333" s="1">
        <f>SUMIF('Rental Transaction'!B:B,A333,'Rental Transaction'!H:H)</f>
        <v>96</v>
      </c>
      <c r="L333" s="17">
        <f>COUNTIFS('Retal Tran Line Item'!D:D,"BLU-RAY",'Retal Tran Line Item'!H:H,A333)/J333</f>
        <v>0.5</v>
      </c>
    </row>
    <row r="334" spans="1:12">
      <c r="A334" s="1">
        <v>643305</v>
      </c>
      <c r="B334" s="1" t="s">
        <v>1253</v>
      </c>
      <c r="C334" s="1" t="s">
        <v>1254</v>
      </c>
      <c r="D334" s="1" t="s">
        <v>1255</v>
      </c>
      <c r="E334" s="1" t="s">
        <v>26</v>
      </c>
      <c r="F334" s="1" t="s">
        <v>1256</v>
      </c>
      <c r="G334" s="2">
        <v>41101</v>
      </c>
      <c r="H334" s="1" t="b">
        <v>0</v>
      </c>
      <c r="I334" s="6" t="s">
        <v>28</v>
      </c>
      <c r="J334" s="1">
        <f>COUNTIF('Rental Transaction'!B334:B4205,A334)</f>
        <v>5</v>
      </c>
      <c r="K334" s="1">
        <f>SUMIF('Rental Transaction'!B:B,A334,'Rental Transaction'!H:H)</f>
        <v>53</v>
      </c>
      <c r="L334" s="17">
        <f>COUNTIFS('Retal Tran Line Item'!D:D,"BLU-RAY",'Retal Tran Line Item'!H:H,A334)/J334</f>
        <v>0.6</v>
      </c>
    </row>
    <row r="335" spans="1:12">
      <c r="A335" s="1">
        <v>646700</v>
      </c>
      <c r="B335" s="1" t="s">
        <v>1257</v>
      </c>
      <c r="C335" s="1" t="s">
        <v>1258</v>
      </c>
      <c r="D335" s="1" t="s">
        <v>1259</v>
      </c>
      <c r="E335" s="1" t="s">
        <v>26</v>
      </c>
      <c r="F335" s="1" t="s">
        <v>1260</v>
      </c>
      <c r="G335" s="2">
        <v>41432</v>
      </c>
      <c r="H335" s="1" t="b">
        <v>1</v>
      </c>
      <c r="I335" s="6" t="s">
        <v>33</v>
      </c>
      <c r="J335" s="1">
        <f>COUNTIF('Rental Transaction'!B335:B4206,A335)</f>
        <v>10</v>
      </c>
      <c r="K335" s="1">
        <f>SUMIF('Rental Transaction'!B:B,A335,'Rental Transaction'!H:H)</f>
        <v>45</v>
      </c>
      <c r="L335" s="17">
        <f>COUNTIFS('Retal Tran Line Item'!D:D,"BLU-RAY",'Retal Tran Line Item'!H:H,A335)/J335</f>
        <v>0.5</v>
      </c>
    </row>
    <row r="336" spans="1:12">
      <c r="A336" s="1">
        <v>646953</v>
      </c>
      <c r="B336" s="1" t="s">
        <v>1261</v>
      </c>
      <c r="C336" s="1" t="s">
        <v>1262</v>
      </c>
      <c r="D336" s="1" t="s">
        <v>1263</v>
      </c>
      <c r="E336" s="1" t="s">
        <v>26</v>
      </c>
      <c r="F336" s="1" t="s">
        <v>1264</v>
      </c>
      <c r="G336" s="2">
        <v>41342</v>
      </c>
      <c r="H336" s="1" t="b">
        <v>1</v>
      </c>
      <c r="I336" s="6" t="s">
        <v>33</v>
      </c>
      <c r="J336" s="1">
        <f>COUNTIF('Rental Transaction'!B336:B4207,A336)</f>
        <v>5</v>
      </c>
      <c r="K336" s="1">
        <f>SUMIF('Rental Transaction'!B:B,A336,'Rental Transaction'!H:H)</f>
        <v>33</v>
      </c>
      <c r="L336" s="17">
        <f>COUNTIFS('Retal Tran Line Item'!D:D,"BLU-RAY",'Retal Tran Line Item'!H:H,A336)/J336</f>
        <v>0.8</v>
      </c>
    </row>
    <row r="337" spans="1:12">
      <c r="A337" s="1">
        <v>649551</v>
      </c>
      <c r="B337" s="1" t="s">
        <v>254</v>
      </c>
      <c r="C337" s="1" t="s">
        <v>1265</v>
      </c>
      <c r="D337" s="1" t="s">
        <v>1266</v>
      </c>
      <c r="E337" s="1" t="s">
        <v>26</v>
      </c>
      <c r="F337" s="1" t="s">
        <v>1267</v>
      </c>
      <c r="G337" s="2">
        <v>41230</v>
      </c>
      <c r="H337" s="1" t="b">
        <v>1</v>
      </c>
      <c r="I337" s="6" t="s">
        <v>28</v>
      </c>
      <c r="J337" s="1">
        <f>COUNTIF('Rental Transaction'!B337:B4208,A337)</f>
        <v>7</v>
      </c>
      <c r="K337" s="1">
        <f>SUMIF('Rental Transaction'!B:B,A337,'Rental Transaction'!H:H)</f>
        <v>97</v>
      </c>
      <c r="L337" s="17">
        <f>COUNTIFS('Retal Tran Line Item'!D:D,"BLU-RAY",'Retal Tran Line Item'!H:H,A337)/J337</f>
        <v>1.4285714285714286</v>
      </c>
    </row>
    <row r="338" spans="1:12">
      <c r="A338" s="1">
        <v>651462</v>
      </c>
      <c r="B338" s="1" t="s">
        <v>1268</v>
      </c>
      <c r="C338" s="1" t="s">
        <v>1269</v>
      </c>
      <c r="D338" s="1" t="s">
        <v>1270</v>
      </c>
      <c r="E338" s="1" t="s">
        <v>26</v>
      </c>
      <c r="F338" s="1" t="s">
        <v>1271</v>
      </c>
      <c r="G338" s="2">
        <v>41506</v>
      </c>
      <c r="H338" s="1" t="b">
        <v>1</v>
      </c>
      <c r="I338" s="6" t="s">
        <v>28</v>
      </c>
      <c r="J338" s="1">
        <f>COUNTIF('Rental Transaction'!B338:B4209,A338)</f>
        <v>7</v>
      </c>
      <c r="K338" s="1">
        <f>SUMIF('Rental Transaction'!B:B,A338,'Rental Transaction'!H:H)</f>
        <v>74</v>
      </c>
      <c r="L338" s="17">
        <f>COUNTIFS('Retal Tran Line Item'!D:D,"BLU-RAY",'Retal Tran Line Item'!H:H,A338)/J338</f>
        <v>0.42857142857142855</v>
      </c>
    </row>
    <row r="339" spans="1:12">
      <c r="A339" s="1">
        <v>656512</v>
      </c>
      <c r="B339" s="1" t="s">
        <v>118</v>
      </c>
      <c r="C339" s="1" t="s">
        <v>761</v>
      </c>
      <c r="D339" s="1" t="s">
        <v>1272</v>
      </c>
      <c r="E339" s="1" t="s">
        <v>26</v>
      </c>
      <c r="F339" s="1" t="s">
        <v>1273</v>
      </c>
      <c r="G339" s="2">
        <v>41158</v>
      </c>
      <c r="H339" s="1" t="b">
        <v>0</v>
      </c>
      <c r="I339" s="6" t="s">
        <v>33</v>
      </c>
      <c r="J339" s="1">
        <f>COUNTIF('Rental Transaction'!B339:B4210,A339)</f>
        <v>3</v>
      </c>
      <c r="K339" s="1">
        <f>SUMIF('Rental Transaction'!B:B,A339,'Rental Transaction'!H:H)</f>
        <v>41</v>
      </c>
      <c r="L339" s="17">
        <f>COUNTIFS('Retal Tran Line Item'!D:D,"BLU-RAY",'Retal Tran Line Item'!H:H,A339)/J339</f>
        <v>0.66666666666666663</v>
      </c>
    </row>
    <row r="340" spans="1:12">
      <c r="A340" s="1">
        <v>656728</v>
      </c>
      <c r="B340" s="1" t="s">
        <v>230</v>
      </c>
      <c r="C340" s="1" t="s">
        <v>1274</v>
      </c>
      <c r="D340" s="1" t="s">
        <v>1275</v>
      </c>
      <c r="E340" s="1" t="s">
        <v>26</v>
      </c>
      <c r="F340" s="1" t="s">
        <v>1276</v>
      </c>
      <c r="G340" s="2">
        <v>41106</v>
      </c>
      <c r="H340" s="1" t="b">
        <v>0</v>
      </c>
      <c r="I340" s="6" t="s">
        <v>33</v>
      </c>
      <c r="J340" s="1">
        <f>COUNTIF('Rental Transaction'!B340:B4211,A340)</f>
        <v>1</v>
      </c>
      <c r="K340" s="1">
        <f>SUMIF('Rental Transaction'!B:B,A340,'Rental Transaction'!H:H)</f>
        <v>20</v>
      </c>
      <c r="L340" s="17">
        <f>COUNTIFS('Retal Tran Line Item'!D:D,"BLU-RAY",'Retal Tran Line Item'!H:H,A340)/J340</f>
        <v>2</v>
      </c>
    </row>
    <row r="341" spans="1:12">
      <c r="A341" s="1">
        <v>657495</v>
      </c>
      <c r="B341" s="1" t="s">
        <v>154</v>
      </c>
      <c r="C341" s="1" t="s">
        <v>1277</v>
      </c>
      <c r="D341" s="1" t="s">
        <v>1278</v>
      </c>
      <c r="E341" s="1" t="s">
        <v>26</v>
      </c>
      <c r="F341" s="1" t="s">
        <v>1279</v>
      </c>
      <c r="G341" s="2">
        <v>41306</v>
      </c>
      <c r="H341" s="1" t="b">
        <v>0</v>
      </c>
      <c r="I341" s="6" t="s">
        <v>33</v>
      </c>
      <c r="J341" s="1">
        <f>COUNTIF('Rental Transaction'!B341:B4212,A341)</f>
        <v>9</v>
      </c>
      <c r="K341" s="1">
        <f>SUMIF('Rental Transaction'!B:B,A341,'Rental Transaction'!H:H)</f>
        <v>79</v>
      </c>
      <c r="L341" s="17">
        <f>COUNTIFS('Retal Tran Line Item'!D:D,"BLU-RAY",'Retal Tran Line Item'!H:H,A341)/J341</f>
        <v>0.66666666666666663</v>
      </c>
    </row>
    <row r="342" spans="1:12">
      <c r="A342" s="1">
        <v>657736</v>
      </c>
      <c r="B342" s="1" t="s">
        <v>427</v>
      </c>
      <c r="C342" s="1" t="s">
        <v>1280</v>
      </c>
      <c r="D342" s="1" t="s">
        <v>1281</v>
      </c>
      <c r="E342" s="1" t="s">
        <v>26</v>
      </c>
      <c r="F342" s="1" t="s">
        <v>1282</v>
      </c>
      <c r="G342" s="2">
        <v>41178</v>
      </c>
      <c r="H342" s="1" t="b">
        <v>1</v>
      </c>
      <c r="I342" s="6" t="s">
        <v>33</v>
      </c>
      <c r="J342" s="1">
        <f>COUNTIF('Rental Transaction'!B342:B4213,A342)</f>
        <v>7</v>
      </c>
      <c r="K342" s="1">
        <f>SUMIF('Rental Transaction'!B:B,A342,'Rental Transaction'!H:H)</f>
        <v>64</v>
      </c>
      <c r="L342" s="17">
        <f>COUNTIFS('Retal Tran Line Item'!D:D,"BLU-RAY",'Retal Tran Line Item'!H:H,A342)/J342</f>
        <v>0.14285714285714285</v>
      </c>
    </row>
    <row r="343" spans="1:12">
      <c r="A343" s="1">
        <v>659695</v>
      </c>
      <c r="B343" s="1" t="s">
        <v>1283</v>
      </c>
      <c r="C343" s="1" t="s">
        <v>1284</v>
      </c>
      <c r="D343" s="1" t="s">
        <v>1285</v>
      </c>
      <c r="E343" s="1" t="s">
        <v>228</v>
      </c>
      <c r="F343" s="1" t="s">
        <v>1286</v>
      </c>
      <c r="G343" s="2">
        <v>41519</v>
      </c>
      <c r="H343" s="1" t="b">
        <v>1</v>
      </c>
      <c r="I343" s="6" t="s">
        <v>33</v>
      </c>
      <c r="J343" s="1">
        <f>COUNTIF('Rental Transaction'!B343:B4214,A343)</f>
        <v>9</v>
      </c>
      <c r="K343" s="1">
        <f>SUMIF('Rental Transaction'!B:B,A343,'Rental Transaction'!H:H)</f>
        <v>74</v>
      </c>
      <c r="L343" s="17">
        <f>COUNTIFS('Retal Tran Line Item'!D:D,"BLU-RAY",'Retal Tran Line Item'!H:H,A343)/J343</f>
        <v>0.44444444444444442</v>
      </c>
    </row>
    <row r="344" spans="1:12">
      <c r="A344" s="1">
        <v>660634</v>
      </c>
      <c r="B344" s="1" t="s">
        <v>1287</v>
      </c>
      <c r="C344" s="1" t="s">
        <v>1288</v>
      </c>
      <c r="D344" s="1" t="s">
        <v>1289</v>
      </c>
      <c r="E344" s="1" t="s">
        <v>309</v>
      </c>
      <c r="F344" s="1" t="s">
        <v>1290</v>
      </c>
      <c r="G344" s="2">
        <v>41352</v>
      </c>
      <c r="H344" s="1" t="b">
        <v>1</v>
      </c>
      <c r="I344" s="6" t="s">
        <v>28</v>
      </c>
      <c r="J344" s="1">
        <f>COUNTIF('Rental Transaction'!B344:B4215,A344)</f>
        <v>3</v>
      </c>
      <c r="K344" s="1">
        <f>SUMIF('Rental Transaction'!B:B,A344,'Rental Transaction'!H:H)</f>
        <v>31</v>
      </c>
      <c r="L344" s="17">
        <f>COUNTIFS('Retal Tran Line Item'!D:D,"BLU-RAY",'Retal Tran Line Item'!H:H,A344)/J344</f>
        <v>1</v>
      </c>
    </row>
    <row r="345" spans="1:12">
      <c r="A345" s="1">
        <v>663029</v>
      </c>
      <c r="B345" s="1" t="s">
        <v>1291</v>
      </c>
      <c r="C345" s="1" t="s">
        <v>1292</v>
      </c>
      <c r="D345" s="1" t="s">
        <v>1293</v>
      </c>
      <c r="E345" s="1" t="s">
        <v>201</v>
      </c>
      <c r="F345" s="1" t="s">
        <v>1294</v>
      </c>
      <c r="G345" s="2">
        <v>41184</v>
      </c>
      <c r="H345" s="1" t="b">
        <v>1</v>
      </c>
      <c r="I345" s="6" t="s">
        <v>33</v>
      </c>
      <c r="J345" s="1">
        <f>COUNTIF('Rental Transaction'!B345:B4216,A345)</f>
        <v>6</v>
      </c>
      <c r="K345" s="1">
        <f>SUMIF('Rental Transaction'!B:B,A345,'Rental Transaction'!H:H)</f>
        <v>46</v>
      </c>
      <c r="L345" s="17">
        <f>COUNTIFS('Retal Tran Line Item'!D:D,"BLU-RAY",'Retal Tran Line Item'!H:H,A345)/J345</f>
        <v>0.66666666666666663</v>
      </c>
    </row>
    <row r="346" spans="1:12">
      <c r="A346" s="1">
        <v>664411</v>
      </c>
      <c r="B346" s="1" t="s">
        <v>1295</v>
      </c>
      <c r="C346" s="1" t="s">
        <v>1296</v>
      </c>
      <c r="D346" s="1" t="s">
        <v>1297</v>
      </c>
      <c r="E346" s="1" t="s">
        <v>26</v>
      </c>
      <c r="F346" s="1" t="s">
        <v>1298</v>
      </c>
      <c r="G346" s="2">
        <v>41477</v>
      </c>
      <c r="H346" s="1" t="b">
        <v>1</v>
      </c>
      <c r="I346" s="6" t="s">
        <v>33</v>
      </c>
      <c r="J346" s="1">
        <f>COUNTIF('Rental Transaction'!B346:B4217,A346)</f>
        <v>6</v>
      </c>
      <c r="K346" s="1">
        <f>SUMIF('Rental Transaction'!B:B,A346,'Rental Transaction'!H:H)</f>
        <v>55</v>
      </c>
      <c r="L346" s="17">
        <f>COUNTIFS('Retal Tran Line Item'!D:D,"BLU-RAY",'Retal Tran Line Item'!H:H,A346)/J346</f>
        <v>0.66666666666666663</v>
      </c>
    </row>
    <row r="347" spans="1:12">
      <c r="A347" s="1">
        <v>664934</v>
      </c>
      <c r="B347" s="1" t="s">
        <v>423</v>
      </c>
      <c r="C347" s="1" t="s">
        <v>1299</v>
      </c>
      <c r="D347" s="1" t="s">
        <v>1300</v>
      </c>
      <c r="E347" s="1" t="s">
        <v>26</v>
      </c>
      <c r="F347" s="1" t="s">
        <v>1301</v>
      </c>
      <c r="G347" s="2">
        <v>41483</v>
      </c>
      <c r="H347" s="1" t="b">
        <v>0</v>
      </c>
      <c r="I347" s="6" t="s">
        <v>28</v>
      </c>
      <c r="J347" s="1">
        <f>COUNTIF('Rental Transaction'!B347:B4218,A347)</f>
        <v>5</v>
      </c>
      <c r="K347" s="1">
        <f>SUMIF('Rental Transaction'!B:B,A347,'Rental Transaction'!H:H)</f>
        <v>51</v>
      </c>
      <c r="L347" s="17">
        <f>COUNTIFS('Retal Tran Line Item'!D:D,"BLU-RAY",'Retal Tran Line Item'!H:H,A347)/J347</f>
        <v>0.2</v>
      </c>
    </row>
    <row r="348" spans="1:12">
      <c r="A348" s="1">
        <v>665282</v>
      </c>
      <c r="B348" s="1" t="s">
        <v>225</v>
      </c>
      <c r="C348" s="1" t="s">
        <v>1302</v>
      </c>
      <c r="D348" s="1" t="s">
        <v>1303</v>
      </c>
      <c r="E348" s="1" t="s">
        <v>26</v>
      </c>
      <c r="F348" s="1" t="s">
        <v>1304</v>
      </c>
      <c r="G348" s="2">
        <v>41156</v>
      </c>
      <c r="H348" s="1" t="b">
        <v>1</v>
      </c>
      <c r="I348" s="6" t="s">
        <v>33</v>
      </c>
      <c r="J348" s="1">
        <f>COUNTIF('Rental Transaction'!B348:B4219,A348)</f>
        <v>6</v>
      </c>
      <c r="K348" s="1">
        <f>SUMIF('Rental Transaction'!B:B,A348,'Rental Transaction'!H:H)</f>
        <v>73</v>
      </c>
      <c r="L348" s="17">
        <f>COUNTIFS('Retal Tran Line Item'!D:D,"BLU-RAY",'Retal Tran Line Item'!H:H,A348)/J348</f>
        <v>0.83333333333333337</v>
      </c>
    </row>
    <row r="349" spans="1:12">
      <c r="A349" s="1">
        <v>665313</v>
      </c>
      <c r="B349" s="1" t="s">
        <v>1045</v>
      </c>
      <c r="C349" s="1" t="s">
        <v>1305</v>
      </c>
      <c r="D349" s="1" t="s">
        <v>1306</v>
      </c>
      <c r="E349" s="1" t="s">
        <v>26</v>
      </c>
      <c r="F349" s="1" t="s">
        <v>1307</v>
      </c>
      <c r="G349" s="2">
        <v>41094</v>
      </c>
      <c r="H349" s="1" t="b">
        <v>1</v>
      </c>
      <c r="I349" s="6" t="s">
        <v>28</v>
      </c>
      <c r="J349" s="1">
        <f>COUNTIF('Rental Transaction'!B349:B4220,A349)</f>
        <v>2</v>
      </c>
      <c r="K349" s="1">
        <f>SUMIF('Rental Transaction'!B:B,A349,'Rental Transaction'!H:H)</f>
        <v>54</v>
      </c>
      <c r="L349" s="17">
        <f>COUNTIFS('Retal Tran Line Item'!D:D,"BLU-RAY",'Retal Tran Line Item'!H:H,A349)/J349</f>
        <v>2.5</v>
      </c>
    </row>
    <row r="350" spans="1:12">
      <c r="A350" s="1">
        <v>667170</v>
      </c>
      <c r="B350" s="1" t="s">
        <v>1308</v>
      </c>
      <c r="C350" s="1" t="s">
        <v>1309</v>
      </c>
      <c r="D350" s="1" t="s">
        <v>1310</v>
      </c>
      <c r="E350" s="1" t="s">
        <v>26</v>
      </c>
      <c r="F350" s="1" t="s">
        <v>1311</v>
      </c>
      <c r="G350" s="2">
        <v>41262</v>
      </c>
      <c r="H350" s="1" t="b">
        <v>1</v>
      </c>
      <c r="I350" s="6" t="s">
        <v>28</v>
      </c>
      <c r="J350" s="1">
        <f>COUNTIF('Rental Transaction'!B350:B4221,A350)</f>
        <v>7</v>
      </c>
      <c r="K350" s="1">
        <f>SUMIF('Rental Transaction'!B:B,A350,'Rental Transaction'!H:H)</f>
        <v>69</v>
      </c>
      <c r="L350" s="17">
        <f>COUNTIFS('Retal Tran Line Item'!D:D,"BLU-RAY",'Retal Tran Line Item'!H:H,A350)/J350</f>
        <v>0.42857142857142855</v>
      </c>
    </row>
    <row r="351" spans="1:12">
      <c r="A351" s="1">
        <v>668931</v>
      </c>
      <c r="B351" s="1" t="s">
        <v>1312</v>
      </c>
      <c r="C351" s="1" t="s">
        <v>1313</v>
      </c>
      <c r="D351" s="1" t="s">
        <v>1314</v>
      </c>
      <c r="E351" s="1" t="s">
        <v>26</v>
      </c>
      <c r="F351" s="1" t="s">
        <v>1315</v>
      </c>
      <c r="G351" s="2">
        <v>41268</v>
      </c>
      <c r="H351" s="1" t="b">
        <v>0</v>
      </c>
      <c r="I351" s="6" t="s">
        <v>33</v>
      </c>
      <c r="J351" s="1">
        <f>COUNTIF('Rental Transaction'!B351:B4222,A351)</f>
        <v>7</v>
      </c>
      <c r="K351" s="1">
        <f>SUMIF('Rental Transaction'!B:B,A351,'Rental Transaction'!H:H)</f>
        <v>105</v>
      </c>
      <c r="L351" s="17">
        <f>COUNTIFS('Retal Tran Line Item'!D:D,"BLU-RAY",'Retal Tran Line Item'!H:H,A351)/J351</f>
        <v>1.1428571428571428</v>
      </c>
    </row>
    <row r="352" spans="1:12">
      <c r="A352" s="1">
        <v>670707</v>
      </c>
      <c r="B352" s="1" t="s">
        <v>1316</v>
      </c>
      <c r="C352" s="1" t="s">
        <v>1317</v>
      </c>
      <c r="D352" s="1" t="s">
        <v>1318</v>
      </c>
      <c r="E352" s="1" t="s">
        <v>26</v>
      </c>
      <c r="F352" s="1" t="s">
        <v>1319</v>
      </c>
      <c r="G352" s="2">
        <v>41515</v>
      </c>
      <c r="H352" s="1" t="b">
        <v>0</v>
      </c>
      <c r="I352" s="6" t="s">
        <v>28</v>
      </c>
      <c r="J352" s="1">
        <f>COUNTIF('Rental Transaction'!B352:B4223,A352)</f>
        <v>6</v>
      </c>
      <c r="K352" s="1">
        <f>SUMIF('Rental Transaction'!B:B,A352,'Rental Transaction'!H:H)</f>
        <v>65</v>
      </c>
      <c r="L352" s="17">
        <f>COUNTIFS('Retal Tran Line Item'!D:D,"BLU-RAY",'Retal Tran Line Item'!H:H,A352)/J352</f>
        <v>0.5</v>
      </c>
    </row>
    <row r="353" spans="1:12">
      <c r="A353" s="1">
        <v>671101</v>
      </c>
      <c r="B353" s="1" t="s">
        <v>360</v>
      </c>
      <c r="C353" s="1" t="s">
        <v>1320</v>
      </c>
      <c r="D353" s="1" t="s">
        <v>1321</v>
      </c>
      <c r="E353" s="1" t="s">
        <v>42</v>
      </c>
      <c r="F353" s="1" t="s">
        <v>1322</v>
      </c>
      <c r="G353" s="2">
        <v>41483</v>
      </c>
      <c r="H353" s="1" t="b">
        <v>1</v>
      </c>
      <c r="I353" s="6" t="s">
        <v>33</v>
      </c>
      <c r="J353" s="1">
        <f>COUNTIF('Rental Transaction'!B353:B4224,A353)</f>
        <v>8</v>
      </c>
      <c r="K353" s="1">
        <f>SUMIF('Rental Transaction'!B:B,A353,'Rental Transaction'!H:H)</f>
        <v>63</v>
      </c>
      <c r="L353" s="17">
        <f>COUNTIFS('Retal Tran Line Item'!D:D,"BLU-RAY",'Retal Tran Line Item'!H:H,A353)/J353</f>
        <v>0.625</v>
      </c>
    </row>
    <row r="354" spans="1:12">
      <c r="A354" s="1">
        <v>671363</v>
      </c>
      <c r="B354" s="1" t="s">
        <v>1323</v>
      </c>
      <c r="C354" s="1" t="s">
        <v>557</v>
      </c>
      <c r="D354" s="1" t="s">
        <v>1324</v>
      </c>
      <c r="E354" s="1" t="s">
        <v>201</v>
      </c>
      <c r="F354" s="1" t="s">
        <v>1325</v>
      </c>
      <c r="G354" s="2">
        <v>41249</v>
      </c>
      <c r="H354" s="1" t="b">
        <v>1</v>
      </c>
      <c r="I354" s="6" t="s">
        <v>28</v>
      </c>
      <c r="J354" s="1">
        <f>COUNTIF('Rental Transaction'!B354:B4225,A354)</f>
        <v>6</v>
      </c>
      <c r="K354" s="1">
        <f>SUMIF('Rental Transaction'!B:B,A354,'Rental Transaction'!H:H)</f>
        <v>52</v>
      </c>
      <c r="L354" s="17">
        <f>COUNTIFS('Retal Tran Line Item'!D:D,"BLU-RAY",'Retal Tran Line Item'!H:H,A354)/J354</f>
        <v>0.5</v>
      </c>
    </row>
    <row r="355" spans="1:12">
      <c r="A355" s="1">
        <v>672834</v>
      </c>
      <c r="B355" s="1" t="s">
        <v>1261</v>
      </c>
      <c r="C355" s="1" t="s">
        <v>1326</v>
      </c>
      <c r="D355" s="1" t="s">
        <v>1327</v>
      </c>
      <c r="E355" s="1" t="s">
        <v>72</v>
      </c>
      <c r="F355" s="1" t="s">
        <v>1328</v>
      </c>
      <c r="G355" s="2">
        <v>41386</v>
      </c>
      <c r="H355" s="1" t="b">
        <v>0</v>
      </c>
      <c r="I355" s="6" t="s">
        <v>33</v>
      </c>
      <c r="J355" s="1">
        <f>COUNTIF('Rental Transaction'!B355:B4226,A355)</f>
        <v>7</v>
      </c>
      <c r="K355" s="1">
        <f>SUMIF('Rental Transaction'!B:B,A355,'Rental Transaction'!H:H)</f>
        <v>90</v>
      </c>
      <c r="L355" s="17">
        <f>COUNTIFS('Retal Tran Line Item'!D:D,"BLU-RAY",'Retal Tran Line Item'!H:H,A355)/J355</f>
        <v>1.2857142857142858</v>
      </c>
    </row>
    <row r="356" spans="1:12">
      <c r="A356" s="1">
        <v>676018</v>
      </c>
      <c r="B356" s="1" t="s">
        <v>865</v>
      </c>
      <c r="C356" s="1" t="s">
        <v>1329</v>
      </c>
      <c r="D356" s="1" t="s">
        <v>1330</v>
      </c>
      <c r="E356" s="1" t="s">
        <v>26</v>
      </c>
      <c r="F356" s="1" t="s">
        <v>1331</v>
      </c>
      <c r="G356" s="2">
        <v>41295</v>
      </c>
      <c r="H356" s="1" t="b">
        <v>0</v>
      </c>
      <c r="I356" s="6" t="s">
        <v>33</v>
      </c>
      <c r="J356" s="1">
        <f>COUNTIF('Rental Transaction'!B356:B4227,A356)</f>
        <v>7</v>
      </c>
      <c r="K356" s="1">
        <f>SUMIF('Rental Transaction'!B:B,A356,'Rental Transaction'!H:H)</f>
        <v>60</v>
      </c>
      <c r="L356" s="17">
        <f>COUNTIFS('Retal Tran Line Item'!D:D,"BLU-RAY",'Retal Tran Line Item'!H:H,A356)/J356</f>
        <v>0.42857142857142855</v>
      </c>
    </row>
    <row r="357" spans="1:12">
      <c r="A357" s="1">
        <v>676155</v>
      </c>
      <c r="B357" s="1" t="s">
        <v>1332</v>
      </c>
      <c r="C357" s="1" t="s">
        <v>1333</v>
      </c>
      <c r="D357" s="1" t="s">
        <v>1334</v>
      </c>
      <c r="E357" s="1" t="s">
        <v>152</v>
      </c>
      <c r="F357" s="1" t="s">
        <v>1335</v>
      </c>
      <c r="G357" s="2">
        <v>41336</v>
      </c>
      <c r="H357" s="1" t="b">
        <v>0</v>
      </c>
      <c r="I357" s="6" t="s">
        <v>28</v>
      </c>
      <c r="J357" s="1">
        <f>COUNTIF('Rental Transaction'!B357:B4228,A357)</f>
        <v>7</v>
      </c>
      <c r="K357" s="1">
        <f>SUMIF('Rental Transaction'!B:B,A357,'Rental Transaction'!H:H)</f>
        <v>53</v>
      </c>
      <c r="L357" s="17">
        <f>COUNTIFS('Retal Tran Line Item'!D:D,"BLU-RAY",'Retal Tran Line Item'!H:H,A357)/J357</f>
        <v>0.14285714285714285</v>
      </c>
    </row>
    <row r="358" spans="1:12">
      <c r="A358" s="1">
        <v>678940</v>
      </c>
      <c r="B358" s="1" t="s">
        <v>1295</v>
      </c>
      <c r="C358" s="1" t="s">
        <v>1336</v>
      </c>
      <c r="D358" s="1" t="s">
        <v>1337</v>
      </c>
      <c r="E358" s="1" t="s">
        <v>26</v>
      </c>
      <c r="F358" s="1" t="s">
        <v>1338</v>
      </c>
      <c r="G358" s="2">
        <v>41507</v>
      </c>
      <c r="H358" s="1" t="b">
        <v>0</v>
      </c>
      <c r="I358" s="6" t="s">
        <v>33</v>
      </c>
      <c r="J358" s="1">
        <f>COUNTIF('Rental Transaction'!B358:B4229,A358)</f>
        <v>7</v>
      </c>
      <c r="K358" s="1">
        <f>SUMIF('Rental Transaction'!B:B,A358,'Rental Transaction'!H:H)</f>
        <v>86</v>
      </c>
      <c r="L358" s="17">
        <f>COUNTIFS('Retal Tran Line Item'!D:D,"BLU-RAY",'Retal Tran Line Item'!H:H,A358)/J358</f>
        <v>0.7142857142857143</v>
      </c>
    </row>
    <row r="359" spans="1:12">
      <c r="A359" s="1">
        <v>679354</v>
      </c>
      <c r="B359" s="1" t="s">
        <v>1339</v>
      </c>
      <c r="C359" s="1" t="s">
        <v>1340</v>
      </c>
      <c r="D359" s="1" t="s">
        <v>1341</v>
      </c>
      <c r="E359" s="1" t="s">
        <v>26</v>
      </c>
      <c r="F359" s="1" t="s">
        <v>1342</v>
      </c>
      <c r="G359" s="2">
        <v>41505</v>
      </c>
      <c r="H359" s="1" t="b">
        <v>1</v>
      </c>
      <c r="I359" s="6" t="s">
        <v>28</v>
      </c>
      <c r="J359" s="1">
        <f>COUNTIF('Rental Transaction'!B359:B4230,A359)</f>
        <v>6</v>
      </c>
      <c r="K359" s="1">
        <f>SUMIF('Rental Transaction'!B:B,A359,'Rental Transaction'!H:H)</f>
        <v>49</v>
      </c>
      <c r="L359" s="17">
        <f>COUNTIFS('Retal Tran Line Item'!D:D,"BLU-RAY",'Retal Tran Line Item'!H:H,A359)/J359</f>
        <v>0.33333333333333331</v>
      </c>
    </row>
    <row r="360" spans="1:12">
      <c r="A360" s="1">
        <v>680104</v>
      </c>
      <c r="B360" s="1" t="s">
        <v>1343</v>
      </c>
      <c r="C360" s="1" t="s">
        <v>1344</v>
      </c>
      <c r="D360" s="1" t="s">
        <v>1345</v>
      </c>
      <c r="E360" s="1" t="s">
        <v>26</v>
      </c>
      <c r="F360" s="1" t="s">
        <v>1346</v>
      </c>
      <c r="G360" s="2">
        <v>41436</v>
      </c>
      <c r="H360" s="1" t="b">
        <v>1</v>
      </c>
      <c r="I360" s="6" t="s">
        <v>28</v>
      </c>
      <c r="J360" s="1">
        <f>COUNTIF('Rental Transaction'!B360:B4231,A360)</f>
        <v>4</v>
      </c>
      <c r="K360" s="1">
        <f>SUMIF('Rental Transaction'!B:B,A360,'Rental Transaction'!H:H)</f>
        <v>40</v>
      </c>
      <c r="L360" s="17">
        <f>COUNTIFS('Retal Tran Line Item'!D:D,"BLU-RAY",'Retal Tran Line Item'!H:H,A360)/J360</f>
        <v>0.75</v>
      </c>
    </row>
    <row r="361" spans="1:12">
      <c r="A361" s="1">
        <v>689877</v>
      </c>
      <c r="B361" s="1" t="s">
        <v>1347</v>
      </c>
      <c r="C361" s="1" t="s">
        <v>1348</v>
      </c>
      <c r="D361" s="1" t="s">
        <v>1349</v>
      </c>
      <c r="E361" s="1" t="s">
        <v>26</v>
      </c>
      <c r="F361" s="1" t="s">
        <v>1350</v>
      </c>
      <c r="G361" s="2">
        <v>41190</v>
      </c>
      <c r="H361" s="1" t="b">
        <v>0</v>
      </c>
      <c r="I361" s="6" t="s">
        <v>33</v>
      </c>
      <c r="J361" s="1">
        <f>COUNTIF('Rental Transaction'!B361:B4232,A361)</f>
        <v>10</v>
      </c>
      <c r="K361" s="1">
        <f>SUMIF('Rental Transaction'!B:B,A361,'Rental Transaction'!H:H)</f>
        <v>115</v>
      </c>
      <c r="L361" s="17">
        <f>COUNTIFS('Retal Tran Line Item'!D:D,"BLU-RAY",'Retal Tran Line Item'!H:H,A361)/J361</f>
        <v>0.8</v>
      </c>
    </row>
    <row r="362" spans="1:12">
      <c r="A362" s="1">
        <v>690100</v>
      </c>
      <c r="B362" s="1" t="s">
        <v>996</v>
      </c>
      <c r="C362" s="1" t="s">
        <v>1351</v>
      </c>
      <c r="D362" s="1" t="s">
        <v>1352</v>
      </c>
      <c r="E362" s="1" t="s">
        <v>26</v>
      </c>
      <c r="F362" s="1" t="s">
        <v>1353</v>
      </c>
      <c r="G362" s="2">
        <v>41131</v>
      </c>
      <c r="H362" s="1" t="b">
        <v>1</v>
      </c>
      <c r="I362" s="6" t="s">
        <v>28</v>
      </c>
      <c r="J362" s="1">
        <f>COUNTIF('Rental Transaction'!B362:B4233,A362)</f>
        <v>4</v>
      </c>
      <c r="K362" s="1">
        <f>SUMIF('Rental Transaction'!B:B,A362,'Rental Transaction'!H:H)</f>
        <v>85</v>
      </c>
      <c r="L362" s="17">
        <f>COUNTIFS('Retal Tran Line Item'!D:D,"BLU-RAY",'Retal Tran Line Item'!H:H,A362)/J362</f>
        <v>1.5</v>
      </c>
    </row>
    <row r="363" spans="1:12">
      <c r="A363" s="1">
        <v>693531</v>
      </c>
      <c r="B363" s="1" t="s">
        <v>1354</v>
      </c>
      <c r="C363" s="1" t="s">
        <v>1355</v>
      </c>
      <c r="D363" s="1" t="s">
        <v>1356</v>
      </c>
      <c r="E363" s="1" t="s">
        <v>228</v>
      </c>
      <c r="F363" s="1" t="s">
        <v>1357</v>
      </c>
      <c r="G363" s="2">
        <v>41203</v>
      </c>
      <c r="H363" s="1" t="b">
        <v>0</v>
      </c>
      <c r="I363" s="6" t="s">
        <v>33</v>
      </c>
      <c r="J363" s="1">
        <f>COUNTIF('Rental Transaction'!B363:B4234,A363)</f>
        <v>3</v>
      </c>
      <c r="K363" s="1">
        <f>SUMIF('Rental Transaction'!B:B,A363,'Rental Transaction'!H:H)</f>
        <v>48</v>
      </c>
      <c r="L363" s="17">
        <f>COUNTIFS('Retal Tran Line Item'!D:D,"BLU-RAY",'Retal Tran Line Item'!H:H,A363)/J363</f>
        <v>1</v>
      </c>
    </row>
    <row r="364" spans="1:12">
      <c r="A364" s="1">
        <v>694281</v>
      </c>
      <c r="B364" s="1" t="s">
        <v>1358</v>
      </c>
      <c r="C364" s="1" t="s">
        <v>1359</v>
      </c>
      <c r="D364" s="1" t="s">
        <v>1360</v>
      </c>
      <c r="E364" s="1" t="s">
        <v>26</v>
      </c>
      <c r="F364" s="1" t="s">
        <v>1361</v>
      </c>
      <c r="G364" s="2">
        <v>41265</v>
      </c>
      <c r="H364" s="1" t="b">
        <v>0</v>
      </c>
      <c r="I364" s="6" t="s">
        <v>33</v>
      </c>
      <c r="J364" s="1">
        <f>COUNTIF('Rental Transaction'!B364:B4235,A364)</f>
        <v>9</v>
      </c>
      <c r="K364" s="1">
        <f>SUMIF('Rental Transaction'!B:B,A364,'Rental Transaction'!H:H)</f>
        <v>62</v>
      </c>
      <c r="L364" s="17">
        <f>COUNTIFS('Retal Tran Line Item'!D:D,"BLU-RAY",'Retal Tran Line Item'!H:H,A364)/J364</f>
        <v>0.66666666666666663</v>
      </c>
    </row>
    <row r="365" spans="1:12">
      <c r="A365" s="1">
        <v>695276</v>
      </c>
      <c r="B365" s="1" t="s">
        <v>847</v>
      </c>
      <c r="C365" s="1" t="s">
        <v>226</v>
      </c>
      <c r="D365" s="1" t="s">
        <v>1362</v>
      </c>
      <c r="E365" s="1" t="s">
        <v>72</v>
      </c>
      <c r="F365" s="1" t="s">
        <v>1363</v>
      </c>
      <c r="G365" s="2">
        <v>41443</v>
      </c>
      <c r="H365" s="1" t="b">
        <v>1</v>
      </c>
      <c r="I365" s="6" t="s">
        <v>33</v>
      </c>
      <c r="J365" s="1">
        <f>COUNTIF('Rental Transaction'!B365:B4236,A365)</f>
        <v>5</v>
      </c>
      <c r="K365" s="1">
        <f>SUMIF('Rental Transaction'!B:B,A365,'Rental Transaction'!H:H)</f>
        <v>27</v>
      </c>
      <c r="L365" s="17">
        <f>COUNTIFS('Retal Tran Line Item'!D:D,"BLU-RAY",'Retal Tran Line Item'!H:H,A365)/J365</f>
        <v>0</v>
      </c>
    </row>
    <row r="366" spans="1:12">
      <c r="A366" s="1">
        <v>696852</v>
      </c>
      <c r="B366" s="1" t="s">
        <v>449</v>
      </c>
      <c r="C366" s="1" t="s">
        <v>1364</v>
      </c>
      <c r="D366" s="1" t="s">
        <v>1365</v>
      </c>
      <c r="E366" s="1" t="s">
        <v>161</v>
      </c>
      <c r="F366" s="1" t="s">
        <v>1366</v>
      </c>
      <c r="G366" s="2">
        <v>41143</v>
      </c>
      <c r="H366" s="1" t="b">
        <v>1</v>
      </c>
      <c r="I366" s="6" t="s">
        <v>28</v>
      </c>
      <c r="J366" s="1">
        <f>COUNTIF('Rental Transaction'!B366:B4237,A366)</f>
        <v>4</v>
      </c>
      <c r="K366" s="1">
        <f>SUMIF('Rental Transaction'!B:B,A366,'Rental Transaction'!H:H)</f>
        <v>20</v>
      </c>
      <c r="L366" s="17">
        <f>COUNTIFS('Retal Tran Line Item'!D:D,"BLU-RAY",'Retal Tran Line Item'!H:H,A366)/J366</f>
        <v>0.75</v>
      </c>
    </row>
    <row r="367" spans="1:12">
      <c r="A367" s="1">
        <v>701211</v>
      </c>
      <c r="B367" s="1" t="s">
        <v>1367</v>
      </c>
      <c r="C367" s="1" t="s">
        <v>1368</v>
      </c>
      <c r="D367" s="1" t="s">
        <v>1369</v>
      </c>
      <c r="E367" s="1" t="s">
        <v>26</v>
      </c>
      <c r="F367" s="1" t="s">
        <v>1370</v>
      </c>
      <c r="G367" s="2">
        <v>41474</v>
      </c>
      <c r="H367" s="1" t="b">
        <v>0</v>
      </c>
      <c r="I367" s="6" t="s">
        <v>33</v>
      </c>
      <c r="J367" s="1">
        <f>COUNTIF('Rental Transaction'!B367:B4238,A367)</f>
        <v>6</v>
      </c>
      <c r="K367" s="1">
        <f>SUMIF('Rental Transaction'!B:B,A367,'Rental Transaction'!H:H)</f>
        <v>37</v>
      </c>
      <c r="L367" s="17">
        <f>COUNTIFS('Retal Tran Line Item'!D:D,"BLU-RAY",'Retal Tran Line Item'!H:H,A367)/J367</f>
        <v>0.33333333333333331</v>
      </c>
    </row>
    <row r="368" spans="1:12">
      <c r="A368" s="1">
        <v>701816</v>
      </c>
      <c r="B368" s="1" t="s">
        <v>1371</v>
      </c>
      <c r="C368" s="1" t="s">
        <v>1372</v>
      </c>
      <c r="D368" s="1" t="s">
        <v>1373</v>
      </c>
      <c r="E368" s="1" t="s">
        <v>72</v>
      </c>
      <c r="F368" s="1" t="s">
        <v>1374</v>
      </c>
      <c r="G368" s="2">
        <v>41225</v>
      </c>
      <c r="H368" s="1" t="b">
        <v>1</v>
      </c>
      <c r="I368" s="6" t="s">
        <v>28</v>
      </c>
      <c r="J368" s="1">
        <f>COUNTIF('Rental Transaction'!B368:B4239,A368)</f>
        <v>4</v>
      </c>
      <c r="K368" s="1">
        <f>SUMIF('Rental Transaction'!B:B,A368,'Rental Transaction'!H:H)</f>
        <v>70</v>
      </c>
      <c r="L368" s="17">
        <f>COUNTIFS('Retal Tran Line Item'!D:D,"BLU-RAY",'Retal Tran Line Item'!H:H,A368)/J368</f>
        <v>1.75</v>
      </c>
    </row>
    <row r="369" spans="1:12">
      <c r="A369" s="1">
        <v>702197</v>
      </c>
      <c r="B369" s="1" t="s">
        <v>1375</v>
      </c>
      <c r="C369" s="1" t="s">
        <v>1376</v>
      </c>
      <c r="D369" s="1" t="s">
        <v>1377</v>
      </c>
      <c r="E369" s="1" t="s">
        <v>26</v>
      </c>
      <c r="F369" s="1" t="s">
        <v>1378</v>
      </c>
      <c r="G369" s="2">
        <v>41474</v>
      </c>
      <c r="H369" s="1" t="b">
        <v>1</v>
      </c>
      <c r="I369" s="6" t="s">
        <v>28</v>
      </c>
      <c r="J369" s="1">
        <f>COUNTIF('Rental Transaction'!B369:B4240,A369)</f>
        <v>3</v>
      </c>
      <c r="K369" s="1">
        <f>SUMIF('Rental Transaction'!B:B,A369,'Rental Transaction'!H:H)</f>
        <v>25</v>
      </c>
      <c r="L369" s="17">
        <f>COUNTIFS('Retal Tran Line Item'!D:D,"BLU-RAY",'Retal Tran Line Item'!H:H,A369)/J369</f>
        <v>1.3333333333333333</v>
      </c>
    </row>
    <row r="370" spans="1:12">
      <c r="A370" s="1">
        <v>703083</v>
      </c>
      <c r="B370" s="1" t="s">
        <v>1379</v>
      </c>
      <c r="C370" s="1" t="s">
        <v>1380</v>
      </c>
      <c r="D370" s="1" t="s">
        <v>1381</v>
      </c>
      <c r="E370" s="1" t="s">
        <v>26</v>
      </c>
      <c r="F370" s="1" t="s">
        <v>1382</v>
      </c>
      <c r="G370" s="2">
        <v>41260</v>
      </c>
      <c r="H370" s="1" t="b">
        <v>1</v>
      </c>
      <c r="I370" s="6" t="s">
        <v>28</v>
      </c>
      <c r="J370" s="1">
        <f>COUNTIF('Rental Transaction'!B370:B4241,A370)</f>
        <v>5</v>
      </c>
      <c r="K370" s="1">
        <f>SUMIF('Rental Transaction'!B:B,A370,'Rental Transaction'!H:H)</f>
        <v>39</v>
      </c>
      <c r="L370" s="17">
        <f>COUNTIFS('Retal Tran Line Item'!D:D,"BLU-RAY",'Retal Tran Line Item'!H:H,A370)/J370</f>
        <v>0</v>
      </c>
    </row>
    <row r="371" spans="1:12">
      <c r="A371" s="1">
        <v>706101</v>
      </c>
      <c r="B371" s="1" t="s">
        <v>1383</v>
      </c>
      <c r="C371" s="1" t="s">
        <v>1296</v>
      </c>
      <c r="D371" s="1" t="s">
        <v>1384</v>
      </c>
      <c r="E371" s="1" t="s">
        <v>26</v>
      </c>
      <c r="F371" s="1" t="s">
        <v>1385</v>
      </c>
      <c r="G371" s="2">
        <v>41372</v>
      </c>
      <c r="H371" s="1" t="b">
        <v>0</v>
      </c>
      <c r="I371" s="6" t="s">
        <v>33</v>
      </c>
      <c r="J371" s="1">
        <f>COUNTIF('Rental Transaction'!B371:B4242,A371)</f>
        <v>6</v>
      </c>
      <c r="K371" s="1">
        <f>SUMIF('Rental Transaction'!B:B,A371,'Rental Transaction'!H:H)</f>
        <v>64</v>
      </c>
      <c r="L371" s="17">
        <f>COUNTIFS('Retal Tran Line Item'!D:D,"BLU-RAY",'Retal Tran Line Item'!H:H,A371)/J371</f>
        <v>0.33333333333333331</v>
      </c>
    </row>
    <row r="372" spans="1:12">
      <c r="A372" s="1">
        <v>706884</v>
      </c>
      <c r="B372" s="1" t="s">
        <v>1386</v>
      </c>
      <c r="C372" s="1" t="s">
        <v>1387</v>
      </c>
      <c r="D372" s="1" t="s">
        <v>1388</v>
      </c>
      <c r="E372" s="1" t="s">
        <v>26</v>
      </c>
      <c r="F372" s="1" t="s">
        <v>1389</v>
      </c>
      <c r="G372" s="2">
        <v>41396</v>
      </c>
      <c r="H372" s="1" t="b">
        <v>0</v>
      </c>
      <c r="I372" s="6" t="s">
        <v>28</v>
      </c>
      <c r="J372" s="1">
        <f>COUNTIF('Rental Transaction'!B372:B4243,A372)</f>
        <v>7</v>
      </c>
      <c r="K372" s="1">
        <f>SUMIF('Rental Transaction'!B:B,A372,'Rental Transaction'!H:H)</f>
        <v>49</v>
      </c>
      <c r="L372" s="17">
        <f>COUNTIFS('Retal Tran Line Item'!D:D,"BLU-RAY",'Retal Tran Line Item'!H:H,A372)/J372</f>
        <v>0.8571428571428571</v>
      </c>
    </row>
    <row r="373" spans="1:12">
      <c r="A373" s="1">
        <v>707458</v>
      </c>
      <c r="B373" s="1" t="s">
        <v>1390</v>
      </c>
      <c r="C373" s="1" t="s">
        <v>1391</v>
      </c>
      <c r="D373" s="1" t="s">
        <v>1392</v>
      </c>
      <c r="E373" s="1" t="s">
        <v>26</v>
      </c>
      <c r="F373" s="1" t="s">
        <v>1393</v>
      </c>
      <c r="G373" s="2">
        <v>41105</v>
      </c>
      <c r="H373" s="1" t="b">
        <v>1</v>
      </c>
      <c r="I373" s="6" t="s">
        <v>33</v>
      </c>
      <c r="J373" s="1">
        <f>COUNTIF('Rental Transaction'!B373:B4244,A373)</f>
        <v>4</v>
      </c>
      <c r="K373" s="1">
        <f>SUMIF('Rental Transaction'!B:B,A373,'Rental Transaction'!H:H)</f>
        <v>64</v>
      </c>
      <c r="L373" s="17">
        <f>COUNTIFS('Retal Tran Line Item'!D:D,"BLU-RAY",'Retal Tran Line Item'!H:H,A373)/J373</f>
        <v>1</v>
      </c>
    </row>
    <row r="374" spans="1:12">
      <c r="A374" s="1">
        <v>710047</v>
      </c>
      <c r="B374" s="1" t="s">
        <v>1394</v>
      </c>
      <c r="C374" s="1" t="s">
        <v>1395</v>
      </c>
      <c r="D374" s="1" t="s">
        <v>1396</v>
      </c>
      <c r="E374" s="1" t="s">
        <v>37</v>
      </c>
      <c r="F374" s="1" t="s">
        <v>1397</v>
      </c>
      <c r="G374" s="2">
        <v>41418</v>
      </c>
      <c r="H374" s="1" t="b">
        <v>1</v>
      </c>
      <c r="I374" s="6" t="s">
        <v>33</v>
      </c>
      <c r="J374" s="1">
        <f>COUNTIF('Rental Transaction'!B374:B4245,A374)</f>
        <v>5</v>
      </c>
      <c r="K374" s="1">
        <f>SUMIF('Rental Transaction'!B:B,A374,'Rental Transaction'!H:H)</f>
        <v>52</v>
      </c>
      <c r="L374" s="17">
        <f>COUNTIFS('Retal Tran Line Item'!D:D,"BLU-RAY",'Retal Tran Line Item'!H:H,A374)/J374</f>
        <v>1</v>
      </c>
    </row>
    <row r="375" spans="1:12">
      <c r="A375" s="1">
        <v>714277</v>
      </c>
      <c r="B375" s="1" t="s">
        <v>230</v>
      </c>
      <c r="C375" s="1" t="s">
        <v>302</v>
      </c>
      <c r="D375" s="1" t="s">
        <v>1398</v>
      </c>
      <c r="E375" s="1" t="s">
        <v>228</v>
      </c>
      <c r="F375" s="1" t="s">
        <v>1399</v>
      </c>
      <c r="G375" s="2">
        <v>41093</v>
      </c>
      <c r="H375" s="1" t="b">
        <v>0</v>
      </c>
      <c r="I375" s="6" t="s">
        <v>33</v>
      </c>
      <c r="J375" s="1">
        <f>COUNTIF('Rental Transaction'!B375:B4246,A375)</f>
        <v>3</v>
      </c>
      <c r="K375" s="1">
        <f>SUMIF('Rental Transaction'!B:B,A375,'Rental Transaction'!H:H)</f>
        <v>64</v>
      </c>
      <c r="L375" s="17">
        <f>COUNTIFS('Retal Tran Line Item'!D:D,"BLU-RAY",'Retal Tran Line Item'!H:H,A375)/J375</f>
        <v>1</v>
      </c>
    </row>
    <row r="376" spans="1:12">
      <c r="A376" s="1">
        <v>714947</v>
      </c>
      <c r="B376" s="1" t="s">
        <v>1400</v>
      </c>
      <c r="C376" s="1" t="s">
        <v>1401</v>
      </c>
      <c r="D376" s="1" t="s">
        <v>1402</v>
      </c>
      <c r="E376" s="1" t="s">
        <v>26</v>
      </c>
      <c r="F376" s="1" t="s">
        <v>1403</v>
      </c>
      <c r="G376" s="2">
        <v>41502</v>
      </c>
      <c r="H376" s="1" t="b">
        <v>0</v>
      </c>
      <c r="I376" s="6" t="s">
        <v>33</v>
      </c>
      <c r="J376" s="1">
        <f>COUNTIF('Rental Transaction'!B376:B4247,A376)</f>
        <v>5</v>
      </c>
      <c r="K376" s="1">
        <f>SUMIF('Rental Transaction'!B:B,A376,'Rental Transaction'!H:H)</f>
        <v>35</v>
      </c>
      <c r="L376" s="17">
        <f>COUNTIFS('Retal Tran Line Item'!D:D,"BLU-RAY",'Retal Tran Line Item'!H:H,A376)/J376</f>
        <v>0</v>
      </c>
    </row>
    <row r="377" spans="1:12">
      <c r="A377" s="1">
        <v>717234</v>
      </c>
      <c r="B377" s="1" t="s">
        <v>827</v>
      </c>
      <c r="C377" s="1" t="s">
        <v>1404</v>
      </c>
      <c r="D377" s="1" t="s">
        <v>1405</v>
      </c>
      <c r="E377" s="1" t="s">
        <v>26</v>
      </c>
      <c r="F377" s="1" t="s">
        <v>1406</v>
      </c>
      <c r="G377" s="2">
        <v>41514</v>
      </c>
      <c r="H377" s="1" t="b">
        <v>1</v>
      </c>
      <c r="I377" s="6" t="s">
        <v>28</v>
      </c>
      <c r="J377" s="1">
        <f>COUNTIF('Rental Transaction'!B377:B4248,A377)</f>
        <v>7</v>
      </c>
      <c r="K377" s="1">
        <f>SUMIF('Rental Transaction'!B:B,A377,'Rental Transaction'!H:H)</f>
        <v>59</v>
      </c>
      <c r="L377" s="17">
        <f>COUNTIFS('Retal Tran Line Item'!D:D,"BLU-RAY",'Retal Tran Line Item'!H:H,A377)/J377</f>
        <v>0.42857142857142855</v>
      </c>
    </row>
    <row r="378" spans="1:12">
      <c r="A378" s="1">
        <v>719921</v>
      </c>
      <c r="B378" s="1" t="s">
        <v>1168</v>
      </c>
      <c r="C378" s="1" t="s">
        <v>1169</v>
      </c>
      <c r="D378" s="1" t="s">
        <v>1407</v>
      </c>
      <c r="E378" s="1" t="s">
        <v>26</v>
      </c>
      <c r="F378" s="1" t="s">
        <v>1408</v>
      </c>
      <c r="G378" s="2">
        <v>41404</v>
      </c>
      <c r="H378" s="1" t="b">
        <v>1</v>
      </c>
      <c r="I378" s="6" t="s">
        <v>28</v>
      </c>
      <c r="J378" s="1">
        <f>COUNTIF('Rental Transaction'!B378:B4249,A378)</f>
        <v>8</v>
      </c>
      <c r="K378" s="1">
        <f>SUMIF('Rental Transaction'!B:B,A378,'Rental Transaction'!H:H)</f>
        <v>80</v>
      </c>
      <c r="L378" s="17">
        <f>COUNTIFS('Retal Tran Line Item'!D:D,"BLU-RAY",'Retal Tran Line Item'!H:H,A378)/J378</f>
        <v>0.625</v>
      </c>
    </row>
    <row r="379" spans="1:12">
      <c r="A379" s="1">
        <v>720602</v>
      </c>
      <c r="B379" s="1" t="s">
        <v>560</v>
      </c>
      <c r="C379" s="1" t="s">
        <v>1409</v>
      </c>
      <c r="D379" s="1" t="s">
        <v>1410</v>
      </c>
      <c r="E379" s="1" t="s">
        <v>26</v>
      </c>
      <c r="F379" s="1" t="s">
        <v>1411</v>
      </c>
      <c r="G379" s="2">
        <v>41191</v>
      </c>
      <c r="H379" s="1" t="b">
        <v>0</v>
      </c>
      <c r="I379" s="6" t="s">
        <v>33</v>
      </c>
      <c r="J379" s="1">
        <f>COUNTIF('Rental Transaction'!B379:B4250,A379)</f>
        <v>8</v>
      </c>
      <c r="K379" s="1">
        <f>SUMIF('Rental Transaction'!B:B,A379,'Rental Transaction'!H:H)</f>
        <v>95</v>
      </c>
      <c r="L379" s="17">
        <f>COUNTIFS('Retal Tran Line Item'!D:D,"BLU-RAY",'Retal Tran Line Item'!H:H,A379)/J379</f>
        <v>0.875</v>
      </c>
    </row>
    <row r="380" spans="1:12">
      <c r="A380" s="1">
        <v>722547</v>
      </c>
      <c r="B380" s="1" t="s">
        <v>198</v>
      </c>
      <c r="C380" s="1" t="s">
        <v>1412</v>
      </c>
      <c r="D380" s="1" t="s">
        <v>1413</v>
      </c>
      <c r="E380" s="1" t="s">
        <v>26</v>
      </c>
      <c r="F380" s="1" t="s">
        <v>1414</v>
      </c>
      <c r="G380" s="2">
        <v>41104</v>
      </c>
      <c r="H380" s="1" t="b">
        <v>1</v>
      </c>
      <c r="I380" s="6" t="s">
        <v>28</v>
      </c>
      <c r="J380" s="1">
        <f>COUNTIF('Rental Transaction'!B380:B4251,A380)</f>
        <v>3</v>
      </c>
      <c r="K380" s="1">
        <f>SUMIF('Rental Transaction'!B:B,A380,'Rental Transaction'!H:H)</f>
        <v>28</v>
      </c>
      <c r="L380" s="17">
        <f>COUNTIFS('Retal Tran Line Item'!D:D,"BLU-RAY",'Retal Tran Line Item'!H:H,A380)/J380</f>
        <v>1.3333333333333333</v>
      </c>
    </row>
    <row r="381" spans="1:12">
      <c r="A381" s="1">
        <v>723057</v>
      </c>
      <c r="B381" s="1" t="s">
        <v>1415</v>
      </c>
      <c r="C381" s="1" t="s">
        <v>1416</v>
      </c>
      <c r="D381" s="1" t="s">
        <v>1417</v>
      </c>
      <c r="E381" s="1" t="s">
        <v>42</v>
      </c>
      <c r="F381" s="1" t="s">
        <v>1418</v>
      </c>
      <c r="G381" s="2">
        <v>41242</v>
      </c>
      <c r="H381" s="1" t="b">
        <v>0</v>
      </c>
      <c r="I381" s="6" t="s">
        <v>28</v>
      </c>
      <c r="J381" s="1">
        <f>COUNTIF('Rental Transaction'!B381:B4252,A381)</f>
        <v>7</v>
      </c>
      <c r="K381" s="1">
        <f>SUMIF('Rental Transaction'!B:B,A381,'Rental Transaction'!H:H)</f>
        <v>102</v>
      </c>
      <c r="L381" s="17">
        <f>COUNTIFS('Retal Tran Line Item'!D:D,"BLU-RAY",'Retal Tran Line Item'!H:H,A381)/J381</f>
        <v>0.8571428571428571</v>
      </c>
    </row>
    <row r="382" spans="1:12">
      <c r="A382" s="1">
        <v>723819</v>
      </c>
      <c r="B382" s="1" t="s">
        <v>1419</v>
      </c>
      <c r="C382" s="1" t="s">
        <v>1420</v>
      </c>
      <c r="D382" s="1" t="s">
        <v>1421</v>
      </c>
      <c r="E382" s="1" t="s">
        <v>26</v>
      </c>
      <c r="F382" s="1" t="s">
        <v>1422</v>
      </c>
      <c r="G382" s="2">
        <v>41251</v>
      </c>
      <c r="H382" s="1" t="b">
        <v>0</v>
      </c>
      <c r="I382" s="6" t="s">
        <v>28</v>
      </c>
      <c r="J382" s="1">
        <f>COUNTIF('Rental Transaction'!B382:B4253,A382)</f>
        <v>6</v>
      </c>
      <c r="K382" s="1">
        <f>SUMIF('Rental Transaction'!B:B,A382,'Rental Transaction'!H:H)</f>
        <v>44</v>
      </c>
      <c r="L382" s="17">
        <f>COUNTIFS('Retal Tran Line Item'!D:D,"BLU-RAY",'Retal Tran Line Item'!H:H,A382)/J382</f>
        <v>0</v>
      </c>
    </row>
    <row r="383" spans="1:12">
      <c r="A383" s="1">
        <v>724700</v>
      </c>
      <c r="B383" s="1" t="s">
        <v>254</v>
      </c>
      <c r="C383" s="1" t="s">
        <v>1423</v>
      </c>
      <c r="D383" s="1" t="s">
        <v>1424</v>
      </c>
      <c r="E383" s="1" t="s">
        <v>349</v>
      </c>
      <c r="F383" s="1" t="s">
        <v>1425</v>
      </c>
      <c r="G383" s="2">
        <v>41238</v>
      </c>
      <c r="H383" s="1" t="b">
        <v>1</v>
      </c>
      <c r="I383" s="6" t="s">
        <v>28</v>
      </c>
      <c r="J383" s="1">
        <f>COUNTIF('Rental Transaction'!B383:B4254,A383)</f>
        <v>3</v>
      </c>
      <c r="K383" s="1">
        <f>SUMIF('Rental Transaction'!B:B,A383,'Rental Transaction'!H:H)</f>
        <v>34</v>
      </c>
      <c r="L383" s="17">
        <f>COUNTIFS('Retal Tran Line Item'!D:D,"BLU-RAY",'Retal Tran Line Item'!H:H,A383)/J383</f>
        <v>1</v>
      </c>
    </row>
    <row r="384" spans="1:12">
      <c r="A384" s="1">
        <v>724813</v>
      </c>
      <c r="B384" s="1" t="s">
        <v>1097</v>
      </c>
      <c r="C384" s="1" t="s">
        <v>1426</v>
      </c>
      <c r="D384" s="1" t="s">
        <v>1427</v>
      </c>
      <c r="E384" s="1" t="s">
        <v>26</v>
      </c>
      <c r="F384" s="1" t="s">
        <v>1428</v>
      </c>
      <c r="G384" s="2">
        <v>41134</v>
      </c>
      <c r="H384" s="1" t="b">
        <v>1</v>
      </c>
      <c r="I384" s="6" t="s">
        <v>28</v>
      </c>
      <c r="J384" s="1">
        <f>COUNTIF('Rental Transaction'!B384:B4255,A384)</f>
        <v>4</v>
      </c>
      <c r="K384" s="1">
        <f>SUMIF('Rental Transaction'!B:B,A384,'Rental Transaction'!H:H)</f>
        <v>61</v>
      </c>
      <c r="L384" s="17">
        <f>COUNTIFS('Retal Tran Line Item'!D:D,"BLU-RAY",'Retal Tran Line Item'!H:H,A384)/J384</f>
        <v>1.5</v>
      </c>
    </row>
    <row r="385" spans="1:12">
      <c r="A385" s="1">
        <v>728908</v>
      </c>
      <c r="B385" s="1" t="s">
        <v>1089</v>
      </c>
      <c r="C385" s="1" t="s">
        <v>1429</v>
      </c>
      <c r="D385" s="1" t="s">
        <v>1430</v>
      </c>
      <c r="E385" s="1" t="s">
        <v>26</v>
      </c>
      <c r="F385" s="1" t="s">
        <v>1431</v>
      </c>
      <c r="G385" s="2">
        <v>41529</v>
      </c>
      <c r="H385" s="1" t="b">
        <v>0</v>
      </c>
      <c r="I385" s="6" t="s">
        <v>33</v>
      </c>
      <c r="J385" s="1">
        <f>COUNTIF('Rental Transaction'!B385:B4256,A385)</f>
        <v>5</v>
      </c>
      <c r="K385" s="1">
        <f>SUMIF('Rental Transaction'!B:B,A385,'Rental Transaction'!H:H)</f>
        <v>19</v>
      </c>
      <c r="L385" s="17">
        <f>COUNTIFS('Retal Tran Line Item'!D:D,"BLU-RAY",'Retal Tran Line Item'!H:H,A385)/J385</f>
        <v>0.6</v>
      </c>
    </row>
    <row r="386" spans="1:12">
      <c r="A386" s="1">
        <v>729740</v>
      </c>
      <c r="B386" s="1" t="s">
        <v>137</v>
      </c>
      <c r="C386" s="1" t="s">
        <v>1432</v>
      </c>
      <c r="D386" s="1" t="s">
        <v>1433</v>
      </c>
      <c r="E386" s="1" t="s">
        <v>26</v>
      </c>
      <c r="F386" s="1" t="s">
        <v>1434</v>
      </c>
      <c r="G386" s="2">
        <v>41514</v>
      </c>
      <c r="H386" s="1" t="b">
        <v>0</v>
      </c>
      <c r="I386" s="6" t="s">
        <v>28</v>
      </c>
      <c r="J386" s="1">
        <f>COUNTIF('Rental Transaction'!B386:B4257,A386)</f>
        <v>1</v>
      </c>
      <c r="K386" s="1">
        <f>SUMIF('Rental Transaction'!B:B,A386,'Rental Transaction'!H:H)</f>
        <v>7</v>
      </c>
      <c r="L386" s="17">
        <f>COUNTIFS('Retal Tran Line Item'!D:D,"BLU-RAY",'Retal Tran Line Item'!H:H,A386)/J386</f>
        <v>0</v>
      </c>
    </row>
    <row r="387" spans="1:12">
      <c r="A387" s="1">
        <v>730305</v>
      </c>
      <c r="B387" s="1" t="s">
        <v>1435</v>
      </c>
      <c r="C387" s="1" t="s">
        <v>1436</v>
      </c>
      <c r="D387" s="1" t="s">
        <v>1437</v>
      </c>
      <c r="E387" s="1" t="s">
        <v>874</v>
      </c>
      <c r="F387" s="1" t="s">
        <v>1438</v>
      </c>
      <c r="G387" s="2">
        <v>41481</v>
      </c>
      <c r="H387" s="1" t="b">
        <v>1</v>
      </c>
      <c r="I387" s="6" t="s">
        <v>33</v>
      </c>
      <c r="J387" s="1">
        <f>COUNTIF('Rental Transaction'!B387:B4258,A387)</f>
        <v>11</v>
      </c>
      <c r="K387" s="1">
        <f>SUMIF('Rental Transaction'!B:B,A387,'Rental Transaction'!H:H)</f>
        <v>100</v>
      </c>
      <c r="L387" s="17">
        <f>COUNTIFS('Retal Tran Line Item'!D:D,"BLU-RAY",'Retal Tran Line Item'!H:H,A387)/J387</f>
        <v>0.63636363636363635</v>
      </c>
    </row>
    <row r="388" spans="1:12">
      <c r="A388" s="1">
        <v>731346</v>
      </c>
      <c r="B388" s="1" t="s">
        <v>323</v>
      </c>
      <c r="C388" s="1" t="s">
        <v>1439</v>
      </c>
      <c r="D388" s="1" t="s">
        <v>1440</v>
      </c>
      <c r="E388" s="1" t="s">
        <v>26</v>
      </c>
      <c r="F388" s="1" t="s">
        <v>1441</v>
      </c>
      <c r="G388" s="2">
        <v>41473</v>
      </c>
      <c r="H388" s="1" t="b">
        <v>0</v>
      </c>
      <c r="I388" s="6" t="s">
        <v>28</v>
      </c>
      <c r="J388" s="1">
        <f>COUNTIF('Rental Transaction'!B388:B4259,A388)</f>
        <v>6</v>
      </c>
      <c r="K388" s="1">
        <f>SUMIF('Rental Transaction'!B:B,A388,'Rental Transaction'!H:H)</f>
        <v>60</v>
      </c>
      <c r="L388" s="17">
        <f>COUNTIFS('Retal Tran Line Item'!D:D,"BLU-RAY",'Retal Tran Line Item'!H:H,A388)/J388</f>
        <v>0.5</v>
      </c>
    </row>
    <row r="389" spans="1:12">
      <c r="A389" s="1">
        <v>734514</v>
      </c>
      <c r="B389" s="1" t="s">
        <v>1442</v>
      </c>
      <c r="C389" s="1" t="s">
        <v>1443</v>
      </c>
      <c r="D389" s="1" t="s">
        <v>1444</v>
      </c>
      <c r="E389" s="1" t="s">
        <v>26</v>
      </c>
      <c r="F389" s="1" t="s">
        <v>1445</v>
      </c>
      <c r="G389" s="2">
        <v>41335</v>
      </c>
      <c r="H389" s="1" t="b">
        <v>0</v>
      </c>
      <c r="I389" s="6" t="s">
        <v>33</v>
      </c>
      <c r="J389" s="1">
        <f>COUNTIF('Rental Transaction'!B389:B4260,A389)</f>
        <v>10</v>
      </c>
      <c r="K389" s="1">
        <f>SUMIF('Rental Transaction'!B:B,A389,'Rental Transaction'!H:H)</f>
        <v>70</v>
      </c>
      <c r="L389" s="17">
        <f>COUNTIFS('Retal Tran Line Item'!D:D,"BLU-RAY",'Retal Tran Line Item'!H:H,A389)/J389</f>
        <v>0.3</v>
      </c>
    </row>
    <row r="390" spans="1:12">
      <c r="A390" s="1">
        <v>734624</v>
      </c>
      <c r="B390" s="1" t="s">
        <v>1446</v>
      </c>
      <c r="C390" s="1" t="s">
        <v>1447</v>
      </c>
      <c r="D390" s="1" t="s">
        <v>1448</v>
      </c>
      <c r="E390" s="1" t="s">
        <v>26</v>
      </c>
      <c r="F390" s="1" t="s">
        <v>1449</v>
      </c>
      <c r="G390" s="2">
        <v>41234</v>
      </c>
      <c r="H390" s="1" t="b">
        <v>0</v>
      </c>
      <c r="I390" s="6" t="s">
        <v>33</v>
      </c>
      <c r="J390" s="1">
        <f>COUNTIF('Rental Transaction'!B390:B4261,A390)</f>
        <v>8</v>
      </c>
      <c r="K390" s="1">
        <f>SUMIF('Rental Transaction'!B:B,A390,'Rental Transaction'!H:H)</f>
        <v>93</v>
      </c>
      <c r="L390" s="17">
        <f>COUNTIFS('Retal Tran Line Item'!D:D,"BLU-RAY",'Retal Tran Line Item'!H:H,A390)/J390</f>
        <v>0.5</v>
      </c>
    </row>
    <row r="391" spans="1:12">
      <c r="A391" s="1">
        <v>736500</v>
      </c>
      <c r="B391" s="1" t="s">
        <v>1069</v>
      </c>
      <c r="C391" s="1" t="s">
        <v>1077</v>
      </c>
      <c r="D391" s="1" t="s">
        <v>1450</v>
      </c>
      <c r="E391" s="1" t="s">
        <v>26</v>
      </c>
      <c r="F391" s="1" t="s">
        <v>1451</v>
      </c>
      <c r="G391" s="2">
        <v>41092</v>
      </c>
      <c r="H391" s="1" t="b">
        <v>1</v>
      </c>
      <c r="I391" s="6" t="s">
        <v>28</v>
      </c>
      <c r="J391" s="1">
        <f>COUNTIF('Rental Transaction'!B391:B4262,A391)</f>
        <v>7</v>
      </c>
      <c r="K391" s="1">
        <f>SUMIF('Rental Transaction'!B:B,A391,'Rental Transaction'!H:H)</f>
        <v>119</v>
      </c>
      <c r="L391" s="17">
        <f>COUNTIFS('Retal Tran Line Item'!D:D,"BLU-RAY",'Retal Tran Line Item'!H:H,A391)/J391</f>
        <v>1.2857142857142858</v>
      </c>
    </row>
    <row r="392" spans="1:12">
      <c r="A392" s="1">
        <v>737707</v>
      </c>
      <c r="B392" s="1" t="s">
        <v>1452</v>
      </c>
      <c r="C392" s="1" t="s">
        <v>824</v>
      </c>
      <c r="D392" s="1" t="s">
        <v>1453</v>
      </c>
      <c r="E392" s="1" t="s">
        <v>26</v>
      </c>
      <c r="F392" s="1" t="s">
        <v>1454</v>
      </c>
      <c r="G392" s="2">
        <v>41176</v>
      </c>
      <c r="H392" s="1" t="b">
        <v>1</v>
      </c>
      <c r="I392" s="6" t="s">
        <v>28</v>
      </c>
      <c r="J392" s="1">
        <f>COUNTIF('Rental Transaction'!B392:B4263,A392)</f>
        <v>4</v>
      </c>
      <c r="K392" s="1">
        <f>SUMIF('Rental Transaction'!B:B,A392,'Rental Transaction'!H:H)</f>
        <v>72</v>
      </c>
      <c r="L392" s="17">
        <f>COUNTIFS('Retal Tran Line Item'!D:D,"BLU-RAY",'Retal Tran Line Item'!H:H,A392)/J392</f>
        <v>0.75</v>
      </c>
    </row>
    <row r="393" spans="1:12">
      <c r="A393" s="1">
        <v>738357</v>
      </c>
      <c r="B393" s="1" t="s">
        <v>981</v>
      </c>
      <c r="C393" s="1" t="s">
        <v>1455</v>
      </c>
      <c r="D393" s="1" t="s">
        <v>1456</v>
      </c>
      <c r="E393" s="1" t="s">
        <v>26</v>
      </c>
      <c r="F393" s="1" t="s">
        <v>1457</v>
      </c>
      <c r="G393" s="2">
        <v>41322</v>
      </c>
      <c r="H393" s="1" t="b">
        <v>0</v>
      </c>
      <c r="I393" s="6" t="s">
        <v>33</v>
      </c>
      <c r="J393" s="1">
        <f>COUNTIF('Rental Transaction'!B393:B4264,A393)</f>
        <v>4</v>
      </c>
      <c r="K393" s="1">
        <f>SUMIF('Rental Transaction'!B:B,A393,'Rental Transaction'!H:H)</f>
        <v>41</v>
      </c>
      <c r="L393" s="17">
        <f>COUNTIFS('Retal Tran Line Item'!D:D,"BLU-RAY",'Retal Tran Line Item'!H:H,A393)/J393</f>
        <v>1</v>
      </c>
    </row>
    <row r="394" spans="1:12">
      <c r="A394" s="1">
        <v>739393</v>
      </c>
      <c r="B394" s="1" t="s">
        <v>1458</v>
      </c>
      <c r="C394" s="1" t="s">
        <v>1459</v>
      </c>
      <c r="D394" s="1" t="s">
        <v>1460</v>
      </c>
      <c r="E394" s="1" t="s">
        <v>26</v>
      </c>
      <c r="F394" s="1" t="s">
        <v>1461</v>
      </c>
      <c r="G394" s="2">
        <v>41519</v>
      </c>
      <c r="H394" s="1" t="b">
        <v>1</v>
      </c>
      <c r="I394" s="6" t="s">
        <v>33</v>
      </c>
      <c r="J394" s="1">
        <f>COUNTIF('Rental Transaction'!B394:B4265,A394)</f>
        <v>6</v>
      </c>
      <c r="K394" s="1">
        <f>SUMIF('Rental Transaction'!B:B,A394,'Rental Transaction'!H:H)</f>
        <v>62</v>
      </c>
      <c r="L394" s="17">
        <f>COUNTIFS('Retal Tran Line Item'!D:D,"BLU-RAY",'Retal Tran Line Item'!H:H,A394)/J394</f>
        <v>1</v>
      </c>
    </row>
    <row r="395" spans="1:12">
      <c r="A395" s="1">
        <v>739440</v>
      </c>
      <c r="B395" s="1" t="s">
        <v>57</v>
      </c>
      <c r="C395" s="1" t="s">
        <v>259</v>
      </c>
      <c r="D395" s="1" t="s">
        <v>1462</v>
      </c>
      <c r="E395" s="1" t="s">
        <v>228</v>
      </c>
      <c r="F395" s="1" t="s">
        <v>1463</v>
      </c>
      <c r="G395" s="2">
        <v>41268</v>
      </c>
      <c r="H395" s="1" t="b">
        <v>1</v>
      </c>
      <c r="I395" s="6" t="s">
        <v>33</v>
      </c>
      <c r="J395" s="1">
        <f>COUNTIF('Rental Transaction'!B395:B4266,A395)</f>
        <v>5</v>
      </c>
      <c r="K395" s="1">
        <f>SUMIF('Rental Transaction'!B:B,A395,'Rental Transaction'!H:H)</f>
        <v>69</v>
      </c>
      <c r="L395" s="17">
        <f>COUNTIFS('Retal Tran Line Item'!D:D,"BLU-RAY",'Retal Tran Line Item'!H:H,A395)/J395</f>
        <v>1</v>
      </c>
    </row>
    <row r="396" spans="1:12">
      <c r="A396" s="1">
        <v>739669</v>
      </c>
      <c r="B396" s="1" t="s">
        <v>1464</v>
      </c>
      <c r="C396" s="1" t="s">
        <v>1465</v>
      </c>
      <c r="D396" s="1" t="s">
        <v>1466</v>
      </c>
      <c r="E396" s="1" t="s">
        <v>26</v>
      </c>
      <c r="F396" s="1" t="s">
        <v>1467</v>
      </c>
      <c r="G396" s="2">
        <v>41178</v>
      </c>
      <c r="H396" s="1" t="b">
        <v>1</v>
      </c>
      <c r="I396" s="6" t="s">
        <v>28</v>
      </c>
      <c r="J396" s="1">
        <f>COUNTIF('Rental Transaction'!B396:B4267,A396)</f>
        <v>12</v>
      </c>
      <c r="K396" s="1">
        <f>SUMIF('Rental Transaction'!B:B,A396,'Rental Transaction'!H:H)</f>
        <v>165</v>
      </c>
      <c r="L396" s="17">
        <f>COUNTIFS('Retal Tran Line Item'!D:D,"BLU-RAY",'Retal Tran Line Item'!H:H,A396)/J396</f>
        <v>0.83333333333333337</v>
      </c>
    </row>
    <row r="397" spans="1:12">
      <c r="A397" s="1">
        <v>741398</v>
      </c>
      <c r="B397" s="1" t="s">
        <v>1468</v>
      </c>
      <c r="C397" s="1" t="s">
        <v>1469</v>
      </c>
      <c r="D397" s="1" t="s">
        <v>1470</v>
      </c>
      <c r="E397" s="1" t="s">
        <v>26</v>
      </c>
      <c r="F397" s="1" t="s">
        <v>1471</v>
      </c>
      <c r="G397" s="2">
        <v>41425</v>
      </c>
      <c r="H397" s="1" t="b">
        <v>1</v>
      </c>
      <c r="I397" s="6" t="s">
        <v>33</v>
      </c>
      <c r="J397" s="1">
        <f>COUNTIF('Rental Transaction'!B397:B4268,A397)</f>
        <v>9</v>
      </c>
      <c r="K397" s="1">
        <f>SUMIF('Rental Transaction'!B:B,A397,'Rental Transaction'!H:H)</f>
        <v>69</v>
      </c>
      <c r="L397" s="17">
        <f>COUNTIFS('Retal Tran Line Item'!D:D,"BLU-RAY",'Retal Tran Line Item'!H:H,A397)/J397</f>
        <v>0.33333333333333331</v>
      </c>
    </row>
    <row r="398" spans="1:12">
      <c r="A398" s="1">
        <v>741514</v>
      </c>
      <c r="B398" s="1" t="s">
        <v>1472</v>
      </c>
      <c r="C398" s="1" t="s">
        <v>1473</v>
      </c>
      <c r="D398" s="1" t="s">
        <v>1474</v>
      </c>
      <c r="E398" s="1" t="s">
        <v>26</v>
      </c>
      <c r="F398" s="1" t="s">
        <v>1475</v>
      </c>
      <c r="G398" s="2">
        <v>41134</v>
      </c>
      <c r="H398" s="1" t="b">
        <v>0</v>
      </c>
      <c r="I398" s="6" t="s">
        <v>33</v>
      </c>
      <c r="J398" s="1">
        <f>COUNTIF('Rental Transaction'!B398:B4269,A398)</f>
        <v>12</v>
      </c>
      <c r="K398" s="1">
        <f>SUMIF('Rental Transaction'!B:B,A398,'Rental Transaction'!H:H)</f>
        <v>83</v>
      </c>
      <c r="L398" s="17">
        <f>COUNTIFS('Retal Tran Line Item'!D:D,"BLU-RAY",'Retal Tran Line Item'!H:H,A398)/J398</f>
        <v>0.41666666666666669</v>
      </c>
    </row>
    <row r="399" spans="1:12">
      <c r="A399" s="1">
        <v>742620</v>
      </c>
      <c r="B399" s="1" t="s">
        <v>1200</v>
      </c>
      <c r="C399" s="1" t="s">
        <v>1476</v>
      </c>
      <c r="D399" s="1" t="s">
        <v>1477</v>
      </c>
      <c r="E399" s="1" t="s">
        <v>26</v>
      </c>
      <c r="F399" s="1" t="s">
        <v>1478</v>
      </c>
      <c r="G399" s="2">
        <v>41406</v>
      </c>
      <c r="H399" s="1" t="b">
        <v>1</v>
      </c>
      <c r="I399" s="6" t="s">
        <v>33</v>
      </c>
      <c r="J399" s="1">
        <f>COUNTIF('Rental Transaction'!B399:B4270,A399)</f>
        <v>6</v>
      </c>
      <c r="K399" s="1">
        <f>SUMIF('Rental Transaction'!B:B,A399,'Rental Transaction'!H:H)</f>
        <v>66</v>
      </c>
      <c r="L399" s="17">
        <f>COUNTIFS('Retal Tran Line Item'!D:D,"BLU-RAY",'Retal Tran Line Item'!H:H,A399)/J399</f>
        <v>0.66666666666666663</v>
      </c>
    </row>
    <row r="400" spans="1:12">
      <c r="A400" s="1">
        <v>743517</v>
      </c>
      <c r="B400" s="1" t="s">
        <v>1479</v>
      </c>
      <c r="C400" s="1" t="s">
        <v>1480</v>
      </c>
      <c r="D400" s="1" t="s">
        <v>1481</v>
      </c>
      <c r="E400" s="1" t="s">
        <v>228</v>
      </c>
      <c r="F400" s="1" t="s">
        <v>1482</v>
      </c>
      <c r="G400" s="2">
        <v>41106</v>
      </c>
      <c r="H400" s="1" t="b">
        <v>1</v>
      </c>
      <c r="I400" s="6" t="s">
        <v>33</v>
      </c>
      <c r="J400" s="1">
        <f>COUNTIF('Rental Transaction'!B400:B4271,A400)</f>
        <v>5</v>
      </c>
      <c r="K400" s="1">
        <f>SUMIF('Rental Transaction'!B:B,A400,'Rental Transaction'!H:H)</f>
        <v>66</v>
      </c>
      <c r="L400" s="17">
        <f>COUNTIFS('Retal Tran Line Item'!D:D,"BLU-RAY",'Retal Tran Line Item'!H:H,A400)/J400</f>
        <v>0.4</v>
      </c>
    </row>
    <row r="401" spans="1:12">
      <c r="A401" s="1">
        <v>744416</v>
      </c>
      <c r="B401" s="1" t="s">
        <v>1483</v>
      </c>
      <c r="C401" s="1" t="s">
        <v>1484</v>
      </c>
      <c r="D401" s="1" t="s">
        <v>1485</v>
      </c>
      <c r="E401" s="1" t="s">
        <v>26</v>
      </c>
      <c r="F401" s="1" t="s">
        <v>1486</v>
      </c>
      <c r="G401" s="2">
        <v>41486</v>
      </c>
      <c r="H401" s="1" t="b">
        <v>0</v>
      </c>
      <c r="I401" s="6" t="s">
        <v>28</v>
      </c>
      <c r="J401" s="1">
        <f>COUNTIF('Rental Transaction'!B401:B4272,A401)</f>
        <v>5</v>
      </c>
      <c r="K401" s="1">
        <f>SUMIF('Rental Transaction'!B:B,A401,'Rental Transaction'!H:H)</f>
        <v>38</v>
      </c>
      <c r="L401" s="17">
        <f>COUNTIFS('Retal Tran Line Item'!D:D,"BLU-RAY",'Retal Tran Line Item'!H:H,A401)/J401</f>
        <v>0.4</v>
      </c>
    </row>
    <row r="402" spans="1:12">
      <c r="A402" s="1">
        <v>744648</v>
      </c>
      <c r="B402" s="1" t="s">
        <v>137</v>
      </c>
      <c r="C402" s="1" t="s">
        <v>1487</v>
      </c>
      <c r="D402" s="1" t="s">
        <v>1488</v>
      </c>
      <c r="E402" s="1" t="s">
        <v>26</v>
      </c>
      <c r="F402" s="1" t="s">
        <v>1489</v>
      </c>
      <c r="G402" s="2">
        <v>41434</v>
      </c>
      <c r="H402" s="1" t="b">
        <v>1</v>
      </c>
      <c r="I402" s="6" t="s">
        <v>28</v>
      </c>
      <c r="J402" s="1">
        <f>COUNTIF('Rental Transaction'!B402:B4273,A402)</f>
        <v>9</v>
      </c>
      <c r="K402" s="1">
        <f>SUMIF('Rental Transaction'!B:B,A402,'Rental Transaction'!H:H)</f>
        <v>117</v>
      </c>
      <c r="L402" s="17">
        <f>COUNTIFS('Retal Tran Line Item'!D:D,"BLU-RAY",'Retal Tran Line Item'!H:H,A402)/J402</f>
        <v>0.66666666666666663</v>
      </c>
    </row>
    <row r="403" spans="1:12">
      <c r="A403" s="1">
        <v>744780</v>
      </c>
      <c r="B403" s="1" t="s">
        <v>1490</v>
      </c>
      <c r="C403" s="1" t="s">
        <v>1491</v>
      </c>
      <c r="D403" s="1" t="s">
        <v>1492</v>
      </c>
      <c r="E403" s="1" t="s">
        <v>26</v>
      </c>
      <c r="F403" s="1" t="s">
        <v>1493</v>
      </c>
      <c r="G403" s="2">
        <v>41528</v>
      </c>
      <c r="H403" s="1" t="b">
        <v>0</v>
      </c>
      <c r="I403" s="6" t="s">
        <v>28</v>
      </c>
      <c r="J403" s="1">
        <f>COUNTIF('Rental Transaction'!B403:B4274,A403)</f>
        <v>6</v>
      </c>
      <c r="K403" s="1">
        <f>SUMIF('Rental Transaction'!B:B,A403,'Rental Transaction'!H:H)</f>
        <v>54</v>
      </c>
      <c r="L403" s="17">
        <f>COUNTIFS('Retal Tran Line Item'!D:D,"BLU-RAY",'Retal Tran Line Item'!H:H,A403)/J403</f>
        <v>0.33333333333333331</v>
      </c>
    </row>
    <row r="404" spans="1:12">
      <c r="A404" s="1">
        <v>745543</v>
      </c>
      <c r="B404" s="1" t="s">
        <v>944</v>
      </c>
      <c r="C404" s="1" t="s">
        <v>1494</v>
      </c>
      <c r="D404" s="1" t="s">
        <v>1495</v>
      </c>
      <c r="E404" s="1" t="s">
        <v>26</v>
      </c>
      <c r="F404" s="1" t="s">
        <v>1496</v>
      </c>
      <c r="G404" s="2">
        <v>41331</v>
      </c>
      <c r="H404" s="1" t="b">
        <v>0</v>
      </c>
      <c r="I404" s="6" t="s">
        <v>33</v>
      </c>
      <c r="J404" s="1">
        <f>COUNTIF('Rental Transaction'!B404:B4275,A404)</f>
        <v>12</v>
      </c>
      <c r="K404" s="1">
        <f>SUMIF('Rental Transaction'!B:B,A404,'Rental Transaction'!H:H)</f>
        <v>88</v>
      </c>
      <c r="L404" s="17">
        <f>COUNTIFS('Retal Tran Line Item'!D:D,"BLU-RAY",'Retal Tran Line Item'!H:H,A404)/J404</f>
        <v>0.5</v>
      </c>
    </row>
    <row r="405" spans="1:12">
      <c r="A405" s="1">
        <v>746134</v>
      </c>
      <c r="B405" s="1" t="s">
        <v>1497</v>
      </c>
      <c r="C405" s="1" t="s">
        <v>1498</v>
      </c>
      <c r="D405" s="1" t="s">
        <v>1499</v>
      </c>
      <c r="E405" s="1" t="s">
        <v>26</v>
      </c>
      <c r="F405" s="1" t="s">
        <v>1500</v>
      </c>
      <c r="G405" s="2">
        <v>41303</v>
      </c>
      <c r="H405" s="1" t="b">
        <v>0</v>
      </c>
      <c r="I405" s="6" t="s">
        <v>28</v>
      </c>
      <c r="J405" s="1">
        <f>COUNTIF('Rental Transaction'!B405:B4276,A405)</f>
        <v>6</v>
      </c>
      <c r="K405" s="1">
        <f>SUMIF('Rental Transaction'!B:B,A405,'Rental Transaction'!H:H)</f>
        <v>73</v>
      </c>
      <c r="L405" s="17">
        <f>COUNTIFS('Retal Tran Line Item'!D:D,"BLU-RAY",'Retal Tran Line Item'!H:H,A405)/J405</f>
        <v>0.5</v>
      </c>
    </row>
    <row r="406" spans="1:12">
      <c r="A406" s="1">
        <v>747066</v>
      </c>
      <c r="B406" s="1" t="s">
        <v>1501</v>
      </c>
      <c r="C406" s="1" t="s">
        <v>1502</v>
      </c>
      <c r="D406" s="1" t="s">
        <v>1503</v>
      </c>
      <c r="E406" s="1" t="s">
        <v>26</v>
      </c>
      <c r="F406" s="1" t="s">
        <v>1504</v>
      </c>
      <c r="G406" s="2">
        <v>41187</v>
      </c>
      <c r="H406" s="1" t="b">
        <v>1</v>
      </c>
      <c r="I406" s="6" t="s">
        <v>28</v>
      </c>
      <c r="J406" s="1">
        <f>COUNTIF('Rental Transaction'!B406:B4277,A406)</f>
        <v>8</v>
      </c>
      <c r="K406" s="1">
        <f>SUMIF('Rental Transaction'!B:B,A406,'Rental Transaction'!H:H)</f>
        <v>64</v>
      </c>
      <c r="L406" s="17">
        <f>COUNTIFS('Retal Tran Line Item'!D:D,"BLU-RAY",'Retal Tran Line Item'!H:H,A406)/J406</f>
        <v>0.625</v>
      </c>
    </row>
    <row r="407" spans="1:12">
      <c r="A407" s="1">
        <v>748326</v>
      </c>
      <c r="B407" s="1" t="s">
        <v>178</v>
      </c>
      <c r="C407" s="1" t="s">
        <v>1505</v>
      </c>
      <c r="D407" s="1" t="s">
        <v>1506</v>
      </c>
      <c r="E407" s="1" t="s">
        <v>26</v>
      </c>
      <c r="F407" s="1" t="s">
        <v>1507</v>
      </c>
      <c r="G407" s="2">
        <v>41263</v>
      </c>
      <c r="H407" s="1" t="b">
        <v>1</v>
      </c>
      <c r="I407" s="6" t="s">
        <v>28</v>
      </c>
      <c r="J407" s="1">
        <f>COUNTIF('Rental Transaction'!B407:B4278,A407)</f>
        <v>6</v>
      </c>
      <c r="K407" s="1">
        <f>SUMIF('Rental Transaction'!B:B,A407,'Rental Transaction'!H:H)</f>
        <v>53</v>
      </c>
      <c r="L407" s="17">
        <f>COUNTIFS('Retal Tran Line Item'!D:D,"BLU-RAY",'Retal Tran Line Item'!H:H,A407)/J407</f>
        <v>0.5</v>
      </c>
    </row>
    <row r="408" spans="1:12">
      <c r="A408" s="1">
        <v>755271</v>
      </c>
      <c r="B408" s="1" t="s">
        <v>1508</v>
      </c>
      <c r="C408" s="1" t="s">
        <v>1509</v>
      </c>
      <c r="D408" s="1" t="s">
        <v>1510</v>
      </c>
      <c r="E408" s="1" t="s">
        <v>26</v>
      </c>
      <c r="F408" s="1" t="s">
        <v>1511</v>
      </c>
      <c r="G408" s="2">
        <v>41159</v>
      </c>
      <c r="H408" s="1" t="b">
        <v>0</v>
      </c>
      <c r="I408" s="6" t="s">
        <v>33</v>
      </c>
      <c r="J408" s="1">
        <f>COUNTIF('Rental Transaction'!B408:B4279,A408)</f>
        <v>7</v>
      </c>
      <c r="K408" s="1">
        <f>SUMIF('Rental Transaction'!B:B,A408,'Rental Transaction'!H:H)</f>
        <v>82</v>
      </c>
      <c r="L408" s="17">
        <f>COUNTIFS('Retal Tran Line Item'!D:D,"BLU-RAY",'Retal Tran Line Item'!H:H,A408)/J408</f>
        <v>0.42857142857142855</v>
      </c>
    </row>
    <row r="409" spans="1:12">
      <c r="A409" s="1">
        <v>756769</v>
      </c>
      <c r="B409" s="1" t="s">
        <v>1512</v>
      </c>
      <c r="C409" s="1" t="s">
        <v>1513</v>
      </c>
      <c r="D409" s="1" t="s">
        <v>1514</v>
      </c>
      <c r="E409" s="1" t="s">
        <v>26</v>
      </c>
      <c r="F409" s="1" t="s">
        <v>1515</v>
      </c>
      <c r="G409" s="2">
        <v>41257</v>
      </c>
      <c r="H409" s="1" t="b">
        <v>1</v>
      </c>
      <c r="I409" s="6" t="s">
        <v>28</v>
      </c>
      <c r="J409" s="1">
        <f>COUNTIF('Rental Transaction'!B409:B4280,A409)</f>
        <v>6</v>
      </c>
      <c r="K409" s="1">
        <f>SUMIF('Rental Transaction'!B:B,A409,'Rental Transaction'!H:H)</f>
        <v>57</v>
      </c>
      <c r="L409" s="17">
        <f>COUNTIFS('Retal Tran Line Item'!D:D,"BLU-RAY",'Retal Tran Line Item'!H:H,A409)/J409</f>
        <v>0.5</v>
      </c>
    </row>
    <row r="410" spans="1:12">
      <c r="A410" s="1">
        <v>756928</v>
      </c>
      <c r="B410" s="1" t="s">
        <v>434</v>
      </c>
      <c r="C410" s="1" t="s">
        <v>1516</v>
      </c>
      <c r="D410" s="1" t="s">
        <v>1517</v>
      </c>
      <c r="E410" s="1" t="s">
        <v>26</v>
      </c>
      <c r="F410" s="1" t="s">
        <v>1518</v>
      </c>
      <c r="G410" s="2">
        <v>41254</v>
      </c>
      <c r="H410" s="1" t="b">
        <v>1</v>
      </c>
      <c r="I410" s="6" t="s">
        <v>28</v>
      </c>
      <c r="J410" s="1">
        <f>COUNTIF('Rental Transaction'!B410:B4281,A410)</f>
        <v>7</v>
      </c>
      <c r="K410" s="1">
        <f>SUMIF('Rental Transaction'!B:B,A410,'Rental Transaction'!H:H)</f>
        <v>48</v>
      </c>
      <c r="L410" s="17">
        <f>COUNTIFS('Retal Tran Line Item'!D:D,"BLU-RAY",'Retal Tran Line Item'!H:H,A410)/J410</f>
        <v>0.5714285714285714</v>
      </c>
    </row>
    <row r="411" spans="1:12">
      <c r="A411" s="1">
        <v>757525</v>
      </c>
      <c r="B411" s="1" t="s">
        <v>441</v>
      </c>
      <c r="C411" s="1" t="s">
        <v>1519</v>
      </c>
      <c r="D411" s="1" t="s">
        <v>1520</v>
      </c>
      <c r="E411" s="1" t="s">
        <v>26</v>
      </c>
      <c r="F411" s="1" t="s">
        <v>1521</v>
      </c>
      <c r="G411" s="2">
        <v>41330</v>
      </c>
      <c r="H411" s="1" t="b">
        <v>1</v>
      </c>
      <c r="I411" s="6" t="s">
        <v>28</v>
      </c>
      <c r="J411" s="1">
        <f>COUNTIF('Rental Transaction'!B411:B4282,A411)</f>
        <v>6</v>
      </c>
      <c r="K411" s="1">
        <f>SUMIF('Rental Transaction'!B:B,A411,'Rental Transaction'!H:H)</f>
        <v>56</v>
      </c>
      <c r="L411" s="17">
        <f>COUNTIFS('Retal Tran Line Item'!D:D,"BLU-RAY",'Retal Tran Line Item'!H:H,A411)/J411</f>
        <v>1</v>
      </c>
    </row>
    <row r="412" spans="1:12">
      <c r="A412" s="1">
        <v>757780</v>
      </c>
      <c r="B412" s="1" t="s">
        <v>1194</v>
      </c>
      <c r="C412" s="1" t="s">
        <v>1522</v>
      </c>
      <c r="D412" s="1" t="s">
        <v>1523</v>
      </c>
      <c r="E412" s="1" t="s">
        <v>26</v>
      </c>
      <c r="F412" s="1" t="s">
        <v>1524</v>
      </c>
      <c r="G412" s="2">
        <v>41218</v>
      </c>
      <c r="H412" s="1" t="b">
        <v>1</v>
      </c>
      <c r="I412" s="6" t="s">
        <v>33</v>
      </c>
      <c r="J412" s="1">
        <f>COUNTIF('Rental Transaction'!B412:B4283,A412)</f>
        <v>6</v>
      </c>
      <c r="K412" s="1">
        <f>SUMIF('Rental Transaction'!B:B,A412,'Rental Transaction'!H:H)</f>
        <v>93</v>
      </c>
      <c r="L412" s="17">
        <f>COUNTIFS('Retal Tran Line Item'!D:D,"BLU-RAY",'Retal Tran Line Item'!H:H,A412)/J412</f>
        <v>1.1666666666666667</v>
      </c>
    </row>
    <row r="413" spans="1:12">
      <c r="A413" s="1">
        <v>759995</v>
      </c>
      <c r="B413" s="1" t="s">
        <v>137</v>
      </c>
      <c r="C413" s="1" t="s">
        <v>1525</v>
      </c>
      <c r="D413" s="1" t="s">
        <v>1526</v>
      </c>
      <c r="E413" s="1" t="s">
        <v>789</v>
      </c>
      <c r="F413" s="1" t="s">
        <v>1527</v>
      </c>
      <c r="G413" s="2">
        <v>41254</v>
      </c>
      <c r="H413" s="1" t="b">
        <v>0</v>
      </c>
      <c r="I413" s="6" t="s">
        <v>28</v>
      </c>
      <c r="J413" s="1">
        <f>COUNTIF('Rental Transaction'!B413:B4284,A413)</f>
        <v>8</v>
      </c>
      <c r="K413" s="1">
        <f>SUMIF('Rental Transaction'!B:B,A413,'Rental Transaction'!H:H)</f>
        <v>56</v>
      </c>
      <c r="L413" s="17">
        <f>COUNTIFS('Retal Tran Line Item'!D:D,"BLU-RAY",'Retal Tran Line Item'!H:H,A413)/J413</f>
        <v>0.375</v>
      </c>
    </row>
    <row r="414" spans="1:12">
      <c r="A414" s="1">
        <v>761615</v>
      </c>
      <c r="B414" s="1" t="s">
        <v>382</v>
      </c>
      <c r="C414" s="1" t="s">
        <v>1528</v>
      </c>
      <c r="D414" s="1" t="s">
        <v>1529</v>
      </c>
      <c r="E414" s="1" t="s">
        <v>26</v>
      </c>
      <c r="F414" s="1" t="s">
        <v>1530</v>
      </c>
      <c r="G414" s="2">
        <v>41377</v>
      </c>
      <c r="H414" s="1" t="b">
        <v>1</v>
      </c>
      <c r="I414" s="6" t="s">
        <v>28</v>
      </c>
      <c r="J414" s="1">
        <f>COUNTIF('Rental Transaction'!B414:B4285,A414)</f>
        <v>10</v>
      </c>
      <c r="K414" s="1">
        <f>SUMIF('Rental Transaction'!B:B,A414,'Rental Transaction'!H:H)</f>
        <v>82</v>
      </c>
      <c r="L414" s="17">
        <f>COUNTIFS('Retal Tran Line Item'!D:D,"BLU-RAY",'Retal Tran Line Item'!H:H,A414)/J414</f>
        <v>0.3</v>
      </c>
    </row>
    <row r="415" spans="1:12">
      <c r="A415" s="1">
        <v>762509</v>
      </c>
      <c r="B415" s="1" t="s">
        <v>1531</v>
      </c>
      <c r="C415" s="1" t="s">
        <v>1532</v>
      </c>
      <c r="D415" s="1" t="s">
        <v>1533</v>
      </c>
      <c r="E415" s="1" t="s">
        <v>228</v>
      </c>
      <c r="F415" s="1" t="s">
        <v>1534</v>
      </c>
      <c r="G415" s="2">
        <v>41507</v>
      </c>
      <c r="H415" s="1" t="b">
        <v>1</v>
      </c>
      <c r="I415" s="6" t="s">
        <v>28</v>
      </c>
      <c r="J415" s="1">
        <f>COUNTIF('Rental Transaction'!B415:B4286,A415)</f>
        <v>7</v>
      </c>
      <c r="K415" s="1">
        <f>SUMIF('Rental Transaction'!B:B,A415,'Rental Transaction'!H:H)</f>
        <v>69</v>
      </c>
      <c r="L415" s="17">
        <f>COUNTIFS('Retal Tran Line Item'!D:D,"BLU-RAY",'Retal Tran Line Item'!H:H,A415)/J415</f>
        <v>0.7142857142857143</v>
      </c>
    </row>
    <row r="416" spans="1:12">
      <c r="A416" s="1">
        <v>765237</v>
      </c>
      <c r="B416" s="1" t="s">
        <v>1287</v>
      </c>
      <c r="C416" s="1" t="s">
        <v>1535</v>
      </c>
      <c r="D416" s="1" t="s">
        <v>1536</v>
      </c>
      <c r="E416" s="1" t="s">
        <v>26</v>
      </c>
      <c r="F416" s="1" t="s">
        <v>1537</v>
      </c>
      <c r="G416" s="2">
        <v>41284</v>
      </c>
      <c r="H416" s="1" t="b">
        <v>0</v>
      </c>
      <c r="I416" s="6" t="s">
        <v>28</v>
      </c>
      <c r="J416" s="1">
        <f>COUNTIF('Rental Transaction'!B416:B4287,A416)</f>
        <v>7</v>
      </c>
      <c r="K416" s="1">
        <f>SUMIF('Rental Transaction'!B:B,A416,'Rental Transaction'!H:H)</f>
        <v>58</v>
      </c>
      <c r="L416" s="17">
        <f>COUNTIFS('Retal Tran Line Item'!D:D,"BLU-RAY",'Retal Tran Line Item'!H:H,A416)/J416</f>
        <v>0.2857142857142857</v>
      </c>
    </row>
    <row r="417" spans="1:12">
      <c r="A417" s="1">
        <v>766161</v>
      </c>
      <c r="B417" s="1" t="s">
        <v>1538</v>
      </c>
      <c r="C417" s="1" t="s">
        <v>1539</v>
      </c>
      <c r="D417" s="1" t="s">
        <v>1540</v>
      </c>
      <c r="E417" s="1" t="s">
        <v>72</v>
      </c>
      <c r="F417" s="1" t="s">
        <v>1541</v>
      </c>
      <c r="G417" s="2">
        <v>41378</v>
      </c>
      <c r="H417" s="1" t="b">
        <v>1</v>
      </c>
      <c r="I417" s="6" t="s">
        <v>33</v>
      </c>
      <c r="J417" s="1">
        <f>COUNTIF('Rental Transaction'!B417:B4288,A417)</f>
        <v>7</v>
      </c>
      <c r="K417" s="1">
        <f>SUMIF('Rental Transaction'!B:B,A417,'Rental Transaction'!H:H)</f>
        <v>92</v>
      </c>
      <c r="L417" s="17">
        <f>COUNTIFS('Retal Tran Line Item'!D:D,"BLU-RAY",'Retal Tran Line Item'!H:H,A417)/J417</f>
        <v>0.8571428571428571</v>
      </c>
    </row>
    <row r="418" spans="1:12">
      <c r="A418" s="1">
        <v>766737</v>
      </c>
      <c r="B418" s="1" t="s">
        <v>1542</v>
      </c>
      <c r="C418" s="1" t="s">
        <v>1543</v>
      </c>
      <c r="D418" s="1" t="s">
        <v>1544</v>
      </c>
      <c r="E418" s="1" t="s">
        <v>228</v>
      </c>
      <c r="F418" s="1" t="s">
        <v>1545</v>
      </c>
      <c r="G418" s="2">
        <v>41401</v>
      </c>
      <c r="H418" s="1" t="b">
        <v>1</v>
      </c>
      <c r="I418" s="6" t="s">
        <v>28</v>
      </c>
      <c r="J418" s="1">
        <f>COUNTIF('Rental Transaction'!B418:B4289,A418)</f>
        <v>8</v>
      </c>
      <c r="K418" s="1">
        <f>SUMIF('Rental Transaction'!B:B,A418,'Rental Transaction'!H:H)</f>
        <v>90</v>
      </c>
      <c r="L418" s="17">
        <f>COUNTIFS('Retal Tran Line Item'!D:D,"BLU-RAY",'Retal Tran Line Item'!H:H,A418)/J418</f>
        <v>0.875</v>
      </c>
    </row>
    <row r="419" spans="1:12">
      <c r="A419" s="1">
        <v>767570</v>
      </c>
      <c r="B419" s="1" t="s">
        <v>1546</v>
      </c>
      <c r="C419" s="1" t="s">
        <v>603</v>
      </c>
      <c r="D419" s="1" t="s">
        <v>1547</v>
      </c>
      <c r="E419" s="1" t="s">
        <v>26</v>
      </c>
      <c r="F419" s="1" t="s">
        <v>1548</v>
      </c>
      <c r="G419" s="2">
        <v>41288</v>
      </c>
      <c r="H419" s="1" t="b">
        <v>1</v>
      </c>
      <c r="I419" s="6" t="s">
        <v>28</v>
      </c>
      <c r="J419" s="1">
        <f>COUNTIF('Rental Transaction'!B419:B4290,A419)</f>
        <v>4</v>
      </c>
      <c r="K419" s="1">
        <f>SUMIF('Rental Transaction'!B:B,A419,'Rental Transaction'!H:H)</f>
        <v>51</v>
      </c>
      <c r="L419" s="17">
        <f>COUNTIFS('Retal Tran Line Item'!D:D,"BLU-RAY",'Retal Tran Line Item'!H:H,A419)/J419</f>
        <v>0.5</v>
      </c>
    </row>
    <row r="420" spans="1:12">
      <c r="A420" s="1">
        <v>771285</v>
      </c>
      <c r="B420" s="1" t="s">
        <v>441</v>
      </c>
      <c r="C420" s="1" t="s">
        <v>694</v>
      </c>
      <c r="D420" s="1" t="s">
        <v>1549</v>
      </c>
      <c r="E420" s="1" t="s">
        <v>26</v>
      </c>
      <c r="F420" s="1" t="s">
        <v>1550</v>
      </c>
      <c r="G420" s="2">
        <v>41125</v>
      </c>
      <c r="H420" s="1" t="b">
        <v>0</v>
      </c>
      <c r="I420" s="6" t="s">
        <v>28</v>
      </c>
      <c r="J420" s="1">
        <f>COUNTIF('Rental Transaction'!B420:B4291,A420)</f>
        <v>10</v>
      </c>
      <c r="K420" s="1">
        <f>SUMIF('Rental Transaction'!B:B,A420,'Rental Transaction'!H:H)</f>
        <v>104</v>
      </c>
      <c r="L420" s="17">
        <f>COUNTIFS('Retal Tran Line Item'!D:D,"BLU-RAY",'Retal Tran Line Item'!H:H,A420)/J420</f>
        <v>0.8</v>
      </c>
    </row>
    <row r="421" spans="1:12">
      <c r="A421" s="1">
        <v>772690</v>
      </c>
      <c r="B421" s="1" t="s">
        <v>141</v>
      </c>
      <c r="C421" s="1" t="s">
        <v>1551</v>
      </c>
      <c r="D421" s="1" t="s">
        <v>1552</v>
      </c>
      <c r="E421" s="1" t="s">
        <v>26</v>
      </c>
      <c r="F421" s="1" t="s">
        <v>1553</v>
      </c>
      <c r="G421" s="2">
        <v>41516</v>
      </c>
      <c r="H421" s="1" t="b">
        <v>1</v>
      </c>
      <c r="I421" s="6" t="s">
        <v>28</v>
      </c>
      <c r="J421" s="1">
        <f>COUNTIF('Rental Transaction'!B421:B4292,A421)</f>
        <v>4</v>
      </c>
      <c r="K421" s="1">
        <f>SUMIF('Rental Transaction'!B:B,A421,'Rental Transaction'!H:H)</f>
        <v>30</v>
      </c>
      <c r="L421" s="17">
        <f>COUNTIFS('Retal Tran Line Item'!D:D,"BLU-RAY",'Retal Tran Line Item'!H:H,A421)/J421</f>
        <v>0.5</v>
      </c>
    </row>
    <row r="422" spans="1:12">
      <c r="A422" s="1">
        <v>775449</v>
      </c>
      <c r="B422" s="1" t="s">
        <v>44</v>
      </c>
      <c r="C422" s="1" t="s">
        <v>1554</v>
      </c>
      <c r="D422" s="1" t="s">
        <v>1555</v>
      </c>
      <c r="E422" s="1" t="s">
        <v>201</v>
      </c>
      <c r="F422" s="1" t="s">
        <v>1556</v>
      </c>
      <c r="G422" s="2">
        <v>41348</v>
      </c>
      <c r="H422" s="1" t="b">
        <v>0</v>
      </c>
      <c r="I422" s="6" t="s">
        <v>28</v>
      </c>
      <c r="J422" s="1">
        <f>COUNTIF('Rental Transaction'!B422:B4293,A422)</f>
        <v>9</v>
      </c>
      <c r="K422" s="1">
        <f>SUMIF('Rental Transaction'!B:B,A422,'Rental Transaction'!H:H)</f>
        <v>83</v>
      </c>
      <c r="L422" s="17">
        <f>COUNTIFS('Retal Tran Line Item'!D:D,"BLU-RAY",'Retal Tran Line Item'!H:H,A422)/J422</f>
        <v>0.44444444444444442</v>
      </c>
    </row>
    <row r="423" spans="1:12">
      <c r="A423" s="1">
        <v>776775</v>
      </c>
      <c r="B423" s="1" t="s">
        <v>545</v>
      </c>
      <c r="C423" s="1" t="s">
        <v>1557</v>
      </c>
      <c r="D423" s="1" t="s">
        <v>1558</v>
      </c>
      <c r="E423" s="1" t="s">
        <v>26</v>
      </c>
      <c r="F423" s="1" t="s">
        <v>1559</v>
      </c>
      <c r="G423" s="2">
        <v>41253</v>
      </c>
      <c r="H423" s="1" t="b">
        <v>0</v>
      </c>
      <c r="I423" s="6" t="s">
        <v>28</v>
      </c>
      <c r="J423" s="1">
        <f>COUNTIF('Rental Transaction'!B423:B4294,A423)</f>
        <v>3</v>
      </c>
      <c r="K423" s="1">
        <f>SUMIF('Rental Transaction'!B:B,A423,'Rental Transaction'!H:H)</f>
        <v>42</v>
      </c>
      <c r="L423" s="17">
        <f>COUNTIFS('Retal Tran Line Item'!D:D,"BLU-RAY",'Retal Tran Line Item'!H:H,A423)/J423</f>
        <v>1.3333333333333333</v>
      </c>
    </row>
    <row r="424" spans="1:12">
      <c r="A424" s="1">
        <v>777145</v>
      </c>
      <c r="B424" s="1" t="s">
        <v>1295</v>
      </c>
      <c r="C424" s="1" t="s">
        <v>1560</v>
      </c>
      <c r="D424" s="1" t="s">
        <v>1561</v>
      </c>
      <c r="E424" s="1" t="s">
        <v>223</v>
      </c>
      <c r="F424" s="1" t="s">
        <v>1562</v>
      </c>
      <c r="G424" s="2">
        <v>41425</v>
      </c>
      <c r="H424" s="1" t="b">
        <v>1</v>
      </c>
      <c r="I424" s="6" t="s">
        <v>33</v>
      </c>
      <c r="J424" s="1">
        <f>COUNTIF('Rental Transaction'!B424:B4295,A424)</f>
        <v>3</v>
      </c>
      <c r="K424" s="1">
        <f>SUMIF('Rental Transaction'!B:B,A424,'Rental Transaction'!H:H)</f>
        <v>44</v>
      </c>
      <c r="L424" s="17">
        <f>COUNTIFS('Retal Tran Line Item'!D:D,"BLU-RAY",'Retal Tran Line Item'!H:H,A424)/J424</f>
        <v>2.3333333333333335</v>
      </c>
    </row>
    <row r="425" spans="1:12">
      <c r="A425" s="1">
        <v>781523</v>
      </c>
      <c r="B425" s="1" t="s">
        <v>1367</v>
      </c>
      <c r="C425" s="1" t="s">
        <v>291</v>
      </c>
      <c r="D425" s="1" t="s">
        <v>1563</v>
      </c>
      <c r="E425" s="1" t="s">
        <v>26</v>
      </c>
      <c r="F425" s="1" t="s">
        <v>1564</v>
      </c>
      <c r="G425" s="2">
        <v>41356</v>
      </c>
      <c r="H425" s="1" t="b">
        <v>1</v>
      </c>
      <c r="I425" s="6" t="s">
        <v>33</v>
      </c>
      <c r="J425" s="1">
        <f>COUNTIF('Rental Transaction'!B425:B4296,A425)</f>
        <v>9</v>
      </c>
      <c r="K425" s="1">
        <f>SUMIF('Rental Transaction'!B:B,A425,'Rental Transaction'!H:H)</f>
        <v>75</v>
      </c>
      <c r="L425" s="17">
        <f>COUNTIFS('Retal Tran Line Item'!D:D,"BLU-RAY",'Retal Tran Line Item'!H:H,A425)/J425</f>
        <v>0.22222222222222221</v>
      </c>
    </row>
    <row r="426" spans="1:12">
      <c r="A426" s="1">
        <v>781968</v>
      </c>
      <c r="B426" s="1" t="s">
        <v>855</v>
      </c>
      <c r="C426" s="1" t="s">
        <v>575</v>
      </c>
      <c r="D426" s="1" t="s">
        <v>1565</v>
      </c>
      <c r="E426" s="1" t="s">
        <v>26</v>
      </c>
      <c r="F426" s="1" t="s">
        <v>1566</v>
      </c>
      <c r="G426" s="2">
        <v>41173</v>
      </c>
      <c r="H426" s="1" t="b">
        <v>1</v>
      </c>
      <c r="I426" s="6" t="s">
        <v>28</v>
      </c>
      <c r="J426" s="1">
        <f>COUNTIF('Rental Transaction'!B426:B4297,A426)</f>
        <v>6</v>
      </c>
      <c r="K426" s="1">
        <f>SUMIF('Rental Transaction'!B:B,A426,'Rental Transaction'!H:H)</f>
        <v>61</v>
      </c>
      <c r="L426" s="17">
        <f>COUNTIFS('Retal Tran Line Item'!D:D,"BLU-RAY",'Retal Tran Line Item'!H:H,A426)/J426</f>
        <v>0.16666666666666666</v>
      </c>
    </row>
    <row r="427" spans="1:12">
      <c r="A427" s="1">
        <v>782947</v>
      </c>
      <c r="B427" s="1" t="s">
        <v>542</v>
      </c>
      <c r="C427" s="1" t="s">
        <v>226</v>
      </c>
      <c r="D427" s="1" t="s">
        <v>1567</v>
      </c>
      <c r="E427" s="1" t="s">
        <v>26</v>
      </c>
      <c r="F427" s="1" t="s">
        <v>1568</v>
      </c>
      <c r="G427" s="2">
        <v>41338</v>
      </c>
      <c r="H427" s="1" t="b">
        <v>1</v>
      </c>
      <c r="I427" s="6" t="s">
        <v>33</v>
      </c>
      <c r="J427" s="1">
        <f>COUNTIF('Rental Transaction'!B427:B4298,A427)</f>
        <v>8</v>
      </c>
      <c r="K427" s="1">
        <f>SUMIF('Rental Transaction'!B:B,A427,'Rental Transaction'!H:H)</f>
        <v>90</v>
      </c>
      <c r="L427" s="17">
        <f>COUNTIFS('Retal Tran Line Item'!D:D,"BLU-RAY",'Retal Tran Line Item'!H:H,A427)/J427</f>
        <v>0.875</v>
      </c>
    </row>
    <row r="428" spans="1:12">
      <c r="A428" s="1">
        <v>783369</v>
      </c>
      <c r="B428" s="1" t="s">
        <v>1569</v>
      </c>
      <c r="C428" s="1" t="s">
        <v>1570</v>
      </c>
      <c r="D428" s="1" t="s">
        <v>1571</v>
      </c>
      <c r="E428" s="1" t="s">
        <v>26</v>
      </c>
      <c r="F428" s="1" t="s">
        <v>1572</v>
      </c>
      <c r="G428" s="2">
        <v>41418</v>
      </c>
      <c r="H428" s="1" t="b">
        <v>0</v>
      </c>
      <c r="I428" s="6" t="s">
        <v>33</v>
      </c>
      <c r="J428" s="1">
        <f>COUNTIF('Rental Transaction'!B428:B4299,A428)</f>
        <v>5</v>
      </c>
      <c r="K428" s="1">
        <f>SUMIF('Rental Transaction'!B:B,A428,'Rental Transaction'!H:H)</f>
        <v>53</v>
      </c>
      <c r="L428" s="17">
        <f>COUNTIFS('Retal Tran Line Item'!D:D,"BLU-RAY",'Retal Tran Line Item'!H:H,A428)/J428</f>
        <v>0.4</v>
      </c>
    </row>
    <row r="429" spans="1:12">
      <c r="A429" s="1">
        <v>784218</v>
      </c>
      <c r="B429" s="1" t="s">
        <v>1573</v>
      </c>
      <c r="C429" s="1" t="s">
        <v>694</v>
      </c>
      <c r="D429" s="1" t="s">
        <v>1574</v>
      </c>
      <c r="E429" s="1" t="s">
        <v>26</v>
      </c>
      <c r="F429" s="1" t="s">
        <v>1575</v>
      </c>
      <c r="G429" s="2">
        <v>41319</v>
      </c>
      <c r="H429" s="1" t="b">
        <v>0</v>
      </c>
      <c r="I429" s="6" t="s">
        <v>28</v>
      </c>
      <c r="J429" s="1">
        <f>COUNTIF('Rental Transaction'!B429:B4300,A429)</f>
        <v>5</v>
      </c>
      <c r="K429" s="1">
        <f>SUMIF('Rental Transaction'!B:B,A429,'Rental Transaction'!H:H)</f>
        <v>57</v>
      </c>
      <c r="L429" s="17">
        <f>COUNTIFS('Retal Tran Line Item'!D:D,"BLU-RAY",'Retal Tran Line Item'!H:H,A429)/J429</f>
        <v>0.6</v>
      </c>
    </row>
    <row r="430" spans="1:12">
      <c r="A430" s="1">
        <v>785444</v>
      </c>
      <c r="B430" s="1" t="s">
        <v>1257</v>
      </c>
      <c r="C430" s="1" t="s">
        <v>1576</v>
      </c>
      <c r="D430" s="1" t="s">
        <v>1577</v>
      </c>
      <c r="E430" s="1" t="s">
        <v>26</v>
      </c>
      <c r="F430" s="1" t="s">
        <v>1578</v>
      </c>
      <c r="G430" s="2">
        <v>41327</v>
      </c>
      <c r="H430" s="1" t="b">
        <v>1</v>
      </c>
      <c r="I430" s="6" t="s">
        <v>33</v>
      </c>
      <c r="J430" s="1">
        <f>COUNTIF('Rental Transaction'!B430:B4301,A430)</f>
        <v>7</v>
      </c>
      <c r="K430" s="1">
        <f>SUMIF('Rental Transaction'!B:B,A430,'Rental Transaction'!H:H)</f>
        <v>70</v>
      </c>
      <c r="L430" s="17">
        <f>COUNTIFS('Retal Tran Line Item'!D:D,"BLU-RAY",'Retal Tran Line Item'!H:H,A430)/J430</f>
        <v>0.2857142857142857</v>
      </c>
    </row>
    <row r="431" spans="1:12">
      <c r="A431" s="1">
        <v>789065</v>
      </c>
      <c r="B431" s="1" t="s">
        <v>1579</v>
      </c>
      <c r="C431" s="1" t="s">
        <v>1580</v>
      </c>
      <c r="D431" s="1" t="s">
        <v>1581</v>
      </c>
      <c r="E431" s="1" t="s">
        <v>42</v>
      </c>
      <c r="F431" s="1" t="s">
        <v>1582</v>
      </c>
      <c r="G431" s="2">
        <v>41299</v>
      </c>
      <c r="H431" s="1" t="b">
        <v>1</v>
      </c>
      <c r="I431" s="6" t="s">
        <v>33</v>
      </c>
      <c r="J431" s="1">
        <f>COUNTIF('Rental Transaction'!B431:B4302,A431)</f>
        <v>5</v>
      </c>
      <c r="K431" s="1">
        <f>SUMIF('Rental Transaction'!B:B,A431,'Rental Transaction'!H:H)</f>
        <v>44</v>
      </c>
      <c r="L431" s="17">
        <f>COUNTIFS('Retal Tran Line Item'!D:D,"BLU-RAY",'Retal Tran Line Item'!H:H,A431)/J431</f>
        <v>0.6</v>
      </c>
    </row>
    <row r="432" spans="1:12">
      <c r="A432" s="1">
        <v>789308</v>
      </c>
      <c r="B432" s="1" t="s">
        <v>110</v>
      </c>
      <c r="C432" s="1" t="s">
        <v>1583</v>
      </c>
      <c r="D432" s="1" t="s">
        <v>1584</v>
      </c>
      <c r="E432" s="1" t="s">
        <v>341</v>
      </c>
      <c r="F432" s="1" t="s">
        <v>1585</v>
      </c>
      <c r="G432" s="2">
        <v>41108</v>
      </c>
      <c r="H432" s="1" t="b">
        <v>1</v>
      </c>
      <c r="I432" s="6" t="s">
        <v>33</v>
      </c>
      <c r="J432" s="1">
        <f>COUNTIF('Rental Transaction'!B432:B4303,A432)</f>
        <v>1</v>
      </c>
      <c r="K432" s="1">
        <f>SUMIF('Rental Transaction'!B:B,A432,'Rental Transaction'!H:H)</f>
        <v>53</v>
      </c>
      <c r="L432" s="17">
        <f>COUNTIFS('Retal Tran Line Item'!D:D,"BLU-RAY",'Retal Tran Line Item'!H:H,A432)/J432</f>
        <v>4</v>
      </c>
    </row>
    <row r="433" spans="1:12">
      <c r="A433" s="1">
        <v>789500</v>
      </c>
      <c r="B433" s="1" t="s">
        <v>1586</v>
      </c>
      <c r="C433" s="1" t="s">
        <v>1587</v>
      </c>
      <c r="D433" s="1" t="s">
        <v>1588</v>
      </c>
      <c r="E433" s="1" t="s">
        <v>26</v>
      </c>
      <c r="F433" s="1" t="s">
        <v>1589</v>
      </c>
      <c r="G433" s="2">
        <v>41117</v>
      </c>
      <c r="H433" s="1" t="b">
        <v>1</v>
      </c>
      <c r="I433" s="6" t="s">
        <v>28</v>
      </c>
      <c r="J433" s="1">
        <f>COUNTIF('Rental Transaction'!B433:B4304,A433)</f>
        <v>4</v>
      </c>
      <c r="K433" s="1">
        <f>SUMIF('Rental Transaction'!B:B,A433,'Rental Transaction'!H:H)</f>
        <v>47</v>
      </c>
      <c r="L433" s="17">
        <f>COUNTIFS('Retal Tran Line Item'!D:D,"BLU-RAY",'Retal Tran Line Item'!H:H,A433)/J433</f>
        <v>0.75</v>
      </c>
    </row>
    <row r="434" spans="1:12">
      <c r="A434" s="1">
        <v>791559</v>
      </c>
      <c r="B434" s="1" t="s">
        <v>1059</v>
      </c>
      <c r="C434" s="1" t="s">
        <v>1576</v>
      </c>
      <c r="D434" s="1" t="s">
        <v>1590</v>
      </c>
      <c r="E434" s="1" t="s">
        <v>26</v>
      </c>
      <c r="F434" s="1" t="s">
        <v>1591</v>
      </c>
      <c r="G434" s="2">
        <v>41279</v>
      </c>
      <c r="H434" s="1" t="b">
        <v>0</v>
      </c>
      <c r="I434" s="6" t="s">
        <v>33</v>
      </c>
      <c r="J434" s="1">
        <f>COUNTIF('Rental Transaction'!B434:B4305,A434)</f>
        <v>5</v>
      </c>
      <c r="K434" s="1">
        <f>SUMIF('Rental Transaction'!B:B,A434,'Rental Transaction'!H:H)</f>
        <v>48</v>
      </c>
      <c r="L434" s="17">
        <f>COUNTIFS('Retal Tran Line Item'!D:D,"BLU-RAY",'Retal Tran Line Item'!H:H,A434)/J434</f>
        <v>1</v>
      </c>
    </row>
    <row r="435" spans="1:12">
      <c r="A435" s="1">
        <v>791850</v>
      </c>
      <c r="B435" s="1" t="s">
        <v>242</v>
      </c>
      <c r="C435" s="1" t="s">
        <v>1592</v>
      </c>
      <c r="D435" s="1" t="s">
        <v>1593</v>
      </c>
      <c r="E435" s="1" t="s">
        <v>26</v>
      </c>
      <c r="F435" s="1" t="s">
        <v>1594</v>
      </c>
      <c r="G435" s="2">
        <v>41192</v>
      </c>
      <c r="H435" s="1" t="b">
        <v>1</v>
      </c>
      <c r="I435" s="6" t="s">
        <v>33</v>
      </c>
      <c r="J435" s="1">
        <f>COUNTIF('Rental Transaction'!B435:B4306,A435)</f>
        <v>3</v>
      </c>
      <c r="K435" s="1">
        <f>SUMIF('Rental Transaction'!B:B,A435,'Rental Transaction'!H:H)</f>
        <v>88</v>
      </c>
      <c r="L435" s="17">
        <f>COUNTIFS('Retal Tran Line Item'!D:D,"BLU-RAY",'Retal Tran Line Item'!H:H,A435)/J435</f>
        <v>2.6666666666666665</v>
      </c>
    </row>
    <row r="436" spans="1:12">
      <c r="A436" s="1">
        <v>793987</v>
      </c>
      <c r="B436" s="1" t="s">
        <v>1595</v>
      </c>
      <c r="C436" s="1" t="s">
        <v>1596</v>
      </c>
      <c r="D436" s="1" t="s">
        <v>1597</v>
      </c>
      <c r="E436" s="1" t="s">
        <v>26</v>
      </c>
      <c r="F436" s="1" t="s">
        <v>1598</v>
      </c>
      <c r="G436" s="2">
        <v>41336</v>
      </c>
      <c r="H436" s="1" t="b">
        <v>1</v>
      </c>
      <c r="I436" s="6" t="s">
        <v>28</v>
      </c>
      <c r="J436" s="1">
        <f>COUNTIF('Rental Transaction'!B436:B4307,A436)</f>
        <v>8</v>
      </c>
      <c r="K436" s="1">
        <f>SUMIF('Rental Transaction'!B:B,A436,'Rental Transaction'!H:H)</f>
        <v>86</v>
      </c>
      <c r="L436" s="17">
        <f>COUNTIFS('Retal Tran Line Item'!D:D,"BLU-RAY",'Retal Tran Line Item'!H:H,A436)/J436</f>
        <v>0.75</v>
      </c>
    </row>
    <row r="437" spans="1:12">
      <c r="A437" s="1">
        <v>795957</v>
      </c>
      <c r="B437" s="1" t="s">
        <v>526</v>
      </c>
      <c r="C437" s="1" t="s">
        <v>1599</v>
      </c>
      <c r="D437" s="1" t="s">
        <v>1600</v>
      </c>
      <c r="E437" s="1" t="s">
        <v>26</v>
      </c>
      <c r="F437" s="1" t="s">
        <v>1601</v>
      </c>
      <c r="G437" s="2">
        <v>41133</v>
      </c>
      <c r="H437" s="1" t="b">
        <v>0</v>
      </c>
      <c r="I437" s="6" t="s">
        <v>33</v>
      </c>
      <c r="J437" s="1">
        <f>COUNTIF('Rental Transaction'!B437:B4308,A437)</f>
        <v>4</v>
      </c>
      <c r="K437" s="1">
        <f>SUMIF('Rental Transaction'!B:B,A437,'Rental Transaction'!H:H)</f>
        <v>71</v>
      </c>
      <c r="L437" s="17">
        <f>COUNTIFS('Retal Tran Line Item'!D:D,"BLU-RAY",'Retal Tran Line Item'!H:H,A437)/J437</f>
        <v>0.75</v>
      </c>
    </row>
    <row r="438" spans="1:12">
      <c r="A438" s="1">
        <v>796796</v>
      </c>
      <c r="B438" s="1" t="s">
        <v>423</v>
      </c>
      <c r="C438" s="1" t="s">
        <v>1602</v>
      </c>
      <c r="D438" s="1" t="s">
        <v>1603</v>
      </c>
      <c r="E438" s="1" t="s">
        <v>201</v>
      </c>
      <c r="F438" s="1" t="s">
        <v>1604</v>
      </c>
      <c r="G438" s="2">
        <v>41315</v>
      </c>
      <c r="H438" s="1" t="b">
        <v>0</v>
      </c>
      <c r="I438" s="6" t="s">
        <v>28</v>
      </c>
      <c r="J438" s="1">
        <f>COUNTIF('Rental Transaction'!B438:B4309,A438)</f>
        <v>8</v>
      </c>
      <c r="K438" s="1">
        <f>SUMIF('Rental Transaction'!B:B,A438,'Rental Transaction'!H:H)</f>
        <v>127</v>
      </c>
      <c r="L438" s="17">
        <f>COUNTIFS('Retal Tran Line Item'!D:D,"BLU-RAY",'Retal Tran Line Item'!H:H,A438)/J438</f>
        <v>1</v>
      </c>
    </row>
    <row r="439" spans="1:12">
      <c r="A439" s="1">
        <v>797968</v>
      </c>
      <c r="B439" s="1" t="s">
        <v>486</v>
      </c>
      <c r="C439" s="1" t="s">
        <v>298</v>
      </c>
      <c r="D439" s="1" t="s">
        <v>1605</v>
      </c>
      <c r="E439" s="1" t="s">
        <v>152</v>
      </c>
      <c r="F439" s="1" t="s">
        <v>1606</v>
      </c>
      <c r="G439" s="2">
        <v>41490</v>
      </c>
      <c r="H439" s="1" t="b">
        <v>1</v>
      </c>
      <c r="I439" s="6" t="s">
        <v>28</v>
      </c>
      <c r="J439" s="1">
        <f>COUNTIF('Rental Transaction'!B439:B4310,A439)</f>
        <v>7</v>
      </c>
      <c r="K439" s="1">
        <f>SUMIF('Rental Transaction'!B:B,A439,'Rental Transaction'!H:H)</f>
        <v>64</v>
      </c>
      <c r="L439" s="17">
        <f>COUNTIFS('Retal Tran Line Item'!D:D,"BLU-RAY",'Retal Tran Line Item'!H:H,A439)/J439</f>
        <v>0.2857142857142857</v>
      </c>
    </row>
    <row r="440" spans="1:12">
      <c r="A440" s="1">
        <v>798336</v>
      </c>
      <c r="B440" s="1" t="s">
        <v>1117</v>
      </c>
      <c r="C440" s="1" t="s">
        <v>1607</v>
      </c>
      <c r="D440" s="1" t="s">
        <v>1608</v>
      </c>
      <c r="E440" s="1" t="s">
        <v>26</v>
      </c>
      <c r="F440" s="1" t="s">
        <v>1609</v>
      </c>
      <c r="G440" s="2">
        <v>41441</v>
      </c>
      <c r="H440" s="1" t="b">
        <v>0</v>
      </c>
      <c r="I440" s="6" t="s">
        <v>33</v>
      </c>
      <c r="J440" s="1">
        <f>COUNTIF('Rental Transaction'!B440:B4311,A440)</f>
        <v>6</v>
      </c>
      <c r="K440" s="1">
        <f>SUMIF('Rental Transaction'!B:B,A440,'Rental Transaction'!H:H)</f>
        <v>44</v>
      </c>
      <c r="L440" s="17">
        <f>COUNTIFS('Retal Tran Line Item'!D:D,"BLU-RAY",'Retal Tran Line Item'!H:H,A440)/J440</f>
        <v>0.5</v>
      </c>
    </row>
    <row r="441" spans="1:12">
      <c r="A441" s="1">
        <v>800121</v>
      </c>
      <c r="B441" s="1" t="s">
        <v>449</v>
      </c>
      <c r="C441" s="1" t="s">
        <v>1094</v>
      </c>
      <c r="D441" s="1" t="s">
        <v>1610</v>
      </c>
      <c r="E441" s="1" t="s">
        <v>26</v>
      </c>
      <c r="F441" s="1" t="s">
        <v>1611</v>
      </c>
      <c r="G441" s="2">
        <v>41298</v>
      </c>
      <c r="H441" s="1" t="b">
        <v>1</v>
      </c>
      <c r="I441" s="6" t="s">
        <v>33</v>
      </c>
      <c r="J441" s="1">
        <f>COUNTIF('Rental Transaction'!B441:B4312,A441)</f>
        <v>4</v>
      </c>
      <c r="K441" s="1">
        <f>SUMIF('Rental Transaction'!B:B,A441,'Rental Transaction'!H:H)</f>
        <v>26</v>
      </c>
      <c r="L441" s="17">
        <f>COUNTIFS('Retal Tran Line Item'!D:D,"BLU-RAY",'Retal Tran Line Item'!H:H,A441)/J441</f>
        <v>0.25</v>
      </c>
    </row>
    <row r="442" spans="1:12">
      <c r="A442" s="1">
        <v>803700</v>
      </c>
      <c r="B442" s="1" t="s">
        <v>1045</v>
      </c>
      <c r="C442" s="1" t="s">
        <v>130</v>
      </c>
      <c r="D442" s="1" t="s">
        <v>1612</v>
      </c>
      <c r="E442" s="1" t="s">
        <v>26</v>
      </c>
      <c r="F442" s="1" t="s">
        <v>1613</v>
      </c>
      <c r="G442" s="2">
        <v>41363</v>
      </c>
      <c r="H442" s="1" t="b">
        <v>0</v>
      </c>
      <c r="I442" s="6" t="s">
        <v>28</v>
      </c>
      <c r="J442" s="1">
        <f>COUNTIF('Rental Transaction'!B442:B4313,A442)</f>
        <v>8</v>
      </c>
      <c r="K442" s="1">
        <f>SUMIF('Rental Transaction'!B:B,A442,'Rental Transaction'!H:H)</f>
        <v>76</v>
      </c>
      <c r="L442" s="17">
        <f>COUNTIFS('Retal Tran Line Item'!D:D,"BLU-RAY",'Retal Tran Line Item'!H:H,A442)/J442</f>
        <v>0.625</v>
      </c>
    </row>
    <row r="443" spans="1:12">
      <c r="A443" s="1">
        <v>806545</v>
      </c>
      <c r="B443" s="1" t="s">
        <v>1614</v>
      </c>
      <c r="C443" s="1" t="s">
        <v>1615</v>
      </c>
      <c r="D443" s="1" t="s">
        <v>1616</v>
      </c>
      <c r="E443" s="1" t="s">
        <v>26</v>
      </c>
      <c r="F443" s="1" t="s">
        <v>1617</v>
      </c>
      <c r="G443" s="2">
        <v>41246</v>
      </c>
      <c r="H443" s="1" t="b">
        <v>1</v>
      </c>
      <c r="I443" s="6" t="s">
        <v>33</v>
      </c>
      <c r="J443" s="1">
        <f>COUNTIF('Rental Transaction'!B443:B4314,A443)</f>
        <v>7</v>
      </c>
      <c r="K443" s="1">
        <f>SUMIF('Rental Transaction'!B:B,A443,'Rental Transaction'!H:H)</f>
        <v>46</v>
      </c>
      <c r="L443" s="17">
        <f>COUNTIFS('Retal Tran Line Item'!D:D,"BLU-RAY",'Retal Tran Line Item'!H:H,A443)/J443</f>
        <v>0</v>
      </c>
    </row>
    <row r="444" spans="1:12">
      <c r="A444" s="1">
        <v>808177</v>
      </c>
      <c r="B444" s="1" t="s">
        <v>1618</v>
      </c>
      <c r="C444" s="1" t="s">
        <v>1619</v>
      </c>
      <c r="D444" s="1" t="s">
        <v>1620</v>
      </c>
      <c r="E444" s="1" t="s">
        <v>26</v>
      </c>
      <c r="F444" s="1" t="s">
        <v>1621</v>
      </c>
      <c r="G444" s="2">
        <v>41370</v>
      </c>
      <c r="H444" s="1" t="b">
        <v>0</v>
      </c>
      <c r="I444" s="6" t="s">
        <v>33</v>
      </c>
      <c r="J444" s="1">
        <f>COUNTIF('Rental Transaction'!B444:B4315,A444)</f>
        <v>7</v>
      </c>
      <c r="K444" s="1">
        <f>SUMIF('Rental Transaction'!B:B,A444,'Rental Transaction'!H:H)</f>
        <v>67</v>
      </c>
      <c r="L444" s="17">
        <f>COUNTIFS('Retal Tran Line Item'!D:D,"BLU-RAY",'Retal Tran Line Item'!H:H,A444)/J444</f>
        <v>0.5714285714285714</v>
      </c>
    </row>
    <row r="445" spans="1:12">
      <c r="A445" s="1">
        <v>808421</v>
      </c>
      <c r="B445" s="1" t="s">
        <v>39</v>
      </c>
      <c r="C445" s="1" t="s">
        <v>1622</v>
      </c>
      <c r="D445" s="1" t="s">
        <v>1623</v>
      </c>
      <c r="E445" s="1" t="s">
        <v>26</v>
      </c>
      <c r="F445" s="1" t="s">
        <v>1624</v>
      </c>
      <c r="G445" s="2">
        <v>41242</v>
      </c>
      <c r="H445" s="1" t="b">
        <v>1</v>
      </c>
      <c r="I445" s="6" t="s">
        <v>28</v>
      </c>
      <c r="J445" s="1">
        <f>COUNTIF('Rental Transaction'!B445:B4316,A445)</f>
        <v>9</v>
      </c>
      <c r="K445" s="1">
        <f>SUMIF('Rental Transaction'!B:B,A445,'Rental Transaction'!H:H)</f>
        <v>74</v>
      </c>
      <c r="L445" s="17">
        <f>COUNTIFS('Retal Tran Line Item'!D:D,"BLU-RAY",'Retal Tran Line Item'!H:H,A445)/J445</f>
        <v>0.44444444444444442</v>
      </c>
    </row>
    <row r="446" spans="1:12">
      <c r="A446" s="1">
        <v>808869</v>
      </c>
      <c r="B446" s="1" t="s">
        <v>302</v>
      </c>
      <c r="C446" s="1" t="s">
        <v>1094</v>
      </c>
      <c r="D446" s="1" t="s">
        <v>1625</v>
      </c>
      <c r="E446" s="1" t="s">
        <v>26</v>
      </c>
      <c r="F446" s="1" t="s">
        <v>1626</v>
      </c>
      <c r="G446" s="2">
        <v>41309</v>
      </c>
      <c r="H446" s="1" t="b">
        <v>1</v>
      </c>
      <c r="I446" s="6" t="s">
        <v>28</v>
      </c>
      <c r="J446" s="1">
        <f>COUNTIF('Rental Transaction'!B446:B4317,A446)</f>
        <v>4</v>
      </c>
      <c r="K446" s="1">
        <f>SUMIF('Rental Transaction'!B:B,A446,'Rental Transaction'!H:H)</f>
        <v>30</v>
      </c>
      <c r="L446" s="17">
        <f>COUNTIFS('Retal Tran Line Item'!D:D,"BLU-RAY",'Retal Tran Line Item'!H:H,A446)/J446</f>
        <v>0.5</v>
      </c>
    </row>
    <row r="447" spans="1:12">
      <c r="A447" s="1">
        <v>810369</v>
      </c>
      <c r="B447" s="1" t="s">
        <v>545</v>
      </c>
      <c r="C447" s="1" t="s">
        <v>1627</v>
      </c>
      <c r="D447" s="1" t="s">
        <v>1628</v>
      </c>
      <c r="E447" s="1" t="s">
        <v>26</v>
      </c>
      <c r="F447" s="1" t="s">
        <v>1629</v>
      </c>
      <c r="G447" s="2">
        <v>41155</v>
      </c>
      <c r="H447" s="1" t="b">
        <v>0</v>
      </c>
      <c r="I447" s="6" t="s">
        <v>28</v>
      </c>
      <c r="J447" s="1">
        <f>COUNTIF('Rental Transaction'!B447:B4318,A447)</f>
        <v>4</v>
      </c>
      <c r="K447" s="1">
        <f>SUMIF('Rental Transaction'!B:B,A447,'Rental Transaction'!H:H)</f>
        <v>64</v>
      </c>
      <c r="L447" s="17">
        <f>COUNTIFS('Retal Tran Line Item'!D:D,"BLU-RAY",'Retal Tran Line Item'!H:H,A447)/J447</f>
        <v>0.5</v>
      </c>
    </row>
    <row r="448" spans="1:12">
      <c r="A448" s="1">
        <v>813719</v>
      </c>
      <c r="B448" s="1" t="s">
        <v>1630</v>
      </c>
      <c r="C448" s="1" t="s">
        <v>1631</v>
      </c>
      <c r="D448" s="1" t="s">
        <v>1632</v>
      </c>
      <c r="E448" s="1" t="s">
        <v>26</v>
      </c>
      <c r="F448" s="1" t="s">
        <v>1633</v>
      </c>
      <c r="G448" s="2">
        <v>41449</v>
      </c>
      <c r="H448" s="1" t="b">
        <v>1</v>
      </c>
      <c r="I448" s="6" t="s">
        <v>28</v>
      </c>
      <c r="J448" s="1">
        <f>COUNTIF('Rental Transaction'!B448:B4319,A448)</f>
        <v>5</v>
      </c>
      <c r="K448" s="1">
        <f>SUMIF('Rental Transaction'!B:B,A448,'Rental Transaction'!H:H)</f>
        <v>46</v>
      </c>
      <c r="L448" s="17">
        <f>COUNTIFS('Retal Tran Line Item'!D:D,"BLU-RAY",'Retal Tran Line Item'!H:H,A448)/J448</f>
        <v>0.4</v>
      </c>
    </row>
    <row r="449" spans="1:12">
      <c r="A449" s="1">
        <v>814317</v>
      </c>
      <c r="B449" s="1" t="s">
        <v>1634</v>
      </c>
      <c r="C449" s="1" t="s">
        <v>1094</v>
      </c>
      <c r="D449" s="1" t="s">
        <v>1635</v>
      </c>
      <c r="E449" s="1" t="s">
        <v>26</v>
      </c>
      <c r="F449" s="1" t="s">
        <v>1636</v>
      </c>
      <c r="G449" s="2">
        <v>41381</v>
      </c>
      <c r="H449" s="1" t="b">
        <v>1</v>
      </c>
      <c r="I449" s="6" t="s">
        <v>33</v>
      </c>
      <c r="J449" s="1">
        <f>COUNTIF('Rental Transaction'!B449:B4320,A449)</f>
        <v>7</v>
      </c>
      <c r="K449" s="1">
        <f>SUMIF('Rental Transaction'!B:B,A449,'Rental Transaction'!H:H)</f>
        <v>71</v>
      </c>
      <c r="L449" s="17">
        <f>COUNTIFS('Retal Tran Line Item'!D:D,"BLU-RAY",'Retal Tran Line Item'!H:H,A449)/J449</f>
        <v>0.2857142857142857</v>
      </c>
    </row>
    <row r="450" spans="1:12">
      <c r="A450" s="1">
        <v>814512</v>
      </c>
      <c r="B450" s="1" t="s">
        <v>1464</v>
      </c>
      <c r="C450" s="1" t="s">
        <v>1465</v>
      </c>
      <c r="D450" s="1" t="s">
        <v>1637</v>
      </c>
      <c r="E450" s="1" t="s">
        <v>26</v>
      </c>
      <c r="F450" s="1" t="s">
        <v>1638</v>
      </c>
      <c r="G450" s="2">
        <v>41157</v>
      </c>
      <c r="H450" s="1" t="b">
        <v>1</v>
      </c>
      <c r="I450" s="6" t="s">
        <v>28</v>
      </c>
      <c r="J450" s="1">
        <f>COUNTIF('Rental Transaction'!B450:B4321,A450)</f>
        <v>4</v>
      </c>
      <c r="K450" s="1">
        <f>SUMIF('Rental Transaction'!B:B,A450,'Rental Transaction'!H:H)</f>
        <v>60</v>
      </c>
      <c r="L450" s="17">
        <f>COUNTIFS('Retal Tran Line Item'!D:D,"BLU-RAY",'Retal Tran Line Item'!H:H,A450)/J450</f>
        <v>1.75</v>
      </c>
    </row>
    <row r="451" spans="1:12">
      <c r="A451" s="1">
        <v>815980</v>
      </c>
      <c r="B451" s="1" t="s">
        <v>1339</v>
      </c>
      <c r="C451" s="1" t="s">
        <v>1639</v>
      </c>
      <c r="D451" s="1" t="s">
        <v>1640</v>
      </c>
      <c r="E451" s="1" t="s">
        <v>26</v>
      </c>
      <c r="F451" s="1" t="s">
        <v>1641</v>
      </c>
      <c r="G451" s="2">
        <v>41233</v>
      </c>
      <c r="H451" s="1" t="b">
        <v>0</v>
      </c>
      <c r="I451" s="6" t="s">
        <v>28</v>
      </c>
      <c r="J451" s="1">
        <f>COUNTIF('Rental Transaction'!B451:B4322,A451)</f>
        <v>8</v>
      </c>
      <c r="K451" s="1">
        <f>SUMIF('Rental Transaction'!B:B,A451,'Rental Transaction'!H:H)</f>
        <v>75</v>
      </c>
      <c r="L451" s="17">
        <f>COUNTIFS('Retal Tran Line Item'!D:D,"BLU-RAY",'Retal Tran Line Item'!H:H,A451)/J451</f>
        <v>0.75</v>
      </c>
    </row>
    <row r="452" spans="1:12">
      <c r="A452" s="1">
        <v>817159</v>
      </c>
      <c r="B452" s="1" t="s">
        <v>1642</v>
      </c>
      <c r="C452" s="1" t="s">
        <v>1643</v>
      </c>
      <c r="D452" s="1" t="s">
        <v>1644</v>
      </c>
      <c r="E452" s="1" t="s">
        <v>51</v>
      </c>
      <c r="F452" s="1" t="s">
        <v>1645</v>
      </c>
      <c r="G452" s="2">
        <v>41128</v>
      </c>
      <c r="H452" s="1" t="b">
        <v>0</v>
      </c>
      <c r="I452" s="6" t="s">
        <v>28</v>
      </c>
      <c r="J452" s="1">
        <f>COUNTIF('Rental Transaction'!B452:B4323,A452)</f>
        <v>6</v>
      </c>
      <c r="K452" s="1">
        <f>SUMIF('Rental Transaction'!B:B,A452,'Rental Transaction'!H:H)</f>
        <v>57</v>
      </c>
      <c r="L452" s="17">
        <f>COUNTIFS('Retal Tran Line Item'!D:D,"BLU-RAY",'Retal Tran Line Item'!H:H,A452)/J452</f>
        <v>0.33333333333333331</v>
      </c>
    </row>
    <row r="453" spans="1:12">
      <c r="A453" s="1">
        <v>817274</v>
      </c>
      <c r="B453" s="1" t="s">
        <v>1646</v>
      </c>
      <c r="C453" s="1" t="s">
        <v>1615</v>
      </c>
      <c r="D453" s="1" t="s">
        <v>1647</v>
      </c>
      <c r="E453" s="1" t="s">
        <v>26</v>
      </c>
      <c r="F453" s="1" t="s">
        <v>1648</v>
      </c>
      <c r="G453" s="2">
        <v>41510</v>
      </c>
      <c r="H453" s="1" t="b">
        <v>1</v>
      </c>
      <c r="I453" s="6" t="s">
        <v>33</v>
      </c>
      <c r="J453" s="1">
        <f>COUNTIF('Rental Transaction'!B453:B4324,A453)</f>
        <v>6</v>
      </c>
      <c r="K453" s="1">
        <f>SUMIF('Rental Transaction'!B:B,A453,'Rental Transaction'!H:H)</f>
        <v>50</v>
      </c>
      <c r="L453" s="17">
        <f>COUNTIFS('Retal Tran Line Item'!D:D,"BLU-RAY",'Retal Tran Line Item'!H:H,A453)/J453</f>
        <v>0.33333333333333331</v>
      </c>
    </row>
    <row r="454" spans="1:12">
      <c r="A454" s="1">
        <v>817500</v>
      </c>
      <c r="B454" s="1" t="s">
        <v>1649</v>
      </c>
      <c r="C454" s="1" t="s">
        <v>1473</v>
      </c>
      <c r="D454" s="1" t="s">
        <v>1650</v>
      </c>
      <c r="E454" s="1" t="s">
        <v>26</v>
      </c>
      <c r="F454" s="1" t="s">
        <v>1651</v>
      </c>
      <c r="G454" s="2">
        <v>41292</v>
      </c>
      <c r="H454" s="1" t="b">
        <v>0</v>
      </c>
      <c r="I454" s="6" t="s">
        <v>33</v>
      </c>
      <c r="J454" s="1">
        <f>COUNTIF('Rental Transaction'!B454:B4325,A454)</f>
        <v>4</v>
      </c>
      <c r="K454" s="1">
        <f>SUMIF('Rental Transaction'!B:B,A454,'Rental Transaction'!H:H)</f>
        <v>52</v>
      </c>
      <c r="L454" s="17">
        <f>COUNTIFS('Retal Tran Line Item'!D:D,"BLU-RAY",'Retal Tran Line Item'!H:H,A454)/J454</f>
        <v>0.5</v>
      </c>
    </row>
    <row r="455" spans="1:12">
      <c r="A455" s="1">
        <v>818287</v>
      </c>
      <c r="B455" s="1" t="s">
        <v>1129</v>
      </c>
      <c r="C455" s="1" t="s">
        <v>1336</v>
      </c>
      <c r="D455" s="1" t="s">
        <v>1652</v>
      </c>
      <c r="E455" s="1" t="s">
        <v>152</v>
      </c>
      <c r="F455" s="1" t="s">
        <v>1653</v>
      </c>
      <c r="G455" s="2">
        <v>41421</v>
      </c>
      <c r="H455" s="1" t="b">
        <v>1</v>
      </c>
      <c r="I455" s="6" t="s">
        <v>33</v>
      </c>
      <c r="J455" s="1">
        <f>COUNTIF('Rental Transaction'!B455:B4326,A455)</f>
        <v>7</v>
      </c>
      <c r="K455" s="1">
        <f>SUMIF('Rental Transaction'!B:B,A455,'Rental Transaction'!H:H)</f>
        <v>77</v>
      </c>
      <c r="L455" s="17">
        <f>COUNTIFS('Retal Tran Line Item'!D:D,"BLU-RAY",'Retal Tran Line Item'!H:H,A455)/J455</f>
        <v>0.5714285714285714</v>
      </c>
    </row>
    <row r="456" spans="1:12">
      <c r="A456" s="1">
        <v>822823</v>
      </c>
      <c r="B456" s="1" t="s">
        <v>1654</v>
      </c>
      <c r="C456" s="1" t="s">
        <v>1655</v>
      </c>
      <c r="D456" s="1" t="s">
        <v>1656</v>
      </c>
      <c r="E456" s="1" t="s">
        <v>26</v>
      </c>
      <c r="F456" s="1" t="s">
        <v>1657</v>
      </c>
      <c r="G456" s="2">
        <v>41420</v>
      </c>
      <c r="H456" s="1" t="b">
        <v>1</v>
      </c>
      <c r="I456" s="6" t="s">
        <v>33</v>
      </c>
      <c r="J456" s="1">
        <f>COUNTIF('Rental Transaction'!B456:B4327,A456)</f>
        <v>8</v>
      </c>
      <c r="K456" s="1">
        <f>SUMIF('Rental Transaction'!B:B,A456,'Rental Transaction'!H:H)</f>
        <v>102</v>
      </c>
      <c r="L456" s="17">
        <f>COUNTIFS('Retal Tran Line Item'!D:D,"BLU-RAY",'Retal Tran Line Item'!H:H,A456)/J456</f>
        <v>0.5</v>
      </c>
    </row>
    <row r="457" spans="1:12">
      <c r="A457" s="1">
        <v>825249</v>
      </c>
      <c r="B457" s="1" t="s">
        <v>1658</v>
      </c>
      <c r="C457" s="1" t="s">
        <v>1659</v>
      </c>
      <c r="D457" s="1" t="s">
        <v>1660</v>
      </c>
      <c r="E457" s="1" t="s">
        <v>26</v>
      </c>
      <c r="F457" s="1" t="s">
        <v>1661</v>
      </c>
      <c r="G457" s="2">
        <v>41364</v>
      </c>
      <c r="H457" s="1" t="b">
        <v>0</v>
      </c>
      <c r="I457" s="6" t="s">
        <v>28</v>
      </c>
      <c r="J457" s="1">
        <f>COUNTIF('Rental Transaction'!B457:B4328,A457)</f>
        <v>5</v>
      </c>
      <c r="K457" s="1">
        <f>SUMIF('Rental Transaction'!B:B,A457,'Rental Transaction'!H:H)</f>
        <v>52</v>
      </c>
      <c r="L457" s="17">
        <f>COUNTIFS('Retal Tran Line Item'!D:D,"BLU-RAY",'Retal Tran Line Item'!H:H,A457)/J457</f>
        <v>0.6</v>
      </c>
    </row>
    <row r="458" spans="1:12">
      <c r="A458" s="1">
        <v>826590</v>
      </c>
      <c r="B458" s="1" t="s">
        <v>1662</v>
      </c>
      <c r="C458" s="1" t="s">
        <v>1663</v>
      </c>
      <c r="D458" s="1" t="s">
        <v>1664</v>
      </c>
      <c r="E458" s="1" t="s">
        <v>26</v>
      </c>
      <c r="F458" s="1" t="s">
        <v>1665</v>
      </c>
      <c r="G458" s="2">
        <v>41507</v>
      </c>
      <c r="H458" s="1" t="b">
        <v>1</v>
      </c>
      <c r="I458" s="6" t="s">
        <v>33</v>
      </c>
      <c r="J458" s="1">
        <f>COUNTIF('Rental Transaction'!B458:B4329,A458)</f>
        <v>10</v>
      </c>
      <c r="K458" s="1">
        <f>SUMIF('Rental Transaction'!B:B,A458,'Rental Transaction'!H:H)</f>
        <v>78</v>
      </c>
      <c r="L458" s="17">
        <f>COUNTIFS('Retal Tran Line Item'!D:D,"BLU-RAY",'Retal Tran Line Item'!H:H,A458)/J458</f>
        <v>0.8</v>
      </c>
    </row>
    <row r="459" spans="1:12">
      <c r="A459" s="1">
        <v>832914</v>
      </c>
      <c r="B459" s="1" t="s">
        <v>1045</v>
      </c>
      <c r="C459" s="1" t="s">
        <v>1666</v>
      </c>
      <c r="D459" s="1" t="s">
        <v>1667</v>
      </c>
      <c r="E459" s="1" t="s">
        <v>26</v>
      </c>
      <c r="F459" s="1" t="s">
        <v>1668</v>
      </c>
      <c r="G459" s="2">
        <v>41156</v>
      </c>
      <c r="H459" s="1" t="b">
        <v>1</v>
      </c>
      <c r="I459" s="6" t="s">
        <v>28</v>
      </c>
      <c r="J459" s="1">
        <f>COUNTIF('Rental Transaction'!B459:B4330,A459)</f>
        <v>4</v>
      </c>
      <c r="K459" s="1">
        <f>SUMIF('Rental Transaction'!B:B,A459,'Rental Transaction'!H:H)</f>
        <v>35</v>
      </c>
      <c r="L459" s="17">
        <f>COUNTIFS('Retal Tran Line Item'!D:D,"BLU-RAY",'Retal Tran Line Item'!H:H,A459)/J459</f>
        <v>0.25</v>
      </c>
    </row>
    <row r="460" spans="1:12">
      <c r="A460" s="1">
        <v>833180</v>
      </c>
      <c r="B460" s="1" t="s">
        <v>1219</v>
      </c>
      <c r="C460" s="1" t="s">
        <v>1669</v>
      </c>
      <c r="D460" s="1" t="s">
        <v>1670</v>
      </c>
      <c r="E460" s="1" t="s">
        <v>26</v>
      </c>
      <c r="F460" s="1" t="s">
        <v>1671</v>
      </c>
      <c r="G460" s="2">
        <v>41378</v>
      </c>
      <c r="H460" s="1" t="b">
        <v>0</v>
      </c>
      <c r="I460" s="6" t="s">
        <v>33</v>
      </c>
      <c r="J460" s="1">
        <f>COUNTIF('Rental Transaction'!B460:B4331,A460)</f>
        <v>6</v>
      </c>
      <c r="K460" s="1">
        <f>SUMIF('Rental Transaction'!B:B,A460,'Rental Transaction'!H:H)</f>
        <v>50</v>
      </c>
      <c r="L460" s="17">
        <f>COUNTIFS('Retal Tran Line Item'!D:D,"BLU-RAY",'Retal Tran Line Item'!H:H,A460)/J460</f>
        <v>0.66666666666666663</v>
      </c>
    </row>
    <row r="461" spans="1:12">
      <c r="A461" s="1">
        <v>837763</v>
      </c>
      <c r="B461" s="1" t="s">
        <v>1672</v>
      </c>
      <c r="C461" s="1" t="s">
        <v>1673</v>
      </c>
      <c r="D461" s="1" t="s">
        <v>1674</v>
      </c>
      <c r="E461" s="1" t="s">
        <v>26</v>
      </c>
      <c r="F461" s="1" t="s">
        <v>1675</v>
      </c>
      <c r="G461" s="2">
        <v>41141</v>
      </c>
      <c r="H461" s="1" t="b">
        <v>1</v>
      </c>
      <c r="I461" s="6" t="s">
        <v>28</v>
      </c>
      <c r="J461" s="1">
        <f>COUNTIF('Rental Transaction'!B461:B4332,A461)</f>
        <v>3</v>
      </c>
      <c r="K461" s="1">
        <f>SUMIF('Rental Transaction'!B:B,A461,'Rental Transaction'!H:H)</f>
        <v>38</v>
      </c>
      <c r="L461" s="17">
        <f>COUNTIFS('Retal Tran Line Item'!D:D,"BLU-RAY",'Retal Tran Line Item'!H:H,A461)/J461</f>
        <v>1</v>
      </c>
    </row>
    <row r="462" spans="1:12">
      <c r="A462" s="1">
        <v>838924</v>
      </c>
      <c r="B462" s="1" t="s">
        <v>1676</v>
      </c>
      <c r="C462" s="1" t="s">
        <v>1351</v>
      </c>
      <c r="D462" s="1" t="s">
        <v>1677</v>
      </c>
      <c r="E462" s="1" t="s">
        <v>26</v>
      </c>
      <c r="F462" s="1" t="s">
        <v>1678</v>
      </c>
      <c r="G462" s="2">
        <v>41499</v>
      </c>
      <c r="H462" s="1" t="b">
        <v>1</v>
      </c>
      <c r="I462" s="6" t="s">
        <v>28</v>
      </c>
      <c r="J462" s="1">
        <f>COUNTIF('Rental Transaction'!B462:B4333,A462)</f>
        <v>4</v>
      </c>
      <c r="K462" s="1">
        <f>SUMIF('Rental Transaction'!B:B,A462,'Rental Transaction'!H:H)</f>
        <v>46</v>
      </c>
      <c r="L462" s="17">
        <f>COUNTIFS('Retal Tran Line Item'!D:D,"BLU-RAY",'Retal Tran Line Item'!H:H,A462)/J462</f>
        <v>0.75</v>
      </c>
    </row>
    <row r="463" spans="1:12">
      <c r="A463" s="1">
        <v>840096</v>
      </c>
      <c r="B463" s="1" t="s">
        <v>1679</v>
      </c>
      <c r="C463" s="1" t="s">
        <v>1680</v>
      </c>
      <c r="D463" s="1" t="s">
        <v>1681</v>
      </c>
      <c r="E463" s="1" t="s">
        <v>26</v>
      </c>
      <c r="F463" s="1" t="s">
        <v>1682</v>
      </c>
      <c r="G463" s="2">
        <v>41331</v>
      </c>
      <c r="H463" s="1" t="b">
        <v>0</v>
      </c>
      <c r="I463" s="6" t="s">
        <v>28</v>
      </c>
      <c r="J463" s="1">
        <f>COUNTIF('Rental Transaction'!B463:B4334,A463)</f>
        <v>8</v>
      </c>
      <c r="K463" s="1">
        <f>SUMIF('Rental Transaction'!B:B,A463,'Rental Transaction'!H:H)</f>
        <v>63</v>
      </c>
      <c r="L463" s="17">
        <f>COUNTIFS('Retal Tran Line Item'!D:D,"BLU-RAY",'Retal Tran Line Item'!H:H,A463)/J463</f>
        <v>0.5</v>
      </c>
    </row>
    <row r="464" spans="1:12">
      <c r="A464" s="1">
        <v>840970</v>
      </c>
      <c r="B464" s="1" t="s">
        <v>1683</v>
      </c>
      <c r="C464" s="1" t="s">
        <v>1684</v>
      </c>
      <c r="D464" s="1" t="s">
        <v>1685</v>
      </c>
      <c r="E464" s="1" t="s">
        <v>26</v>
      </c>
      <c r="F464" s="1" t="s">
        <v>1686</v>
      </c>
      <c r="G464" s="2">
        <v>41322</v>
      </c>
      <c r="H464" s="1" t="b">
        <v>1</v>
      </c>
      <c r="I464" s="6" t="s">
        <v>28</v>
      </c>
      <c r="J464" s="1">
        <f>COUNTIF('Rental Transaction'!B464:B4335,A464)</f>
        <v>2</v>
      </c>
      <c r="K464" s="1">
        <f>SUMIF('Rental Transaction'!B:B,A464,'Rental Transaction'!H:H)</f>
        <v>27</v>
      </c>
      <c r="L464" s="17">
        <f>COUNTIFS('Retal Tran Line Item'!D:D,"BLU-RAY",'Retal Tran Line Item'!H:H,A464)/J464</f>
        <v>1</v>
      </c>
    </row>
    <row r="465" spans="1:12">
      <c r="A465" s="1">
        <v>841141</v>
      </c>
      <c r="B465" s="1" t="s">
        <v>1687</v>
      </c>
      <c r="C465" s="1" t="s">
        <v>1688</v>
      </c>
      <c r="D465" s="1" t="s">
        <v>1689</v>
      </c>
      <c r="E465" s="1" t="s">
        <v>26</v>
      </c>
      <c r="F465" s="1" t="s">
        <v>1690</v>
      </c>
      <c r="G465" s="2">
        <v>41152</v>
      </c>
      <c r="H465" s="1" t="b">
        <v>0</v>
      </c>
      <c r="I465" s="6" t="s">
        <v>28</v>
      </c>
      <c r="J465" s="1">
        <f>COUNTIF('Rental Transaction'!B465:B4336,A465)</f>
        <v>3</v>
      </c>
      <c r="K465" s="1">
        <f>SUMIF('Rental Transaction'!B:B,A465,'Rental Transaction'!H:H)</f>
        <v>37</v>
      </c>
      <c r="L465" s="17">
        <f>COUNTIFS('Retal Tran Line Item'!D:D,"BLU-RAY",'Retal Tran Line Item'!H:H,A465)/J465</f>
        <v>1</v>
      </c>
    </row>
    <row r="466" spans="1:12">
      <c r="A466" s="1">
        <v>841831</v>
      </c>
      <c r="B466" s="1" t="s">
        <v>1053</v>
      </c>
      <c r="C466" s="1" t="s">
        <v>1691</v>
      </c>
      <c r="D466" s="1" t="s">
        <v>1692</v>
      </c>
      <c r="E466" s="1" t="s">
        <v>26</v>
      </c>
      <c r="F466" s="1" t="s">
        <v>1693</v>
      </c>
      <c r="G466" s="2">
        <v>41294</v>
      </c>
      <c r="H466" s="1" t="b">
        <v>0</v>
      </c>
      <c r="I466" s="6" t="s">
        <v>28</v>
      </c>
      <c r="J466" s="1">
        <f>COUNTIF('Rental Transaction'!B466:B4337,A466)</f>
        <v>4</v>
      </c>
      <c r="K466" s="1">
        <f>SUMIF('Rental Transaction'!B:B,A466,'Rental Transaction'!H:H)</f>
        <v>87</v>
      </c>
      <c r="L466" s="17">
        <f>COUNTIFS('Retal Tran Line Item'!D:D,"BLU-RAY",'Retal Tran Line Item'!H:H,A466)/J466</f>
        <v>1.25</v>
      </c>
    </row>
    <row r="467" spans="1:12">
      <c r="A467" s="1">
        <v>842028</v>
      </c>
      <c r="B467" s="1" t="s">
        <v>1694</v>
      </c>
      <c r="C467" s="1" t="s">
        <v>1436</v>
      </c>
      <c r="D467" s="1" t="s">
        <v>1695</v>
      </c>
      <c r="E467" s="1" t="s">
        <v>26</v>
      </c>
      <c r="F467" s="1" t="s">
        <v>1696</v>
      </c>
      <c r="G467" s="2">
        <v>41412</v>
      </c>
      <c r="H467" s="1" t="b">
        <v>0</v>
      </c>
      <c r="I467" s="6" t="s">
        <v>33</v>
      </c>
      <c r="J467" s="1">
        <f>COUNTIF('Rental Transaction'!B467:B4338,A467)</f>
        <v>7</v>
      </c>
      <c r="K467" s="1">
        <f>SUMIF('Rental Transaction'!B:B,A467,'Rental Transaction'!H:H)</f>
        <v>71</v>
      </c>
      <c r="L467" s="17">
        <f>COUNTIFS('Retal Tran Line Item'!D:D,"BLU-RAY",'Retal Tran Line Item'!H:H,A467)/J467</f>
        <v>1.1428571428571428</v>
      </c>
    </row>
    <row r="468" spans="1:12">
      <c r="A468" s="1">
        <v>846558</v>
      </c>
      <c r="B468" s="1" t="s">
        <v>141</v>
      </c>
      <c r="C468" s="1" t="s">
        <v>1697</v>
      </c>
      <c r="D468" s="1" t="s">
        <v>1698</v>
      </c>
      <c r="E468" s="1" t="s">
        <v>26</v>
      </c>
      <c r="F468" s="1" t="s">
        <v>1699</v>
      </c>
      <c r="G468" s="2">
        <v>41329</v>
      </c>
      <c r="H468" s="1" t="b">
        <v>1</v>
      </c>
      <c r="I468" s="6" t="s">
        <v>28</v>
      </c>
      <c r="J468" s="1">
        <f>COUNTIF('Rental Transaction'!B468:B4339,A468)</f>
        <v>6</v>
      </c>
      <c r="K468" s="1">
        <f>SUMIF('Rental Transaction'!B:B,A468,'Rental Transaction'!H:H)</f>
        <v>77</v>
      </c>
      <c r="L468" s="17">
        <f>COUNTIFS('Retal Tran Line Item'!D:D,"BLU-RAY",'Retal Tran Line Item'!H:H,A468)/J468</f>
        <v>1.1666666666666667</v>
      </c>
    </row>
    <row r="469" spans="1:12">
      <c r="A469" s="1">
        <v>846722</v>
      </c>
      <c r="B469" s="1" t="s">
        <v>1133</v>
      </c>
      <c r="C469" s="1" t="s">
        <v>1700</v>
      </c>
      <c r="D469" s="1" t="s">
        <v>1701</v>
      </c>
      <c r="E469" s="1" t="s">
        <v>26</v>
      </c>
      <c r="F469" s="1" t="s">
        <v>1702</v>
      </c>
      <c r="G469" s="2">
        <v>41535</v>
      </c>
      <c r="H469" s="1" t="b">
        <v>0</v>
      </c>
      <c r="I469" s="6" t="s">
        <v>33</v>
      </c>
      <c r="J469" s="1">
        <f>COUNTIF('Rental Transaction'!B469:B4340,A469)</f>
        <v>5</v>
      </c>
      <c r="K469" s="1">
        <f>SUMIF('Rental Transaction'!B:B,A469,'Rental Transaction'!H:H)</f>
        <v>42</v>
      </c>
      <c r="L469" s="17">
        <f>COUNTIFS('Retal Tran Line Item'!D:D,"BLU-RAY",'Retal Tran Line Item'!H:H,A469)/J469</f>
        <v>0.4</v>
      </c>
    </row>
    <row r="470" spans="1:12">
      <c r="A470" s="1">
        <v>847289</v>
      </c>
      <c r="B470" s="1" t="s">
        <v>985</v>
      </c>
      <c r="C470" s="1" t="s">
        <v>1703</v>
      </c>
      <c r="D470" s="1" t="s">
        <v>1704</v>
      </c>
      <c r="E470" s="1" t="s">
        <v>26</v>
      </c>
      <c r="F470" s="1" t="s">
        <v>1705</v>
      </c>
      <c r="G470" s="2">
        <v>41311</v>
      </c>
      <c r="H470" s="1" t="b">
        <v>1</v>
      </c>
      <c r="I470" s="6" t="s">
        <v>33</v>
      </c>
      <c r="J470" s="1">
        <f>COUNTIF('Rental Transaction'!B470:B4341,A470)</f>
        <v>8</v>
      </c>
      <c r="K470" s="1">
        <f>SUMIF('Rental Transaction'!B:B,A470,'Rental Transaction'!H:H)</f>
        <v>85</v>
      </c>
      <c r="L470" s="17">
        <f>COUNTIFS('Retal Tran Line Item'!D:D,"BLU-RAY",'Retal Tran Line Item'!H:H,A470)/J470</f>
        <v>0.625</v>
      </c>
    </row>
    <row r="471" spans="1:12">
      <c r="A471" s="1">
        <v>850933</v>
      </c>
      <c r="B471" s="1" t="s">
        <v>491</v>
      </c>
      <c r="C471" s="1" t="s">
        <v>1706</v>
      </c>
      <c r="D471" s="1" t="s">
        <v>1707</v>
      </c>
      <c r="E471" s="1" t="s">
        <v>26</v>
      </c>
      <c r="F471" s="1" t="s">
        <v>1708</v>
      </c>
      <c r="G471" s="2">
        <v>41362</v>
      </c>
      <c r="H471" s="1" t="b">
        <v>1</v>
      </c>
      <c r="I471" s="6" t="s">
        <v>28</v>
      </c>
      <c r="J471" s="1">
        <f>COUNTIF('Rental Transaction'!B471:B4342,A471)</f>
        <v>6</v>
      </c>
      <c r="K471" s="1">
        <f>SUMIF('Rental Transaction'!B:B,A471,'Rental Transaction'!H:H)</f>
        <v>57</v>
      </c>
      <c r="L471" s="17">
        <f>COUNTIFS('Retal Tran Line Item'!D:D,"BLU-RAY",'Retal Tran Line Item'!H:H,A471)/J471</f>
        <v>0.16666666666666666</v>
      </c>
    </row>
    <row r="472" spans="1:12">
      <c r="A472" s="1">
        <v>850952</v>
      </c>
      <c r="B472" s="1" t="s">
        <v>734</v>
      </c>
      <c r="C472" s="1" t="s">
        <v>1709</v>
      </c>
      <c r="D472" s="1" t="s">
        <v>1710</v>
      </c>
      <c r="E472" s="1" t="s">
        <v>26</v>
      </c>
      <c r="F472" s="1" t="s">
        <v>1711</v>
      </c>
      <c r="G472" s="2">
        <v>41321</v>
      </c>
      <c r="H472" s="1" t="b">
        <v>0</v>
      </c>
      <c r="I472" s="6" t="s">
        <v>28</v>
      </c>
      <c r="J472" s="1">
        <f>COUNTIF('Rental Transaction'!B472:B4343,A472)</f>
        <v>5</v>
      </c>
      <c r="K472" s="1">
        <f>SUMIF('Rental Transaction'!B:B,A472,'Rental Transaction'!H:H)</f>
        <v>40</v>
      </c>
      <c r="L472" s="17">
        <f>COUNTIFS('Retal Tran Line Item'!D:D,"BLU-RAY",'Retal Tran Line Item'!H:H,A472)/J472</f>
        <v>0.2</v>
      </c>
    </row>
    <row r="473" spans="1:12">
      <c r="A473" s="1">
        <v>852319</v>
      </c>
      <c r="B473" s="1" t="s">
        <v>1712</v>
      </c>
      <c r="C473" s="1" t="s">
        <v>1713</v>
      </c>
      <c r="D473" s="1" t="s">
        <v>1714</v>
      </c>
      <c r="E473" s="1" t="s">
        <v>26</v>
      </c>
      <c r="F473" s="1" t="s">
        <v>1715</v>
      </c>
      <c r="G473" s="2">
        <v>41326</v>
      </c>
      <c r="H473" s="1" t="b">
        <v>0</v>
      </c>
      <c r="I473" s="6" t="s">
        <v>28</v>
      </c>
      <c r="J473" s="1">
        <f>COUNTIF('Rental Transaction'!B473:B4344,A473)</f>
        <v>5</v>
      </c>
      <c r="K473" s="1">
        <f>SUMIF('Rental Transaction'!B:B,A473,'Rental Transaction'!H:H)</f>
        <v>35</v>
      </c>
      <c r="L473" s="17">
        <f>COUNTIFS('Retal Tran Line Item'!D:D,"BLU-RAY",'Retal Tran Line Item'!H:H,A473)/J473</f>
        <v>1</v>
      </c>
    </row>
    <row r="474" spans="1:12">
      <c r="A474" s="1">
        <v>852925</v>
      </c>
      <c r="B474" s="1" t="s">
        <v>1716</v>
      </c>
      <c r="C474" s="1" t="s">
        <v>1717</v>
      </c>
      <c r="D474" s="1" t="s">
        <v>1718</v>
      </c>
      <c r="E474" s="1" t="s">
        <v>26</v>
      </c>
      <c r="F474" s="1" t="s">
        <v>1719</v>
      </c>
      <c r="G474" s="2">
        <v>41184</v>
      </c>
      <c r="H474" s="1" t="b">
        <v>0</v>
      </c>
      <c r="I474" s="6" t="s">
        <v>33</v>
      </c>
      <c r="J474" s="1">
        <f>COUNTIF('Rental Transaction'!B474:B4345,A474)</f>
        <v>4</v>
      </c>
      <c r="K474" s="1">
        <f>SUMIF('Rental Transaction'!B:B,A474,'Rental Transaction'!H:H)</f>
        <v>60</v>
      </c>
      <c r="L474" s="17">
        <f>COUNTIFS('Retal Tran Line Item'!D:D,"BLU-RAY",'Retal Tran Line Item'!H:H,A474)/J474</f>
        <v>1</v>
      </c>
    </row>
    <row r="475" spans="1:12">
      <c r="A475" s="1">
        <v>857548</v>
      </c>
      <c r="B475" s="1" t="s">
        <v>1712</v>
      </c>
      <c r="C475" s="1" t="s">
        <v>1720</v>
      </c>
      <c r="D475" s="1" t="s">
        <v>1721</v>
      </c>
      <c r="E475" s="1" t="s">
        <v>26</v>
      </c>
      <c r="F475" s="1" t="s">
        <v>1722</v>
      </c>
      <c r="G475" s="2">
        <v>41513</v>
      </c>
      <c r="H475" s="1" t="b">
        <v>1</v>
      </c>
      <c r="I475" s="6" t="s">
        <v>28</v>
      </c>
      <c r="J475" s="1">
        <f>COUNTIF('Rental Transaction'!B475:B4346,A475)</f>
        <v>5</v>
      </c>
      <c r="K475" s="1">
        <f>SUMIF('Rental Transaction'!B:B,A475,'Rental Transaction'!H:H)</f>
        <v>59</v>
      </c>
      <c r="L475" s="17">
        <f>COUNTIFS('Retal Tran Line Item'!D:D,"BLU-RAY",'Retal Tran Line Item'!H:H,A475)/J475</f>
        <v>1</v>
      </c>
    </row>
    <row r="476" spans="1:12">
      <c r="A476" s="1">
        <v>860057</v>
      </c>
      <c r="B476" s="1" t="s">
        <v>1723</v>
      </c>
      <c r="C476" s="1" t="s">
        <v>1724</v>
      </c>
      <c r="D476" s="1" t="s">
        <v>1725</v>
      </c>
      <c r="E476" s="1" t="s">
        <v>26</v>
      </c>
      <c r="F476" s="1" t="s">
        <v>1726</v>
      </c>
      <c r="G476" s="2">
        <v>41100</v>
      </c>
      <c r="H476" s="1" t="b">
        <v>1</v>
      </c>
      <c r="I476" s="6" t="s">
        <v>28</v>
      </c>
      <c r="J476" s="1">
        <f>COUNTIF('Rental Transaction'!B476:B4347,A476)</f>
        <v>4</v>
      </c>
      <c r="K476" s="1">
        <f>SUMIF('Rental Transaction'!B:B,A476,'Rental Transaction'!H:H)</f>
        <v>70</v>
      </c>
      <c r="L476" s="17">
        <f>COUNTIFS('Retal Tran Line Item'!D:D,"BLU-RAY",'Retal Tran Line Item'!H:H,A476)/J476</f>
        <v>1.25</v>
      </c>
    </row>
    <row r="477" spans="1:12">
      <c r="A477" s="1">
        <v>862302</v>
      </c>
      <c r="B477" s="1" t="s">
        <v>556</v>
      </c>
      <c r="C477" s="1" t="s">
        <v>179</v>
      </c>
      <c r="D477" s="1" t="s">
        <v>1727</v>
      </c>
      <c r="E477" s="1" t="s">
        <v>26</v>
      </c>
      <c r="F477" s="1" t="s">
        <v>1728</v>
      </c>
      <c r="G477" s="2">
        <v>41105</v>
      </c>
      <c r="H477" s="1" t="b">
        <v>1</v>
      </c>
      <c r="I477" s="6" t="s">
        <v>33</v>
      </c>
      <c r="J477" s="1">
        <f>COUNTIF('Rental Transaction'!B477:B4348,A477)</f>
        <v>5</v>
      </c>
      <c r="K477" s="1">
        <f>SUMIF('Rental Transaction'!B:B,A477,'Rental Transaction'!H:H)</f>
        <v>55</v>
      </c>
      <c r="L477" s="17">
        <f>COUNTIFS('Retal Tran Line Item'!D:D,"BLU-RAY",'Retal Tran Line Item'!H:H,A477)/J477</f>
        <v>0.6</v>
      </c>
    </row>
    <row r="478" spans="1:12">
      <c r="A478" s="1">
        <v>864896</v>
      </c>
      <c r="B478" s="1" t="s">
        <v>1729</v>
      </c>
      <c r="C478" s="1" t="s">
        <v>1730</v>
      </c>
      <c r="D478" s="1" t="s">
        <v>1731</v>
      </c>
      <c r="E478" s="1" t="s">
        <v>228</v>
      </c>
      <c r="F478" s="1" t="s">
        <v>1732</v>
      </c>
      <c r="G478" s="2">
        <v>41093</v>
      </c>
      <c r="H478" s="1" t="b">
        <v>1</v>
      </c>
      <c r="I478" s="6" t="s">
        <v>28</v>
      </c>
      <c r="J478" s="1">
        <f>COUNTIF('Rental Transaction'!B478:B4349,A478)</f>
        <v>2</v>
      </c>
      <c r="K478" s="1">
        <f>SUMIF('Rental Transaction'!B:B,A478,'Rental Transaction'!H:H)</f>
        <v>69</v>
      </c>
      <c r="L478" s="17">
        <f>COUNTIFS('Retal Tran Line Item'!D:D,"BLU-RAY",'Retal Tran Line Item'!H:H,A478)/J478</f>
        <v>3.5</v>
      </c>
    </row>
    <row r="479" spans="1:12">
      <c r="A479" s="1">
        <v>866556</v>
      </c>
      <c r="B479" s="1" t="s">
        <v>382</v>
      </c>
      <c r="C479" s="1" t="s">
        <v>1733</v>
      </c>
      <c r="D479" s="1" t="s">
        <v>1734</v>
      </c>
      <c r="E479" s="1" t="s">
        <v>1735</v>
      </c>
      <c r="F479" s="1" t="s">
        <v>1736</v>
      </c>
      <c r="G479" s="2">
        <v>41308</v>
      </c>
      <c r="H479" s="1" t="b">
        <v>0</v>
      </c>
      <c r="I479" s="6" t="s">
        <v>28</v>
      </c>
      <c r="J479" s="1">
        <f>COUNTIF('Rental Transaction'!B479:B4350,A479)</f>
        <v>4</v>
      </c>
      <c r="K479" s="1">
        <f>SUMIF('Rental Transaction'!B:B,A479,'Rental Transaction'!H:H)</f>
        <v>63</v>
      </c>
      <c r="L479" s="17">
        <f>COUNTIFS('Retal Tran Line Item'!D:D,"BLU-RAY",'Retal Tran Line Item'!H:H,A479)/J479</f>
        <v>1.25</v>
      </c>
    </row>
    <row r="480" spans="1:12">
      <c r="A480" s="1">
        <v>866847</v>
      </c>
      <c r="B480" s="1" t="s">
        <v>1435</v>
      </c>
      <c r="C480" s="1" t="s">
        <v>1737</v>
      </c>
      <c r="D480" s="1" t="s">
        <v>1738</v>
      </c>
      <c r="E480" s="1" t="s">
        <v>521</v>
      </c>
      <c r="F480" s="1" t="s">
        <v>1739</v>
      </c>
      <c r="G480" s="2">
        <v>41322</v>
      </c>
      <c r="H480" s="1" t="b">
        <v>1</v>
      </c>
      <c r="I480" s="6" t="s">
        <v>33</v>
      </c>
      <c r="J480" s="1">
        <f>COUNTIF('Rental Transaction'!B480:B4351,A480)</f>
        <v>5</v>
      </c>
      <c r="K480" s="1">
        <f>SUMIF('Rental Transaction'!B:B,A480,'Rental Transaction'!H:H)</f>
        <v>36</v>
      </c>
      <c r="L480" s="17">
        <f>COUNTIFS('Retal Tran Line Item'!D:D,"BLU-RAY",'Retal Tran Line Item'!H:H,A480)/J480</f>
        <v>0.8</v>
      </c>
    </row>
    <row r="481" spans="1:12">
      <c r="A481" s="1">
        <v>872851</v>
      </c>
      <c r="B481" s="1" t="s">
        <v>707</v>
      </c>
      <c r="C481" s="1" t="s">
        <v>1740</v>
      </c>
      <c r="D481" s="1" t="s">
        <v>1741</v>
      </c>
      <c r="E481" s="1" t="s">
        <v>26</v>
      </c>
      <c r="F481" s="1" t="s">
        <v>1742</v>
      </c>
      <c r="G481" s="2">
        <v>41185</v>
      </c>
      <c r="H481" s="1" t="b">
        <v>0</v>
      </c>
      <c r="I481" s="6" t="s">
        <v>33</v>
      </c>
      <c r="J481" s="1">
        <f>COUNTIF('Rental Transaction'!B481:B4352,A481)</f>
        <v>3</v>
      </c>
      <c r="K481" s="1">
        <f>SUMIF('Rental Transaction'!B:B,A481,'Rental Transaction'!H:H)</f>
        <v>31</v>
      </c>
      <c r="L481" s="17">
        <f>COUNTIFS('Retal Tran Line Item'!D:D,"BLU-RAY",'Retal Tran Line Item'!H:H,A481)/J481</f>
        <v>0.66666666666666663</v>
      </c>
    </row>
    <row r="482" spans="1:12">
      <c r="A482" s="1">
        <v>877877</v>
      </c>
      <c r="B482" s="1" t="s">
        <v>360</v>
      </c>
      <c r="C482" s="1" t="s">
        <v>1743</v>
      </c>
      <c r="D482" s="1" t="s">
        <v>1744</v>
      </c>
      <c r="E482" s="1" t="s">
        <v>830</v>
      </c>
      <c r="F482" s="1" t="s">
        <v>1745</v>
      </c>
      <c r="G482" s="2">
        <v>41510</v>
      </c>
      <c r="H482" s="1" t="b">
        <v>1</v>
      </c>
      <c r="I482" s="6" t="s">
        <v>33</v>
      </c>
      <c r="J482" s="1">
        <f>COUNTIF('Rental Transaction'!B482:B4353,A482)</f>
        <v>6</v>
      </c>
      <c r="K482" s="1">
        <f>SUMIF('Rental Transaction'!B:B,A482,'Rental Transaction'!H:H)</f>
        <v>59</v>
      </c>
      <c r="L482" s="17">
        <f>COUNTIFS('Retal Tran Line Item'!D:D,"BLU-RAY",'Retal Tran Line Item'!H:H,A482)/J482</f>
        <v>0.16666666666666666</v>
      </c>
    </row>
    <row r="483" spans="1:12">
      <c r="A483" s="1">
        <v>879173</v>
      </c>
      <c r="B483" s="1" t="s">
        <v>1746</v>
      </c>
      <c r="C483" s="1" t="s">
        <v>1747</v>
      </c>
      <c r="D483" s="1" t="s">
        <v>1748</v>
      </c>
      <c r="E483" s="1" t="s">
        <v>349</v>
      </c>
      <c r="F483" s="1" t="s">
        <v>1749</v>
      </c>
      <c r="G483" s="2">
        <v>41307</v>
      </c>
      <c r="H483" s="1" t="b">
        <v>1</v>
      </c>
      <c r="I483" s="6" t="s">
        <v>33</v>
      </c>
      <c r="J483" s="1">
        <f>COUNTIF('Rental Transaction'!B483:B4354,A483)</f>
        <v>6</v>
      </c>
      <c r="K483" s="1">
        <f>SUMIF('Rental Transaction'!B:B,A483,'Rental Transaction'!H:H)</f>
        <v>87</v>
      </c>
      <c r="L483" s="17">
        <f>COUNTIFS('Retal Tran Line Item'!D:D,"BLU-RAY",'Retal Tran Line Item'!H:H,A483)/J483</f>
        <v>0.5</v>
      </c>
    </row>
    <row r="484" spans="1:12">
      <c r="A484" s="1">
        <v>880238</v>
      </c>
      <c r="B484" s="1" t="s">
        <v>338</v>
      </c>
      <c r="C484" s="1" t="s">
        <v>1750</v>
      </c>
      <c r="D484" s="1" t="s">
        <v>1751</v>
      </c>
      <c r="E484" s="1" t="s">
        <v>26</v>
      </c>
      <c r="F484" s="1" t="s">
        <v>1752</v>
      </c>
      <c r="G484" s="2">
        <v>41215</v>
      </c>
      <c r="H484" s="1" t="b">
        <v>1</v>
      </c>
      <c r="I484" s="6" t="s">
        <v>33</v>
      </c>
      <c r="J484" s="1">
        <f>COUNTIF('Rental Transaction'!B484:B4355,A484)</f>
        <v>8</v>
      </c>
      <c r="K484" s="1">
        <f>SUMIF('Rental Transaction'!B:B,A484,'Rental Transaction'!H:H)</f>
        <v>79</v>
      </c>
      <c r="L484" s="17">
        <f>COUNTIFS('Retal Tran Line Item'!D:D,"BLU-RAY",'Retal Tran Line Item'!H:H,A484)/J484</f>
        <v>0.5</v>
      </c>
    </row>
    <row r="485" spans="1:12">
      <c r="A485" s="1">
        <v>882493</v>
      </c>
      <c r="B485" s="1" t="s">
        <v>1257</v>
      </c>
      <c r="C485" s="1" t="s">
        <v>1753</v>
      </c>
      <c r="D485" s="1" t="s">
        <v>1754</v>
      </c>
      <c r="E485" s="1" t="s">
        <v>26</v>
      </c>
      <c r="F485" s="1" t="s">
        <v>1755</v>
      </c>
      <c r="G485" s="2">
        <v>41423</v>
      </c>
      <c r="H485" s="1" t="b">
        <v>0</v>
      </c>
      <c r="I485" s="6" t="s">
        <v>33</v>
      </c>
      <c r="J485" s="1">
        <f>COUNTIF('Rental Transaction'!B485:B4356,A485)</f>
        <v>8</v>
      </c>
      <c r="K485" s="1">
        <f>SUMIF('Rental Transaction'!B:B,A485,'Rental Transaction'!H:H)</f>
        <v>39</v>
      </c>
      <c r="L485" s="17">
        <f>COUNTIFS('Retal Tran Line Item'!D:D,"BLU-RAY",'Retal Tran Line Item'!H:H,A485)/J485</f>
        <v>0.375</v>
      </c>
    </row>
    <row r="486" spans="1:12">
      <c r="A486" s="1">
        <v>884368</v>
      </c>
      <c r="B486" s="1" t="s">
        <v>992</v>
      </c>
      <c r="C486" s="1" t="s">
        <v>1756</v>
      </c>
      <c r="D486" s="1" t="s">
        <v>1757</v>
      </c>
      <c r="E486" s="1" t="s">
        <v>26</v>
      </c>
      <c r="F486" s="1" t="s">
        <v>1758</v>
      </c>
      <c r="G486" s="2">
        <v>41309</v>
      </c>
      <c r="H486" s="1" t="b">
        <v>0</v>
      </c>
      <c r="I486" s="6" t="s">
        <v>33</v>
      </c>
      <c r="J486" s="1">
        <f>COUNTIF('Rental Transaction'!B486:B4357,A486)</f>
        <v>7</v>
      </c>
      <c r="K486" s="1">
        <f>SUMIF('Rental Transaction'!B:B,A486,'Rental Transaction'!H:H)</f>
        <v>62</v>
      </c>
      <c r="L486" s="17">
        <f>COUNTIFS('Retal Tran Line Item'!D:D,"BLU-RAY",'Retal Tran Line Item'!H:H,A486)/J486</f>
        <v>0.2857142857142857</v>
      </c>
    </row>
    <row r="487" spans="1:12">
      <c r="A487" s="1">
        <v>884607</v>
      </c>
      <c r="B487" s="1" t="s">
        <v>1759</v>
      </c>
      <c r="C487" s="1" t="s">
        <v>594</v>
      </c>
      <c r="D487" s="1" t="s">
        <v>1760</v>
      </c>
      <c r="E487" s="1" t="s">
        <v>26</v>
      </c>
      <c r="F487" s="1" t="s">
        <v>1761</v>
      </c>
      <c r="G487" s="2">
        <v>41160</v>
      </c>
      <c r="H487" s="1" t="b">
        <v>0</v>
      </c>
      <c r="I487" s="6" t="s">
        <v>33</v>
      </c>
      <c r="J487" s="1">
        <f>COUNTIF('Rental Transaction'!B487:B4358,A487)</f>
        <v>6</v>
      </c>
      <c r="K487" s="1">
        <f>SUMIF('Rental Transaction'!B:B,A487,'Rental Transaction'!H:H)</f>
        <v>46</v>
      </c>
      <c r="L487" s="17">
        <f>COUNTIFS('Retal Tran Line Item'!D:D,"BLU-RAY",'Retal Tran Line Item'!H:H,A487)/J487</f>
        <v>0.66666666666666663</v>
      </c>
    </row>
    <row r="488" spans="1:12">
      <c r="A488" s="1">
        <v>884729</v>
      </c>
      <c r="B488" s="1" t="s">
        <v>1683</v>
      </c>
      <c r="C488" s="1" t="s">
        <v>1242</v>
      </c>
      <c r="D488" s="1" t="s">
        <v>1762</v>
      </c>
      <c r="E488" s="1" t="s">
        <v>26</v>
      </c>
      <c r="F488" s="1" t="s">
        <v>1763</v>
      </c>
      <c r="G488" s="2">
        <v>41328</v>
      </c>
      <c r="H488" s="1" t="b">
        <v>0</v>
      </c>
      <c r="I488" s="6" t="s">
        <v>33</v>
      </c>
      <c r="J488" s="1">
        <f>COUNTIF('Rental Transaction'!B488:B4359,A488)</f>
        <v>9</v>
      </c>
      <c r="K488" s="1">
        <f>SUMIF('Rental Transaction'!B:B,A488,'Rental Transaction'!H:H)</f>
        <v>63</v>
      </c>
      <c r="L488" s="17">
        <f>COUNTIFS('Retal Tran Line Item'!D:D,"BLU-RAY",'Retal Tran Line Item'!H:H,A488)/J488</f>
        <v>0.66666666666666663</v>
      </c>
    </row>
    <row r="489" spans="1:12">
      <c r="A489" s="1">
        <v>885548</v>
      </c>
      <c r="B489" s="1" t="s">
        <v>374</v>
      </c>
      <c r="C489" s="1" t="s">
        <v>1764</v>
      </c>
      <c r="D489" s="1" t="s">
        <v>1765</v>
      </c>
      <c r="E489" s="1" t="s">
        <v>26</v>
      </c>
      <c r="F489" s="1" t="s">
        <v>1766</v>
      </c>
      <c r="G489" s="2">
        <v>41365</v>
      </c>
      <c r="H489" s="1" t="b">
        <v>1</v>
      </c>
      <c r="I489" s="6" t="s">
        <v>28</v>
      </c>
      <c r="J489" s="1">
        <f>COUNTIF('Rental Transaction'!B489:B4360,A489)</f>
        <v>10</v>
      </c>
      <c r="K489" s="1">
        <f>SUMIF('Rental Transaction'!B:B,A489,'Rental Transaction'!H:H)</f>
        <v>69</v>
      </c>
      <c r="L489" s="17">
        <f>COUNTIFS('Retal Tran Line Item'!D:D,"BLU-RAY",'Retal Tran Line Item'!H:H,A489)/J489</f>
        <v>0.4</v>
      </c>
    </row>
    <row r="490" spans="1:12">
      <c r="A490" s="1">
        <v>888759</v>
      </c>
      <c r="B490" s="1" t="s">
        <v>490</v>
      </c>
      <c r="C490" s="1" t="s">
        <v>1767</v>
      </c>
      <c r="D490" s="1" t="s">
        <v>1768</v>
      </c>
      <c r="E490" s="1" t="s">
        <v>26</v>
      </c>
      <c r="F490" s="1" t="s">
        <v>1769</v>
      </c>
      <c r="G490" s="2">
        <v>41426</v>
      </c>
      <c r="H490" s="1" t="b">
        <v>1</v>
      </c>
      <c r="I490" s="6" t="s">
        <v>33</v>
      </c>
      <c r="J490" s="1">
        <f>COUNTIF('Rental Transaction'!B490:B4361,A490)</f>
        <v>8</v>
      </c>
      <c r="K490" s="1">
        <f>SUMIF('Rental Transaction'!B:B,A490,'Rental Transaction'!H:H)</f>
        <v>79</v>
      </c>
      <c r="L490" s="17">
        <f>COUNTIFS('Retal Tran Line Item'!D:D,"BLU-RAY",'Retal Tran Line Item'!H:H,A490)/J490</f>
        <v>0.25</v>
      </c>
    </row>
    <row r="491" spans="1:12">
      <c r="A491" s="1">
        <v>888952</v>
      </c>
      <c r="B491" s="1" t="s">
        <v>1770</v>
      </c>
      <c r="C491" s="1" t="s">
        <v>1771</v>
      </c>
      <c r="D491" s="1" t="s">
        <v>1772</v>
      </c>
      <c r="E491" s="1" t="s">
        <v>621</v>
      </c>
      <c r="F491" s="1" t="s">
        <v>1773</v>
      </c>
      <c r="G491" s="2">
        <v>41372</v>
      </c>
      <c r="H491" s="1" t="b">
        <v>1</v>
      </c>
      <c r="I491" s="6" t="s">
        <v>28</v>
      </c>
      <c r="J491" s="1">
        <f>COUNTIF('Rental Transaction'!B491:B4362,A491)</f>
        <v>6</v>
      </c>
      <c r="K491" s="1">
        <f>SUMIF('Rental Transaction'!B:B,A491,'Rental Transaction'!H:H)</f>
        <v>56</v>
      </c>
      <c r="L491" s="17">
        <f>COUNTIFS('Retal Tran Line Item'!D:D,"BLU-RAY",'Retal Tran Line Item'!H:H,A491)/J491</f>
        <v>0.5</v>
      </c>
    </row>
    <row r="492" spans="1:12">
      <c r="A492" s="1">
        <v>889686</v>
      </c>
      <c r="B492" s="1" t="s">
        <v>1774</v>
      </c>
      <c r="C492" s="1" t="s">
        <v>1587</v>
      </c>
      <c r="D492" s="1" t="s">
        <v>1775</v>
      </c>
      <c r="E492" s="1" t="s">
        <v>26</v>
      </c>
      <c r="F492" s="1" t="s">
        <v>1776</v>
      </c>
      <c r="G492" s="2">
        <v>41446</v>
      </c>
      <c r="H492" s="1" t="b">
        <v>0</v>
      </c>
      <c r="I492" s="6" t="s">
        <v>33</v>
      </c>
      <c r="J492" s="1">
        <f>COUNTIF('Rental Transaction'!B492:B4363,A492)</f>
        <v>8</v>
      </c>
      <c r="K492" s="1">
        <f>SUMIF('Rental Transaction'!B:B,A492,'Rental Transaction'!H:H)</f>
        <v>72</v>
      </c>
      <c r="L492" s="17">
        <f>COUNTIFS('Retal Tran Line Item'!D:D,"BLU-RAY",'Retal Tran Line Item'!H:H,A492)/J492</f>
        <v>0.25</v>
      </c>
    </row>
    <row r="493" spans="1:12">
      <c r="A493" s="1">
        <v>890270</v>
      </c>
      <c r="B493" s="1" t="s">
        <v>44</v>
      </c>
      <c r="C493" s="1" t="s">
        <v>1777</v>
      </c>
      <c r="D493" s="1" t="s">
        <v>1778</v>
      </c>
      <c r="E493" s="1" t="s">
        <v>26</v>
      </c>
      <c r="F493" s="1" t="s">
        <v>1779</v>
      </c>
      <c r="G493" s="2">
        <v>41154</v>
      </c>
      <c r="H493" s="1" t="b">
        <v>1</v>
      </c>
      <c r="I493" s="6" t="s">
        <v>28</v>
      </c>
      <c r="J493" s="1">
        <f>COUNTIF('Rental Transaction'!B493:B4364,A493)</f>
        <v>4</v>
      </c>
      <c r="K493" s="1">
        <f>SUMIF('Rental Transaction'!B:B,A493,'Rental Transaction'!H:H)</f>
        <v>62</v>
      </c>
      <c r="L493" s="17">
        <f>COUNTIFS('Retal Tran Line Item'!D:D,"BLU-RAY",'Retal Tran Line Item'!H:H,A493)/J493</f>
        <v>1.25</v>
      </c>
    </row>
    <row r="494" spans="1:12">
      <c r="A494" s="1">
        <v>890497</v>
      </c>
      <c r="B494" s="1" t="s">
        <v>1780</v>
      </c>
      <c r="C494" s="1" t="s">
        <v>1781</v>
      </c>
      <c r="D494" s="1" t="s">
        <v>1782</v>
      </c>
      <c r="E494" s="1" t="s">
        <v>26</v>
      </c>
      <c r="F494" s="1" t="s">
        <v>1783</v>
      </c>
      <c r="G494" s="2">
        <v>41400</v>
      </c>
      <c r="H494" s="1" t="b">
        <v>0</v>
      </c>
      <c r="I494" s="6" t="s">
        <v>33</v>
      </c>
      <c r="J494" s="1">
        <f>COUNTIF('Rental Transaction'!B494:B4365,A494)</f>
        <v>6</v>
      </c>
      <c r="K494" s="1">
        <f>SUMIF('Rental Transaction'!B:B,A494,'Rental Transaction'!H:H)</f>
        <v>52</v>
      </c>
      <c r="L494" s="17">
        <f>COUNTIFS('Retal Tran Line Item'!D:D,"BLU-RAY",'Retal Tran Line Item'!H:H,A494)/J494</f>
        <v>0.33333333333333331</v>
      </c>
    </row>
    <row r="495" spans="1:12">
      <c r="A495" s="1">
        <v>890651</v>
      </c>
      <c r="B495" s="1" t="s">
        <v>1784</v>
      </c>
      <c r="C495" s="1" t="s">
        <v>1785</v>
      </c>
      <c r="D495" s="1" t="s">
        <v>1786</v>
      </c>
      <c r="E495" s="1" t="s">
        <v>42</v>
      </c>
      <c r="F495" s="1" t="s">
        <v>1787</v>
      </c>
      <c r="G495" s="2">
        <v>41385</v>
      </c>
      <c r="H495" s="1" t="b">
        <v>0</v>
      </c>
      <c r="I495" s="6" t="s">
        <v>33</v>
      </c>
      <c r="J495" s="1">
        <f>COUNTIF('Rental Transaction'!B495:B4366,A495)</f>
        <v>4</v>
      </c>
      <c r="K495" s="1">
        <f>SUMIF('Rental Transaction'!B:B,A495,'Rental Transaction'!H:H)</f>
        <v>30</v>
      </c>
      <c r="L495" s="17">
        <f>COUNTIFS('Retal Tran Line Item'!D:D,"BLU-RAY",'Retal Tran Line Item'!H:H,A495)/J495</f>
        <v>0.25</v>
      </c>
    </row>
    <row r="496" spans="1:12">
      <c r="A496" s="1">
        <v>891738</v>
      </c>
      <c r="B496" s="1" t="s">
        <v>1788</v>
      </c>
      <c r="C496" s="1" t="s">
        <v>1789</v>
      </c>
      <c r="D496" s="1" t="s">
        <v>1790</v>
      </c>
      <c r="E496" s="1" t="s">
        <v>26</v>
      </c>
      <c r="F496" s="1" t="s">
        <v>1791</v>
      </c>
      <c r="G496" s="2">
        <v>41425</v>
      </c>
      <c r="H496" s="1" t="b">
        <v>1</v>
      </c>
      <c r="I496" s="6" t="s">
        <v>28</v>
      </c>
      <c r="J496" s="1">
        <f>COUNTIF('Rental Transaction'!B496:B4367,A496)</f>
        <v>10</v>
      </c>
      <c r="K496" s="1">
        <f>SUMIF('Rental Transaction'!B:B,A496,'Rental Transaction'!H:H)</f>
        <v>82</v>
      </c>
      <c r="L496" s="17">
        <f>COUNTIFS('Retal Tran Line Item'!D:D,"BLU-RAY",'Retal Tran Line Item'!H:H,A496)/J496</f>
        <v>0.4</v>
      </c>
    </row>
    <row r="497" spans="1:12">
      <c r="A497" s="1">
        <v>892883</v>
      </c>
      <c r="B497" s="1" t="s">
        <v>1792</v>
      </c>
      <c r="C497" s="1" t="s">
        <v>1793</v>
      </c>
      <c r="D497" s="1" t="s">
        <v>1794</v>
      </c>
      <c r="E497" s="1" t="s">
        <v>26</v>
      </c>
      <c r="F497" s="1" t="s">
        <v>1795</v>
      </c>
      <c r="G497" s="2">
        <v>41364</v>
      </c>
      <c r="H497" s="1" t="b">
        <v>1</v>
      </c>
      <c r="I497" s="6" t="s">
        <v>33</v>
      </c>
      <c r="J497" s="1">
        <f>COUNTIF('Rental Transaction'!B497:B4368,A497)</f>
        <v>9</v>
      </c>
      <c r="K497" s="1">
        <f>SUMIF('Rental Transaction'!B:B,A497,'Rental Transaction'!H:H)</f>
        <v>99</v>
      </c>
      <c r="L497" s="17">
        <f>COUNTIFS('Retal Tran Line Item'!D:D,"BLU-RAY",'Retal Tran Line Item'!H:H,A497)/J497</f>
        <v>0.55555555555555558</v>
      </c>
    </row>
    <row r="498" spans="1:12">
      <c r="A498" s="1">
        <v>893039</v>
      </c>
      <c r="B498" s="1" t="s">
        <v>360</v>
      </c>
      <c r="C498" s="1" t="s">
        <v>639</v>
      </c>
      <c r="D498" s="1" t="s">
        <v>1796</v>
      </c>
      <c r="E498" s="1" t="s">
        <v>830</v>
      </c>
      <c r="F498" s="1" t="s">
        <v>1797</v>
      </c>
      <c r="G498" s="2">
        <v>41165</v>
      </c>
      <c r="H498" s="1" t="b">
        <v>0</v>
      </c>
      <c r="I498" s="6" t="s">
        <v>33</v>
      </c>
      <c r="J498" s="1">
        <f>COUNTIF('Rental Transaction'!B498:B4369,A498)</f>
        <v>6</v>
      </c>
      <c r="K498" s="1">
        <f>SUMIF('Rental Transaction'!B:B,A498,'Rental Transaction'!H:H)</f>
        <v>37</v>
      </c>
      <c r="L498" s="17">
        <f>COUNTIFS('Retal Tran Line Item'!D:D,"BLU-RAY",'Retal Tran Line Item'!H:H,A498)/J498</f>
        <v>0.33333333333333331</v>
      </c>
    </row>
    <row r="499" spans="1:12">
      <c r="A499" s="1">
        <v>897614</v>
      </c>
      <c r="B499" s="1" t="s">
        <v>44</v>
      </c>
      <c r="C499" s="1" t="s">
        <v>1798</v>
      </c>
      <c r="D499" s="1" t="s">
        <v>1799</v>
      </c>
      <c r="E499" s="1" t="s">
        <v>26</v>
      </c>
      <c r="F499" s="1" t="s">
        <v>1800</v>
      </c>
      <c r="G499" s="2">
        <v>41454</v>
      </c>
      <c r="H499" s="1" t="b">
        <v>1</v>
      </c>
      <c r="I499" s="6" t="s">
        <v>28</v>
      </c>
      <c r="J499" s="1">
        <f>COUNTIF('Rental Transaction'!B499:B4370,A499)</f>
        <v>5</v>
      </c>
      <c r="K499" s="1">
        <f>SUMIF('Rental Transaction'!B:B,A499,'Rental Transaction'!H:H)</f>
        <v>49</v>
      </c>
      <c r="L499" s="17">
        <f>COUNTIFS('Retal Tran Line Item'!D:D,"BLU-RAY",'Retal Tran Line Item'!H:H,A499)/J499</f>
        <v>0.8</v>
      </c>
    </row>
    <row r="500" spans="1:12">
      <c r="A500" s="1">
        <v>897980</v>
      </c>
      <c r="B500" s="1" t="s">
        <v>1801</v>
      </c>
      <c r="C500" s="1" t="s">
        <v>1802</v>
      </c>
      <c r="D500" s="1" t="s">
        <v>1803</v>
      </c>
      <c r="E500" s="1" t="s">
        <v>26</v>
      </c>
      <c r="F500" s="1" t="s">
        <v>1804</v>
      </c>
      <c r="G500" s="2">
        <v>41373</v>
      </c>
      <c r="H500" s="1" t="b">
        <v>0</v>
      </c>
      <c r="I500" s="6" t="s">
        <v>33</v>
      </c>
      <c r="J500" s="1">
        <f>COUNTIF('Rental Transaction'!B500:B4371,A500)</f>
        <v>6</v>
      </c>
      <c r="K500" s="1">
        <f>SUMIF('Rental Transaction'!B:B,A500,'Rental Transaction'!H:H)</f>
        <v>45</v>
      </c>
      <c r="L500" s="17">
        <f>COUNTIFS('Retal Tran Line Item'!D:D,"BLU-RAY",'Retal Tran Line Item'!H:H,A500)/J500</f>
        <v>0.16666666666666666</v>
      </c>
    </row>
    <row r="501" spans="1:12">
      <c r="A501" s="1">
        <v>900440</v>
      </c>
      <c r="B501" s="1" t="s">
        <v>1805</v>
      </c>
      <c r="C501" s="1" t="s">
        <v>1806</v>
      </c>
      <c r="D501" s="1" t="s">
        <v>1807</v>
      </c>
      <c r="E501" s="1" t="s">
        <v>201</v>
      </c>
      <c r="F501" s="1" t="s">
        <v>1808</v>
      </c>
      <c r="G501" s="2">
        <v>41367</v>
      </c>
      <c r="H501" s="1" t="b">
        <v>0</v>
      </c>
      <c r="I501" s="6" t="s">
        <v>33</v>
      </c>
      <c r="J501" s="1">
        <f>COUNTIF('Rental Transaction'!B501:B4372,A501)</f>
        <v>9</v>
      </c>
      <c r="K501" s="1">
        <f>SUMIF('Rental Transaction'!B:B,A501,'Rental Transaction'!H:H)</f>
        <v>98</v>
      </c>
      <c r="L501" s="17">
        <f>COUNTIFS('Retal Tran Line Item'!D:D,"BLU-RAY",'Retal Tran Line Item'!H:H,A501)/J501</f>
        <v>1.1111111111111112</v>
      </c>
    </row>
    <row r="502" spans="1:12">
      <c r="A502" s="1">
        <v>901388</v>
      </c>
      <c r="B502" s="1" t="s">
        <v>1809</v>
      </c>
      <c r="C502" s="1" t="s">
        <v>1810</v>
      </c>
      <c r="D502" s="1" t="s">
        <v>1811</v>
      </c>
      <c r="E502" s="1" t="s">
        <v>26</v>
      </c>
      <c r="F502" s="1" t="s">
        <v>1812</v>
      </c>
      <c r="G502" s="2">
        <v>41332</v>
      </c>
      <c r="H502" s="1" t="b">
        <v>0</v>
      </c>
      <c r="I502" s="6" t="s">
        <v>28</v>
      </c>
      <c r="J502" s="1">
        <f>COUNTIF('Rental Transaction'!B502:B4373,A502)</f>
        <v>6</v>
      </c>
      <c r="K502" s="1">
        <f>SUMIF('Rental Transaction'!B:B,A502,'Rental Transaction'!H:H)</f>
        <v>54</v>
      </c>
      <c r="L502" s="17">
        <f>COUNTIFS('Retal Tran Line Item'!D:D,"BLU-RAY",'Retal Tran Line Item'!H:H,A502)/J502</f>
        <v>0.66666666666666663</v>
      </c>
    </row>
    <row r="503" spans="1:12">
      <c r="A503" s="1">
        <v>905670</v>
      </c>
      <c r="B503" s="1" t="s">
        <v>118</v>
      </c>
      <c r="C503" s="1" t="s">
        <v>1813</v>
      </c>
      <c r="D503" s="1" t="s">
        <v>1814</v>
      </c>
      <c r="E503" s="1" t="s">
        <v>26</v>
      </c>
      <c r="F503" s="1" t="s">
        <v>1815</v>
      </c>
      <c r="G503" s="2">
        <v>41248</v>
      </c>
      <c r="H503" s="1" t="b">
        <v>0</v>
      </c>
      <c r="I503" s="6" t="s">
        <v>33</v>
      </c>
      <c r="J503" s="1">
        <f>COUNTIF('Rental Transaction'!B503:B4374,A503)</f>
        <v>9</v>
      </c>
      <c r="K503" s="1">
        <f>SUMIF('Rental Transaction'!B:B,A503,'Rental Transaction'!H:H)</f>
        <v>117</v>
      </c>
      <c r="L503" s="17">
        <f>COUNTIFS('Retal Tran Line Item'!D:D,"BLU-RAY",'Retal Tran Line Item'!H:H,A503)/J503</f>
        <v>0.66666666666666663</v>
      </c>
    </row>
    <row r="504" spans="1:12">
      <c r="A504" s="1">
        <v>908328</v>
      </c>
      <c r="B504" s="1" t="s">
        <v>1816</v>
      </c>
      <c r="C504" s="1" t="s">
        <v>1817</v>
      </c>
      <c r="D504" s="1" t="s">
        <v>1818</v>
      </c>
      <c r="E504" s="1" t="s">
        <v>26</v>
      </c>
      <c r="F504" s="1" t="s">
        <v>1819</v>
      </c>
      <c r="G504" s="2">
        <v>41334</v>
      </c>
      <c r="H504" s="1" t="b">
        <v>1</v>
      </c>
      <c r="I504" s="6" t="s">
        <v>33</v>
      </c>
      <c r="J504" s="1">
        <f>COUNTIF('Rental Transaction'!B504:B4375,A504)</f>
        <v>9</v>
      </c>
      <c r="K504" s="1">
        <f>SUMIF('Rental Transaction'!B:B,A504,'Rental Transaction'!H:H)</f>
        <v>50</v>
      </c>
      <c r="L504" s="17">
        <f>COUNTIFS('Retal Tran Line Item'!D:D,"BLU-RAY",'Retal Tran Line Item'!H:H,A504)/J504</f>
        <v>0.55555555555555558</v>
      </c>
    </row>
    <row r="505" spans="1:12">
      <c r="A505" s="1">
        <v>908768</v>
      </c>
      <c r="B505" s="1" t="s">
        <v>149</v>
      </c>
      <c r="C505" s="1" t="s">
        <v>1820</v>
      </c>
      <c r="D505" s="1" t="s">
        <v>1821</v>
      </c>
      <c r="E505" s="1" t="s">
        <v>26</v>
      </c>
      <c r="F505" s="1" t="s">
        <v>1822</v>
      </c>
      <c r="G505" s="2">
        <v>41329</v>
      </c>
      <c r="H505" s="1" t="b">
        <v>1</v>
      </c>
      <c r="I505" s="6" t="s">
        <v>33</v>
      </c>
      <c r="J505" s="1">
        <f>COUNTIF('Rental Transaction'!B505:B4376,A505)</f>
        <v>5</v>
      </c>
      <c r="K505" s="1">
        <f>SUMIF('Rental Transaction'!B:B,A505,'Rental Transaction'!H:H)</f>
        <v>66</v>
      </c>
      <c r="L505" s="17">
        <f>COUNTIFS('Retal Tran Line Item'!D:D,"BLU-RAY",'Retal Tran Line Item'!H:H,A505)/J505</f>
        <v>0.8</v>
      </c>
    </row>
    <row r="506" spans="1:12">
      <c r="A506" s="1">
        <v>911171</v>
      </c>
      <c r="B506" s="1" t="s">
        <v>102</v>
      </c>
      <c r="C506" s="1" t="s">
        <v>1823</v>
      </c>
      <c r="D506" s="1" t="s">
        <v>1824</v>
      </c>
      <c r="E506" s="1" t="s">
        <v>26</v>
      </c>
      <c r="F506" s="1" t="s">
        <v>1825</v>
      </c>
      <c r="G506" s="2">
        <v>41395</v>
      </c>
      <c r="H506" s="1" t="b">
        <v>1</v>
      </c>
      <c r="I506" s="6" t="s">
        <v>33</v>
      </c>
      <c r="J506" s="1">
        <f>COUNTIF('Rental Transaction'!B506:B4377,A506)</f>
        <v>8</v>
      </c>
      <c r="K506" s="1">
        <f>SUMIF('Rental Transaction'!B:B,A506,'Rental Transaction'!H:H)</f>
        <v>90</v>
      </c>
      <c r="L506" s="17">
        <f>COUNTIFS('Retal Tran Line Item'!D:D,"BLU-RAY",'Retal Tran Line Item'!H:H,A506)/J506</f>
        <v>0.875</v>
      </c>
    </row>
    <row r="507" spans="1:12">
      <c r="A507" s="1">
        <v>912671</v>
      </c>
      <c r="B507" s="1" t="s">
        <v>220</v>
      </c>
      <c r="C507" s="1" t="s">
        <v>1152</v>
      </c>
      <c r="D507" s="1" t="s">
        <v>1826</v>
      </c>
      <c r="E507" s="1" t="s">
        <v>223</v>
      </c>
      <c r="F507" s="1" t="s">
        <v>1827</v>
      </c>
      <c r="G507" s="2">
        <v>41399</v>
      </c>
      <c r="H507" s="1" t="b">
        <v>1</v>
      </c>
      <c r="I507" s="6" t="s">
        <v>33</v>
      </c>
      <c r="J507" s="1">
        <f>COUNTIF('Rental Transaction'!B507:B4378,A507)</f>
        <v>12</v>
      </c>
      <c r="K507" s="1">
        <f>SUMIF('Rental Transaction'!B:B,A507,'Rental Transaction'!H:H)</f>
        <v>74</v>
      </c>
      <c r="L507" s="17">
        <f>COUNTIFS('Retal Tran Line Item'!D:D,"BLU-RAY",'Retal Tran Line Item'!H:H,A507)/J507</f>
        <v>0.25</v>
      </c>
    </row>
    <row r="508" spans="1:12">
      <c r="A508" s="1">
        <v>915766</v>
      </c>
      <c r="B508" s="1" t="s">
        <v>1828</v>
      </c>
      <c r="C508" s="1" t="s">
        <v>1829</v>
      </c>
      <c r="D508" s="1" t="s">
        <v>1830</v>
      </c>
      <c r="E508" s="1" t="s">
        <v>26</v>
      </c>
      <c r="F508" s="1" t="s">
        <v>1831</v>
      </c>
      <c r="G508" s="2">
        <v>41525</v>
      </c>
      <c r="H508" s="1" t="b">
        <v>1</v>
      </c>
      <c r="I508" s="6" t="s">
        <v>28</v>
      </c>
      <c r="J508" s="1">
        <f>COUNTIF('Rental Transaction'!B508:B4379,A508)</f>
        <v>4</v>
      </c>
      <c r="K508" s="1">
        <f>SUMIF('Rental Transaction'!B:B,A508,'Rental Transaction'!H:H)</f>
        <v>54</v>
      </c>
      <c r="L508" s="17">
        <f>COUNTIFS('Retal Tran Line Item'!D:D,"BLU-RAY",'Retal Tran Line Item'!H:H,A508)/J508</f>
        <v>0.75</v>
      </c>
    </row>
    <row r="509" spans="1:12">
      <c r="A509" s="1">
        <v>917728</v>
      </c>
      <c r="B509" s="1" t="s">
        <v>220</v>
      </c>
      <c r="C509" s="1" t="s">
        <v>1832</v>
      </c>
      <c r="D509" s="1" t="s">
        <v>1833</v>
      </c>
      <c r="E509" s="1" t="s">
        <v>26</v>
      </c>
      <c r="F509" s="1" t="s">
        <v>1834</v>
      </c>
      <c r="G509" s="2">
        <v>41353</v>
      </c>
      <c r="H509" s="1" t="b">
        <v>1</v>
      </c>
      <c r="I509" s="6" t="s">
        <v>33</v>
      </c>
      <c r="J509" s="1">
        <f>COUNTIF('Rental Transaction'!B509:B4380,A509)</f>
        <v>3</v>
      </c>
      <c r="K509" s="1">
        <f>SUMIF('Rental Transaction'!B:B,A509,'Rental Transaction'!H:H)</f>
        <v>32</v>
      </c>
      <c r="L509" s="17">
        <f>COUNTIFS('Retal Tran Line Item'!D:D,"BLU-RAY",'Retal Tran Line Item'!H:H,A509)/J509</f>
        <v>1</v>
      </c>
    </row>
    <row r="510" spans="1:12">
      <c r="A510" s="1">
        <v>918682</v>
      </c>
      <c r="B510" s="1" t="s">
        <v>216</v>
      </c>
      <c r="C510" s="1" t="s">
        <v>1835</v>
      </c>
      <c r="D510" s="1" t="s">
        <v>1836</v>
      </c>
      <c r="E510" s="1" t="s">
        <v>228</v>
      </c>
      <c r="F510" s="1" t="s">
        <v>1837</v>
      </c>
      <c r="G510" s="2">
        <v>41440</v>
      </c>
      <c r="H510" s="1" t="b">
        <v>1</v>
      </c>
      <c r="I510" s="6" t="s">
        <v>28</v>
      </c>
      <c r="J510" s="1">
        <f>COUNTIF('Rental Transaction'!B510:B4381,A510)</f>
        <v>8</v>
      </c>
      <c r="K510" s="1">
        <f>SUMIF('Rental Transaction'!B:B,A510,'Rental Transaction'!H:H)</f>
        <v>67</v>
      </c>
      <c r="L510" s="17">
        <f>COUNTIFS('Retal Tran Line Item'!D:D,"BLU-RAY",'Retal Tran Line Item'!H:H,A510)/J510</f>
        <v>0.75</v>
      </c>
    </row>
    <row r="511" spans="1:12">
      <c r="A511" s="1">
        <v>921792</v>
      </c>
      <c r="B511" s="1" t="s">
        <v>394</v>
      </c>
      <c r="C511" s="1" t="s">
        <v>1838</v>
      </c>
      <c r="D511" s="1" t="s">
        <v>1839</v>
      </c>
      <c r="E511" s="1" t="s">
        <v>26</v>
      </c>
      <c r="F511" s="1" t="s">
        <v>1840</v>
      </c>
      <c r="G511" s="2">
        <v>41293</v>
      </c>
      <c r="H511" s="1" t="b">
        <v>0</v>
      </c>
      <c r="I511" s="6" t="s">
        <v>33</v>
      </c>
      <c r="J511" s="1">
        <f>COUNTIF('Rental Transaction'!B511:B4382,A511)</f>
        <v>5</v>
      </c>
      <c r="K511" s="1">
        <f>SUMIF('Rental Transaction'!B:B,A511,'Rental Transaction'!H:H)</f>
        <v>68</v>
      </c>
      <c r="L511" s="17">
        <f>COUNTIFS('Retal Tran Line Item'!D:D,"BLU-RAY",'Retal Tran Line Item'!H:H,A511)/J511</f>
        <v>1.4</v>
      </c>
    </row>
    <row r="512" spans="1:12">
      <c r="A512" s="1">
        <v>921901</v>
      </c>
      <c r="B512" s="1" t="s">
        <v>1841</v>
      </c>
      <c r="C512" s="1" t="s">
        <v>1842</v>
      </c>
      <c r="D512" s="1" t="s">
        <v>1843</v>
      </c>
      <c r="E512" s="1" t="s">
        <v>26</v>
      </c>
      <c r="F512" s="1" t="s">
        <v>1844</v>
      </c>
      <c r="G512" s="2">
        <v>41453</v>
      </c>
      <c r="H512" s="1" t="b">
        <v>0</v>
      </c>
      <c r="I512" s="6" t="s">
        <v>33</v>
      </c>
      <c r="J512" s="1">
        <f>COUNTIF('Rental Transaction'!B512:B4383,A512)</f>
        <v>6</v>
      </c>
      <c r="K512" s="1">
        <f>SUMIF('Rental Transaction'!B:B,A512,'Rental Transaction'!H:H)</f>
        <v>48</v>
      </c>
      <c r="L512" s="17">
        <f>COUNTIFS('Retal Tran Line Item'!D:D,"BLU-RAY",'Retal Tran Line Item'!H:H,A512)/J512</f>
        <v>0.33333333333333331</v>
      </c>
    </row>
    <row r="513" spans="1:12">
      <c r="A513" s="1">
        <v>924361</v>
      </c>
      <c r="B513" s="1" t="s">
        <v>1845</v>
      </c>
      <c r="C513" s="1" t="s">
        <v>1846</v>
      </c>
      <c r="D513" s="1" t="s">
        <v>1847</v>
      </c>
      <c r="E513" s="1" t="s">
        <v>228</v>
      </c>
      <c r="F513" s="1" t="s">
        <v>1848</v>
      </c>
      <c r="G513" s="2">
        <v>41517</v>
      </c>
      <c r="H513" s="1" t="b">
        <v>1</v>
      </c>
      <c r="I513" s="6" t="s">
        <v>28</v>
      </c>
      <c r="J513" s="1">
        <f>COUNTIF('Rental Transaction'!B513:B4384,A513)</f>
        <v>6</v>
      </c>
      <c r="K513" s="1">
        <f>SUMIF('Rental Transaction'!B:B,A513,'Rental Transaction'!H:H)</f>
        <v>45</v>
      </c>
      <c r="L513" s="17">
        <f>COUNTIFS('Retal Tran Line Item'!D:D,"BLU-RAY",'Retal Tran Line Item'!H:H,A513)/J513</f>
        <v>0.33333333333333331</v>
      </c>
    </row>
    <row r="514" spans="1:12">
      <c r="A514" s="1">
        <v>924649</v>
      </c>
      <c r="B514" s="1" t="s">
        <v>1849</v>
      </c>
      <c r="C514" s="1" t="s">
        <v>1850</v>
      </c>
      <c r="D514" s="1" t="s">
        <v>1851</v>
      </c>
      <c r="E514" s="1" t="s">
        <v>26</v>
      </c>
      <c r="F514" s="1" t="s">
        <v>1852</v>
      </c>
      <c r="G514" s="2">
        <v>41124</v>
      </c>
      <c r="H514" s="1" t="b">
        <v>0</v>
      </c>
      <c r="I514" s="6" t="s">
        <v>28</v>
      </c>
      <c r="J514" s="1">
        <f>COUNTIF('Rental Transaction'!B514:B4385,A514)</f>
        <v>8</v>
      </c>
      <c r="K514" s="1">
        <f>SUMIF('Rental Transaction'!B:B,A514,'Rental Transaction'!H:H)</f>
        <v>68</v>
      </c>
      <c r="L514" s="17">
        <f>COUNTIFS('Retal Tran Line Item'!D:D,"BLU-RAY",'Retal Tran Line Item'!H:H,A514)/J514</f>
        <v>0.75</v>
      </c>
    </row>
    <row r="515" spans="1:12">
      <c r="A515" s="1">
        <v>924947</v>
      </c>
      <c r="B515" s="1" t="s">
        <v>545</v>
      </c>
      <c r="C515" s="1" t="s">
        <v>1853</v>
      </c>
      <c r="D515" s="1" t="s">
        <v>1854</v>
      </c>
      <c r="E515" s="1" t="s">
        <v>26</v>
      </c>
      <c r="F515" s="1" t="s">
        <v>1855</v>
      </c>
      <c r="G515" s="2">
        <v>41383</v>
      </c>
      <c r="H515" s="1" t="b">
        <v>0</v>
      </c>
      <c r="I515" s="6" t="s">
        <v>28</v>
      </c>
      <c r="J515" s="1">
        <f>COUNTIF('Rental Transaction'!B515:B4386,A515)</f>
        <v>4</v>
      </c>
      <c r="K515" s="1">
        <f>SUMIF('Rental Transaction'!B:B,A515,'Rental Transaction'!H:H)</f>
        <v>26</v>
      </c>
      <c r="L515" s="17">
        <f>COUNTIFS('Retal Tran Line Item'!D:D,"BLU-RAY",'Retal Tran Line Item'!H:H,A515)/J515</f>
        <v>0.25</v>
      </c>
    </row>
    <row r="516" spans="1:12">
      <c r="A516" s="1">
        <v>925565</v>
      </c>
      <c r="B516" s="1" t="s">
        <v>1856</v>
      </c>
      <c r="C516" s="1" t="s">
        <v>1857</v>
      </c>
      <c r="D516" s="1" t="s">
        <v>1858</v>
      </c>
      <c r="E516" s="1" t="s">
        <v>42</v>
      </c>
      <c r="F516" s="1" t="s">
        <v>1859</v>
      </c>
      <c r="G516" s="2">
        <v>41292</v>
      </c>
      <c r="H516" s="1" t="b">
        <v>0</v>
      </c>
      <c r="I516" s="6" t="s">
        <v>28</v>
      </c>
      <c r="J516" s="1">
        <f>COUNTIF('Rental Transaction'!B516:B4387,A516)</f>
        <v>8</v>
      </c>
      <c r="K516" s="1">
        <f>SUMIF('Rental Transaction'!B:B,A516,'Rental Transaction'!H:H)</f>
        <v>65</v>
      </c>
      <c r="L516" s="17">
        <f>COUNTIFS('Retal Tran Line Item'!D:D,"BLU-RAY",'Retal Tran Line Item'!H:H,A516)/J516</f>
        <v>0.125</v>
      </c>
    </row>
    <row r="517" spans="1:12">
      <c r="A517" s="1">
        <v>926144</v>
      </c>
      <c r="B517" s="1" t="s">
        <v>1860</v>
      </c>
      <c r="C517" s="1" t="s">
        <v>1861</v>
      </c>
      <c r="D517" s="1" t="s">
        <v>1862</v>
      </c>
      <c r="E517" s="1" t="s">
        <v>26</v>
      </c>
      <c r="F517" s="1" t="s">
        <v>1863</v>
      </c>
      <c r="G517" s="2">
        <v>41336</v>
      </c>
      <c r="H517" s="1" t="b">
        <v>1</v>
      </c>
      <c r="I517" s="6" t="s">
        <v>28</v>
      </c>
      <c r="J517" s="1">
        <f>COUNTIF('Rental Transaction'!B517:B4388,A517)</f>
        <v>6</v>
      </c>
      <c r="K517" s="1">
        <f>SUMIF('Rental Transaction'!B:B,A517,'Rental Transaction'!H:H)</f>
        <v>79</v>
      </c>
      <c r="L517" s="17">
        <f>COUNTIFS('Retal Tran Line Item'!D:D,"BLU-RAY",'Retal Tran Line Item'!H:H,A517)/J517</f>
        <v>0.66666666666666663</v>
      </c>
    </row>
    <row r="518" spans="1:12">
      <c r="A518" s="1">
        <v>926289</v>
      </c>
      <c r="B518" s="1" t="s">
        <v>1028</v>
      </c>
      <c r="C518" s="1" t="s">
        <v>1864</v>
      </c>
      <c r="D518" s="1" t="s">
        <v>1865</v>
      </c>
      <c r="E518" s="1" t="s">
        <v>26</v>
      </c>
      <c r="F518" s="1" t="s">
        <v>1866</v>
      </c>
      <c r="G518" s="2">
        <v>41155</v>
      </c>
      <c r="H518" s="1" t="b">
        <v>1</v>
      </c>
      <c r="I518" s="6" t="s">
        <v>33</v>
      </c>
      <c r="J518" s="1">
        <f>COUNTIF('Rental Transaction'!B518:B4389,A518)</f>
        <v>6</v>
      </c>
      <c r="K518" s="1">
        <f>SUMIF('Rental Transaction'!B:B,A518,'Rental Transaction'!H:H)</f>
        <v>65</v>
      </c>
      <c r="L518" s="17">
        <f>COUNTIFS('Retal Tran Line Item'!D:D,"BLU-RAY",'Retal Tran Line Item'!H:H,A518)/J518</f>
        <v>0.5</v>
      </c>
    </row>
    <row r="519" spans="1:12">
      <c r="A519" s="1">
        <v>927518</v>
      </c>
      <c r="B519" s="1" t="s">
        <v>1867</v>
      </c>
      <c r="C519" s="1" t="s">
        <v>1868</v>
      </c>
      <c r="D519" s="1" t="s">
        <v>1869</v>
      </c>
      <c r="E519" s="1" t="s">
        <v>26</v>
      </c>
      <c r="F519" s="1" t="s">
        <v>1870</v>
      </c>
      <c r="G519" s="2">
        <v>41489</v>
      </c>
      <c r="H519" s="1" t="b">
        <v>0</v>
      </c>
      <c r="I519" s="6" t="s">
        <v>28</v>
      </c>
      <c r="J519" s="1">
        <f>COUNTIF('Rental Transaction'!B519:B4390,A519)</f>
        <v>13</v>
      </c>
      <c r="K519" s="1">
        <f>SUMIF('Rental Transaction'!B:B,A519,'Rental Transaction'!H:H)</f>
        <v>114</v>
      </c>
      <c r="L519" s="17">
        <f>COUNTIFS('Retal Tran Line Item'!D:D,"BLU-RAY",'Retal Tran Line Item'!H:H,A519)/J519</f>
        <v>0.61538461538461542</v>
      </c>
    </row>
    <row r="520" spans="1:12">
      <c r="A520" s="1">
        <v>929344</v>
      </c>
      <c r="B520" s="1" t="s">
        <v>1332</v>
      </c>
      <c r="C520" s="1" t="s">
        <v>1871</v>
      </c>
      <c r="D520" s="1" t="s">
        <v>1872</v>
      </c>
      <c r="E520" s="1" t="s">
        <v>26</v>
      </c>
      <c r="F520" s="1" t="s">
        <v>1873</v>
      </c>
      <c r="G520" s="2">
        <v>41247</v>
      </c>
      <c r="H520" s="1" t="b">
        <v>1</v>
      </c>
      <c r="I520" s="6" t="s">
        <v>28</v>
      </c>
      <c r="J520" s="1">
        <f>COUNTIF('Rental Transaction'!B520:B4391,A520)</f>
        <v>6</v>
      </c>
      <c r="K520" s="1">
        <f>SUMIF('Rental Transaction'!B:B,A520,'Rental Transaction'!H:H)</f>
        <v>77</v>
      </c>
      <c r="L520" s="17">
        <f>COUNTIFS('Retal Tran Line Item'!D:D,"BLU-RAY",'Retal Tran Line Item'!H:H,A520)/J520</f>
        <v>0.5</v>
      </c>
    </row>
    <row r="521" spans="1:12">
      <c r="A521" s="1">
        <v>932618</v>
      </c>
      <c r="B521" s="1" t="s">
        <v>1874</v>
      </c>
      <c r="C521" s="1" t="s">
        <v>1875</v>
      </c>
      <c r="D521" s="1" t="s">
        <v>1876</v>
      </c>
      <c r="E521" s="1" t="s">
        <v>26</v>
      </c>
      <c r="F521" s="1" t="s">
        <v>1877</v>
      </c>
      <c r="G521" s="2">
        <v>41326</v>
      </c>
      <c r="H521" s="1" t="b">
        <v>0</v>
      </c>
      <c r="I521" s="6" t="s">
        <v>33</v>
      </c>
      <c r="J521" s="1">
        <f>COUNTIF('Rental Transaction'!B521:B4392,A521)</f>
        <v>10</v>
      </c>
      <c r="K521" s="1">
        <f>SUMIF('Rental Transaction'!B:B,A521,'Rental Transaction'!H:H)</f>
        <v>98</v>
      </c>
      <c r="L521" s="17">
        <f>COUNTIFS('Retal Tran Line Item'!D:D,"BLU-RAY",'Retal Tran Line Item'!H:H,A521)/J521</f>
        <v>0.7</v>
      </c>
    </row>
    <row r="522" spans="1:12">
      <c r="A522" s="1">
        <v>933331</v>
      </c>
      <c r="B522" s="1" t="s">
        <v>186</v>
      </c>
      <c r="C522" s="1" t="s">
        <v>587</v>
      </c>
      <c r="D522" s="1" t="s">
        <v>1878</v>
      </c>
      <c r="E522" s="1" t="s">
        <v>26</v>
      </c>
      <c r="F522" s="1" t="s">
        <v>1879</v>
      </c>
      <c r="G522" s="2">
        <v>41416</v>
      </c>
      <c r="H522" s="1" t="b">
        <v>1</v>
      </c>
      <c r="I522" s="6" t="s">
        <v>33</v>
      </c>
      <c r="J522" s="1">
        <f>COUNTIF('Rental Transaction'!B522:B4393,A522)</f>
        <v>5</v>
      </c>
      <c r="K522" s="1">
        <f>SUMIF('Rental Transaction'!B:B,A522,'Rental Transaction'!H:H)</f>
        <v>42</v>
      </c>
      <c r="L522" s="17">
        <f>COUNTIFS('Retal Tran Line Item'!D:D,"BLU-RAY",'Retal Tran Line Item'!H:H,A522)/J522</f>
        <v>0.6</v>
      </c>
    </row>
    <row r="523" spans="1:12">
      <c r="A523" s="1">
        <v>936214</v>
      </c>
      <c r="B523" s="1" t="s">
        <v>1880</v>
      </c>
      <c r="C523" s="1" t="s">
        <v>495</v>
      </c>
      <c r="D523" s="1" t="s">
        <v>1881</v>
      </c>
      <c r="E523" s="1" t="s">
        <v>26</v>
      </c>
      <c r="F523" s="1" t="s">
        <v>1882</v>
      </c>
      <c r="G523" s="2">
        <v>41169</v>
      </c>
      <c r="H523" s="1" t="b">
        <v>0</v>
      </c>
      <c r="I523" s="6" t="s">
        <v>28</v>
      </c>
      <c r="J523" s="1">
        <f>COUNTIF('Rental Transaction'!B523:B4394,A523)</f>
        <v>4</v>
      </c>
      <c r="K523" s="1">
        <f>SUMIF('Rental Transaction'!B:B,A523,'Rental Transaction'!H:H)</f>
        <v>38</v>
      </c>
      <c r="L523" s="17">
        <f>COUNTIFS('Retal Tran Line Item'!D:D,"BLU-RAY",'Retal Tran Line Item'!H:H,A523)/J523</f>
        <v>0.25</v>
      </c>
    </row>
    <row r="524" spans="1:12">
      <c r="A524" s="1">
        <v>938006</v>
      </c>
      <c r="B524" s="1" t="s">
        <v>1883</v>
      </c>
      <c r="C524" s="1" t="s">
        <v>1884</v>
      </c>
      <c r="D524" s="1" t="s">
        <v>1885</v>
      </c>
      <c r="E524" s="1" t="s">
        <v>26</v>
      </c>
      <c r="F524" s="1" t="s">
        <v>1886</v>
      </c>
      <c r="G524" s="2">
        <v>41301</v>
      </c>
      <c r="H524" s="1" t="b">
        <v>1</v>
      </c>
      <c r="I524" s="6" t="s">
        <v>33</v>
      </c>
      <c r="J524" s="1">
        <f>COUNTIF('Rental Transaction'!B524:B4395,A524)</f>
        <v>5</v>
      </c>
      <c r="K524" s="1">
        <f>SUMIF('Rental Transaction'!B:B,A524,'Rental Transaction'!H:H)</f>
        <v>85</v>
      </c>
      <c r="L524" s="17">
        <f>COUNTIFS('Retal Tran Line Item'!D:D,"BLU-RAY",'Retal Tran Line Item'!H:H,A524)/J524</f>
        <v>0.8</v>
      </c>
    </row>
    <row r="525" spans="1:12">
      <c r="A525" s="1">
        <v>938393</v>
      </c>
      <c r="B525" s="1" t="s">
        <v>382</v>
      </c>
      <c r="C525" s="1" t="s">
        <v>1887</v>
      </c>
      <c r="D525" s="1" t="s">
        <v>1888</v>
      </c>
      <c r="E525" s="1" t="s">
        <v>26</v>
      </c>
      <c r="F525" s="1" t="s">
        <v>1889</v>
      </c>
      <c r="G525" s="2">
        <v>41187</v>
      </c>
      <c r="H525" s="1" t="b">
        <v>1</v>
      </c>
      <c r="I525" s="6" t="s">
        <v>28</v>
      </c>
      <c r="J525" s="1">
        <f>COUNTIF('Rental Transaction'!B525:B4396,A525)</f>
        <v>5</v>
      </c>
      <c r="K525" s="1">
        <f>SUMIF('Rental Transaction'!B:B,A525,'Rental Transaction'!H:H)</f>
        <v>31</v>
      </c>
      <c r="L525" s="17">
        <f>COUNTIFS('Retal Tran Line Item'!D:D,"BLU-RAY",'Retal Tran Line Item'!H:H,A525)/J525</f>
        <v>0.6</v>
      </c>
    </row>
    <row r="526" spans="1:12">
      <c r="A526" s="1">
        <v>938417</v>
      </c>
      <c r="B526" s="1" t="s">
        <v>1770</v>
      </c>
      <c r="C526" s="1" t="s">
        <v>1890</v>
      </c>
      <c r="D526" s="1" t="s">
        <v>1891</v>
      </c>
      <c r="E526" s="1" t="s">
        <v>26</v>
      </c>
      <c r="F526" s="1" t="s">
        <v>1892</v>
      </c>
      <c r="G526" s="2">
        <v>41158</v>
      </c>
      <c r="H526" s="1" t="b">
        <v>0</v>
      </c>
      <c r="I526" s="6" t="s">
        <v>28</v>
      </c>
      <c r="J526" s="1">
        <f>COUNTIF('Rental Transaction'!B526:B4397,A526)</f>
        <v>11</v>
      </c>
      <c r="K526" s="1">
        <f>SUMIF('Rental Transaction'!B:B,A526,'Rental Transaction'!H:H)</f>
        <v>107</v>
      </c>
      <c r="L526" s="17">
        <f>COUNTIFS('Retal Tran Line Item'!D:D,"BLU-RAY",'Retal Tran Line Item'!H:H,A526)/J526</f>
        <v>0.72727272727272729</v>
      </c>
    </row>
    <row r="527" spans="1:12">
      <c r="A527" s="1">
        <v>940912</v>
      </c>
      <c r="B527" s="1" t="s">
        <v>1893</v>
      </c>
      <c r="C527" s="1" t="s">
        <v>243</v>
      </c>
      <c r="D527" s="1" t="s">
        <v>1894</v>
      </c>
      <c r="E527" s="1" t="s">
        <v>26</v>
      </c>
      <c r="F527" s="1" t="s">
        <v>1895</v>
      </c>
      <c r="G527" s="2">
        <v>41330</v>
      </c>
      <c r="H527" s="1" t="b">
        <v>0</v>
      </c>
      <c r="I527" s="6" t="s">
        <v>28</v>
      </c>
      <c r="J527" s="1">
        <f>COUNTIF('Rental Transaction'!B527:B4398,A527)</f>
        <v>1</v>
      </c>
      <c r="K527" s="1">
        <f>SUMIF('Rental Transaction'!B:B,A527,'Rental Transaction'!H:H)</f>
        <v>10</v>
      </c>
      <c r="L527" s="17">
        <f>COUNTIFS('Retal Tran Line Item'!D:D,"BLU-RAY",'Retal Tran Line Item'!H:H,A527)/J527</f>
        <v>0</v>
      </c>
    </row>
    <row r="528" spans="1:12">
      <c r="A528" s="1">
        <v>941876</v>
      </c>
      <c r="B528" s="1" t="s">
        <v>467</v>
      </c>
      <c r="C528" s="1" t="s">
        <v>1896</v>
      </c>
      <c r="D528" s="1" t="s">
        <v>1897</v>
      </c>
      <c r="E528" s="1" t="s">
        <v>26</v>
      </c>
      <c r="F528" s="1" t="s">
        <v>1898</v>
      </c>
      <c r="G528" s="2">
        <v>41495</v>
      </c>
      <c r="H528" s="1" t="b">
        <v>1</v>
      </c>
      <c r="I528" s="6" t="s">
        <v>33</v>
      </c>
      <c r="J528" s="1">
        <f>COUNTIF('Rental Transaction'!B528:B4399,A528)</f>
        <v>9</v>
      </c>
      <c r="K528" s="1">
        <f>SUMIF('Rental Transaction'!B:B,A528,'Rental Transaction'!H:H)</f>
        <v>98</v>
      </c>
      <c r="L528" s="17">
        <f>COUNTIFS('Retal Tran Line Item'!D:D,"BLU-RAY",'Retal Tran Line Item'!H:H,A528)/J528</f>
        <v>1</v>
      </c>
    </row>
    <row r="529" spans="1:12">
      <c r="A529" s="1">
        <v>944523</v>
      </c>
      <c r="B529" s="1" t="s">
        <v>409</v>
      </c>
      <c r="C529" s="1" t="s">
        <v>1899</v>
      </c>
      <c r="D529" s="1" t="s">
        <v>1900</v>
      </c>
      <c r="E529" s="1" t="s">
        <v>26</v>
      </c>
      <c r="F529" s="1" t="s">
        <v>1901</v>
      </c>
      <c r="G529" s="2">
        <v>41474</v>
      </c>
      <c r="H529" s="1" t="b">
        <v>1</v>
      </c>
      <c r="I529" s="6" t="s">
        <v>33</v>
      </c>
      <c r="J529" s="1">
        <f>COUNTIF('Rental Transaction'!B529:B4400,A529)</f>
        <v>8</v>
      </c>
      <c r="K529" s="1">
        <f>SUMIF('Rental Transaction'!B:B,A529,'Rental Transaction'!H:H)</f>
        <v>106</v>
      </c>
      <c r="L529" s="17">
        <f>COUNTIFS('Retal Tran Line Item'!D:D,"BLU-RAY",'Retal Tran Line Item'!H:H,A529)/J529</f>
        <v>0.75</v>
      </c>
    </row>
    <row r="530" spans="1:12">
      <c r="A530" s="1">
        <v>950299</v>
      </c>
      <c r="B530" s="1" t="s">
        <v>1902</v>
      </c>
      <c r="C530" s="1" t="s">
        <v>840</v>
      </c>
      <c r="D530" s="1" t="s">
        <v>1903</v>
      </c>
      <c r="E530" s="1" t="s">
        <v>26</v>
      </c>
      <c r="F530" s="1" t="s">
        <v>1904</v>
      </c>
      <c r="G530" s="2">
        <v>41185</v>
      </c>
      <c r="H530" s="1" t="b">
        <v>0</v>
      </c>
      <c r="I530" s="6" t="s">
        <v>33</v>
      </c>
      <c r="J530" s="1">
        <f>COUNTIF('Rental Transaction'!B530:B4401,A530)</f>
        <v>4</v>
      </c>
      <c r="K530" s="1">
        <f>SUMIF('Rental Transaction'!B:B,A530,'Rental Transaction'!H:H)</f>
        <v>91</v>
      </c>
      <c r="L530" s="17">
        <f>COUNTIFS('Retal Tran Line Item'!D:D,"BLU-RAY",'Retal Tran Line Item'!H:H,A530)/J530</f>
        <v>0.75</v>
      </c>
    </row>
    <row r="531" spans="1:12">
      <c r="A531" s="1">
        <v>951701</v>
      </c>
      <c r="B531" s="1" t="s">
        <v>1905</v>
      </c>
      <c r="C531" s="1" t="s">
        <v>464</v>
      </c>
      <c r="D531" s="1" t="s">
        <v>1906</v>
      </c>
      <c r="E531" s="1" t="s">
        <v>358</v>
      </c>
      <c r="F531" s="1" t="s">
        <v>1907</v>
      </c>
      <c r="G531" s="2">
        <v>41097</v>
      </c>
      <c r="H531" s="1" t="b">
        <v>1</v>
      </c>
      <c r="I531" s="6" t="s">
        <v>33</v>
      </c>
      <c r="J531" s="1">
        <f>COUNTIF('Rental Transaction'!B531:B4402,A531)</f>
        <v>2</v>
      </c>
      <c r="K531" s="1">
        <f>SUMIF('Rental Transaction'!B:B,A531,'Rental Transaction'!H:H)</f>
        <v>55</v>
      </c>
      <c r="L531" s="17">
        <f>COUNTIFS('Retal Tran Line Item'!D:D,"BLU-RAY",'Retal Tran Line Item'!H:H,A531)/J531</f>
        <v>1</v>
      </c>
    </row>
    <row r="532" spans="1:12">
      <c r="A532" s="1">
        <v>951702</v>
      </c>
      <c r="B532" s="1" t="s">
        <v>1908</v>
      </c>
      <c r="C532" s="1" t="s">
        <v>1909</v>
      </c>
      <c r="D532" s="1" t="s">
        <v>1910</v>
      </c>
      <c r="E532" s="1" t="s">
        <v>26</v>
      </c>
      <c r="F532" s="1" t="s">
        <v>1911</v>
      </c>
      <c r="G532" s="2">
        <v>41310</v>
      </c>
      <c r="H532" s="1" t="b">
        <v>0</v>
      </c>
      <c r="I532" s="6" t="s">
        <v>33</v>
      </c>
      <c r="J532" s="1">
        <f>COUNTIF('Rental Transaction'!B532:B4403,A532)</f>
        <v>7</v>
      </c>
      <c r="K532" s="1">
        <f>SUMIF('Rental Transaction'!B:B,A532,'Rental Transaction'!H:H)</f>
        <v>68</v>
      </c>
      <c r="L532" s="17">
        <f>COUNTIFS('Retal Tran Line Item'!D:D,"BLU-RAY",'Retal Tran Line Item'!H:H,A532)/J532</f>
        <v>0.7142857142857143</v>
      </c>
    </row>
    <row r="533" spans="1:12">
      <c r="A533" s="1">
        <v>954812</v>
      </c>
      <c r="B533" s="1" t="s">
        <v>427</v>
      </c>
      <c r="C533" s="1" t="s">
        <v>1144</v>
      </c>
      <c r="D533" s="1" t="s">
        <v>1912</v>
      </c>
      <c r="E533" s="1" t="s">
        <v>37</v>
      </c>
      <c r="F533" s="1" t="s">
        <v>1913</v>
      </c>
      <c r="G533" s="2">
        <v>41443</v>
      </c>
      <c r="H533" s="1" t="b">
        <v>1</v>
      </c>
      <c r="I533" s="6" t="s">
        <v>33</v>
      </c>
      <c r="J533" s="1">
        <f>COUNTIF('Rental Transaction'!B533:B4404,A533)</f>
        <v>6</v>
      </c>
      <c r="K533" s="1">
        <f>SUMIF('Rental Transaction'!B:B,A533,'Rental Transaction'!H:H)</f>
        <v>53</v>
      </c>
      <c r="L533" s="17">
        <f>COUNTIFS('Retal Tran Line Item'!D:D,"BLU-RAY",'Retal Tran Line Item'!H:H,A533)/J533</f>
        <v>0.16666666666666666</v>
      </c>
    </row>
    <row r="534" spans="1:12">
      <c r="A534" s="1">
        <v>955591</v>
      </c>
      <c r="B534" s="1" t="s">
        <v>1914</v>
      </c>
      <c r="C534" s="1" t="s">
        <v>1915</v>
      </c>
      <c r="D534" s="1" t="s">
        <v>1916</v>
      </c>
      <c r="E534" s="1" t="s">
        <v>26</v>
      </c>
      <c r="F534" s="1" t="s">
        <v>1917</v>
      </c>
      <c r="G534" s="2">
        <v>41282</v>
      </c>
      <c r="H534" s="1" t="b">
        <v>1</v>
      </c>
      <c r="I534" s="6" t="s">
        <v>33</v>
      </c>
      <c r="J534" s="1">
        <f>COUNTIF('Rental Transaction'!B534:B4405,A534)</f>
        <v>8</v>
      </c>
      <c r="K534" s="1">
        <f>SUMIF('Rental Transaction'!B:B,A534,'Rental Transaction'!H:H)</f>
        <v>84</v>
      </c>
      <c r="L534" s="17">
        <f>COUNTIFS('Retal Tran Line Item'!D:D,"BLU-RAY",'Retal Tran Line Item'!H:H,A534)/J534</f>
        <v>0.125</v>
      </c>
    </row>
    <row r="535" spans="1:12">
      <c r="A535" s="1">
        <v>958321</v>
      </c>
      <c r="B535" s="1" t="s">
        <v>1918</v>
      </c>
      <c r="C535" s="1" t="s">
        <v>1919</v>
      </c>
      <c r="D535" s="1" t="s">
        <v>1920</v>
      </c>
      <c r="E535" s="1" t="s">
        <v>26</v>
      </c>
      <c r="F535" s="1" t="s">
        <v>1921</v>
      </c>
      <c r="G535" s="2">
        <v>41295</v>
      </c>
      <c r="H535" s="1" t="b">
        <v>0</v>
      </c>
      <c r="I535" s="6" t="s">
        <v>28</v>
      </c>
      <c r="J535" s="1">
        <f>COUNTIF('Rental Transaction'!B535:B4406,A535)</f>
        <v>8</v>
      </c>
      <c r="K535" s="1">
        <f>SUMIF('Rental Transaction'!B:B,A535,'Rental Transaction'!H:H)</f>
        <v>81</v>
      </c>
      <c r="L535" s="17">
        <f>COUNTIFS('Retal Tran Line Item'!D:D,"BLU-RAY",'Retal Tran Line Item'!H:H,A535)/J535</f>
        <v>0.5</v>
      </c>
    </row>
    <row r="536" spans="1:12">
      <c r="A536" s="1">
        <v>961080</v>
      </c>
      <c r="B536" s="1" t="s">
        <v>1295</v>
      </c>
      <c r="C536" s="1" t="s">
        <v>420</v>
      </c>
      <c r="D536" s="1" t="s">
        <v>1922</v>
      </c>
      <c r="E536" s="1" t="s">
        <v>26</v>
      </c>
      <c r="F536" s="1" t="s">
        <v>1923</v>
      </c>
      <c r="G536" s="2">
        <v>41099</v>
      </c>
      <c r="H536" s="1" t="b">
        <v>0</v>
      </c>
      <c r="I536" s="6" t="s">
        <v>33</v>
      </c>
      <c r="J536" s="1">
        <f>COUNTIF('Rental Transaction'!B536:B4407,A536)</f>
        <v>3</v>
      </c>
      <c r="K536" s="1">
        <f>SUMIF('Rental Transaction'!B:B,A536,'Rental Transaction'!H:H)</f>
        <v>70</v>
      </c>
      <c r="L536" s="17">
        <f>COUNTIFS('Retal Tran Line Item'!D:D,"BLU-RAY",'Retal Tran Line Item'!H:H,A536)/J536</f>
        <v>1.6666666666666667</v>
      </c>
    </row>
    <row r="537" spans="1:12">
      <c r="A537" s="1">
        <v>964403</v>
      </c>
      <c r="B537" s="1" t="s">
        <v>141</v>
      </c>
      <c r="C537" s="1" t="s">
        <v>1924</v>
      </c>
      <c r="D537" s="1" t="s">
        <v>1925</v>
      </c>
      <c r="E537" s="1" t="s">
        <v>26</v>
      </c>
      <c r="F537" s="1" t="s">
        <v>1926</v>
      </c>
      <c r="G537" s="2">
        <v>41311</v>
      </c>
      <c r="H537" s="1" t="b">
        <v>0</v>
      </c>
      <c r="I537" s="6" t="s">
        <v>28</v>
      </c>
      <c r="J537" s="1">
        <f>COUNTIF('Rental Transaction'!B537:B4408,A537)</f>
        <v>4</v>
      </c>
      <c r="K537" s="1">
        <f>SUMIF('Rental Transaction'!B:B,A537,'Rental Transaction'!H:H)</f>
        <v>34</v>
      </c>
      <c r="L537" s="17">
        <f>COUNTIFS('Retal Tran Line Item'!D:D,"BLU-RAY",'Retal Tran Line Item'!H:H,A537)/J537</f>
        <v>0.75</v>
      </c>
    </row>
    <row r="538" spans="1:12">
      <c r="A538" s="1">
        <v>964619</v>
      </c>
      <c r="B538" s="1" t="s">
        <v>1380</v>
      </c>
      <c r="C538" s="1" t="s">
        <v>1927</v>
      </c>
      <c r="D538" s="1" t="s">
        <v>1928</v>
      </c>
      <c r="E538" s="1" t="s">
        <v>26</v>
      </c>
      <c r="F538" s="1" t="s">
        <v>1929</v>
      </c>
      <c r="G538" s="2">
        <v>41493</v>
      </c>
      <c r="H538" s="1" t="b">
        <v>1</v>
      </c>
      <c r="I538" s="6" t="s">
        <v>28</v>
      </c>
      <c r="J538" s="1">
        <f>COUNTIF('Rental Transaction'!B538:B4409,A538)</f>
        <v>8</v>
      </c>
      <c r="K538" s="1">
        <f>SUMIF('Rental Transaction'!B:B,A538,'Rental Transaction'!H:H)</f>
        <v>71</v>
      </c>
      <c r="L538" s="17">
        <f>COUNTIFS('Retal Tran Line Item'!D:D,"BLU-RAY",'Retal Tran Line Item'!H:H,A538)/J538</f>
        <v>0.25</v>
      </c>
    </row>
    <row r="539" spans="1:12">
      <c r="A539" s="1">
        <v>970794</v>
      </c>
      <c r="B539" s="1" t="s">
        <v>1930</v>
      </c>
      <c r="C539" s="1" t="s">
        <v>1931</v>
      </c>
      <c r="D539" s="1" t="s">
        <v>1932</v>
      </c>
      <c r="E539" s="1" t="s">
        <v>26</v>
      </c>
      <c r="F539" s="1" t="s">
        <v>1933</v>
      </c>
      <c r="G539" s="2">
        <v>41436</v>
      </c>
      <c r="H539" s="1" t="b">
        <v>0</v>
      </c>
      <c r="I539" s="6" t="s">
        <v>28</v>
      </c>
      <c r="J539" s="1">
        <f>COUNTIF('Rental Transaction'!B539:B4410,A539)</f>
        <v>9</v>
      </c>
      <c r="K539" s="1">
        <f>SUMIF('Rental Transaction'!B:B,A539,'Rental Transaction'!H:H)</f>
        <v>63</v>
      </c>
      <c r="L539" s="17">
        <f>COUNTIFS('Retal Tran Line Item'!D:D,"BLU-RAY",'Retal Tran Line Item'!H:H,A539)/J539</f>
        <v>0.22222222222222221</v>
      </c>
    </row>
    <row r="540" spans="1:12">
      <c r="A540" s="1">
        <v>972329</v>
      </c>
      <c r="B540" s="1" t="s">
        <v>1934</v>
      </c>
      <c r="C540" s="1" t="s">
        <v>1935</v>
      </c>
      <c r="D540" s="1" t="s">
        <v>1936</v>
      </c>
      <c r="E540" s="1" t="s">
        <v>201</v>
      </c>
      <c r="F540" s="1" t="s">
        <v>1937</v>
      </c>
      <c r="G540" s="2">
        <v>41505</v>
      </c>
      <c r="H540" s="1" t="b">
        <v>0</v>
      </c>
      <c r="I540" s="6" t="s">
        <v>28</v>
      </c>
      <c r="J540" s="1">
        <f>COUNTIF('Rental Transaction'!B540:B4411,A540)</f>
        <v>3</v>
      </c>
      <c r="K540" s="1">
        <f>SUMIF('Rental Transaction'!B:B,A540,'Rental Transaction'!H:H)</f>
        <v>14</v>
      </c>
      <c r="L540" s="17">
        <f>COUNTIFS('Retal Tran Line Item'!D:D,"BLU-RAY",'Retal Tran Line Item'!H:H,A540)/J540</f>
        <v>0.66666666666666663</v>
      </c>
    </row>
    <row r="541" spans="1:12">
      <c r="A541" s="1">
        <v>973766</v>
      </c>
      <c r="B541" s="1" t="s">
        <v>1383</v>
      </c>
      <c r="C541" s="1" t="s">
        <v>1938</v>
      </c>
      <c r="D541" s="1" t="s">
        <v>1939</v>
      </c>
      <c r="E541" s="1" t="s">
        <v>26</v>
      </c>
      <c r="F541" s="1" t="s">
        <v>1940</v>
      </c>
      <c r="G541" s="2">
        <v>41314</v>
      </c>
      <c r="H541" s="1" t="b">
        <v>1</v>
      </c>
      <c r="I541" s="6" t="s">
        <v>33</v>
      </c>
      <c r="J541" s="1">
        <f>COUNTIF('Rental Transaction'!B541:B4412,A541)</f>
        <v>3</v>
      </c>
      <c r="K541" s="1">
        <f>SUMIF('Rental Transaction'!B:B,A541,'Rental Transaction'!H:H)</f>
        <v>56</v>
      </c>
      <c r="L541" s="17">
        <f>COUNTIFS('Retal Tran Line Item'!D:D,"BLU-RAY",'Retal Tran Line Item'!H:H,A541)/J541</f>
        <v>0.66666666666666663</v>
      </c>
    </row>
    <row r="542" spans="1:12">
      <c r="A542" s="1">
        <v>974503</v>
      </c>
      <c r="B542" s="1" t="s">
        <v>1941</v>
      </c>
      <c r="C542" s="1" t="s">
        <v>91</v>
      </c>
      <c r="D542" s="1" t="s">
        <v>1942</v>
      </c>
      <c r="E542" s="1" t="s">
        <v>228</v>
      </c>
      <c r="F542" s="1" t="s">
        <v>1943</v>
      </c>
      <c r="G542" s="2">
        <v>41375</v>
      </c>
      <c r="H542" s="1" t="b">
        <v>1</v>
      </c>
      <c r="I542" s="6" t="s">
        <v>33</v>
      </c>
      <c r="J542" s="1">
        <f>COUNTIF('Rental Transaction'!B542:B4413,A542)</f>
        <v>7</v>
      </c>
      <c r="K542" s="1">
        <f>SUMIF('Rental Transaction'!B:B,A542,'Rental Transaction'!H:H)</f>
        <v>67</v>
      </c>
      <c r="L542" s="17">
        <f>COUNTIFS('Retal Tran Line Item'!D:D,"BLU-RAY",'Retal Tran Line Item'!H:H,A542)/J542</f>
        <v>0.7142857142857143</v>
      </c>
    </row>
    <row r="543" spans="1:12">
      <c r="A543" s="1">
        <v>976778</v>
      </c>
      <c r="B543" s="1" t="s">
        <v>1944</v>
      </c>
      <c r="C543" s="1" t="s">
        <v>1945</v>
      </c>
      <c r="D543" s="1" t="s">
        <v>1946</v>
      </c>
      <c r="E543" s="1" t="s">
        <v>349</v>
      </c>
      <c r="F543" s="1" t="s">
        <v>1947</v>
      </c>
      <c r="G543" s="2">
        <v>41504</v>
      </c>
      <c r="H543" s="1" t="b">
        <v>1</v>
      </c>
      <c r="I543" s="6" t="s">
        <v>28</v>
      </c>
      <c r="J543" s="1">
        <f>COUNTIF('Rental Transaction'!B543:B4414,A543)</f>
        <v>6</v>
      </c>
      <c r="K543" s="1">
        <f>SUMIF('Rental Transaction'!B:B,A543,'Rental Transaction'!H:H)</f>
        <v>56</v>
      </c>
      <c r="L543" s="17">
        <f>COUNTIFS('Retal Tran Line Item'!D:D,"BLU-RAY",'Retal Tran Line Item'!H:H,A543)/J543</f>
        <v>0.5</v>
      </c>
    </row>
    <row r="544" spans="1:12">
      <c r="A544" s="1">
        <v>977759</v>
      </c>
      <c r="B544" s="1" t="s">
        <v>1435</v>
      </c>
      <c r="C544" s="1" t="s">
        <v>1948</v>
      </c>
      <c r="D544" s="1" t="s">
        <v>1949</v>
      </c>
      <c r="E544" s="1" t="s">
        <v>26</v>
      </c>
      <c r="F544" s="1" t="s">
        <v>1950</v>
      </c>
      <c r="G544" s="2">
        <v>41506</v>
      </c>
      <c r="H544" s="1" t="b">
        <v>1</v>
      </c>
      <c r="I544" s="6" t="s">
        <v>33</v>
      </c>
      <c r="J544" s="1">
        <f>COUNTIF('Rental Transaction'!B544:B4415,A544)</f>
        <v>6</v>
      </c>
      <c r="K544" s="1">
        <f>SUMIF('Rental Transaction'!B:B,A544,'Rental Transaction'!H:H)</f>
        <v>70</v>
      </c>
      <c r="L544" s="17">
        <f>COUNTIFS('Retal Tran Line Item'!D:D,"BLU-RAY",'Retal Tran Line Item'!H:H,A544)/J544</f>
        <v>0.16666666666666666</v>
      </c>
    </row>
    <row r="545" spans="1:12">
      <c r="A545" s="1">
        <v>979679</v>
      </c>
      <c r="B545" s="1" t="s">
        <v>928</v>
      </c>
      <c r="C545" s="1" t="s">
        <v>1951</v>
      </c>
      <c r="D545" s="1" t="s">
        <v>1952</v>
      </c>
      <c r="E545" s="1" t="s">
        <v>26</v>
      </c>
      <c r="F545" s="1" t="s">
        <v>1953</v>
      </c>
      <c r="G545" s="2">
        <v>41343</v>
      </c>
      <c r="H545" s="1" t="b">
        <v>0</v>
      </c>
      <c r="I545" s="6" t="s">
        <v>33</v>
      </c>
      <c r="J545" s="1">
        <f>COUNTIF('Rental Transaction'!B545:B4416,A545)</f>
        <v>2</v>
      </c>
      <c r="K545" s="1">
        <f>SUMIF('Rental Transaction'!B:B,A545,'Rental Transaction'!H:H)</f>
        <v>16</v>
      </c>
      <c r="L545" s="17">
        <f>COUNTIFS('Retal Tran Line Item'!D:D,"BLU-RAY",'Retal Tran Line Item'!H:H,A545)/J545</f>
        <v>1</v>
      </c>
    </row>
    <row r="546" spans="1:12">
      <c r="A546" s="1">
        <v>981529</v>
      </c>
      <c r="B546" s="1" t="s">
        <v>1295</v>
      </c>
      <c r="C546" s="1" t="s">
        <v>1539</v>
      </c>
      <c r="D546" s="1" t="s">
        <v>1954</v>
      </c>
      <c r="E546" s="1" t="s">
        <v>26</v>
      </c>
      <c r="F546" s="1" t="s">
        <v>1955</v>
      </c>
      <c r="G546" s="2">
        <v>41328</v>
      </c>
      <c r="H546" s="1" t="b">
        <v>0</v>
      </c>
      <c r="I546" s="6" t="s">
        <v>33</v>
      </c>
      <c r="J546" s="1">
        <f>COUNTIF('Rental Transaction'!B546:B4417,A546)</f>
        <v>4</v>
      </c>
      <c r="K546" s="1">
        <f>SUMIF('Rental Transaction'!B:B,A546,'Rental Transaction'!H:H)</f>
        <v>34</v>
      </c>
      <c r="L546" s="17">
        <f>COUNTIFS('Retal Tran Line Item'!D:D,"BLU-RAY",'Retal Tran Line Item'!H:H,A546)/J546</f>
        <v>0.25</v>
      </c>
    </row>
    <row r="547" spans="1:12">
      <c r="A547" s="1">
        <v>992895</v>
      </c>
      <c r="B547" s="1" t="s">
        <v>1956</v>
      </c>
      <c r="C547" s="1" t="s">
        <v>1957</v>
      </c>
      <c r="D547" s="1" t="s">
        <v>1958</v>
      </c>
      <c r="E547" s="1" t="s">
        <v>26</v>
      </c>
      <c r="F547" s="1" t="s">
        <v>1959</v>
      </c>
      <c r="G547" s="2">
        <v>41426</v>
      </c>
      <c r="H547" s="1" t="b">
        <v>1</v>
      </c>
      <c r="I547" s="6" t="s">
        <v>28</v>
      </c>
      <c r="J547" s="1">
        <f>COUNTIF('Rental Transaction'!B547:B4418,A547)</f>
        <v>6</v>
      </c>
      <c r="K547" s="1">
        <f>SUMIF('Rental Transaction'!B:B,A547,'Rental Transaction'!H:H)</f>
        <v>45</v>
      </c>
      <c r="L547" s="17">
        <f>COUNTIFS('Retal Tran Line Item'!D:D,"BLU-RAY",'Retal Tran Line Item'!H:H,A547)/J547</f>
        <v>0.5</v>
      </c>
    </row>
    <row r="548" spans="1:12">
      <c r="A548" s="1">
        <v>992956</v>
      </c>
      <c r="B548" s="1" t="s">
        <v>1069</v>
      </c>
      <c r="C548" s="1" t="s">
        <v>546</v>
      </c>
      <c r="D548" s="1" t="s">
        <v>1960</v>
      </c>
      <c r="E548" s="1" t="s">
        <v>26</v>
      </c>
      <c r="F548" s="1" t="s">
        <v>1961</v>
      </c>
      <c r="G548" s="2">
        <v>41209</v>
      </c>
      <c r="H548" s="1" t="b">
        <v>0</v>
      </c>
      <c r="I548" s="6" t="s">
        <v>28</v>
      </c>
      <c r="J548" s="1">
        <f>COUNTIF('Rental Transaction'!B548:B4419,A548)</f>
        <v>5</v>
      </c>
      <c r="K548" s="1">
        <f>SUMIF('Rental Transaction'!B:B,A548,'Rental Transaction'!H:H)</f>
        <v>44</v>
      </c>
      <c r="L548" s="17">
        <f>COUNTIFS('Retal Tran Line Item'!D:D,"BLU-RAY",'Retal Tran Line Item'!H:H,A548)/J548</f>
        <v>0.8</v>
      </c>
    </row>
    <row r="549" spans="1:12">
      <c r="A549" s="1">
        <v>994056</v>
      </c>
      <c r="B549" s="1" t="s">
        <v>1962</v>
      </c>
      <c r="C549" s="1" t="s">
        <v>1899</v>
      </c>
      <c r="D549" s="1" t="s">
        <v>1963</v>
      </c>
      <c r="E549" s="1" t="s">
        <v>26</v>
      </c>
      <c r="F549" s="1" t="s">
        <v>1964</v>
      </c>
      <c r="G549" s="2">
        <v>41244</v>
      </c>
      <c r="H549" s="1" t="b">
        <v>1</v>
      </c>
      <c r="I549" s="6" t="s">
        <v>33</v>
      </c>
      <c r="J549" s="1">
        <f>COUNTIF('Rental Transaction'!B549:B4420,A549)</f>
        <v>8</v>
      </c>
      <c r="K549" s="1">
        <f>SUMIF('Rental Transaction'!B:B,A549,'Rental Transaction'!H:H)</f>
        <v>61</v>
      </c>
      <c r="L549" s="17">
        <f>COUNTIFS('Retal Tran Line Item'!D:D,"BLU-RAY",'Retal Tran Line Item'!H:H,A549)/J549</f>
        <v>0.25</v>
      </c>
    </row>
    <row r="550" spans="1:12">
      <c r="A550" s="1">
        <v>994185</v>
      </c>
      <c r="B550" s="1" t="s">
        <v>269</v>
      </c>
      <c r="C550" s="1" t="s">
        <v>661</v>
      </c>
      <c r="D550" s="1" t="s">
        <v>1965</v>
      </c>
      <c r="E550" s="1" t="s">
        <v>26</v>
      </c>
      <c r="F550" s="1" t="s">
        <v>1966</v>
      </c>
      <c r="G550" s="2">
        <v>41299</v>
      </c>
      <c r="H550" s="1" t="b">
        <v>1</v>
      </c>
      <c r="I550" s="6" t="s">
        <v>33</v>
      </c>
      <c r="J550" s="1">
        <f>COUNTIF('Rental Transaction'!B550:B4421,A550)</f>
        <v>11</v>
      </c>
      <c r="K550" s="1">
        <f>SUMIF('Rental Transaction'!B:B,A550,'Rental Transaction'!H:H)</f>
        <v>123</v>
      </c>
      <c r="L550" s="17">
        <f>COUNTIFS('Retal Tran Line Item'!D:D,"BLU-RAY",'Retal Tran Line Item'!H:H,A550)/J550</f>
        <v>0.63636363636363635</v>
      </c>
    </row>
    <row r="551" spans="1:12">
      <c r="A551" s="1">
        <v>994199</v>
      </c>
      <c r="B551" s="1" t="s">
        <v>273</v>
      </c>
      <c r="C551" s="1" t="s">
        <v>1967</v>
      </c>
      <c r="D551" s="1" t="s">
        <v>1968</v>
      </c>
      <c r="E551" s="1" t="s">
        <v>26</v>
      </c>
      <c r="F551" s="1" t="s">
        <v>1969</v>
      </c>
      <c r="G551" s="2">
        <v>41184</v>
      </c>
      <c r="H551" s="1" t="b">
        <v>1</v>
      </c>
      <c r="I551" s="6" t="s">
        <v>33</v>
      </c>
      <c r="J551" s="1">
        <f>COUNTIF('Rental Transaction'!B551:B4422,A551)</f>
        <v>5</v>
      </c>
      <c r="K551" s="1">
        <f>SUMIF('Rental Transaction'!B:B,A551,'Rental Transaction'!H:H)</f>
        <v>98</v>
      </c>
      <c r="L551" s="17">
        <f>COUNTIFS('Retal Tran Line Item'!D:D,"BLU-RAY",'Retal Tran Line Item'!H:H,A551)/J551</f>
        <v>1</v>
      </c>
    </row>
    <row r="552" spans="1:12">
      <c r="A552" s="1">
        <v>994269</v>
      </c>
      <c r="B552" s="1" t="s">
        <v>1970</v>
      </c>
      <c r="C552" s="1" t="s">
        <v>1971</v>
      </c>
      <c r="D552" s="1" t="s">
        <v>1972</v>
      </c>
      <c r="E552" s="1" t="s">
        <v>26</v>
      </c>
      <c r="F552" s="1" t="s">
        <v>1973</v>
      </c>
      <c r="G552" s="2">
        <v>41532</v>
      </c>
      <c r="H552" s="1" t="b">
        <v>0</v>
      </c>
      <c r="I552" s="6" t="s">
        <v>28</v>
      </c>
      <c r="J552" s="1">
        <f>COUNTIF('Rental Transaction'!B552:B4423,A552)</f>
        <v>3</v>
      </c>
      <c r="K552" s="1">
        <f>SUMIF('Rental Transaction'!B:B,A552,'Rental Transaction'!H:H)</f>
        <v>26</v>
      </c>
      <c r="L552" s="17">
        <f>COUNTIFS('Retal Tran Line Item'!D:D,"BLU-RAY",'Retal Tran Line Item'!H:H,A552)/J552</f>
        <v>0.33333333333333331</v>
      </c>
    </row>
    <row r="553" spans="1:12">
      <c r="A553" s="1">
        <v>995599</v>
      </c>
      <c r="B553" s="1" t="s">
        <v>194</v>
      </c>
      <c r="C553" s="1" t="s">
        <v>1974</v>
      </c>
      <c r="D553" s="1" t="s">
        <v>1975</v>
      </c>
      <c r="E553" s="1" t="s">
        <v>26</v>
      </c>
      <c r="F553" s="1" t="s">
        <v>1976</v>
      </c>
      <c r="G553" s="2">
        <v>41142</v>
      </c>
      <c r="H553" s="1" t="b">
        <v>1</v>
      </c>
      <c r="I553" s="6" t="s">
        <v>28</v>
      </c>
      <c r="J553" s="1">
        <f>COUNTIF('Rental Transaction'!B553:B4424,A553)</f>
        <v>7</v>
      </c>
      <c r="K553" s="1">
        <f>SUMIF('Rental Transaction'!B:B,A553,'Rental Transaction'!H:H)</f>
        <v>64</v>
      </c>
      <c r="L553" s="17">
        <f>COUNTIFS('Retal Tran Line Item'!D:D,"BLU-RAY",'Retal Tran Line Item'!H:H,A553)/J553</f>
        <v>0.2857142857142857</v>
      </c>
    </row>
    <row r="554" spans="1:12">
      <c r="A554" s="1">
        <v>996970</v>
      </c>
      <c r="B554" s="1" t="s">
        <v>106</v>
      </c>
      <c r="C554" s="1" t="s">
        <v>1977</v>
      </c>
      <c r="D554" s="1" t="s">
        <v>1978</v>
      </c>
      <c r="E554" s="1" t="s">
        <v>341</v>
      </c>
      <c r="F554" s="1" t="s">
        <v>1979</v>
      </c>
      <c r="G554" s="2">
        <v>41385</v>
      </c>
      <c r="H554" s="1" t="b">
        <v>1</v>
      </c>
      <c r="I554" s="6" t="s">
        <v>33</v>
      </c>
      <c r="J554" s="1">
        <f>COUNTIF('Rental Transaction'!B554:B4425,A554)</f>
        <v>7</v>
      </c>
      <c r="K554" s="1">
        <f>SUMIF('Rental Transaction'!B:B,A554,'Rental Transaction'!H:H)</f>
        <v>58</v>
      </c>
      <c r="L554" s="17">
        <f>COUNTIFS('Retal Tran Line Item'!D:D,"BLU-RAY",'Retal Tran Line Item'!H:H,A554)/J554</f>
        <v>0.42857142857142855</v>
      </c>
    </row>
    <row r="555" spans="1:12">
      <c r="A555" s="1">
        <v>999915</v>
      </c>
      <c r="B555" s="1" t="s">
        <v>1323</v>
      </c>
      <c r="C555" s="1" t="s">
        <v>1277</v>
      </c>
      <c r="D555" s="1" t="s">
        <v>1980</v>
      </c>
      <c r="E555" s="1" t="s">
        <v>26</v>
      </c>
      <c r="F555" s="1" t="s">
        <v>1981</v>
      </c>
      <c r="G555" s="2">
        <v>41475</v>
      </c>
      <c r="H555" s="1" t="b">
        <v>0</v>
      </c>
      <c r="I555" s="6" t="s">
        <v>28</v>
      </c>
      <c r="J555" s="1">
        <f>COUNTIF('Rental Transaction'!B555:B4426,A555)</f>
        <v>11</v>
      </c>
      <c r="K555" s="1">
        <f>SUMIF('Rental Transaction'!B:B,A555,'Rental Transaction'!H:H)</f>
        <v>139</v>
      </c>
      <c r="L555" s="17">
        <f>COUNTIFS('Retal Tran Line Item'!D:D,"BLU-RAY",'Retal Tran Line Item'!H:H,A555)/J555</f>
        <v>0.45454545454545453</v>
      </c>
    </row>
  </sheetData>
  <autoFilter ref="A1:L555" xr:uid="{51684B65-0999-402F-A652-4C9E05CD99A5}"/>
  <dataValidations xWindow="902" yWindow="217" count="1">
    <dataValidation allowBlank="1" showInputMessage="1" showErrorMessage="1" prompt="Fill Total Price in the Rental transaction sheet before filling this values._x000a_" sqref="K1:K1048576" xr:uid="{5D1DB63A-42C0-4B5C-8916-2DB7981683A3}"/>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9F99C-C412-4DA4-98F4-69F8AB3FEDB5}">
  <dimension ref="A1:K3873"/>
  <sheetViews>
    <sheetView tabSelected="1" workbookViewId="0">
      <selection activeCell="G3" sqref="G3"/>
    </sheetView>
  </sheetViews>
  <sheetFormatPr defaultRowHeight="15"/>
  <cols>
    <col min="1" max="1" width="7.42578125" bestFit="1" customWidth="1"/>
    <col min="2" max="2" width="11.5703125" bestFit="1" customWidth="1"/>
    <col min="3" max="3" width="15.5703125" style="3" bestFit="1" customWidth="1"/>
    <col min="4" max="4" width="16.42578125" bestFit="1" customWidth="1"/>
    <col min="5" max="5" width="10.42578125" bestFit="1" customWidth="1"/>
    <col min="6" max="6" width="12.140625" bestFit="1" customWidth="1"/>
    <col min="7" max="7" width="19.7109375" bestFit="1" customWidth="1"/>
    <col min="8" max="8" width="10.28515625" bestFit="1" customWidth="1"/>
    <col min="9" max="9" width="17.140625" customWidth="1"/>
    <col min="10" max="10" width="36.5703125" bestFit="1" customWidth="1"/>
    <col min="11" max="11" width="29.5703125" bestFit="1" customWidth="1"/>
  </cols>
  <sheetData>
    <row r="1" spans="1:11">
      <c r="A1" s="4" t="s">
        <v>1982</v>
      </c>
      <c r="B1" s="4" t="s">
        <v>11</v>
      </c>
      <c r="C1" s="5" t="s">
        <v>1983</v>
      </c>
      <c r="D1" s="4" t="s">
        <v>1984</v>
      </c>
      <c r="E1" s="7" t="s">
        <v>1985</v>
      </c>
      <c r="F1" s="12" t="s">
        <v>1986</v>
      </c>
      <c r="G1" s="12" t="s">
        <v>1987</v>
      </c>
      <c r="H1" s="11" t="s">
        <v>1988</v>
      </c>
    </row>
    <row r="2" spans="1:11" ht="43.5">
      <c r="A2" s="1">
        <v>100000</v>
      </c>
      <c r="B2" s="1">
        <v>864896</v>
      </c>
      <c r="C2" s="2">
        <v>41097</v>
      </c>
      <c r="D2" s="1" t="s">
        <v>1989</v>
      </c>
      <c r="E2" s="6">
        <v>2</v>
      </c>
      <c r="F2" s="6" t="str">
        <f>TEXT(C2,"MMMM")</f>
        <v>July</v>
      </c>
      <c r="G2" s="6">
        <f>WEEKNUM(C2)</f>
        <v>27</v>
      </c>
      <c r="H2" s="1">
        <f>SUMIF('Retal Tran Line Item'!E:E,A2,'Retal Tran Line Item'!B:B)</f>
        <v>25</v>
      </c>
      <c r="J2" s="14" t="s">
        <v>1990</v>
      </c>
      <c r="K2" t="s">
        <v>1991</v>
      </c>
    </row>
    <row r="3" spans="1:11">
      <c r="A3" s="1">
        <v>100001</v>
      </c>
      <c r="B3" s="1">
        <v>610766</v>
      </c>
      <c r="C3" s="2">
        <v>41103</v>
      </c>
      <c r="D3" s="1" t="s">
        <v>1992</v>
      </c>
      <c r="E3" s="6">
        <v>1</v>
      </c>
      <c r="F3" s="6" t="str">
        <f t="shared" ref="F3:F66" si="0">TEXT(C3,"MMMM")</f>
        <v>July</v>
      </c>
      <c r="G3" s="6">
        <f t="shared" ref="G3:G66" si="1">WEEKNUM(C3)</f>
        <v>28</v>
      </c>
      <c r="H3" s="1">
        <f>SUMIF('Retal Tran Line Item'!E:E,A3,'Retal Tran Line Item'!B:B)</f>
        <v>5</v>
      </c>
    </row>
    <row r="4" spans="1:11">
      <c r="A4" s="1">
        <v>100002</v>
      </c>
      <c r="B4" s="1">
        <v>207846</v>
      </c>
      <c r="C4" s="2">
        <v>41103</v>
      </c>
      <c r="D4" s="1" t="s">
        <v>1993</v>
      </c>
      <c r="E4" s="6">
        <v>1</v>
      </c>
      <c r="F4" s="6" t="str">
        <f t="shared" si="0"/>
        <v>July</v>
      </c>
      <c r="G4" s="6">
        <f t="shared" si="1"/>
        <v>28</v>
      </c>
      <c r="H4" s="1">
        <f>SUMIF('Retal Tran Line Item'!E:E,A4,'Retal Tran Line Item'!B:B)</f>
        <v>11</v>
      </c>
    </row>
    <row r="5" spans="1:11">
      <c r="A5" s="1">
        <v>100003</v>
      </c>
      <c r="B5" s="1">
        <v>166612</v>
      </c>
      <c r="C5" s="2">
        <v>41107</v>
      </c>
      <c r="D5" s="1" t="s">
        <v>1993</v>
      </c>
      <c r="E5" s="6">
        <v>2</v>
      </c>
      <c r="F5" s="6" t="str">
        <f t="shared" si="0"/>
        <v>July</v>
      </c>
      <c r="G5" s="6">
        <f t="shared" si="1"/>
        <v>29</v>
      </c>
      <c r="H5" s="1">
        <f>SUMIF('Retal Tran Line Item'!E:E,A5,'Retal Tran Line Item'!B:B)</f>
        <v>7</v>
      </c>
    </row>
    <row r="6" spans="1:11">
      <c r="A6" s="1">
        <v>100004</v>
      </c>
      <c r="B6" s="1">
        <v>482274</v>
      </c>
      <c r="C6" s="2">
        <v>41116</v>
      </c>
      <c r="D6" s="1" t="s">
        <v>1992</v>
      </c>
      <c r="E6" s="6">
        <v>2</v>
      </c>
      <c r="F6" s="6" t="str">
        <f t="shared" si="0"/>
        <v>July</v>
      </c>
      <c r="G6" s="6">
        <f t="shared" si="1"/>
        <v>30</v>
      </c>
      <c r="H6" s="1">
        <f>SUMIF('Retal Tran Line Item'!E:E,A6,'Retal Tran Line Item'!B:B)</f>
        <v>3</v>
      </c>
    </row>
    <row r="7" spans="1:11">
      <c r="A7" s="1">
        <v>100005</v>
      </c>
      <c r="B7" s="1">
        <v>961080</v>
      </c>
      <c r="C7" s="2">
        <v>41118</v>
      </c>
      <c r="D7" s="1" t="s">
        <v>1992</v>
      </c>
      <c r="E7" s="6">
        <v>2</v>
      </c>
      <c r="F7" s="6" t="str">
        <f t="shared" si="0"/>
        <v>July</v>
      </c>
      <c r="G7" s="6">
        <f t="shared" si="1"/>
        <v>30</v>
      </c>
      <c r="H7" s="1">
        <f>SUMIF('Retal Tran Line Item'!E:E,A7,'Retal Tran Line Item'!B:B)</f>
        <v>7</v>
      </c>
    </row>
    <row r="8" spans="1:11">
      <c r="A8" s="1">
        <v>100006</v>
      </c>
      <c r="B8" s="1">
        <v>736500</v>
      </c>
      <c r="C8" s="2">
        <v>41121</v>
      </c>
      <c r="D8" s="1" t="s">
        <v>1993</v>
      </c>
      <c r="E8" s="6">
        <v>1</v>
      </c>
      <c r="F8" s="6" t="str">
        <f t="shared" si="0"/>
        <v>July</v>
      </c>
      <c r="G8" s="6">
        <f t="shared" si="1"/>
        <v>31</v>
      </c>
      <c r="H8" s="1">
        <f>SUMIF('Retal Tran Line Item'!E:E,A8,'Retal Tran Line Item'!B:B)</f>
        <v>15</v>
      </c>
    </row>
    <row r="9" spans="1:11">
      <c r="A9" s="1">
        <v>100007</v>
      </c>
      <c r="B9" s="1">
        <v>714277</v>
      </c>
      <c r="C9" s="2">
        <v>41122</v>
      </c>
      <c r="D9" s="1" t="s">
        <v>1994</v>
      </c>
      <c r="E9" s="6">
        <v>2</v>
      </c>
      <c r="F9" s="6" t="str">
        <f t="shared" si="0"/>
        <v>August</v>
      </c>
      <c r="G9" s="6">
        <f t="shared" si="1"/>
        <v>31</v>
      </c>
      <c r="H9" s="1">
        <f>SUMIF('Retal Tran Line Item'!E:E,A9,'Retal Tran Line Item'!B:B)</f>
        <v>2</v>
      </c>
    </row>
    <row r="10" spans="1:11">
      <c r="A10" s="1">
        <v>100008</v>
      </c>
      <c r="B10" s="1">
        <v>324435</v>
      </c>
      <c r="C10" s="2">
        <v>41123</v>
      </c>
      <c r="D10" s="1" t="s">
        <v>1992</v>
      </c>
      <c r="E10" s="6">
        <v>2</v>
      </c>
      <c r="F10" s="6" t="str">
        <f t="shared" si="0"/>
        <v>August</v>
      </c>
      <c r="G10" s="6">
        <f t="shared" si="1"/>
        <v>31</v>
      </c>
      <c r="H10" s="1">
        <f>SUMIF('Retal Tran Line Item'!E:E,A10,'Retal Tran Line Item'!B:B)</f>
        <v>4</v>
      </c>
    </row>
    <row r="11" spans="1:11">
      <c r="A11" s="1">
        <v>100009</v>
      </c>
      <c r="B11" s="1">
        <v>207846</v>
      </c>
      <c r="C11" s="2">
        <v>41126</v>
      </c>
      <c r="D11" s="1" t="s">
        <v>1993</v>
      </c>
      <c r="E11" s="6">
        <v>2</v>
      </c>
      <c r="F11" s="6" t="str">
        <f t="shared" si="0"/>
        <v>August</v>
      </c>
      <c r="G11" s="6">
        <f t="shared" si="1"/>
        <v>32</v>
      </c>
      <c r="H11" s="1">
        <f>SUMIF('Retal Tran Line Item'!E:E,A11,'Retal Tran Line Item'!B:B)</f>
        <v>3</v>
      </c>
    </row>
    <row r="12" spans="1:11">
      <c r="A12" s="1">
        <v>100010</v>
      </c>
      <c r="B12" s="1">
        <v>862302</v>
      </c>
      <c r="C12" s="2">
        <v>41126</v>
      </c>
      <c r="D12" s="1" t="s">
        <v>1992</v>
      </c>
      <c r="E12" s="6">
        <v>2</v>
      </c>
      <c r="F12" s="6" t="str">
        <f t="shared" si="0"/>
        <v>August</v>
      </c>
      <c r="G12" s="6">
        <f t="shared" si="1"/>
        <v>32</v>
      </c>
      <c r="H12" s="1">
        <f>SUMIF('Retal Tran Line Item'!E:E,A12,'Retal Tran Line Item'!B:B)</f>
        <v>12</v>
      </c>
    </row>
    <row r="13" spans="1:11">
      <c r="A13" s="1">
        <v>100011</v>
      </c>
      <c r="B13" s="1">
        <v>274541</v>
      </c>
      <c r="C13" s="2">
        <v>41130</v>
      </c>
      <c r="D13" s="1" t="s">
        <v>1993</v>
      </c>
      <c r="E13" s="6">
        <v>1</v>
      </c>
      <c r="F13" s="6" t="str">
        <f t="shared" si="0"/>
        <v>August</v>
      </c>
      <c r="G13" s="6">
        <f t="shared" si="1"/>
        <v>32</v>
      </c>
      <c r="H13" s="1">
        <f>SUMIF('Retal Tran Line Item'!E:E,A13,'Retal Tran Line Item'!B:B)</f>
        <v>6</v>
      </c>
    </row>
    <row r="14" spans="1:11">
      <c r="A14" s="1">
        <v>100012</v>
      </c>
      <c r="B14" s="1">
        <v>789308</v>
      </c>
      <c r="C14" s="2">
        <v>41130</v>
      </c>
      <c r="D14" s="1" t="s">
        <v>1993</v>
      </c>
      <c r="E14" s="6">
        <v>2</v>
      </c>
      <c r="F14" s="6" t="str">
        <f t="shared" si="0"/>
        <v>August</v>
      </c>
      <c r="G14" s="6">
        <f t="shared" si="1"/>
        <v>32</v>
      </c>
      <c r="H14" s="1">
        <f>SUMIF('Retal Tran Line Item'!E:E,A14,'Retal Tran Line Item'!B:B)</f>
        <v>9</v>
      </c>
    </row>
    <row r="15" spans="1:11">
      <c r="A15" s="1">
        <v>100013</v>
      </c>
      <c r="B15" s="1">
        <v>108708</v>
      </c>
      <c r="C15" s="2">
        <v>41133</v>
      </c>
      <c r="D15" s="1" t="s">
        <v>1992</v>
      </c>
      <c r="E15" s="6">
        <v>1</v>
      </c>
      <c r="F15" s="6" t="str">
        <f t="shared" si="0"/>
        <v>August</v>
      </c>
      <c r="G15" s="6">
        <f t="shared" si="1"/>
        <v>33</v>
      </c>
      <c r="H15" s="1">
        <f>SUMIF('Retal Tran Line Item'!E:E,A15,'Retal Tran Line Item'!B:B)</f>
        <v>6</v>
      </c>
    </row>
    <row r="16" spans="1:11">
      <c r="A16" s="1">
        <v>100014</v>
      </c>
      <c r="B16" s="1">
        <v>108708</v>
      </c>
      <c r="C16" s="2">
        <v>41134</v>
      </c>
      <c r="D16" s="1" t="s">
        <v>1992</v>
      </c>
      <c r="E16" s="6">
        <v>1</v>
      </c>
      <c r="F16" s="6" t="str">
        <f t="shared" si="0"/>
        <v>August</v>
      </c>
      <c r="G16" s="6">
        <f t="shared" si="1"/>
        <v>33</v>
      </c>
      <c r="H16" s="1">
        <f>SUMIF('Retal Tran Line Item'!E:E,A16,'Retal Tran Line Item'!B:B)</f>
        <v>5</v>
      </c>
    </row>
    <row r="17" spans="1:8">
      <c r="A17" s="1">
        <v>100015</v>
      </c>
      <c r="B17" s="1">
        <v>306475</v>
      </c>
      <c r="C17" s="2">
        <v>41135</v>
      </c>
      <c r="D17" s="1" t="s">
        <v>1992</v>
      </c>
      <c r="E17" s="6">
        <v>1</v>
      </c>
      <c r="F17" s="6" t="str">
        <f t="shared" si="0"/>
        <v>August</v>
      </c>
      <c r="G17" s="6">
        <f t="shared" si="1"/>
        <v>33</v>
      </c>
      <c r="H17" s="1">
        <f>SUMIF('Retal Tran Line Item'!E:E,A17,'Retal Tran Line Item'!B:B)</f>
        <v>12</v>
      </c>
    </row>
    <row r="18" spans="1:8">
      <c r="A18" s="1">
        <v>100016</v>
      </c>
      <c r="B18" s="1">
        <v>324435</v>
      </c>
      <c r="C18" s="2">
        <v>41139</v>
      </c>
      <c r="D18" s="1" t="s">
        <v>1992</v>
      </c>
      <c r="E18" s="6">
        <v>1</v>
      </c>
      <c r="F18" s="6" t="str">
        <f t="shared" si="0"/>
        <v>August</v>
      </c>
      <c r="G18" s="6">
        <f t="shared" si="1"/>
        <v>33</v>
      </c>
      <c r="H18" s="1">
        <f>SUMIF('Retal Tran Line Item'!E:E,A18,'Retal Tran Line Item'!B:B)</f>
        <v>9</v>
      </c>
    </row>
    <row r="19" spans="1:8">
      <c r="A19" s="1">
        <v>100017</v>
      </c>
      <c r="B19" s="1">
        <v>860057</v>
      </c>
      <c r="C19" s="2">
        <v>41140</v>
      </c>
      <c r="D19" s="1" t="s">
        <v>1989</v>
      </c>
      <c r="E19" s="6">
        <v>2</v>
      </c>
      <c r="F19" s="6" t="str">
        <f t="shared" si="0"/>
        <v>August</v>
      </c>
      <c r="G19" s="6">
        <f t="shared" si="1"/>
        <v>34</v>
      </c>
      <c r="H19" s="1">
        <f>SUMIF('Retal Tran Line Item'!E:E,A19,'Retal Tran Line Item'!B:B)</f>
        <v>6</v>
      </c>
    </row>
    <row r="20" spans="1:8">
      <c r="A20" s="1">
        <v>100018</v>
      </c>
      <c r="B20" s="1">
        <v>860057</v>
      </c>
      <c r="C20" s="2">
        <v>41145</v>
      </c>
      <c r="D20" s="1" t="s">
        <v>1989</v>
      </c>
      <c r="E20" s="6">
        <v>2</v>
      </c>
      <c r="F20" s="6" t="str">
        <f t="shared" si="0"/>
        <v>August</v>
      </c>
      <c r="G20" s="6">
        <f t="shared" si="1"/>
        <v>34</v>
      </c>
      <c r="H20" s="1">
        <f>SUMIF('Retal Tran Line Item'!E:E,A20,'Retal Tran Line Item'!B:B)</f>
        <v>9</v>
      </c>
    </row>
    <row r="21" spans="1:8">
      <c r="A21" s="1">
        <v>100019</v>
      </c>
      <c r="B21" s="1">
        <v>447601</v>
      </c>
      <c r="C21" s="2">
        <v>41147</v>
      </c>
      <c r="D21" s="1" t="s">
        <v>1989</v>
      </c>
      <c r="E21" s="6">
        <v>2</v>
      </c>
      <c r="F21" s="6" t="str">
        <f t="shared" si="0"/>
        <v>August</v>
      </c>
      <c r="G21" s="6">
        <f t="shared" si="1"/>
        <v>35</v>
      </c>
      <c r="H21" s="1">
        <f>SUMIF('Retal Tran Line Item'!E:E,A21,'Retal Tran Line Item'!B:B)</f>
        <v>5</v>
      </c>
    </row>
    <row r="22" spans="1:8">
      <c r="A22" s="1">
        <v>100020</v>
      </c>
      <c r="B22" s="1">
        <v>961080</v>
      </c>
      <c r="C22" s="2">
        <v>41148</v>
      </c>
      <c r="D22" s="1" t="s">
        <v>1992</v>
      </c>
      <c r="E22" s="6">
        <v>2</v>
      </c>
      <c r="F22" s="6" t="str">
        <f t="shared" si="0"/>
        <v>August</v>
      </c>
      <c r="G22" s="6">
        <f t="shared" si="1"/>
        <v>35</v>
      </c>
      <c r="H22" s="1">
        <f>SUMIF('Retal Tran Line Item'!E:E,A22,'Retal Tran Line Item'!B:B)</f>
        <v>13</v>
      </c>
    </row>
    <row r="23" spans="1:8">
      <c r="A23" s="1">
        <v>100021</v>
      </c>
      <c r="B23" s="1">
        <v>161942</v>
      </c>
      <c r="C23" s="2">
        <v>41151</v>
      </c>
      <c r="D23" s="1" t="s">
        <v>1993</v>
      </c>
      <c r="E23" s="6">
        <v>2</v>
      </c>
      <c r="F23" s="6" t="str">
        <f t="shared" si="0"/>
        <v>August</v>
      </c>
      <c r="G23" s="6">
        <f t="shared" si="1"/>
        <v>35</v>
      </c>
      <c r="H23" s="1">
        <f>SUMIF('Retal Tran Line Item'!E:E,A23,'Retal Tran Line Item'!B:B)</f>
        <v>10</v>
      </c>
    </row>
    <row r="24" spans="1:8">
      <c r="A24" s="1">
        <v>100022</v>
      </c>
      <c r="B24" s="1">
        <v>656728</v>
      </c>
      <c r="C24" s="2">
        <v>41152</v>
      </c>
      <c r="D24" s="1" t="s">
        <v>1993</v>
      </c>
      <c r="E24" s="6">
        <v>1</v>
      </c>
      <c r="F24" s="6" t="str">
        <f t="shared" si="0"/>
        <v>August</v>
      </c>
      <c r="G24" s="6">
        <f t="shared" si="1"/>
        <v>35</v>
      </c>
      <c r="H24" s="1">
        <f>SUMIF('Retal Tran Line Item'!E:E,A24,'Retal Tran Line Item'!B:B)</f>
        <v>5</v>
      </c>
    </row>
    <row r="25" spans="1:8">
      <c r="A25" s="1">
        <v>100023</v>
      </c>
      <c r="B25" s="1">
        <v>482274</v>
      </c>
      <c r="C25" s="2">
        <v>41153</v>
      </c>
      <c r="D25" s="1" t="s">
        <v>1992</v>
      </c>
      <c r="E25" s="6">
        <v>1</v>
      </c>
      <c r="F25" s="6" t="str">
        <f t="shared" si="0"/>
        <v>September</v>
      </c>
      <c r="G25" s="6">
        <f t="shared" si="1"/>
        <v>35</v>
      </c>
      <c r="H25" s="1">
        <f>SUMIF('Retal Tran Line Item'!E:E,A25,'Retal Tran Line Item'!B:B)</f>
        <v>8</v>
      </c>
    </row>
    <row r="26" spans="1:8">
      <c r="A26" s="1">
        <v>100024</v>
      </c>
      <c r="B26" s="1">
        <v>470304</v>
      </c>
      <c r="C26" s="2">
        <v>41154</v>
      </c>
      <c r="D26" s="1" t="s">
        <v>1994</v>
      </c>
      <c r="E26" s="6">
        <v>2</v>
      </c>
      <c r="F26" s="6" t="str">
        <f t="shared" si="0"/>
        <v>September</v>
      </c>
      <c r="G26" s="6">
        <f t="shared" si="1"/>
        <v>36</v>
      </c>
      <c r="H26" s="1">
        <f>SUMIF('Retal Tran Line Item'!E:E,A26,'Retal Tran Line Item'!B:B)</f>
        <v>12</v>
      </c>
    </row>
    <row r="27" spans="1:8">
      <c r="A27" s="1">
        <v>100025</v>
      </c>
      <c r="B27" s="1">
        <v>841141</v>
      </c>
      <c r="C27" s="2">
        <v>41155</v>
      </c>
      <c r="D27" s="1" t="s">
        <v>1992</v>
      </c>
      <c r="E27" s="6">
        <v>1</v>
      </c>
      <c r="F27" s="6" t="str">
        <f t="shared" si="0"/>
        <v>September</v>
      </c>
      <c r="G27" s="6">
        <f t="shared" si="1"/>
        <v>36</v>
      </c>
      <c r="H27" s="1">
        <f>SUMIF('Retal Tran Line Item'!E:E,A27,'Retal Tran Line Item'!B:B)</f>
        <v>15</v>
      </c>
    </row>
    <row r="28" spans="1:8">
      <c r="A28" s="1">
        <v>100026</v>
      </c>
      <c r="B28" s="1">
        <v>175940</v>
      </c>
      <c r="C28" s="2">
        <v>41156</v>
      </c>
      <c r="D28" s="1" t="s">
        <v>1993</v>
      </c>
      <c r="E28" s="6">
        <v>2</v>
      </c>
      <c r="F28" s="6" t="str">
        <f t="shared" si="0"/>
        <v>September</v>
      </c>
      <c r="G28" s="6">
        <f t="shared" si="1"/>
        <v>36</v>
      </c>
      <c r="H28" s="1">
        <f>SUMIF('Retal Tran Line Item'!E:E,A28,'Retal Tran Line Item'!B:B)</f>
        <v>11</v>
      </c>
    </row>
    <row r="29" spans="1:8">
      <c r="A29" s="1">
        <v>100027</v>
      </c>
      <c r="B29" s="1">
        <v>616028</v>
      </c>
      <c r="C29" s="2">
        <v>41156</v>
      </c>
      <c r="D29" s="1" t="s">
        <v>1992</v>
      </c>
      <c r="E29" s="6">
        <v>1</v>
      </c>
      <c r="F29" s="6" t="str">
        <f t="shared" si="0"/>
        <v>September</v>
      </c>
      <c r="G29" s="6">
        <f t="shared" si="1"/>
        <v>36</v>
      </c>
      <c r="H29" s="1">
        <f>SUMIF('Retal Tran Line Item'!E:E,A29,'Retal Tran Line Item'!B:B)</f>
        <v>7</v>
      </c>
    </row>
    <row r="30" spans="1:8">
      <c r="A30" s="1">
        <v>100028</v>
      </c>
      <c r="B30" s="1">
        <v>269687</v>
      </c>
      <c r="C30" s="2">
        <v>41162</v>
      </c>
      <c r="D30" s="1" t="s">
        <v>1989</v>
      </c>
      <c r="E30" s="6">
        <v>1</v>
      </c>
      <c r="F30" s="6" t="str">
        <f t="shared" si="0"/>
        <v>September</v>
      </c>
      <c r="G30" s="6">
        <f t="shared" si="1"/>
        <v>37</v>
      </c>
      <c r="H30" s="1">
        <f>SUMIF('Retal Tran Line Item'!E:E,A30,'Retal Tran Line Item'!B:B)</f>
        <v>16</v>
      </c>
    </row>
    <row r="31" spans="1:8">
      <c r="A31" s="1">
        <v>100029</v>
      </c>
      <c r="B31" s="1">
        <v>370870</v>
      </c>
      <c r="C31" s="2">
        <v>41167</v>
      </c>
      <c r="D31" s="1" t="s">
        <v>1993</v>
      </c>
      <c r="E31" s="6">
        <v>1</v>
      </c>
      <c r="F31" s="6" t="str">
        <f t="shared" si="0"/>
        <v>September</v>
      </c>
      <c r="G31" s="6">
        <f t="shared" si="1"/>
        <v>37</v>
      </c>
      <c r="H31" s="1">
        <f>SUMIF('Retal Tran Line Item'!E:E,A31,'Retal Tran Line Item'!B:B)</f>
        <v>12</v>
      </c>
    </row>
    <row r="32" spans="1:8">
      <c r="A32" s="1">
        <v>100030</v>
      </c>
      <c r="B32" s="1">
        <v>951701</v>
      </c>
      <c r="C32" s="2">
        <v>41167</v>
      </c>
      <c r="D32" s="1" t="s">
        <v>1989</v>
      </c>
      <c r="E32" s="6">
        <v>2</v>
      </c>
      <c r="F32" s="6" t="str">
        <f t="shared" si="0"/>
        <v>September</v>
      </c>
      <c r="G32" s="6">
        <f t="shared" si="1"/>
        <v>37</v>
      </c>
      <c r="H32" s="1">
        <f>SUMIF('Retal Tran Line Item'!E:E,A32,'Retal Tran Line Item'!B:B)</f>
        <v>9</v>
      </c>
    </row>
    <row r="33" spans="1:8">
      <c r="A33" s="1">
        <v>100031</v>
      </c>
      <c r="B33" s="1">
        <v>553931</v>
      </c>
      <c r="C33" s="2">
        <v>41168</v>
      </c>
      <c r="D33" s="1" t="s">
        <v>1992</v>
      </c>
      <c r="E33" s="6">
        <v>1</v>
      </c>
      <c r="F33" s="6" t="str">
        <f t="shared" si="0"/>
        <v>September</v>
      </c>
      <c r="G33" s="6">
        <f t="shared" si="1"/>
        <v>38</v>
      </c>
      <c r="H33" s="1">
        <f>SUMIF('Retal Tran Line Item'!E:E,A33,'Retal Tran Line Item'!B:B)</f>
        <v>8</v>
      </c>
    </row>
    <row r="34" spans="1:8">
      <c r="A34" s="1">
        <v>100032</v>
      </c>
      <c r="B34" s="1">
        <v>563468</v>
      </c>
      <c r="C34" s="2">
        <v>41169</v>
      </c>
      <c r="D34" s="1" t="s">
        <v>1992</v>
      </c>
      <c r="E34" s="6">
        <v>1</v>
      </c>
      <c r="F34" s="6" t="str">
        <f t="shared" si="0"/>
        <v>September</v>
      </c>
      <c r="G34" s="6">
        <f t="shared" si="1"/>
        <v>38</v>
      </c>
      <c r="H34" s="1">
        <f>SUMIF('Retal Tran Line Item'!E:E,A34,'Retal Tran Line Item'!B:B)</f>
        <v>5</v>
      </c>
    </row>
    <row r="35" spans="1:8">
      <c r="A35" s="1">
        <v>100033</v>
      </c>
      <c r="B35" s="1">
        <v>464984</v>
      </c>
      <c r="C35" s="2">
        <v>41169</v>
      </c>
      <c r="D35" s="1" t="s">
        <v>1993</v>
      </c>
      <c r="E35" s="6">
        <v>1</v>
      </c>
      <c r="F35" s="6" t="str">
        <f t="shared" si="0"/>
        <v>September</v>
      </c>
      <c r="G35" s="6">
        <f t="shared" si="1"/>
        <v>38</v>
      </c>
      <c r="H35" s="1">
        <f>SUMIF('Retal Tran Line Item'!E:E,A35,'Retal Tran Line Item'!B:B)</f>
        <v>10</v>
      </c>
    </row>
    <row r="36" spans="1:8">
      <c r="A36" s="1">
        <v>100034</v>
      </c>
      <c r="B36" s="1">
        <v>665313</v>
      </c>
      <c r="C36" s="2">
        <v>41171</v>
      </c>
      <c r="D36" s="1" t="s">
        <v>1993</v>
      </c>
      <c r="E36" s="6">
        <v>1</v>
      </c>
      <c r="F36" s="6" t="str">
        <f t="shared" si="0"/>
        <v>September</v>
      </c>
      <c r="G36" s="6">
        <f t="shared" si="1"/>
        <v>38</v>
      </c>
      <c r="H36" s="1">
        <f>SUMIF('Retal Tran Line Item'!E:E,A36,'Retal Tran Line Item'!B:B)</f>
        <v>16</v>
      </c>
    </row>
    <row r="37" spans="1:8">
      <c r="A37" s="1">
        <v>100035</v>
      </c>
      <c r="B37" s="1">
        <v>306475</v>
      </c>
      <c r="C37" s="2">
        <v>41173</v>
      </c>
      <c r="D37" s="1" t="s">
        <v>1992</v>
      </c>
      <c r="E37" s="6">
        <v>1</v>
      </c>
      <c r="F37" s="6" t="str">
        <f t="shared" si="0"/>
        <v>September</v>
      </c>
      <c r="G37" s="6">
        <f t="shared" si="1"/>
        <v>38</v>
      </c>
      <c r="H37" s="1">
        <f>SUMIF('Retal Tran Line Item'!E:E,A37,'Retal Tran Line Item'!B:B)</f>
        <v>12</v>
      </c>
    </row>
    <row r="38" spans="1:8">
      <c r="A38" s="1">
        <v>100036</v>
      </c>
      <c r="B38" s="1">
        <v>465275</v>
      </c>
      <c r="C38" s="2">
        <v>41173</v>
      </c>
      <c r="D38" s="1" t="s">
        <v>1992</v>
      </c>
      <c r="E38" s="6">
        <v>2</v>
      </c>
      <c r="F38" s="6" t="str">
        <f t="shared" si="0"/>
        <v>September</v>
      </c>
      <c r="G38" s="6">
        <f t="shared" si="1"/>
        <v>38</v>
      </c>
      <c r="H38" s="1">
        <f>SUMIF('Retal Tran Line Item'!E:E,A38,'Retal Tran Line Item'!B:B)</f>
        <v>3</v>
      </c>
    </row>
    <row r="39" spans="1:8">
      <c r="A39" s="1">
        <v>100037</v>
      </c>
      <c r="B39" s="1">
        <v>470304</v>
      </c>
      <c r="C39" s="2">
        <v>41174</v>
      </c>
      <c r="D39" s="1" t="s">
        <v>1994</v>
      </c>
      <c r="E39" s="6">
        <v>1</v>
      </c>
      <c r="F39" s="6" t="str">
        <f t="shared" si="0"/>
        <v>September</v>
      </c>
      <c r="G39" s="6">
        <f t="shared" si="1"/>
        <v>38</v>
      </c>
      <c r="H39" s="1">
        <f>SUMIF('Retal Tran Line Item'!E:E,A39,'Retal Tran Line Item'!B:B)</f>
        <v>5</v>
      </c>
    </row>
    <row r="40" spans="1:8">
      <c r="A40" s="1">
        <v>100038</v>
      </c>
      <c r="B40" s="1">
        <v>370870</v>
      </c>
      <c r="C40" s="2">
        <v>41177</v>
      </c>
      <c r="D40" s="1" t="s">
        <v>1993</v>
      </c>
      <c r="E40" s="6">
        <v>2</v>
      </c>
      <c r="F40" s="6" t="str">
        <f t="shared" si="0"/>
        <v>September</v>
      </c>
      <c r="G40" s="6">
        <f t="shared" si="1"/>
        <v>39</v>
      </c>
      <c r="H40" s="1">
        <f>SUMIF('Retal Tran Line Item'!E:E,A40,'Retal Tran Line Item'!B:B)</f>
        <v>10</v>
      </c>
    </row>
    <row r="41" spans="1:8">
      <c r="A41" s="1">
        <v>100039</v>
      </c>
      <c r="B41" s="1">
        <v>795957</v>
      </c>
      <c r="C41" s="2">
        <v>41178</v>
      </c>
      <c r="D41" s="1" t="s">
        <v>1992</v>
      </c>
      <c r="E41" s="6">
        <v>1</v>
      </c>
      <c r="F41" s="6" t="str">
        <f t="shared" si="0"/>
        <v>September</v>
      </c>
      <c r="G41" s="6">
        <f t="shared" si="1"/>
        <v>39</v>
      </c>
      <c r="H41" s="1">
        <f>SUMIF('Retal Tran Line Item'!E:E,A41,'Retal Tran Line Item'!B:B)</f>
        <v>6</v>
      </c>
    </row>
    <row r="42" spans="1:8">
      <c r="A42" s="1">
        <v>100040</v>
      </c>
      <c r="B42" s="1">
        <v>122818</v>
      </c>
      <c r="C42" s="2">
        <v>41178</v>
      </c>
      <c r="D42" s="1" t="s">
        <v>1992</v>
      </c>
      <c r="E42" s="6">
        <v>1</v>
      </c>
      <c r="F42" s="6" t="str">
        <f t="shared" si="0"/>
        <v>September</v>
      </c>
      <c r="G42" s="6">
        <f t="shared" si="1"/>
        <v>39</v>
      </c>
      <c r="H42" s="1">
        <f>SUMIF('Retal Tran Line Item'!E:E,A42,'Retal Tran Line Item'!B:B)</f>
        <v>8</v>
      </c>
    </row>
    <row r="43" spans="1:8">
      <c r="A43" s="1">
        <v>100041</v>
      </c>
      <c r="B43" s="1">
        <v>665313</v>
      </c>
      <c r="C43" s="2">
        <v>41181</v>
      </c>
      <c r="D43" s="1" t="s">
        <v>1993</v>
      </c>
      <c r="E43" s="6">
        <v>2</v>
      </c>
      <c r="F43" s="6" t="str">
        <f t="shared" si="0"/>
        <v>September</v>
      </c>
      <c r="G43" s="6">
        <f t="shared" si="1"/>
        <v>39</v>
      </c>
      <c r="H43" s="1">
        <f>SUMIF('Retal Tran Line Item'!E:E,A43,'Retal Tran Line Item'!B:B)</f>
        <v>6</v>
      </c>
    </row>
    <row r="44" spans="1:8">
      <c r="A44" s="1">
        <v>100042</v>
      </c>
      <c r="B44" s="1">
        <v>324435</v>
      </c>
      <c r="C44" s="2">
        <v>41183</v>
      </c>
      <c r="D44" s="1" t="s">
        <v>1992</v>
      </c>
      <c r="E44" s="6">
        <v>1</v>
      </c>
      <c r="F44" s="6" t="str">
        <f t="shared" si="0"/>
        <v>October</v>
      </c>
      <c r="G44" s="6">
        <f t="shared" si="1"/>
        <v>40</v>
      </c>
      <c r="H44" s="1">
        <f>SUMIF('Retal Tran Line Item'!E:E,A44,'Retal Tran Line Item'!B:B)</f>
        <v>6</v>
      </c>
    </row>
    <row r="45" spans="1:8">
      <c r="A45" s="1">
        <v>100043</v>
      </c>
      <c r="B45" s="1">
        <v>643305</v>
      </c>
      <c r="C45" s="2">
        <v>41183</v>
      </c>
      <c r="D45" s="1" t="s">
        <v>1992</v>
      </c>
      <c r="E45" s="6">
        <v>1</v>
      </c>
      <c r="F45" s="6" t="str">
        <f t="shared" si="0"/>
        <v>October</v>
      </c>
      <c r="G45" s="6">
        <f t="shared" si="1"/>
        <v>40</v>
      </c>
      <c r="H45" s="1">
        <f>SUMIF('Retal Tran Line Item'!E:E,A45,'Retal Tran Line Item'!B:B)</f>
        <v>2</v>
      </c>
    </row>
    <row r="46" spans="1:8">
      <c r="A46" s="1">
        <v>100044</v>
      </c>
      <c r="B46" s="1">
        <v>832914</v>
      </c>
      <c r="C46" s="2">
        <v>41184</v>
      </c>
      <c r="D46" s="1" t="s">
        <v>1992</v>
      </c>
      <c r="E46" s="6">
        <v>1</v>
      </c>
      <c r="F46" s="6" t="str">
        <f t="shared" si="0"/>
        <v>October</v>
      </c>
      <c r="G46" s="6">
        <f t="shared" si="1"/>
        <v>40</v>
      </c>
      <c r="H46" s="1">
        <f>SUMIF('Retal Tran Line Item'!E:E,A46,'Retal Tran Line Item'!B:B)</f>
        <v>11</v>
      </c>
    </row>
    <row r="47" spans="1:8">
      <c r="A47" s="1">
        <v>100045</v>
      </c>
      <c r="B47" s="1">
        <v>112690</v>
      </c>
      <c r="C47" s="2">
        <v>41185</v>
      </c>
      <c r="D47" s="1" t="s">
        <v>1994</v>
      </c>
      <c r="E47" s="6">
        <v>2</v>
      </c>
      <c r="F47" s="6" t="str">
        <f t="shared" si="0"/>
        <v>October</v>
      </c>
      <c r="G47" s="6">
        <f t="shared" si="1"/>
        <v>40</v>
      </c>
      <c r="H47" s="1">
        <f>SUMIF('Retal Tran Line Item'!E:E,A47,'Retal Tran Line Item'!B:B)</f>
        <v>6</v>
      </c>
    </row>
    <row r="48" spans="1:8">
      <c r="A48" s="1">
        <v>100046</v>
      </c>
      <c r="B48" s="1">
        <v>890270</v>
      </c>
      <c r="C48" s="2">
        <v>41185</v>
      </c>
      <c r="D48" s="1" t="s">
        <v>1992</v>
      </c>
      <c r="E48" s="6">
        <v>2</v>
      </c>
      <c r="F48" s="6" t="str">
        <f t="shared" si="0"/>
        <v>October</v>
      </c>
      <c r="G48" s="6">
        <f t="shared" si="1"/>
        <v>40</v>
      </c>
      <c r="H48" s="1">
        <f>SUMIF('Retal Tran Line Item'!E:E,A48,'Retal Tran Line Item'!B:B)</f>
        <v>7</v>
      </c>
    </row>
    <row r="49" spans="1:8">
      <c r="A49" s="1">
        <v>100047</v>
      </c>
      <c r="B49" s="1">
        <v>950299</v>
      </c>
      <c r="C49" s="2">
        <v>41187</v>
      </c>
      <c r="D49" s="1" t="s">
        <v>1992</v>
      </c>
      <c r="E49" s="6">
        <v>1</v>
      </c>
      <c r="F49" s="6" t="str">
        <f t="shared" si="0"/>
        <v>October</v>
      </c>
      <c r="G49" s="6">
        <f t="shared" si="1"/>
        <v>40</v>
      </c>
      <c r="H49" s="1">
        <f>SUMIF('Retal Tran Line Item'!E:E,A49,'Retal Tran Line Item'!B:B)</f>
        <v>4</v>
      </c>
    </row>
    <row r="50" spans="1:8">
      <c r="A50" s="1">
        <v>100048</v>
      </c>
      <c r="B50" s="1">
        <v>112690</v>
      </c>
      <c r="C50" s="2">
        <v>41188</v>
      </c>
      <c r="D50" s="1" t="s">
        <v>1994</v>
      </c>
      <c r="E50" s="6">
        <v>2</v>
      </c>
      <c r="F50" s="6" t="str">
        <f t="shared" si="0"/>
        <v>October</v>
      </c>
      <c r="G50" s="6">
        <f t="shared" si="1"/>
        <v>40</v>
      </c>
      <c r="H50" s="1">
        <f>SUMIF('Retal Tran Line Item'!E:E,A50,'Retal Tran Line Item'!B:B)</f>
        <v>7</v>
      </c>
    </row>
    <row r="51" spans="1:8">
      <c r="A51" s="1">
        <v>100049</v>
      </c>
      <c r="B51" s="1">
        <v>147543</v>
      </c>
      <c r="C51" s="2">
        <v>41188</v>
      </c>
      <c r="D51" s="1" t="s">
        <v>1993</v>
      </c>
      <c r="E51" s="6">
        <v>1</v>
      </c>
      <c r="F51" s="6" t="str">
        <f t="shared" si="0"/>
        <v>October</v>
      </c>
      <c r="G51" s="6">
        <f t="shared" si="1"/>
        <v>40</v>
      </c>
      <c r="H51" s="1">
        <f>SUMIF('Retal Tran Line Item'!E:E,A51,'Retal Tran Line Item'!B:B)</f>
        <v>11</v>
      </c>
    </row>
    <row r="52" spans="1:8">
      <c r="A52" s="1">
        <v>100050</v>
      </c>
      <c r="B52" s="1">
        <v>950299</v>
      </c>
      <c r="C52" s="2">
        <v>41188</v>
      </c>
      <c r="D52" s="1" t="s">
        <v>1992</v>
      </c>
      <c r="E52" s="6">
        <v>1</v>
      </c>
      <c r="F52" s="6" t="str">
        <f t="shared" si="0"/>
        <v>October</v>
      </c>
      <c r="G52" s="6">
        <f t="shared" si="1"/>
        <v>40</v>
      </c>
      <c r="H52" s="1">
        <f>SUMIF('Retal Tran Line Item'!E:E,A52,'Retal Tran Line Item'!B:B)</f>
        <v>24</v>
      </c>
    </row>
    <row r="53" spans="1:8">
      <c r="A53" s="1">
        <v>100051</v>
      </c>
      <c r="B53" s="1">
        <v>656512</v>
      </c>
      <c r="C53" s="2">
        <v>41190</v>
      </c>
      <c r="D53" s="1" t="s">
        <v>1994</v>
      </c>
      <c r="E53" s="6">
        <v>2</v>
      </c>
      <c r="F53" s="6" t="str">
        <f t="shared" si="0"/>
        <v>October</v>
      </c>
      <c r="G53" s="6">
        <f t="shared" si="1"/>
        <v>41</v>
      </c>
      <c r="H53" s="1">
        <f>SUMIF('Retal Tran Line Item'!E:E,A53,'Retal Tran Line Item'!B:B)</f>
        <v>11</v>
      </c>
    </row>
    <row r="54" spans="1:8">
      <c r="A54" s="1">
        <v>100052</v>
      </c>
      <c r="B54" s="1">
        <v>480298</v>
      </c>
      <c r="C54" s="2">
        <v>41190</v>
      </c>
      <c r="D54" s="1" t="s">
        <v>1993</v>
      </c>
      <c r="E54" s="6">
        <v>2</v>
      </c>
      <c r="F54" s="6" t="str">
        <f t="shared" si="0"/>
        <v>October</v>
      </c>
      <c r="G54" s="6">
        <f t="shared" si="1"/>
        <v>41</v>
      </c>
      <c r="H54" s="1">
        <f>SUMIF('Retal Tran Line Item'!E:E,A54,'Retal Tran Line Item'!B:B)</f>
        <v>8</v>
      </c>
    </row>
    <row r="55" spans="1:8">
      <c r="A55" s="1">
        <v>100053</v>
      </c>
      <c r="B55" s="1">
        <v>447368</v>
      </c>
      <c r="C55" s="2">
        <v>41194</v>
      </c>
      <c r="D55" s="1" t="s">
        <v>1993</v>
      </c>
      <c r="E55" s="6">
        <v>2</v>
      </c>
      <c r="F55" s="6" t="str">
        <f t="shared" si="0"/>
        <v>October</v>
      </c>
      <c r="G55" s="6">
        <f t="shared" si="1"/>
        <v>41</v>
      </c>
      <c r="H55" s="1">
        <f>SUMIF('Retal Tran Line Item'!E:E,A55,'Retal Tran Line Item'!B:B)</f>
        <v>7</v>
      </c>
    </row>
    <row r="56" spans="1:8">
      <c r="A56" s="1">
        <v>100054</v>
      </c>
      <c r="B56" s="1">
        <v>736500</v>
      </c>
      <c r="C56" s="2">
        <v>41194</v>
      </c>
      <c r="D56" s="1" t="s">
        <v>1993</v>
      </c>
      <c r="E56" s="6">
        <v>1</v>
      </c>
      <c r="F56" s="6" t="str">
        <f t="shared" si="0"/>
        <v>October</v>
      </c>
      <c r="G56" s="6">
        <f t="shared" si="1"/>
        <v>41</v>
      </c>
      <c r="H56" s="1">
        <f>SUMIF('Retal Tran Line Item'!E:E,A56,'Retal Tran Line Item'!B:B)</f>
        <v>13</v>
      </c>
    </row>
    <row r="57" spans="1:8">
      <c r="A57" s="1">
        <v>100055</v>
      </c>
      <c r="B57" s="1">
        <v>435907</v>
      </c>
      <c r="C57" s="2">
        <v>41195</v>
      </c>
      <c r="D57" s="1" t="s">
        <v>1993</v>
      </c>
      <c r="E57" s="6">
        <v>2</v>
      </c>
      <c r="F57" s="6" t="str">
        <f t="shared" si="0"/>
        <v>October</v>
      </c>
      <c r="G57" s="6">
        <f t="shared" si="1"/>
        <v>41</v>
      </c>
      <c r="H57" s="1">
        <f>SUMIF('Retal Tran Line Item'!E:E,A57,'Retal Tran Line Item'!B:B)</f>
        <v>8</v>
      </c>
    </row>
    <row r="58" spans="1:8">
      <c r="A58" s="1">
        <v>100056</v>
      </c>
      <c r="B58" s="1">
        <v>872851</v>
      </c>
      <c r="C58" s="2">
        <v>41197</v>
      </c>
      <c r="D58" s="1" t="s">
        <v>1992</v>
      </c>
      <c r="E58" s="6">
        <v>2</v>
      </c>
      <c r="F58" s="6" t="str">
        <f t="shared" si="0"/>
        <v>October</v>
      </c>
      <c r="G58" s="6">
        <f t="shared" si="1"/>
        <v>42</v>
      </c>
      <c r="H58" s="1">
        <f>SUMIF('Retal Tran Line Item'!E:E,A58,'Retal Tran Line Item'!B:B)</f>
        <v>10</v>
      </c>
    </row>
    <row r="59" spans="1:8">
      <c r="A59" s="1">
        <v>100057</v>
      </c>
      <c r="B59" s="1">
        <v>755271</v>
      </c>
      <c r="C59" s="2">
        <v>41197</v>
      </c>
      <c r="D59" s="1" t="s">
        <v>1989</v>
      </c>
      <c r="E59" s="6">
        <v>2</v>
      </c>
      <c r="F59" s="6" t="str">
        <f t="shared" si="0"/>
        <v>October</v>
      </c>
      <c r="G59" s="6">
        <f t="shared" si="1"/>
        <v>42</v>
      </c>
      <c r="H59" s="1">
        <f>SUMIF('Retal Tran Line Item'!E:E,A59,'Retal Tran Line Item'!B:B)</f>
        <v>11</v>
      </c>
    </row>
    <row r="60" spans="1:8">
      <c r="A60" s="1">
        <v>100058</v>
      </c>
      <c r="B60" s="1">
        <v>791850</v>
      </c>
      <c r="C60" s="2">
        <v>41198</v>
      </c>
      <c r="D60" s="1" t="s">
        <v>1994</v>
      </c>
      <c r="E60" s="6">
        <v>2</v>
      </c>
      <c r="F60" s="6" t="str">
        <f t="shared" si="0"/>
        <v>October</v>
      </c>
      <c r="G60" s="6">
        <f t="shared" si="1"/>
        <v>42</v>
      </c>
      <c r="H60" s="1">
        <f>SUMIF('Retal Tran Line Item'!E:E,A60,'Retal Tran Line Item'!B:B)</f>
        <v>12</v>
      </c>
    </row>
    <row r="61" spans="1:8">
      <c r="A61" s="1">
        <v>100059</v>
      </c>
      <c r="B61" s="1">
        <v>386336</v>
      </c>
      <c r="C61" s="2">
        <v>41198</v>
      </c>
      <c r="D61" s="1" t="s">
        <v>1989</v>
      </c>
      <c r="E61" s="6">
        <v>2</v>
      </c>
      <c r="F61" s="6" t="str">
        <f t="shared" si="0"/>
        <v>October</v>
      </c>
      <c r="G61" s="6">
        <f t="shared" si="1"/>
        <v>42</v>
      </c>
      <c r="H61" s="1">
        <f>SUMIF('Retal Tran Line Item'!E:E,A61,'Retal Tran Line Item'!B:B)</f>
        <v>2</v>
      </c>
    </row>
    <row r="62" spans="1:8">
      <c r="A62" s="1">
        <v>100060</v>
      </c>
      <c r="B62" s="1">
        <v>739669</v>
      </c>
      <c r="C62" s="2">
        <v>41199</v>
      </c>
      <c r="D62" s="1" t="s">
        <v>1992</v>
      </c>
      <c r="E62" s="6">
        <v>2</v>
      </c>
      <c r="F62" s="6" t="str">
        <f t="shared" si="0"/>
        <v>October</v>
      </c>
      <c r="G62" s="6">
        <f t="shared" si="1"/>
        <v>42</v>
      </c>
      <c r="H62" s="1">
        <f>SUMIF('Retal Tran Line Item'!E:E,A62,'Retal Tran Line Item'!B:B)</f>
        <v>10</v>
      </c>
    </row>
    <row r="63" spans="1:8">
      <c r="A63" s="1">
        <v>100061</v>
      </c>
      <c r="B63" s="1">
        <v>810369</v>
      </c>
      <c r="C63" s="2">
        <v>41199</v>
      </c>
      <c r="D63" s="1" t="s">
        <v>1993</v>
      </c>
      <c r="E63" s="6">
        <v>2</v>
      </c>
      <c r="F63" s="6" t="str">
        <f t="shared" si="0"/>
        <v>October</v>
      </c>
      <c r="G63" s="6">
        <f t="shared" si="1"/>
        <v>42</v>
      </c>
      <c r="H63" s="1">
        <f>SUMIF('Retal Tran Line Item'!E:E,A63,'Retal Tran Line Item'!B:B)</f>
        <v>9</v>
      </c>
    </row>
    <row r="64" spans="1:8">
      <c r="A64" s="1">
        <v>100062</v>
      </c>
      <c r="B64" s="1">
        <v>926289</v>
      </c>
      <c r="C64" s="2">
        <v>41199</v>
      </c>
      <c r="D64" s="1" t="s">
        <v>1994</v>
      </c>
      <c r="E64" s="6">
        <v>1</v>
      </c>
      <c r="F64" s="6" t="str">
        <f t="shared" si="0"/>
        <v>October</v>
      </c>
      <c r="G64" s="6">
        <f t="shared" si="1"/>
        <v>42</v>
      </c>
      <c r="H64" s="1">
        <f>SUMIF('Retal Tran Line Item'!E:E,A64,'Retal Tran Line Item'!B:B)</f>
        <v>12</v>
      </c>
    </row>
    <row r="65" spans="1:8">
      <c r="A65" s="1">
        <v>100063</v>
      </c>
      <c r="B65" s="1">
        <v>553931</v>
      </c>
      <c r="C65" s="2">
        <v>41201</v>
      </c>
      <c r="D65" s="1" t="s">
        <v>1992</v>
      </c>
      <c r="E65" s="6">
        <v>2</v>
      </c>
      <c r="F65" s="6" t="str">
        <f t="shared" si="0"/>
        <v>October</v>
      </c>
      <c r="G65" s="6">
        <f t="shared" si="1"/>
        <v>42</v>
      </c>
      <c r="H65" s="1">
        <f>SUMIF('Retal Tran Line Item'!E:E,A65,'Retal Tran Line Item'!B:B)</f>
        <v>10</v>
      </c>
    </row>
    <row r="66" spans="1:8">
      <c r="A66" s="1">
        <v>100064</v>
      </c>
      <c r="B66" s="1">
        <v>795957</v>
      </c>
      <c r="C66" s="2">
        <v>41201</v>
      </c>
      <c r="D66" s="1" t="s">
        <v>1992</v>
      </c>
      <c r="E66" s="6">
        <v>1</v>
      </c>
      <c r="F66" s="6" t="str">
        <f t="shared" si="0"/>
        <v>October</v>
      </c>
      <c r="G66" s="6">
        <f t="shared" si="1"/>
        <v>42</v>
      </c>
      <c r="H66" s="1">
        <f>SUMIF('Retal Tran Line Item'!E:E,A66,'Retal Tran Line Item'!B:B)</f>
        <v>8</v>
      </c>
    </row>
    <row r="67" spans="1:8">
      <c r="A67" s="1">
        <v>100065</v>
      </c>
      <c r="B67" s="1">
        <v>690100</v>
      </c>
      <c r="C67" s="2">
        <v>41202</v>
      </c>
      <c r="D67" s="1" t="s">
        <v>1989</v>
      </c>
      <c r="E67" s="6">
        <v>2</v>
      </c>
      <c r="F67" s="6" t="str">
        <f t="shared" ref="F67:F130" si="2">TEXT(C67,"MMMM")</f>
        <v>October</v>
      </c>
      <c r="G67" s="6">
        <f t="shared" ref="G67:G130" si="3">WEEKNUM(C67)</f>
        <v>42</v>
      </c>
      <c r="H67" s="1">
        <f>SUMIF('Retal Tran Line Item'!E:E,A67,'Retal Tran Line Item'!B:B)</f>
        <v>9</v>
      </c>
    </row>
    <row r="68" spans="1:8">
      <c r="A68" s="1">
        <v>100066</v>
      </c>
      <c r="B68" s="1">
        <v>663029</v>
      </c>
      <c r="C68" s="2">
        <v>41203</v>
      </c>
      <c r="D68" s="1" t="s">
        <v>1993</v>
      </c>
      <c r="E68" s="6">
        <v>1</v>
      </c>
      <c r="F68" s="6" t="str">
        <f t="shared" si="2"/>
        <v>October</v>
      </c>
      <c r="G68" s="6">
        <f t="shared" si="3"/>
        <v>43</v>
      </c>
      <c r="H68" s="1">
        <f>SUMIF('Retal Tran Line Item'!E:E,A68,'Retal Tran Line Item'!B:B)</f>
        <v>7</v>
      </c>
    </row>
    <row r="69" spans="1:8">
      <c r="A69" s="1">
        <v>100067</v>
      </c>
      <c r="B69" s="1">
        <v>689877</v>
      </c>
      <c r="C69" s="2">
        <v>41204</v>
      </c>
      <c r="D69" s="1" t="s">
        <v>1994</v>
      </c>
      <c r="E69" s="6">
        <v>2</v>
      </c>
      <c r="F69" s="6" t="str">
        <f t="shared" si="2"/>
        <v>October</v>
      </c>
      <c r="G69" s="6">
        <f t="shared" si="3"/>
        <v>43</v>
      </c>
      <c r="H69" s="1">
        <f>SUMIF('Retal Tran Line Item'!E:E,A69,'Retal Tran Line Item'!B:B)</f>
        <v>3</v>
      </c>
    </row>
    <row r="70" spans="1:8">
      <c r="A70" s="1">
        <v>100068</v>
      </c>
      <c r="B70" s="1">
        <v>214537</v>
      </c>
      <c r="C70" s="2">
        <v>41204</v>
      </c>
      <c r="D70" s="1" t="s">
        <v>1989</v>
      </c>
      <c r="E70" s="6">
        <v>1</v>
      </c>
      <c r="F70" s="6" t="str">
        <f t="shared" si="2"/>
        <v>October</v>
      </c>
      <c r="G70" s="6">
        <f t="shared" si="3"/>
        <v>43</v>
      </c>
      <c r="H70" s="1">
        <f>SUMIF('Retal Tran Line Item'!E:E,A70,'Retal Tran Line Item'!B:B)</f>
        <v>9</v>
      </c>
    </row>
    <row r="71" spans="1:8">
      <c r="A71" s="1">
        <v>100069</v>
      </c>
      <c r="B71" s="1">
        <v>199895</v>
      </c>
      <c r="C71" s="2">
        <v>41204</v>
      </c>
      <c r="D71" s="1" t="s">
        <v>1989</v>
      </c>
      <c r="E71" s="6">
        <v>2</v>
      </c>
      <c r="F71" s="6" t="str">
        <f t="shared" si="2"/>
        <v>October</v>
      </c>
      <c r="G71" s="6">
        <f t="shared" si="3"/>
        <v>43</v>
      </c>
      <c r="H71" s="1">
        <f>SUMIF('Retal Tran Line Item'!E:E,A71,'Retal Tran Line Item'!B:B)</f>
        <v>5</v>
      </c>
    </row>
    <row r="72" spans="1:8">
      <c r="A72" s="1">
        <v>100070</v>
      </c>
      <c r="B72" s="1">
        <v>158310</v>
      </c>
      <c r="C72" s="2">
        <v>41204</v>
      </c>
      <c r="D72" s="1" t="s">
        <v>1993</v>
      </c>
      <c r="E72" s="6">
        <v>1</v>
      </c>
      <c r="F72" s="6" t="str">
        <f t="shared" si="2"/>
        <v>October</v>
      </c>
      <c r="G72" s="6">
        <f t="shared" si="3"/>
        <v>43</v>
      </c>
      <c r="H72" s="1">
        <f>SUMIF('Retal Tran Line Item'!E:E,A72,'Retal Tran Line Item'!B:B)</f>
        <v>10</v>
      </c>
    </row>
    <row r="73" spans="1:8">
      <c r="A73" s="1">
        <v>100071</v>
      </c>
      <c r="B73" s="1">
        <v>707458</v>
      </c>
      <c r="C73" s="2">
        <v>41204</v>
      </c>
      <c r="D73" s="1" t="s">
        <v>1993</v>
      </c>
      <c r="E73" s="6">
        <v>1</v>
      </c>
      <c r="F73" s="6" t="str">
        <f t="shared" si="2"/>
        <v>October</v>
      </c>
      <c r="G73" s="6">
        <f t="shared" si="3"/>
        <v>43</v>
      </c>
      <c r="H73" s="1">
        <f>SUMIF('Retal Tran Line Item'!E:E,A73,'Retal Tran Line Item'!B:B)</f>
        <v>2</v>
      </c>
    </row>
    <row r="74" spans="1:8">
      <c r="A74" s="1">
        <v>100072</v>
      </c>
      <c r="B74" s="1">
        <v>370870</v>
      </c>
      <c r="C74" s="2">
        <v>41204</v>
      </c>
      <c r="D74" s="1" t="s">
        <v>1993</v>
      </c>
      <c r="E74" s="6">
        <v>2</v>
      </c>
      <c r="F74" s="6" t="str">
        <f t="shared" si="2"/>
        <v>October</v>
      </c>
      <c r="G74" s="6">
        <f t="shared" si="3"/>
        <v>43</v>
      </c>
      <c r="H74" s="1">
        <f>SUMIF('Retal Tran Line Item'!E:E,A74,'Retal Tran Line Item'!B:B)</f>
        <v>2</v>
      </c>
    </row>
    <row r="75" spans="1:8">
      <c r="A75" s="1">
        <v>100073</v>
      </c>
      <c r="B75" s="1">
        <v>689877</v>
      </c>
      <c r="C75" s="2">
        <v>41204</v>
      </c>
      <c r="D75" s="1" t="s">
        <v>1994</v>
      </c>
      <c r="E75" s="6">
        <v>1</v>
      </c>
      <c r="F75" s="6" t="str">
        <f t="shared" si="2"/>
        <v>October</v>
      </c>
      <c r="G75" s="6">
        <f t="shared" si="3"/>
        <v>43</v>
      </c>
      <c r="H75" s="1">
        <f>SUMIF('Retal Tran Line Item'!E:E,A75,'Retal Tran Line Item'!B:B)</f>
        <v>3</v>
      </c>
    </row>
    <row r="76" spans="1:8">
      <c r="A76" s="1">
        <v>100074</v>
      </c>
      <c r="B76" s="1">
        <v>336644</v>
      </c>
      <c r="C76" s="2">
        <v>41205</v>
      </c>
      <c r="D76" s="1" t="s">
        <v>1993</v>
      </c>
      <c r="E76" s="6">
        <v>2</v>
      </c>
      <c r="F76" s="6" t="str">
        <f t="shared" si="2"/>
        <v>October</v>
      </c>
      <c r="G76" s="6">
        <f t="shared" si="3"/>
        <v>43</v>
      </c>
      <c r="H76" s="1">
        <f>SUMIF('Retal Tran Line Item'!E:E,A76,'Retal Tran Line Item'!B:B)</f>
        <v>1</v>
      </c>
    </row>
    <row r="77" spans="1:8">
      <c r="A77" s="1">
        <v>100075</v>
      </c>
      <c r="B77" s="1">
        <v>378374</v>
      </c>
      <c r="C77" s="2">
        <v>41206</v>
      </c>
      <c r="D77" s="1" t="s">
        <v>1994</v>
      </c>
      <c r="E77" s="6">
        <v>2</v>
      </c>
      <c r="F77" s="6" t="str">
        <f t="shared" si="2"/>
        <v>October</v>
      </c>
      <c r="G77" s="6">
        <f t="shared" si="3"/>
        <v>43</v>
      </c>
      <c r="H77" s="1">
        <f>SUMIF('Retal Tran Line Item'!E:E,A77,'Retal Tran Line Item'!B:B)</f>
        <v>17</v>
      </c>
    </row>
    <row r="78" spans="1:8">
      <c r="A78" s="1">
        <v>100076</v>
      </c>
      <c r="B78" s="1">
        <v>924649</v>
      </c>
      <c r="C78" s="2">
        <v>41206</v>
      </c>
      <c r="D78" s="1" t="s">
        <v>1993</v>
      </c>
      <c r="E78" s="6">
        <v>1</v>
      </c>
      <c r="F78" s="6" t="str">
        <f t="shared" si="2"/>
        <v>October</v>
      </c>
      <c r="G78" s="6">
        <f t="shared" si="3"/>
        <v>43</v>
      </c>
      <c r="H78" s="1">
        <f>SUMIF('Retal Tran Line Item'!E:E,A78,'Retal Tran Line Item'!B:B)</f>
        <v>21</v>
      </c>
    </row>
    <row r="79" spans="1:8">
      <c r="A79" s="1">
        <v>100077</v>
      </c>
      <c r="B79" s="1">
        <v>689877</v>
      </c>
      <c r="C79" s="2">
        <v>41206</v>
      </c>
      <c r="D79" s="1" t="s">
        <v>1994</v>
      </c>
      <c r="E79" s="6">
        <v>2</v>
      </c>
      <c r="F79" s="6" t="str">
        <f t="shared" si="2"/>
        <v>October</v>
      </c>
      <c r="G79" s="6">
        <f t="shared" si="3"/>
        <v>43</v>
      </c>
      <c r="H79" s="1">
        <f>SUMIF('Retal Tran Line Item'!E:E,A79,'Retal Tran Line Item'!B:B)</f>
        <v>9</v>
      </c>
    </row>
    <row r="80" spans="1:8">
      <c r="A80" s="1">
        <v>100078</v>
      </c>
      <c r="B80" s="1">
        <v>413292</v>
      </c>
      <c r="C80" s="2">
        <v>41206</v>
      </c>
      <c r="D80" s="1" t="s">
        <v>1993</v>
      </c>
      <c r="E80" s="6">
        <v>1</v>
      </c>
      <c r="F80" s="6" t="str">
        <f t="shared" si="2"/>
        <v>October</v>
      </c>
      <c r="G80" s="6">
        <f t="shared" si="3"/>
        <v>43</v>
      </c>
      <c r="H80" s="1">
        <f>SUMIF('Retal Tran Line Item'!E:E,A80,'Retal Tran Line Item'!B:B)</f>
        <v>8</v>
      </c>
    </row>
    <row r="81" spans="1:8">
      <c r="A81" s="1">
        <v>100079</v>
      </c>
      <c r="B81" s="1">
        <v>689877</v>
      </c>
      <c r="C81" s="2">
        <v>41207</v>
      </c>
      <c r="D81" s="1" t="s">
        <v>1994</v>
      </c>
      <c r="E81" s="6">
        <v>2</v>
      </c>
      <c r="F81" s="6" t="str">
        <f t="shared" si="2"/>
        <v>October</v>
      </c>
      <c r="G81" s="6">
        <f t="shared" si="3"/>
        <v>43</v>
      </c>
      <c r="H81" s="1">
        <f>SUMIF('Retal Tran Line Item'!E:E,A81,'Retal Tran Line Item'!B:B)</f>
        <v>10</v>
      </c>
    </row>
    <row r="82" spans="1:8">
      <c r="A82" s="1">
        <v>100080</v>
      </c>
      <c r="B82" s="1">
        <v>292402</v>
      </c>
      <c r="C82" s="2">
        <v>41207</v>
      </c>
      <c r="D82" s="1" t="s">
        <v>1994</v>
      </c>
      <c r="E82" s="6">
        <v>1</v>
      </c>
      <c r="F82" s="6" t="str">
        <f t="shared" si="2"/>
        <v>October</v>
      </c>
      <c r="G82" s="6">
        <f t="shared" si="3"/>
        <v>43</v>
      </c>
      <c r="H82" s="1">
        <f>SUMIF('Retal Tran Line Item'!E:E,A82,'Retal Tran Line Item'!B:B)</f>
        <v>7</v>
      </c>
    </row>
    <row r="83" spans="1:8">
      <c r="A83" s="1">
        <v>100081</v>
      </c>
      <c r="B83" s="1">
        <v>413495</v>
      </c>
      <c r="C83" s="2">
        <v>41210</v>
      </c>
      <c r="D83" s="1" t="s">
        <v>1994</v>
      </c>
      <c r="E83" s="6">
        <v>2</v>
      </c>
      <c r="F83" s="6" t="str">
        <f t="shared" si="2"/>
        <v>October</v>
      </c>
      <c r="G83" s="6">
        <f t="shared" si="3"/>
        <v>44</v>
      </c>
      <c r="H83" s="1">
        <f>SUMIF('Retal Tran Line Item'!E:E,A83,'Retal Tran Line Item'!B:B)</f>
        <v>7</v>
      </c>
    </row>
    <row r="84" spans="1:8">
      <c r="A84" s="1">
        <v>100082</v>
      </c>
      <c r="B84" s="1">
        <v>537860</v>
      </c>
      <c r="C84" s="2">
        <v>41210</v>
      </c>
      <c r="D84" s="1" t="s">
        <v>1989</v>
      </c>
      <c r="E84" s="6">
        <v>2</v>
      </c>
      <c r="F84" s="6" t="str">
        <f t="shared" si="2"/>
        <v>October</v>
      </c>
      <c r="G84" s="6">
        <f t="shared" si="3"/>
        <v>44</v>
      </c>
      <c r="H84" s="1">
        <f>SUMIF('Retal Tran Line Item'!E:E,A84,'Retal Tran Line Item'!B:B)</f>
        <v>10</v>
      </c>
    </row>
    <row r="85" spans="1:8">
      <c r="A85" s="1">
        <v>100083</v>
      </c>
      <c r="B85" s="1">
        <v>872851</v>
      </c>
      <c r="C85" s="2">
        <v>41210</v>
      </c>
      <c r="D85" s="1" t="s">
        <v>1992</v>
      </c>
      <c r="E85" s="6">
        <v>1</v>
      </c>
      <c r="F85" s="6" t="str">
        <f t="shared" si="2"/>
        <v>October</v>
      </c>
      <c r="G85" s="6">
        <f t="shared" si="3"/>
        <v>44</v>
      </c>
      <c r="H85" s="1">
        <f>SUMIF('Retal Tran Line Item'!E:E,A85,'Retal Tran Line Item'!B:B)</f>
        <v>4</v>
      </c>
    </row>
    <row r="86" spans="1:8">
      <c r="A86" s="1">
        <v>100084</v>
      </c>
      <c r="B86" s="1">
        <v>791850</v>
      </c>
      <c r="C86" s="2">
        <v>41211</v>
      </c>
      <c r="D86" s="1" t="s">
        <v>1994</v>
      </c>
      <c r="E86" s="6">
        <v>1</v>
      </c>
      <c r="F86" s="6" t="str">
        <f t="shared" si="2"/>
        <v>October</v>
      </c>
      <c r="G86" s="6">
        <f t="shared" si="3"/>
        <v>44</v>
      </c>
      <c r="H86" s="1">
        <f>SUMIF('Retal Tran Line Item'!E:E,A86,'Retal Tran Line Item'!B:B)</f>
        <v>17</v>
      </c>
    </row>
    <row r="87" spans="1:8">
      <c r="A87" s="1">
        <v>100085</v>
      </c>
      <c r="B87" s="1">
        <v>789308</v>
      </c>
      <c r="C87" s="2">
        <v>41211</v>
      </c>
      <c r="D87" s="1" t="s">
        <v>1993</v>
      </c>
      <c r="E87" s="6">
        <v>1</v>
      </c>
      <c r="F87" s="6" t="str">
        <f t="shared" si="2"/>
        <v>October</v>
      </c>
      <c r="G87" s="6">
        <f t="shared" si="3"/>
        <v>44</v>
      </c>
      <c r="H87" s="1">
        <f>SUMIF('Retal Tran Line Item'!E:E,A87,'Retal Tran Line Item'!B:B)</f>
        <v>14</v>
      </c>
    </row>
    <row r="88" spans="1:8">
      <c r="A88" s="1">
        <v>100086</v>
      </c>
      <c r="B88" s="1">
        <v>336644</v>
      </c>
      <c r="C88" s="2">
        <v>41211</v>
      </c>
      <c r="D88" s="1" t="s">
        <v>1993</v>
      </c>
      <c r="E88" s="6">
        <v>2</v>
      </c>
      <c r="F88" s="6" t="str">
        <f t="shared" si="2"/>
        <v>October</v>
      </c>
      <c r="G88" s="6">
        <f t="shared" si="3"/>
        <v>44</v>
      </c>
      <c r="H88" s="1">
        <f>SUMIF('Retal Tran Line Item'!E:E,A88,'Retal Tran Line Item'!B:B)</f>
        <v>6</v>
      </c>
    </row>
    <row r="89" spans="1:8">
      <c r="A89" s="1">
        <v>100087</v>
      </c>
      <c r="B89" s="1">
        <v>720602</v>
      </c>
      <c r="C89" s="2">
        <v>41212</v>
      </c>
      <c r="D89" s="1" t="s">
        <v>1992</v>
      </c>
      <c r="E89" s="6">
        <v>2</v>
      </c>
      <c r="F89" s="6" t="str">
        <f t="shared" si="2"/>
        <v>October</v>
      </c>
      <c r="G89" s="6">
        <f t="shared" si="3"/>
        <v>44</v>
      </c>
      <c r="H89" s="1">
        <f>SUMIF('Retal Tran Line Item'!E:E,A89,'Retal Tran Line Item'!B:B)</f>
        <v>11</v>
      </c>
    </row>
    <row r="90" spans="1:8">
      <c r="A90" s="1">
        <v>100088</v>
      </c>
      <c r="B90" s="1">
        <v>553931</v>
      </c>
      <c r="C90" s="2">
        <v>41213</v>
      </c>
      <c r="D90" s="1" t="s">
        <v>1992</v>
      </c>
      <c r="E90" s="6">
        <v>2</v>
      </c>
      <c r="F90" s="6" t="str">
        <f t="shared" si="2"/>
        <v>October</v>
      </c>
      <c r="G90" s="6">
        <f t="shared" si="3"/>
        <v>44</v>
      </c>
      <c r="H90" s="1">
        <f>SUMIF('Retal Tran Line Item'!E:E,A90,'Retal Tran Line Item'!B:B)</f>
        <v>11</v>
      </c>
    </row>
    <row r="91" spans="1:8">
      <c r="A91" s="1">
        <v>100089</v>
      </c>
      <c r="B91" s="1">
        <v>722547</v>
      </c>
      <c r="C91" s="2">
        <v>41213</v>
      </c>
      <c r="D91" s="1" t="s">
        <v>1994</v>
      </c>
      <c r="E91" s="6">
        <v>2</v>
      </c>
      <c r="F91" s="6" t="str">
        <f t="shared" si="2"/>
        <v>October</v>
      </c>
      <c r="G91" s="6">
        <f t="shared" si="3"/>
        <v>44</v>
      </c>
      <c r="H91" s="1">
        <f>SUMIF('Retal Tran Line Item'!E:E,A91,'Retal Tran Line Item'!B:B)</f>
        <v>8</v>
      </c>
    </row>
    <row r="92" spans="1:8">
      <c r="A92" s="1">
        <v>100090</v>
      </c>
      <c r="B92" s="1">
        <v>559486</v>
      </c>
      <c r="C92" s="2">
        <v>41214</v>
      </c>
      <c r="D92" s="1" t="s">
        <v>1992</v>
      </c>
      <c r="E92" s="6">
        <v>2</v>
      </c>
      <c r="F92" s="6" t="str">
        <f t="shared" si="2"/>
        <v>November</v>
      </c>
      <c r="G92" s="6">
        <f t="shared" si="3"/>
        <v>44</v>
      </c>
      <c r="H92" s="1">
        <f>SUMIF('Retal Tran Line Item'!E:E,A92,'Retal Tran Line Item'!B:B)</f>
        <v>19</v>
      </c>
    </row>
    <row r="93" spans="1:8">
      <c r="A93" s="1">
        <v>100091</v>
      </c>
      <c r="B93" s="1">
        <v>592726</v>
      </c>
      <c r="C93" s="2">
        <v>41214</v>
      </c>
      <c r="D93" s="1" t="s">
        <v>1993</v>
      </c>
      <c r="E93" s="6">
        <v>2</v>
      </c>
      <c r="F93" s="6" t="str">
        <f t="shared" si="2"/>
        <v>November</v>
      </c>
      <c r="G93" s="6">
        <f t="shared" si="3"/>
        <v>44</v>
      </c>
      <c r="H93" s="1">
        <f>SUMIF('Retal Tran Line Item'!E:E,A93,'Retal Tran Line Item'!B:B)</f>
        <v>11</v>
      </c>
    </row>
    <row r="94" spans="1:8">
      <c r="A94" s="1">
        <v>100092</v>
      </c>
      <c r="B94" s="1">
        <v>938417</v>
      </c>
      <c r="C94" s="2">
        <v>41216</v>
      </c>
      <c r="D94" s="1" t="s">
        <v>1992</v>
      </c>
      <c r="E94" s="6">
        <v>2</v>
      </c>
      <c r="F94" s="6" t="str">
        <f t="shared" si="2"/>
        <v>November</v>
      </c>
      <c r="G94" s="6">
        <f t="shared" si="3"/>
        <v>44</v>
      </c>
      <c r="H94" s="1">
        <f>SUMIF('Retal Tran Line Item'!E:E,A94,'Retal Tran Line Item'!B:B)</f>
        <v>24</v>
      </c>
    </row>
    <row r="95" spans="1:8">
      <c r="A95" s="1">
        <v>100093</v>
      </c>
      <c r="B95" s="1">
        <v>175940</v>
      </c>
      <c r="C95" s="2">
        <v>41216</v>
      </c>
      <c r="D95" s="1" t="s">
        <v>1993</v>
      </c>
      <c r="E95" s="6">
        <v>2</v>
      </c>
      <c r="F95" s="6" t="str">
        <f t="shared" si="2"/>
        <v>November</v>
      </c>
      <c r="G95" s="6">
        <f t="shared" si="3"/>
        <v>44</v>
      </c>
      <c r="H95" s="1">
        <f>SUMIF('Retal Tran Line Item'!E:E,A95,'Retal Tran Line Item'!B:B)</f>
        <v>9</v>
      </c>
    </row>
    <row r="96" spans="1:8">
      <c r="A96" s="1">
        <v>100094</v>
      </c>
      <c r="B96" s="1">
        <v>447368</v>
      </c>
      <c r="C96" s="2">
        <v>41218</v>
      </c>
      <c r="D96" s="1" t="s">
        <v>1993</v>
      </c>
      <c r="E96" s="6">
        <v>1</v>
      </c>
      <c r="F96" s="6" t="str">
        <f t="shared" si="2"/>
        <v>November</v>
      </c>
      <c r="G96" s="6">
        <f t="shared" si="3"/>
        <v>45</v>
      </c>
      <c r="H96" s="1">
        <f>SUMIF('Retal Tran Line Item'!E:E,A96,'Retal Tran Line Item'!B:B)</f>
        <v>27</v>
      </c>
    </row>
    <row r="97" spans="1:8">
      <c r="A97" s="1">
        <v>100095</v>
      </c>
      <c r="B97" s="1">
        <v>884607</v>
      </c>
      <c r="C97" s="2">
        <v>41218</v>
      </c>
      <c r="D97" s="1" t="s">
        <v>1993</v>
      </c>
      <c r="E97" s="6">
        <v>1</v>
      </c>
      <c r="F97" s="6" t="str">
        <f t="shared" si="2"/>
        <v>November</v>
      </c>
      <c r="G97" s="6">
        <f t="shared" si="3"/>
        <v>45</v>
      </c>
      <c r="H97" s="1">
        <f>SUMIF('Retal Tran Line Item'!E:E,A97,'Retal Tran Line Item'!B:B)</f>
        <v>5</v>
      </c>
    </row>
    <row r="98" spans="1:8">
      <c r="A98" s="1">
        <v>100096</v>
      </c>
      <c r="B98" s="1">
        <v>193968</v>
      </c>
      <c r="C98" s="2">
        <v>41219</v>
      </c>
      <c r="D98" s="1" t="s">
        <v>1992</v>
      </c>
      <c r="E98" s="6">
        <v>2</v>
      </c>
      <c r="F98" s="6" t="str">
        <f t="shared" si="2"/>
        <v>November</v>
      </c>
      <c r="G98" s="6">
        <f t="shared" si="3"/>
        <v>45</v>
      </c>
      <c r="H98" s="1">
        <f>SUMIF('Retal Tran Line Item'!E:E,A98,'Retal Tran Line Item'!B:B)</f>
        <v>28</v>
      </c>
    </row>
    <row r="99" spans="1:8">
      <c r="A99" s="1">
        <v>100097</v>
      </c>
      <c r="B99" s="1">
        <v>468100</v>
      </c>
      <c r="C99" s="2">
        <v>41219</v>
      </c>
      <c r="D99" s="1" t="s">
        <v>1992</v>
      </c>
      <c r="E99" s="6">
        <v>1</v>
      </c>
      <c r="F99" s="6" t="str">
        <f t="shared" si="2"/>
        <v>November</v>
      </c>
      <c r="G99" s="6">
        <f t="shared" si="3"/>
        <v>45</v>
      </c>
      <c r="H99" s="1">
        <f>SUMIF('Retal Tran Line Item'!E:E,A99,'Retal Tran Line Item'!B:B)</f>
        <v>5</v>
      </c>
    </row>
    <row r="100" spans="1:8">
      <c r="A100" s="1">
        <v>100098</v>
      </c>
      <c r="B100" s="1">
        <v>132454</v>
      </c>
      <c r="C100" s="2">
        <v>41219</v>
      </c>
      <c r="D100" s="1" t="s">
        <v>1992</v>
      </c>
      <c r="E100" s="6">
        <v>1</v>
      </c>
      <c r="F100" s="6" t="str">
        <f t="shared" si="2"/>
        <v>November</v>
      </c>
      <c r="G100" s="6">
        <f t="shared" si="3"/>
        <v>45</v>
      </c>
      <c r="H100" s="1">
        <f>SUMIF('Retal Tran Line Item'!E:E,A100,'Retal Tran Line Item'!B:B)</f>
        <v>10</v>
      </c>
    </row>
    <row r="101" spans="1:8">
      <c r="A101" s="1">
        <v>100099</v>
      </c>
      <c r="B101" s="1">
        <v>416523</v>
      </c>
      <c r="C101" s="2">
        <v>41219</v>
      </c>
      <c r="D101" s="1" t="s">
        <v>1994</v>
      </c>
      <c r="E101" s="6">
        <v>2</v>
      </c>
      <c r="F101" s="6" t="str">
        <f t="shared" si="2"/>
        <v>November</v>
      </c>
      <c r="G101" s="6">
        <f t="shared" si="3"/>
        <v>45</v>
      </c>
      <c r="H101" s="1">
        <f>SUMIF('Retal Tran Line Item'!E:E,A101,'Retal Tran Line Item'!B:B)</f>
        <v>7</v>
      </c>
    </row>
    <row r="102" spans="1:8">
      <c r="A102" s="1">
        <v>100100</v>
      </c>
      <c r="B102" s="1">
        <v>277373</v>
      </c>
      <c r="C102" s="2">
        <v>41220</v>
      </c>
      <c r="D102" s="1" t="s">
        <v>1994</v>
      </c>
      <c r="E102" s="6">
        <v>2</v>
      </c>
      <c r="F102" s="6" t="str">
        <f t="shared" si="2"/>
        <v>November</v>
      </c>
      <c r="G102" s="6">
        <f t="shared" si="3"/>
        <v>45</v>
      </c>
      <c r="H102" s="1">
        <f>SUMIF('Retal Tran Line Item'!E:E,A102,'Retal Tran Line Item'!B:B)</f>
        <v>13</v>
      </c>
    </row>
    <row r="103" spans="1:8">
      <c r="A103" s="1">
        <v>100101</v>
      </c>
      <c r="B103" s="1">
        <v>789500</v>
      </c>
      <c r="C103" s="2">
        <v>41220</v>
      </c>
      <c r="D103" s="1" t="s">
        <v>1992</v>
      </c>
      <c r="E103" s="6">
        <v>2</v>
      </c>
      <c r="F103" s="6" t="str">
        <f t="shared" si="2"/>
        <v>November</v>
      </c>
      <c r="G103" s="6">
        <f t="shared" si="3"/>
        <v>45</v>
      </c>
      <c r="H103" s="1">
        <f>SUMIF('Retal Tran Line Item'!E:E,A103,'Retal Tran Line Item'!B:B)</f>
        <v>7</v>
      </c>
    </row>
    <row r="104" spans="1:8">
      <c r="A104" s="1">
        <v>100102</v>
      </c>
      <c r="B104" s="1">
        <v>736500</v>
      </c>
      <c r="C104" s="2">
        <v>41220</v>
      </c>
      <c r="D104" s="1" t="s">
        <v>1993</v>
      </c>
      <c r="E104" s="6">
        <v>1</v>
      </c>
      <c r="F104" s="6" t="str">
        <f t="shared" si="2"/>
        <v>November</v>
      </c>
      <c r="G104" s="6">
        <f t="shared" si="3"/>
        <v>45</v>
      </c>
      <c r="H104" s="1">
        <f>SUMIF('Retal Tran Line Item'!E:E,A104,'Retal Tran Line Item'!B:B)</f>
        <v>13</v>
      </c>
    </row>
    <row r="105" spans="1:8">
      <c r="A105" s="1">
        <v>100103</v>
      </c>
      <c r="B105" s="1">
        <v>465275</v>
      </c>
      <c r="C105" s="2">
        <v>41220</v>
      </c>
      <c r="D105" s="1" t="s">
        <v>1992</v>
      </c>
      <c r="E105" s="6">
        <v>2</v>
      </c>
      <c r="F105" s="6" t="str">
        <f t="shared" si="2"/>
        <v>November</v>
      </c>
      <c r="G105" s="6">
        <f t="shared" si="3"/>
        <v>45</v>
      </c>
      <c r="H105" s="1">
        <f>SUMIF('Retal Tran Line Item'!E:E,A105,'Retal Tran Line Item'!B:B)</f>
        <v>1</v>
      </c>
    </row>
    <row r="106" spans="1:8">
      <c r="A106" s="1">
        <v>100104</v>
      </c>
      <c r="B106" s="1">
        <v>214537</v>
      </c>
      <c r="C106" s="2">
        <v>41221</v>
      </c>
      <c r="D106" s="1" t="s">
        <v>1989</v>
      </c>
      <c r="E106" s="6">
        <v>2</v>
      </c>
      <c r="F106" s="6" t="str">
        <f t="shared" si="2"/>
        <v>November</v>
      </c>
      <c r="G106" s="6">
        <f t="shared" si="3"/>
        <v>45</v>
      </c>
      <c r="H106" s="1">
        <f>SUMIF('Retal Tran Line Item'!E:E,A106,'Retal Tran Line Item'!B:B)</f>
        <v>4</v>
      </c>
    </row>
    <row r="107" spans="1:8">
      <c r="A107" s="1">
        <v>100105</v>
      </c>
      <c r="B107" s="1">
        <v>814512</v>
      </c>
      <c r="C107" s="2">
        <v>41222</v>
      </c>
      <c r="D107" s="1" t="s">
        <v>1992</v>
      </c>
      <c r="E107" s="6">
        <v>2</v>
      </c>
      <c r="F107" s="6" t="str">
        <f t="shared" si="2"/>
        <v>November</v>
      </c>
      <c r="G107" s="6">
        <f t="shared" si="3"/>
        <v>45</v>
      </c>
      <c r="H107" s="1">
        <f>SUMIF('Retal Tran Line Item'!E:E,A107,'Retal Tran Line Item'!B:B)</f>
        <v>27</v>
      </c>
    </row>
    <row r="108" spans="1:8">
      <c r="A108" s="1">
        <v>100106</v>
      </c>
      <c r="B108" s="1">
        <v>166135</v>
      </c>
      <c r="C108" s="2">
        <v>41223</v>
      </c>
      <c r="D108" s="1" t="s">
        <v>1989</v>
      </c>
      <c r="E108" s="6">
        <v>1</v>
      </c>
      <c r="F108" s="6" t="str">
        <f t="shared" si="2"/>
        <v>November</v>
      </c>
      <c r="G108" s="6">
        <f t="shared" si="3"/>
        <v>45</v>
      </c>
      <c r="H108" s="1">
        <f>SUMIF('Retal Tran Line Item'!E:E,A108,'Retal Tran Line Item'!B:B)</f>
        <v>9</v>
      </c>
    </row>
    <row r="109" spans="1:8">
      <c r="A109" s="1">
        <v>100107</v>
      </c>
      <c r="B109" s="1">
        <v>739669</v>
      </c>
      <c r="C109" s="2">
        <v>41224</v>
      </c>
      <c r="D109" s="1" t="s">
        <v>1992</v>
      </c>
      <c r="E109" s="6">
        <v>1</v>
      </c>
      <c r="F109" s="6" t="str">
        <f t="shared" si="2"/>
        <v>November</v>
      </c>
      <c r="G109" s="6">
        <f t="shared" si="3"/>
        <v>46</v>
      </c>
      <c r="H109" s="1">
        <f>SUMIF('Retal Tran Line Item'!E:E,A109,'Retal Tran Line Item'!B:B)</f>
        <v>18</v>
      </c>
    </row>
    <row r="110" spans="1:8">
      <c r="A110" s="1">
        <v>100108</v>
      </c>
      <c r="B110" s="1">
        <v>696852</v>
      </c>
      <c r="C110" s="2">
        <v>41224</v>
      </c>
      <c r="D110" s="1" t="s">
        <v>1993</v>
      </c>
      <c r="E110" s="6">
        <v>2</v>
      </c>
      <c r="F110" s="6" t="str">
        <f t="shared" si="2"/>
        <v>November</v>
      </c>
      <c r="G110" s="6">
        <f t="shared" si="3"/>
        <v>46</v>
      </c>
      <c r="H110" s="1">
        <f>SUMIF('Retal Tran Line Item'!E:E,A110,'Retal Tran Line Item'!B:B)</f>
        <v>6</v>
      </c>
    </row>
    <row r="111" spans="1:8">
      <c r="A111" s="1">
        <v>100109</v>
      </c>
      <c r="B111" s="1">
        <v>567388</v>
      </c>
      <c r="C111" s="2">
        <v>41226</v>
      </c>
      <c r="D111" s="1" t="s">
        <v>1993</v>
      </c>
      <c r="E111" s="6">
        <v>1</v>
      </c>
      <c r="F111" s="6" t="str">
        <f t="shared" si="2"/>
        <v>November</v>
      </c>
      <c r="G111" s="6">
        <f t="shared" si="3"/>
        <v>46</v>
      </c>
      <c r="H111" s="1">
        <f>SUMIF('Retal Tran Line Item'!E:E,A111,'Retal Tran Line Item'!B:B)</f>
        <v>19</v>
      </c>
    </row>
    <row r="112" spans="1:8">
      <c r="A112" s="1">
        <v>100110</v>
      </c>
      <c r="B112" s="1">
        <v>122818</v>
      </c>
      <c r="C112" s="2">
        <v>41229</v>
      </c>
      <c r="D112" s="1" t="s">
        <v>1992</v>
      </c>
      <c r="E112" s="6">
        <v>1</v>
      </c>
      <c r="F112" s="6" t="str">
        <f t="shared" si="2"/>
        <v>November</v>
      </c>
      <c r="G112" s="6">
        <f t="shared" si="3"/>
        <v>46</v>
      </c>
      <c r="H112" s="1">
        <f>SUMIF('Retal Tran Line Item'!E:E,A112,'Retal Tran Line Item'!B:B)</f>
        <v>5</v>
      </c>
    </row>
    <row r="113" spans="1:8">
      <c r="A113" s="1">
        <v>100111</v>
      </c>
      <c r="B113" s="1">
        <v>227372</v>
      </c>
      <c r="C113" s="2">
        <v>41229</v>
      </c>
      <c r="D113" s="1" t="s">
        <v>1992</v>
      </c>
      <c r="E113" s="6">
        <v>2</v>
      </c>
      <c r="F113" s="6" t="str">
        <f t="shared" si="2"/>
        <v>November</v>
      </c>
      <c r="G113" s="6">
        <f t="shared" si="3"/>
        <v>46</v>
      </c>
      <c r="H113" s="1">
        <f>SUMIF('Retal Tran Line Item'!E:E,A113,'Retal Tran Line Item'!B:B)</f>
        <v>4</v>
      </c>
    </row>
    <row r="114" spans="1:8">
      <c r="A114" s="1">
        <v>100112</v>
      </c>
      <c r="B114" s="1">
        <v>464984</v>
      </c>
      <c r="C114" s="2">
        <v>41230</v>
      </c>
      <c r="D114" s="1" t="s">
        <v>1993</v>
      </c>
      <c r="E114" s="6">
        <v>1</v>
      </c>
      <c r="F114" s="6" t="str">
        <f t="shared" si="2"/>
        <v>November</v>
      </c>
      <c r="G114" s="6">
        <f t="shared" si="3"/>
        <v>46</v>
      </c>
      <c r="H114" s="1">
        <f>SUMIF('Retal Tran Line Item'!E:E,A114,'Retal Tran Line Item'!B:B)</f>
        <v>2</v>
      </c>
    </row>
    <row r="115" spans="1:8">
      <c r="A115" s="1">
        <v>100113</v>
      </c>
      <c r="B115" s="1">
        <v>422951</v>
      </c>
      <c r="C115" s="2">
        <v>41232</v>
      </c>
      <c r="D115" s="1" t="s">
        <v>1994</v>
      </c>
      <c r="E115" s="6">
        <v>1</v>
      </c>
      <c r="F115" s="6" t="str">
        <f t="shared" si="2"/>
        <v>November</v>
      </c>
      <c r="G115" s="6">
        <f t="shared" si="3"/>
        <v>47</v>
      </c>
      <c r="H115" s="1">
        <f>SUMIF('Retal Tran Line Item'!E:E,A115,'Retal Tran Line Item'!B:B)</f>
        <v>12</v>
      </c>
    </row>
    <row r="116" spans="1:8">
      <c r="A116" s="1">
        <v>100114</v>
      </c>
      <c r="B116" s="1">
        <v>701816</v>
      </c>
      <c r="C116" s="2">
        <v>41232</v>
      </c>
      <c r="D116" s="1" t="s">
        <v>1993</v>
      </c>
      <c r="E116" s="6">
        <v>2</v>
      </c>
      <c r="F116" s="6" t="str">
        <f t="shared" si="2"/>
        <v>November</v>
      </c>
      <c r="G116" s="6">
        <f t="shared" si="3"/>
        <v>47</v>
      </c>
      <c r="H116" s="1">
        <f>SUMIF('Retal Tran Line Item'!E:E,A116,'Retal Tran Line Item'!B:B)</f>
        <v>8</v>
      </c>
    </row>
    <row r="117" spans="1:8">
      <c r="A117" s="1">
        <v>100115</v>
      </c>
      <c r="B117" s="1">
        <v>336644</v>
      </c>
      <c r="C117" s="2">
        <v>41233</v>
      </c>
      <c r="D117" s="1" t="s">
        <v>1993</v>
      </c>
      <c r="E117" s="6">
        <v>2</v>
      </c>
      <c r="F117" s="6" t="str">
        <f t="shared" si="2"/>
        <v>November</v>
      </c>
      <c r="G117" s="6">
        <f t="shared" si="3"/>
        <v>47</v>
      </c>
      <c r="H117" s="1">
        <f>SUMIF('Retal Tran Line Item'!E:E,A117,'Retal Tran Line Item'!B:B)</f>
        <v>4</v>
      </c>
    </row>
    <row r="118" spans="1:8">
      <c r="A118" s="1">
        <v>100116</v>
      </c>
      <c r="B118" s="1">
        <v>951701</v>
      </c>
      <c r="C118" s="2">
        <v>41233</v>
      </c>
      <c r="D118" s="1" t="s">
        <v>1989</v>
      </c>
      <c r="E118" s="6">
        <v>2</v>
      </c>
      <c r="F118" s="6" t="str">
        <f t="shared" si="2"/>
        <v>November</v>
      </c>
      <c r="G118" s="6">
        <f t="shared" si="3"/>
        <v>47</v>
      </c>
      <c r="H118" s="1">
        <f>SUMIF('Retal Tran Line Item'!E:E,A118,'Retal Tran Line Item'!B:B)</f>
        <v>7</v>
      </c>
    </row>
    <row r="119" spans="1:8">
      <c r="A119" s="1">
        <v>100117</v>
      </c>
      <c r="B119" s="1">
        <v>286196</v>
      </c>
      <c r="C119" s="2">
        <v>41233</v>
      </c>
      <c r="D119" s="1" t="s">
        <v>1989</v>
      </c>
      <c r="E119" s="6">
        <v>2</v>
      </c>
      <c r="F119" s="6" t="str">
        <f t="shared" si="2"/>
        <v>November</v>
      </c>
      <c r="G119" s="6">
        <f t="shared" si="3"/>
        <v>47</v>
      </c>
      <c r="H119" s="1">
        <f>SUMIF('Retal Tran Line Item'!E:E,A119,'Retal Tran Line Item'!B:B)</f>
        <v>2</v>
      </c>
    </row>
    <row r="120" spans="1:8">
      <c r="A120" s="1">
        <v>100118</v>
      </c>
      <c r="B120" s="1">
        <v>122818</v>
      </c>
      <c r="C120" s="2">
        <v>41233</v>
      </c>
      <c r="D120" s="1" t="s">
        <v>1992</v>
      </c>
      <c r="E120" s="6">
        <v>2</v>
      </c>
      <c r="F120" s="6" t="str">
        <f t="shared" si="2"/>
        <v>November</v>
      </c>
      <c r="G120" s="6">
        <f t="shared" si="3"/>
        <v>47</v>
      </c>
      <c r="H120" s="1">
        <f>SUMIF('Retal Tran Line Item'!E:E,A120,'Retal Tran Line Item'!B:B)</f>
        <v>11</v>
      </c>
    </row>
    <row r="121" spans="1:8">
      <c r="A121" s="1">
        <v>100119</v>
      </c>
      <c r="B121" s="1">
        <v>992956</v>
      </c>
      <c r="C121" s="2">
        <v>41233</v>
      </c>
      <c r="D121" s="1" t="s">
        <v>1992</v>
      </c>
      <c r="E121" s="6">
        <v>2</v>
      </c>
      <c r="F121" s="6" t="str">
        <f t="shared" si="2"/>
        <v>November</v>
      </c>
      <c r="G121" s="6">
        <f t="shared" si="3"/>
        <v>47</v>
      </c>
      <c r="H121" s="1">
        <f>SUMIF('Retal Tran Line Item'!E:E,A121,'Retal Tran Line Item'!B:B)</f>
        <v>5</v>
      </c>
    </row>
    <row r="122" spans="1:8">
      <c r="A122" s="1">
        <v>100120</v>
      </c>
      <c r="B122" s="1">
        <v>656728</v>
      </c>
      <c r="C122" s="2">
        <v>41234</v>
      </c>
      <c r="D122" s="1" t="s">
        <v>1993</v>
      </c>
      <c r="E122" s="6">
        <v>1</v>
      </c>
      <c r="F122" s="6" t="str">
        <f t="shared" si="2"/>
        <v>November</v>
      </c>
      <c r="G122" s="6">
        <f t="shared" si="3"/>
        <v>47</v>
      </c>
      <c r="H122" s="1">
        <f>SUMIF('Retal Tran Line Item'!E:E,A122,'Retal Tran Line Item'!B:B)</f>
        <v>10</v>
      </c>
    </row>
    <row r="123" spans="1:8">
      <c r="A123" s="1">
        <v>100121</v>
      </c>
      <c r="B123" s="1">
        <v>189953</v>
      </c>
      <c r="C123" s="2">
        <v>41236</v>
      </c>
      <c r="D123" s="1" t="s">
        <v>1992</v>
      </c>
      <c r="E123" s="6">
        <v>2</v>
      </c>
      <c r="F123" s="6" t="str">
        <f t="shared" si="2"/>
        <v>November</v>
      </c>
      <c r="G123" s="6">
        <f t="shared" si="3"/>
        <v>47</v>
      </c>
      <c r="H123" s="1">
        <f>SUMIF('Retal Tran Line Item'!E:E,A123,'Retal Tran Line Item'!B:B)</f>
        <v>12</v>
      </c>
    </row>
    <row r="124" spans="1:8">
      <c r="A124" s="1">
        <v>100122</v>
      </c>
      <c r="B124" s="1">
        <v>422592</v>
      </c>
      <c r="C124" s="2">
        <v>41236</v>
      </c>
      <c r="D124" s="1" t="s">
        <v>1992</v>
      </c>
      <c r="E124" s="6">
        <v>1</v>
      </c>
      <c r="F124" s="6" t="str">
        <f t="shared" si="2"/>
        <v>November</v>
      </c>
      <c r="G124" s="6">
        <f t="shared" si="3"/>
        <v>47</v>
      </c>
      <c r="H124" s="1">
        <f>SUMIF('Retal Tran Line Item'!E:E,A124,'Retal Tran Line Item'!B:B)</f>
        <v>9</v>
      </c>
    </row>
    <row r="125" spans="1:8">
      <c r="A125" s="1">
        <v>100123</v>
      </c>
      <c r="B125" s="1">
        <v>961080</v>
      </c>
      <c r="C125" s="2">
        <v>41237</v>
      </c>
      <c r="D125" s="1" t="s">
        <v>1992</v>
      </c>
      <c r="E125" s="6">
        <v>1</v>
      </c>
      <c r="F125" s="6" t="str">
        <f t="shared" si="2"/>
        <v>November</v>
      </c>
      <c r="G125" s="6">
        <f t="shared" si="3"/>
        <v>47</v>
      </c>
      <c r="H125" s="1">
        <f>SUMIF('Retal Tran Line Item'!E:E,A125,'Retal Tran Line Item'!B:B)</f>
        <v>5</v>
      </c>
    </row>
    <row r="126" spans="1:8">
      <c r="A126" s="1">
        <v>100124</v>
      </c>
      <c r="B126" s="1">
        <v>488803</v>
      </c>
      <c r="C126" s="2">
        <v>41239</v>
      </c>
      <c r="D126" s="1" t="s">
        <v>1989</v>
      </c>
      <c r="E126" s="6">
        <v>2</v>
      </c>
      <c r="F126" s="6" t="str">
        <f t="shared" si="2"/>
        <v>November</v>
      </c>
      <c r="G126" s="6">
        <f t="shared" si="3"/>
        <v>48</v>
      </c>
      <c r="H126" s="1">
        <f>SUMIF('Retal Tran Line Item'!E:E,A126,'Retal Tran Line Item'!B:B)</f>
        <v>3</v>
      </c>
    </row>
    <row r="127" spans="1:8">
      <c r="A127" s="1">
        <v>100125</v>
      </c>
      <c r="B127" s="1">
        <v>137696</v>
      </c>
      <c r="C127" s="2">
        <v>41239</v>
      </c>
      <c r="D127" s="1" t="s">
        <v>1994</v>
      </c>
      <c r="E127" s="6">
        <v>1</v>
      </c>
      <c r="F127" s="6" t="str">
        <f t="shared" si="2"/>
        <v>November</v>
      </c>
      <c r="G127" s="6">
        <f t="shared" si="3"/>
        <v>48</v>
      </c>
      <c r="H127" s="1">
        <f>SUMIF('Retal Tran Line Item'!E:E,A127,'Retal Tran Line Item'!B:B)</f>
        <v>14</v>
      </c>
    </row>
    <row r="128" spans="1:8">
      <c r="A128" s="1">
        <v>100126</v>
      </c>
      <c r="B128" s="1">
        <v>592726</v>
      </c>
      <c r="C128" s="2">
        <v>41240</v>
      </c>
      <c r="D128" s="1" t="s">
        <v>1993</v>
      </c>
      <c r="E128" s="6">
        <v>2</v>
      </c>
      <c r="F128" s="6" t="str">
        <f t="shared" si="2"/>
        <v>November</v>
      </c>
      <c r="G128" s="6">
        <f t="shared" si="3"/>
        <v>48</v>
      </c>
      <c r="H128" s="1">
        <f>SUMIF('Retal Tran Line Item'!E:E,A128,'Retal Tran Line Item'!B:B)</f>
        <v>11</v>
      </c>
    </row>
    <row r="129" spans="1:8">
      <c r="A129" s="1">
        <v>100127</v>
      </c>
      <c r="B129" s="1">
        <v>413292</v>
      </c>
      <c r="C129" s="2">
        <v>41240</v>
      </c>
      <c r="D129" s="1" t="s">
        <v>1993</v>
      </c>
      <c r="E129" s="6">
        <v>1</v>
      </c>
      <c r="F129" s="6" t="str">
        <f t="shared" si="2"/>
        <v>November</v>
      </c>
      <c r="G129" s="6">
        <f t="shared" si="3"/>
        <v>48</v>
      </c>
      <c r="H129" s="1">
        <f>SUMIF('Retal Tran Line Item'!E:E,A129,'Retal Tran Line Item'!B:B)</f>
        <v>24</v>
      </c>
    </row>
    <row r="130" spans="1:8">
      <c r="A130" s="1">
        <v>100128</v>
      </c>
      <c r="B130" s="1">
        <v>203787</v>
      </c>
      <c r="C130" s="2">
        <v>41240</v>
      </c>
      <c r="D130" s="1" t="s">
        <v>1994</v>
      </c>
      <c r="E130" s="6">
        <v>1</v>
      </c>
      <c r="F130" s="6" t="str">
        <f t="shared" si="2"/>
        <v>November</v>
      </c>
      <c r="G130" s="6">
        <f t="shared" si="3"/>
        <v>48</v>
      </c>
      <c r="H130" s="1">
        <f>SUMIF('Retal Tran Line Item'!E:E,A130,'Retal Tran Line Item'!B:B)</f>
        <v>13</v>
      </c>
    </row>
    <row r="131" spans="1:8">
      <c r="A131" s="1">
        <v>100129</v>
      </c>
      <c r="B131" s="1">
        <v>852925</v>
      </c>
      <c r="C131" s="2">
        <v>41241</v>
      </c>
      <c r="D131" s="1" t="s">
        <v>1994</v>
      </c>
      <c r="E131" s="6">
        <v>2</v>
      </c>
      <c r="F131" s="6" t="str">
        <f t="shared" ref="F131:F194" si="4">TEXT(C131,"MMMM")</f>
        <v>November</v>
      </c>
      <c r="G131" s="6">
        <f t="shared" ref="G131:G194" si="5">WEEKNUM(C131)</f>
        <v>48</v>
      </c>
      <c r="H131" s="1">
        <f>SUMIF('Retal Tran Line Item'!E:E,A131,'Retal Tran Line Item'!B:B)</f>
        <v>19</v>
      </c>
    </row>
    <row r="132" spans="1:8">
      <c r="A132" s="1">
        <v>100130</v>
      </c>
      <c r="B132" s="1">
        <v>880238</v>
      </c>
      <c r="C132" s="2">
        <v>41242</v>
      </c>
      <c r="D132" s="1" t="s">
        <v>1993</v>
      </c>
      <c r="E132" s="6">
        <v>1</v>
      </c>
      <c r="F132" s="6" t="str">
        <f t="shared" si="4"/>
        <v>November</v>
      </c>
      <c r="G132" s="6">
        <f t="shared" si="5"/>
        <v>48</v>
      </c>
      <c r="H132" s="1">
        <f>SUMIF('Retal Tran Line Item'!E:E,A132,'Retal Tran Line Item'!B:B)</f>
        <v>10</v>
      </c>
    </row>
    <row r="133" spans="1:8">
      <c r="A133" s="1">
        <v>100131</v>
      </c>
      <c r="B133" s="1">
        <v>610766</v>
      </c>
      <c r="C133" s="2">
        <v>41242</v>
      </c>
      <c r="D133" s="1" t="s">
        <v>1992</v>
      </c>
      <c r="E133" s="6">
        <v>1</v>
      </c>
      <c r="F133" s="6" t="str">
        <f t="shared" si="4"/>
        <v>November</v>
      </c>
      <c r="G133" s="6">
        <f t="shared" si="5"/>
        <v>48</v>
      </c>
      <c r="H133" s="1">
        <f>SUMIF('Retal Tran Line Item'!E:E,A133,'Retal Tran Line Item'!B:B)</f>
        <v>1</v>
      </c>
    </row>
    <row r="134" spans="1:8">
      <c r="A134" s="1">
        <v>100132</v>
      </c>
      <c r="B134" s="1">
        <v>632495</v>
      </c>
      <c r="C134" s="2">
        <v>41242</v>
      </c>
      <c r="D134" s="1" t="s">
        <v>1993</v>
      </c>
      <c r="E134" s="6">
        <v>1</v>
      </c>
      <c r="F134" s="6" t="str">
        <f t="shared" si="4"/>
        <v>November</v>
      </c>
      <c r="G134" s="6">
        <f t="shared" si="5"/>
        <v>48</v>
      </c>
      <c r="H134" s="1">
        <f>SUMIF('Retal Tran Line Item'!E:E,A134,'Retal Tran Line Item'!B:B)</f>
        <v>6</v>
      </c>
    </row>
    <row r="135" spans="1:8">
      <c r="A135" s="1">
        <v>100133</v>
      </c>
      <c r="B135" s="1">
        <v>890270</v>
      </c>
      <c r="C135" s="2">
        <v>41243</v>
      </c>
      <c r="D135" s="1" t="s">
        <v>1992</v>
      </c>
      <c r="E135" s="6">
        <v>2</v>
      </c>
      <c r="F135" s="6" t="str">
        <f t="shared" si="4"/>
        <v>November</v>
      </c>
      <c r="G135" s="6">
        <f t="shared" si="5"/>
        <v>48</v>
      </c>
      <c r="H135" s="1">
        <f>SUMIF('Retal Tran Line Item'!E:E,A135,'Retal Tran Line Item'!B:B)</f>
        <v>4</v>
      </c>
    </row>
    <row r="136" spans="1:8">
      <c r="A136" s="1">
        <v>100134</v>
      </c>
      <c r="B136" s="1">
        <v>551950</v>
      </c>
      <c r="C136" s="2">
        <v>41243</v>
      </c>
      <c r="D136" s="1" t="s">
        <v>1992</v>
      </c>
      <c r="E136" s="6">
        <v>2</v>
      </c>
      <c r="F136" s="6" t="str">
        <f t="shared" si="4"/>
        <v>November</v>
      </c>
      <c r="G136" s="6">
        <f t="shared" si="5"/>
        <v>48</v>
      </c>
      <c r="H136" s="1">
        <f>SUMIF('Retal Tran Line Item'!E:E,A136,'Retal Tran Line Item'!B:B)</f>
        <v>1</v>
      </c>
    </row>
    <row r="137" spans="1:8">
      <c r="A137" s="1">
        <v>100135</v>
      </c>
      <c r="B137" s="1">
        <v>757780</v>
      </c>
      <c r="C137" s="2">
        <v>41243</v>
      </c>
      <c r="D137" s="1" t="s">
        <v>1993</v>
      </c>
      <c r="E137" s="6">
        <v>2</v>
      </c>
      <c r="F137" s="6" t="str">
        <f t="shared" si="4"/>
        <v>November</v>
      </c>
      <c r="G137" s="6">
        <f t="shared" si="5"/>
        <v>48</v>
      </c>
      <c r="H137" s="1">
        <f>SUMIF('Retal Tran Line Item'!E:E,A137,'Retal Tran Line Item'!B:B)</f>
        <v>5</v>
      </c>
    </row>
    <row r="138" spans="1:8">
      <c r="A138" s="1">
        <v>100136</v>
      </c>
      <c r="B138" s="1">
        <v>689877</v>
      </c>
      <c r="C138" s="2">
        <v>41243</v>
      </c>
      <c r="D138" s="1" t="s">
        <v>1994</v>
      </c>
      <c r="E138" s="6">
        <v>2</v>
      </c>
      <c r="F138" s="6" t="str">
        <f t="shared" si="4"/>
        <v>November</v>
      </c>
      <c r="G138" s="6">
        <f t="shared" si="5"/>
        <v>48</v>
      </c>
      <c r="H138" s="1">
        <f>SUMIF('Retal Tran Line Item'!E:E,A138,'Retal Tran Line Item'!B:B)</f>
        <v>17</v>
      </c>
    </row>
    <row r="139" spans="1:8">
      <c r="A139" s="1">
        <v>100137</v>
      </c>
      <c r="B139" s="1">
        <v>109251</v>
      </c>
      <c r="C139" s="2">
        <v>41244</v>
      </c>
      <c r="D139" s="1" t="s">
        <v>1993</v>
      </c>
      <c r="E139" s="6">
        <v>2</v>
      </c>
      <c r="F139" s="6" t="str">
        <f t="shared" si="4"/>
        <v>December</v>
      </c>
      <c r="G139" s="6">
        <f t="shared" si="5"/>
        <v>48</v>
      </c>
      <c r="H139" s="1">
        <f>SUMIF('Retal Tran Line Item'!E:E,A139,'Retal Tran Line Item'!B:B)</f>
        <v>8</v>
      </c>
    </row>
    <row r="140" spans="1:8">
      <c r="A140" s="1">
        <v>100138</v>
      </c>
      <c r="B140" s="1">
        <v>161942</v>
      </c>
      <c r="C140" s="2">
        <v>41245</v>
      </c>
      <c r="D140" s="1" t="s">
        <v>1993</v>
      </c>
      <c r="E140" s="6">
        <v>2</v>
      </c>
      <c r="F140" s="6" t="str">
        <f t="shared" si="4"/>
        <v>December</v>
      </c>
      <c r="G140" s="6">
        <f t="shared" si="5"/>
        <v>49</v>
      </c>
      <c r="H140" s="1">
        <f>SUMIF('Retal Tran Line Item'!E:E,A140,'Retal Tran Line Item'!B:B)</f>
        <v>4</v>
      </c>
    </row>
    <row r="141" spans="1:8">
      <c r="A141" s="1">
        <v>100139</v>
      </c>
      <c r="B141" s="1">
        <v>961080</v>
      </c>
      <c r="C141" s="2">
        <v>41245</v>
      </c>
      <c r="D141" s="1" t="s">
        <v>1992</v>
      </c>
      <c r="E141" s="6">
        <v>1</v>
      </c>
      <c r="F141" s="6" t="str">
        <f t="shared" si="4"/>
        <v>December</v>
      </c>
      <c r="G141" s="6">
        <f t="shared" si="5"/>
        <v>49</v>
      </c>
      <c r="H141" s="1">
        <f>SUMIF('Retal Tran Line Item'!E:E,A141,'Retal Tran Line Item'!B:B)</f>
        <v>4</v>
      </c>
    </row>
    <row r="142" spans="1:8">
      <c r="A142" s="1">
        <v>100140</v>
      </c>
      <c r="B142" s="1">
        <v>416523</v>
      </c>
      <c r="C142" s="2">
        <v>41246</v>
      </c>
      <c r="D142" s="1" t="s">
        <v>1994</v>
      </c>
      <c r="E142" s="6">
        <v>2</v>
      </c>
      <c r="F142" s="6" t="str">
        <f t="shared" si="4"/>
        <v>December</v>
      </c>
      <c r="G142" s="6">
        <f t="shared" si="5"/>
        <v>49</v>
      </c>
      <c r="H142" s="1">
        <f>SUMIF('Retal Tran Line Item'!E:E,A142,'Retal Tran Line Item'!B:B)</f>
        <v>4</v>
      </c>
    </row>
    <row r="143" spans="1:8">
      <c r="A143" s="1">
        <v>100141</v>
      </c>
      <c r="B143" s="1">
        <v>149240</v>
      </c>
      <c r="C143" s="2">
        <v>41247</v>
      </c>
      <c r="D143" s="1" t="s">
        <v>1992</v>
      </c>
      <c r="E143" s="6">
        <v>2</v>
      </c>
      <c r="F143" s="6" t="str">
        <f t="shared" si="4"/>
        <v>December</v>
      </c>
      <c r="G143" s="6">
        <f t="shared" si="5"/>
        <v>49</v>
      </c>
      <c r="H143" s="1">
        <f>SUMIF('Retal Tran Line Item'!E:E,A143,'Retal Tran Line Item'!B:B)</f>
        <v>5</v>
      </c>
    </row>
    <row r="144" spans="1:8">
      <c r="A144" s="1">
        <v>100142</v>
      </c>
      <c r="B144" s="1">
        <v>893039</v>
      </c>
      <c r="C144" s="2">
        <v>41247</v>
      </c>
      <c r="D144" s="1" t="s">
        <v>1992</v>
      </c>
      <c r="E144" s="6">
        <v>2</v>
      </c>
      <c r="F144" s="6" t="str">
        <f t="shared" si="4"/>
        <v>December</v>
      </c>
      <c r="G144" s="6">
        <f t="shared" si="5"/>
        <v>49</v>
      </c>
      <c r="H144" s="1">
        <f>SUMIF('Retal Tran Line Item'!E:E,A144,'Retal Tran Line Item'!B:B)</f>
        <v>5</v>
      </c>
    </row>
    <row r="145" spans="1:8">
      <c r="A145" s="1">
        <v>100143</v>
      </c>
      <c r="B145" s="1">
        <v>278809</v>
      </c>
      <c r="C145" s="2">
        <v>41247</v>
      </c>
      <c r="D145" s="1" t="s">
        <v>1993</v>
      </c>
      <c r="E145" s="6">
        <v>1</v>
      </c>
      <c r="F145" s="6" t="str">
        <f t="shared" si="4"/>
        <v>December</v>
      </c>
      <c r="G145" s="6">
        <f t="shared" si="5"/>
        <v>49</v>
      </c>
      <c r="H145" s="1">
        <f>SUMIF('Retal Tran Line Item'!E:E,A145,'Retal Tran Line Item'!B:B)</f>
        <v>10</v>
      </c>
    </row>
    <row r="146" spans="1:8">
      <c r="A146" s="1">
        <v>100144</v>
      </c>
      <c r="B146" s="1">
        <v>789308</v>
      </c>
      <c r="C146" s="2">
        <v>41248</v>
      </c>
      <c r="D146" s="1" t="s">
        <v>1993</v>
      </c>
      <c r="E146" s="6">
        <v>2</v>
      </c>
      <c r="F146" s="6" t="str">
        <f t="shared" si="4"/>
        <v>December</v>
      </c>
      <c r="G146" s="6">
        <f t="shared" si="5"/>
        <v>49</v>
      </c>
      <c r="H146" s="1">
        <f>SUMIF('Retal Tran Line Item'!E:E,A146,'Retal Tran Line Item'!B:B)</f>
        <v>17</v>
      </c>
    </row>
    <row r="147" spans="1:8">
      <c r="A147" s="1">
        <v>100145</v>
      </c>
      <c r="B147" s="1">
        <v>994056</v>
      </c>
      <c r="C147" s="2">
        <v>41248</v>
      </c>
      <c r="D147" s="1" t="s">
        <v>1989</v>
      </c>
      <c r="E147" s="6">
        <v>2</v>
      </c>
      <c r="F147" s="6" t="str">
        <f t="shared" si="4"/>
        <v>December</v>
      </c>
      <c r="G147" s="6">
        <f t="shared" si="5"/>
        <v>49</v>
      </c>
      <c r="H147" s="1">
        <f>SUMIF('Retal Tran Line Item'!E:E,A147,'Retal Tran Line Item'!B:B)</f>
        <v>21</v>
      </c>
    </row>
    <row r="148" spans="1:8">
      <c r="A148" s="1">
        <v>100146</v>
      </c>
      <c r="B148" s="1">
        <v>789308</v>
      </c>
      <c r="C148" s="2">
        <v>41249</v>
      </c>
      <c r="D148" s="1" t="s">
        <v>1993</v>
      </c>
      <c r="E148" s="6">
        <v>2</v>
      </c>
      <c r="F148" s="6" t="str">
        <f t="shared" si="4"/>
        <v>December</v>
      </c>
      <c r="G148" s="6">
        <f t="shared" si="5"/>
        <v>49</v>
      </c>
      <c r="H148" s="1">
        <f>SUMIF('Retal Tran Line Item'!E:E,A148,'Retal Tran Line Item'!B:B)</f>
        <v>10</v>
      </c>
    </row>
    <row r="149" spans="1:8">
      <c r="A149" s="1">
        <v>100147</v>
      </c>
      <c r="B149" s="1">
        <v>488803</v>
      </c>
      <c r="C149" s="2">
        <v>41249</v>
      </c>
      <c r="D149" s="1" t="s">
        <v>1989</v>
      </c>
      <c r="E149" s="6">
        <v>1</v>
      </c>
      <c r="F149" s="6" t="str">
        <f t="shared" si="4"/>
        <v>December</v>
      </c>
      <c r="G149" s="6">
        <f t="shared" si="5"/>
        <v>49</v>
      </c>
      <c r="H149" s="1">
        <f>SUMIF('Retal Tran Line Item'!E:E,A149,'Retal Tran Line Item'!B:B)</f>
        <v>13</v>
      </c>
    </row>
    <row r="150" spans="1:8">
      <c r="A150" s="1">
        <v>100148</v>
      </c>
      <c r="B150" s="1">
        <v>905670</v>
      </c>
      <c r="C150" s="2">
        <v>41249</v>
      </c>
      <c r="D150" s="1" t="s">
        <v>1993</v>
      </c>
      <c r="E150" s="6">
        <v>1</v>
      </c>
      <c r="F150" s="6" t="str">
        <f t="shared" si="4"/>
        <v>December</v>
      </c>
      <c r="G150" s="6">
        <f t="shared" si="5"/>
        <v>49</v>
      </c>
      <c r="H150" s="1">
        <f>SUMIF('Retal Tran Line Item'!E:E,A150,'Retal Tran Line Item'!B:B)</f>
        <v>19</v>
      </c>
    </row>
    <row r="151" spans="1:8">
      <c r="A151" s="1">
        <v>100149</v>
      </c>
      <c r="B151" s="1">
        <v>247216</v>
      </c>
      <c r="C151" s="2">
        <v>41250</v>
      </c>
      <c r="D151" s="1" t="s">
        <v>1989</v>
      </c>
      <c r="E151" s="6">
        <v>2</v>
      </c>
      <c r="F151" s="6" t="str">
        <f t="shared" si="4"/>
        <v>December</v>
      </c>
      <c r="G151" s="6">
        <f t="shared" si="5"/>
        <v>49</v>
      </c>
      <c r="H151" s="1">
        <f>SUMIF('Retal Tran Line Item'!E:E,A151,'Retal Tran Line Item'!B:B)</f>
        <v>4</v>
      </c>
    </row>
    <row r="152" spans="1:8">
      <c r="A152" s="1">
        <v>100150</v>
      </c>
      <c r="B152" s="1">
        <v>951701</v>
      </c>
      <c r="C152" s="2">
        <v>41250</v>
      </c>
      <c r="D152" s="1" t="s">
        <v>1989</v>
      </c>
      <c r="E152" s="6">
        <v>1</v>
      </c>
      <c r="F152" s="6" t="str">
        <f t="shared" si="4"/>
        <v>December</v>
      </c>
      <c r="G152" s="6">
        <f t="shared" si="5"/>
        <v>49</v>
      </c>
      <c r="H152" s="1">
        <f>SUMIF('Retal Tran Line Item'!E:E,A152,'Retal Tran Line Item'!B:B)</f>
        <v>18</v>
      </c>
    </row>
    <row r="153" spans="1:8">
      <c r="A153" s="1">
        <v>100151</v>
      </c>
      <c r="B153" s="1">
        <v>491380</v>
      </c>
      <c r="C153" s="2">
        <v>41250</v>
      </c>
      <c r="D153" s="1" t="s">
        <v>1992</v>
      </c>
      <c r="E153" s="6">
        <v>2</v>
      </c>
      <c r="F153" s="6" t="str">
        <f t="shared" si="4"/>
        <v>December</v>
      </c>
      <c r="G153" s="6">
        <f t="shared" si="5"/>
        <v>49</v>
      </c>
      <c r="H153" s="1">
        <f>SUMIF('Retal Tran Line Item'!E:E,A153,'Retal Tran Line Item'!B:B)</f>
        <v>13</v>
      </c>
    </row>
    <row r="154" spans="1:8">
      <c r="A154" s="1">
        <v>100152</v>
      </c>
      <c r="B154" s="1">
        <v>465275</v>
      </c>
      <c r="C154" s="2">
        <v>41251</v>
      </c>
      <c r="D154" s="1" t="s">
        <v>1992</v>
      </c>
      <c r="E154" s="6">
        <v>2</v>
      </c>
      <c r="F154" s="6" t="str">
        <f t="shared" si="4"/>
        <v>December</v>
      </c>
      <c r="G154" s="6">
        <f t="shared" si="5"/>
        <v>49</v>
      </c>
      <c r="H154" s="1">
        <f>SUMIF('Retal Tran Line Item'!E:E,A154,'Retal Tran Line Item'!B:B)</f>
        <v>9</v>
      </c>
    </row>
    <row r="155" spans="1:8">
      <c r="A155" s="1">
        <v>100153</v>
      </c>
      <c r="B155" s="1">
        <v>890270</v>
      </c>
      <c r="C155" s="2">
        <v>41251</v>
      </c>
      <c r="D155" s="1" t="s">
        <v>1992</v>
      </c>
      <c r="E155" s="6">
        <v>1</v>
      </c>
      <c r="F155" s="6" t="str">
        <f t="shared" si="4"/>
        <v>December</v>
      </c>
      <c r="G155" s="6">
        <f t="shared" si="5"/>
        <v>49</v>
      </c>
      <c r="H155" s="1">
        <f>SUMIF('Retal Tran Line Item'!E:E,A155,'Retal Tran Line Item'!B:B)</f>
        <v>15</v>
      </c>
    </row>
    <row r="156" spans="1:8">
      <c r="A156" s="1">
        <v>100154</v>
      </c>
      <c r="B156" s="1">
        <v>378374</v>
      </c>
      <c r="C156" s="2">
        <v>41252</v>
      </c>
      <c r="D156" s="1" t="s">
        <v>1994</v>
      </c>
      <c r="E156" s="6">
        <v>1</v>
      </c>
      <c r="F156" s="6" t="str">
        <f t="shared" si="4"/>
        <v>December</v>
      </c>
      <c r="G156" s="6">
        <f t="shared" si="5"/>
        <v>50</v>
      </c>
      <c r="H156" s="1">
        <f>SUMIF('Retal Tran Line Item'!E:E,A156,'Retal Tran Line Item'!B:B)</f>
        <v>6</v>
      </c>
    </row>
    <row r="157" spans="1:8">
      <c r="A157" s="1">
        <v>100155</v>
      </c>
      <c r="B157" s="1">
        <v>157388</v>
      </c>
      <c r="C157" s="2">
        <v>41252</v>
      </c>
      <c r="D157" s="1" t="s">
        <v>1989</v>
      </c>
      <c r="E157" s="6">
        <v>2</v>
      </c>
      <c r="F157" s="6" t="str">
        <f t="shared" si="4"/>
        <v>December</v>
      </c>
      <c r="G157" s="6">
        <f t="shared" si="5"/>
        <v>50</v>
      </c>
      <c r="H157" s="1">
        <f>SUMIF('Retal Tran Line Item'!E:E,A157,'Retal Tran Line Item'!B:B)</f>
        <v>7</v>
      </c>
    </row>
    <row r="158" spans="1:8">
      <c r="A158" s="1">
        <v>100156</v>
      </c>
      <c r="B158" s="1">
        <v>781968</v>
      </c>
      <c r="C158" s="2">
        <v>41252</v>
      </c>
      <c r="D158" s="1" t="s">
        <v>1993</v>
      </c>
      <c r="E158" s="6">
        <v>1</v>
      </c>
      <c r="F158" s="6" t="str">
        <f t="shared" si="4"/>
        <v>December</v>
      </c>
      <c r="G158" s="6">
        <f t="shared" si="5"/>
        <v>50</v>
      </c>
      <c r="H158" s="1">
        <f>SUMIF('Retal Tran Line Item'!E:E,A158,'Retal Tran Line Item'!B:B)</f>
        <v>8</v>
      </c>
    </row>
    <row r="159" spans="1:8">
      <c r="A159" s="1">
        <v>100157</v>
      </c>
      <c r="B159" s="1">
        <v>432113</v>
      </c>
      <c r="C159" s="2">
        <v>41254</v>
      </c>
      <c r="D159" s="1" t="s">
        <v>1989</v>
      </c>
      <c r="E159" s="6">
        <v>2</v>
      </c>
      <c r="F159" s="6" t="str">
        <f t="shared" si="4"/>
        <v>December</v>
      </c>
      <c r="G159" s="6">
        <f t="shared" si="5"/>
        <v>50</v>
      </c>
      <c r="H159" s="1">
        <f>SUMIF('Retal Tran Line Item'!E:E,A159,'Retal Tran Line Item'!B:B)</f>
        <v>25</v>
      </c>
    </row>
    <row r="160" spans="1:8">
      <c r="A160" s="1">
        <v>100158</v>
      </c>
      <c r="B160" s="1">
        <v>500828</v>
      </c>
      <c r="C160" s="2">
        <v>41254</v>
      </c>
      <c r="D160" s="1" t="s">
        <v>1992</v>
      </c>
      <c r="E160" s="6">
        <v>2</v>
      </c>
      <c r="F160" s="6" t="str">
        <f t="shared" si="4"/>
        <v>December</v>
      </c>
      <c r="G160" s="6">
        <f t="shared" si="5"/>
        <v>50</v>
      </c>
      <c r="H160" s="1">
        <f>SUMIF('Retal Tran Line Item'!E:E,A160,'Retal Tran Line Item'!B:B)</f>
        <v>1</v>
      </c>
    </row>
    <row r="161" spans="1:8">
      <c r="A161" s="1">
        <v>100159</v>
      </c>
      <c r="B161" s="1">
        <v>175940</v>
      </c>
      <c r="C161" s="2">
        <v>41255</v>
      </c>
      <c r="D161" s="1" t="s">
        <v>1993</v>
      </c>
      <c r="E161" s="6">
        <v>2</v>
      </c>
      <c r="F161" s="6" t="str">
        <f t="shared" si="4"/>
        <v>December</v>
      </c>
      <c r="G161" s="6">
        <f t="shared" si="5"/>
        <v>50</v>
      </c>
      <c r="H161" s="1">
        <f>SUMIF('Retal Tran Line Item'!E:E,A161,'Retal Tran Line Item'!B:B)</f>
        <v>20</v>
      </c>
    </row>
    <row r="162" spans="1:8">
      <c r="A162" s="1">
        <v>100160</v>
      </c>
      <c r="B162" s="1">
        <v>422717</v>
      </c>
      <c r="C162" s="2">
        <v>41256</v>
      </c>
      <c r="D162" s="1" t="s">
        <v>1993</v>
      </c>
      <c r="E162" s="6">
        <v>2</v>
      </c>
      <c r="F162" s="6" t="str">
        <f t="shared" si="4"/>
        <v>December</v>
      </c>
      <c r="G162" s="6">
        <f t="shared" si="5"/>
        <v>50</v>
      </c>
      <c r="H162" s="1">
        <f>SUMIF('Retal Tran Line Item'!E:E,A162,'Retal Tran Line Item'!B:B)</f>
        <v>6</v>
      </c>
    </row>
    <row r="163" spans="1:8">
      <c r="A163" s="1">
        <v>100161</v>
      </c>
      <c r="B163" s="1">
        <v>556152</v>
      </c>
      <c r="C163" s="2">
        <v>41256</v>
      </c>
      <c r="D163" s="1" t="s">
        <v>1993</v>
      </c>
      <c r="E163" s="6">
        <v>1</v>
      </c>
      <c r="F163" s="6" t="str">
        <f t="shared" si="4"/>
        <v>December</v>
      </c>
      <c r="G163" s="6">
        <f t="shared" si="5"/>
        <v>50</v>
      </c>
      <c r="H163" s="1">
        <f>SUMIF('Retal Tran Line Item'!E:E,A163,'Retal Tran Line Item'!B:B)</f>
        <v>9</v>
      </c>
    </row>
    <row r="164" spans="1:8">
      <c r="A164" s="1">
        <v>100162</v>
      </c>
      <c r="B164" s="1">
        <v>724813</v>
      </c>
      <c r="C164" s="2">
        <v>41256</v>
      </c>
      <c r="D164" s="1" t="s">
        <v>1989</v>
      </c>
      <c r="E164" s="6">
        <v>2</v>
      </c>
      <c r="F164" s="6" t="str">
        <f t="shared" si="4"/>
        <v>December</v>
      </c>
      <c r="G164" s="6">
        <f t="shared" si="5"/>
        <v>50</v>
      </c>
      <c r="H164" s="1">
        <f>SUMIF('Retal Tran Line Item'!E:E,A164,'Retal Tran Line Item'!B:B)</f>
        <v>11</v>
      </c>
    </row>
    <row r="165" spans="1:8">
      <c r="A165" s="1">
        <v>100163</v>
      </c>
      <c r="B165" s="1">
        <v>380003</v>
      </c>
      <c r="C165" s="2">
        <v>41258</v>
      </c>
      <c r="D165" s="1" t="s">
        <v>1992</v>
      </c>
      <c r="E165" s="6">
        <v>2</v>
      </c>
      <c r="F165" s="6" t="str">
        <f t="shared" si="4"/>
        <v>December</v>
      </c>
      <c r="G165" s="6">
        <f t="shared" si="5"/>
        <v>50</v>
      </c>
      <c r="H165" s="1">
        <f>SUMIF('Retal Tran Line Item'!E:E,A165,'Retal Tran Line Item'!B:B)</f>
        <v>7</v>
      </c>
    </row>
    <row r="166" spans="1:8">
      <c r="A166" s="1">
        <v>100164</v>
      </c>
      <c r="B166" s="1">
        <v>693531</v>
      </c>
      <c r="C166" s="2">
        <v>41258</v>
      </c>
      <c r="D166" s="1" t="s">
        <v>1989</v>
      </c>
      <c r="E166" s="6">
        <v>1</v>
      </c>
      <c r="F166" s="6" t="str">
        <f t="shared" si="4"/>
        <v>December</v>
      </c>
      <c r="G166" s="6">
        <f t="shared" si="5"/>
        <v>50</v>
      </c>
      <c r="H166" s="1">
        <f>SUMIF('Retal Tran Line Item'!E:E,A166,'Retal Tran Line Item'!B:B)</f>
        <v>10</v>
      </c>
    </row>
    <row r="167" spans="1:8">
      <c r="A167" s="1">
        <v>100165</v>
      </c>
      <c r="B167" s="1">
        <v>791850</v>
      </c>
      <c r="C167" s="2">
        <v>41259</v>
      </c>
      <c r="D167" s="1" t="s">
        <v>1994</v>
      </c>
      <c r="E167" s="6">
        <v>1</v>
      </c>
      <c r="F167" s="6" t="str">
        <f t="shared" si="4"/>
        <v>December</v>
      </c>
      <c r="G167" s="6">
        <f t="shared" si="5"/>
        <v>51</v>
      </c>
      <c r="H167" s="1">
        <f>SUMIF('Retal Tran Line Item'!E:E,A167,'Retal Tran Line Item'!B:B)</f>
        <v>24</v>
      </c>
    </row>
    <row r="168" spans="1:8">
      <c r="A168" s="1">
        <v>100166</v>
      </c>
      <c r="B168" s="1">
        <v>357579</v>
      </c>
      <c r="C168" s="2">
        <v>41259</v>
      </c>
      <c r="D168" s="1" t="s">
        <v>1994</v>
      </c>
      <c r="E168" s="6">
        <v>1</v>
      </c>
      <c r="F168" s="6" t="str">
        <f t="shared" si="4"/>
        <v>December</v>
      </c>
      <c r="G168" s="6">
        <f t="shared" si="5"/>
        <v>51</v>
      </c>
      <c r="H168" s="1">
        <f>SUMIF('Retal Tran Line Item'!E:E,A168,'Retal Tran Line Item'!B:B)</f>
        <v>13</v>
      </c>
    </row>
    <row r="169" spans="1:8">
      <c r="A169" s="1">
        <v>100167</v>
      </c>
      <c r="B169" s="1">
        <v>806545</v>
      </c>
      <c r="C169" s="2">
        <v>41259</v>
      </c>
      <c r="D169" s="1" t="s">
        <v>1994</v>
      </c>
      <c r="E169" s="6">
        <v>2</v>
      </c>
      <c r="F169" s="6" t="str">
        <f t="shared" si="4"/>
        <v>December</v>
      </c>
      <c r="G169" s="6">
        <f t="shared" si="5"/>
        <v>51</v>
      </c>
      <c r="H169" s="1">
        <f>SUMIF('Retal Tran Line Item'!E:E,A169,'Retal Tran Line Item'!B:B)</f>
        <v>3</v>
      </c>
    </row>
    <row r="170" spans="1:8">
      <c r="A170" s="1">
        <v>100168</v>
      </c>
      <c r="B170" s="1">
        <v>905670</v>
      </c>
      <c r="C170" s="2">
        <v>41260</v>
      </c>
      <c r="D170" s="1" t="s">
        <v>1993</v>
      </c>
      <c r="E170" s="6">
        <v>1</v>
      </c>
      <c r="F170" s="6" t="str">
        <f t="shared" si="4"/>
        <v>December</v>
      </c>
      <c r="G170" s="6">
        <f t="shared" si="5"/>
        <v>51</v>
      </c>
      <c r="H170" s="1">
        <f>SUMIF('Retal Tran Line Item'!E:E,A170,'Retal Tran Line Item'!B:B)</f>
        <v>4</v>
      </c>
    </row>
    <row r="171" spans="1:8">
      <c r="A171" s="1">
        <v>100169</v>
      </c>
      <c r="B171" s="1">
        <v>203787</v>
      </c>
      <c r="C171" s="2">
        <v>41260</v>
      </c>
      <c r="D171" s="1" t="s">
        <v>1994</v>
      </c>
      <c r="E171" s="6">
        <v>1</v>
      </c>
      <c r="F171" s="6" t="str">
        <f t="shared" si="4"/>
        <v>December</v>
      </c>
      <c r="G171" s="6">
        <f t="shared" si="5"/>
        <v>51</v>
      </c>
      <c r="H171" s="1">
        <f>SUMIF('Retal Tran Line Item'!E:E,A171,'Retal Tran Line Item'!B:B)</f>
        <v>8</v>
      </c>
    </row>
    <row r="172" spans="1:8">
      <c r="A172" s="1">
        <v>100170</v>
      </c>
      <c r="B172" s="1">
        <v>864896</v>
      </c>
      <c r="C172" s="2">
        <v>41261</v>
      </c>
      <c r="D172" s="1" t="s">
        <v>1989</v>
      </c>
      <c r="E172" s="6">
        <v>1</v>
      </c>
      <c r="F172" s="6" t="str">
        <f t="shared" si="4"/>
        <v>December</v>
      </c>
      <c r="G172" s="6">
        <f t="shared" si="5"/>
        <v>51</v>
      </c>
      <c r="H172" s="1">
        <f>SUMIF('Retal Tran Line Item'!E:E,A172,'Retal Tran Line Item'!B:B)</f>
        <v>11</v>
      </c>
    </row>
    <row r="173" spans="1:8">
      <c r="A173" s="1">
        <v>100171</v>
      </c>
      <c r="B173" s="1">
        <v>690100</v>
      </c>
      <c r="C173" s="2">
        <v>41261</v>
      </c>
      <c r="D173" s="1" t="s">
        <v>1989</v>
      </c>
      <c r="E173" s="6">
        <v>2</v>
      </c>
      <c r="F173" s="6" t="str">
        <f t="shared" si="4"/>
        <v>December</v>
      </c>
      <c r="G173" s="6">
        <f t="shared" si="5"/>
        <v>51</v>
      </c>
      <c r="H173" s="1">
        <f>SUMIF('Retal Tran Line Item'!E:E,A173,'Retal Tran Line Item'!B:B)</f>
        <v>24</v>
      </c>
    </row>
    <row r="174" spans="1:8">
      <c r="A174" s="1">
        <v>100172</v>
      </c>
      <c r="B174" s="1">
        <v>329994</v>
      </c>
      <c r="C174" s="2">
        <v>41262</v>
      </c>
      <c r="D174" s="1" t="s">
        <v>1994</v>
      </c>
      <c r="E174" s="6">
        <v>1</v>
      </c>
      <c r="F174" s="6" t="str">
        <f t="shared" si="4"/>
        <v>December</v>
      </c>
      <c r="G174" s="6">
        <f t="shared" si="5"/>
        <v>51</v>
      </c>
      <c r="H174" s="1">
        <f>SUMIF('Retal Tran Line Item'!E:E,A174,'Retal Tran Line Item'!B:B)</f>
        <v>16</v>
      </c>
    </row>
    <row r="175" spans="1:8">
      <c r="A175" s="1">
        <v>100173</v>
      </c>
      <c r="B175" s="1">
        <v>230602</v>
      </c>
      <c r="C175" s="2">
        <v>41263</v>
      </c>
      <c r="D175" s="1" t="s">
        <v>1992</v>
      </c>
      <c r="E175" s="6">
        <v>2</v>
      </c>
      <c r="F175" s="6" t="str">
        <f t="shared" si="4"/>
        <v>December</v>
      </c>
      <c r="G175" s="6">
        <f t="shared" si="5"/>
        <v>51</v>
      </c>
      <c r="H175" s="1">
        <f>SUMIF('Retal Tran Line Item'!E:E,A175,'Retal Tran Line Item'!B:B)</f>
        <v>12</v>
      </c>
    </row>
    <row r="176" spans="1:8">
      <c r="A176" s="1">
        <v>100174</v>
      </c>
      <c r="B176" s="1">
        <v>791850</v>
      </c>
      <c r="C176" s="2">
        <v>41263</v>
      </c>
      <c r="D176" s="1" t="s">
        <v>1994</v>
      </c>
      <c r="E176" s="6">
        <v>2</v>
      </c>
      <c r="F176" s="6" t="str">
        <f t="shared" si="4"/>
        <v>December</v>
      </c>
      <c r="G176" s="6">
        <f t="shared" si="5"/>
        <v>51</v>
      </c>
      <c r="H176" s="1">
        <f>SUMIF('Retal Tran Line Item'!E:E,A176,'Retal Tran Line Item'!B:B)</f>
        <v>6</v>
      </c>
    </row>
    <row r="177" spans="1:8">
      <c r="A177" s="1">
        <v>100175</v>
      </c>
      <c r="B177" s="1">
        <v>137696</v>
      </c>
      <c r="C177" s="2">
        <v>41263</v>
      </c>
      <c r="D177" s="1" t="s">
        <v>1994</v>
      </c>
      <c r="E177" s="6">
        <v>1</v>
      </c>
      <c r="F177" s="6" t="str">
        <f t="shared" si="4"/>
        <v>December</v>
      </c>
      <c r="G177" s="6">
        <f t="shared" si="5"/>
        <v>51</v>
      </c>
      <c r="H177" s="1">
        <f>SUMIF('Retal Tran Line Item'!E:E,A177,'Retal Tran Line Item'!B:B)</f>
        <v>4</v>
      </c>
    </row>
    <row r="178" spans="1:8">
      <c r="A178" s="1">
        <v>100176</v>
      </c>
      <c r="B178" s="1">
        <v>409910</v>
      </c>
      <c r="C178" s="2">
        <v>41264</v>
      </c>
      <c r="D178" s="1" t="s">
        <v>1992</v>
      </c>
      <c r="E178" s="6">
        <v>2</v>
      </c>
      <c r="F178" s="6" t="str">
        <f t="shared" si="4"/>
        <v>December</v>
      </c>
      <c r="G178" s="6">
        <f t="shared" si="5"/>
        <v>51</v>
      </c>
      <c r="H178" s="1">
        <f>SUMIF('Retal Tran Line Item'!E:E,A178,'Retal Tran Line Item'!B:B)</f>
        <v>6</v>
      </c>
    </row>
    <row r="179" spans="1:8">
      <c r="A179" s="1">
        <v>100177</v>
      </c>
      <c r="B179" s="1">
        <v>852925</v>
      </c>
      <c r="C179" s="2">
        <v>41265</v>
      </c>
      <c r="D179" s="1" t="s">
        <v>1994</v>
      </c>
      <c r="E179" s="6">
        <v>2</v>
      </c>
      <c r="F179" s="6" t="str">
        <f t="shared" si="4"/>
        <v>December</v>
      </c>
      <c r="G179" s="6">
        <f t="shared" si="5"/>
        <v>51</v>
      </c>
      <c r="H179" s="1">
        <f>SUMIF('Retal Tran Line Item'!E:E,A179,'Retal Tran Line Item'!B:B)</f>
        <v>9</v>
      </c>
    </row>
    <row r="180" spans="1:8">
      <c r="A180" s="1">
        <v>100178</v>
      </c>
      <c r="B180" s="1">
        <v>454015</v>
      </c>
      <c r="C180" s="2">
        <v>41265</v>
      </c>
      <c r="D180" s="1" t="s">
        <v>1993</v>
      </c>
      <c r="E180" s="6">
        <v>2</v>
      </c>
      <c r="F180" s="6" t="str">
        <f t="shared" si="4"/>
        <v>December</v>
      </c>
      <c r="G180" s="6">
        <f t="shared" si="5"/>
        <v>51</v>
      </c>
      <c r="H180" s="1">
        <f>SUMIF('Retal Tran Line Item'!E:E,A180,'Retal Tran Line Item'!B:B)</f>
        <v>3</v>
      </c>
    </row>
    <row r="181" spans="1:8">
      <c r="A181" s="1">
        <v>100179</v>
      </c>
      <c r="B181" s="1">
        <v>566192</v>
      </c>
      <c r="C181" s="2">
        <v>41265</v>
      </c>
      <c r="D181" s="1" t="s">
        <v>1992</v>
      </c>
      <c r="E181" s="6">
        <v>1</v>
      </c>
      <c r="F181" s="6" t="str">
        <f t="shared" si="4"/>
        <v>December</v>
      </c>
      <c r="G181" s="6">
        <f t="shared" si="5"/>
        <v>51</v>
      </c>
      <c r="H181" s="1">
        <f>SUMIF('Retal Tran Line Item'!E:E,A181,'Retal Tran Line Item'!B:B)</f>
        <v>5</v>
      </c>
    </row>
    <row r="182" spans="1:8">
      <c r="A182" s="1">
        <v>100180</v>
      </c>
      <c r="B182" s="1">
        <v>720602</v>
      </c>
      <c r="C182" s="2">
        <v>41266</v>
      </c>
      <c r="D182" s="1" t="s">
        <v>1992</v>
      </c>
      <c r="E182" s="6">
        <v>2</v>
      </c>
      <c r="F182" s="6" t="str">
        <f t="shared" si="4"/>
        <v>December</v>
      </c>
      <c r="G182" s="6">
        <f t="shared" si="5"/>
        <v>52</v>
      </c>
      <c r="H182" s="1">
        <f>SUMIF('Retal Tran Line Item'!E:E,A182,'Retal Tran Line Item'!B:B)</f>
        <v>3</v>
      </c>
    </row>
    <row r="183" spans="1:8">
      <c r="A183" s="1">
        <v>100181</v>
      </c>
      <c r="B183" s="1">
        <v>951701</v>
      </c>
      <c r="C183" s="2">
        <v>41267</v>
      </c>
      <c r="D183" s="1" t="s">
        <v>1989</v>
      </c>
      <c r="E183" s="6">
        <v>2</v>
      </c>
      <c r="F183" s="6" t="str">
        <f t="shared" si="4"/>
        <v>December</v>
      </c>
      <c r="G183" s="6">
        <f t="shared" si="5"/>
        <v>52</v>
      </c>
      <c r="H183" s="1">
        <f>SUMIF('Retal Tran Line Item'!E:E,A183,'Retal Tran Line Item'!B:B)</f>
        <v>8</v>
      </c>
    </row>
    <row r="184" spans="1:8">
      <c r="A184" s="1">
        <v>100182</v>
      </c>
      <c r="B184" s="1">
        <v>421074</v>
      </c>
      <c r="C184" s="2">
        <v>41268</v>
      </c>
      <c r="D184" s="1" t="s">
        <v>1992</v>
      </c>
      <c r="E184" s="6">
        <v>2</v>
      </c>
      <c r="F184" s="6" t="str">
        <f t="shared" si="4"/>
        <v>December</v>
      </c>
      <c r="G184" s="6">
        <f t="shared" si="5"/>
        <v>52</v>
      </c>
      <c r="H184" s="1">
        <f>SUMIF('Retal Tran Line Item'!E:E,A184,'Retal Tran Line Item'!B:B)</f>
        <v>10</v>
      </c>
    </row>
    <row r="185" spans="1:8">
      <c r="A185" s="1">
        <v>100183</v>
      </c>
      <c r="B185" s="1">
        <v>109251</v>
      </c>
      <c r="C185" s="2">
        <v>41268</v>
      </c>
      <c r="D185" s="1" t="s">
        <v>1993</v>
      </c>
      <c r="E185" s="6">
        <v>1</v>
      </c>
      <c r="F185" s="6" t="str">
        <f t="shared" si="4"/>
        <v>December</v>
      </c>
      <c r="G185" s="6">
        <f t="shared" si="5"/>
        <v>52</v>
      </c>
      <c r="H185" s="1">
        <f>SUMIF('Retal Tran Line Item'!E:E,A185,'Retal Tran Line Item'!B:B)</f>
        <v>9</v>
      </c>
    </row>
    <row r="186" spans="1:8">
      <c r="A186" s="1">
        <v>100184</v>
      </c>
      <c r="B186" s="1">
        <v>994199</v>
      </c>
      <c r="C186" s="2">
        <v>41268</v>
      </c>
      <c r="D186" s="1" t="s">
        <v>1992</v>
      </c>
      <c r="E186" s="6">
        <v>1</v>
      </c>
      <c r="F186" s="6" t="str">
        <f t="shared" si="4"/>
        <v>December</v>
      </c>
      <c r="G186" s="6">
        <f t="shared" si="5"/>
        <v>52</v>
      </c>
      <c r="H186" s="1">
        <f>SUMIF('Retal Tran Line Item'!E:E,A186,'Retal Tran Line Item'!B:B)</f>
        <v>21</v>
      </c>
    </row>
    <row r="187" spans="1:8">
      <c r="A187" s="1">
        <v>100185</v>
      </c>
      <c r="B187" s="1">
        <v>724813</v>
      </c>
      <c r="C187" s="2">
        <v>41268</v>
      </c>
      <c r="D187" s="1" t="s">
        <v>1989</v>
      </c>
      <c r="E187" s="6">
        <v>2</v>
      </c>
      <c r="F187" s="6" t="str">
        <f t="shared" si="4"/>
        <v>December</v>
      </c>
      <c r="G187" s="6">
        <f t="shared" si="5"/>
        <v>52</v>
      </c>
      <c r="H187" s="1">
        <f>SUMIF('Retal Tran Line Item'!E:E,A187,'Retal Tran Line Item'!B:B)</f>
        <v>14</v>
      </c>
    </row>
    <row r="188" spans="1:8">
      <c r="A188" s="1">
        <v>100186</v>
      </c>
      <c r="B188" s="1">
        <v>693531</v>
      </c>
      <c r="C188" s="2">
        <v>41268</v>
      </c>
      <c r="D188" s="1" t="s">
        <v>1989</v>
      </c>
      <c r="E188" s="6">
        <v>2</v>
      </c>
      <c r="F188" s="6" t="str">
        <f t="shared" si="4"/>
        <v>December</v>
      </c>
      <c r="G188" s="6">
        <f t="shared" si="5"/>
        <v>52</v>
      </c>
      <c r="H188" s="1">
        <f>SUMIF('Retal Tran Line Item'!E:E,A188,'Retal Tran Line Item'!B:B)</f>
        <v>8</v>
      </c>
    </row>
    <row r="189" spans="1:8">
      <c r="A189" s="1">
        <v>100187</v>
      </c>
      <c r="B189" s="1">
        <v>296208</v>
      </c>
      <c r="C189" s="2">
        <v>41268</v>
      </c>
      <c r="D189" s="1" t="s">
        <v>1993</v>
      </c>
      <c r="E189" s="6">
        <v>2</v>
      </c>
      <c r="F189" s="6" t="str">
        <f t="shared" si="4"/>
        <v>December</v>
      </c>
      <c r="G189" s="6">
        <f t="shared" si="5"/>
        <v>52</v>
      </c>
      <c r="H189" s="1">
        <f>SUMIF('Retal Tran Line Item'!E:E,A189,'Retal Tran Line Item'!B:B)</f>
        <v>5</v>
      </c>
    </row>
    <row r="190" spans="1:8">
      <c r="A190" s="1">
        <v>100188</v>
      </c>
      <c r="B190" s="1">
        <v>183797</v>
      </c>
      <c r="C190" s="2">
        <v>41269</v>
      </c>
      <c r="D190" s="1" t="s">
        <v>1993</v>
      </c>
      <c r="E190" s="6">
        <v>1</v>
      </c>
      <c r="F190" s="6" t="str">
        <f t="shared" si="4"/>
        <v>December</v>
      </c>
      <c r="G190" s="6">
        <f t="shared" si="5"/>
        <v>52</v>
      </c>
      <c r="H190" s="1">
        <f>SUMIF('Retal Tran Line Item'!E:E,A190,'Retal Tran Line Item'!B:B)</f>
        <v>3</v>
      </c>
    </row>
    <row r="191" spans="1:8">
      <c r="A191" s="1">
        <v>100189</v>
      </c>
      <c r="B191" s="1">
        <v>325263</v>
      </c>
      <c r="C191" s="2">
        <v>41269</v>
      </c>
      <c r="D191" s="1" t="s">
        <v>1993</v>
      </c>
      <c r="E191" s="6">
        <v>2</v>
      </c>
      <c r="F191" s="6" t="str">
        <f t="shared" si="4"/>
        <v>December</v>
      </c>
      <c r="G191" s="6">
        <f t="shared" si="5"/>
        <v>52</v>
      </c>
      <c r="H191" s="1">
        <f>SUMIF('Retal Tran Line Item'!E:E,A191,'Retal Tran Line Item'!B:B)</f>
        <v>12</v>
      </c>
    </row>
    <row r="192" spans="1:8">
      <c r="A192" s="1">
        <v>100190</v>
      </c>
      <c r="B192" s="1">
        <v>656728</v>
      </c>
      <c r="C192" s="2">
        <v>41269</v>
      </c>
      <c r="D192" s="1" t="s">
        <v>1993</v>
      </c>
      <c r="E192" s="6">
        <v>1</v>
      </c>
      <c r="F192" s="6" t="str">
        <f t="shared" si="4"/>
        <v>December</v>
      </c>
      <c r="G192" s="6">
        <f t="shared" si="5"/>
        <v>52</v>
      </c>
      <c r="H192" s="1">
        <f>SUMIF('Retal Tran Line Item'!E:E,A192,'Retal Tran Line Item'!B:B)</f>
        <v>1</v>
      </c>
    </row>
    <row r="193" spans="1:8">
      <c r="A193" s="1">
        <v>100191</v>
      </c>
      <c r="B193" s="1">
        <v>137696</v>
      </c>
      <c r="C193" s="2">
        <v>41270</v>
      </c>
      <c r="D193" s="1" t="s">
        <v>1994</v>
      </c>
      <c r="E193" s="6">
        <v>2</v>
      </c>
      <c r="F193" s="6" t="str">
        <f t="shared" si="4"/>
        <v>December</v>
      </c>
      <c r="G193" s="6">
        <f t="shared" si="5"/>
        <v>52</v>
      </c>
      <c r="H193" s="1">
        <f>SUMIF('Retal Tran Line Item'!E:E,A193,'Retal Tran Line Item'!B:B)</f>
        <v>19</v>
      </c>
    </row>
    <row r="194" spans="1:8">
      <c r="A194" s="1">
        <v>100192</v>
      </c>
      <c r="B194" s="1">
        <v>418635</v>
      </c>
      <c r="C194" s="2">
        <v>41271</v>
      </c>
      <c r="D194" s="1" t="s">
        <v>1993</v>
      </c>
      <c r="E194" s="6">
        <v>1</v>
      </c>
      <c r="F194" s="6" t="str">
        <f t="shared" si="4"/>
        <v>December</v>
      </c>
      <c r="G194" s="6">
        <f t="shared" si="5"/>
        <v>52</v>
      </c>
      <c r="H194" s="1">
        <f>SUMIF('Retal Tran Line Item'!E:E,A194,'Retal Tran Line Item'!B:B)</f>
        <v>7</v>
      </c>
    </row>
    <row r="195" spans="1:8">
      <c r="A195" s="1">
        <v>100193</v>
      </c>
      <c r="B195" s="1">
        <v>528475</v>
      </c>
      <c r="C195" s="2">
        <v>41271</v>
      </c>
      <c r="D195" s="1" t="s">
        <v>1989</v>
      </c>
      <c r="E195" s="6">
        <v>1</v>
      </c>
      <c r="F195" s="6" t="str">
        <f t="shared" ref="F195:F258" si="6">TEXT(C195,"MMMM")</f>
        <v>December</v>
      </c>
      <c r="G195" s="6">
        <f t="shared" ref="G195:G258" si="7">WEEKNUM(C195)</f>
        <v>52</v>
      </c>
      <c r="H195" s="1">
        <f>SUMIF('Retal Tran Line Item'!E:E,A195,'Retal Tran Line Item'!B:B)</f>
        <v>12</v>
      </c>
    </row>
    <row r="196" spans="1:8">
      <c r="A196" s="1">
        <v>100194</v>
      </c>
      <c r="B196" s="1">
        <v>265707</v>
      </c>
      <c r="C196" s="2">
        <v>41271</v>
      </c>
      <c r="D196" s="1" t="s">
        <v>1994</v>
      </c>
      <c r="E196" s="6">
        <v>2</v>
      </c>
      <c r="F196" s="6" t="str">
        <f t="shared" si="6"/>
        <v>December</v>
      </c>
      <c r="G196" s="6">
        <f t="shared" si="7"/>
        <v>52</v>
      </c>
      <c r="H196" s="1">
        <f>SUMIF('Retal Tran Line Item'!E:E,A196,'Retal Tran Line Item'!B:B)</f>
        <v>7</v>
      </c>
    </row>
    <row r="197" spans="1:8">
      <c r="A197" s="1">
        <v>100195</v>
      </c>
      <c r="B197" s="1">
        <v>690100</v>
      </c>
      <c r="C197" s="2">
        <v>41271</v>
      </c>
      <c r="D197" s="1" t="s">
        <v>1989</v>
      </c>
      <c r="E197" s="6">
        <v>1</v>
      </c>
      <c r="F197" s="6" t="str">
        <f t="shared" si="6"/>
        <v>December</v>
      </c>
      <c r="G197" s="6">
        <f t="shared" si="7"/>
        <v>52</v>
      </c>
      <c r="H197" s="1">
        <f>SUMIF('Retal Tran Line Item'!E:E,A197,'Retal Tran Line Item'!B:B)</f>
        <v>29</v>
      </c>
    </row>
    <row r="198" spans="1:8">
      <c r="A198" s="1">
        <v>100196</v>
      </c>
      <c r="B198" s="1">
        <v>739669</v>
      </c>
      <c r="C198" s="2">
        <v>41271</v>
      </c>
      <c r="D198" s="1" t="s">
        <v>1992</v>
      </c>
      <c r="E198" s="6">
        <v>2</v>
      </c>
      <c r="F198" s="6" t="str">
        <f t="shared" si="6"/>
        <v>December</v>
      </c>
      <c r="G198" s="6">
        <f t="shared" si="7"/>
        <v>52</v>
      </c>
      <c r="H198" s="1">
        <f>SUMIF('Retal Tran Line Item'!E:E,A198,'Retal Tran Line Item'!B:B)</f>
        <v>31</v>
      </c>
    </row>
    <row r="199" spans="1:8">
      <c r="A199" s="1">
        <v>100197</v>
      </c>
      <c r="B199" s="1">
        <v>238347</v>
      </c>
      <c r="C199" s="2">
        <v>41271</v>
      </c>
      <c r="D199" s="1" t="s">
        <v>1989</v>
      </c>
      <c r="E199" s="6">
        <v>1</v>
      </c>
      <c r="F199" s="6" t="str">
        <f t="shared" si="6"/>
        <v>December</v>
      </c>
      <c r="G199" s="6">
        <f t="shared" si="7"/>
        <v>52</v>
      </c>
      <c r="H199" s="1">
        <f>SUMIF('Retal Tran Line Item'!E:E,A199,'Retal Tran Line Item'!B:B)</f>
        <v>10</v>
      </c>
    </row>
    <row r="200" spans="1:8">
      <c r="A200" s="1">
        <v>100198</v>
      </c>
      <c r="B200" s="1">
        <v>325263</v>
      </c>
      <c r="C200" s="2">
        <v>41272</v>
      </c>
      <c r="D200" s="1" t="s">
        <v>1993</v>
      </c>
      <c r="E200" s="6">
        <v>2</v>
      </c>
      <c r="F200" s="6" t="str">
        <f t="shared" si="6"/>
        <v>December</v>
      </c>
      <c r="G200" s="6">
        <f t="shared" si="7"/>
        <v>52</v>
      </c>
      <c r="H200" s="1">
        <f>SUMIF('Retal Tran Line Item'!E:E,A200,'Retal Tran Line Item'!B:B)</f>
        <v>16</v>
      </c>
    </row>
    <row r="201" spans="1:8">
      <c r="A201" s="1">
        <v>100199</v>
      </c>
      <c r="B201" s="1">
        <v>789500</v>
      </c>
      <c r="C201" s="2">
        <v>41273</v>
      </c>
      <c r="D201" s="1" t="s">
        <v>1992</v>
      </c>
      <c r="E201" s="6">
        <v>1</v>
      </c>
      <c r="F201" s="6" t="str">
        <f t="shared" si="6"/>
        <v>December</v>
      </c>
      <c r="G201" s="6">
        <f t="shared" si="7"/>
        <v>53</v>
      </c>
      <c r="H201" s="1">
        <f>SUMIF('Retal Tran Line Item'!E:E,A201,'Retal Tran Line Item'!B:B)</f>
        <v>5</v>
      </c>
    </row>
    <row r="202" spans="1:8">
      <c r="A202" s="1">
        <v>100200</v>
      </c>
      <c r="B202" s="1">
        <v>324435</v>
      </c>
      <c r="C202" s="2">
        <v>41273</v>
      </c>
      <c r="D202" s="1" t="s">
        <v>1992</v>
      </c>
      <c r="E202" s="6">
        <v>2</v>
      </c>
      <c r="F202" s="6" t="str">
        <f t="shared" si="6"/>
        <v>December</v>
      </c>
      <c r="G202" s="6">
        <f t="shared" si="7"/>
        <v>53</v>
      </c>
      <c r="H202" s="1">
        <f>SUMIF('Retal Tran Line Item'!E:E,A202,'Retal Tran Line Item'!B:B)</f>
        <v>3</v>
      </c>
    </row>
    <row r="203" spans="1:8">
      <c r="A203" s="1">
        <v>100201</v>
      </c>
      <c r="B203" s="1">
        <v>743517</v>
      </c>
      <c r="C203" s="2">
        <v>41273</v>
      </c>
      <c r="D203" s="1" t="s">
        <v>1994</v>
      </c>
      <c r="E203" s="6">
        <v>2</v>
      </c>
      <c r="F203" s="6" t="str">
        <f t="shared" si="6"/>
        <v>December</v>
      </c>
      <c r="G203" s="6">
        <f t="shared" si="7"/>
        <v>53</v>
      </c>
      <c r="H203" s="1">
        <f>SUMIF('Retal Tran Line Item'!E:E,A203,'Retal Tran Line Item'!B:B)</f>
        <v>18</v>
      </c>
    </row>
    <row r="204" spans="1:8">
      <c r="A204" s="1">
        <v>100202</v>
      </c>
      <c r="B204" s="1">
        <v>748326</v>
      </c>
      <c r="C204" s="2">
        <v>41274</v>
      </c>
      <c r="D204" s="1" t="s">
        <v>1993</v>
      </c>
      <c r="E204" s="6">
        <v>2</v>
      </c>
      <c r="F204" s="6" t="str">
        <f t="shared" si="6"/>
        <v>December</v>
      </c>
      <c r="G204" s="6">
        <f t="shared" si="7"/>
        <v>53</v>
      </c>
      <c r="H204" s="1">
        <f>SUMIF('Retal Tran Line Item'!E:E,A204,'Retal Tran Line Item'!B:B)</f>
        <v>12</v>
      </c>
    </row>
    <row r="205" spans="1:8">
      <c r="A205" s="1">
        <v>100203</v>
      </c>
      <c r="B205" s="1">
        <v>806545</v>
      </c>
      <c r="C205" s="2">
        <v>41274</v>
      </c>
      <c r="D205" s="1" t="s">
        <v>1994</v>
      </c>
      <c r="E205" s="6">
        <v>2</v>
      </c>
      <c r="F205" s="6" t="str">
        <f t="shared" si="6"/>
        <v>December</v>
      </c>
      <c r="G205" s="6">
        <f t="shared" si="7"/>
        <v>53</v>
      </c>
      <c r="H205" s="1">
        <f>SUMIF('Retal Tran Line Item'!E:E,A205,'Retal Tran Line Item'!B:B)</f>
        <v>1</v>
      </c>
    </row>
    <row r="206" spans="1:8">
      <c r="A206" s="1">
        <v>100204</v>
      </c>
      <c r="B206" s="1">
        <v>413292</v>
      </c>
      <c r="C206" s="2">
        <v>41275</v>
      </c>
      <c r="D206" s="1" t="s">
        <v>1993</v>
      </c>
      <c r="E206" s="6">
        <v>1</v>
      </c>
      <c r="F206" s="6" t="str">
        <f t="shared" si="6"/>
        <v>January</v>
      </c>
      <c r="G206" s="6">
        <f t="shared" si="7"/>
        <v>1</v>
      </c>
      <c r="H206" s="1">
        <f>SUMIF('Retal Tran Line Item'!E:E,A206,'Retal Tran Line Item'!B:B)</f>
        <v>3</v>
      </c>
    </row>
    <row r="207" spans="1:8">
      <c r="A207" s="1">
        <v>100205</v>
      </c>
      <c r="B207" s="1">
        <v>723819</v>
      </c>
      <c r="C207" s="2">
        <v>41276</v>
      </c>
      <c r="D207" s="1" t="s">
        <v>1993</v>
      </c>
      <c r="E207" s="6">
        <v>2</v>
      </c>
      <c r="F207" s="6" t="str">
        <f t="shared" si="6"/>
        <v>January</v>
      </c>
      <c r="G207" s="6">
        <f t="shared" si="7"/>
        <v>1</v>
      </c>
      <c r="H207" s="1">
        <f>SUMIF('Retal Tran Line Item'!E:E,A207,'Retal Tran Line Item'!B:B)</f>
        <v>3</v>
      </c>
    </row>
    <row r="208" spans="1:8">
      <c r="A208" s="1">
        <v>100206</v>
      </c>
      <c r="B208" s="1">
        <v>789500</v>
      </c>
      <c r="C208" s="2">
        <v>41276</v>
      </c>
      <c r="D208" s="1" t="s">
        <v>1992</v>
      </c>
      <c r="E208" s="6">
        <v>1</v>
      </c>
      <c r="F208" s="6" t="str">
        <f t="shared" si="6"/>
        <v>January</v>
      </c>
      <c r="G208" s="6">
        <f t="shared" si="7"/>
        <v>1</v>
      </c>
      <c r="H208" s="1">
        <f>SUMIF('Retal Tran Line Item'!E:E,A208,'Retal Tran Line Item'!B:B)</f>
        <v>5</v>
      </c>
    </row>
    <row r="209" spans="1:8">
      <c r="A209" s="1">
        <v>100207</v>
      </c>
      <c r="B209" s="1">
        <v>781968</v>
      </c>
      <c r="C209" s="2">
        <v>41276</v>
      </c>
      <c r="D209" s="1" t="s">
        <v>1993</v>
      </c>
      <c r="E209" s="6">
        <v>2</v>
      </c>
      <c r="F209" s="6" t="str">
        <f t="shared" si="6"/>
        <v>January</v>
      </c>
      <c r="G209" s="6">
        <f t="shared" si="7"/>
        <v>1</v>
      </c>
      <c r="H209" s="1">
        <f>SUMIF('Retal Tran Line Item'!E:E,A209,'Retal Tran Line Item'!B:B)</f>
        <v>8</v>
      </c>
    </row>
    <row r="210" spans="1:8">
      <c r="A210" s="1">
        <v>100208</v>
      </c>
      <c r="B210" s="1">
        <v>938417</v>
      </c>
      <c r="C210" s="2">
        <v>41276</v>
      </c>
      <c r="D210" s="1" t="s">
        <v>1992</v>
      </c>
      <c r="E210" s="6">
        <v>1</v>
      </c>
      <c r="F210" s="6" t="str">
        <f t="shared" si="6"/>
        <v>January</v>
      </c>
      <c r="G210" s="6">
        <f t="shared" si="7"/>
        <v>1</v>
      </c>
      <c r="H210" s="1">
        <f>SUMIF('Retal Tran Line Item'!E:E,A210,'Retal Tran Line Item'!B:B)</f>
        <v>6</v>
      </c>
    </row>
    <row r="211" spans="1:8">
      <c r="A211" s="1">
        <v>100209</v>
      </c>
      <c r="B211" s="1">
        <v>872851</v>
      </c>
      <c r="C211" s="2">
        <v>41277</v>
      </c>
      <c r="D211" s="1" t="s">
        <v>1992</v>
      </c>
      <c r="E211" s="6">
        <v>2</v>
      </c>
      <c r="F211" s="6" t="str">
        <f t="shared" si="6"/>
        <v>January</v>
      </c>
      <c r="G211" s="6">
        <f t="shared" si="7"/>
        <v>1</v>
      </c>
      <c r="H211" s="1">
        <f>SUMIF('Retal Tran Line Item'!E:E,A211,'Retal Tran Line Item'!B:B)</f>
        <v>3</v>
      </c>
    </row>
    <row r="212" spans="1:8">
      <c r="A212" s="1">
        <v>100210</v>
      </c>
      <c r="B212" s="1">
        <v>422951</v>
      </c>
      <c r="C212" s="2">
        <v>41277</v>
      </c>
      <c r="D212" s="1" t="s">
        <v>1994</v>
      </c>
      <c r="E212" s="6">
        <v>1</v>
      </c>
      <c r="F212" s="6" t="str">
        <f t="shared" si="6"/>
        <v>January</v>
      </c>
      <c r="G212" s="6">
        <f t="shared" si="7"/>
        <v>1</v>
      </c>
      <c r="H212" s="1">
        <f>SUMIF('Retal Tran Line Item'!E:E,A212,'Retal Tran Line Item'!B:B)</f>
        <v>12</v>
      </c>
    </row>
    <row r="213" spans="1:8">
      <c r="A213" s="1">
        <v>100211</v>
      </c>
      <c r="B213" s="1">
        <v>183797</v>
      </c>
      <c r="C213" s="2">
        <v>41278</v>
      </c>
      <c r="D213" s="1" t="s">
        <v>1993</v>
      </c>
      <c r="E213" s="6">
        <v>1</v>
      </c>
      <c r="F213" s="6" t="str">
        <f t="shared" si="6"/>
        <v>January</v>
      </c>
      <c r="G213" s="6">
        <f t="shared" si="7"/>
        <v>1</v>
      </c>
      <c r="H213" s="1">
        <f>SUMIF('Retal Tran Line Item'!E:E,A213,'Retal Tran Line Item'!B:B)</f>
        <v>19</v>
      </c>
    </row>
    <row r="214" spans="1:8">
      <c r="A214" s="1">
        <v>100212</v>
      </c>
      <c r="B214" s="1">
        <v>513968</v>
      </c>
      <c r="C214" s="2">
        <v>41278</v>
      </c>
      <c r="D214" s="1" t="s">
        <v>1994</v>
      </c>
      <c r="E214" s="6">
        <v>2</v>
      </c>
      <c r="F214" s="6" t="str">
        <f t="shared" si="6"/>
        <v>January</v>
      </c>
      <c r="G214" s="6">
        <f t="shared" si="7"/>
        <v>1</v>
      </c>
      <c r="H214" s="1">
        <f>SUMIF('Retal Tran Line Item'!E:E,A214,'Retal Tran Line Item'!B:B)</f>
        <v>11</v>
      </c>
    </row>
    <row r="215" spans="1:8">
      <c r="A215" s="1">
        <v>100213</v>
      </c>
      <c r="B215" s="1">
        <v>563468</v>
      </c>
      <c r="C215" s="2">
        <v>41279</v>
      </c>
      <c r="D215" s="1" t="s">
        <v>1992</v>
      </c>
      <c r="E215" s="6">
        <v>1</v>
      </c>
      <c r="F215" s="6" t="str">
        <f t="shared" si="6"/>
        <v>January</v>
      </c>
      <c r="G215" s="6">
        <f t="shared" si="7"/>
        <v>1</v>
      </c>
      <c r="H215" s="1">
        <f>SUMIF('Retal Tran Line Item'!E:E,A215,'Retal Tran Line Item'!B:B)</f>
        <v>6</v>
      </c>
    </row>
    <row r="216" spans="1:8">
      <c r="A216" s="1">
        <v>100214</v>
      </c>
      <c r="B216" s="1">
        <v>416523</v>
      </c>
      <c r="C216" s="2">
        <v>41279</v>
      </c>
      <c r="D216" s="1" t="s">
        <v>1994</v>
      </c>
      <c r="E216" s="6">
        <v>2</v>
      </c>
      <c r="F216" s="6" t="str">
        <f t="shared" si="6"/>
        <v>January</v>
      </c>
      <c r="G216" s="6">
        <f t="shared" si="7"/>
        <v>1</v>
      </c>
      <c r="H216" s="1">
        <f>SUMIF('Retal Tran Line Item'!E:E,A216,'Retal Tran Line Item'!B:B)</f>
        <v>10</v>
      </c>
    </row>
    <row r="217" spans="1:8">
      <c r="A217" s="1">
        <v>100215</v>
      </c>
      <c r="B217" s="1">
        <v>992956</v>
      </c>
      <c r="C217" s="2">
        <v>41280</v>
      </c>
      <c r="D217" s="1" t="s">
        <v>1992</v>
      </c>
      <c r="E217" s="6">
        <v>1</v>
      </c>
      <c r="F217" s="6" t="str">
        <f t="shared" si="6"/>
        <v>January</v>
      </c>
      <c r="G217" s="6">
        <f t="shared" si="7"/>
        <v>2</v>
      </c>
      <c r="H217" s="1">
        <f>SUMIF('Retal Tran Line Item'!E:E,A217,'Retal Tran Line Item'!B:B)</f>
        <v>4</v>
      </c>
    </row>
    <row r="218" spans="1:8">
      <c r="A218" s="1">
        <v>100216</v>
      </c>
      <c r="B218" s="1">
        <v>404678</v>
      </c>
      <c r="C218" s="2">
        <v>41281</v>
      </c>
      <c r="D218" s="1" t="s">
        <v>1993</v>
      </c>
      <c r="E218" s="6">
        <v>2</v>
      </c>
      <c r="F218" s="6" t="str">
        <f t="shared" si="6"/>
        <v>January</v>
      </c>
      <c r="G218" s="6">
        <f t="shared" si="7"/>
        <v>2</v>
      </c>
      <c r="H218" s="1">
        <f>SUMIF('Retal Tran Line Item'!E:E,A218,'Retal Tran Line Item'!B:B)</f>
        <v>1</v>
      </c>
    </row>
    <row r="219" spans="1:8">
      <c r="A219" s="1">
        <v>100217</v>
      </c>
      <c r="B219" s="1">
        <v>643305</v>
      </c>
      <c r="C219" s="2">
        <v>41282</v>
      </c>
      <c r="D219" s="1" t="s">
        <v>1992</v>
      </c>
      <c r="E219" s="6">
        <v>1</v>
      </c>
      <c r="F219" s="6" t="str">
        <f t="shared" si="6"/>
        <v>January</v>
      </c>
      <c r="G219" s="6">
        <f t="shared" si="7"/>
        <v>2</v>
      </c>
      <c r="H219" s="1">
        <f>SUMIF('Retal Tran Line Item'!E:E,A219,'Retal Tran Line Item'!B:B)</f>
        <v>5</v>
      </c>
    </row>
    <row r="220" spans="1:8">
      <c r="A220" s="1">
        <v>100218</v>
      </c>
      <c r="B220" s="1">
        <v>556152</v>
      </c>
      <c r="C220" s="2">
        <v>41283</v>
      </c>
      <c r="D220" s="1" t="s">
        <v>1993</v>
      </c>
      <c r="E220" s="6">
        <v>2</v>
      </c>
      <c r="F220" s="6" t="str">
        <f t="shared" si="6"/>
        <v>January</v>
      </c>
      <c r="G220" s="6">
        <f t="shared" si="7"/>
        <v>2</v>
      </c>
      <c r="H220" s="1">
        <f>SUMIF('Retal Tran Line Item'!E:E,A220,'Retal Tran Line Item'!B:B)</f>
        <v>4</v>
      </c>
    </row>
    <row r="221" spans="1:8">
      <c r="A221" s="1">
        <v>100219</v>
      </c>
      <c r="B221" s="1">
        <v>132454</v>
      </c>
      <c r="C221" s="2">
        <v>41285</v>
      </c>
      <c r="D221" s="1" t="s">
        <v>1992</v>
      </c>
      <c r="E221" s="6">
        <v>1</v>
      </c>
      <c r="F221" s="6" t="str">
        <f t="shared" si="6"/>
        <v>January</v>
      </c>
      <c r="G221" s="6">
        <f t="shared" si="7"/>
        <v>2</v>
      </c>
      <c r="H221" s="1">
        <f>SUMIF('Retal Tran Line Item'!E:E,A221,'Retal Tran Line Item'!B:B)</f>
        <v>24</v>
      </c>
    </row>
    <row r="222" spans="1:8">
      <c r="A222" s="1">
        <v>100220</v>
      </c>
      <c r="B222" s="1">
        <v>765237</v>
      </c>
      <c r="C222" s="2">
        <v>41285</v>
      </c>
      <c r="D222" s="1" t="s">
        <v>1992</v>
      </c>
      <c r="E222" s="6">
        <v>1</v>
      </c>
      <c r="F222" s="6" t="str">
        <f t="shared" si="6"/>
        <v>January</v>
      </c>
      <c r="G222" s="6">
        <f t="shared" si="7"/>
        <v>2</v>
      </c>
      <c r="H222" s="1">
        <f>SUMIF('Retal Tran Line Item'!E:E,A222,'Retal Tran Line Item'!B:B)</f>
        <v>10</v>
      </c>
    </row>
    <row r="223" spans="1:8">
      <c r="A223" s="1">
        <v>100221</v>
      </c>
      <c r="B223" s="1">
        <v>491380</v>
      </c>
      <c r="C223" s="2">
        <v>41286</v>
      </c>
      <c r="D223" s="1" t="s">
        <v>1992</v>
      </c>
      <c r="E223" s="6">
        <v>2</v>
      </c>
      <c r="F223" s="6" t="str">
        <f t="shared" si="6"/>
        <v>January</v>
      </c>
      <c r="G223" s="6">
        <f t="shared" si="7"/>
        <v>2</v>
      </c>
      <c r="H223" s="1">
        <f>SUMIF('Retal Tran Line Item'!E:E,A223,'Retal Tran Line Item'!B:B)</f>
        <v>5</v>
      </c>
    </row>
    <row r="224" spans="1:8">
      <c r="A224" s="1">
        <v>100222</v>
      </c>
      <c r="B224" s="1">
        <v>157388</v>
      </c>
      <c r="C224" s="2">
        <v>41286</v>
      </c>
      <c r="D224" s="1" t="s">
        <v>1989</v>
      </c>
      <c r="E224" s="6">
        <v>1</v>
      </c>
      <c r="F224" s="6" t="str">
        <f t="shared" si="6"/>
        <v>January</v>
      </c>
      <c r="G224" s="6">
        <f t="shared" si="7"/>
        <v>2</v>
      </c>
      <c r="H224" s="1">
        <f>SUMIF('Retal Tran Line Item'!E:E,A224,'Retal Tran Line Item'!B:B)</f>
        <v>5</v>
      </c>
    </row>
    <row r="225" spans="1:8">
      <c r="A225" s="1">
        <v>100223</v>
      </c>
      <c r="B225" s="1">
        <v>256181</v>
      </c>
      <c r="C225" s="2">
        <v>41286</v>
      </c>
      <c r="D225" s="1" t="s">
        <v>1993</v>
      </c>
      <c r="E225" s="6">
        <v>2</v>
      </c>
      <c r="F225" s="6" t="str">
        <f t="shared" si="6"/>
        <v>January</v>
      </c>
      <c r="G225" s="6">
        <f t="shared" si="7"/>
        <v>2</v>
      </c>
      <c r="H225" s="1">
        <f>SUMIF('Retal Tran Line Item'!E:E,A225,'Retal Tran Line Item'!B:B)</f>
        <v>20</v>
      </c>
    </row>
    <row r="226" spans="1:8">
      <c r="A226" s="1">
        <v>100224</v>
      </c>
      <c r="B226" s="1">
        <v>500733</v>
      </c>
      <c r="C226" s="2">
        <v>41287</v>
      </c>
      <c r="D226" s="1" t="s">
        <v>1994</v>
      </c>
      <c r="E226" s="6">
        <v>2</v>
      </c>
      <c r="F226" s="6" t="str">
        <f t="shared" si="6"/>
        <v>January</v>
      </c>
      <c r="G226" s="6">
        <f t="shared" si="7"/>
        <v>3</v>
      </c>
      <c r="H226" s="1">
        <f>SUMIF('Retal Tran Line Item'!E:E,A226,'Retal Tran Line Item'!B:B)</f>
        <v>10</v>
      </c>
    </row>
    <row r="227" spans="1:8">
      <c r="A227" s="1">
        <v>100225</v>
      </c>
      <c r="B227" s="1">
        <v>795957</v>
      </c>
      <c r="C227" s="2">
        <v>41287</v>
      </c>
      <c r="D227" s="1" t="s">
        <v>1992</v>
      </c>
      <c r="E227" s="6">
        <v>1</v>
      </c>
      <c r="F227" s="6" t="str">
        <f t="shared" si="6"/>
        <v>January</v>
      </c>
      <c r="G227" s="6">
        <f t="shared" si="7"/>
        <v>3</v>
      </c>
      <c r="H227" s="1">
        <f>SUMIF('Retal Tran Line Item'!E:E,A227,'Retal Tran Line Item'!B:B)</f>
        <v>15</v>
      </c>
    </row>
    <row r="228" spans="1:8">
      <c r="A228" s="1">
        <v>100226</v>
      </c>
      <c r="B228" s="1">
        <v>109251</v>
      </c>
      <c r="C228" s="2">
        <v>41287</v>
      </c>
      <c r="D228" s="1" t="s">
        <v>1993</v>
      </c>
      <c r="E228" s="6">
        <v>1</v>
      </c>
      <c r="F228" s="6" t="str">
        <f t="shared" si="6"/>
        <v>January</v>
      </c>
      <c r="G228" s="6">
        <f t="shared" si="7"/>
        <v>3</v>
      </c>
      <c r="H228" s="1">
        <f>SUMIF('Retal Tran Line Item'!E:E,A228,'Retal Tran Line Item'!B:B)</f>
        <v>17</v>
      </c>
    </row>
    <row r="229" spans="1:8">
      <c r="A229" s="1">
        <v>100227</v>
      </c>
      <c r="B229" s="1">
        <v>308662</v>
      </c>
      <c r="C229" s="2">
        <v>41288</v>
      </c>
      <c r="D229" s="1" t="s">
        <v>1989</v>
      </c>
      <c r="E229" s="6">
        <v>2</v>
      </c>
      <c r="F229" s="6" t="str">
        <f t="shared" si="6"/>
        <v>January</v>
      </c>
      <c r="G229" s="6">
        <f t="shared" si="7"/>
        <v>3</v>
      </c>
      <c r="H229" s="1">
        <f>SUMIF('Retal Tran Line Item'!E:E,A229,'Retal Tran Line Item'!B:B)</f>
        <v>1</v>
      </c>
    </row>
    <row r="230" spans="1:8">
      <c r="A230" s="1">
        <v>100228</v>
      </c>
      <c r="B230" s="1">
        <v>357579</v>
      </c>
      <c r="C230" s="2">
        <v>41288</v>
      </c>
      <c r="D230" s="1" t="s">
        <v>1994</v>
      </c>
      <c r="E230" s="6">
        <v>1</v>
      </c>
      <c r="F230" s="6" t="str">
        <f t="shared" si="6"/>
        <v>January</v>
      </c>
      <c r="G230" s="6">
        <f t="shared" si="7"/>
        <v>3</v>
      </c>
      <c r="H230" s="1">
        <f>SUMIF('Retal Tran Line Item'!E:E,A230,'Retal Tran Line Item'!B:B)</f>
        <v>24</v>
      </c>
    </row>
    <row r="231" spans="1:8">
      <c r="A231" s="1">
        <v>100229</v>
      </c>
      <c r="B231" s="1">
        <v>332324</v>
      </c>
      <c r="C231" s="2">
        <v>41288</v>
      </c>
      <c r="D231" s="1" t="s">
        <v>1989</v>
      </c>
      <c r="E231" s="6">
        <v>2</v>
      </c>
      <c r="F231" s="6" t="str">
        <f t="shared" si="6"/>
        <v>January</v>
      </c>
      <c r="G231" s="6">
        <f t="shared" si="7"/>
        <v>3</v>
      </c>
      <c r="H231" s="1">
        <f>SUMIF('Retal Tran Line Item'!E:E,A231,'Retal Tran Line Item'!B:B)</f>
        <v>3</v>
      </c>
    </row>
    <row r="232" spans="1:8">
      <c r="A232" s="1">
        <v>100230</v>
      </c>
      <c r="B232" s="1">
        <v>310195</v>
      </c>
      <c r="C232" s="2">
        <v>41289</v>
      </c>
      <c r="D232" s="1" t="s">
        <v>1993</v>
      </c>
      <c r="E232" s="6">
        <v>2</v>
      </c>
      <c r="F232" s="6" t="str">
        <f t="shared" si="6"/>
        <v>January</v>
      </c>
      <c r="G232" s="6">
        <f t="shared" si="7"/>
        <v>3</v>
      </c>
      <c r="H232" s="1">
        <f>SUMIF('Retal Tran Line Item'!E:E,A232,'Retal Tran Line Item'!B:B)</f>
        <v>8</v>
      </c>
    </row>
    <row r="233" spans="1:8">
      <c r="A233" s="1">
        <v>100231</v>
      </c>
      <c r="B233" s="1">
        <v>109251</v>
      </c>
      <c r="C233" s="2">
        <v>41289</v>
      </c>
      <c r="D233" s="1" t="s">
        <v>1993</v>
      </c>
      <c r="E233" s="6">
        <v>1</v>
      </c>
      <c r="F233" s="6" t="str">
        <f t="shared" si="6"/>
        <v>January</v>
      </c>
      <c r="G233" s="6">
        <f t="shared" si="7"/>
        <v>3</v>
      </c>
      <c r="H233" s="1">
        <f>SUMIF('Retal Tran Line Item'!E:E,A233,'Retal Tran Line Item'!B:B)</f>
        <v>6</v>
      </c>
    </row>
    <row r="234" spans="1:8">
      <c r="A234" s="1">
        <v>100232</v>
      </c>
      <c r="B234" s="1">
        <v>363931</v>
      </c>
      <c r="C234" s="2">
        <v>41289</v>
      </c>
      <c r="D234" s="1" t="s">
        <v>1994</v>
      </c>
      <c r="E234" s="6">
        <v>2</v>
      </c>
      <c r="F234" s="6" t="str">
        <f t="shared" si="6"/>
        <v>January</v>
      </c>
      <c r="G234" s="6">
        <f t="shared" si="7"/>
        <v>3</v>
      </c>
      <c r="H234" s="1">
        <f>SUMIF('Retal Tran Line Item'!E:E,A234,'Retal Tran Line Item'!B:B)</f>
        <v>10</v>
      </c>
    </row>
    <row r="235" spans="1:8">
      <c r="A235" s="1">
        <v>100233</v>
      </c>
      <c r="B235" s="1">
        <v>693531</v>
      </c>
      <c r="C235" s="2">
        <v>41289</v>
      </c>
      <c r="D235" s="1" t="s">
        <v>1989</v>
      </c>
      <c r="E235" s="6">
        <v>2</v>
      </c>
      <c r="F235" s="6" t="str">
        <f t="shared" si="6"/>
        <v>January</v>
      </c>
      <c r="G235" s="6">
        <f t="shared" si="7"/>
        <v>3</v>
      </c>
      <c r="H235" s="1">
        <f>SUMIF('Retal Tran Line Item'!E:E,A235,'Retal Tran Line Item'!B:B)</f>
        <v>1</v>
      </c>
    </row>
    <row r="236" spans="1:8">
      <c r="A236" s="1">
        <v>100234</v>
      </c>
      <c r="B236" s="1">
        <v>995599</v>
      </c>
      <c r="C236" s="2">
        <v>41290</v>
      </c>
      <c r="D236" s="1" t="s">
        <v>1989</v>
      </c>
      <c r="E236" s="6">
        <v>1</v>
      </c>
      <c r="F236" s="6" t="str">
        <f t="shared" si="6"/>
        <v>January</v>
      </c>
      <c r="G236" s="6">
        <f t="shared" si="7"/>
        <v>3</v>
      </c>
      <c r="H236" s="1">
        <f>SUMIF('Retal Tran Line Item'!E:E,A236,'Retal Tran Line Item'!B:B)</f>
        <v>6</v>
      </c>
    </row>
    <row r="237" spans="1:8">
      <c r="A237" s="1">
        <v>100235</v>
      </c>
      <c r="B237" s="1">
        <v>149240</v>
      </c>
      <c r="C237" s="2">
        <v>41290</v>
      </c>
      <c r="D237" s="1" t="s">
        <v>1992</v>
      </c>
      <c r="E237" s="6">
        <v>1</v>
      </c>
      <c r="F237" s="6" t="str">
        <f t="shared" si="6"/>
        <v>January</v>
      </c>
      <c r="G237" s="6">
        <f t="shared" si="7"/>
        <v>3</v>
      </c>
      <c r="H237" s="1">
        <f>SUMIF('Retal Tran Line Item'!E:E,A237,'Retal Tran Line Item'!B:B)</f>
        <v>12</v>
      </c>
    </row>
    <row r="238" spans="1:8">
      <c r="A238" s="1">
        <v>100236</v>
      </c>
      <c r="B238" s="1">
        <v>707458</v>
      </c>
      <c r="C238" s="2">
        <v>41291</v>
      </c>
      <c r="D238" s="1" t="s">
        <v>1993</v>
      </c>
      <c r="E238" s="6">
        <v>2</v>
      </c>
      <c r="F238" s="6" t="str">
        <f t="shared" si="6"/>
        <v>January</v>
      </c>
      <c r="G238" s="6">
        <f t="shared" si="7"/>
        <v>3</v>
      </c>
      <c r="H238" s="1">
        <f>SUMIF('Retal Tran Line Item'!E:E,A238,'Retal Tran Line Item'!B:B)</f>
        <v>14</v>
      </c>
    </row>
    <row r="239" spans="1:8">
      <c r="A239" s="1">
        <v>100237</v>
      </c>
      <c r="B239" s="1">
        <v>207846</v>
      </c>
      <c r="C239" s="2">
        <v>41291</v>
      </c>
      <c r="D239" s="1" t="s">
        <v>1993</v>
      </c>
      <c r="E239" s="6">
        <v>2</v>
      </c>
      <c r="F239" s="6" t="str">
        <f t="shared" si="6"/>
        <v>January</v>
      </c>
      <c r="G239" s="6">
        <f t="shared" si="7"/>
        <v>3</v>
      </c>
      <c r="H239" s="1">
        <f>SUMIF('Retal Tran Line Item'!E:E,A239,'Retal Tran Line Item'!B:B)</f>
        <v>8</v>
      </c>
    </row>
    <row r="240" spans="1:8">
      <c r="A240" s="1">
        <v>100238</v>
      </c>
      <c r="B240" s="1">
        <v>671363</v>
      </c>
      <c r="C240" s="2">
        <v>41292</v>
      </c>
      <c r="D240" s="1" t="s">
        <v>1994</v>
      </c>
      <c r="E240" s="6">
        <v>2</v>
      </c>
      <c r="F240" s="6" t="str">
        <f t="shared" si="6"/>
        <v>January</v>
      </c>
      <c r="G240" s="6">
        <f t="shared" si="7"/>
        <v>3</v>
      </c>
      <c r="H240" s="1">
        <f>SUMIF('Retal Tran Line Item'!E:E,A240,'Retal Tran Line Item'!B:B)</f>
        <v>9</v>
      </c>
    </row>
    <row r="241" spans="1:8">
      <c r="A241" s="1">
        <v>100239</v>
      </c>
      <c r="B241" s="1">
        <v>513968</v>
      </c>
      <c r="C241" s="2">
        <v>41293</v>
      </c>
      <c r="D241" s="1" t="s">
        <v>1994</v>
      </c>
      <c r="E241" s="6">
        <v>1</v>
      </c>
      <c r="F241" s="6" t="str">
        <f t="shared" si="6"/>
        <v>January</v>
      </c>
      <c r="G241" s="6">
        <f t="shared" si="7"/>
        <v>3</v>
      </c>
      <c r="H241" s="1">
        <f>SUMIF('Retal Tran Line Item'!E:E,A241,'Retal Tran Line Item'!B:B)</f>
        <v>14</v>
      </c>
    </row>
    <row r="242" spans="1:8">
      <c r="A242" s="1">
        <v>100240</v>
      </c>
      <c r="B242" s="1">
        <v>649551</v>
      </c>
      <c r="C242" s="2">
        <v>41293</v>
      </c>
      <c r="D242" s="1" t="s">
        <v>1993</v>
      </c>
      <c r="E242" s="6">
        <v>2</v>
      </c>
      <c r="F242" s="6" t="str">
        <f t="shared" si="6"/>
        <v>January</v>
      </c>
      <c r="G242" s="6">
        <f t="shared" si="7"/>
        <v>3</v>
      </c>
      <c r="H242" s="1">
        <f>SUMIF('Retal Tran Line Item'!E:E,A242,'Retal Tran Line Item'!B:B)</f>
        <v>11</v>
      </c>
    </row>
    <row r="243" spans="1:8">
      <c r="A243" s="1">
        <v>100241</v>
      </c>
      <c r="B243" s="1">
        <v>737707</v>
      </c>
      <c r="C243" s="2">
        <v>41294</v>
      </c>
      <c r="D243" s="1" t="s">
        <v>1989</v>
      </c>
      <c r="E243" s="6">
        <v>1</v>
      </c>
      <c r="F243" s="6" t="str">
        <f t="shared" si="6"/>
        <v>January</v>
      </c>
      <c r="G243" s="6">
        <f t="shared" si="7"/>
        <v>4</v>
      </c>
      <c r="H243" s="1">
        <f>SUMIF('Retal Tran Line Item'!E:E,A243,'Retal Tran Line Item'!B:B)</f>
        <v>5</v>
      </c>
    </row>
    <row r="244" spans="1:8">
      <c r="A244" s="1">
        <v>100242</v>
      </c>
      <c r="B244" s="1">
        <v>422717</v>
      </c>
      <c r="C244" s="2">
        <v>41294</v>
      </c>
      <c r="D244" s="1" t="s">
        <v>1993</v>
      </c>
      <c r="E244" s="6">
        <v>2</v>
      </c>
      <c r="F244" s="6" t="str">
        <f t="shared" si="6"/>
        <v>January</v>
      </c>
      <c r="G244" s="6">
        <f t="shared" si="7"/>
        <v>4</v>
      </c>
      <c r="H244" s="1">
        <f>SUMIF('Retal Tran Line Item'!E:E,A244,'Retal Tran Line Item'!B:B)</f>
        <v>6</v>
      </c>
    </row>
    <row r="245" spans="1:8">
      <c r="A245" s="1">
        <v>100243</v>
      </c>
      <c r="B245" s="1">
        <v>841831</v>
      </c>
      <c r="C245" s="2">
        <v>41294</v>
      </c>
      <c r="D245" s="1" t="s">
        <v>1992</v>
      </c>
      <c r="E245" s="6">
        <v>2</v>
      </c>
      <c r="F245" s="6" t="str">
        <f t="shared" si="6"/>
        <v>January</v>
      </c>
      <c r="G245" s="6">
        <f t="shared" si="7"/>
        <v>4</v>
      </c>
      <c r="H245" s="1">
        <f>SUMIF('Retal Tran Line Item'!E:E,A245,'Retal Tran Line Item'!B:B)</f>
        <v>4</v>
      </c>
    </row>
    <row r="246" spans="1:8">
      <c r="A246" s="1">
        <v>100244</v>
      </c>
      <c r="B246" s="1">
        <v>447368</v>
      </c>
      <c r="C246" s="2">
        <v>41294</v>
      </c>
      <c r="D246" s="1" t="s">
        <v>1993</v>
      </c>
      <c r="E246" s="6">
        <v>1</v>
      </c>
      <c r="F246" s="6" t="str">
        <f t="shared" si="6"/>
        <v>January</v>
      </c>
      <c r="G246" s="6">
        <f t="shared" si="7"/>
        <v>4</v>
      </c>
      <c r="H246" s="1">
        <f>SUMIF('Retal Tran Line Item'!E:E,A246,'Retal Tran Line Item'!B:B)</f>
        <v>1</v>
      </c>
    </row>
    <row r="247" spans="1:8">
      <c r="A247" s="1">
        <v>100245</v>
      </c>
      <c r="B247" s="1">
        <v>256181</v>
      </c>
      <c r="C247" s="2">
        <v>41294</v>
      </c>
      <c r="D247" s="1" t="s">
        <v>1993</v>
      </c>
      <c r="E247" s="6">
        <v>2</v>
      </c>
      <c r="F247" s="6" t="str">
        <f t="shared" si="6"/>
        <v>January</v>
      </c>
      <c r="G247" s="6">
        <f t="shared" si="7"/>
        <v>4</v>
      </c>
      <c r="H247" s="1">
        <f>SUMIF('Retal Tran Line Item'!E:E,A247,'Retal Tran Line Item'!B:B)</f>
        <v>6</v>
      </c>
    </row>
    <row r="248" spans="1:8">
      <c r="A248" s="1">
        <v>100246</v>
      </c>
      <c r="B248" s="1">
        <v>488803</v>
      </c>
      <c r="C248" s="2">
        <v>41296</v>
      </c>
      <c r="D248" s="1" t="s">
        <v>1989</v>
      </c>
      <c r="E248" s="6">
        <v>2</v>
      </c>
      <c r="F248" s="6" t="str">
        <f t="shared" si="6"/>
        <v>January</v>
      </c>
      <c r="G248" s="6">
        <f t="shared" si="7"/>
        <v>4</v>
      </c>
      <c r="H248" s="1">
        <f>SUMIF('Retal Tran Line Item'!E:E,A248,'Retal Tran Line Item'!B:B)</f>
        <v>9</v>
      </c>
    </row>
    <row r="249" spans="1:8">
      <c r="A249" s="1">
        <v>100247</v>
      </c>
      <c r="B249" s="1">
        <v>289693</v>
      </c>
      <c r="C249" s="2">
        <v>41296</v>
      </c>
      <c r="D249" s="1" t="s">
        <v>1989</v>
      </c>
      <c r="E249" s="6">
        <v>1</v>
      </c>
      <c r="F249" s="6" t="str">
        <f t="shared" si="6"/>
        <v>January</v>
      </c>
      <c r="G249" s="6">
        <f t="shared" si="7"/>
        <v>4</v>
      </c>
      <c r="H249" s="1">
        <f>SUMIF('Retal Tran Line Item'!E:E,A249,'Retal Tran Line Item'!B:B)</f>
        <v>16</v>
      </c>
    </row>
    <row r="250" spans="1:8">
      <c r="A250" s="1">
        <v>100248</v>
      </c>
      <c r="B250" s="1">
        <v>776775</v>
      </c>
      <c r="C250" s="2">
        <v>41296</v>
      </c>
      <c r="D250" s="1" t="s">
        <v>1992</v>
      </c>
      <c r="E250" s="6">
        <v>2</v>
      </c>
      <c r="F250" s="6" t="str">
        <f t="shared" si="6"/>
        <v>January</v>
      </c>
      <c r="G250" s="6">
        <f t="shared" si="7"/>
        <v>4</v>
      </c>
      <c r="H250" s="1">
        <f>SUMIF('Retal Tran Line Item'!E:E,A250,'Retal Tran Line Item'!B:B)</f>
        <v>9</v>
      </c>
    </row>
    <row r="251" spans="1:8">
      <c r="A251" s="1">
        <v>100249</v>
      </c>
      <c r="B251" s="1">
        <v>147543</v>
      </c>
      <c r="C251" s="2">
        <v>41296</v>
      </c>
      <c r="D251" s="1" t="s">
        <v>1993</v>
      </c>
      <c r="E251" s="6">
        <v>2</v>
      </c>
      <c r="F251" s="6" t="str">
        <f t="shared" si="6"/>
        <v>January</v>
      </c>
      <c r="G251" s="6">
        <f t="shared" si="7"/>
        <v>4</v>
      </c>
      <c r="H251" s="1">
        <f>SUMIF('Retal Tran Line Item'!E:E,A251,'Retal Tran Line Item'!B:B)</f>
        <v>6</v>
      </c>
    </row>
    <row r="252" spans="1:8">
      <c r="A252" s="1">
        <v>100250</v>
      </c>
      <c r="B252" s="1">
        <v>757780</v>
      </c>
      <c r="C252" s="2">
        <v>41297</v>
      </c>
      <c r="D252" s="1" t="s">
        <v>1993</v>
      </c>
      <c r="E252" s="6">
        <v>1</v>
      </c>
      <c r="F252" s="6" t="str">
        <f t="shared" si="6"/>
        <v>January</v>
      </c>
      <c r="G252" s="6">
        <f t="shared" si="7"/>
        <v>4</v>
      </c>
      <c r="H252" s="1">
        <f>SUMIF('Retal Tran Line Item'!E:E,A252,'Retal Tran Line Item'!B:B)</f>
        <v>23</v>
      </c>
    </row>
    <row r="253" spans="1:8">
      <c r="A253" s="1">
        <v>100251</v>
      </c>
      <c r="B253" s="1">
        <v>465275</v>
      </c>
      <c r="C253" s="2">
        <v>41298</v>
      </c>
      <c r="D253" s="1" t="s">
        <v>1992</v>
      </c>
      <c r="E253" s="6">
        <v>1</v>
      </c>
      <c r="F253" s="6" t="str">
        <f t="shared" si="6"/>
        <v>January</v>
      </c>
      <c r="G253" s="6">
        <f t="shared" si="7"/>
        <v>4</v>
      </c>
      <c r="H253" s="1">
        <f>SUMIF('Retal Tran Line Item'!E:E,A253,'Retal Tran Line Item'!B:B)</f>
        <v>9</v>
      </c>
    </row>
    <row r="254" spans="1:8">
      <c r="A254" s="1">
        <v>100252</v>
      </c>
      <c r="B254" s="1">
        <v>665313</v>
      </c>
      <c r="C254" s="2">
        <v>41298</v>
      </c>
      <c r="D254" s="1" t="s">
        <v>1993</v>
      </c>
      <c r="E254" s="6">
        <v>2</v>
      </c>
      <c r="F254" s="6" t="str">
        <f t="shared" si="6"/>
        <v>January</v>
      </c>
      <c r="G254" s="6">
        <f t="shared" si="7"/>
        <v>4</v>
      </c>
      <c r="H254" s="1">
        <f>SUMIF('Retal Tran Line Item'!E:E,A254,'Retal Tran Line Item'!B:B)</f>
        <v>6</v>
      </c>
    </row>
    <row r="255" spans="1:8">
      <c r="A255" s="1">
        <v>100253</v>
      </c>
      <c r="B255" s="1">
        <v>286196</v>
      </c>
      <c r="C255" s="2">
        <v>41298</v>
      </c>
      <c r="D255" s="1" t="s">
        <v>1989</v>
      </c>
      <c r="E255" s="6">
        <v>2</v>
      </c>
      <c r="F255" s="6" t="str">
        <f t="shared" si="6"/>
        <v>January</v>
      </c>
      <c r="G255" s="6">
        <f t="shared" si="7"/>
        <v>4</v>
      </c>
      <c r="H255" s="1">
        <f>SUMIF('Retal Tran Line Item'!E:E,A255,'Retal Tran Line Item'!B:B)</f>
        <v>6</v>
      </c>
    </row>
    <row r="256" spans="1:8">
      <c r="A256" s="1">
        <v>100254</v>
      </c>
      <c r="B256" s="1">
        <v>795957</v>
      </c>
      <c r="C256" s="2">
        <v>41298</v>
      </c>
      <c r="D256" s="1" t="s">
        <v>1992</v>
      </c>
      <c r="E256" s="6">
        <v>2</v>
      </c>
      <c r="F256" s="6" t="str">
        <f t="shared" si="6"/>
        <v>January</v>
      </c>
      <c r="G256" s="6">
        <f t="shared" si="7"/>
        <v>4</v>
      </c>
      <c r="H256" s="1">
        <f>SUMIF('Retal Tran Line Item'!E:E,A256,'Retal Tran Line Item'!B:B)</f>
        <v>18</v>
      </c>
    </row>
    <row r="257" spans="1:8">
      <c r="A257" s="1">
        <v>100255</v>
      </c>
      <c r="B257" s="1">
        <v>304344</v>
      </c>
      <c r="C257" s="2">
        <v>41298</v>
      </c>
      <c r="D257" s="1" t="s">
        <v>1993</v>
      </c>
      <c r="E257" s="6">
        <v>1</v>
      </c>
      <c r="F257" s="6" t="str">
        <f t="shared" si="6"/>
        <v>January</v>
      </c>
      <c r="G257" s="6">
        <f t="shared" si="7"/>
        <v>4</v>
      </c>
      <c r="H257" s="1">
        <f>SUMIF('Retal Tran Line Item'!E:E,A257,'Retal Tran Line Item'!B:B)</f>
        <v>8</v>
      </c>
    </row>
    <row r="258" spans="1:8">
      <c r="A258" s="1">
        <v>100256</v>
      </c>
      <c r="B258" s="1">
        <v>416523</v>
      </c>
      <c r="C258" s="2">
        <v>41298</v>
      </c>
      <c r="D258" s="1" t="s">
        <v>1994</v>
      </c>
      <c r="E258" s="6">
        <v>2</v>
      </c>
      <c r="F258" s="6" t="str">
        <f t="shared" si="6"/>
        <v>January</v>
      </c>
      <c r="G258" s="6">
        <f t="shared" si="7"/>
        <v>4</v>
      </c>
      <c r="H258" s="1">
        <f>SUMIF('Retal Tran Line Item'!E:E,A258,'Retal Tran Line Item'!B:B)</f>
        <v>18</v>
      </c>
    </row>
    <row r="259" spans="1:8">
      <c r="A259" s="1">
        <v>100257</v>
      </c>
      <c r="B259" s="1">
        <v>929344</v>
      </c>
      <c r="C259" s="2">
        <v>41300</v>
      </c>
      <c r="D259" s="1" t="s">
        <v>1992</v>
      </c>
      <c r="E259" s="6">
        <v>1</v>
      </c>
      <c r="F259" s="6" t="str">
        <f t="shared" ref="F259:F322" si="8">TEXT(C259,"MMMM")</f>
        <v>January</v>
      </c>
      <c r="G259" s="6">
        <f t="shared" ref="G259:G322" si="9">WEEKNUM(C259)</f>
        <v>4</v>
      </c>
      <c r="H259" s="1">
        <f>SUMIF('Retal Tran Line Item'!E:E,A259,'Retal Tran Line Item'!B:B)</f>
        <v>14</v>
      </c>
    </row>
    <row r="260" spans="1:8">
      <c r="A260" s="1">
        <v>100258</v>
      </c>
      <c r="B260" s="1">
        <v>154427</v>
      </c>
      <c r="C260" s="2">
        <v>41300</v>
      </c>
      <c r="D260" s="1" t="s">
        <v>1993</v>
      </c>
      <c r="E260" s="6">
        <v>2</v>
      </c>
      <c r="F260" s="6" t="str">
        <f t="shared" si="8"/>
        <v>January</v>
      </c>
      <c r="G260" s="6">
        <f t="shared" si="9"/>
        <v>4</v>
      </c>
      <c r="H260" s="1">
        <f>SUMIF('Retal Tran Line Item'!E:E,A260,'Retal Tran Line Item'!B:B)</f>
        <v>16</v>
      </c>
    </row>
    <row r="261" spans="1:8">
      <c r="A261" s="1">
        <v>100259</v>
      </c>
      <c r="B261" s="1">
        <v>121639</v>
      </c>
      <c r="C261" s="2">
        <v>41300</v>
      </c>
      <c r="D261" s="1" t="s">
        <v>1989</v>
      </c>
      <c r="E261" s="6">
        <v>1</v>
      </c>
      <c r="F261" s="6" t="str">
        <f t="shared" si="8"/>
        <v>January</v>
      </c>
      <c r="G261" s="6">
        <f t="shared" si="9"/>
        <v>4</v>
      </c>
      <c r="H261" s="1">
        <f>SUMIF('Retal Tran Line Item'!E:E,A261,'Retal Tran Line Item'!B:B)</f>
        <v>8</v>
      </c>
    </row>
    <row r="262" spans="1:8">
      <c r="A262" s="1">
        <v>100260</v>
      </c>
      <c r="B262" s="1">
        <v>657736</v>
      </c>
      <c r="C262" s="2">
        <v>41300</v>
      </c>
      <c r="D262" s="1" t="s">
        <v>1993</v>
      </c>
      <c r="E262" s="6">
        <v>1</v>
      </c>
      <c r="F262" s="6" t="str">
        <f t="shared" si="8"/>
        <v>January</v>
      </c>
      <c r="G262" s="6">
        <f t="shared" si="9"/>
        <v>4</v>
      </c>
      <c r="H262" s="1">
        <f>SUMIF('Retal Tran Line Item'!E:E,A262,'Retal Tran Line Item'!B:B)</f>
        <v>13</v>
      </c>
    </row>
    <row r="263" spans="1:8">
      <c r="A263" s="1">
        <v>100261</v>
      </c>
      <c r="B263" s="1">
        <v>331115</v>
      </c>
      <c r="C263" s="2">
        <v>41301</v>
      </c>
      <c r="D263" s="1" t="s">
        <v>1989</v>
      </c>
      <c r="E263" s="6">
        <v>2</v>
      </c>
      <c r="F263" s="6" t="str">
        <f t="shared" si="8"/>
        <v>January</v>
      </c>
      <c r="G263" s="6">
        <f t="shared" si="9"/>
        <v>5</v>
      </c>
      <c r="H263" s="1">
        <f>SUMIF('Retal Tran Line Item'!E:E,A263,'Retal Tran Line Item'!B:B)</f>
        <v>22</v>
      </c>
    </row>
    <row r="264" spans="1:8">
      <c r="A264" s="1">
        <v>100262</v>
      </c>
      <c r="B264" s="1">
        <v>992956</v>
      </c>
      <c r="C264" s="2">
        <v>41301</v>
      </c>
      <c r="D264" s="1" t="s">
        <v>1992</v>
      </c>
      <c r="E264" s="6">
        <v>2</v>
      </c>
      <c r="F264" s="6" t="str">
        <f t="shared" si="8"/>
        <v>January</v>
      </c>
      <c r="G264" s="6">
        <f t="shared" si="9"/>
        <v>5</v>
      </c>
      <c r="H264" s="1">
        <f>SUMIF('Retal Tran Line Item'!E:E,A264,'Retal Tran Line Item'!B:B)</f>
        <v>8</v>
      </c>
    </row>
    <row r="265" spans="1:8">
      <c r="A265" s="1">
        <v>100263</v>
      </c>
      <c r="B265" s="1">
        <v>269687</v>
      </c>
      <c r="C265" s="2">
        <v>41301</v>
      </c>
      <c r="D265" s="1" t="s">
        <v>1989</v>
      </c>
      <c r="E265" s="6">
        <v>2</v>
      </c>
      <c r="F265" s="6" t="str">
        <f t="shared" si="8"/>
        <v>January</v>
      </c>
      <c r="G265" s="6">
        <f t="shared" si="9"/>
        <v>5</v>
      </c>
      <c r="H265" s="1">
        <f>SUMIF('Retal Tran Line Item'!E:E,A265,'Retal Tran Line Item'!B:B)</f>
        <v>14</v>
      </c>
    </row>
    <row r="266" spans="1:8">
      <c r="A266" s="1">
        <v>100264</v>
      </c>
      <c r="B266" s="1">
        <v>111991</v>
      </c>
      <c r="C266" s="2">
        <v>41301</v>
      </c>
      <c r="D266" s="1" t="s">
        <v>1994</v>
      </c>
      <c r="E266" s="6">
        <v>2</v>
      </c>
      <c r="F266" s="6" t="str">
        <f t="shared" si="8"/>
        <v>January</v>
      </c>
      <c r="G266" s="6">
        <f t="shared" si="9"/>
        <v>5</v>
      </c>
      <c r="H266" s="1">
        <f>SUMIF('Retal Tran Line Item'!E:E,A266,'Retal Tran Line Item'!B:B)</f>
        <v>11</v>
      </c>
    </row>
    <row r="267" spans="1:8">
      <c r="A267" s="1">
        <v>100265</v>
      </c>
      <c r="B267" s="1">
        <v>938006</v>
      </c>
      <c r="C267" s="2">
        <v>41302</v>
      </c>
      <c r="D267" s="1" t="s">
        <v>1992</v>
      </c>
      <c r="E267" s="6">
        <v>2</v>
      </c>
      <c r="F267" s="6" t="str">
        <f t="shared" si="8"/>
        <v>January</v>
      </c>
      <c r="G267" s="6">
        <f t="shared" si="9"/>
        <v>5</v>
      </c>
      <c r="H267" s="1">
        <f>SUMIF('Retal Tran Line Item'!E:E,A267,'Retal Tran Line Item'!B:B)</f>
        <v>7</v>
      </c>
    </row>
    <row r="268" spans="1:8">
      <c r="A268" s="1">
        <v>100266</v>
      </c>
      <c r="B268" s="1">
        <v>413292</v>
      </c>
      <c r="C268" s="2">
        <v>41302</v>
      </c>
      <c r="D268" s="1" t="s">
        <v>1993</v>
      </c>
      <c r="E268" s="6">
        <v>1</v>
      </c>
      <c r="F268" s="6" t="str">
        <f t="shared" si="8"/>
        <v>January</v>
      </c>
      <c r="G268" s="6">
        <f t="shared" si="9"/>
        <v>5</v>
      </c>
      <c r="H268" s="1">
        <f>SUMIF('Retal Tran Line Item'!E:E,A268,'Retal Tran Line Item'!B:B)</f>
        <v>3</v>
      </c>
    </row>
    <row r="269" spans="1:8">
      <c r="A269" s="1">
        <v>100267</v>
      </c>
      <c r="B269" s="1">
        <v>227456</v>
      </c>
      <c r="C269" s="2">
        <v>41303</v>
      </c>
      <c r="D269" s="1" t="s">
        <v>1993</v>
      </c>
      <c r="E269" s="6">
        <v>2</v>
      </c>
      <c r="F269" s="6" t="str">
        <f t="shared" si="8"/>
        <v>January</v>
      </c>
      <c r="G269" s="6">
        <f t="shared" si="9"/>
        <v>5</v>
      </c>
      <c r="H269" s="1">
        <f>SUMIF('Retal Tran Line Item'!E:E,A269,'Retal Tran Line Item'!B:B)</f>
        <v>17</v>
      </c>
    </row>
    <row r="270" spans="1:8">
      <c r="A270" s="1">
        <v>100268</v>
      </c>
      <c r="B270" s="1">
        <v>245577</v>
      </c>
      <c r="C270" s="2">
        <v>41303</v>
      </c>
      <c r="D270" s="1" t="s">
        <v>1989</v>
      </c>
      <c r="E270" s="6">
        <v>2</v>
      </c>
      <c r="F270" s="6" t="str">
        <f t="shared" si="8"/>
        <v>January</v>
      </c>
      <c r="G270" s="6">
        <f t="shared" si="9"/>
        <v>5</v>
      </c>
      <c r="H270" s="1">
        <f>SUMIF('Retal Tran Line Item'!E:E,A270,'Retal Tran Line Item'!B:B)</f>
        <v>3</v>
      </c>
    </row>
    <row r="271" spans="1:8">
      <c r="A271" s="1">
        <v>100269</v>
      </c>
      <c r="B271" s="1">
        <v>247216</v>
      </c>
      <c r="C271" s="2">
        <v>41304</v>
      </c>
      <c r="D271" s="1" t="s">
        <v>1989</v>
      </c>
      <c r="E271" s="6">
        <v>1</v>
      </c>
      <c r="F271" s="6" t="str">
        <f t="shared" si="8"/>
        <v>January</v>
      </c>
      <c r="G271" s="6">
        <f t="shared" si="9"/>
        <v>5</v>
      </c>
      <c r="H271" s="1">
        <f>SUMIF('Retal Tran Line Item'!E:E,A271,'Retal Tran Line Item'!B:B)</f>
        <v>14</v>
      </c>
    </row>
    <row r="272" spans="1:8">
      <c r="A272" s="1">
        <v>100270</v>
      </c>
      <c r="B272" s="1">
        <v>671363</v>
      </c>
      <c r="C272" s="2">
        <v>41304</v>
      </c>
      <c r="D272" s="1" t="s">
        <v>1994</v>
      </c>
      <c r="E272" s="6">
        <v>1</v>
      </c>
      <c r="F272" s="6" t="str">
        <f t="shared" si="8"/>
        <v>January</v>
      </c>
      <c r="G272" s="6">
        <f t="shared" si="9"/>
        <v>5</v>
      </c>
      <c r="H272" s="1">
        <f>SUMIF('Retal Tran Line Item'!E:E,A272,'Retal Tran Line Item'!B:B)</f>
        <v>11</v>
      </c>
    </row>
    <row r="273" spans="1:8">
      <c r="A273" s="1">
        <v>100271</v>
      </c>
      <c r="B273" s="1">
        <v>166735</v>
      </c>
      <c r="C273" s="2">
        <v>41305</v>
      </c>
      <c r="D273" s="1" t="s">
        <v>1989</v>
      </c>
      <c r="E273" s="6">
        <v>2</v>
      </c>
      <c r="F273" s="6" t="str">
        <f t="shared" si="8"/>
        <v>January</v>
      </c>
      <c r="G273" s="6">
        <f t="shared" si="9"/>
        <v>5</v>
      </c>
      <c r="H273" s="1">
        <f>SUMIF('Retal Tran Line Item'!E:E,A273,'Retal Tran Line Item'!B:B)</f>
        <v>9</v>
      </c>
    </row>
    <row r="274" spans="1:8">
      <c r="A274" s="1">
        <v>100272</v>
      </c>
      <c r="B274" s="1">
        <v>324435</v>
      </c>
      <c r="C274" s="2">
        <v>41305</v>
      </c>
      <c r="D274" s="1" t="s">
        <v>1992</v>
      </c>
      <c r="E274" s="6">
        <v>1</v>
      </c>
      <c r="F274" s="6" t="str">
        <f t="shared" si="8"/>
        <v>January</v>
      </c>
      <c r="G274" s="6">
        <f t="shared" si="9"/>
        <v>5</v>
      </c>
      <c r="H274" s="1">
        <f>SUMIF('Retal Tran Line Item'!E:E,A274,'Retal Tran Line Item'!B:B)</f>
        <v>13</v>
      </c>
    </row>
    <row r="275" spans="1:8">
      <c r="A275" s="1">
        <v>100273</v>
      </c>
      <c r="B275" s="1">
        <v>378374</v>
      </c>
      <c r="C275" s="2">
        <v>41305</v>
      </c>
      <c r="D275" s="1" t="s">
        <v>1994</v>
      </c>
      <c r="E275" s="6">
        <v>1</v>
      </c>
      <c r="F275" s="6" t="str">
        <f t="shared" si="8"/>
        <v>January</v>
      </c>
      <c r="G275" s="6">
        <f t="shared" si="9"/>
        <v>5</v>
      </c>
      <c r="H275" s="1">
        <f>SUMIF('Retal Tran Line Item'!E:E,A275,'Retal Tran Line Item'!B:B)</f>
        <v>10</v>
      </c>
    </row>
    <row r="276" spans="1:8">
      <c r="A276" s="1">
        <v>100274</v>
      </c>
      <c r="B276" s="1">
        <v>454015</v>
      </c>
      <c r="C276" s="2">
        <v>41305</v>
      </c>
      <c r="D276" s="1" t="s">
        <v>1993</v>
      </c>
      <c r="E276" s="6">
        <v>2</v>
      </c>
      <c r="F276" s="6" t="str">
        <f t="shared" si="8"/>
        <v>January</v>
      </c>
      <c r="G276" s="6">
        <f t="shared" si="9"/>
        <v>5</v>
      </c>
      <c r="H276" s="1">
        <f>SUMIF('Retal Tran Line Item'!E:E,A276,'Retal Tran Line Item'!B:B)</f>
        <v>10</v>
      </c>
    </row>
    <row r="277" spans="1:8">
      <c r="A277" s="1">
        <v>100275</v>
      </c>
      <c r="B277" s="1">
        <v>767570</v>
      </c>
      <c r="C277" s="2">
        <v>41306</v>
      </c>
      <c r="D277" s="1" t="s">
        <v>1993</v>
      </c>
      <c r="E277" s="6">
        <v>1</v>
      </c>
      <c r="F277" s="6" t="str">
        <f t="shared" si="8"/>
        <v>February</v>
      </c>
      <c r="G277" s="6">
        <f t="shared" si="9"/>
        <v>5</v>
      </c>
      <c r="H277" s="1">
        <f>SUMIF('Retal Tran Line Item'!E:E,A277,'Retal Tran Line Item'!B:B)</f>
        <v>11</v>
      </c>
    </row>
    <row r="278" spans="1:8">
      <c r="A278" s="1">
        <v>100276</v>
      </c>
      <c r="B278" s="1">
        <v>278809</v>
      </c>
      <c r="C278" s="2">
        <v>41306</v>
      </c>
      <c r="D278" s="1" t="s">
        <v>1993</v>
      </c>
      <c r="E278" s="6">
        <v>2</v>
      </c>
      <c r="F278" s="6" t="str">
        <f t="shared" si="8"/>
        <v>February</v>
      </c>
      <c r="G278" s="6">
        <f t="shared" si="9"/>
        <v>5</v>
      </c>
      <c r="H278" s="1">
        <f>SUMIF('Retal Tran Line Item'!E:E,A278,'Retal Tran Line Item'!B:B)</f>
        <v>1</v>
      </c>
    </row>
    <row r="279" spans="1:8">
      <c r="A279" s="1">
        <v>100277</v>
      </c>
      <c r="B279" s="1">
        <v>245577</v>
      </c>
      <c r="C279" s="2">
        <v>41307</v>
      </c>
      <c r="D279" s="1" t="s">
        <v>1989</v>
      </c>
      <c r="E279" s="6">
        <v>2</v>
      </c>
      <c r="F279" s="6" t="str">
        <f t="shared" si="8"/>
        <v>February</v>
      </c>
      <c r="G279" s="6">
        <f t="shared" si="9"/>
        <v>5</v>
      </c>
      <c r="H279" s="1">
        <f>SUMIF('Retal Tran Line Item'!E:E,A279,'Retal Tran Line Item'!B:B)</f>
        <v>9</v>
      </c>
    </row>
    <row r="280" spans="1:8">
      <c r="A280" s="1">
        <v>100278</v>
      </c>
      <c r="B280" s="1">
        <v>158310</v>
      </c>
      <c r="C280" s="2">
        <v>41307</v>
      </c>
      <c r="D280" s="1" t="s">
        <v>1993</v>
      </c>
      <c r="E280" s="6">
        <v>2</v>
      </c>
      <c r="F280" s="6" t="str">
        <f t="shared" si="8"/>
        <v>February</v>
      </c>
      <c r="G280" s="6">
        <f t="shared" si="9"/>
        <v>5</v>
      </c>
      <c r="H280" s="1">
        <f>SUMIF('Retal Tran Line Item'!E:E,A280,'Retal Tran Line Item'!B:B)</f>
        <v>15</v>
      </c>
    </row>
    <row r="281" spans="1:8">
      <c r="A281" s="1">
        <v>100279</v>
      </c>
      <c r="B281" s="1">
        <v>358901</v>
      </c>
      <c r="C281" s="2">
        <v>41307</v>
      </c>
      <c r="D281" s="1" t="s">
        <v>1989</v>
      </c>
      <c r="E281" s="6">
        <v>2</v>
      </c>
      <c r="F281" s="6" t="str">
        <f t="shared" si="8"/>
        <v>February</v>
      </c>
      <c r="G281" s="6">
        <f t="shared" si="9"/>
        <v>5</v>
      </c>
      <c r="H281" s="1">
        <f>SUMIF('Retal Tran Line Item'!E:E,A281,'Retal Tran Line Item'!B:B)</f>
        <v>15</v>
      </c>
    </row>
    <row r="282" spans="1:8">
      <c r="A282" s="1">
        <v>100280</v>
      </c>
      <c r="B282" s="1">
        <v>841831</v>
      </c>
      <c r="C282" s="2">
        <v>41307</v>
      </c>
      <c r="D282" s="1" t="s">
        <v>1992</v>
      </c>
      <c r="E282" s="6">
        <v>2</v>
      </c>
      <c r="F282" s="6" t="str">
        <f t="shared" si="8"/>
        <v>February</v>
      </c>
      <c r="G282" s="6">
        <f t="shared" si="9"/>
        <v>5</v>
      </c>
      <c r="H282" s="1">
        <f>SUMIF('Retal Tran Line Item'!E:E,A282,'Retal Tran Line Item'!B:B)</f>
        <v>17</v>
      </c>
    </row>
    <row r="283" spans="1:8">
      <c r="A283" s="1">
        <v>100281</v>
      </c>
      <c r="B283" s="1">
        <v>656512</v>
      </c>
      <c r="C283" s="2">
        <v>41307</v>
      </c>
      <c r="D283" s="1" t="s">
        <v>1994</v>
      </c>
      <c r="E283" s="6">
        <v>1</v>
      </c>
      <c r="F283" s="6" t="str">
        <f t="shared" si="8"/>
        <v>February</v>
      </c>
      <c r="G283" s="6">
        <f t="shared" si="9"/>
        <v>5</v>
      </c>
      <c r="H283" s="1">
        <f>SUMIF('Retal Tran Line Item'!E:E,A283,'Retal Tran Line Item'!B:B)</f>
        <v>7</v>
      </c>
    </row>
    <row r="284" spans="1:8">
      <c r="A284" s="1">
        <v>100282</v>
      </c>
      <c r="B284" s="1">
        <v>537860</v>
      </c>
      <c r="C284" s="2">
        <v>41307</v>
      </c>
      <c r="D284" s="1" t="s">
        <v>1989</v>
      </c>
      <c r="E284" s="6">
        <v>2</v>
      </c>
      <c r="F284" s="6" t="str">
        <f t="shared" si="8"/>
        <v>February</v>
      </c>
      <c r="G284" s="6">
        <f t="shared" si="9"/>
        <v>5</v>
      </c>
      <c r="H284" s="1">
        <f>SUMIF('Retal Tran Line Item'!E:E,A284,'Retal Tran Line Item'!B:B)</f>
        <v>4</v>
      </c>
    </row>
    <row r="285" spans="1:8">
      <c r="A285" s="1">
        <v>100283</v>
      </c>
      <c r="B285" s="1">
        <v>739440</v>
      </c>
      <c r="C285" s="2">
        <v>41307</v>
      </c>
      <c r="D285" s="1" t="s">
        <v>1993</v>
      </c>
      <c r="E285" s="6">
        <v>1</v>
      </c>
      <c r="F285" s="6" t="str">
        <f t="shared" si="8"/>
        <v>February</v>
      </c>
      <c r="G285" s="6">
        <f t="shared" si="9"/>
        <v>5</v>
      </c>
      <c r="H285" s="1">
        <f>SUMIF('Retal Tran Line Item'!E:E,A285,'Retal Tran Line Item'!B:B)</f>
        <v>3</v>
      </c>
    </row>
    <row r="286" spans="1:8">
      <c r="A286" s="1">
        <v>100284</v>
      </c>
      <c r="B286" s="1">
        <v>656728</v>
      </c>
      <c r="C286" s="2">
        <v>41308</v>
      </c>
      <c r="D286" s="1" t="s">
        <v>1993</v>
      </c>
      <c r="E286" s="6">
        <v>2</v>
      </c>
      <c r="F286" s="6" t="str">
        <f t="shared" si="8"/>
        <v>February</v>
      </c>
      <c r="G286" s="6">
        <f t="shared" si="9"/>
        <v>6</v>
      </c>
      <c r="H286" s="1">
        <f>SUMIF('Retal Tran Line Item'!E:E,A286,'Retal Tran Line Item'!B:B)</f>
        <v>2</v>
      </c>
    </row>
    <row r="287" spans="1:8">
      <c r="A287" s="1">
        <v>100285</v>
      </c>
      <c r="B287" s="1">
        <v>370870</v>
      </c>
      <c r="C287" s="2">
        <v>41308</v>
      </c>
      <c r="D287" s="1" t="s">
        <v>1993</v>
      </c>
      <c r="E287" s="6">
        <v>2</v>
      </c>
      <c r="F287" s="6" t="str">
        <f t="shared" si="8"/>
        <v>February</v>
      </c>
      <c r="G287" s="6">
        <f t="shared" si="9"/>
        <v>6</v>
      </c>
      <c r="H287" s="1">
        <f>SUMIF('Retal Tran Line Item'!E:E,A287,'Retal Tran Line Item'!B:B)</f>
        <v>6</v>
      </c>
    </row>
    <row r="288" spans="1:8">
      <c r="A288" s="1">
        <v>100286</v>
      </c>
      <c r="B288" s="1">
        <v>566192</v>
      </c>
      <c r="C288" s="2">
        <v>41309</v>
      </c>
      <c r="D288" s="1" t="s">
        <v>1992</v>
      </c>
      <c r="E288" s="6">
        <v>1</v>
      </c>
      <c r="F288" s="6" t="str">
        <f t="shared" si="8"/>
        <v>February</v>
      </c>
      <c r="G288" s="6">
        <f t="shared" si="9"/>
        <v>6</v>
      </c>
      <c r="H288" s="1">
        <f>SUMIF('Retal Tran Line Item'!E:E,A288,'Retal Tran Line Item'!B:B)</f>
        <v>8</v>
      </c>
    </row>
    <row r="289" spans="1:8">
      <c r="A289" s="1">
        <v>100287</v>
      </c>
      <c r="B289" s="1">
        <v>405322</v>
      </c>
      <c r="C289" s="2">
        <v>41309</v>
      </c>
      <c r="D289" s="1" t="s">
        <v>1992</v>
      </c>
      <c r="E289" s="6">
        <v>1</v>
      </c>
      <c r="F289" s="6" t="str">
        <f t="shared" si="8"/>
        <v>February</v>
      </c>
      <c r="G289" s="6">
        <f t="shared" si="9"/>
        <v>6</v>
      </c>
      <c r="H289" s="1">
        <f>SUMIF('Retal Tran Line Item'!E:E,A289,'Retal Tran Line Item'!B:B)</f>
        <v>1</v>
      </c>
    </row>
    <row r="290" spans="1:8">
      <c r="A290" s="1">
        <v>100288</v>
      </c>
      <c r="B290" s="1">
        <v>791559</v>
      </c>
      <c r="C290" s="2">
        <v>41309</v>
      </c>
      <c r="D290" s="1" t="s">
        <v>1989</v>
      </c>
      <c r="E290" s="6">
        <v>1</v>
      </c>
      <c r="F290" s="6" t="str">
        <f t="shared" si="8"/>
        <v>February</v>
      </c>
      <c r="G290" s="6">
        <f t="shared" si="9"/>
        <v>6</v>
      </c>
      <c r="H290" s="1">
        <f>SUMIF('Retal Tran Line Item'!E:E,A290,'Retal Tran Line Item'!B:B)</f>
        <v>2</v>
      </c>
    </row>
    <row r="291" spans="1:8">
      <c r="A291" s="1">
        <v>100289</v>
      </c>
      <c r="B291" s="1">
        <v>292402</v>
      </c>
      <c r="C291" s="2">
        <v>41309</v>
      </c>
      <c r="D291" s="1" t="s">
        <v>1994</v>
      </c>
      <c r="E291" s="6">
        <v>2</v>
      </c>
      <c r="F291" s="6" t="str">
        <f t="shared" si="8"/>
        <v>February</v>
      </c>
      <c r="G291" s="6">
        <f t="shared" si="9"/>
        <v>6</v>
      </c>
      <c r="H291" s="1">
        <f>SUMIF('Retal Tran Line Item'!E:E,A291,'Retal Tran Line Item'!B:B)</f>
        <v>19</v>
      </c>
    </row>
    <row r="292" spans="1:8">
      <c r="A292" s="1">
        <v>100290</v>
      </c>
      <c r="B292" s="1">
        <v>154427</v>
      </c>
      <c r="C292" s="2">
        <v>41309</v>
      </c>
      <c r="D292" s="1" t="s">
        <v>1993</v>
      </c>
      <c r="E292" s="6">
        <v>1</v>
      </c>
      <c r="F292" s="6" t="str">
        <f t="shared" si="8"/>
        <v>February</v>
      </c>
      <c r="G292" s="6">
        <f t="shared" si="9"/>
        <v>6</v>
      </c>
      <c r="H292" s="1">
        <f>SUMIF('Retal Tran Line Item'!E:E,A292,'Retal Tran Line Item'!B:B)</f>
        <v>9</v>
      </c>
    </row>
    <row r="293" spans="1:8">
      <c r="A293" s="1">
        <v>100291</v>
      </c>
      <c r="B293" s="1">
        <v>757780</v>
      </c>
      <c r="C293" s="2">
        <v>41309</v>
      </c>
      <c r="D293" s="1" t="s">
        <v>1993</v>
      </c>
      <c r="E293" s="6">
        <v>1</v>
      </c>
      <c r="F293" s="6" t="str">
        <f t="shared" si="8"/>
        <v>February</v>
      </c>
      <c r="G293" s="6">
        <f t="shared" si="9"/>
        <v>6</v>
      </c>
      <c r="H293" s="1">
        <f>SUMIF('Retal Tran Line Item'!E:E,A293,'Retal Tran Line Item'!B:B)</f>
        <v>13</v>
      </c>
    </row>
    <row r="294" spans="1:8">
      <c r="A294" s="1">
        <v>100292</v>
      </c>
      <c r="B294" s="1">
        <v>386950</v>
      </c>
      <c r="C294" s="2">
        <v>41309</v>
      </c>
      <c r="D294" s="1" t="s">
        <v>1992</v>
      </c>
      <c r="E294" s="6">
        <v>2</v>
      </c>
      <c r="F294" s="6" t="str">
        <f t="shared" si="8"/>
        <v>February</v>
      </c>
      <c r="G294" s="6">
        <f t="shared" si="9"/>
        <v>6</v>
      </c>
      <c r="H294" s="1">
        <f>SUMIF('Retal Tran Line Item'!E:E,A294,'Retal Tran Line Item'!B:B)</f>
        <v>5</v>
      </c>
    </row>
    <row r="295" spans="1:8">
      <c r="A295" s="1">
        <v>100293</v>
      </c>
      <c r="B295" s="1">
        <v>534481</v>
      </c>
      <c r="C295" s="2">
        <v>41310</v>
      </c>
      <c r="D295" s="1" t="s">
        <v>1993</v>
      </c>
      <c r="E295" s="6">
        <v>1</v>
      </c>
      <c r="F295" s="6" t="str">
        <f t="shared" si="8"/>
        <v>February</v>
      </c>
      <c r="G295" s="6">
        <f t="shared" si="9"/>
        <v>6</v>
      </c>
      <c r="H295" s="1">
        <f>SUMIF('Retal Tran Line Item'!E:E,A295,'Retal Tran Line Item'!B:B)</f>
        <v>9</v>
      </c>
    </row>
    <row r="296" spans="1:8">
      <c r="A296" s="1">
        <v>100294</v>
      </c>
      <c r="B296" s="1">
        <v>707458</v>
      </c>
      <c r="C296" s="2">
        <v>41310</v>
      </c>
      <c r="D296" s="1" t="s">
        <v>1993</v>
      </c>
      <c r="E296" s="6">
        <v>2</v>
      </c>
      <c r="F296" s="6" t="str">
        <f t="shared" si="8"/>
        <v>February</v>
      </c>
      <c r="G296" s="6">
        <f t="shared" si="9"/>
        <v>6</v>
      </c>
      <c r="H296" s="1">
        <f>SUMIF('Retal Tran Line Item'!E:E,A296,'Retal Tran Line Item'!B:B)</f>
        <v>6</v>
      </c>
    </row>
    <row r="297" spans="1:8">
      <c r="A297" s="1">
        <v>100295</v>
      </c>
      <c r="B297" s="1">
        <v>815980</v>
      </c>
      <c r="C297" s="2">
        <v>41310</v>
      </c>
      <c r="D297" s="1" t="s">
        <v>1992</v>
      </c>
      <c r="E297" s="6">
        <v>1</v>
      </c>
      <c r="F297" s="6" t="str">
        <f t="shared" si="8"/>
        <v>February</v>
      </c>
      <c r="G297" s="6">
        <f t="shared" si="9"/>
        <v>6</v>
      </c>
      <c r="H297" s="1">
        <f>SUMIF('Retal Tran Line Item'!E:E,A297,'Retal Tran Line Item'!B:B)</f>
        <v>7</v>
      </c>
    </row>
    <row r="298" spans="1:8">
      <c r="A298" s="1">
        <v>100296</v>
      </c>
      <c r="B298" s="1">
        <v>500733</v>
      </c>
      <c r="C298" s="2">
        <v>41310</v>
      </c>
      <c r="D298" s="1" t="s">
        <v>1994</v>
      </c>
      <c r="E298" s="6">
        <v>1</v>
      </c>
      <c r="F298" s="6" t="str">
        <f t="shared" si="8"/>
        <v>February</v>
      </c>
      <c r="G298" s="6">
        <f t="shared" si="9"/>
        <v>6</v>
      </c>
      <c r="H298" s="1">
        <f>SUMIF('Retal Tran Line Item'!E:E,A298,'Retal Tran Line Item'!B:B)</f>
        <v>7</v>
      </c>
    </row>
    <row r="299" spans="1:8">
      <c r="A299" s="1">
        <v>100297</v>
      </c>
      <c r="B299" s="1">
        <v>229742</v>
      </c>
      <c r="C299" s="2">
        <v>41311</v>
      </c>
      <c r="D299" s="1" t="s">
        <v>1994</v>
      </c>
      <c r="E299" s="6">
        <v>2</v>
      </c>
      <c r="F299" s="6" t="str">
        <f t="shared" si="8"/>
        <v>February</v>
      </c>
      <c r="G299" s="6">
        <f t="shared" si="9"/>
        <v>6</v>
      </c>
      <c r="H299" s="1">
        <f>SUMIF('Retal Tran Line Item'!E:E,A299,'Retal Tran Line Item'!B:B)</f>
        <v>6</v>
      </c>
    </row>
    <row r="300" spans="1:8">
      <c r="A300" s="1">
        <v>100298</v>
      </c>
      <c r="B300" s="1">
        <v>746134</v>
      </c>
      <c r="C300" s="2">
        <v>41311</v>
      </c>
      <c r="D300" s="1" t="s">
        <v>1994</v>
      </c>
      <c r="E300" s="6">
        <v>1</v>
      </c>
      <c r="F300" s="6" t="str">
        <f t="shared" si="8"/>
        <v>February</v>
      </c>
      <c r="G300" s="6">
        <f t="shared" si="9"/>
        <v>6</v>
      </c>
      <c r="H300" s="1">
        <f>SUMIF('Retal Tran Line Item'!E:E,A300,'Retal Tran Line Item'!B:B)</f>
        <v>8</v>
      </c>
    </row>
    <row r="301" spans="1:8">
      <c r="A301" s="1">
        <v>100299</v>
      </c>
      <c r="B301" s="1">
        <v>929344</v>
      </c>
      <c r="C301" s="2">
        <v>41311</v>
      </c>
      <c r="D301" s="1" t="s">
        <v>1992</v>
      </c>
      <c r="E301" s="6">
        <v>1</v>
      </c>
      <c r="F301" s="6" t="str">
        <f t="shared" si="8"/>
        <v>February</v>
      </c>
      <c r="G301" s="6">
        <f t="shared" si="9"/>
        <v>6</v>
      </c>
      <c r="H301" s="1">
        <f>SUMIF('Retal Tran Line Item'!E:E,A301,'Retal Tran Line Item'!B:B)</f>
        <v>10</v>
      </c>
    </row>
    <row r="302" spans="1:8">
      <c r="A302" s="1">
        <v>100300</v>
      </c>
      <c r="B302" s="1">
        <v>567388</v>
      </c>
      <c r="C302" s="2">
        <v>41311</v>
      </c>
      <c r="D302" s="1" t="s">
        <v>1993</v>
      </c>
      <c r="E302" s="6">
        <v>2</v>
      </c>
      <c r="F302" s="6" t="str">
        <f t="shared" si="8"/>
        <v>February</v>
      </c>
      <c r="G302" s="6">
        <f t="shared" si="9"/>
        <v>6</v>
      </c>
      <c r="H302" s="1">
        <f>SUMIF('Retal Tran Line Item'!E:E,A302,'Retal Tran Line Item'!B:B)</f>
        <v>2</v>
      </c>
    </row>
    <row r="303" spans="1:8">
      <c r="A303" s="1">
        <v>100301</v>
      </c>
      <c r="B303" s="1">
        <v>743517</v>
      </c>
      <c r="C303" s="2">
        <v>41312</v>
      </c>
      <c r="D303" s="1" t="s">
        <v>1994</v>
      </c>
      <c r="E303" s="6">
        <v>2</v>
      </c>
      <c r="F303" s="6" t="str">
        <f t="shared" si="8"/>
        <v>February</v>
      </c>
      <c r="G303" s="6">
        <f t="shared" si="9"/>
        <v>6</v>
      </c>
      <c r="H303" s="1">
        <f>SUMIF('Retal Tran Line Item'!E:E,A303,'Retal Tran Line Item'!B:B)</f>
        <v>10</v>
      </c>
    </row>
    <row r="304" spans="1:8">
      <c r="A304" s="1">
        <v>100302</v>
      </c>
      <c r="B304" s="1">
        <v>454015</v>
      </c>
      <c r="C304" s="2">
        <v>41313</v>
      </c>
      <c r="D304" s="1" t="s">
        <v>1993</v>
      </c>
      <c r="E304" s="6">
        <v>2</v>
      </c>
      <c r="F304" s="6" t="str">
        <f t="shared" si="8"/>
        <v>February</v>
      </c>
      <c r="G304" s="6">
        <f t="shared" si="9"/>
        <v>6</v>
      </c>
      <c r="H304" s="1">
        <f>SUMIF('Retal Tran Line Item'!E:E,A304,'Retal Tran Line Item'!B:B)</f>
        <v>1</v>
      </c>
    </row>
    <row r="305" spans="1:8">
      <c r="A305" s="1">
        <v>100303</v>
      </c>
      <c r="B305" s="1">
        <v>149240</v>
      </c>
      <c r="C305" s="2">
        <v>41313</v>
      </c>
      <c r="D305" s="1" t="s">
        <v>1992</v>
      </c>
      <c r="E305" s="6">
        <v>1</v>
      </c>
      <c r="F305" s="6" t="str">
        <f t="shared" si="8"/>
        <v>February</v>
      </c>
      <c r="G305" s="6">
        <f t="shared" si="9"/>
        <v>6</v>
      </c>
      <c r="H305" s="1">
        <f>SUMIF('Retal Tran Line Item'!E:E,A305,'Retal Tran Line Item'!B:B)</f>
        <v>32</v>
      </c>
    </row>
    <row r="306" spans="1:8">
      <c r="A306" s="1">
        <v>100304</v>
      </c>
      <c r="B306" s="1">
        <v>109251</v>
      </c>
      <c r="C306" s="2">
        <v>41313</v>
      </c>
      <c r="D306" s="1" t="s">
        <v>1993</v>
      </c>
      <c r="E306" s="6">
        <v>1</v>
      </c>
      <c r="F306" s="6" t="str">
        <f t="shared" si="8"/>
        <v>February</v>
      </c>
      <c r="G306" s="6">
        <f t="shared" si="9"/>
        <v>6</v>
      </c>
      <c r="H306" s="1">
        <f>SUMIF('Retal Tran Line Item'!E:E,A306,'Retal Tran Line Item'!B:B)</f>
        <v>6</v>
      </c>
    </row>
    <row r="307" spans="1:8">
      <c r="A307" s="1">
        <v>100305</v>
      </c>
      <c r="B307" s="1">
        <v>162236</v>
      </c>
      <c r="C307" s="2">
        <v>41314</v>
      </c>
      <c r="D307" s="1" t="s">
        <v>1992</v>
      </c>
      <c r="E307" s="6">
        <v>1</v>
      </c>
      <c r="F307" s="6" t="str">
        <f t="shared" si="8"/>
        <v>February</v>
      </c>
      <c r="G307" s="6">
        <f t="shared" si="9"/>
        <v>6</v>
      </c>
      <c r="H307" s="1">
        <f>SUMIF('Retal Tran Line Item'!E:E,A307,'Retal Tran Line Item'!B:B)</f>
        <v>2</v>
      </c>
    </row>
    <row r="308" spans="1:8">
      <c r="A308" s="1">
        <v>100306</v>
      </c>
      <c r="B308" s="1">
        <v>149240</v>
      </c>
      <c r="C308" s="2">
        <v>41314</v>
      </c>
      <c r="D308" s="1" t="s">
        <v>1992</v>
      </c>
      <c r="E308" s="6">
        <v>1</v>
      </c>
      <c r="F308" s="6" t="str">
        <f t="shared" si="8"/>
        <v>February</v>
      </c>
      <c r="G308" s="6">
        <f t="shared" si="9"/>
        <v>6</v>
      </c>
      <c r="H308" s="1">
        <f>SUMIF('Retal Tran Line Item'!E:E,A308,'Retal Tran Line Item'!B:B)</f>
        <v>5</v>
      </c>
    </row>
    <row r="309" spans="1:8">
      <c r="A309" s="1">
        <v>100307</v>
      </c>
      <c r="B309" s="1">
        <v>776775</v>
      </c>
      <c r="C309" s="2">
        <v>41314</v>
      </c>
      <c r="D309" s="1" t="s">
        <v>1992</v>
      </c>
      <c r="E309" s="6">
        <v>2</v>
      </c>
      <c r="F309" s="6" t="str">
        <f t="shared" si="8"/>
        <v>February</v>
      </c>
      <c r="G309" s="6">
        <f t="shared" si="9"/>
        <v>6</v>
      </c>
      <c r="H309" s="1">
        <f>SUMIF('Retal Tran Line Item'!E:E,A309,'Retal Tran Line Item'!B:B)</f>
        <v>16</v>
      </c>
    </row>
    <row r="310" spans="1:8">
      <c r="A310" s="1">
        <v>100308</v>
      </c>
      <c r="B310" s="1">
        <v>649551</v>
      </c>
      <c r="C310" s="2">
        <v>41314</v>
      </c>
      <c r="D310" s="1" t="s">
        <v>1993</v>
      </c>
      <c r="E310" s="6">
        <v>1</v>
      </c>
      <c r="F310" s="6" t="str">
        <f t="shared" si="8"/>
        <v>February</v>
      </c>
      <c r="G310" s="6">
        <f t="shared" si="9"/>
        <v>6</v>
      </c>
      <c r="H310" s="1">
        <f>SUMIF('Retal Tran Line Item'!E:E,A310,'Retal Tran Line Item'!B:B)</f>
        <v>3</v>
      </c>
    </row>
    <row r="311" spans="1:8">
      <c r="A311" s="1">
        <v>100309</v>
      </c>
      <c r="B311" s="1">
        <v>199895</v>
      </c>
      <c r="C311" s="2">
        <v>41315</v>
      </c>
      <c r="D311" s="1" t="s">
        <v>1989</v>
      </c>
      <c r="E311" s="6">
        <v>1</v>
      </c>
      <c r="F311" s="6" t="str">
        <f t="shared" si="8"/>
        <v>February</v>
      </c>
      <c r="G311" s="6">
        <f t="shared" si="9"/>
        <v>7</v>
      </c>
      <c r="H311" s="1">
        <f>SUMIF('Retal Tran Line Item'!E:E,A311,'Retal Tran Line Item'!B:B)</f>
        <v>12</v>
      </c>
    </row>
    <row r="312" spans="1:8">
      <c r="A312" s="1">
        <v>100310</v>
      </c>
      <c r="B312" s="1">
        <v>161942</v>
      </c>
      <c r="C312" s="2">
        <v>41315</v>
      </c>
      <c r="D312" s="1" t="s">
        <v>1993</v>
      </c>
      <c r="E312" s="6">
        <v>1</v>
      </c>
      <c r="F312" s="6" t="str">
        <f t="shared" si="8"/>
        <v>February</v>
      </c>
      <c r="G312" s="6">
        <f t="shared" si="9"/>
        <v>7</v>
      </c>
      <c r="H312" s="1">
        <f>SUMIF('Retal Tran Line Item'!E:E,A312,'Retal Tran Line Item'!B:B)</f>
        <v>13</v>
      </c>
    </row>
    <row r="313" spans="1:8">
      <c r="A313" s="1">
        <v>100311</v>
      </c>
      <c r="B313" s="1">
        <v>513968</v>
      </c>
      <c r="C313" s="2">
        <v>41315</v>
      </c>
      <c r="D313" s="1" t="s">
        <v>1994</v>
      </c>
      <c r="E313" s="6">
        <v>1</v>
      </c>
      <c r="F313" s="6" t="str">
        <f t="shared" si="8"/>
        <v>February</v>
      </c>
      <c r="G313" s="6">
        <f t="shared" si="9"/>
        <v>7</v>
      </c>
      <c r="H313" s="1">
        <f>SUMIF('Retal Tran Line Item'!E:E,A313,'Retal Tran Line Item'!B:B)</f>
        <v>3</v>
      </c>
    </row>
    <row r="314" spans="1:8">
      <c r="A314" s="1">
        <v>100312</v>
      </c>
      <c r="B314" s="1">
        <v>994199</v>
      </c>
      <c r="C314" s="2">
        <v>41315</v>
      </c>
      <c r="D314" s="1" t="s">
        <v>1992</v>
      </c>
      <c r="E314" s="6">
        <v>2</v>
      </c>
      <c r="F314" s="6" t="str">
        <f t="shared" si="8"/>
        <v>February</v>
      </c>
      <c r="G314" s="6">
        <f t="shared" si="9"/>
        <v>7</v>
      </c>
      <c r="H314" s="1">
        <f>SUMIF('Retal Tran Line Item'!E:E,A314,'Retal Tran Line Item'!B:B)</f>
        <v>13</v>
      </c>
    </row>
    <row r="315" spans="1:8">
      <c r="A315" s="1">
        <v>100313</v>
      </c>
      <c r="B315" s="1">
        <v>734624</v>
      </c>
      <c r="C315" s="2">
        <v>41316</v>
      </c>
      <c r="D315" s="1" t="s">
        <v>1994</v>
      </c>
      <c r="E315" s="6">
        <v>1</v>
      </c>
      <c r="F315" s="6" t="str">
        <f t="shared" si="8"/>
        <v>February</v>
      </c>
      <c r="G315" s="6">
        <f t="shared" si="9"/>
        <v>7</v>
      </c>
      <c r="H315" s="1">
        <f>SUMIF('Retal Tran Line Item'!E:E,A315,'Retal Tran Line Item'!B:B)</f>
        <v>6</v>
      </c>
    </row>
    <row r="316" spans="1:8">
      <c r="A316" s="1">
        <v>100314</v>
      </c>
      <c r="B316" s="1">
        <v>592726</v>
      </c>
      <c r="C316" s="2">
        <v>41316</v>
      </c>
      <c r="D316" s="1" t="s">
        <v>1993</v>
      </c>
      <c r="E316" s="6">
        <v>2</v>
      </c>
      <c r="F316" s="6" t="str">
        <f t="shared" si="8"/>
        <v>February</v>
      </c>
      <c r="G316" s="6">
        <f t="shared" si="9"/>
        <v>7</v>
      </c>
      <c r="H316" s="1">
        <f>SUMIF('Retal Tran Line Item'!E:E,A316,'Retal Tran Line Item'!B:B)</f>
        <v>5</v>
      </c>
    </row>
    <row r="317" spans="1:8">
      <c r="A317" s="1">
        <v>100315</v>
      </c>
      <c r="B317" s="1">
        <v>189953</v>
      </c>
      <c r="C317" s="2">
        <v>41317</v>
      </c>
      <c r="D317" s="1" t="s">
        <v>1992</v>
      </c>
      <c r="E317" s="6">
        <v>1</v>
      </c>
      <c r="F317" s="6" t="str">
        <f t="shared" si="8"/>
        <v>February</v>
      </c>
      <c r="G317" s="6">
        <f t="shared" si="9"/>
        <v>7</v>
      </c>
      <c r="H317" s="1">
        <f>SUMIF('Retal Tran Line Item'!E:E,A317,'Retal Tran Line Item'!B:B)</f>
        <v>6</v>
      </c>
    </row>
    <row r="318" spans="1:8">
      <c r="A318" s="1">
        <v>100316</v>
      </c>
      <c r="B318" s="1">
        <v>480298</v>
      </c>
      <c r="C318" s="2">
        <v>41317</v>
      </c>
      <c r="D318" s="1" t="s">
        <v>1993</v>
      </c>
      <c r="E318" s="6">
        <v>2</v>
      </c>
      <c r="F318" s="6" t="str">
        <f t="shared" si="8"/>
        <v>February</v>
      </c>
      <c r="G318" s="6">
        <f t="shared" si="9"/>
        <v>7</v>
      </c>
      <c r="H318" s="1">
        <f>SUMIF('Retal Tran Line Item'!E:E,A318,'Retal Tran Line Item'!B:B)</f>
        <v>13</v>
      </c>
    </row>
    <row r="319" spans="1:8">
      <c r="A319" s="1">
        <v>100317</v>
      </c>
      <c r="B319" s="1">
        <v>767570</v>
      </c>
      <c r="C319" s="2">
        <v>41317</v>
      </c>
      <c r="D319" s="1" t="s">
        <v>1993</v>
      </c>
      <c r="E319" s="6">
        <v>2</v>
      </c>
      <c r="F319" s="6" t="str">
        <f t="shared" si="8"/>
        <v>February</v>
      </c>
      <c r="G319" s="6">
        <f t="shared" si="9"/>
        <v>7</v>
      </c>
      <c r="H319" s="1">
        <f>SUMIF('Retal Tran Line Item'!E:E,A319,'Retal Tran Line Item'!B:B)</f>
        <v>11</v>
      </c>
    </row>
    <row r="320" spans="1:8">
      <c r="A320" s="1">
        <v>100318</v>
      </c>
      <c r="B320" s="1">
        <v>308662</v>
      </c>
      <c r="C320" s="2">
        <v>41318</v>
      </c>
      <c r="D320" s="1" t="s">
        <v>1989</v>
      </c>
      <c r="E320" s="6">
        <v>2</v>
      </c>
      <c r="F320" s="6" t="str">
        <f t="shared" si="8"/>
        <v>February</v>
      </c>
      <c r="G320" s="6">
        <f t="shared" si="9"/>
        <v>7</v>
      </c>
      <c r="H320" s="1">
        <f>SUMIF('Retal Tran Line Item'!E:E,A320,'Retal Tran Line Item'!B:B)</f>
        <v>13</v>
      </c>
    </row>
    <row r="321" spans="1:8">
      <c r="A321" s="1">
        <v>100319</v>
      </c>
      <c r="B321" s="1">
        <v>643214</v>
      </c>
      <c r="C321" s="2">
        <v>41318</v>
      </c>
      <c r="D321" s="1" t="s">
        <v>1989</v>
      </c>
      <c r="E321" s="6">
        <v>2</v>
      </c>
      <c r="F321" s="6" t="str">
        <f t="shared" si="8"/>
        <v>February</v>
      </c>
      <c r="G321" s="6">
        <f t="shared" si="9"/>
        <v>7</v>
      </c>
      <c r="H321" s="1">
        <f>SUMIF('Retal Tran Line Item'!E:E,A321,'Retal Tran Line Item'!B:B)</f>
        <v>26</v>
      </c>
    </row>
    <row r="322" spans="1:8">
      <c r="A322" s="1">
        <v>100320</v>
      </c>
      <c r="B322" s="1">
        <v>973766</v>
      </c>
      <c r="C322" s="2">
        <v>41319</v>
      </c>
      <c r="D322" s="1" t="s">
        <v>1989</v>
      </c>
      <c r="E322" s="6">
        <v>2</v>
      </c>
      <c r="F322" s="6" t="str">
        <f t="shared" si="8"/>
        <v>February</v>
      </c>
      <c r="G322" s="6">
        <f t="shared" si="9"/>
        <v>7</v>
      </c>
      <c r="H322" s="1">
        <f>SUMIF('Retal Tran Line Item'!E:E,A322,'Retal Tran Line Item'!B:B)</f>
        <v>5</v>
      </c>
    </row>
    <row r="323" spans="1:8">
      <c r="A323" s="1">
        <v>100321</v>
      </c>
      <c r="B323" s="1">
        <v>808421</v>
      </c>
      <c r="C323" s="2">
        <v>41319</v>
      </c>
      <c r="D323" s="1" t="s">
        <v>1989</v>
      </c>
      <c r="E323" s="6">
        <v>2</v>
      </c>
      <c r="F323" s="6" t="str">
        <f t="shared" ref="F323:F386" si="10">TEXT(C323,"MMMM")</f>
        <v>February</v>
      </c>
      <c r="G323" s="6">
        <f t="shared" ref="G323:G386" si="11">WEEKNUM(C323)</f>
        <v>7</v>
      </c>
      <c r="H323" s="1">
        <f>SUMIF('Retal Tran Line Item'!E:E,A323,'Retal Tran Line Item'!B:B)</f>
        <v>8</v>
      </c>
    </row>
    <row r="324" spans="1:8">
      <c r="A324" s="1">
        <v>100322</v>
      </c>
      <c r="B324" s="1">
        <v>756769</v>
      </c>
      <c r="C324" s="2">
        <v>41319</v>
      </c>
      <c r="D324" s="1" t="s">
        <v>1989</v>
      </c>
      <c r="E324" s="6">
        <v>1</v>
      </c>
      <c r="F324" s="6" t="str">
        <f t="shared" si="10"/>
        <v>February</v>
      </c>
      <c r="G324" s="6">
        <f t="shared" si="11"/>
        <v>7</v>
      </c>
      <c r="H324" s="1">
        <f>SUMIF('Retal Tran Line Item'!E:E,A324,'Retal Tran Line Item'!B:B)</f>
        <v>5</v>
      </c>
    </row>
    <row r="325" spans="1:8">
      <c r="A325" s="1">
        <v>100323</v>
      </c>
      <c r="B325" s="1">
        <v>556619</v>
      </c>
      <c r="C325" s="2">
        <v>41319</v>
      </c>
      <c r="D325" s="1" t="s">
        <v>1992</v>
      </c>
      <c r="E325" s="6">
        <v>1</v>
      </c>
      <c r="F325" s="6" t="str">
        <f t="shared" si="10"/>
        <v>February</v>
      </c>
      <c r="G325" s="6">
        <f t="shared" si="11"/>
        <v>7</v>
      </c>
      <c r="H325" s="1">
        <f>SUMIF('Retal Tran Line Item'!E:E,A325,'Retal Tran Line Item'!B:B)</f>
        <v>4</v>
      </c>
    </row>
    <row r="326" spans="1:8">
      <c r="A326" s="1">
        <v>100324</v>
      </c>
      <c r="B326" s="1">
        <v>921792</v>
      </c>
      <c r="C326" s="2">
        <v>41320</v>
      </c>
      <c r="D326" s="1" t="s">
        <v>1992</v>
      </c>
      <c r="E326" s="6">
        <v>2</v>
      </c>
      <c r="F326" s="6" t="str">
        <f t="shared" si="10"/>
        <v>February</v>
      </c>
      <c r="G326" s="6">
        <f t="shared" si="11"/>
        <v>7</v>
      </c>
      <c r="H326" s="1">
        <f>SUMIF('Retal Tran Line Item'!E:E,A326,'Retal Tran Line Item'!B:B)</f>
        <v>15</v>
      </c>
    </row>
    <row r="327" spans="1:8">
      <c r="A327" s="1">
        <v>100325</v>
      </c>
      <c r="B327" s="1">
        <v>866556</v>
      </c>
      <c r="C327" s="2">
        <v>41320</v>
      </c>
      <c r="D327" s="1" t="s">
        <v>1993</v>
      </c>
      <c r="E327" s="6">
        <v>2</v>
      </c>
      <c r="F327" s="6" t="str">
        <f t="shared" si="10"/>
        <v>February</v>
      </c>
      <c r="G327" s="6">
        <f t="shared" si="11"/>
        <v>7</v>
      </c>
      <c r="H327" s="1">
        <f>SUMIF('Retal Tran Line Item'!E:E,A327,'Retal Tran Line Item'!B:B)</f>
        <v>5</v>
      </c>
    </row>
    <row r="328" spans="1:8">
      <c r="A328" s="1">
        <v>100326</v>
      </c>
      <c r="B328" s="1">
        <v>884368</v>
      </c>
      <c r="C328" s="2">
        <v>41320</v>
      </c>
      <c r="D328" s="1" t="s">
        <v>1993</v>
      </c>
      <c r="E328" s="6">
        <v>2</v>
      </c>
      <c r="F328" s="6" t="str">
        <f t="shared" si="10"/>
        <v>February</v>
      </c>
      <c r="G328" s="6">
        <f t="shared" si="11"/>
        <v>7</v>
      </c>
      <c r="H328" s="1">
        <f>SUMIF('Retal Tran Line Item'!E:E,A328,'Retal Tran Line Item'!B:B)</f>
        <v>6</v>
      </c>
    </row>
    <row r="329" spans="1:8">
      <c r="A329" s="1">
        <v>100327</v>
      </c>
      <c r="B329" s="1">
        <v>559054</v>
      </c>
      <c r="C329" s="2">
        <v>41320</v>
      </c>
      <c r="D329" s="1" t="s">
        <v>1994</v>
      </c>
      <c r="E329" s="6">
        <v>1</v>
      </c>
      <c r="F329" s="6" t="str">
        <f t="shared" si="10"/>
        <v>February</v>
      </c>
      <c r="G329" s="6">
        <f t="shared" si="11"/>
        <v>7</v>
      </c>
      <c r="H329" s="1">
        <f>SUMIF('Retal Tran Line Item'!E:E,A329,'Retal Tran Line Item'!B:B)</f>
        <v>4</v>
      </c>
    </row>
    <row r="330" spans="1:8">
      <c r="A330" s="1">
        <v>100328</v>
      </c>
      <c r="B330" s="1">
        <v>218889</v>
      </c>
      <c r="C330" s="2">
        <v>41320</v>
      </c>
      <c r="D330" s="1" t="s">
        <v>1992</v>
      </c>
      <c r="E330" s="6">
        <v>1</v>
      </c>
      <c r="F330" s="6" t="str">
        <f t="shared" si="10"/>
        <v>February</v>
      </c>
      <c r="G330" s="6">
        <f t="shared" si="11"/>
        <v>7</v>
      </c>
      <c r="H330" s="1">
        <f>SUMIF('Retal Tran Line Item'!E:E,A330,'Retal Tran Line Item'!B:B)</f>
        <v>8</v>
      </c>
    </row>
    <row r="331" spans="1:8">
      <c r="A331" s="1">
        <v>100329</v>
      </c>
      <c r="B331" s="1">
        <v>864896</v>
      </c>
      <c r="C331" s="2">
        <v>41321</v>
      </c>
      <c r="D331" s="1" t="s">
        <v>1989</v>
      </c>
      <c r="E331" s="6">
        <v>2</v>
      </c>
      <c r="F331" s="6" t="str">
        <f t="shared" si="10"/>
        <v>February</v>
      </c>
      <c r="G331" s="6">
        <f t="shared" si="11"/>
        <v>7</v>
      </c>
      <c r="H331" s="1">
        <f>SUMIF('Retal Tran Line Item'!E:E,A331,'Retal Tran Line Item'!B:B)</f>
        <v>17</v>
      </c>
    </row>
    <row r="332" spans="1:8">
      <c r="A332" s="1">
        <v>100330</v>
      </c>
      <c r="B332" s="1">
        <v>378374</v>
      </c>
      <c r="C332" s="2">
        <v>41321</v>
      </c>
      <c r="D332" s="1" t="s">
        <v>1994</v>
      </c>
      <c r="E332" s="6">
        <v>1</v>
      </c>
      <c r="F332" s="6" t="str">
        <f t="shared" si="10"/>
        <v>February</v>
      </c>
      <c r="G332" s="6">
        <f t="shared" si="11"/>
        <v>7</v>
      </c>
      <c r="H332" s="1">
        <f>SUMIF('Retal Tran Line Item'!E:E,A332,'Retal Tran Line Item'!B:B)</f>
        <v>8</v>
      </c>
    </row>
    <row r="333" spans="1:8">
      <c r="A333" s="1">
        <v>100331</v>
      </c>
      <c r="B333" s="1">
        <v>950299</v>
      </c>
      <c r="C333" s="2">
        <v>41321</v>
      </c>
      <c r="D333" s="1" t="s">
        <v>1992</v>
      </c>
      <c r="E333" s="6">
        <v>2</v>
      </c>
      <c r="F333" s="6" t="str">
        <f t="shared" si="10"/>
        <v>February</v>
      </c>
      <c r="G333" s="6">
        <f t="shared" si="11"/>
        <v>7</v>
      </c>
      <c r="H333" s="1">
        <f>SUMIF('Retal Tran Line Item'!E:E,A333,'Retal Tran Line Item'!B:B)</f>
        <v>2</v>
      </c>
    </row>
    <row r="334" spans="1:8">
      <c r="A334" s="1">
        <v>100332</v>
      </c>
      <c r="B334" s="1">
        <v>701816</v>
      </c>
      <c r="C334" s="2">
        <v>41322</v>
      </c>
      <c r="D334" s="1" t="s">
        <v>1993</v>
      </c>
      <c r="E334" s="6">
        <v>1</v>
      </c>
      <c r="F334" s="6" t="str">
        <f t="shared" si="10"/>
        <v>February</v>
      </c>
      <c r="G334" s="6">
        <f t="shared" si="11"/>
        <v>8</v>
      </c>
      <c r="H334" s="1">
        <f>SUMIF('Retal Tran Line Item'!E:E,A334,'Retal Tran Line Item'!B:B)</f>
        <v>9</v>
      </c>
    </row>
    <row r="335" spans="1:8">
      <c r="A335" s="1">
        <v>100333</v>
      </c>
      <c r="B335" s="1">
        <v>363931</v>
      </c>
      <c r="C335" s="2">
        <v>41322</v>
      </c>
      <c r="D335" s="1" t="s">
        <v>1994</v>
      </c>
      <c r="E335" s="6">
        <v>2</v>
      </c>
      <c r="F335" s="6" t="str">
        <f t="shared" si="10"/>
        <v>February</v>
      </c>
      <c r="G335" s="6">
        <f t="shared" si="11"/>
        <v>8</v>
      </c>
      <c r="H335" s="1">
        <f>SUMIF('Retal Tran Line Item'!E:E,A335,'Retal Tran Line Item'!B:B)</f>
        <v>9</v>
      </c>
    </row>
    <row r="336" spans="1:8">
      <c r="A336" s="1">
        <v>100334</v>
      </c>
      <c r="B336" s="1">
        <v>723057</v>
      </c>
      <c r="C336" s="2">
        <v>41322</v>
      </c>
      <c r="D336" s="1" t="s">
        <v>1993</v>
      </c>
      <c r="E336" s="6">
        <v>1</v>
      </c>
      <c r="F336" s="6" t="str">
        <f t="shared" si="10"/>
        <v>February</v>
      </c>
      <c r="G336" s="6">
        <f t="shared" si="11"/>
        <v>8</v>
      </c>
      <c r="H336" s="1">
        <f>SUMIF('Retal Tran Line Item'!E:E,A336,'Retal Tran Line Item'!B:B)</f>
        <v>1</v>
      </c>
    </row>
    <row r="337" spans="1:8">
      <c r="A337" s="1">
        <v>100335</v>
      </c>
      <c r="B337" s="1">
        <v>961080</v>
      </c>
      <c r="C337" s="2">
        <v>41322</v>
      </c>
      <c r="D337" s="1" t="s">
        <v>1992</v>
      </c>
      <c r="E337" s="6">
        <v>2</v>
      </c>
      <c r="F337" s="6" t="str">
        <f t="shared" si="10"/>
        <v>February</v>
      </c>
      <c r="G337" s="6">
        <f t="shared" si="11"/>
        <v>8</v>
      </c>
      <c r="H337" s="1">
        <f>SUMIF('Retal Tran Line Item'!E:E,A337,'Retal Tran Line Item'!B:B)</f>
        <v>8</v>
      </c>
    </row>
    <row r="338" spans="1:8">
      <c r="A338" s="1">
        <v>100336</v>
      </c>
      <c r="B338" s="1">
        <v>204295</v>
      </c>
      <c r="C338" s="2">
        <v>41322</v>
      </c>
      <c r="D338" s="1" t="s">
        <v>1992</v>
      </c>
      <c r="E338" s="6">
        <v>1</v>
      </c>
      <c r="F338" s="6" t="str">
        <f t="shared" si="10"/>
        <v>February</v>
      </c>
      <c r="G338" s="6">
        <f t="shared" si="11"/>
        <v>8</v>
      </c>
      <c r="H338" s="1">
        <f>SUMIF('Retal Tran Line Item'!E:E,A338,'Retal Tran Line Item'!B:B)</f>
        <v>10</v>
      </c>
    </row>
    <row r="339" spans="1:8">
      <c r="A339" s="1">
        <v>100337</v>
      </c>
      <c r="B339" s="1">
        <v>325263</v>
      </c>
      <c r="C339" s="2">
        <v>41323</v>
      </c>
      <c r="D339" s="1" t="s">
        <v>1993</v>
      </c>
      <c r="E339" s="6">
        <v>2</v>
      </c>
      <c r="F339" s="6" t="str">
        <f t="shared" si="10"/>
        <v>February</v>
      </c>
      <c r="G339" s="6">
        <f t="shared" si="11"/>
        <v>8</v>
      </c>
      <c r="H339" s="1">
        <f>SUMIF('Retal Tran Line Item'!E:E,A339,'Retal Tran Line Item'!B:B)</f>
        <v>12</v>
      </c>
    </row>
    <row r="340" spans="1:8">
      <c r="A340" s="1">
        <v>100338</v>
      </c>
      <c r="B340" s="1">
        <v>840970</v>
      </c>
      <c r="C340" s="2">
        <v>41323</v>
      </c>
      <c r="D340" s="1" t="s">
        <v>1994</v>
      </c>
      <c r="E340" s="6">
        <v>2</v>
      </c>
      <c r="F340" s="6" t="str">
        <f t="shared" si="10"/>
        <v>February</v>
      </c>
      <c r="G340" s="6">
        <f t="shared" si="11"/>
        <v>8</v>
      </c>
      <c r="H340" s="1">
        <f>SUMIF('Retal Tran Line Item'!E:E,A340,'Retal Tran Line Item'!B:B)</f>
        <v>4</v>
      </c>
    </row>
    <row r="341" spans="1:8">
      <c r="A341" s="1">
        <v>100339</v>
      </c>
      <c r="B341" s="1">
        <v>701816</v>
      </c>
      <c r="C341" s="2">
        <v>41323</v>
      </c>
      <c r="D341" s="1" t="s">
        <v>1993</v>
      </c>
      <c r="E341" s="6">
        <v>2</v>
      </c>
      <c r="F341" s="6" t="str">
        <f t="shared" si="10"/>
        <v>February</v>
      </c>
      <c r="G341" s="6">
        <f t="shared" si="11"/>
        <v>8</v>
      </c>
      <c r="H341" s="1">
        <f>SUMIF('Retal Tran Line Item'!E:E,A341,'Retal Tran Line Item'!B:B)</f>
        <v>7</v>
      </c>
    </row>
    <row r="342" spans="1:8">
      <c r="A342" s="1">
        <v>100340</v>
      </c>
      <c r="B342" s="1">
        <v>233956</v>
      </c>
      <c r="C342" s="2">
        <v>41323</v>
      </c>
      <c r="D342" s="1" t="s">
        <v>1992</v>
      </c>
      <c r="E342" s="6">
        <v>2</v>
      </c>
      <c r="F342" s="6" t="str">
        <f t="shared" si="10"/>
        <v>February</v>
      </c>
      <c r="G342" s="6">
        <f t="shared" si="11"/>
        <v>8</v>
      </c>
      <c r="H342" s="1">
        <f>SUMIF('Retal Tran Line Item'!E:E,A342,'Retal Tran Line Item'!B:B)</f>
        <v>6</v>
      </c>
    </row>
    <row r="343" spans="1:8">
      <c r="A343" s="1">
        <v>100341</v>
      </c>
      <c r="B343" s="1">
        <v>408341</v>
      </c>
      <c r="C343" s="2">
        <v>41323</v>
      </c>
      <c r="D343" s="1" t="s">
        <v>1993</v>
      </c>
      <c r="E343" s="6">
        <v>1</v>
      </c>
      <c r="F343" s="6" t="str">
        <f t="shared" si="10"/>
        <v>February</v>
      </c>
      <c r="G343" s="6">
        <f t="shared" si="11"/>
        <v>8</v>
      </c>
      <c r="H343" s="1">
        <f>SUMIF('Retal Tran Line Item'!E:E,A343,'Retal Tran Line Item'!B:B)</f>
        <v>10</v>
      </c>
    </row>
    <row r="344" spans="1:8">
      <c r="A344" s="1">
        <v>100342</v>
      </c>
      <c r="B344" s="1">
        <v>147543</v>
      </c>
      <c r="C344" s="2">
        <v>41324</v>
      </c>
      <c r="D344" s="1" t="s">
        <v>1993</v>
      </c>
      <c r="E344" s="6">
        <v>1</v>
      </c>
      <c r="F344" s="6" t="str">
        <f t="shared" si="10"/>
        <v>February</v>
      </c>
      <c r="G344" s="6">
        <f t="shared" si="11"/>
        <v>8</v>
      </c>
      <c r="H344" s="1">
        <f>SUMIF('Retal Tran Line Item'!E:E,A344,'Retal Tran Line Item'!B:B)</f>
        <v>10</v>
      </c>
    </row>
    <row r="345" spans="1:8">
      <c r="A345" s="1">
        <v>100343</v>
      </c>
      <c r="B345" s="1">
        <v>225489</v>
      </c>
      <c r="C345" s="2">
        <v>41324</v>
      </c>
      <c r="D345" s="1" t="s">
        <v>1992</v>
      </c>
      <c r="E345" s="6">
        <v>1</v>
      </c>
      <c r="F345" s="6" t="str">
        <f t="shared" si="10"/>
        <v>February</v>
      </c>
      <c r="G345" s="6">
        <f t="shared" si="11"/>
        <v>8</v>
      </c>
      <c r="H345" s="1">
        <f>SUMIF('Retal Tran Line Item'!E:E,A345,'Retal Tran Line Item'!B:B)</f>
        <v>6</v>
      </c>
    </row>
    <row r="346" spans="1:8">
      <c r="A346" s="1">
        <v>100344</v>
      </c>
      <c r="B346" s="1">
        <v>958321</v>
      </c>
      <c r="C346" s="2">
        <v>41324</v>
      </c>
      <c r="D346" s="1" t="s">
        <v>1993</v>
      </c>
      <c r="E346" s="6">
        <v>2</v>
      </c>
      <c r="F346" s="6" t="str">
        <f t="shared" si="10"/>
        <v>February</v>
      </c>
      <c r="G346" s="6">
        <f t="shared" si="11"/>
        <v>8</v>
      </c>
      <c r="H346" s="1">
        <f>SUMIF('Retal Tran Line Item'!E:E,A346,'Retal Tran Line Item'!B:B)</f>
        <v>8</v>
      </c>
    </row>
    <row r="347" spans="1:8">
      <c r="A347" s="1">
        <v>100345</v>
      </c>
      <c r="B347" s="1">
        <v>426984</v>
      </c>
      <c r="C347" s="2">
        <v>41325</v>
      </c>
      <c r="D347" s="1" t="s">
        <v>1992</v>
      </c>
      <c r="E347" s="6">
        <v>1</v>
      </c>
      <c r="F347" s="6" t="str">
        <f t="shared" si="10"/>
        <v>February</v>
      </c>
      <c r="G347" s="6">
        <f t="shared" si="11"/>
        <v>8</v>
      </c>
      <c r="H347" s="1">
        <f>SUMIF('Retal Tran Line Item'!E:E,A347,'Retal Tran Line Item'!B:B)</f>
        <v>16</v>
      </c>
    </row>
    <row r="348" spans="1:8">
      <c r="A348" s="1">
        <v>100346</v>
      </c>
      <c r="B348" s="1">
        <v>108708</v>
      </c>
      <c r="C348" s="2">
        <v>41325</v>
      </c>
      <c r="D348" s="1" t="s">
        <v>1992</v>
      </c>
      <c r="E348" s="6">
        <v>2</v>
      </c>
      <c r="F348" s="6" t="str">
        <f t="shared" si="10"/>
        <v>February</v>
      </c>
      <c r="G348" s="6">
        <f t="shared" si="11"/>
        <v>8</v>
      </c>
      <c r="H348" s="1">
        <f>SUMIF('Retal Tran Line Item'!E:E,A348,'Retal Tran Line Item'!B:B)</f>
        <v>18</v>
      </c>
    </row>
    <row r="349" spans="1:8">
      <c r="A349" s="1">
        <v>100347</v>
      </c>
      <c r="B349" s="1">
        <v>432113</v>
      </c>
      <c r="C349" s="2">
        <v>41325</v>
      </c>
      <c r="D349" s="1" t="s">
        <v>1989</v>
      </c>
      <c r="E349" s="6">
        <v>1</v>
      </c>
      <c r="F349" s="6" t="str">
        <f t="shared" si="10"/>
        <v>February</v>
      </c>
      <c r="G349" s="6">
        <f t="shared" si="11"/>
        <v>8</v>
      </c>
      <c r="H349" s="1">
        <f>SUMIF('Retal Tran Line Item'!E:E,A349,'Retal Tran Line Item'!B:B)</f>
        <v>3</v>
      </c>
    </row>
    <row r="350" spans="1:8">
      <c r="A350" s="1">
        <v>100348</v>
      </c>
      <c r="B350" s="1">
        <v>563500</v>
      </c>
      <c r="C350" s="2">
        <v>41325</v>
      </c>
      <c r="D350" s="1" t="s">
        <v>1992</v>
      </c>
      <c r="E350" s="6">
        <v>2</v>
      </c>
      <c r="F350" s="6" t="str">
        <f t="shared" si="10"/>
        <v>February</v>
      </c>
      <c r="G350" s="6">
        <f t="shared" si="11"/>
        <v>8</v>
      </c>
      <c r="H350" s="1">
        <f>SUMIF('Retal Tran Line Item'!E:E,A350,'Retal Tran Line Item'!B:B)</f>
        <v>5</v>
      </c>
    </row>
    <row r="351" spans="1:8">
      <c r="A351" s="1">
        <v>100349</v>
      </c>
      <c r="B351" s="1">
        <v>459243</v>
      </c>
      <c r="C351" s="2">
        <v>41325</v>
      </c>
      <c r="D351" s="1" t="s">
        <v>1992</v>
      </c>
      <c r="E351" s="6">
        <v>1</v>
      </c>
      <c r="F351" s="6" t="str">
        <f t="shared" si="10"/>
        <v>February</v>
      </c>
      <c r="G351" s="6">
        <f t="shared" si="11"/>
        <v>8</v>
      </c>
      <c r="H351" s="1">
        <f>SUMIF('Retal Tran Line Item'!E:E,A351,'Retal Tran Line Item'!B:B)</f>
        <v>6</v>
      </c>
    </row>
    <row r="352" spans="1:8">
      <c r="A352" s="1">
        <v>100350</v>
      </c>
      <c r="B352" s="1">
        <v>701816</v>
      </c>
      <c r="C352" s="2">
        <v>41326</v>
      </c>
      <c r="D352" s="1" t="s">
        <v>1993</v>
      </c>
      <c r="E352" s="6">
        <v>2</v>
      </c>
      <c r="F352" s="6" t="str">
        <f t="shared" si="10"/>
        <v>February</v>
      </c>
      <c r="G352" s="6">
        <f t="shared" si="11"/>
        <v>8</v>
      </c>
      <c r="H352" s="1">
        <f>SUMIF('Retal Tran Line Item'!E:E,A352,'Retal Tran Line Item'!B:B)</f>
        <v>8</v>
      </c>
    </row>
    <row r="353" spans="1:8">
      <c r="A353" s="1">
        <v>100351</v>
      </c>
      <c r="B353" s="1">
        <v>756928</v>
      </c>
      <c r="C353" s="2">
        <v>41326</v>
      </c>
      <c r="D353" s="1" t="s">
        <v>1993</v>
      </c>
      <c r="E353" s="6">
        <v>1</v>
      </c>
      <c r="F353" s="6" t="str">
        <f t="shared" si="10"/>
        <v>February</v>
      </c>
      <c r="G353" s="6">
        <f t="shared" si="11"/>
        <v>8</v>
      </c>
      <c r="H353" s="1">
        <f>SUMIF('Retal Tran Line Item'!E:E,A353,'Retal Tran Line Item'!B:B)</f>
        <v>12</v>
      </c>
    </row>
    <row r="354" spans="1:8">
      <c r="A354" s="1">
        <v>100352</v>
      </c>
      <c r="B354" s="1">
        <v>866847</v>
      </c>
      <c r="C354" s="2">
        <v>41326</v>
      </c>
      <c r="D354" s="1" t="s">
        <v>1992</v>
      </c>
      <c r="E354" s="6">
        <v>1</v>
      </c>
      <c r="F354" s="6" t="str">
        <f t="shared" si="10"/>
        <v>February</v>
      </c>
      <c r="G354" s="6">
        <f t="shared" si="11"/>
        <v>8</v>
      </c>
      <c r="H354" s="1">
        <f>SUMIF('Retal Tran Line Item'!E:E,A354,'Retal Tran Line Item'!B:B)</f>
        <v>7</v>
      </c>
    </row>
    <row r="355" spans="1:8">
      <c r="A355" s="1">
        <v>100353</v>
      </c>
      <c r="B355" s="1">
        <v>448739</v>
      </c>
      <c r="C355" s="2">
        <v>41326</v>
      </c>
      <c r="D355" s="1" t="s">
        <v>1989</v>
      </c>
      <c r="E355" s="6">
        <v>2</v>
      </c>
      <c r="F355" s="6" t="str">
        <f t="shared" si="10"/>
        <v>February</v>
      </c>
      <c r="G355" s="6">
        <f t="shared" si="11"/>
        <v>8</v>
      </c>
      <c r="H355" s="1">
        <f>SUMIF('Retal Tran Line Item'!E:E,A355,'Retal Tran Line Item'!B:B)</f>
        <v>4</v>
      </c>
    </row>
    <row r="356" spans="1:8">
      <c r="A356" s="1">
        <v>100354</v>
      </c>
      <c r="B356" s="1">
        <v>286196</v>
      </c>
      <c r="C356" s="2">
        <v>41327</v>
      </c>
      <c r="D356" s="1" t="s">
        <v>1989</v>
      </c>
      <c r="E356" s="6">
        <v>2</v>
      </c>
      <c r="F356" s="6" t="str">
        <f t="shared" si="10"/>
        <v>February</v>
      </c>
      <c r="G356" s="6">
        <f t="shared" si="11"/>
        <v>8</v>
      </c>
      <c r="H356" s="1">
        <f>SUMIF('Retal Tran Line Item'!E:E,A356,'Retal Tran Line Item'!B:B)</f>
        <v>12</v>
      </c>
    </row>
    <row r="357" spans="1:8">
      <c r="A357" s="1">
        <v>100355</v>
      </c>
      <c r="B357" s="1">
        <v>250266</v>
      </c>
      <c r="C357" s="2">
        <v>41327</v>
      </c>
      <c r="D357" s="1" t="s">
        <v>1993</v>
      </c>
      <c r="E357" s="6">
        <v>2</v>
      </c>
      <c r="F357" s="6" t="str">
        <f t="shared" si="10"/>
        <v>February</v>
      </c>
      <c r="G357" s="6">
        <f t="shared" si="11"/>
        <v>8</v>
      </c>
      <c r="H357" s="1">
        <f>SUMIF('Retal Tran Line Item'!E:E,A357,'Retal Tran Line Item'!B:B)</f>
        <v>12</v>
      </c>
    </row>
    <row r="358" spans="1:8">
      <c r="A358" s="1">
        <v>100356</v>
      </c>
      <c r="B358" s="1">
        <v>325263</v>
      </c>
      <c r="C358" s="2">
        <v>41328</v>
      </c>
      <c r="D358" s="1" t="s">
        <v>1993</v>
      </c>
      <c r="E358" s="6">
        <v>1</v>
      </c>
      <c r="F358" s="6" t="str">
        <f t="shared" si="10"/>
        <v>February</v>
      </c>
      <c r="G358" s="6">
        <f t="shared" si="11"/>
        <v>8</v>
      </c>
      <c r="H358" s="1">
        <f>SUMIF('Retal Tran Line Item'!E:E,A358,'Retal Tran Line Item'!B:B)</f>
        <v>9</v>
      </c>
    </row>
    <row r="359" spans="1:8">
      <c r="A359" s="1">
        <v>100357</v>
      </c>
      <c r="B359" s="1">
        <v>748326</v>
      </c>
      <c r="C359" s="2">
        <v>41328</v>
      </c>
      <c r="D359" s="1" t="s">
        <v>1993</v>
      </c>
      <c r="E359" s="6">
        <v>2</v>
      </c>
      <c r="F359" s="6" t="str">
        <f t="shared" si="10"/>
        <v>February</v>
      </c>
      <c r="G359" s="6">
        <f t="shared" si="11"/>
        <v>8</v>
      </c>
      <c r="H359" s="1">
        <f>SUMIF('Retal Tran Line Item'!E:E,A359,'Retal Tran Line Item'!B:B)</f>
        <v>12</v>
      </c>
    </row>
    <row r="360" spans="1:8">
      <c r="A360" s="1">
        <v>100358</v>
      </c>
      <c r="B360" s="1">
        <v>479497</v>
      </c>
      <c r="C360" s="2">
        <v>41328</v>
      </c>
      <c r="D360" s="1" t="s">
        <v>1994</v>
      </c>
      <c r="E360" s="6">
        <v>1</v>
      </c>
      <c r="F360" s="6" t="str">
        <f t="shared" si="10"/>
        <v>February</v>
      </c>
      <c r="G360" s="6">
        <f t="shared" si="11"/>
        <v>8</v>
      </c>
      <c r="H360" s="1">
        <f>SUMIF('Retal Tran Line Item'!E:E,A360,'Retal Tran Line Item'!B:B)</f>
        <v>9</v>
      </c>
    </row>
    <row r="361" spans="1:8">
      <c r="A361" s="1">
        <v>100359</v>
      </c>
      <c r="B361" s="1">
        <v>154427</v>
      </c>
      <c r="C361" s="2">
        <v>41328</v>
      </c>
      <c r="D361" s="1" t="s">
        <v>1993</v>
      </c>
      <c r="E361" s="6">
        <v>1</v>
      </c>
      <c r="F361" s="6" t="str">
        <f t="shared" si="10"/>
        <v>February</v>
      </c>
      <c r="G361" s="6">
        <f t="shared" si="11"/>
        <v>8</v>
      </c>
      <c r="H361" s="1">
        <f>SUMIF('Retal Tran Line Item'!E:E,A361,'Retal Tran Line Item'!B:B)</f>
        <v>20</v>
      </c>
    </row>
    <row r="362" spans="1:8">
      <c r="A362" s="1">
        <v>100360</v>
      </c>
      <c r="B362" s="1">
        <v>841831</v>
      </c>
      <c r="C362" s="2">
        <v>41328</v>
      </c>
      <c r="D362" s="1" t="s">
        <v>1992</v>
      </c>
      <c r="E362" s="6">
        <v>2</v>
      </c>
      <c r="F362" s="6" t="str">
        <f t="shared" si="10"/>
        <v>February</v>
      </c>
      <c r="G362" s="6">
        <f t="shared" si="11"/>
        <v>8</v>
      </c>
      <c r="H362" s="1">
        <f>SUMIF('Retal Tran Line Item'!E:E,A362,'Retal Tran Line Item'!B:B)</f>
        <v>10</v>
      </c>
    </row>
    <row r="363" spans="1:8">
      <c r="A363" s="1">
        <v>100361</v>
      </c>
      <c r="B363" s="1">
        <v>765237</v>
      </c>
      <c r="C363" s="2">
        <v>41329</v>
      </c>
      <c r="D363" s="1" t="s">
        <v>1992</v>
      </c>
      <c r="E363" s="6">
        <v>2</v>
      </c>
      <c r="F363" s="6" t="str">
        <f t="shared" si="10"/>
        <v>February</v>
      </c>
      <c r="G363" s="6">
        <f t="shared" si="11"/>
        <v>9</v>
      </c>
      <c r="H363" s="1">
        <f>SUMIF('Retal Tran Line Item'!E:E,A363,'Retal Tran Line Item'!B:B)</f>
        <v>13</v>
      </c>
    </row>
    <row r="364" spans="1:8">
      <c r="A364" s="1">
        <v>100362</v>
      </c>
      <c r="B364" s="1">
        <v>203787</v>
      </c>
      <c r="C364" s="2">
        <v>41329</v>
      </c>
      <c r="D364" s="1" t="s">
        <v>1994</v>
      </c>
      <c r="E364" s="6">
        <v>2</v>
      </c>
      <c r="F364" s="6" t="str">
        <f t="shared" si="10"/>
        <v>February</v>
      </c>
      <c r="G364" s="6">
        <f t="shared" si="11"/>
        <v>9</v>
      </c>
      <c r="H364" s="1">
        <f>SUMIF('Retal Tran Line Item'!E:E,A364,'Retal Tran Line Item'!B:B)</f>
        <v>18</v>
      </c>
    </row>
    <row r="365" spans="1:8">
      <c r="A365" s="1">
        <v>100363</v>
      </c>
      <c r="B365" s="1">
        <v>193968</v>
      </c>
      <c r="C365" s="2">
        <v>41329</v>
      </c>
      <c r="D365" s="1" t="s">
        <v>1992</v>
      </c>
      <c r="E365" s="6">
        <v>2</v>
      </c>
      <c r="F365" s="6" t="str">
        <f t="shared" si="10"/>
        <v>February</v>
      </c>
      <c r="G365" s="6">
        <f t="shared" si="11"/>
        <v>9</v>
      </c>
      <c r="H365" s="1">
        <f>SUMIF('Retal Tran Line Item'!E:E,A365,'Retal Tran Line Item'!B:B)</f>
        <v>17</v>
      </c>
    </row>
    <row r="366" spans="1:8">
      <c r="A366" s="1">
        <v>100364</v>
      </c>
      <c r="B366" s="1">
        <v>846558</v>
      </c>
      <c r="C366" s="2">
        <v>41329</v>
      </c>
      <c r="D366" s="1" t="s">
        <v>1992</v>
      </c>
      <c r="E366" s="6">
        <v>2</v>
      </c>
      <c r="F366" s="6" t="str">
        <f t="shared" si="10"/>
        <v>February</v>
      </c>
      <c r="G366" s="6">
        <f t="shared" si="11"/>
        <v>9</v>
      </c>
      <c r="H366" s="1">
        <f>SUMIF('Retal Tran Line Item'!E:E,A366,'Retal Tran Line Item'!B:B)</f>
        <v>10</v>
      </c>
    </row>
    <row r="367" spans="1:8">
      <c r="A367" s="1">
        <v>100365</v>
      </c>
      <c r="B367" s="1">
        <v>534481</v>
      </c>
      <c r="C367" s="2">
        <v>41329</v>
      </c>
      <c r="D367" s="1" t="s">
        <v>1993</v>
      </c>
      <c r="E367" s="6">
        <v>2</v>
      </c>
      <c r="F367" s="6" t="str">
        <f t="shared" si="10"/>
        <v>February</v>
      </c>
      <c r="G367" s="6">
        <f t="shared" si="11"/>
        <v>9</v>
      </c>
      <c r="H367" s="1">
        <f>SUMIF('Retal Tran Line Item'!E:E,A367,'Retal Tran Line Item'!B:B)</f>
        <v>21</v>
      </c>
    </row>
    <row r="368" spans="1:8">
      <c r="A368" s="1">
        <v>100366</v>
      </c>
      <c r="B368" s="1">
        <v>175940</v>
      </c>
      <c r="C368" s="2">
        <v>41330</v>
      </c>
      <c r="D368" s="1" t="s">
        <v>1993</v>
      </c>
      <c r="E368" s="6">
        <v>1</v>
      </c>
      <c r="F368" s="6" t="str">
        <f t="shared" si="10"/>
        <v>February</v>
      </c>
      <c r="G368" s="6">
        <f t="shared" si="11"/>
        <v>9</v>
      </c>
      <c r="H368" s="1">
        <f>SUMIF('Retal Tran Line Item'!E:E,A368,'Retal Tran Line Item'!B:B)</f>
        <v>27</v>
      </c>
    </row>
    <row r="369" spans="1:8">
      <c r="A369" s="1">
        <v>100367</v>
      </c>
      <c r="B369" s="1">
        <v>757525</v>
      </c>
      <c r="C369" s="2">
        <v>41330</v>
      </c>
      <c r="D369" s="1" t="s">
        <v>1994</v>
      </c>
      <c r="E369" s="6">
        <v>1</v>
      </c>
      <c r="F369" s="6" t="str">
        <f t="shared" si="10"/>
        <v>February</v>
      </c>
      <c r="G369" s="6">
        <f t="shared" si="11"/>
        <v>9</v>
      </c>
      <c r="H369" s="1">
        <f>SUMIF('Retal Tran Line Item'!E:E,A369,'Retal Tran Line Item'!B:B)</f>
        <v>6</v>
      </c>
    </row>
    <row r="370" spans="1:8">
      <c r="A370" s="1">
        <v>100368</v>
      </c>
      <c r="B370" s="1">
        <v>566192</v>
      </c>
      <c r="C370" s="2">
        <v>41330</v>
      </c>
      <c r="D370" s="1" t="s">
        <v>1992</v>
      </c>
      <c r="E370" s="6">
        <v>2</v>
      </c>
      <c r="F370" s="6" t="str">
        <f t="shared" si="10"/>
        <v>February</v>
      </c>
      <c r="G370" s="6">
        <f t="shared" si="11"/>
        <v>9</v>
      </c>
      <c r="H370" s="1">
        <f>SUMIF('Retal Tran Line Item'!E:E,A370,'Retal Tran Line Item'!B:B)</f>
        <v>10</v>
      </c>
    </row>
    <row r="371" spans="1:8">
      <c r="A371" s="1">
        <v>100369</v>
      </c>
      <c r="B371" s="1">
        <v>850952</v>
      </c>
      <c r="C371" s="2">
        <v>41330</v>
      </c>
      <c r="D371" s="1" t="s">
        <v>1993</v>
      </c>
      <c r="E371" s="6">
        <v>2</v>
      </c>
      <c r="F371" s="6" t="str">
        <f t="shared" si="10"/>
        <v>February</v>
      </c>
      <c r="G371" s="6">
        <f t="shared" si="11"/>
        <v>9</v>
      </c>
      <c r="H371" s="1">
        <f>SUMIF('Retal Tran Line Item'!E:E,A371,'Retal Tran Line Item'!B:B)</f>
        <v>8</v>
      </c>
    </row>
    <row r="372" spans="1:8">
      <c r="A372" s="1">
        <v>100370</v>
      </c>
      <c r="B372" s="1">
        <v>275152</v>
      </c>
      <c r="C372" s="2">
        <v>41330</v>
      </c>
      <c r="D372" s="1" t="s">
        <v>1992</v>
      </c>
      <c r="E372" s="6">
        <v>2</v>
      </c>
      <c r="F372" s="6" t="str">
        <f t="shared" si="10"/>
        <v>February</v>
      </c>
      <c r="G372" s="6">
        <f t="shared" si="11"/>
        <v>9</v>
      </c>
      <c r="H372" s="1">
        <f>SUMIF('Retal Tran Line Item'!E:E,A372,'Retal Tran Line Item'!B:B)</f>
        <v>3</v>
      </c>
    </row>
    <row r="373" spans="1:8">
      <c r="A373" s="1">
        <v>100371</v>
      </c>
      <c r="B373" s="1">
        <v>448739</v>
      </c>
      <c r="C373" s="2">
        <v>41331</v>
      </c>
      <c r="D373" s="1" t="s">
        <v>1989</v>
      </c>
      <c r="E373" s="6">
        <v>1</v>
      </c>
      <c r="F373" s="6" t="str">
        <f t="shared" si="10"/>
        <v>February</v>
      </c>
      <c r="G373" s="6">
        <f t="shared" si="11"/>
        <v>9</v>
      </c>
      <c r="H373" s="1">
        <f>SUMIF('Retal Tran Line Item'!E:E,A373,'Retal Tran Line Item'!B:B)</f>
        <v>6</v>
      </c>
    </row>
    <row r="374" spans="1:8">
      <c r="A374" s="1">
        <v>100372</v>
      </c>
      <c r="B374" s="1">
        <v>537860</v>
      </c>
      <c r="C374" s="2">
        <v>41331</v>
      </c>
      <c r="D374" s="1" t="s">
        <v>1989</v>
      </c>
      <c r="E374" s="6">
        <v>2</v>
      </c>
      <c r="F374" s="6" t="str">
        <f t="shared" si="10"/>
        <v>February</v>
      </c>
      <c r="G374" s="6">
        <f t="shared" si="11"/>
        <v>9</v>
      </c>
      <c r="H374" s="1">
        <f>SUMIF('Retal Tran Line Item'!E:E,A374,'Retal Tran Line Item'!B:B)</f>
        <v>11</v>
      </c>
    </row>
    <row r="375" spans="1:8">
      <c r="A375" s="1">
        <v>100373</v>
      </c>
      <c r="B375" s="1">
        <v>418635</v>
      </c>
      <c r="C375" s="2">
        <v>41332</v>
      </c>
      <c r="D375" s="1" t="s">
        <v>1993</v>
      </c>
      <c r="E375" s="6">
        <v>2</v>
      </c>
      <c r="F375" s="6" t="str">
        <f t="shared" si="10"/>
        <v>February</v>
      </c>
      <c r="G375" s="6">
        <f t="shared" si="11"/>
        <v>9</v>
      </c>
      <c r="H375" s="1">
        <f>SUMIF('Retal Tran Line Item'!E:E,A375,'Retal Tran Line Item'!B:B)</f>
        <v>17</v>
      </c>
    </row>
    <row r="376" spans="1:8">
      <c r="A376" s="1">
        <v>100374</v>
      </c>
      <c r="B376" s="1">
        <v>498153</v>
      </c>
      <c r="C376" s="2">
        <v>41332</v>
      </c>
      <c r="D376" s="1" t="s">
        <v>1994</v>
      </c>
      <c r="E376" s="6">
        <v>2</v>
      </c>
      <c r="F376" s="6" t="str">
        <f t="shared" si="10"/>
        <v>February</v>
      </c>
      <c r="G376" s="6">
        <f t="shared" si="11"/>
        <v>9</v>
      </c>
      <c r="H376" s="1">
        <f>SUMIF('Retal Tran Line Item'!E:E,A376,'Retal Tran Line Item'!B:B)</f>
        <v>19</v>
      </c>
    </row>
    <row r="377" spans="1:8">
      <c r="A377" s="1">
        <v>100375</v>
      </c>
      <c r="B377" s="1">
        <v>841831</v>
      </c>
      <c r="C377" s="2">
        <v>41332</v>
      </c>
      <c r="D377" s="1" t="s">
        <v>1992</v>
      </c>
      <c r="E377" s="6">
        <v>2</v>
      </c>
      <c r="F377" s="6" t="str">
        <f t="shared" si="10"/>
        <v>February</v>
      </c>
      <c r="G377" s="6">
        <f t="shared" si="11"/>
        <v>9</v>
      </c>
      <c r="H377" s="1">
        <f>SUMIF('Retal Tran Line Item'!E:E,A377,'Retal Tran Line Item'!B:B)</f>
        <v>20</v>
      </c>
    </row>
    <row r="378" spans="1:8">
      <c r="A378" s="1">
        <v>100376</v>
      </c>
      <c r="B378" s="1">
        <v>230602</v>
      </c>
      <c r="C378" s="2">
        <v>41332</v>
      </c>
      <c r="D378" s="1" t="s">
        <v>1992</v>
      </c>
      <c r="E378" s="6">
        <v>2</v>
      </c>
      <c r="F378" s="6" t="str">
        <f t="shared" si="10"/>
        <v>February</v>
      </c>
      <c r="G378" s="6">
        <f t="shared" si="11"/>
        <v>9</v>
      </c>
      <c r="H378" s="1">
        <f>SUMIF('Retal Tran Line Item'!E:E,A378,'Retal Tran Line Item'!B:B)</f>
        <v>7</v>
      </c>
    </row>
    <row r="379" spans="1:8">
      <c r="A379" s="1">
        <v>100377</v>
      </c>
      <c r="B379" s="1">
        <v>161942</v>
      </c>
      <c r="C379" s="2">
        <v>41333</v>
      </c>
      <c r="D379" s="1" t="s">
        <v>1993</v>
      </c>
      <c r="E379" s="6">
        <v>2</v>
      </c>
      <c r="F379" s="6" t="str">
        <f t="shared" si="10"/>
        <v>February</v>
      </c>
      <c r="G379" s="6">
        <f t="shared" si="11"/>
        <v>9</v>
      </c>
      <c r="H379" s="1">
        <f>SUMIF('Retal Tran Line Item'!E:E,A379,'Retal Tran Line Item'!B:B)</f>
        <v>5</v>
      </c>
    </row>
    <row r="380" spans="1:8">
      <c r="A380" s="1">
        <v>100378</v>
      </c>
      <c r="B380" s="1">
        <v>796796</v>
      </c>
      <c r="C380" s="2">
        <v>41333</v>
      </c>
      <c r="D380" s="1" t="s">
        <v>1992</v>
      </c>
      <c r="E380" s="6">
        <v>2</v>
      </c>
      <c r="F380" s="6" t="str">
        <f t="shared" si="10"/>
        <v>February</v>
      </c>
      <c r="G380" s="6">
        <f t="shared" si="11"/>
        <v>9</v>
      </c>
      <c r="H380" s="1">
        <f>SUMIF('Retal Tran Line Item'!E:E,A380,'Retal Tran Line Item'!B:B)</f>
        <v>6</v>
      </c>
    </row>
    <row r="381" spans="1:8">
      <c r="A381" s="1">
        <v>100379</v>
      </c>
      <c r="B381" s="1">
        <v>122818</v>
      </c>
      <c r="C381" s="2">
        <v>41333</v>
      </c>
      <c r="D381" s="1" t="s">
        <v>1992</v>
      </c>
      <c r="E381" s="6">
        <v>1</v>
      </c>
      <c r="F381" s="6" t="str">
        <f t="shared" si="10"/>
        <v>February</v>
      </c>
      <c r="G381" s="6">
        <f t="shared" si="11"/>
        <v>9</v>
      </c>
      <c r="H381" s="1">
        <f>SUMIF('Retal Tran Line Item'!E:E,A381,'Retal Tran Line Item'!B:B)</f>
        <v>19</v>
      </c>
    </row>
    <row r="382" spans="1:8">
      <c r="A382" s="1">
        <v>100380</v>
      </c>
      <c r="B382" s="1">
        <v>366695</v>
      </c>
      <c r="C382" s="2">
        <v>41334</v>
      </c>
      <c r="D382" s="1" t="s">
        <v>1992</v>
      </c>
      <c r="E382" s="6">
        <v>1</v>
      </c>
      <c r="F382" s="6" t="str">
        <f t="shared" si="10"/>
        <v>March</v>
      </c>
      <c r="G382" s="6">
        <f t="shared" si="11"/>
        <v>9</v>
      </c>
      <c r="H382" s="1">
        <f>SUMIF('Retal Tran Line Item'!E:E,A382,'Retal Tran Line Item'!B:B)</f>
        <v>3</v>
      </c>
    </row>
    <row r="383" spans="1:8">
      <c r="A383" s="1">
        <v>100381</v>
      </c>
      <c r="B383" s="1">
        <v>908768</v>
      </c>
      <c r="C383" s="2">
        <v>41334</v>
      </c>
      <c r="D383" s="1" t="s">
        <v>1992</v>
      </c>
      <c r="E383" s="6">
        <v>2</v>
      </c>
      <c r="F383" s="6" t="str">
        <f t="shared" si="10"/>
        <v>March</v>
      </c>
      <c r="G383" s="6">
        <f t="shared" si="11"/>
        <v>9</v>
      </c>
      <c r="H383" s="1">
        <f>SUMIF('Retal Tran Line Item'!E:E,A383,'Retal Tran Line Item'!B:B)</f>
        <v>13</v>
      </c>
    </row>
    <row r="384" spans="1:8">
      <c r="A384" s="1">
        <v>100382</v>
      </c>
      <c r="B384" s="1">
        <v>938417</v>
      </c>
      <c r="C384" s="2">
        <v>41335</v>
      </c>
      <c r="D384" s="1" t="s">
        <v>1992</v>
      </c>
      <c r="E384" s="6">
        <v>1</v>
      </c>
      <c r="F384" s="6" t="str">
        <f t="shared" si="10"/>
        <v>March</v>
      </c>
      <c r="G384" s="6">
        <f t="shared" si="11"/>
        <v>9</v>
      </c>
      <c r="H384" s="1">
        <f>SUMIF('Retal Tran Line Item'!E:E,A384,'Retal Tran Line Item'!B:B)</f>
        <v>10</v>
      </c>
    </row>
    <row r="385" spans="1:8">
      <c r="A385" s="1">
        <v>100383</v>
      </c>
      <c r="B385" s="1">
        <v>879173</v>
      </c>
      <c r="C385" s="2">
        <v>41335</v>
      </c>
      <c r="D385" s="1" t="s">
        <v>1992</v>
      </c>
      <c r="E385" s="6">
        <v>1</v>
      </c>
      <c r="F385" s="6" t="str">
        <f t="shared" si="10"/>
        <v>March</v>
      </c>
      <c r="G385" s="6">
        <f t="shared" si="11"/>
        <v>9</v>
      </c>
      <c r="H385" s="1">
        <f>SUMIF('Retal Tran Line Item'!E:E,A385,'Retal Tran Line Item'!B:B)</f>
        <v>5</v>
      </c>
    </row>
    <row r="386" spans="1:8">
      <c r="A386" s="1">
        <v>100384</v>
      </c>
      <c r="B386" s="1">
        <v>537860</v>
      </c>
      <c r="C386" s="2">
        <v>41335</v>
      </c>
      <c r="D386" s="1" t="s">
        <v>1989</v>
      </c>
      <c r="E386" s="6">
        <v>1</v>
      </c>
      <c r="F386" s="6" t="str">
        <f t="shared" si="10"/>
        <v>March</v>
      </c>
      <c r="G386" s="6">
        <f t="shared" si="11"/>
        <v>9</v>
      </c>
      <c r="H386" s="1">
        <f>SUMIF('Retal Tran Line Item'!E:E,A386,'Retal Tran Line Item'!B:B)</f>
        <v>1</v>
      </c>
    </row>
    <row r="387" spans="1:8">
      <c r="A387" s="1">
        <v>100385</v>
      </c>
      <c r="B387" s="1">
        <v>370870</v>
      </c>
      <c r="C387" s="2">
        <v>41335</v>
      </c>
      <c r="D387" s="1" t="s">
        <v>1993</v>
      </c>
      <c r="E387" s="6">
        <v>1</v>
      </c>
      <c r="F387" s="6" t="str">
        <f t="shared" ref="F387:F450" si="12">TEXT(C387,"MMMM")</f>
        <v>March</v>
      </c>
      <c r="G387" s="6">
        <f t="shared" ref="G387:G450" si="13">WEEKNUM(C387)</f>
        <v>9</v>
      </c>
      <c r="H387" s="1">
        <f>SUMIF('Retal Tran Line Item'!E:E,A387,'Retal Tran Line Item'!B:B)</f>
        <v>6</v>
      </c>
    </row>
    <row r="388" spans="1:8">
      <c r="A388" s="1">
        <v>100386</v>
      </c>
      <c r="B388" s="1">
        <v>218889</v>
      </c>
      <c r="C388" s="2">
        <v>41336</v>
      </c>
      <c r="D388" s="1" t="s">
        <v>1992</v>
      </c>
      <c r="E388" s="6">
        <v>1</v>
      </c>
      <c r="F388" s="6" t="str">
        <f t="shared" si="12"/>
        <v>March</v>
      </c>
      <c r="G388" s="6">
        <f t="shared" si="13"/>
        <v>10</v>
      </c>
      <c r="H388" s="1">
        <f>SUMIF('Retal Tran Line Item'!E:E,A388,'Retal Tran Line Item'!B:B)</f>
        <v>4</v>
      </c>
    </row>
    <row r="389" spans="1:8">
      <c r="A389" s="1">
        <v>100387</v>
      </c>
      <c r="B389" s="1">
        <v>575903</v>
      </c>
      <c r="C389" s="2">
        <v>41336</v>
      </c>
      <c r="D389" s="1" t="s">
        <v>1993</v>
      </c>
      <c r="E389" s="6">
        <v>2</v>
      </c>
      <c r="F389" s="6" t="str">
        <f t="shared" si="12"/>
        <v>March</v>
      </c>
      <c r="G389" s="6">
        <f t="shared" si="13"/>
        <v>10</v>
      </c>
      <c r="H389" s="1">
        <f>SUMIF('Retal Tran Line Item'!E:E,A389,'Retal Tran Line Item'!B:B)</f>
        <v>7</v>
      </c>
    </row>
    <row r="390" spans="1:8">
      <c r="A390" s="1">
        <v>100388</v>
      </c>
      <c r="B390" s="1">
        <v>694281</v>
      </c>
      <c r="C390" s="2">
        <v>41336</v>
      </c>
      <c r="D390" s="1" t="s">
        <v>1989</v>
      </c>
      <c r="E390" s="6">
        <v>2</v>
      </c>
      <c r="F390" s="6" t="str">
        <f t="shared" si="12"/>
        <v>March</v>
      </c>
      <c r="G390" s="6">
        <f t="shared" si="13"/>
        <v>10</v>
      </c>
      <c r="H390" s="1">
        <f>SUMIF('Retal Tran Line Item'!E:E,A390,'Retal Tran Line Item'!B:B)</f>
        <v>3</v>
      </c>
    </row>
    <row r="391" spans="1:8">
      <c r="A391" s="1">
        <v>100389</v>
      </c>
      <c r="B391" s="1">
        <v>132454</v>
      </c>
      <c r="C391" s="2">
        <v>41336</v>
      </c>
      <c r="D391" s="1" t="s">
        <v>1992</v>
      </c>
      <c r="E391" s="6">
        <v>1</v>
      </c>
      <c r="F391" s="6" t="str">
        <f t="shared" si="12"/>
        <v>March</v>
      </c>
      <c r="G391" s="6">
        <f t="shared" si="13"/>
        <v>10</v>
      </c>
      <c r="H391" s="1">
        <f>SUMIF('Retal Tran Line Item'!E:E,A391,'Retal Tran Line Item'!B:B)</f>
        <v>12</v>
      </c>
    </row>
    <row r="392" spans="1:8">
      <c r="A392" s="1">
        <v>100390</v>
      </c>
      <c r="B392" s="1">
        <v>738357</v>
      </c>
      <c r="C392" s="2">
        <v>41336</v>
      </c>
      <c r="D392" s="1" t="s">
        <v>1993</v>
      </c>
      <c r="E392" s="6">
        <v>1</v>
      </c>
      <c r="F392" s="6" t="str">
        <f t="shared" si="12"/>
        <v>March</v>
      </c>
      <c r="G392" s="6">
        <f t="shared" si="13"/>
        <v>10</v>
      </c>
      <c r="H392" s="1">
        <f>SUMIF('Retal Tran Line Item'!E:E,A392,'Retal Tran Line Item'!B:B)</f>
        <v>4</v>
      </c>
    </row>
    <row r="393" spans="1:8">
      <c r="A393" s="1">
        <v>100391</v>
      </c>
      <c r="B393" s="1">
        <v>610766</v>
      </c>
      <c r="C393" s="2">
        <v>41336</v>
      </c>
      <c r="D393" s="1" t="s">
        <v>1992</v>
      </c>
      <c r="E393" s="6">
        <v>2</v>
      </c>
      <c r="F393" s="6" t="str">
        <f t="shared" si="12"/>
        <v>March</v>
      </c>
      <c r="G393" s="6">
        <f t="shared" si="13"/>
        <v>10</v>
      </c>
      <c r="H393" s="1">
        <f>SUMIF('Retal Tran Line Item'!E:E,A393,'Retal Tran Line Item'!B:B)</f>
        <v>14</v>
      </c>
    </row>
    <row r="394" spans="1:8">
      <c r="A394" s="1">
        <v>100392</v>
      </c>
      <c r="B394" s="1">
        <v>841831</v>
      </c>
      <c r="C394" s="2">
        <v>41336</v>
      </c>
      <c r="D394" s="1" t="s">
        <v>1992</v>
      </c>
      <c r="E394" s="6">
        <v>2</v>
      </c>
      <c r="F394" s="6" t="str">
        <f t="shared" si="12"/>
        <v>March</v>
      </c>
      <c r="G394" s="6">
        <f t="shared" si="13"/>
        <v>10</v>
      </c>
      <c r="H394" s="1">
        <f>SUMIF('Retal Tran Line Item'!E:E,A394,'Retal Tran Line Item'!B:B)</f>
        <v>4</v>
      </c>
    </row>
    <row r="395" spans="1:8">
      <c r="A395" s="1">
        <v>100393</v>
      </c>
      <c r="B395" s="1">
        <v>950299</v>
      </c>
      <c r="C395" s="2">
        <v>41337</v>
      </c>
      <c r="D395" s="1" t="s">
        <v>1992</v>
      </c>
      <c r="E395" s="6">
        <v>1</v>
      </c>
      <c r="F395" s="6" t="str">
        <f t="shared" si="12"/>
        <v>March</v>
      </c>
      <c r="G395" s="6">
        <f t="shared" si="13"/>
        <v>10</v>
      </c>
      <c r="H395" s="1">
        <f>SUMIF('Retal Tran Line Item'!E:E,A395,'Retal Tran Line Item'!B:B)</f>
        <v>8</v>
      </c>
    </row>
    <row r="396" spans="1:8">
      <c r="A396" s="1">
        <v>100394</v>
      </c>
      <c r="B396" s="1">
        <v>578275</v>
      </c>
      <c r="C396" s="2">
        <v>41337</v>
      </c>
      <c r="D396" s="1" t="s">
        <v>1989</v>
      </c>
      <c r="E396" s="6">
        <v>2</v>
      </c>
      <c r="F396" s="6" t="str">
        <f t="shared" si="12"/>
        <v>March</v>
      </c>
      <c r="G396" s="6">
        <f t="shared" si="13"/>
        <v>10</v>
      </c>
      <c r="H396" s="1">
        <f>SUMIF('Retal Tran Line Item'!E:E,A396,'Retal Tran Line Item'!B:B)</f>
        <v>9</v>
      </c>
    </row>
    <row r="397" spans="1:8">
      <c r="A397" s="1">
        <v>100395</v>
      </c>
      <c r="B397" s="1">
        <v>964403</v>
      </c>
      <c r="C397" s="2">
        <v>41337</v>
      </c>
      <c r="D397" s="1" t="s">
        <v>1992</v>
      </c>
      <c r="E397" s="6">
        <v>2</v>
      </c>
      <c r="F397" s="6" t="str">
        <f t="shared" si="12"/>
        <v>March</v>
      </c>
      <c r="G397" s="6">
        <f t="shared" si="13"/>
        <v>10</v>
      </c>
      <c r="H397" s="1">
        <f>SUMIF('Retal Tran Line Item'!E:E,A397,'Retal Tran Line Item'!B:B)</f>
        <v>3</v>
      </c>
    </row>
    <row r="398" spans="1:8">
      <c r="A398" s="1">
        <v>100396</v>
      </c>
      <c r="B398" s="1">
        <v>336644</v>
      </c>
      <c r="C398" s="2">
        <v>41337</v>
      </c>
      <c r="D398" s="1" t="s">
        <v>1993</v>
      </c>
      <c r="E398" s="6">
        <v>1</v>
      </c>
      <c r="F398" s="6" t="str">
        <f t="shared" si="12"/>
        <v>March</v>
      </c>
      <c r="G398" s="6">
        <f t="shared" si="13"/>
        <v>10</v>
      </c>
      <c r="H398" s="1">
        <f>SUMIF('Retal Tran Line Item'!E:E,A398,'Retal Tran Line Item'!B:B)</f>
        <v>14</v>
      </c>
    </row>
    <row r="399" spans="1:8">
      <c r="A399" s="1">
        <v>100397</v>
      </c>
      <c r="B399" s="1">
        <v>668931</v>
      </c>
      <c r="C399" s="2">
        <v>41337</v>
      </c>
      <c r="D399" s="1" t="s">
        <v>1992</v>
      </c>
      <c r="E399" s="6">
        <v>1</v>
      </c>
      <c r="F399" s="6" t="str">
        <f t="shared" si="12"/>
        <v>March</v>
      </c>
      <c r="G399" s="6">
        <f t="shared" si="13"/>
        <v>10</v>
      </c>
      <c r="H399" s="1">
        <f>SUMIF('Retal Tran Line Item'!E:E,A399,'Retal Tran Line Item'!B:B)</f>
        <v>7</v>
      </c>
    </row>
    <row r="400" spans="1:8">
      <c r="A400" s="1">
        <v>100398</v>
      </c>
      <c r="B400" s="1">
        <v>746134</v>
      </c>
      <c r="C400" s="2">
        <v>41337</v>
      </c>
      <c r="D400" s="1" t="s">
        <v>1994</v>
      </c>
      <c r="E400" s="6">
        <v>2</v>
      </c>
      <c r="F400" s="6" t="str">
        <f t="shared" si="12"/>
        <v>March</v>
      </c>
      <c r="G400" s="6">
        <f t="shared" si="13"/>
        <v>10</v>
      </c>
      <c r="H400" s="1">
        <f>SUMIF('Retal Tran Line Item'!E:E,A400,'Retal Tran Line Item'!B:B)</f>
        <v>3</v>
      </c>
    </row>
    <row r="401" spans="1:8">
      <c r="A401" s="1">
        <v>100399</v>
      </c>
      <c r="B401" s="1">
        <v>330223</v>
      </c>
      <c r="C401" s="2">
        <v>41338</v>
      </c>
      <c r="D401" s="1" t="s">
        <v>1993</v>
      </c>
      <c r="E401" s="6">
        <v>1</v>
      </c>
      <c r="F401" s="6" t="str">
        <f t="shared" si="12"/>
        <v>March</v>
      </c>
      <c r="G401" s="6">
        <f t="shared" si="13"/>
        <v>10</v>
      </c>
      <c r="H401" s="1">
        <f>SUMIF('Retal Tran Line Item'!E:E,A401,'Retal Tran Line Item'!B:B)</f>
        <v>11</v>
      </c>
    </row>
    <row r="402" spans="1:8">
      <c r="A402" s="1">
        <v>100400</v>
      </c>
      <c r="B402" s="1">
        <v>756769</v>
      </c>
      <c r="C402" s="2">
        <v>41338</v>
      </c>
      <c r="D402" s="1" t="s">
        <v>1989</v>
      </c>
      <c r="E402" s="6">
        <v>1</v>
      </c>
      <c r="F402" s="6" t="str">
        <f t="shared" si="12"/>
        <v>March</v>
      </c>
      <c r="G402" s="6">
        <f t="shared" si="13"/>
        <v>10</v>
      </c>
      <c r="H402" s="1">
        <f>SUMIF('Retal Tran Line Item'!E:E,A402,'Retal Tran Line Item'!B:B)</f>
        <v>10</v>
      </c>
    </row>
    <row r="403" spans="1:8">
      <c r="A403" s="1">
        <v>100401</v>
      </c>
      <c r="B403" s="1">
        <v>951702</v>
      </c>
      <c r="C403" s="2">
        <v>41338</v>
      </c>
      <c r="D403" s="1" t="s">
        <v>1992</v>
      </c>
      <c r="E403" s="6">
        <v>1</v>
      </c>
      <c r="F403" s="6" t="str">
        <f t="shared" si="12"/>
        <v>March</v>
      </c>
      <c r="G403" s="6">
        <f t="shared" si="13"/>
        <v>10</v>
      </c>
      <c r="H403" s="1">
        <f>SUMIF('Retal Tran Line Item'!E:E,A403,'Retal Tran Line Item'!B:B)</f>
        <v>15</v>
      </c>
    </row>
    <row r="404" spans="1:8">
      <c r="A404" s="1">
        <v>100402</v>
      </c>
      <c r="B404" s="1">
        <v>103508</v>
      </c>
      <c r="C404" s="2">
        <v>41339</v>
      </c>
      <c r="D404" s="1" t="s">
        <v>1994</v>
      </c>
      <c r="E404" s="6">
        <v>2</v>
      </c>
      <c r="F404" s="6" t="str">
        <f t="shared" si="12"/>
        <v>March</v>
      </c>
      <c r="G404" s="6">
        <f t="shared" si="13"/>
        <v>10</v>
      </c>
      <c r="H404" s="1">
        <f>SUMIF('Retal Tran Line Item'!E:E,A404,'Retal Tran Line Item'!B:B)</f>
        <v>5</v>
      </c>
    </row>
    <row r="405" spans="1:8">
      <c r="A405" s="1">
        <v>100403</v>
      </c>
      <c r="B405" s="1">
        <v>921792</v>
      </c>
      <c r="C405" s="2">
        <v>41339</v>
      </c>
      <c r="D405" s="1" t="s">
        <v>1992</v>
      </c>
      <c r="E405" s="6">
        <v>1</v>
      </c>
      <c r="F405" s="6" t="str">
        <f t="shared" si="12"/>
        <v>March</v>
      </c>
      <c r="G405" s="6">
        <f t="shared" si="13"/>
        <v>10</v>
      </c>
      <c r="H405" s="1">
        <f>SUMIF('Retal Tran Line Item'!E:E,A405,'Retal Tran Line Item'!B:B)</f>
        <v>16</v>
      </c>
    </row>
    <row r="406" spans="1:8">
      <c r="A406" s="1">
        <v>100404</v>
      </c>
      <c r="B406" s="1">
        <v>817159</v>
      </c>
      <c r="C406" s="2">
        <v>41339</v>
      </c>
      <c r="D406" s="1" t="s">
        <v>1994</v>
      </c>
      <c r="E406" s="6">
        <v>1</v>
      </c>
      <c r="F406" s="6" t="str">
        <f t="shared" si="12"/>
        <v>March</v>
      </c>
      <c r="G406" s="6">
        <f t="shared" si="13"/>
        <v>10</v>
      </c>
      <c r="H406" s="1">
        <f>SUMIF('Retal Tran Line Item'!E:E,A406,'Retal Tran Line Item'!B:B)</f>
        <v>1</v>
      </c>
    </row>
    <row r="407" spans="1:8">
      <c r="A407" s="1">
        <v>100405</v>
      </c>
      <c r="B407" s="1">
        <v>190721</v>
      </c>
      <c r="C407" s="2">
        <v>41339</v>
      </c>
      <c r="D407" s="1" t="s">
        <v>1993</v>
      </c>
      <c r="E407" s="6">
        <v>2</v>
      </c>
      <c r="F407" s="6" t="str">
        <f t="shared" si="12"/>
        <v>March</v>
      </c>
      <c r="G407" s="6">
        <f t="shared" si="13"/>
        <v>10</v>
      </c>
      <c r="H407" s="1">
        <f>SUMIF('Retal Tran Line Item'!E:E,A407,'Retal Tran Line Item'!B:B)</f>
        <v>12</v>
      </c>
    </row>
    <row r="408" spans="1:8">
      <c r="A408" s="1">
        <v>100406</v>
      </c>
      <c r="B408" s="1">
        <v>513968</v>
      </c>
      <c r="C408" s="2">
        <v>41339</v>
      </c>
      <c r="D408" s="1" t="s">
        <v>1994</v>
      </c>
      <c r="E408" s="6">
        <v>1</v>
      </c>
      <c r="F408" s="6" t="str">
        <f t="shared" si="12"/>
        <v>March</v>
      </c>
      <c r="G408" s="6">
        <f t="shared" si="13"/>
        <v>10</v>
      </c>
      <c r="H408" s="1">
        <f>SUMIF('Retal Tran Line Item'!E:E,A408,'Retal Tran Line Item'!B:B)</f>
        <v>8</v>
      </c>
    </row>
    <row r="409" spans="1:8">
      <c r="A409" s="1">
        <v>100407</v>
      </c>
      <c r="B409" s="1">
        <v>796796</v>
      </c>
      <c r="C409" s="2">
        <v>41340</v>
      </c>
      <c r="D409" s="1" t="s">
        <v>1992</v>
      </c>
      <c r="E409" s="6">
        <v>2</v>
      </c>
      <c r="F409" s="6" t="str">
        <f t="shared" si="12"/>
        <v>March</v>
      </c>
      <c r="G409" s="6">
        <f t="shared" si="13"/>
        <v>10</v>
      </c>
      <c r="H409" s="1">
        <f>SUMIF('Retal Tran Line Item'!E:E,A409,'Retal Tran Line Item'!B:B)</f>
        <v>19</v>
      </c>
    </row>
    <row r="410" spans="1:8">
      <c r="A410" s="1">
        <v>100408</v>
      </c>
      <c r="B410" s="1">
        <v>214537</v>
      </c>
      <c r="C410" s="2">
        <v>41340</v>
      </c>
      <c r="D410" s="1" t="s">
        <v>1989</v>
      </c>
      <c r="E410" s="6">
        <v>2</v>
      </c>
      <c r="F410" s="6" t="str">
        <f t="shared" si="12"/>
        <v>March</v>
      </c>
      <c r="G410" s="6">
        <f t="shared" si="13"/>
        <v>10</v>
      </c>
      <c r="H410" s="1">
        <f>SUMIF('Retal Tran Line Item'!E:E,A410,'Retal Tran Line Item'!B:B)</f>
        <v>2</v>
      </c>
    </row>
    <row r="411" spans="1:8">
      <c r="A411" s="1">
        <v>100409</v>
      </c>
      <c r="B411" s="1">
        <v>111991</v>
      </c>
      <c r="C411" s="2">
        <v>41341</v>
      </c>
      <c r="D411" s="1" t="s">
        <v>1994</v>
      </c>
      <c r="E411" s="6">
        <v>2</v>
      </c>
      <c r="F411" s="6" t="str">
        <f t="shared" si="12"/>
        <v>March</v>
      </c>
      <c r="G411" s="6">
        <f t="shared" si="13"/>
        <v>10</v>
      </c>
      <c r="H411" s="1">
        <f>SUMIF('Retal Tran Line Item'!E:E,A411,'Retal Tran Line Item'!B:B)</f>
        <v>8</v>
      </c>
    </row>
    <row r="412" spans="1:8">
      <c r="A412" s="1">
        <v>100410</v>
      </c>
      <c r="B412" s="1">
        <v>358901</v>
      </c>
      <c r="C412" s="2">
        <v>41341</v>
      </c>
      <c r="D412" s="1" t="s">
        <v>1989</v>
      </c>
      <c r="E412" s="6">
        <v>1</v>
      </c>
      <c r="F412" s="6" t="str">
        <f t="shared" si="12"/>
        <v>March</v>
      </c>
      <c r="G412" s="6">
        <f t="shared" si="13"/>
        <v>10</v>
      </c>
      <c r="H412" s="1">
        <f>SUMIF('Retal Tran Line Item'!E:E,A412,'Retal Tran Line Item'!B:B)</f>
        <v>10</v>
      </c>
    </row>
    <row r="413" spans="1:8">
      <c r="A413" s="1">
        <v>100411</v>
      </c>
      <c r="B413" s="1">
        <v>332324</v>
      </c>
      <c r="C413" s="2">
        <v>41341</v>
      </c>
      <c r="D413" s="1" t="s">
        <v>1989</v>
      </c>
      <c r="E413" s="6">
        <v>1</v>
      </c>
      <c r="F413" s="6" t="str">
        <f t="shared" si="12"/>
        <v>March</v>
      </c>
      <c r="G413" s="6">
        <f t="shared" si="13"/>
        <v>10</v>
      </c>
      <c r="H413" s="1">
        <f>SUMIF('Retal Tran Line Item'!E:E,A413,'Retal Tran Line Item'!B:B)</f>
        <v>2</v>
      </c>
    </row>
    <row r="414" spans="1:8">
      <c r="A414" s="1">
        <v>100412</v>
      </c>
      <c r="B414" s="1">
        <v>190721</v>
      </c>
      <c r="C414" s="2">
        <v>41341</v>
      </c>
      <c r="D414" s="1" t="s">
        <v>1993</v>
      </c>
      <c r="E414" s="6">
        <v>2</v>
      </c>
      <c r="F414" s="6" t="str">
        <f t="shared" si="12"/>
        <v>March</v>
      </c>
      <c r="G414" s="6">
        <f t="shared" si="13"/>
        <v>10</v>
      </c>
      <c r="H414" s="1">
        <f>SUMIF('Retal Tran Line Item'!E:E,A414,'Retal Tran Line Item'!B:B)</f>
        <v>10</v>
      </c>
    </row>
    <row r="415" spans="1:8">
      <c r="A415" s="1">
        <v>100413</v>
      </c>
      <c r="B415" s="1">
        <v>694281</v>
      </c>
      <c r="C415" s="2">
        <v>41341</v>
      </c>
      <c r="D415" s="1" t="s">
        <v>1989</v>
      </c>
      <c r="E415" s="6">
        <v>2</v>
      </c>
      <c r="F415" s="6" t="str">
        <f t="shared" si="12"/>
        <v>March</v>
      </c>
      <c r="G415" s="6">
        <f t="shared" si="13"/>
        <v>10</v>
      </c>
      <c r="H415" s="1">
        <f>SUMIF('Retal Tran Line Item'!E:E,A415,'Retal Tran Line Item'!B:B)</f>
        <v>5</v>
      </c>
    </row>
    <row r="416" spans="1:8">
      <c r="A416" s="1">
        <v>100414</v>
      </c>
      <c r="B416" s="1">
        <v>665282</v>
      </c>
      <c r="C416" s="2">
        <v>41341</v>
      </c>
      <c r="D416" s="1" t="s">
        <v>1993</v>
      </c>
      <c r="E416" s="6">
        <v>2</v>
      </c>
      <c r="F416" s="6" t="str">
        <f t="shared" si="12"/>
        <v>March</v>
      </c>
      <c r="G416" s="6">
        <f t="shared" si="13"/>
        <v>10</v>
      </c>
      <c r="H416" s="1">
        <f>SUMIF('Retal Tran Line Item'!E:E,A416,'Retal Tran Line Item'!B:B)</f>
        <v>24</v>
      </c>
    </row>
    <row r="417" spans="1:8">
      <c r="A417" s="1">
        <v>100415</v>
      </c>
      <c r="B417" s="1">
        <v>578275</v>
      </c>
      <c r="C417" s="2">
        <v>41341</v>
      </c>
      <c r="D417" s="1" t="s">
        <v>1989</v>
      </c>
      <c r="E417" s="6">
        <v>2</v>
      </c>
      <c r="F417" s="6" t="str">
        <f t="shared" si="12"/>
        <v>March</v>
      </c>
      <c r="G417" s="6">
        <f t="shared" si="13"/>
        <v>10</v>
      </c>
      <c r="H417" s="1">
        <f>SUMIF('Retal Tran Line Item'!E:E,A417,'Retal Tran Line Item'!B:B)</f>
        <v>14</v>
      </c>
    </row>
    <row r="418" spans="1:8">
      <c r="A418" s="1">
        <v>100416</v>
      </c>
      <c r="B418" s="1">
        <v>964403</v>
      </c>
      <c r="C418" s="2">
        <v>41342</v>
      </c>
      <c r="D418" s="1" t="s">
        <v>1992</v>
      </c>
      <c r="E418" s="6">
        <v>2</v>
      </c>
      <c r="F418" s="6" t="str">
        <f t="shared" si="12"/>
        <v>March</v>
      </c>
      <c r="G418" s="6">
        <f t="shared" si="13"/>
        <v>10</v>
      </c>
      <c r="H418" s="1">
        <f>SUMIF('Retal Tran Line Item'!E:E,A418,'Retal Tran Line Item'!B:B)</f>
        <v>1</v>
      </c>
    </row>
    <row r="419" spans="1:8">
      <c r="A419" s="1">
        <v>100417</v>
      </c>
      <c r="B419" s="1">
        <v>938006</v>
      </c>
      <c r="C419" s="2">
        <v>41342</v>
      </c>
      <c r="D419" s="1" t="s">
        <v>1992</v>
      </c>
      <c r="E419" s="6">
        <v>1</v>
      </c>
      <c r="F419" s="6" t="str">
        <f t="shared" si="12"/>
        <v>March</v>
      </c>
      <c r="G419" s="6">
        <f t="shared" si="13"/>
        <v>10</v>
      </c>
      <c r="H419" s="1">
        <f>SUMIF('Retal Tran Line Item'!E:E,A419,'Retal Tran Line Item'!B:B)</f>
        <v>25</v>
      </c>
    </row>
    <row r="420" spans="1:8">
      <c r="A420" s="1">
        <v>100418</v>
      </c>
      <c r="B420" s="1">
        <v>657495</v>
      </c>
      <c r="C420" s="2">
        <v>41342</v>
      </c>
      <c r="D420" s="1" t="s">
        <v>1994</v>
      </c>
      <c r="E420" s="6">
        <v>2</v>
      </c>
      <c r="F420" s="6" t="str">
        <f t="shared" si="12"/>
        <v>March</v>
      </c>
      <c r="G420" s="6">
        <f t="shared" si="13"/>
        <v>10</v>
      </c>
      <c r="H420" s="1">
        <f>SUMIF('Retal Tran Line Item'!E:E,A420,'Retal Tran Line Item'!B:B)</f>
        <v>5</v>
      </c>
    </row>
    <row r="421" spans="1:8">
      <c r="A421" s="1">
        <v>100419</v>
      </c>
      <c r="B421" s="1">
        <v>841141</v>
      </c>
      <c r="C421" s="2">
        <v>41342</v>
      </c>
      <c r="D421" s="1" t="s">
        <v>1992</v>
      </c>
      <c r="E421" s="6">
        <v>2</v>
      </c>
      <c r="F421" s="6" t="str">
        <f t="shared" si="12"/>
        <v>March</v>
      </c>
      <c r="G421" s="6">
        <f t="shared" si="13"/>
        <v>10</v>
      </c>
      <c r="H421" s="1">
        <f>SUMIF('Retal Tran Line Item'!E:E,A421,'Retal Tran Line Item'!B:B)</f>
        <v>9</v>
      </c>
    </row>
    <row r="422" spans="1:8">
      <c r="A422" s="1">
        <v>100420</v>
      </c>
      <c r="B422" s="1">
        <v>380003</v>
      </c>
      <c r="C422" s="2">
        <v>41342</v>
      </c>
      <c r="D422" s="1" t="s">
        <v>1992</v>
      </c>
      <c r="E422" s="6">
        <v>1</v>
      </c>
      <c r="F422" s="6" t="str">
        <f t="shared" si="12"/>
        <v>March</v>
      </c>
      <c r="G422" s="6">
        <f t="shared" si="13"/>
        <v>10</v>
      </c>
      <c r="H422" s="1">
        <f>SUMIF('Retal Tran Line Item'!E:E,A422,'Retal Tran Line Item'!B:B)</f>
        <v>10</v>
      </c>
    </row>
    <row r="423" spans="1:8">
      <c r="A423" s="1">
        <v>100421</v>
      </c>
      <c r="B423" s="1">
        <v>771285</v>
      </c>
      <c r="C423" s="2">
        <v>41343</v>
      </c>
      <c r="D423" s="1" t="s">
        <v>1993</v>
      </c>
      <c r="E423" s="6">
        <v>1</v>
      </c>
      <c r="F423" s="6" t="str">
        <f t="shared" si="12"/>
        <v>March</v>
      </c>
      <c r="G423" s="6">
        <f t="shared" si="13"/>
        <v>11</v>
      </c>
      <c r="H423" s="1">
        <f>SUMIF('Retal Tran Line Item'!E:E,A423,'Retal Tran Line Item'!B:B)</f>
        <v>24</v>
      </c>
    </row>
    <row r="424" spans="1:8">
      <c r="A424" s="1">
        <v>100422</v>
      </c>
      <c r="B424" s="1">
        <v>671363</v>
      </c>
      <c r="C424" s="2">
        <v>41343</v>
      </c>
      <c r="D424" s="1" t="s">
        <v>1994</v>
      </c>
      <c r="E424" s="6">
        <v>1</v>
      </c>
      <c r="F424" s="6" t="str">
        <f t="shared" si="12"/>
        <v>March</v>
      </c>
      <c r="G424" s="6">
        <f t="shared" si="13"/>
        <v>11</v>
      </c>
      <c r="H424" s="1">
        <f>SUMIF('Retal Tran Line Item'!E:E,A424,'Retal Tran Line Item'!B:B)</f>
        <v>6</v>
      </c>
    </row>
    <row r="425" spans="1:8">
      <c r="A425" s="1">
        <v>100423</v>
      </c>
      <c r="B425" s="1">
        <v>166135</v>
      </c>
      <c r="C425" s="2">
        <v>41343</v>
      </c>
      <c r="D425" s="1" t="s">
        <v>1989</v>
      </c>
      <c r="E425" s="6">
        <v>1</v>
      </c>
      <c r="F425" s="6" t="str">
        <f t="shared" si="12"/>
        <v>March</v>
      </c>
      <c r="G425" s="6">
        <f t="shared" si="13"/>
        <v>11</v>
      </c>
      <c r="H425" s="1">
        <f>SUMIF('Retal Tran Line Item'!E:E,A425,'Retal Tran Line Item'!B:B)</f>
        <v>9</v>
      </c>
    </row>
    <row r="426" spans="1:8">
      <c r="A426" s="1">
        <v>100424</v>
      </c>
      <c r="B426" s="1">
        <v>616028</v>
      </c>
      <c r="C426" s="2">
        <v>41343</v>
      </c>
      <c r="D426" s="1" t="s">
        <v>1992</v>
      </c>
      <c r="E426" s="6">
        <v>2</v>
      </c>
      <c r="F426" s="6" t="str">
        <f t="shared" si="12"/>
        <v>March</v>
      </c>
      <c r="G426" s="6">
        <f t="shared" si="13"/>
        <v>11</v>
      </c>
      <c r="H426" s="1">
        <f>SUMIF('Retal Tran Line Item'!E:E,A426,'Retal Tran Line Item'!B:B)</f>
        <v>7</v>
      </c>
    </row>
    <row r="427" spans="1:8">
      <c r="A427" s="1">
        <v>100425</v>
      </c>
      <c r="B427" s="1">
        <v>537860</v>
      </c>
      <c r="C427" s="2">
        <v>41344</v>
      </c>
      <c r="D427" s="1" t="s">
        <v>1989</v>
      </c>
      <c r="E427" s="6">
        <v>2</v>
      </c>
      <c r="F427" s="6" t="str">
        <f t="shared" si="12"/>
        <v>March</v>
      </c>
      <c r="G427" s="6">
        <f t="shared" si="13"/>
        <v>11</v>
      </c>
      <c r="H427" s="1">
        <f>SUMIF('Retal Tran Line Item'!E:E,A427,'Retal Tran Line Item'!B:B)</f>
        <v>9</v>
      </c>
    </row>
    <row r="428" spans="1:8">
      <c r="A428" s="1">
        <v>100426</v>
      </c>
      <c r="B428" s="1">
        <v>747066</v>
      </c>
      <c r="C428" s="2">
        <v>41345</v>
      </c>
      <c r="D428" s="1" t="s">
        <v>1993</v>
      </c>
      <c r="E428" s="6">
        <v>1</v>
      </c>
      <c r="F428" s="6" t="str">
        <f t="shared" si="12"/>
        <v>March</v>
      </c>
      <c r="G428" s="6">
        <f t="shared" si="13"/>
        <v>11</v>
      </c>
      <c r="H428" s="1">
        <f>SUMIF('Retal Tran Line Item'!E:E,A428,'Retal Tran Line Item'!B:B)</f>
        <v>19</v>
      </c>
    </row>
    <row r="429" spans="1:8">
      <c r="A429" s="1">
        <v>100427</v>
      </c>
      <c r="B429" s="1">
        <v>905670</v>
      </c>
      <c r="C429" s="2">
        <v>41346</v>
      </c>
      <c r="D429" s="1" t="s">
        <v>1993</v>
      </c>
      <c r="E429" s="6">
        <v>2</v>
      </c>
      <c r="F429" s="6" t="str">
        <f t="shared" si="12"/>
        <v>March</v>
      </c>
      <c r="G429" s="6">
        <f t="shared" si="13"/>
        <v>11</v>
      </c>
      <c r="H429" s="1">
        <f>SUMIF('Retal Tran Line Item'!E:E,A429,'Retal Tran Line Item'!B:B)</f>
        <v>16</v>
      </c>
    </row>
    <row r="430" spans="1:8">
      <c r="A430" s="1">
        <v>100428</v>
      </c>
      <c r="B430" s="1">
        <v>973766</v>
      </c>
      <c r="C430" s="2">
        <v>41346</v>
      </c>
      <c r="D430" s="1" t="s">
        <v>1989</v>
      </c>
      <c r="E430" s="6">
        <v>1</v>
      </c>
      <c r="F430" s="6" t="str">
        <f t="shared" si="12"/>
        <v>March</v>
      </c>
      <c r="G430" s="6">
        <f t="shared" si="13"/>
        <v>11</v>
      </c>
      <c r="H430" s="1">
        <f>SUMIF('Retal Tran Line Item'!E:E,A430,'Retal Tran Line Item'!B:B)</f>
        <v>10</v>
      </c>
    </row>
    <row r="431" spans="1:8">
      <c r="A431" s="1">
        <v>100429</v>
      </c>
      <c r="B431" s="1">
        <v>624668</v>
      </c>
      <c r="C431" s="2">
        <v>41346</v>
      </c>
      <c r="D431" s="1" t="s">
        <v>1992</v>
      </c>
      <c r="E431" s="6">
        <v>2</v>
      </c>
      <c r="F431" s="6" t="str">
        <f t="shared" si="12"/>
        <v>March</v>
      </c>
      <c r="G431" s="6">
        <f t="shared" si="13"/>
        <v>11</v>
      </c>
      <c r="H431" s="1">
        <f>SUMIF('Retal Tran Line Item'!E:E,A431,'Retal Tran Line Item'!B:B)</f>
        <v>10</v>
      </c>
    </row>
    <row r="432" spans="1:8">
      <c r="A432" s="1">
        <v>100430</v>
      </c>
      <c r="B432" s="1">
        <v>358901</v>
      </c>
      <c r="C432" s="2">
        <v>41346</v>
      </c>
      <c r="D432" s="1" t="s">
        <v>1989</v>
      </c>
      <c r="E432" s="6">
        <v>2</v>
      </c>
      <c r="F432" s="6" t="str">
        <f t="shared" si="12"/>
        <v>March</v>
      </c>
      <c r="G432" s="6">
        <f t="shared" si="13"/>
        <v>11</v>
      </c>
      <c r="H432" s="1">
        <f>SUMIF('Retal Tran Line Item'!E:E,A432,'Retal Tran Line Item'!B:B)</f>
        <v>22</v>
      </c>
    </row>
    <row r="433" spans="1:8">
      <c r="A433" s="1">
        <v>100431</v>
      </c>
      <c r="B433" s="1">
        <v>427826</v>
      </c>
      <c r="C433" s="2">
        <v>41347</v>
      </c>
      <c r="D433" s="1" t="s">
        <v>1992</v>
      </c>
      <c r="E433" s="6">
        <v>2</v>
      </c>
      <c r="F433" s="6" t="str">
        <f t="shared" si="12"/>
        <v>March</v>
      </c>
      <c r="G433" s="6">
        <f t="shared" si="13"/>
        <v>11</v>
      </c>
      <c r="H433" s="1">
        <f>SUMIF('Retal Tran Line Item'!E:E,A433,'Retal Tran Line Item'!B:B)</f>
        <v>4</v>
      </c>
    </row>
    <row r="434" spans="1:8">
      <c r="A434" s="1">
        <v>100432</v>
      </c>
      <c r="B434" s="1">
        <v>308662</v>
      </c>
      <c r="C434" s="2">
        <v>41347</v>
      </c>
      <c r="D434" s="1" t="s">
        <v>1989</v>
      </c>
      <c r="E434" s="6">
        <v>1</v>
      </c>
      <c r="F434" s="6" t="str">
        <f t="shared" si="12"/>
        <v>March</v>
      </c>
      <c r="G434" s="6">
        <f t="shared" si="13"/>
        <v>11</v>
      </c>
      <c r="H434" s="1">
        <f>SUMIF('Retal Tran Line Item'!E:E,A434,'Retal Tran Line Item'!B:B)</f>
        <v>2</v>
      </c>
    </row>
    <row r="435" spans="1:8">
      <c r="A435" s="1">
        <v>100433</v>
      </c>
      <c r="B435" s="1">
        <v>840970</v>
      </c>
      <c r="C435" s="2">
        <v>41347</v>
      </c>
      <c r="D435" s="1" t="s">
        <v>1994</v>
      </c>
      <c r="E435" s="6">
        <v>2</v>
      </c>
      <c r="F435" s="6" t="str">
        <f t="shared" si="12"/>
        <v>March</v>
      </c>
      <c r="G435" s="6">
        <f t="shared" si="13"/>
        <v>11</v>
      </c>
      <c r="H435" s="1">
        <f>SUMIF('Retal Tran Line Item'!E:E,A435,'Retal Tran Line Item'!B:B)</f>
        <v>1</v>
      </c>
    </row>
    <row r="436" spans="1:8">
      <c r="A436" s="1">
        <v>100434</v>
      </c>
      <c r="B436" s="1">
        <v>793987</v>
      </c>
      <c r="C436" s="2">
        <v>41347</v>
      </c>
      <c r="D436" s="1" t="s">
        <v>1994</v>
      </c>
      <c r="E436" s="6">
        <v>1</v>
      </c>
      <c r="F436" s="6" t="str">
        <f t="shared" si="12"/>
        <v>March</v>
      </c>
      <c r="G436" s="6">
        <f t="shared" si="13"/>
        <v>11</v>
      </c>
      <c r="H436" s="1">
        <f>SUMIF('Retal Tran Line Item'!E:E,A436,'Retal Tran Line Item'!B:B)</f>
        <v>17</v>
      </c>
    </row>
    <row r="437" spans="1:8">
      <c r="A437" s="1">
        <v>100435</v>
      </c>
      <c r="B437" s="1">
        <v>840096</v>
      </c>
      <c r="C437" s="2">
        <v>41347</v>
      </c>
      <c r="D437" s="1" t="s">
        <v>1992</v>
      </c>
      <c r="E437" s="6">
        <v>2</v>
      </c>
      <c r="F437" s="6" t="str">
        <f t="shared" si="12"/>
        <v>March</v>
      </c>
      <c r="G437" s="6">
        <f t="shared" si="13"/>
        <v>11</v>
      </c>
      <c r="H437" s="1">
        <f>SUMIF('Retal Tran Line Item'!E:E,A437,'Retal Tran Line Item'!B:B)</f>
        <v>5</v>
      </c>
    </row>
    <row r="438" spans="1:8">
      <c r="A438" s="1">
        <v>100436</v>
      </c>
      <c r="B438" s="1">
        <v>880238</v>
      </c>
      <c r="C438" s="2">
        <v>41347</v>
      </c>
      <c r="D438" s="1" t="s">
        <v>1993</v>
      </c>
      <c r="E438" s="6">
        <v>1</v>
      </c>
      <c r="F438" s="6" t="str">
        <f t="shared" si="12"/>
        <v>March</v>
      </c>
      <c r="G438" s="6">
        <f t="shared" si="13"/>
        <v>11</v>
      </c>
      <c r="H438" s="1">
        <f>SUMIF('Retal Tran Line Item'!E:E,A438,'Retal Tran Line Item'!B:B)</f>
        <v>17</v>
      </c>
    </row>
    <row r="439" spans="1:8">
      <c r="A439" s="1">
        <v>100437</v>
      </c>
      <c r="B439" s="1">
        <v>837763</v>
      </c>
      <c r="C439" s="2">
        <v>41348</v>
      </c>
      <c r="D439" s="1" t="s">
        <v>1994</v>
      </c>
      <c r="E439" s="6">
        <v>1</v>
      </c>
      <c r="F439" s="6" t="str">
        <f t="shared" si="12"/>
        <v>March</v>
      </c>
      <c r="G439" s="6">
        <f t="shared" si="13"/>
        <v>11</v>
      </c>
      <c r="H439" s="1">
        <f>SUMIF('Retal Tran Line Item'!E:E,A439,'Retal Tran Line Item'!B:B)</f>
        <v>27</v>
      </c>
    </row>
    <row r="440" spans="1:8">
      <c r="A440" s="1">
        <v>100438</v>
      </c>
      <c r="B440" s="1">
        <v>426984</v>
      </c>
      <c r="C440" s="2">
        <v>41348</v>
      </c>
      <c r="D440" s="1" t="s">
        <v>1992</v>
      </c>
      <c r="E440" s="6">
        <v>2</v>
      </c>
      <c r="F440" s="6" t="str">
        <f t="shared" si="12"/>
        <v>March</v>
      </c>
      <c r="G440" s="6">
        <f t="shared" si="13"/>
        <v>11</v>
      </c>
      <c r="H440" s="1">
        <f>SUMIF('Retal Tran Line Item'!E:E,A440,'Retal Tran Line Item'!B:B)</f>
        <v>10</v>
      </c>
    </row>
    <row r="441" spans="1:8">
      <c r="A441" s="1">
        <v>100439</v>
      </c>
      <c r="B441" s="1">
        <v>724813</v>
      </c>
      <c r="C441" s="2">
        <v>41348</v>
      </c>
      <c r="D441" s="1" t="s">
        <v>1989</v>
      </c>
      <c r="E441" s="6">
        <v>1</v>
      </c>
      <c r="F441" s="6" t="str">
        <f t="shared" si="12"/>
        <v>March</v>
      </c>
      <c r="G441" s="6">
        <f t="shared" si="13"/>
        <v>11</v>
      </c>
      <c r="H441" s="1">
        <f>SUMIF('Retal Tran Line Item'!E:E,A441,'Retal Tran Line Item'!B:B)</f>
        <v>2</v>
      </c>
    </row>
    <row r="442" spans="1:8">
      <c r="A442" s="1">
        <v>100440</v>
      </c>
      <c r="B442" s="1">
        <v>649551</v>
      </c>
      <c r="C442" s="2">
        <v>41348</v>
      </c>
      <c r="D442" s="1" t="s">
        <v>1993</v>
      </c>
      <c r="E442" s="6">
        <v>2</v>
      </c>
      <c r="F442" s="6" t="str">
        <f t="shared" si="12"/>
        <v>March</v>
      </c>
      <c r="G442" s="6">
        <f t="shared" si="13"/>
        <v>11</v>
      </c>
      <c r="H442" s="1">
        <f>SUMIF('Retal Tran Line Item'!E:E,A442,'Retal Tran Line Item'!B:B)</f>
        <v>12</v>
      </c>
    </row>
    <row r="443" spans="1:8">
      <c r="A443" s="1">
        <v>100441</v>
      </c>
      <c r="B443" s="1">
        <v>782947</v>
      </c>
      <c r="C443" s="2">
        <v>41348</v>
      </c>
      <c r="D443" s="1" t="s">
        <v>1993</v>
      </c>
      <c r="E443" s="6">
        <v>2</v>
      </c>
      <c r="F443" s="6" t="str">
        <f t="shared" si="12"/>
        <v>March</v>
      </c>
      <c r="G443" s="6">
        <f t="shared" si="13"/>
        <v>11</v>
      </c>
      <c r="H443" s="1">
        <f>SUMIF('Retal Tran Line Item'!E:E,A443,'Retal Tran Line Item'!B:B)</f>
        <v>16</v>
      </c>
    </row>
    <row r="444" spans="1:8">
      <c r="A444" s="1">
        <v>100442</v>
      </c>
      <c r="B444" s="1">
        <v>289693</v>
      </c>
      <c r="C444" s="2">
        <v>41348</v>
      </c>
      <c r="D444" s="1" t="s">
        <v>1989</v>
      </c>
      <c r="E444" s="6">
        <v>1</v>
      </c>
      <c r="F444" s="6" t="str">
        <f t="shared" si="12"/>
        <v>March</v>
      </c>
      <c r="G444" s="6">
        <f t="shared" si="13"/>
        <v>11</v>
      </c>
      <c r="H444" s="1">
        <f>SUMIF('Retal Tran Line Item'!E:E,A444,'Retal Tran Line Item'!B:B)</f>
        <v>8</v>
      </c>
    </row>
    <row r="445" spans="1:8">
      <c r="A445" s="1">
        <v>100443</v>
      </c>
      <c r="B445" s="1">
        <v>800121</v>
      </c>
      <c r="C445" s="2">
        <v>41348</v>
      </c>
      <c r="D445" s="1" t="s">
        <v>1993</v>
      </c>
      <c r="E445" s="6">
        <v>1</v>
      </c>
      <c r="F445" s="6" t="str">
        <f t="shared" si="12"/>
        <v>March</v>
      </c>
      <c r="G445" s="6">
        <f t="shared" si="13"/>
        <v>11</v>
      </c>
      <c r="H445" s="1">
        <f>SUMIF('Retal Tran Line Item'!E:E,A445,'Retal Tran Line Item'!B:B)</f>
        <v>6</v>
      </c>
    </row>
    <row r="446" spans="1:8">
      <c r="A446" s="1">
        <v>100444</v>
      </c>
      <c r="B446" s="1">
        <v>491380</v>
      </c>
      <c r="C446" s="2">
        <v>41348</v>
      </c>
      <c r="D446" s="1" t="s">
        <v>1992</v>
      </c>
      <c r="E446" s="6">
        <v>2</v>
      </c>
      <c r="F446" s="6" t="str">
        <f t="shared" si="12"/>
        <v>March</v>
      </c>
      <c r="G446" s="6">
        <f t="shared" si="13"/>
        <v>11</v>
      </c>
      <c r="H446" s="1">
        <f>SUMIF('Retal Tran Line Item'!E:E,A446,'Retal Tran Line Item'!B:B)</f>
        <v>9</v>
      </c>
    </row>
    <row r="447" spans="1:8">
      <c r="A447" s="1">
        <v>100445</v>
      </c>
      <c r="B447" s="1">
        <v>454015</v>
      </c>
      <c r="C447" s="2">
        <v>41349</v>
      </c>
      <c r="D447" s="1" t="s">
        <v>1993</v>
      </c>
      <c r="E447" s="6">
        <v>2</v>
      </c>
      <c r="F447" s="6" t="str">
        <f t="shared" si="12"/>
        <v>March</v>
      </c>
      <c r="G447" s="6">
        <f t="shared" si="13"/>
        <v>11</v>
      </c>
      <c r="H447" s="1">
        <f>SUMIF('Retal Tran Line Item'!E:E,A447,'Retal Tran Line Item'!B:B)</f>
        <v>15</v>
      </c>
    </row>
    <row r="448" spans="1:8">
      <c r="A448" s="1">
        <v>100446</v>
      </c>
      <c r="B448" s="1">
        <v>491380</v>
      </c>
      <c r="C448" s="2">
        <v>41349</v>
      </c>
      <c r="D448" s="1" t="s">
        <v>1992</v>
      </c>
      <c r="E448" s="6">
        <v>1</v>
      </c>
      <c r="F448" s="6" t="str">
        <f t="shared" si="12"/>
        <v>March</v>
      </c>
      <c r="G448" s="6">
        <f t="shared" si="13"/>
        <v>11</v>
      </c>
      <c r="H448" s="1">
        <f>SUMIF('Retal Tran Line Item'!E:E,A448,'Retal Tran Line Item'!B:B)</f>
        <v>2</v>
      </c>
    </row>
    <row r="449" spans="1:8">
      <c r="A449" s="1">
        <v>100447</v>
      </c>
      <c r="B449" s="1">
        <v>893039</v>
      </c>
      <c r="C449" s="2">
        <v>41349</v>
      </c>
      <c r="D449" s="1" t="s">
        <v>1992</v>
      </c>
      <c r="E449" s="6">
        <v>1</v>
      </c>
      <c r="F449" s="6" t="str">
        <f t="shared" si="12"/>
        <v>March</v>
      </c>
      <c r="G449" s="6">
        <f t="shared" si="13"/>
        <v>11</v>
      </c>
      <c r="H449" s="1">
        <f>SUMIF('Retal Tran Line Item'!E:E,A449,'Retal Tran Line Item'!B:B)</f>
        <v>5</v>
      </c>
    </row>
    <row r="450" spans="1:8">
      <c r="A450" s="1">
        <v>100448</v>
      </c>
      <c r="B450" s="1">
        <v>220206</v>
      </c>
      <c r="C450" s="2">
        <v>41349</v>
      </c>
      <c r="D450" s="1" t="s">
        <v>1992</v>
      </c>
      <c r="E450" s="6">
        <v>2</v>
      </c>
      <c r="F450" s="6" t="str">
        <f t="shared" si="12"/>
        <v>March</v>
      </c>
      <c r="G450" s="6">
        <f t="shared" si="13"/>
        <v>11</v>
      </c>
      <c r="H450" s="1">
        <f>SUMIF('Retal Tran Line Item'!E:E,A450,'Retal Tran Line Item'!B:B)</f>
        <v>14</v>
      </c>
    </row>
    <row r="451" spans="1:8">
      <c r="A451" s="1">
        <v>100449</v>
      </c>
      <c r="B451" s="1">
        <v>157695</v>
      </c>
      <c r="C451" s="2">
        <v>41349</v>
      </c>
      <c r="D451" s="1" t="s">
        <v>1994</v>
      </c>
      <c r="E451" s="6">
        <v>2</v>
      </c>
      <c r="F451" s="6" t="str">
        <f t="shared" ref="F451:F514" si="14">TEXT(C451,"MMMM")</f>
        <v>March</v>
      </c>
      <c r="G451" s="6">
        <f t="shared" ref="G451:G514" si="15">WEEKNUM(C451)</f>
        <v>11</v>
      </c>
      <c r="H451" s="1">
        <f>SUMIF('Retal Tran Line Item'!E:E,A451,'Retal Tran Line Item'!B:B)</f>
        <v>34</v>
      </c>
    </row>
    <row r="452" spans="1:8">
      <c r="A452" s="1">
        <v>100450</v>
      </c>
      <c r="B452" s="1">
        <v>806545</v>
      </c>
      <c r="C452" s="2">
        <v>41350</v>
      </c>
      <c r="D452" s="1" t="s">
        <v>1994</v>
      </c>
      <c r="E452" s="6">
        <v>1</v>
      </c>
      <c r="F452" s="6" t="str">
        <f t="shared" si="14"/>
        <v>March</v>
      </c>
      <c r="G452" s="6">
        <f t="shared" si="15"/>
        <v>12</v>
      </c>
      <c r="H452" s="1">
        <f>SUMIF('Retal Tran Line Item'!E:E,A452,'Retal Tran Line Item'!B:B)</f>
        <v>1</v>
      </c>
    </row>
    <row r="453" spans="1:8">
      <c r="A453" s="1">
        <v>100451</v>
      </c>
      <c r="B453" s="1">
        <v>785444</v>
      </c>
      <c r="C453" s="2">
        <v>41350</v>
      </c>
      <c r="D453" s="1" t="s">
        <v>1992</v>
      </c>
      <c r="E453" s="6">
        <v>2</v>
      </c>
      <c r="F453" s="6" t="str">
        <f t="shared" si="14"/>
        <v>March</v>
      </c>
      <c r="G453" s="6">
        <f t="shared" si="15"/>
        <v>12</v>
      </c>
      <c r="H453" s="1">
        <f>SUMIF('Retal Tran Line Item'!E:E,A453,'Retal Tran Line Item'!B:B)</f>
        <v>1</v>
      </c>
    </row>
    <row r="454" spans="1:8">
      <c r="A454" s="1">
        <v>100452</v>
      </c>
      <c r="B454" s="1">
        <v>925565</v>
      </c>
      <c r="C454" s="2">
        <v>41351</v>
      </c>
      <c r="D454" s="1" t="s">
        <v>1992</v>
      </c>
      <c r="E454" s="6">
        <v>1</v>
      </c>
      <c r="F454" s="6" t="str">
        <f t="shared" si="14"/>
        <v>March</v>
      </c>
      <c r="G454" s="6">
        <f t="shared" si="15"/>
        <v>12</v>
      </c>
      <c r="H454" s="1">
        <f>SUMIF('Retal Tran Line Item'!E:E,A454,'Retal Tran Line Item'!B:B)</f>
        <v>20</v>
      </c>
    </row>
    <row r="455" spans="1:8">
      <c r="A455" s="1">
        <v>100453</v>
      </c>
      <c r="B455" s="1">
        <v>347189</v>
      </c>
      <c r="C455" s="2">
        <v>41351</v>
      </c>
      <c r="D455" s="1" t="s">
        <v>1989</v>
      </c>
      <c r="E455" s="6">
        <v>1</v>
      </c>
      <c r="F455" s="6" t="str">
        <f t="shared" si="14"/>
        <v>March</v>
      </c>
      <c r="G455" s="6">
        <f t="shared" si="15"/>
        <v>12</v>
      </c>
      <c r="H455" s="1">
        <f>SUMIF('Retal Tran Line Item'!E:E,A455,'Retal Tran Line Item'!B:B)</f>
        <v>4</v>
      </c>
    </row>
    <row r="456" spans="1:8">
      <c r="A456" s="1">
        <v>100454</v>
      </c>
      <c r="B456" s="1">
        <v>224094</v>
      </c>
      <c r="C456" s="2">
        <v>41351</v>
      </c>
      <c r="D456" s="1" t="s">
        <v>1989</v>
      </c>
      <c r="E456" s="6">
        <v>2</v>
      </c>
      <c r="F456" s="6" t="str">
        <f t="shared" si="14"/>
        <v>March</v>
      </c>
      <c r="G456" s="6">
        <f t="shared" si="15"/>
        <v>12</v>
      </c>
      <c r="H456" s="1">
        <f>SUMIF('Retal Tran Line Item'!E:E,A456,'Retal Tran Line Item'!B:B)</f>
        <v>1</v>
      </c>
    </row>
    <row r="457" spans="1:8">
      <c r="A457" s="1">
        <v>100455</v>
      </c>
      <c r="B457" s="1">
        <v>199895</v>
      </c>
      <c r="C457" s="2">
        <v>41351</v>
      </c>
      <c r="D457" s="1" t="s">
        <v>1989</v>
      </c>
      <c r="E457" s="6">
        <v>1</v>
      </c>
      <c r="F457" s="6" t="str">
        <f t="shared" si="14"/>
        <v>March</v>
      </c>
      <c r="G457" s="6">
        <f t="shared" si="15"/>
        <v>12</v>
      </c>
      <c r="H457" s="1">
        <f>SUMIF('Retal Tran Line Item'!E:E,A457,'Retal Tran Line Item'!B:B)</f>
        <v>15</v>
      </c>
    </row>
    <row r="458" spans="1:8">
      <c r="A458" s="1">
        <v>100456</v>
      </c>
      <c r="B458" s="1">
        <v>415869</v>
      </c>
      <c r="C458" s="2">
        <v>41351</v>
      </c>
      <c r="D458" s="1" t="s">
        <v>1993</v>
      </c>
      <c r="E458" s="6">
        <v>1</v>
      </c>
      <c r="F458" s="6" t="str">
        <f t="shared" si="14"/>
        <v>March</v>
      </c>
      <c r="G458" s="6">
        <f t="shared" si="15"/>
        <v>12</v>
      </c>
      <c r="H458" s="1">
        <f>SUMIF('Retal Tran Line Item'!E:E,A458,'Retal Tran Line Item'!B:B)</f>
        <v>8</v>
      </c>
    </row>
    <row r="459" spans="1:8">
      <c r="A459" s="1">
        <v>100457</v>
      </c>
      <c r="B459" s="1">
        <v>137696</v>
      </c>
      <c r="C459" s="2">
        <v>41351</v>
      </c>
      <c r="D459" s="1" t="s">
        <v>1994</v>
      </c>
      <c r="E459" s="6">
        <v>2</v>
      </c>
      <c r="F459" s="6" t="str">
        <f t="shared" si="14"/>
        <v>March</v>
      </c>
      <c r="G459" s="6">
        <f t="shared" si="15"/>
        <v>12</v>
      </c>
      <c r="H459" s="1">
        <f>SUMIF('Retal Tran Line Item'!E:E,A459,'Retal Tran Line Item'!B:B)</f>
        <v>10</v>
      </c>
    </row>
    <row r="460" spans="1:8">
      <c r="A460" s="1">
        <v>100458</v>
      </c>
      <c r="B460" s="1">
        <v>961080</v>
      </c>
      <c r="C460" s="2">
        <v>41352</v>
      </c>
      <c r="D460" s="1" t="s">
        <v>1992</v>
      </c>
      <c r="E460" s="6">
        <v>1</v>
      </c>
      <c r="F460" s="6" t="str">
        <f t="shared" si="14"/>
        <v>March</v>
      </c>
      <c r="G460" s="6">
        <f t="shared" si="15"/>
        <v>12</v>
      </c>
      <c r="H460" s="1">
        <f>SUMIF('Retal Tran Line Item'!E:E,A460,'Retal Tran Line Item'!B:B)</f>
        <v>12</v>
      </c>
    </row>
    <row r="461" spans="1:8">
      <c r="A461" s="1">
        <v>100459</v>
      </c>
      <c r="B461" s="1">
        <v>244282</v>
      </c>
      <c r="C461" s="2">
        <v>41352</v>
      </c>
      <c r="D461" s="1" t="s">
        <v>1992</v>
      </c>
      <c r="E461" s="6">
        <v>1</v>
      </c>
      <c r="F461" s="6" t="str">
        <f t="shared" si="14"/>
        <v>March</v>
      </c>
      <c r="G461" s="6">
        <f t="shared" si="15"/>
        <v>12</v>
      </c>
      <c r="H461" s="1">
        <f>SUMIF('Retal Tran Line Item'!E:E,A461,'Retal Tran Line Item'!B:B)</f>
        <v>8</v>
      </c>
    </row>
    <row r="462" spans="1:8">
      <c r="A462" s="1">
        <v>100460</v>
      </c>
      <c r="B462" s="1">
        <v>147543</v>
      </c>
      <c r="C462" s="2">
        <v>41352</v>
      </c>
      <c r="D462" s="1" t="s">
        <v>1993</v>
      </c>
      <c r="E462" s="6">
        <v>1</v>
      </c>
      <c r="F462" s="6" t="str">
        <f t="shared" si="14"/>
        <v>March</v>
      </c>
      <c r="G462" s="6">
        <f t="shared" si="15"/>
        <v>12</v>
      </c>
      <c r="H462" s="1">
        <f>SUMIF('Retal Tran Line Item'!E:E,A462,'Retal Tran Line Item'!B:B)</f>
        <v>1</v>
      </c>
    </row>
    <row r="463" spans="1:8">
      <c r="A463" s="1">
        <v>100461</v>
      </c>
      <c r="B463" s="1">
        <v>665282</v>
      </c>
      <c r="C463" s="2">
        <v>41352</v>
      </c>
      <c r="D463" s="1" t="s">
        <v>1993</v>
      </c>
      <c r="E463" s="6">
        <v>2</v>
      </c>
      <c r="F463" s="6" t="str">
        <f t="shared" si="14"/>
        <v>March</v>
      </c>
      <c r="G463" s="6">
        <f t="shared" si="15"/>
        <v>12</v>
      </c>
      <c r="H463" s="1">
        <f>SUMIF('Retal Tran Line Item'!E:E,A463,'Retal Tran Line Item'!B:B)</f>
        <v>7</v>
      </c>
    </row>
    <row r="464" spans="1:8">
      <c r="A464" s="1">
        <v>100462</v>
      </c>
      <c r="B464" s="1">
        <v>479497</v>
      </c>
      <c r="C464" s="2">
        <v>41353</v>
      </c>
      <c r="D464" s="1" t="s">
        <v>1994</v>
      </c>
      <c r="E464" s="6">
        <v>2</v>
      </c>
      <c r="F464" s="6" t="str">
        <f t="shared" si="14"/>
        <v>March</v>
      </c>
      <c r="G464" s="6">
        <f t="shared" si="15"/>
        <v>12</v>
      </c>
      <c r="H464" s="1">
        <f>SUMIF('Retal Tran Line Item'!E:E,A464,'Retal Tran Line Item'!B:B)</f>
        <v>1</v>
      </c>
    </row>
    <row r="465" spans="1:8">
      <c r="A465" s="1">
        <v>100463</v>
      </c>
      <c r="B465" s="1">
        <v>166612</v>
      </c>
      <c r="C465" s="2">
        <v>41353</v>
      </c>
      <c r="D465" s="1" t="s">
        <v>1993</v>
      </c>
      <c r="E465" s="6">
        <v>1</v>
      </c>
      <c r="F465" s="6" t="str">
        <f t="shared" si="14"/>
        <v>March</v>
      </c>
      <c r="G465" s="6">
        <f t="shared" si="15"/>
        <v>12</v>
      </c>
      <c r="H465" s="1">
        <f>SUMIF('Retal Tran Line Item'!E:E,A465,'Retal Tran Line Item'!B:B)</f>
        <v>4</v>
      </c>
    </row>
    <row r="466" spans="1:8">
      <c r="A466" s="1">
        <v>100464</v>
      </c>
      <c r="B466" s="1">
        <v>227372</v>
      </c>
      <c r="C466" s="2">
        <v>41353</v>
      </c>
      <c r="D466" s="1" t="s">
        <v>1992</v>
      </c>
      <c r="E466" s="6">
        <v>2</v>
      </c>
      <c r="F466" s="6" t="str">
        <f t="shared" si="14"/>
        <v>March</v>
      </c>
      <c r="G466" s="6">
        <f t="shared" si="15"/>
        <v>12</v>
      </c>
      <c r="H466" s="1">
        <f>SUMIF('Retal Tran Line Item'!E:E,A466,'Retal Tran Line Item'!B:B)</f>
        <v>3</v>
      </c>
    </row>
    <row r="467" spans="1:8">
      <c r="A467" s="1">
        <v>100465</v>
      </c>
      <c r="B467" s="1">
        <v>734624</v>
      </c>
      <c r="C467" s="2">
        <v>41353</v>
      </c>
      <c r="D467" s="1" t="s">
        <v>1994</v>
      </c>
      <c r="E467" s="6">
        <v>1</v>
      </c>
      <c r="F467" s="6" t="str">
        <f t="shared" si="14"/>
        <v>March</v>
      </c>
      <c r="G467" s="6">
        <f t="shared" si="15"/>
        <v>12</v>
      </c>
      <c r="H467" s="1">
        <f>SUMIF('Retal Tran Line Item'!E:E,A467,'Retal Tran Line Item'!B:B)</f>
        <v>20</v>
      </c>
    </row>
    <row r="468" spans="1:8">
      <c r="A468" s="1">
        <v>100466</v>
      </c>
      <c r="B468" s="1">
        <v>689877</v>
      </c>
      <c r="C468" s="2">
        <v>41353</v>
      </c>
      <c r="D468" s="1" t="s">
        <v>1994</v>
      </c>
      <c r="E468" s="6">
        <v>2</v>
      </c>
      <c r="F468" s="6" t="str">
        <f t="shared" si="14"/>
        <v>March</v>
      </c>
      <c r="G468" s="6">
        <f t="shared" si="15"/>
        <v>12</v>
      </c>
      <c r="H468" s="1">
        <f>SUMIF('Retal Tran Line Item'!E:E,A468,'Retal Tran Line Item'!B:B)</f>
        <v>1</v>
      </c>
    </row>
    <row r="469" spans="1:8">
      <c r="A469" s="1">
        <v>100467</v>
      </c>
      <c r="B469" s="1">
        <v>814512</v>
      </c>
      <c r="C469" s="2">
        <v>41353</v>
      </c>
      <c r="D469" s="1" t="s">
        <v>1992</v>
      </c>
      <c r="E469" s="6">
        <v>1</v>
      </c>
      <c r="F469" s="6" t="str">
        <f t="shared" si="14"/>
        <v>March</v>
      </c>
      <c r="G469" s="6">
        <f t="shared" si="15"/>
        <v>12</v>
      </c>
      <c r="H469" s="1">
        <f>SUMIF('Retal Tran Line Item'!E:E,A469,'Retal Tran Line Item'!B:B)</f>
        <v>12</v>
      </c>
    </row>
    <row r="470" spans="1:8">
      <c r="A470" s="1">
        <v>100468</v>
      </c>
      <c r="B470" s="1">
        <v>178806</v>
      </c>
      <c r="C470" s="2">
        <v>41354</v>
      </c>
      <c r="D470" s="1" t="s">
        <v>1992</v>
      </c>
      <c r="E470" s="6">
        <v>1</v>
      </c>
      <c r="F470" s="6" t="str">
        <f t="shared" si="14"/>
        <v>March</v>
      </c>
      <c r="G470" s="6">
        <f t="shared" si="15"/>
        <v>12</v>
      </c>
      <c r="H470" s="1">
        <f>SUMIF('Retal Tran Line Item'!E:E,A470,'Retal Tran Line Item'!B:B)</f>
        <v>2</v>
      </c>
    </row>
    <row r="471" spans="1:8">
      <c r="A471" s="1">
        <v>100469</v>
      </c>
      <c r="B471" s="1">
        <v>166735</v>
      </c>
      <c r="C471" s="2">
        <v>41354</v>
      </c>
      <c r="D471" s="1" t="s">
        <v>1989</v>
      </c>
      <c r="E471" s="6">
        <v>2</v>
      </c>
      <c r="F471" s="6" t="str">
        <f t="shared" si="14"/>
        <v>March</v>
      </c>
      <c r="G471" s="6">
        <f t="shared" si="15"/>
        <v>12</v>
      </c>
      <c r="H471" s="1">
        <f>SUMIF('Retal Tran Line Item'!E:E,A471,'Retal Tran Line Item'!B:B)</f>
        <v>9</v>
      </c>
    </row>
    <row r="472" spans="1:8">
      <c r="A472" s="1">
        <v>100470</v>
      </c>
      <c r="B472" s="1">
        <v>429748</v>
      </c>
      <c r="C472" s="2">
        <v>41354</v>
      </c>
      <c r="D472" s="1" t="s">
        <v>1994</v>
      </c>
      <c r="E472" s="6">
        <v>1</v>
      </c>
      <c r="F472" s="6" t="str">
        <f t="shared" si="14"/>
        <v>March</v>
      </c>
      <c r="G472" s="6">
        <f t="shared" si="15"/>
        <v>12</v>
      </c>
      <c r="H472" s="1">
        <f>SUMIF('Retal Tran Line Item'!E:E,A472,'Retal Tran Line Item'!B:B)</f>
        <v>2</v>
      </c>
    </row>
    <row r="473" spans="1:8">
      <c r="A473" s="1">
        <v>100471</v>
      </c>
      <c r="B473" s="1">
        <v>415869</v>
      </c>
      <c r="C473" s="2">
        <v>41354</v>
      </c>
      <c r="D473" s="1" t="s">
        <v>1993</v>
      </c>
      <c r="E473" s="6">
        <v>1</v>
      </c>
      <c r="F473" s="6" t="str">
        <f t="shared" si="14"/>
        <v>March</v>
      </c>
      <c r="G473" s="6">
        <f t="shared" si="15"/>
        <v>12</v>
      </c>
      <c r="H473" s="1">
        <f>SUMIF('Retal Tran Line Item'!E:E,A473,'Retal Tran Line Item'!B:B)</f>
        <v>5</v>
      </c>
    </row>
    <row r="474" spans="1:8">
      <c r="A474" s="1">
        <v>100472</v>
      </c>
      <c r="B474" s="1">
        <v>756928</v>
      </c>
      <c r="C474" s="2">
        <v>41354</v>
      </c>
      <c r="D474" s="1" t="s">
        <v>1993</v>
      </c>
      <c r="E474" s="6">
        <v>1</v>
      </c>
      <c r="F474" s="6" t="str">
        <f t="shared" si="14"/>
        <v>March</v>
      </c>
      <c r="G474" s="6">
        <f t="shared" si="15"/>
        <v>12</v>
      </c>
      <c r="H474" s="1">
        <f>SUMIF('Retal Tran Line Item'!E:E,A474,'Retal Tran Line Item'!B:B)</f>
        <v>2</v>
      </c>
    </row>
    <row r="475" spans="1:8">
      <c r="A475" s="1">
        <v>100473</v>
      </c>
      <c r="B475" s="1">
        <v>926289</v>
      </c>
      <c r="C475" s="2">
        <v>41354</v>
      </c>
      <c r="D475" s="1" t="s">
        <v>1994</v>
      </c>
      <c r="E475" s="6">
        <v>2</v>
      </c>
      <c r="F475" s="6" t="str">
        <f t="shared" si="14"/>
        <v>March</v>
      </c>
      <c r="G475" s="6">
        <f t="shared" si="15"/>
        <v>12</v>
      </c>
      <c r="H475" s="1">
        <f>SUMIF('Retal Tran Line Item'!E:E,A475,'Retal Tran Line Item'!B:B)</f>
        <v>6</v>
      </c>
    </row>
    <row r="476" spans="1:8">
      <c r="A476" s="1">
        <v>100474</v>
      </c>
      <c r="B476" s="1">
        <v>517477</v>
      </c>
      <c r="C476" s="2">
        <v>41354</v>
      </c>
      <c r="D476" s="1" t="s">
        <v>1992</v>
      </c>
      <c r="E476" s="6">
        <v>2</v>
      </c>
      <c r="F476" s="6" t="str">
        <f t="shared" si="14"/>
        <v>March</v>
      </c>
      <c r="G476" s="6">
        <f t="shared" si="15"/>
        <v>12</v>
      </c>
      <c r="H476" s="1">
        <f>SUMIF('Retal Tran Line Item'!E:E,A476,'Retal Tran Line Item'!B:B)</f>
        <v>7</v>
      </c>
    </row>
    <row r="477" spans="1:8">
      <c r="A477" s="1">
        <v>100475</v>
      </c>
      <c r="B477" s="1">
        <v>724813</v>
      </c>
      <c r="C477" s="2">
        <v>41354</v>
      </c>
      <c r="D477" s="1" t="s">
        <v>1989</v>
      </c>
      <c r="E477" s="6">
        <v>1</v>
      </c>
      <c r="F477" s="6" t="str">
        <f t="shared" si="14"/>
        <v>March</v>
      </c>
      <c r="G477" s="6">
        <f t="shared" si="15"/>
        <v>12</v>
      </c>
      <c r="H477" s="1">
        <f>SUMIF('Retal Tran Line Item'!E:E,A477,'Retal Tran Line Item'!B:B)</f>
        <v>13</v>
      </c>
    </row>
    <row r="478" spans="1:8">
      <c r="A478" s="1">
        <v>100476</v>
      </c>
      <c r="B478" s="1">
        <v>784218</v>
      </c>
      <c r="C478" s="2">
        <v>41354</v>
      </c>
      <c r="D478" s="1" t="s">
        <v>1992</v>
      </c>
      <c r="E478" s="6">
        <v>2</v>
      </c>
      <c r="F478" s="6" t="str">
        <f t="shared" si="14"/>
        <v>March</v>
      </c>
      <c r="G478" s="6">
        <f t="shared" si="15"/>
        <v>12</v>
      </c>
      <c r="H478" s="1">
        <f>SUMIF('Retal Tran Line Item'!E:E,A478,'Retal Tran Line Item'!B:B)</f>
        <v>7</v>
      </c>
    </row>
    <row r="479" spans="1:8">
      <c r="A479" s="1">
        <v>100477</v>
      </c>
      <c r="B479" s="1">
        <v>227372</v>
      </c>
      <c r="C479" s="2">
        <v>41354</v>
      </c>
      <c r="D479" s="1" t="s">
        <v>1992</v>
      </c>
      <c r="E479" s="6">
        <v>2</v>
      </c>
      <c r="F479" s="6" t="str">
        <f t="shared" si="14"/>
        <v>March</v>
      </c>
      <c r="G479" s="6">
        <f t="shared" si="15"/>
        <v>12</v>
      </c>
      <c r="H479" s="1">
        <f>SUMIF('Retal Tran Line Item'!E:E,A479,'Retal Tran Line Item'!B:B)</f>
        <v>4</v>
      </c>
    </row>
    <row r="480" spans="1:8">
      <c r="A480" s="1">
        <v>100478</v>
      </c>
      <c r="B480" s="1">
        <v>220206</v>
      </c>
      <c r="C480" s="2">
        <v>41354</v>
      </c>
      <c r="D480" s="1" t="s">
        <v>1992</v>
      </c>
      <c r="E480" s="6">
        <v>2</v>
      </c>
      <c r="F480" s="6" t="str">
        <f t="shared" si="14"/>
        <v>March</v>
      </c>
      <c r="G480" s="6">
        <f t="shared" si="15"/>
        <v>12</v>
      </c>
      <c r="H480" s="1">
        <f>SUMIF('Retal Tran Line Item'!E:E,A480,'Retal Tran Line Item'!B:B)</f>
        <v>7</v>
      </c>
    </row>
    <row r="481" spans="1:8">
      <c r="A481" s="1">
        <v>100479</v>
      </c>
      <c r="B481" s="1">
        <v>563500</v>
      </c>
      <c r="C481" s="2">
        <v>41354</v>
      </c>
      <c r="D481" s="1" t="s">
        <v>1992</v>
      </c>
      <c r="E481" s="6">
        <v>2</v>
      </c>
      <c r="F481" s="6" t="str">
        <f t="shared" si="14"/>
        <v>March</v>
      </c>
      <c r="G481" s="6">
        <f t="shared" si="15"/>
        <v>12</v>
      </c>
      <c r="H481" s="1">
        <f>SUMIF('Retal Tran Line Item'!E:E,A481,'Retal Tran Line Item'!B:B)</f>
        <v>7</v>
      </c>
    </row>
    <row r="482" spans="1:8">
      <c r="A482" s="1">
        <v>100480</v>
      </c>
      <c r="B482" s="1">
        <v>808421</v>
      </c>
      <c r="C482" s="2">
        <v>41355</v>
      </c>
      <c r="D482" s="1" t="s">
        <v>1989</v>
      </c>
      <c r="E482" s="6">
        <v>2</v>
      </c>
      <c r="F482" s="6" t="str">
        <f t="shared" si="14"/>
        <v>March</v>
      </c>
      <c r="G482" s="6">
        <f t="shared" si="15"/>
        <v>12</v>
      </c>
      <c r="H482" s="1">
        <f>SUMIF('Retal Tran Line Item'!E:E,A482,'Retal Tran Line Item'!B:B)</f>
        <v>5</v>
      </c>
    </row>
    <row r="483" spans="1:8">
      <c r="A483" s="1">
        <v>100481</v>
      </c>
      <c r="B483" s="1">
        <v>668931</v>
      </c>
      <c r="C483" s="2">
        <v>41355</v>
      </c>
      <c r="D483" s="1" t="s">
        <v>1992</v>
      </c>
      <c r="E483" s="6">
        <v>1</v>
      </c>
      <c r="F483" s="6" t="str">
        <f t="shared" si="14"/>
        <v>March</v>
      </c>
      <c r="G483" s="6">
        <f t="shared" si="15"/>
        <v>12</v>
      </c>
      <c r="H483" s="1">
        <f>SUMIF('Retal Tran Line Item'!E:E,A483,'Retal Tran Line Item'!B:B)</f>
        <v>22</v>
      </c>
    </row>
    <row r="484" spans="1:8">
      <c r="A484" s="1">
        <v>100482</v>
      </c>
      <c r="B484" s="1">
        <v>561305</v>
      </c>
      <c r="C484" s="2">
        <v>41355</v>
      </c>
      <c r="D484" s="1" t="s">
        <v>1993</v>
      </c>
      <c r="E484" s="6">
        <v>2</v>
      </c>
      <c r="F484" s="6" t="str">
        <f t="shared" si="14"/>
        <v>March</v>
      </c>
      <c r="G484" s="6">
        <f t="shared" si="15"/>
        <v>12</v>
      </c>
      <c r="H484" s="1">
        <f>SUMIF('Retal Tran Line Item'!E:E,A484,'Retal Tran Line Item'!B:B)</f>
        <v>5</v>
      </c>
    </row>
    <row r="485" spans="1:8">
      <c r="A485" s="1">
        <v>100483</v>
      </c>
      <c r="B485" s="1">
        <v>994199</v>
      </c>
      <c r="C485" s="2">
        <v>41356</v>
      </c>
      <c r="D485" s="1" t="s">
        <v>1992</v>
      </c>
      <c r="E485" s="6">
        <v>2</v>
      </c>
      <c r="F485" s="6" t="str">
        <f t="shared" si="14"/>
        <v>March</v>
      </c>
      <c r="G485" s="6">
        <f t="shared" si="15"/>
        <v>12</v>
      </c>
      <c r="H485" s="1">
        <f>SUMIF('Retal Tran Line Item'!E:E,A485,'Retal Tran Line Item'!B:B)</f>
        <v>12</v>
      </c>
    </row>
    <row r="486" spans="1:8">
      <c r="A486" s="1">
        <v>100484</v>
      </c>
      <c r="B486" s="1">
        <v>513968</v>
      </c>
      <c r="C486" s="2">
        <v>41356</v>
      </c>
      <c r="D486" s="1" t="s">
        <v>1994</v>
      </c>
      <c r="E486" s="6">
        <v>2</v>
      </c>
      <c r="F486" s="6" t="str">
        <f t="shared" si="14"/>
        <v>March</v>
      </c>
      <c r="G486" s="6">
        <f t="shared" si="15"/>
        <v>12</v>
      </c>
      <c r="H486" s="1">
        <f>SUMIF('Retal Tran Line Item'!E:E,A486,'Retal Tran Line Item'!B:B)</f>
        <v>9</v>
      </c>
    </row>
    <row r="487" spans="1:8">
      <c r="A487" s="1">
        <v>100485</v>
      </c>
      <c r="B487" s="1">
        <v>926144</v>
      </c>
      <c r="C487" s="2">
        <v>41356</v>
      </c>
      <c r="D487" s="1" t="s">
        <v>1993</v>
      </c>
      <c r="E487" s="6">
        <v>2</v>
      </c>
      <c r="F487" s="6" t="str">
        <f t="shared" si="14"/>
        <v>March</v>
      </c>
      <c r="G487" s="6">
        <f t="shared" si="15"/>
        <v>12</v>
      </c>
      <c r="H487" s="1">
        <f>SUMIF('Retal Tran Line Item'!E:E,A487,'Retal Tran Line Item'!B:B)</f>
        <v>9</v>
      </c>
    </row>
    <row r="488" spans="1:8">
      <c r="A488" s="1">
        <v>100486</v>
      </c>
      <c r="B488" s="1">
        <v>317807</v>
      </c>
      <c r="C488" s="2">
        <v>41356</v>
      </c>
      <c r="D488" s="1" t="s">
        <v>1993</v>
      </c>
      <c r="E488" s="6">
        <v>1</v>
      </c>
      <c r="F488" s="6" t="str">
        <f t="shared" si="14"/>
        <v>March</v>
      </c>
      <c r="G488" s="6">
        <f t="shared" si="15"/>
        <v>12</v>
      </c>
      <c r="H488" s="1">
        <f>SUMIF('Retal Tran Line Item'!E:E,A488,'Retal Tran Line Item'!B:B)</f>
        <v>19</v>
      </c>
    </row>
    <row r="489" spans="1:8">
      <c r="A489" s="1">
        <v>100487</v>
      </c>
      <c r="B489" s="1">
        <v>308505</v>
      </c>
      <c r="C489" s="2">
        <v>41356</v>
      </c>
      <c r="D489" s="1" t="s">
        <v>1993</v>
      </c>
      <c r="E489" s="6">
        <v>1</v>
      </c>
      <c r="F489" s="6" t="str">
        <f t="shared" si="14"/>
        <v>March</v>
      </c>
      <c r="G489" s="6">
        <f t="shared" si="15"/>
        <v>12</v>
      </c>
      <c r="H489" s="1">
        <f>SUMIF('Retal Tran Line Item'!E:E,A489,'Retal Tran Line Item'!B:B)</f>
        <v>11</v>
      </c>
    </row>
    <row r="490" spans="1:8">
      <c r="A490" s="1">
        <v>100488</v>
      </c>
      <c r="B490" s="1">
        <v>757525</v>
      </c>
      <c r="C490" s="2">
        <v>41356</v>
      </c>
      <c r="D490" s="1" t="s">
        <v>1994</v>
      </c>
      <c r="E490" s="6">
        <v>2</v>
      </c>
      <c r="F490" s="6" t="str">
        <f t="shared" si="14"/>
        <v>March</v>
      </c>
      <c r="G490" s="6">
        <f t="shared" si="15"/>
        <v>12</v>
      </c>
      <c r="H490" s="1">
        <f>SUMIF('Retal Tran Line Item'!E:E,A490,'Retal Tran Line Item'!B:B)</f>
        <v>4</v>
      </c>
    </row>
    <row r="491" spans="1:8">
      <c r="A491" s="1">
        <v>100489</v>
      </c>
      <c r="B491" s="1">
        <v>994185</v>
      </c>
      <c r="C491" s="2">
        <v>41357</v>
      </c>
      <c r="D491" s="1" t="s">
        <v>1992</v>
      </c>
      <c r="E491" s="6">
        <v>1</v>
      </c>
      <c r="F491" s="6" t="str">
        <f t="shared" si="14"/>
        <v>March</v>
      </c>
      <c r="G491" s="6">
        <f t="shared" si="15"/>
        <v>13</v>
      </c>
      <c r="H491" s="1">
        <f>SUMIF('Retal Tran Line Item'!E:E,A491,'Retal Tran Line Item'!B:B)</f>
        <v>17</v>
      </c>
    </row>
    <row r="492" spans="1:8">
      <c r="A492" s="1">
        <v>100490</v>
      </c>
      <c r="B492" s="1">
        <v>134457</v>
      </c>
      <c r="C492" s="2">
        <v>41357</v>
      </c>
      <c r="D492" s="1" t="s">
        <v>1992</v>
      </c>
      <c r="E492" s="6">
        <v>1</v>
      </c>
      <c r="F492" s="6" t="str">
        <f t="shared" si="14"/>
        <v>March</v>
      </c>
      <c r="G492" s="6">
        <f t="shared" si="15"/>
        <v>13</v>
      </c>
      <c r="H492" s="1">
        <f>SUMIF('Retal Tran Line Item'!E:E,A492,'Retal Tran Line Item'!B:B)</f>
        <v>15</v>
      </c>
    </row>
    <row r="493" spans="1:8">
      <c r="A493" s="1">
        <v>100491</v>
      </c>
      <c r="B493" s="1">
        <v>256181</v>
      </c>
      <c r="C493" s="2">
        <v>41357</v>
      </c>
      <c r="D493" s="1" t="s">
        <v>1993</v>
      </c>
      <c r="E493" s="6">
        <v>2</v>
      </c>
      <c r="F493" s="6" t="str">
        <f t="shared" si="14"/>
        <v>March</v>
      </c>
      <c r="G493" s="6">
        <f t="shared" si="15"/>
        <v>13</v>
      </c>
      <c r="H493" s="1">
        <f>SUMIF('Retal Tran Line Item'!E:E,A493,'Retal Tran Line Item'!B:B)</f>
        <v>2</v>
      </c>
    </row>
    <row r="494" spans="1:8">
      <c r="A494" s="1">
        <v>100492</v>
      </c>
      <c r="B494" s="1">
        <v>214537</v>
      </c>
      <c r="C494" s="2">
        <v>41357</v>
      </c>
      <c r="D494" s="1" t="s">
        <v>1989</v>
      </c>
      <c r="E494" s="6">
        <v>1</v>
      </c>
      <c r="F494" s="6" t="str">
        <f t="shared" si="14"/>
        <v>March</v>
      </c>
      <c r="G494" s="6">
        <f t="shared" si="15"/>
        <v>13</v>
      </c>
      <c r="H494" s="1">
        <f>SUMIF('Retal Tran Line Item'!E:E,A494,'Retal Tran Line Item'!B:B)</f>
        <v>10</v>
      </c>
    </row>
    <row r="495" spans="1:8">
      <c r="A495" s="1">
        <v>100493</v>
      </c>
      <c r="B495" s="1">
        <v>448739</v>
      </c>
      <c r="C495" s="2">
        <v>41357</v>
      </c>
      <c r="D495" s="1" t="s">
        <v>1989</v>
      </c>
      <c r="E495" s="6">
        <v>1</v>
      </c>
      <c r="F495" s="6" t="str">
        <f t="shared" si="14"/>
        <v>March</v>
      </c>
      <c r="G495" s="6">
        <f t="shared" si="15"/>
        <v>13</v>
      </c>
      <c r="H495" s="1">
        <f>SUMIF('Retal Tran Line Item'!E:E,A495,'Retal Tran Line Item'!B:B)</f>
        <v>6</v>
      </c>
    </row>
    <row r="496" spans="1:8">
      <c r="A496" s="1">
        <v>100494</v>
      </c>
      <c r="B496" s="1">
        <v>308505</v>
      </c>
      <c r="C496" s="2">
        <v>41358</v>
      </c>
      <c r="D496" s="1" t="s">
        <v>1993</v>
      </c>
      <c r="E496" s="6">
        <v>1</v>
      </c>
      <c r="F496" s="6" t="str">
        <f t="shared" si="14"/>
        <v>March</v>
      </c>
      <c r="G496" s="6">
        <f t="shared" si="15"/>
        <v>13</v>
      </c>
      <c r="H496" s="1">
        <f>SUMIF('Retal Tran Line Item'!E:E,A496,'Retal Tran Line Item'!B:B)</f>
        <v>8</v>
      </c>
    </row>
    <row r="497" spans="1:8">
      <c r="A497" s="1">
        <v>100495</v>
      </c>
      <c r="B497" s="1">
        <v>405322</v>
      </c>
      <c r="C497" s="2">
        <v>41358</v>
      </c>
      <c r="D497" s="1" t="s">
        <v>1992</v>
      </c>
      <c r="E497" s="6">
        <v>2</v>
      </c>
      <c r="F497" s="6" t="str">
        <f t="shared" si="14"/>
        <v>March</v>
      </c>
      <c r="G497" s="6">
        <f t="shared" si="15"/>
        <v>13</v>
      </c>
      <c r="H497" s="1">
        <f>SUMIF('Retal Tran Line Item'!E:E,A497,'Retal Tran Line Item'!B:B)</f>
        <v>17</v>
      </c>
    </row>
    <row r="498" spans="1:8">
      <c r="A498" s="1">
        <v>100496</v>
      </c>
      <c r="B498" s="1">
        <v>240205</v>
      </c>
      <c r="C498" s="2">
        <v>41358</v>
      </c>
      <c r="D498" s="1" t="s">
        <v>1992</v>
      </c>
      <c r="E498" s="6">
        <v>1</v>
      </c>
      <c r="F498" s="6" t="str">
        <f t="shared" si="14"/>
        <v>March</v>
      </c>
      <c r="G498" s="6">
        <f t="shared" si="15"/>
        <v>13</v>
      </c>
      <c r="H498" s="1">
        <f>SUMIF('Retal Tran Line Item'!E:E,A498,'Retal Tran Line Item'!B:B)</f>
        <v>9</v>
      </c>
    </row>
    <row r="499" spans="1:8">
      <c r="A499" s="1">
        <v>100497</v>
      </c>
      <c r="B499" s="1">
        <v>304344</v>
      </c>
      <c r="C499" s="2">
        <v>41358</v>
      </c>
      <c r="D499" s="1" t="s">
        <v>1993</v>
      </c>
      <c r="E499" s="6">
        <v>1</v>
      </c>
      <c r="F499" s="6" t="str">
        <f t="shared" si="14"/>
        <v>March</v>
      </c>
      <c r="G499" s="6">
        <f t="shared" si="15"/>
        <v>13</v>
      </c>
      <c r="H499" s="1">
        <f>SUMIF('Retal Tran Line Item'!E:E,A499,'Retal Tran Line Item'!B:B)</f>
        <v>2</v>
      </c>
    </row>
    <row r="500" spans="1:8">
      <c r="A500" s="1">
        <v>100498</v>
      </c>
      <c r="B500" s="1">
        <v>206078</v>
      </c>
      <c r="C500" s="2">
        <v>41358</v>
      </c>
      <c r="D500" s="1" t="s">
        <v>1992</v>
      </c>
      <c r="E500" s="6">
        <v>2</v>
      </c>
      <c r="F500" s="6" t="str">
        <f t="shared" si="14"/>
        <v>March</v>
      </c>
      <c r="G500" s="6">
        <f t="shared" si="15"/>
        <v>13</v>
      </c>
      <c r="H500" s="1">
        <f>SUMIF('Retal Tran Line Item'!E:E,A500,'Retal Tran Line Item'!B:B)</f>
        <v>3</v>
      </c>
    </row>
    <row r="501" spans="1:8">
      <c r="A501" s="1">
        <v>100499</v>
      </c>
      <c r="B501" s="1">
        <v>343021</v>
      </c>
      <c r="C501" s="2">
        <v>41358</v>
      </c>
      <c r="D501" s="1" t="s">
        <v>1989</v>
      </c>
      <c r="E501" s="6">
        <v>2</v>
      </c>
      <c r="F501" s="6" t="str">
        <f t="shared" si="14"/>
        <v>March</v>
      </c>
      <c r="G501" s="6">
        <f t="shared" si="15"/>
        <v>13</v>
      </c>
      <c r="H501" s="1">
        <f>SUMIF('Retal Tran Line Item'!E:E,A501,'Retal Tran Line Item'!B:B)</f>
        <v>3</v>
      </c>
    </row>
    <row r="502" spans="1:8">
      <c r="A502" s="1">
        <v>100500</v>
      </c>
      <c r="B502" s="1">
        <v>847289</v>
      </c>
      <c r="C502" s="2">
        <v>41358</v>
      </c>
      <c r="D502" s="1" t="s">
        <v>1992</v>
      </c>
      <c r="E502" s="6">
        <v>2</v>
      </c>
      <c r="F502" s="6" t="str">
        <f t="shared" si="14"/>
        <v>March</v>
      </c>
      <c r="G502" s="6">
        <f t="shared" si="15"/>
        <v>13</v>
      </c>
      <c r="H502" s="1">
        <f>SUMIF('Retal Tran Line Item'!E:E,A502,'Retal Tran Line Item'!B:B)</f>
        <v>11</v>
      </c>
    </row>
    <row r="503" spans="1:8">
      <c r="A503" s="1">
        <v>100501</v>
      </c>
      <c r="B503" s="1">
        <v>274541</v>
      </c>
      <c r="C503" s="2">
        <v>41359</v>
      </c>
      <c r="D503" s="1" t="s">
        <v>1993</v>
      </c>
      <c r="E503" s="6">
        <v>2</v>
      </c>
      <c r="F503" s="6" t="str">
        <f t="shared" si="14"/>
        <v>March</v>
      </c>
      <c r="G503" s="6">
        <f t="shared" si="15"/>
        <v>13</v>
      </c>
      <c r="H503" s="1">
        <f>SUMIF('Retal Tran Line Item'!E:E,A503,'Retal Tran Line Item'!B:B)</f>
        <v>10</v>
      </c>
    </row>
    <row r="504" spans="1:8">
      <c r="A504" s="1">
        <v>100502</v>
      </c>
      <c r="B504" s="1">
        <v>745543</v>
      </c>
      <c r="C504" s="2">
        <v>41359</v>
      </c>
      <c r="D504" s="1" t="s">
        <v>1989</v>
      </c>
      <c r="E504" s="6">
        <v>1</v>
      </c>
      <c r="F504" s="6" t="str">
        <f t="shared" si="14"/>
        <v>March</v>
      </c>
      <c r="G504" s="6">
        <f t="shared" si="15"/>
        <v>13</v>
      </c>
      <c r="H504" s="1">
        <f>SUMIF('Retal Tran Line Item'!E:E,A504,'Retal Tran Line Item'!B:B)</f>
        <v>3</v>
      </c>
    </row>
    <row r="505" spans="1:8">
      <c r="A505" s="1">
        <v>100503</v>
      </c>
      <c r="B505" s="1">
        <v>757780</v>
      </c>
      <c r="C505" s="2">
        <v>41360</v>
      </c>
      <c r="D505" s="1" t="s">
        <v>1993</v>
      </c>
      <c r="E505" s="6">
        <v>2</v>
      </c>
      <c r="F505" s="6" t="str">
        <f t="shared" si="14"/>
        <v>March</v>
      </c>
      <c r="G505" s="6">
        <f t="shared" si="15"/>
        <v>13</v>
      </c>
      <c r="H505" s="1">
        <f>SUMIF('Retal Tran Line Item'!E:E,A505,'Retal Tran Line Item'!B:B)</f>
        <v>1</v>
      </c>
    </row>
    <row r="506" spans="1:8">
      <c r="A506" s="1">
        <v>100504</v>
      </c>
      <c r="B506" s="1">
        <v>973766</v>
      </c>
      <c r="C506" s="2">
        <v>41360</v>
      </c>
      <c r="D506" s="1" t="s">
        <v>1989</v>
      </c>
      <c r="E506" s="6">
        <v>2</v>
      </c>
      <c r="F506" s="6" t="str">
        <f t="shared" si="14"/>
        <v>March</v>
      </c>
      <c r="G506" s="6">
        <f t="shared" si="15"/>
        <v>13</v>
      </c>
      <c r="H506" s="1">
        <f>SUMIF('Retal Tran Line Item'!E:E,A506,'Retal Tran Line Item'!B:B)</f>
        <v>12</v>
      </c>
    </row>
    <row r="507" spans="1:8">
      <c r="A507" s="1">
        <v>100505</v>
      </c>
      <c r="B507" s="1">
        <v>791850</v>
      </c>
      <c r="C507" s="2">
        <v>41360</v>
      </c>
      <c r="D507" s="1" t="s">
        <v>1994</v>
      </c>
      <c r="E507" s="6">
        <v>1</v>
      </c>
      <c r="F507" s="6" t="str">
        <f t="shared" si="14"/>
        <v>March</v>
      </c>
      <c r="G507" s="6">
        <f t="shared" si="15"/>
        <v>13</v>
      </c>
      <c r="H507" s="1">
        <f>SUMIF('Retal Tran Line Item'!E:E,A507,'Retal Tran Line Item'!B:B)</f>
        <v>11</v>
      </c>
    </row>
    <row r="508" spans="1:8">
      <c r="A508" s="1">
        <v>100506</v>
      </c>
      <c r="B508" s="1">
        <v>456457</v>
      </c>
      <c r="C508" s="2">
        <v>41360</v>
      </c>
      <c r="D508" s="1" t="s">
        <v>1993</v>
      </c>
      <c r="E508" s="6">
        <v>2</v>
      </c>
      <c r="F508" s="6" t="str">
        <f t="shared" si="14"/>
        <v>March</v>
      </c>
      <c r="G508" s="6">
        <f t="shared" si="15"/>
        <v>13</v>
      </c>
      <c r="H508" s="1">
        <f>SUMIF('Retal Tran Line Item'!E:E,A508,'Retal Tran Line Item'!B:B)</f>
        <v>12</v>
      </c>
    </row>
    <row r="509" spans="1:8">
      <c r="A509" s="1">
        <v>100507</v>
      </c>
      <c r="B509" s="1">
        <v>386336</v>
      </c>
      <c r="C509" s="2">
        <v>41361</v>
      </c>
      <c r="D509" s="1" t="s">
        <v>1989</v>
      </c>
      <c r="E509" s="6">
        <v>2</v>
      </c>
      <c r="F509" s="6" t="str">
        <f t="shared" si="14"/>
        <v>March</v>
      </c>
      <c r="G509" s="6">
        <f t="shared" si="15"/>
        <v>13</v>
      </c>
      <c r="H509" s="1">
        <f>SUMIF('Retal Tran Line Item'!E:E,A509,'Retal Tran Line Item'!B:B)</f>
        <v>20</v>
      </c>
    </row>
    <row r="510" spans="1:8">
      <c r="A510" s="1">
        <v>100508</v>
      </c>
      <c r="B510" s="1">
        <v>932618</v>
      </c>
      <c r="C510" s="2">
        <v>41361</v>
      </c>
      <c r="D510" s="1" t="s">
        <v>1993</v>
      </c>
      <c r="E510" s="6">
        <v>2</v>
      </c>
      <c r="F510" s="6" t="str">
        <f t="shared" si="14"/>
        <v>March</v>
      </c>
      <c r="G510" s="6">
        <f t="shared" si="15"/>
        <v>13</v>
      </c>
      <c r="H510" s="1">
        <f>SUMIF('Retal Tran Line Item'!E:E,A510,'Retal Tran Line Item'!B:B)</f>
        <v>12</v>
      </c>
    </row>
    <row r="511" spans="1:8">
      <c r="A511" s="1">
        <v>100509</v>
      </c>
      <c r="B511" s="1">
        <v>734624</v>
      </c>
      <c r="C511" s="2">
        <v>41361</v>
      </c>
      <c r="D511" s="1" t="s">
        <v>1994</v>
      </c>
      <c r="E511" s="6">
        <v>2</v>
      </c>
      <c r="F511" s="6" t="str">
        <f t="shared" si="14"/>
        <v>March</v>
      </c>
      <c r="G511" s="6">
        <f t="shared" si="15"/>
        <v>13</v>
      </c>
      <c r="H511" s="1">
        <f>SUMIF('Retal Tran Line Item'!E:E,A511,'Retal Tran Line Item'!B:B)</f>
        <v>7</v>
      </c>
    </row>
    <row r="512" spans="1:8">
      <c r="A512" s="1">
        <v>100510</v>
      </c>
      <c r="B512" s="1">
        <v>734514</v>
      </c>
      <c r="C512" s="2">
        <v>41361</v>
      </c>
      <c r="D512" s="1" t="s">
        <v>1993</v>
      </c>
      <c r="E512" s="6">
        <v>1</v>
      </c>
      <c r="F512" s="6" t="str">
        <f t="shared" si="14"/>
        <v>March</v>
      </c>
      <c r="G512" s="6">
        <f t="shared" si="15"/>
        <v>13</v>
      </c>
      <c r="H512" s="1">
        <f>SUMIF('Retal Tran Line Item'!E:E,A512,'Retal Tran Line Item'!B:B)</f>
        <v>13</v>
      </c>
    </row>
    <row r="513" spans="1:8">
      <c r="A513" s="1">
        <v>100511</v>
      </c>
      <c r="B513" s="1">
        <v>308505</v>
      </c>
      <c r="C513" s="2">
        <v>41362</v>
      </c>
      <c r="D513" s="1" t="s">
        <v>1993</v>
      </c>
      <c r="E513" s="6">
        <v>2</v>
      </c>
      <c r="F513" s="6" t="str">
        <f t="shared" si="14"/>
        <v>March</v>
      </c>
      <c r="G513" s="6">
        <f t="shared" si="15"/>
        <v>13</v>
      </c>
      <c r="H513" s="1">
        <f>SUMIF('Retal Tran Line Item'!E:E,A513,'Retal Tran Line Item'!B:B)</f>
        <v>1</v>
      </c>
    </row>
    <row r="514" spans="1:8">
      <c r="A514" s="1">
        <v>100512</v>
      </c>
      <c r="B514" s="1">
        <v>791559</v>
      </c>
      <c r="C514" s="2">
        <v>41362</v>
      </c>
      <c r="D514" s="1" t="s">
        <v>1989</v>
      </c>
      <c r="E514" s="6">
        <v>1</v>
      </c>
      <c r="F514" s="6" t="str">
        <f t="shared" si="14"/>
        <v>March</v>
      </c>
      <c r="G514" s="6">
        <f t="shared" si="15"/>
        <v>13</v>
      </c>
      <c r="H514" s="1">
        <f>SUMIF('Retal Tran Line Item'!E:E,A514,'Retal Tran Line Item'!B:B)</f>
        <v>5</v>
      </c>
    </row>
    <row r="515" spans="1:8">
      <c r="A515" s="1">
        <v>100513</v>
      </c>
      <c r="B515" s="1">
        <v>418506</v>
      </c>
      <c r="C515" s="2">
        <v>41362</v>
      </c>
      <c r="D515" s="1" t="s">
        <v>1992</v>
      </c>
      <c r="E515" s="6">
        <v>2</v>
      </c>
      <c r="F515" s="6" t="str">
        <f t="shared" ref="F515:F578" si="16">TEXT(C515,"MMMM")</f>
        <v>March</v>
      </c>
      <c r="G515" s="6">
        <f t="shared" ref="G515:G578" si="17">WEEKNUM(C515)</f>
        <v>13</v>
      </c>
      <c r="H515" s="1">
        <f>SUMIF('Retal Tran Line Item'!E:E,A515,'Retal Tran Line Item'!B:B)</f>
        <v>1</v>
      </c>
    </row>
    <row r="516" spans="1:8">
      <c r="A516" s="1">
        <v>100514</v>
      </c>
      <c r="B516" s="1">
        <v>227372</v>
      </c>
      <c r="C516" s="2">
        <v>41362</v>
      </c>
      <c r="D516" s="1" t="s">
        <v>1992</v>
      </c>
      <c r="E516" s="6">
        <v>2</v>
      </c>
      <c r="F516" s="6" t="str">
        <f t="shared" si="16"/>
        <v>March</v>
      </c>
      <c r="G516" s="6">
        <f t="shared" si="17"/>
        <v>13</v>
      </c>
      <c r="H516" s="1">
        <f>SUMIF('Retal Tran Line Item'!E:E,A516,'Retal Tran Line Item'!B:B)</f>
        <v>25</v>
      </c>
    </row>
    <row r="517" spans="1:8">
      <c r="A517" s="1">
        <v>100515</v>
      </c>
      <c r="B517" s="1">
        <v>183797</v>
      </c>
      <c r="C517" s="2">
        <v>41362</v>
      </c>
      <c r="D517" s="1" t="s">
        <v>1993</v>
      </c>
      <c r="E517" s="6">
        <v>1</v>
      </c>
      <c r="F517" s="6" t="str">
        <f t="shared" si="16"/>
        <v>March</v>
      </c>
      <c r="G517" s="6">
        <f t="shared" si="17"/>
        <v>13</v>
      </c>
      <c r="H517" s="1">
        <f>SUMIF('Retal Tran Line Item'!E:E,A517,'Retal Tran Line Item'!B:B)</f>
        <v>9</v>
      </c>
    </row>
    <row r="518" spans="1:8">
      <c r="A518" s="1">
        <v>100516</v>
      </c>
      <c r="B518" s="1">
        <v>103508</v>
      </c>
      <c r="C518" s="2">
        <v>41363</v>
      </c>
      <c r="D518" s="1" t="s">
        <v>1994</v>
      </c>
      <c r="E518" s="6">
        <v>2</v>
      </c>
      <c r="F518" s="6" t="str">
        <f t="shared" si="16"/>
        <v>March</v>
      </c>
      <c r="G518" s="6">
        <f t="shared" si="17"/>
        <v>13</v>
      </c>
      <c r="H518" s="1">
        <f>SUMIF('Retal Tran Line Item'!E:E,A518,'Retal Tran Line Item'!B:B)</f>
        <v>1</v>
      </c>
    </row>
    <row r="519" spans="1:8">
      <c r="A519" s="1">
        <v>100517</v>
      </c>
      <c r="B519" s="1">
        <v>426984</v>
      </c>
      <c r="C519" s="2">
        <v>41363</v>
      </c>
      <c r="D519" s="1" t="s">
        <v>1992</v>
      </c>
      <c r="E519" s="6">
        <v>2</v>
      </c>
      <c r="F519" s="6" t="str">
        <f t="shared" si="16"/>
        <v>March</v>
      </c>
      <c r="G519" s="6">
        <f t="shared" si="17"/>
        <v>13</v>
      </c>
      <c r="H519" s="1">
        <f>SUMIF('Retal Tran Line Item'!E:E,A519,'Retal Tran Line Item'!B:B)</f>
        <v>24</v>
      </c>
    </row>
    <row r="520" spans="1:8">
      <c r="A520" s="1">
        <v>100518</v>
      </c>
      <c r="B520" s="1">
        <v>775449</v>
      </c>
      <c r="C520" s="2">
        <v>41363</v>
      </c>
      <c r="D520" s="1" t="s">
        <v>1993</v>
      </c>
      <c r="E520" s="6">
        <v>1</v>
      </c>
      <c r="F520" s="6" t="str">
        <f t="shared" si="16"/>
        <v>March</v>
      </c>
      <c r="G520" s="6">
        <f t="shared" si="17"/>
        <v>13</v>
      </c>
      <c r="H520" s="1">
        <f>SUMIF('Retal Tran Line Item'!E:E,A520,'Retal Tran Line Item'!B:B)</f>
        <v>7</v>
      </c>
    </row>
    <row r="521" spans="1:8">
      <c r="A521" s="1">
        <v>100519</v>
      </c>
      <c r="B521" s="1">
        <v>676018</v>
      </c>
      <c r="C521" s="2">
        <v>41363</v>
      </c>
      <c r="D521" s="1" t="s">
        <v>1994</v>
      </c>
      <c r="E521" s="6">
        <v>1</v>
      </c>
      <c r="F521" s="6" t="str">
        <f t="shared" si="16"/>
        <v>March</v>
      </c>
      <c r="G521" s="6">
        <f t="shared" si="17"/>
        <v>13</v>
      </c>
      <c r="H521" s="1">
        <f>SUMIF('Retal Tran Line Item'!E:E,A521,'Retal Tran Line Item'!B:B)</f>
        <v>19</v>
      </c>
    </row>
    <row r="522" spans="1:8">
      <c r="A522" s="1">
        <v>100520</v>
      </c>
      <c r="B522" s="1">
        <v>932618</v>
      </c>
      <c r="C522" s="2">
        <v>41363</v>
      </c>
      <c r="D522" s="1" t="s">
        <v>1993</v>
      </c>
      <c r="E522" s="6">
        <v>1</v>
      </c>
      <c r="F522" s="6" t="str">
        <f t="shared" si="16"/>
        <v>March</v>
      </c>
      <c r="G522" s="6">
        <f t="shared" si="17"/>
        <v>13</v>
      </c>
      <c r="H522" s="1">
        <f>SUMIF('Retal Tran Line Item'!E:E,A522,'Retal Tran Line Item'!B:B)</f>
        <v>10</v>
      </c>
    </row>
    <row r="523" spans="1:8">
      <c r="A523" s="1">
        <v>100521</v>
      </c>
      <c r="B523" s="1">
        <v>776775</v>
      </c>
      <c r="C523" s="2">
        <v>41363</v>
      </c>
      <c r="D523" s="1" t="s">
        <v>1992</v>
      </c>
      <c r="E523" s="6">
        <v>1</v>
      </c>
      <c r="F523" s="6" t="str">
        <f t="shared" si="16"/>
        <v>March</v>
      </c>
      <c r="G523" s="6">
        <f t="shared" si="17"/>
        <v>13</v>
      </c>
      <c r="H523" s="1">
        <f>SUMIF('Retal Tran Line Item'!E:E,A523,'Retal Tran Line Item'!B:B)</f>
        <v>8</v>
      </c>
    </row>
    <row r="524" spans="1:8">
      <c r="A524" s="1">
        <v>100522</v>
      </c>
      <c r="B524" s="1">
        <v>393120</v>
      </c>
      <c r="C524" s="2">
        <v>41364</v>
      </c>
      <c r="D524" s="1" t="s">
        <v>1993</v>
      </c>
      <c r="E524" s="6">
        <v>1</v>
      </c>
      <c r="F524" s="6" t="str">
        <f t="shared" si="16"/>
        <v>March</v>
      </c>
      <c r="G524" s="6">
        <f t="shared" si="17"/>
        <v>14</v>
      </c>
      <c r="H524" s="1">
        <f>SUMIF('Retal Tran Line Item'!E:E,A524,'Retal Tran Line Item'!B:B)</f>
        <v>12</v>
      </c>
    </row>
    <row r="525" spans="1:8">
      <c r="A525" s="1">
        <v>100523</v>
      </c>
      <c r="B525" s="1">
        <v>412876</v>
      </c>
      <c r="C525" s="2">
        <v>41364</v>
      </c>
      <c r="D525" s="1" t="s">
        <v>1989</v>
      </c>
      <c r="E525" s="6">
        <v>2</v>
      </c>
      <c r="F525" s="6" t="str">
        <f t="shared" si="16"/>
        <v>March</v>
      </c>
      <c r="G525" s="6">
        <f t="shared" si="17"/>
        <v>14</v>
      </c>
      <c r="H525" s="1">
        <f>SUMIF('Retal Tran Line Item'!E:E,A525,'Retal Tran Line Item'!B:B)</f>
        <v>3</v>
      </c>
    </row>
    <row r="526" spans="1:8">
      <c r="A526" s="1">
        <v>100524</v>
      </c>
      <c r="B526" s="1">
        <v>412876</v>
      </c>
      <c r="C526" s="2">
        <v>41364</v>
      </c>
      <c r="D526" s="1" t="s">
        <v>1989</v>
      </c>
      <c r="E526" s="6">
        <v>1</v>
      </c>
      <c r="F526" s="6" t="str">
        <f t="shared" si="16"/>
        <v>March</v>
      </c>
      <c r="G526" s="6">
        <f t="shared" si="17"/>
        <v>14</v>
      </c>
      <c r="H526" s="1">
        <f>SUMIF('Retal Tran Line Item'!E:E,A526,'Retal Tran Line Item'!B:B)</f>
        <v>6</v>
      </c>
    </row>
    <row r="527" spans="1:8">
      <c r="A527" s="1">
        <v>100525</v>
      </c>
      <c r="B527" s="1">
        <v>346006</v>
      </c>
      <c r="C527" s="2">
        <v>41365</v>
      </c>
      <c r="D527" s="1" t="s">
        <v>1989</v>
      </c>
      <c r="E527" s="6">
        <v>2</v>
      </c>
      <c r="F527" s="6" t="str">
        <f t="shared" si="16"/>
        <v>April</v>
      </c>
      <c r="G527" s="6">
        <f t="shared" si="17"/>
        <v>14</v>
      </c>
      <c r="H527" s="1">
        <f>SUMIF('Retal Tran Line Item'!E:E,A527,'Retal Tran Line Item'!B:B)</f>
        <v>10</v>
      </c>
    </row>
    <row r="528" spans="1:8">
      <c r="A528" s="1">
        <v>100526</v>
      </c>
      <c r="B528" s="1">
        <v>386950</v>
      </c>
      <c r="C528" s="2">
        <v>41365</v>
      </c>
      <c r="D528" s="1" t="s">
        <v>1992</v>
      </c>
      <c r="E528" s="6">
        <v>1</v>
      </c>
      <c r="F528" s="6" t="str">
        <f t="shared" si="16"/>
        <v>April</v>
      </c>
      <c r="G528" s="6">
        <f t="shared" si="17"/>
        <v>14</v>
      </c>
      <c r="H528" s="1">
        <f>SUMIF('Retal Tran Line Item'!E:E,A528,'Retal Tran Line Item'!B:B)</f>
        <v>6</v>
      </c>
    </row>
    <row r="529" spans="1:8">
      <c r="A529" s="1">
        <v>100527</v>
      </c>
      <c r="B529" s="1">
        <v>393120</v>
      </c>
      <c r="C529" s="2">
        <v>41365</v>
      </c>
      <c r="D529" s="1" t="s">
        <v>1993</v>
      </c>
      <c r="E529" s="6">
        <v>2</v>
      </c>
      <c r="F529" s="6" t="str">
        <f t="shared" si="16"/>
        <v>April</v>
      </c>
      <c r="G529" s="6">
        <f t="shared" si="17"/>
        <v>14</v>
      </c>
      <c r="H529" s="1">
        <f>SUMIF('Retal Tran Line Item'!E:E,A529,'Retal Tran Line Item'!B:B)</f>
        <v>20</v>
      </c>
    </row>
    <row r="530" spans="1:8">
      <c r="A530" s="1">
        <v>100528</v>
      </c>
      <c r="B530" s="1">
        <v>305005</v>
      </c>
      <c r="C530" s="2">
        <v>41365</v>
      </c>
      <c r="D530" s="1" t="s">
        <v>1993</v>
      </c>
      <c r="E530" s="6">
        <v>1</v>
      </c>
      <c r="F530" s="6" t="str">
        <f t="shared" si="16"/>
        <v>April</v>
      </c>
      <c r="G530" s="6">
        <f t="shared" si="17"/>
        <v>14</v>
      </c>
      <c r="H530" s="1">
        <f>SUMIF('Retal Tran Line Item'!E:E,A530,'Retal Tran Line Item'!B:B)</f>
        <v>14</v>
      </c>
    </row>
    <row r="531" spans="1:8">
      <c r="A531" s="1">
        <v>100529</v>
      </c>
      <c r="B531" s="1">
        <v>278809</v>
      </c>
      <c r="C531" s="2">
        <v>41365</v>
      </c>
      <c r="D531" s="1" t="s">
        <v>1993</v>
      </c>
      <c r="E531" s="6">
        <v>2</v>
      </c>
      <c r="F531" s="6" t="str">
        <f t="shared" si="16"/>
        <v>April</v>
      </c>
      <c r="G531" s="6">
        <f t="shared" si="17"/>
        <v>14</v>
      </c>
      <c r="H531" s="1">
        <f>SUMIF('Retal Tran Line Item'!E:E,A531,'Retal Tran Line Item'!B:B)</f>
        <v>5</v>
      </c>
    </row>
    <row r="532" spans="1:8">
      <c r="A532" s="1">
        <v>100530</v>
      </c>
      <c r="B532" s="1">
        <v>275152</v>
      </c>
      <c r="C532" s="2">
        <v>41366</v>
      </c>
      <c r="D532" s="1" t="s">
        <v>1992</v>
      </c>
      <c r="E532" s="6">
        <v>1</v>
      </c>
      <c r="F532" s="6" t="str">
        <f t="shared" si="16"/>
        <v>April</v>
      </c>
      <c r="G532" s="6">
        <f t="shared" si="17"/>
        <v>14</v>
      </c>
      <c r="H532" s="1">
        <f>SUMIF('Retal Tran Line Item'!E:E,A532,'Retal Tran Line Item'!B:B)</f>
        <v>9</v>
      </c>
    </row>
    <row r="533" spans="1:8">
      <c r="A533" s="1">
        <v>100531</v>
      </c>
      <c r="B533" s="1">
        <v>233956</v>
      </c>
      <c r="C533" s="2">
        <v>41366</v>
      </c>
      <c r="D533" s="1" t="s">
        <v>1992</v>
      </c>
      <c r="E533" s="6">
        <v>1</v>
      </c>
      <c r="F533" s="6" t="str">
        <f t="shared" si="16"/>
        <v>April</v>
      </c>
      <c r="G533" s="6">
        <f t="shared" si="17"/>
        <v>14</v>
      </c>
      <c r="H533" s="1">
        <f>SUMIF('Retal Tran Line Item'!E:E,A533,'Retal Tran Line Item'!B:B)</f>
        <v>1</v>
      </c>
    </row>
    <row r="534" spans="1:8">
      <c r="A534" s="1">
        <v>100532</v>
      </c>
      <c r="B534" s="1">
        <v>734624</v>
      </c>
      <c r="C534" s="2">
        <v>41366</v>
      </c>
      <c r="D534" s="1" t="s">
        <v>1994</v>
      </c>
      <c r="E534" s="6">
        <v>1</v>
      </c>
      <c r="F534" s="6" t="str">
        <f t="shared" si="16"/>
        <v>April</v>
      </c>
      <c r="G534" s="6">
        <f t="shared" si="17"/>
        <v>14</v>
      </c>
      <c r="H534" s="1">
        <f>SUMIF('Retal Tran Line Item'!E:E,A534,'Retal Tran Line Item'!B:B)</f>
        <v>20</v>
      </c>
    </row>
    <row r="535" spans="1:8">
      <c r="A535" s="1">
        <v>100533</v>
      </c>
      <c r="B535" s="1">
        <v>846558</v>
      </c>
      <c r="C535" s="2">
        <v>41366</v>
      </c>
      <c r="D535" s="1" t="s">
        <v>1992</v>
      </c>
      <c r="E535" s="6">
        <v>1</v>
      </c>
      <c r="F535" s="6" t="str">
        <f t="shared" si="16"/>
        <v>April</v>
      </c>
      <c r="G535" s="6">
        <f t="shared" si="17"/>
        <v>14</v>
      </c>
      <c r="H535" s="1">
        <f>SUMIF('Retal Tran Line Item'!E:E,A535,'Retal Tran Line Item'!B:B)</f>
        <v>15</v>
      </c>
    </row>
    <row r="536" spans="1:8">
      <c r="A536" s="1">
        <v>100534</v>
      </c>
      <c r="B536" s="1">
        <v>932618</v>
      </c>
      <c r="C536" s="2">
        <v>41366</v>
      </c>
      <c r="D536" s="1" t="s">
        <v>1993</v>
      </c>
      <c r="E536" s="6">
        <v>2</v>
      </c>
      <c r="F536" s="6" t="str">
        <f t="shared" si="16"/>
        <v>April</v>
      </c>
      <c r="G536" s="6">
        <f t="shared" si="17"/>
        <v>14</v>
      </c>
      <c r="H536" s="1">
        <f>SUMIF('Retal Tran Line Item'!E:E,A536,'Retal Tran Line Item'!B:B)</f>
        <v>22</v>
      </c>
    </row>
    <row r="537" spans="1:8">
      <c r="A537" s="1">
        <v>100535</v>
      </c>
      <c r="B537" s="1">
        <v>378374</v>
      </c>
      <c r="C537" s="2">
        <v>41366</v>
      </c>
      <c r="D537" s="1" t="s">
        <v>1994</v>
      </c>
      <c r="E537" s="6">
        <v>1</v>
      </c>
      <c r="F537" s="6" t="str">
        <f t="shared" si="16"/>
        <v>April</v>
      </c>
      <c r="G537" s="6">
        <f t="shared" si="17"/>
        <v>14</v>
      </c>
      <c r="H537" s="1">
        <f>SUMIF('Retal Tran Line Item'!E:E,A537,'Retal Tran Line Item'!B:B)</f>
        <v>7</v>
      </c>
    </row>
    <row r="538" spans="1:8">
      <c r="A538" s="1">
        <v>100536</v>
      </c>
      <c r="B538" s="1">
        <v>649551</v>
      </c>
      <c r="C538" s="2">
        <v>41366</v>
      </c>
      <c r="D538" s="1" t="s">
        <v>1993</v>
      </c>
      <c r="E538" s="6">
        <v>2</v>
      </c>
      <c r="F538" s="6" t="str">
        <f t="shared" si="16"/>
        <v>April</v>
      </c>
      <c r="G538" s="6">
        <f t="shared" si="17"/>
        <v>14</v>
      </c>
      <c r="H538" s="1">
        <f>SUMIF('Retal Tran Line Item'!E:E,A538,'Retal Tran Line Item'!B:B)</f>
        <v>6</v>
      </c>
    </row>
    <row r="539" spans="1:8">
      <c r="A539" s="1">
        <v>100537</v>
      </c>
      <c r="B539" s="1">
        <v>994199</v>
      </c>
      <c r="C539" s="2">
        <v>41366</v>
      </c>
      <c r="D539" s="1" t="s">
        <v>1992</v>
      </c>
      <c r="E539" s="6">
        <v>2</v>
      </c>
      <c r="F539" s="6" t="str">
        <f t="shared" si="16"/>
        <v>April</v>
      </c>
      <c r="G539" s="6">
        <f t="shared" si="17"/>
        <v>14</v>
      </c>
      <c r="H539" s="1">
        <f>SUMIF('Retal Tran Line Item'!E:E,A539,'Retal Tran Line Item'!B:B)</f>
        <v>18</v>
      </c>
    </row>
    <row r="540" spans="1:8">
      <c r="A540" s="1">
        <v>100538</v>
      </c>
      <c r="B540" s="1">
        <v>567388</v>
      </c>
      <c r="C540" s="2">
        <v>41366</v>
      </c>
      <c r="D540" s="1" t="s">
        <v>1993</v>
      </c>
      <c r="E540" s="6">
        <v>1</v>
      </c>
      <c r="F540" s="6" t="str">
        <f t="shared" si="16"/>
        <v>April</v>
      </c>
      <c r="G540" s="6">
        <f t="shared" si="17"/>
        <v>14</v>
      </c>
      <c r="H540" s="1">
        <f>SUMIF('Retal Tran Line Item'!E:E,A540,'Retal Tran Line Item'!B:B)</f>
        <v>9</v>
      </c>
    </row>
    <row r="541" spans="1:8">
      <c r="A541" s="1">
        <v>100539</v>
      </c>
      <c r="B541" s="1">
        <v>892883</v>
      </c>
      <c r="C541" s="2">
        <v>41366</v>
      </c>
      <c r="D541" s="1" t="s">
        <v>1992</v>
      </c>
      <c r="E541" s="6">
        <v>2</v>
      </c>
      <c r="F541" s="6" t="str">
        <f t="shared" si="16"/>
        <v>April</v>
      </c>
      <c r="G541" s="6">
        <f t="shared" si="17"/>
        <v>14</v>
      </c>
      <c r="H541" s="1">
        <f>SUMIF('Retal Tran Line Item'!E:E,A541,'Retal Tran Line Item'!B:B)</f>
        <v>5</v>
      </c>
    </row>
    <row r="542" spans="1:8">
      <c r="A542" s="1">
        <v>100540</v>
      </c>
      <c r="B542" s="1">
        <v>746134</v>
      </c>
      <c r="C542" s="2">
        <v>41366</v>
      </c>
      <c r="D542" s="1" t="s">
        <v>1994</v>
      </c>
      <c r="E542" s="6">
        <v>1</v>
      </c>
      <c r="F542" s="6" t="str">
        <f t="shared" si="16"/>
        <v>April</v>
      </c>
      <c r="G542" s="6">
        <f t="shared" si="17"/>
        <v>14</v>
      </c>
      <c r="H542" s="1">
        <f>SUMIF('Retal Tran Line Item'!E:E,A542,'Retal Tran Line Item'!B:B)</f>
        <v>18</v>
      </c>
    </row>
    <row r="543" spans="1:8">
      <c r="A543" s="1">
        <v>100541</v>
      </c>
      <c r="B543" s="1">
        <v>739669</v>
      </c>
      <c r="C543" s="2">
        <v>41367</v>
      </c>
      <c r="D543" s="1" t="s">
        <v>1992</v>
      </c>
      <c r="E543" s="6">
        <v>1</v>
      </c>
      <c r="F543" s="6" t="str">
        <f t="shared" si="16"/>
        <v>April</v>
      </c>
      <c r="G543" s="6">
        <f t="shared" si="17"/>
        <v>14</v>
      </c>
      <c r="H543" s="1">
        <f>SUMIF('Retal Tran Line Item'!E:E,A543,'Retal Tran Line Item'!B:B)</f>
        <v>12</v>
      </c>
    </row>
    <row r="544" spans="1:8">
      <c r="A544" s="1">
        <v>100542</v>
      </c>
      <c r="B544" s="1">
        <v>860057</v>
      </c>
      <c r="C544" s="2">
        <v>41367</v>
      </c>
      <c r="D544" s="1" t="s">
        <v>1989</v>
      </c>
      <c r="E544" s="6">
        <v>2</v>
      </c>
      <c r="F544" s="6" t="str">
        <f t="shared" si="16"/>
        <v>April</v>
      </c>
      <c r="G544" s="6">
        <f t="shared" si="17"/>
        <v>14</v>
      </c>
      <c r="H544" s="1">
        <f>SUMIF('Retal Tran Line Item'!E:E,A544,'Retal Tran Line Item'!B:B)</f>
        <v>41</v>
      </c>
    </row>
    <row r="545" spans="1:8">
      <c r="A545" s="1">
        <v>100543</v>
      </c>
      <c r="B545" s="1">
        <v>884729</v>
      </c>
      <c r="C545" s="2">
        <v>41367</v>
      </c>
      <c r="D545" s="1" t="s">
        <v>1993</v>
      </c>
      <c r="E545" s="6">
        <v>2</v>
      </c>
      <c r="F545" s="6" t="str">
        <f t="shared" si="16"/>
        <v>April</v>
      </c>
      <c r="G545" s="6">
        <f t="shared" si="17"/>
        <v>14</v>
      </c>
      <c r="H545" s="1">
        <f>SUMIF('Retal Tran Line Item'!E:E,A545,'Retal Tran Line Item'!B:B)</f>
        <v>13</v>
      </c>
    </row>
    <row r="546" spans="1:8">
      <c r="A546" s="1">
        <v>100544</v>
      </c>
      <c r="B546" s="1">
        <v>292402</v>
      </c>
      <c r="C546" s="2">
        <v>41367</v>
      </c>
      <c r="D546" s="1" t="s">
        <v>1994</v>
      </c>
      <c r="E546" s="6">
        <v>1</v>
      </c>
      <c r="F546" s="6" t="str">
        <f t="shared" si="16"/>
        <v>April</v>
      </c>
      <c r="G546" s="6">
        <f t="shared" si="17"/>
        <v>14</v>
      </c>
      <c r="H546" s="1">
        <f>SUMIF('Retal Tran Line Item'!E:E,A546,'Retal Tran Line Item'!B:B)</f>
        <v>10</v>
      </c>
    </row>
    <row r="547" spans="1:8">
      <c r="A547" s="1">
        <v>100545</v>
      </c>
      <c r="B547" s="1">
        <v>771285</v>
      </c>
      <c r="C547" s="2">
        <v>41367</v>
      </c>
      <c r="D547" s="1" t="s">
        <v>1993</v>
      </c>
      <c r="E547" s="6">
        <v>1</v>
      </c>
      <c r="F547" s="6" t="str">
        <f t="shared" si="16"/>
        <v>April</v>
      </c>
      <c r="G547" s="6">
        <f t="shared" si="17"/>
        <v>14</v>
      </c>
      <c r="H547" s="1">
        <f>SUMIF('Retal Tran Line Item'!E:E,A547,'Retal Tran Line Item'!B:B)</f>
        <v>17</v>
      </c>
    </row>
    <row r="548" spans="1:8">
      <c r="A548" s="1">
        <v>100546</v>
      </c>
      <c r="B548" s="1">
        <v>921792</v>
      </c>
      <c r="C548" s="2">
        <v>41367</v>
      </c>
      <c r="D548" s="1" t="s">
        <v>1992</v>
      </c>
      <c r="E548" s="6">
        <v>1</v>
      </c>
      <c r="F548" s="6" t="str">
        <f t="shared" si="16"/>
        <v>April</v>
      </c>
      <c r="G548" s="6">
        <f t="shared" si="17"/>
        <v>14</v>
      </c>
      <c r="H548" s="1">
        <f>SUMIF('Retal Tran Line Item'!E:E,A548,'Retal Tran Line Item'!B:B)</f>
        <v>2</v>
      </c>
    </row>
    <row r="549" spans="1:8">
      <c r="A549" s="1">
        <v>100547</v>
      </c>
      <c r="B549" s="1">
        <v>737707</v>
      </c>
      <c r="C549" s="2">
        <v>41367</v>
      </c>
      <c r="D549" s="1" t="s">
        <v>1989</v>
      </c>
      <c r="E549" s="6">
        <v>2</v>
      </c>
      <c r="F549" s="6" t="str">
        <f t="shared" si="16"/>
        <v>April</v>
      </c>
      <c r="G549" s="6">
        <f t="shared" si="17"/>
        <v>14</v>
      </c>
      <c r="H549" s="1">
        <f>SUMIF('Retal Tran Line Item'!E:E,A549,'Retal Tran Line Item'!B:B)</f>
        <v>9</v>
      </c>
    </row>
    <row r="550" spans="1:8">
      <c r="A550" s="1">
        <v>100548</v>
      </c>
      <c r="B550" s="1">
        <v>412929</v>
      </c>
      <c r="C550" s="2">
        <v>41368</v>
      </c>
      <c r="D550" s="1" t="s">
        <v>1989</v>
      </c>
      <c r="E550" s="6">
        <v>1</v>
      </c>
      <c r="F550" s="6" t="str">
        <f t="shared" si="16"/>
        <v>April</v>
      </c>
      <c r="G550" s="6">
        <f t="shared" si="17"/>
        <v>14</v>
      </c>
      <c r="H550" s="1">
        <f>SUMIF('Retal Tran Line Item'!E:E,A550,'Retal Tran Line Item'!B:B)</f>
        <v>12</v>
      </c>
    </row>
    <row r="551" spans="1:8">
      <c r="A551" s="1">
        <v>100549</v>
      </c>
      <c r="B551" s="1">
        <v>756769</v>
      </c>
      <c r="C551" s="2">
        <v>41368</v>
      </c>
      <c r="D551" s="1" t="s">
        <v>1989</v>
      </c>
      <c r="E551" s="6">
        <v>1</v>
      </c>
      <c r="F551" s="6" t="str">
        <f t="shared" si="16"/>
        <v>April</v>
      </c>
      <c r="G551" s="6">
        <f t="shared" si="17"/>
        <v>14</v>
      </c>
      <c r="H551" s="1">
        <f>SUMIF('Retal Tran Line Item'!E:E,A551,'Retal Tran Line Item'!B:B)</f>
        <v>7</v>
      </c>
    </row>
    <row r="552" spans="1:8">
      <c r="A552" s="1">
        <v>100550</v>
      </c>
      <c r="B552" s="1">
        <v>292402</v>
      </c>
      <c r="C552" s="2">
        <v>41368</v>
      </c>
      <c r="D552" s="1" t="s">
        <v>1994</v>
      </c>
      <c r="E552" s="6">
        <v>1</v>
      </c>
      <c r="F552" s="6" t="str">
        <f t="shared" si="16"/>
        <v>April</v>
      </c>
      <c r="G552" s="6">
        <f t="shared" si="17"/>
        <v>14</v>
      </c>
      <c r="H552" s="1">
        <f>SUMIF('Retal Tran Line Item'!E:E,A552,'Retal Tran Line Item'!B:B)</f>
        <v>3</v>
      </c>
    </row>
    <row r="553" spans="1:8">
      <c r="A553" s="1">
        <v>100551</v>
      </c>
      <c r="B553" s="1">
        <v>276549</v>
      </c>
      <c r="C553" s="2">
        <v>41368</v>
      </c>
      <c r="D553" s="1" t="s">
        <v>1992</v>
      </c>
      <c r="E553" s="6">
        <v>1</v>
      </c>
      <c r="F553" s="6" t="str">
        <f t="shared" si="16"/>
        <v>April</v>
      </c>
      <c r="G553" s="6">
        <f t="shared" si="17"/>
        <v>14</v>
      </c>
      <c r="H553" s="1">
        <f>SUMIF('Retal Tran Line Item'!E:E,A553,'Retal Tran Line Item'!B:B)</f>
        <v>10</v>
      </c>
    </row>
    <row r="554" spans="1:8">
      <c r="A554" s="1">
        <v>100552</v>
      </c>
      <c r="B554" s="1">
        <v>665282</v>
      </c>
      <c r="C554" s="2">
        <v>41369</v>
      </c>
      <c r="D554" s="1" t="s">
        <v>1993</v>
      </c>
      <c r="E554" s="6">
        <v>1</v>
      </c>
      <c r="F554" s="6" t="str">
        <f t="shared" si="16"/>
        <v>April</v>
      </c>
      <c r="G554" s="6">
        <f t="shared" si="17"/>
        <v>14</v>
      </c>
      <c r="H554" s="1">
        <f>SUMIF('Retal Tran Line Item'!E:E,A554,'Retal Tran Line Item'!B:B)</f>
        <v>10</v>
      </c>
    </row>
    <row r="555" spans="1:8">
      <c r="A555" s="1">
        <v>100553</v>
      </c>
      <c r="B555" s="1">
        <v>737707</v>
      </c>
      <c r="C555" s="2">
        <v>41369</v>
      </c>
      <c r="D555" s="1" t="s">
        <v>1989</v>
      </c>
      <c r="E555" s="6">
        <v>1</v>
      </c>
      <c r="F555" s="6" t="str">
        <f t="shared" si="16"/>
        <v>April</v>
      </c>
      <c r="G555" s="6">
        <f t="shared" si="17"/>
        <v>14</v>
      </c>
      <c r="H555" s="1">
        <f>SUMIF('Retal Tran Line Item'!E:E,A555,'Retal Tran Line Item'!B:B)</f>
        <v>19</v>
      </c>
    </row>
    <row r="556" spans="1:8">
      <c r="A556" s="1">
        <v>100554</v>
      </c>
      <c r="B556" s="1">
        <v>720602</v>
      </c>
      <c r="C556" s="2">
        <v>41369</v>
      </c>
      <c r="D556" s="1" t="s">
        <v>1992</v>
      </c>
      <c r="E556" s="6">
        <v>2</v>
      </c>
      <c r="F556" s="6" t="str">
        <f t="shared" si="16"/>
        <v>April</v>
      </c>
      <c r="G556" s="6">
        <f t="shared" si="17"/>
        <v>14</v>
      </c>
      <c r="H556" s="1">
        <f>SUMIF('Retal Tran Line Item'!E:E,A556,'Retal Tran Line Item'!B:B)</f>
        <v>14</v>
      </c>
    </row>
    <row r="557" spans="1:8">
      <c r="A557" s="1">
        <v>100555</v>
      </c>
      <c r="B557" s="1">
        <v>283158</v>
      </c>
      <c r="C557" s="2">
        <v>41369</v>
      </c>
      <c r="D557" s="1" t="s">
        <v>1993</v>
      </c>
      <c r="E557" s="6">
        <v>1</v>
      </c>
      <c r="F557" s="6" t="str">
        <f t="shared" si="16"/>
        <v>April</v>
      </c>
      <c r="G557" s="6">
        <f t="shared" si="17"/>
        <v>14</v>
      </c>
      <c r="H557" s="1">
        <f>SUMIF('Retal Tran Line Item'!E:E,A557,'Retal Tran Line Item'!B:B)</f>
        <v>20</v>
      </c>
    </row>
    <row r="558" spans="1:8">
      <c r="A558" s="1">
        <v>100556</v>
      </c>
      <c r="B558" s="1">
        <v>776775</v>
      </c>
      <c r="C558" s="2">
        <v>41370</v>
      </c>
      <c r="D558" s="1" t="s">
        <v>1992</v>
      </c>
      <c r="E558" s="6">
        <v>2</v>
      </c>
      <c r="F558" s="6" t="str">
        <f t="shared" si="16"/>
        <v>April</v>
      </c>
      <c r="G558" s="6">
        <f t="shared" si="17"/>
        <v>14</v>
      </c>
      <c r="H558" s="1">
        <f>SUMIF('Retal Tran Line Item'!E:E,A558,'Retal Tran Line Item'!B:B)</f>
        <v>5</v>
      </c>
    </row>
    <row r="559" spans="1:8">
      <c r="A559" s="1">
        <v>100557</v>
      </c>
      <c r="B559" s="1">
        <v>938417</v>
      </c>
      <c r="C559" s="2">
        <v>41370</v>
      </c>
      <c r="D559" s="1" t="s">
        <v>1992</v>
      </c>
      <c r="E559" s="6">
        <v>2</v>
      </c>
      <c r="F559" s="6" t="str">
        <f t="shared" si="16"/>
        <v>April</v>
      </c>
      <c r="G559" s="6">
        <f t="shared" si="17"/>
        <v>14</v>
      </c>
      <c r="H559" s="1">
        <f>SUMIF('Retal Tran Line Item'!E:E,A559,'Retal Tran Line Item'!B:B)</f>
        <v>9</v>
      </c>
    </row>
    <row r="560" spans="1:8">
      <c r="A560" s="1">
        <v>100558</v>
      </c>
      <c r="B560" s="1">
        <v>841831</v>
      </c>
      <c r="C560" s="2">
        <v>41370</v>
      </c>
      <c r="D560" s="1" t="s">
        <v>1992</v>
      </c>
      <c r="E560" s="6">
        <v>1</v>
      </c>
      <c r="F560" s="6" t="str">
        <f t="shared" si="16"/>
        <v>April</v>
      </c>
      <c r="G560" s="6">
        <f t="shared" si="17"/>
        <v>14</v>
      </c>
      <c r="H560" s="1">
        <f>SUMIF('Retal Tran Line Item'!E:E,A560,'Retal Tran Line Item'!B:B)</f>
        <v>3</v>
      </c>
    </row>
    <row r="561" spans="1:8">
      <c r="A561" s="1">
        <v>100559</v>
      </c>
      <c r="B561" s="1">
        <v>628132</v>
      </c>
      <c r="C561" s="2">
        <v>41370</v>
      </c>
      <c r="D561" s="1" t="s">
        <v>1992</v>
      </c>
      <c r="E561" s="6">
        <v>1</v>
      </c>
      <c r="F561" s="6" t="str">
        <f t="shared" si="16"/>
        <v>April</v>
      </c>
      <c r="G561" s="6">
        <f t="shared" si="17"/>
        <v>14</v>
      </c>
      <c r="H561" s="1">
        <f>SUMIF('Retal Tran Line Item'!E:E,A561,'Retal Tran Line Item'!B:B)</f>
        <v>4</v>
      </c>
    </row>
    <row r="562" spans="1:8">
      <c r="A562" s="1">
        <v>100560</v>
      </c>
      <c r="B562" s="1">
        <v>608290</v>
      </c>
      <c r="C562" s="2">
        <v>41370</v>
      </c>
      <c r="D562" s="1" t="s">
        <v>1992</v>
      </c>
      <c r="E562" s="6">
        <v>1</v>
      </c>
      <c r="F562" s="6" t="str">
        <f t="shared" si="16"/>
        <v>April</v>
      </c>
      <c r="G562" s="6">
        <f t="shared" si="17"/>
        <v>14</v>
      </c>
      <c r="H562" s="1">
        <f>SUMIF('Retal Tran Line Item'!E:E,A562,'Retal Tran Line Item'!B:B)</f>
        <v>15</v>
      </c>
    </row>
    <row r="563" spans="1:8">
      <c r="A563" s="1">
        <v>100561</v>
      </c>
      <c r="B563" s="1">
        <v>491380</v>
      </c>
      <c r="C563" s="2">
        <v>41370</v>
      </c>
      <c r="D563" s="1" t="s">
        <v>1992</v>
      </c>
      <c r="E563" s="6">
        <v>1</v>
      </c>
      <c r="F563" s="6" t="str">
        <f t="shared" si="16"/>
        <v>April</v>
      </c>
      <c r="G563" s="6">
        <f t="shared" si="17"/>
        <v>14</v>
      </c>
      <c r="H563" s="1">
        <f>SUMIF('Retal Tran Line Item'!E:E,A563,'Retal Tran Line Item'!B:B)</f>
        <v>14</v>
      </c>
    </row>
    <row r="564" spans="1:8">
      <c r="A564" s="1">
        <v>100562</v>
      </c>
      <c r="B564" s="1">
        <v>378374</v>
      </c>
      <c r="C564" s="2">
        <v>41371</v>
      </c>
      <c r="D564" s="1" t="s">
        <v>1994</v>
      </c>
      <c r="E564" s="6">
        <v>2</v>
      </c>
      <c r="F564" s="6" t="str">
        <f t="shared" si="16"/>
        <v>April</v>
      </c>
      <c r="G564" s="6">
        <f t="shared" si="17"/>
        <v>15</v>
      </c>
      <c r="H564" s="1">
        <f>SUMIF('Retal Tran Line Item'!E:E,A564,'Retal Tran Line Item'!B:B)</f>
        <v>9</v>
      </c>
    </row>
    <row r="565" spans="1:8">
      <c r="A565" s="1">
        <v>100563</v>
      </c>
      <c r="B565" s="1">
        <v>585972</v>
      </c>
      <c r="C565" s="2">
        <v>41371</v>
      </c>
      <c r="D565" s="1" t="s">
        <v>1993</v>
      </c>
      <c r="E565" s="6">
        <v>2</v>
      </c>
      <c r="F565" s="6" t="str">
        <f t="shared" si="16"/>
        <v>April</v>
      </c>
      <c r="G565" s="6">
        <f t="shared" si="17"/>
        <v>15</v>
      </c>
      <c r="H565" s="1">
        <f>SUMIF('Retal Tran Line Item'!E:E,A565,'Retal Tran Line Item'!B:B)</f>
        <v>2</v>
      </c>
    </row>
    <row r="566" spans="1:8">
      <c r="A566" s="1">
        <v>100564</v>
      </c>
      <c r="B566" s="1">
        <v>346006</v>
      </c>
      <c r="C566" s="2">
        <v>41372</v>
      </c>
      <c r="D566" s="1" t="s">
        <v>1989</v>
      </c>
      <c r="E566" s="6">
        <v>1</v>
      </c>
      <c r="F566" s="6" t="str">
        <f t="shared" si="16"/>
        <v>April</v>
      </c>
      <c r="G566" s="6">
        <f t="shared" si="17"/>
        <v>15</v>
      </c>
      <c r="H566" s="1">
        <f>SUMIF('Retal Tran Line Item'!E:E,A566,'Retal Tran Line Item'!B:B)</f>
        <v>10</v>
      </c>
    </row>
    <row r="567" spans="1:8">
      <c r="A567" s="1">
        <v>100565</v>
      </c>
      <c r="B567" s="1">
        <v>995599</v>
      </c>
      <c r="C567" s="2">
        <v>41372</v>
      </c>
      <c r="D567" s="1" t="s">
        <v>1989</v>
      </c>
      <c r="E567" s="6">
        <v>1</v>
      </c>
      <c r="F567" s="6" t="str">
        <f t="shared" si="16"/>
        <v>April</v>
      </c>
      <c r="G567" s="6">
        <f t="shared" si="17"/>
        <v>15</v>
      </c>
      <c r="H567" s="1">
        <f>SUMIF('Retal Tran Line Item'!E:E,A567,'Retal Tran Line Item'!B:B)</f>
        <v>4</v>
      </c>
    </row>
    <row r="568" spans="1:8">
      <c r="A568" s="1">
        <v>100566</v>
      </c>
      <c r="B568" s="1">
        <v>515753</v>
      </c>
      <c r="C568" s="2">
        <v>41372</v>
      </c>
      <c r="D568" s="1" t="s">
        <v>1989</v>
      </c>
      <c r="E568" s="6">
        <v>2</v>
      </c>
      <c r="F568" s="6" t="str">
        <f t="shared" si="16"/>
        <v>April</v>
      </c>
      <c r="G568" s="6">
        <f t="shared" si="17"/>
        <v>15</v>
      </c>
      <c r="H568" s="1">
        <f>SUMIF('Retal Tran Line Item'!E:E,A568,'Retal Tran Line Item'!B:B)</f>
        <v>2</v>
      </c>
    </row>
    <row r="569" spans="1:8">
      <c r="A569" s="1">
        <v>100567</v>
      </c>
      <c r="B569" s="1">
        <v>500828</v>
      </c>
      <c r="C569" s="2">
        <v>41372</v>
      </c>
      <c r="D569" s="1" t="s">
        <v>1992</v>
      </c>
      <c r="E569" s="6">
        <v>1</v>
      </c>
      <c r="F569" s="6" t="str">
        <f t="shared" si="16"/>
        <v>April</v>
      </c>
      <c r="G569" s="6">
        <f t="shared" si="17"/>
        <v>15</v>
      </c>
      <c r="H569" s="1">
        <f>SUMIF('Retal Tran Line Item'!E:E,A569,'Retal Tran Line Item'!B:B)</f>
        <v>18</v>
      </c>
    </row>
    <row r="570" spans="1:8">
      <c r="A570" s="1">
        <v>100568</v>
      </c>
      <c r="B570" s="1">
        <v>926289</v>
      </c>
      <c r="C570" s="2">
        <v>41372</v>
      </c>
      <c r="D570" s="1" t="s">
        <v>1994</v>
      </c>
      <c r="E570" s="6">
        <v>1</v>
      </c>
      <c r="F570" s="6" t="str">
        <f t="shared" si="16"/>
        <v>April</v>
      </c>
      <c r="G570" s="6">
        <f t="shared" si="17"/>
        <v>15</v>
      </c>
      <c r="H570" s="1">
        <f>SUMIF('Retal Tran Line Item'!E:E,A570,'Retal Tran Line Item'!B:B)</f>
        <v>3</v>
      </c>
    </row>
    <row r="571" spans="1:8">
      <c r="A571" s="1">
        <v>100569</v>
      </c>
      <c r="B571" s="1">
        <v>304344</v>
      </c>
      <c r="C571" s="2">
        <v>41373</v>
      </c>
      <c r="D571" s="1" t="s">
        <v>1993</v>
      </c>
      <c r="E571" s="6">
        <v>2</v>
      </c>
      <c r="F571" s="6" t="str">
        <f t="shared" si="16"/>
        <v>April</v>
      </c>
      <c r="G571" s="6">
        <f t="shared" si="17"/>
        <v>15</v>
      </c>
      <c r="H571" s="1">
        <f>SUMIF('Retal Tran Line Item'!E:E,A571,'Retal Tran Line Item'!B:B)</f>
        <v>16</v>
      </c>
    </row>
    <row r="572" spans="1:8">
      <c r="A572" s="1">
        <v>100570</v>
      </c>
      <c r="B572" s="1">
        <v>741514</v>
      </c>
      <c r="C572" s="2">
        <v>41373</v>
      </c>
      <c r="D572" s="1" t="s">
        <v>1992</v>
      </c>
      <c r="E572" s="6">
        <v>1</v>
      </c>
      <c r="F572" s="6" t="str">
        <f t="shared" si="16"/>
        <v>April</v>
      </c>
      <c r="G572" s="6">
        <f t="shared" si="17"/>
        <v>15</v>
      </c>
      <c r="H572" s="1">
        <f>SUMIF('Retal Tran Line Item'!E:E,A572,'Retal Tran Line Item'!B:B)</f>
        <v>9</v>
      </c>
    </row>
    <row r="573" spans="1:8">
      <c r="A573" s="1">
        <v>100571</v>
      </c>
      <c r="B573" s="1">
        <v>454015</v>
      </c>
      <c r="C573" s="2">
        <v>41373</v>
      </c>
      <c r="D573" s="1" t="s">
        <v>1993</v>
      </c>
      <c r="E573" s="6">
        <v>2</v>
      </c>
      <c r="F573" s="6" t="str">
        <f t="shared" si="16"/>
        <v>April</v>
      </c>
      <c r="G573" s="6">
        <f t="shared" si="17"/>
        <v>15</v>
      </c>
      <c r="H573" s="1">
        <f>SUMIF('Retal Tran Line Item'!E:E,A573,'Retal Tran Line Item'!B:B)</f>
        <v>8</v>
      </c>
    </row>
    <row r="574" spans="1:8">
      <c r="A574" s="1">
        <v>100572</v>
      </c>
      <c r="B574" s="1">
        <v>305005</v>
      </c>
      <c r="C574" s="2">
        <v>41373</v>
      </c>
      <c r="D574" s="1" t="s">
        <v>1993</v>
      </c>
      <c r="E574" s="6">
        <v>1</v>
      </c>
      <c r="F574" s="6" t="str">
        <f t="shared" si="16"/>
        <v>April</v>
      </c>
      <c r="G574" s="6">
        <f t="shared" si="17"/>
        <v>15</v>
      </c>
      <c r="H574" s="1">
        <f>SUMIF('Retal Tran Line Item'!E:E,A574,'Retal Tran Line Item'!B:B)</f>
        <v>9</v>
      </c>
    </row>
    <row r="575" spans="1:8">
      <c r="A575" s="1">
        <v>100573</v>
      </c>
      <c r="B575" s="1">
        <v>336644</v>
      </c>
      <c r="C575" s="2">
        <v>41374</v>
      </c>
      <c r="D575" s="1" t="s">
        <v>1993</v>
      </c>
      <c r="E575" s="6">
        <v>2</v>
      </c>
      <c r="F575" s="6" t="str">
        <f t="shared" si="16"/>
        <v>April</v>
      </c>
      <c r="G575" s="6">
        <f t="shared" si="17"/>
        <v>15</v>
      </c>
      <c r="H575" s="1">
        <f>SUMIF('Retal Tran Line Item'!E:E,A575,'Retal Tran Line Item'!B:B)</f>
        <v>25</v>
      </c>
    </row>
    <row r="576" spans="1:8">
      <c r="A576" s="1">
        <v>100574</v>
      </c>
      <c r="B576" s="1">
        <v>305005</v>
      </c>
      <c r="C576" s="2">
        <v>41374</v>
      </c>
      <c r="D576" s="1" t="s">
        <v>1993</v>
      </c>
      <c r="E576" s="6">
        <v>2</v>
      </c>
      <c r="F576" s="6" t="str">
        <f t="shared" si="16"/>
        <v>April</v>
      </c>
      <c r="G576" s="6">
        <f t="shared" si="17"/>
        <v>15</v>
      </c>
      <c r="H576" s="1">
        <f>SUMIF('Retal Tran Line Item'!E:E,A576,'Retal Tran Line Item'!B:B)</f>
        <v>13</v>
      </c>
    </row>
    <row r="577" spans="1:8">
      <c r="A577" s="1">
        <v>100575</v>
      </c>
      <c r="B577" s="1">
        <v>921792</v>
      </c>
      <c r="C577" s="2">
        <v>41374</v>
      </c>
      <c r="D577" s="1" t="s">
        <v>1992</v>
      </c>
      <c r="E577" s="6">
        <v>2</v>
      </c>
      <c r="F577" s="6" t="str">
        <f t="shared" si="16"/>
        <v>April</v>
      </c>
      <c r="G577" s="6">
        <f t="shared" si="17"/>
        <v>15</v>
      </c>
      <c r="H577" s="1">
        <f>SUMIF('Retal Tran Line Item'!E:E,A577,'Retal Tran Line Item'!B:B)</f>
        <v>9</v>
      </c>
    </row>
    <row r="578" spans="1:8">
      <c r="A578" s="1">
        <v>100576</v>
      </c>
      <c r="B578" s="1">
        <v>739440</v>
      </c>
      <c r="C578" s="2">
        <v>41374</v>
      </c>
      <c r="D578" s="1" t="s">
        <v>1993</v>
      </c>
      <c r="E578" s="6">
        <v>1</v>
      </c>
      <c r="F578" s="6" t="str">
        <f t="shared" si="16"/>
        <v>April</v>
      </c>
      <c r="G578" s="6">
        <f t="shared" si="17"/>
        <v>15</v>
      </c>
      <c r="H578" s="1">
        <f>SUMIF('Retal Tran Line Item'!E:E,A578,'Retal Tran Line Item'!B:B)</f>
        <v>22</v>
      </c>
    </row>
    <row r="579" spans="1:8">
      <c r="A579" s="1">
        <v>100577</v>
      </c>
      <c r="B579" s="1">
        <v>567388</v>
      </c>
      <c r="C579" s="2">
        <v>41374</v>
      </c>
      <c r="D579" s="1" t="s">
        <v>1993</v>
      </c>
      <c r="E579" s="6">
        <v>1</v>
      </c>
      <c r="F579" s="6" t="str">
        <f t="shared" ref="F579:F642" si="18">TEXT(C579,"MMMM")</f>
        <v>April</v>
      </c>
      <c r="G579" s="6">
        <f t="shared" ref="G579:G642" si="19">WEEKNUM(C579)</f>
        <v>15</v>
      </c>
      <c r="H579" s="1">
        <f>SUMIF('Retal Tran Line Item'!E:E,A579,'Retal Tran Line Item'!B:B)</f>
        <v>17</v>
      </c>
    </row>
    <row r="580" spans="1:8">
      <c r="A580" s="1">
        <v>100578</v>
      </c>
      <c r="B580" s="1">
        <v>214537</v>
      </c>
      <c r="C580" s="2">
        <v>41374</v>
      </c>
      <c r="D580" s="1" t="s">
        <v>1989</v>
      </c>
      <c r="E580" s="6">
        <v>2</v>
      </c>
      <c r="F580" s="6" t="str">
        <f t="shared" si="18"/>
        <v>April</v>
      </c>
      <c r="G580" s="6">
        <f t="shared" si="19"/>
        <v>15</v>
      </c>
      <c r="H580" s="1">
        <f>SUMIF('Retal Tran Line Item'!E:E,A580,'Retal Tran Line Item'!B:B)</f>
        <v>8</v>
      </c>
    </row>
    <row r="581" spans="1:8">
      <c r="A581" s="1">
        <v>100579</v>
      </c>
      <c r="B581" s="1">
        <v>643305</v>
      </c>
      <c r="C581" s="2">
        <v>41375</v>
      </c>
      <c r="D581" s="1" t="s">
        <v>1992</v>
      </c>
      <c r="E581" s="6">
        <v>1</v>
      </c>
      <c r="F581" s="6" t="str">
        <f t="shared" si="18"/>
        <v>April</v>
      </c>
      <c r="G581" s="6">
        <f t="shared" si="19"/>
        <v>15</v>
      </c>
      <c r="H581" s="1">
        <f>SUMIF('Retal Tran Line Item'!E:E,A581,'Retal Tran Line Item'!B:B)</f>
        <v>19</v>
      </c>
    </row>
    <row r="582" spans="1:8">
      <c r="A582" s="1">
        <v>100580</v>
      </c>
      <c r="B582" s="1">
        <v>884607</v>
      </c>
      <c r="C582" s="2">
        <v>41375</v>
      </c>
      <c r="D582" s="1" t="s">
        <v>1993</v>
      </c>
      <c r="E582" s="6">
        <v>2</v>
      </c>
      <c r="F582" s="6" t="str">
        <f t="shared" si="18"/>
        <v>April</v>
      </c>
      <c r="G582" s="6">
        <f t="shared" si="19"/>
        <v>15</v>
      </c>
      <c r="H582" s="1">
        <f>SUMIF('Retal Tran Line Item'!E:E,A582,'Retal Tran Line Item'!B:B)</f>
        <v>8</v>
      </c>
    </row>
    <row r="583" spans="1:8">
      <c r="A583" s="1">
        <v>100581</v>
      </c>
      <c r="B583" s="1">
        <v>734624</v>
      </c>
      <c r="C583" s="2">
        <v>41375</v>
      </c>
      <c r="D583" s="1" t="s">
        <v>1994</v>
      </c>
      <c r="E583" s="6">
        <v>2</v>
      </c>
      <c r="F583" s="6" t="str">
        <f t="shared" si="18"/>
        <v>April</v>
      </c>
      <c r="G583" s="6">
        <f t="shared" si="19"/>
        <v>15</v>
      </c>
      <c r="H583" s="1">
        <f>SUMIF('Retal Tran Line Item'!E:E,A583,'Retal Tran Line Item'!B:B)</f>
        <v>5</v>
      </c>
    </row>
    <row r="584" spans="1:8">
      <c r="A584" s="1">
        <v>100582</v>
      </c>
      <c r="B584" s="1">
        <v>885548</v>
      </c>
      <c r="C584" s="2">
        <v>41375</v>
      </c>
      <c r="D584" s="1" t="s">
        <v>1992</v>
      </c>
      <c r="E584" s="6">
        <v>1</v>
      </c>
      <c r="F584" s="6" t="str">
        <f t="shared" si="18"/>
        <v>April</v>
      </c>
      <c r="G584" s="6">
        <f t="shared" si="19"/>
        <v>15</v>
      </c>
      <c r="H584" s="1">
        <f>SUMIF('Retal Tran Line Item'!E:E,A584,'Retal Tran Line Item'!B:B)</f>
        <v>6</v>
      </c>
    </row>
    <row r="585" spans="1:8">
      <c r="A585" s="1">
        <v>100583</v>
      </c>
      <c r="B585" s="1">
        <v>249188</v>
      </c>
      <c r="C585" s="2">
        <v>41375</v>
      </c>
      <c r="D585" s="1" t="s">
        <v>1992</v>
      </c>
      <c r="E585" s="6">
        <v>2</v>
      </c>
      <c r="F585" s="6" t="str">
        <f t="shared" si="18"/>
        <v>April</v>
      </c>
      <c r="G585" s="6">
        <f t="shared" si="19"/>
        <v>15</v>
      </c>
      <c r="H585" s="1">
        <f>SUMIF('Retal Tran Line Item'!E:E,A585,'Retal Tran Line Item'!B:B)</f>
        <v>2</v>
      </c>
    </row>
    <row r="586" spans="1:8">
      <c r="A586" s="1">
        <v>100584</v>
      </c>
      <c r="B586" s="1">
        <v>464782</v>
      </c>
      <c r="C586" s="2">
        <v>41375</v>
      </c>
      <c r="D586" s="1" t="s">
        <v>1993</v>
      </c>
      <c r="E586" s="6">
        <v>2</v>
      </c>
      <c r="F586" s="6" t="str">
        <f t="shared" si="18"/>
        <v>April</v>
      </c>
      <c r="G586" s="6">
        <f t="shared" si="19"/>
        <v>15</v>
      </c>
      <c r="H586" s="1">
        <f>SUMIF('Retal Tran Line Item'!E:E,A586,'Retal Tran Line Item'!B:B)</f>
        <v>13</v>
      </c>
    </row>
    <row r="587" spans="1:8">
      <c r="A587" s="1">
        <v>100585</v>
      </c>
      <c r="B587" s="1">
        <v>748326</v>
      </c>
      <c r="C587" s="2">
        <v>41375</v>
      </c>
      <c r="D587" s="1" t="s">
        <v>1993</v>
      </c>
      <c r="E587" s="6">
        <v>1</v>
      </c>
      <c r="F587" s="6" t="str">
        <f t="shared" si="18"/>
        <v>April</v>
      </c>
      <c r="G587" s="6">
        <f t="shared" si="19"/>
        <v>15</v>
      </c>
      <c r="H587" s="1">
        <f>SUMIF('Retal Tran Line Item'!E:E,A587,'Retal Tran Line Item'!B:B)</f>
        <v>8</v>
      </c>
    </row>
    <row r="588" spans="1:8">
      <c r="A588" s="1">
        <v>100586</v>
      </c>
      <c r="B588" s="1">
        <v>415869</v>
      </c>
      <c r="C588" s="2">
        <v>41376</v>
      </c>
      <c r="D588" s="1" t="s">
        <v>1993</v>
      </c>
      <c r="E588" s="6">
        <v>1</v>
      </c>
      <c r="F588" s="6" t="str">
        <f t="shared" si="18"/>
        <v>April</v>
      </c>
      <c r="G588" s="6">
        <f t="shared" si="19"/>
        <v>15</v>
      </c>
      <c r="H588" s="1">
        <f>SUMIF('Retal Tran Line Item'!E:E,A588,'Retal Tran Line Item'!B:B)</f>
        <v>3</v>
      </c>
    </row>
    <row r="589" spans="1:8">
      <c r="A589" s="1">
        <v>100587</v>
      </c>
      <c r="B589" s="1">
        <v>825249</v>
      </c>
      <c r="C589" s="2">
        <v>41376</v>
      </c>
      <c r="D589" s="1" t="s">
        <v>1993</v>
      </c>
      <c r="E589" s="6">
        <v>1</v>
      </c>
      <c r="F589" s="6" t="str">
        <f t="shared" si="18"/>
        <v>April</v>
      </c>
      <c r="G589" s="6">
        <f t="shared" si="19"/>
        <v>15</v>
      </c>
      <c r="H589" s="1">
        <f>SUMIF('Retal Tran Line Item'!E:E,A589,'Retal Tran Line Item'!B:B)</f>
        <v>9</v>
      </c>
    </row>
    <row r="590" spans="1:8">
      <c r="A590" s="1">
        <v>100588</v>
      </c>
      <c r="B590" s="1">
        <v>817159</v>
      </c>
      <c r="C590" s="2">
        <v>41376</v>
      </c>
      <c r="D590" s="1" t="s">
        <v>1994</v>
      </c>
      <c r="E590" s="6">
        <v>2</v>
      </c>
      <c r="F590" s="6" t="str">
        <f t="shared" si="18"/>
        <v>April</v>
      </c>
      <c r="G590" s="6">
        <f t="shared" si="19"/>
        <v>15</v>
      </c>
      <c r="H590" s="1">
        <f>SUMIF('Retal Tran Line Item'!E:E,A590,'Retal Tran Line Item'!B:B)</f>
        <v>6</v>
      </c>
    </row>
    <row r="591" spans="1:8">
      <c r="A591" s="1">
        <v>100589</v>
      </c>
      <c r="B591" s="1">
        <v>771285</v>
      </c>
      <c r="C591" s="2">
        <v>41376</v>
      </c>
      <c r="D591" s="1" t="s">
        <v>1993</v>
      </c>
      <c r="E591" s="6">
        <v>1</v>
      </c>
      <c r="F591" s="6" t="str">
        <f t="shared" si="18"/>
        <v>April</v>
      </c>
      <c r="G591" s="6">
        <f t="shared" si="19"/>
        <v>15</v>
      </c>
      <c r="H591" s="1">
        <f>SUMIF('Retal Tran Line Item'!E:E,A591,'Retal Tran Line Item'!B:B)</f>
        <v>5</v>
      </c>
    </row>
    <row r="592" spans="1:8">
      <c r="A592" s="1">
        <v>100590</v>
      </c>
      <c r="B592" s="1">
        <v>227456</v>
      </c>
      <c r="C592" s="2">
        <v>41376</v>
      </c>
      <c r="D592" s="1" t="s">
        <v>1993</v>
      </c>
      <c r="E592" s="6">
        <v>2</v>
      </c>
      <c r="F592" s="6" t="str">
        <f t="shared" si="18"/>
        <v>April</v>
      </c>
      <c r="G592" s="6">
        <f t="shared" si="19"/>
        <v>15</v>
      </c>
      <c r="H592" s="1">
        <f>SUMIF('Retal Tran Line Item'!E:E,A592,'Retal Tran Line Item'!B:B)</f>
        <v>3</v>
      </c>
    </row>
    <row r="593" spans="1:8">
      <c r="A593" s="1">
        <v>100591</v>
      </c>
      <c r="B593" s="1">
        <v>862302</v>
      </c>
      <c r="C593" s="2">
        <v>41376</v>
      </c>
      <c r="D593" s="1" t="s">
        <v>1992</v>
      </c>
      <c r="E593" s="6">
        <v>1</v>
      </c>
      <c r="F593" s="6" t="str">
        <f t="shared" si="18"/>
        <v>April</v>
      </c>
      <c r="G593" s="6">
        <f t="shared" si="19"/>
        <v>15</v>
      </c>
      <c r="H593" s="1">
        <f>SUMIF('Retal Tran Line Item'!E:E,A593,'Retal Tran Line Item'!B:B)</f>
        <v>5</v>
      </c>
    </row>
    <row r="594" spans="1:8">
      <c r="A594" s="1">
        <v>100592</v>
      </c>
      <c r="B594" s="1">
        <v>879173</v>
      </c>
      <c r="C594" s="2">
        <v>41377</v>
      </c>
      <c r="D594" s="1" t="s">
        <v>1992</v>
      </c>
      <c r="E594" s="6">
        <v>1</v>
      </c>
      <c r="F594" s="6" t="str">
        <f t="shared" si="18"/>
        <v>April</v>
      </c>
      <c r="G594" s="6">
        <f t="shared" si="19"/>
        <v>15</v>
      </c>
      <c r="H594" s="1">
        <f>SUMIF('Retal Tran Line Item'!E:E,A594,'Retal Tran Line Item'!B:B)</f>
        <v>22</v>
      </c>
    </row>
    <row r="595" spans="1:8">
      <c r="A595" s="1">
        <v>100593</v>
      </c>
      <c r="B595" s="1">
        <v>459243</v>
      </c>
      <c r="C595" s="2">
        <v>41377</v>
      </c>
      <c r="D595" s="1" t="s">
        <v>1992</v>
      </c>
      <c r="E595" s="6">
        <v>1</v>
      </c>
      <c r="F595" s="6" t="str">
        <f t="shared" si="18"/>
        <v>April</v>
      </c>
      <c r="G595" s="6">
        <f t="shared" si="19"/>
        <v>15</v>
      </c>
      <c r="H595" s="1">
        <f>SUMIF('Retal Tran Line Item'!E:E,A595,'Retal Tran Line Item'!B:B)</f>
        <v>8</v>
      </c>
    </row>
    <row r="596" spans="1:8">
      <c r="A596" s="1">
        <v>100594</v>
      </c>
      <c r="B596" s="1">
        <v>418635</v>
      </c>
      <c r="C596" s="2">
        <v>41377</v>
      </c>
      <c r="D596" s="1" t="s">
        <v>1993</v>
      </c>
      <c r="E596" s="6">
        <v>1</v>
      </c>
      <c r="F596" s="6" t="str">
        <f t="shared" si="18"/>
        <v>April</v>
      </c>
      <c r="G596" s="6">
        <f t="shared" si="19"/>
        <v>15</v>
      </c>
      <c r="H596" s="1">
        <f>SUMIF('Retal Tran Line Item'!E:E,A596,'Retal Tran Line Item'!B:B)</f>
        <v>1</v>
      </c>
    </row>
    <row r="597" spans="1:8">
      <c r="A597" s="1">
        <v>100595</v>
      </c>
      <c r="B597" s="1">
        <v>278204</v>
      </c>
      <c r="C597" s="2">
        <v>41377</v>
      </c>
      <c r="D597" s="1" t="s">
        <v>1993</v>
      </c>
      <c r="E597" s="6">
        <v>1</v>
      </c>
      <c r="F597" s="6" t="str">
        <f t="shared" si="18"/>
        <v>April</v>
      </c>
      <c r="G597" s="6">
        <f t="shared" si="19"/>
        <v>15</v>
      </c>
      <c r="H597" s="1">
        <f>SUMIF('Retal Tran Line Item'!E:E,A597,'Retal Tran Line Item'!B:B)</f>
        <v>9</v>
      </c>
    </row>
    <row r="598" spans="1:8">
      <c r="A598" s="1">
        <v>100596</v>
      </c>
      <c r="B598" s="1">
        <v>643214</v>
      </c>
      <c r="C598" s="2">
        <v>41378</v>
      </c>
      <c r="D598" s="1" t="s">
        <v>1989</v>
      </c>
      <c r="E598" s="6">
        <v>2</v>
      </c>
      <c r="F598" s="6" t="str">
        <f t="shared" si="18"/>
        <v>April</v>
      </c>
      <c r="G598" s="6">
        <f t="shared" si="19"/>
        <v>16</v>
      </c>
      <c r="H598" s="1">
        <f>SUMIF('Retal Tran Line Item'!E:E,A598,'Retal Tran Line Item'!B:B)</f>
        <v>9</v>
      </c>
    </row>
    <row r="599" spans="1:8">
      <c r="A599" s="1">
        <v>100597</v>
      </c>
      <c r="B599" s="1">
        <v>800121</v>
      </c>
      <c r="C599" s="2">
        <v>41378</v>
      </c>
      <c r="D599" s="1" t="s">
        <v>1993</v>
      </c>
      <c r="E599" s="6">
        <v>2</v>
      </c>
      <c r="F599" s="6" t="str">
        <f t="shared" si="18"/>
        <v>April</v>
      </c>
      <c r="G599" s="6">
        <f t="shared" si="19"/>
        <v>16</v>
      </c>
      <c r="H599" s="1">
        <f>SUMIF('Retal Tran Line Item'!E:E,A599,'Retal Tran Line Item'!B:B)</f>
        <v>6</v>
      </c>
    </row>
    <row r="600" spans="1:8">
      <c r="A600" s="1">
        <v>100598</v>
      </c>
      <c r="B600" s="1">
        <v>981529</v>
      </c>
      <c r="C600" s="2">
        <v>41378</v>
      </c>
      <c r="D600" s="1" t="s">
        <v>1989</v>
      </c>
      <c r="E600" s="6">
        <v>1</v>
      </c>
      <c r="F600" s="6" t="str">
        <f t="shared" si="18"/>
        <v>April</v>
      </c>
      <c r="G600" s="6">
        <f t="shared" si="19"/>
        <v>16</v>
      </c>
      <c r="H600" s="1">
        <f>SUMIF('Retal Tran Line Item'!E:E,A600,'Retal Tran Line Item'!B:B)</f>
        <v>2</v>
      </c>
    </row>
    <row r="601" spans="1:8">
      <c r="A601" s="1">
        <v>100599</v>
      </c>
      <c r="B601" s="1">
        <v>283158</v>
      </c>
      <c r="C601" s="2">
        <v>41378</v>
      </c>
      <c r="D601" s="1" t="s">
        <v>1993</v>
      </c>
      <c r="E601" s="6">
        <v>1</v>
      </c>
      <c r="F601" s="6" t="str">
        <f t="shared" si="18"/>
        <v>April</v>
      </c>
      <c r="G601" s="6">
        <f t="shared" si="19"/>
        <v>16</v>
      </c>
      <c r="H601" s="1">
        <f>SUMIF('Retal Tran Line Item'!E:E,A601,'Retal Tran Line Item'!B:B)</f>
        <v>7</v>
      </c>
    </row>
    <row r="602" spans="1:8">
      <c r="A602" s="1">
        <v>100600</v>
      </c>
      <c r="B602" s="1">
        <v>412929</v>
      </c>
      <c r="C602" s="2">
        <v>41378</v>
      </c>
      <c r="D602" s="1" t="s">
        <v>1989</v>
      </c>
      <c r="E602" s="6">
        <v>2</v>
      </c>
      <c r="F602" s="6" t="str">
        <f t="shared" si="18"/>
        <v>April</v>
      </c>
      <c r="G602" s="6">
        <f t="shared" si="19"/>
        <v>16</v>
      </c>
      <c r="H602" s="1">
        <f>SUMIF('Retal Tran Line Item'!E:E,A602,'Retal Tran Line Item'!B:B)</f>
        <v>8</v>
      </c>
    </row>
    <row r="603" spans="1:8">
      <c r="A603" s="1">
        <v>100601</v>
      </c>
      <c r="B603" s="1">
        <v>756769</v>
      </c>
      <c r="C603" s="2">
        <v>41379</v>
      </c>
      <c r="D603" s="1" t="s">
        <v>1989</v>
      </c>
      <c r="E603" s="6">
        <v>2</v>
      </c>
      <c r="F603" s="6" t="str">
        <f t="shared" si="18"/>
        <v>April</v>
      </c>
      <c r="G603" s="6">
        <f t="shared" si="19"/>
        <v>16</v>
      </c>
      <c r="H603" s="1">
        <f>SUMIF('Retal Tran Line Item'!E:E,A603,'Retal Tran Line Item'!B:B)</f>
        <v>7</v>
      </c>
    </row>
    <row r="604" spans="1:8">
      <c r="A604" s="1">
        <v>100602</v>
      </c>
      <c r="B604" s="1">
        <v>782947</v>
      </c>
      <c r="C604" s="2">
        <v>41379</v>
      </c>
      <c r="D604" s="1" t="s">
        <v>1993</v>
      </c>
      <c r="E604" s="6">
        <v>2</v>
      </c>
      <c r="F604" s="6" t="str">
        <f t="shared" si="18"/>
        <v>April</v>
      </c>
      <c r="G604" s="6">
        <f t="shared" si="19"/>
        <v>16</v>
      </c>
      <c r="H604" s="1">
        <f>SUMIF('Retal Tran Line Item'!E:E,A604,'Retal Tran Line Item'!B:B)</f>
        <v>9</v>
      </c>
    </row>
    <row r="605" spans="1:8">
      <c r="A605" s="1">
        <v>100603</v>
      </c>
      <c r="B605" s="1">
        <v>832914</v>
      </c>
      <c r="C605" s="2">
        <v>41379</v>
      </c>
      <c r="D605" s="1" t="s">
        <v>1992</v>
      </c>
      <c r="E605" s="6">
        <v>1</v>
      </c>
      <c r="F605" s="6" t="str">
        <f t="shared" si="18"/>
        <v>April</v>
      </c>
      <c r="G605" s="6">
        <f t="shared" si="19"/>
        <v>16</v>
      </c>
      <c r="H605" s="1">
        <f>SUMIF('Retal Tran Line Item'!E:E,A605,'Retal Tran Line Item'!B:B)</f>
        <v>3</v>
      </c>
    </row>
    <row r="606" spans="1:8">
      <c r="A606" s="1">
        <v>100604</v>
      </c>
      <c r="B606" s="1">
        <v>199895</v>
      </c>
      <c r="C606" s="2">
        <v>41379</v>
      </c>
      <c r="D606" s="1" t="s">
        <v>1989</v>
      </c>
      <c r="E606" s="6">
        <v>1</v>
      </c>
      <c r="F606" s="6" t="str">
        <f t="shared" si="18"/>
        <v>April</v>
      </c>
      <c r="G606" s="6">
        <f t="shared" si="19"/>
        <v>16</v>
      </c>
      <c r="H606" s="1">
        <f>SUMIF('Retal Tran Line Item'!E:E,A606,'Retal Tran Line Item'!B:B)</f>
        <v>8</v>
      </c>
    </row>
    <row r="607" spans="1:8">
      <c r="A607" s="1">
        <v>100605</v>
      </c>
      <c r="B607" s="1">
        <v>566192</v>
      </c>
      <c r="C607" s="2">
        <v>41379</v>
      </c>
      <c r="D607" s="1" t="s">
        <v>1992</v>
      </c>
      <c r="E607" s="6">
        <v>2</v>
      </c>
      <c r="F607" s="6" t="str">
        <f t="shared" si="18"/>
        <v>April</v>
      </c>
      <c r="G607" s="6">
        <f t="shared" si="19"/>
        <v>16</v>
      </c>
      <c r="H607" s="1">
        <f>SUMIF('Retal Tran Line Item'!E:E,A607,'Retal Tran Line Item'!B:B)</f>
        <v>7</v>
      </c>
    </row>
    <row r="608" spans="1:8">
      <c r="A608" s="1">
        <v>100606</v>
      </c>
      <c r="B608" s="1">
        <v>580783</v>
      </c>
      <c r="C608" s="2">
        <v>41380</v>
      </c>
      <c r="D608" s="1" t="s">
        <v>1989</v>
      </c>
      <c r="E608" s="6">
        <v>1</v>
      </c>
      <c r="F608" s="6" t="str">
        <f t="shared" si="18"/>
        <v>April</v>
      </c>
      <c r="G608" s="6">
        <f t="shared" si="19"/>
        <v>16</v>
      </c>
      <c r="H608" s="1">
        <f>SUMIF('Retal Tran Line Item'!E:E,A608,'Retal Tran Line Item'!B:B)</f>
        <v>10</v>
      </c>
    </row>
    <row r="609" spans="1:8">
      <c r="A609" s="1">
        <v>100607</v>
      </c>
      <c r="B609" s="1">
        <v>386950</v>
      </c>
      <c r="C609" s="2">
        <v>41380</v>
      </c>
      <c r="D609" s="1" t="s">
        <v>1992</v>
      </c>
      <c r="E609" s="6">
        <v>2</v>
      </c>
      <c r="F609" s="6" t="str">
        <f t="shared" si="18"/>
        <v>April</v>
      </c>
      <c r="G609" s="6">
        <f t="shared" si="19"/>
        <v>16</v>
      </c>
      <c r="H609" s="1">
        <f>SUMIF('Retal Tran Line Item'!E:E,A609,'Retal Tran Line Item'!B:B)</f>
        <v>9</v>
      </c>
    </row>
    <row r="610" spans="1:8">
      <c r="A610" s="1">
        <v>100608</v>
      </c>
      <c r="B610" s="1">
        <v>992956</v>
      </c>
      <c r="C610" s="2">
        <v>41381</v>
      </c>
      <c r="D610" s="1" t="s">
        <v>1992</v>
      </c>
      <c r="E610" s="6">
        <v>1</v>
      </c>
      <c r="F610" s="6" t="str">
        <f t="shared" si="18"/>
        <v>April</v>
      </c>
      <c r="G610" s="6">
        <f t="shared" si="19"/>
        <v>16</v>
      </c>
      <c r="H610" s="1">
        <f>SUMIF('Retal Tran Line Item'!E:E,A610,'Retal Tran Line Item'!B:B)</f>
        <v>6</v>
      </c>
    </row>
    <row r="611" spans="1:8">
      <c r="A611" s="1">
        <v>100609</v>
      </c>
      <c r="B611" s="1">
        <v>464782</v>
      </c>
      <c r="C611" s="2">
        <v>41381</v>
      </c>
      <c r="D611" s="1" t="s">
        <v>1993</v>
      </c>
      <c r="E611" s="6">
        <v>1</v>
      </c>
      <c r="F611" s="6" t="str">
        <f t="shared" si="18"/>
        <v>April</v>
      </c>
      <c r="G611" s="6">
        <f t="shared" si="19"/>
        <v>16</v>
      </c>
      <c r="H611" s="1">
        <f>SUMIF('Retal Tran Line Item'!E:E,A611,'Retal Tran Line Item'!B:B)</f>
        <v>10</v>
      </c>
    </row>
    <row r="612" spans="1:8">
      <c r="A612" s="1">
        <v>100610</v>
      </c>
      <c r="B612" s="1">
        <v>408341</v>
      </c>
      <c r="C612" s="2">
        <v>41381</v>
      </c>
      <c r="D612" s="1" t="s">
        <v>1993</v>
      </c>
      <c r="E612" s="6">
        <v>2</v>
      </c>
      <c r="F612" s="6" t="str">
        <f t="shared" si="18"/>
        <v>April</v>
      </c>
      <c r="G612" s="6">
        <f t="shared" si="19"/>
        <v>16</v>
      </c>
      <c r="H612" s="1">
        <f>SUMIF('Retal Tran Line Item'!E:E,A612,'Retal Tran Line Item'!B:B)</f>
        <v>6</v>
      </c>
    </row>
    <row r="613" spans="1:8">
      <c r="A613" s="1">
        <v>100611</v>
      </c>
      <c r="B613" s="1">
        <v>464984</v>
      </c>
      <c r="C613" s="2">
        <v>41381</v>
      </c>
      <c r="D613" s="1" t="s">
        <v>1993</v>
      </c>
      <c r="E613" s="6">
        <v>1</v>
      </c>
      <c r="F613" s="6" t="str">
        <f t="shared" si="18"/>
        <v>April</v>
      </c>
      <c r="G613" s="6">
        <f t="shared" si="19"/>
        <v>16</v>
      </c>
      <c r="H613" s="1">
        <f>SUMIF('Retal Tran Line Item'!E:E,A613,'Retal Tran Line Item'!B:B)</f>
        <v>4</v>
      </c>
    </row>
    <row r="614" spans="1:8">
      <c r="A614" s="1">
        <v>100612</v>
      </c>
      <c r="B614" s="1">
        <v>781523</v>
      </c>
      <c r="C614" s="2">
        <v>41382</v>
      </c>
      <c r="D614" s="1" t="s">
        <v>1989</v>
      </c>
      <c r="E614" s="6">
        <v>2</v>
      </c>
      <c r="F614" s="6" t="str">
        <f t="shared" si="18"/>
        <v>April</v>
      </c>
      <c r="G614" s="6">
        <f t="shared" si="19"/>
        <v>16</v>
      </c>
      <c r="H614" s="1">
        <f>SUMIF('Retal Tran Line Item'!E:E,A614,'Retal Tran Line Item'!B:B)</f>
        <v>10</v>
      </c>
    </row>
    <row r="615" spans="1:8">
      <c r="A615" s="1">
        <v>100613</v>
      </c>
      <c r="B615" s="1">
        <v>917728</v>
      </c>
      <c r="C615" s="2">
        <v>41382</v>
      </c>
      <c r="D615" s="1" t="s">
        <v>1992</v>
      </c>
      <c r="E615" s="6">
        <v>1</v>
      </c>
      <c r="F615" s="6" t="str">
        <f t="shared" si="18"/>
        <v>April</v>
      </c>
      <c r="G615" s="6">
        <f t="shared" si="19"/>
        <v>16</v>
      </c>
      <c r="H615" s="1">
        <f>SUMIF('Retal Tran Line Item'!E:E,A615,'Retal Tran Line Item'!B:B)</f>
        <v>16</v>
      </c>
    </row>
    <row r="616" spans="1:8">
      <c r="A616" s="1">
        <v>100614</v>
      </c>
      <c r="B616" s="1">
        <v>249188</v>
      </c>
      <c r="C616" s="2">
        <v>41382</v>
      </c>
      <c r="D616" s="1" t="s">
        <v>1992</v>
      </c>
      <c r="E616" s="6">
        <v>2</v>
      </c>
      <c r="F616" s="6" t="str">
        <f t="shared" si="18"/>
        <v>April</v>
      </c>
      <c r="G616" s="6">
        <f t="shared" si="19"/>
        <v>16</v>
      </c>
      <c r="H616" s="1">
        <f>SUMIF('Retal Tran Line Item'!E:E,A616,'Retal Tran Line Item'!B:B)</f>
        <v>7</v>
      </c>
    </row>
    <row r="617" spans="1:8">
      <c r="A617" s="1">
        <v>100615</v>
      </c>
      <c r="B617" s="1">
        <v>127472</v>
      </c>
      <c r="C617" s="2">
        <v>41383</v>
      </c>
      <c r="D617" s="1" t="s">
        <v>1993</v>
      </c>
      <c r="E617" s="6">
        <v>1</v>
      </c>
      <c r="F617" s="6" t="str">
        <f t="shared" si="18"/>
        <v>April</v>
      </c>
      <c r="G617" s="6">
        <f t="shared" si="19"/>
        <v>16</v>
      </c>
      <c r="H617" s="1">
        <f>SUMIF('Retal Tran Line Item'!E:E,A617,'Retal Tran Line Item'!B:B)</f>
        <v>1</v>
      </c>
    </row>
    <row r="618" spans="1:8">
      <c r="A618" s="1">
        <v>100616</v>
      </c>
      <c r="B618" s="1">
        <v>432268</v>
      </c>
      <c r="C618" s="2">
        <v>41383</v>
      </c>
      <c r="D618" s="1" t="s">
        <v>1994</v>
      </c>
      <c r="E618" s="6">
        <v>2</v>
      </c>
      <c r="F618" s="6" t="str">
        <f t="shared" si="18"/>
        <v>April</v>
      </c>
      <c r="G618" s="6">
        <f t="shared" si="19"/>
        <v>16</v>
      </c>
      <c r="H618" s="1">
        <f>SUMIF('Retal Tran Line Item'!E:E,A618,'Retal Tran Line Item'!B:B)</f>
        <v>9</v>
      </c>
    </row>
    <row r="619" spans="1:8">
      <c r="A619" s="1">
        <v>100617</v>
      </c>
      <c r="B619" s="1">
        <v>628132</v>
      </c>
      <c r="C619" s="2">
        <v>41383</v>
      </c>
      <c r="D619" s="1" t="s">
        <v>1992</v>
      </c>
      <c r="E619" s="6">
        <v>2</v>
      </c>
      <c r="F619" s="6" t="str">
        <f t="shared" si="18"/>
        <v>April</v>
      </c>
      <c r="G619" s="6">
        <f t="shared" si="19"/>
        <v>16</v>
      </c>
      <c r="H619" s="1">
        <f>SUMIF('Retal Tran Line Item'!E:E,A619,'Retal Tran Line Item'!B:B)</f>
        <v>12</v>
      </c>
    </row>
    <row r="620" spans="1:8">
      <c r="A620" s="1">
        <v>100618</v>
      </c>
      <c r="B620" s="1">
        <v>520078</v>
      </c>
      <c r="C620" s="2">
        <v>41383</v>
      </c>
      <c r="D620" s="1" t="s">
        <v>1989</v>
      </c>
      <c r="E620" s="6">
        <v>1</v>
      </c>
      <c r="F620" s="6" t="str">
        <f t="shared" si="18"/>
        <v>April</v>
      </c>
      <c r="G620" s="6">
        <f t="shared" si="19"/>
        <v>16</v>
      </c>
      <c r="H620" s="1">
        <f>SUMIF('Retal Tran Line Item'!E:E,A620,'Retal Tran Line Item'!B:B)</f>
        <v>15</v>
      </c>
    </row>
    <row r="621" spans="1:8">
      <c r="A621" s="1">
        <v>100619</v>
      </c>
      <c r="B621" s="1">
        <v>676155</v>
      </c>
      <c r="C621" s="2">
        <v>41383</v>
      </c>
      <c r="D621" s="1" t="s">
        <v>1992</v>
      </c>
      <c r="E621" s="6">
        <v>1</v>
      </c>
      <c r="F621" s="6" t="str">
        <f t="shared" si="18"/>
        <v>April</v>
      </c>
      <c r="G621" s="6">
        <f t="shared" si="19"/>
        <v>16</v>
      </c>
      <c r="H621" s="1">
        <f>SUMIF('Retal Tran Line Item'!E:E,A621,'Retal Tran Line Item'!B:B)</f>
        <v>2</v>
      </c>
    </row>
    <row r="622" spans="1:8">
      <c r="A622" s="1">
        <v>100620</v>
      </c>
      <c r="B622" s="1">
        <v>950299</v>
      </c>
      <c r="C622" s="2">
        <v>41384</v>
      </c>
      <c r="D622" s="1" t="s">
        <v>1992</v>
      </c>
      <c r="E622" s="6">
        <v>2</v>
      </c>
      <c r="F622" s="6" t="str">
        <f t="shared" si="18"/>
        <v>April</v>
      </c>
      <c r="G622" s="6">
        <f t="shared" si="19"/>
        <v>16</v>
      </c>
      <c r="H622" s="1">
        <f>SUMIF('Retal Tran Line Item'!E:E,A622,'Retal Tran Line Item'!B:B)</f>
        <v>14</v>
      </c>
    </row>
    <row r="623" spans="1:8">
      <c r="A623" s="1">
        <v>100621</v>
      </c>
      <c r="B623" s="1">
        <v>739669</v>
      </c>
      <c r="C623" s="2">
        <v>41384</v>
      </c>
      <c r="D623" s="1" t="s">
        <v>1992</v>
      </c>
      <c r="E623" s="6">
        <v>2</v>
      </c>
      <c r="F623" s="6" t="str">
        <f t="shared" si="18"/>
        <v>April</v>
      </c>
      <c r="G623" s="6">
        <f t="shared" si="19"/>
        <v>16</v>
      </c>
      <c r="H623" s="1">
        <f>SUMIF('Retal Tran Line Item'!E:E,A623,'Retal Tran Line Item'!B:B)</f>
        <v>16</v>
      </c>
    </row>
    <row r="624" spans="1:8">
      <c r="A624" s="1">
        <v>100622</v>
      </c>
      <c r="B624" s="1">
        <v>850952</v>
      </c>
      <c r="C624" s="2">
        <v>41384</v>
      </c>
      <c r="D624" s="1" t="s">
        <v>1993</v>
      </c>
      <c r="E624" s="6">
        <v>1</v>
      </c>
      <c r="F624" s="6" t="str">
        <f t="shared" si="18"/>
        <v>April</v>
      </c>
      <c r="G624" s="6">
        <f t="shared" si="19"/>
        <v>16</v>
      </c>
      <c r="H624" s="1">
        <f>SUMIF('Retal Tran Line Item'!E:E,A624,'Retal Tran Line Item'!B:B)</f>
        <v>16</v>
      </c>
    </row>
    <row r="625" spans="1:8">
      <c r="A625" s="1">
        <v>100623</v>
      </c>
      <c r="B625" s="1">
        <v>789308</v>
      </c>
      <c r="C625" s="2">
        <v>41384</v>
      </c>
      <c r="D625" s="1" t="s">
        <v>1993</v>
      </c>
      <c r="E625" s="6">
        <v>1</v>
      </c>
      <c r="F625" s="6" t="str">
        <f t="shared" si="18"/>
        <v>April</v>
      </c>
      <c r="G625" s="6">
        <f t="shared" si="19"/>
        <v>16</v>
      </c>
      <c r="H625" s="1">
        <f>SUMIF('Retal Tran Line Item'!E:E,A625,'Retal Tran Line Item'!B:B)</f>
        <v>3</v>
      </c>
    </row>
    <row r="626" spans="1:8">
      <c r="A626" s="1">
        <v>100624</v>
      </c>
      <c r="B626" s="1">
        <v>578275</v>
      </c>
      <c r="C626" s="2">
        <v>41384</v>
      </c>
      <c r="D626" s="1" t="s">
        <v>1989</v>
      </c>
      <c r="E626" s="6">
        <v>1</v>
      </c>
      <c r="F626" s="6" t="str">
        <f t="shared" si="18"/>
        <v>April</v>
      </c>
      <c r="G626" s="6">
        <f t="shared" si="19"/>
        <v>16</v>
      </c>
      <c r="H626" s="1">
        <f>SUMIF('Retal Tran Line Item'!E:E,A626,'Retal Tran Line Item'!B:B)</f>
        <v>10</v>
      </c>
    </row>
    <row r="627" spans="1:8">
      <c r="A627" s="1">
        <v>100625</v>
      </c>
      <c r="B627" s="1">
        <v>994185</v>
      </c>
      <c r="C627" s="2">
        <v>41384</v>
      </c>
      <c r="D627" s="1" t="s">
        <v>1992</v>
      </c>
      <c r="E627" s="6">
        <v>2</v>
      </c>
      <c r="F627" s="6" t="str">
        <f t="shared" si="18"/>
        <v>April</v>
      </c>
      <c r="G627" s="6">
        <f t="shared" si="19"/>
        <v>16</v>
      </c>
      <c r="H627" s="1">
        <f>SUMIF('Retal Tran Line Item'!E:E,A627,'Retal Tran Line Item'!B:B)</f>
        <v>12</v>
      </c>
    </row>
    <row r="628" spans="1:8">
      <c r="A628" s="1">
        <v>100626</v>
      </c>
      <c r="B628" s="1">
        <v>885548</v>
      </c>
      <c r="C628" s="2">
        <v>41384</v>
      </c>
      <c r="D628" s="1" t="s">
        <v>1992</v>
      </c>
      <c r="E628" s="6">
        <v>1</v>
      </c>
      <c r="F628" s="6" t="str">
        <f t="shared" si="18"/>
        <v>April</v>
      </c>
      <c r="G628" s="6">
        <f t="shared" si="19"/>
        <v>16</v>
      </c>
      <c r="H628" s="1">
        <f>SUMIF('Retal Tran Line Item'!E:E,A628,'Retal Tran Line Item'!B:B)</f>
        <v>2</v>
      </c>
    </row>
    <row r="629" spans="1:8">
      <c r="A629" s="1">
        <v>100627</v>
      </c>
      <c r="B629" s="1">
        <v>432268</v>
      </c>
      <c r="C629" s="2">
        <v>41384</v>
      </c>
      <c r="D629" s="1" t="s">
        <v>1994</v>
      </c>
      <c r="E629" s="6">
        <v>1</v>
      </c>
      <c r="F629" s="6" t="str">
        <f t="shared" si="18"/>
        <v>April</v>
      </c>
      <c r="G629" s="6">
        <f t="shared" si="19"/>
        <v>16</v>
      </c>
      <c r="H629" s="1">
        <f>SUMIF('Retal Tran Line Item'!E:E,A629,'Retal Tran Line Item'!B:B)</f>
        <v>12</v>
      </c>
    </row>
    <row r="630" spans="1:8">
      <c r="A630" s="1">
        <v>100628</v>
      </c>
      <c r="B630" s="1">
        <v>390130</v>
      </c>
      <c r="C630" s="2">
        <v>41384</v>
      </c>
      <c r="D630" s="1" t="s">
        <v>1993</v>
      </c>
      <c r="E630" s="6">
        <v>1</v>
      </c>
      <c r="F630" s="6" t="str">
        <f t="shared" si="18"/>
        <v>April</v>
      </c>
      <c r="G630" s="6">
        <f t="shared" si="19"/>
        <v>16</v>
      </c>
      <c r="H630" s="1">
        <f>SUMIF('Retal Tran Line Item'!E:E,A630,'Retal Tran Line Item'!B:B)</f>
        <v>9</v>
      </c>
    </row>
    <row r="631" spans="1:8">
      <c r="A631" s="1">
        <v>100629</v>
      </c>
      <c r="B631" s="1">
        <v>757525</v>
      </c>
      <c r="C631" s="2">
        <v>41384</v>
      </c>
      <c r="D631" s="1" t="s">
        <v>1994</v>
      </c>
      <c r="E631" s="6">
        <v>2</v>
      </c>
      <c r="F631" s="6" t="str">
        <f t="shared" si="18"/>
        <v>April</v>
      </c>
      <c r="G631" s="6">
        <f t="shared" si="19"/>
        <v>16</v>
      </c>
      <c r="H631" s="1">
        <f>SUMIF('Retal Tran Line Item'!E:E,A631,'Retal Tran Line Item'!B:B)</f>
        <v>10</v>
      </c>
    </row>
    <row r="632" spans="1:8">
      <c r="A632" s="1">
        <v>100630</v>
      </c>
      <c r="B632" s="1">
        <v>938393</v>
      </c>
      <c r="C632" s="2">
        <v>41384</v>
      </c>
      <c r="D632" s="1" t="s">
        <v>1993</v>
      </c>
      <c r="E632" s="6">
        <v>1</v>
      </c>
      <c r="F632" s="6" t="str">
        <f t="shared" si="18"/>
        <v>April</v>
      </c>
      <c r="G632" s="6">
        <f t="shared" si="19"/>
        <v>16</v>
      </c>
      <c r="H632" s="1">
        <f>SUMIF('Retal Tran Line Item'!E:E,A632,'Retal Tran Line Item'!B:B)</f>
        <v>3</v>
      </c>
    </row>
    <row r="633" spans="1:8">
      <c r="A633" s="1">
        <v>100631</v>
      </c>
      <c r="B633" s="1">
        <v>422951</v>
      </c>
      <c r="C633" s="2">
        <v>41385</v>
      </c>
      <c r="D633" s="1" t="s">
        <v>1994</v>
      </c>
      <c r="E633" s="6">
        <v>1</v>
      </c>
      <c r="F633" s="6" t="str">
        <f t="shared" si="18"/>
        <v>April</v>
      </c>
      <c r="G633" s="6">
        <f t="shared" si="19"/>
        <v>17</v>
      </c>
      <c r="H633" s="1">
        <f>SUMIF('Retal Tran Line Item'!E:E,A633,'Retal Tran Line Item'!B:B)</f>
        <v>17</v>
      </c>
    </row>
    <row r="634" spans="1:8">
      <c r="A634" s="1">
        <v>100632</v>
      </c>
      <c r="B634" s="1">
        <v>149240</v>
      </c>
      <c r="C634" s="2">
        <v>41385</v>
      </c>
      <c r="D634" s="1" t="s">
        <v>1992</v>
      </c>
      <c r="E634" s="6">
        <v>2</v>
      </c>
      <c r="F634" s="6" t="str">
        <f t="shared" si="18"/>
        <v>April</v>
      </c>
      <c r="G634" s="6">
        <f t="shared" si="19"/>
        <v>17</v>
      </c>
      <c r="H634" s="1">
        <f>SUMIF('Retal Tran Line Item'!E:E,A634,'Retal Tran Line Item'!B:B)</f>
        <v>9</v>
      </c>
    </row>
    <row r="635" spans="1:8">
      <c r="A635" s="1">
        <v>100633</v>
      </c>
      <c r="B635" s="1">
        <v>464984</v>
      </c>
      <c r="C635" s="2">
        <v>41385</v>
      </c>
      <c r="D635" s="1" t="s">
        <v>1993</v>
      </c>
      <c r="E635" s="6">
        <v>1</v>
      </c>
      <c r="F635" s="6" t="str">
        <f t="shared" si="18"/>
        <v>April</v>
      </c>
      <c r="G635" s="6">
        <f t="shared" si="19"/>
        <v>17</v>
      </c>
      <c r="H635" s="1">
        <f>SUMIF('Retal Tran Line Item'!E:E,A635,'Retal Tran Line Item'!B:B)</f>
        <v>8</v>
      </c>
    </row>
    <row r="636" spans="1:8">
      <c r="A636" s="1">
        <v>100634</v>
      </c>
      <c r="B636" s="1">
        <v>841831</v>
      </c>
      <c r="C636" s="2">
        <v>41385</v>
      </c>
      <c r="D636" s="1" t="s">
        <v>1992</v>
      </c>
      <c r="E636" s="6">
        <v>2</v>
      </c>
      <c r="F636" s="6" t="str">
        <f t="shared" si="18"/>
        <v>April</v>
      </c>
      <c r="G636" s="6">
        <f t="shared" si="19"/>
        <v>17</v>
      </c>
      <c r="H636" s="1">
        <f>SUMIF('Retal Tran Line Item'!E:E,A636,'Retal Tran Line Item'!B:B)</f>
        <v>20</v>
      </c>
    </row>
    <row r="637" spans="1:8">
      <c r="A637" s="1">
        <v>100635</v>
      </c>
      <c r="B637" s="1">
        <v>981529</v>
      </c>
      <c r="C637" s="2">
        <v>41385</v>
      </c>
      <c r="D637" s="1" t="s">
        <v>1989</v>
      </c>
      <c r="E637" s="6">
        <v>2</v>
      </c>
      <c r="F637" s="6" t="str">
        <f t="shared" si="18"/>
        <v>April</v>
      </c>
      <c r="G637" s="6">
        <f t="shared" si="19"/>
        <v>17</v>
      </c>
      <c r="H637" s="1">
        <f>SUMIF('Retal Tran Line Item'!E:E,A637,'Retal Tran Line Item'!B:B)</f>
        <v>9</v>
      </c>
    </row>
    <row r="638" spans="1:8">
      <c r="A638" s="1">
        <v>100636</v>
      </c>
      <c r="B638" s="1">
        <v>513968</v>
      </c>
      <c r="C638" s="2">
        <v>41386</v>
      </c>
      <c r="D638" s="1" t="s">
        <v>1994</v>
      </c>
      <c r="E638" s="6">
        <v>2</v>
      </c>
      <c r="F638" s="6" t="str">
        <f t="shared" si="18"/>
        <v>April</v>
      </c>
      <c r="G638" s="6">
        <f t="shared" si="19"/>
        <v>17</v>
      </c>
      <c r="H638" s="1">
        <f>SUMIF('Retal Tran Line Item'!E:E,A638,'Retal Tran Line Item'!B:B)</f>
        <v>7</v>
      </c>
    </row>
    <row r="639" spans="1:8">
      <c r="A639" s="1">
        <v>100637</v>
      </c>
      <c r="B639" s="1">
        <v>464984</v>
      </c>
      <c r="C639" s="2">
        <v>41386</v>
      </c>
      <c r="D639" s="1" t="s">
        <v>1993</v>
      </c>
      <c r="E639" s="6">
        <v>1</v>
      </c>
      <c r="F639" s="6" t="str">
        <f t="shared" si="18"/>
        <v>April</v>
      </c>
      <c r="G639" s="6">
        <f t="shared" si="19"/>
        <v>17</v>
      </c>
      <c r="H639" s="1">
        <f>SUMIF('Retal Tran Line Item'!E:E,A639,'Retal Tran Line Item'!B:B)</f>
        <v>16</v>
      </c>
    </row>
    <row r="640" spans="1:8">
      <c r="A640" s="1">
        <v>100638</v>
      </c>
      <c r="B640" s="1">
        <v>448739</v>
      </c>
      <c r="C640" s="2">
        <v>41386</v>
      </c>
      <c r="D640" s="1" t="s">
        <v>1989</v>
      </c>
      <c r="E640" s="6">
        <v>2</v>
      </c>
      <c r="F640" s="6" t="str">
        <f t="shared" si="18"/>
        <v>April</v>
      </c>
      <c r="G640" s="6">
        <f t="shared" si="19"/>
        <v>17</v>
      </c>
      <c r="H640" s="1">
        <f>SUMIF('Retal Tran Line Item'!E:E,A640,'Retal Tran Line Item'!B:B)</f>
        <v>11</v>
      </c>
    </row>
    <row r="641" spans="1:8">
      <c r="A641" s="1">
        <v>100639</v>
      </c>
      <c r="B641" s="1">
        <v>563500</v>
      </c>
      <c r="C641" s="2">
        <v>41386</v>
      </c>
      <c r="D641" s="1" t="s">
        <v>1992</v>
      </c>
      <c r="E641" s="6">
        <v>1</v>
      </c>
      <c r="F641" s="6" t="str">
        <f t="shared" si="18"/>
        <v>April</v>
      </c>
      <c r="G641" s="6">
        <f t="shared" si="19"/>
        <v>17</v>
      </c>
      <c r="H641" s="1">
        <f>SUMIF('Retal Tran Line Item'!E:E,A641,'Retal Tran Line Item'!B:B)</f>
        <v>9</v>
      </c>
    </row>
    <row r="642" spans="1:8">
      <c r="A642" s="1">
        <v>100640</v>
      </c>
      <c r="B642" s="1">
        <v>765237</v>
      </c>
      <c r="C642" s="2">
        <v>41386</v>
      </c>
      <c r="D642" s="1" t="s">
        <v>1992</v>
      </c>
      <c r="E642" s="6">
        <v>2</v>
      </c>
      <c r="F642" s="6" t="str">
        <f t="shared" si="18"/>
        <v>April</v>
      </c>
      <c r="G642" s="6">
        <f t="shared" si="19"/>
        <v>17</v>
      </c>
      <c r="H642" s="1">
        <f>SUMIF('Retal Tran Line Item'!E:E,A642,'Retal Tran Line Item'!B:B)</f>
        <v>1</v>
      </c>
    </row>
    <row r="643" spans="1:8">
      <c r="A643" s="1">
        <v>100641</v>
      </c>
      <c r="B643" s="1">
        <v>563500</v>
      </c>
      <c r="C643" s="2">
        <v>41387</v>
      </c>
      <c r="D643" s="1" t="s">
        <v>1992</v>
      </c>
      <c r="E643" s="6">
        <v>2</v>
      </c>
      <c r="F643" s="6" t="str">
        <f t="shared" ref="F643:F706" si="20">TEXT(C643,"MMMM")</f>
        <v>April</v>
      </c>
      <c r="G643" s="6">
        <f t="shared" ref="G643:G706" si="21">WEEKNUM(C643)</f>
        <v>17</v>
      </c>
      <c r="H643" s="1">
        <f>SUMIF('Retal Tran Line Item'!E:E,A643,'Retal Tran Line Item'!B:B)</f>
        <v>13</v>
      </c>
    </row>
    <row r="644" spans="1:8">
      <c r="A644" s="1">
        <v>100642</v>
      </c>
      <c r="B644" s="1">
        <v>289693</v>
      </c>
      <c r="C644" s="2">
        <v>41387</v>
      </c>
      <c r="D644" s="1" t="s">
        <v>1989</v>
      </c>
      <c r="E644" s="6">
        <v>2</v>
      </c>
      <c r="F644" s="6" t="str">
        <f t="shared" si="20"/>
        <v>April</v>
      </c>
      <c r="G644" s="6">
        <f t="shared" si="21"/>
        <v>17</v>
      </c>
      <c r="H644" s="1">
        <f>SUMIF('Retal Tran Line Item'!E:E,A644,'Retal Tran Line Item'!B:B)</f>
        <v>6</v>
      </c>
    </row>
    <row r="645" spans="1:8">
      <c r="A645" s="1">
        <v>100643</v>
      </c>
      <c r="B645" s="1">
        <v>244282</v>
      </c>
      <c r="C645" s="2">
        <v>41388</v>
      </c>
      <c r="D645" s="1" t="s">
        <v>1992</v>
      </c>
      <c r="E645" s="6">
        <v>1</v>
      </c>
      <c r="F645" s="6" t="str">
        <f t="shared" si="20"/>
        <v>April</v>
      </c>
      <c r="G645" s="6">
        <f t="shared" si="21"/>
        <v>17</v>
      </c>
      <c r="H645" s="1">
        <f>SUMIF('Retal Tran Line Item'!E:E,A645,'Retal Tran Line Item'!B:B)</f>
        <v>9</v>
      </c>
    </row>
    <row r="646" spans="1:8">
      <c r="A646" s="1">
        <v>100644</v>
      </c>
      <c r="B646" s="1">
        <v>950299</v>
      </c>
      <c r="C646" s="2">
        <v>41388</v>
      </c>
      <c r="D646" s="1" t="s">
        <v>1992</v>
      </c>
      <c r="E646" s="6">
        <v>2</v>
      </c>
      <c r="F646" s="6" t="str">
        <f t="shared" si="20"/>
        <v>April</v>
      </c>
      <c r="G646" s="6">
        <f t="shared" si="21"/>
        <v>17</v>
      </c>
      <c r="H646" s="1">
        <f>SUMIF('Retal Tran Line Item'!E:E,A646,'Retal Tran Line Item'!B:B)</f>
        <v>22</v>
      </c>
    </row>
    <row r="647" spans="1:8">
      <c r="A647" s="1">
        <v>100645</v>
      </c>
      <c r="B647" s="1">
        <v>748326</v>
      </c>
      <c r="C647" s="2">
        <v>41388</v>
      </c>
      <c r="D647" s="1" t="s">
        <v>1993</v>
      </c>
      <c r="E647" s="6">
        <v>2</v>
      </c>
      <c r="F647" s="6" t="str">
        <f t="shared" si="20"/>
        <v>April</v>
      </c>
      <c r="G647" s="6">
        <f t="shared" si="21"/>
        <v>17</v>
      </c>
      <c r="H647" s="1">
        <f>SUMIF('Retal Tran Line Item'!E:E,A647,'Retal Tran Line Item'!B:B)</f>
        <v>5</v>
      </c>
    </row>
    <row r="648" spans="1:8">
      <c r="A648" s="1">
        <v>100646</v>
      </c>
      <c r="B648" s="1">
        <v>668931</v>
      </c>
      <c r="C648" s="2">
        <v>41389</v>
      </c>
      <c r="D648" s="1" t="s">
        <v>1992</v>
      </c>
      <c r="E648" s="6">
        <v>2</v>
      </c>
      <c r="F648" s="6" t="str">
        <f t="shared" si="20"/>
        <v>April</v>
      </c>
      <c r="G648" s="6">
        <f t="shared" si="21"/>
        <v>17</v>
      </c>
      <c r="H648" s="1">
        <f>SUMIF('Retal Tran Line Item'!E:E,A648,'Retal Tran Line Item'!B:B)</f>
        <v>7</v>
      </c>
    </row>
    <row r="649" spans="1:8">
      <c r="A649" s="1">
        <v>100647</v>
      </c>
      <c r="B649" s="1">
        <v>994185</v>
      </c>
      <c r="C649" s="2">
        <v>41389</v>
      </c>
      <c r="D649" s="1" t="s">
        <v>1992</v>
      </c>
      <c r="E649" s="6">
        <v>1</v>
      </c>
      <c r="F649" s="6" t="str">
        <f t="shared" si="20"/>
        <v>April</v>
      </c>
      <c r="G649" s="6">
        <f t="shared" si="21"/>
        <v>17</v>
      </c>
      <c r="H649" s="1">
        <f>SUMIF('Retal Tran Line Item'!E:E,A649,'Retal Tran Line Item'!B:B)</f>
        <v>9</v>
      </c>
    </row>
    <row r="650" spans="1:8">
      <c r="A650" s="1">
        <v>100648</v>
      </c>
      <c r="B650" s="1">
        <v>145929</v>
      </c>
      <c r="C650" s="2">
        <v>41389</v>
      </c>
      <c r="D650" s="1" t="s">
        <v>1989</v>
      </c>
      <c r="E650" s="6">
        <v>1</v>
      </c>
      <c r="F650" s="6" t="str">
        <f t="shared" si="20"/>
        <v>April</v>
      </c>
      <c r="G650" s="6">
        <f t="shared" si="21"/>
        <v>17</v>
      </c>
      <c r="H650" s="1">
        <f>SUMIF('Retal Tran Line Item'!E:E,A650,'Retal Tran Line Item'!B:B)</f>
        <v>8</v>
      </c>
    </row>
    <row r="651" spans="1:8">
      <c r="A651" s="1">
        <v>100649</v>
      </c>
      <c r="B651" s="1">
        <v>132454</v>
      </c>
      <c r="C651" s="2">
        <v>41390</v>
      </c>
      <c r="D651" s="1" t="s">
        <v>1992</v>
      </c>
      <c r="E651" s="6">
        <v>2</v>
      </c>
      <c r="F651" s="6" t="str">
        <f t="shared" si="20"/>
        <v>April</v>
      </c>
      <c r="G651" s="6">
        <f t="shared" si="21"/>
        <v>17</v>
      </c>
      <c r="H651" s="1">
        <f>SUMIF('Retal Tran Line Item'!E:E,A651,'Retal Tran Line Item'!B:B)</f>
        <v>7</v>
      </c>
    </row>
    <row r="652" spans="1:8">
      <c r="A652" s="1">
        <v>100650</v>
      </c>
      <c r="B652" s="1">
        <v>427826</v>
      </c>
      <c r="C652" s="2">
        <v>41390</v>
      </c>
      <c r="D652" s="1" t="s">
        <v>1992</v>
      </c>
      <c r="E652" s="6">
        <v>1</v>
      </c>
      <c r="F652" s="6" t="str">
        <f t="shared" si="20"/>
        <v>April</v>
      </c>
      <c r="G652" s="6">
        <f t="shared" si="21"/>
        <v>17</v>
      </c>
      <c r="H652" s="1">
        <f>SUMIF('Retal Tran Line Item'!E:E,A652,'Retal Tran Line Item'!B:B)</f>
        <v>12</v>
      </c>
    </row>
    <row r="653" spans="1:8">
      <c r="A653" s="1">
        <v>100651</v>
      </c>
      <c r="B653" s="1">
        <v>225489</v>
      </c>
      <c r="C653" s="2">
        <v>41390</v>
      </c>
      <c r="D653" s="1" t="s">
        <v>1992</v>
      </c>
      <c r="E653" s="6">
        <v>2</v>
      </c>
      <c r="F653" s="6" t="str">
        <f t="shared" si="20"/>
        <v>April</v>
      </c>
      <c r="G653" s="6">
        <f t="shared" si="21"/>
        <v>17</v>
      </c>
      <c r="H653" s="1">
        <f>SUMIF('Retal Tran Line Item'!E:E,A653,'Retal Tran Line Item'!B:B)</f>
        <v>8</v>
      </c>
    </row>
    <row r="654" spans="1:8">
      <c r="A654" s="1">
        <v>100652</v>
      </c>
      <c r="B654" s="1">
        <v>940912</v>
      </c>
      <c r="C654" s="2">
        <v>41390</v>
      </c>
      <c r="D654" s="1" t="s">
        <v>1992</v>
      </c>
      <c r="E654" s="6">
        <v>2</v>
      </c>
      <c r="F654" s="6" t="str">
        <f t="shared" si="20"/>
        <v>April</v>
      </c>
      <c r="G654" s="6">
        <f t="shared" si="21"/>
        <v>17</v>
      </c>
      <c r="H654" s="1">
        <f>SUMIF('Retal Tran Line Item'!E:E,A654,'Retal Tran Line Item'!B:B)</f>
        <v>10</v>
      </c>
    </row>
    <row r="655" spans="1:8">
      <c r="A655" s="1">
        <v>100653</v>
      </c>
      <c r="B655" s="1">
        <v>121639</v>
      </c>
      <c r="C655" s="2">
        <v>41390</v>
      </c>
      <c r="D655" s="1" t="s">
        <v>1989</v>
      </c>
      <c r="E655" s="6">
        <v>1</v>
      </c>
      <c r="F655" s="6" t="str">
        <f t="shared" si="20"/>
        <v>April</v>
      </c>
      <c r="G655" s="6">
        <f t="shared" si="21"/>
        <v>17</v>
      </c>
      <c r="H655" s="1">
        <f>SUMIF('Retal Tran Line Item'!E:E,A655,'Retal Tran Line Item'!B:B)</f>
        <v>10</v>
      </c>
    </row>
    <row r="656" spans="1:8">
      <c r="A656" s="1">
        <v>100654</v>
      </c>
      <c r="B656" s="1">
        <v>720602</v>
      </c>
      <c r="C656" s="2">
        <v>41391</v>
      </c>
      <c r="D656" s="1" t="s">
        <v>1992</v>
      </c>
      <c r="E656" s="6">
        <v>2</v>
      </c>
      <c r="F656" s="6" t="str">
        <f t="shared" si="20"/>
        <v>April</v>
      </c>
      <c r="G656" s="6">
        <f t="shared" si="21"/>
        <v>17</v>
      </c>
      <c r="H656" s="1">
        <f>SUMIF('Retal Tran Line Item'!E:E,A656,'Retal Tran Line Item'!B:B)</f>
        <v>16</v>
      </c>
    </row>
    <row r="657" spans="1:8">
      <c r="A657" s="1">
        <v>100655</v>
      </c>
      <c r="B657" s="1">
        <v>833180</v>
      </c>
      <c r="C657" s="2">
        <v>41391</v>
      </c>
      <c r="D657" s="1" t="s">
        <v>1993</v>
      </c>
      <c r="E657" s="6">
        <v>1</v>
      </c>
      <c r="F657" s="6" t="str">
        <f t="shared" si="20"/>
        <v>April</v>
      </c>
      <c r="G657" s="6">
        <f t="shared" si="21"/>
        <v>17</v>
      </c>
      <c r="H657" s="1">
        <f>SUMIF('Retal Tran Line Item'!E:E,A657,'Retal Tran Line Item'!B:B)</f>
        <v>13</v>
      </c>
    </row>
    <row r="658" spans="1:8">
      <c r="A658" s="1">
        <v>100656</v>
      </c>
      <c r="B658" s="1">
        <v>660634</v>
      </c>
      <c r="C658" s="2">
        <v>41391</v>
      </c>
      <c r="D658" s="1" t="s">
        <v>1993</v>
      </c>
      <c r="E658" s="6">
        <v>2</v>
      </c>
      <c r="F658" s="6" t="str">
        <f t="shared" si="20"/>
        <v>April</v>
      </c>
      <c r="G658" s="6">
        <f t="shared" si="21"/>
        <v>17</v>
      </c>
      <c r="H658" s="1">
        <f>SUMIF('Retal Tran Line Item'!E:E,A658,'Retal Tran Line Item'!B:B)</f>
        <v>9</v>
      </c>
    </row>
    <row r="659" spans="1:8">
      <c r="A659" s="1">
        <v>100657</v>
      </c>
      <c r="B659" s="1">
        <v>739440</v>
      </c>
      <c r="C659" s="2">
        <v>41391</v>
      </c>
      <c r="D659" s="1" t="s">
        <v>1993</v>
      </c>
      <c r="E659" s="6">
        <v>1</v>
      </c>
      <c r="F659" s="6" t="str">
        <f t="shared" si="20"/>
        <v>April</v>
      </c>
      <c r="G659" s="6">
        <f t="shared" si="21"/>
        <v>17</v>
      </c>
      <c r="H659" s="1">
        <f>SUMIF('Retal Tran Line Item'!E:E,A659,'Retal Tran Line Item'!B:B)</f>
        <v>15</v>
      </c>
    </row>
    <row r="660" spans="1:8">
      <c r="A660" s="1">
        <v>100658</v>
      </c>
      <c r="B660" s="1">
        <v>488295</v>
      </c>
      <c r="C660" s="2">
        <v>41391</v>
      </c>
      <c r="D660" s="1" t="s">
        <v>1992</v>
      </c>
      <c r="E660" s="6">
        <v>2</v>
      </c>
      <c r="F660" s="6" t="str">
        <f t="shared" si="20"/>
        <v>April</v>
      </c>
      <c r="G660" s="6">
        <f t="shared" si="21"/>
        <v>17</v>
      </c>
      <c r="H660" s="1">
        <f>SUMIF('Retal Tran Line Item'!E:E,A660,'Retal Tran Line Item'!B:B)</f>
        <v>9</v>
      </c>
    </row>
    <row r="661" spans="1:8">
      <c r="A661" s="1">
        <v>100659</v>
      </c>
      <c r="B661" s="1">
        <v>585972</v>
      </c>
      <c r="C661" s="2">
        <v>41392</v>
      </c>
      <c r="D661" s="1" t="s">
        <v>1993</v>
      </c>
      <c r="E661" s="6">
        <v>1</v>
      </c>
      <c r="F661" s="6" t="str">
        <f t="shared" si="20"/>
        <v>April</v>
      </c>
      <c r="G661" s="6">
        <f t="shared" si="21"/>
        <v>18</v>
      </c>
      <c r="H661" s="1">
        <f>SUMIF('Retal Tran Line Item'!E:E,A661,'Retal Tran Line Item'!B:B)</f>
        <v>10</v>
      </c>
    </row>
    <row r="662" spans="1:8">
      <c r="A662" s="1">
        <v>100660</v>
      </c>
      <c r="B662" s="1">
        <v>723057</v>
      </c>
      <c r="C662" s="2">
        <v>41392</v>
      </c>
      <c r="D662" s="1" t="s">
        <v>1993</v>
      </c>
      <c r="E662" s="6">
        <v>2</v>
      </c>
      <c r="F662" s="6" t="str">
        <f t="shared" si="20"/>
        <v>April</v>
      </c>
      <c r="G662" s="6">
        <f t="shared" si="21"/>
        <v>18</v>
      </c>
      <c r="H662" s="1">
        <f>SUMIF('Retal Tran Line Item'!E:E,A662,'Retal Tran Line Item'!B:B)</f>
        <v>17</v>
      </c>
    </row>
    <row r="663" spans="1:8">
      <c r="A663" s="1">
        <v>100661</v>
      </c>
      <c r="B663" s="1">
        <v>566192</v>
      </c>
      <c r="C663" s="2">
        <v>41392</v>
      </c>
      <c r="D663" s="1" t="s">
        <v>1992</v>
      </c>
      <c r="E663" s="6">
        <v>2</v>
      </c>
      <c r="F663" s="6" t="str">
        <f t="shared" si="20"/>
        <v>April</v>
      </c>
      <c r="G663" s="6">
        <f t="shared" si="21"/>
        <v>18</v>
      </c>
      <c r="H663" s="1">
        <f>SUMIF('Retal Tran Line Item'!E:E,A663,'Retal Tran Line Item'!B:B)</f>
        <v>4</v>
      </c>
    </row>
    <row r="664" spans="1:8">
      <c r="A664" s="1">
        <v>100662</v>
      </c>
      <c r="B664" s="1">
        <v>561305</v>
      </c>
      <c r="C664" s="2">
        <v>41392</v>
      </c>
      <c r="D664" s="1" t="s">
        <v>1993</v>
      </c>
      <c r="E664" s="6">
        <v>1</v>
      </c>
      <c r="F664" s="6" t="str">
        <f t="shared" si="20"/>
        <v>April</v>
      </c>
      <c r="G664" s="6">
        <f t="shared" si="21"/>
        <v>18</v>
      </c>
      <c r="H664" s="1">
        <f>SUMIF('Retal Tran Line Item'!E:E,A664,'Retal Tran Line Item'!B:B)</f>
        <v>7</v>
      </c>
    </row>
    <row r="665" spans="1:8">
      <c r="A665" s="1">
        <v>100663</v>
      </c>
      <c r="B665" s="1">
        <v>548800</v>
      </c>
      <c r="C665" s="2">
        <v>41392</v>
      </c>
      <c r="D665" s="1" t="s">
        <v>1992</v>
      </c>
      <c r="E665" s="6">
        <v>1</v>
      </c>
      <c r="F665" s="6" t="str">
        <f t="shared" si="20"/>
        <v>April</v>
      </c>
      <c r="G665" s="6">
        <f t="shared" si="21"/>
        <v>18</v>
      </c>
      <c r="H665" s="1">
        <f>SUMIF('Retal Tran Line Item'!E:E,A665,'Retal Tran Line Item'!B:B)</f>
        <v>7</v>
      </c>
    </row>
    <row r="666" spans="1:8">
      <c r="A666" s="1">
        <v>100664</v>
      </c>
      <c r="B666" s="1">
        <v>275152</v>
      </c>
      <c r="C666" s="2">
        <v>41392</v>
      </c>
      <c r="D666" s="1" t="s">
        <v>1992</v>
      </c>
      <c r="E666" s="6">
        <v>2</v>
      </c>
      <c r="F666" s="6" t="str">
        <f t="shared" si="20"/>
        <v>April</v>
      </c>
      <c r="G666" s="6">
        <f t="shared" si="21"/>
        <v>18</v>
      </c>
      <c r="H666" s="1">
        <f>SUMIF('Retal Tran Line Item'!E:E,A666,'Retal Tran Line Item'!B:B)</f>
        <v>24</v>
      </c>
    </row>
    <row r="667" spans="1:8">
      <c r="A667" s="1">
        <v>100665</v>
      </c>
      <c r="B667" s="1">
        <v>249188</v>
      </c>
      <c r="C667" s="2">
        <v>41393</v>
      </c>
      <c r="D667" s="1" t="s">
        <v>1992</v>
      </c>
      <c r="E667" s="6">
        <v>2</v>
      </c>
      <c r="F667" s="6" t="str">
        <f t="shared" si="20"/>
        <v>April</v>
      </c>
      <c r="G667" s="6">
        <f t="shared" si="21"/>
        <v>18</v>
      </c>
      <c r="H667" s="1">
        <f>SUMIF('Retal Tran Line Item'!E:E,A667,'Retal Tran Line Item'!B:B)</f>
        <v>1</v>
      </c>
    </row>
    <row r="668" spans="1:8">
      <c r="A668" s="1">
        <v>100666</v>
      </c>
      <c r="B668" s="1">
        <v>938006</v>
      </c>
      <c r="C668" s="2">
        <v>41393</v>
      </c>
      <c r="D668" s="1" t="s">
        <v>1992</v>
      </c>
      <c r="E668" s="6">
        <v>1</v>
      </c>
      <c r="F668" s="6" t="str">
        <f t="shared" si="20"/>
        <v>April</v>
      </c>
      <c r="G668" s="6">
        <f t="shared" si="21"/>
        <v>18</v>
      </c>
      <c r="H668" s="1">
        <f>SUMIF('Retal Tran Line Item'!E:E,A668,'Retal Tran Line Item'!B:B)</f>
        <v>9</v>
      </c>
    </row>
    <row r="669" spans="1:8">
      <c r="A669" s="1">
        <v>100667</v>
      </c>
      <c r="B669" s="1">
        <v>771285</v>
      </c>
      <c r="C669" s="2">
        <v>41393</v>
      </c>
      <c r="D669" s="1" t="s">
        <v>1993</v>
      </c>
      <c r="E669" s="6">
        <v>2</v>
      </c>
      <c r="F669" s="6" t="str">
        <f t="shared" si="20"/>
        <v>April</v>
      </c>
      <c r="G669" s="6">
        <f t="shared" si="21"/>
        <v>18</v>
      </c>
      <c r="H669" s="1">
        <f>SUMIF('Retal Tran Line Item'!E:E,A669,'Retal Tran Line Item'!B:B)</f>
        <v>10</v>
      </c>
    </row>
    <row r="670" spans="1:8">
      <c r="A670" s="1">
        <v>100668</v>
      </c>
      <c r="B670" s="1">
        <v>236554</v>
      </c>
      <c r="C670" s="2">
        <v>41394</v>
      </c>
      <c r="D670" s="1" t="s">
        <v>1993</v>
      </c>
      <c r="E670" s="6">
        <v>1</v>
      </c>
      <c r="F670" s="6" t="str">
        <f t="shared" si="20"/>
        <v>April</v>
      </c>
      <c r="G670" s="6">
        <f t="shared" si="21"/>
        <v>18</v>
      </c>
      <c r="H670" s="1">
        <f>SUMIF('Retal Tran Line Item'!E:E,A670,'Retal Tran Line Item'!B:B)</f>
        <v>8</v>
      </c>
    </row>
    <row r="671" spans="1:8">
      <c r="A671" s="1">
        <v>100669</v>
      </c>
      <c r="B671" s="1">
        <v>884368</v>
      </c>
      <c r="C671" s="2">
        <v>41394</v>
      </c>
      <c r="D671" s="1" t="s">
        <v>1993</v>
      </c>
      <c r="E671" s="6">
        <v>1</v>
      </c>
      <c r="F671" s="6" t="str">
        <f t="shared" si="20"/>
        <v>April</v>
      </c>
      <c r="G671" s="6">
        <f t="shared" si="21"/>
        <v>18</v>
      </c>
      <c r="H671" s="1">
        <f>SUMIF('Retal Tran Line Item'!E:E,A671,'Retal Tran Line Item'!B:B)</f>
        <v>17</v>
      </c>
    </row>
    <row r="672" spans="1:8">
      <c r="A672" s="1">
        <v>100670</v>
      </c>
      <c r="B672" s="1">
        <v>852319</v>
      </c>
      <c r="C672" s="2">
        <v>41394</v>
      </c>
      <c r="D672" s="1" t="s">
        <v>1993</v>
      </c>
      <c r="E672" s="6">
        <v>1</v>
      </c>
      <c r="F672" s="6" t="str">
        <f t="shared" si="20"/>
        <v>April</v>
      </c>
      <c r="G672" s="6">
        <f t="shared" si="21"/>
        <v>18</v>
      </c>
      <c r="H672" s="1">
        <f>SUMIF('Retal Tran Line Item'!E:E,A672,'Retal Tran Line Item'!B:B)</f>
        <v>1</v>
      </c>
    </row>
    <row r="673" spans="1:8">
      <c r="A673" s="1">
        <v>100671</v>
      </c>
      <c r="B673" s="1">
        <v>974503</v>
      </c>
      <c r="C673" s="2">
        <v>41394</v>
      </c>
      <c r="D673" s="1" t="s">
        <v>1993</v>
      </c>
      <c r="E673" s="6">
        <v>2</v>
      </c>
      <c r="F673" s="6" t="str">
        <f t="shared" si="20"/>
        <v>April</v>
      </c>
      <c r="G673" s="6">
        <f t="shared" si="21"/>
        <v>18</v>
      </c>
      <c r="H673" s="1">
        <f>SUMIF('Retal Tran Line Item'!E:E,A673,'Retal Tran Line Item'!B:B)</f>
        <v>7</v>
      </c>
    </row>
    <row r="674" spans="1:8">
      <c r="A674" s="1">
        <v>100672</v>
      </c>
      <c r="B674" s="1">
        <v>216081</v>
      </c>
      <c r="C674" s="2">
        <v>41394</v>
      </c>
      <c r="D674" s="1" t="s">
        <v>1992</v>
      </c>
      <c r="E674" s="6">
        <v>2</v>
      </c>
      <c r="F674" s="6" t="str">
        <f t="shared" si="20"/>
        <v>April</v>
      </c>
      <c r="G674" s="6">
        <f t="shared" si="21"/>
        <v>18</v>
      </c>
      <c r="H674" s="1">
        <f>SUMIF('Retal Tran Line Item'!E:E,A674,'Retal Tran Line Item'!B:B)</f>
        <v>5</v>
      </c>
    </row>
    <row r="675" spans="1:8">
      <c r="A675" s="1">
        <v>100673</v>
      </c>
      <c r="B675" s="1">
        <v>605188</v>
      </c>
      <c r="C675" s="2">
        <v>41394</v>
      </c>
      <c r="D675" s="1" t="s">
        <v>1989</v>
      </c>
      <c r="E675" s="6">
        <v>2</v>
      </c>
      <c r="F675" s="6" t="str">
        <f t="shared" si="20"/>
        <v>April</v>
      </c>
      <c r="G675" s="6">
        <f t="shared" si="21"/>
        <v>18</v>
      </c>
      <c r="H675" s="1">
        <f>SUMIF('Retal Tran Line Item'!E:E,A675,'Retal Tran Line Item'!B:B)</f>
        <v>12</v>
      </c>
    </row>
    <row r="676" spans="1:8">
      <c r="A676" s="1">
        <v>100674</v>
      </c>
      <c r="B676" s="1">
        <v>193968</v>
      </c>
      <c r="C676" s="2">
        <v>41394</v>
      </c>
      <c r="D676" s="1" t="s">
        <v>1992</v>
      </c>
      <c r="E676" s="6">
        <v>1</v>
      </c>
      <c r="F676" s="6" t="str">
        <f t="shared" si="20"/>
        <v>April</v>
      </c>
      <c r="G676" s="6">
        <f t="shared" si="21"/>
        <v>18</v>
      </c>
      <c r="H676" s="1">
        <f>SUMIF('Retal Tran Line Item'!E:E,A676,'Retal Tran Line Item'!B:B)</f>
        <v>9</v>
      </c>
    </row>
    <row r="677" spans="1:8">
      <c r="A677" s="1">
        <v>100675</v>
      </c>
      <c r="B677" s="1">
        <v>203787</v>
      </c>
      <c r="C677" s="2">
        <v>41394</v>
      </c>
      <c r="D677" s="1" t="s">
        <v>1994</v>
      </c>
      <c r="E677" s="6">
        <v>1</v>
      </c>
      <c r="F677" s="6" t="str">
        <f t="shared" si="20"/>
        <v>April</v>
      </c>
      <c r="G677" s="6">
        <f t="shared" si="21"/>
        <v>18</v>
      </c>
      <c r="H677" s="1">
        <f>SUMIF('Retal Tran Line Item'!E:E,A677,'Retal Tran Line Item'!B:B)</f>
        <v>2</v>
      </c>
    </row>
    <row r="678" spans="1:8">
      <c r="A678" s="1">
        <v>100676</v>
      </c>
      <c r="B678" s="1">
        <v>189953</v>
      </c>
      <c r="C678" s="2">
        <v>41395</v>
      </c>
      <c r="D678" s="1" t="s">
        <v>1992</v>
      </c>
      <c r="E678" s="6">
        <v>1</v>
      </c>
      <c r="F678" s="6" t="str">
        <f t="shared" si="20"/>
        <v>May</v>
      </c>
      <c r="G678" s="6">
        <f t="shared" si="21"/>
        <v>18</v>
      </c>
      <c r="H678" s="1">
        <f>SUMIF('Retal Tran Line Item'!E:E,A678,'Retal Tran Line Item'!B:B)</f>
        <v>10</v>
      </c>
    </row>
    <row r="679" spans="1:8">
      <c r="A679" s="1">
        <v>100677</v>
      </c>
      <c r="B679" s="1">
        <v>775449</v>
      </c>
      <c r="C679" s="2">
        <v>41395</v>
      </c>
      <c r="D679" s="1" t="s">
        <v>1993</v>
      </c>
      <c r="E679" s="6">
        <v>1</v>
      </c>
      <c r="F679" s="6" t="str">
        <f t="shared" si="20"/>
        <v>May</v>
      </c>
      <c r="G679" s="6">
        <f t="shared" si="21"/>
        <v>18</v>
      </c>
      <c r="H679" s="1">
        <f>SUMIF('Retal Tran Line Item'!E:E,A679,'Retal Tran Line Item'!B:B)</f>
        <v>3</v>
      </c>
    </row>
    <row r="680" spans="1:8">
      <c r="A680" s="1">
        <v>100678</v>
      </c>
      <c r="B680" s="1">
        <v>850952</v>
      </c>
      <c r="C680" s="2">
        <v>41395</v>
      </c>
      <c r="D680" s="1" t="s">
        <v>1993</v>
      </c>
      <c r="E680" s="6">
        <v>1</v>
      </c>
      <c r="F680" s="6" t="str">
        <f t="shared" si="20"/>
        <v>May</v>
      </c>
      <c r="G680" s="6">
        <f t="shared" si="21"/>
        <v>18</v>
      </c>
      <c r="H680" s="1">
        <f>SUMIF('Retal Tran Line Item'!E:E,A680,'Retal Tran Line Item'!B:B)</f>
        <v>3</v>
      </c>
    </row>
    <row r="681" spans="1:8">
      <c r="A681" s="1">
        <v>100679</v>
      </c>
      <c r="B681" s="1">
        <v>784218</v>
      </c>
      <c r="C681" s="2">
        <v>41395</v>
      </c>
      <c r="D681" s="1" t="s">
        <v>1992</v>
      </c>
      <c r="E681" s="6">
        <v>2</v>
      </c>
      <c r="F681" s="6" t="str">
        <f t="shared" si="20"/>
        <v>May</v>
      </c>
      <c r="G681" s="6">
        <f t="shared" si="21"/>
        <v>18</v>
      </c>
      <c r="H681" s="1">
        <f>SUMIF('Retal Tran Line Item'!E:E,A681,'Retal Tran Line Item'!B:B)</f>
        <v>16</v>
      </c>
    </row>
    <row r="682" spans="1:8">
      <c r="A682" s="1">
        <v>100680</v>
      </c>
      <c r="B682" s="1">
        <v>561305</v>
      </c>
      <c r="C682" s="2">
        <v>41395</v>
      </c>
      <c r="D682" s="1" t="s">
        <v>1993</v>
      </c>
      <c r="E682" s="6">
        <v>2</v>
      </c>
      <c r="F682" s="6" t="str">
        <f t="shared" si="20"/>
        <v>May</v>
      </c>
      <c r="G682" s="6">
        <f t="shared" si="21"/>
        <v>18</v>
      </c>
      <c r="H682" s="1">
        <f>SUMIF('Retal Tran Line Item'!E:E,A682,'Retal Tran Line Item'!B:B)</f>
        <v>6</v>
      </c>
    </row>
    <row r="683" spans="1:8">
      <c r="A683" s="1">
        <v>100681</v>
      </c>
      <c r="B683" s="1">
        <v>703083</v>
      </c>
      <c r="C683" s="2">
        <v>41395</v>
      </c>
      <c r="D683" s="1" t="s">
        <v>1994</v>
      </c>
      <c r="E683" s="6">
        <v>2</v>
      </c>
      <c r="F683" s="6" t="str">
        <f t="shared" si="20"/>
        <v>May</v>
      </c>
      <c r="G683" s="6">
        <f t="shared" si="21"/>
        <v>18</v>
      </c>
      <c r="H683" s="1">
        <f>SUMIF('Retal Tran Line Item'!E:E,A683,'Retal Tran Line Item'!B:B)</f>
        <v>6</v>
      </c>
    </row>
    <row r="684" spans="1:8">
      <c r="A684" s="1">
        <v>100682</v>
      </c>
      <c r="B684" s="1">
        <v>408341</v>
      </c>
      <c r="C684" s="2">
        <v>41395</v>
      </c>
      <c r="D684" s="1" t="s">
        <v>1993</v>
      </c>
      <c r="E684" s="6">
        <v>1</v>
      </c>
      <c r="F684" s="6" t="str">
        <f t="shared" si="20"/>
        <v>May</v>
      </c>
      <c r="G684" s="6">
        <f t="shared" si="21"/>
        <v>18</v>
      </c>
      <c r="H684" s="1">
        <f>SUMIF('Retal Tran Line Item'!E:E,A684,'Retal Tran Line Item'!B:B)</f>
        <v>8</v>
      </c>
    </row>
    <row r="685" spans="1:8">
      <c r="A685" s="1">
        <v>100683</v>
      </c>
      <c r="B685" s="1">
        <v>911171</v>
      </c>
      <c r="C685" s="2">
        <v>41395</v>
      </c>
      <c r="D685" s="1" t="s">
        <v>1992</v>
      </c>
      <c r="E685" s="6">
        <v>2</v>
      </c>
      <c r="F685" s="6" t="str">
        <f t="shared" si="20"/>
        <v>May</v>
      </c>
      <c r="G685" s="6">
        <f t="shared" si="21"/>
        <v>18</v>
      </c>
      <c r="H685" s="1">
        <f>SUMIF('Retal Tran Line Item'!E:E,A685,'Retal Tran Line Item'!B:B)</f>
        <v>17</v>
      </c>
    </row>
    <row r="686" spans="1:8">
      <c r="A686" s="1">
        <v>100684</v>
      </c>
      <c r="B686" s="1">
        <v>793987</v>
      </c>
      <c r="C686" s="2">
        <v>41396</v>
      </c>
      <c r="D686" s="1" t="s">
        <v>1994</v>
      </c>
      <c r="E686" s="6">
        <v>2</v>
      </c>
      <c r="F686" s="6" t="str">
        <f t="shared" si="20"/>
        <v>May</v>
      </c>
      <c r="G686" s="6">
        <f t="shared" si="21"/>
        <v>18</v>
      </c>
      <c r="H686" s="1">
        <f>SUMIF('Retal Tran Line Item'!E:E,A686,'Retal Tran Line Item'!B:B)</f>
        <v>7</v>
      </c>
    </row>
    <row r="687" spans="1:8">
      <c r="A687" s="1">
        <v>100685</v>
      </c>
      <c r="B687" s="1">
        <v>366695</v>
      </c>
      <c r="C687" s="2">
        <v>41396</v>
      </c>
      <c r="D687" s="1" t="s">
        <v>1992</v>
      </c>
      <c r="E687" s="6">
        <v>2</v>
      </c>
      <c r="F687" s="6" t="str">
        <f t="shared" si="20"/>
        <v>May</v>
      </c>
      <c r="G687" s="6">
        <f t="shared" si="21"/>
        <v>18</v>
      </c>
      <c r="H687" s="1">
        <f>SUMIF('Retal Tran Line Item'!E:E,A687,'Retal Tran Line Item'!B:B)</f>
        <v>5</v>
      </c>
    </row>
    <row r="688" spans="1:8">
      <c r="A688" s="1">
        <v>100686</v>
      </c>
      <c r="B688" s="1">
        <v>242720</v>
      </c>
      <c r="C688" s="2">
        <v>41396</v>
      </c>
      <c r="D688" s="1" t="s">
        <v>1989</v>
      </c>
      <c r="E688" s="6">
        <v>1</v>
      </c>
      <c r="F688" s="6" t="str">
        <f t="shared" si="20"/>
        <v>May</v>
      </c>
      <c r="G688" s="6">
        <f t="shared" si="21"/>
        <v>18</v>
      </c>
      <c r="H688" s="1">
        <f>SUMIF('Retal Tran Line Item'!E:E,A688,'Retal Tran Line Item'!B:B)</f>
        <v>18</v>
      </c>
    </row>
    <row r="689" spans="1:8">
      <c r="A689" s="1">
        <v>100687</v>
      </c>
      <c r="B689" s="1">
        <v>720602</v>
      </c>
      <c r="C689" s="2">
        <v>41396</v>
      </c>
      <c r="D689" s="1" t="s">
        <v>1992</v>
      </c>
      <c r="E689" s="6">
        <v>2</v>
      </c>
      <c r="F689" s="6" t="str">
        <f t="shared" si="20"/>
        <v>May</v>
      </c>
      <c r="G689" s="6">
        <f t="shared" si="21"/>
        <v>18</v>
      </c>
      <c r="H689" s="1">
        <f>SUMIF('Retal Tran Line Item'!E:E,A689,'Retal Tran Line Item'!B:B)</f>
        <v>10</v>
      </c>
    </row>
    <row r="690" spans="1:8">
      <c r="A690" s="1">
        <v>100688</v>
      </c>
      <c r="B690" s="1">
        <v>938006</v>
      </c>
      <c r="C690" s="2">
        <v>41396</v>
      </c>
      <c r="D690" s="1" t="s">
        <v>1992</v>
      </c>
      <c r="E690" s="6">
        <v>1</v>
      </c>
      <c r="F690" s="6" t="str">
        <f t="shared" si="20"/>
        <v>May</v>
      </c>
      <c r="G690" s="6">
        <f t="shared" si="21"/>
        <v>18</v>
      </c>
      <c r="H690" s="1">
        <f>SUMIF('Retal Tran Line Item'!E:E,A690,'Retal Tran Line Item'!B:B)</f>
        <v>21</v>
      </c>
    </row>
    <row r="691" spans="1:8">
      <c r="A691" s="1">
        <v>100689</v>
      </c>
      <c r="B691" s="1">
        <v>668931</v>
      </c>
      <c r="C691" s="2">
        <v>41396</v>
      </c>
      <c r="D691" s="1" t="s">
        <v>1992</v>
      </c>
      <c r="E691" s="6">
        <v>2</v>
      </c>
      <c r="F691" s="6" t="str">
        <f t="shared" si="20"/>
        <v>May</v>
      </c>
      <c r="G691" s="6">
        <f t="shared" si="21"/>
        <v>18</v>
      </c>
      <c r="H691" s="1">
        <f>SUMIF('Retal Tran Line Item'!E:E,A691,'Retal Tran Line Item'!B:B)</f>
        <v>1</v>
      </c>
    </row>
    <row r="692" spans="1:8">
      <c r="A692" s="1">
        <v>100690</v>
      </c>
      <c r="B692" s="1">
        <v>515790</v>
      </c>
      <c r="C692" s="2">
        <v>41396</v>
      </c>
      <c r="D692" s="1" t="s">
        <v>1993</v>
      </c>
      <c r="E692" s="6">
        <v>2</v>
      </c>
      <c r="F692" s="6" t="str">
        <f t="shared" si="20"/>
        <v>May</v>
      </c>
      <c r="G692" s="6">
        <f t="shared" si="21"/>
        <v>18</v>
      </c>
      <c r="H692" s="1">
        <f>SUMIF('Retal Tran Line Item'!E:E,A692,'Retal Tran Line Item'!B:B)</f>
        <v>6</v>
      </c>
    </row>
    <row r="693" spans="1:8">
      <c r="A693" s="1">
        <v>100691</v>
      </c>
      <c r="B693" s="1">
        <v>866556</v>
      </c>
      <c r="C693" s="2">
        <v>41397</v>
      </c>
      <c r="D693" s="1" t="s">
        <v>1993</v>
      </c>
      <c r="E693" s="6">
        <v>2</v>
      </c>
      <c r="F693" s="6" t="str">
        <f t="shared" si="20"/>
        <v>May</v>
      </c>
      <c r="G693" s="6">
        <f t="shared" si="21"/>
        <v>18</v>
      </c>
      <c r="H693" s="1">
        <f>SUMIF('Retal Tran Line Item'!E:E,A693,'Retal Tran Line Item'!B:B)</f>
        <v>16</v>
      </c>
    </row>
    <row r="694" spans="1:8">
      <c r="A694" s="1">
        <v>100692</v>
      </c>
      <c r="B694" s="1">
        <v>884368</v>
      </c>
      <c r="C694" s="2">
        <v>41397</v>
      </c>
      <c r="D694" s="1" t="s">
        <v>1993</v>
      </c>
      <c r="E694" s="6">
        <v>2</v>
      </c>
      <c r="F694" s="6" t="str">
        <f t="shared" si="20"/>
        <v>May</v>
      </c>
      <c r="G694" s="6">
        <f t="shared" si="21"/>
        <v>18</v>
      </c>
      <c r="H694" s="1">
        <f>SUMIF('Retal Tran Line Item'!E:E,A694,'Retal Tran Line Item'!B:B)</f>
        <v>8</v>
      </c>
    </row>
    <row r="695" spans="1:8">
      <c r="A695" s="1">
        <v>100693</v>
      </c>
      <c r="B695" s="1">
        <v>132454</v>
      </c>
      <c r="C695" s="2">
        <v>41397</v>
      </c>
      <c r="D695" s="1" t="s">
        <v>1992</v>
      </c>
      <c r="E695" s="6">
        <v>1</v>
      </c>
      <c r="F695" s="6" t="str">
        <f t="shared" si="20"/>
        <v>May</v>
      </c>
      <c r="G695" s="6">
        <f t="shared" si="21"/>
        <v>18</v>
      </c>
      <c r="H695" s="1">
        <f>SUMIF('Retal Tran Line Item'!E:E,A695,'Retal Tran Line Item'!B:B)</f>
        <v>8</v>
      </c>
    </row>
    <row r="696" spans="1:8">
      <c r="A696" s="1">
        <v>100694</v>
      </c>
      <c r="B696" s="1">
        <v>269687</v>
      </c>
      <c r="C696" s="2">
        <v>41397</v>
      </c>
      <c r="D696" s="1" t="s">
        <v>1989</v>
      </c>
      <c r="E696" s="6">
        <v>1</v>
      </c>
      <c r="F696" s="6" t="str">
        <f t="shared" si="20"/>
        <v>May</v>
      </c>
      <c r="G696" s="6">
        <f t="shared" si="21"/>
        <v>18</v>
      </c>
      <c r="H696" s="1">
        <f>SUMIF('Retal Tran Line Item'!E:E,A696,'Retal Tran Line Item'!B:B)</f>
        <v>1</v>
      </c>
    </row>
    <row r="697" spans="1:8">
      <c r="A697" s="1">
        <v>100695</v>
      </c>
      <c r="B697" s="1">
        <v>418521</v>
      </c>
      <c r="C697" s="2">
        <v>41397</v>
      </c>
      <c r="D697" s="1" t="s">
        <v>1989</v>
      </c>
      <c r="E697" s="6">
        <v>2</v>
      </c>
      <c r="F697" s="6" t="str">
        <f t="shared" si="20"/>
        <v>May</v>
      </c>
      <c r="G697" s="6">
        <f t="shared" si="21"/>
        <v>18</v>
      </c>
      <c r="H697" s="1">
        <f>SUMIF('Retal Tran Line Item'!E:E,A697,'Retal Tran Line Item'!B:B)</f>
        <v>15</v>
      </c>
    </row>
    <row r="698" spans="1:8">
      <c r="A698" s="1">
        <v>100696</v>
      </c>
      <c r="B698" s="1">
        <v>657736</v>
      </c>
      <c r="C698" s="2">
        <v>41397</v>
      </c>
      <c r="D698" s="1" t="s">
        <v>1993</v>
      </c>
      <c r="E698" s="6">
        <v>1</v>
      </c>
      <c r="F698" s="6" t="str">
        <f t="shared" si="20"/>
        <v>May</v>
      </c>
      <c r="G698" s="6">
        <f t="shared" si="21"/>
        <v>18</v>
      </c>
      <c r="H698" s="1">
        <f>SUMIF('Retal Tran Line Item'!E:E,A698,'Retal Tran Line Item'!B:B)</f>
        <v>5</v>
      </c>
    </row>
    <row r="699" spans="1:8">
      <c r="A699" s="1">
        <v>100697</v>
      </c>
      <c r="B699" s="1">
        <v>464782</v>
      </c>
      <c r="C699" s="2">
        <v>41397</v>
      </c>
      <c r="D699" s="1" t="s">
        <v>1993</v>
      </c>
      <c r="E699" s="6">
        <v>2</v>
      </c>
      <c r="F699" s="6" t="str">
        <f t="shared" si="20"/>
        <v>May</v>
      </c>
      <c r="G699" s="6">
        <f t="shared" si="21"/>
        <v>18</v>
      </c>
      <c r="H699" s="1">
        <f>SUMIF('Retal Tran Line Item'!E:E,A699,'Retal Tran Line Item'!B:B)</f>
        <v>16</v>
      </c>
    </row>
    <row r="700" spans="1:8">
      <c r="A700" s="1">
        <v>100698</v>
      </c>
      <c r="B700" s="1">
        <v>245577</v>
      </c>
      <c r="C700" s="2">
        <v>41398</v>
      </c>
      <c r="D700" s="1" t="s">
        <v>1989</v>
      </c>
      <c r="E700" s="6">
        <v>2</v>
      </c>
      <c r="F700" s="6" t="str">
        <f t="shared" si="20"/>
        <v>May</v>
      </c>
      <c r="G700" s="6">
        <f t="shared" si="21"/>
        <v>18</v>
      </c>
      <c r="H700" s="1">
        <f>SUMIF('Retal Tran Line Item'!E:E,A700,'Retal Tran Line Item'!B:B)</f>
        <v>11</v>
      </c>
    </row>
    <row r="701" spans="1:8">
      <c r="A701" s="1">
        <v>100699</v>
      </c>
      <c r="B701" s="1">
        <v>427826</v>
      </c>
      <c r="C701" s="2">
        <v>41398</v>
      </c>
      <c r="D701" s="1" t="s">
        <v>1992</v>
      </c>
      <c r="E701" s="6">
        <v>2</v>
      </c>
      <c r="F701" s="6" t="str">
        <f t="shared" si="20"/>
        <v>May</v>
      </c>
      <c r="G701" s="6">
        <f t="shared" si="21"/>
        <v>18</v>
      </c>
      <c r="H701" s="1">
        <f>SUMIF('Retal Tran Line Item'!E:E,A701,'Retal Tran Line Item'!B:B)</f>
        <v>31</v>
      </c>
    </row>
    <row r="702" spans="1:8">
      <c r="A702" s="1">
        <v>100700</v>
      </c>
      <c r="B702" s="1">
        <v>276549</v>
      </c>
      <c r="C702" s="2">
        <v>41398</v>
      </c>
      <c r="D702" s="1" t="s">
        <v>1992</v>
      </c>
      <c r="E702" s="6">
        <v>1</v>
      </c>
      <c r="F702" s="6" t="str">
        <f t="shared" si="20"/>
        <v>May</v>
      </c>
      <c r="G702" s="6">
        <f t="shared" si="21"/>
        <v>18</v>
      </c>
      <c r="H702" s="1">
        <f>SUMIF('Retal Tran Line Item'!E:E,A702,'Retal Tran Line Item'!B:B)</f>
        <v>17</v>
      </c>
    </row>
    <row r="703" spans="1:8">
      <c r="A703" s="1">
        <v>100701</v>
      </c>
      <c r="B703" s="1">
        <v>242720</v>
      </c>
      <c r="C703" s="2">
        <v>41399</v>
      </c>
      <c r="D703" s="1" t="s">
        <v>1989</v>
      </c>
      <c r="E703" s="6">
        <v>1</v>
      </c>
      <c r="F703" s="6" t="str">
        <f t="shared" si="20"/>
        <v>May</v>
      </c>
      <c r="G703" s="6">
        <f t="shared" si="21"/>
        <v>19</v>
      </c>
      <c r="H703" s="1">
        <f>SUMIF('Retal Tran Line Item'!E:E,A703,'Retal Tran Line Item'!B:B)</f>
        <v>10</v>
      </c>
    </row>
    <row r="704" spans="1:8">
      <c r="A704" s="1">
        <v>100702</v>
      </c>
      <c r="B704" s="1">
        <v>646953</v>
      </c>
      <c r="C704" s="2">
        <v>41399</v>
      </c>
      <c r="D704" s="1" t="s">
        <v>1992</v>
      </c>
      <c r="E704" s="6">
        <v>2</v>
      </c>
      <c r="F704" s="6" t="str">
        <f t="shared" si="20"/>
        <v>May</v>
      </c>
      <c r="G704" s="6">
        <f t="shared" si="21"/>
        <v>19</v>
      </c>
      <c r="H704" s="1">
        <f>SUMIF('Retal Tran Line Item'!E:E,A704,'Retal Tran Line Item'!B:B)</f>
        <v>9</v>
      </c>
    </row>
    <row r="705" spans="1:8">
      <c r="A705" s="1">
        <v>100703</v>
      </c>
      <c r="B705" s="1">
        <v>429748</v>
      </c>
      <c r="C705" s="2">
        <v>41399</v>
      </c>
      <c r="D705" s="1" t="s">
        <v>1994</v>
      </c>
      <c r="E705" s="6">
        <v>1</v>
      </c>
      <c r="F705" s="6" t="str">
        <f t="shared" si="20"/>
        <v>May</v>
      </c>
      <c r="G705" s="6">
        <f t="shared" si="21"/>
        <v>19</v>
      </c>
      <c r="H705" s="1">
        <f>SUMIF('Retal Tran Line Item'!E:E,A705,'Retal Tran Line Item'!B:B)</f>
        <v>7</v>
      </c>
    </row>
    <row r="706" spans="1:8">
      <c r="A706" s="1">
        <v>100704</v>
      </c>
      <c r="B706" s="1">
        <v>757525</v>
      </c>
      <c r="C706" s="2">
        <v>41400</v>
      </c>
      <c r="D706" s="1" t="s">
        <v>1994</v>
      </c>
      <c r="E706" s="6">
        <v>1</v>
      </c>
      <c r="F706" s="6" t="str">
        <f t="shared" si="20"/>
        <v>May</v>
      </c>
      <c r="G706" s="6">
        <f t="shared" si="21"/>
        <v>19</v>
      </c>
      <c r="H706" s="1">
        <f>SUMIF('Retal Tran Line Item'!E:E,A706,'Retal Tran Line Item'!B:B)</f>
        <v>18</v>
      </c>
    </row>
    <row r="707" spans="1:8">
      <c r="A707" s="1">
        <v>100705</v>
      </c>
      <c r="B707" s="1">
        <v>301793</v>
      </c>
      <c r="C707" s="2">
        <v>41400</v>
      </c>
      <c r="D707" s="1" t="s">
        <v>1989</v>
      </c>
      <c r="E707" s="6">
        <v>1</v>
      </c>
      <c r="F707" s="6" t="str">
        <f t="shared" ref="F707:F770" si="22">TEXT(C707,"MMMM")</f>
        <v>May</v>
      </c>
      <c r="G707" s="6">
        <f t="shared" ref="G707:G770" si="23">WEEKNUM(C707)</f>
        <v>19</v>
      </c>
      <c r="H707" s="1">
        <f>SUMIF('Retal Tran Line Item'!E:E,A707,'Retal Tran Line Item'!B:B)</f>
        <v>6</v>
      </c>
    </row>
    <row r="708" spans="1:8">
      <c r="A708" s="1">
        <v>100706</v>
      </c>
      <c r="B708" s="1">
        <v>994185</v>
      </c>
      <c r="C708" s="2">
        <v>41400</v>
      </c>
      <c r="D708" s="1" t="s">
        <v>1992</v>
      </c>
      <c r="E708" s="6">
        <v>1</v>
      </c>
      <c r="F708" s="6" t="str">
        <f t="shared" si="22"/>
        <v>May</v>
      </c>
      <c r="G708" s="6">
        <f t="shared" si="23"/>
        <v>19</v>
      </c>
      <c r="H708" s="1">
        <f>SUMIF('Retal Tran Line Item'!E:E,A708,'Retal Tran Line Item'!B:B)</f>
        <v>22</v>
      </c>
    </row>
    <row r="709" spans="1:8">
      <c r="A709" s="1">
        <v>100707</v>
      </c>
      <c r="B709" s="1">
        <v>175871</v>
      </c>
      <c r="C709" s="2">
        <v>41400</v>
      </c>
      <c r="D709" s="1" t="s">
        <v>1994</v>
      </c>
      <c r="E709" s="6">
        <v>1</v>
      </c>
      <c r="F709" s="6" t="str">
        <f t="shared" si="22"/>
        <v>May</v>
      </c>
      <c r="G709" s="6">
        <f t="shared" si="23"/>
        <v>19</v>
      </c>
      <c r="H709" s="1">
        <f>SUMIF('Retal Tran Line Item'!E:E,A709,'Retal Tran Line Item'!B:B)</f>
        <v>7</v>
      </c>
    </row>
    <row r="710" spans="1:8">
      <c r="A710" s="1">
        <v>100708</v>
      </c>
      <c r="B710" s="1">
        <v>671363</v>
      </c>
      <c r="C710" s="2">
        <v>41401</v>
      </c>
      <c r="D710" s="1" t="s">
        <v>1994</v>
      </c>
      <c r="E710" s="6">
        <v>2</v>
      </c>
      <c r="F710" s="6" t="str">
        <f t="shared" si="22"/>
        <v>May</v>
      </c>
      <c r="G710" s="6">
        <f t="shared" si="23"/>
        <v>19</v>
      </c>
      <c r="H710" s="1">
        <f>SUMIF('Retal Tran Line Item'!E:E,A710,'Retal Tran Line Item'!B:B)</f>
        <v>10</v>
      </c>
    </row>
    <row r="711" spans="1:8">
      <c r="A711" s="1">
        <v>100709</v>
      </c>
      <c r="B711" s="1">
        <v>900440</v>
      </c>
      <c r="C711" s="2">
        <v>41401</v>
      </c>
      <c r="D711" s="1" t="s">
        <v>1992</v>
      </c>
      <c r="E711" s="6">
        <v>2</v>
      </c>
      <c r="F711" s="6" t="str">
        <f t="shared" si="22"/>
        <v>May</v>
      </c>
      <c r="G711" s="6">
        <f t="shared" si="23"/>
        <v>19</v>
      </c>
      <c r="H711" s="1">
        <f>SUMIF('Retal Tran Line Item'!E:E,A711,'Retal Tran Line Item'!B:B)</f>
        <v>15</v>
      </c>
    </row>
    <row r="712" spans="1:8">
      <c r="A712" s="1">
        <v>100710</v>
      </c>
      <c r="B712" s="1">
        <v>766737</v>
      </c>
      <c r="C712" s="2">
        <v>41401</v>
      </c>
      <c r="D712" s="1" t="s">
        <v>1994</v>
      </c>
      <c r="E712" s="6">
        <v>1</v>
      </c>
      <c r="F712" s="6" t="str">
        <f t="shared" si="22"/>
        <v>May</v>
      </c>
      <c r="G712" s="6">
        <f t="shared" si="23"/>
        <v>19</v>
      </c>
      <c r="H712" s="1">
        <f>SUMIF('Retal Tran Line Item'!E:E,A712,'Retal Tran Line Item'!B:B)</f>
        <v>17</v>
      </c>
    </row>
    <row r="713" spans="1:8">
      <c r="A713" s="1">
        <v>100711</v>
      </c>
      <c r="B713" s="1">
        <v>908328</v>
      </c>
      <c r="C713" s="2">
        <v>41401</v>
      </c>
      <c r="D713" s="1" t="s">
        <v>1992</v>
      </c>
      <c r="E713" s="6">
        <v>2</v>
      </c>
      <c r="F713" s="6" t="str">
        <f t="shared" si="22"/>
        <v>May</v>
      </c>
      <c r="G713" s="6">
        <f t="shared" si="23"/>
        <v>19</v>
      </c>
      <c r="H713" s="1">
        <f>SUMIF('Retal Tran Line Item'!E:E,A713,'Retal Tran Line Item'!B:B)</f>
        <v>3</v>
      </c>
    </row>
    <row r="714" spans="1:8">
      <c r="A714" s="1">
        <v>100712</v>
      </c>
      <c r="B714" s="1">
        <v>332324</v>
      </c>
      <c r="C714" s="2">
        <v>41401</v>
      </c>
      <c r="D714" s="1" t="s">
        <v>1989</v>
      </c>
      <c r="E714" s="6">
        <v>1</v>
      </c>
      <c r="F714" s="6" t="str">
        <f t="shared" si="22"/>
        <v>May</v>
      </c>
      <c r="G714" s="6">
        <f t="shared" si="23"/>
        <v>19</v>
      </c>
      <c r="H714" s="1">
        <f>SUMIF('Retal Tran Line Item'!E:E,A714,'Retal Tran Line Item'!B:B)</f>
        <v>3</v>
      </c>
    </row>
    <row r="715" spans="1:8">
      <c r="A715" s="1">
        <v>100713</v>
      </c>
      <c r="B715" s="1">
        <v>355107</v>
      </c>
      <c r="C715" s="2">
        <v>41401</v>
      </c>
      <c r="D715" s="1" t="s">
        <v>1989</v>
      </c>
      <c r="E715" s="6">
        <v>2</v>
      </c>
      <c r="F715" s="6" t="str">
        <f t="shared" si="22"/>
        <v>May</v>
      </c>
      <c r="G715" s="6">
        <f t="shared" si="23"/>
        <v>19</v>
      </c>
      <c r="H715" s="1">
        <f>SUMIF('Retal Tran Line Item'!E:E,A715,'Retal Tran Line Item'!B:B)</f>
        <v>9</v>
      </c>
    </row>
    <row r="716" spans="1:8">
      <c r="A716" s="1">
        <v>100714</v>
      </c>
      <c r="B716" s="1">
        <v>344702</v>
      </c>
      <c r="C716" s="2">
        <v>41401</v>
      </c>
      <c r="D716" s="1" t="s">
        <v>1992</v>
      </c>
      <c r="E716" s="6">
        <v>2</v>
      </c>
      <c r="F716" s="6" t="str">
        <f t="shared" si="22"/>
        <v>May</v>
      </c>
      <c r="G716" s="6">
        <f t="shared" si="23"/>
        <v>19</v>
      </c>
      <c r="H716" s="1">
        <f>SUMIF('Retal Tran Line Item'!E:E,A716,'Retal Tran Line Item'!B:B)</f>
        <v>19</v>
      </c>
    </row>
    <row r="717" spans="1:8">
      <c r="A717" s="1">
        <v>100715</v>
      </c>
      <c r="B717" s="1">
        <v>706884</v>
      </c>
      <c r="C717" s="2">
        <v>41402</v>
      </c>
      <c r="D717" s="1" t="s">
        <v>1989</v>
      </c>
      <c r="E717" s="6">
        <v>2</v>
      </c>
      <c r="F717" s="6" t="str">
        <f t="shared" si="22"/>
        <v>May</v>
      </c>
      <c r="G717" s="6">
        <f t="shared" si="23"/>
        <v>19</v>
      </c>
      <c r="H717" s="1">
        <f>SUMIF('Retal Tran Line Item'!E:E,A717,'Retal Tran Line Item'!B:B)</f>
        <v>13</v>
      </c>
    </row>
    <row r="718" spans="1:8">
      <c r="A718" s="1">
        <v>100716</v>
      </c>
      <c r="B718" s="1">
        <v>355107</v>
      </c>
      <c r="C718" s="2">
        <v>41402</v>
      </c>
      <c r="D718" s="1" t="s">
        <v>1989</v>
      </c>
      <c r="E718" s="6">
        <v>1</v>
      </c>
      <c r="F718" s="6" t="str">
        <f t="shared" si="22"/>
        <v>May</v>
      </c>
      <c r="G718" s="6">
        <f t="shared" si="23"/>
        <v>19</v>
      </c>
      <c r="H718" s="1">
        <f>SUMIF('Retal Tran Line Item'!E:E,A718,'Retal Tran Line Item'!B:B)</f>
        <v>20</v>
      </c>
    </row>
    <row r="719" spans="1:8">
      <c r="A719" s="1">
        <v>100717</v>
      </c>
      <c r="B719" s="1">
        <v>656512</v>
      </c>
      <c r="C719" s="2">
        <v>41402</v>
      </c>
      <c r="D719" s="1" t="s">
        <v>1994</v>
      </c>
      <c r="E719" s="6">
        <v>2</v>
      </c>
      <c r="F719" s="6" t="str">
        <f t="shared" si="22"/>
        <v>May</v>
      </c>
      <c r="G719" s="6">
        <f t="shared" si="23"/>
        <v>19</v>
      </c>
      <c r="H719" s="1">
        <f>SUMIF('Retal Tran Line Item'!E:E,A719,'Retal Tran Line Item'!B:B)</f>
        <v>2</v>
      </c>
    </row>
    <row r="720" spans="1:8">
      <c r="A720" s="1">
        <v>100718</v>
      </c>
      <c r="B720" s="1">
        <v>724700</v>
      </c>
      <c r="C720" s="2">
        <v>41402</v>
      </c>
      <c r="D720" s="1" t="s">
        <v>1994</v>
      </c>
      <c r="E720" s="6">
        <v>2</v>
      </c>
      <c r="F720" s="6" t="str">
        <f t="shared" si="22"/>
        <v>May</v>
      </c>
      <c r="G720" s="6">
        <f t="shared" si="23"/>
        <v>19</v>
      </c>
      <c r="H720" s="1">
        <f>SUMIF('Retal Tran Line Item'!E:E,A720,'Retal Tran Line Item'!B:B)</f>
        <v>9</v>
      </c>
    </row>
    <row r="721" spans="1:8">
      <c r="A721" s="1">
        <v>100719</v>
      </c>
      <c r="B721" s="1">
        <v>884368</v>
      </c>
      <c r="C721" s="2">
        <v>41402</v>
      </c>
      <c r="D721" s="1" t="s">
        <v>1993</v>
      </c>
      <c r="E721" s="6">
        <v>2</v>
      </c>
      <c r="F721" s="6" t="str">
        <f t="shared" si="22"/>
        <v>May</v>
      </c>
      <c r="G721" s="6">
        <f t="shared" si="23"/>
        <v>19</v>
      </c>
      <c r="H721" s="1">
        <f>SUMIF('Retal Tran Line Item'!E:E,A721,'Retal Tran Line Item'!B:B)</f>
        <v>13</v>
      </c>
    </row>
    <row r="722" spans="1:8">
      <c r="A722" s="1">
        <v>100720</v>
      </c>
      <c r="B722" s="1">
        <v>515753</v>
      </c>
      <c r="C722" s="2">
        <v>41403</v>
      </c>
      <c r="D722" s="1" t="s">
        <v>1989</v>
      </c>
      <c r="E722" s="6">
        <v>1</v>
      </c>
      <c r="F722" s="6" t="str">
        <f t="shared" si="22"/>
        <v>May</v>
      </c>
      <c r="G722" s="6">
        <f t="shared" si="23"/>
        <v>19</v>
      </c>
      <c r="H722" s="1">
        <f>SUMIF('Retal Tran Line Item'!E:E,A722,'Retal Tran Line Item'!B:B)</f>
        <v>1</v>
      </c>
    </row>
    <row r="723" spans="1:8">
      <c r="A723" s="1">
        <v>100721</v>
      </c>
      <c r="B723" s="1">
        <v>515790</v>
      </c>
      <c r="C723" s="2">
        <v>41403</v>
      </c>
      <c r="D723" s="1" t="s">
        <v>1993</v>
      </c>
      <c r="E723" s="6">
        <v>2</v>
      </c>
      <c r="F723" s="6" t="str">
        <f t="shared" si="22"/>
        <v>May</v>
      </c>
      <c r="G723" s="6">
        <f t="shared" si="23"/>
        <v>19</v>
      </c>
      <c r="H723" s="1">
        <f>SUMIF('Retal Tran Line Item'!E:E,A723,'Retal Tran Line Item'!B:B)</f>
        <v>13</v>
      </c>
    </row>
    <row r="724" spans="1:8">
      <c r="A724" s="1">
        <v>100722</v>
      </c>
      <c r="B724" s="1">
        <v>416523</v>
      </c>
      <c r="C724" s="2">
        <v>41403</v>
      </c>
      <c r="D724" s="1" t="s">
        <v>1994</v>
      </c>
      <c r="E724" s="6">
        <v>2</v>
      </c>
      <c r="F724" s="6" t="str">
        <f t="shared" si="22"/>
        <v>May</v>
      </c>
      <c r="G724" s="6">
        <f t="shared" si="23"/>
        <v>19</v>
      </c>
      <c r="H724" s="1">
        <f>SUMIF('Retal Tran Line Item'!E:E,A724,'Retal Tran Line Item'!B:B)</f>
        <v>15</v>
      </c>
    </row>
    <row r="725" spans="1:8">
      <c r="A725" s="1">
        <v>100723</v>
      </c>
      <c r="B725" s="1">
        <v>330223</v>
      </c>
      <c r="C725" s="2">
        <v>41403</v>
      </c>
      <c r="D725" s="1" t="s">
        <v>1993</v>
      </c>
      <c r="E725" s="6">
        <v>1</v>
      </c>
      <c r="F725" s="6" t="str">
        <f t="shared" si="22"/>
        <v>May</v>
      </c>
      <c r="G725" s="6">
        <f t="shared" si="23"/>
        <v>19</v>
      </c>
      <c r="H725" s="1">
        <f>SUMIF('Retal Tran Line Item'!E:E,A725,'Retal Tran Line Item'!B:B)</f>
        <v>9</v>
      </c>
    </row>
    <row r="726" spans="1:8">
      <c r="A726" s="1">
        <v>100724</v>
      </c>
      <c r="B726" s="1">
        <v>924947</v>
      </c>
      <c r="C726" s="2">
        <v>41403</v>
      </c>
      <c r="D726" s="1" t="s">
        <v>1993</v>
      </c>
      <c r="E726" s="6">
        <v>1</v>
      </c>
      <c r="F726" s="6" t="str">
        <f t="shared" si="22"/>
        <v>May</v>
      </c>
      <c r="G726" s="6">
        <f t="shared" si="23"/>
        <v>19</v>
      </c>
      <c r="H726" s="1">
        <f>SUMIF('Retal Tran Line Item'!E:E,A726,'Retal Tran Line Item'!B:B)</f>
        <v>7</v>
      </c>
    </row>
    <row r="727" spans="1:8">
      <c r="A727" s="1">
        <v>100725</v>
      </c>
      <c r="B727" s="1">
        <v>884729</v>
      </c>
      <c r="C727" s="2">
        <v>41403</v>
      </c>
      <c r="D727" s="1" t="s">
        <v>1993</v>
      </c>
      <c r="E727" s="6">
        <v>2</v>
      </c>
      <c r="F727" s="6" t="str">
        <f t="shared" si="22"/>
        <v>May</v>
      </c>
      <c r="G727" s="6">
        <f t="shared" si="23"/>
        <v>19</v>
      </c>
      <c r="H727" s="1">
        <f>SUMIF('Retal Tran Line Item'!E:E,A727,'Retal Tran Line Item'!B:B)</f>
        <v>6</v>
      </c>
    </row>
    <row r="728" spans="1:8">
      <c r="A728" s="1">
        <v>100726</v>
      </c>
      <c r="B728" s="1">
        <v>432268</v>
      </c>
      <c r="C728" s="2">
        <v>41403</v>
      </c>
      <c r="D728" s="1" t="s">
        <v>1994</v>
      </c>
      <c r="E728" s="6">
        <v>1</v>
      </c>
      <c r="F728" s="6" t="str">
        <f t="shared" si="22"/>
        <v>May</v>
      </c>
      <c r="G728" s="6">
        <f t="shared" si="23"/>
        <v>19</v>
      </c>
      <c r="H728" s="1">
        <f>SUMIF('Retal Tran Line Item'!E:E,A728,'Retal Tran Line Item'!B:B)</f>
        <v>10</v>
      </c>
    </row>
    <row r="729" spans="1:8">
      <c r="A729" s="1">
        <v>100727</v>
      </c>
      <c r="B729" s="1">
        <v>116934</v>
      </c>
      <c r="C729" s="2">
        <v>41404</v>
      </c>
      <c r="D729" s="1" t="s">
        <v>1992</v>
      </c>
      <c r="E729" s="6">
        <v>1</v>
      </c>
      <c r="F729" s="6" t="str">
        <f t="shared" si="22"/>
        <v>May</v>
      </c>
      <c r="G729" s="6">
        <f t="shared" si="23"/>
        <v>19</v>
      </c>
      <c r="H729" s="1">
        <f>SUMIF('Retal Tran Line Item'!E:E,A729,'Retal Tran Line Item'!B:B)</f>
        <v>2</v>
      </c>
    </row>
    <row r="730" spans="1:8">
      <c r="A730" s="1">
        <v>100728</v>
      </c>
      <c r="B730" s="1">
        <v>817159</v>
      </c>
      <c r="C730" s="2">
        <v>41404</v>
      </c>
      <c r="D730" s="1" t="s">
        <v>1994</v>
      </c>
      <c r="E730" s="6">
        <v>2</v>
      </c>
      <c r="F730" s="6" t="str">
        <f t="shared" si="22"/>
        <v>May</v>
      </c>
      <c r="G730" s="6">
        <f t="shared" si="23"/>
        <v>19</v>
      </c>
      <c r="H730" s="1">
        <f>SUMIF('Retal Tran Line Item'!E:E,A730,'Retal Tran Line Item'!B:B)</f>
        <v>20</v>
      </c>
    </row>
    <row r="731" spans="1:8">
      <c r="A731" s="1">
        <v>100729</v>
      </c>
      <c r="B731" s="1">
        <v>605188</v>
      </c>
      <c r="C731" s="2">
        <v>41404</v>
      </c>
      <c r="D731" s="1" t="s">
        <v>1989</v>
      </c>
      <c r="E731" s="6">
        <v>2</v>
      </c>
      <c r="F731" s="6" t="str">
        <f t="shared" si="22"/>
        <v>May</v>
      </c>
      <c r="G731" s="6">
        <f t="shared" si="23"/>
        <v>19</v>
      </c>
      <c r="H731" s="1">
        <f>SUMIF('Retal Tran Line Item'!E:E,A731,'Retal Tran Line Item'!B:B)</f>
        <v>21</v>
      </c>
    </row>
    <row r="732" spans="1:8">
      <c r="A732" s="1">
        <v>100730</v>
      </c>
      <c r="B732" s="1">
        <v>456457</v>
      </c>
      <c r="C732" s="2">
        <v>41404</v>
      </c>
      <c r="D732" s="1" t="s">
        <v>1993</v>
      </c>
      <c r="E732" s="6">
        <v>2</v>
      </c>
      <c r="F732" s="6" t="str">
        <f t="shared" si="22"/>
        <v>May</v>
      </c>
      <c r="G732" s="6">
        <f t="shared" si="23"/>
        <v>19</v>
      </c>
      <c r="H732" s="1">
        <f>SUMIF('Retal Tran Line Item'!E:E,A732,'Retal Tran Line Item'!B:B)</f>
        <v>12</v>
      </c>
    </row>
    <row r="733" spans="1:8">
      <c r="A733" s="1">
        <v>100731</v>
      </c>
      <c r="B733" s="1">
        <v>793987</v>
      </c>
      <c r="C733" s="2">
        <v>41404</v>
      </c>
      <c r="D733" s="1" t="s">
        <v>1994</v>
      </c>
      <c r="E733" s="6">
        <v>1</v>
      </c>
      <c r="F733" s="6" t="str">
        <f t="shared" si="22"/>
        <v>May</v>
      </c>
      <c r="G733" s="6">
        <f t="shared" si="23"/>
        <v>19</v>
      </c>
      <c r="H733" s="1">
        <f>SUMIF('Retal Tran Line Item'!E:E,A733,'Retal Tran Line Item'!B:B)</f>
        <v>9</v>
      </c>
    </row>
    <row r="734" spans="1:8">
      <c r="A734" s="1">
        <v>100732</v>
      </c>
      <c r="B734" s="1">
        <v>892883</v>
      </c>
      <c r="C734" s="2">
        <v>41405</v>
      </c>
      <c r="D734" s="1" t="s">
        <v>1992</v>
      </c>
      <c r="E734" s="6">
        <v>1</v>
      </c>
      <c r="F734" s="6" t="str">
        <f t="shared" si="22"/>
        <v>May</v>
      </c>
      <c r="G734" s="6">
        <f t="shared" si="23"/>
        <v>19</v>
      </c>
      <c r="H734" s="1">
        <f>SUMIF('Retal Tran Line Item'!E:E,A734,'Retal Tran Line Item'!B:B)</f>
        <v>1</v>
      </c>
    </row>
    <row r="735" spans="1:8">
      <c r="A735" s="1">
        <v>100733</v>
      </c>
      <c r="B735" s="1">
        <v>890270</v>
      </c>
      <c r="C735" s="2">
        <v>41405</v>
      </c>
      <c r="D735" s="1" t="s">
        <v>1992</v>
      </c>
      <c r="E735" s="6">
        <v>1</v>
      </c>
      <c r="F735" s="6" t="str">
        <f t="shared" si="22"/>
        <v>May</v>
      </c>
      <c r="G735" s="6">
        <f t="shared" si="23"/>
        <v>19</v>
      </c>
      <c r="H735" s="1">
        <f>SUMIF('Retal Tran Line Item'!E:E,A735,'Retal Tran Line Item'!B:B)</f>
        <v>18</v>
      </c>
    </row>
    <row r="736" spans="1:8">
      <c r="A736" s="1">
        <v>100734</v>
      </c>
      <c r="B736" s="1">
        <v>901388</v>
      </c>
      <c r="C736" s="2">
        <v>41405</v>
      </c>
      <c r="D736" s="1" t="s">
        <v>1992</v>
      </c>
      <c r="E736" s="6">
        <v>1</v>
      </c>
      <c r="F736" s="6" t="str">
        <f t="shared" si="22"/>
        <v>May</v>
      </c>
      <c r="G736" s="6">
        <f t="shared" si="23"/>
        <v>19</v>
      </c>
      <c r="H736" s="1">
        <f>SUMIF('Retal Tran Line Item'!E:E,A736,'Retal Tran Line Item'!B:B)</f>
        <v>6</v>
      </c>
    </row>
    <row r="737" spans="1:8">
      <c r="A737" s="1">
        <v>100735</v>
      </c>
      <c r="B737" s="1">
        <v>951702</v>
      </c>
      <c r="C737" s="2">
        <v>41405</v>
      </c>
      <c r="D737" s="1" t="s">
        <v>1992</v>
      </c>
      <c r="E737" s="6">
        <v>1</v>
      </c>
      <c r="F737" s="6" t="str">
        <f t="shared" si="22"/>
        <v>May</v>
      </c>
      <c r="G737" s="6">
        <f t="shared" si="23"/>
        <v>19</v>
      </c>
      <c r="H737" s="1">
        <f>SUMIF('Retal Tran Line Item'!E:E,A737,'Retal Tran Line Item'!B:B)</f>
        <v>5</v>
      </c>
    </row>
    <row r="738" spans="1:8">
      <c r="A738" s="1">
        <v>100736</v>
      </c>
      <c r="B738" s="1">
        <v>667170</v>
      </c>
      <c r="C738" s="2">
        <v>41405</v>
      </c>
      <c r="D738" s="1" t="s">
        <v>1993</v>
      </c>
      <c r="E738" s="6">
        <v>1</v>
      </c>
      <c r="F738" s="6" t="str">
        <f t="shared" si="22"/>
        <v>May</v>
      </c>
      <c r="G738" s="6">
        <f t="shared" si="23"/>
        <v>19</v>
      </c>
      <c r="H738" s="1">
        <f>SUMIF('Retal Tran Line Item'!E:E,A738,'Retal Tran Line Item'!B:B)</f>
        <v>11</v>
      </c>
    </row>
    <row r="739" spans="1:8">
      <c r="A739" s="1">
        <v>100737</v>
      </c>
      <c r="B739" s="1">
        <v>204295</v>
      </c>
      <c r="C739" s="2">
        <v>41405</v>
      </c>
      <c r="D739" s="1" t="s">
        <v>1992</v>
      </c>
      <c r="E739" s="6">
        <v>2</v>
      </c>
      <c r="F739" s="6" t="str">
        <f t="shared" si="22"/>
        <v>May</v>
      </c>
      <c r="G739" s="6">
        <f t="shared" si="23"/>
        <v>19</v>
      </c>
      <c r="H739" s="1">
        <f>SUMIF('Retal Tran Line Item'!E:E,A739,'Retal Tran Line Item'!B:B)</f>
        <v>15</v>
      </c>
    </row>
    <row r="740" spans="1:8">
      <c r="A740" s="1">
        <v>100738</v>
      </c>
      <c r="B740" s="1">
        <v>734514</v>
      </c>
      <c r="C740" s="2">
        <v>41405</v>
      </c>
      <c r="D740" s="1" t="s">
        <v>1993</v>
      </c>
      <c r="E740" s="6">
        <v>2</v>
      </c>
      <c r="F740" s="6" t="str">
        <f t="shared" si="22"/>
        <v>May</v>
      </c>
      <c r="G740" s="6">
        <f t="shared" si="23"/>
        <v>19</v>
      </c>
      <c r="H740" s="1">
        <f>SUMIF('Retal Tran Line Item'!E:E,A740,'Retal Tran Line Item'!B:B)</f>
        <v>15</v>
      </c>
    </row>
    <row r="741" spans="1:8">
      <c r="A741" s="1">
        <v>100739</v>
      </c>
      <c r="B741" s="1">
        <v>627324</v>
      </c>
      <c r="C741" s="2">
        <v>41405</v>
      </c>
      <c r="D741" s="1" t="s">
        <v>1989</v>
      </c>
      <c r="E741" s="6">
        <v>2</v>
      </c>
      <c r="F741" s="6" t="str">
        <f t="shared" si="22"/>
        <v>May</v>
      </c>
      <c r="G741" s="6">
        <f t="shared" si="23"/>
        <v>19</v>
      </c>
      <c r="H741" s="1">
        <f>SUMIF('Retal Tran Line Item'!E:E,A741,'Retal Tran Line Item'!B:B)</f>
        <v>26</v>
      </c>
    </row>
    <row r="742" spans="1:8">
      <c r="A742" s="1">
        <v>100740</v>
      </c>
      <c r="B742" s="1">
        <v>412929</v>
      </c>
      <c r="C742" s="2">
        <v>41406</v>
      </c>
      <c r="D742" s="1" t="s">
        <v>1989</v>
      </c>
      <c r="E742" s="6">
        <v>2</v>
      </c>
      <c r="F742" s="6" t="str">
        <f t="shared" si="22"/>
        <v>May</v>
      </c>
      <c r="G742" s="6">
        <f t="shared" si="23"/>
        <v>20</v>
      </c>
      <c r="H742" s="1">
        <f>SUMIF('Retal Tran Line Item'!E:E,A742,'Retal Tran Line Item'!B:B)</f>
        <v>10</v>
      </c>
    </row>
    <row r="743" spans="1:8">
      <c r="A743" s="1">
        <v>100741</v>
      </c>
      <c r="B743" s="1">
        <v>936214</v>
      </c>
      <c r="C743" s="2">
        <v>41406</v>
      </c>
      <c r="D743" s="1" t="s">
        <v>1993</v>
      </c>
      <c r="E743" s="6">
        <v>2</v>
      </c>
      <c r="F743" s="6" t="str">
        <f t="shared" si="22"/>
        <v>May</v>
      </c>
      <c r="G743" s="6">
        <f t="shared" si="23"/>
        <v>20</v>
      </c>
      <c r="H743" s="1">
        <f>SUMIF('Retal Tran Line Item'!E:E,A743,'Retal Tran Line Item'!B:B)</f>
        <v>10</v>
      </c>
    </row>
    <row r="744" spans="1:8">
      <c r="A744" s="1">
        <v>100742</v>
      </c>
      <c r="B744" s="1">
        <v>175940</v>
      </c>
      <c r="C744" s="2">
        <v>41406</v>
      </c>
      <c r="D744" s="1" t="s">
        <v>1993</v>
      </c>
      <c r="E744" s="6">
        <v>2</v>
      </c>
      <c r="F744" s="6" t="str">
        <f t="shared" si="22"/>
        <v>May</v>
      </c>
      <c r="G744" s="6">
        <f t="shared" si="23"/>
        <v>20</v>
      </c>
      <c r="H744" s="1">
        <f>SUMIF('Retal Tran Line Item'!E:E,A744,'Retal Tran Line Item'!B:B)</f>
        <v>1</v>
      </c>
    </row>
    <row r="745" spans="1:8">
      <c r="A745" s="1">
        <v>100743</v>
      </c>
      <c r="B745" s="1">
        <v>810369</v>
      </c>
      <c r="C745" s="2">
        <v>41406</v>
      </c>
      <c r="D745" s="1" t="s">
        <v>1993</v>
      </c>
      <c r="E745" s="6">
        <v>2</v>
      </c>
      <c r="F745" s="6" t="str">
        <f t="shared" si="22"/>
        <v>May</v>
      </c>
      <c r="G745" s="6">
        <f t="shared" si="23"/>
        <v>20</v>
      </c>
      <c r="H745" s="1">
        <f>SUMIF('Retal Tran Line Item'!E:E,A745,'Retal Tran Line Item'!B:B)</f>
        <v>14</v>
      </c>
    </row>
    <row r="746" spans="1:8">
      <c r="A746" s="1">
        <v>100744</v>
      </c>
      <c r="B746" s="1">
        <v>432268</v>
      </c>
      <c r="C746" s="2">
        <v>41406</v>
      </c>
      <c r="D746" s="1" t="s">
        <v>1994</v>
      </c>
      <c r="E746" s="6">
        <v>2</v>
      </c>
      <c r="F746" s="6" t="str">
        <f t="shared" si="22"/>
        <v>May</v>
      </c>
      <c r="G746" s="6">
        <f t="shared" si="23"/>
        <v>20</v>
      </c>
      <c r="H746" s="1">
        <f>SUMIF('Retal Tran Line Item'!E:E,A746,'Retal Tran Line Item'!B:B)</f>
        <v>36</v>
      </c>
    </row>
    <row r="747" spans="1:8">
      <c r="A747" s="1">
        <v>100745</v>
      </c>
      <c r="B747" s="1">
        <v>265339</v>
      </c>
      <c r="C747" s="2">
        <v>41406</v>
      </c>
      <c r="D747" s="1" t="s">
        <v>1994</v>
      </c>
      <c r="E747" s="6">
        <v>1</v>
      </c>
      <c r="F747" s="6" t="str">
        <f t="shared" si="22"/>
        <v>May</v>
      </c>
      <c r="G747" s="6">
        <f t="shared" si="23"/>
        <v>20</v>
      </c>
      <c r="H747" s="1">
        <f>SUMIF('Retal Tran Line Item'!E:E,A747,'Retal Tran Line Item'!B:B)</f>
        <v>8</v>
      </c>
    </row>
    <row r="748" spans="1:8">
      <c r="A748" s="1">
        <v>100746</v>
      </c>
      <c r="B748" s="1">
        <v>145929</v>
      </c>
      <c r="C748" s="2">
        <v>41406</v>
      </c>
      <c r="D748" s="1" t="s">
        <v>1989</v>
      </c>
      <c r="E748" s="6">
        <v>1</v>
      </c>
      <c r="F748" s="6" t="str">
        <f t="shared" si="22"/>
        <v>May</v>
      </c>
      <c r="G748" s="6">
        <f t="shared" si="23"/>
        <v>20</v>
      </c>
      <c r="H748" s="1">
        <f>SUMIF('Retal Tran Line Item'!E:E,A748,'Retal Tran Line Item'!B:B)</f>
        <v>9</v>
      </c>
    </row>
    <row r="749" spans="1:8">
      <c r="A749" s="1">
        <v>100747</v>
      </c>
      <c r="B749" s="1">
        <v>578275</v>
      </c>
      <c r="C749" s="2">
        <v>41406</v>
      </c>
      <c r="D749" s="1" t="s">
        <v>1989</v>
      </c>
      <c r="E749" s="6">
        <v>1</v>
      </c>
      <c r="F749" s="6" t="str">
        <f t="shared" si="22"/>
        <v>May</v>
      </c>
      <c r="G749" s="6">
        <f t="shared" si="23"/>
        <v>20</v>
      </c>
      <c r="H749" s="1">
        <f>SUMIF('Retal Tran Line Item'!E:E,A749,'Retal Tran Line Item'!B:B)</f>
        <v>9</v>
      </c>
    </row>
    <row r="750" spans="1:8">
      <c r="A750" s="1">
        <v>100748</v>
      </c>
      <c r="B750" s="1">
        <v>441628</v>
      </c>
      <c r="C750" s="2">
        <v>41407</v>
      </c>
      <c r="D750" s="1" t="s">
        <v>1989</v>
      </c>
      <c r="E750" s="6">
        <v>2</v>
      </c>
      <c r="F750" s="6" t="str">
        <f t="shared" si="22"/>
        <v>May</v>
      </c>
      <c r="G750" s="6">
        <f t="shared" si="23"/>
        <v>20</v>
      </c>
      <c r="H750" s="1">
        <f>SUMIF('Retal Tran Line Item'!E:E,A750,'Retal Tran Line Item'!B:B)</f>
        <v>19</v>
      </c>
    </row>
    <row r="751" spans="1:8">
      <c r="A751" s="1">
        <v>100749</v>
      </c>
      <c r="B751" s="1">
        <v>206078</v>
      </c>
      <c r="C751" s="2">
        <v>41407</v>
      </c>
      <c r="D751" s="1" t="s">
        <v>1992</v>
      </c>
      <c r="E751" s="6">
        <v>2</v>
      </c>
      <c r="F751" s="6" t="str">
        <f t="shared" si="22"/>
        <v>May</v>
      </c>
      <c r="G751" s="6">
        <f t="shared" si="23"/>
        <v>20</v>
      </c>
      <c r="H751" s="1">
        <f>SUMIF('Retal Tran Line Item'!E:E,A751,'Retal Tran Line Item'!B:B)</f>
        <v>6</v>
      </c>
    </row>
    <row r="752" spans="1:8">
      <c r="A752" s="1">
        <v>100750</v>
      </c>
      <c r="B752" s="1">
        <v>437454</v>
      </c>
      <c r="C752" s="2">
        <v>41407</v>
      </c>
      <c r="D752" s="1" t="s">
        <v>1993</v>
      </c>
      <c r="E752" s="6">
        <v>2</v>
      </c>
      <c r="F752" s="6" t="str">
        <f t="shared" si="22"/>
        <v>May</v>
      </c>
      <c r="G752" s="6">
        <f t="shared" si="23"/>
        <v>20</v>
      </c>
      <c r="H752" s="1">
        <f>SUMIF('Retal Tran Line Item'!E:E,A752,'Retal Tran Line Item'!B:B)</f>
        <v>6</v>
      </c>
    </row>
    <row r="753" spans="1:8">
      <c r="A753" s="1">
        <v>100751</v>
      </c>
      <c r="B753" s="1">
        <v>344702</v>
      </c>
      <c r="C753" s="2">
        <v>41407</v>
      </c>
      <c r="D753" s="1" t="s">
        <v>1992</v>
      </c>
      <c r="E753" s="6">
        <v>1</v>
      </c>
      <c r="F753" s="6" t="str">
        <f t="shared" si="22"/>
        <v>May</v>
      </c>
      <c r="G753" s="6">
        <f t="shared" si="23"/>
        <v>20</v>
      </c>
      <c r="H753" s="1">
        <f>SUMIF('Retal Tran Line Item'!E:E,A753,'Retal Tran Line Item'!B:B)</f>
        <v>15</v>
      </c>
    </row>
    <row r="754" spans="1:8">
      <c r="A754" s="1">
        <v>100752</v>
      </c>
      <c r="B754" s="1">
        <v>347189</v>
      </c>
      <c r="C754" s="2">
        <v>41407</v>
      </c>
      <c r="D754" s="1" t="s">
        <v>1989</v>
      </c>
      <c r="E754" s="6">
        <v>2</v>
      </c>
      <c r="F754" s="6" t="str">
        <f t="shared" si="22"/>
        <v>May</v>
      </c>
      <c r="G754" s="6">
        <f t="shared" si="23"/>
        <v>20</v>
      </c>
      <c r="H754" s="1">
        <f>SUMIF('Retal Tran Line Item'!E:E,A754,'Retal Tran Line Item'!B:B)</f>
        <v>10</v>
      </c>
    </row>
    <row r="755" spans="1:8">
      <c r="A755" s="1">
        <v>100753</v>
      </c>
      <c r="B755" s="1">
        <v>537796</v>
      </c>
      <c r="C755" s="2">
        <v>41407</v>
      </c>
      <c r="D755" s="1" t="s">
        <v>1993</v>
      </c>
      <c r="E755" s="6">
        <v>2</v>
      </c>
      <c r="F755" s="6" t="str">
        <f t="shared" si="22"/>
        <v>May</v>
      </c>
      <c r="G755" s="6">
        <f t="shared" si="23"/>
        <v>20</v>
      </c>
      <c r="H755" s="1">
        <f>SUMIF('Retal Tran Line Item'!E:E,A755,'Retal Tran Line Item'!B:B)</f>
        <v>10</v>
      </c>
    </row>
    <row r="756" spans="1:8">
      <c r="A756" s="1">
        <v>100754</v>
      </c>
      <c r="B756" s="1">
        <v>191951</v>
      </c>
      <c r="C756" s="2">
        <v>41407</v>
      </c>
      <c r="D756" s="1" t="s">
        <v>1992</v>
      </c>
      <c r="E756" s="6">
        <v>2</v>
      </c>
      <c r="F756" s="6" t="str">
        <f t="shared" si="22"/>
        <v>May</v>
      </c>
      <c r="G756" s="6">
        <f t="shared" si="23"/>
        <v>20</v>
      </c>
      <c r="H756" s="1">
        <f>SUMIF('Retal Tran Line Item'!E:E,A756,'Retal Tran Line Item'!B:B)</f>
        <v>1</v>
      </c>
    </row>
    <row r="757" spans="1:8">
      <c r="A757" s="1">
        <v>100755</v>
      </c>
      <c r="B757" s="1">
        <v>336644</v>
      </c>
      <c r="C757" s="2">
        <v>41407</v>
      </c>
      <c r="D757" s="1" t="s">
        <v>1993</v>
      </c>
      <c r="E757" s="6">
        <v>2</v>
      </c>
      <c r="F757" s="6" t="str">
        <f t="shared" si="22"/>
        <v>May</v>
      </c>
      <c r="G757" s="6">
        <f t="shared" si="23"/>
        <v>20</v>
      </c>
      <c r="H757" s="1">
        <f>SUMIF('Retal Tran Line Item'!E:E,A757,'Retal Tran Line Item'!B:B)</f>
        <v>6</v>
      </c>
    </row>
    <row r="758" spans="1:8">
      <c r="A758" s="1">
        <v>100756</v>
      </c>
      <c r="B758" s="1">
        <v>850933</v>
      </c>
      <c r="C758" s="2">
        <v>41407</v>
      </c>
      <c r="D758" s="1" t="s">
        <v>1989</v>
      </c>
      <c r="E758" s="6">
        <v>1</v>
      </c>
      <c r="F758" s="6" t="str">
        <f t="shared" si="22"/>
        <v>May</v>
      </c>
      <c r="G758" s="6">
        <f t="shared" si="23"/>
        <v>20</v>
      </c>
      <c r="H758" s="1">
        <f>SUMIF('Retal Tran Line Item'!E:E,A758,'Retal Tran Line Item'!B:B)</f>
        <v>9</v>
      </c>
    </row>
    <row r="759" spans="1:8">
      <c r="A759" s="1">
        <v>100757</v>
      </c>
      <c r="B759" s="1">
        <v>193914</v>
      </c>
      <c r="C759" s="2">
        <v>41407</v>
      </c>
      <c r="D759" s="1" t="s">
        <v>1992</v>
      </c>
      <c r="E759" s="6">
        <v>2</v>
      </c>
      <c r="F759" s="6" t="str">
        <f t="shared" si="22"/>
        <v>May</v>
      </c>
      <c r="G759" s="6">
        <f t="shared" si="23"/>
        <v>20</v>
      </c>
      <c r="H759" s="1">
        <f>SUMIF('Retal Tran Line Item'!E:E,A759,'Retal Tran Line Item'!B:B)</f>
        <v>9</v>
      </c>
    </row>
    <row r="760" spans="1:8">
      <c r="A760" s="1">
        <v>100758</v>
      </c>
      <c r="B760" s="1">
        <v>325263</v>
      </c>
      <c r="C760" s="2">
        <v>41408</v>
      </c>
      <c r="D760" s="1" t="s">
        <v>1993</v>
      </c>
      <c r="E760" s="6">
        <v>2</v>
      </c>
      <c r="F760" s="6" t="str">
        <f t="shared" si="22"/>
        <v>May</v>
      </c>
      <c r="G760" s="6">
        <f t="shared" si="23"/>
        <v>20</v>
      </c>
      <c r="H760" s="1">
        <f>SUMIF('Retal Tran Line Item'!E:E,A760,'Retal Tran Line Item'!B:B)</f>
        <v>4</v>
      </c>
    </row>
    <row r="761" spans="1:8">
      <c r="A761" s="1">
        <v>100759</v>
      </c>
      <c r="B761" s="1">
        <v>441628</v>
      </c>
      <c r="C761" s="2">
        <v>41408</v>
      </c>
      <c r="D761" s="1" t="s">
        <v>1989</v>
      </c>
      <c r="E761" s="6">
        <v>2</v>
      </c>
      <c r="F761" s="6" t="str">
        <f t="shared" si="22"/>
        <v>May</v>
      </c>
      <c r="G761" s="6">
        <f t="shared" si="23"/>
        <v>20</v>
      </c>
      <c r="H761" s="1">
        <f>SUMIF('Retal Tran Line Item'!E:E,A761,'Retal Tran Line Item'!B:B)</f>
        <v>17</v>
      </c>
    </row>
    <row r="762" spans="1:8">
      <c r="A762" s="1">
        <v>100760</v>
      </c>
      <c r="B762" s="1">
        <v>846558</v>
      </c>
      <c r="C762" s="2">
        <v>41408</v>
      </c>
      <c r="D762" s="1" t="s">
        <v>1992</v>
      </c>
      <c r="E762" s="6">
        <v>2</v>
      </c>
      <c r="F762" s="6" t="str">
        <f t="shared" si="22"/>
        <v>May</v>
      </c>
      <c r="G762" s="6">
        <f t="shared" si="23"/>
        <v>20</v>
      </c>
      <c r="H762" s="1">
        <f>SUMIF('Retal Tran Line Item'!E:E,A762,'Retal Tran Line Item'!B:B)</f>
        <v>27</v>
      </c>
    </row>
    <row r="763" spans="1:8">
      <c r="A763" s="1">
        <v>100761</v>
      </c>
      <c r="B763" s="1">
        <v>852319</v>
      </c>
      <c r="C763" s="2">
        <v>41408</v>
      </c>
      <c r="D763" s="1" t="s">
        <v>1993</v>
      </c>
      <c r="E763" s="6">
        <v>2</v>
      </c>
      <c r="F763" s="6" t="str">
        <f t="shared" si="22"/>
        <v>May</v>
      </c>
      <c r="G763" s="6">
        <f t="shared" si="23"/>
        <v>20</v>
      </c>
      <c r="H763" s="1">
        <f>SUMIF('Retal Tran Line Item'!E:E,A763,'Retal Tran Line Item'!B:B)</f>
        <v>7</v>
      </c>
    </row>
    <row r="764" spans="1:8">
      <c r="A764" s="1">
        <v>100762</v>
      </c>
      <c r="B764" s="1">
        <v>418506</v>
      </c>
      <c r="C764" s="2">
        <v>41408</v>
      </c>
      <c r="D764" s="1" t="s">
        <v>1992</v>
      </c>
      <c r="E764" s="6">
        <v>1</v>
      </c>
      <c r="F764" s="6" t="str">
        <f t="shared" si="22"/>
        <v>May</v>
      </c>
      <c r="G764" s="6">
        <f t="shared" si="23"/>
        <v>20</v>
      </c>
      <c r="H764" s="1">
        <f>SUMIF('Retal Tran Line Item'!E:E,A764,'Retal Tran Line Item'!B:B)</f>
        <v>10</v>
      </c>
    </row>
    <row r="765" spans="1:8">
      <c r="A765" s="1">
        <v>100763</v>
      </c>
      <c r="B765" s="1">
        <v>418506</v>
      </c>
      <c r="C765" s="2">
        <v>41409</v>
      </c>
      <c r="D765" s="1" t="s">
        <v>1992</v>
      </c>
      <c r="E765" s="6">
        <v>2</v>
      </c>
      <c r="F765" s="6" t="str">
        <f t="shared" si="22"/>
        <v>May</v>
      </c>
      <c r="G765" s="6">
        <f t="shared" si="23"/>
        <v>20</v>
      </c>
      <c r="H765" s="1">
        <f>SUMIF('Retal Tran Line Item'!E:E,A765,'Retal Tran Line Item'!B:B)</f>
        <v>9</v>
      </c>
    </row>
    <row r="766" spans="1:8">
      <c r="A766" s="1">
        <v>100764</v>
      </c>
      <c r="B766" s="1">
        <v>693531</v>
      </c>
      <c r="C766" s="2">
        <v>41409</v>
      </c>
      <c r="D766" s="1" t="s">
        <v>1989</v>
      </c>
      <c r="E766" s="6">
        <v>2</v>
      </c>
      <c r="F766" s="6" t="str">
        <f t="shared" si="22"/>
        <v>May</v>
      </c>
      <c r="G766" s="6">
        <f t="shared" si="23"/>
        <v>20</v>
      </c>
      <c r="H766" s="1">
        <f>SUMIF('Retal Tran Line Item'!E:E,A766,'Retal Tran Line Item'!B:B)</f>
        <v>6</v>
      </c>
    </row>
    <row r="767" spans="1:8">
      <c r="A767" s="1">
        <v>100765</v>
      </c>
      <c r="B767" s="1">
        <v>193914</v>
      </c>
      <c r="C767" s="2">
        <v>41409</v>
      </c>
      <c r="D767" s="1" t="s">
        <v>1992</v>
      </c>
      <c r="E767" s="6">
        <v>1</v>
      </c>
      <c r="F767" s="6" t="str">
        <f t="shared" si="22"/>
        <v>May</v>
      </c>
      <c r="G767" s="6">
        <f t="shared" si="23"/>
        <v>20</v>
      </c>
      <c r="H767" s="1">
        <f>SUMIF('Retal Tran Line Item'!E:E,A767,'Retal Tran Line Item'!B:B)</f>
        <v>10</v>
      </c>
    </row>
    <row r="768" spans="1:8">
      <c r="A768" s="1">
        <v>100766</v>
      </c>
      <c r="B768" s="1">
        <v>355107</v>
      </c>
      <c r="C768" s="2">
        <v>41409</v>
      </c>
      <c r="D768" s="1" t="s">
        <v>1989</v>
      </c>
      <c r="E768" s="6">
        <v>1</v>
      </c>
      <c r="F768" s="6" t="str">
        <f t="shared" si="22"/>
        <v>May</v>
      </c>
      <c r="G768" s="6">
        <f t="shared" si="23"/>
        <v>20</v>
      </c>
      <c r="H768" s="1">
        <f>SUMIF('Retal Tran Line Item'!E:E,A768,'Retal Tran Line Item'!B:B)</f>
        <v>10</v>
      </c>
    </row>
    <row r="769" spans="1:8">
      <c r="A769" s="1">
        <v>100767</v>
      </c>
      <c r="B769" s="1">
        <v>145929</v>
      </c>
      <c r="C769" s="2">
        <v>41409</v>
      </c>
      <c r="D769" s="1" t="s">
        <v>1989</v>
      </c>
      <c r="E769" s="6">
        <v>2</v>
      </c>
      <c r="F769" s="6" t="str">
        <f t="shared" si="22"/>
        <v>May</v>
      </c>
      <c r="G769" s="6">
        <f t="shared" si="23"/>
        <v>20</v>
      </c>
      <c r="H769" s="1">
        <f>SUMIF('Retal Tran Line Item'!E:E,A769,'Retal Tran Line Item'!B:B)</f>
        <v>8</v>
      </c>
    </row>
    <row r="770" spans="1:8">
      <c r="A770" s="1">
        <v>100768</v>
      </c>
      <c r="B770" s="1">
        <v>657736</v>
      </c>
      <c r="C770" s="2">
        <v>41409</v>
      </c>
      <c r="D770" s="1" t="s">
        <v>1993</v>
      </c>
      <c r="E770" s="6">
        <v>2</v>
      </c>
      <c r="F770" s="6" t="str">
        <f t="shared" si="22"/>
        <v>May</v>
      </c>
      <c r="G770" s="6">
        <f t="shared" si="23"/>
        <v>20</v>
      </c>
      <c r="H770" s="1">
        <f>SUMIF('Retal Tran Line Item'!E:E,A770,'Retal Tran Line Item'!B:B)</f>
        <v>17</v>
      </c>
    </row>
    <row r="771" spans="1:8">
      <c r="A771" s="1">
        <v>100769</v>
      </c>
      <c r="B771" s="1">
        <v>789065</v>
      </c>
      <c r="C771" s="2">
        <v>41409</v>
      </c>
      <c r="D771" s="1" t="s">
        <v>1994</v>
      </c>
      <c r="E771" s="6">
        <v>1</v>
      </c>
      <c r="F771" s="6" t="str">
        <f t="shared" ref="F771:F834" si="24">TEXT(C771,"MMMM")</f>
        <v>May</v>
      </c>
      <c r="G771" s="6">
        <f t="shared" ref="G771:G834" si="25">WEEKNUM(C771)</f>
        <v>20</v>
      </c>
      <c r="H771" s="1">
        <f>SUMIF('Retal Tran Line Item'!E:E,A771,'Retal Tran Line Item'!B:B)</f>
        <v>10</v>
      </c>
    </row>
    <row r="772" spans="1:8">
      <c r="A772" s="1">
        <v>100770</v>
      </c>
      <c r="B772" s="1">
        <v>789065</v>
      </c>
      <c r="C772" s="2">
        <v>41409</v>
      </c>
      <c r="D772" s="1" t="s">
        <v>1994</v>
      </c>
      <c r="E772" s="6">
        <v>1</v>
      </c>
      <c r="F772" s="6" t="str">
        <f t="shared" si="24"/>
        <v>May</v>
      </c>
      <c r="G772" s="6">
        <f t="shared" si="25"/>
        <v>20</v>
      </c>
      <c r="H772" s="1">
        <f>SUMIF('Retal Tran Line Item'!E:E,A772,'Retal Tran Line Item'!B:B)</f>
        <v>8</v>
      </c>
    </row>
    <row r="773" spans="1:8">
      <c r="A773" s="1">
        <v>100771</v>
      </c>
      <c r="B773" s="1">
        <v>559486</v>
      </c>
      <c r="C773" s="2">
        <v>41410</v>
      </c>
      <c r="D773" s="1" t="s">
        <v>1992</v>
      </c>
      <c r="E773" s="6">
        <v>2</v>
      </c>
      <c r="F773" s="6" t="str">
        <f t="shared" si="24"/>
        <v>May</v>
      </c>
      <c r="G773" s="6">
        <f t="shared" si="25"/>
        <v>20</v>
      </c>
      <c r="H773" s="1">
        <f>SUMIF('Retal Tran Line Item'!E:E,A773,'Retal Tran Line Item'!B:B)</f>
        <v>2</v>
      </c>
    </row>
    <row r="774" spans="1:8">
      <c r="A774" s="1">
        <v>100772</v>
      </c>
      <c r="B774" s="1">
        <v>437454</v>
      </c>
      <c r="C774" s="2">
        <v>41410</v>
      </c>
      <c r="D774" s="1" t="s">
        <v>1993</v>
      </c>
      <c r="E774" s="6">
        <v>1</v>
      </c>
      <c r="F774" s="6" t="str">
        <f t="shared" si="24"/>
        <v>May</v>
      </c>
      <c r="G774" s="6">
        <f t="shared" si="25"/>
        <v>20</v>
      </c>
      <c r="H774" s="1">
        <f>SUMIF('Retal Tran Line Item'!E:E,A774,'Retal Tran Line Item'!B:B)</f>
        <v>1</v>
      </c>
    </row>
    <row r="775" spans="1:8">
      <c r="A775" s="1">
        <v>100773</v>
      </c>
      <c r="B775" s="1">
        <v>938393</v>
      </c>
      <c r="C775" s="2">
        <v>41410</v>
      </c>
      <c r="D775" s="1" t="s">
        <v>1993</v>
      </c>
      <c r="E775" s="6">
        <v>1</v>
      </c>
      <c r="F775" s="6" t="str">
        <f t="shared" si="24"/>
        <v>May</v>
      </c>
      <c r="G775" s="6">
        <f t="shared" si="25"/>
        <v>20</v>
      </c>
      <c r="H775" s="1">
        <f>SUMIF('Retal Tran Line Item'!E:E,A775,'Retal Tran Line Item'!B:B)</f>
        <v>9</v>
      </c>
    </row>
    <row r="776" spans="1:8">
      <c r="A776" s="1">
        <v>100774</v>
      </c>
      <c r="B776" s="1">
        <v>793987</v>
      </c>
      <c r="C776" s="2">
        <v>41410</v>
      </c>
      <c r="D776" s="1" t="s">
        <v>1994</v>
      </c>
      <c r="E776" s="6">
        <v>2</v>
      </c>
      <c r="F776" s="6" t="str">
        <f t="shared" si="24"/>
        <v>May</v>
      </c>
      <c r="G776" s="6">
        <f t="shared" si="25"/>
        <v>20</v>
      </c>
      <c r="H776" s="1">
        <f>SUMIF('Retal Tran Line Item'!E:E,A776,'Retal Tran Line Item'!B:B)</f>
        <v>30</v>
      </c>
    </row>
    <row r="777" spans="1:8">
      <c r="A777" s="1">
        <v>100775</v>
      </c>
      <c r="B777" s="1">
        <v>385115</v>
      </c>
      <c r="C777" s="2">
        <v>41410</v>
      </c>
      <c r="D777" s="1" t="s">
        <v>1992</v>
      </c>
      <c r="E777" s="6">
        <v>1</v>
      </c>
      <c r="F777" s="6" t="str">
        <f t="shared" si="24"/>
        <v>May</v>
      </c>
      <c r="G777" s="6">
        <f t="shared" si="25"/>
        <v>20</v>
      </c>
      <c r="H777" s="1">
        <f>SUMIF('Retal Tran Line Item'!E:E,A777,'Retal Tran Line Item'!B:B)</f>
        <v>6</v>
      </c>
    </row>
    <row r="778" spans="1:8">
      <c r="A778" s="1">
        <v>100776</v>
      </c>
      <c r="B778" s="1">
        <v>765237</v>
      </c>
      <c r="C778" s="2">
        <v>41410</v>
      </c>
      <c r="D778" s="1" t="s">
        <v>1992</v>
      </c>
      <c r="E778" s="6">
        <v>2</v>
      </c>
      <c r="F778" s="6" t="str">
        <f t="shared" si="24"/>
        <v>May</v>
      </c>
      <c r="G778" s="6">
        <f t="shared" si="25"/>
        <v>20</v>
      </c>
      <c r="H778" s="1">
        <f>SUMIF('Retal Tran Line Item'!E:E,A778,'Retal Tran Line Item'!B:B)</f>
        <v>2</v>
      </c>
    </row>
    <row r="779" spans="1:8">
      <c r="A779" s="1">
        <v>100777</v>
      </c>
      <c r="B779" s="1">
        <v>422951</v>
      </c>
      <c r="C779" s="2">
        <v>41410</v>
      </c>
      <c r="D779" s="1" t="s">
        <v>1994</v>
      </c>
      <c r="E779" s="6">
        <v>1</v>
      </c>
      <c r="F779" s="6" t="str">
        <f t="shared" si="24"/>
        <v>May</v>
      </c>
      <c r="G779" s="6">
        <f t="shared" si="25"/>
        <v>20</v>
      </c>
      <c r="H779" s="1">
        <f>SUMIF('Retal Tran Line Item'!E:E,A779,'Retal Tran Line Item'!B:B)</f>
        <v>24</v>
      </c>
    </row>
    <row r="780" spans="1:8">
      <c r="A780" s="1">
        <v>100778</v>
      </c>
      <c r="B780" s="1">
        <v>319387</v>
      </c>
      <c r="C780" s="2">
        <v>41411</v>
      </c>
      <c r="D780" s="1" t="s">
        <v>1993</v>
      </c>
      <c r="E780" s="6">
        <v>2</v>
      </c>
      <c r="F780" s="6" t="str">
        <f t="shared" si="24"/>
        <v>May</v>
      </c>
      <c r="G780" s="6">
        <f t="shared" si="25"/>
        <v>20</v>
      </c>
      <c r="H780" s="1">
        <f>SUMIF('Retal Tran Line Item'!E:E,A780,'Retal Tran Line Item'!B:B)</f>
        <v>13</v>
      </c>
    </row>
    <row r="781" spans="1:8">
      <c r="A781" s="1">
        <v>100779</v>
      </c>
      <c r="B781" s="1">
        <v>929344</v>
      </c>
      <c r="C781" s="2">
        <v>41411</v>
      </c>
      <c r="D781" s="1" t="s">
        <v>1992</v>
      </c>
      <c r="E781" s="6">
        <v>2</v>
      </c>
      <c r="F781" s="6" t="str">
        <f t="shared" si="24"/>
        <v>May</v>
      </c>
      <c r="G781" s="6">
        <f t="shared" si="25"/>
        <v>20</v>
      </c>
      <c r="H781" s="1">
        <f>SUMIF('Retal Tran Line Item'!E:E,A781,'Retal Tran Line Item'!B:B)</f>
        <v>13</v>
      </c>
    </row>
    <row r="782" spans="1:8">
      <c r="A782" s="1">
        <v>100780</v>
      </c>
      <c r="B782" s="1">
        <v>605188</v>
      </c>
      <c r="C782" s="2">
        <v>41411</v>
      </c>
      <c r="D782" s="1" t="s">
        <v>1989</v>
      </c>
      <c r="E782" s="6">
        <v>1</v>
      </c>
      <c r="F782" s="6" t="str">
        <f t="shared" si="24"/>
        <v>May</v>
      </c>
      <c r="G782" s="6">
        <f t="shared" si="25"/>
        <v>20</v>
      </c>
      <c r="H782" s="1">
        <f>SUMIF('Retal Tran Line Item'!E:E,A782,'Retal Tran Line Item'!B:B)</f>
        <v>11</v>
      </c>
    </row>
    <row r="783" spans="1:8">
      <c r="A783" s="1">
        <v>100781</v>
      </c>
      <c r="B783" s="1">
        <v>247216</v>
      </c>
      <c r="C783" s="2">
        <v>41411</v>
      </c>
      <c r="D783" s="1" t="s">
        <v>1989</v>
      </c>
      <c r="E783" s="6">
        <v>2</v>
      </c>
      <c r="F783" s="6" t="str">
        <f t="shared" si="24"/>
        <v>May</v>
      </c>
      <c r="G783" s="6">
        <f t="shared" si="25"/>
        <v>20</v>
      </c>
      <c r="H783" s="1">
        <f>SUMIF('Retal Tran Line Item'!E:E,A783,'Retal Tran Line Item'!B:B)</f>
        <v>12</v>
      </c>
    </row>
    <row r="784" spans="1:8">
      <c r="A784" s="1">
        <v>100782</v>
      </c>
      <c r="B784" s="1">
        <v>317461</v>
      </c>
      <c r="C784" s="2">
        <v>41412</v>
      </c>
      <c r="D784" s="1" t="s">
        <v>1992</v>
      </c>
      <c r="E784" s="6">
        <v>1</v>
      </c>
      <c r="F784" s="6" t="str">
        <f t="shared" si="24"/>
        <v>May</v>
      </c>
      <c r="G784" s="6">
        <f t="shared" si="25"/>
        <v>20</v>
      </c>
      <c r="H784" s="1">
        <f>SUMIF('Retal Tran Line Item'!E:E,A784,'Retal Tran Line Item'!B:B)</f>
        <v>8</v>
      </c>
    </row>
    <row r="785" spans="1:8">
      <c r="A785" s="1">
        <v>100783</v>
      </c>
      <c r="B785" s="1">
        <v>371731</v>
      </c>
      <c r="C785" s="2">
        <v>41412</v>
      </c>
      <c r="D785" s="1" t="s">
        <v>1993</v>
      </c>
      <c r="E785" s="6">
        <v>2</v>
      </c>
      <c r="F785" s="6" t="str">
        <f t="shared" si="24"/>
        <v>May</v>
      </c>
      <c r="G785" s="6">
        <f t="shared" si="25"/>
        <v>20</v>
      </c>
      <c r="H785" s="1">
        <f>SUMIF('Retal Tran Line Item'!E:E,A785,'Retal Tran Line Item'!B:B)</f>
        <v>3</v>
      </c>
    </row>
    <row r="786" spans="1:8">
      <c r="A786" s="1">
        <v>100784</v>
      </c>
      <c r="B786" s="1">
        <v>814317</v>
      </c>
      <c r="C786" s="2">
        <v>41412</v>
      </c>
      <c r="D786" s="1" t="s">
        <v>1994</v>
      </c>
      <c r="E786" s="6">
        <v>2</v>
      </c>
      <c r="F786" s="6" t="str">
        <f t="shared" si="24"/>
        <v>May</v>
      </c>
      <c r="G786" s="6">
        <f t="shared" si="25"/>
        <v>20</v>
      </c>
      <c r="H786" s="1">
        <f>SUMIF('Retal Tran Line Item'!E:E,A786,'Retal Tran Line Item'!B:B)</f>
        <v>5</v>
      </c>
    </row>
    <row r="787" spans="1:8">
      <c r="A787" s="1">
        <v>100785</v>
      </c>
      <c r="B787" s="1">
        <v>207846</v>
      </c>
      <c r="C787" s="2">
        <v>41412</v>
      </c>
      <c r="D787" s="1" t="s">
        <v>1993</v>
      </c>
      <c r="E787" s="6">
        <v>2</v>
      </c>
      <c r="F787" s="6" t="str">
        <f t="shared" si="24"/>
        <v>May</v>
      </c>
      <c r="G787" s="6">
        <f t="shared" si="25"/>
        <v>20</v>
      </c>
      <c r="H787" s="1">
        <f>SUMIF('Retal Tran Line Item'!E:E,A787,'Retal Tran Line Item'!B:B)</f>
        <v>13</v>
      </c>
    </row>
    <row r="788" spans="1:8">
      <c r="A788" s="1">
        <v>100786</v>
      </c>
      <c r="B788" s="1">
        <v>917728</v>
      </c>
      <c r="C788" s="2">
        <v>41412</v>
      </c>
      <c r="D788" s="1" t="s">
        <v>1992</v>
      </c>
      <c r="E788" s="6">
        <v>1</v>
      </c>
      <c r="F788" s="6" t="str">
        <f t="shared" si="24"/>
        <v>May</v>
      </c>
      <c r="G788" s="6">
        <f t="shared" si="25"/>
        <v>20</v>
      </c>
      <c r="H788" s="1">
        <f>SUMIF('Retal Tran Line Item'!E:E,A788,'Retal Tran Line Item'!B:B)</f>
        <v>1</v>
      </c>
    </row>
    <row r="789" spans="1:8">
      <c r="A789" s="1">
        <v>100787</v>
      </c>
      <c r="B789" s="1">
        <v>757525</v>
      </c>
      <c r="C789" s="2">
        <v>41412</v>
      </c>
      <c r="D789" s="1" t="s">
        <v>1994</v>
      </c>
      <c r="E789" s="6">
        <v>2</v>
      </c>
      <c r="F789" s="6" t="str">
        <f t="shared" si="24"/>
        <v>May</v>
      </c>
      <c r="G789" s="6">
        <f t="shared" si="25"/>
        <v>20</v>
      </c>
      <c r="H789" s="1">
        <f>SUMIF('Retal Tran Line Item'!E:E,A789,'Retal Tran Line Item'!B:B)</f>
        <v>6</v>
      </c>
    </row>
    <row r="790" spans="1:8">
      <c r="A790" s="1">
        <v>100788</v>
      </c>
      <c r="B790" s="1">
        <v>767570</v>
      </c>
      <c r="C790" s="2">
        <v>41413</v>
      </c>
      <c r="D790" s="1" t="s">
        <v>1993</v>
      </c>
      <c r="E790" s="6">
        <v>2</v>
      </c>
      <c r="F790" s="6" t="str">
        <f t="shared" si="24"/>
        <v>May</v>
      </c>
      <c r="G790" s="6">
        <f t="shared" si="25"/>
        <v>21</v>
      </c>
      <c r="H790" s="1">
        <f>SUMIF('Retal Tran Line Item'!E:E,A790,'Retal Tran Line Item'!B:B)</f>
        <v>15</v>
      </c>
    </row>
    <row r="791" spans="1:8">
      <c r="A791" s="1">
        <v>100789</v>
      </c>
      <c r="B791" s="1">
        <v>905670</v>
      </c>
      <c r="C791" s="2">
        <v>41413</v>
      </c>
      <c r="D791" s="1" t="s">
        <v>1993</v>
      </c>
      <c r="E791" s="6">
        <v>2</v>
      </c>
      <c r="F791" s="6" t="str">
        <f t="shared" si="24"/>
        <v>May</v>
      </c>
      <c r="G791" s="6">
        <f t="shared" si="25"/>
        <v>21</v>
      </c>
      <c r="H791" s="1">
        <f>SUMIF('Retal Tran Line Item'!E:E,A791,'Retal Tran Line Item'!B:B)</f>
        <v>10</v>
      </c>
    </row>
    <row r="792" spans="1:8">
      <c r="A792" s="1">
        <v>100790</v>
      </c>
      <c r="B792" s="1">
        <v>616028</v>
      </c>
      <c r="C792" s="2">
        <v>41413</v>
      </c>
      <c r="D792" s="1" t="s">
        <v>1992</v>
      </c>
      <c r="E792" s="6">
        <v>1</v>
      </c>
      <c r="F792" s="6" t="str">
        <f t="shared" si="24"/>
        <v>May</v>
      </c>
      <c r="G792" s="6">
        <f t="shared" si="25"/>
        <v>21</v>
      </c>
      <c r="H792" s="1">
        <f>SUMIF('Retal Tran Line Item'!E:E,A792,'Retal Tran Line Item'!B:B)</f>
        <v>9</v>
      </c>
    </row>
    <row r="793" spans="1:8">
      <c r="A793" s="1">
        <v>100791</v>
      </c>
      <c r="B793" s="1">
        <v>766737</v>
      </c>
      <c r="C793" s="2">
        <v>41413</v>
      </c>
      <c r="D793" s="1" t="s">
        <v>1994</v>
      </c>
      <c r="E793" s="6">
        <v>2</v>
      </c>
      <c r="F793" s="6" t="str">
        <f t="shared" si="24"/>
        <v>May</v>
      </c>
      <c r="G793" s="6">
        <f t="shared" si="25"/>
        <v>21</v>
      </c>
      <c r="H793" s="1">
        <f>SUMIF('Retal Tran Line Item'!E:E,A793,'Retal Tran Line Item'!B:B)</f>
        <v>22</v>
      </c>
    </row>
    <row r="794" spans="1:8">
      <c r="A794" s="1">
        <v>100792</v>
      </c>
      <c r="B794" s="1">
        <v>888952</v>
      </c>
      <c r="C794" s="2">
        <v>41413</v>
      </c>
      <c r="D794" s="1" t="s">
        <v>1993</v>
      </c>
      <c r="E794" s="6">
        <v>2</v>
      </c>
      <c r="F794" s="6" t="str">
        <f t="shared" si="24"/>
        <v>May</v>
      </c>
      <c r="G794" s="6">
        <f t="shared" si="25"/>
        <v>21</v>
      </c>
      <c r="H794" s="1">
        <f>SUMIF('Retal Tran Line Item'!E:E,A794,'Retal Tran Line Item'!B:B)</f>
        <v>12</v>
      </c>
    </row>
    <row r="795" spans="1:8">
      <c r="A795" s="1">
        <v>100793</v>
      </c>
      <c r="B795" s="1">
        <v>319387</v>
      </c>
      <c r="C795" s="2">
        <v>41413</v>
      </c>
      <c r="D795" s="1" t="s">
        <v>1993</v>
      </c>
      <c r="E795" s="6">
        <v>2</v>
      </c>
      <c r="F795" s="6" t="str">
        <f t="shared" si="24"/>
        <v>May</v>
      </c>
      <c r="G795" s="6">
        <f t="shared" si="25"/>
        <v>21</v>
      </c>
      <c r="H795" s="1">
        <f>SUMIF('Retal Tran Line Item'!E:E,A795,'Retal Tran Line Item'!B:B)</f>
        <v>13</v>
      </c>
    </row>
    <row r="796" spans="1:8">
      <c r="A796" s="1">
        <v>100794</v>
      </c>
      <c r="B796" s="1">
        <v>759995</v>
      </c>
      <c r="C796" s="2">
        <v>41413</v>
      </c>
      <c r="D796" s="1" t="s">
        <v>1993</v>
      </c>
      <c r="E796" s="6">
        <v>2</v>
      </c>
      <c r="F796" s="6" t="str">
        <f t="shared" si="24"/>
        <v>May</v>
      </c>
      <c r="G796" s="6">
        <f t="shared" si="25"/>
        <v>21</v>
      </c>
      <c r="H796" s="1">
        <f>SUMIF('Retal Tran Line Item'!E:E,A796,'Retal Tran Line Item'!B:B)</f>
        <v>9</v>
      </c>
    </row>
    <row r="797" spans="1:8">
      <c r="A797" s="1">
        <v>100795</v>
      </c>
      <c r="B797" s="1">
        <v>271531</v>
      </c>
      <c r="C797" s="2">
        <v>41413</v>
      </c>
      <c r="D797" s="1" t="s">
        <v>1993</v>
      </c>
      <c r="E797" s="6">
        <v>2</v>
      </c>
      <c r="F797" s="6" t="str">
        <f t="shared" si="24"/>
        <v>May</v>
      </c>
      <c r="G797" s="6">
        <f t="shared" si="25"/>
        <v>21</v>
      </c>
      <c r="H797" s="1">
        <f>SUMIF('Retal Tran Line Item'!E:E,A797,'Retal Tran Line Item'!B:B)</f>
        <v>7</v>
      </c>
    </row>
    <row r="798" spans="1:8">
      <c r="A798" s="1">
        <v>100796</v>
      </c>
      <c r="B798" s="1">
        <v>108708</v>
      </c>
      <c r="C798" s="2">
        <v>41413</v>
      </c>
      <c r="D798" s="1" t="s">
        <v>1992</v>
      </c>
      <c r="E798" s="6">
        <v>1</v>
      </c>
      <c r="F798" s="6" t="str">
        <f t="shared" si="24"/>
        <v>May</v>
      </c>
      <c r="G798" s="6">
        <f t="shared" si="25"/>
        <v>21</v>
      </c>
      <c r="H798" s="1">
        <f>SUMIF('Retal Tran Line Item'!E:E,A798,'Retal Tran Line Item'!B:B)</f>
        <v>5</v>
      </c>
    </row>
    <row r="799" spans="1:8">
      <c r="A799" s="1">
        <v>100797</v>
      </c>
      <c r="B799" s="1">
        <v>803700</v>
      </c>
      <c r="C799" s="2">
        <v>41413</v>
      </c>
      <c r="D799" s="1" t="s">
        <v>1992</v>
      </c>
      <c r="E799" s="6">
        <v>2</v>
      </c>
      <c r="F799" s="6" t="str">
        <f t="shared" si="24"/>
        <v>May</v>
      </c>
      <c r="G799" s="6">
        <f t="shared" si="25"/>
        <v>21</v>
      </c>
      <c r="H799" s="1">
        <f>SUMIF('Retal Tran Line Item'!E:E,A799,'Retal Tran Line Item'!B:B)</f>
        <v>25</v>
      </c>
    </row>
    <row r="800" spans="1:8">
      <c r="A800" s="1">
        <v>100798</v>
      </c>
      <c r="B800" s="1">
        <v>964403</v>
      </c>
      <c r="C800" s="2">
        <v>41414</v>
      </c>
      <c r="D800" s="1" t="s">
        <v>1992</v>
      </c>
      <c r="E800" s="6">
        <v>1</v>
      </c>
      <c r="F800" s="6" t="str">
        <f t="shared" si="24"/>
        <v>May</v>
      </c>
      <c r="G800" s="6">
        <f t="shared" si="25"/>
        <v>21</v>
      </c>
      <c r="H800" s="1">
        <f>SUMIF('Retal Tran Line Item'!E:E,A800,'Retal Tran Line Item'!B:B)</f>
        <v>19</v>
      </c>
    </row>
    <row r="801" spans="1:8">
      <c r="A801" s="1">
        <v>100799</v>
      </c>
      <c r="B801" s="1">
        <v>317807</v>
      </c>
      <c r="C801" s="2">
        <v>41414</v>
      </c>
      <c r="D801" s="1" t="s">
        <v>1993</v>
      </c>
      <c r="E801" s="6">
        <v>1</v>
      </c>
      <c r="F801" s="6" t="str">
        <f t="shared" si="24"/>
        <v>May</v>
      </c>
      <c r="G801" s="6">
        <f t="shared" si="25"/>
        <v>21</v>
      </c>
      <c r="H801" s="1">
        <f>SUMIF('Retal Tran Line Item'!E:E,A801,'Retal Tran Line Item'!B:B)</f>
        <v>10</v>
      </c>
    </row>
    <row r="802" spans="1:8">
      <c r="A802" s="1">
        <v>100800</v>
      </c>
      <c r="B802" s="1">
        <v>355107</v>
      </c>
      <c r="C802" s="2">
        <v>41414</v>
      </c>
      <c r="D802" s="1" t="s">
        <v>1989</v>
      </c>
      <c r="E802" s="6">
        <v>2</v>
      </c>
      <c r="F802" s="6" t="str">
        <f t="shared" si="24"/>
        <v>May</v>
      </c>
      <c r="G802" s="6">
        <f t="shared" si="25"/>
        <v>21</v>
      </c>
      <c r="H802" s="1">
        <f>SUMIF('Retal Tran Line Item'!E:E,A802,'Retal Tran Line Item'!B:B)</f>
        <v>5</v>
      </c>
    </row>
    <row r="803" spans="1:8">
      <c r="A803" s="1">
        <v>100801</v>
      </c>
      <c r="B803" s="1">
        <v>756769</v>
      </c>
      <c r="C803" s="2">
        <v>41414</v>
      </c>
      <c r="D803" s="1" t="s">
        <v>1989</v>
      </c>
      <c r="E803" s="6">
        <v>1</v>
      </c>
      <c r="F803" s="6" t="str">
        <f t="shared" si="24"/>
        <v>May</v>
      </c>
      <c r="G803" s="6">
        <f t="shared" si="25"/>
        <v>21</v>
      </c>
      <c r="H803" s="1">
        <f>SUMIF('Retal Tran Line Item'!E:E,A803,'Retal Tran Line Item'!B:B)</f>
        <v>9</v>
      </c>
    </row>
    <row r="804" spans="1:8">
      <c r="A804" s="1">
        <v>100802</v>
      </c>
      <c r="B804" s="1">
        <v>236554</v>
      </c>
      <c r="C804" s="2">
        <v>41414</v>
      </c>
      <c r="D804" s="1" t="s">
        <v>1993</v>
      </c>
      <c r="E804" s="6">
        <v>1</v>
      </c>
      <c r="F804" s="6" t="str">
        <f t="shared" si="24"/>
        <v>May</v>
      </c>
      <c r="G804" s="6">
        <f t="shared" si="25"/>
        <v>21</v>
      </c>
      <c r="H804" s="1">
        <f>SUMIF('Retal Tran Line Item'!E:E,A804,'Retal Tran Line Item'!B:B)</f>
        <v>15</v>
      </c>
    </row>
    <row r="805" spans="1:8">
      <c r="A805" s="1">
        <v>100803</v>
      </c>
      <c r="B805" s="1">
        <v>558749</v>
      </c>
      <c r="C805" s="2">
        <v>41414</v>
      </c>
      <c r="D805" s="1" t="s">
        <v>1992</v>
      </c>
      <c r="E805" s="6">
        <v>2</v>
      </c>
      <c r="F805" s="6" t="str">
        <f t="shared" si="24"/>
        <v>May</v>
      </c>
      <c r="G805" s="6">
        <f t="shared" si="25"/>
        <v>21</v>
      </c>
      <c r="H805" s="1">
        <f>SUMIF('Retal Tran Line Item'!E:E,A805,'Retal Tran Line Item'!B:B)</f>
        <v>1</v>
      </c>
    </row>
    <row r="806" spans="1:8">
      <c r="A806" s="1">
        <v>100804</v>
      </c>
      <c r="B806" s="1">
        <v>227456</v>
      </c>
      <c r="C806" s="2">
        <v>41414</v>
      </c>
      <c r="D806" s="1" t="s">
        <v>1993</v>
      </c>
      <c r="E806" s="6">
        <v>1</v>
      </c>
      <c r="F806" s="6" t="str">
        <f t="shared" si="24"/>
        <v>May</v>
      </c>
      <c r="G806" s="6">
        <f t="shared" si="25"/>
        <v>21</v>
      </c>
      <c r="H806" s="1">
        <f>SUMIF('Retal Tran Line Item'!E:E,A806,'Retal Tran Line Item'!B:B)</f>
        <v>9</v>
      </c>
    </row>
    <row r="807" spans="1:8">
      <c r="A807" s="1">
        <v>100805</v>
      </c>
      <c r="B807" s="1">
        <v>189441</v>
      </c>
      <c r="C807" s="2">
        <v>41414</v>
      </c>
      <c r="D807" s="1" t="s">
        <v>1989</v>
      </c>
      <c r="E807" s="6">
        <v>1</v>
      </c>
      <c r="F807" s="6" t="str">
        <f t="shared" si="24"/>
        <v>May</v>
      </c>
      <c r="G807" s="6">
        <f t="shared" si="25"/>
        <v>21</v>
      </c>
      <c r="H807" s="1">
        <f>SUMIF('Retal Tran Line Item'!E:E,A807,'Retal Tran Line Item'!B:B)</f>
        <v>1</v>
      </c>
    </row>
    <row r="808" spans="1:8">
      <c r="A808" s="1">
        <v>100806</v>
      </c>
      <c r="B808" s="1">
        <v>842028</v>
      </c>
      <c r="C808" s="2">
        <v>41414</v>
      </c>
      <c r="D808" s="1" t="s">
        <v>1993</v>
      </c>
      <c r="E808" s="6">
        <v>2</v>
      </c>
      <c r="F808" s="6" t="str">
        <f t="shared" si="24"/>
        <v>May</v>
      </c>
      <c r="G808" s="6">
        <f t="shared" si="25"/>
        <v>21</v>
      </c>
      <c r="H808" s="1">
        <f>SUMIF('Retal Tran Line Item'!E:E,A808,'Retal Tran Line Item'!B:B)</f>
        <v>4</v>
      </c>
    </row>
    <row r="809" spans="1:8">
      <c r="A809" s="1">
        <v>100807</v>
      </c>
      <c r="B809" s="1">
        <v>168607</v>
      </c>
      <c r="C809" s="2">
        <v>41414</v>
      </c>
      <c r="D809" s="1" t="s">
        <v>1993</v>
      </c>
      <c r="E809" s="6">
        <v>2</v>
      </c>
      <c r="F809" s="6" t="str">
        <f t="shared" si="24"/>
        <v>May</v>
      </c>
      <c r="G809" s="6">
        <f t="shared" si="25"/>
        <v>21</v>
      </c>
      <c r="H809" s="1">
        <f>SUMIF('Retal Tran Line Item'!E:E,A809,'Retal Tran Line Item'!B:B)</f>
        <v>18</v>
      </c>
    </row>
    <row r="810" spans="1:8">
      <c r="A810" s="1">
        <v>100808</v>
      </c>
      <c r="B810" s="1">
        <v>743517</v>
      </c>
      <c r="C810" s="2">
        <v>41414</v>
      </c>
      <c r="D810" s="1" t="s">
        <v>1994</v>
      </c>
      <c r="E810" s="6">
        <v>2</v>
      </c>
      <c r="F810" s="6" t="str">
        <f t="shared" si="24"/>
        <v>May</v>
      </c>
      <c r="G810" s="6">
        <f t="shared" si="25"/>
        <v>21</v>
      </c>
      <c r="H810" s="1">
        <f>SUMIF('Retal Tran Line Item'!E:E,A810,'Retal Tran Line Item'!B:B)</f>
        <v>15</v>
      </c>
    </row>
    <row r="811" spans="1:8">
      <c r="A811" s="1">
        <v>100809</v>
      </c>
      <c r="B811" s="1">
        <v>580783</v>
      </c>
      <c r="C811" s="2">
        <v>41415</v>
      </c>
      <c r="D811" s="1" t="s">
        <v>1989</v>
      </c>
      <c r="E811" s="6">
        <v>1</v>
      </c>
      <c r="F811" s="6" t="str">
        <f t="shared" si="24"/>
        <v>May</v>
      </c>
      <c r="G811" s="6">
        <f t="shared" si="25"/>
        <v>21</v>
      </c>
      <c r="H811" s="1">
        <f>SUMIF('Retal Tran Line Item'!E:E,A811,'Retal Tran Line Item'!B:B)</f>
        <v>5</v>
      </c>
    </row>
    <row r="812" spans="1:8">
      <c r="A812" s="1">
        <v>100810</v>
      </c>
      <c r="B812" s="1">
        <v>418635</v>
      </c>
      <c r="C812" s="2">
        <v>41415</v>
      </c>
      <c r="D812" s="1" t="s">
        <v>1993</v>
      </c>
      <c r="E812" s="6">
        <v>1</v>
      </c>
      <c r="F812" s="6" t="str">
        <f t="shared" si="24"/>
        <v>May</v>
      </c>
      <c r="G812" s="6">
        <f t="shared" si="25"/>
        <v>21</v>
      </c>
      <c r="H812" s="1">
        <f>SUMIF('Retal Tran Line Item'!E:E,A812,'Retal Tran Line Item'!B:B)</f>
        <v>8</v>
      </c>
    </row>
    <row r="813" spans="1:8">
      <c r="A813" s="1">
        <v>100811</v>
      </c>
      <c r="B813" s="1">
        <v>556152</v>
      </c>
      <c r="C813" s="2">
        <v>41415</v>
      </c>
      <c r="D813" s="1" t="s">
        <v>1993</v>
      </c>
      <c r="E813" s="6">
        <v>1</v>
      </c>
      <c r="F813" s="6" t="str">
        <f t="shared" si="24"/>
        <v>May</v>
      </c>
      <c r="G813" s="6">
        <f t="shared" si="25"/>
        <v>21</v>
      </c>
      <c r="H813" s="1">
        <f>SUMIF('Retal Tran Line Item'!E:E,A813,'Retal Tran Line Item'!B:B)</f>
        <v>10</v>
      </c>
    </row>
    <row r="814" spans="1:8">
      <c r="A814" s="1">
        <v>100812</v>
      </c>
      <c r="B814" s="1">
        <v>265133</v>
      </c>
      <c r="C814" s="2">
        <v>41415</v>
      </c>
      <c r="D814" s="1" t="s">
        <v>1992</v>
      </c>
      <c r="E814" s="6">
        <v>2</v>
      </c>
      <c r="F814" s="6" t="str">
        <f t="shared" si="24"/>
        <v>May</v>
      </c>
      <c r="G814" s="6">
        <f t="shared" si="25"/>
        <v>21</v>
      </c>
      <c r="H814" s="1">
        <f>SUMIF('Retal Tran Line Item'!E:E,A814,'Retal Tran Line Item'!B:B)</f>
        <v>7</v>
      </c>
    </row>
    <row r="815" spans="1:8">
      <c r="A815" s="1">
        <v>100813</v>
      </c>
      <c r="B815" s="1">
        <v>191951</v>
      </c>
      <c r="C815" s="2">
        <v>41415</v>
      </c>
      <c r="D815" s="1" t="s">
        <v>1992</v>
      </c>
      <c r="E815" s="6">
        <v>1</v>
      </c>
      <c r="F815" s="6" t="str">
        <f t="shared" si="24"/>
        <v>May</v>
      </c>
      <c r="G815" s="6">
        <f t="shared" si="25"/>
        <v>21</v>
      </c>
      <c r="H815" s="1">
        <f>SUMIF('Retal Tran Line Item'!E:E,A815,'Retal Tran Line Item'!B:B)</f>
        <v>4</v>
      </c>
    </row>
    <row r="816" spans="1:8">
      <c r="A816" s="1">
        <v>100814</v>
      </c>
      <c r="B816" s="1">
        <v>471187</v>
      </c>
      <c r="C816" s="2">
        <v>41415</v>
      </c>
      <c r="D816" s="1" t="s">
        <v>1993</v>
      </c>
      <c r="E816" s="6">
        <v>2</v>
      </c>
      <c r="F816" s="6" t="str">
        <f t="shared" si="24"/>
        <v>May</v>
      </c>
      <c r="G816" s="6">
        <f t="shared" si="25"/>
        <v>21</v>
      </c>
      <c r="H816" s="1">
        <f>SUMIF('Retal Tran Line Item'!E:E,A816,'Retal Tran Line Item'!B:B)</f>
        <v>7</v>
      </c>
    </row>
    <row r="817" spans="1:8">
      <c r="A817" s="1">
        <v>100815</v>
      </c>
      <c r="B817" s="1">
        <v>421074</v>
      </c>
      <c r="C817" s="2">
        <v>41416</v>
      </c>
      <c r="D817" s="1" t="s">
        <v>1992</v>
      </c>
      <c r="E817" s="6">
        <v>1</v>
      </c>
      <c r="F817" s="6" t="str">
        <f t="shared" si="24"/>
        <v>May</v>
      </c>
      <c r="G817" s="6">
        <f t="shared" si="25"/>
        <v>21</v>
      </c>
      <c r="H817" s="1">
        <f>SUMIF('Retal Tran Line Item'!E:E,A817,'Retal Tran Line Item'!B:B)</f>
        <v>19</v>
      </c>
    </row>
    <row r="818" spans="1:8">
      <c r="A818" s="1">
        <v>100816</v>
      </c>
      <c r="B818" s="1">
        <v>468100</v>
      </c>
      <c r="C818" s="2">
        <v>41416</v>
      </c>
      <c r="D818" s="1" t="s">
        <v>1992</v>
      </c>
      <c r="E818" s="6">
        <v>2</v>
      </c>
      <c r="F818" s="6" t="str">
        <f t="shared" si="24"/>
        <v>May</v>
      </c>
      <c r="G818" s="6">
        <f t="shared" si="25"/>
        <v>21</v>
      </c>
      <c r="H818" s="1">
        <f>SUMIF('Retal Tran Line Item'!E:E,A818,'Retal Tran Line Item'!B:B)</f>
        <v>6</v>
      </c>
    </row>
    <row r="819" spans="1:8">
      <c r="A819" s="1">
        <v>100817</v>
      </c>
      <c r="B819" s="1">
        <v>380003</v>
      </c>
      <c r="C819" s="2">
        <v>41417</v>
      </c>
      <c r="D819" s="1" t="s">
        <v>1992</v>
      </c>
      <c r="E819" s="6">
        <v>2</v>
      </c>
      <c r="F819" s="6" t="str">
        <f t="shared" si="24"/>
        <v>May</v>
      </c>
      <c r="G819" s="6">
        <f t="shared" si="25"/>
        <v>21</v>
      </c>
      <c r="H819" s="1">
        <f>SUMIF('Retal Tran Line Item'!E:E,A819,'Retal Tran Line Item'!B:B)</f>
        <v>7</v>
      </c>
    </row>
    <row r="820" spans="1:8">
      <c r="A820" s="1">
        <v>100818</v>
      </c>
      <c r="B820" s="1">
        <v>884368</v>
      </c>
      <c r="C820" s="2">
        <v>41417</v>
      </c>
      <c r="D820" s="1" t="s">
        <v>1993</v>
      </c>
      <c r="E820" s="6">
        <v>1</v>
      </c>
      <c r="F820" s="6" t="str">
        <f t="shared" si="24"/>
        <v>May</v>
      </c>
      <c r="G820" s="6">
        <f t="shared" si="25"/>
        <v>21</v>
      </c>
      <c r="H820" s="1">
        <f>SUMIF('Retal Tran Line Item'!E:E,A820,'Retal Tran Line Item'!B:B)</f>
        <v>2</v>
      </c>
    </row>
    <row r="821" spans="1:8">
      <c r="A821" s="1">
        <v>100819</v>
      </c>
      <c r="B821" s="1">
        <v>880238</v>
      </c>
      <c r="C821" s="2">
        <v>41417</v>
      </c>
      <c r="D821" s="1" t="s">
        <v>1993</v>
      </c>
      <c r="E821" s="6">
        <v>1</v>
      </c>
      <c r="F821" s="6" t="str">
        <f t="shared" si="24"/>
        <v>May</v>
      </c>
      <c r="G821" s="6">
        <f t="shared" si="25"/>
        <v>21</v>
      </c>
      <c r="H821" s="1">
        <f>SUMIF('Retal Tran Line Item'!E:E,A821,'Retal Tran Line Item'!B:B)</f>
        <v>9</v>
      </c>
    </row>
    <row r="822" spans="1:8">
      <c r="A822" s="1">
        <v>100820</v>
      </c>
      <c r="B822" s="1">
        <v>515753</v>
      </c>
      <c r="C822" s="2">
        <v>41417</v>
      </c>
      <c r="D822" s="1" t="s">
        <v>1989</v>
      </c>
      <c r="E822" s="6">
        <v>1</v>
      </c>
      <c r="F822" s="6" t="str">
        <f t="shared" si="24"/>
        <v>May</v>
      </c>
      <c r="G822" s="6">
        <f t="shared" si="25"/>
        <v>21</v>
      </c>
      <c r="H822" s="1">
        <f>SUMIF('Retal Tran Line Item'!E:E,A822,'Retal Tran Line Item'!B:B)</f>
        <v>2</v>
      </c>
    </row>
    <row r="823" spans="1:8">
      <c r="A823" s="1">
        <v>100821</v>
      </c>
      <c r="B823" s="1">
        <v>352644</v>
      </c>
      <c r="C823" s="2">
        <v>41417</v>
      </c>
      <c r="D823" s="1" t="s">
        <v>1989</v>
      </c>
      <c r="E823" s="6">
        <v>1</v>
      </c>
      <c r="F823" s="6" t="str">
        <f t="shared" si="24"/>
        <v>May</v>
      </c>
      <c r="G823" s="6">
        <f t="shared" si="25"/>
        <v>21</v>
      </c>
      <c r="H823" s="1">
        <f>SUMIF('Retal Tran Line Item'!E:E,A823,'Retal Tran Line Item'!B:B)</f>
        <v>1</v>
      </c>
    </row>
    <row r="824" spans="1:8">
      <c r="A824" s="1">
        <v>100822</v>
      </c>
      <c r="B824" s="1">
        <v>271531</v>
      </c>
      <c r="C824" s="2">
        <v>41417</v>
      </c>
      <c r="D824" s="1" t="s">
        <v>1993</v>
      </c>
      <c r="E824" s="6">
        <v>2</v>
      </c>
      <c r="F824" s="6" t="str">
        <f t="shared" si="24"/>
        <v>May</v>
      </c>
      <c r="G824" s="6">
        <f t="shared" si="25"/>
        <v>21</v>
      </c>
      <c r="H824" s="1">
        <f>SUMIF('Retal Tran Line Item'!E:E,A824,'Retal Tran Line Item'!B:B)</f>
        <v>6</v>
      </c>
    </row>
    <row r="825" spans="1:8">
      <c r="A825" s="1">
        <v>100823</v>
      </c>
      <c r="B825" s="1">
        <v>559054</v>
      </c>
      <c r="C825" s="2">
        <v>41418</v>
      </c>
      <c r="D825" s="1" t="s">
        <v>1994</v>
      </c>
      <c r="E825" s="6">
        <v>2</v>
      </c>
      <c r="F825" s="6" t="str">
        <f t="shared" si="24"/>
        <v>May</v>
      </c>
      <c r="G825" s="6">
        <f t="shared" si="25"/>
        <v>21</v>
      </c>
      <c r="H825" s="1">
        <f>SUMIF('Retal Tran Line Item'!E:E,A825,'Retal Tran Line Item'!B:B)</f>
        <v>7</v>
      </c>
    </row>
    <row r="826" spans="1:8">
      <c r="A826" s="1">
        <v>100824</v>
      </c>
      <c r="B826" s="1">
        <v>605188</v>
      </c>
      <c r="C826" s="2">
        <v>41418</v>
      </c>
      <c r="D826" s="1" t="s">
        <v>1989</v>
      </c>
      <c r="E826" s="6">
        <v>1</v>
      </c>
      <c r="F826" s="6" t="str">
        <f t="shared" si="24"/>
        <v>May</v>
      </c>
      <c r="G826" s="6">
        <f t="shared" si="25"/>
        <v>21</v>
      </c>
      <c r="H826" s="1">
        <f>SUMIF('Retal Tran Line Item'!E:E,A826,'Retal Tran Line Item'!B:B)</f>
        <v>8</v>
      </c>
    </row>
    <row r="827" spans="1:8">
      <c r="A827" s="1">
        <v>100825</v>
      </c>
      <c r="B827" s="1">
        <v>833180</v>
      </c>
      <c r="C827" s="2">
        <v>41418</v>
      </c>
      <c r="D827" s="1" t="s">
        <v>1993</v>
      </c>
      <c r="E827" s="6">
        <v>1</v>
      </c>
      <c r="F827" s="6" t="str">
        <f t="shared" si="24"/>
        <v>May</v>
      </c>
      <c r="G827" s="6">
        <f t="shared" si="25"/>
        <v>21</v>
      </c>
      <c r="H827" s="1">
        <f>SUMIF('Retal Tran Line Item'!E:E,A827,'Retal Tran Line Item'!B:B)</f>
        <v>10</v>
      </c>
    </row>
    <row r="828" spans="1:8">
      <c r="A828" s="1">
        <v>100826</v>
      </c>
      <c r="B828" s="1">
        <v>974503</v>
      </c>
      <c r="C828" s="2">
        <v>41418</v>
      </c>
      <c r="D828" s="1" t="s">
        <v>1993</v>
      </c>
      <c r="E828" s="6">
        <v>1</v>
      </c>
      <c r="F828" s="6" t="str">
        <f t="shared" si="24"/>
        <v>May</v>
      </c>
      <c r="G828" s="6">
        <f t="shared" si="25"/>
        <v>21</v>
      </c>
      <c r="H828" s="1">
        <f>SUMIF('Retal Tran Line Item'!E:E,A828,'Retal Tran Line Item'!B:B)</f>
        <v>5</v>
      </c>
    </row>
    <row r="829" spans="1:8">
      <c r="A829" s="1">
        <v>100827</v>
      </c>
      <c r="B829" s="1">
        <v>567388</v>
      </c>
      <c r="C829" s="2">
        <v>41418</v>
      </c>
      <c r="D829" s="1" t="s">
        <v>1993</v>
      </c>
      <c r="E829" s="6">
        <v>1</v>
      </c>
      <c r="F829" s="6" t="str">
        <f t="shared" si="24"/>
        <v>May</v>
      </c>
      <c r="G829" s="6">
        <f t="shared" si="25"/>
        <v>21</v>
      </c>
      <c r="H829" s="1">
        <f>SUMIF('Retal Tran Line Item'!E:E,A829,'Retal Tran Line Item'!B:B)</f>
        <v>8</v>
      </c>
    </row>
    <row r="830" spans="1:8">
      <c r="A830" s="1">
        <v>100828</v>
      </c>
      <c r="B830" s="1">
        <v>548800</v>
      </c>
      <c r="C830" s="2">
        <v>41419</v>
      </c>
      <c r="D830" s="1" t="s">
        <v>1992</v>
      </c>
      <c r="E830" s="6">
        <v>2</v>
      </c>
      <c r="F830" s="6" t="str">
        <f t="shared" si="24"/>
        <v>May</v>
      </c>
      <c r="G830" s="6">
        <f t="shared" si="25"/>
        <v>21</v>
      </c>
      <c r="H830" s="1">
        <f>SUMIF('Retal Tran Line Item'!E:E,A830,'Retal Tran Line Item'!B:B)</f>
        <v>19</v>
      </c>
    </row>
    <row r="831" spans="1:8">
      <c r="A831" s="1">
        <v>100829</v>
      </c>
      <c r="B831" s="1">
        <v>912671</v>
      </c>
      <c r="C831" s="2">
        <v>41419</v>
      </c>
      <c r="D831" s="1" t="s">
        <v>1992</v>
      </c>
      <c r="E831" s="6">
        <v>1</v>
      </c>
      <c r="F831" s="6" t="str">
        <f t="shared" si="24"/>
        <v>May</v>
      </c>
      <c r="G831" s="6">
        <f t="shared" si="25"/>
        <v>21</v>
      </c>
      <c r="H831" s="1">
        <f>SUMIF('Retal Tran Line Item'!E:E,A831,'Retal Tran Line Item'!B:B)</f>
        <v>3</v>
      </c>
    </row>
    <row r="832" spans="1:8">
      <c r="A832" s="1">
        <v>100830</v>
      </c>
      <c r="B832" s="1">
        <v>513968</v>
      </c>
      <c r="C832" s="2">
        <v>41419</v>
      </c>
      <c r="D832" s="1" t="s">
        <v>1994</v>
      </c>
      <c r="E832" s="6">
        <v>1</v>
      </c>
      <c r="F832" s="6" t="str">
        <f t="shared" si="24"/>
        <v>May</v>
      </c>
      <c r="G832" s="6">
        <f t="shared" si="25"/>
        <v>21</v>
      </c>
      <c r="H832" s="1">
        <f>SUMIF('Retal Tran Line Item'!E:E,A832,'Retal Tran Line Item'!B:B)</f>
        <v>4</v>
      </c>
    </row>
    <row r="833" spans="1:8">
      <c r="A833" s="1">
        <v>100831</v>
      </c>
      <c r="B833" s="1">
        <v>162236</v>
      </c>
      <c r="C833" s="2">
        <v>41419</v>
      </c>
      <c r="D833" s="1" t="s">
        <v>1992</v>
      </c>
      <c r="E833" s="6">
        <v>2</v>
      </c>
      <c r="F833" s="6" t="str">
        <f t="shared" si="24"/>
        <v>May</v>
      </c>
      <c r="G833" s="6">
        <f t="shared" si="25"/>
        <v>21</v>
      </c>
      <c r="H833" s="1">
        <f>SUMIF('Retal Tran Line Item'!E:E,A833,'Retal Tran Line Item'!B:B)</f>
        <v>4</v>
      </c>
    </row>
    <row r="834" spans="1:8">
      <c r="A834" s="1">
        <v>100832</v>
      </c>
      <c r="B834" s="1">
        <v>170500</v>
      </c>
      <c r="C834" s="2">
        <v>41419</v>
      </c>
      <c r="D834" s="1" t="s">
        <v>1989</v>
      </c>
      <c r="E834" s="6">
        <v>2</v>
      </c>
      <c r="F834" s="6" t="str">
        <f t="shared" si="24"/>
        <v>May</v>
      </c>
      <c r="G834" s="6">
        <f t="shared" si="25"/>
        <v>21</v>
      </c>
      <c r="H834" s="1">
        <f>SUMIF('Retal Tran Line Item'!E:E,A834,'Retal Tran Line Item'!B:B)</f>
        <v>2</v>
      </c>
    </row>
    <row r="835" spans="1:8">
      <c r="A835" s="1">
        <v>100833</v>
      </c>
      <c r="B835" s="1">
        <v>478274</v>
      </c>
      <c r="C835" s="2">
        <v>41419</v>
      </c>
      <c r="D835" s="1" t="s">
        <v>1993</v>
      </c>
      <c r="E835" s="6">
        <v>1</v>
      </c>
      <c r="F835" s="6" t="str">
        <f t="shared" ref="F835:F898" si="26">TEXT(C835,"MMMM")</f>
        <v>May</v>
      </c>
      <c r="G835" s="6">
        <f t="shared" ref="G835:G898" si="27">WEEKNUM(C835)</f>
        <v>21</v>
      </c>
      <c r="H835" s="1">
        <f>SUMIF('Retal Tran Line Item'!E:E,A835,'Retal Tran Line Item'!B:B)</f>
        <v>10</v>
      </c>
    </row>
    <row r="836" spans="1:8">
      <c r="A836" s="1">
        <v>100834</v>
      </c>
      <c r="B836" s="1">
        <v>926144</v>
      </c>
      <c r="C836" s="2">
        <v>41419</v>
      </c>
      <c r="D836" s="1" t="s">
        <v>1993</v>
      </c>
      <c r="E836" s="6">
        <v>2</v>
      </c>
      <c r="F836" s="6" t="str">
        <f t="shared" si="26"/>
        <v>May</v>
      </c>
      <c r="G836" s="6">
        <f t="shared" si="27"/>
        <v>21</v>
      </c>
      <c r="H836" s="1">
        <f>SUMIF('Retal Tran Line Item'!E:E,A836,'Retal Tran Line Item'!B:B)</f>
        <v>12</v>
      </c>
    </row>
    <row r="837" spans="1:8">
      <c r="A837" s="1">
        <v>100835</v>
      </c>
      <c r="B837" s="1">
        <v>672834</v>
      </c>
      <c r="C837" s="2">
        <v>41419</v>
      </c>
      <c r="D837" s="1" t="s">
        <v>1993</v>
      </c>
      <c r="E837" s="6">
        <v>1</v>
      </c>
      <c r="F837" s="6" t="str">
        <f t="shared" si="26"/>
        <v>May</v>
      </c>
      <c r="G837" s="6">
        <f t="shared" si="27"/>
        <v>21</v>
      </c>
      <c r="H837" s="1">
        <f>SUMIF('Retal Tran Line Item'!E:E,A837,'Retal Tran Line Item'!B:B)</f>
        <v>20</v>
      </c>
    </row>
    <row r="838" spans="1:8">
      <c r="A838" s="1">
        <v>100836</v>
      </c>
      <c r="B838" s="1">
        <v>346006</v>
      </c>
      <c r="C838" s="2">
        <v>41419</v>
      </c>
      <c r="D838" s="1" t="s">
        <v>1989</v>
      </c>
      <c r="E838" s="6">
        <v>2</v>
      </c>
      <c r="F838" s="6" t="str">
        <f t="shared" si="26"/>
        <v>May</v>
      </c>
      <c r="G838" s="6">
        <f t="shared" si="27"/>
        <v>21</v>
      </c>
      <c r="H838" s="1">
        <f>SUMIF('Retal Tran Line Item'!E:E,A838,'Retal Tran Line Item'!B:B)</f>
        <v>14</v>
      </c>
    </row>
    <row r="839" spans="1:8">
      <c r="A839" s="1">
        <v>100837</v>
      </c>
      <c r="B839" s="1">
        <v>908768</v>
      </c>
      <c r="C839" s="2">
        <v>41420</v>
      </c>
      <c r="D839" s="1" t="s">
        <v>1992</v>
      </c>
      <c r="E839" s="6">
        <v>2</v>
      </c>
      <c r="F839" s="6" t="str">
        <f t="shared" si="26"/>
        <v>May</v>
      </c>
      <c r="G839" s="6">
        <f t="shared" si="27"/>
        <v>22</v>
      </c>
      <c r="H839" s="1">
        <f>SUMIF('Retal Tran Line Item'!E:E,A839,'Retal Tran Line Item'!B:B)</f>
        <v>5</v>
      </c>
    </row>
    <row r="840" spans="1:8">
      <c r="A840" s="1">
        <v>100838</v>
      </c>
      <c r="B840" s="1">
        <v>781523</v>
      </c>
      <c r="C840" s="2">
        <v>41420</v>
      </c>
      <c r="D840" s="1" t="s">
        <v>1989</v>
      </c>
      <c r="E840" s="6">
        <v>1</v>
      </c>
      <c r="F840" s="6" t="str">
        <f t="shared" si="26"/>
        <v>May</v>
      </c>
      <c r="G840" s="6">
        <f t="shared" si="27"/>
        <v>22</v>
      </c>
      <c r="H840" s="1">
        <f>SUMIF('Retal Tran Line Item'!E:E,A840,'Retal Tran Line Item'!B:B)</f>
        <v>7</v>
      </c>
    </row>
    <row r="841" spans="1:8">
      <c r="A841" s="1">
        <v>100839</v>
      </c>
      <c r="B841" s="1">
        <v>464782</v>
      </c>
      <c r="C841" s="2">
        <v>41420</v>
      </c>
      <c r="D841" s="1" t="s">
        <v>1993</v>
      </c>
      <c r="E841" s="6">
        <v>1</v>
      </c>
      <c r="F841" s="6" t="str">
        <f t="shared" si="26"/>
        <v>May</v>
      </c>
      <c r="G841" s="6">
        <f t="shared" si="27"/>
        <v>22</v>
      </c>
      <c r="H841" s="1">
        <f>SUMIF('Retal Tran Line Item'!E:E,A841,'Retal Tran Line Item'!B:B)</f>
        <v>16</v>
      </c>
    </row>
    <row r="842" spans="1:8">
      <c r="A842" s="1">
        <v>100840</v>
      </c>
      <c r="B842" s="1">
        <v>329994</v>
      </c>
      <c r="C842" s="2">
        <v>41420</v>
      </c>
      <c r="D842" s="1" t="s">
        <v>1994</v>
      </c>
      <c r="E842" s="6">
        <v>2</v>
      </c>
      <c r="F842" s="6" t="str">
        <f t="shared" si="26"/>
        <v>May</v>
      </c>
      <c r="G842" s="6">
        <f t="shared" si="27"/>
        <v>22</v>
      </c>
      <c r="H842" s="1">
        <f>SUMIF('Retal Tran Line Item'!E:E,A842,'Retal Tran Line Item'!B:B)</f>
        <v>9</v>
      </c>
    </row>
    <row r="843" spans="1:8">
      <c r="A843" s="1">
        <v>100841</v>
      </c>
      <c r="B843" s="1">
        <v>116934</v>
      </c>
      <c r="C843" s="2">
        <v>41420</v>
      </c>
      <c r="D843" s="1" t="s">
        <v>1992</v>
      </c>
      <c r="E843" s="6">
        <v>1</v>
      </c>
      <c r="F843" s="6" t="str">
        <f t="shared" si="26"/>
        <v>May</v>
      </c>
      <c r="G843" s="6">
        <f t="shared" si="27"/>
        <v>22</v>
      </c>
      <c r="H843" s="1">
        <f>SUMIF('Retal Tran Line Item'!E:E,A843,'Retal Tran Line Item'!B:B)</f>
        <v>11</v>
      </c>
    </row>
    <row r="844" spans="1:8">
      <c r="A844" s="1">
        <v>100842</v>
      </c>
      <c r="B844" s="1">
        <v>170500</v>
      </c>
      <c r="C844" s="2">
        <v>41420</v>
      </c>
      <c r="D844" s="1" t="s">
        <v>1989</v>
      </c>
      <c r="E844" s="6">
        <v>1</v>
      </c>
      <c r="F844" s="6" t="str">
        <f t="shared" si="26"/>
        <v>May</v>
      </c>
      <c r="G844" s="6">
        <f t="shared" si="27"/>
        <v>22</v>
      </c>
      <c r="H844" s="1">
        <f>SUMIF('Retal Tran Line Item'!E:E,A844,'Retal Tran Line Item'!B:B)</f>
        <v>3</v>
      </c>
    </row>
    <row r="845" spans="1:8">
      <c r="A845" s="1">
        <v>100843</v>
      </c>
      <c r="B845" s="1">
        <v>478274</v>
      </c>
      <c r="C845" s="2">
        <v>41420</v>
      </c>
      <c r="D845" s="1" t="s">
        <v>1993</v>
      </c>
      <c r="E845" s="6">
        <v>1</v>
      </c>
      <c r="F845" s="6" t="str">
        <f t="shared" si="26"/>
        <v>May</v>
      </c>
      <c r="G845" s="6">
        <f t="shared" si="27"/>
        <v>22</v>
      </c>
      <c r="H845" s="1">
        <f>SUMIF('Retal Tran Line Item'!E:E,A845,'Retal Tran Line Item'!B:B)</f>
        <v>26</v>
      </c>
    </row>
    <row r="846" spans="1:8">
      <c r="A846" s="1">
        <v>100844</v>
      </c>
      <c r="B846" s="1">
        <v>178806</v>
      </c>
      <c r="C846" s="2">
        <v>41421</v>
      </c>
      <c r="D846" s="1" t="s">
        <v>1992</v>
      </c>
      <c r="E846" s="6">
        <v>2</v>
      </c>
      <c r="F846" s="6" t="str">
        <f t="shared" si="26"/>
        <v>May</v>
      </c>
      <c r="G846" s="6">
        <f t="shared" si="27"/>
        <v>22</v>
      </c>
      <c r="H846" s="1">
        <f>SUMIF('Retal Tran Line Item'!E:E,A846,'Retal Tran Line Item'!B:B)</f>
        <v>14</v>
      </c>
    </row>
    <row r="847" spans="1:8">
      <c r="A847" s="1">
        <v>100845</v>
      </c>
      <c r="B847" s="1">
        <v>253106</v>
      </c>
      <c r="C847" s="2">
        <v>41421</v>
      </c>
      <c r="D847" s="1" t="s">
        <v>1989</v>
      </c>
      <c r="E847" s="6">
        <v>1</v>
      </c>
      <c r="F847" s="6" t="str">
        <f t="shared" si="26"/>
        <v>May</v>
      </c>
      <c r="G847" s="6">
        <f t="shared" si="27"/>
        <v>22</v>
      </c>
      <c r="H847" s="1">
        <f>SUMIF('Retal Tran Line Item'!E:E,A847,'Retal Tran Line Item'!B:B)</f>
        <v>5</v>
      </c>
    </row>
    <row r="848" spans="1:8">
      <c r="A848" s="1">
        <v>100846</v>
      </c>
      <c r="B848" s="1">
        <v>676018</v>
      </c>
      <c r="C848" s="2">
        <v>41421</v>
      </c>
      <c r="D848" s="1" t="s">
        <v>1994</v>
      </c>
      <c r="E848" s="6">
        <v>2</v>
      </c>
      <c r="F848" s="6" t="str">
        <f t="shared" si="26"/>
        <v>May</v>
      </c>
      <c r="G848" s="6">
        <f t="shared" si="27"/>
        <v>22</v>
      </c>
      <c r="H848" s="1">
        <f>SUMIF('Retal Tran Line Item'!E:E,A848,'Retal Tran Line Item'!B:B)</f>
        <v>14</v>
      </c>
    </row>
    <row r="849" spans="1:8">
      <c r="A849" s="1">
        <v>100847</v>
      </c>
      <c r="B849" s="1">
        <v>199895</v>
      </c>
      <c r="C849" s="2">
        <v>41421</v>
      </c>
      <c r="D849" s="1" t="s">
        <v>1989</v>
      </c>
      <c r="E849" s="6">
        <v>2</v>
      </c>
      <c r="F849" s="6" t="str">
        <f t="shared" si="26"/>
        <v>May</v>
      </c>
      <c r="G849" s="6">
        <f t="shared" si="27"/>
        <v>22</v>
      </c>
      <c r="H849" s="1">
        <f>SUMIF('Retal Tran Line Item'!E:E,A849,'Retal Tran Line Item'!B:B)</f>
        <v>12</v>
      </c>
    </row>
    <row r="850" spans="1:8">
      <c r="A850" s="1">
        <v>100848</v>
      </c>
      <c r="B850" s="1">
        <v>932618</v>
      </c>
      <c r="C850" s="2">
        <v>41422</v>
      </c>
      <c r="D850" s="1" t="s">
        <v>1993</v>
      </c>
      <c r="E850" s="6">
        <v>1</v>
      </c>
      <c r="F850" s="6" t="str">
        <f t="shared" si="26"/>
        <v>May</v>
      </c>
      <c r="G850" s="6">
        <f t="shared" si="27"/>
        <v>22</v>
      </c>
      <c r="H850" s="1">
        <f>SUMIF('Retal Tran Line Item'!E:E,A850,'Retal Tran Line Item'!B:B)</f>
        <v>12</v>
      </c>
    </row>
    <row r="851" spans="1:8">
      <c r="A851" s="1">
        <v>100849</v>
      </c>
      <c r="B851" s="1">
        <v>932618</v>
      </c>
      <c r="C851" s="2">
        <v>41422</v>
      </c>
      <c r="D851" s="1" t="s">
        <v>1993</v>
      </c>
      <c r="E851" s="6">
        <v>2</v>
      </c>
      <c r="F851" s="6" t="str">
        <f t="shared" si="26"/>
        <v>May</v>
      </c>
      <c r="G851" s="6">
        <f t="shared" si="27"/>
        <v>22</v>
      </c>
      <c r="H851" s="1">
        <f>SUMIF('Retal Tran Line Item'!E:E,A851,'Retal Tran Line Item'!B:B)</f>
        <v>3</v>
      </c>
    </row>
    <row r="852" spans="1:8">
      <c r="A852" s="1">
        <v>100850</v>
      </c>
      <c r="B852" s="1">
        <v>785444</v>
      </c>
      <c r="C852" s="2">
        <v>41422</v>
      </c>
      <c r="D852" s="1" t="s">
        <v>1992</v>
      </c>
      <c r="E852" s="6">
        <v>1</v>
      </c>
      <c r="F852" s="6" t="str">
        <f t="shared" si="26"/>
        <v>May</v>
      </c>
      <c r="G852" s="6">
        <f t="shared" si="27"/>
        <v>22</v>
      </c>
      <c r="H852" s="1">
        <f>SUMIF('Retal Tran Line Item'!E:E,A852,'Retal Tran Line Item'!B:B)</f>
        <v>6</v>
      </c>
    </row>
    <row r="853" spans="1:8">
      <c r="A853" s="1">
        <v>100851</v>
      </c>
      <c r="B853" s="1">
        <v>616028</v>
      </c>
      <c r="C853" s="2">
        <v>41422</v>
      </c>
      <c r="D853" s="1" t="s">
        <v>1992</v>
      </c>
      <c r="E853" s="6">
        <v>2</v>
      </c>
      <c r="F853" s="6" t="str">
        <f t="shared" si="26"/>
        <v>May</v>
      </c>
      <c r="G853" s="6">
        <f t="shared" si="27"/>
        <v>22</v>
      </c>
      <c r="H853" s="1">
        <f>SUMIF('Retal Tran Line Item'!E:E,A853,'Retal Tran Line Item'!B:B)</f>
        <v>14</v>
      </c>
    </row>
    <row r="854" spans="1:8">
      <c r="A854" s="1">
        <v>100852</v>
      </c>
      <c r="B854" s="1">
        <v>694281</v>
      </c>
      <c r="C854" s="2">
        <v>41422</v>
      </c>
      <c r="D854" s="1" t="s">
        <v>1989</v>
      </c>
      <c r="E854" s="6">
        <v>2</v>
      </c>
      <c r="F854" s="6" t="str">
        <f t="shared" si="26"/>
        <v>May</v>
      </c>
      <c r="G854" s="6">
        <f t="shared" si="27"/>
        <v>22</v>
      </c>
      <c r="H854" s="1">
        <f>SUMIF('Retal Tran Line Item'!E:E,A854,'Retal Tran Line Item'!B:B)</f>
        <v>6</v>
      </c>
    </row>
    <row r="855" spans="1:8">
      <c r="A855" s="1">
        <v>100853</v>
      </c>
      <c r="B855" s="1">
        <v>649551</v>
      </c>
      <c r="C855" s="2">
        <v>41422</v>
      </c>
      <c r="D855" s="1" t="s">
        <v>1993</v>
      </c>
      <c r="E855" s="6">
        <v>1</v>
      </c>
      <c r="F855" s="6" t="str">
        <f t="shared" si="26"/>
        <v>May</v>
      </c>
      <c r="G855" s="6">
        <f t="shared" si="27"/>
        <v>22</v>
      </c>
      <c r="H855" s="1">
        <f>SUMIF('Retal Tran Line Item'!E:E,A855,'Retal Tran Line Item'!B:B)</f>
        <v>20</v>
      </c>
    </row>
    <row r="856" spans="1:8">
      <c r="A856" s="1">
        <v>100854</v>
      </c>
      <c r="B856" s="1">
        <v>200272</v>
      </c>
      <c r="C856" s="2">
        <v>41422</v>
      </c>
      <c r="D856" s="1" t="s">
        <v>1992</v>
      </c>
      <c r="E856" s="6">
        <v>1</v>
      </c>
      <c r="F856" s="6" t="str">
        <f t="shared" si="26"/>
        <v>May</v>
      </c>
      <c r="G856" s="6">
        <f t="shared" si="27"/>
        <v>22</v>
      </c>
      <c r="H856" s="1">
        <f>SUMIF('Retal Tran Line Item'!E:E,A856,'Retal Tran Line Item'!B:B)</f>
        <v>20</v>
      </c>
    </row>
    <row r="857" spans="1:8">
      <c r="A857" s="1">
        <v>100855</v>
      </c>
      <c r="B857" s="1">
        <v>938393</v>
      </c>
      <c r="C857" s="2">
        <v>41422</v>
      </c>
      <c r="D857" s="1" t="s">
        <v>1993</v>
      </c>
      <c r="E857" s="6">
        <v>2</v>
      </c>
      <c r="F857" s="6" t="str">
        <f t="shared" si="26"/>
        <v>May</v>
      </c>
      <c r="G857" s="6">
        <f t="shared" si="27"/>
        <v>22</v>
      </c>
      <c r="H857" s="1">
        <f>SUMIF('Retal Tran Line Item'!E:E,A857,'Retal Tran Line Item'!B:B)</f>
        <v>6</v>
      </c>
    </row>
    <row r="858" spans="1:8">
      <c r="A858" s="1">
        <v>100856</v>
      </c>
      <c r="B858" s="1">
        <v>825249</v>
      </c>
      <c r="C858" s="2">
        <v>41422</v>
      </c>
      <c r="D858" s="1" t="s">
        <v>1993</v>
      </c>
      <c r="E858" s="6">
        <v>1</v>
      </c>
      <c r="F858" s="6" t="str">
        <f t="shared" si="26"/>
        <v>May</v>
      </c>
      <c r="G858" s="6">
        <f t="shared" si="27"/>
        <v>22</v>
      </c>
      <c r="H858" s="1">
        <f>SUMIF('Retal Tran Line Item'!E:E,A858,'Retal Tran Line Item'!B:B)</f>
        <v>10</v>
      </c>
    </row>
    <row r="859" spans="1:8">
      <c r="A859" s="1">
        <v>100857</v>
      </c>
      <c r="B859" s="1">
        <v>742620</v>
      </c>
      <c r="C859" s="2">
        <v>41423</v>
      </c>
      <c r="D859" s="1" t="s">
        <v>1992</v>
      </c>
      <c r="E859" s="6">
        <v>1</v>
      </c>
      <c r="F859" s="6" t="str">
        <f t="shared" si="26"/>
        <v>May</v>
      </c>
      <c r="G859" s="6">
        <f t="shared" si="27"/>
        <v>22</v>
      </c>
      <c r="H859" s="1">
        <f>SUMIF('Retal Tran Line Item'!E:E,A859,'Retal Tran Line Item'!B:B)</f>
        <v>20</v>
      </c>
    </row>
    <row r="860" spans="1:8">
      <c r="A860" s="1">
        <v>100858</v>
      </c>
      <c r="B860" s="1">
        <v>414509</v>
      </c>
      <c r="C860" s="2">
        <v>41423</v>
      </c>
      <c r="D860" s="1" t="s">
        <v>1989</v>
      </c>
      <c r="E860" s="6">
        <v>1</v>
      </c>
      <c r="F860" s="6" t="str">
        <f t="shared" si="26"/>
        <v>May</v>
      </c>
      <c r="G860" s="6">
        <f t="shared" si="27"/>
        <v>22</v>
      </c>
      <c r="H860" s="1">
        <f>SUMIF('Retal Tran Line Item'!E:E,A860,'Retal Tran Line Item'!B:B)</f>
        <v>8</v>
      </c>
    </row>
    <row r="861" spans="1:8">
      <c r="A861" s="1">
        <v>100859</v>
      </c>
      <c r="B861" s="1">
        <v>242720</v>
      </c>
      <c r="C861" s="2">
        <v>41423</v>
      </c>
      <c r="D861" s="1" t="s">
        <v>1989</v>
      </c>
      <c r="E861" s="6">
        <v>2</v>
      </c>
      <c r="F861" s="6" t="str">
        <f t="shared" si="26"/>
        <v>May</v>
      </c>
      <c r="G861" s="6">
        <f t="shared" si="27"/>
        <v>22</v>
      </c>
      <c r="H861" s="1">
        <f>SUMIF('Retal Tran Line Item'!E:E,A861,'Retal Tran Line Item'!B:B)</f>
        <v>9</v>
      </c>
    </row>
    <row r="862" spans="1:8">
      <c r="A862" s="1">
        <v>100860</v>
      </c>
      <c r="B862" s="1">
        <v>256181</v>
      </c>
      <c r="C862" s="2">
        <v>41424</v>
      </c>
      <c r="D862" s="1" t="s">
        <v>1993</v>
      </c>
      <c r="E862" s="6">
        <v>1</v>
      </c>
      <c r="F862" s="6" t="str">
        <f t="shared" si="26"/>
        <v>May</v>
      </c>
      <c r="G862" s="6">
        <f t="shared" si="27"/>
        <v>22</v>
      </c>
      <c r="H862" s="1">
        <f>SUMIF('Retal Tran Line Item'!E:E,A862,'Retal Tran Line Item'!B:B)</f>
        <v>7</v>
      </c>
    </row>
    <row r="863" spans="1:8">
      <c r="A863" s="1">
        <v>100861</v>
      </c>
      <c r="B863" s="1">
        <v>611848</v>
      </c>
      <c r="C863" s="2">
        <v>41424</v>
      </c>
      <c r="D863" s="1" t="s">
        <v>1992</v>
      </c>
      <c r="E863" s="6">
        <v>1</v>
      </c>
      <c r="F863" s="6" t="str">
        <f t="shared" si="26"/>
        <v>May</v>
      </c>
      <c r="G863" s="6">
        <f t="shared" si="27"/>
        <v>22</v>
      </c>
      <c r="H863" s="1">
        <f>SUMIF('Retal Tran Line Item'!E:E,A863,'Retal Tran Line Item'!B:B)</f>
        <v>20</v>
      </c>
    </row>
    <row r="864" spans="1:8">
      <c r="A864" s="1">
        <v>100862</v>
      </c>
      <c r="B864" s="1">
        <v>441628</v>
      </c>
      <c r="C864" s="2">
        <v>41424</v>
      </c>
      <c r="D864" s="1" t="s">
        <v>1989</v>
      </c>
      <c r="E864" s="6">
        <v>2</v>
      </c>
      <c r="F864" s="6" t="str">
        <f t="shared" si="26"/>
        <v>May</v>
      </c>
      <c r="G864" s="6">
        <f t="shared" si="27"/>
        <v>22</v>
      </c>
      <c r="H864" s="1">
        <f>SUMIF('Retal Tran Line Item'!E:E,A864,'Retal Tran Line Item'!B:B)</f>
        <v>1</v>
      </c>
    </row>
    <row r="865" spans="1:8">
      <c r="A865" s="1">
        <v>100863</v>
      </c>
      <c r="B865" s="1">
        <v>818287</v>
      </c>
      <c r="C865" s="2">
        <v>41424</v>
      </c>
      <c r="D865" s="1" t="s">
        <v>1994</v>
      </c>
      <c r="E865" s="6">
        <v>1</v>
      </c>
      <c r="F865" s="6" t="str">
        <f t="shared" si="26"/>
        <v>May</v>
      </c>
      <c r="G865" s="6">
        <f t="shared" si="27"/>
        <v>22</v>
      </c>
      <c r="H865" s="1">
        <f>SUMIF('Retal Tran Line Item'!E:E,A865,'Retal Tran Line Item'!B:B)</f>
        <v>8</v>
      </c>
    </row>
    <row r="866" spans="1:8">
      <c r="A866" s="1">
        <v>100864</v>
      </c>
      <c r="B866" s="1">
        <v>912671</v>
      </c>
      <c r="C866" s="2">
        <v>41424</v>
      </c>
      <c r="D866" s="1" t="s">
        <v>1992</v>
      </c>
      <c r="E866" s="6">
        <v>1</v>
      </c>
      <c r="F866" s="6" t="str">
        <f t="shared" si="26"/>
        <v>May</v>
      </c>
      <c r="G866" s="6">
        <f t="shared" si="27"/>
        <v>22</v>
      </c>
      <c r="H866" s="1">
        <f>SUMIF('Retal Tran Line Item'!E:E,A866,'Retal Tran Line Item'!B:B)</f>
        <v>10</v>
      </c>
    </row>
    <row r="867" spans="1:8">
      <c r="A867" s="1">
        <v>100865</v>
      </c>
      <c r="B867" s="1">
        <v>253106</v>
      </c>
      <c r="C867" s="2">
        <v>41424</v>
      </c>
      <c r="D867" s="1" t="s">
        <v>1989</v>
      </c>
      <c r="E867" s="6">
        <v>1</v>
      </c>
      <c r="F867" s="6" t="str">
        <f t="shared" si="26"/>
        <v>May</v>
      </c>
      <c r="G867" s="6">
        <f t="shared" si="27"/>
        <v>22</v>
      </c>
      <c r="H867" s="1">
        <f>SUMIF('Retal Tran Line Item'!E:E,A867,'Retal Tran Line Item'!B:B)</f>
        <v>3</v>
      </c>
    </row>
    <row r="868" spans="1:8">
      <c r="A868" s="1">
        <v>100866</v>
      </c>
      <c r="B868" s="1">
        <v>276549</v>
      </c>
      <c r="C868" s="2">
        <v>41424</v>
      </c>
      <c r="D868" s="1" t="s">
        <v>1992</v>
      </c>
      <c r="E868" s="6">
        <v>1</v>
      </c>
      <c r="F868" s="6" t="str">
        <f t="shared" si="26"/>
        <v>May</v>
      </c>
      <c r="G868" s="6">
        <f t="shared" si="27"/>
        <v>22</v>
      </c>
      <c r="H868" s="1">
        <f>SUMIF('Retal Tran Line Item'!E:E,A868,'Retal Tran Line Item'!B:B)</f>
        <v>13</v>
      </c>
    </row>
    <row r="869" spans="1:8">
      <c r="A869" s="1">
        <v>100867</v>
      </c>
      <c r="B869" s="1">
        <v>302774</v>
      </c>
      <c r="C869" s="2">
        <v>41424</v>
      </c>
      <c r="D869" s="1" t="s">
        <v>1992</v>
      </c>
      <c r="E869" s="6">
        <v>1</v>
      </c>
      <c r="F869" s="6" t="str">
        <f t="shared" si="26"/>
        <v>May</v>
      </c>
      <c r="G869" s="6">
        <f t="shared" si="27"/>
        <v>22</v>
      </c>
      <c r="H869" s="1">
        <f>SUMIF('Retal Tran Line Item'!E:E,A869,'Retal Tran Line Item'!B:B)</f>
        <v>2</v>
      </c>
    </row>
    <row r="870" spans="1:8">
      <c r="A870" s="1">
        <v>100868</v>
      </c>
      <c r="B870" s="1">
        <v>189441</v>
      </c>
      <c r="C870" s="2">
        <v>41424</v>
      </c>
      <c r="D870" s="1" t="s">
        <v>1989</v>
      </c>
      <c r="E870" s="6">
        <v>2</v>
      </c>
      <c r="F870" s="6" t="str">
        <f t="shared" si="26"/>
        <v>May</v>
      </c>
      <c r="G870" s="6">
        <f t="shared" si="27"/>
        <v>22</v>
      </c>
      <c r="H870" s="1">
        <f>SUMIF('Retal Tran Line Item'!E:E,A870,'Retal Tran Line Item'!B:B)</f>
        <v>4</v>
      </c>
    </row>
    <row r="871" spans="1:8">
      <c r="A871" s="1">
        <v>100869</v>
      </c>
      <c r="B871" s="1">
        <v>785444</v>
      </c>
      <c r="C871" s="2">
        <v>41424</v>
      </c>
      <c r="D871" s="1" t="s">
        <v>1992</v>
      </c>
      <c r="E871" s="6">
        <v>1</v>
      </c>
      <c r="F871" s="6" t="str">
        <f t="shared" si="26"/>
        <v>May</v>
      </c>
      <c r="G871" s="6">
        <f t="shared" si="27"/>
        <v>22</v>
      </c>
      <c r="H871" s="1">
        <f>SUMIF('Retal Tran Line Item'!E:E,A871,'Retal Tran Line Item'!B:B)</f>
        <v>18</v>
      </c>
    </row>
    <row r="872" spans="1:8">
      <c r="A872" s="1">
        <v>100870</v>
      </c>
      <c r="B872" s="1">
        <v>108708</v>
      </c>
      <c r="C872" s="2">
        <v>41425</v>
      </c>
      <c r="D872" s="1" t="s">
        <v>1992</v>
      </c>
      <c r="E872" s="6">
        <v>1</v>
      </c>
      <c r="F872" s="6" t="str">
        <f t="shared" si="26"/>
        <v>May</v>
      </c>
      <c r="G872" s="6">
        <f t="shared" si="27"/>
        <v>22</v>
      </c>
      <c r="H872" s="1">
        <f>SUMIF('Retal Tran Line Item'!E:E,A872,'Retal Tran Line Item'!B:B)</f>
        <v>3</v>
      </c>
    </row>
    <row r="873" spans="1:8">
      <c r="A873" s="1">
        <v>100871</v>
      </c>
      <c r="B873" s="1">
        <v>534481</v>
      </c>
      <c r="C873" s="2">
        <v>41425</v>
      </c>
      <c r="D873" s="1" t="s">
        <v>1993</v>
      </c>
      <c r="E873" s="6">
        <v>1</v>
      </c>
      <c r="F873" s="6" t="str">
        <f t="shared" si="26"/>
        <v>May</v>
      </c>
      <c r="G873" s="6">
        <f t="shared" si="27"/>
        <v>22</v>
      </c>
      <c r="H873" s="1">
        <f>SUMIF('Retal Tran Line Item'!E:E,A873,'Retal Tran Line Item'!B:B)</f>
        <v>4</v>
      </c>
    </row>
    <row r="874" spans="1:8">
      <c r="A874" s="1">
        <v>100872</v>
      </c>
      <c r="B874" s="1">
        <v>808421</v>
      </c>
      <c r="C874" s="2">
        <v>41425</v>
      </c>
      <c r="D874" s="1" t="s">
        <v>1989</v>
      </c>
      <c r="E874" s="6">
        <v>1</v>
      </c>
      <c r="F874" s="6" t="str">
        <f t="shared" si="26"/>
        <v>May</v>
      </c>
      <c r="G874" s="6">
        <f t="shared" si="27"/>
        <v>22</v>
      </c>
      <c r="H874" s="1">
        <f>SUMIF('Retal Tran Line Item'!E:E,A874,'Retal Tran Line Item'!B:B)</f>
        <v>9</v>
      </c>
    </row>
    <row r="875" spans="1:8">
      <c r="A875" s="1">
        <v>100873</v>
      </c>
      <c r="B875" s="1">
        <v>448739</v>
      </c>
      <c r="C875" s="2">
        <v>41425</v>
      </c>
      <c r="D875" s="1" t="s">
        <v>1989</v>
      </c>
      <c r="E875" s="6">
        <v>2</v>
      </c>
      <c r="F875" s="6" t="str">
        <f t="shared" si="26"/>
        <v>May</v>
      </c>
      <c r="G875" s="6">
        <f t="shared" si="27"/>
        <v>22</v>
      </c>
      <c r="H875" s="1">
        <f>SUMIF('Retal Tran Line Item'!E:E,A875,'Retal Tran Line Item'!B:B)</f>
        <v>15</v>
      </c>
    </row>
    <row r="876" spans="1:8">
      <c r="A876" s="1">
        <v>100874</v>
      </c>
      <c r="B876" s="1">
        <v>719921</v>
      </c>
      <c r="C876" s="2">
        <v>41425</v>
      </c>
      <c r="D876" s="1" t="s">
        <v>1993</v>
      </c>
      <c r="E876" s="6">
        <v>1</v>
      </c>
      <c r="F876" s="6" t="str">
        <f t="shared" si="26"/>
        <v>May</v>
      </c>
      <c r="G876" s="6">
        <f t="shared" si="27"/>
        <v>22</v>
      </c>
      <c r="H876" s="1">
        <f>SUMIF('Retal Tran Line Item'!E:E,A876,'Retal Tran Line Item'!B:B)</f>
        <v>25</v>
      </c>
    </row>
    <row r="877" spans="1:8">
      <c r="A877" s="1">
        <v>100875</v>
      </c>
      <c r="B877" s="1">
        <v>632495</v>
      </c>
      <c r="C877" s="2">
        <v>41425</v>
      </c>
      <c r="D877" s="1" t="s">
        <v>1993</v>
      </c>
      <c r="E877" s="6">
        <v>1</v>
      </c>
      <c r="F877" s="6" t="str">
        <f t="shared" si="26"/>
        <v>May</v>
      </c>
      <c r="G877" s="6">
        <f t="shared" si="27"/>
        <v>22</v>
      </c>
      <c r="H877" s="1">
        <f>SUMIF('Retal Tran Line Item'!E:E,A877,'Retal Tran Line Item'!B:B)</f>
        <v>12</v>
      </c>
    </row>
    <row r="878" spans="1:8">
      <c r="A878" s="1">
        <v>100876</v>
      </c>
      <c r="B878" s="1">
        <v>783369</v>
      </c>
      <c r="C878" s="2">
        <v>41425</v>
      </c>
      <c r="D878" s="1" t="s">
        <v>1994</v>
      </c>
      <c r="E878" s="6">
        <v>2</v>
      </c>
      <c r="F878" s="6" t="str">
        <f t="shared" si="26"/>
        <v>May</v>
      </c>
      <c r="G878" s="6">
        <f t="shared" si="27"/>
        <v>22</v>
      </c>
      <c r="H878" s="1">
        <f>SUMIF('Retal Tran Line Item'!E:E,A878,'Retal Tran Line Item'!B:B)</f>
        <v>9</v>
      </c>
    </row>
    <row r="879" spans="1:8">
      <c r="A879" s="1">
        <v>100877</v>
      </c>
      <c r="B879" s="1">
        <v>756928</v>
      </c>
      <c r="C879" s="2">
        <v>41425</v>
      </c>
      <c r="D879" s="1" t="s">
        <v>1993</v>
      </c>
      <c r="E879" s="6">
        <v>2</v>
      </c>
      <c r="F879" s="6" t="str">
        <f t="shared" si="26"/>
        <v>May</v>
      </c>
      <c r="G879" s="6">
        <f t="shared" si="27"/>
        <v>22</v>
      </c>
      <c r="H879" s="1">
        <f>SUMIF('Retal Tran Line Item'!E:E,A879,'Retal Tran Line Item'!B:B)</f>
        <v>7</v>
      </c>
    </row>
    <row r="880" spans="1:8">
      <c r="A880" s="1">
        <v>100878</v>
      </c>
      <c r="B880" s="1">
        <v>417823</v>
      </c>
      <c r="C880" s="2">
        <v>41426</v>
      </c>
      <c r="D880" s="1" t="s">
        <v>1993</v>
      </c>
      <c r="E880" s="6">
        <v>2</v>
      </c>
      <c r="F880" s="6" t="str">
        <f t="shared" si="26"/>
        <v>June</v>
      </c>
      <c r="G880" s="6">
        <f t="shared" si="27"/>
        <v>22</v>
      </c>
      <c r="H880" s="1">
        <f>SUMIF('Retal Tran Line Item'!E:E,A880,'Retal Tran Line Item'!B:B)</f>
        <v>10</v>
      </c>
    </row>
    <row r="881" spans="1:8">
      <c r="A881" s="1">
        <v>100879</v>
      </c>
      <c r="B881" s="1">
        <v>646953</v>
      </c>
      <c r="C881" s="2">
        <v>41426</v>
      </c>
      <c r="D881" s="1" t="s">
        <v>1992</v>
      </c>
      <c r="E881" s="6">
        <v>1</v>
      </c>
      <c r="F881" s="6" t="str">
        <f t="shared" si="26"/>
        <v>June</v>
      </c>
      <c r="G881" s="6">
        <f t="shared" si="27"/>
        <v>22</v>
      </c>
      <c r="H881" s="1">
        <f>SUMIF('Retal Tran Line Item'!E:E,A881,'Retal Tran Line Item'!B:B)</f>
        <v>2</v>
      </c>
    </row>
    <row r="882" spans="1:8">
      <c r="A882" s="1">
        <v>100880</v>
      </c>
      <c r="B882" s="1">
        <v>158310</v>
      </c>
      <c r="C882" s="2">
        <v>41426</v>
      </c>
      <c r="D882" s="1" t="s">
        <v>1993</v>
      </c>
      <c r="E882" s="6">
        <v>2</v>
      </c>
      <c r="F882" s="6" t="str">
        <f t="shared" si="26"/>
        <v>June</v>
      </c>
      <c r="G882" s="6">
        <f t="shared" si="27"/>
        <v>22</v>
      </c>
      <c r="H882" s="1">
        <f>SUMIF('Retal Tran Line Item'!E:E,A882,'Retal Tran Line Item'!B:B)</f>
        <v>10</v>
      </c>
    </row>
    <row r="883" spans="1:8">
      <c r="A883" s="1">
        <v>100881</v>
      </c>
      <c r="B883" s="1">
        <v>301793</v>
      </c>
      <c r="C883" s="2">
        <v>41426</v>
      </c>
      <c r="D883" s="1" t="s">
        <v>1989</v>
      </c>
      <c r="E883" s="6">
        <v>1</v>
      </c>
      <c r="F883" s="6" t="str">
        <f t="shared" si="26"/>
        <v>June</v>
      </c>
      <c r="G883" s="6">
        <f t="shared" si="27"/>
        <v>22</v>
      </c>
      <c r="H883" s="1">
        <f>SUMIF('Retal Tran Line Item'!E:E,A883,'Retal Tran Line Item'!B:B)</f>
        <v>2</v>
      </c>
    </row>
    <row r="884" spans="1:8">
      <c r="A884" s="1">
        <v>100882</v>
      </c>
      <c r="B884" s="1">
        <v>611848</v>
      </c>
      <c r="C884" s="2">
        <v>41426</v>
      </c>
      <c r="D884" s="1" t="s">
        <v>1992</v>
      </c>
      <c r="E884" s="6">
        <v>1</v>
      </c>
      <c r="F884" s="6" t="str">
        <f t="shared" si="26"/>
        <v>June</v>
      </c>
      <c r="G884" s="6">
        <f t="shared" si="27"/>
        <v>22</v>
      </c>
      <c r="H884" s="1">
        <f>SUMIF('Retal Tran Line Item'!E:E,A884,'Retal Tran Line Item'!B:B)</f>
        <v>4</v>
      </c>
    </row>
    <row r="885" spans="1:8">
      <c r="A885" s="1">
        <v>100883</v>
      </c>
      <c r="B885" s="1">
        <v>757525</v>
      </c>
      <c r="C885" s="2">
        <v>41426</v>
      </c>
      <c r="D885" s="1" t="s">
        <v>1994</v>
      </c>
      <c r="E885" s="6">
        <v>1</v>
      </c>
      <c r="F885" s="6" t="str">
        <f t="shared" si="26"/>
        <v>June</v>
      </c>
      <c r="G885" s="6">
        <f t="shared" si="27"/>
        <v>22</v>
      </c>
      <c r="H885" s="1">
        <f>SUMIF('Retal Tran Line Item'!E:E,A885,'Retal Tran Line Item'!B:B)</f>
        <v>6</v>
      </c>
    </row>
    <row r="886" spans="1:8">
      <c r="A886" s="1">
        <v>100884</v>
      </c>
      <c r="B886" s="1">
        <v>996970</v>
      </c>
      <c r="C886" s="2">
        <v>41426</v>
      </c>
      <c r="D886" s="1" t="s">
        <v>1993</v>
      </c>
      <c r="E886" s="6">
        <v>2</v>
      </c>
      <c r="F886" s="6" t="str">
        <f t="shared" si="26"/>
        <v>June</v>
      </c>
      <c r="G886" s="6">
        <f t="shared" si="27"/>
        <v>22</v>
      </c>
      <c r="H886" s="1">
        <f>SUMIF('Retal Tran Line Item'!E:E,A886,'Retal Tran Line Item'!B:B)</f>
        <v>13</v>
      </c>
    </row>
    <row r="887" spans="1:8">
      <c r="A887" s="1">
        <v>100885</v>
      </c>
      <c r="B887" s="1">
        <v>205190</v>
      </c>
      <c r="C887" s="2">
        <v>41426</v>
      </c>
      <c r="D887" s="1" t="s">
        <v>1992</v>
      </c>
      <c r="E887" s="6">
        <v>2</v>
      </c>
      <c r="F887" s="6" t="str">
        <f t="shared" si="26"/>
        <v>June</v>
      </c>
      <c r="G887" s="6">
        <f t="shared" si="27"/>
        <v>22</v>
      </c>
      <c r="H887" s="1">
        <f>SUMIF('Retal Tran Line Item'!E:E,A887,'Retal Tran Line Item'!B:B)</f>
        <v>10</v>
      </c>
    </row>
    <row r="888" spans="1:8">
      <c r="A888" s="1">
        <v>100886</v>
      </c>
      <c r="B888" s="1">
        <v>432268</v>
      </c>
      <c r="C888" s="2">
        <v>41427</v>
      </c>
      <c r="D888" s="1" t="s">
        <v>1994</v>
      </c>
      <c r="E888" s="6">
        <v>1</v>
      </c>
      <c r="F888" s="6" t="str">
        <f t="shared" si="26"/>
        <v>June</v>
      </c>
      <c r="G888" s="6">
        <f t="shared" si="27"/>
        <v>23</v>
      </c>
      <c r="H888" s="1">
        <f>SUMIF('Retal Tran Line Item'!E:E,A888,'Retal Tran Line Item'!B:B)</f>
        <v>5</v>
      </c>
    </row>
    <row r="889" spans="1:8">
      <c r="A889" s="1">
        <v>100887</v>
      </c>
      <c r="B889" s="1">
        <v>385115</v>
      </c>
      <c r="C889" s="2">
        <v>41427</v>
      </c>
      <c r="D889" s="1" t="s">
        <v>1992</v>
      </c>
      <c r="E889" s="6">
        <v>1</v>
      </c>
      <c r="F889" s="6" t="str">
        <f t="shared" si="26"/>
        <v>June</v>
      </c>
      <c r="G889" s="6">
        <f t="shared" si="27"/>
        <v>23</v>
      </c>
      <c r="H889" s="1">
        <f>SUMIF('Retal Tran Line Item'!E:E,A889,'Retal Tran Line Item'!B:B)</f>
        <v>7</v>
      </c>
    </row>
    <row r="890" spans="1:8">
      <c r="A890" s="1">
        <v>100888</v>
      </c>
      <c r="B890" s="1">
        <v>336644</v>
      </c>
      <c r="C890" s="2">
        <v>41427</v>
      </c>
      <c r="D890" s="1" t="s">
        <v>1993</v>
      </c>
      <c r="E890" s="6">
        <v>1</v>
      </c>
      <c r="F890" s="6" t="str">
        <f t="shared" si="26"/>
        <v>June</v>
      </c>
      <c r="G890" s="6">
        <f t="shared" si="27"/>
        <v>23</v>
      </c>
      <c r="H890" s="1">
        <f>SUMIF('Retal Tran Line Item'!E:E,A890,'Retal Tran Line Item'!B:B)</f>
        <v>17</v>
      </c>
    </row>
    <row r="891" spans="1:8">
      <c r="A891" s="1">
        <v>100889</v>
      </c>
      <c r="B891" s="1">
        <v>493552</v>
      </c>
      <c r="C891" s="2">
        <v>41427</v>
      </c>
      <c r="D891" s="1" t="s">
        <v>1994</v>
      </c>
      <c r="E891" s="6">
        <v>2</v>
      </c>
      <c r="F891" s="6" t="str">
        <f t="shared" si="26"/>
        <v>June</v>
      </c>
      <c r="G891" s="6">
        <f t="shared" si="27"/>
        <v>23</v>
      </c>
      <c r="H891" s="1">
        <f>SUMIF('Retal Tran Line Item'!E:E,A891,'Retal Tran Line Item'!B:B)</f>
        <v>2</v>
      </c>
    </row>
    <row r="892" spans="1:8">
      <c r="A892" s="1">
        <v>100890</v>
      </c>
      <c r="B892" s="1">
        <v>822823</v>
      </c>
      <c r="C892" s="2">
        <v>41427</v>
      </c>
      <c r="D892" s="1" t="s">
        <v>1994</v>
      </c>
      <c r="E892" s="6">
        <v>1</v>
      </c>
      <c r="F892" s="6" t="str">
        <f t="shared" si="26"/>
        <v>June</v>
      </c>
      <c r="G892" s="6">
        <f t="shared" si="27"/>
        <v>23</v>
      </c>
      <c r="H892" s="1">
        <f>SUMIF('Retal Tran Line Item'!E:E,A892,'Retal Tran Line Item'!B:B)</f>
        <v>4</v>
      </c>
    </row>
    <row r="893" spans="1:8">
      <c r="A893" s="1">
        <v>100891</v>
      </c>
      <c r="B893" s="1">
        <v>426984</v>
      </c>
      <c r="C893" s="2">
        <v>41428</v>
      </c>
      <c r="D893" s="1" t="s">
        <v>1992</v>
      </c>
      <c r="E893" s="6">
        <v>1</v>
      </c>
      <c r="F893" s="6" t="str">
        <f t="shared" si="26"/>
        <v>June</v>
      </c>
      <c r="G893" s="6">
        <f t="shared" si="27"/>
        <v>23</v>
      </c>
      <c r="H893" s="1">
        <f>SUMIF('Retal Tran Line Item'!E:E,A893,'Retal Tran Line Item'!B:B)</f>
        <v>6</v>
      </c>
    </row>
    <row r="894" spans="1:8">
      <c r="A894" s="1">
        <v>100892</v>
      </c>
      <c r="B894" s="1">
        <v>738357</v>
      </c>
      <c r="C894" s="2">
        <v>41428</v>
      </c>
      <c r="D894" s="1" t="s">
        <v>1993</v>
      </c>
      <c r="E894" s="6">
        <v>1</v>
      </c>
      <c r="F894" s="6" t="str">
        <f t="shared" si="26"/>
        <v>June</v>
      </c>
      <c r="G894" s="6">
        <f t="shared" si="27"/>
        <v>23</v>
      </c>
      <c r="H894" s="1">
        <f>SUMIF('Retal Tran Line Item'!E:E,A894,'Retal Tran Line Item'!B:B)</f>
        <v>4</v>
      </c>
    </row>
    <row r="895" spans="1:8">
      <c r="A895" s="1">
        <v>100893</v>
      </c>
      <c r="B895" s="1">
        <v>128131</v>
      </c>
      <c r="C895" s="2">
        <v>41428</v>
      </c>
      <c r="D895" s="1" t="s">
        <v>1992</v>
      </c>
      <c r="E895" s="6">
        <v>2</v>
      </c>
      <c r="F895" s="6" t="str">
        <f t="shared" si="26"/>
        <v>June</v>
      </c>
      <c r="G895" s="6">
        <f t="shared" si="27"/>
        <v>23</v>
      </c>
      <c r="H895" s="1">
        <f>SUMIF('Retal Tran Line Item'!E:E,A895,'Retal Tran Line Item'!B:B)</f>
        <v>12</v>
      </c>
    </row>
    <row r="896" spans="1:8">
      <c r="A896" s="1">
        <v>100894</v>
      </c>
      <c r="B896" s="1">
        <v>250266</v>
      </c>
      <c r="C896" s="2">
        <v>41428</v>
      </c>
      <c r="D896" s="1" t="s">
        <v>1993</v>
      </c>
      <c r="E896" s="6">
        <v>1</v>
      </c>
      <c r="F896" s="6" t="str">
        <f t="shared" si="26"/>
        <v>June</v>
      </c>
      <c r="G896" s="6">
        <f t="shared" si="27"/>
        <v>23</v>
      </c>
      <c r="H896" s="1">
        <f>SUMIF('Retal Tran Line Item'!E:E,A896,'Retal Tran Line Item'!B:B)</f>
        <v>15</v>
      </c>
    </row>
    <row r="897" spans="1:8">
      <c r="A897" s="1">
        <v>100895</v>
      </c>
      <c r="B897" s="1">
        <v>266633</v>
      </c>
      <c r="C897" s="2">
        <v>41428</v>
      </c>
      <c r="D897" s="1" t="s">
        <v>1992</v>
      </c>
      <c r="E897" s="6">
        <v>2</v>
      </c>
      <c r="F897" s="6" t="str">
        <f t="shared" si="26"/>
        <v>June</v>
      </c>
      <c r="G897" s="6">
        <f t="shared" si="27"/>
        <v>23</v>
      </c>
      <c r="H897" s="1">
        <f>SUMIF('Retal Tran Line Item'!E:E,A897,'Retal Tran Line Item'!B:B)</f>
        <v>10</v>
      </c>
    </row>
    <row r="898" spans="1:8">
      <c r="A898" s="1">
        <v>100896</v>
      </c>
      <c r="B898" s="1">
        <v>344702</v>
      </c>
      <c r="C898" s="2">
        <v>41428</v>
      </c>
      <c r="D898" s="1" t="s">
        <v>1992</v>
      </c>
      <c r="E898" s="6">
        <v>1</v>
      </c>
      <c r="F898" s="6" t="str">
        <f t="shared" si="26"/>
        <v>June</v>
      </c>
      <c r="G898" s="6">
        <f t="shared" si="27"/>
        <v>23</v>
      </c>
      <c r="H898" s="1">
        <f>SUMIF('Retal Tran Line Item'!E:E,A898,'Retal Tran Line Item'!B:B)</f>
        <v>11</v>
      </c>
    </row>
    <row r="899" spans="1:8">
      <c r="A899" s="1">
        <v>100897</v>
      </c>
      <c r="B899" s="1">
        <v>160392</v>
      </c>
      <c r="C899" s="2">
        <v>41428</v>
      </c>
      <c r="D899" s="1" t="s">
        <v>1989</v>
      </c>
      <c r="E899" s="6">
        <v>1</v>
      </c>
      <c r="F899" s="6" t="str">
        <f t="shared" ref="F899:F962" si="28">TEXT(C899,"MMMM")</f>
        <v>June</v>
      </c>
      <c r="G899" s="6">
        <f t="shared" ref="G899:G962" si="29">WEEKNUM(C899)</f>
        <v>23</v>
      </c>
      <c r="H899" s="1">
        <f>SUMIF('Retal Tran Line Item'!E:E,A899,'Retal Tran Line Item'!B:B)</f>
        <v>1</v>
      </c>
    </row>
    <row r="900" spans="1:8">
      <c r="A900" s="1">
        <v>100898</v>
      </c>
      <c r="B900" s="1">
        <v>352644</v>
      </c>
      <c r="C900" s="2">
        <v>41428</v>
      </c>
      <c r="D900" s="1" t="s">
        <v>1989</v>
      </c>
      <c r="E900" s="6">
        <v>2</v>
      </c>
      <c r="F900" s="6" t="str">
        <f t="shared" si="28"/>
        <v>June</v>
      </c>
      <c r="G900" s="6">
        <f t="shared" si="29"/>
        <v>23</v>
      </c>
      <c r="H900" s="1">
        <f>SUMIF('Retal Tran Line Item'!E:E,A900,'Retal Tran Line Item'!B:B)</f>
        <v>19</v>
      </c>
    </row>
    <row r="901" spans="1:8">
      <c r="A901" s="1">
        <v>100899</v>
      </c>
      <c r="B901" s="1">
        <v>676155</v>
      </c>
      <c r="C901" s="2">
        <v>41428</v>
      </c>
      <c r="D901" s="1" t="s">
        <v>1992</v>
      </c>
      <c r="E901" s="6">
        <v>1</v>
      </c>
      <c r="F901" s="6" t="str">
        <f t="shared" si="28"/>
        <v>June</v>
      </c>
      <c r="G901" s="6">
        <f t="shared" si="29"/>
        <v>23</v>
      </c>
      <c r="H901" s="1">
        <f>SUMIF('Retal Tran Line Item'!E:E,A901,'Retal Tran Line Item'!B:B)</f>
        <v>6</v>
      </c>
    </row>
    <row r="902" spans="1:8">
      <c r="A902" s="1">
        <v>100900</v>
      </c>
      <c r="B902" s="1">
        <v>710047</v>
      </c>
      <c r="C902" s="2">
        <v>41428</v>
      </c>
      <c r="D902" s="1" t="s">
        <v>1992</v>
      </c>
      <c r="E902" s="6">
        <v>2</v>
      </c>
      <c r="F902" s="6" t="str">
        <f t="shared" si="28"/>
        <v>June</v>
      </c>
      <c r="G902" s="6">
        <f t="shared" si="29"/>
        <v>23</v>
      </c>
      <c r="H902" s="1">
        <f>SUMIF('Retal Tran Line Item'!E:E,A902,'Retal Tran Line Item'!B:B)</f>
        <v>12</v>
      </c>
    </row>
    <row r="903" spans="1:8">
      <c r="A903" s="1">
        <v>100901</v>
      </c>
      <c r="B903" s="1">
        <v>559688</v>
      </c>
      <c r="C903" s="2">
        <v>41429</v>
      </c>
      <c r="D903" s="1" t="s">
        <v>1993</v>
      </c>
      <c r="E903" s="6">
        <v>2</v>
      </c>
      <c r="F903" s="6" t="str">
        <f t="shared" si="28"/>
        <v>June</v>
      </c>
      <c r="G903" s="6">
        <f t="shared" si="29"/>
        <v>23</v>
      </c>
      <c r="H903" s="1">
        <f>SUMIF('Retal Tran Line Item'!E:E,A903,'Retal Tran Line Item'!B:B)</f>
        <v>7</v>
      </c>
    </row>
    <row r="904" spans="1:8">
      <c r="A904" s="1">
        <v>100902</v>
      </c>
      <c r="B904" s="1">
        <v>961080</v>
      </c>
      <c r="C904" s="2">
        <v>41429</v>
      </c>
      <c r="D904" s="1" t="s">
        <v>1992</v>
      </c>
      <c r="E904" s="6">
        <v>2</v>
      </c>
      <c r="F904" s="6" t="str">
        <f t="shared" si="28"/>
        <v>June</v>
      </c>
      <c r="G904" s="6">
        <f t="shared" si="29"/>
        <v>23</v>
      </c>
      <c r="H904" s="1">
        <f>SUMIF('Retal Tran Line Item'!E:E,A904,'Retal Tran Line Item'!B:B)</f>
        <v>9</v>
      </c>
    </row>
    <row r="905" spans="1:8">
      <c r="A905" s="1">
        <v>100903</v>
      </c>
      <c r="B905" s="1">
        <v>559054</v>
      </c>
      <c r="C905" s="2">
        <v>41429</v>
      </c>
      <c r="D905" s="1" t="s">
        <v>1994</v>
      </c>
      <c r="E905" s="6">
        <v>2</v>
      </c>
      <c r="F905" s="6" t="str">
        <f t="shared" si="28"/>
        <v>June</v>
      </c>
      <c r="G905" s="6">
        <f t="shared" si="29"/>
        <v>23</v>
      </c>
      <c r="H905" s="1">
        <f>SUMIF('Retal Tran Line Item'!E:E,A905,'Retal Tran Line Item'!B:B)</f>
        <v>3</v>
      </c>
    </row>
    <row r="906" spans="1:8">
      <c r="A906" s="1">
        <v>100904</v>
      </c>
      <c r="B906" s="1">
        <v>741398</v>
      </c>
      <c r="C906" s="2">
        <v>41429</v>
      </c>
      <c r="D906" s="1" t="s">
        <v>1993</v>
      </c>
      <c r="E906" s="6">
        <v>1</v>
      </c>
      <c r="F906" s="6" t="str">
        <f t="shared" si="28"/>
        <v>June</v>
      </c>
      <c r="G906" s="6">
        <f t="shared" si="29"/>
        <v>23</v>
      </c>
      <c r="H906" s="1">
        <f>SUMIF('Retal Tran Line Item'!E:E,A906,'Retal Tran Line Item'!B:B)</f>
        <v>6</v>
      </c>
    </row>
    <row r="907" spans="1:8">
      <c r="A907" s="1">
        <v>100905</v>
      </c>
      <c r="B907" s="1">
        <v>147216</v>
      </c>
      <c r="C907" s="2">
        <v>41429</v>
      </c>
      <c r="D907" s="1" t="s">
        <v>1993</v>
      </c>
      <c r="E907" s="6">
        <v>1</v>
      </c>
      <c r="F907" s="6" t="str">
        <f t="shared" si="28"/>
        <v>June</v>
      </c>
      <c r="G907" s="6">
        <f t="shared" si="29"/>
        <v>23</v>
      </c>
      <c r="H907" s="1">
        <f>SUMIF('Retal Tran Line Item'!E:E,A907,'Retal Tran Line Item'!B:B)</f>
        <v>5</v>
      </c>
    </row>
    <row r="908" spans="1:8">
      <c r="A908" s="1">
        <v>100906</v>
      </c>
      <c r="B908" s="1">
        <v>418506</v>
      </c>
      <c r="C908" s="2">
        <v>41429</v>
      </c>
      <c r="D908" s="1" t="s">
        <v>1992</v>
      </c>
      <c r="E908" s="6">
        <v>1</v>
      </c>
      <c r="F908" s="6" t="str">
        <f t="shared" si="28"/>
        <v>June</v>
      </c>
      <c r="G908" s="6">
        <f t="shared" si="29"/>
        <v>23</v>
      </c>
      <c r="H908" s="1">
        <f>SUMIF('Retal Tran Line Item'!E:E,A908,'Retal Tran Line Item'!B:B)</f>
        <v>9</v>
      </c>
    </row>
    <row r="909" spans="1:8">
      <c r="A909" s="1">
        <v>100907</v>
      </c>
      <c r="B909" s="1">
        <v>888759</v>
      </c>
      <c r="C909" s="2">
        <v>41430</v>
      </c>
      <c r="D909" s="1" t="s">
        <v>1993</v>
      </c>
      <c r="E909" s="6">
        <v>2</v>
      </c>
      <c r="F909" s="6" t="str">
        <f t="shared" si="28"/>
        <v>June</v>
      </c>
      <c r="G909" s="6">
        <f t="shared" si="29"/>
        <v>23</v>
      </c>
      <c r="H909" s="1">
        <f>SUMIF('Retal Tran Line Item'!E:E,A909,'Retal Tran Line Item'!B:B)</f>
        <v>8</v>
      </c>
    </row>
    <row r="910" spans="1:8">
      <c r="A910" s="1">
        <v>100908</v>
      </c>
      <c r="B910" s="1">
        <v>249779</v>
      </c>
      <c r="C910" s="2">
        <v>41430</v>
      </c>
      <c r="D910" s="1" t="s">
        <v>1992</v>
      </c>
      <c r="E910" s="6">
        <v>1</v>
      </c>
      <c r="F910" s="6" t="str">
        <f t="shared" si="28"/>
        <v>June</v>
      </c>
      <c r="G910" s="6">
        <f t="shared" si="29"/>
        <v>23</v>
      </c>
      <c r="H910" s="1">
        <f>SUMIF('Retal Tran Line Item'!E:E,A910,'Retal Tran Line Item'!B:B)</f>
        <v>8</v>
      </c>
    </row>
    <row r="911" spans="1:8">
      <c r="A911" s="1">
        <v>100909</v>
      </c>
      <c r="B911" s="1">
        <v>921792</v>
      </c>
      <c r="C911" s="2">
        <v>41430</v>
      </c>
      <c r="D911" s="1" t="s">
        <v>1992</v>
      </c>
      <c r="E911" s="6">
        <v>1</v>
      </c>
      <c r="F911" s="6" t="str">
        <f t="shared" si="28"/>
        <v>June</v>
      </c>
      <c r="G911" s="6">
        <f t="shared" si="29"/>
        <v>23</v>
      </c>
      <c r="H911" s="1">
        <f>SUMIF('Retal Tran Line Item'!E:E,A911,'Retal Tran Line Item'!B:B)</f>
        <v>4</v>
      </c>
    </row>
    <row r="912" spans="1:8">
      <c r="A912" s="1">
        <v>100910</v>
      </c>
      <c r="B912" s="1">
        <v>756928</v>
      </c>
      <c r="C912" s="2">
        <v>41430</v>
      </c>
      <c r="D912" s="1" t="s">
        <v>1993</v>
      </c>
      <c r="E912" s="6">
        <v>2</v>
      </c>
      <c r="F912" s="6" t="str">
        <f t="shared" si="28"/>
        <v>June</v>
      </c>
      <c r="G912" s="6">
        <f t="shared" si="29"/>
        <v>23</v>
      </c>
      <c r="H912" s="1">
        <f>SUMIF('Retal Tran Line Item'!E:E,A912,'Retal Tran Line Item'!B:B)</f>
        <v>8</v>
      </c>
    </row>
    <row r="913" spans="1:8">
      <c r="A913" s="1">
        <v>100911</v>
      </c>
      <c r="B913" s="1">
        <v>407605</v>
      </c>
      <c r="C913" s="2">
        <v>41430</v>
      </c>
      <c r="D913" s="1" t="s">
        <v>1994</v>
      </c>
      <c r="E913" s="6">
        <v>2</v>
      </c>
      <c r="F913" s="6" t="str">
        <f t="shared" si="28"/>
        <v>June</v>
      </c>
      <c r="G913" s="6">
        <f t="shared" si="29"/>
        <v>23</v>
      </c>
      <c r="H913" s="1">
        <f>SUMIF('Retal Tran Line Item'!E:E,A913,'Retal Tran Line Item'!B:B)</f>
        <v>18</v>
      </c>
    </row>
    <row r="914" spans="1:8">
      <c r="A914" s="1">
        <v>100912</v>
      </c>
      <c r="B914" s="1">
        <v>407605</v>
      </c>
      <c r="C914" s="2">
        <v>41430</v>
      </c>
      <c r="D914" s="1" t="s">
        <v>1994</v>
      </c>
      <c r="E914" s="6">
        <v>2</v>
      </c>
      <c r="F914" s="6" t="str">
        <f t="shared" si="28"/>
        <v>June</v>
      </c>
      <c r="G914" s="6">
        <f t="shared" si="29"/>
        <v>23</v>
      </c>
      <c r="H914" s="1">
        <f>SUMIF('Retal Tran Line Item'!E:E,A914,'Retal Tran Line Item'!B:B)</f>
        <v>4</v>
      </c>
    </row>
    <row r="915" spans="1:8">
      <c r="A915" s="1">
        <v>100913</v>
      </c>
      <c r="B915" s="1">
        <v>308505</v>
      </c>
      <c r="C915" s="2">
        <v>41431</v>
      </c>
      <c r="D915" s="1" t="s">
        <v>1993</v>
      </c>
      <c r="E915" s="6">
        <v>1</v>
      </c>
      <c r="F915" s="6" t="str">
        <f t="shared" si="28"/>
        <v>June</v>
      </c>
      <c r="G915" s="6">
        <f t="shared" si="29"/>
        <v>23</v>
      </c>
      <c r="H915" s="1">
        <f>SUMIF('Retal Tran Line Item'!E:E,A915,'Retal Tran Line Item'!B:B)</f>
        <v>1</v>
      </c>
    </row>
    <row r="916" spans="1:8">
      <c r="A916" s="1">
        <v>100914</v>
      </c>
      <c r="B916" s="1">
        <v>101811</v>
      </c>
      <c r="C916" s="2">
        <v>41431</v>
      </c>
      <c r="D916" s="1" t="s">
        <v>1993</v>
      </c>
      <c r="E916" s="6">
        <v>1</v>
      </c>
      <c r="F916" s="6" t="str">
        <f t="shared" si="28"/>
        <v>June</v>
      </c>
      <c r="G916" s="6">
        <f t="shared" si="29"/>
        <v>23</v>
      </c>
      <c r="H916" s="1">
        <f>SUMIF('Retal Tran Line Item'!E:E,A916,'Retal Tran Line Item'!B:B)</f>
        <v>3</v>
      </c>
    </row>
    <row r="917" spans="1:8">
      <c r="A917" s="1">
        <v>100915</v>
      </c>
      <c r="B917" s="1">
        <v>520196</v>
      </c>
      <c r="C917" s="2">
        <v>41431</v>
      </c>
      <c r="D917" s="1" t="s">
        <v>1992</v>
      </c>
      <c r="E917" s="6">
        <v>1</v>
      </c>
      <c r="F917" s="6" t="str">
        <f t="shared" si="28"/>
        <v>June</v>
      </c>
      <c r="G917" s="6">
        <f t="shared" si="29"/>
        <v>23</v>
      </c>
      <c r="H917" s="1">
        <f>SUMIF('Retal Tran Line Item'!E:E,A917,'Retal Tran Line Item'!B:B)</f>
        <v>8</v>
      </c>
    </row>
    <row r="918" spans="1:8">
      <c r="A918" s="1">
        <v>100916</v>
      </c>
      <c r="B918" s="1">
        <v>283158</v>
      </c>
      <c r="C918" s="2">
        <v>41431</v>
      </c>
      <c r="D918" s="1" t="s">
        <v>1993</v>
      </c>
      <c r="E918" s="6">
        <v>2</v>
      </c>
      <c r="F918" s="6" t="str">
        <f t="shared" si="28"/>
        <v>June</v>
      </c>
      <c r="G918" s="6">
        <f t="shared" si="29"/>
        <v>23</v>
      </c>
      <c r="H918" s="1">
        <f>SUMIF('Retal Tran Line Item'!E:E,A918,'Retal Tran Line Item'!B:B)</f>
        <v>9</v>
      </c>
    </row>
    <row r="919" spans="1:8">
      <c r="A919" s="1">
        <v>100917</v>
      </c>
      <c r="B919" s="1">
        <v>488295</v>
      </c>
      <c r="C919" s="2">
        <v>41431</v>
      </c>
      <c r="D919" s="1" t="s">
        <v>1992</v>
      </c>
      <c r="E919" s="6">
        <v>1</v>
      </c>
      <c r="F919" s="6" t="str">
        <f t="shared" si="28"/>
        <v>June</v>
      </c>
      <c r="G919" s="6">
        <f t="shared" si="29"/>
        <v>23</v>
      </c>
      <c r="H919" s="1">
        <f>SUMIF('Retal Tran Line Item'!E:E,A919,'Retal Tran Line Item'!B:B)</f>
        <v>15</v>
      </c>
    </row>
    <row r="920" spans="1:8">
      <c r="A920" s="1">
        <v>100918</v>
      </c>
      <c r="B920" s="1">
        <v>814317</v>
      </c>
      <c r="C920" s="2">
        <v>41431</v>
      </c>
      <c r="D920" s="1" t="s">
        <v>1994</v>
      </c>
      <c r="E920" s="6">
        <v>2</v>
      </c>
      <c r="F920" s="6" t="str">
        <f t="shared" si="28"/>
        <v>June</v>
      </c>
      <c r="G920" s="6">
        <f t="shared" si="29"/>
        <v>23</v>
      </c>
      <c r="H920" s="1">
        <f>SUMIF('Retal Tran Line Item'!E:E,A920,'Retal Tran Line Item'!B:B)</f>
        <v>6</v>
      </c>
    </row>
    <row r="921" spans="1:8">
      <c r="A921" s="1">
        <v>100919</v>
      </c>
      <c r="B921" s="1">
        <v>413495</v>
      </c>
      <c r="C921" s="2">
        <v>41432</v>
      </c>
      <c r="D921" s="1" t="s">
        <v>1994</v>
      </c>
      <c r="E921" s="6">
        <v>2</v>
      </c>
      <c r="F921" s="6" t="str">
        <f t="shared" si="28"/>
        <v>June</v>
      </c>
      <c r="G921" s="6">
        <f t="shared" si="29"/>
        <v>23</v>
      </c>
      <c r="H921" s="1">
        <f>SUMIF('Retal Tran Line Item'!E:E,A921,'Retal Tran Line Item'!B:B)</f>
        <v>2</v>
      </c>
    </row>
    <row r="922" spans="1:8">
      <c r="A922" s="1">
        <v>100920</v>
      </c>
      <c r="B922" s="1">
        <v>846558</v>
      </c>
      <c r="C922" s="2">
        <v>41432</v>
      </c>
      <c r="D922" s="1" t="s">
        <v>1992</v>
      </c>
      <c r="E922" s="6">
        <v>2</v>
      </c>
      <c r="F922" s="6" t="str">
        <f t="shared" si="28"/>
        <v>June</v>
      </c>
      <c r="G922" s="6">
        <f t="shared" si="29"/>
        <v>23</v>
      </c>
      <c r="H922" s="1">
        <f>SUMIF('Retal Tran Line Item'!E:E,A922,'Retal Tran Line Item'!B:B)</f>
        <v>7</v>
      </c>
    </row>
    <row r="923" spans="1:8">
      <c r="A923" s="1">
        <v>100921</v>
      </c>
      <c r="B923" s="1">
        <v>308505</v>
      </c>
      <c r="C923" s="2">
        <v>41432</v>
      </c>
      <c r="D923" s="1" t="s">
        <v>1993</v>
      </c>
      <c r="E923" s="6">
        <v>2</v>
      </c>
      <c r="F923" s="6" t="str">
        <f t="shared" si="28"/>
        <v>June</v>
      </c>
      <c r="G923" s="6">
        <f t="shared" si="29"/>
        <v>23</v>
      </c>
      <c r="H923" s="1">
        <f>SUMIF('Retal Tran Line Item'!E:E,A923,'Retal Tran Line Item'!B:B)</f>
        <v>6</v>
      </c>
    </row>
    <row r="924" spans="1:8">
      <c r="A924" s="1">
        <v>100922</v>
      </c>
      <c r="B924" s="1">
        <v>465275</v>
      </c>
      <c r="C924" s="2">
        <v>41432</v>
      </c>
      <c r="D924" s="1" t="s">
        <v>1992</v>
      </c>
      <c r="E924" s="6">
        <v>1</v>
      </c>
      <c r="F924" s="6" t="str">
        <f t="shared" si="28"/>
        <v>June</v>
      </c>
      <c r="G924" s="6">
        <f t="shared" si="29"/>
        <v>23</v>
      </c>
      <c r="H924" s="1">
        <f>SUMIF('Retal Tran Line Item'!E:E,A924,'Retal Tran Line Item'!B:B)</f>
        <v>4</v>
      </c>
    </row>
    <row r="925" spans="1:8">
      <c r="A925" s="1">
        <v>100923</v>
      </c>
      <c r="B925" s="1">
        <v>608290</v>
      </c>
      <c r="C925" s="2">
        <v>41432</v>
      </c>
      <c r="D925" s="1" t="s">
        <v>1992</v>
      </c>
      <c r="E925" s="6">
        <v>1</v>
      </c>
      <c r="F925" s="6" t="str">
        <f t="shared" si="28"/>
        <v>June</v>
      </c>
      <c r="G925" s="6">
        <f t="shared" si="29"/>
        <v>23</v>
      </c>
      <c r="H925" s="1">
        <f>SUMIF('Retal Tran Line Item'!E:E,A925,'Retal Tran Line Item'!B:B)</f>
        <v>16</v>
      </c>
    </row>
    <row r="926" spans="1:8">
      <c r="A926" s="1">
        <v>100924</v>
      </c>
      <c r="B926" s="1">
        <v>344702</v>
      </c>
      <c r="C926" s="2">
        <v>41432</v>
      </c>
      <c r="D926" s="1" t="s">
        <v>1992</v>
      </c>
      <c r="E926" s="6">
        <v>2</v>
      </c>
      <c r="F926" s="6" t="str">
        <f t="shared" si="28"/>
        <v>June</v>
      </c>
      <c r="G926" s="6">
        <f t="shared" si="29"/>
        <v>23</v>
      </c>
      <c r="H926" s="1">
        <f>SUMIF('Retal Tran Line Item'!E:E,A926,'Retal Tran Line Item'!B:B)</f>
        <v>9</v>
      </c>
    </row>
    <row r="927" spans="1:8">
      <c r="A927" s="1">
        <v>100925</v>
      </c>
      <c r="B927" s="1">
        <v>225489</v>
      </c>
      <c r="C927" s="2">
        <v>41433</v>
      </c>
      <c r="D927" s="1" t="s">
        <v>1992</v>
      </c>
      <c r="E927" s="6">
        <v>1</v>
      </c>
      <c r="F927" s="6" t="str">
        <f t="shared" si="28"/>
        <v>June</v>
      </c>
      <c r="G927" s="6">
        <f t="shared" si="29"/>
        <v>23</v>
      </c>
      <c r="H927" s="1">
        <f>SUMIF('Retal Tran Line Item'!E:E,A927,'Retal Tran Line Item'!B:B)</f>
        <v>20</v>
      </c>
    </row>
    <row r="928" spans="1:8">
      <c r="A928" s="1">
        <v>100926</v>
      </c>
      <c r="B928" s="1">
        <v>249779</v>
      </c>
      <c r="C928" s="2">
        <v>41433</v>
      </c>
      <c r="D928" s="1" t="s">
        <v>1992</v>
      </c>
      <c r="E928" s="6">
        <v>2</v>
      </c>
      <c r="F928" s="6" t="str">
        <f t="shared" si="28"/>
        <v>June</v>
      </c>
      <c r="G928" s="6">
        <f t="shared" si="29"/>
        <v>23</v>
      </c>
      <c r="H928" s="1">
        <f>SUMIF('Retal Tran Line Item'!E:E,A928,'Retal Tran Line Item'!B:B)</f>
        <v>6</v>
      </c>
    </row>
    <row r="929" spans="1:8">
      <c r="A929" s="1">
        <v>100927</v>
      </c>
      <c r="B929" s="1">
        <v>563468</v>
      </c>
      <c r="C929" s="2">
        <v>41433</v>
      </c>
      <c r="D929" s="1" t="s">
        <v>1992</v>
      </c>
      <c r="E929" s="6">
        <v>1</v>
      </c>
      <c r="F929" s="6" t="str">
        <f t="shared" si="28"/>
        <v>June</v>
      </c>
      <c r="G929" s="6">
        <f t="shared" si="29"/>
        <v>23</v>
      </c>
      <c r="H929" s="1">
        <f>SUMIF('Retal Tran Line Item'!E:E,A929,'Retal Tran Line Item'!B:B)</f>
        <v>7</v>
      </c>
    </row>
    <row r="930" spans="1:8">
      <c r="A930" s="1">
        <v>100928</v>
      </c>
      <c r="B930" s="1">
        <v>892883</v>
      </c>
      <c r="C930" s="2">
        <v>41433</v>
      </c>
      <c r="D930" s="1" t="s">
        <v>1992</v>
      </c>
      <c r="E930" s="6">
        <v>2</v>
      </c>
      <c r="F930" s="6" t="str">
        <f t="shared" si="28"/>
        <v>June</v>
      </c>
      <c r="G930" s="6">
        <f t="shared" si="29"/>
        <v>23</v>
      </c>
      <c r="H930" s="1">
        <f>SUMIF('Retal Tran Line Item'!E:E,A930,'Retal Tran Line Item'!B:B)</f>
        <v>6</v>
      </c>
    </row>
    <row r="931" spans="1:8">
      <c r="A931" s="1">
        <v>100929</v>
      </c>
      <c r="B931" s="1">
        <v>437454</v>
      </c>
      <c r="C931" s="2">
        <v>41434</v>
      </c>
      <c r="D931" s="1" t="s">
        <v>1993</v>
      </c>
      <c r="E931" s="6">
        <v>1</v>
      </c>
      <c r="F931" s="6" t="str">
        <f t="shared" si="28"/>
        <v>June</v>
      </c>
      <c r="G931" s="6">
        <f t="shared" si="29"/>
        <v>24</v>
      </c>
      <c r="H931" s="1">
        <f>SUMIF('Retal Tran Line Item'!E:E,A931,'Retal Tran Line Item'!B:B)</f>
        <v>17</v>
      </c>
    </row>
    <row r="932" spans="1:8">
      <c r="A932" s="1">
        <v>100930</v>
      </c>
      <c r="B932" s="1">
        <v>912671</v>
      </c>
      <c r="C932" s="2">
        <v>41434</v>
      </c>
      <c r="D932" s="1" t="s">
        <v>1992</v>
      </c>
      <c r="E932" s="6">
        <v>1</v>
      </c>
      <c r="F932" s="6" t="str">
        <f t="shared" si="28"/>
        <v>June</v>
      </c>
      <c r="G932" s="6">
        <f t="shared" si="29"/>
        <v>24</v>
      </c>
      <c r="H932" s="1">
        <f>SUMIF('Retal Tran Line Item'!E:E,A932,'Retal Tran Line Item'!B:B)</f>
        <v>2</v>
      </c>
    </row>
    <row r="933" spans="1:8">
      <c r="A933" s="1">
        <v>100931</v>
      </c>
      <c r="B933" s="1">
        <v>885548</v>
      </c>
      <c r="C933" s="2">
        <v>41434</v>
      </c>
      <c r="D933" s="1" t="s">
        <v>1992</v>
      </c>
      <c r="E933" s="6">
        <v>1</v>
      </c>
      <c r="F933" s="6" t="str">
        <f t="shared" si="28"/>
        <v>June</v>
      </c>
      <c r="G933" s="6">
        <f t="shared" si="29"/>
        <v>24</v>
      </c>
      <c r="H933" s="1">
        <f>SUMIF('Retal Tran Line Item'!E:E,A933,'Retal Tran Line Item'!B:B)</f>
        <v>7</v>
      </c>
    </row>
    <row r="934" spans="1:8">
      <c r="A934" s="1">
        <v>100932</v>
      </c>
      <c r="B934" s="1">
        <v>814317</v>
      </c>
      <c r="C934" s="2">
        <v>41434</v>
      </c>
      <c r="D934" s="1" t="s">
        <v>1994</v>
      </c>
      <c r="E934" s="6">
        <v>2</v>
      </c>
      <c r="F934" s="6" t="str">
        <f t="shared" si="28"/>
        <v>June</v>
      </c>
      <c r="G934" s="6">
        <f t="shared" si="29"/>
        <v>24</v>
      </c>
      <c r="H934" s="1">
        <f>SUMIF('Retal Tran Line Item'!E:E,A934,'Retal Tran Line Item'!B:B)</f>
        <v>12</v>
      </c>
    </row>
    <row r="935" spans="1:8">
      <c r="A935" s="1">
        <v>100933</v>
      </c>
      <c r="B935" s="1">
        <v>515753</v>
      </c>
      <c r="C935" s="2">
        <v>41434</v>
      </c>
      <c r="D935" s="1" t="s">
        <v>1989</v>
      </c>
      <c r="E935" s="6">
        <v>1</v>
      </c>
      <c r="F935" s="6" t="str">
        <f t="shared" si="28"/>
        <v>June</v>
      </c>
      <c r="G935" s="6">
        <f t="shared" si="29"/>
        <v>24</v>
      </c>
      <c r="H935" s="1">
        <f>SUMIF('Retal Tran Line Item'!E:E,A935,'Retal Tran Line Item'!B:B)</f>
        <v>7</v>
      </c>
    </row>
    <row r="936" spans="1:8">
      <c r="A936" s="1">
        <v>100934</v>
      </c>
      <c r="B936" s="1">
        <v>817500</v>
      </c>
      <c r="C936" s="2">
        <v>41434</v>
      </c>
      <c r="D936" s="1" t="s">
        <v>1993</v>
      </c>
      <c r="E936" s="6">
        <v>1</v>
      </c>
      <c r="F936" s="6" t="str">
        <f t="shared" si="28"/>
        <v>June</v>
      </c>
      <c r="G936" s="6">
        <f t="shared" si="29"/>
        <v>24</v>
      </c>
      <c r="H936" s="1">
        <f>SUMIF('Retal Tran Line Item'!E:E,A936,'Retal Tran Line Item'!B:B)</f>
        <v>29</v>
      </c>
    </row>
    <row r="937" spans="1:8">
      <c r="A937" s="1">
        <v>100935</v>
      </c>
      <c r="B937" s="1">
        <v>308505</v>
      </c>
      <c r="C937" s="2">
        <v>41434</v>
      </c>
      <c r="D937" s="1" t="s">
        <v>1993</v>
      </c>
      <c r="E937" s="6">
        <v>1</v>
      </c>
      <c r="F937" s="6" t="str">
        <f t="shared" si="28"/>
        <v>June</v>
      </c>
      <c r="G937" s="6">
        <f t="shared" si="29"/>
        <v>24</v>
      </c>
      <c r="H937" s="1">
        <f>SUMIF('Retal Tran Line Item'!E:E,A937,'Retal Tran Line Item'!B:B)</f>
        <v>4</v>
      </c>
    </row>
    <row r="938" spans="1:8">
      <c r="A938" s="1">
        <v>100936</v>
      </c>
      <c r="B938" s="1">
        <v>147543</v>
      </c>
      <c r="C938" s="2">
        <v>41435</v>
      </c>
      <c r="D938" s="1" t="s">
        <v>1993</v>
      </c>
      <c r="E938" s="6">
        <v>2</v>
      </c>
      <c r="F938" s="6" t="str">
        <f t="shared" si="28"/>
        <v>June</v>
      </c>
      <c r="G938" s="6">
        <f t="shared" si="29"/>
        <v>24</v>
      </c>
      <c r="H938" s="1">
        <f>SUMIF('Retal Tran Line Item'!E:E,A938,'Retal Tran Line Item'!B:B)</f>
        <v>5</v>
      </c>
    </row>
    <row r="939" spans="1:8">
      <c r="A939" s="1">
        <v>100937</v>
      </c>
      <c r="B939" s="1">
        <v>567388</v>
      </c>
      <c r="C939" s="2">
        <v>41435</v>
      </c>
      <c r="D939" s="1" t="s">
        <v>1993</v>
      </c>
      <c r="E939" s="6">
        <v>2</v>
      </c>
      <c r="F939" s="6" t="str">
        <f t="shared" si="28"/>
        <v>June</v>
      </c>
      <c r="G939" s="6">
        <f t="shared" si="29"/>
        <v>24</v>
      </c>
      <c r="H939" s="1">
        <f>SUMIF('Retal Tran Line Item'!E:E,A939,'Retal Tran Line Item'!B:B)</f>
        <v>17</v>
      </c>
    </row>
    <row r="940" spans="1:8">
      <c r="A940" s="1">
        <v>100938</v>
      </c>
      <c r="B940" s="1">
        <v>720602</v>
      </c>
      <c r="C940" s="2">
        <v>41435</v>
      </c>
      <c r="D940" s="1" t="s">
        <v>1992</v>
      </c>
      <c r="E940" s="6">
        <v>1</v>
      </c>
      <c r="F940" s="6" t="str">
        <f t="shared" si="28"/>
        <v>June</v>
      </c>
      <c r="G940" s="6">
        <f t="shared" si="29"/>
        <v>24</v>
      </c>
      <c r="H940" s="1">
        <f>SUMIF('Retal Tran Line Item'!E:E,A940,'Retal Tran Line Item'!B:B)</f>
        <v>7</v>
      </c>
    </row>
    <row r="941" spans="1:8">
      <c r="A941" s="1">
        <v>100939</v>
      </c>
      <c r="B941" s="1">
        <v>363931</v>
      </c>
      <c r="C941" s="2">
        <v>41435</v>
      </c>
      <c r="D941" s="1" t="s">
        <v>1994</v>
      </c>
      <c r="E941" s="6">
        <v>1</v>
      </c>
      <c r="F941" s="6" t="str">
        <f t="shared" si="28"/>
        <v>June</v>
      </c>
      <c r="G941" s="6">
        <f t="shared" si="29"/>
        <v>24</v>
      </c>
      <c r="H941" s="1">
        <f>SUMIF('Retal Tran Line Item'!E:E,A941,'Retal Tran Line Item'!B:B)</f>
        <v>16</v>
      </c>
    </row>
    <row r="942" spans="1:8">
      <c r="A942" s="1">
        <v>100940</v>
      </c>
      <c r="B942" s="1">
        <v>537796</v>
      </c>
      <c r="C942" s="2">
        <v>41435</v>
      </c>
      <c r="D942" s="1" t="s">
        <v>1993</v>
      </c>
      <c r="E942" s="6">
        <v>2</v>
      </c>
      <c r="F942" s="6" t="str">
        <f t="shared" si="28"/>
        <v>June</v>
      </c>
      <c r="G942" s="6">
        <f t="shared" si="29"/>
        <v>24</v>
      </c>
      <c r="H942" s="1">
        <f>SUMIF('Retal Tran Line Item'!E:E,A942,'Retal Tran Line Item'!B:B)</f>
        <v>7</v>
      </c>
    </row>
    <row r="943" spans="1:8">
      <c r="A943" s="1">
        <v>100941</v>
      </c>
      <c r="B943" s="1">
        <v>782947</v>
      </c>
      <c r="C943" s="2">
        <v>41435</v>
      </c>
      <c r="D943" s="1" t="s">
        <v>1993</v>
      </c>
      <c r="E943" s="6">
        <v>2</v>
      </c>
      <c r="F943" s="6" t="str">
        <f t="shared" si="28"/>
        <v>June</v>
      </c>
      <c r="G943" s="6">
        <f t="shared" si="29"/>
        <v>24</v>
      </c>
      <c r="H943" s="1">
        <f>SUMIF('Retal Tran Line Item'!E:E,A943,'Retal Tran Line Item'!B:B)</f>
        <v>9</v>
      </c>
    </row>
    <row r="944" spans="1:8">
      <c r="A944" s="1">
        <v>100942</v>
      </c>
      <c r="B944" s="1">
        <v>500350</v>
      </c>
      <c r="C944" s="2">
        <v>41435</v>
      </c>
      <c r="D944" s="1" t="s">
        <v>1993</v>
      </c>
      <c r="E944" s="6">
        <v>2</v>
      </c>
      <c r="F944" s="6" t="str">
        <f t="shared" si="28"/>
        <v>June</v>
      </c>
      <c r="G944" s="6">
        <f t="shared" si="29"/>
        <v>24</v>
      </c>
      <c r="H944" s="1">
        <f>SUMIF('Retal Tran Line Item'!E:E,A944,'Retal Tran Line Item'!B:B)</f>
        <v>8</v>
      </c>
    </row>
    <row r="945" spans="1:8">
      <c r="A945" s="1">
        <v>100943</v>
      </c>
      <c r="B945" s="1">
        <v>994185</v>
      </c>
      <c r="C945" s="2">
        <v>41435</v>
      </c>
      <c r="D945" s="1" t="s">
        <v>1992</v>
      </c>
      <c r="E945" s="6">
        <v>1</v>
      </c>
      <c r="F945" s="6" t="str">
        <f t="shared" si="28"/>
        <v>June</v>
      </c>
      <c r="G945" s="6">
        <f t="shared" si="29"/>
        <v>24</v>
      </c>
      <c r="H945" s="1">
        <f>SUMIF('Retal Tran Line Item'!E:E,A945,'Retal Tran Line Item'!B:B)</f>
        <v>14</v>
      </c>
    </row>
    <row r="946" spans="1:8">
      <c r="A946" s="1">
        <v>100944</v>
      </c>
      <c r="B946" s="1">
        <v>548800</v>
      </c>
      <c r="C946" s="2">
        <v>41435</v>
      </c>
      <c r="D946" s="1" t="s">
        <v>1992</v>
      </c>
      <c r="E946" s="6">
        <v>2</v>
      </c>
      <c r="F946" s="6" t="str">
        <f t="shared" si="28"/>
        <v>June</v>
      </c>
      <c r="G946" s="6">
        <f t="shared" si="29"/>
        <v>24</v>
      </c>
      <c r="H946" s="1">
        <f>SUMIF('Retal Tran Line Item'!E:E,A946,'Retal Tran Line Item'!B:B)</f>
        <v>13</v>
      </c>
    </row>
    <row r="947" spans="1:8">
      <c r="A947" s="1">
        <v>100945</v>
      </c>
      <c r="B947" s="1">
        <v>500828</v>
      </c>
      <c r="C947" s="2">
        <v>41435</v>
      </c>
      <c r="D947" s="1" t="s">
        <v>1992</v>
      </c>
      <c r="E947" s="6">
        <v>1</v>
      </c>
      <c r="F947" s="6" t="str">
        <f t="shared" si="28"/>
        <v>June</v>
      </c>
      <c r="G947" s="6">
        <f t="shared" si="29"/>
        <v>24</v>
      </c>
      <c r="H947" s="1">
        <f>SUMIF('Retal Tran Line Item'!E:E,A947,'Retal Tran Line Item'!B:B)</f>
        <v>3</v>
      </c>
    </row>
    <row r="948" spans="1:8">
      <c r="A948" s="1">
        <v>100946</v>
      </c>
      <c r="B948" s="1">
        <v>761615</v>
      </c>
      <c r="C948" s="2">
        <v>41436</v>
      </c>
      <c r="D948" s="1" t="s">
        <v>1993</v>
      </c>
      <c r="E948" s="6">
        <v>2</v>
      </c>
      <c r="F948" s="6" t="str">
        <f t="shared" si="28"/>
        <v>June</v>
      </c>
      <c r="G948" s="6">
        <f t="shared" si="29"/>
        <v>24</v>
      </c>
      <c r="H948" s="1">
        <f>SUMIF('Retal Tran Line Item'!E:E,A948,'Retal Tran Line Item'!B:B)</f>
        <v>10</v>
      </c>
    </row>
    <row r="949" spans="1:8">
      <c r="A949" s="1">
        <v>100947</v>
      </c>
      <c r="B949" s="1">
        <v>822823</v>
      </c>
      <c r="C949" s="2">
        <v>41436</v>
      </c>
      <c r="D949" s="1" t="s">
        <v>1994</v>
      </c>
      <c r="E949" s="6">
        <v>2</v>
      </c>
      <c r="F949" s="6" t="str">
        <f t="shared" si="28"/>
        <v>June</v>
      </c>
      <c r="G949" s="6">
        <f t="shared" si="29"/>
        <v>24</v>
      </c>
      <c r="H949" s="1">
        <f>SUMIF('Retal Tran Line Item'!E:E,A949,'Retal Tran Line Item'!B:B)</f>
        <v>11</v>
      </c>
    </row>
    <row r="950" spans="1:8">
      <c r="A950" s="1">
        <v>100948</v>
      </c>
      <c r="B950" s="1">
        <v>736500</v>
      </c>
      <c r="C950" s="2">
        <v>41436</v>
      </c>
      <c r="D950" s="1" t="s">
        <v>1993</v>
      </c>
      <c r="E950" s="6">
        <v>1</v>
      </c>
      <c r="F950" s="6" t="str">
        <f t="shared" si="28"/>
        <v>June</v>
      </c>
      <c r="G950" s="6">
        <f t="shared" si="29"/>
        <v>24</v>
      </c>
      <c r="H950" s="1">
        <f>SUMIF('Retal Tran Line Item'!E:E,A950,'Retal Tran Line Item'!B:B)</f>
        <v>14</v>
      </c>
    </row>
    <row r="951" spans="1:8">
      <c r="A951" s="1">
        <v>100949</v>
      </c>
      <c r="B951" s="1">
        <v>336644</v>
      </c>
      <c r="C951" s="2">
        <v>41436</v>
      </c>
      <c r="D951" s="1" t="s">
        <v>1993</v>
      </c>
      <c r="E951" s="6">
        <v>2</v>
      </c>
      <c r="F951" s="6" t="str">
        <f t="shared" si="28"/>
        <v>June</v>
      </c>
      <c r="G951" s="6">
        <f t="shared" si="29"/>
        <v>24</v>
      </c>
      <c r="H951" s="1">
        <f>SUMIF('Retal Tran Line Item'!E:E,A951,'Retal Tran Line Item'!B:B)</f>
        <v>10</v>
      </c>
    </row>
    <row r="952" spans="1:8">
      <c r="A952" s="1">
        <v>100950</v>
      </c>
      <c r="B952" s="1">
        <v>738357</v>
      </c>
      <c r="C952" s="2">
        <v>41436</v>
      </c>
      <c r="D952" s="1" t="s">
        <v>1993</v>
      </c>
      <c r="E952" s="6">
        <v>2</v>
      </c>
      <c r="F952" s="6" t="str">
        <f t="shared" si="28"/>
        <v>June</v>
      </c>
      <c r="G952" s="6">
        <f t="shared" si="29"/>
        <v>24</v>
      </c>
      <c r="H952" s="1">
        <f>SUMIF('Retal Tran Line Item'!E:E,A952,'Retal Tran Line Item'!B:B)</f>
        <v>12</v>
      </c>
    </row>
    <row r="953" spans="1:8">
      <c r="A953" s="1">
        <v>100951</v>
      </c>
      <c r="B953" s="1">
        <v>366695</v>
      </c>
      <c r="C953" s="2">
        <v>41436</v>
      </c>
      <c r="D953" s="1" t="s">
        <v>1992</v>
      </c>
      <c r="E953" s="6">
        <v>2</v>
      </c>
      <c r="F953" s="6" t="str">
        <f t="shared" si="28"/>
        <v>June</v>
      </c>
      <c r="G953" s="6">
        <f t="shared" si="29"/>
        <v>24</v>
      </c>
      <c r="H953" s="1">
        <f>SUMIF('Retal Tran Line Item'!E:E,A953,'Retal Tran Line Item'!B:B)</f>
        <v>12</v>
      </c>
    </row>
    <row r="954" spans="1:8">
      <c r="A954" s="1">
        <v>100952</v>
      </c>
      <c r="B954" s="1">
        <v>706884</v>
      </c>
      <c r="C954" s="2">
        <v>41437</v>
      </c>
      <c r="D954" s="1" t="s">
        <v>1989</v>
      </c>
      <c r="E954" s="6">
        <v>2</v>
      </c>
      <c r="F954" s="6" t="str">
        <f t="shared" si="28"/>
        <v>June</v>
      </c>
      <c r="G954" s="6">
        <f t="shared" si="29"/>
        <v>24</v>
      </c>
      <c r="H954" s="1">
        <f>SUMIF('Retal Tran Line Item'!E:E,A954,'Retal Tran Line Item'!B:B)</f>
        <v>18</v>
      </c>
    </row>
    <row r="955" spans="1:8">
      <c r="A955" s="1">
        <v>100953</v>
      </c>
      <c r="B955" s="1">
        <v>616258</v>
      </c>
      <c r="C955" s="2">
        <v>41437</v>
      </c>
      <c r="D955" s="1" t="s">
        <v>1994</v>
      </c>
      <c r="E955" s="6">
        <v>2</v>
      </c>
      <c r="F955" s="6" t="str">
        <f t="shared" si="28"/>
        <v>June</v>
      </c>
      <c r="G955" s="6">
        <f t="shared" si="29"/>
        <v>24</v>
      </c>
      <c r="H955" s="1">
        <f>SUMIF('Retal Tran Line Item'!E:E,A955,'Retal Tran Line Item'!B:B)</f>
        <v>2</v>
      </c>
    </row>
    <row r="956" spans="1:8">
      <c r="A956" s="1">
        <v>100954</v>
      </c>
      <c r="B956" s="1">
        <v>194680</v>
      </c>
      <c r="C956" s="2">
        <v>41437</v>
      </c>
      <c r="D956" s="1" t="s">
        <v>1993</v>
      </c>
      <c r="E956" s="6">
        <v>2</v>
      </c>
      <c r="F956" s="6" t="str">
        <f t="shared" si="28"/>
        <v>June</v>
      </c>
      <c r="G956" s="6">
        <f t="shared" si="29"/>
        <v>24</v>
      </c>
      <c r="H956" s="1">
        <f>SUMIF('Retal Tran Line Item'!E:E,A956,'Retal Tran Line Item'!B:B)</f>
        <v>12</v>
      </c>
    </row>
    <row r="957" spans="1:8">
      <c r="A957" s="1">
        <v>100955</v>
      </c>
      <c r="B957" s="1">
        <v>777145</v>
      </c>
      <c r="C957" s="2">
        <v>41438</v>
      </c>
      <c r="D957" s="1" t="s">
        <v>1992</v>
      </c>
      <c r="E957" s="6">
        <v>2</v>
      </c>
      <c r="F957" s="6" t="str">
        <f t="shared" si="28"/>
        <v>June</v>
      </c>
      <c r="G957" s="6">
        <f t="shared" si="29"/>
        <v>24</v>
      </c>
      <c r="H957" s="1">
        <f>SUMIF('Retal Tran Line Item'!E:E,A957,'Retal Tran Line Item'!B:B)</f>
        <v>18</v>
      </c>
    </row>
    <row r="958" spans="1:8">
      <c r="A958" s="1">
        <v>100956</v>
      </c>
      <c r="B958" s="1">
        <v>262579</v>
      </c>
      <c r="C958" s="2">
        <v>41438</v>
      </c>
      <c r="D958" s="1" t="s">
        <v>1989</v>
      </c>
      <c r="E958" s="6">
        <v>1</v>
      </c>
      <c r="F958" s="6" t="str">
        <f t="shared" si="28"/>
        <v>June</v>
      </c>
      <c r="G958" s="6">
        <f t="shared" si="29"/>
        <v>24</v>
      </c>
      <c r="H958" s="1">
        <f>SUMIF('Retal Tran Line Item'!E:E,A958,'Retal Tran Line Item'!B:B)</f>
        <v>9</v>
      </c>
    </row>
    <row r="959" spans="1:8">
      <c r="A959" s="1">
        <v>100957</v>
      </c>
      <c r="B959" s="1">
        <v>253106</v>
      </c>
      <c r="C959" s="2">
        <v>41438</v>
      </c>
      <c r="D959" s="1" t="s">
        <v>1989</v>
      </c>
      <c r="E959" s="6">
        <v>2</v>
      </c>
      <c r="F959" s="6" t="str">
        <f t="shared" si="28"/>
        <v>June</v>
      </c>
      <c r="G959" s="6">
        <f t="shared" si="29"/>
        <v>24</v>
      </c>
      <c r="H959" s="1">
        <f>SUMIF('Retal Tran Line Item'!E:E,A959,'Retal Tran Line Item'!B:B)</f>
        <v>9</v>
      </c>
    </row>
    <row r="960" spans="1:8">
      <c r="A960" s="1">
        <v>100958</v>
      </c>
      <c r="B960" s="1">
        <v>408341</v>
      </c>
      <c r="C960" s="2">
        <v>41438</v>
      </c>
      <c r="D960" s="1" t="s">
        <v>1993</v>
      </c>
      <c r="E960" s="6">
        <v>1</v>
      </c>
      <c r="F960" s="6" t="str">
        <f t="shared" si="28"/>
        <v>June</v>
      </c>
      <c r="G960" s="6">
        <f t="shared" si="29"/>
        <v>24</v>
      </c>
      <c r="H960" s="1">
        <f>SUMIF('Retal Tran Line Item'!E:E,A960,'Retal Tran Line Item'!B:B)</f>
        <v>14</v>
      </c>
    </row>
    <row r="961" spans="1:8">
      <c r="A961" s="1">
        <v>100959</v>
      </c>
      <c r="B961" s="1">
        <v>970794</v>
      </c>
      <c r="C961" s="2">
        <v>41438</v>
      </c>
      <c r="D961" s="1" t="s">
        <v>1993</v>
      </c>
      <c r="E961" s="6">
        <v>2</v>
      </c>
      <c r="F961" s="6" t="str">
        <f t="shared" si="28"/>
        <v>June</v>
      </c>
      <c r="G961" s="6">
        <f t="shared" si="29"/>
        <v>24</v>
      </c>
      <c r="H961" s="1">
        <f>SUMIF('Retal Tran Line Item'!E:E,A961,'Retal Tran Line Item'!B:B)</f>
        <v>10</v>
      </c>
    </row>
    <row r="962" spans="1:8">
      <c r="A962" s="1">
        <v>100960</v>
      </c>
      <c r="B962" s="1">
        <v>793987</v>
      </c>
      <c r="C962" s="2">
        <v>41438</v>
      </c>
      <c r="D962" s="1" t="s">
        <v>1994</v>
      </c>
      <c r="E962" s="6">
        <v>1</v>
      </c>
      <c r="F962" s="6" t="str">
        <f t="shared" si="28"/>
        <v>June</v>
      </c>
      <c r="G962" s="6">
        <f t="shared" si="29"/>
        <v>24</v>
      </c>
      <c r="H962" s="1">
        <f>SUMIF('Retal Tran Line Item'!E:E,A962,'Retal Tran Line Item'!B:B)</f>
        <v>10</v>
      </c>
    </row>
    <row r="963" spans="1:8">
      <c r="A963" s="1">
        <v>100961</v>
      </c>
      <c r="B963" s="1">
        <v>479497</v>
      </c>
      <c r="C963" s="2">
        <v>41439</v>
      </c>
      <c r="D963" s="1" t="s">
        <v>1994</v>
      </c>
      <c r="E963" s="6">
        <v>2</v>
      </c>
      <c r="F963" s="6" t="str">
        <f t="shared" ref="F963:F1026" si="30">TEXT(C963,"MMMM")</f>
        <v>June</v>
      </c>
      <c r="G963" s="6">
        <f t="shared" ref="G963:G1026" si="31">WEEKNUM(C963)</f>
        <v>24</v>
      </c>
      <c r="H963" s="1">
        <f>SUMIF('Retal Tran Line Item'!E:E,A963,'Retal Tran Line Item'!B:B)</f>
        <v>4</v>
      </c>
    </row>
    <row r="964" spans="1:8">
      <c r="A964" s="1">
        <v>100962</v>
      </c>
      <c r="B964" s="1">
        <v>585972</v>
      </c>
      <c r="C964" s="2">
        <v>41439</v>
      </c>
      <c r="D964" s="1" t="s">
        <v>1993</v>
      </c>
      <c r="E964" s="6">
        <v>2</v>
      </c>
      <c r="F964" s="6" t="str">
        <f t="shared" si="30"/>
        <v>June</v>
      </c>
      <c r="G964" s="6">
        <f t="shared" si="31"/>
        <v>24</v>
      </c>
      <c r="H964" s="1">
        <f>SUMIF('Retal Tran Line Item'!E:E,A964,'Retal Tran Line Item'!B:B)</f>
        <v>3</v>
      </c>
    </row>
    <row r="965" spans="1:8">
      <c r="A965" s="1">
        <v>100963</v>
      </c>
      <c r="B965" s="1">
        <v>761615</v>
      </c>
      <c r="C965" s="2">
        <v>41439</v>
      </c>
      <c r="D965" s="1" t="s">
        <v>1993</v>
      </c>
      <c r="E965" s="6">
        <v>1</v>
      </c>
      <c r="F965" s="6" t="str">
        <f t="shared" si="30"/>
        <v>June</v>
      </c>
      <c r="G965" s="6">
        <f t="shared" si="31"/>
        <v>24</v>
      </c>
      <c r="H965" s="1">
        <f>SUMIF('Retal Tran Line Item'!E:E,A965,'Retal Tran Line Item'!B:B)</f>
        <v>4</v>
      </c>
    </row>
    <row r="966" spans="1:8">
      <c r="A966" s="1">
        <v>100964</v>
      </c>
      <c r="B966" s="1">
        <v>218889</v>
      </c>
      <c r="C966" s="2">
        <v>41439</v>
      </c>
      <c r="D966" s="1" t="s">
        <v>1992</v>
      </c>
      <c r="E966" s="6">
        <v>1</v>
      </c>
      <c r="F966" s="6" t="str">
        <f t="shared" si="30"/>
        <v>June</v>
      </c>
      <c r="G966" s="6">
        <f t="shared" si="31"/>
        <v>24</v>
      </c>
      <c r="H966" s="1">
        <f>SUMIF('Retal Tran Line Item'!E:E,A966,'Retal Tran Line Item'!B:B)</f>
        <v>12</v>
      </c>
    </row>
    <row r="967" spans="1:8">
      <c r="A967" s="1">
        <v>100965</v>
      </c>
      <c r="B967" s="1">
        <v>765237</v>
      </c>
      <c r="C967" s="2">
        <v>41439</v>
      </c>
      <c r="D967" s="1" t="s">
        <v>1992</v>
      </c>
      <c r="E967" s="6">
        <v>1</v>
      </c>
      <c r="F967" s="6" t="str">
        <f t="shared" si="30"/>
        <v>June</v>
      </c>
      <c r="G967" s="6">
        <f t="shared" si="31"/>
        <v>24</v>
      </c>
      <c r="H967" s="1">
        <f>SUMIF('Retal Tran Line Item'!E:E,A967,'Retal Tran Line Item'!B:B)</f>
        <v>14</v>
      </c>
    </row>
    <row r="968" spans="1:8">
      <c r="A968" s="1">
        <v>100966</v>
      </c>
      <c r="B968" s="1">
        <v>759995</v>
      </c>
      <c r="C968" s="2">
        <v>41439</v>
      </c>
      <c r="D968" s="1" t="s">
        <v>1993</v>
      </c>
      <c r="E968" s="6">
        <v>1</v>
      </c>
      <c r="F968" s="6" t="str">
        <f t="shared" si="30"/>
        <v>June</v>
      </c>
      <c r="G968" s="6">
        <f t="shared" si="31"/>
        <v>24</v>
      </c>
      <c r="H968" s="1">
        <f>SUMIF('Retal Tran Line Item'!E:E,A968,'Retal Tran Line Item'!B:B)</f>
        <v>4</v>
      </c>
    </row>
    <row r="969" spans="1:8">
      <c r="A969" s="1">
        <v>100967</v>
      </c>
      <c r="B969" s="1">
        <v>706101</v>
      </c>
      <c r="C969" s="2">
        <v>41440</v>
      </c>
      <c r="D969" s="1" t="s">
        <v>1993</v>
      </c>
      <c r="E969" s="6">
        <v>2</v>
      </c>
      <c r="F969" s="6" t="str">
        <f t="shared" si="30"/>
        <v>June</v>
      </c>
      <c r="G969" s="6">
        <f t="shared" si="31"/>
        <v>24</v>
      </c>
      <c r="H969" s="1">
        <f>SUMIF('Retal Tran Line Item'!E:E,A969,'Retal Tran Line Item'!B:B)</f>
        <v>10</v>
      </c>
    </row>
    <row r="970" spans="1:8">
      <c r="A970" s="1">
        <v>100968</v>
      </c>
      <c r="B970" s="1">
        <v>747066</v>
      </c>
      <c r="C970" s="2">
        <v>41440</v>
      </c>
      <c r="D970" s="1" t="s">
        <v>1993</v>
      </c>
      <c r="E970" s="6">
        <v>1</v>
      </c>
      <c r="F970" s="6" t="str">
        <f t="shared" si="30"/>
        <v>June</v>
      </c>
      <c r="G970" s="6">
        <f t="shared" si="31"/>
        <v>24</v>
      </c>
      <c r="H970" s="1">
        <f>SUMIF('Retal Tran Line Item'!E:E,A970,'Retal Tran Line Item'!B:B)</f>
        <v>10</v>
      </c>
    </row>
    <row r="971" spans="1:8">
      <c r="A971" s="1">
        <v>100969</v>
      </c>
      <c r="B971" s="1">
        <v>185863</v>
      </c>
      <c r="C971" s="2">
        <v>41440</v>
      </c>
      <c r="D971" s="1" t="s">
        <v>1994</v>
      </c>
      <c r="E971" s="6">
        <v>1</v>
      </c>
      <c r="F971" s="6" t="str">
        <f t="shared" si="30"/>
        <v>June</v>
      </c>
      <c r="G971" s="6">
        <f t="shared" si="31"/>
        <v>24</v>
      </c>
      <c r="H971" s="1">
        <f>SUMIF('Retal Tran Line Item'!E:E,A971,'Retal Tran Line Item'!B:B)</f>
        <v>10</v>
      </c>
    </row>
    <row r="972" spans="1:8">
      <c r="A972" s="1">
        <v>100970</v>
      </c>
      <c r="B972" s="1">
        <v>744648</v>
      </c>
      <c r="C972" s="2">
        <v>41440</v>
      </c>
      <c r="D972" s="1" t="s">
        <v>1992</v>
      </c>
      <c r="E972" s="6">
        <v>2</v>
      </c>
      <c r="F972" s="6" t="str">
        <f t="shared" si="30"/>
        <v>June</v>
      </c>
      <c r="G972" s="6">
        <f t="shared" si="31"/>
        <v>24</v>
      </c>
      <c r="H972" s="1">
        <f>SUMIF('Retal Tran Line Item'!E:E,A972,'Retal Tran Line Item'!B:B)</f>
        <v>5</v>
      </c>
    </row>
    <row r="973" spans="1:8">
      <c r="A973" s="1">
        <v>100971</v>
      </c>
      <c r="B973" s="1">
        <v>304344</v>
      </c>
      <c r="C973" s="2">
        <v>41440</v>
      </c>
      <c r="D973" s="1" t="s">
        <v>1993</v>
      </c>
      <c r="E973" s="6">
        <v>1</v>
      </c>
      <c r="F973" s="6" t="str">
        <f t="shared" si="30"/>
        <v>June</v>
      </c>
      <c r="G973" s="6">
        <f t="shared" si="31"/>
        <v>24</v>
      </c>
      <c r="H973" s="1">
        <f>SUMIF('Retal Tran Line Item'!E:E,A973,'Retal Tran Line Item'!B:B)</f>
        <v>18</v>
      </c>
    </row>
    <row r="974" spans="1:8">
      <c r="A974" s="1">
        <v>100972</v>
      </c>
      <c r="B974" s="1">
        <v>663029</v>
      </c>
      <c r="C974" s="2">
        <v>41440</v>
      </c>
      <c r="D974" s="1" t="s">
        <v>1993</v>
      </c>
      <c r="E974" s="6">
        <v>2</v>
      </c>
      <c r="F974" s="6" t="str">
        <f t="shared" si="30"/>
        <v>June</v>
      </c>
      <c r="G974" s="6">
        <f t="shared" si="31"/>
        <v>24</v>
      </c>
      <c r="H974" s="1">
        <f>SUMIF('Retal Tran Line Item'!E:E,A974,'Retal Tran Line Item'!B:B)</f>
        <v>5</v>
      </c>
    </row>
    <row r="975" spans="1:8">
      <c r="A975" s="1">
        <v>100973</v>
      </c>
      <c r="B975" s="1">
        <v>412929</v>
      </c>
      <c r="C975" s="2">
        <v>41441</v>
      </c>
      <c r="D975" s="1" t="s">
        <v>1989</v>
      </c>
      <c r="E975" s="6">
        <v>2</v>
      </c>
      <c r="F975" s="6" t="str">
        <f t="shared" si="30"/>
        <v>June</v>
      </c>
      <c r="G975" s="6">
        <f t="shared" si="31"/>
        <v>25</v>
      </c>
      <c r="H975" s="1">
        <f>SUMIF('Retal Tran Line Item'!E:E,A975,'Retal Tran Line Item'!B:B)</f>
        <v>3</v>
      </c>
    </row>
    <row r="976" spans="1:8">
      <c r="A976" s="1">
        <v>100974</v>
      </c>
      <c r="B976" s="1">
        <v>667170</v>
      </c>
      <c r="C976" s="2">
        <v>41441</v>
      </c>
      <c r="D976" s="1" t="s">
        <v>1993</v>
      </c>
      <c r="E976" s="6">
        <v>2</v>
      </c>
      <c r="F976" s="6" t="str">
        <f t="shared" si="30"/>
        <v>June</v>
      </c>
      <c r="G976" s="6">
        <f t="shared" si="31"/>
        <v>25</v>
      </c>
      <c r="H976" s="1">
        <f>SUMIF('Retal Tran Line Item'!E:E,A976,'Retal Tran Line Item'!B:B)</f>
        <v>9</v>
      </c>
    </row>
    <row r="977" spans="1:8">
      <c r="A977" s="1">
        <v>100975</v>
      </c>
      <c r="B977" s="1">
        <v>412929</v>
      </c>
      <c r="C977" s="2">
        <v>41441</v>
      </c>
      <c r="D977" s="1" t="s">
        <v>1989</v>
      </c>
      <c r="E977" s="6">
        <v>2</v>
      </c>
      <c r="F977" s="6" t="str">
        <f t="shared" si="30"/>
        <v>June</v>
      </c>
      <c r="G977" s="6">
        <f t="shared" si="31"/>
        <v>25</v>
      </c>
      <c r="H977" s="1">
        <f>SUMIF('Retal Tran Line Item'!E:E,A977,'Retal Tran Line Item'!B:B)</f>
        <v>1</v>
      </c>
    </row>
    <row r="978" spans="1:8">
      <c r="A978" s="1">
        <v>100976</v>
      </c>
      <c r="B978" s="1">
        <v>559486</v>
      </c>
      <c r="C978" s="2">
        <v>41441</v>
      </c>
      <c r="D978" s="1" t="s">
        <v>1992</v>
      </c>
      <c r="E978" s="6">
        <v>1</v>
      </c>
      <c r="F978" s="6" t="str">
        <f t="shared" si="30"/>
        <v>June</v>
      </c>
      <c r="G978" s="6">
        <f t="shared" si="31"/>
        <v>25</v>
      </c>
      <c r="H978" s="1">
        <f>SUMIF('Retal Tran Line Item'!E:E,A978,'Retal Tran Line Item'!B:B)</f>
        <v>20</v>
      </c>
    </row>
    <row r="979" spans="1:8">
      <c r="A979" s="1">
        <v>100977</v>
      </c>
      <c r="B979" s="1">
        <v>292402</v>
      </c>
      <c r="C979" s="2">
        <v>41441</v>
      </c>
      <c r="D979" s="1" t="s">
        <v>1994</v>
      </c>
      <c r="E979" s="6">
        <v>1</v>
      </c>
      <c r="F979" s="6" t="str">
        <f t="shared" si="30"/>
        <v>June</v>
      </c>
      <c r="G979" s="6">
        <f t="shared" si="31"/>
        <v>25</v>
      </c>
      <c r="H979" s="1">
        <f>SUMIF('Retal Tran Line Item'!E:E,A979,'Retal Tran Line Item'!B:B)</f>
        <v>6</v>
      </c>
    </row>
    <row r="980" spans="1:8">
      <c r="A980" s="1">
        <v>100978</v>
      </c>
      <c r="B980" s="1">
        <v>745543</v>
      </c>
      <c r="C980" s="2">
        <v>41442</v>
      </c>
      <c r="D980" s="1" t="s">
        <v>1989</v>
      </c>
      <c r="E980" s="6">
        <v>1</v>
      </c>
      <c r="F980" s="6" t="str">
        <f t="shared" si="30"/>
        <v>June</v>
      </c>
      <c r="G980" s="6">
        <f t="shared" si="31"/>
        <v>25</v>
      </c>
      <c r="H980" s="1">
        <f>SUMIF('Retal Tran Line Item'!E:E,A980,'Retal Tran Line Item'!B:B)</f>
        <v>6</v>
      </c>
    </row>
    <row r="981" spans="1:8">
      <c r="A981" s="1">
        <v>100979</v>
      </c>
      <c r="B981" s="1">
        <v>297686</v>
      </c>
      <c r="C981" s="2">
        <v>41442</v>
      </c>
      <c r="D981" s="1" t="s">
        <v>1992</v>
      </c>
      <c r="E981" s="6">
        <v>1</v>
      </c>
      <c r="F981" s="6" t="str">
        <f t="shared" si="30"/>
        <v>June</v>
      </c>
      <c r="G981" s="6">
        <f t="shared" si="31"/>
        <v>25</v>
      </c>
      <c r="H981" s="1">
        <f>SUMIF('Retal Tran Line Item'!E:E,A981,'Retal Tran Line Item'!B:B)</f>
        <v>11</v>
      </c>
    </row>
    <row r="982" spans="1:8">
      <c r="A982" s="1">
        <v>100980</v>
      </c>
      <c r="B982" s="1">
        <v>256181</v>
      </c>
      <c r="C982" s="2">
        <v>41442</v>
      </c>
      <c r="D982" s="1" t="s">
        <v>1993</v>
      </c>
      <c r="E982" s="6">
        <v>1</v>
      </c>
      <c r="F982" s="6" t="str">
        <f t="shared" si="30"/>
        <v>June</v>
      </c>
      <c r="G982" s="6">
        <f t="shared" si="31"/>
        <v>25</v>
      </c>
      <c r="H982" s="1">
        <f>SUMIF('Retal Tran Line Item'!E:E,A982,'Retal Tran Line Item'!B:B)</f>
        <v>11</v>
      </c>
    </row>
    <row r="983" spans="1:8">
      <c r="A983" s="1">
        <v>100981</v>
      </c>
      <c r="B983" s="1">
        <v>220206</v>
      </c>
      <c r="C983" s="2">
        <v>41442</v>
      </c>
      <c r="D983" s="1" t="s">
        <v>1992</v>
      </c>
      <c r="E983" s="6">
        <v>1</v>
      </c>
      <c r="F983" s="6" t="str">
        <f t="shared" si="30"/>
        <v>June</v>
      </c>
      <c r="G983" s="6">
        <f t="shared" si="31"/>
        <v>25</v>
      </c>
      <c r="H983" s="1">
        <f>SUMIF('Retal Tran Line Item'!E:E,A983,'Retal Tran Line Item'!B:B)</f>
        <v>8</v>
      </c>
    </row>
    <row r="984" spans="1:8">
      <c r="A984" s="1">
        <v>100982</v>
      </c>
      <c r="B984" s="1">
        <v>520078</v>
      </c>
      <c r="C984" s="2">
        <v>41442</v>
      </c>
      <c r="D984" s="1" t="s">
        <v>1989</v>
      </c>
      <c r="E984" s="6">
        <v>1</v>
      </c>
      <c r="F984" s="6" t="str">
        <f t="shared" si="30"/>
        <v>June</v>
      </c>
      <c r="G984" s="6">
        <f t="shared" si="31"/>
        <v>25</v>
      </c>
      <c r="H984" s="1">
        <f>SUMIF('Retal Tran Line Item'!E:E,A984,'Retal Tran Line Item'!B:B)</f>
        <v>10</v>
      </c>
    </row>
    <row r="985" spans="1:8">
      <c r="A985" s="1">
        <v>100983</v>
      </c>
      <c r="B985" s="1">
        <v>933331</v>
      </c>
      <c r="C985" s="2">
        <v>41442</v>
      </c>
      <c r="D985" s="1" t="s">
        <v>1994</v>
      </c>
      <c r="E985" s="6">
        <v>2</v>
      </c>
      <c r="F985" s="6" t="str">
        <f t="shared" si="30"/>
        <v>June</v>
      </c>
      <c r="G985" s="6">
        <f t="shared" si="31"/>
        <v>25</v>
      </c>
      <c r="H985" s="1">
        <f>SUMIF('Retal Tran Line Item'!E:E,A985,'Retal Tran Line Item'!B:B)</f>
        <v>16</v>
      </c>
    </row>
    <row r="986" spans="1:8">
      <c r="A986" s="1">
        <v>100984</v>
      </c>
      <c r="B986" s="1">
        <v>413292</v>
      </c>
      <c r="C986" s="2">
        <v>41442</v>
      </c>
      <c r="D986" s="1" t="s">
        <v>1993</v>
      </c>
      <c r="E986" s="6">
        <v>1</v>
      </c>
      <c r="F986" s="6" t="str">
        <f t="shared" si="30"/>
        <v>June</v>
      </c>
      <c r="G986" s="6">
        <f t="shared" si="31"/>
        <v>25</v>
      </c>
      <c r="H986" s="1">
        <f>SUMIF('Retal Tran Line Item'!E:E,A986,'Retal Tran Line Item'!B:B)</f>
        <v>16</v>
      </c>
    </row>
    <row r="987" spans="1:8">
      <c r="A987" s="1">
        <v>100985</v>
      </c>
      <c r="B987" s="1">
        <v>236554</v>
      </c>
      <c r="C987" s="2">
        <v>41442</v>
      </c>
      <c r="D987" s="1" t="s">
        <v>1993</v>
      </c>
      <c r="E987" s="6">
        <v>2</v>
      </c>
      <c r="F987" s="6" t="str">
        <f t="shared" si="30"/>
        <v>June</v>
      </c>
      <c r="G987" s="6">
        <f t="shared" si="31"/>
        <v>25</v>
      </c>
      <c r="H987" s="1">
        <f>SUMIF('Retal Tran Line Item'!E:E,A987,'Retal Tran Line Item'!B:B)</f>
        <v>5</v>
      </c>
    </row>
    <row r="988" spans="1:8">
      <c r="A988" s="1">
        <v>100986</v>
      </c>
      <c r="B988" s="1">
        <v>507743</v>
      </c>
      <c r="C988" s="2">
        <v>41442</v>
      </c>
      <c r="D988" s="1" t="s">
        <v>1993</v>
      </c>
      <c r="E988" s="6">
        <v>2</v>
      </c>
      <c r="F988" s="6" t="str">
        <f t="shared" si="30"/>
        <v>June</v>
      </c>
      <c r="G988" s="6">
        <f t="shared" si="31"/>
        <v>25</v>
      </c>
      <c r="H988" s="1">
        <f>SUMIF('Retal Tran Line Item'!E:E,A988,'Retal Tran Line Item'!B:B)</f>
        <v>20</v>
      </c>
    </row>
    <row r="989" spans="1:8">
      <c r="A989" s="1">
        <v>100987</v>
      </c>
      <c r="B989" s="1">
        <v>815980</v>
      </c>
      <c r="C989" s="2">
        <v>41443</v>
      </c>
      <c r="D989" s="1" t="s">
        <v>1992</v>
      </c>
      <c r="E989" s="6">
        <v>2</v>
      </c>
      <c r="F989" s="6" t="str">
        <f t="shared" si="30"/>
        <v>June</v>
      </c>
      <c r="G989" s="6">
        <f t="shared" si="31"/>
        <v>25</v>
      </c>
      <c r="H989" s="1">
        <f>SUMIF('Retal Tran Line Item'!E:E,A989,'Retal Tran Line Item'!B:B)</f>
        <v>6</v>
      </c>
    </row>
    <row r="990" spans="1:8">
      <c r="A990" s="1">
        <v>100988</v>
      </c>
      <c r="B990" s="1">
        <v>343021</v>
      </c>
      <c r="C990" s="2">
        <v>41443</v>
      </c>
      <c r="D990" s="1" t="s">
        <v>1989</v>
      </c>
      <c r="E990" s="6">
        <v>1</v>
      </c>
      <c r="F990" s="6" t="str">
        <f t="shared" si="30"/>
        <v>June</v>
      </c>
      <c r="G990" s="6">
        <f t="shared" si="31"/>
        <v>25</v>
      </c>
      <c r="H990" s="1">
        <f>SUMIF('Retal Tran Line Item'!E:E,A990,'Retal Tran Line Item'!B:B)</f>
        <v>7</v>
      </c>
    </row>
    <row r="991" spans="1:8">
      <c r="A991" s="1">
        <v>100989</v>
      </c>
      <c r="B991" s="1">
        <v>393120</v>
      </c>
      <c r="C991" s="2">
        <v>41443</v>
      </c>
      <c r="D991" s="1" t="s">
        <v>1993</v>
      </c>
      <c r="E991" s="6">
        <v>2</v>
      </c>
      <c r="F991" s="6" t="str">
        <f t="shared" si="30"/>
        <v>June</v>
      </c>
      <c r="G991" s="6">
        <f t="shared" si="31"/>
        <v>25</v>
      </c>
      <c r="H991" s="1">
        <f>SUMIF('Retal Tran Line Item'!E:E,A991,'Retal Tran Line Item'!B:B)</f>
        <v>11</v>
      </c>
    </row>
    <row r="992" spans="1:8">
      <c r="A992" s="1">
        <v>100990</v>
      </c>
      <c r="B992" s="1">
        <v>484909</v>
      </c>
      <c r="C992" s="2">
        <v>41443</v>
      </c>
      <c r="D992" s="1" t="s">
        <v>1994</v>
      </c>
      <c r="E992" s="6">
        <v>2</v>
      </c>
      <c r="F992" s="6" t="str">
        <f t="shared" si="30"/>
        <v>June</v>
      </c>
      <c r="G992" s="6">
        <f t="shared" si="31"/>
        <v>25</v>
      </c>
      <c r="H992" s="1">
        <f>SUMIF('Retal Tran Line Item'!E:E,A992,'Retal Tran Line Item'!B:B)</f>
        <v>3</v>
      </c>
    </row>
    <row r="993" spans="1:8">
      <c r="A993" s="1">
        <v>100991</v>
      </c>
      <c r="B993" s="1">
        <v>612681</v>
      </c>
      <c r="C993" s="2">
        <v>41443</v>
      </c>
      <c r="D993" s="1" t="s">
        <v>1993</v>
      </c>
      <c r="E993" s="6">
        <v>2</v>
      </c>
      <c r="F993" s="6" t="str">
        <f t="shared" si="30"/>
        <v>June</v>
      </c>
      <c r="G993" s="6">
        <f t="shared" si="31"/>
        <v>25</v>
      </c>
      <c r="H993" s="1">
        <f>SUMIF('Retal Tran Line Item'!E:E,A993,'Retal Tran Line Item'!B:B)</f>
        <v>10</v>
      </c>
    </row>
    <row r="994" spans="1:8">
      <c r="A994" s="1">
        <v>100992</v>
      </c>
      <c r="B994" s="1">
        <v>478274</v>
      </c>
      <c r="C994" s="2">
        <v>41443</v>
      </c>
      <c r="D994" s="1" t="s">
        <v>1993</v>
      </c>
      <c r="E994" s="6">
        <v>1</v>
      </c>
      <c r="F994" s="6" t="str">
        <f t="shared" si="30"/>
        <v>June</v>
      </c>
      <c r="G994" s="6">
        <f t="shared" si="31"/>
        <v>25</v>
      </c>
      <c r="H994" s="1">
        <f>SUMIF('Retal Tran Line Item'!E:E,A994,'Retal Tran Line Item'!B:B)</f>
        <v>7</v>
      </c>
    </row>
    <row r="995" spans="1:8">
      <c r="A995" s="1">
        <v>100993</v>
      </c>
      <c r="B995" s="1">
        <v>168607</v>
      </c>
      <c r="C995" s="2">
        <v>41443</v>
      </c>
      <c r="D995" s="1" t="s">
        <v>1993</v>
      </c>
      <c r="E995" s="6">
        <v>1</v>
      </c>
      <c r="F995" s="6" t="str">
        <f t="shared" si="30"/>
        <v>June</v>
      </c>
      <c r="G995" s="6">
        <f t="shared" si="31"/>
        <v>25</v>
      </c>
      <c r="H995" s="1">
        <f>SUMIF('Retal Tran Line Item'!E:E,A995,'Retal Tran Line Item'!B:B)</f>
        <v>11</v>
      </c>
    </row>
    <row r="996" spans="1:8">
      <c r="A996" s="1">
        <v>100994</v>
      </c>
      <c r="B996" s="1">
        <v>149240</v>
      </c>
      <c r="C996" s="2">
        <v>41443</v>
      </c>
      <c r="D996" s="1" t="s">
        <v>1992</v>
      </c>
      <c r="E996" s="6">
        <v>1</v>
      </c>
      <c r="F996" s="6" t="str">
        <f t="shared" si="30"/>
        <v>June</v>
      </c>
      <c r="G996" s="6">
        <f t="shared" si="31"/>
        <v>25</v>
      </c>
      <c r="H996" s="1">
        <f>SUMIF('Retal Tran Line Item'!E:E,A996,'Retal Tran Line Item'!B:B)</f>
        <v>6</v>
      </c>
    </row>
    <row r="997" spans="1:8">
      <c r="A997" s="1">
        <v>100995</v>
      </c>
      <c r="B997" s="1">
        <v>306475</v>
      </c>
      <c r="C997" s="2">
        <v>41444</v>
      </c>
      <c r="D997" s="1" t="s">
        <v>1992</v>
      </c>
      <c r="E997" s="6">
        <v>1</v>
      </c>
      <c r="F997" s="6" t="str">
        <f t="shared" si="30"/>
        <v>June</v>
      </c>
      <c r="G997" s="6">
        <f t="shared" si="31"/>
        <v>25</v>
      </c>
      <c r="H997" s="1">
        <f>SUMIF('Retal Tran Line Item'!E:E,A997,'Retal Tran Line Item'!B:B)</f>
        <v>1</v>
      </c>
    </row>
    <row r="998" spans="1:8">
      <c r="A998" s="1">
        <v>100996</v>
      </c>
      <c r="B998" s="1">
        <v>520196</v>
      </c>
      <c r="C998" s="2">
        <v>41444</v>
      </c>
      <c r="D998" s="1" t="s">
        <v>1992</v>
      </c>
      <c r="E998" s="6">
        <v>1</v>
      </c>
      <c r="F998" s="6" t="str">
        <f t="shared" si="30"/>
        <v>June</v>
      </c>
      <c r="G998" s="6">
        <f t="shared" si="31"/>
        <v>25</v>
      </c>
      <c r="H998" s="1">
        <f>SUMIF('Retal Tran Line Item'!E:E,A998,'Retal Tran Line Item'!B:B)</f>
        <v>18</v>
      </c>
    </row>
    <row r="999" spans="1:8">
      <c r="A999" s="1">
        <v>100997</v>
      </c>
      <c r="B999" s="1">
        <v>791850</v>
      </c>
      <c r="C999" s="2">
        <v>41444</v>
      </c>
      <c r="D999" s="1" t="s">
        <v>1994</v>
      </c>
      <c r="E999" s="6">
        <v>1</v>
      </c>
      <c r="F999" s="6" t="str">
        <f t="shared" si="30"/>
        <v>June</v>
      </c>
      <c r="G999" s="6">
        <f t="shared" si="31"/>
        <v>25</v>
      </c>
      <c r="H999" s="1">
        <f>SUMIF('Retal Tran Line Item'!E:E,A999,'Retal Tran Line Item'!B:B)</f>
        <v>16</v>
      </c>
    </row>
    <row r="1000" spans="1:8">
      <c r="A1000" s="1">
        <v>100998</v>
      </c>
      <c r="B1000" s="1">
        <v>592726</v>
      </c>
      <c r="C1000" s="2">
        <v>41444</v>
      </c>
      <c r="D1000" s="1" t="s">
        <v>1993</v>
      </c>
      <c r="E1000" s="6">
        <v>1</v>
      </c>
      <c r="F1000" s="6" t="str">
        <f t="shared" si="30"/>
        <v>June</v>
      </c>
      <c r="G1000" s="6">
        <f t="shared" si="31"/>
        <v>25</v>
      </c>
      <c r="H1000" s="1">
        <f>SUMIF('Retal Tran Line Item'!E:E,A1000,'Retal Tran Line Item'!B:B)</f>
        <v>6</v>
      </c>
    </row>
    <row r="1001" spans="1:8">
      <c r="A1001" s="1">
        <v>100999</v>
      </c>
      <c r="B1001" s="1">
        <v>465275</v>
      </c>
      <c r="C1001" s="2">
        <v>41444</v>
      </c>
      <c r="D1001" s="1" t="s">
        <v>1992</v>
      </c>
      <c r="E1001" s="6">
        <v>2</v>
      </c>
      <c r="F1001" s="6" t="str">
        <f t="shared" si="30"/>
        <v>June</v>
      </c>
      <c r="G1001" s="6">
        <f t="shared" si="31"/>
        <v>25</v>
      </c>
      <c r="H1001" s="1">
        <f>SUMIF('Retal Tran Line Item'!E:E,A1001,'Retal Tran Line Item'!B:B)</f>
        <v>9</v>
      </c>
    </row>
    <row r="1002" spans="1:8">
      <c r="A1002" s="1">
        <v>101000</v>
      </c>
      <c r="B1002" s="1">
        <v>743517</v>
      </c>
      <c r="C1002" s="2">
        <v>41444</v>
      </c>
      <c r="D1002" s="1" t="s">
        <v>1994</v>
      </c>
      <c r="E1002" s="6">
        <v>1</v>
      </c>
      <c r="F1002" s="6" t="str">
        <f t="shared" si="30"/>
        <v>June</v>
      </c>
      <c r="G1002" s="6">
        <f t="shared" si="31"/>
        <v>25</v>
      </c>
      <c r="H1002" s="1">
        <f>SUMIF('Retal Tran Line Item'!E:E,A1002,'Retal Tran Line Item'!B:B)</f>
        <v>9</v>
      </c>
    </row>
    <row r="1003" spans="1:8">
      <c r="A1003" s="1">
        <v>101001</v>
      </c>
      <c r="B1003" s="1">
        <v>818287</v>
      </c>
      <c r="C1003" s="2">
        <v>41444</v>
      </c>
      <c r="D1003" s="1" t="s">
        <v>1994</v>
      </c>
      <c r="E1003" s="6">
        <v>1</v>
      </c>
      <c r="F1003" s="6" t="str">
        <f t="shared" si="30"/>
        <v>June</v>
      </c>
      <c r="G1003" s="6">
        <f t="shared" si="31"/>
        <v>25</v>
      </c>
      <c r="H1003" s="1">
        <f>SUMIF('Retal Tran Line Item'!E:E,A1003,'Retal Tran Line Item'!B:B)</f>
        <v>20</v>
      </c>
    </row>
    <row r="1004" spans="1:8">
      <c r="A1004" s="1">
        <v>101002</v>
      </c>
      <c r="B1004" s="1">
        <v>548546</v>
      </c>
      <c r="C1004" s="2">
        <v>41444</v>
      </c>
      <c r="D1004" s="1" t="s">
        <v>1994</v>
      </c>
      <c r="E1004" s="6">
        <v>2</v>
      </c>
      <c r="F1004" s="6" t="str">
        <f t="shared" si="30"/>
        <v>June</v>
      </c>
      <c r="G1004" s="6">
        <f t="shared" si="31"/>
        <v>25</v>
      </c>
      <c r="H1004" s="1">
        <f>SUMIF('Retal Tran Line Item'!E:E,A1004,'Retal Tran Line Item'!B:B)</f>
        <v>12</v>
      </c>
    </row>
    <row r="1005" spans="1:8">
      <c r="A1005" s="1">
        <v>101003</v>
      </c>
      <c r="B1005" s="1">
        <v>319387</v>
      </c>
      <c r="C1005" s="2">
        <v>41444</v>
      </c>
      <c r="D1005" s="1" t="s">
        <v>1993</v>
      </c>
      <c r="E1005" s="6">
        <v>2</v>
      </c>
      <c r="F1005" s="6" t="str">
        <f t="shared" si="30"/>
        <v>June</v>
      </c>
      <c r="G1005" s="6">
        <f t="shared" si="31"/>
        <v>25</v>
      </c>
      <c r="H1005" s="1">
        <f>SUMIF('Retal Tran Line Item'!E:E,A1005,'Retal Tran Line Item'!B:B)</f>
        <v>8</v>
      </c>
    </row>
    <row r="1006" spans="1:8">
      <c r="A1006" s="1">
        <v>101004</v>
      </c>
      <c r="B1006" s="1">
        <v>109251</v>
      </c>
      <c r="C1006" s="2">
        <v>41445</v>
      </c>
      <c r="D1006" s="1" t="s">
        <v>1993</v>
      </c>
      <c r="E1006" s="6">
        <v>2</v>
      </c>
      <c r="F1006" s="6" t="str">
        <f t="shared" si="30"/>
        <v>June</v>
      </c>
      <c r="G1006" s="6">
        <f t="shared" si="31"/>
        <v>25</v>
      </c>
      <c r="H1006" s="1">
        <f>SUMIF('Retal Tran Line Item'!E:E,A1006,'Retal Tran Line Item'!B:B)</f>
        <v>24</v>
      </c>
    </row>
    <row r="1007" spans="1:8">
      <c r="A1007" s="1">
        <v>101005</v>
      </c>
      <c r="B1007" s="1">
        <v>746134</v>
      </c>
      <c r="C1007" s="2">
        <v>41445</v>
      </c>
      <c r="D1007" s="1" t="s">
        <v>1994</v>
      </c>
      <c r="E1007" s="6">
        <v>2</v>
      </c>
      <c r="F1007" s="6" t="str">
        <f t="shared" si="30"/>
        <v>June</v>
      </c>
      <c r="G1007" s="6">
        <f t="shared" si="31"/>
        <v>25</v>
      </c>
      <c r="H1007" s="1">
        <f>SUMIF('Retal Tran Line Item'!E:E,A1007,'Retal Tran Line Item'!B:B)</f>
        <v>7</v>
      </c>
    </row>
    <row r="1008" spans="1:8">
      <c r="A1008" s="1">
        <v>101006</v>
      </c>
      <c r="B1008" s="1">
        <v>741514</v>
      </c>
      <c r="C1008" s="2">
        <v>41445</v>
      </c>
      <c r="D1008" s="1" t="s">
        <v>1992</v>
      </c>
      <c r="E1008" s="6">
        <v>2</v>
      </c>
      <c r="F1008" s="6" t="str">
        <f t="shared" si="30"/>
        <v>June</v>
      </c>
      <c r="G1008" s="6">
        <f t="shared" si="31"/>
        <v>25</v>
      </c>
      <c r="H1008" s="1">
        <f>SUMIF('Retal Tran Line Item'!E:E,A1008,'Retal Tran Line Item'!B:B)</f>
        <v>9</v>
      </c>
    </row>
    <row r="1009" spans="1:8">
      <c r="A1009" s="1">
        <v>101007</v>
      </c>
      <c r="B1009" s="1">
        <v>755271</v>
      </c>
      <c r="C1009" s="2">
        <v>41445</v>
      </c>
      <c r="D1009" s="1" t="s">
        <v>1989</v>
      </c>
      <c r="E1009" s="6">
        <v>2</v>
      </c>
      <c r="F1009" s="6" t="str">
        <f t="shared" si="30"/>
        <v>June</v>
      </c>
      <c r="G1009" s="6">
        <f t="shared" si="31"/>
        <v>25</v>
      </c>
      <c r="H1009" s="1">
        <f>SUMIF('Retal Tran Line Item'!E:E,A1009,'Retal Tran Line Item'!B:B)</f>
        <v>10</v>
      </c>
    </row>
    <row r="1010" spans="1:8">
      <c r="A1010" s="1">
        <v>101008</v>
      </c>
      <c r="B1010" s="1">
        <v>840096</v>
      </c>
      <c r="C1010" s="2">
        <v>41445</v>
      </c>
      <c r="D1010" s="1" t="s">
        <v>1992</v>
      </c>
      <c r="E1010" s="6">
        <v>1</v>
      </c>
      <c r="F1010" s="6" t="str">
        <f t="shared" si="30"/>
        <v>June</v>
      </c>
      <c r="G1010" s="6">
        <f t="shared" si="31"/>
        <v>25</v>
      </c>
      <c r="H1010" s="1">
        <f>SUMIF('Retal Tran Line Item'!E:E,A1010,'Retal Tran Line Item'!B:B)</f>
        <v>10</v>
      </c>
    </row>
    <row r="1011" spans="1:8">
      <c r="A1011" s="1">
        <v>101009</v>
      </c>
      <c r="B1011" s="1">
        <v>912671</v>
      </c>
      <c r="C1011" s="2">
        <v>41445</v>
      </c>
      <c r="D1011" s="1" t="s">
        <v>1992</v>
      </c>
      <c r="E1011" s="6">
        <v>1</v>
      </c>
      <c r="F1011" s="6" t="str">
        <f t="shared" si="30"/>
        <v>June</v>
      </c>
      <c r="G1011" s="6">
        <f t="shared" si="31"/>
        <v>25</v>
      </c>
      <c r="H1011" s="1">
        <f>SUMIF('Retal Tran Line Item'!E:E,A1011,'Retal Tran Line Item'!B:B)</f>
        <v>4</v>
      </c>
    </row>
    <row r="1012" spans="1:8">
      <c r="A1012" s="1">
        <v>101010</v>
      </c>
      <c r="B1012" s="1">
        <v>885548</v>
      </c>
      <c r="C1012" s="2">
        <v>41445</v>
      </c>
      <c r="D1012" s="1" t="s">
        <v>1992</v>
      </c>
      <c r="E1012" s="6">
        <v>1</v>
      </c>
      <c r="F1012" s="6" t="str">
        <f t="shared" si="30"/>
        <v>June</v>
      </c>
      <c r="G1012" s="6">
        <f t="shared" si="31"/>
        <v>25</v>
      </c>
      <c r="H1012" s="1">
        <f>SUMIF('Retal Tran Line Item'!E:E,A1012,'Retal Tran Line Item'!B:B)</f>
        <v>1</v>
      </c>
    </row>
    <row r="1013" spans="1:8">
      <c r="A1013" s="1">
        <v>101011</v>
      </c>
      <c r="B1013" s="1">
        <v>798336</v>
      </c>
      <c r="C1013" s="2">
        <v>41445</v>
      </c>
      <c r="D1013" s="1" t="s">
        <v>1989</v>
      </c>
      <c r="E1013" s="6">
        <v>2</v>
      </c>
      <c r="F1013" s="6" t="str">
        <f t="shared" si="30"/>
        <v>June</v>
      </c>
      <c r="G1013" s="6">
        <f t="shared" si="31"/>
        <v>25</v>
      </c>
      <c r="H1013" s="1">
        <f>SUMIF('Retal Tran Line Item'!E:E,A1013,'Retal Tran Line Item'!B:B)</f>
        <v>21</v>
      </c>
    </row>
    <row r="1014" spans="1:8">
      <c r="A1014" s="1">
        <v>101012</v>
      </c>
      <c r="B1014" s="1">
        <v>646700</v>
      </c>
      <c r="C1014" s="2">
        <v>41446</v>
      </c>
      <c r="D1014" s="1" t="s">
        <v>1989</v>
      </c>
      <c r="E1014" s="6">
        <v>2</v>
      </c>
      <c r="F1014" s="6" t="str">
        <f t="shared" si="30"/>
        <v>June</v>
      </c>
      <c r="G1014" s="6">
        <f t="shared" si="31"/>
        <v>25</v>
      </c>
      <c r="H1014" s="1">
        <f>SUMIF('Retal Tran Line Item'!E:E,A1014,'Retal Tran Line Item'!B:B)</f>
        <v>1</v>
      </c>
    </row>
    <row r="1015" spans="1:8">
      <c r="A1015" s="1">
        <v>101013</v>
      </c>
      <c r="B1015" s="1">
        <v>745543</v>
      </c>
      <c r="C1015" s="2">
        <v>41446</v>
      </c>
      <c r="D1015" s="1" t="s">
        <v>1989</v>
      </c>
      <c r="E1015" s="6">
        <v>2</v>
      </c>
      <c r="F1015" s="6" t="str">
        <f t="shared" si="30"/>
        <v>June</v>
      </c>
      <c r="G1015" s="6">
        <f t="shared" si="31"/>
        <v>25</v>
      </c>
      <c r="H1015" s="1">
        <f>SUMIF('Retal Tran Line Item'!E:E,A1015,'Retal Tran Line Item'!B:B)</f>
        <v>17</v>
      </c>
    </row>
    <row r="1016" spans="1:8">
      <c r="A1016" s="1">
        <v>101014</v>
      </c>
      <c r="B1016" s="1">
        <v>680104</v>
      </c>
      <c r="C1016" s="2">
        <v>41446</v>
      </c>
      <c r="D1016" s="1" t="s">
        <v>1992</v>
      </c>
      <c r="E1016" s="6">
        <v>2</v>
      </c>
      <c r="F1016" s="6" t="str">
        <f t="shared" si="30"/>
        <v>June</v>
      </c>
      <c r="G1016" s="6">
        <f t="shared" si="31"/>
        <v>25</v>
      </c>
      <c r="H1016" s="1">
        <f>SUMIF('Retal Tran Line Item'!E:E,A1016,'Retal Tran Line Item'!B:B)</f>
        <v>6</v>
      </c>
    </row>
    <row r="1017" spans="1:8">
      <c r="A1017" s="1">
        <v>101015</v>
      </c>
      <c r="B1017" s="1">
        <v>646700</v>
      </c>
      <c r="C1017" s="2">
        <v>41446</v>
      </c>
      <c r="D1017" s="1" t="s">
        <v>1989</v>
      </c>
      <c r="E1017" s="6">
        <v>1</v>
      </c>
      <c r="F1017" s="6" t="str">
        <f t="shared" si="30"/>
        <v>June</v>
      </c>
      <c r="G1017" s="6">
        <f t="shared" si="31"/>
        <v>25</v>
      </c>
      <c r="H1017" s="1">
        <f>SUMIF('Retal Tran Line Item'!E:E,A1017,'Retal Tran Line Item'!B:B)</f>
        <v>3</v>
      </c>
    </row>
    <row r="1018" spans="1:8">
      <c r="A1018" s="1">
        <v>101016</v>
      </c>
      <c r="B1018" s="1">
        <v>612681</v>
      </c>
      <c r="C1018" s="2">
        <v>41446</v>
      </c>
      <c r="D1018" s="1" t="s">
        <v>1993</v>
      </c>
      <c r="E1018" s="6">
        <v>1</v>
      </c>
      <c r="F1018" s="6" t="str">
        <f t="shared" si="30"/>
        <v>June</v>
      </c>
      <c r="G1018" s="6">
        <f t="shared" si="31"/>
        <v>25</v>
      </c>
      <c r="H1018" s="1">
        <f>SUMIF('Retal Tran Line Item'!E:E,A1018,'Retal Tran Line Item'!B:B)</f>
        <v>14</v>
      </c>
    </row>
    <row r="1019" spans="1:8">
      <c r="A1019" s="1">
        <v>101017</v>
      </c>
      <c r="B1019" s="1">
        <v>355107</v>
      </c>
      <c r="C1019" s="2">
        <v>41446</v>
      </c>
      <c r="D1019" s="1" t="s">
        <v>1989</v>
      </c>
      <c r="E1019" s="6">
        <v>2</v>
      </c>
      <c r="F1019" s="6" t="str">
        <f t="shared" si="30"/>
        <v>June</v>
      </c>
      <c r="G1019" s="6">
        <f t="shared" si="31"/>
        <v>25</v>
      </c>
      <c r="H1019" s="1">
        <f>SUMIF('Retal Tran Line Item'!E:E,A1019,'Retal Tran Line Item'!B:B)</f>
        <v>13</v>
      </c>
    </row>
    <row r="1020" spans="1:8">
      <c r="A1020" s="1">
        <v>101018</v>
      </c>
      <c r="B1020" s="1">
        <v>484909</v>
      </c>
      <c r="C1020" s="2">
        <v>41446</v>
      </c>
      <c r="D1020" s="1" t="s">
        <v>1994</v>
      </c>
      <c r="E1020" s="6">
        <v>2</v>
      </c>
      <c r="F1020" s="6" t="str">
        <f t="shared" si="30"/>
        <v>June</v>
      </c>
      <c r="G1020" s="6">
        <f t="shared" si="31"/>
        <v>25</v>
      </c>
      <c r="H1020" s="1">
        <f>SUMIF('Retal Tran Line Item'!E:E,A1020,'Retal Tran Line Item'!B:B)</f>
        <v>3</v>
      </c>
    </row>
    <row r="1021" spans="1:8">
      <c r="A1021" s="1">
        <v>101019</v>
      </c>
      <c r="B1021" s="1">
        <v>310195</v>
      </c>
      <c r="C1021" s="2">
        <v>41447</v>
      </c>
      <c r="D1021" s="1" t="s">
        <v>1993</v>
      </c>
      <c r="E1021" s="6">
        <v>1</v>
      </c>
      <c r="F1021" s="6" t="str">
        <f t="shared" si="30"/>
        <v>June</v>
      </c>
      <c r="G1021" s="6">
        <f t="shared" si="31"/>
        <v>25</v>
      </c>
      <c r="H1021" s="1">
        <f>SUMIF('Retal Tran Line Item'!E:E,A1021,'Retal Tran Line Item'!B:B)</f>
        <v>8</v>
      </c>
    </row>
    <row r="1022" spans="1:8">
      <c r="A1022" s="1">
        <v>101020</v>
      </c>
      <c r="B1022" s="1">
        <v>901388</v>
      </c>
      <c r="C1022" s="2">
        <v>41447</v>
      </c>
      <c r="D1022" s="1" t="s">
        <v>1992</v>
      </c>
      <c r="E1022" s="6">
        <v>2</v>
      </c>
      <c r="F1022" s="6" t="str">
        <f t="shared" si="30"/>
        <v>June</v>
      </c>
      <c r="G1022" s="6">
        <f t="shared" si="31"/>
        <v>25</v>
      </c>
      <c r="H1022" s="1">
        <f>SUMIF('Retal Tran Line Item'!E:E,A1022,'Retal Tran Line Item'!B:B)</f>
        <v>12</v>
      </c>
    </row>
    <row r="1023" spans="1:8">
      <c r="A1023" s="1">
        <v>101021</v>
      </c>
      <c r="B1023" s="1">
        <v>747066</v>
      </c>
      <c r="C1023" s="2">
        <v>41447</v>
      </c>
      <c r="D1023" s="1" t="s">
        <v>1993</v>
      </c>
      <c r="E1023" s="6">
        <v>2</v>
      </c>
      <c r="F1023" s="6" t="str">
        <f t="shared" si="30"/>
        <v>June</v>
      </c>
      <c r="G1023" s="6">
        <f t="shared" si="31"/>
        <v>25</v>
      </c>
      <c r="H1023" s="1">
        <f>SUMIF('Retal Tran Line Item'!E:E,A1023,'Retal Tran Line Item'!B:B)</f>
        <v>11</v>
      </c>
    </row>
    <row r="1024" spans="1:8">
      <c r="A1024" s="1">
        <v>101022</v>
      </c>
      <c r="B1024" s="1">
        <v>306853</v>
      </c>
      <c r="C1024" s="2">
        <v>41447</v>
      </c>
      <c r="D1024" s="1" t="s">
        <v>1989</v>
      </c>
      <c r="E1024" s="6">
        <v>1</v>
      </c>
      <c r="F1024" s="6" t="str">
        <f t="shared" si="30"/>
        <v>June</v>
      </c>
      <c r="G1024" s="6">
        <f t="shared" si="31"/>
        <v>25</v>
      </c>
      <c r="H1024" s="1">
        <f>SUMIF('Retal Tran Line Item'!E:E,A1024,'Retal Tran Line Item'!B:B)</f>
        <v>13</v>
      </c>
    </row>
    <row r="1025" spans="1:8">
      <c r="A1025" s="1">
        <v>101023</v>
      </c>
      <c r="B1025" s="1">
        <v>905670</v>
      </c>
      <c r="C1025" s="2">
        <v>41447</v>
      </c>
      <c r="D1025" s="1" t="s">
        <v>1993</v>
      </c>
      <c r="E1025" s="6">
        <v>2</v>
      </c>
      <c r="F1025" s="6" t="str">
        <f t="shared" si="30"/>
        <v>June</v>
      </c>
      <c r="G1025" s="6">
        <f t="shared" si="31"/>
        <v>25</v>
      </c>
      <c r="H1025" s="1">
        <f>SUMIF('Retal Tran Line Item'!E:E,A1025,'Retal Tran Line Item'!B:B)</f>
        <v>15</v>
      </c>
    </row>
    <row r="1026" spans="1:8">
      <c r="A1026" s="1">
        <v>101024</v>
      </c>
      <c r="B1026" s="1">
        <v>847289</v>
      </c>
      <c r="C1026" s="2">
        <v>41447</v>
      </c>
      <c r="D1026" s="1" t="s">
        <v>1992</v>
      </c>
      <c r="E1026" s="6">
        <v>1</v>
      </c>
      <c r="F1026" s="6" t="str">
        <f t="shared" si="30"/>
        <v>June</v>
      </c>
      <c r="G1026" s="6">
        <f t="shared" si="31"/>
        <v>25</v>
      </c>
      <c r="H1026" s="1">
        <f>SUMIF('Retal Tran Line Item'!E:E,A1026,'Retal Tran Line Item'!B:B)</f>
        <v>10</v>
      </c>
    </row>
    <row r="1027" spans="1:8">
      <c r="A1027" s="1">
        <v>101025</v>
      </c>
      <c r="B1027" s="1">
        <v>289693</v>
      </c>
      <c r="C1027" s="2">
        <v>41447</v>
      </c>
      <c r="D1027" s="1" t="s">
        <v>1989</v>
      </c>
      <c r="E1027" s="6">
        <v>1</v>
      </c>
      <c r="F1027" s="6" t="str">
        <f t="shared" ref="F1027:F1090" si="32">TEXT(C1027,"MMMM")</f>
        <v>June</v>
      </c>
      <c r="G1027" s="6">
        <f t="shared" ref="G1027:G1090" si="33">WEEKNUM(C1027)</f>
        <v>25</v>
      </c>
      <c r="H1027" s="1">
        <f>SUMIF('Retal Tran Line Item'!E:E,A1027,'Retal Tran Line Item'!B:B)</f>
        <v>4</v>
      </c>
    </row>
    <row r="1028" spans="1:8">
      <c r="A1028" s="1">
        <v>101026</v>
      </c>
      <c r="B1028" s="1">
        <v>619910</v>
      </c>
      <c r="C1028" s="2">
        <v>41447</v>
      </c>
      <c r="D1028" s="1" t="s">
        <v>1994</v>
      </c>
      <c r="E1028" s="6">
        <v>1</v>
      </c>
      <c r="F1028" s="6" t="str">
        <f t="shared" si="32"/>
        <v>June</v>
      </c>
      <c r="G1028" s="6">
        <f t="shared" si="33"/>
        <v>25</v>
      </c>
      <c r="H1028" s="1">
        <f>SUMIF('Retal Tran Line Item'!E:E,A1028,'Retal Tran Line Item'!B:B)</f>
        <v>18</v>
      </c>
    </row>
    <row r="1029" spans="1:8">
      <c r="A1029" s="1">
        <v>101027</v>
      </c>
      <c r="B1029" s="1">
        <v>888952</v>
      </c>
      <c r="C1029" s="2">
        <v>41448</v>
      </c>
      <c r="D1029" s="1" t="s">
        <v>1993</v>
      </c>
      <c r="E1029" s="6">
        <v>1</v>
      </c>
      <c r="F1029" s="6" t="str">
        <f t="shared" si="32"/>
        <v>June</v>
      </c>
      <c r="G1029" s="6">
        <f t="shared" si="33"/>
        <v>26</v>
      </c>
      <c r="H1029" s="1">
        <f>SUMIF('Retal Tran Line Item'!E:E,A1029,'Retal Tran Line Item'!B:B)</f>
        <v>20</v>
      </c>
    </row>
    <row r="1030" spans="1:8">
      <c r="A1030" s="1">
        <v>101028</v>
      </c>
      <c r="B1030" s="1">
        <v>950299</v>
      </c>
      <c r="C1030" s="2">
        <v>41448</v>
      </c>
      <c r="D1030" s="1" t="s">
        <v>1992</v>
      </c>
      <c r="E1030" s="6">
        <v>1</v>
      </c>
      <c r="F1030" s="6" t="str">
        <f t="shared" si="32"/>
        <v>June</v>
      </c>
      <c r="G1030" s="6">
        <f t="shared" si="33"/>
        <v>26</v>
      </c>
      <c r="H1030" s="1">
        <f>SUMIF('Retal Tran Line Item'!E:E,A1030,'Retal Tran Line Item'!B:B)</f>
        <v>4</v>
      </c>
    </row>
    <row r="1031" spans="1:8">
      <c r="A1031" s="1">
        <v>101029</v>
      </c>
      <c r="B1031" s="1">
        <v>418521</v>
      </c>
      <c r="C1031" s="2">
        <v>41448</v>
      </c>
      <c r="D1031" s="1" t="s">
        <v>1989</v>
      </c>
      <c r="E1031" s="6">
        <v>1</v>
      </c>
      <c r="F1031" s="6" t="str">
        <f t="shared" si="32"/>
        <v>June</v>
      </c>
      <c r="G1031" s="6">
        <f t="shared" si="33"/>
        <v>26</v>
      </c>
      <c r="H1031" s="1">
        <f>SUMIF('Retal Tran Line Item'!E:E,A1031,'Retal Tran Line Item'!B:B)</f>
        <v>7</v>
      </c>
    </row>
    <row r="1032" spans="1:8">
      <c r="A1032" s="1">
        <v>101030</v>
      </c>
      <c r="B1032" s="1">
        <v>551950</v>
      </c>
      <c r="C1032" s="2">
        <v>41448</v>
      </c>
      <c r="D1032" s="1" t="s">
        <v>1992</v>
      </c>
      <c r="E1032" s="6">
        <v>1</v>
      </c>
      <c r="F1032" s="6" t="str">
        <f t="shared" si="32"/>
        <v>June</v>
      </c>
      <c r="G1032" s="6">
        <f t="shared" si="33"/>
        <v>26</v>
      </c>
      <c r="H1032" s="1">
        <f>SUMIF('Retal Tran Line Item'!E:E,A1032,'Retal Tran Line Item'!B:B)</f>
        <v>11</v>
      </c>
    </row>
    <row r="1033" spans="1:8">
      <c r="A1033" s="1">
        <v>101031</v>
      </c>
      <c r="B1033" s="1">
        <v>225489</v>
      </c>
      <c r="C1033" s="2">
        <v>41448</v>
      </c>
      <c r="D1033" s="1" t="s">
        <v>1992</v>
      </c>
      <c r="E1033" s="6">
        <v>2</v>
      </c>
      <c r="F1033" s="6" t="str">
        <f t="shared" si="32"/>
        <v>June</v>
      </c>
      <c r="G1033" s="6">
        <f t="shared" si="33"/>
        <v>26</v>
      </c>
      <c r="H1033" s="1">
        <f>SUMIF('Retal Tran Line Item'!E:E,A1033,'Retal Tran Line Item'!B:B)</f>
        <v>21</v>
      </c>
    </row>
    <row r="1034" spans="1:8">
      <c r="A1034" s="1">
        <v>101032</v>
      </c>
      <c r="B1034" s="1">
        <v>908328</v>
      </c>
      <c r="C1034" s="2">
        <v>41448</v>
      </c>
      <c r="D1034" s="1" t="s">
        <v>1992</v>
      </c>
      <c r="E1034" s="6">
        <v>2</v>
      </c>
      <c r="F1034" s="6" t="str">
        <f t="shared" si="32"/>
        <v>June</v>
      </c>
      <c r="G1034" s="6">
        <f t="shared" si="33"/>
        <v>26</v>
      </c>
      <c r="H1034" s="1">
        <f>SUMIF('Retal Tran Line Item'!E:E,A1034,'Retal Tran Line Item'!B:B)</f>
        <v>7</v>
      </c>
    </row>
    <row r="1035" spans="1:8">
      <c r="A1035" s="1">
        <v>101033</v>
      </c>
      <c r="B1035" s="1">
        <v>924649</v>
      </c>
      <c r="C1035" s="2">
        <v>41449</v>
      </c>
      <c r="D1035" s="1" t="s">
        <v>1993</v>
      </c>
      <c r="E1035" s="6">
        <v>1</v>
      </c>
      <c r="F1035" s="6" t="str">
        <f t="shared" si="32"/>
        <v>June</v>
      </c>
      <c r="G1035" s="6">
        <f t="shared" si="33"/>
        <v>26</v>
      </c>
      <c r="H1035" s="1">
        <f>SUMIF('Retal Tran Line Item'!E:E,A1035,'Retal Tran Line Item'!B:B)</f>
        <v>3</v>
      </c>
    </row>
    <row r="1036" spans="1:8">
      <c r="A1036" s="1">
        <v>101034</v>
      </c>
      <c r="B1036" s="1">
        <v>283158</v>
      </c>
      <c r="C1036" s="2">
        <v>41449</v>
      </c>
      <c r="D1036" s="1" t="s">
        <v>1993</v>
      </c>
      <c r="E1036" s="6">
        <v>2</v>
      </c>
      <c r="F1036" s="6" t="str">
        <f t="shared" si="32"/>
        <v>June</v>
      </c>
      <c r="G1036" s="6">
        <f t="shared" si="33"/>
        <v>26</v>
      </c>
      <c r="H1036" s="1">
        <f>SUMIF('Retal Tran Line Item'!E:E,A1036,'Retal Tran Line Item'!B:B)</f>
        <v>21</v>
      </c>
    </row>
    <row r="1037" spans="1:8">
      <c r="A1037" s="1">
        <v>101035</v>
      </c>
      <c r="B1037" s="1">
        <v>343021</v>
      </c>
      <c r="C1037" s="2">
        <v>41449</v>
      </c>
      <c r="D1037" s="1" t="s">
        <v>1989</v>
      </c>
      <c r="E1037" s="6">
        <v>1</v>
      </c>
      <c r="F1037" s="6" t="str">
        <f t="shared" si="32"/>
        <v>June</v>
      </c>
      <c r="G1037" s="6">
        <f t="shared" si="33"/>
        <v>26</v>
      </c>
      <c r="H1037" s="1">
        <f>SUMIF('Retal Tran Line Item'!E:E,A1037,'Retal Tran Line Item'!B:B)</f>
        <v>1</v>
      </c>
    </row>
    <row r="1038" spans="1:8">
      <c r="A1038" s="1">
        <v>101036</v>
      </c>
      <c r="B1038" s="1">
        <v>741398</v>
      </c>
      <c r="C1038" s="2">
        <v>41449</v>
      </c>
      <c r="D1038" s="1" t="s">
        <v>1993</v>
      </c>
      <c r="E1038" s="6">
        <v>2</v>
      </c>
      <c r="F1038" s="6" t="str">
        <f t="shared" si="32"/>
        <v>June</v>
      </c>
      <c r="G1038" s="6">
        <f t="shared" si="33"/>
        <v>26</v>
      </c>
      <c r="H1038" s="1">
        <f>SUMIF('Retal Tran Line Item'!E:E,A1038,'Retal Tran Line Item'!B:B)</f>
        <v>9</v>
      </c>
    </row>
    <row r="1039" spans="1:8">
      <c r="A1039" s="1">
        <v>101037</v>
      </c>
      <c r="B1039" s="1">
        <v>908328</v>
      </c>
      <c r="C1039" s="2">
        <v>41450</v>
      </c>
      <c r="D1039" s="1" t="s">
        <v>1992</v>
      </c>
      <c r="E1039" s="6">
        <v>2</v>
      </c>
      <c r="F1039" s="6" t="str">
        <f t="shared" si="32"/>
        <v>June</v>
      </c>
      <c r="G1039" s="6">
        <f t="shared" si="33"/>
        <v>26</v>
      </c>
      <c r="H1039" s="1">
        <f>SUMIF('Retal Tran Line Item'!E:E,A1039,'Retal Tran Line Item'!B:B)</f>
        <v>1</v>
      </c>
    </row>
    <row r="1040" spans="1:8">
      <c r="A1040" s="1">
        <v>101038</v>
      </c>
      <c r="B1040" s="1">
        <v>842028</v>
      </c>
      <c r="C1040" s="2">
        <v>41450</v>
      </c>
      <c r="D1040" s="1" t="s">
        <v>1993</v>
      </c>
      <c r="E1040" s="6">
        <v>2</v>
      </c>
      <c r="F1040" s="6" t="str">
        <f t="shared" si="32"/>
        <v>June</v>
      </c>
      <c r="G1040" s="6">
        <f t="shared" si="33"/>
        <v>26</v>
      </c>
      <c r="H1040" s="1">
        <f>SUMIF('Retal Tran Line Item'!E:E,A1040,'Retal Tran Line Item'!B:B)</f>
        <v>18</v>
      </c>
    </row>
    <row r="1041" spans="1:8">
      <c r="A1041" s="1">
        <v>101039</v>
      </c>
      <c r="B1041" s="1">
        <v>612681</v>
      </c>
      <c r="C1041" s="2">
        <v>41450</v>
      </c>
      <c r="D1041" s="1" t="s">
        <v>1993</v>
      </c>
      <c r="E1041" s="6">
        <v>1</v>
      </c>
      <c r="F1041" s="6" t="str">
        <f t="shared" si="32"/>
        <v>June</v>
      </c>
      <c r="G1041" s="6">
        <f t="shared" si="33"/>
        <v>26</v>
      </c>
      <c r="H1041" s="1">
        <f>SUMIF('Retal Tran Line Item'!E:E,A1041,'Retal Tran Line Item'!B:B)</f>
        <v>17</v>
      </c>
    </row>
    <row r="1042" spans="1:8">
      <c r="A1042" s="1">
        <v>101040</v>
      </c>
      <c r="B1042" s="1">
        <v>694281</v>
      </c>
      <c r="C1042" s="2">
        <v>41450</v>
      </c>
      <c r="D1042" s="1" t="s">
        <v>1989</v>
      </c>
      <c r="E1042" s="6">
        <v>2</v>
      </c>
      <c r="F1042" s="6" t="str">
        <f t="shared" si="32"/>
        <v>June</v>
      </c>
      <c r="G1042" s="6">
        <f t="shared" si="33"/>
        <v>26</v>
      </c>
      <c r="H1042" s="1">
        <f>SUMIF('Retal Tran Line Item'!E:E,A1042,'Retal Tran Line Item'!B:B)</f>
        <v>3</v>
      </c>
    </row>
    <row r="1043" spans="1:8">
      <c r="A1043" s="1">
        <v>101041</v>
      </c>
      <c r="B1043" s="1">
        <v>147216</v>
      </c>
      <c r="C1043" s="2">
        <v>41450</v>
      </c>
      <c r="D1043" s="1" t="s">
        <v>1993</v>
      </c>
      <c r="E1043" s="6">
        <v>2</v>
      </c>
      <c r="F1043" s="6" t="str">
        <f t="shared" si="32"/>
        <v>June</v>
      </c>
      <c r="G1043" s="6">
        <f t="shared" si="33"/>
        <v>26</v>
      </c>
      <c r="H1043" s="1">
        <f>SUMIF('Retal Tran Line Item'!E:E,A1043,'Retal Tran Line Item'!B:B)</f>
        <v>13</v>
      </c>
    </row>
    <row r="1044" spans="1:8">
      <c r="A1044" s="1">
        <v>101042</v>
      </c>
      <c r="B1044" s="1">
        <v>249188</v>
      </c>
      <c r="C1044" s="2">
        <v>41450</v>
      </c>
      <c r="D1044" s="1" t="s">
        <v>1992</v>
      </c>
      <c r="E1044" s="6">
        <v>1</v>
      </c>
      <c r="F1044" s="6" t="str">
        <f t="shared" si="32"/>
        <v>June</v>
      </c>
      <c r="G1044" s="6">
        <f t="shared" si="33"/>
        <v>26</v>
      </c>
      <c r="H1044" s="1">
        <f>SUMIF('Retal Tran Line Item'!E:E,A1044,'Retal Tran Line Item'!B:B)</f>
        <v>18</v>
      </c>
    </row>
    <row r="1045" spans="1:8">
      <c r="A1045" s="1">
        <v>101043</v>
      </c>
      <c r="B1045" s="1">
        <v>719921</v>
      </c>
      <c r="C1045" s="2">
        <v>41451</v>
      </c>
      <c r="D1045" s="1" t="s">
        <v>1993</v>
      </c>
      <c r="E1045" s="6">
        <v>1</v>
      </c>
      <c r="F1045" s="6" t="str">
        <f t="shared" si="32"/>
        <v>June</v>
      </c>
      <c r="G1045" s="6">
        <f t="shared" si="33"/>
        <v>26</v>
      </c>
      <c r="H1045" s="1">
        <f>SUMIF('Retal Tran Line Item'!E:E,A1045,'Retal Tran Line Item'!B:B)</f>
        <v>7</v>
      </c>
    </row>
    <row r="1046" spans="1:8">
      <c r="A1046" s="1">
        <v>101044</v>
      </c>
      <c r="B1046" s="1">
        <v>734514</v>
      </c>
      <c r="C1046" s="2">
        <v>41451</v>
      </c>
      <c r="D1046" s="1" t="s">
        <v>1993</v>
      </c>
      <c r="E1046" s="6">
        <v>2</v>
      </c>
      <c r="F1046" s="6" t="str">
        <f t="shared" si="32"/>
        <v>June</v>
      </c>
      <c r="G1046" s="6">
        <f t="shared" si="33"/>
        <v>26</v>
      </c>
      <c r="H1046" s="1">
        <f>SUMIF('Retal Tran Line Item'!E:E,A1046,'Retal Tran Line Item'!B:B)</f>
        <v>2</v>
      </c>
    </row>
    <row r="1047" spans="1:8">
      <c r="A1047" s="1">
        <v>101045</v>
      </c>
      <c r="B1047" s="1">
        <v>190721</v>
      </c>
      <c r="C1047" s="2">
        <v>41451</v>
      </c>
      <c r="D1047" s="1" t="s">
        <v>1993</v>
      </c>
      <c r="E1047" s="6">
        <v>2</v>
      </c>
      <c r="F1047" s="6" t="str">
        <f t="shared" si="32"/>
        <v>June</v>
      </c>
      <c r="G1047" s="6">
        <f t="shared" si="33"/>
        <v>26</v>
      </c>
      <c r="H1047" s="1">
        <f>SUMIF('Retal Tran Line Item'!E:E,A1047,'Retal Tran Line Item'!B:B)</f>
        <v>5</v>
      </c>
    </row>
    <row r="1048" spans="1:8">
      <c r="A1048" s="1">
        <v>101046</v>
      </c>
      <c r="B1048" s="1">
        <v>390130</v>
      </c>
      <c r="C1048" s="2">
        <v>41452</v>
      </c>
      <c r="D1048" s="1" t="s">
        <v>1993</v>
      </c>
      <c r="E1048" s="6">
        <v>1</v>
      </c>
      <c r="F1048" s="6" t="str">
        <f t="shared" si="32"/>
        <v>June</v>
      </c>
      <c r="G1048" s="6">
        <f t="shared" si="33"/>
        <v>26</v>
      </c>
      <c r="H1048" s="1">
        <f>SUMIF('Retal Tran Line Item'!E:E,A1048,'Retal Tran Line Item'!B:B)</f>
        <v>9</v>
      </c>
    </row>
    <row r="1049" spans="1:8">
      <c r="A1049" s="1">
        <v>101047</v>
      </c>
      <c r="B1049" s="1">
        <v>548800</v>
      </c>
      <c r="C1049" s="2">
        <v>41452</v>
      </c>
      <c r="D1049" s="1" t="s">
        <v>1992</v>
      </c>
      <c r="E1049" s="6">
        <v>1</v>
      </c>
      <c r="F1049" s="6" t="str">
        <f t="shared" si="32"/>
        <v>June</v>
      </c>
      <c r="G1049" s="6">
        <f t="shared" si="33"/>
        <v>26</v>
      </c>
      <c r="H1049" s="1">
        <f>SUMIF('Retal Tran Line Item'!E:E,A1049,'Retal Tran Line Item'!B:B)</f>
        <v>9</v>
      </c>
    </row>
    <row r="1050" spans="1:8">
      <c r="A1050" s="1">
        <v>101048</v>
      </c>
      <c r="B1050" s="1">
        <v>396166</v>
      </c>
      <c r="C1050" s="2">
        <v>41452</v>
      </c>
      <c r="D1050" s="1" t="s">
        <v>1992</v>
      </c>
      <c r="E1050" s="6">
        <v>1</v>
      </c>
      <c r="F1050" s="6" t="str">
        <f t="shared" si="32"/>
        <v>June</v>
      </c>
      <c r="G1050" s="6">
        <f t="shared" si="33"/>
        <v>26</v>
      </c>
      <c r="H1050" s="1">
        <f>SUMIF('Retal Tran Line Item'!E:E,A1050,'Retal Tran Line Item'!B:B)</f>
        <v>20</v>
      </c>
    </row>
    <row r="1051" spans="1:8">
      <c r="A1051" s="1">
        <v>101049</v>
      </c>
      <c r="B1051" s="1">
        <v>822823</v>
      </c>
      <c r="C1051" s="2">
        <v>41452</v>
      </c>
      <c r="D1051" s="1" t="s">
        <v>1994</v>
      </c>
      <c r="E1051" s="6">
        <v>1</v>
      </c>
      <c r="F1051" s="6" t="str">
        <f t="shared" si="32"/>
        <v>June</v>
      </c>
      <c r="G1051" s="6">
        <f t="shared" si="33"/>
        <v>26</v>
      </c>
      <c r="H1051" s="1">
        <f>SUMIF('Retal Tran Line Item'!E:E,A1051,'Retal Tran Line Item'!B:B)</f>
        <v>25</v>
      </c>
    </row>
    <row r="1052" spans="1:8">
      <c r="A1052" s="1">
        <v>101050</v>
      </c>
      <c r="B1052" s="1">
        <v>229742</v>
      </c>
      <c r="C1052" s="2">
        <v>41453</v>
      </c>
      <c r="D1052" s="1" t="s">
        <v>1994</v>
      </c>
      <c r="E1052" s="6">
        <v>1</v>
      </c>
      <c r="F1052" s="6" t="str">
        <f t="shared" si="32"/>
        <v>June</v>
      </c>
      <c r="G1052" s="6">
        <f t="shared" si="33"/>
        <v>26</v>
      </c>
      <c r="H1052" s="1">
        <f>SUMIF('Retal Tran Line Item'!E:E,A1052,'Retal Tran Line Item'!B:B)</f>
        <v>16</v>
      </c>
    </row>
    <row r="1053" spans="1:8">
      <c r="A1053" s="1">
        <v>101051</v>
      </c>
      <c r="B1053" s="1">
        <v>706884</v>
      </c>
      <c r="C1053" s="2">
        <v>41453</v>
      </c>
      <c r="D1053" s="1" t="s">
        <v>1989</v>
      </c>
      <c r="E1053" s="6">
        <v>2</v>
      </c>
      <c r="F1053" s="6" t="str">
        <f t="shared" si="32"/>
        <v>June</v>
      </c>
      <c r="G1053" s="6">
        <f t="shared" si="33"/>
        <v>26</v>
      </c>
      <c r="H1053" s="1">
        <f>SUMIF('Retal Tran Line Item'!E:E,A1053,'Retal Tran Line Item'!B:B)</f>
        <v>3</v>
      </c>
    </row>
    <row r="1054" spans="1:8">
      <c r="A1054" s="1">
        <v>101052</v>
      </c>
      <c r="B1054" s="1">
        <v>471187</v>
      </c>
      <c r="C1054" s="2">
        <v>41453</v>
      </c>
      <c r="D1054" s="1" t="s">
        <v>1993</v>
      </c>
      <c r="E1054" s="6">
        <v>1</v>
      </c>
      <c r="F1054" s="6" t="str">
        <f t="shared" si="32"/>
        <v>June</v>
      </c>
      <c r="G1054" s="6">
        <f t="shared" si="33"/>
        <v>26</v>
      </c>
      <c r="H1054" s="1">
        <f>SUMIF('Retal Tran Line Item'!E:E,A1054,'Retal Tran Line Item'!B:B)</f>
        <v>17</v>
      </c>
    </row>
    <row r="1055" spans="1:8">
      <c r="A1055" s="1">
        <v>101053</v>
      </c>
      <c r="B1055" s="1">
        <v>837763</v>
      </c>
      <c r="C1055" s="2">
        <v>41453</v>
      </c>
      <c r="D1055" s="1" t="s">
        <v>1994</v>
      </c>
      <c r="E1055" s="6">
        <v>1</v>
      </c>
      <c r="F1055" s="6" t="str">
        <f t="shared" si="32"/>
        <v>June</v>
      </c>
      <c r="G1055" s="6">
        <f t="shared" si="33"/>
        <v>26</v>
      </c>
      <c r="H1055" s="1">
        <f>SUMIF('Retal Tran Line Item'!E:E,A1055,'Retal Tran Line Item'!B:B)</f>
        <v>7</v>
      </c>
    </row>
    <row r="1056" spans="1:8">
      <c r="A1056" s="1">
        <v>101054</v>
      </c>
      <c r="B1056" s="1">
        <v>147216</v>
      </c>
      <c r="C1056" s="2">
        <v>41453</v>
      </c>
      <c r="D1056" s="1" t="s">
        <v>1993</v>
      </c>
      <c r="E1056" s="6">
        <v>2</v>
      </c>
      <c r="F1056" s="6" t="str">
        <f t="shared" si="32"/>
        <v>June</v>
      </c>
      <c r="G1056" s="6">
        <f t="shared" si="33"/>
        <v>26</v>
      </c>
      <c r="H1056" s="1">
        <f>SUMIF('Retal Tran Line Item'!E:E,A1056,'Retal Tran Line Item'!B:B)</f>
        <v>7</v>
      </c>
    </row>
    <row r="1057" spans="1:8">
      <c r="A1057" s="1">
        <v>101055</v>
      </c>
      <c r="B1057" s="1">
        <v>242720</v>
      </c>
      <c r="C1057" s="2">
        <v>41453</v>
      </c>
      <c r="D1057" s="1" t="s">
        <v>1989</v>
      </c>
      <c r="E1057" s="6">
        <v>1</v>
      </c>
      <c r="F1057" s="6" t="str">
        <f t="shared" si="32"/>
        <v>June</v>
      </c>
      <c r="G1057" s="6">
        <f t="shared" si="33"/>
        <v>26</v>
      </c>
      <c r="H1057" s="1">
        <f>SUMIF('Retal Tran Line Item'!E:E,A1057,'Retal Tran Line Item'!B:B)</f>
        <v>5</v>
      </c>
    </row>
    <row r="1058" spans="1:8">
      <c r="A1058" s="1">
        <v>101056</v>
      </c>
      <c r="B1058" s="1">
        <v>900440</v>
      </c>
      <c r="C1058" s="2">
        <v>41453</v>
      </c>
      <c r="D1058" s="1" t="s">
        <v>1992</v>
      </c>
      <c r="E1058" s="6">
        <v>1</v>
      </c>
      <c r="F1058" s="6" t="str">
        <f t="shared" si="32"/>
        <v>June</v>
      </c>
      <c r="G1058" s="6">
        <f t="shared" si="33"/>
        <v>26</v>
      </c>
      <c r="H1058" s="1">
        <f>SUMIF('Retal Tran Line Item'!E:E,A1058,'Retal Tran Line Item'!B:B)</f>
        <v>10</v>
      </c>
    </row>
    <row r="1059" spans="1:8">
      <c r="A1059" s="1">
        <v>101057</v>
      </c>
      <c r="B1059" s="1">
        <v>189953</v>
      </c>
      <c r="C1059" s="2">
        <v>41453</v>
      </c>
      <c r="D1059" s="1" t="s">
        <v>1992</v>
      </c>
      <c r="E1059" s="6">
        <v>1</v>
      </c>
      <c r="F1059" s="6" t="str">
        <f t="shared" si="32"/>
        <v>June</v>
      </c>
      <c r="G1059" s="6">
        <f t="shared" si="33"/>
        <v>26</v>
      </c>
      <c r="H1059" s="1">
        <f>SUMIF('Retal Tran Line Item'!E:E,A1059,'Retal Tran Line Item'!B:B)</f>
        <v>10</v>
      </c>
    </row>
    <row r="1060" spans="1:8">
      <c r="A1060" s="1">
        <v>101058</v>
      </c>
      <c r="B1060" s="1">
        <v>205190</v>
      </c>
      <c r="C1060" s="2">
        <v>41454</v>
      </c>
      <c r="D1060" s="1" t="s">
        <v>1992</v>
      </c>
      <c r="E1060" s="6">
        <v>2</v>
      </c>
      <c r="F1060" s="6" t="str">
        <f t="shared" si="32"/>
        <v>June</v>
      </c>
      <c r="G1060" s="6">
        <f t="shared" si="33"/>
        <v>26</v>
      </c>
      <c r="H1060" s="1">
        <f>SUMIF('Retal Tran Line Item'!E:E,A1060,'Retal Tran Line Item'!B:B)</f>
        <v>6</v>
      </c>
    </row>
    <row r="1061" spans="1:8">
      <c r="A1061" s="1">
        <v>101059</v>
      </c>
      <c r="B1061" s="1">
        <v>371731</v>
      </c>
      <c r="C1061" s="2">
        <v>41454</v>
      </c>
      <c r="D1061" s="1" t="s">
        <v>1993</v>
      </c>
      <c r="E1061" s="6">
        <v>2</v>
      </c>
      <c r="F1061" s="6" t="str">
        <f t="shared" si="32"/>
        <v>June</v>
      </c>
      <c r="G1061" s="6">
        <f t="shared" si="33"/>
        <v>26</v>
      </c>
      <c r="H1061" s="1">
        <f>SUMIF('Retal Tran Line Item'!E:E,A1061,'Retal Tran Line Item'!B:B)</f>
        <v>19</v>
      </c>
    </row>
    <row r="1062" spans="1:8">
      <c r="A1062" s="1">
        <v>101060</v>
      </c>
      <c r="B1062" s="1">
        <v>227372</v>
      </c>
      <c r="C1062" s="2">
        <v>41454</v>
      </c>
      <c r="D1062" s="1" t="s">
        <v>1992</v>
      </c>
      <c r="E1062" s="6">
        <v>2</v>
      </c>
      <c r="F1062" s="6" t="str">
        <f t="shared" si="32"/>
        <v>June</v>
      </c>
      <c r="G1062" s="6">
        <f t="shared" si="33"/>
        <v>26</v>
      </c>
      <c r="H1062" s="1">
        <f>SUMIF('Retal Tran Line Item'!E:E,A1062,'Retal Tran Line Item'!B:B)</f>
        <v>23</v>
      </c>
    </row>
    <row r="1063" spans="1:8">
      <c r="A1063" s="1">
        <v>101061</v>
      </c>
      <c r="B1063" s="1">
        <v>624668</v>
      </c>
      <c r="C1063" s="2">
        <v>41454</v>
      </c>
      <c r="D1063" s="1" t="s">
        <v>1992</v>
      </c>
      <c r="E1063" s="6">
        <v>1</v>
      </c>
      <c r="F1063" s="6" t="str">
        <f t="shared" si="32"/>
        <v>June</v>
      </c>
      <c r="G1063" s="6">
        <f t="shared" si="33"/>
        <v>26</v>
      </c>
      <c r="H1063" s="1">
        <f>SUMIF('Retal Tran Line Item'!E:E,A1063,'Retal Tran Line Item'!B:B)</f>
        <v>10</v>
      </c>
    </row>
    <row r="1064" spans="1:8">
      <c r="A1064" s="1">
        <v>101062</v>
      </c>
      <c r="B1064" s="1">
        <v>646953</v>
      </c>
      <c r="C1064" s="2">
        <v>41454</v>
      </c>
      <c r="D1064" s="1" t="s">
        <v>1992</v>
      </c>
      <c r="E1064" s="6">
        <v>1</v>
      </c>
      <c r="F1064" s="6" t="str">
        <f t="shared" si="32"/>
        <v>June</v>
      </c>
      <c r="G1064" s="6">
        <f t="shared" si="33"/>
        <v>26</v>
      </c>
      <c r="H1064" s="1">
        <f>SUMIF('Retal Tran Line Item'!E:E,A1064,'Retal Tran Line Item'!B:B)</f>
        <v>10</v>
      </c>
    </row>
    <row r="1065" spans="1:8">
      <c r="A1065" s="1">
        <v>101063</v>
      </c>
      <c r="B1065" s="1">
        <v>810369</v>
      </c>
      <c r="C1065" s="2">
        <v>41454</v>
      </c>
      <c r="D1065" s="1" t="s">
        <v>1993</v>
      </c>
      <c r="E1065" s="6">
        <v>1</v>
      </c>
      <c r="F1065" s="6" t="str">
        <f t="shared" si="32"/>
        <v>June</v>
      </c>
      <c r="G1065" s="6">
        <f t="shared" si="33"/>
        <v>26</v>
      </c>
      <c r="H1065" s="1">
        <f>SUMIF('Retal Tran Line Item'!E:E,A1065,'Retal Tran Line Item'!B:B)</f>
        <v>20</v>
      </c>
    </row>
    <row r="1066" spans="1:8">
      <c r="A1066" s="1">
        <v>101064</v>
      </c>
      <c r="B1066" s="1">
        <v>561305</v>
      </c>
      <c r="C1066" s="2">
        <v>41454</v>
      </c>
      <c r="D1066" s="1" t="s">
        <v>1993</v>
      </c>
      <c r="E1066" s="6">
        <v>1</v>
      </c>
      <c r="F1066" s="6" t="str">
        <f t="shared" si="32"/>
        <v>June</v>
      </c>
      <c r="G1066" s="6">
        <f t="shared" si="33"/>
        <v>26</v>
      </c>
      <c r="H1066" s="1">
        <f>SUMIF('Retal Tran Line Item'!E:E,A1066,'Retal Tran Line Item'!B:B)</f>
        <v>2</v>
      </c>
    </row>
    <row r="1067" spans="1:8">
      <c r="A1067" s="1">
        <v>101065</v>
      </c>
      <c r="B1067" s="1">
        <v>344702</v>
      </c>
      <c r="C1067" s="2">
        <v>41454</v>
      </c>
      <c r="D1067" s="1" t="s">
        <v>1992</v>
      </c>
      <c r="E1067" s="6">
        <v>1</v>
      </c>
      <c r="F1067" s="6" t="str">
        <f t="shared" si="32"/>
        <v>June</v>
      </c>
      <c r="G1067" s="6">
        <f t="shared" si="33"/>
        <v>26</v>
      </c>
      <c r="H1067" s="1">
        <f>SUMIF('Retal Tran Line Item'!E:E,A1067,'Retal Tran Line Item'!B:B)</f>
        <v>10</v>
      </c>
    </row>
    <row r="1068" spans="1:8">
      <c r="A1068" s="1">
        <v>101066</v>
      </c>
      <c r="B1068" s="1">
        <v>649551</v>
      </c>
      <c r="C1068" s="2">
        <v>41455</v>
      </c>
      <c r="D1068" s="1" t="s">
        <v>1993</v>
      </c>
      <c r="E1068" s="6">
        <v>2</v>
      </c>
      <c r="F1068" s="6" t="str">
        <f t="shared" si="32"/>
        <v>June</v>
      </c>
      <c r="G1068" s="6">
        <f t="shared" si="33"/>
        <v>27</v>
      </c>
      <c r="H1068" s="1">
        <f>SUMIF('Retal Tran Line Item'!E:E,A1068,'Retal Tran Line Item'!B:B)</f>
        <v>7</v>
      </c>
    </row>
    <row r="1069" spans="1:8">
      <c r="A1069" s="1">
        <v>101067</v>
      </c>
      <c r="B1069" s="1">
        <v>611078</v>
      </c>
      <c r="C1069" s="2">
        <v>41455</v>
      </c>
      <c r="D1069" s="1" t="s">
        <v>1993</v>
      </c>
      <c r="E1069" s="6">
        <v>1</v>
      </c>
      <c r="F1069" s="6" t="str">
        <f t="shared" si="32"/>
        <v>June</v>
      </c>
      <c r="G1069" s="6">
        <f t="shared" si="33"/>
        <v>27</v>
      </c>
      <c r="H1069" s="1">
        <f>SUMIF('Retal Tran Line Item'!E:E,A1069,'Retal Tran Line Item'!B:B)</f>
        <v>8</v>
      </c>
    </row>
    <row r="1070" spans="1:8">
      <c r="A1070" s="1">
        <v>101068</v>
      </c>
      <c r="B1070" s="1">
        <v>308505</v>
      </c>
      <c r="C1070" s="2">
        <v>41455</v>
      </c>
      <c r="D1070" s="1" t="s">
        <v>1993</v>
      </c>
      <c r="E1070" s="6">
        <v>2</v>
      </c>
      <c r="F1070" s="6" t="str">
        <f t="shared" si="32"/>
        <v>June</v>
      </c>
      <c r="G1070" s="6">
        <f t="shared" si="33"/>
        <v>27</v>
      </c>
      <c r="H1070" s="1">
        <f>SUMIF('Retal Tran Line Item'!E:E,A1070,'Retal Tran Line Item'!B:B)</f>
        <v>3</v>
      </c>
    </row>
    <row r="1071" spans="1:8">
      <c r="A1071" s="1">
        <v>101069</v>
      </c>
      <c r="B1071" s="1">
        <v>355107</v>
      </c>
      <c r="C1071" s="2">
        <v>41455</v>
      </c>
      <c r="D1071" s="1" t="s">
        <v>1989</v>
      </c>
      <c r="E1071" s="6">
        <v>2</v>
      </c>
      <c r="F1071" s="6" t="str">
        <f t="shared" si="32"/>
        <v>June</v>
      </c>
      <c r="G1071" s="6">
        <f t="shared" si="33"/>
        <v>27</v>
      </c>
      <c r="H1071" s="1">
        <f>SUMIF('Retal Tran Line Item'!E:E,A1071,'Retal Tran Line Item'!B:B)</f>
        <v>9</v>
      </c>
    </row>
    <row r="1072" spans="1:8">
      <c r="A1072" s="1">
        <v>101070</v>
      </c>
      <c r="B1072" s="1">
        <v>608290</v>
      </c>
      <c r="C1072" s="2">
        <v>41455</v>
      </c>
      <c r="D1072" s="1" t="s">
        <v>1992</v>
      </c>
      <c r="E1072" s="6">
        <v>1</v>
      </c>
      <c r="F1072" s="6" t="str">
        <f t="shared" si="32"/>
        <v>June</v>
      </c>
      <c r="G1072" s="6">
        <f t="shared" si="33"/>
        <v>27</v>
      </c>
      <c r="H1072" s="1">
        <f>SUMIF('Retal Tran Line Item'!E:E,A1072,'Retal Tran Line Item'!B:B)</f>
        <v>9</v>
      </c>
    </row>
    <row r="1073" spans="1:8">
      <c r="A1073" s="1">
        <v>101071</v>
      </c>
      <c r="B1073" s="1">
        <v>611078</v>
      </c>
      <c r="C1073" s="2">
        <v>41455</v>
      </c>
      <c r="D1073" s="1" t="s">
        <v>1993</v>
      </c>
      <c r="E1073" s="6">
        <v>2</v>
      </c>
      <c r="F1073" s="6" t="str">
        <f t="shared" si="32"/>
        <v>June</v>
      </c>
      <c r="G1073" s="6">
        <f t="shared" si="33"/>
        <v>27</v>
      </c>
      <c r="H1073" s="1">
        <f>SUMIF('Retal Tran Line Item'!E:E,A1073,'Retal Tran Line Item'!B:B)</f>
        <v>4</v>
      </c>
    </row>
    <row r="1074" spans="1:8">
      <c r="A1074" s="1">
        <v>101072</v>
      </c>
      <c r="B1074" s="1">
        <v>238347</v>
      </c>
      <c r="C1074" s="2">
        <v>41455</v>
      </c>
      <c r="D1074" s="1" t="s">
        <v>1989</v>
      </c>
      <c r="E1074" s="6">
        <v>2</v>
      </c>
      <c r="F1074" s="6" t="str">
        <f t="shared" si="32"/>
        <v>June</v>
      </c>
      <c r="G1074" s="6">
        <f t="shared" si="33"/>
        <v>27</v>
      </c>
      <c r="H1074" s="1">
        <f>SUMIF('Retal Tran Line Item'!E:E,A1074,'Retal Tran Line Item'!B:B)</f>
        <v>14</v>
      </c>
    </row>
    <row r="1075" spans="1:8">
      <c r="A1075" s="1">
        <v>101073</v>
      </c>
      <c r="B1075" s="1">
        <v>330223</v>
      </c>
      <c r="C1075" s="2">
        <v>41456</v>
      </c>
      <c r="D1075" s="1" t="s">
        <v>1993</v>
      </c>
      <c r="E1075" s="6">
        <v>2</v>
      </c>
      <c r="F1075" s="6" t="str">
        <f t="shared" si="32"/>
        <v>July</v>
      </c>
      <c r="G1075" s="6">
        <f t="shared" si="33"/>
        <v>27</v>
      </c>
      <c r="H1075" s="1">
        <f>SUMIF('Retal Tran Line Item'!E:E,A1075,'Retal Tran Line Item'!B:B)</f>
        <v>17</v>
      </c>
    </row>
    <row r="1076" spans="1:8">
      <c r="A1076" s="1">
        <v>101074</v>
      </c>
      <c r="B1076" s="1">
        <v>739669</v>
      </c>
      <c r="C1076" s="2">
        <v>41456</v>
      </c>
      <c r="D1076" s="1" t="s">
        <v>1992</v>
      </c>
      <c r="E1076" s="6">
        <v>1</v>
      </c>
      <c r="F1076" s="6" t="str">
        <f t="shared" si="32"/>
        <v>July</v>
      </c>
      <c r="G1076" s="6">
        <f t="shared" si="33"/>
        <v>27</v>
      </c>
      <c r="H1076" s="1">
        <f>SUMIF('Retal Tran Line Item'!E:E,A1076,'Retal Tran Line Item'!B:B)</f>
        <v>1</v>
      </c>
    </row>
    <row r="1077" spans="1:8">
      <c r="A1077" s="1">
        <v>101075</v>
      </c>
      <c r="B1077" s="1">
        <v>890497</v>
      </c>
      <c r="C1077" s="2">
        <v>41456</v>
      </c>
      <c r="D1077" s="1" t="s">
        <v>1992</v>
      </c>
      <c r="E1077" s="6">
        <v>2</v>
      </c>
      <c r="F1077" s="6" t="str">
        <f t="shared" si="32"/>
        <v>July</v>
      </c>
      <c r="G1077" s="6">
        <f t="shared" si="33"/>
        <v>27</v>
      </c>
      <c r="H1077" s="1">
        <f>SUMIF('Retal Tran Line Item'!E:E,A1077,'Retal Tran Line Item'!B:B)</f>
        <v>3</v>
      </c>
    </row>
    <row r="1078" spans="1:8">
      <c r="A1078" s="1">
        <v>101076</v>
      </c>
      <c r="B1078" s="1">
        <v>352644</v>
      </c>
      <c r="C1078" s="2">
        <v>41456</v>
      </c>
      <c r="D1078" s="1" t="s">
        <v>1989</v>
      </c>
      <c r="E1078" s="6">
        <v>1</v>
      </c>
      <c r="F1078" s="6" t="str">
        <f t="shared" si="32"/>
        <v>July</v>
      </c>
      <c r="G1078" s="6">
        <f t="shared" si="33"/>
        <v>27</v>
      </c>
      <c r="H1078" s="1">
        <f>SUMIF('Retal Tran Line Item'!E:E,A1078,'Retal Tran Line Item'!B:B)</f>
        <v>23</v>
      </c>
    </row>
    <row r="1079" spans="1:8">
      <c r="A1079" s="1">
        <v>101077</v>
      </c>
      <c r="B1079" s="1">
        <v>220206</v>
      </c>
      <c r="C1079" s="2">
        <v>41456</v>
      </c>
      <c r="D1079" s="1" t="s">
        <v>1992</v>
      </c>
      <c r="E1079" s="6">
        <v>2</v>
      </c>
      <c r="F1079" s="6" t="str">
        <f t="shared" si="32"/>
        <v>July</v>
      </c>
      <c r="G1079" s="6">
        <f t="shared" si="33"/>
        <v>27</v>
      </c>
      <c r="H1079" s="1">
        <f>SUMIF('Retal Tran Line Item'!E:E,A1079,'Retal Tran Line Item'!B:B)</f>
        <v>24</v>
      </c>
    </row>
    <row r="1080" spans="1:8">
      <c r="A1080" s="1">
        <v>101078</v>
      </c>
      <c r="B1080" s="1">
        <v>204295</v>
      </c>
      <c r="C1080" s="2">
        <v>41456</v>
      </c>
      <c r="D1080" s="1" t="s">
        <v>1992</v>
      </c>
      <c r="E1080" s="6">
        <v>2</v>
      </c>
      <c r="F1080" s="6" t="str">
        <f t="shared" si="32"/>
        <v>July</v>
      </c>
      <c r="G1080" s="6">
        <f t="shared" si="33"/>
        <v>27</v>
      </c>
      <c r="H1080" s="1">
        <f>SUMIF('Retal Tran Line Item'!E:E,A1080,'Retal Tran Line Item'!B:B)</f>
        <v>1</v>
      </c>
    </row>
    <row r="1081" spans="1:8">
      <c r="A1081" s="1">
        <v>101079</v>
      </c>
      <c r="B1081" s="1">
        <v>435907</v>
      </c>
      <c r="C1081" s="2">
        <v>41456</v>
      </c>
      <c r="D1081" s="1" t="s">
        <v>1993</v>
      </c>
      <c r="E1081" s="6">
        <v>2</v>
      </c>
      <c r="F1081" s="6" t="str">
        <f t="shared" si="32"/>
        <v>July</v>
      </c>
      <c r="G1081" s="6">
        <f t="shared" si="33"/>
        <v>27</v>
      </c>
      <c r="H1081" s="1">
        <f>SUMIF('Retal Tran Line Item'!E:E,A1081,'Retal Tran Line Item'!B:B)</f>
        <v>9</v>
      </c>
    </row>
    <row r="1082" spans="1:8">
      <c r="A1082" s="1">
        <v>101080</v>
      </c>
      <c r="B1082" s="1">
        <v>719921</v>
      </c>
      <c r="C1082" s="2">
        <v>41456</v>
      </c>
      <c r="D1082" s="1" t="s">
        <v>1993</v>
      </c>
      <c r="E1082" s="6">
        <v>1</v>
      </c>
      <c r="F1082" s="6" t="str">
        <f t="shared" si="32"/>
        <v>July</v>
      </c>
      <c r="G1082" s="6">
        <f t="shared" si="33"/>
        <v>27</v>
      </c>
      <c r="H1082" s="1">
        <f>SUMIF('Retal Tran Line Item'!E:E,A1082,'Retal Tran Line Item'!B:B)</f>
        <v>1</v>
      </c>
    </row>
    <row r="1083" spans="1:8">
      <c r="A1083" s="1">
        <v>101081</v>
      </c>
      <c r="B1083" s="1">
        <v>249188</v>
      </c>
      <c r="C1083" s="2">
        <v>41457</v>
      </c>
      <c r="D1083" s="1" t="s">
        <v>1992</v>
      </c>
      <c r="E1083" s="6">
        <v>1</v>
      </c>
      <c r="F1083" s="6" t="str">
        <f t="shared" si="32"/>
        <v>July</v>
      </c>
      <c r="G1083" s="6">
        <f t="shared" si="33"/>
        <v>27</v>
      </c>
      <c r="H1083" s="1">
        <f>SUMIF('Retal Tran Line Item'!E:E,A1083,'Retal Tran Line Item'!B:B)</f>
        <v>7</v>
      </c>
    </row>
    <row r="1084" spans="1:8">
      <c r="A1084" s="1">
        <v>101082</v>
      </c>
      <c r="B1084" s="1">
        <v>186353</v>
      </c>
      <c r="C1084" s="2">
        <v>41457</v>
      </c>
      <c r="D1084" s="1" t="s">
        <v>1994</v>
      </c>
      <c r="E1084" s="6">
        <v>2</v>
      </c>
      <c r="F1084" s="6" t="str">
        <f t="shared" si="32"/>
        <v>July</v>
      </c>
      <c r="G1084" s="6">
        <f t="shared" si="33"/>
        <v>27</v>
      </c>
      <c r="H1084" s="1">
        <f>SUMIF('Retal Tran Line Item'!E:E,A1084,'Retal Tran Line Item'!B:B)</f>
        <v>5</v>
      </c>
    </row>
    <row r="1085" spans="1:8">
      <c r="A1085" s="1">
        <v>101083</v>
      </c>
      <c r="B1085" s="1">
        <v>346006</v>
      </c>
      <c r="C1085" s="2">
        <v>41457</v>
      </c>
      <c r="D1085" s="1" t="s">
        <v>1989</v>
      </c>
      <c r="E1085" s="6">
        <v>1</v>
      </c>
      <c r="F1085" s="6" t="str">
        <f t="shared" si="32"/>
        <v>July</v>
      </c>
      <c r="G1085" s="6">
        <f t="shared" si="33"/>
        <v>27</v>
      </c>
      <c r="H1085" s="1">
        <f>SUMIF('Retal Tran Line Item'!E:E,A1085,'Retal Tran Line Item'!B:B)</f>
        <v>10</v>
      </c>
    </row>
    <row r="1086" spans="1:8">
      <c r="A1086" s="1">
        <v>101084</v>
      </c>
      <c r="B1086" s="1">
        <v>862302</v>
      </c>
      <c r="C1086" s="2">
        <v>41457</v>
      </c>
      <c r="D1086" s="1" t="s">
        <v>1992</v>
      </c>
      <c r="E1086" s="6">
        <v>2</v>
      </c>
      <c r="F1086" s="6" t="str">
        <f t="shared" si="32"/>
        <v>July</v>
      </c>
      <c r="G1086" s="6">
        <f t="shared" si="33"/>
        <v>27</v>
      </c>
      <c r="H1086" s="1">
        <f>SUMIF('Retal Tran Line Item'!E:E,A1086,'Retal Tran Line Item'!B:B)</f>
        <v>6</v>
      </c>
    </row>
    <row r="1087" spans="1:8">
      <c r="A1087" s="1">
        <v>101085</v>
      </c>
      <c r="B1087" s="1">
        <v>592592</v>
      </c>
      <c r="C1087" s="2">
        <v>41457</v>
      </c>
      <c r="D1087" s="1" t="s">
        <v>1993</v>
      </c>
      <c r="E1087" s="6">
        <v>2</v>
      </c>
      <c r="F1087" s="6" t="str">
        <f t="shared" si="32"/>
        <v>July</v>
      </c>
      <c r="G1087" s="6">
        <f t="shared" si="33"/>
        <v>27</v>
      </c>
      <c r="H1087" s="1">
        <f>SUMIF('Retal Tran Line Item'!E:E,A1087,'Retal Tran Line Item'!B:B)</f>
        <v>10</v>
      </c>
    </row>
    <row r="1088" spans="1:8">
      <c r="A1088" s="1">
        <v>101086</v>
      </c>
      <c r="B1088" s="1">
        <v>396166</v>
      </c>
      <c r="C1088" s="2">
        <v>41457</v>
      </c>
      <c r="D1088" s="1" t="s">
        <v>1992</v>
      </c>
      <c r="E1088" s="6">
        <v>1</v>
      </c>
      <c r="F1088" s="6" t="str">
        <f t="shared" si="32"/>
        <v>July</v>
      </c>
      <c r="G1088" s="6">
        <f t="shared" si="33"/>
        <v>27</v>
      </c>
      <c r="H1088" s="1">
        <f>SUMIF('Retal Tran Line Item'!E:E,A1088,'Retal Tran Line Item'!B:B)</f>
        <v>14</v>
      </c>
    </row>
    <row r="1089" spans="1:8">
      <c r="A1089" s="1">
        <v>101087</v>
      </c>
      <c r="B1089" s="1">
        <v>668931</v>
      </c>
      <c r="C1089" s="2">
        <v>41457</v>
      </c>
      <c r="D1089" s="1" t="s">
        <v>1992</v>
      </c>
      <c r="E1089" s="6">
        <v>1</v>
      </c>
      <c r="F1089" s="6" t="str">
        <f t="shared" si="32"/>
        <v>July</v>
      </c>
      <c r="G1089" s="6">
        <f t="shared" si="33"/>
        <v>27</v>
      </c>
      <c r="H1089" s="1">
        <f>SUMIF('Retal Tran Line Item'!E:E,A1089,'Retal Tran Line Item'!B:B)</f>
        <v>12</v>
      </c>
    </row>
    <row r="1090" spans="1:8">
      <c r="A1090" s="1">
        <v>101088</v>
      </c>
      <c r="B1090" s="1">
        <v>162236</v>
      </c>
      <c r="C1090" s="2">
        <v>41457</v>
      </c>
      <c r="D1090" s="1" t="s">
        <v>1992</v>
      </c>
      <c r="E1090" s="6">
        <v>1</v>
      </c>
      <c r="F1090" s="6" t="str">
        <f t="shared" si="32"/>
        <v>July</v>
      </c>
      <c r="G1090" s="6">
        <f t="shared" si="33"/>
        <v>27</v>
      </c>
      <c r="H1090" s="1">
        <f>SUMIF('Retal Tran Line Item'!E:E,A1090,'Retal Tran Line Item'!B:B)</f>
        <v>3</v>
      </c>
    </row>
    <row r="1091" spans="1:8">
      <c r="A1091" s="1">
        <v>101089</v>
      </c>
      <c r="B1091" s="1">
        <v>178806</v>
      </c>
      <c r="C1091" s="2">
        <v>41457</v>
      </c>
      <c r="D1091" s="1" t="s">
        <v>1992</v>
      </c>
      <c r="E1091" s="6">
        <v>1</v>
      </c>
      <c r="F1091" s="6" t="str">
        <f t="shared" ref="F1091:F1154" si="34">TEXT(C1091,"MMMM")</f>
        <v>July</v>
      </c>
      <c r="G1091" s="6">
        <f t="shared" ref="G1091:G1154" si="35">WEEKNUM(C1091)</f>
        <v>27</v>
      </c>
      <c r="H1091" s="1">
        <f>SUMIF('Retal Tran Line Item'!E:E,A1091,'Retal Tran Line Item'!B:B)</f>
        <v>11</v>
      </c>
    </row>
    <row r="1092" spans="1:8">
      <c r="A1092" s="1">
        <v>101090</v>
      </c>
      <c r="B1092" s="1">
        <v>622131</v>
      </c>
      <c r="C1092" s="2">
        <v>41458</v>
      </c>
      <c r="D1092" s="1" t="s">
        <v>1993</v>
      </c>
      <c r="E1092" s="6">
        <v>2</v>
      </c>
      <c r="F1092" s="6" t="str">
        <f t="shared" si="34"/>
        <v>July</v>
      </c>
      <c r="G1092" s="6">
        <f t="shared" si="35"/>
        <v>27</v>
      </c>
      <c r="H1092" s="1">
        <f>SUMIF('Retal Tran Line Item'!E:E,A1092,'Retal Tran Line Item'!B:B)</f>
        <v>5</v>
      </c>
    </row>
    <row r="1093" spans="1:8">
      <c r="A1093" s="1">
        <v>101091</v>
      </c>
      <c r="B1093" s="1">
        <v>676018</v>
      </c>
      <c r="C1093" s="2">
        <v>41458</v>
      </c>
      <c r="D1093" s="1" t="s">
        <v>1994</v>
      </c>
      <c r="E1093" s="6">
        <v>2</v>
      </c>
      <c r="F1093" s="6" t="str">
        <f t="shared" si="34"/>
        <v>July</v>
      </c>
      <c r="G1093" s="6">
        <f t="shared" si="35"/>
        <v>27</v>
      </c>
      <c r="H1093" s="1">
        <f>SUMIF('Retal Tran Line Item'!E:E,A1093,'Retal Tran Line Item'!B:B)</f>
        <v>6</v>
      </c>
    </row>
    <row r="1094" spans="1:8">
      <c r="A1094" s="1">
        <v>101092</v>
      </c>
      <c r="B1094" s="1">
        <v>911171</v>
      </c>
      <c r="C1094" s="2">
        <v>41458</v>
      </c>
      <c r="D1094" s="1" t="s">
        <v>1992</v>
      </c>
      <c r="E1094" s="6">
        <v>2</v>
      </c>
      <c r="F1094" s="6" t="str">
        <f t="shared" si="34"/>
        <v>July</v>
      </c>
      <c r="G1094" s="6">
        <f t="shared" si="35"/>
        <v>27</v>
      </c>
      <c r="H1094" s="1">
        <f>SUMIF('Retal Tran Line Item'!E:E,A1094,'Retal Tran Line Item'!B:B)</f>
        <v>7</v>
      </c>
    </row>
    <row r="1095" spans="1:8">
      <c r="A1095" s="1">
        <v>101093</v>
      </c>
      <c r="B1095" s="1">
        <v>744648</v>
      </c>
      <c r="C1095" s="2">
        <v>41458</v>
      </c>
      <c r="D1095" s="1" t="s">
        <v>1992</v>
      </c>
      <c r="E1095" s="6">
        <v>1</v>
      </c>
      <c r="F1095" s="6" t="str">
        <f t="shared" si="34"/>
        <v>July</v>
      </c>
      <c r="G1095" s="6">
        <f t="shared" si="35"/>
        <v>27</v>
      </c>
      <c r="H1095" s="1">
        <f>SUMIF('Retal Tran Line Item'!E:E,A1095,'Retal Tran Line Item'!B:B)</f>
        <v>8</v>
      </c>
    </row>
    <row r="1096" spans="1:8">
      <c r="A1096" s="1">
        <v>101094</v>
      </c>
      <c r="B1096" s="1">
        <v>606155</v>
      </c>
      <c r="C1096" s="2">
        <v>41458</v>
      </c>
      <c r="D1096" s="1" t="s">
        <v>1993</v>
      </c>
      <c r="E1096" s="6">
        <v>2</v>
      </c>
      <c r="F1096" s="6" t="str">
        <f t="shared" si="34"/>
        <v>July</v>
      </c>
      <c r="G1096" s="6">
        <f t="shared" si="35"/>
        <v>27</v>
      </c>
      <c r="H1096" s="1">
        <f>SUMIF('Retal Tran Line Item'!E:E,A1096,'Retal Tran Line Item'!B:B)</f>
        <v>5</v>
      </c>
    </row>
    <row r="1097" spans="1:8">
      <c r="A1097" s="1">
        <v>101095</v>
      </c>
      <c r="B1097" s="1">
        <v>706884</v>
      </c>
      <c r="C1097" s="2">
        <v>41458</v>
      </c>
      <c r="D1097" s="1" t="s">
        <v>1989</v>
      </c>
      <c r="E1097" s="6">
        <v>1</v>
      </c>
      <c r="F1097" s="6" t="str">
        <f t="shared" si="34"/>
        <v>July</v>
      </c>
      <c r="G1097" s="6">
        <f t="shared" si="35"/>
        <v>27</v>
      </c>
      <c r="H1097" s="1">
        <f>SUMIF('Retal Tran Line Item'!E:E,A1097,'Retal Tran Line Item'!B:B)</f>
        <v>1</v>
      </c>
    </row>
    <row r="1098" spans="1:8">
      <c r="A1098" s="1">
        <v>101096</v>
      </c>
      <c r="B1098" s="1">
        <v>378374</v>
      </c>
      <c r="C1098" s="2">
        <v>41458</v>
      </c>
      <c r="D1098" s="1" t="s">
        <v>1994</v>
      </c>
      <c r="E1098" s="6">
        <v>1</v>
      </c>
      <c r="F1098" s="6" t="str">
        <f t="shared" si="34"/>
        <v>July</v>
      </c>
      <c r="G1098" s="6">
        <f t="shared" si="35"/>
        <v>27</v>
      </c>
      <c r="H1098" s="1">
        <f>SUMIF('Retal Tran Line Item'!E:E,A1098,'Retal Tran Line Item'!B:B)</f>
        <v>9</v>
      </c>
    </row>
    <row r="1099" spans="1:8">
      <c r="A1099" s="1">
        <v>101097</v>
      </c>
      <c r="B1099" s="1">
        <v>765237</v>
      </c>
      <c r="C1099" s="2">
        <v>41458</v>
      </c>
      <c r="D1099" s="1" t="s">
        <v>1992</v>
      </c>
      <c r="E1099" s="6">
        <v>2</v>
      </c>
      <c r="F1099" s="6" t="str">
        <f t="shared" si="34"/>
        <v>July</v>
      </c>
      <c r="G1099" s="6">
        <f t="shared" si="35"/>
        <v>27</v>
      </c>
      <c r="H1099" s="1">
        <f>SUMIF('Retal Tran Line Item'!E:E,A1099,'Retal Tran Line Item'!B:B)</f>
        <v>7</v>
      </c>
    </row>
    <row r="1100" spans="1:8">
      <c r="A1100" s="1">
        <v>101098</v>
      </c>
      <c r="B1100" s="1">
        <v>447368</v>
      </c>
      <c r="C1100" s="2">
        <v>41458</v>
      </c>
      <c r="D1100" s="1" t="s">
        <v>1993</v>
      </c>
      <c r="E1100" s="6">
        <v>1</v>
      </c>
      <c r="F1100" s="6" t="str">
        <f t="shared" si="34"/>
        <v>July</v>
      </c>
      <c r="G1100" s="6">
        <f t="shared" si="35"/>
        <v>27</v>
      </c>
      <c r="H1100" s="1">
        <f>SUMIF('Retal Tran Line Item'!E:E,A1100,'Retal Tran Line Item'!B:B)</f>
        <v>5</v>
      </c>
    </row>
    <row r="1101" spans="1:8">
      <c r="A1101" s="1">
        <v>101099</v>
      </c>
      <c r="B1101" s="1">
        <v>852319</v>
      </c>
      <c r="C1101" s="2">
        <v>41459</v>
      </c>
      <c r="D1101" s="1" t="s">
        <v>1993</v>
      </c>
      <c r="E1101" s="6">
        <v>2</v>
      </c>
      <c r="F1101" s="6" t="str">
        <f t="shared" si="34"/>
        <v>July</v>
      </c>
      <c r="G1101" s="6">
        <f t="shared" si="35"/>
        <v>27</v>
      </c>
      <c r="H1101" s="1">
        <f>SUMIF('Retal Tran Line Item'!E:E,A1101,'Retal Tran Line Item'!B:B)</f>
        <v>9</v>
      </c>
    </row>
    <row r="1102" spans="1:8">
      <c r="A1102" s="1">
        <v>101100</v>
      </c>
      <c r="B1102" s="1">
        <v>605188</v>
      </c>
      <c r="C1102" s="2">
        <v>41459</v>
      </c>
      <c r="D1102" s="1" t="s">
        <v>1989</v>
      </c>
      <c r="E1102" s="6">
        <v>2</v>
      </c>
      <c r="F1102" s="6" t="str">
        <f t="shared" si="34"/>
        <v>July</v>
      </c>
      <c r="G1102" s="6">
        <f t="shared" si="35"/>
        <v>27</v>
      </c>
      <c r="H1102" s="1">
        <f>SUMIF('Retal Tran Line Item'!E:E,A1102,'Retal Tran Line Item'!B:B)</f>
        <v>9</v>
      </c>
    </row>
    <row r="1103" spans="1:8">
      <c r="A1103" s="1">
        <v>101101</v>
      </c>
      <c r="B1103" s="1">
        <v>561305</v>
      </c>
      <c r="C1103" s="2">
        <v>41459</v>
      </c>
      <c r="D1103" s="1" t="s">
        <v>1993</v>
      </c>
      <c r="E1103" s="6">
        <v>1</v>
      </c>
      <c r="F1103" s="6" t="str">
        <f t="shared" si="34"/>
        <v>July</v>
      </c>
      <c r="G1103" s="6">
        <f t="shared" si="35"/>
        <v>27</v>
      </c>
      <c r="H1103" s="1">
        <f>SUMIF('Retal Tran Line Item'!E:E,A1103,'Retal Tran Line Item'!B:B)</f>
        <v>8</v>
      </c>
    </row>
    <row r="1104" spans="1:8">
      <c r="A1104" s="1">
        <v>101102</v>
      </c>
      <c r="B1104" s="1">
        <v>305005</v>
      </c>
      <c r="C1104" s="2">
        <v>41459</v>
      </c>
      <c r="D1104" s="1" t="s">
        <v>1993</v>
      </c>
      <c r="E1104" s="6">
        <v>1</v>
      </c>
      <c r="F1104" s="6" t="str">
        <f t="shared" si="34"/>
        <v>July</v>
      </c>
      <c r="G1104" s="6">
        <f t="shared" si="35"/>
        <v>27</v>
      </c>
      <c r="H1104" s="1">
        <f>SUMIF('Retal Tran Line Item'!E:E,A1104,'Retal Tran Line Item'!B:B)</f>
        <v>5</v>
      </c>
    </row>
    <row r="1105" spans="1:8">
      <c r="A1105" s="1">
        <v>101103</v>
      </c>
      <c r="B1105" s="1">
        <v>242720</v>
      </c>
      <c r="C1105" s="2">
        <v>41459</v>
      </c>
      <c r="D1105" s="1" t="s">
        <v>1989</v>
      </c>
      <c r="E1105" s="6">
        <v>1</v>
      </c>
      <c r="F1105" s="6" t="str">
        <f t="shared" si="34"/>
        <v>July</v>
      </c>
      <c r="G1105" s="6">
        <f t="shared" si="35"/>
        <v>27</v>
      </c>
      <c r="H1105" s="1">
        <f>SUMIF('Retal Tran Line Item'!E:E,A1105,'Retal Tran Line Item'!B:B)</f>
        <v>12</v>
      </c>
    </row>
    <row r="1106" spans="1:8">
      <c r="A1106" s="1">
        <v>101104</v>
      </c>
      <c r="B1106" s="1">
        <v>111486</v>
      </c>
      <c r="C1106" s="2">
        <v>41459</v>
      </c>
      <c r="D1106" s="1" t="s">
        <v>1993</v>
      </c>
      <c r="E1106" s="6">
        <v>2</v>
      </c>
      <c r="F1106" s="6" t="str">
        <f t="shared" si="34"/>
        <v>July</v>
      </c>
      <c r="G1106" s="6">
        <f t="shared" si="35"/>
        <v>27</v>
      </c>
      <c r="H1106" s="1">
        <f>SUMIF('Retal Tran Line Item'!E:E,A1106,'Retal Tran Line Item'!B:B)</f>
        <v>14</v>
      </c>
    </row>
    <row r="1107" spans="1:8">
      <c r="A1107" s="1">
        <v>101105</v>
      </c>
      <c r="B1107" s="1">
        <v>888759</v>
      </c>
      <c r="C1107" s="2">
        <v>41459</v>
      </c>
      <c r="D1107" s="1" t="s">
        <v>1993</v>
      </c>
      <c r="E1107" s="6">
        <v>1</v>
      </c>
      <c r="F1107" s="6" t="str">
        <f t="shared" si="34"/>
        <v>July</v>
      </c>
      <c r="G1107" s="6">
        <f t="shared" si="35"/>
        <v>27</v>
      </c>
      <c r="H1107" s="1">
        <f>SUMIF('Retal Tran Line Item'!E:E,A1107,'Retal Tran Line Item'!B:B)</f>
        <v>2</v>
      </c>
    </row>
    <row r="1108" spans="1:8">
      <c r="A1108" s="1">
        <v>101106</v>
      </c>
      <c r="B1108" s="1">
        <v>590616</v>
      </c>
      <c r="C1108" s="2">
        <v>41459</v>
      </c>
      <c r="D1108" s="1" t="s">
        <v>1993</v>
      </c>
      <c r="E1108" s="6">
        <v>2</v>
      </c>
      <c r="F1108" s="6" t="str">
        <f t="shared" si="34"/>
        <v>July</v>
      </c>
      <c r="G1108" s="6">
        <f t="shared" si="35"/>
        <v>27</v>
      </c>
      <c r="H1108" s="1">
        <f>SUMIF('Retal Tran Line Item'!E:E,A1108,'Retal Tran Line Item'!B:B)</f>
        <v>28</v>
      </c>
    </row>
    <row r="1109" spans="1:8">
      <c r="A1109" s="1">
        <v>101107</v>
      </c>
      <c r="B1109" s="1">
        <v>777145</v>
      </c>
      <c r="C1109" s="2">
        <v>41459</v>
      </c>
      <c r="D1109" s="1" t="s">
        <v>1992</v>
      </c>
      <c r="E1109" s="6">
        <v>1</v>
      </c>
      <c r="F1109" s="6" t="str">
        <f t="shared" si="34"/>
        <v>July</v>
      </c>
      <c r="G1109" s="6">
        <f t="shared" si="35"/>
        <v>27</v>
      </c>
      <c r="H1109" s="1">
        <f>SUMIF('Retal Tran Line Item'!E:E,A1109,'Retal Tran Line Item'!B:B)</f>
        <v>17</v>
      </c>
    </row>
    <row r="1110" spans="1:8">
      <c r="A1110" s="1">
        <v>101108</v>
      </c>
      <c r="B1110" s="1">
        <v>795957</v>
      </c>
      <c r="C1110" s="2">
        <v>41460</v>
      </c>
      <c r="D1110" s="1" t="s">
        <v>1992</v>
      </c>
      <c r="E1110" s="6">
        <v>1</v>
      </c>
      <c r="F1110" s="6" t="str">
        <f t="shared" si="34"/>
        <v>July</v>
      </c>
      <c r="G1110" s="6">
        <f t="shared" si="35"/>
        <v>27</v>
      </c>
      <c r="H1110" s="1">
        <f>SUMIF('Retal Tran Line Item'!E:E,A1110,'Retal Tran Line Item'!B:B)</f>
        <v>6</v>
      </c>
    </row>
    <row r="1111" spans="1:8">
      <c r="A1111" s="1">
        <v>101109</v>
      </c>
      <c r="B1111" s="1">
        <v>825249</v>
      </c>
      <c r="C1111" s="2">
        <v>41460</v>
      </c>
      <c r="D1111" s="1" t="s">
        <v>1993</v>
      </c>
      <c r="E1111" s="6">
        <v>2</v>
      </c>
      <c r="F1111" s="6" t="str">
        <f t="shared" si="34"/>
        <v>July</v>
      </c>
      <c r="G1111" s="6">
        <f t="shared" si="35"/>
        <v>27</v>
      </c>
      <c r="H1111" s="1">
        <f>SUMIF('Retal Tran Line Item'!E:E,A1111,'Retal Tran Line Item'!B:B)</f>
        <v>8</v>
      </c>
    </row>
    <row r="1112" spans="1:8">
      <c r="A1112" s="1">
        <v>101110</v>
      </c>
      <c r="B1112" s="1">
        <v>736500</v>
      </c>
      <c r="C1112" s="2">
        <v>41460</v>
      </c>
      <c r="D1112" s="1" t="s">
        <v>1993</v>
      </c>
      <c r="E1112" s="6">
        <v>2</v>
      </c>
      <c r="F1112" s="6" t="str">
        <f t="shared" si="34"/>
        <v>July</v>
      </c>
      <c r="G1112" s="6">
        <f t="shared" si="35"/>
        <v>27</v>
      </c>
      <c r="H1112" s="1">
        <f>SUMIF('Retal Tran Line Item'!E:E,A1112,'Retal Tran Line Item'!B:B)</f>
        <v>23</v>
      </c>
    </row>
    <row r="1113" spans="1:8">
      <c r="A1113" s="1">
        <v>101111</v>
      </c>
      <c r="B1113" s="1">
        <v>479497</v>
      </c>
      <c r="C1113" s="2">
        <v>41460</v>
      </c>
      <c r="D1113" s="1" t="s">
        <v>1994</v>
      </c>
      <c r="E1113" s="6">
        <v>2</v>
      </c>
      <c r="F1113" s="6" t="str">
        <f t="shared" si="34"/>
        <v>July</v>
      </c>
      <c r="G1113" s="6">
        <f t="shared" si="35"/>
        <v>27</v>
      </c>
      <c r="H1113" s="1">
        <f>SUMIF('Retal Tran Line Item'!E:E,A1113,'Retal Tran Line Item'!B:B)</f>
        <v>5</v>
      </c>
    </row>
    <row r="1114" spans="1:8">
      <c r="A1114" s="1">
        <v>101112</v>
      </c>
      <c r="B1114" s="1">
        <v>908768</v>
      </c>
      <c r="C1114" s="2">
        <v>41460</v>
      </c>
      <c r="D1114" s="1" t="s">
        <v>1992</v>
      </c>
      <c r="E1114" s="6">
        <v>1</v>
      </c>
      <c r="F1114" s="6" t="str">
        <f t="shared" si="34"/>
        <v>July</v>
      </c>
      <c r="G1114" s="6">
        <f t="shared" si="35"/>
        <v>27</v>
      </c>
      <c r="H1114" s="1">
        <f>SUMIF('Retal Tran Line Item'!E:E,A1114,'Retal Tran Line Item'!B:B)</f>
        <v>16</v>
      </c>
    </row>
    <row r="1115" spans="1:8">
      <c r="A1115" s="1">
        <v>101113</v>
      </c>
      <c r="B1115" s="1">
        <v>249188</v>
      </c>
      <c r="C1115" s="2">
        <v>41460</v>
      </c>
      <c r="D1115" s="1" t="s">
        <v>1992</v>
      </c>
      <c r="E1115" s="6">
        <v>1</v>
      </c>
      <c r="F1115" s="6" t="str">
        <f t="shared" si="34"/>
        <v>July</v>
      </c>
      <c r="G1115" s="6">
        <f t="shared" si="35"/>
        <v>27</v>
      </c>
      <c r="H1115" s="1">
        <f>SUMIF('Retal Tran Line Item'!E:E,A1115,'Retal Tran Line Item'!B:B)</f>
        <v>10</v>
      </c>
    </row>
    <row r="1116" spans="1:8">
      <c r="A1116" s="1">
        <v>101114</v>
      </c>
      <c r="B1116" s="1">
        <v>277373</v>
      </c>
      <c r="C1116" s="2">
        <v>41461</v>
      </c>
      <c r="D1116" s="1" t="s">
        <v>1994</v>
      </c>
      <c r="E1116" s="6">
        <v>2</v>
      </c>
      <c r="F1116" s="6" t="str">
        <f t="shared" si="34"/>
        <v>July</v>
      </c>
      <c r="G1116" s="6">
        <f t="shared" si="35"/>
        <v>27</v>
      </c>
      <c r="H1116" s="1">
        <f>SUMIF('Retal Tran Line Item'!E:E,A1116,'Retal Tran Line Item'!B:B)</f>
        <v>12</v>
      </c>
    </row>
    <row r="1117" spans="1:8">
      <c r="A1117" s="1">
        <v>101115</v>
      </c>
      <c r="B1117" s="1">
        <v>590517</v>
      </c>
      <c r="C1117" s="2">
        <v>41461</v>
      </c>
      <c r="D1117" s="1" t="s">
        <v>1994</v>
      </c>
      <c r="E1117" s="6">
        <v>1</v>
      </c>
      <c r="F1117" s="6" t="str">
        <f t="shared" si="34"/>
        <v>July</v>
      </c>
      <c r="G1117" s="6">
        <f t="shared" si="35"/>
        <v>27</v>
      </c>
      <c r="H1117" s="1">
        <f>SUMIF('Retal Tran Line Item'!E:E,A1117,'Retal Tran Line Item'!B:B)</f>
        <v>6</v>
      </c>
    </row>
    <row r="1118" spans="1:8">
      <c r="A1118" s="1">
        <v>101116</v>
      </c>
      <c r="B1118" s="1">
        <v>912671</v>
      </c>
      <c r="C1118" s="2">
        <v>41461</v>
      </c>
      <c r="D1118" s="1" t="s">
        <v>1992</v>
      </c>
      <c r="E1118" s="6">
        <v>2</v>
      </c>
      <c r="F1118" s="6" t="str">
        <f t="shared" si="34"/>
        <v>July</v>
      </c>
      <c r="G1118" s="6">
        <f t="shared" si="35"/>
        <v>27</v>
      </c>
      <c r="H1118" s="1">
        <f>SUMIF('Retal Tran Line Item'!E:E,A1118,'Retal Tran Line Item'!B:B)</f>
        <v>9</v>
      </c>
    </row>
    <row r="1119" spans="1:8">
      <c r="A1119" s="1">
        <v>101117</v>
      </c>
      <c r="B1119" s="1">
        <v>415869</v>
      </c>
      <c r="C1119" s="2">
        <v>41461</v>
      </c>
      <c r="D1119" s="1" t="s">
        <v>1993</v>
      </c>
      <c r="E1119" s="6">
        <v>1</v>
      </c>
      <c r="F1119" s="6" t="str">
        <f t="shared" si="34"/>
        <v>July</v>
      </c>
      <c r="G1119" s="6">
        <f t="shared" si="35"/>
        <v>27</v>
      </c>
      <c r="H1119" s="1">
        <f>SUMIF('Retal Tran Line Item'!E:E,A1119,'Retal Tran Line Item'!B:B)</f>
        <v>2</v>
      </c>
    </row>
    <row r="1120" spans="1:8">
      <c r="A1120" s="1">
        <v>101118</v>
      </c>
      <c r="B1120" s="1">
        <v>803700</v>
      </c>
      <c r="C1120" s="2">
        <v>41461</v>
      </c>
      <c r="D1120" s="1" t="s">
        <v>1992</v>
      </c>
      <c r="E1120" s="6">
        <v>1</v>
      </c>
      <c r="F1120" s="6" t="str">
        <f t="shared" si="34"/>
        <v>July</v>
      </c>
      <c r="G1120" s="6">
        <f t="shared" si="35"/>
        <v>27</v>
      </c>
      <c r="H1120" s="1">
        <f>SUMIF('Retal Tran Line Item'!E:E,A1120,'Retal Tran Line Item'!B:B)</f>
        <v>2</v>
      </c>
    </row>
    <row r="1121" spans="1:8">
      <c r="A1121" s="1">
        <v>101119</v>
      </c>
      <c r="B1121" s="1">
        <v>748326</v>
      </c>
      <c r="C1121" s="2">
        <v>41461</v>
      </c>
      <c r="D1121" s="1" t="s">
        <v>1993</v>
      </c>
      <c r="E1121" s="6">
        <v>2</v>
      </c>
      <c r="F1121" s="6" t="str">
        <f t="shared" si="34"/>
        <v>July</v>
      </c>
      <c r="G1121" s="6">
        <f t="shared" si="35"/>
        <v>27</v>
      </c>
      <c r="H1121" s="1">
        <f>SUMIF('Retal Tran Line Item'!E:E,A1121,'Retal Tran Line Item'!B:B)</f>
        <v>4</v>
      </c>
    </row>
    <row r="1122" spans="1:8">
      <c r="A1122" s="1">
        <v>101120</v>
      </c>
      <c r="B1122" s="1">
        <v>199895</v>
      </c>
      <c r="C1122" s="2">
        <v>41461</v>
      </c>
      <c r="D1122" s="1" t="s">
        <v>1989</v>
      </c>
      <c r="E1122" s="6">
        <v>1</v>
      </c>
      <c r="F1122" s="6" t="str">
        <f t="shared" si="34"/>
        <v>July</v>
      </c>
      <c r="G1122" s="6">
        <f t="shared" si="35"/>
        <v>27</v>
      </c>
      <c r="H1122" s="1">
        <f>SUMIF('Retal Tran Line Item'!E:E,A1122,'Retal Tran Line Item'!B:B)</f>
        <v>3</v>
      </c>
    </row>
    <row r="1123" spans="1:8">
      <c r="A1123" s="1">
        <v>101121</v>
      </c>
      <c r="B1123" s="1">
        <v>599995</v>
      </c>
      <c r="C1123" s="2">
        <v>41461</v>
      </c>
      <c r="D1123" s="1" t="s">
        <v>1989</v>
      </c>
      <c r="E1123" s="6">
        <v>1</v>
      </c>
      <c r="F1123" s="6" t="str">
        <f t="shared" si="34"/>
        <v>July</v>
      </c>
      <c r="G1123" s="6">
        <f t="shared" si="35"/>
        <v>27</v>
      </c>
      <c r="H1123" s="1">
        <f>SUMIF('Retal Tran Line Item'!E:E,A1123,'Retal Tran Line Item'!B:B)</f>
        <v>1</v>
      </c>
    </row>
    <row r="1124" spans="1:8">
      <c r="A1124" s="1">
        <v>101122</v>
      </c>
      <c r="B1124" s="1">
        <v>592592</v>
      </c>
      <c r="C1124" s="2">
        <v>41461</v>
      </c>
      <c r="D1124" s="1" t="s">
        <v>1993</v>
      </c>
      <c r="E1124" s="6">
        <v>1</v>
      </c>
      <c r="F1124" s="6" t="str">
        <f t="shared" si="34"/>
        <v>July</v>
      </c>
      <c r="G1124" s="6">
        <f t="shared" si="35"/>
        <v>27</v>
      </c>
      <c r="H1124" s="1">
        <f>SUMIF('Retal Tran Line Item'!E:E,A1124,'Retal Tran Line Item'!B:B)</f>
        <v>10</v>
      </c>
    </row>
    <row r="1125" spans="1:8">
      <c r="A1125" s="1">
        <v>101123</v>
      </c>
      <c r="B1125" s="1">
        <v>385115</v>
      </c>
      <c r="C1125" s="2">
        <v>41462</v>
      </c>
      <c r="D1125" s="1" t="s">
        <v>1992</v>
      </c>
      <c r="E1125" s="6">
        <v>2</v>
      </c>
      <c r="F1125" s="6" t="str">
        <f t="shared" si="34"/>
        <v>July</v>
      </c>
      <c r="G1125" s="6">
        <f t="shared" si="35"/>
        <v>28</v>
      </c>
      <c r="H1125" s="1">
        <f>SUMIF('Retal Tran Line Item'!E:E,A1125,'Retal Tran Line Item'!B:B)</f>
        <v>5</v>
      </c>
    </row>
    <row r="1126" spans="1:8">
      <c r="A1126" s="1">
        <v>101124</v>
      </c>
      <c r="B1126" s="1">
        <v>815980</v>
      </c>
      <c r="C1126" s="2">
        <v>41462</v>
      </c>
      <c r="D1126" s="1" t="s">
        <v>1992</v>
      </c>
      <c r="E1126" s="6">
        <v>2</v>
      </c>
      <c r="F1126" s="6" t="str">
        <f t="shared" si="34"/>
        <v>July</v>
      </c>
      <c r="G1126" s="6">
        <f t="shared" si="35"/>
        <v>28</v>
      </c>
      <c r="H1126" s="1">
        <f>SUMIF('Retal Tran Line Item'!E:E,A1126,'Retal Tran Line Item'!B:B)</f>
        <v>9</v>
      </c>
    </row>
    <row r="1127" spans="1:8">
      <c r="A1127" s="1">
        <v>101125</v>
      </c>
      <c r="B1127" s="1">
        <v>214537</v>
      </c>
      <c r="C1127" s="2">
        <v>41462</v>
      </c>
      <c r="D1127" s="1" t="s">
        <v>1989</v>
      </c>
      <c r="E1127" s="6">
        <v>1</v>
      </c>
      <c r="F1127" s="6" t="str">
        <f t="shared" si="34"/>
        <v>July</v>
      </c>
      <c r="G1127" s="6">
        <f t="shared" si="35"/>
        <v>28</v>
      </c>
      <c r="H1127" s="1">
        <f>SUMIF('Retal Tran Line Item'!E:E,A1127,'Retal Tran Line Item'!B:B)</f>
        <v>8</v>
      </c>
    </row>
    <row r="1128" spans="1:8">
      <c r="A1128" s="1">
        <v>101126</v>
      </c>
      <c r="B1128" s="1">
        <v>308662</v>
      </c>
      <c r="C1128" s="2">
        <v>41462</v>
      </c>
      <c r="D1128" s="1" t="s">
        <v>1989</v>
      </c>
      <c r="E1128" s="6">
        <v>2</v>
      </c>
      <c r="F1128" s="6" t="str">
        <f t="shared" si="34"/>
        <v>July</v>
      </c>
      <c r="G1128" s="6">
        <f t="shared" si="35"/>
        <v>28</v>
      </c>
      <c r="H1128" s="1">
        <f>SUMIF('Retal Tran Line Item'!E:E,A1128,'Retal Tran Line Item'!B:B)</f>
        <v>4</v>
      </c>
    </row>
    <row r="1129" spans="1:8">
      <c r="A1129" s="1">
        <v>101127</v>
      </c>
      <c r="B1129" s="1">
        <v>955591</v>
      </c>
      <c r="C1129" s="2">
        <v>41462</v>
      </c>
      <c r="D1129" s="1" t="s">
        <v>1993</v>
      </c>
      <c r="E1129" s="6">
        <v>1</v>
      </c>
      <c r="F1129" s="6" t="str">
        <f t="shared" si="34"/>
        <v>July</v>
      </c>
      <c r="G1129" s="6">
        <f t="shared" si="35"/>
        <v>28</v>
      </c>
      <c r="H1129" s="1">
        <f>SUMIF('Retal Tran Line Item'!E:E,A1129,'Retal Tran Line Item'!B:B)</f>
        <v>17</v>
      </c>
    </row>
    <row r="1130" spans="1:8">
      <c r="A1130" s="1">
        <v>101128</v>
      </c>
      <c r="B1130" s="1">
        <v>396166</v>
      </c>
      <c r="C1130" s="2">
        <v>41462</v>
      </c>
      <c r="D1130" s="1" t="s">
        <v>1992</v>
      </c>
      <c r="E1130" s="6">
        <v>2</v>
      </c>
      <c r="F1130" s="6" t="str">
        <f t="shared" si="34"/>
        <v>July</v>
      </c>
      <c r="G1130" s="6">
        <f t="shared" si="35"/>
        <v>28</v>
      </c>
      <c r="H1130" s="1">
        <f>SUMIF('Retal Tran Line Item'!E:E,A1130,'Retal Tran Line Item'!B:B)</f>
        <v>2</v>
      </c>
    </row>
    <row r="1131" spans="1:8">
      <c r="A1131" s="1">
        <v>101129</v>
      </c>
      <c r="B1131" s="1">
        <v>840096</v>
      </c>
      <c r="C1131" s="2">
        <v>41462</v>
      </c>
      <c r="D1131" s="1" t="s">
        <v>1992</v>
      </c>
      <c r="E1131" s="6">
        <v>1</v>
      </c>
      <c r="F1131" s="6" t="str">
        <f t="shared" si="34"/>
        <v>July</v>
      </c>
      <c r="G1131" s="6">
        <f t="shared" si="35"/>
        <v>28</v>
      </c>
      <c r="H1131" s="1">
        <f>SUMIF('Retal Tran Line Item'!E:E,A1131,'Retal Tran Line Item'!B:B)</f>
        <v>1</v>
      </c>
    </row>
    <row r="1132" spans="1:8">
      <c r="A1132" s="1">
        <v>101130</v>
      </c>
      <c r="B1132" s="1">
        <v>302774</v>
      </c>
      <c r="C1132" s="2">
        <v>41462</v>
      </c>
      <c r="D1132" s="1" t="s">
        <v>1992</v>
      </c>
      <c r="E1132" s="6">
        <v>1</v>
      </c>
      <c r="F1132" s="6" t="str">
        <f t="shared" si="34"/>
        <v>July</v>
      </c>
      <c r="G1132" s="6">
        <f t="shared" si="35"/>
        <v>28</v>
      </c>
      <c r="H1132" s="1">
        <f>SUMIF('Retal Tran Line Item'!E:E,A1132,'Retal Tran Line Item'!B:B)</f>
        <v>4</v>
      </c>
    </row>
    <row r="1133" spans="1:8">
      <c r="A1133" s="1">
        <v>101131</v>
      </c>
      <c r="B1133" s="1">
        <v>958321</v>
      </c>
      <c r="C1133" s="2">
        <v>41462</v>
      </c>
      <c r="D1133" s="1" t="s">
        <v>1993</v>
      </c>
      <c r="E1133" s="6">
        <v>1</v>
      </c>
      <c r="F1133" s="6" t="str">
        <f t="shared" si="34"/>
        <v>July</v>
      </c>
      <c r="G1133" s="6">
        <f t="shared" si="35"/>
        <v>28</v>
      </c>
      <c r="H1133" s="1">
        <f>SUMIF('Retal Tran Line Item'!E:E,A1133,'Retal Tran Line Item'!B:B)</f>
        <v>9</v>
      </c>
    </row>
    <row r="1134" spans="1:8">
      <c r="A1134" s="1">
        <v>101132</v>
      </c>
      <c r="B1134" s="1">
        <v>128131</v>
      </c>
      <c r="C1134" s="2">
        <v>41463</v>
      </c>
      <c r="D1134" s="1" t="s">
        <v>1992</v>
      </c>
      <c r="E1134" s="6">
        <v>2</v>
      </c>
      <c r="F1134" s="6" t="str">
        <f t="shared" si="34"/>
        <v>July</v>
      </c>
      <c r="G1134" s="6">
        <f t="shared" si="35"/>
        <v>28</v>
      </c>
      <c r="H1134" s="1">
        <f>SUMIF('Retal Tran Line Item'!E:E,A1134,'Retal Tran Line Item'!B:B)</f>
        <v>6</v>
      </c>
    </row>
    <row r="1135" spans="1:8">
      <c r="A1135" s="1">
        <v>101133</v>
      </c>
      <c r="B1135" s="1">
        <v>891738</v>
      </c>
      <c r="C1135" s="2">
        <v>41463</v>
      </c>
      <c r="D1135" s="1" t="s">
        <v>1994</v>
      </c>
      <c r="E1135" s="6">
        <v>2</v>
      </c>
      <c r="F1135" s="6" t="str">
        <f t="shared" si="34"/>
        <v>July</v>
      </c>
      <c r="G1135" s="6">
        <f t="shared" si="35"/>
        <v>28</v>
      </c>
      <c r="H1135" s="1">
        <f>SUMIF('Retal Tran Line Item'!E:E,A1135,'Retal Tran Line Item'!B:B)</f>
        <v>2</v>
      </c>
    </row>
    <row r="1136" spans="1:8">
      <c r="A1136" s="1">
        <v>101134</v>
      </c>
      <c r="B1136" s="1">
        <v>739440</v>
      </c>
      <c r="C1136" s="2">
        <v>41463</v>
      </c>
      <c r="D1136" s="1" t="s">
        <v>1993</v>
      </c>
      <c r="E1136" s="6">
        <v>1</v>
      </c>
      <c r="F1136" s="6" t="str">
        <f t="shared" si="34"/>
        <v>July</v>
      </c>
      <c r="G1136" s="6">
        <f t="shared" si="35"/>
        <v>28</v>
      </c>
      <c r="H1136" s="1">
        <f>SUMIF('Retal Tran Line Item'!E:E,A1136,'Retal Tran Line Item'!B:B)</f>
        <v>20</v>
      </c>
    </row>
    <row r="1137" spans="1:8">
      <c r="A1137" s="1">
        <v>101135</v>
      </c>
      <c r="B1137" s="1">
        <v>744648</v>
      </c>
      <c r="C1137" s="2">
        <v>41463</v>
      </c>
      <c r="D1137" s="1" t="s">
        <v>1992</v>
      </c>
      <c r="E1137" s="6">
        <v>1</v>
      </c>
      <c r="F1137" s="6" t="str">
        <f t="shared" si="34"/>
        <v>July</v>
      </c>
      <c r="G1137" s="6">
        <f t="shared" si="35"/>
        <v>28</v>
      </c>
      <c r="H1137" s="1">
        <f>SUMIF('Retal Tran Line Item'!E:E,A1137,'Retal Tran Line Item'!B:B)</f>
        <v>23</v>
      </c>
    </row>
    <row r="1138" spans="1:8">
      <c r="A1138" s="1">
        <v>101136</v>
      </c>
      <c r="B1138" s="1">
        <v>352644</v>
      </c>
      <c r="C1138" s="2">
        <v>41463</v>
      </c>
      <c r="D1138" s="1" t="s">
        <v>1989</v>
      </c>
      <c r="E1138" s="6">
        <v>1</v>
      </c>
      <c r="F1138" s="6" t="str">
        <f t="shared" si="34"/>
        <v>July</v>
      </c>
      <c r="G1138" s="6">
        <f t="shared" si="35"/>
        <v>28</v>
      </c>
      <c r="H1138" s="1">
        <f>SUMIF('Retal Tran Line Item'!E:E,A1138,'Retal Tran Line Item'!B:B)</f>
        <v>11</v>
      </c>
    </row>
    <row r="1139" spans="1:8">
      <c r="A1139" s="1">
        <v>101137</v>
      </c>
      <c r="B1139" s="1">
        <v>649551</v>
      </c>
      <c r="C1139" s="2">
        <v>41463</v>
      </c>
      <c r="D1139" s="1" t="s">
        <v>1993</v>
      </c>
      <c r="E1139" s="6">
        <v>1</v>
      </c>
      <c r="F1139" s="6" t="str">
        <f t="shared" si="34"/>
        <v>July</v>
      </c>
      <c r="G1139" s="6">
        <f t="shared" si="35"/>
        <v>28</v>
      </c>
      <c r="H1139" s="1">
        <f>SUMIF('Retal Tran Line Item'!E:E,A1139,'Retal Tran Line Item'!B:B)</f>
        <v>14</v>
      </c>
    </row>
    <row r="1140" spans="1:8">
      <c r="A1140" s="1">
        <v>101138</v>
      </c>
      <c r="B1140" s="1">
        <v>242720</v>
      </c>
      <c r="C1140" s="2">
        <v>41463</v>
      </c>
      <c r="D1140" s="1" t="s">
        <v>1989</v>
      </c>
      <c r="E1140" s="6">
        <v>2</v>
      </c>
      <c r="F1140" s="6" t="str">
        <f t="shared" si="34"/>
        <v>July</v>
      </c>
      <c r="G1140" s="6">
        <f t="shared" si="35"/>
        <v>28</v>
      </c>
      <c r="H1140" s="1">
        <f>SUMIF('Retal Tran Line Item'!E:E,A1140,'Retal Tran Line Item'!B:B)</f>
        <v>7</v>
      </c>
    </row>
    <row r="1141" spans="1:8">
      <c r="A1141" s="1">
        <v>101139</v>
      </c>
      <c r="B1141" s="1">
        <v>911171</v>
      </c>
      <c r="C1141" s="2">
        <v>41463</v>
      </c>
      <c r="D1141" s="1" t="s">
        <v>1992</v>
      </c>
      <c r="E1141" s="6">
        <v>1</v>
      </c>
      <c r="F1141" s="6" t="str">
        <f t="shared" si="34"/>
        <v>July</v>
      </c>
      <c r="G1141" s="6">
        <f t="shared" si="35"/>
        <v>28</v>
      </c>
      <c r="H1141" s="1">
        <f>SUMIF('Retal Tran Line Item'!E:E,A1141,'Retal Tran Line Item'!B:B)</f>
        <v>6</v>
      </c>
    </row>
    <row r="1142" spans="1:8">
      <c r="A1142" s="1">
        <v>101140</v>
      </c>
      <c r="B1142" s="1">
        <v>324435</v>
      </c>
      <c r="C1142" s="2">
        <v>41464</v>
      </c>
      <c r="D1142" s="1" t="s">
        <v>1992</v>
      </c>
      <c r="E1142" s="6">
        <v>2</v>
      </c>
      <c r="F1142" s="6" t="str">
        <f t="shared" si="34"/>
        <v>July</v>
      </c>
      <c r="G1142" s="6">
        <f t="shared" si="35"/>
        <v>28</v>
      </c>
      <c r="H1142" s="1">
        <f>SUMIF('Retal Tran Line Item'!E:E,A1142,'Retal Tran Line Item'!B:B)</f>
        <v>15</v>
      </c>
    </row>
    <row r="1143" spans="1:8">
      <c r="A1143" s="1">
        <v>101141</v>
      </c>
      <c r="B1143" s="1">
        <v>737707</v>
      </c>
      <c r="C1143" s="2">
        <v>41464</v>
      </c>
      <c r="D1143" s="1" t="s">
        <v>1989</v>
      </c>
      <c r="E1143" s="6">
        <v>2</v>
      </c>
      <c r="F1143" s="6" t="str">
        <f t="shared" si="34"/>
        <v>July</v>
      </c>
      <c r="G1143" s="6">
        <f t="shared" si="35"/>
        <v>28</v>
      </c>
      <c r="H1143" s="1">
        <f>SUMIF('Retal Tran Line Item'!E:E,A1143,'Retal Tran Line Item'!B:B)</f>
        <v>22</v>
      </c>
    </row>
    <row r="1144" spans="1:8">
      <c r="A1144" s="1">
        <v>101142</v>
      </c>
      <c r="B1144" s="1">
        <v>355107</v>
      </c>
      <c r="C1144" s="2">
        <v>41464</v>
      </c>
      <c r="D1144" s="1" t="s">
        <v>1989</v>
      </c>
      <c r="E1144" s="6">
        <v>1</v>
      </c>
      <c r="F1144" s="6" t="str">
        <f t="shared" si="34"/>
        <v>July</v>
      </c>
      <c r="G1144" s="6">
        <f t="shared" si="35"/>
        <v>28</v>
      </c>
      <c r="H1144" s="1">
        <f>SUMIF('Retal Tran Line Item'!E:E,A1144,'Retal Tran Line Item'!B:B)</f>
        <v>13</v>
      </c>
    </row>
    <row r="1145" spans="1:8">
      <c r="A1145" s="1">
        <v>101143</v>
      </c>
      <c r="B1145" s="1">
        <v>471187</v>
      </c>
      <c r="C1145" s="2">
        <v>41464</v>
      </c>
      <c r="D1145" s="1" t="s">
        <v>1993</v>
      </c>
      <c r="E1145" s="6">
        <v>2</v>
      </c>
      <c r="F1145" s="6" t="str">
        <f t="shared" si="34"/>
        <v>July</v>
      </c>
      <c r="G1145" s="6">
        <f t="shared" si="35"/>
        <v>28</v>
      </c>
      <c r="H1145" s="1">
        <f>SUMIF('Retal Tran Line Item'!E:E,A1145,'Retal Tran Line Item'!B:B)</f>
        <v>10</v>
      </c>
    </row>
    <row r="1146" spans="1:8">
      <c r="A1146" s="1">
        <v>101144</v>
      </c>
      <c r="B1146" s="1">
        <v>456457</v>
      </c>
      <c r="C1146" s="2">
        <v>41464</v>
      </c>
      <c r="D1146" s="1" t="s">
        <v>1993</v>
      </c>
      <c r="E1146" s="6">
        <v>1</v>
      </c>
      <c r="F1146" s="6" t="str">
        <f t="shared" si="34"/>
        <v>July</v>
      </c>
      <c r="G1146" s="6">
        <f t="shared" si="35"/>
        <v>28</v>
      </c>
      <c r="H1146" s="1">
        <f>SUMIF('Retal Tran Line Item'!E:E,A1146,'Retal Tran Line Item'!B:B)</f>
        <v>3</v>
      </c>
    </row>
    <row r="1147" spans="1:8">
      <c r="A1147" s="1">
        <v>101145</v>
      </c>
      <c r="B1147" s="1">
        <v>891738</v>
      </c>
      <c r="C1147" s="2">
        <v>41464</v>
      </c>
      <c r="D1147" s="1" t="s">
        <v>1994</v>
      </c>
      <c r="E1147" s="6">
        <v>2</v>
      </c>
      <c r="F1147" s="6" t="str">
        <f t="shared" si="34"/>
        <v>July</v>
      </c>
      <c r="G1147" s="6">
        <f t="shared" si="35"/>
        <v>28</v>
      </c>
      <c r="H1147" s="1">
        <f>SUMIF('Retal Tran Line Item'!E:E,A1147,'Retal Tran Line Item'!B:B)</f>
        <v>19</v>
      </c>
    </row>
    <row r="1148" spans="1:8">
      <c r="A1148" s="1">
        <v>101146</v>
      </c>
      <c r="B1148" s="1">
        <v>427826</v>
      </c>
      <c r="C1148" s="2">
        <v>41464</v>
      </c>
      <c r="D1148" s="1" t="s">
        <v>1992</v>
      </c>
      <c r="E1148" s="6">
        <v>1</v>
      </c>
      <c r="F1148" s="6" t="str">
        <f t="shared" si="34"/>
        <v>July</v>
      </c>
      <c r="G1148" s="6">
        <f t="shared" si="35"/>
        <v>28</v>
      </c>
      <c r="H1148" s="1">
        <f>SUMIF('Retal Tran Line Item'!E:E,A1148,'Retal Tran Line Item'!B:B)</f>
        <v>8</v>
      </c>
    </row>
    <row r="1149" spans="1:8">
      <c r="A1149" s="1">
        <v>101147</v>
      </c>
      <c r="B1149" s="1">
        <v>992895</v>
      </c>
      <c r="C1149" s="2">
        <v>41464</v>
      </c>
      <c r="D1149" s="1" t="s">
        <v>1993</v>
      </c>
      <c r="E1149" s="6">
        <v>1</v>
      </c>
      <c r="F1149" s="6" t="str">
        <f t="shared" si="34"/>
        <v>July</v>
      </c>
      <c r="G1149" s="6">
        <f t="shared" si="35"/>
        <v>28</v>
      </c>
      <c r="H1149" s="1">
        <f>SUMIF('Retal Tran Line Item'!E:E,A1149,'Retal Tran Line Item'!B:B)</f>
        <v>17</v>
      </c>
    </row>
    <row r="1150" spans="1:8">
      <c r="A1150" s="1">
        <v>101148</v>
      </c>
      <c r="B1150" s="1">
        <v>741398</v>
      </c>
      <c r="C1150" s="2">
        <v>41464</v>
      </c>
      <c r="D1150" s="1" t="s">
        <v>1993</v>
      </c>
      <c r="E1150" s="6">
        <v>1</v>
      </c>
      <c r="F1150" s="6" t="str">
        <f t="shared" si="34"/>
        <v>July</v>
      </c>
      <c r="G1150" s="6">
        <f t="shared" si="35"/>
        <v>28</v>
      </c>
      <c r="H1150" s="1">
        <f>SUMIF('Retal Tran Line Item'!E:E,A1150,'Retal Tran Line Item'!B:B)</f>
        <v>9</v>
      </c>
    </row>
    <row r="1151" spans="1:8">
      <c r="A1151" s="1">
        <v>101149</v>
      </c>
      <c r="B1151" s="1">
        <v>242720</v>
      </c>
      <c r="C1151" s="2">
        <v>41464</v>
      </c>
      <c r="D1151" s="1" t="s">
        <v>1989</v>
      </c>
      <c r="E1151" s="6">
        <v>2</v>
      </c>
      <c r="F1151" s="6" t="str">
        <f t="shared" si="34"/>
        <v>July</v>
      </c>
      <c r="G1151" s="6">
        <f t="shared" si="35"/>
        <v>28</v>
      </c>
      <c r="H1151" s="1">
        <f>SUMIF('Retal Tran Line Item'!E:E,A1151,'Retal Tran Line Item'!B:B)</f>
        <v>13</v>
      </c>
    </row>
    <row r="1152" spans="1:8">
      <c r="A1152" s="1">
        <v>101150</v>
      </c>
      <c r="B1152" s="1">
        <v>723819</v>
      </c>
      <c r="C1152" s="2">
        <v>41465</v>
      </c>
      <c r="D1152" s="1" t="s">
        <v>1993</v>
      </c>
      <c r="E1152" s="6">
        <v>2</v>
      </c>
      <c r="F1152" s="6" t="str">
        <f t="shared" si="34"/>
        <v>July</v>
      </c>
      <c r="G1152" s="6">
        <f t="shared" si="35"/>
        <v>28</v>
      </c>
      <c r="H1152" s="1">
        <f>SUMIF('Retal Tran Line Item'!E:E,A1152,'Retal Tran Line Item'!B:B)</f>
        <v>11</v>
      </c>
    </row>
    <row r="1153" spans="1:8">
      <c r="A1153" s="1">
        <v>101151</v>
      </c>
      <c r="B1153" s="1">
        <v>105549</v>
      </c>
      <c r="C1153" s="2">
        <v>41465</v>
      </c>
      <c r="D1153" s="1" t="s">
        <v>1992</v>
      </c>
      <c r="E1153" s="6">
        <v>1</v>
      </c>
      <c r="F1153" s="6" t="str">
        <f t="shared" si="34"/>
        <v>July</v>
      </c>
      <c r="G1153" s="6">
        <f t="shared" si="35"/>
        <v>28</v>
      </c>
      <c r="H1153" s="1">
        <f>SUMIF('Retal Tran Line Item'!E:E,A1153,'Retal Tran Line Item'!B:B)</f>
        <v>4</v>
      </c>
    </row>
    <row r="1154" spans="1:8">
      <c r="A1154" s="1">
        <v>101152</v>
      </c>
      <c r="B1154" s="1">
        <v>665282</v>
      </c>
      <c r="C1154" s="2">
        <v>41465</v>
      </c>
      <c r="D1154" s="1" t="s">
        <v>1993</v>
      </c>
      <c r="E1154" s="6">
        <v>2</v>
      </c>
      <c r="F1154" s="6" t="str">
        <f t="shared" si="34"/>
        <v>July</v>
      </c>
      <c r="G1154" s="6">
        <f t="shared" si="35"/>
        <v>28</v>
      </c>
      <c r="H1154" s="1">
        <f>SUMIF('Retal Tran Line Item'!E:E,A1154,'Retal Tran Line Item'!B:B)</f>
        <v>10</v>
      </c>
    </row>
    <row r="1155" spans="1:8">
      <c r="A1155" s="1">
        <v>101153</v>
      </c>
      <c r="B1155" s="1">
        <v>783369</v>
      </c>
      <c r="C1155" s="2">
        <v>41465</v>
      </c>
      <c r="D1155" s="1" t="s">
        <v>1994</v>
      </c>
      <c r="E1155" s="6">
        <v>1</v>
      </c>
      <c r="F1155" s="6" t="str">
        <f t="shared" ref="F1155:F1218" si="36">TEXT(C1155,"MMMM")</f>
        <v>July</v>
      </c>
      <c r="G1155" s="6">
        <f t="shared" ref="G1155:G1218" si="37">WEEKNUM(C1155)</f>
        <v>28</v>
      </c>
      <c r="H1155" s="1">
        <f>SUMIF('Retal Tran Line Item'!E:E,A1155,'Retal Tran Line Item'!B:B)</f>
        <v>20</v>
      </c>
    </row>
    <row r="1156" spans="1:8">
      <c r="A1156" s="1">
        <v>101154</v>
      </c>
      <c r="B1156" s="1">
        <v>147216</v>
      </c>
      <c r="C1156" s="2">
        <v>41465</v>
      </c>
      <c r="D1156" s="1" t="s">
        <v>1993</v>
      </c>
      <c r="E1156" s="6">
        <v>2</v>
      </c>
      <c r="F1156" s="6" t="str">
        <f t="shared" si="36"/>
        <v>July</v>
      </c>
      <c r="G1156" s="6">
        <f t="shared" si="37"/>
        <v>28</v>
      </c>
      <c r="H1156" s="1">
        <f>SUMIF('Retal Tran Line Item'!E:E,A1156,'Retal Tran Line Item'!B:B)</f>
        <v>12</v>
      </c>
    </row>
    <row r="1157" spans="1:8">
      <c r="A1157" s="1">
        <v>101155</v>
      </c>
      <c r="B1157" s="1">
        <v>329994</v>
      </c>
      <c r="C1157" s="2">
        <v>41465</v>
      </c>
      <c r="D1157" s="1" t="s">
        <v>1994</v>
      </c>
      <c r="E1157" s="6">
        <v>1</v>
      </c>
      <c r="F1157" s="6" t="str">
        <f t="shared" si="36"/>
        <v>July</v>
      </c>
      <c r="G1157" s="6">
        <f t="shared" si="37"/>
        <v>28</v>
      </c>
      <c r="H1157" s="1">
        <f>SUMIF('Retal Tran Line Item'!E:E,A1157,'Retal Tran Line Item'!B:B)</f>
        <v>8</v>
      </c>
    </row>
    <row r="1158" spans="1:8">
      <c r="A1158" s="1">
        <v>101156</v>
      </c>
      <c r="B1158" s="1">
        <v>302774</v>
      </c>
      <c r="C1158" s="2">
        <v>41465</v>
      </c>
      <c r="D1158" s="1" t="s">
        <v>1992</v>
      </c>
      <c r="E1158" s="6">
        <v>2</v>
      </c>
      <c r="F1158" s="6" t="str">
        <f t="shared" si="36"/>
        <v>July</v>
      </c>
      <c r="G1158" s="6">
        <f t="shared" si="37"/>
        <v>28</v>
      </c>
      <c r="H1158" s="1">
        <f>SUMIF('Retal Tran Line Item'!E:E,A1158,'Retal Tran Line Item'!B:B)</f>
        <v>15</v>
      </c>
    </row>
    <row r="1159" spans="1:8">
      <c r="A1159" s="1">
        <v>101157</v>
      </c>
      <c r="B1159" s="1">
        <v>611078</v>
      </c>
      <c r="C1159" s="2">
        <v>41465</v>
      </c>
      <c r="D1159" s="1" t="s">
        <v>1993</v>
      </c>
      <c r="E1159" s="6">
        <v>2</v>
      </c>
      <c r="F1159" s="6" t="str">
        <f t="shared" si="36"/>
        <v>July</v>
      </c>
      <c r="G1159" s="6">
        <f t="shared" si="37"/>
        <v>28</v>
      </c>
      <c r="H1159" s="1">
        <f>SUMIF('Retal Tran Line Item'!E:E,A1159,'Retal Tran Line Item'!B:B)</f>
        <v>30</v>
      </c>
    </row>
    <row r="1160" spans="1:8">
      <c r="A1160" s="1">
        <v>101158</v>
      </c>
      <c r="B1160" s="1">
        <v>567388</v>
      </c>
      <c r="C1160" s="2">
        <v>41466</v>
      </c>
      <c r="D1160" s="1" t="s">
        <v>1993</v>
      </c>
      <c r="E1160" s="6">
        <v>1</v>
      </c>
      <c r="F1160" s="6" t="str">
        <f t="shared" si="36"/>
        <v>July</v>
      </c>
      <c r="G1160" s="6">
        <f t="shared" si="37"/>
        <v>28</v>
      </c>
      <c r="H1160" s="1">
        <f>SUMIF('Retal Tran Line Item'!E:E,A1160,'Retal Tran Line Item'!B:B)</f>
        <v>7</v>
      </c>
    </row>
    <row r="1161" spans="1:8">
      <c r="A1161" s="1">
        <v>101159</v>
      </c>
      <c r="B1161" s="1">
        <v>611848</v>
      </c>
      <c r="C1161" s="2">
        <v>41466</v>
      </c>
      <c r="D1161" s="1" t="s">
        <v>1992</v>
      </c>
      <c r="E1161" s="6">
        <v>2</v>
      </c>
      <c r="F1161" s="6" t="str">
        <f t="shared" si="36"/>
        <v>July</v>
      </c>
      <c r="G1161" s="6">
        <f t="shared" si="37"/>
        <v>28</v>
      </c>
      <c r="H1161" s="1">
        <f>SUMIF('Retal Tran Line Item'!E:E,A1161,'Retal Tran Line Item'!B:B)</f>
        <v>11</v>
      </c>
    </row>
    <row r="1162" spans="1:8">
      <c r="A1162" s="1">
        <v>101160</v>
      </c>
      <c r="B1162" s="1">
        <v>403000</v>
      </c>
      <c r="C1162" s="2">
        <v>41466</v>
      </c>
      <c r="D1162" s="1" t="s">
        <v>1992</v>
      </c>
      <c r="E1162" s="6">
        <v>1</v>
      </c>
      <c r="F1162" s="6" t="str">
        <f t="shared" si="36"/>
        <v>July</v>
      </c>
      <c r="G1162" s="6">
        <f t="shared" si="37"/>
        <v>28</v>
      </c>
      <c r="H1162" s="1">
        <f>SUMIF('Retal Tran Line Item'!E:E,A1162,'Retal Tran Line Item'!B:B)</f>
        <v>5</v>
      </c>
    </row>
    <row r="1163" spans="1:8">
      <c r="A1163" s="1">
        <v>101161</v>
      </c>
      <c r="B1163" s="1">
        <v>627324</v>
      </c>
      <c r="C1163" s="2">
        <v>41466</v>
      </c>
      <c r="D1163" s="1" t="s">
        <v>1989</v>
      </c>
      <c r="E1163" s="6">
        <v>1</v>
      </c>
      <c r="F1163" s="6" t="str">
        <f t="shared" si="36"/>
        <v>July</v>
      </c>
      <c r="G1163" s="6">
        <f t="shared" si="37"/>
        <v>28</v>
      </c>
      <c r="H1163" s="1">
        <f>SUMIF('Retal Tran Line Item'!E:E,A1163,'Retal Tran Line Item'!B:B)</f>
        <v>8</v>
      </c>
    </row>
    <row r="1164" spans="1:8">
      <c r="A1164" s="1">
        <v>101162</v>
      </c>
      <c r="B1164" s="1">
        <v>891738</v>
      </c>
      <c r="C1164" s="2">
        <v>41466</v>
      </c>
      <c r="D1164" s="1" t="s">
        <v>1994</v>
      </c>
      <c r="E1164" s="6">
        <v>2</v>
      </c>
      <c r="F1164" s="6" t="str">
        <f t="shared" si="36"/>
        <v>July</v>
      </c>
      <c r="G1164" s="6">
        <f t="shared" si="37"/>
        <v>28</v>
      </c>
      <c r="H1164" s="1">
        <f>SUMIF('Retal Tran Line Item'!E:E,A1164,'Retal Tran Line Item'!B:B)</f>
        <v>11</v>
      </c>
    </row>
    <row r="1165" spans="1:8">
      <c r="A1165" s="1">
        <v>101163</v>
      </c>
      <c r="B1165" s="1">
        <v>798336</v>
      </c>
      <c r="C1165" s="2">
        <v>41466</v>
      </c>
      <c r="D1165" s="1" t="s">
        <v>1989</v>
      </c>
      <c r="E1165" s="6">
        <v>1</v>
      </c>
      <c r="F1165" s="6" t="str">
        <f t="shared" si="36"/>
        <v>July</v>
      </c>
      <c r="G1165" s="6">
        <f t="shared" si="37"/>
        <v>28</v>
      </c>
      <c r="H1165" s="1">
        <f>SUMIF('Retal Tran Line Item'!E:E,A1165,'Retal Tran Line Item'!B:B)</f>
        <v>4</v>
      </c>
    </row>
    <row r="1166" spans="1:8">
      <c r="A1166" s="1">
        <v>101164</v>
      </c>
      <c r="B1166" s="1">
        <v>407605</v>
      </c>
      <c r="C1166" s="2">
        <v>41466</v>
      </c>
      <c r="D1166" s="1" t="s">
        <v>1994</v>
      </c>
      <c r="E1166" s="6">
        <v>2</v>
      </c>
      <c r="F1166" s="6" t="str">
        <f t="shared" si="36"/>
        <v>July</v>
      </c>
      <c r="G1166" s="6">
        <f t="shared" si="37"/>
        <v>28</v>
      </c>
      <c r="H1166" s="1">
        <f>SUMIF('Retal Tran Line Item'!E:E,A1166,'Retal Tran Line Item'!B:B)</f>
        <v>19</v>
      </c>
    </row>
    <row r="1167" spans="1:8">
      <c r="A1167" s="1">
        <v>101165</v>
      </c>
      <c r="B1167" s="1">
        <v>396166</v>
      </c>
      <c r="C1167" s="2">
        <v>41466</v>
      </c>
      <c r="D1167" s="1" t="s">
        <v>1992</v>
      </c>
      <c r="E1167" s="6">
        <v>1</v>
      </c>
      <c r="F1167" s="6" t="str">
        <f t="shared" si="36"/>
        <v>July</v>
      </c>
      <c r="G1167" s="6">
        <f t="shared" si="37"/>
        <v>28</v>
      </c>
      <c r="H1167" s="1">
        <f>SUMIF('Retal Tran Line Item'!E:E,A1167,'Retal Tran Line Item'!B:B)</f>
        <v>4</v>
      </c>
    </row>
    <row r="1168" spans="1:8">
      <c r="A1168" s="1">
        <v>101166</v>
      </c>
      <c r="B1168" s="1">
        <v>500350</v>
      </c>
      <c r="C1168" s="2">
        <v>41466</v>
      </c>
      <c r="D1168" s="1" t="s">
        <v>1993</v>
      </c>
      <c r="E1168" s="6">
        <v>1</v>
      </c>
      <c r="F1168" s="6" t="str">
        <f t="shared" si="36"/>
        <v>July</v>
      </c>
      <c r="G1168" s="6">
        <f t="shared" si="37"/>
        <v>28</v>
      </c>
      <c r="H1168" s="1">
        <f>SUMIF('Retal Tran Line Item'!E:E,A1168,'Retal Tran Line Item'!B:B)</f>
        <v>11</v>
      </c>
    </row>
    <row r="1169" spans="1:8">
      <c r="A1169" s="1">
        <v>101167</v>
      </c>
      <c r="B1169" s="1">
        <v>329994</v>
      </c>
      <c r="C1169" s="2">
        <v>41466</v>
      </c>
      <c r="D1169" s="1" t="s">
        <v>1994</v>
      </c>
      <c r="E1169" s="6">
        <v>1</v>
      </c>
      <c r="F1169" s="6" t="str">
        <f t="shared" si="36"/>
        <v>July</v>
      </c>
      <c r="G1169" s="6">
        <f t="shared" si="37"/>
        <v>28</v>
      </c>
      <c r="H1169" s="1">
        <f>SUMIF('Retal Tran Line Item'!E:E,A1169,'Retal Tran Line Item'!B:B)</f>
        <v>9</v>
      </c>
    </row>
    <row r="1170" spans="1:8">
      <c r="A1170" s="1">
        <v>101168</v>
      </c>
      <c r="B1170" s="1">
        <v>837763</v>
      </c>
      <c r="C1170" s="2">
        <v>41467</v>
      </c>
      <c r="D1170" s="1" t="s">
        <v>1994</v>
      </c>
      <c r="E1170" s="6">
        <v>2</v>
      </c>
      <c r="F1170" s="6" t="str">
        <f t="shared" si="36"/>
        <v>July</v>
      </c>
      <c r="G1170" s="6">
        <f t="shared" si="37"/>
        <v>28</v>
      </c>
      <c r="H1170" s="1">
        <f>SUMIF('Retal Tran Line Item'!E:E,A1170,'Retal Tran Line Item'!B:B)</f>
        <v>1</v>
      </c>
    </row>
    <row r="1171" spans="1:8">
      <c r="A1171" s="1">
        <v>101169</v>
      </c>
      <c r="B1171" s="1">
        <v>905670</v>
      </c>
      <c r="C1171" s="2">
        <v>41467</v>
      </c>
      <c r="D1171" s="1" t="s">
        <v>1993</v>
      </c>
      <c r="E1171" s="6">
        <v>2</v>
      </c>
      <c r="F1171" s="6" t="str">
        <f t="shared" si="36"/>
        <v>July</v>
      </c>
      <c r="G1171" s="6">
        <f t="shared" si="37"/>
        <v>28</v>
      </c>
      <c r="H1171" s="1">
        <f>SUMIF('Retal Tran Line Item'!E:E,A1171,'Retal Tran Line Item'!B:B)</f>
        <v>8</v>
      </c>
    </row>
    <row r="1172" spans="1:8">
      <c r="A1172" s="1">
        <v>101170</v>
      </c>
      <c r="B1172" s="1">
        <v>103508</v>
      </c>
      <c r="C1172" s="2">
        <v>41467</v>
      </c>
      <c r="D1172" s="1" t="s">
        <v>1994</v>
      </c>
      <c r="E1172" s="6">
        <v>1</v>
      </c>
      <c r="F1172" s="6" t="str">
        <f t="shared" si="36"/>
        <v>July</v>
      </c>
      <c r="G1172" s="6">
        <f t="shared" si="37"/>
        <v>28</v>
      </c>
      <c r="H1172" s="1">
        <f>SUMIF('Retal Tran Line Item'!E:E,A1172,'Retal Tran Line Item'!B:B)</f>
        <v>6</v>
      </c>
    </row>
    <row r="1173" spans="1:8">
      <c r="A1173" s="1">
        <v>101171</v>
      </c>
      <c r="B1173" s="1">
        <v>433442</v>
      </c>
      <c r="C1173" s="2">
        <v>41467</v>
      </c>
      <c r="D1173" s="1" t="s">
        <v>1989</v>
      </c>
      <c r="E1173" s="6">
        <v>1</v>
      </c>
      <c r="F1173" s="6" t="str">
        <f t="shared" si="36"/>
        <v>July</v>
      </c>
      <c r="G1173" s="6">
        <f t="shared" si="37"/>
        <v>28</v>
      </c>
      <c r="H1173" s="1">
        <f>SUMIF('Retal Tran Line Item'!E:E,A1173,'Retal Tran Line Item'!B:B)</f>
        <v>19</v>
      </c>
    </row>
    <row r="1174" spans="1:8">
      <c r="A1174" s="1">
        <v>101172</v>
      </c>
      <c r="B1174" s="1">
        <v>182040</v>
      </c>
      <c r="C1174" s="2">
        <v>41467</v>
      </c>
      <c r="D1174" s="1" t="s">
        <v>1989</v>
      </c>
      <c r="E1174" s="6">
        <v>1</v>
      </c>
      <c r="F1174" s="6" t="str">
        <f t="shared" si="36"/>
        <v>July</v>
      </c>
      <c r="G1174" s="6">
        <f t="shared" si="37"/>
        <v>28</v>
      </c>
      <c r="H1174" s="1">
        <f>SUMIF('Retal Tran Line Item'!E:E,A1174,'Retal Tran Line Item'!B:B)</f>
        <v>15</v>
      </c>
    </row>
    <row r="1175" spans="1:8">
      <c r="A1175" s="1">
        <v>101173</v>
      </c>
      <c r="B1175" s="1">
        <v>452874</v>
      </c>
      <c r="C1175" s="2">
        <v>41467</v>
      </c>
      <c r="D1175" s="1" t="s">
        <v>1993</v>
      </c>
      <c r="E1175" s="6">
        <v>1</v>
      </c>
      <c r="F1175" s="6" t="str">
        <f t="shared" si="36"/>
        <v>July</v>
      </c>
      <c r="G1175" s="6">
        <f t="shared" si="37"/>
        <v>28</v>
      </c>
      <c r="H1175" s="1">
        <f>SUMIF('Retal Tran Line Item'!E:E,A1175,'Retal Tran Line Item'!B:B)</f>
        <v>20</v>
      </c>
    </row>
    <row r="1176" spans="1:8">
      <c r="A1176" s="1">
        <v>101174</v>
      </c>
      <c r="B1176" s="1">
        <v>782947</v>
      </c>
      <c r="C1176" s="2">
        <v>41467</v>
      </c>
      <c r="D1176" s="1" t="s">
        <v>1993</v>
      </c>
      <c r="E1176" s="6">
        <v>1</v>
      </c>
      <c r="F1176" s="6" t="str">
        <f t="shared" si="36"/>
        <v>July</v>
      </c>
      <c r="G1176" s="6">
        <f t="shared" si="37"/>
        <v>28</v>
      </c>
      <c r="H1176" s="1">
        <f>SUMIF('Retal Tran Line Item'!E:E,A1176,'Retal Tran Line Item'!B:B)</f>
        <v>12</v>
      </c>
    </row>
    <row r="1177" spans="1:8">
      <c r="A1177" s="1">
        <v>101175</v>
      </c>
      <c r="B1177" s="1">
        <v>590616</v>
      </c>
      <c r="C1177" s="2">
        <v>41467</v>
      </c>
      <c r="D1177" s="1" t="s">
        <v>1993</v>
      </c>
      <c r="E1177" s="6">
        <v>2</v>
      </c>
      <c r="F1177" s="6" t="str">
        <f t="shared" si="36"/>
        <v>July</v>
      </c>
      <c r="G1177" s="6">
        <f t="shared" si="37"/>
        <v>28</v>
      </c>
      <c r="H1177" s="1">
        <f>SUMIF('Retal Tran Line Item'!E:E,A1177,'Retal Tran Line Item'!B:B)</f>
        <v>4</v>
      </c>
    </row>
    <row r="1178" spans="1:8">
      <c r="A1178" s="1">
        <v>101176</v>
      </c>
      <c r="B1178" s="1">
        <v>412544</v>
      </c>
      <c r="C1178" s="2">
        <v>41467</v>
      </c>
      <c r="D1178" s="1" t="s">
        <v>1993</v>
      </c>
      <c r="E1178" s="6">
        <v>1</v>
      </c>
      <c r="F1178" s="6" t="str">
        <f t="shared" si="36"/>
        <v>July</v>
      </c>
      <c r="G1178" s="6">
        <f t="shared" si="37"/>
        <v>28</v>
      </c>
      <c r="H1178" s="1">
        <f>SUMIF('Retal Tran Line Item'!E:E,A1178,'Retal Tran Line Item'!B:B)</f>
        <v>4</v>
      </c>
    </row>
    <row r="1179" spans="1:8">
      <c r="A1179" s="1">
        <v>101177</v>
      </c>
      <c r="B1179" s="1">
        <v>616258</v>
      </c>
      <c r="C1179" s="2">
        <v>41467</v>
      </c>
      <c r="D1179" s="1" t="s">
        <v>1994</v>
      </c>
      <c r="E1179" s="6">
        <v>1</v>
      </c>
      <c r="F1179" s="6" t="str">
        <f t="shared" si="36"/>
        <v>July</v>
      </c>
      <c r="G1179" s="6">
        <f t="shared" si="37"/>
        <v>28</v>
      </c>
      <c r="H1179" s="1">
        <f>SUMIF('Retal Tran Line Item'!E:E,A1179,'Retal Tran Line Item'!B:B)</f>
        <v>15</v>
      </c>
    </row>
    <row r="1180" spans="1:8">
      <c r="A1180" s="1">
        <v>101178</v>
      </c>
      <c r="B1180" s="1">
        <v>701816</v>
      </c>
      <c r="C1180" s="2">
        <v>41467</v>
      </c>
      <c r="D1180" s="1" t="s">
        <v>1993</v>
      </c>
      <c r="E1180" s="6">
        <v>2</v>
      </c>
      <c r="F1180" s="6" t="str">
        <f t="shared" si="36"/>
        <v>July</v>
      </c>
      <c r="G1180" s="6">
        <f t="shared" si="37"/>
        <v>28</v>
      </c>
      <c r="H1180" s="1">
        <f>SUMIF('Retal Tran Line Item'!E:E,A1180,'Retal Tran Line Item'!B:B)</f>
        <v>8</v>
      </c>
    </row>
    <row r="1181" spans="1:8">
      <c r="A1181" s="1">
        <v>101179</v>
      </c>
      <c r="B1181" s="1">
        <v>701816</v>
      </c>
      <c r="C1181" s="2">
        <v>41467</v>
      </c>
      <c r="D1181" s="1" t="s">
        <v>1993</v>
      </c>
      <c r="E1181" s="6">
        <v>2</v>
      </c>
      <c r="F1181" s="6" t="str">
        <f t="shared" si="36"/>
        <v>July</v>
      </c>
      <c r="G1181" s="6">
        <f t="shared" si="37"/>
        <v>28</v>
      </c>
      <c r="H1181" s="1">
        <f>SUMIF('Retal Tran Line Item'!E:E,A1181,'Retal Tran Line Item'!B:B)</f>
        <v>18</v>
      </c>
    </row>
    <row r="1182" spans="1:8">
      <c r="A1182" s="1">
        <v>101180</v>
      </c>
      <c r="B1182" s="1">
        <v>412544</v>
      </c>
      <c r="C1182" s="2">
        <v>41467</v>
      </c>
      <c r="D1182" s="1" t="s">
        <v>1993</v>
      </c>
      <c r="E1182" s="6">
        <v>1</v>
      </c>
      <c r="F1182" s="6" t="str">
        <f t="shared" si="36"/>
        <v>July</v>
      </c>
      <c r="G1182" s="6">
        <f t="shared" si="37"/>
        <v>28</v>
      </c>
      <c r="H1182" s="1">
        <f>SUMIF('Retal Tran Line Item'!E:E,A1182,'Retal Tran Line Item'!B:B)</f>
        <v>3</v>
      </c>
    </row>
    <row r="1183" spans="1:8">
      <c r="A1183" s="1">
        <v>101181</v>
      </c>
      <c r="B1183" s="1">
        <v>756769</v>
      </c>
      <c r="C1183" s="2">
        <v>41467</v>
      </c>
      <c r="D1183" s="1" t="s">
        <v>1989</v>
      </c>
      <c r="E1183" s="6">
        <v>1</v>
      </c>
      <c r="F1183" s="6" t="str">
        <f t="shared" si="36"/>
        <v>July</v>
      </c>
      <c r="G1183" s="6">
        <f t="shared" si="37"/>
        <v>28</v>
      </c>
      <c r="H1183" s="1">
        <f>SUMIF('Retal Tran Line Item'!E:E,A1183,'Retal Tran Line Item'!B:B)</f>
        <v>4</v>
      </c>
    </row>
    <row r="1184" spans="1:8">
      <c r="A1184" s="1">
        <v>101182</v>
      </c>
      <c r="B1184" s="1">
        <v>619910</v>
      </c>
      <c r="C1184" s="2">
        <v>41468</v>
      </c>
      <c r="D1184" s="1" t="s">
        <v>1994</v>
      </c>
      <c r="E1184" s="6">
        <v>1</v>
      </c>
      <c r="F1184" s="6" t="str">
        <f t="shared" si="36"/>
        <v>July</v>
      </c>
      <c r="G1184" s="6">
        <f t="shared" si="37"/>
        <v>28</v>
      </c>
      <c r="H1184" s="1">
        <f>SUMIF('Retal Tran Line Item'!E:E,A1184,'Retal Tran Line Item'!B:B)</f>
        <v>10</v>
      </c>
    </row>
    <row r="1185" spans="1:8">
      <c r="A1185" s="1">
        <v>101183</v>
      </c>
      <c r="B1185" s="1">
        <v>958321</v>
      </c>
      <c r="C1185" s="2">
        <v>41468</v>
      </c>
      <c r="D1185" s="1" t="s">
        <v>1993</v>
      </c>
      <c r="E1185" s="6">
        <v>2</v>
      </c>
      <c r="F1185" s="6" t="str">
        <f t="shared" si="36"/>
        <v>July</v>
      </c>
      <c r="G1185" s="6">
        <f t="shared" si="37"/>
        <v>28</v>
      </c>
      <c r="H1185" s="1">
        <f>SUMIF('Retal Tran Line Item'!E:E,A1185,'Retal Tran Line Item'!B:B)</f>
        <v>15</v>
      </c>
    </row>
    <row r="1186" spans="1:8">
      <c r="A1186" s="1">
        <v>101184</v>
      </c>
      <c r="B1186" s="1">
        <v>808177</v>
      </c>
      <c r="C1186" s="2">
        <v>41468</v>
      </c>
      <c r="D1186" s="1" t="s">
        <v>1993</v>
      </c>
      <c r="E1186" s="6">
        <v>2</v>
      </c>
      <c r="F1186" s="6" t="str">
        <f t="shared" si="36"/>
        <v>July</v>
      </c>
      <c r="G1186" s="6">
        <f t="shared" si="37"/>
        <v>28</v>
      </c>
      <c r="H1186" s="1">
        <f>SUMIF('Retal Tran Line Item'!E:E,A1186,'Retal Tran Line Item'!B:B)</f>
        <v>5</v>
      </c>
    </row>
    <row r="1187" spans="1:8">
      <c r="A1187" s="1">
        <v>101185</v>
      </c>
      <c r="B1187" s="1">
        <v>561305</v>
      </c>
      <c r="C1187" s="2">
        <v>41468</v>
      </c>
      <c r="D1187" s="1" t="s">
        <v>1993</v>
      </c>
      <c r="E1187" s="6">
        <v>1</v>
      </c>
      <c r="F1187" s="6" t="str">
        <f t="shared" si="36"/>
        <v>July</v>
      </c>
      <c r="G1187" s="6">
        <f t="shared" si="37"/>
        <v>28</v>
      </c>
      <c r="H1187" s="1">
        <f>SUMIF('Retal Tran Line Item'!E:E,A1187,'Retal Tran Line Item'!B:B)</f>
        <v>20</v>
      </c>
    </row>
    <row r="1188" spans="1:8">
      <c r="A1188" s="1">
        <v>101186</v>
      </c>
      <c r="B1188" s="1">
        <v>745543</v>
      </c>
      <c r="C1188" s="2">
        <v>41468</v>
      </c>
      <c r="D1188" s="1" t="s">
        <v>1989</v>
      </c>
      <c r="E1188" s="6">
        <v>2</v>
      </c>
      <c r="F1188" s="6" t="str">
        <f t="shared" si="36"/>
        <v>July</v>
      </c>
      <c r="G1188" s="6">
        <f t="shared" si="37"/>
        <v>28</v>
      </c>
      <c r="H1188" s="1">
        <f>SUMIF('Retal Tran Line Item'!E:E,A1188,'Retal Tran Line Item'!B:B)</f>
        <v>4</v>
      </c>
    </row>
    <row r="1189" spans="1:8">
      <c r="A1189" s="1">
        <v>101187</v>
      </c>
      <c r="B1189" s="1">
        <v>183797</v>
      </c>
      <c r="C1189" s="2">
        <v>41468</v>
      </c>
      <c r="D1189" s="1" t="s">
        <v>1993</v>
      </c>
      <c r="E1189" s="6">
        <v>2</v>
      </c>
      <c r="F1189" s="6" t="str">
        <f t="shared" si="36"/>
        <v>July</v>
      </c>
      <c r="G1189" s="6">
        <f t="shared" si="37"/>
        <v>28</v>
      </c>
      <c r="H1189" s="1">
        <f>SUMIF('Retal Tran Line Item'!E:E,A1189,'Retal Tran Line Item'!B:B)</f>
        <v>2</v>
      </c>
    </row>
    <row r="1190" spans="1:8">
      <c r="A1190" s="1">
        <v>101188</v>
      </c>
      <c r="B1190" s="1">
        <v>471187</v>
      </c>
      <c r="C1190" s="2">
        <v>41468</v>
      </c>
      <c r="D1190" s="1" t="s">
        <v>1993</v>
      </c>
      <c r="E1190" s="6">
        <v>2</v>
      </c>
      <c r="F1190" s="6" t="str">
        <f t="shared" si="36"/>
        <v>July</v>
      </c>
      <c r="G1190" s="6">
        <f t="shared" si="37"/>
        <v>28</v>
      </c>
      <c r="H1190" s="1">
        <f>SUMIF('Retal Tran Line Item'!E:E,A1190,'Retal Tran Line Item'!B:B)</f>
        <v>1</v>
      </c>
    </row>
    <row r="1191" spans="1:8">
      <c r="A1191" s="1">
        <v>101189</v>
      </c>
      <c r="B1191" s="1">
        <v>305005</v>
      </c>
      <c r="C1191" s="2">
        <v>41468</v>
      </c>
      <c r="D1191" s="1" t="s">
        <v>1993</v>
      </c>
      <c r="E1191" s="6">
        <v>1</v>
      </c>
      <c r="F1191" s="6" t="str">
        <f t="shared" si="36"/>
        <v>July</v>
      </c>
      <c r="G1191" s="6">
        <f t="shared" si="37"/>
        <v>28</v>
      </c>
      <c r="H1191" s="1">
        <f>SUMIF('Retal Tran Line Item'!E:E,A1191,'Retal Tran Line Item'!B:B)</f>
        <v>29</v>
      </c>
    </row>
    <row r="1192" spans="1:8">
      <c r="A1192" s="1">
        <v>101190</v>
      </c>
      <c r="B1192" s="1">
        <v>207846</v>
      </c>
      <c r="C1192" s="2">
        <v>41468</v>
      </c>
      <c r="D1192" s="1" t="s">
        <v>1993</v>
      </c>
      <c r="E1192" s="6">
        <v>2</v>
      </c>
      <c r="F1192" s="6" t="str">
        <f t="shared" si="36"/>
        <v>July</v>
      </c>
      <c r="G1192" s="6">
        <f t="shared" si="37"/>
        <v>28</v>
      </c>
      <c r="H1192" s="1">
        <f>SUMIF('Retal Tran Line Item'!E:E,A1192,'Retal Tran Line Item'!B:B)</f>
        <v>4</v>
      </c>
    </row>
    <row r="1193" spans="1:8">
      <c r="A1193" s="1">
        <v>101191</v>
      </c>
      <c r="B1193" s="1">
        <v>484909</v>
      </c>
      <c r="C1193" s="2">
        <v>41469</v>
      </c>
      <c r="D1193" s="1" t="s">
        <v>1994</v>
      </c>
      <c r="E1193" s="6">
        <v>1</v>
      </c>
      <c r="F1193" s="6" t="str">
        <f t="shared" si="36"/>
        <v>July</v>
      </c>
      <c r="G1193" s="6">
        <f t="shared" si="37"/>
        <v>29</v>
      </c>
      <c r="H1193" s="1">
        <f>SUMIF('Retal Tran Line Item'!E:E,A1193,'Retal Tran Line Item'!B:B)</f>
        <v>9</v>
      </c>
    </row>
    <row r="1194" spans="1:8">
      <c r="A1194" s="1">
        <v>101192</v>
      </c>
      <c r="B1194" s="1">
        <v>888759</v>
      </c>
      <c r="C1194" s="2">
        <v>41469</v>
      </c>
      <c r="D1194" s="1" t="s">
        <v>1993</v>
      </c>
      <c r="E1194" s="6">
        <v>1</v>
      </c>
      <c r="F1194" s="6" t="str">
        <f t="shared" si="36"/>
        <v>July</v>
      </c>
      <c r="G1194" s="6">
        <f t="shared" si="37"/>
        <v>29</v>
      </c>
      <c r="H1194" s="1">
        <f>SUMIF('Retal Tran Line Item'!E:E,A1194,'Retal Tran Line Item'!B:B)</f>
        <v>10</v>
      </c>
    </row>
    <row r="1195" spans="1:8">
      <c r="A1195" s="1">
        <v>101193</v>
      </c>
      <c r="B1195" s="1">
        <v>128131</v>
      </c>
      <c r="C1195" s="2">
        <v>41469</v>
      </c>
      <c r="D1195" s="1" t="s">
        <v>1992</v>
      </c>
      <c r="E1195" s="6">
        <v>1</v>
      </c>
      <c r="F1195" s="6" t="str">
        <f t="shared" si="36"/>
        <v>July</v>
      </c>
      <c r="G1195" s="6">
        <f t="shared" si="37"/>
        <v>29</v>
      </c>
      <c r="H1195" s="1">
        <f>SUMIF('Retal Tran Line Item'!E:E,A1195,'Retal Tran Line Item'!B:B)</f>
        <v>17</v>
      </c>
    </row>
    <row r="1196" spans="1:8">
      <c r="A1196" s="1">
        <v>101194</v>
      </c>
      <c r="B1196" s="1">
        <v>244282</v>
      </c>
      <c r="C1196" s="2">
        <v>41469</v>
      </c>
      <c r="D1196" s="1" t="s">
        <v>1992</v>
      </c>
      <c r="E1196" s="6">
        <v>2</v>
      </c>
      <c r="F1196" s="6" t="str">
        <f t="shared" si="36"/>
        <v>July</v>
      </c>
      <c r="G1196" s="6">
        <f t="shared" si="37"/>
        <v>29</v>
      </c>
      <c r="H1196" s="1">
        <f>SUMIF('Retal Tran Line Item'!E:E,A1196,'Retal Tran Line Item'!B:B)</f>
        <v>10</v>
      </c>
    </row>
    <row r="1197" spans="1:8">
      <c r="A1197" s="1">
        <v>101195</v>
      </c>
      <c r="B1197" s="1">
        <v>433442</v>
      </c>
      <c r="C1197" s="2">
        <v>41469</v>
      </c>
      <c r="D1197" s="1" t="s">
        <v>1989</v>
      </c>
      <c r="E1197" s="6">
        <v>2</v>
      </c>
      <c r="F1197" s="6" t="str">
        <f t="shared" si="36"/>
        <v>July</v>
      </c>
      <c r="G1197" s="6">
        <f t="shared" si="37"/>
        <v>29</v>
      </c>
      <c r="H1197" s="1">
        <f>SUMIF('Retal Tran Line Item'!E:E,A1197,'Retal Tran Line Item'!B:B)</f>
        <v>17</v>
      </c>
    </row>
    <row r="1198" spans="1:8">
      <c r="A1198" s="1">
        <v>101196</v>
      </c>
      <c r="B1198" s="1">
        <v>347659</v>
      </c>
      <c r="C1198" s="2">
        <v>41469</v>
      </c>
      <c r="D1198" s="1" t="s">
        <v>1992</v>
      </c>
      <c r="E1198" s="6">
        <v>1</v>
      </c>
      <c r="F1198" s="6" t="str">
        <f t="shared" si="36"/>
        <v>July</v>
      </c>
      <c r="G1198" s="6">
        <f t="shared" si="37"/>
        <v>29</v>
      </c>
      <c r="H1198" s="1">
        <f>SUMIF('Retal Tran Line Item'!E:E,A1198,'Retal Tran Line Item'!B:B)</f>
        <v>6</v>
      </c>
    </row>
    <row r="1199" spans="1:8">
      <c r="A1199" s="1">
        <v>101197</v>
      </c>
      <c r="B1199" s="1">
        <v>710047</v>
      </c>
      <c r="C1199" s="2">
        <v>41469</v>
      </c>
      <c r="D1199" s="1" t="s">
        <v>1992</v>
      </c>
      <c r="E1199" s="6">
        <v>1</v>
      </c>
      <c r="F1199" s="6" t="str">
        <f t="shared" si="36"/>
        <v>July</v>
      </c>
      <c r="G1199" s="6">
        <f t="shared" si="37"/>
        <v>29</v>
      </c>
      <c r="H1199" s="1">
        <f>SUMIF('Retal Tran Line Item'!E:E,A1199,'Retal Tran Line Item'!B:B)</f>
        <v>17</v>
      </c>
    </row>
    <row r="1200" spans="1:8">
      <c r="A1200" s="1">
        <v>101198</v>
      </c>
      <c r="B1200" s="1">
        <v>317461</v>
      </c>
      <c r="C1200" s="2">
        <v>41469</v>
      </c>
      <c r="D1200" s="1" t="s">
        <v>1992</v>
      </c>
      <c r="E1200" s="6">
        <v>1</v>
      </c>
      <c r="F1200" s="6" t="str">
        <f t="shared" si="36"/>
        <v>July</v>
      </c>
      <c r="G1200" s="6">
        <f t="shared" si="37"/>
        <v>29</v>
      </c>
      <c r="H1200" s="1">
        <f>SUMIF('Retal Tran Line Item'!E:E,A1200,'Retal Tran Line Item'!B:B)</f>
        <v>10</v>
      </c>
    </row>
    <row r="1201" spans="1:8">
      <c r="A1201" s="1">
        <v>101199</v>
      </c>
      <c r="B1201" s="1">
        <v>157695</v>
      </c>
      <c r="C1201" s="2">
        <v>41469</v>
      </c>
      <c r="D1201" s="1" t="s">
        <v>1994</v>
      </c>
      <c r="E1201" s="6">
        <v>1</v>
      </c>
      <c r="F1201" s="6" t="str">
        <f t="shared" si="36"/>
        <v>July</v>
      </c>
      <c r="G1201" s="6">
        <f t="shared" si="37"/>
        <v>29</v>
      </c>
      <c r="H1201" s="1">
        <f>SUMIF('Retal Tran Line Item'!E:E,A1201,'Retal Tran Line Item'!B:B)</f>
        <v>7</v>
      </c>
    </row>
    <row r="1202" spans="1:8">
      <c r="A1202" s="1">
        <v>101200</v>
      </c>
      <c r="B1202" s="1">
        <v>918682</v>
      </c>
      <c r="C1202" s="2">
        <v>41469</v>
      </c>
      <c r="D1202" s="1" t="s">
        <v>1992</v>
      </c>
      <c r="E1202" s="6">
        <v>1</v>
      </c>
      <c r="F1202" s="6" t="str">
        <f t="shared" si="36"/>
        <v>July</v>
      </c>
      <c r="G1202" s="6">
        <f t="shared" si="37"/>
        <v>29</v>
      </c>
      <c r="H1202" s="1">
        <f>SUMIF('Retal Tran Line Item'!E:E,A1202,'Retal Tran Line Item'!B:B)</f>
        <v>7</v>
      </c>
    </row>
    <row r="1203" spans="1:8">
      <c r="A1203" s="1">
        <v>101201</v>
      </c>
      <c r="B1203" s="1">
        <v>266633</v>
      </c>
      <c r="C1203" s="2">
        <v>41469</v>
      </c>
      <c r="D1203" s="1" t="s">
        <v>1992</v>
      </c>
      <c r="E1203" s="6">
        <v>2</v>
      </c>
      <c r="F1203" s="6" t="str">
        <f t="shared" si="36"/>
        <v>July</v>
      </c>
      <c r="G1203" s="6">
        <f t="shared" si="37"/>
        <v>29</v>
      </c>
      <c r="H1203" s="1">
        <f>SUMIF('Retal Tran Line Item'!E:E,A1203,'Retal Tran Line Item'!B:B)</f>
        <v>3</v>
      </c>
    </row>
    <row r="1204" spans="1:8">
      <c r="A1204" s="1">
        <v>101202</v>
      </c>
      <c r="B1204" s="1">
        <v>425051</v>
      </c>
      <c r="C1204" s="2">
        <v>41470</v>
      </c>
      <c r="D1204" s="1" t="s">
        <v>1992</v>
      </c>
      <c r="E1204" s="6">
        <v>2</v>
      </c>
      <c r="F1204" s="6" t="str">
        <f t="shared" si="36"/>
        <v>July</v>
      </c>
      <c r="G1204" s="6">
        <f t="shared" si="37"/>
        <v>29</v>
      </c>
      <c r="H1204" s="1">
        <f>SUMIF('Retal Tran Line Item'!E:E,A1204,'Retal Tran Line Item'!B:B)</f>
        <v>14</v>
      </c>
    </row>
    <row r="1205" spans="1:8">
      <c r="A1205" s="1">
        <v>101203</v>
      </c>
      <c r="B1205" s="1">
        <v>297686</v>
      </c>
      <c r="C1205" s="2">
        <v>41470</v>
      </c>
      <c r="D1205" s="1" t="s">
        <v>1992</v>
      </c>
      <c r="E1205" s="6">
        <v>2</v>
      </c>
      <c r="F1205" s="6" t="str">
        <f t="shared" si="36"/>
        <v>July</v>
      </c>
      <c r="G1205" s="6">
        <f t="shared" si="37"/>
        <v>29</v>
      </c>
      <c r="H1205" s="1">
        <f>SUMIF('Retal Tran Line Item'!E:E,A1205,'Retal Tran Line Item'!B:B)</f>
        <v>4</v>
      </c>
    </row>
    <row r="1206" spans="1:8">
      <c r="A1206" s="1">
        <v>101204</v>
      </c>
      <c r="B1206" s="1">
        <v>994056</v>
      </c>
      <c r="C1206" s="2">
        <v>41470</v>
      </c>
      <c r="D1206" s="1" t="s">
        <v>1989</v>
      </c>
      <c r="E1206" s="6">
        <v>1</v>
      </c>
      <c r="F1206" s="6" t="str">
        <f t="shared" si="36"/>
        <v>July</v>
      </c>
      <c r="G1206" s="6">
        <f t="shared" si="37"/>
        <v>29</v>
      </c>
      <c r="H1206" s="1">
        <f>SUMIF('Retal Tran Line Item'!E:E,A1206,'Retal Tran Line Item'!B:B)</f>
        <v>12</v>
      </c>
    </row>
    <row r="1207" spans="1:8">
      <c r="A1207" s="1">
        <v>101205</v>
      </c>
      <c r="B1207" s="1">
        <v>421074</v>
      </c>
      <c r="C1207" s="2">
        <v>41470</v>
      </c>
      <c r="D1207" s="1" t="s">
        <v>1992</v>
      </c>
      <c r="E1207" s="6">
        <v>1</v>
      </c>
      <c r="F1207" s="6" t="str">
        <f t="shared" si="36"/>
        <v>July</v>
      </c>
      <c r="G1207" s="6">
        <f t="shared" si="37"/>
        <v>29</v>
      </c>
      <c r="H1207" s="1">
        <f>SUMIF('Retal Tran Line Item'!E:E,A1207,'Retal Tran Line Item'!B:B)</f>
        <v>7</v>
      </c>
    </row>
    <row r="1208" spans="1:8">
      <c r="A1208" s="1">
        <v>101206</v>
      </c>
      <c r="B1208" s="1">
        <v>396166</v>
      </c>
      <c r="C1208" s="2">
        <v>41470</v>
      </c>
      <c r="D1208" s="1" t="s">
        <v>1992</v>
      </c>
      <c r="E1208" s="6">
        <v>2</v>
      </c>
      <c r="F1208" s="6" t="str">
        <f t="shared" si="36"/>
        <v>July</v>
      </c>
      <c r="G1208" s="6">
        <f t="shared" si="37"/>
        <v>29</v>
      </c>
      <c r="H1208" s="1">
        <f>SUMIF('Retal Tran Line Item'!E:E,A1208,'Retal Tran Line Item'!B:B)</f>
        <v>8</v>
      </c>
    </row>
    <row r="1209" spans="1:8">
      <c r="A1209" s="1">
        <v>101207</v>
      </c>
      <c r="B1209" s="1">
        <v>900440</v>
      </c>
      <c r="C1209" s="2">
        <v>41470</v>
      </c>
      <c r="D1209" s="1" t="s">
        <v>1992</v>
      </c>
      <c r="E1209" s="6">
        <v>2</v>
      </c>
      <c r="F1209" s="6" t="str">
        <f t="shared" si="36"/>
        <v>July</v>
      </c>
      <c r="G1209" s="6">
        <f t="shared" si="37"/>
        <v>29</v>
      </c>
      <c r="H1209" s="1">
        <f>SUMIF('Retal Tran Line Item'!E:E,A1209,'Retal Tran Line Item'!B:B)</f>
        <v>14</v>
      </c>
    </row>
    <row r="1210" spans="1:8">
      <c r="A1210" s="1">
        <v>101208</v>
      </c>
      <c r="B1210" s="1">
        <v>862302</v>
      </c>
      <c r="C1210" s="2">
        <v>41470</v>
      </c>
      <c r="D1210" s="1" t="s">
        <v>1992</v>
      </c>
      <c r="E1210" s="6">
        <v>2</v>
      </c>
      <c r="F1210" s="6" t="str">
        <f t="shared" si="36"/>
        <v>July</v>
      </c>
      <c r="G1210" s="6">
        <f t="shared" si="37"/>
        <v>29</v>
      </c>
      <c r="H1210" s="1">
        <f>SUMIF('Retal Tran Line Item'!E:E,A1210,'Retal Tran Line Item'!B:B)</f>
        <v>10</v>
      </c>
    </row>
    <row r="1211" spans="1:8">
      <c r="A1211" s="1">
        <v>101209</v>
      </c>
      <c r="B1211" s="1">
        <v>720602</v>
      </c>
      <c r="C1211" s="2">
        <v>41470</v>
      </c>
      <c r="D1211" s="1" t="s">
        <v>1992</v>
      </c>
      <c r="E1211" s="6">
        <v>2</v>
      </c>
      <c r="F1211" s="6" t="str">
        <f t="shared" si="36"/>
        <v>July</v>
      </c>
      <c r="G1211" s="6">
        <f t="shared" si="37"/>
        <v>29</v>
      </c>
      <c r="H1211" s="1">
        <f>SUMIF('Retal Tran Line Item'!E:E,A1211,'Retal Tran Line Item'!B:B)</f>
        <v>8</v>
      </c>
    </row>
    <row r="1212" spans="1:8">
      <c r="A1212" s="1">
        <v>101210</v>
      </c>
      <c r="B1212" s="1">
        <v>498970</v>
      </c>
      <c r="C1212" s="2">
        <v>41470</v>
      </c>
      <c r="D1212" s="1" t="s">
        <v>1992</v>
      </c>
      <c r="E1212" s="6">
        <v>2</v>
      </c>
      <c r="F1212" s="6" t="str">
        <f t="shared" si="36"/>
        <v>July</v>
      </c>
      <c r="G1212" s="6">
        <f t="shared" si="37"/>
        <v>29</v>
      </c>
      <c r="H1212" s="1">
        <f>SUMIF('Retal Tran Line Item'!E:E,A1212,'Retal Tran Line Item'!B:B)</f>
        <v>10</v>
      </c>
    </row>
    <row r="1213" spans="1:8">
      <c r="A1213" s="1">
        <v>101211</v>
      </c>
      <c r="B1213" s="1">
        <v>175871</v>
      </c>
      <c r="C1213" s="2">
        <v>41470</v>
      </c>
      <c r="D1213" s="1" t="s">
        <v>1994</v>
      </c>
      <c r="E1213" s="6">
        <v>2</v>
      </c>
      <c r="F1213" s="6" t="str">
        <f t="shared" si="36"/>
        <v>July</v>
      </c>
      <c r="G1213" s="6">
        <f t="shared" si="37"/>
        <v>29</v>
      </c>
      <c r="H1213" s="1">
        <f>SUMIF('Retal Tran Line Item'!E:E,A1213,'Retal Tran Line Item'!B:B)</f>
        <v>9</v>
      </c>
    </row>
    <row r="1214" spans="1:8">
      <c r="A1214" s="1">
        <v>101212</v>
      </c>
      <c r="B1214" s="1">
        <v>757780</v>
      </c>
      <c r="C1214" s="2">
        <v>41471</v>
      </c>
      <c r="D1214" s="1" t="s">
        <v>1993</v>
      </c>
      <c r="E1214" s="6">
        <v>2</v>
      </c>
      <c r="F1214" s="6" t="str">
        <f t="shared" si="36"/>
        <v>July</v>
      </c>
      <c r="G1214" s="6">
        <f t="shared" si="37"/>
        <v>29</v>
      </c>
      <c r="H1214" s="1">
        <f>SUMIF('Retal Tran Line Item'!E:E,A1214,'Retal Tran Line Item'!B:B)</f>
        <v>22</v>
      </c>
    </row>
    <row r="1215" spans="1:8">
      <c r="A1215" s="1">
        <v>101213</v>
      </c>
      <c r="B1215" s="1">
        <v>745543</v>
      </c>
      <c r="C1215" s="2">
        <v>41471</v>
      </c>
      <c r="D1215" s="1" t="s">
        <v>1989</v>
      </c>
      <c r="E1215" s="6">
        <v>2</v>
      </c>
      <c r="F1215" s="6" t="str">
        <f t="shared" si="36"/>
        <v>July</v>
      </c>
      <c r="G1215" s="6">
        <f t="shared" si="37"/>
        <v>29</v>
      </c>
      <c r="H1215" s="1">
        <f>SUMIF('Retal Tran Line Item'!E:E,A1215,'Retal Tran Line Item'!B:B)</f>
        <v>11</v>
      </c>
    </row>
    <row r="1216" spans="1:8">
      <c r="A1216" s="1">
        <v>101214</v>
      </c>
      <c r="B1216" s="1">
        <v>427391</v>
      </c>
      <c r="C1216" s="2">
        <v>41471</v>
      </c>
      <c r="D1216" s="1" t="s">
        <v>1992</v>
      </c>
      <c r="E1216" s="6">
        <v>2</v>
      </c>
      <c r="F1216" s="6" t="str">
        <f t="shared" si="36"/>
        <v>July</v>
      </c>
      <c r="G1216" s="6">
        <f t="shared" si="37"/>
        <v>29</v>
      </c>
      <c r="H1216" s="1">
        <f>SUMIF('Retal Tran Line Item'!E:E,A1216,'Retal Tran Line Item'!B:B)</f>
        <v>7</v>
      </c>
    </row>
    <row r="1217" spans="1:8">
      <c r="A1217" s="1">
        <v>101215</v>
      </c>
      <c r="B1217" s="1">
        <v>605188</v>
      </c>
      <c r="C1217" s="2">
        <v>41471</v>
      </c>
      <c r="D1217" s="1" t="s">
        <v>1989</v>
      </c>
      <c r="E1217" s="6">
        <v>2</v>
      </c>
      <c r="F1217" s="6" t="str">
        <f t="shared" si="36"/>
        <v>July</v>
      </c>
      <c r="G1217" s="6">
        <f t="shared" si="37"/>
        <v>29</v>
      </c>
      <c r="H1217" s="1">
        <f>SUMIF('Retal Tran Line Item'!E:E,A1217,'Retal Tran Line Item'!B:B)</f>
        <v>4</v>
      </c>
    </row>
    <row r="1218" spans="1:8">
      <c r="A1218" s="1">
        <v>101216</v>
      </c>
      <c r="B1218" s="1">
        <v>253106</v>
      </c>
      <c r="C1218" s="2">
        <v>41471</v>
      </c>
      <c r="D1218" s="1" t="s">
        <v>1989</v>
      </c>
      <c r="E1218" s="6">
        <v>2</v>
      </c>
      <c r="F1218" s="6" t="str">
        <f t="shared" si="36"/>
        <v>July</v>
      </c>
      <c r="G1218" s="6">
        <f t="shared" si="37"/>
        <v>29</v>
      </c>
      <c r="H1218" s="1">
        <f>SUMIF('Retal Tran Line Item'!E:E,A1218,'Retal Tran Line Item'!B:B)</f>
        <v>3</v>
      </c>
    </row>
    <row r="1219" spans="1:8">
      <c r="A1219" s="1">
        <v>101217</v>
      </c>
      <c r="B1219" s="1">
        <v>575903</v>
      </c>
      <c r="C1219" s="2">
        <v>41471</v>
      </c>
      <c r="D1219" s="1" t="s">
        <v>1993</v>
      </c>
      <c r="E1219" s="6">
        <v>1</v>
      </c>
      <c r="F1219" s="6" t="str">
        <f t="shared" ref="F1219:F1282" si="38">TEXT(C1219,"MMMM")</f>
        <v>July</v>
      </c>
      <c r="G1219" s="6">
        <f t="shared" ref="G1219:G1282" si="39">WEEKNUM(C1219)</f>
        <v>29</v>
      </c>
      <c r="H1219" s="1">
        <f>SUMIF('Retal Tran Line Item'!E:E,A1219,'Retal Tran Line Item'!B:B)</f>
        <v>9</v>
      </c>
    </row>
    <row r="1220" spans="1:8">
      <c r="A1220" s="1">
        <v>101218</v>
      </c>
      <c r="B1220" s="1">
        <v>933331</v>
      </c>
      <c r="C1220" s="2">
        <v>41471</v>
      </c>
      <c r="D1220" s="1" t="s">
        <v>1994</v>
      </c>
      <c r="E1220" s="6">
        <v>1</v>
      </c>
      <c r="F1220" s="6" t="str">
        <f t="shared" si="38"/>
        <v>July</v>
      </c>
      <c r="G1220" s="6">
        <f t="shared" si="39"/>
        <v>29</v>
      </c>
      <c r="H1220" s="1">
        <f>SUMIF('Retal Tran Line Item'!E:E,A1220,'Retal Tran Line Item'!B:B)</f>
        <v>9</v>
      </c>
    </row>
    <row r="1221" spans="1:8">
      <c r="A1221" s="1">
        <v>101219</v>
      </c>
      <c r="B1221" s="1">
        <v>627324</v>
      </c>
      <c r="C1221" s="2">
        <v>41471</v>
      </c>
      <c r="D1221" s="1" t="s">
        <v>1989</v>
      </c>
      <c r="E1221" s="6">
        <v>2</v>
      </c>
      <c r="F1221" s="6" t="str">
        <f t="shared" si="38"/>
        <v>July</v>
      </c>
      <c r="G1221" s="6">
        <f t="shared" si="39"/>
        <v>29</v>
      </c>
      <c r="H1221" s="1">
        <f>SUMIF('Retal Tran Line Item'!E:E,A1221,'Retal Tran Line Item'!B:B)</f>
        <v>11</v>
      </c>
    </row>
    <row r="1222" spans="1:8">
      <c r="A1222" s="1">
        <v>101220</v>
      </c>
      <c r="B1222" s="1">
        <v>229742</v>
      </c>
      <c r="C1222" s="2">
        <v>41471</v>
      </c>
      <c r="D1222" s="1" t="s">
        <v>1994</v>
      </c>
      <c r="E1222" s="6">
        <v>2</v>
      </c>
      <c r="F1222" s="6" t="str">
        <f t="shared" si="38"/>
        <v>July</v>
      </c>
      <c r="G1222" s="6">
        <f t="shared" si="39"/>
        <v>29</v>
      </c>
      <c r="H1222" s="1">
        <f>SUMIF('Retal Tran Line Item'!E:E,A1222,'Retal Tran Line Item'!B:B)</f>
        <v>8</v>
      </c>
    </row>
    <row r="1223" spans="1:8">
      <c r="A1223" s="1">
        <v>101221</v>
      </c>
      <c r="B1223" s="1">
        <v>498970</v>
      </c>
      <c r="C1223" s="2">
        <v>41471</v>
      </c>
      <c r="D1223" s="1" t="s">
        <v>1992</v>
      </c>
      <c r="E1223" s="6">
        <v>1</v>
      </c>
      <c r="F1223" s="6" t="str">
        <f t="shared" si="38"/>
        <v>July</v>
      </c>
      <c r="G1223" s="6">
        <f t="shared" si="39"/>
        <v>29</v>
      </c>
      <c r="H1223" s="1">
        <f>SUMIF('Retal Tran Line Item'!E:E,A1223,'Retal Tran Line Item'!B:B)</f>
        <v>23</v>
      </c>
    </row>
    <row r="1224" spans="1:8">
      <c r="A1224" s="1">
        <v>101222</v>
      </c>
      <c r="B1224" s="1">
        <v>422951</v>
      </c>
      <c r="C1224" s="2">
        <v>41471</v>
      </c>
      <c r="D1224" s="1" t="s">
        <v>1994</v>
      </c>
      <c r="E1224" s="6">
        <v>1</v>
      </c>
      <c r="F1224" s="6" t="str">
        <f t="shared" si="38"/>
        <v>July</v>
      </c>
      <c r="G1224" s="6">
        <f t="shared" si="39"/>
        <v>29</v>
      </c>
      <c r="H1224" s="1">
        <f>SUMIF('Retal Tran Line Item'!E:E,A1224,'Retal Tran Line Item'!B:B)</f>
        <v>4</v>
      </c>
    </row>
    <row r="1225" spans="1:8">
      <c r="A1225" s="1">
        <v>101223</v>
      </c>
      <c r="B1225" s="1">
        <v>289693</v>
      </c>
      <c r="C1225" s="2">
        <v>41471</v>
      </c>
      <c r="D1225" s="1" t="s">
        <v>1989</v>
      </c>
      <c r="E1225" s="6">
        <v>1</v>
      </c>
      <c r="F1225" s="6" t="str">
        <f t="shared" si="38"/>
        <v>July</v>
      </c>
      <c r="G1225" s="6">
        <f t="shared" si="39"/>
        <v>29</v>
      </c>
      <c r="H1225" s="1">
        <f>SUMIF('Retal Tran Line Item'!E:E,A1225,'Retal Tran Line Item'!B:B)</f>
        <v>17</v>
      </c>
    </row>
    <row r="1226" spans="1:8">
      <c r="A1226" s="1">
        <v>101224</v>
      </c>
      <c r="B1226" s="1">
        <v>885548</v>
      </c>
      <c r="C1226" s="2">
        <v>41472</v>
      </c>
      <c r="D1226" s="1" t="s">
        <v>1992</v>
      </c>
      <c r="E1226" s="6">
        <v>1</v>
      </c>
      <c r="F1226" s="6" t="str">
        <f t="shared" si="38"/>
        <v>July</v>
      </c>
      <c r="G1226" s="6">
        <f t="shared" si="39"/>
        <v>29</v>
      </c>
      <c r="H1226" s="1">
        <f>SUMIF('Retal Tran Line Item'!E:E,A1226,'Retal Tran Line Item'!B:B)</f>
        <v>8</v>
      </c>
    </row>
    <row r="1227" spans="1:8">
      <c r="A1227" s="1">
        <v>101225</v>
      </c>
      <c r="B1227" s="1">
        <v>814512</v>
      </c>
      <c r="C1227" s="2">
        <v>41472</v>
      </c>
      <c r="D1227" s="1" t="s">
        <v>1992</v>
      </c>
      <c r="E1227" s="6">
        <v>2</v>
      </c>
      <c r="F1227" s="6" t="str">
        <f t="shared" si="38"/>
        <v>July</v>
      </c>
      <c r="G1227" s="6">
        <f t="shared" si="39"/>
        <v>29</v>
      </c>
      <c r="H1227" s="1">
        <f>SUMIF('Retal Tran Line Item'!E:E,A1227,'Retal Tran Line Item'!B:B)</f>
        <v>10</v>
      </c>
    </row>
    <row r="1228" spans="1:8">
      <c r="A1228" s="1">
        <v>101226</v>
      </c>
      <c r="B1228" s="1">
        <v>808869</v>
      </c>
      <c r="C1228" s="2">
        <v>41472</v>
      </c>
      <c r="D1228" s="1" t="s">
        <v>1989</v>
      </c>
      <c r="E1228" s="6">
        <v>1</v>
      </c>
      <c r="F1228" s="6" t="str">
        <f t="shared" si="38"/>
        <v>July</v>
      </c>
      <c r="G1228" s="6">
        <f t="shared" si="39"/>
        <v>29</v>
      </c>
      <c r="H1228" s="1">
        <f>SUMIF('Retal Tran Line Item'!E:E,A1228,'Retal Tran Line Item'!B:B)</f>
        <v>3</v>
      </c>
    </row>
    <row r="1229" spans="1:8">
      <c r="A1229" s="1">
        <v>101227</v>
      </c>
      <c r="B1229" s="1">
        <v>420981</v>
      </c>
      <c r="C1229" s="2">
        <v>41472</v>
      </c>
      <c r="D1229" s="1" t="s">
        <v>1992</v>
      </c>
      <c r="E1229" s="6">
        <v>1</v>
      </c>
      <c r="F1229" s="6" t="str">
        <f t="shared" si="38"/>
        <v>July</v>
      </c>
      <c r="G1229" s="6">
        <f t="shared" si="39"/>
        <v>29</v>
      </c>
      <c r="H1229" s="1">
        <f>SUMIF('Retal Tran Line Item'!E:E,A1229,'Retal Tran Line Item'!B:B)</f>
        <v>3</v>
      </c>
    </row>
    <row r="1230" spans="1:8">
      <c r="A1230" s="1">
        <v>101228</v>
      </c>
      <c r="B1230" s="1">
        <v>422592</v>
      </c>
      <c r="C1230" s="2">
        <v>41472</v>
      </c>
      <c r="D1230" s="1" t="s">
        <v>1992</v>
      </c>
      <c r="E1230" s="6">
        <v>2</v>
      </c>
      <c r="F1230" s="6" t="str">
        <f t="shared" si="38"/>
        <v>July</v>
      </c>
      <c r="G1230" s="6">
        <f t="shared" si="39"/>
        <v>29</v>
      </c>
      <c r="H1230" s="1">
        <f>SUMIF('Retal Tran Line Item'!E:E,A1230,'Retal Tran Line Item'!B:B)</f>
        <v>14</v>
      </c>
    </row>
    <row r="1231" spans="1:8">
      <c r="A1231" s="1">
        <v>101229</v>
      </c>
      <c r="B1231" s="1">
        <v>249779</v>
      </c>
      <c r="C1231" s="2">
        <v>41472</v>
      </c>
      <c r="D1231" s="1" t="s">
        <v>1992</v>
      </c>
      <c r="E1231" s="6">
        <v>1</v>
      </c>
      <c r="F1231" s="6" t="str">
        <f t="shared" si="38"/>
        <v>July</v>
      </c>
      <c r="G1231" s="6">
        <f t="shared" si="39"/>
        <v>29</v>
      </c>
      <c r="H1231" s="1">
        <f>SUMIF('Retal Tran Line Item'!E:E,A1231,'Retal Tran Line Item'!B:B)</f>
        <v>13</v>
      </c>
    </row>
    <row r="1232" spans="1:8">
      <c r="A1232" s="1">
        <v>101230</v>
      </c>
      <c r="B1232" s="1">
        <v>719921</v>
      </c>
      <c r="C1232" s="2">
        <v>41472</v>
      </c>
      <c r="D1232" s="1" t="s">
        <v>1993</v>
      </c>
      <c r="E1232" s="6">
        <v>1</v>
      </c>
      <c r="F1232" s="6" t="str">
        <f t="shared" si="38"/>
        <v>July</v>
      </c>
      <c r="G1232" s="6">
        <f t="shared" si="39"/>
        <v>29</v>
      </c>
      <c r="H1232" s="1">
        <f>SUMIF('Retal Tran Line Item'!E:E,A1232,'Retal Tran Line Item'!B:B)</f>
        <v>14</v>
      </c>
    </row>
    <row r="1233" spans="1:8">
      <c r="A1233" s="1">
        <v>101231</v>
      </c>
      <c r="B1233" s="1">
        <v>608290</v>
      </c>
      <c r="C1233" s="2">
        <v>41472</v>
      </c>
      <c r="D1233" s="1" t="s">
        <v>1992</v>
      </c>
      <c r="E1233" s="6">
        <v>1</v>
      </c>
      <c r="F1233" s="6" t="str">
        <f t="shared" si="38"/>
        <v>July</v>
      </c>
      <c r="G1233" s="6">
        <f t="shared" si="39"/>
        <v>29</v>
      </c>
      <c r="H1233" s="1">
        <f>SUMIF('Retal Tran Line Item'!E:E,A1233,'Retal Tran Line Item'!B:B)</f>
        <v>10</v>
      </c>
    </row>
    <row r="1234" spans="1:8">
      <c r="A1234" s="1">
        <v>101232</v>
      </c>
      <c r="B1234" s="1">
        <v>498970</v>
      </c>
      <c r="C1234" s="2">
        <v>41472</v>
      </c>
      <c r="D1234" s="1" t="s">
        <v>1992</v>
      </c>
      <c r="E1234" s="6">
        <v>2</v>
      </c>
      <c r="F1234" s="6" t="str">
        <f t="shared" si="38"/>
        <v>July</v>
      </c>
      <c r="G1234" s="6">
        <f t="shared" si="39"/>
        <v>29</v>
      </c>
      <c r="H1234" s="1">
        <f>SUMIF('Retal Tran Line Item'!E:E,A1234,'Retal Tran Line Item'!B:B)</f>
        <v>9</v>
      </c>
    </row>
    <row r="1235" spans="1:8">
      <c r="A1235" s="1">
        <v>101233</v>
      </c>
      <c r="B1235" s="1">
        <v>559486</v>
      </c>
      <c r="C1235" s="2">
        <v>41472</v>
      </c>
      <c r="D1235" s="1" t="s">
        <v>1992</v>
      </c>
      <c r="E1235" s="6">
        <v>1</v>
      </c>
      <c r="F1235" s="6" t="str">
        <f t="shared" si="38"/>
        <v>July</v>
      </c>
      <c r="G1235" s="6">
        <f t="shared" si="39"/>
        <v>29</v>
      </c>
      <c r="H1235" s="1">
        <f>SUMIF('Retal Tran Line Item'!E:E,A1235,'Retal Tran Line Item'!B:B)</f>
        <v>17</v>
      </c>
    </row>
    <row r="1236" spans="1:8">
      <c r="A1236" s="1">
        <v>101234</v>
      </c>
      <c r="B1236" s="1">
        <v>892883</v>
      </c>
      <c r="C1236" s="2">
        <v>41472</v>
      </c>
      <c r="D1236" s="1" t="s">
        <v>1992</v>
      </c>
      <c r="E1236" s="6">
        <v>1</v>
      </c>
      <c r="F1236" s="6" t="str">
        <f t="shared" si="38"/>
        <v>July</v>
      </c>
      <c r="G1236" s="6">
        <f t="shared" si="39"/>
        <v>29</v>
      </c>
      <c r="H1236" s="1">
        <f>SUMIF('Retal Tran Line Item'!E:E,A1236,'Retal Tran Line Item'!B:B)</f>
        <v>27</v>
      </c>
    </row>
    <row r="1237" spans="1:8">
      <c r="A1237" s="1">
        <v>101235</v>
      </c>
      <c r="B1237" s="1">
        <v>672834</v>
      </c>
      <c r="C1237" s="2">
        <v>41472</v>
      </c>
      <c r="D1237" s="1" t="s">
        <v>1993</v>
      </c>
      <c r="E1237" s="6">
        <v>1</v>
      </c>
      <c r="F1237" s="6" t="str">
        <f t="shared" si="38"/>
        <v>July</v>
      </c>
      <c r="G1237" s="6">
        <f t="shared" si="39"/>
        <v>29</v>
      </c>
      <c r="H1237" s="1">
        <f>SUMIF('Retal Tran Line Item'!E:E,A1237,'Retal Tran Line Item'!B:B)</f>
        <v>16</v>
      </c>
    </row>
    <row r="1238" spans="1:8">
      <c r="A1238" s="1">
        <v>101236</v>
      </c>
      <c r="B1238" s="1">
        <v>520377</v>
      </c>
      <c r="C1238" s="2">
        <v>41472</v>
      </c>
      <c r="D1238" s="1" t="s">
        <v>1993</v>
      </c>
      <c r="E1238" s="6">
        <v>1</v>
      </c>
      <c r="F1238" s="6" t="str">
        <f t="shared" si="38"/>
        <v>July</v>
      </c>
      <c r="G1238" s="6">
        <f t="shared" si="39"/>
        <v>29</v>
      </c>
      <c r="H1238" s="1">
        <f>SUMIF('Retal Tran Line Item'!E:E,A1238,'Retal Tran Line Item'!B:B)</f>
        <v>14</v>
      </c>
    </row>
    <row r="1239" spans="1:8">
      <c r="A1239" s="1">
        <v>101237</v>
      </c>
      <c r="B1239" s="1">
        <v>663029</v>
      </c>
      <c r="C1239" s="2">
        <v>41472</v>
      </c>
      <c r="D1239" s="1" t="s">
        <v>1993</v>
      </c>
      <c r="E1239" s="6">
        <v>1</v>
      </c>
      <c r="F1239" s="6" t="str">
        <f t="shared" si="38"/>
        <v>July</v>
      </c>
      <c r="G1239" s="6">
        <f t="shared" si="39"/>
        <v>29</v>
      </c>
      <c r="H1239" s="1">
        <f>SUMIF('Retal Tran Line Item'!E:E,A1239,'Retal Tran Line Item'!B:B)</f>
        <v>14</v>
      </c>
    </row>
    <row r="1240" spans="1:8">
      <c r="A1240" s="1">
        <v>101238</v>
      </c>
      <c r="B1240" s="1">
        <v>890270</v>
      </c>
      <c r="C1240" s="2">
        <v>41472</v>
      </c>
      <c r="D1240" s="1" t="s">
        <v>1992</v>
      </c>
      <c r="E1240" s="6">
        <v>2</v>
      </c>
      <c r="F1240" s="6" t="str">
        <f t="shared" si="38"/>
        <v>July</v>
      </c>
      <c r="G1240" s="6">
        <f t="shared" si="39"/>
        <v>29</v>
      </c>
      <c r="H1240" s="1">
        <f>SUMIF('Retal Tran Line Item'!E:E,A1240,'Retal Tran Line Item'!B:B)</f>
        <v>2</v>
      </c>
    </row>
    <row r="1241" spans="1:8">
      <c r="A1241" s="1">
        <v>101239</v>
      </c>
      <c r="B1241" s="1">
        <v>761615</v>
      </c>
      <c r="C1241" s="2">
        <v>41473</v>
      </c>
      <c r="D1241" s="1" t="s">
        <v>1993</v>
      </c>
      <c r="E1241" s="6">
        <v>2</v>
      </c>
      <c r="F1241" s="6" t="str">
        <f t="shared" si="38"/>
        <v>July</v>
      </c>
      <c r="G1241" s="6">
        <f t="shared" si="39"/>
        <v>29</v>
      </c>
      <c r="H1241" s="1">
        <f>SUMIF('Retal Tran Line Item'!E:E,A1241,'Retal Tran Line Item'!B:B)</f>
        <v>15</v>
      </c>
    </row>
    <row r="1242" spans="1:8">
      <c r="A1242" s="1">
        <v>101240</v>
      </c>
      <c r="B1242" s="1">
        <v>552124</v>
      </c>
      <c r="C1242" s="2">
        <v>41473</v>
      </c>
      <c r="D1242" s="1" t="s">
        <v>1992</v>
      </c>
      <c r="E1242" s="6">
        <v>1</v>
      </c>
      <c r="F1242" s="6" t="str">
        <f t="shared" si="38"/>
        <v>July</v>
      </c>
      <c r="G1242" s="6">
        <f t="shared" si="39"/>
        <v>29</v>
      </c>
      <c r="H1242" s="1">
        <f>SUMIF('Retal Tran Line Item'!E:E,A1242,'Retal Tran Line Item'!B:B)</f>
        <v>8</v>
      </c>
    </row>
    <row r="1243" spans="1:8">
      <c r="A1243" s="1">
        <v>101241</v>
      </c>
      <c r="B1243" s="1">
        <v>487346</v>
      </c>
      <c r="C1243" s="2">
        <v>41473</v>
      </c>
      <c r="D1243" s="1" t="s">
        <v>1992</v>
      </c>
      <c r="E1243" s="6">
        <v>2</v>
      </c>
      <c r="F1243" s="6" t="str">
        <f t="shared" si="38"/>
        <v>July</v>
      </c>
      <c r="G1243" s="6">
        <f t="shared" si="39"/>
        <v>29</v>
      </c>
      <c r="H1243" s="1">
        <f>SUMIF('Retal Tran Line Item'!E:E,A1243,'Retal Tran Line Item'!B:B)</f>
        <v>3</v>
      </c>
    </row>
    <row r="1244" spans="1:8">
      <c r="A1244" s="1">
        <v>101242</v>
      </c>
      <c r="B1244" s="1">
        <v>470304</v>
      </c>
      <c r="C1244" s="2">
        <v>41473</v>
      </c>
      <c r="D1244" s="1" t="s">
        <v>1994</v>
      </c>
      <c r="E1244" s="6">
        <v>1</v>
      </c>
      <c r="F1244" s="6" t="str">
        <f t="shared" si="38"/>
        <v>July</v>
      </c>
      <c r="G1244" s="6">
        <f t="shared" si="39"/>
        <v>29</v>
      </c>
      <c r="H1244" s="1">
        <f>SUMIF('Retal Tran Line Item'!E:E,A1244,'Retal Tran Line Item'!B:B)</f>
        <v>10</v>
      </c>
    </row>
    <row r="1245" spans="1:8">
      <c r="A1245" s="1">
        <v>101243</v>
      </c>
      <c r="B1245" s="1">
        <v>789065</v>
      </c>
      <c r="C1245" s="2">
        <v>41473</v>
      </c>
      <c r="D1245" s="1" t="s">
        <v>1994</v>
      </c>
      <c r="E1245" s="6">
        <v>1</v>
      </c>
      <c r="F1245" s="6" t="str">
        <f t="shared" si="38"/>
        <v>July</v>
      </c>
      <c r="G1245" s="6">
        <f t="shared" si="39"/>
        <v>29</v>
      </c>
      <c r="H1245" s="1">
        <f>SUMIF('Retal Tran Line Item'!E:E,A1245,'Retal Tran Line Item'!B:B)</f>
        <v>11</v>
      </c>
    </row>
    <row r="1246" spans="1:8">
      <c r="A1246" s="1">
        <v>101244</v>
      </c>
      <c r="B1246" s="1">
        <v>317807</v>
      </c>
      <c r="C1246" s="2">
        <v>41473</v>
      </c>
      <c r="D1246" s="1" t="s">
        <v>1993</v>
      </c>
      <c r="E1246" s="6">
        <v>2</v>
      </c>
      <c r="F1246" s="6" t="str">
        <f t="shared" si="38"/>
        <v>July</v>
      </c>
      <c r="G1246" s="6">
        <f t="shared" si="39"/>
        <v>29</v>
      </c>
      <c r="H1246" s="1">
        <f>SUMIF('Retal Tran Line Item'!E:E,A1246,'Retal Tran Line Item'!B:B)</f>
        <v>10</v>
      </c>
    </row>
    <row r="1247" spans="1:8">
      <c r="A1247" s="1">
        <v>101245</v>
      </c>
      <c r="B1247" s="1">
        <v>448993</v>
      </c>
      <c r="C1247" s="2">
        <v>41474</v>
      </c>
      <c r="D1247" s="1" t="s">
        <v>1992</v>
      </c>
      <c r="E1247" s="6">
        <v>2</v>
      </c>
      <c r="F1247" s="6" t="str">
        <f t="shared" si="38"/>
        <v>July</v>
      </c>
      <c r="G1247" s="6">
        <f t="shared" si="39"/>
        <v>29</v>
      </c>
      <c r="H1247" s="1">
        <f>SUMIF('Retal Tran Line Item'!E:E,A1247,'Retal Tran Line Item'!B:B)</f>
        <v>10</v>
      </c>
    </row>
    <row r="1248" spans="1:8">
      <c r="A1248" s="1">
        <v>101246</v>
      </c>
      <c r="B1248" s="1">
        <v>759995</v>
      </c>
      <c r="C1248" s="2">
        <v>41474</v>
      </c>
      <c r="D1248" s="1" t="s">
        <v>1993</v>
      </c>
      <c r="E1248" s="6">
        <v>1</v>
      </c>
      <c r="F1248" s="6" t="str">
        <f t="shared" si="38"/>
        <v>July</v>
      </c>
      <c r="G1248" s="6">
        <f t="shared" si="39"/>
        <v>29</v>
      </c>
      <c r="H1248" s="1">
        <f>SUMIF('Retal Tran Line Item'!E:E,A1248,'Retal Tran Line Item'!B:B)</f>
        <v>4</v>
      </c>
    </row>
    <row r="1249" spans="1:8">
      <c r="A1249" s="1">
        <v>101247</v>
      </c>
      <c r="B1249" s="1">
        <v>905670</v>
      </c>
      <c r="C1249" s="2">
        <v>41474</v>
      </c>
      <c r="D1249" s="1" t="s">
        <v>1993</v>
      </c>
      <c r="E1249" s="6">
        <v>2</v>
      </c>
      <c r="F1249" s="6" t="str">
        <f t="shared" si="38"/>
        <v>July</v>
      </c>
      <c r="G1249" s="6">
        <f t="shared" si="39"/>
        <v>29</v>
      </c>
      <c r="H1249" s="1">
        <f>SUMIF('Retal Tran Line Item'!E:E,A1249,'Retal Tran Line Item'!B:B)</f>
        <v>3</v>
      </c>
    </row>
    <row r="1250" spans="1:8">
      <c r="A1250" s="1">
        <v>101248</v>
      </c>
      <c r="B1250" s="1">
        <v>734514</v>
      </c>
      <c r="C1250" s="2">
        <v>41474</v>
      </c>
      <c r="D1250" s="1" t="s">
        <v>1993</v>
      </c>
      <c r="E1250" s="6">
        <v>1</v>
      </c>
      <c r="F1250" s="6" t="str">
        <f t="shared" si="38"/>
        <v>July</v>
      </c>
      <c r="G1250" s="6">
        <f t="shared" si="39"/>
        <v>29</v>
      </c>
      <c r="H1250" s="1">
        <f>SUMIF('Retal Tran Line Item'!E:E,A1250,'Retal Tran Line Item'!B:B)</f>
        <v>9</v>
      </c>
    </row>
    <row r="1251" spans="1:8">
      <c r="A1251" s="1">
        <v>101249</v>
      </c>
      <c r="B1251" s="1">
        <v>265133</v>
      </c>
      <c r="C1251" s="2">
        <v>41474</v>
      </c>
      <c r="D1251" s="1" t="s">
        <v>1992</v>
      </c>
      <c r="E1251" s="6">
        <v>1</v>
      </c>
      <c r="F1251" s="6" t="str">
        <f t="shared" si="38"/>
        <v>July</v>
      </c>
      <c r="G1251" s="6">
        <f t="shared" si="39"/>
        <v>29</v>
      </c>
      <c r="H1251" s="1">
        <f>SUMIF('Retal Tran Line Item'!E:E,A1251,'Retal Tran Line Item'!B:B)</f>
        <v>18</v>
      </c>
    </row>
    <row r="1252" spans="1:8">
      <c r="A1252" s="1">
        <v>101250</v>
      </c>
      <c r="B1252" s="1">
        <v>191951</v>
      </c>
      <c r="C1252" s="2">
        <v>41474</v>
      </c>
      <c r="D1252" s="1" t="s">
        <v>1992</v>
      </c>
      <c r="E1252" s="6">
        <v>1</v>
      </c>
      <c r="F1252" s="6" t="str">
        <f t="shared" si="38"/>
        <v>July</v>
      </c>
      <c r="G1252" s="6">
        <f t="shared" si="39"/>
        <v>29</v>
      </c>
      <c r="H1252" s="1">
        <f>SUMIF('Retal Tran Line Item'!E:E,A1252,'Retal Tran Line Item'!B:B)</f>
        <v>23</v>
      </c>
    </row>
    <row r="1253" spans="1:8">
      <c r="A1253" s="1">
        <v>101251</v>
      </c>
      <c r="B1253" s="1">
        <v>882493</v>
      </c>
      <c r="C1253" s="2">
        <v>41474</v>
      </c>
      <c r="D1253" s="1" t="s">
        <v>1992</v>
      </c>
      <c r="E1253" s="6">
        <v>2</v>
      </c>
      <c r="F1253" s="6" t="str">
        <f t="shared" si="38"/>
        <v>July</v>
      </c>
      <c r="G1253" s="6">
        <f t="shared" si="39"/>
        <v>29</v>
      </c>
      <c r="H1253" s="1">
        <f>SUMIF('Retal Tran Line Item'!E:E,A1253,'Retal Tran Line Item'!B:B)</f>
        <v>8</v>
      </c>
    </row>
    <row r="1254" spans="1:8">
      <c r="A1254" s="1">
        <v>101252</v>
      </c>
      <c r="B1254" s="1">
        <v>610766</v>
      </c>
      <c r="C1254" s="2">
        <v>41474</v>
      </c>
      <c r="D1254" s="1" t="s">
        <v>1992</v>
      </c>
      <c r="E1254" s="6">
        <v>1</v>
      </c>
      <c r="F1254" s="6" t="str">
        <f t="shared" si="38"/>
        <v>July</v>
      </c>
      <c r="G1254" s="6">
        <f t="shared" si="39"/>
        <v>29</v>
      </c>
      <c r="H1254" s="1">
        <f>SUMIF('Retal Tran Line Item'!E:E,A1254,'Retal Tran Line Item'!B:B)</f>
        <v>15</v>
      </c>
    </row>
    <row r="1255" spans="1:8">
      <c r="A1255" s="1">
        <v>101253</v>
      </c>
      <c r="B1255" s="1">
        <v>702197</v>
      </c>
      <c r="C1255" s="2">
        <v>41474</v>
      </c>
      <c r="D1255" s="1" t="s">
        <v>1993</v>
      </c>
      <c r="E1255" s="6">
        <v>1</v>
      </c>
      <c r="F1255" s="6" t="str">
        <f t="shared" si="38"/>
        <v>July</v>
      </c>
      <c r="G1255" s="6">
        <f t="shared" si="39"/>
        <v>29</v>
      </c>
      <c r="H1255" s="1">
        <f>SUMIF('Retal Tran Line Item'!E:E,A1255,'Retal Tran Line Item'!B:B)</f>
        <v>1</v>
      </c>
    </row>
    <row r="1256" spans="1:8">
      <c r="A1256" s="1">
        <v>101254</v>
      </c>
      <c r="B1256" s="1">
        <v>452874</v>
      </c>
      <c r="C1256" s="2">
        <v>41474</v>
      </c>
      <c r="D1256" s="1" t="s">
        <v>1993</v>
      </c>
      <c r="E1256" s="6">
        <v>2</v>
      </c>
      <c r="F1256" s="6" t="str">
        <f t="shared" si="38"/>
        <v>July</v>
      </c>
      <c r="G1256" s="6">
        <f t="shared" si="39"/>
        <v>29</v>
      </c>
      <c r="H1256" s="1">
        <f>SUMIF('Retal Tran Line Item'!E:E,A1256,'Retal Tran Line Item'!B:B)</f>
        <v>15</v>
      </c>
    </row>
    <row r="1257" spans="1:8">
      <c r="A1257" s="1">
        <v>101255</v>
      </c>
      <c r="B1257" s="1">
        <v>938393</v>
      </c>
      <c r="C1257" s="2">
        <v>41474</v>
      </c>
      <c r="D1257" s="1" t="s">
        <v>1993</v>
      </c>
      <c r="E1257" s="6">
        <v>1</v>
      </c>
      <c r="F1257" s="6" t="str">
        <f t="shared" si="38"/>
        <v>July</v>
      </c>
      <c r="G1257" s="6">
        <f t="shared" si="39"/>
        <v>29</v>
      </c>
      <c r="H1257" s="1">
        <f>SUMIF('Retal Tran Line Item'!E:E,A1257,'Retal Tran Line Item'!B:B)</f>
        <v>5</v>
      </c>
    </row>
    <row r="1258" spans="1:8">
      <c r="A1258" s="1">
        <v>101256</v>
      </c>
      <c r="B1258" s="1">
        <v>548800</v>
      </c>
      <c r="C1258" s="2">
        <v>41474</v>
      </c>
      <c r="D1258" s="1" t="s">
        <v>1992</v>
      </c>
      <c r="E1258" s="6">
        <v>2</v>
      </c>
      <c r="F1258" s="6" t="str">
        <f t="shared" si="38"/>
        <v>July</v>
      </c>
      <c r="G1258" s="6">
        <f t="shared" si="39"/>
        <v>29</v>
      </c>
      <c r="H1258" s="1">
        <f>SUMIF('Retal Tran Line Item'!E:E,A1258,'Retal Tran Line Item'!B:B)</f>
        <v>10</v>
      </c>
    </row>
    <row r="1259" spans="1:8">
      <c r="A1259" s="1">
        <v>101257</v>
      </c>
      <c r="B1259" s="1">
        <v>791559</v>
      </c>
      <c r="C1259" s="2">
        <v>41474</v>
      </c>
      <c r="D1259" s="1" t="s">
        <v>1989</v>
      </c>
      <c r="E1259" s="6">
        <v>2</v>
      </c>
      <c r="F1259" s="6" t="str">
        <f t="shared" si="38"/>
        <v>July</v>
      </c>
      <c r="G1259" s="6">
        <f t="shared" si="39"/>
        <v>29</v>
      </c>
      <c r="H1259" s="1">
        <f>SUMIF('Retal Tran Line Item'!E:E,A1259,'Retal Tran Line Item'!B:B)</f>
        <v>5</v>
      </c>
    </row>
    <row r="1260" spans="1:8">
      <c r="A1260" s="1">
        <v>101258</v>
      </c>
      <c r="B1260" s="1">
        <v>745543</v>
      </c>
      <c r="C1260" s="2">
        <v>41475</v>
      </c>
      <c r="D1260" s="1" t="s">
        <v>1989</v>
      </c>
      <c r="E1260" s="6">
        <v>2</v>
      </c>
      <c r="F1260" s="6" t="str">
        <f t="shared" si="38"/>
        <v>July</v>
      </c>
      <c r="G1260" s="6">
        <f t="shared" si="39"/>
        <v>29</v>
      </c>
      <c r="H1260" s="1">
        <f>SUMIF('Retal Tran Line Item'!E:E,A1260,'Retal Tran Line Item'!B:B)</f>
        <v>10</v>
      </c>
    </row>
    <row r="1261" spans="1:8">
      <c r="A1261" s="1">
        <v>101259</v>
      </c>
      <c r="B1261" s="1">
        <v>622506</v>
      </c>
      <c r="C1261" s="2">
        <v>41475</v>
      </c>
      <c r="D1261" s="1" t="s">
        <v>1993</v>
      </c>
      <c r="E1261" s="6">
        <v>1</v>
      </c>
      <c r="F1261" s="6" t="str">
        <f t="shared" si="38"/>
        <v>July</v>
      </c>
      <c r="G1261" s="6">
        <f t="shared" si="39"/>
        <v>29</v>
      </c>
      <c r="H1261" s="1">
        <f>SUMIF('Retal Tran Line Item'!E:E,A1261,'Retal Tran Line Item'!B:B)</f>
        <v>9</v>
      </c>
    </row>
    <row r="1262" spans="1:8">
      <c r="A1262" s="1">
        <v>101260</v>
      </c>
      <c r="B1262" s="1">
        <v>757525</v>
      </c>
      <c r="C1262" s="2">
        <v>41475</v>
      </c>
      <c r="D1262" s="1" t="s">
        <v>1994</v>
      </c>
      <c r="E1262" s="6">
        <v>2</v>
      </c>
      <c r="F1262" s="6" t="str">
        <f t="shared" si="38"/>
        <v>July</v>
      </c>
      <c r="G1262" s="6">
        <f t="shared" si="39"/>
        <v>29</v>
      </c>
      <c r="H1262" s="1">
        <f>SUMIF('Retal Tran Line Item'!E:E,A1262,'Retal Tran Line Item'!B:B)</f>
        <v>6</v>
      </c>
    </row>
    <row r="1263" spans="1:8">
      <c r="A1263" s="1">
        <v>101261</v>
      </c>
      <c r="B1263" s="1">
        <v>723057</v>
      </c>
      <c r="C1263" s="2">
        <v>41475</v>
      </c>
      <c r="D1263" s="1" t="s">
        <v>1993</v>
      </c>
      <c r="E1263" s="6">
        <v>2</v>
      </c>
      <c r="F1263" s="6" t="str">
        <f t="shared" si="38"/>
        <v>July</v>
      </c>
      <c r="G1263" s="6">
        <f t="shared" si="39"/>
        <v>29</v>
      </c>
      <c r="H1263" s="1">
        <f>SUMIF('Retal Tran Line Item'!E:E,A1263,'Retal Tran Line Item'!B:B)</f>
        <v>51</v>
      </c>
    </row>
    <row r="1264" spans="1:8">
      <c r="A1264" s="1">
        <v>101262</v>
      </c>
      <c r="B1264" s="1">
        <v>520196</v>
      </c>
      <c r="C1264" s="2">
        <v>41475</v>
      </c>
      <c r="D1264" s="1" t="s">
        <v>1992</v>
      </c>
      <c r="E1264" s="6">
        <v>2</v>
      </c>
      <c r="F1264" s="6" t="str">
        <f t="shared" si="38"/>
        <v>July</v>
      </c>
      <c r="G1264" s="6">
        <f t="shared" si="39"/>
        <v>29</v>
      </c>
      <c r="H1264" s="1">
        <f>SUMIF('Retal Tran Line Item'!E:E,A1264,'Retal Tran Line Item'!B:B)</f>
        <v>7</v>
      </c>
    </row>
    <row r="1265" spans="1:8">
      <c r="A1265" s="1">
        <v>101263</v>
      </c>
      <c r="B1265" s="1">
        <v>500733</v>
      </c>
      <c r="C1265" s="2">
        <v>41475</v>
      </c>
      <c r="D1265" s="1" t="s">
        <v>1994</v>
      </c>
      <c r="E1265" s="6">
        <v>1</v>
      </c>
      <c r="F1265" s="6" t="str">
        <f t="shared" si="38"/>
        <v>July</v>
      </c>
      <c r="G1265" s="6">
        <f t="shared" si="39"/>
        <v>29</v>
      </c>
      <c r="H1265" s="1">
        <f>SUMIF('Retal Tran Line Item'!E:E,A1265,'Retal Tran Line Item'!B:B)</f>
        <v>4</v>
      </c>
    </row>
    <row r="1266" spans="1:8">
      <c r="A1266" s="1">
        <v>101264</v>
      </c>
      <c r="B1266" s="1">
        <v>347659</v>
      </c>
      <c r="C1266" s="2">
        <v>41475</v>
      </c>
      <c r="D1266" s="1" t="s">
        <v>1992</v>
      </c>
      <c r="E1266" s="6">
        <v>2</v>
      </c>
      <c r="F1266" s="6" t="str">
        <f t="shared" si="38"/>
        <v>July</v>
      </c>
      <c r="G1266" s="6">
        <f t="shared" si="39"/>
        <v>29</v>
      </c>
      <c r="H1266" s="1">
        <f>SUMIF('Retal Tran Line Item'!E:E,A1266,'Retal Tran Line Item'!B:B)</f>
        <v>22</v>
      </c>
    </row>
    <row r="1267" spans="1:8">
      <c r="A1267" s="1">
        <v>101265</v>
      </c>
      <c r="B1267" s="1">
        <v>158528</v>
      </c>
      <c r="C1267" s="2">
        <v>41475</v>
      </c>
      <c r="D1267" s="1" t="s">
        <v>1993</v>
      </c>
      <c r="E1267" s="6">
        <v>2</v>
      </c>
      <c r="F1267" s="6" t="str">
        <f t="shared" si="38"/>
        <v>July</v>
      </c>
      <c r="G1267" s="6">
        <f t="shared" si="39"/>
        <v>29</v>
      </c>
      <c r="H1267" s="1">
        <f>SUMIF('Retal Tran Line Item'!E:E,A1267,'Retal Tran Line Item'!B:B)</f>
        <v>1</v>
      </c>
    </row>
    <row r="1268" spans="1:8">
      <c r="A1268" s="1">
        <v>101266</v>
      </c>
      <c r="B1268" s="1">
        <v>689877</v>
      </c>
      <c r="C1268" s="2">
        <v>41475</v>
      </c>
      <c r="D1268" s="1" t="s">
        <v>1994</v>
      </c>
      <c r="E1268" s="6">
        <v>1</v>
      </c>
      <c r="F1268" s="6" t="str">
        <f t="shared" si="38"/>
        <v>July</v>
      </c>
      <c r="G1268" s="6">
        <f t="shared" si="39"/>
        <v>29</v>
      </c>
      <c r="H1268" s="1">
        <f>SUMIF('Retal Tran Line Item'!E:E,A1268,'Retal Tran Line Item'!B:B)</f>
        <v>8</v>
      </c>
    </row>
    <row r="1269" spans="1:8">
      <c r="A1269" s="1">
        <v>101267</v>
      </c>
      <c r="B1269" s="1">
        <v>550661</v>
      </c>
      <c r="C1269" s="2">
        <v>41475</v>
      </c>
      <c r="D1269" s="1" t="s">
        <v>1992</v>
      </c>
      <c r="E1269" s="6">
        <v>2</v>
      </c>
      <c r="F1269" s="6" t="str">
        <f t="shared" si="38"/>
        <v>July</v>
      </c>
      <c r="G1269" s="6">
        <f t="shared" si="39"/>
        <v>29</v>
      </c>
      <c r="H1269" s="1">
        <f>SUMIF('Retal Tran Line Item'!E:E,A1269,'Retal Tran Line Item'!B:B)</f>
        <v>7</v>
      </c>
    </row>
    <row r="1270" spans="1:8">
      <c r="A1270" s="1">
        <v>101268</v>
      </c>
      <c r="B1270" s="1">
        <v>160392</v>
      </c>
      <c r="C1270" s="2">
        <v>41476</v>
      </c>
      <c r="D1270" s="1" t="s">
        <v>1989</v>
      </c>
      <c r="E1270" s="6">
        <v>2</v>
      </c>
      <c r="F1270" s="6" t="str">
        <f t="shared" si="38"/>
        <v>July</v>
      </c>
      <c r="G1270" s="6">
        <f t="shared" si="39"/>
        <v>30</v>
      </c>
      <c r="H1270" s="1">
        <f>SUMIF('Retal Tran Line Item'!E:E,A1270,'Retal Tran Line Item'!B:B)</f>
        <v>9</v>
      </c>
    </row>
    <row r="1271" spans="1:8">
      <c r="A1271" s="1">
        <v>101269</v>
      </c>
      <c r="B1271" s="1">
        <v>304344</v>
      </c>
      <c r="C1271" s="2">
        <v>41476</v>
      </c>
      <c r="D1271" s="1" t="s">
        <v>1993</v>
      </c>
      <c r="E1271" s="6">
        <v>2</v>
      </c>
      <c r="F1271" s="6" t="str">
        <f t="shared" si="38"/>
        <v>July</v>
      </c>
      <c r="G1271" s="6">
        <f t="shared" si="39"/>
        <v>30</v>
      </c>
      <c r="H1271" s="1">
        <f>SUMIF('Retal Tran Line Item'!E:E,A1271,'Retal Tran Line Item'!B:B)</f>
        <v>2</v>
      </c>
    </row>
    <row r="1272" spans="1:8">
      <c r="A1272" s="1">
        <v>101270</v>
      </c>
      <c r="B1272" s="1">
        <v>766737</v>
      </c>
      <c r="C1272" s="2">
        <v>41476</v>
      </c>
      <c r="D1272" s="1" t="s">
        <v>1994</v>
      </c>
      <c r="E1272" s="6">
        <v>2</v>
      </c>
      <c r="F1272" s="6" t="str">
        <f t="shared" si="38"/>
        <v>July</v>
      </c>
      <c r="G1272" s="6">
        <f t="shared" si="39"/>
        <v>30</v>
      </c>
      <c r="H1272" s="1">
        <f>SUMIF('Retal Tran Line Item'!E:E,A1272,'Retal Tran Line Item'!B:B)</f>
        <v>10</v>
      </c>
    </row>
    <row r="1273" spans="1:8">
      <c r="A1273" s="1">
        <v>101271</v>
      </c>
      <c r="B1273" s="1">
        <v>270853</v>
      </c>
      <c r="C1273" s="2">
        <v>41476</v>
      </c>
      <c r="D1273" s="1" t="s">
        <v>1992</v>
      </c>
      <c r="E1273" s="6">
        <v>1</v>
      </c>
      <c r="F1273" s="6" t="str">
        <f t="shared" si="38"/>
        <v>July</v>
      </c>
      <c r="G1273" s="6">
        <f t="shared" si="39"/>
        <v>30</v>
      </c>
      <c r="H1273" s="1">
        <f>SUMIF('Retal Tran Line Item'!E:E,A1273,'Retal Tran Line Item'!B:B)</f>
        <v>16</v>
      </c>
    </row>
    <row r="1274" spans="1:8">
      <c r="A1274" s="1">
        <v>101272</v>
      </c>
      <c r="B1274" s="1">
        <v>344702</v>
      </c>
      <c r="C1274" s="2">
        <v>41476</v>
      </c>
      <c r="D1274" s="1" t="s">
        <v>1992</v>
      </c>
      <c r="E1274" s="6">
        <v>1</v>
      </c>
      <c r="F1274" s="6" t="str">
        <f t="shared" si="38"/>
        <v>July</v>
      </c>
      <c r="G1274" s="6">
        <f t="shared" si="39"/>
        <v>30</v>
      </c>
      <c r="H1274" s="1">
        <f>SUMIF('Retal Tran Line Item'!E:E,A1274,'Retal Tran Line Item'!B:B)</f>
        <v>4</v>
      </c>
    </row>
    <row r="1275" spans="1:8">
      <c r="A1275" s="1">
        <v>101273</v>
      </c>
      <c r="B1275" s="1">
        <v>932618</v>
      </c>
      <c r="C1275" s="2">
        <v>41476</v>
      </c>
      <c r="D1275" s="1" t="s">
        <v>1993</v>
      </c>
      <c r="E1275" s="6">
        <v>2</v>
      </c>
      <c r="F1275" s="6" t="str">
        <f t="shared" si="38"/>
        <v>July</v>
      </c>
      <c r="G1275" s="6">
        <f t="shared" si="39"/>
        <v>30</v>
      </c>
      <c r="H1275" s="1">
        <f>SUMIF('Retal Tran Line Item'!E:E,A1275,'Retal Tran Line Item'!B:B)</f>
        <v>6</v>
      </c>
    </row>
    <row r="1276" spans="1:8">
      <c r="A1276" s="1">
        <v>101274</v>
      </c>
      <c r="B1276" s="1">
        <v>897614</v>
      </c>
      <c r="C1276" s="2">
        <v>41476</v>
      </c>
      <c r="D1276" s="1" t="s">
        <v>1994</v>
      </c>
      <c r="E1276" s="6">
        <v>1</v>
      </c>
      <c r="F1276" s="6" t="str">
        <f t="shared" si="38"/>
        <v>July</v>
      </c>
      <c r="G1276" s="6">
        <f t="shared" si="39"/>
        <v>30</v>
      </c>
      <c r="H1276" s="1">
        <f>SUMIF('Retal Tran Line Item'!E:E,A1276,'Retal Tran Line Item'!B:B)</f>
        <v>8</v>
      </c>
    </row>
    <row r="1277" spans="1:8">
      <c r="A1277" s="1">
        <v>101275</v>
      </c>
      <c r="B1277" s="1">
        <v>999915</v>
      </c>
      <c r="C1277" s="2">
        <v>41476</v>
      </c>
      <c r="D1277" s="1" t="s">
        <v>1989</v>
      </c>
      <c r="E1277" s="6">
        <v>1</v>
      </c>
      <c r="F1277" s="6" t="str">
        <f t="shared" si="38"/>
        <v>July</v>
      </c>
      <c r="G1277" s="6">
        <f t="shared" si="39"/>
        <v>30</v>
      </c>
      <c r="H1277" s="1">
        <f>SUMIF('Retal Tran Line Item'!E:E,A1277,'Retal Tran Line Item'!B:B)</f>
        <v>40</v>
      </c>
    </row>
    <row r="1278" spans="1:8">
      <c r="A1278" s="1">
        <v>101276</v>
      </c>
      <c r="B1278" s="1">
        <v>305005</v>
      </c>
      <c r="C1278" s="2">
        <v>41476</v>
      </c>
      <c r="D1278" s="1" t="s">
        <v>1993</v>
      </c>
      <c r="E1278" s="6">
        <v>2</v>
      </c>
      <c r="F1278" s="6" t="str">
        <f t="shared" si="38"/>
        <v>July</v>
      </c>
      <c r="G1278" s="6">
        <f t="shared" si="39"/>
        <v>30</v>
      </c>
      <c r="H1278" s="1">
        <f>SUMIF('Retal Tran Line Item'!E:E,A1278,'Retal Tran Line Item'!B:B)</f>
        <v>14</v>
      </c>
    </row>
    <row r="1279" spans="1:8">
      <c r="A1279" s="1">
        <v>101277</v>
      </c>
      <c r="B1279" s="1">
        <v>563468</v>
      </c>
      <c r="C1279" s="2">
        <v>41476</v>
      </c>
      <c r="D1279" s="1" t="s">
        <v>1992</v>
      </c>
      <c r="E1279" s="6">
        <v>1</v>
      </c>
      <c r="F1279" s="6" t="str">
        <f t="shared" si="38"/>
        <v>July</v>
      </c>
      <c r="G1279" s="6">
        <f t="shared" si="39"/>
        <v>30</v>
      </c>
      <c r="H1279" s="1">
        <f>SUMIF('Retal Tran Line Item'!E:E,A1279,'Retal Tran Line Item'!B:B)</f>
        <v>33</v>
      </c>
    </row>
    <row r="1280" spans="1:8">
      <c r="A1280" s="1">
        <v>101278</v>
      </c>
      <c r="B1280" s="1">
        <v>592592</v>
      </c>
      <c r="C1280" s="2">
        <v>41477</v>
      </c>
      <c r="D1280" s="1" t="s">
        <v>1993</v>
      </c>
      <c r="E1280" s="6">
        <v>2</v>
      </c>
      <c r="F1280" s="6" t="str">
        <f t="shared" si="38"/>
        <v>July</v>
      </c>
      <c r="G1280" s="6">
        <f t="shared" si="39"/>
        <v>30</v>
      </c>
      <c r="H1280" s="1">
        <f>SUMIF('Retal Tran Line Item'!E:E,A1280,'Retal Tran Line Item'!B:B)</f>
        <v>18</v>
      </c>
    </row>
    <row r="1281" spans="1:8">
      <c r="A1281" s="1">
        <v>101279</v>
      </c>
      <c r="B1281" s="1">
        <v>520196</v>
      </c>
      <c r="C1281" s="2">
        <v>41477</v>
      </c>
      <c r="D1281" s="1" t="s">
        <v>1992</v>
      </c>
      <c r="E1281" s="6">
        <v>2</v>
      </c>
      <c r="F1281" s="6" t="str">
        <f t="shared" si="38"/>
        <v>July</v>
      </c>
      <c r="G1281" s="6">
        <f t="shared" si="39"/>
        <v>30</v>
      </c>
      <c r="H1281" s="1">
        <f>SUMIF('Retal Tran Line Item'!E:E,A1281,'Retal Tran Line Item'!B:B)</f>
        <v>6</v>
      </c>
    </row>
    <row r="1282" spans="1:8">
      <c r="A1282" s="1">
        <v>101280</v>
      </c>
      <c r="B1282" s="1">
        <v>189441</v>
      </c>
      <c r="C1282" s="2">
        <v>41477</v>
      </c>
      <c r="D1282" s="1" t="s">
        <v>1989</v>
      </c>
      <c r="E1282" s="6">
        <v>1</v>
      </c>
      <c r="F1282" s="6" t="str">
        <f t="shared" si="38"/>
        <v>July</v>
      </c>
      <c r="G1282" s="6">
        <f t="shared" si="39"/>
        <v>30</v>
      </c>
      <c r="H1282" s="1">
        <f>SUMIF('Retal Tran Line Item'!E:E,A1282,'Retal Tran Line Item'!B:B)</f>
        <v>7</v>
      </c>
    </row>
    <row r="1283" spans="1:8">
      <c r="A1283" s="1">
        <v>101281</v>
      </c>
      <c r="B1283" s="1">
        <v>955591</v>
      </c>
      <c r="C1283" s="2">
        <v>41477</v>
      </c>
      <c r="D1283" s="1" t="s">
        <v>1993</v>
      </c>
      <c r="E1283" s="6">
        <v>1</v>
      </c>
      <c r="F1283" s="6" t="str">
        <f t="shared" ref="F1283:F1346" si="40">TEXT(C1283,"MMMM")</f>
        <v>July</v>
      </c>
      <c r="G1283" s="6">
        <f t="shared" ref="G1283:G1346" si="41">WEEKNUM(C1283)</f>
        <v>30</v>
      </c>
      <c r="H1283" s="1">
        <f>SUMIF('Retal Tran Line Item'!E:E,A1283,'Retal Tran Line Item'!B:B)</f>
        <v>13</v>
      </c>
    </row>
    <row r="1284" spans="1:8">
      <c r="A1284" s="1">
        <v>101282</v>
      </c>
      <c r="B1284" s="1">
        <v>575041</v>
      </c>
      <c r="C1284" s="2">
        <v>41477</v>
      </c>
      <c r="D1284" s="1" t="s">
        <v>1994</v>
      </c>
      <c r="E1284" s="6">
        <v>2</v>
      </c>
      <c r="F1284" s="6" t="str">
        <f t="shared" si="40"/>
        <v>July</v>
      </c>
      <c r="G1284" s="6">
        <f t="shared" si="41"/>
        <v>30</v>
      </c>
      <c r="H1284" s="1">
        <f>SUMIF('Retal Tran Line Item'!E:E,A1284,'Retal Tran Line Item'!B:B)</f>
        <v>1</v>
      </c>
    </row>
    <row r="1285" spans="1:8">
      <c r="A1285" s="1">
        <v>101283</v>
      </c>
      <c r="B1285" s="1">
        <v>378374</v>
      </c>
      <c r="C1285" s="2">
        <v>41477</v>
      </c>
      <c r="D1285" s="1" t="s">
        <v>1994</v>
      </c>
      <c r="E1285" s="6">
        <v>2</v>
      </c>
      <c r="F1285" s="6" t="str">
        <f t="shared" si="40"/>
        <v>July</v>
      </c>
      <c r="G1285" s="6">
        <f t="shared" si="41"/>
        <v>30</v>
      </c>
      <c r="H1285" s="1">
        <f>SUMIF('Retal Tran Line Item'!E:E,A1285,'Retal Tran Line Item'!B:B)</f>
        <v>13</v>
      </c>
    </row>
    <row r="1286" spans="1:8">
      <c r="A1286" s="1">
        <v>101284</v>
      </c>
      <c r="B1286" s="1">
        <v>618955</v>
      </c>
      <c r="C1286" s="2">
        <v>41477</v>
      </c>
      <c r="D1286" s="1" t="s">
        <v>1992</v>
      </c>
      <c r="E1286" s="6">
        <v>2</v>
      </c>
      <c r="F1286" s="6" t="str">
        <f t="shared" si="40"/>
        <v>July</v>
      </c>
      <c r="G1286" s="6">
        <f t="shared" si="41"/>
        <v>30</v>
      </c>
      <c r="H1286" s="1">
        <f>SUMIF('Retal Tran Line Item'!E:E,A1286,'Retal Tran Line Item'!B:B)</f>
        <v>8</v>
      </c>
    </row>
    <row r="1287" spans="1:8">
      <c r="A1287" s="1">
        <v>101285</v>
      </c>
      <c r="B1287" s="1">
        <v>304344</v>
      </c>
      <c r="C1287" s="2">
        <v>41477</v>
      </c>
      <c r="D1287" s="1" t="s">
        <v>1993</v>
      </c>
      <c r="E1287" s="6">
        <v>2</v>
      </c>
      <c r="F1287" s="6" t="str">
        <f t="shared" si="40"/>
        <v>July</v>
      </c>
      <c r="G1287" s="6">
        <f t="shared" si="41"/>
        <v>30</v>
      </c>
      <c r="H1287" s="1">
        <f>SUMIF('Retal Tran Line Item'!E:E,A1287,'Retal Tran Line Item'!B:B)</f>
        <v>14</v>
      </c>
    </row>
    <row r="1288" spans="1:8">
      <c r="A1288" s="1">
        <v>101286</v>
      </c>
      <c r="B1288" s="1">
        <v>175940</v>
      </c>
      <c r="C1288" s="2">
        <v>41477</v>
      </c>
      <c r="D1288" s="1" t="s">
        <v>1993</v>
      </c>
      <c r="E1288" s="6">
        <v>1</v>
      </c>
      <c r="F1288" s="6" t="str">
        <f t="shared" si="40"/>
        <v>July</v>
      </c>
      <c r="G1288" s="6">
        <f t="shared" si="41"/>
        <v>30</v>
      </c>
      <c r="H1288" s="1">
        <f>SUMIF('Retal Tran Line Item'!E:E,A1288,'Retal Tran Line Item'!B:B)</f>
        <v>9</v>
      </c>
    </row>
    <row r="1289" spans="1:8">
      <c r="A1289" s="1">
        <v>101287</v>
      </c>
      <c r="B1289" s="1">
        <v>147216</v>
      </c>
      <c r="C1289" s="2">
        <v>41478</v>
      </c>
      <c r="D1289" s="1" t="s">
        <v>1993</v>
      </c>
      <c r="E1289" s="6">
        <v>1</v>
      </c>
      <c r="F1289" s="6" t="str">
        <f t="shared" si="40"/>
        <v>July</v>
      </c>
      <c r="G1289" s="6">
        <f t="shared" si="41"/>
        <v>30</v>
      </c>
      <c r="H1289" s="1">
        <f>SUMIF('Retal Tran Line Item'!E:E,A1289,'Retal Tran Line Item'!B:B)</f>
        <v>2</v>
      </c>
    </row>
    <row r="1290" spans="1:8">
      <c r="A1290" s="1">
        <v>101288</v>
      </c>
      <c r="B1290" s="1">
        <v>777145</v>
      </c>
      <c r="C1290" s="2">
        <v>41478</v>
      </c>
      <c r="D1290" s="1" t="s">
        <v>1992</v>
      </c>
      <c r="E1290" s="6">
        <v>2</v>
      </c>
      <c r="F1290" s="6" t="str">
        <f t="shared" si="40"/>
        <v>July</v>
      </c>
      <c r="G1290" s="6">
        <f t="shared" si="41"/>
        <v>30</v>
      </c>
      <c r="H1290" s="1">
        <f>SUMIF('Retal Tran Line Item'!E:E,A1290,'Retal Tran Line Item'!B:B)</f>
        <v>9</v>
      </c>
    </row>
    <row r="1291" spans="1:8">
      <c r="A1291" s="1">
        <v>101289</v>
      </c>
      <c r="B1291" s="1">
        <v>524667</v>
      </c>
      <c r="C1291" s="2">
        <v>41478</v>
      </c>
      <c r="D1291" s="1" t="s">
        <v>1994</v>
      </c>
      <c r="E1291" s="6">
        <v>2</v>
      </c>
      <c r="F1291" s="6" t="str">
        <f t="shared" si="40"/>
        <v>July</v>
      </c>
      <c r="G1291" s="6">
        <f t="shared" si="41"/>
        <v>30</v>
      </c>
      <c r="H1291" s="1">
        <f>SUMIF('Retal Tran Line Item'!E:E,A1291,'Retal Tran Line Item'!B:B)</f>
        <v>6</v>
      </c>
    </row>
    <row r="1292" spans="1:8">
      <c r="A1292" s="1">
        <v>101290</v>
      </c>
      <c r="B1292" s="1">
        <v>344702</v>
      </c>
      <c r="C1292" s="2">
        <v>41478</v>
      </c>
      <c r="D1292" s="1" t="s">
        <v>1992</v>
      </c>
      <c r="E1292" s="6">
        <v>1</v>
      </c>
      <c r="F1292" s="6" t="str">
        <f t="shared" si="40"/>
        <v>July</v>
      </c>
      <c r="G1292" s="6">
        <f t="shared" si="41"/>
        <v>30</v>
      </c>
      <c r="H1292" s="1">
        <f>SUMIF('Retal Tran Line Item'!E:E,A1292,'Retal Tran Line Item'!B:B)</f>
        <v>17</v>
      </c>
    </row>
    <row r="1293" spans="1:8">
      <c r="A1293" s="1">
        <v>101291</v>
      </c>
      <c r="B1293" s="1">
        <v>233813</v>
      </c>
      <c r="C1293" s="2">
        <v>41478</v>
      </c>
      <c r="D1293" s="1" t="s">
        <v>1993</v>
      </c>
      <c r="E1293" s="6">
        <v>1</v>
      </c>
      <c r="F1293" s="6" t="str">
        <f t="shared" si="40"/>
        <v>July</v>
      </c>
      <c r="G1293" s="6">
        <f t="shared" si="41"/>
        <v>30</v>
      </c>
      <c r="H1293" s="1">
        <f>SUMIF('Retal Tran Line Item'!E:E,A1293,'Retal Tran Line Item'!B:B)</f>
        <v>6</v>
      </c>
    </row>
    <row r="1294" spans="1:8">
      <c r="A1294" s="1">
        <v>101292</v>
      </c>
      <c r="B1294" s="1">
        <v>643305</v>
      </c>
      <c r="C1294" s="2">
        <v>41478</v>
      </c>
      <c r="D1294" s="1" t="s">
        <v>1992</v>
      </c>
      <c r="E1294" s="6">
        <v>1</v>
      </c>
      <c r="F1294" s="6" t="str">
        <f t="shared" si="40"/>
        <v>July</v>
      </c>
      <c r="G1294" s="6">
        <f t="shared" si="41"/>
        <v>30</v>
      </c>
      <c r="H1294" s="1">
        <f>SUMIF('Retal Tran Line Item'!E:E,A1294,'Retal Tran Line Item'!B:B)</f>
        <v>20</v>
      </c>
    </row>
    <row r="1295" spans="1:8">
      <c r="A1295" s="1">
        <v>101293</v>
      </c>
      <c r="B1295" s="1">
        <v>586201</v>
      </c>
      <c r="C1295" s="2">
        <v>41478</v>
      </c>
      <c r="D1295" s="1" t="s">
        <v>1992</v>
      </c>
      <c r="E1295" s="6">
        <v>1</v>
      </c>
      <c r="F1295" s="6" t="str">
        <f t="shared" si="40"/>
        <v>July</v>
      </c>
      <c r="G1295" s="6">
        <f t="shared" si="41"/>
        <v>30</v>
      </c>
      <c r="H1295" s="1">
        <f>SUMIF('Retal Tran Line Item'!E:E,A1295,'Retal Tran Line Item'!B:B)</f>
        <v>17</v>
      </c>
    </row>
    <row r="1296" spans="1:8">
      <c r="A1296" s="1">
        <v>101294</v>
      </c>
      <c r="B1296" s="1">
        <v>796796</v>
      </c>
      <c r="C1296" s="2">
        <v>41479</v>
      </c>
      <c r="D1296" s="1" t="s">
        <v>1992</v>
      </c>
      <c r="E1296" s="6">
        <v>1</v>
      </c>
      <c r="F1296" s="6" t="str">
        <f t="shared" si="40"/>
        <v>July</v>
      </c>
      <c r="G1296" s="6">
        <f t="shared" si="41"/>
        <v>30</v>
      </c>
      <c r="H1296" s="1">
        <f>SUMIF('Retal Tran Line Item'!E:E,A1296,'Retal Tran Line Item'!B:B)</f>
        <v>6</v>
      </c>
    </row>
    <row r="1297" spans="1:8">
      <c r="A1297" s="1">
        <v>101295</v>
      </c>
      <c r="B1297" s="1">
        <v>296208</v>
      </c>
      <c r="C1297" s="2">
        <v>41479</v>
      </c>
      <c r="D1297" s="1" t="s">
        <v>1993</v>
      </c>
      <c r="E1297" s="6">
        <v>2</v>
      </c>
      <c r="F1297" s="6" t="str">
        <f t="shared" si="40"/>
        <v>July</v>
      </c>
      <c r="G1297" s="6">
        <f t="shared" si="41"/>
        <v>30</v>
      </c>
      <c r="H1297" s="1">
        <f>SUMIF('Retal Tran Line Item'!E:E,A1297,'Retal Tran Line Item'!B:B)</f>
        <v>9</v>
      </c>
    </row>
    <row r="1298" spans="1:8">
      <c r="A1298" s="1">
        <v>101296</v>
      </c>
      <c r="B1298" s="1">
        <v>884368</v>
      </c>
      <c r="C1298" s="2">
        <v>41479</v>
      </c>
      <c r="D1298" s="1" t="s">
        <v>1993</v>
      </c>
      <c r="E1298" s="6">
        <v>2</v>
      </c>
      <c r="F1298" s="6" t="str">
        <f t="shared" si="40"/>
        <v>July</v>
      </c>
      <c r="G1298" s="6">
        <f t="shared" si="41"/>
        <v>30</v>
      </c>
      <c r="H1298" s="1">
        <f>SUMIF('Retal Tran Line Item'!E:E,A1298,'Retal Tran Line Item'!B:B)</f>
        <v>5</v>
      </c>
    </row>
    <row r="1299" spans="1:8">
      <c r="A1299" s="1">
        <v>101297</v>
      </c>
      <c r="B1299" s="1">
        <v>890497</v>
      </c>
      <c r="C1299" s="2">
        <v>41479</v>
      </c>
      <c r="D1299" s="1" t="s">
        <v>1992</v>
      </c>
      <c r="E1299" s="6">
        <v>1</v>
      </c>
      <c r="F1299" s="6" t="str">
        <f t="shared" si="40"/>
        <v>July</v>
      </c>
      <c r="G1299" s="6">
        <f t="shared" si="41"/>
        <v>30</v>
      </c>
      <c r="H1299" s="1">
        <f>SUMIF('Retal Tran Line Item'!E:E,A1299,'Retal Tran Line Item'!B:B)</f>
        <v>11</v>
      </c>
    </row>
    <row r="1300" spans="1:8">
      <c r="A1300" s="1">
        <v>101298</v>
      </c>
      <c r="B1300" s="1">
        <v>992895</v>
      </c>
      <c r="C1300" s="2">
        <v>41479</v>
      </c>
      <c r="D1300" s="1" t="s">
        <v>1993</v>
      </c>
      <c r="E1300" s="6">
        <v>2</v>
      </c>
      <c r="F1300" s="6" t="str">
        <f t="shared" si="40"/>
        <v>July</v>
      </c>
      <c r="G1300" s="6">
        <f t="shared" si="41"/>
        <v>30</v>
      </c>
      <c r="H1300" s="1">
        <f>SUMIF('Retal Tran Line Item'!E:E,A1300,'Retal Tran Line Item'!B:B)</f>
        <v>9</v>
      </c>
    </row>
    <row r="1301" spans="1:8">
      <c r="A1301" s="1">
        <v>101299</v>
      </c>
      <c r="B1301" s="1">
        <v>242720</v>
      </c>
      <c r="C1301" s="2">
        <v>41479</v>
      </c>
      <c r="D1301" s="1" t="s">
        <v>1989</v>
      </c>
      <c r="E1301" s="6">
        <v>2</v>
      </c>
      <c r="F1301" s="6" t="str">
        <f t="shared" si="40"/>
        <v>July</v>
      </c>
      <c r="G1301" s="6">
        <f t="shared" si="41"/>
        <v>30</v>
      </c>
      <c r="H1301" s="1">
        <f>SUMIF('Retal Tran Line Item'!E:E,A1301,'Retal Tran Line Item'!B:B)</f>
        <v>8</v>
      </c>
    </row>
    <row r="1302" spans="1:8">
      <c r="A1302" s="1">
        <v>101300</v>
      </c>
      <c r="B1302" s="1">
        <v>233956</v>
      </c>
      <c r="C1302" s="2">
        <v>41479</v>
      </c>
      <c r="D1302" s="1" t="s">
        <v>1992</v>
      </c>
      <c r="E1302" s="6">
        <v>1</v>
      </c>
      <c r="F1302" s="6" t="str">
        <f t="shared" si="40"/>
        <v>July</v>
      </c>
      <c r="G1302" s="6">
        <f t="shared" si="41"/>
        <v>30</v>
      </c>
      <c r="H1302" s="1">
        <f>SUMIF('Retal Tran Line Item'!E:E,A1302,'Retal Tran Line Item'!B:B)</f>
        <v>10</v>
      </c>
    </row>
    <row r="1303" spans="1:8">
      <c r="A1303" s="1">
        <v>101301</v>
      </c>
      <c r="B1303" s="1">
        <v>204295</v>
      </c>
      <c r="C1303" s="2">
        <v>41479</v>
      </c>
      <c r="D1303" s="1" t="s">
        <v>1992</v>
      </c>
      <c r="E1303" s="6">
        <v>1</v>
      </c>
      <c r="F1303" s="6" t="str">
        <f t="shared" si="40"/>
        <v>July</v>
      </c>
      <c r="G1303" s="6">
        <f t="shared" si="41"/>
        <v>30</v>
      </c>
      <c r="H1303" s="1">
        <f>SUMIF('Retal Tran Line Item'!E:E,A1303,'Retal Tran Line Item'!B:B)</f>
        <v>12</v>
      </c>
    </row>
    <row r="1304" spans="1:8">
      <c r="A1304" s="1">
        <v>101302</v>
      </c>
      <c r="B1304" s="1">
        <v>480298</v>
      </c>
      <c r="C1304" s="2">
        <v>41479</v>
      </c>
      <c r="D1304" s="1" t="s">
        <v>1993</v>
      </c>
      <c r="E1304" s="6">
        <v>2</v>
      </c>
      <c r="F1304" s="6" t="str">
        <f t="shared" si="40"/>
        <v>July</v>
      </c>
      <c r="G1304" s="6">
        <f t="shared" si="41"/>
        <v>30</v>
      </c>
      <c r="H1304" s="1">
        <f>SUMIF('Retal Tran Line Item'!E:E,A1304,'Retal Tran Line Item'!B:B)</f>
        <v>6</v>
      </c>
    </row>
    <row r="1305" spans="1:8">
      <c r="A1305" s="1">
        <v>101303</v>
      </c>
      <c r="B1305" s="1">
        <v>664411</v>
      </c>
      <c r="C1305" s="2">
        <v>41479</v>
      </c>
      <c r="D1305" s="1" t="s">
        <v>1992</v>
      </c>
      <c r="E1305" s="6">
        <v>1</v>
      </c>
      <c r="F1305" s="6" t="str">
        <f t="shared" si="40"/>
        <v>July</v>
      </c>
      <c r="G1305" s="6">
        <f t="shared" si="41"/>
        <v>30</v>
      </c>
      <c r="H1305" s="1">
        <f>SUMIF('Retal Tran Line Item'!E:E,A1305,'Retal Tran Line Item'!B:B)</f>
        <v>11</v>
      </c>
    </row>
    <row r="1306" spans="1:8">
      <c r="A1306" s="1">
        <v>101304</v>
      </c>
      <c r="B1306" s="1">
        <v>842028</v>
      </c>
      <c r="C1306" s="2">
        <v>41479</v>
      </c>
      <c r="D1306" s="1" t="s">
        <v>1993</v>
      </c>
      <c r="E1306" s="6">
        <v>2</v>
      </c>
      <c r="F1306" s="6" t="str">
        <f t="shared" si="40"/>
        <v>July</v>
      </c>
      <c r="G1306" s="6">
        <f t="shared" si="41"/>
        <v>30</v>
      </c>
      <c r="H1306" s="1">
        <f>SUMIF('Retal Tran Line Item'!E:E,A1306,'Retal Tran Line Item'!B:B)</f>
        <v>3</v>
      </c>
    </row>
    <row r="1307" spans="1:8">
      <c r="A1307" s="1">
        <v>101305</v>
      </c>
      <c r="B1307" s="1">
        <v>317807</v>
      </c>
      <c r="C1307" s="2">
        <v>41479</v>
      </c>
      <c r="D1307" s="1" t="s">
        <v>1993</v>
      </c>
      <c r="E1307" s="6">
        <v>2</v>
      </c>
      <c r="F1307" s="6" t="str">
        <f t="shared" si="40"/>
        <v>July</v>
      </c>
      <c r="G1307" s="6">
        <f t="shared" si="41"/>
        <v>30</v>
      </c>
      <c r="H1307" s="1">
        <f>SUMIF('Retal Tran Line Item'!E:E,A1307,'Retal Tran Line Item'!B:B)</f>
        <v>5</v>
      </c>
    </row>
    <row r="1308" spans="1:8">
      <c r="A1308" s="1">
        <v>101306</v>
      </c>
      <c r="B1308" s="1">
        <v>427391</v>
      </c>
      <c r="C1308" s="2">
        <v>41480</v>
      </c>
      <c r="D1308" s="1" t="s">
        <v>1992</v>
      </c>
      <c r="E1308" s="6">
        <v>2</v>
      </c>
      <c r="F1308" s="6" t="str">
        <f t="shared" si="40"/>
        <v>July</v>
      </c>
      <c r="G1308" s="6">
        <f t="shared" si="41"/>
        <v>30</v>
      </c>
      <c r="H1308" s="1">
        <f>SUMIF('Retal Tran Line Item'!E:E,A1308,'Retal Tran Line Item'!B:B)</f>
        <v>6</v>
      </c>
    </row>
    <row r="1309" spans="1:8">
      <c r="A1309" s="1">
        <v>101307</v>
      </c>
      <c r="B1309" s="1">
        <v>723057</v>
      </c>
      <c r="C1309" s="2">
        <v>41480</v>
      </c>
      <c r="D1309" s="1" t="s">
        <v>1993</v>
      </c>
      <c r="E1309" s="6">
        <v>2</v>
      </c>
      <c r="F1309" s="6" t="str">
        <f t="shared" si="40"/>
        <v>July</v>
      </c>
      <c r="G1309" s="6">
        <f t="shared" si="41"/>
        <v>30</v>
      </c>
      <c r="H1309" s="1">
        <f>SUMIF('Retal Tran Line Item'!E:E,A1309,'Retal Tran Line Item'!B:B)</f>
        <v>4</v>
      </c>
    </row>
    <row r="1310" spans="1:8">
      <c r="A1310" s="1">
        <v>101308</v>
      </c>
      <c r="B1310" s="1">
        <v>592726</v>
      </c>
      <c r="C1310" s="2">
        <v>41480</v>
      </c>
      <c r="D1310" s="1" t="s">
        <v>1993</v>
      </c>
      <c r="E1310" s="6">
        <v>1</v>
      </c>
      <c r="F1310" s="6" t="str">
        <f t="shared" si="40"/>
        <v>July</v>
      </c>
      <c r="G1310" s="6">
        <f t="shared" si="41"/>
        <v>30</v>
      </c>
      <c r="H1310" s="1">
        <f>SUMIF('Retal Tran Line Item'!E:E,A1310,'Retal Tran Line Item'!B:B)</f>
        <v>1</v>
      </c>
    </row>
    <row r="1311" spans="1:8">
      <c r="A1311" s="1">
        <v>101309</v>
      </c>
      <c r="B1311" s="1">
        <v>719921</v>
      </c>
      <c r="C1311" s="2">
        <v>41480</v>
      </c>
      <c r="D1311" s="1" t="s">
        <v>1993</v>
      </c>
      <c r="E1311" s="6">
        <v>2</v>
      </c>
      <c r="F1311" s="6" t="str">
        <f t="shared" si="40"/>
        <v>July</v>
      </c>
      <c r="G1311" s="6">
        <f t="shared" si="41"/>
        <v>30</v>
      </c>
      <c r="H1311" s="1">
        <f>SUMIF('Retal Tran Line Item'!E:E,A1311,'Retal Tran Line Item'!B:B)</f>
        <v>5</v>
      </c>
    </row>
    <row r="1312" spans="1:8">
      <c r="A1312" s="1">
        <v>101310</v>
      </c>
      <c r="B1312" s="1">
        <v>891738</v>
      </c>
      <c r="C1312" s="2">
        <v>41480</v>
      </c>
      <c r="D1312" s="1" t="s">
        <v>1994</v>
      </c>
      <c r="E1312" s="6">
        <v>2</v>
      </c>
      <c r="F1312" s="6" t="str">
        <f t="shared" si="40"/>
        <v>July</v>
      </c>
      <c r="G1312" s="6">
        <f t="shared" si="41"/>
        <v>30</v>
      </c>
      <c r="H1312" s="1">
        <f>SUMIF('Retal Tran Line Item'!E:E,A1312,'Retal Tran Line Item'!B:B)</f>
        <v>8</v>
      </c>
    </row>
    <row r="1313" spans="1:8">
      <c r="A1313" s="1">
        <v>101311</v>
      </c>
      <c r="B1313" s="1">
        <v>565259</v>
      </c>
      <c r="C1313" s="2">
        <v>41480</v>
      </c>
      <c r="D1313" s="1" t="s">
        <v>1992</v>
      </c>
      <c r="E1313" s="6">
        <v>2</v>
      </c>
      <c r="F1313" s="6" t="str">
        <f t="shared" si="40"/>
        <v>July</v>
      </c>
      <c r="G1313" s="6">
        <f t="shared" si="41"/>
        <v>30</v>
      </c>
      <c r="H1313" s="1">
        <f>SUMIF('Retal Tran Line Item'!E:E,A1313,'Retal Tran Line Item'!B:B)</f>
        <v>20</v>
      </c>
    </row>
    <row r="1314" spans="1:8">
      <c r="A1314" s="1">
        <v>101312</v>
      </c>
      <c r="B1314" s="1">
        <v>101811</v>
      </c>
      <c r="C1314" s="2">
        <v>41480</v>
      </c>
      <c r="D1314" s="1" t="s">
        <v>1993</v>
      </c>
      <c r="E1314" s="6">
        <v>2</v>
      </c>
      <c r="F1314" s="6" t="str">
        <f t="shared" si="40"/>
        <v>July</v>
      </c>
      <c r="G1314" s="6">
        <f t="shared" si="41"/>
        <v>30</v>
      </c>
      <c r="H1314" s="1">
        <f>SUMIF('Retal Tran Line Item'!E:E,A1314,'Retal Tran Line Item'!B:B)</f>
        <v>13</v>
      </c>
    </row>
    <row r="1315" spans="1:8">
      <c r="A1315" s="1">
        <v>101313</v>
      </c>
      <c r="B1315" s="1">
        <v>563468</v>
      </c>
      <c r="C1315" s="2">
        <v>41480</v>
      </c>
      <c r="D1315" s="1" t="s">
        <v>1992</v>
      </c>
      <c r="E1315" s="6">
        <v>2</v>
      </c>
      <c r="F1315" s="6" t="str">
        <f t="shared" si="40"/>
        <v>July</v>
      </c>
      <c r="G1315" s="6">
        <f t="shared" si="41"/>
        <v>30</v>
      </c>
      <c r="H1315" s="1">
        <f>SUMIF('Retal Tran Line Item'!E:E,A1315,'Retal Tran Line Item'!B:B)</f>
        <v>3</v>
      </c>
    </row>
    <row r="1316" spans="1:8">
      <c r="A1316" s="1">
        <v>101314</v>
      </c>
      <c r="B1316" s="1">
        <v>161942</v>
      </c>
      <c r="C1316" s="2">
        <v>41480</v>
      </c>
      <c r="D1316" s="1" t="s">
        <v>1993</v>
      </c>
      <c r="E1316" s="6">
        <v>2</v>
      </c>
      <c r="F1316" s="6" t="str">
        <f t="shared" si="40"/>
        <v>July</v>
      </c>
      <c r="G1316" s="6">
        <f t="shared" si="41"/>
        <v>30</v>
      </c>
      <c r="H1316" s="1">
        <f>SUMIF('Retal Tran Line Item'!E:E,A1316,'Retal Tran Line Item'!B:B)</f>
        <v>19</v>
      </c>
    </row>
    <row r="1317" spans="1:8">
      <c r="A1317" s="1">
        <v>101315</v>
      </c>
      <c r="B1317" s="1">
        <v>302774</v>
      </c>
      <c r="C1317" s="2">
        <v>41480</v>
      </c>
      <c r="D1317" s="1" t="s">
        <v>1992</v>
      </c>
      <c r="E1317" s="6">
        <v>2</v>
      </c>
      <c r="F1317" s="6" t="str">
        <f t="shared" si="40"/>
        <v>July</v>
      </c>
      <c r="G1317" s="6">
        <f t="shared" si="41"/>
        <v>30</v>
      </c>
      <c r="H1317" s="1">
        <f>SUMIF('Retal Tran Line Item'!E:E,A1317,'Retal Tran Line Item'!B:B)</f>
        <v>2</v>
      </c>
    </row>
    <row r="1318" spans="1:8">
      <c r="A1318" s="1">
        <v>101316</v>
      </c>
      <c r="B1318" s="1">
        <v>796796</v>
      </c>
      <c r="C1318" s="2">
        <v>41480</v>
      </c>
      <c r="D1318" s="1" t="s">
        <v>1992</v>
      </c>
      <c r="E1318" s="6">
        <v>2</v>
      </c>
      <c r="F1318" s="6" t="str">
        <f t="shared" si="40"/>
        <v>July</v>
      </c>
      <c r="G1318" s="6">
        <f t="shared" si="41"/>
        <v>30</v>
      </c>
      <c r="H1318" s="1">
        <f>SUMIF('Retal Tran Line Item'!E:E,A1318,'Retal Tran Line Item'!B:B)</f>
        <v>21</v>
      </c>
    </row>
    <row r="1319" spans="1:8">
      <c r="A1319" s="1">
        <v>101317</v>
      </c>
      <c r="B1319" s="1">
        <v>317807</v>
      </c>
      <c r="C1319" s="2">
        <v>41480</v>
      </c>
      <c r="D1319" s="1" t="s">
        <v>1993</v>
      </c>
      <c r="E1319" s="6">
        <v>1</v>
      </c>
      <c r="F1319" s="6" t="str">
        <f t="shared" si="40"/>
        <v>July</v>
      </c>
      <c r="G1319" s="6">
        <f t="shared" si="41"/>
        <v>30</v>
      </c>
      <c r="H1319" s="1">
        <f>SUMIF('Retal Tran Line Item'!E:E,A1319,'Retal Tran Line Item'!B:B)</f>
        <v>2</v>
      </c>
    </row>
    <row r="1320" spans="1:8">
      <c r="A1320" s="1">
        <v>101318</v>
      </c>
      <c r="B1320" s="1">
        <v>627324</v>
      </c>
      <c r="C1320" s="2">
        <v>41480</v>
      </c>
      <c r="D1320" s="1" t="s">
        <v>1989</v>
      </c>
      <c r="E1320" s="6">
        <v>1</v>
      </c>
      <c r="F1320" s="6" t="str">
        <f t="shared" si="40"/>
        <v>July</v>
      </c>
      <c r="G1320" s="6">
        <f t="shared" si="41"/>
        <v>30</v>
      </c>
      <c r="H1320" s="1">
        <f>SUMIF('Retal Tran Line Item'!E:E,A1320,'Retal Tran Line Item'!B:B)</f>
        <v>10</v>
      </c>
    </row>
    <row r="1321" spans="1:8">
      <c r="A1321" s="1">
        <v>101319</v>
      </c>
      <c r="B1321" s="1">
        <v>417823</v>
      </c>
      <c r="C1321" s="2">
        <v>41480</v>
      </c>
      <c r="D1321" s="1" t="s">
        <v>1993</v>
      </c>
      <c r="E1321" s="6">
        <v>2</v>
      </c>
      <c r="F1321" s="6" t="str">
        <f t="shared" si="40"/>
        <v>July</v>
      </c>
      <c r="G1321" s="6">
        <f t="shared" si="41"/>
        <v>30</v>
      </c>
      <c r="H1321" s="1">
        <f>SUMIF('Retal Tran Line Item'!E:E,A1321,'Retal Tran Line Item'!B:B)</f>
        <v>5</v>
      </c>
    </row>
    <row r="1322" spans="1:8">
      <c r="A1322" s="1">
        <v>101320</v>
      </c>
      <c r="B1322" s="1">
        <v>911171</v>
      </c>
      <c r="C1322" s="2">
        <v>41480</v>
      </c>
      <c r="D1322" s="1" t="s">
        <v>1992</v>
      </c>
      <c r="E1322" s="6">
        <v>2</v>
      </c>
      <c r="F1322" s="6" t="str">
        <f t="shared" si="40"/>
        <v>July</v>
      </c>
      <c r="G1322" s="6">
        <f t="shared" si="41"/>
        <v>30</v>
      </c>
      <c r="H1322" s="1">
        <f>SUMIF('Retal Tran Line Item'!E:E,A1322,'Retal Tran Line Item'!B:B)</f>
        <v>15</v>
      </c>
    </row>
    <row r="1323" spans="1:8">
      <c r="A1323" s="1">
        <v>101321</v>
      </c>
      <c r="B1323" s="1">
        <v>996970</v>
      </c>
      <c r="C1323" s="2">
        <v>41480</v>
      </c>
      <c r="D1323" s="1" t="s">
        <v>1993</v>
      </c>
      <c r="E1323" s="6">
        <v>2</v>
      </c>
      <c r="F1323" s="6" t="str">
        <f t="shared" si="40"/>
        <v>July</v>
      </c>
      <c r="G1323" s="6">
        <f t="shared" si="41"/>
        <v>30</v>
      </c>
      <c r="H1323" s="1">
        <f>SUMIF('Retal Tran Line Item'!E:E,A1323,'Retal Tran Line Item'!B:B)</f>
        <v>2</v>
      </c>
    </row>
    <row r="1324" spans="1:8">
      <c r="A1324" s="1">
        <v>101322</v>
      </c>
      <c r="B1324" s="1">
        <v>433442</v>
      </c>
      <c r="C1324" s="2">
        <v>41481</v>
      </c>
      <c r="D1324" s="1" t="s">
        <v>1989</v>
      </c>
      <c r="E1324" s="6">
        <v>2</v>
      </c>
      <c r="F1324" s="6" t="str">
        <f t="shared" si="40"/>
        <v>July</v>
      </c>
      <c r="G1324" s="6">
        <f t="shared" si="41"/>
        <v>30</v>
      </c>
      <c r="H1324" s="1">
        <f>SUMIF('Retal Tran Line Item'!E:E,A1324,'Retal Tran Line Item'!B:B)</f>
        <v>11</v>
      </c>
    </row>
    <row r="1325" spans="1:8">
      <c r="A1325" s="1">
        <v>101323</v>
      </c>
      <c r="B1325" s="1">
        <v>676155</v>
      </c>
      <c r="C1325" s="2">
        <v>41481</v>
      </c>
      <c r="D1325" s="1" t="s">
        <v>1992</v>
      </c>
      <c r="E1325" s="6">
        <v>2</v>
      </c>
      <c r="F1325" s="6" t="str">
        <f t="shared" si="40"/>
        <v>July</v>
      </c>
      <c r="G1325" s="6">
        <f t="shared" si="41"/>
        <v>30</v>
      </c>
      <c r="H1325" s="1">
        <f>SUMIF('Retal Tran Line Item'!E:E,A1325,'Retal Tran Line Item'!B:B)</f>
        <v>3</v>
      </c>
    </row>
    <row r="1326" spans="1:8">
      <c r="A1326" s="1">
        <v>101324</v>
      </c>
      <c r="B1326" s="1">
        <v>808421</v>
      </c>
      <c r="C1326" s="2">
        <v>41481</v>
      </c>
      <c r="D1326" s="1" t="s">
        <v>1989</v>
      </c>
      <c r="E1326" s="6">
        <v>1</v>
      </c>
      <c r="F1326" s="6" t="str">
        <f t="shared" si="40"/>
        <v>July</v>
      </c>
      <c r="G1326" s="6">
        <f t="shared" si="41"/>
        <v>30</v>
      </c>
      <c r="H1326" s="1">
        <f>SUMIF('Retal Tran Line Item'!E:E,A1326,'Retal Tran Line Item'!B:B)</f>
        <v>10</v>
      </c>
    </row>
    <row r="1327" spans="1:8">
      <c r="A1327" s="1">
        <v>101325</v>
      </c>
      <c r="B1327" s="1">
        <v>795957</v>
      </c>
      <c r="C1327" s="2">
        <v>41481</v>
      </c>
      <c r="D1327" s="1" t="s">
        <v>1992</v>
      </c>
      <c r="E1327" s="6">
        <v>2</v>
      </c>
      <c r="F1327" s="6" t="str">
        <f t="shared" si="40"/>
        <v>July</v>
      </c>
      <c r="G1327" s="6">
        <f t="shared" si="41"/>
        <v>30</v>
      </c>
      <c r="H1327" s="1">
        <f>SUMIF('Retal Tran Line Item'!E:E,A1327,'Retal Tran Line Item'!B:B)</f>
        <v>7</v>
      </c>
    </row>
    <row r="1328" spans="1:8">
      <c r="A1328" s="1">
        <v>101326</v>
      </c>
      <c r="B1328" s="1">
        <v>627324</v>
      </c>
      <c r="C1328" s="2">
        <v>41481</v>
      </c>
      <c r="D1328" s="1" t="s">
        <v>1989</v>
      </c>
      <c r="E1328" s="6">
        <v>1</v>
      </c>
      <c r="F1328" s="6" t="str">
        <f t="shared" si="40"/>
        <v>July</v>
      </c>
      <c r="G1328" s="6">
        <f t="shared" si="41"/>
        <v>30</v>
      </c>
      <c r="H1328" s="1">
        <f>SUMIF('Retal Tran Line Item'!E:E,A1328,'Retal Tran Line Item'!B:B)</f>
        <v>7</v>
      </c>
    </row>
    <row r="1329" spans="1:8">
      <c r="A1329" s="1">
        <v>101327</v>
      </c>
      <c r="B1329" s="1">
        <v>524667</v>
      </c>
      <c r="C1329" s="2">
        <v>41481</v>
      </c>
      <c r="D1329" s="1" t="s">
        <v>1994</v>
      </c>
      <c r="E1329" s="6">
        <v>2</v>
      </c>
      <c r="F1329" s="6" t="str">
        <f t="shared" si="40"/>
        <v>July</v>
      </c>
      <c r="G1329" s="6">
        <f t="shared" si="41"/>
        <v>30</v>
      </c>
      <c r="H1329" s="1">
        <f>SUMIF('Retal Tran Line Item'!E:E,A1329,'Retal Tran Line Item'!B:B)</f>
        <v>14</v>
      </c>
    </row>
    <row r="1330" spans="1:8">
      <c r="A1330" s="1">
        <v>101328</v>
      </c>
      <c r="B1330" s="1">
        <v>413495</v>
      </c>
      <c r="C1330" s="2">
        <v>41481</v>
      </c>
      <c r="D1330" s="1" t="s">
        <v>1994</v>
      </c>
      <c r="E1330" s="6">
        <v>1</v>
      </c>
      <c r="F1330" s="6" t="str">
        <f t="shared" si="40"/>
        <v>July</v>
      </c>
      <c r="G1330" s="6">
        <f t="shared" si="41"/>
        <v>30</v>
      </c>
      <c r="H1330" s="1">
        <f>SUMIF('Retal Tran Line Item'!E:E,A1330,'Retal Tran Line Item'!B:B)</f>
        <v>7</v>
      </c>
    </row>
    <row r="1331" spans="1:8">
      <c r="A1331" s="1">
        <v>101329</v>
      </c>
      <c r="B1331" s="1">
        <v>970794</v>
      </c>
      <c r="C1331" s="2">
        <v>41481</v>
      </c>
      <c r="D1331" s="1" t="s">
        <v>1993</v>
      </c>
      <c r="E1331" s="6">
        <v>2</v>
      </c>
      <c r="F1331" s="6" t="str">
        <f t="shared" si="40"/>
        <v>July</v>
      </c>
      <c r="G1331" s="6">
        <f t="shared" si="41"/>
        <v>30</v>
      </c>
      <c r="H1331" s="1">
        <f>SUMIF('Retal Tran Line Item'!E:E,A1331,'Retal Tran Line Item'!B:B)</f>
        <v>8</v>
      </c>
    </row>
    <row r="1332" spans="1:8">
      <c r="A1332" s="1">
        <v>101330</v>
      </c>
      <c r="B1332" s="1">
        <v>433442</v>
      </c>
      <c r="C1332" s="2">
        <v>41481</v>
      </c>
      <c r="D1332" s="1" t="s">
        <v>1989</v>
      </c>
      <c r="E1332" s="6">
        <v>2</v>
      </c>
      <c r="F1332" s="6" t="str">
        <f t="shared" si="40"/>
        <v>July</v>
      </c>
      <c r="G1332" s="6">
        <f t="shared" si="41"/>
        <v>30</v>
      </c>
      <c r="H1332" s="1">
        <f>SUMIF('Retal Tran Line Item'!E:E,A1332,'Retal Tran Line Item'!B:B)</f>
        <v>12</v>
      </c>
    </row>
    <row r="1333" spans="1:8">
      <c r="A1333" s="1">
        <v>101331</v>
      </c>
      <c r="B1333" s="1">
        <v>933331</v>
      </c>
      <c r="C1333" s="2">
        <v>41481</v>
      </c>
      <c r="D1333" s="1" t="s">
        <v>1994</v>
      </c>
      <c r="E1333" s="6">
        <v>2</v>
      </c>
      <c r="F1333" s="6" t="str">
        <f t="shared" si="40"/>
        <v>July</v>
      </c>
      <c r="G1333" s="6">
        <f t="shared" si="41"/>
        <v>30</v>
      </c>
      <c r="H1333" s="1">
        <f>SUMIF('Retal Tran Line Item'!E:E,A1333,'Retal Tran Line Item'!B:B)</f>
        <v>14</v>
      </c>
    </row>
    <row r="1334" spans="1:8">
      <c r="A1334" s="1">
        <v>101332</v>
      </c>
      <c r="B1334" s="1">
        <v>925565</v>
      </c>
      <c r="C1334" s="2">
        <v>41481</v>
      </c>
      <c r="D1334" s="1" t="s">
        <v>1992</v>
      </c>
      <c r="E1334" s="6">
        <v>2</v>
      </c>
      <c r="F1334" s="6" t="str">
        <f t="shared" si="40"/>
        <v>July</v>
      </c>
      <c r="G1334" s="6">
        <f t="shared" si="41"/>
        <v>30</v>
      </c>
      <c r="H1334" s="1">
        <f>SUMIF('Retal Tran Line Item'!E:E,A1334,'Retal Tran Line Item'!B:B)</f>
        <v>2</v>
      </c>
    </row>
    <row r="1335" spans="1:8">
      <c r="A1335" s="1">
        <v>101333</v>
      </c>
      <c r="B1335" s="1">
        <v>233813</v>
      </c>
      <c r="C1335" s="2">
        <v>41481</v>
      </c>
      <c r="D1335" s="1" t="s">
        <v>1993</v>
      </c>
      <c r="E1335" s="6">
        <v>1</v>
      </c>
      <c r="F1335" s="6" t="str">
        <f t="shared" si="40"/>
        <v>July</v>
      </c>
      <c r="G1335" s="6">
        <f t="shared" si="41"/>
        <v>30</v>
      </c>
      <c r="H1335" s="1">
        <f>SUMIF('Retal Tran Line Item'!E:E,A1335,'Retal Tran Line Item'!B:B)</f>
        <v>8</v>
      </c>
    </row>
    <row r="1336" spans="1:8">
      <c r="A1336" s="1">
        <v>101334</v>
      </c>
      <c r="B1336" s="1">
        <v>233813</v>
      </c>
      <c r="C1336" s="2">
        <v>41482</v>
      </c>
      <c r="D1336" s="1" t="s">
        <v>1993</v>
      </c>
      <c r="E1336" s="6">
        <v>2</v>
      </c>
      <c r="F1336" s="6" t="str">
        <f t="shared" si="40"/>
        <v>July</v>
      </c>
      <c r="G1336" s="6">
        <f t="shared" si="41"/>
        <v>30</v>
      </c>
      <c r="H1336" s="1">
        <f>SUMIF('Retal Tran Line Item'!E:E,A1336,'Retal Tran Line Item'!B:B)</f>
        <v>20</v>
      </c>
    </row>
    <row r="1337" spans="1:8">
      <c r="A1337" s="1">
        <v>101335</v>
      </c>
      <c r="B1337" s="1">
        <v>575041</v>
      </c>
      <c r="C1337" s="2">
        <v>41482</v>
      </c>
      <c r="D1337" s="1" t="s">
        <v>1994</v>
      </c>
      <c r="E1337" s="6">
        <v>2</v>
      </c>
      <c r="F1337" s="6" t="str">
        <f t="shared" si="40"/>
        <v>July</v>
      </c>
      <c r="G1337" s="6">
        <f t="shared" si="41"/>
        <v>30</v>
      </c>
      <c r="H1337" s="1">
        <f>SUMIF('Retal Tran Line Item'!E:E,A1337,'Retal Tran Line Item'!B:B)</f>
        <v>13</v>
      </c>
    </row>
    <row r="1338" spans="1:8">
      <c r="A1338" s="1">
        <v>101336</v>
      </c>
      <c r="B1338" s="1">
        <v>197102</v>
      </c>
      <c r="C1338" s="2">
        <v>41482</v>
      </c>
      <c r="D1338" s="1" t="s">
        <v>1989</v>
      </c>
      <c r="E1338" s="6">
        <v>2</v>
      </c>
      <c r="F1338" s="6" t="str">
        <f t="shared" si="40"/>
        <v>July</v>
      </c>
      <c r="G1338" s="6">
        <f t="shared" si="41"/>
        <v>30</v>
      </c>
      <c r="H1338" s="1">
        <f>SUMIF('Retal Tran Line Item'!E:E,A1338,'Retal Tran Line Item'!B:B)</f>
        <v>10</v>
      </c>
    </row>
    <row r="1339" spans="1:8">
      <c r="A1339" s="1">
        <v>101337</v>
      </c>
      <c r="B1339" s="1">
        <v>706884</v>
      </c>
      <c r="C1339" s="2">
        <v>41482</v>
      </c>
      <c r="D1339" s="1" t="s">
        <v>1989</v>
      </c>
      <c r="E1339" s="6">
        <v>2</v>
      </c>
      <c r="F1339" s="6" t="str">
        <f t="shared" si="40"/>
        <v>July</v>
      </c>
      <c r="G1339" s="6">
        <f t="shared" si="41"/>
        <v>30</v>
      </c>
      <c r="H1339" s="1">
        <f>SUMIF('Retal Tran Line Item'!E:E,A1339,'Retal Tran Line Item'!B:B)</f>
        <v>2</v>
      </c>
    </row>
    <row r="1340" spans="1:8">
      <c r="A1340" s="1">
        <v>101338</v>
      </c>
      <c r="B1340" s="1">
        <v>803700</v>
      </c>
      <c r="C1340" s="2">
        <v>41482</v>
      </c>
      <c r="D1340" s="1" t="s">
        <v>1992</v>
      </c>
      <c r="E1340" s="6">
        <v>1</v>
      </c>
      <c r="F1340" s="6" t="str">
        <f t="shared" si="40"/>
        <v>July</v>
      </c>
      <c r="G1340" s="6">
        <f t="shared" si="41"/>
        <v>30</v>
      </c>
      <c r="H1340" s="1">
        <f>SUMIF('Retal Tran Line Item'!E:E,A1340,'Retal Tran Line Item'!B:B)</f>
        <v>4</v>
      </c>
    </row>
    <row r="1341" spans="1:8">
      <c r="A1341" s="1">
        <v>101339</v>
      </c>
      <c r="B1341" s="1">
        <v>145929</v>
      </c>
      <c r="C1341" s="2">
        <v>41482</v>
      </c>
      <c r="D1341" s="1" t="s">
        <v>1989</v>
      </c>
      <c r="E1341" s="6">
        <v>1</v>
      </c>
      <c r="F1341" s="6" t="str">
        <f t="shared" si="40"/>
        <v>July</v>
      </c>
      <c r="G1341" s="6">
        <f t="shared" si="41"/>
        <v>30</v>
      </c>
      <c r="H1341" s="1">
        <f>SUMIF('Retal Tran Line Item'!E:E,A1341,'Retal Tran Line Item'!B:B)</f>
        <v>16</v>
      </c>
    </row>
    <row r="1342" spans="1:8">
      <c r="A1342" s="1">
        <v>101340</v>
      </c>
      <c r="B1342" s="1">
        <v>599995</v>
      </c>
      <c r="C1342" s="2">
        <v>41482</v>
      </c>
      <c r="D1342" s="1" t="s">
        <v>1989</v>
      </c>
      <c r="E1342" s="6">
        <v>1</v>
      </c>
      <c r="F1342" s="6" t="str">
        <f t="shared" si="40"/>
        <v>July</v>
      </c>
      <c r="G1342" s="6">
        <f t="shared" si="41"/>
        <v>30</v>
      </c>
      <c r="H1342" s="1">
        <f>SUMIF('Retal Tran Line Item'!E:E,A1342,'Retal Tran Line Item'!B:B)</f>
        <v>2</v>
      </c>
    </row>
    <row r="1343" spans="1:8">
      <c r="A1343" s="1">
        <v>101341</v>
      </c>
      <c r="B1343" s="1">
        <v>315634</v>
      </c>
      <c r="C1343" s="2">
        <v>41482</v>
      </c>
      <c r="D1343" s="1" t="s">
        <v>1993</v>
      </c>
      <c r="E1343" s="6">
        <v>2</v>
      </c>
      <c r="F1343" s="6" t="str">
        <f t="shared" si="40"/>
        <v>July</v>
      </c>
      <c r="G1343" s="6">
        <f t="shared" si="41"/>
        <v>30</v>
      </c>
      <c r="H1343" s="1">
        <f>SUMIF('Retal Tran Line Item'!E:E,A1343,'Retal Tran Line Item'!B:B)</f>
        <v>17</v>
      </c>
    </row>
    <row r="1344" spans="1:8">
      <c r="A1344" s="1">
        <v>101342</v>
      </c>
      <c r="B1344" s="1">
        <v>269687</v>
      </c>
      <c r="C1344" s="2">
        <v>41482</v>
      </c>
      <c r="D1344" s="1" t="s">
        <v>1989</v>
      </c>
      <c r="E1344" s="6">
        <v>1</v>
      </c>
      <c r="F1344" s="6" t="str">
        <f t="shared" si="40"/>
        <v>July</v>
      </c>
      <c r="G1344" s="6">
        <f t="shared" si="41"/>
        <v>30</v>
      </c>
      <c r="H1344" s="1">
        <f>SUMIF('Retal Tran Line Item'!E:E,A1344,'Retal Tran Line Item'!B:B)</f>
        <v>14</v>
      </c>
    </row>
    <row r="1345" spans="1:8">
      <c r="A1345" s="1">
        <v>101343</v>
      </c>
      <c r="B1345" s="1">
        <v>734624</v>
      </c>
      <c r="C1345" s="2">
        <v>41482</v>
      </c>
      <c r="D1345" s="1" t="s">
        <v>1994</v>
      </c>
      <c r="E1345" s="6">
        <v>1</v>
      </c>
      <c r="F1345" s="6" t="str">
        <f t="shared" si="40"/>
        <v>July</v>
      </c>
      <c r="G1345" s="6">
        <f t="shared" si="41"/>
        <v>30</v>
      </c>
      <c r="H1345" s="1">
        <f>SUMIF('Retal Tran Line Item'!E:E,A1345,'Retal Tran Line Item'!B:B)</f>
        <v>14</v>
      </c>
    </row>
    <row r="1346" spans="1:8">
      <c r="A1346" s="1">
        <v>101344</v>
      </c>
      <c r="B1346" s="1">
        <v>552124</v>
      </c>
      <c r="C1346" s="2">
        <v>41482</v>
      </c>
      <c r="D1346" s="1" t="s">
        <v>1992</v>
      </c>
      <c r="E1346" s="6">
        <v>1</v>
      </c>
      <c r="F1346" s="6" t="str">
        <f t="shared" si="40"/>
        <v>July</v>
      </c>
      <c r="G1346" s="6">
        <f t="shared" si="41"/>
        <v>30</v>
      </c>
      <c r="H1346" s="1">
        <f>SUMIF('Retal Tran Line Item'!E:E,A1346,'Retal Tran Line Item'!B:B)</f>
        <v>4</v>
      </c>
    </row>
    <row r="1347" spans="1:8">
      <c r="A1347" s="1">
        <v>101345</v>
      </c>
      <c r="B1347" s="1">
        <v>238347</v>
      </c>
      <c r="C1347" s="2">
        <v>41483</v>
      </c>
      <c r="D1347" s="1" t="s">
        <v>1989</v>
      </c>
      <c r="E1347" s="6">
        <v>1</v>
      </c>
      <c r="F1347" s="6" t="str">
        <f t="shared" ref="F1347:F1410" si="42">TEXT(C1347,"MMMM")</f>
        <v>July</v>
      </c>
      <c r="G1347" s="6">
        <f t="shared" ref="G1347:G1410" si="43">WEEKNUM(C1347)</f>
        <v>31</v>
      </c>
      <c r="H1347" s="1">
        <f>SUMIF('Retal Tran Line Item'!E:E,A1347,'Retal Tran Line Item'!B:B)</f>
        <v>7</v>
      </c>
    </row>
    <row r="1348" spans="1:8">
      <c r="A1348" s="1">
        <v>101346</v>
      </c>
      <c r="B1348" s="1">
        <v>793987</v>
      </c>
      <c r="C1348" s="2">
        <v>41483</v>
      </c>
      <c r="D1348" s="1" t="s">
        <v>1994</v>
      </c>
      <c r="E1348" s="6">
        <v>2</v>
      </c>
      <c r="F1348" s="6" t="str">
        <f t="shared" si="42"/>
        <v>July</v>
      </c>
      <c r="G1348" s="6">
        <f t="shared" si="43"/>
        <v>31</v>
      </c>
      <c r="H1348" s="1">
        <f>SUMIF('Retal Tran Line Item'!E:E,A1348,'Retal Tran Line Item'!B:B)</f>
        <v>1</v>
      </c>
    </row>
    <row r="1349" spans="1:8">
      <c r="A1349" s="1">
        <v>101347</v>
      </c>
      <c r="B1349" s="1">
        <v>755271</v>
      </c>
      <c r="C1349" s="2">
        <v>41483</v>
      </c>
      <c r="D1349" s="1" t="s">
        <v>1989</v>
      </c>
      <c r="E1349" s="6">
        <v>1</v>
      </c>
      <c r="F1349" s="6" t="str">
        <f t="shared" si="42"/>
        <v>July</v>
      </c>
      <c r="G1349" s="6">
        <f t="shared" si="43"/>
        <v>31</v>
      </c>
      <c r="H1349" s="1">
        <f>SUMIF('Retal Tran Line Item'!E:E,A1349,'Retal Tran Line Item'!B:B)</f>
        <v>15</v>
      </c>
    </row>
    <row r="1350" spans="1:8">
      <c r="A1350" s="1">
        <v>101348</v>
      </c>
      <c r="B1350" s="1">
        <v>741514</v>
      </c>
      <c r="C1350" s="2">
        <v>41483</v>
      </c>
      <c r="D1350" s="1" t="s">
        <v>1992</v>
      </c>
      <c r="E1350" s="6">
        <v>2</v>
      </c>
      <c r="F1350" s="6" t="str">
        <f t="shared" si="42"/>
        <v>July</v>
      </c>
      <c r="G1350" s="6">
        <f t="shared" si="43"/>
        <v>31</v>
      </c>
      <c r="H1350" s="1">
        <f>SUMIF('Retal Tran Line Item'!E:E,A1350,'Retal Tran Line Item'!B:B)</f>
        <v>10</v>
      </c>
    </row>
    <row r="1351" spans="1:8">
      <c r="A1351" s="1">
        <v>101349</v>
      </c>
      <c r="B1351" s="1">
        <v>974503</v>
      </c>
      <c r="C1351" s="2">
        <v>41483</v>
      </c>
      <c r="D1351" s="1" t="s">
        <v>1993</v>
      </c>
      <c r="E1351" s="6">
        <v>1</v>
      </c>
      <c r="F1351" s="6" t="str">
        <f t="shared" si="42"/>
        <v>July</v>
      </c>
      <c r="G1351" s="6">
        <f t="shared" si="43"/>
        <v>31</v>
      </c>
      <c r="H1351" s="1">
        <f>SUMIF('Retal Tran Line Item'!E:E,A1351,'Retal Tran Line Item'!B:B)</f>
        <v>17</v>
      </c>
    </row>
    <row r="1352" spans="1:8">
      <c r="A1352" s="1">
        <v>101350</v>
      </c>
      <c r="B1352" s="1">
        <v>404678</v>
      </c>
      <c r="C1352" s="2">
        <v>41483</v>
      </c>
      <c r="D1352" s="1" t="s">
        <v>1993</v>
      </c>
      <c r="E1352" s="6">
        <v>2</v>
      </c>
      <c r="F1352" s="6" t="str">
        <f t="shared" si="42"/>
        <v>July</v>
      </c>
      <c r="G1352" s="6">
        <f t="shared" si="43"/>
        <v>31</v>
      </c>
      <c r="H1352" s="1">
        <f>SUMIF('Retal Tran Line Item'!E:E,A1352,'Retal Tran Line Item'!B:B)</f>
        <v>6</v>
      </c>
    </row>
    <row r="1353" spans="1:8">
      <c r="A1353" s="1">
        <v>101351</v>
      </c>
      <c r="B1353" s="1">
        <v>791559</v>
      </c>
      <c r="C1353" s="2">
        <v>41483</v>
      </c>
      <c r="D1353" s="1" t="s">
        <v>1989</v>
      </c>
      <c r="E1353" s="6">
        <v>1</v>
      </c>
      <c r="F1353" s="6" t="str">
        <f t="shared" si="42"/>
        <v>July</v>
      </c>
      <c r="G1353" s="6">
        <f t="shared" si="43"/>
        <v>31</v>
      </c>
      <c r="H1353" s="1">
        <f>SUMIF('Retal Tran Line Item'!E:E,A1353,'Retal Tran Line Item'!B:B)</f>
        <v>14</v>
      </c>
    </row>
    <row r="1354" spans="1:8">
      <c r="A1354" s="1">
        <v>101352</v>
      </c>
      <c r="B1354" s="1">
        <v>885548</v>
      </c>
      <c r="C1354" s="2">
        <v>41483</v>
      </c>
      <c r="D1354" s="1" t="s">
        <v>1992</v>
      </c>
      <c r="E1354" s="6">
        <v>2</v>
      </c>
      <c r="F1354" s="6" t="str">
        <f t="shared" si="42"/>
        <v>July</v>
      </c>
      <c r="G1354" s="6">
        <f t="shared" si="43"/>
        <v>31</v>
      </c>
      <c r="H1354" s="1">
        <f>SUMIF('Retal Tran Line Item'!E:E,A1354,'Retal Tran Line Item'!B:B)</f>
        <v>4</v>
      </c>
    </row>
    <row r="1355" spans="1:8">
      <c r="A1355" s="1">
        <v>101353</v>
      </c>
      <c r="B1355" s="1">
        <v>979679</v>
      </c>
      <c r="C1355" s="2">
        <v>41483</v>
      </c>
      <c r="D1355" s="1" t="s">
        <v>1994</v>
      </c>
      <c r="E1355" s="6">
        <v>1</v>
      </c>
      <c r="F1355" s="6" t="str">
        <f t="shared" si="42"/>
        <v>July</v>
      </c>
      <c r="G1355" s="6">
        <f t="shared" si="43"/>
        <v>31</v>
      </c>
      <c r="H1355" s="1">
        <f>SUMIF('Retal Tran Line Item'!E:E,A1355,'Retal Tran Line Item'!B:B)</f>
        <v>13</v>
      </c>
    </row>
    <row r="1356" spans="1:8">
      <c r="A1356" s="1">
        <v>101354</v>
      </c>
      <c r="B1356" s="1">
        <v>426984</v>
      </c>
      <c r="C1356" s="2">
        <v>41483</v>
      </c>
      <c r="D1356" s="1" t="s">
        <v>1992</v>
      </c>
      <c r="E1356" s="6">
        <v>2</v>
      </c>
      <c r="F1356" s="6" t="str">
        <f t="shared" si="42"/>
        <v>July</v>
      </c>
      <c r="G1356" s="6">
        <f t="shared" si="43"/>
        <v>31</v>
      </c>
      <c r="H1356" s="1">
        <f>SUMIF('Retal Tran Line Item'!E:E,A1356,'Retal Tran Line Item'!B:B)</f>
        <v>5</v>
      </c>
    </row>
    <row r="1357" spans="1:8">
      <c r="A1357" s="1">
        <v>101355</v>
      </c>
      <c r="B1357" s="1">
        <v>270853</v>
      </c>
      <c r="C1357" s="2">
        <v>41483</v>
      </c>
      <c r="D1357" s="1" t="s">
        <v>1992</v>
      </c>
      <c r="E1357" s="6">
        <v>2</v>
      </c>
      <c r="F1357" s="6" t="str">
        <f t="shared" si="42"/>
        <v>July</v>
      </c>
      <c r="G1357" s="6">
        <f t="shared" si="43"/>
        <v>31</v>
      </c>
      <c r="H1357" s="1">
        <f>SUMIF('Retal Tran Line Item'!E:E,A1357,'Retal Tran Line Item'!B:B)</f>
        <v>4</v>
      </c>
    </row>
    <row r="1358" spans="1:8">
      <c r="A1358" s="1">
        <v>101356</v>
      </c>
      <c r="B1358" s="1">
        <v>277310</v>
      </c>
      <c r="C1358" s="2">
        <v>41483</v>
      </c>
      <c r="D1358" s="1" t="s">
        <v>1994</v>
      </c>
      <c r="E1358" s="6">
        <v>2</v>
      </c>
      <c r="F1358" s="6" t="str">
        <f t="shared" si="42"/>
        <v>July</v>
      </c>
      <c r="G1358" s="6">
        <f t="shared" si="43"/>
        <v>31</v>
      </c>
      <c r="H1358" s="1">
        <f>SUMIF('Retal Tran Line Item'!E:E,A1358,'Retal Tran Line Item'!B:B)</f>
        <v>18</v>
      </c>
    </row>
    <row r="1359" spans="1:8">
      <c r="A1359" s="1">
        <v>101357</v>
      </c>
      <c r="B1359" s="1">
        <v>524667</v>
      </c>
      <c r="C1359" s="2">
        <v>41483</v>
      </c>
      <c r="D1359" s="1" t="s">
        <v>1994</v>
      </c>
      <c r="E1359" s="6">
        <v>1</v>
      </c>
      <c r="F1359" s="6" t="str">
        <f t="shared" si="42"/>
        <v>July</v>
      </c>
      <c r="G1359" s="6">
        <f t="shared" si="43"/>
        <v>31</v>
      </c>
      <c r="H1359" s="1">
        <f>SUMIF('Retal Tran Line Item'!E:E,A1359,'Retal Tran Line Item'!B:B)</f>
        <v>13</v>
      </c>
    </row>
    <row r="1360" spans="1:8">
      <c r="A1360" s="1">
        <v>101358</v>
      </c>
      <c r="B1360" s="1">
        <v>267632</v>
      </c>
      <c r="C1360" s="2">
        <v>41484</v>
      </c>
      <c r="D1360" s="1" t="s">
        <v>1994</v>
      </c>
      <c r="E1360" s="6">
        <v>1</v>
      </c>
      <c r="F1360" s="6" t="str">
        <f t="shared" si="42"/>
        <v>July</v>
      </c>
      <c r="G1360" s="6">
        <f t="shared" si="43"/>
        <v>31</v>
      </c>
      <c r="H1360" s="1">
        <f>SUMIF('Retal Tran Line Item'!E:E,A1360,'Retal Tran Line Item'!B:B)</f>
        <v>11</v>
      </c>
    </row>
    <row r="1361" spans="1:8">
      <c r="A1361" s="1">
        <v>101359</v>
      </c>
      <c r="B1361" s="1">
        <v>196068</v>
      </c>
      <c r="C1361" s="2">
        <v>41484</v>
      </c>
      <c r="D1361" s="1" t="s">
        <v>1993</v>
      </c>
      <c r="E1361" s="6">
        <v>2</v>
      </c>
      <c r="F1361" s="6" t="str">
        <f t="shared" si="42"/>
        <v>July</v>
      </c>
      <c r="G1361" s="6">
        <f t="shared" si="43"/>
        <v>31</v>
      </c>
      <c r="H1361" s="1">
        <f>SUMIF('Retal Tran Line Item'!E:E,A1361,'Retal Tran Line Item'!B:B)</f>
        <v>9</v>
      </c>
    </row>
    <row r="1362" spans="1:8">
      <c r="A1362" s="1">
        <v>101360</v>
      </c>
      <c r="B1362" s="1">
        <v>730305</v>
      </c>
      <c r="C1362" s="2">
        <v>41484</v>
      </c>
      <c r="D1362" s="1" t="s">
        <v>1992</v>
      </c>
      <c r="E1362" s="6">
        <v>1</v>
      </c>
      <c r="F1362" s="6" t="str">
        <f t="shared" si="42"/>
        <v>July</v>
      </c>
      <c r="G1362" s="6">
        <f t="shared" si="43"/>
        <v>31</v>
      </c>
      <c r="H1362" s="1">
        <f>SUMIF('Retal Tran Line Item'!E:E,A1362,'Retal Tran Line Item'!B:B)</f>
        <v>13</v>
      </c>
    </row>
    <row r="1363" spans="1:8">
      <c r="A1363" s="1">
        <v>101361</v>
      </c>
      <c r="B1363" s="1">
        <v>185863</v>
      </c>
      <c r="C1363" s="2">
        <v>41484</v>
      </c>
      <c r="D1363" s="1" t="s">
        <v>1994</v>
      </c>
      <c r="E1363" s="6">
        <v>1</v>
      </c>
      <c r="F1363" s="6" t="str">
        <f t="shared" si="42"/>
        <v>July</v>
      </c>
      <c r="G1363" s="6">
        <f t="shared" si="43"/>
        <v>31</v>
      </c>
      <c r="H1363" s="1">
        <f>SUMIF('Retal Tran Line Item'!E:E,A1363,'Retal Tran Line Item'!B:B)</f>
        <v>8</v>
      </c>
    </row>
    <row r="1364" spans="1:8">
      <c r="A1364" s="1">
        <v>101362</v>
      </c>
      <c r="B1364" s="1">
        <v>580783</v>
      </c>
      <c r="C1364" s="2">
        <v>41484</v>
      </c>
      <c r="D1364" s="1" t="s">
        <v>1989</v>
      </c>
      <c r="E1364" s="6">
        <v>2</v>
      </c>
      <c r="F1364" s="6" t="str">
        <f t="shared" si="42"/>
        <v>July</v>
      </c>
      <c r="G1364" s="6">
        <f t="shared" si="43"/>
        <v>31</v>
      </c>
      <c r="H1364" s="1">
        <f>SUMIF('Retal Tran Line Item'!E:E,A1364,'Retal Tran Line Item'!B:B)</f>
        <v>10</v>
      </c>
    </row>
    <row r="1365" spans="1:8">
      <c r="A1365" s="1">
        <v>101363</v>
      </c>
      <c r="B1365" s="1">
        <v>921901</v>
      </c>
      <c r="C1365" s="2">
        <v>41484</v>
      </c>
      <c r="D1365" s="1" t="s">
        <v>1989</v>
      </c>
      <c r="E1365" s="6">
        <v>1</v>
      </c>
      <c r="F1365" s="6" t="str">
        <f t="shared" si="42"/>
        <v>July</v>
      </c>
      <c r="G1365" s="6">
        <f t="shared" si="43"/>
        <v>31</v>
      </c>
      <c r="H1365" s="1">
        <f>SUMIF('Retal Tran Line Item'!E:E,A1365,'Retal Tran Line Item'!B:B)</f>
        <v>26</v>
      </c>
    </row>
    <row r="1366" spans="1:8">
      <c r="A1366" s="1">
        <v>101364</v>
      </c>
      <c r="B1366" s="1">
        <v>888759</v>
      </c>
      <c r="C1366" s="2">
        <v>41484</v>
      </c>
      <c r="D1366" s="1" t="s">
        <v>1993</v>
      </c>
      <c r="E1366" s="6">
        <v>1</v>
      </c>
      <c r="F1366" s="6" t="str">
        <f t="shared" si="42"/>
        <v>July</v>
      </c>
      <c r="G1366" s="6">
        <f t="shared" si="43"/>
        <v>31</v>
      </c>
      <c r="H1366" s="1">
        <f>SUMIF('Retal Tran Line Item'!E:E,A1366,'Retal Tran Line Item'!B:B)</f>
        <v>14</v>
      </c>
    </row>
    <row r="1367" spans="1:8">
      <c r="A1367" s="1">
        <v>101365</v>
      </c>
      <c r="B1367" s="1">
        <v>104939</v>
      </c>
      <c r="C1367" s="2">
        <v>41484</v>
      </c>
      <c r="D1367" s="1" t="s">
        <v>1992</v>
      </c>
      <c r="E1367" s="6">
        <v>2</v>
      </c>
      <c r="F1367" s="6" t="str">
        <f t="shared" si="42"/>
        <v>July</v>
      </c>
      <c r="G1367" s="6">
        <f t="shared" si="43"/>
        <v>31</v>
      </c>
      <c r="H1367" s="1">
        <f>SUMIF('Retal Tran Line Item'!E:E,A1367,'Retal Tran Line Item'!B:B)</f>
        <v>13</v>
      </c>
    </row>
    <row r="1368" spans="1:8">
      <c r="A1368" s="1">
        <v>101366</v>
      </c>
      <c r="B1368" s="1">
        <v>202612</v>
      </c>
      <c r="C1368" s="2">
        <v>41484</v>
      </c>
      <c r="D1368" s="1" t="s">
        <v>1992</v>
      </c>
      <c r="E1368" s="6">
        <v>2</v>
      </c>
      <c r="F1368" s="6" t="str">
        <f t="shared" si="42"/>
        <v>July</v>
      </c>
      <c r="G1368" s="6">
        <f t="shared" si="43"/>
        <v>31</v>
      </c>
      <c r="H1368" s="1">
        <f>SUMIF('Retal Tran Line Item'!E:E,A1368,'Retal Tran Line Item'!B:B)</f>
        <v>12</v>
      </c>
    </row>
    <row r="1369" spans="1:8">
      <c r="A1369" s="1">
        <v>101367</v>
      </c>
      <c r="B1369" s="1">
        <v>745543</v>
      </c>
      <c r="C1369" s="2">
        <v>41484</v>
      </c>
      <c r="D1369" s="1" t="s">
        <v>1989</v>
      </c>
      <c r="E1369" s="6">
        <v>2</v>
      </c>
      <c r="F1369" s="6" t="str">
        <f t="shared" si="42"/>
        <v>July</v>
      </c>
      <c r="G1369" s="6">
        <f t="shared" si="43"/>
        <v>31</v>
      </c>
      <c r="H1369" s="1">
        <f>SUMIF('Retal Tran Line Item'!E:E,A1369,'Retal Tran Line Item'!B:B)</f>
        <v>2</v>
      </c>
    </row>
    <row r="1370" spans="1:8">
      <c r="A1370" s="1">
        <v>101368</v>
      </c>
      <c r="B1370" s="1">
        <v>550824</v>
      </c>
      <c r="C1370" s="2">
        <v>41484</v>
      </c>
      <c r="D1370" s="1" t="s">
        <v>1989</v>
      </c>
      <c r="E1370" s="6">
        <v>1</v>
      </c>
      <c r="F1370" s="6" t="str">
        <f t="shared" si="42"/>
        <v>July</v>
      </c>
      <c r="G1370" s="6">
        <f t="shared" si="43"/>
        <v>31</v>
      </c>
      <c r="H1370" s="1">
        <f>SUMIF('Retal Tran Line Item'!E:E,A1370,'Retal Tran Line Item'!B:B)</f>
        <v>3</v>
      </c>
    </row>
    <row r="1371" spans="1:8">
      <c r="A1371" s="1">
        <v>101369</v>
      </c>
      <c r="B1371" s="1">
        <v>999915</v>
      </c>
      <c r="C1371" s="2">
        <v>41484</v>
      </c>
      <c r="D1371" s="1" t="s">
        <v>1989</v>
      </c>
      <c r="E1371" s="6">
        <v>2</v>
      </c>
      <c r="F1371" s="6" t="str">
        <f t="shared" si="42"/>
        <v>July</v>
      </c>
      <c r="G1371" s="6">
        <f t="shared" si="43"/>
        <v>31</v>
      </c>
      <c r="H1371" s="1">
        <f>SUMIF('Retal Tran Line Item'!E:E,A1371,'Retal Tran Line Item'!B:B)</f>
        <v>14</v>
      </c>
    </row>
    <row r="1372" spans="1:8">
      <c r="A1372" s="1">
        <v>101370</v>
      </c>
      <c r="B1372" s="1">
        <v>994185</v>
      </c>
      <c r="C1372" s="2">
        <v>41485</v>
      </c>
      <c r="D1372" s="1" t="s">
        <v>1992</v>
      </c>
      <c r="E1372" s="6">
        <v>2</v>
      </c>
      <c r="F1372" s="6" t="str">
        <f t="shared" si="42"/>
        <v>July</v>
      </c>
      <c r="G1372" s="6">
        <f t="shared" si="43"/>
        <v>31</v>
      </c>
      <c r="H1372" s="1">
        <f>SUMIF('Retal Tran Line Item'!E:E,A1372,'Retal Tran Line Item'!B:B)</f>
        <v>11</v>
      </c>
    </row>
    <row r="1373" spans="1:8">
      <c r="A1373" s="1">
        <v>101371</v>
      </c>
      <c r="B1373" s="1">
        <v>218889</v>
      </c>
      <c r="C1373" s="2">
        <v>41485</v>
      </c>
      <c r="D1373" s="1" t="s">
        <v>1992</v>
      </c>
      <c r="E1373" s="6">
        <v>2</v>
      </c>
      <c r="F1373" s="6" t="str">
        <f t="shared" si="42"/>
        <v>July</v>
      </c>
      <c r="G1373" s="6">
        <f t="shared" si="43"/>
        <v>31</v>
      </c>
      <c r="H1373" s="1">
        <f>SUMIF('Retal Tran Line Item'!E:E,A1373,'Retal Tran Line Item'!B:B)</f>
        <v>2</v>
      </c>
    </row>
    <row r="1374" spans="1:8">
      <c r="A1374" s="1">
        <v>101372</v>
      </c>
      <c r="B1374" s="1">
        <v>304344</v>
      </c>
      <c r="C1374" s="2">
        <v>41485</v>
      </c>
      <c r="D1374" s="1" t="s">
        <v>1993</v>
      </c>
      <c r="E1374" s="6">
        <v>1</v>
      </c>
      <c r="F1374" s="6" t="str">
        <f t="shared" si="42"/>
        <v>July</v>
      </c>
      <c r="G1374" s="6">
        <f t="shared" si="43"/>
        <v>31</v>
      </c>
      <c r="H1374" s="1">
        <f>SUMIF('Retal Tran Line Item'!E:E,A1374,'Retal Tran Line Item'!B:B)</f>
        <v>8</v>
      </c>
    </row>
    <row r="1375" spans="1:8">
      <c r="A1375" s="1">
        <v>101373</v>
      </c>
      <c r="B1375" s="1">
        <v>347659</v>
      </c>
      <c r="C1375" s="2">
        <v>41485</v>
      </c>
      <c r="D1375" s="1" t="s">
        <v>1992</v>
      </c>
      <c r="E1375" s="6">
        <v>1</v>
      </c>
      <c r="F1375" s="6" t="str">
        <f t="shared" si="42"/>
        <v>July</v>
      </c>
      <c r="G1375" s="6">
        <f t="shared" si="43"/>
        <v>31</v>
      </c>
      <c r="H1375" s="1">
        <f>SUMIF('Retal Tran Line Item'!E:E,A1375,'Retal Tran Line Item'!B:B)</f>
        <v>8</v>
      </c>
    </row>
    <row r="1376" spans="1:8">
      <c r="A1376" s="1">
        <v>101374</v>
      </c>
      <c r="B1376" s="1">
        <v>680104</v>
      </c>
      <c r="C1376" s="2">
        <v>41485</v>
      </c>
      <c r="D1376" s="1" t="s">
        <v>1992</v>
      </c>
      <c r="E1376" s="6">
        <v>2</v>
      </c>
      <c r="F1376" s="6" t="str">
        <f t="shared" si="42"/>
        <v>July</v>
      </c>
      <c r="G1376" s="6">
        <f t="shared" si="43"/>
        <v>31</v>
      </c>
      <c r="H1376" s="1">
        <f>SUMIF('Retal Tran Line Item'!E:E,A1376,'Retal Tran Line Item'!B:B)</f>
        <v>6</v>
      </c>
    </row>
    <row r="1377" spans="1:8">
      <c r="A1377" s="1">
        <v>101375</v>
      </c>
      <c r="B1377" s="1">
        <v>841141</v>
      </c>
      <c r="C1377" s="2">
        <v>41485</v>
      </c>
      <c r="D1377" s="1" t="s">
        <v>1992</v>
      </c>
      <c r="E1377" s="6">
        <v>1</v>
      </c>
      <c r="F1377" s="6" t="str">
        <f t="shared" si="42"/>
        <v>July</v>
      </c>
      <c r="G1377" s="6">
        <f t="shared" si="43"/>
        <v>31</v>
      </c>
      <c r="H1377" s="1">
        <f>SUMIF('Retal Tran Line Item'!E:E,A1377,'Retal Tran Line Item'!B:B)</f>
        <v>3</v>
      </c>
    </row>
    <row r="1378" spans="1:8">
      <c r="A1378" s="1">
        <v>101376</v>
      </c>
      <c r="B1378" s="1">
        <v>469564</v>
      </c>
      <c r="C1378" s="2">
        <v>41485</v>
      </c>
      <c r="D1378" s="1" t="s">
        <v>1989</v>
      </c>
      <c r="E1378" s="6">
        <v>2</v>
      </c>
      <c r="F1378" s="6" t="str">
        <f t="shared" si="42"/>
        <v>July</v>
      </c>
      <c r="G1378" s="6">
        <f t="shared" si="43"/>
        <v>31</v>
      </c>
      <c r="H1378" s="1">
        <f>SUMIF('Retal Tran Line Item'!E:E,A1378,'Retal Tran Line Item'!B:B)</f>
        <v>20</v>
      </c>
    </row>
    <row r="1379" spans="1:8">
      <c r="A1379" s="1">
        <v>101377</v>
      </c>
      <c r="B1379" s="1">
        <v>256181</v>
      </c>
      <c r="C1379" s="2">
        <v>41485</v>
      </c>
      <c r="D1379" s="1" t="s">
        <v>1993</v>
      </c>
      <c r="E1379" s="6">
        <v>1</v>
      </c>
      <c r="F1379" s="6" t="str">
        <f t="shared" si="42"/>
        <v>July</v>
      </c>
      <c r="G1379" s="6">
        <f t="shared" si="43"/>
        <v>31</v>
      </c>
      <c r="H1379" s="1">
        <f>SUMIF('Retal Tran Line Item'!E:E,A1379,'Retal Tran Line Item'!B:B)</f>
        <v>1</v>
      </c>
    </row>
    <row r="1380" spans="1:8">
      <c r="A1380" s="1">
        <v>101378</v>
      </c>
      <c r="B1380" s="1">
        <v>795957</v>
      </c>
      <c r="C1380" s="2">
        <v>41485</v>
      </c>
      <c r="D1380" s="1" t="s">
        <v>1992</v>
      </c>
      <c r="E1380" s="6">
        <v>2</v>
      </c>
      <c r="F1380" s="6" t="str">
        <f t="shared" si="42"/>
        <v>July</v>
      </c>
      <c r="G1380" s="6">
        <f t="shared" si="43"/>
        <v>31</v>
      </c>
      <c r="H1380" s="1">
        <f>SUMIF('Retal Tran Line Item'!E:E,A1380,'Retal Tran Line Item'!B:B)</f>
        <v>8</v>
      </c>
    </row>
    <row r="1381" spans="1:8">
      <c r="A1381" s="1">
        <v>101379</v>
      </c>
      <c r="B1381" s="1">
        <v>552124</v>
      </c>
      <c r="C1381" s="2">
        <v>41485</v>
      </c>
      <c r="D1381" s="1" t="s">
        <v>1992</v>
      </c>
      <c r="E1381" s="6">
        <v>1</v>
      </c>
      <c r="F1381" s="6" t="str">
        <f t="shared" si="42"/>
        <v>July</v>
      </c>
      <c r="G1381" s="6">
        <f t="shared" si="43"/>
        <v>31</v>
      </c>
      <c r="H1381" s="1">
        <f>SUMIF('Retal Tran Line Item'!E:E,A1381,'Retal Tran Line Item'!B:B)</f>
        <v>7</v>
      </c>
    </row>
    <row r="1382" spans="1:8">
      <c r="A1382" s="1">
        <v>101380</v>
      </c>
      <c r="B1382" s="1">
        <v>267632</v>
      </c>
      <c r="C1382" s="2">
        <v>41485</v>
      </c>
      <c r="D1382" s="1" t="s">
        <v>1994</v>
      </c>
      <c r="E1382" s="6">
        <v>1</v>
      </c>
      <c r="F1382" s="6" t="str">
        <f t="shared" si="42"/>
        <v>July</v>
      </c>
      <c r="G1382" s="6">
        <f t="shared" si="43"/>
        <v>31</v>
      </c>
      <c r="H1382" s="1">
        <f>SUMIF('Retal Tran Line Item'!E:E,A1382,'Retal Tran Line Item'!B:B)</f>
        <v>13</v>
      </c>
    </row>
    <row r="1383" spans="1:8">
      <c r="A1383" s="1">
        <v>101381</v>
      </c>
      <c r="B1383" s="1">
        <v>926289</v>
      </c>
      <c r="C1383" s="2">
        <v>41485</v>
      </c>
      <c r="D1383" s="1" t="s">
        <v>1994</v>
      </c>
      <c r="E1383" s="6">
        <v>1</v>
      </c>
      <c r="F1383" s="6" t="str">
        <f t="shared" si="42"/>
        <v>July</v>
      </c>
      <c r="G1383" s="6">
        <f t="shared" si="43"/>
        <v>31</v>
      </c>
      <c r="H1383" s="1">
        <f>SUMIF('Retal Tran Line Item'!E:E,A1383,'Retal Tran Line Item'!B:B)</f>
        <v>19</v>
      </c>
    </row>
    <row r="1384" spans="1:8">
      <c r="A1384" s="1">
        <v>101382</v>
      </c>
      <c r="B1384" s="1">
        <v>491380</v>
      </c>
      <c r="C1384" s="2">
        <v>41485</v>
      </c>
      <c r="D1384" s="1" t="s">
        <v>1992</v>
      </c>
      <c r="E1384" s="6">
        <v>1</v>
      </c>
      <c r="F1384" s="6" t="str">
        <f t="shared" si="42"/>
        <v>July</v>
      </c>
      <c r="G1384" s="6">
        <f t="shared" si="43"/>
        <v>31</v>
      </c>
      <c r="H1384" s="1">
        <f>SUMIF('Retal Tran Line Item'!E:E,A1384,'Retal Tran Line Item'!B:B)</f>
        <v>11</v>
      </c>
    </row>
    <row r="1385" spans="1:8">
      <c r="A1385" s="1">
        <v>101383</v>
      </c>
      <c r="B1385" s="1">
        <v>924947</v>
      </c>
      <c r="C1385" s="2">
        <v>41485</v>
      </c>
      <c r="D1385" s="1" t="s">
        <v>1993</v>
      </c>
      <c r="E1385" s="6">
        <v>2</v>
      </c>
      <c r="F1385" s="6" t="str">
        <f t="shared" si="42"/>
        <v>July</v>
      </c>
      <c r="G1385" s="6">
        <f t="shared" si="43"/>
        <v>31</v>
      </c>
      <c r="H1385" s="1">
        <f>SUMIF('Retal Tran Line Item'!E:E,A1385,'Retal Tran Line Item'!B:B)</f>
        <v>3</v>
      </c>
    </row>
    <row r="1386" spans="1:8">
      <c r="A1386" s="1">
        <v>101384</v>
      </c>
      <c r="B1386" s="1">
        <v>702197</v>
      </c>
      <c r="C1386" s="2">
        <v>41485</v>
      </c>
      <c r="D1386" s="1" t="s">
        <v>1993</v>
      </c>
      <c r="E1386" s="6">
        <v>1</v>
      </c>
      <c r="F1386" s="6" t="str">
        <f t="shared" si="42"/>
        <v>July</v>
      </c>
      <c r="G1386" s="6">
        <f t="shared" si="43"/>
        <v>31</v>
      </c>
      <c r="H1386" s="1">
        <f>SUMIF('Retal Tran Line Item'!E:E,A1386,'Retal Tran Line Item'!B:B)</f>
        <v>13</v>
      </c>
    </row>
    <row r="1387" spans="1:8">
      <c r="A1387" s="1">
        <v>101385</v>
      </c>
      <c r="B1387" s="1">
        <v>266633</v>
      </c>
      <c r="C1387" s="2">
        <v>41486</v>
      </c>
      <c r="D1387" s="1" t="s">
        <v>1992</v>
      </c>
      <c r="E1387" s="6">
        <v>1</v>
      </c>
      <c r="F1387" s="6" t="str">
        <f t="shared" si="42"/>
        <v>July</v>
      </c>
      <c r="G1387" s="6">
        <f t="shared" si="43"/>
        <v>31</v>
      </c>
      <c r="H1387" s="1">
        <f>SUMIF('Retal Tran Line Item'!E:E,A1387,'Retal Tran Line Item'!B:B)</f>
        <v>1</v>
      </c>
    </row>
    <row r="1388" spans="1:8">
      <c r="A1388" s="1">
        <v>101386</v>
      </c>
      <c r="B1388" s="1">
        <v>611848</v>
      </c>
      <c r="C1388" s="2">
        <v>41486</v>
      </c>
      <c r="D1388" s="1" t="s">
        <v>1992</v>
      </c>
      <c r="E1388" s="6">
        <v>2</v>
      </c>
      <c r="F1388" s="6" t="str">
        <f t="shared" si="42"/>
        <v>July</v>
      </c>
      <c r="G1388" s="6">
        <f t="shared" si="43"/>
        <v>31</v>
      </c>
      <c r="H1388" s="1">
        <f>SUMIF('Retal Tran Line Item'!E:E,A1388,'Retal Tran Line Item'!B:B)</f>
        <v>6</v>
      </c>
    </row>
    <row r="1389" spans="1:8">
      <c r="A1389" s="1">
        <v>101387</v>
      </c>
      <c r="B1389" s="1">
        <v>996970</v>
      </c>
      <c r="C1389" s="2">
        <v>41486</v>
      </c>
      <c r="D1389" s="1" t="s">
        <v>1993</v>
      </c>
      <c r="E1389" s="6">
        <v>2</v>
      </c>
      <c r="F1389" s="6" t="str">
        <f t="shared" si="42"/>
        <v>July</v>
      </c>
      <c r="G1389" s="6">
        <f t="shared" si="43"/>
        <v>31</v>
      </c>
      <c r="H1389" s="1">
        <f>SUMIF('Retal Tran Line Item'!E:E,A1389,'Retal Tran Line Item'!B:B)</f>
        <v>3</v>
      </c>
    </row>
    <row r="1390" spans="1:8">
      <c r="A1390" s="1">
        <v>101388</v>
      </c>
      <c r="B1390" s="1">
        <v>599995</v>
      </c>
      <c r="C1390" s="2">
        <v>41486</v>
      </c>
      <c r="D1390" s="1" t="s">
        <v>1989</v>
      </c>
      <c r="E1390" s="6">
        <v>1</v>
      </c>
      <c r="F1390" s="6" t="str">
        <f t="shared" si="42"/>
        <v>July</v>
      </c>
      <c r="G1390" s="6">
        <f t="shared" si="43"/>
        <v>31</v>
      </c>
      <c r="H1390" s="1">
        <f>SUMIF('Retal Tran Line Item'!E:E,A1390,'Retal Tran Line Item'!B:B)</f>
        <v>4</v>
      </c>
    </row>
    <row r="1391" spans="1:8">
      <c r="A1391" s="1">
        <v>101389</v>
      </c>
      <c r="B1391" s="1">
        <v>345348</v>
      </c>
      <c r="C1391" s="2">
        <v>41486</v>
      </c>
      <c r="D1391" s="1" t="s">
        <v>1989</v>
      </c>
      <c r="E1391" s="6">
        <v>1</v>
      </c>
      <c r="F1391" s="6" t="str">
        <f t="shared" si="42"/>
        <v>July</v>
      </c>
      <c r="G1391" s="6">
        <f t="shared" si="43"/>
        <v>31</v>
      </c>
      <c r="H1391" s="1">
        <f>SUMIF('Retal Tran Line Item'!E:E,A1391,'Retal Tran Line Item'!B:B)</f>
        <v>4</v>
      </c>
    </row>
    <row r="1392" spans="1:8">
      <c r="A1392" s="1">
        <v>101390</v>
      </c>
      <c r="B1392" s="1">
        <v>756928</v>
      </c>
      <c r="C1392" s="2">
        <v>41486</v>
      </c>
      <c r="D1392" s="1" t="s">
        <v>1993</v>
      </c>
      <c r="E1392" s="6">
        <v>2</v>
      </c>
      <c r="F1392" s="6" t="str">
        <f t="shared" si="42"/>
        <v>July</v>
      </c>
      <c r="G1392" s="6">
        <f t="shared" si="43"/>
        <v>31</v>
      </c>
      <c r="H1392" s="1">
        <f>SUMIF('Retal Tran Line Item'!E:E,A1392,'Retal Tran Line Item'!B:B)</f>
        <v>9</v>
      </c>
    </row>
    <row r="1393" spans="1:8">
      <c r="A1393" s="1">
        <v>101391</v>
      </c>
      <c r="B1393" s="1">
        <v>216081</v>
      </c>
      <c r="C1393" s="2">
        <v>41486</v>
      </c>
      <c r="D1393" s="1" t="s">
        <v>1992</v>
      </c>
      <c r="E1393" s="6">
        <v>1</v>
      </c>
      <c r="F1393" s="6" t="str">
        <f t="shared" si="42"/>
        <v>July</v>
      </c>
      <c r="G1393" s="6">
        <f t="shared" si="43"/>
        <v>31</v>
      </c>
      <c r="H1393" s="1">
        <f>SUMIF('Retal Tran Line Item'!E:E,A1393,'Retal Tran Line Item'!B:B)</f>
        <v>6</v>
      </c>
    </row>
    <row r="1394" spans="1:8">
      <c r="A1394" s="1">
        <v>101392</v>
      </c>
      <c r="B1394" s="1">
        <v>918682</v>
      </c>
      <c r="C1394" s="2">
        <v>41486</v>
      </c>
      <c r="D1394" s="1" t="s">
        <v>1992</v>
      </c>
      <c r="E1394" s="6">
        <v>1</v>
      </c>
      <c r="F1394" s="6" t="str">
        <f t="shared" si="42"/>
        <v>July</v>
      </c>
      <c r="G1394" s="6">
        <f t="shared" si="43"/>
        <v>31</v>
      </c>
      <c r="H1394" s="1">
        <f>SUMIF('Retal Tran Line Item'!E:E,A1394,'Retal Tran Line Item'!B:B)</f>
        <v>4</v>
      </c>
    </row>
    <row r="1395" spans="1:8">
      <c r="A1395" s="1">
        <v>101393</v>
      </c>
      <c r="B1395" s="1">
        <v>995599</v>
      </c>
      <c r="C1395" s="2">
        <v>41486</v>
      </c>
      <c r="D1395" s="1" t="s">
        <v>1989</v>
      </c>
      <c r="E1395" s="6">
        <v>2</v>
      </c>
      <c r="F1395" s="6" t="str">
        <f t="shared" si="42"/>
        <v>July</v>
      </c>
      <c r="G1395" s="6">
        <f t="shared" si="43"/>
        <v>31</v>
      </c>
      <c r="H1395" s="1">
        <f>SUMIF('Retal Tran Line Item'!E:E,A1395,'Retal Tran Line Item'!B:B)</f>
        <v>10</v>
      </c>
    </row>
    <row r="1396" spans="1:8">
      <c r="A1396" s="1">
        <v>101394</v>
      </c>
      <c r="B1396" s="1">
        <v>689877</v>
      </c>
      <c r="C1396" s="2">
        <v>41486</v>
      </c>
      <c r="D1396" s="1" t="s">
        <v>1994</v>
      </c>
      <c r="E1396" s="6">
        <v>1</v>
      </c>
      <c r="F1396" s="6" t="str">
        <f t="shared" si="42"/>
        <v>July</v>
      </c>
      <c r="G1396" s="6">
        <f t="shared" si="43"/>
        <v>31</v>
      </c>
      <c r="H1396" s="1">
        <f>SUMIF('Retal Tran Line Item'!E:E,A1396,'Retal Tran Line Item'!B:B)</f>
        <v>3</v>
      </c>
    </row>
    <row r="1397" spans="1:8">
      <c r="A1397" s="1">
        <v>101395</v>
      </c>
      <c r="B1397" s="1">
        <v>660634</v>
      </c>
      <c r="C1397" s="2">
        <v>41486</v>
      </c>
      <c r="D1397" s="1" t="s">
        <v>1993</v>
      </c>
      <c r="E1397" s="6">
        <v>2</v>
      </c>
      <c r="F1397" s="6" t="str">
        <f t="shared" si="42"/>
        <v>July</v>
      </c>
      <c r="G1397" s="6">
        <f t="shared" si="43"/>
        <v>31</v>
      </c>
      <c r="H1397" s="1">
        <f>SUMIF('Retal Tran Line Item'!E:E,A1397,'Retal Tran Line Item'!B:B)</f>
        <v>7</v>
      </c>
    </row>
    <row r="1398" spans="1:8">
      <c r="A1398" s="1">
        <v>101396</v>
      </c>
      <c r="B1398" s="1">
        <v>593317</v>
      </c>
      <c r="C1398" s="2">
        <v>41486</v>
      </c>
      <c r="D1398" s="1" t="s">
        <v>1989</v>
      </c>
      <c r="E1398" s="6">
        <v>1</v>
      </c>
      <c r="F1398" s="6" t="str">
        <f t="shared" si="42"/>
        <v>July</v>
      </c>
      <c r="G1398" s="6">
        <f t="shared" si="43"/>
        <v>31</v>
      </c>
      <c r="H1398" s="1">
        <f>SUMIF('Retal Tran Line Item'!E:E,A1398,'Retal Tran Line Item'!B:B)</f>
        <v>3</v>
      </c>
    </row>
    <row r="1399" spans="1:8">
      <c r="A1399" s="1">
        <v>101397</v>
      </c>
      <c r="B1399" s="1">
        <v>458448</v>
      </c>
      <c r="C1399" s="2">
        <v>41486</v>
      </c>
      <c r="D1399" s="1" t="s">
        <v>1994</v>
      </c>
      <c r="E1399" s="6">
        <v>1</v>
      </c>
      <c r="F1399" s="6" t="str">
        <f t="shared" si="42"/>
        <v>July</v>
      </c>
      <c r="G1399" s="6">
        <f t="shared" si="43"/>
        <v>31</v>
      </c>
      <c r="H1399" s="1">
        <f>SUMIF('Retal Tran Line Item'!E:E,A1399,'Retal Tran Line Item'!B:B)</f>
        <v>7</v>
      </c>
    </row>
    <row r="1400" spans="1:8">
      <c r="A1400" s="1">
        <v>101398</v>
      </c>
      <c r="B1400" s="1">
        <v>448739</v>
      </c>
      <c r="C1400" s="2">
        <v>41487</v>
      </c>
      <c r="D1400" s="1" t="s">
        <v>1989</v>
      </c>
      <c r="E1400" s="6">
        <v>1</v>
      </c>
      <c r="F1400" s="6" t="str">
        <f t="shared" si="42"/>
        <v>August</v>
      </c>
      <c r="G1400" s="6">
        <f t="shared" si="43"/>
        <v>31</v>
      </c>
      <c r="H1400" s="1">
        <f>SUMIF('Retal Tran Line Item'!E:E,A1400,'Retal Tran Line Item'!B:B)</f>
        <v>1</v>
      </c>
    </row>
    <row r="1401" spans="1:8">
      <c r="A1401" s="1">
        <v>101399</v>
      </c>
      <c r="B1401" s="1">
        <v>193968</v>
      </c>
      <c r="C1401" s="2">
        <v>41487</v>
      </c>
      <c r="D1401" s="1" t="s">
        <v>1992</v>
      </c>
      <c r="E1401" s="6">
        <v>2</v>
      </c>
      <c r="F1401" s="6" t="str">
        <f t="shared" si="42"/>
        <v>August</v>
      </c>
      <c r="G1401" s="6">
        <f t="shared" si="43"/>
        <v>31</v>
      </c>
      <c r="H1401" s="1">
        <f>SUMIF('Retal Tran Line Item'!E:E,A1401,'Retal Tran Line Item'!B:B)</f>
        <v>24</v>
      </c>
    </row>
    <row r="1402" spans="1:8">
      <c r="A1402" s="1">
        <v>101400</v>
      </c>
      <c r="B1402" s="1">
        <v>306853</v>
      </c>
      <c r="C1402" s="2">
        <v>41487</v>
      </c>
      <c r="D1402" s="1" t="s">
        <v>1989</v>
      </c>
      <c r="E1402" s="6">
        <v>2</v>
      </c>
      <c r="F1402" s="6" t="str">
        <f t="shared" si="42"/>
        <v>August</v>
      </c>
      <c r="G1402" s="6">
        <f t="shared" si="43"/>
        <v>31</v>
      </c>
      <c r="H1402" s="1">
        <f>SUMIF('Retal Tran Line Item'!E:E,A1402,'Retal Tran Line Item'!B:B)</f>
        <v>14</v>
      </c>
    </row>
    <row r="1403" spans="1:8">
      <c r="A1403" s="1">
        <v>101401</v>
      </c>
      <c r="B1403" s="1">
        <v>803700</v>
      </c>
      <c r="C1403" s="2">
        <v>41487</v>
      </c>
      <c r="D1403" s="1" t="s">
        <v>1992</v>
      </c>
      <c r="E1403" s="6">
        <v>2</v>
      </c>
      <c r="F1403" s="6" t="str">
        <f t="shared" si="42"/>
        <v>August</v>
      </c>
      <c r="G1403" s="6">
        <f t="shared" si="43"/>
        <v>31</v>
      </c>
      <c r="H1403" s="1">
        <f>SUMIF('Retal Tran Line Item'!E:E,A1403,'Retal Tran Line Item'!B:B)</f>
        <v>3</v>
      </c>
    </row>
    <row r="1404" spans="1:8">
      <c r="A1404" s="1">
        <v>101402</v>
      </c>
      <c r="B1404" s="1">
        <v>425051</v>
      </c>
      <c r="C1404" s="2">
        <v>41487</v>
      </c>
      <c r="D1404" s="1" t="s">
        <v>1992</v>
      </c>
      <c r="E1404" s="6">
        <v>2</v>
      </c>
      <c r="F1404" s="6" t="str">
        <f t="shared" si="42"/>
        <v>August</v>
      </c>
      <c r="G1404" s="6">
        <f t="shared" si="43"/>
        <v>31</v>
      </c>
      <c r="H1404" s="1">
        <f>SUMIF('Retal Tran Line Item'!E:E,A1404,'Retal Tran Line Item'!B:B)</f>
        <v>13</v>
      </c>
    </row>
    <row r="1405" spans="1:8">
      <c r="A1405" s="1">
        <v>101403</v>
      </c>
      <c r="B1405" s="1">
        <v>736500</v>
      </c>
      <c r="C1405" s="2">
        <v>41487</v>
      </c>
      <c r="D1405" s="1" t="s">
        <v>1993</v>
      </c>
      <c r="E1405" s="6">
        <v>1</v>
      </c>
      <c r="F1405" s="6" t="str">
        <f t="shared" si="42"/>
        <v>August</v>
      </c>
      <c r="G1405" s="6">
        <f t="shared" si="43"/>
        <v>31</v>
      </c>
      <c r="H1405" s="1">
        <f>SUMIF('Retal Tran Line Item'!E:E,A1405,'Retal Tran Line Item'!B:B)</f>
        <v>3</v>
      </c>
    </row>
    <row r="1406" spans="1:8">
      <c r="A1406" s="1">
        <v>101404</v>
      </c>
      <c r="B1406" s="1">
        <v>766737</v>
      </c>
      <c r="C1406" s="2">
        <v>41487</v>
      </c>
      <c r="D1406" s="1" t="s">
        <v>1994</v>
      </c>
      <c r="E1406" s="6">
        <v>2</v>
      </c>
      <c r="F1406" s="6" t="str">
        <f t="shared" si="42"/>
        <v>August</v>
      </c>
      <c r="G1406" s="6">
        <f t="shared" si="43"/>
        <v>31</v>
      </c>
      <c r="H1406" s="1">
        <f>SUMIF('Retal Tran Line Item'!E:E,A1406,'Retal Tran Line Item'!B:B)</f>
        <v>18</v>
      </c>
    </row>
    <row r="1407" spans="1:8">
      <c r="A1407" s="1">
        <v>101405</v>
      </c>
      <c r="B1407" s="1">
        <v>193914</v>
      </c>
      <c r="C1407" s="2">
        <v>41487</v>
      </c>
      <c r="D1407" s="1" t="s">
        <v>1992</v>
      </c>
      <c r="E1407" s="6">
        <v>1</v>
      </c>
      <c r="F1407" s="6" t="str">
        <f t="shared" si="42"/>
        <v>August</v>
      </c>
      <c r="G1407" s="6">
        <f t="shared" si="43"/>
        <v>31</v>
      </c>
      <c r="H1407" s="1">
        <f>SUMIF('Retal Tran Line Item'!E:E,A1407,'Retal Tran Line Item'!B:B)</f>
        <v>5</v>
      </c>
    </row>
    <row r="1408" spans="1:8">
      <c r="A1408" s="1">
        <v>101406</v>
      </c>
      <c r="B1408" s="1">
        <v>890651</v>
      </c>
      <c r="C1408" s="2">
        <v>41487</v>
      </c>
      <c r="D1408" s="1" t="s">
        <v>1989</v>
      </c>
      <c r="E1408" s="6">
        <v>2</v>
      </c>
      <c r="F1408" s="6" t="str">
        <f t="shared" si="42"/>
        <v>August</v>
      </c>
      <c r="G1408" s="6">
        <f t="shared" si="43"/>
        <v>31</v>
      </c>
      <c r="H1408" s="1">
        <f>SUMIF('Retal Tran Line Item'!E:E,A1408,'Retal Tran Line Item'!B:B)</f>
        <v>8</v>
      </c>
    </row>
    <row r="1409" spans="1:8">
      <c r="A1409" s="1">
        <v>101407</v>
      </c>
      <c r="B1409" s="1">
        <v>500828</v>
      </c>
      <c r="C1409" s="2">
        <v>41487</v>
      </c>
      <c r="D1409" s="1" t="s">
        <v>1992</v>
      </c>
      <c r="E1409" s="6">
        <v>2</v>
      </c>
      <c r="F1409" s="6" t="str">
        <f t="shared" si="42"/>
        <v>August</v>
      </c>
      <c r="G1409" s="6">
        <f t="shared" si="43"/>
        <v>31</v>
      </c>
      <c r="H1409" s="1">
        <f>SUMIF('Retal Tran Line Item'!E:E,A1409,'Retal Tran Line Item'!B:B)</f>
        <v>22</v>
      </c>
    </row>
    <row r="1410" spans="1:8">
      <c r="A1410" s="1">
        <v>101408</v>
      </c>
      <c r="B1410" s="1">
        <v>833180</v>
      </c>
      <c r="C1410" s="2">
        <v>41487</v>
      </c>
      <c r="D1410" s="1" t="s">
        <v>1993</v>
      </c>
      <c r="E1410" s="6">
        <v>1</v>
      </c>
      <c r="F1410" s="6" t="str">
        <f t="shared" si="42"/>
        <v>August</v>
      </c>
      <c r="G1410" s="6">
        <f t="shared" si="43"/>
        <v>31</v>
      </c>
      <c r="H1410" s="1">
        <f>SUMIF('Retal Tran Line Item'!E:E,A1410,'Retal Tran Line Item'!B:B)</f>
        <v>5</v>
      </c>
    </row>
    <row r="1411" spans="1:8">
      <c r="A1411" s="1">
        <v>101409</v>
      </c>
      <c r="B1411" s="1">
        <v>974503</v>
      </c>
      <c r="C1411" s="2">
        <v>41488</v>
      </c>
      <c r="D1411" s="1" t="s">
        <v>1993</v>
      </c>
      <c r="E1411" s="6">
        <v>2</v>
      </c>
      <c r="F1411" s="6" t="str">
        <f t="shared" ref="F1411:F1474" si="44">TEXT(C1411,"MMMM")</f>
        <v>August</v>
      </c>
      <c r="G1411" s="6">
        <f t="shared" ref="G1411:G1474" si="45">WEEKNUM(C1411)</f>
        <v>31</v>
      </c>
      <c r="H1411" s="1">
        <f>SUMIF('Retal Tran Line Item'!E:E,A1411,'Retal Tran Line Item'!B:B)</f>
        <v>7</v>
      </c>
    </row>
    <row r="1412" spans="1:8">
      <c r="A1412" s="1">
        <v>101410</v>
      </c>
      <c r="B1412" s="1">
        <v>599995</v>
      </c>
      <c r="C1412" s="2">
        <v>41488</v>
      </c>
      <c r="D1412" s="1" t="s">
        <v>1989</v>
      </c>
      <c r="E1412" s="6">
        <v>2</v>
      </c>
      <c r="F1412" s="6" t="str">
        <f t="shared" si="44"/>
        <v>August</v>
      </c>
      <c r="G1412" s="6">
        <f t="shared" si="45"/>
        <v>31</v>
      </c>
      <c r="H1412" s="1">
        <f>SUMIF('Retal Tran Line Item'!E:E,A1412,'Retal Tran Line Item'!B:B)</f>
        <v>3</v>
      </c>
    </row>
    <row r="1413" spans="1:8">
      <c r="A1413" s="1">
        <v>101411</v>
      </c>
      <c r="B1413" s="1">
        <v>196068</v>
      </c>
      <c r="C1413" s="2">
        <v>41488</v>
      </c>
      <c r="D1413" s="1" t="s">
        <v>1993</v>
      </c>
      <c r="E1413" s="6">
        <v>1</v>
      </c>
      <c r="F1413" s="6" t="str">
        <f t="shared" si="44"/>
        <v>August</v>
      </c>
      <c r="G1413" s="6">
        <f t="shared" si="45"/>
        <v>31</v>
      </c>
      <c r="H1413" s="1">
        <f>SUMIF('Retal Tran Line Item'!E:E,A1413,'Retal Tran Line Item'!B:B)</f>
        <v>3</v>
      </c>
    </row>
    <row r="1414" spans="1:8">
      <c r="A1414" s="1">
        <v>101412</v>
      </c>
      <c r="B1414" s="1">
        <v>241144</v>
      </c>
      <c r="C1414" s="2">
        <v>41488</v>
      </c>
      <c r="D1414" s="1" t="s">
        <v>1992</v>
      </c>
      <c r="E1414" s="6">
        <v>2</v>
      </c>
      <c r="F1414" s="6" t="str">
        <f t="shared" si="44"/>
        <v>August</v>
      </c>
      <c r="G1414" s="6">
        <f t="shared" si="45"/>
        <v>31</v>
      </c>
      <c r="H1414" s="1">
        <f>SUMIF('Retal Tran Line Item'!E:E,A1414,'Retal Tran Line Item'!B:B)</f>
        <v>17</v>
      </c>
    </row>
    <row r="1415" spans="1:8">
      <c r="A1415" s="1">
        <v>101413</v>
      </c>
      <c r="B1415" s="1">
        <v>694281</v>
      </c>
      <c r="C1415" s="2">
        <v>41488</v>
      </c>
      <c r="D1415" s="1" t="s">
        <v>1989</v>
      </c>
      <c r="E1415" s="6">
        <v>2</v>
      </c>
      <c r="F1415" s="6" t="str">
        <f t="shared" si="44"/>
        <v>August</v>
      </c>
      <c r="G1415" s="6">
        <f t="shared" si="45"/>
        <v>31</v>
      </c>
      <c r="H1415" s="1">
        <f>SUMIF('Retal Tran Line Item'!E:E,A1415,'Retal Tran Line Item'!B:B)</f>
        <v>2</v>
      </c>
    </row>
    <row r="1416" spans="1:8">
      <c r="A1416" s="1">
        <v>101414</v>
      </c>
      <c r="B1416" s="1">
        <v>199895</v>
      </c>
      <c r="C1416" s="2">
        <v>41488</v>
      </c>
      <c r="D1416" s="1" t="s">
        <v>1989</v>
      </c>
      <c r="E1416" s="6">
        <v>2</v>
      </c>
      <c r="F1416" s="6" t="str">
        <f t="shared" si="44"/>
        <v>August</v>
      </c>
      <c r="G1416" s="6">
        <f t="shared" si="45"/>
        <v>31</v>
      </c>
      <c r="H1416" s="1">
        <f>SUMIF('Retal Tran Line Item'!E:E,A1416,'Retal Tran Line Item'!B:B)</f>
        <v>7</v>
      </c>
    </row>
    <row r="1417" spans="1:8">
      <c r="A1417" s="1">
        <v>101415</v>
      </c>
      <c r="B1417" s="1">
        <v>999915</v>
      </c>
      <c r="C1417" s="2">
        <v>41488</v>
      </c>
      <c r="D1417" s="1" t="s">
        <v>1989</v>
      </c>
      <c r="E1417" s="6">
        <v>1</v>
      </c>
      <c r="F1417" s="6" t="str">
        <f t="shared" si="44"/>
        <v>August</v>
      </c>
      <c r="G1417" s="6">
        <f t="shared" si="45"/>
        <v>31</v>
      </c>
      <c r="H1417" s="1">
        <f>SUMIF('Retal Tran Line Item'!E:E,A1417,'Retal Tran Line Item'!B:B)</f>
        <v>24</v>
      </c>
    </row>
    <row r="1418" spans="1:8">
      <c r="A1418" s="1">
        <v>101416</v>
      </c>
      <c r="B1418" s="1">
        <v>739669</v>
      </c>
      <c r="C1418" s="2">
        <v>41488</v>
      </c>
      <c r="D1418" s="1" t="s">
        <v>1992</v>
      </c>
      <c r="E1418" s="6">
        <v>2</v>
      </c>
      <c r="F1418" s="6" t="str">
        <f t="shared" si="44"/>
        <v>August</v>
      </c>
      <c r="G1418" s="6">
        <f t="shared" si="45"/>
        <v>31</v>
      </c>
      <c r="H1418" s="1">
        <f>SUMIF('Retal Tran Line Item'!E:E,A1418,'Retal Tran Line Item'!B:B)</f>
        <v>7</v>
      </c>
    </row>
    <row r="1419" spans="1:8">
      <c r="A1419" s="1">
        <v>101417</v>
      </c>
      <c r="B1419" s="1">
        <v>628132</v>
      </c>
      <c r="C1419" s="2">
        <v>41488</v>
      </c>
      <c r="D1419" s="1" t="s">
        <v>1992</v>
      </c>
      <c r="E1419" s="6">
        <v>1</v>
      </c>
      <c r="F1419" s="6" t="str">
        <f t="shared" si="44"/>
        <v>August</v>
      </c>
      <c r="G1419" s="6">
        <f t="shared" si="45"/>
        <v>31</v>
      </c>
      <c r="H1419" s="1">
        <f>SUMIF('Retal Tran Line Item'!E:E,A1419,'Retal Tran Line Item'!B:B)</f>
        <v>10</v>
      </c>
    </row>
    <row r="1420" spans="1:8">
      <c r="A1420" s="1">
        <v>101418</v>
      </c>
      <c r="B1420" s="1">
        <v>173125</v>
      </c>
      <c r="C1420" s="2">
        <v>41488</v>
      </c>
      <c r="D1420" s="1" t="s">
        <v>1993</v>
      </c>
      <c r="E1420" s="6">
        <v>2</v>
      </c>
      <c r="F1420" s="6" t="str">
        <f t="shared" si="44"/>
        <v>August</v>
      </c>
      <c r="G1420" s="6">
        <f t="shared" si="45"/>
        <v>31</v>
      </c>
      <c r="H1420" s="1">
        <f>SUMIF('Retal Tran Line Item'!E:E,A1420,'Retal Tran Line Item'!B:B)</f>
        <v>16</v>
      </c>
    </row>
    <row r="1421" spans="1:8">
      <c r="A1421" s="1">
        <v>101419</v>
      </c>
      <c r="B1421" s="1">
        <v>116934</v>
      </c>
      <c r="C1421" s="2">
        <v>41488</v>
      </c>
      <c r="D1421" s="1" t="s">
        <v>1992</v>
      </c>
      <c r="E1421" s="6">
        <v>1</v>
      </c>
      <c r="F1421" s="6" t="str">
        <f t="shared" si="44"/>
        <v>August</v>
      </c>
      <c r="G1421" s="6">
        <f t="shared" si="45"/>
        <v>31</v>
      </c>
      <c r="H1421" s="1">
        <f>SUMIF('Retal Tran Line Item'!E:E,A1421,'Retal Tran Line Item'!B:B)</f>
        <v>24</v>
      </c>
    </row>
    <row r="1422" spans="1:8">
      <c r="A1422" s="1">
        <v>101420</v>
      </c>
      <c r="B1422" s="1">
        <v>776775</v>
      </c>
      <c r="C1422" s="2">
        <v>41489</v>
      </c>
      <c r="D1422" s="1" t="s">
        <v>1992</v>
      </c>
      <c r="E1422" s="6">
        <v>2</v>
      </c>
      <c r="F1422" s="6" t="str">
        <f t="shared" si="44"/>
        <v>August</v>
      </c>
      <c r="G1422" s="6">
        <f t="shared" si="45"/>
        <v>31</v>
      </c>
      <c r="H1422" s="1">
        <f>SUMIF('Retal Tran Line Item'!E:E,A1422,'Retal Tran Line Item'!B:B)</f>
        <v>4</v>
      </c>
    </row>
    <row r="1423" spans="1:8">
      <c r="A1423" s="1">
        <v>101421</v>
      </c>
      <c r="B1423" s="1">
        <v>196068</v>
      </c>
      <c r="C1423" s="2">
        <v>41489</v>
      </c>
      <c r="D1423" s="1" t="s">
        <v>1993</v>
      </c>
      <c r="E1423" s="6">
        <v>2</v>
      </c>
      <c r="F1423" s="6" t="str">
        <f t="shared" si="44"/>
        <v>August</v>
      </c>
      <c r="G1423" s="6">
        <f t="shared" si="45"/>
        <v>31</v>
      </c>
      <c r="H1423" s="1">
        <f>SUMIF('Retal Tran Line Item'!E:E,A1423,'Retal Tran Line Item'!B:B)</f>
        <v>12</v>
      </c>
    </row>
    <row r="1424" spans="1:8">
      <c r="A1424" s="1">
        <v>101422</v>
      </c>
      <c r="B1424" s="1">
        <v>741398</v>
      </c>
      <c r="C1424" s="2">
        <v>41489</v>
      </c>
      <c r="D1424" s="1" t="s">
        <v>1993</v>
      </c>
      <c r="E1424" s="6">
        <v>2</v>
      </c>
      <c r="F1424" s="6" t="str">
        <f t="shared" si="44"/>
        <v>August</v>
      </c>
      <c r="G1424" s="6">
        <f t="shared" si="45"/>
        <v>31</v>
      </c>
      <c r="H1424" s="1">
        <f>SUMIF('Retal Tran Line Item'!E:E,A1424,'Retal Tran Line Item'!B:B)</f>
        <v>5</v>
      </c>
    </row>
    <row r="1425" spans="1:8">
      <c r="A1425" s="1">
        <v>101423</v>
      </c>
      <c r="B1425" s="1">
        <v>425051</v>
      </c>
      <c r="C1425" s="2">
        <v>41489</v>
      </c>
      <c r="D1425" s="1" t="s">
        <v>1992</v>
      </c>
      <c r="E1425" s="6">
        <v>2</v>
      </c>
      <c r="F1425" s="6" t="str">
        <f t="shared" si="44"/>
        <v>August</v>
      </c>
      <c r="G1425" s="6">
        <f t="shared" si="45"/>
        <v>31</v>
      </c>
      <c r="H1425" s="1">
        <f>SUMIF('Retal Tran Line Item'!E:E,A1425,'Retal Tran Line Item'!B:B)</f>
        <v>3</v>
      </c>
    </row>
    <row r="1426" spans="1:8">
      <c r="A1426" s="1">
        <v>101424</v>
      </c>
      <c r="B1426" s="1">
        <v>643214</v>
      </c>
      <c r="C1426" s="2">
        <v>41489</v>
      </c>
      <c r="D1426" s="1" t="s">
        <v>1989</v>
      </c>
      <c r="E1426" s="6">
        <v>2</v>
      </c>
      <c r="F1426" s="6" t="str">
        <f t="shared" si="44"/>
        <v>August</v>
      </c>
      <c r="G1426" s="6">
        <f t="shared" si="45"/>
        <v>31</v>
      </c>
      <c r="H1426" s="1">
        <f>SUMIF('Retal Tran Line Item'!E:E,A1426,'Retal Tran Line Item'!B:B)</f>
        <v>18</v>
      </c>
    </row>
    <row r="1427" spans="1:8">
      <c r="A1427" s="1">
        <v>101425</v>
      </c>
      <c r="B1427" s="1">
        <v>798336</v>
      </c>
      <c r="C1427" s="2">
        <v>41489</v>
      </c>
      <c r="D1427" s="1" t="s">
        <v>1989</v>
      </c>
      <c r="E1427" s="6">
        <v>1</v>
      </c>
      <c r="F1427" s="6" t="str">
        <f t="shared" si="44"/>
        <v>August</v>
      </c>
      <c r="G1427" s="6">
        <f t="shared" si="45"/>
        <v>31</v>
      </c>
      <c r="H1427" s="1">
        <f>SUMIF('Retal Tran Line Item'!E:E,A1427,'Retal Tran Line Item'!B:B)</f>
        <v>2</v>
      </c>
    </row>
    <row r="1428" spans="1:8">
      <c r="A1428" s="1">
        <v>101426</v>
      </c>
      <c r="B1428" s="1">
        <v>847289</v>
      </c>
      <c r="C1428" s="2">
        <v>41489</v>
      </c>
      <c r="D1428" s="1" t="s">
        <v>1992</v>
      </c>
      <c r="E1428" s="6">
        <v>1</v>
      </c>
      <c r="F1428" s="6" t="str">
        <f t="shared" si="44"/>
        <v>August</v>
      </c>
      <c r="G1428" s="6">
        <f t="shared" si="45"/>
        <v>31</v>
      </c>
      <c r="H1428" s="1">
        <f>SUMIF('Retal Tran Line Item'!E:E,A1428,'Retal Tran Line Item'!B:B)</f>
        <v>10</v>
      </c>
    </row>
    <row r="1429" spans="1:8">
      <c r="A1429" s="1">
        <v>101427</v>
      </c>
      <c r="B1429" s="1">
        <v>385115</v>
      </c>
      <c r="C1429" s="2">
        <v>41489</v>
      </c>
      <c r="D1429" s="1" t="s">
        <v>1992</v>
      </c>
      <c r="E1429" s="6">
        <v>1</v>
      </c>
      <c r="F1429" s="6" t="str">
        <f t="shared" si="44"/>
        <v>August</v>
      </c>
      <c r="G1429" s="6">
        <f t="shared" si="45"/>
        <v>31</v>
      </c>
      <c r="H1429" s="1">
        <f>SUMIF('Retal Tran Line Item'!E:E,A1429,'Retal Tran Line Item'!B:B)</f>
        <v>16</v>
      </c>
    </row>
    <row r="1430" spans="1:8">
      <c r="A1430" s="1">
        <v>101428</v>
      </c>
      <c r="B1430" s="1">
        <v>344702</v>
      </c>
      <c r="C1430" s="2">
        <v>41489</v>
      </c>
      <c r="D1430" s="1" t="s">
        <v>1992</v>
      </c>
      <c r="E1430" s="6">
        <v>1</v>
      </c>
      <c r="F1430" s="6" t="str">
        <f t="shared" si="44"/>
        <v>August</v>
      </c>
      <c r="G1430" s="6">
        <f t="shared" si="45"/>
        <v>31</v>
      </c>
      <c r="H1430" s="1">
        <f>SUMIF('Retal Tran Line Item'!E:E,A1430,'Retal Tran Line Item'!B:B)</f>
        <v>23</v>
      </c>
    </row>
    <row r="1431" spans="1:8">
      <c r="A1431" s="1">
        <v>101429</v>
      </c>
      <c r="B1431" s="1">
        <v>448993</v>
      </c>
      <c r="C1431" s="2">
        <v>41489</v>
      </c>
      <c r="D1431" s="1" t="s">
        <v>1992</v>
      </c>
      <c r="E1431" s="6">
        <v>1</v>
      </c>
      <c r="F1431" s="6" t="str">
        <f t="shared" si="44"/>
        <v>August</v>
      </c>
      <c r="G1431" s="6">
        <f t="shared" si="45"/>
        <v>31</v>
      </c>
      <c r="H1431" s="1">
        <f>SUMIF('Retal Tran Line Item'!E:E,A1431,'Retal Tran Line Item'!B:B)</f>
        <v>7</v>
      </c>
    </row>
    <row r="1432" spans="1:8">
      <c r="A1432" s="1">
        <v>101430</v>
      </c>
      <c r="B1432" s="1">
        <v>676155</v>
      </c>
      <c r="C1432" s="2">
        <v>41490</v>
      </c>
      <c r="D1432" s="1" t="s">
        <v>1992</v>
      </c>
      <c r="E1432" s="6">
        <v>1</v>
      </c>
      <c r="F1432" s="6" t="str">
        <f t="shared" si="44"/>
        <v>August</v>
      </c>
      <c r="G1432" s="6">
        <f t="shared" si="45"/>
        <v>32</v>
      </c>
      <c r="H1432" s="1">
        <f>SUMIF('Retal Tran Line Item'!E:E,A1432,'Retal Tran Line Item'!B:B)</f>
        <v>18</v>
      </c>
    </row>
    <row r="1433" spans="1:8">
      <c r="A1433" s="1">
        <v>101431</v>
      </c>
      <c r="B1433" s="1">
        <v>517477</v>
      </c>
      <c r="C1433" s="2">
        <v>41490</v>
      </c>
      <c r="D1433" s="1" t="s">
        <v>1992</v>
      </c>
      <c r="E1433" s="6">
        <v>2</v>
      </c>
      <c r="F1433" s="6" t="str">
        <f t="shared" si="44"/>
        <v>August</v>
      </c>
      <c r="G1433" s="6">
        <f t="shared" si="45"/>
        <v>32</v>
      </c>
      <c r="H1433" s="1">
        <f>SUMIF('Retal Tran Line Item'!E:E,A1433,'Retal Tran Line Item'!B:B)</f>
        <v>7</v>
      </c>
    </row>
    <row r="1434" spans="1:8">
      <c r="A1434" s="1">
        <v>101432</v>
      </c>
      <c r="B1434" s="1">
        <v>412544</v>
      </c>
      <c r="C1434" s="2">
        <v>41490</v>
      </c>
      <c r="D1434" s="1" t="s">
        <v>1993</v>
      </c>
      <c r="E1434" s="6">
        <v>2</v>
      </c>
      <c r="F1434" s="6" t="str">
        <f t="shared" si="44"/>
        <v>August</v>
      </c>
      <c r="G1434" s="6">
        <f t="shared" si="45"/>
        <v>32</v>
      </c>
      <c r="H1434" s="1">
        <f>SUMIF('Retal Tran Line Item'!E:E,A1434,'Retal Tran Line Item'!B:B)</f>
        <v>1</v>
      </c>
    </row>
    <row r="1435" spans="1:8">
      <c r="A1435" s="1">
        <v>101433</v>
      </c>
      <c r="B1435" s="1">
        <v>944523</v>
      </c>
      <c r="C1435" s="2">
        <v>41490</v>
      </c>
      <c r="D1435" s="1" t="s">
        <v>1992</v>
      </c>
      <c r="E1435" s="6">
        <v>2</v>
      </c>
      <c r="F1435" s="6" t="str">
        <f t="shared" si="44"/>
        <v>August</v>
      </c>
      <c r="G1435" s="6">
        <f t="shared" si="45"/>
        <v>32</v>
      </c>
      <c r="H1435" s="1">
        <f>SUMIF('Retal Tran Line Item'!E:E,A1435,'Retal Tran Line Item'!B:B)</f>
        <v>27</v>
      </c>
    </row>
    <row r="1436" spans="1:8">
      <c r="A1436" s="1">
        <v>101434</v>
      </c>
      <c r="B1436" s="1">
        <v>363931</v>
      </c>
      <c r="C1436" s="2">
        <v>41490</v>
      </c>
      <c r="D1436" s="1" t="s">
        <v>1994</v>
      </c>
      <c r="E1436" s="6">
        <v>2</v>
      </c>
      <c r="F1436" s="6" t="str">
        <f t="shared" si="44"/>
        <v>August</v>
      </c>
      <c r="G1436" s="6">
        <f t="shared" si="45"/>
        <v>32</v>
      </c>
      <c r="H1436" s="1">
        <f>SUMIF('Retal Tran Line Item'!E:E,A1436,'Retal Tran Line Item'!B:B)</f>
        <v>6</v>
      </c>
    </row>
    <row r="1437" spans="1:8">
      <c r="A1437" s="1">
        <v>101435</v>
      </c>
      <c r="B1437" s="1">
        <v>305005</v>
      </c>
      <c r="C1437" s="2">
        <v>41490</v>
      </c>
      <c r="D1437" s="1" t="s">
        <v>1993</v>
      </c>
      <c r="E1437" s="6">
        <v>1</v>
      </c>
      <c r="F1437" s="6" t="str">
        <f t="shared" si="44"/>
        <v>August</v>
      </c>
      <c r="G1437" s="6">
        <f t="shared" si="45"/>
        <v>32</v>
      </c>
      <c r="H1437" s="1">
        <f>SUMIF('Retal Tran Line Item'!E:E,A1437,'Retal Tran Line Item'!B:B)</f>
        <v>6</v>
      </c>
    </row>
    <row r="1438" spans="1:8">
      <c r="A1438" s="1">
        <v>101436</v>
      </c>
      <c r="B1438" s="1">
        <v>277310</v>
      </c>
      <c r="C1438" s="2">
        <v>41490</v>
      </c>
      <c r="D1438" s="1" t="s">
        <v>1994</v>
      </c>
      <c r="E1438" s="6">
        <v>2</v>
      </c>
      <c r="F1438" s="6" t="str">
        <f t="shared" si="44"/>
        <v>August</v>
      </c>
      <c r="G1438" s="6">
        <f t="shared" si="45"/>
        <v>32</v>
      </c>
      <c r="H1438" s="1">
        <f>SUMIF('Retal Tran Line Item'!E:E,A1438,'Retal Tran Line Item'!B:B)</f>
        <v>12</v>
      </c>
    </row>
    <row r="1439" spans="1:8">
      <c r="A1439" s="1">
        <v>101437</v>
      </c>
      <c r="B1439" s="1">
        <v>317461</v>
      </c>
      <c r="C1439" s="2">
        <v>41490</v>
      </c>
      <c r="D1439" s="1" t="s">
        <v>1992</v>
      </c>
      <c r="E1439" s="6">
        <v>1</v>
      </c>
      <c r="F1439" s="6" t="str">
        <f t="shared" si="44"/>
        <v>August</v>
      </c>
      <c r="G1439" s="6">
        <f t="shared" si="45"/>
        <v>32</v>
      </c>
      <c r="H1439" s="1">
        <f>SUMIF('Retal Tran Line Item'!E:E,A1439,'Retal Tran Line Item'!B:B)</f>
        <v>1</v>
      </c>
    </row>
    <row r="1440" spans="1:8">
      <c r="A1440" s="1">
        <v>101438</v>
      </c>
      <c r="B1440" s="1">
        <v>796796</v>
      </c>
      <c r="C1440" s="2">
        <v>41490</v>
      </c>
      <c r="D1440" s="1" t="s">
        <v>1992</v>
      </c>
      <c r="E1440" s="6">
        <v>1</v>
      </c>
      <c r="F1440" s="6" t="str">
        <f t="shared" si="44"/>
        <v>August</v>
      </c>
      <c r="G1440" s="6">
        <f t="shared" si="45"/>
        <v>32</v>
      </c>
      <c r="H1440" s="1">
        <f>SUMIF('Retal Tran Line Item'!E:E,A1440,'Retal Tran Line Item'!B:B)</f>
        <v>10</v>
      </c>
    </row>
    <row r="1441" spans="1:8">
      <c r="A1441" s="1">
        <v>101439</v>
      </c>
      <c r="B1441" s="1">
        <v>944523</v>
      </c>
      <c r="C1441" s="2">
        <v>41490</v>
      </c>
      <c r="D1441" s="1" t="s">
        <v>1992</v>
      </c>
      <c r="E1441" s="6">
        <v>1</v>
      </c>
      <c r="F1441" s="6" t="str">
        <f t="shared" si="44"/>
        <v>August</v>
      </c>
      <c r="G1441" s="6">
        <f t="shared" si="45"/>
        <v>32</v>
      </c>
      <c r="H1441" s="1">
        <f>SUMIF('Retal Tran Line Item'!E:E,A1441,'Retal Tran Line Item'!B:B)</f>
        <v>6</v>
      </c>
    </row>
    <row r="1442" spans="1:8">
      <c r="A1442" s="1">
        <v>101440</v>
      </c>
      <c r="B1442" s="1">
        <v>706101</v>
      </c>
      <c r="C1442" s="2">
        <v>41490</v>
      </c>
      <c r="D1442" s="1" t="s">
        <v>1993</v>
      </c>
      <c r="E1442" s="6">
        <v>2</v>
      </c>
      <c r="F1442" s="6" t="str">
        <f t="shared" si="44"/>
        <v>August</v>
      </c>
      <c r="G1442" s="6">
        <f t="shared" si="45"/>
        <v>32</v>
      </c>
      <c r="H1442" s="1">
        <f>SUMIF('Retal Tran Line Item'!E:E,A1442,'Retal Tran Line Item'!B:B)</f>
        <v>16</v>
      </c>
    </row>
    <row r="1443" spans="1:8">
      <c r="A1443" s="1">
        <v>101441</v>
      </c>
      <c r="B1443" s="1">
        <v>813719</v>
      </c>
      <c r="C1443" s="2">
        <v>41490</v>
      </c>
      <c r="D1443" s="1" t="s">
        <v>1994</v>
      </c>
      <c r="E1443" s="6">
        <v>2</v>
      </c>
      <c r="F1443" s="6" t="str">
        <f t="shared" si="44"/>
        <v>August</v>
      </c>
      <c r="G1443" s="6">
        <f t="shared" si="45"/>
        <v>32</v>
      </c>
      <c r="H1443" s="1">
        <f>SUMIF('Retal Tran Line Item'!E:E,A1443,'Retal Tran Line Item'!B:B)</f>
        <v>10</v>
      </c>
    </row>
    <row r="1444" spans="1:8">
      <c r="A1444" s="1">
        <v>101442</v>
      </c>
      <c r="B1444" s="1">
        <v>864896</v>
      </c>
      <c r="C1444" s="2">
        <v>41490</v>
      </c>
      <c r="D1444" s="1" t="s">
        <v>1989</v>
      </c>
      <c r="E1444" s="6">
        <v>1</v>
      </c>
      <c r="F1444" s="6" t="str">
        <f t="shared" si="44"/>
        <v>August</v>
      </c>
      <c r="G1444" s="6">
        <f t="shared" si="45"/>
        <v>32</v>
      </c>
      <c r="H1444" s="1">
        <f>SUMIF('Retal Tran Line Item'!E:E,A1444,'Retal Tran Line Item'!B:B)</f>
        <v>12</v>
      </c>
    </row>
    <row r="1445" spans="1:8">
      <c r="A1445" s="1">
        <v>101443</v>
      </c>
      <c r="B1445" s="1">
        <v>147216</v>
      </c>
      <c r="C1445" s="2">
        <v>41490</v>
      </c>
      <c r="D1445" s="1" t="s">
        <v>1993</v>
      </c>
      <c r="E1445" s="6">
        <v>2</v>
      </c>
      <c r="F1445" s="6" t="str">
        <f t="shared" si="44"/>
        <v>August</v>
      </c>
      <c r="G1445" s="6">
        <f t="shared" si="45"/>
        <v>32</v>
      </c>
      <c r="H1445" s="1">
        <f>SUMIF('Retal Tran Line Item'!E:E,A1445,'Retal Tran Line Item'!B:B)</f>
        <v>16</v>
      </c>
    </row>
    <row r="1446" spans="1:8">
      <c r="A1446" s="1">
        <v>101444</v>
      </c>
      <c r="B1446" s="1">
        <v>265339</v>
      </c>
      <c r="C1446" s="2">
        <v>41491</v>
      </c>
      <c r="D1446" s="1" t="s">
        <v>1994</v>
      </c>
      <c r="E1446" s="6">
        <v>1</v>
      </c>
      <c r="F1446" s="6" t="str">
        <f t="shared" si="44"/>
        <v>August</v>
      </c>
      <c r="G1446" s="6">
        <f t="shared" si="45"/>
        <v>32</v>
      </c>
      <c r="H1446" s="1">
        <f>SUMIF('Retal Tran Line Item'!E:E,A1446,'Retal Tran Line Item'!B:B)</f>
        <v>10</v>
      </c>
    </row>
    <row r="1447" spans="1:8">
      <c r="A1447" s="1">
        <v>101445</v>
      </c>
      <c r="B1447" s="1">
        <v>317461</v>
      </c>
      <c r="C1447" s="2">
        <v>41491</v>
      </c>
      <c r="D1447" s="1" t="s">
        <v>1992</v>
      </c>
      <c r="E1447" s="6">
        <v>1</v>
      </c>
      <c r="F1447" s="6" t="str">
        <f t="shared" si="44"/>
        <v>August</v>
      </c>
      <c r="G1447" s="6">
        <f t="shared" si="45"/>
        <v>32</v>
      </c>
      <c r="H1447" s="1">
        <f>SUMIF('Retal Tran Line Item'!E:E,A1447,'Retal Tran Line Item'!B:B)</f>
        <v>4</v>
      </c>
    </row>
    <row r="1448" spans="1:8">
      <c r="A1448" s="1">
        <v>101446</v>
      </c>
      <c r="B1448" s="1">
        <v>556152</v>
      </c>
      <c r="C1448" s="2">
        <v>41491</v>
      </c>
      <c r="D1448" s="1" t="s">
        <v>1993</v>
      </c>
      <c r="E1448" s="6">
        <v>2</v>
      </c>
      <c r="F1448" s="6" t="str">
        <f t="shared" si="44"/>
        <v>August</v>
      </c>
      <c r="G1448" s="6">
        <f t="shared" si="45"/>
        <v>32</v>
      </c>
      <c r="H1448" s="1">
        <f>SUMIF('Retal Tran Line Item'!E:E,A1448,'Retal Tran Line Item'!B:B)</f>
        <v>10</v>
      </c>
    </row>
    <row r="1449" spans="1:8">
      <c r="A1449" s="1">
        <v>101447</v>
      </c>
      <c r="B1449" s="1">
        <v>954812</v>
      </c>
      <c r="C1449" s="2">
        <v>41491</v>
      </c>
      <c r="D1449" s="1" t="s">
        <v>1992</v>
      </c>
      <c r="E1449" s="6">
        <v>1</v>
      </c>
      <c r="F1449" s="6" t="str">
        <f t="shared" si="44"/>
        <v>August</v>
      </c>
      <c r="G1449" s="6">
        <f t="shared" si="45"/>
        <v>32</v>
      </c>
      <c r="H1449" s="1">
        <f>SUMIF('Retal Tran Line Item'!E:E,A1449,'Retal Tran Line Item'!B:B)</f>
        <v>8</v>
      </c>
    </row>
    <row r="1450" spans="1:8">
      <c r="A1450" s="1">
        <v>101448</v>
      </c>
      <c r="B1450" s="1">
        <v>649551</v>
      </c>
      <c r="C1450" s="2">
        <v>41491</v>
      </c>
      <c r="D1450" s="1" t="s">
        <v>1993</v>
      </c>
      <c r="E1450" s="6">
        <v>2</v>
      </c>
      <c r="F1450" s="6" t="str">
        <f t="shared" si="44"/>
        <v>August</v>
      </c>
      <c r="G1450" s="6">
        <f t="shared" si="45"/>
        <v>32</v>
      </c>
      <c r="H1450" s="1">
        <f>SUMIF('Retal Tran Line Item'!E:E,A1450,'Retal Tran Line Item'!B:B)</f>
        <v>21</v>
      </c>
    </row>
    <row r="1451" spans="1:8">
      <c r="A1451" s="1">
        <v>101449</v>
      </c>
      <c r="B1451" s="1">
        <v>813719</v>
      </c>
      <c r="C1451" s="2">
        <v>41491</v>
      </c>
      <c r="D1451" s="1" t="s">
        <v>1994</v>
      </c>
      <c r="E1451" s="6">
        <v>1</v>
      </c>
      <c r="F1451" s="6" t="str">
        <f t="shared" si="44"/>
        <v>August</v>
      </c>
      <c r="G1451" s="6">
        <f t="shared" si="45"/>
        <v>32</v>
      </c>
      <c r="H1451" s="1">
        <f>SUMIF('Retal Tran Line Item'!E:E,A1451,'Retal Tran Line Item'!B:B)</f>
        <v>14</v>
      </c>
    </row>
    <row r="1452" spans="1:8">
      <c r="A1452" s="1">
        <v>101450</v>
      </c>
      <c r="B1452" s="1">
        <v>193968</v>
      </c>
      <c r="C1452" s="2">
        <v>41491</v>
      </c>
      <c r="D1452" s="1" t="s">
        <v>1992</v>
      </c>
      <c r="E1452" s="6">
        <v>1</v>
      </c>
      <c r="F1452" s="6" t="str">
        <f t="shared" si="44"/>
        <v>August</v>
      </c>
      <c r="G1452" s="6">
        <f t="shared" si="45"/>
        <v>32</v>
      </c>
      <c r="H1452" s="1">
        <f>SUMIF('Retal Tran Line Item'!E:E,A1452,'Retal Tran Line Item'!B:B)</f>
        <v>6</v>
      </c>
    </row>
    <row r="1453" spans="1:8">
      <c r="A1453" s="1">
        <v>101451</v>
      </c>
      <c r="B1453" s="1">
        <v>447368</v>
      </c>
      <c r="C1453" s="2">
        <v>41491</v>
      </c>
      <c r="D1453" s="1" t="s">
        <v>1993</v>
      </c>
      <c r="E1453" s="6">
        <v>2</v>
      </c>
      <c r="F1453" s="6" t="str">
        <f t="shared" si="44"/>
        <v>August</v>
      </c>
      <c r="G1453" s="6">
        <f t="shared" si="45"/>
        <v>32</v>
      </c>
      <c r="H1453" s="1">
        <f>SUMIF('Retal Tran Line Item'!E:E,A1453,'Retal Tran Line Item'!B:B)</f>
        <v>12</v>
      </c>
    </row>
    <row r="1454" spans="1:8">
      <c r="A1454" s="1">
        <v>101452</v>
      </c>
      <c r="B1454" s="1">
        <v>478274</v>
      </c>
      <c r="C1454" s="2">
        <v>41491</v>
      </c>
      <c r="D1454" s="1" t="s">
        <v>1993</v>
      </c>
      <c r="E1454" s="6">
        <v>1</v>
      </c>
      <c r="F1454" s="6" t="str">
        <f t="shared" si="44"/>
        <v>August</v>
      </c>
      <c r="G1454" s="6">
        <f t="shared" si="45"/>
        <v>32</v>
      </c>
      <c r="H1454" s="1">
        <f>SUMIF('Retal Tran Line Item'!E:E,A1454,'Retal Tran Line Item'!B:B)</f>
        <v>7</v>
      </c>
    </row>
    <row r="1455" spans="1:8">
      <c r="A1455" s="1">
        <v>101453</v>
      </c>
      <c r="B1455" s="1">
        <v>298508</v>
      </c>
      <c r="C1455" s="2">
        <v>41491</v>
      </c>
      <c r="D1455" s="1" t="s">
        <v>1993</v>
      </c>
      <c r="E1455" s="6">
        <v>2</v>
      </c>
      <c r="F1455" s="6" t="str">
        <f t="shared" si="44"/>
        <v>August</v>
      </c>
      <c r="G1455" s="6">
        <f t="shared" si="45"/>
        <v>32</v>
      </c>
      <c r="H1455" s="1">
        <f>SUMIF('Retal Tran Line Item'!E:E,A1455,'Retal Tran Line Item'!B:B)</f>
        <v>13</v>
      </c>
    </row>
    <row r="1456" spans="1:8">
      <c r="A1456" s="1">
        <v>101454</v>
      </c>
      <c r="B1456" s="1">
        <v>578275</v>
      </c>
      <c r="C1456" s="2">
        <v>41491</v>
      </c>
      <c r="D1456" s="1" t="s">
        <v>1989</v>
      </c>
      <c r="E1456" s="6">
        <v>1</v>
      </c>
      <c r="F1456" s="6" t="str">
        <f t="shared" si="44"/>
        <v>August</v>
      </c>
      <c r="G1456" s="6">
        <f t="shared" si="45"/>
        <v>32</v>
      </c>
      <c r="H1456" s="1">
        <f>SUMIF('Retal Tran Line Item'!E:E,A1456,'Retal Tran Line Item'!B:B)</f>
        <v>11</v>
      </c>
    </row>
    <row r="1457" spans="1:8">
      <c r="A1457" s="1">
        <v>101455</v>
      </c>
      <c r="B1457" s="1">
        <v>611848</v>
      </c>
      <c r="C1457" s="2">
        <v>41491</v>
      </c>
      <c r="D1457" s="1" t="s">
        <v>1992</v>
      </c>
      <c r="E1457" s="6">
        <v>1</v>
      </c>
      <c r="F1457" s="6" t="str">
        <f t="shared" si="44"/>
        <v>August</v>
      </c>
      <c r="G1457" s="6">
        <f t="shared" si="45"/>
        <v>32</v>
      </c>
      <c r="H1457" s="1">
        <f>SUMIF('Retal Tran Line Item'!E:E,A1457,'Retal Tran Line Item'!B:B)</f>
        <v>6</v>
      </c>
    </row>
    <row r="1458" spans="1:8">
      <c r="A1458" s="1">
        <v>101456</v>
      </c>
      <c r="B1458" s="1">
        <v>742620</v>
      </c>
      <c r="C1458" s="2">
        <v>41491</v>
      </c>
      <c r="D1458" s="1" t="s">
        <v>1992</v>
      </c>
      <c r="E1458" s="6">
        <v>1</v>
      </c>
      <c r="F1458" s="6" t="str">
        <f t="shared" si="44"/>
        <v>August</v>
      </c>
      <c r="G1458" s="6">
        <f t="shared" si="45"/>
        <v>32</v>
      </c>
      <c r="H1458" s="1">
        <f>SUMIF('Retal Tran Line Item'!E:E,A1458,'Retal Tran Line Item'!B:B)</f>
        <v>3</v>
      </c>
    </row>
    <row r="1459" spans="1:8">
      <c r="A1459" s="1">
        <v>101457</v>
      </c>
      <c r="B1459" s="1">
        <v>731346</v>
      </c>
      <c r="C1459" s="2">
        <v>41491</v>
      </c>
      <c r="D1459" s="1" t="s">
        <v>1992</v>
      </c>
      <c r="E1459" s="6">
        <v>2</v>
      </c>
      <c r="F1459" s="6" t="str">
        <f t="shared" si="44"/>
        <v>August</v>
      </c>
      <c r="G1459" s="6">
        <f t="shared" si="45"/>
        <v>32</v>
      </c>
      <c r="H1459" s="1">
        <f>SUMIF('Retal Tran Line Item'!E:E,A1459,'Retal Tran Line Item'!B:B)</f>
        <v>26</v>
      </c>
    </row>
    <row r="1460" spans="1:8">
      <c r="A1460" s="1">
        <v>101458</v>
      </c>
      <c r="B1460" s="1">
        <v>485769</v>
      </c>
      <c r="C1460" s="2">
        <v>41491</v>
      </c>
      <c r="D1460" s="1" t="s">
        <v>1989</v>
      </c>
      <c r="E1460" s="6">
        <v>2</v>
      </c>
      <c r="F1460" s="6" t="str">
        <f t="shared" si="44"/>
        <v>August</v>
      </c>
      <c r="G1460" s="6">
        <f t="shared" si="45"/>
        <v>32</v>
      </c>
      <c r="H1460" s="1">
        <f>SUMIF('Retal Tran Line Item'!E:E,A1460,'Retal Tran Line Item'!B:B)</f>
        <v>6</v>
      </c>
    </row>
    <row r="1461" spans="1:8">
      <c r="A1461" s="1">
        <v>101459</v>
      </c>
      <c r="B1461" s="1">
        <v>842028</v>
      </c>
      <c r="C1461" s="2">
        <v>41492</v>
      </c>
      <c r="D1461" s="1" t="s">
        <v>1993</v>
      </c>
      <c r="E1461" s="6">
        <v>1</v>
      </c>
      <c r="F1461" s="6" t="str">
        <f t="shared" si="44"/>
        <v>August</v>
      </c>
      <c r="G1461" s="6">
        <f t="shared" si="45"/>
        <v>32</v>
      </c>
      <c r="H1461" s="1">
        <f>SUMIF('Retal Tran Line Item'!E:E,A1461,'Retal Tran Line Item'!B:B)</f>
        <v>22</v>
      </c>
    </row>
    <row r="1462" spans="1:8">
      <c r="A1462" s="1">
        <v>101460</v>
      </c>
      <c r="B1462" s="1">
        <v>253106</v>
      </c>
      <c r="C1462" s="2">
        <v>41492</v>
      </c>
      <c r="D1462" s="1" t="s">
        <v>1989</v>
      </c>
      <c r="E1462" s="6">
        <v>1</v>
      </c>
      <c r="F1462" s="6" t="str">
        <f t="shared" si="44"/>
        <v>August</v>
      </c>
      <c r="G1462" s="6">
        <f t="shared" si="45"/>
        <v>32</v>
      </c>
      <c r="H1462" s="1">
        <f>SUMIF('Retal Tran Line Item'!E:E,A1462,'Retal Tran Line Item'!B:B)</f>
        <v>9</v>
      </c>
    </row>
    <row r="1463" spans="1:8">
      <c r="A1463" s="1">
        <v>101461</v>
      </c>
      <c r="B1463" s="1">
        <v>646700</v>
      </c>
      <c r="C1463" s="2">
        <v>41492</v>
      </c>
      <c r="D1463" s="1" t="s">
        <v>1989</v>
      </c>
      <c r="E1463" s="6">
        <v>2</v>
      </c>
      <c r="F1463" s="6" t="str">
        <f t="shared" si="44"/>
        <v>August</v>
      </c>
      <c r="G1463" s="6">
        <f t="shared" si="45"/>
        <v>32</v>
      </c>
      <c r="H1463" s="1">
        <f>SUMIF('Retal Tran Line Item'!E:E,A1463,'Retal Tran Line Item'!B:B)</f>
        <v>5</v>
      </c>
    </row>
    <row r="1464" spans="1:8">
      <c r="A1464" s="1">
        <v>101462</v>
      </c>
      <c r="B1464" s="1">
        <v>616392</v>
      </c>
      <c r="C1464" s="2">
        <v>41492</v>
      </c>
      <c r="D1464" s="1" t="s">
        <v>1993</v>
      </c>
      <c r="E1464" s="6">
        <v>1</v>
      </c>
      <c r="F1464" s="6" t="str">
        <f t="shared" si="44"/>
        <v>August</v>
      </c>
      <c r="G1464" s="6">
        <f t="shared" si="45"/>
        <v>32</v>
      </c>
      <c r="H1464" s="1">
        <f>SUMIF('Retal Tran Line Item'!E:E,A1464,'Retal Tran Line Item'!B:B)</f>
        <v>12</v>
      </c>
    </row>
    <row r="1465" spans="1:8">
      <c r="A1465" s="1">
        <v>101463</v>
      </c>
      <c r="B1465" s="1">
        <v>884729</v>
      </c>
      <c r="C1465" s="2">
        <v>41492</v>
      </c>
      <c r="D1465" s="1" t="s">
        <v>1993</v>
      </c>
      <c r="E1465" s="6">
        <v>2</v>
      </c>
      <c r="F1465" s="6" t="str">
        <f t="shared" si="44"/>
        <v>August</v>
      </c>
      <c r="G1465" s="6">
        <f t="shared" si="45"/>
        <v>32</v>
      </c>
      <c r="H1465" s="1">
        <f>SUMIF('Retal Tran Line Item'!E:E,A1465,'Retal Tran Line Item'!B:B)</f>
        <v>2</v>
      </c>
    </row>
    <row r="1466" spans="1:8">
      <c r="A1466" s="1">
        <v>101464</v>
      </c>
      <c r="B1466" s="1">
        <v>256181</v>
      </c>
      <c r="C1466" s="2">
        <v>41492</v>
      </c>
      <c r="D1466" s="1" t="s">
        <v>1993</v>
      </c>
      <c r="E1466" s="6">
        <v>1</v>
      </c>
      <c r="F1466" s="6" t="str">
        <f t="shared" si="44"/>
        <v>August</v>
      </c>
      <c r="G1466" s="6">
        <f t="shared" si="45"/>
        <v>32</v>
      </c>
      <c r="H1466" s="1">
        <f>SUMIF('Retal Tran Line Item'!E:E,A1466,'Retal Tran Line Item'!B:B)</f>
        <v>26</v>
      </c>
    </row>
    <row r="1467" spans="1:8">
      <c r="A1467" s="1">
        <v>101465</v>
      </c>
      <c r="B1467" s="1">
        <v>366695</v>
      </c>
      <c r="C1467" s="2">
        <v>41492</v>
      </c>
      <c r="D1467" s="1" t="s">
        <v>1992</v>
      </c>
      <c r="E1467" s="6">
        <v>2</v>
      </c>
      <c r="F1467" s="6" t="str">
        <f t="shared" si="44"/>
        <v>August</v>
      </c>
      <c r="G1467" s="6">
        <f t="shared" si="45"/>
        <v>32</v>
      </c>
      <c r="H1467" s="1">
        <f>SUMIF('Retal Tran Line Item'!E:E,A1467,'Retal Tran Line Item'!B:B)</f>
        <v>17</v>
      </c>
    </row>
    <row r="1468" spans="1:8">
      <c r="A1468" s="1">
        <v>101466</v>
      </c>
      <c r="B1468" s="1">
        <v>371731</v>
      </c>
      <c r="C1468" s="2">
        <v>41492</v>
      </c>
      <c r="D1468" s="1" t="s">
        <v>1993</v>
      </c>
      <c r="E1468" s="6">
        <v>1</v>
      </c>
      <c r="F1468" s="6" t="str">
        <f t="shared" si="44"/>
        <v>August</v>
      </c>
      <c r="G1468" s="6">
        <f t="shared" si="45"/>
        <v>32</v>
      </c>
      <c r="H1468" s="1">
        <f>SUMIF('Retal Tran Line Item'!E:E,A1468,'Retal Tran Line Item'!B:B)</f>
        <v>12</v>
      </c>
    </row>
    <row r="1469" spans="1:8">
      <c r="A1469" s="1">
        <v>101467</v>
      </c>
      <c r="B1469" s="1">
        <v>837763</v>
      </c>
      <c r="C1469" s="2">
        <v>41492</v>
      </c>
      <c r="D1469" s="1" t="s">
        <v>1994</v>
      </c>
      <c r="E1469" s="6">
        <v>2</v>
      </c>
      <c r="F1469" s="6" t="str">
        <f t="shared" si="44"/>
        <v>August</v>
      </c>
      <c r="G1469" s="6">
        <f t="shared" si="45"/>
        <v>32</v>
      </c>
      <c r="H1469" s="1">
        <f>SUMIF('Retal Tran Line Item'!E:E,A1469,'Retal Tran Line Item'!B:B)</f>
        <v>3</v>
      </c>
    </row>
    <row r="1470" spans="1:8">
      <c r="A1470" s="1">
        <v>101468</v>
      </c>
      <c r="B1470" s="1">
        <v>550824</v>
      </c>
      <c r="C1470" s="2">
        <v>41492</v>
      </c>
      <c r="D1470" s="1" t="s">
        <v>1989</v>
      </c>
      <c r="E1470" s="6">
        <v>2</v>
      </c>
      <c r="F1470" s="6" t="str">
        <f t="shared" si="44"/>
        <v>August</v>
      </c>
      <c r="G1470" s="6">
        <f t="shared" si="45"/>
        <v>32</v>
      </c>
      <c r="H1470" s="1">
        <f>SUMIF('Retal Tran Line Item'!E:E,A1470,'Retal Tran Line Item'!B:B)</f>
        <v>5</v>
      </c>
    </row>
    <row r="1471" spans="1:8">
      <c r="A1471" s="1">
        <v>101469</v>
      </c>
      <c r="B1471" s="1">
        <v>671101</v>
      </c>
      <c r="C1471" s="2">
        <v>41493</v>
      </c>
      <c r="D1471" s="1" t="s">
        <v>1994</v>
      </c>
      <c r="E1471" s="6">
        <v>1</v>
      </c>
      <c r="F1471" s="6" t="str">
        <f t="shared" si="44"/>
        <v>August</v>
      </c>
      <c r="G1471" s="6">
        <f t="shared" si="45"/>
        <v>32</v>
      </c>
      <c r="H1471" s="1">
        <f>SUMIF('Retal Tran Line Item'!E:E,A1471,'Retal Tran Line Item'!B:B)</f>
        <v>5</v>
      </c>
    </row>
    <row r="1472" spans="1:8">
      <c r="A1472" s="1">
        <v>101470</v>
      </c>
      <c r="B1472" s="1">
        <v>586201</v>
      </c>
      <c r="C1472" s="2">
        <v>41493</v>
      </c>
      <c r="D1472" s="1" t="s">
        <v>1992</v>
      </c>
      <c r="E1472" s="6">
        <v>2</v>
      </c>
      <c r="F1472" s="6" t="str">
        <f t="shared" si="44"/>
        <v>August</v>
      </c>
      <c r="G1472" s="6">
        <f t="shared" si="45"/>
        <v>32</v>
      </c>
      <c r="H1472" s="1">
        <f>SUMIF('Retal Tran Line Item'!E:E,A1472,'Retal Tran Line Item'!B:B)</f>
        <v>14</v>
      </c>
    </row>
    <row r="1473" spans="1:8">
      <c r="A1473" s="1">
        <v>101471</v>
      </c>
      <c r="B1473" s="1">
        <v>593317</v>
      </c>
      <c r="C1473" s="2">
        <v>41493</v>
      </c>
      <c r="D1473" s="1" t="s">
        <v>1989</v>
      </c>
      <c r="E1473" s="6">
        <v>1</v>
      </c>
      <c r="F1473" s="6" t="str">
        <f t="shared" si="44"/>
        <v>August</v>
      </c>
      <c r="G1473" s="6">
        <f t="shared" si="45"/>
        <v>32</v>
      </c>
      <c r="H1473" s="1">
        <f>SUMIF('Retal Tran Line Item'!E:E,A1473,'Retal Tran Line Item'!B:B)</f>
        <v>10</v>
      </c>
    </row>
    <row r="1474" spans="1:8">
      <c r="A1474" s="1">
        <v>101472</v>
      </c>
      <c r="B1474" s="1">
        <v>469564</v>
      </c>
      <c r="C1474" s="2">
        <v>41493</v>
      </c>
      <c r="D1474" s="1" t="s">
        <v>1989</v>
      </c>
      <c r="E1474" s="6">
        <v>1</v>
      </c>
      <c r="F1474" s="6" t="str">
        <f t="shared" si="44"/>
        <v>August</v>
      </c>
      <c r="G1474" s="6">
        <f t="shared" si="45"/>
        <v>32</v>
      </c>
      <c r="H1474" s="1">
        <f>SUMIF('Retal Tran Line Item'!E:E,A1474,'Retal Tran Line Item'!B:B)</f>
        <v>8</v>
      </c>
    </row>
    <row r="1475" spans="1:8">
      <c r="A1475" s="1">
        <v>101473</v>
      </c>
      <c r="B1475" s="1">
        <v>249779</v>
      </c>
      <c r="C1475" s="2">
        <v>41493</v>
      </c>
      <c r="D1475" s="1" t="s">
        <v>1992</v>
      </c>
      <c r="E1475" s="6">
        <v>2</v>
      </c>
      <c r="F1475" s="6" t="str">
        <f t="shared" ref="F1475:F1538" si="46">TEXT(C1475,"MMMM")</f>
        <v>August</v>
      </c>
      <c r="G1475" s="6">
        <f t="shared" ref="G1475:G1538" si="47">WEEKNUM(C1475)</f>
        <v>32</v>
      </c>
      <c r="H1475" s="1">
        <f>SUMIF('Retal Tran Line Item'!E:E,A1475,'Retal Tran Line Item'!B:B)</f>
        <v>1</v>
      </c>
    </row>
    <row r="1476" spans="1:8">
      <c r="A1476" s="1">
        <v>101474</v>
      </c>
      <c r="B1476" s="1">
        <v>189953</v>
      </c>
      <c r="C1476" s="2">
        <v>41494</v>
      </c>
      <c r="D1476" s="1" t="s">
        <v>1992</v>
      </c>
      <c r="E1476" s="6">
        <v>2</v>
      </c>
      <c r="F1476" s="6" t="str">
        <f t="shared" si="46"/>
        <v>August</v>
      </c>
      <c r="G1476" s="6">
        <f t="shared" si="47"/>
        <v>32</v>
      </c>
      <c r="H1476" s="1">
        <f>SUMIF('Retal Tran Line Item'!E:E,A1476,'Retal Tran Line Item'!B:B)</f>
        <v>11</v>
      </c>
    </row>
    <row r="1477" spans="1:8">
      <c r="A1477" s="1">
        <v>101475</v>
      </c>
      <c r="B1477" s="1">
        <v>157388</v>
      </c>
      <c r="C1477" s="2">
        <v>41494</v>
      </c>
      <c r="D1477" s="1" t="s">
        <v>1989</v>
      </c>
      <c r="E1477" s="6">
        <v>1</v>
      </c>
      <c r="F1477" s="6" t="str">
        <f t="shared" si="46"/>
        <v>August</v>
      </c>
      <c r="G1477" s="6">
        <f t="shared" si="47"/>
        <v>32</v>
      </c>
      <c r="H1477" s="1">
        <f>SUMIF('Retal Tran Line Item'!E:E,A1477,'Retal Tran Line Item'!B:B)</f>
        <v>15</v>
      </c>
    </row>
    <row r="1478" spans="1:8">
      <c r="A1478" s="1">
        <v>101476</v>
      </c>
      <c r="B1478" s="1">
        <v>782947</v>
      </c>
      <c r="C1478" s="2">
        <v>41494</v>
      </c>
      <c r="D1478" s="1" t="s">
        <v>1993</v>
      </c>
      <c r="E1478" s="6">
        <v>2</v>
      </c>
      <c r="F1478" s="6" t="str">
        <f t="shared" si="46"/>
        <v>August</v>
      </c>
      <c r="G1478" s="6">
        <f t="shared" si="47"/>
        <v>32</v>
      </c>
      <c r="H1478" s="1">
        <f>SUMIF('Retal Tran Line Item'!E:E,A1478,'Retal Tran Line Item'!B:B)</f>
        <v>7</v>
      </c>
    </row>
    <row r="1479" spans="1:8">
      <c r="A1479" s="1">
        <v>101477</v>
      </c>
      <c r="B1479" s="1">
        <v>454143</v>
      </c>
      <c r="C1479" s="2">
        <v>41494</v>
      </c>
      <c r="D1479" s="1" t="s">
        <v>1993</v>
      </c>
      <c r="E1479" s="6">
        <v>1</v>
      </c>
      <c r="F1479" s="6" t="str">
        <f t="shared" si="46"/>
        <v>August</v>
      </c>
      <c r="G1479" s="6">
        <f t="shared" si="47"/>
        <v>32</v>
      </c>
      <c r="H1479" s="1">
        <f>SUMIF('Retal Tran Line Item'!E:E,A1479,'Retal Tran Line Item'!B:B)</f>
        <v>10</v>
      </c>
    </row>
    <row r="1480" spans="1:8">
      <c r="A1480" s="1">
        <v>101478</v>
      </c>
      <c r="B1480" s="1">
        <v>927518</v>
      </c>
      <c r="C1480" s="2">
        <v>41494</v>
      </c>
      <c r="D1480" s="1" t="s">
        <v>1993</v>
      </c>
      <c r="E1480" s="6">
        <v>1</v>
      </c>
      <c r="F1480" s="6" t="str">
        <f t="shared" si="46"/>
        <v>August</v>
      </c>
      <c r="G1480" s="6">
        <f t="shared" si="47"/>
        <v>32</v>
      </c>
      <c r="H1480" s="1">
        <f>SUMIF('Retal Tran Line Item'!E:E,A1480,'Retal Tran Line Item'!B:B)</f>
        <v>9</v>
      </c>
    </row>
    <row r="1481" spans="1:8">
      <c r="A1481" s="1">
        <v>101479</v>
      </c>
      <c r="B1481" s="1">
        <v>469564</v>
      </c>
      <c r="C1481" s="2">
        <v>41494</v>
      </c>
      <c r="D1481" s="1" t="s">
        <v>1989</v>
      </c>
      <c r="E1481" s="6">
        <v>2</v>
      </c>
      <c r="F1481" s="6" t="str">
        <f t="shared" si="46"/>
        <v>August</v>
      </c>
      <c r="G1481" s="6">
        <f t="shared" si="47"/>
        <v>32</v>
      </c>
      <c r="H1481" s="1">
        <f>SUMIF('Retal Tran Line Item'!E:E,A1481,'Retal Tran Line Item'!B:B)</f>
        <v>8</v>
      </c>
    </row>
    <row r="1482" spans="1:8">
      <c r="A1482" s="1">
        <v>101480</v>
      </c>
      <c r="B1482" s="1">
        <v>731346</v>
      </c>
      <c r="C1482" s="2">
        <v>41494</v>
      </c>
      <c r="D1482" s="1" t="s">
        <v>1992</v>
      </c>
      <c r="E1482" s="6">
        <v>2</v>
      </c>
      <c r="F1482" s="6" t="str">
        <f t="shared" si="46"/>
        <v>August</v>
      </c>
      <c r="G1482" s="6">
        <f t="shared" si="47"/>
        <v>32</v>
      </c>
      <c r="H1482" s="1">
        <f>SUMIF('Retal Tran Line Item'!E:E,A1482,'Retal Tran Line Item'!B:B)</f>
        <v>7</v>
      </c>
    </row>
    <row r="1483" spans="1:8">
      <c r="A1483" s="1">
        <v>101481</v>
      </c>
      <c r="B1483" s="1">
        <v>908328</v>
      </c>
      <c r="C1483" s="2">
        <v>41494</v>
      </c>
      <c r="D1483" s="1" t="s">
        <v>1992</v>
      </c>
      <c r="E1483" s="6">
        <v>1</v>
      </c>
      <c r="F1483" s="6" t="str">
        <f t="shared" si="46"/>
        <v>August</v>
      </c>
      <c r="G1483" s="6">
        <f t="shared" si="47"/>
        <v>32</v>
      </c>
      <c r="H1483" s="1">
        <f>SUMIF('Retal Tran Line Item'!E:E,A1483,'Retal Tran Line Item'!B:B)</f>
        <v>4</v>
      </c>
    </row>
    <row r="1484" spans="1:8">
      <c r="A1484" s="1">
        <v>101482</v>
      </c>
      <c r="B1484" s="1">
        <v>927518</v>
      </c>
      <c r="C1484" s="2">
        <v>41494</v>
      </c>
      <c r="D1484" s="1" t="s">
        <v>1993</v>
      </c>
      <c r="E1484" s="6">
        <v>1</v>
      </c>
      <c r="F1484" s="6" t="str">
        <f t="shared" si="46"/>
        <v>August</v>
      </c>
      <c r="G1484" s="6">
        <f t="shared" si="47"/>
        <v>32</v>
      </c>
      <c r="H1484" s="1">
        <f>SUMIF('Retal Tran Line Item'!E:E,A1484,'Retal Tran Line Item'!B:B)</f>
        <v>6</v>
      </c>
    </row>
    <row r="1485" spans="1:8">
      <c r="A1485" s="1">
        <v>101483</v>
      </c>
      <c r="B1485" s="1">
        <v>191951</v>
      </c>
      <c r="C1485" s="2">
        <v>41494</v>
      </c>
      <c r="D1485" s="1" t="s">
        <v>1992</v>
      </c>
      <c r="E1485" s="6">
        <v>1</v>
      </c>
      <c r="F1485" s="6" t="str">
        <f t="shared" si="46"/>
        <v>August</v>
      </c>
      <c r="G1485" s="6">
        <f t="shared" si="47"/>
        <v>32</v>
      </c>
      <c r="H1485" s="1">
        <f>SUMIF('Retal Tran Line Item'!E:E,A1485,'Retal Tran Line Item'!B:B)</f>
        <v>14</v>
      </c>
    </row>
    <row r="1486" spans="1:8">
      <c r="A1486" s="1">
        <v>101484</v>
      </c>
      <c r="B1486" s="1">
        <v>448993</v>
      </c>
      <c r="C1486" s="2">
        <v>41494</v>
      </c>
      <c r="D1486" s="1" t="s">
        <v>1992</v>
      </c>
      <c r="E1486" s="6">
        <v>2</v>
      </c>
      <c r="F1486" s="6" t="str">
        <f t="shared" si="46"/>
        <v>August</v>
      </c>
      <c r="G1486" s="6">
        <f t="shared" si="47"/>
        <v>32</v>
      </c>
      <c r="H1486" s="1">
        <f>SUMIF('Retal Tran Line Item'!E:E,A1486,'Retal Tran Line Item'!B:B)</f>
        <v>12</v>
      </c>
    </row>
    <row r="1487" spans="1:8">
      <c r="A1487" s="1">
        <v>101485</v>
      </c>
      <c r="B1487" s="1">
        <v>485769</v>
      </c>
      <c r="C1487" s="2">
        <v>41495</v>
      </c>
      <c r="D1487" s="1" t="s">
        <v>1989</v>
      </c>
      <c r="E1487" s="6">
        <v>1</v>
      </c>
      <c r="F1487" s="6" t="str">
        <f t="shared" si="46"/>
        <v>August</v>
      </c>
      <c r="G1487" s="6">
        <f t="shared" si="47"/>
        <v>32</v>
      </c>
      <c r="H1487" s="1">
        <f>SUMIF('Retal Tran Line Item'!E:E,A1487,'Retal Tran Line Item'!B:B)</f>
        <v>5</v>
      </c>
    </row>
    <row r="1488" spans="1:8">
      <c r="A1488" s="1">
        <v>101486</v>
      </c>
      <c r="B1488" s="1">
        <v>925565</v>
      </c>
      <c r="C1488" s="2">
        <v>41495</v>
      </c>
      <c r="D1488" s="1" t="s">
        <v>1992</v>
      </c>
      <c r="E1488" s="6">
        <v>1</v>
      </c>
      <c r="F1488" s="6" t="str">
        <f t="shared" si="46"/>
        <v>August</v>
      </c>
      <c r="G1488" s="6">
        <f t="shared" si="47"/>
        <v>32</v>
      </c>
      <c r="H1488" s="1">
        <f>SUMIF('Retal Tran Line Item'!E:E,A1488,'Retal Tran Line Item'!B:B)</f>
        <v>9</v>
      </c>
    </row>
    <row r="1489" spans="1:8">
      <c r="A1489" s="1">
        <v>101487</v>
      </c>
      <c r="B1489" s="1">
        <v>739669</v>
      </c>
      <c r="C1489" s="2">
        <v>41495</v>
      </c>
      <c r="D1489" s="1" t="s">
        <v>1992</v>
      </c>
      <c r="E1489" s="6">
        <v>2</v>
      </c>
      <c r="F1489" s="6" t="str">
        <f t="shared" si="46"/>
        <v>August</v>
      </c>
      <c r="G1489" s="6">
        <f t="shared" si="47"/>
        <v>32</v>
      </c>
      <c r="H1489" s="1">
        <f>SUMIF('Retal Tran Line Item'!E:E,A1489,'Retal Tran Line Item'!B:B)</f>
        <v>9</v>
      </c>
    </row>
    <row r="1490" spans="1:8">
      <c r="A1490" s="1">
        <v>101488</v>
      </c>
      <c r="B1490" s="1">
        <v>580674</v>
      </c>
      <c r="C1490" s="2">
        <v>41495</v>
      </c>
      <c r="D1490" s="1" t="s">
        <v>1994</v>
      </c>
      <c r="E1490" s="6">
        <v>2</v>
      </c>
      <c r="F1490" s="6" t="str">
        <f t="shared" si="46"/>
        <v>August</v>
      </c>
      <c r="G1490" s="6">
        <f t="shared" si="47"/>
        <v>32</v>
      </c>
      <c r="H1490" s="1">
        <f>SUMIF('Retal Tran Line Item'!E:E,A1490,'Retal Tran Line Item'!B:B)</f>
        <v>8</v>
      </c>
    </row>
    <row r="1491" spans="1:8">
      <c r="A1491" s="1">
        <v>101489</v>
      </c>
      <c r="B1491" s="1">
        <v>170500</v>
      </c>
      <c r="C1491" s="2">
        <v>41495</v>
      </c>
      <c r="D1491" s="1" t="s">
        <v>1989</v>
      </c>
      <c r="E1491" s="6">
        <v>1</v>
      </c>
      <c r="F1491" s="6" t="str">
        <f t="shared" si="46"/>
        <v>August</v>
      </c>
      <c r="G1491" s="6">
        <f t="shared" si="47"/>
        <v>32</v>
      </c>
      <c r="H1491" s="1">
        <f>SUMIF('Retal Tran Line Item'!E:E,A1491,'Retal Tran Line Item'!B:B)</f>
        <v>1</v>
      </c>
    </row>
    <row r="1492" spans="1:8">
      <c r="A1492" s="1">
        <v>101490</v>
      </c>
      <c r="B1492" s="1">
        <v>422717</v>
      </c>
      <c r="C1492" s="2">
        <v>41495</v>
      </c>
      <c r="D1492" s="1" t="s">
        <v>1993</v>
      </c>
      <c r="E1492" s="6">
        <v>1</v>
      </c>
      <c r="F1492" s="6" t="str">
        <f t="shared" si="46"/>
        <v>August</v>
      </c>
      <c r="G1492" s="6">
        <f t="shared" si="47"/>
        <v>32</v>
      </c>
      <c r="H1492" s="1">
        <f>SUMIF('Retal Tran Line Item'!E:E,A1492,'Retal Tran Line Item'!B:B)</f>
        <v>5</v>
      </c>
    </row>
    <row r="1493" spans="1:8">
      <c r="A1493" s="1">
        <v>101491</v>
      </c>
      <c r="B1493" s="1">
        <v>592528</v>
      </c>
      <c r="C1493" s="2">
        <v>41495</v>
      </c>
      <c r="D1493" s="1" t="s">
        <v>1992</v>
      </c>
      <c r="E1493" s="6">
        <v>2</v>
      </c>
      <c r="F1493" s="6" t="str">
        <f t="shared" si="46"/>
        <v>August</v>
      </c>
      <c r="G1493" s="6">
        <f t="shared" si="47"/>
        <v>32</v>
      </c>
      <c r="H1493" s="1">
        <f>SUMIF('Retal Tran Line Item'!E:E,A1493,'Retal Tran Line Item'!B:B)</f>
        <v>21</v>
      </c>
    </row>
    <row r="1494" spans="1:8">
      <c r="A1494" s="1">
        <v>101492</v>
      </c>
      <c r="B1494" s="1">
        <v>296208</v>
      </c>
      <c r="C1494" s="2">
        <v>41495</v>
      </c>
      <c r="D1494" s="1" t="s">
        <v>1993</v>
      </c>
      <c r="E1494" s="6">
        <v>1</v>
      </c>
      <c r="F1494" s="6" t="str">
        <f t="shared" si="46"/>
        <v>August</v>
      </c>
      <c r="G1494" s="6">
        <f t="shared" si="47"/>
        <v>32</v>
      </c>
      <c r="H1494" s="1">
        <f>SUMIF('Retal Tran Line Item'!E:E,A1494,'Retal Tran Line Item'!B:B)</f>
        <v>13</v>
      </c>
    </row>
    <row r="1495" spans="1:8">
      <c r="A1495" s="1">
        <v>101493</v>
      </c>
      <c r="B1495" s="1">
        <v>872851</v>
      </c>
      <c r="C1495" s="2">
        <v>41495</v>
      </c>
      <c r="D1495" s="1" t="s">
        <v>1992</v>
      </c>
      <c r="E1495" s="6">
        <v>2</v>
      </c>
      <c r="F1495" s="6" t="str">
        <f t="shared" si="46"/>
        <v>August</v>
      </c>
      <c r="G1495" s="6">
        <f t="shared" si="47"/>
        <v>32</v>
      </c>
      <c r="H1495" s="1">
        <f>SUMIF('Retal Tran Line Item'!E:E,A1495,'Retal Tran Line Item'!B:B)</f>
        <v>10</v>
      </c>
    </row>
    <row r="1496" spans="1:8">
      <c r="A1496" s="1">
        <v>101494</v>
      </c>
      <c r="B1496" s="1">
        <v>160392</v>
      </c>
      <c r="C1496" s="2">
        <v>41495</v>
      </c>
      <c r="D1496" s="1" t="s">
        <v>1989</v>
      </c>
      <c r="E1496" s="6">
        <v>1</v>
      </c>
      <c r="F1496" s="6" t="str">
        <f t="shared" si="46"/>
        <v>August</v>
      </c>
      <c r="G1496" s="6">
        <f t="shared" si="47"/>
        <v>32</v>
      </c>
      <c r="H1496" s="1">
        <f>SUMIF('Retal Tran Line Item'!E:E,A1496,'Retal Tran Line Item'!B:B)</f>
        <v>10</v>
      </c>
    </row>
    <row r="1497" spans="1:8">
      <c r="A1497" s="1">
        <v>101495</v>
      </c>
      <c r="B1497" s="1">
        <v>616392</v>
      </c>
      <c r="C1497" s="2">
        <v>41495</v>
      </c>
      <c r="D1497" s="1" t="s">
        <v>1993</v>
      </c>
      <c r="E1497" s="6">
        <v>2</v>
      </c>
      <c r="F1497" s="6" t="str">
        <f t="shared" si="46"/>
        <v>August</v>
      </c>
      <c r="G1497" s="6">
        <f t="shared" si="47"/>
        <v>32</v>
      </c>
      <c r="H1497" s="1">
        <f>SUMIF('Retal Tran Line Item'!E:E,A1497,'Retal Tran Line Item'!B:B)</f>
        <v>13</v>
      </c>
    </row>
    <row r="1498" spans="1:8">
      <c r="A1498" s="1">
        <v>101496</v>
      </c>
      <c r="B1498" s="1">
        <v>941876</v>
      </c>
      <c r="C1498" s="2">
        <v>41496</v>
      </c>
      <c r="D1498" s="1" t="s">
        <v>1993</v>
      </c>
      <c r="E1498" s="6">
        <v>1</v>
      </c>
      <c r="F1498" s="6" t="str">
        <f t="shared" si="46"/>
        <v>August</v>
      </c>
      <c r="G1498" s="6">
        <f t="shared" si="47"/>
        <v>32</v>
      </c>
      <c r="H1498" s="1">
        <f>SUMIF('Retal Tran Line Item'!E:E,A1498,'Retal Tran Line Item'!B:B)</f>
        <v>8</v>
      </c>
    </row>
    <row r="1499" spans="1:8">
      <c r="A1499" s="1">
        <v>101497</v>
      </c>
      <c r="B1499" s="1">
        <v>643214</v>
      </c>
      <c r="C1499" s="2">
        <v>41496</v>
      </c>
      <c r="D1499" s="1" t="s">
        <v>1989</v>
      </c>
      <c r="E1499" s="6">
        <v>1</v>
      </c>
      <c r="F1499" s="6" t="str">
        <f t="shared" si="46"/>
        <v>August</v>
      </c>
      <c r="G1499" s="6">
        <f t="shared" si="47"/>
        <v>32</v>
      </c>
      <c r="H1499" s="1">
        <f>SUMIF('Retal Tran Line Item'!E:E,A1499,'Retal Tran Line Item'!B:B)</f>
        <v>1</v>
      </c>
    </row>
    <row r="1500" spans="1:8">
      <c r="A1500" s="1">
        <v>101498</v>
      </c>
      <c r="B1500" s="1">
        <v>220206</v>
      </c>
      <c r="C1500" s="2">
        <v>41496</v>
      </c>
      <c r="D1500" s="1" t="s">
        <v>1992</v>
      </c>
      <c r="E1500" s="6">
        <v>2</v>
      </c>
      <c r="F1500" s="6" t="str">
        <f t="shared" si="46"/>
        <v>August</v>
      </c>
      <c r="G1500" s="6">
        <f t="shared" si="47"/>
        <v>32</v>
      </c>
      <c r="H1500" s="1">
        <f>SUMIF('Retal Tran Line Item'!E:E,A1500,'Retal Tran Line Item'!B:B)</f>
        <v>9</v>
      </c>
    </row>
    <row r="1501" spans="1:8">
      <c r="A1501" s="1">
        <v>101499</v>
      </c>
      <c r="B1501" s="1">
        <v>396166</v>
      </c>
      <c r="C1501" s="2">
        <v>41496</v>
      </c>
      <c r="D1501" s="1" t="s">
        <v>1992</v>
      </c>
      <c r="E1501" s="6">
        <v>1</v>
      </c>
      <c r="F1501" s="6" t="str">
        <f t="shared" si="46"/>
        <v>August</v>
      </c>
      <c r="G1501" s="6">
        <f t="shared" si="47"/>
        <v>32</v>
      </c>
      <c r="H1501" s="1">
        <f>SUMIF('Retal Tran Line Item'!E:E,A1501,'Retal Tran Line Item'!B:B)</f>
        <v>6</v>
      </c>
    </row>
    <row r="1502" spans="1:8">
      <c r="A1502" s="1">
        <v>101500</v>
      </c>
      <c r="B1502" s="1">
        <v>464984</v>
      </c>
      <c r="C1502" s="2">
        <v>41496</v>
      </c>
      <c r="D1502" s="1" t="s">
        <v>1993</v>
      </c>
      <c r="E1502" s="6">
        <v>1</v>
      </c>
      <c r="F1502" s="6" t="str">
        <f t="shared" si="46"/>
        <v>August</v>
      </c>
      <c r="G1502" s="6">
        <f t="shared" si="47"/>
        <v>32</v>
      </c>
      <c r="H1502" s="1">
        <f>SUMIF('Retal Tran Line Item'!E:E,A1502,'Retal Tran Line Item'!B:B)</f>
        <v>11</v>
      </c>
    </row>
    <row r="1503" spans="1:8">
      <c r="A1503" s="1">
        <v>101501</v>
      </c>
      <c r="B1503" s="1">
        <v>286196</v>
      </c>
      <c r="C1503" s="2">
        <v>41496</v>
      </c>
      <c r="D1503" s="1" t="s">
        <v>1989</v>
      </c>
      <c r="E1503" s="6">
        <v>2</v>
      </c>
      <c r="F1503" s="6" t="str">
        <f t="shared" si="46"/>
        <v>August</v>
      </c>
      <c r="G1503" s="6">
        <f t="shared" si="47"/>
        <v>32</v>
      </c>
      <c r="H1503" s="1">
        <f>SUMIF('Retal Tran Line Item'!E:E,A1503,'Retal Tran Line Item'!B:B)</f>
        <v>21</v>
      </c>
    </row>
    <row r="1504" spans="1:8">
      <c r="A1504" s="1">
        <v>101502</v>
      </c>
      <c r="B1504" s="1">
        <v>664411</v>
      </c>
      <c r="C1504" s="2">
        <v>41496</v>
      </c>
      <c r="D1504" s="1" t="s">
        <v>1992</v>
      </c>
      <c r="E1504" s="6">
        <v>2</v>
      </c>
      <c r="F1504" s="6" t="str">
        <f t="shared" si="46"/>
        <v>August</v>
      </c>
      <c r="G1504" s="6">
        <f t="shared" si="47"/>
        <v>32</v>
      </c>
      <c r="H1504" s="1">
        <f>SUMIF('Retal Tran Line Item'!E:E,A1504,'Retal Tran Line Item'!B:B)</f>
        <v>14</v>
      </c>
    </row>
    <row r="1505" spans="1:8">
      <c r="A1505" s="1">
        <v>101503</v>
      </c>
      <c r="B1505" s="1">
        <v>590517</v>
      </c>
      <c r="C1505" s="2">
        <v>41496</v>
      </c>
      <c r="D1505" s="1" t="s">
        <v>1994</v>
      </c>
      <c r="E1505" s="6">
        <v>1</v>
      </c>
      <c r="F1505" s="6" t="str">
        <f t="shared" si="46"/>
        <v>August</v>
      </c>
      <c r="G1505" s="6">
        <f t="shared" si="47"/>
        <v>32</v>
      </c>
      <c r="H1505" s="1">
        <f>SUMIF('Retal Tran Line Item'!E:E,A1505,'Retal Tran Line Item'!B:B)</f>
        <v>6</v>
      </c>
    </row>
    <row r="1506" spans="1:8">
      <c r="A1506" s="1">
        <v>101504</v>
      </c>
      <c r="B1506" s="1">
        <v>664411</v>
      </c>
      <c r="C1506" s="2">
        <v>41496</v>
      </c>
      <c r="D1506" s="1" t="s">
        <v>1992</v>
      </c>
      <c r="E1506" s="6">
        <v>1</v>
      </c>
      <c r="F1506" s="6" t="str">
        <f t="shared" si="46"/>
        <v>August</v>
      </c>
      <c r="G1506" s="6">
        <f t="shared" si="47"/>
        <v>32</v>
      </c>
      <c r="H1506" s="1">
        <f>SUMIF('Retal Tran Line Item'!E:E,A1506,'Retal Tran Line Item'!B:B)</f>
        <v>5</v>
      </c>
    </row>
    <row r="1507" spans="1:8">
      <c r="A1507" s="1">
        <v>101505</v>
      </c>
      <c r="B1507" s="1">
        <v>742620</v>
      </c>
      <c r="C1507" s="2">
        <v>41496</v>
      </c>
      <c r="D1507" s="1" t="s">
        <v>1992</v>
      </c>
      <c r="E1507" s="6">
        <v>1</v>
      </c>
      <c r="F1507" s="6" t="str">
        <f t="shared" si="46"/>
        <v>August</v>
      </c>
      <c r="G1507" s="6">
        <f t="shared" si="47"/>
        <v>32</v>
      </c>
      <c r="H1507" s="1">
        <f>SUMIF('Retal Tran Line Item'!E:E,A1507,'Retal Tran Line Item'!B:B)</f>
        <v>9</v>
      </c>
    </row>
    <row r="1508" spans="1:8">
      <c r="A1508" s="1">
        <v>101506</v>
      </c>
      <c r="B1508" s="1">
        <v>882493</v>
      </c>
      <c r="C1508" s="2">
        <v>41496</v>
      </c>
      <c r="D1508" s="1" t="s">
        <v>1992</v>
      </c>
      <c r="E1508" s="6">
        <v>2</v>
      </c>
      <c r="F1508" s="6" t="str">
        <f t="shared" si="46"/>
        <v>August</v>
      </c>
      <c r="G1508" s="6">
        <f t="shared" si="47"/>
        <v>32</v>
      </c>
      <c r="H1508" s="1">
        <f>SUMIF('Retal Tran Line Item'!E:E,A1508,'Retal Tran Line Item'!B:B)</f>
        <v>1</v>
      </c>
    </row>
    <row r="1509" spans="1:8">
      <c r="A1509" s="1">
        <v>101507</v>
      </c>
      <c r="B1509" s="1">
        <v>465275</v>
      </c>
      <c r="C1509" s="2">
        <v>41496</v>
      </c>
      <c r="D1509" s="1" t="s">
        <v>1992</v>
      </c>
      <c r="E1509" s="6">
        <v>2</v>
      </c>
      <c r="F1509" s="6" t="str">
        <f t="shared" si="46"/>
        <v>August</v>
      </c>
      <c r="G1509" s="6">
        <f t="shared" si="47"/>
        <v>32</v>
      </c>
      <c r="H1509" s="1">
        <f>SUMIF('Retal Tran Line Item'!E:E,A1509,'Retal Tran Line Item'!B:B)</f>
        <v>13</v>
      </c>
    </row>
    <row r="1510" spans="1:8">
      <c r="A1510" s="1">
        <v>101508</v>
      </c>
      <c r="B1510" s="1">
        <v>813719</v>
      </c>
      <c r="C1510" s="2">
        <v>41496</v>
      </c>
      <c r="D1510" s="1" t="s">
        <v>1994</v>
      </c>
      <c r="E1510" s="6">
        <v>2</v>
      </c>
      <c r="F1510" s="6" t="str">
        <f t="shared" si="46"/>
        <v>August</v>
      </c>
      <c r="G1510" s="6">
        <f t="shared" si="47"/>
        <v>32</v>
      </c>
      <c r="H1510" s="1">
        <f>SUMIF('Retal Tran Line Item'!E:E,A1510,'Retal Tran Line Item'!B:B)</f>
        <v>4</v>
      </c>
    </row>
    <row r="1511" spans="1:8">
      <c r="A1511" s="1">
        <v>101509</v>
      </c>
      <c r="B1511" s="1">
        <v>202612</v>
      </c>
      <c r="C1511" s="2">
        <v>41496</v>
      </c>
      <c r="D1511" s="1" t="s">
        <v>1992</v>
      </c>
      <c r="E1511" s="6">
        <v>1</v>
      </c>
      <c r="F1511" s="6" t="str">
        <f t="shared" si="46"/>
        <v>August</v>
      </c>
      <c r="G1511" s="6">
        <f t="shared" si="47"/>
        <v>32</v>
      </c>
      <c r="H1511" s="1">
        <f>SUMIF('Retal Tran Line Item'!E:E,A1511,'Retal Tran Line Item'!B:B)</f>
        <v>10</v>
      </c>
    </row>
    <row r="1512" spans="1:8">
      <c r="A1512" s="1">
        <v>101510</v>
      </c>
      <c r="B1512" s="1">
        <v>493552</v>
      </c>
      <c r="C1512" s="2">
        <v>41496</v>
      </c>
      <c r="D1512" s="1" t="s">
        <v>1994</v>
      </c>
      <c r="E1512" s="6">
        <v>1</v>
      </c>
      <c r="F1512" s="6" t="str">
        <f t="shared" si="46"/>
        <v>August</v>
      </c>
      <c r="G1512" s="6">
        <f t="shared" si="47"/>
        <v>32</v>
      </c>
      <c r="H1512" s="1">
        <f>SUMIF('Retal Tran Line Item'!E:E,A1512,'Retal Tran Line Item'!B:B)</f>
        <v>4</v>
      </c>
    </row>
    <row r="1513" spans="1:8">
      <c r="A1513" s="1">
        <v>101511</v>
      </c>
      <c r="B1513" s="1">
        <v>888952</v>
      </c>
      <c r="C1513" s="2">
        <v>41496</v>
      </c>
      <c r="D1513" s="1" t="s">
        <v>1993</v>
      </c>
      <c r="E1513" s="6">
        <v>2</v>
      </c>
      <c r="F1513" s="6" t="str">
        <f t="shared" si="46"/>
        <v>August</v>
      </c>
      <c r="G1513" s="6">
        <f t="shared" si="47"/>
        <v>32</v>
      </c>
      <c r="H1513" s="1">
        <f>SUMIF('Retal Tran Line Item'!E:E,A1513,'Retal Tran Line Item'!B:B)</f>
        <v>9</v>
      </c>
    </row>
    <row r="1514" spans="1:8">
      <c r="A1514" s="1">
        <v>101512</v>
      </c>
      <c r="B1514" s="1">
        <v>766161</v>
      </c>
      <c r="C1514" s="2">
        <v>41497</v>
      </c>
      <c r="D1514" s="1" t="s">
        <v>1994</v>
      </c>
      <c r="E1514" s="6">
        <v>2</v>
      </c>
      <c r="F1514" s="6" t="str">
        <f t="shared" si="46"/>
        <v>August</v>
      </c>
      <c r="G1514" s="6">
        <f t="shared" si="47"/>
        <v>33</v>
      </c>
      <c r="H1514" s="1">
        <f>SUMIF('Retal Tran Line Item'!E:E,A1514,'Retal Tran Line Item'!B:B)</f>
        <v>8</v>
      </c>
    </row>
    <row r="1515" spans="1:8">
      <c r="A1515" s="1">
        <v>101513</v>
      </c>
      <c r="B1515" s="1">
        <v>194680</v>
      </c>
      <c r="C1515" s="2">
        <v>41497</v>
      </c>
      <c r="D1515" s="1" t="s">
        <v>1993</v>
      </c>
      <c r="E1515" s="6">
        <v>2</v>
      </c>
      <c r="F1515" s="6" t="str">
        <f t="shared" si="46"/>
        <v>August</v>
      </c>
      <c r="G1515" s="6">
        <f t="shared" si="47"/>
        <v>33</v>
      </c>
      <c r="H1515" s="1">
        <f>SUMIF('Retal Tran Line Item'!E:E,A1515,'Retal Tran Line Item'!B:B)</f>
        <v>10</v>
      </c>
    </row>
    <row r="1516" spans="1:8">
      <c r="A1516" s="1">
        <v>101514</v>
      </c>
      <c r="B1516" s="1">
        <v>593317</v>
      </c>
      <c r="C1516" s="2">
        <v>41497</v>
      </c>
      <c r="D1516" s="1" t="s">
        <v>1989</v>
      </c>
      <c r="E1516" s="6">
        <v>2</v>
      </c>
      <c r="F1516" s="6" t="str">
        <f t="shared" si="46"/>
        <v>August</v>
      </c>
      <c r="G1516" s="6">
        <f t="shared" si="47"/>
        <v>33</v>
      </c>
      <c r="H1516" s="1">
        <f>SUMIF('Retal Tran Line Item'!E:E,A1516,'Retal Tran Line Item'!B:B)</f>
        <v>7</v>
      </c>
    </row>
    <row r="1517" spans="1:8">
      <c r="A1517" s="1">
        <v>101515</v>
      </c>
      <c r="B1517" s="1">
        <v>618955</v>
      </c>
      <c r="C1517" s="2">
        <v>41497</v>
      </c>
      <c r="D1517" s="1" t="s">
        <v>1992</v>
      </c>
      <c r="E1517" s="6">
        <v>2</v>
      </c>
      <c r="F1517" s="6" t="str">
        <f t="shared" si="46"/>
        <v>August</v>
      </c>
      <c r="G1517" s="6">
        <f t="shared" si="47"/>
        <v>33</v>
      </c>
      <c r="H1517" s="1">
        <f>SUMIF('Retal Tran Line Item'!E:E,A1517,'Retal Tran Line Item'!B:B)</f>
        <v>24</v>
      </c>
    </row>
    <row r="1518" spans="1:8">
      <c r="A1518" s="1">
        <v>101516</v>
      </c>
      <c r="B1518" s="1">
        <v>808421</v>
      </c>
      <c r="C1518" s="2">
        <v>41497</v>
      </c>
      <c r="D1518" s="1" t="s">
        <v>1989</v>
      </c>
      <c r="E1518" s="6">
        <v>1</v>
      </c>
      <c r="F1518" s="6" t="str">
        <f t="shared" si="46"/>
        <v>August</v>
      </c>
      <c r="G1518" s="6">
        <f t="shared" si="47"/>
        <v>33</v>
      </c>
      <c r="H1518" s="1">
        <f>SUMIF('Retal Tran Line Item'!E:E,A1518,'Retal Tran Line Item'!B:B)</f>
        <v>6</v>
      </c>
    </row>
    <row r="1519" spans="1:8">
      <c r="A1519" s="1">
        <v>101517</v>
      </c>
      <c r="B1519" s="1">
        <v>547890</v>
      </c>
      <c r="C1519" s="2">
        <v>41498</v>
      </c>
      <c r="D1519" s="1" t="s">
        <v>1993</v>
      </c>
      <c r="E1519" s="6">
        <v>1</v>
      </c>
      <c r="F1519" s="6" t="str">
        <f t="shared" si="46"/>
        <v>August</v>
      </c>
      <c r="G1519" s="6">
        <f t="shared" si="47"/>
        <v>33</v>
      </c>
      <c r="H1519" s="1">
        <f>SUMIF('Retal Tran Line Item'!E:E,A1519,'Retal Tran Line Item'!B:B)</f>
        <v>11</v>
      </c>
    </row>
    <row r="1520" spans="1:8">
      <c r="A1520" s="1">
        <v>101518</v>
      </c>
      <c r="B1520" s="1">
        <v>918682</v>
      </c>
      <c r="C1520" s="2">
        <v>41498</v>
      </c>
      <c r="D1520" s="1" t="s">
        <v>1992</v>
      </c>
      <c r="E1520" s="6">
        <v>1</v>
      </c>
      <c r="F1520" s="6" t="str">
        <f t="shared" si="46"/>
        <v>August</v>
      </c>
      <c r="G1520" s="6">
        <f t="shared" si="47"/>
        <v>33</v>
      </c>
      <c r="H1520" s="1">
        <f>SUMIF('Retal Tran Line Item'!E:E,A1520,'Retal Tran Line Item'!B:B)</f>
        <v>16</v>
      </c>
    </row>
    <row r="1521" spans="1:8">
      <c r="A1521" s="1">
        <v>101519</v>
      </c>
      <c r="B1521" s="1">
        <v>306853</v>
      </c>
      <c r="C1521" s="2">
        <v>41498</v>
      </c>
      <c r="D1521" s="1" t="s">
        <v>1989</v>
      </c>
      <c r="E1521" s="6">
        <v>1</v>
      </c>
      <c r="F1521" s="6" t="str">
        <f t="shared" si="46"/>
        <v>August</v>
      </c>
      <c r="G1521" s="6">
        <f t="shared" si="47"/>
        <v>33</v>
      </c>
      <c r="H1521" s="1">
        <f>SUMIF('Retal Tran Line Item'!E:E,A1521,'Retal Tran Line Item'!B:B)</f>
        <v>10</v>
      </c>
    </row>
    <row r="1522" spans="1:8">
      <c r="A1522" s="1">
        <v>101520</v>
      </c>
      <c r="B1522" s="1">
        <v>724813</v>
      </c>
      <c r="C1522" s="2">
        <v>41498</v>
      </c>
      <c r="D1522" s="1" t="s">
        <v>1989</v>
      </c>
      <c r="E1522" s="6">
        <v>2</v>
      </c>
      <c r="F1522" s="6" t="str">
        <f t="shared" si="46"/>
        <v>August</v>
      </c>
      <c r="G1522" s="6">
        <f t="shared" si="47"/>
        <v>33</v>
      </c>
      <c r="H1522" s="1">
        <f>SUMIF('Retal Tran Line Item'!E:E,A1522,'Retal Tran Line Item'!B:B)</f>
        <v>12</v>
      </c>
    </row>
    <row r="1523" spans="1:8">
      <c r="A1523" s="1">
        <v>101521</v>
      </c>
      <c r="B1523" s="1">
        <v>149240</v>
      </c>
      <c r="C1523" s="2">
        <v>41498</v>
      </c>
      <c r="D1523" s="1" t="s">
        <v>1992</v>
      </c>
      <c r="E1523" s="6">
        <v>1</v>
      </c>
      <c r="F1523" s="6" t="str">
        <f t="shared" si="46"/>
        <v>August</v>
      </c>
      <c r="G1523" s="6">
        <f t="shared" si="47"/>
        <v>33</v>
      </c>
      <c r="H1523" s="1">
        <f>SUMIF('Retal Tran Line Item'!E:E,A1523,'Retal Tran Line Item'!B:B)</f>
        <v>5</v>
      </c>
    </row>
    <row r="1524" spans="1:8">
      <c r="A1524" s="1">
        <v>101522</v>
      </c>
      <c r="B1524" s="1">
        <v>479497</v>
      </c>
      <c r="C1524" s="2">
        <v>41498</v>
      </c>
      <c r="D1524" s="1" t="s">
        <v>1994</v>
      </c>
      <c r="E1524" s="6">
        <v>2</v>
      </c>
      <c r="F1524" s="6" t="str">
        <f t="shared" si="46"/>
        <v>August</v>
      </c>
      <c r="G1524" s="6">
        <f t="shared" si="47"/>
        <v>33</v>
      </c>
      <c r="H1524" s="1">
        <f>SUMIF('Retal Tran Line Item'!E:E,A1524,'Retal Tran Line Item'!B:B)</f>
        <v>9</v>
      </c>
    </row>
    <row r="1525" spans="1:8">
      <c r="A1525" s="1">
        <v>101523</v>
      </c>
      <c r="B1525" s="1">
        <v>315634</v>
      </c>
      <c r="C1525" s="2">
        <v>41498</v>
      </c>
      <c r="D1525" s="1" t="s">
        <v>1993</v>
      </c>
      <c r="E1525" s="6">
        <v>1</v>
      </c>
      <c r="F1525" s="6" t="str">
        <f t="shared" si="46"/>
        <v>August</v>
      </c>
      <c r="G1525" s="6">
        <f t="shared" si="47"/>
        <v>33</v>
      </c>
      <c r="H1525" s="1">
        <f>SUMIF('Retal Tran Line Item'!E:E,A1525,'Retal Tran Line Item'!B:B)</f>
        <v>8</v>
      </c>
    </row>
    <row r="1526" spans="1:8">
      <c r="A1526" s="1">
        <v>101524</v>
      </c>
      <c r="B1526" s="1">
        <v>933331</v>
      </c>
      <c r="C1526" s="2">
        <v>41498</v>
      </c>
      <c r="D1526" s="1" t="s">
        <v>1994</v>
      </c>
      <c r="E1526" s="6">
        <v>2</v>
      </c>
      <c r="F1526" s="6" t="str">
        <f t="shared" si="46"/>
        <v>August</v>
      </c>
      <c r="G1526" s="6">
        <f t="shared" si="47"/>
        <v>33</v>
      </c>
      <c r="H1526" s="1">
        <f>SUMIF('Retal Tran Line Item'!E:E,A1526,'Retal Tran Line Item'!B:B)</f>
        <v>2</v>
      </c>
    </row>
    <row r="1527" spans="1:8">
      <c r="A1527" s="1">
        <v>101525</v>
      </c>
      <c r="B1527" s="1">
        <v>305005</v>
      </c>
      <c r="C1527" s="2">
        <v>41498</v>
      </c>
      <c r="D1527" s="1" t="s">
        <v>1993</v>
      </c>
      <c r="E1527" s="6">
        <v>1</v>
      </c>
      <c r="F1527" s="6" t="str">
        <f t="shared" si="46"/>
        <v>August</v>
      </c>
      <c r="G1527" s="6">
        <f t="shared" si="47"/>
        <v>33</v>
      </c>
      <c r="H1527" s="1">
        <f>SUMIF('Retal Tran Line Item'!E:E,A1527,'Retal Tran Line Item'!B:B)</f>
        <v>3</v>
      </c>
    </row>
    <row r="1528" spans="1:8">
      <c r="A1528" s="1">
        <v>101526</v>
      </c>
      <c r="B1528" s="1">
        <v>345748</v>
      </c>
      <c r="C1528" s="2">
        <v>41498</v>
      </c>
      <c r="D1528" s="1" t="s">
        <v>1992</v>
      </c>
      <c r="E1528" s="6">
        <v>1</v>
      </c>
      <c r="F1528" s="6" t="str">
        <f t="shared" si="46"/>
        <v>August</v>
      </c>
      <c r="G1528" s="6">
        <f t="shared" si="47"/>
        <v>33</v>
      </c>
      <c r="H1528" s="1">
        <f>SUMIF('Retal Tran Line Item'!E:E,A1528,'Retal Tran Line Item'!B:B)</f>
        <v>7</v>
      </c>
    </row>
    <row r="1529" spans="1:8">
      <c r="A1529" s="1">
        <v>101527</v>
      </c>
      <c r="B1529" s="1">
        <v>385115</v>
      </c>
      <c r="C1529" s="2">
        <v>41499</v>
      </c>
      <c r="D1529" s="1" t="s">
        <v>1992</v>
      </c>
      <c r="E1529" s="6">
        <v>1</v>
      </c>
      <c r="F1529" s="6" t="str">
        <f t="shared" si="46"/>
        <v>August</v>
      </c>
      <c r="G1529" s="6">
        <f t="shared" si="47"/>
        <v>33</v>
      </c>
      <c r="H1529" s="1">
        <f>SUMIF('Retal Tran Line Item'!E:E,A1529,'Retal Tran Line Item'!B:B)</f>
        <v>15</v>
      </c>
    </row>
    <row r="1530" spans="1:8">
      <c r="A1530" s="1">
        <v>101528</v>
      </c>
      <c r="B1530" s="1">
        <v>850933</v>
      </c>
      <c r="C1530" s="2">
        <v>41499</v>
      </c>
      <c r="D1530" s="1" t="s">
        <v>1989</v>
      </c>
      <c r="E1530" s="6">
        <v>1</v>
      </c>
      <c r="F1530" s="6" t="str">
        <f t="shared" si="46"/>
        <v>August</v>
      </c>
      <c r="G1530" s="6">
        <f t="shared" si="47"/>
        <v>33</v>
      </c>
      <c r="H1530" s="1">
        <f>SUMIF('Retal Tran Line Item'!E:E,A1530,'Retal Tran Line Item'!B:B)</f>
        <v>19</v>
      </c>
    </row>
    <row r="1531" spans="1:8">
      <c r="A1531" s="1">
        <v>101529</v>
      </c>
      <c r="B1531" s="1">
        <v>622506</v>
      </c>
      <c r="C1531" s="2">
        <v>41499</v>
      </c>
      <c r="D1531" s="1" t="s">
        <v>1993</v>
      </c>
      <c r="E1531" s="6">
        <v>2</v>
      </c>
      <c r="F1531" s="6" t="str">
        <f t="shared" si="46"/>
        <v>August</v>
      </c>
      <c r="G1531" s="6">
        <f t="shared" si="47"/>
        <v>33</v>
      </c>
      <c r="H1531" s="1">
        <f>SUMIF('Retal Tran Line Item'!E:E,A1531,'Retal Tran Line Item'!B:B)</f>
        <v>15</v>
      </c>
    </row>
    <row r="1532" spans="1:8">
      <c r="A1532" s="1">
        <v>101530</v>
      </c>
      <c r="B1532" s="1">
        <v>550824</v>
      </c>
      <c r="C1532" s="2">
        <v>41499</v>
      </c>
      <c r="D1532" s="1" t="s">
        <v>1989</v>
      </c>
      <c r="E1532" s="6">
        <v>2</v>
      </c>
      <c r="F1532" s="6" t="str">
        <f t="shared" si="46"/>
        <v>August</v>
      </c>
      <c r="G1532" s="6">
        <f t="shared" si="47"/>
        <v>33</v>
      </c>
      <c r="H1532" s="1">
        <f>SUMIF('Retal Tran Line Item'!E:E,A1532,'Retal Tran Line Item'!B:B)</f>
        <v>13</v>
      </c>
    </row>
    <row r="1533" spans="1:8">
      <c r="A1533" s="1">
        <v>101531</v>
      </c>
      <c r="B1533" s="1">
        <v>924649</v>
      </c>
      <c r="C1533" s="2">
        <v>41499</v>
      </c>
      <c r="D1533" s="1" t="s">
        <v>1993</v>
      </c>
      <c r="E1533" s="6">
        <v>1</v>
      </c>
      <c r="F1533" s="6" t="str">
        <f t="shared" si="46"/>
        <v>August</v>
      </c>
      <c r="G1533" s="6">
        <f t="shared" si="47"/>
        <v>33</v>
      </c>
      <c r="H1533" s="1">
        <f>SUMIF('Retal Tran Line Item'!E:E,A1533,'Retal Tran Line Item'!B:B)</f>
        <v>7</v>
      </c>
    </row>
    <row r="1534" spans="1:8">
      <c r="A1534" s="1">
        <v>101532</v>
      </c>
      <c r="B1534" s="1">
        <v>425051</v>
      </c>
      <c r="C1534" s="2">
        <v>41499</v>
      </c>
      <c r="D1534" s="1" t="s">
        <v>1992</v>
      </c>
      <c r="E1534" s="6">
        <v>2</v>
      </c>
      <c r="F1534" s="6" t="str">
        <f t="shared" si="46"/>
        <v>August</v>
      </c>
      <c r="G1534" s="6">
        <f t="shared" si="47"/>
        <v>33</v>
      </c>
      <c r="H1534" s="1">
        <f>SUMIF('Retal Tran Line Item'!E:E,A1534,'Retal Tran Line Item'!B:B)</f>
        <v>10</v>
      </c>
    </row>
    <row r="1535" spans="1:8">
      <c r="A1535" s="1">
        <v>101533</v>
      </c>
      <c r="B1535" s="1">
        <v>586201</v>
      </c>
      <c r="C1535" s="2">
        <v>41499</v>
      </c>
      <c r="D1535" s="1" t="s">
        <v>1992</v>
      </c>
      <c r="E1535" s="6">
        <v>2</v>
      </c>
      <c r="F1535" s="6" t="str">
        <f t="shared" si="46"/>
        <v>August</v>
      </c>
      <c r="G1535" s="6">
        <f t="shared" si="47"/>
        <v>33</v>
      </c>
      <c r="H1535" s="1">
        <f>SUMIF('Retal Tran Line Item'!E:E,A1535,'Retal Tran Line Item'!B:B)</f>
        <v>10</v>
      </c>
    </row>
    <row r="1536" spans="1:8">
      <c r="A1536" s="1">
        <v>101534</v>
      </c>
      <c r="B1536" s="1">
        <v>900440</v>
      </c>
      <c r="C1536" s="2">
        <v>41499</v>
      </c>
      <c r="D1536" s="1" t="s">
        <v>1992</v>
      </c>
      <c r="E1536" s="6">
        <v>2</v>
      </c>
      <c r="F1536" s="6" t="str">
        <f t="shared" si="46"/>
        <v>August</v>
      </c>
      <c r="G1536" s="6">
        <f t="shared" si="47"/>
        <v>33</v>
      </c>
      <c r="H1536" s="1">
        <f>SUMIF('Retal Tran Line Item'!E:E,A1536,'Retal Tran Line Item'!B:B)</f>
        <v>11</v>
      </c>
    </row>
    <row r="1537" spans="1:8">
      <c r="A1537" s="1">
        <v>101535</v>
      </c>
      <c r="B1537" s="1">
        <v>559688</v>
      </c>
      <c r="C1537" s="2">
        <v>41499</v>
      </c>
      <c r="D1537" s="1" t="s">
        <v>1993</v>
      </c>
      <c r="E1537" s="6">
        <v>2</v>
      </c>
      <c r="F1537" s="6" t="str">
        <f t="shared" si="46"/>
        <v>August</v>
      </c>
      <c r="G1537" s="6">
        <f t="shared" si="47"/>
        <v>33</v>
      </c>
      <c r="H1537" s="1">
        <f>SUMIF('Retal Tran Line Item'!E:E,A1537,'Retal Tran Line Item'!B:B)</f>
        <v>23</v>
      </c>
    </row>
    <row r="1538" spans="1:8">
      <c r="A1538" s="1">
        <v>101536</v>
      </c>
      <c r="B1538" s="1">
        <v>766161</v>
      </c>
      <c r="C1538" s="2">
        <v>41500</v>
      </c>
      <c r="D1538" s="1" t="s">
        <v>1994</v>
      </c>
      <c r="E1538" s="6">
        <v>2</v>
      </c>
      <c r="F1538" s="6" t="str">
        <f t="shared" si="46"/>
        <v>August</v>
      </c>
      <c r="G1538" s="6">
        <f t="shared" si="47"/>
        <v>33</v>
      </c>
      <c r="H1538" s="1">
        <f>SUMIF('Retal Tran Line Item'!E:E,A1538,'Retal Tran Line Item'!B:B)</f>
        <v>4</v>
      </c>
    </row>
    <row r="1539" spans="1:8">
      <c r="A1539" s="1">
        <v>101537</v>
      </c>
      <c r="B1539" s="1">
        <v>897614</v>
      </c>
      <c r="C1539" s="2">
        <v>41500</v>
      </c>
      <c r="D1539" s="1" t="s">
        <v>1994</v>
      </c>
      <c r="E1539" s="6">
        <v>2</v>
      </c>
      <c r="F1539" s="6" t="str">
        <f t="shared" ref="F1539:F1602" si="48">TEXT(C1539,"MMMM")</f>
        <v>August</v>
      </c>
      <c r="G1539" s="6">
        <f t="shared" ref="G1539:G1602" si="49">WEEKNUM(C1539)</f>
        <v>33</v>
      </c>
      <c r="H1539" s="1">
        <f>SUMIF('Retal Tran Line Item'!E:E,A1539,'Retal Tran Line Item'!B:B)</f>
        <v>11</v>
      </c>
    </row>
    <row r="1540" spans="1:8">
      <c r="A1540" s="1">
        <v>101538</v>
      </c>
      <c r="B1540" s="1">
        <v>119406</v>
      </c>
      <c r="C1540" s="2">
        <v>41500</v>
      </c>
      <c r="D1540" s="1" t="s">
        <v>1993</v>
      </c>
      <c r="E1540" s="6">
        <v>1</v>
      </c>
      <c r="F1540" s="6" t="str">
        <f t="shared" si="48"/>
        <v>August</v>
      </c>
      <c r="G1540" s="6">
        <f t="shared" si="49"/>
        <v>33</v>
      </c>
      <c r="H1540" s="1">
        <f>SUMIF('Retal Tran Line Item'!E:E,A1540,'Retal Tran Line Item'!B:B)</f>
        <v>1</v>
      </c>
    </row>
    <row r="1541" spans="1:8">
      <c r="A1541" s="1">
        <v>101539</v>
      </c>
      <c r="B1541" s="1">
        <v>627324</v>
      </c>
      <c r="C1541" s="2">
        <v>41500</v>
      </c>
      <c r="D1541" s="1" t="s">
        <v>1989</v>
      </c>
      <c r="E1541" s="6">
        <v>1</v>
      </c>
      <c r="F1541" s="6" t="str">
        <f t="shared" si="48"/>
        <v>August</v>
      </c>
      <c r="G1541" s="6">
        <f t="shared" si="49"/>
        <v>33</v>
      </c>
      <c r="H1541" s="1">
        <f>SUMIF('Retal Tran Line Item'!E:E,A1541,'Retal Tran Line Item'!B:B)</f>
        <v>9</v>
      </c>
    </row>
    <row r="1542" spans="1:8">
      <c r="A1542" s="1">
        <v>101540</v>
      </c>
      <c r="B1542" s="1">
        <v>347659</v>
      </c>
      <c r="C1542" s="2">
        <v>41500</v>
      </c>
      <c r="D1542" s="1" t="s">
        <v>1992</v>
      </c>
      <c r="E1542" s="6">
        <v>2</v>
      </c>
      <c r="F1542" s="6" t="str">
        <f t="shared" si="48"/>
        <v>August</v>
      </c>
      <c r="G1542" s="6">
        <f t="shared" si="49"/>
        <v>33</v>
      </c>
      <c r="H1542" s="1">
        <f>SUMIF('Retal Tran Line Item'!E:E,A1542,'Retal Tran Line Item'!B:B)</f>
        <v>19</v>
      </c>
    </row>
    <row r="1543" spans="1:8">
      <c r="A1543" s="1">
        <v>101541</v>
      </c>
      <c r="B1543" s="1">
        <v>199895</v>
      </c>
      <c r="C1543" s="2">
        <v>41500</v>
      </c>
      <c r="D1543" s="1" t="s">
        <v>1989</v>
      </c>
      <c r="E1543" s="6">
        <v>2</v>
      </c>
      <c r="F1543" s="6" t="str">
        <f t="shared" si="48"/>
        <v>August</v>
      </c>
      <c r="G1543" s="6">
        <f t="shared" si="49"/>
        <v>33</v>
      </c>
      <c r="H1543" s="1">
        <f>SUMIF('Retal Tran Line Item'!E:E,A1543,'Retal Tran Line Item'!B:B)</f>
        <v>6</v>
      </c>
    </row>
    <row r="1544" spans="1:8">
      <c r="A1544" s="1">
        <v>101542</v>
      </c>
      <c r="B1544" s="1">
        <v>668931</v>
      </c>
      <c r="C1544" s="2">
        <v>41500</v>
      </c>
      <c r="D1544" s="1" t="s">
        <v>1992</v>
      </c>
      <c r="E1544" s="6">
        <v>1</v>
      </c>
      <c r="F1544" s="6" t="str">
        <f t="shared" si="48"/>
        <v>August</v>
      </c>
      <c r="G1544" s="6">
        <f t="shared" si="49"/>
        <v>33</v>
      </c>
      <c r="H1544" s="1">
        <f>SUMIF('Retal Tran Line Item'!E:E,A1544,'Retal Tran Line Item'!B:B)</f>
        <v>36</v>
      </c>
    </row>
    <row r="1545" spans="1:8">
      <c r="A1545" s="1">
        <v>101543</v>
      </c>
      <c r="B1545" s="1">
        <v>798336</v>
      </c>
      <c r="C1545" s="2">
        <v>41500</v>
      </c>
      <c r="D1545" s="1" t="s">
        <v>1989</v>
      </c>
      <c r="E1545" s="6">
        <v>2</v>
      </c>
      <c r="F1545" s="6" t="str">
        <f t="shared" si="48"/>
        <v>August</v>
      </c>
      <c r="G1545" s="6">
        <f t="shared" si="49"/>
        <v>33</v>
      </c>
      <c r="H1545" s="1">
        <f>SUMIF('Retal Tran Line Item'!E:E,A1545,'Retal Tran Line Item'!B:B)</f>
        <v>6</v>
      </c>
    </row>
    <row r="1546" spans="1:8">
      <c r="A1546" s="1">
        <v>101544</v>
      </c>
      <c r="B1546" s="1">
        <v>616392</v>
      </c>
      <c r="C1546" s="2">
        <v>41500</v>
      </c>
      <c r="D1546" s="1" t="s">
        <v>1993</v>
      </c>
      <c r="E1546" s="6">
        <v>2</v>
      </c>
      <c r="F1546" s="6" t="str">
        <f t="shared" si="48"/>
        <v>August</v>
      </c>
      <c r="G1546" s="6">
        <f t="shared" si="49"/>
        <v>33</v>
      </c>
      <c r="H1546" s="1">
        <f>SUMIF('Retal Tran Line Item'!E:E,A1546,'Retal Tran Line Item'!B:B)</f>
        <v>20</v>
      </c>
    </row>
    <row r="1547" spans="1:8">
      <c r="A1547" s="1">
        <v>101545</v>
      </c>
      <c r="B1547" s="1">
        <v>454143</v>
      </c>
      <c r="C1547" s="2">
        <v>41501</v>
      </c>
      <c r="D1547" s="1" t="s">
        <v>1993</v>
      </c>
      <c r="E1547" s="6">
        <v>2</v>
      </c>
      <c r="F1547" s="6" t="str">
        <f t="shared" si="48"/>
        <v>August</v>
      </c>
      <c r="G1547" s="6">
        <f t="shared" si="49"/>
        <v>33</v>
      </c>
      <c r="H1547" s="1">
        <f>SUMIF('Retal Tran Line Item'!E:E,A1547,'Retal Tran Line Item'!B:B)</f>
        <v>9</v>
      </c>
    </row>
    <row r="1548" spans="1:8">
      <c r="A1548" s="1">
        <v>101546</v>
      </c>
      <c r="B1548" s="1">
        <v>412876</v>
      </c>
      <c r="C1548" s="2">
        <v>41501</v>
      </c>
      <c r="D1548" s="1" t="s">
        <v>1989</v>
      </c>
      <c r="E1548" s="6">
        <v>1</v>
      </c>
      <c r="F1548" s="6" t="str">
        <f t="shared" si="48"/>
        <v>August</v>
      </c>
      <c r="G1548" s="6">
        <f t="shared" si="49"/>
        <v>33</v>
      </c>
      <c r="H1548" s="1">
        <f>SUMIF('Retal Tran Line Item'!E:E,A1548,'Retal Tran Line Item'!B:B)</f>
        <v>7</v>
      </c>
    </row>
    <row r="1549" spans="1:8">
      <c r="A1549" s="1">
        <v>101547</v>
      </c>
      <c r="B1549" s="1">
        <v>380003</v>
      </c>
      <c r="C1549" s="2">
        <v>41501</v>
      </c>
      <c r="D1549" s="1" t="s">
        <v>1992</v>
      </c>
      <c r="E1549" s="6">
        <v>2</v>
      </c>
      <c r="F1549" s="6" t="str">
        <f t="shared" si="48"/>
        <v>August</v>
      </c>
      <c r="G1549" s="6">
        <f t="shared" si="49"/>
        <v>33</v>
      </c>
      <c r="H1549" s="1">
        <f>SUMIF('Retal Tran Line Item'!E:E,A1549,'Retal Tran Line Item'!B:B)</f>
        <v>6</v>
      </c>
    </row>
    <row r="1550" spans="1:8">
      <c r="A1550" s="1">
        <v>101548</v>
      </c>
      <c r="B1550" s="1">
        <v>567719</v>
      </c>
      <c r="C1550" s="2">
        <v>41501</v>
      </c>
      <c r="D1550" s="1" t="s">
        <v>1993</v>
      </c>
      <c r="E1550" s="6">
        <v>2</v>
      </c>
      <c r="F1550" s="6" t="str">
        <f t="shared" si="48"/>
        <v>August</v>
      </c>
      <c r="G1550" s="6">
        <f t="shared" si="49"/>
        <v>33</v>
      </c>
      <c r="H1550" s="1">
        <f>SUMIF('Retal Tran Line Item'!E:E,A1550,'Retal Tran Line Item'!B:B)</f>
        <v>3</v>
      </c>
    </row>
    <row r="1551" spans="1:8">
      <c r="A1551" s="1">
        <v>101549</v>
      </c>
      <c r="B1551" s="1">
        <v>622131</v>
      </c>
      <c r="C1551" s="2">
        <v>41501</v>
      </c>
      <c r="D1551" s="1" t="s">
        <v>1993</v>
      </c>
      <c r="E1551" s="6">
        <v>1</v>
      </c>
      <c r="F1551" s="6" t="str">
        <f t="shared" si="48"/>
        <v>August</v>
      </c>
      <c r="G1551" s="6">
        <f t="shared" si="49"/>
        <v>33</v>
      </c>
      <c r="H1551" s="1">
        <f>SUMIF('Retal Tran Line Item'!E:E,A1551,'Retal Tran Line Item'!B:B)</f>
        <v>15</v>
      </c>
    </row>
    <row r="1552" spans="1:8">
      <c r="A1552" s="1">
        <v>101550</v>
      </c>
      <c r="B1552" s="1">
        <v>458448</v>
      </c>
      <c r="C1552" s="2">
        <v>41501</v>
      </c>
      <c r="D1552" s="1" t="s">
        <v>1994</v>
      </c>
      <c r="E1552" s="6">
        <v>2</v>
      </c>
      <c r="F1552" s="6" t="str">
        <f t="shared" si="48"/>
        <v>August</v>
      </c>
      <c r="G1552" s="6">
        <f t="shared" si="49"/>
        <v>33</v>
      </c>
      <c r="H1552" s="1">
        <f>SUMIF('Retal Tran Line Item'!E:E,A1552,'Retal Tran Line Item'!B:B)</f>
        <v>15</v>
      </c>
    </row>
    <row r="1553" spans="1:8">
      <c r="A1553" s="1">
        <v>101551</v>
      </c>
      <c r="B1553" s="1">
        <v>366695</v>
      </c>
      <c r="C1553" s="2">
        <v>41501</v>
      </c>
      <c r="D1553" s="1" t="s">
        <v>1992</v>
      </c>
      <c r="E1553" s="6">
        <v>2</v>
      </c>
      <c r="F1553" s="6" t="str">
        <f t="shared" si="48"/>
        <v>August</v>
      </c>
      <c r="G1553" s="6">
        <f t="shared" si="49"/>
        <v>33</v>
      </c>
      <c r="H1553" s="1">
        <f>SUMIF('Retal Tran Line Item'!E:E,A1553,'Retal Tran Line Item'!B:B)</f>
        <v>7</v>
      </c>
    </row>
    <row r="1554" spans="1:8">
      <c r="A1554" s="1">
        <v>101552</v>
      </c>
      <c r="B1554" s="1">
        <v>197102</v>
      </c>
      <c r="C1554" s="2">
        <v>41501</v>
      </c>
      <c r="D1554" s="1" t="s">
        <v>1989</v>
      </c>
      <c r="E1554" s="6">
        <v>1</v>
      </c>
      <c r="F1554" s="6" t="str">
        <f t="shared" si="48"/>
        <v>August</v>
      </c>
      <c r="G1554" s="6">
        <f t="shared" si="49"/>
        <v>33</v>
      </c>
      <c r="H1554" s="1">
        <f>SUMIF('Retal Tran Line Item'!E:E,A1554,'Retal Tran Line Item'!B:B)</f>
        <v>7</v>
      </c>
    </row>
    <row r="1555" spans="1:8">
      <c r="A1555" s="1">
        <v>101553</v>
      </c>
      <c r="B1555" s="1">
        <v>345348</v>
      </c>
      <c r="C1555" s="2">
        <v>41501</v>
      </c>
      <c r="D1555" s="1" t="s">
        <v>1989</v>
      </c>
      <c r="E1555" s="6">
        <v>2</v>
      </c>
      <c r="F1555" s="6" t="str">
        <f t="shared" si="48"/>
        <v>August</v>
      </c>
      <c r="G1555" s="6">
        <f t="shared" si="49"/>
        <v>33</v>
      </c>
      <c r="H1555" s="1">
        <f>SUMIF('Retal Tran Line Item'!E:E,A1555,'Retal Tran Line Item'!B:B)</f>
        <v>3</v>
      </c>
    </row>
    <row r="1556" spans="1:8">
      <c r="A1556" s="1">
        <v>101554</v>
      </c>
      <c r="B1556" s="1">
        <v>797968</v>
      </c>
      <c r="C1556" s="2">
        <v>41501</v>
      </c>
      <c r="D1556" s="1" t="s">
        <v>1993</v>
      </c>
      <c r="E1556" s="6">
        <v>2</v>
      </c>
      <c r="F1556" s="6" t="str">
        <f t="shared" si="48"/>
        <v>August</v>
      </c>
      <c r="G1556" s="6">
        <f t="shared" si="49"/>
        <v>33</v>
      </c>
      <c r="H1556" s="1">
        <f>SUMIF('Retal Tran Line Item'!E:E,A1556,'Retal Tran Line Item'!B:B)</f>
        <v>8</v>
      </c>
    </row>
    <row r="1557" spans="1:8">
      <c r="A1557" s="1">
        <v>101555</v>
      </c>
      <c r="B1557" s="1">
        <v>302774</v>
      </c>
      <c r="C1557" s="2">
        <v>41501</v>
      </c>
      <c r="D1557" s="1" t="s">
        <v>1992</v>
      </c>
      <c r="E1557" s="6">
        <v>2</v>
      </c>
      <c r="F1557" s="6" t="str">
        <f t="shared" si="48"/>
        <v>August</v>
      </c>
      <c r="G1557" s="6">
        <f t="shared" si="49"/>
        <v>33</v>
      </c>
      <c r="H1557" s="1">
        <f>SUMIF('Retal Tran Line Item'!E:E,A1557,'Retal Tran Line Item'!B:B)</f>
        <v>9</v>
      </c>
    </row>
    <row r="1558" spans="1:8">
      <c r="A1558" s="1">
        <v>101556</v>
      </c>
      <c r="B1558" s="1">
        <v>890270</v>
      </c>
      <c r="C1558" s="2">
        <v>41501</v>
      </c>
      <c r="D1558" s="1" t="s">
        <v>1992</v>
      </c>
      <c r="E1558" s="6">
        <v>1</v>
      </c>
      <c r="F1558" s="6" t="str">
        <f t="shared" si="48"/>
        <v>August</v>
      </c>
      <c r="G1558" s="6">
        <f t="shared" si="49"/>
        <v>33</v>
      </c>
      <c r="H1558" s="1">
        <f>SUMIF('Retal Tran Line Item'!E:E,A1558,'Retal Tran Line Item'!B:B)</f>
        <v>7</v>
      </c>
    </row>
    <row r="1559" spans="1:8">
      <c r="A1559" s="1">
        <v>101557</v>
      </c>
      <c r="B1559" s="1">
        <v>745543</v>
      </c>
      <c r="C1559" s="2">
        <v>41501</v>
      </c>
      <c r="D1559" s="1" t="s">
        <v>1989</v>
      </c>
      <c r="E1559" s="6">
        <v>1</v>
      </c>
      <c r="F1559" s="6" t="str">
        <f t="shared" si="48"/>
        <v>August</v>
      </c>
      <c r="G1559" s="6">
        <f t="shared" si="49"/>
        <v>33</v>
      </c>
      <c r="H1559" s="1">
        <f>SUMIF('Retal Tran Line Item'!E:E,A1559,'Retal Tran Line Item'!B:B)</f>
        <v>14</v>
      </c>
    </row>
    <row r="1560" spans="1:8">
      <c r="A1560" s="1">
        <v>101558</v>
      </c>
      <c r="B1560" s="1">
        <v>924649</v>
      </c>
      <c r="C1560" s="2">
        <v>41501</v>
      </c>
      <c r="D1560" s="1" t="s">
        <v>1993</v>
      </c>
      <c r="E1560" s="6">
        <v>2</v>
      </c>
      <c r="F1560" s="6" t="str">
        <f t="shared" si="48"/>
        <v>August</v>
      </c>
      <c r="G1560" s="6">
        <f t="shared" si="49"/>
        <v>33</v>
      </c>
      <c r="H1560" s="1">
        <f>SUMIF('Retal Tran Line Item'!E:E,A1560,'Retal Tran Line Item'!B:B)</f>
        <v>2</v>
      </c>
    </row>
    <row r="1561" spans="1:8">
      <c r="A1561" s="1">
        <v>101559</v>
      </c>
      <c r="B1561" s="1">
        <v>200272</v>
      </c>
      <c r="C1561" s="2">
        <v>41501</v>
      </c>
      <c r="D1561" s="1" t="s">
        <v>1992</v>
      </c>
      <c r="E1561" s="6">
        <v>1</v>
      </c>
      <c r="F1561" s="6" t="str">
        <f t="shared" si="48"/>
        <v>August</v>
      </c>
      <c r="G1561" s="6">
        <f t="shared" si="49"/>
        <v>33</v>
      </c>
      <c r="H1561" s="1">
        <f>SUMIF('Retal Tran Line Item'!E:E,A1561,'Retal Tran Line Item'!B:B)</f>
        <v>8</v>
      </c>
    </row>
    <row r="1562" spans="1:8">
      <c r="A1562" s="1">
        <v>101560</v>
      </c>
      <c r="B1562" s="1">
        <v>964403</v>
      </c>
      <c r="C1562" s="2">
        <v>41502</v>
      </c>
      <c r="D1562" s="1" t="s">
        <v>1992</v>
      </c>
      <c r="E1562" s="6">
        <v>2</v>
      </c>
      <c r="F1562" s="6" t="str">
        <f t="shared" si="48"/>
        <v>August</v>
      </c>
      <c r="G1562" s="6">
        <f t="shared" si="49"/>
        <v>33</v>
      </c>
      <c r="H1562" s="1">
        <f>SUMIF('Retal Tran Line Item'!E:E,A1562,'Retal Tran Line Item'!B:B)</f>
        <v>5</v>
      </c>
    </row>
    <row r="1563" spans="1:8">
      <c r="A1563" s="1">
        <v>101561</v>
      </c>
      <c r="B1563" s="1">
        <v>841141</v>
      </c>
      <c r="C1563" s="2">
        <v>41502</v>
      </c>
      <c r="D1563" s="1" t="s">
        <v>1992</v>
      </c>
      <c r="E1563" s="6">
        <v>1</v>
      </c>
      <c r="F1563" s="6" t="str">
        <f t="shared" si="48"/>
        <v>August</v>
      </c>
      <c r="G1563" s="6">
        <f t="shared" si="49"/>
        <v>33</v>
      </c>
      <c r="H1563" s="1">
        <f>SUMIF('Retal Tran Line Item'!E:E,A1563,'Retal Tran Line Item'!B:B)</f>
        <v>5</v>
      </c>
    </row>
    <row r="1564" spans="1:8">
      <c r="A1564" s="1">
        <v>101562</v>
      </c>
      <c r="B1564" s="1">
        <v>297686</v>
      </c>
      <c r="C1564" s="2">
        <v>41502</v>
      </c>
      <c r="D1564" s="1" t="s">
        <v>1992</v>
      </c>
      <c r="E1564" s="6">
        <v>1</v>
      </c>
      <c r="F1564" s="6" t="str">
        <f t="shared" si="48"/>
        <v>August</v>
      </c>
      <c r="G1564" s="6">
        <f t="shared" si="49"/>
        <v>33</v>
      </c>
      <c r="H1564" s="1">
        <f>SUMIF('Retal Tran Line Item'!E:E,A1564,'Retal Tran Line Item'!B:B)</f>
        <v>5</v>
      </c>
    </row>
    <row r="1565" spans="1:8">
      <c r="A1565" s="1">
        <v>101563</v>
      </c>
      <c r="B1565" s="1">
        <v>157695</v>
      </c>
      <c r="C1565" s="2">
        <v>41502</v>
      </c>
      <c r="D1565" s="1" t="s">
        <v>1994</v>
      </c>
      <c r="E1565" s="6">
        <v>2</v>
      </c>
      <c r="F1565" s="6" t="str">
        <f t="shared" si="48"/>
        <v>August</v>
      </c>
      <c r="G1565" s="6">
        <f t="shared" si="49"/>
        <v>33</v>
      </c>
      <c r="H1565" s="1">
        <f>SUMIF('Retal Tran Line Item'!E:E,A1565,'Retal Tran Line Item'!B:B)</f>
        <v>3</v>
      </c>
    </row>
    <row r="1566" spans="1:8">
      <c r="A1566" s="1">
        <v>101564</v>
      </c>
      <c r="B1566" s="1">
        <v>817500</v>
      </c>
      <c r="C1566" s="2">
        <v>41502</v>
      </c>
      <c r="D1566" s="1" t="s">
        <v>1993</v>
      </c>
      <c r="E1566" s="6">
        <v>1</v>
      </c>
      <c r="F1566" s="6" t="str">
        <f t="shared" si="48"/>
        <v>August</v>
      </c>
      <c r="G1566" s="6">
        <f t="shared" si="49"/>
        <v>33</v>
      </c>
      <c r="H1566" s="1">
        <f>SUMIF('Retal Tran Line Item'!E:E,A1566,'Retal Tran Line Item'!B:B)</f>
        <v>8</v>
      </c>
    </row>
    <row r="1567" spans="1:8">
      <c r="A1567" s="1">
        <v>101565</v>
      </c>
      <c r="B1567" s="1">
        <v>783369</v>
      </c>
      <c r="C1567" s="2">
        <v>41502</v>
      </c>
      <c r="D1567" s="1" t="s">
        <v>1994</v>
      </c>
      <c r="E1567" s="6">
        <v>2</v>
      </c>
      <c r="F1567" s="6" t="str">
        <f t="shared" si="48"/>
        <v>August</v>
      </c>
      <c r="G1567" s="6">
        <f t="shared" si="49"/>
        <v>33</v>
      </c>
      <c r="H1567" s="1">
        <f>SUMIF('Retal Tran Line Item'!E:E,A1567,'Retal Tran Line Item'!B:B)</f>
        <v>12</v>
      </c>
    </row>
    <row r="1568" spans="1:8">
      <c r="A1568" s="1">
        <v>101566</v>
      </c>
      <c r="B1568" s="1">
        <v>671101</v>
      </c>
      <c r="C1568" s="2">
        <v>41502</v>
      </c>
      <c r="D1568" s="1" t="s">
        <v>1994</v>
      </c>
      <c r="E1568" s="6">
        <v>1</v>
      </c>
      <c r="F1568" s="6" t="str">
        <f t="shared" si="48"/>
        <v>August</v>
      </c>
      <c r="G1568" s="6">
        <f t="shared" si="49"/>
        <v>33</v>
      </c>
      <c r="H1568" s="1">
        <f>SUMIF('Retal Tran Line Item'!E:E,A1568,'Retal Tran Line Item'!B:B)</f>
        <v>15</v>
      </c>
    </row>
    <row r="1569" spans="1:8">
      <c r="A1569" s="1">
        <v>101567</v>
      </c>
      <c r="B1569" s="1">
        <v>200272</v>
      </c>
      <c r="C1569" s="2">
        <v>41502</v>
      </c>
      <c r="D1569" s="1" t="s">
        <v>1992</v>
      </c>
      <c r="E1569" s="6">
        <v>2</v>
      </c>
      <c r="F1569" s="6" t="str">
        <f t="shared" si="48"/>
        <v>August</v>
      </c>
      <c r="G1569" s="6">
        <f t="shared" si="49"/>
        <v>33</v>
      </c>
      <c r="H1569" s="1">
        <f>SUMIF('Retal Tran Line Item'!E:E,A1569,'Retal Tran Line Item'!B:B)</f>
        <v>14</v>
      </c>
    </row>
    <row r="1570" spans="1:8">
      <c r="A1570" s="1">
        <v>101568</v>
      </c>
      <c r="B1570" s="1">
        <v>185863</v>
      </c>
      <c r="C1570" s="2">
        <v>41502</v>
      </c>
      <c r="D1570" s="1" t="s">
        <v>1994</v>
      </c>
      <c r="E1570" s="6">
        <v>2</v>
      </c>
      <c r="F1570" s="6" t="str">
        <f t="shared" si="48"/>
        <v>August</v>
      </c>
      <c r="G1570" s="6">
        <f t="shared" si="49"/>
        <v>33</v>
      </c>
      <c r="H1570" s="1">
        <f>SUMIF('Retal Tran Line Item'!E:E,A1570,'Retal Tran Line Item'!B:B)</f>
        <v>12</v>
      </c>
    </row>
    <row r="1571" spans="1:8">
      <c r="A1571" s="1">
        <v>101569</v>
      </c>
      <c r="B1571" s="1">
        <v>308505</v>
      </c>
      <c r="C1571" s="2">
        <v>41502</v>
      </c>
      <c r="D1571" s="1" t="s">
        <v>1993</v>
      </c>
      <c r="E1571" s="6">
        <v>2</v>
      </c>
      <c r="F1571" s="6" t="str">
        <f t="shared" si="48"/>
        <v>August</v>
      </c>
      <c r="G1571" s="6">
        <f t="shared" si="49"/>
        <v>33</v>
      </c>
      <c r="H1571" s="1">
        <f>SUMIF('Retal Tran Line Item'!E:E,A1571,'Retal Tran Line Item'!B:B)</f>
        <v>10</v>
      </c>
    </row>
    <row r="1572" spans="1:8">
      <c r="A1572" s="1">
        <v>101570</v>
      </c>
      <c r="B1572" s="1">
        <v>755271</v>
      </c>
      <c r="C1572" s="2">
        <v>41502</v>
      </c>
      <c r="D1572" s="1" t="s">
        <v>1989</v>
      </c>
      <c r="E1572" s="6">
        <v>1</v>
      </c>
      <c r="F1572" s="6" t="str">
        <f t="shared" si="48"/>
        <v>August</v>
      </c>
      <c r="G1572" s="6">
        <f t="shared" si="49"/>
        <v>33</v>
      </c>
      <c r="H1572" s="1">
        <f>SUMIF('Retal Tran Line Item'!E:E,A1572,'Retal Tran Line Item'!B:B)</f>
        <v>8</v>
      </c>
    </row>
    <row r="1573" spans="1:8">
      <c r="A1573" s="1">
        <v>101571</v>
      </c>
      <c r="B1573" s="1">
        <v>412544</v>
      </c>
      <c r="C1573" s="2">
        <v>41502</v>
      </c>
      <c r="D1573" s="1" t="s">
        <v>1993</v>
      </c>
      <c r="E1573" s="6">
        <v>2</v>
      </c>
      <c r="F1573" s="6" t="str">
        <f t="shared" si="48"/>
        <v>August</v>
      </c>
      <c r="G1573" s="6">
        <f t="shared" si="49"/>
        <v>33</v>
      </c>
      <c r="H1573" s="1">
        <f>SUMIF('Retal Tran Line Item'!E:E,A1573,'Retal Tran Line Item'!B:B)</f>
        <v>7</v>
      </c>
    </row>
    <row r="1574" spans="1:8">
      <c r="A1574" s="1">
        <v>101572</v>
      </c>
      <c r="B1574" s="1">
        <v>347659</v>
      </c>
      <c r="C1574" s="2">
        <v>41502</v>
      </c>
      <c r="D1574" s="1" t="s">
        <v>1992</v>
      </c>
      <c r="E1574" s="6">
        <v>1</v>
      </c>
      <c r="F1574" s="6" t="str">
        <f t="shared" si="48"/>
        <v>August</v>
      </c>
      <c r="G1574" s="6">
        <f t="shared" si="49"/>
        <v>33</v>
      </c>
      <c r="H1574" s="1">
        <f>SUMIF('Retal Tran Line Item'!E:E,A1574,'Retal Tran Line Item'!B:B)</f>
        <v>14</v>
      </c>
    </row>
    <row r="1575" spans="1:8">
      <c r="A1575" s="1">
        <v>101573</v>
      </c>
      <c r="B1575" s="1">
        <v>897980</v>
      </c>
      <c r="C1575" s="2">
        <v>41503</v>
      </c>
      <c r="D1575" s="1" t="s">
        <v>1993</v>
      </c>
      <c r="E1575" s="6">
        <v>1</v>
      </c>
      <c r="F1575" s="6" t="str">
        <f t="shared" si="48"/>
        <v>August</v>
      </c>
      <c r="G1575" s="6">
        <f t="shared" si="49"/>
        <v>33</v>
      </c>
      <c r="H1575" s="1">
        <f>SUMIF('Retal Tran Line Item'!E:E,A1575,'Retal Tran Line Item'!B:B)</f>
        <v>2</v>
      </c>
    </row>
    <row r="1576" spans="1:8">
      <c r="A1576" s="1">
        <v>101574</v>
      </c>
      <c r="B1576" s="1">
        <v>128131</v>
      </c>
      <c r="C1576" s="2">
        <v>41503</v>
      </c>
      <c r="D1576" s="1" t="s">
        <v>1992</v>
      </c>
      <c r="E1576" s="6">
        <v>2</v>
      </c>
      <c r="F1576" s="6" t="str">
        <f t="shared" si="48"/>
        <v>August</v>
      </c>
      <c r="G1576" s="6">
        <f t="shared" si="49"/>
        <v>33</v>
      </c>
      <c r="H1576" s="1">
        <f>SUMIF('Retal Tran Line Item'!E:E,A1576,'Retal Tran Line Item'!B:B)</f>
        <v>7</v>
      </c>
    </row>
    <row r="1577" spans="1:8">
      <c r="A1577" s="1">
        <v>101575</v>
      </c>
      <c r="B1577" s="1">
        <v>346006</v>
      </c>
      <c r="C1577" s="2">
        <v>41503</v>
      </c>
      <c r="D1577" s="1" t="s">
        <v>1989</v>
      </c>
      <c r="E1577" s="6">
        <v>1</v>
      </c>
      <c r="F1577" s="6" t="str">
        <f t="shared" si="48"/>
        <v>August</v>
      </c>
      <c r="G1577" s="6">
        <f t="shared" si="49"/>
        <v>33</v>
      </c>
      <c r="H1577" s="1">
        <f>SUMIF('Retal Tran Line Item'!E:E,A1577,'Retal Tran Line Item'!B:B)</f>
        <v>20</v>
      </c>
    </row>
    <row r="1578" spans="1:8">
      <c r="A1578" s="1">
        <v>101576</v>
      </c>
      <c r="B1578" s="1">
        <v>593317</v>
      </c>
      <c r="C1578" s="2">
        <v>41503</v>
      </c>
      <c r="D1578" s="1" t="s">
        <v>1989</v>
      </c>
      <c r="E1578" s="6">
        <v>1</v>
      </c>
      <c r="F1578" s="6" t="str">
        <f t="shared" si="48"/>
        <v>August</v>
      </c>
      <c r="G1578" s="6">
        <f t="shared" si="49"/>
        <v>33</v>
      </c>
      <c r="H1578" s="1">
        <f>SUMIF('Retal Tran Line Item'!E:E,A1578,'Retal Tran Line Item'!B:B)</f>
        <v>17</v>
      </c>
    </row>
    <row r="1579" spans="1:8">
      <c r="A1579" s="1">
        <v>101577</v>
      </c>
      <c r="B1579" s="1">
        <v>766161</v>
      </c>
      <c r="C1579" s="2">
        <v>41503</v>
      </c>
      <c r="D1579" s="1" t="s">
        <v>1994</v>
      </c>
      <c r="E1579" s="6">
        <v>1</v>
      </c>
      <c r="F1579" s="6" t="str">
        <f t="shared" si="48"/>
        <v>August</v>
      </c>
      <c r="G1579" s="6">
        <f t="shared" si="49"/>
        <v>33</v>
      </c>
      <c r="H1579" s="1">
        <f>SUMIF('Retal Tran Line Item'!E:E,A1579,'Retal Tran Line Item'!B:B)</f>
        <v>16</v>
      </c>
    </row>
    <row r="1580" spans="1:8">
      <c r="A1580" s="1">
        <v>101578</v>
      </c>
      <c r="B1580" s="1">
        <v>891738</v>
      </c>
      <c r="C1580" s="2">
        <v>41503</v>
      </c>
      <c r="D1580" s="1" t="s">
        <v>1994</v>
      </c>
      <c r="E1580" s="6">
        <v>2</v>
      </c>
      <c r="F1580" s="6" t="str">
        <f t="shared" si="48"/>
        <v>August</v>
      </c>
      <c r="G1580" s="6">
        <f t="shared" si="49"/>
        <v>33</v>
      </c>
      <c r="H1580" s="1">
        <f>SUMIF('Retal Tran Line Item'!E:E,A1580,'Retal Tran Line Item'!B:B)</f>
        <v>6</v>
      </c>
    </row>
    <row r="1581" spans="1:8">
      <c r="A1581" s="1">
        <v>101579</v>
      </c>
      <c r="B1581" s="1">
        <v>197102</v>
      </c>
      <c r="C1581" s="2">
        <v>41504</v>
      </c>
      <c r="D1581" s="1" t="s">
        <v>1989</v>
      </c>
      <c r="E1581" s="6">
        <v>2</v>
      </c>
      <c r="F1581" s="6" t="str">
        <f t="shared" si="48"/>
        <v>August</v>
      </c>
      <c r="G1581" s="6">
        <f t="shared" si="49"/>
        <v>34</v>
      </c>
      <c r="H1581" s="1">
        <f>SUMIF('Retal Tran Line Item'!E:E,A1581,'Retal Tran Line Item'!B:B)</f>
        <v>9</v>
      </c>
    </row>
    <row r="1582" spans="1:8">
      <c r="A1582" s="1">
        <v>101580</v>
      </c>
      <c r="B1582" s="1">
        <v>744648</v>
      </c>
      <c r="C1582" s="2">
        <v>41504</v>
      </c>
      <c r="D1582" s="1" t="s">
        <v>1992</v>
      </c>
      <c r="E1582" s="6">
        <v>2</v>
      </c>
      <c r="F1582" s="6" t="str">
        <f t="shared" si="48"/>
        <v>August</v>
      </c>
      <c r="G1582" s="6">
        <f t="shared" si="49"/>
        <v>34</v>
      </c>
      <c r="H1582" s="1">
        <f>SUMIF('Retal Tran Line Item'!E:E,A1582,'Retal Tran Line Item'!B:B)</f>
        <v>8</v>
      </c>
    </row>
    <row r="1583" spans="1:8">
      <c r="A1583" s="1">
        <v>101581</v>
      </c>
      <c r="B1583" s="1">
        <v>347659</v>
      </c>
      <c r="C1583" s="2">
        <v>41504</v>
      </c>
      <c r="D1583" s="1" t="s">
        <v>1992</v>
      </c>
      <c r="E1583" s="6">
        <v>1</v>
      </c>
      <c r="F1583" s="6" t="str">
        <f t="shared" si="48"/>
        <v>August</v>
      </c>
      <c r="G1583" s="6">
        <f t="shared" si="49"/>
        <v>34</v>
      </c>
      <c r="H1583" s="1">
        <f>SUMIF('Retal Tran Line Item'!E:E,A1583,'Retal Tran Line Item'!B:B)</f>
        <v>5</v>
      </c>
    </row>
    <row r="1584" spans="1:8">
      <c r="A1584" s="1">
        <v>101582</v>
      </c>
      <c r="B1584" s="1">
        <v>840970</v>
      </c>
      <c r="C1584" s="2">
        <v>41504</v>
      </c>
      <c r="D1584" s="1" t="s">
        <v>1994</v>
      </c>
      <c r="E1584" s="6">
        <v>2</v>
      </c>
      <c r="F1584" s="6" t="str">
        <f t="shared" si="48"/>
        <v>August</v>
      </c>
      <c r="G1584" s="6">
        <f t="shared" si="49"/>
        <v>34</v>
      </c>
      <c r="H1584" s="1">
        <f>SUMIF('Retal Tran Line Item'!E:E,A1584,'Retal Tran Line Item'!B:B)</f>
        <v>4</v>
      </c>
    </row>
    <row r="1585" spans="1:8">
      <c r="A1585" s="1">
        <v>101583</v>
      </c>
      <c r="B1585" s="1">
        <v>524667</v>
      </c>
      <c r="C1585" s="2">
        <v>41504</v>
      </c>
      <c r="D1585" s="1" t="s">
        <v>1994</v>
      </c>
      <c r="E1585" s="6">
        <v>2</v>
      </c>
      <c r="F1585" s="6" t="str">
        <f t="shared" si="48"/>
        <v>August</v>
      </c>
      <c r="G1585" s="6">
        <f t="shared" si="49"/>
        <v>34</v>
      </c>
      <c r="H1585" s="1">
        <f>SUMIF('Retal Tran Line Item'!E:E,A1585,'Retal Tran Line Item'!B:B)</f>
        <v>7</v>
      </c>
    </row>
    <row r="1586" spans="1:8">
      <c r="A1586" s="1">
        <v>101584</v>
      </c>
      <c r="B1586" s="1">
        <v>797968</v>
      </c>
      <c r="C1586" s="2">
        <v>41504</v>
      </c>
      <c r="D1586" s="1" t="s">
        <v>1993</v>
      </c>
      <c r="E1586" s="6">
        <v>1</v>
      </c>
      <c r="F1586" s="6" t="str">
        <f t="shared" si="48"/>
        <v>August</v>
      </c>
      <c r="G1586" s="6">
        <f t="shared" si="49"/>
        <v>34</v>
      </c>
      <c r="H1586" s="1">
        <f>SUMIF('Retal Tran Line Item'!E:E,A1586,'Retal Tran Line Item'!B:B)</f>
        <v>2</v>
      </c>
    </row>
    <row r="1587" spans="1:8">
      <c r="A1587" s="1">
        <v>101585</v>
      </c>
      <c r="B1587" s="1">
        <v>924649</v>
      </c>
      <c r="C1587" s="2">
        <v>41504</v>
      </c>
      <c r="D1587" s="1" t="s">
        <v>1993</v>
      </c>
      <c r="E1587" s="6">
        <v>2</v>
      </c>
      <c r="F1587" s="6" t="str">
        <f t="shared" si="48"/>
        <v>August</v>
      </c>
      <c r="G1587" s="6">
        <f t="shared" si="49"/>
        <v>34</v>
      </c>
      <c r="H1587" s="1">
        <f>SUMIF('Retal Tran Line Item'!E:E,A1587,'Retal Tran Line Item'!B:B)</f>
        <v>11</v>
      </c>
    </row>
    <row r="1588" spans="1:8">
      <c r="A1588" s="1">
        <v>101586</v>
      </c>
      <c r="B1588" s="1">
        <v>611848</v>
      </c>
      <c r="C1588" s="2">
        <v>41504</v>
      </c>
      <c r="D1588" s="1" t="s">
        <v>1992</v>
      </c>
      <c r="E1588" s="6">
        <v>2</v>
      </c>
      <c r="F1588" s="6" t="str">
        <f t="shared" si="48"/>
        <v>August</v>
      </c>
      <c r="G1588" s="6">
        <f t="shared" si="49"/>
        <v>34</v>
      </c>
      <c r="H1588" s="1">
        <f>SUMIF('Retal Tran Line Item'!E:E,A1588,'Retal Tran Line Item'!B:B)</f>
        <v>23</v>
      </c>
    </row>
    <row r="1589" spans="1:8">
      <c r="A1589" s="1">
        <v>101587</v>
      </c>
      <c r="B1589" s="1">
        <v>970794</v>
      </c>
      <c r="C1589" s="2">
        <v>41504</v>
      </c>
      <c r="D1589" s="1" t="s">
        <v>1993</v>
      </c>
      <c r="E1589" s="6">
        <v>2</v>
      </c>
      <c r="F1589" s="6" t="str">
        <f t="shared" si="48"/>
        <v>August</v>
      </c>
      <c r="G1589" s="6">
        <f t="shared" si="49"/>
        <v>34</v>
      </c>
      <c r="H1589" s="1">
        <f>SUMIF('Retal Tran Line Item'!E:E,A1589,'Retal Tran Line Item'!B:B)</f>
        <v>2</v>
      </c>
    </row>
    <row r="1590" spans="1:8">
      <c r="A1590" s="1">
        <v>101588</v>
      </c>
      <c r="B1590" s="1">
        <v>485769</v>
      </c>
      <c r="C1590" s="2">
        <v>41504</v>
      </c>
      <c r="D1590" s="1" t="s">
        <v>1989</v>
      </c>
      <c r="E1590" s="6">
        <v>1</v>
      </c>
      <c r="F1590" s="6" t="str">
        <f t="shared" si="48"/>
        <v>August</v>
      </c>
      <c r="G1590" s="6">
        <f t="shared" si="49"/>
        <v>34</v>
      </c>
      <c r="H1590" s="1">
        <f>SUMIF('Retal Tran Line Item'!E:E,A1590,'Retal Tran Line Item'!B:B)</f>
        <v>14</v>
      </c>
    </row>
    <row r="1591" spans="1:8">
      <c r="A1591" s="1">
        <v>101589</v>
      </c>
      <c r="B1591" s="1">
        <v>412235</v>
      </c>
      <c r="C1591" s="2">
        <v>41504</v>
      </c>
      <c r="D1591" s="1" t="s">
        <v>1993</v>
      </c>
      <c r="E1591" s="6">
        <v>1</v>
      </c>
      <c r="F1591" s="6" t="str">
        <f t="shared" si="48"/>
        <v>August</v>
      </c>
      <c r="G1591" s="6">
        <f t="shared" si="49"/>
        <v>34</v>
      </c>
      <c r="H1591" s="1">
        <f>SUMIF('Retal Tran Line Item'!E:E,A1591,'Retal Tran Line Item'!B:B)</f>
        <v>9</v>
      </c>
    </row>
    <row r="1592" spans="1:8">
      <c r="A1592" s="1">
        <v>101590</v>
      </c>
      <c r="B1592" s="1">
        <v>119406</v>
      </c>
      <c r="C1592" s="2">
        <v>41504</v>
      </c>
      <c r="D1592" s="1" t="s">
        <v>1993</v>
      </c>
      <c r="E1592" s="6">
        <v>2</v>
      </c>
      <c r="F1592" s="6" t="str">
        <f t="shared" si="48"/>
        <v>August</v>
      </c>
      <c r="G1592" s="6">
        <f t="shared" si="49"/>
        <v>34</v>
      </c>
      <c r="H1592" s="1">
        <f>SUMIF('Retal Tran Line Item'!E:E,A1592,'Retal Tran Line Item'!B:B)</f>
        <v>13</v>
      </c>
    </row>
    <row r="1593" spans="1:8">
      <c r="A1593" s="1">
        <v>101591</v>
      </c>
      <c r="B1593" s="1">
        <v>565259</v>
      </c>
      <c r="C1593" s="2">
        <v>41504</v>
      </c>
      <c r="D1593" s="1" t="s">
        <v>1992</v>
      </c>
      <c r="E1593" s="6">
        <v>2</v>
      </c>
      <c r="F1593" s="6" t="str">
        <f t="shared" si="48"/>
        <v>August</v>
      </c>
      <c r="G1593" s="6">
        <f t="shared" si="49"/>
        <v>34</v>
      </c>
      <c r="H1593" s="1">
        <f>SUMIF('Retal Tran Line Item'!E:E,A1593,'Retal Tran Line Item'!B:B)</f>
        <v>5</v>
      </c>
    </row>
    <row r="1594" spans="1:8">
      <c r="A1594" s="1">
        <v>101592</v>
      </c>
      <c r="B1594" s="1">
        <v>548800</v>
      </c>
      <c r="C1594" s="2">
        <v>41504</v>
      </c>
      <c r="D1594" s="1" t="s">
        <v>1992</v>
      </c>
      <c r="E1594" s="6">
        <v>1</v>
      </c>
      <c r="F1594" s="6" t="str">
        <f t="shared" si="48"/>
        <v>August</v>
      </c>
      <c r="G1594" s="6">
        <f t="shared" si="49"/>
        <v>34</v>
      </c>
      <c r="H1594" s="1">
        <f>SUMIF('Retal Tran Line Item'!E:E,A1594,'Retal Tran Line Item'!B:B)</f>
        <v>25</v>
      </c>
    </row>
    <row r="1595" spans="1:8">
      <c r="A1595" s="1">
        <v>101593</v>
      </c>
      <c r="B1595" s="1">
        <v>500350</v>
      </c>
      <c r="C1595" s="2">
        <v>41504</v>
      </c>
      <c r="D1595" s="1" t="s">
        <v>1993</v>
      </c>
      <c r="E1595" s="6">
        <v>2</v>
      </c>
      <c r="F1595" s="6" t="str">
        <f t="shared" si="48"/>
        <v>August</v>
      </c>
      <c r="G1595" s="6">
        <f t="shared" si="49"/>
        <v>34</v>
      </c>
      <c r="H1595" s="1">
        <f>SUMIF('Retal Tran Line Item'!E:E,A1595,'Retal Tran Line Item'!B:B)</f>
        <v>9</v>
      </c>
    </row>
    <row r="1596" spans="1:8">
      <c r="A1596" s="1">
        <v>101594</v>
      </c>
      <c r="B1596" s="1">
        <v>414509</v>
      </c>
      <c r="C1596" s="2">
        <v>41505</v>
      </c>
      <c r="D1596" s="1" t="s">
        <v>1989</v>
      </c>
      <c r="E1596" s="6">
        <v>1</v>
      </c>
      <c r="F1596" s="6" t="str">
        <f t="shared" si="48"/>
        <v>August</v>
      </c>
      <c r="G1596" s="6">
        <f t="shared" si="49"/>
        <v>34</v>
      </c>
      <c r="H1596" s="1">
        <f>SUMIF('Retal Tran Line Item'!E:E,A1596,'Retal Tran Line Item'!B:B)</f>
        <v>19</v>
      </c>
    </row>
    <row r="1597" spans="1:8">
      <c r="A1597" s="1">
        <v>101595</v>
      </c>
      <c r="B1597" s="1">
        <v>901388</v>
      </c>
      <c r="C1597" s="2">
        <v>41505</v>
      </c>
      <c r="D1597" s="1" t="s">
        <v>1992</v>
      </c>
      <c r="E1597" s="6">
        <v>2</v>
      </c>
      <c r="F1597" s="6" t="str">
        <f t="shared" si="48"/>
        <v>August</v>
      </c>
      <c r="G1597" s="6">
        <f t="shared" si="49"/>
        <v>34</v>
      </c>
      <c r="H1597" s="1">
        <f>SUMIF('Retal Tran Line Item'!E:E,A1597,'Retal Tran Line Item'!B:B)</f>
        <v>4</v>
      </c>
    </row>
    <row r="1598" spans="1:8">
      <c r="A1598" s="1">
        <v>101596</v>
      </c>
      <c r="B1598" s="1">
        <v>191951</v>
      </c>
      <c r="C1598" s="2">
        <v>41505</v>
      </c>
      <c r="D1598" s="1" t="s">
        <v>1992</v>
      </c>
      <c r="E1598" s="6">
        <v>1</v>
      </c>
      <c r="F1598" s="6" t="str">
        <f t="shared" si="48"/>
        <v>August</v>
      </c>
      <c r="G1598" s="6">
        <f t="shared" si="49"/>
        <v>34</v>
      </c>
      <c r="H1598" s="1">
        <f>SUMIF('Retal Tran Line Item'!E:E,A1598,'Retal Tran Line Item'!B:B)</f>
        <v>17</v>
      </c>
    </row>
    <row r="1599" spans="1:8">
      <c r="A1599" s="1">
        <v>101597</v>
      </c>
      <c r="B1599" s="1">
        <v>846558</v>
      </c>
      <c r="C1599" s="2">
        <v>41505</v>
      </c>
      <c r="D1599" s="1" t="s">
        <v>1992</v>
      </c>
      <c r="E1599" s="6">
        <v>1</v>
      </c>
      <c r="F1599" s="6" t="str">
        <f t="shared" si="48"/>
        <v>August</v>
      </c>
      <c r="G1599" s="6">
        <f t="shared" si="49"/>
        <v>34</v>
      </c>
      <c r="H1599" s="1">
        <f>SUMIF('Retal Tran Line Item'!E:E,A1599,'Retal Tran Line Item'!B:B)</f>
        <v>7</v>
      </c>
    </row>
    <row r="1600" spans="1:8">
      <c r="A1600" s="1">
        <v>101598</v>
      </c>
      <c r="B1600" s="1">
        <v>296353</v>
      </c>
      <c r="C1600" s="2">
        <v>41505</v>
      </c>
      <c r="D1600" s="1" t="s">
        <v>1993</v>
      </c>
      <c r="E1600" s="6">
        <v>1</v>
      </c>
      <c r="F1600" s="6" t="str">
        <f t="shared" si="48"/>
        <v>August</v>
      </c>
      <c r="G1600" s="6">
        <f t="shared" si="49"/>
        <v>34</v>
      </c>
      <c r="H1600" s="1">
        <f>SUMIF('Retal Tran Line Item'!E:E,A1600,'Retal Tran Line Item'!B:B)</f>
        <v>7</v>
      </c>
    </row>
    <row r="1601" spans="1:8">
      <c r="A1601" s="1">
        <v>101599</v>
      </c>
      <c r="B1601" s="1">
        <v>714947</v>
      </c>
      <c r="C1601" s="2">
        <v>41505</v>
      </c>
      <c r="D1601" s="1" t="s">
        <v>1989</v>
      </c>
      <c r="E1601" s="6">
        <v>1</v>
      </c>
      <c r="F1601" s="6" t="str">
        <f t="shared" si="48"/>
        <v>August</v>
      </c>
      <c r="G1601" s="6">
        <f t="shared" si="49"/>
        <v>34</v>
      </c>
      <c r="H1601" s="1">
        <f>SUMIF('Retal Tran Line Item'!E:E,A1601,'Retal Tran Line Item'!B:B)</f>
        <v>11</v>
      </c>
    </row>
    <row r="1602" spans="1:8">
      <c r="A1602" s="1">
        <v>101600</v>
      </c>
      <c r="B1602" s="1">
        <v>680104</v>
      </c>
      <c r="C1602" s="2">
        <v>41505</v>
      </c>
      <c r="D1602" s="1" t="s">
        <v>1992</v>
      </c>
      <c r="E1602" s="6">
        <v>2</v>
      </c>
      <c r="F1602" s="6" t="str">
        <f t="shared" si="48"/>
        <v>August</v>
      </c>
      <c r="G1602" s="6">
        <f t="shared" si="49"/>
        <v>34</v>
      </c>
      <c r="H1602" s="1">
        <f>SUMIF('Retal Tran Line Item'!E:E,A1602,'Retal Tran Line Item'!B:B)</f>
        <v>20</v>
      </c>
    </row>
    <row r="1603" spans="1:8">
      <c r="A1603" s="1">
        <v>101601</v>
      </c>
      <c r="B1603" s="1">
        <v>575041</v>
      </c>
      <c r="C1603" s="2">
        <v>41505</v>
      </c>
      <c r="D1603" s="1" t="s">
        <v>1994</v>
      </c>
      <c r="E1603" s="6">
        <v>2</v>
      </c>
      <c r="F1603" s="6" t="str">
        <f t="shared" ref="F1603:F1666" si="50">TEXT(C1603,"MMMM")</f>
        <v>August</v>
      </c>
      <c r="G1603" s="6">
        <f t="shared" ref="G1603:G1666" si="51">WEEKNUM(C1603)</f>
        <v>34</v>
      </c>
      <c r="H1603" s="1">
        <f>SUMIF('Retal Tran Line Item'!E:E,A1603,'Retal Tran Line Item'!B:B)</f>
        <v>35</v>
      </c>
    </row>
    <row r="1604" spans="1:8">
      <c r="A1604" s="1">
        <v>101602</v>
      </c>
      <c r="B1604" s="1">
        <v>568217</v>
      </c>
      <c r="C1604" s="2">
        <v>41505</v>
      </c>
      <c r="D1604" s="1" t="s">
        <v>1993</v>
      </c>
      <c r="E1604" s="6">
        <v>1</v>
      </c>
      <c r="F1604" s="6" t="str">
        <f t="shared" si="50"/>
        <v>August</v>
      </c>
      <c r="G1604" s="6">
        <f t="shared" si="51"/>
        <v>34</v>
      </c>
      <c r="H1604" s="1">
        <f>SUMIF('Retal Tran Line Item'!E:E,A1604,'Retal Tran Line Item'!B:B)</f>
        <v>6</v>
      </c>
    </row>
    <row r="1605" spans="1:8">
      <c r="A1605" s="1">
        <v>101603</v>
      </c>
      <c r="B1605" s="1">
        <v>815980</v>
      </c>
      <c r="C1605" s="2">
        <v>41505</v>
      </c>
      <c r="D1605" s="1" t="s">
        <v>1992</v>
      </c>
      <c r="E1605" s="6">
        <v>1</v>
      </c>
      <c r="F1605" s="6" t="str">
        <f t="shared" si="50"/>
        <v>August</v>
      </c>
      <c r="G1605" s="6">
        <f t="shared" si="51"/>
        <v>34</v>
      </c>
      <c r="H1605" s="1">
        <f>SUMIF('Retal Tran Line Item'!E:E,A1605,'Retal Tran Line Item'!B:B)</f>
        <v>12</v>
      </c>
    </row>
    <row r="1606" spans="1:8">
      <c r="A1606" s="1">
        <v>101604</v>
      </c>
      <c r="B1606" s="1">
        <v>890651</v>
      </c>
      <c r="C1606" s="2">
        <v>41505</v>
      </c>
      <c r="D1606" s="1" t="s">
        <v>1989</v>
      </c>
      <c r="E1606" s="6">
        <v>2</v>
      </c>
      <c r="F1606" s="6" t="str">
        <f t="shared" si="50"/>
        <v>August</v>
      </c>
      <c r="G1606" s="6">
        <f t="shared" si="51"/>
        <v>34</v>
      </c>
      <c r="H1606" s="1">
        <f>SUMIF('Retal Tran Line Item'!E:E,A1606,'Retal Tran Line Item'!B:B)</f>
        <v>6</v>
      </c>
    </row>
    <row r="1607" spans="1:8">
      <c r="A1607" s="1">
        <v>101605</v>
      </c>
      <c r="B1607" s="1">
        <v>520377</v>
      </c>
      <c r="C1607" s="2">
        <v>41505</v>
      </c>
      <c r="D1607" s="1" t="s">
        <v>1993</v>
      </c>
      <c r="E1607" s="6">
        <v>2</v>
      </c>
      <c r="F1607" s="6" t="str">
        <f t="shared" si="50"/>
        <v>August</v>
      </c>
      <c r="G1607" s="6">
        <f t="shared" si="51"/>
        <v>34</v>
      </c>
      <c r="H1607" s="1">
        <f>SUMIF('Retal Tran Line Item'!E:E,A1607,'Retal Tran Line Item'!B:B)</f>
        <v>1</v>
      </c>
    </row>
    <row r="1608" spans="1:8">
      <c r="A1608" s="1">
        <v>101606</v>
      </c>
      <c r="B1608" s="1">
        <v>134457</v>
      </c>
      <c r="C1608" s="2">
        <v>41506</v>
      </c>
      <c r="D1608" s="1" t="s">
        <v>1992</v>
      </c>
      <c r="E1608" s="6">
        <v>2</v>
      </c>
      <c r="F1608" s="6" t="str">
        <f t="shared" si="50"/>
        <v>August</v>
      </c>
      <c r="G1608" s="6">
        <f t="shared" si="51"/>
        <v>34</v>
      </c>
      <c r="H1608" s="1">
        <f>SUMIF('Retal Tran Line Item'!E:E,A1608,'Retal Tran Line Item'!B:B)</f>
        <v>5</v>
      </c>
    </row>
    <row r="1609" spans="1:8">
      <c r="A1609" s="1">
        <v>101607</v>
      </c>
      <c r="B1609" s="1">
        <v>230467</v>
      </c>
      <c r="C1609" s="2">
        <v>41506</v>
      </c>
      <c r="D1609" s="1" t="s">
        <v>1989</v>
      </c>
      <c r="E1609" s="6">
        <v>2</v>
      </c>
      <c r="F1609" s="6" t="str">
        <f t="shared" si="50"/>
        <v>August</v>
      </c>
      <c r="G1609" s="6">
        <f t="shared" si="51"/>
        <v>34</v>
      </c>
      <c r="H1609" s="1">
        <f>SUMIF('Retal Tran Line Item'!E:E,A1609,'Retal Tran Line Item'!B:B)</f>
        <v>5</v>
      </c>
    </row>
    <row r="1610" spans="1:8">
      <c r="A1610" s="1">
        <v>101608</v>
      </c>
      <c r="B1610" s="1">
        <v>703083</v>
      </c>
      <c r="C1610" s="2">
        <v>41506</v>
      </c>
      <c r="D1610" s="1" t="s">
        <v>1994</v>
      </c>
      <c r="E1610" s="6">
        <v>1</v>
      </c>
      <c r="F1610" s="6" t="str">
        <f t="shared" si="50"/>
        <v>August</v>
      </c>
      <c r="G1610" s="6">
        <f t="shared" si="51"/>
        <v>34</v>
      </c>
      <c r="H1610" s="1">
        <f>SUMIF('Retal Tran Line Item'!E:E,A1610,'Retal Tran Line Item'!B:B)</f>
        <v>10</v>
      </c>
    </row>
    <row r="1611" spans="1:8">
      <c r="A1611" s="1">
        <v>101609</v>
      </c>
      <c r="B1611" s="1">
        <v>166135</v>
      </c>
      <c r="C1611" s="2">
        <v>41506</v>
      </c>
      <c r="D1611" s="1" t="s">
        <v>1989</v>
      </c>
      <c r="E1611" s="6">
        <v>2</v>
      </c>
      <c r="F1611" s="6" t="str">
        <f t="shared" si="50"/>
        <v>August</v>
      </c>
      <c r="G1611" s="6">
        <f t="shared" si="51"/>
        <v>34</v>
      </c>
      <c r="H1611" s="1">
        <f>SUMIF('Retal Tran Line Item'!E:E,A1611,'Retal Tran Line Item'!B:B)</f>
        <v>10</v>
      </c>
    </row>
    <row r="1612" spans="1:8">
      <c r="A1612" s="1">
        <v>101610</v>
      </c>
      <c r="B1612" s="1">
        <v>567719</v>
      </c>
      <c r="C1612" s="2">
        <v>41506</v>
      </c>
      <c r="D1612" s="1" t="s">
        <v>1993</v>
      </c>
      <c r="E1612" s="6">
        <v>1</v>
      </c>
      <c r="F1612" s="6" t="str">
        <f t="shared" si="50"/>
        <v>August</v>
      </c>
      <c r="G1612" s="6">
        <f t="shared" si="51"/>
        <v>34</v>
      </c>
      <c r="H1612" s="1">
        <f>SUMIF('Retal Tran Line Item'!E:E,A1612,'Retal Tran Line Item'!B:B)</f>
        <v>2</v>
      </c>
    </row>
    <row r="1613" spans="1:8">
      <c r="A1613" s="1">
        <v>101611</v>
      </c>
      <c r="B1613" s="1">
        <v>757780</v>
      </c>
      <c r="C1613" s="2">
        <v>41506</v>
      </c>
      <c r="D1613" s="1" t="s">
        <v>1993</v>
      </c>
      <c r="E1613" s="6">
        <v>2</v>
      </c>
      <c r="F1613" s="6" t="str">
        <f t="shared" si="50"/>
        <v>August</v>
      </c>
      <c r="G1613" s="6">
        <f t="shared" si="51"/>
        <v>34</v>
      </c>
      <c r="H1613" s="1">
        <f>SUMIF('Retal Tran Line Item'!E:E,A1613,'Retal Tran Line Item'!B:B)</f>
        <v>8</v>
      </c>
    </row>
    <row r="1614" spans="1:8">
      <c r="A1614" s="1">
        <v>101612</v>
      </c>
      <c r="B1614" s="1">
        <v>706101</v>
      </c>
      <c r="C1614" s="2">
        <v>41506</v>
      </c>
      <c r="D1614" s="1" t="s">
        <v>1993</v>
      </c>
      <c r="E1614" s="6">
        <v>1</v>
      </c>
      <c r="F1614" s="6" t="str">
        <f t="shared" si="50"/>
        <v>August</v>
      </c>
      <c r="G1614" s="6">
        <f t="shared" si="51"/>
        <v>34</v>
      </c>
      <c r="H1614" s="1">
        <f>SUMIF('Retal Tran Line Item'!E:E,A1614,'Retal Tran Line Item'!B:B)</f>
        <v>3</v>
      </c>
    </row>
    <row r="1615" spans="1:8">
      <c r="A1615" s="1">
        <v>101613</v>
      </c>
      <c r="B1615" s="1">
        <v>912671</v>
      </c>
      <c r="C1615" s="2">
        <v>41506</v>
      </c>
      <c r="D1615" s="1" t="s">
        <v>1992</v>
      </c>
      <c r="E1615" s="6">
        <v>2</v>
      </c>
      <c r="F1615" s="6" t="str">
        <f t="shared" si="50"/>
        <v>August</v>
      </c>
      <c r="G1615" s="6">
        <f t="shared" si="51"/>
        <v>34</v>
      </c>
      <c r="H1615" s="1">
        <f>SUMIF('Retal Tran Line Item'!E:E,A1615,'Retal Tran Line Item'!B:B)</f>
        <v>7</v>
      </c>
    </row>
    <row r="1616" spans="1:8">
      <c r="A1616" s="1">
        <v>101614</v>
      </c>
      <c r="B1616" s="1">
        <v>266633</v>
      </c>
      <c r="C1616" s="2">
        <v>41506</v>
      </c>
      <c r="D1616" s="1" t="s">
        <v>1992</v>
      </c>
      <c r="E1616" s="6">
        <v>2</v>
      </c>
      <c r="F1616" s="6" t="str">
        <f t="shared" si="50"/>
        <v>August</v>
      </c>
      <c r="G1616" s="6">
        <f t="shared" si="51"/>
        <v>34</v>
      </c>
      <c r="H1616" s="1">
        <f>SUMIF('Retal Tran Line Item'!E:E,A1616,'Retal Tran Line Item'!B:B)</f>
        <v>6</v>
      </c>
    </row>
    <row r="1617" spans="1:8">
      <c r="A1617" s="1">
        <v>101615</v>
      </c>
      <c r="B1617" s="1">
        <v>599995</v>
      </c>
      <c r="C1617" s="2">
        <v>41507</v>
      </c>
      <c r="D1617" s="1" t="s">
        <v>1989</v>
      </c>
      <c r="E1617" s="6">
        <v>2</v>
      </c>
      <c r="F1617" s="6" t="str">
        <f t="shared" si="50"/>
        <v>August</v>
      </c>
      <c r="G1617" s="6">
        <f t="shared" si="51"/>
        <v>34</v>
      </c>
      <c r="H1617" s="1">
        <f>SUMIF('Retal Tran Line Item'!E:E,A1617,'Retal Tran Line Item'!B:B)</f>
        <v>24</v>
      </c>
    </row>
    <row r="1618" spans="1:8">
      <c r="A1618" s="1">
        <v>101616</v>
      </c>
      <c r="B1618" s="1">
        <v>745543</v>
      </c>
      <c r="C1618" s="2">
        <v>41507</v>
      </c>
      <c r="D1618" s="1" t="s">
        <v>1989</v>
      </c>
      <c r="E1618" s="6">
        <v>2</v>
      </c>
      <c r="F1618" s="6" t="str">
        <f t="shared" si="50"/>
        <v>August</v>
      </c>
      <c r="G1618" s="6">
        <f t="shared" si="51"/>
        <v>34</v>
      </c>
      <c r="H1618" s="1">
        <f>SUMIF('Retal Tran Line Item'!E:E,A1618,'Retal Tran Line Item'!B:B)</f>
        <v>1</v>
      </c>
    </row>
    <row r="1619" spans="1:8">
      <c r="A1619" s="1">
        <v>101617</v>
      </c>
      <c r="B1619" s="1">
        <v>672834</v>
      </c>
      <c r="C1619" s="2">
        <v>41507</v>
      </c>
      <c r="D1619" s="1" t="s">
        <v>1993</v>
      </c>
      <c r="E1619" s="6">
        <v>2</v>
      </c>
      <c r="F1619" s="6" t="str">
        <f t="shared" si="50"/>
        <v>August</v>
      </c>
      <c r="G1619" s="6">
        <f t="shared" si="51"/>
        <v>34</v>
      </c>
      <c r="H1619" s="1">
        <f>SUMIF('Retal Tran Line Item'!E:E,A1619,'Retal Tran Line Item'!B:B)</f>
        <v>21</v>
      </c>
    </row>
    <row r="1620" spans="1:8">
      <c r="A1620" s="1">
        <v>101618</v>
      </c>
      <c r="B1620" s="1">
        <v>900440</v>
      </c>
      <c r="C1620" s="2">
        <v>41507</v>
      </c>
      <c r="D1620" s="1" t="s">
        <v>1992</v>
      </c>
      <c r="E1620" s="6">
        <v>1</v>
      </c>
      <c r="F1620" s="6" t="str">
        <f t="shared" si="50"/>
        <v>August</v>
      </c>
      <c r="G1620" s="6">
        <f t="shared" si="51"/>
        <v>34</v>
      </c>
      <c r="H1620" s="1">
        <f>SUMIF('Retal Tran Line Item'!E:E,A1620,'Retal Tran Line Item'!B:B)</f>
        <v>7</v>
      </c>
    </row>
    <row r="1621" spans="1:8">
      <c r="A1621" s="1">
        <v>101619</v>
      </c>
      <c r="B1621" s="1">
        <v>912671</v>
      </c>
      <c r="C1621" s="2">
        <v>41507</v>
      </c>
      <c r="D1621" s="1" t="s">
        <v>1992</v>
      </c>
      <c r="E1621" s="6">
        <v>2</v>
      </c>
      <c r="F1621" s="6" t="str">
        <f t="shared" si="50"/>
        <v>August</v>
      </c>
      <c r="G1621" s="6">
        <f t="shared" si="51"/>
        <v>34</v>
      </c>
      <c r="H1621" s="1">
        <f>SUMIF('Retal Tran Line Item'!E:E,A1621,'Retal Tran Line Item'!B:B)</f>
        <v>9</v>
      </c>
    </row>
    <row r="1622" spans="1:8">
      <c r="A1622" s="1">
        <v>101620</v>
      </c>
      <c r="B1622" s="1">
        <v>866556</v>
      </c>
      <c r="C1622" s="2">
        <v>41507</v>
      </c>
      <c r="D1622" s="1" t="s">
        <v>1993</v>
      </c>
      <c r="E1622" s="6">
        <v>1</v>
      </c>
      <c r="F1622" s="6" t="str">
        <f t="shared" si="50"/>
        <v>August</v>
      </c>
      <c r="G1622" s="6">
        <f t="shared" si="51"/>
        <v>34</v>
      </c>
      <c r="H1622" s="1">
        <f>SUMIF('Retal Tran Line Item'!E:E,A1622,'Retal Tran Line Item'!B:B)</f>
        <v>10</v>
      </c>
    </row>
    <row r="1623" spans="1:8">
      <c r="A1623" s="1">
        <v>101621</v>
      </c>
      <c r="B1623" s="1">
        <v>781523</v>
      </c>
      <c r="C1623" s="2">
        <v>41507</v>
      </c>
      <c r="D1623" s="1" t="s">
        <v>1989</v>
      </c>
      <c r="E1623" s="6">
        <v>1</v>
      </c>
      <c r="F1623" s="6" t="str">
        <f t="shared" si="50"/>
        <v>August</v>
      </c>
      <c r="G1623" s="6">
        <f t="shared" si="51"/>
        <v>34</v>
      </c>
      <c r="H1623" s="1">
        <f>SUMIF('Retal Tran Line Item'!E:E,A1623,'Retal Tran Line Item'!B:B)</f>
        <v>5</v>
      </c>
    </row>
    <row r="1624" spans="1:8">
      <c r="A1624" s="1">
        <v>101622</v>
      </c>
      <c r="B1624" s="1">
        <v>464782</v>
      </c>
      <c r="C1624" s="2">
        <v>41508</v>
      </c>
      <c r="D1624" s="1" t="s">
        <v>1993</v>
      </c>
      <c r="E1624" s="6">
        <v>2</v>
      </c>
      <c r="F1624" s="6" t="str">
        <f t="shared" si="50"/>
        <v>August</v>
      </c>
      <c r="G1624" s="6">
        <f t="shared" si="51"/>
        <v>34</v>
      </c>
      <c r="H1624" s="1">
        <f>SUMIF('Retal Tran Line Item'!E:E,A1624,'Retal Tran Line Item'!B:B)</f>
        <v>5</v>
      </c>
    </row>
    <row r="1625" spans="1:8">
      <c r="A1625" s="1">
        <v>101623</v>
      </c>
      <c r="B1625" s="1">
        <v>941876</v>
      </c>
      <c r="C1625" s="2">
        <v>41508</v>
      </c>
      <c r="D1625" s="1" t="s">
        <v>1993</v>
      </c>
      <c r="E1625" s="6">
        <v>1</v>
      </c>
      <c r="F1625" s="6" t="str">
        <f t="shared" si="50"/>
        <v>August</v>
      </c>
      <c r="G1625" s="6">
        <f t="shared" si="51"/>
        <v>34</v>
      </c>
      <c r="H1625" s="1">
        <f>SUMIF('Retal Tran Line Item'!E:E,A1625,'Retal Tran Line Item'!B:B)</f>
        <v>32</v>
      </c>
    </row>
    <row r="1626" spans="1:8">
      <c r="A1626" s="1">
        <v>101624</v>
      </c>
      <c r="B1626" s="1">
        <v>944523</v>
      </c>
      <c r="C1626" s="2">
        <v>41508</v>
      </c>
      <c r="D1626" s="1" t="s">
        <v>1992</v>
      </c>
      <c r="E1626" s="6">
        <v>1</v>
      </c>
      <c r="F1626" s="6" t="str">
        <f t="shared" si="50"/>
        <v>August</v>
      </c>
      <c r="G1626" s="6">
        <f t="shared" si="51"/>
        <v>34</v>
      </c>
      <c r="H1626" s="1">
        <f>SUMIF('Retal Tran Line Item'!E:E,A1626,'Retal Tran Line Item'!B:B)</f>
        <v>16</v>
      </c>
    </row>
    <row r="1627" spans="1:8">
      <c r="A1627" s="1">
        <v>101625</v>
      </c>
      <c r="B1627" s="1">
        <v>889686</v>
      </c>
      <c r="C1627" s="2">
        <v>41508</v>
      </c>
      <c r="D1627" s="1" t="s">
        <v>1989</v>
      </c>
      <c r="E1627" s="6">
        <v>2</v>
      </c>
      <c r="F1627" s="6" t="str">
        <f t="shared" si="50"/>
        <v>August</v>
      </c>
      <c r="G1627" s="6">
        <f t="shared" si="51"/>
        <v>34</v>
      </c>
      <c r="H1627" s="1">
        <f>SUMIF('Retal Tran Line Item'!E:E,A1627,'Retal Tran Line Item'!B:B)</f>
        <v>10</v>
      </c>
    </row>
    <row r="1628" spans="1:8">
      <c r="A1628" s="1">
        <v>101626</v>
      </c>
      <c r="B1628" s="1">
        <v>701211</v>
      </c>
      <c r="C1628" s="2">
        <v>41508</v>
      </c>
      <c r="D1628" s="1" t="s">
        <v>1993</v>
      </c>
      <c r="E1628" s="6">
        <v>2</v>
      </c>
      <c r="F1628" s="6" t="str">
        <f t="shared" si="50"/>
        <v>August</v>
      </c>
      <c r="G1628" s="6">
        <f t="shared" si="51"/>
        <v>34</v>
      </c>
      <c r="H1628" s="1">
        <f>SUMIF('Retal Tran Line Item'!E:E,A1628,'Retal Tran Line Item'!B:B)</f>
        <v>11</v>
      </c>
    </row>
    <row r="1629" spans="1:8">
      <c r="A1629" s="1">
        <v>101627</v>
      </c>
      <c r="B1629" s="1">
        <v>233956</v>
      </c>
      <c r="C1629" s="2">
        <v>41508</v>
      </c>
      <c r="D1629" s="1" t="s">
        <v>1992</v>
      </c>
      <c r="E1629" s="6">
        <v>2</v>
      </c>
      <c r="F1629" s="6" t="str">
        <f t="shared" si="50"/>
        <v>August</v>
      </c>
      <c r="G1629" s="6">
        <f t="shared" si="51"/>
        <v>34</v>
      </c>
      <c r="H1629" s="1">
        <f>SUMIF('Retal Tran Line Item'!E:E,A1629,'Retal Tran Line Item'!B:B)</f>
        <v>12</v>
      </c>
    </row>
    <row r="1630" spans="1:8">
      <c r="A1630" s="1">
        <v>101628</v>
      </c>
      <c r="B1630" s="1">
        <v>420981</v>
      </c>
      <c r="C1630" s="2">
        <v>41508</v>
      </c>
      <c r="D1630" s="1" t="s">
        <v>1992</v>
      </c>
      <c r="E1630" s="6">
        <v>1</v>
      </c>
      <c r="F1630" s="6" t="str">
        <f t="shared" si="50"/>
        <v>August</v>
      </c>
      <c r="G1630" s="6">
        <f t="shared" si="51"/>
        <v>34</v>
      </c>
      <c r="H1630" s="1">
        <f>SUMIF('Retal Tran Line Item'!E:E,A1630,'Retal Tran Line Item'!B:B)</f>
        <v>12</v>
      </c>
    </row>
    <row r="1631" spans="1:8">
      <c r="A1631" s="1">
        <v>101629</v>
      </c>
      <c r="B1631" s="1">
        <v>108708</v>
      </c>
      <c r="C1631" s="2">
        <v>41508</v>
      </c>
      <c r="D1631" s="1" t="s">
        <v>1992</v>
      </c>
      <c r="E1631" s="6">
        <v>1</v>
      </c>
      <c r="F1631" s="6" t="str">
        <f t="shared" si="50"/>
        <v>August</v>
      </c>
      <c r="G1631" s="6">
        <f t="shared" si="51"/>
        <v>34</v>
      </c>
      <c r="H1631" s="1">
        <f>SUMIF('Retal Tran Line Item'!E:E,A1631,'Retal Tran Line Item'!B:B)</f>
        <v>9</v>
      </c>
    </row>
    <row r="1632" spans="1:8">
      <c r="A1632" s="1">
        <v>101630</v>
      </c>
      <c r="B1632" s="1">
        <v>407605</v>
      </c>
      <c r="C1632" s="2">
        <v>41508</v>
      </c>
      <c r="D1632" s="1" t="s">
        <v>1994</v>
      </c>
      <c r="E1632" s="6">
        <v>2</v>
      </c>
      <c r="F1632" s="6" t="str">
        <f t="shared" si="50"/>
        <v>August</v>
      </c>
      <c r="G1632" s="6">
        <f t="shared" si="51"/>
        <v>34</v>
      </c>
      <c r="H1632" s="1">
        <f>SUMIF('Retal Tran Line Item'!E:E,A1632,'Retal Tran Line Item'!B:B)</f>
        <v>10</v>
      </c>
    </row>
    <row r="1633" spans="1:8">
      <c r="A1633" s="1">
        <v>101631</v>
      </c>
      <c r="B1633" s="1">
        <v>796796</v>
      </c>
      <c r="C1633" s="2">
        <v>41508</v>
      </c>
      <c r="D1633" s="1" t="s">
        <v>1992</v>
      </c>
      <c r="E1633" s="6">
        <v>1</v>
      </c>
      <c r="F1633" s="6" t="str">
        <f t="shared" si="50"/>
        <v>August</v>
      </c>
      <c r="G1633" s="6">
        <f t="shared" si="51"/>
        <v>34</v>
      </c>
      <c r="H1633" s="1">
        <f>SUMIF('Retal Tran Line Item'!E:E,A1633,'Retal Tran Line Item'!B:B)</f>
        <v>19</v>
      </c>
    </row>
    <row r="1634" spans="1:8">
      <c r="A1634" s="1">
        <v>101632</v>
      </c>
      <c r="B1634" s="1">
        <v>484909</v>
      </c>
      <c r="C1634" s="2">
        <v>41508</v>
      </c>
      <c r="D1634" s="1" t="s">
        <v>1994</v>
      </c>
      <c r="E1634" s="6">
        <v>2</v>
      </c>
      <c r="F1634" s="6" t="str">
        <f t="shared" si="50"/>
        <v>August</v>
      </c>
      <c r="G1634" s="6">
        <f t="shared" si="51"/>
        <v>34</v>
      </c>
      <c r="H1634" s="1">
        <f>SUMIF('Retal Tran Line Item'!E:E,A1634,'Retal Tran Line Item'!B:B)</f>
        <v>1</v>
      </c>
    </row>
    <row r="1635" spans="1:8">
      <c r="A1635" s="1">
        <v>101633</v>
      </c>
      <c r="B1635" s="1">
        <v>730305</v>
      </c>
      <c r="C1635" s="2">
        <v>41508</v>
      </c>
      <c r="D1635" s="1" t="s">
        <v>1992</v>
      </c>
      <c r="E1635" s="6">
        <v>1</v>
      </c>
      <c r="F1635" s="6" t="str">
        <f t="shared" si="50"/>
        <v>August</v>
      </c>
      <c r="G1635" s="6">
        <f t="shared" si="51"/>
        <v>34</v>
      </c>
      <c r="H1635" s="1">
        <f>SUMIF('Retal Tran Line Item'!E:E,A1635,'Retal Tran Line Item'!B:B)</f>
        <v>25</v>
      </c>
    </row>
    <row r="1636" spans="1:8">
      <c r="A1636" s="1">
        <v>101634</v>
      </c>
      <c r="B1636" s="1">
        <v>158528</v>
      </c>
      <c r="C1636" s="2">
        <v>41508</v>
      </c>
      <c r="D1636" s="1" t="s">
        <v>1993</v>
      </c>
      <c r="E1636" s="6">
        <v>2</v>
      </c>
      <c r="F1636" s="6" t="str">
        <f t="shared" si="50"/>
        <v>August</v>
      </c>
      <c r="G1636" s="6">
        <f t="shared" si="51"/>
        <v>34</v>
      </c>
      <c r="H1636" s="1">
        <f>SUMIF('Retal Tran Line Item'!E:E,A1636,'Retal Tran Line Item'!B:B)</f>
        <v>11</v>
      </c>
    </row>
    <row r="1637" spans="1:8">
      <c r="A1637" s="1">
        <v>101635</v>
      </c>
      <c r="B1637" s="1">
        <v>908328</v>
      </c>
      <c r="C1637" s="2">
        <v>41508</v>
      </c>
      <c r="D1637" s="1" t="s">
        <v>1992</v>
      </c>
      <c r="E1637" s="6">
        <v>1</v>
      </c>
      <c r="F1637" s="6" t="str">
        <f t="shared" si="50"/>
        <v>August</v>
      </c>
      <c r="G1637" s="6">
        <f t="shared" si="51"/>
        <v>34</v>
      </c>
      <c r="H1637" s="1">
        <f>SUMIF('Retal Tran Line Item'!E:E,A1637,'Retal Tran Line Item'!B:B)</f>
        <v>5</v>
      </c>
    </row>
    <row r="1638" spans="1:8">
      <c r="A1638" s="1">
        <v>101636</v>
      </c>
      <c r="B1638" s="1">
        <v>447601</v>
      </c>
      <c r="C1638" s="2">
        <v>41508</v>
      </c>
      <c r="D1638" s="1" t="s">
        <v>1989</v>
      </c>
      <c r="E1638" s="6">
        <v>1</v>
      </c>
      <c r="F1638" s="6" t="str">
        <f t="shared" si="50"/>
        <v>August</v>
      </c>
      <c r="G1638" s="6">
        <f t="shared" si="51"/>
        <v>34</v>
      </c>
      <c r="H1638" s="1">
        <f>SUMIF('Retal Tran Line Item'!E:E,A1638,'Retal Tran Line Item'!B:B)</f>
        <v>7</v>
      </c>
    </row>
    <row r="1639" spans="1:8">
      <c r="A1639" s="1">
        <v>101637</v>
      </c>
      <c r="B1639" s="1">
        <v>622506</v>
      </c>
      <c r="C1639" s="2">
        <v>41508</v>
      </c>
      <c r="D1639" s="1" t="s">
        <v>1993</v>
      </c>
      <c r="E1639" s="6">
        <v>2</v>
      </c>
      <c r="F1639" s="6" t="str">
        <f t="shared" si="50"/>
        <v>August</v>
      </c>
      <c r="G1639" s="6">
        <f t="shared" si="51"/>
        <v>34</v>
      </c>
      <c r="H1639" s="1">
        <f>SUMIF('Retal Tran Line Item'!E:E,A1639,'Retal Tran Line Item'!B:B)</f>
        <v>2</v>
      </c>
    </row>
    <row r="1640" spans="1:8">
      <c r="A1640" s="1">
        <v>101638</v>
      </c>
      <c r="B1640" s="1">
        <v>842028</v>
      </c>
      <c r="C1640" s="2">
        <v>41509</v>
      </c>
      <c r="D1640" s="1" t="s">
        <v>1993</v>
      </c>
      <c r="E1640" s="6">
        <v>2</v>
      </c>
      <c r="F1640" s="6" t="str">
        <f t="shared" si="50"/>
        <v>August</v>
      </c>
      <c r="G1640" s="6">
        <f t="shared" si="51"/>
        <v>34</v>
      </c>
      <c r="H1640" s="1">
        <f>SUMIF('Retal Tran Line Item'!E:E,A1640,'Retal Tran Line Item'!B:B)</f>
        <v>5</v>
      </c>
    </row>
    <row r="1641" spans="1:8">
      <c r="A1641" s="1">
        <v>101639</v>
      </c>
      <c r="B1641" s="1">
        <v>298508</v>
      </c>
      <c r="C1641" s="2">
        <v>41509</v>
      </c>
      <c r="D1641" s="1" t="s">
        <v>1993</v>
      </c>
      <c r="E1641" s="6">
        <v>1</v>
      </c>
      <c r="F1641" s="6" t="str">
        <f t="shared" si="50"/>
        <v>August</v>
      </c>
      <c r="G1641" s="6">
        <f t="shared" si="51"/>
        <v>34</v>
      </c>
      <c r="H1641" s="1">
        <f>SUMIF('Retal Tran Line Item'!E:E,A1641,'Retal Tran Line Item'!B:B)</f>
        <v>3</v>
      </c>
    </row>
    <row r="1642" spans="1:8">
      <c r="A1642" s="1">
        <v>101640</v>
      </c>
      <c r="B1642" s="1">
        <v>357579</v>
      </c>
      <c r="C1642" s="2">
        <v>41509</v>
      </c>
      <c r="D1642" s="1" t="s">
        <v>1994</v>
      </c>
      <c r="E1642" s="6">
        <v>1</v>
      </c>
      <c r="F1642" s="6" t="str">
        <f t="shared" si="50"/>
        <v>August</v>
      </c>
      <c r="G1642" s="6">
        <f t="shared" si="51"/>
        <v>34</v>
      </c>
      <c r="H1642" s="1">
        <f>SUMIF('Retal Tran Line Item'!E:E,A1642,'Retal Tran Line Item'!B:B)</f>
        <v>8</v>
      </c>
    </row>
    <row r="1643" spans="1:8">
      <c r="A1643" s="1">
        <v>101641</v>
      </c>
      <c r="B1643" s="1">
        <v>493552</v>
      </c>
      <c r="C1643" s="2">
        <v>41509</v>
      </c>
      <c r="D1643" s="1" t="s">
        <v>1994</v>
      </c>
      <c r="E1643" s="6">
        <v>2</v>
      </c>
      <c r="F1643" s="6" t="str">
        <f t="shared" si="50"/>
        <v>August</v>
      </c>
      <c r="G1643" s="6">
        <f t="shared" si="51"/>
        <v>34</v>
      </c>
      <c r="H1643" s="1">
        <f>SUMIF('Retal Tran Line Item'!E:E,A1643,'Retal Tran Line Item'!B:B)</f>
        <v>3</v>
      </c>
    </row>
    <row r="1644" spans="1:8">
      <c r="A1644" s="1">
        <v>101642</v>
      </c>
      <c r="B1644" s="1">
        <v>612681</v>
      </c>
      <c r="C1644" s="2">
        <v>41509</v>
      </c>
      <c r="D1644" s="1" t="s">
        <v>1993</v>
      </c>
      <c r="E1644" s="6">
        <v>2</v>
      </c>
      <c r="F1644" s="6" t="str">
        <f t="shared" si="50"/>
        <v>August</v>
      </c>
      <c r="G1644" s="6">
        <f t="shared" si="51"/>
        <v>34</v>
      </c>
      <c r="H1644" s="1">
        <f>SUMIF('Retal Tran Line Item'!E:E,A1644,'Retal Tran Line Item'!B:B)</f>
        <v>28</v>
      </c>
    </row>
    <row r="1645" spans="1:8">
      <c r="A1645" s="1">
        <v>101643</v>
      </c>
      <c r="B1645" s="1">
        <v>238347</v>
      </c>
      <c r="C1645" s="2">
        <v>41509</v>
      </c>
      <c r="D1645" s="1" t="s">
        <v>1989</v>
      </c>
      <c r="E1645" s="6">
        <v>1</v>
      </c>
      <c r="F1645" s="6" t="str">
        <f t="shared" si="50"/>
        <v>August</v>
      </c>
      <c r="G1645" s="6">
        <f t="shared" si="51"/>
        <v>34</v>
      </c>
      <c r="H1645" s="1">
        <f>SUMIF('Retal Tran Line Item'!E:E,A1645,'Retal Tran Line Item'!B:B)</f>
        <v>5</v>
      </c>
    </row>
    <row r="1646" spans="1:8">
      <c r="A1646" s="1">
        <v>101644</v>
      </c>
      <c r="B1646" s="1">
        <v>173125</v>
      </c>
      <c r="C1646" s="2">
        <v>41509</v>
      </c>
      <c r="D1646" s="1" t="s">
        <v>1993</v>
      </c>
      <c r="E1646" s="6">
        <v>2</v>
      </c>
      <c r="F1646" s="6" t="str">
        <f t="shared" si="50"/>
        <v>August</v>
      </c>
      <c r="G1646" s="6">
        <f t="shared" si="51"/>
        <v>34</v>
      </c>
      <c r="H1646" s="1">
        <f>SUMIF('Retal Tran Line Item'!E:E,A1646,'Retal Tran Line Item'!B:B)</f>
        <v>10</v>
      </c>
    </row>
    <row r="1647" spans="1:8">
      <c r="A1647" s="1">
        <v>101645</v>
      </c>
      <c r="B1647" s="1">
        <v>454015</v>
      </c>
      <c r="C1647" s="2">
        <v>41509</v>
      </c>
      <c r="D1647" s="1" t="s">
        <v>1993</v>
      </c>
      <c r="E1647" s="6">
        <v>2</v>
      </c>
      <c r="F1647" s="6" t="str">
        <f t="shared" si="50"/>
        <v>August</v>
      </c>
      <c r="G1647" s="6">
        <f t="shared" si="51"/>
        <v>34</v>
      </c>
      <c r="H1647" s="1">
        <f>SUMIF('Retal Tran Line Item'!E:E,A1647,'Retal Tran Line Item'!B:B)</f>
        <v>4</v>
      </c>
    </row>
    <row r="1648" spans="1:8">
      <c r="A1648" s="1">
        <v>101646</v>
      </c>
      <c r="B1648" s="1">
        <v>941876</v>
      </c>
      <c r="C1648" s="2">
        <v>41509</v>
      </c>
      <c r="D1648" s="1" t="s">
        <v>1993</v>
      </c>
      <c r="E1648" s="6">
        <v>2</v>
      </c>
      <c r="F1648" s="6" t="str">
        <f t="shared" si="50"/>
        <v>August</v>
      </c>
      <c r="G1648" s="6">
        <f t="shared" si="51"/>
        <v>34</v>
      </c>
      <c r="H1648" s="1">
        <f>SUMIF('Retal Tran Line Item'!E:E,A1648,'Retal Tran Line Item'!B:B)</f>
        <v>4</v>
      </c>
    </row>
    <row r="1649" spans="1:8">
      <c r="A1649" s="1">
        <v>101647</v>
      </c>
      <c r="B1649" s="1">
        <v>714277</v>
      </c>
      <c r="C1649" s="2">
        <v>41509</v>
      </c>
      <c r="D1649" s="1" t="s">
        <v>1994</v>
      </c>
      <c r="E1649" s="6">
        <v>2</v>
      </c>
      <c r="F1649" s="6" t="str">
        <f t="shared" si="50"/>
        <v>August</v>
      </c>
      <c r="G1649" s="6">
        <f t="shared" si="51"/>
        <v>34</v>
      </c>
      <c r="H1649" s="1">
        <f>SUMIF('Retal Tran Line Item'!E:E,A1649,'Retal Tran Line Item'!B:B)</f>
        <v>20</v>
      </c>
    </row>
    <row r="1650" spans="1:8">
      <c r="A1650" s="1">
        <v>101648</v>
      </c>
      <c r="B1650" s="1">
        <v>568217</v>
      </c>
      <c r="C1650" s="2">
        <v>41509</v>
      </c>
      <c r="D1650" s="1" t="s">
        <v>1993</v>
      </c>
      <c r="E1650" s="6">
        <v>1</v>
      </c>
      <c r="F1650" s="6" t="str">
        <f t="shared" si="50"/>
        <v>August</v>
      </c>
      <c r="G1650" s="6">
        <f t="shared" si="51"/>
        <v>34</v>
      </c>
      <c r="H1650" s="1">
        <f>SUMIF('Retal Tran Line Item'!E:E,A1650,'Retal Tran Line Item'!B:B)</f>
        <v>16</v>
      </c>
    </row>
    <row r="1651" spans="1:8">
      <c r="A1651" s="1">
        <v>101649</v>
      </c>
      <c r="B1651" s="1">
        <v>793987</v>
      </c>
      <c r="C1651" s="2">
        <v>41510</v>
      </c>
      <c r="D1651" s="1" t="s">
        <v>1994</v>
      </c>
      <c r="E1651" s="6">
        <v>2</v>
      </c>
      <c r="F1651" s="6" t="str">
        <f t="shared" si="50"/>
        <v>August</v>
      </c>
      <c r="G1651" s="6">
        <f t="shared" si="51"/>
        <v>34</v>
      </c>
      <c r="H1651" s="1">
        <f>SUMIF('Retal Tran Line Item'!E:E,A1651,'Retal Tran Line Item'!B:B)</f>
        <v>9</v>
      </c>
    </row>
    <row r="1652" spans="1:8">
      <c r="A1652" s="1">
        <v>101650</v>
      </c>
      <c r="B1652" s="1">
        <v>838924</v>
      </c>
      <c r="C1652" s="2">
        <v>41510</v>
      </c>
      <c r="D1652" s="1" t="s">
        <v>1993</v>
      </c>
      <c r="E1652" s="6">
        <v>2</v>
      </c>
      <c r="F1652" s="6" t="str">
        <f t="shared" si="50"/>
        <v>August</v>
      </c>
      <c r="G1652" s="6">
        <f t="shared" si="51"/>
        <v>34</v>
      </c>
      <c r="H1652" s="1">
        <f>SUMIF('Retal Tran Line Item'!E:E,A1652,'Retal Tran Line Item'!B:B)</f>
        <v>10</v>
      </c>
    </row>
    <row r="1653" spans="1:8">
      <c r="A1653" s="1">
        <v>101651</v>
      </c>
      <c r="B1653" s="1">
        <v>412235</v>
      </c>
      <c r="C1653" s="2">
        <v>41510</v>
      </c>
      <c r="D1653" s="1" t="s">
        <v>1993</v>
      </c>
      <c r="E1653" s="6">
        <v>2</v>
      </c>
      <c r="F1653" s="6" t="str">
        <f t="shared" si="50"/>
        <v>August</v>
      </c>
      <c r="G1653" s="6">
        <f t="shared" si="51"/>
        <v>34</v>
      </c>
      <c r="H1653" s="1">
        <f>SUMIF('Retal Tran Line Item'!E:E,A1653,'Retal Tran Line Item'!B:B)</f>
        <v>6</v>
      </c>
    </row>
    <row r="1654" spans="1:8">
      <c r="A1654" s="1">
        <v>101652</v>
      </c>
      <c r="B1654" s="1">
        <v>826590</v>
      </c>
      <c r="C1654" s="2">
        <v>41510</v>
      </c>
      <c r="D1654" s="1" t="s">
        <v>1992</v>
      </c>
      <c r="E1654" s="6">
        <v>2</v>
      </c>
      <c r="F1654" s="6" t="str">
        <f t="shared" si="50"/>
        <v>August</v>
      </c>
      <c r="G1654" s="6">
        <f t="shared" si="51"/>
        <v>34</v>
      </c>
      <c r="H1654" s="1">
        <f>SUMIF('Retal Tran Line Item'!E:E,A1654,'Retal Tran Line Item'!B:B)</f>
        <v>7</v>
      </c>
    </row>
    <row r="1655" spans="1:8">
      <c r="A1655" s="1">
        <v>101653</v>
      </c>
      <c r="B1655" s="1">
        <v>317461</v>
      </c>
      <c r="C1655" s="2">
        <v>41510</v>
      </c>
      <c r="D1655" s="1" t="s">
        <v>1992</v>
      </c>
      <c r="E1655" s="6">
        <v>2</v>
      </c>
      <c r="F1655" s="6" t="str">
        <f t="shared" si="50"/>
        <v>August</v>
      </c>
      <c r="G1655" s="6">
        <f t="shared" si="51"/>
        <v>34</v>
      </c>
      <c r="H1655" s="1">
        <f>SUMIF('Retal Tran Line Item'!E:E,A1655,'Retal Tran Line Item'!B:B)</f>
        <v>14</v>
      </c>
    </row>
    <row r="1656" spans="1:8">
      <c r="A1656" s="1">
        <v>101654</v>
      </c>
      <c r="B1656" s="1">
        <v>412235</v>
      </c>
      <c r="C1656" s="2">
        <v>41510</v>
      </c>
      <c r="D1656" s="1" t="s">
        <v>1993</v>
      </c>
      <c r="E1656" s="6">
        <v>2</v>
      </c>
      <c r="F1656" s="6" t="str">
        <f t="shared" si="50"/>
        <v>August</v>
      </c>
      <c r="G1656" s="6">
        <f t="shared" si="51"/>
        <v>34</v>
      </c>
      <c r="H1656" s="1">
        <f>SUMIF('Retal Tran Line Item'!E:E,A1656,'Retal Tran Line Item'!B:B)</f>
        <v>19</v>
      </c>
    </row>
    <row r="1657" spans="1:8">
      <c r="A1657" s="1">
        <v>101655</v>
      </c>
      <c r="B1657" s="1">
        <v>308688</v>
      </c>
      <c r="C1657" s="2">
        <v>41510</v>
      </c>
      <c r="D1657" s="1" t="s">
        <v>1993</v>
      </c>
      <c r="E1657" s="6">
        <v>2</v>
      </c>
      <c r="F1657" s="6" t="str">
        <f t="shared" si="50"/>
        <v>August</v>
      </c>
      <c r="G1657" s="6">
        <f t="shared" si="51"/>
        <v>34</v>
      </c>
      <c r="H1657" s="1">
        <f>SUMIF('Retal Tran Line Item'!E:E,A1657,'Retal Tran Line Item'!B:B)</f>
        <v>6</v>
      </c>
    </row>
    <row r="1658" spans="1:8">
      <c r="A1658" s="1">
        <v>101656</v>
      </c>
      <c r="B1658" s="1">
        <v>220206</v>
      </c>
      <c r="C1658" s="2">
        <v>41510</v>
      </c>
      <c r="D1658" s="1" t="s">
        <v>1992</v>
      </c>
      <c r="E1658" s="6">
        <v>2</v>
      </c>
      <c r="F1658" s="6" t="str">
        <f t="shared" si="50"/>
        <v>August</v>
      </c>
      <c r="G1658" s="6">
        <f t="shared" si="51"/>
        <v>34</v>
      </c>
      <c r="H1658" s="1">
        <f>SUMIF('Retal Tran Line Item'!E:E,A1658,'Retal Tran Line Item'!B:B)</f>
        <v>6</v>
      </c>
    </row>
    <row r="1659" spans="1:8">
      <c r="A1659" s="1">
        <v>101657</v>
      </c>
      <c r="B1659" s="1">
        <v>847289</v>
      </c>
      <c r="C1659" s="2">
        <v>41510</v>
      </c>
      <c r="D1659" s="1" t="s">
        <v>1992</v>
      </c>
      <c r="E1659" s="6">
        <v>1</v>
      </c>
      <c r="F1659" s="6" t="str">
        <f t="shared" si="50"/>
        <v>August</v>
      </c>
      <c r="G1659" s="6">
        <f t="shared" si="51"/>
        <v>34</v>
      </c>
      <c r="H1659" s="1">
        <f>SUMIF('Retal Tran Line Item'!E:E,A1659,'Retal Tran Line Item'!B:B)</f>
        <v>22</v>
      </c>
    </row>
    <row r="1660" spans="1:8">
      <c r="A1660" s="1">
        <v>101658</v>
      </c>
      <c r="B1660" s="1">
        <v>427391</v>
      </c>
      <c r="C1660" s="2">
        <v>41511</v>
      </c>
      <c r="D1660" s="1" t="s">
        <v>1992</v>
      </c>
      <c r="E1660" s="6">
        <v>2</v>
      </c>
      <c r="F1660" s="6" t="str">
        <f t="shared" si="50"/>
        <v>August</v>
      </c>
      <c r="G1660" s="6">
        <f t="shared" si="51"/>
        <v>35</v>
      </c>
      <c r="H1660" s="1">
        <f>SUMIF('Retal Tran Line Item'!E:E,A1660,'Retal Tran Line Item'!B:B)</f>
        <v>8</v>
      </c>
    </row>
    <row r="1661" spans="1:8">
      <c r="A1661" s="1">
        <v>101659</v>
      </c>
      <c r="B1661" s="1">
        <v>296886</v>
      </c>
      <c r="C1661" s="2">
        <v>41511</v>
      </c>
      <c r="D1661" s="1" t="s">
        <v>1992</v>
      </c>
      <c r="E1661" s="6">
        <v>2</v>
      </c>
      <c r="F1661" s="6" t="str">
        <f t="shared" si="50"/>
        <v>August</v>
      </c>
      <c r="G1661" s="6">
        <f t="shared" si="51"/>
        <v>35</v>
      </c>
      <c r="H1661" s="1">
        <f>SUMIF('Retal Tran Line Item'!E:E,A1661,'Retal Tran Line Item'!B:B)</f>
        <v>11</v>
      </c>
    </row>
    <row r="1662" spans="1:8">
      <c r="A1662" s="1">
        <v>101660</v>
      </c>
      <c r="B1662" s="1">
        <v>938417</v>
      </c>
      <c r="C1662" s="2">
        <v>41511</v>
      </c>
      <c r="D1662" s="1" t="s">
        <v>1992</v>
      </c>
      <c r="E1662" s="6">
        <v>1</v>
      </c>
      <c r="F1662" s="6" t="str">
        <f t="shared" si="50"/>
        <v>August</v>
      </c>
      <c r="G1662" s="6">
        <f t="shared" si="51"/>
        <v>35</v>
      </c>
      <c r="H1662" s="1">
        <f>SUMIF('Retal Tran Line Item'!E:E,A1662,'Retal Tran Line Item'!B:B)</f>
        <v>5</v>
      </c>
    </row>
    <row r="1663" spans="1:8">
      <c r="A1663" s="1">
        <v>101661</v>
      </c>
      <c r="B1663" s="1">
        <v>938006</v>
      </c>
      <c r="C1663" s="2">
        <v>41511</v>
      </c>
      <c r="D1663" s="1" t="s">
        <v>1992</v>
      </c>
      <c r="E1663" s="6">
        <v>1</v>
      </c>
      <c r="F1663" s="6" t="str">
        <f t="shared" si="50"/>
        <v>August</v>
      </c>
      <c r="G1663" s="6">
        <f t="shared" si="51"/>
        <v>35</v>
      </c>
      <c r="H1663" s="1">
        <f>SUMIF('Retal Tran Line Item'!E:E,A1663,'Retal Tran Line Item'!B:B)</f>
        <v>13</v>
      </c>
    </row>
    <row r="1664" spans="1:8">
      <c r="A1664" s="1">
        <v>101662</v>
      </c>
      <c r="B1664" s="1">
        <v>841831</v>
      </c>
      <c r="C1664" s="2">
        <v>41511</v>
      </c>
      <c r="D1664" s="1" t="s">
        <v>1992</v>
      </c>
      <c r="E1664" s="6">
        <v>2</v>
      </c>
      <c r="F1664" s="6" t="str">
        <f t="shared" si="50"/>
        <v>August</v>
      </c>
      <c r="G1664" s="6">
        <f t="shared" si="51"/>
        <v>35</v>
      </c>
      <c r="H1664" s="1">
        <f>SUMIF('Retal Tran Line Item'!E:E,A1664,'Retal Tran Line Item'!B:B)</f>
        <v>6</v>
      </c>
    </row>
    <row r="1665" spans="1:8">
      <c r="A1665" s="1">
        <v>101663</v>
      </c>
      <c r="B1665" s="1">
        <v>520377</v>
      </c>
      <c r="C1665" s="2">
        <v>41511</v>
      </c>
      <c r="D1665" s="1" t="s">
        <v>1993</v>
      </c>
      <c r="E1665" s="6">
        <v>1</v>
      </c>
      <c r="F1665" s="6" t="str">
        <f t="shared" si="50"/>
        <v>August</v>
      </c>
      <c r="G1665" s="6">
        <f t="shared" si="51"/>
        <v>35</v>
      </c>
      <c r="H1665" s="1">
        <f>SUMIF('Retal Tran Line Item'!E:E,A1665,'Retal Tran Line Item'!B:B)</f>
        <v>21</v>
      </c>
    </row>
    <row r="1666" spans="1:8">
      <c r="A1666" s="1">
        <v>101664</v>
      </c>
      <c r="B1666" s="1">
        <v>417823</v>
      </c>
      <c r="C1666" s="2">
        <v>41511</v>
      </c>
      <c r="D1666" s="1" t="s">
        <v>1993</v>
      </c>
      <c r="E1666" s="6">
        <v>1</v>
      </c>
      <c r="F1666" s="6" t="str">
        <f t="shared" si="50"/>
        <v>August</v>
      </c>
      <c r="G1666" s="6">
        <f t="shared" si="51"/>
        <v>35</v>
      </c>
      <c r="H1666" s="1">
        <f>SUMIF('Retal Tran Line Item'!E:E,A1666,'Retal Tran Line Item'!B:B)</f>
        <v>9</v>
      </c>
    </row>
    <row r="1667" spans="1:8">
      <c r="A1667" s="1">
        <v>101665</v>
      </c>
      <c r="B1667" s="1">
        <v>482274</v>
      </c>
      <c r="C1667" s="2">
        <v>41511</v>
      </c>
      <c r="D1667" s="1" t="s">
        <v>1992</v>
      </c>
      <c r="E1667" s="6">
        <v>1</v>
      </c>
      <c r="F1667" s="6" t="str">
        <f t="shared" ref="F1667:F1730" si="52">TEXT(C1667,"MMMM")</f>
        <v>August</v>
      </c>
      <c r="G1667" s="6">
        <f t="shared" ref="G1667:G1730" si="53">WEEKNUM(C1667)</f>
        <v>35</v>
      </c>
      <c r="H1667" s="1">
        <f>SUMIF('Retal Tran Line Item'!E:E,A1667,'Retal Tran Line Item'!B:B)</f>
        <v>8</v>
      </c>
    </row>
    <row r="1668" spans="1:8">
      <c r="A1668" s="1">
        <v>101666</v>
      </c>
      <c r="B1668" s="1">
        <v>231615</v>
      </c>
      <c r="C1668" s="2">
        <v>41511</v>
      </c>
      <c r="D1668" s="1" t="s">
        <v>1989</v>
      </c>
      <c r="E1668" s="6">
        <v>2</v>
      </c>
      <c r="F1668" s="6" t="str">
        <f t="shared" si="52"/>
        <v>August</v>
      </c>
      <c r="G1668" s="6">
        <f t="shared" si="53"/>
        <v>35</v>
      </c>
      <c r="H1668" s="1">
        <f>SUMIF('Retal Tran Line Item'!E:E,A1668,'Retal Tran Line Item'!B:B)</f>
        <v>4</v>
      </c>
    </row>
    <row r="1669" spans="1:8">
      <c r="A1669" s="1">
        <v>101667</v>
      </c>
      <c r="B1669" s="1">
        <v>249779</v>
      </c>
      <c r="C1669" s="2">
        <v>41511</v>
      </c>
      <c r="D1669" s="1" t="s">
        <v>1992</v>
      </c>
      <c r="E1669" s="6">
        <v>2</v>
      </c>
      <c r="F1669" s="6" t="str">
        <f t="shared" si="52"/>
        <v>August</v>
      </c>
      <c r="G1669" s="6">
        <f t="shared" si="53"/>
        <v>35</v>
      </c>
      <c r="H1669" s="1">
        <f>SUMIF('Retal Tran Line Item'!E:E,A1669,'Retal Tran Line Item'!B:B)</f>
        <v>8</v>
      </c>
    </row>
    <row r="1670" spans="1:8">
      <c r="A1670" s="1">
        <v>101668</v>
      </c>
      <c r="B1670" s="1">
        <v>407605</v>
      </c>
      <c r="C1670" s="2">
        <v>41511</v>
      </c>
      <c r="D1670" s="1" t="s">
        <v>1994</v>
      </c>
      <c r="E1670" s="6">
        <v>1</v>
      </c>
      <c r="F1670" s="6" t="str">
        <f t="shared" si="52"/>
        <v>August</v>
      </c>
      <c r="G1670" s="6">
        <f t="shared" si="53"/>
        <v>35</v>
      </c>
      <c r="H1670" s="1">
        <f>SUMIF('Retal Tran Line Item'!E:E,A1670,'Retal Tran Line Item'!B:B)</f>
        <v>5</v>
      </c>
    </row>
    <row r="1671" spans="1:8">
      <c r="A1671" s="1">
        <v>101669</v>
      </c>
      <c r="B1671" s="1">
        <v>976778</v>
      </c>
      <c r="C1671" s="2">
        <v>41512</v>
      </c>
      <c r="D1671" s="1" t="s">
        <v>1992</v>
      </c>
      <c r="E1671" s="6">
        <v>1</v>
      </c>
      <c r="F1671" s="6" t="str">
        <f t="shared" si="52"/>
        <v>August</v>
      </c>
      <c r="G1671" s="6">
        <f t="shared" si="53"/>
        <v>35</v>
      </c>
      <c r="H1671" s="1">
        <f>SUMIF('Retal Tran Line Item'!E:E,A1671,'Retal Tran Line Item'!B:B)</f>
        <v>10</v>
      </c>
    </row>
    <row r="1672" spans="1:8">
      <c r="A1672" s="1">
        <v>101670</v>
      </c>
      <c r="B1672" s="1">
        <v>196068</v>
      </c>
      <c r="C1672" s="2">
        <v>41512</v>
      </c>
      <c r="D1672" s="1" t="s">
        <v>1993</v>
      </c>
      <c r="E1672" s="6">
        <v>2</v>
      </c>
      <c r="F1672" s="6" t="str">
        <f t="shared" si="52"/>
        <v>August</v>
      </c>
      <c r="G1672" s="6">
        <f t="shared" si="53"/>
        <v>35</v>
      </c>
      <c r="H1672" s="1">
        <f>SUMIF('Retal Tran Line Item'!E:E,A1672,'Retal Tran Line Item'!B:B)</f>
        <v>5</v>
      </c>
    </row>
    <row r="1673" spans="1:8">
      <c r="A1673" s="1">
        <v>101671</v>
      </c>
      <c r="B1673" s="1">
        <v>559688</v>
      </c>
      <c r="C1673" s="2">
        <v>41512</v>
      </c>
      <c r="D1673" s="1" t="s">
        <v>1993</v>
      </c>
      <c r="E1673" s="6">
        <v>1</v>
      </c>
      <c r="F1673" s="6" t="str">
        <f t="shared" si="52"/>
        <v>August</v>
      </c>
      <c r="G1673" s="6">
        <f t="shared" si="53"/>
        <v>35</v>
      </c>
      <c r="H1673" s="1">
        <f>SUMIF('Retal Tran Line Item'!E:E,A1673,'Retal Tran Line Item'!B:B)</f>
        <v>10</v>
      </c>
    </row>
    <row r="1674" spans="1:8">
      <c r="A1674" s="1">
        <v>101672</v>
      </c>
      <c r="B1674" s="1">
        <v>396166</v>
      </c>
      <c r="C1674" s="2">
        <v>41512</v>
      </c>
      <c r="D1674" s="1" t="s">
        <v>1992</v>
      </c>
      <c r="E1674" s="6">
        <v>1</v>
      </c>
      <c r="F1674" s="6" t="str">
        <f t="shared" si="52"/>
        <v>August</v>
      </c>
      <c r="G1674" s="6">
        <f t="shared" si="53"/>
        <v>35</v>
      </c>
      <c r="H1674" s="1">
        <f>SUMIF('Retal Tran Line Item'!E:E,A1674,'Retal Tran Line Item'!B:B)</f>
        <v>2</v>
      </c>
    </row>
    <row r="1675" spans="1:8">
      <c r="A1675" s="1">
        <v>101673</v>
      </c>
      <c r="B1675" s="1">
        <v>548800</v>
      </c>
      <c r="C1675" s="2">
        <v>41512</v>
      </c>
      <c r="D1675" s="1" t="s">
        <v>1992</v>
      </c>
      <c r="E1675" s="6">
        <v>1</v>
      </c>
      <c r="F1675" s="6" t="str">
        <f t="shared" si="52"/>
        <v>August</v>
      </c>
      <c r="G1675" s="6">
        <f t="shared" si="53"/>
        <v>35</v>
      </c>
      <c r="H1675" s="1">
        <f>SUMIF('Retal Tran Line Item'!E:E,A1675,'Retal Tran Line Item'!B:B)</f>
        <v>7</v>
      </c>
    </row>
    <row r="1676" spans="1:8">
      <c r="A1676" s="1">
        <v>101674</v>
      </c>
      <c r="B1676" s="1">
        <v>889686</v>
      </c>
      <c r="C1676" s="2">
        <v>41512</v>
      </c>
      <c r="D1676" s="1" t="s">
        <v>1989</v>
      </c>
      <c r="E1676" s="6">
        <v>2</v>
      </c>
      <c r="F1676" s="6" t="str">
        <f t="shared" si="52"/>
        <v>August</v>
      </c>
      <c r="G1676" s="6">
        <f t="shared" si="53"/>
        <v>35</v>
      </c>
      <c r="H1676" s="1">
        <f>SUMIF('Retal Tran Line Item'!E:E,A1676,'Retal Tran Line Item'!B:B)</f>
        <v>11</v>
      </c>
    </row>
    <row r="1677" spans="1:8">
      <c r="A1677" s="1">
        <v>101675</v>
      </c>
      <c r="B1677" s="1">
        <v>559190</v>
      </c>
      <c r="C1677" s="2">
        <v>41512</v>
      </c>
      <c r="D1677" s="1" t="s">
        <v>1993</v>
      </c>
      <c r="E1677" s="6">
        <v>2</v>
      </c>
      <c r="F1677" s="6" t="str">
        <f t="shared" si="52"/>
        <v>August</v>
      </c>
      <c r="G1677" s="6">
        <f t="shared" si="53"/>
        <v>35</v>
      </c>
      <c r="H1677" s="1">
        <f>SUMIF('Retal Tran Line Item'!E:E,A1677,'Retal Tran Line Item'!B:B)</f>
        <v>8</v>
      </c>
    </row>
    <row r="1678" spans="1:8">
      <c r="A1678" s="1">
        <v>101676</v>
      </c>
      <c r="B1678" s="1">
        <v>744648</v>
      </c>
      <c r="C1678" s="2">
        <v>41512</v>
      </c>
      <c r="D1678" s="1" t="s">
        <v>1992</v>
      </c>
      <c r="E1678" s="6">
        <v>1</v>
      </c>
      <c r="F1678" s="6" t="str">
        <f t="shared" si="52"/>
        <v>August</v>
      </c>
      <c r="G1678" s="6">
        <f t="shared" si="53"/>
        <v>35</v>
      </c>
      <c r="H1678" s="1">
        <f>SUMIF('Retal Tran Line Item'!E:E,A1678,'Retal Tran Line Item'!B:B)</f>
        <v>14</v>
      </c>
    </row>
    <row r="1679" spans="1:8">
      <c r="A1679" s="1">
        <v>101677</v>
      </c>
      <c r="B1679" s="1">
        <v>226209</v>
      </c>
      <c r="C1679" s="2">
        <v>41512</v>
      </c>
      <c r="D1679" s="1" t="s">
        <v>1994</v>
      </c>
      <c r="E1679" s="6">
        <v>2</v>
      </c>
      <c r="F1679" s="6" t="str">
        <f t="shared" si="52"/>
        <v>August</v>
      </c>
      <c r="G1679" s="6">
        <f t="shared" si="53"/>
        <v>35</v>
      </c>
      <c r="H1679" s="1">
        <f>SUMIF('Retal Tran Line Item'!E:E,A1679,'Retal Tran Line Item'!B:B)</f>
        <v>6</v>
      </c>
    </row>
    <row r="1680" spans="1:8">
      <c r="A1680" s="1">
        <v>101678</v>
      </c>
      <c r="B1680" s="1">
        <v>469564</v>
      </c>
      <c r="C1680" s="2">
        <v>41512</v>
      </c>
      <c r="D1680" s="1" t="s">
        <v>1989</v>
      </c>
      <c r="E1680" s="6">
        <v>2</v>
      </c>
      <c r="F1680" s="6" t="str">
        <f t="shared" si="52"/>
        <v>August</v>
      </c>
      <c r="G1680" s="6">
        <f t="shared" si="53"/>
        <v>35</v>
      </c>
      <c r="H1680" s="1">
        <f>SUMIF('Retal Tran Line Item'!E:E,A1680,'Retal Tran Line Item'!B:B)</f>
        <v>22</v>
      </c>
    </row>
    <row r="1681" spans="1:8">
      <c r="A1681" s="1">
        <v>101679</v>
      </c>
      <c r="B1681" s="1">
        <v>192738</v>
      </c>
      <c r="C1681" s="2">
        <v>41512</v>
      </c>
      <c r="D1681" s="1" t="s">
        <v>1994</v>
      </c>
      <c r="E1681" s="6">
        <v>2</v>
      </c>
      <c r="F1681" s="6" t="str">
        <f t="shared" si="52"/>
        <v>August</v>
      </c>
      <c r="G1681" s="6">
        <f t="shared" si="53"/>
        <v>35</v>
      </c>
      <c r="H1681" s="1">
        <f>SUMIF('Retal Tran Line Item'!E:E,A1681,'Retal Tran Line Item'!B:B)</f>
        <v>19</v>
      </c>
    </row>
    <row r="1682" spans="1:8">
      <c r="A1682" s="1">
        <v>101680</v>
      </c>
      <c r="B1682" s="1">
        <v>826590</v>
      </c>
      <c r="C1682" s="2">
        <v>41513</v>
      </c>
      <c r="D1682" s="1" t="s">
        <v>1992</v>
      </c>
      <c r="E1682" s="6">
        <v>2</v>
      </c>
      <c r="F1682" s="6" t="str">
        <f t="shared" si="52"/>
        <v>August</v>
      </c>
      <c r="G1682" s="6">
        <f t="shared" si="53"/>
        <v>35</v>
      </c>
      <c r="H1682" s="1">
        <f>SUMIF('Retal Tran Line Item'!E:E,A1682,'Retal Tran Line Item'!B:B)</f>
        <v>2</v>
      </c>
    </row>
    <row r="1683" spans="1:8">
      <c r="A1683" s="1">
        <v>101681</v>
      </c>
      <c r="B1683" s="1">
        <v>265339</v>
      </c>
      <c r="C1683" s="2">
        <v>41513</v>
      </c>
      <c r="D1683" s="1" t="s">
        <v>1994</v>
      </c>
      <c r="E1683" s="6">
        <v>2</v>
      </c>
      <c r="F1683" s="6" t="str">
        <f t="shared" si="52"/>
        <v>August</v>
      </c>
      <c r="G1683" s="6">
        <f t="shared" si="53"/>
        <v>35</v>
      </c>
      <c r="H1683" s="1">
        <f>SUMIF('Retal Tran Line Item'!E:E,A1683,'Retal Tran Line Item'!B:B)</f>
        <v>7</v>
      </c>
    </row>
    <row r="1684" spans="1:8">
      <c r="A1684" s="1">
        <v>101682</v>
      </c>
      <c r="B1684" s="1">
        <v>826590</v>
      </c>
      <c r="C1684" s="2">
        <v>41513</v>
      </c>
      <c r="D1684" s="1" t="s">
        <v>1992</v>
      </c>
      <c r="E1684" s="6">
        <v>1</v>
      </c>
      <c r="F1684" s="6" t="str">
        <f t="shared" si="52"/>
        <v>August</v>
      </c>
      <c r="G1684" s="6">
        <f t="shared" si="53"/>
        <v>35</v>
      </c>
      <c r="H1684" s="1">
        <f>SUMIF('Retal Tran Line Item'!E:E,A1684,'Retal Tran Line Item'!B:B)</f>
        <v>7</v>
      </c>
    </row>
    <row r="1685" spans="1:8">
      <c r="A1685" s="1">
        <v>101683</v>
      </c>
      <c r="B1685" s="1">
        <v>459243</v>
      </c>
      <c r="C1685" s="2">
        <v>41513</v>
      </c>
      <c r="D1685" s="1" t="s">
        <v>1992</v>
      </c>
      <c r="E1685" s="6">
        <v>2</v>
      </c>
      <c r="F1685" s="6" t="str">
        <f t="shared" si="52"/>
        <v>August</v>
      </c>
      <c r="G1685" s="6">
        <f t="shared" si="53"/>
        <v>35</v>
      </c>
      <c r="H1685" s="1">
        <f>SUMIF('Retal Tran Line Item'!E:E,A1685,'Retal Tran Line Item'!B:B)</f>
        <v>8</v>
      </c>
    </row>
    <row r="1686" spans="1:8">
      <c r="A1686" s="1">
        <v>101684</v>
      </c>
      <c r="B1686" s="1">
        <v>315634</v>
      </c>
      <c r="C1686" s="2">
        <v>41513</v>
      </c>
      <c r="D1686" s="1" t="s">
        <v>1993</v>
      </c>
      <c r="E1686" s="6">
        <v>1</v>
      </c>
      <c r="F1686" s="6" t="str">
        <f t="shared" si="52"/>
        <v>August</v>
      </c>
      <c r="G1686" s="6">
        <f t="shared" si="53"/>
        <v>35</v>
      </c>
      <c r="H1686" s="1">
        <f>SUMIF('Retal Tran Line Item'!E:E,A1686,'Retal Tran Line Item'!B:B)</f>
        <v>22</v>
      </c>
    </row>
    <row r="1687" spans="1:8">
      <c r="A1687" s="1">
        <v>101685</v>
      </c>
      <c r="B1687" s="1">
        <v>161175</v>
      </c>
      <c r="C1687" s="2">
        <v>41513</v>
      </c>
      <c r="D1687" s="1" t="s">
        <v>1994</v>
      </c>
      <c r="E1687" s="6">
        <v>1</v>
      </c>
      <c r="F1687" s="6" t="str">
        <f t="shared" si="52"/>
        <v>August</v>
      </c>
      <c r="G1687" s="6">
        <f t="shared" si="53"/>
        <v>35</v>
      </c>
      <c r="H1687" s="1">
        <f>SUMIF('Retal Tran Line Item'!E:E,A1687,'Retal Tran Line Item'!B:B)</f>
        <v>10</v>
      </c>
    </row>
    <row r="1688" spans="1:8">
      <c r="A1688" s="1">
        <v>101686</v>
      </c>
      <c r="B1688" s="1">
        <v>857548</v>
      </c>
      <c r="C1688" s="2">
        <v>41513</v>
      </c>
      <c r="D1688" s="1" t="s">
        <v>1992</v>
      </c>
      <c r="E1688" s="6">
        <v>1</v>
      </c>
      <c r="F1688" s="6" t="str">
        <f t="shared" si="52"/>
        <v>August</v>
      </c>
      <c r="G1688" s="6">
        <f t="shared" si="53"/>
        <v>35</v>
      </c>
      <c r="H1688" s="1">
        <f>SUMIF('Retal Tran Line Item'!E:E,A1688,'Retal Tran Line Item'!B:B)</f>
        <v>11</v>
      </c>
    </row>
    <row r="1689" spans="1:8">
      <c r="A1689" s="1">
        <v>101687</v>
      </c>
      <c r="B1689" s="1">
        <v>797968</v>
      </c>
      <c r="C1689" s="2">
        <v>41513</v>
      </c>
      <c r="D1689" s="1" t="s">
        <v>1993</v>
      </c>
      <c r="E1689" s="6">
        <v>1</v>
      </c>
      <c r="F1689" s="6" t="str">
        <f t="shared" si="52"/>
        <v>August</v>
      </c>
      <c r="G1689" s="6">
        <f t="shared" si="53"/>
        <v>35</v>
      </c>
      <c r="H1689" s="1">
        <f>SUMIF('Retal Tran Line Item'!E:E,A1689,'Retal Tran Line Item'!B:B)</f>
        <v>4</v>
      </c>
    </row>
    <row r="1690" spans="1:8">
      <c r="A1690" s="1">
        <v>101688</v>
      </c>
      <c r="B1690" s="1">
        <v>826590</v>
      </c>
      <c r="C1690" s="2">
        <v>41513</v>
      </c>
      <c r="D1690" s="1" t="s">
        <v>1992</v>
      </c>
      <c r="E1690" s="6">
        <v>1</v>
      </c>
      <c r="F1690" s="6" t="str">
        <f t="shared" si="52"/>
        <v>August</v>
      </c>
      <c r="G1690" s="6">
        <f t="shared" si="53"/>
        <v>35</v>
      </c>
      <c r="H1690" s="1">
        <f>SUMIF('Retal Tran Line Item'!E:E,A1690,'Retal Tran Line Item'!B:B)</f>
        <v>13</v>
      </c>
    </row>
    <row r="1691" spans="1:8">
      <c r="A1691" s="1">
        <v>101689</v>
      </c>
      <c r="B1691" s="1">
        <v>977759</v>
      </c>
      <c r="C1691" s="2">
        <v>41513</v>
      </c>
      <c r="D1691" s="1" t="s">
        <v>1992</v>
      </c>
      <c r="E1691" s="6">
        <v>1</v>
      </c>
      <c r="F1691" s="6" t="str">
        <f t="shared" si="52"/>
        <v>August</v>
      </c>
      <c r="G1691" s="6">
        <f t="shared" si="53"/>
        <v>35</v>
      </c>
      <c r="H1691" s="1">
        <f>SUMIF('Retal Tran Line Item'!E:E,A1691,'Retal Tran Line Item'!B:B)</f>
        <v>13</v>
      </c>
    </row>
    <row r="1692" spans="1:8">
      <c r="A1692" s="1">
        <v>101690</v>
      </c>
      <c r="B1692" s="1">
        <v>954812</v>
      </c>
      <c r="C1692" s="2">
        <v>41513</v>
      </c>
      <c r="D1692" s="1" t="s">
        <v>1992</v>
      </c>
      <c r="E1692" s="6">
        <v>1</v>
      </c>
      <c r="F1692" s="6" t="str">
        <f t="shared" si="52"/>
        <v>August</v>
      </c>
      <c r="G1692" s="6">
        <f t="shared" si="53"/>
        <v>35</v>
      </c>
      <c r="H1692" s="1">
        <f>SUMIF('Retal Tran Line Item'!E:E,A1692,'Retal Tran Line Item'!B:B)</f>
        <v>14</v>
      </c>
    </row>
    <row r="1693" spans="1:8">
      <c r="A1693" s="1">
        <v>101691</v>
      </c>
      <c r="B1693" s="1">
        <v>852925</v>
      </c>
      <c r="C1693" s="2">
        <v>41514</v>
      </c>
      <c r="D1693" s="1" t="s">
        <v>1994</v>
      </c>
      <c r="E1693" s="6">
        <v>2</v>
      </c>
      <c r="F1693" s="6" t="str">
        <f t="shared" si="52"/>
        <v>August</v>
      </c>
      <c r="G1693" s="6">
        <f t="shared" si="53"/>
        <v>35</v>
      </c>
      <c r="H1693" s="1">
        <f>SUMIF('Retal Tran Line Item'!E:E,A1693,'Retal Tran Line Item'!B:B)</f>
        <v>10</v>
      </c>
    </row>
    <row r="1694" spans="1:8">
      <c r="A1694" s="1">
        <v>101692</v>
      </c>
      <c r="B1694" s="1">
        <v>143878</v>
      </c>
      <c r="C1694" s="2">
        <v>41514</v>
      </c>
      <c r="D1694" s="1" t="s">
        <v>1992</v>
      </c>
      <c r="E1694" s="6">
        <v>1</v>
      </c>
      <c r="F1694" s="6" t="str">
        <f t="shared" si="52"/>
        <v>August</v>
      </c>
      <c r="G1694" s="6">
        <f t="shared" si="53"/>
        <v>35</v>
      </c>
      <c r="H1694" s="1">
        <f>SUMIF('Retal Tran Line Item'!E:E,A1694,'Retal Tran Line Item'!B:B)</f>
        <v>5</v>
      </c>
    </row>
    <row r="1695" spans="1:8">
      <c r="A1695" s="1">
        <v>101693</v>
      </c>
      <c r="B1695" s="1">
        <v>918682</v>
      </c>
      <c r="C1695" s="2">
        <v>41514</v>
      </c>
      <c r="D1695" s="1" t="s">
        <v>1992</v>
      </c>
      <c r="E1695" s="6">
        <v>2</v>
      </c>
      <c r="F1695" s="6" t="str">
        <f t="shared" si="52"/>
        <v>August</v>
      </c>
      <c r="G1695" s="6">
        <f t="shared" si="53"/>
        <v>35</v>
      </c>
      <c r="H1695" s="1">
        <f>SUMIF('Retal Tran Line Item'!E:E,A1695,'Retal Tran Line Item'!B:B)</f>
        <v>6</v>
      </c>
    </row>
    <row r="1696" spans="1:8">
      <c r="A1696" s="1">
        <v>101694</v>
      </c>
      <c r="B1696" s="1">
        <v>775449</v>
      </c>
      <c r="C1696" s="2">
        <v>41514</v>
      </c>
      <c r="D1696" s="1" t="s">
        <v>1993</v>
      </c>
      <c r="E1696" s="6">
        <v>2</v>
      </c>
      <c r="F1696" s="6" t="str">
        <f t="shared" si="52"/>
        <v>August</v>
      </c>
      <c r="G1696" s="6">
        <f t="shared" si="53"/>
        <v>35</v>
      </c>
      <c r="H1696" s="1">
        <f>SUMIF('Retal Tran Line Item'!E:E,A1696,'Retal Tran Line Item'!B:B)</f>
        <v>22</v>
      </c>
    </row>
    <row r="1697" spans="1:8">
      <c r="A1697" s="1">
        <v>101695</v>
      </c>
      <c r="B1697" s="1">
        <v>127472</v>
      </c>
      <c r="C1697" s="2">
        <v>41514</v>
      </c>
      <c r="D1697" s="1" t="s">
        <v>1993</v>
      </c>
      <c r="E1697" s="6">
        <v>1</v>
      </c>
      <c r="F1697" s="6" t="str">
        <f t="shared" si="52"/>
        <v>August</v>
      </c>
      <c r="G1697" s="6">
        <f t="shared" si="53"/>
        <v>35</v>
      </c>
      <c r="H1697" s="1">
        <f>SUMIF('Retal Tran Line Item'!E:E,A1697,'Retal Tran Line Item'!B:B)</f>
        <v>5</v>
      </c>
    </row>
    <row r="1698" spans="1:8">
      <c r="A1698" s="1">
        <v>101696</v>
      </c>
      <c r="B1698" s="1">
        <v>231615</v>
      </c>
      <c r="C1698" s="2">
        <v>41514</v>
      </c>
      <c r="D1698" s="1" t="s">
        <v>1989</v>
      </c>
      <c r="E1698" s="6">
        <v>2</v>
      </c>
      <c r="F1698" s="6" t="str">
        <f t="shared" si="52"/>
        <v>August</v>
      </c>
      <c r="G1698" s="6">
        <f t="shared" si="53"/>
        <v>35</v>
      </c>
      <c r="H1698" s="1">
        <f>SUMIF('Retal Tran Line Item'!E:E,A1698,'Retal Tran Line Item'!B:B)</f>
        <v>4</v>
      </c>
    </row>
    <row r="1699" spans="1:8">
      <c r="A1699" s="1">
        <v>101697</v>
      </c>
      <c r="B1699" s="1">
        <v>862302</v>
      </c>
      <c r="C1699" s="2">
        <v>41514</v>
      </c>
      <c r="D1699" s="1" t="s">
        <v>1992</v>
      </c>
      <c r="E1699" s="6">
        <v>1</v>
      </c>
      <c r="F1699" s="6" t="str">
        <f t="shared" si="52"/>
        <v>August</v>
      </c>
      <c r="G1699" s="6">
        <f t="shared" si="53"/>
        <v>35</v>
      </c>
      <c r="H1699" s="1">
        <f>SUMIF('Retal Tran Line Item'!E:E,A1699,'Retal Tran Line Item'!B:B)</f>
        <v>10</v>
      </c>
    </row>
    <row r="1700" spans="1:8">
      <c r="A1700" s="1">
        <v>101698</v>
      </c>
      <c r="B1700" s="1">
        <v>550824</v>
      </c>
      <c r="C1700" s="2">
        <v>41514</v>
      </c>
      <c r="D1700" s="1" t="s">
        <v>1989</v>
      </c>
      <c r="E1700" s="6">
        <v>2</v>
      </c>
      <c r="F1700" s="6" t="str">
        <f t="shared" si="52"/>
        <v>August</v>
      </c>
      <c r="G1700" s="6">
        <f t="shared" si="53"/>
        <v>35</v>
      </c>
      <c r="H1700" s="1">
        <f>SUMIF('Retal Tran Line Item'!E:E,A1700,'Retal Tran Line Item'!B:B)</f>
        <v>8</v>
      </c>
    </row>
    <row r="1701" spans="1:8">
      <c r="A1701" s="1">
        <v>101699</v>
      </c>
      <c r="B1701" s="1">
        <v>396166</v>
      </c>
      <c r="C1701" s="2">
        <v>41514</v>
      </c>
      <c r="D1701" s="1" t="s">
        <v>1992</v>
      </c>
      <c r="E1701" s="6">
        <v>2</v>
      </c>
      <c r="F1701" s="6" t="str">
        <f t="shared" si="52"/>
        <v>August</v>
      </c>
      <c r="G1701" s="6">
        <f t="shared" si="53"/>
        <v>35</v>
      </c>
      <c r="H1701" s="1">
        <f>SUMIF('Retal Tran Line Item'!E:E,A1701,'Retal Tran Line Item'!B:B)</f>
        <v>16</v>
      </c>
    </row>
    <row r="1702" spans="1:8">
      <c r="A1702" s="1">
        <v>101700</v>
      </c>
      <c r="B1702" s="1">
        <v>500350</v>
      </c>
      <c r="C1702" s="2">
        <v>41514</v>
      </c>
      <c r="D1702" s="1" t="s">
        <v>1993</v>
      </c>
      <c r="E1702" s="6">
        <v>1</v>
      </c>
      <c r="F1702" s="6" t="str">
        <f t="shared" si="52"/>
        <v>August</v>
      </c>
      <c r="G1702" s="6">
        <f t="shared" si="53"/>
        <v>35</v>
      </c>
      <c r="H1702" s="1">
        <f>SUMIF('Retal Tran Line Item'!E:E,A1702,'Retal Tran Line Item'!B:B)</f>
        <v>13</v>
      </c>
    </row>
    <row r="1703" spans="1:8">
      <c r="A1703" s="1">
        <v>101701</v>
      </c>
      <c r="B1703" s="1">
        <v>487346</v>
      </c>
      <c r="C1703" s="2">
        <v>41514</v>
      </c>
      <c r="D1703" s="1" t="s">
        <v>1992</v>
      </c>
      <c r="E1703" s="6">
        <v>2</v>
      </c>
      <c r="F1703" s="6" t="str">
        <f t="shared" si="52"/>
        <v>August</v>
      </c>
      <c r="G1703" s="6">
        <f t="shared" si="53"/>
        <v>35</v>
      </c>
      <c r="H1703" s="1">
        <f>SUMIF('Retal Tran Line Item'!E:E,A1703,'Retal Tran Line Item'!B:B)</f>
        <v>5</v>
      </c>
    </row>
    <row r="1704" spans="1:8">
      <c r="A1704" s="1">
        <v>101702</v>
      </c>
      <c r="B1704" s="1">
        <v>891738</v>
      </c>
      <c r="C1704" s="2">
        <v>41514</v>
      </c>
      <c r="D1704" s="1" t="s">
        <v>1994</v>
      </c>
      <c r="E1704" s="6">
        <v>2</v>
      </c>
      <c r="F1704" s="6" t="str">
        <f t="shared" si="52"/>
        <v>August</v>
      </c>
      <c r="G1704" s="6">
        <f t="shared" si="53"/>
        <v>35</v>
      </c>
      <c r="H1704" s="1">
        <f>SUMIF('Retal Tran Line Item'!E:E,A1704,'Retal Tran Line Item'!B:B)</f>
        <v>3</v>
      </c>
    </row>
    <row r="1705" spans="1:8">
      <c r="A1705" s="1">
        <v>101703</v>
      </c>
      <c r="B1705" s="1">
        <v>586201</v>
      </c>
      <c r="C1705" s="2">
        <v>41514</v>
      </c>
      <c r="D1705" s="1" t="s">
        <v>1992</v>
      </c>
      <c r="E1705" s="6">
        <v>1</v>
      </c>
      <c r="F1705" s="6" t="str">
        <f t="shared" si="52"/>
        <v>August</v>
      </c>
      <c r="G1705" s="6">
        <f t="shared" si="53"/>
        <v>35</v>
      </c>
      <c r="H1705" s="1">
        <f>SUMIF('Retal Tran Line Item'!E:E,A1705,'Retal Tran Line Item'!B:B)</f>
        <v>16</v>
      </c>
    </row>
    <row r="1706" spans="1:8">
      <c r="A1706" s="1">
        <v>101704</v>
      </c>
      <c r="B1706" s="1">
        <v>695276</v>
      </c>
      <c r="C1706" s="2">
        <v>41514</v>
      </c>
      <c r="D1706" s="1" t="s">
        <v>1992</v>
      </c>
      <c r="E1706" s="6">
        <v>1</v>
      </c>
      <c r="F1706" s="6" t="str">
        <f t="shared" si="52"/>
        <v>August</v>
      </c>
      <c r="G1706" s="6">
        <f t="shared" si="53"/>
        <v>35</v>
      </c>
      <c r="H1706" s="1">
        <f>SUMIF('Retal Tran Line Item'!E:E,A1706,'Retal Tran Line Item'!B:B)</f>
        <v>5</v>
      </c>
    </row>
    <row r="1707" spans="1:8">
      <c r="A1707" s="1">
        <v>101705</v>
      </c>
      <c r="B1707" s="1">
        <v>864896</v>
      </c>
      <c r="C1707" s="2">
        <v>41514</v>
      </c>
      <c r="D1707" s="1" t="s">
        <v>1989</v>
      </c>
      <c r="E1707" s="6">
        <v>2</v>
      </c>
      <c r="F1707" s="6" t="str">
        <f t="shared" si="52"/>
        <v>August</v>
      </c>
      <c r="G1707" s="6">
        <f t="shared" si="53"/>
        <v>35</v>
      </c>
      <c r="H1707" s="1">
        <f>SUMIF('Retal Tran Line Item'!E:E,A1707,'Retal Tran Line Item'!B:B)</f>
        <v>4</v>
      </c>
    </row>
    <row r="1708" spans="1:8">
      <c r="A1708" s="1">
        <v>101706</v>
      </c>
      <c r="B1708" s="1">
        <v>964619</v>
      </c>
      <c r="C1708" s="2">
        <v>41514</v>
      </c>
      <c r="D1708" s="1" t="s">
        <v>1994</v>
      </c>
      <c r="E1708" s="6">
        <v>1</v>
      </c>
      <c r="F1708" s="6" t="str">
        <f t="shared" si="52"/>
        <v>August</v>
      </c>
      <c r="G1708" s="6">
        <f t="shared" si="53"/>
        <v>35</v>
      </c>
      <c r="H1708" s="1">
        <f>SUMIF('Retal Tran Line Item'!E:E,A1708,'Retal Tran Line Item'!B:B)</f>
        <v>5</v>
      </c>
    </row>
    <row r="1709" spans="1:8">
      <c r="A1709" s="1">
        <v>101707</v>
      </c>
      <c r="B1709" s="1">
        <v>206078</v>
      </c>
      <c r="C1709" s="2">
        <v>41514</v>
      </c>
      <c r="D1709" s="1" t="s">
        <v>1992</v>
      </c>
      <c r="E1709" s="6">
        <v>2</v>
      </c>
      <c r="F1709" s="6" t="str">
        <f t="shared" si="52"/>
        <v>August</v>
      </c>
      <c r="G1709" s="6">
        <f t="shared" si="53"/>
        <v>35</v>
      </c>
      <c r="H1709" s="1">
        <f>SUMIF('Retal Tran Line Item'!E:E,A1709,'Retal Tran Line Item'!B:B)</f>
        <v>5</v>
      </c>
    </row>
    <row r="1710" spans="1:8">
      <c r="A1710" s="1">
        <v>101708</v>
      </c>
      <c r="B1710" s="1">
        <v>575041</v>
      </c>
      <c r="C1710" s="2">
        <v>41514</v>
      </c>
      <c r="D1710" s="1" t="s">
        <v>1994</v>
      </c>
      <c r="E1710" s="6">
        <v>1</v>
      </c>
      <c r="F1710" s="6" t="str">
        <f t="shared" si="52"/>
        <v>August</v>
      </c>
      <c r="G1710" s="6">
        <f t="shared" si="53"/>
        <v>35</v>
      </c>
      <c r="H1710" s="1">
        <f>SUMIF('Retal Tran Line Item'!E:E,A1710,'Retal Tran Line Item'!B:B)</f>
        <v>8</v>
      </c>
    </row>
    <row r="1711" spans="1:8">
      <c r="A1711" s="1">
        <v>101709</v>
      </c>
      <c r="B1711" s="1">
        <v>964619</v>
      </c>
      <c r="C1711" s="2">
        <v>41514</v>
      </c>
      <c r="D1711" s="1" t="s">
        <v>1994</v>
      </c>
      <c r="E1711" s="6">
        <v>1</v>
      </c>
      <c r="F1711" s="6" t="str">
        <f t="shared" si="52"/>
        <v>August</v>
      </c>
      <c r="G1711" s="6">
        <f t="shared" si="53"/>
        <v>35</v>
      </c>
      <c r="H1711" s="1">
        <f>SUMIF('Retal Tran Line Item'!E:E,A1711,'Retal Tran Line Item'!B:B)</f>
        <v>12</v>
      </c>
    </row>
    <row r="1712" spans="1:8">
      <c r="A1712" s="1">
        <v>101710</v>
      </c>
      <c r="B1712" s="1">
        <v>565259</v>
      </c>
      <c r="C1712" s="2">
        <v>41514</v>
      </c>
      <c r="D1712" s="1" t="s">
        <v>1992</v>
      </c>
      <c r="E1712" s="6">
        <v>2</v>
      </c>
      <c r="F1712" s="6" t="str">
        <f t="shared" si="52"/>
        <v>August</v>
      </c>
      <c r="G1712" s="6">
        <f t="shared" si="53"/>
        <v>35</v>
      </c>
      <c r="H1712" s="1">
        <f>SUMIF('Retal Tran Line Item'!E:E,A1712,'Retal Tran Line Item'!B:B)</f>
        <v>6</v>
      </c>
    </row>
    <row r="1713" spans="1:8">
      <c r="A1713" s="1">
        <v>101711</v>
      </c>
      <c r="B1713" s="1">
        <v>616392</v>
      </c>
      <c r="C1713" s="2">
        <v>41515</v>
      </c>
      <c r="D1713" s="1" t="s">
        <v>1993</v>
      </c>
      <c r="E1713" s="6">
        <v>2</v>
      </c>
      <c r="F1713" s="6" t="str">
        <f t="shared" si="52"/>
        <v>August</v>
      </c>
      <c r="G1713" s="6">
        <f t="shared" si="53"/>
        <v>35</v>
      </c>
      <c r="H1713" s="1">
        <f>SUMIF('Retal Tran Line Item'!E:E,A1713,'Retal Tran Line Item'!B:B)</f>
        <v>10</v>
      </c>
    </row>
    <row r="1714" spans="1:8">
      <c r="A1714" s="1">
        <v>101712</v>
      </c>
      <c r="B1714" s="1">
        <v>464277</v>
      </c>
      <c r="C1714" s="2">
        <v>41515</v>
      </c>
      <c r="D1714" s="1" t="s">
        <v>1992</v>
      </c>
      <c r="E1714" s="6">
        <v>1</v>
      </c>
      <c r="F1714" s="6" t="str">
        <f t="shared" si="52"/>
        <v>August</v>
      </c>
      <c r="G1714" s="6">
        <f t="shared" si="53"/>
        <v>35</v>
      </c>
      <c r="H1714" s="1">
        <f>SUMIF('Retal Tran Line Item'!E:E,A1714,'Retal Tran Line Item'!B:B)</f>
        <v>10</v>
      </c>
    </row>
    <row r="1715" spans="1:8">
      <c r="A1715" s="1">
        <v>101713</v>
      </c>
      <c r="B1715" s="1">
        <v>657495</v>
      </c>
      <c r="C1715" s="2">
        <v>41515</v>
      </c>
      <c r="D1715" s="1" t="s">
        <v>1994</v>
      </c>
      <c r="E1715" s="6">
        <v>2</v>
      </c>
      <c r="F1715" s="6" t="str">
        <f t="shared" si="52"/>
        <v>August</v>
      </c>
      <c r="G1715" s="6">
        <f t="shared" si="53"/>
        <v>35</v>
      </c>
      <c r="H1715" s="1">
        <f>SUMIF('Retal Tran Line Item'!E:E,A1715,'Retal Tran Line Item'!B:B)</f>
        <v>17</v>
      </c>
    </row>
    <row r="1716" spans="1:8">
      <c r="A1716" s="1">
        <v>101714</v>
      </c>
      <c r="B1716" s="1">
        <v>166612</v>
      </c>
      <c r="C1716" s="2">
        <v>41515</v>
      </c>
      <c r="D1716" s="1" t="s">
        <v>1993</v>
      </c>
      <c r="E1716" s="6">
        <v>2</v>
      </c>
      <c r="F1716" s="6" t="str">
        <f t="shared" si="52"/>
        <v>August</v>
      </c>
      <c r="G1716" s="6">
        <f t="shared" si="53"/>
        <v>35</v>
      </c>
      <c r="H1716" s="1">
        <f>SUMIF('Retal Tran Line Item'!E:E,A1716,'Retal Tran Line Item'!B:B)</f>
        <v>24</v>
      </c>
    </row>
    <row r="1717" spans="1:8">
      <c r="A1717" s="1">
        <v>101715</v>
      </c>
      <c r="B1717" s="1">
        <v>404678</v>
      </c>
      <c r="C1717" s="2">
        <v>41515</v>
      </c>
      <c r="D1717" s="1" t="s">
        <v>1993</v>
      </c>
      <c r="E1717" s="6">
        <v>2</v>
      </c>
      <c r="F1717" s="6" t="str">
        <f t="shared" si="52"/>
        <v>August</v>
      </c>
      <c r="G1717" s="6">
        <f t="shared" si="53"/>
        <v>35</v>
      </c>
      <c r="H1717" s="1">
        <f>SUMIF('Retal Tran Line Item'!E:E,A1717,'Retal Tran Line Item'!B:B)</f>
        <v>15</v>
      </c>
    </row>
    <row r="1718" spans="1:8">
      <c r="A1718" s="1">
        <v>101716</v>
      </c>
      <c r="B1718" s="1">
        <v>396166</v>
      </c>
      <c r="C1718" s="2">
        <v>41515</v>
      </c>
      <c r="D1718" s="1" t="s">
        <v>1992</v>
      </c>
      <c r="E1718" s="6">
        <v>2</v>
      </c>
      <c r="F1718" s="6" t="str">
        <f t="shared" si="52"/>
        <v>August</v>
      </c>
      <c r="G1718" s="6">
        <f t="shared" si="53"/>
        <v>35</v>
      </c>
      <c r="H1718" s="1">
        <f>SUMIF('Retal Tran Line Item'!E:E,A1718,'Retal Tran Line Item'!B:B)</f>
        <v>2</v>
      </c>
    </row>
    <row r="1719" spans="1:8">
      <c r="A1719" s="1">
        <v>101717</v>
      </c>
      <c r="B1719" s="1">
        <v>838924</v>
      </c>
      <c r="C1719" s="2">
        <v>41515</v>
      </c>
      <c r="D1719" s="1" t="s">
        <v>1993</v>
      </c>
      <c r="E1719" s="6">
        <v>1</v>
      </c>
      <c r="F1719" s="6" t="str">
        <f t="shared" si="52"/>
        <v>August</v>
      </c>
      <c r="G1719" s="6">
        <f t="shared" si="53"/>
        <v>35</v>
      </c>
      <c r="H1719" s="1">
        <f>SUMIF('Retal Tran Line Item'!E:E,A1719,'Retal Tran Line Item'!B:B)</f>
        <v>11</v>
      </c>
    </row>
    <row r="1720" spans="1:8">
      <c r="A1720" s="1">
        <v>101718</v>
      </c>
      <c r="B1720" s="1">
        <v>274541</v>
      </c>
      <c r="C1720" s="2">
        <v>41515</v>
      </c>
      <c r="D1720" s="1" t="s">
        <v>1993</v>
      </c>
      <c r="E1720" s="6">
        <v>2</v>
      </c>
      <c r="F1720" s="6" t="str">
        <f t="shared" si="52"/>
        <v>August</v>
      </c>
      <c r="G1720" s="6">
        <f t="shared" si="53"/>
        <v>35</v>
      </c>
      <c r="H1720" s="1">
        <f>SUMIF('Retal Tran Line Item'!E:E,A1720,'Retal Tran Line Item'!B:B)</f>
        <v>5</v>
      </c>
    </row>
    <row r="1721" spans="1:8">
      <c r="A1721" s="1">
        <v>101719</v>
      </c>
      <c r="B1721" s="1">
        <v>235720</v>
      </c>
      <c r="C1721" s="2">
        <v>41515</v>
      </c>
      <c r="D1721" s="1" t="s">
        <v>1993</v>
      </c>
      <c r="E1721" s="6">
        <v>2</v>
      </c>
      <c r="F1721" s="6" t="str">
        <f t="shared" si="52"/>
        <v>August</v>
      </c>
      <c r="G1721" s="6">
        <f t="shared" si="53"/>
        <v>35</v>
      </c>
      <c r="H1721" s="1">
        <f>SUMIF('Retal Tran Line Item'!E:E,A1721,'Retal Tran Line Item'!B:B)</f>
        <v>9</v>
      </c>
    </row>
    <row r="1722" spans="1:8">
      <c r="A1722" s="1">
        <v>101720</v>
      </c>
      <c r="B1722" s="1">
        <v>586201</v>
      </c>
      <c r="C1722" s="2">
        <v>41515</v>
      </c>
      <c r="D1722" s="1" t="s">
        <v>1992</v>
      </c>
      <c r="E1722" s="6">
        <v>2</v>
      </c>
      <c r="F1722" s="6" t="str">
        <f t="shared" si="52"/>
        <v>August</v>
      </c>
      <c r="G1722" s="6">
        <f t="shared" si="53"/>
        <v>35</v>
      </c>
      <c r="H1722" s="1">
        <f>SUMIF('Retal Tran Line Item'!E:E,A1722,'Retal Tran Line Item'!B:B)</f>
        <v>9</v>
      </c>
    </row>
    <row r="1723" spans="1:8">
      <c r="A1723" s="1">
        <v>101721</v>
      </c>
      <c r="B1723" s="1">
        <v>789065</v>
      </c>
      <c r="C1723" s="2">
        <v>41515</v>
      </c>
      <c r="D1723" s="1" t="s">
        <v>1994</v>
      </c>
      <c r="E1723" s="6">
        <v>2</v>
      </c>
      <c r="F1723" s="6" t="str">
        <f t="shared" si="52"/>
        <v>August</v>
      </c>
      <c r="G1723" s="6">
        <f t="shared" si="53"/>
        <v>35</v>
      </c>
      <c r="H1723" s="1">
        <f>SUMIF('Retal Tran Line Item'!E:E,A1723,'Retal Tran Line Item'!B:B)</f>
        <v>13</v>
      </c>
    </row>
    <row r="1724" spans="1:8">
      <c r="A1724" s="1">
        <v>101722</v>
      </c>
      <c r="B1724" s="1">
        <v>116690</v>
      </c>
      <c r="C1724" s="2">
        <v>41515</v>
      </c>
      <c r="D1724" s="1" t="s">
        <v>1992</v>
      </c>
      <c r="E1724" s="6">
        <v>2</v>
      </c>
      <c r="F1724" s="6" t="str">
        <f t="shared" si="52"/>
        <v>August</v>
      </c>
      <c r="G1724" s="6">
        <f t="shared" si="53"/>
        <v>35</v>
      </c>
      <c r="H1724" s="1">
        <f>SUMIF('Retal Tran Line Item'!E:E,A1724,'Retal Tran Line Item'!B:B)</f>
        <v>18</v>
      </c>
    </row>
    <row r="1725" spans="1:8">
      <c r="A1725" s="1">
        <v>101723</v>
      </c>
      <c r="B1725" s="1">
        <v>420981</v>
      </c>
      <c r="C1725" s="2">
        <v>41515</v>
      </c>
      <c r="D1725" s="1" t="s">
        <v>1992</v>
      </c>
      <c r="E1725" s="6">
        <v>1</v>
      </c>
      <c r="F1725" s="6" t="str">
        <f t="shared" si="52"/>
        <v>August</v>
      </c>
      <c r="G1725" s="6">
        <f t="shared" si="53"/>
        <v>35</v>
      </c>
      <c r="H1725" s="1">
        <f>SUMIF('Retal Tran Line Item'!E:E,A1725,'Retal Tran Line Item'!B:B)</f>
        <v>17</v>
      </c>
    </row>
    <row r="1726" spans="1:8">
      <c r="A1726" s="1">
        <v>101724</v>
      </c>
      <c r="B1726" s="1">
        <v>250266</v>
      </c>
      <c r="C1726" s="2">
        <v>41515</v>
      </c>
      <c r="D1726" s="1" t="s">
        <v>1993</v>
      </c>
      <c r="E1726" s="6">
        <v>2</v>
      </c>
      <c r="F1726" s="6" t="str">
        <f t="shared" si="52"/>
        <v>August</v>
      </c>
      <c r="G1726" s="6">
        <f t="shared" si="53"/>
        <v>35</v>
      </c>
      <c r="H1726" s="1">
        <f>SUMIF('Retal Tran Line Item'!E:E,A1726,'Retal Tran Line Item'!B:B)</f>
        <v>6</v>
      </c>
    </row>
    <row r="1727" spans="1:8">
      <c r="A1727" s="1">
        <v>101725</v>
      </c>
      <c r="B1727" s="1">
        <v>689877</v>
      </c>
      <c r="C1727" s="2">
        <v>41515</v>
      </c>
      <c r="D1727" s="1" t="s">
        <v>1994</v>
      </c>
      <c r="E1727" s="6">
        <v>1</v>
      </c>
      <c r="F1727" s="6" t="str">
        <f t="shared" si="52"/>
        <v>August</v>
      </c>
      <c r="G1727" s="6">
        <f t="shared" si="53"/>
        <v>35</v>
      </c>
      <c r="H1727" s="1">
        <f>SUMIF('Retal Tran Line Item'!E:E,A1727,'Retal Tran Line Item'!B:B)</f>
        <v>25</v>
      </c>
    </row>
    <row r="1728" spans="1:8">
      <c r="A1728" s="1">
        <v>101726</v>
      </c>
      <c r="B1728" s="1">
        <v>230467</v>
      </c>
      <c r="C1728" s="2">
        <v>41516</v>
      </c>
      <c r="D1728" s="1" t="s">
        <v>1989</v>
      </c>
      <c r="E1728" s="6">
        <v>2</v>
      </c>
      <c r="F1728" s="6" t="str">
        <f t="shared" si="52"/>
        <v>August</v>
      </c>
      <c r="G1728" s="6">
        <f t="shared" si="53"/>
        <v>35</v>
      </c>
      <c r="H1728" s="1">
        <f>SUMIF('Retal Tran Line Item'!E:E,A1728,'Retal Tran Line Item'!B:B)</f>
        <v>2</v>
      </c>
    </row>
    <row r="1729" spans="1:8">
      <c r="A1729" s="1">
        <v>101727</v>
      </c>
      <c r="B1729" s="1">
        <v>678940</v>
      </c>
      <c r="C1729" s="2">
        <v>41516</v>
      </c>
      <c r="D1729" s="1" t="s">
        <v>1994</v>
      </c>
      <c r="E1729" s="6">
        <v>2</v>
      </c>
      <c r="F1729" s="6" t="str">
        <f t="shared" si="52"/>
        <v>August</v>
      </c>
      <c r="G1729" s="6">
        <f t="shared" si="53"/>
        <v>35</v>
      </c>
      <c r="H1729" s="1">
        <f>SUMIF('Retal Tran Line Item'!E:E,A1729,'Retal Tran Line Item'!B:B)</f>
        <v>10</v>
      </c>
    </row>
    <row r="1730" spans="1:8">
      <c r="A1730" s="1">
        <v>101728</v>
      </c>
      <c r="B1730" s="1">
        <v>608290</v>
      </c>
      <c r="C1730" s="2">
        <v>41516</v>
      </c>
      <c r="D1730" s="1" t="s">
        <v>1992</v>
      </c>
      <c r="E1730" s="6">
        <v>2</v>
      </c>
      <c r="F1730" s="6" t="str">
        <f t="shared" si="52"/>
        <v>August</v>
      </c>
      <c r="G1730" s="6">
        <f t="shared" si="53"/>
        <v>35</v>
      </c>
      <c r="H1730" s="1">
        <f>SUMIF('Retal Tran Line Item'!E:E,A1730,'Retal Tran Line Item'!B:B)</f>
        <v>6</v>
      </c>
    </row>
    <row r="1731" spans="1:8">
      <c r="A1731" s="1">
        <v>101729</v>
      </c>
      <c r="B1731" s="1">
        <v>797968</v>
      </c>
      <c r="C1731" s="2">
        <v>41516</v>
      </c>
      <c r="D1731" s="1" t="s">
        <v>1993</v>
      </c>
      <c r="E1731" s="6">
        <v>2</v>
      </c>
      <c r="F1731" s="6" t="str">
        <f t="shared" ref="F1731:F1794" si="54">TEXT(C1731,"MMMM")</f>
        <v>August</v>
      </c>
      <c r="G1731" s="6">
        <f t="shared" ref="G1731:G1794" si="55">WEEKNUM(C1731)</f>
        <v>35</v>
      </c>
      <c r="H1731" s="1">
        <f>SUMIF('Retal Tran Line Item'!E:E,A1731,'Retal Tran Line Item'!B:B)</f>
        <v>9</v>
      </c>
    </row>
    <row r="1732" spans="1:8">
      <c r="A1732" s="1">
        <v>101730</v>
      </c>
      <c r="B1732" s="1">
        <v>941876</v>
      </c>
      <c r="C1732" s="2">
        <v>41516</v>
      </c>
      <c r="D1732" s="1" t="s">
        <v>1993</v>
      </c>
      <c r="E1732" s="6">
        <v>1</v>
      </c>
      <c r="F1732" s="6" t="str">
        <f t="shared" si="54"/>
        <v>August</v>
      </c>
      <c r="G1732" s="6">
        <f t="shared" si="55"/>
        <v>35</v>
      </c>
      <c r="H1732" s="1">
        <f>SUMIF('Retal Tran Line Item'!E:E,A1732,'Retal Tran Line Item'!B:B)</f>
        <v>4</v>
      </c>
    </row>
    <row r="1733" spans="1:8">
      <c r="A1733" s="1">
        <v>101731</v>
      </c>
      <c r="B1733" s="1">
        <v>847289</v>
      </c>
      <c r="C1733" s="2">
        <v>41516</v>
      </c>
      <c r="D1733" s="1" t="s">
        <v>1992</v>
      </c>
      <c r="E1733" s="6">
        <v>1</v>
      </c>
      <c r="F1733" s="6" t="str">
        <f t="shared" si="54"/>
        <v>August</v>
      </c>
      <c r="G1733" s="6">
        <f t="shared" si="55"/>
        <v>35</v>
      </c>
      <c r="H1733" s="1">
        <f>SUMIF('Retal Tran Line Item'!E:E,A1733,'Retal Tran Line Item'!B:B)</f>
        <v>17</v>
      </c>
    </row>
    <row r="1734" spans="1:8">
      <c r="A1734" s="1">
        <v>101732</v>
      </c>
      <c r="B1734" s="1">
        <v>924947</v>
      </c>
      <c r="C1734" s="2">
        <v>41516</v>
      </c>
      <c r="D1734" s="1" t="s">
        <v>1993</v>
      </c>
      <c r="E1734" s="6">
        <v>1</v>
      </c>
      <c r="F1734" s="6" t="str">
        <f t="shared" si="54"/>
        <v>August</v>
      </c>
      <c r="G1734" s="6">
        <f t="shared" si="55"/>
        <v>35</v>
      </c>
      <c r="H1734" s="1">
        <f>SUMIF('Retal Tran Line Item'!E:E,A1734,'Retal Tran Line Item'!B:B)</f>
        <v>9</v>
      </c>
    </row>
    <row r="1735" spans="1:8">
      <c r="A1735" s="1">
        <v>101733</v>
      </c>
      <c r="B1735" s="1">
        <v>192738</v>
      </c>
      <c r="C1735" s="2">
        <v>41516</v>
      </c>
      <c r="D1735" s="1" t="s">
        <v>1994</v>
      </c>
      <c r="E1735" s="6">
        <v>2</v>
      </c>
      <c r="F1735" s="6" t="str">
        <f t="shared" si="54"/>
        <v>August</v>
      </c>
      <c r="G1735" s="6">
        <f t="shared" si="55"/>
        <v>35</v>
      </c>
      <c r="H1735" s="1">
        <f>SUMIF('Retal Tran Line Item'!E:E,A1735,'Retal Tran Line Item'!B:B)</f>
        <v>13</v>
      </c>
    </row>
    <row r="1736" spans="1:8">
      <c r="A1736" s="1">
        <v>101734</v>
      </c>
      <c r="B1736" s="1">
        <v>145929</v>
      </c>
      <c r="C1736" s="2">
        <v>41516</v>
      </c>
      <c r="D1736" s="1" t="s">
        <v>1989</v>
      </c>
      <c r="E1736" s="6">
        <v>2</v>
      </c>
      <c r="F1736" s="6" t="str">
        <f t="shared" si="54"/>
        <v>August</v>
      </c>
      <c r="G1736" s="6">
        <f t="shared" si="55"/>
        <v>35</v>
      </c>
      <c r="H1736" s="1">
        <f>SUMIF('Retal Tran Line Item'!E:E,A1736,'Retal Tran Line Item'!B:B)</f>
        <v>3</v>
      </c>
    </row>
    <row r="1737" spans="1:8">
      <c r="A1737" s="1">
        <v>101735</v>
      </c>
      <c r="B1737" s="1">
        <v>772690</v>
      </c>
      <c r="C1737" s="2">
        <v>41516</v>
      </c>
      <c r="D1737" s="1" t="s">
        <v>1992</v>
      </c>
      <c r="E1737" s="6">
        <v>1</v>
      </c>
      <c r="F1737" s="6" t="str">
        <f t="shared" si="54"/>
        <v>August</v>
      </c>
      <c r="G1737" s="6">
        <f t="shared" si="55"/>
        <v>35</v>
      </c>
      <c r="H1737" s="1">
        <f>SUMIF('Retal Tran Line Item'!E:E,A1737,'Retal Tran Line Item'!B:B)</f>
        <v>8</v>
      </c>
    </row>
    <row r="1738" spans="1:8">
      <c r="A1738" s="1">
        <v>101736</v>
      </c>
      <c r="B1738" s="1">
        <v>317807</v>
      </c>
      <c r="C1738" s="2">
        <v>41516</v>
      </c>
      <c r="D1738" s="1" t="s">
        <v>1993</v>
      </c>
      <c r="E1738" s="6">
        <v>1</v>
      </c>
      <c r="F1738" s="6" t="str">
        <f t="shared" si="54"/>
        <v>August</v>
      </c>
      <c r="G1738" s="6">
        <f t="shared" si="55"/>
        <v>35</v>
      </c>
      <c r="H1738" s="1">
        <f>SUMIF('Retal Tran Line Item'!E:E,A1738,'Retal Tran Line Item'!B:B)</f>
        <v>17</v>
      </c>
    </row>
    <row r="1739" spans="1:8">
      <c r="A1739" s="1">
        <v>101737</v>
      </c>
      <c r="B1739" s="1">
        <v>448993</v>
      </c>
      <c r="C1739" s="2">
        <v>41516</v>
      </c>
      <c r="D1739" s="1" t="s">
        <v>1992</v>
      </c>
      <c r="E1739" s="6">
        <v>2</v>
      </c>
      <c r="F1739" s="6" t="str">
        <f t="shared" si="54"/>
        <v>August</v>
      </c>
      <c r="G1739" s="6">
        <f t="shared" si="55"/>
        <v>35</v>
      </c>
      <c r="H1739" s="1">
        <f>SUMIF('Retal Tran Line Item'!E:E,A1739,'Retal Tran Line Item'!B:B)</f>
        <v>5</v>
      </c>
    </row>
    <row r="1740" spans="1:8">
      <c r="A1740" s="1">
        <v>101738</v>
      </c>
      <c r="B1740" s="1">
        <v>168607</v>
      </c>
      <c r="C1740" s="2">
        <v>41516</v>
      </c>
      <c r="D1740" s="1" t="s">
        <v>1993</v>
      </c>
      <c r="E1740" s="6">
        <v>2</v>
      </c>
      <c r="F1740" s="6" t="str">
        <f t="shared" si="54"/>
        <v>August</v>
      </c>
      <c r="G1740" s="6">
        <f t="shared" si="55"/>
        <v>35</v>
      </c>
      <c r="H1740" s="1">
        <f>SUMIF('Retal Tran Line Item'!E:E,A1740,'Retal Tran Line Item'!B:B)</f>
        <v>7</v>
      </c>
    </row>
    <row r="1741" spans="1:8">
      <c r="A1741" s="1">
        <v>101739</v>
      </c>
      <c r="B1741" s="1">
        <v>678940</v>
      </c>
      <c r="C1741" s="2">
        <v>41516</v>
      </c>
      <c r="D1741" s="1" t="s">
        <v>1994</v>
      </c>
      <c r="E1741" s="6">
        <v>1</v>
      </c>
      <c r="F1741" s="6" t="str">
        <f t="shared" si="54"/>
        <v>August</v>
      </c>
      <c r="G1741" s="6">
        <f t="shared" si="55"/>
        <v>35</v>
      </c>
      <c r="H1741" s="1">
        <f>SUMIF('Retal Tran Line Item'!E:E,A1741,'Retal Tran Line Item'!B:B)</f>
        <v>16</v>
      </c>
    </row>
    <row r="1742" spans="1:8">
      <c r="A1742" s="1">
        <v>101740</v>
      </c>
      <c r="B1742" s="1">
        <v>383684</v>
      </c>
      <c r="C1742" s="2">
        <v>41516</v>
      </c>
      <c r="D1742" s="1" t="s">
        <v>1992</v>
      </c>
      <c r="E1742" s="6">
        <v>1</v>
      </c>
      <c r="F1742" s="6" t="str">
        <f t="shared" si="54"/>
        <v>August</v>
      </c>
      <c r="G1742" s="6">
        <f t="shared" si="55"/>
        <v>35</v>
      </c>
      <c r="H1742" s="1">
        <f>SUMIF('Retal Tran Line Item'!E:E,A1742,'Retal Tran Line Item'!B:B)</f>
        <v>12</v>
      </c>
    </row>
    <row r="1743" spans="1:8">
      <c r="A1743" s="1">
        <v>101741</v>
      </c>
      <c r="B1743" s="1">
        <v>143878</v>
      </c>
      <c r="C1743" s="2">
        <v>41516</v>
      </c>
      <c r="D1743" s="1" t="s">
        <v>1992</v>
      </c>
      <c r="E1743" s="6">
        <v>1</v>
      </c>
      <c r="F1743" s="6" t="str">
        <f t="shared" si="54"/>
        <v>August</v>
      </c>
      <c r="G1743" s="6">
        <f t="shared" si="55"/>
        <v>35</v>
      </c>
      <c r="H1743" s="1">
        <f>SUMIF('Retal Tran Line Item'!E:E,A1743,'Retal Tran Line Item'!B:B)</f>
        <v>3</v>
      </c>
    </row>
    <row r="1744" spans="1:8">
      <c r="A1744" s="1">
        <v>101742</v>
      </c>
      <c r="B1744" s="1">
        <v>622131</v>
      </c>
      <c r="C1744" s="2">
        <v>41516</v>
      </c>
      <c r="D1744" s="1" t="s">
        <v>1993</v>
      </c>
      <c r="E1744" s="6">
        <v>1</v>
      </c>
      <c r="F1744" s="6" t="str">
        <f t="shared" si="54"/>
        <v>August</v>
      </c>
      <c r="G1744" s="6">
        <f t="shared" si="55"/>
        <v>35</v>
      </c>
      <c r="H1744" s="1">
        <f>SUMIF('Retal Tran Line Item'!E:E,A1744,'Retal Tran Line Item'!B:B)</f>
        <v>9</v>
      </c>
    </row>
    <row r="1745" spans="1:8">
      <c r="A1745" s="1">
        <v>101743</v>
      </c>
      <c r="B1745" s="1">
        <v>111486</v>
      </c>
      <c r="C1745" s="2">
        <v>41516</v>
      </c>
      <c r="D1745" s="1" t="s">
        <v>1993</v>
      </c>
      <c r="E1745" s="6">
        <v>1</v>
      </c>
      <c r="F1745" s="6" t="str">
        <f t="shared" si="54"/>
        <v>August</v>
      </c>
      <c r="G1745" s="6">
        <f t="shared" si="55"/>
        <v>35</v>
      </c>
      <c r="H1745" s="1">
        <f>SUMIF('Retal Tran Line Item'!E:E,A1745,'Retal Tran Line Item'!B:B)</f>
        <v>8</v>
      </c>
    </row>
    <row r="1746" spans="1:8">
      <c r="A1746" s="1">
        <v>101744</v>
      </c>
      <c r="B1746" s="1">
        <v>565259</v>
      </c>
      <c r="C1746" s="2">
        <v>41517</v>
      </c>
      <c r="D1746" s="1" t="s">
        <v>1992</v>
      </c>
      <c r="E1746" s="6">
        <v>2</v>
      </c>
      <c r="F1746" s="6" t="str">
        <f t="shared" si="54"/>
        <v>August</v>
      </c>
      <c r="G1746" s="6">
        <f t="shared" si="55"/>
        <v>35</v>
      </c>
      <c r="H1746" s="1">
        <f>SUMIF('Retal Tran Line Item'!E:E,A1746,'Retal Tran Line Item'!B:B)</f>
        <v>9</v>
      </c>
    </row>
    <row r="1747" spans="1:8">
      <c r="A1747" s="1">
        <v>101745</v>
      </c>
      <c r="B1747" s="1">
        <v>270853</v>
      </c>
      <c r="C1747" s="2">
        <v>41517</v>
      </c>
      <c r="D1747" s="1" t="s">
        <v>1992</v>
      </c>
      <c r="E1747" s="6">
        <v>2</v>
      </c>
      <c r="F1747" s="6" t="str">
        <f t="shared" si="54"/>
        <v>August</v>
      </c>
      <c r="G1747" s="6">
        <f t="shared" si="55"/>
        <v>35</v>
      </c>
      <c r="H1747" s="1">
        <f>SUMIF('Retal Tran Line Item'!E:E,A1747,'Retal Tran Line Item'!B:B)</f>
        <v>10</v>
      </c>
    </row>
    <row r="1748" spans="1:8">
      <c r="A1748" s="1">
        <v>101746</v>
      </c>
      <c r="B1748" s="1">
        <v>515790</v>
      </c>
      <c r="C1748" s="2">
        <v>41517</v>
      </c>
      <c r="D1748" s="1" t="s">
        <v>1993</v>
      </c>
      <c r="E1748" s="6">
        <v>1</v>
      </c>
      <c r="F1748" s="6" t="str">
        <f t="shared" si="54"/>
        <v>August</v>
      </c>
      <c r="G1748" s="6">
        <f t="shared" si="55"/>
        <v>35</v>
      </c>
      <c r="H1748" s="1">
        <f>SUMIF('Retal Tran Line Item'!E:E,A1748,'Retal Tran Line Item'!B:B)</f>
        <v>17</v>
      </c>
    </row>
    <row r="1749" spans="1:8">
      <c r="A1749" s="1">
        <v>101747</v>
      </c>
      <c r="B1749" s="1">
        <v>924361</v>
      </c>
      <c r="C1749" s="2">
        <v>41517</v>
      </c>
      <c r="D1749" s="1" t="s">
        <v>1993</v>
      </c>
      <c r="E1749" s="6">
        <v>2</v>
      </c>
      <c r="F1749" s="6" t="str">
        <f t="shared" si="54"/>
        <v>August</v>
      </c>
      <c r="G1749" s="6">
        <f t="shared" si="55"/>
        <v>35</v>
      </c>
      <c r="H1749" s="1">
        <f>SUMIF('Retal Tran Line Item'!E:E,A1749,'Retal Tran Line Item'!B:B)</f>
        <v>4</v>
      </c>
    </row>
    <row r="1750" spans="1:8">
      <c r="A1750" s="1">
        <v>101748</v>
      </c>
      <c r="B1750" s="1">
        <v>702197</v>
      </c>
      <c r="C1750" s="2">
        <v>41517</v>
      </c>
      <c r="D1750" s="1" t="s">
        <v>1993</v>
      </c>
      <c r="E1750" s="6">
        <v>1</v>
      </c>
      <c r="F1750" s="6" t="str">
        <f t="shared" si="54"/>
        <v>August</v>
      </c>
      <c r="G1750" s="6">
        <f t="shared" si="55"/>
        <v>35</v>
      </c>
      <c r="H1750" s="1">
        <f>SUMIF('Retal Tran Line Item'!E:E,A1750,'Retal Tran Line Item'!B:B)</f>
        <v>11</v>
      </c>
    </row>
    <row r="1751" spans="1:8">
      <c r="A1751" s="1">
        <v>101749</v>
      </c>
      <c r="B1751" s="1">
        <v>814512</v>
      </c>
      <c r="C1751" s="2">
        <v>41517</v>
      </c>
      <c r="D1751" s="1" t="s">
        <v>1992</v>
      </c>
      <c r="E1751" s="6">
        <v>2</v>
      </c>
      <c r="F1751" s="6" t="str">
        <f t="shared" si="54"/>
        <v>August</v>
      </c>
      <c r="G1751" s="6">
        <f t="shared" si="55"/>
        <v>35</v>
      </c>
      <c r="H1751" s="1">
        <f>SUMIF('Retal Tran Line Item'!E:E,A1751,'Retal Tran Line Item'!B:B)</f>
        <v>10</v>
      </c>
    </row>
    <row r="1752" spans="1:8">
      <c r="A1752" s="1">
        <v>101750</v>
      </c>
      <c r="B1752" s="1">
        <v>216475</v>
      </c>
      <c r="C1752" s="2">
        <v>41517</v>
      </c>
      <c r="D1752" s="1" t="s">
        <v>1992</v>
      </c>
      <c r="E1752" s="6">
        <v>1</v>
      </c>
      <c r="F1752" s="6" t="str">
        <f t="shared" si="54"/>
        <v>August</v>
      </c>
      <c r="G1752" s="6">
        <f t="shared" si="55"/>
        <v>35</v>
      </c>
      <c r="H1752" s="1">
        <f>SUMIF('Retal Tran Line Item'!E:E,A1752,'Retal Tran Line Item'!B:B)</f>
        <v>16</v>
      </c>
    </row>
    <row r="1753" spans="1:8">
      <c r="A1753" s="1">
        <v>101751</v>
      </c>
      <c r="B1753" s="1">
        <v>270853</v>
      </c>
      <c r="C1753" s="2">
        <v>41517</v>
      </c>
      <c r="D1753" s="1" t="s">
        <v>1992</v>
      </c>
      <c r="E1753" s="6">
        <v>1</v>
      </c>
      <c r="F1753" s="6" t="str">
        <f t="shared" si="54"/>
        <v>August</v>
      </c>
      <c r="G1753" s="6">
        <f t="shared" si="55"/>
        <v>35</v>
      </c>
      <c r="H1753" s="1">
        <f>SUMIF('Retal Tran Line Item'!E:E,A1753,'Retal Tran Line Item'!B:B)</f>
        <v>10</v>
      </c>
    </row>
    <row r="1754" spans="1:8">
      <c r="A1754" s="1">
        <v>101752</v>
      </c>
      <c r="B1754" s="1">
        <v>857548</v>
      </c>
      <c r="C1754" s="2">
        <v>41517</v>
      </c>
      <c r="D1754" s="1" t="s">
        <v>1992</v>
      </c>
      <c r="E1754" s="6">
        <v>2</v>
      </c>
      <c r="F1754" s="6" t="str">
        <f t="shared" si="54"/>
        <v>August</v>
      </c>
      <c r="G1754" s="6">
        <f t="shared" si="55"/>
        <v>35</v>
      </c>
      <c r="H1754" s="1">
        <f>SUMIF('Retal Tran Line Item'!E:E,A1754,'Retal Tran Line Item'!B:B)</f>
        <v>27</v>
      </c>
    </row>
    <row r="1755" spans="1:8">
      <c r="A1755" s="1">
        <v>101753</v>
      </c>
      <c r="B1755" s="1">
        <v>890651</v>
      </c>
      <c r="C1755" s="2">
        <v>41517</v>
      </c>
      <c r="D1755" s="1" t="s">
        <v>1989</v>
      </c>
      <c r="E1755" s="6">
        <v>1</v>
      </c>
      <c r="F1755" s="6" t="str">
        <f t="shared" si="54"/>
        <v>August</v>
      </c>
      <c r="G1755" s="6">
        <f t="shared" si="55"/>
        <v>35</v>
      </c>
      <c r="H1755" s="1">
        <f>SUMIF('Retal Tran Line Item'!E:E,A1755,'Retal Tran Line Item'!B:B)</f>
        <v>6</v>
      </c>
    </row>
    <row r="1756" spans="1:8">
      <c r="A1756" s="1">
        <v>101754</v>
      </c>
      <c r="B1756" s="1">
        <v>972329</v>
      </c>
      <c r="C1756" s="2">
        <v>41517</v>
      </c>
      <c r="D1756" s="1" t="s">
        <v>1989</v>
      </c>
      <c r="E1756" s="6">
        <v>1</v>
      </c>
      <c r="F1756" s="6" t="str">
        <f t="shared" si="54"/>
        <v>August</v>
      </c>
      <c r="G1756" s="6">
        <f t="shared" si="55"/>
        <v>35</v>
      </c>
      <c r="H1756" s="1">
        <f>SUMIF('Retal Tran Line Item'!E:E,A1756,'Retal Tran Line Item'!B:B)</f>
        <v>3</v>
      </c>
    </row>
    <row r="1757" spans="1:8">
      <c r="A1757" s="1">
        <v>101755</v>
      </c>
      <c r="B1757" s="1">
        <v>744416</v>
      </c>
      <c r="C1757" s="2">
        <v>41517</v>
      </c>
      <c r="D1757" s="1" t="s">
        <v>1992</v>
      </c>
      <c r="E1757" s="6">
        <v>2</v>
      </c>
      <c r="F1757" s="6" t="str">
        <f t="shared" si="54"/>
        <v>August</v>
      </c>
      <c r="G1757" s="6">
        <f t="shared" si="55"/>
        <v>35</v>
      </c>
      <c r="H1757" s="1">
        <f>SUMIF('Retal Tran Line Item'!E:E,A1757,'Retal Tran Line Item'!B:B)</f>
        <v>1</v>
      </c>
    </row>
    <row r="1758" spans="1:8">
      <c r="A1758" s="1">
        <v>101756</v>
      </c>
      <c r="B1758" s="1">
        <v>422717</v>
      </c>
      <c r="C1758" s="2">
        <v>41517</v>
      </c>
      <c r="D1758" s="1" t="s">
        <v>1993</v>
      </c>
      <c r="E1758" s="6">
        <v>2</v>
      </c>
      <c r="F1758" s="6" t="str">
        <f t="shared" si="54"/>
        <v>August</v>
      </c>
      <c r="G1758" s="6">
        <f t="shared" si="55"/>
        <v>35</v>
      </c>
      <c r="H1758" s="1">
        <f>SUMIF('Retal Tran Line Item'!E:E,A1758,'Retal Tran Line Item'!B:B)</f>
        <v>17</v>
      </c>
    </row>
    <row r="1759" spans="1:8">
      <c r="A1759" s="1">
        <v>101757</v>
      </c>
      <c r="B1759" s="1">
        <v>618955</v>
      </c>
      <c r="C1759" s="2">
        <v>41517</v>
      </c>
      <c r="D1759" s="1" t="s">
        <v>1992</v>
      </c>
      <c r="E1759" s="6">
        <v>1</v>
      </c>
      <c r="F1759" s="6" t="str">
        <f t="shared" si="54"/>
        <v>August</v>
      </c>
      <c r="G1759" s="6">
        <f t="shared" si="55"/>
        <v>35</v>
      </c>
      <c r="H1759" s="1">
        <f>SUMIF('Retal Tran Line Item'!E:E,A1759,'Retal Tran Line Item'!B:B)</f>
        <v>8</v>
      </c>
    </row>
    <row r="1760" spans="1:8">
      <c r="A1760" s="1">
        <v>101758</v>
      </c>
      <c r="B1760" s="1">
        <v>143878</v>
      </c>
      <c r="C1760" s="2">
        <v>41517</v>
      </c>
      <c r="D1760" s="1" t="s">
        <v>1992</v>
      </c>
      <c r="E1760" s="6">
        <v>2</v>
      </c>
      <c r="F1760" s="6" t="str">
        <f t="shared" si="54"/>
        <v>August</v>
      </c>
      <c r="G1760" s="6">
        <f t="shared" si="55"/>
        <v>35</v>
      </c>
      <c r="H1760" s="1">
        <f>SUMIF('Retal Tran Line Item'!E:E,A1760,'Retal Tran Line Item'!B:B)</f>
        <v>4</v>
      </c>
    </row>
    <row r="1761" spans="1:8">
      <c r="A1761" s="1">
        <v>101759</v>
      </c>
      <c r="B1761" s="1">
        <v>464782</v>
      </c>
      <c r="C1761" s="2">
        <v>41518</v>
      </c>
      <c r="D1761" s="1" t="s">
        <v>1993</v>
      </c>
      <c r="E1761" s="6">
        <v>2</v>
      </c>
      <c r="F1761" s="6" t="str">
        <f t="shared" si="54"/>
        <v>September</v>
      </c>
      <c r="G1761" s="6">
        <f t="shared" si="55"/>
        <v>36</v>
      </c>
      <c r="H1761" s="1">
        <f>SUMIF('Retal Tran Line Item'!E:E,A1761,'Retal Tran Line Item'!B:B)</f>
        <v>9</v>
      </c>
    </row>
    <row r="1762" spans="1:8">
      <c r="A1762" s="1">
        <v>101760</v>
      </c>
      <c r="B1762" s="1">
        <v>710047</v>
      </c>
      <c r="C1762" s="2">
        <v>41518</v>
      </c>
      <c r="D1762" s="1" t="s">
        <v>1992</v>
      </c>
      <c r="E1762" s="6">
        <v>1</v>
      </c>
      <c r="F1762" s="6" t="str">
        <f t="shared" si="54"/>
        <v>September</v>
      </c>
      <c r="G1762" s="6">
        <f t="shared" si="55"/>
        <v>36</v>
      </c>
      <c r="H1762" s="1">
        <f>SUMIF('Retal Tran Line Item'!E:E,A1762,'Retal Tran Line Item'!B:B)</f>
        <v>3</v>
      </c>
    </row>
    <row r="1763" spans="1:8">
      <c r="A1763" s="1">
        <v>101761</v>
      </c>
      <c r="B1763" s="1">
        <v>465275</v>
      </c>
      <c r="C1763" s="2">
        <v>41518</v>
      </c>
      <c r="D1763" s="1" t="s">
        <v>1992</v>
      </c>
      <c r="E1763" s="6">
        <v>1</v>
      </c>
      <c r="F1763" s="6" t="str">
        <f t="shared" si="54"/>
        <v>September</v>
      </c>
      <c r="G1763" s="6">
        <f t="shared" si="55"/>
        <v>36</v>
      </c>
      <c r="H1763" s="1">
        <f>SUMIF('Retal Tran Line Item'!E:E,A1763,'Retal Tran Line Item'!B:B)</f>
        <v>10</v>
      </c>
    </row>
    <row r="1764" spans="1:8">
      <c r="A1764" s="1">
        <v>101762</v>
      </c>
      <c r="B1764" s="1">
        <v>116690</v>
      </c>
      <c r="C1764" s="2">
        <v>41518</v>
      </c>
      <c r="D1764" s="1" t="s">
        <v>1992</v>
      </c>
      <c r="E1764" s="6">
        <v>2</v>
      </c>
      <c r="F1764" s="6" t="str">
        <f t="shared" si="54"/>
        <v>September</v>
      </c>
      <c r="G1764" s="6">
        <f t="shared" si="55"/>
        <v>36</v>
      </c>
      <c r="H1764" s="1">
        <f>SUMIF('Retal Tran Line Item'!E:E,A1764,'Retal Tran Line Item'!B:B)</f>
        <v>14</v>
      </c>
    </row>
    <row r="1765" spans="1:8">
      <c r="A1765" s="1">
        <v>101763</v>
      </c>
      <c r="B1765" s="1">
        <v>296353</v>
      </c>
      <c r="C1765" s="2">
        <v>41518</v>
      </c>
      <c r="D1765" s="1" t="s">
        <v>1993</v>
      </c>
      <c r="E1765" s="6">
        <v>1</v>
      </c>
      <c r="F1765" s="6" t="str">
        <f t="shared" si="54"/>
        <v>September</v>
      </c>
      <c r="G1765" s="6">
        <f t="shared" si="55"/>
        <v>36</v>
      </c>
      <c r="H1765" s="1">
        <f>SUMIF('Retal Tran Line Item'!E:E,A1765,'Retal Tran Line Item'!B:B)</f>
        <v>13</v>
      </c>
    </row>
    <row r="1766" spans="1:8">
      <c r="A1766" s="1">
        <v>101764</v>
      </c>
      <c r="B1766" s="1">
        <v>296353</v>
      </c>
      <c r="C1766" s="2">
        <v>41518</v>
      </c>
      <c r="D1766" s="1" t="s">
        <v>1993</v>
      </c>
      <c r="E1766" s="6">
        <v>2</v>
      </c>
      <c r="F1766" s="6" t="str">
        <f t="shared" si="54"/>
        <v>September</v>
      </c>
      <c r="G1766" s="6">
        <f t="shared" si="55"/>
        <v>36</v>
      </c>
      <c r="H1766" s="1">
        <f>SUMIF('Retal Tran Line Item'!E:E,A1766,'Retal Tran Line Item'!B:B)</f>
        <v>13</v>
      </c>
    </row>
    <row r="1767" spans="1:8">
      <c r="A1767" s="1">
        <v>101765</v>
      </c>
      <c r="B1767" s="1">
        <v>976778</v>
      </c>
      <c r="C1767" s="2">
        <v>41518</v>
      </c>
      <c r="D1767" s="1" t="s">
        <v>1992</v>
      </c>
      <c r="E1767" s="6">
        <v>2</v>
      </c>
      <c r="F1767" s="6" t="str">
        <f t="shared" si="54"/>
        <v>September</v>
      </c>
      <c r="G1767" s="6">
        <f t="shared" si="55"/>
        <v>36</v>
      </c>
      <c r="H1767" s="1">
        <f>SUMIF('Retal Tran Line Item'!E:E,A1767,'Retal Tran Line Item'!B:B)</f>
        <v>5</v>
      </c>
    </row>
    <row r="1768" spans="1:8">
      <c r="A1768" s="1">
        <v>101766</v>
      </c>
      <c r="B1768" s="1">
        <v>592528</v>
      </c>
      <c r="C1768" s="2">
        <v>41518</v>
      </c>
      <c r="D1768" s="1" t="s">
        <v>1992</v>
      </c>
      <c r="E1768" s="6">
        <v>1</v>
      </c>
      <c r="F1768" s="6" t="str">
        <f t="shared" si="54"/>
        <v>September</v>
      </c>
      <c r="G1768" s="6">
        <f t="shared" si="55"/>
        <v>36</v>
      </c>
      <c r="H1768" s="1">
        <f>SUMIF('Retal Tran Line Item'!E:E,A1768,'Retal Tran Line Item'!B:B)</f>
        <v>4</v>
      </c>
    </row>
    <row r="1769" spans="1:8">
      <c r="A1769" s="1">
        <v>101767</v>
      </c>
      <c r="B1769" s="1">
        <v>927518</v>
      </c>
      <c r="C1769" s="2">
        <v>41518</v>
      </c>
      <c r="D1769" s="1" t="s">
        <v>1993</v>
      </c>
      <c r="E1769" s="6">
        <v>1</v>
      </c>
      <c r="F1769" s="6" t="str">
        <f t="shared" si="54"/>
        <v>September</v>
      </c>
      <c r="G1769" s="6">
        <f t="shared" si="55"/>
        <v>36</v>
      </c>
      <c r="H1769" s="1">
        <f>SUMIF('Retal Tran Line Item'!E:E,A1769,'Retal Tran Line Item'!B:B)</f>
        <v>8</v>
      </c>
    </row>
    <row r="1770" spans="1:8">
      <c r="A1770" s="1">
        <v>101768</v>
      </c>
      <c r="B1770" s="1">
        <v>944523</v>
      </c>
      <c r="C1770" s="2">
        <v>41518</v>
      </c>
      <c r="D1770" s="1" t="s">
        <v>1992</v>
      </c>
      <c r="E1770" s="6">
        <v>1</v>
      </c>
      <c r="F1770" s="6" t="str">
        <f t="shared" si="54"/>
        <v>September</v>
      </c>
      <c r="G1770" s="6">
        <f t="shared" si="55"/>
        <v>36</v>
      </c>
      <c r="H1770" s="1">
        <f>SUMIF('Retal Tran Line Item'!E:E,A1770,'Retal Tran Line Item'!B:B)</f>
        <v>6</v>
      </c>
    </row>
    <row r="1771" spans="1:8">
      <c r="A1771" s="1">
        <v>101769</v>
      </c>
      <c r="B1771" s="1">
        <v>706101</v>
      </c>
      <c r="C1771" s="2">
        <v>41518</v>
      </c>
      <c r="D1771" s="1" t="s">
        <v>1993</v>
      </c>
      <c r="E1771" s="6">
        <v>2</v>
      </c>
      <c r="F1771" s="6" t="str">
        <f t="shared" si="54"/>
        <v>September</v>
      </c>
      <c r="G1771" s="6">
        <f t="shared" si="55"/>
        <v>36</v>
      </c>
      <c r="H1771" s="1">
        <f>SUMIF('Retal Tran Line Item'!E:E,A1771,'Retal Tran Line Item'!B:B)</f>
        <v>22</v>
      </c>
    </row>
    <row r="1772" spans="1:8">
      <c r="A1772" s="1">
        <v>101770</v>
      </c>
      <c r="B1772" s="1">
        <v>651462</v>
      </c>
      <c r="C1772" s="2">
        <v>41518</v>
      </c>
      <c r="D1772" s="1" t="s">
        <v>1992</v>
      </c>
      <c r="E1772" s="6">
        <v>2</v>
      </c>
      <c r="F1772" s="6" t="str">
        <f t="shared" si="54"/>
        <v>September</v>
      </c>
      <c r="G1772" s="6">
        <f t="shared" si="55"/>
        <v>36</v>
      </c>
      <c r="H1772" s="1">
        <f>SUMIF('Retal Tran Line Item'!E:E,A1772,'Retal Tran Line Item'!B:B)</f>
        <v>13</v>
      </c>
    </row>
    <row r="1773" spans="1:8">
      <c r="A1773" s="1">
        <v>101771</v>
      </c>
      <c r="B1773" s="1">
        <v>278809</v>
      </c>
      <c r="C1773" s="2">
        <v>41518</v>
      </c>
      <c r="D1773" s="1" t="s">
        <v>1993</v>
      </c>
      <c r="E1773" s="6">
        <v>2</v>
      </c>
      <c r="F1773" s="6" t="str">
        <f t="shared" si="54"/>
        <v>September</v>
      </c>
      <c r="G1773" s="6">
        <f t="shared" si="55"/>
        <v>36</v>
      </c>
      <c r="H1773" s="1">
        <f>SUMIF('Retal Tran Line Item'!E:E,A1773,'Retal Tran Line Item'!B:B)</f>
        <v>8</v>
      </c>
    </row>
    <row r="1774" spans="1:8">
      <c r="A1774" s="1">
        <v>101772</v>
      </c>
      <c r="B1774" s="1">
        <v>817159</v>
      </c>
      <c r="C1774" s="2">
        <v>41518</v>
      </c>
      <c r="D1774" s="1" t="s">
        <v>1994</v>
      </c>
      <c r="E1774" s="6">
        <v>1</v>
      </c>
      <c r="F1774" s="6" t="str">
        <f t="shared" si="54"/>
        <v>September</v>
      </c>
      <c r="G1774" s="6">
        <f t="shared" si="55"/>
        <v>36</v>
      </c>
      <c r="H1774" s="1">
        <f>SUMIF('Retal Tran Line Item'!E:E,A1774,'Retal Tran Line Item'!B:B)</f>
        <v>6</v>
      </c>
    </row>
    <row r="1775" spans="1:8">
      <c r="A1775" s="1">
        <v>101773</v>
      </c>
      <c r="B1775" s="1">
        <v>670707</v>
      </c>
      <c r="C1775" s="2">
        <v>41518</v>
      </c>
      <c r="D1775" s="1" t="s">
        <v>1994</v>
      </c>
      <c r="E1775" s="6">
        <v>1</v>
      </c>
      <c r="F1775" s="6" t="str">
        <f t="shared" si="54"/>
        <v>September</v>
      </c>
      <c r="G1775" s="6">
        <f t="shared" si="55"/>
        <v>36</v>
      </c>
      <c r="H1775" s="1">
        <f>SUMIF('Retal Tran Line Item'!E:E,A1775,'Retal Tran Line Item'!B:B)</f>
        <v>3</v>
      </c>
    </row>
    <row r="1776" spans="1:8">
      <c r="A1776" s="1">
        <v>101774</v>
      </c>
      <c r="B1776" s="1">
        <v>772690</v>
      </c>
      <c r="C1776" s="2">
        <v>41518</v>
      </c>
      <c r="D1776" s="1" t="s">
        <v>1992</v>
      </c>
      <c r="E1776" s="6">
        <v>2</v>
      </c>
      <c r="F1776" s="6" t="str">
        <f t="shared" si="54"/>
        <v>September</v>
      </c>
      <c r="G1776" s="6">
        <f t="shared" si="55"/>
        <v>36</v>
      </c>
      <c r="H1776" s="1">
        <f>SUMIF('Retal Tran Line Item'!E:E,A1776,'Retal Tran Line Item'!B:B)</f>
        <v>14</v>
      </c>
    </row>
    <row r="1777" spans="1:8">
      <c r="A1777" s="1">
        <v>101775</v>
      </c>
      <c r="B1777" s="1">
        <v>143878</v>
      </c>
      <c r="C1777" s="2">
        <v>41519</v>
      </c>
      <c r="D1777" s="1" t="s">
        <v>1992</v>
      </c>
      <c r="E1777" s="6">
        <v>1</v>
      </c>
      <c r="F1777" s="6" t="str">
        <f t="shared" si="54"/>
        <v>September</v>
      </c>
      <c r="G1777" s="6">
        <f t="shared" si="55"/>
        <v>36</v>
      </c>
      <c r="H1777" s="1">
        <f>SUMIF('Retal Tran Line Item'!E:E,A1777,'Retal Tran Line Item'!B:B)</f>
        <v>16</v>
      </c>
    </row>
    <row r="1778" spans="1:8">
      <c r="A1778" s="1">
        <v>101776</v>
      </c>
      <c r="B1778" s="1">
        <v>464782</v>
      </c>
      <c r="C1778" s="2">
        <v>41519</v>
      </c>
      <c r="D1778" s="1" t="s">
        <v>1993</v>
      </c>
      <c r="E1778" s="6">
        <v>1</v>
      </c>
      <c r="F1778" s="6" t="str">
        <f t="shared" si="54"/>
        <v>September</v>
      </c>
      <c r="G1778" s="6">
        <f t="shared" si="55"/>
        <v>36</v>
      </c>
      <c r="H1778" s="1">
        <f>SUMIF('Retal Tran Line Item'!E:E,A1778,'Retal Tran Line Item'!B:B)</f>
        <v>17</v>
      </c>
    </row>
    <row r="1779" spans="1:8">
      <c r="A1779" s="1">
        <v>101777</v>
      </c>
      <c r="B1779" s="1">
        <v>297686</v>
      </c>
      <c r="C1779" s="2">
        <v>41519</v>
      </c>
      <c r="D1779" s="1" t="s">
        <v>1992</v>
      </c>
      <c r="E1779" s="6">
        <v>2</v>
      </c>
      <c r="F1779" s="6" t="str">
        <f t="shared" si="54"/>
        <v>September</v>
      </c>
      <c r="G1779" s="6">
        <f t="shared" si="55"/>
        <v>36</v>
      </c>
      <c r="H1779" s="1">
        <f>SUMIF('Retal Tran Line Item'!E:E,A1779,'Retal Tran Line Item'!B:B)</f>
        <v>10</v>
      </c>
    </row>
    <row r="1780" spans="1:8">
      <c r="A1780" s="1">
        <v>101778</v>
      </c>
      <c r="B1780" s="1">
        <v>815980</v>
      </c>
      <c r="C1780" s="2">
        <v>41519</v>
      </c>
      <c r="D1780" s="1" t="s">
        <v>1992</v>
      </c>
      <c r="E1780" s="6">
        <v>1</v>
      </c>
      <c r="F1780" s="6" t="str">
        <f t="shared" si="54"/>
        <v>September</v>
      </c>
      <c r="G1780" s="6">
        <f t="shared" si="55"/>
        <v>36</v>
      </c>
      <c r="H1780" s="1">
        <f>SUMIF('Retal Tran Line Item'!E:E,A1780,'Retal Tran Line Item'!B:B)</f>
        <v>15</v>
      </c>
    </row>
    <row r="1781" spans="1:8">
      <c r="A1781" s="1">
        <v>101779</v>
      </c>
      <c r="B1781" s="1">
        <v>202612</v>
      </c>
      <c r="C1781" s="2">
        <v>41519</v>
      </c>
      <c r="D1781" s="1" t="s">
        <v>1992</v>
      </c>
      <c r="E1781" s="6">
        <v>1</v>
      </c>
      <c r="F1781" s="6" t="str">
        <f t="shared" si="54"/>
        <v>September</v>
      </c>
      <c r="G1781" s="6">
        <f t="shared" si="55"/>
        <v>36</v>
      </c>
      <c r="H1781" s="1">
        <f>SUMIF('Retal Tran Line Item'!E:E,A1781,'Retal Tran Line Item'!B:B)</f>
        <v>24</v>
      </c>
    </row>
    <row r="1782" spans="1:8">
      <c r="A1782" s="1">
        <v>101780</v>
      </c>
      <c r="B1782" s="1">
        <v>548546</v>
      </c>
      <c r="C1782" s="2">
        <v>41519</v>
      </c>
      <c r="D1782" s="1" t="s">
        <v>1994</v>
      </c>
      <c r="E1782" s="6">
        <v>2</v>
      </c>
      <c r="F1782" s="6" t="str">
        <f t="shared" si="54"/>
        <v>September</v>
      </c>
      <c r="G1782" s="6">
        <f t="shared" si="55"/>
        <v>36</v>
      </c>
      <c r="H1782" s="1">
        <f>SUMIF('Retal Tran Line Item'!E:E,A1782,'Retal Tran Line Item'!B:B)</f>
        <v>12</v>
      </c>
    </row>
    <row r="1783" spans="1:8">
      <c r="A1783" s="1">
        <v>101781</v>
      </c>
      <c r="B1783" s="1">
        <v>611848</v>
      </c>
      <c r="C1783" s="2">
        <v>41519</v>
      </c>
      <c r="D1783" s="1" t="s">
        <v>1992</v>
      </c>
      <c r="E1783" s="6">
        <v>2</v>
      </c>
      <c r="F1783" s="6" t="str">
        <f t="shared" si="54"/>
        <v>September</v>
      </c>
      <c r="G1783" s="6">
        <f t="shared" si="55"/>
        <v>36</v>
      </c>
      <c r="H1783" s="1">
        <f>SUMIF('Retal Tran Line Item'!E:E,A1783,'Retal Tran Line Item'!B:B)</f>
        <v>1</v>
      </c>
    </row>
    <row r="1784" spans="1:8">
      <c r="A1784" s="1">
        <v>101782</v>
      </c>
      <c r="B1784" s="1">
        <v>442254</v>
      </c>
      <c r="C1784" s="2">
        <v>41519</v>
      </c>
      <c r="D1784" s="1" t="s">
        <v>1989</v>
      </c>
      <c r="E1784" s="6">
        <v>2</v>
      </c>
      <c r="F1784" s="6" t="str">
        <f t="shared" si="54"/>
        <v>September</v>
      </c>
      <c r="G1784" s="6">
        <f t="shared" si="55"/>
        <v>36</v>
      </c>
      <c r="H1784" s="1">
        <f>SUMIF('Retal Tran Line Item'!E:E,A1784,'Retal Tran Line Item'!B:B)</f>
        <v>15</v>
      </c>
    </row>
    <row r="1785" spans="1:8">
      <c r="A1785" s="1">
        <v>101783</v>
      </c>
      <c r="B1785" s="1">
        <v>741514</v>
      </c>
      <c r="C1785" s="2">
        <v>41519</v>
      </c>
      <c r="D1785" s="1" t="s">
        <v>1992</v>
      </c>
      <c r="E1785" s="6">
        <v>1</v>
      </c>
      <c r="F1785" s="6" t="str">
        <f t="shared" si="54"/>
        <v>September</v>
      </c>
      <c r="G1785" s="6">
        <f t="shared" si="55"/>
        <v>36</v>
      </c>
      <c r="H1785" s="1">
        <f>SUMIF('Retal Tran Line Item'!E:E,A1785,'Retal Tran Line Item'!B:B)</f>
        <v>12</v>
      </c>
    </row>
    <row r="1786" spans="1:8">
      <c r="A1786" s="1">
        <v>101784</v>
      </c>
      <c r="B1786" s="1">
        <v>205927</v>
      </c>
      <c r="C1786" s="2">
        <v>41519</v>
      </c>
      <c r="D1786" s="1" t="s">
        <v>1992</v>
      </c>
      <c r="E1786" s="6">
        <v>2</v>
      </c>
      <c r="F1786" s="6" t="str">
        <f t="shared" si="54"/>
        <v>September</v>
      </c>
      <c r="G1786" s="6">
        <f t="shared" si="55"/>
        <v>36</v>
      </c>
      <c r="H1786" s="1">
        <f>SUMIF('Retal Tran Line Item'!E:E,A1786,'Retal Tran Line Item'!B:B)</f>
        <v>33</v>
      </c>
    </row>
    <row r="1787" spans="1:8">
      <c r="A1787" s="1">
        <v>101785</v>
      </c>
      <c r="B1787" s="1">
        <v>901388</v>
      </c>
      <c r="C1787" s="2">
        <v>41519</v>
      </c>
      <c r="D1787" s="1" t="s">
        <v>1992</v>
      </c>
      <c r="E1787" s="6">
        <v>1</v>
      </c>
      <c r="F1787" s="6" t="str">
        <f t="shared" si="54"/>
        <v>September</v>
      </c>
      <c r="G1787" s="6">
        <f t="shared" si="55"/>
        <v>36</v>
      </c>
      <c r="H1787" s="1">
        <f>SUMIF('Retal Tran Line Item'!E:E,A1787,'Retal Tran Line Item'!B:B)</f>
        <v>16</v>
      </c>
    </row>
    <row r="1788" spans="1:8">
      <c r="A1788" s="1">
        <v>101786</v>
      </c>
      <c r="B1788" s="1">
        <v>267632</v>
      </c>
      <c r="C1788" s="2">
        <v>41519</v>
      </c>
      <c r="D1788" s="1" t="s">
        <v>1994</v>
      </c>
      <c r="E1788" s="6">
        <v>2</v>
      </c>
      <c r="F1788" s="6" t="str">
        <f t="shared" si="54"/>
        <v>September</v>
      </c>
      <c r="G1788" s="6">
        <f t="shared" si="55"/>
        <v>36</v>
      </c>
      <c r="H1788" s="1">
        <f>SUMIF('Retal Tran Line Item'!E:E,A1788,'Retal Tran Line Item'!B:B)</f>
        <v>14</v>
      </c>
    </row>
    <row r="1789" spans="1:8">
      <c r="A1789" s="1">
        <v>101787</v>
      </c>
      <c r="B1789" s="1">
        <v>494106</v>
      </c>
      <c r="C1789" s="2">
        <v>41519</v>
      </c>
      <c r="D1789" s="1" t="s">
        <v>1993</v>
      </c>
      <c r="E1789" s="6">
        <v>2</v>
      </c>
      <c r="F1789" s="6" t="str">
        <f t="shared" si="54"/>
        <v>September</v>
      </c>
      <c r="G1789" s="6">
        <f t="shared" si="55"/>
        <v>36</v>
      </c>
      <c r="H1789" s="1">
        <f>SUMIF('Retal Tran Line Item'!E:E,A1789,'Retal Tran Line Item'!B:B)</f>
        <v>13</v>
      </c>
    </row>
    <row r="1790" spans="1:8">
      <c r="A1790" s="1">
        <v>101788</v>
      </c>
      <c r="B1790" s="1">
        <v>664934</v>
      </c>
      <c r="C1790" s="2">
        <v>41519</v>
      </c>
      <c r="D1790" s="1" t="s">
        <v>1994</v>
      </c>
      <c r="E1790" s="6">
        <v>2</v>
      </c>
      <c r="F1790" s="6" t="str">
        <f t="shared" si="54"/>
        <v>September</v>
      </c>
      <c r="G1790" s="6">
        <f t="shared" si="55"/>
        <v>36</v>
      </c>
      <c r="H1790" s="1">
        <f>SUMIF('Retal Tran Line Item'!E:E,A1790,'Retal Tran Line Item'!B:B)</f>
        <v>16</v>
      </c>
    </row>
    <row r="1791" spans="1:8">
      <c r="A1791" s="1">
        <v>101789</v>
      </c>
      <c r="B1791" s="1">
        <v>395125</v>
      </c>
      <c r="C1791" s="2">
        <v>41519</v>
      </c>
      <c r="D1791" s="1" t="s">
        <v>1992</v>
      </c>
      <c r="E1791" s="6">
        <v>2</v>
      </c>
      <c r="F1791" s="6" t="str">
        <f t="shared" si="54"/>
        <v>September</v>
      </c>
      <c r="G1791" s="6">
        <f t="shared" si="55"/>
        <v>36</v>
      </c>
      <c r="H1791" s="1">
        <f>SUMIF('Retal Tran Line Item'!E:E,A1791,'Retal Tran Line Item'!B:B)</f>
        <v>8</v>
      </c>
    </row>
    <row r="1792" spans="1:8">
      <c r="A1792" s="1">
        <v>101790</v>
      </c>
      <c r="B1792" s="1">
        <v>954812</v>
      </c>
      <c r="C1792" s="2">
        <v>41519</v>
      </c>
      <c r="D1792" s="1" t="s">
        <v>1992</v>
      </c>
      <c r="E1792" s="6">
        <v>2</v>
      </c>
      <c r="F1792" s="6" t="str">
        <f t="shared" si="54"/>
        <v>September</v>
      </c>
      <c r="G1792" s="6">
        <f t="shared" si="55"/>
        <v>36</v>
      </c>
      <c r="H1792" s="1">
        <f>SUMIF('Retal Tran Line Item'!E:E,A1792,'Retal Tran Line Item'!B:B)</f>
        <v>10</v>
      </c>
    </row>
    <row r="1793" spans="1:8">
      <c r="A1793" s="1">
        <v>101791</v>
      </c>
      <c r="B1793" s="1">
        <v>766161</v>
      </c>
      <c r="C1793" s="2">
        <v>41520</v>
      </c>
      <c r="D1793" s="1" t="s">
        <v>1994</v>
      </c>
      <c r="E1793" s="6">
        <v>1</v>
      </c>
      <c r="F1793" s="6" t="str">
        <f t="shared" si="54"/>
        <v>September</v>
      </c>
      <c r="G1793" s="6">
        <f t="shared" si="55"/>
        <v>36</v>
      </c>
      <c r="H1793" s="1">
        <f>SUMIF('Retal Tran Line Item'!E:E,A1793,'Retal Tran Line Item'!B:B)</f>
        <v>8</v>
      </c>
    </row>
    <row r="1794" spans="1:8">
      <c r="A1794" s="1">
        <v>101792</v>
      </c>
      <c r="B1794" s="1">
        <v>249779</v>
      </c>
      <c r="C1794" s="2">
        <v>41520</v>
      </c>
      <c r="D1794" s="1" t="s">
        <v>1992</v>
      </c>
      <c r="E1794" s="6">
        <v>2</v>
      </c>
      <c r="F1794" s="6" t="str">
        <f t="shared" si="54"/>
        <v>September</v>
      </c>
      <c r="G1794" s="6">
        <f t="shared" si="55"/>
        <v>36</v>
      </c>
      <c r="H1794" s="1">
        <f>SUMIF('Retal Tran Line Item'!E:E,A1794,'Retal Tran Line Item'!B:B)</f>
        <v>8</v>
      </c>
    </row>
    <row r="1795" spans="1:8">
      <c r="A1795" s="1">
        <v>101793</v>
      </c>
      <c r="B1795" s="1">
        <v>612681</v>
      </c>
      <c r="C1795" s="2">
        <v>41520</v>
      </c>
      <c r="D1795" s="1" t="s">
        <v>1993</v>
      </c>
      <c r="E1795" s="6">
        <v>1</v>
      </c>
      <c r="F1795" s="6" t="str">
        <f t="shared" ref="F1795:F1858" si="56">TEXT(C1795,"MMMM")</f>
        <v>September</v>
      </c>
      <c r="G1795" s="6">
        <f t="shared" ref="G1795:G1858" si="57">WEEKNUM(C1795)</f>
        <v>36</v>
      </c>
      <c r="H1795" s="1">
        <f>SUMIF('Retal Tran Line Item'!E:E,A1795,'Retal Tran Line Item'!B:B)</f>
        <v>13</v>
      </c>
    </row>
    <row r="1796" spans="1:8">
      <c r="A1796" s="1">
        <v>101794</v>
      </c>
      <c r="B1796" s="1">
        <v>734624</v>
      </c>
      <c r="C1796" s="2">
        <v>41520</v>
      </c>
      <c r="D1796" s="1" t="s">
        <v>1994</v>
      </c>
      <c r="E1796" s="6">
        <v>1</v>
      </c>
      <c r="F1796" s="6" t="str">
        <f t="shared" si="56"/>
        <v>September</v>
      </c>
      <c r="G1796" s="6">
        <f t="shared" si="57"/>
        <v>36</v>
      </c>
      <c r="H1796" s="1">
        <f>SUMIF('Retal Tran Line Item'!E:E,A1796,'Retal Tran Line Item'!B:B)</f>
        <v>2</v>
      </c>
    </row>
    <row r="1797" spans="1:8">
      <c r="A1797" s="1">
        <v>101795</v>
      </c>
      <c r="B1797" s="1">
        <v>601753</v>
      </c>
      <c r="C1797" s="2">
        <v>41520</v>
      </c>
      <c r="D1797" s="1" t="s">
        <v>1992</v>
      </c>
      <c r="E1797" s="6">
        <v>2</v>
      </c>
      <c r="F1797" s="6" t="str">
        <f t="shared" si="56"/>
        <v>September</v>
      </c>
      <c r="G1797" s="6">
        <f t="shared" si="57"/>
        <v>36</v>
      </c>
      <c r="H1797" s="1">
        <f>SUMIF('Retal Tran Line Item'!E:E,A1797,'Retal Tran Line Item'!B:B)</f>
        <v>14</v>
      </c>
    </row>
    <row r="1798" spans="1:8">
      <c r="A1798" s="1">
        <v>101796</v>
      </c>
      <c r="B1798" s="1">
        <v>826590</v>
      </c>
      <c r="C1798" s="2">
        <v>41520</v>
      </c>
      <c r="D1798" s="1" t="s">
        <v>1992</v>
      </c>
      <c r="E1798" s="6">
        <v>2</v>
      </c>
      <c r="F1798" s="6" t="str">
        <f t="shared" si="56"/>
        <v>September</v>
      </c>
      <c r="G1798" s="6">
        <f t="shared" si="57"/>
        <v>36</v>
      </c>
      <c r="H1798" s="1">
        <f>SUMIF('Retal Tran Line Item'!E:E,A1798,'Retal Tran Line Item'!B:B)</f>
        <v>13</v>
      </c>
    </row>
    <row r="1799" spans="1:8">
      <c r="A1799" s="1">
        <v>101797</v>
      </c>
      <c r="B1799" s="1">
        <v>352644</v>
      </c>
      <c r="C1799" s="2">
        <v>41520</v>
      </c>
      <c r="D1799" s="1" t="s">
        <v>1989</v>
      </c>
      <c r="E1799" s="6">
        <v>1</v>
      </c>
      <c r="F1799" s="6" t="str">
        <f t="shared" si="56"/>
        <v>September</v>
      </c>
      <c r="G1799" s="6">
        <f t="shared" si="57"/>
        <v>36</v>
      </c>
      <c r="H1799" s="1">
        <f>SUMIF('Retal Tran Line Item'!E:E,A1799,'Retal Tran Line Item'!B:B)</f>
        <v>7</v>
      </c>
    </row>
    <row r="1800" spans="1:8">
      <c r="A1800" s="1">
        <v>101798</v>
      </c>
      <c r="B1800" s="1">
        <v>817274</v>
      </c>
      <c r="C1800" s="2">
        <v>41520</v>
      </c>
      <c r="D1800" s="1" t="s">
        <v>1994</v>
      </c>
      <c r="E1800" s="6">
        <v>1</v>
      </c>
      <c r="F1800" s="6" t="str">
        <f t="shared" si="56"/>
        <v>September</v>
      </c>
      <c r="G1800" s="6">
        <f t="shared" si="57"/>
        <v>36</v>
      </c>
      <c r="H1800" s="1">
        <f>SUMIF('Retal Tran Line Item'!E:E,A1800,'Retal Tran Line Item'!B:B)</f>
        <v>5</v>
      </c>
    </row>
    <row r="1801" spans="1:8">
      <c r="A1801" s="1">
        <v>101799</v>
      </c>
      <c r="B1801" s="1">
        <v>808177</v>
      </c>
      <c r="C1801" s="2">
        <v>41520</v>
      </c>
      <c r="D1801" s="1" t="s">
        <v>1993</v>
      </c>
      <c r="E1801" s="6">
        <v>1</v>
      </c>
      <c r="F1801" s="6" t="str">
        <f t="shared" si="56"/>
        <v>September</v>
      </c>
      <c r="G1801" s="6">
        <f t="shared" si="57"/>
        <v>36</v>
      </c>
      <c r="H1801" s="1">
        <f>SUMIF('Retal Tran Line Item'!E:E,A1801,'Retal Tran Line Item'!B:B)</f>
        <v>21</v>
      </c>
    </row>
    <row r="1802" spans="1:8">
      <c r="A1802" s="1">
        <v>101800</v>
      </c>
      <c r="B1802" s="1">
        <v>877877</v>
      </c>
      <c r="C1802" s="2">
        <v>41520</v>
      </c>
      <c r="D1802" s="1" t="s">
        <v>1992</v>
      </c>
      <c r="E1802" s="6">
        <v>2</v>
      </c>
      <c r="F1802" s="6" t="str">
        <f t="shared" si="56"/>
        <v>September</v>
      </c>
      <c r="G1802" s="6">
        <f t="shared" si="57"/>
        <v>36</v>
      </c>
      <c r="H1802" s="1">
        <f>SUMIF('Retal Tran Line Item'!E:E,A1802,'Retal Tran Line Item'!B:B)</f>
        <v>18</v>
      </c>
    </row>
    <row r="1803" spans="1:8">
      <c r="A1803" s="1">
        <v>101801</v>
      </c>
      <c r="B1803" s="1">
        <v>891738</v>
      </c>
      <c r="C1803" s="2">
        <v>41520</v>
      </c>
      <c r="D1803" s="1" t="s">
        <v>1994</v>
      </c>
      <c r="E1803" s="6">
        <v>2</v>
      </c>
      <c r="F1803" s="6" t="str">
        <f t="shared" si="56"/>
        <v>September</v>
      </c>
      <c r="G1803" s="6">
        <f t="shared" si="57"/>
        <v>36</v>
      </c>
      <c r="H1803" s="1">
        <f>SUMIF('Retal Tran Line Item'!E:E,A1803,'Retal Tran Line Item'!B:B)</f>
        <v>9</v>
      </c>
    </row>
    <row r="1804" spans="1:8">
      <c r="A1804" s="1">
        <v>101802</v>
      </c>
      <c r="B1804" s="1">
        <v>882493</v>
      </c>
      <c r="C1804" s="2">
        <v>41520</v>
      </c>
      <c r="D1804" s="1" t="s">
        <v>1992</v>
      </c>
      <c r="E1804" s="6">
        <v>2</v>
      </c>
      <c r="F1804" s="6" t="str">
        <f t="shared" si="56"/>
        <v>September</v>
      </c>
      <c r="G1804" s="6">
        <f t="shared" si="57"/>
        <v>36</v>
      </c>
      <c r="H1804" s="1">
        <f>SUMIF('Retal Tran Line Item'!E:E,A1804,'Retal Tran Line Item'!B:B)</f>
        <v>1</v>
      </c>
    </row>
    <row r="1805" spans="1:8">
      <c r="A1805" s="1">
        <v>101803</v>
      </c>
      <c r="B1805" s="1">
        <v>231615</v>
      </c>
      <c r="C1805" s="2">
        <v>41520</v>
      </c>
      <c r="D1805" s="1" t="s">
        <v>1989</v>
      </c>
      <c r="E1805" s="6">
        <v>1</v>
      </c>
      <c r="F1805" s="6" t="str">
        <f t="shared" si="56"/>
        <v>September</v>
      </c>
      <c r="G1805" s="6">
        <f t="shared" si="57"/>
        <v>36</v>
      </c>
      <c r="H1805" s="1">
        <f>SUMIF('Retal Tran Line Item'!E:E,A1805,'Retal Tran Line Item'!B:B)</f>
        <v>8</v>
      </c>
    </row>
    <row r="1806" spans="1:8">
      <c r="A1806" s="1">
        <v>101804</v>
      </c>
      <c r="B1806" s="1">
        <v>330570</v>
      </c>
      <c r="C1806" s="2">
        <v>41521</v>
      </c>
      <c r="D1806" s="1" t="s">
        <v>1993</v>
      </c>
      <c r="E1806" s="6">
        <v>2</v>
      </c>
      <c r="F1806" s="6" t="str">
        <f t="shared" si="56"/>
        <v>September</v>
      </c>
      <c r="G1806" s="6">
        <f t="shared" si="57"/>
        <v>36</v>
      </c>
      <c r="H1806" s="1">
        <f>SUMIF('Retal Tran Line Item'!E:E,A1806,'Retal Tran Line Item'!B:B)</f>
        <v>23</v>
      </c>
    </row>
    <row r="1807" spans="1:8">
      <c r="A1807" s="1">
        <v>101805</v>
      </c>
      <c r="B1807" s="1">
        <v>606155</v>
      </c>
      <c r="C1807" s="2">
        <v>41521</v>
      </c>
      <c r="D1807" s="1" t="s">
        <v>1993</v>
      </c>
      <c r="E1807" s="6">
        <v>2</v>
      </c>
      <c r="F1807" s="6" t="str">
        <f t="shared" si="56"/>
        <v>September</v>
      </c>
      <c r="G1807" s="6">
        <f t="shared" si="57"/>
        <v>36</v>
      </c>
      <c r="H1807" s="1">
        <f>SUMIF('Retal Tran Line Item'!E:E,A1807,'Retal Tran Line Item'!B:B)</f>
        <v>4</v>
      </c>
    </row>
    <row r="1808" spans="1:8">
      <c r="A1808" s="1">
        <v>101806</v>
      </c>
      <c r="B1808" s="1">
        <v>520377</v>
      </c>
      <c r="C1808" s="2">
        <v>41521</v>
      </c>
      <c r="D1808" s="1" t="s">
        <v>1993</v>
      </c>
      <c r="E1808" s="6">
        <v>1</v>
      </c>
      <c r="F1808" s="6" t="str">
        <f t="shared" si="56"/>
        <v>September</v>
      </c>
      <c r="G1808" s="6">
        <f t="shared" si="57"/>
        <v>36</v>
      </c>
      <c r="H1808" s="1">
        <f>SUMIF('Retal Tran Line Item'!E:E,A1808,'Retal Tran Line Item'!B:B)</f>
        <v>26</v>
      </c>
    </row>
    <row r="1809" spans="1:8">
      <c r="A1809" s="1">
        <v>101807</v>
      </c>
      <c r="B1809" s="1">
        <v>189441</v>
      </c>
      <c r="C1809" s="2">
        <v>41521</v>
      </c>
      <c r="D1809" s="1" t="s">
        <v>1989</v>
      </c>
      <c r="E1809" s="6">
        <v>2</v>
      </c>
      <c r="F1809" s="6" t="str">
        <f t="shared" si="56"/>
        <v>September</v>
      </c>
      <c r="G1809" s="6">
        <f t="shared" si="57"/>
        <v>36</v>
      </c>
      <c r="H1809" s="1">
        <f>SUMIF('Retal Tran Line Item'!E:E,A1809,'Retal Tran Line Item'!B:B)</f>
        <v>3</v>
      </c>
    </row>
    <row r="1810" spans="1:8">
      <c r="A1810" s="1">
        <v>101808</v>
      </c>
      <c r="B1810" s="1">
        <v>964619</v>
      </c>
      <c r="C1810" s="2">
        <v>41521</v>
      </c>
      <c r="D1810" s="1" t="s">
        <v>1994</v>
      </c>
      <c r="E1810" s="6">
        <v>1</v>
      </c>
      <c r="F1810" s="6" t="str">
        <f t="shared" si="56"/>
        <v>September</v>
      </c>
      <c r="G1810" s="6">
        <f t="shared" si="57"/>
        <v>36</v>
      </c>
      <c r="H1810" s="1">
        <f>SUMIF('Retal Tran Line Item'!E:E,A1810,'Retal Tran Line Item'!B:B)</f>
        <v>13</v>
      </c>
    </row>
    <row r="1811" spans="1:8">
      <c r="A1811" s="1">
        <v>101809</v>
      </c>
      <c r="B1811" s="1">
        <v>262579</v>
      </c>
      <c r="C1811" s="2">
        <v>41521</v>
      </c>
      <c r="D1811" s="1" t="s">
        <v>1989</v>
      </c>
      <c r="E1811" s="6">
        <v>2</v>
      </c>
      <c r="F1811" s="6" t="str">
        <f t="shared" si="56"/>
        <v>September</v>
      </c>
      <c r="G1811" s="6">
        <f t="shared" si="57"/>
        <v>36</v>
      </c>
      <c r="H1811" s="1">
        <f>SUMIF('Retal Tran Line Item'!E:E,A1811,'Retal Tran Line Item'!B:B)</f>
        <v>6</v>
      </c>
    </row>
    <row r="1812" spans="1:8">
      <c r="A1812" s="1">
        <v>101810</v>
      </c>
      <c r="B1812" s="1">
        <v>973766</v>
      </c>
      <c r="C1812" s="2">
        <v>41521</v>
      </c>
      <c r="D1812" s="1" t="s">
        <v>1989</v>
      </c>
      <c r="E1812" s="6">
        <v>1</v>
      </c>
      <c r="F1812" s="6" t="str">
        <f t="shared" si="56"/>
        <v>September</v>
      </c>
      <c r="G1812" s="6">
        <f t="shared" si="57"/>
        <v>36</v>
      </c>
      <c r="H1812" s="1">
        <f>SUMIF('Retal Tran Line Item'!E:E,A1812,'Retal Tran Line Item'!B:B)</f>
        <v>11</v>
      </c>
    </row>
    <row r="1813" spans="1:8">
      <c r="A1813" s="1">
        <v>101811</v>
      </c>
      <c r="B1813" s="1">
        <v>464277</v>
      </c>
      <c r="C1813" s="2">
        <v>41521</v>
      </c>
      <c r="D1813" s="1" t="s">
        <v>1992</v>
      </c>
      <c r="E1813" s="6">
        <v>1</v>
      </c>
      <c r="F1813" s="6" t="str">
        <f t="shared" si="56"/>
        <v>September</v>
      </c>
      <c r="G1813" s="6">
        <f t="shared" si="57"/>
        <v>36</v>
      </c>
      <c r="H1813" s="1">
        <f>SUMIF('Retal Tran Line Item'!E:E,A1813,'Retal Tran Line Item'!B:B)</f>
        <v>1</v>
      </c>
    </row>
    <row r="1814" spans="1:8">
      <c r="A1814" s="1">
        <v>101812</v>
      </c>
      <c r="B1814" s="1">
        <v>672834</v>
      </c>
      <c r="C1814" s="2">
        <v>41521</v>
      </c>
      <c r="D1814" s="1" t="s">
        <v>1993</v>
      </c>
      <c r="E1814" s="6">
        <v>2</v>
      </c>
      <c r="F1814" s="6" t="str">
        <f t="shared" si="56"/>
        <v>September</v>
      </c>
      <c r="G1814" s="6">
        <f t="shared" si="57"/>
        <v>36</v>
      </c>
      <c r="H1814" s="1">
        <f>SUMIF('Retal Tran Line Item'!E:E,A1814,'Retal Tran Line Item'!B:B)</f>
        <v>6</v>
      </c>
    </row>
    <row r="1815" spans="1:8">
      <c r="A1815" s="1">
        <v>101813</v>
      </c>
      <c r="B1815" s="1">
        <v>549823</v>
      </c>
      <c r="C1815" s="2">
        <v>41521</v>
      </c>
      <c r="D1815" s="1" t="s">
        <v>1993</v>
      </c>
      <c r="E1815" s="6">
        <v>2</v>
      </c>
      <c r="F1815" s="6" t="str">
        <f t="shared" si="56"/>
        <v>September</v>
      </c>
      <c r="G1815" s="6">
        <f t="shared" si="57"/>
        <v>36</v>
      </c>
      <c r="H1815" s="1">
        <f>SUMIF('Retal Tran Line Item'!E:E,A1815,'Retal Tran Line Item'!B:B)</f>
        <v>37</v>
      </c>
    </row>
    <row r="1816" spans="1:8">
      <c r="A1816" s="1">
        <v>101814</v>
      </c>
      <c r="B1816" s="1">
        <v>216475</v>
      </c>
      <c r="C1816" s="2">
        <v>41521</v>
      </c>
      <c r="D1816" s="1" t="s">
        <v>1992</v>
      </c>
      <c r="E1816" s="6">
        <v>2</v>
      </c>
      <c r="F1816" s="6" t="str">
        <f t="shared" si="56"/>
        <v>September</v>
      </c>
      <c r="G1816" s="6">
        <f t="shared" si="57"/>
        <v>36</v>
      </c>
      <c r="H1816" s="1">
        <f>SUMIF('Retal Tran Line Item'!E:E,A1816,'Retal Tran Line Item'!B:B)</f>
        <v>4</v>
      </c>
    </row>
    <row r="1817" spans="1:8">
      <c r="A1817" s="1">
        <v>101815</v>
      </c>
      <c r="B1817" s="1">
        <v>771285</v>
      </c>
      <c r="C1817" s="2">
        <v>41522</v>
      </c>
      <c r="D1817" s="1" t="s">
        <v>1993</v>
      </c>
      <c r="E1817" s="6">
        <v>1</v>
      </c>
      <c r="F1817" s="6" t="str">
        <f t="shared" si="56"/>
        <v>September</v>
      </c>
      <c r="G1817" s="6">
        <f t="shared" si="57"/>
        <v>36</v>
      </c>
      <c r="H1817" s="1">
        <f>SUMIF('Retal Tran Line Item'!E:E,A1817,'Retal Tran Line Item'!B:B)</f>
        <v>9</v>
      </c>
    </row>
    <row r="1818" spans="1:8">
      <c r="A1818" s="1">
        <v>101816</v>
      </c>
      <c r="B1818" s="1">
        <v>900440</v>
      </c>
      <c r="C1818" s="2">
        <v>41522</v>
      </c>
      <c r="D1818" s="1" t="s">
        <v>1992</v>
      </c>
      <c r="E1818" s="6">
        <v>1</v>
      </c>
      <c r="F1818" s="6" t="str">
        <f t="shared" si="56"/>
        <v>September</v>
      </c>
      <c r="G1818" s="6">
        <f t="shared" si="57"/>
        <v>36</v>
      </c>
      <c r="H1818" s="1">
        <f>SUMIF('Retal Tran Line Item'!E:E,A1818,'Retal Tran Line Item'!B:B)</f>
        <v>17</v>
      </c>
    </row>
    <row r="1819" spans="1:8">
      <c r="A1819" s="1">
        <v>101817</v>
      </c>
      <c r="B1819" s="1">
        <v>606155</v>
      </c>
      <c r="C1819" s="2">
        <v>41522</v>
      </c>
      <c r="D1819" s="1" t="s">
        <v>1993</v>
      </c>
      <c r="E1819" s="6">
        <v>1</v>
      </c>
      <c r="F1819" s="6" t="str">
        <f t="shared" si="56"/>
        <v>September</v>
      </c>
      <c r="G1819" s="6">
        <f t="shared" si="57"/>
        <v>36</v>
      </c>
      <c r="H1819" s="1">
        <f>SUMIF('Retal Tran Line Item'!E:E,A1819,'Retal Tran Line Item'!B:B)</f>
        <v>2</v>
      </c>
    </row>
    <row r="1820" spans="1:8">
      <c r="A1820" s="1">
        <v>101818</v>
      </c>
      <c r="B1820" s="1">
        <v>938393</v>
      </c>
      <c r="C1820" s="2">
        <v>41522</v>
      </c>
      <c r="D1820" s="1" t="s">
        <v>1993</v>
      </c>
      <c r="E1820" s="6">
        <v>1</v>
      </c>
      <c r="F1820" s="6" t="str">
        <f t="shared" si="56"/>
        <v>September</v>
      </c>
      <c r="G1820" s="6">
        <f t="shared" si="57"/>
        <v>36</v>
      </c>
      <c r="H1820" s="1">
        <f>SUMIF('Retal Tran Line Item'!E:E,A1820,'Retal Tran Line Item'!B:B)</f>
        <v>8</v>
      </c>
    </row>
    <row r="1821" spans="1:8">
      <c r="A1821" s="1">
        <v>101819</v>
      </c>
      <c r="B1821" s="1">
        <v>664934</v>
      </c>
      <c r="C1821" s="2">
        <v>41522</v>
      </c>
      <c r="D1821" s="1" t="s">
        <v>1994</v>
      </c>
      <c r="E1821" s="6">
        <v>1</v>
      </c>
      <c r="F1821" s="6" t="str">
        <f t="shared" si="56"/>
        <v>September</v>
      </c>
      <c r="G1821" s="6">
        <f t="shared" si="57"/>
        <v>36</v>
      </c>
      <c r="H1821" s="1">
        <f>SUMIF('Retal Tran Line Item'!E:E,A1821,'Retal Tran Line Item'!B:B)</f>
        <v>9</v>
      </c>
    </row>
    <row r="1822" spans="1:8">
      <c r="A1822" s="1">
        <v>101820</v>
      </c>
      <c r="B1822" s="1">
        <v>468100</v>
      </c>
      <c r="C1822" s="2">
        <v>41522</v>
      </c>
      <c r="D1822" s="1" t="s">
        <v>1992</v>
      </c>
      <c r="E1822" s="6">
        <v>1</v>
      </c>
      <c r="F1822" s="6" t="str">
        <f t="shared" si="56"/>
        <v>September</v>
      </c>
      <c r="G1822" s="6">
        <f t="shared" si="57"/>
        <v>36</v>
      </c>
      <c r="H1822" s="1">
        <f>SUMIF('Retal Tran Line Item'!E:E,A1822,'Retal Tran Line Item'!B:B)</f>
        <v>3</v>
      </c>
    </row>
    <row r="1823" spans="1:8">
      <c r="A1823" s="1">
        <v>101821</v>
      </c>
      <c r="B1823" s="1">
        <v>265707</v>
      </c>
      <c r="C1823" s="2">
        <v>41522</v>
      </c>
      <c r="D1823" s="1" t="s">
        <v>1994</v>
      </c>
      <c r="E1823" s="6">
        <v>2</v>
      </c>
      <c r="F1823" s="6" t="str">
        <f t="shared" si="56"/>
        <v>September</v>
      </c>
      <c r="G1823" s="6">
        <f t="shared" si="57"/>
        <v>36</v>
      </c>
      <c r="H1823" s="1">
        <f>SUMIF('Retal Tran Line Item'!E:E,A1823,'Retal Tran Line Item'!B:B)</f>
        <v>2</v>
      </c>
    </row>
    <row r="1824" spans="1:8">
      <c r="A1824" s="1">
        <v>101822</v>
      </c>
      <c r="B1824" s="1">
        <v>927518</v>
      </c>
      <c r="C1824" s="2">
        <v>41522</v>
      </c>
      <c r="D1824" s="1" t="s">
        <v>1993</v>
      </c>
      <c r="E1824" s="6">
        <v>1</v>
      </c>
      <c r="F1824" s="6" t="str">
        <f t="shared" si="56"/>
        <v>September</v>
      </c>
      <c r="G1824" s="6">
        <f t="shared" si="57"/>
        <v>36</v>
      </c>
      <c r="H1824" s="1">
        <f>SUMIF('Retal Tran Line Item'!E:E,A1824,'Retal Tran Line Item'!B:B)</f>
        <v>11</v>
      </c>
    </row>
    <row r="1825" spans="1:8">
      <c r="A1825" s="1">
        <v>101823</v>
      </c>
      <c r="B1825" s="1">
        <v>755271</v>
      </c>
      <c r="C1825" s="2">
        <v>41522</v>
      </c>
      <c r="D1825" s="1" t="s">
        <v>1989</v>
      </c>
      <c r="E1825" s="6">
        <v>1</v>
      </c>
      <c r="F1825" s="6" t="str">
        <f t="shared" si="56"/>
        <v>September</v>
      </c>
      <c r="G1825" s="6">
        <f t="shared" si="57"/>
        <v>36</v>
      </c>
      <c r="H1825" s="1">
        <f>SUMIF('Retal Tran Line Item'!E:E,A1825,'Retal Tran Line Item'!B:B)</f>
        <v>6</v>
      </c>
    </row>
    <row r="1826" spans="1:8">
      <c r="A1826" s="1">
        <v>101824</v>
      </c>
      <c r="B1826" s="1">
        <v>442254</v>
      </c>
      <c r="C1826" s="2">
        <v>41522</v>
      </c>
      <c r="D1826" s="1" t="s">
        <v>1989</v>
      </c>
      <c r="E1826" s="6">
        <v>1</v>
      </c>
      <c r="F1826" s="6" t="str">
        <f t="shared" si="56"/>
        <v>September</v>
      </c>
      <c r="G1826" s="6">
        <f t="shared" si="57"/>
        <v>36</v>
      </c>
      <c r="H1826" s="1">
        <f>SUMIF('Retal Tran Line Item'!E:E,A1826,'Retal Tran Line Item'!B:B)</f>
        <v>5</v>
      </c>
    </row>
    <row r="1827" spans="1:8">
      <c r="A1827" s="1">
        <v>101825</v>
      </c>
      <c r="B1827" s="1">
        <v>200272</v>
      </c>
      <c r="C1827" s="2">
        <v>41522</v>
      </c>
      <c r="D1827" s="1" t="s">
        <v>1992</v>
      </c>
      <c r="E1827" s="6">
        <v>1</v>
      </c>
      <c r="F1827" s="6" t="str">
        <f t="shared" si="56"/>
        <v>September</v>
      </c>
      <c r="G1827" s="6">
        <f t="shared" si="57"/>
        <v>36</v>
      </c>
      <c r="H1827" s="1">
        <f>SUMIF('Retal Tran Line Item'!E:E,A1827,'Retal Tran Line Item'!B:B)</f>
        <v>7</v>
      </c>
    </row>
    <row r="1828" spans="1:8">
      <c r="A1828" s="1">
        <v>101826</v>
      </c>
      <c r="B1828" s="1">
        <v>110363</v>
      </c>
      <c r="C1828" s="2">
        <v>41522</v>
      </c>
      <c r="D1828" s="1" t="s">
        <v>1994</v>
      </c>
      <c r="E1828" s="6">
        <v>2</v>
      </c>
      <c r="F1828" s="6" t="str">
        <f t="shared" si="56"/>
        <v>September</v>
      </c>
      <c r="G1828" s="6">
        <f t="shared" si="57"/>
        <v>36</v>
      </c>
      <c r="H1828" s="1">
        <f>SUMIF('Retal Tran Line Item'!E:E,A1828,'Retal Tran Line Item'!B:B)</f>
        <v>10</v>
      </c>
    </row>
    <row r="1829" spans="1:8">
      <c r="A1829" s="1">
        <v>101827</v>
      </c>
      <c r="B1829" s="1">
        <v>395125</v>
      </c>
      <c r="C1829" s="2">
        <v>41523</v>
      </c>
      <c r="D1829" s="1" t="s">
        <v>1992</v>
      </c>
      <c r="E1829" s="6">
        <v>1</v>
      </c>
      <c r="F1829" s="6" t="str">
        <f t="shared" si="56"/>
        <v>September</v>
      </c>
      <c r="G1829" s="6">
        <f t="shared" si="57"/>
        <v>36</v>
      </c>
      <c r="H1829" s="1">
        <f>SUMIF('Retal Tran Line Item'!E:E,A1829,'Retal Tran Line Item'!B:B)</f>
        <v>14</v>
      </c>
    </row>
    <row r="1830" spans="1:8">
      <c r="A1830" s="1">
        <v>101828</v>
      </c>
      <c r="B1830" s="1">
        <v>670707</v>
      </c>
      <c r="C1830" s="2">
        <v>41523</v>
      </c>
      <c r="D1830" s="1" t="s">
        <v>1994</v>
      </c>
      <c r="E1830" s="6">
        <v>1</v>
      </c>
      <c r="F1830" s="6" t="str">
        <f t="shared" si="56"/>
        <v>September</v>
      </c>
      <c r="G1830" s="6">
        <f t="shared" si="57"/>
        <v>36</v>
      </c>
      <c r="H1830" s="1">
        <f>SUMIF('Retal Tran Line Item'!E:E,A1830,'Retal Tran Line Item'!B:B)</f>
        <v>6</v>
      </c>
    </row>
    <row r="1831" spans="1:8">
      <c r="A1831" s="1">
        <v>101829</v>
      </c>
      <c r="B1831" s="1">
        <v>485769</v>
      </c>
      <c r="C1831" s="2">
        <v>41523</v>
      </c>
      <c r="D1831" s="1" t="s">
        <v>1989</v>
      </c>
      <c r="E1831" s="6">
        <v>1</v>
      </c>
      <c r="F1831" s="6" t="str">
        <f t="shared" si="56"/>
        <v>September</v>
      </c>
      <c r="G1831" s="6">
        <f t="shared" si="57"/>
        <v>36</v>
      </c>
      <c r="H1831" s="1">
        <f>SUMIF('Retal Tran Line Item'!E:E,A1831,'Retal Tran Line Item'!B:B)</f>
        <v>10</v>
      </c>
    </row>
    <row r="1832" spans="1:8">
      <c r="A1832" s="1">
        <v>101830</v>
      </c>
      <c r="B1832" s="1">
        <v>796796</v>
      </c>
      <c r="C1832" s="2">
        <v>41523</v>
      </c>
      <c r="D1832" s="1" t="s">
        <v>1992</v>
      </c>
      <c r="E1832" s="6">
        <v>2</v>
      </c>
      <c r="F1832" s="6" t="str">
        <f t="shared" si="56"/>
        <v>September</v>
      </c>
      <c r="G1832" s="6">
        <f t="shared" si="57"/>
        <v>36</v>
      </c>
      <c r="H1832" s="1">
        <f>SUMIF('Retal Tran Line Item'!E:E,A1832,'Retal Tran Line Item'!B:B)</f>
        <v>26</v>
      </c>
    </row>
    <row r="1833" spans="1:8">
      <c r="A1833" s="1">
        <v>101831</v>
      </c>
      <c r="B1833" s="1">
        <v>722547</v>
      </c>
      <c r="C1833" s="2">
        <v>41523</v>
      </c>
      <c r="D1833" s="1" t="s">
        <v>1994</v>
      </c>
      <c r="E1833" s="6">
        <v>1</v>
      </c>
      <c r="F1833" s="6" t="str">
        <f t="shared" si="56"/>
        <v>September</v>
      </c>
      <c r="G1833" s="6">
        <f t="shared" si="57"/>
        <v>36</v>
      </c>
      <c r="H1833" s="1">
        <f>SUMIF('Retal Tran Line Item'!E:E,A1833,'Retal Tran Line Item'!B:B)</f>
        <v>6</v>
      </c>
    </row>
    <row r="1834" spans="1:8">
      <c r="A1834" s="1">
        <v>101832</v>
      </c>
      <c r="B1834" s="1">
        <v>924361</v>
      </c>
      <c r="C1834" s="2">
        <v>41523</v>
      </c>
      <c r="D1834" s="1" t="s">
        <v>1993</v>
      </c>
      <c r="E1834" s="6">
        <v>1</v>
      </c>
      <c r="F1834" s="6" t="str">
        <f t="shared" si="56"/>
        <v>September</v>
      </c>
      <c r="G1834" s="6">
        <f t="shared" si="57"/>
        <v>36</v>
      </c>
      <c r="H1834" s="1">
        <f>SUMIF('Retal Tran Line Item'!E:E,A1834,'Retal Tran Line Item'!B:B)</f>
        <v>7</v>
      </c>
    </row>
    <row r="1835" spans="1:8">
      <c r="A1835" s="1">
        <v>101833</v>
      </c>
      <c r="B1835" s="1">
        <v>216081</v>
      </c>
      <c r="C1835" s="2">
        <v>41523</v>
      </c>
      <c r="D1835" s="1" t="s">
        <v>1992</v>
      </c>
      <c r="E1835" s="6">
        <v>1</v>
      </c>
      <c r="F1835" s="6" t="str">
        <f t="shared" si="56"/>
        <v>September</v>
      </c>
      <c r="G1835" s="6">
        <f t="shared" si="57"/>
        <v>36</v>
      </c>
      <c r="H1835" s="1">
        <f>SUMIF('Retal Tran Line Item'!E:E,A1835,'Retal Tran Line Item'!B:B)</f>
        <v>13</v>
      </c>
    </row>
    <row r="1836" spans="1:8">
      <c r="A1836" s="1">
        <v>101834</v>
      </c>
      <c r="B1836" s="1">
        <v>889686</v>
      </c>
      <c r="C1836" s="2">
        <v>41523</v>
      </c>
      <c r="D1836" s="1" t="s">
        <v>1989</v>
      </c>
      <c r="E1836" s="6">
        <v>2</v>
      </c>
      <c r="F1836" s="6" t="str">
        <f t="shared" si="56"/>
        <v>September</v>
      </c>
      <c r="G1836" s="6">
        <f t="shared" si="57"/>
        <v>36</v>
      </c>
      <c r="H1836" s="1">
        <f>SUMIF('Retal Tran Line Item'!E:E,A1836,'Retal Tran Line Item'!B:B)</f>
        <v>12</v>
      </c>
    </row>
    <row r="1837" spans="1:8">
      <c r="A1837" s="1">
        <v>101835</v>
      </c>
      <c r="B1837" s="1">
        <v>296353</v>
      </c>
      <c r="C1837" s="2">
        <v>41523</v>
      </c>
      <c r="D1837" s="1" t="s">
        <v>1993</v>
      </c>
      <c r="E1837" s="6">
        <v>2</v>
      </c>
      <c r="F1837" s="6" t="str">
        <f t="shared" si="56"/>
        <v>September</v>
      </c>
      <c r="G1837" s="6">
        <f t="shared" si="57"/>
        <v>36</v>
      </c>
      <c r="H1837" s="1">
        <f>SUMIF('Retal Tran Line Item'!E:E,A1837,'Retal Tran Line Item'!B:B)</f>
        <v>8</v>
      </c>
    </row>
    <row r="1838" spans="1:8">
      <c r="A1838" s="1">
        <v>101836</v>
      </c>
      <c r="B1838" s="1">
        <v>143878</v>
      </c>
      <c r="C1838" s="2">
        <v>41523</v>
      </c>
      <c r="D1838" s="1" t="s">
        <v>1992</v>
      </c>
      <c r="E1838" s="6">
        <v>1</v>
      </c>
      <c r="F1838" s="6" t="str">
        <f t="shared" si="56"/>
        <v>September</v>
      </c>
      <c r="G1838" s="6">
        <f t="shared" si="57"/>
        <v>36</v>
      </c>
      <c r="H1838" s="1">
        <f>SUMIF('Retal Tran Line Item'!E:E,A1838,'Retal Tran Line Item'!B:B)</f>
        <v>6</v>
      </c>
    </row>
    <row r="1839" spans="1:8">
      <c r="A1839" s="1">
        <v>101837</v>
      </c>
      <c r="B1839" s="1">
        <v>190721</v>
      </c>
      <c r="C1839" s="2">
        <v>41523</v>
      </c>
      <c r="D1839" s="1" t="s">
        <v>1993</v>
      </c>
      <c r="E1839" s="6">
        <v>1</v>
      </c>
      <c r="F1839" s="6" t="str">
        <f t="shared" si="56"/>
        <v>September</v>
      </c>
      <c r="G1839" s="6">
        <f t="shared" si="57"/>
        <v>36</v>
      </c>
      <c r="H1839" s="1">
        <f>SUMIF('Retal Tran Line Item'!E:E,A1839,'Retal Tran Line Item'!B:B)</f>
        <v>11</v>
      </c>
    </row>
    <row r="1840" spans="1:8">
      <c r="A1840" s="1">
        <v>101838</v>
      </c>
      <c r="B1840" s="1">
        <v>235720</v>
      </c>
      <c r="C1840" s="2">
        <v>41524</v>
      </c>
      <c r="D1840" s="1" t="s">
        <v>1993</v>
      </c>
      <c r="E1840" s="6">
        <v>2</v>
      </c>
      <c r="F1840" s="6" t="str">
        <f t="shared" si="56"/>
        <v>September</v>
      </c>
      <c r="G1840" s="6">
        <f t="shared" si="57"/>
        <v>36</v>
      </c>
      <c r="H1840" s="1">
        <f>SUMIF('Retal Tran Line Item'!E:E,A1840,'Retal Tran Line Item'!B:B)</f>
        <v>10</v>
      </c>
    </row>
    <row r="1841" spans="1:8">
      <c r="A1841" s="1">
        <v>101839</v>
      </c>
      <c r="B1841" s="1">
        <v>568217</v>
      </c>
      <c r="C1841" s="2">
        <v>41524</v>
      </c>
      <c r="D1841" s="1" t="s">
        <v>1993</v>
      </c>
      <c r="E1841" s="6">
        <v>1</v>
      </c>
      <c r="F1841" s="6" t="str">
        <f t="shared" si="56"/>
        <v>September</v>
      </c>
      <c r="G1841" s="6">
        <f t="shared" si="57"/>
        <v>36</v>
      </c>
      <c r="H1841" s="1">
        <f>SUMIF('Retal Tran Line Item'!E:E,A1841,'Retal Tran Line Item'!B:B)</f>
        <v>6</v>
      </c>
    </row>
    <row r="1842" spans="1:8">
      <c r="A1842" s="1">
        <v>101840</v>
      </c>
      <c r="B1842" s="1">
        <v>659695</v>
      </c>
      <c r="C1842" s="2">
        <v>41524</v>
      </c>
      <c r="D1842" s="1" t="s">
        <v>1992</v>
      </c>
      <c r="E1842" s="6">
        <v>2</v>
      </c>
      <c r="F1842" s="6" t="str">
        <f t="shared" si="56"/>
        <v>September</v>
      </c>
      <c r="G1842" s="6">
        <f t="shared" si="57"/>
        <v>36</v>
      </c>
      <c r="H1842" s="1">
        <f>SUMIF('Retal Tran Line Item'!E:E,A1842,'Retal Tran Line Item'!B:B)</f>
        <v>6</v>
      </c>
    </row>
    <row r="1843" spans="1:8">
      <c r="A1843" s="1">
        <v>101841</v>
      </c>
      <c r="B1843" s="1">
        <v>403000</v>
      </c>
      <c r="C1843" s="2">
        <v>41524</v>
      </c>
      <c r="D1843" s="1" t="s">
        <v>1992</v>
      </c>
      <c r="E1843" s="6">
        <v>1</v>
      </c>
      <c r="F1843" s="6" t="str">
        <f t="shared" si="56"/>
        <v>September</v>
      </c>
      <c r="G1843" s="6">
        <f t="shared" si="57"/>
        <v>36</v>
      </c>
      <c r="H1843" s="1">
        <f>SUMIF('Retal Tran Line Item'!E:E,A1843,'Retal Tran Line Item'!B:B)</f>
        <v>9</v>
      </c>
    </row>
    <row r="1844" spans="1:8">
      <c r="A1844" s="1">
        <v>101842</v>
      </c>
      <c r="B1844" s="1">
        <v>352644</v>
      </c>
      <c r="C1844" s="2">
        <v>41524</v>
      </c>
      <c r="D1844" s="1" t="s">
        <v>1989</v>
      </c>
      <c r="E1844" s="6">
        <v>2</v>
      </c>
      <c r="F1844" s="6" t="str">
        <f t="shared" si="56"/>
        <v>September</v>
      </c>
      <c r="G1844" s="6">
        <f t="shared" si="57"/>
        <v>36</v>
      </c>
      <c r="H1844" s="1">
        <f>SUMIF('Retal Tran Line Item'!E:E,A1844,'Retal Tran Line Item'!B:B)</f>
        <v>4</v>
      </c>
    </row>
    <row r="1845" spans="1:8">
      <c r="A1845" s="1">
        <v>101843</v>
      </c>
      <c r="B1845" s="1">
        <v>944523</v>
      </c>
      <c r="C1845" s="2">
        <v>41524</v>
      </c>
      <c r="D1845" s="1" t="s">
        <v>1992</v>
      </c>
      <c r="E1845" s="6">
        <v>2</v>
      </c>
      <c r="F1845" s="6" t="str">
        <f t="shared" si="56"/>
        <v>September</v>
      </c>
      <c r="G1845" s="6">
        <f t="shared" si="57"/>
        <v>36</v>
      </c>
      <c r="H1845" s="1">
        <f>SUMIF('Retal Tran Line Item'!E:E,A1845,'Retal Tran Line Item'!B:B)</f>
        <v>10</v>
      </c>
    </row>
    <row r="1846" spans="1:8">
      <c r="A1846" s="1">
        <v>101844</v>
      </c>
      <c r="B1846" s="1">
        <v>161175</v>
      </c>
      <c r="C1846" s="2">
        <v>41524</v>
      </c>
      <c r="D1846" s="1" t="s">
        <v>1994</v>
      </c>
      <c r="E1846" s="6">
        <v>1</v>
      </c>
      <c r="F1846" s="6" t="str">
        <f t="shared" si="56"/>
        <v>September</v>
      </c>
      <c r="G1846" s="6">
        <f t="shared" si="57"/>
        <v>36</v>
      </c>
      <c r="H1846" s="1">
        <f>SUMIF('Retal Tran Line Item'!E:E,A1846,'Retal Tran Line Item'!B:B)</f>
        <v>4</v>
      </c>
    </row>
    <row r="1847" spans="1:8">
      <c r="A1847" s="1">
        <v>101845</v>
      </c>
      <c r="B1847" s="1">
        <v>161942</v>
      </c>
      <c r="C1847" s="2">
        <v>41524</v>
      </c>
      <c r="D1847" s="1" t="s">
        <v>1993</v>
      </c>
      <c r="E1847" s="6">
        <v>2</v>
      </c>
      <c r="F1847" s="6" t="str">
        <f t="shared" si="56"/>
        <v>September</v>
      </c>
      <c r="G1847" s="6">
        <f t="shared" si="57"/>
        <v>36</v>
      </c>
      <c r="H1847" s="1">
        <f>SUMIF('Retal Tran Line Item'!E:E,A1847,'Retal Tran Line Item'!B:B)</f>
        <v>6</v>
      </c>
    </row>
    <row r="1848" spans="1:8">
      <c r="A1848" s="1">
        <v>101846</v>
      </c>
      <c r="B1848" s="1">
        <v>888759</v>
      </c>
      <c r="C1848" s="2">
        <v>41524</v>
      </c>
      <c r="D1848" s="1" t="s">
        <v>1993</v>
      </c>
      <c r="E1848" s="6">
        <v>2</v>
      </c>
      <c r="F1848" s="6" t="str">
        <f t="shared" si="56"/>
        <v>September</v>
      </c>
      <c r="G1848" s="6">
        <f t="shared" si="57"/>
        <v>36</v>
      </c>
      <c r="H1848" s="1">
        <f>SUMIF('Retal Tran Line Item'!E:E,A1848,'Retal Tran Line Item'!B:B)</f>
        <v>7</v>
      </c>
    </row>
    <row r="1849" spans="1:8">
      <c r="A1849" s="1">
        <v>101847</v>
      </c>
      <c r="B1849" s="1">
        <v>468692</v>
      </c>
      <c r="C1849" s="2">
        <v>41524</v>
      </c>
      <c r="D1849" s="1" t="s">
        <v>1993</v>
      </c>
      <c r="E1849" s="6">
        <v>2</v>
      </c>
      <c r="F1849" s="6" t="str">
        <f t="shared" si="56"/>
        <v>September</v>
      </c>
      <c r="G1849" s="6">
        <f t="shared" si="57"/>
        <v>36</v>
      </c>
      <c r="H1849" s="1">
        <f>SUMIF('Retal Tran Line Item'!E:E,A1849,'Retal Tran Line Item'!B:B)</f>
        <v>20</v>
      </c>
    </row>
    <row r="1850" spans="1:8">
      <c r="A1850" s="1">
        <v>101848</v>
      </c>
      <c r="B1850" s="1">
        <v>857548</v>
      </c>
      <c r="C1850" s="2">
        <v>41524</v>
      </c>
      <c r="D1850" s="1" t="s">
        <v>1992</v>
      </c>
      <c r="E1850" s="6">
        <v>2</v>
      </c>
      <c r="F1850" s="6" t="str">
        <f t="shared" si="56"/>
        <v>September</v>
      </c>
      <c r="G1850" s="6">
        <f t="shared" si="57"/>
        <v>36</v>
      </c>
      <c r="H1850" s="1">
        <f>SUMIF('Retal Tran Line Item'!E:E,A1850,'Retal Tran Line Item'!B:B)</f>
        <v>5</v>
      </c>
    </row>
    <row r="1851" spans="1:8">
      <c r="A1851" s="1">
        <v>101849</v>
      </c>
      <c r="B1851" s="1">
        <v>412544</v>
      </c>
      <c r="C1851" s="2">
        <v>41524</v>
      </c>
      <c r="D1851" s="1" t="s">
        <v>1993</v>
      </c>
      <c r="E1851" s="6">
        <v>2</v>
      </c>
      <c r="F1851" s="6" t="str">
        <f t="shared" si="56"/>
        <v>September</v>
      </c>
      <c r="G1851" s="6">
        <f t="shared" si="57"/>
        <v>36</v>
      </c>
      <c r="H1851" s="1">
        <f>SUMIF('Retal Tran Line Item'!E:E,A1851,'Retal Tran Line Item'!B:B)</f>
        <v>9</v>
      </c>
    </row>
    <row r="1852" spans="1:8">
      <c r="A1852" s="1">
        <v>101850</v>
      </c>
      <c r="B1852" s="1">
        <v>882493</v>
      </c>
      <c r="C1852" s="2">
        <v>41524</v>
      </c>
      <c r="D1852" s="1" t="s">
        <v>1992</v>
      </c>
      <c r="E1852" s="6">
        <v>1</v>
      </c>
      <c r="F1852" s="6" t="str">
        <f t="shared" si="56"/>
        <v>September</v>
      </c>
      <c r="G1852" s="6">
        <f t="shared" si="57"/>
        <v>36</v>
      </c>
      <c r="H1852" s="1">
        <f>SUMIF('Retal Tran Line Item'!E:E,A1852,'Retal Tran Line Item'!B:B)</f>
        <v>8</v>
      </c>
    </row>
    <row r="1853" spans="1:8">
      <c r="A1853" s="1">
        <v>101851</v>
      </c>
      <c r="B1853" s="1">
        <v>433442</v>
      </c>
      <c r="C1853" s="2">
        <v>41525</v>
      </c>
      <c r="D1853" s="1" t="s">
        <v>1989</v>
      </c>
      <c r="E1853" s="6">
        <v>1</v>
      </c>
      <c r="F1853" s="6" t="str">
        <f t="shared" si="56"/>
        <v>September</v>
      </c>
      <c r="G1853" s="6">
        <f t="shared" si="57"/>
        <v>37</v>
      </c>
      <c r="H1853" s="1">
        <f>SUMIF('Retal Tran Line Item'!E:E,A1853,'Retal Tran Line Item'!B:B)</f>
        <v>5</v>
      </c>
    </row>
    <row r="1854" spans="1:8">
      <c r="A1854" s="1">
        <v>101852</v>
      </c>
      <c r="B1854" s="1">
        <v>730305</v>
      </c>
      <c r="C1854" s="2">
        <v>41525</v>
      </c>
      <c r="D1854" s="1" t="s">
        <v>1992</v>
      </c>
      <c r="E1854" s="6">
        <v>2</v>
      </c>
      <c r="F1854" s="6" t="str">
        <f t="shared" si="56"/>
        <v>September</v>
      </c>
      <c r="G1854" s="6">
        <f t="shared" si="57"/>
        <v>37</v>
      </c>
      <c r="H1854" s="1">
        <f>SUMIF('Retal Tran Line Item'!E:E,A1854,'Retal Tran Line Item'!B:B)</f>
        <v>15</v>
      </c>
    </row>
    <row r="1855" spans="1:8">
      <c r="A1855" s="1">
        <v>101853</v>
      </c>
      <c r="B1855" s="1">
        <v>884607</v>
      </c>
      <c r="C1855" s="2">
        <v>41525</v>
      </c>
      <c r="D1855" s="1" t="s">
        <v>1993</v>
      </c>
      <c r="E1855" s="6">
        <v>1</v>
      </c>
      <c r="F1855" s="6" t="str">
        <f t="shared" si="56"/>
        <v>September</v>
      </c>
      <c r="G1855" s="6">
        <f t="shared" si="57"/>
        <v>37</v>
      </c>
      <c r="H1855" s="1">
        <f>SUMIF('Retal Tran Line Item'!E:E,A1855,'Retal Tran Line Item'!B:B)</f>
        <v>6</v>
      </c>
    </row>
    <row r="1856" spans="1:8">
      <c r="A1856" s="1">
        <v>101854</v>
      </c>
      <c r="B1856" s="1">
        <v>616392</v>
      </c>
      <c r="C1856" s="2">
        <v>41525</v>
      </c>
      <c r="D1856" s="1" t="s">
        <v>1993</v>
      </c>
      <c r="E1856" s="6">
        <v>1</v>
      </c>
      <c r="F1856" s="6" t="str">
        <f t="shared" si="56"/>
        <v>September</v>
      </c>
      <c r="G1856" s="6">
        <f t="shared" si="57"/>
        <v>37</v>
      </c>
      <c r="H1856" s="1">
        <f>SUMIF('Retal Tran Line Item'!E:E,A1856,'Retal Tran Line Item'!B:B)</f>
        <v>16</v>
      </c>
    </row>
    <row r="1857" spans="1:8">
      <c r="A1857" s="1">
        <v>101855</v>
      </c>
      <c r="B1857" s="1">
        <v>739393</v>
      </c>
      <c r="C1857" s="2">
        <v>41525</v>
      </c>
      <c r="D1857" s="1" t="s">
        <v>1993</v>
      </c>
      <c r="E1857" s="6">
        <v>2</v>
      </c>
      <c r="F1857" s="6" t="str">
        <f t="shared" si="56"/>
        <v>September</v>
      </c>
      <c r="G1857" s="6">
        <f t="shared" si="57"/>
        <v>37</v>
      </c>
      <c r="H1857" s="1">
        <f>SUMIF('Retal Tran Line Item'!E:E,A1857,'Retal Tran Line Item'!B:B)</f>
        <v>10</v>
      </c>
    </row>
    <row r="1858" spans="1:8">
      <c r="A1858" s="1">
        <v>101856</v>
      </c>
      <c r="B1858" s="1">
        <v>762509</v>
      </c>
      <c r="C1858" s="2">
        <v>41525</v>
      </c>
      <c r="D1858" s="1" t="s">
        <v>1993</v>
      </c>
      <c r="E1858" s="6">
        <v>1</v>
      </c>
      <c r="F1858" s="6" t="str">
        <f t="shared" si="56"/>
        <v>September</v>
      </c>
      <c r="G1858" s="6">
        <f t="shared" si="57"/>
        <v>37</v>
      </c>
      <c r="H1858" s="1">
        <f>SUMIF('Retal Tran Line Item'!E:E,A1858,'Retal Tran Line Item'!B:B)</f>
        <v>16</v>
      </c>
    </row>
    <row r="1859" spans="1:8">
      <c r="A1859" s="1">
        <v>101857</v>
      </c>
      <c r="B1859" s="1">
        <v>568217</v>
      </c>
      <c r="C1859" s="2">
        <v>41525</v>
      </c>
      <c r="D1859" s="1" t="s">
        <v>1993</v>
      </c>
      <c r="E1859" s="6">
        <v>2</v>
      </c>
      <c r="F1859" s="6" t="str">
        <f t="shared" ref="F1859:F1922" si="58">TEXT(C1859,"MMMM")</f>
        <v>September</v>
      </c>
      <c r="G1859" s="6">
        <f t="shared" ref="G1859:G1922" si="59">WEEKNUM(C1859)</f>
        <v>37</v>
      </c>
      <c r="H1859" s="1">
        <f>SUMIF('Retal Tran Line Item'!E:E,A1859,'Retal Tran Line Item'!B:B)</f>
        <v>8</v>
      </c>
    </row>
    <row r="1860" spans="1:8">
      <c r="A1860" s="1">
        <v>101858</v>
      </c>
      <c r="B1860" s="1">
        <v>447601</v>
      </c>
      <c r="C1860" s="2">
        <v>41525</v>
      </c>
      <c r="D1860" s="1" t="s">
        <v>1989</v>
      </c>
      <c r="E1860" s="6">
        <v>2</v>
      </c>
      <c r="F1860" s="6" t="str">
        <f t="shared" si="58"/>
        <v>September</v>
      </c>
      <c r="G1860" s="6">
        <f t="shared" si="59"/>
        <v>37</v>
      </c>
      <c r="H1860" s="1">
        <f>SUMIF('Retal Tran Line Item'!E:E,A1860,'Retal Tran Line Item'!B:B)</f>
        <v>27</v>
      </c>
    </row>
    <row r="1861" spans="1:8">
      <c r="A1861" s="1">
        <v>101859</v>
      </c>
      <c r="B1861" s="1">
        <v>269687</v>
      </c>
      <c r="C1861" s="2">
        <v>41525</v>
      </c>
      <c r="D1861" s="1" t="s">
        <v>1989</v>
      </c>
      <c r="E1861" s="6">
        <v>1</v>
      </c>
      <c r="F1861" s="6" t="str">
        <f t="shared" si="58"/>
        <v>September</v>
      </c>
      <c r="G1861" s="6">
        <f t="shared" si="59"/>
        <v>37</v>
      </c>
      <c r="H1861" s="1">
        <f>SUMIF('Retal Tran Line Item'!E:E,A1861,'Retal Tran Line Item'!B:B)</f>
        <v>7</v>
      </c>
    </row>
    <row r="1862" spans="1:8">
      <c r="A1862" s="1">
        <v>101860</v>
      </c>
      <c r="B1862" s="1">
        <v>796796</v>
      </c>
      <c r="C1862" s="2">
        <v>41525</v>
      </c>
      <c r="D1862" s="1" t="s">
        <v>1992</v>
      </c>
      <c r="E1862" s="6">
        <v>2</v>
      </c>
      <c r="F1862" s="6" t="str">
        <f t="shared" si="58"/>
        <v>September</v>
      </c>
      <c r="G1862" s="6">
        <f t="shared" si="59"/>
        <v>37</v>
      </c>
      <c r="H1862" s="1">
        <f>SUMIF('Retal Tran Line Item'!E:E,A1862,'Retal Tran Line Item'!B:B)</f>
        <v>13</v>
      </c>
    </row>
    <row r="1863" spans="1:8">
      <c r="A1863" s="1">
        <v>101861</v>
      </c>
      <c r="B1863" s="1">
        <v>429748</v>
      </c>
      <c r="C1863" s="2">
        <v>41526</v>
      </c>
      <c r="D1863" s="1" t="s">
        <v>1994</v>
      </c>
      <c r="E1863" s="6">
        <v>1</v>
      </c>
      <c r="F1863" s="6" t="str">
        <f t="shared" si="58"/>
        <v>September</v>
      </c>
      <c r="G1863" s="6">
        <f t="shared" si="59"/>
        <v>37</v>
      </c>
      <c r="H1863" s="1">
        <f>SUMIF('Retal Tran Line Item'!E:E,A1863,'Retal Tran Line Item'!B:B)</f>
        <v>2</v>
      </c>
    </row>
    <row r="1864" spans="1:8">
      <c r="A1864" s="1">
        <v>101862</v>
      </c>
      <c r="B1864" s="1">
        <v>785444</v>
      </c>
      <c r="C1864" s="2">
        <v>41526</v>
      </c>
      <c r="D1864" s="1" t="s">
        <v>1992</v>
      </c>
      <c r="E1864" s="6">
        <v>1</v>
      </c>
      <c r="F1864" s="6" t="str">
        <f t="shared" si="58"/>
        <v>September</v>
      </c>
      <c r="G1864" s="6">
        <f t="shared" si="59"/>
        <v>37</v>
      </c>
      <c r="H1864" s="1">
        <f>SUMIF('Retal Tran Line Item'!E:E,A1864,'Retal Tran Line Item'!B:B)</f>
        <v>16</v>
      </c>
    </row>
    <row r="1865" spans="1:8">
      <c r="A1865" s="1">
        <v>101863</v>
      </c>
      <c r="B1865" s="1">
        <v>346006</v>
      </c>
      <c r="C1865" s="2">
        <v>41526</v>
      </c>
      <c r="D1865" s="1" t="s">
        <v>1989</v>
      </c>
      <c r="E1865" s="6">
        <v>1</v>
      </c>
      <c r="F1865" s="6" t="str">
        <f t="shared" si="58"/>
        <v>September</v>
      </c>
      <c r="G1865" s="6">
        <f t="shared" si="59"/>
        <v>37</v>
      </c>
      <c r="H1865" s="1">
        <f>SUMIF('Retal Tran Line Item'!E:E,A1865,'Retal Tran Line Item'!B:B)</f>
        <v>7</v>
      </c>
    </row>
    <row r="1866" spans="1:8">
      <c r="A1866" s="1">
        <v>101864</v>
      </c>
      <c r="B1866" s="1">
        <v>646700</v>
      </c>
      <c r="C1866" s="2">
        <v>41526</v>
      </c>
      <c r="D1866" s="1" t="s">
        <v>1989</v>
      </c>
      <c r="E1866" s="6">
        <v>1</v>
      </c>
      <c r="F1866" s="6" t="str">
        <f t="shared" si="58"/>
        <v>September</v>
      </c>
      <c r="G1866" s="6">
        <f t="shared" si="59"/>
        <v>37</v>
      </c>
      <c r="H1866" s="1">
        <f>SUMIF('Retal Tran Line Item'!E:E,A1866,'Retal Tran Line Item'!B:B)</f>
        <v>8</v>
      </c>
    </row>
    <row r="1867" spans="1:8">
      <c r="A1867" s="1">
        <v>101865</v>
      </c>
      <c r="B1867" s="1">
        <v>590616</v>
      </c>
      <c r="C1867" s="2">
        <v>41526</v>
      </c>
      <c r="D1867" s="1" t="s">
        <v>1993</v>
      </c>
      <c r="E1867" s="6">
        <v>1</v>
      </c>
      <c r="F1867" s="6" t="str">
        <f t="shared" si="58"/>
        <v>September</v>
      </c>
      <c r="G1867" s="6">
        <f t="shared" si="59"/>
        <v>37</v>
      </c>
      <c r="H1867" s="1">
        <f>SUMIF('Retal Tran Line Item'!E:E,A1867,'Retal Tran Line Item'!B:B)</f>
        <v>10</v>
      </c>
    </row>
    <row r="1868" spans="1:8">
      <c r="A1868" s="1">
        <v>101866</v>
      </c>
      <c r="B1868" s="1">
        <v>157695</v>
      </c>
      <c r="C1868" s="2">
        <v>41526</v>
      </c>
      <c r="D1868" s="1" t="s">
        <v>1994</v>
      </c>
      <c r="E1868" s="6">
        <v>2</v>
      </c>
      <c r="F1868" s="6" t="str">
        <f t="shared" si="58"/>
        <v>September</v>
      </c>
      <c r="G1868" s="6">
        <f t="shared" si="59"/>
        <v>37</v>
      </c>
      <c r="H1868" s="1">
        <f>SUMIF('Retal Tran Line Item'!E:E,A1868,'Retal Tran Line Item'!B:B)</f>
        <v>8</v>
      </c>
    </row>
    <row r="1869" spans="1:8">
      <c r="A1869" s="1">
        <v>101867</v>
      </c>
      <c r="B1869" s="1">
        <v>516619</v>
      </c>
      <c r="C1869" s="2">
        <v>41526</v>
      </c>
      <c r="D1869" s="1" t="s">
        <v>1993</v>
      </c>
      <c r="E1869" s="6">
        <v>1</v>
      </c>
      <c r="F1869" s="6" t="str">
        <f t="shared" si="58"/>
        <v>September</v>
      </c>
      <c r="G1869" s="6">
        <f t="shared" si="59"/>
        <v>37</v>
      </c>
      <c r="H1869" s="1">
        <f>SUMIF('Retal Tran Line Item'!E:E,A1869,'Retal Tran Line Item'!B:B)</f>
        <v>25</v>
      </c>
    </row>
    <row r="1870" spans="1:8">
      <c r="A1870" s="1">
        <v>101868</v>
      </c>
      <c r="B1870" s="1">
        <v>520377</v>
      </c>
      <c r="C1870" s="2">
        <v>41526</v>
      </c>
      <c r="D1870" s="1" t="s">
        <v>1993</v>
      </c>
      <c r="E1870" s="6">
        <v>1</v>
      </c>
      <c r="F1870" s="6" t="str">
        <f t="shared" si="58"/>
        <v>September</v>
      </c>
      <c r="G1870" s="6">
        <f t="shared" si="59"/>
        <v>37</v>
      </c>
      <c r="H1870" s="1">
        <f>SUMIF('Retal Tran Line Item'!E:E,A1870,'Retal Tran Line Item'!B:B)</f>
        <v>3</v>
      </c>
    </row>
    <row r="1871" spans="1:8">
      <c r="A1871" s="1">
        <v>101869</v>
      </c>
      <c r="B1871" s="1">
        <v>915766</v>
      </c>
      <c r="C1871" s="2">
        <v>41526</v>
      </c>
      <c r="D1871" s="1" t="s">
        <v>1992</v>
      </c>
      <c r="E1871" s="6">
        <v>2</v>
      </c>
      <c r="F1871" s="6" t="str">
        <f t="shared" si="58"/>
        <v>September</v>
      </c>
      <c r="G1871" s="6">
        <f t="shared" si="59"/>
        <v>37</v>
      </c>
      <c r="H1871" s="1">
        <f>SUMIF('Retal Tran Line Item'!E:E,A1871,'Retal Tran Line Item'!B:B)</f>
        <v>3</v>
      </c>
    </row>
    <row r="1872" spans="1:8">
      <c r="A1872" s="1">
        <v>101870</v>
      </c>
      <c r="B1872" s="1">
        <v>832914</v>
      </c>
      <c r="C1872" s="2">
        <v>41526</v>
      </c>
      <c r="D1872" s="1" t="s">
        <v>1992</v>
      </c>
      <c r="E1872" s="6">
        <v>2</v>
      </c>
      <c r="F1872" s="6" t="str">
        <f t="shared" si="58"/>
        <v>September</v>
      </c>
      <c r="G1872" s="6">
        <f t="shared" si="59"/>
        <v>37</v>
      </c>
      <c r="H1872" s="1">
        <f>SUMIF('Retal Tran Line Item'!E:E,A1872,'Retal Tran Line Item'!B:B)</f>
        <v>6</v>
      </c>
    </row>
    <row r="1873" spans="1:8">
      <c r="A1873" s="1">
        <v>101871</v>
      </c>
      <c r="B1873" s="1">
        <v>175940</v>
      </c>
      <c r="C1873" s="2">
        <v>41526</v>
      </c>
      <c r="D1873" s="1" t="s">
        <v>1993</v>
      </c>
      <c r="E1873" s="6">
        <v>2</v>
      </c>
      <c r="F1873" s="6" t="str">
        <f t="shared" si="58"/>
        <v>September</v>
      </c>
      <c r="G1873" s="6">
        <f t="shared" si="59"/>
        <v>37</v>
      </c>
      <c r="H1873" s="1">
        <f>SUMIF('Retal Tran Line Item'!E:E,A1873,'Retal Tran Line Item'!B:B)</f>
        <v>28</v>
      </c>
    </row>
    <row r="1874" spans="1:8">
      <c r="A1874" s="1">
        <v>101872</v>
      </c>
      <c r="B1874" s="1">
        <v>941876</v>
      </c>
      <c r="C1874" s="2">
        <v>41526</v>
      </c>
      <c r="D1874" s="1" t="s">
        <v>1993</v>
      </c>
      <c r="E1874" s="6">
        <v>1</v>
      </c>
      <c r="F1874" s="6" t="str">
        <f t="shared" si="58"/>
        <v>September</v>
      </c>
      <c r="G1874" s="6">
        <f t="shared" si="59"/>
        <v>37</v>
      </c>
      <c r="H1874" s="1">
        <f>SUMIF('Retal Tran Line Item'!E:E,A1874,'Retal Tran Line Item'!B:B)</f>
        <v>5</v>
      </c>
    </row>
    <row r="1875" spans="1:8">
      <c r="A1875" s="1">
        <v>101873</v>
      </c>
      <c r="B1875" s="1">
        <v>347659</v>
      </c>
      <c r="C1875" s="2">
        <v>41526</v>
      </c>
      <c r="D1875" s="1" t="s">
        <v>1992</v>
      </c>
      <c r="E1875" s="6">
        <v>1</v>
      </c>
      <c r="F1875" s="6" t="str">
        <f t="shared" si="58"/>
        <v>September</v>
      </c>
      <c r="G1875" s="6">
        <f t="shared" si="59"/>
        <v>37</v>
      </c>
      <c r="H1875" s="1">
        <f>SUMIF('Retal Tran Line Item'!E:E,A1875,'Retal Tran Line Item'!B:B)</f>
        <v>18</v>
      </c>
    </row>
    <row r="1876" spans="1:8">
      <c r="A1876" s="1">
        <v>101874</v>
      </c>
      <c r="B1876" s="1">
        <v>925565</v>
      </c>
      <c r="C1876" s="2">
        <v>41526</v>
      </c>
      <c r="D1876" s="1" t="s">
        <v>1992</v>
      </c>
      <c r="E1876" s="6">
        <v>1</v>
      </c>
      <c r="F1876" s="6" t="str">
        <f t="shared" si="58"/>
        <v>September</v>
      </c>
      <c r="G1876" s="6">
        <f t="shared" si="59"/>
        <v>37</v>
      </c>
      <c r="H1876" s="1">
        <f>SUMIF('Retal Tran Line Item'!E:E,A1876,'Retal Tran Line Item'!B:B)</f>
        <v>5</v>
      </c>
    </row>
    <row r="1877" spans="1:8">
      <c r="A1877" s="1">
        <v>101875</v>
      </c>
      <c r="B1877" s="1">
        <v>822823</v>
      </c>
      <c r="C1877" s="2">
        <v>41526</v>
      </c>
      <c r="D1877" s="1" t="s">
        <v>1994</v>
      </c>
      <c r="E1877" s="6">
        <v>1</v>
      </c>
      <c r="F1877" s="6" t="str">
        <f t="shared" si="58"/>
        <v>September</v>
      </c>
      <c r="G1877" s="6">
        <f t="shared" si="59"/>
        <v>37</v>
      </c>
      <c r="H1877" s="1">
        <f>SUMIF('Retal Tran Line Item'!E:E,A1877,'Retal Tran Line Item'!B:B)</f>
        <v>18</v>
      </c>
    </row>
    <row r="1878" spans="1:8">
      <c r="A1878" s="1">
        <v>101876</v>
      </c>
      <c r="B1878" s="1">
        <v>270853</v>
      </c>
      <c r="C1878" s="2">
        <v>41526</v>
      </c>
      <c r="D1878" s="1" t="s">
        <v>1992</v>
      </c>
      <c r="E1878" s="6">
        <v>2</v>
      </c>
      <c r="F1878" s="6" t="str">
        <f t="shared" si="58"/>
        <v>September</v>
      </c>
      <c r="G1878" s="6">
        <f t="shared" si="59"/>
        <v>37</v>
      </c>
      <c r="H1878" s="1">
        <f>SUMIF('Retal Tran Line Item'!E:E,A1878,'Retal Tran Line Item'!B:B)</f>
        <v>10</v>
      </c>
    </row>
    <row r="1879" spans="1:8">
      <c r="A1879" s="1">
        <v>101877</v>
      </c>
      <c r="B1879" s="1">
        <v>173125</v>
      </c>
      <c r="C1879" s="2">
        <v>41526</v>
      </c>
      <c r="D1879" s="1" t="s">
        <v>1993</v>
      </c>
      <c r="E1879" s="6">
        <v>1</v>
      </c>
      <c r="F1879" s="6" t="str">
        <f t="shared" si="58"/>
        <v>September</v>
      </c>
      <c r="G1879" s="6">
        <f t="shared" si="59"/>
        <v>37</v>
      </c>
      <c r="H1879" s="1">
        <f>SUMIF('Retal Tran Line Item'!E:E,A1879,'Retal Tran Line Item'!B:B)</f>
        <v>19</v>
      </c>
    </row>
    <row r="1880" spans="1:8">
      <c r="A1880" s="1">
        <v>101878</v>
      </c>
      <c r="B1880" s="1">
        <v>454143</v>
      </c>
      <c r="C1880" s="2">
        <v>41526</v>
      </c>
      <c r="D1880" s="1" t="s">
        <v>1993</v>
      </c>
      <c r="E1880" s="6">
        <v>1</v>
      </c>
      <c r="F1880" s="6" t="str">
        <f t="shared" si="58"/>
        <v>September</v>
      </c>
      <c r="G1880" s="6">
        <f t="shared" si="59"/>
        <v>37</v>
      </c>
      <c r="H1880" s="1">
        <f>SUMIF('Retal Tran Line Item'!E:E,A1880,'Retal Tran Line Item'!B:B)</f>
        <v>17</v>
      </c>
    </row>
    <row r="1881" spans="1:8">
      <c r="A1881" s="1">
        <v>101879</v>
      </c>
      <c r="B1881" s="1">
        <v>994185</v>
      </c>
      <c r="C1881" s="2">
        <v>41526</v>
      </c>
      <c r="D1881" s="1" t="s">
        <v>1992</v>
      </c>
      <c r="E1881" s="6">
        <v>2</v>
      </c>
      <c r="F1881" s="6" t="str">
        <f t="shared" si="58"/>
        <v>September</v>
      </c>
      <c r="G1881" s="6">
        <f t="shared" si="59"/>
        <v>37</v>
      </c>
      <c r="H1881" s="1">
        <f>SUMIF('Retal Tran Line Item'!E:E,A1881,'Retal Tran Line Item'!B:B)</f>
        <v>2</v>
      </c>
    </row>
    <row r="1882" spans="1:8">
      <c r="A1882" s="1">
        <v>101880</v>
      </c>
      <c r="B1882" s="1">
        <v>143878</v>
      </c>
      <c r="C1882" s="2">
        <v>41526</v>
      </c>
      <c r="D1882" s="1" t="s">
        <v>1992</v>
      </c>
      <c r="E1882" s="6">
        <v>2</v>
      </c>
      <c r="F1882" s="6" t="str">
        <f t="shared" si="58"/>
        <v>September</v>
      </c>
      <c r="G1882" s="6">
        <f t="shared" si="59"/>
        <v>37</v>
      </c>
      <c r="H1882" s="1">
        <f>SUMIF('Retal Tran Line Item'!E:E,A1882,'Retal Tran Line Item'!B:B)</f>
        <v>5</v>
      </c>
    </row>
    <row r="1883" spans="1:8">
      <c r="A1883" s="1">
        <v>101881</v>
      </c>
      <c r="B1883" s="1">
        <v>999915</v>
      </c>
      <c r="C1883" s="2">
        <v>41526</v>
      </c>
      <c r="D1883" s="1" t="s">
        <v>1989</v>
      </c>
      <c r="E1883" s="6">
        <v>2</v>
      </c>
      <c r="F1883" s="6" t="str">
        <f t="shared" si="58"/>
        <v>September</v>
      </c>
      <c r="G1883" s="6">
        <f t="shared" si="59"/>
        <v>37</v>
      </c>
      <c r="H1883" s="1">
        <f>SUMIF('Retal Tran Line Item'!E:E,A1883,'Retal Tran Line Item'!B:B)</f>
        <v>8</v>
      </c>
    </row>
    <row r="1884" spans="1:8">
      <c r="A1884" s="1">
        <v>101882</v>
      </c>
      <c r="B1884" s="1">
        <v>730305</v>
      </c>
      <c r="C1884" s="2">
        <v>41527</v>
      </c>
      <c r="D1884" s="1" t="s">
        <v>1992</v>
      </c>
      <c r="E1884" s="6">
        <v>2</v>
      </c>
      <c r="F1884" s="6" t="str">
        <f t="shared" si="58"/>
        <v>September</v>
      </c>
      <c r="G1884" s="6">
        <f t="shared" si="59"/>
        <v>37</v>
      </c>
      <c r="H1884" s="1">
        <f>SUMIF('Retal Tran Line Item'!E:E,A1884,'Retal Tran Line Item'!B:B)</f>
        <v>3</v>
      </c>
    </row>
    <row r="1885" spans="1:8">
      <c r="A1885" s="1">
        <v>101883</v>
      </c>
      <c r="B1885" s="1">
        <v>671101</v>
      </c>
      <c r="C1885" s="2">
        <v>41527</v>
      </c>
      <c r="D1885" s="1" t="s">
        <v>1994</v>
      </c>
      <c r="E1885" s="6">
        <v>2</v>
      </c>
      <c r="F1885" s="6" t="str">
        <f t="shared" si="58"/>
        <v>September</v>
      </c>
      <c r="G1885" s="6">
        <f t="shared" si="59"/>
        <v>37</v>
      </c>
      <c r="H1885" s="1">
        <f>SUMIF('Retal Tran Line Item'!E:E,A1885,'Retal Tran Line Item'!B:B)</f>
        <v>2</v>
      </c>
    </row>
    <row r="1886" spans="1:8">
      <c r="A1886" s="1">
        <v>101884</v>
      </c>
      <c r="B1886" s="1">
        <v>427826</v>
      </c>
      <c r="C1886" s="2">
        <v>41527</v>
      </c>
      <c r="D1886" s="1" t="s">
        <v>1992</v>
      </c>
      <c r="E1886" s="6">
        <v>1</v>
      </c>
      <c r="F1886" s="6" t="str">
        <f t="shared" si="58"/>
        <v>September</v>
      </c>
      <c r="G1886" s="6">
        <f t="shared" si="59"/>
        <v>37</v>
      </c>
      <c r="H1886" s="1">
        <f>SUMIF('Retal Tran Line Item'!E:E,A1886,'Retal Tran Line Item'!B:B)</f>
        <v>5</v>
      </c>
    </row>
    <row r="1887" spans="1:8">
      <c r="A1887" s="1">
        <v>101885</v>
      </c>
      <c r="B1887" s="1">
        <v>412235</v>
      </c>
      <c r="C1887" s="2">
        <v>41527</v>
      </c>
      <c r="D1887" s="1" t="s">
        <v>1993</v>
      </c>
      <c r="E1887" s="6">
        <v>1</v>
      </c>
      <c r="F1887" s="6" t="str">
        <f t="shared" si="58"/>
        <v>September</v>
      </c>
      <c r="G1887" s="6">
        <f t="shared" si="59"/>
        <v>37</v>
      </c>
      <c r="H1887" s="1">
        <f>SUMIF('Retal Tran Line Item'!E:E,A1887,'Retal Tran Line Item'!B:B)</f>
        <v>4</v>
      </c>
    </row>
    <row r="1888" spans="1:8">
      <c r="A1888" s="1">
        <v>101886</v>
      </c>
      <c r="B1888" s="1">
        <v>717234</v>
      </c>
      <c r="C1888" s="2">
        <v>41527</v>
      </c>
      <c r="D1888" s="1" t="s">
        <v>1994</v>
      </c>
      <c r="E1888" s="6">
        <v>1</v>
      </c>
      <c r="F1888" s="6" t="str">
        <f t="shared" si="58"/>
        <v>September</v>
      </c>
      <c r="G1888" s="6">
        <f t="shared" si="59"/>
        <v>37</v>
      </c>
      <c r="H1888" s="1">
        <f>SUMIF('Retal Tran Line Item'!E:E,A1888,'Retal Tran Line Item'!B:B)</f>
        <v>10</v>
      </c>
    </row>
    <row r="1889" spans="1:8">
      <c r="A1889" s="1">
        <v>101887</v>
      </c>
      <c r="B1889" s="1">
        <v>345748</v>
      </c>
      <c r="C1889" s="2">
        <v>41527</v>
      </c>
      <c r="D1889" s="1" t="s">
        <v>1992</v>
      </c>
      <c r="E1889" s="6">
        <v>2</v>
      </c>
      <c r="F1889" s="6" t="str">
        <f t="shared" si="58"/>
        <v>September</v>
      </c>
      <c r="G1889" s="6">
        <f t="shared" si="59"/>
        <v>37</v>
      </c>
      <c r="H1889" s="1">
        <f>SUMIF('Retal Tran Line Item'!E:E,A1889,'Retal Tran Line Item'!B:B)</f>
        <v>12</v>
      </c>
    </row>
    <row r="1890" spans="1:8">
      <c r="A1890" s="1">
        <v>101888</v>
      </c>
      <c r="B1890" s="1">
        <v>110363</v>
      </c>
      <c r="C1890" s="2">
        <v>41527</v>
      </c>
      <c r="D1890" s="1" t="s">
        <v>1994</v>
      </c>
      <c r="E1890" s="6">
        <v>1</v>
      </c>
      <c r="F1890" s="6" t="str">
        <f t="shared" si="58"/>
        <v>September</v>
      </c>
      <c r="G1890" s="6">
        <f t="shared" si="59"/>
        <v>37</v>
      </c>
      <c r="H1890" s="1">
        <f>SUMIF('Retal Tran Line Item'!E:E,A1890,'Retal Tran Line Item'!B:B)</f>
        <v>7</v>
      </c>
    </row>
    <row r="1891" spans="1:8">
      <c r="A1891" s="1">
        <v>101889</v>
      </c>
      <c r="B1891" s="1">
        <v>448739</v>
      </c>
      <c r="C1891" s="2">
        <v>41527</v>
      </c>
      <c r="D1891" s="1" t="s">
        <v>1989</v>
      </c>
      <c r="E1891" s="6">
        <v>2</v>
      </c>
      <c r="F1891" s="6" t="str">
        <f t="shared" si="58"/>
        <v>September</v>
      </c>
      <c r="G1891" s="6">
        <f t="shared" si="59"/>
        <v>37</v>
      </c>
      <c r="H1891" s="1">
        <f>SUMIF('Retal Tran Line Item'!E:E,A1891,'Retal Tran Line Item'!B:B)</f>
        <v>19</v>
      </c>
    </row>
    <row r="1892" spans="1:8">
      <c r="A1892" s="1">
        <v>101890</v>
      </c>
      <c r="B1892" s="1">
        <v>772690</v>
      </c>
      <c r="C1892" s="2">
        <v>41527</v>
      </c>
      <c r="D1892" s="1" t="s">
        <v>1992</v>
      </c>
      <c r="E1892" s="6">
        <v>2</v>
      </c>
      <c r="F1892" s="6" t="str">
        <f t="shared" si="58"/>
        <v>September</v>
      </c>
      <c r="G1892" s="6">
        <f t="shared" si="59"/>
        <v>37</v>
      </c>
      <c r="H1892" s="1">
        <f>SUMIF('Retal Tran Line Item'!E:E,A1892,'Retal Tran Line Item'!B:B)</f>
        <v>7</v>
      </c>
    </row>
    <row r="1893" spans="1:8">
      <c r="A1893" s="1">
        <v>101891</v>
      </c>
      <c r="B1893" s="1">
        <v>485769</v>
      </c>
      <c r="C1893" s="2">
        <v>41527</v>
      </c>
      <c r="D1893" s="1" t="s">
        <v>1989</v>
      </c>
      <c r="E1893" s="6">
        <v>2</v>
      </c>
      <c r="F1893" s="6" t="str">
        <f t="shared" si="58"/>
        <v>September</v>
      </c>
      <c r="G1893" s="6">
        <f t="shared" si="59"/>
        <v>37</v>
      </c>
      <c r="H1893" s="1">
        <f>SUMIF('Retal Tran Line Item'!E:E,A1893,'Retal Tran Line Item'!B:B)</f>
        <v>7</v>
      </c>
    </row>
    <row r="1894" spans="1:8">
      <c r="A1894" s="1">
        <v>101892</v>
      </c>
      <c r="B1894" s="1">
        <v>744648</v>
      </c>
      <c r="C1894" s="2">
        <v>41527</v>
      </c>
      <c r="D1894" s="1" t="s">
        <v>1992</v>
      </c>
      <c r="E1894" s="6">
        <v>2</v>
      </c>
      <c r="F1894" s="6" t="str">
        <f t="shared" si="58"/>
        <v>September</v>
      </c>
      <c r="G1894" s="6">
        <f t="shared" si="59"/>
        <v>37</v>
      </c>
      <c r="H1894" s="1">
        <f>SUMIF('Retal Tran Line Item'!E:E,A1894,'Retal Tran Line Item'!B:B)</f>
        <v>17</v>
      </c>
    </row>
    <row r="1895" spans="1:8">
      <c r="A1895" s="1">
        <v>101893</v>
      </c>
      <c r="B1895" s="1">
        <v>487346</v>
      </c>
      <c r="C1895" s="2">
        <v>41527</v>
      </c>
      <c r="D1895" s="1" t="s">
        <v>1992</v>
      </c>
      <c r="E1895" s="6">
        <v>2</v>
      </c>
      <c r="F1895" s="6" t="str">
        <f t="shared" si="58"/>
        <v>September</v>
      </c>
      <c r="G1895" s="6">
        <f t="shared" si="59"/>
        <v>37</v>
      </c>
      <c r="H1895" s="1">
        <f>SUMIF('Retal Tran Line Item'!E:E,A1895,'Retal Tran Line Item'!B:B)</f>
        <v>14</v>
      </c>
    </row>
    <row r="1896" spans="1:8">
      <c r="A1896" s="1">
        <v>101894</v>
      </c>
      <c r="B1896" s="1">
        <v>739393</v>
      </c>
      <c r="C1896" s="2">
        <v>41527</v>
      </c>
      <c r="D1896" s="1" t="s">
        <v>1993</v>
      </c>
      <c r="E1896" s="6">
        <v>2</v>
      </c>
      <c r="F1896" s="6" t="str">
        <f t="shared" si="58"/>
        <v>September</v>
      </c>
      <c r="G1896" s="6">
        <f t="shared" si="59"/>
        <v>37</v>
      </c>
      <c r="H1896" s="1">
        <f>SUMIF('Retal Tran Line Item'!E:E,A1896,'Retal Tran Line Item'!B:B)</f>
        <v>4</v>
      </c>
    </row>
    <row r="1897" spans="1:8">
      <c r="A1897" s="1">
        <v>101895</v>
      </c>
      <c r="B1897" s="1">
        <v>659695</v>
      </c>
      <c r="C1897" s="2">
        <v>41527</v>
      </c>
      <c r="D1897" s="1" t="s">
        <v>1992</v>
      </c>
      <c r="E1897" s="6">
        <v>2</v>
      </c>
      <c r="F1897" s="6" t="str">
        <f t="shared" si="58"/>
        <v>September</v>
      </c>
      <c r="G1897" s="6">
        <f t="shared" si="59"/>
        <v>37</v>
      </c>
      <c r="H1897" s="1">
        <f>SUMIF('Retal Tran Line Item'!E:E,A1897,'Retal Tran Line Item'!B:B)</f>
        <v>16</v>
      </c>
    </row>
    <row r="1898" spans="1:8">
      <c r="A1898" s="1">
        <v>101896</v>
      </c>
      <c r="B1898" s="1">
        <v>226909</v>
      </c>
      <c r="C1898" s="2">
        <v>41527</v>
      </c>
      <c r="D1898" s="1" t="s">
        <v>1993</v>
      </c>
      <c r="E1898" s="6">
        <v>2</v>
      </c>
      <c r="F1898" s="6" t="str">
        <f t="shared" si="58"/>
        <v>September</v>
      </c>
      <c r="G1898" s="6">
        <f t="shared" si="59"/>
        <v>37</v>
      </c>
      <c r="H1898" s="1">
        <f>SUMIF('Retal Tran Line Item'!E:E,A1898,'Retal Tran Line Item'!B:B)</f>
        <v>10</v>
      </c>
    </row>
    <row r="1899" spans="1:8">
      <c r="A1899" s="1">
        <v>101897</v>
      </c>
      <c r="B1899" s="1">
        <v>301793</v>
      </c>
      <c r="C1899" s="2">
        <v>41527</v>
      </c>
      <c r="D1899" s="1" t="s">
        <v>1989</v>
      </c>
      <c r="E1899" s="6">
        <v>2</v>
      </c>
      <c r="F1899" s="6" t="str">
        <f t="shared" si="58"/>
        <v>September</v>
      </c>
      <c r="G1899" s="6">
        <f t="shared" si="59"/>
        <v>37</v>
      </c>
      <c r="H1899" s="1">
        <f>SUMIF('Retal Tran Line Item'!E:E,A1899,'Retal Tran Line Item'!B:B)</f>
        <v>14</v>
      </c>
    </row>
    <row r="1900" spans="1:8">
      <c r="A1900" s="1">
        <v>101898</v>
      </c>
      <c r="B1900" s="1">
        <v>964619</v>
      </c>
      <c r="C1900" s="2">
        <v>41528</v>
      </c>
      <c r="D1900" s="1" t="s">
        <v>1994</v>
      </c>
      <c r="E1900" s="6">
        <v>1</v>
      </c>
      <c r="F1900" s="6" t="str">
        <f t="shared" si="58"/>
        <v>September</v>
      </c>
      <c r="G1900" s="6">
        <f t="shared" si="59"/>
        <v>37</v>
      </c>
      <c r="H1900" s="1">
        <f>SUMIF('Retal Tran Line Item'!E:E,A1900,'Retal Tran Line Item'!B:B)</f>
        <v>13</v>
      </c>
    </row>
    <row r="1901" spans="1:8">
      <c r="A1901" s="1">
        <v>101899</v>
      </c>
      <c r="B1901" s="1">
        <v>817159</v>
      </c>
      <c r="C1901" s="2">
        <v>41528</v>
      </c>
      <c r="D1901" s="1" t="s">
        <v>1994</v>
      </c>
      <c r="E1901" s="6">
        <v>1</v>
      </c>
      <c r="F1901" s="6" t="str">
        <f t="shared" si="58"/>
        <v>September</v>
      </c>
      <c r="G1901" s="6">
        <f t="shared" si="59"/>
        <v>37</v>
      </c>
      <c r="H1901" s="1">
        <f>SUMIF('Retal Tran Line Item'!E:E,A1901,'Retal Tran Line Item'!B:B)</f>
        <v>8</v>
      </c>
    </row>
    <row r="1902" spans="1:8">
      <c r="A1902" s="1">
        <v>101900</v>
      </c>
      <c r="B1902" s="1">
        <v>442254</v>
      </c>
      <c r="C1902" s="2">
        <v>41528</v>
      </c>
      <c r="D1902" s="1" t="s">
        <v>1989</v>
      </c>
      <c r="E1902" s="6">
        <v>1</v>
      </c>
      <c r="F1902" s="6" t="str">
        <f t="shared" si="58"/>
        <v>September</v>
      </c>
      <c r="G1902" s="6">
        <f t="shared" si="59"/>
        <v>37</v>
      </c>
      <c r="H1902" s="1">
        <f>SUMIF('Retal Tran Line Item'!E:E,A1902,'Retal Tran Line Item'!B:B)</f>
        <v>15</v>
      </c>
    </row>
    <row r="1903" spans="1:8">
      <c r="A1903" s="1">
        <v>101901</v>
      </c>
      <c r="B1903" s="1">
        <v>147216</v>
      </c>
      <c r="C1903" s="2">
        <v>41528</v>
      </c>
      <c r="D1903" s="1" t="s">
        <v>1993</v>
      </c>
      <c r="E1903" s="6">
        <v>2</v>
      </c>
      <c r="F1903" s="6" t="str">
        <f t="shared" si="58"/>
        <v>September</v>
      </c>
      <c r="G1903" s="6">
        <f t="shared" si="59"/>
        <v>37</v>
      </c>
      <c r="H1903" s="1">
        <f>SUMIF('Retal Tran Line Item'!E:E,A1903,'Retal Tran Line Item'!B:B)</f>
        <v>12</v>
      </c>
    </row>
    <row r="1904" spans="1:8">
      <c r="A1904" s="1">
        <v>101902</v>
      </c>
      <c r="B1904" s="1">
        <v>884607</v>
      </c>
      <c r="C1904" s="2">
        <v>41528</v>
      </c>
      <c r="D1904" s="1" t="s">
        <v>1993</v>
      </c>
      <c r="E1904" s="6">
        <v>1</v>
      </c>
      <c r="F1904" s="6" t="str">
        <f t="shared" si="58"/>
        <v>September</v>
      </c>
      <c r="G1904" s="6">
        <f t="shared" si="59"/>
        <v>37</v>
      </c>
      <c r="H1904" s="1">
        <f>SUMIF('Retal Tran Line Item'!E:E,A1904,'Retal Tran Line Item'!B:B)</f>
        <v>9</v>
      </c>
    </row>
    <row r="1905" spans="1:8">
      <c r="A1905" s="1">
        <v>101903</v>
      </c>
      <c r="B1905" s="1">
        <v>739393</v>
      </c>
      <c r="C1905" s="2">
        <v>41528</v>
      </c>
      <c r="D1905" s="1" t="s">
        <v>1993</v>
      </c>
      <c r="E1905" s="6">
        <v>1</v>
      </c>
      <c r="F1905" s="6" t="str">
        <f t="shared" si="58"/>
        <v>September</v>
      </c>
      <c r="G1905" s="6">
        <f t="shared" si="59"/>
        <v>37</v>
      </c>
      <c r="H1905" s="1">
        <f>SUMIF('Retal Tran Line Item'!E:E,A1905,'Retal Tran Line Item'!B:B)</f>
        <v>13</v>
      </c>
    </row>
    <row r="1906" spans="1:8">
      <c r="A1906" s="1">
        <v>101904</v>
      </c>
      <c r="B1906" s="1">
        <v>929344</v>
      </c>
      <c r="C1906" s="2">
        <v>41528</v>
      </c>
      <c r="D1906" s="1" t="s">
        <v>1992</v>
      </c>
      <c r="E1906" s="6">
        <v>2</v>
      </c>
      <c r="F1906" s="6" t="str">
        <f t="shared" si="58"/>
        <v>September</v>
      </c>
      <c r="G1906" s="6">
        <f t="shared" si="59"/>
        <v>37</v>
      </c>
      <c r="H1906" s="1">
        <f>SUMIF('Retal Tran Line Item'!E:E,A1906,'Retal Tran Line Item'!B:B)</f>
        <v>15</v>
      </c>
    </row>
    <row r="1907" spans="1:8">
      <c r="A1907" s="1">
        <v>101905</v>
      </c>
      <c r="B1907" s="1">
        <v>826590</v>
      </c>
      <c r="C1907" s="2">
        <v>41528</v>
      </c>
      <c r="D1907" s="1" t="s">
        <v>1992</v>
      </c>
      <c r="E1907" s="6">
        <v>1</v>
      </c>
      <c r="F1907" s="6" t="str">
        <f t="shared" si="58"/>
        <v>September</v>
      </c>
      <c r="G1907" s="6">
        <f t="shared" si="59"/>
        <v>37</v>
      </c>
      <c r="H1907" s="1">
        <f>SUMIF('Retal Tran Line Item'!E:E,A1907,'Retal Tran Line Item'!B:B)</f>
        <v>9</v>
      </c>
    </row>
    <row r="1908" spans="1:8">
      <c r="A1908" s="1">
        <v>101906</v>
      </c>
      <c r="B1908" s="1">
        <v>744780</v>
      </c>
      <c r="C1908" s="2">
        <v>41528</v>
      </c>
      <c r="D1908" s="1" t="s">
        <v>1994</v>
      </c>
      <c r="E1908" s="6">
        <v>1</v>
      </c>
      <c r="F1908" s="6" t="str">
        <f t="shared" si="58"/>
        <v>September</v>
      </c>
      <c r="G1908" s="6">
        <f t="shared" si="59"/>
        <v>37</v>
      </c>
      <c r="H1908" s="1">
        <f>SUMIF('Retal Tran Line Item'!E:E,A1908,'Retal Tran Line Item'!B:B)</f>
        <v>15</v>
      </c>
    </row>
    <row r="1909" spans="1:8">
      <c r="A1909" s="1">
        <v>101907</v>
      </c>
      <c r="B1909" s="1">
        <v>622506</v>
      </c>
      <c r="C1909" s="2">
        <v>41528</v>
      </c>
      <c r="D1909" s="1" t="s">
        <v>1993</v>
      </c>
      <c r="E1909" s="6">
        <v>1</v>
      </c>
      <c r="F1909" s="6" t="str">
        <f t="shared" si="58"/>
        <v>September</v>
      </c>
      <c r="G1909" s="6">
        <f t="shared" si="59"/>
        <v>37</v>
      </c>
      <c r="H1909" s="1">
        <f>SUMIF('Retal Tran Line Item'!E:E,A1909,'Retal Tran Line Item'!B:B)</f>
        <v>4</v>
      </c>
    </row>
    <row r="1910" spans="1:8">
      <c r="A1910" s="1">
        <v>101908</v>
      </c>
      <c r="B1910" s="1">
        <v>507743</v>
      </c>
      <c r="C1910" s="2">
        <v>41528</v>
      </c>
      <c r="D1910" s="1" t="s">
        <v>1993</v>
      </c>
      <c r="E1910" s="6">
        <v>1</v>
      </c>
      <c r="F1910" s="6" t="str">
        <f t="shared" si="58"/>
        <v>September</v>
      </c>
      <c r="G1910" s="6">
        <f t="shared" si="59"/>
        <v>37</v>
      </c>
      <c r="H1910" s="1">
        <f>SUMIF('Retal Tran Line Item'!E:E,A1910,'Retal Tran Line Item'!B:B)</f>
        <v>10</v>
      </c>
    </row>
    <row r="1911" spans="1:8">
      <c r="A1911" s="1">
        <v>101909</v>
      </c>
      <c r="B1911" s="1">
        <v>554099</v>
      </c>
      <c r="C1911" s="2">
        <v>41528</v>
      </c>
      <c r="D1911" s="1" t="s">
        <v>1994</v>
      </c>
      <c r="E1911" s="6">
        <v>1</v>
      </c>
      <c r="F1911" s="6" t="str">
        <f t="shared" si="58"/>
        <v>September</v>
      </c>
      <c r="G1911" s="6">
        <f t="shared" si="59"/>
        <v>37</v>
      </c>
      <c r="H1911" s="1">
        <f>SUMIF('Retal Tran Line Item'!E:E,A1911,'Retal Tran Line Item'!B:B)</f>
        <v>10</v>
      </c>
    </row>
    <row r="1912" spans="1:8">
      <c r="A1912" s="1">
        <v>101910</v>
      </c>
      <c r="B1912" s="1">
        <v>393893</v>
      </c>
      <c r="C1912" s="2">
        <v>41528</v>
      </c>
      <c r="D1912" s="1" t="s">
        <v>1992</v>
      </c>
      <c r="E1912" s="6">
        <v>1</v>
      </c>
      <c r="F1912" s="6" t="str">
        <f t="shared" si="58"/>
        <v>September</v>
      </c>
      <c r="G1912" s="6">
        <f t="shared" si="59"/>
        <v>37</v>
      </c>
      <c r="H1912" s="1">
        <f>SUMIF('Retal Tran Line Item'!E:E,A1912,'Retal Tran Line Item'!B:B)</f>
        <v>14</v>
      </c>
    </row>
    <row r="1913" spans="1:8">
      <c r="A1913" s="1">
        <v>101911</v>
      </c>
      <c r="B1913" s="1">
        <v>110363</v>
      </c>
      <c r="C1913" s="2">
        <v>41528</v>
      </c>
      <c r="D1913" s="1" t="s">
        <v>1994</v>
      </c>
      <c r="E1913" s="6">
        <v>2</v>
      </c>
      <c r="F1913" s="6" t="str">
        <f t="shared" si="58"/>
        <v>September</v>
      </c>
      <c r="G1913" s="6">
        <f t="shared" si="59"/>
        <v>37</v>
      </c>
      <c r="H1913" s="1">
        <f>SUMIF('Retal Tran Line Item'!E:E,A1913,'Retal Tran Line Item'!B:B)</f>
        <v>2</v>
      </c>
    </row>
    <row r="1914" spans="1:8">
      <c r="A1914" s="1">
        <v>101912</v>
      </c>
      <c r="B1914" s="1">
        <v>119406</v>
      </c>
      <c r="C1914" s="2">
        <v>41528</v>
      </c>
      <c r="D1914" s="1" t="s">
        <v>1993</v>
      </c>
      <c r="E1914" s="6">
        <v>1</v>
      </c>
      <c r="F1914" s="6" t="str">
        <f t="shared" si="58"/>
        <v>September</v>
      </c>
      <c r="G1914" s="6">
        <f t="shared" si="59"/>
        <v>37</v>
      </c>
      <c r="H1914" s="1">
        <f>SUMIF('Retal Tran Line Item'!E:E,A1914,'Retal Tran Line Item'!B:B)</f>
        <v>15</v>
      </c>
    </row>
    <row r="1915" spans="1:8">
      <c r="A1915" s="1">
        <v>101913</v>
      </c>
      <c r="B1915" s="1">
        <v>393893</v>
      </c>
      <c r="C1915" s="2">
        <v>41528</v>
      </c>
      <c r="D1915" s="1" t="s">
        <v>1992</v>
      </c>
      <c r="E1915" s="6">
        <v>1</v>
      </c>
      <c r="F1915" s="6" t="str">
        <f t="shared" si="58"/>
        <v>September</v>
      </c>
      <c r="G1915" s="6">
        <f t="shared" si="59"/>
        <v>37</v>
      </c>
      <c r="H1915" s="1">
        <f>SUMIF('Retal Tran Line Item'!E:E,A1915,'Retal Tran Line Item'!B:B)</f>
        <v>20</v>
      </c>
    </row>
    <row r="1916" spans="1:8">
      <c r="A1916" s="1">
        <v>101914</v>
      </c>
      <c r="B1916" s="1">
        <v>395125</v>
      </c>
      <c r="C1916" s="2">
        <v>41528</v>
      </c>
      <c r="D1916" s="1" t="s">
        <v>1992</v>
      </c>
      <c r="E1916" s="6">
        <v>1</v>
      </c>
      <c r="F1916" s="6" t="str">
        <f t="shared" si="58"/>
        <v>September</v>
      </c>
      <c r="G1916" s="6">
        <f t="shared" si="59"/>
        <v>37</v>
      </c>
      <c r="H1916" s="1">
        <f>SUMIF('Retal Tran Line Item'!E:E,A1916,'Retal Tran Line Item'!B:B)</f>
        <v>12</v>
      </c>
    </row>
    <row r="1917" spans="1:8">
      <c r="A1917" s="1">
        <v>101915</v>
      </c>
      <c r="B1917" s="1">
        <v>161175</v>
      </c>
      <c r="C1917" s="2">
        <v>41528</v>
      </c>
      <c r="D1917" s="1" t="s">
        <v>1994</v>
      </c>
      <c r="E1917" s="6">
        <v>1</v>
      </c>
      <c r="F1917" s="6" t="str">
        <f t="shared" si="58"/>
        <v>September</v>
      </c>
      <c r="G1917" s="6">
        <f t="shared" si="59"/>
        <v>37</v>
      </c>
      <c r="H1917" s="1">
        <f>SUMIF('Retal Tran Line Item'!E:E,A1917,'Retal Tran Line Item'!B:B)</f>
        <v>6</v>
      </c>
    </row>
    <row r="1918" spans="1:8">
      <c r="A1918" s="1">
        <v>101916</v>
      </c>
      <c r="B1918" s="1">
        <v>678940</v>
      </c>
      <c r="C1918" s="2">
        <v>41529</v>
      </c>
      <c r="D1918" s="1" t="s">
        <v>1994</v>
      </c>
      <c r="E1918" s="6">
        <v>2</v>
      </c>
      <c r="F1918" s="6" t="str">
        <f t="shared" si="58"/>
        <v>September</v>
      </c>
      <c r="G1918" s="6">
        <f t="shared" si="59"/>
        <v>37</v>
      </c>
      <c r="H1918" s="1">
        <f>SUMIF('Retal Tran Line Item'!E:E,A1918,'Retal Tran Line Item'!B:B)</f>
        <v>8</v>
      </c>
    </row>
    <row r="1919" spans="1:8">
      <c r="A1919" s="1">
        <v>101917</v>
      </c>
      <c r="B1919" s="1">
        <v>205927</v>
      </c>
      <c r="C1919" s="2">
        <v>41529</v>
      </c>
      <c r="D1919" s="1" t="s">
        <v>1992</v>
      </c>
      <c r="E1919" s="6">
        <v>1</v>
      </c>
      <c r="F1919" s="6" t="str">
        <f t="shared" si="58"/>
        <v>September</v>
      </c>
      <c r="G1919" s="6">
        <f t="shared" si="59"/>
        <v>37</v>
      </c>
      <c r="H1919" s="1">
        <f>SUMIF('Retal Tran Line Item'!E:E,A1919,'Retal Tran Line Item'!B:B)</f>
        <v>8</v>
      </c>
    </row>
    <row r="1920" spans="1:8">
      <c r="A1920" s="1">
        <v>101918</v>
      </c>
      <c r="B1920" s="1">
        <v>710047</v>
      </c>
      <c r="C1920" s="2">
        <v>41529</v>
      </c>
      <c r="D1920" s="1" t="s">
        <v>1992</v>
      </c>
      <c r="E1920" s="6">
        <v>1</v>
      </c>
      <c r="F1920" s="6" t="str">
        <f t="shared" si="58"/>
        <v>September</v>
      </c>
      <c r="G1920" s="6">
        <f t="shared" si="59"/>
        <v>37</v>
      </c>
      <c r="H1920" s="1">
        <f>SUMIF('Retal Tran Line Item'!E:E,A1920,'Retal Tran Line Item'!B:B)</f>
        <v>11</v>
      </c>
    </row>
    <row r="1921" spans="1:8">
      <c r="A1921" s="1">
        <v>101919</v>
      </c>
      <c r="B1921" s="1">
        <v>412235</v>
      </c>
      <c r="C1921" s="2">
        <v>41529</v>
      </c>
      <c r="D1921" s="1" t="s">
        <v>1993</v>
      </c>
      <c r="E1921" s="6">
        <v>2</v>
      </c>
      <c r="F1921" s="6" t="str">
        <f t="shared" si="58"/>
        <v>September</v>
      </c>
      <c r="G1921" s="6">
        <f t="shared" si="59"/>
        <v>37</v>
      </c>
      <c r="H1921" s="1">
        <f>SUMIF('Retal Tran Line Item'!E:E,A1921,'Retal Tran Line Item'!B:B)</f>
        <v>6</v>
      </c>
    </row>
    <row r="1922" spans="1:8">
      <c r="A1922" s="1">
        <v>101920</v>
      </c>
      <c r="B1922" s="1">
        <v>739393</v>
      </c>
      <c r="C1922" s="2">
        <v>41529</v>
      </c>
      <c r="D1922" s="1" t="s">
        <v>1993</v>
      </c>
      <c r="E1922" s="6">
        <v>1</v>
      </c>
      <c r="F1922" s="6" t="str">
        <f t="shared" si="58"/>
        <v>September</v>
      </c>
      <c r="G1922" s="6">
        <f t="shared" si="59"/>
        <v>37</v>
      </c>
      <c r="H1922" s="1">
        <f>SUMIF('Retal Tran Line Item'!E:E,A1922,'Retal Tran Line Item'!B:B)</f>
        <v>9</v>
      </c>
    </row>
    <row r="1923" spans="1:8">
      <c r="A1923" s="1">
        <v>101921</v>
      </c>
      <c r="B1923" s="1">
        <v>924649</v>
      </c>
      <c r="C1923" s="2">
        <v>41529</v>
      </c>
      <c r="D1923" s="1" t="s">
        <v>1993</v>
      </c>
      <c r="E1923" s="6">
        <v>1</v>
      </c>
      <c r="F1923" s="6" t="str">
        <f t="shared" ref="F1923:F1986" si="60">TEXT(C1923,"MMMM")</f>
        <v>September</v>
      </c>
      <c r="G1923" s="6">
        <f t="shared" ref="G1923:G1986" si="61">WEEKNUM(C1923)</f>
        <v>37</v>
      </c>
      <c r="H1923" s="1">
        <f>SUMIF('Retal Tran Line Item'!E:E,A1923,'Retal Tran Line Item'!B:B)</f>
        <v>8</v>
      </c>
    </row>
    <row r="1924" spans="1:8">
      <c r="A1924" s="1">
        <v>101922</v>
      </c>
      <c r="B1924" s="1">
        <v>808177</v>
      </c>
      <c r="C1924" s="2">
        <v>41529</v>
      </c>
      <c r="D1924" s="1" t="s">
        <v>1993</v>
      </c>
      <c r="E1924" s="6">
        <v>1</v>
      </c>
      <c r="F1924" s="6" t="str">
        <f t="shared" si="60"/>
        <v>September</v>
      </c>
      <c r="G1924" s="6">
        <f t="shared" si="61"/>
        <v>37</v>
      </c>
      <c r="H1924" s="1">
        <f>SUMIF('Retal Tran Line Item'!E:E,A1924,'Retal Tran Line Item'!B:B)</f>
        <v>13</v>
      </c>
    </row>
    <row r="1925" spans="1:8">
      <c r="A1925" s="1">
        <v>101923</v>
      </c>
      <c r="B1925" s="1">
        <v>296886</v>
      </c>
      <c r="C1925" s="2">
        <v>41529</v>
      </c>
      <c r="D1925" s="1" t="s">
        <v>1992</v>
      </c>
      <c r="E1925" s="6">
        <v>2</v>
      </c>
      <c r="F1925" s="6" t="str">
        <f t="shared" si="60"/>
        <v>September</v>
      </c>
      <c r="G1925" s="6">
        <f t="shared" si="61"/>
        <v>37</v>
      </c>
      <c r="H1925" s="1">
        <f>SUMIF('Retal Tran Line Item'!E:E,A1925,'Retal Tran Line Item'!B:B)</f>
        <v>2</v>
      </c>
    </row>
    <row r="1926" spans="1:8">
      <c r="A1926" s="1">
        <v>101924</v>
      </c>
      <c r="B1926" s="1">
        <v>395125</v>
      </c>
      <c r="C1926" s="2">
        <v>41529</v>
      </c>
      <c r="D1926" s="1" t="s">
        <v>1992</v>
      </c>
      <c r="E1926" s="6">
        <v>1</v>
      </c>
      <c r="F1926" s="6" t="str">
        <f t="shared" si="60"/>
        <v>September</v>
      </c>
      <c r="G1926" s="6">
        <f t="shared" si="61"/>
        <v>37</v>
      </c>
      <c r="H1926" s="1">
        <f>SUMIF('Retal Tran Line Item'!E:E,A1926,'Retal Tran Line Item'!B:B)</f>
        <v>6</v>
      </c>
    </row>
    <row r="1927" spans="1:8">
      <c r="A1927" s="1">
        <v>101925</v>
      </c>
      <c r="B1927" s="1">
        <v>974503</v>
      </c>
      <c r="C1927" s="2">
        <v>41529</v>
      </c>
      <c r="D1927" s="1" t="s">
        <v>1993</v>
      </c>
      <c r="E1927" s="6">
        <v>2</v>
      </c>
      <c r="F1927" s="6" t="str">
        <f t="shared" si="60"/>
        <v>September</v>
      </c>
      <c r="G1927" s="6">
        <f t="shared" si="61"/>
        <v>37</v>
      </c>
      <c r="H1927" s="1">
        <f>SUMIF('Retal Tran Line Item'!E:E,A1927,'Retal Tran Line Item'!B:B)</f>
        <v>4</v>
      </c>
    </row>
    <row r="1928" spans="1:8">
      <c r="A1928" s="1">
        <v>101926</v>
      </c>
      <c r="B1928" s="1">
        <v>612681</v>
      </c>
      <c r="C1928" s="2">
        <v>41529</v>
      </c>
      <c r="D1928" s="1" t="s">
        <v>1993</v>
      </c>
      <c r="E1928" s="6">
        <v>2</v>
      </c>
      <c r="F1928" s="6" t="str">
        <f t="shared" si="60"/>
        <v>September</v>
      </c>
      <c r="G1928" s="6">
        <f t="shared" si="61"/>
        <v>37</v>
      </c>
      <c r="H1928" s="1">
        <f>SUMIF('Retal Tran Line Item'!E:E,A1928,'Retal Tran Line Item'!B:B)</f>
        <v>12</v>
      </c>
    </row>
    <row r="1929" spans="1:8">
      <c r="A1929" s="1">
        <v>101927</v>
      </c>
      <c r="B1929" s="1">
        <v>679354</v>
      </c>
      <c r="C1929" s="2">
        <v>41530</v>
      </c>
      <c r="D1929" s="1" t="s">
        <v>1992</v>
      </c>
      <c r="E1929" s="6">
        <v>2</v>
      </c>
      <c r="F1929" s="6" t="str">
        <f t="shared" si="60"/>
        <v>September</v>
      </c>
      <c r="G1929" s="6">
        <f t="shared" si="61"/>
        <v>37</v>
      </c>
      <c r="H1929" s="1">
        <f>SUMIF('Retal Tran Line Item'!E:E,A1929,'Retal Tran Line Item'!B:B)</f>
        <v>13</v>
      </c>
    </row>
    <row r="1930" spans="1:8">
      <c r="A1930" s="1">
        <v>101928</v>
      </c>
      <c r="B1930" s="1">
        <v>427391</v>
      </c>
      <c r="C1930" s="2">
        <v>41530</v>
      </c>
      <c r="D1930" s="1" t="s">
        <v>1992</v>
      </c>
      <c r="E1930" s="6">
        <v>2</v>
      </c>
      <c r="F1930" s="6" t="str">
        <f t="shared" si="60"/>
        <v>September</v>
      </c>
      <c r="G1930" s="6">
        <f t="shared" si="61"/>
        <v>37</v>
      </c>
      <c r="H1930" s="1">
        <f>SUMIF('Retal Tran Line Item'!E:E,A1930,'Retal Tran Line Item'!B:B)</f>
        <v>15</v>
      </c>
    </row>
    <row r="1931" spans="1:8">
      <c r="A1931" s="1">
        <v>101929</v>
      </c>
      <c r="B1931" s="1">
        <v>226909</v>
      </c>
      <c r="C1931" s="2">
        <v>41530</v>
      </c>
      <c r="D1931" s="1" t="s">
        <v>1993</v>
      </c>
      <c r="E1931" s="6">
        <v>2</v>
      </c>
      <c r="F1931" s="6" t="str">
        <f t="shared" si="60"/>
        <v>September</v>
      </c>
      <c r="G1931" s="6">
        <f t="shared" si="61"/>
        <v>37</v>
      </c>
      <c r="H1931" s="1">
        <f>SUMIF('Retal Tran Line Item'!E:E,A1931,'Retal Tran Line Item'!B:B)</f>
        <v>3</v>
      </c>
    </row>
    <row r="1932" spans="1:8">
      <c r="A1932" s="1">
        <v>101930</v>
      </c>
      <c r="B1932" s="1">
        <v>701211</v>
      </c>
      <c r="C1932" s="2">
        <v>41530</v>
      </c>
      <c r="D1932" s="1" t="s">
        <v>1993</v>
      </c>
      <c r="E1932" s="6">
        <v>2</v>
      </c>
      <c r="F1932" s="6" t="str">
        <f t="shared" si="60"/>
        <v>September</v>
      </c>
      <c r="G1932" s="6">
        <f t="shared" si="61"/>
        <v>37</v>
      </c>
      <c r="H1932" s="1">
        <f>SUMIF('Retal Tran Line Item'!E:E,A1932,'Retal Tran Line Item'!B:B)</f>
        <v>6</v>
      </c>
    </row>
    <row r="1933" spans="1:8">
      <c r="A1933" s="1">
        <v>101931</v>
      </c>
      <c r="B1933" s="1">
        <v>547890</v>
      </c>
      <c r="C1933" s="2">
        <v>41530</v>
      </c>
      <c r="D1933" s="1" t="s">
        <v>1993</v>
      </c>
      <c r="E1933" s="6">
        <v>2</v>
      </c>
      <c r="F1933" s="6" t="str">
        <f t="shared" si="60"/>
        <v>September</v>
      </c>
      <c r="G1933" s="6">
        <f t="shared" si="61"/>
        <v>37</v>
      </c>
      <c r="H1933" s="1">
        <f>SUMIF('Retal Tran Line Item'!E:E,A1933,'Retal Tran Line Item'!B:B)</f>
        <v>4</v>
      </c>
    </row>
    <row r="1934" spans="1:8">
      <c r="A1934" s="1">
        <v>101932</v>
      </c>
      <c r="B1934" s="1">
        <v>678940</v>
      </c>
      <c r="C1934" s="2">
        <v>41530</v>
      </c>
      <c r="D1934" s="1" t="s">
        <v>1994</v>
      </c>
      <c r="E1934" s="6">
        <v>2</v>
      </c>
      <c r="F1934" s="6" t="str">
        <f t="shared" si="60"/>
        <v>September</v>
      </c>
      <c r="G1934" s="6">
        <f t="shared" si="61"/>
        <v>37</v>
      </c>
      <c r="H1934" s="1">
        <f>SUMIF('Retal Tran Line Item'!E:E,A1934,'Retal Tran Line Item'!B:B)</f>
        <v>8</v>
      </c>
    </row>
    <row r="1935" spans="1:8">
      <c r="A1935" s="1">
        <v>101933</v>
      </c>
      <c r="B1935" s="1">
        <v>216081</v>
      </c>
      <c r="C1935" s="2">
        <v>41530</v>
      </c>
      <c r="D1935" s="1" t="s">
        <v>1992</v>
      </c>
      <c r="E1935" s="6">
        <v>2</v>
      </c>
      <c r="F1935" s="6" t="str">
        <f t="shared" si="60"/>
        <v>September</v>
      </c>
      <c r="G1935" s="6">
        <f t="shared" si="61"/>
        <v>37</v>
      </c>
      <c r="H1935" s="1">
        <f>SUMIF('Retal Tran Line Item'!E:E,A1935,'Retal Tran Line Item'!B:B)</f>
        <v>1</v>
      </c>
    </row>
    <row r="1936" spans="1:8">
      <c r="A1936" s="1">
        <v>101934</v>
      </c>
      <c r="B1936" s="1">
        <v>762509</v>
      </c>
      <c r="C1936" s="2">
        <v>41530</v>
      </c>
      <c r="D1936" s="1" t="s">
        <v>1993</v>
      </c>
      <c r="E1936" s="6">
        <v>2</v>
      </c>
      <c r="F1936" s="6" t="str">
        <f t="shared" si="60"/>
        <v>September</v>
      </c>
      <c r="G1936" s="6">
        <f t="shared" si="61"/>
        <v>37</v>
      </c>
      <c r="H1936" s="1">
        <f>SUMIF('Retal Tran Line Item'!E:E,A1936,'Retal Tran Line Item'!B:B)</f>
        <v>12</v>
      </c>
    </row>
    <row r="1937" spans="1:8">
      <c r="A1937" s="1">
        <v>101935</v>
      </c>
      <c r="B1937" s="1">
        <v>659695</v>
      </c>
      <c r="C1937" s="2">
        <v>41530</v>
      </c>
      <c r="D1937" s="1" t="s">
        <v>1992</v>
      </c>
      <c r="E1937" s="6">
        <v>1</v>
      </c>
      <c r="F1937" s="6" t="str">
        <f t="shared" si="60"/>
        <v>September</v>
      </c>
      <c r="G1937" s="6">
        <f t="shared" si="61"/>
        <v>37</v>
      </c>
      <c r="H1937" s="1">
        <f>SUMIF('Retal Tran Line Item'!E:E,A1937,'Retal Tran Line Item'!B:B)</f>
        <v>1</v>
      </c>
    </row>
    <row r="1938" spans="1:8">
      <c r="A1938" s="1">
        <v>101936</v>
      </c>
      <c r="B1938" s="1">
        <v>954812</v>
      </c>
      <c r="C1938" s="2">
        <v>41530</v>
      </c>
      <c r="D1938" s="1" t="s">
        <v>1992</v>
      </c>
      <c r="E1938" s="6">
        <v>2</v>
      </c>
      <c r="F1938" s="6" t="str">
        <f t="shared" si="60"/>
        <v>September</v>
      </c>
      <c r="G1938" s="6">
        <f t="shared" si="61"/>
        <v>37</v>
      </c>
      <c r="H1938" s="1">
        <f>SUMIF('Retal Tran Line Item'!E:E,A1938,'Retal Tran Line Item'!B:B)</f>
        <v>7</v>
      </c>
    </row>
    <row r="1939" spans="1:8">
      <c r="A1939" s="1">
        <v>101937</v>
      </c>
      <c r="B1939" s="1">
        <v>817274</v>
      </c>
      <c r="C1939" s="2">
        <v>41530</v>
      </c>
      <c r="D1939" s="1" t="s">
        <v>1994</v>
      </c>
      <c r="E1939" s="6">
        <v>1</v>
      </c>
      <c r="F1939" s="6" t="str">
        <f t="shared" si="60"/>
        <v>September</v>
      </c>
      <c r="G1939" s="6">
        <f t="shared" si="61"/>
        <v>37</v>
      </c>
      <c r="H1939" s="1">
        <f>SUMIF('Retal Tran Line Item'!E:E,A1939,'Retal Tran Line Item'!B:B)</f>
        <v>7</v>
      </c>
    </row>
    <row r="1940" spans="1:8">
      <c r="A1940" s="1">
        <v>101938</v>
      </c>
      <c r="B1940" s="1">
        <v>494106</v>
      </c>
      <c r="C1940" s="2">
        <v>41530</v>
      </c>
      <c r="D1940" s="1" t="s">
        <v>1993</v>
      </c>
      <c r="E1940" s="6">
        <v>2</v>
      </c>
      <c r="F1940" s="6" t="str">
        <f t="shared" si="60"/>
        <v>September</v>
      </c>
      <c r="G1940" s="6">
        <f t="shared" si="61"/>
        <v>37</v>
      </c>
      <c r="H1940" s="1">
        <f>SUMIF('Retal Tran Line Item'!E:E,A1940,'Retal Tran Line Item'!B:B)</f>
        <v>13</v>
      </c>
    </row>
    <row r="1941" spans="1:8">
      <c r="A1941" s="1">
        <v>101939</v>
      </c>
      <c r="B1941" s="1">
        <v>111991</v>
      </c>
      <c r="C1941" s="2">
        <v>41530</v>
      </c>
      <c r="D1941" s="1" t="s">
        <v>1994</v>
      </c>
      <c r="E1941" s="6">
        <v>2</v>
      </c>
      <c r="F1941" s="6" t="str">
        <f t="shared" si="60"/>
        <v>September</v>
      </c>
      <c r="G1941" s="6">
        <f t="shared" si="61"/>
        <v>37</v>
      </c>
      <c r="H1941" s="1">
        <f>SUMIF('Retal Tran Line Item'!E:E,A1941,'Retal Tran Line Item'!B:B)</f>
        <v>8</v>
      </c>
    </row>
    <row r="1942" spans="1:8">
      <c r="A1942" s="1">
        <v>101940</v>
      </c>
      <c r="B1942" s="1">
        <v>267632</v>
      </c>
      <c r="C1942" s="2">
        <v>41530</v>
      </c>
      <c r="D1942" s="1" t="s">
        <v>1994</v>
      </c>
      <c r="E1942" s="6">
        <v>2</v>
      </c>
      <c r="F1942" s="6" t="str">
        <f t="shared" si="60"/>
        <v>September</v>
      </c>
      <c r="G1942" s="6">
        <f t="shared" si="61"/>
        <v>37</v>
      </c>
      <c r="H1942" s="1">
        <f>SUMIF('Retal Tran Line Item'!E:E,A1942,'Retal Tran Line Item'!B:B)</f>
        <v>1</v>
      </c>
    </row>
    <row r="1943" spans="1:8">
      <c r="A1943" s="1">
        <v>101941</v>
      </c>
      <c r="B1943" s="1">
        <v>308688</v>
      </c>
      <c r="C1943" s="2">
        <v>41530</v>
      </c>
      <c r="D1943" s="1" t="s">
        <v>1993</v>
      </c>
      <c r="E1943" s="6">
        <v>2</v>
      </c>
      <c r="F1943" s="6" t="str">
        <f t="shared" si="60"/>
        <v>September</v>
      </c>
      <c r="G1943" s="6">
        <f t="shared" si="61"/>
        <v>37</v>
      </c>
      <c r="H1943" s="1">
        <f>SUMIF('Retal Tran Line Item'!E:E,A1943,'Retal Tran Line Item'!B:B)</f>
        <v>6</v>
      </c>
    </row>
    <row r="1944" spans="1:8">
      <c r="A1944" s="1">
        <v>101942</v>
      </c>
      <c r="B1944" s="1">
        <v>403000</v>
      </c>
      <c r="C1944" s="2">
        <v>41530</v>
      </c>
      <c r="D1944" s="1" t="s">
        <v>1992</v>
      </c>
      <c r="E1944" s="6">
        <v>1</v>
      </c>
      <c r="F1944" s="6" t="str">
        <f t="shared" si="60"/>
        <v>September</v>
      </c>
      <c r="G1944" s="6">
        <f t="shared" si="61"/>
        <v>37</v>
      </c>
      <c r="H1944" s="1">
        <f>SUMIF('Retal Tran Line Item'!E:E,A1944,'Retal Tran Line Item'!B:B)</f>
        <v>12</v>
      </c>
    </row>
    <row r="1945" spans="1:8">
      <c r="A1945" s="1">
        <v>101943</v>
      </c>
      <c r="B1945" s="1">
        <v>226209</v>
      </c>
      <c r="C1945" s="2">
        <v>41530</v>
      </c>
      <c r="D1945" s="1" t="s">
        <v>1994</v>
      </c>
      <c r="E1945" s="6">
        <v>2</v>
      </c>
      <c r="F1945" s="6" t="str">
        <f t="shared" si="60"/>
        <v>September</v>
      </c>
      <c r="G1945" s="6">
        <f t="shared" si="61"/>
        <v>37</v>
      </c>
      <c r="H1945" s="1">
        <f>SUMIF('Retal Tran Line Item'!E:E,A1945,'Retal Tran Line Item'!B:B)</f>
        <v>13</v>
      </c>
    </row>
    <row r="1946" spans="1:8">
      <c r="A1946" s="1">
        <v>101944</v>
      </c>
      <c r="B1946" s="1">
        <v>331115</v>
      </c>
      <c r="C1946" s="2">
        <v>41530</v>
      </c>
      <c r="D1946" s="1" t="s">
        <v>1989</v>
      </c>
      <c r="E1946" s="6">
        <v>2</v>
      </c>
      <c r="F1946" s="6" t="str">
        <f t="shared" si="60"/>
        <v>September</v>
      </c>
      <c r="G1946" s="6">
        <f t="shared" si="61"/>
        <v>37</v>
      </c>
      <c r="H1946" s="1">
        <f>SUMIF('Retal Tran Line Item'!E:E,A1946,'Retal Tran Line Item'!B:B)</f>
        <v>15</v>
      </c>
    </row>
    <row r="1947" spans="1:8">
      <c r="A1947" s="1">
        <v>101945</v>
      </c>
      <c r="B1947" s="1">
        <v>927518</v>
      </c>
      <c r="C1947" s="2">
        <v>41530</v>
      </c>
      <c r="D1947" s="1" t="s">
        <v>1993</v>
      </c>
      <c r="E1947" s="6">
        <v>2</v>
      </c>
      <c r="F1947" s="6" t="str">
        <f t="shared" si="60"/>
        <v>September</v>
      </c>
      <c r="G1947" s="6">
        <f t="shared" si="61"/>
        <v>37</v>
      </c>
      <c r="H1947" s="1">
        <f>SUMIF('Retal Tran Line Item'!E:E,A1947,'Retal Tran Line Item'!B:B)</f>
        <v>4</v>
      </c>
    </row>
    <row r="1948" spans="1:8">
      <c r="A1948" s="1">
        <v>101946</v>
      </c>
      <c r="B1948" s="1">
        <v>157695</v>
      </c>
      <c r="C1948" s="2">
        <v>41530</v>
      </c>
      <c r="D1948" s="1" t="s">
        <v>1994</v>
      </c>
      <c r="E1948" s="6">
        <v>2</v>
      </c>
      <c r="F1948" s="6" t="str">
        <f t="shared" si="60"/>
        <v>September</v>
      </c>
      <c r="G1948" s="6">
        <f t="shared" si="61"/>
        <v>37</v>
      </c>
      <c r="H1948" s="1">
        <f>SUMIF('Retal Tran Line Item'!E:E,A1948,'Retal Tran Line Item'!B:B)</f>
        <v>19</v>
      </c>
    </row>
    <row r="1949" spans="1:8">
      <c r="A1949" s="1">
        <v>101947</v>
      </c>
      <c r="B1949" s="1">
        <v>554099</v>
      </c>
      <c r="C1949" s="2">
        <v>41530</v>
      </c>
      <c r="D1949" s="1" t="s">
        <v>1994</v>
      </c>
      <c r="E1949" s="6">
        <v>2</v>
      </c>
      <c r="F1949" s="6" t="str">
        <f t="shared" si="60"/>
        <v>September</v>
      </c>
      <c r="G1949" s="6">
        <f t="shared" si="61"/>
        <v>37</v>
      </c>
      <c r="H1949" s="1">
        <f>SUMIF('Retal Tran Line Item'!E:E,A1949,'Retal Tran Line Item'!B:B)</f>
        <v>17</v>
      </c>
    </row>
    <row r="1950" spans="1:8">
      <c r="A1950" s="1">
        <v>101948</v>
      </c>
      <c r="B1950" s="1">
        <v>908328</v>
      </c>
      <c r="C1950" s="2">
        <v>41531</v>
      </c>
      <c r="D1950" s="1" t="s">
        <v>1992</v>
      </c>
      <c r="E1950" s="6">
        <v>1</v>
      </c>
      <c r="F1950" s="6" t="str">
        <f t="shared" si="60"/>
        <v>September</v>
      </c>
      <c r="G1950" s="6">
        <f t="shared" si="61"/>
        <v>37</v>
      </c>
      <c r="H1950" s="1">
        <f>SUMIF('Retal Tran Line Item'!E:E,A1950,'Retal Tran Line Item'!B:B)</f>
        <v>9</v>
      </c>
    </row>
    <row r="1951" spans="1:8">
      <c r="A1951" s="1">
        <v>101949</v>
      </c>
      <c r="B1951" s="1">
        <v>412544</v>
      </c>
      <c r="C1951" s="2">
        <v>41531</v>
      </c>
      <c r="D1951" s="1" t="s">
        <v>1993</v>
      </c>
      <c r="E1951" s="6">
        <v>2</v>
      </c>
      <c r="F1951" s="6" t="str">
        <f t="shared" si="60"/>
        <v>September</v>
      </c>
      <c r="G1951" s="6">
        <f t="shared" si="61"/>
        <v>37</v>
      </c>
      <c r="H1951" s="1">
        <f>SUMIF('Retal Tran Line Item'!E:E,A1951,'Retal Tran Line Item'!B:B)</f>
        <v>9</v>
      </c>
    </row>
    <row r="1952" spans="1:8">
      <c r="A1952" s="1">
        <v>101950</v>
      </c>
      <c r="B1952" s="1">
        <v>550661</v>
      </c>
      <c r="C1952" s="2">
        <v>41531</v>
      </c>
      <c r="D1952" s="1" t="s">
        <v>1992</v>
      </c>
      <c r="E1952" s="6">
        <v>1</v>
      </c>
      <c r="F1952" s="6" t="str">
        <f t="shared" si="60"/>
        <v>September</v>
      </c>
      <c r="G1952" s="6">
        <f t="shared" si="61"/>
        <v>37</v>
      </c>
      <c r="H1952" s="1">
        <f>SUMIF('Retal Tran Line Item'!E:E,A1952,'Retal Tran Line Item'!B:B)</f>
        <v>6</v>
      </c>
    </row>
    <row r="1953" spans="1:8">
      <c r="A1953" s="1">
        <v>101951</v>
      </c>
      <c r="B1953" s="1">
        <v>105771</v>
      </c>
      <c r="C1953" s="2">
        <v>41531</v>
      </c>
      <c r="D1953" s="1" t="s">
        <v>1992</v>
      </c>
      <c r="E1953" s="6">
        <v>1</v>
      </c>
      <c r="F1953" s="6" t="str">
        <f t="shared" si="60"/>
        <v>September</v>
      </c>
      <c r="G1953" s="6">
        <f t="shared" si="61"/>
        <v>37</v>
      </c>
      <c r="H1953" s="1">
        <f>SUMIF('Retal Tran Line Item'!E:E,A1953,'Retal Tran Line Item'!B:B)</f>
        <v>5</v>
      </c>
    </row>
    <row r="1954" spans="1:8">
      <c r="A1954" s="1">
        <v>101952</v>
      </c>
      <c r="B1954" s="1">
        <v>262638</v>
      </c>
      <c r="C1954" s="2">
        <v>41531</v>
      </c>
      <c r="D1954" s="1" t="s">
        <v>1992</v>
      </c>
      <c r="E1954" s="6">
        <v>1</v>
      </c>
      <c r="F1954" s="6" t="str">
        <f t="shared" si="60"/>
        <v>September</v>
      </c>
      <c r="G1954" s="6">
        <f t="shared" si="61"/>
        <v>37</v>
      </c>
      <c r="H1954" s="1">
        <f>SUMIF('Retal Tran Line Item'!E:E,A1954,'Retal Tran Line Item'!B:B)</f>
        <v>11</v>
      </c>
    </row>
    <row r="1955" spans="1:8">
      <c r="A1955" s="1">
        <v>101953</v>
      </c>
      <c r="B1955" s="1">
        <v>607810</v>
      </c>
      <c r="C1955" s="2">
        <v>41531</v>
      </c>
      <c r="D1955" s="1" t="s">
        <v>1989</v>
      </c>
      <c r="E1955" s="6">
        <v>1</v>
      </c>
      <c r="F1955" s="6" t="str">
        <f t="shared" si="60"/>
        <v>September</v>
      </c>
      <c r="G1955" s="6">
        <f t="shared" si="61"/>
        <v>37</v>
      </c>
      <c r="H1955" s="1">
        <f>SUMIF('Retal Tran Line Item'!E:E,A1955,'Retal Tran Line Item'!B:B)</f>
        <v>14</v>
      </c>
    </row>
    <row r="1956" spans="1:8">
      <c r="A1956" s="1">
        <v>101954</v>
      </c>
      <c r="B1956" s="1">
        <v>479497</v>
      </c>
      <c r="C1956" s="2">
        <v>41531</v>
      </c>
      <c r="D1956" s="1" t="s">
        <v>1994</v>
      </c>
      <c r="E1956" s="6">
        <v>2</v>
      </c>
      <c r="F1956" s="6" t="str">
        <f t="shared" si="60"/>
        <v>September</v>
      </c>
      <c r="G1956" s="6">
        <f t="shared" si="61"/>
        <v>37</v>
      </c>
      <c r="H1956" s="1">
        <f>SUMIF('Retal Tran Line Item'!E:E,A1956,'Retal Tran Line Item'!B:B)</f>
        <v>8</v>
      </c>
    </row>
    <row r="1957" spans="1:8">
      <c r="A1957" s="1">
        <v>101955</v>
      </c>
      <c r="B1957" s="1">
        <v>404678</v>
      </c>
      <c r="C1957" s="2">
        <v>41531</v>
      </c>
      <c r="D1957" s="1" t="s">
        <v>1993</v>
      </c>
      <c r="E1957" s="6">
        <v>2</v>
      </c>
      <c r="F1957" s="6" t="str">
        <f t="shared" si="60"/>
        <v>September</v>
      </c>
      <c r="G1957" s="6">
        <f t="shared" si="61"/>
        <v>37</v>
      </c>
      <c r="H1957" s="1">
        <f>SUMIF('Retal Tran Line Item'!E:E,A1957,'Retal Tran Line Item'!B:B)</f>
        <v>14</v>
      </c>
    </row>
    <row r="1958" spans="1:8">
      <c r="A1958" s="1">
        <v>101956</v>
      </c>
      <c r="B1958" s="1">
        <v>247216</v>
      </c>
      <c r="C1958" s="2">
        <v>41531</v>
      </c>
      <c r="D1958" s="1" t="s">
        <v>1989</v>
      </c>
      <c r="E1958" s="6">
        <v>1</v>
      </c>
      <c r="F1958" s="6" t="str">
        <f t="shared" si="60"/>
        <v>September</v>
      </c>
      <c r="G1958" s="6">
        <f t="shared" si="61"/>
        <v>37</v>
      </c>
      <c r="H1958" s="1">
        <f>SUMIF('Retal Tran Line Item'!E:E,A1958,'Retal Tran Line Item'!B:B)</f>
        <v>12</v>
      </c>
    </row>
    <row r="1959" spans="1:8">
      <c r="A1959" s="1">
        <v>101957</v>
      </c>
      <c r="B1959" s="1">
        <v>429748</v>
      </c>
      <c r="C1959" s="2">
        <v>41531</v>
      </c>
      <c r="D1959" s="1" t="s">
        <v>1994</v>
      </c>
      <c r="E1959" s="6">
        <v>1</v>
      </c>
      <c r="F1959" s="6" t="str">
        <f t="shared" si="60"/>
        <v>September</v>
      </c>
      <c r="G1959" s="6">
        <f t="shared" si="61"/>
        <v>37</v>
      </c>
      <c r="H1959" s="1">
        <f>SUMIF('Retal Tran Line Item'!E:E,A1959,'Retal Tran Line Item'!B:B)</f>
        <v>4</v>
      </c>
    </row>
    <row r="1960" spans="1:8">
      <c r="A1960" s="1">
        <v>101958</v>
      </c>
      <c r="B1960" s="1">
        <v>442254</v>
      </c>
      <c r="C1960" s="2">
        <v>41531</v>
      </c>
      <c r="D1960" s="1" t="s">
        <v>1989</v>
      </c>
      <c r="E1960" s="6">
        <v>2</v>
      </c>
      <c r="F1960" s="6" t="str">
        <f t="shared" si="60"/>
        <v>September</v>
      </c>
      <c r="G1960" s="6">
        <f t="shared" si="61"/>
        <v>37</v>
      </c>
      <c r="H1960" s="1">
        <f>SUMIF('Retal Tran Line Item'!E:E,A1960,'Retal Tran Line Item'!B:B)</f>
        <v>9</v>
      </c>
    </row>
    <row r="1961" spans="1:8">
      <c r="A1961" s="1">
        <v>101959</v>
      </c>
      <c r="B1961" s="1">
        <v>717234</v>
      </c>
      <c r="C1961" s="2">
        <v>41531</v>
      </c>
      <c r="D1961" s="1" t="s">
        <v>1994</v>
      </c>
      <c r="E1961" s="6">
        <v>1</v>
      </c>
      <c r="F1961" s="6" t="str">
        <f t="shared" si="60"/>
        <v>September</v>
      </c>
      <c r="G1961" s="6">
        <f t="shared" si="61"/>
        <v>37</v>
      </c>
      <c r="H1961" s="1">
        <f>SUMIF('Retal Tran Line Item'!E:E,A1961,'Retal Tran Line Item'!B:B)</f>
        <v>7</v>
      </c>
    </row>
    <row r="1962" spans="1:8">
      <c r="A1962" s="1">
        <v>101960</v>
      </c>
      <c r="B1962" s="1">
        <v>407605</v>
      </c>
      <c r="C1962" s="2">
        <v>41531</v>
      </c>
      <c r="D1962" s="1" t="s">
        <v>1994</v>
      </c>
      <c r="E1962" s="6">
        <v>2</v>
      </c>
      <c r="F1962" s="6" t="str">
        <f t="shared" si="60"/>
        <v>September</v>
      </c>
      <c r="G1962" s="6">
        <f t="shared" si="61"/>
        <v>37</v>
      </c>
      <c r="H1962" s="1">
        <f>SUMIF('Retal Tran Line Item'!E:E,A1962,'Retal Tran Line Item'!B:B)</f>
        <v>13</v>
      </c>
    </row>
    <row r="1963" spans="1:8">
      <c r="A1963" s="1">
        <v>101961</v>
      </c>
      <c r="B1963" s="1">
        <v>485769</v>
      </c>
      <c r="C1963" s="2">
        <v>41531</v>
      </c>
      <c r="D1963" s="1" t="s">
        <v>1989</v>
      </c>
      <c r="E1963" s="6">
        <v>1</v>
      </c>
      <c r="F1963" s="6" t="str">
        <f t="shared" si="60"/>
        <v>September</v>
      </c>
      <c r="G1963" s="6">
        <f t="shared" si="61"/>
        <v>37</v>
      </c>
      <c r="H1963" s="1">
        <f>SUMIF('Retal Tran Line Item'!E:E,A1963,'Retal Tran Line Item'!B:B)</f>
        <v>11</v>
      </c>
    </row>
    <row r="1964" spans="1:8">
      <c r="A1964" s="1">
        <v>101962</v>
      </c>
      <c r="B1964" s="1">
        <v>317461</v>
      </c>
      <c r="C1964" s="2">
        <v>41531</v>
      </c>
      <c r="D1964" s="1" t="s">
        <v>1992</v>
      </c>
      <c r="E1964" s="6">
        <v>1</v>
      </c>
      <c r="F1964" s="6" t="str">
        <f t="shared" si="60"/>
        <v>September</v>
      </c>
      <c r="G1964" s="6">
        <f t="shared" si="61"/>
        <v>37</v>
      </c>
      <c r="H1964" s="1">
        <f>SUMIF('Retal Tran Line Item'!E:E,A1964,'Retal Tran Line Item'!B:B)</f>
        <v>19</v>
      </c>
    </row>
    <row r="1965" spans="1:8">
      <c r="A1965" s="1">
        <v>101963</v>
      </c>
      <c r="B1965" s="1">
        <v>585972</v>
      </c>
      <c r="C1965" s="2">
        <v>41531</v>
      </c>
      <c r="D1965" s="1" t="s">
        <v>1993</v>
      </c>
      <c r="E1965" s="6">
        <v>2</v>
      </c>
      <c r="F1965" s="6" t="str">
        <f t="shared" si="60"/>
        <v>September</v>
      </c>
      <c r="G1965" s="6">
        <f t="shared" si="61"/>
        <v>37</v>
      </c>
      <c r="H1965" s="1">
        <f>SUMIF('Retal Tran Line Item'!E:E,A1965,'Retal Tran Line Item'!B:B)</f>
        <v>4</v>
      </c>
    </row>
    <row r="1966" spans="1:8">
      <c r="A1966" s="1">
        <v>101964</v>
      </c>
      <c r="B1966" s="1">
        <v>110363</v>
      </c>
      <c r="C1966" s="2">
        <v>41531</v>
      </c>
      <c r="D1966" s="1" t="s">
        <v>1994</v>
      </c>
      <c r="E1966" s="6">
        <v>1</v>
      </c>
      <c r="F1966" s="6" t="str">
        <f t="shared" si="60"/>
        <v>September</v>
      </c>
      <c r="G1966" s="6">
        <f t="shared" si="61"/>
        <v>37</v>
      </c>
      <c r="H1966" s="1">
        <f>SUMIF('Retal Tran Line Item'!E:E,A1966,'Retal Tran Line Item'!B:B)</f>
        <v>9</v>
      </c>
    </row>
    <row r="1967" spans="1:8">
      <c r="A1967" s="1">
        <v>101965</v>
      </c>
      <c r="B1967" s="1">
        <v>500350</v>
      </c>
      <c r="C1967" s="2">
        <v>41531</v>
      </c>
      <c r="D1967" s="1" t="s">
        <v>1993</v>
      </c>
      <c r="E1967" s="6">
        <v>1</v>
      </c>
      <c r="F1967" s="6" t="str">
        <f t="shared" si="60"/>
        <v>September</v>
      </c>
      <c r="G1967" s="6">
        <f t="shared" si="61"/>
        <v>37</v>
      </c>
      <c r="H1967" s="1">
        <f>SUMIF('Retal Tran Line Item'!E:E,A1967,'Retal Tran Line Item'!B:B)</f>
        <v>14</v>
      </c>
    </row>
    <row r="1968" spans="1:8">
      <c r="A1968" s="1">
        <v>101966</v>
      </c>
      <c r="B1968" s="1">
        <v>110363</v>
      </c>
      <c r="C1968" s="2">
        <v>41531</v>
      </c>
      <c r="D1968" s="1" t="s">
        <v>1994</v>
      </c>
      <c r="E1968" s="6">
        <v>2</v>
      </c>
      <c r="F1968" s="6" t="str">
        <f t="shared" si="60"/>
        <v>September</v>
      </c>
      <c r="G1968" s="6">
        <f t="shared" si="61"/>
        <v>37</v>
      </c>
      <c r="H1968" s="1">
        <f>SUMIF('Retal Tran Line Item'!E:E,A1968,'Retal Tran Line Item'!B:B)</f>
        <v>5</v>
      </c>
    </row>
    <row r="1969" spans="1:8">
      <c r="A1969" s="1">
        <v>101967</v>
      </c>
      <c r="B1969" s="1">
        <v>559054</v>
      </c>
      <c r="C1969" s="2">
        <v>41532</v>
      </c>
      <c r="D1969" s="1" t="s">
        <v>1994</v>
      </c>
      <c r="E1969" s="6">
        <v>2</v>
      </c>
      <c r="F1969" s="6" t="str">
        <f t="shared" si="60"/>
        <v>September</v>
      </c>
      <c r="G1969" s="6">
        <f t="shared" si="61"/>
        <v>38</v>
      </c>
      <c r="H1969" s="1">
        <f>SUMIF('Retal Tran Line Item'!E:E,A1969,'Retal Tran Line Item'!B:B)</f>
        <v>10</v>
      </c>
    </row>
    <row r="1970" spans="1:8">
      <c r="A1970" s="1">
        <v>101968</v>
      </c>
      <c r="B1970" s="1">
        <v>568217</v>
      </c>
      <c r="C1970" s="2">
        <v>41532</v>
      </c>
      <c r="D1970" s="1" t="s">
        <v>1993</v>
      </c>
      <c r="E1970" s="6">
        <v>1</v>
      </c>
      <c r="F1970" s="6" t="str">
        <f t="shared" si="60"/>
        <v>September</v>
      </c>
      <c r="G1970" s="6">
        <f t="shared" si="61"/>
        <v>38</v>
      </c>
      <c r="H1970" s="1">
        <f>SUMIF('Retal Tran Line Item'!E:E,A1970,'Retal Tran Line Item'!B:B)</f>
        <v>5</v>
      </c>
    </row>
    <row r="1971" spans="1:8">
      <c r="A1971" s="1">
        <v>101969</v>
      </c>
      <c r="B1971" s="1">
        <v>302774</v>
      </c>
      <c r="C1971" s="2">
        <v>41532</v>
      </c>
      <c r="D1971" s="1" t="s">
        <v>1992</v>
      </c>
      <c r="E1971" s="6">
        <v>1</v>
      </c>
      <c r="F1971" s="6" t="str">
        <f t="shared" si="60"/>
        <v>September</v>
      </c>
      <c r="G1971" s="6">
        <f t="shared" si="61"/>
        <v>38</v>
      </c>
      <c r="H1971" s="1">
        <f>SUMIF('Retal Tran Line Item'!E:E,A1971,'Retal Tran Line Item'!B:B)</f>
        <v>8</v>
      </c>
    </row>
    <row r="1972" spans="1:8">
      <c r="A1972" s="1">
        <v>101970</v>
      </c>
      <c r="B1972" s="1">
        <v>806545</v>
      </c>
      <c r="C1972" s="2">
        <v>41532</v>
      </c>
      <c r="D1972" s="1" t="s">
        <v>1994</v>
      </c>
      <c r="E1972" s="6">
        <v>2</v>
      </c>
      <c r="F1972" s="6" t="str">
        <f t="shared" si="60"/>
        <v>September</v>
      </c>
      <c r="G1972" s="6">
        <f t="shared" si="61"/>
        <v>38</v>
      </c>
      <c r="H1972" s="1">
        <f>SUMIF('Retal Tran Line Item'!E:E,A1972,'Retal Tran Line Item'!B:B)</f>
        <v>4</v>
      </c>
    </row>
    <row r="1973" spans="1:8">
      <c r="A1973" s="1">
        <v>101971</v>
      </c>
      <c r="B1973" s="1">
        <v>586201</v>
      </c>
      <c r="C1973" s="2">
        <v>41532</v>
      </c>
      <c r="D1973" s="1" t="s">
        <v>1992</v>
      </c>
      <c r="E1973" s="6">
        <v>2</v>
      </c>
      <c r="F1973" s="6" t="str">
        <f t="shared" si="60"/>
        <v>September</v>
      </c>
      <c r="G1973" s="6">
        <f t="shared" si="61"/>
        <v>38</v>
      </c>
      <c r="H1973" s="1">
        <f>SUMIF('Retal Tran Line Item'!E:E,A1973,'Retal Tran Line Item'!B:B)</f>
        <v>12</v>
      </c>
    </row>
    <row r="1974" spans="1:8">
      <c r="A1974" s="1">
        <v>101972</v>
      </c>
      <c r="B1974" s="1">
        <v>517477</v>
      </c>
      <c r="C1974" s="2">
        <v>41532</v>
      </c>
      <c r="D1974" s="1" t="s">
        <v>1992</v>
      </c>
      <c r="E1974" s="6">
        <v>1</v>
      </c>
      <c r="F1974" s="6" t="str">
        <f t="shared" si="60"/>
        <v>September</v>
      </c>
      <c r="G1974" s="6">
        <f t="shared" si="61"/>
        <v>38</v>
      </c>
      <c r="H1974" s="1">
        <f>SUMIF('Retal Tran Line Item'!E:E,A1974,'Retal Tran Line Item'!B:B)</f>
        <v>13</v>
      </c>
    </row>
    <row r="1975" spans="1:8">
      <c r="A1975" s="1">
        <v>101973</v>
      </c>
      <c r="B1975" s="1">
        <v>110363</v>
      </c>
      <c r="C1975" s="2">
        <v>41532</v>
      </c>
      <c r="D1975" s="1" t="s">
        <v>1994</v>
      </c>
      <c r="E1975" s="6">
        <v>1</v>
      </c>
      <c r="F1975" s="6" t="str">
        <f t="shared" si="60"/>
        <v>September</v>
      </c>
      <c r="G1975" s="6">
        <f t="shared" si="61"/>
        <v>38</v>
      </c>
      <c r="H1975" s="1">
        <f>SUMIF('Retal Tran Line Item'!E:E,A1975,'Retal Tran Line Item'!B:B)</f>
        <v>8</v>
      </c>
    </row>
    <row r="1976" spans="1:8">
      <c r="A1976" s="1">
        <v>101974</v>
      </c>
      <c r="B1976" s="1">
        <v>927518</v>
      </c>
      <c r="C1976" s="2">
        <v>41532</v>
      </c>
      <c r="D1976" s="1" t="s">
        <v>1993</v>
      </c>
      <c r="E1976" s="6">
        <v>1</v>
      </c>
      <c r="F1976" s="6" t="str">
        <f t="shared" si="60"/>
        <v>September</v>
      </c>
      <c r="G1976" s="6">
        <f t="shared" si="61"/>
        <v>38</v>
      </c>
      <c r="H1976" s="1">
        <f>SUMIF('Retal Tran Line Item'!E:E,A1976,'Retal Tran Line Item'!B:B)</f>
        <v>8</v>
      </c>
    </row>
    <row r="1977" spans="1:8">
      <c r="A1977" s="1">
        <v>101975</v>
      </c>
      <c r="B1977" s="1">
        <v>815980</v>
      </c>
      <c r="C1977" s="2">
        <v>41532</v>
      </c>
      <c r="D1977" s="1" t="s">
        <v>1992</v>
      </c>
      <c r="E1977" s="6">
        <v>2</v>
      </c>
      <c r="F1977" s="6" t="str">
        <f t="shared" si="60"/>
        <v>September</v>
      </c>
      <c r="G1977" s="6">
        <f t="shared" si="61"/>
        <v>38</v>
      </c>
      <c r="H1977" s="1">
        <f>SUMIF('Retal Tran Line Item'!E:E,A1977,'Retal Tran Line Item'!B:B)</f>
        <v>9</v>
      </c>
    </row>
    <row r="1978" spans="1:8">
      <c r="A1978" s="1">
        <v>101976</v>
      </c>
      <c r="B1978" s="1">
        <v>736500</v>
      </c>
      <c r="C1978" s="2">
        <v>41532</v>
      </c>
      <c r="D1978" s="1" t="s">
        <v>1993</v>
      </c>
      <c r="E1978" s="6">
        <v>2</v>
      </c>
      <c r="F1978" s="6" t="str">
        <f t="shared" si="60"/>
        <v>September</v>
      </c>
      <c r="G1978" s="6">
        <f t="shared" si="61"/>
        <v>38</v>
      </c>
      <c r="H1978" s="1">
        <f>SUMIF('Retal Tran Line Item'!E:E,A1978,'Retal Tran Line Item'!B:B)</f>
        <v>6</v>
      </c>
    </row>
    <row r="1979" spans="1:8">
      <c r="A1979" s="1">
        <v>101977</v>
      </c>
      <c r="B1979" s="1">
        <v>296353</v>
      </c>
      <c r="C1979" s="2">
        <v>41532</v>
      </c>
      <c r="D1979" s="1" t="s">
        <v>1993</v>
      </c>
      <c r="E1979" s="6">
        <v>1</v>
      </c>
      <c r="F1979" s="6" t="str">
        <f t="shared" si="60"/>
        <v>September</v>
      </c>
      <c r="G1979" s="6">
        <f t="shared" si="61"/>
        <v>38</v>
      </c>
      <c r="H1979" s="1">
        <f>SUMIF('Retal Tran Line Item'!E:E,A1979,'Retal Tran Line Item'!B:B)</f>
        <v>4</v>
      </c>
    </row>
    <row r="1980" spans="1:8">
      <c r="A1980" s="1">
        <v>101978</v>
      </c>
      <c r="B1980" s="1">
        <v>378374</v>
      </c>
      <c r="C1980" s="2">
        <v>41532</v>
      </c>
      <c r="D1980" s="1" t="s">
        <v>1994</v>
      </c>
      <c r="E1980" s="6">
        <v>1</v>
      </c>
      <c r="F1980" s="6" t="str">
        <f t="shared" si="60"/>
        <v>September</v>
      </c>
      <c r="G1980" s="6">
        <f t="shared" si="61"/>
        <v>38</v>
      </c>
      <c r="H1980" s="1">
        <f>SUMIF('Retal Tran Line Item'!E:E,A1980,'Retal Tran Line Item'!B:B)</f>
        <v>13</v>
      </c>
    </row>
    <row r="1981" spans="1:8">
      <c r="A1981" s="1">
        <v>101979</v>
      </c>
      <c r="B1981" s="1">
        <v>442691</v>
      </c>
      <c r="C1981" s="2">
        <v>41532</v>
      </c>
      <c r="D1981" s="1" t="s">
        <v>1992</v>
      </c>
      <c r="E1981" s="6">
        <v>2</v>
      </c>
      <c r="F1981" s="6" t="str">
        <f t="shared" si="60"/>
        <v>September</v>
      </c>
      <c r="G1981" s="6">
        <f t="shared" si="61"/>
        <v>38</v>
      </c>
      <c r="H1981" s="1">
        <f>SUMIF('Retal Tran Line Item'!E:E,A1981,'Retal Tran Line Item'!B:B)</f>
        <v>10</v>
      </c>
    </row>
    <row r="1982" spans="1:8">
      <c r="A1982" s="1">
        <v>101980</v>
      </c>
      <c r="B1982" s="1">
        <v>191050</v>
      </c>
      <c r="C1982" s="2">
        <v>41532</v>
      </c>
      <c r="D1982" s="1" t="s">
        <v>1992</v>
      </c>
      <c r="E1982" s="6">
        <v>2</v>
      </c>
      <c r="F1982" s="6" t="str">
        <f t="shared" si="60"/>
        <v>September</v>
      </c>
      <c r="G1982" s="6">
        <f t="shared" si="61"/>
        <v>38</v>
      </c>
      <c r="H1982" s="1">
        <f>SUMIF('Retal Tran Line Item'!E:E,A1982,'Retal Tran Line Item'!B:B)</f>
        <v>6</v>
      </c>
    </row>
    <row r="1983" spans="1:8">
      <c r="A1983" s="1">
        <v>101981</v>
      </c>
      <c r="B1983" s="1">
        <v>358901</v>
      </c>
      <c r="C1983" s="2">
        <v>41532</v>
      </c>
      <c r="D1983" s="1" t="s">
        <v>1989</v>
      </c>
      <c r="E1983" s="6">
        <v>2</v>
      </c>
      <c r="F1983" s="6" t="str">
        <f t="shared" si="60"/>
        <v>September</v>
      </c>
      <c r="G1983" s="6">
        <f t="shared" si="61"/>
        <v>38</v>
      </c>
      <c r="H1983" s="1">
        <f>SUMIF('Retal Tran Line Item'!E:E,A1983,'Retal Tran Line Item'!B:B)</f>
        <v>24</v>
      </c>
    </row>
    <row r="1984" spans="1:8">
      <c r="A1984" s="1">
        <v>101982</v>
      </c>
      <c r="B1984" s="1">
        <v>226209</v>
      </c>
      <c r="C1984" s="2">
        <v>41532</v>
      </c>
      <c r="D1984" s="1" t="s">
        <v>1994</v>
      </c>
      <c r="E1984" s="6">
        <v>2</v>
      </c>
      <c r="F1984" s="6" t="str">
        <f t="shared" si="60"/>
        <v>September</v>
      </c>
      <c r="G1984" s="6">
        <f t="shared" si="61"/>
        <v>38</v>
      </c>
      <c r="H1984" s="1">
        <f>SUMIF('Retal Tran Line Item'!E:E,A1984,'Retal Tran Line Item'!B:B)</f>
        <v>6</v>
      </c>
    </row>
    <row r="1985" spans="1:8">
      <c r="A1985" s="1">
        <v>101983</v>
      </c>
      <c r="B1985" s="1">
        <v>580783</v>
      </c>
      <c r="C1985" s="2">
        <v>41532</v>
      </c>
      <c r="D1985" s="1" t="s">
        <v>1989</v>
      </c>
      <c r="E1985" s="6">
        <v>1</v>
      </c>
      <c r="F1985" s="6" t="str">
        <f t="shared" si="60"/>
        <v>September</v>
      </c>
      <c r="G1985" s="6">
        <f t="shared" si="61"/>
        <v>38</v>
      </c>
      <c r="H1985" s="1">
        <f>SUMIF('Retal Tran Line Item'!E:E,A1985,'Retal Tran Line Item'!B:B)</f>
        <v>8</v>
      </c>
    </row>
    <row r="1986" spans="1:8">
      <c r="A1986" s="1">
        <v>101984</v>
      </c>
      <c r="B1986" s="1">
        <v>448739</v>
      </c>
      <c r="C1986" s="2">
        <v>41532</v>
      </c>
      <c r="D1986" s="1" t="s">
        <v>1989</v>
      </c>
      <c r="E1986" s="6">
        <v>2</v>
      </c>
      <c r="F1986" s="6" t="str">
        <f t="shared" si="60"/>
        <v>September</v>
      </c>
      <c r="G1986" s="6">
        <f t="shared" si="61"/>
        <v>38</v>
      </c>
      <c r="H1986" s="1">
        <f>SUMIF('Retal Tran Line Item'!E:E,A1986,'Retal Tran Line Item'!B:B)</f>
        <v>17</v>
      </c>
    </row>
    <row r="1987" spans="1:8">
      <c r="A1987" s="1">
        <v>101985</v>
      </c>
      <c r="B1987" s="1">
        <v>585972</v>
      </c>
      <c r="C1987" s="2">
        <v>41533</v>
      </c>
      <c r="D1987" s="1" t="s">
        <v>1993</v>
      </c>
      <c r="E1987" s="6">
        <v>1</v>
      </c>
      <c r="F1987" s="6" t="str">
        <f t="shared" ref="F1987:F2050" si="62">TEXT(C1987,"MMMM")</f>
        <v>September</v>
      </c>
      <c r="G1987" s="6">
        <f t="shared" ref="G1987:G2050" si="63">WEEKNUM(C1987)</f>
        <v>38</v>
      </c>
      <c r="H1987" s="1">
        <f>SUMIF('Retal Tran Line Item'!E:E,A1987,'Retal Tran Line Item'!B:B)</f>
        <v>10</v>
      </c>
    </row>
    <row r="1988" spans="1:8">
      <c r="A1988" s="1">
        <v>101986</v>
      </c>
      <c r="B1988" s="1">
        <v>832914</v>
      </c>
      <c r="C1988" s="2">
        <v>41533</v>
      </c>
      <c r="D1988" s="1" t="s">
        <v>1992</v>
      </c>
      <c r="E1988" s="6">
        <v>1</v>
      </c>
      <c r="F1988" s="6" t="str">
        <f t="shared" si="62"/>
        <v>September</v>
      </c>
      <c r="G1988" s="6">
        <f t="shared" si="63"/>
        <v>38</v>
      </c>
      <c r="H1988" s="1">
        <f>SUMIF('Retal Tran Line Item'!E:E,A1988,'Retal Tran Line Item'!B:B)</f>
        <v>8</v>
      </c>
    </row>
    <row r="1989" spans="1:8">
      <c r="A1989" s="1">
        <v>101987</v>
      </c>
      <c r="B1989" s="1">
        <v>976778</v>
      </c>
      <c r="C1989" s="2">
        <v>41533</v>
      </c>
      <c r="D1989" s="1" t="s">
        <v>1992</v>
      </c>
      <c r="E1989" s="6">
        <v>2</v>
      </c>
      <c r="F1989" s="6" t="str">
        <f t="shared" si="62"/>
        <v>September</v>
      </c>
      <c r="G1989" s="6">
        <f t="shared" si="63"/>
        <v>38</v>
      </c>
      <c r="H1989" s="1">
        <f>SUMIF('Retal Tran Line Item'!E:E,A1989,'Retal Tran Line Item'!B:B)</f>
        <v>4</v>
      </c>
    </row>
    <row r="1990" spans="1:8">
      <c r="A1990" s="1">
        <v>101988</v>
      </c>
      <c r="B1990" s="1">
        <v>663029</v>
      </c>
      <c r="C1990" s="2">
        <v>41533</v>
      </c>
      <c r="D1990" s="1" t="s">
        <v>1993</v>
      </c>
      <c r="E1990" s="6">
        <v>2</v>
      </c>
      <c r="F1990" s="6" t="str">
        <f t="shared" si="62"/>
        <v>September</v>
      </c>
      <c r="G1990" s="6">
        <f t="shared" si="63"/>
        <v>38</v>
      </c>
      <c r="H1990" s="1">
        <f>SUMIF('Retal Tran Line Item'!E:E,A1990,'Retal Tran Line Item'!B:B)</f>
        <v>1</v>
      </c>
    </row>
    <row r="1991" spans="1:8">
      <c r="A1991" s="1">
        <v>101989</v>
      </c>
      <c r="B1991" s="1">
        <v>147216</v>
      </c>
      <c r="C1991" s="2">
        <v>41533</v>
      </c>
      <c r="D1991" s="1" t="s">
        <v>1993</v>
      </c>
      <c r="E1991" s="6">
        <v>1</v>
      </c>
      <c r="F1991" s="6" t="str">
        <f t="shared" si="62"/>
        <v>September</v>
      </c>
      <c r="G1991" s="6">
        <f t="shared" si="63"/>
        <v>38</v>
      </c>
      <c r="H1991" s="1">
        <f>SUMIF('Retal Tran Line Item'!E:E,A1991,'Retal Tran Line Item'!B:B)</f>
        <v>10</v>
      </c>
    </row>
    <row r="1992" spans="1:8">
      <c r="A1992" s="1">
        <v>101990</v>
      </c>
      <c r="B1992" s="1">
        <v>889686</v>
      </c>
      <c r="C1992" s="2">
        <v>41533</v>
      </c>
      <c r="D1992" s="1" t="s">
        <v>1989</v>
      </c>
      <c r="E1992" s="6">
        <v>1</v>
      </c>
      <c r="F1992" s="6" t="str">
        <f t="shared" si="62"/>
        <v>September</v>
      </c>
      <c r="G1992" s="6">
        <f t="shared" si="63"/>
        <v>38</v>
      </c>
      <c r="H1992" s="1">
        <f>SUMIF('Retal Tran Line Item'!E:E,A1992,'Retal Tran Line Item'!B:B)</f>
        <v>7</v>
      </c>
    </row>
    <row r="1993" spans="1:8">
      <c r="A1993" s="1">
        <v>101991</v>
      </c>
      <c r="B1993" s="1">
        <v>242720</v>
      </c>
      <c r="C1993" s="2">
        <v>41533</v>
      </c>
      <c r="D1993" s="1" t="s">
        <v>1989</v>
      </c>
      <c r="E1993" s="6">
        <v>2</v>
      </c>
      <c r="F1993" s="6" t="str">
        <f t="shared" si="62"/>
        <v>September</v>
      </c>
      <c r="G1993" s="6">
        <f t="shared" si="63"/>
        <v>38</v>
      </c>
      <c r="H1993" s="1">
        <f>SUMIF('Retal Tran Line Item'!E:E,A1993,'Retal Tran Line Item'!B:B)</f>
        <v>9</v>
      </c>
    </row>
    <row r="1994" spans="1:8">
      <c r="A1994" s="1">
        <v>101992</v>
      </c>
      <c r="B1994" s="1">
        <v>230467</v>
      </c>
      <c r="C1994" s="2">
        <v>41533</v>
      </c>
      <c r="D1994" s="1" t="s">
        <v>1989</v>
      </c>
      <c r="E1994" s="6">
        <v>1</v>
      </c>
      <c r="F1994" s="6" t="str">
        <f t="shared" si="62"/>
        <v>September</v>
      </c>
      <c r="G1994" s="6">
        <f t="shared" si="63"/>
        <v>38</v>
      </c>
      <c r="H1994" s="1">
        <f>SUMIF('Retal Tran Line Item'!E:E,A1994,'Retal Tran Line Item'!B:B)</f>
        <v>18</v>
      </c>
    </row>
    <row r="1995" spans="1:8">
      <c r="A1995" s="1">
        <v>101993</v>
      </c>
      <c r="B1995" s="1">
        <v>549823</v>
      </c>
      <c r="C1995" s="2">
        <v>41533</v>
      </c>
      <c r="D1995" s="1" t="s">
        <v>1993</v>
      </c>
      <c r="E1995" s="6">
        <v>1</v>
      </c>
      <c r="F1995" s="6" t="str">
        <f t="shared" si="62"/>
        <v>September</v>
      </c>
      <c r="G1995" s="6">
        <f t="shared" si="63"/>
        <v>38</v>
      </c>
      <c r="H1995" s="1">
        <f>SUMIF('Retal Tran Line Item'!E:E,A1995,'Retal Tran Line Item'!B:B)</f>
        <v>10</v>
      </c>
    </row>
    <row r="1996" spans="1:8">
      <c r="A1996" s="1">
        <v>101994</v>
      </c>
      <c r="B1996" s="1">
        <v>384899</v>
      </c>
      <c r="C1996" s="2">
        <v>41533</v>
      </c>
      <c r="D1996" s="1" t="s">
        <v>1992</v>
      </c>
      <c r="E1996" s="6">
        <v>1</v>
      </c>
      <c r="F1996" s="6" t="str">
        <f t="shared" si="62"/>
        <v>September</v>
      </c>
      <c r="G1996" s="6">
        <f t="shared" si="63"/>
        <v>38</v>
      </c>
      <c r="H1996" s="1">
        <f>SUMIF('Retal Tran Line Item'!E:E,A1996,'Retal Tran Line Item'!B:B)</f>
        <v>22</v>
      </c>
    </row>
    <row r="1997" spans="1:8">
      <c r="A1997" s="1">
        <v>101995</v>
      </c>
      <c r="B1997" s="1">
        <v>224094</v>
      </c>
      <c r="C1997" s="2">
        <v>41533</v>
      </c>
      <c r="D1997" s="1" t="s">
        <v>1989</v>
      </c>
      <c r="E1997" s="6">
        <v>1</v>
      </c>
      <c r="F1997" s="6" t="str">
        <f t="shared" si="62"/>
        <v>September</v>
      </c>
      <c r="G1997" s="6">
        <f t="shared" si="63"/>
        <v>38</v>
      </c>
      <c r="H1997" s="1">
        <f>SUMIF('Retal Tran Line Item'!E:E,A1997,'Retal Tran Line Item'!B:B)</f>
        <v>7</v>
      </c>
    </row>
    <row r="1998" spans="1:8">
      <c r="A1998" s="1">
        <v>101996</v>
      </c>
      <c r="B1998" s="1">
        <v>550824</v>
      </c>
      <c r="C1998" s="2">
        <v>41533</v>
      </c>
      <c r="D1998" s="1" t="s">
        <v>1989</v>
      </c>
      <c r="E1998" s="6">
        <v>2</v>
      </c>
      <c r="F1998" s="6" t="str">
        <f t="shared" si="62"/>
        <v>September</v>
      </c>
      <c r="G1998" s="6">
        <f t="shared" si="63"/>
        <v>38</v>
      </c>
      <c r="H1998" s="1">
        <f>SUMIF('Retal Tran Line Item'!E:E,A1998,'Retal Tran Line Item'!B:B)</f>
        <v>10</v>
      </c>
    </row>
    <row r="1999" spans="1:8">
      <c r="A1999" s="1">
        <v>101997</v>
      </c>
      <c r="B1999" s="1">
        <v>203787</v>
      </c>
      <c r="C1999" s="2">
        <v>41533</v>
      </c>
      <c r="D1999" s="1" t="s">
        <v>1994</v>
      </c>
      <c r="E1999" s="6">
        <v>2</v>
      </c>
      <c r="F1999" s="6" t="str">
        <f t="shared" si="62"/>
        <v>September</v>
      </c>
      <c r="G1999" s="6">
        <f t="shared" si="63"/>
        <v>38</v>
      </c>
      <c r="H1999" s="1">
        <f>SUMIF('Retal Tran Line Item'!E:E,A1999,'Retal Tran Line Item'!B:B)</f>
        <v>18</v>
      </c>
    </row>
    <row r="2000" spans="1:8">
      <c r="A2000" s="1">
        <v>101998</v>
      </c>
      <c r="B2000" s="1">
        <v>651462</v>
      </c>
      <c r="C2000" s="2">
        <v>41533</v>
      </c>
      <c r="D2000" s="1" t="s">
        <v>1992</v>
      </c>
      <c r="E2000" s="6">
        <v>1</v>
      </c>
      <c r="F2000" s="6" t="str">
        <f t="shared" si="62"/>
        <v>September</v>
      </c>
      <c r="G2000" s="6">
        <f t="shared" si="63"/>
        <v>38</v>
      </c>
      <c r="H2000" s="1">
        <f>SUMIF('Retal Tran Line Item'!E:E,A2000,'Retal Tran Line Item'!B:B)</f>
        <v>15</v>
      </c>
    </row>
    <row r="2001" spans="1:8">
      <c r="A2001" s="1">
        <v>101999</v>
      </c>
      <c r="B2001" s="1">
        <v>119406</v>
      </c>
      <c r="C2001" s="2">
        <v>41533</v>
      </c>
      <c r="D2001" s="1" t="s">
        <v>1993</v>
      </c>
      <c r="E2001" s="6">
        <v>2</v>
      </c>
      <c r="F2001" s="6" t="str">
        <f t="shared" si="62"/>
        <v>September</v>
      </c>
      <c r="G2001" s="6">
        <f t="shared" si="63"/>
        <v>38</v>
      </c>
      <c r="H2001" s="1">
        <f>SUMIF('Retal Tran Line Item'!E:E,A2001,'Retal Tran Line Item'!B:B)</f>
        <v>5</v>
      </c>
    </row>
    <row r="2002" spans="1:8">
      <c r="A2002" s="1">
        <v>102000</v>
      </c>
      <c r="B2002" s="1">
        <v>739669</v>
      </c>
      <c r="C2002" s="2">
        <v>41533</v>
      </c>
      <c r="D2002" s="1" t="s">
        <v>1992</v>
      </c>
      <c r="E2002" s="6">
        <v>2</v>
      </c>
      <c r="F2002" s="6" t="str">
        <f t="shared" si="62"/>
        <v>September</v>
      </c>
      <c r="G2002" s="6">
        <f t="shared" si="63"/>
        <v>38</v>
      </c>
      <c r="H2002" s="1">
        <f>SUMIF('Retal Tran Line Item'!E:E,A2002,'Retal Tran Line Item'!B:B)</f>
        <v>3</v>
      </c>
    </row>
    <row r="2003" spans="1:8">
      <c r="A2003" s="1">
        <v>102001</v>
      </c>
      <c r="B2003" s="1">
        <v>205927</v>
      </c>
      <c r="C2003" s="2">
        <v>41533</v>
      </c>
      <c r="D2003" s="1" t="s">
        <v>1992</v>
      </c>
      <c r="E2003" s="6">
        <v>2</v>
      </c>
      <c r="F2003" s="6" t="str">
        <f t="shared" si="62"/>
        <v>September</v>
      </c>
      <c r="G2003" s="6">
        <f t="shared" si="63"/>
        <v>38</v>
      </c>
      <c r="H2003" s="1">
        <f>SUMIF('Retal Tran Line Item'!E:E,A2003,'Retal Tran Line Item'!B:B)</f>
        <v>13</v>
      </c>
    </row>
    <row r="2004" spans="1:8">
      <c r="A2004" s="1">
        <v>102002</v>
      </c>
      <c r="B2004" s="1">
        <v>586201</v>
      </c>
      <c r="C2004" s="2">
        <v>41533</v>
      </c>
      <c r="D2004" s="1" t="s">
        <v>1992</v>
      </c>
      <c r="E2004" s="6">
        <v>2</v>
      </c>
      <c r="F2004" s="6" t="str">
        <f t="shared" si="62"/>
        <v>September</v>
      </c>
      <c r="G2004" s="6">
        <f t="shared" si="63"/>
        <v>38</v>
      </c>
      <c r="H2004" s="1">
        <f>SUMIF('Retal Tran Line Item'!E:E,A2004,'Retal Tran Line Item'!B:B)</f>
        <v>8</v>
      </c>
    </row>
    <row r="2005" spans="1:8">
      <c r="A2005" s="1">
        <v>102003</v>
      </c>
      <c r="B2005" s="1">
        <v>901388</v>
      </c>
      <c r="C2005" s="2">
        <v>41533</v>
      </c>
      <c r="D2005" s="1" t="s">
        <v>1992</v>
      </c>
      <c r="E2005" s="6">
        <v>2</v>
      </c>
      <c r="F2005" s="6" t="str">
        <f t="shared" si="62"/>
        <v>September</v>
      </c>
      <c r="G2005" s="6">
        <f t="shared" si="63"/>
        <v>38</v>
      </c>
      <c r="H2005" s="1">
        <f>SUMIF('Retal Tran Line Item'!E:E,A2005,'Retal Tran Line Item'!B:B)</f>
        <v>7</v>
      </c>
    </row>
    <row r="2006" spans="1:8">
      <c r="A2006" s="1">
        <v>102004</v>
      </c>
      <c r="B2006" s="1">
        <v>393893</v>
      </c>
      <c r="C2006" s="2">
        <v>41533</v>
      </c>
      <c r="D2006" s="1" t="s">
        <v>1992</v>
      </c>
      <c r="E2006" s="6">
        <v>2</v>
      </c>
      <c r="F2006" s="6" t="str">
        <f t="shared" si="62"/>
        <v>September</v>
      </c>
      <c r="G2006" s="6">
        <f t="shared" si="63"/>
        <v>38</v>
      </c>
      <c r="H2006" s="1">
        <f>SUMIF('Retal Tran Line Item'!E:E,A2006,'Retal Tran Line Item'!B:B)</f>
        <v>8</v>
      </c>
    </row>
    <row r="2007" spans="1:8">
      <c r="A2007" s="1">
        <v>102005</v>
      </c>
      <c r="B2007" s="1">
        <v>580674</v>
      </c>
      <c r="C2007" s="2">
        <v>41533</v>
      </c>
      <c r="D2007" s="1" t="s">
        <v>1994</v>
      </c>
      <c r="E2007" s="6">
        <v>1</v>
      </c>
      <c r="F2007" s="6" t="str">
        <f t="shared" si="62"/>
        <v>September</v>
      </c>
      <c r="G2007" s="6">
        <f t="shared" si="63"/>
        <v>38</v>
      </c>
      <c r="H2007" s="1">
        <f>SUMIF('Retal Tran Line Item'!E:E,A2007,'Retal Tran Line Item'!B:B)</f>
        <v>8</v>
      </c>
    </row>
    <row r="2008" spans="1:8">
      <c r="A2008" s="1">
        <v>102006</v>
      </c>
      <c r="B2008" s="1">
        <v>717234</v>
      </c>
      <c r="C2008" s="2">
        <v>41534</v>
      </c>
      <c r="D2008" s="1" t="s">
        <v>1994</v>
      </c>
      <c r="E2008" s="6">
        <v>2</v>
      </c>
      <c r="F2008" s="6" t="str">
        <f t="shared" si="62"/>
        <v>September</v>
      </c>
      <c r="G2008" s="6">
        <f t="shared" si="63"/>
        <v>38</v>
      </c>
      <c r="H2008" s="1">
        <f>SUMIF('Retal Tran Line Item'!E:E,A2008,'Retal Tran Line Item'!B:B)</f>
        <v>17</v>
      </c>
    </row>
    <row r="2009" spans="1:8">
      <c r="A2009" s="1">
        <v>102007</v>
      </c>
      <c r="B2009" s="1">
        <v>520196</v>
      </c>
      <c r="C2009" s="2">
        <v>41534</v>
      </c>
      <c r="D2009" s="1" t="s">
        <v>1992</v>
      </c>
      <c r="E2009" s="6">
        <v>1</v>
      </c>
      <c r="F2009" s="6" t="str">
        <f t="shared" si="62"/>
        <v>September</v>
      </c>
      <c r="G2009" s="6">
        <f t="shared" si="63"/>
        <v>38</v>
      </c>
      <c r="H2009" s="1">
        <f>SUMIF('Retal Tran Line Item'!E:E,A2009,'Retal Tran Line Item'!B:B)</f>
        <v>5</v>
      </c>
    </row>
    <row r="2010" spans="1:8">
      <c r="A2010" s="1">
        <v>102008</v>
      </c>
      <c r="B2010" s="1">
        <v>772690</v>
      </c>
      <c r="C2010" s="2">
        <v>41534</v>
      </c>
      <c r="D2010" s="1" t="s">
        <v>1992</v>
      </c>
      <c r="E2010" s="6">
        <v>2</v>
      </c>
      <c r="F2010" s="6" t="str">
        <f t="shared" si="62"/>
        <v>September</v>
      </c>
      <c r="G2010" s="6">
        <f t="shared" si="63"/>
        <v>38</v>
      </c>
      <c r="H2010" s="1">
        <f>SUMIF('Retal Tran Line Item'!E:E,A2010,'Retal Tran Line Item'!B:B)</f>
        <v>1</v>
      </c>
    </row>
    <row r="2011" spans="1:8">
      <c r="A2011" s="1">
        <v>102009</v>
      </c>
      <c r="B2011" s="1">
        <v>329994</v>
      </c>
      <c r="C2011" s="2">
        <v>41534</v>
      </c>
      <c r="D2011" s="1" t="s">
        <v>1994</v>
      </c>
      <c r="E2011" s="6">
        <v>2</v>
      </c>
      <c r="F2011" s="6" t="str">
        <f t="shared" si="62"/>
        <v>September</v>
      </c>
      <c r="G2011" s="6">
        <f t="shared" si="63"/>
        <v>38</v>
      </c>
      <c r="H2011" s="1">
        <f>SUMIF('Retal Tran Line Item'!E:E,A2011,'Retal Tran Line Item'!B:B)</f>
        <v>18</v>
      </c>
    </row>
    <row r="2012" spans="1:8">
      <c r="A2012" s="1">
        <v>102010</v>
      </c>
      <c r="B2012" s="1">
        <v>744416</v>
      </c>
      <c r="C2012" s="2">
        <v>41534</v>
      </c>
      <c r="D2012" s="1" t="s">
        <v>1992</v>
      </c>
      <c r="E2012" s="6">
        <v>1</v>
      </c>
      <c r="F2012" s="6" t="str">
        <f t="shared" si="62"/>
        <v>September</v>
      </c>
      <c r="G2012" s="6">
        <f t="shared" si="63"/>
        <v>38</v>
      </c>
      <c r="H2012" s="1">
        <f>SUMIF('Retal Tran Line Item'!E:E,A2012,'Retal Tran Line Item'!B:B)</f>
        <v>8</v>
      </c>
    </row>
    <row r="2013" spans="1:8">
      <c r="A2013" s="1">
        <v>102011</v>
      </c>
      <c r="B2013" s="1">
        <v>448739</v>
      </c>
      <c r="C2013" s="2">
        <v>41534</v>
      </c>
      <c r="D2013" s="1" t="s">
        <v>1989</v>
      </c>
      <c r="E2013" s="6">
        <v>2</v>
      </c>
      <c r="F2013" s="6" t="str">
        <f t="shared" si="62"/>
        <v>September</v>
      </c>
      <c r="G2013" s="6">
        <f t="shared" si="63"/>
        <v>38</v>
      </c>
      <c r="H2013" s="1">
        <f>SUMIF('Retal Tran Line Item'!E:E,A2013,'Retal Tran Line Item'!B:B)</f>
        <v>10</v>
      </c>
    </row>
    <row r="2014" spans="1:8">
      <c r="A2014" s="1">
        <v>102012</v>
      </c>
      <c r="B2014" s="1">
        <v>944523</v>
      </c>
      <c r="C2014" s="2">
        <v>41534</v>
      </c>
      <c r="D2014" s="1" t="s">
        <v>1992</v>
      </c>
      <c r="E2014" s="6">
        <v>1</v>
      </c>
      <c r="F2014" s="6" t="str">
        <f t="shared" si="62"/>
        <v>September</v>
      </c>
      <c r="G2014" s="6">
        <f t="shared" si="63"/>
        <v>38</v>
      </c>
      <c r="H2014" s="1">
        <f>SUMIF('Retal Tran Line Item'!E:E,A2014,'Retal Tran Line Item'!B:B)</f>
        <v>10</v>
      </c>
    </row>
    <row r="2015" spans="1:8">
      <c r="A2015" s="1">
        <v>102013</v>
      </c>
      <c r="B2015" s="1">
        <v>452874</v>
      </c>
      <c r="C2015" s="2">
        <v>41534</v>
      </c>
      <c r="D2015" s="1" t="s">
        <v>1993</v>
      </c>
      <c r="E2015" s="6">
        <v>2</v>
      </c>
      <c r="F2015" s="6" t="str">
        <f t="shared" si="62"/>
        <v>September</v>
      </c>
      <c r="G2015" s="6">
        <f t="shared" si="63"/>
        <v>38</v>
      </c>
      <c r="H2015" s="1">
        <f>SUMIF('Retal Tran Line Item'!E:E,A2015,'Retal Tran Line Item'!B:B)</f>
        <v>13</v>
      </c>
    </row>
    <row r="2016" spans="1:8">
      <c r="A2016" s="1">
        <v>102014</v>
      </c>
      <c r="B2016" s="1">
        <v>814317</v>
      </c>
      <c r="C2016" s="2">
        <v>41534</v>
      </c>
      <c r="D2016" s="1" t="s">
        <v>1994</v>
      </c>
      <c r="E2016" s="6">
        <v>1</v>
      </c>
      <c r="F2016" s="6" t="str">
        <f t="shared" si="62"/>
        <v>September</v>
      </c>
      <c r="G2016" s="6">
        <f t="shared" si="63"/>
        <v>38</v>
      </c>
      <c r="H2016" s="1">
        <f>SUMIF('Retal Tran Line Item'!E:E,A2016,'Retal Tran Line Item'!B:B)</f>
        <v>18</v>
      </c>
    </row>
    <row r="2017" spans="1:8">
      <c r="A2017" s="1">
        <v>102015</v>
      </c>
      <c r="B2017" s="1">
        <v>231615</v>
      </c>
      <c r="C2017" s="2">
        <v>41534</v>
      </c>
      <c r="D2017" s="1" t="s">
        <v>1989</v>
      </c>
      <c r="E2017" s="6">
        <v>2</v>
      </c>
      <c r="F2017" s="6" t="str">
        <f t="shared" si="62"/>
        <v>September</v>
      </c>
      <c r="G2017" s="6">
        <f t="shared" si="63"/>
        <v>38</v>
      </c>
      <c r="H2017" s="1">
        <f>SUMIF('Retal Tran Line Item'!E:E,A2017,'Retal Tran Line Item'!B:B)</f>
        <v>15</v>
      </c>
    </row>
    <row r="2018" spans="1:8">
      <c r="A2018" s="1">
        <v>102016</v>
      </c>
      <c r="B2018" s="1">
        <v>550824</v>
      </c>
      <c r="C2018" s="2">
        <v>41534</v>
      </c>
      <c r="D2018" s="1" t="s">
        <v>1989</v>
      </c>
      <c r="E2018" s="6">
        <v>1</v>
      </c>
      <c r="F2018" s="6" t="str">
        <f t="shared" si="62"/>
        <v>September</v>
      </c>
      <c r="G2018" s="6">
        <f t="shared" si="63"/>
        <v>38</v>
      </c>
      <c r="H2018" s="1">
        <f>SUMIF('Retal Tran Line Item'!E:E,A2018,'Retal Tran Line Item'!B:B)</f>
        <v>4</v>
      </c>
    </row>
    <row r="2019" spans="1:8">
      <c r="A2019" s="1">
        <v>102017</v>
      </c>
      <c r="B2019" s="1">
        <v>442691</v>
      </c>
      <c r="C2019" s="2">
        <v>41534</v>
      </c>
      <c r="D2019" s="1" t="s">
        <v>1992</v>
      </c>
      <c r="E2019" s="6">
        <v>1</v>
      </c>
      <c r="F2019" s="6" t="str">
        <f t="shared" si="62"/>
        <v>September</v>
      </c>
      <c r="G2019" s="6">
        <f t="shared" si="63"/>
        <v>38</v>
      </c>
      <c r="H2019" s="1">
        <f>SUMIF('Retal Tran Line Item'!E:E,A2019,'Retal Tran Line Item'!B:B)</f>
        <v>13</v>
      </c>
    </row>
    <row r="2020" spans="1:8">
      <c r="A2020" s="1">
        <v>102018</v>
      </c>
      <c r="B2020" s="1">
        <v>938006</v>
      </c>
      <c r="C2020" s="2">
        <v>41534</v>
      </c>
      <c r="D2020" s="1" t="s">
        <v>1992</v>
      </c>
      <c r="E2020" s="6">
        <v>1</v>
      </c>
      <c r="F2020" s="6" t="str">
        <f t="shared" si="62"/>
        <v>September</v>
      </c>
      <c r="G2020" s="6">
        <f t="shared" si="63"/>
        <v>38</v>
      </c>
      <c r="H2020" s="1">
        <f>SUMIF('Retal Tran Line Item'!E:E,A2020,'Retal Tran Line Item'!B:B)</f>
        <v>6</v>
      </c>
    </row>
    <row r="2021" spans="1:8">
      <c r="A2021" s="1">
        <v>102019</v>
      </c>
      <c r="B2021" s="1">
        <v>173380</v>
      </c>
      <c r="C2021" s="2">
        <v>41534</v>
      </c>
      <c r="D2021" s="1" t="s">
        <v>1993</v>
      </c>
      <c r="E2021" s="6">
        <v>1</v>
      </c>
      <c r="F2021" s="6" t="str">
        <f t="shared" si="62"/>
        <v>September</v>
      </c>
      <c r="G2021" s="6">
        <f t="shared" si="63"/>
        <v>38</v>
      </c>
      <c r="H2021" s="1">
        <f>SUMIF('Retal Tran Line Item'!E:E,A2021,'Retal Tran Line Item'!B:B)</f>
        <v>3</v>
      </c>
    </row>
    <row r="2022" spans="1:8">
      <c r="A2022" s="1">
        <v>102020</v>
      </c>
      <c r="B2022" s="1">
        <v>426830</v>
      </c>
      <c r="C2022" s="2">
        <v>41534</v>
      </c>
      <c r="D2022" s="1" t="s">
        <v>1994</v>
      </c>
      <c r="E2022" s="6">
        <v>2</v>
      </c>
      <c r="F2022" s="6" t="str">
        <f t="shared" si="62"/>
        <v>September</v>
      </c>
      <c r="G2022" s="6">
        <f t="shared" si="63"/>
        <v>38</v>
      </c>
      <c r="H2022" s="1">
        <f>SUMIF('Retal Tran Line Item'!E:E,A2022,'Retal Tran Line Item'!B:B)</f>
        <v>7</v>
      </c>
    </row>
    <row r="2023" spans="1:8">
      <c r="A2023" s="1">
        <v>102021</v>
      </c>
      <c r="B2023" s="1">
        <v>651462</v>
      </c>
      <c r="C2023" s="2">
        <v>41534</v>
      </c>
      <c r="D2023" s="1" t="s">
        <v>1992</v>
      </c>
      <c r="E2023" s="6">
        <v>2</v>
      </c>
      <c r="F2023" s="6" t="str">
        <f t="shared" si="62"/>
        <v>September</v>
      </c>
      <c r="G2023" s="6">
        <f t="shared" si="63"/>
        <v>38</v>
      </c>
      <c r="H2023" s="1">
        <f>SUMIF('Retal Tran Line Item'!E:E,A2023,'Retal Tran Line Item'!B:B)</f>
        <v>8</v>
      </c>
    </row>
    <row r="2024" spans="1:8">
      <c r="A2024" s="1">
        <v>102022</v>
      </c>
      <c r="B2024" s="1">
        <v>193914</v>
      </c>
      <c r="C2024" s="2">
        <v>41535</v>
      </c>
      <c r="D2024" s="1" t="s">
        <v>1992</v>
      </c>
      <c r="E2024" s="6">
        <v>2</v>
      </c>
      <c r="F2024" s="6" t="str">
        <f t="shared" si="62"/>
        <v>September</v>
      </c>
      <c r="G2024" s="6">
        <f t="shared" si="63"/>
        <v>38</v>
      </c>
      <c r="H2024" s="1">
        <f>SUMIF('Retal Tran Line Item'!E:E,A2024,'Retal Tran Line Item'!B:B)</f>
        <v>10</v>
      </c>
    </row>
    <row r="2025" spans="1:8">
      <c r="A2025" s="1">
        <v>102023</v>
      </c>
      <c r="B2025" s="1">
        <v>270853</v>
      </c>
      <c r="C2025" s="2">
        <v>41535</v>
      </c>
      <c r="D2025" s="1" t="s">
        <v>1992</v>
      </c>
      <c r="E2025" s="6">
        <v>2</v>
      </c>
      <c r="F2025" s="6" t="str">
        <f t="shared" si="62"/>
        <v>September</v>
      </c>
      <c r="G2025" s="6">
        <f t="shared" si="63"/>
        <v>38</v>
      </c>
      <c r="H2025" s="1">
        <f>SUMIF('Retal Tran Line Item'!E:E,A2025,'Retal Tran Line Item'!B:B)</f>
        <v>26</v>
      </c>
    </row>
    <row r="2026" spans="1:8">
      <c r="A2026" s="1">
        <v>102024</v>
      </c>
      <c r="B2026" s="1">
        <v>999915</v>
      </c>
      <c r="C2026" s="2">
        <v>41535</v>
      </c>
      <c r="D2026" s="1" t="s">
        <v>1989</v>
      </c>
      <c r="E2026" s="6">
        <v>2</v>
      </c>
      <c r="F2026" s="6" t="str">
        <f t="shared" si="62"/>
        <v>September</v>
      </c>
      <c r="G2026" s="6">
        <f t="shared" si="63"/>
        <v>38</v>
      </c>
      <c r="H2026" s="1">
        <f>SUMIF('Retal Tran Line Item'!E:E,A2026,'Retal Tran Line Item'!B:B)</f>
        <v>5</v>
      </c>
    </row>
    <row r="2027" spans="1:8">
      <c r="A2027" s="1">
        <v>102025</v>
      </c>
      <c r="B2027" s="1">
        <v>484909</v>
      </c>
      <c r="C2027" s="2">
        <v>41535</v>
      </c>
      <c r="D2027" s="1" t="s">
        <v>1994</v>
      </c>
      <c r="E2027" s="6">
        <v>2</v>
      </c>
      <c r="F2027" s="6" t="str">
        <f t="shared" si="62"/>
        <v>September</v>
      </c>
      <c r="G2027" s="6">
        <f t="shared" si="63"/>
        <v>38</v>
      </c>
      <c r="H2027" s="1">
        <f>SUMIF('Retal Tran Line Item'!E:E,A2027,'Retal Tran Line Item'!B:B)</f>
        <v>14</v>
      </c>
    </row>
    <row r="2028" spans="1:8">
      <c r="A2028" s="1">
        <v>102026</v>
      </c>
      <c r="B2028" s="1">
        <v>559190</v>
      </c>
      <c r="C2028" s="2">
        <v>41535</v>
      </c>
      <c r="D2028" s="1" t="s">
        <v>1993</v>
      </c>
      <c r="E2028" s="6">
        <v>1</v>
      </c>
      <c r="F2028" s="6" t="str">
        <f t="shared" si="62"/>
        <v>September</v>
      </c>
      <c r="G2028" s="6">
        <f t="shared" si="63"/>
        <v>38</v>
      </c>
      <c r="H2028" s="1">
        <f>SUMIF('Retal Tran Line Item'!E:E,A2028,'Retal Tran Line Item'!B:B)</f>
        <v>9</v>
      </c>
    </row>
    <row r="2029" spans="1:8">
      <c r="A2029" s="1">
        <v>102027</v>
      </c>
      <c r="B2029" s="1">
        <v>405671</v>
      </c>
      <c r="C2029" s="2">
        <v>41535</v>
      </c>
      <c r="D2029" s="1" t="s">
        <v>1989</v>
      </c>
      <c r="E2029" s="6">
        <v>1</v>
      </c>
      <c r="F2029" s="6" t="str">
        <f t="shared" si="62"/>
        <v>September</v>
      </c>
      <c r="G2029" s="6">
        <f t="shared" si="63"/>
        <v>38</v>
      </c>
      <c r="H2029" s="1">
        <f>SUMIF('Retal Tran Line Item'!E:E,A2029,'Retal Tran Line Item'!B:B)</f>
        <v>8</v>
      </c>
    </row>
    <row r="2030" spans="1:8">
      <c r="A2030" s="1">
        <v>102028</v>
      </c>
      <c r="B2030" s="1">
        <v>158528</v>
      </c>
      <c r="C2030" s="2">
        <v>41535</v>
      </c>
      <c r="D2030" s="1" t="s">
        <v>1993</v>
      </c>
      <c r="E2030" s="6">
        <v>1</v>
      </c>
      <c r="F2030" s="6" t="str">
        <f t="shared" si="62"/>
        <v>September</v>
      </c>
      <c r="G2030" s="6">
        <f t="shared" si="63"/>
        <v>38</v>
      </c>
      <c r="H2030" s="1">
        <f>SUMIF('Retal Tran Line Item'!E:E,A2030,'Retal Tran Line Item'!B:B)</f>
        <v>27</v>
      </c>
    </row>
    <row r="2031" spans="1:8">
      <c r="A2031" s="1">
        <v>102029</v>
      </c>
      <c r="B2031" s="1">
        <v>205878</v>
      </c>
      <c r="C2031" s="2">
        <v>41535</v>
      </c>
      <c r="D2031" s="1" t="s">
        <v>1993</v>
      </c>
      <c r="E2031" s="6">
        <v>2</v>
      </c>
      <c r="F2031" s="6" t="str">
        <f t="shared" si="62"/>
        <v>September</v>
      </c>
      <c r="G2031" s="6">
        <f t="shared" si="63"/>
        <v>38</v>
      </c>
      <c r="H2031" s="1">
        <f>SUMIF('Retal Tran Line Item'!E:E,A2031,'Retal Tran Line Item'!B:B)</f>
        <v>8</v>
      </c>
    </row>
    <row r="2032" spans="1:8">
      <c r="A2032" s="1">
        <v>102030</v>
      </c>
      <c r="B2032" s="1">
        <v>236554</v>
      </c>
      <c r="C2032" s="2">
        <v>41535</v>
      </c>
      <c r="D2032" s="1" t="s">
        <v>1993</v>
      </c>
      <c r="E2032" s="6">
        <v>2</v>
      </c>
      <c r="F2032" s="6" t="str">
        <f t="shared" si="62"/>
        <v>September</v>
      </c>
      <c r="G2032" s="6">
        <f t="shared" si="63"/>
        <v>38</v>
      </c>
      <c r="H2032" s="1">
        <f>SUMIF('Retal Tran Line Item'!E:E,A2032,'Retal Tran Line Item'!B:B)</f>
        <v>22</v>
      </c>
    </row>
    <row r="2033" spans="1:8">
      <c r="A2033" s="1">
        <v>102031</v>
      </c>
      <c r="B2033" s="1">
        <v>390130</v>
      </c>
      <c r="C2033" s="2">
        <v>41535</v>
      </c>
      <c r="D2033" s="1" t="s">
        <v>1993</v>
      </c>
      <c r="E2033" s="6">
        <v>2</v>
      </c>
      <c r="F2033" s="6" t="str">
        <f t="shared" si="62"/>
        <v>September</v>
      </c>
      <c r="G2033" s="6">
        <f t="shared" si="63"/>
        <v>38</v>
      </c>
      <c r="H2033" s="1">
        <f>SUMIF('Retal Tran Line Item'!E:E,A2033,'Retal Tran Line Item'!B:B)</f>
        <v>4</v>
      </c>
    </row>
    <row r="2034" spans="1:8">
      <c r="A2034" s="1">
        <v>102032</v>
      </c>
      <c r="B2034" s="1">
        <v>537860</v>
      </c>
      <c r="C2034" s="2">
        <v>41535</v>
      </c>
      <c r="D2034" s="1" t="s">
        <v>1989</v>
      </c>
      <c r="E2034" s="6">
        <v>2</v>
      </c>
      <c r="F2034" s="6" t="str">
        <f t="shared" si="62"/>
        <v>September</v>
      </c>
      <c r="G2034" s="6">
        <f t="shared" si="63"/>
        <v>38</v>
      </c>
      <c r="H2034" s="1">
        <f>SUMIF('Retal Tran Line Item'!E:E,A2034,'Retal Tran Line Item'!B:B)</f>
        <v>10</v>
      </c>
    </row>
    <row r="2035" spans="1:8">
      <c r="A2035" s="1">
        <v>102033</v>
      </c>
      <c r="B2035" s="1">
        <v>226909</v>
      </c>
      <c r="C2035" s="2">
        <v>41535</v>
      </c>
      <c r="D2035" s="1" t="s">
        <v>1993</v>
      </c>
      <c r="E2035" s="6">
        <v>2</v>
      </c>
      <c r="F2035" s="6" t="str">
        <f t="shared" si="62"/>
        <v>September</v>
      </c>
      <c r="G2035" s="6">
        <f t="shared" si="63"/>
        <v>38</v>
      </c>
      <c r="H2035" s="1">
        <f>SUMIF('Retal Tran Line Item'!E:E,A2035,'Retal Tran Line Item'!B:B)</f>
        <v>9</v>
      </c>
    </row>
    <row r="2036" spans="1:8">
      <c r="A2036" s="1">
        <v>102034</v>
      </c>
      <c r="B2036" s="1">
        <v>143878</v>
      </c>
      <c r="C2036" s="2">
        <v>41535</v>
      </c>
      <c r="D2036" s="1" t="s">
        <v>1992</v>
      </c>
      <c r="E2036" s="6">
        <v>2</v>
      </c>
      <c r="F2036" s="6" t="str">
        <f t="shared" si="62"/>
        <v>September</v>
      </c>
      <c r="G2036" s="6">
        <f t="shared" si="63"/>
        <v>38</v>
      </c>
      <c r="H2036" s="1">
        <f>SUMIF('Retal Tran Line Item'!E:E,A2036,'Retal Tran Line Item'!B:B)</f>
        <v>5</v>
      </c>
    </row>
    <row r="2037" spans="1:8">
      <c r="A2037" s="1">
        <v>102035</v>
      </c>
      <c r="B2037" s="1">
        <v>373200</v>
      </c>
      <c r="C2037" s="2">
        <v>41535</v>
      </c>
      <c r="D2037" s="1" t="s">
        <v>1989</v>
      </c>
      <c r="E2037" s="6">
        <v>2</v>
      </c>
      <c r="F2037" s="6" t="str">
        <f t="shared" si="62"/>
        <v>September</v>
      </c>
      <c r="G2037" s="6">
        <f t="shared" si="63"/>
        <v>38</v>
      </c>
      <c r="H2037" s="1">
        <f>SUMIF('Retal Tran Line Item'!E:E,A2037,'Retal Tran Line Item'!B:B)</f>
        <v>2</v>
      </c>
    </row>
    <row r="2038" spans="1:8">
      <c r="A2038" s="1">
        <v>102036</v>
      </c>
      <c r="B2038" s="1">
        <v>226909</v>
      </c>
      <c r="C2038" s="2">
        <v>41535</v>
      </c>
      <c r="D2038" s="1" t="s">
        <v>1993</v>
      </c>
      <c r="E2038" s="6">
        <v>1</v>
      </c>
      <c r="F2038" s="6" t="str">
        <f t="shared" si="62"/>
        <v>September</v>
      </c>
      <c r="G2038" s="6">
        <f t="shared" si="63"/>
        <v>38</v>
      </c>
      <c r="H2038" s="1">
        <f>SUMIF('Retal Tran Line Item'!E:E,A2038,'Retal Tran Line Item'!B:B)</f>
        <v>19</v>
      </c>
    </row>
    <row r="2039" spans="1:8">
      <c r="A2039" s="1">
        <v>102037</v>
      </c>
      <c r="B2039" s="1">
        <v>373200</v>
      </c>
      <c r="C2039" s="2">
        <v>41535</v>
      </c>
      <c r="D2039" s="1" t="s">
        <v>1989</v>
      </c>
      <c r="E2039" s="6">
        <v>2</v>
      </c>
      <c r="F2039" s="6" t="str">
        <f t="shared" si="62"/>
        <v>September</v>
      </c>
      <c r="G2039" s="6">
        <f t="shared" si="63"/>
        <v>38</v>
      </c>
      <c r="H2039" s="1">
        <f>SUMIF('Retal Tran Line Item'!E:E,A2039,'Retal Tran Line Item'!B:B)</f>
        <v>20</v>
      </c>
    </row>
    <row r="2040" spans="1:8">
      <c r="A2040" s="1">
        <v>102038</v>
      </c>
      <c r="B2040" s="1">
        <v>227372</v>
      </c>
      <c r="C2040" s="2">
        <v>41535</v>
      </c>
      <c r="D2040" s="1" t="s">
        <v>1992</v>
      </c>
      <c r="E2040" s="6">
        <v>1</v>
      </c>
      <c r="F2040" s="6" t="str">
        <f t="shared" si="62"/>
        <v>September</v>
      </c>
      <c r="G2040" s="6">
        <f t="shared" si="63"/>
        <v>38</v>
      </c>
      <c r="H2040" s="1">
        <f>SUMIF('Retal Tran Line Item'!E:E,A2040,'Retal Tran Line Item'!B:B)</f>
        <v>7</v>
      </c>
    </row>
    <row r="2041" spans="1:8">
      <c r="A2041" s="1">
        <v>102039</v>
      </c>
      <c r="B2041" s="1">
        <v>610766</v>
      </c>
      <c r="C2041" s="2">
        <v>41535</v>
      </c>
      <c r="D2041" s="1" t="s">
        <v>1992</v>
      </c>
      <c r="E2041" s="6">
        <v>1</v>
      </c>
      <c r="F2041" s="6" t="str">
        <f t="shared" si="62"/>
        <v>September</v>
      </c>
      <c r="G2041" s="6">
        <f t="shared" si="63"/>
        <v>38</v>
      </c>
      <c r="H2041" s="1">
        <f>SUMIF('Retal Tran Line Item'!E:E,A2041,'Retal Tran Line Item'!B:B)</f>
        <v>10</v>
      </c>
    </row>
    <row r="2042" spans="1:8">
      <c r="A2042" s="1">
        <v>102040</v>
      </c>
      <c r="B2042" s="1">
        <v>197102</v>
      </c>
      <c r="C2042" s="2">
        <v>41535</v>
      </c>
      <c r="D2042" s="1" t="s">
        <v>1989</v>
      </c>
      <c r="E2042" s="6">
        <v>2</v>
      </c>
      <c r="F2042" s="6" t="str">
        <f t="shared" si="62"/>
        <v>September</v>
      </c>
      <c r="G2042" s="6">
        <f t="shared" si="63"/>
        <v>38</v>
      </c>
      <c r="H2042" s="1">
        <f>SUMIF('Retal Tran Line Item'!E:E,A2042,'Retal Tran Line Item'!B:B)</f>
        <v>24</v>
      </c>
    </row>
    <row r="2043" spans="1:8">
      <c r="A2043" s="1">
        <v>102041</v>
      </c>
      <c r="B2043" s="1">
        <v>464277</v>
      </c>
      <c r="C2043" s="2">
        <v>41536</v>
      </c>
      <c r="D2043" s="1" t="s">
        <v>1992</v>
      </c>
      <c r="E2043" s="6">
        <v>1</v>
      </c>
      <c r="F2043" s="6" t="str">
        <f t="shared" si="62"/>
        <v>September</v>
      </c>
      <c r="G2043" s="6">
        <f t="shared" si="63"/>
        <v>38</v>
      </c>
      <c r="H2043" s="1">
        <f>SUMIF('Retal Tran Line Item'!E:E,A2043,'Retal Tran Line Item'!B:B)</f>
        <v>20</v>
      </c>
    </row>
    <row r="2044" spans="1:8">
      <c r="A2044" s="1">
        <v>102042</v>
      </c>
      <c r="B2044" s="1">
        <v>274541</v>
      </c>
      <c r="C2044" s="2">
        <v>41536</v>
      </c>
      <c r="D2044" s="1" t="s">
        <v>1993</v>
      </c>
      <c r="E2044" s="6">
        <v>2</v>
      </c>
      <c r="F2044" s="6" t="str">
        <f t="shared" si="62"/>
        <v>September</v>
      </c>
      <c r="G2044" s="6">
        <f t="shared" si="63"/>
        <v>38</v>
      </c>
      <c r="H2044" s="1">
        <f>SUMIF('Retal Tran Line Item'!E:E,A2044,'Retal Tran Line Item'!B:B)</f>
        <v>12</v>
      </c>
    </row>
    <row r="2045" spans="1:8">
      <c r="A2045" s="1">
        <v>102043</v>
      </c>
      <c r="B2045" s="1">
        <v>494106</v>
      </c>
      <c r="C2045" s="2">
        <v>41536</v>
      </c>
      <c r="D2045" s="1" t="s">
        <v>1993</v>
      </c>
      <c r="E2045" s="6">
        <v>1</v>
      </c>
      <c r="F2045" s="6" t="str">
        <f t="shared" si="62"/>
        <v>September</v>
      </c>
      <c r="G2045" s="6">
        <f t="shared" si="63"/>
        <v>38</v>
      </c>
      <c r="H2045" s="1">
        <f>SUMIF('Retal Tran Line Item'!E:E,A2045,'Retal Tran Line Item'!B:B)</f>
        <v>2</v>
      </c>
    </row>
    <row r="2046" spans="1:8">
      <c r="A2046" s="1">
        <v>102044</v>
      </c>
      <c r="B2046" s="1">
        <v>846722</v>
      </c>
      <c r="C2046" s="2">
        <v>41536</v>
      </c>
      <c r="D2046" s="1" t="s">
        <v>1992</v>
      </c>
      <c r="E2046" s="6">
        <v>1</v>
      </c>
      <c r="F2046" s="6" t="str">
        <f t="shared" si="62"/>
        <v>September</v>
      </c>
      <c r="G2046" s="6">
        <f t="shared" si="63"/>
        <v>38</v>
      </c>
      <c r="H2046" s="1">
        <f>SUMIF('Retal Tran Line Item'!E:E,A2046,'Retal Tran Line Item'!B:B)</f>
        <v>6</v>
      </c>
    </row>
    <row r="2047" spans="1:8">
      <c r="A2047" s="1">
        <v>102045</v>
      </c>
      <c r="B2047" s="1">
        <v>370366</v>
      </c>
      <c r="C2047" s="2">
        <v>41536</v>
      </c>
      <c r="D2047" s="1" t="s">
        <v>1992</v>
      </c>
      <c r="E2047" s="6">
        <v>1</v>
      </c>
      <c r="F2047" s="6" t="str">
        <f t="shared" si="62"/>
        <v>September</v>
      </c>
      <c r="G2047" s="6">
        <f t="shared" si="63"/>
        <v>38</v>
      </c>
      <c r="H2047" s="1">
        <f>SUMIF('Retal Tran Line Item'!E:E,A2047,'Retal Tran Line Item'!B:B)</f>
        <v>7</v>
      </c>
    </row>
    <row r="2048" spans="1:8">
      <c r="A2048" s="1">
        <v>102046</v>
      </c>
      <c r="B2048" s="1">
        <v>370366</v>
      </c>
      <c r="C2048" s="2">
        <v>41536</v>
      </c>
      <c r="D2048" s="1" t="s">
        <v>1992</v>
      </c>
      <c r="E2048" s="6">
        <v>1</v>
      </c>
      <c r="F2048" s="6" t="str">
        <f t="shared" si="62"/>
        <v>September</v>
      </c>
      <c r="G2048" s="6">
        <f t="shared" si="63"/>
        <v>38</v>
      </c>
      <c r="H2048" s="1">
        <f>SUMIF('Retal Tran Line Item'!E:E,A2048,'Retal Tran Line Item'!B:B)</f>
        <v>8</v>
      </c>
    </row>
    <row r="2049" spans="1:8">
      <c r="A2049" s="1">
        <v>102047</v>
      </c>
      <c r="B2049" s="1">
        <v>710047</v>
      </c>
      <c r="C2049" s="2">
        <v>41536</v>
      </c>
      <c r="D2049" s="1" t="s">
        <v>1992</v>
      </c>
      <c r="E2049" s="6">
        <v>1</v>
      </c>
      <c r="F2049" s="6" t="str">
        <f t="shared" si="62"/>
        <v>September</v>
      </c>
      <c r="G2049" s="6">
        <f t="shared" si="63"/>
        <v>38</v>
      </c>
      <c r="H2049" s="1">
        <f>SUMIF('Retal Tran Line Item'!E:E,A2049,'Retal Tran Line Item'!B:B)</f>
        <v>9</v>
      </c>
    </row>
    <row r="2050" spans="1:8">
      <c r="A2050" s="1">
        <v>102048</v>
      </c>
      <c r="B2050" s="1">
        <v>593317</v>
      </c>
      <c r="C2050" s="2">
        <v>41536</v>
      </c>
      <c r="D2050" s="1" t="s">
        <v>1989</v>
      </c>
      <c r="E2050" s="6">
        <v>1</v>
      </c>
      <c r="F2050" s="6" t="str">
        <f t="shared" si="62"/>
        <v>September</v>
      </c>
      <c r="G2050" s="6">
        <f t="shared" si="63"/>
        <v>38</v>
      </c>
      <c r="H2050" s="1">
        <f>SUMIF('Retal Tran Line Item'!E:E,A2050,'Retal Tran Line Item'!B:B)</f>
        <v>10</v>
      </c>
    </row>
    <row r="2051" spans="1:8">
      <c r="A2051" s="1">
        <v>102049</v>
      </c>
      <c r="B2051" s="1">
        <v>846722</v>
      </c>
      <c r="C2051" s="2">
        <v>41536</v>
      </c>
      <c r="D2051" s="1" t="s">
        <v>1992</v>
      </c>
      <c r="E2051" s="6">
        <v>1</v>
      </c>
      <c r="F2051" s="6" t="str">
        <f t="shared" ref="F2051:F2114" si="64">TEXT(C2051,"MMMM")</f>
        <v>September</v>
      </c>
      <c r="G2051" s="6">
        <f t="shared" ref="G2051:G2114" si="65">WEEKNUM(C2051)</f>
        <v>38</v>
      </c>
      <c r="H2051" s="1">
        <f>SUMIF('Retal Tran Line Item'!E:E,A2051,'Retal Tran Line Item'!B:B)</f>
        <v>8</v>
      </c>
    </row>
    <row r="2052" spans="1:8">
      <c r="A2052" s="1">
        <v>102050</v>
      </c>
      <c r="B2052" s="1">
        <v>850933</v>
      </c>
      <c r="C2052" s="2">
        <v>41536</v>
      </c>
      <c r="D2052" s="1" t="s">
        <v>1989</v>
      </c>
      <c r="E2052" s="6">
        <v>2</v>
      </c>
      <c r="F2052" s="6" t="str">
        <f t="shared" si="64"/>
        <v>September</v>
      </c>
      <c r="G2052" s="6">
        <f t="shared" si="65"/>
        <v>38</v>
      </c>
      <c r="H2052" s="1">
        <f>SUMIF('Retal Tran Line Item'!E:E,A2052,'Retal Tran Line Item'!B:B)</f>
        <v>21</v>
      </c>
    </row>
    <row r="2053" spans="1:8">
      <c r="A2053" s="1">
        <v>102051</v>
      </c>
      <c r="B2053" s="1">
        <v>442254</v>
      </c>
      <c r="C2053" s="2">
        <v>41536</v>
      </c>
      <c r="D2053" s="1" t="s">
        <v>1989</v>
      </c>
      <c r="E2053" s="6">
        <v>2</v>
      </c>
      <c r="F2053" s="6" t="str">
        <f t="shared" si="64"/>
        <v>September</v>
      </c>
      <c r="G2053" s="6">
        <f t="shared" si="65"/>
        <v>38</v>
      </c>
      <c r="H2053" s="1">
        <f>SUMIF('Retal Tran Line Item'!E:E,A2053,'Retal Tran Line Item'!B:B)</f>
        <v>4</v>
      </c>
    </row>
    <row r="2054" spans="1:8">
      <c r="A2054" s="1">
        <v>102052</v>
      </c>
      <c r="B2054" s="1">
        <v>670707</v>
      </c>
      <c r="C2054" s="2">
        <v>41536</v>
      </c>
      <c r="D2054" s="1" t="s">
        <v>1994</v>
      </c>
      <c r="E2054" s="6">
        <v>1</v>
      </c>
      <c r="F2054" s="6" t="str">
        <f t="shared" si="64"/>
        <v>September</v>
      </c>
      <c r="G2054" s="6">
        <f t="shared" si="65"/>
        <v>38</v>
      </c>
      <c r="H2054" s="1">
        <f>SUMIF('Retal Tran Line Item'!E:E,A2054,'Retal Tran Line Item'!B:B)</f>
        <v>12</v>
      </c>
    </row>
    <row r="2055" spans="1:8">
      <c r="A2055" s="1">
        <v>102053</v>
      </c>
      <c r="B2055" s="1">
        <v>412235</v>
      </c>
      <c r="C2055" s="2">
        <v>41536</v>
      </c>
      <c r="D2055" s="1" t="s">
        <v>1993</v>
      </c>
      <c r="E2055" s="6">
        <v>1</v>
      </c>
      <c r="F2055" s="6" t="str">
        <f t="shared" si="64"/>
        <v>September</v>
      </c>
      <c r="G2055" s="6">
        <f t="shared" si="65"/>
        <v>38</v>
      </c>
      <c r="H2055" s="1">
        <f>SUMIF('Retal Tran Line Item'!E:E,A2055,'Retal Tran Line Item'!B:B)</f>
        <v>8</v>
      </c>
    </row>
    <row r="2056" spans="1:8">
      <c r="A2056" s="1">
        <v>102054</v>
      </c>
      <c r="B2056" s="1">
        <v>678940</v>
      </c>
      <c r="C2056" s="2">
        <v>41536</v>
      </c>
      <c r="D2056" s="1" t="s">
        <v>1994</v>
      </c>
      <c r="E2056" s="6">
        <v>1</v>
      </c>
      <c r="F2056" s="6" t="str">
        <f t="shared" si="64"/>
        <v>September</v>
      </c>
      <c r="G2056" s="6">
        <f t="shared" si="65"/>
        <v>38</v>
      </c>
      <c r="H2056" s="1">
        <f>SUMIF('Retal Tran Line Item'!E:E,A2056,'Retal Tran Line Item'!B:B)</f>
        <v>13</v>
      </c>
    </row>
    <row r="2057" spans="1:8">
      <c r="A2057" s="1">
        <v>102055</v>
      </c>
      <c r="B2057" s="1">
        <v>739440</v>
      </c>
      <c r="C2057" s="2">
        <v>41536</v>
      </c>
      <c r="D2057" s="1" t="s">
        <v>1993</v>
      </c>
      <c r="E2057" s="6">
        <v>2</v>
      </c>
      <c r="F2057" s="6" t="str">
        <f t="shared" si="64"/>
        <v>September</v>
      </c>
      <c r="G2057" s="6">
        <f t="shared" si="65"/>
        <v>38</v>
      </c>
      <c r="H2057" s="1">
        <f>SUMIF('Retal Tran Line Item'!E:E,A2057,'Retal Tran Line Item'!B:B)</f>
        <v>4</v>
      </c>
    </row>
    <row r="2058" spans="1:8">
      <c r="A2058" s="1">
        <v>102056</v>
      </c>
      <c r="B2058" s="1">
        <v>974503</v>
      </c>
      <c r="C2058" s="2">
        <v>41537</v>
      </c>
      <c r="D2058" s="1" t="s">
        <v>1993</v>
      </c>
      <c r="E2058" s="6">
        <v>1</v>
      </c>
      <c r="F2058" s="6" t="str">
        <f t="shared" si="64"/>
        <v>September</v>
      </c>
      <c r="G2058" s="6">
        <f t="shared" si="65"/>
        <v>38</v>
      </c>
      <c r="H2058" s="1">
        <f>SUMIF('Retal Tran Line Item'!E:E,A2058,'Retal Tran Line Item'!B:B)</f>
        <v>20</v>
      </c>
    </row>
    <row r="2059" spans="1:8">
      <c r="A2059" s="1">
        <v>102057</v>
      </c>
      <c r="B2059" s="1">
        <v>470304</v>
      </c>
      <c r="C2059" s="2">
        <v>41537</v>
      </c>
      <c r="D2059" s="1" t="s">
        <v>1994</v>
      </c>
      <c r="E2059" s="6">
        <v>2</v>
      </c>
      <c r="F2059" s="6" t="str">
        <f t="shared" si="64"/>
        <v>September</v>
      </c>
      <c r="G2059" s="6">
        <f t="shared" si="65"/>
        <v>38</v>
      </c>
      <c r="H2059" s="1">
        <f>SUMIF('Retal Tran Line Item'!E:E,A2059,'Retal Tran Line Item'!B:B)</f>
        <v>4</v>
      </c>
    </row>
    <row r="2060" spans="1:8">
      <c r="A2060" s="1">
        <v>102058</v>
      </c>
      <c r="B2060" s="1">
        <v>977759</v>
      </c>
      <c r="C2060" s="2">
        <v>41537</v>
      </c>
      <c r="D2060" s="1" t="s">
        <v>1992</v>
      </c>
      <c r="E2060" s="6">
        <v>2</v>
      </c>
      <c r="F2060" s="6" t="str">
        <f t="shared" si="64"/>
        <v>September</v>
      </c>
      <c r="G2060" s="6">
        <f t="shared" si="65"/>
        <v>38</v>
      </c>
      <c r="H2060" s="1">
        <f>SUMIF('Retal Tran Line Item'!E:E,A2060,'Retal Tran Line Item'!B:B)</f>
        <v>8</v>
      </c>
    </row>
    <row r="2061" spans="1:8">
      <c r="A2061" s="1">
        <v>102059</v>
      </c>
      <c r="B2061" s="1">
        <v>412544</v>
      </c>
      <c r="C2061" s="2">
        <v>41537</v>
      </c>
      <c r="D2061" s="1" t="s">
        <v>1993</v>
      </c>
      <c r="E2061" s="6">
        <v>1</v>
      </c>
      <c r="F2061" s="6" t="str">
        <f t="shared" si="64"/>
        <v>September</v>
      </c>
      <c r="G2061" s="6">
        <f t="shared" si="65"/>
        <v>38</v>
      </c>
      <c r="H2061" s="1">
        <f>SUMIF('Retal Tran Line Item'!E:E,A2061,'Retal Tran Line Item'!B:B)</f>
        <v>1</v>
      </c>
    </row>
    <row r="2062" spans="1:8">
      <c r="A2062" s="1">
        <v>102060</v>
      </c>
      <c r="B2062" s="1">
        <v>412544</v>
      </c>
      <c r="C2062" s="2">
        <v>41537</v>
      </c>
      <c r="D2062" s="1" t="s">
        <v>1993</v>
      </c>
      <c r="E2062" s="6">
        <v>2</v>
      </c>
      <c r="F2062" s="6" t="str">
        <f t="shared" si="64"/>
        <v>September</v>
      </c>
      <c r="G2062" s="6">
        <f t="shared" si="65"/>
        <v>38</v>
      </c>
      <c r="H2062" s="1">
        <f>SUMIF('Retal Tran Line Item'!E:E,A2062,'Retal Tran Line Item'!B:B)</f>
        <v>17</v>
      </c>
    </row>
    <row r="2063" spans="1:8">
      <c r="A2063" s="1">
        <v>102061</v>
      </c>
      <c r="B2063" s="1">
        <v>744648</v>
      </c>
      <c r="C2063" s="2">
        <v>41537</v>
      </c>
      <c r="D2063" s="1" t="s">
        <v>1992</v>
      </c>
      <c r="E2063" s="6">
        <v>2</v>
      </c>
      <c r="F2063" s="6" t="str">
        <f t="shared" si="64"/>
        <v>September</v>
      </c>
      <c r="G2063" s="6">
        <f t="shared" si="65"/>
        <v>38</v>
      </c>
      <c r="H2063" s="1">
        <f>SUMIF('Retal Tran Line Item'!E:E,A2063,'Retal Tran Line Item'!B:B)</f>
        <v>18</v>
      </c>
    </row>
    <row r="2064" spans="1:8">
      <c r="A2064" s="1">
        <v>102062</v>
      </c>
      <c r="B2064" s="1">
        <v>748326</v>
      </c>
      <c r="C2064" s="2">
        <v>41537</v>
      </c>
      <c r="D2064" s="1" t="s">
        <v>1993</v>
      </c>
      <c r="E2064" s="6">
        <v>1</v>
      </c>
      <c r="F2064" s="6" t="str">
        <f t="shared" si="64"/>
        <v>September</v>
      </c>
      <c r="G2064" s="6">
        <f t="shared" si="65"/>
        <v>38</v>
      </c>
      <c r="H2064" s="1">
        <f>SUMIF('Retal Tran Line Item'!E:E,A2064,'Retal Tran Line Item'!B:B)</f>
        <v>5</v>
      </c>
    </row>
    <row r="2065" spans="1:8">
      <c r="A2065" s="1">
        <v>102063</v>
      </c>
      <c r="B2065" s="1">
        <v>403000</v>
      </c>
      <c r="C2065" s="2">
        <v>41537</v>
      </c>
      <c r="D2065" s="1" t="s">
        <v>1992</v>
      </c>
      <c r="E2065" s="6">
        <v>2</v>
      </c>
      <c r="F2065" s="6" t="str">
        <f t="shared" si="64"/>
        <v>September</v>
      </c>
      <c r="G2065" s="6">
        <f t="shared" si="65"/>
        <v>38</v>
      </c>
      <c r="H2065" s="1">
        <f>SUMIF('Retal Tran Line Item'!E:E,A2065,'Retal Tran Line Item'!B:B)</f>
        <v>4</v>
      </c>
    </row>
    <row r="2066" spans="1:8">
      <c r="A2066" s="1">
        <v>102064</v>
      </c>
      <c r="B2066" s="1">
        <v>972329</v>
      </c>
      <c r="C2066" s="2">
        <v>41537</v>
      </c>
      <c r="D2066" s="1" t="s">
        <v>1989</v>
      </c>
      <c r="E2066" s="6">
        <v>2</v>
      </c>
      <c r="F2066" s="6" t="str">
        <f t="shared" si="64"/>
        <v>September</v>
      </c>
      <c r="G2066" s="6">
        <f t="shared" si="65"/>
        <v>38</v>
      </c>
      <c r="H2066" s="1">
        <f>SUMIF('Retal Tran Line Item'!E:E,A2066,'Retal Tran Line Item'!B:B)</f>
        <v>5</v>
      </c>
    </row>
    <row r="2067" spans="1:8">
      <c r="A2067" s="1">
        <v>102065</v>
      </c>
      <c r="B2067" s="1">
        <v>549823</v>
      </c>
      <c r="C2067" s="2">
        <v>41537</v>
      </c>
      <c r="D2067" s="1" t="s">
        <v>1993</v>
      </c>
      <c r="E2067" s="6">
        <v>2</v>
      </c>
      <c r="F2067" s="6" t="str">
        <f t="shared" si="64"/>
        <v>September</v>
      </c>
      <c r="G2067" s="6">
        <f t="shared" si="65"/>
        <v>38</v>
      </c>
      <c r="H2067" s="1">
        <f>SUMIF('Retal Tran Line Item'!E:E,A2067,'Retal Tran Line Item'!B:B)</f>
        <v>9</v>
      </c>
    </row>
    <row r="2068" spans="1:8">
      <c r="A2068" s="1">
        <v>102066</v>
      </c>
      <c r="B2068" s="1">
        <v>384899</v>
      </c>
      <c r="C2068" s="2">
        <v>41537</v>
      </c>
      <c r="D2068" s="1" t="s">
        <v>1992</v>
      </c>
      <c r="E2068" s="6">
        <v>2</v>
      </c>
      <c r="F2068" s="6" t="str">
        <f t="shared" si="64"/>
        <v>September</v>
      </c>
      <c r="G2068" s="6">
        <f t="shared" si="65"/>
        <v>38</v>
      </c>
      <c r="H2068" s="1">
        <f>SUMIF('Retal Tran Line Item'!E:E,A2068,'Retal Tran Line Item'!B:B)</f>
        <v>19</v>
      </c>
    </row>
    <row r="2069" spans="1:8">
      <c r="A2069" s="1">
        <v>102067</v>
      </c>
      <c r="B2069" s="1">
        <v>442691</v>
      </c>
      <c r="C2069" s="2">
        <v>41537</v>
      </c>
      <c r="D2069" s="1" t="s">
        <v>1992</v>
      </c>
      <c r="E2069" s="6">
        <v>2</v>
      </c>
      <c r="F2069" s="6" t="str">
        <f t="shared" si="64"/>
        <v>September</v>
      </c>
      <c r="G2069" s="6">
        <f t="shared" si="65"/>
        <v>38</v>
      </c>
      <c r="H2069" s="1">
        <f>SUMIF('Retal Tran Line Item'!E:E,A2069,'Retal Tran Line Item'!B:B)</f>
        <v>1</v>
      </c>
    </row>
    <row r="2070" spans="1:8">
      <c r="A2070" s="1">
        <v>102068</v>
      </c>
      <c r="B2070" s="1">
        <v>205190</v>
      </c>
      <c r="C2070" s="2">
        <v>41537</v>
      </c>
      <c r="D2070" s="1" t="s">
        <v>1992</v>
      </c>
      <c r="E2070" s="6">
        <v>2</v>
      </c>
      <c r="F2070" s="6" t="str">
        <f t="shared" si="64"/>
        <v>September</v>
      </c>
      <c r="G2070" s="6">
        <f t="shared" si="65"/>
        <v>38</v>
      </c>
      <c r="H2070" s="1">
        <f>SUMIF('Retal Tran Line Item'!E:E,A2070,'Retal Tran Line Item'!B:B)</f>
        <v>11</v>
      </c>
    </row>
    <row r="2071" spans="1:8">
      <c r="A2071" s="1">
        <v>102069</v>
      </c>
      <c r="B2071" s="1">
        <v>196068</v>
      </c>
      <c r="C2071" s="2">
        <v>41537</v>
      </c>
      <c r="D2071" s="1" t="s">
        <v>1993</v>
      </c>
      <c r="E2071" s="6">
        <v>1</v>
      </c>
      <c r="F2071" s="6" t="str">
        <f t="shared" si="64"/>
        <v>September</v>
      </c>
      <c r="G2071" s="6">
        <f t="shared" si="65"/>
        <v>38</v>
      </c>
      <c r="H2071" s="1">
        <f>SUMIF('Retal Tran Line Item'!E:E,A2071,'Retal Tran Line Item'!B:B)</f>
        <v>9</v>
      </c>
    </row>
    <row r="2072" spans="1:8">
      <c r="A2072" s="1">
        <v>102070</v>
      </c>
      <c r="B2072" s="1">
        <v>728908</v>
      </c>
      <c r="C2072" s="2">
        <v>41537</v>
      </c>
      <c r="D2072" s="1" t="s">
        <v>1989</v>
      </c>
      <c r="E2072" s="6">
        <v>2</v>
      </c>
      <c r="F2072" s="6" t="str">
        <f t="shared" si="64"/>
        <v>September</v>
      </c>
      <c r="G2072" s="6">
        <f t="shared" si="65"/>
        <v>38</v>
      </c>
      <c r="H2072" s="1">
        <f>SUMIF('Retal Tran Line Item'!E:E,A2072,'Retal Tran Line Item'!B:B)</f>
        <v>1</v>
      </c>
    </row>
    <row r="2073" spans="1:8">
      <c r="A2073" s="1">
        <v>102071</v>
      </c>
      <c r="B2073" s="1">
        <v>226209</v>
      </c>
      <c r="C2073" s="2">
        <v>41537</v>
      </c>
      <c r="D2073" s="1" t="s">
        <v>1994</v>
      </c>
      <c r="E2073" s="6">
        <v>2</v>
      </c>
      <c r="F2073" s="6" t="str">
        <f t="shared" si="64"/>
        <v>September</v>
      </c>
      <c r="G2073" s="6">
        <f t="shared" si="65"/>
        <v>38</v>
      </c>
      <c r="H2073" s="1">
        <f>SUMIF('Retal Tran Line Item'!E:E,A2073,'Retal Tran Line Item'!B:B)</f>
        <v>1</v>
      </c>
    </row>
    <row r="2074" spans="1:8">
      <c r="A2074" s="1">
        <v>102072</v>
      </c>
      <c r="B2074" s="1">
        <v>296886</v>
      </c>
      <c r="C2074" s="2">
        <v>41537</v>
      </c>
      <c r="D2074" s="1" t="s">
        <v>1992</v>
      </c>
      <c r="E2074" s="6">
        <v>2</v>
      </c>
      <c r="F2074" s="6" t="str">
        <f t="shared" si="64"/>
        <v>September</v>
      </c>
      <c r="G2074" s="6">
        <f t="shared" si="65"/>
        <v>38</v>
      </c>
      <c r="H2074" s="1">
        <f>SUMIF('Retal Tran Line Item'!E:E,A2074,'Retal Tran Line Item'!B:B)</f>
        <v>20</v>
      </c>
    </row>
    <row r="2075" spans="1:8">
      <c r="A2075" s="1">
        <v>102073</v>
      </c>
      <c r="B2075" s="1">
        <v>616392</v>
      </c>
      <c r="C2075" s="2">
        <v>41537</v>
      </c>
      <c r="D2075" s="1" t="s">
        <v>1993</v>
      </c>
      <c r="E2075" s="6">
        <v>2</v>
      </c>
      <c r="F2075" s="6" t="str">
        <f t="shared" si="64"/>
        <v>September</v>
      </c>
      <c r="G2075" s="6">
        <f t="shared" si="65"/>
        <v>38</v>
      </c>
      <c r="H2075" s="1">
        <f>SUMIF('Retal Tran Line Item'!E:E,A2075,'Retal Tran Line Item'!B:B)</f>
        <v>7</v>
      </c>
    </row>
    <row r="2076" spans="1:8">
      <c r="A2076" s="1">
        <v>102074</v>
      </c>
      <c r="B2076" s="1">
        <v>191050</v>
      </c>
      <c r="C2076" s="2">
        <v>41537</v>
      </c>
      <c r="D2076" s="1" t="s">
        <v>1992</v>
      </c>
      <c r="E2076" s="6">
        <v>1</v>
      </c>
      <c r="F2076" s="6" t="str">
        <f t="shared" si="64"/>
        <v>September</v>
      </c>
      <c r="G2076" s="6">
        <f t="shared" si="65"/>
        <v>38</v>
      </c>
      <c r="H2076" s="1">
        <f>SUMIF('Retal Tran Line Item'!E:E,A2076,'Retal Tran Line Item'!B:B)</f>
        <v>8</v>
      </c>
    </row>
    <row r="2077" spans="1:8">
      <c r="A2077" s="1">
        <v>102075</v>
      </c>
      <c r="B2077" s="1">
        <v>494106</v>
      </c>
      <c r="C2077" s="2">
        <v>41537</v>
      </c>
      <c r="D2077" s="1" t="s">
        <v>1993</v>
      </c>
      <c r="E2077" s="6">
        <v>2</v>
      </c>
      <c r="F2077" s="6" t="str">
        <f t="shared" si="64"/>
        <v>September</v>
      </c>
      <c r="G2077" s="6">
        <f t="shared" si="65"/>
        <v>38</v>
      </c>
      <c r="H2077" s="1">
        <f>SUMIF('Retal Tran Line Item'!E:E,A2077,'Retal Tran Line Item'!B:B)</f>
        <v>25</v>
      </c>
    </row>
    <row r="2078" spans="1:8">
      <c r="A2078" s="1">
        <v>102076</v>
      </c>
      <c r="B2078" s="1">
        <v>803700</v>
      </c>
      <c r="C2078" s="2">
        <v>41538</v>
      </c>
      <c r="D2078" s="1" t="s">
        <v>1992</v>
      </c>
      <c r="E2078" s="6">
        <v>2</v>
      </c>
      <c r="F2078" s="6" t="str">
        <f t="shared" si="64"/>
        <v>September</v>
      </c>
      <c r="G2078" s="6">
        <f t="shared" si="65"/>
        <v>38</v>
      </c>
      <c r="H2078" s="1">
        <f>SUMIF('Retal Tran Line Item'!E:E,A2078,'Retal Tran Line Item'!B:B)</f>
        <v>17</v>
      </c>
    </row>
    <row r="2079" spans="1:8">
      <c r="A2079" s="1">
        <v>102077</v>
      </c>
      <c r="B2079" s="1">
        <v>559190</v>
      </c>
      <c r="C2079" s="2">
        <v>41538</v>
      </c>
      <c r="D2079" s="1" t="s">
        <v>1993</v>
      </c>
      <c r="E2079" s="6">
        <v>1</v>
      </c>
      <c r="F2079" s="6" t="str">
        <f t="shared" si="64"/>
        <v>September</v>
      </c>
      <c r="G2079" s="6">
        <f t="shared" si="65"/>
        <v>38</v>
      </c>
      <c r="H2079" s="1">
        <f>SUMIF('Retal Tran Line Item'!E:E,A2079,'Retal Tran Line Item'!B:B)</f>
        <v>4</v>
      </c>
    </row>
    <row r="2080" spans="1:8">
      <c r="A2080" s="1">
        <v>102078</v>
      </c>
      <c r="B2080" s="1">
        <v>912671</v>
      </c>
      <c r="C2080" s="2">
        <v>41538</v>
      </c>
      <c r="D2080" s="1" t="s">
        <v>1992</v>
      </c>
      <c r="E2080" s="6">
        <v>2</v>
      </c>
      <c r="F2080" s="6" t="str">
        <f t="shared" si="64"/>
        <v>September</v>
      </c>
      <c r="G2080" s="6">
        <f t="shared" si="65"/>
        <v>38</v>
      </c>
      <c r="H2080" s="1">
        <f>SUMIF('Retal Tran Line Item'!E:E,A2080,'Retal Tran Line Item'!B:B)</f>
        <v>13</v>
      </c>
    </row>
    <row r="2081" spans="1:8">
      <c r="A2081" s="1">
        <v>102079</v>
      </c>
      <c r="B2081" s="1">
        <v>719921</v>
      </c>
      <c r="C2081" s="2">
        <v>41538</v>
      </c>
      <c r="D2081" s="1" t="s">
        <v>1993</v>
      </c>
      <c r="E2081" s="6">
        <v>2</v>
      </c>
      <c r="F2081" s="6" t="str">
        <f t="shared" si="64"/>
        <v>September</v>
      </c>
      <c r="G2081" s="6">
        <f t="shared" si="65"/>
        <v>38</v>
      </c>
      <c r="H2081" s="1">
        <f>SUMIF('Retal Tran Line Item'!E:E,A2081,'Retal Tran Line Item'!B:B)</f>
        <v>9</v>
      </c>
    </row>
    <row r="2082" spans="1:8">
      <c r="A2082" s="1">
        <v>102080</v>
      </c>
      <c r="B2082" s="1">
        <v>567719</v>
      </c>
      <c r="C2082" s="2">
        <v>41538</v>
      </c>
      <c r="D2082" s="1" t="s">
        <v>1993</v>
      </c>
      <c r="E2082" s="6">
        <v>2</v>
      </c>
      <c r="F2082" s="6" t="str">
        <f t="shared" si="64"/>
        <v>September</v>
      </c>
      <c r="G2082" s="6">
        <f t="shared" si="65"/>
        <v>38</v>
      </c>
      <c r="H2082" s="1">
        <f>SUMIF('Retal Tran Line Item'!E:E,A2082,'Retal Tran Line Item'!B:B)</f>
        <v>8</v>
      </c>
    </row>
    <row r="2083" spans="1:8">
      <c r="A2083" s="1">
        <v>102081</v>
      </c>
      <c r="B2083" s="1">
        <v>296353</v>
      </c>
      <c r="C2083" s="2">
        <v>41538</v>
      </c>
      <c r="D2083" s="1" t="s">
        <v>1993</v>
      </c>
      <c r="E2083" s="6">
        <v>2</v>
      </c>
      <c r="F2083" s="6" t="str">
        <f t="shared" si="64"/>
        <v>September</v>
      </c>
      <c r="G2083" s="6">
        <f t="shared" si="65"/>
        <v>38</v>
      </c>
      <c r="H2083" s="1">
        <f>SUMIF('Retal Tran Line Item'!E:E,A2083,'Retal Tran Line Item'!B:B)</f>
        <v>5</v>
      </c>
    </row>
    <row r="2084" spans="1:8">
      <c r="A2084" s="1">
        <v>102082</v>
      </c>
      <c r="B2084" s="1">
        <v>762509</v>
      </c>
      <c r="C2084" s="2">
        <v>41538</v>
      </c>
      <c r="D2084" s="1" t="s">
        <v>1993</v>
      </c>
      <c r="E2084" s="6">
        <v>1</v>
      </c>
      <c r="F2084" s="6" t="str">
        <f t="shared" si="64"/>
        <v>September</v>
      </c>
      <c r="G2084" s="6">
        <f t="shared" si="65"/>
        <v>38</v>
      </c>
      <c r="H2084" s="1">
        <f>SUMIF('Retal Tran Line Item'!E:E,A2084,'Retal Tran Line Item'!B:B)</f>
        <v>14</v>
      </c>
    </row>
    <row r="2085" spans="1:8">
      <c r="A2085" s="1">
        <v>102083</v>
      </c>
      <c r="B2085" s="1">
        <v>110363</v>
      </c>
      <c r="C2085" s="2">
        <v>41538</v>
      </c>
      <c r="D2085" s="1" t="s">
        <v>1994</v>
      </c>
      <c r="E2085" s="6">
        <v>1</v>
      </c>
      <c r="F2085" s="6" t="str">
        <f t="shared" si="64"/>
        <v>September</v>
      </c>
      <c r="G2085" s="6">
        <f t="shared" si="65"/>
        <v>38</v>
      </c>
      <c r="H2085" s="1">
        <f>SUMIF('Retal Tran Line Item'!E:E,A2085,'Retal Tran Line Item'!B:B)</f>
        <v>8</v>
      </c>
    </row>
    <row r="2086" spans="1:8">
      <c r="A2086" s="1">
        <v>102084</v>
      </c>
      <c r="B2086" s="1">
        <v>403000</v>
      </c>
      <c r="C2086" s="2">
        <v>41538</v>
      </c>
      <c r="D2086" s="1" t="s">
        <v>1992</v>
      </c>
      <c r="E2086" s="6">
        <v>2</v>
      </c>
      <c r="F2086" s="6" t="str">
        <f t="shared" si="64"/>
        <v>September</v>
      </c>
      <c r="G2086" s="6">
        <f t="shared" si="65"/>
        <v>38</v>
      </c>
      <c r="H2086" s="1">
        <f>SUMIF('Retal Tran Line Item'!E:E,A2086,'Retal Tran Line Item'!B:B)</f>
        <v>13</v>
      </c>
    </row>
    <row r="2087" spans="1:8">
      <c r="A2087" s="1">
        <v>102085</v>
      </c>
      <c r="B2087" s="1">
        <v>741514</v>
      </c>
      <c r="C2087" s="2">
        <v>41538</v>
      </c>
      <c r="D2087" s="1" t="s">
        <v>1992</v>
      </c>
      <c r="E2087" s="6">
        <v>1</v>
      </c>
      <c r="F2087" s="6" t="str">
        <f t="shared" si="64"/>
        <v>September</v>
      </c>
      <c r="G2087" s="6">
        <f t="shared" si="65"/>
        <v>38</v>
      </c>
      <c r="H2087" s="1">
        <f>SUMIF('Retal Tran Line Item'!E:E,A2087,'Retal Tran Line Item'!B:B)</f>
        <v>9</v>
      </c>
    </row>
    <row r="2088" spans="1:8">
      <c r="A2088" s="1">
        <v>102086</v>
      </c>
      <c r="B2088" s="1">
        <v>143878</v>
      </c>
      <c r="C2088" s="2">
        <v>41538</v>
      </c>
      <c r="D2088" s="1" t="s">
        <v>1992</v>
      </c>
      <c r="E2088" s="6">
        <v>1</v>
      </c>
      <c r="F2088" s="6" t="str">
        <f t="shared" si="64"/>
        <v>September</v>
      </c>
      <c r="G2088" s="6">
        <f t="shared" si="65"/>
        <v>38</v>
      </c>
      <c r="H2088" s="1">
        <f>SUMIF('Retal Tran Line Item'!E:E,A2088,'Retal Tran Line Item'!B:B)</f>
        <v>17</v>
      </c>
    </row>
    <row r="2089" spans="1:8">
      <c r="A2089" s="1">
        <v>102087</v>
      </c>
      <c r="B2089" s="1">
        <v>664411</v>
      </c>
      <c r="C2089" s="2">
        <v>41538</v>
      </c>
      <c r="D2089" s="1" t="s">
        <v>1992</v>
      </c>
      <c r="E2089" s="6">
        <v>1</v>
      </c>
      <c r="F2089" s="6" t="str">
        <f t="shared" si="64"/>
        <v>September</v>
      </c>
      <c r="G2089" s="6">
        <f t="shared" si="65"/>
        <v>38</v>
      </c>
      <c r="H2089" s="1">
        <f>SUMIF('Retal Tran Line Item'!E:E,A2089,'Retal Tran Line Item'!B:B)</f>
        <v>7</v>
      </c>
    </row>
    <row r="2090" spans="1:8">
      <c r="A2090" s="1">
        <v>102088</v>
      </c>
      <c r="B2090" s="1">
        <v>145929</v>
      </c>
      <c r="C2090" s="2">
        <v>41538</v>
      </c>
      <c r="D2090" s="1" t="s">
        <v>1989</v>
      </c>
      <c r="E2090" s="6">
        <v>1</v>
      </c>
      <c r="F2090" s="6" t="str">
        <f t="shared" si="64"/>
        <v>September</v>
      </c>
      <c r="G2090" s="6">
        <f t="shared" si="65"/>
        <v>38</v>
      </c>
      <c r="H2090" s="1">
        <f>SUMIF('Retal Tran Line Item'!E:E,A2090,'Retal Tran Line Item'!B:B)</f>
        <v>15</v>
      </c>
    </row>
    <row r="2091" spans="1:8">
      <c r="A2091" s="1">
        <v>102089</v>
      </c>
      <c r="B2091" s="1">
        <v>395125</v>
      </c>
      <c r="C2091" s="2">
        <v>41538</v>
      </c>
      <c r="D2091" s="1" t="s">
        <v>1992</v>
      </c>
      <c r="E2091" s="6">
        <v>2</v>
      </c>
      <c r="F2091" s="6" t="str">
        <f t="shared" si="64"/>
        <v>September</v>
      </c>
      <c r="G2091" s="6">
        <f t="shared" si="65"/>
        <v>38</v>
      </c>
      <c r="H2091" s="1">
        <f>SUMIF('Retal Tran Line Item'!E:E,A2091,'Retal Tran Line Item'!B:B)</f>
        <v>12</v>
      </c>
    </row>
    <row r="2092" spans="1:8">
      <c r="A2092" s="1">
        <v>102090</v>
      </c>
      <c r="B2092" s="1">
        <v>110363</v>
      </c>
      <c r="C2092" s="2">
        <v>41538</v>
      </c>
      <c r="D2092" s="1" t="s">
        <v>1994</v>
      </c>
      <c r="E2092" s="6">
        <v>2</v>
      </c>
      <c r="F2092" s="6" t="str">
        <f t="shared" si="64"/>
        <v>September</v>
      </c>
      <c r="G2092" s="6">
        <f t="shared" si="65"/>
        <v>38</v>
      </c>
      <c r="H2092" s="1">
        <f>SUMIF('Retal Tran Line Item'!E:E,A2092,'Retal Tran Line Item'!B:B)</f>
        <v>19</v>
      </c>
    </row>
    <row r="2093" spans="1:8">
      <c r="A2093" s="1">
        <v>102091</v>
      </c>
      <c r="B2093" s="1">
        <v>230602</v>
      </c>
      <c r="C2093" s="2">
        <v>41539</v>
      </c>
      <c r="D2093" s="1" t="s">
        <v>1992</v>
      </c>
      <c r="E2093" s="6">
        <v>2</v>
      </c>
      <c r="F2093" s="6" t="str">
        <f t="shared" si="64"/>
        <v>September</v>
      </c>
      <c r="G2093" s="6">
        <f t="shared" si="65"/>
        <v>39</v>
      </c>
      <c r="H2093" s="1">
        <f>SUMIF('Retal Tran Line Item'!E:E,A2093,'Retal Tran Line Item'!B:B)</f>
        <v>9</v>
      </c>
    </row>
    <row r="2094" spans="1:8">
      <c r="A2094" s="1">
        <v>102092</v>
      </c>
      <c r="B2094" s="1">
        <v>679354</v>
      </c>
      <c r="C2094" s="2">
        <v>41539</v>
      </c>
      <c r="D2094" s="1" t="s">
        <v>1992</v>
      </c>
      <c r="E2094" s="6">
        <v>2</v>
      </c>
      <c r="F2094" s="6" t="str">
        <f t="shared" si="64"/>
        <v>September</v>
      </c>
      <c r="G2094" s="6">
        <f t="shared" si="65"/>
        <v>39</v>
      </c>
      <c r="H2094" s="1">
        <f>SUMIF('Retal Tran Line Item'!E:E,A2094,'Retal Tran Line Item'!B:B)</f>
        <v>15</v>
      </c>
    </row>
    <row r="2095" spans="1:8">
      <c r="A2095" s="1">
        <v>102093</v>
      </c>
      <c r="B2095" s="1">
        <v>646700</v>
      </c>
      <c r="C2095" s="2">
        <v>41539</v>
      </c>
      <c r="D2095" s="1" t="s">
        <v>1989</v>
      </c>
      <c r="E2095" s="6">
        <v>2</v>
      </c>
      <c r="F2095" s="6" t="str">
        <f t="shared" si="64"/>
        <v>September</v>
      </c>
      <c r="G2095" s="6">
        <f t="shared" si="65"/>
        <v>39</v>
      </c>
      <c r="H2095" s="1">
        <f>SUMIF('Retal Tran Line Item'!E:E,A2095,'Retal Tran Line Item'!B:B)</f>
        <v>1</v>
      </c>
    </row>
    <row r="2096" spans="1:8">
      <c r="A2096" s="1">
        <v>102094</v>
      </c>
      <c r="B2096" s="1">
        <v>612681</v>
      </c>
      <c r="C2096" s="2">
        <v>41539</v>
      </c>
      <c r="D2096" s="1" t="s">
        <v>1993</v>
      </c>
      <c r="E2096" s="6">
        <v>1</v>
      </c>
      <c r="F2096" s="6" t="str">
        <f t="shared" si="64"/>
        <v>September</v>
      </c>
      <c r="G2096" s="6">
        <f t="shared" si="65"/>
        <v>39</v>
      </c>
      <c r="H2096" s="1">
        <f>SUMIF('Retal Tran Line Item'!E:E,A2096,'Retal Tran Line Item'!B:B)</f>
        <v>5</v>
      </c>
    </row>
    <row r="2097" spans="1:8">
      <c r="A2097" s="1">
        <v>102095</v>
      </c>
      <c r="B2097" s="1">
        <v>191050</v>
      </c>
      <c r="C2097" s="2">
        <v>41539</v>
      </c>
      <c r="D2097" s="1" t="s">
        <v>1992</v>
      </c>
      <c r="E2097" s="6">
        <v>2</v>
      </c>
      <c r="F2097" s="6" t="str">
        <f t="shared" si="64"/>
        <v>September</v>
      </c>
      <c r="G2097" s="6">
        <f t="shared" si="65"/>
        <v>39</v>
      </c>
      <c r="H2097" s="1">
        <f>SUMIF('Retal Tran Line Item'!E:E,A2097,'Retal Tran Line Item'!B:B)</f>
        <v>10</v>
      </c>
    </row>
    <row r="2098" spans="1:8">
      <c r="A2098" s="1">
        <v>102096</v>
      </c>
      <c r="B2098" s="1">
        <v>283158</v>
      </c>
      <c r="C2098" s="2">
        <v>41539</v>
      </c>
      <c r="D2098" s="1" t="s">
        <v>1993</v>
      </c>
      <c r="E2098" s="6">
        <v>1</v>
      </c>
      <c r="F2098" s="6" t="str">
        <f t="shared" si="64"/>
        <v>September</v>
      </c>
      <c r="G2098" s="6">
        <f t="shared" si="65"/>
        <v>39</v>
      </c>
      <c r="H2098" s="1">
        <f>SUMIF('Retal Tran Line Item'!E:E,A2098,'Retal Tran Line Item'!B:B)</f>
        <v>7</v>
      </c>
    </row>
    <row r="2099" spans="1:8">
      <c r="A2099" s="1">
        <v>102097</v>
      </c>
      <c r="B2099" s="1">
        <v>744780</v>
      </c>
      <c r="C2099" s="2">
        <v>41539</v>
      </c>
      <c r="D2099" s="1" t="s">
        <v>1994</v>
      </c>
      <c r="E2099" s="6">
        <v>2</v>
      </c>
      <c r="F2099" s="6" t="str">
        <f t="shared" si="64"/>
        <v>September</v>
      </c>
      <c r="G2099" s="6">
        <f t="shared" si="65"/>
        <v>39</v>
      </c>
      <c r="H2099" s="1">
        <f>SUMIF('Retal Tran Line Item'!E:E,A2099,'Retal Tran Line Item'!B:B)</f>
        <v>11</v>
      </c>
    </row>
    <row r="2100" spans="1:8">
      <c r="A2100" s="1">
        <v>102098</v>
      </c>
      <c r="B2100" s="1">
        <v>191050</v>
      </c>
      <c r="C2100" s="2">
        <v>41539</v>
      </c>
      <c r="D2100" s="1" t="s">
        <v>1992</v>
      </c>
      <c r="E2100" s="6">
        <v>1</v>
      </c>
      <c r="F2100" s="6" t="str">
        <f t="shared" si="64"/>
        <v>September</v>
      </c>
      <c r="G2100" s="6">
        <f t="shared" si="65"/>
        <v>39</v>
      </c>
      <c r="H2100" s="1">
        <f>SUMIF('Retal Tran Line Item'!E:E,A2100,'Retal Tran Line Item'!B:B)</f>
        <v>17</v>
      </c>
    </row>
    <row r="2101" spans="1:8">
      <c r="A2101" s="1">
        <v>102099</v>
      </c>
      <c r="B2101" s="1">
        <v>327750</v>
      </c>
      <c r="C2101" s="2">
        <v>41539</v>
      </c>
      <c r="D2101" s="1" t="s">
        <v>1992</v>
      </c>
      <c r="E2101" s="6">
        <v>1</v>
      </c>
      <c r="F2101" s="6" t="str">
        <f t="shared" si="64"/>
        <v>September</v>
      </c>
      <c r="G2101" s="6">
        <f t="shared" si="65"/>
        <v>39</v>
      </c>
      <c r="H2101" s="1">
        <f>SUMIF('Retal Tran Line Item'!E:E,A2101,'Retal Tran Line Item'!B:B)</f>
        <v>9</v>
      </c>
    </row>
    <row r="2102" spans="1:8">
      <c r="A2102" s="1">
        <v>102100</v>
      </c>
      <c r="B2102" s="1">
        <v>270853</v>
      </c>
      <c r="C2102" s="2">
        <v>41539</v>
      </c>
      <c r="D2102" s="1" t="s">
        <v>1992</v>
      </c>
      <c r="E2102" s="6">
        <v>2</v>
      </c>
      <c r="F2102" s="6" t="str">
        <f t="shared" si="64"/>
        <v>September</v>
      </c>
      <c r="G2102" s="6">
        <f t="shared" si="65"/>
        <v>39</v>
      </c>
      <c r="H2102" s="1">
        <f>SUMIF('Retal Tran Line Item'!E:E,A2102,'Retal Tran Line Item'!B:B)</f>
        <v>1</v>
      </c>
    </row>
    <row r="2103" spans="1:8">
      <c r="A2103" s="1">
        <v>102101</v>
      </c>
      <c r="B2103" s="1">
        <v>549823</v>
      </c>
      <c r="C2103" s="2">
        <v>41539</v>
      </c>
      <c r="D2103" s="1" t="s">
        <v>1993</v>
      </c>
      <c r="E2103" s="6">
        <v>2</v>
      </c>
      <c r="F2103" s="6" t="str">
        <f t="shared" si="64"/>
        <v>September</v>
      </c>
      <c r="G2103" s="6">
        <f t="shared" si="65"/>
        <v>39</v>
      </c>
      <c r="H2103" s="1">
        <f>SUMIF('Retal Tran Line Item'!E:E,A2103,'Retal Tran Line Item'!B:B)</f>
        <v>19</v>
      </c>
    </row>
    <row r="2104" spans="1:8">
      <c r="A2104" s="1">
        <v>102102</v>
      </c>
      <c r="B2104" s="1">
        <v>547890</v>
      </c>
      <c r="C2104" s="2">
        <v>41539</v>
      </c>
      <c r="D2104" s="1" t="s">
        <v>1993</v>
      </c>
      <c r="E2104" s="6">
        <v>2</v>
      </c>
      <c r="F2104" s="6" t="str">
        <f t="shared" si="64"/>
        <v>September</v>
      </c>
      <c r="G2104" s="6">
        <f t="shared" si="65"/>
        <v>39</v>
      </c>
      <c r="H2104" s="1">
        <f>SUMIF('Retal Tran Line Item'!E:E,A2104,'Retal Tran Line Item'!B:B)</f>
        <v>18</v>
      </c>
    </row>
    <row r="2105" spans="1:8">
      <c r="A2105" s="1">
        <v>102103</v>
      </c>
      <c r="B2105" s="1">
        <v>373200</v>
      </c>
      <c r="C2105" s="2">
        <v>41539</v>
      </c>
      <c r="D2105" s="1" t="s">
        <v>1989</v>
      </c>
      <c r="E2105" s="6">
        <v>1</v>
      </c>
      <c r="F2105" s="6" t="str">
        <f t="shared" si="64"/>
        <v>September</v>
      </c>
      <c r="G2105" s="6">
        <f t="shared" si="65"/>
        <v>39</v>
      </c>
      <c r="H2105" s="1">
        <f>SUMIF('Retal Tran Line Item'!E:E,A2105,'Retal Tran Line Item'!B:B)</f>
        <v>5</v>
      </c>
    </row>
    <row r="2106" spans="1:8">
      <c r="A2106" s="1">
        <v>102104</v>
      </c>
      <c r="B2106" s="1">
        <v>454143</v>
      </c>
      <c r="C2106" s="2">
        <v>41539</v>
      </c>
      <c r="D2106" s="1" t="s">
        <v>1993</v>
      </c>
      <c r="E2106" s="6">
        <v>1</v>
      </c>
      <c r="F2106" s="6" t="str">
        <f t="shared" si="64"/>
        <v>September</v>
      </c>
      <c r="G2106" s="6">
        <f t="shared" si="65"/>
        <v>39</v>
      </c>
      <c r="H2106" s="1">
        <f>SUMIF('Retal Tran Line Item'!E:E,A2106,'Retal Tran Line Item'!B:B)</f>
        <v>18</v>
      </c>
    </row>
    <row r="2107" spans="1:8">
      <c r="A2107" s="1">
        <v>102105</v>
      </c>
      <c r="B2107" s="1">
        <v>999915</v>
      </c>
      <c r="C2107" s="2">
        <v>41540</v>
      </c>
      <c r="D2107" s="1" t="s">
        <v>1989</v>
      </c>
      <c r="E2107" s="6">
        <v>2</v>
      </c>
      <c r="F2107" s="6" t="str">
        <f t="shared" si="64"/>
        <v>September</v>
      </c>
      <c r="G2107" s="6">
        <f t="shared" si="65"/>
        <v>39</v>
      </c>
      <c r="H2107" s="1">
        <f>SUMIF('Retal Tran Line Item'!E:E,A2107,'Retal Tran Line Item'!B:B)</f>
        <v>7</v>
      </c>
    </row>
    <row r="2108" spans="1:8">
      <c r="A2108" s="1">
        <v>102106</v>
      </c>
      <c r="B2108" s="1">
        <v>781523</v>
      </c>
      <c r="C2108" s="2">
        <v>41540</v>
      </c>
      <c r="D2108" s="1" t="s">
        <v>1989</v>
      </c>
      <c r="E2108" s="6">
        <v>2</v>
      </c>
      <c r="F2108" s="6" t="str">
        <f t="shared" si="64"/>
        <v>September</v>
      </c>
      <c r="G2108" s="6">
        <f t="shared" si="65"/>
        <v>39</v>
      </c>
      <c r="H2108" s="1">
        <f>SUMIF('Retal Tran Line Item'!E:E,A2108,'Retal Tran Line Item'!B:B)</f>
        <v>3</v>
      </c>
    </row>
    <row r="2109" spans="1:8">
      <c r="A2109" s="1">
        <v>102107</v>
      </c>
      <c r="B2109" s="1">
        <v>429748</v>
      </c>
      <c r="C2109" s="2">
        <v>41540</v>
      </c>
      <c r="D2109" s="1" t="s">
        <v>1994</v>
      </c>
      <c r="E2109" s="6">
        <v>1</v>
      </c>
      <c r="F2109" s="6" t="str">
        <f t="shared" si="64"/>
        <v>September</v>
      </c>
      <c r="G2109" s="6">
        <f t="shared" si="65"/>
        <v>39</v>
      </c>
      <c r="H2109" s="1">
        <f>SUMIF('Retal Tran Line Item'!E:E,A2109,'Retal Tran Line Item'!B:B)</f>
        <v>6</v>
      </c>
    </row>
    <row r="2110" spans="1:8">
      <c r="A2110" s="1">
        <v>102108</v>
      </c>
      <c r="B2110" s="1">
        <v>766161</v>
      </c>
      <c r="C2110" s="2">
        <v>41540</v>
      </c>
      <c r="D2110" s="1" t="s">
        <v>1994</v>
      </c>
      <c r="E2110" s="6">
        <v>1</v>
      </c>
      <c r="F2110" s="6" t="str">
        <f t="shared" si="64"/>
        <v>September</v>
      </c>
      <c r="G2110" s="6">
        <f t="shared" si="65"/>
        <v>39</v>
      </c>
      <c r="H2110" s="1">
        <f>SUMIF('Retal Tran Line Item'!E:E,A2110,'Retal Tran Line Item'!B:B)</f>
        <v>19</v>
      </c>
    </row>
    <row r="2111" spans="1:8">
      <c r="A2111" s="1">
        <v>102109</v>
      </c>
      <c r="B2111" s="1">
        <v>964619</v>
      </c>
      <c r="C2111" s="2">
        <v>41540</v>
      </c>
      <c r="D2111" s="1" t="s">
        <v>1994</v>
      </c>
      <c r="E2111" s="6">
        <v>2</v>
      </c>
      <c r="F2111" s="6" t="str">
        <f t="shared" si="64"/>
        <v>September</v>
      </c>
      <c r="G2111" s="6">
        <f t="shared" si="65"/>
        <v>39</v>
      </c>
      <c r="H2111" s="1">
        <f>SUMIF('Retal Tran Line Item'!E:E,A2111,'Retal Tran Line Item'!B:B)</f>
        <v>6</v>
      </c>
    </row>
    <row r="2112" spans="1:8">
      <c r="A2112" s="1">
        <v>102110</v>
      </c>
      <c r="B2112" s="1">
        <v>924361</v>
      </c>
      <c r="C2112" s="2">
        <v>41540</v>
      </c>
      <c r="D2112" s="1" t="s">
        <v>1993</v>
      </c>
      <c r="E2112" s="6">
        <v>1</v>
      </c>
      <c r="F2112" s="6" t="str">
        <f t="shared" si="64"/>
        <v>September</v>
      </c>
      <c r="G2112" s="6">
        <f t="shared" si="65"/>
        <v>39</v>
      </c>
      <c r="H2112" s="1">
        <f>SUMIF('Retal Tran Line Item'!E:E,A2112,'Retal Tran Line Item'!B:B)</f>
        <v>10</v>
      </c>
    </row>
    <row r="2113" spans="1:8">
      <c r="A2113" s="1">
        <v>102111</v>
      </c>
      <c r="B2113" s="1">
        <v>373200</v>
      </c>
      <c r="C2113" s="2">
        <v>41540</v>
      </c>
      <c r="D2113" s="1" t="s">
        <v>1989</v>
      </c>
      <c r="E2113" s="6">
        <v>2</v>
      </c>
      <c r="F2113" s="6" t="str">
        <f t="shared" si="64"/>
        <v>September</v>
      </c>
      <c r="G2113" s="6">
        <f t="shared" si="65"/>
        <v>39</v>
      </c>
      <c r="H2113" s="1">
        <f>SUMIF('Retal Tran Line Item'!E:E,A2113,'Retal Tran Line Item'!B:B)</f>
        <v>25</v>
      </c>
    </row>
    <row r="2114" spans="1:8">
      <c r="A2114" s="1">
        <v>102112</v>
      </c>
      <c r="B2114" s="1">
        <v>275152</v>
      </c>
      <c r="C2114" s="2">
        <v>41540</v>
      </c>
      <c r="D2114" s="1" t="s">
        <v>1992</v>
      </c>
      <c r="E2114" s="6">
        <v>1</v>
      </c>
      <c r="F2114" s="6" t="str">
        <f t="shared" si="64"/>
        <v>September</v>
      </c>
      <c r="G2114" s="6">
        <f t="shared" si="65"/>
        <v>39</v>
      </c>
      <c r="H2114" s="1">
        <f>SUMIF('Retal Tran Line Item'!E:E,A2114,'Retal Tran Line Item'!B:B)</f>
        <v>17</v>
      </c>
    </row>
    <row r="2115" spans="1:8">
      <c r="A2115" s="1">
        <v>102113</v>
      </c>
      <c r="B2115" s="1">
        <v>441628</v>
      </c>
      <c r="C2115" s="2">
        <v>41540</v>
      </c>
      <c r="D2115" s="1" t="s">
        <v>1989</v>
      </c>
      <c r="E2115" s="6">
        <v>1</v>
      </c>
      <c r="F2115" s="6" t="str">
        <f t="shared" ref="F2115:F2178" si="66">TEXT(C2115,"MMMM")</f>
        <v>September</v>
      </c>
      <c r="G2115" s="6">
        <f t="shared" ref="G2115:G2178" si="67">WEEKNUM(C2115)</f>
        <v>39</v>
      </c>
      <c r="H2115" s="1">
        <f>SUMIF('Retal Tran Line Item'!E:E,A2115,'Retal Tran Line Item'!B:B)</f>
        <v>1</v>
      </c>
    </row>
    <row r="2116" spans="1:8">
      <c r="A2116" s="1">
        <v>102114</v>
      </c>
      <c r="B2116" s="1">
        <v>393120</v>
      </c>
      <c r="C2116" s="2">
        <v>41540</v>
      </c>
      <c r="D2116" s="1" t="s">
        <v>1993</v>
      </c>
      <c r="E2116" s="6">
        <v>1</v>
      </c>
      <c r="F2116" s="6" t="str">
        <f t="shared" si="66"/>
        <v>September</v>
      </c>
      <c r="G2116" s="6">
        <f t="shared" si="67"/>
        <v>39</v>
      </c>
      <c r="H2116" s="1">
        <f>SUMIF('Retal Tran Line Item'!E:E,A2116,'Retal Tran Line Item'!B:B)</f>
        <v>23</v>
      </c>
    </row>
    <row r="2117" spans="1:8">
      <c r="A2117" s="1">
        <v>102115</v>
      </c>
      <c r="B2117" s="1">
        <v>554099</v>
      </c>
      <c r="C2117" s="2">
        <v>41540</v>
      </c>
      <c r="D2117" s="1" t="s">
        <v>1994</v>
      </c>
      <c r="E2117" s="6">
        <v>1</v>
      </c>
      <c r="F2117" s="6" t="str">
        <f t="shared" si="66"/>
        <v>September</v>
      </c>
      <c r="G2117" s="6">
        <f t="shared" si="67"/>
        <v>39</v>
      </c>
      <c r="H2117" s="1">
        <f>SUMIF('Retal Tran Line Item'!E:E,A2117,'Retal Tran Line Item'!B:B)</f>
        <v>3</v>
      </c>
    </row>
    <row r="2118" spans="1:8">
      <c r="A2118" s="1">
        <v>102116</v>
      </c>
      <c r="B2118" s="1">
        <v>425051</v>
      </c>
      <c r="C2118" s="2">
        <v>41540</v>
      </c>
      <c r="D2118" s="1" t="s">
        <v>1992</v>
      </c>
      <c r="E2118" s="6">
        <v>2</v>
      </c>
      <c r="F2118" s="6" t="str">
        <f t="shared" si="66"/>
        <v>September</v>
      </c>
      <c r="G2118" s="6">
        <f t="shared" si="67"/>
        <v>39</v>
      </c>
      <c r="H2118" s="1">
        <f>SUMIF('Retal Tran Line Item'!E:E,A2118,'Retal Tran Line Item'!B:B)</f>
        <v>2</v>
      </c>
    </row>
    <row r="2119" spans="1:8">
      <c r="A2119" s="1">
        <v>102117</v>
      </c>
      <c r="B2119" s="1">
        <v>646953</v>
      </c>
      <c r="C2119" s="2">
        <v>41540</v>
      </c>
      <c r="D2119" s="1" t="s">
        <v>1992</v>
      </c>
      <c r="E2119" s="6">
        <v>1</v>
      </c>
      <c r="F2119" s="6" t="str">
        <f t="shared" si="66"/>
        <v>September</v>
      </c>
      <c r="G2119" s="6">
        <f t="shared" si="67"/>
        <v>39</v>
      </c>
      <c r="H2119" s="1">
        <f>SUMIF('Retal Tran Line Item'!E:E,A2119,'Retal Tran Line Item'!B:B)</f>
        <v>5</v>
      </c>
    </row>
    <row r="2120" spans="1:8">
      <c r="A2120" s="1">
        <v>102118</v>
      </c>
      <c r="B2120" s="1">
        <v>852319</v>
      </c>
      <c r="C2120" s="2">
        <v>41540</v>
      </c>
      <c r="D2120" s="1" t="s">
        <v>1993</v>
      </c>
      <c r="E2120" s="6">
        <v>1</v>
      </c>
      <c r="F2120" s="6" t="str">
        <f t="shared" si="66"/>
        <v>September</v>
      </c>
      <c r="G2120" s="6">
        <f t="shared" si="67"/>
        <v>39</v>
      </c>
      <c r="H2120" s="1">
        <f>SUMIF('Retal Tran Line Item'!E:E,A2120,'Retal Tran Line Item'!B:B)</f>
        <v>9</v>
      </c>
    </row>
    <row r="2121" spans="1:8">
      <c r="A2121" s="1">
        <v>102119</v>
      </c>
      <c r="B2121" s="1">
        <v>694281</v>
      </c>
      <c r="C2121" s="2">
        <v>41540</v>
      </c>
      <c r="D2121" s="1" t="s">
        <v>1989</v>
      </c>
      <c r="E2121" s="6">
        <v>1</v>
      </c>
      <c r="F2121" s="6" t="str">
        <f t="shared" si="66"/>
        <v>September</v>
      </c>
      <c r="G2121" s="6">
        <f t="shared" si="67"/>
        <v>39</v>
      </c>
      <c r="H2121" s="1">
        <f>SUMIF('Retal Tran Line Item'!E:E,A2121,'Retal Tran Line Item'!B:B)</f>
        <v>11</v>
      </c>
    </row>
    <row r="2122" spans="1:8">
      <c r="A2122" s="1">
        <v>102120</v>
      </c>
      <c r="B2122" s="1">
        <v>262638</v>
      </c>
      <c r="C2122" s="2">
        <v>41540</v>
      </c>
      <c r="D2122" s="1" t="s">
        <v>1992</v>
      </c>
      <c r="E2122" s="6">
        <v>2</v>
      </c>
      <c r="F2122" s="6" t="str">
        <f t="shared" si="66"/>
        <v>September</v>
      </c>
      <c r="G2122" s="6">
        <f t="shared" si="67"/>
        <v>39</v>
      </c>
      <c r="H2122" s="1">
        <f>SUMIF('Retal Tran Line Item'!E:E,A2122,'Retal Tran Line Item'!B:B)</f>
        <v>13</v>
      </c>
    </row>
    <row r="2123" spans="1:8">
      <c r="A2123" s="1">
        <v>102121</v>
      </c>
      <c r="B2123" s="1">
        <v>437454</v>
      </c>
      <c r="C2123" s="2">
        <v>41540</v>
      </c>
      <c r="D2123" s="1" t="s">
        <v>1993</v>
      </c>
      <c r="E2123" s="6">
        <v>1</v>
      </c>
      <c r="F2123" s="6" t="str">
        <f t="shared" si="66"/>
        <v>September</v>
      </c>
      <c r="G2123" s="6">
        <f t="shared" si="67"/>
        <v>39</v>
      </c>
      <c r="H2123" s="1">
        <f>SUMIF('Retal Tran Line Item'!E:E,A2123,'Retal Tran Line Item'!B:B)</f>
        <v>7</v>
      </c>
    </row>
    <row r="2124" spans="1:8">
      <c r="A2124" s="1">
        <v>102122</v>
      </c>
      <c r="B2124" s="1">
        <v>173125</v>
      </c>
      <c r="C2124" s="2">
        <v>41540</v>
      </c>
      <c r="D2124" s="1" t="s">
        <v>1993</v>
      </c>
      <c r="E2124" s="6">
        <v>1</v>
      </c>
      <c r="F2124" s="6" t="str">
        <f t="shared" si="66"/>
        <v>September</v>
      </c>
      <c r="G2124" s="6">
        <f t="shared" si="67"/>
        <v>39</v>
      </c>
      <c r="H2124" s="1">
        <f>SUMIF('Retal Tran Line Item'!E:E,A2124,'Retal Tran Line Item'!B:B)</f>
        <v>1</v>
      </c>
    </row>
    <row r="2125" spans="1:8">
      <c r="A2125" s="1">
        <v>102123</v>
      </c>
      <c r="B2125" s="1">
        <v>954812</v>
      </c>
      <c r="C2125" s="2">
        <v>41541</v>
      </c>
      <c r="D2125" s="1" t="s">
        <v>1992</v>
      </c>
      <c r="E2125" s="6">
        <v>1</v>
      </c>
      <c r="F2125" s="6" t="str">
        <f t="shared" si="66"/>
        <v>September</v>
      </c>
      <c r="G2125" s="6">
        <f t="shared" si="67"/>
        <v>39</v>
      </c>
      <c r="H2125" s="1">
        <f>SUMIF('Retal Tran Line Item'!E:E,A2125,'Retal Tran Line Item'!B:B)</f>
        <v>1</v>
      </c>
    </row>
    <row r="2126" spans="1:8">
      <c r="A2126" s="1">
        <v>102124</v>
      </c>
      <c r="B2126" s="1">
        <v>550661</v>
      </c>
      <c r="C2126" s="2">
        <v>41541</v>
      </c>
      <c r="D2126" s="1" t="s">
        <v>1992</v>
      </c>
      <c r="E2126" s="6">
        <v>2</v>
      </c>
      <c r="F2126" s="6" t="str">
        <f t="shared" si="66"/>
        <v>September</v>
      </c>
      <c r="G2126" s="6">
        <f t="shared" si="67"/>
        <v>39</v>
      </c>
      <c r="H2126" s="1">
        <f>SUMIF('Retal Tran Line Item'!E:E,A2126,'Retal Tran Line Item'!B:B)</f>
        <v>13</v>
      </c>
    </row>
    <row r="2127" spans="1:8">
      <c r="A2127" s="1">
        <v>102125</v>
      </c>
      <c r="B2127" s="1">
        <v>205878</v>
      </c>
      <c r="C2127" s="2">
        <v>41541</v>
      </c>
      <c r="D2127" s="1" t="s">
        <v>1993</v>
      </c>
      <c r="E2127" s="6">
        <v>2</v>
      </c>
      <c r="F2127" s="6" t="str">
        <f t="shared" si="66"/>
        <v>September</v>
      </c>
      <c r="G2127" s="6">
        <f t="shared" si="67"/>
        <v>39</v>
      </c>
      <c r="H2127" s="1">
        <f>SUMIF('Retal Tran Line Item'!E:E,A2127,'Retal Tran Line Item'!B:B)</f>
        <v>20</v>
      </c>
    </row>
    <row r="2128" spans="1:8">
      <c r="A2128" s="1">
        <v>102126</v>
      </c>
      <c r="B2128" s="1">
        <v>385115</v>
      </c>
      <c r="C2128" s="2">
        <v>41541</v>
      </c>
      <c r="D2128" s="1" t="s">
        <v>1992</v>
      </c>
      <c r="E2128" s="6">
        <v>2</v>
      </c>
      <c r="F2128" s="6" t="str">
        <f t="shared" si="66"/>
        <v>September</v>
      </c>
      <c r="G2128" s="6">
        <f t="shared" si="67"/>
        <v>39</v>
      </c>
      <c r="H2128" s="1">
        <f>SUMIF('Retal Tran Line Item'!E:E,A2128,'Retal Tran Line Item'!B:B)</f>
        <v>8</v>
      </c>
    </row>
    <row r="2129" spans="1:8">
      <c r="A2129" s="1">
        <v>102127</v>
      </c>
      <c r="B2129" s="1">
        <v>918682</v>
      </c>
      <c r="C2129" s="2">
        <v>41541</v>
      </c>
      <c r="D2129" s="1" t="s">
        <v>1992</v>
      </c>
      <c r="E2129" s="6">
        <v>2</v>
      </c>
      <c r="F2129" s="6" t="str">
        <f t="shared" si="66"/>
        <v>September</v>
      </c>
      <c r="G2129" s="6">
        <f t="shared" si="67"/>
        <v>39</v>
      </c>
      <c r="H2129" s="1">
        <f>SUMIF('Retal Tran Line Item'!E:E,A2129,'Retal Tran Line Item'!B:B)</f>
        <v>10</v>
      </c>
    </row>
    <row r="2130" spans="1:8">
      <c r="A2130" s="1">
        <v>102128</v>
      </c>
      <c r="B2130" s="1">
        <v>384899</v>
      </c>
      <c r="C2130" s="2">
        <v>41541</v>
      </c>
      <c r="D2130" s="1" t="s">
        <v>1992</v>
      </c>
      <c r="E2130" s="6">
        <v>2</v>
      </c>
      <c r="F2130" s="6" t="str">
        <f t="shared" si="66"/>
        <v>September</v>
      </c>
      <c r="G2130" s="6">
        <f t="shared" si="67"/>
        <v>39</v>
      </c>
      <c r="H2130" s="1">
        <f>SUMIF('Retal Tran Line Item'!E:E,A2130,'Retal Tran Line Item'!B:B)</f>
        <v>6</v>
      </c>
    </row>
    <row r="2131" spans="1:8">
      <c r="A2131" s="1">
        <v>102129</v>
      </c>
      <c r="B2131" s="1">
        <v>944523</v>
      </c>
      <c r="C2131" s="2">
        <v>41541</v>
      </c>
      <c r="D2131" s="1" t="s">
        <v>1992</v>
      </c>
      <c r="E2131" s="6">
        <v>1</v>
      </c>
      <c r="F2131" s="6" t="str">
        <f t="shared" si="66"/>
        <v>September</v>
      </c>
      <c r="G2131" s="6">
        <f t="shared" si="67"/>
        <v>39</v>
      </c>
      <c r="H2131" s="1">
        <f>SUMIF('Retal Tran Line Item'!E:E,A2131,'Retal Tran Line Item'!B:B)</f>
        <v>23</v>
      </c>
    </row>
    <row r="2132" spans="1:8">
      <c r="A2132" s="1">
        <v>102130</v>
      </c>
      <c r="B2132" s="1">
        <v>147216</v>
      </c>
      <c r="C2132" s="2">
        <v>41541</v>
      </c>
      <c r="D2132" s="1" t="s">
        <v>1993</v>
      </c>
      <c r="E2132" s="6">
        <v>1</v>
      </c>
      <c r="F2132" s="6" t="str">
        <f t="shared" si="66"/>
        <v>September</v>
      </c>
      <c r="G2132" s="6">
        <f t="shared" si="67"/>
        <v>39</v>
      </c>
      <c r="H2132" s="1">
        <f>SUMIF('Retal Tran Line Item'!E:E,A2132,'Retal Tran Line Item'!B:B)</f>
        <v>7</v>
      </c>
    </row>
    <row r="2133" spans="1:8">
      <c r="A2133" s="1">
        <v>102131</v>
      </c>
      <c r="B2133" s="1">
        <v>659695</v>
      </c>
      <c r="C2133" s="2">
        <v>41541</v>
      </c>
      <c r="D2133" s="1" t="s">
        <v>1992</v>
      </c>
      <c r="E2133" s="6">
        <v>1</v>
      </c>
      <c r="F2133" s="6" t="str">
        <f t="shared" si="66"/>
        <v>September</v>
      </c>
      <c r="G2133" s="6">
        <f t="shared" si="67"/>
        <v>39</v>
      </c>
      <c r="H2133" s="1">
        <f>SUMIF('Retal Tran Line Item'!E:E,A2133,'Retal Tran Line Item'!B:B)</f>
        <v>1</v>
      </c>
    </row>
    <row r="2134" spans="1:8">
      <c r="A2134" s="1">
        <v>102132</v>
      </c>
      <c r="B2134" s="1">
        <v>550824</v>
      </c>
      <c r="C2134" s="2">
        <v>41541</v>
      </c>
      <c r="D2134" s="1" t="s">
        <v>1989</v>
      </c>
      <c r="E2134" s="6">
        <v>1</v>
      </c>
      <c r="F2134" s="6" t="str">
        <f t="shared" si="66"/>
        <v>September</v>
      </c>
      <c r="G2134" s="6">
        <f t="shared" si="67"/>
        <v>39</v>
      </c>
      <c r="H2134" s="1">
        <f>SUMIF('Retal Tran Line Item'!E:E,A2134,'Retal Tran Line Item'!B:B)</f>
        <v>8</v>
      </c>
    </row>
    <row r="2135" spans="1:8">
      <c r="A2135" s="1">
        <v>102133</v>
      </c>
      <c r="B2135" s="1">
        <v>205878</v>
      </c>
      <c r="C2135" s="2">
        <v>41541</v>
      </c>
      <c r="D2135" s="1" t="s">
        <v>1993</v>
      </c>
      <c r="E2135" s="6">
        <v>1</v>
      </c>
      <c r="F2135" s="6" t="str">
        <f t="shared" si="66"/>
        <v>September</v>
      </c>
      <c r="G2135" s="6">
        <f t="shared" si="67"/>
        <v>39</v>
      </c>
      <c r="H2135" s="1">
        <f>SUMIF('Retal Tran Line Item'!E:E,A2135,'Retal Tran Line Item'!B:B)</f>
        <v>5</v>
      </c>
    </row>
    <row r="2136" spans="1:8">
      <c r="A2136" s="1">
        <v>102134</v>
      </c>
      <c r="B2136" s="1">
        <v>755271</v>
      </c>
      <c r="C2136" s="2">
        <v>41541</v>
      </c>
      <c r="D2136" s="1" t="s">
        <v>1989</v>
      </c>
      <c r="E2136" s="6">
        <v>1</v>
      </c>
      <c r="F2136" s="6" t="str">
        <f t="shared" si="66"/>
        <v>September</v>
      </c>
      <c r="G2136" s="6">
        <f t="shared" si="67"/>
        <v>39</v>
      </c>
      <c r="H2136" s="1">
        <f>SUMIF('Retal Tran Line Item'!E:E,A2136,'Retal Tran Line Item'!B:B)</f>
        <v>17</v>
      </c>
    </row>
    <row r="2137" spans="1:8">
      <c r="A2137" s="1">
        <v>102135</v>
      </c>
      <c r="B2137" s="1">
        <v>373200</v>
      </c>
      <c r="C2137" s="2">
        <v>41541</v>
      </c>
      <c r="D2137" s="1" t="s">
        <v>1989</v>
      </c>
      <c r="E2137" s="6">
        <v>1</v>
      </c>
      <c r="F2137" s="6" t="str">
        <f t="shared" si="66"/>
        <v>September</v>
      </c>
      <c r="G2137" s="6">
        <f t="shared" si="67"/>
        <v>39</v>
      </c>
      <c r="H2137" s="1">
        <f>SUMIF('Retal Tran Line Item'!E:E,A2137,'Retal Tran Line Item'!B:B)</f>
        <v>34</v>
      </c>
    </row>
    <row r="2138" spans="1:8">
      <c r="A2138" s="1">
        <v>102136</v>
      </c>
      <c r="B2138" s="1">
        <v>143878</v>
      </c>
      <c r="C2138" s="2">
        <v>41541</v>
      </c>
      <c r="D2138" s="1" t="s">
        <v>1992</v>
      </c>
      <c r="E2138" s="6">
        <v>1</v>
      </c>
      <c r="F2138" s="6" t="str">
        <f t="shared" si="66"/>
        <v>September</v>
      </c>
      <c r="G2138" s="6">
        <f t="shared" si="67"/>
        <v>39</v>
      </c>
      <c r="H2138" s="1">
        <f>SUMIF('Retal Tran Line Item'!E:E,A2138,'Retal Tran Line Item'!B:B)</f>
        <v>8</v>
      </c>
    </row>
    <row r="2139" spans="1:8">
      <c r="A2139" s="1">
        <v>102137</v>
      </c>
      <c r="B2139" s="1">
        <v>236554</v>
      </c>
      <c r="C2139" s="2">
        <v>41541</v>
      </c>
      <c r="D2139" s="1" t="s">
        <v>1993</v>
      </c>
      <c r="E2139" s="6">
        <v>1</v>
      </c>
      <c r="F2139" s="6" t="str">
        <f t="shared" si="66"/>
        <v>September</v>
      </c>
      <c r="G2139" s="6">
        <f t="shared" si="67"/>
        <v>39</v>
      </c>
      <c r="H2139" s="1">
        <f>SUMIF('Retal Tran Line Item'!E:E,A2139,'Retal Tran Line Item'!B:B)</f>
        <v>22</v>
      </c>
    </row>
    <row r="2140" spans="1:8">
      <c r="A2140" s="1">
        <v>102138</v>
      </c>
      <c r="B2140" s="1">
        <v>186353</v>
      </c>
      <c r="C2140" s="2">
        <v>41542</v>
      </c>
      <c r="D2140" s="1" t="s">
        <v>1994</v>
      </c>
      <c r="E2140" s="6">
        <v>2</v>
      </c>
      <c r="F2140" s="6" t="str">
        <f t="shared" si="66"/>
        <v>September</v>
      </c>
      <c r="G2140" s="6">
        <f t="shared" si="67"/>
        <v>39</v>
      </c>
      <c r="H2140" s="1">
        <f>SUMIF('Retal Tran Line Item'!E:E,A2140,'Retal Tran Line Item'!B:B)</f>
        <v>9</v>
      </c>
    </row>
    <row r="2141" spans="1:8">
      <c r="A2141" s="1">
        <v>102139</v>
      </c>
      <c r="B2141" s="1">
        <v>262579</v>
      </c>
      <c r="C2141" s="2">
        <v>41542</v>
      </c>
      <c r="D2141" s="1" t="s">
        <v>1989</v>
      </c>
      <c r="E2141" s="6">
        <v>2</v>
      </c>
      <c r="F2141" s="6" t="str">
        <f t="shared" si="66"/>
        <v>September</v>
      </c>
      <c r="G2141" s="6">
        <f t="shared" si="67"/>
        <v>39</v>
      </c>
      <c r="H2141" s="1">
        <f>SUMIF('Retal Tran Line Item'!E:E,A2141,'Retal Tran Line Item'!B:B)</f>
        <v>11</v>
      </c>
    </row>
    <row r="2142" spans="1:8">
      <c r="A2142" s="1">
        <v>102140</v>
      </c>
      <c r="B2142" s="1">
        <v>304344</v>
      </c>
      <c r="C2142" s="2">
        <v>41542</v>
      </c>
      <c r="D2142" s="1" t="s">
        <v>1993</v>
      </c>
      <c r="E2142" s="6">
        <v>2</v>
      </c>
      <c r="F2142" s="6" t="str">
        <f t="shared" si="66"/>
        <v>September</v>
      </c>
      <c r="G2142" s="6">
        <f t="shared" si="67"/>
        <v>39</v>
      </c>
      <c r="H2142" s="1">
        <f>SUMIF('Retal Tran Line Item'!E:E,A2142,'Retal Tran Line Item'!B:B)</f>
        <v>5</v>
      </c>
    </row>
    <row r="2143" spans="1:8">
      <c r="A2143" s="1">
        <v>102141</v>
      </c>
      <c r="B2143" s="1">
        <v>478274</v>
      </c>
      <c r="C2143" s="2">
        <v>41542</v>
      </c>
      <c r="D2143" s="1" t="s">
        <v>1993</v>
      </c>
      <c r="E2143" s="6">
        <v>1</v>
      </c>
      <c r="F2143" s="6" t="str">
        <f t="shared" si="66"/>
        <v>September</v>
      </c>
      <c r="G2143" s="6">
        <f t="shared" si="67"/>
        <v>39</v>
      </c>
      <c r="H2143" s="1">
        <f>SUMIF('Retal Tran Line Item'!E:E,A2143,'Retal Tran Line Item'!B:B)</f>
        <v>11</v>
      </c>
    </row>
    <row r="2144" spans="1:8">
      <c r="A2144" s="1">
        <v>102142</v>
      </c>
      <c r="B2144" s="1">
        <v>323830</v>
      </c>
      <c r="C2144" s="2">
        <v>41542</v>
      </c>
      <c r="D2144" s="1" t="s">
        <v>1992</v>
      </c>
      <c r="E2144" s="6">
        <v>1</v>
      </c>
      <c r="F2144" s="6" t="str">
        <f t="shared" si="66"/>
        <v>September</v>
      </c>
      <c r="G2144" s="6">
        <f t="shared" si="67"/>
        <v>39</v>
      </c>
      <c r="H2144" s="1">
        <f>SUMIF('Retal Tran Line Item'!E:E,A2144,'Retal Tran Line Item'!B:B)</f>
        <v>1</v>
      </c>
    </row>
    <row r="2145" spans="1:8">
      <c r="A2145" s="1">
        <v>102143</v>
      </c>
      <c r="B2145" s="1">
        <v>147216</v>
      </c>
      <c r="C2145" s="2">
        <v>41542</v>
      </c>
      <c r="D2145" s="1" t="s">
        <v>1993</v>
      </c>
      <c r="E2145" s="6">
        <v>1</v>
      </c>
      <c r="F2145" s="6" t="str">
        <f t="shared" si="66"/>
        <v>September</v>
      </c>
      <c r="G2145" s="6">
        <f t="shared" si="67"/>
        <v>39</v>
      </c>
      <c r="H2145" s="1">
        <f>SUMIF('Retal Tran Line Item'!E:E,A2145,'Retal Tran Line Item'!B:B)</f>
        <v>10</v>
      </c>
    </row>
    <row r="2146" spans="1:8">
      <c r="A2146" s="1">
        <v>102144</v>
      </c>
      <c r="B2146" s="1">
        <v>373200</v>
      </c>
      <c r="C2146" s="2">
        <v>41542</v>
      </c>
      <c r="D2146" s="1" t="s">
        <v>1989</v>
      </c>
      <c r="E2146" s="6">
        <v>1</v>
      </c>
      <c r="F2146" s="6" t="str">
        <f t="shared" si="66"/>
        <v>September</v>
      </c>
      <c r="G2146" s="6">
        <f t="shared" si="67"/>
        <v>39</v>
      </c>
      <c r="H2146" s="1">
        <f>SUMIF('Retal Tran Line Item'!E:E,A2146,'Retal Tran Line Item'!B:B)</f>
        <v>6</v>
      </c>
    </row>
    <row r="2147" spans="1:8">
      <c r="A2147" s="1">
        <v>102145</v>
      </c>
      <c r="B2147" s="1">
        <v>852319</v>
      </c>
      <c r="C2147" s="2">
        <v>41542</v>
      </c>
      <c r="D2147" s="1" t="s">
        <v>1993</v>
      </c>
      <c r="E2147" s="6">
        <v>2</v>
      </c>
      <c r="F2147" s="6" t="str">
        <f t="shared" si="66"/>
        <v>September</v>
      </c>
      <c r="G2147" s="6">
        <f t="shared" si="67"/>
        <v>39</v>
      </c>
      <c r="H2147" s="1">
        <f>SUMIF('Retal Tran Line Item'!E:E,A2147,'Retal Tran Line Item'!B:B)</f>
        <v>9</v>
      </c>
    </row>
    <row r="2148" spans="1:8">
      <c r="A2148" s="1">
        <v>102146</v>
      </c>
      <c r="B2148" s="1">
        <v>548800</v>
      </c>
      <c r="C2148" s="2">
        <v>41542</v>
      </c>
      <c r="D2148" s="1" t="s">
        <v>1992</v>
      </c>
      <c r="E2148" s="6">
        <v>1</v>
      </c>
      <c r="F2148" s="6" t="str">
        <f t="shared" si="66"/>
        <v>September</v>
      </c>
      <c r="G2148" s="6">
        <f t="shared" si="67"/>
        <v>39</v>
      </c>
      <c r="H2148" s="1">
        <f>SUMIF('Retal Tran Line Item'!E:E,A2148,'Retal Tran Line Item'!B:B)</f>
        <v>11</v>
      </c>
    </row>
    <row r="2149" spans="1:8">
      <c r="A2149" s="1">
        <v>102147</v>
      </c>
      <c r="B2149" s="1">
        <v>714947</v>
      </c>
      <c r="C2149" s="2">
        <v>41542</v>
      </c>
      <c r="D2149" s="1" t="s">
        <v>1989</v>
      </c>
      <c r="E2149" s="6">
        <v>1</v>
      </c>
      <c r="F2149" s="6" t="str">
        <f t="shared" si="66"/>
        <v>September</v>
      </c>
      <c r="G2149" s="6">
        <f t="shared" si="67"/>
        <v>39</v>
      </c>
      <c r="H2149" s="1">
        <f>SUMIF('Retal Tran Line Item'!E:E,A2149,'Retal Tran Line Item'!B:B)</f>
        <v>4</v>
      </c>
    </row>
    <row r="2150" spans="1:8">
      <c r="A2150" s="1">
        <v>102148</v>
      </c>
      <c r="B2150" s="1">
        <v>659695</v>
      </c>
      <c r="C2150" s="2">
        <v>41542</v>
      </c>
      <c r="D2150" s="1" t="s">
        <v>1992</v>
      </c>
      <c r="E2150" s="6">
        <v>2</v>
      </c>
      <c r="F2150" s="6" t="str">
        <f t="shared" si="66"/>
        <v>September</v>
      </c>
      <c r="G2150" s="6">
        <f t="shared" si="67"/>
        <v>39</v>
      </c>
      <c r="H2150" s="1">
        <f>SUMIF('Retal Tran Line Item'!E:E,A2150,'Retal Tran Line Item'!B:B)</f>
        <v>9</v>
      </c>
    </row>
    <row r="2151" spans="1:8">
      <c r="A2151" s="1">
        <v>102149</v>
      </c>
      <c r="B2151" s="1">
        <v>475216</v>
      </c>
      <c r="C2151" s="2">
        <v>41542</v>
      </c>
      <c r="D2151" s="1" t="s">
        <v>1994</v>
      </c>
      <c r="E2151" s="6">
        <v>2</v>
      </c>
      <c r="F2151" s="6" t="str">
        <f t="shared" si="66"/>
        <v>September</v>
      </c>
      <c r="G2151" s="6">
        <f t="shared" si="67"/>
        <v>39</v>
      </c>
      <c r="H2151" s="1">
        <f>SUMIF('Retal Tran Line Item'!E:E,A2151,'Retal Tran Line Item'!B:B)</f>
        <v>3</v>
      </c>
    </row>
    <row r="2152" spans="1:8">
      <c r="A2152" s="1">
        <v>102150</v>
      </c>
      <c r="B2152" s="1">
        <v>723057</v>
      </c>
      <c r="C2152" s="2">
        <v>41542</v>
      </c>
      <c r="D2152" s="1" t="s">
        <v>1993</v>
      </c>
      <c r="E2152" s="6">
        <v>1</v>
      </c>
      <c r="F2152" s="6" t="str">
        <f t="shared" si="66"/>
        <v>September</v>
      </c>
      <c r="G2152" s="6">
        <f t="shared" si="67"/>
        <v>39</v>
      </c>
      <c r="H2152" s="1">
        <f>SUMIF('Retal Tran Line Item'!E:E,A2152,'Retal Tran Line Item'!B:B)</f>
        <v>8</v>
      </c>
    </row>
    <row r="2153" spans="1:8">
      <c r="A2153" s="1">
        <v>102151</v>
      </c>
      <c r="B2153" s="1">
        <v>458448</v>
      </c>
      <c r="C2153" s="2">
        <v>41542</v>
      </c>
      <c r="D2153" s="1" t="s">
        <v>1994</v>
      </c>
      <c r="E2153" s="6">
        <v>1</v>
      </c>
      <c r="F2153" s="6" t="str">
        <f t="shared" si="66"/>
        <v>September</v>
      </c>
      <c r="G2153" s="6">
        <f t="shared" si="67"/>
        <v>39</v>
      </c>
      <c r="H2153" s="1">
        <f>SUMIF('Retal Tran Line Item'!E:E,A2153,'Retal Tran Line Item'!B:B)</f>
        <v>6</v>
      </c>
    </row>
    <row r="2154" spans="1:8">
      <c r="A2154" s="1">
        <v>102152</v>
      </c>
      <c r="B2154" s="1">
        <v>205878</v>
      </c>
      <c r="C2154" s="2">
        <v>41542</v>
      </c>
      <c r="D2154" s="1" t="s">
        <v>1993</v>
      </c>
      <c r="E2154" s="6">
        <v>1</v>
      </c>
      <c r="F2154" s="6" t="str">
        <f t="shared" si="66"/>
        <v>September</v>
      </c>
      <c r="G2154" s="6">
        <f t="shared" si="67"/>
        <v>39</v>
      </c>
      <c r="H2154" s="1">
        <f>SUMIF('Retal Tran Line Item'!E:E,A2154,'Retal Tran Line Item'!B:B)</f>
        <v>12</v>
      </c>
    </row>
    <row r="2155" spans="1:8">
      <c r="A2155" s="1">
        <v>102153</v>
      </c>
      <c r="B2155" s="1">
        <v>327750</v>
      </c>
      <c r="C2155" s="2">
        <v>41542</v>
      </c>
      <c r="D2155" s="1" t="s">
        <v>1992</v>
      </c>
      <c r="E2155" s="6">
        <v>2</v>
      </c>
      <c r="F2155" s="6" t="str">
        <f t="shared" si="66"/>
        <v>September</v>
      </c>
      <c r="G2155" s="6">
        <f t="shared" si="67"/>
        <v>39</v>
      </c>
      <c r="H2155" s="1">
        <f>SUMIF('Retal Tran Line Item'!E:E,A2155,'Retal Tran Line Item'!B:B)</f>
        <v>1</v>
      </c>
    </row>
    <row r="2156" spans="1:8">
      <c r="A2156" s="1">
        <v>102154</v>
      </c>
      <c r="B2156" s="1">
        <v>607810</v>
      </c>
      <c r="C2156" s="2">
        <v>41542</v>
      </c>
      <c r="D2156" s="1" t="s">
        <v>1989</v>
      </c>
      <c r="E2156" s="6">
        <v>1</v>
      </c>
      <c r="F2156" s="6" t="str">
        <f t="shared" si="66"/>
        <v>September</v>
      </c>
      <c r="G2156" s="6">
        <f t="shared" si="67"/>
        <v>39</v>
      </c>
      <c r="H2156" s="1">
        <f>SUMIF('Retal Tran Line Item'!E:E,A2156,'Retal Tran Line Item'!B:B)</f>
        <v>4</v>
      </c>
    </row>
    <row r="2157" spans="1:8">
      <c r="A2157" s="1">
        <v>102155</v>
      </c>
      <c r="B2157" s="1">
        <v>840096</v>
      </c>
      <c r="C2157" s="2">
        <v>41543</v>
      </c>
      <c r="D2157" s="1" t="s">
        <v>1992</v>
      </c>
      <c r="E2157" s="6">
        <v>2</v>
      </c>
      <c r="F2157" s="6" t="str">
        <f t="shared" si="66"/>
        <v>September</v>
      </c>
      <c r="G2157" s="6">
        <f t="shared" si="67"/>
        <v>39</v>
      </c>
      <c r="H2157" s="1">
        <f>SUMIF('Retal Tran Line Item'!E:E,A2157,'Retal Tran Line Item'!B:B)</f>
        <v>10</v>
      </c>
    </row>
    <row r="2158" spans="1:8">
      <c r="A2158" s="1">
        <v>102156</v>
      </c>
      <c r="B2158" s="1">
        <v>298508</v>
      </c>
      <c r="C2158" s="2">
        <v>41543</v>
      </c>
      <c r="D2158" s="1" t="s">
        <v>1993</v>
      </c>
      <c r="E2158" s="6">
        <v>1</v>
      </c>
      <c r="F2158" s="6" t="str">
        <f t="shared" si="66"/>
        <v>September</v>
      </c>
      <c r="G2158" s="6">
        <f t="shared" si="67"/>
        <v>39</v>
      </c>
      <c r="H2158" s="1">
        <f>SUMIF('Retal Tran Line Item'!E:E,A2158,'Retal Tran Line Item'!B:B)</f>
        <v>6</v>
      </c>
    </row>
    <row r="2159" spans="1:8">
      <c r="A2159" s="1">
        <v>102157</v>
      </c>
      <c r="B2159" s="1">
        <v>161175</v>
      </c>
      <c r="C2159" s="2">
        <v>41543</v>
      </c>
      <c r="D2159" s="1" t="s">
        <v>1994</v>
      </c>
      <c r="E2159" s="6">
        <v>2</v>
      </c>
      <c r="F2159" s="6" t="str">
        <f t="shared" si="66"/>
        <v>September</v>
      </c>
      <c r="G2159" s="6">
        <f t="shared" si="67"/>
        <v>39</v>
      </c>
      <c r="H2159" s="1">
        <f>SUMIF('Retal Tran Line Item'!E:E,A2159,'Retal Tran Line Item'!B:B)</f>
        <v>1</v>
      </c>
    </row>
    <row r="2160" spans="1:8">
      <c r="A2160" s="1">
        <v>102158</v>
      </c>
      <c r="B2160" s="1">
        <v>927518</v>
      </c>
      <c r="C2160" s="2">
        <v>41543</v>
      </c>
      <c r="D2160" s="1" t="s">
        <v>1993</v>
      </c>
      <c r="E2160" s="6">
        <v>2</v>
      </c>
      <c r="F2160" s="6" t="str">
        <f t="shared" si="66"/>
        <v>September</v>
      </c>
      <c r="G2160" s="6">
        <f t="shared" si="67"/>
        <v>39</v>
      </c>
      <c r="H2160" s="1">
        <f>SUMIF('Retal Tran Line Item'!E:E,A2160,'Retal Tran Line Item'!B:B)</f>
        <v>18</v>
      </c>
    </row>
    <row r="2161" spans="1:8">
      <c r="A2161" s="1">
        <v>102159</v>
      </c>
      <c r="B2161" s="1">
        <v>814317</v>
      </c>
      <c r="C2161" s="2">
        <v>41543</v>
      </c>
      <c r="D2161" s="1" t="s">
        <v>1994</v>
      </c>
      <c r="E2161" s="6">
        <v>1</v>
      </c>
      <c r="F2161" s="6" t="str">
        <f t="shared" si="66"/>
        <v>September</v>
      </c>
      <c r="G2161" s="6">
        <f t="shared" si="67"/>
        <v>39</v>
      </c>
      <c r="H2161" s="1">
        <f>SUMIF('Retal Tran Line Item'!E:E,A2161,'Retal Tran Line Item'!B:B)</f>
        <v>6</v>
      </c>
    </row>
    <row r="2162" spans="1:8">
      <c r="A2162" s="1">
        <v>102160</v>
      </c>
      <c r="B2162" s="1">
        <v>915766</v>
      </c>
      <c r="C2162" s="2">
        <v>41543</v>
      </c>
      <c r="D2162" s="1" t="s">
        <v>1992</v>
      </c>
      <c r="E2162" s="6">
        <v>2</v>
      </c>
      <c r="F2162" s="6" t="str">
        <f t="shared" si="66"/>
        <v>September</v>
      </c>
      <c r="G2162" s="6">
        <f t="shared" si="67"/>
        <v>39</v>
      </c>
      <c r="H2162" s="1">
        <f>SUMIF('Retal Tran Line Item'!E:E,A2162,'Retal Tran Line Item'!B:B)</f>
        <v>14</v>
      </c>
    </row>
    <row r="2163" spans="1:8">
      <c r="A2163" s="1">
        <v>102161</v>
      </c>
      <c r="B2163" s="1">
        <v>393893</v>
      </c>
      <c r="C2163" s="2">
        <v>41543</v>
      </c>
      <c r="D2163" s="1" t="s">
        <v>1992</v>
      </c>
      <c r="E2163" s="6">
        <v>2</v>
      </c>
      <c r="F2163" s="6" t="str">
        <f t="shared" si="66"/>
        <v>September</v>
      </c>
      <c r="G2163" s="6">
        <f t="shared" si="67"/>
        <v>39</v>
      </c>
      <c r="H2163" s="1">
        <f>SUMIF('Retal Tran Line Item'!E:E,A2163,'Retal Tran Line Item'!B:B)</f>
        <v>16</v>
      </c>
    </row>
    <row r="2164" spans="1:8">
      <c r="A2164" s="1">
        <v>102162</v>
      </c>
      <c r="B2164" s="1">
        <v>226909</v>
      </c>
      <c r="C2164" s="2">
        <v>41543</v>
      </c>
      <c r="D2164" s="1" t="s">
        <v>1993</v>
      </c>
      <c r="E2164" s="6">
        <v>1</v>
      </c>
      <c r="F2164" s="6" t="str">
        <f t="shared" si="66"/>
        <v>September</v>
      </c>
      <c r="G2164" s="6">
        <f t="shared" si="67"/>
        <v>39</v>
      </c>
      <c r="H2164" s="1">
        <f>SUMIF('Retal Tran Line Item'!E:E,A2164,'Retal Tran Line Item'!B:B)</f>
        <v>20</v>
      </c>
    </row>
    <row r="2165" spans="1:8">
      <c r="A2165" s="1">
        <v>102163</v>
      </c>
      <c r="B2165" s="1">
        <v>524667</v>
      </c>
      <c r="C2165" s="2">
        <v>41543</v>
      </c>
      <c r="D2165" s="1" t="s">
        <v>1994</v>
      </c>
      <c r="E2165" s="6">
        <v>2</v>
      </c>
      <c r="F2165" s="6" t="str">
        <f t="shared" si="66"/>
        <v>September</v>
      </c>
      <c r="G2165" s="6">
        <f t="shared" si="67"/>
        <v>39</v>
      </c>
      <c r="H2165" s="1">
        <f>SUMIF('Retal Tran Line Item'!E:E,A2165,'Retal Tran Line Item'!B:B)</f>
        <v>2</v>
      </c>
    </row>
    <row r="2166" spans="1:8">
      <c r="A2166" s="1">
        <v>102164</v>
      </c>
      <c r="B2166" s="1">
        <v>803700</v>
      </c>
      <c r="C2166" s="2">
        <v>41543</v>
      </c>
      <c r="D2166" s="1" t="s">
        <v>1992</v>
      </c>
      <c r="E2166" s="6">
        <v>2</v>
      </c>
      <c r="F2166" s="6" t="str">
        <f t="shared" si="66"/>
        <v>September</v>
      </c>
      <c r="G2166" s="6">
        <f t="shared" si="67"/>
        <v>39</v>
      </c>
      <c r="H2166" s="1">
        <f>SUMIF('Retal Tran Line Item'!E:E,A2166,'Retal Tran Line Item'!B:B)</f>
        <v>5</v>
      </c>
    </row>
    <row r="2167" spans="1:8">
      <c r="A2167" s="1">
        <v>102165</v>
      </c>
      <c r="B2167" s="1">
        <v>292402</v>
      </c>
      <c r="C2167" s="2">
        <v>41543</v>
      </c>
      <c r="D2167" s="1" t="s">
        <v>1994</v>
      </c>
      <c r="E2167" s="6">
        <v>1</v>
      </c>
      <c r="F2167" s="6" t="str">
        <f t="shared" si="66"/>
        <v>September</v>
      </c>
      <c r="G2167" s="6">
        <f t="shared" si="67"/>
        <v>39</v>
      </c>
      <c r="H2167" s="1">
        <f>SUMIF('Retal Tran Line Item'!E:E,A2167,'Retal Tran Line Item'!B:B)</f>
        <v>20</v>
      </c>
    </row>
    <row r="2168" spans="1:8">
      <c r="A2168" s="1">
        <v>102166</v>
      </c>
      <c r="B2168" s="1">
        <v>744416</v>
      </c>
      <c r="C2168" s="2">
        <v>41543</v>
      </c>
      <c r="D2168" s="1" t="s">
        <v>1992</v>
      </c>
      <c r="E2168" s="6">
        <v>1</v>
      </c>
      <c r="F2168" s="6" t="str">
        <f t="shared" si="66"/>
        <v>September</v>
      </c>
      <c r="G2168" s="6">
        <f t="shared" si="67"/>
        <v>39</v>
      </c>
      <c r="H2168" s="1">
        <f>SUMIF('Retal Tran Line Item'!E:E,A2168,'Retal Tran Line Item'!B:B)</f>
        <v>18</v>
      </c>
    </row>
    <row r="2169" spans="1:8">
      <c r="A2169" s="1">
        <v>102167</v>
      </c>
      <c r="B2169" s="1">
        <v>344702</v>
      </c>
      <c r="C2169" s="2">
        <v>41543</v>
      </c>
      <c r="D2169" s="1" t="s">
        <v>1992</v>
      </c>
      <c r="E2169" s="6">
        <v>2</v>
      </c>
      <c r="F2169" s="6" t="str">
        <f t="shared" si="66"/>
        <v>September</v>
      </c>
      <c r="G2169" s="6">
        <f t="shared" si="67"/>
        <v>39</v>
      </c>
      <c r="H2169" s="1">
        <f>SUMIF('Retal Tran Line Item'!E:E,A2169,'Retal Tran Line Item'!B:B)</f>
        <v>1</v>
      </c>
    </row>
    <row r="2170" spans="1:8">
      <c r="A2170" s="1">
        <v>102168</v>
      </c>
      <c r="B2170" s="1">
        <v>330570</v>
      </c>
      <c r="C2170" s="2">
        <v>41543</v>
      </c>
      <c r="D2170" s="1" t="s">
        <v>1993</v>
      </c>
      <c r="E2170" s="6">
        <v>2</v>
      </c>
      <c r="F2170" s="6" t="str">
        <f t="shared" si="66"/>
        <v>September</v>
      </c>
      <c r="G2170" s="6">
        <f t="shared" si="67"/>
        <v>39</v>
      </c>
      <c r="H2170" s="1">
        <f>SUMIF('Retal Tran Line Item'!E:E,A2170,'Retal Tran Line Item'!B:B)</f>
        <v>6</v>
      </c>
    </row>
    <row r="2171" spans="1:8">
      <c r="A2171" s="1">
        <v>102169</v>
      </c>
      <c r="B2171" s="1">
        <v>926144</v>
      </c>
      <c r="C2171" s="2">
        <v>41543</v>
      </c>
      <c r="D2171" s="1" t="s">
        <v>1993</v>
      </c>
      <c r="E2171" s="6">
        <v>2</v>
      </c>
      <c r="F2171" s="6" t="str">
        <f t="shared" si="66"/>
        <v>September</v>
      </c>
      <c r="G2171" s="6">
        <f t="shared" si="67"/>
        <v>39</v>
      </c>
      <c r="H2171" s="1">
        <f>SUMIF('Retal Tran Line Item'!E:E,A2171,'Retal Tran Line Item'!B:B)</f>
        <v>16</v>
      </c>
    </row>
    <row r="2172" spans="1:8">
      <c r="A2172" s="1">
        <v>102170</v>
      </c>
      <c r="B2172" s="1">
        <v>327750</v>
      </c>
      <c r="C2172" s="2">
        <v>41543</v>
      </c>
      <c r="D2172" s="1" t="s">
        <v>1992</v>
      </c>
      <c r="E2172" s="6">
        <v>2</v>
      </c>
      <c r="F2172" s="6" t="str">
        <f t="shared" si="66"/>
        <v>September</v>
      </c>
      <c r="G2172" s="6">
        <f t="shared" si="67"/>
        <v>39</v>
      </c>
      <c r="H2172" s="1">
        <f>SUMIF('Retal Tran Line Item'!E:E,A2172,'Retal Tran Line Item'!B:B)</f>
        <v>12</v>
      </c>
    </row>
    <row r="2173" spans="1:8">
      <c r="A2173" s="1">
        <v>102171</v>
      </c>
      <c r="B2173" s="1">
        <v>651462</v>
      </c>
      <c r="C2173" s="2">
        <v>41543</v>
      </c>
      <c r="D2173" s="1" t="s">
        <v>1992</v>
      </c>
      <c r="E2173" s="6">
        <v>1</v>
      </c>
      <c r="F2173" s="6" t="str">
        <f t="shared" si="66"/>
        <v>September</v>
      </c>
      <c r="G2173" s="6">
        <f t="shared" si="67"/>
        <v>39</v>
      </c>
      <c r="H2173" s="1">
        <f>SUMIF('Retal Tran Line Item'!E:E,A2173,'Retal Tran Line Item'!B:B)</f>
        <v>10</v>
      </c>
    </row>
    <row r="2174" spans="1:8">
      <c r="A2174" s="1">
        <v>102172</v>
      </c>
      <c r="B2174" s="1">
        <v>599995</v>
      </c>
      <c r="C2174" s="2">
        <v>41543</v>
      </c>
      <c r="D2174" s="1" t="s">
        <v>1989</v>
      </c>
      <c r="E2174" s="6">
        <v>2</v>
      </c>
      <c r="F2174" s="6" t="str">
        <f t="shared" si="66"/>
        <v>September</v>
      </c>
      <c r="G2174" s="6">
        <f t="shared" si="67"/>
        <v>39</v>
      </c>
      <c r="H2174" s="1">
        <f>SUMIF('Retal Tran Line Item'!E:E,A2174,'Retal Tran Line Item'!B:B)</f>
        <v>10</v>
      </c>
    </row>
    <row r="2175" spans="1:8">
      <c r="A2175" s="1">
        <v>102173</v>
      </c>
      <c r="B2175" s="1">
        <v>116690</v>
      </c>
      <c r="C2175" s="2">
        <v>41543</v>
      </c>
      <c r="D2175" s="1" t="s">
        <v>1992</v>
      </c>
      <c r="E2175" s="6">
        <v>2</v>
      </c>
      <c r="F2175" s="6" t="str">
        <f t="shared" si="66"/>
        <v>September</v>
      </c>
      <c r="G2175" s="6">
        <f t="shared" si="67"/>
        <v>39</v>
      </c>
      <c r="H2175" s="1">
        <f>SUMIF('Retal Tran Line Item'!E:E,A2175,'Retal Tran Line Item'!B:B)</f>
        <v>5</v>
      </c>
    </row>
    <row r="2176" spans="1:8">
      <c r="A2176" s="1">
        <v>102174</v>
      </c>
      <c r="B2176" s="1">
        <v>166612</v>
      </c>
      <c r="C2176" s="2">
        <v>41543</v>
      </c>
      <c r="D2176" s="1" t="s">
        <v>1993</v>
      </c>
      <c r="E2176" s="6">
        <v>1</v>
      </c>
      <c r="F2176" s="6" t="str">
        <f t="shared" si="66"/>
        <v>September</v>
      </c>
      <c r="G2176" s="6">
        <f t="shared" si="67"/>
        <v>39</v>
      </c>
      <c r="H2176" s="1">
        <f>SUMIF('Retal Tran Line Item'!E:E,A2176,'Retal Tran Line Item'!B:B)</f>
        <v>10</v>
      </c>
    </row>
    <row r="2177" spans="1:8">
      <c r="A2177" s="1">
        <v>102175</v>
      </c>
      <c r="B2177" s="1">
        <v>882493</v>
      </c>
      <c r="C2177" s="2">
        <v>41544</v>
      </c>
      <c r="D2177" s="1" t="s">
        <v>1992</v>
      </c>
      <c r="E2177" s="6">
        <v>1</v>
      </c>
      <c r="F2177" s="6" t="str">
        <f t="shared" si="66"/>
        <v>September</v>
      </c>
      <c r="G2177" s="6">
        <f t="shared" si="67"/>
        <v>39</v>
      </c>
      <c r="H2177" s="1">
        <f>SUMIF('Retal Tran Line Item'!E:E,A2177,'Retal Tran Line Item'!B:B)</f>
        <v>6</v>
      </c>
    </row>
    <row r="2178" spans="1:8">
      <c r="A2178" s="1">
        <v>102176</v>
      </c>
      <c r="B2178" s="1">
        <v>442691</v>
      </c>
      <c r="C2178" s="2">
        <v>41544</v>
      </c>
      <c r="D2178" s="1" t="s">
        <v>1992</v>
      </c>
      <c r="E2178" s="6">
        <v>2</v>
      </c>
      <c r="F2178" s="6" t="str">
        <f t="shared" si="66"/>
        <v>September</v>
      </c>
      <c r="G2178" s="6">
        <f t="shared" si="67"/>
        <v>39</v>
      </c>
      <c r="H2178" s="1">
        <f>SUMIF('Retal Tran Line Item'!E:E,A2178,'Retal Tran Line Item'!B:B)</f>
        <v>13</v>
      </c>
    </row>
    <row r="2179" spans="1:8">
      <c r="A2179" s="1">
        <v>102177</v>
      </c>
      <c r="B2179" s="1">
        <v>808869</v>
      </c>
      <c r="C2179" s="2">
        <v>41544</v>
      </c>
      <c r="D2179" s="1" t="s">
        <v>1989</v>
      </c>
      <c r="E2179" s="6">
        <v>2</v>
      </c>
      <c r="F2179" s="6" t="str">
        <f t="shared" ref="F2179:F2242" si="68">TEXT(C2179,"MMMM")</f>
        <v>September</v>
      </c>
      <c r="G2179" s="6">
        <f t="shared" ref="G2179:G2242" si="69">WEEKNUM(C2179)</f>
        <v>39</v>
      </c>
      <c r="H2179" s="1">
        <f>SUMIF('Retal Tran Line Item'!E:E,A2179,'Retal Tran Line Item'!B:B)</f>
        <v>9</v>
      </c>
    </row>
    <row r="2180" spans="1:8">
      <c r="A2180" s="1">
        <v>102178</v>
      </c>
      <c r="B2180" s="1">
        <v>105771</v>
      </c>
      <c r="C2180" s="2">
        <v>41544</v>
      </c>
      <c r="D2180" s="1" t="s">
        <v>1992</v>
      </c>
      <c r="E2180" s="6">
        <v>2</v>
      </c>
      <c r="F2180" s="6" t="str">
        <f t="shared" si="68"/>
        <v>September</v>
      </c>
      <c r="G2180" s="6">
        <f t="shared" si="69"/>
        <v>39</v>
      </c>
      <c r="H2180" s="1">
        <f>SUMIF('Retal Tran Line Item'!E:E,A2180,'Retal Tran Line Item'!B:B)</f>
        <v>7</v>
      </c>
    </row>
    <row r="2181" spans="1:8">
      <c r="A2181" s="1">
        <v>102179</v>
      </c>
      <c r="B2181" s="1">
        <v>323830</v>
      </c>
      <c r="C2181" s="2">
        <v>41544</v>
      </c>
      <c r="D2181" s="1" t="s">
        <v>1992</v>
      </c>
      <c r="E2181" s="6">
        <v>2</v>
      </c>
      <c r="F2181" s="6" t="str">
        <f t="shared" si="68"/>
        <v>September</v>
      </c>
      <c r="G2181" s="6">
        <f t="shared" si="69"/>
        <v>39</v>
      </c>
      <c r="H2181" s="1">
        <f>SUMIF('Retal Tran Line Item'!E:E,A2181,'Retal Tran Line Item'!B:B)</f>
        <v>15</v>
      </c>
    </row>
    <row r="2182" spans="1:8">
      <c r="A2182" s="1">
        <v>102180</v>
      </c>
      <c r="B2182" s="1">
        <v>205878</v>
      </c>
      <c r="C2182" s="2">
        <v>41544</v>
      </c>
      <c r="D2182" s="1" t="s">
        <v>1993</v>
      </c>
      <c r="E2182" s="6">
        <v>1</v>
      </c>
      <c r="F2182" s="6" t="str">
        <f t="shared" si="68"/>
        <v>September</v>
      </c>
      <c r="G2182" s="6">
        <f t="shared" si="69"/>
        <v>39</v>
      </c>
      <c r="H2182" s="1">
        <f>SUMIF('Retal Tran Line Item'!E:E,A2182,'Retal Tran Line Item'!B:B)</f>
        <v>8</v>
      </c>
    </row>
    <row r="2183" spans="1:8">
      <c r="A2183" s="1">
        <v>102181</v>
      </c>
      <c r="B2183" s="1">
        <v>659695</v>
      </c>
      <c r="C2183" s="2">
        <v>41544</v>
      </c>
      <c r="D2183" s="1" t="s">
        <v>1992</v>
      </c>
      <c r="E2183" s="6">
        <v>2</v>
      </c>
      <c r="F2183" s="6" t="str">
        <f t="shared" si="68"/>
        <v>September</v>
      </c>
      <c r="G2183" s="6">
        <f t="shared" si="69"/>
        <v>39</v>
      </c>
      <c r="H2183" s="1">
        <f>SUMIF('Retal Tran Line Item'!E:E,A2183,'Retal Tran Line Item'!B:B)</f>
        <v>8</v>
      </c>
    </row>
    <row r="2184" spans="1:8">
      <c r="A2184" s="1">
        <v>102182</v>
      </c>
      <c r="B2184" s="1">
        <v>897980</v>
      </c>
      <c r="C2184" s="2">
        <v>41544</v>
      </c>
      <c r="D2184" s="1" t="s">
        <v>1993</v>
      </c>
      <c r="E2184" s="6">
        <v>1</v>
      </c>
      <c r="F2184" s="6" t="str">
        <f t="shared" si="68"/>
        <v>September</v>
      </c>
      <c r="G2184" s="6">
        <f t="shared" si="69"/>
        <v>39</v>
      </c>
      <c r="H2184" s="1">
        <f>SUMIF('Retal Tran Line Item'!E:E,A2184,'Retal Tran Line Item'!B:B)</f>
        <v>10</v>
      </c>
    </row>
    <row r="2185" spans="1:8">
      <c r="A2185" s="1">
        <v>102183</v>
      </c>
      <c r="B2185" s="1">
        <v>846722</v>
      </c>
      <c r="C2185" s="2">
        <v>41544</v>
      </c>
      <c r="D2185" s="1" t="s">
        <v>1992</v>
      </c>
      <c r="E2185" s="6">
        <v>2</v>
      </c>
      <c r="F2185" s="6" t="str">
        <f t="shared" si="68"/>
        <v>September</v>
      </c>
      <c r="G2185" s="6">
        <f t="shared" si="69"/>
        <v>39</v>
      </c>
      <c r="H2185" s="1">
        <f>SUMIF('Retal Tran Line Item'!E:E,A2185,'Retal Tran Line Item'!B:B)</f>
        <v>11</v>
      </c>
    </row>
    <row r="2186" spans="1:8">
      <c r="A2186" s="1">
        <v>102184</v>
      </c>
      <c r="B2186" s="1">
        <v>143878</v>
      </c>
      <c r="C2186" s="2">
        <v>41544</v>
      </c>
      <c r="D2186" s="1" t="s">
        <v>1992</v>
      </c>
      <c r="E2186" s="6">
        <v>1</v>
      </c>
      <c r="F2186" s="6" t="str">
        <f t="shared" si="68"/>
        <v>September</v>
      </c>
      <c r="G2186" s="6">
        <f t="shared" si="69"/>
        <v>39</v>
      </c>
      <c r="H2186" s="1">
        <f>SUMIF('Retal Tran Line Item'!E:E,A2186,'Retal Tran Line Item'!B:B)</f>
        <v>9</v>
      </c>
    </row>
    <row r="2187" spans="1:8">
      <c r="A2187" s="1">
        <v>102185</v>
      </c>
      <c r="B2187" s="1">
        <v>817274</v>
      </c>
      <c r="C2187" s="2">
        <v>41544</v>
      </c>
      <c r="D2187" s="1" t="s">
        <v>1994</v>
      </c>
      <c r="E2187" s="6">
        <v>2</v>
      </c>
      <c r="F2187" s="6" t="str">
        <f t="shared" si="68"/>
        <v>September</v>
      </c>
      <c r="G2187" s="6">
        <f t="shared" si="69"/>
        <v>39</v>
      </c>
      <c r="H2187" s="1">
        <f>SUMIF('Retal Tran Line Item'!E:E,A2187,'Retal Tran Line Item'!B:B)</f>
        <v>11</v>
      </c>
    </row>
    <row r="2188" spans="1:8">
      <c r="A2188" s="1">
        <v>102186</v>
      </c>
      <c r="B2188" s="1">
        <v>407605</v>
      </c>
      <c r="C2188" s="2">
        <v>41544</v>
      </c>
      <c r="D2188" s="1" t="s">
        <v>1994</v>
      </c>
      <c r="E2188" s="6">
        <v>1</v>
      </c>
      <c r="F2188" s="6" t="str">
        <f t="shared" si="68"/>
        <v>September</v>
      </c>
      <c r="G2188" s="6">
        <f t="shared" si="69"/>
        <v>39</v>
      </c>
      <c r="H2188" s="1">
        <f>SUMIF('Retal Tran Line Item'!E:E,A2188,'Retal Tran Line Item'!B:B)</f>
        <v>13</v>
      </c>
    </row>
    <row r="2189" spans="1:8">
      <c r="A2189" s="1">
        <v>102187</v>
      </c>
      <c r="B2189" s="1">
        <v>994269</v>
      </c>
      <c r="C2189" s="2">
        <v>41544</v>
      </c>
      <c r="D2189" s="1" t="s">
        <v>1994</v>
      </c>
      <c r="E2189" s="6">
        <v>2</v>
      </c>
      <c r="F2189" s="6" t="str">
        <f t="shared" si="68"/>
        <v>September</v>
      </c>
      <c r="G2189" s="6">
        <f t="shared" si="69"/>
        <v>39</v>
      </c>
      <c r="H2189" s="1">
        <f>SUMIF('Retal Tran Line Item'!E:E,A2189,'Retal Tran Line Item'!B:B)</f>
        <v>5</v>
      </c>
    </row>
    <row r="2190" spans="1:8">
      <c r="A2190" s="1">
        <v>102188</v>
      </c>
      <c r="B2190" s="1">
        <v>678940</v>
      </c>
      <c r="C2190" s="2">
        <v>41545</v>
      </c>
      <c r="D2190" s="1" t="s">
        <v>1994</v>
      </c>
      <c r="E2190" s="6">
        <v>2</v>
      </c>
      <c r="F2190" s="6" t="str">
        <f t="shared" si="68"/>
        <v>September</v>
      </c>
      <c r="G2190" s="6">
        <f t="shared" si="69"/>
        <v>39</v>
      </c>
      <c r="H2190" s="1">
        <f>SUMIF('Retal Tran Line Item'!E:E,A2190,'Retal Tran Line Item'!B:B)</f>
        <v>22</v>
      </c>
    </row>
    <row r="2191" spans="1:8">
      <c r="A2191" s="1">
        <v>102189</v>
      </c>
      <c r="B2191" s="1">
        <v>734514</v>
      </c>
      <c r="C2191" s="2">
        <v>41545</v>
      </c>
      <c r="D2191" s="1" t="s">
        <v>1993</v>
      </c>
      <c r="E2191" s="6">
        <v>2</v>
      </c>
      <c r="F2191" s="6" t="str">
        <f t="shared" si="68"/>
        <v>September</v>
      </c>
      <c r="G2191" s="6">
        <f t="shared" si="69"/>
        <v>39</v>
      </c>
      <c r="H2191" s="1">
        <f>SUMIF('Retal Tran Line Item'!E:E,A2191,'Retal Tran Line Item'!B:B)</f>
        <v>6</v>
      </c>
    </row>
    <row r="2192" spans="1:8">
      <c r="A2192" s="1">
        <v>102190</v>
      </c>
      <c r="B2192" s="1">
        <v>911171</v>
      </c>
      <c r="C2192" s="2">
        <v>41545</v>
      </c>
      <c r="D2192" s="1" t="s">
        <v>1992</v>
      </c>
      <c r="E2192" s="6">
        <v>1</v>
      </c>
      <c r="F2192" s="6" t="str">
        <f t="shared" si="68"/>
        <v>September</v>
      </c>
      <c r="G2192" s="6">
        <f t="shared" si="69"/>
        <v>39</v>
      </c>
      <c r="H2192" s="1">
        <f>SUMIF('Retal Tran Line Item'!E:E,A2192,'Retal Tran Line Item'!B:B)</f>
        <v>4</v>
      </c>
    </row>
    <row r="2193" spans="1:8">
      <c r="A2193" s="1">
        <v>102191</v>
      </c>
      <c r="B2193" s="1">
        <v>442254</v>
      </c>
      <c r="C2193" s="2">
        <v>41545</v>
      </c>
      <c r="D2193" s="1" t="s">
        <v>1989</v>
      </c>
      <c r="E2193" s="6">
        <v>1</v>
      </c>
      <c r="F2193" s="6" t="str">
        <f t="shared" si="68"/>
        <v>September</v>
      </c>
      <c r="G2193" s="6">
        <f t="shared" si="69"/>
        <v>39</v>
      </c>
      <c r="H2193" s="1">
        <f>SUMIF('Retal Tran Line Item'!E:E,A2193,'Retal Tran Line Item'!B:B)</f>
        <v>16</v>
      </c>
    </row>
    <row r="2194" spans="1:8">
      <c r="A2194" s="1">
        <v>102192</v>
      </c>
      <c r="B2194" s="1">
        <v>270853</v>
      </c>
      <c r="C2194" s="2">
        <v>41545</v>
      </c>
      <c r="D2194" s="1" t="s">
        <v>1992</v>
      </c>
      <c r="E2194" s="6">
        <v>2</v>
      </c>
      <c r="F2194" s="6" t="str">
        <f t="shared" si="68"/>
        <v>September</v>
      </c>
      <c r="G2194" s="6">
        <f t="shared" si="69"/>
        <v>39</v>
      </c>
      <c r="H2194" s="1">
        <f>SUMIF('Retal Tran Line Item'!E:E,A2194,'Retal Tran Line Item'!B:B)</f>
        <v>12</v>
      </c>
    </row>
    <row r="2195" spans="1:8">
      <c r="A2195" s="1">
        <v>102193</v>
      </c>
      <c r="B2195" s="1">
        <v>186353</v>
      </c>
      <c r="C2195" s="2">
        <v>41545</v>
      </c>
      <c r="D2195" s="1" t="s">
        <v>1994</v>
      </c>
      <c r="E2195" s="6">
        <v>1</v>
      </c>
      <c r="F2195" s="6" t="str">
        <f t="shared" si="68"/>
        <v>September</v>
      </c>
      <c r="G2195" s="6">
        <f t="shared" si="69"/>
        <v>39</v>
      </c>
      <c r="H2195" s="1">
        <f>SUMIF('Retal Tran Line Item'!E:E,A2195,'Retal Tran Line Item'!B:B)</f>
        <v>8</v>
      </c>
    </row>
    <row r="2196" spans="1:8">
      <c r="A2196" s="1">
        <v>102194</v>
      </c>
      <c r="B2196" s="1">
        <v>977759</v>
      </c>
      <c r="C2196" s="2">
        <v>41545</v>
      </c>
      <c r="D2196" s="1" t="s">
        <v>1992</v>
      </c>
      <c r="E2196" s="6">
        <v>2</v>
      </c>
      <c r="F2196" s="6" t="str">
        <f t="shared" si="68"/>
        <v>September</v>
      </c>
      <c r="G2196" s="6">
        <f t="shared" si="69"/>
        <v>39</v>
      </c>
      <c r="H2196" s="1">
        <f>SUMIF('Retal Tran Line Item'!E:E,A2196,'Retal Tran Line Item'!B:B)</f>
        <v>6</v>
      </c>
    </row>
    <row r="2197" spans="1:8">
      <c r="A2197" s="1">
        <v>102195</v>
      </c>
      <c r="B2197" s="1">
        <v>665313</v>
      </c>
      <c r="C2197" s="2">
        <v>41545</v>
      </c>
      <c r="D2197" s="1" t="s">
        <v>1993</v>
      </c>
      <c r="E2197" s="6">
        <v>2</v>
      </c>
      <c r="F2197" s="6" t="str">
        <f t="shared" si="68"/>
        <v>September</v>
      </c>
      <c r="G2197" s="6">
        <f t="shared" si="69"/>
        <v>39</v>
      </c>
      <c r="H2197" s="1">
        <f>SUMIF('Retal Tran Line Item'!E:E,A2197,'Retal Tran Line Item'!B:B)</f>
        <v>24</v>
      </c>
    </row>
    <row r="2198" spans="1:8">
      <c r="A2198" s="1">
        <v>102196</v>
      </c>
      <c r="B2198" s="1">
        <v>487346</v>
      </c>
      <c r="C2198" s="2">
        <v>41545</v>
      </c>
      <c r="D2198" s="1" t="s">
        <v>1992</v>
      </c>
      <c r="E2198" s="6">
        <v>2</v>
      </c>
      <c r="F2198" s="6" t="str">
        <f t="shared" si="68"/>
        <v>September</v>
      </c>
      <c r="G2198" s="6">
        <f t="shared" si="69"/>
        <v>39</v>
      </c>
      <c r="H2198" s="1">
        <f>SUMIF('Retal Tran Line Item'!E:E,A2198,'Retal Tran Line Item'!B:B)</f>
        <v>20</v>
      </c>
    </row>
    <row r="2199" spans="1:8">
      <c r="A2199" s="1">
        <v>102197</v>
      </c>
      <c r="B2199" s="1">
        <v>694281</v>
      </c>
      <c r="C2199" s="2">
        <v>41545</v>
      </c>
      <c r="D2199" s="1" t="s">
        <v>1989</v>
      </c>
      <c r="E2199" s="6">
        <v>2</v>
      </c>
      <c r="F2199" s="6" t="str">
        <f t="shared" si="68"/>
        <v>September</v>
      </c>
      <c r="G2199" s="6">
        <f t="shared" si="69"/>
        <v>39</v>
      </c>
      <c r="H2199" s="1">
        <f>SUMIF('Retal Tran Line Item'!E:E,A2199,'Retal Tran Line Item'!B:B)</f>
        <v>18</v>
      </c>
    </row>
    <row r="2200" spans="1:8">
      <c r="A2200" s="1">
        <v>102198</v>
      </c>
      <c r="B2200" s="1">
        <v>918682</v>
      </c>
      <c r="C2200" s="2">
        <v>41545</v>
      </c>
      <c r="D2200" s="1" t="s">
        <v>1992</v>
      </c>
      <c r="E2200" s="6">
        <v>1</v>
      </c>
      <c r="F2200" s="6" t="str">
        <f t="shared" si="68"/>
        <v>September</v>
      </c>
      <c r="G2200" s="6">
        <f t="shared" si="69"/>
        <v>39</v>
      </c>
      <c r="H2200" s="1">
        <f>SUMIF('Retal Tran Line Item'!E:E,A2200,'Retal Tran Line Item'!B:B)</f>
        <v>16</v>
      </c>
    </row>
    <row r="2201" spans="1:8">
      <c r="A2201" s="1">
        <v>102199</v>
      </c>
      <c r="B2201" s="1">
        <v>741514</v>
      </c>
      <c r="C2201" s="2">
        <v>41545</v>
      </c>
      <c r="D2201" s="1" t="s">
        <v>1992</v>
      </c>
      <c r="E2201" s="6">
        <v>2</v>
      </c>
      <c r="F2201" s="6" t="str">
        <f t="shared" si="68"/>
        <v>September</v>
      </c>
      <c r="G2201" s="6">
        <f t="shared" si="69"/>
        <v>39</v>
      </c>
      <c r="H2201" s="1">
        <f>SUMIF('Retal Tran Line Item'!E:E,A2201,'Retal Tran Line Item'!B:B)</f>
        <v>2</v>
      </c>
    </row>
    <row r="2202" spans="1:8">
      <c r="A2202" s="1">
        <v>102200</v>
      </c>
      <c r="B2202" s="1">
        <v>230467</v>
      </c>
      <c r="C2202" s="2">
        <v>41545</v>
      </c>
      <c r="D2202" s="1" t="s">
        <v>1989</v>
      </c>
      <c r="E2202" s="6">
        <v>1</v>
      </c>
      <c r="F2202" s="6" t="str">
        <f t="shared" si="68"/>
        <v>September</v>
      </c>
      <c r="G2202" s="6">
        <f t="shared" si="69"/>
        <v>39</v>
      </c>
      <c r="H2202" s="1">
        <f>SUMIF('Retal Tran Line Item'!E:E,A2202,'Retal Tran Line Item'!B:B)</f>
        <v>5</v>
      </c>
    </row>
    <row r="2203" spans="1:8">
      <c r="A2203" s="1">
        <v>102201</v>
      </c>
      <c r="B2203" s="1">
        <v>315634</v>
      </c>
      <c r="C2203" s="2">
        <v>41545</v>
      </c>
      <c r="D2203" s="1" t="s">
        <v>1993</v>
      </c>
      <c r="E2203" s="6">
        <v>1</v>
      </c>
      <c r="F2203" s="6" t="str">
        <f t="shared" si="68"/>
        <v>September</v>
      </c>
      <c r="G2203" s="6">
        <f t="shared" si="69"/>
        <v>39</v>
      </c>
      <c r="H2203" s="1">
        <f>SUMIF('Retal Tran Line Item'!E:E,A2203,'Retal Tran Line Item'!B:B)</f>
        <v>5</v>
      </c>
    </row>
    <row r="2204" spans="1:8">
      <c r="A2204" s="1">
        <v>102202</v>
      </c>
      <c r="B2204" s="1">
        <v>116690</v>
      </c>
      <c r="C2204" s="2">
        <v>41545</v>
      </c>
      <c r="D2204" s="1" t="s">
        <v>1992</v>
      </c>
      <c r="E2204" s="6">
        <v>2</v>
      </c>
      <c r="F2204" s="6" t="str">
        <f t="shared" si="68"/>
        <v>September</v>
      </c>
      <c r="G2204" s="6">
        <f t="shared" si="69"/>
        <v>39</v>
      </c>
      <c r="H2204" s="1">
        <f>SUMIF('Retal Tran Line Item'!E:E,A2204,'Retal Tran Line Item'!B:B)</f>
        <v>9</v>
      </c>
    </row>
    <row r="2205" spans="1:8">
      <c r="A2205" s="1">
        <v>102203</v>
      </c>
      <c r="B2205" s="1">
        <v>475216</v>
      </c>
      <c r="C2205" s="2">
        <v>41545</v>
      </c>
      <c r="D2205" s="1" t="s">
        <v>1994</v>
      </c>
      <c r="E2205" s="6">
        <v>2</v>
      </c>
      <c r="F2205" s="6" t="str">
        <f t="shared" si="68"/>
        <v>September</v>
      </c>
      <c r="G2205" s="6">
        <f t="shared" si="69"/>
        <v>39</v>
      </c>
      <c r="H2205" s="1">
        <f>SUMIF('Retal Tran Line Item'!E:E,A2205,'Retal Tran Line Item'!B:B)</f>
        <v>10</v>
      </c>
    </row>
    <row r="2206" spans="1:8">
      <c r="A2206" s="1">
        <v>102204</v>
      </c>
      <c r="B2206" s="1">
        <v>891738</v>
      </c>
      <c r="C2206" s="2">
        <v>41545</v>
      </c>
      <c r="D2206" s="1" t="s">
        <v>1994</v>
      </c>
      <c r="E2206" s="6">
        <v>1</v>
      </c>
      <c r="F2206" s="6" t="str">
        <f t="shared" si="68"/>
        <v>September</v>
      </c>
      <c r="G2206" s="6">
        <f t="shared" si="69"/>
        <v>39</v>
      </c>
      <c r="H2206" s="1">
        <f>SUMIF('Retal Tran Line Item'!E:E,A2206,'Retal Tran Line Item'!B:B)</f>
        <v>13</v>
      </c>
    </row>
    <row r="2207" spans="1:8">
      <c r="A2207" s="1">
        <v>102205</v>
      </c>
      <c r="B2207" s="1">
        <v>390130</v>
      </c>
      <c r="C2207" s="2">
        <v>41545</v>
      </c>
      <c r="D2207" s="1" t="s">
        <v>1993</v>
      </c>
      <c r="E2207" s="6">
        <v>1</v>
      </c>
      <c r="F2207" s="6" t="str">
        <f t="shared" si="68"/>
        <v>September</v>
      </c>
      <c r="G2207" s="6">
        <f t="shared" si="69"/>
        <v>39</v>
      </c>
      <c r="H2207" s="1">
        <f>SUMIF('Retal Tran Line Item'!E:E,A2207,'Retal Tran Line Item'!B:B)</f>
        <v>8</v>
      </c>
    </row>
    <row r="2208" spans="1:8">
      <c r="A2208" s="1">
        <v>102206</v>
      </c>
      <c r="B2208" s="1">
        <v>205878</v>
      </c>
      <c r="C2208" s="2">
        <v>41545</v>
      </c>
      <c r="D2208" s="1" t="s">
        <v>1993</v>
      </c>
      <c r="E2208" s="6">
        <v>2</v>
      </c>
      <c r="F2208" s="6" t="str">
        <f t="shared" si="68"/>
        <v>September</v>
      </c>
      <c r="G2208" s="6">
        <f t="shared" si="69"/>
        <v>39</v>
      </c>
      <c r="H2208" s="1">
        <f>SUMIF('Retal Tran Line Item'!E:E,A2208,'Retal Tran Line Item'!B:B)</f>
        <v>2</v>
      </c>
    </row>
    <row r="2209" spans="1:8">
      <c r="A2209" s="1">
        <v>102207</v>
      </c>
      <c r="B2209" s="1">
        <v>500828</v>
      </c>
      <c r="C2209" s="2">
        <v>41546</v>
      </c>
      <c r="D2209" s="1" t="s">
        <v>1992</v>
      </c>
      <c r="E2209" s="6">
        <v>2</v>
      </c>
      <c r="F2209" s="6" t="str">
        <f t="shared" si="68"/>
        <v>September</v>
      </c>
      <c r="G2209" s="6">
        <f t="shared" si="69"/>
        <v>40</v>
      </c>
      <c r="H2209" s="1">
        <f>SUMIF('Retal Tran Line Item'!E:E,A2209,'Retal Tran Line Item'!B:B)</f>
        <v>11</v>
      </c>
    </row>
    <row r="2210" spans="1:8">
      <c r="A2210" s="1">
        <v>102208</v>
      </c>
      <c r="B2210" s="1">
        <v>267632</v>
      </c>
      <c r="C2210" s="2">
        <v>41546</v>
      </c>
      <c r="D2210" s="1" t="s">
        <v>1994</v>
      </c>
      <c r="E2210" s="6">
        <v>1</v>
      </c>
      <c r="F2210" s="6" t="str">
        <f t="shared" si="68"/>
        <v>September</v>
      </c>
      <c r="G2210" s="6">
        <f t="shared" si="69"/>
        <v>40</v>
      </c>
      <c r="H2210" s="1">
        <f>SUMIF('Retal Tran Line Item'!E:E,A2210,'Retal Tran Line Item'!B:B)</f>
        <v>1</v>
      </c>
    </row>
    <row r="2211" spans="1:8">
      <c r="A2211" s="1">
        <v>102209</v>
      </c>
      <c r="B2211" s="1">
        <v>147218</v>
      </c>
      <c r="C2211" s="2">
        <v>41546</v>
      </c>
      <c r="D2211" s="1" t="s">
        <v>1989</v>
      </c>
      <c r="E2211" s="6">
        <v>1</v>
      </c>
      <c r="F2211" s="6" t="str">
        <f t="shared" si="68"/>
        <v>September</v>
      </c>
      <c r="G2211" s="6">
        <f t="shared" si="69"/>
        <v>40</v>
      </c>
      <c r="H2211" s="1">
        <f>SUMIF('Retal Tran Line Item'!E:E,A2211,'Retal Tran Line Item'!B:B)</f>
        <v>11</v>
      </c>
    </row>
    <row r="2212" spans="1:8">
      <c r="A2212" s="1">
        <v>102210</v>
      </c>
      <c r="B2212" s="1">
        <v>744780</v>
      </c>
      <c r="C2212" s="2">
        <v>41546</v>
      </c>
      <c r="D2212" s="1" t="s">
        <v>1994</v>
      </c>
      <c r="E2212" s="6">
        <v>1</v>
      </c>
      <c r="F2212" s="6" t="str">
        <f t="shared" si="68"/>
        <v>September</v>
      </c>
      <c r="G2212" s="6">
        <f t="shared" si="69"/>
        <v>40</v>
      </c>
      <c r="H2212" s="1">
        <f>SUMIF('Retal Tran Line Item'!E:E,A2212,'Retal Tran Line Item'!B:B)</f>
        <v>19</v>
      </c>
    </row>
    <row r="2213" spans="1:8">
      <c r="A2213" s="1">
        <v>102211</v>
      </c>
      <c r="B2213" s="1">
        <v>464277</v>
      </c>
      <c r="C2213" s="2">
        <v>41546</v>
      </c>
      <c r="D2213" s="1" t="s">
        <v>1992</v>
      </c>
      <c r="E2213" s="6">
        <v>2</v>
      </c>
      <c r="F2213" s="6" t="str">
        <f t="shared" si="68"/>
        <v>September</v>
      </c>
      <c r="G2213" s="6">
        <f t="shared" si="69"/>
        <v>40</v>
      </c>
      <c r="H2213" s="1">
        <f>SUMIF('Retal Tran Line Item'!E:E,A2213,'Retal Tran Line Item'!B:B)</f>
        <v>10</v>
      </c>
    </row>
    <row r="2214" spans="1:8">
      <c r="A2214" s="1">
        <v>102212</v>
      </c>
      <c r="B2214" s="1">
        <v>524667</v>
      </c>
      <c r="C2214" s="2">
        <v>41546</v>
      </c>
      <c r="D2214" s="1" t="s">
        <v>1994</v>
      </c>
      <c r="E2214" s="6">
        <v>1</v>
      </c>
      <c r="F2214" s="6" t="str">
        <f t="shared" si="68"/>
        <v>September</v>
      </c>
      <c r="G2214" s="6">
        <f t="shared" si="69"/>
        <v>40</v>
      </c>
      <c r="H2214" s="1">
        <f>SUMIF('Retal Tran Line Item'!E:E,A2214,'Retal Tran Line Item'!B:B)</f>
        <v>1</v>
      </c>
    </row>
    <row r="2215" spans="1:8">
      <c r="A2215" s="1">
        <v>102213</v>
      </c>
      <c r="B2215" s="1">
        <v>784218</v>
      </c>
      <c r="C2215" s="2">
        <v>41546</v>
      </c>
      <c r="D2215" s="1" t="s">
        <v>1992</v>
      </c>
      <c r="E2215" s="6">
        <v>1</v>
      </c>
      <c r="F2215" s="6" t="str">
        <f t="shared" si="68"/>
        <v>September</v>
      </c>
      <c r="G2215" s="6">
        <f t="shared" si="69"/>
        <v>40</v>
      </c>
      <c r="H2215" s="1">
        <f>SUMIF('Retal Tran Line Item'!E:E,A2215,'Retal Tran Line Item'!B:B)</f>
        <v>17</v>
      </c>
    </row>
    <row r="2216" spans="1:8">
      <c r="A2216" s="1">
        <v>102214</v>
      </c>
      <c r="B2216" s="1">
        <v>918682</v>
      </c>
      <c r="C2216" s="2">
        <v>41546</v>
      </c>
      <c r="D2216" s="1" t="s">
        <v>1992</v>
      </c>
      <c r="E2216" s="6">
        <v>1</v>
      </c>
      <c r="F2216" s="6" t="str">
        <f t="shared" si="68"/>
        <v>September</v>
      </c>
      <c r="G2216" s="6">
        <f t="shared" si="69"/>
        <v>40</v>
      </c>
      <c r="H2216" s="1">
        <f>SUMIF('Retal Tran Line Item'!E:E,A2216,'Retal Tran Line Item'!B:B)</f>
        <v>1</v>
      </c>
    </row>
    <row r="2217" spans="1:8">
      <c r="A2217" s="1">
        <v>102215</v>
      </c>
      <c r="B2217" s="1">
        <v>373200</v>
      </c>
      <c r="C2217" s="2">
        <v>41546</v>
      </c>
      <c r="D2217" s="1" t="s">
        <v>1989</v>
      </c>
      <c r="E2217" s="6">
        <v>1</v>
      </c>
      <c r="F2217" s="6" t="str">
        <f t="shared" si="68"/>
        <v>September</v>
      </c>
      <c r="G2217" s="6">
        <f t="shared" si="69"/>
        <v>40</v>
      </c>
      <c r="H2217" s="1">
        <f>SUMIF('Retal Tran Line Item'!E:E,A2217,'Retal Tran Line Item'!B:B)</f>
        <v>2</v>
      </c>
    </row>
    <row r="2218" spans="1:8">
      <c r="A2218" s="1">
        <v>102216</v>
      </c>
      <c r="B2218" s="1">
        <v>298508</v>
      </c>
      <c r="C2218" s="2">
        <v>41546</v>
      </c>
      <c r="D2218" s="1" t="s">
        <v>1993</v>
      </c>
      <c r="E2218" s="6">
        <v>1</v>
      </c>
      <c r="F2218" s="6" t="str">
        <f t="shared" si="68"/>
        <v>September</v>
      </c>
      <c r="G2218" s="6">
        <f t="shared" si="69"/>
        <v>40</v>
      </c>
      <c r="H2218" s="1">
        <f>SUMIF('Retal Tran Line Item'!E:E,A2218,'Retal Tran Line Item'!B:B)</f>
        <v>9</v>
      </c>
    </row>
    <row r="2219" spans="1:8">
      <c r="A2219" s="1">
        <v>102217</v>
      </c>
      <c r="B2219" s="1">
        <v>225489</v>
      </c>
      <c r="C2219" s="2">
        <v>41546</v>
      </c>
      <c r="D2219" s="1" t="s">
        <v>1992</v>
      </c>
      <c r="E2219" s="6">
        <v>2</v>
      </c>
      <c r="F2219" s="6" t="str">
        <f t="shared" si="68"/>
        <v>September</v>
      </c>
      <c r="G2219" s="6">
        <f t="shared" si="69"/>
        <v>40</v>
      </c>
      <c r="H2219" s="1">
        <f>SUMIF('Retal Tran Line Item'!E:E,A2219,'Retal Tran Line Item'!B:B)</f>
        <v>3</v>
      </c>
    </row>
    <row r="2220" spans="1:8">
      <c r="A2220" s="1">
        <v>102218</v>
      </c>
      <c r="B2220" s="1">
        <v>628132</v>
      </c>
      <c r="C2220" s="2">
        <v>41546</v>
      </c>
      <c r="D2220" s="1" t="s">
        <v>1992</v>
      </c>
      <c r="E2220" s="6">
        <v>1</v>
      </c>
      <c r="F2220" s="6" t="str">
        <f t="shared" si="68"/>
        <v>September</v>
      </c>
      <c r="G2220" s="6">
        <f t="shared" si="69"/>
        <v>40</v>
      </c>
      <c r="H2220" s="1">
        <f>SUMIF('Retal Tran Line Item'!E:E,A2220,'Retal Tran Line Item'!B:B)</f>
        <v>7</v>
      </c>
    </row>
    <row r="2221" spans="1:8">
      <c r="A2221" s="1">
        <v>102219</v>
      </c>
      <c r="B2221" s="1">
        <v>332324</v>
      </c>
      <c r="C2221" s="2">
        <v>41546</v>
      </c>
      <c r="D2221" s="1" t="s">
        <v>1989</v>
      </c>
      <c r="E2221" s="6">
        <v>1</v>
      </c>
      <c r="F2221" s="6" t="str">
        <f t="shared" si="68"/>
        <v>September</v>
      </c>
      <c r="G2221" s="6">
        <f t="shared" si="69"/>
        <v>40</v>
      </c>
      <c r="H2221" s="1">
        <f>SUMIF('Retal Tran Line Item'!E:E,A2221,'Retal Tran Line Item'!B:B)</f>
        <v>8</v>
      </c>
    </row>
    <row r="2222" spans="1:8">
      <c r="A2222" s="1">
        <v>102220</v>
      </c>
      <c r="B2222" s="1">
        <v>143878</v>
      </c>
      <c r="C2222" s="2">
        <v>41546</v>
      </c>
      <c r="D2222" s="1" t="s">
        <v>1992</v>
      </c>
      <c r="E2222" s="6">
        <v>1</v>
      </c>
      <c r="F2222" s="6" t="str">
        <f t="shared" si="68"/>
        <v>September</v>
      </c>
      <c r="G2222" s="6">
        <f t="shared" si="69"/>
        <v>40</v>
      </c>
      <c r="H2222" s="1">
        <f>SUMIF('Retal Tran Line Item'!E:E,A2222,'Retal Tran Line Item'!B:B)</f>
        <v>2</v>
      </c>
    </row>
    <row r="2223" spans="1:8">
      <c r="A2223" s="1">
        <v>102221</v>
      </c>
      <c r="B2223" s="1">
        <v>739669</v>
      </c>
      <c r="C2223" s="2">
        <v>41546</v>
      </c>
      <c r="D2223" s="1" t="s">
        <v>1992</v>
      </c>
      <c r="E2223" s="6">
        <v>1</v>
      </c>
      <c r="F2223" s="6" t="str">
        <f t="shared" si="68"/>
        <v>September</v>
      </c>
      <c r="G2223" s="6">
        <f t="shared" si="69"/>
        <v>40</v>
      </c>
      <c r="H2223" s="1">
        <f>SUMIF('Retal Tran Line Item'!E:E,A2223,'Retal Tran Line Item'!B:B)</f>
        <v>10</v>
      </c>
    </row>
    <row r="2224" spans="1:8">
      <c r="A2224" s="1">
        <v>102222</v>
      </c>
      <c r="B2224" s="1">
        <v>147218</v>
      </c>
      <c r="C2224" s="2">
        <v>41546</v>
      </c>
      <c r="D2224" s="1" t="s">
        <v>1989</v>
      </c>
      <c r="E2224" s="6">
        <v>1</v>
      </c>
      <c r="F2224" s="6" t="str">
        <f t="shared" si="68"/>
        <v>September</v>
      </c>
      <c r="G2224" s="6">
        <f t="shared" si="69"/>
        <v>40</v>
      </c>
      <c r="H2224" s="1">
        <f>SUMIF('Retal Tran Line Item'!E:E,A2224,'Retal Tran Line Item'!B:B)</f>
        <v>9</v>
      </c>
    </row>
    <row r="2225" spans="1:8">
      <c r="A2225" s="1">
        <v>102223</v>
      </c>
      <c r="B2225" s="1">
        <v>951702</v>
      </c>
      <c r="C2225" s="2">
        <v>41546</v>
      </c>
      <c r="D2225" s="1" t="s">
        <v>1992</v>
      </c>
      <c r="E2225" s="6">
        <v>1</v>
      </c>
      <c r="F2225" s="6" t="str">
        <f t="shared" si="68"/>
        <v>September</v>
      </c>
      <c r="G2225" s="6">
        <f t="shared" si="69"/>
        <v>40</v>
      </c>
      <c r="H2225" s="1">
        <f>SUMIF('Retal Tran Line Item'!E:E,A2225,'Retal Tran Line Item'!B:B)</f>
        <v>9</v>
      </c>
    </row>
    <row r="2226" spans="1:8">
      <c r="A2226" s="1">
        <v>102224</v>
      </c>
      <c r="B2226" s="1">
        <v>205878</v>
      </c>
      <c r="C2226" s="2">
        <v>41546</v>
      </c>
      <c r="D2226" s="1" t="s">
        <v>1993</v>
      </c>
      <c r="E2226" s="6">
        <v>1</v>
      </c>
      <c r="F2226" s="6" t="str">
        <f t="shared" si="68"/>
        <v>September</v>
      </c>
      <c r="G2226" s="6">
        <f t="shared" si="69"/>
        <v>40</v>
      </c>
      <c r="H2226" s="1">
        <f>SUMIF('Retal Tran Line Item'!E:E,A2226,'Retal Tran Line Item'!B:B)</f>
        <v>20</v>
      </c>
    </row>
    <row r="2227" spans="1:8">
      <c r="A2227" s="1">
        <v>102225</v>
      </c>
      <c r="B2227" s="1">
        <v>627324</v>
      </c>
      <c r="C2227" s="2">
        <v>41546</v>
      </c>
      <c r="D2227" s="1" t="s">
        <v>1989</v>
      </c>
      <c r="E2227" s="6">
        <v>1</v>
      </c>
      <c r="F2227" s="6" t="str">
        <f t="shared" si="68"/>
        <v>September</v>
      </c>
      <c r="G2227" s="6">
        <f t="shared" si="69"/>
        <v>40</v>
      </c>
      <c r="H2227" s="1">
        <f>SUMIF('Retal Tran Line Item'!E:E,A2227,'Retal Tran Line Item'!B:B)</f>
        <v>6</v>
      </c>
    </row>
    <row r="2228" spans="1:8">
      <c r="A2228" s="1">
        <v>102226</v>
      </c>
      <c r="B2228" s="1">
        <v>166735</v>
      </c>
      <c r="C2228" s="2">
        <v>41546</v>
      </c>
      <c r="D2228" s="1" t="s">
        <v>1989</v>
      </c>
      <c r="E2228" s="6">
        <v>2</v>
      </c>
      <c r="F2228" s="6" t="str">
        <f t="shared" si="68"/>
        <v>September</v>
      </c>
      <c r="G2228" s="6">
        <f t="shared" si="69"/>
        <v>40</v>
      </c>
      <c r="H2228" s="1">
        <f>SUMIF('Retal Tran Line Item'!E:E,A2228,'Retal Tran Line Item'!B:B)</f>
        <v>29</v>
      </c>
    </row>
    <row r="2229" spans="1:8">
      <c r="A2229" s="1">
        <v>102227</v>
      </c>
      <c r="B2229" s="1">
        <v>147218</v>
      </c>
      <c r="C2229" s="2">
        <v>41546</v>
      </c>
      <c r="D2229" s="1" t="s">
        <v>1989</v>
      </c>
      <c r="E2229" s="6">
        <v>2</v>
      </c>
      <c r="F2229" s="6" t="str">
        <f t="shared" si="68"/>
        <v>September</v>
      </c>
      <c r="G2229" s="6">
        <f t="shared" si="69"/>
        <v>40</v>
      </c>
      <c r="H2229" s="1">
        <f>SUMIF('Retal Tran Line Item'!E:E,A2229,'Retal Tran Line Item'!B:B)</f>
        <v>7</v>
      </c>
    </row>
    <row r="2230" spans="1:8">
      <c r="A2230" s="1">
        <v>102228</v>
      </c>
      <c r="B2230" s="1">
        <v>157695</v>
      </c>
      <c r="C2230" s="2">
        <v>41546</v>
      </c>
      <c r="D2230" s="1" t="s">
        <v>1994</v>
      </c>
      <c r="E2230" s="6">
        <v>2</v>
      </c>
      <c r="F2230" s="6" t="str">
        <f t="shared" si="68"/>
        <v>September</v>
      </c>
      <c r="G2230" s="6">
        <f t="shared" si="69"/>
        <v>40</v>
      </c>
      <c r="H2230" s="1">
        <f>SUMIF('Retal Tran Line Item'!E:E,A2230,'Retal Tran Line Item'!B:B)</f>
        <v>11</v>
      </c>
    </row>
    <row r="2231" spans="1:8">
      <c r="A2231" s="1">
        <v>102229</v>
      </c>
      <c r="B2231" s="1">
        <v>373200</v>
      </c>
      <c r="C2231" s="2">
        <v>41546</v>
      </c>
      <c r="D2231" s="1" t="s">
        <v>1989</v>
      </c>
      <c r="E2231" s="6">
        <v>2</v>
      </c>
      <c r="F2231" s="6" t="str">
        <f t="shared" si="68"/>
        <v>September</v>
      </c>
      <c r="G2231" s="6">
        <f t="shared" si="69"/>
        <v>40</v>
      </c>
      <c r="H2231" s="1">
        <f>SUMIF('Retal Tran Line Item'!E:E,A2231,'Retal Tran Line Item'!B:B)</f>
        <v>18</v>
      </c>
    </row>
    <row r="2232" spans="1:8">
      <c r="A2232" s="1">
        <v>102230</v>
      </c>
      <c r="B2232" s="1">
        <v>200272</v>
      </c>
      <c r="C2232" s="2">
        <v>41546</v>
      </c>
      <c r="D2232" s="1" t="s">
        <v>1992</v>
      </c>
      <c r="E2232" s="6">
        <v>2</v>
      </c>
      <c r="F2232" s="6" t="str">
        <f t="shared" si="68"/>
        <v>September</v>
      </c>
      <c r="G2232" s="6">
        <f t="shared" si="69"/>
        <v>40</v>
      </c>
      <c r="H2232" s="1">
        <f>SUMIF('Retal Tran Line Item'!E:E,A2232,'Retal Tran Line Item'!B:B)</f>
        <v>9</v>
      </c>
    </row>
    <row r="2233" spans="1:8">
      <c r="A2233" s="1">
        <v>102231</v>
      </c>
      <c r="B2233" s="1">
        <v>373200</v>
      </c>
      <c r="C2233" s="2">
        <v>41547</v>
      </c>
      <c r="D2233" s="1" t="s">
        <v>1989</v>
      </c>
      <c r="E2233" s="6">
        <v>2</v>
      </c>
      <c r="F2233" s="6" t="str">
        <f t="shared" si="68"/>
        <v>September</v>
      </c>
      <c r="G2233" s="6">
        <f t="shared" si="69"/>
        <v>40</v>
      </c>
      <c r="H2233" s="1">
        <f>SUMIF('Retal Tran Line Item'!E:E,A2233,'Retal Tran Line Item'!B:B)</f>
        <v>8</v>
      </c>
    </row>
    <row r="2234" spans="1:8">
      <c r="A2234" s="1">
        <v>102232</v>
      </c>
      <c r="B2234" s="1">
        <v>242720</v>
      </c>
      <c r="C2234" s="2">
        <v>41547</v>
      </c>
      <c r="D2234" s="1" t="s">
        <v>1989</v>
      </c>
      <c r="E2234" s="6">
        <v>1</v>
      </c>
      <c r="F2234" s="6" t="str">
        <f t="shared" si="68"/>
        <v>September</v>
      </c>
      <c r="G2234" s="6">
        <f t="shared" si="69"/>
        <v>40</v>
      </c>
      <c r="H2234" s="1">
        <f>SUMIF('Retal Tran Line Item'!E:E,A2234,'Retal Tran Line Item'!B:B)</f>
        <v>10</v>
      </c>
    </row>
    <row r="2235" spans="1:8">
      <c r="A2235" s="1">
        <v>102233</v>
      </c>
      <c r="B2235" s="1">
        <v>550824</v>
      </c>
      <c r="C2235" s="2">
        <v>41547</v>
      </c>
      <c r="D2235" s="1" t="s">
        <v>1989</v>
      </c>
      <c r="E2235" s="6">
        <v>1</v>
      </c>
      <c r="F2235" s="6" t="str">
        <f t="shared" si="68"/>
        <v>September</v>
      </c>
      <c r="G2235" s="6">
        <f t="shared" si="69"/>
        <v>40</v>
      </c>
      <c r="H2235" s="1">
        <f>SUMIF('Retal Tran Line Item'!E:E,A2235,'Retal Tran Line Item'!B:B)</f>
        <v>20</v>
      </c>
    </row>
    <row r="2236" spans="1:8">
      <c r="A2236" s="1">
        <v>102234</v>
      </c>
      <c r="B2236" s="1">
        <v>442691</v>
      </c>
      <c r="C2236" s="2">
        <v>41547</v>
      </c>
      <c r="D2236" s="1" t="s">
        <v>1992</v>
      </c>
      <c r="E2236" s="6">
        <v>2</v>
      </c>
      <c r="F2236" s="6" t="str">
        <f t="shared" si="68"/>
        <v>September</v>
      </c>
      <c r="G2236" s="6">
        <f t="shared" si="69"/>
        <v>40</v>
      </c>
      <c r="H2236" s="1">
        <f>SUMIF('Retal Tran Line Item'!E:E,A2236,'Retal Tran Line Item'!B:B)</f>
        <v>8</v>
      </c>
    </row>
    <row r="2237" spans="1:8">
      <c r="A2237" s="1">
        <v>102235</v>
      </c>
      <c r="B2237" s="1">
        <v>327750</v>
      </c>
      <c r="C2237" s="2">
        <v>41547</v>
      </c>
      <c r="D2237" s="1" t="s">
        <v>1992</v>
      </c>
      <c r="E2237" s="6">
        <v>2</v>
      </c>
      <c r="F2237" s="6" t="str">
        <f t="shared" si="68"/>
        <v>September</v>
      </c>
      <c r="G2237" s="6">
        <f t="shared" si="69"/>
        <v>40</v>
      </c>
      <c r="H2237" s="1">
        <f>SUMIF('Retal Tran Line Item'!E:E,A2237,'Retal Tran Line Item'!B:B)</f>
        <v>5</v>
      </c>
    </row>
    <row r="2238" spans="1:8">
      <c r="A2238" s="1">
        <v>102236</v>
      </c>
      <c r="B2238" s="1">
        <v>659695</v>
      </c>
      <c r="C2238" s="2">
        <v>41547</v>
      </c>
      <c r="D2238" s="1" t="s">
        <v>1992</v>
      </c>
      <c r="E2238" s="6">
        <v>1</v>
      </c>
      <c r="F2238" s="6" t="str">
        <f t="shared" si="68"/>
        <v>September</v>
      </c>
      <c r="G2238" s="6">
        <f t="shared" si="69"/>
        <v>40</v>
      </c>
      <c r="H2238" s="1">
        <f>SUMIF('Retal Tran Line Item'!E:E,A2238,'Retal Tran Line Item'!B:B)</f>
        <v>16</v>
      </c>
    </row>
    <row r="2239" spans="1:8">
      <c r="A2239" s="1">
        <v>102237</v>
      </c>
      <c r="B2239" s="1">
        <v>941876</v>
      </c>
      <c r="C2239" s="2">
        <v>41547</v>
      </c>
      <c r="D2239" s="1" t="s">
        <v>1993</v>
      </c>
      <c r="E2239" s="6">
        <v>1</v>
      </c>
      <c r="F2239" s="6" t="str">
        <f t="shared" si="68"/>
        <v>September</v>
      </c>
      <c r="G2239" s="6">
        <f t="shared" si="69"/>
        <v>40</v>
      </c>
      <c r="H2239" s="1">
        <f>SUMIF('Retal Tran Line Item'!E:E,A2239,'Retal Tran Line Item'!B:B)</f>
        <v>12</v>
      </c>
    </row>
    <row r="2240" spans="1:8">
      <c r="A2240" s="1">
        <v>102238</v>
      </c>
      <c r="B2240" s="1">
        <v>994269</v>
      </c>
      <c r="C2240" s="2">
        <v>41547</v>
      </c>
      <c r="D2240" s="1" t="s">
        <v>1994</v>
      </c>
      <c r="E2240" s="6">
        <v>1</v>
      </c>
      <c r="F2240" s="6" t="str">
        <f t="shared" si="68"/>
        <v>September</v>
      </c>
      <c r="G2240" s="6">
        <f t="shared" si="69"/>
        <v>40</v>
      </c>
      <c r="H2240" s="1">
        <f>SUMIF('Retal Tran Line Item'!E:E,A2240,'Retal Tran Line Item'!B:B)</f>
        <v>16</v>
      </c>
    </row>
    <row r="2241" spans="1:8">
      <c r="A2241" s="1">
        <v>102239</v>
      </c>
      <c r="B2241" s="1">
        <v>568217</v>
      </c>
      <c r="C2241" s="2">
        <v>41547</v>
      </c>
      <c r="D2241" s="1" t="s">
        <v>1993</v>
      </c>
      <c r="E2241" s="6">
        <v>2</v>
      </c>
      <c r="F2241" s="6" t="str">
        <f t="shared" si="68"/>
        <v>September</v>
      </c>
      <c r="G2241" s="6">
        <f t="shared" si="69"/>
        <v>40</v>
      </c>
      <c r="H2241" s="1">
        <f>SUMIF('Retal Tran Line Item'!E:E,A2241,'Retal Tran Line Item'!B:B)</f>
        <v>1</v>
      </c>
    </row>
    <row r="2242" spans="1:8">
      <c r="A2242" s="1">
        <v>102240</v>
      </c>
      <c r="B2242" s="1">
        <v>941876</v>
      </c>
      <c r="C2242" s="2">
        <v>41547</v>
      </c>
      <c r="D2242" s="1" t="s">
        <v>1993</v>
      </c>
      <c r="E2242" s="6">
        <v>1</v>
      </c>
      <c r="F2242" s="6" t="str">
        <f t="shared" si="68"/>
        <v>September</v>
      </c>
      <c r="G2242" s="6">
        <f t="shared" si="69"/>
        <v>40</v>
      </c>
      <c r="H2242" s="1">
        <f>SUMIF('Retal Tran Line Item'!E:E,A2242,'Retal Tran Line Item'!B:B)</f>
        <v>11</v>
      </c>
    </row>
    <row r="2243" spans="1:8">
      <c r="A2243" s="1">
        <v>102241</v>
      </c>
      <c r="B2243" s="1">
        <v>227456</v>
      </c>
      <c r="C2243" s="2">
        <v>41547</v>
      </c>
      <c r="D2243" s="1" t="s">
        <v>1993</v>
      </c>
      <c r="E2243" s="6">
        <v>1</v>
      </c>
      <c r="F2243" s="6" t="str">
        <f t="shared" ref="F2243:F2306" si="70">TEXT(C2243,"MMMM")</f>
        <v>September</v>
      </c>
      <c r="G2243" s="6">
        <f t="shared" ref="G2243:G2306" si="71">WEEKNUM(C2243)</f>
        <v>40</v>
      </c>
      <c r="H2243" s="1">
        <f>SUMIF('Retal Tran Line Item'!E:E,A2243,'Retal Tran Line Item'!B:B)</f>
        <v>6</v>
      </c>
    </row>
    <row r="2244" spans="1:8">
      <c r="A2244" s="1">
        <v>102242</v>
      </c>
      <c r="B2244" s="1">
        <v>421074</v>
      </c>
      <c r="C2244" s="2">
        <v>41547</v>
      </c>
      <c r="D2244" s="1" t="s">
        <v>1992</v>
      </c>
      <c r="E2244" s="6">
        <v>1</v>
      </c>
      <c r="F2244" s="6" t="str">
        <f t="shared" si="70"/>
        <v>September</v>
      </c>
      <c r="G2244" s="6">
        <f t="shared" si="71"/>
        <v>40</v>
      </c>
      <c r="H2244" s="1">
        <f>SUMIF('Retal Tran Line Item'!E:E,A2244,'Retal Tran Line Item'!B:B)</f>
        <v>8</v>
      </c>
    </row>
    <row r="2245" spans="1:8">
      <c r="A2245" s="1">
        <v>102243</v>
      </c>
      <c r="B2245" s="1">
        <v>327750</v>
      </c>
      <c r="C2245" s="2">
        <v>41547</v>
      </c>
      <c r="D2245" s="1" t="s">
        <v>1992</v>
      </c>
      <c r="E2245" s="6">
        <v>1</v>
      </c>
      <c r="F2245" s="6" t="str">
        <f t="shared" si="70"/>
        <v>September</v>
      </c>
      <c r="G2245" s="6">
        <f t="shared" si="71"/>
        <v>40</v>
      </c>
      <c r="H2245" s="1">
        <f>SUMIF('Retal Tran Line Item'!E:E,A2245,'Retal Tran Line Item'!B:B)</f>
        <v>3</v>
      </c>
    </row>
    <row r="2246" spans="1:8">
      <c r="A2246" s="1">
        <v>102244</v>
      </c>
      <c r="B2246" s="1">
        <v>806545</v>
      </c>
      <c r="C2246" s="2">
        <v>41547</v>
      </c>
      <c r="D2246" s="1" t="s">
        <v>1994</v>
      </c>
      <c r="E2246" s="6">
        <v>1</v>
      </c>
      <c r="F2246" s="6" t="str">
        <f t="shared" si="70"/>
        <v>September</v>
      </c>
      <c r="G2246" s="6">
        <f t="shared" si="71"/>
        <v>40</v>
      </c>
      <c r="H2246" s="1">
        <f>SUMIF('Retal Tran Line Item'!E:E,A2246,'Retal Tran Line Item'!B:B)</f>
        <v>17</v>
      </c>
    </row>
    <row r="2247" spans="1:8">
      <c r="A2247" s="1">
        <v>102245</v>
      </c>
      <c r="B2247" s="1">
        <v>191050</v>
      </c>
      <c r="C2247" s="2">
        <v>41547</v>
      </c>
      <c r="D2247" s="1" t="s">
        <v>1992</v>
      </c>
      <c r="E2247" s="6">
        <v>1</v>
      </c>
      <c r="F2247" s="6" t="str">
        <f t="shared" si="70"/>
        <v>September</v>
      </c>
      <c r="G2247" s="6">
        <f t="shared" si="71"/>
        <v>40</v>
      </c>
      <c r="H2247" s="1">
        <f>SUMIF('Retal Tran Line Item'!E:E,A2247,'Retal Tran Line Item'!B:B)</f>
        <v>9</v>
      </c>
    </row>
    <row r="2248" spans="1:8">
      <c r="A2248" s="1">
        <v>102246</v>
      </c>
      <c r="B2248" s="1">
        <v>730305</v>
      </c>
      <c r="C2248" s="2">
        <v>41547</v>
      </c>
      <c r="D2248" s="1" t="s">
        <v>1992</v>
      </c>
      <c r="E2248" s="6">
        <v>1</v>
      </c>
      <c r="F2248" s="6" t="str">
        <f t="shared" si="70"/>
        <v>September</v>
      </c>
      <c r="G2248" s="6">
        <f t="shared" si="71"/>
        <v>40</v>
      </c>
      <c r="H2248" s="1">
        <f>SUMIF('Retal Tran Line Item'!E:E,A2248,'Retal Tran Line Item'!B:B)</f>
        <v>4</v>
      </c>
    </row>
    <row r="2249" spans="1:8">
      <c r="A2249" s="1">
        <v>102247</v>
      </c>
      <c r="B2249" s="1">
        <v>730305</v>
      </c>
      <c r="C2249" s="2">
        <v>41547</v>
      </c>
      <c r="D2249" s="1" t="s">
        <v>1992</v>
      </c>
      <c r="E2249" s="6">
        <v>1</v>
      </c>
      <c r="F2249" s="6" t="str">
        <f t="shared" si="70"/>
        <v>September</v>
      </c>
      <c r="G2249" s="6">
        <f t="shared" si="71"/>
        <v>40</v>
      </c>
      <c r="H2249" s="1">
        <f>SUMIF('Retal Tran Line Item'!E:E,A2249,'Retal Tran Line Item'!B:B)</f>
        <v>8</v>
      </c>
    </row>
    <row r="2250" spans="1:8">
      <c r="A2250" s="1">
        <v>102248</v>
      </c>
      <c r="B2250" s="1">
        <v>235720</v>
      </c>
      <c r="C2250" s="2">
        <v>41547</v>
      </c>
      <c r="D2250" s="1" t="s">
        <v>1993</v>
      </c>
      <c r="E2250" s="6">
        <v>1</v>
      </c>
      <c r="F2250" s="6" t="str">
        <f t="shared" si="70"/>
        <v>September</v>
      </c>
      <c r="G2250" s="6">
        <f t="shared" si="71"/>
        <v>40</v>
      </c>
      <c r="H2250" s="1">
        <f>SUMIF('Retal Tran Line Item'!E:E,A2250,'Retal Tran Line Item'!B:B)</f>
        <v>10</v>
      </c>
    </row>
    <row r="2251" spans="1:8">
      <c r="A2251" s="1">
        <v>102249</v>
      </c>
      <c r="B2251" s="1">
        <v>353846</v>
      </c>
      <c r="C2251" s="2">
        <v>41547</v>
      </c>
      <c r="D2251" s="1" t="s">
        <v>1993</v>
      </c>
      <c r="E2251" s="6">
        <v>1</v>
      </c>
      <c r="F2251" s="6" t="str">
        <f t="shared" si="70"/>
        <v>September</v>
      </c>
      <c r="G2251" s="6">
        <f t="shared" si="71"/>
        <v>40</v>
      </c>
      <c r="H2251" s="1">
        <f>SUMIF('Retal Tran Line Item'!E:E,A2251,'Retal Tran Line Item'!B:B)</f>
        <v>9</v>
      </c>
    </row>
    <row r="2252" spans="1:8">
      <c r="A2252" s="1">
        <v>102250</v>
      </c>
      <c r="B2252" s="1">
        <v>671101</v>
      </c>
      <c r="C2252" s="2">
        <v>41547</v>
      </c>
      <c r="D2252" s="1" t="s">
        <v>1994</v>
      </c>
      <c r="E2252" s="6">
        <v>2</v>
      </c>
      <c r="F2252" s="6" t="str">
        <f t="shared" si="70"/>
        <v>September</v>
      </c>
      <c r="G2252" s="6">
        <f t="shared" si="71"/>
        <v>40</v>
      </c>
      <c r="H2252" s="1">
        <f>SUMIF('Retal Tran Line Item'!E:E,A2252,'Retal Tran Line Item'!B:B)</f>
        <v>17</v>
      </c>
    </row>
    <row r="2253" spans="1:8">
      <c r="A2253" s="1">
        <v>102251</v>
      </c>
      <c r="B2253" s="1">
        <v>866556</v>
      </c>
      <c r="C2253" s="2">
        <v>41547</v>
      </c>
      <c r="D2253" s="1" t="s">
        <v>1993</v>
      </c>
      <c r="E2253" s="6">
        <v>1</v>
      </c>
      <c r="F2253" s="6" t="str">
        <f t="shared" si="70"/>
        <v>September</v>
      </c>
      <c r="G2253" s="6">
        <f t="shared" si="71"/>
        <v>40</v>
      </c>
      <c r="H2253" s="1">
        <f>SUMIF('Retal Tran Line Item'!E:E,A2253,'Retal Tran Line Item'!B:B)</f>
        <v>22</v>
      </c>
    </row>
    <row r="2254" spans="1:8">
      <c r="A2254" s="1">
        <v>102252</v>
      </c>
      <c r="B2254" s="1">
        <v>226909</v>
      </c>
      <c r="C2254" s="2">
        <v>41548</v>
      </c>
      <c r="D2254" s="1" t="s">
        <v>1993</v>
      </c>
      <c r="E2254" s="6">
        <v>2</v>
      </c>
      <c r="F2254" s="6" t="str">
        <f t="shared" si="70"/>
        <v>October</v>
      </c>
      <c r="G2254" s="6">
        <f t="shared" si="71"/>
        <v>40</v>
      </c>
      <c r="H2254" s="1">
        <f>SUMIF('Retal Tran Line Item'!E:E,A2254,'Retal Tran Line Item'!B:B)</f>
        <v>2</v>
      </c>
    </row>
    <row r="2255" spans="1:8">
      <c r="A2255" s="1">
        <v>102253</v>
      </c>
      <c r="B2255" s="1">
        <v>739393</v>
      </c>
      <c r="C2255" s="2">
        <v>41548</v>
      </c>
      <c r="D2255" s="1" t="s">
        <v>1993</v>
      </c>
      <c r="E2255" s="6">
        <v>1</v>
      </c>
      <c r="F2255" s="6" t="str">
        <f t="shared" si="70"/>
        <v>October</v>
      </c>
      <c r="G2255" s="6">
        <f t="shared" si="71"/>
        <v>40</v>
      </c>
      <c r="H2255" s="1">
        <f>SUMIF('Retal Tran Line Item'!E:E,A2255,'Retal Tran Line Item'!B:B)</f>
        <v>17</v>
      </c>
    </row>
    <row r="2256" spans="1:8">
      <c r="A2256" s="1">
        <v>102254</v>
      </c>
      <c r="B2256" s="1">
        <v>448739</v>
      </c>
      <c r="C2256" s="2">
        <v>41548</v>
      </c>
      <c r="D2256" s="1" t="s">
        <v>1989</v>
      </c>
      <c r="E2256" s="6">
        <v>1</v>
      </c>
      <c r="F2256" s="6" t="str">
        <f t="shared" si="70"/>
        <v>October</v>
      </c>
      <c r="G2256" s="6">
        <f t="shared" si="71"/>
        <v>40</v>
      </c>
      <c r="H2256" s="1">
        <f>SUMIF('Retal Tran Line Item'!E:E,A2256,'Retal Tran Line Item'!B:B)</f>
        <v>31</v>
      </c>
    </row>
    <row r="2257" spans="1:8">
      <c r="A2257" s="1">
        <v>102255</v>
      </c>
      <c r="B2257" s="1">
        <v>657495</v>
      </c>
      <c r="C2257" s="2">
        <v>41548</v>
      </c>
      <c r="D2257" s="1" t="s">
        <v>1994</v>
      </c>
      <c r="E2257" s="6">
        <v>1</v>
      </c>
      <c r="F2257" s="6" t="str">
        <f t="shared" si="70"/>
        <v>October</v>
      </c>
      <c r="G2257" s="6">
        <f t="shared" si="71"/>
        <v>40</v>
      </c>
      <c r="H2257" s="1">
        <f>SUMIF('Retal Tran Line Item'!E:E,A2257,'Retal Tran Line Item'!B:B)</f>
        <v>9</v>
      </c>
    </row>
    <row r="2258" spans="1:8">
      <c r="A2258" s="1">
        <v>102256</v>
      </c>
      <c r="B2258" s="1">
        <v>915766</v>
      </c>
      <c r="C2258" s="2">
        <v>41548</v>
      </c>
      <c r="D2258" s="1" t="s">
        <v>1992</v>
      </c>
      <c r="E2258" s="6">
        <v>2</v>
      </c>
      <c r="F2258" s="6" t="str">
        <f t="shared" si="70"/>
        <v>October</v>
      </c>
      <c r="G2258" s="6">
        <f t="shared" si="71"/>
        <v>40</v>
      </c>
      <c r="H2258" s="1">
        <f>SUMIF('Retal Tran Line Item'!E:E,A2258,'Retal Tran Line Item'!B:B)</f>
        <v>2</v>
      </c>
    </row>
    <row r="2259" spans="1:8">
      <c r="A2259" s="1">
        <v>102257</v>
      </c>
      <c r="B2259" s="1">
        <v>468692</v>
      </c>
      <c r="C2259" s="2">
        <v>41548</v>
      </c>
      <c r="D2259" s="1" t="s">
        <v>1993</v>
      </c>
      <c r="E2259" s="6">
        <v>1</v>
      </c>
      <c r="F2259" s="6" t="str">
        <f t="shared" si="70"/>
        <v>October</v>
      </c>
      <c r="G2259" s="6">
        <f t="shared" si="71"/>
        <v>40</v>
      </c>
      <c r="H2259" s="1">
        <f>SUMIF('Retal Tran Line Item'!E:E,A2259,'Retal Tran Line Item'!B:B)</f>
        <v>13</v>
      </c>
    </row>
    <row r="2260" spans="1:8">
      <c r="A2260" s="1">
        <v>102258</v>
      </c>
      <c r="B2260" s="1">
        <v>345748</v>
      </c>
      <c r="C2260" s="2">
        <v>41548</v>
      </c>
      <c r="D2260" s="1" t="s">
        <v>1992</v>
      </c>
      <c r="E2260" s="6">
        <v>1</v>
      </c>
      <c r="F2260" s="6" t="str">
        <f t="shared" si="70"/>
        <v>October</v>
      </c>
      <c r="G2260" s="6">
        <f t="shared" si="71"/>
        <v>40</v>
      </c>
      <c r="H2260" s="1">
        <f>SUMIF('Retal Tran Line Item'!E:E,A2260,'Retal Tran Line Item'!B:B)</f>
        <v>3</v>
      </c>
    </row>
    <row r="2261" spans="1:8">
      <c r="A2261" s="1">
        <v>102259</v>
      </c>
      <c r="B2261" s="1">
        <v>276549</v>
      </c>
      <c r="C2261" s="2">
        <v>41548</v>
      </c>
      <c r="D2261" s="1" t="s">
        <v>1992</v>
      </c>
      <c r="E2261" s="6">
        <v>2</v>
      </c>
      <c r="F2261" s="6" t="str">
        <f t="shared" si="70"/>
        <v>October</v>
      </c>
      <c r="G2261" s="6">
        <f t="shared" si="71"/>
        <v>40</v>
      </c>
      <c r="H2261" s="1">
        <f>SUMIF('Retal Tran Line Item'!E:E,A2261,'Retal Tran Line Item'!B:B)</f>
        <v>9</v>
      </c>
    </row>
    <row r="2262" spans="1:8">
      <c r="A2262" s="1">
        <v>102260</v>
      </c>
      <c r="B2262" s="1">
        <v>897980</v>
      </c>
      <c r="C2262" s="2">
        <v>41548</v>
      </c>
      <c r="D2262" s="1" t="s">
        <v>1993</v>
      </c>
      <c r="E2262" s="6">
        <v>2</v>
      </c>
      <c r="F2262" s="6" t="str">
        <f t="shared" si="70"/>
        <v>October</v>
      </c>
      <c r="G2262" s="6">
        <f t="shared" si="71"/>
        <v>40</v>
      </c>
      <c r="H2262" s="1">
        <f>SUMIF('Retal Tran Line Item'!E:E,A2262,'Retal Tran Line Item'!B:B)</f>
        <v>15</v>
      </c>
    </row>
    <row r="2263" spans="1:8">
      <c r="A2263" s="1">
        <v>102261</v>
      </c>
      <c r="B2263" s="1">
        <v>728908</v>
      </c>
      <c r="C2263" s="2">
        <v>41548</v>
      </c>
      <c r="D2263" s="1" t="s">
        <v>1989</v>
      </c>
      <c r="E2263" s="6">
        <v>1</v>
      </c>
      <c r="F2263" s="6" t="str">
        <f t="shared" si="70"/>
        <v>October</v>
      </c>
      <c r="G2263" s="6">
        <f t="shared" si="71"/>
        <v>40</v>
      </c>
      <c r="H2263" s="1">
        <f>SUMIF('Retal Tran Line Item'!E:E,A2263,'Retal Tran Line Item'!B:B)</f>
        <v>10</v>
      </c>
    </row>
    <row r="2264" spans="1:8">
      <c r="A2264" s="1">
        <v>102262</v>
      </c>
      <c r="B2264" s="1">
        <v>253106</v>
      </c>
      <c r="C2264" s="2">
        <v>41548</v>
      </c>
      <c r="D2264" s="1" t="s">
        <v>1989</v>
      </c>
      <c r="E2264" s="6">
        <v>1</v>
      </c>
      <c r="F2264" s="6" t="str">
        <f t="shared" si="70"/>
        <v>October</v>
      </c>
      <c r="G2264" s="6">
        <f t="shared" si="71"/>
        <v>40</v>
      </c>
      <c r="H2264" s="1">
        <f>SUMIF('Retal Tran Line Item'!E:E,A2264,'Retal Tran Line Item'!B:B)</f>
        <v>7</v>
      </c>
    </row>
    <row r="2265" spans="1:8">
      <c r="A2265" s="1">
        <v>102263</v>
      </c>
      <c r="B2265" s="1">
        <v>233813</v>
      </c>
      <c r="C2265" s="2">
        <v>41548</v>
      </c>
      <c r="D2265" s="1" t="s">
        <v>1993</v>
      </c>
      <c r="E2265" s="6">
        <v>2</v>
      </c>
      <c r="F2265" s="6" t="str">
        <f t="shared" si="70"/>
        <v>October</v>
      </c>
      <c r="G2265" s="6">
        <f t="shared" si="71"/>
        <v>40</v>
      </c>
      <c r="H2265" s="1">
        <f>SUMIF('Retal Tran Line Item'!E:E,A2265,'Retal Tran Line Item'!B:B)</f>
        <v>12</v>
      </c>
    </row>
    <row r="2266" spans="1:8">
      <c r="A2266" s="1">
        <v>102264</v>
      </c>
      <c r="B2266" s="1">
        <v>262638</v>
      </c>
      <c r="C2266" s="2">
        <v>41548</v>
      </c>
      <c r="D2266" s="1" t="s">
        <v>1992</v>
      </c>
      <c r="E2266" s="6">
        <v>2</v>
      </c>
      <c r="F2266" s="6" t="str">
        <f t="shared" si="70"/>
        <v>October</v>
      </c>
      <c r="G2266" s="6">
        <f t="shared" si="71"/>
        <v>40</v>
      </c>
      <c r="H2266" s="1">
        <f>SUMIF('Retal Tran Line Item'!E:E,A2266,'Retal Tran Line Item'!B:B)</f>
        <v>16</v>
      </c>
    </row>
    <row r="2267" spans="1:8">
      <c r="A2267" s="1">
        <v>102265</v>
      </c>
      <c r="B2267" s="1">
        <v>842028</v>
      </c>
      <c r="C2267" s="2">
        <v>41548</v>
      </c>
      <c r="D2267" s="1" t="s">
        <v>1993</v>
      </c>
      <c r="E2267" s="6">
        <v>2</v>
      </c>
      <c r="F2267" s="6" t="str">
        <f t="shared" si="70"/>
        <v>October</v>
      </c>
      <c r="G2267" s="6">
        <f t="shared" si="71"/>
        <v>40</v>
      </c>
      <c r="H2267" s="1">
        <f>SUMIF('Retal Tran Line Item'!E:E,A2267,'Retal Tran Line Item'!B:B)</f>
        <v>12</v>
      </c>
    </row>
    <row r="2268" spans="1:8">
      <c r="A2268" s="1">
        <v>102266</v>
      </c>
      <c r="B2268" s="1">
        <v>104939</v>
      </c>
      <c r="C2268" s="2">
        <v>41548</v>
      </c>
      <c r="D2268" s="1" t="s">
        <v>1992</v>
      </c>
      <c r="E2268" s="6">
        <v>2</v>
      </c>
      <c r="F2268" s="6" t="str">
        <f t="shared" si="70"/>
        <v>October</v>
      </c>
      <c r="G2268" s="6">
        <f t="shared" si="71"/>
        <v>40</v>
      </c>
      <c r="H2268" s="1">
        <f>SUMIF('Retal Tran Line Item'!E:E,A2268,'Retal Tran Line Item'!B:B)</f>
        <v>16</v>
      </c>
    </row>
    <row r="2269" spans="1:8">
      <c r="A2269" s="1">
        <v>102267</v>
      </c>
      <c r="B2269" s="1">
        <v>404678</v>
      </c>
      <c r="C2269" s="2">
        <v>41548</v>
      </c>
      <c r="D2269" s="1" t="s">
        <v>1993</v>
      </c>
      <c r="E2269" s="6">
        <v>1</v>
      </c>
      <c r="F2269" s="6" t="str">
        <f t="shared" si="70"/>
        <v>October</v>
      </c>
      <c r="G2269" s="6">
        <f t="shared" si="71"/>
        <v>40</v>
      </c>
      <c r="H2269" s="1">
        <f>SUMIF('Retal Tran Line Item'!E:E,A2269,'Retal Tran Line Item'!B:B)</f>
        <v>3</v>
      </c>
    </row>
    <row r="2270" spans="1:8">
      <c r="A2270" s="1">
        <v>102268</v>
      </c>
      <c r="B2270" s="1">
        <v>249779</v>
      </c>
      <c r="C2270" s="2">
        <v>41548</v>
      </c>
      <c r="D2270" s="1" t="s">
        <v>1992</v>
      </c>
      <c r="E2270" s="6">
        <v>1</v>
      </c>
      <c r="F2270" s="6" t="str">
        <f t="shared" si="70"/>
        <v>October</v>
      </c>
      <c r="G2270" s="6">
        <f t="shared" si="71"/>
        <v>40</v>
      </c>
      <c r="H2270" s="1">
        <f>SUMIF('Retal Tran Line Item'!E:E,A2270,'Retal Tran Line Item'!B:B)</f>
        <v>1</v>
      </c>
    </row>
    <row r="2271" spans="1:8">
      <c r="A2271" s="1">
        <v>102269</v>
      </c>
      <c r="B2271" s="1">
        <v>370366</v>
      </c>
      <c r="C2271" s="2">
        <v>41548</v>
      </c>
      <c r="D2271" s="1" t="s">
        <v>1992</v>
      </c>
      <c r="E2271" s="6">
        <v>2</v>
      </c>
      <c r="F2271" s="6" t="str">
        <f t="shared" si="70"/>
        <v>October</v>
      </c>
      <c r="G2271" s="6">
        <f t="shared" si="71"/>
        <v>40</v>
      </c>
      <c r="H2271" s="1">
        <f>SUMIF('Retal Tran Line Item'!E:E,A2271,'Retal Tran Line Item'!B:B)</f>
        <v>13</v>
      </c>
    </row>
    <row r="2272" spans="1:8">
      <c r="A2272" s="1">
        <v>102270</v>
      </c>
      <c r="B2272" s="1">
        <v>493552</v>
      </c>
      <c r="C2272" s="2">
        <v>41548</v>
      </c>
      <c r="D2272" s="1" t="s">
        <v>1994</v>
      </c>
      <c r="E2272" s="6">
        <v>1</v>
      </c>
      <c r="F2272" s="6" t="str">
        <f t="shared" si="70"/>
        <v>October</v>
      </c>
      <c r="G2272" s="6">
        <f t="shared" si="71"/>
        <v>40</v>
      </c>
      <c r="H2272" s="1">
        <f>SUMIF('Retal Tran Line Item'!E:E,A2272,'Retal Tran Line Item'!B:B)</f>
        <v>1</v>
      </c>
    </row>
    <row r="2273" spans="1:8">
      <c r="A2273" s="1">
        <v>102271</v>
      </c>
      <c r="B2273" s="1">
        <v>729740</v>
      </c>
      <c r="C2273" s="2">
        <v>41548</v>
      </c>
      <c r="D2273" s="1" t="s">
        <v>1989</v>
      </c>
      <c r="E2273" s="6">
        <v>1</v>
      </c>
      <c r="F2273" s="6" t="str">
        <f t="shared" si="70"/>
        <v>October</v>
      </c>
      <c r="G2273" s="6">
        <f t="shared" si="71"/>
        <v>40</v>
      </c>
      <c r="H2273" s="1">
        <f>SUMIF('Retal Tran Line Item'!E:E,A2273,'Retal Tran Line Item'!B:B)</f>
        <v>7</v>
      </c>
    </row>
    <row r="2274" spans="1:8">
      <c r="A2274" s="1">
        <v>102272</v>
      </c>
      <c r="B2274" s="1">
        <v>826590</v>
      </c>
      <c r="C2274" s="2">
        <v>41548</v>
      </c>
      <c r="D2274" s="1" t="s">
        <v>1992</v>
      </c>
      <c r="E2274" s="6">
        <v>2</v>
      </c>
      <c r="F2274" s="6" t="str">
        <f t="shared" si="70"/>
        <v>October</v>
      </c>
      <c r="G2274" s="6">
        <f t="shared" si="71"/>
        <v>40</v>
      </c>
      <c r="H2274" s="1">
        <f>SUMIF('Retal Tran Line Item'!E:E,A2274,'Retal Tran Line Item'!B:B)</f>
        <v>9</v>
      </c>
    </row>
    <row r="2275" spans="1:8">
      <c r="A2275" s="1">
        <v>102274</v>
      </c>
      <c r="B2275" s="1">
        <v>168607</v>
      </c>
      <c r="C2275" s="2">
        <v>41548</v>
      </c>
      <c r="D2275" s="1" t="s">
        <v>1993</v>
      </c>
      <c r="E2275" s="6">
        <v>1</v>
      </c>
      <c r="F2275" s="6" t="str">
        <f t="shared" si="70"/>
        <v>October</v>
      </c>
      <c r="G2275" s="6">
        <f t="shared" si="71"/>
        <v>40</v>
      </c>
      <c r="H2275" s="1">
        <f>SUMIF('Retal Tran Line Item'!E:E,A2275,'Retal Tran Line Item'!B:B)</f>
        <v>7</v>
      </c>
    </row>
    <row r="2276" spans="1:8">
      <c r="A2276" s="1">
        <v>102275</v>
      </c>
      <c r="B2276" s="1">
        <v>813719</v>
      </c>
      <c r="C2276" s="2">
        <v>41548</v>
      </c>
      <c r="D2276" s="1" t="s">
        <v>1994</v>
      </c>
      <c r="E2276" s="6">
        <v>2</v>
      </c>
      <c r="F2276" s="6" t="str">
        <f t="shared" si="70"/>
        <v>October</v>
      </c>
      <c r="G2276" s="6">
        <f t="shared" si="71"/>
        <v>40</v>
      </c>
      <c r="H2276" s="1">
        <f>SUMIF('Retal Tran Line Item'!E:E,A2276,'Retal Tran Line Item'!B:B)</f>
        <v>9</v>
      </c>
    </row>
    <row r="2277" spans="1:8">
      <c r="A2277" s="1">
        <v>102276</v>
      </c>
      <c r="B2277" s="1">
        <v>327750</v>
      </c>
      <c r="C2277" s="2">
        <v>41548</v>
      </c>
      <c r="D2277" s="1" t="s">
        <v>1992</v>
      </c>
      <c r="E2277" s="6">
        <v>1</v>
      </c>
      <c r="F2277" s="6" t="str">
        <f t="shared" si="70"/>
        <v>October</v>
      </c>
      <c r="G2277" s="6">
        <f t="shared" si="71"/>
        <v>40</v>
      </c>
      <c r="H2277" s="1">
        <f>SUMIF('Retal Tran Line Item'!E:E,A2277,'Retal Tran Line Item'!B:B)</f>
        <v>10</v>
      </c>
    </row>
    <row r="2278" spans="1:8">
      <c r="A2278" s="1">
        <v>102277</v>
      </c>
      <c r="B2278" s="1">
        <v>175871</v>
      </c>
      <c r="C2278" s="2">
        <v>41548</v>
      </c>
      <c r="D2278" s="1" t="s">
        <v>1994</v>
      </c>
      <c r="E2278" s="6">
        <v>2</v>
      </c>
      <c r="F2278" s="6" t="str">
        <f t="shared" si="70"/>
        <v>October</v>
      </c>
      <c r="G2278" s="6">
        <f t="shared" si="71"/>
        <v>40</v>
      </c>
      <c r="H2278" s="1">
        <f>SUMIF('Retal Tran Line Item'!E:E,A2278,'Retal Tran Line Item'!B:B)</f>
        <v>5</v>
      </c>
    </row>
    <row r="2279" spans="1:8">
      <c r="A2279" s="1">
        <v>102278</v>
      </c>
      <c r="B2279" s="1">
        <v>427391</v>
      </c>
      <c r="C2279" s="2">
        <v>41548</v>
      </c>
      <c r="D2279" s="1" t="s">
        <v>1992</v>
      </c>
      <c r="E2279" s="6">
        <v>1</v>
      </c>
      <c r="F2279" s="6" t="str">
        <f t="shared" si="70"/>
        <v>October</v>
      </c>
      <c r="G2279" s="6">
        <f t="shared" si="71"/>
        <v>40</v>
      </c>
      <c r="H2279" s="1">
        <f>SUMIF('Retal Tran Line Item'!E:E,A2279,'Retal Tran Line Item'!B:B)</f>
        <v>12</v>
      </c>
    </row>
    <row r="2280" spans="1:8">
      <c r="A2280" s="1">
        <v>102280</v>
      </c>
      <c r="B2280" s="1">
        <v>590517</v>
      </c>
      <c r="C2280" s="2">
        <v>41549</v>
      </c>
      <c r="D2280" s="1" t="s">
        <v>1994</v>
      </c>
      <c r="E2280" s="6">
        <v>2</v>
      </c>
      <c r="F2280" s="6" t="str">
        <f t="shared" si="70"/>
        <v>October</v>
      </c>
      <c r="G2280" s="6">
        <f t="shared" si="71"/>
        <v>40</v>
      </c>
      <c r="H2280" s="1">
        <f>SUMIF('Retal Tran Line Item'!E:E,A2280,'Retal Tran Line Item'!B:B)</f>
        <v>14</v>
      </c>
    </row>
    <row r="2281" spans="1:8">
      <c r="A2281" s="1">
        <v>102281</v>
      </c>
      <c r="B2281" s="1">
        <v>396166</v>
      </c>
      <c r="C2281" s="2">
        <v>41549</v>
      </c>
      <c r="D2281" s="1" t="s">
        <v>1992</v>
      </c>
      <c r="E2281" s="6">
        <v>2</v>
      </c>
      <c r="F2281" s="6" t="str">
        <f t="shared" si="70"/>
        <v>October</v>
      </c>
      <c r="G2281" s="6">
        <f t="shared" si="71"/>
        <v>40</v>
      </c>
      <c r="H2281" s="1">
        <f>SUMIF('Retal Tran Line Item'!E:E,A2281,'Retal Tran Line Item'!B:B)</f>
        <v>5</v>
      </c>
    </row>
    <row r="2282" spans="1:8">
      <c r="A2282" s="1">
        <v>102282</v>
      </c>
      <c r="B2282" s="1">
        <v>296886</v>
      </c>
      <c r="C2282" s="2">
        <v>41549</v>
      </c>
      <c r="D2282" s="1" t="s">
        <v>1992</v>
      </c>
      <c r="E2282" s="6">
        <v>1</v>
      </c>
      <c r="F2282" s="6" t="str">
        <f t="shared" si="70"/>
        <v>October</v>
      </c>
      <c r="G2282" s="6">
        <f t="shared" si="71"/>
        <v>40</v>
      </c>
      <c r="H2282" s="1">
        <f>SUMIF('Retal Tran Line Item'!E:E,A2282,'Retal Tran Line Item'!B:B)</f>
        <v>7</v>
      </c>
    </row>
    <row r="2283" spans="1:8">
      <c r="A2283" s="1">
        <v>102284</v>
      </c>
      <c r="B2283" s="1">
        <v>407605</v>
      </c>
      <c r="C2283" s="2">
        <v>41549</v>
      </c>
      <c r="D2283" s="1" t="s">
        <v>1994</v>
      </c>
      <c r="E2283" s="6">
        <v>2</v>
      </c>
      <c r="F2283" s="6" t="str">
        <f t="shared" si="70"/>
        <v>October</v>
      </c>
      <c r="G2283" s="6">
        <f t="shared" si="71"/>
        <v>40</v>
      </c>
      <c r="H2283" s="1">
        <f>SUMIF('Retal Tran Line Item'!E:E,A2283,'Retal Tran Line Item'!B:B)</f>
        <v>3</v>
      </c>
    </row>
    <row r="2284" spans="1:8">
      <c r="A2284" s="1">
        <v>102287</v>
      </c>
      <c r="B2284" s="1">
        <v>756928</v>
      </c>
      <c r="C2284" s="2">
        <v>41550</v>
      </c>
      <c r="D2284" s="1" t="s">
        <v>1993</v>
      </c>
      <c r="E2284" s="6">
        <v>2</v>
      </c>
      <c r="F2284" s="6" t="str">
        <f t="shared" si="70"/>
        <v>October</v>
      </c>
      <c r="G2284" s="6">
        <f t="shared" si="71"/>
        <v>40</v>
      </c>
      <c r="H2284" s="1">
        <f>SUMIF('Retal Tran Line Item'!E:E,A2284,'Retal Tran Line Item'!B:B)</f>
        <v>3</v>
      </c>
    </row>
    <row r="2285" spans="1:8">
      <c r="A2285" s="1">
        <v>102288</v>
      </c>
      <c r="B2285" s="1">
        <v>332324</v>
      </c>
      <c r="C2285" s="2">
        <v>41550</v>
      </c>
      <c r="D2285" s="1" t="s">
        <v>1989</v>
      </c>
      <c r="E2285" s="6">
        <v>2</v>
      </c>
      <c r="F2285" s="6" t="str">
        <f t="shared" si="70"/>
        <v>October</v>
      </c>
      <c r="G2285" s="6">
        <f t="shared" si="71"/>
        <v>40</v>
      </c>
      <c r="H2285" s="1">
        <f>SUMIF('Retal Tran Line Item'!E:E,A2285,'Retal Tran Line Item'!B:B)</f>
        <v>1</v>
      </c>
    </row>
    <row r="2286" spans="1:8">
      <c r="A2286" s="1">
        <v>102289</v>
      </c>
      <c r="B2286" s="1">
        <v>270853</v>
      </c>
      <c r="C2286" s="2">
        <v>41550</v>
      </c>
      <c r="D2286" s="1" t="s">
        <v>1992</v>
      </c>
      <c r="E2286" s="6">
        <v>2</v>
      </c>
      <c r="F2286" s="6" t="str">
        <f t="shared" si="70"/>
        <v>October</v>
      </c>
      <c r="G2286" s="6">
        <f t="shared" si="71"/>
        <v>40</v>
      </c>
      <c r="H2286" s="1">
        <f>SUMIF('Retal Tran Line Item'!E:E,A2286,'Retal Tran Line Item'!B:B)</f>
        <v>8</v>
      </c>
    </row>
    <row r="2287" spans="1:8">
      <c r="A2287" s="1">
        <v>102290</v>
      </c>
      <c r="B2287" s="1">
        <v>566192</v>
      </c>
      <c r="C2287" s="2">
        <v>41550</v>
      </c>
      <c r="D2287" s="1" t="s">
        <v>1992</v>
      </c>
      <c r="E2287" s="6">
        <v>1</v>
      </c>
      <c r="F2287" s="6" t="str">
        <f t="shared" si="70"/>
        <v>October</v>
      </c>
      <c r="G2287" s="6">
        <f t="shared" si="71"/>
        <v>40</v>
      </c>
      <c r="H2287" s="1">
        <f>SUMIF('Retal Tran Line Item'!E:E,A2287,'Retal Tran Line Item'!B:B)</f>
        <v>5</v>
      </c>
    </row>
    <row r="2288" spans="1:8">
      <c r="A2288" s="1">
        <v>102292</v>
      </c>
      <c r="B2288" s="1">
        <v>226909</v>
      </c>
      <c r="C2288" s="2">
        <v>41550</v>
      </c>
      <c r="D2288" s="1" t="s">
        <v>1993</v>
      </c>
      <c r="E2288" s="6">
        <v>1</v>
      </c>
      <c r="F2288" s="6" t="str">
        <f t="shared" si="70"/>
        <v>October</v>
      </c>
      <c r="G2288" s="6">
        <f t="shared" si="71"/>
        <v>40</v>
      </c>
      <c r="H2288" s="1">
        <f>SUMIF('Retal Tran Line Item'!E:E,A2288,'Retal Tran Line Item'!B:B)</f>
        <v>3</v>
      </c>
    </row>
    <row r="2289" spans="1:8">
      <c r="A2289" s="1">
        <v>102293</v>
      </c>
      <c r="B2289" s="1">
        <v>189953</v>
      </c>
      <c r="C2289" s="2">
        <v>41550</v>
      </c>
      <c r="D2289" s="1" t="s">
        <v>1992</v>
      </c>
      <c r="E2289" s="6">
        <v>1</v>
      </c>
      <c r="F2289" s="6" t="str">
        <f t="shared" si="70"/>
        <v>October</v>
      </c>
      <c r="G2289" s="6">
        <f t="shared" si="71"/>
        <v>40</v>
      </c>
      <c r="H2289" s="1">
        <f>SUMIF('Retal Tran Line Item'!E:E,A2289,'Retal Tran Line Item'!B:B)</f>
        <v>16</v>
      </c>
    </row>
    <row r="2290" spans="1:8">
      <c r="A2290" s="1">
        <v>102294</v>
      </c>
      <c r="B2290" s="1">
        <v>324435</v>
      </c>
      <c r="C2290" s="2">
        <v>41551</v>
      </c>
      <c r="D2290" s="1" t="s">
        <v>1992</v>
      </c>
      <c r="E2290" s="6">
        <v>1</v>
      </c>
      <c r="F2290" s="6" t="str">
        <f t="shared" si="70"/>
        <v>October</v>
      </c>
      <c r="G2290" s="6">
        <f t="shared" si="71"/>
        <v>40</v>
      </c>
      <c r="H2290" s="1">
        <f>SUMIF('Retal Tran Line Item'!E:E,A2290,'Retal Tran Line Item'!B:B)</f>
        <v>3</v>
      </c>
    </row>
    <row r="2291" spans="1:8">
      <c r="A2291" s="1">
        <v>102295</v>
      </c>
      <c r="B2291" s="1">
        <v>537796</v>
      </c>
      <c r="C2291" s="2">
        <v>41551</v>
      </c>
      <c r="D2291" s="1" t="s">
        <v>1993</v>
      </c>
      <c r="E2291" s="6">
        <v>2</v>
      </c>
      <c r="F2291" s="6" t="str">
        <f t="shared" si="70"/>
        <v>October</v>
      </c>
      <c r="G2291" s="6">
        <f t="shared" si="71"/>
        <v>40</v>
      </c>
      <c r="H2291" s="1">
        <f>SUMIF('Retal Tran Line Item'!E:E,A2291,'Retal Tran Line Item'!B:B)</f>
        <v>17</v>
      </c>
    </row>
    <row r="2292" spans="1:8">
      <c r="A2292" s="1">
        <v>102296</v>
      </c>
      <c r="B2292" s="1">
        <v>418506</v>
      </c>
      <c r="C2292" s="2">
        <v>41551</v>
      </c>
      <c r="D2292" s="1" t="s">
        <v>1992</v>
      </c>
      <c r="E2292" s="6">
        <v>2</v>
      </c>
      <c r="F2292" s="6" t="str">
        <f t="shared" si="70"/>
        <v>October</v>
      </c>
      <c r="G2292" s="6">
        <f t="shared" si="71"/>
        <v>40</v>
      </c>
      <c r="H2292" s="1">
        <f>SUMIF('Retal Tran Line Item'!E:E,A2292,'Retal Tran Line Item'!B:B)</f>
        <v>14</v>
      </c>
    </row>
    <row r="2293" spans="1:8">
      <c r="A2293" s="1">
        <v>102297</v>
      </c>
      <c r="B2293" s="1">
        <v>701211</v>
      </c>
      <c r="C2293" s="2">
        <v>41551</v>
      </c>
      <c r="D2293" s="1" t="s">
        <v>1993</v>
      </c>
      <c r="E2293" s="6">
        <v>2</v>
      </c>
      <c r="F2293" s="6" t="str">
        <f t="shared" si="70"/>
        <v>October</v>
      </c>
      <c r="G2293" s="6">
        <f t="shared" si="71"/>
        <v>40</v>
      </c>
      <c r="H2293" s="1">
        <f>SUMIF('Retal Tran Line Item'!E:E,A2293,'Retal Tran Line Item'!B:B)</f>
        <v>4</v>
      </c>
    </row>
    <row r="2294" spans="1:8">
      <c r="A2294" s="1">
        <v>102302</v>
      </c>
      <c r="B2294" s="1">
        <v>110363</v>
      </c>
      <c r="C2294" s="2">
        <v>41552</v>
      </c>
      <c r="D2294" s="1" t="s">
        <v>1994</v>
      </c>
      <c r="E2294" s="6">
        <v>2</v>
      </c>
      <c r="F2294" s="6" t="str">
        <f t="shared" si="70"/>
        <v>October</v>
      </c>
      <c r="G2294" s="6">
        <f t="shared" si="71"/>
        <v>40</v>
      </c>
      <c r="H2294" s="1">
        <f>SUMIF('Retal Tran Line Item'!E:E,A2294,'Retal Tran Line Item'!B:B)</f>
        <v>8</v>
      </c>
    </row>
    <row r="2295" spans="1:8">
      <c r="A2295" s="1">
        <v>102303</v>
      </c>
      <c r="B2295" s="1">
        <v>592528</v>
      </c>
      <c r="C2295" s="2">
        <v>41552</v>
      </c>
      <c r="D2295" s="1" t="s">
        <v>1992</v>
      </c>
      <c r="E2295" s="6">
        <v>2</v>
      </c>
      <c r="F2295" s="6" t="str">
        <f t="shared" si="70"/>
        <v>October</v>
      </c>
      <c r="G2295" s="6">
        <f t="shared" si="71"/>
        <v>40</v>
      </c>
      <c r="H2295" s="1">
        <f>SUMIF('Retal Tran Line Item'!E:E,A2295,'Retal Tran Line Item'!B:B)</f>
        <v>6</v>
      </c>
    </row>
    <row r="2296" spans="1:8">
      <c r="A2296" s="1">
        <v>102304</v>
      </c>
      <c r="B2296" s="1">
        <v>274541</v>
      </c>
      <c r="C2296" s="2">
        <v>41552</v>
      </c>
      <c r="D2296" s="1" t="s">
        <v>1993</v>
      </c>
      <c r="E2296" s="6">
        <v>2</v>
      </c>
      <c r="F2296" s="6" t="str">
        <f t="shared" si="70"/>
        <v>October</v>
      </c>
      <c r="G2296" s="6">
        <f t="shared" si="71"/>
        <v>40</v>
      </c>
      <c r="H2296" s="1">
        <f>SUMIF('Retal Tran Line Item'!E:E,A2296,'Retal Tran Line Item'!B:B)</f>
        <v>9</v>
      </c>
    </row>
    <row r="2297" spans="1:8">
      <c r="A2297" s="1">
        <v>102306</v>
      </c>
      <c r="B2297" s="1">
        <v>111486</v>
      </c>
      <c r="C2297" s="2">
        <v>41552</v>
      </c>
      <c r="D2297" s="1" t="s">
        <v>1993</v>
      </c>
      <c r="E2297" s="6">
        <v>1</v>
      </c>
      <c r="F2297" s="6" t="str">
        <f t="shared" si="70"/>
        <v>October</v>
      </c>
      <c r="G2297" s="6">
        <f t="shared" si="71"/>
        <v>40</v>
      </c>
      <c r="H2297" s="1">
        <f>SUMIF('Retal Tran Line Item'!E:E,A2297,'Retal Tran Line Item'!B:B)</f>
        <v>10</v>
      </c>
    </row>
    <row r="2298" spans="1:8">
      <c r="A2298" s="1">
        <v>102307</v>
      </c>
      <c r="B2298" s="1">
        <v>651462</v>
      </c>
      <c r="C2298" s="2">
        <v>41552</v>
      </c>
      <c r="D2298" s="1" t="s">
        <v>1992</v>
      </c>
      <c r="E2298" s="6">
        <v>2</v>
      </c>
      <c r="F2298" s="6" t="str">
        <f t="shared" si="70"/>
        <v>October</v>
      </c>
      <c r="G2298" s="6">
        <f t="shared" si="71"/>
        <v>40</v>
      </c>
      <c r="H2298" s="1">
        <f>SUMIF('Retal Tran Line Item'!E:E,A2298,'Retal Tran Line Item'!B:B)</f>
        <v>9</v>
      </c>
    </row>
    <row r="2299" spans="1:8">
      <c r="A2299" s="1">
        <v>102311</v>
      </c>
      <c r="B2299" s="1">
        <v>161175</v>
      </c>
      <c r="C2299" s="2">
        <v>41553</v>
      </c>
      <c r="D2299" s="1" t="s">
        <v>1994</v>
      </c>
      <c r="E2299" s="6">
        <v>1</v>
      </c>
      <c r="F2299" s="6" t="str">
        <f t="shared" si="70"/>
        <v>October</v>
      </c>
      <c r="G2299" s="6">
        <f t="shared" si="71"/>
        <v>41</v>
      </c>
      <c r="H2299" s="1">
        <f>SUMIF('Retal Tran Line Item'!E:E,A2299,'Retal Tran Line Item'!B:B)</f>
        <v>3</v>
      </c>
    </row>
    <row r="2300" spans="1:8">
      <c r="A2300" s="1">
        <v>102312</v>
      </c>
      <c r="B2300" s="1">
        <v>765237</v>
      </c>
      <c r="C2300" s="2">
        <v>41553</v>
      </c>
      <c r="D2300" s="1" t="s">
        <v>1992</v>
      </c>
      <c r="E2300" s="6">
        <v>1</v>
      </c>
      <c r="F2300" s="6" t="str">
        <f t="shared" si="70"/>
        <v>October</v>
      </c>
      <c r="G2300" s="6">
        <f t="shared" si="71"/>
        <v>41</v>
      </c>
      <c r="H2300" s="1">
        <f>SUMIF('Retal Tran Line Item'!E:E,A2300,'Retal Tran Line Item'!B:B)</f>
        <v>2</v>
      </c>
    </row>
    <row r="2301" spans="1:8">
      <c r="A2301" s="1">
        <v>102313</v>
      </c>
      <c r="B2301" s="1">
        <v>958321</v>
      </c>
      <c r="C2301" s="2">
        <v>41553</v>
      </c>
      <c r="D2301" s="1" t="s">
        <v>1993</v>
      </c>
      <c r="E2301" s="6">
        <v>2</v>
      </c>
      <c r="F2301" s="6" t="str">
        <f t="shared" si="70"/>
        <v>October</v>
      </c>
      <c r="G2301" s="6">
        <f t="shared" si="71"/>
        <v>41</v>
      </c>
      <c r="H2301" s="1">
        <f>SUMIF('Retal Tran Line Item'!E:E,A2301,'Retal Tran Line Item'!B:B)</f>
        <v>9</v>
      </c>
    </row>
    <row r="2302" spans="1:8">
      <c r="A2302" s="1">
        <v>102318</v>
      </c>
      <c r="B2302" s="1">
        <v>325263</v>
      </c>
      <c r="C2302" s="2">
        <v>41554</v>
      </c>
      <c r="D2302" s="1" t="s">
        <v>1993</v>
      </c>
      <c r="E2302" s="6">
        <v>2</v>
      </c>
      <c r="F2302" s="6" t="str">
        <f t="shared" si="70"/>
        <v>October</v>
      </c>
      <c r="G2302" s="6">
        <f t="shared" si="71"/>
        <v>41</v>
      </c>
      <c r="H2302" s="1">
        <f>SUMIF('Retal Tran Line Item'!E:E,A2302,'Retal Tran Line Item'!B:B)</f>
        <v>27</v>
      </c>
    </row>
    <row r="2303" spans="1:8">
      <c r="A2303" s="1">
        <v>102321</v>
      </c>
      <c r="B2303" s="1">
        <v>551950</v>
      </c>
      <c r="C2303" s="2">
        <v>41554</v>
      </c>
      <c r="D2303" s="1" t="s">
        <v>1992</v>
      </c>
      <c r="E2303" s="6">
        <v>1</v>
      </c>
      <c r="F2303" s="6" t="str">
        <f t="shared" si="70"/>
        <v>October</v>
      </c>
      <c r="G2303" s="6">
        <f t="shared" si="71"/>
        <v>41</v>
      </c>
      <c r="H2303" s="1">
        <f>SUMIF('Retal Tran Line Item'!E:E,A2303,'Retal Tran Line Item'!B:B)</f>
        <v>3</v>
      </c>
    </row>
    <row r="2304" spans="1:8">
      <c r="A2304" s="1">
        <v>102322</v>
      </c>
      <c r="B2304" s="1">
        <v>105549</v>
      </c>
      <c r="C2304" s="2">
        <v>41554</v>
      </c>
      <c r="D2304" s="1" t="s">
        <v>1992</v>
      </c>
      <c r="E2304" s="6">
        <v>1</v>
      </c>
      <c r="F2304" s="6" t="str">
        <f t="shared" si="70"/>
        <v>October</v>
      </c>
      <c r="G2304" s="6">
        <f t="shared" si="71"/>
        <v>41</v>
      </c>
      <c r="H2304" s="1">
        <f>SUMIF('Retal Tran Line Item'!E:E,A2304,'Retal Tran Line Item'!B:B)</f>
        <v>18</v>
      </c>
    </row>
    <row r="2305" spans="1:8">
      <c r="A2305" s="1">
        <v>102324</v>
      </c>
      <c r="B2305" s="1">
        <v>157388</v>
      </c>
      <c r="C2305" s="2">
        <v>41555</v>
      </c>
      <c r="D2305" s="1" t="s">
        <v>1989</v>
      </c>
      <c r="E2305" s="6">
        <v>2</v>
      </c>
      <c r="F2305" s="6" t="str">
        <f t="shared" si="70"/>
        <v>October</v>
      </c>
      <c r="G2305" s="6">
        <f t="shared" si="71"/>
        <v>41</v>
      </c>
      <c r="H2305" s="1">
        <f>SUMIF('Retal Tran Line Item'!E:E,A2305,'Retal Tran Line Item'!B:B)</f>
        <v>23</v>
      </c>
    </row>
    <row r="2306" spans="1:8">
      <c r="A2306" s="1">
        <v>102326</v>
      </c>
      <c r="B2306" s="1">
        <v>116934</v>
      </c>
      <c r="C2306" s="2">
        <v>41555</v>
      </c>
      <c r="D2306" s="1" t="s">
        <v>1992</v>
      </c>
      <c r="E2306" s="6">
        <v>2</v>
      </c>
      <c r="F2306" s="6" t="str">
        <f t="shared" si="70"/>
        <v>October</v>
      </c>
      <c r="G2306" s="6">
        <f t="shared" si="71"/>
        <v>41</v>
      </c>
      <c r="H2306" s="1">
        <f>SUMIF('Retal Tran Line Item'!E:E,A2306,'Retal Tran Line Item'!B:B)</f>
        <v>9</v>
      </c>
    </row>
    <row r="2307" spans="1:8">
      <c r="A2307" s="1">
        <v>102327</v>
      </c>
      <c r="B2307" s="1">
        <v>734514</v>
      </c>
      <c r="C2307" s="2">
        <v>41555</v>
      </c>
      <c r="D2307" s="1" t="s">
        <v>1993</v>
      </c>
      <c r="E2307" s="6">
        <v>1</v>
      </c>
      <c r="F2307" s="6" t="str">
        <f t="shared" ref="F2307:F2370" si="72">TEXT(C2307,"MMMM")</f>
        <v>October</v>
      </c>
      <c r="G2307" s="6">
        <f t="shared" ref="G2307:G2370" si="73">WEEKNUM(C2307)</f>
        <v>41</v>
      </c>
      <c r="H2307" s="1">
        <f>SUMIF('Retal Tran Line Item'!E:E,A2307,'Retal Tran Line Item'!B:B)</f>
        <v>7</v>
      </c>
    </row>
    <row r="2308" spans="1:8">
      <c r="A2308" s="1">
        <v>102328</v>
      </c>
      <c r="B2308" s="1">
        <v>520196</v>
      </c>
      <c r="C2308" s="2">
        <v>41555</v>
      </c>
      <c r="D2308" s="1" t="s">
        <v>1992</v>
      </c>
      <c r="E2308" s="6">
        <v>1</v>
      </c>
      <c r="F2308" s="6" t="str">
        <f t="shared" si="72"/>
        <v>October</v>
      </c>
      <c r="G2308" s="6">
        <f t="shared" si="73"/>
        <v>41</v>
      </c>
      <c r="H2308" s="1">
        <f>SUMIF('Retal Tran Line Item'!E:E,A2308,'Retal Tran Line Item'!B:B)</f>
        <v>13</v>
      </c>
    </row>
    <row r="2309" spans="1:8">
      <c r="A2309" s="1">
        <v>102330</v>
      </c>
      <c r="B2309" s="1">
        <v>884729</v>
      </c>
      <c r="C2309" s="2">
        <v>41556</v>
      </c>
      <c r="D2309" s="1" t="s">
        <v>1993</v>
      </c>
      <c r="E2309" s="6">
        <v>1</v>
      </c>
      <c r="F2309" s="6" t="str">
        <f t="shared" si="72"/>
        <v>October</v>
      </c>
      <c r="G2309" s="6">
        <f t="shared" si="73"/>
        <v>41</v>
      </c>
      <c r="H2309" s="1">
        <f>SUMIF('Retal Tran Line Item'!E:E,A2309,'Retal Tran Line Item'!B:B)</f>
        <v>14</v>
      </c>
    </row>
    <row r="2310" spans="1:8">
      <c r="A2310" s="1">
        <v>102331</v>
      </c>
      <c r="B2310" s="1">
        <v>689877</v>
      </c>
      <c r="C2310" s="2">
        <v>41556</v>
      </c>
      <c r="D2310" s="1" t="s">
        <v>1994</v>
      </c>
      <c r="E2310" s="6">
        <v>2</v>
      </c>
      <c r="F2310" s="6" t="str">
        <f t="shared" si="72"/>
        <v>October</v>
      </c>
      <c r="G2310" s="6">
        <f t="shared" si="73"/>
        <v>41</v>
      </c>
      <c r="H2310" s="1">
        <f>SUMIF('Retal Tran Line Item'!E:E,A2310,'Retal Tran Line Item'!B:B)</f>
        <v>7</v>
      </c>
    </row>
    <row r="2311" spans="1:8">
      <c r="A2311" s="1">
        <v>102333</v>
      </c>
      <c r="B2311" s="1">
        <v>315634</v>
      </c>
      <c r="C2311" s="2">
        <v>41556</v>
      </c>
      <c r="D2311" s="1" t="s">
        <v>1993</v>
      </c>
      <c r="E2311" s="6">
        <v>1</v>
      </c>
      <c r="F2311" s="6" t="str">
        <f t="shared" si="72"/>
        <v>October</v>
      </c>
      <c r="G2311" s="6">
        <f t="shared" si="73"/>
        <v>41</v>
      </c>
      <c r="H2311" s="1">
        <f>SUMIF('Retal Tran Line Item'!E:E,A2311,'Retal Tran Line Item'!B:B)</f>
        <v>2</v>
      </c>
    </row>
    <row r="2312" spans="1:8">
      <c r="A2312" s="1">
        <v>102334</v>
      </c>
      <c r="B2312" s="1">
        <v>433442</v>
      </c>
      <c r="C2312" s="2">
        <v>41556</v>
      </c>
      <c r="D2312" s="1" t="s">
        <v>1989</v>
      </c>
      <c r="E2312" s="6">
        <v>2</v>
      </c>
      <c r="F2312" s="6" t="str">
        <f t="shared" si="72"/>
        <v>October</v>
      </c>
      <c r="G2312" s="6">
        <f t="shared" si="73"/>
        <v>41</v>
      </c>
      <c r="H2312" s="1">
        <f>SUMIF('Retal Tran Line Item'!E:E,A2312,'Retal Tran Line Item'!B:B)</f>
        <v>6</v>
      </c>
    </row>
    <row r="2313" spans="1:8">
      <c r="A2313" s="1">
        <v>102335</v>
      </c>
      <c r="B2313" s="1">
        <v>884607</v>
      </c>
      <c r="C2313" s="2">
        <v>41556</v>
      </c>
      <c r="D2313" s="1" t="s">
        <v>1993</v>
      </c>
      <c r="E2313" s="6">
        <v>2</v>
      </c>
      <c r="F2313" s="6" t="str">
        <f t="shared" si="72"/>
        <v>October</v>
      </c>
      <c r="G2313" s="6">
        <f t="shared" si="73"/>
        <v>41</v>
      </c>
      <c r="H2313" s="1">
        <f>SUMIF('Retal Tran Line Item'!E:E,A2313,'Retal Tran Line Item'!B:B)</f>
        <v>10</v>
      </c>
    </row>
    <row r="2314" spans="1:8">
      <c r="A2314" s="1">
        <v>102336</v>
      </c>
      <c r="B2314" s="1">
        <v>739669</v>
      </c>
      <c r="C2314" s="2">
        <v>41557</v>
      </c>
      <c r="D2314" s="1" t="s">
        <v>1992</v>
      </c>
      <c r="E2314" s="6">
        <v>1</v>
      </c>
      <c r="F2314" s="6" t="str">
        <f t="shared" si="72"/>
        <v>October</v>
      </c>
      <c r="G2314" s="6">
        <f t="shared" si="73"/>
        <v>41</v>
      </c>
      <c r="H2314" s="1">
        <f>SUMIF('Retal Tran Line Item'!E:E,A2314,'Retal Tran Line Item'!B:B)</f>
        <v>15</v>
      </c>
    </row>
    <row r="2315" spans="1:8">
      <c r="A2315" s="1">
        <v>102338</v>
      </c>
      <c r="B2315" s="1">
        <v>190721</v>
      </c>
      <c r="C2315" s="2">
        <v>41557</v>
      </c>
      <c r="D2315" s="1" t="s">
        <v>1993</v>
      </c>
      <c r="E2315" s="6">
        <v>2</v>
      </c>
      <c r="F2315" s="6" t="str">
        <f t="shared" si="72"/>
        <v>October</v>
      </c>
      <c r="G2315" s="6">
        <f t="shared" si="73"/>
        <v>41</v>
      </c>
      <c r="H2315" s="1">
        <f>SUMIF('Retal Tran Line Item'!E:E,A2315,'Retal Tran Line Item'!B:B)</f>
        <v>8</v>
      </c>
    </row>
    <row r="2316" spans="1:8">
      <c r="A2316" s="1">
        <v>102339</v>
      </c>
      <c r="B2316" s="1">
        <v>667170</v>
      </c>
      <c r="C2316" s="2">
        <v>41557</v>
      </c>
      <c r="D2316" s="1" t="s">
        <v>1993</v>
      </c>
      <c r="E2316" s="6">
        <v>1</v>
      </c>
      <c r="F2316" s="6" t="str">
        <f t="shared" si="72"/>
        <v>October</v>
      </c>
      <c r="G2316" s="6">
        <f t="shared" si="73"/>
        <v>41</v>
      </c>
      <c r="H2316" s="1">
        <f>SUMIF('Retal Tran Line Item'!E:E,A2316,'Retal Tran Line Item'!B:B)</f>
        <v>10</v>
      </c>
    </row>
    <row r="2317" spans="1:8">
      <c r="A2317" s="1">
        <v>102341</v>
      </c>
      <c r="B2317" s="1">
        <v>592726</v>
      </c>
      <c r="C2317" s="2">
        <v>41557</v>
      </c>
      <c r="D2317" s="1" t="s">
        <v>1993</v>
      </c>
      <c r="E2317" s="6">
        <v>1</v>
      </c>
      <c r="F2317" s="6" t="str">
        <f t="shared" si="72"/>
        <v>October</v>
      </c>
      <c r="G2317" s="6">
        <f t="shared" si="73"/>
        <v>41</v>
      </c>
      <c r="H2317" s="1">
        <f>SUMIF('Retal Tran Line Item'!E:E,A2317,'Retal Tran Line Item'!B:B)</f>
        <v>11</v>
      </c>
    </row>
    <row r="2318" spans="1:8">
      <c r="A2318" s="1">
        <v>102342</v>
      </c>
      <c r="B2318" s="1">
        <v>720602</v>
      </c>
      <c r="C2318" s="2">
        <v>41557</v>
      </c>
      <c r="D2318" s="1" t="s">
        <v>1992</v>
      </c>
      <c r="E2318" s="6">
        <v>2</v>
      </c>
      <c r="F2318" s="6" t="str">
        <f t="shared" si="72"/>
        <v>October</v>
      </c>
      <c r="G2318" s="6">
        <f t="shared" si="73"/>
        <v>41</v>
      </c>
      <c r="H2318" s="1">
        <f>SUMIF('Retal Tran Line Item'!E:E,A2318,'Retal Tran Line Item'!B:B)</f>
        <v>11</v>
      </c>
    </row>
    <row r="2319" spans="1:8">
      <c r="A2319" s="1">
        <v>102343</v>
      </c>
      <c r="B2319" s="1">
        <v>932618</v>
      </c>
      <c r="C2319" s="2">
        <v>41558</v>
      </c>
      <c r="D2319" s="1" t="s">
        <v>1993</v>
      </c>
      <c r="E2319" s="6">
        <v>1</v>
      </c>
      <c r="F2319" s="6" t="str">
        <f t="shared" si="72"/>
        <v>October</v>
      </c>
      <c r="G2319" s="6">
        <f t="shared" si="73"/>
        <v>41</v>
      </c>
      <c r="H2319" s="1">
        <f>SUMIF('Retal Tran Line Item'!E:E,A2319,'Retal Tran Line Item'!B:B)</f>
        <v>4</v>
      </c>
    </row>
    <row r="2320" spans="1:8">
      <c r="A2320" s="1">
        <v>102344</v>
      </c>
      <c r="B2320" s="1">
        <v>427391</v>
      </c>
      <c r="C2320" s="2">
        <v>41558</v>
      </c>
      <c r="D2320" s="1" t="s">
        <v>1992</v>
      </c>
      <c r="E2320" s="6">
        <v>1</v>
      </c>
      <c r="F2320" s="6" t="str">
        <f t="shared" si="72"/>
        <v>October</v>
      </c>
      <c r="G2320" s="6">
        <f t="shared" si="73"/>
        <v>41</v>
      </c>
      <c r="H2320" s="1">
        <f>SUMIF('Retal Tran Line Item'!E:E,A2320,'Retal Tran Line Item'!B:B)</f>
        <v>10</v>
      </c>
    </row>
    <row r="2321" spans="1:8">
      <c r="A2321" s="1">
        <v>102346</v>
      </c>
      <c r="B2321" s="1">
        <v>567719</v>
      </c>
      <c r="C2321" s="2">
        <v>41558</v>
      </c>
      <c r="D2321" s="1" t="s">
        <v>1993</v>
      </c>
      <c r="E2321" s="6">
        <v>1</v>
      </c>
      <c r="F2321" s="6" t="str">
        <f t="shared" si="72"/>
        <v>October</v>
      </c>
      <c r="G2321" s="6">
        <f t="shared" si="73"/>
        <v>41</v>
      </c>
      <c r="H2321" s="1">
        <f>SUMIF('Retal Tran Line Item'!E:E,A2321,'Retal Tran Line Item'!B:B)</f>
        <v>10</v>
      </c>
    </row>
    <row r="2322" spans="1:8">
      <c r="A2322" s="1">
        <v>102347</v>
      </c>
      <c r="B2322" s="1">
        <v>607810</v>
      </c>
      <c r="C2322" s="2">
        <v>41558</v>
      </c>
      <c r="D2322" s="1" t="s">
        <v>1989</v>
      </c>
      <c r="E2322" s="6">
        <v>2</v>
      </c>
      <c r="F2322" s="6" t="str">
        <f t="shared" si="72"/>
        <v>October</v>
      </c>
      <c r="G2322" s="6">
        <f t="shared" si="73"/>
        <v>41</v>
      </c>
      <c r="H2322" s="1">
        <f>SUMIF('Retal Tran Line Item'!E:E,A2322,'Retal Tran Line Item'!B:B)</f>
        <v>7</v>
      </c>
    </row>
    <row r="2323" spans="1:8">
      <c r="A2323" s="1">
        <v>102350</v>
      </c>
      <c r="B2323" s="1">
        <v>884729</v>
      </c>
      <c r="C2323" s="2">
        <v>41559</v>
      </c>
      <c r="D2323" s="1" t="s">
        <v>1993</v>
      </c>
      <c r="E2323" s="6">
        <v>1</v>
      </c>
      <c r="F2323" s="6" t="str">
        <f t="shared" si="72"/>
        <v>October</v>
      </c>
      <c r="G2323" s="6">
        <f t="shared" si="73"/>
        <v>41</v>
      </c>
      <c r="H2323" s="1">
        <f>SUMIF('Retal Tran Line Item'!E:E,A2323,'Retal Tran Line Item'!B:B)</f>
        <v>6</v>
      </c>
    </row>
    <row r="2324" spans="1:8">
      <c r="A2324" s="1">
        <v>102351</v>
      </c>
      <c r="B2324" s="1">
        <v>900440</v>
      </c>
      <c r="C2324" s="2">
        <v>41559</v>
      </c>
      <c r="D2324" s="1" t="s">
        <v>1992</v>
      </c>
      <c r="E2324" s="6">
        <v>2</v>
      </c>
      <c r="F2324" s="6" t="str">
        <f t="shared" si="72"/>
        <v>October</v>
      </c>
      <c r="G2324" s="6">
        <f t="shared" si="73"/>
        <v>41</v>
      </c>
      <c r="H2324" s="1">
        <f>SUMIF('Retal Tran Line Item'!E:E,A2324,'Retal Tran Line Item'!B:B)</f>
        <v>5</v>
      </c>
    </row>
    <row r="2325" spans="1:8">
      <c r="A2325" s="1">
        <v>102352</v>
      </c>
      <c r="B2325" s="1">
        <v>549823</v>
      </c>
      <c r="C2325" s="2">
        <v>41559</v>
      </c>
      <c r="D2325" s="1" t="s">
        <v>1993</v>
      </c>
      <c r="E2325" s="6">
        <v>1</v>
      </c>
      <c r="F2325" s="6" t="str">
        <f t="shared" si="72"/>
        <v>October</v>
      </c>
      <c r="G2325" s="6">
        <f t="shared" si="73"/>
        <v>41</v>
      </c>
      <c r="H2325" s="1">
        <f>SUMIF('Retal Tran Line Item'!E:E,A2325,'Retal Tran Line Item'!B:B)</f>
        <v>4</v>
      </c>
    </row>
    <row r="2326" spans="1:8">
      <c r="A2326" s="1">
        <v>102353</v>
      </c>
      <c r="B2326" s="1">
        <v>575903</v>
      </c>
      <c r="C2326" s="2">
        <v>41559</v>
      </c>
      <c r="D2326" s="1" t="s">
        <v>1993</v>
      </c>
      <c r="E2326" s="6">
        <v>1</v>
      </c>
      <c r="F2326" s="6" t="str">
        <f t="shared" si="72"/>
        <v>October</v>
      </c>
      <c r="G2326" s="6">
        <f t="shared" si="73"/>
        <v>41</v>
      </c>
      <c r="H2326" s="1">
        <f>SUMIF('Retal Tran Line Item'!E:E,A2326,'Retal Tran Line Item'!B:B)</f>
        <v>5</v>
      </c>
    </row>
    <row r="2327" spans="1:8">
      <c r="A2327" s="1">
        <v>102354</v>
      </c>
      <c r="B2327" s="1">
        <v>926144</v>
      </c>
      <c r="C2327" s="2">
        <v>41559</v>
      </c>
      <c r="D2327" s="1" t="s">
        <v>1993</v>
      </c>
      <c r="E2327" s="6">
        <v>2</v>
      </c>
      <c r="F2327" s="6" t="str">
        <f t="shared" si="72"/>
        <v>October</v>
      </c>
      <c r="G2327" s="6">
        <f t="shared" si="73"/>
        <v>41</v>
      </c>
      <c r="H2327" s="1">
        <f>SUMIF('Retal Tran Line Item'!E:E,A2327,'Retal Tran Line Item'!B:B)</f>
        <v>6</v>
      </c>
    </row>
    <row r="2328" spans="1:8">
      <c r="A2328" s="1">
        <v>102355</v>
      </c>
      <c r="B2328" s="1">
        <v>808421</v>
      </c>
      <c r="C2328" s="2">
        <v>41559</v>
      </c>
      <c r="D2328" s="1" t="s">
        <v>1989</v>
      </c>
      <c r="E2328" s="6">
        <v>1</v>
      </c>
      <c r="F2328" s="6" t="str">
        <f t="shared" si="72"/>
        <v>October</v>
      </c>
      <c r="G2328" s="6">
        <f t="shared" si="73"/>
        <v>41</v>
      </c>
      <c r="H2328" s="1">
        <f>SUMIF('Retal Tran Line Item'!E:E,A2328,'Retal Tran Line Item'!B:B)</f>
        <v>4</v>
      </c>
    </row>
    <row r="2329" spans="1:8">
      <c r="A2329" s="1">
        <v>102357</v>
      </c>
      <c r="B2329" s="1">
        <v>657736</v>
      </c>
      <c r="C2329" s="2">
        <v>41559</v>
      </c>
      <c r="D2329" s="1" t="s">
        <v>1993</v>
      </c>
      <c r="E2329" s="6">
        <v>1</v>
      </c>
      <c r="F2329" s="6" t="str">
        <f t="shared" si="72"/>
        <v>October</v>
      </c>
      <c r="G2329" s="6">
        <f t="shared" si="73"/>
        <v>41</v>
      </c>
      <c r="H2329" s="1">
        <f>SUMIF('Retal Tran Line Item'!E:E,A2329,'Retal Tran Line Item'!B:B)</f>
        <v>9</v>
      </c>
    </row>
    <row r="2330" spans="1:8">
      <c r="A2330" s="1">
        <v>102358</v>
      </c>
      <c r="B2330" s="1">
        <v>207846</v>
      </c>
      <c r="C2330" s="2">
        <v>41560</v>
      </c>
      <c r="D2330" s="1" t="s">
        <v>1993</v>
      </c>
      <c r="E2330" s="6">
        <v>1</v>
      </c>
      <c r="F2330" s="6" t="str">
        <f t="shared" si="72"/>
        <v>October</v>
      </c>
      <c r="G2330" s="6">
        <f t="shared" si="73"/>
        <v>42</v>
      </c>
      <c r="H2330" s="1">
        <f>SUMIF('Retal Tran Line Item'!E:E,A2330,'Retal Tran Line Item'!B:B)</f>
        <v>5</v>
      </c>
    </row>
    <row r="2331" spans="1:8">
      <c r="A2331" s="1">
        <v>102360</v>
      </c>
      <c r="B2331" s="1">
        <v>897980</v>
      </c>
      <c r="C2331" s="2">
        <v>41560</v>
      </c>
      <c r="D2331" s="1" t="s">
        <v>1993</v>
      </c>
      <c r="E2331" s="6">
        <v>1</v>
      </c>
      <c r="F2331" s="6" t="str">
        <f t="shared" si="72"/>
        <v>October</v>
      </c>
      <c r="G2331" s="6">
        <f t="shared" si="73"/>
        <v>42</v>
      </c>
      <c r="H2331" s="1">
        <f>SUMIF('Retal Tran Line Item'!E:E,A2331,'Retal Tran Line Item'!B:B)</f>
        <v>5</v>
      </c>
    </row>
    <row r="2332" spans="1:8">
      <c r="A2332" s="1">
        <v>102361</v>
      </c>
      <c r="B2332" s="1">
        <v>308505</v>
      </c>
      <c r="C2332" s="2">
        <v>41560</v>
      </c>
      <c r="D2332" s="1" t="s">
        <v>1993</v>
      </c>
      <c r="E2332" s="6">
        <v>1</v>
      </c>
      <c r="F2332" s="6" t="str">
        <f t="shared" si="72"/>
        <v>October</v>
      </c>
      <c r="G2332" s="6">
        <f t="shared" si="73"/>
        <v>42</v>
      </c>
      <c r="H2332" s="1">
        <f>SUMIF('Retal Tran Line Item'!E:E,A2332,'Retal Tran Line Item'!B:B)</f>
        <v>4</v>
      </c>
    </row>
    <row r="2333" spans="1:8">
      <c r="A2333" s="1">
        <v>102362</v>
      </c>
      <c r="B2333" s="1">
        <v>893039</v>
      </c>
      <c r="C2333" s="2">
        <v>41560</v>
      </c>
      <c r="D2333" s="1" t="s">
        <v>1992</v>
      </c>
      <c r="E2333" s="6">
        <v>2</v>
      </c>
      <c r="F2333" s="6" t="str">
        <f t="shared" si="72"/>
        <v>October</v>
      </c>
      <c r="G2333" s="6">
        <f t="shared" si="73"/>
        <v>42</v>
      </c>
      <c r="H2333" s="1">
        <f>SUMIF('Retal Tran Line Item'!E:E,A2333,'Retal Tran Line Item'!B:B)</f>
        <v>7</v>
      </c>
    </row>
    <row r="2334" spans="1:8">
      <c r="A2334" s="1">
        <v>102363</v>
      </c>
      <c r="B2334" s="1">
        <v>116934</v>
      </c>
      <c r="C2334" s="2">
        <v>41561</v>
      </c>
      <c r="D2334" s="1" t="s">
        <v>1992</v>
      </c>
      <c r="E2334" s="6">
        <v>1</v>
      </c>
      <c r="F2334" s="6" t="str">
        <f t="shared" si="72"/>
        <v>October</v>
      </c>
      <c r="G2334" s="6">
        <f t="shared" si="73"/>
        <v>42</v>
      </c>
      <c r="H2334" s="1">
        <f>SUMIF('Retal Tran Line Item'!E:E,A2334,'Retal Tran Line Item'!B:B)</f>
        <v>3</v>
      </c>
    </row>
    <row r="2335" spans="1:8">
      <c r="A2335" s="1">
        <v>102365</v>
      </c>
      <c r="B2335" s="1">
        <v>498970</v>
      </c>
      <c r="C2335" s="2">
        <v>41561</v>
      </c>
      <c r="D2335" s="1" t="s">
        <v>1992</v>
      </c>
      <c r="E2335" s="6">
        <v>2</v>
      </c>
      <c r="F2335" s="6" t="str">
        <f t="shared" si="72"/>
        <v>October</v>
      </c>
      <c r="G2335" s="6">
        <f t="shared" si="73"/>
        <v>42</v>
      </c>
      <c r="H2335" s="1">
        <f>SUMIF('Retal Tran Line Item'!E:E,A2335,'Retal Tran Line Item'!B:B)</f>
        <v>23</v>
      </c>
    </row>
    <row r="2336" spans="1:8">
      <c r="A2336" s="1">
        <v>102366</v>
      </c>
      <c r="B2336" s="1">
        <v>160392</v>
      </c>
      <c r="C2336" s="2">
        <v>41561</v>
      </c>
      <c r="D2336" s="1" t="s">
        <v>1989</v>
      </c>
      <c r="E2336" s="6">
        <v>1</v>
      </c>
      <c r="F2336" s="6" t="str">
        <f t="shared" si="72"/>
        <v>October</v>
      </c>
      <c r="G2336" s="6">
        <f t="shared" si="73"/>
        <v>42</v>
      </c>
      <c r="H2336" s="1">
        <f>SUMIF('Retal Tran Line Item'!E:E,A2336,'Retal Tran Line Item'!B:B)</f>
        <v>15</v>
      </c>
    </row>
    <row r="2337" spans="1:8">
      <c r="A2337" s="1">
        <v>102369</v>
      </c>
      <c r="B2337" s="1">
        <v>296208</v>
      </c>
      <c r="C2337" s="2">
        <v>41561</v>
      </c>
      <c r="D2337" s="1" t="s">
        <v>1993</v>
      </c>
      <c r="E2337" s="6">
        <v>1</v>
      </c>
      <c r="F2337" s="6" t="str">
        <f t="shared" si="72"/>
        <v>October</v>
      </c>
      <c r="G2337" s="6">
        <f t="shared" si="73"/>
        <v>42</v>
      </c>
      <c r="H2337" s="1">
        <f>SUMIF('Retal Tran Line Item'!E:E,A2337,'Retal Tran Line Item'!B:B)</f>
        <v>11</v>
      </c>
    </row>
    <row r="2338" spans="1:8">
      <c r="A2338" s="1">
        <v>102370</v>
      </c>
      <c r="B2338" s="1">
        <v>283158</v>
      </c>
      <c r="C2338" s="2">
        <v>41561</v>
      </c>
      <c r="D2338" s="1" t="s">
        <v>1993</v>
      </c>
      <c r="E2338" s="6">
        <v>1</v>
      </c>
      <c r="F2338" s="6" t="str">
        <f t="shared" si="72"/>
        <v>October</v>
      </c>
      <c r="G2338" s="6">
        <f t="shared" si="73"/>
        <v>42</v>
      </c>
      <c r="H2338" s="1">
        <f>SUMIF('Retal Tran Line Item'!E:E,A2338,'Retal Tran Line Item'!B:B)</f>
        <v>2</v>
      </c>
    </row>
    <row r="2339" spans="1:8">
      <c r="A2339" s="1">
        <v>102371</v>
      </c>
      <c r="B2339" s="1">
        <v>426984</v>
      </c>
      <c r="C2339" s="2">
        <v>41562</v>
      </c>
      <c r="D2339" s="1" t="s">
        <v>1992</v>
      </c>
      <c r="E2339" s="6">
        <v>1</v>
      </c>
      <c r="F2339" s="6" t="str">
        <f t="shared" si="72"/>
        <v>October</v>
      </c>
      <c r="G2339" s="6">
        <f t="shared" si="73"/>
        <v>42</v>
      </c>
      <c r="H2339" s="1">
        <f>SUMIF('Retal Tran Line Item'!E:E,A2339,'Retal Tran Line Item'!B:B)</f>
        <v>6</v>
      </c>
    </row>
    <row r="2340" spans="1:8">
      <c r="A2340" s="1">
        <v>102372</v>
      </c>
      <c r="B2340" s="1">
        <v>193968</v>
      </c>
      <c r="C2340" s="2">
        <v>41562</v>
      </c>
      <c r="D2340" s="1" t="s">
        <v>1992</v>
      </c>
      <c r="E2340" s="6">
        <v>1</v>
      </c>
      <c r="F2340" s="6" t="str">
        <f t="shared" si="72"/>
        <v>October</v>
      </c>
      <c r="G2340" s="6">
        <f t="shared" si="73"/>
        <v>42</v>
      </c>
      <c r="H2340" s="1">
        <f>SUMIF('Retal Tran Line Item'!E:E,A2340,'Retal Tran Line Item'!B:B)</f>
        <v>6</v>
      </c>
    </row>
    <row r="2341" spans="1:8">
      <c r="A2341" s="1">
        <v>102373</v>
      </c>
      <c r="B2341" s="1">
        <v>310195</v>
      </c>
      <c r="C2341" s="2">
        <v>41562</v>
      </c>
      <c r="D2341" s="1" t="s">
        <v>1993</v>
      </c>
      <c r="E2341" s="6">
        <v>2</v>
      </c>
      <c r="F2341" s="6" t="str">
        <f t="shared" si="72"/>
        <v>October</v>
      </c>
      <c r="G2341" s="6">
        <f t="shared" si="73"/>
        <v>42</v>
      </c>
      <c r="H2341" s="1">
        <f>SUMIF('Retal Tran Line Item'!E:E,A2341,'Retal Tran Line Item'!B:B)</f>
        <v>8</v>
      </c>
    </row>
    <row r="2342" spans="1:8">
      <c r="A2342" s="1">
        <v>102377</v>
      </c>
      <c r="B2342" s="1">
        <v>585972</v>
      </c>
      <c r="C2342" s="2">
        <v>41562</v>
      </c>
      <c r="D2342" s="1" t="s">
        <v>1993</v>
      </c>
      <c r="E2342" s="6">
        <v>2</v>
      </c>
      <c r="F2342" s="6" t="str">
        <f t="shared" si="72"/>
        <v>October</v>
      </c>
      <c r="G2342" s="6">
        <f t="shared" si="73"/>
        <v>42</v>
      </c>
      <c r="H2342" s="1">
        <f>SUMIF('Retal Tran Line Item'!E:E,A2342,'Retal Tran Line Item'!B:B)</f>
        <v>10</v>
      </c>
    </row>
    <row r="2343" spans="1:8">
      <c r="A2343" s="1">
        <v>102378</v>
      </c>
      <c r="B2343" s="1">
        <v>464984</v>
      </c>
      <c r="C2343" s="2">
        <v>41563</v>
      </c>
      <c r="D2343" s="1" t="s">
        <v>1993</v>
      </c>
      <c r="E2343" s="6">
        <v>1</v>
      </c>
      <c r="F2343" s="6" t="str">
        <f t="shared" si="72"/>
        <v>October</v>
      </c>
      <c r="G2343" s="6">
        <f t="shared" si="73"/>
        <v>42</v>
      </c>
      <c r="H2343" s="1">
        <f>SUMIF('Retal Tran Line Item'!E:E,A2343,'Retal Tran Line Item'!B:B)</f>
        <v>6</v>
      </c>
    </row>
    <row r="2344" spans="1:8">
      <c r="A2344" s="1">
        <v>102379</v>
      </c>
      <c r="B2344" s="1">
        <v>479497</v>
      </c>
      <c r="C2344" s="2">
        <v>41563</v>
      </c>
      <c r="D2344" s="1" t="s">
        <v>1994</v>
      </c>
      <c r="E2344" s="6">
        <v>2</v>
      </c>
      <c r="F2344" s="6" t="str">
        <f t="shared" si="72"/>
        <v>October</v>
      </c>
      <c r="G2344" s="6">
        <f t="shared" si="73"/>
        <v>42</v>
      </c>
      <c r="H2344" s="1">
        <f>SUMIF('Retal Tran Line Item'!E:E,A2344,'Retal Tran Line Item'!B:B)</f>
        <v>4</v>
      </c>
    </row>
    <row r="2345" spans="1:8">
      <c r="A2345" s="1">
        <v>102382</v>
      </c>
      <c r="B2345" s="1">
        <v>719921</v>
      </c>
      <c r="C2345" s="2">
        <v>41563</v>
      </c>
      <c r="D2345" s="1" t="s">
        <v>1993</v>
      </c>
      <c r="E2345" s="6">
        <v>1</v>
      </c>
      <c r="F2345" s="6" t="str">
        <f t="shared" si="72"/>
        <v>October</v>
      </c>
      <c r="G2345" s="6">
        <f t="shared" si="73"/>
        <v>42</v>
      </c>
      <c r="H2345" s="1">
        <f>SUMIF('Retal Tran Line Item'!E:E,A2345,'Retal Tran Line Item'!B:B)</f>
        <v>10</v>
      </c>
    </row>
    <row r="2346" spans="1:8">
      <c r="A2346" s="1">
        <v>102383</v>
      </c>
      <c r="B2346" s="1">
        <v>806545</v>
      </c>
      <c r="C2346" s="2">
        <v>41563</v>
      </c>
      <c r="D2346" s="1" t="s">
        <v>1994</v>
      </c>
      <c r="E2346" s="6">
        <v>2</v>
      </c>
      <c r="F2346" s="6" t="str">
        <f t="shared" si="72"/>
        <v>October</v>
      </c>
      <c r="G2346" s="6">
        <f t="shared" si="73"/>
        <v>42</v>
      </c>
      <c r="H2346" s="1">
        <f>SUMIF('Retal Tran Line Item'!E:E,A2346,'Retal Tran Line Item'!B:B)</f>
        <v>1</v>
      </c>
    </row>
    <row r="2347" spans="1:8">
      <c r="A2347" s="1">
        <v>102384</v>
      </c>
      <c r="B2347" s="1">
        <v>850933</v>
      </c>
      <c r="C2347" s="2">
        <v>41564</v>
      </c>
      <c r="D2347" s="1" t="s">
        <v>1989</v>
      </c>
      <c r="E2347" s="6">
        <v>2</v>
      </c>
      <c r="F2347" s="6" t="str">
        <f t="shared" si="72"/>
        <v>October</v>
      </c>
      <c r="G2347" s="6">
        <f t="shared" si="73"/>
        <v>42</v>
      </c>
      <c r="H2347" s="1">
        <f>SUMIF('Retal Tran Line Item'!E:E,A2347,'Retal Tran Line Item'!B:B)</f>
        <v>1</v>
      </c>
    </row>
    <row r="2348" spans="1:8">
      <c r="A2348" s="1">
        <v>102385</v>
      </c>
      <c r="B2348" s="1">
        <v>739669</v>
      </c>
      <c r="C2348" s="2">
        <v>41564</v>
      </c>
      <c r="D2348" s="1" t="s">
        <v>1992</v>
      </c>
      <c r="E2348" s="6">
        <v>2</v>
      </c>
      <c r="F2348" s="6" t="str">
        <f t="shared" si="72"/>
        <v>October</v>
      </c>
      <c r="G2348" s="6">
        <f t="shared" si="73"/>
        <v>42</v>
      </c>
      <c r="H2348" s="1">
        <f>SUMIF('Retal Tran Line Item'!E:E,A2348,'Retal Tran Line Item'!B:B)</f>
        <v>10</v>
      </c>
    </row>
    <row r="2349" spans="1:8">
      <c r="A2349" s="1">
        <v>102386</v>
      </c>
      <c r="B2349" s="1">
        <v>884368</v>
      </c>
      <c r="C2349" s="2">
        <v>41564</v>
      </c>
      <c r="D2349" s="1" t="s">
        <v>1993</v>
      </c>
      <c r="E2349" s="6">
        <v>1</v>
      </c>
      <c r="F2349" s="6" t="str">
        <f t="shared" si="72"/>
        <v>October</v>
      </c>
      <c r="G2349" s="6">
        <f t="shared" si="73"/>
        <v>42</v>
      </c>
      <c r="H2349" s="1">
        <f>SUMIF('Retal Tran Line Item'!E:E,A2349,'Retal Tran Line Item'!B:B)</f>
        <v>2</v>
      </c>
    </row>
    <row r="2350" spans="1:8">
      <c r="A2350" s="1">
        <v>102391</v>
      </c>
      <c r="B2350" s="1">
        <v>616028</v>
      </c>
      <c r="C2350" s="2">
        <v>41564</v>
      </c>
      <c r="D2350" s="1" t="s">
        <v>1992</v>
      </c>
      <c r="E2350" s="6">
        <v>2</v>
      </c>
      <c r="F2350" s="6" t="str">
        <f t="shared" si="72"/>
        <v>October</v>
      </c>
      <c r="G2350" s="6">
        <f t="shared" si="73"/>
        <v>42</v>
      </c>
      <c r="H2350" s="1">
        <f>SUMIF('Retal Tran Line Item'!E:E,A2350,'Retal Tran Line Item'!B:B)</f>
        <v>7</v>
      </c>
    </row>
    <row r="2351" spans="1:8">
      <c r="A2351" s="1">
        <v>102392</v>
      </c>
      <c r="B2351" s="1">
        <v>970794</v>
      </c>
      <c r="C2351" s="2">
        <v>41565</v>
      </c>
      <c r="D2351" s="1" t="s">
        <v>1993</v>
      </c>
      <c r="E2351" s="6">
        <v>1</v>
      </c>
      <c r="F2351" s="6" t="str">
        <f t="shared" si="72"/>
        <v>October</v>
      </c>
      <c r="G2351" s="6">
        <f t="shared" si="73"/>
        <v>42</v>
      </c>
      <c r="H2351" s="1">
        <f>SUMIF('Retal Tran Line Item'!E:E,A2351,'Retal Tran Line Item'!B:B)</f>
        <v>4</v>
      </c>
    </row>
    <row r="2352" spans="1:8">
      <c r="A2352" s="1">
        <v>102393</v>
      </c>
      <c r="B2352" s="1">
        <v>970794</v>
      </c>
      <c r="C2352" s="2">
        <v>41565</v>
      </c>
      <c r="D2352" s="1" t="s">
        <v>1993</v>
      </c>
      <c r="E2352" s="6">
        <v>1</v>
      </c>
      <c r="F2352" s="6" t="str">
        <f t="shared" si="72"/>
        <v>October</v>
      </c>
      <c r="G2352" s="6">
        <f t="shared" si="73"/>
        <v>42</v>
      </c>
      <c r="H2352" s="1">
        <f>SUMIF('Retal Tran Line Item'!E:E,A2352,'Retal Tran Line Item'!B:B)</f>
        <v>7</v>
      </c>
    </row>
    <row r="2353" spans="1:8">
      <c r="A2353" s="1">
        <v>102394</v>
      </c>
      <c r="B2353" s="1">
        <v>657736</v>
      </c>
      <c r="C2353" s="2">
        <v>41565</v>
      </c>
      <c r="D2353" s="1" t="s">
        <v>1993</v>
      </c>
      <c r="E2353" s="6">
        <v>1</v>
      </c>
      <c r="F2353" s="6" t="str">
        <f t="shared" si="72"/>
        <v>October</v>
      </c>
      <c r="G2353" s="6">
        <f t="shared" si="73"/>
        <v>42</v>
      </c>
      <c r="H2353" s="1">
        <f>SUMIF('Retal Tran Line Item'!E:E,A2353,'Retal Tran Line Item'!B:B)</f>
        <v>5</v>
      </c>
    </row>
    <row r="2354" spans="1:8">
      <c r="A2354" s="1">
        <v>102395</v>
      </c>
      <c r="B2354" s="1">
        <v>580783</v>
      </c>
      <c r="C2354" s="2">
        <v>41565</v>
      </c>
      <c r="D2354" s="1" t="s">
        <v>1989</v>
      </c>
      <c r="E2354" s="6">
        <v>1</v>
      </c>
      <c r="F2354" s="6" t="str">
        <f t="shared" si="72"/>
        <v>October</v>
      </c>
      <c r="G2354" s="6">
        <f t="shared" si="73"/>
        <v>42</v>
      </c>
      <c r="H2354" s="1">
        <f>SUMIF('Retal Tran Line Item'!E:E,A2354,'Retal Tran Line Item'!B:B)</f>
        <v>14</v>
      </c>
    </row>
    <row r="2355" spans="1:8">
      <c r="A2355" s="1">
        <v>102396</v>
      </c>
      <c r="B2355" s="1">
        <v>137696</v>
      </c>
      <c r="C2355" s="2">
        <v>41565</v>
      </c>
      <c r="D2355" s="1" t="s">
        <v>1994</v>
      </c>
      <c r="E2355" s="6">
        <v>2</v>
      </c>
      <c r="F2355" s="6" t="str">
        <f t="shared" si="72"/>
        <v>October</v>
      </c>
      <c r="G2355" s="6">
        <f t="shared" si="73"/>
        <v>42</v>
      </c>
      <c r="H2355" s="1">
        <f>SUMIF('Retal Tran Line Item'!E:E,A2355,'Retal Tran Line Item'!B:B)</f>
        <v>10</v>
      </c>
    </row>
    <row r="2356" spans="1:8">
      <c r="A2356" s="1">
        <v>102398</v>
      </c>
      <c r="B2356" s="1">
        <v>610766</v>
      </c>
      <c r="C2356" s="2">
        <v>41565</v>
      </c>
      <c r="D2356" s="1" t="s">
        <v>1992</v>
      </c>
      <c r="E2356" s="6">
        <v>1</v>
      </c>
      <c r="F2356" s="6" t="str">
        <f t="shared" si="72"/>
        <v>October</v>
      </c>
      <c r="G2356" s="6">
        <f t="shared" si="73"/>
        <v>42</v>
      </c>
      <c r="H2356" s="1">
        <f>SUMIF('Retal Tran Line Item'!E:E,A2356,'Retal Tran Line Item'!B:B)</f>
        <v>6</v>
      </c>
    </row>
    <row r="2357" spans="1:8">
      <c r="A2357" s="1">
        <v>102399</v>
      </c>
      <c r="B2357" s="1">
        <v>566192</v>
      </c>
      <c r="C2357" s="2">
        <v>41566</v>
      </c>
      <c r="D2357" s="1" t="s">
        <v>1992</v>
      </c>
      <c r="E2357" s="6">
        <v>1</v>
      </c>
      <c r="F2357" s="6" t="str">
        <f t="shared" si="72"/>
        <v>October</v>
      </c>
      <c r="G2357" s="6">
        <f t="shared" si="73"/>
        <v>42</v>
      </c>
      <c r="H2357" s="1">
        <f>SUMIF('Retal Tran Line Item'!E:E,A2357,'Retal Tran Line Item'!B:B)</f>
        <v>10</v>
      </c>
    </row>
    <row r="2358" spans="1:8">
      <c r="A2358" s="1">
        <v>102400</v>
      </c>
      <c r="B2358" s="1">
        <v>175871</v>
      </c>
      <c r="C2358" s="2">
        <v>41566</v>
      </c>
      <c r="D2358" s="1" t="s">
        <v>1994</v>
      </c>
      <c r="E2358" s="6">
        <v>2</v>
      </c>
      <c r="F2358" s="6" t="str">
        <f t="shared" si="72"/>
        <v>October</v>
      </c>
      <c r="G2358" s="6">
        <f t="shared" si="73"/>
        <v>42</v>
      </c>
      <c r="H2358" s="1">
        <f>SUMIF('Retal Tran Line Item'!E:E,A2358,'Retal Tran Line Item'!B:B)</f>
        <v>5</v>
      </c>
    </row>
    <row r="2359" spans="1:8">
      <c r="A2359" s="1">
        <v>102402</v>
      </c>
      <c r="B2359" s="1">
        <v>548800</v>
      </c>
      <c r="C2359" s="2">
        <v>41566</v>
      </c>
      <c r="D2359" s="1" t="s">
        <v>1992</v>
      </c>
      <c r="E2359" s="6">
        <v>1</v>
      </c>
      <c r="F2359" s="6" t="str">
        <f t="shared" si="72"/>
        <v>October</v>
      </c>
      <c r="G2359" s="6">
        <f t="shared" si="73"/>
        <v>42</v>
      </c>
      <c r="H2359" s="1">
        <f>SUMIF('Retal Tran Line Item'!E:E,A2359,'Retal Tran Line Item'!B:B)</f>
        <v>17</v>
      </c>
    </row>
    <row r="2360" spans="1:8">
      <c r="A2360" s="1">
        <v>102403</v>
      </c>
      <c r="B2360" s="1">
        <v>559486</v>
      </c>
      <c r="C2360" s="2">
        <v>41566</v>
      </c>
      <c r="D2360" s="1" t="s">
        <v>1992</v>
      </c>
      <c r="E2360" s="6">
        <v>1</v>
      </c>
      <c r="F2360" s="6" t="str">
        <f t="shared" si="72"/>
        <v>October</v>
      </c>
      <c r="G2360" s="6">
        <f t="shared" si="73"/>
        <v>42</v>
      </c>
      <c r="H2360" s="1">
        <f>SUMIF('Retal Tran Line Item'!E:E,A2360,'Retal Tran Line Item'!B:B)</f>
        <v>15</v>
      </c>
    </row>
    <row r="2361" spans="1:8">
      <c r="A2361" s="1">
        <v>102404</v>
      </c>
      <c r="B2361" s="1">
        <v>332324</v>
      </c>
      <c r="C2361" s="2">
        <v>41567</v>
      </c>
      <c r="D2361" s="1" t="s">
        <v>1989</v>
      </c>
      <c r="E2361" s="6">
        <v>2</v>
      </c>
      <c r="F2361" s="6" t="str">
        <f t="shared" si="72"/>
        <v>October</v>
      </c>
      <c r="G2361" s="6">
        <f t="shared" si="73"/>
        <v>43</v>
      </c>
      <c r="H2361" s="1">
        <f>SUMIF('Retal Tran Line Item'!E:E,A2361,'Retal Tran Line Item'!B:B)</f>
        <v>12</v>
      </c>
    </row>
    <row r="2362" spans="1:8">
      <c r="A2362" s="1">
        <v>102405</v>
      </c>
      <c r="B2362" s="1">
        <v>484909</v>
      </c>
      <c r="C2362" s="2">
        <v>41567</v>
      </c>
      <c r="D2362" s="1" t="s">
        <v>1994</v>
      </c>
      <c r="E2362" s="6">
        <v>2</v>
      </c>
      <c r="F2362" s="6" t="str">
        <f t="shared" si="72"/>
        <v>October</v>
      </c>
      <c r="G2362" s="6">
        <f t="shared" si="73"/>
        <v>43</v>
      </c>
      <c r="H2362" s="1">
        <f>SUMIF('Retal Tran Line Item'!E:E,A2362,'Retal Tran Line Item'!B:B)</f>
        <v>12</v>
      </c>
    </row>
    <row r="2363" spans="1:8">
      <c r="A2363" s="1">
        <v>102407</v>
      </c>
      <c r="B2363" s="1">
        <v>470304</v>
      </c>
      <c r="C2363" s="2">
        <v>41567</v>
      </c>
      <c r="D2363" s="1" t="s">
        <v>1994</v>
      </c>
      <c r="E2363" s="6">
        <v>1</v>
      </c>
      <c r="F2363" s="6" t="str">
        <f t="shared" si="72"/>
        <v>October</v>
      </c>
      <c r="G2363" s="6">
        <f t="shared" si="73"/>
        <v>43</v>
      </c>
      <c r="H2363" s="1">
        <f>SUMIF('Retal Tran Line Item'!E:E,A2363,'Retal Tran Line Item'!B:B)</f>
        <v>11</v>
      </c>
    </row>
    <row r="2364" spans="1:8">
      <c r="A2364" s="1">
        <v>102411</v>
      </c>
      <c r="B2364" s="1">
        <v>186353</v>
      </c>
      <c r="C2364" s="2">
        <v>41568</v>
      </c>
      <c r="D2364" s="1" t="s">
        <v>1994</v>
      </c>
      <c r="E2364" s="6">
        <v>1</v>
      </c>
      <c r="F2364" s="6" t="str">
        <f t="shared" si="72"/>
        <v>October</v>
      </c>
      <c r="G2364" s="6">
        <f t="shared" si="73"/>
        <v>43</v>
      </c>
      <c r="H2364" s="1">
        <f>SUMIF('Retal Tran Line Item'!E:E,A2364,'Retal Tran Line Item'!B:B)</f>
        <v>2</v>
      </c>
    </row>
    <row r="2365" spans="1:8">
      <c r="A2365" s="1">
        <v>102413</v>
      </c>
      <c r="B2365" s="1">
        <v>454143</v>
      </c>
      <c r="C2365" s="2">
        <v>41568</v>
      </c>
      <c r="D2365" s="1" t="s">
        <v>1993</v>
      </c>
      <c r="E2365" s="6">
        <v>1</v>
      </c>
      <c r="F2365" s="6" t="str">
        <f t="shared" si="72"/>
        <v>October</v>
      </c>
      <c r="G2365" s="6">
        <f t="shared" si="73"/>
        <v>43</v>
      </c>
      <c r="H2365" s="1">
        <f>SUMIF('Retal Tran Line Item'!E:E,A2365,'Retal Tran Line Item'!B:B)</f>
        <v>2</v>
      </c>
    </row>
    <row r="2366" spans="1:8">
      <c r="A2366" s="1">
        <v>102414</v>
      </c>
      <c r="B2366" s="1">
        <v>464984</v>
      </c>
      <c r="C2366" s="2">
        <v>41568</v>
      </c>
      <c r="D2366" s="1" t="s">
        <v>1993</v>
      </c>
      <c r="E2366" s="6">
        <v>1</v>
      </c>
      <c r="F2366" s="6" t="str">
        <f t="shared" si="72"/>
        <v>October</v>
      </c>
      <c r="G2366" s="6">
        <f t="shared" si="73"/>
        <v>43</v>
      </c>
      <c r="H2366" s="1">
        <f>SUMIF('Retal Tran Line Item'!E:E,A2366,'Retal Tran Line Item'!B:B)</f>
        <v>6</v>
      </c>
    </row>
    <row r="2367" spans="1:8">
      <c r="A2367" s="1">
        <v>102415</v>
      </c>
      <c r="B2367" s="1">
        <v>888952</v>
      </c>
      <c r="C2367" s="2">
        <v>41568</v>
      </c>
      <c r="D2367" s="1" t="s">
        <v>1993</v>
      </c>
      <c r="E2367" s="6">
        <v>1</v>
      </c>
      <c r="F2367" s="6" t="str">
        <f t="shared" si="72"/>
        <v>October</v>
      </c>
      <c r="G2367" s="6">
        <f t="shared" si="73"/>
        <v>43</v>
      </c>
      <c r="H2367" s="1">
        <f>SUMIF('Retal Tran Line Item'!E:E,A2367,'Retal Tran Line Item'!B:B)</f>
        <v>5</v>
      </c>
    </row>
    <row r="2368" spans="1:8">
      <c r="A2368" s="1">
        <v>102416</v>
      </c>
      <c r="B2368" s="1">
        <v>817500</v>
      </c>
      <c r="C2368" s="2">
        <v>41568</v>
      </c>
      <c r="D2368" s="1" t="s">
        <v>1993</v>
      </c>
      <c r="E2368" s="6">
        <v>2</v>
      </c>
      <c r="F2368" s="6" t="str">
        <f t="shared" si="72"/>
        <v>October</v>
      </c>
      <c r="G2368" s="6">
        <f t="shared" si="73"/>
        <v>43</v>
      </c>
      <c r="H2368" s="1">
        <f>SUMIF('Retal Tran Line Item'!E:E,A2368,'Retal Tran Line Item'!B:B)</f>
        <v>10</v>
      </c>
    </row>
    <row r="2369" spans="1:8">
      <c r="A2369" s="1">
        <v>102417</v>
      </c>
      <c r="B2369" s="1">
        <v>723057</v>
      </c>
      <c r="C2369" s="2">
        <v>41569</v>
      </c>
      <c r="D2369" s="1" t="s">
        <v>1993</v>
      </c>
      <c r="E2369" s="6">
        <v>2</v>
      </c>
      <c r="F2369" s="6" t="str">
        <f t="shared" si="72"/>
        <v>October</v>
      </c>
      <c r="G2369" s="6">
        <f t="shared" si="73"/>
        <v>43</v>
      </c>
      <c r="H2369" s="1">
        <f>SUMIF('Retal Tran Line Item'!E:E,A2369,'Retal Tran Line Item'!B:B)</f>
        <v>13</v>
      </c>
    </row>
    <row r="2370" spans="1:8">
      <c r="A2370" s="1">
        <v>102419</v>
      </c>
      <c r="B2370" s="1">
        <v>616028</v>
      </c>
      <c r="C2370" s="2">
        <v>41569</v>
      </c>
      <c r="D2370" s="1" t="s">
        <v>1992</v>
      </c>
      <c r="E2370" s="6">
        <v>2</v>
      </c>
      <c r="F2370" s="6" t="str">
        <f t="shared" si="72"/>
        <v>October</v>
      </c>
      <c r="G2370" s="6">
        <f t="shared" si="73"/>
        <v>43</v>
      </c>
      <c r="H2370" s="1">
        <f>SUMIF('Retal Tran Line Item'!E:E,A2370,'Retal Tran Line Item'!B:B)</f>
        <v>14</v>
      </c>
    </row>
    <row r="2371" spans="1:8">
      <c r="A2371" s="1">
        <v>102420</v>
      </c>
      <c r="B2371" s="1">
        <v>442254</v>
      </c>
      <c r="C2371" s="2">
        <v>41569</v>
      </c>
      <c r="D2371" s="1" t="s">
        <v>1989</v>
      </c>
      <c r="E2371" s="6">
        <v>1</v>
      </c>
      <c r="F2371" s="6" t="str">
        <f t="shared" ref="F2371:F2434" si="74">TEXT(C2371,"MMMM")</f>
        <v>October</v>
      </c>
      <c r="G2371" s="6">
        <f t="shared" ref="G2371:G2434" si="75">WEEKNUM(C2371)</f>
        <v>43</v>
      </c>
      <c r="H2371" s="1">
        <f>SUMIF('Retal Tran Line Item'!E:E,A2371,'Retal Tran Line Item'!B:B)</f>
        <v>11</v>
      </c>
    </row>
    <row r="2372" spans="1:8">
      <c r="A2372" s="1">
        <v>102421</v>
      </c>
      <c r="B2372" s="1">
        <v>517477</v>
      </c>
      <c r="C2372" s="2">
        <v>41569</v>
      </c>
      <c r="D2372" s="1" t="s">
        <v>1992</v>
      </c>
      <c r="E2372" s="6">
        <v>2</v>
      </c>
      <c r="F2372" s="6" t="str">
        <f t="shared" si="74"/>
        <v>October</v>
      </c>
      <c r="G2372" s="6">
        <f t="shared" si="75"/>
        <v>43</v>
      </c>
      <c r="H2372" s="1">
        <f>SUMIF('Retal Tran Line Item'!E:E,A2372,'Retal Tran Line Item'!B:B)</f>
        <v>6</v>
      </c>
    </row>
    <row r="2373" spans="1:8">
      <c r="A2373" s="1">
        <v>102422</v>
      </c>
      <c r="B2373" s="1">
        <v>442254</v>
      </c>
      <c r="C2373" s="2">
        <v>41569</v>
      </c>
      <c r="D2373" s="1" t="s">
        <v>1989</v>
      </c>
      <c r="E2373" s="6">
        <v>2</v>
      </c>
      <c r="F2373" s="6" t="str">
        <f t="shared" si="74"/>
        <v>October</v>
      </c>
      <c r="G2373" s="6">
        <f t="shared" si="75"/>
        <v>43</v>
      </c>
      <c r="H2373" s="1">
        <f>SUMIF('Retal Tran Line Item'!E:E,A2373,'Retal Tran Line Item'!B:B)</f>
        <v>1</v>
      </c>
    </row>
    <row r="2374" spans="1:8">
      <c r="A2374" s="1">
        <v>102423</v>
      </c>
      <c r="B2374" s="1">
        <v>435907</v>
      </c>
      <c r="C2374" s="2">
        <v>41570</v>
      </c>
      <c r="D2374" s="1" t="s">
        <v>1993</v>
      </c>
      <c r="E2374" s="6">
        <v>2</v>
      </c>
      <c r="F2374" s="6" t="str">
        <f t="shared" si="74"/>
        <v>October</v>
      </c>
      <c r="G2374" s="6">
        <f t="shared" si="75"/>
        <v>43</v>
      </c>
      <c r="H2374" s="1">
        <f>SUMIF('Retal Tran Line Item'!E:E,A2374,'Retal Tran Line Item'!B:B)</f>
        <v>5</v>
      </c>
    </row>
    <row r="2375" spans="1:8">
      <c r="A2375" s="1">
        <v>102424</v>
      </c>
      <c r="B2375" s="1">
        <v>766737</v>
      </c>
      <c r="C2375" s="2">
        <v>41570</v>
      </c>
      <c r="D2375" s="1" t="s">
        <v>1994</v>
      </c>
      <c r="E2375" s="6">
        <v>2</v>
      </c>
      <c r="F2375" s="6" t="str">
        <f t="shared" si="74"/>
        <v>October</v>
      </c>
      <c r="G2375" s="6">
        <f t="shared" si="75"/>
        <v>43</v>
      </c>
      <c r="H2375" s="1">
        <f>SUMIF('Retal Tran Line Item'!E:E,A2375,'Retal Tran Line Item'!B:B)</f>
        <v>8</v>
      </c>
    </row>
    <row r="2376" spans="1:8">
      <c r="A2376" s="1">
        <v>102426</v>
      </c>
      <c r="B2376" s="1">
        <v>840096</v>
      </c>
      <c r="C2376" s="2">
        <v>41570</v>
      </c>
      <c r="D2376" s="1" t="s">
        <v>1992</v>
      </c>
      <c r="E2376" s="6">
        <v>1</v>
      </c>
      <c r="F2376" s="6" t="str">
        <f t="shared" si="74"/>
        <v>October</v>
      </c>
      <c r="G2376" s="6">
        <f t="shared" si="75"/>
        <v>43</v>
      </c>
      <c r="H2376" s="1">
        <f>SUMIF('Retal Tran Line Item'!E:E,A2376,'Retal Tran Line Item'!B:B)</f>
        <v>11</v>
      </c>
    </row>
    <row r="2377" spans="1:8">
      <c r="A2377" s="1">
        <v>102428</v>
      </c>
      <c r="B2377" s="1">
        <v>403000</v>
      </c>
      <c r="C2377" s="2">
        <v>41570</v>
      </c>
      <c r="D2377" s="1" t="s">
        <v>1992</v>
      </c>
      <c r="E2377" s="6">
        <v>1</v>
      </c>
      <c r="F2377" s="6" t="str">
        <f t="shared" si="74"/>
        <v>October</v>
      </c>
      <c r="G2377" s="6">
        <f t="shared" si="75"/>
        <v>43</v>
      </c>
      <c r="H2377" s="1">
        <f>SUMIF('Retal Tran Line Item'!E:E,A2377,'Retal Tran Line Item'!B:B)</f>
        <v>16</v>
      </c>
    </row>
    <row r="2378" spans="1:8">
      <c r="A2378" s="1">
        <v>102429</v>
      </c>
      <c r="B2378" s="1">
        <v>814317</v>
      </c>
      <c r="C2378" s="2">
        <v>41570</v>
      </c>
      <c r="D2378" s="1" t="s">
        <v>1994</v>
      </c>
      <c r="E2378" s="6">
        <v>1</v>
      </c>
      <c r="F2378" s="6" t="str">
        <f t="shared" si="74"/>
        <v>October</v>
      </c>
      <c r="G2378" s="6">
        <f t="shared" si="75"/>
        <v>43</v>
      </c>
      <c r="H2378" s="1">
        <f>SUMIF('Retal Tran Line Item'!E:E,A2378,'Retal Tran Line Item'!B:B)</f>
        <v>15</v>
      </c>
    </row>
    <row r="2379" spans="1:8">
      <c r="A2379" s="1">
        <v>102430</v>
      </c>
      <c r="B2379" s="1">
        <v>366695</v>
      </c>
      <c r="C2379" s="2">
        <v>41570</v>
      </c>
      <c r="D2379" s="1" t="s">
        <v>1992</v>
      </c>
      <c r="E2379" s="6">
        <v>1</v>
      </c>
      <c r="F2379" s="6" t="str">
        <f t="shared" si="74"/>
        <v>October</v>
      </c>
      <c r="G2379" s="6">
        <f t="shared" si="75"/>
        <v>43</v>
      </c>
      <c r="H2379" s="1">
        <f>SUMIF('Retal Tran Line Item'!E:E,A2379,'Retal Tran Line Item'!B:B)</f>
        <v>1</v>
      </c>
    </row>
    <row r="2380" spans="1:8">
      <c r="A2380" s="1">
        <v>102431</v>
      </c>
      <c r="B2380" s="1">
        <v>817274</v>
      </c>
      <c r="C2380" s="2">
        <v>41571</v>
      </c>
      <c r="D2380" s="1" t="s">
        <v>1994</v>
      </c>
      <c r="E2380" s="6">
        <v>1</v>
      </c>
      <c r="F2380" s="6" t="str">
        <f t="shared" si="74"/>
        <v>October</v>
      </c>
      <c r="G2380" s="6">
        <f t="shared" si="75"/>
        <v>43</v>
      </c>
      <c r="H2380" s="1">
        <f>SUMIF('Retal Tran Line Item'!E:E,A2380,'Retal Tran Line Item'!B:B)</f>
        <v>7</v>
      </c>
    </row>
    <row r="2381" spans="1:8">
      <c r="A2381" s="1">
        <v>102432</v>
      </c>
      <c r="B2381" s="1">
        <v>714947</v>
      </c>
      <c r="C2381" s="2">
        <v>41571</v>
      </c>
      <c r="D2381" s="1" t="s">
        <v>1989</v>
      </c>
      <c r="E2381" s="6">
        <v>2</v>
      </c>
      <c r="F2381" s="6" t="str">
        <f t="shared" si="74"/>
        <v>October</v>
      </c>
      <c r="G2381" s="6">
        <f t="shared" si="75"/>
        <v>43</v>
      </c>
      <c r="H2381" s="1">
        <f>SUMIF('Retal Tran Line Item'!E:E,A2381,'Retal Tran Line Item'!B:B)</f>
        <v>3</v>
      </c>
    </row>
    <row r="2382" spans="1:8">
      <c r="A2382" s="1">
        <v>102434</v>
      </c>
      <c r="B2382" s="1">
        <v>646700</v>
      </c>
      <c r="C2382" s="2">
        <v>41571</v>
      </c>
      <c r="D2382" s="1" t="s">
        <v>1989</v>
      </c>
      <c r="E2382" s="6">
        <v>1</v>
      </c>
      <c r="F2382" s="6" t="str">
        <f t="shared" si="74"/>
        <v>October</v>
      </c>
      <c r="G2382" s="6">
        <f t="shared" si="75"/>
        <v>43</v>
      </c>
      <c r="H2382" s="1">
        <f>SUMIF('Retal Tran Line Item'!E:E,A2382,'Retal Tran Line Item'!B:B)</f>
        <v>7</v>
      </c>
    </row>
    <row r="2383" spans="1:8">
      <c r="A2383" s="1">
        <v>102435</v>
      </c>
      <c r="B2383" s="1">
        <v>515753</v>
      </c>
      <c r="C2383" s="2">
        <v>41571</v>
      </c>
      <c r="D2383" s="1" t="s">
        <v>1989</v>
      </c>
      <c r="E2383" s="6">
        <v>2</v>
      </c>
      <c r="F2383" s="6" t="str">
        <f t="shared" si="74"/>
        <v>October</v>
      </c>
      <c r="G2383" s="6">
        <f t="shared" si="75"/>
        <v>43</v>
      </c>
      <c r="H2383" s="1">
        <f>SUMIF('Retal Tran Line Item'!E:E,A2383,'Retal Tran Line Item'!B:B)</f>
        <v>3</v>
      </c>
    </row>
    <row r="2384" spans="1:8">
      <c r="A2384" s="1">
        <v>102436</v>
      </c>
      <c r="B2384" s="1">
        <v>468692</v>
      </c>
      <c r="C2384" s="2">
        <v>41571</v>
      </c>
      <c r="D2384" s="1" t="s">
        <v>1993</v>
      </c>
      <c r="E2384" s="6">
        <v>1</v>
      </c>
      <c r="F2384" s="6" t="str">
        <f t="shared" si="74"/>
        <v>October</v>
      </c>
      <c r="G2384" s="6">
        <f t="shared" si="75"/>
        <v>43</v>
      </c>
      <c r="H2384" s="1">
        <f>SUMIF('Retal Tran Line Item'!E:E,A2384,'Retal Tran Line Item'!B:B)</f>
        <v>6</v>
      </c>
    </row>
    <row r="2385" spans="1:8">
      <c r="A2385" s="1">
        <v>102437</v>
      </c>
      <c r="B2385" s="1">
        <v>317461</v>
      </c>
      <c r="C2385" s="2">
        <v>41572</v>
      </c>
      <c r="D2385" s="1" t="s">
        <v>1992</v>
      </c>
      <c r="E2385" s="6">
        <v>1</v>
      </c>
      <c r="F2385" s="6" t="str">
        <f t="shared" si="74"/>
        <v>October</v>
      </c>
      <c r="G2385" s="6">
        <f t="shared" si="75"/>
        <v>43</v>
      </c>
      <c r="H2385" s="1">
        <f>SUMIF('Retal Tran Line Item'!E:E,A2385,'Retal Tran Line Item'!B:B)</f>
        <v>1</v>
      </c>
    </row>
    <row r="2386" spans="1:8">
      <c r="A2386" s="1">
        <v>102439</v>
      </c>
      <c r="B2386" s="1">
        <v>229742</v>
      </c>
      <c r="C2386" s="2">
        <v>41572</v>
      </c>
      <c r="D2386" s="1" t="s">
        <v>1994</v>
      </c>
      <c r="E2386" s="6">
        <v>2</v>
      </c>
      <c r="F2386" s="6" t="str">
        <f t="shared" si="74"/>
        <v>October</v>
      </c>
      <c r="G2386" s="6">
        <f t="shared" si="75"/>
        <v>43</v>
      </c>
      <c r="H2386" s="1">
        <f>SUMIF('Retal Tran Line Item'!E:E,A2386,'Retal Tran Line Item'!B:B)</f>
        <v>17</v>
      </c>
    </row>
    <row r="2387" spans="1:8">
      <c r="A2387" s="1">
        <v>102440</v>
      </c>
      <c r="B2387" s="1">
        <v>622506</v>
      </c>
      <c r="C2387" s="2">
        <v>41572</v>
      </c>
      <c r="D2387" s="1" t="s">
        <v>1993</v>
      </c>
      <c r="E2387" s="6">
        <v>1</v>
      </c>
      <c r="F2387" s="6" t="str">
        <f t="shared" si="74"/>
        <v>October</v>
      </c>
      <c r="G2387" s="6">
        <f t="shared" si="75"/>
        <v>43</v>
      </c>
      <c r="H2387" s="1">
        <f>SUMIF('Retal Tran Line Item'!E:E,A2387,'Retal Tran Line Item'!B:B)</f>
        <v>8</v>
      </c>
    </row>
    <row r="2388" spans="1:8">
      <c r="A2388" s="1">
        <v>102443</v>
      </c>
      <c r="B2388" s="1">
        <v>619910</v>
      </c>
      <c r="C2388" s="2">
        <v>41572</v>
      </c>
      <c r="D2388" s="1" t="s">
        <v>1994</v>
      </c>
      <c r="E2388" s="6">
        <v>1</v>
      </c>
      <c r="F2388" s="6" t="str">
        <f t="shared" si="74"/>
        <v>October</v>
      </c>
      <c r="G2388" s="6">
        <f t="shared" si="75"/>
        <v>43</v>
      </c>
      <c r="H2388" s="1">
        <f>SUMIF('Retal Tran Line Item'!E:E,A2388,'Retal Tran Line Item'!B:B)</f>
        <v>4</v>
      </c>
    </row>
    <row r="2389" spans="1:8">
      <c r="A2389" s="1">
        <v>102444</v>
      </c>
      <c r="B2389" s="1">
        <v>494106</v>
      </c>
      <c r="C2389" s="2">
        <v>41572</v>
      </c>
      <c r="D2389" s="1" t="s">
        <v>1993</v>
      </c>
      <c r="E2389" s="6">
        <v>2</v>
      </c>
      <c r="F2389" s="6" t="str">
        <f t="shared" si="74"/>
        <v>October</v>
      </c>
      <c r="G2389" s="6">
        <f t="shared" si="75"/>
        <v>43</v>
      </c>
      <c r="H2389" s="1">
        <f>SUMIF('Retal Tran Line Item'!E:E,A2389,'Retal Tran Line Item'!B:B)</f>
        <v>6</v>
      </c>
    </row>
    <row r="2390" spans="1:8">
      <c r="A2390" s="1">
        <v>102445</v>
      </c>
      <c r="B2390" s="1">
        <v>524667</v>
      </c>
      <c r="C2390" s="2">
        <v>41573</v>
      </c>
      <c r="D2390" s="1" t="s">
        <v>1994</v>
      </c>
      <c r="E2390" s="6">
        <v>1</v>
      </c>
      <c r="F2390" s="6" t="str">
        <f t="shared" si="74"/>
        <v>October</v>
      </c>
      <c r="G2390" s="6">
        <f t="shared" si="75"/>
        <v>43</v>
      </c>
      <c r="H2390" s="1">
        <f>SUMIF('Retal Tran Line Item'!E:E,A2390,'Retal Tran Line Item'!B:B)</f>
        <v>10</v>
      </c>
    </row>
    <row r="2391" spans="1:8">
      <c r="A2391" s="1">
        <v>102446</v>
      </c>
      <c r="B2391" s="1">
        <v>442254</v>
      </c>
      <c r="C2391" s="2">
        <v>41573</v>
      </c>
      <c r="D2391" s="1" t="s">
        <v>1989</v>
      </c>
      <c r="E2391" s="6">
        <v>2</v>
      </c>
      <c r="F2391" s="6" t="str">
        <f t="shared" si="74"/>
        <v>October</v>
      </c>
      <c r="G2391" s="6">
        <f t="shared" si="75"/>
        <v>43</v>
      </c>
      <c r="H2391" s="1">
        <f>SUMIF('Retal Tran Line Item'!E:E,A2391,'Retal Tran Line Item'!B:B)</f>
        <v>10</v>
      </c>
    </row>
    <row r="2392" spans="1:8">
      <c r="A2392" s="1">
        <v>102447</v>
      </c>
      <c r="B2392" s="1">
        <v>498153</v>
      </c>
      <c r="C2392" s="2">
        <v>41573</v>
      </c>
      <c r="D2392" s="1" t="s">
        <v>1994</v>
      </c>
      <c r="E2392" s="6">
        <v>1</v>
      </c>
      <c r="F2392" s="6" t="str">
        <f t="shared" si="74"/>
        <v>October</v>
      </c>
      <c r="G2392" s="6">
        <f t="shared" si="75"/>
        <v>43</v>
      </c>
      <c r="H2392" s="1">
        <f>SUMIF('Retal Tran Line Item'!E:E,A2392,'Retal Tran Line Item'!B:B)</f>
        <v>8</v>
      </c>
    </row>
    <row r="2393" spans="1:8">
      <c r="A2393" s="1">
        <v>102449</v>
      </c>
      <c r="B2393" s="1">
        <v>191951</v>
      </c>
      <c r="C2393" s="2">
        <v>41573</v>
      </c>
      <c r="D2393" s="1" t="s">
        <v>1992</v>
      </c>
      <c r="E2393" s="6">
        <v>1</v>
      </c>
      <c r="F2393" s="6" t="str">
        <f t="shared" si="74"/>
        <v>October</v>
      </c>
      <c r="G2393" s="6">
        <f t="shared" si="75"/>
        <v>43</v>
      </c>
      <c r="H2393" s="1">
        <f>SUMIF('Retal Tran Line Item'!E:E,A2393,'Retal Tran Line Item'!B:B)</f>
        <v>8</v>
      </c>
    </row>
    <row r="2394" spans="1:8">
      <c r="A2394" s="1">
        <v>102450</v>
      </c>
      <c r="B2394" s="1">
        <v>762509</v>
      </c>
      <c r="C2394" s="2">
        <v>41573</v>
      </c>
      <c r="D2394" s="1" t="s">
        <v>1993</v>
      </c>
      <c r="E2394" s="6">
        <v>1</v>
      </c>
      <c r="F2394" s="6" t="str">
        <f t="shared" si="74"/>
        <v>October</v>
      </c>
      <c r="G2394" s="6">
        <f t="shared" si="75"/>
        <v>43</v>
      </c>
      <c r="H2394" s="1">
        <f>SUMIF('Retal Tran Line Item'!E:E,A2394,'Retal Tran Line Item'!B:B)</f>
        <v>18</v>
      </c>
    </row>
    <row r="2395" spans="1:8">
      <c r="A2395" s="1">
        <v>102451</v>
      </c>
      <c r="B2395" s="1">
        <v>926289</v>
      </c>
      <c r="C2395" s="2">
        <v>41573</v>
      </c>
      <c r="D2395" s="1" t="s">
        <v>1994</v>
      </c>
      <c r="E2395" s="6">
        <v>1</v>
      </c>
      <c r="F2395" s="6" t="str">
        <f t="shared" si="74"/>
        <v>October</v>
      </c>
      <c r="G2395" s="6">
        <f t="shared" si="75"/>
        <v>43</v>
      </c>
      <c r="H2395" s="1">
        <f>SUMIF('Retal Tran Line Item'!E:E,A2395,'Retal Tran Line Item'!B:B)</f>
        <v>10</v>
      </c>
    </row>
    <row r="2396" spans="1:8">
      <c r="A2396" s="1">
        <v>102453</v>
      </c>
      <c r="B2396" s="1">
        <v>370366</v>
      </c>
      <c r="C2396" s="2">
        <v>41574</v>
      </c>
      <c r="D2396" s="1" t="s">
        <v>1992</v>
      </c>
      <c r="E2396" s="6">
        <v>2</v>
      </c>
      <c r="F2396" s="6" t="str">
        <f t="shared" si="74"/>
        <v>October</v>
      </c>
      <c r="G2396" s="6">
        <f t="shared" si="75"/>
        <v>44</v>
      </c>
      <c r="H2396" s="1">
        <f>SUMIF('Retal Tran Line Item'!E:E,A2396,'Retal Tran Line Item'!B:B)</f>
        <v>7</v>
      </c>
    </row>
    <row r="2397" spans="1:8">
      <c r="A2397" s="1">
        <v>102454</v>
      </c>
      <c r="B2397" s="1">
        <v>944523</v>
      </c>
      <c r="C2397" s="2">
        <v>41574</v>
      </c>
      <c r="D2397" s="1" t="s">
        <v>1992</v>
      </c>
      <c r="E2397" s="6">
        <v>1</v>
      </c>
      <c r="F2397" s="6" t="str">
        <f t="shared" si="74"/>
        <v>October</v>
      </c>
      <c r="G2397" s="6">
        <f t="shared" si="75"/>
        <v>44</v>
      </c>
      <c r="H2397" s="1">
        <f>SUMIF('Retal Tran Line Item'!E:E,A2397,'Retal Tran Line Item'!B:B)</f>
        <v>8</v>
      </c>
    </row>
    <row r="2398" spans="1:8">
      <c r="A2398" s="1">
        <v>102456</v>
      </c>
      <c r="B2398" s="1">
        <v>586201</v>
      </c>
      <c r="C2398" s="2">
        <v>41574</v>
      </c>
      <c r="D2398" s="1" t="s">
        <v>1992</v>
      </c>
      <c r="E2398" s="6">
        <v>1</v>
      </c>
      <c r="F2398" s="6" t="str">
        <f t="shared" si="74"/>
        <v>October</v>
      </c>
      <c r="G2398" s="6">
        <f t="shared" si="75"/>
        <v>44</v>
      </c>
      <c r="H2398" s="1">
        <f>SUMIF('Retal Tran Line Item'!E:E,A2398,'Retal Tran Line Item'!B:B)</f>
        <v>1</v>
      </c>
    </row>
    <row r="2399" spans="1:8">
      <c r="A2399" s="1">
        <v>102457</v>
      </c>
      <c r="B2399" s="1">
        <v>657736</v>
      </c>
      <c r="C2399" s="2">
        <v>41574</v>
      </c>
      <c r="D2399" s="1" t="s">
        <v>1993</v>
      </c>
      <c r="E2399" s="6">
        <v>2</v>
      </c>
      <c r="F2399" s="6" t="str">
        <f t="shared" si="74"/>
        <v>October</v>
      </c>
      <c r="G2399" s="6">
        <f t="shared" si="75"/>
        <v>44</v>
      </c>
      <c r="H2399" s="1">
        <f>SUMIF('Retal Tran Line Item'!E:E,A2399,'Retal Tran Line Item'!B:B)</f>
        <v>6</v>
      </c>
    </row>
    <row r="2400" spans="1:8">
      <c r="A2400" s="1">
        <v>102458</v>
      </c>
      <c r="B2400" s="1">
        <v>170500</v>
      </c>
      <c r="C2400" s="2">
        <v>41574</v>
      </c>
      <c r="D2400" s="1" t="s">
        <v>1989</v>
      </c>
      <c r="E2400" s="6">
        <v>1</v>
      </c>
      <c r="F2400" s="6" t="str">
        <f t="shared" si="74"/>
        <v>October</v>
      </c>
      <c r="G2400" s="6">
        <f t="shared" si="75"/>
        <v>44</v>
      </c>
      <c r="H2400" s="1">
        <f>SUMIF('Retal Tran Line Item'!E:E,A2400,'Retal Tran Line Item'!B:B)</f>
        <v>1</v>
      </c>
    </row>
    <row r="2401" spans="1:8">
      <c r="A2401" s="1">
        <v>102459</v>
      </c>
      <c r="B2401" s="1">
        <v>324435</v>
      </c>
      <c r="C2401" s="2">
        <v>41574</v>
      </c>
      <c r="D2401" s="1" t="s">
        <v>1992</v>
      </c>
      <c r="E2401" s="6">
        <v>2</v>
      </c>
      <c r="F2401" s="6" t="str">
        <f t="shared" si="74"/>
        <v>October</v>
      </c>
      <c r="G2401" s="6">
        <f t="shared" si="75"/>
        <v>44</v>
      </c>
      <c r="H2401" s="1">
        <f>SUMIF('Retal Tran Line Item'!E:E,A2401,'Retal Tran Line Item'!B:B)</f>
        <v>1</v>
      </c>
    </row>
    <row r="2402" spans="1:8">
      <c r="A2402" s="1">
        <v>102461</v>
      </c>
      <c r="B2402" s="1">
        <v>755271</v>
      </c>
      <c r="C2402" s="2">
        <v>41575</v>
      </c>
      <c r="D2402" s="1" t="s">
        <v>1989</v>
      </c>
      <c r="E2402" s="6">
        <v>1</v>
      </c>
      <c r="F2402" s="6" t="str">
        <f t="shared" si="74"/>
        <v>October</v>
      </c>
      <c r="G2402" s="6">
        <f t="shared" si="75"/>
        <v>44</v>
      </c>
      <c r="H2402" s="1">
        <f>SUMIF('Retal Tran Line Item'!E:E,A2402,'Retal Tran Line Item'!B:B)</f>
        <v>8</v>
      </c>
    </row>
    <row r="2403" spans="1:8">
      <c r="A2403" s="1">
        <v>102464</v>
      </c>
      <c r="B2403" s="1">
        <v>478274</v>
      </c>
      <c r="C2403" s="2">
        <v>41575</v>
      </c>
      <c r="D2403" s="1" t="s">
        <v>1993</v>
      </c>
      <c r="E2403" s="6">
        <v>1</v>
      </c>
      <c r="F2403" s="6" t="str">
        <f t="shared" si="74"/>
        <v>October</v>
      </c>
      <c r="G2403" s="6">
        <f t="shared" si="75"/>
        <v>44</v>
      </c>
      <c r="H2403" s="1">
        <f>SUMIF('Retal Tran Line Item'!E:E,A2403,'Retal Tran Line Item'!B:B)</f>
        <v>8</v>
      </c>
    </row>
    <row r="2404" spans="1:8">
      <c r="A2404" s="1">
        <v>102466</v>
      </c>
      <c r="B2404" s="1">
        <v>332324</v>
      </c>
      <c r="C2404" s="2">
        <v>41575</v>
      </c>
      <c r="D2404" s="1" t="s">
        <v>1989</v>
      </c>
      <c r="E2404" s="6">
        <v>2</v>
      </c>
      <c r="F2404" s="6" t="str">
        <f t="shared" si="74"/>
        <v>October</v>
      </c>
      <c r="G2404" s="6">
        <f t="shared" si="75"/>
        <v>44</v>
      </c>
      <c r="H2404" s="1">
        <f>SUMIF('Retal Tran Line Item'!E:E,A2404,'Retal Tran Line Item'!B:B)</f>
        <v>7</v>
      </c>
    </row>
    <row r="2405" spans="1:8">
      <c r="A2405" s="1">
        <v>102468</v>
      </c>
      <c r="B2405" s="1">
        <v>810369</v>
      </c>
      <c r="C2405" s="2">
        <v>41576</v>
      </c>
      <c r="D2405" s="1" t="s">
        <v>1993</v>
      </c>
      <c r="E2405" s="6">
        <v>1</v>
      </c>
      <c r="F2405" s="6" t="str">
        <f t="shared" si="74"/>
        <v>October</v>
      </c>
      <c r="G2405" s="6">
        <f t="shared" si="75"/>
        <v>44</v>
      </c>
      <c r="H2405" s="1">
        <f>SUMIF('Retal Tran Line Item'!E:E,A2405,'Retal Tran Line Item'!B:B)</f>
        <v>9</v>
      </c>
    </row>
    <row r="2406" spans="1:8">
      <c r="A2406" s="1">
        <v>102470</v>
      </c>
      <c r="B2406" s="1">
        <v>743517</v>
      </c>
      <c r="C2406" s="2">
        <v>41576</v>
      </c>
      <c r="D2406" s="1" t="s">
        <v>1994</v>
      </c>
      <c r="E2406" s="6">
        <v>2</v>
      </c>
      <c r="F2406" s="6" t="str">
        <f t="shared" si="74"/>
        <v>October</v>
      </c>
      <c r="G2406" s="6">
        <f t="shared" si="75"/>
        <v>44</v>
      </c>
      <c r="H2406" s="1">
        <f>SUMIF('Retal Tran Line Item'!E:E,A2406,'Retal Tran Line Item'!B:B)</f>
        <v>5</v>
      </c>
    </row>
    <row r="2407" spans="1:8">
      <c r="A2407" s="1">
        <v>102471</v>
      </c>
      <c r="B2407" s="1">
        <v>707458</v>
      </c>
      <c r="C2407" s="2">
        <v>41576</v>
      </c>
      <c r="D2407" s="1" t="s">
        <v>1993</v>
      </c>
      <c r="E2407" s="6">
        <v>2</v>
      </c>
      <c r="F2407" s="6" t="str">
        <f t="shared" si="74"/>
        <v>October</v>
      </c>
      <c r="G2407" s="6">
        <f t="shared" si="75"/>
        <v>44</v>
      </c>
      <c r="H2407" s="1">
        <f>SUMIF('Retal Tran Line Item'!E:E,A2407,'Retal Tran Line Item'!B:B)</f>
        <v>16</v>
      </c>
    </row>
    <row r="2408" spans="1:8">
      <c r="A2408" s="1">
        <v>102472</v>
      </c>
      <c r="B2408" s="1">
        <v>344702</v>
      </c>
      <c r="C2408" s="2">
        <v>41576</v>
      </c>
      <c r="D2408" s="1" t="s">
        <v>1992</v>
      </c>
      <c r="E2408" s="6">
        <v>2</v>
      </c>
      <c r="F2408" s="6" t="str">
        <f t="shared" si="74"/>
        <v>October</v>
      </c>
      <c r="G2408" s="6">
        <f t="shared" si="75"/>
        <v>44</v>
      </c>
      <c r="H2408" s="1">
        <f>SUMIF('Retal Tran Line Item'!E:E,A2408,'Retal Tran Line Item'!B:B)</f>
        <v>6</v>
      </c>
    </row>
    <row r="2409" spans="1:8">
      <c r="A2409" s="1">
        <v>102473</v>
      </c>
      <c r="B2409" s="1">
        <v>464782</v>
      </c>
      <c r="C2409" s="2">
        <v>41576</v>
      </c>
      <c r="D2409" s="1" t="s">
        <v>1993</v>
      </c>
      <c r="E2409" s="6">
        <v>2</v>
      </c>
      <c r="F2409" s="6" t="str">
        <f t="shared" si="74"/>
        <v>October</v>
      </c>
      <c r="G2409" s="6">
        <f t="shared" si="75"/>
        <v>44</v>
      </c>
      <c r="H2409" s="1">
        <f>SUMIF('Retal Tran Line Item'!E:E,A2409,'Retal Tran Line Item'!B:B)</f>
        <v>9</v>
      </c>
    </row>
    <row r="2410" spans="1:8">
      <c r="A2410" s="1">
        <v>102474</v>
      </c>
      <c r="B2410" s="1">
        <v>516619</v>
      </c>
      <c r="C2410" s="2">
        <v>41576</v>
      </c>
      <c r="D2410" s="1" t="s">
        <v>1993</v>
      </c>
      <c r="E2410" s="6">
        <v>1</v>
      </c>
      <c r="F2410" s="6" t="str">
        <f t="shared" si="74"/>
        <v>October</v>
      </c>
      <c r="G2410" s="6">
        <f t="shared" si="75"/>
        <v>44</v>
      </c>
      <c r="H2410" s="1">
        <f>SUMIF('Retal Tran Line Item'!E:E,A2410,'Retal Tran Line Item'!B:B)</f>
        <v>29</v>
      </c>
    </row>
    <row r="2411" spans="1:8">
      <c r="A2411" s="1">
        <v>102477</v>
      </c>
      <c r="B2411" s="1">
        <v>269687</v>
      </c>
      <c r="C2411" s="2">
        <v>41577</v>
      </c>
      <c r="D2411" s="1" t="s">
        <v>1989</v>
      </c>
      <c r="E2411" s="6">
        <v>2</v>
      </c>
      <c r="F2411" s="6" t="str">
        <f t="shared" si="74"/>
        <v>October</v>
      </c>
      <c r="G2411" s="6">
        <f t="shared" si="75"/>
        <v>44</v>
      </c>
      <c r="H2411" s="1">
        <f>SUMIF('Retal Tran Line Item'!E:E,A2411,'Retal Tran Line Item'!B:B)</f>
        <v>3</v>
      </c>
    </row>
    <row r="2412" spans="1:8">
      <c r="A2412" s="1">
        <v>102478</v>
      </c>
      <c r="B2412" s="1">
        <v>734514</v>
      </c>
      <c r="C2412" s="2">
        <v>41577</v>
      </c>
      <c r="D2412" s="1" t="s">
        <v>1993</v>
      </c>
      <c r="E2412" s="6">
        <v>1</v>
      </c>
      <c r="F2412" s="6" t="str">
        <f t="shared" si="74"/>
        <v>October</v>
      </c>
      <c r="G2412" s="6">
        <f t="shared" si="75"/>
        <v>44</v>
      </c>
      <c r="H2412" s="1">
        <f>SUMIF('Retal Tran Line Item'!E:E,A2412,'Retal Tran Line Item'!B:B)</f>
        <v>2</v>
      </c>
    </row>
    <row r="2413" spans="1:8">
      <c r="A2413" s="1">
        <v>102479</v>
      </c>
      <c r="B2413" s="1">
        <v>205927</v>
      </c>
      <c r="C2413" s="2">
        <v>41577</v>
      </c>
      <c r="D2413" s="1" t="s">
        <v>1992</v>
      </c>
      <c r="E2413" s="6">
        <v>2</v>
      </c>
      <c r="F2413" s="6" t="str">
        <f t="shared" si="74"/>
        <v>October</v>
      </c>
      <c r="G2413" s="6">
        <f t="shared" si="75"/>
        <v>44</v>
      </c>
      <c r="H2413" s="1">
        <f>SUMIF('Retal Tran Line Item'!E:E,A2413,'Retal Tran Line Item'!B:B)</f>
        <v>6</v>
      </c>
    </row>
    <row r="2414" spans="1:8">
      <c r="A2414" s="1">
        <v>102481</v>
      </c>
      <c r="B2414" s="1">
        <v>833180</v>
      </c>
      <c r="C2414" s="2">
        <v>41577</v>
      </c>
      <c r="D2414" s="1" t="s">
        <v>1993</v>
      </c>
      <c r="E2414" s="6">
        <v>2</v>
      </c>
      <c r="F2414" s="6" t="str">
        <f t="shared" si="74"/>
        <v>October</v>
      </c>
      <c r="G2414" s="6">
        <f t="shared" si="75"/>
        <v>44</v>
      </c>
      <c r="H2414" s="1">
        <f>SUMIF('Retal Tran Line Item'!E:E,A2414,'Retal Tran Line Item'!B:B)</f>
        <v>12</v>
      </c>
    </row>
    <row r="2415" spans="1:8">
      <c r="A2415" s="1">
        <v>102482</v>
      </c>
      <c r="B2415" s="1">
        <v>247216</v>
      </c>
      <c r="C2415" s="2">
        <v>41577</v>
      </c>
      <c r="D2415" s="1" t="s">
        <v>1989</v>
      </c>
      <c r="E2415" s="6">
        <v>1</v>
      </c>
      <c r="F2415" s="6" t="str">
        <f t="shared" si="74"/>
        <v>October</v>
      </c>
      <c r="G2415" s="6">
        <f t="shared" si="75"/>
        <v>44</v>
      </c>
      <c r="H2415" s="1">
        <f>SUMIF('Retal Tran Line Item'!E:E,A2415,'Retal Tran Line Item'!B:B)</f>
        <v>3</v>
      </c>
    </row>
    <row r="2416" spans="1:8">
      <c r="A2416" s="1">
        <v>102483</v>
      </c>
      <c r="B2416" s="1">
        <v>723819</v>
      </c>
      <c r="C2416" s="2">
        <v>41578</v>
      </c>
      <c r="D2416" s="1" t="s">
        <v>1993</v>
      </c>
      <c r="E2416" s="6">
        <v>2</v>
      </c>
      <c r="F2416" s="6" t="str">
        <f t="shared" si="74"/>
        <v>October</v>
      </c>
      <c r="G2416" s="6">
        <f t="shared" si="75"/>
        <v>44</v>
      </c>
      <c r="H2416" s="1">
        <f>SUMIF('Retal Tran Line Item'!E:E,A2416,'Retal Tran Line Item'!B:B)</f>
        <v>8</v>
      </c>
    </row>
    <row r="2417" spans="1:8">
      <c r="A2417" s="1">
        <v>102484</v>
      </c>
      <c r="B2417" s="1">
        <v>253106</v>
      </c>
      <c r="C2417" s="2">
        <v>41578</v>
      </c>
      <c r="D2417" s="1" t="s">
        <v>1989</v>
      </c>
      <c r="E2417" s="6">
        <v>2</v>
      </c>
      <c r="F2417" s="6" t="str">
        <f t="shared" si="74"/>
        <v>October</v>
      </c>
      <c r="G2417" s="6">
        <f t="shared" si="75"/>
        <v>44</v>
      </c>
      <c r="H2417" s="1">
        <f>SUMIF('Retal Tran Line Item'!E:E,A2417,'Retal Tran Line Item'!B:B)</f>
        <v>1</v>
      </c>
    </row>
    <row r="2418" spans="1:8">
      <c r="A2418" s="1">
        <v>102486</v>
      </c>
      <c r="B2418" s="1">
        <v>250266</v>
      </c>
      <c r="C2418" s="2">
        <v>41578</v>
      </c>
      <c r="D2418" s="1" t="s">
        <v>1993</v>
      </c>
      <c r="E2418" s="6">
        <v>1</v>
      </c>
      <c r="F2418" s="6" t="str">
        <f t="shared" si="74"/>
        <v>October</v>
      </c>
      <c r="G2418" s="6">
        <f t="shared" si="75"/>
        <v>44</v>
      </c>
      <c r="H2418" s="1">
        <f>SUMIF('Retal Tran Line Item'!E:E,A2418,'Retal Tran Line Item'!B:B)</f>
        <v>9</v>
      </c>
    </row>
    <row r="2419" spans="1:8">
      <c r="A2419" s="1">
        <v>102487</v>
      </c>
      <c r="B2419" s="1">
        <v>298508</v>
      </c>
      <c r="C2419" s="2">
        <v>41578</v>
      </c>
      <c r="D2419" s="1" t="s">
        <v>1993</v>
      </c>
      <c r="E2419" s="6">
        <v>2</v>
      </c>
      <c r="F2419" s="6" t="str">
        <f t="shared" si="74"/>
        <v>October</v>
      </c>
      <c r="G2419" s="6">
        <f t="shared" si="75"/>
        <v>44</v>
      </c>
      <c r="H2419" s="1">
        <f>SUMIF('Retal Tran Line Item'!E:E,A2419,'Retal Tran Line Item'!B:B)</f>
        <v>4</v>
      </c>
    </row>
    <row r="2420" spans="1:8">
      <c r="A2420" s="1">
        <v>102488</v>
      </c>
      <c r="B2420" s="1">
        <v>386950</v>
      </c>
      <c r="C2420" s="2">
        <v>41578</v>
      </c>
      <c r="D2420" s="1" t="s">
        <v>1992</v>
      </c>
      <c r="E2420" s="6">
        <v>1</v>
      </c>
      <c r="F2420" s="6" t="str">
        <f t="shared" si="74"/>
        <v>October</v>
      </c>
      <c r="G2420" s="6">
        <f t="shared" si="75"/>
        <v>44</v>
      </c>
      <c r="H2420" s="1">
        <f>SUMIF('Retal Tran Line Item'!E:E,A2420,'Retal Tran Line Item'!B:B)</f>
        <v>6</v>
      </c>
    </row>
    <row r="2421" spans="1:8">
      <c r="A2421" s="1">
        <v>102490</v>
      </c>
      <c r="B2421" s="1">
        <v>747066</v>
      </c>
      <c r="C2421" s="2">
        <v>41578</v>
      </c>
      <c r="D2421" s="1" t="s">
        <v>1993</v>
      </c>
      <c r="E2421" s="6">
        <v>1</v>
      </c>
      <c r="F2421" s="6" t="str">
        <f t="shared" si="74"/>
        <v>October</v>
      </c>
      <c r="G2421" s="6">
        <f t="shared" si="75"/>
        <v>44</v>
      </c>
      <c r="H2421" s="1">
        <f>SUMIF('Retal Tran Line Item'!E:E,A2421,'Retal Tran Line Item'!B:B)</f>
        <v>8</v>
      </c>
    </row>
    <row r="2422" spans="1:8">
      <c r="A2422" s="1">
        <v>102494</v>
      </c>
      <c r="B2422" s="1">
        <v>185863</v>
      </c>
      <c r="C2422" s="2">
        <v>41579</v>
      </c>
      <c r="D2422" s="1" t="s">
        <v>1994</v>
      </c>
      <c r="E2422" s="6">
        <v>2</v>
      </c>
      <c r="F2422" s="6" t="str">
        <f t="shared" si="74"/>
        <v>November</v>
      </c>
      <c r="G2422" s="6">
        <f t="shared" si="75"/>
        <v>44</v>
      </c>
      <c r="H2422" s="1">
        <f>SUMIF('Retal Tran Line Item'!E:E,A2422,'Retal Tran Line Item'!B:B)</f>
        <v>19</v>
      </c>
    </row>
    <row r="2423" spans="1:8">
      <c r="A2423" s="1">
        <v>102496</v>
      </c>
      <c r="B2423" s="1">
        <v>927518</v>
      </c>
      <c r="C2423" s="2">
        <v>41579</v>
      </c>
      <c r="D2423" s="1" t="s">
        <v>1993</v>
      </c>
      <c r="E2423" s="6">
        <v>2</v>
      </c>
      <c r="F2423" s="6" t="str">
        <f t="shared" si="74"/>
        <v>November</v>
      </c>
      <c r="G2423" s="6">
        <f t="shared" si="75"/>
        <v>44</v>
      </c>
      <c r="H2423" s="1">
        <f>SUMIF('Retal Tran Line Item'!E:E,A2423,'Retal Tran Line Item'!B:B)</f>
        <v>16</v>
      </c>
    </row>
    <row r="2424" spans="1:8">
      <c r="A2424" s="1">
        <v>102497</v>
      </c>
      <c r="B2424" s="1">
        <v>622506</v>
      </c>
      <c r="C2424" s="2">
        <v>41579</v>
      </c>
      <c r="D2424" s="1" t="s">
        <v>1993</v>
      </c>
      <c r="E2424" s="6">
        <v>2</v>
      </c>
      <c r="F2424" s="6" t="str">
        <f t="shared" si="74"/>
        <v>November</v>
      </c>
      <c r="G2424" s="6">
        <f t="shared" si="75"/>
        <v>44</v>
      </c>
      <c r="H2424" s="1">
        <f>SUMIF('Retal Tran Line Item'!E:E,A2424,'Retal Tran Line Item'!B:B)</f>
        <v>12</v>
      </c>
    </row>
    <row r="2425" spans="1:8">
      <c r="A2425" s="1">
        <v>102499</v>
      </c>
      <c r="B2425" s="1">
        <v>649551</v>
      </c>
      <c r="C2425" s="2">
        <v>41580</v>
      </c>
      <c r="D2425" s="1" t="s">
        <v>1993</v>
      </c>
      <c r="E2425" s="6">
        <v>2</v>
      </c>
      <c r="F2425" s="6" t="str">
        <f t="shared" si="74"/>
        <v>November</v>
      </c>
      <c r="G2425" s="6">
        <f t="shared" si="75"/>
        <v>44</v>
      </c>
      <c r="H2425" s="1">
        <f>SUMIF('Retal Tran Line Item'!E:E,A2425,'Retal Tran Line Item'!B:B)</f>
        <v>3</v>
      </c>
    </row>
    <row r="2426" spans="1:8">
      <c r="A2426" s="1">
        <v>102501</v>
      </c>
      <c r="B2426" s="1">
        <v>893039</v>
      </c>
      <c r="C2426" s="2">
        <v>41580</v>
      </c>
      <c r="D2426" s="1" t="s">
        <v>1992</v>
      </c>
      <c r="E2426" s="6">
        <v>2</v>
      </c>
      <c r="F2426" s="6" t="str">
        <f t="shared" si="74"/>
        <v>November</v>
      </c>
      <c r="G2426" s="6">
        <f t="shared" si="75"/>
        <v>44</v>
      </c>
      <c r="H2426" s="1">
        <f>SUMIF('Retal Tran Line Item'!E:E,A2426,'Retal Tran Line Item'!B:B)</f>
        <v>3</v>
      </c>
    </row>
    <row r="2427" spans="1:8">
      <c r="A2427" s="1">
        <v>102502</v>
      </c>
      <c r="B2427" s="1">
        <v>421074</v>
      </c>
      <c r="C2427" s="2">
        <v>41580</v>
      </c>
      <c r="D2427" s="1" t="s">
        <v>1992</v>
      </c>
      <c r="E2427" s="6">
        <v>2</v>
      </c>
      <c r="F2427" s="6" t="str">
        <f t="shared" si="74"/>
        <v>November</v>
      </c>
      <c r="G2427" s="6">
        <f t="shared" si="75"/>
        <v>44</v>
      </c>
      <c r="H2427" s="1">
        <f>SUMIF('Retal Tran Line Item'!E:E,A2427,'Retal Tran Line Item'!B:B)</f>
        <v>8</v>
      </c>
    </row>
    <row r="2428" spans="1:8">
      <c r="A2428" s="1">
        <v>102503</v>
      </c>
      <c r="B2428" s="1">
        <v>418506</v>
      </c>
      <c r="C2428" s="2">
        <v>41580</v>
      </c>
      <c r="D2428" s="1" t="s">
        <v>1992</v>
      </c>
      <c r="E2428" s="6">
        <v>1</v>
      </c>
      <c r="F2428" s="6" t="str">
        <f t="shared" si="74"/>
        <v>November</v>
      </c>
      <c r="G2428" s="6">
        <f t="shared" si="75"/>
        <v>44</v>
      </c>
      <c r="H2428" s="1">
        <f>SUMIF('Retal Tran Line Item'!E:E,A2428,'Retal Tran Line Item'!B:B)</f>
        <v>4</v>
      </c>
    </row>
    <row r="2429" spans="1:8">
      <c r="A2429" s="1">
        <v>102504</v>
      </c>
      <c r="B2429" s="1">
        <v>893039</v>
      </c>
      <c r="C2429" s="2">
        <v>41580</v>
      </c>
      <c r="D2429" s="1" t="s">
        <v>1992</v>
      </c>
      <c r="E2429" s="6">
        <v>2</v>
      </c>
      <c r="F2429" s="6" t="str">
        <f t="shared" si="74"/>
        <v>November</v>
      </c>
      <c r="G2429" s="6">
        <f t="shared" si="75"/>
        <v>44</v>
      </c>
      <c r="H2429" s="1">
        <f>SUMIF('Retal Tran Line Item'!E:E,A2429,'Retal Tran Line Item'!B:B)</f>
        <v>4</v>
      </c>
    </row>
    <row r="2430" spans="1:8">
      <c r="A2430" s="1">
        <v>102505</v>
      </c>
      <c r="B2430" s="1">
        <v>549823</v>
      </c>
      <c r="C2430" s="2">
        <v>41580</v>
      </c>
      <c r="D2430" s="1" t="s">
        <v>1993</v>
      </c>
      <c r="E2430" s="6">
        <v>2</v>
      </c>
      <c r="F2430" s="6" t="str">
        <f t="shared" si="74"/>
        <v>November</v>
      </c>
      <c r="G2430" s="6">
        <f t="shared" si="75"/>
        <v>44</v>
      </c>
      <c r="H2430" s="1">
        <f>SUMIF('Retal Tran Line Item'!E:E,A2430,'Retal Tran Line Item'!B:B)</f>
        <v>6</v>
      </c>
    </row>
    <row r="2431" spans="1:8">
      <c r="A2431" s="1">
        <v>102506</v>
      </c>
      <c r="B2431" s="1">
        <v>936214</v>
      </c>
      <c r="C2431" s="2">
        <v>41581</v>
      </c>
      <c r="D2431" s="1" t="s">
        <v>1993</v>
      </c>
      <c r="E2431" s="6">
        <v>1</v>
      </c>
      <c r="F2431" s="6" t="str">
        <f t="shared" si="74"/>
        <v>November</v>
      </c>
      <c r="G2431" s="6">
        <f t="shared" si="75"/>
        <v>45</v>
      </c>
      <c r="H2431" s="1">
        <f>SUMIF('Retal Tran Line Item'!E:E,A2431,'Retal Tran Line Item'!B:B)</f>
        <v>9</v>
      </c>
    </row>
    <row r="2432" spans="1:8">
      <c r="A2432" s="1">
        <v>102508</v>
      </c>
      <c r="B2432" s="1">
        <v>892883</v>
      </c>
      <c r="C2432" s="2">
        <v>41581</v>
      </c>
      <c r="D2432" s="1" t="s">
        <v>1992</v>
      </c>
      <c r="E2432" s="6">
        <v>1</v>
      </c>
      <c r="F2432" s="6" t="str">
        <f t="shared" si="74"/>
        <v>November</v>
      </c>
      <c r="G2432" s="6">
        <f t="shared" si="75"/>
        <v>45</v>
      </c>
      <c r="H2432" s="1">
        <f>SUMIF('Retal Tran Line Item'!E:E,A2432,'Retal Tran Line Item'!B:B)</f>
        <v>18</v>
      </c>
    </row>
    <row r="2433" spans="1:8">
      <c r="A2433" s="1">
        <v>102509</v>
      </c>
      <c r="B2433" s="1">
        <v>926144</v>
      </c>
      <c r="C2433" s="2">
        <v>41581</v>
      </c>
      <c r="D2433" s="1" t="s">
        <v>1993</v>
      </c>
      <c r="E2433" s="6">
        <v>2</v>
      </c>
      <c r="F2433" s="6" t="str">
        <f t="shared" si="74"/>
        <v>November</v>
      </c>
      <c r="G2433" s="6">
        <f t="shared" si="75"/>
        <v>45</v>
      </c>
      <c r="H2433" s="1">
        <f>SUMIF('Retal Tran Line Item'!E:E,A2433,'Retal Tran Line Item'!B:B)</f>
        <v>18</v>
      </c>
    </row>
    <row r="2434" spans="1:8">
      <c r="A2434" s="1">
        <v>102510</v>
      </c>
      <c r="B2434" s="1">
        <v>468692</v>
      </c>
      <c r="C2434" s="2">
        <v>41581</v>
      </c>
      <c r="D2434" s="1" t="s">
        <v>1993</v>
      </c>
      <c r="E2434" s="6">
        <v>1</v>
      </c>
      <c r="F2434" s="6" t="str">
        <f t="shared" si="74"/>
        <v>November</v>
      </c>
      <c r="G2434" s="6">
        <f t="shared" si="75"/>
        <v>45</v>
      </c>
      <c r="H2434" s="1">
        <f>SUMIF('Retal Tran Line Item'!E:E,A2434,'Retal Tran Line Item'!B:B)</f>
        <v>10</v>
      </c>
    </row>
    <row r="2435" spans="1:8">
      <c r="A2435" s="1">
        <v>102511</v>
      </c>
      <c r="B2435" s="1">
        <v>610766</v>
      </c>
      <c r="C2435" s="2">
        <v>41581</v>
      </c>
      <c r="D2435" s="1" t="s">
        <v>1992</v>
      </c>
      <c r="E2435" s="6">
        <v>1</v>
      </c>
      <c r="F2435" s="6" t="str">
        <f t="shared" ref="F2435:F2498" si="76">TEXT(C2435,"MMMM")</f>
        <v>November</v>
      </c>
      <c r="G2435" s="6">
        <f t="shared" ref="G2435:G2498" si="77">WEEKNUM(C2435)</f>
        <v>45</v>
      </c>
      <c r="H2435" s="1">
        <f>SUMIF('Retal Tran Line Item'!E:E,A2435,'Retal Tran Line Item'!B:B)</f>
        <v>6</v>
      </c>
    </row>
    <row r="2436" spans="1:8">
      <c r="A2436" s="1">
        <v>102512</v>
      </c>
      <c r="B2436" s="1">
        <v>992956</v>
      </c>
      <c r="C2436" s="2">
        <v>41581</v>
      </c>
      <c r="D2436" s="1" t="s">
        <v>1992</v>
      </c>
      <c r="E2436" s="6">
        <v>1</v>
      </c>
      <c r="F2436" s="6" t="str">
        <f t="shared" si="76"/>
        <v>November</v>
      </c>
      <c r="G2436" s="6">
        <f t="shared" si="77"/>
        <v>45</v>
      </c>
      <c r="H2436" s="1">
        <f>SUMIF('Retal Tran Line Item'!E:E,A2436,'Retal Tran Line Item'!B:B)</f>
        <v>9</v>
      </c>
    </row>
    <row r="2437" spans="1:8">
      <c r="A2437" s="1">
        <v>102513</v>
      </c>
      <c r="B2437" s="1">
        <v>590616</v>
      </c>
      <c r="C2437" s="2">
        <v>41582</v>
      </c>
      <c r="D2437" s="1" t="s">
        <v>1993</v>
      </c>
      <c r="E2437" s="6">
        <v>1</v>
      </c>
      <c r="F2437" s="6" t="str">
        <f t="shared" si="76"/>
        <v>November</v>
      </c>
      <c r="G2437" s="6">
        <f t="shared" si="77"/>
        <v>45</v>
      </c>
      <c r="H2437" s="1">
        <f>SUMIF('Retal Tran Line Item'!E:E,A2437,'Retal Tran Line Item'!B:B)</f>
        <v>9</v>
      </c>
    </row>
    <row r="2438" spans="1:8">
      <c r="A2438" s="1">
        <v>102515</v>
      </c>
      <c r="B2438" s="1">
        <v>277373</v>
      </c>
      <c r="C2438" s="2">
        <v>41582</v>
      </c>
      <c r="D2438" s="1" t="s">
        <v>1994</v>
      </c>
      <c r="E2438" s="6">
        <v>1</v>
      </c>
      <c r="F2438" s="6" t="str">
        <f t="shared" si="76"/>
        <v>November</v>
      </c>
      <c r="G2438" s="6">
        <f t="shared" si="77"/>
        <v>45</v>
      </c>
      <c r="H2438" s="1">
        <f>SUMIF('Retal Tran Line Item'!E:E,A2438,'Retal Tran Line Item'!B:B)</f>
        <v>7</v>
      </c>
    </row>
    <row r="2439" spans="1:8">
      <c r="A2439" s="1">
        <v>102516</v>
      </c>
      <c r="B2439" s="1">
        <v>433442</v>
      </c>
      <c r="C2439" s="2">
        <v>41582</v>
      </c>
      <c r="D2439" s="1" t="s">
        <v>1989</v>
      </c>
      <c r="E2439" s="6">
        <v>1</v>
      </c>
      <c r="F2439" s="6" t="str">
        <f t="shared" si="76"/>
        <v>November</v>
      </c>
      <c r="G2439" s="6">
        <f t="shared" si="77"/>
        <v>45</v>
      </c>
      <c r="H2439" s="1">
        <f>SUMIF('Retal Tran Line Item'!E:E,A2439,'Retal Tran Line Item'!B:B)</f>
        <v>5</v>
      </c>
    </row>
    <row r="2440" spans="1:8">
      <c r="A2440" s="1">
        <v>102517</v>
      </c>
      <c r="B2440" s="1">
        <v>762509</v>
      </c>
      <c r="C2440" s="2">
        <v>41582</v>
      </c>
      <c r="D2440" s="1" t="s">
        <v>1993</v>
      </c>
      <c r="E2440" s="6">
        <v>2</v>
      </c>
      <c r="F2440" s="6" t="str">
        <f t="shared" si="76"/>
        <v>November</v>
      </c>
      <c r="G2440" s="6">
        <f t="shared" si="77"/>
        <v>45</v>
      </c>
      <c r="H2440" s="1">
        <f>SUMIF('Retal Tran Line Item'!E:E,A2440,'Retal Tran Line Item'!B:B)</f>
        <v>4</v>
      </c>
    </row>
    <row r="2441" spans="1:8">
      <c r="A2441" s="1">
        <v>102518</v>
      </c>
      <c r="B2441" s="1">
        <v>427391</v>
      </c>
      <c r="C2441" s="2">
        <v>41582</v>
      </c>
      <c r="D2441" s="1" t="s">
        <v>1992</v>
      </c>
      <c r="E2441" s="6">
        <v>2</v>
      </c>
      <c r="F2441" s="6" t="str">
        <f t="shared" si="76"/>
        <v>November</v>
      </c>
      <c r="G2441" s="6">
        <f t="shared" si="77"/>
        <v>45</v>
      </c>
      <c r="H2441" s="1">
        <f>SUMIF('Retal Tran Line Item'!E:E,A2441,'Retal Tran Line Item'!B:B)</f>
        <v>14</v>
      </c>
    </row>
    <row r="2442" spans="1:8">
      <c r="A2442" s="1">
        <v>102520</v>
      </c>
      <c r="B2442" s="1">
        <v>999915</v>
      </c>
      <c r="C2442" s="2">
        <v>41582</v>
      </c>
      <c r="D2442" s="1" t="s">
        <v>1989</v>
      </c>
      <c r="E2442" s="6">
        <v>2</v>
      </c>
      <c r="F2442" s="6" t="str">
        <f t="shared" si="76"/>
        <v>November</v>
      </c>
      <c r="G2442" s="6">
        <f t="shared" si="77"/>
        <v>45</v>
      </c>
      <c r="H2442" s="1">
        <f>SUMIF('Retal Tran Line Item'!E:E,A2442,'Retal Tran Line Item'!B:B)</f>
        <v>18</v>
      </c>
    </row>
    <row r="2443" spans="1:8">
      <c r="A2443" s="1">
        <v>102522</v>
      </c>
      <c r="B2443" s="1">
        <v>515790</v>
      </c>
      <c r="C2443" s="2">
        <v>41583</v>
      </c>
      <c r="D2443" s="1" t="s">
        <v>1993</v>
      </c>
      <c r="E2443" s="6">
        <v>1</v>
      </c>
      <c r="F2443" s="6" t="str">
        <f t="shared" si="76"/>
        <v>November</v>
      </c>
      <c r="G2443" s="6">
        <f t="shared" si="77"/>
        <v>45</v>
      </c>
      <c r="H2443" s="1">
        <f>SUMIF('Retal Tran Line Item'!E:E,A2443,'Retal Tran Line Item'!B:B)</f>
        <v>10</v>
      </c>
    </row>
    <row r="2444" spans="1:8">
      <c r="A2444" s="1">
        <v>102524</v>
      </c>
      <c r="B2444" s="1">
        <v>994269</v>
      </c>
      <c r="C2444" s="2">
        <v>41583</v>
      </c>
      <c r="D2444" s="1" t="s">
        <v>1994</v>
      </c>
      <c r="E2444" s="6">
        <v>2</v>
      </c>
      <c r="F2444" s="6" t="str">
        <f t="shared" si="76"/>
        <v>November</v>
      </c>
      <c r="G2444" s="6">
        <f t="shared" si="77"/>
        <v>45</v>
      </c>
      <c r="H2444" s="1">
        <f>SUMIF('Retal Tran Line Item'!E:E,A2444,'Retal Tran Line Item'!B:B)</f>
        <v>5</v>
      </c>
    </row>
    <row r="2445" spans="1:8">
      <c r="A2445" s="1">
        <v>102527</v>
      </c>
      <c r="B2445" s="1">
        <v>646700</v>
      </c>
      <c r="C2445" s="2">
        <v>41584</v>
      </c>
      <c r="D2445" s="1" t="s">
        <v>1989</v>
      </c>
      <c r="E2445" s="6">
        <v>2</v>
      </c>
      <c r="F2445" s="6" t="str">
        <f t="shared" si="76"/>
        <v>November</v>
      </c>
      <c r="G2445" s="6">
        <f t="shared" si="77"/>
        <v>45</v>
      </c>
      <c r="H2445" s="1">
        <f>SUMIF('Retal Tran Line Item'!E:E,A2445,'Retal Tran Line Item'!B:B)</f>
        <v>4</v>
      </c>
    </row>
    <row r="2446" spans="1:8">
      <c r="A2446" s="1">
        <v>102530</v>
      </c>
      <c r="B2446" s="1">
        <v>561305</v>
      </c>
      <c r="C2446" s="2">
        <v>41584</v>
      </c>
      <c r="D2446" s="1" t="s">
        <v>1993</v>
      </c>
      <c r="E2446" s="6">
        <v>2</v>
      </c>
      <c r="F2446" s="6" t="str">
        <f t="shared" si="76"/>
        <v>November</v>
      </c>
      <c r="G2446" s="6">
        <f t="shared" si="77"/>
        <v>45</v>
      </c>
      <c r="H2446" s="1">
        <f>SUMIF('Retal Tran Line Item'!E:E,A2446,'Retal Tran Line Item'!B:B)</f>
        <v>10</v>
      </c>
    </row>
    <row r="2447" spans="1:8">
      <c r="A2447" s="1">
        <v>102531</v>
      </c>
      <c r="B2447" s="1">
        <v>226909</v>
      </c>
      <c r="C2447" s="2">
        <v>41584</v>
      </c>
      <c r="D2447" s="1" t="s">
        <v>1993</v>
      </c>
      <c r="E2447" s="6">
        <v>1</v>
      </c>
      <c r="F2447" s="6" t="str">
        <f t="shared" si="76"/>
        <v>November</v>
      </c>
      <c r="G2447" s="6">
        <f t="shared" si="77"/>
        <v>45</v>
      </c>
      <c r="H2447" s="1">
        <f>SUMIF('Retal Tran Line Item'!E:E,A2447,'Retal Tran Line Item'!B:B)</f>
        <v>6</v>
      </c>
    </row>
    <row r="2448" spans="1:8">
      <c r="A2448" s="1">
        <v>102532</v>
      </c>
      <c r="B2448" s="1">
        <v>590616</v>
      </c>
      <c r="C2448" s="2">
        <v>41584</v>
      </c>
      <c r="D2448" s="1" t="s">
        <v>1993</v>
      </c>
      <c r="E2448" s="6">
        <v>1</v>
      </c>
      <c r="F2448" s="6" t="str">
        <f t="shared" si="76"/>
        <v>November</v>
      </c>
      <c r="G2448" s="6">
        <f t="shared" si="77"/>
        <v>45</v>
      </c>
      <c r="H2448" s="1">
        <f>SUMIF('Retal Tran Line Item'!E:E,A2448,'Retal Tran Line Item'!B:B)</f>
        <v>3</v>
      </c>
    </row>
    <row r="2449" spans="1:8">
      <c r="A2449" s="1">
        <v>102533</v>
      </c>
      <c r="B2449" s="1">
        <v>852925</v>
      </c>
      <c r="C2449" s="2">
        <v>41584</v>
      </c>
      <c r="D2449" s="1" t="s">
        <v>1994</v>
      </c>
      <c r="E2449" s="6">
        <v>2</v>
      </c>
      <c r="F2449" s="6" t="str">
        <f t="shared" si="76"/>
        <v>November</v>
      </c>
      <c r="G2449" s="6">
        <f t="shared" si="77"/>
        <v>45</v>
      </c>
      <c r="H2449" s="1">
        <f>SUMIF('Retal Tran Line Item'!E:E,A2449,'Retal Tran Line Item'!B:B)</f>
        <v>7</v>
      </c>
    </row>
    <row r="2450" spans="1:8">
      <c r="A2450" s="1">
        <v>102534</v>
      </c>
      <c r="B2450" s="1">
        <v>840096</v>
      </c>
      <c r="C2450" s="2">
        <v>41585</v>
      </c>
      <c r="D2450" s="1" t="s">
        <v>1992</v>
      </c>
      <c r="E2450" s="6">
        <v>1</v>
      </c>
      <c r="F2450" s="6" t="str">
        <f t="shared" si="76"/>
        <v>November</v>
      </c>
      <c r="G2450" s="6">
        <f t="shared" si="77"/>
        <v>45</v>
      </c>
      <c r="H2450" s="1">
        <f>SUMIF('Retal Tran Line Item'!E:E,A2450,'Retal Tran Line Item'!B:B)</f>
        <v>4</v>
      </c>
    </row>
    <row r="2451" spans="1:8">
      <c r="A2451" s="1">
        <v>102535</v>
      </c>
      <c r="B2451" s="1">
        <v>352644</v>
      </c>
      <c r="C2451" s="2">
        <v>41585</v>
      </c>
      <c r="D2451" s="1" t="s">
        <v>1989</v>
      </c>
      <c r="E2451" s="6">
        <v>1</v>
      </c>
      <c r="F2451" s="6" t="str">
        <f t="shared" si="76"/>
        <v>November</v>
      </c>
      <c r="G2451" s="6">
        <f t="shared" si="77"/>
        <v>45</v>
      </c>
      <c r="H2451" s="1">
        <f>SUMIF('Retal Tran Line Item'!E:E,A2451,'Retal Tran Line Item'!B:B)</f>
        <v>17</v>
      </c>
    </row>
    <row r="2452" spans="1:8">
      <c r="A2452" s="1">
        <v>102537</v>
      </c>
      <c r="B2452" s="1">
        <v>127472</v>
      </c>
      <c r="C2452" s="2">
        <v>41585</v>
      </c>
      <c r="D2452" s="1" t="s">
        <v>1993</v>
      </c>
      <c r="E2452" s="6">
        <v>2</v>
      </c>
      <c r="F2452" s="6" t="str">
        <f t="shared" si="76"/>
        <v>November</v>
      </c>
      <c r="G2452" s="6">
        <f t="shared" si="77"/>
        <v>45</v>
      </c>
      <c r="H2452" s="1">
        <f>SUMIF('Retal Tran Line Item'!E:E,A2452,'Retal Tran Line Item'!B:B)</f>
        <v>15</v>
      </c>
    </row>
    <row r="2453" spans="1:8">
      <c r="A2453" s="1">
        <v>102539</v>
      </c>
      <c r="B2453" s="1">
        <v>696852</v>
      </c>
      <c r="C2453" s="2">
        <v>41585</v>
      </c>
      <c r="D2453" s="1" t="s">
        <v>1993</v>
      </c>
      <c r="E2453" s="6">
        <v>1</v>
      </c>
      <c r="F2453" s="6" t="str">
        <f t="shared" si="76"/>
        <v>November</v>
      </c>
      <c r="G2453" s="6">
        <f t="shared" si="77"/>
        <v>45</v>
      </c>
      <c r="H2453" s="1">
        <f>SUMIF('Retal Tran Line Item'!E:E,A2453,'Retal Tran Line Item'!B:B)</f>
        <v>2</v>
      </c>
    </row>
    <row r="2454" spans="1:8">
      <c r="A2454" s="1">
        <v>102542</v>
      </c>
      <c r="B2454" s="1">
        <v>216475</v>
      </c>
      <c r="C2454" s="2">
        <v>41586</v>
      </c>
      <c r="D2454" s="1" t="s">
        <v>1992</v>
      </c>
      <c r="E2454" s="6">
        <v>2</v>
      </c>
      <c r="F2454" s="6" t="str">
        <f t="shared" si="76"/>
        <v>November</v>
      </c>
      <c r="G2454" s="6">
        <f t="shared" si="77"/>
        <v>45</v>
      </c>
      <c r="H2454" s="1">
        <f>SUMIF('Retal Tran Line Item'!E:E,A2454,'Retal Tran Line Item'!B:B)</f>
        <v>8</v>
      </c>
    </row>
    <row r="2455" spans="1:8">
      <c r="A2455" s="1">
        <v>102543</v>
      </c>
      <c r="B2455" s="1">
        <v>706101</v>
      </c>
      <c r="C2455" s="2">
        <v>41586</v>
      </c>
      <c r="D2455" s="1" t="s">
        <v>1993</v>
      </c>
      <c r="E2455" s="6">
        <v>1</v>
      </c>
      <c r="F2455" s="6" t="str">
        <f t="shared" si="76"/>
        <v>November</v>
      </c>
      <c r="G2455" s="6">
        <f t="shared" si="77"/>
        <v>45</v>
      </c>
      <c r="H2455" s="1">
        <f>SUMIF('Retal Tran Line Item'!E:E,A2455,'Retal Tran Line Item'!B:B)</f>
        <v>9</v>
      </c>
    </row>
    <row r="2456" spans="1:8">
      <c r="A2456" s="1">
        <v>102544</v>
      </c>
      <c r="B2456" s="1">
        <v>347189</v>
      </c>
      <c r="C2456" s="2">
        <v>41586</v>
      </c>
      <c r="D2456" s="1" t="s">
        <v>1989</v>
      </c>
      <c r="E2456" s="6">
        <v>2</v>
      </c>
      <c r="F2456" s="6" t="str">
        <f t="shared" si="76"/>
        <v>November</v>
      </c>
      <c r="G2456" s="6">
        <f t="shared" si="77"/>
        <v>45</v>
      </c>
      <c r="H2456" s="1">
        <f>SUMIF('Retal Tran Line Item'!E:E,A2456,'Retal Tran Line Item'!B:B)</f>
        <v>5</v>
      </c>
    </row>
    <row r="2457" spans="1:8">
      <c r="A2457" s="1">
        <v>102545</v>
      </c>
      <c r="B2457" s="1">
        <v>412929</v>
      </c>
      <c r="C2457" s="2">
        <v>41586</v>
      </c>
      <c r="D2457" s="1" t="s">
        <v>1989</v>
      </c>
      <c r="E2457" s="6">
        <v>2</v>
      </c>
      <c r="F2457" s="6" t="str">
        <f t="shared" si="76"/>
        <v>November</v>
      </c>
      <c r="G2457" s="6">
        <f t="shared" si="77"/>
        <v>45</v>
      </c>
      <c r="H2457" s="1">
        <f>SUMIF('Retal Tran Line Item'!E:E,A2457,'Retal Tran Line Item'!B:B)</f>
        <v>4</v>
      </c>
    </row>
    <row r="2458" spans="1:8">
      <c r="A2458" s="1">
        <v>102546</v>
      </c>
      <c r="B2458" s="1">
        <v>665282</v>
      </c>
      <c r="C2458" s="2">
        <v>41586</v>
      </c>
      <c r="D2458" s="1" t="s">
        <v>1993</v>
      </c>
      <c r="E2458" s="6">
        <v>1</v>
      </c>
      <c r="F2458" s="6" t="str">
        <f t="shared" si="76"/>
        <v>November</v>
      </c>
      <c r="G2458" s="6">
        <f t="shared" si="77"/>
        <v>45</v>
      </c>
      <c r="H2458" s="1">
        <f>SUMIF('Retal Tran Line Item'!E:E,A2458,'Retal Tran Line Item'!B:B)</f>
        <v>13</v>
      </c>
    </row>
    <row r="2459" spans="1:8">
      <c r="A2459" s="1">
        <v>102547</v>
      </c>
      <c r="B2459" s="1">
        <v>781523</v>
      </c>
      <c r="C2459" s="2">
        <v>41587</v>
      </c>
      <c r="D2459" s="1" t="s">
        <v>1989</v>
      </c>
      <c r="E2459" s="6">
        <v>2</v>
      </c>
      <c r="F2459" s="6" t="str">
        <f t="shared" si="76"/>
        <v>November</v>
      </c>
      <c r="G2459" s="6">
        <f t="shared" si="77"/>
        <v>45</v>
      </c>
      <c r="H2459" s="1">
        <f>SUMIF('Retal Tran Line Item'!E:E,A2459,'Retal Tran Line Item'!B:B)</f>
        <v>13</v>
      </c>
    </row>
    <row r="2460" spans="1:8">
      <c r="A2460" s="1">
        <v>102548</v>
      </c>
      <c r="B2460" s="1">
        <v>353846</v>
      </c>
      <c r="C2460" s="2">
        <v>41587</v>
      </c>
      <c r="D2460" s="1" t="s">
        <v>1993</v>
      </c>
      <c r="E2460" s="6">
        <v>2</v>
      </c>
      <c r="F2460" s="6" t="str">
        <f t="shared" si="76"/>
        <v>November</v>
      </c>
      <c r="G2460" s="6">
        <f t="shared" si="77"/>
        <v>45</v>
      </c>
      <c r="H2460" s="1">
        <f>SUMIF('Retal Tran Line Item'!E:E,A2460,'Retal Tran Line Item'!B:B)</f>
        <v>3</v>
      </c>
    </row>
    <row r="2461" spans="1:8">
      <c r="A2461" s="1">
        <v>102549</v>
      </c>
      <c r="B2461" s="1">
        <v>592592</v>
      </c>
      <c r="C2461" s="2">
        <v>41587</v>
      </c>
      <c r="D2461" s="1" t="s">
        <v>1993</v>
      </c>
      <c r="E2461" s="6">
        <v>2</v>
      </c>
      <c r="F2461" s="6" t="str">
        <f t="shared" si="76"/>
        <v>November</v>
      </c>
      <c r="G2461" s="6">
        <f t="shared" si="77"/>
        <v>45</v>
      </c>
      <c r="H2461" s="1">
        <f>SUMIF('Retal Tran Line Item'!E:E,A2461,'Retal Tran Line Item'!B:B)</f>
        <v>20</v>
      </c>
    </row>
    <row r="2462" spans="1:8">
      <c r="A2462" s="1">
        <v>102550</v>
      </c>
      <c r="B2462" s="1">
        <v>418521</v>
      </c>
      <c r="C2462" s="2">
        <v>41587</v>
      </c>
      <c r="D2462" s="1" t="s">
        <v>1989</v>
      </c>
      <c r="E2462" s="6">
        <v>1</v>
      </c>
      <c r="F2462" s="6" t="str">
        <f t="shared" si="76"/>
        <v>November</v>
      </c>
      <c r="G2462" s="6">
        <f t="shared" si="77"/>
        <v>45</v>
      </c>
      <c r="H2462" s="1">
        <f>SUMIF('Retal Tran Line Item'!E:E,A2462,'Retal Tran Line Item'!B:B)</f>
        <v>7</v>
      </c>
    </row>
    <row r="2463" spans="1:8">
      <c r="A2463" s="1">
        <v>102551</v>
      </c>
      <c r="B2463" s="1">
        <v>137696</v>
      </c>
      <c r="C2463" s="2">
        <v>41587</v>
      </c>
      <c r="D2463" s="1" t="s">
        <v>1994</v>
      </c>
      <c r="E2463" s="6">
        <v>2</v>
      </c>
      <c r="F2463" s="6" t="str">
        <f t="shared" si="76"/>
        <v>November</v>
      </c>
      <c r="G2463" s="6">
        <f t="shared" si="77"/>
        <v>45</v>
      </c>
      <c r="H2463" s="1">
        <f>SUMIF('Retal Tran Line Item'!E:E,A2463,'Retal Tran Line Item'!B:B)</f>
        <v>21</v>
      </c>
    </row>
    <row r="2464" spans="1:8">
      <c r="A2464" s="1">
        <v>102552</v>
      </c>
      <c r="B2464" s="1">
        <v>500350</v>
      </c>
      <c r="C2464" s="2">
        <v>41587</v>
      </c>
      <c r="D2464" s="1" t="s">
        <v>1993</v>
      </c>
      <c r="E2464" s="6">
        <v>1</v>
      </c>
      <c r="F2464" s="6" t="str">
        <f t="shared" si="76"/>
        <v>November</v>
      </c>
      <c r="G2464" s="6">
        <f t="shared" si="77"/>
        <v>45</v>
      </c>
      <c r="H2464" s="1">
        <f>SUMIF('Retal Tran Line Item'!E:E,A2464,'Retal Tran Line Item'!B:B)</f>
        <v>16</v>
      </c>
    </row>
    <row r="2465" spans="1:8">
      <c r="A2465" s="1">
        <v>102558</v>
      </c>
      <c r="B2465" s="1">
        <v>961080</v>
      </c>
      <c r="C2465" s="2">
        <v>41588</v>
      </c>
      <c r="D2465" s="1" t="s">
        <v>1992</v>
      </c>
      <c r="E2465" s="6">
        <v>2</v>
      </c>
      <c r="F2465" s="6" t="str">
        <f t="shared" si="76"/>
        <v>November</v>
      </c>
      <c r="G2465" s="6">
        <f t="shared" si="77"/>
        <v>46</v>
      </c>
      <c r="H2465" s="1">
        <f>SUMIF('Retal Tran Line Item'!E:E,A2465,'Retal Tran Line Item'!B:B)</f>
        <v>3</v>
      </c>
    </row>
    <row r="2466" spans="1:8">
      <c r="A2466" s="1">
        <v>102559</v>
      </c>
      <c r="B2466" s="1">
        <v>175940</v>
      </c>
      <c r="C2466" s="2">
        <v>41588</v>
      </c>
      <c r="D2466" s="1" t="s">
        <v>1993</v>
      </c>
      <c r="E2466" s="6">
        <v>2</v>
      </c>
      <c r="F2466" s="6" t="str">
        <f t="shared" si="76"/>
        <v>November</v>
      </c>
      <c r="G2466" s="6">
        <f t="shared" si="77"/>
        <v>46</v>
      </c>
      <c r="H2466" s="1">
        <f>SUMIF('Retal Tran Line Item'!E:E,A2466,'Retal Tran Line Item'!B:B)</f>
        <v>1</v>
      </c>
    </row>
    <row r="2467" spans="1:8">
      <c r="A2467" s="1">
        <v>102561</v>
      </c>
      <c r="B2467" s="1">
        <v>676155</v>
      </c>
      <c r="C2467" s="2">
        <v>41588</v>
      </c>
      <c r="D2467" s="1" t="s">
        <v>1992</v>
      </c>
      <c r="E2467" s="6">
        <v>1</v>
      </c>
      <c r="F2467" s="6" t="str">
        <f t="shared" si="76"/>
        <v>November</v>
      </c>
      <c r="G2467" s="6">
        <f t="shared" si="77"/>
        <v>46</v>
      </c>
      <c r="H2467" s="1">
        <f>SUMIF('Retal Tran Line Item'!E:E,A2467,'Retal Tran Line Item'!B:B)</f>
        <v>6</v>
      </c>
    </row>
    <row r="2468" spans="1:8">
      <c r="A2468" s="1">
        <v>102562</v>
      </c>
      <c r="B2468" s="1">
        <v>924649</v>
      </c>
      <c r="C2468" s="2">
        <v>41589</v>
      </c>
      <c r="D2468" s="1" t="s">
        <v>1993</v>
      </c>
      <c r="E2468" s="6">
        <v>2</v>
      </c>
      <c r="F2468" s="6" t="str">
        <f t="shared" si="76"/>
        <v>November</v>
      </c>
      <c r="G2468" s="6">
        <f t="shared" si="77"/>
        <v>46</v>
      </c>
      <c r="H2468" s="1">
        <f>SUMIF('Retal Tran Line Item'!E:E,A2468,'Retal Tran Line Item'!B:B)</f>
        <v>4</v>
      </c>
    </row>
    <row r="2469" spans="1:8">
      <c r="A2469" s="1">
        <v>102563</v>
      </c>
      <c r="B2469" s="1">
        <v>134457</v>
      </c>
      <c r="C2469" s="2">
        <v>41589</v>
      </c>
      <c r="D2469" s="1" t="s">
        <v>1992</v>
      </c>
      <c r="E2469" s="6">
        <v>2</v>
      </c>
      <c r="F2469" s="6" t="str">
        <f t="shared" si="76"/>
        <v>November</v>
      </c>
      <c r="G2469" s="6">
        <f t="shared" si="77"/>
        <v>46</v>
      </c>
      <c r="H2469" s="1">
        <f>SUMIF('Retal Tran Line Item'!E:E,A2469,'Retal Tran Line Item'!B:B)</f>
        <v>9</v>
      </c>
    </row>
    <row r="2470" spans="1:8">
      <c r="A2470" s="1">
        <v>102567</v>
      </c>
      <c r="B2470" s="1">
        <v>734624</v>
      </c>
      <c r="C2470" s="2">
        <v>41589</v>
      </c>
      <c r="D2470" s="1" t="s">
        <v>1994</v>
      </c>
      <c r="E2470" s="6">
        <v>1</v>
      </c>
      <c r="F2470" s="6" t="str">
        <f t="shared" si="76"/>
        <v>November</v>
      </c>
      <c r="G2470" s="6">
        <f t="shared" si="77"/>
        <v>46</v>
      </c>
      <c r="H2470" s="1">
        <f>SUMIF('Retal Tran Line Item'!E:E,A2470,'Retal Tran Line Item'!B:B)</f>
        <v>6</v>
      </c>
    </row>
    <row r="2471" spans="1:8">
      <c r="A2471" s="1">
        <v>102568</v>
      </c>
      <c r="B2471" s="1">
        <v>534481</v>
      </c>
      <c r="C2471" s="2">
        <v>41589</v>
      </c>
      <c r="D2471" s="1" t="s">
        <v>1993</v>
      </c>
      <c r="E2471" s="6">
        <v>2</v>
      </c>
      <c r="F2471" s="6" t="str">
        <f t="shared" si="76"/>
        <v>November</v>
      </c>
      <c r="G2471" s="6">
        <f t="shared" si="77"/>
        <v>46</v>
      </c>
      <c r="H2471" s="1">
        <f>SUMIF('Retal Tran Line Item'!E:E,A2471,'Retal Tran Line Item'!B:B)</f>
        <v>5</v>
      </c>
    </row>
    <row r="2472" spans="1:8">
      <c r="A2472" s="1">
        <v>102569</v>
      </c>
      <c r="B2472" s="1">
        <v>513968</v>
      </c>
      <c r="C2472" s="2">
        <v>41589</v>
      </c>
      <c r="D2472" s="1" t="s">
        <v>1994</v>
      </c>
      <c r="E2472" s="6">
        <v>2</v>
      </c>
      <c r="F2472" s="6" t="str">
        <f t="shared" si="76"/>
        <v>November</v>
      </c>
      <c r="G2472" s="6">
        <f t="shared" si="77"/>
        <v>46</v>
      </c>
      <c r="H2472" s="1">
        <f>SUMIF('Retal Tran Line Item'!E:E,A2472,'Retal Tran Line Item'!B:B)</f>
        <v>18</v>
      </c>
    </row>
    <row r="2473" spans="1:8">
      <c r="A2473" s="1">
        <v>102571</v>
      </c>
      <c r="B2473" s="1">
        <v>926289</v>
      </c>
      <c r="C2473" s="2">
        <v>41590</v>
      </c>
      <c r="D2473" s="1" t="s">
        <v>1994</v>
      </c>
      <c r="E2473" s="6">
        <v>1</v>
      </c>
      <c r="F2473" s="6" t="str">
        <f t="shared" si="76"/>
        <v>November</v>
      </c>
      <c r="G2473" s="6">
        <f t="shared" si="77"/>
        <v>46</v>
      </c>
      <c r="H2473" s="1">
        <f>SUMIF('Retal Tran Line Item'!E:E,A2473,'Retal Tran Line Item'!B:B)</f>
        <v>2</v>
      </c>
    </row>
    <row r="2474" spans="1:8">
      <c r="A2474" s="1">
        <v>102573</v>
      </c>
      <c r="B2474" s="1">
        <v>249779</v>
      </c>
      <c r="C2474" s="2">
        <v>41590</v>
      </c>
      <c r="D2474" s="1" t="s">
        <v>1992</v>
      </c>
      <c r="E2474" s="6">
        <v>2</v>
      </c>
      <c r="F2474" s="6" t="str">
        <f t="shared" si="76"/>
        <v>November</v>
      </c>
      <c r="G2474" s="6">
        <f t="shared" si="77"/>
        <v>46</v>
      </c>
      <c r="H2474" s="1">
        <f>SUMIF('Retal Tran Line Item'!E:E,A2474,'Retal Tran Line Item'!B:B)</f>
        <v>16</v>
      </c>
    </row>
    <row r="2475" spans="1:8">
      <c r="A2475" s="1">
        <v>102575</v>
      </c>
      <c r="B2475" s="1">
        <v>494106</v>
      </c>
      <c r="C2475" s="2">
        <v>41590</v>
      </c>
      <c r="D2475" s="1" t="s">
        <v>1993</v>
      </c>
      <c r="E2475" s="6">
        <v>1</v>
      </c>
      <c r="F2475" s="6" t="str">
        <f t="shared" si="76"/>
        <v>November</v>
      </c>
      <c r="G2475" s="6">
        <f t="shared" si="77"/>
        <v>46</v>
      </c>
      <c r="H2475" s="1">
        <f>SUMIF('Retal Tran Line Item'!E:E,A2475,'Retal Tran Line Item'!B:B)</f>
        <v>6</v>
      </c>
    </row>
    <row r="2476" spans="1:8">
      <c r="A2476" s="1">
        <v>102576</v>
      </c>
      <c r="B2476" s="1">
        <v>274541</v>
      </c>
      <c r="C2476" s="2">
        <v>41590</v>
      </c>
      <c r="D2476" s="1" t="s">
        <v>1993</v>
      </c>
      <c r="E2476" s="6">
        <v>2</v>
      </c>
      <c r="F2476" s="6" t="str">
        <f t="shared" si="76"/>
        <v>November</v>
      </c>
      <c r="G2476" s="6">
        <f t="shared" si="77"/>
        <v>46</v>
      </c>
      <c r="H2476" s="1">
        <f>SUMIF('Retal Tran Line Item'!E:E,A2476,'Retal Tran Line Item'!B:B)</f>
        <v>1</v>
      </c>
    </row>
    <row r="2477" spans="1:8">
      <c r="A2477" s="1">
        <v>102577</v>
      </c>
      <c r="B2477" s="1">
        <v>550824</v>
      </c>
      <c r="C2477" s="2">
        <v>41590</v>
      </c>
      <c r="D2477" s="1" t="s">
        <v>1989</v>
      </c>
      <c r="E2477" s="6">
        <v>1</v>
      </c>
      <c r="F2477" s="6" t="str">
        <f t="shared" si="76"/>
        <v>November</v>
      </c>
      <c r="G2477" s="6">
        <f t="shared" si="77"/>
        <v>46</v>
      </c>
      <c r="H2477" s="1">
        <f>SUMIF('Retal Tran Line Item'!E:E,A2477,'Retal Tran Line Item'!B:B)</f>
        <v>2</v>
      </c>
    </row>
    <row r="2478" spans="1:8">
      <c r="A2478" s="1">
        <v>102578</v>
      </c>
      <c r="B2478" s="1">
        <v>405671</v>
      </c>
      <c r="C2478" s="2">
        <v>41591</v>
      </c>
      <c r="D2478" s="1" t="s">
        <v>1989</v>
      </c>
      <c r="E2478" s="6">
        <v>1</v>
      </c>
      <c r="F2478" s="6" t="str">
        <f t="shared" si="76"/>
        <v>November</v>
      </c>
      <c r="G2478" s="6">
        <f t="shared" si="77"/>
        <v>46</v>
      </c>
      <c r="H2478" s="1">
        <f>SUMIF('Retal Tran Line Item'!E:E,A2478,'Retal Tran Line Item'!B:B)</f>
        <v>7</v>
      </c>
    </row>
    <row r="2479" spans="1:8">
      <c r="A2479" s="1">
        <v>102581</v>
      </c>
      <c r="B2479" s="1">
        <v>561305</v>
      </c>
      <c r="C2479" s="2">
        <v>41591</v>
      </c>
      <c r="D2479" s="1" t="s">
        <v>1993</v>
      </c>
      <c r="E2479" s="6">
        <v>2</v>
      </c>
      <c r="F2479" s="6" t="str">
        <f t="shared" si="76"/>
        <v>November</v>
      </c>
      <c r="G2479" s="6">
        <f t="shared" si="77"/>
        <v>46</v>
      </c>
      <c r="H2479" s="1">
        <f>SUMIF('Retal Tran Line Item'!E:E,A2479,'Retal Tran Line Item'!B:B)</f>
        <v>5</v>
      </c>
    </row>
    <row r="2480" spans="1:8">
      <c r="A2480" s="1">
        <v>102582</v>
      </c>
      <c r="B2480" s="1">
        <v>301793</v>
      </c>
      <c r="C2480" s="2">
        <v>41591</v>
      </c>
      <c r="D2480" s="1" t="s">
        <v>1989</v>
      </c>
      <c r="E2480" s="6">
        <v>2</v>
      </c>
      <c r="F2480" s="6" t="str">
        <f t="shared" si="76"/>
        <v>November</v>
      </c>
      <c r="G2480" s="6">
        <f t="shared" si="77"/>
        <v>46</v>
      </c>
      <c r="H2480" s="1">
        <f>SUMIF('Retal Tran Line Item'!E:E,A2480,'Retal Tran Line Item'!B:B)</f>
        <v>10</v>
      </c>
    </row>
    <row r="2481" spans="1:8">
      <c r="A2481" s="1">
        <v>102584</v>
      </c>
      <c r="B2481" s="1">
        <v>994185</v>
      </c>
      <c r="C2481" s="2">
        <v>41591</v>
      </c>
      <c r="D2481" s="1" t="s">
        <v>1992</v>
      </c>
      <c r="E2481" s="6">
        <v>1</v>
      </c>
      <c r="F2481" s="6" t="str">
        <f t="shared" si="76"/>
        <v>November</v>
      </c>
      <c r="G2481" s="6">
        <f t="shared" si="77"/>
        <v>46</v>
      </c>
      <c r="H2481" s="1">
        <f>SUMIF('Retal Tran Line Item'!E:E,A2481,'Retal Tran Line Item'!B:B)</f>
        <v>10</v>
      </c>
    </row>
    <row r="2482" spans="1:8">
      <c r="A2482" s="1">
        <v>102586</v>
      </c>
      <c r="B2482" s="1">
        <v>803700</v>
      </c>
      <c r="C2482" s="2">
        <v>41592</v>
      </c>
      <c r="D2482" s="1" t="s">
        <v>1992</v>
      </c>
      <c r="E2482" s="6">
        <v>2</v>
      </c>
      <c r="F2482" s="6" t="str">
        <f t="shared" si="76"/>
        <v>November</v>
      </c>
      <c r="G2482" s="6">
        <f t="shared" si="77"/>
        <v>46</v>
      </c>
      <c r="H2482" s="1">
        <f>SUMIF('Retal Tran Line Item'!E:E,A2482,'Retal Tran Line Item'!B:B)</f>
        <v>3</v>
      </c>
    </row>
    <row r="2483" spans="1:8">
      <c r="A2483" s="1">
        <v>102587</v>
      </c>
      <c r="B2483" s="1">
        <v>744416</v>
      </c>
      <c r="C2483" s="2">
        <v>41593</v>
      </c>
      <c r="D2483" s="1" t="s">
        <v>1992</v>
      </c>
      <c r="E2483" s="6">
        <v>1</v>
      </c>
      <c r="F2483" s="6" t="str">
        <f t="shared" si="76"/>
        <v>November</v>
      </c>
      <c r="G2483" s="6">
        <f t="shared" si="77"/>
        <v>46</v>
      </c>
      <c r="H2483" s="1">
        <f>SUMIF('Retal Tran Line Item'!E:E,A2483,'Retal Tran Line Item'!B:B)</f>
        <v>5</v>
      </c>
    </row>
    <row r="2484" spans="1:8">
      <c r="A2484" s="1">
        <v>102590</v>
      </c>
      <c r="B2484" s="1">
        <v>781968</v>
      </c>
      <c r="C2484" s="2">
        <v>41593</v>
      </c>
      <c r="D2484" s="1" t="s">
        <v>1993</v>
      </c>
      <c r="E2484" s="6">
        <v>2</v>
      </c>
      <c r="F2484" s="6" t="str">
        <f t="shared" si="76"/>
        <v>November</v>
      </c>
      <c r="G2484" s="6">
        <f t="shared" si="77"/>
        <v>46</v>
      </c>
      <c r="H2484" s="1">
        <f>SUMIF('Retal Tran Line Item'!E:E,A2484,'Retal Tran Line Item'!B:B)</f>
        <v>9</v>
      </c>
    </row>
    <row r="2485" spans="1:8">
      <c r="A2485" s="1">
        <v>102591</v>
      </c>
      <c r="B2485" s="1">
        <v>216081</v>
      </c>
      <c r="C2485" s="2">
        <v>41593</v>
      </c>
      <c r="D2485" s="1" t="s">
        <v>1992</v>
      </c>
      <c r="E2485" s="6">
        <v>1</v>
      </c>
      <c r="F2485" s="6" t="str">
        <f t="shared" si="76"/>
        <v>November</v>
      </c>
      <c r="G2485" s="6">
        <f t="shared" si="77"/>
        <v>46</v>
      </c>
      <c r="H2485" s="1">
        <f>SUMIF('Retal Tran Line Item'!E:E,A2485,'Retal Tran Line Item'!B:B)</f>
        <v>16</v>
      </c>
    </row>
    <row r="2486" spans="1:8">
      <c r="A2486" s="1">
        <v>102592</v>
      </c>
      <c r="B2486" s="1">
        <v>657495</v>
      </c>
      <c r="C2486" s="2">
        <v>41593</v>
      </c>
      <c r="D2486" s="1" t="s">
        <v>1994</v>
      </c>
      <c r="E2486" s="6">
        <v>2</v>
      </c>
      <c r="F2486" s="6" t="str">
        <f t="shared" si="76"/>
        <v>November</v>
      </c>
      <c r="G2486" s="6">
        <f t="shared" si="77"/>
        <v>46</v>
      </c>
      <c r="H2486" s="1">
        <f>SUMIF('Retal Tran Line Item'!E:E,A2486,'Retal Tran Line Item'!B:B)</f>
        <v>3</v>
      </c>
    </row>
    <row r="2487" spans="1:8">
      <c r="A2487" s="1">
        <v>102594</v>
      </c>
      <c r="B2487" s="1">
        <v>885548</v>
      </c>
      <c r="C2487" s="2">
        <v>41594</v>
      </c>
      <c r="D2487" s="1" t="s">
        <v>1992</v>
      </c>
      <c r="E2487" s="6">
        <v>2</v>
      </c>
      <c r="F2487" s="6" t="str">
        <f t="shared" si="76"/>
        <v>November</v>
      </c>
      <c r="G2487" s="6">
        <f t="shared" si="77"/>
        <v>46</v>
      </c>
      <c r="H2487" s="1">
        <f>SUMIF('Retal Tran Line Item'!E:E,A2487,'Retal Tran Line Item'!B:B)</f>
        <v>9</v>
      </c>
    </row>
    <row r="2488" spans="1:8">
      <c r="A2488" s="1">
        <v>102595</v>
      </c>
      <c r="B2488" s="1">
        <v>464984</v>
      </c>
      <c r="C2488" s="2">
        <v>41594</v>
      </c>
      <c r="D2488" s="1" t="s">
        <v>1993</v>
      </c>
      <c r="E2488" s="6">
        <v>1</v>
      </c>
      <c r="F2488" s="6" t="str">
        <f t="shared" si="76"/>
        <v>November</v>
      </c>
      <c r="G2488" s="6">
        <f t="shared" si="77"/>
        <v>46</v>
      </c>
      <c r="H2488" s="1">
        <f>SUMIF('Retal Tran Line Item'!E:E,A2488,'Retal Tran Line Item'!B:B)</f>
        <v>3</v>
      </c>
    </row>
    <row r="2489" spans="1:8">
      <c r="A2489" s="1">
        <v>102596</v>
      </c>
      <c r="B2489" s="1">
        <v>317807</v>
      </c>
      <c r="C2489" s="2">
        <v>41594</v>
      </c>
      <c r="D2489" s="1" t="s">
        <v>1993</v>
      </c>
      <c r="E2489" s="6">
        <v>1</v>
      </c>
      <c r="F2489" s="6" t="str">
        <f t="shared" si="76"/>
        <v>November</v>
      </c>
      <c r="G2489" s="6">
        <f t="shared" si="77"/>
        <v>46</v>
      </c>
      <c r="H2489" s="1">
        <f>SUMIF('Retal Tran Line Item'!E:E,A2489,'Retal Tran Line Item'!B:B)</f>
        <v>5</v>
      </c>
    </row>
    <row r="2490" spans="1:8">
      <c r="A2490" s="1">
        <v>102597</v>
      </c>
      <c r="B2490" s="1">
        <v>409910</v>
      </c>
      <c r="C2490" s="2">
        <v>41594</v>
      </c>
      <c r="D2490" s="1" t="s">
        <v>1992</v>
      </c>
      <c r="E2490" s="6">
        <v>1</v>
      </c>
      <c r="F2490" s="6" t="str">
        <f t="shared" si="76"/>
        <v>November</v>
      </c>
      <c r="G2490" s="6">
        <f t="shared" si="77"/>
        <v>46</v>
      </c>
      <c r="H2490" s="1">
        <f>SUMIF('Retal Tran Line Item'!E:E,A2490,'Retal Tran Line Item'!B:B)</f>
        <v>1</v>
      </c>
    </row>
    <row r="2491" spans="1:8">
      <c r="A2491" s="1">
        <v>102598</v>
      </c>
      <c r="B2491" s="1">
        <v>459243</v>
      </c>
      <c r="C2491" s="2">
        <v>41594</v>
      </c>
      <c r="D2491" s="1" t="s">
        <v>1992</v>
      </c>
      <c r="E2491" s="6">
        <v>1</v>
      </c>
      <c r="F2491" s="6" t="str">
        <f t="shared" si="76"/>
        <v>November</v>
      </c>
      <c r="G2491" s="6">
        <f t="shared" si="77"/>
        <v>46</v>
      </c>
      <c r="H2491" s="1">
        <f>SUMIF('Retal Tran Line Item'!E:E,A2491,'Retal Tran Line Item'!B:B)</f>
        <v>6</v>
      </c>
    </row>
    <row r="2492" spans="1:8">
      <c r="A2492" s="1">
        <v>102599</v>
      </c>
      <c r="B2492" s="1">
        <v>791559</v>
      </c>
      <c r="C2492" s="2">
        <v>41594</v>
      </c>
      <c r="D2492" s="1" t="s">
        <v>1989</v>
      </c>
      <c r="E2492" s="6">
        <v>1</v>
      </c>
      <c r="F2492" s="6" t="str">
        <f t="shared" si="76"/>
        <v>November</v>
      </c>
      <c r="G2492" s="6">
        <f t="shared" si="77"/>
        <v>46</v>
      </c>
      <c r="H2492" s="1">
        <f>SUMIF('Retal Tran Line Item'!E:E,A2492,'Retal Tran Line Item'!B:B)</f>
        <v>8</v>
      </c>
    </row>
    <row r="2493" spans="1:8">
      <c r="A2493" s="1">
        <v>102602</v>
      </c>
      <c r="B2493" s="1">
        <v>547890</v>
      </c>
      <c r="C2493" s="2">
        <v>41595</v>
      </c>
      <c r="D2493" s="1" t="s">
        <v>1993</v>
      </c>
      <c r="E2493" s="6">
        <v>1</v>
      </c>
      <c r="F2493" s="6" t="str">
        <f t="shared" si="76"/>
        <v>November</v>
      </c>
      <c r="G2493" s="6">
        <f t="shared" si="77"/>
        <v>47</v>
      </c>
      <c r="H2493" s="1">
        <f>SUMIF('Retal Tran Line Item'!E:E,A2493,'Retal Tran Line Item'!B:B)</f>
        <v>10</v>
      </c>
    </row>
    <row r="2494" spans="1:8">
      <c r="A2494" s="1">
        <v>102604</v>
      </c>
      <c r="B2494" s="1">
        <v>624668</v>
      </c>
      <c r="C2494" s="2">
        <v>41595</v>
      </c>
      <c r="D2494" s="1" t="s">
        <v>1992</v>
      </c>
      <c r="E2494" s="6">
        <v>1</v>
      </c>
      <c r="F2494" s="6" t="str">
        <f t="shared" si="76"/>
        <v>November</v>
      </c>
      <c r="G2494" s="6">
        <f t="shared" si="77"/>
        <v>47</v>
      </c>
      <c r="H2494" s="1">
        <f>SUMIF('Retal Tran Line Item'!E:E,A2494,'Retal Tran Line Item'!B:B)</f>
        <v>9</v>
      </c>
    </row>
    <row r="2495" spans="1:8">
      <c r="A2495" s="1">
        <v>102607</v>
      </c>
      <c r="B2495" s="1">
        <v>657495</v>
      </c>
      <c r="C2495" s="2">
        <v>41595</v>
      </c>
      <c r="D2495" s="1" t="s">
        <v>1994</v>
      </c>
      <c r="E2495" s="6">
        <v>2</v>
      </c>
      <c r="F2495" s="6" t="str">
        <f t="shared" si="76"/>
        <v>November</v>
      </c>
      <c r="G2495" s="6">
        <f t="shared" si="77"/>
        <v>47</v>
      </c>
      <c r="H2495" s="1">
        <f>SUMIF('Retal Tran Line Item'!E:E,A2495,'Retal Tran Line Item'!B:B)</f>
        <v>16</v>
      </c>
    </row>
    <row r="2496" spans="1:8">
      <c r="A2496" s="1">
        <v>102609</v>
      </c>
      <c r="B2496" s="1">
        <v>487346</v>
      </c>
      <c r="C2496" s="2">
        <v>41596</v>
      </c>
      <c r="D2496" s="1" t="s">
        <v>1992</v>
      </c>
      <c r="E2496" s="6">
        <v>1</v>
      </c>
      <c r="F2496" s="6" t="str">
        <f t="shared" si="76"/>
        <v>November</v>
      </c>
      <c r="G2496" s="6">
        <f t="shared" si="77"/>
        <v>47</v>
      </c>
      <c r="H2496" s="1">
        <f>SUMIF('Retal Tran Line Item'!E:E,A2496,'Retal Tran Line Item'!B:B)</f>
        <v>2</v>
      </c>
    </row>
    <row r="2497" spans="1:8">
      <c r="A2497" s="1">
        <v>102610</v>
      </c>
      <c r="B2497" s="1">
        <v>330223</v>
      </c>
      <c r="C2497" s="2">
        <v>41596</v>
      </c>
      <c r="D2497" s="1" t="s">
        <v>1993</v>
      </c>
      <c r="E2497" s="6">
        <v>2</v>
      </c>
      <c r="F2497" s="6" t="str">
        <f t="shared" si="76"/>
        <v>November</v>
      </c>
      <c r="G2497" s="6">
        <f t="shared" si="77"/>
        <v>47</v>
      </c>
      <c r="H2497" s="1">
        <f>SUMIF('Retal Tran Line Item'!E:E,A2497,'Retal Tran Line Item'!B:B)</f>
        <v>9</v>
      </c>
    </row>
    <row r="2498" spans="1:8">
      <c r="A2498" s="1">
        <v>102613</v>
      </c>
      <c r="B2498" s="1">
        <v>781968</v>
      </c>
      <c r="C2498" s="2">
        <v>41596</v>
      </c>
      <c r="D2498" s="1" t="s">
        <v>1993</v>
      </c>
      <c r="E2498" s="6">
        <v>2</v>
      </c>
      <c r="F2498" s="6" t="str">
        <f t="shared" si="76"/>
        <v>November</v>
      </c>
      <c r="G2498" s="6">
        <f t="shared" si="77"/>
        <v>47</v>
      </c>
      <c r="H2498" s="1">
        <f>SUMIF('Retal Tran Line Item'!E:E,A2498,'Retal Tran Line Item'!B:B)</f>
        <v>1</v>
      </c>
    </row>
    <row r="2499" spans="1:8">
      <c r="A2499" s="1">
        <v>102614</v>
      </c>
      <c r="B2499" s="1">
        <v>893039</v>
      </c>
      <c r="C2499" s="2">
        <v>41596</v>
      </c>
      <c r="D2499" s="1" t="s">
        <v>1992</v>
      </c>
      <c r="E2499" s="6">
        <v>2</v>
      </c>
      <c r="F2499" s="6" t="str">
        <f t="shared" ref="F2499:F2562" si="78">TEXT(C2499,"MMMM")</f>
        <v>November</v>
      </c>
      <c r="G2499" s="6">
        <f t="shared" ref="G2499:G2562" si="79">WEEKNUM(C2499)</f>
        <v>47</v>
      </c>
      <c r="H2499" s="1">
        <f>SUMIF('Retal Tran Line Item'!E:E,A2499,'Retal Tran Line Item'!B:B)</f>
        <v>4</v>
      </c>
    </row>
    <row r="2500" spans="1:8">
      <c r="A2500" s="1">
        <v>102618</v>
      </c>
      <c r="B2500" s="1">
        <v>880238</v>
      </c>
      <c r="C2500" s="2">
        <v>41597</v>
      </c>
      <c r="D2500" s="1" t="s">
        <v>1993</v>
      </c>
      <c r="E2500" s="6">
        <v>1</v>
      </c>
      <c r="F2500" s="6" t="str">
        <f t="shared" si="78"/>
        <v>November</v>
      </c>
      <c r="G2500" s="6">
        <f t="shared" si="79"/>
        <v>47</v>
      </c>
      <c r="H2500" s="1">
        <f>SUMIF('Retal Tran Line Item'!E:E,A2500,'Retal Tran Line Item'!B:B)</f>
        <v>4</v>
      </c>
    </row>
    <row r="2501" spans="1:8">
      <c r="A2501" s="1">
        <v>102620</v>
      </c>
      <c r="B2501" s="1">
        <v>182040</v>
      </c>
      <c r="C2501" s="2">
        <v>41597</v>
      </c>
      <c r="D2501" s="1" t="s">
        <v>1989</v>
      </c>
      <c r="E2501" s="6">
        <v>1</v>
      </c>
      <c r="F2501" s="6" t="str">
        <f t="shared" si="78"/>
        <v>November</v>
      </c>
      <c r="G2501" s="6">
        <f t="shared" si="79"/>
        <v>47</v>
      </c>
      <c r="H2501" s="1">
        <f>SUMIF('Retal Tran Line Item'!E:E,A2501,'Retal Tran Line Item'!B:B)</f>
        <v>19</v>
      </c>
    </row>
    <row r="2502" spans="1:8">
      <c r="A2502" s="1">
        <v>102621</v>
      </c>
      <c r="B2502" s="1">
        <v>999915</v>
      </c>
      <c r="C2502" s="2">
        <v>41597</v>
      </c>
      <c r="D2502" s="1" t="s">
        <v>1989</v>
      </c>
      <c r="E2502" s="6">
        <v>2</v>
      </c>
      <c r="F2502" s="6" t="str">
        <f t="shared" si="78"/>
        <v>November</v>
      </c>
      <c r="G2502" s="6">
        <f t="shared" si="79"/>
        <v>47</v>
      </c>
      <c r="H2502" s="1">
        <f>SUMIF('Retal Tran Line Item'!E:E,A2502,'Retal Tran Line Item'!B:B)</f>
        <v>10</v>
      </c>
    </row>
    <row r="2503" spans="1:8">
      <c r="A2503" s="1">
        <v>102622</v>
      </c>
      <c r="B2503" s="1">
        <v>671363</v>
      </c>
      <c r="C2503" s="2">
        <v>41597</v>
      </c>
      <c r="D2503" s="1" t="s">
        <v>1994</v>
      </c>
      <c r="E2503" s="6">
        <v>2</v>
      </c>
      <c r="F2503" s="6" t="str">
        <f t="shared" si="78"/>
        <v>November</v>
      </c>
      <c r="G2503" s="6">
        <f t="shared" si="79"/>
        <v>47</v>
      </c>
      <c r="H2503" s="1">
        <f>SUMIF('Retal Tran Line Item'!E:E,A2503,'Retal Tran Line Item'!B:B)</f>
        <v>5</v>
      </c>
    </row>
    <row r="2504" spans="1:8">
      <c r="A2504" s="1">
        <v>102623</v>
      </c>
      <c r="B2504" s="1">
        <v>158528</v>
      </c>
      <c r="C2504" s="2">
        <v>41597</v>
      </c>
      <c r="D2504" s="1" t="s">
        <v>1993</v>
      </c>
      <c r="E2504" s="6">
        <v>2</v>
      </c>
      <c r="F2504" s="6" t="str">
        <f t="shared" si="78"/>
        <v>November</v>
      </c>
      <c r="G2504" s="6">
        <f t="shared" si="79"/>
        <v>47</v>
      </c>
      <c r="H2504" s="1">
        <f>SUMIF('Retal Tran Line Item'!E:E,A2504,'Retal Tran Line Item'!B:B)</f>
        <v>6</v>
      </c>
    </row>
    <row r="2505" spans="1:8">
      <c r="A2505" s="1">
        <v>102627</v>
      </c>
      <c r="B2505" s="1">
        <v>448993</v>
      </c>
      <c r="C2505" s="2">
        <v>41598</v>
      </c>
      <c r="D2505" s="1" t="s">
        <v>1992</v>
      </c>
      <c r="E2505" s="6">
        <v>2</v>
      </c>
      <c r="F2505" s="6" t="str">
        <f t="shared" si="78"/>
        <v>November</v>
      </c>
      <c r="G2505" s="6">
        <f t="shared" si="79"/>
        <v>47</v>
      </c>
      <c r="H2505" s="1">
        <f>SUMIF('Retal Tran Line Item'!E:E,A2505,'Retal Tran Line Item'!B:B)</f>
        <v>5</v>
      </c>
    </row>
    <row r="2506" spans="1:8">
      <c r="A2506" s="1">
        <v>102630</v>
      </c>
      <c r="B2506" s="1">
        <v>414509</v>
      </c>
      <c r="C2506" s="2">
        <v>41598</v>
      </c>
      <c r="D2506" s="1" t="s">
        <v>1989</v>
      </c>
      <c r="E2506" s="6">
        <v>1</v>
      </c>
      <c r="F2506" s="6" t="str">
        <f t="shared" si="78"/>
        <v>November</v>
      </c>
      <c r="G2506" s="6">
        <f t="shared" si="79"/>
        <v>47</v>
      </c>
      <c r="H2506" s="1">
        <f>SUMIF('Retal Tran Line Item'!E:E,A2506,'Retal Tran Line Item'!B:B)</f>
        <v>8</v>
      </c>
    </row>
    <row r="2507" spans="1:8">
      <c r="A2507" s="1">
        <v>102631</v>
      </c>
      <c r="B2507" s="1">
        <v>111486</v>
      </c>
      <c r="C2507" s="2">
        <v>41598</v>
      </c>
      <c r="D2507" s="1" t="s">
        <v>1993</v>
      </c>
      <c r="E2507" s="6">
        <v>2</v>
      </c>
      <c r="F2507" s="6" t="str">
        <f t="shared" si="78"/>
        <v>November</v>
      </c>
      <c r="G2507" s="6">
        <f t="shared" si="79"/>
        <v>47</v>
      </c>
      <c r="H2507" s="1">
        <f>SUMIF('Retal Tran Line Item'!E:E,A2507,'Retal Tran Line Item'!B:B)</f>
        <v>7</v>
      </c>
    </row>
    <row r="2508" spans="1:8">
      <c r="A2508" s="1">
        <v>102634</v>
      </c>
      <c r="B2508" s="1">
        <v>447601</v>
      </c>
      <c r="C2508" s="2">
        <v>41599</v>
      </c>
      <c r="D2508" s="1" t="s">
        <v>1989</v>
      </c>
      <c r="E2508" s="6">
        <v>1</v>
      </c>
      <c r="F2508" s="6" t="str">
        <f t="shared" si="78"/>
        <v>November</v>
      </c>
      <c r="G2508" s="6">
        <f t="shared" si="79"/>
        <v>47</v>
      </c>
      <c r="H2508" s="1">
        <f>SUMIF('Retal Tran Line Item'!E:E,A2508,'Retal Tran Line Item'!B:B)</f>
        <v>6</v>
      </c>
    </row>
    <row r="2509" spans="1:8">
      <c r="A2509" s="1">
        <v>102635</v>
      </c>
      <c r="B2509" s="1">
        <v>995599</v>
      </c>
      <c r="C2509" s="2">
        <v>41599</v>
      </c>
      <c r="D2509" s="1" t="s">
        <v>1989</v>
      </c>
      <c r="E2509" s="6">
        <v>2</v>
      </c>
      <c r="F2509" s="6" t="str">
        <f t="shared" si="78"/>
        <v>November</v>
      </c>
      <c r="G2509" s="6">
        <f t="shared" si="79"/>
        <v>47</v>
      </c>
      <c r="H2509" s="1">
        <f>SUMIF('Retal Tran Line Item'!E:E,A2509,'Retal Tran Line Item'!B:B)</f>
        <v>10</v>
      </c>
    </row>
    <row r="2510" spans="1:8">
      <c r="A2510" s="1">
        <v>102636</v>
      </c>
      <c r="B2510" s="1">
        <v>390130</v>
      </c>
      <c r="C2510" s="2">
        <v>41599</v>
      </c>
      <c r="D2510" s="1" t="s">
        <v>1993</v>
      </c>
      <c r="E2510" s="6">
        <v>2</v>
      </c>
      <c r="F2510" s="6" t="str">
        <f t="shared" si="78"/>
        <v>November</v>
      </c>
      <c r="G2510" s="6">
        <f t="shared" si="79"/>
        <v>47</v>
      </c>
      <c r="H2510" s="1">
        <f>SUMIF('Retal Tran Line Item'!E:E,A2510,'Retal Tran Line Item'!B:B)</f>
        <v>1</v>
      </c>
    </row>
    <row r="2511" spans="1:8">
      <c r="A2511" s="1">
        <v>102637</v>
      </c>
      <c r="B2511" s="1">
        <v>554099</v>
      </c>
      <c r="C2511" s="2">
        <v>41599</v>
      </c>
      <c r="D2511" s="1" t="s">
        <v>1994</v>
      </c>
      <c r="E2511" s="6">
        <v>2</v>
      </c>
      <c r="F2511" s="6" t="str">
        <f t="shared" si="78"/>
        <v>November</v>
      </c>
      <c r="G2511" s="6">
        <f t="shared" si="79"/>
        <v>47</v>
      </c>
      <c r="H2511" s="1">
        <f>SUMIF('Retal Tran Line Item'!E:E,A2511,'Retal Tran Line Item'!B:B)</f>
        <v>9</v>
      </c>
    </row>
    <row r="2512" spans="1:8">
      <c r="A2512" s="1">
        <v>102638</v>
      </c>
      <c r="B2512" s="1">
        <v>992956</v>
      </c>
      <c r="C2512" s="2">
        <v>41599</v>
      </c>
      <c r="D2512" s="1" t="s">
        <v>1992</v>
      </c>
      <c r="E2512" s="6">
        <v>2</v>
      </c>
      <c r="F2512" s="6" t="str">
        <f t="shared" si="78"/>
        <v>November</v>
      </c>
      <c r="G2512" s="6">
        <f t="shared" si="79"/>
        <v>47</v>
      </c>
      <c r="H2512" s="1">
        <f>SUMIF('Retal Tran Line Item'!E:E,A2512,'Retal Tran Line Item'!B:B)</f>
        <v>4</v>
      </c>
    </row>
    <row r="2513" spans="1:8">
      <c r="A2513" s="1">
        <v>102639</v>
      </c>
      <c r="B2513" s="1">
        <v>498153</v>
      </c>
      <c r="C2513" s="2">
        <v>41599</v>
      </c>
      <c r="D2513" s="1" t="s">
        <v>1994</v>
      </c>
      <c r="E2513" s="6">
        <v>2</v>
      </c>
      <c r="F2513" s="6" t="str">
        <f t="shared" si="78"/>
        <v>November</v>
      </c>
      <c r="G2513" s="6">
        <f t="shared" si="79"/>
        <v>47</v>
      </c>
      <c r="H2513" s="1">
        <f>SUMIF('Retal Tran Line Item'!E:E,A2513,'Retal Tran Line Item'!B:B)</f>
        <v>10</v>
      </c>
    </row>
    <row r="2514" spans="1:8">
      <c r="A2514" s="1">
        <v>102641</v>
      </c>
      <c r="B2514" s="1">
        <v>565259</v>
      </c>
      <c r="C2514" s="2">
        <v>41600</v>
      </c>
      <c r="D2514" s="1" t="s">
        <v>1992</v>
      </c>
      <c r="E2514" s="6">
        <v>1</v>
      </c>
      <c r="F2514" s="6" t="str">
        <f t="shared" si="78"/>
        <v>November</v>
      </c>
      <c r="G2514" s="6">
        <f t="shared" si="79"/>
        <v>47</v>
      </c>
      <c r="H2514" s="1">
        <f>SUMIF('Retal Tran Line Item'!E:E,A2514,'Retal Tran Line Item'!B:B)</f>
        <v>10</v>
      </c>
    </row>
    <row r="2515" spans="1:8">
      <c r="A2515" s="1">
        <v>102644</v>
      </c>
      <c r="B2515" s="1">
        <v>921901</v>
      </c>
      <c r="C2515" s="2">
        <v>41600</v>
      </c>
      <c r="D2515" s="1" t="s">
        <v>1989</v>
      </c>
      <c r="E2515" s="6">
        <v>1</v>
      </c>
      <c r="F2515" s="6" t="str">
        <f t="shared" si="78"/>
        <v>November</v>
      </c>
      <c r="G2515" s="6">
        <f t="shared" si="79"/>
        <v>47</v>
      </c>
      <c r="H2515" s="1">
        <f>SUMIF('Retal Tran Line Item'!E:E,A2515,'Retal Tran Line Item'!B:B)</f>
        <v>2</v>
      </c>
    </row>
    <row r="2516" spans="1:8">
      <c r="A2516" s="1">
        <v>102645</v>
      </c>
      <c r="B2516" s="1">
        <v>741514</v>
      </c>
      <c r="C2516" s="2">
        <v>41600</v>
      </c>
      <c r="D2516" s="1" t="s">
        <v>1992</v>
      </c>
      <c r="E2516" s="6">
        <v>1</v>
      </c>
      <c r="F2516" s="6" t="str">
        <f t="shared" si="78"/>
        <v>November</v>
      </c>
      <c r="G2516" s="6">
        <f t="shared" si="79"/>
        <v>47</v>
      </c>
      <c r="H2516" s="1">
        <f>SUMIF('Retal Tran Line Item'!E:E,A2516,'Retal Tran Line Item'!B:B)</f>
        <v>5</v>
      </c>
    </row>
    <row r="2517" spans="1:8">
      <c r="A2517" s="1">
        <v>102646</v>
      </c>
      <c r="B2517" s="1">
        <v>693531</v>
      </c>
      <c r="C2517" s="2">
        <v>41600</v>
      </c>
      <c r="D2517" s="1" t="s">
        <v>1989</v>
      </c>
      <c r="E2517" s="6">
        <v>1</v>
      </c>
      <c r="F2517" s="6" t="str">
        <f t="shared" si="78"/>
        <v>November</v>
      </c>
      <c r="G2517" s="6">
        <f t="shared" si="79"/>
        <v>47</v>
      </c>
      <c r="H2517" s="1">
        <f>SUMIF('Retal Tran Line Item'!E:E,A2517,'Retal Tran Line Item'!B:B)</f>
        <v>17</v>
      </c>
    </row>
    <row r="2518" spans="1:8">
      <c r="A2518" s="1">
        <v>102647</v>
      </c>
      <c r="B2518" s="1">
        <v>958321</v>
      </c>
      <c r="C2518" s="2">
        <v>41600</v>
      </c>
      <c r="D2518" s="1" t="s">
        <v>1993</v>
      </c>
      <c r="E2518" s="6">
        <v>1</v>
      </c>
      <c r="F2518" s="6" t="str">
        <f t="shared" si="78"/>
        <v>November</v>
      </c>
      <c r="G2518" s="6">
        <f t="shared" si="79"/>
        <v>47</v>
      </c>
      <c r="H2518" s="1">
        <f>SUMIF('Retal Tran Line Item'!E:E,A2518,'Retal Tran Line Item'!B:B)</f>
        <v>6</v>
      </c>
    </row>
    <row r="2519" spans="1:8">
      <c r="A2519" s="1">
        <v>102649</v>
      </c>
      <c r="B2519" s="1">
        <v>717234</v>
      </c>
      <c r="C2519" s="2">
        <v>41601</v>
      </c>
      <c r="D2519" s="1" t="s">
        <v>1994</v>
      </c>
      <c r="E2519" s="6">
        <v>2</v>
      </c>
      <c r="F2519" s="6" t="str">
        <f t="shared" si="78"/>
        <v>November</v>
      </c>
      <c r="G2519" s="6">
        <f t="shared" si="79"/>
        <v>47</v>
      </c>
      <c r="H2519" s="1">
        <f>SUMIF('Retal Tran Line Item'!E:E,A2519,'Retal Tran Line Item'!B:B)</f>
        <v>6</v>
      </c>
    </row>
    <row r="2520" spans="1:8">
      <c r="A2520" s="1">
        <v>102650</v>
      </c>
      <c r="B2520" s="1">
        <v>147543</v>
      </c>
      <c r="C2520" s="2">
        <v>41601</v>
      </c>
      <c r="D2520" s="1" t="s">
        <v>1993</v>
      </c>
      <c r="E2520" s="6">
        <v>1</v>
      </c>
      <c r="F2520" s="6" t="str">
        <f t="shared" si="78"/>
        <v>November</v>
      </c>
      <c r="G2520" s="6">
        <f t="shared" si="79"/>
        <v>47</v>
      </c>
      <c r="H2520" s="1">
        <f>SUMIF('Retal Tran Line Item'!E:E,A2520,'Retal Tran Line Item'!B:B)</f>
        <v>9</v>
      </c>
    </row>
    <row r="2521" spans="1:8">
      <c r="A2521" s="1">
        <v>102652</v>
      </c>
      <c r="B2521" s="1">
        <v>888952</v>
      </c>
      <c r="C2521" s="2">
        <v>41601</v>
      </c>
      <c r="D2521" s="1" t="s">
        <v>1993</v>
      </c>
      <c r="E2521" s="6">
        <v>2</v>
      </c>
      <c r="F2521" s="6" t="str">
        <f t="shared" si="78"/>
        <v>November</v>
      </c>
      <c r="G2521" s="6">
        <f t="shared" si="79"/>
        <v>47</v>
      </c>
      <c r="H2521" s="1">
        <f>SUMIF('Retal Tran Line Item'!E:E,A2521,'Retal Tran Line Item'!B:B)</f>
        <v>6</v>
      </c>
    </row>
    <row r="2522" spans="1:8">
      <c r="A2522" s="1">
        <v>102653</v>
      </c>
      <c r="B2522" s="1">
        <v>761615</v>
      </c>
      <c r="C2522" s="2">
        <v>41601</v>
      </c>
      <c r="D2522" s="1" t="s">
        <v>1993</v>
      </c>
      <c r="E2522" s="6">
        <v>2</v>
      </c>
      <c r="F2522" s="6" t="str">
        <f t="shared" si="78"/>
        <v>November</v>
      </c>
      <c r="G2522" s="6">
        <f t="shared" si="79"/>
        <v>47</v>
      </c>
      <c r="H2522" s="1">
        <f>SUMIF('Retal Tran Line Item'!E:E,A2522,'Retal Tran Line Item'!B:B)</f>
        <v>17</v>
      </c>
    </row>
    <row r="2523" spans="1:8">
      <c r="A2523" s="1">
        <v>102654</v>
      </c>
      <c r="B2523" s="1">
        <v>734514</v>
      </c>
      <c r="C2523" s="2">
        <v>41601</v>
      </c>
      <c r="D2523" s="1" t="s">
        <v>1993</v>
      </c>
      <c r="E2523" s="6">
        <v>1</v>
      </c>
      <c r="F2523" s="6" t="str">
        <f t="shared" si="78"/>
        <v>November</v>
      </c>
      <c r="G2523" s="6">
        <f t="shared" si="79"/>
        <v>47</v>
      </c>
      <c r="H2523" s="1">
        <f>SUMIF('Retal Tran Line Item'!E:E,A2523,'Retal Tran Line Item'!B:B)</f>
        <v>8</v>
      </c>
    </row>
    <row r="2524" spans="1:8">
      <c r="A2524" s="1">
        <v>102656</v>
      </c>
      <c r="B2524" s="1">
        <v>286196</v>
      </c>
      <c r="C2524" s="2">
        <v>41602</v>
      </c>
      <c r="D2524" s="1" t="s">
        <v>1989</v>
      </c>
      <c r="E2524" s="6">
        <v>2</v>
      </c>
      <c r="F2524" s="6" t="str">
        <f t="shared" si="78"/>
        <v>November</v>
      </c>
      <c r="G2524" s="6">
        <f t="shared" si="79"/>
        <v>48</v>
      </c>
      <c r="H2524" s="1">
        <f>SUMIF('Retal Tran Line Item'!E:E,A2524,'Retal Tran Line Item'!B:B)</f>
        <v>7</v>
      </c>
    </row>
    <row r="2525" spans="1:8">
      <c r="A2525" s="1">
        <v>102658</v>
      </c>
      <c r="B2525" s="1">
        <v>343021</v>
      </c>
      <c r="C2525" s="2">
        <v>41602</v>
      </c>
      <c r="D2525" s="1" t="s">
        <v>1989</v>
      </c>
      <c r="E2525" s="6">
        <v>1</v>
      </c>
      <c r="F2525" s="6" t="str">
        <f t="shared" si="78"/>
        <v>November</v>
      </c>
      <c r="G2525" s="6">
        <f t="shared" si="79"/>
        <v>48</v>
      </c>
      <c r="H2525" s="1">
        <f>SUMIF('Retal Tran Line Item'!E:E,A2525,'Retal Tran Line Item'!B:B)</f>
        <v>10</v>
      </c>
    </row>
    <row r="2526" spans="1:8">
      <c r="A2526" s="1">
        <v>102659</v>
      </c>
      <c r="B2526" s="1">
        <v>924361</v>
      </c>
      <c r="C2526" s="2">
        <v>41602</v>
      </c>
      <c r="D2526" s="1" t="s">
        <v>1993</v>
      </c>
      <c r="E2526" s="6">
        <v>2</v>
      </c>
      <c r="F2526" s="6" t="str">
        <f t="shared" si="78"/>
        <v>November</v>
      </c>
      <c r="G2526" s="6">
        <f t="shared" si="79"/>
        <v>48</v>
      </c>
      <c r="H2526" s="1">
        <f>SUMIF('Retal Tran Line Item'!E:E,A2526,'Retal Tran Line Item'!B:B)</f>
        <v>10</v>
      </c>
    </row>
    <row r="2527" spans="1:8">
      <c r="A2527" s="1">
        <v>102660</v>
      </c>
      <c r="B2527" s="1">
        <v>145929</v>
      </c>
      <c r="C2527" s="2">
        <v>41602</v>
      </c>
      <c r="D2527" s="1" t="s">
        <v>1989</v>
      </c>
      <c r="E2527" s="6">
        <v>1</v>
      </c>
      <c r="F2527" s="6" t="str">
        <f t="shared" si="78"/>
        <v>November</v>
      </c>
      <c r="G2527" s="6">
        <f t="shared" si="79"/>
        <v>48</v>
      </c>
      <c r="H2527" s="1">
        <f>SUMIF('Retal Tran Line Item'!E:E,A2527,'Retal Tran Line Item'!B:B)</f>
        <v>15</v>
      </c>
    </row>
    <row r="2528" spans="1:8">
      <c r="A2528" s="1">
        <v>102665</v>
      </c>
      <c r="B2528" s="1">
        <v>775449</v>
      </c>
      <c r="C2528" s="2">
        <v>41603</v>
      </c>
      <c r="D2528" s="1" t="s">
        <v>1993</v>
      </c>
      <c r="E2528" s="6">
        <v>1</v>
      </c>
      <c r="F2528" s="6" t="str">
        <f t="shared" si="78"/>
        <v>November</v>
      </c>
      <c r="G2528" s="6">
        <f t="shared" si="79"/>
        <v>48</v>
      </c>
      <c r="H2528" s="1">
        <f>SUMIF('Retal Tran Line Item'!E:E,A2528,'Retal Tran Line Item'!B:B)</f>
        <v>5</v>
      </c>
    </row>
    <row r="2529" spans="1:8">
      <c r="A2529" s="1">
        <v>102666</v>
      </c>
      <c r="B2529" s="1">
        <v>433442</v>
      </c>
      <c r="C2529" s="2">
        <v>41603</v>
      </c>
      <c r="D2529" s="1" t="s">
        <v>1989</v>
      </c>
      <c r="E2529" s="6">
        <v>2</v>
      </c>
      <c r="F2529" s="6" t="str">
        <f t="shared" si="78"/>
        <v>November</v>
      </c>
      <c r="G2529" s="6">
        <f t="shared" si="79"/>
        <v>48</v>
      </c>
      <c r="H2529" s="1">
        <f>SUMIF('Retal Tran Line Item'!E:E,A2529,'Retal Tran Line Item'!B:B)</f>
        <v>14</v>
      </c>
    </row>
    <row r="2530" spans="1:8">
      <c r="A2530" s="1">
        <v>102669</v>
      </c>
      <c r="B2530" s="1">
        <v>194680</v>
      </c>
      <c r="C2530" s="2">
        <v>41603</v>
      </c>
      <c r="D2530" s="1" t="s">
        <v>1993</v>
      </c>
      <c r="E2530" s="6">
        <v>1</v>
      </c>
      <c r="F2530" s="6" t="str">
        <f t="shared" si="78"/>
        <v>November</v>
      </c>
      <c r="G2530" s="6">
        <f t="shared" si="79"/>
        <v>48</v>
      </c>
      <c r="H2530" s="1">
        <f>SUMIF('Retal Tran Line Item'!E:E,A2530,'Retal Tran Line Item'!B:B)</f>
        <v>5</v>
      </c>
    </row>
    <row r="2531" spans="1:8">
      <c r="A2531" s="1">
        <v>102670</v>
      </c>
      <c r="B2531" s="1">
        <v>941876</v>
      </c>
      <c r="C2531" s="2">
        <v>41603</v>
      </c>
      <c r="D2531" s="1" t="s">
        <v>1993</v>
      </c>
      <c r="E2531" s="6">
        <v>1</v>
      </c>
      <c r="F2531" s="6" t="str">
        <f t="shared" si="78"/>
        <v>November</v>
      </c>
      <c r="G2531" s="6">
        <f t="shared" si="79"/>
        <v>48</v>
      </c>
      <c r="H2531" s="1">
        <f>SUMIF('Retal Tran Line Item'!E:E,A2531,'Retal Tran Line Item'!B:B)</f>
        <v>15</v>
      </c>
    </row>
    <row r="2532" spans="1:8">
      <c r="A2532" s="1">
        <v>102671</v>
      </c>
      <c r="B2532" s="1">
        <v>575041</v>
      </c>
      <c r="C2532" s="2">
        <v>41604</v>
      </c>
      <c r="D2532" s="1" t="s">
        <v>1994</v>
      </c>
      <c r="E2532" s="6">
        <v>1</v>
      </c>
      <c r="F2532" s="6" t="str">
        <f t="shared" si="78"/>
        <v>November</v>
      </c>
      <c r="G2532" s="6">
        <f t="shared" si="79"/>
        <v>48</v>
      </c>
      <c r="H2532" s="1">
        <f>SUMIF('Retal Tran Line Item'!E:E,A2532,'Retal Tran Line Item'!B:B)</f>
        <v>11</v>
      </c>
    </row>
    <row r="2533" spans="1:8">
      <c r="A2533" s="1">
        <v>102672</v>
      </c>
      <c r="B2533" s="1">
        <v>628132</v>
      </c>
      <c r="C2533" s="2">
        <v>41604</v>
      </c>
      <c r="D2533" s="1" t="s">
        <v>1992</v>
      </c>
      <c r="E2533" s="6">
        <v>1</v>
      </c>
      <c r="F2533" s="6" t="str">
        <f t="shared" si="78"/>
        <v>November</v>
      </c>
      <c r="G2533" s="6">
        <f t="shared" si="79"/>
        <v>48</v>
      </c>
      <c r="H2533" s="1">
        <f>SUMIF('Retal Tran Line Item'!E:E,A2533,'Retal Tran Line Item'!B:B)</f>
        <v>8</v>
      </c>
    </row>
    <row r="2534" spans="1:8">
      <c r="A2534" s="1">
        <v>102674</v>
      </c>
      <c r="B2534" s="1">
        <v>426984</v>
      </c>
      <c r="C2534" s="2">
        <v>41604</v>
      </c>
      <c r="D2534" s="1" t="s">
        <v>1992</v>
      </c>
      <c r="E2534" s="6">
        <v>1</v>
      </c>
      <c r="F2534" s="6" t="str">
        <f t="shared" si="78"/>
        <v>November</v>
      </c>
      <c r="G2534" s="6">
        <f t="shared" si="79"/>
        <v>48</v>
      </c>
      <c r="H2534" s="1">
        <f>SUMIF('Retal Tran Line Item'!E:E,A2534,'Retal Tran Line Item'!B:B)</f>
        <v>2</v>
      </c>
    </row>
    <row r="2535" spans="1:8">
      <c r="A2535" s="1">
        <v>102677</v>
      </c>
      <c r="B2535" s="1">
        <v>464277</v>
      </c>
      <c r="C2535" s="2">
        <v>41605</v>
      </c>
      <c r="D2535" s="1" t="s">
        <v>1992</v>
      </c>
      <c r="E2535" s="6">
        <v>1</v>
      </c>
      <c r="F2535" s="6" t="str">
        <f t="shared" si="78"/>
        <v>November</v>
      </c>
      <c r="G2535" s="6">
        <f t="shared" si="79"/>
        <v>48</v>
      </c>
      <c r="H2535" s="1">
        <f>SUMIF('Retal Tran Line Item'!E:E,A2535,'Retal Tran Line Item'!B:B)</f>
        <v>8</v>
      </c>
    </row>
    <row r="2536" spans="1:8">
      <c r="A2536" s="1">
        <v>102679</v>
      </c>
      <c r="B2536" s="1">
        <v>241144</v>
      </c>
      <c r="C2536" s="2">
        <v>41605</v>
      </c>
      <c r="D2536" s="1" t="s">
        <v>1992</v>
      </c>
      <c r="E2536" s="6">
        <v>2</v>
      </c>
      <c r="F2536" s="6" t="str">
        <f t="shared" si="78"/>
        <v>November</v>
      </c>
      <c r="G2536" s="6">
        <f t="shared" si="79"/>
        <v>48</v>
      </c>
      <c r="H2536" s="1">
        <f>SUMIF('Retal Tran Line Item'!E:E,A2536,'Retal Tran Line Item'!B:B)</f>
        <v>1</v>
      </c>
    </row>
    <row r="2537" spans="1:8">
      <c r="A2537" s="1">
        <v>102680</v>
      </c>
      <c r="B2537" s="1">
        <v>345348</v>
      </c>
      <c r="C2537" s="2">
        <v>41605</v>
      </c>
      <c r="D2537" s="1" t="s">
        <v>1989</v>
      </c>
      <c r="E2537" s="6">
        <v>2</v>
      </c>
      <c r="F2537" s="6" t="str">
        <f t="shared" si="78"/>
        <v>November</v>
      </c>
      <c r="G2537" s="6">
        <f t="shared" si="79"/>
        <v>48</v>
      </c>
      <c r="H2537" s="1">
        <f>SUMIF('Retal Tran Line Item'!E:E,A2537,'Retal Tran Line Item'!B:B)</f>
        <v>5</v>
      </c>
    </row>
    <row r="2538" spans="1:8">
      <c r="A2538" s="1">
        <v>102681</v>
      </c>
      <c r="B2538" s="1">
        <v>693531</v>
      </c>
      <c r="C2538" s="2">
        <v>41605</v>
      </c>
      <c r="D2538" s="1" t="s">
        <v>1989</v>
      </c>
      <c r="E2538" s="6">
        <v>1</v>
      </c>
      <c r="F2538" s="6" t="str">
        <f t="shared" si="78"/>
        <v>November</v>
      </c>
      <c r="G2538" s="6">
        <f t="shared" si="79"/>
        <v>48</v>
      </c>
      <c r="H2538" s="1">
        <f>SUMIF('Retal Tran Line Item'!E:E,A2538,'Retal Tran Line Item'!B:B)</f>
        <v>6</v>
      </c>
    </row>
    <row r="2539" spans="1:8">
      <c r="A2539" s="1">
        <v>102683</v>
      </c>
      <c r="B2539" s="1">
        <v>607810</v>
      </c>
      <c r="C2539" s="2">
        <v>41605</v>
      </c>
      <c r="D2539" s="1" t="s">
        <v>1989</v>
      </c>
      <c r="E2539" s="6">
        <v>2</v>
      </c>
      <c r="F2539" s="6" t="str">
        <f t="shared" si="78"/>
        <v>November</v>
      </c>
      <c r="G2539" s="6">
        <f t="shared" si="79"/>
        <v>48</v>
      </c>
      <c r="H2539" s="1">
        <f>SUMIF('Retal Tran Line Item'!E:E,A2539,'Retal Tran Line Item'!B:B)</f>
        <v>12</v>
      </c>
    </row>
    <row r="2540" spans="1:8">
      <c r="A2540" s="1">
        <v>102684</v>
      </c>
      <c r="B2540" s="1">
        <v>917728</v>
      </c>
      <c r="C2540" s="2">
        <v>41605</v>
      </c>
      <c r="D2540" s="1" t="s">
        <v>1992</v>
      </c>
      <c r="E2540" s="6">
        <v>1</v>
      </c>
      <c r="F2540" s="6" t="str">
        <f t="shared" si="78"/>
        <v>November</v>
      </c>
      <c r="G2540" s="6">
        <f t="shared" si="79"/>
        <v>48</v>
      </c>
      <c r="H2540" s="1">
        <f>SUMIF('Retal Tran Line Item'!E:E,A2540,'Retal Tran Line Item'!B:B)</f>
        <v>15</v>
      </c>
    </row>
    <row r="2541" spans="1:8">
      <c r="A2541" s="1">
        <v>102686</v>
      </c>
      <c r="B2541" s="1">
        <v>850952</v>
      </c>
      <c r="C2541" s="2">
        <v>41606</v>
      </c>
      <c r="D2541" s="1" t="s">
        <v>1993</v>
      </c>
      <c r="E2541" s="6">
        <v>1</v>
      </c>
      <c r="F2541" s="6" t="str">
        <f t="shared" si="78"/>
        <v>November</v>
      </c>
      <c r="G2541" s="6">
        <f t="shared" si="79"/>
        <v>48</v>
      </c>
      <c r="H2541" s="1">
        <f>SUMIF('Retal Tran Line Item'!E:E,A2541,'Retal Tran Line Item'!B:B)</f>
        <v>5</v>
      </c>
    </row>
    <row r="2542" spans="1:8">
      <c r="A2542" s="1">
        <v>102688</v>
      </c>
      <c r="B2542" s="1">
        <v>515790</v>
      </c>
      <c r="C2542" s="2">
        <v>41606</v>
      </c>
      <c r="D2542" s="1" t="s">
        <v>1993</v>
      </c>
      <c r="E2542" s="6">
        <v>1</v>
      </c>
      <c r="F2542" s="6" t="str">
        <f t="shared" si="78"/>
        <v>November</v>
      </c>
      <c r="G2542" s="6">
        <f t="shared" si="79"/>
        <v>48</v>
      </c>
      <c r="H2542" s="1">
        <f>SUMIF('Retal Tran Line Item'!E:E,A2542,'Retal Tran Line Item'!B:B)</f>
        <v>6</v>
      </c>
    </row>
    <row r="2543" spans="1:8">
      <c r="A2543" s="1">
        <v>102689</v>
      </c>
      <c r="B2543" s="1">
        <v>415869</v>
      </c>
      <c r="C2543" s="2">
        <v>41606</v>
      </c>
      <c r="D2543" s="1" t="s">
        <v>1993</v>
      </c>
      <c r="E2543" s="6">
        <v>1</v>
      </c>
      <c r="F2543" s="6" t="str">
        <f t="shared" si="78"/>
        <v>November</v>
      </c>
      <c r="G2543" s="6">
        <f t="shared" si="79"/>
        <v>48</v>
      </c>
      <c r="H2543" s="1">
        <f>SUMIF('Retal Tran Line Item'!E:E,A2543,'Retal Tran Line Item'!B:B)</f>
        <v>11</v>
      </c>
    </row>
    <row r="2544" spans="1:8">
      <c r="A2544" s="1">
        <v>102691</v>
      </c>
      <c r="B2544" s="1">
        <v>147218</v>
      </c>
      <c r="C2544" s="2">
        <v>41606</v>
      </c>
      <c r="D2544" s="1" t="s">
        <v>1989</v>
      </c>
      <c r="E2544" s="6">
        <v>2</v>
      </c>
      <c r="F2544" s="6" t="str">
        <f t="shared" si="78"/>
        <v>November</v>
      </c>
      <c r="G2544" s="6">
        <f t="shared" si="79"/>
        <v>48</v>
      </c>
      <c r="H2544" s="1">
        <f>SUMIF('Retal Tran Line Item'!E:E,A2544,'Retal Tran Line Item'!B:B)</f>
        <v>5</v>
      </c>
    </row>
    <row r="2545" spans="1:8">
      <c r="A2545" s="1">
        <v>102692</v>
      </c>
      <c r="B2545" s="1">
        <v>468100</v>
      </c>
      <c r="C2545" s="2">
        <v>41606</v>
      </c>
      <c r="D2545" s="1" t="s">
        <v>1992</v>
      </c>
      <c r="E2545" s="6">
        <v>1</v>
      </c>
      <c r="F2545" s="6" t="str">
        <f t="shared" si="78"/>
        <v>November</v>
      </c>
      <c r="G2545" s="6">
        <f t="shared" si="79"/>
        <v>48</v>
      </c>
      <c r="H2545" s="1">
        <f>SUMIF('Retal Tran Line Item'!E:E,A2545,'Retal Tran Line Item'!B:B)</f>
        <v>8</v>
      </c>
    </row>
    <row r="2546" spans="1:8">
      <c r="A2546" s="1">
        <v>102693</v>
      </c>
      <c r="B2546" s="1">
        <v>558749</v>
      </c>
      <c r="C2546" s="2">
        <v>41607</v>
      </c>
      <c r="D2546" s="1" t="s">
        <v>1992</v>
      </c>
      <c r="E2546" s="6">
        <v>1</v>
      </c>
      <c r="F2546" s="6" t="str">
        <f t="shared" si="78"/>
        <v>November</v>
      </c>
      <c r="G2546" s="6">
        <f t="shared" si="79"/>
        <v>48</v>
      </c>
      <c r="H2546" s="1">
        <f>SUMIF('Retal Tran Line Item'!E:E,A2546,'Retal Tran Line Item'!B:B)</f>
        <v>6</v>
      </c>
    </row>
    <row r="2547" spans="1:8">
      <c r="A2547" s="1">
        <v>102694</v>
      </c>
      <c r="B2547" s="1">
        <v>415869</v>
      </c>
      <c r="C2547" s="2">
        <v>41607</v>
      </c>
      <c r="D2547" s="1" t="s">
        <v>1993</v>
      </c>
      <c r="E2547" s="6">
        <v>1</v>
      </c>
      <c r="F2547" s="6" t="str">
        <f t="shared" si="78"/>
        <v>November</v>
      </c>
      <c r="G2547" s="6">
        <f t="shared" si="79"/>
        <v>48</v>
      </c>
      <c r="H2547" s="1">
        <f>SUMIF('Retal Tran Line Item'!E:E,A2547,'Retal Tran Line Item'!B:B)</f>
        <v>14</v>
      </c>
    </row>
    <row r="2548" spans="1:8">
      <c r="A2548" s="1">
        <v>102697</v>
      </c>
      <c r="B2548" s="1">
        <v>192738</v>
      </c>
      <c r="C2548" s="2">
        <v>41607</v>
      </c>
      <c r="D2548" s="1" t="s">
        <v>1994</v>
      </c>
      <c r="E2548" s="6">
        <v>1</v>
      </c>
      <c r="F2548" s="6" t="str">
        <f t="shared" si="78"/>
        <v>November</v>
      </c>
      <c r="G2548" s="6">
        <f t="shared" si="79"/>
        <v>48</v>
      </c>
      <c r="H2548" s="1">
        <f>SUMIF('Retal Tran Line Item'!E:E,A2548,'Retal Tran Line Item'!B:B)</f>
        <v>15</v>
      </c>
    </row>
    <row r="2549" spans="1:8">
      <c r="A2549" s="1">
        <v>102698</v>
      </c>
      <c r="B2549" s="1">
        <v>888952</v>
      </c>
      <c r="C2549" s="2">
        <v>41607</v>
      </c>
      <c r="D2549" s="1" t="s">
        <v>1993</v>
      </c>
      <c r="E2549" s="6">
        <v>2</v>
      </c>
      <c r="F2549" s="6" t="str">
        <f t="shared" si="78"/>
        <v>November</v>
      </c>
      <c r="G2549" s="6">
        <f t="shared" si="79"/>
        <v>48</v>
      </c>
      <c r="H2549" s="1">
        <f>SUMIF('Retal Tran Line Item'!E:E,A2549,'Retal Tran Line Item'!B:B)</f>
        <v>4</v>
      </c>
    </row>
    <row r="2550" spans="1:8">
      <c r="A2550" s="1">
        <v>102699</v>
      </c>
      <c r="B2550" s="1">
        <v>371731</v>
      </c>
      <c r="C2550" s="2">
        <v>41608</v>
      </c>
      <c r="D2550" s="1" t="s">
        <v>1993</v>
      </c>
      <c r="E2550" s="6">
        <v>2</v>
      </c>
      <c r="F2550" s="6" t="str">
        <f t="shared" si="78"/>
        <v>November</v>
      </c>
      <c r="G2550" s="6">
        <f t="shared" si="79"/>
        <v>48</v>
      </c>
      <c r="H2550" s="1">
        <f>SUMIF('Retal Tran Line Item'!E:E,A2550,'Retal Tran Line Item'!B:B)</f>
        <v>12</v>
      </c>
    </row>
    <row r="2551" spans="1:8">
      <c r="A2551" s="1">
        <v>102700</v>
      </c>
      <c r="B2551" s="1">
        <v>701816</v>
      </c>
      <c r="C2551" s="2">
        <v>41608</v>
      </c>
      <c r="D2551" s="1" t="s">
        <v>1993</v>
      </c>
      <c r="E2551" s="6">
        <v>2</v>
      </c>
      <c r="F2551" s="6" t="str">
        <f t="shared" si="78"/>
        <v>November</v>
      </c>
      <c r="G2551" s="6">
        <f t="shared" si="79"/>
        <v>48</v>
      </c>
      <c r="H2551" s="1">
        <f>SUMIF('Retal Tran Line Item'!E:E,A2551,'Retal Tran Line Item'!B:B)</f>
        <v>10</v>
      </c>
    </row>
    <row r="2552" spans="1:8">
      <c r="A2552" s="1">
        <v>102701</v>
      </c>
      <c r="B2552" s="1">
        <v>996970</v>
      </c>
      <c r="C2552" s="2">
        <v>41608</v>
      </c>
      <c r="D2552" s="1" t="s">
        <v>1993</v>
      </c>
      <c r="E2552" s="6">
        <v>2</v>
      </c>
      <c r="F2552" s="6" t="str">
        <f t="shared" si="78"/>
        <v>November</v>
      </c>
      <c r="G2552" s="6">
        <f t="shared" si="79"/>
        <v>48</v>
      </c>
      <c r="H2552" s="1">
        <f>SUMIF('Retal Tran Line Item'!E:E,A2552,'Retal Tran Line Item'!B:B)</f>
        <v>16</v>
      </c>
    </row>
    <row r="2553" spans="1:8">
      <c r="A2553" s="1">
        <v>102703</v>
      </c>
      <c r="B2553" s="1">
        <v>128131</v>
      </c>
      <c r="C2553" s="2">
        <v>41608</v>
      </c>
      <c r="D2553" s="1" t="s">
        <v>1992</v>
      </c>
      <c r="E2553" s="6">
        <v>2</v>
      </c>
      <c r="F2553" s="6" t="str">
        <f t="shared" si="78"/>
        <v>November</v>
      </c>
      <c r="G2553" s="6">
        <f t="shared" si="79"/>
        <v>48</v>
      </c>
      <c r="H2553" s="1">
        <f>SUMIF('Retal Tran Line Item'!E:E,A2553,'Retal Tran Line Item'!B:B)</f>
        <v>4</v>
      </c>
    </row>
    <row r="2554" spans="1:8">
      <c r="A2554" s="1">
        <v>102706</v>
      </c>
      <c r="B2554" s="1">
        <v>245577</v>
      </c>
      <c r="C2554" s="2">
        <v>41608</v>
      </c>
      <c r="D2554" s="1" t="s">
        <v>1989</v>
      </c>
      <c r="E2554" s="6">
        <v>1</v>
      </c>
      <c r="F2554" s="6" t="str">
        <f t="shared" si="78"/>
        <v>November</v>
      </c>
      <c r="G2554" s="6">
        <f t="shared" si="79"/>
        <v>48</v>
      </c>
      <c r="H2554" s="1">
        <f>SUMIF('Retal Tran Line Item'!E:E,A2554,'Retal Tran Line Item'!B:B)</f>
        <v>7</v>
      </c>
    </row>
    <row r="2555" spans="1:8">
      <c r="A2555" s="1">
        <v>102709</v>
      </c>
      <c r="B2555" s="1">
        <v>175940</v>
      </c>
      <c r="C2555" s="2">
        <v>41609</v>
      </c>
      <c r="D2555" s="1" t="s">
        <v>1993</v>
      </c>
      <c r="E2555" s="6">
        <v>1</v>
      </c>
      <c r="F2555" s="6" t="str">
        <f t="shared" si="78"/>
        <v>December</v>
      </c>
      <c r="G2555" s="6">
        <f t="shared" si="79"/>
        <v>49</v>
      </c>
      <c r="H2555" s="1">
        <f>SUMIF('Retal Tran Line Item'!E:E,A2555,'Retal Tran Line Item'!B:B)</f>
        <v>16</v>
      </c>
    </row>
    <row r="2556" spans="1:8">
      <c r="A2556" s="1">
        <v>102710</v>
      </c>
      <c r="B2556" s="1">
        <v>238347</v>
      </c>
      <c r="C2556" s="2">
        <v>41609</v>
      </c>
      <c r="D2556" s="1" t="s">
        <v>1989</v>
      </c>
      <c r="E2556" s="6">
        <v>1</v>
      </c>
      <c r="F2556" s="6" t="str">
        <f t="shared" si="78"/>
        <v>December</v>
      </c>
      <c r="G2556" s="6">
        <f t="shared" si="79"/>
        <v>49</v>
      </c>
      <c r="H2556" s="1">
        <f>SUMIF('Retal Tran Line Item'!E:E,A2556,'Retal Tran Line Item'!B:B)</f>
        <v>10</v>
      </c>
    </row>
    <row r="2557" spans="1:8">
      <c r="A2557" s="1">
        <v>102712</v>
      </c>
      <c r="B2557" s="1">
        <v>475216</v>
      </c>
      <c r="C2557" s="2">
        <v>41609</v>
      </c>
      <c r="D2557" s="1" t="s">
        <v>1994</v>
      </c>
      <c r="E2557" s="6">
        <v>1</v>
      </c>
      <c r="F2557" s="6" t="str">
        <f t="shared" si="78"/>
        <v>December</v>
      </c>
      <c r="G2557" s="6">
        <f t="shared" si="79"/>
        <v>49</v>
      </c>
      <c r="H2557" s="1">
        <f>SUMIF('Retal Tran Line Item'!E:E,A2557,'Retal Tran Line Item'!B:B)</f>
        <v>11</v>
      </c>
    </row>
    <row r="2558" spans="1:8">
      <c r="A2558" s="1">
        <v>102716</v>
      </c>
      <c r="B2558" s="1">
        <v>717234</v>
      </c>
      <c r="C2558" s="2">
        <v>41610</v>
      </c>
      <c r="D2558" s="1" t="s">
        <v>1994</v>
      </c>
      <c r="E2558" s="6">
        <v>2</v>
      </c>
      <c r="F2558" s="6" t="str">
        <f t="shared" si="78"/>
        <v>December</v>
      </c>
      <c r="G2558" s="6">
        <f t="shared" si="79"/>
        <v>49</v>
      </c>
      <c r="H2558" s="1">
        <f>SUMIF('Retal Tran Line Item'!E:E,A2558,'Retal Tran Line Item'!B:B)</f>
        <v>6</v>
      </c>
    </row>
    <row r="2559" spans="1:8">
      <c r="A2559" s="1">
        <v>102717</v>
      </c>
      <c r="B2559" s="1">
        <v>784218</v>
      </c>
      <c r="C2559" s="2">
        <v>41610</v>
      </c>
      <c r="D2559" s="1" t="s">
        <v>1992</v>
      </c>
      <c r="E2559" s="6">
        <v>1</v>
      </c>
      <c r="F2559" s="6" t="str">
        <f t="shared" si="78"/>
        <v>December</v>
      </c>
      <c r="G2559" s="6">
        <f t="shared" si="79"/>
        <v>49</v>
      </c>
      <c r="H2559" s="1">
        <f>SUMIF('Retal Tran Line Item'!E:E,A2559,'Retal Tran Line Item'!B:B)</f>
        <v>6</v>
      </c>
    </row>
    <row r="2560" spans="1:8">
      <c r="A2560" s="1">
        <v>102718</v>
      </c>
      <c r="B2560" s="1">
        <v>417823</v>
      </c>
      <c r="C2560" s="2">
        <v>41610</v>
      </c>
      <c r="D2560" s="1" t="s">
        <v>1993</v>
      </c>
      <c r="E2560" s="6">
        <v>2</v>
      </c>
      <c r="F2560" s="6" t="str">
        <f t="shared" si="78"/>
        <v>December</v>
      </c>
      <c r="G2560" s="6">
        <f t="shared" si="79"/>
        <v>49</v>
      </c>
      <c r="H2560" s="1">
        <f>SUMIF('Retal Tran Line Item'!E:E,A2560,'Retal Tran Line Item'!B:B)</f>
        <v>1</v>
      </c>
    </row>
    <row r="2561" spans="1:8">
      <c r="A2561" s="1">
        <v>102719</v>
      </c>
      <c r="B2561" s="1">
        <v>157388</v>
      </c>
      <c r="C2561" s="2">
        <v>41610</v>
      </c>
      <c r="D2561" s="1" t="s">
        <v>1989</v>
      </c>
      <c r="E2561" s="6">
        <v>1</v>
      </c>
      <c r="F2561" s="6" t="str">
        <f t="shared" si="78"/>
        <v>December</v>
      </c>
      <c r="G2561" s="6">
        <f t="shared" si="79"/>
        <v>49</v>
      </c>
      <c r="H2561" s="1">
        <f>SUMIF('Retal Tran Line Item'!E:E,A2561,'Retal Tran Line Item'!B:B)</f>
        <v>4</v>
      </c>
    </row>
    <row r="2562" spans="1:8">
      <c r="A2562" s="1">
        <v>102721</v>
      </c>
      <c r="B2562" s="1">
        <v>672834</v>
      </c>
      <c r="C2562" s="2">
        <v>41610</v>
      </c>
      <c r="D2562" s="1" t="s">
        <v>1993</v>
      </c>
      <c r="E2562" s="6">
        <v>2</v>
      </c>
      <c r="F2562" s="6" t="str">
        <f t="shared" si="78"/>
        <v>December</v>
      </c>
      <c r="G2562" s="6">
        <f t="shared" si="79"/>
        <v>49</v>
      </c>
      <c r="H2562" s="1">
        <f>SUMIF('Retal Tran Line Item'!E:E,A2562,'Retal Tran Line Item'!B:B)</f>
        <v>11</v>
      </c>
    </row>
    <row r="2563" spans="1:8">
      <c r="A2563" s="1">
        <v>102725</v>
      </c>
      <c r="B2563" s="1">
        <v>889686</v>
      </c>
      <c r="C2563" s="2">
        <v>41611</v>
      </c>
      <c r="D2563" s="1" t="s">
        <v>1989</v>
      </c>
      <c r="E2563" s="6">
        <v>2</v>
      </c>
      <c r="F2563" s="6" t="str">
        <f t="shared" ref="F2563:F2626" si="80">TEXT(C2563,"MMMM")</f>
        <v>December</v>
      </c>
      <c r="G2563" s="6">
        <f t="shared" ref="G2563:G2626" si="81">WEEKNUM(C2563)</f>
        <v>49</v>
      </c>
      <c r="H2563" s="1">
        <f>SUMIF('Retal Tran Line Item'!E:E,A2563,'Retal Tran Line Item'!B:B)</f>
        <v>10</v>
      </c>
    </row>
    <row r="2564" spans="1:8">
      <c r="A2564" s="1">
        <v>102726</v>
      </c>
      <c r="B2564" s="1">
        <v>994056</v>
      </c>
      <c r="C2564" s="2">
        <v>41611</v>
      </c>
      <c r="D2564" s="1" t="s">
        <v>1989</v>
      </c>
      <c r="E2564" s="6">
        <v>1</v>
      </c>
      <c r="F2564" s="6" t="str">
        <f t="shared" si="80"/>
        <v>December</v>
      </c>
      <c r="G2564" s="6">
        <f t="shared" si="81"/>
        <v>49</v>
      </c>
      <c r="H2564" s="1">
        <f>SUMIF('Retal Tran Line Item'!E:E,A2564,'Retal Tran Line Item'!B:B)</f>
        <v>4</v>
      </c>
    </row>
    <row r="2565" spans="1:8">
      <c r="A2565" s="1">
        <v>102729</v>
      </c>
      <c r="B2565" s="1">
        <v>665282</v>
      </c>
      <c r="C2565" s="2">
        <v>41611</v>
      </c>
      <c r="D2565" s="1" t="s">
        <v>1993</v>
      </c>
      <c r="E2565" s="6">
        <v>1</v>
      </c>
      <c r="F2565" s="6" t="str">
        <f t="shared" si="80"/>
        <v>December</v>
      </c>
      <c r="G2565" s="6">
        <f t="shared" si="81"/>
        <v>49</v>
      </c>
      <c r="H2565" s="1">
        <f>SUMIF('Retal Tran Line Item'!E:E,A2565,'Retal Tran Line Item'!B:B)</f>
        <v>9</v>
      </c>
    </row>
    <row r="2566" spans="1:8">
      <c r="A2566" s="1">
        <v>102731</v>
      </c>
      <c r="B2566" s="1">
        <v>850933</v>
      </c>
      <c r="C2566" s="2">
        <v>41612</v>
      </c>
      <c r="D2566" s="1" t="s">
        <v>1989</v>
      </c>
      <c r="E2566" s="6">
        <v>2</v>
      </c>
      <c r="F2566" s="6" t="str">
        <f t="shared" si="80"/>
        <v>December</v>
      </c>
      <c r="G2566" s="6">
        <f t="shared" si="81"/>
        <v>49</v>
      </c>
      <c r="H2566" s="1">
        <f>SUMIF('Retal Tran Line Item'!E:E,A2566,'Retal Tran Line Item'!B:B)</f>
        <v>6</v>
      </c>
    </row>
    <row r="2567" spans="1:8">
      <c r="A2567" s="1">
        <v>102732</v>
      </c>
      <c r="B2567" s="1">
        <v>730305</v>
      </c>
      <c r="C2567" s="2">
        <v>41612</v>
      </c>
      <c r="D2567" s="1" t="s">
        <v>1992</v>
      </c>
      <c r="E2567" s="6">
        <v>2</v>
      </c>
      <c r="F2567" s="6" t="str">
        <f t="shared" si="80"/>
        <v>December</v>
      </c>
      <c r="G2567" s="6">
        <f t="shared" si="81"/>
        <v>49</v>
      </c>
      <c r="H2567" s="1">
        <f>SUMIF('Retal Tran Line Item'!E:E,A2567,'Retal Tran Line Item'!B:B)</f>
        <v>12</v>
      </c>
    </row>
    <row r="2568" spans="1:8">
      <c r="A2568" s="1">
        <v>102733</v>
      </c>
      <c r="B2568" s="1">
        <v>860057</v>
      </c>
      <c r="C2568" s="2">
        <v>41612</v>
      </c>
      <c r="D2568" s="1" t="s">
        <v>1989</v>
      </c>
      <c r="E2568" s="6">
        <v>2</v>
      </c>
      <c r="F2568" s="6" t="str">
        <f t="shared" si="80"/>
        <v>December</v>
      </c>
      <c r="G2568" s="6">
        <f t="shared" si="81"/>
        <v>49</v>
      </c>
      <c r="H2568" s="1">
        <f>SUMIF('Retal Tran Line Item'!E:E,A2568,'Retal Tran Line Item'!B:B)</f>
        <v>4</v>
      </c>
    </row>
    <row r="2569" spans="1:8">
      <c r="A2569" s="1">
        <v>102734</v>
      </c>
      <c r="B2569" s="1">
        <v>744780</v>
      </c>
      <c r="C2569" s="2">
        <v>41612</v>
      </c>
      <c r="D2569" s="1" t="s">
        <v>1994</v>
      </c>
      <c r="E2569" s="6">
        <v>1</v>
      </c>
      <c r="F2569" s="6" t="str">
        <f t="shared" si="80"/>
        <v>December</v>
      </c>
      <c r="G2569" s="6">
        <f t="shared" si="81"/>
        <v>49</v>
      </c>
      <c r="H2569" s="1">
        <f>SUMIF('Retal Tran Line Item'!E:E,A2569,'Retal Tran Line Item'!B:B)</f>
        <v>2</v>
      </c>
    </row>
    <row r="2570" spans="1:8">
      <c r="A2570" s="1">
        <v>102737</v>
      </c>
      <c r="B2570" s="1">
        <v>305005</v>
      </c>
      <c r="C2570" s="2">
        <v>41612</v>
      </c>
      <c r="D2570" s="1" t="s">
        <v>1993</v>
      </c>
      <c r="E2570" s="6">
        <v>2</v>
      </c>
      <c r="F2570" s="6" t="str">
        <f t="shared" si="80"/>
        <v>December</v>
      </c>
      <c r="G2570" s="6">
        <f t="shared" si="81"/>
        <v>49</v>
      </c>
      <c r="H2570" s="1">
        <f>SUMIF('Retal Tran Line Item'!E:E,A2570,'Retal Tran Line Item'!B:B)</f>
        <v>9</v>
      </c>
    </row>
    <row r="2571" spans="1:8">
      <c r="A2571" s="1">
        <v>102738</v>
      </c>
      <c r="B2571" s="1">
        <v>412544</v>
      </c>
      <c r="C2571" s="2">
        <v>41613</v>
      </c>
      <c r="D2571" s="1" t="s">
        <v>1993</v>
      </c>
      <c r="E2571" s="6">
        <v>2</v>
      </c>
      <c r="F2571" s="6" t="str">
        <f t="shared" si="80"/>
        <v>December</v>
      </c>
      <c r="G2571" s="6">
        <f t="shared" si="81"/>
        <v>49</v>
      </c>
      <c r="H2571" s="1">
        <f>SUMIF('Retal Tran Line Item'!E:E,A2571,'Retal Tran Line Item'!B:B)</f>
        <v>11</v>
      </c>
    </row>
    <row r="2572" spans="1:8">
      <c r="A2572" s="1">
        <v>102739</v>
      </c>
      <c r="B2572" s="1">
        <v>236554</v>
      </c>
      <c r="C2572" s="2">
        <v>41613</v>
      </c>
      <c r="D2572" s="1" t="s">
        <v>1993</v>
      </c>
      <c r="E2572" s="6">
        <v>2</v>
      </c>
      <c r="F2572" s="6" t="str">
        <f t="shared" si="80"/>
        <v>December</v>
      </c>
      <c r="G2572" s="6">
        <f t="shared" si="81"/>
        <v>49</v>
      </c>
      <c r="H2572" s="1">
        <f>SUMIF('Retal Tran Line Item'!E:E,A2572,'Retal Tran Line Item'!B:B)</f>
        <v>6</v>
      </c>
    </row>
    <row r="2573" spans="1:8">
      <c r="A2573" s="1">
        <v>102740</v>
      </c>
      <c r="B2573" s="1">
        <v>717234</v>
      </c>
      <c r="C2573" s="2">
        <v>41613</v>
      </c>
      <c r="D2573" s="1" t="s">
        <v>1994</v>
      </c>
      <c r="E2573" s="6">
        <v>1</v>
      </c>
      <c r="F2573" s="6" t="str">
        <f t="shared" si="80"/>
        <v>December</v>
      </c>
      <c r="G2573" s="6">
        <f t="shared" si="81"/>
        <v>49</v>
      </c>
      <c r="H2573" s="1">
        <f>SUMIF('Retal Tran Line Item'!E:E,A2573,'Retal Tran Line Item'!B:B)</f>
        <v>2</v>
      </c>
    </row>
    <row r="2574" spans="1:8">
      <c r="A2574" s="1">
        <v>102741</v>
      </c>
      <c r="B2574" s="1">
        <v>317461</v>
      </c>
      <c r="C2574" s="2">
        <v>41613</v>
      </c>
      <c r="D2574" s="1" t="s">
        <v>1992</v>
      </c>
      <c r="E2574" s="6">
        <v>1</v>
      </c>
      <c r="F2574" s="6" t="str">
        <f t="shared" si="80"/>
        <v>December</v>
      </c>
      <c r="G2574" s="6">
        <f t="shared" si="81"/>
        <v>49</v>
      </c>
      <c r="H2574" s="1">
        <f>SUMIF('Retal Tran Line Item'!E:E,A2574,'Retal Tran Line Item'!B:B)</f>
        <v>3</v>
      </c>
    </row>
    <row r="2575" spans="1:8">
      <c r="A2575" s="1">
        <v>102742</v>
      </c>
      <c r="B2575" s="1">
        <v>158528</v>
      </c>
      <c r="C2575" s="2">
        <v>41613</v>
      </c>
      <c r="D2575" s="1" t="s">
        <v>1993</v>
      </c>
      <c r="E2575" s="6">
        <v>2</v>
      </c>
      <c r="F2575" s="6" t="str">
        <f t="shared" si="80"/>
        <v>December</v>
      </c>
      <c r="G2575" s="6">
        <f t="shared" si="81"/>
        <v>49</v>
      </c>
      <c r="H2575" s="1">
        <f>SUMIF('Retal Tran Line Item'!E:E,A2575,'Retal Tran Line Item'!B:B)</f>
        <v>8</v>
      </c>
    </row>
    <row r="2576" spans="1:8">
      <c r="A2576" s="1">
        <v>102743</v>
      </c>
      <c r="B2576" s="1">
        <v>207846</v>
      </c>
      <c r="C2576" s="2">
        <v>41613</v>
      </c>
      <c r="D2576" s="1" t="s">
        <v>1993</v>
      </c>
      <c r="E2576" s="6">
        <v>2</v>
      </c>
      <c r="F2576" s="6" t="str">
        <f t="shared" si="80"/>
        <v>December</v>
      </c>
      <c r="G2576" s="6">
        <f t="shared" si="81"/>
        <v>49</v>
      </c>
      <c r="H2576" s="1">
        <f>SUMIF('Retal Tran Line Item'!E:E,A2576,'Retal Tran Line Item'!B:B)</f>
        <v>10</v>
      </c>
    </row>
    <row r="2577" spans="1:8">
      <c r="A2577" s="1">
        <v>102744</v>
      </c>
      <c r="B2577" s="1">
        <v>306853</v>
      </c>
      <c r="C2577" s="2">
        <v>41613</v>
      </c>
      <c r="D2577" s="1" t="s">
        <v>1989</v>
      </c>
      <c r="E2577" s="6">
        <v>1</v>
      </c>
      <c r="F2577" s="6" t="str">
        <f t="shared" si="80"/>
        <v>December</v>
      </c>
      <c r="G2577" s="6">
        <f t="shared" si="81"/>
        <v>49</v>
      </c>
      <c r="H2577" s="1">
        <f>SUMIF('Retal Tran Line Item'!E:E,A2577,'Retal Tran Line Item'!B:B)</f>
        <v>1</v>
      </c>
    </row>
    <row r="2578" spans="1:8">
      <c r="A2578" s="1">
        <v>102745</v>
      </c>
      <c r="B2578" s="1">
        <v>149240</v>
      </c>
      <c r="C2578" s="2">
        <v>41613</v>
      </c>
      <c r="D2578" s="1" t="s">
        <v>1992</v>
      </c>
      <c r="E2578" s="6">
        <v>2</v>
      </c>
      <c r="F2578" s="6" t="str">
        <f t="shared" si="80"/>
        <v>December</v>
      </c>
      <c r="G2578" s="6">
        <f t="shared" si="81"/>
        <v>49</v>
      </c>
      <c r="H2578" s="1">
        <f>SUMIF('Retal Tran Line Item'!E:E,A2578,'Retal Tran Line Item'!B:B)</f>
        <v>10</v>
      </c>
    </row>
    <row r="2579" spans="1:8">
      <c r="A2579" s="1">
        <v>102746</v>
      </c>
      <c r="B2579" s="1">
        <v>756928</v>
      </c>
      <c r="C2579" s="2">
        <v>41614</v>
      </c>
      <c r="D2579" s="1" t="s">
        <v>1993</v>
      </c>
      <c r="E2579" s="6">
        <v>2</v>
      </c>
      <c r="F2579" s="6" t="str">
        <f t="shared" si="80"/>
        <v>December</v>
      </c>
      <c r="G2579" s="6">
        <f t="shared" si="81"/>
        <v>49</v>
      </c>
      <c r="H2579" s="1">
        <f>SUMIF('Retal Tran Line Item'!E:E,A2579,'Retal Tran Line Item'!B:B)</f>
        <v>5</v>
      </c>
    </row>
    <row r="2580" spans="1:8">
      <c r="A2580" s="1">
        <v>102748</v>
      </c>
      <c r="B2580" s="1">
        <v>412235</v>
      </c>
      <c r="C2580" s="2">
        <v>41614</v>
      </c>
      <c r="D2580" s="1" t="s">
        <v>1993</v>
      </c>
      <c r="E2580" s="6">
        <v>1</v>
      </c>
      <c r="F2580" s="6" t="str">
        <f t="shared" si="80"/>
        <v>December</v>
      </c>
      <c r="G2580" s="6">
        <f t="shared" si="81"/>
        <v>49</v>
      </c>
      <c r="H2580" s="1">
        <f>SUMIF('Retal Tran Line Item'!E:E,A2580,'Retal Tran Line Item'!B:B)</f>
        <v>4</v>
      </c>
    </row>
    <row r="2581" spans="1:8">
      <c r="A2581" s="1">
        <v>102749</v>
      </c>
      <c r="B2581" s="1">
        <v>193914</v>
      </c>
      <c r="C2581" s="2">
        <v>41614</v>
      </c>
      <c r="D2581" s="1" t="s">
        <v>1992</v>
      </c>
      <c r="E2581" s="6">
        <v>1</v>
      </c>
      <c r="F2581" s="6" t="str">
        <f t="shared" si="80"/>
        <v>December</v>
      </c>
      <c r="G2581" s="6">
        <f t="shared" si="81"/>
        <v>49</v>
      </c>
      <c r="H2581" s="1">
        <f>SUMIF('Retal Tran Line Item'!E:E,A2581,'Retal Tran Line Item'!B:B)</f>
        <v>10</v>
      </c>
    </row>
    <row r="2582" spans="1:8">
      <c r="A2582" s="1">
        <v>102750</v>
      </c>
      <c r="B2582" s="1">
        <v>722547</v>
      </c>
      <c r="C2582" s="2">
        <v>41614</v>
      </c>
      <c r="D2582" s="1" t="s">
        <v>1994</v>
      </c>
      <c r="E2582" s="6">
        <v>1</v>
      </c>
      <c r="F2582" s="6" t="str">
        <f t="shared" si="80"/>
        <v>December</v>
      </c>
      <c r="G2582" s="6">
        <f t="shared" si="81"/>
        <v>49</v>
      </c>
      <c r="H2582" s="1">
        <f>SUMIF('Retal Tran Line Item'!E:E,A2582,'Retal Tran Line Item'!B:B)</f>
        <v>7</v>
      </c>
    </row>
    <row r="2583" spans="1:8">
      <c r="A2583" s="1">
        <v>102752</v>
      </c>
      <c r="B2583" s="1">
        <v>427391</v>
      </c>
      <c r="C2583" s="2">
        <v>41615</v>
      </c>
      <c r="D2583" s="1" t="s">
        <v>1992</v>
      </c>
      <c r="E2583" s="6">
        <v>1</v>
      </c>
      <c r="F2583" s="6" t="str">
        <f t="shared" si="80"/>
        <v>December</v>
      </c>
      <c r="G2583" s="6">
        <f t="shared" si="81"/>
        <v>49</v>
      </c>
      <c r="H2583" s="1">
        <f>SUMIF('Retal Tran Line Item'!E:E,A2583,'Retal Tran Line Item'!B:B)</f>
        <v>5</v>
      </c>
    </row>
    <row r="2584" spans="1:8">
      <c r="A2584" s="1">
        <v>102754</v>
      </c>
      <c r="B2584" s="1">
        <v>877877</v>
      </c>
      <c r="C2584" s="2">
        <v>41615</v>
      </c>
      <c r="D2584" s="1" t="s">
        <v>1992</v>
      </c>
      <c r="E2584" s="6">
        <v>1</v>
      </c>
      <c r="F2584" s="6" t="str">
        <f t="shared" si="80"/>
        <v>December</v>
      </c>
      <c r="G2584" s="6">
        <f t="shared" si="81"/>
        <v>49</v>
      </c>
      <c r="H2584" s="1">
        <f>SUMIF('Retal Tran Line Item'!E:E,A2584,'Retal Tran Line Item'!B:B)</f>
        <v>5</v>
      </c>
    </row>
    <row r="2585" spans="1:8">
      <c r="A2585" s="1">
        <v>102755</v>
      </c>
      <c r="B2585" s="1">
        <v>880238</v>
      </c>
      <c r="C2585" s="2">
        <v>41615</v>
      </c>
      <c r="D2585" s="1" t="s">
        <v>1993</v>
      </c>
      <c r="E2585" s="6">
        <v>2</v>
      </c>
      <c r="F2585" s="6" t="str">
        <f t="shared" si="80"/>
        <v>December</v>
      </c>
      <c r="G2585" s="6">
        <f t="shared" si="81"/>
        <v>49</v>
      </c>
      <c r="H2585" s="1">
        <f>SUMIF('Retal Tran Line Item'!E:E,A2585,'Retal Tran Line Item'!B:B)</f>
        <v>5</v>
      </c>
    </row>
    <row r="2586" spans="1:8">
      <c r="A2586" s="1">
        <v>102757</v>
      </c>
      <c r="B2586" s="1">
        <v>278809</v>
      </c>
      <c r="C2586" s="2">
        <v>41616</v>
      </c>
      <c r="D2586" s="1" t="s">
        <v>1993</v>
      </c>
      <c r="E2586" s="6">
        <v>1</v>
      </c>
      <c r="F2586" s="6" t="str">
        <f t="shared" si="80"/>
        <v>December</v>
      </c>
      <c r="G2586" s="6">
        <f t="shared" si="81"/>
        <v>50</v>
      </c>
      <c r="H2586" s="1">
        <f>SUMIF('Retal Tran Line Item'!E:E,A2586,'Retal Tran Line Item'!B:B)</f>
        <v>1</v>
      </c>
    </row>
    <row r="2587" spans="1:8">
      <c r="A2587" s="1">
        <v>102760</v>
      </c>
      <c r="B2587" s="1">
        <v>556619</v>
      </c>
      <c r="C2587" s="2">
        <v>41616</v>
      </c>
      <c r="D2587" s="1" t="s">
        <v>1992</v>
      </c>
      <c r="E2587" s="6">
        <v>1</v>
      </c>
      <c r="F2587" s="6" t="str">
        <f t="shared" si="80"/>
        <v>December</v>
      </c>
      <c r="G2587" s="6">
        <f t="shared" si="81"/>
        <v>50</v>
      </c>
      <c r="H2587" s="1">
        <f>SUMIF('Retal Tran Line Item'!E:E,A2587,'Retal Tran Line Item'!B:B)</f>
        <v>5</v>
      </c>
    </row>
    <row r="2588" spans="1:8">
      <c r="A2588" s="1">
        <v>102761</v>
      </c>
      <c r="B2588" s="1">
        <v>755271</v>
      </c>
      <c r="C2588" s="2">
        <v>41616</v>
      </c>
      <c r="D2588" s="1" t="s">
        <v>1989</v>
      </c>
      <c r="E2588" s="6">
        <v>1</v>
      </c>
      <c r="F2588" s="6" t="str">
        <f t="shared" si="80"/>
        <v>December</v>
      </c>
      <c r="G2588" s="6">
        <f t="shared" si="81"/>
        <v>50</v>
      </c>
      <c r="H2588" s="1">
        <f>SUMIF('Retal Tran Line Item'!E:E,A2588,'Retal Tran Line Item'!B:B)</f>
        <v>7</v>
      </c>
    </row>
    <row r="2589" spans="1:8">
      <c r="A2589" s="1">
        <v>102762</v>
      </c>
      <c r="B2589" s="1">
        <v>469564</v>
      </c>
      <c r="C2589" s="2">
        <v>41616</v>
      </c>
      <c r="D2589" s="1" t="s">
        <v>1989</v>
      </c>
      <c r="E2589" s="6">
        <v>1</v>
      </c>
      <c r="F2589" s="6" t="str">
        <f t="shared" si="80"/>
        <v>December</v>
      </c>
      <c r="G2589" s="6">
        <f t="shared" si="81"/>
        <v>50</v>
      </c>
      <c r="H2589" s="1">
        <f>SUMIF('Retal Tran Line Item'!E:E,A2589,'Retal Tran Line Item'!B:B)</f>
        <v>5</v>
      </c>
    </row>
    <row r="2590" spans="1:8">
      <c r="A2590" s="1">
        <v>102763</v>
      </c>
      <c r="B2590" s="1">
        <v>679354</v>
      </c>
      <c r="C2590" s="2">
        <v>41617</v>
      </c>
      <c r="D2590" s="1" t="s">
        <v>1992</v>
      </c>
      <c r="E2590" s="6">
        <v>2</v>
      </c>
      <c r="F2590" s="6" t="str">
        <f t="shared" si="80"/>
        <v>December</v>
      </c>
      <c r="G2590" s="6">
        <f t="shared" si="81"/>
        <v>50</v>
      </c>
      <c r="H2590" s="1">
        <f>SUMIF('Retal Tran Line Item'!E:E,A2590,'Retal Tran Line Item'!B:B)</f>
        <v>10</v>
      </c>
    </row>
    <row r="2591" spans="1:8">
      <c r="A2591" s="1">
        <v>102764</v>
      </c>
      <c r="B2591" s="1">
        <v>746134</v>
      </c>
      <c r="C2591" s="2">
        <v>41617</v>
      </c>
      <c r="D2591" s="1" t="s">
        <v>1994</v>
      </c>
      <c r="E2591" s="6">
        <v>1</v>
      </c>
      <c r="F2591" s="6" t="str">
        <f t="shared" si="80"/>
        <v>December</v>
      </c>
      <c r="G2591" s="6">
        <f t="shared" si="81"/>
        <v>50</v>
      </c>
      <c r="H2591" s="1">
        <f>SUMIF('Retal Tran Line Item'!E:E,A2591,'Retal Tran Line Item'!B:B)</f>
        <v>9</v>
      </c>
    </row>
    <row r="2592" spans="1:8">
      <c r="A2592" s="1">
        <v>102765</v>
      </c>
      <c r="B2592" s="1">
        <v>220206</v>
      </c>
      <c r="C2592" s="2">
        <v>41617</v>
      </c>
      <c r="D2592" s="1" t="s">
        <v>1992</v>
      </c>
      <c r="E2592" s="6">
        <v>1</v>
      </c>
      <c r="F2592" s="6" t="str">
        <f t="shared" si="80"/>
        <v>December</v>
      </c>
      <c r="G2592" s="6">
        <f t="shared" si="81"/>
        <v>50</v>
      </c>
      <c r="H2592" s="1">
        <f>SUMIF('Retal Tran Line Item'!E:E,A2592,'Retal Tran Line Item'!B:B)</f>
        <v>32</v>
      </c>
    </row>
    <row r="2593" spans="1:8">
      <c r="A2593" s="1">
        <v>102766</v>
      </c>
      <c r="B2593" s="1">
        <v>731346</v>
      </c>
      <c r="C2593" s="2">
        <v>41617</v>
      </c>
      <c r="D2593" s="1" t="s">
        <v>1992</v>
      </c>
      <c r="E2593" s="6">
        <v>1</v>
      </c>
      <c r="F2593" s="6" t="str">
        <f t="shared" si="80"/>
        <v>December</v>
      </c>
      <c r="G2593" s="6">
        <f t="shared" si="81"/>
        <v>50</v>
      </c>
      <c r="H2593" s="1">
        <f>SUMIF('Retal Tran Line Item'!E:E,A2593,'Retal Tran Line Item'!B:B)</f>
        <v>9</v>
      </c>
    </row>
    <row r="2594" spans="1:8">
      <c r="A2594" s="1">
        <v>102767</v>
      </c>
      <c r="B2594" s="1">
        <v>378374</v>
      </c>
      <c r="C2594" s="2">
        <v>41617</v>
      </c>
      <c r="D2594" s="1" t="s">
        <v>1994</v>
      </c>
      <c r="E2594" s="6">
        <v>1</v>
      </c>
      <c r="F2594" s="6" t="str">
        <f t="shared" si="80"/>
        <v>December</v>
      </c>
      <c r="G2594" s="6">
        <f t="shared" si="81"/>
        <v>50</v>
      </c>
      <c r="H2594" s="1">
        <f>SUMIF('Retal Tran Line Item'!E:E,A2594,'Retal Tran Line Item'!B:B)</f>
        <v>5</v>
      </c>
    </row>
    <row r="2595" spans="1:8">
      <c r="A2595" s="1">
        <v>102768</v>
      </c>
      <c r="B2595" s="1">
        <v>226209</v>
      </c>
      <c r="C2595" s="2">
        <v>41617</v>
      </c>
      <c r="D2595" s="1" t="s">
        <v>1994</v>
      </c>
      <c r="E2595" s="6">
        <v>2</v>
      </c>
      <c r="F2595" s="6" t="str">
        <f t="shared" si="80"/>
        <v>December</v>
      </c>
      <c r="G2595" s="6">
        <f t="shared" si="81"/>
        <v>50</v>
      </c>
      <c r="H2595" s="1">
        <f>SUMIF('Retal Tran Line Item'!E:E,A2595,'Retal Tran Line Item'!B:B)</f>
        <v>10</v>
      </c>
    </row>
    <row r="2596" spans="1:8">
      <c r="A2596" s="1">
        <v>102771</v>
      </c>
      <c r="B2596" s="1">
        <v>412235</v>
      </c>
      <c r="C2596" s="2">
        <v>41618</v>
      </c>
      <c r="D2596" s="1" t="s">
        <v>1993</v>
      </c>
      <c r="E2596" s="6">
        <v>2</v>
      </c>
      <c r="F2596" s="6" t="str">
        <f t="shared" si="80"/>
        <v>December</v>
      </c>
      <c r="G2596" s="6">
        <f t="shared" si="81"/>
        <v>50</v>
      </c>
      <c r="H2596" s="1">
        <f>SUMIF('Retal Tran Line Item'!E:E,A2596,'Retal Tran Line Item'!B:B)</f>
        <v>5</v>
      </c>
    </row>
    <row r="2597" spans="1:8">
      <c r="A2597" s="1">
        <v>102772</v>
      </c>
      <c r="B2597" s="1">
        <v>185863</v>
      </c>
      <c r="C2597" s="2">
        <v>41618</v>
      </c>
      <c r="D2597" s="1" t="s">
        <v>1994</v>
      </c>
      <c r="E2597" s="6">
        <v>1</v>
      </c>
      <c r="F2597" s="6" t="str">
        <f t="shared" si="80"/>
        <v>December</v>
      </c>
      <c r="G2597" s="6">
        <f t="shared" si="81"/>
        <v>50</v>
      </c>
      <c r="H2597" s="1">
        <f>SUMIF('Retal Tran Line Item'!E:E,A2597,'Retal Tran Line Item'!B:B)</f>
        <v>4</v>
      </c>
    </row>
    <row r="2598" spans="1:8">
      <c r="A2598" s="1">
        <v>102773</v>
      </c>
      <c r="B2598" s="1">
        <v>101811</v>
      </c>
      <c r="C2598" s="2">
        <v>41618</v>
      </c>
      <c r="D2598" s="1" t="s">
        <v>1993</v>
      </c>
      <c r="E2598" s="6">
        <v>2</v>
      </c>
      <c r="F2598" s="6" t="str">
        <f t="shared" si="80"/>
        <v>December</v>
      </c>
      <c r="G2598" s="6">
        <f t="shared" si="81"/>
        <v>50</v>
      </c>
      <c r="H2598" s="1">
        <f>SUMIF('Retal Tran Line Item'!E:E,A2598,'Retal Tran Line Item'!B:B)</f>
        <v>7</v>
      </c>
    </row>
    <row r="2599" spans="1:8">
      <c r="A2599" s="1">
        <v>102774</v>
      </c>
      <c r="B2599" s="1">
        <v>247216</v>
      </c>
      <c r="C2599" s="2">
        <v>41618</v>
      </c>
      <c r="D2599" s="1" t="s">
        <v>1989</v>
      </c>
      <c r="E2599" s="6">
        <v>1</v>
      </c>
      <c r="F2599" s="6" t="str">
        <f t="shared" si="80"/>
        <v>December</v>
      </c>
      <c r="G2599" s="6">
        <f t="shared" si="81"/>
        <v>50</v>
      </c>
      <c r="H2599" s="1">
        <f>SUMIF('Retal Tran Line Item'!E:E,A2599,'Retal Tran Line Item'!B:B)</f>
        <v>11</v>
      </c>
    </row>
    <row r="2600" spans="1:8">
      <c r="A2600" s="1">
        <v>102775</v>
      </c>
      <c r="B2600" s="1">
        <v>347189</v>
      </c>
      <c r="C2600" s="2">
        <v>41618</v>
      </c>
      <c r="D2600" s="1" t="s">
        <v>1989</v>
      </c>
      <c r="E2600" s="6">
        <v>2</v>
      </c>
      <c r="F2600" s="6" t="str">
        <f t="shared" si="80"/>
        <v>December</v>
      </c>
      <c r="G2600" s="6">
        <f t="shared" si="81"/>
        <v>50</v>
      </c>
      <c r="H2600" s="1">
        <f>SUMIF('Retal Tran Line Item'!E:E,A2600,'Retal Tran Line Item'!B:B)</f>
        <v>9</v>
      </c>
    </row>
    <row r="2601" spans="1:8">
      <c r="A2601" s="1">
        <v>102776</v>
      </c>
      <c r="B2601" s="1">
        <v>601753</v>
      </c>
      <c r="C2601" s="2">
        <v>41618</v>
      </c>
      <c r="D2601" s="1" t="s">
        <v>1992</v>
      </c>
      <c r="E2601" s="6">
        <v>1</v>
      </c>
      <c r="F2601" s="6" t="str">
        <f t="shared" si="80"/>
        <v>December</v>
      </c>
      <c r="G2601" s="6">
        <f t="shared" si="81"/>
        <v>50</v>
      </c>
      <c r="H2601" s="1">
        <f>SUMIF('Retal Tran Line Item'!E:E,A2601,'Retal Tran Line Item'!B:B)</f>
        <v>3</v>
      </c>
    </row>
    <row r="2602" spans="1:8">
      <c r="A2602" s="1">
        <v>102777</v>
      </c>
      <c r="B2602" s="1">
        <v>437454</v>
      </c>
      <c r="C2602" s="2">
        <v>41618</v>
      </c>
      <c r="D2602" s="1" t="s">
        <v>1993</v>
      </c>
      <c r="E2602" s="6">
        <v>1</v>
      </c>
      <c r="F2602" s="6" t="str">
        <f t="shared" si="80"/>
        <v>December</v>
      </c>
      <c r="G2602" s="6">
        <f t="shared" si="81"/>
        <v>50</v>
      </c>
      <c r="H2602" s="1">
        <f>SUMIF('Retal Tran Line Item'!E:E,A2602,'Retal Tran Line Item'!B:B)</f>
        <v>4</v>
      </c>
    </row>
    <row r="2603" spans="1:8">
      <c r="A2603" s="1">
        <v>102778</v>
      </c>
      <c r="B2603" s="1">
        <v>182040</v>
      </c>
      <c r="C2603" s="2">
        <v>41618</v>
      </c>
      <c r="D2603" s="1" t="s">
        <v>1989</v>
      </c>
      <c r="E2603" s="6">
        <v>1</v>
      </c>
      <c r="F2603" s="6" t="str">
        <f t="shared" si="80"/>
        <v>December</v>
      </c>
      <c r="G2603" s="6">
        <f t="shared" si="81"/>
        <v>50</v>
      </c>
      <c r="H2603" s="1">
        <f>SUMIF('Retal Tran Line Item'!E:E,A2603,'Retal Tran Line Item'!B:B)</f>
        <v>15</v>
      </c>
    </row>
    <row r="2604" spans="1:8">
      <c r="A2604" s="1">
        <v>102779</v>
      </c>
      <c r="B2604" s="1">
        <v>884729</v>
      </c>
      <c r="C2604" s="2">
        <v>41619</v>
      </c>
      <c r="D2604" s="1" t="s">
        <v>1993</v>
      </c>
      <c r="E2604" s="6">
        <v>2</v>
      </c>
      <c r="F2604" s="6" t="str">
        <f t="shared" si="80"/>
        <v>December</v>
      </c>
      <c r="G2604" s="6">
        <f t="shared" si="81"/>
        <v>50</v>
      </c>
      <c r="H2604" s="1">
        <f>SUMIF('Retal Tran Line Item'!E:E,A2604,'Retal Tran Line Item'!B:B)</f>
        <v>6</v>
      </c>
    </row>
    <row r="2605" spans="1:8">
      <c r="A2605" s="1">
        <v>102780</v>
      </c>
      <c r="B2605" s="1">
        <v>278204</v>
      </c>
      <c r="C2605" s="2">
        <v>41619</v>
      </c>
      <c r="D2605" s="1" t="s">
        <v>1993</v>
      </c>
      <c r="E2605" s="6">
        <v>1</v>
      </c>
      <c r="F2605" s="6" t="str">
        <f t="shared" si="80"/>
        <v>December</v>
      </c>
      <c r="G2605" s="6">
        <f t="shared" si="81"/>
        <v>50</v>
      </c>
      <c r="H2605" s="1">
        <f>SUMIF('Retal Tran Line Item'!E:E,A2605,'Retal Tran Line Item'!B:B)</f>
        <v>4</v>
      </c>
    </row>
    <row r="2606" spans="1:8">
      <c r="A2606" s="1">
        <v>102781</v>
      </c>
      <c r="B2606" s="1">
        <v>498153</v>
      </c>
      <c r="C2606" s="2">
        <v>41619</v>
      </c>
      <c r="D2606" s="1" t="s">
        <v>1994</v>
      </c>
      <c r="E2606" s="6">
        <v>2</v>
      </c>
      <c r="F2606" s="6" t="str">
        <f t="shared" si="80"/>
        <v>December</v>
      </c>
      <c r="G2606" s="6">
        <f t="shared" si="81"/>
        <v>50</v>
      </c>
      <c r="H2606" s="1">
        <f>SUMIF('Retal Tran Line Item'!E:E,A2606,'Retal Tran Line Item'!B:B)</f>
        <v>13</v>
      </c>
    </row>
    <row r="2607" spans="1:8">
      <c r="A2607" s="1">
        <v>102782</v>
      </c>
      <c r="B2607" s="1">
        <v>247216</v>
      </c>
      <c r="C2607" s="2">
        <v>41619</v>
      </c>
      <c r="D2607" s="1" t="s">
        <v>1989</v>
      </c>
      <c r="E2607" s="6">
        <v>2</v>
      </c>
      <c r="F2607" s="6" t="str">
        <f t="shared" si="80"/>
        <v>December</v>
      </c>
      <c r="G2607" s="6">
        <f t="shared" si="81"/>
        <v>50</v>
      </c>
      <c r="H2607" s="1">
        <f>SUMIF('Retal Tran Line Item'!E:E,A2607,'Retal Tran Line Item'!B:B)</f>
        <v>2</v>
      </c>
    </row>
    <row r="2608" spans="1:8">
      <c r="A2608" s="1">
        <v>102784</v>
      </c>
      <c r="B2608" s="1">
        <v>762509</v>
      </c>
      <c r="C2608" s="2">
        <v>41619</v>
      </c>
      <c r="D2608" s="1" t="s">
        <v>1993</v>
      </c>
      <c r="E2608" s="6">
        <v>2</v>
      </c>
      <c r="F2608" s="6" t="str">
        <f t="shared" si="80"/>
        <v>December</v>
      </c>
      <c r="G2608" s="6">
        <f t="shared" si="81"/>
        <v>50</v>
      </c>
      <c r="H2608" s="1">
        <f>SUMIF('Retal Tran Line Item'!E:E,A2608,'Retal Tran Line Item'!B:B)</f>
        <v>1</v>
      </c>
    </row>
    <row r="2609" spans="1:8">
      <c r="A2609" s="1">
        <v>102786</v>
      </c>
      <c r="B2609" s="1">
        <v>624668</v>
      </c>
      <c r="C2609" s="2">
        <v>41620</v>
      </c>
      <c r="D2609" s="1" t="s">
        <v>1992</v>
      </c>
      <c r="E2609" s="6">
        <v>1</v>
      </c>
      <c r="F2609" s="6" t="str">
        <f t="shared" si="80"/>
        <v>December</v>
      </c>
      <c r="G2609" s="6">
        <f t="shared" si="81"/>
        <v>50</v>
      </c>
      <c r="H2609" s="1">
        <f>SUMIF('Retal Tran Line Item'!E:E,A2609,'Retal Tran Line Item'!B:B)</f>
        <v>7</v>
      </c>
    </row>
    <row r="2610" spans="1:8">
      <c r="A2610" s="1">
        <v>102787</v>
      </c>
      <c r="B2610" s="1">
        <v>154427</v>
      </c>
      <c r="C2610" s="2">
        <v>41620</v>
      </c>
      <c r="D2610" s="1" t="s">
        <v>1993</v>
      </c>
      <c r="E2610" s="6">
        <v>1</v>
      </c>
      <c r="F2610" s="6" t="str">
        <f t="shared" si="80"/>
        <v>December</v>
      </c>
      <c r="G2610" s="6">
        <f t="shared" si="81"/>
        <v>50</v>
      </c>
      <c r="H2610" s="1">
        <f>SUMIF('Retal Tran Line Item'!E:E,A2610,'Retal Tran Line Item'!B:B)</f>
        <v>1</v>
      </c>
    </row>
    <row r="2611" spans="1:8">
      <c r="A2611" s="1">
        <v>102788</v>
      </c>
      <c r="B2611" s="1">
        <v>970794</v>
      </c>
      <c r="C2611" s="2">
        <v>41620</v>
      </c>
      <c r="D2611" s="1" t="s">
        <v>1993</v>
      </c>
      <c r="E2611" s="6">
        <v>1</v>
      </c>
      <c r="F2611" s="6" t="str">
        <f t="shared" si="80"/>
        <v>December</v>
      </c>
      <c r="G2611" s="6">
        <f t="shared" si="81"/>
        <v>50</v>
      </c>
      <c r="H2611" s="1">
        <f>SUMIF('Retal Tran Line Item'!E:E,A2611,'Retal Tran Line Item'!B:B)</f>
        <v>1</v>
      </c>
    </row>
    <row r="2612" spans="1:8">
      <c r="A2612" s="1">
        <v>102789</v>
      </c>
      <c r="B2612" s="1">
        <v>448993</v>
      </c>
      <c r="C2612" s="2">
        <v>41620</v>
      </c>
      <c r="D2612" s="1" t="s">
        <v>1992</v>
      </c>
      <c r="E2612" s="6">
        <v>1</v>
      </c>
      <c r="F2612" s="6" t="str">
        <f t="shared" si="80"/>
        <v>December</v>
      </c>
      <c r="G2612" s="6">
        <f t="shared" si="81"/>
        <v>50</v>
      </c>
      <c r="H2612" s="1">
        <f>SUMIF('Retal Tran Line Item'!E:E,A2612,'Retal Tran Line Item'!B:B)</f>
        <v>4</v>
      </c>
    </row>
    <row r="2613" spans="1:8">
      <c r="A2613" s="1">
        <v>102790</v>
      </c>
      <c r="B2613" s="1">
        <v>173380</v>
      </c>
      <c r="C2613" s="2">
        <v>41620</v>
      </c>
      <c r="D2613" s="1" t="s">
        <v>1993</v>
      </c>
      <c r="E2613" s="6">
        <v>1</v>
      </c>
      <c r="F2613" s="6" t="str">
        <f t="shared" si="80"/>
        <v>December</v>
      </c>
      <c r="G2613" s="6">
        <f t="shared" si="81"/>
        <v>50</v>
      </c>
      <c r="H2613" s="1">
        <f>SUMIF('Retal Tran Line Item'!E:E,A2613,'Retal Tran Line Item'!B:B)</f>
        <v>7</v>
      </c>
    </row>
    <row r="2614" spans="1:8">
      <c r="A2614" s="1">
        <v>102791</v>
      </c>
      <c r="B2614" s="1">
        <v>162236</v>
      </c>
      <c r="C2614" s="2">
        <v>41620</v>
      </c>
      <c r="D2614" s="1" t="s">
        <v>1992</v>
      </c>
      <c r="E2614" s="6">
        <v>2</v>
      </c>
      <c r="F2614" s="6" t="str">
        <f t="shared" si="80"/>
        <v>December</v>
      </c>
      <c r="G2614" s="6">
        <f t="shared" si="81"/>
        <v>50</v>
      </c>
      <c r="H2614" s="1">
        <f>SUMIF('Retal Tran Line Item'!E:E,A2614,'Retal Tran Line Item'!B:B)</f>
        <v>8</v>
      </c>
    </row>
    <row r="2615" spans="1:8">
      <c r="A2615" s="1">
        <v>102793</v>
      </c>
      <c r="B2615" s="1">
        <v>818287</v>
      </c>
      <c r="C2615" s="2">
        <v>41620</v>
      </c>
      <c r="D2615" s="1" t="s">
        <v>1994</v>
      </c>
      <c r="E2615" s="6">
        <v>1</v>
      </c>
      <c r="F2615" s="6" t="str">
        <f t="shared" si="80"/>
        <v>December</v>
      </c>
      <c r="G2615" s="6">
        <f t="shared" si="81"/>
        <v>50</v>
      </c>
      <c r="H2615" s="1">
        <f>SUMIF('Retal Tran Line Item'!E:E,A2615,'Retal Tran Line Item'!B:B)</f>
        <v>3</v>
      </c>
    </row>
    <row r="2616" spans="1:8">
      <c r="A2616" s="1">
        <v>102794</v>
      </c>
      <c r="B2616" s="1">
        <v>238347</v>
      </c>
      <c r="C2616" s="2">
        <v>41621</v>
      </c>
      <c r="D2616" s="1" t="s">
        <v>1989</v>
      </c>
      <c r="E2616" s="6">
        <v>1</v>
      </c>
      <c r="F2616" s="6" t="str">
        <f t="shared" si="80"/>
        <v>December</v>
      </c>
      <c r="G2616" s="6">
        <f t="shared" si="81"/>
        <v>50</v>
      </c>
      <c r="H2616" s="1">
        <f>SUMIF('Retal Tran Line Item'!E:E,A2616,'Retal Tran Line Item'!B:B)</f>
        <v>20</v>
      </c>
    </row>
    <row r="2617" spans="1:8">
      <c r="A2617" s="1">
        <v>102795</v>
      </c>
      <c r="B2617" s="1">
        <v>586201</v>
      </c>
      <c r="C2617" s="2">
        <v>41621</v>
      </c>
      <c r="D2617" s="1" t="s">
        <v>1992</v>
      </c>
      <c r="E2617" s="6">
        <v>2</v>
      </c>
      <c r="F2617" s="6" t="str">
        <f t="shared" si="80"/>
        <v>December</v>
      </c>
      <c r="G2617" s="6">
        <f t="shared" si="81"/>
        <v>50</v>
      </c>
      <c r="H2617" s="1">
        <f>SUMIF('Retal Tran Line Item'!E:E,A2617,'Retal Tran Line Item'!B:B)</f>
        <v>1</v>
      </c>
    </row>
    <row r="2618" spans="1:8">
      <c r="A2618" s="1">
        <v>102797</v>
      </c>
      <c r="B2618" s="1">
        <v>992895</v>
      </c>
      <c r="C2618" s="2">
        <v>41621</v>
      </c>
      <c r="D2618" s="1" t="s">
        <v>1993</v>
      </c>
      <c r="E2618" s="6">
        <v>2</v>
      </c>
      <c r="F2618" s="6" t="str">
        <f t="shared" si="80"/>
        <v>December</v>
      </c>
      <c r="G2618" s="6">
        <f t="shared" si="81"/>
        <v>50</v>
      </c>
      <c r="H2618" s="1">
        <f>SUMIF('Retal Tran Line Item'!E:E,A2618,'Retal Tran Line Item'!B:B)</f>
        <v>1</v>
      </c>
    </row>
    <row r="2619" spans="1:8">
      <c r="A2619" s="1">
        <v>102798</v>
      </c>
      <c r="B2619" s="1">
        <v>994199</v>
      </c>
      <c r="C2619" s="2">
        <v>41621</v>
      </c>
      <c r="D2619" s="1" t="s">
        <v>1992</v>
      </c>
      <c r="E2619" s="6">
        <v>1</v>
      </c>
      <c r="F2619" s="6" t="str">
        <f t="shared" si="80"/>
        <v>December</v>
      </c>
      <c r="G2619" s="6">
        <f t="shared" si="81"/>
        <v>50</v>
      </c>
      <c r="H2619" s="1">
        <f>SUMIF('Retal Tran Line Item'!E:E,A2619,'Retal Tran Line Item'!B:B)</f>
        <v>9</v>
      </c>
    </row>
    <row r="2620" spans="1:8">
      <c r="A2620" s="1">
        <v>102799</v>
      </c>
      <c r="B2620" s="1">
        <v>608290</v>
      </c>
      <c r="C2620" s="2">
        <v>41621</v>
      </c>
      <c r="D2620" s="1" t="s">
        <v>1992</v>
      </c>
      <c r="E2620" s="6">
        <v>2</v>
      </c>
      <c r="F2620" s="6" t="str">
        <f t="shared" si="80"/>
        <v>December</v>
      </c>
      <c r="G2620" s="6">
        <f t="shared" si="81"/>
        <v>50</v>
      </c>
      <c r="H2620" s="1">
        <f>SUMIF('Retal Tran Line Item'!E:E,A2620,'Retal Tran Line Item'!B:B)</f>
        <v>9</v>
      </c>
    </row>
    <row r="2621" spans="1:8">
      <c r="A2621" s="1">
        <v>102800</v>
      </c>
      <c r="B2621" s="1">
        <v>528475</v>
      </c>
      <c r="C2621" s="2">
        <v>41622</v>
      </c>
      <c r="D2621" s="1" t="s">
        <v>1989</v>
      </c>
      <c r="E2621" s="6">
        <v>1</v>
      </c>
      <c r="F2621" s="6" t="str">
        <f t="shared" si="80"/>
        <v>December</v>
      </c>
      <c r="G2621" s="6">
        <f t="shared" si="81"/>
        <v>50</v>
      </c>
      <c r="H2621" s="1">
        <f>SUMIF('Retal Tran Line Item'!E:E,A2621,'Retal Tran Line Item'!B:B)</f>
        <v>8</v>
      </c>
    </row>
    <row r="2622" spans="1:8">
      <c r="A2622" s="1">
        <v>102802</v>
      </c>
      <c r="B2622" s="1">
        <v>612681</v>
      </c>
      <c r="C2622" s="2">
        <v>41622</v>
      </c>
      <c r="D2622" s="1" t="s">
        <v>1993</v>
      </c>
      <c r="E2622" s="6">
        <v>2</v>
      </c>
      <c r="F2622" s="6" t="str">
        <f t="shared" si="80"/>
        <v>December</v>
      </c>
      <c r="G2622" s="6">
        <f t="shared" si="81"/>
        <v>50</v>
      </c>
      <c r="H2622" s="1">
        <f>SUMIF('Retal Tran Line Item'!E:E,A2622,'Retal Tran Line Item'!B:B)</f>
        <v>5</v>
      </c>
    </row>
    <row r="2623" spans="1:8">
      <c r="A2623" s="1">
        <v>102804</v>
      </c>
      <c r="B2623" s="1">
        <v>484909</v>
      </c>
      <c r="C2623" s="2">
        <v>41622</v>
      </c>
      <c r="D2623" s="1" t="s">
        <v>1994</v>
      </c>
      <c r="E2623" s="6">
        <v>2</v>
      </c>
      <c r="F2623" s="6" t="str">
        <f t="shared" si="80"/>
        <v>December</v>
      </c>
      <c r="G2623" s="6">
        <f t="shared" si="81"/>
        <v>50</v>
      </c>
      <c r="H2623" s="1">
        <f>SUMIF('Retal Tran Line Item'!E:E,A2623,'Retal Tran Line Item'!B:B)</f>
        <v>2</v>
      </c>
    </row>
    <row r="2624" spans="1:8">
      <c r="A2624" s="1">
        <v>102805</v>
      </c>
      <c r="B2624" s="1">
        <v>343021</v>
      </c>
      <c r="C2624" s="2">
        <v>41622</v>
      </c>
      <c r="D2624" s="1" t="s">
        <v>1989</v>
      </c>
      <c r="E2624" s="6">
        <v>2</v>
      </c>
      <c r="F2624" s="6" t="str">
        <f t="shared" si="80"/>
        <v>December</v>
      </c>
      <c r="G2624" s="6">
        <f t="shared" si="81"/>
        <v>50</v>
      </c>
      <c r="H2624" s="1">
        <f>SUMIF('Retal Tran Line Item'!E:E,A2624,'Retal Tran Line Item'!B:B)</f>
        <v>7</v>
      </c>
    </row>
    <row r="2625" spans="1:8">
      <c r="A2625" s="1">
        <v>102807</v>
      </c>
      <c r="B2625" s="1">
        <v>676018</v>
      </c>
      <c r="C2625" s="2">
        <v>41622</v>
      </c>
      <c r="D2625" s="1" t="s">
        <v>1994</v>
      </c>
      <c r="E2625" s="6">
        <v>1</v>
      </c>
      <c r="F2625" s="6" t="str">
        <f t="shared" si="80"/>
        <v>December</v>
      </c>
      <c r="G2625" s="6">
        <f t="shared" si="81"/>
        <v>50</v>
      </c>
      <c r="H2625" s="1">
        <f>SUMIF('Retal Tran Line Item'!E:E,A2625,'Retal Tran Line Item'!B:B)</f>
        <v>1</v>
      </c>
    </row>
    <row r="2626" spans="1:8">
      <c r="A2626" s="1">
        <v>102809</v>
      </c>
      <c r="B2626" s="1">
        <v>880238</v>
      </c>
      <c r="C2626" s="2">
        <v>41623</v>
      </c>
      <c r="D2626" s="1" t="s">
        <v>1993</v>
      </c>
      <c r="E2626" s="6">
        <v>1</v>
      </c>
      <c r="F2626" s="6" t="str">
        <f t="shared" si="80"/>
        <v>December</v>
      </c>
      <c r="G2626" s="6">
        <f t="shared" si="81"/>
        <v>51</v>
      </c>
      <c r="H2626" s="1">
        <f>SUMIF('Retal Tran Line Item'!E:E,A2626,'Retal Tran Line Item'!B:B)</f>
        <v>4</v>
      </c>
    </row>
    <row r="2627" spans="1:8">
      <c r="A2627" s="1">
        <v>102810</v>
      </c>
      <c r="B2627" s="1">
        <v>696852</v>
      </c>
      <c r="C2627" s="2">
        <v>41623</v>
      </c>
      <c r="D2627" s="1" t="s">
        <v>1993</v>
      </c>
      <c r="E2627" s="6">
        <v>2</v>
      </c>
      <c r="F2627" s="6" t="str">
        <f t="shared" ref="F2627:F2690" si="82">TEXT(C2627,"MMMM")</f>
        <v>December</v>
      </c>
      <c r="G2627" s="6">
        <f t="shared" ref="G2627:G2690" si="83">WEEKNUM(C2627)</f>
        <v>51</v>
      </c>
      <c r="H2627" s="1">
        <f>SUMIF('Retal Tran Line Item'!E:E,A2627,'Retal Tran Line Item'!B:B)</f>
        <v>2</v>
      </c>
    </row>
    <row r="2628" spans="1:8">
      <c r="A2628" s="1">
        <v>102811</v>
      </c>
      <c r="B2628" s="1">
        <v>426830</v>
      </c>
      <c r="C2628" s="2">
        <v>41623</v>
      </c>
      <c r="D2628" s="1" t="s">
        <v>1994</v>
      </c>
      <c r="E2628" s="6">
        <v>2</v>
      </c>
      <c r="F2628" s="6" t="str">
        <f t="shared" si="82"/>
        <v>December</v>
      </c>
      <c r="G2628" s="6">
        <f t="shared" si="83"/>
        <v>51</v>
      </c>
      <c r="H2628" s="1">
        <f>SUMIF('Retal Tran Line Item'!E:E,A2628,'Retal Tran Line Item'!B:B)</f>
        <v>20</v>
      </c>
    </row>
    <row r="2629" spans="1:8">
      <c r="A2629" s="1">
        <v>102812</v>
      </c>
      <c r="B2629" s="1">
        <v>147216</v>
      </c>
      <c r="C2629" s="2">
        <v>41623</v>
      </c>
      <c r="D2629" s="1" t="s">
        <v>1993</v>
      </c>
      <c r="E2629" s="6">
        <v>1</v>
      </c>
      <c r="F2629" s="6" t="str">
        <f t="shared" si="82"/>
        <v>December</v>
      </c>
      <c r="G2629" s="6">
        <f t="shared" si="83"/>
        <v>51</v>
      </c>
      <c r="H2629" s="1">
        <f>SUMIF('Retal Tran Line Item'!E:E,A2629,'Retal Tran Line Item'!B:B)</f>
        <v>1</v>
      </c>
    </row>
    <row r="2630" spans="1:8">
      <c r="A2630" s="1">
        <v>102813</v>
      </c>
      <c r="B2630" s="1">
        <v>310195</v>
      </c>
      <c r="C2630" s="2">
        <v>41623</v>
      </c>
      <c r="D2630" s="1" t="s">
        <v>1993</v>
      </c>
      <c r="E2630" s="6">
        <v>1</v>
      </c>
      <c r="F2630" s="6" t="str">
        <f t="shared" si="82"/>
        <v>December</v>
      </c>
      <c r="G2630" s="6">
        <f t="shared" si="83"/>
        <v>51</v>
      </c>
      <c r="H2630" s="1">
        <f>SUMIF('Retal Tran Line Item'!E:E,A2630,'Retal Tran Line Item'!B:B)</f>
        <v>7</v>
      </c>
    </row>
    <row r="2631" spans="1:8">
      <c r="A2631" s="1">
        <v>102814</v>
      </c>
      <c r="B2631" s="1">
        <v>671363</v>
      </c>
      <c r="C2631" s="2">
        <v>41623</v>
      </c>
      <c r="D2631" s="1" t="s">
        <v>1994</v>
      </c>
      <c r="E2631" s="6">
        <v>1</v>
      </c>
      <c r="F2631" s="6" t="str">
        <f t="shared" si="82"/>
        <v>December</v>
      </c>
      <c r="G2631" s="6">
        <f t="shared" si="83"/>
        <v>51</v>
      </c>
      <c r="H2631" s="1">
        <f>SUMIF('Retal Tran Line Item'!E:E,A2631,'Retal Tran Line Item'!B:B)</f>
        <v>4</v>
      </c>
    </row>
    <row r="2632" spans="1:8">
      <c r="A2632" s="1">
        <v>102816</v>
      </c>
      <c r="B2632" s="1">
        <v>329994</v>
      </c>
      <c r="C2632" s="2">
        <v>41624</v>
      </c>
      <c r="D2632" s="1" t="s">
        <v>1994</v>
      </c>
      <c r="E2632" s="6">
        <v>1</v>
      </c>
      <c r="F2632" s="6" t="str">
        <f t="shared" si="82"/>
        <v>December</v>
      </c>
      <c r="G2632" s="6">
        <f t="shared" si="83"/>
        <v>51</v>
      </c>
      <c r="H2632" s="1">
        <f>SUMIF('Retal Tran Line Item'!E:E,A2632,'Retal Tran Line Item'!B:B)</f>
        <v>12</v>
      </c>
    </row>
    <row r="2633" spans="1:8">
      <c r="A2633" s="1">
        <v>102817</v>
      </c>
      <c r="B2633" s="1">
        <v>643214</v>
      </c>
      <c r="C2633" s="2">
        <v>41624</v>
      </c>
      <c r="D2633" s="1" t="s">
        <v>1989</v>
      </c>
      <c r="E2633" s="6">
        <v>1</v>
      </c>
      <c r="F2633" s="6" t="str">
        <f t="shared" si="82"/>
        <v>December</v>
      </c>
      <c r="G2633" s="6">
        <f t="shared" si="83"/>
        <v>51</v>
      </c>
      <c r="H2633" s="1">
        <f>SUMIF('Retal Tran Line Item'!E:E,A2633,'Retal Tran Line Item'!B:B)</f>
        <v>14</v>
      </c>
    </row>
    <row r="2634" spans="1:8">
      <c r="A2634" s="1">
        <v>102818</v>
      </c>
      <c r="B2634" s="1">
        <v>766161</v>
      </c>
      <c r="C2634" s="2">
        <v>41624</v>
      </c>
      <c r="D2634" s="1" t="s">
        <v>1994</v>
      </c>
      <c r="E2634" s="6">
        <v>1</v>
      </c>
      <c r="F2634" s="6" t="str">
        <f t="shared" si="82"/>
        <v>December</v>
      </c>
      <c r="G2634" s="6">
        <f t="shared" si="83"/>
        <v>51</v>
      </c>
      <c r="H2634" s="1">
        <f>SUMIF('Retal Tran Line Item'!E:E,A2634,'Retal Tran Line Item'!B:B)</f>
        <v>17</v>
      </c>
    </row>
    <row r="2635" spans="1:8">
      <c r="A2635" s="1">
        <v>102819</v>
      </c>
      <c r="B2635" s="1">
        <v>244282</v>
      </c>
      <c r="C2635" s="2">
        <v>41624</v>
      </c>
      <c r="D2635" s="1" t="s">
        <v>1992</v>
      </c>
      <c r="E2635" s="6">
        <v>2</v>
      </c>
      <c r="F2635" s="6" t="str">
        <f t="shared" si="82"/>
        <v>December</v>
      </c>
      <c r="G2635" s="6">
        <f t="shared" si="83"/>
        <v>51</v>
      </c>
      <c r="H2635" s="1">
        <f>SUMIF('Retal Tran Line Item'!E:E,A2635,'Retal Tran Line Item'!B:B)</f>
        <v>8</v>
      </c>
    </row>
    <row r="2636" spans="1:8">
      <c r="A2636" s="1">
        <v>102820</v>
      </c>
      <c r="B2636" s="1">
        <v>418635</v>
      </c>
      <c r="C2636" s="2">
        <v>41624</v>
      </c>
      <c r="D2636" s="1" t="s">
        <v>1993</v>
      </c>
      <c r="E2636" s="6">
        <v>1</v>
      </c>
      <c r="F2636" s="6" t="str">
        <f t="shared" si="82"/>
        <v>December</v>
      </c>
      <c r="G2636" s="6">
        <f t="shared" si="83"/>
        <v>51</v>
      </c>
      <c r="H2636" s="1">
        <f>SUMIF('Retal Tran Line Item'!E:E,A2636,'Retal Tran Line Item'!B:B)</f>
        <v>20</v>
      </c>
    </row>
    <row r="2637" spans="1:8">
      <c r="A2637" s="1">
        <v>102821</v>
      </c>
      <c r="B2637" s="1">
        <v>175871</v>
      </c>
      <c r="C2637" s="2">
        <v>41624</v>
      </c>
      <c r="D2637" s="1" t="s">
        <v>1994</v>
      </c>
      <c r="E2637" s="6">
        <v>2</v>
      </c>
      <c r="F2637" s="6" t="str">
        <f t="shared" si="82"/>
        <v>December</v>
      </c>
      <c r="G2637" s="6">
        <f t="shared" si="83"/>
        <v>51</v>
      </c>
      <c r="H2637" s="1">
        <f>SUMIF('Retal Tran Line Item'!E:E,A2637,'Retal Tran Line Item'!B:B)</f>
        <v>10</v>
      </c>
    </row>
    <row r="2638" spans="1:8">
      <c r="A2638" s="1">
        <v>102822</v>
      </c>
      <c r="B2638" s="1">
        <v>741514</v>
      </c>
      <c r="C2638" s="2">
        <v>41624</v>
      </c>
      <c r="D2638" s="1" t="s">
        <v>1992</v>
      </c>
      <c r="E2638" s="6">
        <v>2</v>
      </c>
      <c r="F2638" s="6" t="str">
        <f t="shared" si="82"/>
        <v>December</v>
      </c>
      <c r="G2638" s="6">
        <f t="shared" si="83"/>
        <v>51</v>
      </c>
      <c r="H2638" s="1">
        <f>SUMIF('Retal Tran Line Item'!E:E,A2638,'Retal Tran Line Item'!B:B)</f>
        <v>7</v>
      </c>
    </row>
    <row r="2639" spans="1:8">
      <c r="A2639" s="1">
        <v>102823</v>
      </c>
      <c r="B2639" s="1">
        <v>938417</v>
      </c>
      <c r="C2639" s="2">
        <v>41625</v>
      </c>
      <c r="D2639" s="1" t="s">
        <v>1992</v>
      </c>
      <c r="E2639" s="6">
        <v>2</v>
      </c>
      <c r="F2639" s="6" t="str">
        <f t="shared" si="82"/>
        <v>December</v>
      </c>
      <c r="G2639" s="6">
        <f t="shared" si="83"/>
        <v>51</v>
      </c>
      <c r="H2639" s="1">
        <f>SUMIF('Retal Tran Line Item'!E:E,A2639,'Retal Tran Line Item'!B:B)</f>
        <v>2</v>
      </c>
    </row>
    <row r="2640" spans="1:8">
      <c r="A2640" s="1">
        <v>102824</v>
      </c>
      <c r="B2640" s="1">
        <v>441628</v>
      </c>
      <c r="C2640" s="2">
        <v>41625</v>
      </c>
      <c r="D2640" s="1" t="s">
        <v>1989</v>
      </c>
      <c r="E2640" s="6">
        <v>1</v>
      </c>
      <c r="F2640" s="6" t="str">
        <f t="shared" si="82"/>
        <v>December</v>
      </c>
      <c r="G2640" s="6">
        <f t="shared" si="83"/>
        <v>51</v>
      </c>
      <c r="H2640" s="1">
        <f>SUMIF('Retal Tran Line Item'!E:E,A2640,'Retal Tran Line Item'!B:B)</f>
        <v>1</v>
      </c>
    </row>
    <row r="2641" spans="1:8">
      <c r="A2641" s="1">
        <v>102825</v>
      </c>
      <c r="B2641" s="1">
        <v>723819</v>
      </c>
      <c r="C2641" s="2">
        <v>41625</v>
      </c>
      <c r="D2641" s="1" t="s">
        <v>1993</v>
      </c>
      <c r="E2641" s="6">
        <v>1</v>
      </c>
      <c r="F2641" s="6" t="str">
        <f t="shared" si="82"/>
        <v>December</v>
      </c>
      <c r="G2641" s="6">
        <f t="shared" si="83"/>
        <v>51</v>
      </c>
      <c r="H2641" s="1">
        <f>SUMIF('Retal Tran Line Item'!E:E,A2641,'Retal Tran Line Item'!B:B)</f>
        <v>4</v>
      </c>
    </row>
    <row r="2642" spans="1:8">
      <c r="A2642" s="1">
        <v>102826</v>
      </c>
      <c r="B2642" s="1">
        <v>889686</v>
      </c>
      <c r="C2642" s="2">
        <v>41625</v>
      </c>
      <c r="D2642" s="1" t="s">
        <v>1989</v>
      </c>
      <c r="E2642" s="6">
        <v>2</v>
      </c>
      <c r="F2642" s="6" t="str">
        <f t="shared" si="82"/>
        <v>December</v>
      </c>
      <c r="G2642" s="6">
        <f t="shared" si="83"/>
        <v>51</v>
      </c>
      <c r="H2642" s="1">
        <f>SUMIF('Retal Tran Line Item'!E:E,A2642,'Retal Tran Line Item'!B:B)</f>
        <v>2</v>
      </c>
    </row>
    <row r="2643" spans="1:8">
      <c r="A2643" s="1">
        <v>102827</v>
      </c>
      <c r="B2643" s="1">
        <v>612681</v>
      </c>
      <c r="C2643" s="2">
        <v>41625</v>
      </c>
      <c r="D2643" s="1" t="s">
        <v>1993</v>
      </c>
      <c r="E2643" s="6">
        <v>2</v>
      </c>
      <c r="F2643" s="6" t="str">
        <f t="shared" si="82"/>
        <v>December</v>
      </c>
      <c r="G2643" s="6">
        <f t="shared" si="83"/>
        <v>51</v>
      </c>
      <c r="H2643" s="1">
        <f>SUMIF('Retal Tran Line Item'!E:E,A2643,'Retal Tran Line Item'!B:B)</f>
        <v>11</v>
      </c>
    </row>
    <row r="2644" spans="1:8">
      <c r="A2644" s="1">
        <v>102828</v>
      </c>
      <c r="B2644" s="1">
        <v>253106</v>
      </c>
      <c r="C2644" s="2">
        <v>41625</v>
      </c>
      <c r="D2644" s="1" t="s">
        <v>1989</v>
      </c>
      <c r="E2644" s="6">
        <v>1</v>
      </c>
      <c r="F2644" s="6" t="str">
        <f t="shared" si="82"/>
        <v>December</v>
      </c>
      <c r="G2644" s="6">
        <f t="shared" si="83"/>
        <v>51</v>
      </c>
      <c r="H2644" s="1">
        <f>SUMIF('Retal Tran Line Item'!E:E,A2644,'Retal Tran Line Item'!B:B)</f>
        <v>6</v>
      </c>
    </row>
    <row r="2645" spans="1:8">
      <c r="A2645" s="1">
        <v>102829</v>
      </c>
      <c r="B2645" s="1">
        <v>170500</v>
      </c>
      <c r="C2645" s="2">
        <v>41625</v>
      </c>
      <c r="D2645" s="1" t="s">
        <v>1989</v>
      </c>
      <c r="E2645" s="6">
        <v>2</v>
      </c>
      <c r="F2645" s="6" t="str">
        <f t="shared" si="82"/>
        <v>December</v>
      </c>
      <c r="G2645" s="6">
        <f t="shared" si="83"/>
        <v>51</v>
      </c>
      <c r="H2645" s="1">
        <f>SUMIF('Retal Tran Line Item'!E:E,A2645,'Retal Tran Line Item'!B:B)</f>
        <v>12</v>
      </c>
    </row>
    <row r="2646" spans="1:8">
      <c r="A2646" s="1">
        <v>102830</v>
      </c>
      <c r="B2646" s="1">
        <v>550824</v>
      </c>
      <c r="C2646" s="2">
        <v>41625</v>
      </c>
      <c r="D2646" s="1" t="s">
        <v>1989</v>
      </c>
      <c r="E2646" s="6">
        <v>2</v>
      </c>
      <c r="F2646" s="6" t="str">
        <f t="shared" si="82"/>
        <v>December</v>
      </c>
      <c r="G2646" s="6">
        <f t="shared" si="83"/>
        <v>51</v>
      </c>
      <c r="H2646" s="1">
        <f>SUMIF('Retal Tran Line Item'!E:E,A2646,'Retal Tran Line Item'!B:B)</f>
        <v>8</v>
      </c>
    </row>
    <row r="2647" spans="1:8">
      <c r="A2647" s="1">
        <v>102831</v>
      </c>
      <c r="B2647" s="1">
        <v>442691</v>
      </c>
      <c r="C2647" s="2">
        <v>41626</v>
      </c>
      <c r="D2647" s="1" t="s">
        <v>1992</v>
      </c>
      <c r="E2647" s="6">
        <v>2</v>
      </c>
      <c r="F2647" s="6" t="str">
        <f t="shared" si="82"/>
        <v>December</v>
      </c>
      <c r="G2647" s="6">
        <f t="shared" si="83"/>
        <v>51</v>
      </c>
      <c r="H2647" s="1">
        <f>SUMIF('Retal Tran Line Item'!E:E,A2647,'Retal Tran Line Item'!B:B)</f>
        <v>8</v>
      </c>
    </row>
    <row r="2648" spans="1:8">
      <c r="A2648" s="1">
        <v>102834</v>
      </c>
      <c r="B2648" s="1">
        <v>955591</v>
      </c>
      <c r="C2648" s="2">
        <v>41626</v>
      </c>
      <c r="D2648" s="1" t="s">
        <v>1993</v>
      </c>
      <c r="E2648" s="6">
        <v>2</v>
      </c>
      <c r="F2648" s="6" t="str">
        <f t="shared" si="82"/>
        <v>December</v>
      </c>
      <c r="G2648" s="6">
        <f t="shared" si="83"/>
        <v>51</v>
      </c>
      <c r="H2648" s="1">
        <f>SUMIF('Retal Tran Line Item'!E:E,A2648,'Retal Tran Line Item'!B:B)</f>
        <v>7</v>
      </c>
    </row>
    <row r="2649" spans="1:8">
      <c r="A2649" s="1">
        <v>102835</v>
      </c>
      <c r="B2649" s="1">
        <v>925565</v>
      </c>
      <c r="C2649" s="2">
        <v>41626</v>
      </c>
      <c r="D2649" s="1" t="s">
        <v>1992</v>
      </c>
      <c r="E2649" s="6">
        <v>2</v>
      </c>
      <c r="F2649" s="6" t="str">
        <f t="shared" si="82"/>
        <v>December</v>
      </c>
      <c r="G2649" s="6">
        <f t="shared" si="83"/>
        <v>51</v>
      </c>
      <c r="H2649" s="1">
        <f>SUMIF('Retal Tran Line Item'!E:E,A2649,'Retal Tran Line Item'!B:B)</f>
        <v>2</v>
      </c>
    </row>
    <row r="2650" spans="1:8">
      <c r="A2650" s="1">
        <v>102838</v>
      </c>
      <c r="B2650" s="1">
        <v>166612</v>
      </c>
      <c r="C2650" s="2">
        <v>41627</v>
      </c>
      <c r="D2650" s="1" t="s">
        <v>1993</v>
      </c>
      <c r="E2650" s="6">
        <v>2</v>
      </c>
      <c r="F2650" s="6" t="str">
        <f t="shared" si="82"/>
        <v>December</v>
      </c>
      <c r="G2650" s="6">
        <f t="shared" si="83"/>
        <v>51</v>
      </c>
      <c r="H2650" s="1">
        <f>SUMIF('Retal Tran Line Item'!E:E,A2650,'Retal Tran Line Item'!B:B)</f>
        <v>10</v>
      </c>
    </row>
    <row r="2651" spans="1:8">
      <c r="A2651" s="1">
        <v>102839</v>
      </c>
      <c r="B2651" s="1">
        <v>781523</v>
      </c>
      <c r="C2651" s="2">
        <v>41627</v>
      </c>
      <c r="D2651" s="1" t="s">
        <v>1989</v>
      </c>
      <c r="E2651" s="6">
        <v>1</v>
      </c>
      <c r="F2651" s="6" t="str">
        <f t="shared" si="82"/>
        <v>December</v>
      </c>
      <c r="G2651" s="6">
        <f t="shared" si="83"/>
        <v>51</v>
      </c>
      <c r="H2651" s="1">
        <f>SUMIF('Retal Tran Line Item'!E:E,A2651,'Retal Tran Line Item'!B:B)</f>
        <v>17</v>
      </c>
    </row>
    <row r="2652" spans="1:8">
      <c r="A2652" s="1">
        <v>102840</v>
      </c>
      <c r="B2652" s="1">
        <v>534481</v>
      </c>
      <c r="C2652" s="2">
        <v>41627</v>
      </c>
      <c r="D2652" s="1" t="s">
        <v>1993</v>
      </c>
      <c r="E2652" s="6">
        <v>1</v>
      </c>
      <c r="F2652" s="6" t="str">
        <f t="shared" si="82"/>
        <v>December</v>
      </c>
      <c r="G2652" s="6">
        <f t="shared" si="83"/>
        <v>51</v>
      </c>
      <c r="H2652" s="1">
        <f>SUMIF('Retal Tran Line Item'!E:E,A2652,'Retal Tran Line Item'!B:B)</f>
        <v>7</v>
      </c>
    </row>
    <row r="2653" spans="1:8">
      <c r="A2653" s="1">
        <v>102841</v>
      </c>
      <c r="B2653" s="1">
        <v>745543</v>
      </c>
      <c r="C2653" s="2">
        <v>41627</v>
      </c>
      <c r="D2653" s="1" t="s">
        <v>1989</v>
      </c>
      <c r="E2653" s="6">
        <v>1</v>
      </c>
      <c r="F2653" s="6" t="str">
        <f t="shared" si="82"/>
        <v>December</v>
      </c>
      <c r="G2653" s="6">
        <f t="shared" si="83"/>
        <v>51</v>
      </c>
      <c r="H2653" s="1">
        <f>SUMIF('Retal Tran Line Item'!E:E,A2653,'Retal Tran Line Item'!B:B)</f>
        <v>3</v>
      </c>
    </row>
    <row r="2654" spans="1:8">
      <c r="A2654" s="1">
        <v>102842</v>
      </c>
      <c r="B2654" s="1">
        <v>932618</v>
      </c>
      <c r="C2654" s="2">
        <v>41627</v>
      </c>
      <c r="D2654" s="1" t="s">
        <v>1993</v>
      </c>
      <c r="E2654" s="6">
        <v>1</v>
      </c>
      <c r="F2654" s="6" t="str">
        <f t="shared" si="82"/>
        <v>December</v>
      </c>
      <c r="G2654" s="6">
        <f t="shared" si="83"/>
        <v>51</v>
      </c>
      <c r="H2654" s="1">
        <f>SUMIF('Retal Tran Line Item'!E:E,A2654,'Retal Tran Line Item'!B:B)</f>
        <v>8</v>
      </c>
    </row>
    <row r="2655" spans="1:8">
      <c r="A2655" s="1">
        <v>102843</v>
      </c>
      <c r="B2655" s="1">
        <v>422717</v>
      </c>
      <c r="C2655" s="2">
        <v>41627</v>
      </c>
      <c r="D2655" s="1" t="s">
        <v>1993</v>
      </c>
      <c r="E2655" s="6">
        <v>1</v>
      </c>
      <c r="F2655" s="6" t="str">
        <f t="shared" si="82"/>
        <v>December</v>
      </c>
      <c r="G2655" s="6">
        <f t="shared" si="83"/>
        <v>51</v>
      </c>
      <c r="H2655" s="1">
        <f>SUMIF('Retal Tran Line Item'!E:E,A2655,'Retal Tran Line Item'!B:B)</f>
        <v>15</v>
      </c>
    </row>
    <row r="2656" spans="1:8">
      <c r="A2656" s="1">
        <v>102845</v>
      </c>
      <c r="B2656" s="1">
        <v>724700</v>
      </c>
      <c r="C2656" s="2">
        <v>41628</v>
      </c>
      <c r="D2656" s="1" t="s">
        <v>1994</v>
      </c>
      <c r="E2656" s="6">
        <v>2</v>
      </c>
      <c r="F2656" s="6" t="str">
        <f t="shared" si="82"/>
        <v>December</v>
      </c>
      <c r="G2656" s="6">
        <f t="shared" si="83"/>
        <v>51</v>
      </c>
      <c r="H2656" s="1">
        <f>SUMIF('Retal Tran Line Item'!E:E,A2656,'Retal Tran Line Item'!B:B)</f>
        <v>12</v>
      </c>
    </row>
    <row r="2657" spans="1:8">
      <c r="A2657" s="1">
        <v>102846</v>
      </c>
      <c r="B2657" s="1">
        <v>657495</v>
      </c>
      <c r="C2657" s="2">
        <v>41628</v>
      </c>
      <c r="D2657" s="1" t="s">
        <v>1994</v>
      </c>
      <c r="E2657" s="6">
        <v>1</v>
      </c>
      <c r="F2657" s="6" t="str">
        <f t="shared" si="82"/>
        <v>December</v>
      </c>
      <c r="G2657" s="6">
        <f t="shared" si="83"/>
        <v>51</v>
      </c>
      <c r="H2657" s="1">
        <f>SUMIF('Retal Tran Line Item'!E:E,A2657,'Retal Tran Line Item'!B:B)</f>
        <v>3</v>
      </c>
    </row>
    <row r="2658" spans="1:8">
      <c r="A2658" s="1">
        <v>102850</v>
      </c>
      <c r="B2658" s="1">
        <v>404678</v>
      </c>
      <c r="C2658" s="2">
        <v>41628</v>
      </c>
      <c r="D2658" s="1" t="s">
        <v>1993</v>
      </c>
      <c r="E2658" s="6">
        <v>1</v>
      </c>
      <c r="F2658" s="6" t="str">
        <f t="shared" si="82"/>
        <v>December</v>
      </c>
      <c r="G2658" s="6">
        <f t="shared" si="83"/>
        <v>51</v>
      </c>
      <c r="H2658" s="1">
        <f>SUMIF('Retal Tran Line Item'!E:E,A2658,'Retal Tran Line Item'!B:B)</f>
        <v>3</v>
      </c>
    </row>
    <row r="2659" spans="1:8">
      <c r="A2659" s="1">
        <v>102851</v>
      </c>
      <c r="B2659" s="1">
        <v>245577</v>
      </c>
      <c r="C2659" s="2">
        <v>41628</v>
      </c>
      <c r="D2659" s="1" t="s">
        <v>1989</v>
      </c>
      <c r="E2659" s="6">
        <v>2</v>
      </c>
      <c r="F2659" s="6" t="str">
        <f t="shared" si="82"/>
        <v>December</v>
      </c>
      <c r="G2659" s="6">
        <f t="shared" si="83"/>
        <v>51</v>
      </c>
      <c r="H2659" s="1">
        <f>SUMIF('Retal Tran Line Item'!E:E,A2659,'Retal Tran Line Item'!B:B)</f>
        <v>1</v>
      </c>
    </row>
    <row r="2660" spans="1:8">
      <c r="A2660" s="1">
        <v>102852</v>
      </c>
      <c r="B2660" s="1">
        <v>166612</v>
      </c>
      <c r="C2660" s="2">
        <v>41629</v>
      </c>
      <c r="D2660" s="1" t="s">
        <v>1993</v>
      </c>
      <c r="E2660" s="6">
        <v>1</v>
      </c>
      <c r="F2660" s="6" t="str">
        <f t="shared" si="82"/>
        <v>December</v>
      </c>
      <c r="G2660" s="6">
        <f t="shared" si="83"/>
        <v>51</v>
      </c>
      <c r="H2660" s="1">
        <f>SUMIF('Retal Tran Line Item'!E:E,A2660,'Retal Tran Line Item'!B:B)</f>
        <v>5</v>
      </c>
    </row>
    <row r="2661" spans="1:8">
      <c r="A2661" s="1">
        <v>102854</v>
      </c>
      <c r="B2661" s="1">
        <v>447601</v>
      </c>
      <c r="C2661" s="2">
        <v>41629</v>
      </c>
      <c r="D2661" s="1" t="s">
        <v>1989</v>
      </c>
      <c r="E2661" s="6">
        <v>1</v>
      </c>
      <c r="F2661" s="6" t="str">
        <f t="shared" si="82"/>
        <v>December</v>
      </c>
      <c r="G2661" s="6">
        <f t="shared" si="83"/>
        <v>51</v>
      </c>
      <c r="H2661" s="1">
        <f>SUMIF('Retal Tran Line Item'!E:E,A2661,'Retal Tran Line Item'!B:B)</f>
        <v>16</v>
      </c>
    </row>
    <row r="2662" spans="1:8">
      <c r="A2662" s="1">
        <v>102855</v>
      </c>
      <c r="B2662" s="1">
        <v>325263</v>
      </c>
      <c r="C2662" s="2">
        <v>41629</v>
      </c>
      <c r="D2662" s="1" t="s">
        <v>1993</v>
      </c>
      <c r="E2662" s="6">
        <v>1</v>
      </c>
      <c r="F2662" s="6" t="str">
        <f t="shared" si="82"/>
        <v>December</v>
      </c>
      <c r="G2662" s="6">
        <f t="shared" si="83"/>
        <v>51</v>
      </c>
      <c r="H2662" s="1">
        <f>SUMIF('Retal Tran Line Item'!E:E,A2662,'Retal Tran Line Item'!B:B)</f>
        <v>1</v>
      </c>
    </row>
    <row r="2663" spans="1:8">
      <c r="A2663" s="1">
        <v>102856</v>
      </c>
      <c r="B2663" s="1">
        <v>491380</v>
      </c>
      <c r="C2663" s="2">
        <v>41629</v>
      </c>
      <c r="D2663" s="1" t="s">
        <v>1992</v>
      </c>
      <c r="E2663" s="6">
        <v>1</v>
      </c>
      <c r="F2663" s="6" t="str">
        <f t="shared" si="82"/>
        <v>December</v>
      </c>
      <c r="G2663" s="6">
        <f t="shared" si="83"/>
        <v>51</v>
      </c>
      <c r="H2663" s="1">
        <f>SUMIF('Retal Tran Line Item'!E:E,A2663,'Retal Tran Line Item'!B:B)</f>
        <v>2</v>
      </c>
    </row>
    <row r="2664" spans="1:8">
      <c r="A2664" s="1">
        <v>102858</v>
      </c>
      <c r="B2664" s="1">
        <v>590517</v>
      </c>
      <c r="C2664" s="2">
        <v>41629</v>
      </c>
      <c r="D2664" s="1" t="s">
        <v>1994</v>
      </c>
      <c r="E2664" s="6">
        <v>2</v>
      </c>
      <c r="F2664" s="6" t="str">
        <f t="shared" si="82"/>
        <v>December</v>
      </c>
      <c r="G2664" s="6">
        <f t="shared" si="83"/>
        <v>51</v>
      </c>
      <c r="H2664" s="1">
        <f>SUMIF('Retal Tran Line Item'!E:E,A2664,'Retal Tran Line Item'!B:B)</f>
        <v>11</v>
      </c>
    </row>
    <row r="2665" spans="1:8">
      <c r="A2665" s="1">
        <v>102859</v>
      </c>
      <c r="B2665" s="1">
        <v>459243</v>
      </c>
      <c r="C2665" s="2">
        <v>41630</v>
      </c>
      <c r="D2665" s="1" t="s">
        <v>1992</v>
      </c>
      <c r="E2665" s="6">
        <v>2</v>
      </c>
      <c r="F2665" s="6" t="str">
        <f t="shared" si="82"/>
        <v>December</v>
      </c>
      <c r="G2665" s="6">
        <f t="shared" si="83"/>
        <v>52</v>
      </c>
      <c r="H2665" s="1">
        <f>SUMIF('Retal Tran Line Item'!E:E,A2665,'Retal Tran Line Item'!B:B)</f>
        <v>8</v>
      </c>
    </row>
    <row r="2666" spans="1:8">
      <c r="A2666" s="1">
        <v>102861</v>
      </c>
      <c r="B2666" s="1">
        <v>225489</v>
      </c>
      <c r="C2666" s="2">
        <v>41630</v>
      </c>
      <c r="D2666" s="1" t="s">
        <v>1992</v>
      </c>
      <c r="E2666" s="6">
        <v>2</v>
      </c>
      <c r="F2666" s="6" t="str">
        <f t="shared" si="82"/>
        <v>December</v>
      </c>
      <c r="G2666" s="6">
        <f t="shared" si="83"/>
        <v>52</v>
      </c>
      <c r="H2666" s="1">
        <f>SUMIF('Retal Tran Line Item'!E:E,A2666,'Retal Tran Line Item'!B:B)</f>
        <v>4</v>
      </c>
    </row>
    <row r="2667" spans="1:8">
      <c r="A2667" s="1">
        <v>102863</v>
      </c>
      <c r="B2667" s="1">
        <v>690100</v>
      </c>
      <c r="C2667" s="2">
        <v>41630</v>
      </c>
      <c r="D2667" s="1" t="s">
        <v>1989</v>
      </c>
      <c r="E2667" s="6">
        <v>2</v>
      </c>
      <c r="F2667" s="6" t="str">
        <f t="shared" si="82"/>
        <v>December</v>
      </c>
      <c r="G2667" s="6">
        <f t="shared" si="83"/>
        <v>52</v>
      </c>
      <c r="H2667" s="1">
        <f>SUMIF('Retal Tran Line Item'!E:E,A2667,'Retal Tran Line Item'!B:B)</f>
        <v>3</v>
      </c>
    </row>
    <row r="2668" spans="1:8">
      <c r="A2668" s="1">
        <v>102865</v>
      </c>
      <c r="B2668" s="1">
        <v>847289</v>
      </c>
      <c r="C2668" s="2">
        <v>41630</v>
      </c>
      <c r="D2668" s="1" t="s">
        <v>1992</v>
      </c>
      <c r="E2668" s="6">
        <v>1</v>
      </c>
      <c r="F2668" s="6" t="str">
        <f t="shared" si="82"/>
        <v>December</v>
      </c>
      <c r="G2668" s="6">
        <f t="shared" si="83"/>
        <v>52</v>
      </c>
      <c r="H2668" s="1">
        <f>SUMIF('Retal Tran Line Item'!E:E,A2668,'Retal Tran Line Item'!B:B)</f>
        <v>8</v>
      </c>
    </row>
    <row r="2669" spans="1:8">
      <c r="A2669" s="1">
        <v>102868</v>
      </c>
      <c r="B2669" s="1">
        <v>585972</v>
      </c>
      <c r="C2669" s="2">
        <v>41631</v>
      </c>
      <c r="D2669" s="1" t="s">
        <v>1993</v>
      </c>
      <c r="E2669" s="6">
        <v>1</v>
      </c>
      <c r="F2669" s="6" t="str">
        <f t="shared" si="82"/>
        <v>December</v>
      </c>
      <c r="G2669" s="6">
        <f t="shared" si="83"/>
        <v>52</v>
      </c>
      <c r="H2669" s="1">
        <f>SUMIF('Retal Tran Line Item'!E:E,A2669,'Retal Tran Line Item'!B:B)</f>
        <v>10</v>
      </c>
    </row>
    <row r="2670" spans="1:8">
      <c r="A2670" s="1">
        <v>102869</v>
      </c>
      <c r="B2670" s="1">
        <v>262579</v>
      </c>
      <c r="C2670" s="2">
        <v>41631</v>
      </c>
      <c r="D2670" s="1" t="s">
        <v>1989</v>
      </c>
      <c r="E2670" s="6">
        <v>1</v>
      </c>
      <c r="F2670" s="6" t="str">
        <f t="shared" si="82"/>
        <v>December</v>
      </c>
      <c r="G2670" s="6">
        <f t="shared" si="83"/>
        <v>52</v>
      </c>
      <c r="H2670" s="1">
        <f>SUMIF('Retal Tran Line Item'!E:E,A2670,'Retal Tran Line Item'!B:B)</f>
        <v>9</v>
      </c>
    </row>
    <row r="2671" spans="1:8">
      <c r="A2671" s="1">
        <v>102875</v>
      </c>
      <c r="B2671" s="1">
        <v>196068</v>
      </c>
      <c r="C2671" s="2">
        <v>41632</v>
      </c>
      <c r="D2671" s="1" t="s">
        <v>1993</v>
      </c>
      <c r="E2671" s="6">
        <v>1</v>
      </c>
      <c r="F2671" s="6" t="str">
        <f t="shared" si="82"/>
        <v>December</v>
      </c>
      <c r="G2671" s="6">
        <f t="shared" si="83"/>
        <v>52</v>
      </c>
      <c r="H2671" s="1">
        <f>SUMIF('Retal Tran Line Item'!E:E,A2671,'Retal Tran Line Item'!B:B)</f>
        <v>11</v>
      </c>
    </row>
    <row r="2672" spans="1:8">
      <c r="A2672" s="1">
        <v>102876</v>
      </c>
      <c r="B2672" s="1">
        <v>405322</v>
      </c>
      <c r="C2672" s="2">
        <v>41632</v>
      </c>
      <c r="D2672" s="1" t="s">
        <v>1992</v>
      </c>
      <c r="E2672" s="6">
        <v>1</v>
      </c>
      <c r="F2672" s="6" t="str">
        <f t="shared" si="82"/>
        <v>December</v>
      </c>
      <c r="G2672" s="6">
        <f t="shared" si="83"/>
        <v>52</v>
      </c>
      <c r="H2672" s="1">
        <f>SUMIF('Retal Tran Line Item'!E:E,A2672,'Retal Tran Line Item'!B:B)</f>
        <v>2</v>
      </c>
    </row>
    <row r="2673" spans="1:8">
      <c r="A2673" s="1">
        <v>102878</v>
      </c>
      <c r="B2673" s="1">
        <v>706101</v>
      </c>
      <c r="C2673" s="2">
        <v>41632</v>
      </c>
      <c r="D2673" s="1" t="s">
        <v>1993</v>
      </c>
      <c r="E2673" s="6">
        <v>2</v>
      </c>
      <c r="F2673" s="6" t="str">
        <f t="shared" si="82"/>
        <v>December</v>
      </c>
      <c r="G2673" s="6">
        <f t="shared" si="83"/>
        <v>52</v>
      </c>
      <c r="H2673" s="1">
        <f>SUMIF('Retal Tran Line Item'!E:E,A2673,'Retal Tran Line Item'!B:B)</f>
        <v>4</v>
      </c>
    </row>
    <row r="2674" spans="1:8">
      <c r="A2674" s="1">
        <v>102881</v>
      </c>
      <c r="B2674" s="1">
        <v>267632</v>
      </c>
      <c r="C2674" s="2">
        <v>41632</v>
      </c>
      <c r="D2674" s="1" t="s">
        <v>1994</v>
      </c>
      <c r="E2674" s="6">
        <v>2</v>
      </c>
      <c r="F2674" s="6" t="str">
        <f t="shared" si="82"/>
        <v>December</v>
      </c>
      <c r="G2674" s="6">
        <f t="shared" si="83"/>
        <v>52</v>
      </c>
      <c r="H2674" s="1">
        <f>SUMIF('Retal Tran Line Item'!E:E,A2674,'Retal Tran Line Item'!B:B)</f>
        <v>18</v>
      </c>
    </row>
    <row r="2675" spans="1:8">
      <c r="A2675" s="1">
        <v>102882</v>
      </c>
      <c r="B2675" s="1">
        <v>559688</v>
      </c>
      <c r="C2675" s="2">
        <v>41632</v>
      </c>
      <c r="D2675" s="1" t="s">
        <v>1993</v>
      </c>
      <c r="E2675" s="6">
        <v>1</v>
      </c>
      <c r="F2675" s="6" t="str">
        <f t="shared" si="82"/>
        <v>December</v>
      </c>
      <c r="G2675" s="6">
        <f t="shared" si="83"/>
        <v>52</v>
      </c>
      <c r="H2675" s="1">
        <f>SUMIF('Retal Tran Line Item'!E:E,A2675,'Retal Tran Line Item'!B:B)</f>
        <v>10</v>
      </c>
    </row>
    <row r="2676" spans="1:8">
      <c r="A2676" s="1">
        <v>102883</v>
      </c>
      <c r="B2676" s="1">
        <v>493552</v>
      </c>
      <c r="C2676" s="2">
        <v>41633</v>
      </c>
      <c r="D2676" s="1" t="s">
        <v>1994</v>
      </c>
      <c r="E2676" s="6">
        <v>2</v>
      </c>
      <c r="F2676" s="6" t="str">
        <f t="shared" si="82"/>
        <v>December</v>
      </c>
      <c r="G2676" s="6">
        <f t="shared" si="83"/>
        <v>52</v>
      </c>
      <c r="H2676" s="1">
        <f>SUMIF('Retal Tran Line Item'!E:E,A2676,'Retal Tran Line Item'!B:B)</f>
        <v>9</v>
      </c>
    </row>
    <row r="2677" spans="1:8">
      <c r="A2677" s="1">
        <v>102884</v>
      </c>
      <c r="B2677" s="1">
        <v>580783</v>
      </c>
      <c r="C2677" s="2">
        <v>41633</v>
      </c>
      <c r="D2677" s="1" t="s">
        <v>1989</v>
      </c>
      <c r="E2677" s="6">
        <v>1</v>
      </c>
      <c r="F2677" s="6" t="str">
        <f t="shared" si="82"/>
        <v>December</v>
      </c>
      <c r="G2677" s="6">
        <f t="shared" si="83"/>
        <v>52</v>
      </c>
      <c r="H2677" s="1">
        <f>SUMIF('Retal Tran Line Item'!E:E,A2677,'Retal Tran Line Item'!B:B)</f>
        <v>2</v>
      </c>
    </row>
    <row r="2678" spans="1:8">
      <c r="A2678" s="1">
        <v>102885</v>
      </c>
      <c r="B2678" s="1">
        <v>994199</v>
      </c>
      <c r="C2678" s="2">
        <v>41633</v>
      </c>
      <c r="D2678" s="1" t="s">
        <v>1992</v>
      </c>
      <c r="E2678" s="6">
        <v>2</v>
      </c>
      <c r="F2678" s="6" t="str">
        <f t="shared" si="82"/>
        <v>December</v>
      </c>
      <c r="G2678" s="6">
        <f t="shared" si="83"/>
        <v>52</v>
      </c>
      <c r="H2678" s="1">
        <f>SUMIF('Retal Tran Line Item'!E:E,A2678,'Retal Tran Line Item'!B:B)</f>
        <v>4</v>
      </c>
    </row>
    <row r="2679" spans="1:8">
      <c r="A2679" s="1">
        <v>102887</v>
      </c>
      <c r="B2679" s="1">
        <v>357579</v>
      </c>
      <c r="C2679" s="2">
        <v>41633</v>
      </c>
      <c r="D2679" s="1" t="s">
        <v>1994</v>
      </c>
      <c r="E2679" s="6">
        <v>2</v>
      </c>
      <c r="F2679" s="6" t="str">
        <f t="shared" si="82"/>
        <v>December</v>
      </c>
      <c r="G2679" s="6">
        <f t="shared" si="83"/>
        <v>52</v>
      </c>
      <c r="H2679" s="1">
        <f>SUMIF('Retal Tran Line Item'!E:E,A2679,'Retal Tran Line Item'!B:B)</f>
        <v>6</v>
      </c>
    </row>
    <row r="2680" spans="1:8">
      <c r="A2680" s="1">
        <v>102888</v>
      </c>
      <c r="B2680" s="1">
        <v>304344</v>
      </c>
      <c r="C2680" s="2">
        <v>41633</v>
      </c>
      <c r="D2680" s="1" t="s">
        <v>1993</v>
      </c>
      <c r="E2680" s="6">
        <v>1</v>
      </c>
      <c r="F2680" s="6" t="str">
        <f t="shared" si="82"/>
        <v>December</v>
      </c>
      <c r="G2680" s="6">
        <f t="shared" si="83"/>
        <v>52</v>
      </c>
      <c r="H2680" s="1">
        <f>SUMIF('Retal Tran Line Item'!E:E,A2680,'Retal Tran Line Item'!B:B)</f>
        <v>6</v>
      </c>
    </row>
    <row r="2681" spans="1:8">
      <c r="A2681" s="1">
        <v>102890</v>
      </c>
      <c r="B2681" s="1">
        <v>761615</v>
      </c>
      <c r="C2681" s="2">
        <v>41633</v>
      </c>
      <c r="D2681" s="1" t="s">
        <v>1993</v>
      </c>
      <c r="E2681" s="6">
        <v>2</v>
      </c>
      <c r="F2681" s="6" t="str">
        <f t="shared" si="82"/>
        <v>December</v>
      </c>
      <c r="G2681" s="6">
        <f t="shared" si="83"/>
        <v>52</v>
      </c>
      <c r="H2681" s="1">
        <f>SUMIF('Retal Tran Line Item'!E:E,A2681,'Retal Tran Line Item'!B:B)</f>
        <v>1</v>
      </c>
    </row>
    <row r="2682" spans="1:8">
      <c r="A2682" s="1">
        <v>102892</v>
      </c>
      <c r="B2682" s="1">
        <v>676155</v>
      </c>
      <c r="C2682" s="2">
        <v>41634</v>
      </c>
      <c r="D2682" s="1" t="s">
        <v>1992</v>
      </c>
      <c r="E2682" s="6">
        <v>1</v>
      </c>
      <c r="F2682" s="6" t="str">
        <f t="shared" si="82"/>
        <v>December</v>
      </c>
      <c r="G2682" s="6">
        <f t="shared" si="83"/>
        <v>52</v>
      </c>
      <c r="H2682" s="1">
        <f>SUMIF('Retal Tran Line Item'!E:E,A2682,'Retal Tran Line Item'!B:B)</f>
        <v>12</v>
      </c>
    </row>
    <row r="2683" spans="1:8">
      <c r="A2683" s="1">
        <v>102895</v>
      </c>
      <c r="B2683" s="1">
        <v>884729</v>
      </c>
      <c r="C2683" s="2">
        <v>41634</v>
      </c>
      <c r="D2683" s="1" t="s">
        <v>1993</v>
      </c>
      <c r="E2683" s="6">
        <v>1</v>
      </c>
      <c r="F2683" s="6" t="str">
        <f t="shared" si="82"/>
        <v>December</v>
      </c>
      <c r="G2683" s="6">
        <f t="shared" si="83"/>
        <v>52</v>
      </c>
      <c r="H2683" s="1">
        <f>SUMIF('Retal Tran Line Item'!E:E,A2683,'Retal Tran Line Item'!B:B)</f>
        <v>5</v>
      </c>
    </row>
    <row r="2684" spans="1:8">
      <c r="A2684" s="1">
        <v>102896</v>
      </c>
      <c r="B2684" s="1">
        <v>567388</v>
      </c>
      <c r="C2684" s="2">
        <v>41634</v>
      </c>
      <c r="D2684" s="1" t="s">
        <v>1993</v>
      </c>
      <c r="E2684" s="6">
        <v>2</v>
      </c>
      <c r="F2684" s="6" t="str">
        <f t="shared" si="82"/>
        <v>December</v>
      </c>
      <c r="G2684" s="6">
        <f t="shared" si="83"/>
        <v>52</v>
      </c>
      <c r="H2684" s="1">
        <f>SUMIF('Retal Tran Line Item'!E:E,A2684,'Retal Tran Line Item'!B:B)</f>
        <v>10</v>
      </c>
    </row>
    <row r="2685" spans="1:8">
      <c r="A2685" s="1">
        <v>102900</v>
      </c>
      <c r="B2685" s="1">
        <v>889686</v>
      </c>
      <c r="C2685" s="2">
        <v>41635</v>
      </c>
      <c r="D2685" s="1" t="s">
        <v>1989</v>
      </c>
      <c r="E2685" s="6">
        <v>1</v>
      </c>
      <c r="F2685" s="6" t="str">
        <f t="shared" si="82"/>
        <v>December</v>
      </c>
      <c r="G2685" s="6">
        <f t="shared" si="83"/>
        <v>52</v>
      </c>
      <c r="H2685" s="1">
        <f>SUMIF('Retal Tran Line Item'!E:E,A2685,'Retal Tran Line Item'!B:B)</f>
        <v>10</v>
      </c>
    </row>
    <row r="2686" spans="1:8">
      <c r="A2686" s="1">
        <v>102901</v>
      </c>
      <c r="B2686" s="1">
        <v>730305</v>
      </c>
      <c r="C2686" s="2">
        <v>41635</v>
      </c>
      <c r="D2686" s="1" t="s">
        <v>1992</v>
      </c>
      <c r="E2686" s="6">
        <v>2</v>
      </c>
      <c r="F2686" s="6" t="str">
        <f t="shared" si="82"/>
        <v>December</v>
      </c>
      <c r="G2686" s="6">
        <f t="shared" si="83"/>
        <v>52</v>
      </c>
      <c r="H2686" s="1">
        <f>SUMIF('Retal Tran Line Item'!E:E,A2686,'Retal Tran Line Item'!B:B)</f>
        <v>7</v>
      </c>
    </row>
    <row r="2687" spans="1:8">
      <c r="A2687" s="1">
        <v>102902</v>
      </c>
      <c r="B2687" s="1">
        <v>592726</v>
      </c>
      <c r="C2687" s="2">
        <v>41635</v>
      </c>
      <c r="D2687" s="1" t="s">
        <v>1993</v>
      </c>
      <c r="E2687" s="6">
        <v>2</v>
      </c>
      <c r="F2687" s="6" t="str">
        <f t="shared" si="82"/>
        <v>December</v>
      </c>
      <c r="G2687" s="6">
        <f t="shared" si="83"/>
        <v>52</v>
      </c>
      <c r="H2687" s="1">
        <f>SUMIF('Retal Tran Line Item'!E:E,A2687,'Retal Tran Line Item'!B:B)</f>
        <v>6</v>
      </c>
    </row>
    <row r="2688" spans="1:8">
      <c r="A2688" s="1">
        <v>102904</v>
      </c>
      <c r="B2688" s="1">
        <v>408341</v>
      </c>
      <c r="C2688" s="2">
        <v>41636</v>
      </c>
      <c r="D2688" s="1" t="s">
        <v>1993</v>
      </c>
      <c r="E2688" s="6">
        <v>2</v>
      </c>
      <c r="F2688" s="6" t="str">
        <f t="shared" si="82"/>
        <v>December</v>
      </c>
      <c r="G2688" s="6">
        <f t="shared" si="83"/>
        <v>52</v>
      </c>
      <c r="H2688" s="1">
        <f>SUMIF('Retal Tran Line Item'!E:E,A2688,'Retal Tran Line Item'!B:B)</f>
        <v>8</v>
      </c>
    </row>
    <row r="2689" spans="1:8">
      <c r="A2689" s="1">
        <v>102906</v>
      </c>
      <c r="B2689" s="1">
        <v>412876</v>
      </c>
      <c r="C2689" s="2">
        <v>41636</v>
      </c>
      <c r="D2689" s="1" t="s">
        <v>1989</v>
      </c>
      <c r="E2689" s="6">
        <v>1</v>
      </c>
      <c r="F2689" s="6" t="str">
        <f t="shared" si="82"/>
        <v>December</v>
      </c>
      <c r="G2689" s="6">
        <f t="shared" si="83"/>
        <v>52</v>
      </c>
      <c r="H2689" s="1">
        <f>SUMIF('Retal Tran Line Item'!E:E,A2689,'Retal Tran Line Item'!B:B)</f>
        <v>16</v>
      </c>
    </row>
    <row r="2690" spans="1:8">
      <c r="A2690" s="1">
        <v>102907</v>
      </c>
      <c r="B2690" s="1">
        <v>761615</v>
      </c>
      <c r="C2690" s="2">
        <v>41636</v>
      </c>
      <c r="D2690" s="1" t="s">
        <v>1993</v>
      </c>
      <c r="E2690" s="6">
        <v>1</v>
      </c>
      <c r="F2690" s="6" t="str">
        <f t="shared" si="82"/>
        <v>December</v>
      </c>
      <c r="G2690" s="6">
        <f t="shared" si="83"/>
        <v>52</v>
      </c>
      <c r="H2690" s="1">
        <f>SUMIF('Retal Tran Line Item'!E:E,A2690,'Retal Tran Line Item'!B:B)</f>
        <v>10</v>
      </c>
    </row>
    <row r="2691" spans="1:8">
      <c r="A2691" s="1">
        <v>102908</v>
      </c>
      <c r="B2691" s="1">
        <v>459243</v>
      </c>
      <c r="C2691" s="2">
        <v>41636</v>
      </c>
      <c r="D2691" s="1" t="s">
        <v>1992</v>
      </c>
      <c r="E2691" s="6">
        <v>2</v>
      </c>
      <c r="F2691" s="6" t="str">
        <f t="shared" ref="F2691:F2754" si="84">TEXT(C2691,"MMMM")</f>
        <v>December</v>
      </c>
      <c r="G2691" s="6">
        <f t="shared" ref="G2691:G2754" si="85">WEEKNUM(C2691)</f>
        <v>52</v>
      </c>
      <c r="H2691" s="1">
        <f>SUMIF('Retal Tran Line Item'!E:E,A2691,'Retal Tran Line Item'!B:B)</f>
        <v>16</v>
      </c>
    </row>
    <row r="2692" spans="1:8">
      <c r="A2692" s="1">
        <v>102911</v>
      </c>
      <c r="B2692" s="1">
        <v>183797</v>
      </c>
      <c r="C2692" s="2">
        <v>41637</v>
      </c>
      <c r="D2692" s="1" t="s">
        <v>1993</v>
      </c>
      <c r="E2692" s="6">
        <v>2</v>
      </c>
      <c r="F2692" s="6" t="str">
        <f t="shared" si="84"/>
        <v>December</v>
      </c>
      <c r="G2692" s="6">
        <f t="shared" si="85"/>
        <v>53</v>
      </c>
      <c r="H2692" s="1">
        <f>SUMIF('Retal Tran Line Item'!E:E,A2692,'Retal Tran Line Item'!B:B)</f>
        <v>9</v>
      </c>
    </row>
    <row r="2693" spans="1:8">
      <c r="A2693" s="1">
        <v>102912</v>
      </c>
      <c r="B2693" s="1">
        <v>765237</v>
      </c>
      <c r="C2693" s="2">
        <v>41637</v>
      </c>
      <c r="D2693" s="1" t="s">
        <v>1992</v>
      </c>
      <c r="E2693" s="6">
        <v>1</v>
      </c>
      <c r="F2693" s="6" t="str">
        <f t="shared" si="84"/>
        <v>December</v>
      </c>
      <c r="G2693" s="6">
        <f t="shared" si="85"/>
        <v>53</v>
      </c>
      <c r="H2693" s="1">
        <f>SUMIF('Retal Tran Line Item'!E:E,A2693,'Retal Tran Line Item'!B:B)</f>
        <v>6</v>
      </c>
    </row>
    <row r="2694" spans="1:8">
      <c r="A2694" s="1">
        <v>102914</v>
      </c>
      <c r="B2694" s="1">
        <v>306475</v>
      </c>
      <c r="C2694" s="2">
        <v>41637</v>
      </c>
      <c r="D2694" s="1" t="s">
        <v>1992</v>
      </c>
      <c r="E2694" s="6">
        <v>2</v>
      </c>
      <c r="F2694" s="6" t="str">
        <f t="shared" si="84"/>
        <v>December</v>
      </c>
      <c r="G2694" s="6">
        <f t="shared" si="85"/>
        <v>53</v>
      </c>
      <c r="H2694" s="1">
        <f>SUMIF('Retal Tran Line Item'!E:E,A2694,'Retal Tran Line Item'!B:B)</f>
        <v>10</v>
      </c>
    </row>
    <row r="2695" spans="1:8">
      <c r="A2695" s="1">
        <v>102915</v>
      </c>
      <c r="B2695" s="1">
        <v>936214</v>
      </c>
      <c r="C2695" s="2">
        <v>41637</v>
      </c>
      <c r="D2695" s="1" t="s">
        <v>1993</v>
      </c>
      <c r="E2695" s="6">
        <v>1</v>
      </c>
      <c r="F2695" s="6" t="str">
        <f t="shared" si="84"/>
        <v>December</v>
      </c>
      <c r="G2695" s="6">
        <f t="shared" si="85"/>
        <v>53</v>
      </c>
      <c r="H2695" s="1">
        <f>SUMIF('Retal Tran Line Item'!E:E,A2695,'Retal Tran Line Item'!B:B)</f>
        <v>9</v>
      </c>
    </row>
    <row r="2696" spans="1:8">
      <c r="A2696" s="1">
        <v>102916</v>
      </c>
      <c r="B2696" s="1">
        <v>950299</v>
      </c>
      <c r="C2696" s="2">
        <v>41637</v>
      </c>
      <c r="D2696" s="1" t="s">
        <v>1992</v>
      </c>
      <c r="E2696" s="6">
        <v>2</v>
      </c>
      <c r="F2696" s="6" t="str">
        <f t="shared" si="84"/>
        <v>December</v>
      </c>
      <c r="G2696" s="6">
        <f t="shared" si="85"/>
        <v>53</v>
      </c>
      <c r="H2696" s="1">
        <f>SUMIF('Retal Tran Line Item'!E:E,A2696,'Retal Tran Line Item'!B:B)</f>
        <v>13</v>
      </c>
    </row>
    <row r="2697" spans="1:8">
      <c r="A2697" s="1">
        <v>102917</v>
      </c>
      <c r="B2697" s="1">
        <v>132454</v>
      </c>
      <c r="C2697" s="2">
        <v>41638</v>
      </c>
      <c r="D2697" s="1" t="s">
        <v>1992</v>
      </c>
      <c r="E2697" s="6">
        <v>1</v>
      </c>
      <c r="F2697" s="6" t="str">
        <f t="shared" si="84"/>
        <v>December</v>
      </c>
      <c r="G2697" s="6">
        <f t="shared" si="85"/>
        <v>53</v>
      </c>
      <c r="H2697" s="1">
        <f>SUMIF('Retal Tran Line Item'!E:E,A2697,'Retal Tran Line Item'!B:B)</f>
        <v>12</v>
      </c>
    </row>
    <row r="2698" spans="1:8">
      <c r="A2698" s="1">
        <v>102918</v>
      </c>
      <c r="B2698" s="1">
        <v>817159</v>
      </c>
      <c r="C2698" s="2">
        <v>41638</v>
      </c>
      <c r="D2698" s="1" t="s">
        <v>1994</v>
      </c>
      <c r="E2698" s="6">
        <v>1</v>
      </c>
      <c r="F2698" s="6" t="str">
        <f t="shared" si="84"/>
        <v>December</v>
      </c>
      <c r="G2698" s="6">
        <f t="shared" si="85"/>
        <v>53</v>
      </c>
      <c r="H2698" s="1">
        <f>SUMIF('Retal Tran Line Item'!E:E,A2698,'Retal Tran Line Item'!B:B)</f>
        <v>7</v>
      </c>
    </row>
    <row r="2699" spans="1:8">
      <c r="A2699" s="1">
        <v>102919</v>
      </c>
      <c r="B2699" s="1">
        <v>551950</v>
      </c>
      <c r="C2699" s="2">
        <v>41638</v>
      </c>
      <c r="D2699" s="1" t="s">
        <v>1992</v>
      </c>
      <c r="E2699" s="6">
        <v>1</v>
      </c>
      <c r="F2699" s="6" t="str">
        <f t="shared" si="84"/>
        <v>December</v>
      </c>
      <c r="G2699" s="6">
        <f t="shared" si="85"/>
        <v>53</v>
      </c>
      <c r="H2699" s="1">
        <f>SUMIF('Retal Tran Line Item'!E:E,A2699,'Retal Tran Line Item'!B:B)</f>
        <v>3</v>
      </c>
    </row>
    <row r="2700" spans="1:8">
      <c r="A2700" s="1">
        <v>102920</v>
      </c>
      <c r="B2700" s="1">
        <v>955591</v>
      </c>
      <c r="C2700" s="2">
        <v>41638</v>
      </c>
      <c r="D2700" s="1" t="s">
        <v>1993</v>
      </c>
      <c r="E2700" s="6">
        <v>1</v>
      </c>
      <c r="F2700" s="6" t="str">
        <f t="shared" si="84"/>
        <v>December</v>
      </c>
      <c r="G2700" s="6">
        <f t="shared" si="85"/>
        <v>53</v>
      </c>
      <c r="H2700" s="1">
        <f>SUMIF('Retal Tran Line Item'!E:E,A2700,'Retal Tran Line Item'!B:B)</f>
        <v>11</v>
      </c>
    </row>
    <row r="2701" spans="1:8">
      <c r="A2701" s="1">
        <v>102921</v>
      </c>
      <c r="B2701" s="1">
        <v>233813</v>
      </c>
      <c r="C2701" s="2">
        <v>41638</v>
      </c>
      <c r="D2701" s="1" t="s">
        <v>1993</v>
      </c>
      <c r="E2701" s="6">
        <v>2</v>
      </c>
      <c r="F2701" s="6" t="str">
        <f t="shared" si="84"/>
        <v>December</v>
      </c>
      <c r="G2701" s="6">
        <f t="shared" si="85"/>
        <v>53</v>
      </c>
      <c r="H2701" s="1">
        <f>SUMIF('Retal Tran Line Item'!E:E,A2701,'Retal Tran Line Item'!B:B)</f>
        <v>1</v>
      </c>
    </row>
    <row r="2702" spans="1:8">
      <c r="A2702" s="1">
        <v>102922</v>
      </c>
      <c r="B2702" s="1">
        <v>762509</v>
      </c>
      <c r="C2702" s="2">
        <v>41638</v>
      </c>
      <c r="D2702" s="1" t="s">
        <v>1993</v>
      </c>
      <c r="E2702" s="6">
        <v>2</v>
      </c>
      <c r="F2702" s="6" t="str">
        <f t="shared" si="84"/>
        <v>December</v>
      </c>
      <c r="G2702" s="6">
        <f t="shared" si="85"/>
        <v>53</v>
      </c>
      <c r="H2702" s="1">
        <f>SUMIF('Retal Tran Line Item'!E:E,A2702,'Retal Tran Line Item'!B:B)</f>
        <v>4</v>
      </c>
    </row>
    <row r="2703" spans="1:8">
      <c r="A2703" s="1">
        <v>102923</v>
      </c>
      <c r="B2703" s="1">
        <v>435907</v>
      </c>
      <c r="C2703" s="2">
        <v>41638</v>
      </c>
      <c r="D2703" s="1" t="s">
        <v>1993</v>
      </c>
      <c r="E2703" s="6">
        <v>1</v>
      </c>
      <c r="F2703" s="6" t="str">
        <f t="shared" si="84"/>
        <v>December</v>
      </c>
      <c r="G2703" s="6">
        <f t="shared" si="85"/>
        <v>53</v>
      </c>
      <c r="H2703" s="1">
        <f>SUMIF('Retal Tran Line Item'!E:E,A2703,'Retal Tran Line Item'!B:B)</f>
        <v>7</v>
      </c>
    </row>
    <row r="2704" spans="1:8">
      <c r="A2704" s="1">
        <v>102924</v>
      </c>
      <c r="B2704" s="1">
        <v>442254</v>
      </c>
      <c r="C2704" s="2">
        <v>41639</v>
      </c>
      <c r="D2704" s="1" t="s">
        <v>1989</v>
      </c>
      <c r="E2704" s="6">
        <v>1</v>
      </c>
      <c r="F2704" s="6" t="str">
        <f t="shared" si="84"/>
        <v>December</v>
      </c>
      <c r="G2704" s="6">
        <f t="shared" si="85"/>
        <v>53</v>
      </c>
      <c r="H2704" s="1">
        <f>SUMIF('Retal Tran Line Item'!E:E,A2704,'Retal Tran Line Item'!B:B)</f>
        <v>8</v>
      </c>
    </row>
    <row r="2705" spans="1:8">
      <c r="A2705" s="1">
        <v>102928</v>
      </c>
      <c r="B2705" s="1">
        <v>416523</v>
      </c>
      <c r="C2705" s="2">
        <v>41639</v>
      </c>
      <c r="D2705" s="1" t="s">
        <v>1994</v>
      </c>
      <c r="E2705" s="6">
        <v>1</v>
      </c>
      <c r="F2705" s="6" t="str">
        <f t="shared" si="84"/>
        <v>December</v>
      </c>
      <c r="G2705" s="6">
        <f t="shared" si="85"/>
        <v>53</v>
      </c>
      <c r="H2705" s="1">
        <f>SUMIF('Retal Tran Line Item'!E:E,A2705,'Retal Tran Line Item'!B:B)</f>
        <v>3</v>
      </c>
    </row>
    <row r="2706" spans="1:8">
      <c r="A2706" s="1">
        <v>102931</v>
      </c>
      <c r="B2706" s="1">
        <v>173125</v>
      </c>
      <c r="C2706" s="2">
        <v>41639</v>
      </c>
      <c r="D2706" s="1" t="s">
        <v>1993</v>
      </c>
      <c r="E2706" s="6">
        <v>1</v>
      </c>
      <c r="F2706" s="6" t="str">
        <f t="shared" si="84"/>
        <v>December</v>
      </c>
      <c r="G2706" s="6">
        <f t="shared" si="85"/>
        <v>53</v>
      </c>
      <c r="H2706" s="1">
        <f>SUMIF('Retal Tran Line Item'!E:E,A2706,'Retal Tran Line Item'!B:B)</f>
        <v>1</v>
      </c>
    </row>
    <row r="2707" spans="1:8">
      <c r="A2707" s="1">
        <v>102932</v>
      </c>
      <c r="B2707" s="1">
        <v>850933</v>
      </c>
      <c r="C2707" s="2">
        <v>41640</v>
      </c>
      <c r="D2707" s="1" t="s">
        <v>1989</v>
      </c>
      <c r="E2707" s="6">
        <v>1</v>
      </c>
      <c r="F2707" s="6" t="str">
        <f t="shared" si="84"/>
        <v>January</v>
      </c>
      <c r="G2707" s="6">
        <f t="shared" si="85"/>
        <v>1</v>
      </c>
      <c r="H2707" s="1">
        <f>SUMIF('Retal Tran Line Item'!E:E,A2707,'Retal Tran Line Item'!B:B)</f>
        <v>1</v>
      </c>
    </row>
    <row r="2708" spans="1:8">
      <c r="A2708" s="1">
        <v>102934</v>
      </c>
      <c r="B2708" s="1">
        <v>308662</v>
      </c>
      <c r="C2708" s="2">
        <v>41640</v>
      </c>
      <c r="D2708" s="1" t="s">
        <v>1989</v>
      </c>
      <c r="E2708" s="6">
        <v>1</v>
      </c>
      <c r="F2708" s="6" t="str">
        <f t="shared" si="84"/>
        <v>January</v>
      </c>
      <c r="G2708" s="6">
        <f t="shared" si="85"/>
        <v>1</v>
      </c>
      <c r="H2708" s="1">
        <f>SUMIF('Retal Tran Line Item'!E:E,A2708,'Retal Tran Line Item'!B:B)</f>
        <v>11</v>
      </c>
    </row>
    <row r="2709" spans="1:8">
      <c r="A2709" s="1">
        <v>102937</v>
      </c>
      <c r="B2709" s="1">
        <v>345348</v>
      </c>
      <c r="C2709" s="2">
        <v>41640</v>
      </c>
      <c r="D2709" s="1" t="s">
        <v>1989</v>
      </c>
      <c r="E2709" s="6">
        <v>1</v>
      </c>
      <c r="F2709" s="6" t="str">
        <f t="shared" si="84"/>
        <v>January</v>
      </c>
      <c r="G2709" s="6">
        <f t="shared" si="85"/>
        <v>1</v>
      </c>
      <c r="H2709" s="1">
        <f>SUMIF('Retal Tran Line Item'!E:E,A2709,'Retal Tran Line Item'!B:B)</f>
        <v>7</v>
      </c>
    </row>
    <row r="2710" spans="1:8">
      <c r="A2710" s="1">
        <v>102938</v>
      </c>
      <c r="B2710" s="1">
        <v>105771</v>
      </c>
      <c r="C2710" s="2">
        <v>41640</v>
      </c>
      <c r="D2710" s="1" t="s">
        <v>1992</v>
      </c>
      <c r="E2710" s="6">
        <v>1</v>
      </c>
      <c r="F2710" s="6" t="str">
        <f t="shared" si="84"/>
        <v>January</v>
      </c>
      <c r="G2710" s="6">
        <f t="shared" si="85"/>
        <v>1</v>
      </c>
      <c r="H2710" s="1">
        <f>SUMIF('Retal Tran Line Item'!E:E,A2710,'Retal Tran Line Item'!B:B)</f>
        <v>9</v>
      </c>
    </row>
    <row r="2711" spans="1:8">
      <c r="A2711" s="1">
        <v>102939</v>
      </c>
      <c r="B2711" s="1">
        <v>371731</v>
      </c>
      <c r="C2711" s="2">
        <v>41641</v>
      </c>
      <c r="D2711" s="1" t="s">
        <v>1993</v>
      </c>
      <c r="E2711" s="6">
        <v>1</v>
      </c>
      <c r="F2711" s="6" t="str">
        <f t="shared" si="84"/>
        <v>January</v>
      </c>
      <c r="G2711" s="6">
        <f t="shared" si="85"/>
        <v>1</v>
      </c>
      <c r="H2711" s="1">
        <f>SUMIF('Retal Tran Line Item'!E:E,A2711,'Retal Tran Line Item'!B:B)</f>
        <v>5</v>
      </c>
    </row>
    <row r="2712" spans="1:8">
      <c r="A2712" s="1">
        <v>102941</v>
      </c>
      <c r="B2712" s="1">
        <v>927518</v>
      </c>
      <c r="C2712" s="2">
        <v>41641</v>
      </c>
      <c r="D2712" s="1" t="s">
        <v>1993</v>
      </c>
      <c r="E2712" s="6">
        <v>2</v>
      </c>
      <c r="F2712" s="6" t="str">
        <f t="shared" si="84"/>
        <v>January</v>
      </c>
      <c r="G2712" s="6">
        <f t="shared" si="85"/>
        <v>1</v>
      </c>
      <c r="H2712" s="1">
        <f>SUMIF('Retal Tran Line Item'!E:E,A2712,'Retal Tran Line Item'!B:B)</f>
        <v>6</v>
      </c>
    </row>
    <row r="2713" spans="1:8">
      <c r="A2713" s="1">
        <v>102942</v>
      </c>
      <c r="B2713" s="1">
        <v>468692</v>
      </c>
      <c r="C2713" s="2">
        <v>41641</v>
      </c>
      <c r="D2713" s="1" t="s">
        <v>1993</v>
      </c>
      <c r="E2713" s="6">
        <v>1</v>
      </c>
      <c r="F2713" s="6" t="str">
        <f t="shared" si="84"/>
        <v>January</v>
      </c>
      <c r="G2713" s="6">
        <f t="shared" si="85"/>
        <v>1</v>
      </c>
      <c r="H2713" s="1">
        <f>SUMIF('Retal Tran Line Item'!E:E,A2713,'Retal Tran Line Item'!B:B)</f>
        <v>7</v>
      </c>
    </row>
    <row r="2714" spans="1:8">
      <c r="A2714" s="1">
        <v>102943</v>
      </c>
      <c r="B2714" s="1">
        <v>912671</v>
      </c>
      <c r="C2714" s="2">
        <v>41641</v>
      </c>
      <c r="D2714" s="1" t="s">
        <v>1992</v>
      </c>
      <c r="E2714" s="6">
        <v>2</v>
      </c>
      <c r="F2714" s="6" t="str">
        <f t="shared" si="84"/>
        <v>January</v>
      </c>
      <c r="G2714" s="6">
        <f t="shared" si="85"/>
        <v>1</v>
      </c>
      <c r="H2714" s="1">
        <f>SUMIF('Retal Tran Line Item'!E:E,A2714,'Retal Tran Line Item'!B:B)</f>
        <v>5</v>
      </c>
    </row>
    <row r="2715" spans="1:8">
      <c r="A2715" s="1">
        <v>102946</v>
      </c>
      <c r="B2715" s="1">
        <v>244282</v>
      </c>
      <c r="C2715" s="2">
        <v>41641</v>
      </c>
      <c r="D2715" s="1" t="s">
        <v>1992</v>
      </c>
      <c r="E2715" s="6">
        <v>2</v>
      </c>
      <c r="F2715" s="6" t="str">
        <f t="shared" si="84"/>
        <v>January</v>
      </c>
      <c r="G2715" s="6">
        <f t="shared" si="85"/>
        <v>1</v>
      </c>
      <c r="H2715" s="1">
        <f>SUMIF('Retal Tran Line Item'!E:E,A2715,'Retal Tran Line Item'!B:B)</f>
        <v>9</v>
      </c>
    </row>
    <row r="2716" spans="1:8">
      <c r="A2716" s="1">
        <v>102950</v>
      </c>
      <c r="B2716" s="1">
        <v>166735</v>
      </c>
      <c r="C2716" s="2">
        <v>41642</v>
      </c>
      <c r="D2716" s="1" t="s">
        <v>1989</v>
      </c>
      <c r="E2716" s="6">
        <v>1</v>
      </c>
      <c r="F2716" s="6" t="str">
        <f t="shared" si="84"/>
        <v>January</v>
      </c>
      <c r="G2716" s="6">
        <f t="shared" si="85"/>
        <v>1</v>
      </c>
      <c r="H2716" s="1">
        <f>SUMIF('Retal Tran Line Item'!E:E,A2716,'Retal Tran Line Item'!B:B)</f>
        <v>20</v>
      </c>
    </row>
    <row r="2717" spans="1:8">
      <c r="A2717" s="1">
        <v>102951</v>
      </c>
      <c r="B2717" s="1">
        <v>355107</v>
      </c>
      <c r="C2717" s="2">
        <v>41642</v>
      </c>
      <c r="D2717" s="1" t="s">
        <v>1989</v>
      </c>
      <c r="E2717" s="6">
        <v>1</v>
      </c>
      <c r="F2717" s="6" t="str">
        <f t="shared" si="84"/>
        <v>January</v>
      </c>
      <c r="G2717" s="6">
        <f t="shared" si="85"/>
        <v>1</v>
      </c>
      <c r="H2717" s="1">
        <f>SUMIF('Retal Tran Line Item'!E:E,A2717,'Retal Tran Line Item'!B:B)</f>
        <v>6</v>
      </c>
    </row>
    <row r="2718" spans="1:8">
      <c r="A2718" s="1">
        <v>102952</v>
      </c>
      <c r="B2718" s="1">
        <v>366695</v>
      </c>
      <c r="C2718" s="2">
        <v>41642</v>
      </c>
      <c r="D2718" s="1" t="s">
        <v>1992</v>
      </c>
      <c r="E2718" s="6">
        <v>1</v>
      </c>
      <c r="F2718" s="6" t="str">
        <f t="shared" si="84"/>
        <v>January</v>
      </c>
      <c r="G2718" s="6">
        <f t="shared" si="85"/>
        <v>1</v>
      </c>
      <c r="H2718" s="1">
        <f>SUMIF('Retal Tran Line Item'!E:E,A2718,'Retal Tran Line Item'!B:B)</f>
        <v>7</v>
      </c>
    </row>
    <row r="2719" spans="1:8">
      <c r="A2719" s="1">
        <v>102954</v>
      </c>
      <c r="B2719" s="1">
        <v>840096</v>
      </c>
      <c r="C2719" s="2">
        <v>41643</v>
      </c>
      <c r="D2719" s="1" t="s">
        <v>1992</v>
      </c>
      <c r="E2719" s="6">
        <v>2</v>
      </c>
      <c r="F2719" s="6" t="str">
        <f t="shared" si="84"/>
        <v>January</v>
      </c>
      <c r="G2719" s="6">
        <f t="shared" si="85"/>
        <v>1</v>
      </c>
      <c r="H2719" s="1">
        <f>SUMIF('Retal Tran Line Item'!E:E,A2719,'Retal Tran Line Item'!B:B)</f>
        <v>9</v>
      </c>
    </row>
    <row r="2720" spans="1:8">
      <c r="A2720" s="1">
        <v>102957</v>
      </c>
      <c r="B2720" s="1">
        <v>488803</v>
      </c>
      <c r="C2720" s="2">
        <v>41643</v>
      </c>
      <c r="D2720" s="1" t="s">
        <v>1989</v>
      </c>
      <c r="E2720" s="6">
        <v>1</v>
      </c>
      <c r="F2720" s="6" t="str">
        <f t="shared" si="84"/>
        <v>January</v>
      </c>
      <c r="G2720" s="6">
        <f t="shared" si="85"/>
        <v>1</v>
      </c>
      <c r="H2720" s="1">
        <f>SUMIF('Retal Tran Line Item'!E:E,A2720,'Retal Tran Line Item'!B:B)</f>
        <v>13</v>
      </c>
    </row>
    <row r="2721" spans="1:8">
      <c r="A2721" s="1">
        <v>102960</v>
      </c>
      <c r="B2721" s="1">
        <v>216081</v>
      </c>
      <c r="C2721" s="2">
        <v>41643</v>
      </c>
      <c r="D2721" s="1" t="s">
        <v>1992</v>
      </c>
      <c r="E2721" s="6">
        <v>2</v>
      </c>
      <c r="F2721" s="6" t="str">
        <f t="shared" si="84"/>
        <v>January</v>
      </c>
      <c r="G2721" s="6">
        <f t="shared" si="85"/>
        <v>1</v>
      </c>
      <c r="H2721" s="1">
        <f>SUMIF('Retal Tran Line Item'!E:E,A2721,'Retal Tran Line Item'!B:B)</f>
        <v>9</v>
      </c>
    </row>
    <row r="2722" spans="1:8">
      <c r="A2722" s="1">
        <v>102961</v>
      </c>
      <c r="B2722" s="1">
        <v>278809</v>
      </c>
      <c r="C2722" s="2">
        <v>41644</v>
      </c>
      <c r="D2722" s="1" t="s">
        <v>1993</v>
      </c>
      <c r="E2722" s="6">
        <v>2</v>
      </c>
      <c r="F2722" s="6" t="str">
        <f t="shared" si="84"/>
        <v>January</v>
      </c>
      <c r="G2722" s="6">
        <f t="shared" si="85"/>
        <v>2</v>
      </c>
      <c r="H2722" s="1">
        <f>SUMIF('Retal Tran Line Item'!E:E,A2722,'Retal Tran Line Item'!B:B)</f>
        <v>1</v>
      </c>
    </row>
    <row r="2723" spans="1:8">
      <c r="A2723" s="1">
        <v>102962</v>
      </c>
      <c r="B2723" s="1">
        <v>714277</v>
      </c>
      <c r="C2723" s="2">
        <v>41644</v>
      </c>
      <c r="D2723" s="1" t="s">
        <v>1994</v>
      </c>
      <c r="E2723" s="6">
        <v>1</v>
      </c>
      <c r="F2723" s="6" t="str">
        <f t="shared" si="84"/>
        <v>January</v>
      </c>
      <c r="G2723" s="6">
        <f t="shared" si="85"/>
        <v>2</v>
      </c>
      <c r="H2723" s="1">
        <f>SUMIF('Retal Tran Line Item'!E:E,A2723,'Retal Tran Line Item'!B:B)</f>
        <v>22</v>
      </c>
    </row>
    <row r="2724" spans="1:8">
      <c r="A2724" s="1">
        <v>102963</v>
      </c>
      <c r="B2724" s="1">
        <v>304344</v>
      </c>
      <c r="C2724" s="2">
        <v>41644</v>
      </c>
      <c r="D2724" s="1" t="s">
        <v>1993</v>
      </c>
      <c r="E2724" s="6">
        <v>2</v>
      </c>
      <c r="F2724" s="6" t="str">
        <f t="shared" si="84"/>
        <v>January</v>
      </c>
      <c r="G2724" s="6">
        <f t="shared" si="85"/>
        <v>2</v>
      </c>
      <c r="H2724" s="1">
        <f>SUMIF('Retal Tran Line Item'!E:E,A2724,'Retal Tran Line Item'!B:B)</f>
        <v>18</v>
      </c>
    </row>
    <row r="2725" spans="1:8">
      <c r="A2725" s="1">
        <v>102966</v>
      </c>
      <c r="B2725" s="1">
        <v>202612</v>
      </c>
      <c r="C2725" s="2">
        <v>41644</v>
      </c>
      <c r="D2725" s="1" t="s">
        <v>1992</v>
      </c>
      <c r="E2725" s="6">
        <v>2</v>
      </c>
      <c r="F2725" s="6" t="str">
        <f t="shared" si="84"/>
        <v>January</v>
      </c>
      <c r="G2725" s="6">
        <f t="shared" si="85"/>
        <v>2</v>
      </c>
      <c r="H2725" s="1">
        <f>SUMIF('Retal Tran Line Item'!E:E,A2725,'Retal Tran Line Item'!B:B)</f>
        <v>5</v>
      </c>
    </row>
    <row r="2726" spans="1:8">
      <c r="A2726" s="1">
        <v>102967</v>
      </c>
      <c r="B2726" s="1">
        <v>575041</v>
      </c>
      <c r="C2726" s="2">
        <v>41644</v>
      </c>
      <c r="D2726" s="1" t="s">
        <v>1994</v>
      </c>
      <c r="E2726" s="6">
        <v>1</v>
      </c>
      <c r="F2726" s="6" t="str">
        <f t="shared" si="84"/>
        <v>January</v>
      </c>
      <c r="G2726" s="6">
        <f t="shared" si="85"/>
        <v>2</v>
      </c>
      <c r="H2726" s="1">
        <f>SUMIF('Retal Tran Line Item'!E:E,A2726,'Retal Tran Line Item'!B:B)</f>
        <v>15</v>
      </c>
    </row>
    <row r="2727" spans="1:8">
      <c r="A2727" s="1">
        <v>102968</v>
      </c>
      <c r="B2727" s="1">
        <v>242720</v>
      </c>
      <c r="C2727" s="2">
        <v>41644</v>
      </c>
      <c r="D2727" s="1" t="s">
        <v>1989</v>
      </c>
      <c r="E2727" s="6">
        <v>2</v>
      </c>
      <c r="F2727" s="6" t="str">
        <f t="shared" si="84"/>
        <v>January</v>
      </c>
      <c r="G2727" s="6">
        <f t="shared" si="85"/>
        <v>2</v>
      </c>
      <c r="H2727" s="1">
        <f>SUMIF('Retal Tran Line Item'!E:E,A2727,'Retal Tran Line Item'!B:B)</f>
        <v>9</v>
      </c>
    </row>
    <row r="2728" spans="1:8">
      <c r="A2728" s="1">
        <v>102971</v>
      </c>
      <c r="B2728" s="1">
        <v>298508</v>
      </c>
      <c r="C2728" s="2">
        <v>41645</v>
      </c>
      <c r="D2728" s="1" t="s">
        <v>1993</v>
      </c>
      <c r="E2728" s="6">
        <v>1</v>
      </c>
      <c r="F2728" s="6" t="str">
        <f t="shared" si="84"/>
        <v>January</v>
      </c>
      <c r="G2728" s="6">
        <f t="shared" si="85"/>
        <v>2</v>
      </c>
      <c r="H2728" s="1">
        <f>SUMIF('Retal Tran Line Item'!E:E,A2728,'Retal Tran Line Item'!B:B)</f>
        <v>1</v>
      </c>
    </row>
    <row r="2729" spans="1:8">
      <c r="A2729" s="1">
        <v>102972</v>
      </c>
      <c r="B2729" s="1">
        <v>559688</v>
      </c>
      <c r="C2729" s="2">
        <v>41645</v>
      </c>
      <c r="D2729" s="1" t="s">
        <v>1993</v>
      </c>
      <c r="E2729" s="6">
        <v>2</v>
      </c>
      <c r="F2729" s="6" t="str">
        <f t="shared" si="84"/>
        <v>January</v>
      </c>
      <c r="G2729" s="6">
        <f t="shared" si="85"/>
        <v>2</v>
      </c>
      <c r="H2729" s="1">
        <f>SUMIF('Retal Tran Line Item'!E:E,A2729,'Retal Tran Line Item'!B:B)</f>
        <v>9</v>
      </c>
    </row>
    <row r="2730" spans="1:8">
      <c r="A2730" s="1">
        <v>102973</v>
      </c>
      <c r="B2730" s="1">
        <v>358901</v>
      </c>
      <c r="C2730" s="2">
        <v>41645</v>
      </c>
      <c r="D2730" s="1" t="s">
        <v>1989</v>
      </c>
      <c r="E2730" s="6">
        <v>1</v>
      </c>
      <c r="F2730" s="6" t="str">
        <f t="shared" si="84"/>
        <v>January</v>
      </c>
      <c r="G2730" s="6">
        <f t="shared" si="85"/>
        <v>2</v>
      </c>
      <c r="H2730" s="1">
        <f>SUMIF('Retal Tran Line Item'!E:E,A2730,'Retal Tran Line Item'!B:B)</f>
        <v>2</v>
      </c>
    </row>
    <row r="2731" spans="1:8">
      <c r="A2731" s="1">
        <v>102975</v>
      </c>
      <c r="B2731" s="1">
        <v>847289</v>
      </c>
      <c r="C2731" s="2">
        <v>41645</v>
      </c>
      <c r="D2731" s="1" t="s">
        <v>1992</v>
      </c>
      <c r="E2731" s="6">
        <v>1</v>
      </c>
      <c r="F2731" s="6" t="str">
        <f t="shared" si="84"/>
        <v>January</v>
      </c>
      <c r="G2731" s="6">
        <f t="shared" si="85"/>
        <v>2</v>
      </c>
      <c r="H2731" s="1">
        <f>SUMIF('Retal Tran Line Item'!E:E,A2731,'Retal Tran Line Item'!B:B)</f>
        <v>3</v>
      </c>
    </row>
    <row r="2732" spans="1:8">
      <c r="A2732" s="1">
        <v>102976</v>
      </c>
      <c r="B2732" s="1">
        <v>206078</v>
      </c>
      <c r="C2732" s="2">
        <v>41646</v>
      </c>
      <c r="D2732" s="1" t="s">
        <v>1992</v>
      </c>
      <c r="E2732" s="6">
        <v>1</v>
      </c>
      <c r="F2732" s="6" t="str">
        <f t="shared" si="84"/>
        <v>January</v>
      </c>
      <c r="G2732" s="6">
        <f t="shared" si="85"/>
        <v>2</v>
      </c>
      <c r="H2732" s="1">
        <f>SUMIF('Retal Tran Line Item'!E:E,A2732,'Retal Tran Line Item'!B:B)</f>
        <v>8</v>
      </c>
    </row>
    <row r="2733" spans="1:8">
      <c r="A2733" s="1">
        <v>102977</v>
      </c>
      <c r="B2733" s="1">
        <v>808177</v>
      </c>
      <c r="C2733" s="2">
        <v>41646</v>
      </c>
      <c r="D2733" s="1" t="s">
        <v>1993</v>
      </c>
      <c r="E2733" s="6">
        <v>2</v>
      </c>
      <c r="F2733" s="6" t="str">
        <f t="shared" si="84"/>
        <v>January</v>
      </c>
      <c r="G2733" s="6">
        <f t="shared" si="85"/>
        <v>2</v>
      </c>
      <c r="H2733" s="1">
        <f>SUMIF('Retal Tran Line Item'!E:E,A2733,'Retal Tran Line Item'!B:B)</f>
        <v>8</v>
      </c>
    </row>
    <row r="2734" spans="1:8">
      <c r="A2734" s="1">
        <v>102978</v>
      </c>
      <c r="B2734" s="1">
        <v>319387</v>
      </c>
      <c r="C2734" s="2">
        <v>41646</v>
      </c>
      <c r="D2734" s="1" t="s">
        <v>1993</v>
      </c>
      <c r="E2734" s="6">
        <v>1</v>
      </c>
      <c r="F2734" s="6" t="str">
        <f t="shared" si="84"/>
        <v>January</v>
      </c>
      <c r="G2734" s="6">
        <f t="shared" si="85"/>
        <v>2</v>
      </c>
      <c r="H2734" s="1">
        <f>SUMIF('Retal Tran Line Item'!E:E,A2734,'Retal Tran Line Item'!B:B)</f>
        <v>12</v>
      </c>
    </row>
    <row r="2735" spans="1:8">
      <c r="A2735" s="1">
        <v>102979</v>
      </c>
      <c r="B2735" s="1">
        <v>358901</v>
      </c>
      <c r="C2735" s="2">
        <v>41646</v>
      </c>
      <c r="D2735" s="1" t="s">
        <v>1989</v>
      </c>
      <c r="E2735" s="6">
        <v>1</v>
      </c>
      <c r="F2735" s="6" t="str">
        <f t="shared" si="84"/>
        <v>January</v>
      </c>
      <c r="G2735" s="6">
        <f t="shared" si="85"/>
        <v>2</v>
      </c>
      <c r="H2735" s="1">
        <f>SUMIF('Retal Tran Line Item'!E:E,A2735,'Retal Tran Line Item'!B:B)</f>
        <v>5</v>
      </c>
    </row>
    <row r="2736" spans="1:8">
      <c r="A2736" s="1">
        <v>102980</v>
      </c>
      <c r="B2736" s="1">
        <v>116934</v>
      </c>
      <c r="C2736" s="2">
        <v>41646</v>
      </c>
      <c r="D2736" s="1" t="s">
        <v>1992</v>
      </c>
      <c r="E2736" s="6">
        <v>1</v>
      </c>
      <c r="F2736" s="6" t="str">
        <f t="shared" si="84"/>
        <v>January</v>
      </c>
      <c r="G2736" s="6">
        <f t="shared" si="85"/>
        <v>2</v>
      </c>
      <c r="H2736" s="1">
        <f>SUMIF('Retal Tran Line Item'!E:E,A2736,'Retal Tran Line Item'!B:B)</f>
        <v>10</v>
      </c>
    </row>
    <row r="2737" spans="1:8">
      <c r="A2737" s="1">
        <v>102981</v>
      </c>
      <c r="B2737" s="1">
        <v>296353</v>
      </c>
      <c r="C2737" s="2">
        <v>41646</v>
      </c>
      <c r="D2737" s="1" t="s">
        <v>1993</v>
      </c>
      <c r="E2737" s="6">
        <v>1</v>
      </c>
      <c r="F2737" s="6" t="str">
        <f t="shared" si="84"/>
        <v>January</v>
      </c>
      <c r="G2737" s="6">
        <f t="shared" si="85"/>
        <v>2</v>
      </c>
      <c r="H2737" s="1">
        <f>SUMIF('Retal Tran Line Item'!E:E,A2737,'Retal Tran Line Item'!B:B)</f>
        <v>4</v>
      </c>
    </row>
    <row r="2738" spans="1:8">
      <c r="A2738" s="1">
        <v>102984</v>
      </c>
      <c r="B2738" s="1">
        <v>353846</v>
      </c>
      <c r="C2738" s="2">
        <v>41647</v>
      </c>
      <c r="D2738" s="1" t="s">
        <v>1993</v>
      </c>
      <c r="E2738" s="6">
        <v>2</v>
      </c>
      <c r="F2738" s="6" t="str">
        <f t="shared" si="84"/>
        <v>January</v>
      </c>
      <c r="G2738" s="6">
        <f t="shared" si="85"/>
        <v>2</v>
      </c>
      <c r="H2738" s="1">
        <f>SUMIF('Retal Tran Line Item'!E:E,A2738,'Retal Tran Line Item'!B:B)</f>
        <v>8</v>
      </c>
    </row>
    <row r="2739" spans="1:8">
      <c r="A2739" s="1">
        <v>102985</v>
      </c>
      <c r="B2739" s="1">
        <v>404678</v>
      </c>
      <c r="C2739" s="2">
        <v>41647</v>
      </c>
      <c r="D2739" s="1" t="s">
        <v>1993</v>
      </c>
      <c r="E2739" s="6">
        <v>2</v>
      </c>
      <c r="F2739" s="6" t="str">
        <f t="shared" si="84"/>
        <v>January</v>
      </c>
      <c r="G2739" s="6">
        <f t="shared" si="85"/>
        <v>2</v>
      </c>
      <c r="H2739" s="1">
        <f>SUMIF('Retal Tran Line Item'!E:E,A2739,'Retal Tran Line Item'!B:B)</f>
        <v>12</v>
      </c>
    </row>
    <row r="2740" spans="1:8">
      <c r="A2740" s="1">
        <v>102987</v>
      </c>
      <c r="B2740" s="1">
        <v>862302</v>
      </c>
      <c r="C2740" s="2">
        <v>41647</v>
      </c>
      <c r="D2740" s="1" t="s">
        <v>1992</v>
      </c>
      <c r="E2740" s="6">
        <v>2</v>
      </c>
      <c r="F2740" s="6" t="str">
        <f t="shared" si="84"/>
        <v>January</v>
      </c>
      <c r="G2740" s="6">
        <f t="shared" si="85"/>
        <v>2</v>
      </c>
      <c r="H2740" s="1">
        <f>SUMIF('Retal Tran Line Item'!E:E,A2740,'Retal Tran Line Item'!B:B)</f>
        <v>12</v>
      </c>
    </row>
    <row r="2741" spans="1:8">
      <c r="A2741" s="1">
        <v>102988</v>
      </c>
      <c r="B2741" s="1">
        <v>877877</v>
      </c>
      <c r="C2741" s="2">
        <v>41647</v>
      </c>
      <c r="D2741" s="1" t="s">
        <v>1992</v>
      </c>
      <c r="E2741" s="6">
        <v>1</v>
      </c>
      <c r="F2741" s="6" t="str">
        <f t="shared" si="84"/>
        <v>January</v>
      </c>
      <c r="G2741" s="6">
        <f t="shared" si="85"/>
        <v>2</v>
      </c>
      <c r="H2741" s="1">
        <f>SUMIF('Retal Tran Line Item'!E:E,A2741,'Retal Tran Line Item'!B:B)</f>
        <v>10</v>
      </c>
    </row>
    <row r="2742" spans="1:8">
      <c r="A2742" s="1">
        <v>102989</v>
      </c>
      <c r="B2742" s="1">
        <v>157388</v>
      </c>
      <c r="C2742" s="2">
        <v>41647</v>
      </c>
      <c r="D2742" s="1" t="s">
        <v>1989</v>
      </c>
      <c r="E2742" s="6">
        <v>1</v>
      </c>
      <c r="F2742" s="6" t="str">
        <f t="shared" si="84"/>
        <v>January</v>
      </c>
      <c r="G2742" s="6">
        <f t="shared" si="85"/>
        <v>2</v>
      </c>
      <c r="H2742" s="1">
        <f>SUMIF('Retal Tran Line Item'!E:E,A2742,'Retal Tran Line Item'!B:B)</f>
        <v>15</v>
      </c>
    </row>
    <row r="2743" spans="1:8">
      <c r="A2743" s="1">
        <v>102991</v>
      </c>
      <c r="B2743" s="1">
        <v>578275</v>
      </c>
      <c r="C2743" s="2">
        <v>41647</v>
      </c>
      <c r="D2743" s="1" t="s">
        <v>1989</v>
      </c>
      <c r="E2743" s="6">
        <v>1</v>
      </c>
      <c r="F2743" s="6" t="str">
        <f t="shared" si="84"/>
        <v>January</v>
      </c>
      <c r="G2743" s="6">
        <f t="shared" si="85"/>
        <v>2</v>
      </c>
      <c r="H2743" s="1">
        <f>SUMIF('Retal Tran Line Item'!E:E,A2743,'Retal Tran Line Item'!B:B)</f>
        <v>13</v>
      </c>
    </row>
    <row r="2744" spans="1:8">
      <c r="A2744" s="1">
        <v>102993</v>
      </c>
      <c r="B2744" s="1">
        <v>175871</v>
      </c>
      <c r="C2744" s="2">
        <v>41648</v>
      </c>
      <c r="D2744" s="1" t="s">
        <v>1994</v>
      </c>
      <c r="E2744" s="6">
        <v>2</v>
      </c>
      <c r="F2744" s="6" t="str">
        <f t="shared" si="84"/>
        <v>January</v>
      </c>
      <c r="G2744" s="6">
        <f t="shared" si="85"/>
        <v>2</v>
      </c>
      <c r="H2744" s="1">
        <f>SUMIF('Retal Tran Line Item'!E:E,A2744,'Retal Tran Line Item'!B:B)</f>
        <v>6</v>
      </c>
    </row>
    <row r="2745" spans="1:8">
      <c r="A2745" s="1">
        <v>102999</v>
      </c>
      <c r="B2745" s="1">
        <v>548546</v>
      </c>
      <c r="C2745" s="2">
        <v>41648</v>
      </c>
      <c r="D2745" s="1" t="s">
        <v>1994</v>
      </c>
      <c r="E2745" s="6">
        <v>2</v>
      </c>
      <c r="F2745" s="6" t="str">
        <f t="shared" si="84"/>
        <v>January</v>
      </c>
      <c r="G2745" s="6">
        <f t="shared" si="85"/>
        <v>2</v>
      </c>
      <c r="H2745" s="1">
        <f>SUMIF('Retal Tran Line Item'!E:E,A2745,'Retal Tran Line Item'!B:B)</f>
        <v>6</v>
      </c>
    </row>
    <row r="2746" spans="1:8">
      <c r="A2746" s="1">
        <v>103000</v>
      </c>
      <c r="B2746" s="1">
        <v>884729</v>
      </c>
      <c r="C2746" s="2">
        <v>41649</v>
      </c>
      <c r="D2746" s="1" t="s">
        <v>1993</v>
      </c>
      <c r="E2746" s="6">
        <v>2</v>
      </c>
      <c r="F2746" s="6" t="str">
        <f t="shared" si="84"/>
        <v>January</v>
      </c>
      <c r="G2746" s="6">
        <f t="shared" si="85"/>
        <v>2</v>
      </c>
      <c r="H2746" s="1">
        <f>SUMIF('Retal Tran Line Item'!E:E,A2746,'Retal Tran Line Item'!B:B)</f>
        <v>2</v>
      </c>
    </row>
    <row r="2747" spans="1:8">
      <c r="A2747" s="1">
        <v>103001</v>
      </c>
      <c r="B2747" s="1">
        <v>559688</v>
      </c>
      <c r="C2747" s="2">
        <v>41649</v>
      </c>
      <c r="D2747" s="1" t="s">
        <v>1993</v>
      </c>
      <c r="E2747" s="6">
        <v>1</v>
      </c>
      <c r="F2747" s="6" t="str">
        <f t="shared" si="84"/>
        <v>January</v>
      </c>
      <c r="G2747" s="6">
        <f t="shared" si="85"/>
        <v>2</v>
      </c>
      <c r="H2747" s="1">
        <f>SUMIF('Retal Tran Line Item'!E:E,A2747,'Retal Tran Line Item'!B:B)</f>
        <v>2</v>
      </c>
    </row>
    <row r="2748" spans="1:8">
      <c r="A2748" s="1">
        <v>103002</v>
      </c>
      <c r="B2748" s="1">
        <v>105549</v>
      </c>
      <c r="C2748" s="2">
        <v>41649</v>
      </c>
      <c r="D2748" s="1" t="s">
        <v>1992</v>
      </c>
      <c r="E2748" s="6">
        <v>1</v>
      </c>
      <c r="F2748" s="6" t="str">
        <f t="shared" si="84"/>
        <v>January</v>
      </c>
      <c r="G2748" s="6">
        <f t="shared" si="85"/>
        <v>2</v>
      </c>
      <c r="H2748" s="1">
        <f>SUMIF('Retal Tran Line Item'!E:E,A2748,'Retal Tran Line Item'!B:B)</f>
        <v>3</v>
      </c>
    </row>
    <row r="2749" spans="1:8">
      <c r="A2749" s="1">
        <v>103003</v>
      </c>
      <c r="B2749" s="1">
        <v>908768</v>
      </c>
      <c r="C2749" s="2">
        <v>41649</v>
      </c>
      <c r="D2749" s="1" t="s">
        <v>1992</v>
      </c>
      <c r="E2749" s="6">
        <v>1</v>
      </c>
      <c r="F2749" s="6" t="str">
        <f t="shared" si="84"/>
        <v>January</v>
      </c>
      <c r="G2749" s="6">
        <f t="shared" si="85"/>
        <v>2</v>
      </c>
      <c r="H2749" s="1">
        <f>SUMIF('Retal Tran Line Item'!E:E,A2749,'Retal Tran Line Item'!B:B)</f>
        <v>7</v>
      </c>
    </row>
    <row r="2750" spans="1:8">
      <c r="A2750" s="1">
        <v>103004</v>
      </c>
      <c r="B2750" s="1">
        <v>741398</v>
      </c>
      <c r="C2750" s="2">
        <v>41649</v>
      </c>
      <c r="D2750" s="1" t="s">
        <v>1993</v>
      </c>
      <c r="E2750" s="6">
        <v>2</v>
      </c>
      <c r="F2750" s="6" t="str">
        <f t="shared" si="84"/>
        <v>January</v>
      </c>
      <c r="G2750" s="6">
        <f t="shared" si="85"/>
        <v>2</v>
      </c>
      <c r="H2750" s="1">
        <f>SUMIF('Retal Tran Line Item'!E:E,A2750,'Retal Tran Line Item'!B:B)</f>
        <v>9</v>
      </c>
    </row>
    <row r="2751" spans="1:8">
      <c r="A2751" s="1">
        <v>103007</v>
      </c>
      <c r="B2751" s="1">
        <v>616028</v>
      </c>
      <c r="C2751" s="2">
        <v>41649</v>
      </c>
      <c r="D2751" s="1" t="s">
        <v>1992</v>
      </c>
      <c r="E2751" s="6">
        <v>1</v>
      </c>
      <c r="F2751" s="6" t="str">
        <f t="shared" si="84"/>
        <v>January</v>
      </c>
      <c r="G2751" s="6">
        <f t="shared" si="85"/>
        <v>2</v>
      </c>
      <c r="H2751" s="1">
        <f>SUMIF('Retal Tran Line Item'!E:E,A2751,'Retal Tran Line Item'!B:B)</f>
        <v>5</v>
      </c>
    </row>
    <row r="2752" spans="1:8">
      <c r="A2752" s="1">
        <v>103011</v>
      </c>
      <c r="B2752" s="1">
        <v>161175</v>
      </c>
      <c r="C2752" s="2">
        <v>41650</v>
      </c>
      <c r="D2752" s="1" t="s">
        <v>1994</v>
      </c>
      <c r="E2752" s="6">
        <v>2</v>
      </c>
      <c r="F2752" s="6" t="str">
        <f t="shared" si="84"/>
        <v>January</v>
      </c>
      <c r="G2752" s="6">
        <f t="shared" si="85"/>
        <v>2</v>
      </c>
      <c r="H2752" s="1">
        <f>SUMIF('Retal Tran Line Item'!E:E,A2752,'Retal Tran Line Item'!B:B)</f>
        <v>3</v>
      </c>
    </row>
    <row r="2753" spans="1:8">
      <c r="A2753" s="1">
        <v>103012</v>
      </c>
      <c r="B2753" s="1">
        <v>418521</v>
      </c>
      <c r="C2753" s="2">
        <v>41650</v>
      </c>
      <c r="D2753" s="1" t="s">
        <v>1989</v>
      </c>
      <c r="E2753" s="6">
        <v>1</v>
      </c>
      <c r="F2753" s="6" t="str">
        <f t="shared" si="84"/>
        <v>January</v>
      </c>
      <c r="G2753" s="6">
        <f t="shared" si="85"/>
        <v>2</v>
      </c>
      <c r="H2753" s="1">
        <f>SUMIF('Retal Tran Line Item'!E:E,A2753,'Retal Tran Line Item'!B:B)</f>
        <v>1</v>
      </c>
    </row>
    <row r="2754" spans="1:8">
      <c r="A2754" s="1">
        <v>103013</v>
      </c>
      <c r="B2754" s="1">
        <v>800121</v>
      </c>
      <c r="C2754" s="2">
        <v>41650</v>
      </c>
      <c r="D2754" s="1" t="s">
        <v>1993</v>
      </c>
      <c r="E2754" s="6">
        <v>1</v>
      </c>
      <c r="F2754" s="6" t="str">
        <f t="shared" si="84"/>
        <v>January</v>
      </c>
      <c r="G2754" s="6">
        <f t="shared" si="85"/>
        <v>2</v>
      </c>
      <c r="H2754" s="1">
        <f>SUMIF('Retal Tran Line Item'!E:E,A2754,'Retal Tran Line Item'!B:B)</f>
        <v>10</v>
      </c>
    </row>
    <row r="2755" spans="1:8">
      <c r="A2755" s="1">
        <v>103014</v>
      </c>
      <c r="B2755" s="1">
        <v>346006</v>
      </c>
      <c r="C2755" s="2">
        <v>41650</v>
      </c>
      <c r="D2755" s="1" t="s">
        <v>1989</v>
      </c>
      <c r="E2755" s="6">
        <v>1</v>
      </c>
      <c r="F2755" s="6" t="str">
        <f t="shared" ref="F2755:F2818" si="86">TEXT(C2755,"MMMM")</f>
        <v>January</v>
      </c>
      <c r="G2755" s="6">
        <f t="shared" ref="G2755:G2818" si="87">WEEKNUM(C2755)</f>
        <v>2</v>
      </c>
      <c r="H2755" s="1">
        <f>SUMIF('Retal Tran Line Item'!E:E,A2755,'Retal Tran Line Item'!B:B)</f>
        <v>8</v>
      </c>
    </row>
    <row r="2756" spans="1:8">
      <c r="A2756" s="1">
        <v>103015</v>
      </c>
      <c r="B2756" s="1">
        <v>994056</v>
      </c>
      <c r="C2756" s="2">
        <v>41651</v>
      </c>
      <c r="D2756" s="1" t="s">
        <v>1989</v>
      </c>
      <c r="E2756" s="6">
        <v>2</v>
      </c>
      <c r="F2756" s="6" t="str">
        <f t="shared" si="86"/>
        <v>January</v>
      </c>
      <c r="G2756" s="6">
        <f t="shared" si="87"/>
        <v>3</v>
      </c>
      <c r="H2756" s="1">
        <f>SUMIF('Retal Tran Line Item'!E:E,A2756,'Retal Tran Line Item'!B:B)</f>
        <v>15</v>
      </c>
    </row>
    <row r="2757" spans="1:8">
      <c r="A2757" s="1">
        <v>103016</v>
      </c>
      <c r="B2757" s="1">
        <v>901388</v>
      </c>
      <c r="C2757" s="2">
        <v>41651</v>
      </c>
      <c r="D2757" s="1" t="s">
        <v>1992</v>
      </c>
      <c r="E2757" s="6">
        <v>1</v>
      </c>
      <c r="F2757" s="6" t="str">
        <f t="shared" si="86"/>
        <v>January</v>
      </c>
      <c r="G2757" s="6">
        <f t="shared" si="87"/>
        <v>3</v>
      </c>
      <c r="H2757" s="1">
        <f>SUMIF('Retal Tran Line Item'!E:E,A2757,'Retal Tran Line Item'!B:B)</f>
        <v>9</v>
      </c>
    </row>
    <row r="2758" spans="1:8">
      <c r="A2758" s="1">
        <v>103017</v>
      </c>
      <c r="B2758" s="1">
        <v>435907</v>
      </c>
      <c r="C2758" s="2">
        <v>41651</v>
      </c>
      <c r="D2758" s="1" t="s">
        <v>1993</v>
      </c>
      <c r="E2758" s="6">
        <v>2</v>
      </c>
      <c r="F2758" s="6" t="str">
        <f t="shared" si="86"/>
        <v>January</v>
      </c>
      <c r="G2758" s="6">
        <f t="shared" si="87"/>
        <v>3</v>
      </c>
      <c r="H2758" s="1">
        <f>SUMIF('Retal Tran Line Item'!E:E,A2758,'Retal Tran Line Item'!B:B)</f>
        <v>1</v>
      </c>
    </row>
    <row r="2759" spans="1:8">
      <c r="A2759" s="1">
        <v>103019</v>
      </c>
      <c r="B2759" s="1">
        <v>703083</v>
      </c>
      <c r="C2759" s="2">
        <v>41651</v>
      </c>
      <c r="D2759" s="1" t="s">
        <v>1994</v>
      </c>
      <c r="E2759" s="6">
        <v>1</v>
      </c>
      <c r="F2759" s="6" t="str">
        <f t="shared" si="86"/>
        <v>January</v>
      </c>
      <c r="G2759" s="6">
        <f t="shared" si="87"/>
        <v>3</v>
      </c>
      <c r="H2759" s="1">
        <f>SUMIF('Retal Tran Line Item'!E:E,A2759,'Retal Tran Line Item'!B:B)</f>
        <v>10</v>
      </c>
    </row>
    <row r="2760" spans="1:8">
      <c r="A2760" s="1">
        <v>103020</v>
      </c>
      <c r="B2760" s="1">
        <v>781968</v>
      </c>
      <c r="C2760" s="2">
        <v>41651</v>
      </c>
      <c r="D2760" s="1" t="s">
        <v>1993</v>
      </c>
      <c r="E2760" s="6">
        <v>2</v>
      </c>
      <c r="F2760" s="6" t="str">
        <f t="shared" si="86"/>
        <v>January</v>
      </c>
      <c r="G2760" s="6">
        <f t="shared" si="87"/>
        <v>3</v>
      </c>
      <c r="H2760" s="1">
        <f>SUMIF('Retal Tran Line Item'!E:E,A2760,'Retal Tran Line Item'!B:B)</f>
        <v>6</v>
      </c>
    </row>
    <row r="2761" spans="1:8">
      <c r="A2761" s="1">
        <v>103021</v>
      </c>
      <c r="B2761" s="1">
        <v>154427</v>
      </c>
      <c r="C2761" s="2">
        <v>41651</v>
      </c>
      <c r="D2761" s="1" t="s">
        <v>1993</v>
      </c>
      <c r="E2761" s="6">
        <v>2</v>
      </c>
      <c r="F2761" s="6" t="str">
        <f t="shared" si="86"/>
        <v>January</v>
      </c>
      <c r="G2761" s="6">
        <f t="shared" si="87"/>
        <v>3</v>
      </c>
      <c r="H2761" s="1">
        <f>SUMIF('Retal Tran Line Item'!E:E,A2761,'Retal Tran Line Item'!B:B)</f>
        <v>9</v>
      </c>
    </row>
    <row r="2762" spans="1:8">
      <c r="A2762" s="1">
        <v>103022</v>
      </c>
      <c r="B2762" s="1">
        <v>924649</v>
      </c>
      <c r="C2762" s="2">
        <v>41651</v>
      </c>
      <c r="D2762" s="1" t="s">
        <v>1993</v>
      </c>
      <c r="E2762" s="6">
        <v>2</v>
      </c>
      <c r="F2762" s="6" t="str">
        <f t="shared" si="86"/>
        <v>January</v>
      </c>
      <c r="G2762" s="6">
        <f t="shared" si="87"/>
        <v>3</v>
      </c>
      <c r="H2762" s="1">
        <f>SUMIF('Retal Tran Line Item'!E:E,A2762,'Retal Tran Line Item'!B:B)</f>
        <v>4</v>
      </c>
    </row>
    <row r="2763" spans="1:8">
      <c r="A2763" s="1">
        <v>103023</v>
      </c>
      <c r="B2763" s="1">
        <v>741514</v>
      </c>
      <c r="C2763" s="2">
        <v>41652</v>
      </c>
      <c r="D2763" s="1" t="s">
        <v>1992</v>
      </c>
      <c r="E2763" s="6">
        <v>1</v>
      </c>
      <c r="F2763" s="6" t="str">
        <f t="shared" si="86"/>
        <v>January</v>
      </c>
      <c r="G2763" s="6">
        <f t="shared" si="87"/>
        <v>3</v>
      </c>
      <c r="H2763" s="1">
        <f>SUMIF('Retal Tran Line Item'!E:E,A2763,'Retal Tran Line Item'!B:B)</f>
        <v>6</v>
      </c>
    </row>
    <row r="2764" spans="1:8">
      <c r="A2764" s="1">
        <v>103024</v>
      </c>
      <c r="B2764" s="1">
        <v>468692</v>
      </c>
      <c r="C2764" s="2">
        <v>41652</v>
      </c>
      <c r="D2764" s="1" t="s">
        <v>1993</v>
      </c>
      <c r="E2764" s="6">
        <v>2</v>
      </c>
      <c r="F2764" s="6" t="str">
        <f t="shared" si="86"/>
        <v>January</v>
      </c>
      <c r="G2764" s="6">
        <f t="shared" si="87"/>
        <v>3</v>
      </c>
      <c r="H2764" s="1">
        <f>SUMIF('Retal Tran Line Item'!E:E,A2764,'Retal Tran Line Item'!B:B)</f>
        <v>7</v>
      </c>
    </row>
    <row r="2765" spans="1:8">
      <c r="A2765" s="1">
        <v>103025</v>
      </c>
      <c r="B2765" s="1">
        <v>121639</v>
      </c>
      <c r="C2765" s="2">
        <v>41652</v>
      </c>
      <c r="D2765" s="1" t="s">
        <v>1989</v>
      </c>
      <c r="E2765" s="6">
        <v>2</v>
      </c>
      <c r="F2765" s="6" t="str">
        <f t="shared" si="86"/>
        <v>January</v>
      </c>
      <c r="G2765" s="6">
        <f t="shared" si="87"/>
        <v>3</v>
      </c>
      <c r="H2765" s="1">
        <f>SUMIF('Retal Tran Line Item'!E:E,A2765,'Retal Tran Line Item'!B:B)</f>
        <v>4</v>
      </c>
    </row>
    <row r="2766" spans="1:8">
      <c r="A2766" s="1">
        <v>103027</v>
      </c>
      <c r="B2766" s="1">
        <v>994185</v>
      </c>
      <c r="C2766" s="2">
        <v>41652</v>
      </c>
      <c r="D2766" s="1" t="s">
        <v>1992</v>
      </c>
      <c r="E2766" s="6">
        <v>2</v>
      </c>
      <c r="F2766" s="6" t="str">
        <f t="shared" si="86"/>
        <v>January</v>
      </c>
      <c r="G2766" s="6">
        <f t="shared" si="87"/>
        <v>3</v>
      </c>
      <c r="H2766" s="1">
        <f>SUMIF('Retal Tran Line Item'!E:E,A2766,'Retal Tran Line Item'!B:B)</f>
        <v>6</v>
      </c>
    </row>
    <row r="2767" spans="1:8">
      <c r="A2767" s="1">
        <v>103028</v>
      </c>
      <c r="B2767" s="1">
        <v>624668</v>
      </c>
      <c r="C2767" s="2">
        <v>41652</v>
      </c>
      <c r="D2767" s="1" t="s">
        <v>1992</v>
      </c>
      <c r="E2767" s="6">
        <v>1</v>
      </c>
      <c r="F2767" s="6" t="str">
        <f t="shared" si="86"/>
        <v>January</v>
      </c>
      <c r="G2767" s="6">
        <f t="shared" si="87"/>
        <v>3</v>
      </c>
      <c r="H2767" s="1">
        <f>SUMIF('Retal Tran Line Item'!E:E,A2767,'Retal Tran Line Item'!B:B)</f>
        <v>5</v>
      </c>
    </row>
    <row r="2768" spans="1:8">
      <c r="A2768" s="1">
        <v>103030</v>
      </c>
      <c r="B2768" s="1">
        <v>191050</v>
      </c>
      <c r="C2768" s="2">
        <v>41652</v>
      </c>
      <c r="D2768" s="1" t="s">
        <v>1992</v>
      </c>
      <c r="E2768" s="6">
        <v>1</v>
      </c>
      <c r="F2768" s="6" t="str">
        <f t="shared" si="86"/>
        <v>January</v>
      </c>
      <c r="G2768" s="6">
        <f t="shared" si="87"/>
        <v>3</v>
      </c>
      <c r="H2768" s="1">
        <f>SUMIF('Retal Tran Line Item'!E:E,A2768,'Retal Tran Line Item'!B:B)</f>
        <v>6</v>
      </c>
    </row>
    <row r="2769" spans="1:8">
      <c r="A2769" s="1">
        <v>103031</v>
      </c>
      <c r="B2769" s="1">
        <v>192738</v>
      </c>
      <c r="C2769" s="2">
        <v>41653</v>
      </c>
      <c r="D2769" s="1" t="s">
        <v>1994</v>
      </c>
      <c r="E2769" s="6">
        <v>1</v>
      </c>
      <c r="F2769" s="6" t="str">
        <f t="shared" si="86"/>
        <v>January</v>
      </c>
      <c r="G2769" s="6">
        <f t="shared" si="87"/>
        <v>3</v>
      </c>
      <c r="H2769" s="1">
        <f>SUMIF('Retal Tran Line Item'!E:E,A2769,'Retal Tran Line Item'!B:B)</f>
        <v>6</v>
      </c>
    </row>
    <row r="2770" spans="1:8">
      <c r="A2770" s="1">
        <v>103032</v>
      </c>
      <c r="B2770" s="1">
        <v>265339</v>
      </c>
      <c r="C2770" s="2">
        <v>41653</v>
      </c>
      <c r="D2770" s="1" t="s">
        <v>1994</v>
      </c>
      <c r="E2770" s="6">
        <v>2</v>
      </c>
      <c r="F2770" s="6" t="str">
        <f t="shared" si="86"/>
        <v>January</v>
      </c>
      <c r="G2770" s="6">
        <f t="shared" si="87"/>
        <v>3</v>
      </c>
      <c r="H2770" s="1">
        <f>SUMIF('Retal Tran Line Item'!E:E,A2770,'Retal Tran Line Item'!B:B)</f>
        <v>8</v>
      </c>
    </row>
    <row r="2771" spans="1:8">
      <c r="A2771" s="1">
        <v>103033</v>
      </c>
      <c r="B2771" s="1">
        <v>938417</v>
      </c>
      <c r="C2771" s="2">
        <v>41653</v>
      </c>
      <c r="D2771" s="1" t="s">
        <v>1992</v>
      </c>
      <c r="E2771" s="6">
        <v>1</v>
      </c>
      <c r="F2771" s="6" t="str">
        <f t="shared" si="86"/>
        <v>January</v>
      </c>
      <c r="G2771" s="6">
        <f t="shared" si="87"/>
        <v>3</v>
      </c>
      <c r="H2771" s="1">
        <f>SUMIF('Retal Tran Line Item'!E:E,A2771,'Retal Tran Line Item'!B:B)</f>
        <v>4</v>
      </c>
    </row>
    <row r="2772" spans="1:8">
      <c r="A2772" s="1">
        <v>103035</v>
      </c>
      <c r="B2772" s="1">
        <v>241144</v>
      </c>
      <c r="C2772" s="2">
        <v>41653</v>
      </c>
      <c r="D2772" s="1" t="s">
        <v>1992</v>
      </c>
      <c r="E2772" s="6">
        <v>2</v>
      </c>
      <c r="F2772" s="6" t="str">
        <f t="shared" si="86"/>
        <v>January</v>
      </c>
      <c r="G2772" s="6">
        <f t="shared" si="87"/>
        <v>3</v>
      </c>
      <c r="H2772" s="1">
        <f>SUMIF('Retal Tran Line Item'!E:E,A2772,'Retal Tran Line Item'!B:B)</f>
        <v>9</v>
      </c>
    </row>
    <row r="2773" spans="1:8">
      <c r="A2773" s="1">
        <v>103036</v>
      </c>
      <c r="B2773" s="1">
        <v>317461</v>
      </c>
      <c r="C2773" s="2">
        <v>41653</v>
      </c>
      <c r="D2773" s="1" t="s">
        <v>1992</v>
      </c>
      <c r="E2773" s="6">
        <v>1</v>
      </c>
      <c r="F2773" s="6" t="str">
        <f t="shared" si="86"/>
        <v>January</v>
      </c>
      <c r="G2773" s="6">
        <f t="shared" si="87"/>
        <v>3</v>
      </c>
      <c r="H2773" s="1">
        <f>SUMIF('Retal Tran Line Item'!E:E,A2773,'Retal Tran Line Item'!B:B)</f>
        <v>21</v>
      </c>
    </row>
    <row r="2774" spans="1:8">
      <c r="A2774" s="1">
        <v>103037</v>
      </c>
      <c r="B2774" s="1">
        <v>734624</v>
      </c>
      <c r="C2774" s="2">
        <v>41653</v>
      </c>
      <c r="D2774" s="1" t="s">
        <v>1994</v>
      </c>
      <c r="E2774" s="6">
        <v>2</v>
      </c>
      <c r="F2774" s="6" t="str">
        <f t="shared" si="86"/>
        <v>January</v>
      </c>
      <c r="G2774" s="6">
        <f t="shared" si="87"/>
        <v>3</v>
      </c>
      <c r="H2774" s="1">
        <f>SUMIF('Retal Tran Line Item'!E:E,A2774,'Retal Tran Line Item'!B:B)</f>
        <v>13</v>
      </c>
    </row>
    <row r="2775" spans="1:8">
      <c r="A2775" s="1">
        <v>103038</v>
      </c>
      <c r="B2775" s="1">
        <v>405322</v>
      </c>
      <c r="C2775" s="2">
        <v>41653</v>
      </c>
      <c r="D2775" s="1" t="s">
        <v>1992</v>
      </c>
      <c r="E2775" s="6">
        <v>1</v>
      </c>
      <c r="F2775" s="6" t="str">
        <f t="shared" si="86"/>
        <v>January</v>
      </c>
      <c r="G2775" s="6">
        <f t="shared" si="87"/>
        <v>3</v>
      </c>
      <c r="H2775" s="1">
        <f>SUMIF('Retal Tran Line Item'!E:E,A2775,'Retal Tran Line Item'!B:B)</f>
        <v>8</v>
      </c>
    </row>
    <row r="2776" spans="1:8">
      <c r="A2776" s="1">
        <v>103039</v>
      </c>
      <c r="B2776" s="1">
        <v>233956</v>
      </c>
      <c r="C2776" s="2">
        <v>41654</v>
      </c>
      <c r="D2776" s="1" t="s">
        <v>1992</v>
      </c>
      <c r="E2776" s="6">
        <v>2</v>
      </c>
      <c r="F2776" s="6" t="str">
        <f t="shared" si="86"/>
        <v>January</v>
      </c>
      <c r="G2776" s="6">
        <f t="shared" si="87"/>
        <v>3</v>
      </c>
      <c r="H2776" s="1">
        <f>SUMIF('Retal Tran Line Item'!E:E,A2776,'Retal Tran Line Item'!B:B)</f>
        <v>9</v>
      </c>
    </row>
    <row r="2777" spans="1:8">
      <c r="A2777" s="1">
        <v>103040</v>
      </c>
      <c r="B2777" s="1">
        <v>121639</v>
      </c>
      <c r="C2777" s="2">
        <v>41654</v>
      </c>
      <c r="D2777" s="1" t="s">
        <v>1989</v>
      </c>
      <c r="E2777" s="6">
        <v>1</v>
      </c>
      <c r="F2777" s="6" t="str">
        <f t="shared" si="86"/>
        <v>January</v>
      </c>
      <c r="G2777" s="6">
        <f t="shared" si="87"/>
        <v>3</v>
      </c>
      <c r="H2777" s="1">
        <f>SUMIF('Retal Tran Line Item'!E:E,A2777,'Retal Tran Line Item'!B:B)</f>
        <v>3</v>
      </c>
    </row>
    <row r="2778" spans="1:8">
      <c r="A2778" s="1">
        <v>103042</v>
      </c>
      <c r="B2778" s="1">
        <v>606155</v>
      </c>
      <c r="C2778" s="2">
        <v>41654</v>
      </c>
      <c r="D2778" s="1" t="s">
        <v>1993</v>
      </c>
      <c r="E2778" s="6">
        <v>1</v>
      </c>
      <c r="F2778" s="6" t="str">
        <f t="shared" si="86"/>
        <v>January</v>
      </c>
      <c r="G2778" s="6">
        <f t="shared" si="87"/>
        <v>3</v>
      </c>
      <c r="H2778" s="1">
        <f>SUMIF('Retal Tran Line Item'!E:E,A2778,'Retal Tran Line Item'!B:B)</f>
        <v>6</v>
      </c>
    </row>
    <row r="2779" spans="1:8">
      <c r="A2779" s="1">
        <v>103044</v>
      </c>
      <c r="B2779" s="1">
        <v>605188</v>
      </c>
      <c r="C2779" s="2">
        <v>41654</v>
      </c>
      <c r="D2779" s="1" t="s">
        <v>1989</v>
      </c>
      <c r="E2779" s="6">
        <v>1</v>
      </c>
      <c r="F2779" s="6" t="str">
        <f t="shared" si="86"/>
        <v>January</v>
      </c>
      <c r="G2779" s="6">
        <f t="shared" si="87"/>
        <v>3</v>
      </c>
      <c r="H2779" s="1">
        <f>SUMIF('Retal Tran Line Item'!E:E,A2779,'Retal Tran Line Item'!B:B)</f>
        <v>14</v>
      </c>
    </row>
    <row r="2780" spans="1:8">
      <c r="A2780" s="1">
        <v>103045</v>
      </c>
      <c r="B2780" s="1">
        <v>781523</v>
      </c>
      <c r="C2780" s="2">
        <v>41655</v>
      </c>
      <c r="D2780" s="1" t="s">
        <v>1989</v>
      </c>
      <c r="E2780" s="6">
        <v>1</v>
      </c>
      <c r="F2780" s="6" t="str">
        <f t="shared" si="86"/>
        <v>January</v>
      </c>
      <c r="G2780" s="6">
        <f t="shared" si="87"/>
        <v>3</v>
      </c>
      <c r="H2780" s="1">
        <f>SUMIF('Retal Tran Line Item'!E:E,A2780,'Retal Tran Line Item'!B:B)</f>
        <v>6</v>
      </c>
    </row>
    <row r="2781" spans="1:8">
      <c r="A2781" s="1">
        <v>103048</v>
      </c>
      <c r="B2781" s="1">
        <v>964619</v>
      </c>
      <c r="C2781" s="2">
        <v>41655</v>
      </c>
      <c r="D2781" s="1" t="s">
        <v>1994</v>
      </c>
      <c r="E2781" s="6">
        <v>2</v>
      </c>
      <c r="F2781" s="6" t="str">
        <f t="shared" si="86"/>
        <v>January</v>
      </c>
      <c r="G2781" s="6">
        <f t="shared" si="87"/>
        <v>3</v>
      </c>
      <c r="H2781" s="1">
        <f>SUMIF('Retal Tran Line Item'!E:E,A2781,'Retal Tran Line Item'!B:B)</f>
        <v>4</v>
      </c>
    </row>
    <row r="2782" spans="1:8">
      <c r="A2782" s="1">
        <v>103049</v>
      </c>
      <c r="B2782" s="1">
        <v>590616</v>
      </c>
      <c r="C2782" s="2">
        <v>41655</v>
      </c>
      <c r="D2782" s="1" t="s">
        <v>1993</v>
      </c>
      <c r="E2782" s="6">
        <v>2</v>
      </c>
      <c r="F2782" s="6" t="str">
        <f t="shared" si="86"/>
        <v>January</v>
      </c>
      <c r="G2782" s="6">
        <f t="shared" si="87"/>
        <v>3</v>
      </c>
      <c r="H2782" s="1">
        <f>SUMIF('Retal Tran Line Item'!E:E,A2782,'Retal Tran Line Item'!B:B)</f>
        <v>11</v>
      </c>
    </row>
    <row r="2783" spans="1:8">
      <c r="A2783" s="1">
        <v>103050</v>
      </c>
      <c r="B2783" s="1">
        <v>426984</v>
      </c>
      <c r="C2783" s="2">
        <v>41655</v>
      </c>
      <c r="D2783" s="1" t="s">
        <v>1992</v>
      </c>
      <c r="E2783" s="6">
        <v>2</v>
      </c>
      <c r="F2783" s="6" t="str">
        <f t="shared" si="86"/>
        <v>January</v>
      </c>
      <c r="G2783" s="6">
        <f t="shared" si="87"/>
        <v>3</v>
      </c>
      <c r="H2783" s="1">
        <f>SUMIF('Retal Tran Line Item'!E:E,A2783,'Retal Tran Line Item'!B:B)</f>
        <v>8</v>
      </c>
    </row>
    <row r="2784" spans="1:8">
      <c r="A2784" s="1">
        <v>103052</v>
      </c>
      <c r="B2784" s="1">
        <v>346006</v>
      </c>
      <c r="C2784" s="2">
        <v>41655</v>
      </c>
      <c r="D2784" s="1" t="s">
        <v>1989</v>
      </c>
      <c r="E2784" s="6">
        <v>2</v>
      </c>
      <c r="F2784" s="6" t="str">
        <f t="shared" si="86"/>
        <v>January</v>
      </c>
      <c r="G2784" s="6">
        <f t="shared" si="87"/>
        <v>3</v>
      </c>
      <c r="H2784" s="1">
        <f>SUMIF('Retal Tran Line Item'!E:E,A2784,'Retal Tran Line Item'!B:B)</f>
        <v>3</v>
      </c>
    </row>
    <row r="2785" spans="1:8">
      <c r="A2785" s="1">
        <v>103055</v>
      </c>
      <c r="B2785" s="1">
        <v>782947</v>
      </c>
      <c r="C2785" s="2">
        <v>41656</v>
      </c>
      <c r="D2785" s="1" t="s">
        <v>1993</v>
      </c>
      <c r="E2785" s="6">
        <v>1</v>
      </c>
      <c r="F2785" s="6" t="str">
        <f t="shared" si="86"/>
        <v>January</v>
      </c>
      <c r="G2785" s="6">
        <f t="shared" si="87"/>
        <v>3</v>
      </c>
      <c r="H2785" s="1">
        <f>SUMIF('Retal Tran Line Item'!E:E,A2785,'Retal Tran Line Item'!B:B)</f>
        <v>13</v>
      </c>
    </row>
    <row r="2786" spans="1:8">
      <c r="A2786" s="1">
        <v>103056</v>
      </c>
      <c r="B2786" s="1">
        <v>746134</v>
      </c>
      <c r="C2786" s="2">
        <v>41656</v>
      </c>
      <c r="D2786" s="1" t="s">
        <v>1994</v>
      </c>
      <c r="E2786" s="6">
        <v>1</v>
      </c>
      <c r="F2786" s="6" t="str">
        <f t="shared" si="86"/>
        <v>January</v>
      </c>
      <c r="G2786" s="6">
        <f t="shared" si="87"/>
        <v>3</v>
      </c>
      <c r="H2786" s="1">
        <f>SUMIF('Retal Tran Line Item'!E:E,A2786,'Retal Tran Line Item'!B:B)</f>
        <v>10</v>
      </c>
    </row>
    <row r="2787" spans="1:8">
      <c r="A2787" s="1">
        <v>103058</v>
      </c>
      <c r="B2787" s="1">
        <v>890651</v>
      </c>
      <c r="C2787" s="2">
        <v>41656</v>
      </c>
      <c r="D2787" s="1" t="s">
        <v>1989</v>
      </c>
      <c r="E2787" s="6">
        <v>2</v>
      </c>
      <c r="F2787" s="6" t="str">
        <f t="shared" si="86"/>
        <v>January</v>
      </c>
      <c r="G2787" s="6">
        <f t="shared" si="87"/>
        <v>3</v>
      </c>
      <c r="H2787" s="1">
        <f>SUMIF('Retal Tran Line Item'!E:E,A2787,'Retal Tran Line Item'!B:B)</f>
        <v>10</v>
      </c>
    </row>
    <row r="2788" spans="1:8">
      <c r="A2788" s="1">
        <v>103059</v>
      </c>
      <c r="B2788" s="1">
        <v>817159</v>
      </c>
      <c r="C2788" s="2">
        <v>41656</v>
      </c>
      <c r="D2788" s="1" t="s">
        <v>1994</v>
      </c>
      <c r="E2788" s="6">
        <v>2</v>
      </c>
      <c r="F2788" s="6" t="str">
        <f t="shared" si="86"/>
        <v>January</v>
      </c>
      <c r="G2788" s="6">
        <f t="shared" si="87"/>
        <v>3</v>
      </c>
      <c r="H2788" s="1">
        <f>SUMIF('Retal Tran Line Item'!E:E,A2788,'Retal Tran Line Item'!B:B)</f>
        <v>9</v>
      </c>
    </row>
    <row r="2789" spans="1:8">
      <c r="A2789" s="1">
        <v>103060</v>
      </c>
      <c r="B2789" s="1">
        <v>689877</v>
      </c>
      <c r="C2789" s="2">
        <v>41656</v>
      </c>
      <c r="D2789" s="1" t="s">
        <v>1994</v>
      </c>
      <c r="E2789" s="6">
        <v>2</v>
      </c>
      <c r="F2789" s="6" t="str">
        <f t="shared" si="86"/>
        <v>January</v>
      </c>
      <c r="G2789" s="6">
        <f t="shared" si="87"/>
        <v>3</v>
      </c>
      <c r="H2789" s="1">
        <f>SUMIF('Retal Tran Line Item'!E:E,A2789,'Retal Tran Line Item'!B:B)</f>
        <v>2</v>
      </c>
    </row>
    <row r="2790" spans="1:8">
      <c r="A2790" s="1">
        <v>103061</v>
      </c>
      <c r="B2790" s="1">
        <v>994056</v>
      </c>
      <c r="C2790" s="2">
        <v>41657</v>
      </c>
      <c r="D2790" s="1" t="s">
        <v>1989</v>
      </c>
      <c r="E2790" s="6">
        <v>2</v>
      </c>
      <c r="F2790" s="6" t="str">
        <f t="shared" si="86"/>
        <v>January</v>
      </c>
      <c r="G2790" s="6">
        <f t="shared" si="87"/>
        <v>3</v>
      </c>
      <c r="H2790" s="1">
        <f>SUMIF('Retal Tran Line Item'!E:E,A2790,'Retal Tran Line Item'!B:B)</f>
        <v>1</v>
      </c>
    </row>
    <row r="2791" spans="1:8">
      <c r="A2791" s="1">
        <v>103065</v>
      </c>
      <c r="B2791" s="1">
        <v>912671</v>
      </c>
      <c r="C2791" s="2">
        <v>41657</v>
      </c>
      <c r="D2791" s="1" t="s">
        <v>1992</v>
      </c>
      <c r="E2791" s="6">
        <v>2</v>
      </c>
      <c r="F2791" s="6" t="str">
        <f t="shared" si="86"/>
        <v>January</v>
      </c>
      <c r="G2791" s="6">
        <f t="shared" si="87"/>
        <v>3</v>
      </c>
      <c r="H2791" s="1">
        <f>SUMIF('Retal Tran Line Item'!E:E,A2791,'Retal Tran Line Item'!B:B)</f>
        <v>8</v>
      </c>
    </row>
    <row r="2792" spans="1:8">
      <c r="A2792" s="1">
        <v>103068</v>
      </c>
      <c r="B2792" s="1">
        <v>220206</v>
      </c>
      <c r="C2792" s="2">
        <v>41658</v>
      </c>
      <c r="D2792" s="1" t="s">
        <v>1992</v>
      </c>
      <c r="E2792" s="6">
        <v>2</v>
      </c>
      <c r="F2792" s="6" t="str">
        <f t="shared" si="86"/>
        <v>January</v>
      </c>
      <c r="G2792" s="6">
        <f t="shared" si="87"/>
        <v>4</v>
      </c>
      <c r="H2792" s="1">
        <f>SUMIF('Retal Tran Line Item'!E:E,A2792,'Retal Tran Line Item'!B:B)</f>
        <v>12</v>
      </c>
    </row>
    <row r="2793" spans="1:8">
      <c r="A2793" s="1">
        <v>103069</v>
      </c>
      <c r="B2793" s="1">
        <v>739669</v>
      </c>
      <c r="C2793" s="2">
        <v>41658</v>
      </c>
      <c r="D2793" s="1" t="s">
        <v>1992</v>
      </c>
      <c r="E2793" s="6">
        <v>1</v>
      </c>
      <c r="F2793" s="6" t="str">
        <f t="shared" si="86"/>
        <v>January</v>
      </c>
      <c r="G2793" s="6">
        <f t="shared" si="87"/>
        <v>4</v>
      </c>
      <c r="H2793" s="1">
        <f>SUMIF('Retal Tran Line Item'!E:E,A2793,'Retal Tran Line Item'!B:B)</f>
        <v>4</v>
      </c>
    </row>
    <row r="2794" spans="1:8">
      <c r="A2794" s="1">
        <v>103071</v>
      </c>
      <c r="B2794" s="1">
        <v>414509</v>
      </c>
      <c r="C2794" s="2">
        <v>41658</v>
      </c>
      <c r="D2794" s="1" t="s">
        <v>1989</v>
      </c>
      <c r="E2794" s="6">
        <v>2</v>
      </c>
      <c r="F2794" s="6" t="str">
        <f t="shared" si="86"/>
        <v>January</v>
      </c>
      <c r="G2794" s="6">
        <f t="shared" si="87"/>
        <v>4</v>
      </c>
      <c r="H2794" s="1">
        <f>SUMIF('Retal Tran Line Item'!E:E,A2794,'Retal Tran Line Item'!B:B)</f>
        <v>5</v>
      </c>
    </row>
    <row r="2795" spans="1:8">
      <c r="A2795" s="1">
        <v>103073</v>
      </c>
      <c r="B2795" s="1">
        <v>235720</v>
      </c>
      <c r="C2795" s="2">
        <v>41658</v>
      </c>
      <c r="D2795" s="1" t="s">
        <v>1993</v>
      </c>
      <c r="E2795" s="6">
        <v>1</v>
      </c>
      <c r="F2795" s="6" t="str">
        <f t="shared" si="86"/>
        <v>January</v>
      </c>
      <c r="G2795" s="6">
        <f t="shared" si="87"/>
        <v>4</v>
      </c>
      <c r="H2795" s="1">
        <f>SUMIF('Retal Tran Line Item'!E:E,A2795,'Retal Tran Line Item'!B:B)</f>
        <v>4</v>
      </c>
    </row>
    <row r="2796" spans="1:8">
      <c r="A2796" s="1">
        <v>103075</v>
      </c>
      <c r="B2796" s="1">
        <v>994056</v>
      </c>
      <c r="C2796" s="2">
        <v>41658</v>
      </c>
      <c r="D2796" s="1" t="s">
        <v>1989</v>
      </c>
      <c r="E2796" s="6">
        <v>2</v>
      </c>
      <c r="F2796" s="6" t="str">
        <f t="shared" si="86"/>
        <v>January</v>
      </c>
      <c r="G2796" s="6">
        <f t="shared" si="87"/>
        <v>4</v>
      </c>
      <c r="H2796" s="1">
        <f>SUMIF('Retal Tran Line Item'!E:E,A2796,'Retal Tran Line Item'!B:B)</f>
        <v>2</v>
      </c>
    </row>
    <row r="2797" spans="1:8">
      <c r="A2797" s="1">
        <v>103076</v>
      </c>
      <c r="B2797" s="1">
        <v>520196</v>
      </c>
      <c r="C2797" s="2">
        <v>41659</v>
      </c>
      <c r="D2797" s="1" t="s">
        <v>1992</v>
      </c>
      <c r="E2797" s="6">
        <v>2</v>
      </c>
      <c r="F2797" s="6" t="str">
        <f t="shared" si="86"/>
        <v>January</v>
      </c>
      <c r="G2797" s="6">
        <f t="shared" si="87"/>
        <v>4</v>
      </c>
      <c r="H2797" s="1">
        <f>SUMIF('Retal Tran Line Item'!E:E,A2797,'Retal Tran Line Item'!B:B)</f>
        <v>8</v>
      </c>
    </row>
    <row r="2798" spans="1:8">
      <c r="A2798" s="1">
        <v>103077</v>
      </c>
      <c r="B2798" s="1">
        <v>454143</v>
      </c>
      <c r="C2798" s="2">
        <v>41659</v>
      </c>
      <c r="D2798" s="1" t="s">
        <v>1993</v>
      </c>
      <c r="E2798" s="6">
        <v>2</v>
      </c>
      <c r="F2798" s="6" t="str">
        <f t="shared" si="86"/>
        <v>January</v>
      </c>
      <c r="G2798" s="6">
        <f t="shared" si="87"/>
        <v>4</v>
      </c>
      <c r="H2798" s="1">
        <f>SUMIF('Retal Tran Line Item'!E:E,A2798,'Retal Tran Line Item'!B:B)</f>
        <v>8</v>
      </c>
    </row>
    <row r="2799" spans="1:8">
      <c r="A2799" s="1">
        <v>103079</v>
      </c>
      <c r="B2799" s="1">
        <v>278204</v>
      </c>
      <c r="C2799" s="2">
        <v>41659</v>
      </c>
      <c r="D2799" s="1" t="s">
        <v>1993</v>
      </c>
      <c r="E2799" s="6">
        <v>1</v>
      </c>
      <c r="F2799" s="6" t="str">
        <f t="shared" si="86"/>
        <v>January</v>
      </c>
      <c r="G2799" s="6">
        <f t="shared" si="87"/>
        <v>4</v>
      </c>
      <c r="H2799" s="1">
        <f>SUMIF('Retal Tran Line Item'!E:E,A2799,'Retal Tran Line Item'!B:B)</f>
        <v>4</v>
      </c>
    </row>
    <row r="2800" spans="1:8">
      <c r="A2800" s="1">
        <v>103084</v>
      </c>
      <c r="B2800" s="1">
        <v>249779</v>
      </c>
      <c r="C2800" s="2">
        <v>41660</v>
      </c>
      <c r="D2800" s="1" t="s">
        <v>1992</v>
      </c>
      <c r="E2800" s="6">
        <v>1</v>
      </c>
      <c r="F2800" s="6" t="str">
        <f t="shared" si="86"/>
        <v>January</v>
      </c>
      <c r="G2800" s="6">
        <f t="shared" si="87"/>
        <v>4</v>
      </c>
      <c r="H2800" s="1">
        <f>SUMIF('Retal Tran Line Item'!E:E,A2800,'Retal Tran Line Item'!B:B)</f>
        <v>9</v>
      </c>
    </row>
    <row r="2801" spans="1:8">
      <c r="A2801" s="1">
        <v>103085</v>
      </c>
      <c r="B2801" s="1">
        <v>748326</v>
      </c>
      <c r="C2801" s="2">
        <v>41660</v>
      </c>
      <c r="D2801" s="1" t="s">
        <v>1993</v>
      </c>
      <c r="E2801" s="6">
        <v>2</v>
      </c>
      <c r="F2801" s="6" t="str">
        <f t="shared" si="86"/>
        <v>January</v>
      </c>
      <c r="G2801" s="6">
        <f t="shared" si="87"/>
        <v>4</v>
      </c>
      <c r="H2801" s="1">
        <f>SUMIF('Retal Tran Line Item'!E:E,A2801,'Retal Tran Line Item'!B:B)</f>
        <v>4</v>
      </c>
    </row>
    <row r="2802" spans="1:8">
      <c r="A2802" s="1">
        <v>103086</v>
      </c>
      <c r="B2802" s="1">
        <v>331115</v>
      </c>
      <c r="C2802" s="2">
        <v>41660</v>
      </c>
      <c r="D2802" s="1" t="s">
        <v>1989</v>
      </c>
      <c r="E2802" s="6">
        <v>1</v>
      </c>
      <c r="F2802" s="6" t="str">
        <f t="shared" si="86"/>
        <v>January</v>
      </c>
      <c r="G2802" s="6">
        <f t="shared" si="87"/>
        <v>4</v>
      </c>
      <c r="H2802" s="1">
        <f>SUMIF('Retal Tran Line Item'!E:E,A2802,'Retal Tran Line Item'!B:B)</f>
        <v>9</v>
      </c>
    </row>
    <row r="2803" spans="1:8">
      <c r="A2803" s="1">
        <v>103087</v>
      </c>
      <c r="B2803" s="1">
        <v>659695</v>
      </c>
      <c r="C2803" s="2">
        <v>41660</v>
      </c>
      <c r="D2803" s="1" t="s">
        <v>1992</v>
      </c>
      <c r="E2803" s="6">
        <v>1</v>
      </c>
      <c r="F2803" s="6" t="str">
        <f t="shared" si="86"/>
        <v>January</v>
      </c>
      <c r="G2803" s="6">
        <f t="shared" si="87"/>
        <v>4</v>
      </c>
      <c r="H2803" s="1">
        <f>SUMIF('Retal Tran Line Item'!E:E,A2803,'Retal Tran Line Item'!B:B)</f>
        <v>9</v>
      </c>
    </row>
    <row r="2804" spans="1:8">
      <c r="A2804" s="1">
        <v>103088</v>
      </c>
      <c r="B2804" s="1">
        <v>656728</v>
      </c>
      <c r="C2804" s="2">
        <v>41660</v>
      </c>
      <c r="D2804" s="1" t="s">
        <v>1993</v>
      </c>
      <c r="E2804" s="6">
        <v>1</v>
      </c>
      <c r="F2804" s="6" t="str">
        <f t="shared" si="86"/>
        <v>January</v>
      </c>
      <c r="G2804" s="6">
        <f t="shared" si="87"/>
        <v>4</v>
      </c>
      <c r="H2804" s="1">
        <f>SUMIF('Retal Tran Line Item'!E:E,A2804,'Retal Tran Line Item'!B:B)</f>
        <v>2</v>
      </c>
    </row>
    <row r="2805" spans="1:8">
      <c r="A2805" s="1">
        <v>103089</v>
      </c>
      <c r="B2805" s="1">
        <v>358901</v>
      </c>
      <c r="C2805" s="2">
        <v>41660</v>
      </c>
      <c r="D2805" s="1" t="s">
        <v>1989</v>
      </c>
      <c r="E2805" s="6">
        <v>2</v>
      </c>
      <c r="F2805" s="6" t="str">
        <f t="shared" si="86"/>
        <v>January</v>
      </c>
      <c r="G2805" s="6">
        <f t="shared" si="87"/>
        <v>4</v>
      </c>
      <c r="H2805" s="1">
        <f>SUMIF('Retal Tran Line Item'!E:E,A2805,'Retal Tran Line Item'!B:B)</f>
        <v>9</v>
      </c>
    </row>
    <row r="2806" spans="1:8">
      <c r="A2806" s="1">
        <v>103090</v>
      </c>
      <c r="B2806" s="1">
        <v>308505</v>
      </c>
      <c r="C2806" s="2">
        <v>41661</v>
      </c>
      <c r="D2806" s="1" t="s">
        <v>1993</v>
      </c>
      <c r="E2806" s="6">
        <v>2</v>
      </c>
      <c r="F2806" s="6" t="str">
        <f t="shared" si="86"/>
        <v>January</v>
      </c>
      <c r="G2806" s="6">
        <f t="shared" si="87"/>
        <v>4</v>
      </c>
      <c r="H2806" s="1">
        <f>SUMIF('Retal Tran Line Item'!E:E,A2806,'Retal Tran Line Item'!B:B)</f>
        <v>5</v>
      </c>
    </row>
    <row r="2807" spans="1:8">
      <c r="A2807" s="1">
        <v>103092</v>
      </c>
      <c r="B2807" s="1">
        <v>308505</v>
      </c>
      <c r="C2807" s="2">
        <v>41661</v>
      </c>
      <c r="D2807" s="1" t="s">
        <v>1993</v>
      </c>
      <c r="E2807" s="6">
        <v>1</v>
      </c>
      <c r="F2807" s="6" t="str">
        <f t="shared" si="86"/>
        <v>January</v>
      </c>
      <c r="G2807" s="6">
        <f t="shared" si="87"/>
        <v>4</v>
      </c>
      <c r="H2807" s="1">
        <f>SUMIF('Retal Tran Line Item'!E:E,A2807,'Retal Tran Line Item'!B:B)</f>
        <v>9</v>
      </c>
    </row>
    <row r="2808" spans="1:8">
      <c r="A2808" s="1">
        <v>103093</v>
      </c>
      <c r="B2808" s="1">
        <v>741514</v>
      </c>
      <c r="C2808" s="2">
        <v>41661</v>
      </c>
      <c r="D2808" s="1" t="s">
        <v>1992</v>
      </c>
      <c r="E2808" s="6">
        <v>1</v>
      </c>
      <c r="F2808" s="6" t="str">
        <f t="shared" si="86"/>
        <v>January</v>
      </c>
      <c r="G2808" s="6">
        <f t="shared" si="87"/>
        <v>4</v>
      </c>
      <c r="H2808" s="1">
        <f>SUMIF('Retal Tran Line Item'!E:E,A2808,'Retal Tran Line Item'!B:B)</f>
        <v>5</v>
      </c>
    </row>
    <row r="2809" spans="1:8">
      <c r="A2809" s="1">
        <v>103094</v>
      </c>
      <c r="B2809" s="1">
        <v>766737</v>
      </c>
      <c r="C2809" s="2">
        <v>41661</v>
      </c>
      <c r="D2809" s="1" t="s">
        <v>1994</v>
      </c>
      <c r="E2809" s="6">
        <v>2</v>
      </c>
      <c r="F2809" s="6" t="str">
        <f t="shared" si="86"/>
        <v>January</v>
      </c>
      <c r="G2809" s="6">
        <f t="shared" si="87"/>
        <v>4</v>
      </c>
      <c r="H2809" s="1">
        <f>SUMIF('Retal Tran Line Item'!E:E,A2809,'Retal Tran Line Item'!B:B)</f>
        <v>1</v>
      </c>
    </row>
    <row r="2810" spans="1:8">
      <c r="A2810" s="1">
        <v>103096</v>
      </c>
      <c r="B2810" s="1">
        <v>137696</v>
      </c>
      <c r="C2810" s="2">
        <v>41661</v>
      </c>
      <c r="D2810" s="1" t="s">
        <v>1994</v>
      </c>
      <c r="E2810" s="6">
        <v>1</v>
      </c>
      <c r="F2810" s="6" t="str">
        <f t="shared" si="86"/>
        <v>January</v>
      </c>
      <c r="G2810" s="6">
        <f t="shared" si="87"/>
        <v>4</v>
      </c>
      <c r="H2810" s="1">
        <f>SUMIF('Retal Tran Line Item'!E:E,A2810,'Retal Tran Line Item'!B:B)</f>
        <v>5</v>
      </c>
    </row>
    <row r="2811" spans="1:8">
      <c r="A2811" s="1">
        <v>103097</v>
      </c>
      <c r="B2811" s="1">
        <v>771285</v>
      </c>
      <c r="C2811" s="2">
        <v>41661</v>
      </c>
      <c r="D2811" s="1" t="s">
        <v>1993</v>
      </c>
      <c r="E2811" s="6">
        <v>2</v>
      </c>
      <c r="F2811" s="6" t="str">
        <f t="shared" si="86"/>
        <v>January</v>
      </c>
      <c r="G2811" s="6">
        <f t="shared" si="87"/>
        <v>4</v>
      </c>
      <c r="H2811" s="1">
        <f>SUMIF('Retal Tran Line Item'!E:E,A2811,'Retal Tran Line Item'!B:B)</f>
        <v>3</v>
      </c>
    </row>
    <row r="2812" spans="1:8">
      <c r="A2812" s="1">
        <v>103098</v>
      </c>
      <c r="B2812" s="1">
        <v>143878</v>
      </c>
      <c r="C2812" s="2">
        <v>41662</v>
      </c>
      <c r="D2812" s="1" t="s">
        <v>1992</v>
      </c>
      <c r="E2812" s="6">
        <v>1</v>
      </c>
      <c r="F2812" s="6" t="str">
        <f t="shared" si="86"/>
        <v>January</v>
      </c>
      <c r="G2812" s="6">
        <f t="shared" si="87"/>
        <v>4</v>
      </c>
      <c r="H2812" s="1">
        <f>SUMIF('Retal Tran Line Item'!E:E,A2812,'Retal Tran Line Item'!B:B)</f>
        <v>4</v>
      </c>
    </row>
    <row r="2813" spans="1:8">
      <c r="A2813" s="1">
        <v>103099</v>
      </c>
      <c r="B2813" s="1">
        <v>500828</v>
      </c>
      <c r="C2813" s="2">
        <v>41662</v>
      </c>
      <c r="D2813" s="1" t="s">
        <v>1992</v>
      </c>
      <c r="E2813" s="6">
        <v>2</v>
      </c>
      <c r="F2813" s="6" t="str">
        <f t="shared" si="86"/>
        <v>January</v>
      </c>
      <c r="G2813" s="6">
        <f t="shared" si="87"/>
        <v>4</v>
      </c>
      <c r="H2813" s="1">
        <f>SUMIF('Retal Tran Line Item'!E:E,A2813,'Retal Tran Line Item'!B:B)</f>
        <v>5</v>
      </c>
    </row>
    <row r="2814" spans="1:8">
      <c r="A2814" s="1">
        <v>103100</v>
      </c>
      <c r="B2814" s="1">
        <v>958321</v>
      </c>
      <c r="C2814" s="2">
        <v>41662</v>
      </c>
      <c r="D2814" s="1" t="s">
        <v>1993</v>
      </c>
      <c r="E2814" s="6">
        <v>1</v>
      </c>
      <c r="F2814" s="6" t="str">
        <f t="shared" si="86"/>
        <v>January</v>
      </c>
      <c r="G2814" s="6">
        <f t="shared" si="87"/>
        <v>4</v>
      </c>
      <c r="H2814" s="1">
        <f>SUMIF('Retal Tran Line Item'!E:E,A2814,'Retal Tran Line Item'!B:B)</f>
        <v>10</v>
      </c>
    </row>
    <row r="2815" spans="1:8">
      <c r="A2815" s="1">
        <v>103106</v>
      </c>
      <c r="B2815" s="1">
        <v>608290</v>
      </c>
      <c r="C2815" s="2">
        <v>41663</v>
      </c>
      <c r="D2815" s="1" t="s">
        <v>1992</v>
      </c>
      <c r="E2815" s="6">
        <v>1</v>
      </c>
      <c r="F2815" s="6" t="str">
        <f t="shared" si="86"/>
        <v>January</v>
      </c>
      <c r="G2815" s="6">
        <f t="shared" si="87"/>
        <v>4</v>
      </c>
      <c r="H2815" s="1">
        <f>SUMIF('Retal Tran Line Item'!E:E,A2815,'Retal Tran Line Item'!B:B)</f>
        <v>11</v>
      </c>
    </row>
    <row r="2816" spans="1:8">
      <c r="A2816" s="1">
        <v>103107</v>
      </c>
      <c r="B2816" s="1">
        <v>781968</v>
      </c>
      <c r="C2816" s="2">
        <v>41663</v>
      </c>
      <c r="D2816" s="1" t="s">
        <v>1993</v>
      </c>
      <c r="E2816" s="6">
        <v>2</v>
      </c>
      <c r="F2816" s="6" t="str">
        <f t="shared" si="86"/>
        <v>January</v>
      </c>
      <c r="G2816" s="6">
        <f t="shared" si="87"/>
        <v>4</v>
      </c>
      <c r="H2816" s="1">
        <f>SUMIF('Retal Tran Line Item'!E:E,A2816,'Retal Tran Line Item'!B:B)</f>
        <v>11</v>
      </c>
    </row>
    <row r="2817" spans="1:8">
      <c r="A2817" s="1">
        <v>103108</v>
      </c>
      <c r="B2817" s="1">
        <v>432113</v>
      </c>
      <c r="C2817" s="2">
        <v>41663</v>
      </c>
      <c r="D2817" s="1" t="s">
        <v>1989</v>
      </c>
      <c r="E2817" s="6">
        <v>2</v>
      </c>
      <c r="F2817" s="6" t="str">
        <f t="shared" si="86"/>
        <v>January</v>
      </c>
      <c r="G2817" s="6">
        <f t="shared" si="87"/>
        <v>4</v>
      </c>
      <c r="H2817" s="1">
        <f>SUMIF('Retal Tran Line Item'!E:E,A2817,'Retal Tran Line Item'!B:B)</f>
        <v>5</v>
      </c>
    </row>
    <row r="2818" spans="1:8">
      <c r="A2818" s="1">
        <v>103109</v>
      </c>
      <c r="B2818" s="1">
        <v>825249</v>
      </c>
      <c r="C2818" s="2">
        <v>41663</v>
      </c>
      <c r="D2818" s="1" t="s">
        <v>1993</v>
      </c>
      <c r="E2818" s="6">
        <v>1</v>
      </c>
      <c r="F2818" s="6" t="str">
        <f t="shared" si="86"/>
        <v>January</v>
      </c>
      <c r="G2818" s="6">
        <f t="shared" si="87"/>
        <v>4</v>
      </c>
      <c r="H2818" s="1">
        <f>SUMIF('Retal Tran Line Item'!E:E,A2818,'Retal Tran Line Item'!B:B)</f>
        <v>11</v>
      </c>
    </row>
    <row r="2819" spans="1:8">
      <c r="A2819" s="1">
        <v>103110</v>
      </c>
      <c r="B2819" s="1">
        <v>418521</v>
      </c>
      <c r="C2819" s="2">
        <v>41663</v>
      </c>
      <c r="D2819" s="1" t="s">
        <v>1989</v>
      </c>
      <c r="E2819" s="6">
        <v>1</v>
      </c>
      <c r="F2819" s="6" t="str">
        <f t="shared" ref="F2819:F2882" si="88">TEXT(C2819,"MMMM")</f>
        <v>January</v>
      </c>
      <c r="G2819" s="6">
        <f t="shared" ref="G2819:G2882" si="89">WEEKNUM(C2819)</f>
        <v>4</v>
      </c>
      <c r="H2819" s="1">
        <f>SUMIF('Retal Tran Line Item'!E:E,A2819,'Retal Tran Line Item'!B:B)</f>
        <v>1</v>
      </c>
    </row>
    <row r="2820" spans="1:8">
      <c r="A2820" s="1">
        <v>103112</v>
      </c>
      <c r="B2820" s="1">
        <v>491380</v>
      </c>
      <c r="C2820" s="2">
        <v>41663</v>
      </c>
      <c r="D2820" s="1" t="s">
        <v>1992</v>
      </c>
      <c r="E2820" s="6">
        <v>2</v>
      </c>
      <c r="F2820" s="6" t="str">
        <f t="shared" si="88"/>
        <v>January</v>
      </c>
      <c r="G2820" s="6">
        <f t="shared" si="89"/>
        <v>4</v>
      </c>
      <c r="H2820" s="1">
        <f>SUMIF('Retal Tran Line Item'!E:E,A2820,'Retal Tran Line Item'!B:B)</f>
        <v>5</v>
      </c>
    </row>
    <row r="2821" spans="1:8">
      <c r="A2821" s="1">
        <v>103113</v>
      </c>
      <c r="B2821" s="1">
        <v>426830</v>
      </c>
      <c r="C2821" s="2">
        <v>41663</v>
      </c>
      <c r="D2821" s="1" t="s">
        <v>1994</v>
      </c>
      <c r="E2821" s="6">
        <v>1</v>
      </c>
      <c r="F2821" s="6" t="str">
        <f t="shared" si="88"/>
        <v>January</v>
      </c>
      <c r="G2821" s="6">
        <f t="shared" si="89"/>
        <v>4</v>
      </c>
      <c r="H2821" s="1">
        <f>SUMIF('Retal Tran Line Item'!E:E,A2821,'Retal Tran Line Item'!B:B)</f>
        <v>9</v>
      </c>
    </row>
    <row r="2822" spans="1:8">
      <c r="A2822" s="1">
        <v>103114</v>
      </c>
      <c r="B2822" s="1">
        <v>230602</v>
      </c>
      <c r="C2822" s="2">
        <v>41664</v>
      </c>
      <c r="D2822" s="1" t="s">
        <v>1992</v>
      </c>
      <c r="E2822" s="6">
        <v>2</v>
      </c>
      <c r="F2822" s="6" t="str">
        <f t="shared" si="88"/>
        <v>January</v>
      </c>
      <c r="G2822" s="6">
        <f t="shared" si="89"/>
        <v>4</v>
      </c>
      <c r="H2822" s="1">
        <f>SUMIF('Retal Tran Line Item'!E:E,A2822,'Retal Tran Line Item'!B:B)</f>
        <v>8</v>
      </c>
    </row>
    <row r="2823" spans="1:8">
      <c r="A2823" s="1">
        <v>103117</v>
      </c>
      <c r="B2823" s="1">
        <v>190721</v>
      </c>
      <c r="C2823" s="2">
        <v>41664</v>
      </c>
      <c r="D2823" s="1" t="s">
        <v>1993</v>
      </c>
      <c r="E2823" s="6">
        <v>1</v>
      </c>
      <c r="F2823" s="6" t="str">
        <f t="shared" si="88"/>
        <v>January</v>
      </c>
      <c r="G2823" s="6">
        <f t="shared" si="89"/>
        <v>4</v>
      </c>
      <c r="H2823" s="1">
        <f>SUMIF('Retal Tran Line Item'!E:E,A2823,'Retal Tran Line Item'!B:B)</f>
        <v>1</v>
      </c>
    </row>
    <row r="2824" spans="1:8">
      <c r="A2824" s="1">
        <v>103118</v>
      </c>
      <c r="B2824" s="1">
        <v>240205</v>
      </c>
      <c r="C2824" s="2">
        <v>41664</v>
      </c>
      <c r="D2824" s="1" t="s">
        <v>1992</v>
      </c>
      <c r="E2824" s="6">
        <v>2</v>
      </c>
      <c r="F2824" s="6" t="str">
        <f t="shared" si="88"/>
        <v>January</v>
      </c>
      <c r="G2824" s="6">
        <f t="shared" si="89"/>
        <v>4</v>
      </c>
      <c r="H2824" s="1">
        <f>SUMIF('Retal Tran Line Item'!E:E,A2824,'Retal Tran Line Item'!B:B)</f>
        <v>8</v>
      </c>
    </row>
    <row r="2825" spans="1:8">
      <c r="A2825" s="1">
        <v>103119</v>
      </c>
      <c r="B2825" s="1">
        <v>756769</v>
      </c>
      <c r="C2825" s="2">
        <v>41664</v>
      </c>
      <c r="D2825" s="1" t="s">
        <v>1989</v>
      </c>
      <c r="E2825" s="6">
        <v>1</v>
      </c>
      <c r="F2825" s="6" t="str">
        <f t="shared" si="88"/>
        <v>January</v>
      </c>
      <c r="G2825" s="6">
        <f t="shared" si="89"/>
        <v>4</v>
      </c>
      <c r="H2825" s="1">
        <f>SUMIF('Retal Tran Line Item'!E:E,A2825,'Retal Tran Line Item'!B:B)</f>
        <v>12</v>
      </c>
    </row>
    <row r="2826" spans="1:8">
      <c r="A2826" s="1">
        <v>103120</v>
      </c>
      <c r="B2826" s="1">
        <v>202612</v>
      </c>
      <c r="C2826" s="2">
        <v>41664</v>
      </c>
      <c r="D2826" s="1" t="s">
        <v>1992</v>
      </c>
      <c r="E2826" s="6">
        <v>2</v>
      </c>
      <c r="F2826" s="6" t="str">
        <f t="shared" si="88"/>
        <v>January</v>
      </c>
      <c r="G2826" s="6">
        <f t="shared" si="89"/>
        <v>4</v>
      </c>
      <c r="H2826" s="1">
        <f>SUMIF('Retal Tran Line Item'!E:E,A2826,'Retal Tran Line Item'!B:B)</f>
        <v>14</v>
      </c>
    </row>
    <row r="2827" spans="1:8">
      <c r="A2827" s="1">
        <v>103122</v>
      </c>
      <c r="B2827" s="1">
        <v>924649</v>
      </c>
      <c r="C2827" s="2">
        <v>41665</v>
      </c>
      <c r="D2827" s="1" t="s">
        <v>1993</v>
      </c>
      <c r="E2827" s="6">
        <v>1</v>
      </c>
      <c r="F2827" s="6" t="str">
        <f t="shared" si="88"/>
        <v>January</v>
      </c>
      <c r="G2827" s="6">
        <f t="shared" si="89"/>
        <v>5</v>
      </c>
      <c r="H2827" s="1">
        <f>SUMIF('Retal Tran Line Item'!E:E,A2827,'Retal Tran Line Item'!B:B)</f>
        <v>8</v>
      </c>
    </row>
    <row r="2828" spans="1:8">
      <c r="A2828" s="1">
        <v>103123</v>
      </c>
      <c r="B2828" s="1">
        <v>818287</v>
      </c>
      <c r="C2828" s="2">
        <v>41665</v>
      </c>
      <c r="D2828" s="1" t="s">
        <v>1994</v>
      </c>
      <c r="E2828" s="6">
        <v>1</v>
      </c>
      <c r="F2828" s="6" t="str">
        <f t="shared" si="88"/>
        <v>January</v>
      </c>
      <c r="G2828" s="6">
        <f t="shared" si="89"/>
        <v>5</v>
      </c>
      <c r="H2828" s="1">
        <f>SUMIF('Retal Tran Line Item'!E:E,A2828,'Retal Tran Line Item'!B:B)</f>
        <v>20</v>
      </c>
    </row>
    <row r="2829" spans="1:8">
      <c r="A2829" s="1">
        <v>103124</v>
      </c>
      <c r="B2829" s="1">
        <v>607810</v>
      </c>
      <c r="C2829" s="2">
        <v>41665</v>
      </c>
      <c r="D2829" s="1" t="s">
        <v>1989</v>
      </c>
      <c r="E2829" s="6">
        <v>1</v>
      </c>
      <c r="F2829" s="6" t="str">
        <f t="shared" si="88"/>
        <v>January</v>
      </c>
      <c r="G2829" s="6">
        <f t="shared" si="89"/>
        <v>5</v>
      </c>
      <c r="H2829" s="1">
        <f>SUMIF('Retal Tran Line Item'!E:E,A2829,'Retal Tran Line Item'!B:B)</f>
        <v>18</v>
      </c>
    </row>
    <row r="2830" spans="1:8">
      <c r="A2830" s="1">
        <v>103125</v>
      </c>
      <c r="B2830" s="1">
        <v>747066</v>
      </c>
      <c r="C2830" s="2">
        <v>41665</v>
      </c>
      <c r="D2830" s="1" t="s">
        <v>1993</v>
      </c>
      <c r="E2830" s="6">
        <v>1</v>
      </c>
      <c r="F2830" s="6" t="str">
        <f t="shared" si="88"/>
        <v>January</v>
      </c>
      <c r="G2830" s="6">
        <f t="shared" si="89"/>
        <v>5</v>
      </c>
      <c r="H2830" s="1">
        <f>SUMIF('Retal Tran Line Item'!E:E,A2830,'Retal Tran Line Item'!B:B)</f>
        <v>3</v>
      </c>
    </row>
    <row r="2831" spans="1:8">
      <c r="A2831" s="1">
        <v>103126</v>
      </c>
      <c r="B2831" s="1">
        <v>346006</v>
      </c>
      <c r="C2831" s="2">
        <v>41665</v>
      </c>
      <c r="D2831" s="1" t="s">
        <v>1989</v>
      </c>
      <c r="E2831" s="6">
        <v>1</v>
      </c>
      <c r="F2831" s="6" t="str">
        <f t="shared" si="88"/>
        <v>January</v>
      </c>
      <c r="G2831" s="6">
        <f t="shared" si="89"/>
        <v>5</v>
      </c>
      <c r="H2831" s="1">
        <f>SUMIF('Retal Tran Line Item'!E:E,A2831,'Retal Tran Line Item'!B:B)</f>
        <v>3</v>
      </c>
    </row>
    <row r="2832" spans="1:8">
      <c r="A2832" s="1">
        <v>103127</v>
      </c>
      <c r="B2832" s="1">
        <v>723819</v>
      </c>
      <c r="C2832" s="2">
        <v>41665</v>
      </c>
      <c r="D2832" s="1" t="s">
        <v>1993</v>
      </c>
      <c r="E2832" s="6">
        <v>1</v>
      </c>
      <c r="F2832" s="6" t="str">
        <f t="shared" si="88"/>
        <v>January</v>
      </c>
      <c r="G2832" s="6">
        <f t="shared" si="89"/>
        <v>5</v>
      </c>
      <c r="H2832" s="1">
        <f>SUMIF('Retal Tran Line Item'!E:E,A2832,'Retal Tran Line Item'!B:B)</f>
        <v>4</v>
      </c>
    </row>
    <row r="2833" spans="1:8">
      <c r="A2833" s="1">
        <v>103128</v>
      </c>
      <c r="B2833" s="1">
        <v>265707</v>
      </c>
      <c r="C2833" s="2">
        <v>41665</v>
      </c>
      <c r="D2833" s="1" t="s">
        <v>1994</v>
      </c>
      <c r="E2833" s="6">
        <v>2</v>
      </c>
      <c r="F2833" s="6" t="str">
        <f t="shared" si="88"/>
        <v>January</v>
      </c>
      <c r="G2833" s="6">
        <f t="shared" si="89"/>
        <v>5</v>
      </c>
      <c r="H2833" s="1">
        <f>SUMIF('Retal Tran Line Item'!E:E,A2833,'Retal Tran Line Item'!B:B)</f>
        <v>5</v>
      </c>
    </row>
    <row r="2834" spans="1:8">
      <c r="A2834" s="1">
        <v>103130</v>
      </c>
      <c r="B2834" s="1">
        <v>454015</v>
      </c>
      <c r="C2834" s="2">
        <v>41666</v>
      </c>
      <c r="D2834" s="1" t="s">
        <v>1993</v>
      </c>
      <c r="E2834" s="6">
        <v>2</v>
      </c>
      <c r="F2834" s="6" t="str">
        <f t="shared" si="88"/>
        <v>January</v>
      </c>
      <c r="G2834" s="6">
        <f t="shared" si="89"/>
        <v>5</v>
      </c>
      <c r="H2834" s="1">
        <f>SUMIF('Retal Tran Line Item'!E:E,A2834,'Retal Tran Line Item'!B:B)</f>
        <v>4</v>
      </c>
    </row>
    <row r="2835" spans="1:8">
      <c r="A2835" s="1">
        <v>103131</v>
      </c>
      <c r="B2835" s="1">
        <v>363931</v>
      </c>
      <c r="C2835" s="2">
        <v>41666</v>
      </c>
      <c r="D2835" s="1" t="s">
        <v>1994</v>
      </c>
      <c r="E2835" s="6">
        <v>1</v>
      </c>
      <c r="F2835" s="6" t="str">
        <f t="shared" si="88"/>
        <v>January</v>
      </c>
      <c r="G2835" s="6">
        <f t="shared" si="89"/>
        <v>5</v>
      </c>
      <c r="H2835" s="1">
        <f>SUMIF('Retal Tran Line Item'!E:E,A2835,'Retal Tran Line Item'!B:B)</f>
        <v>3</v>
      </c>
    </row>
    <row r="2836" spans="1:8">
      <c r="A2836" s="1">
        <v>103134</v>
      </c>
      <c r="B2836" s="1">
        <v>207846</v>
      </c>
      <c r="C2836" s="2">
        <v>41666</v>
      </c>
      <c r="D2836" s="1" t="s">
        <v>1993</v>
      </c>
      <c r="E2836" s="6">
        <v>2</v>
      </c>
      <c r="F2836" s="6" t="str">
        <f t="shared" si="88"/>
        <v>January</v>
      </c>
      <c r="G2836" s="6">
        <f t="shared" si="89"/>
        <v>5</v>
      </c>
      <c r="H2836" s="1">
        <f>SUMIF('Retal Tran Line Item'!E:E,A2836,'Retal Tran Line Item'!B:B)</f>
        <v>10</v>
      </c>
    </row>
    <row r="2837" spans="1:8">
      <c r="A2837" s="1">
        <v>103135</v>
      </c>
      <c r="B2837" s="1">
        <v>269687</v>
      </c>
      <c r="C2837" s="2">
        <v>41666</v>
      </c>
      <c r="D2837" s="1" t="s">
        <v>1989</v>
      </c>
      <c r="E2837" s="6">
        <v>2</v>
      </c>
      <c r="F2837" s="6" t="str">
        <f t="shared" si="88"/>
        <v>January</v>
      </c>
      <c r="G2837" s="6">
        <f t="shared" si="89"/>
        <v>5</v>
      </c>
      <c r="H2837" s="1">
        <f>SUMIF('Retal Tran Line Item'!E:E,A2837,'Retal Tran Line Item'!B:B)</f>
        <v>7</v>
      </c>
    </row>
    <row r="2838" spans="1:8">
      <c r="A2838" s="1">
        <v>103137</v>
      </c>
      <c r="B2838" s="1">
        <v>528475</v>
      </c>
      <c r="C2838" s="2">
        <v>41667</v>
      </c>
      <c r="D2838" s="1" t="s">
        <v>1989</v>
      </c>
      <c r="E2838" s="6">
        <v>1</v>
      </c>
      <c r="F2838" s="6" t="str">
        <f t="shared" si="88"/>
        <v>January</v>
      </c>
      <c r="G2838" s="6">
        <f t="shared" si="89"/>
        <v>5</v>
      </c>
      <c r="H2838" s="1">
        <f>SUMIF('Retal Tran Line Item'!E:E,A2838,'Retal Tran Line Item'!B:B)</f>
        <v>13</v>
      </c>
    </row>
    <row r="2839" spans="1:8">
      <c r="A2839" s="1">
        <v>103140</v>
      </c>
      <c r="B2839" s="1">
        <v>393893</v>
      </c>
      <c r="C2839" s="2">
        <v>41667</v>
      </c>
      <c r="D2839" s="1" t="s">
        <v>1992</v>
      </c>
      <c r="E2839" s="6">
        <v>1</v>
      </c>
      <c r="F2839" s="6" t="str">
        <f t="shared" si="88"/>
        <v>January</v>
      </c>
      <c r="G2839" s="6">
        <f t="shared" si="89"/>
        <v>5</v>
      </c>
      <c r="H2839" s="1">
        <f>SUMIF('Retal Tran Line Item'!E:E,A2839,'Retal Tran Line Item'!B:B)</f>
        <v>4</v>
      </c>
    </row>
    <row r="2840" spans="1:8">
      <c r="A2840" s="1">
        <v>103141</v>
      </c>
      <c r="B2840" s="1">
        <v>109251</v>
      </c>
      <c r="C2840" s="2">
        <v>41667</v>
      </c>
      <c r="D2840" s="1" t="s">
        <v>1993</v>
      </c>
      <c r="E2840" s="6">
        <v>1</v>
      </c>
      <c r="F2840" s="6" t="str">
        <f t="shared" si="88"/>
        <v>January</v>
      </c>
      <c r="G2840" s="6">
        <f t="shared" si="89"/>
        <v>5</v>
      </c>
      <c r="H2840" s="1">
        <f>SUMIF('Retal Tran Line Item'!E:E,A2840,'Retal Tran Line Item'!B:B)</f>
        <v>1</v>
      </c>
    </row>
    <row r="2841" spans="1:8">
      <c r="A2841" s="1">
        <v>103142</v>
      </c>
      <c r="B2841" s="1">
        <v>416523</v>
      </c>
      <c r="C2841" s="2">
        <v>41667</v>
      </c>
      <c r="D2841" s="1" t="s">
        <v>1994</v>
      </c>
      <c r="E2841" s="6">
        <v>2</v>
      </c>
      <c r="F2841" s="6" t="str">
        <f t="shared" si="88"/>
        <v>January</v>
      </c>
      <c r="G2841" s="6">
        <f t="shared" si="89"/>
        <v>5</v>
      </c>
      <c r="H2841" s="1">
        <f>SUMIF('Retal Tran Line Item'!E:E,A2841,'Retal Tran Line Item'!B:B)</f>
        <v>10</v>
      </c>
    </row>
    <row r="2842" spans="1:8">
      <c r="A2842" s="1">
        <v>103144</v>
      </c>
      <c r="B2842" s="1">
        <v>480298</v>
      </c>
      <c r="C2842" s="2">
        <v>41668</v>
      </c>
      <c r="D2842" s="1" t="s">
        <v>1993</v>
      </c>
      <c r="E2842" s="6">
        <v>1</v>
      </c>
      <c r="F2842" s="6" t="str">
        <f t="shared" si="88"/>
        <v>January</v>
      </c>
      <c r="G2842" s="6">
        <f t="shared" si="89"/>
        <v>5</v>
      </c>
      <c r="H2842" s="1">
        <f>SUMIF('Retal Tran Line Item'!E:E,A2842,'Retal Tran Line Item'!B:B)</f>
        <v>1</v>
      </c>
    </row>
    <row r="2843" spans="1:8">
      <c r="A2843" s="1">
        <v>103146</v>
      </c>
      <c r="B2843" s="1">
        <v>161942</v>
      </c>
      <c r="C2843" s="2">
        <v>41668</v>
      </c>
      <c r="D2843" s="1" t="s">
        <v>1993</v>
      </c>
      <c r="E2843" s="6">
        <v>1</v>
      </c>
      <c r="F2843" s="6" t="str">
        <f t="shared" si="88"/>
        <v>January</v>
      </c>
      <c r="G2843" s="6">
        <f t="shared" si="89"/>
        <v>5</v>
      </c>
      <c r="H2843" s="1">
        <f>SUMIF('Retal Tran Line Item'!E:E,A2843,'Retal Tran Line Item'!B:B)</f>
        <v>17</v>
      </c>
    </row>
    <row r="2844" spans="1:8">
      <c r="A2844" s="1">
        <v>103148</v>
      </c>
      <c r="B2844" s="1">
        <v>420981</v>
      </c>
      <c r="C2844" s="2">
        <v>41668</v>
      </c>
      <c r="D2844" s="1" t="s">
        <v>1992</v>
      </c>
      <c r="E2844" s="6">
        <v>2</v>
      </c>
      <c r="F2844" s="6" t="str">
        <f t="shared" si="88"/>
        <v>January</v>
      </c>
      <c r="G2844" s="6">
        <f t="shared" si="89"/>
        <v>5</v>
      </c>
      <c r="H2844" s="1">
        <f>SUMIF('Retal Tran Line Item'!E:E,A2844,'Retal Tran Line Item'!B:B)</f>
        <v>3</v>
      </c>
    </row>
    <row r="2845" spans="1:8">
      <c r="A2845" s="1">
        <v>103149</v>
      </c>
      <c r="B2845" s="1">
        <v>879173</v>
      </c>
      <c r="C2845" s="2">
        <v>41668</v>
      </c>
      <c r="D2845" s="1" t="s">
        <v>1992</v>
      </c>
      <c r="E2845" s="6">
        <v>2</v>
      </c>
      <c r="F2845" s="6" t="str">
        <f t="shared" si="88"/>
        <v>January</v>
      </c>
      <c r="G2845" s="6">
        <f t="shared" si="89"/>
        <v>5</v>
      </c>
      <c r="H2845" s="1">
        <f>SUMIF('Retal Tran Line Item'!E:E,A2845,'Retal Tran Line Item'!B:B)</f>
        <v>22</v>
      </c>
    </row>
    <row r="2846" spans="1:8">
      <c r="A2846" s="1">
        <v>103150</v>
      </c>
      <c r="B2846" s="1">
        <v>418635</v>
      </c>
      <c r="C2846" s="2">
        <v>41668</v>
      </c>
      <c r="D2846" s="1" t="s">
        <v>1993</v>
      </c>
      <c r="E2846" s="6">
        <v>2</v>
      </c>
      <c r="F2846" s="6" t="str">
        <f t="shared" si="88"/>
        <v>January</v>
      </c>
      <c r="G2846" s="6">
        <f t="shared" si="89"/>
        <v>5</v>
      </c>
      <c r="H2846" s="1">
        <f>SUMIF('Retal Tran Line Item'!E:E,A2846,'Retal Tran Line Item'!B:B)</f>
        <v>20</v>
      </c>
    </row>
    <row r="2847" spans="1:8">
      <c r="A2847" s="1">
        <v>103151</v>
      </c>
      <c r="B2847" s="1">
        <v>197102</v>
      </c>
      <c r="C2847" s="2">
        <v>41669</v>
      </c>
      <c r="D2847" s="1" t="s">
        <v>1989</v>
      </c>
      <c r="E2847" s="6">
        <v>2</v>
      </c>
      <c r="F2847" s="6" t="str">
        <f t="shared" si="88"/>
        <v>January</v>
      </c>
      <c r="G2847" s="6">
        <f t="shared" si="89"/>
        <v>5</v>
      </c>
      <c r="H2847" s="1">
        <f>SUMIF('Retal Tran Line Item'!E:E,A2847,'Retal Tran Line Item'!B:B)</f>
        <v>3</v>
      </c>
    </row>
    <row r="2848" spans="1:8">
      <c r="A2848" s="1">
        <v>103152</v>
      </c>
      <c r="B2848" s="1">
        <v>230602</v>
      </c>
      <c r="C2848" s="2">
        <v>41669</v>
      </c>
      <c r="D2848" s="1" t="s">
        <v>1992</v>
      </c>
      <c r="E2848" s="6">
        <v>1</v>
      </c>
      <c r="F2848" s="6" t="str">
        <f t="shared" si="88"/>
        <v>January</v>
      </c>
      <c r="G2848" s="6">
        <f t="shared" si="89"/>
        <v>5</v>
      </c>
      <c r="H2848" s="1">
        <f>SUMIF('Retal Tran Line Item'!E:E,A2848,'Retal Tran Line Item'!B:B)</f>
        <v>4</v>
      </c>
    </row>
    <row r="2849" spans="1:8">
      <c r="A2849" s="1">
        <v>103154</v>
      </c>
      <c r="B2849" s="1">
        <v>378374</v>
      </c>
      <c r="C2849" s="2">
        <v>41669</v>
      </c>
      <c r="D2849" s="1" t="s">
        <v>1994</v>
      </c>
      <c r="E2849" s="6">
        <v>1</v>
      </c>
      <c r="F2849" s="6" t="str">
        <f t="shared" si="88"/>
        <v>January</v>
      </c>
      <c r="G2849" s="6">
        <f t="shared" si="89"/>
        <v>5</v>
      </c>
      <c r="H2849" s="1">
        <f>SUMIF('Retal Tran Line Item'!E:E,A2849,'Retal Tran Line Item'!B:B)</f>
        <v>5</v>
      </c>
    </row>
    <row r="2850" spans="1:8">
      <c r="A2850" s="1">
        <v>103155</v>
      </c>
      <c r="B2850" s="1">
        <v>838924</v>
      </c>
      <c r="C2850" s="2">
        <v>41669</v>
      </c>
      <c r="D2850" s="1" t="s">
        <v>1993</v>
      </c>
      <c r="E2850" s="6">
        <v>1</v>
      </c>
      <c r="F2850" s="6" t="str">
        <f t="shared" si="88"/>
        <v>January</v>
      </c>
      <c r="G2850" s="6">
        <f t="shared" si="89"/>
        <v>5</v>
      </c>
      <c r="H2850" s="1">
        <f>SUMIF('Retal Tran Line Item'!E:E,A2850,'Retal Tran Line Item'!B:B)</f>
        <v>19</v>
      </c>
    </row>
    <row r="2851" spans="1:8">
      <c r="A2851" s="1">
        <v>103157</v>
      </c>
      <c r="B2851" s="1">
        <v>262638</v>
      </c>
      <c r="C2851" s="2">
        <v>41669</v>
      </c>
      <c r="D2851" s="1" t="s">
        <v>1992</v>
      </c>
      <c r="E2851" s="6">
        <v>2</v>
      </c>
      <c r="F2851" s="6" t="str">
        <f t="shared" si="88"/>
        <v>January</v>
      </c>
      <c r="G2851" s="6">
        <f t="shared" si="89"/>
        <v>5</v>
      </c>
      <c r="H2851" s="1">
        <f>SUMIF('Retal Tran Line Item'!E:E,A2851,'Retal Tran Line Item'!B:B)</f>
        <v>6</v>
      </c>
    </row>
    <row r="2852" spans="1:8">
      <c r="A2852" s="1">
        <v>103158</v>
      </c>
      <c r="B2852" s="1">
        <v>416523</v>
      </c>
      <c r="C2852" s="2">
        <v>41669</v>
      </c>
      <c r="D2852" s="1" t="s">
        <v>1994</v>
      </c>
      <c r="E2852" s="6">
        <v>1</v>
      </c>
      <c r="F2852" s="6" t="str">
        <f t="shared" si="88"/>
        <v>January</v>
      </c>
      <c r="G2852" s="6">
        <f t="shared" si="89"/>
        <v>5</v>
      </c>
      <c r="H2852" s="1">
        <f>SUMIF('Retal Tran Line Item'!E:E,A2852,'Retal Tran Line Item'!B:B)</f>
        <v>10</v>
      </c>
    </row>
    <row r="2853" spans="1:8">
      <c r="A2853" s="1">
        <v>103160</v>
      </c>
      <c r="B2853" s="1">
        <v>344702</v>
      </c>
      <c r="C2853" s="2">
        <v>41670</v>
      </c>
      <c r="D2853" s="1" t="s">
        <v>1992</v>
      </c>
      <c r="E2853" s="6">
        <v>2</v>
      </c>
      <c r="F2853" s="6" t="str">
        <f t="shared" si="88"/>
        <v>January</v>
      </c>
      <c r="G2853" s="6">
        <f t="shared" si="89"/>
        <v>5</v>
      </c>
      <c r="H2853" s="1">
        <f>SUMIF('Retal Tran Line Item'!E:E,A2853,'Retal Tran Line Item'!B:B)</f>
        <v>3</v>
      </c>
    </row>
    <row r="2854" spans="1:8">
      <c r="A2854" s="1">
        <v>103161</v>
      </c>
      <c r="B2854" s="1">
        <v>817500</v>
      </c>
      <c r="C2854" s="2">
        <v>41670</v>
      </c>
      <c r="D2854" s="1" t="s">
        <v>1993</v>
      </c>
      <c r="E2854" s="6">
        <v>2</v>
      </c>
      <c r="F2854" s="6" t="str">
        <f t="shared" si="88"/>
        <v>January</v>
      </c>
      <c r="G2854" s="6">
        <f t="shared" si="89"/>
        <v>5</v>
      </c>
      <c r="H2854" s="1">
        <f>SUMIF('Retal Tran Line Item'!E:E,A2854,'Retal Tran Line Item'!B:B)</f>
        <v>5</v>
      </c>
    </row>
    <row r="2855" spans="1:8">
      <c r="A2855" s="1">
        <v>103162</v>
      </c>
      <c r="B2855" s="1">
        <v>386336</v>
      </c>
      <c r="C2855" s="2">
        <v>41670</v>
      </c>
      <c r="D2855" s="1" t="s">
        <v>1989</v>
      </c>
      <c r="E2855" s="6">
        <v>2</v>
      </c>
      <c r="F2855" s="6" t="str">
        <f t="shared" si="88"/>
        <v>January</v>
      </c>
      <c r="G2855" s="6">
        <f t="shared" si="89"/>
        <v>5</v>
      </c>
      <c r="H2855" s="1">
        <f>SUMIF('Retal Tran Line Item'!E:E,A2855,'Retal Tran Line Item'!B:B)</f>
        <v>6</v>
      </c>
    </row>
    <row r="2856" spans="1:8">
      <c r="A2856" s="1">
        <v>103164</v>
      </c>
      <c r="B2856" s="1">
        <v>296886</v>
      </c>
      <c r="C2856" s="2">
        <v>41670</v>
      </c>
      <c r="D2856" s="1" t="s">
        <v>1992</v>
      </c>
      <c r="E2856" s="6">
        <v>2</v>
      </c>
      <c r="F2856" s="6" t="str">
        <f t="shared" si="88"/>
        <v>January</v>
      </c>
      <c r="G2856" s="6">
        <f t="shared" si="89"/>
        <v>5</v>
      </c>
      <c r="H2856" s="1">
        <f>SUMIF('Retal Tran Line Item'!E:E,A2856,'Retal Tran Line Item'!B:B)</f>
        <v>6</v>
      </c>
    </row>
    <row r="2857" spans="1:8">
      <c r="A2857" s="1">
        <v>103167</v>
      </c>
      <c r="B2857" s="1">
        <v>590517</v>
      </c>
      <c r="C2857" s="2">
        <v>41671</v>
      </c>
      <c r="D2857" s="1" t="s">
        <v>1994</v>
      </c>
      <c r="E2857" s="6">
        <v>1</v>
      </c>
      <c r="F2857" s="6" t="str">
        <f t="shared" si="88"/>
        <v>February</v>
      </c>
      <c r="G2857" s="6">
        <f t="shared" si="89"/>
        <v>5</v>
      </c>
      <c r="H2857" s="1">
        <f>SUMIF('Retal Tran Line Item'!E:E,A2857,'Retal Tran Line Item'!B:B)</f>
        <v>1</v>
      </c>
    </row>
    <row r="2858" spans="1:8">
      <c r="A2858" s="1">
        <v>103169</v>
      </c>
      <c r="B2858" s="1">
        <v>297686</v>
      </c>
      <c r="C2858" s="2">
        <v>41671</v>
      </c>
      <c r="D2858" s="1" t="s">
        <v>1992</v>
      </c>
      <c r="E2858" s="6">
        <v>1</v>
      </c>
      <c r="F2858" s="6" t="str">
        <f t="shared" si="88"/>
        <v>February</v>
      </c>
      <c r="G2858" s="6">
        <f t="shared" si="89"/>
        <v>5</v>
      </c>
      <c r="H2858" s="1">
        <f>SUMIF('Retal Tran Line Item'!E:E,A2858,'Retal Tran Line Item'!B:B)</f>
        <v>10</v>
      </c>
    </row>
    <row r="2859" spans="1:8">
      <c r="A2859" s="1">
        <v>103170</v>
      </c>
      <c r="B2859" s="1">
        <v>158310</v>
      </c>
      <c r="C2859" s="2">
        <v>41671</v>
      </c>
      <c r="D2859" s="1" t="s">
        <v>1993</v>
      </c>
      <c r="E2859" s="6">
        <v>1</v>
      </c>
      <c r="F2859" s="6" t="str">
        <f t="shared" si="88"/>
        <v>February</v>
      </c>
      <c r="G2859" s="6">
        <f t="shared" si="89"/>
        <v>5</v>
      </c>
      <c r="H2859" s="1">
        <f>SUMIF('Retal Tran Line Item'!E:E,A2859,'Retal Tran Line Item'!B:B)</f>
        <v>3</v>
      </c>
    </row>
    <row r="2860" spans="1:8">
      <c r="A2860" s="1">
        <v>103171</v>
      </c>
      <c r="B2860" s="1">
        <v>487346</v>
      </c>
      <c r="C2860" s="2">
        <v>41671</v>
      </c>
      <c r="D2860" s="1" t="s">
        <v>1992</v>
      </c>
      <c r="E2860" s="6">
        <v>1</v>
      </c>
      <c r="F2860" s="6" t="str">
        <f t="shared" si="88"/>
        <v>February</v>
      </c>
      <c r="G2860" s="6">
        <f t="shared" si="89"/>
        <v>5</v>
      </c>
      <c r="H2860" s="1">
        <f>SUMIF('Retal Tran Line Item'!E:E,A2860,'Retal Tran Line Item'!B:B)</f>
        <v>8</v>
      </c>
    </row>
    <row r="2861" spans="1:8">
      <c r="A2861" s="1">
        <v>103172</v>
      </c>
      <c r="B2861" s="1">
        <v>137696</v>
      </c>
      <c r="C2861" s="2">
        <v>41671</v>
      </c>
      <c r="D2861" s="1" t="s">
        <v>1994</v>
      </c>
      <c r="E2861" s="6">
        <v>2</v>
      </c>
      <c r="F2861" s="6" t="str">
        <f t="shared" si="88"/>
        <v>February</v>
      </c>
      <c r="G2861" s="6">
        <f t="shared" si="89"/>
        <v>5</v>
      </c>
      <c r="H2861" s="1">
        <f>SUMIF('Retal Tran Line Item'!E:E,A2861,'Retal Tran Line Item'!B:B)</f>
        <v>12</v>
      </c>
    </row>
    <row r="2862" spans="1:8">
      <c r="A2862" s="1">
        <v>103173</v>
      </c>
      <c r="B2862" s="1">
        <v>879173</v>
      </c>
      <c r="C2862" s="2">
        <v>41671</v>
      </c>
      <c r="D2862" s="1" t="s">
        <v>1992</v>
      </c>
      <c r="E2862" s="6">
        <v>2</v>
      </c>
      <c r="F2862" s="6" t="str">
        <f t="shared" si="88"/>
        <v>February</v>
      </c>
      <c r="G2862" s="6">
        <f t="shared" si="89"/>
        <v>5</v>
      </c>
      <c r="H2862" s="1">
        <f>SUMIF('Retal Tran Line Item'!E:E,A2862,'Retal Tran Line Item'!B:B)</f>
        <v>4</v>
      </c>
    </row>
    <row r="2863" spans="1:8">
      <c r="A2863" s="1">
        <v>103174</v>
      </c>
      <c r="B2863" s="1">
        <v>679354</v>
      </c>
      <c r="C2863" s="2">
        <v>41671</v>
      </c>
      <c r="D2863" s="1" t="s">
        <v>1992</v>
      </c>
      <c r="E2863" s="6">
        <v>1</v>
      </c>
      <c r="F2863" s="6" t="str">
        <f t="shared" si="88"/>
        <v>February</v>
      </c>
      <c r="G2863" s="6">
        <f t="shared" si="89"/>
        <v>5</v>
      </c>
      <c r="H2863" s="1">
        <f>SUMIF('Retal Tran Line Item'!E:E,A2863,'Retal Tran Line Item'!B:B)</f>
        <v>5</v>
      </c>
    </row>
    <row r="2864" spans="1:8">
      <c r="A2864" s="1">
        <v>103176</v>
      </c>
      <c r="B2864" s="1">
        <v>742620</v>
      </c>
      <c r="C2864" s="2">
        <v>41672</v>
      </c>
      <c r="D2864" s="1" t="s">
        <v>1992</v>
      </c>
      <c r="E2864" s="6">
        <v>2</v>
      </c>
      <c r="F2864" s="6" t="str">
        <f t="shared" si="88"/>
        <v>February</v>
      </c>
      <c r="G2864" s="6">
        <f t="shared" si="89"/>
        <v>6</v>
      </c>
      <c r="H2864" s="1">
        <f>SUMIF('Retal Tran Line Item'!E:E,A2864,'Retal Tran Line Item'!B:B)</f>
        <v>16</v>
      </c>
    </row>
    <row r="2865" spans="1:8">
      <c r="A2865" s="1">
        <v>103177</v>
      </c>
      <c r="B2865" s="1">
        <v>435907</v>
      </c>
      <c r="C2865" s="2">
        <v>41672</v>
      </c>
      <c r="D2865" s="1" t="s">
        <v>1993</v>
      </c>
      <c r="E2865" s="6">
        <v>1</v>
      </c>
      <c r="F2865" s="6" t="str">
        <f t="shared" si="88"/>
        <v>February</v>
      </c>
      <c r="G2865" s="6">
        <f t="shared" si="89"/>
        <v>6</v>
      </c>
      <c r="H2865" s="1">
        <f>SUMIF('Retal Tran Line Item'!E:E,A2865,'Retal Tran Line Item'!B:B)</f>
        <v>7</v>
      </c>
    </row>
    <row r="2866" spans="1:8">
      <c r="A2866" s="1">
        <v>103178</v>
      </c>
      <c r="B2866" s="1">
        <v>227372</v>
      </c>
      <c r="C2866" s="2">
        <v>41672</v>
      </c>
      <c r="D2866" s="1" t="s">
        <v>1992</v>
      </c>
      <c r="E2866" s="6">
        <v>2</v>
      </c>
      <c r="F2866" s="6" t="str">
        <f t="shared" si="88"/>
        <v>February</v>
      </c>
      <c r="G2866" s="6">
        <f t="shared" si="89"/>
        <v>6</v>
      </c>
      <c r="H2866" s="1">
        <f>SUMIF('Retal Tran Line Item'!E:E,A2866,'Retal Tran Line Item'!B:B)</f>
        <v>7</v>
      </c>
    </row>
    <row r="2867" spans="1:8">
      <c r="A2867" s="1">
        <v>103179</v>
      </c>
      <c r="B2867" s="1">
        <v>190721</v>
      </c>
      <c r="C2867" s="2">
        <v>41672</v>
      </c>
      <c r="D2867" s="1" t="s">
        <v>1993</v>
      </c>
      <c r="E2867" s="6">
        <v>2</v>
      </c>
      <c r="F2867" s="6" t="str">
        <f t="shared" si="88"/>
        <v>February</v>
      </c>
      <c r="G2867" s="6">
        <f t="shared" si="89"/>
        <v>6</v>
      </c>
      <c r="H2867" s="1">
        <f>SUMIF('Retal Tran Line Item'!E:E,A2867,'Retal Tran Line Item'!B:B)</f>
        <v>10</v>
      </c>
    </row>
    <row r="2868" spans="1:8">
      <c r="A2868" s="1">
        <v>103181</v>
      </c>
      <c r="B2868" s="1">
        <v>815980</v>
      </c>
      <c r="C2868" s="2">
        <v>41672</v>
      </c>
      <c r="D2868" s="1" t="s">
        <v>1992</v>
      </c>
      <c r="E2868" s="6">
        <v>2</v>
      </c>
      <c r="F2868" s="6" t="str">
        <f t="shared" si="88"/>
        <v>February</v>
      </c>
      <c r="G2868" s="6">
        <f t="shared" si="89"/>
        <v>6</v>
      </c>
      <c r="H2868" s="1">
        <f>SUMIF('Retal Tran Line Item'!E:E,A2868,'Retal Tran Line Item'!B:B)</f>
        <v>13</v>
      </c>
    </row>
    <row r="2869" spans="1:8">
      <c r="A2869" s="1">
        <v>103182</v>
      </c>
      <c r="B2869" s="1">
        <v>202612</v>
      </c>
      <c r="C2869" s="2">
        <v>41672</v>
      </c>
      <c r="D2869" s="1" t="s">
        <v>1992</v>
      </c>
      <c r="E2869" s="6">
        <v>2</v>
      </c>
      <c r="F2869" s="6" t="str">
        <f t="shared" si="88"/>
        <v>February</v>
      </c>
      <c r="G2869" s="6">
        <f t="shared" si="89"/>
        <v>6</v>
      </c>
      <c r="H2869" s="1">
        <f>SUMIF('Retal Tran Line Item'!E:E,A2869,'Retal Tran Line Item'!B:B)</f>
        <v>23</v>
      </c>
    </row>
    <row r="2870" spans="1:8">
      <c r="A2870" s="1">
        <v>103185</v>
      </c>
      <c r="B2870" s="1">
        <v>147216</v>
      </c>
      <c r="C2870" s="2">
        <v>41673</v>
      </c>
      <c r="D2870" s="1" t="s">
        <v>1993</v>
      </c>
      <c r="E2870" s="6">
        <v>1</v>
      </c>
      <c r="F2870" s="6" t="str">
        <f t="shared" si="88"/>
        <v>February</v>
      </c>
      <c r="G2870" s="6">
        <f t="shared" si="89"/>
        <v>6</v>
      </c>
      <c r="H2870" s="1">
        <f>SUMIF('Retal Tran Line Item'!E:E,A2870,'Retal Tran Line Item'!B:B)</f>
        <v>7</v>
      </c>
    </row>
    <row r="2871" spans="1:8">
      <c r="A2871" s="1">
        <v>103186</v>
      </c>
      <c r="B2871" s="1">
        <v>884607</v>
      </c>
      <c r="C2871" s="2">
        <v>41673</v>
      </c>
      <c r="D2871" s="1" t="s">
        <v>1993</v>
      </c>
      <c r="E2871" s="6">
        <v>1</v>
      </c>
      <c r="F2871" s="6" t="str">
        <f t="shared" si="88"/>
        <v>February</v>
      </c>
      <c r="G2871" s="6">
        <f t="shared" si="89"/>
        <v>6</v>
      </c>
      <c r="H2871" s="1">
        <f>SUMIF('Retal Tran Line Item'!E:E,A2871,'Retal Tran Line Item'!B:B)</f>
        <v>5</v>
      </c>
    </row>
    <row r="2872" spans="1:8">
      <c r="A2872" s="1">
        <v>103187</v>
      </c>
      <c r="B2872" s="1">
        <v>301793</v>
      </c>
      <c r="C2872" s="2">
        <v>41673</v>
      </c>
      <c r="D2872" s="1" t="s">
        <v>1989</v>
      </c>
      <c r="E2872" s="6">
        <v>2</v>
      </c>
      <c r="F2872" s="6" t="str">
        <f t="shared" si="88"/>
        <v>February</v>
      </c>
      <c r="G2872" s="6">
        <f t="shared" si="89"/>
        <v>6</v>
      </c>
      <c r="H2872" s="1">
        <f>SUMIF('Retal Tran Line Item'!E:E,A2872,'Retal Tran Line Item'!B:B)</f>
        <v>7</v>
      </c>
    </row>
    <row r="2873" spans="1:8">
      <c r="A2873" s="1">
        <v>103189</v>
      </c>
      <c r="B2873" s="1">
        <v>429748</v>
      </c>
      <c r="C2873" s="2">
        <v>41673</v>
      </c>
      <c r="D2873" s="1" t="s">
        <v>1994</v>
      </c>
      <c r="E2873" s="6">
        <v>1</v>
      </c>
      <c r="F2873" s="6" t="str">
        <f t="shared" si="88"/>
        <v>February</v>
      </c>
      <c r="G2873" s="6">
        <f t="shared" si="89"/>
        <v>6</v>
      </c>
      <c r="H2873" s="1">
        <f>SUMIF('Retal Tran Line Item'!E:E,A2873,'Retal Tran Line Item'!B:B)</f>
        <v>14</v>
      </c>
    </row>
    <row r="2874" spans="1:8">
      <c r="A2874" s="1">
        <v>103195</v>
      </c>
      <c r="B2874" s="1">
        <v>563500</v>
      </c>
      <c r="C2874" s="2">
        <v>41674</v>
      </c>
      <c r="D2874" s="1" t="s">
        <v>1992</v>
      </c>
      <c r="E2874" s="6">
        <v>1</v>
      </c>
      <c r="F2874" s="6" t="str">
        <f t="shared" si="88"/>
        <v>February</v>
      </c>
      <c r="G2874" s="6">
        <f t="shared" si="89"/>
        <v>6</v>
      </c>
      <c r="H2874" s="1">
        <f>SUMIF('Retal Tran Line Item'!E:E,A2874,'Retal Tran Line Item'!B:B)</f>
        <v>9</v>
      </c>
    </row>
    <row r="2875" spans="1:8">
      <c r="A2875" s="1">
        <v>103200</v>
      </c>
      <c r="B2875" s="1">
        <v>938417</v>
      </c>
      <c r="C2875" s="2">
        <v>41675</v>
      </c>
      <c r="D2875" s="1" t="s">
        <v>1992</v>
      </c>
      <c r="E2875" s="6">
        <v>1</v>
      </c>
      <c r="F2875" s="6" t="str">
        <f t="shared" si="88"/>
        <v>February</v>
      </c>
      <c r="G2875" s="6">
        <f t="shared" si="89"/>
        <v>6</v>
      </c>
      <c r="H2875" s="1">
        <f>SUMIF('Retal Tran Line Item'!E:E,A2875,'Retal Tran Line Item'!B:B)</f>
        <v>9</v>
      </c>
    </row>
    <row r="2876" spans="1:8">
      <c r="A2876" s="1">
        <v>103201</v>
      </c>
      <c r="B2876" s="1">
        <v>426830</v>
      </c>
      <c r="C2876" s="2">
        <v>41675</v>
      </c>
      <c r="D2876" s="1" t="s">
        <v>1994</v>
      </c>
      <c r="E2876" s="6">
        <v>1</v>
      </c>
      <c r="F2876" s="6" t="str">
        <f t="shared" si="88"/>
        <v>February</v>
      </c>
      <c r="G2876" s="6">
        <f t="shared" si="89"/>
        <v>6</v>
      </c>
      <c r="H2876" s="1">
        <f>SUMIF('Retal Tran Line Item'!E:E,A2876,'Retal Tran Line Item'!B:B)</f>
        <v>24</v>
      </c>
    </row>
    <row r="2877" spans="1:8">
      <c r="A2877" s="1">
        <v>103203</v>
      </c>
      <c r="B2877" s="1">
        <v>905670</v>
      </c>
      <c r="C2877" s="2">
        <v>41675</v>
      </c>
      <c r="D2877" s="1" t="s">
        <v>1993</v>
      </c>
      <c r="E2877" s="6">
        <v>1</v>
      </c>
      <c r="F2877" s="6" t="str">
        <f t="shared" si="88"/>
        <v>February</v>
      </c>
      <c r="G2877" s="6">
        <f t="shared" si="89"/>
        <v>6</v>
      </c>
      <c r="H2877" s="1">
        <f>SUMIF('Retal Tran Line Item'!E:E,A2877,'Retal Tran Line Item'!B:B)</f>
        <v>3</v>
      </c>
    </row>
    <row r="2878" spans="1:8">
      <c r="A2878" s="1">
        <v>103204</v>
      </c>
      <c r="B2878" s="1">
        <v>441628</v>
      </c>
      <c r="C2878" s="2">
        <v>41675</v>
      </c>
      <c r="D2878" s="1" t="s">
        <v>1989</v>
      </c>
      <c r="E2878" s="6">
        <v>2</v>
      </c>
      <c r="F2878" s="6" t="str">
        <f t="shared" si="88"/>
        <v>February</v>
      </c>
      <c r="G2878" s="6">
        <f t="shared" si="89"/>
        <v>6</v>
      </c>
      <c r="H2878" s="1">
        <f>SUMIF('Retal Tran Line Item'!E:E,A2878,'Retal Tran Line Item'!B:B)</f>
        <v>8</v>
      </c>
    </row>
    <row r="2879" spans="1:8">
      <c r="A2879" s="1">
        <v>103206</v>
      </c>
      <c r="B2879" s="1">
        <v>826590</v>
      </c>
      <c r="C2879" s="2">
        <v>41676</v>
      </c>
      <c r="D2879" s="1" t="s">
        <v>1992</v>
      </c>
      <c r="E2879" s="6">
        <v>1</v>
      </c>
      <c r="F2879" s="6" t="str">
        <f t="shared" si="88"/>
        <v>February</v>
      </c>
      <c r="G2879" s="6">
        <f t="shared" si="89"/>
        <v>6</v>
      </c>
      <c r="H2879" s="1">
        <f>SUMIF('Retal Tran Line Item'!E:E,A2879,'Retal Tran Line Item'!B:B)</f>
        <v>10</v>
      </c>
    </row>
    <row r="2880" spans="1:8">
      <c r="A2880" s="1">
        <v>103209</v>
      </c>
      <c r="B2880" s="1">
        <v>245577</v>
      </c>
      <c r="C2880" s="2">
        <v>41676</v>
      </c>
      <c r="D2880" s="1" t="s">
        <v>1989</v>
      </c>
      <c r="E2880" s="6">
        <v>2</v>
      </c>
      <c r="F2880" s="6" t="str">
        <f t="shared" si="88"/>
        <v>February</v>
      </c>
      <c r="G2880" s="6">
        <f t="shared" si="89"/>
        <v>6</v>
      </c>
      <c r="H2880" s="1">
        <f>SUMIF('Retal Tran Line Item'!E:E,A2880,'Retal Tran Line Item'!B:B)</f>
        <v>3</v>
      </c>
    </row>
    <row r="2881" spans="1:8">
      <c r="A2881" s="1">
        <v>103211</v>
      </c>
      <c r="B2881" s="1">
        <v>498970</v>
      </c>
      <c r="C2881" s="2">
        <v>41676</v>
      </c>
      <c r="D2881" s="1" t="s">
        <v>1992</v>
      </c>
      <c r="E2881" s="6">
        <v>2</v>
      </c>
      <c r="F2881" s="6" t="str">
        <f t="shared" si="88"/>
        <v>February</v>
      </c>
      <c r="G2881" s="6">
        <f t="shared" si="89"/>
        <v>6</v>
      </c>
      <c r="H2881" s="1">
        <f>SUMIF('Retal Tran Line Item'!E:E,A2881,'Retal Tran Line Item'!B:B)</f>
        <v>1</v>
      </c>
    </row>
    <row r="2882" spans="1:8">
      <c r="A2882" s="1">
        <v>103212</v>
      </c>
      <c r="B2882" s="1">
        <v>738357</v>
      </c>
      <c r="C2882" s="2">
        <v>41677</v>
      </c>
      <c r="D2882" s="1" t="s">
        <v>1993</v>
      </c>
      <c r="E2882" s="6">
        <v>2</v>
      </c>
      <c r="F2882" s="6" t="str">
        <f t="shared" si="88"/>
        <v>February</v>
      </c>
      <c r="G2882" s="6">
        <f t="shared" si="89"/>
        <v>6</v>
      </c>
      <c r="H2882" s="1">
        <f>SUMIF('Retal Tran Line Item'!E:E,A2882,'Retal Tran Line Item'!B:B)</f>
        <v>13</v>
      </c>
    </row>
    <row r="2883" spans="1:8">
      <c r="A2883" s="1">
        <v>103214</v>
      </c>
      <c r="B2883" s="1">
        <v>549823</v>
      </c>
      <c r="C2883" s="2">
        <v>41677</v>
      </c>
      <c r="D2883" s="1" t="s">
        <v>1993</v>
      </c>
      <c r="E2883" s="6">
        <v>1</v>
      </c>
      <c r="F2883" s="6" t="str">
        <f t="shared" ref="F2883:F2946" si="90">TEXT(C2883,"MMMM")</f>
        <v>February</v>
      </c>
      <c r="G2883" s="6">
        <f t="shared" ref="G2883:G2946" si="91">WEEKNUM(C2883)</f>
        <v>6</v>
      </c>
      <c r="H2883" s="1">
        <f>SUMIF('Retal Tran Line Item'!E:E,A2883,'Retal Tran Line Item'!B:B)</f>
        <v>13</v>
      </c>
    </row>
    <row r="2884" spans="1:8">
      <c r="A2884" s="1">
        <v>103215</v>
      </c>
      <c r="B2884" s="1">
        <v>759995</v>
      </c>
      <c r="C2884" s="2">
        <v>41677</v>
      </c>
      <c r="D2884" s="1" t="s">
        <v>1993</v>
      </c>
      <c r="E2884" s="6">
        <v>1</v>
      </c>
      <c r="F2884" s="6" t="str">
        <f t="shared" si="90"/>
        <v>February</v>
      </c>
      <c r="G2884" s="6">
        <f t="shared" si="91"/>
        <v>6</v>
      </c>
      <c r="H2884" s="1">
        <f>SUMIF('Retal Tran Line Item'!E:E,A2884,'Retal Tran Line Item'!B:B)</f>
        <v>2</v>
      </c>
    </row>
    <row r="2885" spans="1:8">
      <c r="A2885" s="1">
        <v>103216</v>
      </c>
      <c r="B2885" s="1">
        <v>747066</v>
      </c>
      <c r="C2885" s="2">
        <v>41677</v>
      </c>
      <c r="D2885" s="1" t="s">
        <v>1993</v>
      </c>
      <c r="E2885" s="6">
        <v>2</v>
      </c>
      <c r="F2885" s="6" t="str">
        <f t="shared" si="90"/>
        <v>February</v>
      </c>
      <c r="G2885" s="6">
        <f t="shared" si="91"/>
        <v>6</v>
      </c>
      <c r="H2885" s="1">
        <f>SUMIF('Retal Tran Line Item'!E:E,A2885,'Retal Tran Line Item'!B:B)</f>
        <v>8</v>
      </c>
    </row>
    <row r="2886" spans="1:8">
      <c r="A2886" s="1">
        <v>103218</v>
      </c>
      <c r="B2886" s="1">
        <v>695276</v>
      </c>
      <c r="C2886" s="2">
        <v>41677</v>
      </c>
      <c r="D2886" s="1" t="s">
        <v>1992</v>
      </c>
      <c r="E2886" s="6">
        <v>1</v>
      </c>
      <c r="F2886" s="6" t="str">
        <f t="shared" si="90"/>
        <v>February</v>
      </c>
      <c r="G2886" s="6">
        <f t="shared" si="91"/>
        <v>6</v>
      </c>
      <c r="H2886" s="1">
        <f>SUMIF('Retal Tran Line Item'!E:E,A2886,'Retal Tran Line Item'!B:B)</f>
        <v>4</v>
      </c>
    </row>
    <row r="2887" spans="1:8">
      <c r="A2887" s="1">
        <v>103222</v>
      </c>
      <c r="B2887" s="1">
        <v>478274</v>
      </c>
      <c r="C2887" s="2">
        <v>41678</v>
      </c>
      <c r="D2887" s="1" t="s">
        <v>1993</v>
      </c>
      <c r="E2887" s="6">
        <v>1</v>
      </c>
      <c r="F2887" s="6" t="str">
        <f t="shared" si="90"/>
        <v>February</v>
      </c>
      <c r="G2887" s="6">
        <f t="shared" si="91"/>
        <v>6</v>
      </c>
      <c r="H2887" s="1">
        <f>SUMIF('Retal Tran Line Item'!E:E,A2887,'Retal Tran Line Item'!B:B)</f>
        <v>1</v>
      </c>
    </row>
    <row r="2888" spans="1:8">
      <c r="A2888" s="1">
        <v>103223</v>
      </c>
      <c r="B2888" s="1">
        <v>860057</v>
      </c>
      <c r="C2888" s="2">
        <v>41678</v>
      </c>
      <c r="D2888" s="1" t="s">
        <v>1989</v>
      </c>
      <c r="E2888" s="6">
        <v>2</v>
      </c>
      <c r="F2888" s="6" t="str">
        <f t="shared" si="90"/>
        <v>February</v>
      </c>
      <c r="G2888" s="6">
        <f t="shared" si="91"/>
        <v>6</v>
      </c>
      <c r="H2888" s="1">
        <f>SUMIF('Retal Tran Line Item'!E:E,A2888,'Retal Tran Line Item'!B:B)</f>
        <v>1</v>
      </c>
    </row>
    <row r="2889" spans="1:8">
      <c r="A2889" s="1">
        <v>103225</v>
      </c>
      <c r="B2889" s="1">
        <v>515753</v>
      </c>
      <c r="C2889" s="2">
        <v>41678</v>
      </c>
      <c r="D2889" s="1" t="s">
        <v>1989</v>
      </c>
      <c r="E2889" s="6">
        <v>2</v>
      </c>
      <c r="F2889" s="6" t="str">
        <f t="shared" si="90"/>
        <v>February</v>
      </c>
      <c r="G2889" s="6">
        <f t="shared" si="91"/>
        <v>6</v>
      </c>
      <c r="H2889" s="1">
        <f>SUMIF('Retal Tran Line Item'!E:E,A2889,'Retal Tran Line Item'!B:B)</f>
        <v>11</v>
      </c>
    </row>
    <row r="2890" spans="1:8">
      <c r="A2890" s="1">
        <v>103227</v>
      </c>
      <c r="B2890" s="1">
        <v>433442</v>
      </c>
      <c r="C2890" s="2">
        <v>41679</v>
      </c>
      <c r="D2890" s="1" t="s">
        <v>1989</v>
      </c>
      <c r="E2890" s="6">
        <v>1</v>
      </c>
      <c r="F2890" s="6" t="str">
        <f t="shared" si="90"/>
        <v>February</v>
      </c>
      <c r="G2890" s="6">
        <f t="shared" si="91"/>
        <v>7</v>
      </c>
      <c r="H2890" s="1">
        <f>SUMIF('Retal Tran Line Item'!E:E,A2890,'Retal Tran Line Item'!B:B)</f>
        <v>10</v>
      </c>
    </row>
    <row r="2891" spans="1:8">
      <c r="A2891" s="1">
        <v>103231</v>
      </c>
      <c r="B2891" s="1">
        <v>265707</v>
      </c>
      <c r="C2891" s="2">
        <v>41679</v>
      </c>
      <c r="D2891" s="1" t="s">
        <v>1994</v>
      </c>
      <c r="E2891" s="6">
        <v>1</v>
      </c>
      <c r="F2891" s="6" t="str">
        <f t="shared" si="90"/>
        <v>February</v>
      </c>
      <c r="G2891" s="6">
        <f t="shared" si="91"/>
        <v>7</v>
      </c>
      <c r="H2891" s="1">
        <f>SUMIF('Retal Tran Line Item'!E:E,A2891,'Retal Tran Line Item'!B:B)</f>
        <v>1</v>
      </c>
    </row>
    <row r="2892" spans="1:8">
      <c r="A2892" s="1">
        <v>103232</v>
      </c>
      <c r="B2892" s="1">
        <v>846722</v>
      </c>
      <c r="C2892" s="2">
        <v>41679</v>
      </c>
      <c r="D2892" s="1" t="s">
        <v>1992</v>
      </c>
      <c r="E2892" s="6">
        <v>2</v>
      </c>
      <c r="F2892" s="6" t="str">
        <f t="shared" si="90"/>
        <v>February</v>
      </c>
      <c r="G2892" s="6">
        <f t="shared" si="91"/>
        <v>7</v>
      </c>
      <c r="H2892" s="1">
        <f>SUMIF('Retal Tran Line Item'!E:E,A2892,'Retal Tran Line Item'!B:B)</f>
        <v>14</v>
      </c>
    </row>
    <row r="2893" spans="1:8">
      <c r="A2893" s="1">
        <v>103233</v>
      </c>
      <c r="B2893" s="1">
        <v>235720</v>
      </c>
      <c r="C2893" s="2">
        <v>41679</v>
      </c>
      <c r="D2893" s="1" t="s">
        <v>1993</v>
      </c>
      <c r="E2893" s="6">
        <v>1</v>
      </c>
      <c r="F2893" s="6" t="str">
        <f t="shared" si="90"/>
        <v>February</v>
      </c>
      <c r="G2893" s="6">
        <f t="shared" si="91"/>
        <v>7</v>
      </c>
      <c r="H2893" s="1">
        <f>SUMIF('Retal Tran Line Item'!E:E,A2893,'Retal Tran Line Item'!B:B)</f>
        <v>10</v>
      </c>
    </row>
    <row r="2894" spans="1:8">
      <c r="A2894" s="1">
        <v>103234</v>
      </c>
      <c r="B2894" s="1">
        <v>408341</v>
      </c>
      <c r="C2894" s="2">
        <v>41680</v>
      </c>
      <c r="D2894" s="1" t="s">
        <v>1993</v>
      </c>
      <c r="E2894" s="6">
        <v>1</v>
      </c>
      <c r="F2894" s="6" t="str">
        <f t="shared" si="90"/>
        <v>February</v>
      </c>
      <c r="G2894" s="6">
        <f t="shared" si="91"/>
        <v>7</v>
      </c>
      <c r="H2894" s="1">
        <f>SUMIF('Retal Tran Line Item'!E:E,A2894,'Retal Tran Line Item'!B:B)</f>
        <v>5</v>
      </c>
    </row>
    <row r="2895" spans="1:8">
      <c r="A2895" s="1">
        <v>103235</v>
      </c>
      <c r="B2895" s="1">
        <v>515790</v>
      </c>
      <c r="C2895" s="2">
        <v>41680</v>
      </c>
      <c r="D2895" s="1" t="s">
        <v>1993</v>
      </c>
      <c r="E2895" s="6">
        <v>2</v>
      </c>
      <c r="F2895" s="6" t="str">
        <f t="shared" si="90"/>
        <v>February</v>
      </c>
      <c r="G2895" s="6">
        <f t="shared" si="91"/>
        <v>7</v>
      </c>
      <c r="H2895" s="1">
        <f>SUMIF('Retal Tran Line Item'!E:E,A2895,'Retal Tran Line Item'!B:B)</f>
        <v>7</v>
      </c>
    </row>
    <row r="2896" spans="1:8">
      <c r="A2896" s="1">
        <v>103237</v>
      </c>
      <c r="B2896" s="1">
        <v>158528</v>
      </c>
      <c r="C2896" s="2">
        <v>41680</v>
      </c>
      <c r="D2896" s="1" t="s">
        <v>1993</v>
      </c>
      <c r="E2896" s="6">
        <v>1</v>
      </c>
      <c r="F2896" s="6" t="str">
        <f t="shared" si="90"/>
        <v>February</v>
      </c>
      <c r="G2896" s="6">
        <f t="shared" si="91"/>
        <v>7</v>
      </c>
      <c r="H2896" s="1">
        <f>SUMIF('Retal Tran Line Item'!E:E,A2896,'Retal Tran Line Item'!B:B)</f>
        <v>8</v>
      </c>
    </row>
    <row r="2897" spans="1:8">
      <c r="A2897" s="1">
        <v>103239</v>
      </c>
      <c r="B2897" s="1">
        <v>977759</v>
      </c>
      <c r="C2897" s="2">
        <v>41680</v>
      </c>
      <c r="D2897" s="1" t="s">
        <v>1992</v>
      </c>
      <c r="E2897" s="6">
        <v>2</v>
      </c>
      <c r="F2897" s="6" t="str">
        <f t="shared" si="90"/>
        <v>February</v>
      </c>
      <c r="G2897" s="6">
        <f t="shared" si="91"/>
        <v>7</v>
      </c>
      <c r="H2897" s="1">
        <f>SUMIF('Retal Tran Line Item'!E:E,A2897,'Retal Tran Line Item'!B:B)</f>
        <v>14</v>
      </c>
    </row>
    <row r="2898" spans="1:8">
      <c r="A2898" s="1">
        <v>103241</v>
      </c>
      <c r="B2898" s="1">
        <v>189953</v>
      </c>
      <c r="C2898" s="2">
        <v>41680</v>
      </c>
      <c r="D2898" s="1" t="s">
        <v>1992</v>
      </c>
      <c r="E2898" s="6">
        <v>2</v>
      </c>
      <c r="F2898" s="6" t="str">
        <f t="shared" si="90"/>
        <v>February</v>
      </c>
      <c r="G2898" s="6">
        <f t="shared" si="91"/>
        <v>7</v>
      </c>
      <c r="H2898" s="1">
        <f>SUMIF('Retal Tran Line Item'!E:E,A2898,'Retal Tran Line Item'!B:B)</f>
        <v>3</v>
      </c>
    </row>
    <row r="2899" spans="1:8">
      <c r="A2899" s="1">
        <v>103242</v>
      </c>
      <c r="B2899" s="1">
        <v>892883</v>
      </c>
      <c r="C2899" s="2">
        <v>41681</v>
      </c>
      <c r="D2899" s="1" t="s">
        <v>1992</v>
      </c>
      <c r="E2899" s="6">
        <v>2</v>
      </c>
      <c r="F2899" s="6" t="str">
        <f t="shared" si="90"/>
        <v>February</v>
      </c>
      <c r="G2899" s="6">
        <f t="shared" si="91"/>
        <v>7</v>
      </c>
      <c r="H2899" s="1">
        <f>SUMIF('Retal Tran Line Item'!E:E,A2899,'Retal Tran Line Item'!B:B)</f>
        <v>10</v>
      </c>
    </row>
    <row r="2900" spans="1:8">
      <c r="A2900" s="1">
        <v>103243</v>
      </c>
      <c r="B2900" s="1">
        <v>575041</v>
      </c>
      <c r="C2900" s="2">
        <v>41681</v>
      </c>
      <c r="D2900" s="1" t="s">
        <v>1994</v>
      </c>
      <c r="E2900" s="6">
        <v>2</v>
      </c>
      <c r="F2900" s="6" t="str">
        <f t="shared" si="90"/>
        <v>February</v>
      </c>
      <c r="G2900" s="6">
        <f t="shared" si="91"/>
        <v>7</v>
      </c>
      <c r="H2900" s="1">
        <f>SUMIF('Retal Tran Line Item'!E:E,A2900,'Retal Tran Line Item'!B:B)</f>
        <v>15</v>
      </c>
    </row>
    <row r="2901" spans="1:8">
      <c r="A2901" s="1">
        <v>103244</v>
      </c>
      <c r="B2901" s="1">
        <v>160392</v>
      </c>
      <c r="C2901" s="2">
        <v>41681</v>
      </c>
      <c r="D2901" s="1" t="s">
        <v>1989</v>
      </c>
      <c r="E2901" s="6">
        <v>1</v>
      </c>
      <c r="F2901" s="6" t="str">
        <f t="shared" si="90"/>
        <v>February</v>
      </c>
      <c r="G2901" s="6">
        <f t="shared" si="91"/>
        <v>7</v>
      </c>
      <c r="H2901" s="1">
        <f>SUMIF('Retal Tran Line Item'!E:E,A2901,'Retal Tran Line Item'!B:B)</f>
        <v>6</v>
      </c>
    </row>
    <row r="2902" spans="1:8">
      <c r="A2902" s="1">
        <v>103248</v>
      </c>
      <c r="B2902" s="1">
        <v>193968</v>
      </c>
      <c r="C2902" s="2">
        <v>41682</v>
      </c>
      <c r="D2902" s="1" t="s">
        <v>1992</v>
      </c>
      <c r="E2902" s="6">
        <v>2</v>
      </c>
      <c r="F2902" s="6" t="str">
        <f t="shared" si="90"/>
        <v>February</v>
      </c>
      <c r="G2902" s="6">
        <f t="shared" si="91"/>
        <v>7</v>
      </c>
      <c r="H2902" s="1">
        <f>SUMIF('Retal Tran Line Item'!E:E,A2902,'Retal Tran Line Item'!B:B)</f>
        <v>6</v>
      </c>
    </row>
    <row r="2903" spans="1:8">
      <c r="A2903" s="1">
        <v>103249</v>
      </c>
      <c r="B2903" s="1">
        <v>498970</v>
      </c>
      <c r="C2903" s="2">
        <v>41682</v>
      </c>
      <c r="D2903" s="1" t="s">
        <v>1992</v>
      </c>
      <c r="E2903" s="6">
        <v>2</v>
      </c>
      <c r="F2903" s="6" t="str">
        <f t="shared" si="90"/>
        <v>February</v>
      </c>
      <c r="G2903" s="6">
        <f t="shared" si="91"/>
        <v>7</v>
      </c>
      <c r="H2903" s="1">
        <f>SUMIF('Retal Tran Line Item'!E:E,A2903,'Retal Tran Line Item'!B:B)</f>
        <v>5</v>
      </c>
    </row>
    <row r="2904" spans="1:8">
      <c r="A2904" s="1">
        <v>103250</v>
      </c>
      <c r="B2904" s="1">
        <v>781523</v>
      </c>
      <c r="C2904" s="2">
        <v>41682</v>
      </c>
      <c r="D2904" s="1" t="s">
        <v>1989</v>
      </c>
      <c r="E2904" s="6">
        <v>2</v>
      </c>
      <c r="F2904" s="6" t="str">
        <f t="shared" si="90"/>
        <v>February</v>
      </c>
      <c r="G2904" s="6">
        <f t="shared" si="91"/>
        <v>7</v>
      </c>
      <c r="H2904" s="1">
        <f>SUMIF('Retal Tran Line Item'!E:E,A2904,'Retal Tran Line Item'!B:B)</f>
        <v>10</v>
      </c>
    </row>
    <row r="2905" spans="1:8">
      <c r="A2905" s="1">
        <v>103251</v>
      </c>
      <c r="B2905" s="1">
        <v>418506</v>
      </c>
      <c r="C2905" s="2">
        <v>41682</v>
      </c>
      <c r="D2905" s="1" t="s">
        <v>1992</v>
      </c>
      <c r="E2905" s="6">
        <v>1</v>
      </c>
      <c r="F2905" s="6" t="str">
        <f t="shared" si="90"/>
        <v>February</v>
      </c>
      <c r="G2905" s="6">
        <f t="shared" si="91"/>
        <v>7</v>
      </c>
      <c r="H2905" s="1">
        <f>SUMIF('Retal Tran Line Item'!E:E,A2905,'Retal Tran Line Item'!B:B)</f>
        <v>23</v>
      </c>
    </row>
    <row r="2906" spans="1:8">
      <c r="A2906" s="1">
        <v>103252</v>
      </c>
      <c r="B2906" s="1">
        <v>241144</v>
      </c>
      <c r="C2906" s="2">
        <v>41682</v>
      </c>
      <c r="D2906" s="1" t="s">
        <v>1992</v>
      </c>
      <c r="E2906" s="6">
        <v>2</v>
      </c>
      <c r="F2906" s="6" t="str">
        <f t="shared" si="90"/>
        <v>February</v>
      </c>
      <c r="G2906" s="6">
        <f t="shared" si="91"/>
        <v>7</v>
      </c>
      <c r="H2906" s="1">
        <f>SUMIF('Retal Tran Line Item'!E:E,A2906,'Retal Tran Line Item'!B:B)</f>
        <v>10</v>
      </c>
    </row>
    <row r="2907" spans="1:8">
      <c r="A2907" s="1">
        <v>103253</v>
      </c>
      <c r="B2907" s="1">
        <v>147543</v>
      </c>
      <c r="C2907" s="2">
        <v>41682</v>
      </c>
      <c r="D2907" s="1" t="s">
        <v>1993</v>
      </c>
      <c r="E2907" s="6">
        <v>1</v>
      </c>
      <c r="F2907" s="6" t="str">
        <f t="shared" si="90"/>
        <v>February</v>
      </c>
      <c r="G2907" s="6">
        <f t="shared" si="91"/>
        <v>7</v>
      </c>
      <c r="H2907" s="1">
        <f>SUMIF('Retal Tran Line Item'!E:E,A2907,'Retal Tran Line Item'!B:B)</f>
        <v>7</v>
      </c>
    </row>
    <row r="2908" spans="1:8">
      <c r="A2908" s="1">
        <v>103256</v>
      </c>
      <c r="B2908" s="1">
        <v>253106</v>
      </c>
      <c r="C2908" s="2">
        <v>41683</v>
      </c>
      <c r="D2908" s="1" t="s">
        <v>1989</v>
      </c>
      <c r="E2908" s="6">
        <v>1</v>
      </c>
      <c r="F2908" s="6" t="str">
        <f t="shared" si="90"/>
        <v>February</v>
      </c>
      <c r="G2908" s="6">
        <f t="shared" si="91"/>
        <v>7</v>
      </c>
      <c r="H2908" s="1">
        <f>SUMIF('Retal Tran Line Item'!E:E,A2908,'Retal Tran Line Item'!B:B)</f>
        <v>5</v>
      </c>
    </row>
    <row r="2909" spans="1:8">
      <c r="A2909" s="1">
        <v>103257</v>
      </c>
      <c r="B2909" s="1">
        <v>166735</v>
      </c>
      <c r="C2909" s="2">
        <v>41683</v>
      </c>
      <c r="D2909" s="1" t="s">
        <v>1989</v>
      </c>
      <c r="E2909" s="6">
        <v>2</v>
      </c>
      <c r="F2909" s="6" t="str">
        <f t="shared" si="90"/>
        <v>February</v>
      </c>
      <c r="G2909" s="6">
        <f t="shared" si="91"/>
        <v>7</v>
      </c>
      <c r="H2909" s="1">
        <f>SUMIF('Retal Tran Line Item'!E:E,A2909,'Retal Tran Line Item'!B:B)</f>
        <v>8</v>
      </c>
    </row>
    <row r="2910" spans="1:8">
      <c r="A2910" s="1">
        <v>103258</v>
      </c>
      <c r="B2910" s="1">
        <v>143878</v>
      </c>
      <c r="C2910" s="2">
        <v>41683</v>
      </c>
      <c r="D2910" s="1" t="s">
        <v>1992</v>
      </c>
      <c r="E2910" s="6">
        <v>1</v>
      </c>
      <c r="F2910" s="6" t="str">
        <f t="shared" si="90"/>
        <v>February</v>
      </c>
      <c r="G2910" s="6">
        <f t="shared" si="91"/>
        <v>7</v>
      </c>
      <c r="H2910" s="1">
        <f>SUMIF('Retal Tran Line Item'!E:E,A2910,'Retal Tran Line Item'!B:B)</f>
        <v>1</v>
      </c>
    </row>
    <row r="2911" spans="1:8">
      <c r="A2911" s="1">
        <v>103259</v>
      </c>
      <c r="B2911" s="1">
        <v>890497</v>
      </c>
      <c r="C2911" s="2">
        <v>41683</v>
      </c>
      <c r="D2911" s="1" t="s">
        <v>1992</v>
      </c>
      <c r="E2911" s="6">
        <v>2</v>
      </c>
      <c r="F2911" s="6" t="str">
        <f t="shared" si="90"/>
        <v>February</v>
      </c>
      <c r="G2911" s="6">
        <f t="shared" si="91"/>
        <v>7</v>
      </c>
      <c r="H2911" s="1">
        <f>SUMIF('Retal Tran Line Item'!E:E,A2911,'Retal Tran Line Item'!B:B)</f>
        <v>8</v>
      </c>
    </row>
    <row r="2912" spans="1:8">
      <c r="A2912" s="1">
        <v>103260</v>
      </c>
      <c r="B2912" s="1">
        <v>822823</v>
      </c>
      <c r="C2912" s="2">
        <v>41683</v>
      </c>
      <c r="D2912" s="1" t="s">
        <v>1994</v>
      </c>
      <c r="E2912" s="6">
        <v>2</v>
      </c>
      <c r="F2912" s="6" t="str">
        <f t="shared" si="90"/>
        <v>February</v>
      </c>
      <c r="G2912" s="6">
        <f t="shared" si="91"/>
        <v>7</v>
      </c>
      <c r="H2912" s="1">
        <f>SUMIF('Retal Tran Line Item'!E:E,A2912,'Retal Tran Line Item'!B:B)</f>
        <v>19</v>
      </c>
    </row>
    <row r="2913" spans="1:8">
      <c r="A2913" s="1">
        <v>103263</v>
      </c>
      <c r="B2913" s="1">
        <v>838924</v>
      </c>
      <c r="C2913" s="2">
        <v>41684</v>
      </c>
      <c r="D2913" s="1" t="s">
        <v>1993</v>
      </c>
      <c r="E2913" s="6">
        <v>2</v>
      </c>
      <c r="F2913" s="6" t="str">
        <f t="shared" si="90"/>
        <v>February</v>
      </c>
      <c r="G2913" s="6">
        <f t="shared" si="91"/>
        <v>7</v>
      </c>
      <c r="H2913" s="1">
        <f>SUMIF('Retal Tran Line Item'!E:E,A2913,'Retal Tran Line Item'!B:B)</f>
        <v>6</v>
      </c>
    </row>
    <row r="2914" spans="1:8">
      <c r="A2914" s="1">
        <v>103264</v>
      </c>
      <c r="B2914" s="1">
        <v>441628</v>
      </c>
      <c r="C2914" s="2">
        <v>41684</v>
      </c>
      <c r="D2914" s="1" t="s">
        <v>1989</v>
      </c>
      <c r="E2914" s="6">
        <v>2</v>
      </c>
      <c r="F2914" s="6" t="str">
        <f t="shared" si="90"/>
        <v>February</v>
      </c>
      <c r="G2914" s="6">
        <f t="shared" si="91"/>
        <v>7</v>
      </c>
      <c r="H2914" s="1">
        <f>SUMIF('Retal Tran Line Item'!E:E,A2914,'Retal Tran Line Item'!B:B)</f>
        <v>12</v>
      </c>
    </row>
    <row r="2915" spans="1:8">
      <c r="A2915" s="1">
        <v>103265</v>
      </c>
      <c r="B2915" s="1">
        <v>850952</v>
      </c>
      <c r="C2915" s="2">
        <v>41684</v>
      </c>
      <c r="D2915" s="1" t="s">
        <v>1993</v>
      </c>
      <c r="E2915" s="6">
        <v>1</v>
      </c>
      <c r="F2915" s="6" t="str">
        <f t="shared" si="90"/>
        <v>February</v>
      </c>
      <c r="G2915" s="6">
        <f t="shared" si="91"/>
        <v>7</v>
      </c>
      <c r="H2915" s="1">
        <f>SUMIF('Retal Tran Line Item'!E:E,A2915,'Retal Tran Line Item'!B:B)</f>
        <v>1</v>
      </c>
    </row>
    <row r="2916" spans="1:8">
      <c r="A2916" s="1">
        <v>103267</v>
      </c>
      <c r="B2916" s="1">
        <v>994199</v>
      </c>
      <c r="C2916" s="2">
        <v>41684</v>
      </c>
      <c r="D2916" s="1" t="s">
        <v>1992</v>
      </c>
      <c r="E2916" s="6">
        <v>2</v>
      </c>
      <c r="F2916" s="6" t="str">
        <f t="shared" si="90"/>
        <v>February</v>
      </c>
      <c r="G2916" s="6">
        <f t="shared" si="91"/>
        <v>7</v>
      </c>
      <c r="H2916" s="1">
        <f>SUMIF('Retal Tran Line Item'!E:E,A2916,'Retal Tran Line Item'!B:B)</f>
        <v>4</v>
      </c>
    </row>
    <row r="2917" spans="1:8">
      <c r="A2917" s="1">
        <v>103269</v>
      </c>
      <c r="B2917" s="1">
        <v>395125</v>
      </c>
      <c r="C2917" s="2">
        <v>41685</v>
      </c>
      <c r="D2917" s="1" t="s">
        <v>1992</v>
      </c>
      <c r="E2917" s="6">
        <v>2</v>
      </c>
      <c r="F2917" s="6" t="str">
        <f t="shared" si="90"/>
        <v>February</v>
      </c>
      <c r="G2917" s="6">
        <f t="shared" si="91"/>
        <v>7</v>
      </c>
      <c r="H2917" s="1">
        <f>SUMIF('Retal Tran Line Item'!E:E,A2917,'Retal Tran Line Item'!B:B)</f>
        <v>3</v>
      </c>
    </row>
    <row r="2918" spans="1:8">
      <c r="A2918" s="1">
        <v>103271</v>
      </c>
      <c r="B2918" s="1">
        <v>412544</v>
      </c>
      <c r="C2918" s="2">
        <v>41685</v>
      </c>
      <c r="D2918" s="1" t="s">
        <v>1993</v>
      </c>
      <c r="E2918" s="6">
        <v>2</v>
      </c>
      <c r="F2918" s="6" t="str">
        <f t="shared" si="90"/>
        <v>February</v>
      </c>
      <c r="G2918" s="6">
        <f t="shared" si="91"/>
        <v>7</v>
      </c>
      <c r="H2918" s="1">
        <f>SUMIF('Retal Tran Line Item'!E:E,A2918,'Retal Tran Line Item'!B:B)</f>
        <v>6</v>
      </c>
    </row>
    <row r="2919" spans="1:8">
      <c r="A2919" s="1">
        <v>103272</v>
      </c>
      <c r="B2919" s="1">
        <v>247216</v>
      </c>
      <c r="C2919" s="2">
        <v>41685</v>
      </c>
      <c r="D2919" s="1" t="s">
        <v>1989</v>
      </c>
      <c r="E2919" s="6">
        <v>2</v>
      </c>
      <c r="F2919" s="6" t="str">
        <f t="shared" si="90"/>
        <v>February</v>
      </c>
      <c r="G2919" s="6">
        <f t="shared" si="91"/>
        <v>7</v>
      </c>
      <c r="H2919" s="1">
        <f>SUMIF('Retal Tran Line Item'!E:E,A2919,'Retal Tran Line Item'!B:B)</f>
        <v>8</v>
      </c>
    </row>
    <row r="2920" spans="1:8">
      <c r="A2920" s="1">
        <v>103273</v>
      </c>
      <c r="B2920" s="1">
        <v>383684</v>
      </c>
      <c r="C2920" s="2">
        <v>41685</v>
      </c>
      <c r="D2920" s="1" t="s">
        <v>1992</v>
      </c>
      <c r="E2920" s="6">
        <v>2</v>
      </c>
      <c r="F2920" s="6" t="str">
        <f t="shared" si="90"/>
        <v>February</v>
      </c>
      <c r="G2920" s="6">
        <f t="shared" si="91"/>
        <v>7</v>
      </c>
      <c r="H2920" s="1">
        <f>SUMIF('Retal Tran Line Item'!E:E,A2920,'Retal Tran Line Item'!B:B)</f>
        <v>3</v>
      </c>
    </row>
    <row r="2921" spans="1:8">
      <c r="A2921" s="1">
        <v>103275</v>
      </c>
      <c r="B2921" s="1">
        <v>689877</v>
      </c>
      <c r="C2921" s="2">
        <v>41685</v>
      </c>
      <c r="D2921" s="1" t="s">
        <v>1994</v>
      </c>
      <c r="E2921" s="6">
        <v>1</v>
      </c>
      <c r="F2921" s="6" t="str">
        <f t="shared" si="90"/>
        <v>February</v>
      </c>
      <c r="G2921" s="6">
        <f t="shared" si="91"/>
        <v>7</v>
      </c>
      <c r="H2921" s="1">
        <f>SUMIF('Retal Tran Line Item'!E:E,A2921,'Retal Tran Line Item'!B:B)</f>
        <v>4</v>
      </c>
    </row>
    <row r="2922" spans="1:8">
      <c r="A2922" s="1">
        <v>103276</v>
      </c>
      <c r="B2922" s="1">
        <v>840096</v>
      </c>
      <c r="C2922" s="2">
        <v>41686</v>
      </c>
      <c r="D2922" s="1" t="s">
        <v>1992</v>
      </c>
      <c r="E2922" s="6">
        <v>1</v>
      </c>
      <c r="F2922" s="6" t="str">
        <f t="shared" si="90"/>
        <v>February</v>
      </c>
      <c r="G2922" s="6">
        <f t="shared" si="91"/>
        <v>8</v>
      </c>
      <c r="H2922" s="1">
        <f>SUMIF('Retal Tran Line Item'!E:E,A2922,'Retal Tran Line Item'!B:B)</f>
        <v>5</v>
      </c>
    </row>
    <row r="2923" spans="1:8">
      <c r="A2923" s="1">
        <v>103280</v>
      </c>
      <c r="B2923" s="1">
        <v>267632</v>
      </c>
      <c r="C2923" s="2">
        <v>41686</v>
      </c>
      <c r="D2923" s="1" t="s">
        <v>1994</v>
      </c>
      <c r="E2923" s="6">
        <v>1</v>
      </c>
      <c r="F2923" s="6" t="str">
        <f t="shared" si="90"/>
        <v>February</v>
      </c>
      <c r="G2923" s="6">
        <f t="shared" si="91"/>
        <v>8</v>
      </c>
      <c r="H2923" s="1">
        <f>SUMIF('Retal Tran Line Item'!E:E,A2923,'Retal Tran Line Item'!B:B)</f>
        <v>5</v>
      </c>
    </row>
    <row r="2924" spans="1:8">
      <c r="A2924" s="1">
        <v>103281</v>
      </c>
      <c r="B2924" s="1">
        <v>226909</v>
      </c>
      <c r="C2924" s="2">
        <v>41686</v>
      </c>
      <c r="D2924" s="1" t="s">
        <v>1993</v>
      </c>
      <c r="E2924" s="6">
        <v>2</v>
      </c>
      <c r="F2924" s="6" t="str">
        <f t="shared" si="90"/>
        <v>February</v>
      </c>
      <c r="G2924" s="6">
        <f t="shared" si="91"/>
        <v>8</v>
      </c>
      <c r="H2924" s="1">
        <f>SUMIF('Retal Tran Line Item'!E:E,A2924,'Retal Tran Line Item'!B:B)</f>
        <v>14</v>
      </c>
    </row>
    <row r="2925" spans="1:8">
      <c r="A2925" s="1">
        <v>103284</v>
      </c>
      <c r="B2925" s="1">
        <v>929344</v>
      </c>
      <c r="C2925" s="2">
        <v>41687</v>
      </c>
      <c r="D2925" s="1" t="s">
        <v>1992</v>
      </c>
      <c r="E2925" s="6">
        <v>1</v>
      </c>
      <c r="F2925" s="6" t="str">
        <f t="shared" si="90"/>
        <v>February</v>
      </c>
      <c r="G2925" s="6">
        <f t="shared" si="91"/>
        <v>8</v>
      </c>
      <c r="H2925" s="1">
        <f>SUMIF('Retal Tran Line Item'!E:E,A2925,'Retal Tran Line Item'!B:B)</f>
        <v>7</v>
      </c>
    </row>
    <row r="2926" spans="1:8">
      <c r="A2926" s="1">
        <v>103285</v>
      </c>
      <c r="B2926" s="1">
        <v>528475</v>
      </c>
      <c r="C2926" s="2">
        <v>41687</v>
      </c>
      <c r="D2926" s="1" t="s">
        <v>1989</v>
      </c>
      <c r="E2926" s="6">
        <v>1</v>
      </c>
      <c r="F2926" s="6" t="str">
        <f t="shared" si="90"/>
        <v>February</v>
      </c>
      <c r="G2926" s="6">
        <f t="shared" si="91"/>
        <v>8</v>
      </c>
      <c r="H2926" s="1">
        <f>SUMIF('Retal Tran Line Item'!E:E,A2926,'Retal Tran Line Item'!B:B)</f>
        <v>2</v>
      </c>
    </row>
    <row r="2927" spans="1:8">
      <c r="A2927" s="1">
        <v>103287</v>
      </c>
      <c r="B2927" s="1">
        <v>627324</v>
      </c>
      <c r="C2927" s="2">
        <v>41687</v>
      </c>
      <c r="D2927" s="1" t="s">
        <v>1989</v>
      </c>
      <c r="E2927" s="6">
        <v>2</v>
      </c>
      <c r="F2927" s="6" t="str">
        <f t="shared" si="90"/>
        <v>February</v>
      </c>
      <c r="G2927" s="6">
        <f t="shared" si="91"/>
        <v>8</v>
      </c>
      <c r="H2927" s="1">
        <f>SUMIF('Retal Tran Line Item'!E:E,A2927,'Retal Tran Line Item'!B:B)</f>
        <v>25</v>
      </c>
    </row>
    <row r="2928" spans="1:8">
      <c r="A2928" s="1">
        <v>103289</v>
      </c>
      <c r="B2928" s="1">
        <v>958321</v>
      </c>
      <c r="C2928" s="2">
        <v>41687</v>
      </c>
      <c r="D2928" s="1" t="s">
        <v>1993</v>
      </c>
      <c r="E2928" s="6">
        <v>2</v>
      </c>
      <c r="F2928" s="6" t="str">
        <f t="shared" si="90"/>
        <v>February</v>
      </c>
      <c r="G2928" s="6">
        <f t="shared" si="91"/>
        <v>8</v>
      </c>
      <c r="H2928" s="1">
        <f>SUMIF('Retal Tran Line Item'!E:E,A2928,'Retal Tran Line Item'!B:B)</f>
        <v>8</v>
      </c>
    </row>
    <row r="2929" spans="1:8">
      <c r="A2929" s="1">
        <v>103290</v>
      </c>
      <c r="B2929" s="1">
        <v>897614</v>
      </c>
      <c r="C2929" s="2">
        <v>41687</v>
      </c>
      <c r="D2929" s="1" t="s">
        <v>1994</v>
      </c>
      <c r="E2929" s="6">
        <v>2</v>
      </c>
      <c r="F2929" s="6" t="str">
        <f t="shared" si="90"/>
        <v>February</v>
      </c>
      <c r="G2929" s="6">
        <f t="shared" si="91"/>
        <v>8</v>
      </c>
      <c r="H2929" s="1">
        <f>SUMIF('Retal Tran Line Item'!E:E,A2929,'Retal Tran Line Item'!B:B)</f>
        <v>12</v>
      </c>
    </row>
    <row r="2930" spans="1:8">
      <c r="A2930" s="1">
        <v>103293</v>
      </c>
      <c r="B2930" s="1">
        <v>730305</v>
      </c>
      <c r="C2930" s="2">
        <v>41688</v>
      </c>
      <c r="D2930" s="1" t="s">
        <v>1992</v>
      </c>
      <c r="E2930" s="6">
        <v>1</v>
      </c>
      <c r="F2930" s="6" t="str">
        <f t="shared" si="90"/>
        <v>February</v>
      </c>
      <c r="G2930" s="6">
        <f t="shared" si="91"/>
        <v>8</v>
      </c>
      <c r="H2930" s="1">
        <f>SUMIF('Retal Tran Line Item'!E:E,A2930,'Retal Tran Line Item'!B:B)</f>
        <v>3</v>
      </c>
    </row>
    <row r="2931" spans="1:8">
      <c r="A2931" s="1">
        <v>103294</v>
      </c>
      <c r="B2931" s="1">
        <v>932618</v>
      </c>
      <c r="C2931" s="2">
        <v>41688</v>
      </c>
      <c r="D2931" s="1" t="s">
        <v>1993</v>
      </c>
      <c r="E2931" s="6">
        <v>1</v>
      </c>
      <c r="F2931" s="6" t="str">
        <f t="shared" si="90"/>
        <v>February</v>
      </c>
      <c r="G2931" s="6">
        <f t="shared" si="91"/>
        <v>8</v>
      </c>
      <c r="H2931" s="1">
        <f>SUMIF('Retal Tran Line Item'!E:E,A2931,'Retal Tran Line Item'!B:B)</f>
        <v>9</v>
      </c>
    </row>
    <row r="2932" spans="1:8">
      <c r="A2932" s="1">
        <v>103296</v>
      </c>
      <c r="B2932" s="1">
        <v>696852</v>
      </c>
      <c r="C2932" s="2">
        <v>41688</v>
      </c>
      <c r="D2932" s="1" t="s">
        <v>1993</v>
      </c>
      <c r="E2932" s="6">
        <v>1</v>
      </c>
      <c r="F2932" s="6" t="str">
        <f t="shared" si="90"/>
        <v>February</v>
      </c>
      <c r="G2932" s="6">
        <f t="shared" si="91"/>
        <v>8</v>
      </c>
      <c r="H2932" s="1">
        <f>SUMIF('Retal Tran Line Item'!E:E,A2932,'Retal Tran Line Item'!B:B)</f>
        <v>4</v>
      </c>
    </row>
    <row r="2933" spans="1:8">
      <c r="A2933" s="1">
        <v>103297</v>
      </c>
      <c r="B2933" s="1">
        <v>663029</v>
      </c>
      <c r="C2933" s="2">
        <v>41688</v>
      </c>
      <c r="D2933" s="1" t="s">
        <v>1993</v>
      </c>
      <c r="E2933" s="6">
        <v>2</v>
      </c>
      <c r="F2933" s="6" t="str">
        <f t="shared" si="90"/>
        <v>February</v>
      </c>
      <c r="G2933" s="6">
        <f t="shared" si="91"/>
        <v>8</v>
      </c>
      <c r="H2933" s="1">
        <f>SUMIF('Retal Tran Line Item'!E:E,A2933,'Retal Tran Line Item'!B:B)</f>
        <v>7</v>
      </c>
    </row>
    <row r="2934" spans="1:8">
      <c r="A2934" s="1">
        <v>103298</v>
      </c>
      <c r="B2934" s="1">
        <v>668931</v>
      </c>
      <c r="C2934" s="2">
        <v>41688</v>
      </c>
      <c r="D2934" s="1" t="s">
        <v>1992</v>
      </c>
      <c r="E2934" s="6">
        <v>2</v>
      </c>
      <c r="F2934" s="6" t="str">
        <f t="shared" si="90"/>
        <v>February</v>
      </c>
      <c r="G2934" s="6">
        <f t="shared" si="91"/>
        <v>8</v>
      </c>
      <c r="H2934" s="1">
        <f>SUMIF('Retal Tran Line Item'!E:E,A2934,'Retal Tran Line Item'!B:B)</f>
        <v>20</v>
      </c>
    </row>
    <row r="2935" spans="1:8">
      <c r="A2935" s="1">
        <v>103300</v>
      </c>
      <c r="B2935" s="1">
        <v>808177</v>
      </c>
      <c r="C2935" s="2">
        <v>41689</v>
      </c>
      <c r="D2935" s="1" t="s">
        <v>1993</v>
      </c>
      <c r="E2935" s="6">
        <v>1</v>
      </c>
      <c r="F2935" s="6" t="str">
        <f t="shared" si="90"/>
        <v>February</v>
      </c>
      <c r="G2935" s="6">
        <f t="shared" si="91"/>
        <v>8</v>
      </c>
      <c r="H2935" s="1">
        <f>SUMIF('Retal Tran Line Item'!E:E,A2935,'Retal Tran Line Item'!B:B)</f>
        <v>9</v>
      </c>
    </row>
    <row r="2936" spans="1:8">
      <c r="A2936" s="1">
        <v>103301</v>
      </c>
      <c r="B2936" s="1">
        <v>872851</v>
      </c>
      <c r="C2936" s="2">
        <v>41689</v>
      </c>
      <c r="D2936" s="1" t="s">
        <v>1992</v>
      </c>
      <c r="E2936" s="6">
        <v>2</v>
      </c>
      <c r="F2936" s="6" t="str">
        <f t="shared" si="90"/>
        <v>February</v>
      </c>
      <c r="G2936" s="6">
        <f t="shared" si="91"/>
        <v>8</v>
      </c>
      <c r="H2936" s="1">
        <f>SUMIF('Retal Tran Line Item'!E:E,A2936,'Retal Tran Line Item'!B:B)</f>
        <v>2</v>
      </c>
    </row>
    <row r="2937" spans="1:8">
      <c r="A2937" s="1">
        <v>103303</v>
      </c>
      <c r="B2937" s="1">
        <v>233813</v>
      </c>
      <c r="C2937" s="2">
        <v>41689</v>
      </c>
      <c r="D2937" s="1" t="s">
        <v>1993</v>
      </c>
      <c r="E2937" s="6">
        <v>1</v>
      </c>
      <c r="F2937" s="6" t="str">
        <f t="shared" si="90"/>
        <v>February</v>
      </c>
      <c r="G2937" s="6">
        <f t="shared" si="91"/>
        <v>8</v>
      </c>
      <c r="H2937" s="1">
        <f>SUMIF('Retal Tran Line Item'!E:E,A2937,'Retal Tran Line Item'!B:B)</f>
        <v>6</v>
      </c>
    </row>
    <row r="2938" spans="1:8">
      <c r="A2938" s="1">
        <v>103304</v>
      </c>
      <c r="B2938" s="1">
        <v>224094</v>
      </c>
      <c r="C2938" s="2">
        <v>41689</v>
      </c>
      <c r="D2938" s="1" t="s">
        <v>1989</v>
      </c>
      <c r="E2938" s="6">
        <v>1</v>
      </c>
      <c r="F2938" s="6" t="str">
        <f t="shared" si="90"/>
        <v>February</v>
      </c>
      <c r="G2938" s="6">
        <f t="shared" si="91"/>
        <v>8</v>
      </c>
      <c r="H2938" s="1">
        <f>SUMIF('Retal Tran Line Item'!E:E,A2938,'Retal Tran Line Item'!B:B)</f>
        <v>7</v>
      </c>
    </row>
    <row r="2939" spans="1:8">
      <c r="A2939" s="1">
        <v>103307</v>
      </c>
      <c r="B2939" s="1">
        <v>332324</v>
      </c>
      <c r="C2939" s="2">
        <v>41690</v>
      </c>
      <c r="D2939" s="1" t="s">
        <v>1989</v>
      </c>
      <c r="E2939" s="6">
        <v>1</v>
      </c>
      <c r="F2939" s="6" t="str">
        <f t="shared" si="90"/>
        <v>February</v>
      </c>
      <c r="G2939" s="6">
        <f t="shared" si="91"/>
        <v>8</v>
      </c>
      <c r="H2939" s="1">
        <f>SUMIF('Retal Tran Line Item'!E:E,A2939,'Retal Tran Line Item'!B:B)</f>
        <v>9</v>
      </c>
    </row>
    <row r="2940" spans="1:8">
      <c r="A2940" s="1">
        <v>103308</v>
      </c>
      <c r="B2940" s="1">
        <v>194680</v>
      </c>
      <c r="C2940" s="2">
        <v>41690</v>
      </c>
      <c r="D2940" s="1" t="s">
        <v>1993</v>
      </c>
      <c r="E2940" s="6">
        <v>1</v>
      </c>
      <c r="F2940" s="6" t="str">
        <f t="shared" si="90"/>
        <v>February</v>
      </c>
      <c r="G2940" s="6">
        <f t="shared" si="91"/>
        <v>8</v>
      </c>
      <c r="H2940" s="1">
        <f>SUMIF('Retal Tran Line Item'!E:E,A2940,'Retal Tran Line Item'!B:B)</f>
        <v>13</v>
      </c>
    </row>
    <row r="2941" spans="1:8">
      <c r="A2941" s="1">
        <v>103309</v>
      </c>
      <c r="B2941" s="1">
        <v>262638</v>
      </c>
      <c r="C2941" s="2">
        <v>41690</v>
      </c>
      <c r="D2941" s="1" t="s">
        <v>1992</v>
      </c>
      <c r="E2941" s="6">
        <v>2</v>
      </c>
      <c r="F2941" s="6" t="str">
        <f t="shared" si="90"/>
        <v>February</v>
      </c>
      <c r="G2941" s="6">
        <f t="shared" si="91"/>
        <v>8</v>
      </c>
      <c r="H2941" s="1">
        <f>SUMIF('Retal Tran Line Item'!E:E,A2941,'Retal Tran Line Item'!B:B)</f>
        <v>1</v>
      </c>
    </row>
    <row r="2942" spans="1:8">
      <c r="A2942" s="1">
        <v>103311</v>
      </c>
      <c r="B2942" s="1">
        <v>500350</v>
      </c>
      <c r="C2942" s="2">
        <v>41690</v>
      </c>
      <c r="D2942" s="1" t="s">
        <v>1993</v>
      </c>
      <c r="E2942" s="6">
        <v>1</v>
      </c>
      <c r="F2942" s="6" t="str">
        <f t="shared" si="90"/>
        <v>February</v>
      </c>
      <c r="G2942" s="6">
        <f t="shared" si="91"/>
        <v>8</v>
      </c>
      <c r="H2942" s="1">
        <f>SUMIF('Retal Tran Line Item'!E:E,A2942,'Retal Tran Line Item'!B:B)</f>
        <v>8</v>
      </c>
    </row>
    <row r="2943" spans="1:8">
      <c r="A2943" s="1">
        <v>103312</v>
      </c>
      <c r="B2943" s="1">
        <v>161942</v>
      </c>
      <c r="C2943" s="2">
        <v>41690</v>
      </c>
      <c r="D2943" s="1" t="s">
        <v>1993</v>
      </c>
      <c r="E2943" s="6">
        <v>1</v>
      </c>
      <c r="F2943" s="6" t="str">
        <f t="shared" si="90"/>
        <v>February</v>
      </c>
      <c r="G2943" s="6">
        <f t="shared" si="91"/>
        <v>8</v>
      </c>
      <c r="H2943" s="1">
        <f>SUMIF('Retal Tran Line Item'!E:E,A2943,'Retal Tran Line Item'!B:B)</f>
        <v>3</v>
      </c>
    </row>
    <row r="2944" spans="1:8">
      <c r="A2944" s="1">
        <v>103313</v>
      </c>
      <c r="B2944" s="1">
        <v>304344</v>
      </c>
      <c r="C2944" s="2">
        <v>41690</v>
      </c>
      <c r="D2944" s="1" t="s">
        <v>1993</v>
      </c>
      <c r="E2944" s="6">
        <v>1</v>
      </c>
      <c r="F2944" s="6" t="str">
        <f t="shared" si="90"/>
        <v>February</v>
      </c>
      <c r="G2944" s="6">
        <f t="shared" si="91"/>
        <v>8</v>
      </c>
      <c r="H2944" s="1">
        <f>SUMIF('Retal Tran Line Item'!E:E,A2944,'Retal Tran Line Item'!B:B)</f>
        <v>13</v>
      </c>
    </row>
    <row r="2945" spans="1:8">
      <c r="A2945" s="1">
        <v>103314</v>
      </c>
      <c r="B2945" s="1">
        <v>325263</v>
      </c>
      <c r="C2945" s="2">
        <v>41691</v>
      </c>
      <c r="D2945" s="1" t="s">
        <v>1993</v>
      </c>
      <c r="E2945" s="6">
        <v>2</v>
      </c>
      <c r="F2945" s="6" t="str">
        <f t="shared" si="90"/>
        <v>February</v>
      </c>
      <c r="G2945" s="6">
        <f t="shared" si="91"/>
        <v>8</v>
      </c>
      <c r="H2945" s="1">
        <f>SUMIF('Retal Tran Line Item'!E:E,A2945,'Retal Tran Line Item'!B:B)</f>
        <v>13</v>
      </c>
    </row>
    <row r="2946" spans="1:8">
      <c r="A2946" s="1">
        <v>103315</v>
      </c>
      <c r="B2946" s="1">
        <v>578275</v>
      </c>
      <c r="C2946" s="2">
        <v>41691</v>
      </c>
      <c r="D2946" s="1" t="s">
        <v>1989</v>
      </c>
      <c r="E2946" s="6">
        <v>2</v>
      </c>
      <c r="F2946" s="6" t="str">
        <f t="shared" si="90"/>
        <v>February</v>
      </c>
      <c r="G2946" s="6">
        <f t="shared" si="91"/>
        <v>8</v>
      </c>
      <c r="H2946" s="1">
        <f>SUMIF('Retal Tran Line Item'!E:E,A2946,'Retal Tran Line Item'!B:B)</f>
        <v>10</v>
      </c>
    </row>
    <row r="2947" spans="1:8">
      <c r="A2947" s="1">
        <v>103316</v>
      </c>
      <c r="B2947" s="1">
        <v>383684</v>
      </c>
      <c r="C2947" s="2">
        <v>41691</v>
      </c>
      <c r="D2947" s="1" t="s">
        <v>1992</v>
      </c>
      <c r="E2947" s="6">
        <v>1</v>
      </c>
      <c r="F2947" s="6" t="str">
        <f t="shared" ref="F2947:F3010" si="92">TEXT(C2947,"MMMM")</f>
        <v>February</v>
      </c>
      <c r="G2947" s="6">
        <f t="shared" ref="G2947:G3010" si="93">WEEKNUM(C2947)</f>
        <v>8</v>
      </c>
      <c r="H2947" s="1">
        <f>SUMIF('Retal Tran Line Item'!E:E,A2947,'Retal Tran Line Item'!B:B)</f>
        <v>1</v>
      </c>
    </row>
    <row r="2948" spans="1:8">
      <c r="A2948" s="1">
        <v>103317</v>
      </c>
      <c r="B2948" s="1">
        <v>330570</v>
      </c>
      <c r="C2948" s="2">
        <v>41691</v>
      </c>
      <c r="D2948" s="1" t="s">
        <v>1993</v>
      </c>
      <c r="E2948" s="6">
        <v>1</v>
      </c>
      <c r="F2948" s="6" t="str">
        <f t="shared" si="92"/>
        <v>February</v>
      </c>
      <c r="G2948" s="6">
        <f t="shared" si="93"/>
        <v>8</v>
      </c>
      <c r="H2948" s="1">
        <f>SUMIF('Retal Tran Line Item'!E:E,A2948,'Retal Tran Line Item'!B:B)</f>
        <v>4</v>
      </c>
    </row>
    <row r="2949" spans="1:8">
      <c r="A2949" s="1">
        <v>103320</v>
      </c>
      <c r="B2949" s="1">
        <v>464782</v>
      </c>
      <c r="C2949" s="2">
        <v>41691</v>
      </c>
      <c r="D2949" s="1" t="s">
        <v>1993</v>
      </c>
      <c r="E2949" s="6">
        <v>1</v>
      </c>
      <c r="F2949" s="6" t="str">
        <f t="shared" si="92"/>
        <v>February</v>
      </c>
      <c r="G2949" s="6">
        <f t="shared" si="93"/>
        <v>8</v>
      </c>
      <c r="H2949" s="1">
        <f>SUMIF('Retal Tran Line Item'!E:E,A2949,'Retal Tran Line Item'!B:B)</f>
        <v>6</v>
      </c>
    </row>
    <row r="2950" spans="1:8">
      <c r="A2950" s="1">
        <v>103322</v>
      </c>
      <c r="B2950" s="1">
        <v>116934</v>
      </c>
      <c r="C2950" s="2">
        <v>41692</v>
      </c>
      <c r="D2950" s="1" t="s">
        <v>1992</v>
      </c>
      <c r="E2950" s="6">
        <v>1</v>
      </c>
      <c r="F2950" s="6" t="str">
        <f t="shared" si="92"/>
        <v>February</v>
      </c>
      <c r="G2950" s="6">
        <f t="shared" si="93"/>
        <v>8</v>
      </c>
      <c r="H2950" s="1">
        <f>SUMIF('Retal Tran Line Item'!E:E,A2950,'Retal Tran Line Item'!B:B)</f>
        <v>12</v>
      </c>
    </row>
    <row r="2951" spans="1:8">
      <c r="A2951" s="1">
        <v>103333</v>
      </c>
      <c r="B2951" s="1">
        <v>592592</v>
      </c>
      <c r="C2951" s="2">
        <v>41693</v>
      </c>
      <c r="D2951" s="1" t="s">
        <v>1993</v>
      </c>
      <c r="E2951" s="6">
        <v>1</v>
      </c>
      <c r="F2951" s="6" t="str">
        <f t="shared" si="92"/>
        <v>February</v>
      </c>
      <c r="G2951" s="6">
        <f t="shared" si="93"/>
        <v>9</v>
      </c>
      <c r="H2951" s="1">
        <f>SUMIF('Retal Tran Line Item'!E:E,A2951,'Retal Tran Line Item'!B:B)</f>
        <v>6</v>
      </c>
    </row>
    <row r="2952" spans="1:8">
      <c r="A2952" s="1">
        <v>103334</v>
      </c>
      <c r="B2952" s="1">
        <v>695276</v>
      </c>
      <c r="C2952" s="2">
        <v>41693</v>
      </c>
      <c r="D2952" s="1" t="s">
        <v>1992</v>
      </c>
      <c r="E2952" s="6">
        <v>2</v>
      </c>
      <c r="F2952" s="6" t="str">
        <f t="shared" si="92"/>
        <v>February</v>
      </c>
      <c r="G2952" s="6">
        <f t="shared" si="93"/>
        <v>9</v>
      </c>
      <c r="H2952" s="1">
        <f>SUMIF('Retal Tran Line Item'!E:E,A2952,'Retal Tran Line Item'!B:B)</f>
        <v>6</v>
      </c>
    </row>
    <row r="2953" spans="1:8">
      <c r="A2953" s="1">
        <v>103338</v>
      </c>
      <c r="B2953" s="1">
        <v>111991</v>
      </c>
      <c r="C2953" s="2">
        <v>41694</v>
      </c>
      <c r="D2953" s="1" t="s">
        <v>1994</v>
      </c>
      <c r="E2953" s="6">
        <v>2</v>
      </c>
      <c r="F2953" s="6" t="str">
        <f t="shared" si="92"/>
        <v>February</v>
      </c>
      <c r="G2953" s="6">
        <f t="shared" si="93"/>
        <v>9</v>
      </c>
      <c r="H2953" s="1">
        <f>SUMIF('Retal Tran Line Item'!E:E,A2953,'Retal Tran Line Item'!B:B)</f>
        <v>3</v>
      </c>
    </row>
    <row r="2954" spans="1:8">
      <c r="A2954" s="1">
        <v>103343</v>
      </c>
      <c r="B2954" s="1">
        <v>417823</v>
      </c>
      <c r="C2954" s="2">
        <v>41695</v>
      </c>
      <c r="D2954" s="1" t="s">
        <v>1993</v>
      </c>
      <c r="E2954" s="6">
        <v>2</v>
      </c>
      <c r="F2954" s="6" t="str">
        <f t="shared" si="92"/>
        <v>February</v>
      </c>
      <c r="G2954" s="6">
        <f t="shared" si="93"/>
        <v>9</v>
      </c>
      <c r="H2954" s="1">
        <f>SUMIF('Retal Tran Line Item'!E:E,A2954,'Retal Tran Line Item'!B:B)</f>
        <v>2</v>
      </c>
    </row>
    <row r="2955" spans="1:8">
      <c r="A2955" s="1">
        <v>103344</v>
      </c>
      <c r="B2955" s="1">
        <v>879173</v>
      </c>
      <c r="C2955" s="2">
        <v>41695</v>
      </c>
      <c r="D2955" s="1" t="s">
        <v>1992</v>
      </c>
      <c r="E2955" s="6">
        <v>1</v>
      </c>
      <c r="F2955" s="6" t="str">
        <f t="shared" si="92"/>
        <v>February</v>
      </c>
      <c r="G2955" s="6">
        <f t="shared" si="93"/>
        <v>9</v>
      </c>
      <c r="H2955" s="1">
        <f>SUMIF('Retal Tran Line Item'!E:E,A2955,'Retal Tran Line Item'!B:B)</f>
        <v>8</v>
      </c>
    </row>
    <row r="2956" spans="1:8">
      <c r="A2956" s="1">
        <v>103348</v>
      </c>
      <c r="B2956" s="1">
        <v>955591</v>
      </c>
      <c r="C2956" s="2">
        <v>41695</v>
      </c>
      <c r="D2956" s="1" t="s">
        <v>1993</v>
      </c>
      <c r="E2956" s="6">
        <v>2</v>
      </c>
      <c r="F2956" s="6" t="str">
        <f t="shared" si="92"/>
        <v>February</v>
      </c>
      <c r="G2956" s="6">
        <f t="shared" si="93"/>
        <v>9</v>
      </c>
      <c r="H2956" s="1">
        <f>SUMIF('Retal Tran Line Item'!E:E,A2956,'Retal Tran Line Item'!B:B)</f>
        <v>18</v>
      </c>
    </row>
    <row r="2957" spans="1:8">
      <c r="A2957" s="1">
        <v>103351</v>
      </c>
      <c r="B2957" s="1">
        <v>478274</v>
      </c>
      <c r="C2957" s="2">
        <v>41696</v>
      </c>
      <c r="D2957" s="1" t="s">
        <v>1993</v>
      </c>
      <c r="E2957" s="6">
        <v>2</v>
      </c>
      <c r="F2957" s="6" t="str">
        <f t="shared" si="92"/>
        <v>February</v>
      </c>
      <c r="G2957" s="6">
        <f t="shared" si="93"/>
        <v>9</v>
      </c>
      <c r="H2957" s="1">
        <f>SUMIF('Retal Tran Line Item'!E:E,A2957,'Retal Tran Line Item'!B:B)</f>
        <v>12</v>
      </c>
    </row>
    <row r="2958" spans="1:8">
      <c r="A2958" s="1">
        <v>103355</v>
      </c>
      <c r="B2958" s="1">
        <v>559688</v>
      </c>
      <c r="C2958" s="2">
        <v>41696</v>
      </c>
      <c r="D2958" s="1" t="s">
        <v>1993</v>
      </c>
      <c r="E2958" s="6">
        <v>2</v>
      </c>
      <c r="F2958" s="6" t="str">
        <f t="shared" si="92"/>
        <v>February</v>
      </c>
      <c r="G2958" s="6">
        <f t="shared" si="93"/>
        <v>9</v>
      </c>
      <c r="H2958" s="1">
        <f>SUMIF('Retal Tran Line Item'!E:E,A2958,'Retal Tran Line Item'!B:B)</f>
        <v>10</v>
      </c>
    </row>
    <row r="2959" spans="1:8">
      <c r="A2959" s="1">
        <v>103357</v>
      </c>
      <c r="B2959" s="1">
        <v>331115</v>
      </c>
      <c r="C2959" s="2">
        <v>41697</v>
      </c>
      <c r="D2959" s="1" t="s">
        <v>1989</v>
      </c>
      <c r="E2959" s="6">
        <v>1</v>
      </c>
      <c r="F2959" s="6" t="str">
        <f t="shared" si="92"/>
        <v>February</v>
      </c>
      <c r="G2959" s="6">
        <f t="shared" si="93"/>
        <v>9</v>
      </c>
      <c r="H2959" s="1">
        <f>SUMIF('Retal Tran Line Item'!E:E,A2959,'Retal Tran Line Item'!B:B)</f>
        <v>9</v>
      </c>
    </row>
    <row r="2960" spans="1:8">
      <c r="A2960" s="1">
        <v>103359</v>
      </c>
      <c r="B2960" s="1">
        <v>611848</v>
      </c>
      <c r="C2960" s="2">
        <v>41697</v>
      </c>
      <c r="D2960" s="1" t="s">
        <v>1992</v>
      </c>
      <c r="E2960" s="6">
        <v>2</v>
      </c>
      <c r="F2960" s="6" t="str">
        <f t="shared" si="92"/>
        <v>February</v>
      </c>
      <c r="G2960" s="6">
        <f t="shared" si="93"/>
        <v>9</v>
      </c>
      <c r="H2960" s="1">
        <f>SUMIF('Retal Tran Line Item'!E:E,A2960,'Retal Tran Line Item'!B:B)</f>
        <v>19</v>
      </c>
    </row>
    <row r="2961" spans="1:8">
      <c r="A2961" s="1">
        <v>103360</v>
      </c>
      <c r="B2961" s="1">
        <v>442254</v>
      </c>
      <c r="C2961" s="2">
        <v>41697</v>
      </c>
      <c r="D2961" s="1" t="s">
        <v>1989</v>
      </c>
      <c r="E2961" s="6">
        <v>1</v>
      </c>
      <c r="F2961" s="6" t="str">
        <f t="shared" si="92"/>
        <v>February</v>
      </c>
      <c r="G2961" s="6">
        <f t="shared" si="93"/>
        <v>9</v>
      </c>
      <c r="H2961" s="1">
        <f>SUMIF('Retal Tran Line Item'!E:E,A2961,'Retal Tran Line Item'!B:B)</f>
        <v>5</v>
      </c>
    </row>
    <row r="2962" spans="1:8">
      <c r="A2962" s="1">
        <v>103361</v>
      </c>
      <c r="B2962" s="1">
        <v>427826</v>
      </c>
      <c r="C2962" s="2">
        <v>41697</v>
      </c>
      <c r="D2962" s="1" t="s">
        <v>1992</v>
      </c>
      <c r="E2962" s="6">
        <v>1</v>
      </c>
      <c r="F2962" s="6" t="str">
        <f t="shared" si="92"/>
        <v>February</v>
      </c>
      <c r="G2962" s="6">
        <f t="shared" si="93"/>
        <v>9</v>
      </c>
      <c r="H2962" s="1">
        <f>SUMIF('Retal Tran Line Item'!E:E,A2962,'Retal Tran Line Item'!B:B)</f>
        <v>1</v>
      </c>
    </row>
    <row r="2963" spans="1:8">
      <c r="A2963" s="1">
        <v>103362</v>
      </c>
      <c r="B2963" s="1">
        <v>459243</v>
      </c>
      <c r="C2963" s="2">
        <v>41697</v>
      </c>
      <c r="D2963" s="1" t="s">
        <v>1992</v>
      </c>
      <c r="E2963" s="6">
        <v>1</v>
      </c>
      <c r="F2963" s="6" t="str">
        <f t="shared" si="92"/>
        <v>February</v>
      </c>
      <c r="G2963" s="6">
        <f t="shared" si="93"/>
        <v>9</v>
      </c>
      <c r="H2963" s="1">
        <f>SUMIF('Retal Tran Line Item'!E:E,A2963,'Retal Tran Line Item'!B:B)</f>
        <v>6</v>
      </c>
    </row>
    <row r="2964" spans="1:8">
      <c r="A2964" s="1">
        <v>103363</v>
      </c>
      <c r="B2964" s="1">
        <v>730305</v>
      </c>
      <c r="C2964" s="2">
        <v>41697</v>
      </c>
      <c r="D2964" s="1" t="s">
        <v>1992</v>
      </c>
      <c r="E2964" s="6">
        <v>1</v>
      </c>
      <c r="F2964" s="6" t="str">
        <f t="shared" si="92"/>
        <v>February</v>
      </c>
      <c r="G2964" s="6">
        <f t="shared" si="93"/>
        <v>9</v>
      </c>
      <c r="H2964" s="1">
        <f>SUMIF('Retal Tran Line Item'!E:E,A2964,'Retal Tran Line Item'!B:B)</f>
        <v>9</v>
      </c>
    </row>
    <row r="2965" spans="1:8">
      <c r="A2965" s="1">
        <v>103364</v>
      </c>
      <c r="B2965" s="1">
        <v>421074</v>
      </c>
      <c r="C2965" s="2">
        <v>41698</v>
      </c>
      <c r="D2965" s="1" t="s">
        <v>1992</v>
      </c>
      <c r="E2965" s="6">
        <v>1</v>
      </c>
      <c r="F2965" s="6" t="str">
        <f t="shared" si="92"/>
        <v>February</v>
      </c>
      <c r="G2965" s="6">
        <f t="shared" si="93"/>
        <v>9</v>
      </c>
      <c r="H2965" s="1">
        <f>SUMIF('Retal Tran Line Item'!E:E,A2965,'Retal Tran Line Item'!B:B)</f>
        <v>3</v>
      </c>
    </row>
    <row r="2966" spans="1:8">
      <c r="A2966" s="1">
        <v>103366</v>
      </c>
      <c r="B2966" s="1">
        <v>250266</v>
      </c>
      <c r="C2966" s="2">
        <v>41698</v>
      </c>
      <c r="D2966" s="1" t="s">
        <v>1993</v>
      </c>
      <c r="E2966" s="6">
        <v>1</v>
      </c>
      <c r="F2966" s="6" t="str">
        <f t="shared" si="92"/>
        <v>February</v>
      </c>
      <c r="G2966" s="6">
        <f t="shared" si="93"/>
        <v>9</v>
      </c>
      <c r="H2966" s="1">
        <f>SUMIF('Retal Tran Line Item'!E:E,A2966,'Retal Tran Line Item'!B:B)</f>
        <v>6</v>
      </c>
    </row>
    <row r="2967" spans="1:8">
      <c r="A2967" s="1">
        <v>103367</v>
      </c>
      <c r="B2967" s="1">
        <v>537860</v>
      </c>
      <c r="C2967" s="2">
        <v>41698</v>
      </c>
      <c r="D2967" s="1" t="s">
        <v>1989</v>
      </c>
      <c r="E2967" s="6">
        <v>1</v>
      </c>
      <c r="F2967" s="6" t="str">
        <f t="shared" si="92"/>
        <v>February</v>
      </c>
      <c r="G2967" s="6">
        <f t="shared" si="93"/>
        <v>9</v>
      </c>
      <c r="H2967" s="1">
        <f>SUMIF('Retal Tran Line Item'!E:E,A2967,'Retal Tran Line Item'!B:B)</f>
        <v>7</v>
      </c>
    </row>
    <row r="2968" spans="1:8">
      <c r="A2968" s="1">
        <v>103369</v>
      </c>
      <c r="B2968" s="1">
        <v>196068</v>
      </c>
      <c r="C2968" s="2">
        <v>41698</v>
      </c>
      <c r="D2968" s="1" t="s">
        <v>1993</v>
      </c>
      <c r="E2968" s="6">
        <v>2</v>
      </c>
      <c r="F2968" s="6" t="str">
        <f t="shared" si="92"/>
        <v>February</v>
      </c>
      <c r="G2968" s="6">
        <f t="shared" si="93"/>
        <v>9</v>
      </c>
      <c r="H2968" s="1">
        <f>SUMIF('Retal Tran Line Item'!E:E,A2968,'Retal Tran Line Item'!B:B)</f>
        <v>2</v>
      </c>
    </row>
    <row r="2969" spans="1:8">
      <c r="A2969" s="1">
        <v>103370</v>
      </c>
      <c r="B2969" s="1">
        <v>384899</v>
      </c>
      <c r="C2969" s="2">
        <v>41698</v>
      </c>
      <c r="D2969" s="1" t="s">
        <v>1992</v>
      </c>
      <c r="E2969" s="6">
        <v>1</v>
      </c>
      <c r="F2969" s="6" t="str">
        <f t="shared" si="92"/>
        <v>February</v>
      </c>
      <c r="G2969" s="6">
        <f t="shared" si="93"/>
        <v>9</v>
      </c>
      <c r="H2969" s="1">
        <f>SUMIF('Retal Tran Line Item'!E:E,A2969,'Retal Tran Line Item'!B:B)</f>
        <v>8</v>
      </c>
    </row>
    <row r="2970" spans="1:8">
      <c r="A2970" s="1">
        <v>103371</v>
      </c>
      <c r="B2970" s="1">
        <v>412929</v>
      </c>
      <c r="C2970" s="2">
        <v>41699</v>
      </c>
      <c r="D2970" s="1" t="s">
        <v>1989</v>
      </c>
      <c r="E2970" s="6">
        <v>1</v>
      </c>
      <c r="F2970" s="6" t="str">
        <f t="shared" si="92"/>
        <v>March</v>
      </c>
      <c r="G2970" s="6">
        <f t="shared" si="93"/>
        <v>9</v>
      </c>
      <c r="H2970" s="1">
        <f>SUMIF('Retal Tran Line Item'!E:E,A2970,'Retal Tran Line Item'!B:B)</f>
        <v>17</v>
      </c>
    </row>
    <row r="2971" spans="1:8">
      <c r="A2971" s="1">
        <v>103375</v>
      </c>
      <c r="B2971" s="1">
        <v>808177</v>
      </c>
      <c r="C2971" s="2">
        <v>41699</v>
      </c>
      <c r="D2971" s="1" t="s">
        <v>1993</v>
      </c>
      <c r="E2971" s="6">
        <v>1</v>
      </c>
      <c r="F2971" s="6" t="str">
        <f t="shared" si="92"/>
        <v>March</v>
      </c>
      <c r="G2971" s="6">
        <f t="shared" si="93"/>
        <v>9</v>
      </c>
      <c r="H2971" s="1">
        <f>SUMIF('Retal Tran Line Item'!E:E,A2971,'Retal Tran Line Item'!B:B)</f>
        <v>6</v>
      </c>
    </row>
    <row r="2972" spans="1:8">
      <c r="A2972" s="1">
        <v>103376</v>
      </c>
      <c r="B2972" s="1">
        <v>599995</v>
      </c>
      <c r="C2972" s="2">
        <v>41700</v>
      </c>
      <c r="D2972" s="1" t="s">
        <v>1989</v>
      </c>
      <c r="E2972" s="6">
        <v>2</v>
      </c>
      <c r="F2972" s="6" t="str">
        <f t="shared" si="92"/>
        <v>March</v>
      </c>
      <c r="G2972" s="6">
        <f t="shared" si="93"/>
        <v>10</v>
      </c>
      <c r="H2972" s="1">
        <f>SUMIF('Retal Tran Line Item'!E:E,A2972,'Retal Tran Line Item'!B:B)</f>
        <v>2</v>
      </c>
    </row>
    <row r="2973" spans="1:8">
      <c r="A2973" s="1">
        <v>103378</v>
      </c>
      <c r="B2973" s="1">
        <v>782947</v>
      </c>
      <c r="C2973" s="2">
        <v>41700</v>
      </c>
      <c r="D2973" s="1" t="s">
        <v>1993</v>
      </c>
      <c r="E2973" s="6">
        <v>2</v>
      </c>
      <c r="F2973" s="6" t="str">
        <f t="shared" si="92"/>
        <v>March</v>
      </c>
      <c r="G2973" s="6">
        <f t="shared" si="93"/>
        <v>10</v>
      </c>
      <c r="H2973" s="1">
        <f>SUMIF('Retal Tran Line Item'!E:E,A2973,'Retal Tran Line Item'!B:B)</f>
        <v>13</v>
      </c>
    </row>
    <row r="2974" spans="1:8">
      <c r="A2974" s="1">
        <v>103379</v>
      </c>
      <c r="B2974" s="1">
        <v>205927</v>
      </c>
      <c r="C2974" s="2">
        <v>41700</v>
      </c>
      <c r="D2974" s="1" t="s">
        <v>1992</v>
      </c>
      <c r="E2974" s="6">
        <v>1</v>
      </c>
      <c r="F2974" s="6" t="str">
        <f t="shared" si="92"/>
        <v>March</v>
      </c>
      <c r="G2974" s="6">
        <f t="shared" si="93"/>
        <v>10</v>
      </c>
      <c r="H2974" s="1">
        <f>SUMIF('Retal Tran Line Item'!E:E,A2974,'Retal Tran Line Item'!B:B)</f>
        <v>17</v>
      </c>
    </row>
    <row r="2975" spans="1:8">
      <c r="A2975" s="1">
        <v>103380</v>
      </c>
      <c r="B2975" s="1">
        <v>408341</v>
      </c>
      <c r="C2975" s="2">
        <v>41700</v>
      </c>
      <c r="D2975" s="1" t="s">
        <v>1993</v>
      </c>
      <c r="E2975" s="6">
        <v>2</v>
      </c>
      <c r="F2975" s="6" t="str">
        <f t="shared" si="92"/>
        <v>March</v>
      </c>
      <c r="G2975" s="6">
        <f t="shared" si="93"/>
        <v>10</v>
      </c>
      <c r="H2975" s="1">
        <f>SUMIF('Retal Tran Line Item'!E:E,A2975,'Retal Tran Line Item'!B:B)</f>
        <v>2</v>
      </c>
    </row>
    <row r="2976" spans="1:8">
      <c r="A2976" s="1">
        <v>103381</v>
      </c>
      <c r="B2976" s="1">
        <v>111991</v>
      </c>
      <c r="C2976" s="2">
        <v>41700</v>
      </c>
      <c r="D2976" s="1" t="s">
        <v>1994</v>
      </c>
      <c r="E2976" s="6">
        <v>1</v>
      </c>
      <c r="F2976" s="6" t="str">
        <f t="shared" si="92"/>
        <v>March</v>
      </c>
      <c r="G2976" s="6">
        <f t="shared" si="93"/>
        <v>10</v>
      </c>
      <c r="H2976" s="1">
        <f>SUMIF('Retal Tran Line Item'!E:E,A2976,'Retal Tran Line Item'!B:B)</f>
        <v>7</v>
      </c>
    </row>
    <row r="2977" spans="1:8">
      <c r="A2977" s="1">
        <v>103382</v>
      </c>
      <c r="B2977" s="1">
        <v>724813</v>
      </c>
      <c r="C2977" s="2">
        <v>41700</v>
      </c>
      <c r="D2977" s="1" t="s">
        <v>1989</v>
      </c>
      <c r="E2977" s="6">
        <v>2</v>
      </c>
      <c r="F2977" s="6" t="str">
        <f t="shared" si="92"/>
        <v>March</v>
      </c>
      <c r="G2977" s="6">
        <f t="shared" si="93"/>
        <v>10</v>
      </c>
      <c r="H2977" s="1">
        <f>SUMIF('Retal Tran Line Item'!E:E,A2977,'Retal Tran Line Item'!B:B)</f>
        <v>9</v>
      </c>
    </row>
    <row r="2978" spans="1:8">
      <c r="A2978" s="1">
        <v>103384</v>
      </c>
      <c r="B2978" s="1">
        <v>426830</v>
      </c>
      <c r="C2978" s="2">
        <v>41701</v>
      </c>
      <c r="D2978" s="1" t="s">
        <v>1994</v>
      </c>
      <c r="E2978" s="6">
        <v>2</v>
      </c>
      <c r="F2978" s="6" t="str">
        <f t="shared" si="92"/>
        <v>March</v>
      </c>
      <c r="G2978" s="6">
        <f t="shared" si="93"/>
        <v>10</v>
      </c>
      <c r="H2978" s="1">
        <f>SUMIF('Retal Tran Line Item'!E:E,A2978,'Retal Tran Line Item'!B:B)</f>
        <v>9</v>
      </c>
    </row>
    <row r="2979" spans="1:8">
      <c r="A2979" s="1">
        <v>103386</v>
      </c>
      <c r="B2979" s="1">
        <v>880238</v>
      </c>
      <c r="C2979" s="2">
        <v>41701</v>
      </c>
      <c r="D2979" s="1" t="s">
        <v>1993</v>
      </c>
      <c r="E2979" s="6">
        <v>1</v>
      </c>
      <c r="F2979" s="6" t="str">
        <f t="shared" si="92"/>
        <v>March</v>
      </c>
      <c r="G2979" s="6">
        <f t="shared" si="93"/>
        <v>10</v>
      </c>
      <c r="H2979" s="1">
        <f>SUMIF('Retal Tran Line Item'!E:E,A2979,'Retal Tran Line Item'!B:B)</f>
        <v>10</v>
      </c>
    </row>
    <row r="2980" spans="1:8">
      <c r="A2980" s="1">
        <v>103387</v>
      </c>
      <c r="B2980" s="1">
        <v>329994</v>
      </c>
      <c r="C2980" s="2">
        <v>41701</v>
      </c>
      <c r="D2980" s="1" t="s">
        <v>1994</v>
      </c>
      <c r="E2980" s="6">
        <v>1</v>
      </c>
      <c r="F2980" s="6" t="str">
        <f t="shared" si="92"/>
        <v>March</v>
      </c>
      <c r="G2980" s="6">
        <f t="shared" si="93"/>
        <v>10</v>
      </c>
      <c r="H2980" s="1">
        <f>SUMIF('Retal Tran Line Item'!E:E,A2980,'Retal Tran Line Item'!B:B)</f>
        <v>10</v>
      </c>
    </row>
    <row r="2981" spans="1:8">
      <c r="A2981" s="1">
        <v>103388</v>
      </c>
      <c r="B2981" s="1">
        <v>608290</v>
      </c>
      <c r="C2981" s="2">
        <v>41701</v>
      </c>
      <c r="D2981" s="1" t="s">
        <v>1992</v>
      </c>
      <c r="E2981" s="6">
        <v>1</v>
      </c>
      <c r="F2981" s="6" t="str">
        <f t="shared" si="92"/>
        <v>March</v>
      </c>
      <c r="G2981" s="6">
        <f t="shared" si="93"/>
        <v>10</v>
      </c>
      <c r="H2981" s="1">
        <f>SUMIF('Retal Tran Line Item'!E:E,A2981,'Retal Tran Line Item'!B:B)</f>
        <v>8</v>
      </c>
    </row>
    <row r="2982" spans="1:8">
      <c r="A2982" s="1">
        <v>103389</v>
      </c>
      <c r="B2982" s="1">
        <v>292402</v>
      </c>
      <c r="C2982" s="2">
        <v>41701</v>
      </c>
      <c r="D2982" s="1" t="s">
        <v>1994</v>
      </c>
      <c r="E2982" s="6">
        <v>2</v>
      </c>
      <c r="F2982" s="6" t="str">
        <f t="shared" si="92"/>
        <v>March</v>
      </c>
      <c r="G2982" s="6">
        <f t="shared" si="93"/>
        <v>10</v>
      </c>
      <c r="H2982" s="1">
        <f>SUMIF('Retal Tran Line Item'!E:E,A2982,'Retal Tran Line Item'!B:B)</f>
        <v>7</v>
      </c>
    </row>
    <row r="2983" spans="1:8">
      <c r="A2983" s="1">
        <v>103390</v>
      </c>
      <c r="B2983" s="1">
        <v>808421</v>
      </c>
      <c r="C2983" s="2">
        <v>41701</v>
      </c>
      <c r="D2983" s="1" t="s">
        <v>1989</v>
      </c>
      <c r="E2983" s="6">
        <v>2</v>
      </c>
      <c r="F2983" s="6" t="str">
        <f t="shared" si="92"/>
        <v>March</v>
      </c>
      <c r="G2983" s="6">
        <f t="shared" si="93"/>
        <v>10</v>
      </c>
      <c r="H2983" s="1">
        <f>SUMIF('Retal Tran Line Item'!E:E,A2983,'Retal Tran Line Item'!B:B)</f>
        <v>11</v>
      </c>
    </row>
    <row r="2984" spans="1:8">
      <c r="A2984" s="1">
        <v>103391</v>
      </c>
      <c r="B2984" s="1">
        <v>524667</v>
      </c>
      <c r="C2984" s="2">
        <v>41702</v>
      </c>
      <c r="D2984" s="1" t="s">
        <v>1994</v>
      </c>
      <c r="E2984" s="6">
        <v>2</v>
      </c>
      <c r="F2984" s="6" t="str">
        <f t="shared" si="92"/>
        <v>March</v>
      </c>
      <c r="G2984" s="6">
        <f t="shared" si="93"/>
        <v>10</v>
      </c>
      <c r="H2984" s="1">
        <f>SUMIF('Retal Tran Line Item'!E:E,A2984,'Retal Tran Line Item'!B:B)</f>
        <v>10</v>
      </c>
    </row>
    <row r="2985" spans="1:8">
      <c r="A2985" s="1">
        <v>103393</v>
      </c>
      <c r="B2985" s="1">
        <v>731346</v>
      </c>
      <c r="C2985" s="2">
        <v>41702</v>
      </c>
      <c r="D2985" s="1" t="s">
        <v>1992</v>
      </c>
      <c r="E2985" s="6">
        <v>2</v>
      </c>
      <c r="F2985" s="6" t="str">
        <f t="shared" si="92"/>
        <v>March</v>
      </c>
      <c r="G2985" s="6">
        <f t="shared" si="93"/>
        <v>10</v>
      </c>
      <c r="H2985" s="1">
        <f>SUMIF('Retal Tran Line Item'!E:E,A2985,'Retal Tran Line Item'!B:B)</f>
        <v>9</v>
      </c>
    </row>
    <row r="2986" spans="1:8">
      <c r="A2986" s="1">
        <v>103395</v>
      </c>
      <c r="B2986" s="1">
        <v>994056</v>
      </c>
      <c r="C2986" s="2">
        <v>41702</v>
      </c>
      <c r="D2986" s="1" t="s">
        <v>1989</v>
      </c>
      <c r="E2986" s="6">
        <v>2</v>
      </c>
      <c r="F2986" s="6" t="str">
        <f t="shared" si="92"/>
        <v>March</v>
      </c>
      <c r="G2986" s="6">
        <f t="shared" si="93"/>
        <v>10</v>
      </c>
      <c r="H2986" s="1">
        <f>SUMIF('Retal Tran Line Item'!E:E,A2986,'Retal Tran Line Item'!B:B)</f>
        <v>1</v>
      </c>
    </row>
    <row r="2987" spans="1:8">
      <c r="A2987" s="1">
        <v>103396</v>
      </c>
      <c r="B2987" s="1">
        <v>556619</v>
      </c>
      <c r="C2987" s="2">
        <v>41702</v>
      </c>
      <c r="D2987" s="1" t="s">
        <v>1992</v>
      </c>
      <c r="E2987" s="6">
        <v>1</v>
      </c>
      <c r="F2987" s="6" t="str">
        <f t="shared" si="92"/>
        <v>March</v>
      </c>
      <c r="G2987" s="6">
        <f t="shared" si="93"/>
        <v>10</v>
      </c>
      <c r="H2987" s="1">
        <f>SUMIF('Retal Tran Line Item'!E:E,A2987,'Retal Tran Line Item'!B:B)</f>
        <v>10</v>
      </c>
    </row>
    <row r="2988" spans="1:8">
      <c r="A2988" s="1">
        <v>103400</v>
      </c>
      <c r="B2988" s="1">
        <v>951702</v>
      </c>
      <c r="C2988" s="2">
        <v>41703</v>
      </c>
      <c r="D2988" s="1" t="s">
        <v>1992</v>
      </c>
      <c r="E2988" s="6">
        <v>1</v>
      </c>
      <c r="F2988" s="6" t="str">
        <f t="shared" si="92"/>
        <v>March</v>
      </c>
      <c r="G2988" s="6">
        <f t="shared" si="93"/>
        <v>10</v>
      </c>
      <c r="H2988" s="1">
        <f>SUMIF('Retal Tran Line Item'!E:E,A2988,'Retal Tran Line Item'!B:B)</f>
        <v>4</v>
      </c>
    </row>
    <row r="2989" spans="1:8">
      <c r="A2989" s="1">
        <v>103402</v>
      </c>
      <c r="B2989" s="1">
        <v>656512</v>
      </c>
      <c r="C2989" s="2">
        <v>41703</v>
      </c>
      <c r="D2989" s="1" t="s">
        <v>1994</v>
      </c>
      <c r="E2989" s="6">
        <v>1</v>
      </c>
      <c r="F2989" s="6" t="str">
        <f t="shared" si="92"/>
        <v>March</v>
      </c>
      <c r="G2989" s="6">
        <f t="shared" si="93"/>
        <v>10</v>
      </c>
      <c r="H2989" s="1">
        <f>SUMIF('Retal Tran Line Item'!E:E,A2989,'Retal Tran Line Item'!B:B)</f>
        <v>10</v>
      </c>
    </row>
    <row r="2990" spans="1:8">
      <c r="A2990" s="1">
        <v>103404</v>
      </c>
      <c r="B2990" s="1">
        <v>427826</v>
      </c>
      <c r="C2990" s="2">
        <v>41703</v>
      </c>
      <c r="D2990" s="1" t="s">
        <v>1992</v>
      </c>
      <c r="E2990" s="6">
        <v>2</v>
      </c>
      <c r="F2990" s="6" t="str">
        <f t="shared" si="92"/>
        <v>March</v>
      </c>
      <c r="G2990" s="6">
        <f t="shared" si="93"/>
        <v>10</v>
      </c>
      <c r="H2990" s="1">
        <f>SUMIF('Retal Tran Line Item'!E:E,A2990,'Retal Tran Line Item'!B:B)</f>
        <v>10</v>
      </c>
    </row>
    <row r="2991" spans="1:8">
      <c r="A2991" s="1">
        <v>103405</v>
      </c>
      <c r="B2991" s="1">
        <v>305005</v>
      </c>
      <c r="C2991" s="2">
        <v>41703</v>
      </c>
      <c r="D2991" s="1" t="s">
        <v>1993</v>
      </c>
      <c r="E2991" s="6">
        <v>1</v>
      </c>
      <c r="F2991" s="6" t="str">
        <f t="shared" si="92"/>
        <v>March</v>
      </c>
      <c r="G2991" s="6">
        <f t="shared" si="93"/>
        <v>10</v>
      </c>
      <c r="H2991" s="1">
        <f>SUMIF('Retal Tran Line Item'!E:E,A2991,'Retal Tran Line Item'!B:B)</f>
        <v>6</v>
      </c>
    </row>
    <row r="2992" spans="1:8">
      <c r="A2992" s="1">
        <v>103407</v>
      </c>
      <c r="B2992" s="1">
        <v>493552</v>
      </c>
      <c r="C2992" s="2">
        <v>41704</v>
      </c>
      <c r="D2992" s="1" t="s">
        <v>1994</v>
      </c>
      <c r="E2992" s="6">
        <v>2</v>
      </c>
      <c r="F2992" s="6" t="str">
        <f t="shared" si="92"/>
        <v>March</v>
      </c>
      <c r="G2992" s="6">
        <f t="shared" si="93"/>
        <v>10</v>
      </c>
      <c r="H2992" s="1">
        <f>SUMIF('Retal Tran Line Item'!E:E,A2992,'Retal Tran Line Item'!B:B)</f>
        <v>8</v>
      </c>
    </row>
    <row r="2993" spans="1:8">
      <c r="A2993" s="1">
        <v>103408</v>
      </c>
      <c r="B2993" s="1">
        <v>932618</v>
      </c>
      <c r="C2993" s="2">
        <v>41704</v>
      </c>
      <c r="D2993" s="1" t="s">
        <v>1993</v>
      </c>
      <c r="E2993" s="6">
        <v>2</v>
      </c>
      <c r="F2993" s="6" t="str">
        <f t="shared" si="92"/>
        <v>March</v>
      </c>
      <c r="G2993" s="6">
        <f t="shared" si="93"/>
        <v>10</v>
      </c>
      <c r="H2993" s="1">
        <f>SUMIF('Retal Tran Line Item'!E:E,A2993,'Retal Tran Line Item'!B:B)</f>
        <v>1</v>
      </c>
    </row>
    <row r="2994" spans="1:8">
      <c r="A2994" s="1">
        <v>103409</v>
      </c>
      <c r="B2994" s="1">
        <v>745543</v>
      </c>
      <c r="C2994" s="2">
        <v>41704</v>
      </c>
      <c r="D2994" s="1" t="s">
        <v>1989</v>
      </c>
      <c r="E2994" s="6">
        <v>1</v>
      </c>
      <c r="F2994" s="6" t="str">
        <f t="shared" si="92"/>
        <v>March</v>
      </c>
      <c r="G2994" s="6">
        <f t="shared" si="93"/>
        <v>10</v>
      </c>
      <c r="H2994" s="1">
        <f>SUMIF('Retal Tran Line Item'!E:E,A2994,'Retal Tran Line Item'!B:B)</f>
        <v>11</v>
      </c>
    </row>
    <row r="2995" spans="1:8">
      <c r="A2995" s="1">
        <v>103412</v>
      </c>
      <c r="B2995" s="1">
        <v>717234</v>
      </c>
      <c r="C2995" s="2">
        <v>41704</v>
      </c>
      <c r="D2995" s="1" t="s">
        <v>1994</v>
      </c>
      <c r="E2995" s="6">
        <v>2</v>
      </c>
      <c r="F2995" s="6" t="str">
        <f t="shared" si="92"/>
        <v>March</v>
      </c>
      <c r="G2995" s="6">
        <f t="shared" si="93"/>
        <v>10</v>
      </c>
      <c r="H2995" s="1">
        <f>SUMIF('Retal Tran Line Item'!E:E,A2995,'Retal Tran Line Item'!B:B)</f>
        <v>11</v>
      </c>
    </row>
    <row r="2996" spans="1:8">
      <c r="A2996" s="1">
        <v>103413</v>
      </c>
      <c r="B2996" s="1">
        <v>441628</v>
      </c>
      <c r="C2996" s="2">
        <v>41704</v>
      </c>
      <c r="D2996" s="1" t="s">
        <v>1989</v>
      </c>
      <c r="E2996" s="6">
        <v>2</v>
      </c>
      <c r="F2996" s="6" t="str">
        <f t="shared" si="92"/>
        <v>March</v>
      </c>
      <c r="G2996" s="6">
        <f t="shared" si="93"/>
        <v>10</v>
      </c>
      <c r="H2996" s="1">
        <f>SUMIF('Retal Tran Line Item'!E:E,A2996,'Retal Tran Line Item'!B:B)</f>
        <v>20</v>
      </c>
    </row>
    <row r="2997" spans="1:8">
      <c r="A2997" s="1">
        <v>103414</v>
      </c>
      <c r="B2997" s="1">
        <v>561305</v>
      </c>
      <c r="C2997" s="2">
        <v>41704</v>
      </c>
      <c r="D2997" s="1" t="s">
        <v>1993</v>
      </c>
      <c r="E2997" s="6">
        <v>2</v>
      </c>
      <c r="F2997" s="6" t="str">
        <f t="shared" si="92"/>
        <v>March</v>
      </c>
      <c r="G2997" s="6">
        <f t="shared" si="93"/>
        <v>10</v>
      </c>
      <c r="H2997" s="1">
        <f>SUMIF('Retal Tran Line Item'!E:E,A2997,'Retal Tran Line Item'!B:B)</f>
        <v>9</v>
      </c>
    </row>
    <row r="2998" spans="1:8">
      <c r="A2998" s="1">
        <v>103415</v>
      </c>
      <c r="B2998" s="1">
        <v>890497</v>
      </c>
      <c r="C2998" s="2">
        <v>41705</v>
      </c>
      <c r="D2998" s="1" t="s">
        <v>1992</v>
      </c>
      <c r="E2998" s="6">
        <v>2</v>
      </c>
      <c r="F2998" s="6" t="str">
        <f t="shared" si="92"/>
        <v>March</v>
      </c>
      <c r="G2998" s="6">
        <f t="shared" si="93"/>
        <v>10</v>
      </c>
      <c r="H2998" s="1">
        <f>SUMIF('Retal Tran Line Item'!E:E,A2998,'Retal Tran Line Item'!B:B)</f>
        <v>7</v>
      </c>
    </row>
    <row r="2999" spans="1:8">
      <c r="A2999" s="1">
        <v>103416</v>
      </c>
      <c r="B2999" s="1">
        <v>149240</v>
      </c>
      <c r="C2999" s="2">
        <v>41705</v>
      </c>
      <c r="D2999" s="1" t="s">
        <v>1992</v>
      </c>
      <c r="E2999" s="6">
        <v>1</v>
      </c>
      <c r="F2999" s="6" t="str">
        <f t="shared" si="92"/>
        <v>March</v>
      </c>
      <c r="G2999" s="6">
        <f t="shared" si="93"/>
        <v>10</v>
      </c>
      <c r="H2999" s="1">
        <f>SUMIF('Retal Tran Line Item'!E:E,A2999,'Retal Tran Line Item'!B:B)</f>
        <v>5</v>
      </c>
    </row>
    <row r="3000" spans="1:8">
      <c r="A3000" s="1">
        <v>103418</v>
      </c>
      <c r="B3000" s="1">
        <v>249188</v>
      </c>
      <c r="C3000" s="2">
        <v>41705</v>
      </c>
      <c r="D3000" s="1" t="s">
        <v>1992</v>
      </c>
      <c r="E3000" s="6">
        <v>1</v>
      </c>
      <c r="F3000" s="6" t="str">
        <f t="shared" si="92"/>
        <v>March</v>
      </c>
      <c r="G3000" s="6">
        <f t="shared" si="93"/>
        <v>10</v>
      </c>
      <c r="H3000" s="1">
        <f>SUMIF('Retal Tran Line Item'!E:E,A3000,'Retal Tran Line Item'!B:B)</f>
        <v>6</v>
      </c>
    </row>
    <row r="3001" spans="1:8">
      <c r="A3001" s="1">
        <v>103422</v>
      </c>
      <c r="B3001" s="1">
        <v>893039</v>
      </c>
      <c r="C3001" s="2">
        <v>41706</v>
      </c>
      <c r="D3001" s="1" t="s">
        <v>1992</v>
      </c>
      <c r="E3001" s="6">
        <v>2</v>
      </c>
      <c r="F3001" s="6" t="str">
        <f t="shared" si="92"/>
        <v>March</v>
      </c>
      <c r="G3001" s="6">
        <f t="shared" si="93"/>
        <v>10</v>
      </c>
      <c r="H3001" s="1">
        <f>SUMIF('Retal Tran Line Item'!E:E,A3001,'Retal Tran Line Item'!B:B)</f>
        <v>8</v>
      </c>
    </row>
    <row r="3002" spans="1:8">
      <c r="A3002" s="1">
        <v>103423</v>
      </c>
      <c r="B3002" s="1">
        <v>520377</v>
      </c>
      <c r="C3002" s="2">
        <v>41706</v>
      </c>
      <c r="D3002" s="1" t="s">
        <v>1993</v>
      </c>
      <c r="E3002" s="6">
        <v>1</v>
      </c>
      <c r="F3002" s="6" t="str">
        <f t="shared" si="92"/>
        <v>March</v>
      </c>
      <c r="G3002" s="6">
        <f t="shared" si="93"/>
        <v>10</v>
      </c>
      <c r="H3002" s="1">
        <f>SUMIF('Retal Tran Line Item'!E:E,A3002,'Retal Tran Line Item'!B:B)</f>
        <v>23</v>
      </c>
    </row>
    <row r="3003" spans="1:8">
      <c r="A3003" s="1">
        <v>103425</v>
      </c>
      <c r="B3003" s="1">
        <v>498970</v>
      </c>
      <c r="C3003" s="2">
        <v>41706</v>
      </c>
      <c r="D3003" s="1" t="s">
        <v>1992</v>
      </c>
      <c r="E3003" s="6">
        <v>2</v>
      </c>
      <c r="F3003" s="6" t="str">
        <f t="shared" si="92"/>
        <v>March</v>
      </c>
      <c r="G3003" s="6">
        <f t="shared" si="93"/>
        <v>10</v>
      </c>
      <c r="H3003" s="1">
        <f>SUMIF('Retal Tran Line Item'!E:E,A3003,'Retal Tran Line Item'!B:B)</f>
        <v>13</v>
      </c>
    </row>
    <row r="3004" spans="1:8">
      <c r="A3004" s="1">
        <v>103426</v>
      </c>
      <c r="B3004" s="1">
        <v>332324</v>
      </c>
      <c r="C3004" s="2">
        <v>41706</v>
      </c>
      <c r="D3004" s="1" t="s">
        <v>1989</v>
      </c>
      <c r="E3004" s="6">
        <v>1</v>
      </c>
      <c r="F3004" s="6" t="str">
        <f t="shared" si="92"/>
        <v>March</v>
      </c>
      <c r="G3004" s="6">
        <f t="shared" si="93"/>
        <v>10</v>
      </c>
      <c r="H3004" s="1">
        <f>SUMIF('Retal Tran Line Item'!E:E,A3004,'Retal Tran Line Item'!B:B)</f>
        <v>1</v>
      </c>
    </row>
    <row r="3005" spans="1:8">
      <c r="A3005" s="1">
        <v>103427</v>
      </c>
      <c r="B3005" s="1">
        <v>493552</v>
      </c>
      <c r="C3005" s="2">
        <v>41706</v>
      </c>
      <c r="D3005" s="1" t="s">
        <v>1994</v>
      </c>
      <c r="E3005" s="6">
        <v>1</v>
      </c>
      <c r="F3005" s="6" t="str">
        <f t="shared" si="92"/>
        <v>March</v>
      </c>
      <c r="G3005" s="6">
        <f t="shared" si="93"/>
        <v>10</v>
      </c>
      <c r="H3005" s="1">
        <f>SUMIF('Retal Tran Line Item'!E:E,A3005,'Retal Tran Line Item'!B:B)</f>
        <v>4</v>
      </c>
    </row>
    <row r="3006" spans="1:8">
      <c r="A3006" s="1">
        <v>103428</v>
      </c>
      <c r="B3006" s="1">
        <v>747066</v>
      </c>
      <c r="C3006" s="2">
        <v>41707</v>
      </c>
      <c r="D3006" s="1" t="s">
        <v>1993</v>
      </c>
      <c r="E3006" s="6">
        <v>2</v>
      </c>
      <c r="F3006" s="6" t="str">
        <f t="shared" si="92"/>
        <v>March</v>
      </c>
      <c r="G3006" s="6">
        <f t="shared" si="93"/>
        <v>11</v>
      </c>
      <c r="H3006" s="1">
        <f>SUMIF('Retal Tran Line Item'!E:E,A3006,'Retal Tran Line Item'!B:B)</f>
        <v>2</v>
      </c>
    </row>
    <row r="3007" spans="1:8">
      <c r="A3007" s="1">
        <v>103429</v>
      </c>
      <c r="B3007" s="1">
        <v>308688</v>
      </c>
      <c r="C3007" s="2">
        <v>41707</v>
      </c>
      <c r="D3007" s="1" t="s">
        <v>1993</v>
      </c>
      <c r="E3007" s="6">
        <v>2</v>
      </c>
      <c r="F3007" s="6" t="str">
        <f t="shared" si="92"/>
        <v>March</v>
      </c>
      <c r="G3007" s="6">
        <f t="shared" si="93"/>
        <v>11</v>
      </c>
      <c r="H3007" s="1">
        <f>SUMIF('Retal Tran Line Item'!E:E,A3007,'Retal Tran Line Item'!B:B)</f>
        <v>11</v>
      </c>
    </row>
    <row r="3008" spans="1:8">
      <c r="A3008" s="1">
        <v>103430</v>
      </c>
      <c r="B3008" s="1">
        <v>882493</v>
      </c>
      <c r="C3008" s="2">
        <v>41707</v>
      </c>
      <c r="D3008" s="1" t="s">
        <v>1992</v>
      </c>
      <c r="E3008" s="6">
        <v>2</v>
      </c>
      <c r="F3008" s="6" t="str">
        <f t="shared" si="92"/>
        <v>March</v>
      </c>
      <c r="G3008" s="6">
        <f t="shared" si="93"/>
        <v>11</v>
      </c>
      <c r="H3008" s="1">
        <f>SUMIF('Retal Tran Line Item'!E:E,A3008,'Retal Tran Line Item'!B:B)</f>
        <v>1</v>
      </c>
    </row>
    <row r="3009" spans="1:8">
      <c r="A3009" s="1">
        <v>103431</v>
      </c>
      <c r="B3009" s="1">
        <v>741514</v>
      </c>
      <c r="C3009" s="2">
        <v>41707</v>
      </c>
      <c r="D3009" s="1" t="s">
        <v>1992</v>
      </c>
      <c r="E3009" s="6">
        <v>2</v>
      </c>
      <c r="F3009" s="6" t="str">
        <f t="shared" si="92"/>
        <v>March</v>
      </c>
      <c r="G3009" s="6">
        <f t="shared" si="93"/>
        <v>11</v>
      </c>
      <c r="H3009" s="1">
        <f>SUMIF('Retal Tran Line Item'!E:E,A3009,'Retal Tran Line Item'!B:B)</f>
        <v>5</v>
      </c>
    </row>
    <row r="3010" spans="1:8">
      <c r="A3010" s="1">
        <v>103432</v>
      </c>
      <c r="B3010" s="1">
        <v>741398</v>
      </c>
      <c r="C3010" s="2">
        <v>41707</v>
      </c>
      <c r="D3010" s="1" t="s">
        <v>1993</v>
      </c>
      <c r="E3010" s="6">
        <v>1</v>
      </c>
      <c r="F3010" s="6" t="str">
        <f t="shared" si="92"/>
        <v>March</v>
      </c>
      <c r="G3010" s="6">
        <f t="shared" si="93"/>
        <v>11</v>
      </c>
      <c r="H3010" s="1">
        <f>SUMIF('Retal Tran Line Item'!E:E,A3010,'Retal Tran Line Item'!B:B)</f>
        <v>8</v>
      </c>
    </row>
    <row r="3011" spans="1:8">
      <c r="A3011" s="1">
        <v>103433</v>
      </c>
      <c r="B3011" s="1">
        <v>471187</v>
      </c>
      <c r="C3011" s="2">
        <v>41707</v>
      </c>
      <c r="D3011" s="1" t="s">
        <v>1993</v>
      </c>
      <c r="E3011" s="6">
        <v>2</v>
      </c>
      <c r="F3011" s="6" t="str">
        <f t="shared" ref="F3011:F3074" si="94">TEXT(C3011,"MMMM")</f>
        <v>March</v>
      </c>
      <c r="G3011" s="6">
        <f t="shared" ref="G3011:G3074" si="95">WEEKNUM(C3011)</f>
        <v>11</v>
      </c>
      <c r="H3011" s="1">
        <f>SUMIF('Retal Tran Line Item'!E:E,A3011,'Retal Tran Line Item'!B:B)</f>
        <v>9</v>
      </c>
    </row>
    <row r="3012" spans="1:8">
      <c r="A3012" s="1">
        <v>103435</v>
      </c>
      <c r="B3012" s="1">
        <v>249779</v>
      </c>
      <c r="C3012" s="2">
        <v>41708</v>
      </c>
      <c r="D3012" s="1" t="s">
        <v>1992</v>
      </c>
      <c r="E3012" s="6">
        <v>1</v>
      </c>
      <c r="F3012" s="6" t="str">
        <f t="shared" si="94"/>
        <v>March</v>
      </c>
      <c r="G3012" s="6">
        <f t="shared" si="95"/>
        <v>11</v>
      </c>
      <c r="H3012" s="1">
        <f>SUMIF('Retal Tran Line Item'!E:E,A3012,'Retal Tran Line Item'!B:B)</f>
        <v>5</v>
      </c>
    </row>
    <row r="3013" spans="1:8">
      <c r="A3013" s="1">
        <v>103436</v>
      </c>
      <c r="B3013" s="1">
        <v>157695</v>
      </c>
      <c r="C3013" s="2">
        <v>41708</v>
      </c>
      <c r="D3013" s="1" t="s">
        <v>1994</v>
      </c>
      <c r="E3013" s="6">
        <v>1</v>
      </c>
      <c r="F3013" s="6" t="str">
        <f t="shared" si="94"/>
        <v>March</v>
      </c>
      <c r="G3013" s="6">
        <f t="shared" si="95"/>
        <v>11</v>
      </c>
      <c r="H3013" s="1">
        <f>SUMIF('Retal Tran Line Item'!E:E,A3013,'Retal Tran Line Item'!B:B)</f>
        <v>16</v>
      </c>
    </row>
    <row r="3014" spans="1:8">
      <c r="A3014" s="1">
        <v>103437</v>
      </c>
      <c r="B3014" s="1">
        <v>757780</v>
      </c>
      <c r="C3014" s="2">
        <v>41708</v>
      </c>
      <c r="D3014" s="1" t="s">
        <v>1993</v>
      </c>
      <c r="E3014" s="6">
        <v>1</v>
      </c>
      <c r="F3014" s="6" t="str">
        <f t="shared" si="94"/>
        <v>March</v>
      </c>
      <c r="G3014" s="6">
        <f t="shared" si="95"/>
        <v>11</v>
      </c>
      <c r="H3014" s="1">
        <f>SUMIF('Retal Tran Line Item'!E:E,A3014,'Retal Tran Line Item'!B:B)</f>
        <v>12</v>
      </c>
    </row>
    <row r="3015" spans="1:8">
      <c r="A3015" s="1">
        <v>103438</v>
      </c>
      <c r="B3015" s="1">
        <v>771285</v>
      </c>
      <c r="C3015" s="2">
        <v>41708</v>
      </c>
      <c r="D3015" s="1" t="s">
        <v>1993</v>
      </c>
      <c r="E3015" s="6">
        <v>2</v>
      </c>
      <c r="F3015" s="6" t="str">
        <f t="shared" si="94"/>
        <v>March</v>
      </c>
      <c r="G3015" s="6">
        <f t="shared" si="95"/>
        <v>11</v>
      </c>
      <c r="H3015" s="1">
        <f>SUMIF('Retal Tran Line Item'!E:E,A3015,'Retal Tran Line Item'!B:B)</f>
        <v>9</v>
      </c>
    </row>
    <row r="3016" spans="1:8">
      <c r="A3016" s="1">
        <v>103440</v>
      </c>
      <c r="B3016" s="1">
        <v>422592</v>
      </c>
      <c r="C3016" s="2">
        <v>41708</v>
      </c>
      <c r="D3016" s="1" t="s">
        <v>1992</v>
      </c>
      <c r="E3016" s="6">
        <v>2</v>
      </c>
      <c r="F3016" s="6" t="str">
        <f t="shared" si="94"/>
        <v>March</v>
      </c>
      <c r="G3016" s="6">
        <f t="shared" si="95"/>
        <v>11</v>
      </c>
      <c r="H3016" s="1">
        <f>SUMIF('Retal Tran Line Item'!E:E,A3016,'Retal Tran Line Item'!B:B)</f>
        <v>7</v>
      </c>
    </row>
    <row r="3017" spans="1:8">
      <c r="A3017" s="1">
        <v>103442</v>
      </c>
      <c r="B3017" s="1">
        <v>643214</v>
      </c>
      <c r="C3017" s="2">
        <v>41709</v>
      </c>
      <c r="D3017" s="1" t="s">
        <v>1989</v>
      </c>
      <c r="E3017" s="6">
        <v>2</v>
      </c>
      <c r="F3017" s="6" t="str">
        <f t="shared" si="94"/>
        <v>March</v>
      </c>
      <c r="G3017" s="6">
        <f t="shared" si="95"/>
        <v>11</v>
      </c>
      <c r="H3017" s="1">
        <f>SUMIF('Retal Tran Line Item'!E:E,A3017,'Retal Tran Line Item'!B:B)</f>
        <v>11</v>
      </c>
    </row>
    <row r="3018" spans="1:8">
      <c r="A3018" s="1">
        <v>103443</v>
      </c>
      <c r="B3018" s="1">
        <v>736500</v>
      </c>
      <c r="C3018" s="2">
        <v>41709</v>
      </c>
      <c r="D3018" s="1" t="s">
        <v>1993</v>
      </c>
      <c r="E3018" s="6">
        <v>2</v>
      </c>
      <c r="F3018" s="6" t="str">
        <f t="shared" si="94"/>
        <v>March</v>
      </c>
      <c r="G3018" s="6">
        <f t="shared" si="95"/>
        <v>11</v>
      </c>
      <c r="H3018" s="1">
        <f>SUMIF('Retal Tran Line Item'!E:E,A3018,'Retal Tran Line Item'!B:B)</f>
        <v>15</v>
      </c>
    </row>
    <row r="3019" spans="1:8">
      <c r="A3019" s="1">
        <v>103446</v>
      </c>
      <c r="B3019" s="1">
        <v>292402</v>
      </c>
      <c r="C3019" s="2">
        <v>41709</v>
      </c>
      <c r="D3019" s="1" t="s">
        <v>1994</v>
      </c>
      <c r="E3019" s="6">
        <v>2</v>
      </c>
      <c r="F3019" s="6" t="str">
        <f t="shared" si="94"/>
        <v>March</v>
      </c>
      <c r="G3019" s="6">
        <f t="shared" si="95"/>
        <v>11</v>
      </c>
      <c r="H3019" s="1">
        <f>SUMIF('Retal Tran Line Item'!E:E,A3019,'Retal Tran Line Item'!B:B)</f>
        <v>10</v>
      </c>
    </row>
    <row r="3020" spans="1:8">
      <c r="A3020" s="1">
        <v>103448</v>
      </c>
      <c r="B3020" s="1">
        <v>166612</v>
      </c>
      <c r="C3020" s="2">
        <v>41710</v>
      </c>
      <c r="D3020" s="1" t="s">
        <v>1993</v>
      </c>
      <c r="E3020" s="6">
        <v>1</v>
      </c>
      <c r="F3020" s="6" t="str">
        <f t="shared" si="94"/>
        <v>March</v>
      </c>
      <c r="G3020" s="6">
        <f t="shared" si="95"/>
        <v>11</v>
      </c>
      <c r="H3020" s="1">
        <f>SUMIF('Retal Tran Line Item'!E:E,A3020,'Retal Tran Line Item'!B:B)</f>
        <v>11</v>
      </c>
    </row>
    <row r="3021" spans="1:8">
      <c r="A3021" s="1">
        <v>103449</v>
      </c>
      <c r="B3021" s="1">
        <v>412544</v>
      </c>
      <c r="C3021" s="2">
        <v>41710</v>
      </c>
      <c r="D3021" s="1" t="s">
        <v>1993</v>
      </c>
      <c r="E3021" s="6">
        <v>2</v>
      </c>
      <c r="F3021" s="6" t="str">
        <f t="shared" si="94"/>
        <v>March</v>
      </c>
      <c r="G3021" s="6">
        <f t="shared" si="95"/>
        <v>11</v>
      </c>
      <c r="H3021" s="1">
        <f>SUMIF('Retal Tran Line Item'!E:E,A3021,'Retal Tran Line Item'!B:B)</f>
        <v>9</v>
      </c>
    </row>
    <row r="3022" spans="1:8">
      <c r="A3022" s="1">
        <v>103451</v>
      </c>
      <c r="B3022" s="1">
        <v>128131</v>
      </c>
      <c r="C3022" s="2">
        <v>41710</v>
      </c>
      <c r="D3022" s="1" t="s">
        <v>1992</v>
      </c>
      <c r="E3022" s="6">
        <v>2</v>
      </c>
      <c r="F3022" s="6" t="str">
        <f t="shared" si="94"/>
        <v>March</v>
      </c>
      <c r="G3022" s="6">
        <f t="shared" si="95"/>
        <v>11</v>
      </c>
      <c r="H3022" s="1">
        <f>SUMIF('Retal Tran Line Item'!E:E,A3022,'Retal Tran Line Item'!B:B)</f>
        <v>2</v>
      </c>
    </row>
    <row r="3023" spans="1:8">
      <c r="A3023" s="1">
        <v>103452</v>
      </c>
      <c r="B3023" s="1">
        <v>216475</v>
      </c>
      <c r="C3023" s="2">
        <v>41710</v>
      </c>
      <c r="D3023" s="1" t="s">
        <v>1992</v>
      </c>
      <c r="E3023" s="6">
        <v>2</v>
      </c>
      <c r="F3023" s="6" t="str">
        <f t="shared" si="94"/>
        <v>March</v>
      </c>
      <c r="G3023" s="6">
        <f t="shared" si="95"/>
        <v>11</v>
      </c>
      <c r="H3023" s="1">
        <f>SUMIF('Retal Tran Line Item'!E:E,A3023,'Retal Tran Line Item'!B:B)</f>
        <v>26</v>
      </c>
    </row>
    <row r="3024" spans="1:8">
      <c r="A3024" s="1">
        <v>103453</v>
      </c>
      <c r="B3024" s="1">
        <v>938417</v>
      </c>
      <c r="C3024" s="2">
        <v>41710</v>
      </c>
      <c r="D3024" s="1" t="s">
        <v>1992</v>
      </c>
      <c r="E3024" s="6">
        <v>2</v>
      </c>
      <c r="F3024" s="6" t="str">
        <f t="shared" si="94"/>
        <v>March</v>
      </c>
      <c r="G3024" s="6">
        <f t="shared" si="95"/>
        <v>11</v>
      </c>
      <c r="H3024" s="1">
        <f>SUMIF('Retal Tran Line Item'!E:E,A3024,'Retal Tran Line Item'!B:B)</f>
        <v>10</v>
      </c>
    </row>
    <row r="3025" spans="1:8">
      <c r="A3025" s="1">
        <v>103454</v>
      </c>
      <c r="B3025" s="1">
        <v>689877</v>
      </c>
      <c r="C3025" s="2">
        <v>41710</v>
      </c>
      <c r="D3025" s="1" t="s">
        <v>1994</v>
      </c>
      <c r="E3025" s="6">
        <v>2</v>
      </c>
      <c r="F3025" s="6" t="str">
        <f t="shared" si="94"/>
        <v>March</v>
      </c>
      <c r="G3025" s="6">
        <f t="shared" si="95"/>
        <v>11</v>
      </c>
      <c r="H3025" s="1">
        <f>SUMIF('Retal Tran Line Item'!E:E,A3025,'Retal Tran Line Item'!B:B)</f>
        <v>9</v>
      </c>
    </row>
    <row r="3026" spans="1:8">
      <c r="A3026" s="1">
        <v>103456</v>
      </c>
      <c r="B3026" s="1">
        <v>302774</v>
      </c>
      <c r="C3026" s="2">
        <v>41711</v>
      </c>
      <c r="D3026" s="1" t="s">
        <v>1992</v>
      </c>
      <c r="E3026" s="6">
        <v>1</v>
      </c>
      <c r="F3026" s="6" t="str">
        <f t="shared" si="94"/>
        <v>March</v>
      </c>
      <c r="G3026" s="6">
        <f t="shared" si="95"/>
        <v>11</v>
      </c>
      <c r="H3026" s="1">
        <f>SUMIF('Retal Tran Line Item'!E:E,A3026,'Retal Tran Line Item'!B:B)</f>
        <v>10</v>
      </c>
    </row>
    <row r="3027" spans="1:8">
      <c r="A3027" s="1">
        <v>103457</v>
      </c>
      <c r="B3027" s="1">
        <v>520196</v>
      </c>
      <c r="C3027" s="2">
        <v>41711</v>
      </c>
      <c r="D3027" s="1" t="s">
        <v>1992</v>
      </c>
      <c r="E3027" s="6">
        <v>1</v>
      </c>
      <c r="F3027" s="6" t="str">
        <f t="shared" si="94"/>
        <v>March</v>
      </c>
      <c r="G3027" s="6">
        <f t="shared" si="95"/>
        <v>11</v>
      </c>
      <c r="H3027" s="1">
        <f>SUMIF('Retal Tran Line Item'!E:E,A3027,'Retal Tran Line Item'!B:B)</f>
        <v>3</v>
      </c>
    </row>
    <row r="3028" spans="1:8">
      <c r="A3028" s="1">
        <v>103458</v>
      </c>
      <c r="B3028" s="1">
        <v>347189</v>
      </c>
      <c r="C3028" s="2">
        <v>41711</v>
      </c>
      <c r="D3028" s="1" t="s">
        <v>1989</v>
      </c>
      <c r="E3028" s="6">
        <v>1</v>
      </c>
      <c r="F3028" s="6" t="str">
        <f t="shared" si="94"/>
        <v>March</v>
      </c>
      <c r="G3028" s="6">
        <f t="shared" si="95"/>
        <v>11</v>
      </c>
      <c r="H3028" s="1">
        <f>SUMIF('Retal Tran Line Item'!E:E,A3028,'Retal Tran Line Item'!B:B)</f>
        <v>10</v>
      </c>
    </row>
    <row r="3029" spans="1:8">
      <c r="A3029" s="1">
        <v>103459</v>
      </c>
      <c r="B3029" s="1">
        <v>671101</v>
      </c>
      <c r="C3029" s="2">
        <v>41711</v>
      </c>
      <c r="D3029" s="1" t="s">
        <v>1994</v>
      </c>
      <c r="E3029" s="6">
        <v>2</v>
      </c>
      <c r="F3029" s="6" t="str">
        <f t="shared" si="94"/>
        <v>March</v>
      </c>
      <c r="G3029" s="6">
        <f t="shared" si="95"/>
        <v>11</v>
      </c>
      <c r="H3029" s="1">
        <f>SUMIF('Retal Tran Line Item'!E:E,A3029,'Retal Tran Line Item'!B:B)</f>
        <v>9</v>
      </c>
    </row>
    <row r="3030" spans="1:8">
      <c r="A3030" s="1">
        <v>103460</v>
      </c>
      <c r="B3030" s="1">
        <v>689877</v>
      </c>
      <c r="C3030" s="2">
        <v>41711</v>
      </c>
      <c r="D3030" s="1" t="s">
        <v>1994</v>
      </c>
      <c r="E3030" s="6">
        <v>2</v>
      </c>
      <c r="F3030" s="6" t="str">
        <f t="shared" si="94"/>
        <v>March</v>
      </c>
      <c r="G3030" s="6">
        <f t="shared" si="95"/>
        <v>11</v>
      </c>
      <c r="H3030" s="1">
        <f>SUMIF('Retal Tran Line Item'!E:E,A3030,'Retal Tran Line Item'!B:B)</f>
        <v>5</v>
      </c>
    </row>
    <row r="3031" spans="1:8">
      <c r="A3031" s="1">
        <v>103461</v>
      </c>
      <c r="B3031" s="1">
        <v>160392</v>
      </c>
      <c r="C3031" s="2">
        <v>41712</v>
      </c>
      <c r="D3031" s="1" t="s">
        <v>1989</v>
      </c>
      <c r="E3031" s="6">
        <v>1</v>
      </c>
      <c r="F3031" s="6" t="str">
        <f t="shared" si="94"/>
        <v>March</v>
      </c>
      <c r="G3031" s="6">
        <f t="shared" si="95"/>
        <v>11</v>
      </c>
      <c r="H3031" s="1">
        <f>SUMIF('Retal Tran Line Item'!E:E,A3031,'Retal Tran Line Item'!B:B)</f>
        <v>8</v>
      </c>
    </row>
    <row r="3032" spans="1:8">
      <c r="A3032" s="1">
        <v>103462</v>
      </c>
      <c r="B3032" s="1">
        <v>277310</v>
      </c>
      <c r="C3032" s="2">
        <v>41712</v>
      </c>
      <c r="D3032" s="1" t="s">
        <v>1994</v>
      </c>
      <c r="E3032" s="6">
        <v>2</v>
      </c>
      <c r="F3032" s="6" t="str">
        <f t="shared" si="94"/>
        <v>March</v>
      </c>
      <c r="G3032" s="6">
        <f t="shared" si="95"/>
        <v>11</v>
      </c>
      <c r="H3032" s="1">
        <f>SUMIF('Retal Tran Line Item'!E:E,A3032,'Retal Tran Line Item'!B:B)</f>
        <v>8</v>
      </c>
    </row>
    <row r="3033" spans="1:8">
      <c r="A3033" s="1">
        <v>103464</v>
      </c>
      <c r="B3033" s="1">
        <v>182040</v>
      </c>
      <c r="C3033" s="2">
        <v>41712</v>
      </c>
      <c r="D3033" s="1" t="s">
        <v>1989</v>
      </c>
      <c r="E3033" s="6">
        <v>1</v>
      </c>
      <c r="F3033" s="6" t="str">
        <f t="shared" si="94"/>
        <v>March</v>
      </c>
      <c r="G3033" s="6">
        <f t="shared" si="95"/>
        <v>11</v>
      </c>
      <c r="H3033" s="1">
        <f>SUMIF('Retal Tran Line Item'!E:E,A3033,'Retal Tran Line Item'!B:B)</f>
        <v>9</v>
      </c>
    </row>
    <row r="3034" spans="1:8">
      <c r="A3034" s="1">
        <v>103465</v>
      </c>
      <c r="B3034" s="1">
        <v>551950</v>
      </c>
      <c r="C3034" s="2">
        <v>41712</v>
      </c>
      <c r="D3034" s="1" t="s">
        <v>1992</v>
      </c>
      <c r="E3034" s="6">
        <v>2</v>
      </c>
      <c r="F3034" s="6" t="str">
        <f t="shared" si="94"/>
        <v>March</v>
      </c>
      <c r="G3034" s="6">
        <f t="shared" si="95"/>
        <v>11</v>
      </c>
      <c r="H3034" s="1">
        <f>SUMIF('Retal Tran Line Item'!E:E,A3034,'Retal Tran Line Item'!B:B)</f>
        <v>4</v>
      </c>
    </row>
    <row r="3035" spans="1:8">
      <c r="A3035" s="1">
        <v>103467</v>
      </c>
      <c r="B3035" s="1">
        <v>556152</v>
      </c>
      <c r="C3035" s="2">
        <v>41712</v>
      </c>
      <c r="D3035" s="1" t="s">
        <v>1993</v>
      </c>
      <c r="E3035" s="6">
        <v>2</v>
      </c>
      <c r="F3035" s="6" t="str">
        <f t="shared" si="94"/>
        <v>March</v>
      </c>
      <c r="G3035" s="6">
        <f t="shared" si="95"/>
        <v>11</v>
      </c>
      <c r="H3035" s="1">
        <f>SUMIF('Retal Tran Line Item'!E:E,A3035,'Retal Tran Line Item'!B:B)</f>
        <v>2</v>
      </c>
    </row>
    <row r="3036" spans="1:8">
      <c r="A3036" s="1">
        <v>103468</v>
      </c>
      <c r="B3036" s="1">
        <v>235720</v>
      </c>
      <c r="C3036" s="2">
        <v>41712</v>
      </c>
      <c r="D3036" s="1" t="s">
        <v>1993</v>
      </c>
      <c r="E3036" s="6">
        <v>2</v>
      </c>
      <c r="F3036" s="6" t="str">
        <f t="shared" si="94"/>
        <v>March</v>
      </c>
      <c r="G3036" s="6">
        <f t="shared" si="95"/>
        <v>11</v>
      </c>
      <c r="H3036" s="1">
        <f>SUMIF('Retal Tran Line Item'!E:E,A3036,'Retal Tran Line Item'!B:B)</f>
        <v>7</v>
      </c>
    </row>
    <row r="3037" spans="1:8">
      <c r="A3037" s="1">
        <v>103469</v>
      </c>
      <c r="B3037" s="1">
        <v>409910</v>
      </c>
      <c r="C3037" s="2">
        <v>41713</v>
      </c>
      <c r="D3037" s="1" t="s">
        <v>1992</v>
      </c>
      <c r="E3037" s="6">
        <v>1</v>
      </c>
      <c r="F3037" s="6" t="str">
        <f t="shared" si="94"/>
        <v>March</v>
      </c>
      <c r="G3037" s="6">
        <f t="shared" si="95"/>
        <v>11</v>
      </c>
      <c r="H3037" s="1">
        <f>SUMIF('Retal Tran Line Item'!E:E,A3037,'Retal Tran Line Item'!B:B)</f>
        <v>3</v>
      </c>
    </row>
    <row r="3038" spans="1:8">
      <c r="A3038" s="1">
        <v>103473</v>
      </c>
      <c r="B3038" s="1">
        <v>524667</v>
      </c>
      <c r="C3038" s="2">
        <v>41713</v>
      </c>
      <c r="D3038" s="1" t="s">
        <v>1994</v>
      </c>
      <c r="E3038" s="6">
        <v>1</v>
      </c>
      <c r="F3038" s="6" t="str">
        <f t="shared" si="94"/>
        <v>March</v>
      </c>
      <c r="G3038" s="6">
        <f t="shared" si="95"/>
        <v>11</v>
      </c>
      <c r="H3038" s="1">
        <f>SUMIF('Retal Tran Line Item'!E:E,A3038,'Retal Tran Line Item'!B:B)</f>
        <v>2</v>
      </c>
    </row>
    <row r="3039" spans="1:8">
      <c r="A3039" s="1">
        <v>103476</v>
      </c>
      <c r="B3039" s="1">
        <v>791850</v>
      </c>
      <c r="C3039" s="2">
        <v>41714</v>
      </c>
      <c r="D3039" s="1" t="s">
        <v>1994</v>
      </c>
      <c r="E3039" s="6">
        <v>1</v>
      </c>
      <c r="F3039" s="6" t="str">
        <f t="shared" si="94"/>
        <v>March</v>
      </c>
      <c r="G3039" s="6">
        <f t="shared" si="95"/>
        <v>12</v>
      </c>
      <c r="H3039" s="1">
        <f>SUMIF('Retal Tran Line Item'!E:E,A3039,'Retal Tran Line Item'!B:B)</f>
        <v>2</v>
      </c>
    </row>
    <row r="3040" spans="1:8">
      <c r="A3040" s="1">
        <v>103477</v>
      </c>
      <c r="B3040" s="1">
        <v>194680</v>
      </c>
      <c r="C3040" s="2">
        <v>41714</v>
      </c>
      <c r="D3040" s="1" t="s">
        <v>1993</v>
      </c>
      <c r="E3040" s="6">
        <v>1</v>
      </c>
      <c r="F3040" s="6" t="str">
        <f t="shared" si="94"/>
        <v>March</v>
      </c>
      <c r="G3040" s="6">
        <f t="shared" si="95"/>
        <v>12</v>
      </c>
      <c r="H3040" s="1">
        <f>SUMIF('Retal Tran Line Item'!E:E,A3040,'Retal Tran Line Item'!B:B)</f>
        <v>10</v>
      </c>
    </row>
    <row r="3041" spans="1:8">
      <c r="A3041" s="1">
        <v>103478</v>
      </c>
      <c r="B3041" s="1">
        <v>575041</v>
      </c>
      <c r="C3041" s="2">
        <v>41714</v>
      </c>
      <c r="D3041" s="1" t="s">
        <v>1994</v>
      </c>
      <c r="E3041" s="6">
        <v>2</v>
      </c>
      <c r="F3041" s="6" t="str">
        <f t="shared" si="94"/>
        <v>March</v>
      </c>
      <c r="G3041" s="6">
        <f t="shared" si="95"/>
        <v>12</v>
      </c>
      <c r="H3041" s="1">
        <f>SUMIF('Retal Tran Line Item'!E:E,A3041,'Retal Tran Line Item'!B:B)</f>
        <v>6</v>
      </c>
    </row>
    <row r="3042" spans="1:8">
      <c r="A3042" s="1">
        <v>103480</v>
      </c>
      <c r="B3042" s="1">
        <v>605188</v>
      </c>
      <c r="C3042" s="2">
        <v>41714</v>
      </c>
      <c r="D3042" s="1" t="s">
        <v>1989</v>
      </c>
      <c r="E3042" s="6">
        <v>2</v>
      </c>
      <c r="F3042" s="6" t="str">
        <f t="shared" si="94"/>
        <v>March</v>
      </c>
      <c r="G3042" s="6">
        <f t="shared" si="95"/>
        <v>12</v>
      </c>
      <c r="H3042" s="1">
        <f>SUMIF('Retal Tran Line Item'!E:E,A3042,'Retal Tran Line Item'!B:B)</f>
        <v>14</v>
      </c>
    </row>
    <row r="3043" spans="1:8">
      <c r="A3043" s="1">
        <v>103483</v>
      </c>
      <c r="B3043" s="1">
        <v>478274</v>
      </c>
      <c r="C3043" s="2">
        <v>41715</v>
      </c>
      <c r="D3043" s="1" t="s">
        <v>1993</v>
      </c>
      <c r="E3043" s="6">
        <v>1</v>
      </c>
      <c r="F3043" s="6" t="str">
        <f t="shared" si="94"/>
        <v>March</v>
      </c>
      <c r="G3043" s="6">
        <f t="shared" si="95"/>
        <v>12</v>
      </c>
      <c r="H3043" s="1">
        <f>SUMIF('Retal Tran Line Item'!E:E,A3043,'Retal Tran Line Item'!B:B)</f>
        <v>4</v>
      </c>
    </row>
    <row r="3044" spans="1:8">
      <c r="A3044" s="1">
        <v>103485</v>
      </c>
      <c r="B3044" s="1">
        <v>803700</v>
      </c>
      <c r="C3044" s="2">
        <v>41715</v>
      </c>
      <c r="D3044" s="1" t="s">
        <v>1992</v>
      </c>
      <c r="E3044" s="6">
        <v>1</v>
      </c>
      <c r="F3044" s="6" t="str">
        <f t="shared" si="94"/>
        <v>March</v>
      </c>
      <c r="G3044" s="6">
        <f t="shared" si="95"/>
        <v>12</v>
      </c>
      <c r="H3044" s="1">
        <f>SUMIF('Retal Tran Line Item'!E:E,A3044,'Retal Tran Line Item'!B:B)</f>
        <v>17</v>
      </c>
    </row>
    <row r="3045" spans="1:8">
      <c r="A3045" s="1">
        <v>103486</v>
      </c>
      <c r="B3045" s="1">
        <v>847289</v>
      </c>
      <c r="C3045" s="2">
        <v>41715</v>
      </c>
      <c r="D3045" s="1" t="s">
        <v>1992</v>
      </c>
      <c r="E3045" s="6">
        <v>1</v>
      </c>
      <c r="F3045" s="6" t="str">
        <f t="shared" si="94"/>
        <v>March</v>
      </c>
      <c r="G3045" s="6">
        <f t="shared" si="95"/>
        <v>12</v>
      </c>
      <c r="H3045" s="1">
        <f>SUMIF('Retal Tran Line Item'!E:E,A3045,'Retal Tran Line Item'!B:B)</f>
        <v>4</v>
      </c>
    </row>
    <row r="3046" spans="1:8">
      <c r="A3046" s="1">
        <v>103488</v>
      </c>
      <c r="B3046" s="1">
        <v>182040</v>
      </c>
      <c r="C3046" s="2">
        <v>41715</v>
      </c>
      <c r="D3046" s="1" t="s">
        <v>1989</v>
      </c>
      <c r="E3046" s="6">
        <v>2</v>
      </c>
      <c r="F3046" s="6" t="str">
        <f t="shared" si="94"/>
        <v>March</v>
      </c>
      <c r="G3046" s="6">
        <f t="shared" si="95"/>
        <v>12</v>
      </c>
      <c r="H3046" s="1">
        <f>SUMIF('Retal Tran Line Item'!E:E,A3046,'Retal Tran Line Item'!B:B)</f>
        <v>11</v>
      </c>
    </row>
    <row r="3047" spans="1:8">
      <c r="A3047" s="1">
        <v>103491</v>
      </c>
      <c r="B3047" s="1">
        <v>592592</v>
      </c>
      <c r="C3047" s="2">
        <v>41716</v>
      </c>
      <c r="D3047" s="1" t="s">
        <v>1993</v>
      </c>
      <c r="E3047" s="6">
        <v>2</v>
      </c>
      <c r="F3047" s="6" t="str">
        <f t="shared" si="94"/>
        <v>March</v>
      </c>
      <c r="G3047" s="6">
        <f t="shared" si="95"/>
        <v>12</v>
      </c>
      <c r="H3047" s="1">
        <f>SUMIF('Retal Tran Line Item'!E:E,A3047,'Retal Tran Line Item'!B:B)</f>
        <v>15</v>
      </c>
    </row>
    <row r="3048" spans="1:8">
      <c r="A3048" s="1">
        <v>103493</v>
      </c>
      <c r="B3048" s="1">
        <v>193914</v>
      </c>
      <c r="C3048" s="2">
        <v>41716</v>
      </c>
      <c r="D3048" s="1" t="s">
        <v>1992</v>
      </c>
      <c r="E3048" s="6">
        <v>2</v>
      </c>
      <c r="F3048" s="6" t="str">
        <f t="shared" si="94"/>
        <v>March</v>
      </c>
      <c r="G3048" s="6">
        <f t="shared" si="95"/>
        <v>12</v>
      </c>
      <c r="H3048" s="1">
        <f>SUMIF('Retal Tran Line Item'!E:E,A3048,'Retal Tran Line Item'!B:B)</f>
        <v>1</v>
      </c>
    </row>
    <row r="3049" spans="1:8">
      <c r="A3049" s="1">
        <v>103494</v>
      </c>
      <c r="B3049" s="1">
        <v>158528</v>
      </c>
      <c r="C3049" s="2">
        <v>41716</v>
      </c>
      <c r="D3049" s="1" t="s">
        <v>1993</v>
      </c>
      <c r="E3049" s="6">
        <v>1</v>
      </c>
      <c r="F3049" s="6" t="str">
        <f t="shared" si="94"/>
        <v>March</v>
      </c>
      <c r="G3049" s="6">
        <f t="shared" si="95"/>
        <v>12</v>
      </c>
      <c r="H3049" s="1">
        <f>SUMIF('Retal Tran Line Item'!E:E,A3049,'Retal Tran Line Item'!B:B)</f>
        <v>9</v>
      </c>
    </row>
    <row r="3050" spans="1:8">
      <c r="A3050" s="1">
        <v>103495</v>
      </c>
      <c r="B3050" s="1">
        <v>706884</v>
      </c>
      <c r="C3050" s="2">
        <v>41716</v>
      </c>
      <c r="D3050" s="1" t="s">
        <v>1989</v>
      </c>
      <c r="E3050" s="6">
        <v>1</v>
      </c>
      <c r="F3050" s="6" t="str">
        <f t="shared" si="94"/>
        <v>March</v>
      </c>
      <c r="G3050" s="6">
        <f t="shared" si="95"/>
        <v>12</v>
      </c>
      <c r="H3050" s="1">
        <f>SUMIF('Retal Tran Line Item'!E:E,A3050,'Retal Tran Line Item'!B:B)</f>
        <v>1</v>
      </c>
    </row>
    <row r="3051" spans="1:8">
      <c r="A3051" s="1">
        <v>103496</v>
      </c>
      <c r="B3051" s="1">
        <v>671101</v>
      </c>
      <c r="C3051" s="2">
        <v>41716</v>
      </c>
      <c r="D3051" s="1" t="s">
        <v>1994</v>
      </c>
      <c r="E3051" s="6">
        <v>2</v>
      </c>
      <c r="F3051" s="6" t="str">
        <f t="shared" si="94"/>
        <v>March</v>
      </c>
      <c r="G3051" s="6">
        <f t="shared" si="95"/>
        <v>12</v>
      </c>
      <c r="H3051" s="1">
        <f>SUMIF('Retal Tran Line Item'!E:E,A3051,'Retal Tran Line Item'!B:B)</f>
        <v>1</v>
      </c>
    </row>
    <row r="3052" spans="1:8">
      <c r="A3052" s="1">
        <v>103499</v>
      </c>
      <c r="B3052" s="1">
        <v>563500</v>
      </c>
      <c r="C3052" s="2">
        <v>41717</v>
      </c>
      <c r="D3052" s="1" t="s">
        <v>1992</v>
      </c>
      <c r="E3052" s="6">
        <v>2</v>
      </c>
      <c r="F3052" s="6" t="str">
        <f t="shared" si="94"/>
        <v>March</v>
      </c>
      <c r="G3052" s="6">
        <f t="shared" si="95"/>
        <v>12</v>
      </c>
      <c r="H3052" s="1">
        <f>SUMIF('Retal Tran Line Item'!E:E,A3052,'Retal Tran Line Item'!B:B)</f>
        <v>9</v>
      </c>
    </row>
    <row r="3053" spans="1:8">
      <c r="A3053" s="1">
        <v>103500</v>
      </c>
      <c r="B3053" s="1">
        <v>558749</v>
      </c>
      <c r="C3053" s="2">
        <v>41717</v>
      </c>
      <c r="D3053" s="1" t="s">
        <v>1992</v>
      </c>
      <c r="E3053" s="6">
        <v>1</v>
      </c>
      <c r="F3053" s="6" t="str">
        <f t="shared" si="94"/>
        <v>March</v>
      </c>
      <c r="G3053" s="6">
        <f t="shared" si="95"/>
        <v>12</v>
      </c>
      <c r="H3053" s="1">
        <f>SUMIF('Retal Tran Line Item'!E:E,A3053,'Retal Tran Line Item'!B:B)</f>
        <v>1</v>
      </c>
    </row>
    <row r="3054" spans="1:8">
      <c r="A3054" s="1">
        <v>103501</v>
      </c>
      <c r="B3054" s="1">
        <v>738357</v>
      </c>
      <c r="C3054" s="2">
        <v>41717</v>
      </c>
      <c r="D3054" s="1" t="s">
        <v>1993</v>
      </c>
      <c r="E3054" s="6">
        <v>2</v>
      </c>
      <c r="F3054" s="6" t="str">
        <f t="shared" si="94"/>
        <v>March</v>
      </c>
      <c r="G3054" s="6">
        <f t="shared" si="95"/>
        <v>12</v>
      </c>
      <c r="H3054" s="1">
        <f>SUMIF('Retal Tran Line Item'!E:E,A3054,'Retal Tran Line Item'!B:B)</f>
        <v>8</v>
      </c>
    </row>
    <row r="3055" spans="1:8">
      <c r="A3055" s="1">
        <v>103502</v>
      </c>
      <c r="B3055" s="1">
        <v>771285</v>
      </c>
      <c r="C3055" s="2">
        <v>41717</v>
      </c>
      <c r="D3055" s="1" t="s">
        <v>1993</v>
      </c>
      <c r="E3055" s="6">
        <v>1</v>
      </c>
      <c r="F3055" s="6" t="str">
        <f t="shared" si="94"/>
        <v>March</v>
      </c>
      <c r="G3055" s="6">
        <f t="shared" si="95"/>
        <v>12</v>
      </c>
      <c r="H3055" s="1">
        <f>SUMIF('Retal Tran Line Item'!E:E,A3055,'Retal Tran Line Item'!B:B)</f>
        <v>12</v>
      </c>
    </row>
    <row r="3056" spans="1:8">
      <c r="A3056" s="1">
        <v>103503</v>
      </c>
      <c r="B3056" s="1">
        <v>194680</v>
      </c>
      <c r="C3056" s="2">
        <v>41717</v>
      </c>
      <c r="D3056" s="1" t="s">
        <v>1993</v>
      </c>
      <c r="E3056" s="6">
        <v>1</v>
      </c>
      <c r="F3056" s="6" t="str">
        <f t="shared" si="94"/>
        <v>March</v>
      </c>
      <c r="G3056" s="6">
        <f t="shared" si="95"/>
        <v>12</v>
      </c>
      <c r="H3056" s="1">
        <f>SUMIF('Retal Tran Line Item'!E:E,A3056,'Retal Tran Line Item'!B:B)</f>
        <v>10</v>
      </c>
    </row>
    <row r="3057" spans="1:8">
      <c r="A3057" s="1">
        <v>103504</v>
      </c>
      <c r="B3057" s="1">
        <v>422951</v>
      </c>
      <c r="C3057" s="2">
        <v>41717</v>
      </c>
      <c r="D3057" s="1" t="s">
        <v>1994</v>
      </c>
      <c r="E3057" s="6">
        <v>1</v>
      </c>
      <c r="F3057" s="6" t="str">
        <f t="shared" si="94"/>
        <v>March</v>
      </c>
      <c r="G3057" s="6">
        <f t="shared" si="95"/>
        <v>12</v>
      </c>
      <c r="H3057" s="1">
        <f>SUMIF('Retal Tran Line Item'!E:E,A3057,'Retal Tran Line Item'!B:B)</f>
        <v>10</v>
      </c>
    </row>
    <row r="3058" spans="1:8">
      <c r="A3058" s="1">
        <v>103507</v>
      </c>
      <c r="B3058" s="1">
        <v>183797</v>
      </c>
      <c r="C3058" s="2">
        <v>41718</v>
      </c>
      <c r="D3058" s="1" t="s">
        <v>1993</v>
      </c>
      <c r="E3058" s="6">
        <v>1</v>
      </c>
      <c r="F3058" s="6" t="str">
        <f t="shared" si="94"/>
        <v>March</v>
      </c>
      <c r="G3058" s="6">
        <f t="shared" si="95"/>
        <v>12</v>
      </c>
      <c r="H3058" s="1">
        <f>SUMIF('Retal Tran Line Item'!E:E,A3058,'Retal Tran Line Item'!B:B)</f>
        <v>10</v>
      </c>
    </row>
    <row r="3059" spans="1:8">
      <c r="A3059" s="1">
        <v>103508</v>
      </c>
      <c r="B3059" s="1">
        <v>932618</v>
      </c>
      <c r="C3059" s="2">
        <v>41718</v>
      </c>
      <c r="D3059" s="1" t="s">
        <v>1993</v>
      </c>
      <c r="E3059" s="6">
        <v>1</v>
      </c>
      <c r="F3059" s="6" t="str">
        <f t="shared" si="94"/>
        <v>March</v>
      </c>
      <c r="G3059" s="6">
        <f t="shared" si="95"/>
        <v>12</v>
      </c>
      <c r="H3059" s="1">
        <f>SUMIF('Retal Tran Line Item'!E:E,A3059,'Retal Tran Line Item'!B:B)</f>
        <v>11</v>
      </c>
    </row>
    <row r="3060" spans="1:8">
      <c r="A3060" s="1">
        <v>103509</v>
      </c>
      <c r="B3060" s="1">
        <v>833180</v>
      </c>
      <c r="C3060" s="2">
        <v>41718</v>
      </c>
      <c r="D3060" s="1" t="s">
        <v>1993</v>
      </c>
      <c r="E3060" s="6">
        <v>2</v>
      </c>
      <c r="F3060" s="6" t="str">
        <f t="shared" si="94"/>
        <v>March</v>
      </c>
      <c r="G3060" s="6">
        <f t="shared" si="95"/>
        <v>12</v>
      </c>
      <c r="H3060" s="1">
        <f>SUMIF('Retal Tran Line Item'!E:E,A3060,'Retal Tran Line Item'!B:B)</f>
        <v>6</v>
      </c>
    </row>
    <row r="3061" spans="1:8">
      <c r="A3061" s="1">
        <v>103512</v>
      </c>
      <c r="B3061" s="1">
        <v>143878</v>
      </c>
      <c r="C3061" s="2">
        <v>41718</v>
      </c>
      <c r="D3061" s="1" t="s">
        <v>1992</v>
      </c>
      <c r="E3061" s="6">
        <v>1</v>
      </c>
      <c r="F3061" s="6" t="str">
        <f t="shared" si="94"/>
        <v>March</v>
      </c>
      <c r="G3061" s="6">
        <f t="shared" si="95"/>
        <v>12</v>
      </c>
      <c r="H3061" s="1">
        <f>SUMIF('Retal Tran Line Item'!E:E,A3061,'Retal Tran Line Item'!B:B)</f>
        <v>9</v>
      </c>
    </row>
    <row r="3062" spans="1:8">
      <c r="A3062" s="1">
        <v>103514</v>
      </c>
      <c r="B3062" s="1">
        <v>278809</v>
      </c>
      <c r="C3062" s="2">
        <v>41719</v>
      </c>
      <c r="D3062" s="1" t="s">
        <v>1993</v>
      </c>
      <c r="E3062" s="6">
        <v>2</v>
      </c>
      <c r="F3062" s="6" t="str">
        <f t="shared" si="94"/>
        <v>March</v>
      </c>
      <c r="G3062" s="6">
        <f t="shared" si="95"/>
        <v>12</v>
      </c>
      <c r="H3062" s="1">
        <f>SUMIF('Retal Tran Line Item'!E:E,A3062,'Retal Tran Line Item'!B:B)</f>
        <v>10</v>
      </c>
    </row>
    <row r="3063" spans="1:8">
      <c r="A3063" s="1">
        <v>103515</v>
      </c>
      <c r="B3063" s="1">
        <v>657495</v>
      </c>
      <c r="C3063" s="2">
        <v>41719</v>
      </c>
      <c r="D3063" s="1" t="s">
        <v>1994</v>
      </c>
      <c r="E3063" s="6">
        <v>2</v>
      </c>
      <c r="F3063" s="6" t="str">
        <f t="shared" si="94"/>
        <v>March</v>
      </c>
      <c r="G3063" s="6">
        <f t="shared" si="95"/>
        <v>12</v>
      </c>
      <c r="H3063" s="1">
        <f>SUMIF('Retal Tran Line Item'!E:E,A3063,'Retal Tran Line Item'!B:B)</f>
        <v>8</v>
      </c>
    </row>
    <row r="3064" spans="1:8">
      <c r="A3064" s="1">
        <v>103516</v>
      </c>
      <c r="B3064" s="1">
        <v>166612</v>
      </c>
      <c r="C3064" s="2">
        <v>41719</v>
      </c>
      <c r="D3064" s="1" t="s">
        <v>1993</v>
      </c>
      <c r="E3064" s="6">
        <v>1</v>
      </c>
      <c r="F3064" s="6" t="str">
        <f t="shared" si="94"/>
        <v>March</v>
      </c>
      <c r="G3064" s="6">
        <f t="shared" si="95"/>
        <v>12</v>
      </c>
      <c r="H3064" s="1">
        <f>SUMIF('Retal Tran Line Item'!E:E,A3064,'Retal Tran Line Item'!B:B)</f>
        <v>18</v>
      </c>
    </row>
    <row r="3065" spans="1:8">
      <c r="A3065" s="1">
        <v>103517</v>
      </c>
      <c r="B3065" s="1">
        <v>347189</v>
      </c>
      <c r="C3065" s="2">
        <v>41719</v>
      </c>
      <c r="D3065" s="1" t="s">
        <v>1989</v>
      </c>
      <c r="E3065" s="6">
        <v>1</v>
      </c>
      <c r="F3065" s="6" t="str">
        <f t="shared" si="94"/>
        <v>March</v>
      </c>
      <c r="G3065" s="6">
        <f t="shared" si="95"/>
        <v>12</v>
      </c>
      <c r="H3065" s="1">
        <f>SUMIF('Retal Tran Line Item'!E:E,A3065,'Retal Tran Line Item'!B:B)</f>
        <v>10</v>
      </c>
    </row>
    <row r="3066" spans="1:8">
      <c r="A3066" s="1">
        <v>103518</v>
      </c>
      <c r="B3066" s="1">
        <v>761615</v>
      </c>
      <c r="C3066" s="2">
        <v>41719</v>
      </c>
      <c r="D3066" s="1" t="s">
        <v>1993</v>
      </c>
      <c r="E3066" s="6">
        <v>2</v>
      </c>
      <c r="F3066" s="6" t="str">
        <f t="shared" si="94"/>
        <v>March</v>
      </c>
      <c r="G3066" s="6">
        <f t="shared" si="95"/>
        <v>12</v>
      </c>
      <c r="H3066" s="1">
        <f>SUMIF('Retal Tran Line Item'!E:E,A3066,'Retal Tran Line Item'!B:B)</f>
        <v>2</v>
      </c>
    </row>
    <row r="3067" spans="1:8">
      <c r="A3067" s="1">
        <v>103522</v>
      </c>
      <c r="B3067" s="1">
        <v>407605</v>
      </c>
      <c r="C3067" s="2">
        <v>41720</v>
      </c>
      <c r="D3067" s="1" t="s">
        <v>1994</v>
      </c>
      <c r="E3067" s="6">
        <v>1</v>
      </c>
      <c r="F3067" s="6" t="str">
        <f t="shared" si="94"/>
        <v>March</v>
      </c>
      <c r="G3067" s="6">
        <f t="shared" si="95"/>
        <v>12</v>
      </c>
      <c r="H3067" s="1">
        <f>SUMIF('Retal Tran Line Item'!E:E,A3067,'Retal Tran Line Item'!B:B)</f>
        <v>10</v>
      </c>
    </row>
    <row r="3068" spans="1:8">
      <c r="A3068" s="1">
        <v>103525</v>
      </c>
      <c r="B3068" s="1">
        <v>265133</v>
      </c>
      <c r="C3068" s="2">
        <v>41720</v>
      </c>
      <c r="D3068" s="1" t="s">
        <v>1992</v>
      </c>
      <c r="E3068" s="6">
        <v>2</v>
      </c>
      <c r="F3068" s="6" t="str">
        <f t="shared" si="94"/>
        <v>March</v>
      </c>
      <c r="G3068" s="6">
        <f t="shared" si="95"/>
        <v>12</v>
      </c>
      <c r="H3068" s="1">
        <f>SUMIF('Retal Tran Line Item'!E:E,A3068,'Retal Tran Line Item'!B:B)</f>
        <v>16</v>
      </c>
    </row>
    <row r="3069" spans="1:8">
      <c r="A3069" s="1">
        <v>103529</v>
      </c>
      <c r="B3069" s="1">
        <v>157388</v>
      </c>
      <c r="C3069" s="2">
        <v>41721</v>
      </c>
      <c r="D3069" s="1" t="s">
        <v>1989</v>
      </c>
      <c r="E3069" s="6">
        <v>2</v>
      </c>
      <c r="F3069" s="6" t="str">
        <f t="shared" si="94"/>
        <v>March</v>
      </c>
      <c r="G3069" s="6">
        <f t="shared" si="95"/>
        <v>13</v>
      </c>
      <c r="H3069" s="1">
        <f>SUMIF('Retal Tran Line Item'!E:E,A3069,'Retal Tran Line Item'!B:B)</f>
        <v>15</v>
      </c>
    </row>
    <row r="3070" spans="1:8">
      <c r="A3070" s="1">
        <v>103533</v>
      </c>
      <c r="B3070" s="1">
        <v>995599</v>
      </c>
      <c r="C3070" s="2">
        <v>41722</v>
      </c>
      <c r="D3070" s="1" t="s">
        <v>1989</v>
      </c>
      <c r="E3070" s="6">
        <v>2</v>
      </c>
      <c r="F3070" s="6" t="str">
        <f t="shared" si="94"/>
        <v>March</v>
      </c>
      <c r="G3070" s="6">
        <f t="shared" si="95"/>
        <v>13</v>
      </c>
      <c r="H3070" s="1">
        <f>SUMIF('Retal Tran Line Item'!E:E,A3070,'Retal Tran Line Item'!B:B)</f>
        <v>8</v>
      </c>
    </row>
    <row r="3071" spans="1:8">
      <c r="A3071" s="1">
        <v>103534</v>
      </c>
      <c r="B3071" s="1">
        <v>992956</v>
      </c>
      <c r="C3071" s="2">
        <v>41722</v>
      </c>
      <c r="D3071" s="1" t="s">
        <v>1992</v>
      </c>
      <c r="E3071" s="6">
        <v>2</v>
      </c>
      <c r="F3071" s="6" t="str">
        <f t="shared" si="94"/>
        <v>March</v>
      </c>
      <c r="G3071" s="6">
        <f t="shared" si="95"/>
        <v>13</v>
      </c>
      <c r="H3071" s="1">
        <f>SUMIF('Retal Tran Line Item'!E:E,A3071,'Retal Tran Line Item'!B:B)</f>
        <v>1</v>
      </c>
    </row>
    <row r="3072" spans="1:8">
      <c r="A3072" s="1">
        <v>103536</v>
      </c>
      <c r="B3072" s="1">
        <v>256181</v>
      </c>
      <c r="C3072" s="2">
        <v>41722</v>
      </c>
      <c r="D3072" s="1" t="s">
        <v>1993</v>
      </c>
      <c r="E3072" s="6">
        <v>1</v>
      </c>
      <c r="F3072" s="6" t="str">
        <f t="shared" si="94"/>
        <v>March</v>
      </c>
      <c r="G3072" s="6">
        <f t="shared" si="95"/>
        <v>13</v>
      </c>
      <c r="H3072" s="1">
        <f>SUMIF('Retal Tran Line Item'!E:E,A3072,'Retal Tran Line Item'!B:B)</f>
        <v>7</v>
      </c>
    </row>
    <row r="3073" spans="1:8">
      <c r="A3073" s="1">
        <v>103538</v>
      </c>
      <c r="B3073" s="1">
        <v>442691</v>
      </c>
      <c r="C3073" s="2">
        <v>41722</v>
      </c>
      <c r="D3073" s="1" t="s">
        <v>1992</v>
      </c>
      <c r="E3073" s="6">
        <v>1</v>
      </c>
      <c r="F3073" s="6" t="str">
        <f t="shared" si="94"/>
        <v>March</v>
      </c>
      <c r="G3073" s="6">
        <f t="shared" si="95"/>
        <v>13</v>
      </c>
      <c r="H3073" s="1">
        <f>SUMIF('Retal Tran Line Item'!E:E,A3073,'Retal Tran Line Item'!B:B)</f>
        <v>2</v>
      </c>
    </row>
    <row r="3074" spans="1:8">
      <c r="A3074" s="1">
        <v>103540</v>
      </c>
      <c r="B3074" s="1">
        <v>465275</v>
      </c>
      <c r="C3074" s="2">
        <v>41722</v>
      </c>
      <c r="D3074" s="1" t="s">
        <v>1992</v>
      </c>
      <c r="E3074" s="6">
        <v>1</v>
      </c>
      <c r="F3074" s="6" t="str">
        <f t="shared" si="94"/>
        <v>March</v>
      </c>
      <c r="G3074" s="6">
        <f t="shared" si="95"/>
        <v>13</v>
      </c>
      <c r="H3074" s="1">
        <f>SUMIF('Retal Tran Line Item'!E:E,A3074,'Retal Tran Line Item'!B:B)</f>
        <v>3</v>
      </c>
    </row>
    <row r="3075" spans="1:8">
      <c r="A3075" s="1">
        <v>103542</v>
      </c>
      <c r="B3075" s="1">
        <v>826590</v>
      </c>
      <c r="C3075" s="2">
        <v>41723</v>
      </c>
      <c r="D3075" s="1" t="s">
        <v>1992</v>
      </c>
      <c r="E3075" s="6">
        <v>1</v>
      </c>
      <c r="F3075" s="6" t="str">
        <f t="shared" ref="F3075:F3138" si="96">TEXT(C3075,"MMMM")</f>
        <v>March</v>
      </c>
      <c r="G3075" s="6">
        <f t="shared" ref="G3075:G3138" si="97">WEEKNUM(C3075)</f>
        <v>13</v>
      </c>
      <c r="H3075" s="1">
        <f>SUMIF('Retal Tran Line Item'!E:E,A3075,'Retal Tran Line Item'!B:B)</f>
        <v>4</v>
      </c>
    </row>
    <row r="3076" spans="1:8">
      <c r="A3076" s="1">
        <v>103543</v>
      </c>
      <c r="B3076" s="1">
        <v>766737</v>
      </c>
      <c r="C3076" s="2">
        <v>41723</v>
      </c>
      <c r="D3076" s="1" t="s">
        <v>1994</v>
      </c>
      <c r="E3076" s="6">
        <v>1</v>
      </c>
      <c r="F3076" s="6" t="str">
        <f t="shared" si="96"/>
        <v>March</v>
      </c>
      <c r="G3076" s="6">
        <f t="shared" si="97"/>
        <v>13</v>
      </c>
      <c r="H3076" s="1">
        <f>SUMIF('Retal Tran Line Item'!E:E,A3076,'Retal Tran Line Item'!B:B)</f>
        <v>5</v>
      </c>
    </row>
    <row r="3077" spans="1:8">
      <c r="A3077" s="1">
        <v>103545</v>
      </c>
      <c r="B3077" s="1">
        <v>111991</v>
      </c>
      <c r="C3077" s="2">
        <v>41723</v>
      </c>
      <c r="D3077" s="1" t="s">
        <v>1994</v>
      </c>
      <c r="E3077" s="6">
        <v>1</v>
      </c>
      <c r="F3077" s="6" t="str">
        <f t="shared" si="96"/>
        <v>March</v>
      </c>
      <c r="G3077" s="6">
        <f t="shared" si="97"/>
        <v>13</v>
      </c>
      <c r="H3077" s="1">
        <f>SUMIF('Retal Tran Line Item'!E:E,A3077,'Retal Tran Line Item'!B:B)</f>
        <v>10</v>
      </c>
    </row>
    <row r="3078" spans="1:8">
      <c r="A3078" s="1">
        <v>103546</v>
      </c>
      <c r="B3078" s="1">
        <v>498970</v>
      </c>
      <c r="C3078" s="2">
        <v>41723</v>
      </c>
      <c r="D3078" s="1" t="s">
        <v>1992</v>
      </c>
      <c r="E3078" s="6">
        <v>2</v>
      </c>
      <c r="F3078" s="6" t="str">
        <f t="shared" si="96"/>
        <v>March</v>
      </c>
      <c r="G3078" s="6">
        <f t="shared" si="97"/>
        <v>13</v>
      </c>
      <c r="H3078" s="1">
        <f>SUMIF('Retal Tran Line Item'!E:E,A3078,'Retal Tran Line Item'!B:B)</f>
        <v>9</v>
      </c>
    </row>
    <row r="3079" spans="1:8">
      <c r="A3079" s="1">
        <v>103548</v>
      </c>
      <c r="B3079" s="1">
        <v>537860</v>
      </c>
      <c r="C3079" s="2">
        <v>41724</v>
      </c>
      <c r="D3079" s="1" t="s">
        <v>1989</v>
      </c>
      <c r="E3079" s="6">
        <v>2</v>
      </c>
      <c r="F3079" s="6" t="str">
        <f t="shared" si="96"/>
        <v>March</v>
      </c>
      <c r="G3079" s="6">
        <f t="shared" si="97"/>
        <v>13</v>
      </c>
      <c r="H3079" s="1">
        <f>SUMIF('Retal Tran Line Item'!E:E,A3079,'Retal Tran Line Item'!B:B)</f>
        <v>15</v>
      </c>
    </row>
    <row r="3080" spans="1:8">
      <c r="A3080" s="1">
        <v>103549</v>
      </c>
      <c r="B3080" s="1">
        <v>422951</v>
      </c>
      <c r="C3080" s="2">
        <v>41724</v>
      </c>
      <c r="D3080" s="1" t="s">
        <v>1994</v>
      </c>
      <c r="E3080" s="6">
        <v>1</v>
      </c>
      <c r="F3080" s="6" t="str">
        <f t="shared" si="96"/>
        <v>March</v>
      </c>
      <c r="G3080" s="6">
        <f t="shared" si="97"/>
        <v>13</v>
      </c>
      <c r="H3080" s="1">
        <f>SUMIF('Retal Tran Line Item'!E:E,A3080,'Retal Tran Line Item'!B:B)</f>
        <v>19</v>
      </c>
    </row>
    <row r="3081" spans="1:8">
      <c r="A3081" s="1">
        <v>103550</v>
      </c>
      <c r="B3081" s="1">
        <v>245577</v>
      </c>
      <c r="C3081" s="2">
        <v>41724</v>
      </c>
      <c r="D3081" s="1" t="s">
        <v>1989</v>
      </c>
      <c r="E3081" s="6">
        <v>1</v>
      </c>
      <c r="F3081" s="6" t="str">
        <f t="shared" si="96"/>
        <v>March</v>
      </c>
      <c r="G3081" s="6">
        <f t="shared" si="97"/>
        <v>13</v>
      </c>
      <c r="H3081" s="1">
        <f>SUMIF('Retal Tran Line Item'!E:E,A3081,'Retal Tran Line Item'!B:B)</f>
        <v>10</v>
      </c>
    </row>
    <row r="3082" spans="1:8">
      <c r="A3082" s="1">
        <v>103551</v>
      </c>
      <c r="B3082" s="1">
        <v>806545</v>
      </c>
      <c r="C3082" s="2">
        <v>41724</v>
      </c>
      <c r="D3082" s="1" t="s">
        <v>1994</v>
      </c>
      <c r="E3082" s="6">
        <v>1</v>
      </c>
      <c r="F3082" s="6" t="str">
        <f t="shared" si="96"/>
        <v>March</v>
      </c>
      <c r="G3082" s="6">
        <f t="shared" si="97"/>
        <v>13</v>
      </c>
      <c r="H3082" s="1">
        <f>SUMIF('Retal Tran Line Item'!E:E,A3082,'Retal Tran Line Item'!B:B)</f>
        <v>3</v>
      </c>
    </row>
    <row r="3083" spans="1:8">
      <c r="A3083" s="1">
        <v>103552</v>
      </c>
      <c r="B3083" s="1">
        <v>651462</v>
      </c>
      <c r="C3083" s="2">
        <v>41724</v>
      </c>
      <c r="D3083" s="1" t="s">
        <v>1992</v>
      </c>
      <c r="E3083" s="6">
        <v>2</v>
      </c>
      <c r="F3083" s="6" t="str">
        <f t="shared" si="96"/>
        <v>March</v>
      </c>
      <c r="G3083" s="6">
        <f t="shared" si="97"/>
        <v>13</v>
      </c>
      <c r="H3083" s="1">
        <f>SUMIF('Retal Tran Line Item'!E:E,A3083,'Retal Tran Line Item'!B:B)</f>
        <v>2</v>
      </c>
    </row>
    <row r="3084" spans="1:8">
      <c r="A3084" s="1">
        <v>103553</v>
      </c>
      <c r="B3084" s="1">
        <v>720602</v>
      </c>
      <c r="C3084" s="2">
        <v>41724</v>
      </c>
      <c r="D3084" s="1" t="s">
        <v>1992</v>
      </c>
      <c r="E3084" s="6">
        <v>2</v>
      </c>
      <c r="F3084" s="6" t="str">
        <f t="shared" si="96"/>
        <v>March</v>
      </c>
      <c r="G3084" s="6">
        <f t="shared" si="97"/>
        <v>13</v>
      </c>
      <c r="H3084" s="1">
        <f>SUMIF('Retal Tran Line Item'!E:E,A3084,'Retal Tran Line Item'!B:B)</f>
        <v>3</v>
      </c>
    </row>
    <row r="3085" spans="1:8">
      <c r="A3085" s="1">
        <v>103554</v>
      </c>
      <c r="B3085" s="1">
        <v>193914</v>
      </c>
      <c r="C3085" s="2">
        <v>41724</v>
      </c>
      <c r="D3085" s="1" t="s">
        <v>1992</v>
      </c>
      <c r="E3085" s="6">
        <v>1</v>
      </c>
      <c r="F3085" s="6" t="str">
        <f t="shared" si="96"/>
        <v>March</v>
      </c>
      <c r="G3085" s="6">
        <f t="shared" si="97"/>
        <v>13</v>
      </c>
      <c r="H3085" s="1">
        <f>SUMIF('Retal Tran Line Item'!E:E,A3085,'Retal Tran Line Item'!B:B)</f>
        <v>18</v>
      </c>
    </row>
    <row r="3086" spans="1:8">
      <c r="A3086" s="1">
        <v>103555</v>
      </c>
      <c r="B3086" s="1">
        <v>994199</v>
      </c>
      <c r="C3086" s="2">
        <v>41724</v>
      </c>
      <c r="D3086" s="1" t="s">
        <v>1992</v>
      </c>
      <c r="E3086" s="6">
        <v>2</v>
      </c>
      <c r="F3086" s="6" t="str">
        <f t="shared" si="96"/>
        <v>March</v>
      </c>
      <c r="G3086" s="6">
        <f t="shared" si="97"/>
        <v>13</v>
      </c>
      <c r="H3086" s="1">
        <f>SUMIF('Retal Tran Line Item'!E:E,A3086,'Retal Tran Line Item'!B:B)</f>
        <v>2</v>
      </c>
    </row>
    <row r="3087" spans="1:8">
      <c r="A3087" s="1">
        <v>103556</v>
      </c>
      <c r="B3087" s="1">
        <v>789500</v>
      </c>
      <c r="C3087" s="2">
        <v>41725</v>
      </c>
      <c r="D3087" s="1" t="s">
        <v>1992</v>
      </c>
      <c r="E3087" s="6">
        <v>2</v>
      </c>
      <c r="F3087" s="6" t="str">
        <f t="shared" si="96"/>
        <v>March</v>
      </c>
      <c r="G3087" s="6">
        <f t="shared" si="97"/>
        <v>13</v>
      </c>
      <c r="H3087" s="1">
        <f>SUMIF('Retal Tran Line Item'!E:E,A3087,'Retal Tran Line Item'!B:B)</f>
        <v>4</v>
      </c>
    </row>
    <row r="3088" spans="1:8">
      <c r="A3088" s="1">
        <v>103558</v>
      </c>
      <c r="B3088" s="1">
        <v>771285</v>
      </c>
      <c r="C3088" s="2">
        <v>41725</v>
      </c>
      <c r="D3088" s="1" t="s">
        <v>1993</v>
      </c>
      <c r="E3088" s="6">
        <v>1</v>
      </c>
      <c r="F3088" s="6" t="str">
        <f t="shared" si="96"/>
        <v>March</v>
      </c>
      <c r="G3088" s="6">
        <f t="shared" si="97"/>
        <v>13</v>
      </c>
      <c r="H3088" s="1">
        <f>SUMIF('Retal Tran Line Item'!E:E,A3088,'Retal Tran Line Item'!B:B)</f>
        <v>6</v>
      </c>
    </row>
    <row r="3089" spans="1:8">
      <c r="A3089" s="1">
        <v>103561</v>
      </c>
      <c r="B3089" s="1">
        <v>800121</v>
      </c>
      <c r="C3089" s="2">
        <v>41725</v>
      </c>
      <c r="D3089" s="1" t="s">
        <v>1993</v>
      </c>
      <c r="E3089" s="6">
        <v>1</v>
      </c>
      <c r="F3089" s="6" t="str">
        <f t="shared" si="96"/>
        <v>March</v>
      </c>
      <c r="G3089" s="6">
        <f t="shared" si="97"/>
        <v>13</v>
      </c>
      <c r="H3089" s="1">
        <f>SUMIF('Retal Tran Line Item'!E:E,A3089,'Retal Tran Line Item'!B:B)</f>
        <v>4</v>
      </c>
    </row>
    <row r="3090" spans="1:8">
      <c r="A3090" s="1">
        <v>103562</v>
      </c>
      <c r="B3090" s="1">
        <v>500828</v>
      </c>
      <c r="C3090" s="2">
        <v>41725</v>
      </c>
      <c r="D3090" s="1" t="s">
        <v>1992</v>
      </c>
      <c r="E3090" s="6">
        <v>1</v>
      </c>
      <c r="F3090" s="6" t="str">
        <f t="shared" si="96"/>
        <v>March</v>
      </c>
      <c r="G3090" s="6">
        <f t="shared" si="97"/>
        <v>13</v>
      </c>
      <c r="H3090" s="1">
        <f>SUMIF('Retal Tran Line Item'!E:E,A3090,'Retal Tran Line Item'!B:B)</f>
        <v>7</v>
      </c>
    </row>
    <row r="3091" spans="1:8">
      <c r="A3091" s="1">
        <v>103565</v>
      </c>
      <c r="B3091" s="1">
        <v>999915</v>
      </c>
      <c r="C3091" s="2">
        <v>41726</v>
      </c>
      <c r="D3091" s="1" t="s">
        <v>1989</v>
      </c>
      <c r="E3091" s="6">
        <v>1</v>
      </c>
      <c r="F3091" s="6" t="str">
        <f t="shared" si="96"/>
        <v>March</v>
      </c>
      <c r="G3091" s="6">
        <f t="shared" si="97"/>
        <v>13</v>
      </c>
      <c r="H3091" s="1">
        <f>SUMIF('Retal Tran Line Item'!E:E,A3091,'Retal Tran Line Item'!B:B)</f>
        <v>9</v>
      </c>
    </row>
    <row r="3092" spans="1:8">
      <c r="A3092" s="1">
        <v>103566</v>
      </c>
      <c r="B3092" s="1">
        <v>879173</v>
      </c>
      <c r="C3092" s="2">
        <v>41726</v>
      </c>
      <c r="D3092" s="1" t="s">
        <v>1992</v>
      </c>
      <c r="E3092" s="6">
        <v>1</v>
      </c>
      <c r="F3092" s="6" t="str">
        <f t="shared" si="96"/>
        <v>March</v>
      </c>
      <c r="G3092" s="6">
        <f t="shared" si="97"/>
        <v>13</v>
      </c>
      <c r="H3092" s="1">
        <f>SUMIF('Retal Tran Line Item'!E:E,A3092,'Retal Tran Line Item'!B:B)</f>
        <v>10</v>
      </c>
    </row>
    <row r="3093" spans="1:8">
      <c r="A3093" s="1">
        <v>103567</v>
      </c>
      <c r="B3093" s="1">
        <v>973766</v>
      </c>
      <c r="C3093" s="2">
        <v>41726</v>
      </c>
      <c r="D3093" s="1" t="s">
        <v>1989</v>
      </c>
      <c r="E3093" s="6">
        <v>1</v>
      </c>
      <c r="F3093" s="6" t="str">
        <f t="shared" si="96"/>
        <v>March</v>
      </c>
      <c r="G3093" s="6">
        <f t="shared" si="97"/>
        <v>13</v>
      </c>
      <c r="H3093" s="1">
        <f>SUMIF('Retal Tran Line Item'!E:E,A3093,'Retal Tran Line Item'!B:B)</f>
        <v>9</v>
      </c>
    </row>
    <row r="3094" spans="1:8">
      <c r="A3094" s="1">
        <v>103569</v>
      </c>
      <c r="B3094" s="1">
        <v>110363</v>
      </c>
      <c r="C3094" s="2">
        <v>41726</v>
      </c>
      <c r="D3094" s="1" t="s">
        <v>1994</v>
      </c>
      <c r="E3094" s="6">
        <v>2</v>
      </c>
      <c r="F3094" s="6" t="str">
        <f t="shared" si="96"/>
        <v>March</v>
      </c>
      <c r="G3094" s="6">
        <f t="shared" si="97"/>
        <v>13</v>
      </c>
      <c r="H3094" s="1">
        <f>SUMIF('Retal Tran Line Item'!E:E,A3094,'Retal Tran Line Item'!B:B)</f>
        <v>8</v>
      </c>
    </row>
    <row r="3095" spans="1:8">
      <c r="A3095" s="1">
        <v>103570</v>
      </c>
      <c r="B3095" s="1">
        <v>524667</v>
      </c>
      <c r="C3095" s="2">
        <v>41727</v>
      </c>
      <c r="D3095" s="1" t="s">
        <v>1994</v>
      </c>
      <c r="E3095" s="6">
        <v>1</v>
      </c>
      <c r="F3095" s="6" t="str">
        <f t="shared" si="96"/>
        <v>March</v>
      </c>
      <c r="G3095" s="6">
        <f t="shared" si="97"/>
        <v>13</v>
      </c>
      <c r="H3095" s="1">
        <f>SUMIF('Retal Tran Line Item'!E:E,A3095,'Retal Tran Line Item'!B:B)</f>
        <v>4</v>
      </c>
    </row>
    <row r="3096" spans="1:8">
      <c r="A3096" s="1">
        <v>103573</v>
      </c>
      <c r="B3096" s="1">
        <v>111486</v>
      </c>
      <c r="C3096" s="2">
        <v>41727</v>
      </c>
      <c r="D3096" s="1" t="s">
        <v>1993</v>
      </c>
      <c r="E3096" s="6">
        <v>1</v>
      </c>
      <c r="F3096" s="6" t="str">
        <f t="shared" si="96"/>
        <v>March</v>
      </c>
      <c r="G3096" s="6">
        <f t="shared" si="97"/>
        <v>13</v>
      </c>
      <c r="H3096" s="1">
        <f>SUMIF('Retal Tran Line Item'!E:E,A3096,'Retal Tran Line Item'!B:B)</f>
        <v>18</v>
      </c>
    </row>
    <row r="3097" spans="1:8">
      <c r="A3097" s="1">
        <v>103575</v>
      </c>
      <c r="B3097" s="1">
        <v>616258</v>
      </c>
      <c r="C3097" s="2">
        <v>41727</v>
      </c>
      <c r="D3097" s="1" t="s">
        <v>1994</v>
      </c>
      <c r="E3097" s="6">
        <v>1</v>
      </c>
      <c r="F3097" s="6" t="str">
        <f t="shared" si="96"/>
        <v>March</v>
      </c>
      <c r="G3097" s="6">
        <f t="shared" si="97"/>
        <v>13</v>
      </c>
      <c r="H3097" s="1">
        <f>SUMIF('Retal Tran Line Item'!E:E,A3097,'Retal Tran Line Item'!B:B)</f>
        <v>10</v>
      </c>
    </row>
    <row r="3098" spans="1:8">
      <c r="A3098" s="1">
        <v>103576</v>
      </c>
      <c r="B3098" s="1">
        <v>520196</v>
      </c>
      <c r="C3098" s="2">
        <v>41727</v>
      </c>
      <c r="D3098" s="1" t="s">
        <v>1992</v>
      </c>
      <c r="E3098" s="6">
        <v>1</v>
      </c>
      <c r="F3098" s="6" t="str">
        <f t="shared" si="96"/>
        <v>March</v>
      </c>
      <c r="G3098" s="6">
        <f t="shared" si="97"/>
        <v>13</v>
      </c>
      <c r="H3098" s="1">
        <f>SUMIF('Retal Tran Line Item'!E:E,A3098,'Retal Tran Line Item'!B:B)</f>
        <v>2</v>
      </c>
    </row>
    <row r="3099" spans="1:8">
      <c r="A3099" s="1">
        <v>103578</v>
      </c>
      <c r="B3099" s="1">
        <v>964403</v>
      </c>
      <c r="C3099" s="2">
        <v>41728</v>
      </c>
      <c r="D3099" s="1" t="s">
        <v>1992</v>
      </c>
      <c r="E3099" s="6">
        <v>1</v>
      </c>
      <c r="F3099" s="6" t="str">
        <f t="shared" si="96"/>
        <v>March</v>
      </c>
      <c r="G3099" s="6">
        <f t="shared" si="97"/>
        <v>14</v>
      </c>
      <c r="H3099" s="1">
        <f>SUMIF('Retal Tran Line Item'!E:E,A3099,'Retal Tran Line Item'!B:B)</f>
        <v>2</v>
      </c>
    </row>
    <row r="3100" spans="1:8">
      <c r="A3100" s="1">
        <v>103579</v>
      </c>
      <c r="B3100" s="1">
        <v>723819</v>
      </c>
      <c r="C3100" s="2">
        <v>41728</v>
      </c>
      <c r="D3100" s="1" t="s">
        <v>1993</v>
      </c>
      <c r="E3100" s="6">
        <v>2</v>
      </c>
      <c r="F3100" s="6" t="str">
        <f t="shared" si="96"/>
        <v>March</v>
      </c>
      <c r="G3100" s="6">
        <f t="shared" si="97"/>
        <v>14</v>
      </c>
      <c r="H3100" s="1">
        <f>SUMIF('Retal Tran Line Item'!E:E,A3100,'Retal Tran Line Item'!B:B)</f>
        <v>6</v>
      </c>
    </row>
    <row r="3101" spans="1:8">
      <c r="A3101" s="1">
        <v>103580</v>
      </c>
      <c r="B3101" s="1">
        <v>482274</v>
      </c>
      <c r="C3101" s="2">
        <v>41728</v>
      </c>
      <c r="D3101" s="1" t="s">
        <v>1992</v>
      </c>
      <c r="E3101" s="6">
        <v>2</v>
      </c>
      <c r="F3101" s="6" t="str">
        <f t="shared" si="96"/>
        <v>March</v>
      </c>
      <c r="G3101" s="6">
        <f t="shared" si="97"/>
        <v>14</v>
      </c>
      <c r="H3101" s="1">
        <f>SUMIF('Retal Tran Line Item'!E:E,A3101,'Retal Tran Line Item'!B:B)</f>
        <v>10</v>
      </c>
    </row>
    <row r="3102" spans="1:8">
      <c r="A3102" s="1">
        <v>103581</v>
      </c>
      <c r="B3102" s="1">
        <v>385115</v>
      </c>
      <c r="C3102" s="2">
        <v>41728</v>
      </c>
      <c r="D3102" s="1" t="s">
        <v>1992</v>
      </c>
      <c r="E3102" s="6">
        <v>1</v>
      </c>
      <c r="F3102" s="6" t="str">
        <f t="shared" si="96"/>
        <v>March</v>
      </c>
      <c r="G3102" s="6">
        <f t="shared" si="97"/>
        <v>14</v>
      </c>
      <c r="H3102" s="1">
        <f>SUMIF('Retal Tran Line Item'!E:E,A3102,'Retal Tran Line Item'!B:B)</f>
        <v>6</v>
      </c>
    </row>
    <row r="3103" spans="1:8">
      <c r="A3103" s="1">
        <v>103583</v>
      </c>
      <c r="B3103" s="1">
        <v>230467</v>
      </c>
      <c r="C3103" s="2">
        <v>41728</v>
      </c>
      <c r="D3103" s="1" t="s">
        <v>1989</v>
      </c>
      <c r="E3103" s="6">
        <v>1</v>
      </c>
      <c r="F3103" s="6" t="str">
        <f t="shared" si="96"/>
        <v>March</v>
      </c>
      <c r="G3103" s="6">
        <f t="shared" si="97"/>
        <v>14</v>
      </c>
      <c r="H3103" s="1">
        <f>SUMIF('Retal Tran Line Item'!E:E,A3103,'Retal Tran Line Item'!B:B)</f>
        <v>5</v>
      </c>
    </row>
    <row r="3104" spans="1:8">
      <c r="A3104" s="1">
        <v>103585</v>
      </c>
      <c r="B3104" s="1">
        <v>580674</v>
      </c>
      <c r="C3104" s="2">
        <v>41729</v>
      </c>
      <c r="D3104" s="1" t="s">
        <v>1994</v>
      </c>
      <c r="E3104" s="6">
        <v>1</v>
      </c>
      <c r="F3104" s="6" t="str">
        <f t="shared" si="96"/>
        <v>March</v>
      </c>
      <c r="G3104" s="6">
        <f t="shared" si="97"/>
        <v>14</v>
      </c>
      <c r="H3104" s="1">
        <f>SUMIF('Retal Tran Line Item'!E:E,A3104,'Retal Tran Line Item'!B:B)</f>
        <v>4</v>
      </c>
    </row>
    <row r="3105" spans="1:8">
      <c r="A3105" s="1">
        <v>103586</v>
      </c>
      <c r="B3105" s="1">
        <v>624668</v>
      </c>
      <c r="C3105" s="2">
        <v>41729</v>
      </c>
      <c r="D3105" s="1" t="s">
        <v>1992</v>
      </c>
      <c r="E3105" s="6">
        <v>2</v>
      </c>
      <c r="F3105" s="6" t="str">
        <f t="shared" si="96"/>
        <v>March</v>
      </c>
      <c r="G3105" s="6">
        <f t="shared" si="97"/>
        <v>14</v>
      </c>
      <c r="H3105" s="1">
        <f>SUMIF('Retal Tran Line Item'!E:E,A3105,'Retal Tran Line Item'!B:B)</f>
        <v>8</v>
      </c>
    </row>
    <row r="3106" spans="1:8">
      <c r="A3106" s="1">
        <v>103588</v>
      </c>
      <c r="B3106" s="1">
        <v>739669</v>
      </c>
      <c r="C3106" s="2">
        <v>41729</v>
      </c>
      <c r="D3106" s="1" t="s">
        <v>1992</v>
      </c>
      <c r="E3106" s="6">
        <v>2</v>
      </c>
      <c r="F3106" s="6" t="str">
        <f t="shared" si="96"/>
        <v>March</v>
      </c>
      <c r="G3106" s="6">
        <f t="shared" si="97"/>
        <v>14</v>
      </c>
      <c r="H3106" s="1">
        <f>SUMIF('Retal Tran Line Item'!E:E,A3106,'Retal Tran Line Item'!B:B)</f>
        <v>9</v>
      </c>
    </row>
    <row r="3107" spans="1:8">
      <c r="A3107" s="1">
        <v>103590</v>
      </c>
      <c r="B3107" s="1">
        <v>306475</v>
      </c>
      <c r="C3107" s="2">
        <v>41729</v>
      </c>
      <c r="D3107" s="1" t="s">
        <v>1992</v>
      </c>
      <c r="E3107" s="6">
        <v>2</v>
      </c>
      <c r="F3107" s="6" t="str">
        <f t="shared" si="96"/>
        <v>March</v>
      </c>
      <c r="G3107" s="6">
        <f t="shared" si="97"/>
        <v>14</v>
      </c>
      <c r="H3107" s="1">
        <f>SUMIF('Retal Tran Line Item'!E:E,A3107,'Retal Tran Line Item'!B:B)</f>
        <v>7</v>
      </c>
    </row>
    <row r="3108" spans="1:8">
      <c r="A3108" s="1">
        <v>103591</v>
      </c>
      <c r="B3108" s="1">
        <v>590616</v>
      </c>
      <c r="C3108" s="2">
        <v>41730</v>
      </c>
      <c r="D3108" s="1" t="s">
        <v>1993</v>
      </c>
      <c r="E3108" s="6">
        <v>1</v>
      </c>
      <c r="F3108" s="6" t="str">
        <f t="shared" si="96"/>
        <v>April</v>
      </c>
      <c r="G3108" s="6">
        <f t="shared" si="97"/>
        <v>14</v>
      </c>
      <c r="H3108" s="1">
        <f>SUMIF('Retal Tran Line Item'!E:E,A3108,'Retal Tran Line Item'!B:B)</f>
        <v>6</v>
      </c>
    </row>
    <row r="3109" spans="1:8">
      <c r="A3109" s="1">
        <v>103592</v>
      </c>
      <c r="B3109" s="1">
        <v>964619</v>
      </c>
      <c r="C3109" s="2">
        <v>41730</v>
      </c>
      <c r="D3109" s="1" t="s">
        <v>1994</v>
      </c>
      <c r="E3109" s="6">
        <v>2</v>
      </c>
      <c r="F3109" s="6" t="str">
        <f t="shared" si="96"/>
        <v>April</v>
      </c>
      <c r="G3109" s="6">
        <f t="shared" si="97"/>
        <v>14</v>
      </c>
      <c r="H3109" s="1">
        <f>SUMIF('Retal Tran Line Item'!E:E,A3109,'Retal Tran Line Item'!B:B)</f>
        <v>6</v>
      </c>
    </row>
    <row r="3110" spans="1:8">
      <c r="A3110" s="1">
        <v>103594</v>
      </c>
      <c r="B3110" s="1">
        <v>671363</v>
      </c>
      <c r="C3110" s="2">
        <v>41730</v>
      </c>
      <c r="D3110" s="1" t="s">
        <v>1994</v>
      </c>
      <c r="E3110" s="6">
        <v>2</v>
      </c>
      <c r="F3110" s="6" t="str">
        <f t="shared" si="96"/>
        <v>April</v>
      </c>
      <c r="G3110" s="6">
        <f t="shared" si="97"/>
        <v>14</v>
      </c>
      <c r="H3110" s="1">
        <f>SUMIF('Retal Tran Line Item'!E:E,A3110,'Retal Tran Line Item'!B:B)</f>
        <v>1</v>
      </c>
    </row>
    <row r="3111" spans="1:8">
      <c r="A3111" s="1">
        <v>103599</v>
      </c>
      <c r="B3111" s="1">
        <v>363931</v>
      </c>
      <c r="C3111" s="2">
        <v>41731</v>
      </c>
      <c r="D3111" s="1" t="s">
        <v>1994</v>
      </c>
      <c r="E3111" s="6">
        <v>1</v>
      </c>
      <c r="F3111" s="6" t="str">
        <f t="shared" si="96"/>
        <v>April</v>
      </c>
      <c r="G3111" s="6">
        <f t="shared" si="97"/>
        <v>14</v>
      </c>
      <c r="H3111" s="1">
        <f>SUMIF('Retal Tran Line Item'!E:E,A3111,'Retal Tran Line Item'!B:B)</f>
        <v>3</v>
      </c>
    </row>
    <row r="3112" spans="1:8">
      <c r="A3112" s="1">
        <v>103600</v>
      </c>
      <c r="B3112" s="1">
        <v>196068</v>
      </c>
      <c r="C3112" s="2">
        <v>41731</v>
      </c>
      <c r="D3112" s="1" t="s">
        <v>1993</v>
      </c>
      <c r="E3112" s="6">
        <v>2</v>
      </c>
      <c r="F3112" s="6" t="str">
        <f t="shared" si="96"/>
        <v>April</v>
      </c>
      <c r="G3112" s="6">
        <f t="shared" si="97"/>
        <v>14</v>
      </c>
      <c r="H3112" s="1">
        <f>SUMIF('Retal Tran Line Item'!E:E,A3112,'Retal Tran Line Item'!B:B)</f>
        <v>2</v>
      </c>
    </row>
    <row r="3113" spans="1:8">
      <c r="A3113" s="1">
        <v>103601</v>
      </c>
      <c r="B3113" s="1">
        <v>815980</v>
      </c>
      <c r="C3113" s="2">
        <v>41731</v>
      </c>
      <c r="D3113" s="1" t="s">
        <v>1992</v>
      </c>
      <c r="E3113" s="6">
        <v>2</v>
      </c>
      <c r="F3113" s="6" t="str">
        <f t="shared" si="96"/>
        <v>April</v>
      </c>
      <c r="G3113" s="6">
        <f t="shared" si="97"/>
        <v>14</v>
      </c>
      <c r="H3113" s="1">
        <f>SUMIF('Retal Tran Line Item'!E:E,A3113,'Retal Tran Line Item'!B:B)</f>
        <v>1</v>
      </c>
    </row>
    <row r="3114" spans="1:8">
      <c r="A3114" s="1">
        <v>103603</v>
      </c>
      <c r="B3114" s="1">
        <v>900440</v>
      </c>
      <c r="C3114" s="2">
        <v>41731</v>
      </c>
      <c r="D3114" s="1" t="s">
        <v>1992</v>
      </c>
      <c r="E3114" s="6">
        <v>1</v>
      </c>
      <c r="F3114" s="6" t="str">
        <f t="shared" si="96"/>
        <v>April</v>
      </c>
      <c r="G3114" s="6">
        <f t="shared" si="97"/>
        <v>14</v>
      </c>
      <c r="H3114" s="1">
        <f>SUMIF('Retal Tran Line Item'!E:E,A3114,'Retal Tran Line Item'!B:B)</f>
        <v>10</v>
      </c>
    </row>
    <row r="3115" spans="1:8">
      <c r="A3115" s="1">
        <v>103604</v>
      </c>
      <c r="B3115" s="1">
        <v>690100</v>
      </c>
      <c r="C3115" s="2">
        <v>41731</v>
      </c>
      <c r="D3115" s="1" t="s">
        <v>1989</v>
      </c>
      <c r="E3115" s="6">
        <v>2</v>
      </c>
      <c r="F3115" s="6" t="str">
        <f t="shared" si="96"/>
        <v>April</v>
      </c>
      <c r="G3115" s="6">
        <f t="shared" si="97"/>
        <v>14</v>
      </c>
      <c r="H3115" s="1">
        <f>SUMIF('Retal Tran Line Item'!E:E,A3115,'Retal Tran Line Item'!B:B)</f>
        <v>8</v>
      </c>
    </row>
    <row r="3116" spans="1:8">
      <c r="A3116" s="1">
        <v>103605</v>
      </c>
      <c r="B3116" s="1">
        <v>671363</v>
      </c>
      <c r="C3116" s="2">
        <v>41731</v>
      </c>
      <c r="D3116" s="1" t="s">
        <v>1994</v>
      </c>
      <c r="E3116" s="6">
        <v>1</v>
      </c>
      <c r="F3116" s="6" t="str">
        <f t="shared" si="96"/>
        <v>April</v>
      </c>
      <c r="G3116" s="6">
        <f t="shared" si="97"/>
        <v>14</v>
      </c>
      <c r="H3116" s="1">
        <f>SUMIF('Retal Tran Line Item'!E:E,A3116,'Retal Tran Line Item'!B:B)</f>
        <v>6</v>
      </c>
    </row>
    <row r="3117" spans="1:8">
      <c r="A3117" s="1">
        <v>103606</v>
      </c>
      <c r="B3117" s="1">
        <v>517477</v>
      </c>
      <c r="C3117" s="2">
        <v>41732</v>
      </c>
      <c r="D3117" s="1" t="s">
        <v>1992</v>
      </c>
      <c r="E3117" s="6">
        <v>2</v>
      </c>
      <c r="F3117" s="6" t="str">
        <f t="shared" si="96"/>
        <v>April</v>
      </c>
      <c r="G3117" s="6">
        <f t="shared" si="97"/>
        <v>14</v>
      </c>
      <c r="H3117" s="1">
        <f>SUMIF('Retal Tran Line Item'!E:E,A3117,'Retal Tran Line Item'!B:B)</f>
        <v>1</v>
      </c>
    </row>
    <row r="3118" spans="1:8">
      <c r="A3118" s="1">
        <v>103608</v>
      </c>
      <c r="B3118" s="1">
        <v>929344</v>
      </c>
      <c r="C3118" s="2">
        <v>41732</v>
      </c>
      <c r="D3118" s="1" t="s">
        <v>1992</v>
      </c>
      <c r="E3118" s="6">
        <v>2</v>
      </c>
      <c r="F3118" s="6" t="str">
        <f t="shared" si="96"/>
        <v>April</v>
      </c>
      <c r="G3118" s="6">
        <f t="shared" si="97"/>
        <v>14</v>
      </c>
      <c r="H3118" s="1">
        <f>SUMIF('Retal Tran Line Item'!E:E,A3118,'Retal Tran Line Item'!B:B)</f>
        <v>6</v>
      </c>
    </row>
    <row r="3119" spans="1:8">
      <c r="A3119" s="1">
        <v>103609</v>
      </c>
      <c r="B3119" s="1">
        <v>646953</v>
      </c>
      <c r="C3119" s="2">
        <v>41732</v>
      </c>
      <c r="D3119" s="1" t="s">
        <v>1992</v>
      </c>
      <c r="E3119" s="6">
        <v>1</v>
      </c>
      <c r="F3119" s="6" t="str">
        <f t="shared" si="96"/>
        <v>April</v>
      </c>
      <c r="G3119" s="6">
        <f t="shared" si="97"/>
        <v>14</v>
      </c>
      <c r="H3119" s="1">
        <f>SUMIF('Retal Tran Line Item'!E:E,A3119,'Retal Tran Line Item'!B:B)</f>
        <v>7</v>
      </c>
    </row>
    <row r="3120" spans="1:8">
      <c r="A3120" s="1">
        <v>103610</v>
      </c>
      <c r="B3120" s="1">
        <v>775449</v>
      </c>
      <c r="C3120" s="2">
        <v>41732</v>
      </c>
      <c r="D3120" s="1" t="s">
        <v>1993</v>
      </c>
      <c r="E3120" s="6">
        <v>1</v>
      </c>
      <c r="F3120" s="6" t="str">
        <f t="shared" si="96"/>
        <v>April</v>
      </c>
      <c r="G3120" s="6">
        <f t="shared" si="97"/>
        <v>14</v>
      </c>
      <c r="H3120" s="1">
        <f>SUMIF('Retal Tran Line Item'!E:E,A3120,'Retal Tran Line Item'!B:B)</f>
        <v>10</v>
      </c>
    </row>
    <row r="3121" spans="1:8">
      <c r="A3121" s="1">
        <v>103611</v>
      </c>
      <c r="B3121" s="1">
        <v>784218</v>
      </c>
      <c r="C3121" s="2">
        <v>41732</v>
      </c>
      <c r="D3121" s="1" t="s">
        <v>1992</v>
      </c>
      <c r="E3121" s="6">
        <v>1</v>
      </c>
      <c r="F3121" s="6" t="str">
        <f t="shared" si="96"/>
        <v>April</v>
      </c>
      <c r="G3121" s="6">
        <f t="shared" si="97"/>
        <v>14</v>
      </c>
      <c r="H3121" s="1">
        <f>SUMIF('Retal Tran Line Item'!E:E,A3121,'Retal Tran Line Item'!B:B)</f>
        <v>11</v>
      </c>
    </row>
    <row r="3122" spans="1:8">
      <c r="A3122" s="1">
        <v>103612</v>
      </c>
      <c r="B3122" s="1">
        <v>183797</v>
      </c>
      <c r="C3122" s="2">
        <v>41732</v>
      </c>
      <c r="D3122" s="1" t="s">
        <v>1993</v>
      </c>
      <c r="E3122" s="6">
        <v>2</v>
      </c>
      <c r="F3122" s="6" t="str">
        <f t="shared" si="96"/>
        <v>April</v>
      </c>
      <c r="G3122" s="6">
        <f t="shared" si="97"/>
        <v>14</v>
      </c>
      <c r="H3122" s="1">
        <f>SUMIF('Retal Tran Line Item'!E:E,A3122,'Retal Tran Line Item'!B:B)</f>
        <v>9</v>
      </c>
    </row>
    <row r="3123" spans="1:8">
      <c r="A3123" s="1">
        <v>103613</v>
      </c>
      <c r="B3123" s="1">
        <v>643305</v>
      </c>
      <c r="C3123" s="2">
        <v>41732</v>
      </c>
      <c r="D3123" s="1" t="s">
        <v>1992</v>
      </c>
      <c r="E3123" s="6">
        <v>2</v>
      </c>
      <c r="F3123" s="6" t="str">
        <f t="shared" si="96"/>
        <v>April</v>
      </c>
      <c r="G3123" s="6">
        <f t="shared" si="97"/>
        <v>14</v>
      </c>
      <c r="H3123" s="1">
        <f>SUMIF('Retal Tran Line Item'!E:E,A3123,'Retal Tran Line Item'!B:B)</f>
        <v>1</v>
      </c>
    </row>
    <row r="3124" spans="1:8">
      <c r="A3124" s="1">
        <v>103614</v>
      </c>
      <c r="B3124" s="1">
        <v>586201</v>
      </c>
      <c r="C3124" s="2">
        <v>41733</v>
      </c>
      <c r="D3124" s="1" t="s">
        <v>1992</v>
      </c>
      <c r="E3124" s="6">
        <v>1</v>
      </c>
      <c r="F3124" s="6" t="str">
        <f t="shared" si="96"/>
        <v>April</v>
      </c>
      <c r="G3124" s="6">
        <f t="shared" si="97"/>
        <v>14</v>
      </c>
      <c r="H3124" s="1">
        <f>SUMIF('Retal Tran Line Item'!E:E,A3124,'Retal Tran Line Item'!B:B)</f>
        <v>5</v>
      </c>
    </row>
    <row r="3125" spans="1:8">
      <c r="A3125" s="1">
        <v>103615</v>
      </c>
      <c r="B3125" s="1">
        <v>103508</v>
      </c>
      <c r="C3125" s="2">
        <v>41733</v>
      </c>
      <c r="D3125" s="1" t="s">
        <v>1994</v>
      </c>
      <c r="E3125" s="6">
        <v>1</v>
      </c>
      <c r="F3125" s="6" t="str">
        <f t="shared" si="96"/>
        <v>April</v>
      </c>
      <c r="G3125" s="6">
        <f t="shared" si="97"/>
        <v>14</v>
      </c>
      <c r="H3125" s="1">
        <f>SUMIF('Retal Tran Line Item'!E:E,A3125,'Retal Tran Line Item'!B:B)</f>
        <v>3</v>
      </c>
    </row>
    <row r="3126" spans="1:8">
      <c r="A3126" s="1">
        <v>103617</v>
      </c>
      <c r="B3126" s="1">
        <v>194680</v>
      </c>
      <c r="C3126" s="2">
        <v>41733</v>
      </c>
      <c r="D3126" s="1" t="s">
        <v>1993</v>
      </c>
      <c r="E3126" s="6">
        <v>2</v>
      </c>
      <c r="F3126" s="6" t="str">
        <f t="shared" si="96"/>
        <v>April</v>
      </c>
      <c r="G3126" s="6">
        <f t="shared" si="97"/>
        <v>14</v>
      </c>
      <c r="H3126" s="1">
        <f>SUMIF('Retal Tran Line Item'!E:E,A3126,'Retal Tran Line Item'!B:B)</f>
        <v>8</v>
      </c>
    </row>
    <row r="3127" spans="1:8">
      <c r="A3127" s="1">
        <v>103619</v>
      </c>
      <c r="B3127" s="1">
        <v>701816</v>
      </c>
      <c r="C3127" s="2">
        <v>41733</v>
      </c>
      <c r="D3127" s="1" t="s">
        <v>1993</v>
      </c>
      <c r="E3127" s="6">
        <v>2</v>
      </c>
      <c r="F3127" s="6" t="str">
        <f t="shared" si="96"/>
        <v>April</v>
      </c>
      <c r="G3127" s="6">
        <f t="shared" si="97"/>
        <v>14</v>
      </c>
      <c r="H3127" s="1">
        <f>SUMIF('Retal Tran Line Item'!E:E,A3127,'Retal Tran Line Item'!B:B)</f>
        <v>2</v>
      </c>
    </row>
    <row r="3128" spans="1:8">
      <c r="A3128" s="1">
        <v>103621</v>
      </c>
      <c r="B3128" s="1">
        <v>493552</v>
      </c>
      <c r="C3128" s="2">
        <v>41733</v>
      </c>
      <c r="D3128" s="1" t="s">
        <v>1994</v>
      </c>
      <c r="E3128" s="6">
        <v>1</v>
      </c>
      <c r="F3128" s="6" t="str">
        <f t="shared" si="96"/>
        <v>April</v>
      </c>
      <c r="G3128" s="6">
        <f t="shared" si="97"/>
        <v>14</v>
      </c>
      <c r="H3128" s="1">
        <f>SUMIF('Retal Tran Line Item'!E:E,A3128,'Retal Tran Line Item'!B:B)</f>
        <v>7</v>
      </c>
    </row>
    <row r="3129" spans="1:8">
      <c r="A3129" s="1">
        <v>103623</v>
      </c>
      <c r="B3129" s="1">
        <v>207846</v>
      </c>
      <c r="C3129" s="2">
        <v>41734</v>
      </c>
      <c r="D3129" s="1" t="s">
        <v>1993</v>
      </c>
      <c r="E3129" s="6">
        <v>2</v>
      </c>
      <c r="F3129" s="6" t="str">
        <f t="shared" si="96"/>
        <v>April</v>
      </c>
      <c r="G3129" s="6">
        <f t="shared" si="97"/>
        <v>14</v>
      </c>
      <c r="H3129" s="1">
        <f>SUMIF('Retal Tran Line Item'!E:E,A3129,'Retal Tran Line Item'!B:B)</f>
        <v>17</v>
      </c>
    </row>
    <row r="3130" spans="1:8">
      <c r="A3130" s="1">
        <v>103628</v>
      </c>
      <c r="B3130" s="1">
        <v>347189</v>
      </c>
      <c r="C3130" s="2">
        <v>41734</v>
      </c>
      <c r="D3130" s="1" t="s">
        <v>1989</v>
      </c>
      <c r="E3130" s="6">
        <v>1</v>
      </c>
      <c r="F3130" s="6" t="str">
        <f t="shared" si="96"/>
        <v>April</v>
      </c>
      <c r="G3130" s="6">
        <f t="shared" si="97"/>
        <v>14</v>
      </c>
      <c r="H3130" s="1">
        <f>SUMIF('Retal Tran Line Item'!E:E,A3130,'Retal Tran Line Item'!B:B)</f>
        <v>9</v>
      </c>
    </row>
    <row r="3131" spans="1:8">
      <c r="A3131" s="1">
        <v>103629</v>
      </c>
      <c r="B3131" s="1">
        <v>775449</v>
      </c>
      <c r="C3131" s="2">
        <v>41735</v>
      </c>
      <c r="D3131" s="1" t="s">
        <v>1993</v>
      </c>
      <c r="E3131" s="6">
        <v>2</v>
      </c>
      <c r="F3131" s="6" t="str">
        <f t="shared" si="96"/>
        <v>April</v>
      </c>
      <c r="G3131" s="6">
        <f t="shared" si="97"/>
        <v>15</v>
      </c>
      <c r="H3131" s="1">
        <f>SUMIF('Retal Tran Line Item'!E:E,A3131,'Retal Tran Line Item'!B:B)</f>
        <v>11</v>
      </c>
    </row>
    <row r="3132" spans="1:8">
      <c r="A3132" s="1">
        <v>103630</v>
      </c>
      <c r="B3132" s="1">
        <v>200272</v>
      </c>
      <c r="C3132" s="2">
        <v>41735</v>
      </c>
      <c r="D3132" s="1" t="s">
        <v>1992</v>
      </c>
      <c r="E3132" s="6">
        <v>2</v>
      </c>
      <c r="F3132" s="6" t="str">
        <f t="shared" si="96"/>
        <v>April</v>
      </c>
      <c r="G3132" s="6">
        <f t="shared" si="97"/>
        <v>15</v>
      </c>
      <c r="H3132" s="1">
        <f>SUMIF('Retal Tran Line Item'!E:E,A3132,'Retal Tran Line Item'!B:B)</f>
        <v>10</v>
      </c>
    </row>
    <row r="3133" spans="1:8">
      <c r="A3133" s="1">
        <v>103631</v>
      </c>
      <c r="B3133" s="1">
        <v>111486</v>
      </c>
      <c r="C3133" s="2">
        <v>41735</v>
      </c>
      <c r="D3133" s="1" t="s">
        <v>1993</v>
      </c>
      <c r="E3133" s="6">
        <v>1</v>
      </c>
      <c r="F3133" s="6" t="str">
        <f t="shared" si="96"/>
        <v>April</v>
      </c>
      <c r="G3133" s="6">
        <f t="shared" si="97"/>
        <v>15</v>
      </c>
      <c r="H3133" s="1">
        <f>SUMIF('Retal Tran Line Item'!E:E,A3133,'Retal Tran Line Item'!B:B)</f>
        <v>1</v>
      </c>
    </row>
    <row r="3134" spans="1:8">
      <c r="A3134" s="1">
        <v>103634</v>
      </c>
      <c r="B3134" s="1">
        <v>734514</v>
      </c>
      <c r="C3134" s="2">
        <v>41735</v>
      </c>
      <c r="D3134" s="1" t="s">
        <v>1993</v>
      </c>
      <c r="E3134" s="6">
        <v>2</v>
      </c>
      <c r="F3134" s="6" t="str">
        <f t="shared" si="96"/>
        <v>April</v>
      </c>
      <c r="G3134" s="6">
        <f t="shared" si="97"/>
        <v>15</v>
      </c>
      <c r="H3134" s="1">
        <f>SUMIF('Retal Tran Line Item'!E:E,A3134,'Retal Tran Line Item'!B:B)</f>
        <v>6</v>
      </c>
    </row>
    <row r="3135" spans="1:8">
      <c r="A3135" s="1">
        <v>103636</v>
      </c>
      <c r="B3135" s="1">
        <v>417823</v>
      </c>
      <c r="C3135" s="2">
        <v>41735</v>
      </c>
      <c r="D3135" s="1" t="s">
        <v>1993</v>
      </c>
      <c r="E3135" s="6">
        <v>2</v>
      </c>
      <c r="F3135" s="6" t="str">
        <f t="shared" si="96"/>
        <v>April</v>
      </c>
      <c r="G3135" s="6">
        <f t="shared" si="97"/>
        <v>15</v>
      </c>
      <c r="H3135" s="1">
        <f>SUMIF('Retal Tran Line Item'!E:E,A3135,'Retal Tran Line Item'!B:B)</f>
        <v>18</v>
      </c>
    </row>
    <row r="3136" spans="1:8">
      <c r="A3136" s="1">
        <v>103637</v>
      </c>
      <c r="B3136" s="1">
        <v>995599</v>
      </c>
      <c r="C3136" s="2">
        <v>41736</v>
      </c>
      <c r="D3136" s="1" t="s">
        <v>1989</v>
      </c>
      <c r="E3136" s="6">
        <v>2</v>
      </c>
      <c r="F3136" s="6" t="str">
        <f t="shared" si="96"/>
        <v>April</v>
      </c>
      <c r="G3136" s="6">
        <f t="shared" si="97"/>
        <v>15</v>
      </c>
      <c r="H3136" s="1">
        <f>SUMIF('Retal Tran Line Item'!E:E,A3136,'Retal Tran Line Item'!B:B)</f>
        <v>7</v>
      </c>
    </row>
    <row r="3137" spans="1:8">
      <c r="A3137" s="1">
        <v>103638</v>
      </c>
      <c r="B3137" s="1">
        <v>679354</v>
      </c>
      <c r="C3137" s="2">
        <v>41736</v>
      </c>
      <c r="D3137" s="1" t="s">
        <v>1992</v>
      </c>
      <c r="E3137" s="6">
        <v>1</v>
      </c>
      <c r="F3137" s="6" t="str">
        <f t="shared" si="96"/>
        <v>April</v>
      </c>
      <c r="G3137" s="6">
        <f t="shared" si="97"/>
        <v>15</v>
      </c>
      <c r="H3137" s="1">
        <f>SUMIF('Retal Tran Line Item'!E:E,A3137,'Retal Tran Line Item'!B:B)</f>
        <v>1</v>
      </c>
    </row>
    <row r="3138" spans="1:8">
      <c r="A3138" s="1">
        <v>103639</v>
      </c>
      <c r="B3138" s="1">
        <v>552124</v>
      </c>
      <c r="C3138" s="2">
        <v>41736</v>
      </c>
      <c r="D3138" s="1" t="s">
        <v>1992</v>
      </c>
      <c r="E3138" s="6">
        <v>1</v>
      </c>
      <c r="F3138" s="6" t="str">
        <f t="shared" si="96"/>
        <v>April</v>
      </c>
      <c r="G3138" s="6">
        <f t="shared" si="97"/>
        <v>15</v>
      </c>
      <c r="H3138" s="1">
        <f>SUMIF('Retal Tran Line Item'!E:E,A3138,'Retal Tran Line Item'!B:B)</f>
        <v>7</v>
      </c>
    </row>
    <row r="3139" spans="1:8">
      <c r="A3139" s="1">
        <v>103643</v>
      </c>
      <c r="B3139" s="1">
        <v>676018</v>
      </c>
      <c r="C3139" s="2">
        <v>41736</v>
      </c>
      <c r="D3139" s="1" t="s">
        <v>1994</v>
      </c>
      <c r="E3139" s="6">
        <v>1</v>
      </c>
      <c r="F3139" s="6" t="str">
        <f t="shared" ref="F3139:F3202" si="98">TEXT(C3139,"MMMM")</f>
        <v>April</v>
      </c>
      <c r="G3139" s="6">
        <f t="shared" ref="G3139:G3202" si="99">WEEKNUM(C3139)</f>
        <v>15</v>
      </c>
      <c r="H3139" s="1">
        <f>SUMIF('Retal Tran Line Item'!E:E,A3139,'Retal Tran Line Item'!B:B)</f>
        <v>10</v>
      </c>
    </row>
    <row r="3140" spans="1:8">
      <c r="A3140" s="1">
        <v>103644</v>
      </c>
      <c r="B3140" s="1">
        <v>814317</v>
      </c>
      <c r="C3140" s="2">
        <v>41736</v>
      </c>
      <c r="D3140" s="1" t="s">
        <v>1994</v>
      </c>
      <c r="E3140" s="6">
        <v>2</v>
      </c>
      <c r="F3140" s="6" t="str">
        <f t="shared" si="98"/>
        <v>April</v>
      </c>
      <c r="G3140" s="6">
        <f t="shared" si="99"/>
        <v>15</v>
      </c>
      <c r="H3140" s="1">
        <f>SUMIF('Retal Tran Line Item'!E:E,A3140,'Retal Tran Line Item'!B:B)</f>
        <v>9</v>
      </c>
    </row>
    <row r="3141" spans="1:8">
      <c r="A3141" s="1">
        <v>103648</v>
      </c>
      <c r="B3141" s="1">
        <v>759995</v>
      </c>
      <c r="C3141" s="2">
        <v>41737</v>
      </c>
      <c r="D3141" s="1" t="s">
        <v>1993</v>
      </c>
      <c r="E3141" s="6">
        <v>1</v>
      </c>
      <c r="F3141" s="6" t="str">
        <f t="shared" si="98"/>
        <v>April</v>
      </c>
      <c r="G3141" s="6">
        <f t="shared" si="99"/>
        <v>15</v>
      </c>
      <c r="H3141" s="1">
        <f>SUMIF('Retal Tran Line Item'!E:E,A3141,'Retal Tran Line Item'!B:B)</f>
        <v>2</v>
      </c>
    </row>
    <row r="3142" spans="1:8">
      <c r="A3142" s="1">
        <v>103649</v>
      </c>
      <c r="B3142" s="1">
        <v>265707</v>
      </c>
      <c r="C3142" s="2">
        <v>41737</v>
      </c>
      <c r="D3142" s="1" t="s">
        <v>1994</v>
      </c>
      <c r="E3142" s="6">
        <v>1</v>
      </c>
      <c r="F3142" s="6" t="str">
        <f t="shared" si="98"/>
        <v>April</v>
      </c>
      <c r="G3142" s="6">
        <f t="shared" si="99"/>
        <v>15</v>
      </c>
      <c r="H3142" s="1">
        <f>SUMIF('Retal Tran Line Item'!E:E,A3142,'Retal Tran Line Item'!B:B)</f>
        <v>20</v>
      </c>
    </row>
    <row r="3143" spans="1:8">
      <c r="A3143" s="1">
        <v>103650</v>
      </c>
      <c r="B3143" s="1">
        <v>331115</v>
      </c>
      <c r="C3143" s="2">
        <v>41737</v>
      </c>
      <c r="D3143" s="1" t="s">
        <v>1989</v>
      </c>
      <c r="E3143" s="6">
        <v>2</v>
      </c>
      <c r="F3143" s="6" t="str">
        <f t="shared" si="98"/>
        <v>April</v>
      </c>
      <c r="G3143" s="6">
        <f t="shared" si="99"/>
        <v>15</v>
      </c>
      <c r="H3143" s="1">
        <f>SUMIF('Retal Tran Line Item'!E:E,A3143,'Retal Tran Line Item'!B:B)</f>
        <v>13</v>
      </c>
    </row>
    <row r="3144" spans="1:8">
      <c r="A3144" s="1">
        <v>103652</v>
      </c>
      <c r="B3144" s="1">
        <v>301793</v>
      </c>
      <c r="C3144" s="2">
        <v>41737</v>
      </c>
      <c r="D3144" s="1" t="s">
        <v>1989</v>
      </c>
      <c r="E3144" s="6">
        <v>2</v>
      </c>
      <c r="F3144" s="6" t="str">
        <f t="shared" si="98"/>
        <v>April</v>
      </c>
      <c r="G3144" s="6">
        <f t="shared" si="99"/>
        <v>15</v>
      </c>
      <c r="H3144" s="1">
        <f>SUMIF('Retal Tran Line Item'!E:E,A3144,'Retal Tran Line Item'!B:B)</f>
        <v>9</v>
      </c>
    </row>
    <row r="3145" spans="1:8">
      <c r="A3145" s="1">
        <v>103654</v>
      </c>
      <c r="B3145" s="1">
        <v>938417</v>
      </c>
      <c r="C3145" s="2">
        <v>41738</v>
      </c>
      <c r="D3145" s="1" t="s">
        <v>1992</v>
      </c>
      <c r="E3145" s="6">
        <v>1</v>
      </c>
      <c r="F3145" s="6" t="str">
        <f t="shared" si="98"/>
        <v>April</v>
      </c>
      <c r="G3145" s="6">
        <f t="shared" si="99"/>
        <v>15</v>
      </c>
      <c r="H3145" s="1">
        <f>SUMIF('Retal Tran Line Item'!E:E,A3145,'Retal Tran Line Item'!B:B)</f>
        <v>3</v>
      </c>
    </row>
    <row r="3146" spans="1:8">
      <c r="A3146" s="1">
        <v>103656</v>
      </c>
      <c r="B3146" s="1">
        <v>622506</v>
      </c>
      <c r="C3146" s="2">
        <v>41738</v>
      </c>
      <c r="D3146" s="1" t="s">
        <v>1993</v>
      </c>
      <c r="E3146" s="6">
        <v>2</v>
      </c>
      <c r="F3146" s="6" t="str">
        <f t="shared" si="98"/>
        <v>April</v>
      </c>
      <c r="G3146" s="6">
        <f t="shared" si="99"/>
        <v>15</v>
      </c>
      <c r="H3146" s="1">
        <f>SUMIF('Retal Tran Line Item'!E:E,A3146,'Retal Tran Line Item'!B:B)</f>
        <v>4</v>
      </c>
    </row>
    <row r="3147" spans="1:8">
      <c r="A3147" s="1">
        <v>103657</v>
      </c>
      <c r="B3147" s="1">
        <v>670707</v>
      </c>
      <c r="C3147" s="2">
        <v>41738</v>
      </c>
      <c r="D3147" s="1" t="s">
        <v>1994</v>
      </c>
      <c r="E3147" s="6">
        <v>2</v>
      </c>
      <c r="F3147" s="6" t="str">
        <f t="shared" si="98"/>
        <v>April</v>
      </c>
      <c r="G3147" s="6">
        <f t="shared" si="99"/>
        <v>15</v>
      </c>
      <c r="H3147" s="1">
        <f>SUMIF('Retal Tran Line Item'!E:E,A3147,'Retal Tran Line Item'!B:B)</f>
        <v>13</v>
      </c>
    </row>
    <row r="3148" spans="1:8">
      <c r="A3148" s="1">
        <v>103658</v>
      </c>
      <c r="B3148" s="1">
        <v>775449</v>
      </c>
      <c r="C3148" s="2">
        <v>41738</v>
      </c>
      <c r="D3148" s="1" t="s">
        <v>1993</v>
      </c>
      <c r="E3148" s="6">
        <v>2</v>
      </c>
      <c r="F3148" s="6" t="str">
        <f t="shared" si="98"/>
        <v>April</v>
      </c>
      <c r="G3148" s="6">
        <f t="shared" si="99"/>
        <v>15</v>
      </c>
      <c r="H3148" s="1">
        <f>SUMIF('Retal Tran Line Item'!E:E,A3148,'Retal Tran Line Item'!B:B)</f>
        <v>9</v>
      </c>
    </row>
    <row r="3149" spans="1:8">
      <c r="A3149" s="1">
        <v>103660</v>
      </c>
      <c r="B3149" s="1">
        <v>575041</v>
      </c>
      <c r="C3149" s="2">
        <v>41739</v>
      </c>
      <c r="D3149" s="1" t="s">
        <v>1994</v>
      </c>
      <c r="E3149" s="6">
        <v>2</v>
      </c>
      <c r="F3149" s="6" t="str">
        <f t="shared" si="98"/>
        <v>April</v>
      </c>
      <c r="G3149" s="6">
        <f t="shared" si="99"/>
        <v>15</v>
      </c>
      <c r="H3149" s="1">
        <f>SUMIF('Retal Tran Line Item'!E:E,A3149,'Retal Tran Line Item'!B:B)</f>
        <v>10</v>
      </c>
    </row>
    <row r="3150" spans="1:8">
      <c r="A3150" s="1">
        <v>103662</v>
      </c>
      <c r="B3150" s="1">
        <v>447368</v>
      </c>
      <c r="C3150" s="2">
        <v>41739</v>
      </c>
      <c r="D3150" s="1" t="s">
        <v>1993</v>
      </c>
      <c r="E3150" s="6">
        <v>2</v>
      </c>
      <c r="F3150" s="6" t="str">
        <f t="shared" si="98"/>
        <v>April</v>
      </c>
      <c r="G3150" s="6">
        <f t="shared" si="99"/>
        <v>15</v>
      </c>
      <c r="H3150" s="1">
        <f>SUMIF('Retal Tran Line Item'!E:E,A3150,'Retal Tran Line Item'!B:B)</f>
        <v>4</v>
      </c>
    </row>
    <row r="3151" spans="1:8">
      <c r="A3151" s="1">
        <v>103663</v>
      </c>
      <c r="B3151" s="1">
        <v>409910</v>
      </c>
      <c r="C3151" s="2">
        <v>41739</v>
      </c>
      <c r="D3151" s="1" t="s">
        <v>1992</v>
      </c>
      <c r="E3151" s="6">
        <v>1</v>
      </c>
      <c r="F3151" s="6" t="str">
        <f t="shared" si="98"/>
        <v>April</v>
      </c>
      <c r="G3151" s="6">
        <f t="shared" si="99"/>
        <v>15</v>
      </c>
      <c r="H3151" s="1">
        <f>SUMIF('Retal Tran Line Item'!E:E,A3151,'Retal Tran Line Item'!B:B)</f>
        <v>7</v>
      </c>
    </row>
    <row r="3152" spans="1:8">
      <c r="A3152" s="1">
        <v>103664</v>
      </c>
      <c r="B3152" s="1">
        <v>672834</v>
      </c>
      <c r="C3152" s="2">
        <v>41739</v>
      </c>
      <c r="D3152" s="1" t="s">
        <v>1993</v>
      </c>
      <c r="E3152" s="6">
        <v>1</v>
      </c>
      <c r="F3152" s="6" t="str">
        <f t="shared" si="98"/>
        <v>April</v>
      </c>
      <c r="G3152" s="6">
        <f t="shared" si="99"/>
        <v>15</v>
      </c>
      <c r="H3152" s="1">
        <f>SUMIF('Retal Tran Line Item'!E:E,A3152,'Retal Tran Line Item'!B:B)</f>
        <v>13</v>
      </c>
    </row>
    <row r="3153" spans="1:8">
      <c r="A3153" s="1">
        <v>103665</v>
      </c>
      <c r="B3153" s="1">
        <v>981529</v>
      </c>
      <c r="C3153" s="2">
        <v>41739</v>
      </c>
      <c r="D3153" s="1" t="s">
        <v>1989</v>
      </c>
      <c r="E3153" s="6">
        <v>2</v>
      </c>
      <c r="F3153" s="6" t="str">
        <f t="shared" si="98"/>
        <v>April</v>
      </c>
      <c r="G3153" s="6">
        <f t="shared" si="99"/>
        <v>15</v>
      </c>
      <c r="H3153" s="1">
        <f>SUMIF('Retal Tran Line Item'!E:E,A3153,'Retal Tran Line Item'!B:B)</f>
        <v>17</v>
      </c>
    </row>
    <row r="3154" spans="1:8">
      <c r="A3154" s="1">
        <v>103666</v>
      </c>
      <c r="B3154" s="1">
        <v>426984</v>
      </c>
      <c r="C3154" s="2">
        <v>41739</v>
      </c>
      <c r="D3154" s="1" t="s">
        <v>1992</v>
      </c>
      <c r="E3154" s="6">
        <v>2</v>
      </c>
      <c r="F3154" s="6" t="str">
        <f t="shared" si="98"/>
        <v>April</v>
      </c>
      <c r="G3154" s="6">
        <f t="shared" si="99"/>
        <v>15</v>
      </c>
      <c r="H3154" s="1">
        <f>SUMIF('Retal Tran Line Item'!E:E,A3154,'Retal Tran Line Item'!B:B)</f>
        <v>9</v>
      </c>
    </row>
    <row r="3155" spans="1:8">
      <c r="A3155" s="1">
        <v>103667</v>
      </c>
      <c r="B3155" s="1">
        <v>330223</v>
      </c>
      <c r="C3155" s="2">
        <v>41740</v>
      </c>
      <c r="D3155" s="1" t="s">
        <v>1993</v>
      </c>
      <c r="E3155" s="6">
        <v>2</v>
      </c>
      <c r="F3155" s="6" t="str">
        <f t="shared" si="98"/>
        <v>April</v>
      </c>
      <c r="G3155" s="6">
        <f t="shared" si="99"/>
        <v>15</v>
      </c>
      <c r="H3155" s="1">
        <f>SUMIF('Retal Tran Line Item'!E:E,A3155,'Retal Tran Line Item'!B:B)</f>
        <v>29</v>
      </c>
    </row>
    <row r="3156" spans="1:8">
      <c r="A3156" s="1">
        <v>103672</v>
      </c>
      <c r="B3156" s="1">
        <v>897980</v>
      </c>
      <c r="C3156" s="2">
        <v>41740</v>
      </c>
      <c r="D3156" s="1" t="s">
        <v>1993</v>
      </c>
      <c r="E3156" s="6">
        <v>2</v>
      </c>
      <c r="F3156" s="6" t="str">
        <f t="shared" si="98"/>
        <v>April</v>
      </c>
      <c r="G3156" s="6">
        <f t="shared" si="99"/>
        <v>15</v>
      </c>
      <c r="H3156" s="1">
        <f>SUMIF('Retal Tran Line Item'!E:E,A3156,'Retal Tran Line Item'!B:B)</f>
        <v>2</v>
      </c>
    </row>
    <row r="3157" spans="1:8">
      <c r="A3157" s="1">
        <v>103673</v>
      </c>
      <c r="B3157" s="1">
        <v>977759</v>
      </c>
      <c r="C3157" s="2">
        <v>41740</v>
      </c>
      <c r="D3157" s="1" t="s">
        <v>1992</v>
      </c>
      <c r="E3157" s="6">
        <v>1</v>
      </c>
      <c r="F3157" s="6" t="str">
        <f t="shared" si="98"/>
        <v>April</v>
      </c>
      <c r="G3157" s="6">
        <f t="shared" si="99"/>
        <v>15</v>
      </c>
      <c r="H3157" s="1">
        <f>SUMIF('Retal Tran Line Item'!E:E,A3157,'Retal Tran Line Item'!B:B)</f>
        <v>18</v>
      </c>
    </row>
    <row r="3158" spans="1:8">
      <c r="A3158" s="1">
        <v>103675</v>
      </c>
      <c r="B3158" s="1">
        <v>743517</v>
      </c>
      <c r="C3158" s="2">
        <v>41741</v>
      </c>
      <c r="D3158" s="1" t="s">
        <v>1994</v>
      </c>
      <c r="E3158" s="6">
        <v>1</v>
      </c>
      <c r="F3158" s="6" t="str">
        <f t="shared" si="98"/>
        <v>April</v>
      </c>
      <c r="G3158" s="6">
        <f t="shared" si="99"/>
        <v>15</v>
      </c>
      <c r="H3158" s="1">
        <f>SUMIF('Retal Tran Line Item'!E:E,A3158,'Retal Tran Line Item'!B:B)</f>
        <v>2</v>
      </c>
    </row>
    <row r="3159" spans="1:8">
      <c r="A3159" s="1">
        <v>103680</v>
      </c>
      <c r="B3159" s="1">
        <v>938417</v>
      </c>
      <c r="C3159" s="2">
        <v>41741</v>
      </c>
      <c r="D3159" s="1" t="s">
        <v>1992</v>
      </c>
      <c r="E3159" s="6">
        <v>2</v>
      </c>
      <c r="F3159" s="6" t="str">
        <f t="shared" si="98"/>
        <v>April</v>
      </c>
      <c r="G3159" s="6">
        <f t="shared" si="99"/>
        <v>15</v>
      </c>
      <c r="H3159" s="1">
        <f>SUMIF('Retal Tran Line Item'!E:E,A3159,'Retal Tran Line Item'!B:B)</f>
        <v>4</v>
      </c>
    </row>
    <row r="3160" spans="1:8">
      <c r="A3160" s="1">
        <v>103682</v>
      </c>
      <c r="B3160" s="1">
        <v>132454</v>
      </c>
      <c r="C3160" s="2">
        <v>41742</v>
      </c>
      <c r="D3160" s="1" t="s">
        <v>1992</v>
      </c>
      <c r="E3160" s="6">
        <v>2</v>
      </c>
      <c r="F3160" s="6" t="str">
        <f t="shared" si="98"/>
        <v>April</v>
      </c>
      <c r="G3160" s="6">
        <f t="shared" si="99"/>
        <v>16</v>
      </c>
      <c r="H3160" s="1">
        <f>SUMIF('Retal Tran Line Item'!E:E,A3160,'Retal Tran Line Item'!B:B)</f>
        <v>6</v>
      </c>
    </row>
    <row r="3161" spans="1:8">
      <c r="A3161" s="1">
        <v>103683</v>
      </c>
      <c r="B3161" s="1">
        <v>611848</v>
      </c>
      <c r="C3161" s="2">
        <v>41742</v>
      </c>
      <c r="D3161" s="1" t="s">
        <v>1992</v>
      </c>
      <c r="E3161" s="6">
        <v>1</v>
      </c>
      <c r="F3161" s="6" t="str">
        <f t="shared" si="98"/>
        <v>April</v>
      </c>
      <c r="G3161" s="6">
        <f t="shared" si="99"/>
        <v>16</v>
      </c>
      <c r="H3161" s="1">
        <f>SUMIF('Retal Tran Line Item'!E:E,A3161,'Retal Tran Line Item'!B:B)</f>
        <v>7</v>
      </c>
    </row>
    <row r="3162" spans="1:8">
      <c r="A3162" s="1">
        <v>103684</v>
      </c>
      <c r="B3162" s="1">
        <v>413292</v>
      </c>
      <c r="C3162" s="2">
        <v>41742</v>
      </c>
      <c r="D3162" s="1" t="s">
        <v>1993</v>
      </c>
      <c r="E3162" s="6">
        <v>2</v>
      </c>
      <c r="F3162" s="6" t="str">
        <f t="shared" si="98"/>
        <v>April</v>
      </c>
      <c r="G3162" s="6">
        <f t="shared" si="99"/>
        <v>16</v>
      </c>
      <c r="H3162" s="1">
        <f>SUMIF('Retal Tran Line Item'!E:E,A3162,'Retal Tran Line Item'!B:B)</f>
        <v>2</v>
      </c>
    </row>
    <row r="3163" spans="1:8">
      <c r="A3163" s="1">
        <v>103686</v>
      </c>
      <c r="B3163" s="1">
        <v>166135</v>
      </c>
      <c r="C3163" s="2">
        <v>41742</v>
      </c>
      <c r="D3163" s="1" t="s">
        <v>1989</v>
      </c>
      <c r="E3163" s="6">
        <v>2</v>
      </c>
      <c r="F3163" s="6" t="str">
        <f t="shared" si="98"/>
        <v>April</v>
      </c>
      <c r="G3163" s="6">
        <f t="shared" si="99"/>
        <v>16</v>
      </c>
      <c r="H3163" s="1">
        <f>SUMIF('Retal Tran Line Item'!E:E,A3163,'Retal Tran Line Item'!B:B)</f>
        <v>8</v>
      </c>
    </row>
    <row r="3164" spans="1:8">
      <c r="A3164" s="1">
        <v>103690</v>
      </c>
      <c r="B3164" s="1">
        <v>160392</v>
      </c>
      <c r="C3164" s="2">
        <v>41743</v>
      </c>
      <c r="D3164" s="1" t="s">
        <v>1989</v>
      </c>
      <c r="E3164" s="6">
        <v>2</v>
      </c>
      <c r="F3164" s="6" t="str">
        <f t="shared" si="98"/>
        <v>April</v>
      </c>
      <c r="G3164" s="6">
        <f t="shared" si="99"/>
        <v>16</v>
      </c>
      <c r="H3164" s="1">
        <f>SUMIF('Retal Tran Line Item'!E:E,A3164,'Retal Tran Line Item'!B:B)</f>
        <v>6</v>
      </c>
    </row>
    <row r="3165" spans="1:8">
      <c r="A3165" s="1">
        <v>103691</v>
      </c>
      <c r="B3165" s="1">
        <v>193914</v>
      </c>
      <c r="C3165" s="2">
        <v>41743</v>
      </c>
      <c r="D3165" s="1" t="s">
        <v>1992</v>
      </c>
      <c r="E3165" s="6">
        <v>2</v>
      </c>
      <c r="F3165" s="6" t="str">
        <f t="shared" si="98"/>
        <v>April</v>
      </c>
      <c r="G3165" s="6">
        <f t="shared" si="99"/>
        <v>16</v>
      </c>
      <c r="H3165" s="1">
        <f>SUMIF('Retal Tran Line Item'!E:E,A3165,'Retal Tran Line Item'!B:B)</f>
        <v>13</v>
      </c>
    </row>
    <row r="3166" spans="1:8">
      <c r="A3166" s="1">
        <v>103692</v>
      </c>
      <c r="B3166" s="1">
        <v>418506</v>
      </c>
      <c r="C3166" s="2">
        <v>41743</v>
      </c>
      <c r="D3166" s="1" t="s">
        <v>1992</v>
      </c>
      <c r="E3166" s="6">
        <v>2</v>
      </c>
      <c r="F3166" s="6" t="str">
        <f t="shared" si="98"/>
        <v>April</v>
      </c>
      <c r="G3166" s="6">
        <f t="shared" si="99"/>
        <v>16</v>
      </c>
      <c r="H3166" s="1">
        <f>SUMIF('Retal Tran Line Item'!E:E,A3166,'Retal Tran Line Item'!B:B)</f>
        <v>3</v>
      </c>
    </row>
    <row r="3167" spans="1:8">
      <c r="A3167" s="1">
        <v>103695</v>
      </c>
      <c r="B3167" s="1">
        <v>892883</v>
      </c>
      <c r="C3167" s="2">
        <v>41743</v>
      </c>
      <c r="D3167" s="1" t="s">
        <v>1992</v>
      </c>
      <c r="E3167" s="6">
        <v>1</v>
      </c>
      <c r="F3167" s="6" t="str">
        <f t="shared" si="98"/>
        <v>April</v>
      </c>
      <c r="G3167" s="6">
        <f t="shared" si="99"/>
        <v>16</v>
      </c>
      <c r="H3167" s="1">
        <f>SUMIF('Retal Tran Line Item'!E:E,A3167,'Retal Tran Line Item'!B:B)</f>
        <v>9</v>
      </c>
    </row>
    <row r="3168" spans="1:8">
      <c r="A3168" s="1">
        <v>103696</v>
      </c>
      <c r="B3168" s="1">
        <v>346006</v>
      </c>
      <c r="C3168" s="2">
        <v>41743</v>
      </c>
      <c r="D3168" s="1" t="s">
        <v>1989</v>
      </c>
      <c r="E3168" s="6">
        <v>2</v>
      </c>
      <c r="F3168" s="6" t="str">
        <f t="shared" si="98"/>
        <v>April</v>
      </c>
      <c r="G3168" s="6">
        <f t="shared" si="99"/>
        <v>16</v>
      </c>
      <c r="H3168" s="1">
        <f>SUMIF('Retal Tran Line Item'!E:E,A3168,'Retal Tran Line Item'!B:B)</f>
        <v>2</v>
      </c>
    </row>
    <row r="3169" spans="1:8">
      <c r="A3169" s="1">
        <v>103697</v>
      </c>
      <c r="B3169" s="1">
        <v>158528</v>
      </c>
      <c r="C3169" s="2">
        <v>41744</v>
      </c>
      <c r="D3169" s="1" t="s">
        <v>1993</v>
      </c>
      <c r="E3169" s="6">
        <v>2</v>
      </c>
      <c r="F3169" s="6" t="str">
        <f t="shared" si="98"/>
        <v>April</v>
      </c>
      <c r="G3169" s="6">
        <f t="shared" si="99"/>
        <v>16</v>
      </c>
      <c r="H3169" s="1">
        <f>SUMIF('Retal Tran Line Item'!E:E,A3169,'Retal Tran Line Item'!B:B)</f>
        <v>4</v>
      </c>
    </row>
    <row r="3170" spans="1:8">
      <c r="A3170" s="1">
        <v>103699</v>
      </c>
      <c r="B3170" s="1">
        <v>190721</v>
      </c>
      <c r="C3170" s="2">
        <v>41744</v>
      </c>
      <c r="D3170" s="1" t="s">
        <v>1993</v>
      </c>
      <c r="E3170" s="6">
        <v>2</v>
      </c>
      <c r="F3170" s="6" t="str">
        <f t="shared" si="98"/>
        <v>April</v>
      </c>
      <c r="G3170" s="6">
        <f t="shared" si="99"/>
        <v>16</v>
      </c>
      <c r="H3170" s="1">
        <f>SUMIF('Retal Tran Line Item'!E:E,A3170,'Retal Tran Line Item'!B:B)</f>
        <v>6</v>
      </c>
    </row>
    <row r="3171" spans="1:8">
      <c r="A3171" s="1">
        <v>103700</v>
      </c>
      <c r="B3171" s="1">
        <v>393120</v>
      </c>
      <c r="C3171" s="2">
        <v>41744</v>
      </c>
      <c r="D3171" s="1" t="s">
        <v>1993</v>
      </c>
      <c r="E3171" s="6">
        <v>2</v>
      </c>
      <c r="F3171" s="6" t="str">
        <f t="shared" si="98"/>
        <v>April</v>
      </c>
      <c r="G3171" s="6">
        <f t="shared" si="99"/>
        <v>16</v>
      </c>
      <c r="H3171" s="1">
        <f>SUMIF('Retal Tran Line Item'!E:E,A3171,'Retal Tran Line Item'!B:B)</f>
        <v>15</v>
      </c>
    </row>
    <row r="3172" spans="1:8">
      <c r="A3172" s="1">
        <v>103701</v>
      </c>
      <c r="B3172" s="1">
        <v>245577</v>
      </c>
      <c r="C3172" s="2">
        <v>41744</v>
      </c>
      <c r="D3172" s="1" t="s">
        <v>1989</v>
      </c>
      <c r="E3172" s="6">
        <v>2</v>
      </c>
      <c r="F3172" s="6" t="str">
        <f t="shared" si="98"/>
        <v>April</v>
      </c>
      <c r="G3172" s="6">
        <f t="shared" si="99"/>
        <v>16</v>
      </c>
      <c r="H3172" s="1">
        <f>SUMIF('Retal Tran Line Item'!E:E,A3172,'Retal Tran Line Item'!B:B)</f>
        <v>21</v>
      </c>
    </row>
    <row r="3173" spans="1:8">
      <c r="A3173" s="1">
        <v>103703</v>
      </c>
      <c r="B3173" s="1">
        <v>265707</v>
      </c>
      <c r="C3173" s="2">
        <v>41744</v>
      </c>
      <c r="D3173" s="1" t="s">
        <v>1994</v>
      </c>
      <c r="E3173" s="6">
        <v>2</v>
      </c>
      <c r="F3173" s="6" t="str">
        <f t="shared" si="98"/>
        <v>April</v>
      </c>
      <c r="G3173" s="6">
        <f t="shared" si="99"/>
        <v>16</v>
      </c>
      <c r="H3173" s="1">
        <f>SUMIF('Retal Tran Line Item'!E:E,A3173,'Retal Tran Line Item'!B:B)</f>
        <v>4</v>
      </c>
    </row>
    <row r="3174" spans="1:8">
      <c r="A3174" s="1">
        <v>103704</v>
      </c>
      <c r="B3174" s="1">
        <v>404678</v>
      </c>
      <c r="C3174" s="2">
        <v>41745</v>
      </c>
      <c r="D3174" s="1" t="s">
        <v>1993</v>
      </c>
      <c r="E3174" s="6">
        <v>2</v>
      </c>
      <c r="F3174" s="6" t="str">
        <f t="shared" si="98"/>
        <v>April</v>
      </c>
      <c r="G3174" s="6">
        <f t="shared" si="99"/>
        <v>16</v>
      </c>
      <c r="H3174" s="1">
        <f>SUMIF('Retal Tran Line Item'!E:E,A3174,'Retal Tran Line Item'!B:B)</f>
        <v>8</v>
      </c>
    </row>
    <row r="3175" spans="1:8">
      <c r="A3175" s="1">
        <v>103705</v>
      </c>
      <c r="B3175" s="1">
        <v>643305</v>
      </c>
      <c r="C3175" s="2">
        <v>41745</v>
      </c>
      <c r="D3175" s="1" t="s">
        <v>1992</v>
      </c>
      <c r="E3175" s="6">
        <v>1</v>
      </c>
      <c r="F3175" s="6" t="str">
        <f t="shared" si="98"/>
        <v>April</v>
      </c>
      <c r="G3175" s="6">
        <f t="shared" si="99"/>
        <v>16</v>
      </c>
      <c r="H3175" s="1">
        <f>SUMIF('Retal Tran Line Item'!E:E,A3175,'Retal Tran Line Item'!B:B)</f>
        <v>2</v>
      </c>
    </row>
    <row r="3176" spans="1:8">
      <c r="A3176" s="1">
        <v>103708</v>
      </c>
      <c r="B3176" s="1">
        <v>507743</v>
      </c>
      <c r="C3176" s="2">
        <v>41745</v>
      </c>
      <c r="D3176" s="1" t="s">
        <v>1993</v>
      </c>
      <c r="E3176" s="6">
        <v>1</v>
      </c>
      <c r="F3176" s="6" t="str">
        <f t="shared" si="98"/>
        <v>April</v>
      </c>
      <c r="G3176" s="6">
        <f t="shared" si="99"/>
        <v>16</v>
      </c>
      <c r="H3176" s="1">
        <f>SUMIF('Retal Tran Line Item'!E:E,A3176,'Retal Tran Line Item'!B:B)</f>
        <v>8</v>
      </c>
    </row>
    <row r="3177" spans="1:8">
      <c r="A3177" s="1">
        <v>103709</v>
      </c>
      <c r="B3177" s="1">
        <v>618955</v>
      </c>
      <c r="C3177" s="2">
        <v>41745</v>
      </c>
      <c r="D3177" s="1" t="s">
        <v>1992</v>
      </c>
      <c r="E3177" s="6">
        <v>1</v>
      </c>
      <c r="F3177" s="6" t="str">
        <f t="shared" si="98"/>
        <v>April</v>
      </c>
      <c r="G3177" s="6">
        <f t="shared" si="99"/>
        <v>16</v>
      </c>
      <c r="H3177" s="1">
        <f>SUMIF('Retal Tran Line Item'!E:E,A3177,'Retal Tran Line Item'!B:B)</f>
        <v>4</v>
      </c>
    </row>
    <row r="3178" spans="1:8">
      <c r="A3178" s="1">
        <v>103710</v>
      </c>
      <c r="B3178" s="1">
        <v>929344</v>
      </c>
      <c r="C3178" s="2">
        <v>41745</v>
      </c>
      <c r="D3178" s="1" t="s">
        <v>1992</v>
      </c>
      <c r="E3178" s="6">
        <v>1</v>
      </c>
      <c r="F3178" s="6" t="str">
        <f t="shared" si="98"/>
        <v>April</v>
      </c>
      <c r="G3178" s="6">
        <f t="shared" si="99"/>
        <v>16</v>
      </c>
      <c r="H3178" s="1">
        <f>SUMIF('Retal Tran Line Item'!E:E,A3178,'Retal Tran Line Item'!B:B)</f>
        <v>8</v>
      </c>
    </row>
    <row r="3179" spans="1:8">
      <c r="A3179" s="1">
        <v>103711</v>
      </c>
      <c r="B3179" s="1">
        <v>240205</v>
      </c>
      <c r="C3179" s="2">
        <v>41745</v>
      </c>
      <c r="D3179" s="1" t="s">
        <v>1992</v>
      </c>
      <c r="E3179" s="6">
        <v>1</v>
      </c>
      <c r="F3179" s="6" t="str">
        <f t="shared" si="98"/>
        <v>April</v>
      </c>
      <c r="G3179" s="6">
        <f t="shared" si="99"/>
        <v>16</v>
      </c>
      <c r="H3179" s="1">
        <f>SUMIF('Retal Tran Line Item'!E:E,A3179,'Retal Tran Line Item'!B:B)</f>
        <v>9</v>
      </c>
    </row>
    <row r="3180" spans="1:8">
      <c r="A3180" s="1">
        <v>103712</v>
      </c>
      <c r="B3180" s="1">
        <v>911171</v>
      </c>
      <c r="C3180" s="2">
        <v>41746</v>
      </c>
      <c r="D3180" s="1" t="s">
        <v>1992</v>
      </c>
      <c r="E3180" s="6">
        <v>1</v>
      </c>
      <c r="F3180" s="6" t="str">
        <f t="shared" si="98"/>
        <v>April</v>
      </c>
      <c r="G3180" s="6">
        <f t="shared" si="99"/>
        <v>16</v>
      </c>
      <c r="H3180" s="1">
        <f>SUMIF('Retal Tran Line Item'!E:E,A3180,'Retal Tran Line Item'!B:B)</f>
        <v>11</v>
      </c>
    </row>
    <row r="3181" spans="1:8">
      <c r="A3181" s="1">
        <v>103713</v>
      </c>
      <c r="B3181" s="1">
        <v>547890</v>
      </c>
      <c r="C3181" s="2">
        <v>41746</v>
      </c>
      <c r="D3181" s="1" t="s">
        <v>1993</v>
      </c>
      <c r="E3181" s="6">
        <v>2</v>
      </c>
      <c r="F3181" s="6" t="str">
        <f t="shared" si="98"/>
        <v>April</v>
      </c>
      <c r="G3181" s="6">
        <f t="shared" si="99"/>
        <v>16</v>
      </c>
      <c r="H3181" s="1">
        <f>SUMIF('Retal Tran Line Item'!E:E,A3181,'Retal Tran Line Item'!B:B)</f>
        <v>4</v>
      </c>
    </row>
    <row r="3182" spans="1:8">
      <c r="A3182" s="1">
        <v>103716</v>
      </c>
      <c r="B3182" s="1">
        <v>818287</v>
      </c>
      <c r="C3182" s="2">
        <v>41746</v>
      </c>
      <c r="D3182" s="1" t="s">
        <v>1994</v>
      </c>
      <c r="E3182" s="6">
        <v>2</v>
      </c>
      <c r="F3182" s="6" t="str">
        <f t="shared" si="98"/>
        <v>April</v>
      </c>
      <c r="G3182" s="6">
        <f t="shared" si="99"/>
        <v>16</v>
      </c>
      <c r="H3182" s="1">
        <f>SUMIF('Retal Tran Line Item'!E:E,A3182,'Retal Tran Line Item'!B:B)</f>
        <v>3</v>
      </c>
    </row>
    <row r="3183" spans="1:8">
      <c r="A3183" s="1">
        <v>103717</v>
      </c>
      <c r="B3183" s="1">
        <v>908328</v>
      </c>
      <c r="C3183" s="2">
        <v>41746</v>
      </c>
      <c r="D3183" s="1" t="s">
        <v>1992</v>
      </c>
      <c r="E3183" s="6">
        <v>2</v>
      </c>
      <c r="F3183" s="6" t="str">
        <f t="shared" si="98"/>
        <v>April</v>
      </c>
      <c r="G3183" s="6">
        <f t="shared" si="99"/>
        <v>16</v>
      </c>
      <c r="H3183" s="1">
        <f>SUMIF('Retal Tran Line Item'!E:E,A3183,'Retal Tran Line Item'!B:B)</f>
        <v>9</v>
      </c>
    </row>
    <row r="3184" spans="1:8">
      <c r="A3184" s="1">
        <v>103719</v>
      </c>
      <c r="B3184" s="1">
        <v>890497</v>
      </c>
      <c r="C3184" s="2">
        <v>41747</v>
      </c>
      <c r="D3184" s="1" t="s">
        <v>1992</v>
      </c>
      <c r="E3184" s="6">
        <v>1</v>
      </c>
      <c r="F3184" s="6" t="str">
        <f t="shared" si="98"/>
        <v>April</v>
      </c>
      <c r="G3184" s="6">
        <f t="shared" si="99"/>
        <v>16</v>
      </c>
      <c r="H3184" s="1">
        <f>SUMIF('Retal Tran Line Item'!E:E,A3184,'Retal Tran Line Item'!B:B)</f>
        <v>6</v>
      </c>
    </row>
    <row r="3185" spans="1:8">
      <c r="A3185" s="1">
        <v>103720</v>
      </c>
      <c r="B3185" s="1">
        <v>441628</v>
      </c>
      <c r="C3185" s="2">
        <v>41747</v>
      </c>
      <c r="D3185" s="1" t="s">
        <v>1989</v>
      </c>
      <c r="E3185" s="6">
        <v>2</v>
      </c>
      <c r="F3185" s="6" t="str">
        <f t="shared" si="98"/>
        <v>April</v>
      </c>
      <c r="G3185" s="6">
        <f t="shared" si="99"/>
        <v>16</v>
      </c>
      <c r="H3185" s="1">
        <f>SUMIF('Retal Tran Line Item'!E:E,A3185,'Retal Tran Line Item'!B:B)</f>
        <v>8</v>
      </c>
    </row>
    <row r="3186" spans="1:8">
      <c r="A3186" s="1">
        <v>103721</v>
      </c>
      <c r="B3186" s="1">
        <v>938417</v>
      </c>
      <c r="C3186" s="2">
        <v>41747</v>
      </c>
      <c r="D3186" s="1" t="s">
        <v>1992</v>
      </c>
      <c r="E3186" s="6">
        <v>1</v>
      </c>
      <c r="F3186" s="6" t="str">
        <f t="shared" si="98"/>
        <v>April</v>
      </c>
      <c r="G3186" s="6">
        <f t="shared" si="99"/>
        <v>16</v>
      </c>
      <c r="H3186" s="1">
        <f>SUMIF('Retal Tran Line Item'!E:E,A3186,'Retal Tran Line Item'!B:B)</f>
        <v>4</v>
      </c>
    </row>
    <row r="3187" spans="1:8">
      <c r="A3187" s="1">
        <v>103722</v>
      </c>
      <c r="B3187" s="1">
        <v>585972</v>
      </c>
      <c r="C3187" s="2">
        <v>41747</v>
      </c>
      <c r="D3187" s="1" t="s">
        <v>1993</v>
      </c>
      <c r="E3187" s="6">
        <v>2</v>
      </c>
      <c r="F3187" s="6" t="str">
        <f t="shared" si="98"/>
        <v>April</v>
      </c>
      <c r="G3187" s="6">
        <f t="shared" si="99"/>
        <v>16</v>
      </c>
      <c r="H3187" s="1">
        <f>SUMIF('Retal Tran Line Item'!E:E,A3187,'Retal Tran Line Item'!B:B)</f>
        <v>5</v>
      </c>
    </row>
    <row r="3188" spans="1:8">
      <c r="A3188" s="1">
        <v>103723</v>
      </c>
      <c r="B3188" s="1">
        <v>306475</v>
      </c>
      <c r="C3188" s="2">
        <v>41747</v>
      </c>
      <c r="D3188" s="1" t="s">
        <v>1992</v>
      </c>
      <c r="E3188" s="6">
        <v>2</v>
      </c>
      <c r="F3188" s="6" t="str">
        <f t="shared" si="98"/>
        <v>April</v>
      </c>
      <c r="G3188" s="6">
        <f t="shared" si="99"/>
        <v>16</v>
      </c>
      <c r="H3188" s="1">
        <f>SUMIF('Retal Tran Line Item'!E:E,A3188,'Retal Tran Line Item'!B:B)</f>
        <v>6</v>
      </c>
    </row>
    <row r="3189" spans="1:8">
      <c r="A3189" s="1">
        <v>103724</v>
      </c>
      <c r="B3189" s="1">
        <v>765237</v>
      </c>
      <c r="C3189" s="2">
        <v>41748</v>
      </c>
      <c r="D3189" s="1" t="s">
        <v>1992</v>
      </c>
      <c r="E3189" s="6">
        <v>2</v>
      </c>
      <c r="F3189" s="6" t="str">
        <f t="shared" si="98"/>
        <v>April</v>
      </c>
      <c r="G3189" s="6">
        <f t="shared" si="99"/>
        <v>16</v>
      </c>
      <c r="H3189" s="1">
        <f>SUMIF('Retal Tran Line Item'!E:E,A3189,'Retal Tran Line Item'!B:B)</f>
        <v>3</v>
      </c>
    </row>
    <row r="3190" spans="1:8">
      <c r="A3190" s="1">
        <v>103725</v>
      </c>
      <c r="B3190" s="1">
        <v>808421</v>
      </c>
      <c r="C3190" s="2">
        <v>41748</v>
      </c>
      <c r="D3190" s="1" t="s">
        <v>1989</v>
      </c>
      <c r="E3190" s="6">
        <v>2</v>
      </c>
      <c r="F3190" s="6" t="str">
        <f t="shared" si="98"/>
        <v>April</v>
      </c>
      <c r="G3190" s="6">
        <f t="shared" si="99"/>
        <v>16</v>
      </c>
      <c r="H3190" s="1">
        <f>SUMIF('Retal Tran Line Item'!E:E,A3190,'Retal Tran Line Item'!B:B)</f>
        <v>6</v>
      </c>
    </row>
    <row r="3191" spans="1:8">
      <c r="A3191" s="1">
        <v>103726</v>
      </c>
      <c r="B3191" s="1">
        <v>266633</v>
      </c>
      <c r="C3191" s="2">
        <v>41748</v>
      </c>
      <c r="D3191" s="1" t="s">
        <v>1992</v>
      </c>
      <c r="E3191" s="6">
        <v>2</v>
      </c>
      <c r="F3191" s="6" t="str">
        <f t="shared" si="98"/>
        <v>April</v>
      </c>
      <c r="G3191" s="6">
        <f t="shared" si="99"/>
        <v>16</v>
      </c>
      <c r="H3191" s="1">
        <f>SUMIF('Retal Tran Line Item'!E:E,A3191,'Retal Tran Line Item'!B:B)</f>
        <v>19</v>
      </c>
    </row>
    <row r="3192" spans="1:8">
      <c r="A3192" s="1">
        <v>103727</v>
      </c>
      <c r="B3192" s="1">
        <v>357579</v>
      </c>
      <c r="C3192" s="2">
        <v>41748</v>
      </c>
      <c r="D3192" s="1" t="s">
        <v>1994</v>
      </c>
      <c r="E3192" s="6">
        <v>1</v>
      </c>
      <c r="F3192" s="6" t="str">
        <f t="shared" si="98"/>
        <v>April</v>
      </c>
      <c r="G3192" s="6">
        <f t="shared" si="99"/>
        <v>16</v>
      </c>
      <c r="H3192" s="1">
        <f>SUMIF('Retal Tran Line Item'!E:E,A3192,'Retal Tran Line Item'!B:B)</f>
        <v>1</v>
      </c>
    </row>
    <row r="3193" spans="1:8">
      <c r="A3193" s="1">
        <v>103728</v>
      </c>
      <c r="B3193" s="1">
        <v>651462</v>
      </c>
      <c r="C3193" s="2">
        <v>41748</v>
      </c>
      <c r="D3193" s="1" t="s">
        <v>1992</v>
      </c>
      <c r="E3193" s="6">
        <v>1</v>
      </c>
      <c r="F3193" s="6" t="str">
        <f t="shared" si="98"/>
        <v>April</v>
      </c>
      <c r="G3193" s="6">
        <f t="shared" si="99"/>
        <v>16</v>
      </c>
      <c r="H3193" s="1">
        <f>SUMIF('Retal Tran Line Item'!E:E,A3193,'Retal Tran Line Item'!B:B)</f>
        <v>17</v>
      </c>
    </row>
    <row r="3194" spans="1:8">
      <c r="A3194" s="1">
        <v>103732</v>
      </c>
      <c r="B3194" s="1">
        <v>667170</v>
      </c>
      <c r="C3194" s="2">
        <v>41749</v>
      </c>
      <c r="D3194" s="1" t="s">
        <v>1993</v>
      </c>
      <c r="E3194" s="6">
        <v>2</v>
      </c>
      <c r="F3194" s="6" t="str">
        <f t="shared" si="98"/>
        <v>April</v>
      </c>
      <c r="G3194" s="6">
        <f t="shared" si="99"/>
        <v>17</v>
      </c>
      <c r="H3194" s="1">
        <f>SUMIF('Retal Tran Line Item'!E:E,A3194,'Retal Tran Line Item'!B:B)</f>
        <v>18</v>
      </c>
    </row>
    <row r="3195" spans="1:8">
      <c r="A3195" s="1">
        <v>103733</v>
      </c>
      <c r="B3195" s="1">
        <v>970794</v>
      </c>
      <c r="C3195" s="2">
        <v>41749</v>
      </c>
      <c r="D3195" s="1" t="s">
        <v>1993</v>
      </c>
      <c r="E3195" s="6">
        <v>2</v>
      </c>
      <c r="F3195" s="6" t="str">
        <f t="shared" si="98"/>
        <v>April</v>
      </c>
      <c r="G3195" s="6">
        <f t="shared" si="99"/>
        <v>17</v>
      </c>
      <c r="H3195" s="1">
        <f>SUMIF('Retal Tran Line Item'!E:E,A3195,'Retal Tran Line Item'!B:B)</f>
        <v>6</v>
      </c>
    </row>
    <row r="3196" spans="1:8">
      <c r="A3196" s="1">
        <v>103734</v>
      </c>
      <c r="B3196" s="1">
        <v>422951</v>
      </c>
      <c r="C3196" s="2">
        <v>41749</v>
      </c>
      <c r="D3196" s="1" t="s">
        <v>1994</v>
      </c>
      <c r="E3196" s="6">
        <v>1</v>
      </c>
      <c r="F3196" s="6" t="str">
        <f t="shared" si="98"/>
        <v>April</v>
      </c>
      <c r="G3196" s="6">
        <f t="shared" si="99"/>
        <v>17</v>
      </c>
      <c r="H3196" s="1">
        <f>SUMIF('Retal Tran Line Item'!E:E,A3196,'Retal Tran Line Item'!B:B)</f>
        <v>11</v>
      </c>
    </row>
    <row r="3197" spans="1:8">
      <c r="A3197" s="1">
        <v>103735</v>
      </c>
      <c r="B3197" s="1">
        <v>643305</v>
      </c>
      <c r="C3197" s="2">
        <v>41749</v>
      </c>
      <c r="D3197" s="1" t="s">
        <v>1992</v>
      </c>
      <c r="E3197" s="6">
        <v>2</v>
      </c>
      <c r="F3197" s="6" t="str">
        <f t="shared" si="98"/>
        <v>April</v>
      </c>
      <c r="G3197" s="6">
        <f t="shared" si="99"/>
        <v>17</v>
      </c>
      <c r="H3197" s="1">
        <f>SUMIF('Retal Tran Line Item'!E:E,A3197,'Retal Tran Line Item'!B:B)</f>
        <v>4</v>
      </c>
    </row>
    <row r="3198" spans="1:8">
      <c r="A3198" s="1">
        <v>103736</v>
      </c>
      <c r="B3198" s="1">
        <v>225489</v>
      </c>
      <c r="C3198" s="2">
        <v>41749</v>
      </c>
      <c r="D3198" s="1" t="s">
        <v>1992</v>
      </c>
      <c r="E3198" s="6">
        <v>1</v>
      </c>
      <c r="F3198" s="6" t="str">
        <f t="shared" si="98"/>
        <v>April</v>
      </c>
      <c r="G3198" s="6">
        <f t="shared" si="99"/>
        <v>17</v>
      </c>
      <c r="H3198" s="1">
        <f>SUMIF('Retal Tran Line Item'!E:E,A3198,'Retal Tran Line Item'!B:B)</f>
        <v>4</v>
      </c>
    </row>
    <row r="3199" spans="1:8">
      <c r="A3199" s="1">
        <v>103739</v>
      </c>
      <c r="B3199" s="1">
        <v>756769</v>
      </c>
      <c r="C3199" s="2">
        <v>41750</v>
      </c>
      <c r="D3199" s="1" t="s">
        <v>1989</v>
      </c>
      <c r="E3199" s="6">
        <v>1</v>
      </c>
      <c r="F3199" s="6" t="str">
        <f t="shared" si="98"/>
        <v>April</v>
      </c>
      <c r="G3199" s="6">
        <f t="shared" si="99"/>
        <v>17</v>
      </c>
      <c r="H3199" s="1">
        <f>SUMIF('Retal Tran Line Item'!E:E,A3199,'Retal Tran Line Item'!B:B)</f>
        <v>3</v>
      </c>
    </row>
    <row r="3200" spans="1:8">
      <c r="A3200" s="1">
        <v>103741</v>
      </c>
      <c r="B3200" s="1">
        <v>127472</v>
      </c>
      <c r="C3200" s="2">
        <v>41750</v>
      </c>
      <c r="D3200" s="1" t="s">
        <v>1993</v>
      </c>
      <c r="E3200" s="6">
        <v>2</v>
      </c>
      <c r="F3200" s="6" t="str">
        <f t="shared" si="98"/>
        <v>April</v>
      </c>
      <c r="G3200" s="6">
        <f t="shared" si="99"/>
        <v>17</v>
      </c>
      <c r="H3200" s="1">
        <f>SUMIF('Retal Tran Line Item'!E:E,A3200,'Retal Tran Line Item'!B:B)</f>
        <v>5</v>
      </c>
    </row>
    <row r="3201" spans="1:8">
      <c r="A3201" s="1">
        <v>103742</v>
      </c>
      <c r="B3201" s="1">
        <v>422717</v>
      </c>
      <c r="C3201" s="2">
        <v>41750</v>
      </c>
      <c r="D3201" s="1" t="s">
        <v>1993</v>
      </c>
      <c r="E3201" s="6">
        <v>1</v>
      </c>
      <c r="F3201" s="6" t="str">
        <f t="shared" si="98"/>
        <v>April</v>
      </c>
      <c r="G3201" s="6">
        <f t="shared" si="99"/>
        <v>17</v>
      </c>
      <c r="H3201" s="1">
        <f>SUMIF('Retal Tran Line Item'!E:E,A3201,'Retal Tran Line Item'!B:B)</f>
        <v>7</v>
      </c>
    </row>
    <row r="3202" spans="1:8">
      <c r="A3202" s="1">
        <v>103744</v>
      </c>
      <c r="B3202" s="1">
        <v>456457</v>
      </c>
      <c r="C3202" s="2">
        <v>41750</v>
      </c>
      <c r="D3202" s="1" t="s">
        <v>1993</v>
      </c>
      <c r="E3202" s="6">
        <v>1</v>
      </c>
      <c r="F3202" s="6" t="str">
        <f t="shared" si="98"/>
        <v>April</v>
      </c>
      <c r="G3202" s="6">
        <f t="shared" si="99"/>
        <v>17</v>
      </c>
      <c r="H3202" s="1">
        <f>SUMIF('Retal Tran Line Item'!E:E,A3202,'Retal Tran Line Item'!B:B)</f>
        <v>10</v>
      </c>
    </row>
    <row r="3203" spans="1:8">
      <c r="A3203" s="1">
        <v>103747</v>
      </c>
      <c r="B3203" s="1">
        <v>676155</v>
      </c>
      <c r="C3203" s="2">
        <v>41751</v>
      </c>
      <c r="D3203" s="1" t="s">
        <v>1992</v>
      </c>
      <c r="E3203" s="6">
        <v>1</v>
      </c>
      <c r="F3203" s="6" t="str">
        <f t="shared" ref="F3203:F3266" si="100">TEXT(C3203,"MMMM")</f>
        <v>April</v>
      </c>
      <c r="G3203" s="6">
        <f t="shared" ref="G3203:G3266" si="101">WEEKNUM(C3203)</f>
        <v>17</v>
      </c>
      <c r="H3203" s="1">
        <f>SUMIF('Retal Tran Line Item'!E:E,A3203,'Retal Tran Line Item'!B:B)</f>
        <v>6</v>
      </c>
    </row>
    <row r="3204" spans="1:8">
      <c r="A3204" s="1">
        <v>103748</v>
      </c>
      <c r="B3204" s="1">
        <v>296353</v>
      </c>
      <c r="C3204" s="2">
        <v>41751</v>
      </c>
      <c r="D3204" s="1" t="s">
        <v>1993</v>
      </c>
      <c r="E3204" s="6">
        <v>2</v>
      </c>
      <c r="F3204" s="6" t="str">
        <f t="shared" si="100"/>
        <v>April</v>
      </c>
      <c r="G3204" s="6">
        <f t="shared" si="101"/>
        <v>17</v>
      </c>
      <c r="H3204" s="1">
        <f>SUMIF('Retal Tran Line Item'!E:E,A3204,'Retal Tran Line Item'!B:B)</f>
        <v>10</v>
      </c>
    </row>
    <row r="3205" spans="1:8">
      <c r="A3205" s="1">
        <v>103750</v>
      </c>
      <c r="B3205" s="1">
        <v>393120</v>
      </c>
      <c r="C3205" s="2">
        <v>41751</v>
      </c>
      <c r="D3205" s="1" t="s">
        <v>1993</v>
      </c>
      <c r="E3205" s="6">
        <v>1</v>
      </c>
      <c r="F3205" s="6" t="str">
        <f t="shared" si="100"/>
        <v>April</v>
      </c>
      <c r="G3205" s="6">
        <f t="shared" si="101"/>
        <v>17</v>
      </c>
      <c r="H3205" s="1">
        <f>SUMIF('Retal Tran Line Item'!E:E,A3205,'Retal Tran Line Item'!B:B)</f>
        <v>14</v>
      </c>
    </row>
    <row r="3206" spans="1:8">
      <c r="A3206" s="1">
        <v>103751</v>
      </c>
      <c r="B3206" s="1">
        <v>999915</v>
      </c>
      <c r="C3206" s="2">
        <v>41751</v>
      </c>
      <c r="D3206" s="1" t="s">
        <v>1989</v>
      </c>
      <c r="E3206" s="6">
        <v>1</v>
      </c>
      <c r="F3206" s="6" t="str">
        <f t="shared" si="100"/>
        <v>April</v>
      </c>
      <c r="G3206" s="6">
        <f t="shared" si="101"/>
        <v>17</v>
      </c>
      <c r="H3206" s="1">
        <f>SUMIF('Retal Tran Line Item'!E:E,A3206,'Retal Tran Line Item'!B:B)</f>
        <v>1</v>
      </c>
    </row>
    <row r="3207" spans="1:8">
      <c r="A3207" s="1">
        <v>103752</v>
      </c>
      <c r="B3207" s="1">
        <v>908768</v>
      </c>
      <c r="C3207" s="2">
        <v>41751</v>
      </c>
      <c r="D3207" s="1" t="s">
        <v>1992</v>
      </c>
      <c r="E3207" s="6">
        <v>2</v>
      </c>
      <c r="F3207" s="6" t="str">
        <f t="shared" si="100"/>
        <v>April</v>
      </c>
      <c r="G3207" s="6">
        <f t="shared" si="101"/>
        <v>17</v>
      </c>
      <c r="H3207" s="1">
        <f>SUMIF('Retal Tran Line Item'!E:E,A3207,'Retal Tran Line Item'!B:B)</f>
        <v>12</v>
      </c>
    </row>
    <row r="3208" spans="1:8">
      <c r="A3208" s="1">
        <v>103754</v>
      </c>
      <c r="B3208" s="1">
        <v>549823</v>
      </c>
      <c r="C3208" s="2">
        <v>41751</v>
      </c>
      <c r="D3208" s="1" t="s">
        <v>1993</v>
      </c>
      <c r="E3208" s="6">
        <v>2</v>
      </c>
      <c r="F3208" s="6" t="str">
        <f t="shared" si="100"/>
        <v>April</v>
      </c>
      <c r="G3208" s="6">
        <f t="shared" si="101"/>
        <v>17</v>
      </c>
      <c r="H3208" s="1">
        <f>SUMIF('Retal Tran Line Item'!E:E,A3208,'Retal Tran Line Item'!B:B)</f>
        <v>2</v>
      </c>
    </row>
    <row r="3209" spans="1:8">
      <c r="A3209" s="1">
        <v>103756</v>
      </c>
      <c r="B3209" s="1">
        <v>343021</v>
      </c>
      <c r="C3209" s="2">
        <v>41752</v>
      </c>
      <c r="D3209" s="1" t="s">
        <v>1989</v>
      </c>
      <c r="E3209" s="6">
        <v>1</v>
      </c>
      <c r="F3209" s="6" t="str">
        <f t="shared" si="100"/>
        <v>April</v>
      </c>
      <c r="G3209" s="6">
        <f t="shared" si="101"/>
        <v>17</v>
      </c>
      <c r="H3209" s="1">
        <f>SUMIF('Retal Tran Line Item'!E:E,A3209,'Retal Tran Line Item'!B:B)</f>
        <v>10</v>
      </c>
    </row>
    <row r="3210" spans="1:8">
      <c r="A3210" s="1">
        <v>103760</v>
      </c>
      <c r="B3210" s="1">
        <v>921901</v>
      </c>
      <c r="C3210" s="2">
        <v>41752</v>
      </c>
      <c r="D3210" s="1" t="s">
        <v>1989</v>
      </c>
      <c r="E3210" s="6">
        <v>1</v>
      </c>
      <c r="F3210" s="6" t="str">
        <f t="shared" si="100"/>
        <v>April</v>
      </c>
      <c r="G3210" s="6">
        <f t="shared" si="101"/>
        <v>17</v>
      </c>
      <c r="H3210" s="1">
        <f>SUMIF('Retal Tran Line Item'!E:E,A3210,'Retal Tran Line Item'!B:B)</f>
        <v>9</v>
      </c>
    </row>
    <row r="3211" spans="1:8">
      <c r="A3211" s="1">
        <v>103761</v>
      </c>
      <c r="B3211" s="1">
        <v>568217</v>
      </c>
      <c r="C3211" s="2">
        <v>41752</v>
      </c>
      <c r="D3211" s="1" t="s">
        <v>1993</v>
      </c>
      <c r="E3211" s="6">
        <v>1</v>
      </c>
      <c r="F3211" s="6" t="str">
        <f t="shared" si="100"/>
        <v>April</v>
      </c>
      <c r="G3211" s="6">
        <f t="shared" si="101"/>
        <v>17</v>
      </c>
      <c r="H3211" s="1">
        <f>SUMIF('Retal Tran Line Item'!E:E,A3211,'Retal Tran Line Item'!B:B)</f>
        <v>8</v>
      </c>
    </row>
    <row r="3212" spans="1:8">
      <c r="A3212" s="1">
        <v>103762</v>
      </c>
      <c r="B3212" s="1">
        <v>403000</v>
      </c>
      <c r="C3212" s="2">
        <v>41753</v>
      </c>
      <c r="D3212" s="1" t="s">
        <v>1992</v>
      </c>
      <c r="E3212" s="6">
        <v>1</v>
      </c>
      <c r="F3212" s="6" t="str">
        <f t="shared" si="100"/>
        <v>April</v>
      </c>
      <c r="G3212" s="6">
        <f t="shared" si="101"/>
        <v>17</v>
      </c>
      <c r="H3212" s="1">
        <f>SUMIF('Retal Tran Line Item'!E:E,A3212,'Retal Tran Line Item'!B:B)</f>
        <v>8</v>
      </c>
    </row>
    <row r="3213" spans="1:8">
      <c r="A3213" s="1">
        <v>103765</v>
      </c>
      <c r="B3213" s="1">
        <v>972329</v>
      </c>
      <c r="C3213" s="2">
        <v>41753</v>
      </c>
      <c r="D3213" s="1" t="s">
        <v>1989</v>
      </c>
      <c r="E3213" s="6">
        <v>2</v>
      </c>
      <c r="F3213" s="6" t="str">
        <f t="shared" si="100"/>
        <v>April</v>
      </c>
      <c r="G3213" s="6">
        <f t="shared" si="101"/>
        <v>17</v>
      </c>
      <c r="H3213" s="1">
        <f>SUMIF('Retal Tran Line Item'!E:E,A3213,'Retal Tran Line Item'!B:B)</f>
        <v>6</v>
      </c>
    </row>
    <row r="3214" spans="1:8">
      <c r="A3214" s="1">
        <v>103766</v>
      </c>
      <c r="B3214" s="1">
        <v>384899</v>
      </c>
      <c r="C3214" s="2">
        <v>41753</v>
      </c>
      <c r="D3214" s="1" t="s">
        <v>1992</v>
      </c>
      <c r="E3214" s="6">
        <v>2</v>
      </c>
      <c r="F3214" s="6" t="str">
        <f t="shared" si="100"/>
        <v>April</v>
      </c>
      <c r="G3214" s="6">
        <f t="shared" si="101"/>
        <v>17</v>
      </c>
      <c r="H3214" s="1">
        <f>SUMIF('Retal Tran Line Item'!E:E,A3214,'Retal Tran Line Item'!B:B)</f>
        <v>10</v>
      </c>
    </row>
    <row r="3215" spans="1:8">
      <c r="A3215" s="1">
        <v>103770</v>
      </c>
      <c r="B3215" s="1">
        <v>170500</v>
      </c>
      <c r="C3215" s="2">
        <v>41754</v>
      </c>
      <c r="D3215" s="1" t="s">
        <v>1989</v>
      </c>
      <c r="E3215" s="6">
        <v>2</v>
      </c>
      <c r="F3215" s="6" t="str">
        <f t="shared" si="100"/>
        <v>April</v>
      </c>
      <c r="G3215" s="6">
        <f t="shared" si="101"/>
        <v>17</v>
      </c>
      <c r="H3215" s="1">
        <f>SUMIF('Retal Tran Line Item'!E:E,A3215,'Retal Tran Line Item'!B:B)</f>
        <v>8</v>
      </c>
    </row>
    <row r="3216" spans="1:8">
      <c r="A3216" s="1">
        <v>103773</v>
      </c>
      <c r="B3216" s="1">
        <v>422717</v>
      </c>
      <c r="C3216" s="2">
        <v>41754</v>
      </c>
      <c r="D3216" s="1" t="s">
        <v>1993</v>
      </c>
      <c r="E3216" s="6">
        <v>1</v>
      </c>
      <c r="F3216" s="6" t="str">
        <f t="shared" si="100"/>
        <v>April</v>
      </c>
      <c r="G3216" s="6">
        <f t="shared" si="101"/>
        <v>17</v>
      </c>
      <c r="H3216" s="1">
        <f>SUMIF('Retal Tran Line Item'!E:E,A3216,'Retal Tran Line Item'!B:B)</f>
        <v>10</v>
      </c>
    </row>
    <row r="3217" spans="1:8">
      <c r="A3217" s="1">
        <v>103774</v>
      </c>
      <c r="B3217" s="1">
        <v>559688</v>
      </c>
      <c r="C3217" s="2">
        <v>41754</v>
      </c>
      <c r="D3217" s="1" t="s">
        <v>1993</v>
      </c>
      <c r="E3217" s="6">
        <v>1</v>
      </c>
      <c r="F3217" s="6" t="str">
        <f t="shared" si="100"/>
        <v>April</v>
      </c>
      <c r="G3217" s="6">
        <f t="shared" si="101"/>
        <v>17</v>
      </c>
      <c r="H3217" s="1">
        <f>SUMIF('Retal Tran Line Item'!E:E,A3217,'Retal Tran Line Item'!B:B)</f>
        <v>24</v>
      </c>
    </row>
    <row r="3218" spans="1:8">
      <c r="A3218" s="1">
        <v>103778</v>
      </c>
      <c r="B3218" s="1">
        <v>409910</v>
      </c>
      <c r="C3218" s="2">
        <v>41755</v>
      </c>
      <c r="D3218" s="1" t="s">
        <v>1992</v>
      </c>
      <c r="E3218" s="6">
        <v>2</v>
      </c>
      <c r="F3218" s="6" t="str">
        <f t="shared" si="100"/>
        <v>April</v>
      </c>
      <c r="G3218" s="6">
        <f t="shared" si="101"/>
        <v>17</v>
      </c>
      <c r="H3218" s="1">
        <f>SUMIF('Retal Tran Line Item'!E:E,A3218,'Retal Tran Line Item'!B:B)</f>
        <v>3</v>
      </c>
    </row>
    <row r="3219" spans="1:8">
      <c r="A3219" s="1">
        <v>103781</v>
      </c>
      <c r="B3219" s="1">
        <v>678940</v>
      </c>
      <c r="C3219" s="2">
        <v>41755</v>
      </c>
      <c r="D3219" s="1" t="s">
        <v>1994</v>
      </c>
      <c r="E3219" s="6">
        <v>2</v>
      </c>
      <c r="F3219" s="6" t="str">
        <f t="shared" si="100"/>
        <v>April</v>
      </c>
      <c r="G3219" s="6">
        <f t="shared" si="101"/>
        <v>17</v>
      </c>
      <c r="H3219" s="1">
        <f>SUMIF('Retal Tran Line Item'!E:E,A3219,'Retal Tran Line Item'!B:B)</f>
        <v>9</v>
      </c>
    </row>
    <row r="3220" spans="1:8">
      <c r="A3220" s="1">
        <v>103782</v>
      </c>
      <c r="B3220" s="1">
        <v>885548</v>
      </c>
      <c r="C3220" s="2">
        <v>41755</v>
      </c>
      <c r="D3220" s="1" t="s">
        <v>1992</v>
      </c>
      <c r="E3220" s="6">
        <v>2</v>
      </c>
      <c r="F3220" s="6" t="str">
        <f t="shared" si="100"/>
        <v>April</v>
      </c>
      <c r="G3220" s="6">
        <f t="shared" si="101"/>
        <v>17</v>
      </c>
      <c r="H3220" s="1">
        <f>SUMIF('Retal Tran Line Item'!E:E,A3220,'Retal Tran Line Item'!B:B)</f>
        <v>10</v>
      </c>
    </row>
    <row r="3221" spans="1:8">
      <c r="A3221" s="1">
        <v>103784</v>
      </c>
      <c r="B3221" s="1">
        <v>994056</v>
      </c>
      <c r="C3221" s="2">
        <v>41756</v>
      </c>
      <c r="D3221" s="1" t="s">
        <v>1989</v>
      </c>
      <c r="E3221" s="6">
        <v>1</v>
      </c>
      <c r="F3221" s="6" t="str">
        <f t="shared" si="100"/>
        <v>April</v>
      </c>
      <c r="G3221" s="6">
        <f t="shared" si="101"/>
        <v>18</v>
      </c>
      <c r="H3221" s="1">
        <f>SUMIF('Retal Tran Line Item'!E:E,A3221,'Retal Tran Line Item'!B:B)</f>
        <v>2</v>
      </c>
    </row>
    <row r="3222" spans="1:8">
      <c r="A3222" s="1">
        <v>103785</v>
      </c>
      <c r="B3222" s="1">
        <v>235720</v>
      </c>
      <c r="C3222" s="2">
        <v>41756</v>
      </c>
      <c r="D3222" s="1" t="s">
        <v>1993</v>
      </c>
      <c r="E3222" s="6">
        <v>1</v>
      </c>
      <c r="F3222" s="6" t="str">
        <f t="shared" si="100"/>
        <v>April</v>
      </c>
      <c r="G3222" s="6">
        <f t="shared" si="101"/>
        <v>18</v>
      </c>
      <c r="H3222" s="1">
        <f>SUMIF('Retal Tran Line Item'!E:E,A3222,'Retal Tran Line Item'!B:B)</f>
        <v>14</v>
      </c>
    </row>
    <row r="3223" spans="1:8">
      <c r="A3223" s="1">
        <v>103791</v>
      </c>
      <c r="B3223" s="1">
        <v>976778</v>
      </c>
      <c r="C3223" s="2">
        <v>41756</v>
      </c>
      <c r="D3223" s="1" t="s">
        <v>1992</v>
      </c>
      <c r="E3223" s="6">
        <v>1</v>
      </c>
      <c r="F3223" s="6" t="str">
        <f t="shared" si="100"/>
        <v>April</v>
      </c>
      <c r="G3223" s="6">
        <f t="shared" si="101"/>
        <v>18</v>
      </c>
      <c r="H3223" s="1">
        <f>SUMIF('Retal Tran Line Item'!E:E,A3223,'Retal Tran Line Item'!B:B)</f>
        <v>12</v>
      </c>
    </row>
    <row r="3224" spans="1:8">
      <c r="A3224" s="1">
        <v>103792</v>
      </c>
      <c r="B3224" s="1">
        <v>714947</v>
      </c>
      <c r="C3224" s="2">
        <v>41757</v>
      </c>
      <c r="D3224" s="1" t="s">
        <v>1989</v>
      </c>
      <c r="E3224" s="6">
        <v>1</v>
      </c>
      <c r="F3224" s="6" t="str">
        <f t="shared" si="100"/>
        <v>April</v>
      </c>
      <c r="G3224" s="6">
        <f t="shared" si="101"/>
        <v>18</v>
      </c>
      <c r="H3224" s="1">
        <f>SUMIF('Retal Tran Line Item'!E:E,A3224,'Retal Tran Line Item'!B:B)</f>
        <v>6</v>
      </c>
    </row>
    <row r="3225" spans="1:8">
      <c r="A3225" s="1">
        <v>103793</v>
      </c>
      <c r="B3225" s="1">
        <v>992895</v>
      </c>
      <c r="C3225" s="2">
        <v>41757</v>
      </c>
      <c r="D3225" s="1" t="s">
        <v>1993</v>
      </c>
      <c r="E3225" s="6">
        <v>2</v>
      </c>
      <c r="F3225" s="6" t="str">
        <f t="shared" si="100"/>
        <v>April</v>
      </c>
      <c r="G3225" s="6">
        <f t="shared" si="101"/>
        <v>18</v>
      </c>
      <c r="H3225" s="1">
        <f>SUMIF('Retal Tran Line Item'!E:E,A3225,'Retal Tran Line Item'!B:B)</f>
        <v>9</v>
      </c>
    </row>
    <row r="3226" spans="1:8">
      <c r="A3226" s="1">
        <v>103794</v>
      </c>
      <c r="B3226" s="1">
        <v>414509</v>
      </c>
      <c r="C3226" s="2">
        <v>41757</v>
      </c>
      <c r="D3226" s="1" t="s">
        <v>1989</v>
      </c>
      <c r="E3226" s="6">
        <v>1</v>
      </c>
      <c r="F3226" s="6" t="str">
        <f t="shared" si="100"/>
        <v>April</v>
      </c>
      <c r="G3226" s="6">
        <f t="shared" si="101"/>
        <v>18</v>
      </c>
      <c r="H3226" s="1">
        <f>SUMIF('Retal Tran Line Item'!E:E,A3226,'Retal Tran Line Item'!B:B)</f>
        <v>11</v>
      </c>
    </row>
    <row r="3227" spans="1:8">
      <c r="A3227" s="1">
        <v>103795</v>
      </c>
      <c r="B3227" s="1">
        <v>880238</v>
      </c>
      <c r="C3227" s="2">
        <v>41757</v>
      </c>
      <c r="D3227" s="1" t="s">
        <v>1993</v>
      </c>
      <c r="E3227" s="6">
        <v>2</v>
      </c>
      <c r="F3227" s="6" t="str">
        <f t="shared" si="100"/>
        <v>April</v>
      </c>
      <c r="G3227" s="6">
        <f t="shared" si="101"/>
        <v>18</v>
      </c>
      <c r="H3227" s="1">
        <f>SUMIF('Retal Tran Line Item'!E:E,A3227,'Retal Tran Line Item'!B:B)</f>
        <v>16</v>
      </c>
    </row>
    <row r="3228" spans="1:8">
      <c r="A3228" s="1">
        <v>103799</v>
      </c>
      <c r="B3228" s="1">
        <v>646700</v>
      </c>
      <c r="C3228" s="2">
        <v>41758</v>
      </c>
      <c r="D3228" s="1" t="s">
        <v>1989</v>
      </c>
      <c r="E3228" s="6">
        <v>2</v>
      </c>
      <c r="F3228" s="6" t="str">
        <f t="shared" si="100"/>
        <v>April</v>
      </c>
      <c r="G3228" s="6">
        <f t="shared" si="101"/>
        <v>18</v>
      </c>
      <c r="H3228" s="1">
        <f>SUMIF('Retal Tran Line Item'!E:E,A3228,'Retal Tran Line Item'!B:B)</f>
        <v>1</v>
      </c>
    </row>
    <row r="3229" spans="1:8">
      <c r="A3229" s="1">
        <v>103802</v>
      </c>
      <c r="B3229" s="1">
        <v>380003</v>
      </c>
      <c r="C3229" s="2">
        <v>41758</v>
      </c>
      <c r="D3229" s="1" t="s">
        <v>1992</v>
      </c>
      <c r="E3229" s="6">
        <v>2</v>
      </c>
      <c r="F3229" s="6" t="str">
        <f t="shared" si="100"/>
        <v>April</v>
      </c>
      <c r="G3229" s="6">
        <f t="shared" si="101"/>
        <v>18</v>
      </c>
      <c r="H3229" s="1">
        <f>SUMIF('Retal Tran Line Item'!E:E,A3229,'Retal Tran Line Item'!B:B)</f>
        <v>10</v>
      </c>
    </row>
    <row r="3230" spans="1:8">
      <c r="A3230" s="1">
        <v>103803</v>
      </c>
      <c r="B3230" s="1">
        <v>676018</v>
      </c>
      <c r="C3230" s="2">
        <v>41758</v>
      </c>
      <c r="D3230" s="1" t="s">
        <v>1994</v>
      </c>
      <c r="E3230" s="6">
        <v>2</v>
      </c>
      <c r="F3230" s="6" t="str">
        <f t="shared" si="100"/>
        <v>April</v>
      </c>
      <c r="G3230" s="6">
        <f t="shared" si="101"/>
        <v>18</v>
      </c>
      <c r="H3230" s="1">
        <f>SUMIF('Retal Tran Line Item'!E:E,A3230,'Retal Tran Line Item'!B:B)</f>
        <v>4</v>
      </c>
    </row>
    <row r="3231" spans="1:8">
      <c r="A3231" s="1">
        <v>103805</v>
      </c>
      <c r="B3231" s="1">
        <v>742620</v>
      </c>
      <c r="C3231" s="2">
        <v>41758</v>
      </c>
      <c r="D3231" s="1" t="s">
        <v>1992</v>
      </c>
      <c r="E3231" s="6">
        <v>1</v>
      </c>
      <c r="F3231" s="6" t="str">
        <f t="shared" si="100"/>
        <v>April</v>
      </c>
      <c r="G3231" s="6">
        <f t="shared" si="101"/>
        <v>18</v>
      </c>
      <c r="H3231" s="1">
        <f>SUMIF('Retal Tran Line Item'!E:E,A3231,'Retal Tran Line Item'!B:B)</f>
        <v>11</v>
      </c>
    </row>
    <row r="3232" spans="1:8">
      <c r="A3232" s="1">
        <v>103807</v>
      </c>
      <c r="B3232" s="1">
        <v>730305</v>
      </c>
      <c r="C3232" s="2">
        <v>41759</v>
      </c>
      <c r="D3232" s="1" t="s">
        <v>1992</v>
      </c>
      <c r="E3232" s="6">
        <v>2</v>
      </c>
      <c r="F3232" s="6" t="str">
        <f t="shared" si="100"/>
        <v>April</v>
      </c>
      <c r="G3232" s="6">
        <f t="shared" si="101"/>
        <v>18</v>
      </c>
      <c r="H3232" s="1">
        <f>SUMIF('Retal Tran Line Item'!E:E,A3232,'Retal Tran Line Item'!B:B)</f>
        <v>1</v>
      </c>
    </row>
    <row r="3233" spans="1:8">
      <c r="A3233" s="1">
        <v>103810</v>
      </c>
      <c r="B3233" s="1">
        <v>892883</v>
      </c>
      <c r="C3233" s="2">
        <v>41759</v>
      </c>
      <c r="D3233" s="1" t="s">
        <v>1992</v>
      </c>
      <c r="E3233" s="6">
        <v>2</v>
      </c>
      <c r="F3233" s="6" t="str">
        <f t="shared" si="100"/>
        <v>April</v>
      </c>
      <c r="G3233" s="6">
        <f t="shared" si="101"/>
        <v>18</v>
      </c>
      <c r="H3233" s="1">
        <f>SUMIF('Retal Tran Line Item'!E:E,A3233,'Retal Tran Line Item'!B:B)</f>
        <v>13</v>
      </c>
    </row>
    <row r="3234" spans="1:8">
      <c r="A3234" s="1">
        <v>103812</v>
      </c>
      <c r="B3234" s="1">
        <v>194680</v>
      </c>
      <c r="C3234" s="2">
        <v>41759</v>
      </c>
      <c r="D3234" s="1" t="s">
        <v>1993</v>
      </c>
      <c r="E3234" s="6">
        <v>1</v>
      </c>
      <c r="F3234" s="6" t="str">
        <f t="shared" si="100"/>
        <v>April</v>
      </c>
      <c r="G3234" s="6">
        <f t="shared" si="101"/>
        <v>18</v>
      </c>
      <c r="H3234" s="1">
        <f>SUMIF('Retal Tran Line Item'!E:E,A3234,'Retal Tran Line Item'!B:B)</f>
        <v>5</v>
      </c>
    </row>
    <row r="3235" spans="1:8">
      <c r="A3235" s="1">
        <v>103814</v>
      </c>
      <c r="B3235" s="1">
        <v>846558</v>
      </c>
      <c r="C3235" s="2">
        <v>41760</v>
      </c>
      <c r="D3235" s="1" t="s">
        <v>1992</v>
      </c>
      <c r="E3235" s="6">
        <v>2</v>
      </c>
      <c r="F3235" s="6" t="str">
        <f t="shared" si="100"/>
        <v>May</v>
      </c>
      <c r="G3235" s="6">
        <f t="shared" si="101"/>
        <v>18</v>
      </c>
      <c r="H3235" s="1">
        <f>SUMIF('Retal Tran Line Item'!E:E,A3235,'Retal Tran Line Item'!B:B)</f>
        <v>3</v>
      </c>
    </row>
    <row r="3236" spans="1:8">
      <c r="A3236" s="1">
        <v>103816</v>
      </c>
      <c r="B3236" s="1">
        <v>482274</v>
      </c>
      <c r="C3236" s="2">
        <v>41760</v>
      </c>
      <c r="D3236" s="1" t="s">
        <v>1992</v>
      </c>
      <c r="E3236" s="6">
        <v>1</v>
      </c>
      <c r="F3236" s="6" t="str">
        <f t="shared" si="100"/>
        <v>May</v>
      </c>
      <c r="G3236" s="6">
        <f t="shared" si="101"/>
        <v>18</v>
      </c>
      <c r="H3236" s="1">
        <f>SUMIF('Retal Tran Line Item'!E:E,A3236,'Retal Tran Line Item'!B:B)</f>
        <v>7</v>
      </c>
    </row>
    <row r="3237" spans="1:8">
      <c r="A3237" s="1">
        <v>103818</v>
      </c>
      <c r="B3237" s="1">
        <v>441628</v>
      </c>
      <c r="C3237" s="2">
        <v>41760</v>
      </c>
      <c r="D3237" s="1" t="s">
        <v>1989</v>
      </c>
      <c r="E3237" s="6">
        <v>1</v>
      </c>
      <c r="F3237" s="6" t="str">
        <f t="shared" si="100"/>
        <v>May</v>
      </c>
      <c r="G3237" s="6">
        <f t="shared" si="101"/>
        <v>18</v>
      </c>
      <c r="H3237" s="1">
        <f>SUMIF('Retal Tran Line Item'!E:E,A3237,'Retal Tran Line Item'!B:B)</f>
        <v>7</v>
      </c>
    </row>
    <row r="3238" spans="1:8">
      <c r="A3238" s="1">
        <v>103819</v>
      </c>
      <c r="B3238" s="1">
        <v>789065</v>
      </c>
      <c r="C3238" s="2">
        <v>41760</v>
      </c>
      <c r="D3238" s="1" t="s">
        <v>1994</v>
      </c>
      <c r="E3238" s="6">
        <v>1</v>
      </c>
      <c r="F3238" s="6" t="str">
        <f t="shared" si="100"/>
        <v>May</v>
      </c>
      <c r="G3238" s="6">
        <f t="shared" si="101"/>
        <v>18</v>
      </c>
      <c r="H3238" s="1">
        <f>SUMIF('Retal Tran Line Item'!E:E,A3238,'Retal Tran Line Item'!B:B)</f>
        <v>2</v>
      </c>
    </row>
    <row r="3239" spans="1:8">
      <c r="A3239" s="1">
        <v>103820</v>
      </c>
      <c r="B3239" s="1">
        <v>101811</v>
      </c>
      <c r="C3239" s="2">
        <v>41760</v>
      </c>
      <c r="D3239" s="1" t="s">
        <v>1993</v>
      </c>
      <c r="E3239" s="6">
        <v>2</v>
      </c>
      <c r="F3239" s="6" t="str">
        <f t="shared" si="100"/>
        <v>May</v>
      </c>
      <c r="G3239" s="6">
        <f t="shared" si="101"/>
        <v>18</v>
      </c>
      <c r="H3239" s="1">
        <f>SUMIF('Retal Tran Line Item'!E:E,A3239,'Retal Tran Line Item'!B:B)</f>
        <v>1</v>
      </c>
    </row>
    <row r="3240" spans="1:8">
      <c r="A3240" s="1">
        <v>103821</v>
      </c>
      <c r="B3240" s="1">
        <v>808421</v>
      </c>
      <c r="C3240" s="2">
        <v>41761</v>
      </c>
      <c r="D3240" s="1" t="s">
        <v>1989</v>
      </c>
      <c r="E3240" s="6">
        <v>2</v>
      </c>
      <c r="F3240" s="6" t="str">
        <f t="shared" si="100"/>
        <v>May</v>
      </c>
      <c r="G3240" s="6">
        <f t="shared" si="101"/>
        <v>18</v>
      </c>
      <c r="H3240" s="1">
        <f>SUMIF('Retal Tran Line Item'!E:E,A3240,'Retal Tran Line Item'!B:B)</f>
        <v>5</v>
      </c>
    </row>
    <row r="3241" spans="1:8">
      <c r="A3241" s="1">
        <v>103822</v>
      </c>
      <c r="B3241" s="1">
        <v>728908</v>
      </c>
      <c r="C3241" s="2">
        <v>41761</v>
      </c>
      <c r="D3241" s="1" t="s">
        <v>1989</v>
      </c>
      <c r="E3241" s="6">
        <v>2</v>
      </c>
      <c r="F3241" s="6" t="str">
        <f t="shared" si="100"/>
        <v>May</v>
      </c>
      <c r="G3241" s="6">
        <f t="shared" si="101"/>
        <v>18</v>
      </c>
      <c r="H3241" s="1">
        <f>SUMIF('Retal Tran Line Item'!E:E,A3241,'Retal Tran Line Item'!B:B)</f>
        <v>1</v>
      </c>
    </row>
    <row r="3242" spans="1:8">
      <c r="A3242" s="1">
        <v>103824</v>
      </c>
      <c r="B3242" s="1">
        <v>670707</v>
      </c>
      <c r="C3242" s="2">
        <v>41761</v>
      </c>
      <c r="D3242" s="1" t="s">
        <v>1994</v>
      </c>
      <c r="E3242" s="6">
        <v>1</v>
      </c>
      <c r="F3242" s="6" t="str">
        <f t="shared" si="100"/>
        <v>May</v>
      </c>
      <c r="G3242" s="6">
        <f t="shared" si="101"/>
        <v>18</v>
      </c>
      <c r="H3242" s="1">
        <f>SUMIF('Retal Tran Line Item'!E:E,A3242,'Retal Tran Line Item'!B:B)</f>
        <v>29</v>
      </c>
    </row>
    <row r="3243" spans="1:8">
      <c r="A3243" s="1">
        <v>103825</v>
      </c>
      <c r="B3243" s="1">
        <v>556152</v>
      </c>
      <c r="C3243" s="2">
        <v>41761</v>
      </c>
      <c r="D3243" s="1" t="s">
        <v>1993</v>
      </c>
      <c r="E3243" s="6">
        <v>1</v>
      </c>
      <c r="F3243" s="6" t="str">
        <f t="shared" si="100"/>
        <v>May</v>
      </c>
      <c r="G3243" s="6">
        <f t="shared" si="101"/>
        <v>18</v>
      </c>
      <c r="H3243" s="1">
        <f>SUMIF('Retal Tran Line Item'!E:E,A3243,'Retal Tran Line Item'!B:B)</f>
        <v>8</v>
      </c>
    </row>
    <row r="3244" spans="1:8">
      <c r="A3244" s="1">
        <v>103827</v>
      </c>
      <c r="B3244" s="1">
        <v>785444</v>
      </c>
      <c r="C3244" s="2">
        <v>41761</v>
      </c>
      <c r="D3244" s="1" t="s">
        <v>1992</v>
      </c>
      <c r="E3244" s="6">
        <v>2</v>
      </c>
      <c r="F3244" s="6" t="str">
        <f t="shared" si="100"/>
        <v>May</v>
      </c>
      <c r="G3244" s="6">
        <f t="shared" si="101"/>
        <v>18</v>
      </c>
      <c r="H3244" s="1">
        <f>SUMIF('Retal Tran Line Item'!E:E,A3244,'Retal Tran Line Item'!B:B)</f>
        <v>14</v>
      </c>
    </row>
    <row r="3245" spans="1:8">
      <c r="A3245" s="1">
        <v>103829</v>
      </c>
      <c r="B3245" s="1">
        <v>785444</v>
      </c>
      <c r="C3245" s="2">
        <v>41762</v>
      </c>
      <c r="D3245" s="1" t="s">
        <v>1992</v>
      </c>
      <c r="E3245" s="6">
        <v>1</v>
      </c>
      <c r="F3245" s="6" t="str">
        <f t="shared" si="100"/>
        <v>May</v>
      </c>
      <c r="G3245" s="6">
        <f t="shared" si="101"/>
        <v>18</v>
      </c>
      <c r="H3245" s="1">
        <f>SUMIF('Retal Tran Line Item'!E:E,A3245,'Retal Tran Line Item'!B:B)</f>
        <v>6</v>
      </c>
    </row>
    <row r="3246" spans="1:8">
      <c r="A3246" s="1">
        <v>103831</v>
      </c>
      <c r="B3246" s="1">
        <v>707458</v>
      </c>
      <c r="C3246" s="2">
        <v>41762</v>
      </c>
      <c r="D3246" s="1" t="s">
        <v>1993</v>
      </c>
      <c r="E3246" s="6">
        <v>2</v>
      </c>
      <c r="F3246" s="6" t="str">
        <f t="shared" si="100"/>
        <v>May</v>
      </c>
      <c r="G3246" s="6">
        <f t="shared" si="101"/>
        <v>18</v>
      </c>
      <c r="H3246" s="1">
        <f>SUMIF('Retal Tran Line Item'!E:E,A3246,'Retal Tran Line Item'!B:B)</f>
        <v>9</v>
      </c>
    </row>
    <row r="3247" spans="1:8">
      <c r="A3247" s="1">
        <v>103832</v>
      </c>
      <c r="B3247" s="1">
        <v>297686</v>
      </c>
      <c r="C3247" s="2">
        <v>41762</v>
      </c>
      <c r="D3247" s="1" t="s">
        <v>1992</v>
      </c>
      <c r="E3247" s="6">
        <v>1</v>
      </c>
      <c r="F3247" s="6" t="str">
        <f t="shared" si="100"/>
        <v>May</v>
      </c>
      <c r="G3247" s="6">
        <f t="shared" si="101"/>
        <v>18</v>
      </c>
      <c r="H3247" s="1">
        <f>SUMIF('Retal Tran Line Item'!E:E,A3247,'Retal Tran Line Item'!B:B)</f>
        <v>14</v>
      </c>
    </row>
    <row r="3248" spans="1:8">
      <c r="A3248" s="1">
        <v>103834</v>
      </c>
      <c r="B3248" s="1">
        <v>500828</v>
      </c>
      <c r="C3248" s="2">
        <v>41762</v>
      </c>
      <c r="D3248" s="1" t="s">
        <v>1992</v>
      </c>
      <c r="E3248" s="6">
        <v>1</v>
      </c>
      <c r="F3248" s="6" t="str">
        <f t="shared" si="100"/>
        <v>May</v>
      </c>
      <c r="G3248" s="6">
        <f t="shared" si="101"/>
        <v>18</v>
      </c>
      <c r="H3248" s="1">
        <f>SUMIF('Retal Tran Line Item'!E:E,A3248,'Retal Tran Line Item'!B:B)</f>
        <v>6</v>
      </c>
    </row>
    <row r="3249" spans="1:8">
      <c r="A3249" s="1">
        <v>103835</v>
      </c>
      <c r="B3249" s="1">
        <v>789500</v>
      </c>
      <c r="C3249" s="2">
        <v>41762</v>
      </c>
      <c r="D3249" s="1" t="s">
        <v>1992</v>
      </c>
      <c r="E3249" s="6">
        <v>2</v>
      </c>
      <c r="F3249" s="6" t="str">
        <f t="shared" si="100"/>
        <v>May</v>
      </c>
      <c r="G3249" s="6">
        <f t="shared" si="101"/>
        <v>18</v>
      </c>
      <c r="H3249" s="1">
        <f>SUMIF('Retal Tran Line Item'!E:E,A3249,'Retal Tran Line Item'!B:B)</f>
        <v>6</v>
      </c>
    </row>
    <row r="3250" spans="1:8">
      <c r="A3250" s="1">
        <v>103837</v>
      </c>
      <c r="B3250" s="1">
        <v>657736</v>
      </c>
      <c r="C3250" s="2">
        <v>41763</v>
      </c>
      <c r="D3250" s="1" t="s">
        <v>1993</v>
      </c>
      <c r="E3250" s="6">
        <v>1</v>
      </c>
      <c r="F3250" s="6" t="str">
        <f t="shared" si="100"/>
        <v>May</v>
      </c>
      <c r="G3250" s="6">
        <f t="shared" si="101"/>
        <v>19</v>
      </c>
      <c r="H3250" s="1">
        <f>SUMIF('Retal Tran Line Item'!E:E,A3250,'Retal Tran Line Item'!B:B)</f>
        <v>1</v>
      </c>
    </row>
    <row r="3251" spans="1:8">
      <c r="A3251" s="1">
        <v>103838</v>
      </c>
      <c r="B3251" s="1">
        <v>420981</v>
      </c>
      <c r="C3251" s="2">
        <v>41763</v>
      </c>
      <c r="D3251" s="1" t="s">
        <v>1992</v>
      </c>
      <c r="E3251" s="6">
        <v>2</v>
      </c>
      <c r="F3251" s="6" t="str">
        <f t="shared" si="100"/>
        <v>May</v>
      </c>
      <c r="G3251" s="6">
        <f t="shared" si="101"/>
        <v>19</v>
      </c>
      <c r="H3251" s="1">
        <f>SUMIF('Retal Tran Line Item'!E:E,A3251,'Retal Tran Line Item'!B:B)</f>
        <v>12</v>
      </c>
    </row>
    <row r="3252" spans="1:8">
      <c r="A3252" s="1">
        <v>103839</v>
      </c>
      <c r="B3252" s="1">
        <v>814512</v>
      </c>
      <c r="C3252" s="2">
        <v>41763</v>
      </c>
      <c r="D3252" s="1" t="s">
        <v>1992</v>
      </c>
      <c r="E3252" s="6">
        <v>1</v>
      </c>
      <c r="F3252" s="6" t="str">
        <f t="shared" si="100"/>
        <v>May</v>
      </c>
      <c r="G3252" s="6">
        <f t="shared" si="101"/>
        <v>19</v>
      </c>
      <c r="H3252" s="1">
        <f>SUMIF('Retal Tran Line Item'!E:E,A3252,'Retal Tran Line Item'!B:B)</f>
        <v>1</v>
      </c>
    </row>
    <row r="3253" spans="1:8">
      <c r="A3253" s="1">
        <v>103840</v>
      </c>
      <c r="B3253" s="1">
        <v>757780</v>
      </c>
      <c r="C3253" s="2">
        <v>41763</v>
      </c>
      <c r="D3253" s="1" t="s">
        <v>1993</v>
      </c>
      <c r="E3253" s="6">
        <v>1</v>
      </c>
      <c r="F3253" s="6" t="str">
        <f t="shared" si="100"/>
        <v>May</v>
      </c>
      <c r="G3253" s="6">
        <f t="shared" si="101"/>
        <v>19</v>
      </c>
      <c r="H3253" s="1">
        <f>SUMIF('Retal Tran Line Item'!E:E,A3253,'Retal Tran Line Item'!B:B)</f>
        <v>6</v>
      </c>
    </row>
    <row r="3254" spans="1:8">
      <c r="A3254" s="1">
        <v>103842</v>
      </c>
      <c r="B3254" s="1">
        <v>194680</v>
      </c>
      <c r="C3254" s="2">
        <v>41763</v>
      </c>
      <c r="D3254" s="1" t="s">
        <v>1993</v>
      </c>
      <c r="E3254" s="6">
        <v>1</v>
      </c>
      <c r="F3254" s="6" t="str">
        <f t="shared" si="100"/>
        <v>May</v>
      </c>
      <c r="G3254" s="6">
        <f t="shared" si="101"/>
        <v>19</v>
      </c>
      <c r="H3254" s="1">
        <f>SUMIF('Retal Tran Line Item'!E:E,A3254,'Retal Tran Line Item'!B:B)</f>
        <v>7</v>
      </c>
    </row>
    <row r="3255" spans="1:8">
      <c r="A3255" s="1">
        <v>103844</v>
      </c>
      <c r="B3255" s="1">
        <v>567719</v>
      </c>
      <c r="C3255" s="2">
        <v>41764</v>
      </c>
      <c r="D3255" s="1" t="s">
        <v>1993</v>
      </c>
      <c r="E3255" s="6">
        <v>2</v>
      </c>
      <c r="F3255" s="6" t="str">
        <f t="shared" si="100"/>
        <v>May</v>
      </c>
      <c r="G3255" s="6">
        <f t="shared" si="101"/>
        <v>19</v>
      </c>
      <c r="H3255" s="1">
        <f>SUMIF('Retal Tran Line Item'!E:E,A3255,'Retal Tran Line Item'!B:B)</f>
        <v>4</v>
      </c>
    </row>
    <row r="3256" spans="1:8">
      <c r="A3256" s="1">
        <v>103845</v>
      </c>
      <c r="B3256" s="1">
        <v>806545</v>
      </c>
      <c r="C3256" s="2">
        <v>41764</v>
      </c>
      <c r="D3256" s="1" t="s">
        <v>1994</v>
      </c>
      <c r="E3256" s="6">
        <v>1</v>
      </c>
      <c r="F3256" s="6" t="str">
        <f t="shared" si="100"/>
        <v>May</v>
      </c>
      <c r="G3256" s="6">
        <f t="shared" si="101"/>
        <v>19</v>
      </c>
      <c r="H3256" s="1">
        <f>SUMIF('Retal Tran Line Item'!E:E,A3256,'Retal Tran Line Item'!B:B)</f>
        <v>13</v>
      </c>
    </row>
    <row r="3257" spans="1:8">
      <c r="A3257" s="1">
        <v>103846</v>
      </c>
      <c r="B3257" s="1">
        <v>664411</v>
      </c>
      <c r="C3257" s="2">
        <v>41764</v>
      </c>
      <c r="D3257" s="1" t="s">
        <v>1992</v>
      </c>
      <c r="E3257" s="6">
        <v>1</v>
      </c>
      <c r="F3257" s="6" t="str">
        <f t="shared" si="100"/>
        <v>May</v>
      </c>
      <c r="G3257" s="6">
        <f t="shared" si="101"/>
        <v>19</v>
      </c>
      <c r="H3257" s="1">
        <f>SUMIF('Retal Tran Line Item'!E:E,A3257,'Retal Tran Line Item'!B:B)</f>
        <v>10</v>
      </c>
    </row>
    <row r="3258" spans="1:8">
      <c r="A3258" s="1">
        <v>103847</v>
      </c>
      <c r="B3258" s="1">
        <v>108708</v>
      </c>
      <c r="C3258" s="2">
        <v>41764</v>
      </c>
      <c r="D3258" s="1" t="s">
        <v>1992</v>
      </c>
      <c r="E3258" s="6">
        <v>1</v>
      </c>
      <c r="F3258" s="6" t="str">
        <f t="shared" si="100"/>
        <v>May</v>
      </c>
      <c r="G3258" s="6">
        <f t="shared" si="101"/>
        <v>19</v>
      </c>
      <c r="H3258" s="1">
        <f>SUMIF('Retal Tran Line Item'!E:E,A3258,'Retal Tran Line Item'!B:B)</f>
        <v>8</v>
      </c>
    </row>
    <row r="3259" spans="1:8">
      <c r="A3259" s="1">
        <v>103849</v>
      </c>
      <c r="B3259" s="1">
        <v>938006</v>
      </c>
      <c r="C3259" s="2">
        <v>41764</v>
      </c>
      <c r="D3259" s="1" t="s">
        <v>1992</v>
      </c>
      <c r="E3259" s="6">
        <v>1</v>
      </c>
      <c r="F3259" s="6" t="str">
        <f t="shared" si="100"/>
        <v>May</v>
      </c>
      <c r="G3259" s="6">
        <f t="shared" si="101"/>
        <v>19</v>
      </c>
      <c r="H3259" s="1">
        <f>SUMIF('Retal Tran Line Item'!E:E,A3259,'Retal Tran Line Item'!B:B)</f>
        <v>4</v>
      </c>
    </row>
    <row r="3260" spans="1:8">
      <c r="A3260" s="1">
        <v>103850</v>
      </c>
      <c r="B3260" s="1">
        <v>781968</v>
      </c>
      <c r="C3260" s="2">
        <v>41764</v>
      </c>
      <c r="D3260" s="1" t="s">
        <v>1993</v>
      </c>
      <c r="E3260" s="6">
        <v>2</v>
      </c>
      <c r="F3260" s="6" t="str">
        <f t="shared" si="100"/>
        <v>May</v>
      </c>
      <c r="G3260" s="6">
        <f t="shared" si="101"/>
        <v>19</v>
      </c>
      <c r="H3260" s="1">
        <f>SUMIF('Retal Tran Line Item'!E:E,A3260,'Retal Tran Line Item'!B:B)</f>
        <v>10</v>
      </c>
    </row>
    <row r="3261" spans="1:8">
      <c r="A3261" s="1">
        <v>103851</v>
      </c>
      <c r="B3261" s="1">
        <v>926144</v>
      </c>
      <c r="C3261" s="2">
        <v>41765</v>
      </c>
      <c r="D3261" s="1" t="s">
        <v>1993</v>
      </c>
      <c r="E3261" s="6">
        <v>1</v>
      </c>
      <c r="F3261" s="6" t="str">
        <f t="shared" si="100"/>
        <v>May</v>
      </c>
      <c r="G3261" s="6">
        <f t="shared" si="101"/>
        <v>19</v>
      </c>
      <c r="H3261" s="1">
        <f>SUMIF('Retal Tran Line Item'!E:E,A3261,'Retal Tran Line Item'!B:B)</f>
        <v>12</v>
      </c>
    </row>
    <row r="3262" spans="1:8">
      <c r="A3262" s="1">
        <v>103852</v>
      </c>
      <c r="B3262" s="1">
        <v>296353</v>
      </c>
      <c r="C3262" s="2">
        <v>41765</v>
      </c>
      <c r="D3262" s="1" t="s">
        <v>1993</v>
      </c>
      <c r="E3262" s="6">
        <v>2</v>
      </c>
      <c r="F3262" s="6" t="str">
        <f t="shared" si="100"/>
        <v>May</v>
      </c>
      <c r="G3262" s="6">
        <f t="shared" si="101"/>
        <v>19</v>
      </c>
      <c r="H3262" s="1">
        <f>SUMIF('Retal Tran Line Item'!E:E,A3262,'Retal Tran Line Item'!B:B)</f>
        <v>17</v>
      </c>
    </row>
    <row r="3263" spans="1:8">
      <c r="A3263" s="1">
        <v>103855</v>
      </c>
      <c r="B3263" s="1">
        <v>789500</v>
      </c>
      <c r="C3263" s="2">
        <v>41765</v>
      </c>
      <c r="D3263" s="1" t="s">
        <v>1992</v>
      </c>
      <c r="E3263" s="6">
        <v>1</v>
      </c>
      <c r="F3263" s="6" t="str">
        <f t="shared" si="100"/>
        <v>May</v>
      </c>
      <c r="G3263" s="6">
        <f t="shared" si="101"/>
        <v>19</v>
      </c>
      <c r="H3263" s="1">
        <f>SUMIF('Retal Tran Line Item'!E:E,A3263,'Retal Tran Line Item'!B:B)</f>
        <v>11</v>
      </c>
    </row>
    <row r="3264" spans="1:8">
      <c r="A3264" s="1">
        <v>103856</v>
      </c>
      <c r="B3264" s="1">
        <v>891738</v>
      </c>
      <c r="C3264" s="2">
        <v>41765</v>
      </c>
      <c r="D3264" s="1" t="s">
        <v>1994</v>
      </c>
      <c r="E3264" s="6">
        <v>1</v>
      </c>
      <c r="F3264" s="6" t="str">
        <f t="shared" si="100"/>
        <v>May</v>
      </c>
      <c r="G3264" s="6">
        <f t="shared" si="101"/>
        <v>19</v>
      </c>
      <c r="H3264" s="1">
        <f>SUMIF('Retal Tran Line Item'!E:E,A3264,'Retal Tran Line Item'!B:B)</f>
        <v>8</v>
      </c>
    </row>
    <row r="3265" spans="1:8">
      <c r="A3265" s="1">
        <v>103857</v>
      </c>
      <c r="B3265" s="1">
        <v>192738</v>
      </c>
      <c r="C3265" s="2">
        <v>41765</v>
      </c>
      <c r="D3265" s="1" t="s">
        <v>1994</v>
      </c>
      <c r="E3265" s="6">
        <v>1</v>
      </c>
      <c r="F3265" s="6" t="str">
        <f t="shared" si="100"/>
        <v>May</v>
      </c>
      <c r="G3265" s="6">
        <f t="shared" si="101"/>
        <v>19</v>
      </c>
      <c r="H3265" s="1">
        <f>SUMIF('Retal Tran Line Item'!E:E,A3265,'Retal Tran Line Item'!B:B)</f>
        <v>12</v>
      </c>
    </row>
    <row r="3266" spans="1:8">
      <c r="A3266" s="1">
        <v>103859</v>
      </c>
      <c r="B3266" s="1">
        <v>166135</v>
      </c>
      <c r="C3266" s="2">
        <v>41766</v>
      </c>
      <c r="D3266" s="1" t="s">
        <v>1989</v>
      </c>
      <c r="E3266" s="6">
        <v>1</v>
      </c>
      <c r="F3266" s="6" t="str">
        <f t="shared" si="100"/>
        <v>May</v>
      </c>
      <c r="G3266" s="6">
        <f t="shared" si="101"/>
        <v>19</v>
      </c>
      <c r="H3266" s="1">
        <f>SUMIF('Retal Tran Line Item'!E:E,A3266,'Retal Tran Line Item'!B:B)</f>
        <v>5</v>
      </c>
    </row>
    <row r="3267" spans="1:8">
      <c r="A3267" s="1">
        <v>103860</v>
      </c>
      <c r="B3267" s="1">
        <v>924361</v>
      </c>
      <c r="C3267" s="2">
        <v>41766</v>
      </c>
      <c r="D3267" s="1" t="s">
        <v>1993</v>
      </c>
      <c r="E3267" s="6">
        <v>1</v>
      </c>
      <c r="F3267" s="6" t="str">
        <f t="shared" ref="F3267:F3330" si="102">TEXT(C3267,"MMMM")</f>
        <v>May</v>
      </c>
      <c r="G3267" s="6">
        <f t="shared" ref="G3267:G3330" si="103">WEEKNUM(C3267)</f>
        <v>19</v>
      </c>
      <c r="H3267" s="1">
        <f>SUMIF('Retal Tran Line Item'!E:E,A3267,'Retal Tran Line Item'!B:B)</f>
        <v>10</v>
      </c>
    </row>
    <row r="3268" spans="1:8">
      <c r="A3268" s="1">
        <v>103861</v>
      </c>
      <c r="B3268" s="1">
        <v>741514</v>
      </c>
      <c r="C3268" s="2">
        <v>41766</v>
      </c>
      <c r="D3268" s="1" t="s">
        <v>1992</v>
      </c>
      <c r="E3268" s="6">
        <v>1</v>
      </c>
      <c r="F3268" s="6" t="str">
        <f t="shared" si="102"/>
        <v>May</v>
      </c>
      <c r="G3268" s="6">
        <f t="shared" si="103"/>
        <v>19</v>
      </c>
      <c r="H3268" s="1">
        <f>SUMIF('Retal Tran Line Item'!E:E,A3268,'Retal Tran Line Item'!B:B)</f>
        <v>4</v>
      </c>
    </row>
    <row r="3269" spans="1:8">
      <c r="A3269" s="1">
        <v>103862</v>
      </c>
      <c r="B3269" s="1">
        <v>516619</v>
      </c>
      <c r="C3269" s="2">
        <v>41766</v>
      </c>
      <c r="D3269" s="1" t="s">
        <v>1993</v>
      </c>
      <c r="E3269" s="6">
        <v>1</v>
      </c>
      <c r="F3269" s="6" t="str">
        <f t="shared" si="102"/>
        <v>May</v>
      </c>
      <c r="G3269" s="6">
        <f t="shared" si="103"/>
        <v>19</v>
      </c>
      <c r="H3269" s="1">
        <f>SUMIF('Retal Tran Line Item'!E:E,A3269,'Retal Tran Line Item'!B:B)</f>
        <v>4</v>
      </c>
    </row>
    <row r="3270" spans="1:8">
      <c r="A3270" s="1">
        <v>103864</v>
      </c>
      <c r="B3270" s="1">
        <v>664934</v>
      </c>
      <c r="C3270" s="2">
        <v>41767</v>
      </c>
      <c r="D3270" s="1" t="s">
        <v>1994</v>
      </c>
      <c r="E3270" s="6">
        <v>2</v>
      </c>
      <c r="F3270" s="6" t="str">
        <f t="shared" si="102"/>
        <v>May</v>
      </c>
      <c r="G3270" s="6">
        <f t="shared" si="103"/>
        <v>19</v>
      </c>
      <c r="H3270" s="1">
        <f>SUMIF('Retal Tran Line Item'!E:E,A3270,'Retal Tran Line Item'!B:B)</f>
        <v>11</v>
      </c>
    </row>
    <row r="3271" spans="1:8">
      <c r="A3271" s="1">
        <v>103866</v>
      </c>
      <c r="B3271" s="1">
        <v>747066</v>
      </c>
      <c r="C3271" s="2">
        <v>41767</v>
      </c>
      <c r="D3271" s="1" t="s">
        <v>1993</v>
      </c>
      <c r="E3271" s="6">
        <v>1</v>
      </c>
      <c r="F3271" s="6" t="str">
        <f t="shared" si="102"/>
        <v>May</v>
      </c>
      <c r="G3271" s="6">
        <f t="shared" si="103"/>
        <v>19</v>
      </c>
      <c r="H3271" s="1">
        <f>SUMIF('Retal Tran Line Item'!E:E,A3271,'Retal Tran Line Item'!B:B)</f>
        <v>3</v>
      </c>
    </row>
    <row r="3272" spans="1:8">
      <c r="A3272" s="1">
        <v>103873</v>
      </c>
      <c r="B3272" s="1">
        <v>746134</v>
      </c>
      <c r="C3272" s="2">
        <v>41768</v>
      </c>
      <c r="D3272" s="1" t="s">
        <v>1994</v>
      </c>
      <c r="E3272" s="6">
        <v>2</v>
      </c>
      <c r="F3272" s="6" t="str">
        <f t="shared" si="102"/>
        <v>May</v>
      </c>
      <c r="G3272" s="6">
        <f t="shared" si="103"/>
        <v>19</v>
      </c>
      <c r="H3272" s="1">
        <f>SUMIF('Retal Tran Line Item'!E:E,A3272,'Retal Tran Line Item'!B:B)</f>
        <v>1</v>
      </c>
    </row>
    <row r="3273" spans="1:8">
      <c r="A3273" s="1">
        <v>103874</v>
      </c>
      <c r="B3273" s="1">
        <v>158310</v>
      </c>
      <c r="C3273" s="2">
        <v>41768</v>
      </c>
      <c r="D3273" s="1" t="s">
        <v>1993</v>
      </c>
      <c r="E3273" s="6">
        <v>1</v>
      </c>
      <c r="F3273" s="6" t="str">
        <f t="shared" si="102"/>
        <v>May</v>
      </c>
      <c r="G3273" s="6">
        <f t="shared" si="103"/>
        <v>19</v>
      </c>
      <c r="H3273" s="1">
        <f>SUMIF('Retal Tran Line Item'!E:E,A3273,'Retal Tran Line Item'!B:B)</f>
        <v>6</v>
      </c>
    </row>
    <row r="3274" spans="1:8">
      <c r="A3274" s="1">
        <v>103875</v>
      </c>
      <c r="B3274" s="1">
        <v>498970</v>
      </c>
      <c r="C3274" s="2">
        <v>41768</v>
      </c>
      <c r="D3274" s="1" t="s">
        <v>1992</v>
      </c>
      <c r="E3274" s="6">
        <v>1</v>
      </c>
      <c r="F3274" s="6" t="str">
        <f t="shared" si="102"/>
        <v>May</v>
      </c>
      <c r="G3274" s="6">
        <f t="shared" si="103"/>
        <v>19</v>
      </c>
      <c r="H3274" s="1">
        <f>SUMIF('Retal Tran Line Item'!E:E,A3274,'Retal Tran Line Item'!B:B)</f>
        <v>12</v>
      </c>
    </row>
    <row r="3275" spans="1:8">
      <c r="A3275" s="1">
        <v>103876</v>
      </c>
      <c r="B3275" s="1">
        <v>739669</v>
      </c>
      <c r="C3275" s="2">
        <v>41768</v>
      </c>
      <c r="D3275" s="1" t="s">
        <v>1992</v>
      </c>
      <c r="E3275" s="6">
        <v>2</v>
      </c>
      <c r="F3275" s="6" t="str">
        <f t="shared" si="102"/>
        <v>May</v>
      </c>
      <c r="G3275" s="6">
        <f t="shared" si="103"/>
        <v>19</v>
      </c>
      <c r="H3275" s="1">
        <f>SUMIF('Retal Tran Line Item'!E:E,A3275,'Retal Tran Line Item'!B:B)</f>
        <v>10</v>
      </c>
    </row>
    <row r="3276" spans="1:8">
      <c r="A3276" s="1">
        <v>103877</v>
      </c>
      <c r="B3276" s="1">
        <v>808421</v>
      </c>
      <c r="C3276" s="2">
        <v>41768</v>
      </c>
      <c r="D3276" s="1" t="s">
        <v>1989</v>
      </c>
      <c r="E3276" s="6">
        <v>1</v>
      </c>
      <c r="F3276" s="6" t="str">
        <f t="shared" si="102"/>
        <v>May</v>
      </c>
      <c r="G3276" s="6">
        <f t="shared" si="103"/>
        <v>19</v>
      </c>
      <c r="H3276" s="1">
        <f>SUMIF('Retal Tran Line Item'!E:E,A3276,'Retal Tran Line Item'!B:B)</f>
        <v>10</v>
      </c>
    </row>
    <row r="3277" spans="1:8">
      <c r="A3277" s="1">
        <v>103878</v>
      </c>
      <c r="B3277" s="1">
        <v>724700</v>
      </c>
      <c r="C3277" s="2">
        <v>41769</v>
      </c>
      <c r="D3277" s="1" t="s">
        <v>1994</v>
      </c>
      <c r="E3277" s="6">
        <v>2</v>
      </c>
      <c r="F3277" s="6" t="str">
        <f t="shared" si="102"/>
        <v>May</v>
      </c>
      <c r="G3277" s="6">
        <f t="shared" si="103"/>
        <v>19</v>
      </c>
      <c r="H3277" s="1">
        <f>SUMIF('Retal Tran Line Item'!E:E,A3277,'Retal Tran Line Item'!B:B)</f>
        <v>13</v>
      </c>
    </row>
    <row r="3278" spans="1:8">
      <c r="A3278" s="1">
        <v>103880</v>
      </c>
      <c r="B3278" s="1">
        <v>319387</v>
      </c>
      <c r="C3278" s="2">
        <v>41769</v>
      </c>
      <c r="D3278" s="1" t="s">
        <v>1993</v>
      </c>
      <c r="E3278" s="6">
        <v>2</v>
      </c>
      <c r="F3278" s="6" t="str">
        <f t="shared" si="102"/>
        <v>May</v>
      </c>
      <c r="G3278" s="6">
        <f t="shared" si="103"/>
        <v>19</v>
      </c>
      <c r="H3278" s="1">
        <f>SUMIF('Retal Tran Line Item'!E:E,A3278,'Retal Tran Line Item'!B:B)</f>
        <v>3</v>
      </c>
    </row>
    <row r="3279" spans="1:8">
      <c r="A3279" s="1">
        <v>103881</v>
      </c>
      <c r="B3279" s="1">
        <v>744780</v>
      </c>
      <c r="C3279" s="2">
        <v>41769</v>
      </c>
      <c r="D3279" s="1" t="s">
        <v>1994</v>
      </c>
      <c r="E3279" s="6">
        <v>2</v>
      </c>
      <c r="F3279" s="6" t="str">
        <f t="shared" si="102"/>
        <v>May</v>
      </c>
      <c r="G3279" s="6">
        <f t="shared" si="103"/>
        <v>19</v>
      </c>
      <c r="H3279" s="1">
        <f>SUMIF('Retal Tran Line Item'!E:E,A3279,'Retal Tran Line Item'!B:B)</f>
        <v>6</v>
      </c>
    </row>
    <row r="3280" spans="1:8">
      <c r="A3280" s="1">
        <v>103883</v>
      </c>
      <c r="B3280" s="1">
        <v>775449</v>
      </c>
      <c r="C3280" s="2">
        <v>41769</v>
      </c>
      <c r="D3280" s="1" t="s">
        <v>1993</v>
      </c>
      <c r="E3280" s="6">
        <v>1</v>
      </c>
      <c r="F3280" s="6" t="str">
        <f t="shared" si="102"/>
        <v>May</v>
      </c>
      <c r="G3280" s="6">
        <f t="shared" si="103"/>
        <v>19</v>
      </c>
      <c r="H3280" s="1">
        <f>SUMIF('Retal Tran Line Item'!E:E,A3280,'Retal Tran Line Item'!B:B)</f>
        <v>13</v>
      </c>
    </row>
    <row r="3281" spans="1:8">
      <c r="A3281" s="1">
        <v>103884</v>
      </c>
      <c r="B3281" s="1">
        <v>810369</v>
      </c>
      <c r="C3281" s="2">
        <v>41769</v>
      </c>
      <c r="D3281" s="1" t="s">
        <v>1993</v>
      </c>
      <c r="E3281" s="6">
        <v>2</v>
      </c>
      <c r="F3281" s="6" t="str">
        <f t="shared" si="102"/>
        <v>May</v>
      </c>
      <c r="G3281" s="6">
        <f t="shared" si="103"/>
        <v>19</v>
      </c>
      <c r="H3281" s="1">
        <f>SUMIF('Retal Tran Line Item'!E:E,A3281,'Retal Tran Line Item'!B:B)</f>
        <v>12</v>
      </c>
    </row>
    <row r="3282" spans="1:8">
      <c r="A3282" s="1">
        <v>103887</v>
      </c>
      <c r="B3282" s="1">
        <v>358901</v>
      </c>
      <c r="C3282" s="2">
        <v>41770</v>
      </c>
      <c r="D3282" s="1" t="s">
        <v>1989</v>
      </c>
      <c r="E3282" s="6">
        <v>2</v>
      </c>
      <c r="F3282" s="6" t="str">
        <f t="shared" si="102"/>
        <v>May</v>
      </c>
      <c r="G3282" s="6">
        <f t="shared" si="103"/>
        <v>20</v>
      </c>
      <c r="H3282" s="1">
        <f>SUMIF('Retal Tran Line Item'!E:E,A3282,'Retal Tran Line Item'!B:B)</f>
        <v>12</v>
      </c>
    </row>
    <row r="3283" spans="1:8">
      <c r="A3283" s="1">
        <v>103889</v>
      </c>
      <c r="B3283" s="1">
        <v>958321</v>
      </c>
      <c r="C3283" s="2">
        <v>41770</v>
      </c>
      <c r="D3283" s="1" t="s">
        <v>1993</v>
      </c>
      <c r="E3283" s="6">
        <v>2</v>
      </c>
      <c r="F3283" s="6" t="str">
        <f t="shared" si="102"/>
        <v>May</v>
      </c>
      <c r="G3283" s="6">
        <f t="shared" si="103"/>
        <v>20</v>
      </c>
      <c r="H3283" s="1">
        <f>SUMIF('Retal Tran Line Item'!E:E,A3283,'Retal Tran Line Item'!B:B)</f>
        <v>6</v>
      </c>
    </row>
    <row r="3284" spans="1:8">
      <c r="A3284" s="1">
        <v>103890</v>
      </c>
      <c r="B3284" s="1">
        <v>656512</v>
      </c>
      <c r="C3284" s="2">
        <v>41770</v>
      </c>
      <c r="D3284" s="1" t="s">
        <v>1994</v>
      </c>
      <c r="E3284" s="6">
        <v>1</v>
      </c>
      <c r="F3284" s="6" t="str">
        <f t="shared" si="102"/>
        <v>May</v>
      </c>
      <c r="G3284" s="6">
        <f t="shared" si="103"/>
        <v>20</v>
      </c>
      <c r="H3284" s="1">
        <f>SUMIF('Retal Tran Line Item'!E:E,A3284,'Retal Tran Line Item'!B:B)</f>
        <v>11</v>
      </c>
    </row>
    <row r="3285" spans="1:8">
      <c r="A3285" s="1">
        <v>103891</v>
      </c>
      <c r="B3285" s="1">
        <v>500350</v>
      </c>
      <c r="C3285" s="2">
        <v>41770</v>
      </c>
      <c r="D3285" s="1" t="s">
        <v>1993</v>
      </c>
      <c r="E3285" s="6">
        <v>2</v>
      </c>
      <c r="F3285" s="6" t="str">
        <f t="shared" si="102"/>
        <v>May</v>
      </c>
      <c r="G3285" s="6">
        <f t="shared" si="103"/>
        <v>20</v>
      </c>
      <c r="H3285" s="1">
        <f>SUMIF('Retal Tran Line Item'!E:E,A3285,'Retal Tran Line Item'!B:B)</f>
        <v>11</v>
      </c>
    </row>
    <row r="3286" spans="1:8">
      <c r="A3286" s="1">
        <v>103892</v>
      </c>
      <c r="B3286" s="1">
        <v>227456</v>
      </c>
      <c r="C3286" s="2">
        <v>41770</v>
      </c>
      <c r="D3286" s="1" t="s">
        <v>1993</v>
      </c>
      <c r="E3286" s="6">
        <v>1</v>
      </c>
      <c r="F3286" s="6" t="str">
        <f t="shared" si="102"/>
        <v>May</v>
      </c>
      <c r="G3286" s="6">
        <f t="shared" si="103"/>
        <v>20</v>
      </c>
      <c r="H3286" s="1">
        <f>SUMIF('Retal Tran Line Item'!E:E,A3286,'Retal Tran Line Item'!B:B)</f>
        <v>9</v>
      </c>
    </row>
    <row r="3287" spans="1:8">
      <c r="A3287" s="1">
        <v>103893</v>
      </c>
      <c r="B3287" s="1">
        <v>520196</v>
      </c>
      <c r="C3287" s="2">
        <v>41770</v>
      </c>
      <c r="D3287" s="1" t="s">
        <v>1992</v>
      </c>
      <c r="E3287" s="6">
        <v>1</v>
      </c>
      <c r="F3287" s="6" t="str">
        <f t="shared" si="102"/>
        <v>May</v>
      </c>
      <c r="G3287" s="6">
        <f t="shared" si="103"/>
        <v>20</v>
      </c>
      <c r="H3287" s="1">
        <f>SUMIF('Retal Tran Line Item'!E:E,A3287,'Retal Tran Line Item'!B:B)</f>
        <v>4</v>
      </c>
    </row>
    <row r="3288" spans="1:8">
      <c r="A3288" s="1">
        <v>103896</v>
      </c>
      <c r="B3288" s="1">
        <v>378374</v>
      </c>
      <c r="C3288" s="2">
        <v>41771</v>
      </c>
      <c r="D3288" s="1" t="s">
        <v>1994</v>
      </c>
      <c r="E3288" s="6">
        <v>1</v>
      </c>
      <c r="F3288" s="6" t="str">
        <f t="shared" si="102"/>
        <v>May</v>
      </c>
      <c r="G3288" s="6">
        <f t="shared" si="103"/>
        <v>20</v>
      </c>
      <c r="H3288" s="1">
        <f>SUMIF('Retal Tran Line Item'!E:E,A3288,'Retal Tran Line Item'!B:B)</f>
        <v>10</v>
      </c>
    </row>
    <row r="3289" spans="1:8">
      <c r="A3289" s="1">
        <v>103897</v>
      </c>
      <c r="B3289" s="1">
        <v>832914</v>
      </c>
      <c r="C3289" s="2">
        <v>41771</v>
      </c>
      <c r="D3289" s="1" t="s">
        <v>1992</v>
      </c>
      <c r="E3289" s="6">
        <v>2</v>
      </c>
      <c r="F3289" s="6" t="str">
        <f t="shared" si="102"/>
        <v>May</v>
      </c>
      <c r="G3289" s="6">
        <f t="shared" si="103"/>
        <v>20</v>
      </c>
      <c r="H3289" s="1">
        <f>SUMIF('Retal Tran Line Item'!E:E,A3289,'Retal Tran Line Item'!B:B)</f>
        <v>7</v>
      </c>
    </row>
    <row r="3290" spans="1:8">
      <c r="A3290" s="1">
        <v>103898</v>
      </c>
      <c r="B3290" s="1">
        <v>242720</v>
      </c>
      <c r="C3290" s="2">
        <v>41771</v>
      </c>
      <c r="D3290" s="1" t="s">
        <v>1989</v>
      </c>
      <c r="E3290" s="6">
        <v>2</v>
      </c>
      <c r="F3290" s="6" t="str">
        <f t="shared" si="102"/>
        <v>May</v>
      </c>
      <c r="G3290" s="6">
        <f t="shared" si="103"/>
        <v>20</v>
      </c>
      <c r="H3290" s="1">
        <f>SUMIF('Retal Tran Line Item'!E:E,A3290,'Retal Tran Line Item'!B:B)</f>
        <v>9</v>
      </c>
    </row>
    <row r="3291" spans="1:8">
      <c r="A3291" s="1">
        <v>103902</v>
      </c>
      <c r="B3291" s="1">
        <v>846558</v>
      </c>
      <c r="C3291" s="2">
        <v>41772</v>
      </c>
      <c r="D3291" s="1" t="s">
        <v>1992</v>
      </c>
      <c r="E3291" s="6">
        <v>2</v>
      </c>
      <c r="F3291" s="6" t="str">
        <f t="shared" si="102"/>
        <v>May</v>
      </c>
      <c r="G3291" s="6">
        <f t="shared" si="103"/>
        <v>20</v>
      </c>
      <c r="H3291" s="1">
        <f>SUMIF('Retal Tran Line Item'!E:E,A3291,'Retal Tran Line Item'!B:B)</f>
        <v>8</v>
      </c>
    </row>
    <row r="3292" spans="1:8">
      <c r="A3292" s="1">
        <v>103903</v>
      </c>
      <c r="B3292" s="1">
        <v>567719</v>
      </c>
      <c r="C3292" s="2">
        <v>41772</v>
      </c>
      <c r="D3292" s="1" t="s">
        <v>1993</v>
      </c>
      <c r="E3292" s="6">
        <v>2</v>
      </c>
      <c r="F3292" s="6" t="str">
        <f t="shared" si="102"/>
        <v>May</v>
      </c>
      <c r="G3292" s="6">
        <f t="shared" si="103"/>
        <v>20</v>
      </c>
      <c r="H3292" s="1">
        <f>SUMIF('Retal Tran Line Item'!E:E,A3292,'Retal Tran Line Item'!B:B)</f>
        <v>8</v>
      </c>
    </row>
    <row r="3293" spans="1:8">
      <c r="A3293" s="1">
        <v>103904</v>
      </c>
      <c r="B3293" s="1">
        <v>841141</v>
      </c>
      <c r="C3293" s="2">
        <v>41772</v>
      </c>
      <c r="D3293" s="1" t="s">
        <v>1992</v>
      </c>
      <c r="E3293" s="6">
        <v>1</v>
      </c>
      <c r="F3293" s="6" t="str">
        <f t="shared" si="102"/>
        <v>May</v>
      </c>
      <c r="G3293" s="6">
        <f t="shared" si="103"/>
        <v>20</v>
      </c>
      <c r="H3293" s="1">
        <f>SUMIF('Retal Tran Line Item'!E:E,A3293,'Retal Tran Line Item'!B:B)</f>
        <v>5</v>
      </c>
    </row>
    <row r="3294" spans="1:8">
      <c r="A3294" s="1">
        <v>103907</v>
      </c>
      <c r="B3294" s="1">
        <v>193914</v>
      </c>
      <c r="C3294" s="2">
        <v>41772</v>
      </c>
      <c r="D3294" s="1" t="s">
        <v>1992</v>
      </c>
      <c r="E3294" s="6">
        <v>2</v>
      </c>
      <c r="F3294" s="6" t="str">
        <f t="shared" si="102"/>
        <v>May</v>
      </c>
      <c r="G3294" s="6">
        <f t="shared" si="103"/>
        <v>20</v>
      </c>
      <c r="H3294" s="1">
        <f>SUMIF('Retal Tran Line Item'!E:E,A3294,'Retal Tran Line Item'!B:B)</f>
        <v>7</v>
      </c>
    </row>
    <row r="3295" spans="1:8">
      <c r="A3295" s="1">
        <v>103908</v>
      </c>
      <c r="B3295" s="1">
        <v>897614</v>
      </c>
      <c r="C3295" s="2">
        <v>41773</v>
      </c>
      <c r="D3295" s="1" t="s">
        <v>1994</v>
      </c>
      <c r="E3295" s="6">
        <v>2</v>
      </c>
      <c r="F3295" s="6" t="str">
        <f t="shared" si="102"/>
        <v>May</v>
      </c>
      <c r="G3295" s="6">
        <f t="shared" si="103"/>
        <v>20</v>
      </c>
      <c r="H3295" s="1">
        <f>SUMIF('Retal Tran Line Item'!E:E,A3295,'Retal Tran Line Item'!B:B)</f>
        <v>11</v>
      </c>
    </row>
    <row r="3296" spans="1:8">
      <c r="A3296" s="1">
        <v>103909</v>
      </c>
      <c r="B3296" s="1">
        <v>464277</v>
      </c>
      <c r="C3296" s="2">
        <v>41773</v>
      </c>
      <c r="D3296" s="1" t="s">
        <v>1992</v>
      </c>
      <c r="E3296" s="6">
        <v>2</v>
      </c>
      <c r="F3296" s="6" t="str">
        <f t="shared" si="102"/>
        <v>May</v>
      </c>
      <c r="G3296" s="6">
        <f t="shared" si="103"/>
        <v>20</v>
      </c>
      <c r="H3296" s="1">
        <f>SUMIF('Retal Tran Line Item'!E:E,A3296,'Retal Tran Line Item'!B:B)</f>
        <v>7</v>
      </c>
    </row>
    <row r="3297" spans="1:8">
      <c r="A3297" s="1">
        <v>103910</v>
      </c>
      <c r="B3297" s="1">
        <v>929344</v>
      </c>
      <c r="C3297" s="2">
        <v>41773</v>
      </c>
      <c r="D3297" s="1" t="s">
        <v>1992</v>
      </c>
      <c r="E3297" s="6">
        <v>1</v>
      </c>
      <c r="F3297" s="6" t="str">
        <f t="shared" si="102"/>
        <v>May</v>
      </c>
      <c r="G3297" s="6">
        <f t="shared" si="103"/>
        <v>20</v>
      </c>
      <c r="H3297" s="1">
        <f>SUMIF('Retal Tran Line Item'!E:E,A3297,'Retal Tran Line Item'!B:B)</f>
        <v>4</v>
      </c>
    </row>
    <row r="3298" spans="1:8">
      <c r="A3298" s="1">
        <v>103911</v>
      </c>
      <c r="B3298" s="1">
        <v>485769</v>
      </c>
      <c r="C3298" s="2">
        <v>41773</v>
      </c>
      <c r="D3298" s="1" t="s">
        <v>1989</v>
      </c>
      <c r="E3298" s="6">
        <v>2</v>
      </c>
      <c r="F3298" s="6" t="str">
        <f t="shared" si="102"/>
        <v>May</v>
      </c>
      <c r="G3298" s="6">
        <f t="shared" si="103"/>
        <v>20</v>
      </c>
      <c r="H3298" s="1">
        <f>SUMIF('Retal Tran Line Item'!E:E,A3298,'Retal Tran Line Item'!B:B)</f>
        <v>11</v>
      </c>
    </row>
    <row r="3299" spans="1:8">
      <c r="A3299" s="1">
        <v>103916</v>
      </c>
      <c r="B3299" s="1">
        <v>488295</v>
      </c>
      <c r="C3299" s="2">
        <v>41774</v>
      </c>
      <c r="D3299" s="1" t="s">
        <v>1992</v>
      </c>
      <c r="E3299" s="6">
        <v>2</v>
      </c>
      <c r="F3299" s="6" t="str">
        <f t="shared" si="102"/>
        <v>May</v>
      </c>
      <c r="G3299" s="6">
        <f t="shared" si="103"/>
        <v>20</v>
      </c>
      <c r="H3299" s="1">
        <f>SUMIF('Retal Tran Line Item'!E:E,A3299,'Retal Tran Line Item'!B:B)</f>
        <v>5</v>
      </c>
    </row>
    <row r="3300" spans="1:8">
      <c r="A3300" s="1">
        <v>103917</v>
      </c>
      <c r="B3300" s="1">
        <v>767570</v>
      </c>
      <c r="C3300" s="2">
        <v>41774</v>
      </c>
      <c r="D3300" s="1" t="s">
        <v>1993</v>
      </c>
      <c r="E3300" s="6">
        <v>2</v>
      </c>
      <c r="F3300" s="6" t="str">
        <f t="shared" si="102"/>
        <v>May</v>
      </c>
      <c r="G3300" s="6">
        <f t="shared" si="103"/>
        <v>20</v>
      </c>
      <c r="H3300" s="1">
        <f>SUMIF('Retal Tran Line Item'!E:E,A3300,'Retal Tran Line Item'!B:B)</f>
        <v>3</v>
      </c>
    </row>
    <row r="3301" spans="1:8">
      <c r="A3301" s="1">
        <v>103919</v>
      </c>
      <c r="B3301" s="1">
        <v>880238</v>
      </c>
      <c r="C3301" s="2">
        <v>41774</v>
      </c>
      <c r="D3301" s="1" t="s">
        <v>1993</v>
      </c>
      <c r="E3301" s="6">
        <v>2</v>
      </c>
      <c r="F3301" s="6" t="str">
        <f t="shared" si="102"/>
        <v>May</v>
      </c>
      <c r="G3301" s="6">
        <f t="shared" si="103"/>
        <v>20</v>
      </c>
      <c r="H3301" s="1">
        <f>SUMIF('Retal Tran Line Item'!E:E,A3301,'Retal Tran Line Item'!B:B)</f>
        <v>2</v>
      </c>
    </row>
    <row r="3302" spans="1:8">
      <c r="A3302" s="1">
        <v>103920</v>
      </c>
      <c r="B3302" s="1">
        <v>224094</v>
      </c>
      <c r="C3302" s="2">
        <v>41774</v>
      </c>
      <c r="D3302" s="1" t="s">
        <v>1989</v>
      </c>
      <c r="E3302" s="6">
        <v>2</v>
      </c>
      <c r="F3302" s="6" t="str">
        <f t="shared" si="102"/>
        <v>May</v>
      </c>
      <c r="G3302" s="6">
        <f t="shared" si="103"/>
        <v>20</v>
      </c>
      <c r="H3302" s="1">
        <f>SUMIF('Retal Tran Line Item'!E:E,A3302,'Retal Tran Line Item'!B:B)</f>
        <v>5</v>
      </c>
    </row>
    <row r="3303" spans="1:8">
      <c r="A3303" s="1">
        <v>103921</v>
      </c>
      <c r="B3303" s="1">
        <v>955591</v>
      </c>
      <c r="C3303" s="2">
        <v>41774</v>
      </c>
      <c r="D3303" s="1" t="s">
        <v>1993</v>
      </c>
      <c r="E3303" s="6">
        <v>1</v>
      </c>
      <c r="F3303" s="6" t="str">
        <f t="shared" si="102"/>
        <v>May</v>
      </c>
      <c r="G3303" s="6">
        <f t="shared" si="103"/>
        <v>20</v>
      </c>
      <c r="H3303" s="1">
        <f>SUMIF('Retal Tran Line Item'!E:E,A3303,'Retal Tran Line Item'!B:B)</f>
        <v>3</v>
      </c>
    </row>
    <row r="3304" spans="1:8">
      <c r="A3304" s="1">
        <v>103922</v>
      </c>
      <c r="B3304" s="1">
        <v>994199</v>
      </c>
      <c r="C3304" s="2">
        <v>41774</v>
      </c>
      <c r="D3304" s="1" t="s">
        <v>1992</v>
      </c>
      <c r="E3304" s="6">
        <v>1</v>
      </c>
      <c r="F3304" s="6" t="str">
        <f t="shared" si="102"/>
        <v>May</v>
      </c>
      <c r="G3304" s="6">
        <f t="shared" si="103"/>
        <v>20</v>
      </c>
      <c r="H3304" s="1">
        <f>SUMIF('Retal Tran Line Item'!E:E,A3304,'Retal Tran Line Item'!B:B)</f>
        <v>15</v>
      </c>
    </row>
    <row r="3305" spans="1:8">
      <c r="A3305" s="1">
        <v>103923</v>
      </c>
      <c r="B3305" s="1">
        <v>761615</v>
      </c>
      <c r="C3305" s="2">
        <v>41774</v>
      </c>
      <c r="D3305" s="1" t="s">
        <v>1993</v>
      </c>
      <c r="E3305" s="6">
        <v>2</v>
      </c>
      <c r="F3305" s="6" t="str">
        <f t="shared" si="102"/>
        <v>May</v>
      </c>
      <c r="G3305" s="6">
        <f t="shared" si="103"/>
        <v>20</v>
      </c>
      <c r="H3305" s="1">
        <f>SUMIF('Retal Tran Line Item'!E:E,A3305,'Retal Tran Line Item'!B:B)</f>
        <v>6</v>
      </c>
    </row>
    <row r="3306" spans="1:8">
      <c r="A3306" s="1">
        <v>103926</v>
      </c>
      <c r="B3306" s="1">
        <v>866847</v>
      </c>
      <c r="C3306" s="2">
        <v>41775</v>
      </c>
      <c r="D3306" s="1" t="s">
        <v>1992</v>
      </c>
      <c r="E3306" s="6">
        <v>2</v>
      </c>
      <c r="F3306" s="6" t="str">
        <f t="shared" si="102"/>
        <v>May</v>
      </c>
      <c r="G3306" s="6">
        <f t="shared" si="103"/>
        <v>20</v>
      </c>
      <c r="H3306" s="1">
        <f>SUMIF('Retal Tran Line Item'!E:E,A3306,'Retal Tran Line Item'!B:B)</f>
        <v>1</v>
      </c>
    </row>
    <row r="3307" spans="1:8">
      <c r="A3307" s="1">
        <v>103927</v>
      </c>
      <c r="B3307" s="1">
        <v>297686</v>
      </c>
      <c r="C3307" s="2">
        <v>41775</v>
      </c>
      <c r="D3307" s="1" t="s">
        <v>1992</v>
      </c>
      <c r="E3307" s="6">
        <v>2</v>
      </c>
      <c r="F3307" s="6" t="str">
        <f t="shared" si="102"/>
        <v>May</v>
      </c>
      <c r="G3307" s="6">
        <f t="shared" si="103"/>
        <v>20</v>
      </c>
      <c r="H3307" s="1">
        <f>SUMIF('Retal Tran Line Item'!E:E,A3307,'Retal Tran Line Item'!B:B)</f>
        <v>12</v>
      </c>
    </row>
    <row r="3308" spans="1:8">
      <c r="A3308" s="1">
        <v>103929</v>
      </c>
      <c r="B3308" s="1">
        <v>236554</v>
      </c>
      <c r="C3308" s="2">
        <v>41775</v>
      </c>
      <c r="D3308" s="1" t="s">
        <v>1993</v>
      </c>
      <c r="E3308" s="6">
        <v>1</v>
      </c>
      <c r="F3308" s="6" t="str">
        <f t="shared" si="102"/>
        <v>May</v>
      </c>
      <c r="G3308" s="6">
        <f t="shared" si="103"/>
        <v>20</v>
      </c>
      <c r="H3308" s="1">
        <f>SUMIF('Retal Tran Line Item'!E:E,A3308,'Retal Tran Line Item'!B:B)</f>
        <v>3</v>
      </c>
    </row>
    <row r="3309" spans="1:8">
      <c r="A3309" s="1">
        <v>103933</v>
      </c>
      <c r="B3309" s="1">
        <v>330223</v>
      </c>
      <c r="C3309" s="2">
        <v>41776</v>
      </c>
      <c r="D3309" s="1" t="s">
        <v>1993</v>
      </c>
      <c r="E3309" s="6">
        <v>1</v>
      </c>
      <c r="F3309" s="6" t="str">
        <f t="shared" si="102"/>
        <v>May</v>
      </c>
      <c r="G3309" s="6">
        <f t="shared" si="103"/>
        <v>20</v>
      </c>
      <c r="H3309" s="1">
        <f>SUMIF('Retal Tran Line Item'!E:E,A3309,'Retal Tran Line Item'!B:B)</f>
        <v>4</v>
      </c>
    </row>
    <row r="3310" spans="1:8">
      <c r="A3310" s="1">
        <v>103934</v>
      </c>
      <c r="B3310" s="1">
        <v>797968</v>
      </c>
      <c r="C3310" s="2">
        <v>41776</v>
      </c>
      <c r="D3310" s="1" t="s">
        <v>1993</v>
      </c>
      <c r="E3310" s="6">
        <v>1</v>
      </c>
      <c r="F3310" s="6" t="str">
        <f t="shared" si="102"/>
        <v>May</v>
      </c>
      <c r="G3310" s="6">
        <f t="shared" si="103"/>
        <v>20</v>
      </c>
      <c r="H3310" s="1">
        <f>SUMIF('Retal Tran Line Item'!E:E,A3310,'Retal Tran Line Item'!B:B)</f>
        <v>29</v>
      </c>
    </row>
    <row r="3311" spans="1:8">
      <c r="A3311" s="1">
        <v>103936</v>
      </c>
      <c r="B3311" s="1">
        <v>218889</v>
      </c>
      <c r="C3311" s="2">
        <v>41776</v>
      </c>
      <c r="D3311" s="1" t="s">
        <v>1992</v>
      </c>
      <c r="E3311" s="6">
        <v>1</v>
      </c>
      <c r="F3311" s="6" t="str">
        <f t="shared" si="102"/>
        <v>May</v>
      </c>
      <c r="G3311" s="6">
        <f t="shared" si="103"/>
        <v>20</v>
      </c>
      <c r="H3311" s="1">
        <f>SUMIF('Retal Tran Line Item'!E:E,A3311,'Retal Tran Line Item'!B:B)</f>
        <v>15</v>
      </c>
    </row>
    <row r="3312" spans="1:8">
      <c r="A3312" s="1">
        <v>103937</v>
      </c>
      <c r="B3312" s="1">
        <v>897614</v>
      </c>
      <c r="C3312" s="2">
        <v>41776</v>
      </c>
      <c r="D3312" s="1" t="s">
        <v>1994</v>
      </c>
      <c r="E3312" s="6">
        <v>2</v>
      </c>
      <c r="F3312" s="6" t="str">
        <f t="shared" si="102"/>
        <v>May</v>
      </c>
      <c r="G3312" s="6">
        <f t="shared" si="103"/>
        <v>20</v>
      </c>
      <c r="H3312" s="1">
        <f>SUMIF('Retal Tran Line Item'!E:E,A3312,'Retal Tran Line Item'!B:B)</f>
        <v>7</v>
      </c>
    </row>
    <row r="3313" spans="1:8">
      <c r="A3313" s="1">
        <v>103939</v>
      </c>
      <c r="B3313" s="1">
        <v>728908</v>
      </c>
      <c r="C3313" s="2">
        <v>41777</v>
      </c>
      <c r="D3313" s="1" t="s">
        <v>1989</v>
      </c>
      <c r="E3313" s="6">
        <v>2</v>
      </c>
      <c r="F3313" s="6" t="str">
        <f t="shared" si="102"/>
        <v>May</v>
      </c>
      <c r="G3313" s="6">
        <f t="shared" si="103"/>
        <v>21</v>
      </c>
      <c r="H3313" s="1">
        <f>SUMIF('Retal Tran Line Item'!E:E,A3313,'Retal Tran Line Item'!B:B)</f>
        <v>5</v>
      </c>
    </row>
    <row r="3314" spans="1:8">
      <c r="A3314" s="1">
        <v>103940</v>
      </c>
      <c r="B3314" s="1">
        <v>271531</v>
      </c>
      <c r="C3314" s="2">
        <v>41777</v>
      </c>
      <c r="D3314" s="1" t="s">
        <v>1993</v>
      </c>
      <c r="E3314" s="6">
        <v>2</v>
      </c>
      <c r="F3314" s="6" t="str">
        <f t="shared" si="102"/>
        <v>May</v>
      </c>
      <c r="G3314" s="6">
        <f t="shared" si="103"/>
        <v>21</v>
      </c>
      <c r="H3314" s="1">
        <f>SUMIF('Retal Tran Line Item'!E:E,A3314,'Retal Tran Line Item'!B:B)</f>
        <v>7</v>
      </c>
    </row>
    <row r="3315" spans="1:8">
      <c r="A3315" s="1">
        <v>103946</v>
      </c>
      <c r="B3315" s="1">
        <v>767570</v>
      </c>
      <c r="C3315" s="2">
        <v>41778</v>
      </c>
      <c r="D3315" s="1" t="s">
        <v>1993</v>
      </c>
      <c r="E3315" s="6">
        <v>1</v>
      </c>
      <c r="F3315" s="6" t="str">
        <f t="shared" si="102"/>
        <v>May</v>
      </c>
      <c r="G3315" s="6">
        <f t="shared" si="103"/>
        <v>21</v>
      </c>
      <c r="H3315" s="1">
        <f>SUMIF('Retal Tran Line Item'!E:E,A3315,'Retal Tran Line Item'!B:B)</f>
        <v>5</v>
      </c>
    </row>
    <row r="3316" spans="1:8">
      <c r="A3316" s="1">
        <v>103947</v>
      </c>
      <c r="B3316" s="1">
        <v>841831</v>
      </c>
      <c r="C3316" s="2">
        <v>41778</v>
      </c>
      <c r="D3316" s="1" t="s">
        <v>1992</v>
      </c>
      <c r="E3316" s="6">
        <v>2</v>
      </c>
      <c r="F3316" s="6" t="str">
        <f t="shared" si="102"/>
        <v>May</v>
      </c>
      <c r="G3316" s="6">
        <f t="shared" si="103"/>
        <v>21</v>
      </c>
      <c r="H3316" s="1">
        <f>SUMIF('Retal Tran Line Item'!E:E,A3316,'Retal Tran Line Item'!B:B)</f>
        <v>3</v>
      </c>
    </row>
    <row r="3317" spans="1:8">
      <c r="A3317" s="1">
        <v>103948</v>
      </c>
      <c r="B3317" s="1">
        <v>448993</v>
      </c>
      <c r="C3317" s="2">
        <v>41778</v>
      </c>
      <c r="D3317" s="1" t="s">
        <v>1992</v>
      </c>
      <c r="E3317" s="6">
        <v>2</v>
      </c>
      <c r="F3317" s="6" t="str">
        <f t="shared" si="102"/>
        <v>May</v>
      </c>
      <c r="G3317" s="6">
        <f t="shared" si="103"/>
        <v>21</v>
      </c>
      <c r="H3317" s="1">
        <f>SUMIF('Retal Tran Line Item'!E:E,A3317,'Retal Tran Line Item'!B:B)</f>
        <v>10</v>
      </c>
    </row>
    <row r="3318" spans="1:8">
      <c r="A3318" s="1">
        <v>103949</v>
      </c>
      <c r="B3318" s="1">
        <v>970794</v>
      </c>
      <c r="C3318" s="2">
        <v>41778</v>
      </c>
      <c r="D3318" s="1" t="s">
        <v>1993</v>
      </c>
      <c r="E3318" s="6">
        <v>1</v>
      </c>
      <c r="F3318" s="6" t="str">
        <f t="shared" si="102"/>
        <v>May</v>
      </c>
      <c r="G3318" s="6">
        <f t="shared" si="103"/>
        <v>21</v>
      </c>
      <c r="H3318" s="1">
        <f>SUMIF('Retal Tran Line Item'!E:E,A3318,'Retal Tran Line Item'!B:B)</f>
        <v>15</v>
      </c>
    </row>
    <row r="3319" spans="1:8">
      <c r="A3319" s="1">
        <v>103950</v>
      </c>
      <c r="B3319" s="1">
        <v>612681</v>
      </c>
      <c r="C3319" s="2">
        <v>41778</v>
      </c>
      <c r="D3319" s="1" t="s">
        <v>1993</v>
      </c>
      <c r="E3319" s="6">
        <v>1</v>
      </c>
      <c r="F3319" s="6" t="str">
        <f t="shared" si="102"/>
        <v>May</v>
      </c>
      <c r="G3319" s="6">
        <f t="shared" si="103"/>
        <v>21</v>
      </c>
      <c r="H3319" s="1">
        <f>SUMIF('Retal Tran Line Item'!E:E,A3319,'Retal Tran Line Item'!B:B)</f>
        <v>4</v>
      </c>
    </row>
    <row r="3320" spans="1:8">
      <c r="A3320" s="1">
        <v>103951</v>
      </c>
      <c r="B3320" s="1">
        <v>689877</v>
      </c>
      <c r="C3320" s="2">
        <v>41778</v>
      </c>
      <c r="D3320" s="1" t="s">
        <v>1994</v>
      </c>
      <c r="E3320" s="6">
        <v>2</v>
      </c>
      <c r="F3320" s="6" t="str">
        <f t="shared" si="102"/>
        <v>May</v>
      </c>
      <c r="G3320" s="6">
        <f t="shared" si="103"/>
        <v>21</v>
      </c>
      <c r="H3320" s="1">
        <f>SUMIF('Retal Tran Line Item'!E:E,A3320,'Retal Tran Line Item'!B:B)</f>
        <v>9</v>
      </c>
    </row>
    <row r="3321" spans="1:8">
      <c r="A3321" s="1">
        <v>103952</v>
      </c>
      <c r="B3321" s="1">
        <v>866847</v>
      </c>
      <c r="C3321" s="2">
        <v>41779</v>
      </c>
      <c r="D3321" s="1" t="s">
        <v>1992</v>
      </c>
      <c r="E3321" s="6">
        <v>2</v>
      </c>
      <c r="F3321" s="6" t="str">
        <f t="shared" si="102"/>
        <v>May</v>
      </c>
      <c r="G3321" s="6">
        <f t="shared" si="103"/>
        <v>21</v>
      </c>
      <c r="H3321" s="1">
        <f>SUMIF('Retal Tran Line Item'!E:E,A3321,'Retal Tran Line Item'!B:B)</f>
        <v>4</v>
      </c>
    </row>
    <row r="3322" spans="1:8">
      <c r="A3322" s="1">
        <v>103954</v>
      </c>
      <c r="B3322" s="1">
        <v>265707</v>
      </c>
      <c r="C3322" s="2">
        <v>41779</v>
      </c>
      <c r="D3322" s="1" t="s">
        <v>1994</v>
      </c>
      <c r="E3322" s="6">
        <v>1</v>
      </c>
      <c r="F3322" s="6" t="str">
        <f t="shared" si="102"/>
        <v>May</v>
      </c>
      <c r="G3322" s="6">
        <f t="shared" si="103"/>
        <v>21</v>
      </c>
      <c r="H3322" s="1">
        <f>SUMIF('Retal Tran Line Item'!E:E,A3322,'Retal Tran Line Item'!B:B)</f>
        <v>6</v>
      </c>
    </row>
    <row r="3323" spans="1:8">
      <c r="A3323" s="1">
        <v>103955</v>
      </c>
      <c r="B3323" s="1">
        <v>714277</v>
      </c>
      <c r="C3323" s="2">
        <v>41779</v>
      </c>
      <c r="D3323" s="1" t="s">
        <v>1994</v>
      </c>
      <c r="E3323" s="6">
        <v>1</v>
      </c>
      <c r="F3323" s="6" t="str">
        <f t="shared" si="102"/>
        <v>May</v>
      </c>
      <c r="G3323" s="6">
        <f t="shared" si="103"/>
        <v>21</v>
      </c>
      <c r="H3323" s="1">
        <f>SUMIF('Retal Tran Line Item'!E:E,A3323,'Retal Tran Line Item'!B:B)</f>
        <v>20</v>
      </c>
    </row>
    <row r="3324" spans="1:8">
      <c r="A3324" s="1">
        <v>103956</v>
      </c>
      <c r="B3324" s="1">
        <v>818287</v>
      </c>
      <c r="C3324" s="2">
        <v>41779</v>
      </c>
      <c r="D3324" s="1" t="s">
        <v>1994</v>
      </c>
      <c r="E3324" s="6">
        <v>2</v>
      </c>
      <c r="F3324" s="6" t="str">
        <f t="shared" si="102"/>
        <v>May</v>
      </c>
      <c r="G3324" s="6">
        <f t="shared" si="103"/>
        <v>21</v>
      </c>
      <c r="H3324" s="1">
        <f>SUMIF('Retal Tran Line Item'!E:E,A3324,'Retal Tran Line Item'!B:B)</f>
        <v>20</v>
      </c>
    </row>
    <row r="3325" spans="1:8">
      <c r="A3325" s="1">
        <v>103957</v>
      </c>
      <c r="B3325" s="1">
        <v>757780</v>
      </c>
      <c r="C3325" s="2">
        <v>41779</v>
      </c>
      <c r="D3325" s="1" t="s">
        <v>1993</v>
      </c>
      <c r="E3325" s="6">
        <v>1</v>
      </c>
      <c r="F3325" s="6" t="str">
        <f t="shared" si="102"/>
        <v>May</v>
      </c>
      <c r="G3325" s="6">
        <f t="shared" si="103"/>
        <v>21</v>
      </c>
      <c r="H3325" s="1">
        <f>SUMIF('Retal Tran Line Item'!E:E,A3325,'Retal Tran Line Item'!B:B)</f>
        <v>3</v>
      </c>
    </row>
    <row r="3326" spans="1:8">
      <c r="A3326" s="1">
        <v>103959</v>
      </c>
      <c r="B3326" s="1">
        <v>344702</v>
      </c>
      <c r="C3326" s="2">
        <v>41780</v>
      </c>
      <c r="D3326" s="1" t="s">
        <v>1992</v>
      </c>
      <c r="E3326" s="6">
        <v>2</v>
      </c>
      <c r="F3326" s="6" t="str">
        <f t="shared" si="102"/>
        <v>May</v>
      </c>
      <c r="G3326" s="6">
        <f t="shared" si="103"/>
        <v>21</v>
      </c>
      <c r="H3326" s="1">
        <f>SUMIF('Retal Tran Line Item'!E:E,A3326,'Retal Tran Line Item'!B:B)</f>
        <v>16</v>
      </c>
    </row>
    <row r="3327" spans="1:8">
      <c r="A3327" s="1">
        <v>103960</v>
      </c>
      <c r="B3327" s="1">
        <v>225489</v>
      </c>
      <c r="C3327" s="2">
        <v>41780</v>
      </c>
      <c r="D3327" s="1" t="s">
        <v>1992</v>
      </c>
      <c r="E3327" s="6">
        <v>2</v>
      </c>
      <c r="F3327" s="6" t="str">
        <f t="shared" si="102"/>
        <v>May</v>
      </c>
      <c r="G3327" s="6">
        <f t="shared" si="103"/>
        <v>21</v>
      </c>
      <c r="H3327" s="1">
        <f>SUMIF('Retal Tran Line Item'!E:E,A3327,'Retal Tran Line Item'!B:B)</f>
        <v>1</v>
      </c>
    </row>
    <row r="3328" spans="1:8">
      <c r="A3328" s="1">
        <v>103961</v>
      </c>
      <c r="B3328" s="1">
        <v>996970</v>
      </c>
      <c r="C3328" s="2">
        <v>41780</v>
      </c>
      <c r="D3328" s="1" t="s">
        <v>1993</v>
      </c>
      <c r="E3328" s="6">
        <v>1</v>
      </c>
      <c r="F3328" s="6" t="str">
        <f t="shared" si="102"/>
        <v>May</v>
      </c>
      <c r="G3328" s="6">
        <f t="shared" si="103"/>
        <v>21</v>
      </c>
      <c r="H3328" s="1">
        <f>SUMIF('Retal Tran Line Item'!E:E,A3328,'Retal Tran Line Item'!B:B)</f>
        <v>8</v>
      </c>
    </row>
    <row r="3329" spans="1:8">
      <c r="A3329" s="1">
        <v>103963</v>
      </c>
      <c r="B3329" s="1">
        <v>498970</v>
      </c>
      <c r="C3329" s="2">
        <v>41780</v>
      </c>
      <c r="D3329" s="1" t="s">
        <v>1992</v>
      </c>
      <c r="E3329" s="6">
        <v>2</v>
      </c>
      <c r="F3329" s="6" t="str">
        <f t="shared" si="102"/>
        <v>May</v>
      </c>
      <c r="G3329" s="6">
        <f t="shared" si="103"/>
        <v>21</v>
      </c>
      <c r="H3329" s="1">
        <f>SUMIF('Retal Tran Line Item'!E:E,A3329,'Retal Tran Line Item'!B:B)</f>
        <v>7</v>
      </c>
    </row>
    <row r="3330" spans="1:8">
      <c r="A3330" s="1">
        <v>103964</v>
      </c>
      <c r="B3330" s="1">
        <v>580783</v>
      </c>
      <c r="C3330" s="2">
        <v>41780</v>
      </c>
      <c r="D3330" s="1" t="s">
        <v>1989</v>
      </c>
      <c r="E3330" s="6">
        <v>2</v>
      </c>
      <c r="F3330" s="6" t="str">
        <f t="shared" si="102"/>
        <v>May</v>
      </c>
      <c r="G3330" s="6">
        <f t="shared" si="103"/>
        <v>21</v>
      </c>
      <c r="H3330" s="1">
        <f>SUMIF('Retal Tran Line Item'!E:E,A3330,'Retal Tran Line Item'!B:B)</f>
        <v>4</v>
      </c>
    </row>
    <row r="3331" spans="1:8">
      <c r="A3331" s="1">
        <v>103967</v>
      </c>
      <c r="B3331" s="1">
        <v>427391</v>
      </c>
      <c r="C3331" s="2">
        <v>41781</v>
      </c>
      <c r="D3331" s="1" t="s">
        <v>1992</v>
      </c>
      <c r="E3331" s="6">
        <v>2</v>
      </c>
      <c r="F3331" s="6" t="str">
        <f t="shared" ref="F3331:F3394" si="104">TEXT(C3331,"MMMM")</f>
        <v>May</v>
      </c>
      <c r="G3331" s="6">
        <f t="shared" ref="G3331:G3394" si="105">WEEKNUM(C3331)</f>
        <v>21</v>
      </c>
      <c r="H3331" s="1">
        <f>SUMIF('Retal Tran Line Item'!E:E,A3331,'Retal Tran Line Item'!B:B)</f>
        <v>12</v>
      </c>
    </row>
    <row r="3332" spans="1:8">
      <c r="A3332" s="1">
        <v>103968</v>
      </c>
      <c r="B3332" s="1">
        <v>524667</v>
      </c>
      <c r="C3332" s="2">
        <v>41781</v>
      </c>
      <c r="D3332" s="1" t="s">
        <v>1994</v>
      </c>
      <c r="E3332" s="6">
        <v>2</v>
      </c>
      <c r="F3332" s="6" t="str">
        <f t="shared" si="104"/>
        <v>May</v>
      </c>
      <c r="G3332" s="6">
        <f t="shared" si="105"/>
        <v>21</v>
      </c>
      <c r="H3332" s="1">
        <f>SUMIF('Retal Tran Line Item'!E:E,A3332,'Retal Tran Line Item'!B:B)</f>
        <v>15</v>
      </c>
    </row>
    <row r="3333" spans="1:8">
      <c r="A3333" s="1">
        <v>103970</v>
      </c>
      <c r="B3333" s="1">
        <v>961080</v>
      </c>
      <c r="C3333" s="2">
        <v>41781</v>
      </c>
      <c r="D3333" s="1" t="s">
        <v>1992</v>
      </c>
      <c r="E3333" s="6">
        <v>2</v>
      </c>
      <c r="F3333" s="6" t="str">
        <f t="shared" si="104"/>
        <v>May</v>
      </c>
      <c r="G3333" s="6">
        <f t="shared" si="105"/>
        <v>21</v>
      </c>
      <c r="H3333" s="1">
        <f>SUMIF('Retal Tran Line Item'!E:E,A3333,'Retal Tran Line Item'!B:B)</f>
        <v>9</v>
      </c>
    </row>
    <row r="3334" spans="1:8">
      <c r="A3334" s="1">
        <v>103971</v>
      </c>
      <c r="B3334" s="1">
        <v>599995</v>
      </c>
      <c r="C3334" s="2">
        <v>41781</v>
      </c>
      <c r="D3334" s="1" t="s">
        <v>1989</v>
      </c>
      <c r="E3334" s="6">
        <v>2</v>
      </c>
      <c r="F3334" s="6" t="str">
        <f t="shared" si="104"/>
        <v>May</v>
      </c>
      <c r="G3334" s="6">
        <f t="shared" si="105"/>
        <v>21</v>
      </c>
      <c r="H3334" s="1">
        <f>SUMIF('Retal Tran Line Item'!E:E,A3334,'Retal Tran Line Item'!B:B)</f>
        <v>12</v>
      </c>
    </row>
    <row r="3335" spans="1:8">
      <c r="A3335" s="1">
        <v>103972</v>
      </c>
      <c r="B3335" s="1">
        <v>927518</v>
      </c>
      <c r="C3335" s="2">
        <v>41781</v>
      </c>
      <c r="D3335" s="1" t="s">
        <v>1993</v>
      </c>
      <c r="E3335" s="6">
        <v>1</v>
      </c>
      <c r="F3335" s="6" t="str">
        <f t="shared" si="104"/>
        <v>May</v>
      </c>
      <c r="G3335" s="6">
        <f t="shared" si="105"/>
        <v>21</v>
      </c>
      <c r="H3335" s="1">
        <f>SUMIF('Retal Tran Line Item'!E:E,A3335,'Retal Tran Line Item'!B:B)</f>
        <v>16</v>
      </c>
    </row>
    <row r="3336" spans="1:8">
      <c r="A3336" s="1">
        <v>103973</v>
      </c>
      <c r="B3336" s="1">
        <v>951701</v>
      </c>
      <c r="C3336" s="2">
        <v>41782</v>
      </c>
      <c r="D3336" s="1" t="s">
        <v>1989</v>
      </c>
      <c r="E3336" s="6">
        <v>2</v>
      </c>
      <c r="F3336" s="6" t="str">
        <f t="shared" si="104"/>
        <v>May</v>
      </c>
      <c r="G3336" s="6">
        <f t="shared" si="105"/>
        <v>21</v>
      </c>
      <c r="H3336" s="1">
        <f>SUMIF('Retal Tran Line Item'!E:E,A3336,'Retal Tran Line Item'!B:B)</f>
        <v>4</v>
      </c>
    </row>
    <row r="3337" spans="1:8">
      <c r="A3337" s="1">
        <v>103974</v>
      </c>
      <c r="B3337" s="1">
        <v>480298</v>
      </c>
      <c r="C3337" s="2">
        <v>41782</v>
      </c>
      <c r="D3337" s="1" t="s">
        <v>1993</v>
      </c>
      <c r="E3337" s="6">
        <v>1</v>
      </c>
      <c r="F3337" s="6" t="str">
        <f t="shared" si="104"/>
        <v>May</v>
      </c>
      <c r="G3337" s="6">
        <f t="shared" si="105"/>
        <v>21</v>
      </c>
      <c r="H3337" s="1">
        <f>SUMIF('Retal Tran Line Item'!E:E,A3337,'Retal Tran Line Item'!B:B)</f>
        <v>7</v>
      </c>
    </row>
    <row r="3338" spans="1:8">
      <c r="A3338" s="1">
        <v>103975</v>
      </c>
      <c r="B3338" s="1">
        <v>274541</v>
      </c>
      <c r="C3338" s="2">
        <v>41782</v>
      </c>
      <c r="D3338" s="1" t="s">
        <v>1993</v>
      </c>
      <c r="E3338" s="6">
        <v>2</v>
      </c>
      <c r="F3338" s="6" t="str">
        <f t="shared" si="104"/>
        <v>May</v>
      </c>
      <c r="G3338" s="6">
        <f t="shared" si="105"/>
        <v>21</v>
      </c>
      <c r="H3338" s="1">
        <f>SUMIF('Retal Tran Line Item'!E:E,A3338,'Retal Tran Line Item'!B:B)</f>
        <v>9</v>
      </c>
    </row>
    <row r="3339" spans="1:8">
      <c r="A3339" s="1">
        <v>103977</v>
      </c>
      <c r="B3339" s="1">
        <v>404678</v>
      </c>
      <c r="C3339" s="2">
        <v>41782</v>
      </c>
      <c r="D3339" s="1" t="s">
        <v>1993</v>
      </c>
      <c r="E3339" s="6">
        <v>2</v>
      </c>
      <c r="F3339" s="6" t="str">
        <f t="shared" si="104"/>
        <v>May</v>
      </c>
      <c r="G3339" s="6">
        <f t="shared" si="105"/>
        <v>21</v>
      </c>
      <c r="H3339" s="1">
        <f>SUMIF('Retal Tran Line Item'!E:E,A3339,'Retal Tran Line Item'!B:B)</f>
        <v>1</v>
      </c>
    </row>
    <row r="3340" spans="1:8">
      <c r="A3340" s="1">
        <v>103979</v>
      </c>
      <c r="B3340" s="1">
        <v>147543</v>
      </c>
      <c r="C3340" s="2">
        <v>41782</v>
      </c>
      <c r="D3340" s="1" t="s">
        <v>1993</v>
      </c>
      <c r="E3340" s="6">
        <v>2</v>
      </c>
      <c r="F3340" s="6" t="str">
        <f t="shared" si="104"/>
        <v>May</v>
      </c>
      <c r="G3340" s="6">
        <f t="shared" si="105"/>
        <v>21</v>
      </c>
      <c r="H3340" s="1">
        <f>SUMIF('Retal Tran Line Item'!E:E,A3340,'Retal Tran Line Item'!B:B)</f>
        <v>5</v>
      </c>
    </row>
    <row r="3341" spans="1:8">
      <c r="A3341" s="1">
        <v>103980</v>
      </c>
      <c r="B3341" s="1">
        <v>493552</v>
      </c>
      <c r="C3341" s="2">
        <v>41782</v>
      </c>
      <c r="D3341" s="1" t="s">
        <v>1994</v>
      </c>
      <c r="E3341" s="6">
        <v>1</v>
      </c>
      <c r="F3341" s="6" t="str">
        <f t="shared" si="104"/>
        <v>May</v>
      </c>
      <c r="G3341" s="6">
        <f t="shared" si="105"/>
        <v>21</v>
      </c>
      <c r="H3341" s="1">
        <f>SUMIF('Retal Tran Line Item'!E:E,A3341,'Retal Tran Line Item'!B:B)</f>
        <v>10</v>
      </c>
    </row>
    <row r="3342" spans="1:8">
      <c r="A3342" s="1">
        <v>103985</v>
      </c>
      <c r="B3342" s="1">
        <v>723057</v>
      </c>
      <c r="C3342" s="2">
        <v>41783</v>
      </c>
      <c r="D3342" s="1" t="s">
        <v>1993</v>
      </c>
      <c r="E3342" s="6">
        <v>1</v>
      </c>
      <c r="F3342" s="6" t="str">
        <f t="shared" si="104"/>
        <v>May</v>
      </c>
      <c r="G3342" s="6">
        <f t="shared" si="105"/>
        <v>21</v>
      </c>
      <c r="H3342" s="1">
        <f>SUMIF('Retal Tran Line Item'!E:E,A3342,'Retal Tran Line Item'!B:B)</f>
        <v>1</v>
      </c>
    </row>
    <row r="3343" spans="1:8">
      <c r="A3343" s="1">
        <v>103986</v>
      </c>
      <c r="B3343" s="1">
        <v>452874</v>
      </c>
      <c r="C3343" s="2">
        <v>41783</v>
      </c>
      <c r="D3343" s="1" t="s">
        <v>1993</v>
      </c>
      <c r="E3343" s="6">
        <v>1</v>
      </c>
      <c r="F3343" s="6" t="str">
        <f t="shared" si="104"/>
        <v>May</v>
      </c>
      <c r="G3343" s="6">
        <f t="shared" si="105"/>
        <v>21</v>
      </c>
      <c r="H3343" s="1">
        <f>SUMIF('Retal Tran Line Item'!E:E,A3343,'Retal Tran Line Item'!B:B)</f>
        <v>4</v>
      </c>
    </row>
    <row r="3344" spans="1:8">
      <c r="A3344" s="1">
        <v>103987</v>
      </c>
      <c r="B3344" s="1">
        <v>679354</v>
      </c>
      <c r="C3344" s="2">
        <v>41783</v>
      </c>
      <c r="D3344" s="1" t="s">
        <v>1992</v>
      </c>
      <c r="E3344" s="6">
        <v>1</v>
      </c>
      <c r="F3344" s="6" t="str">
        <f t="shared" si="104"/>
        <v>May</v>
      </c>
      <c r="G3344" s="6">
        <f t="shared" si="105"/>
        <v>21</v>
      </c>
      <c r="H3344" s="1">
        <f>SUMIF('Retal Tran Line Item'!E:E,A3344,'Retal Tran Line Item'!B:B)</f>
        <v>5</v>
      </c>
    </row>
    <row r="3345" spans="1:8">
      <c r="A3345" s="1">
        <v>103988</v>
      </c>
      <c r="B3345" s="1">
        <v>317461</v>
      </c>
      <c r="C3345" s="2">
        <v>41783</v>
      </c>
      <c r="D3345" s="1" t="s">
        <v>1992</v>
      </c>
      <c r="E3345" s="6">
        <v>1</v>
      </c>
      <c r="F3345" s="6" t="str">
        <f t="shared" si="104"/>
        <v>May</v>
      </c>
      <c r="G3345" s="6">
        <f t="shared" si="105"/>
        <v>21</v>
      </c>
      <c r="H3345" s="1">
        <f>SUMIF('Retal Tran Line Item'!E:E,A3345,'Retal Tran Line Item'!B:B)</f>
        <v>10</v>
      </c>
    </row>
    <row r="3346" spans="1:8">
      <c r="A3346" s="1">
        <v>103990</v>
      </c>
      <c r="B3346" s="1">
        <v>550661</v>
      </c>
      <c r="C3346" s="2">
        <v>41784</v>
      </c>
      <c r="D3346" s="1" t="s">
        <v>1992</v>
      </c>
      <c r="E3346" s="6">
        <v>2</v>
      </c>
      <c r="F3346" s="6" t="str">
        <f t="shared" si="104"/>
        <v>May</v>
      </c>
      <c r="G3346" s="6">
        <f t="shared" si="105"/>
        <v>22</v>
      </c>
      <c r="H3346" s="1">
        <f>SUMIF('Retal Tran Line Item'!E:E,A3346,'Retal Tran Line Item'!B:B)</f>
        <v>9</v>
      </c>
    </row>
    <row r="3347" spans="1:8">
      <c r="A3347" s="1">
        <v>103992</v>
      </c>
      <c r="B3347" s="1">
        <v>680104</v>
      </c>
      <c r="C3347" s="2">
        <v>41784</v>
      </c>
      <c r="D3347" s="1" t="s">
        <v>1992</v>
      </c>
      <c r="E3347" s="6">
        <v>2</v>
      </c>
      <c r="F3347" s="6" t="str">
        <f t="shared" si="104"/>
        <v>May</v>
      </c>
      <c r="G3347" s="6">
        <f t="shared" si="105"/>
        <v>22</v>
      </c>
      <c r="H3347" s="1">
        <f>SUMIF('Retal Tran Line Item'!E:E,A3347,'Retal Tran Line Item'!B:B)</f>
        <v>8</v>
      </c>
    </row>
    <row r="3348" spans="1:8">
      <c r="A3348" s="1">
        <v>103993</v>
      </c>
      <c r="B3348" s="1">
        <v>448739</v>
      </c>
      <c r="C3348" s="2">
        <v>41784</v>
      </c>
      <c r="D3348" s="1" t="s">
        <v>1989</v>
      </c>
      <c r="E3348" s="6">
        <v>1</v>
      </c>
      <c r="F3348" s="6" t="str">
        <f t="shared" si="104"/>
        <v>May</v>
      </c>
      <c r="G3348" s="6">
        <f t="shared" si="105"/>
        <v>22</v>
      </c>
      <c r="H3348" s="1">
        <f>SUMIF('Retal Tran Line Item'!E:E,A3348,'Retal Tran Line Item'!B:B)</f>
        <v>7</v>
      </c>
    </row>
    <row r="3349" spans="1:8">
      <c r="A3349" s="1">
        <v>103994</v>
      </c>
      <c r="B3349" s="1">
        <v>890270</v>
      </c>
      <c r="C3349" s="2">
        <v>41784</v>
      </c>
      <c r="D3349" s="1" t="s">
        <v>1992</v>
      </c>
      <c r="E3349" s="6">
        <v>1</v>
      </c>
      <c r="F3349" s="6" t="str">
        <f t="shared" si="104"/>
        <v>May</v>
      </c>
      <c r="G3349" s="6">
        <f t="shared" si="105"/>
        <v>22</v>
      </c>
      <c r="H3349" s="1">
        <f>SUMIF('Retal Tran Line Item'!E:E,A3349,'Retal Tran Line Item'!B:B)</f>
        <v>9</v>
      </c>
    </row>
    <row r="3350" spans="1:8">
      <c r="A3350" s="1">
        <v>103995</v>
      </c>
      <c r="B3350" s="1">
        <v>592592</v>
      </c>
      <c r="C3350" s="2">
        <v>41784</v>
      </c>
      <c r="D3350" s="1" t="s">
        <v>1993</v>
      </c>
      <c r="E3350" s="6">
        <v>1</v>
      </c>
      <c r="F3350" s="6" t="str">
        <f t="shared" si="104"/>
        <v>May</v>
      </c>
      <c r="G3350" s="6">
        <f t="shared" si="105"/>
        <v>22</v>
      </c>
      <c r="H3350" s="1">
        <f>SUMIF('Retal Tran Line Item'!E:E,A3350,'Retal Tran Line Item'!B:B)</f>
        <v>4</v>
      </c>
    </row>
    <row r="3351" spans="1:8">
      <c r="A3351" s="1">
        <v>103996</v>
      </c>
      <c r="B3351" s="1">
        <v>746134</v>
      </c>
      <c r="C3351" s="2">
        <v>41785</v>
      </c>
      <c r="D3351" s="1" t="s">
        <v>1994</v>
      </c>
      <c r="E3351" s="6">
        <v>2</v>
      </c>
      <c r="F3351" s="6" t="str">
        <f t="shared" si="104"/>
        <v>May</v>
      </c>
      <c r="G3351" s="6">
        <f t="shared" si="105"/>
        <v>22</v>
      </c>
      <c r="H3351" s="1">
        <f>SUMIF('Retal Tran Line Item'!E:E,A3351,'Retal Tran Line Item'!B:B)</f>
        <v>17</v>
      </c>
    </row>
    <row r="3352" spans="1:8">
      <c r="A3352" s="1">
        <v>103997</v>
      </c>
      <c r="B3352" s="1">
        <v>373200</v>
      </c>
      <c r="C3352" s="2">
        <v>41785</v>
      </c>
      <c r="D3352" s="1" t="s">
        <v>1989</v>
      </c>
      <c r="E3352" s="6">
        <v>1</v>
      </c>
      <c r="F3352" s="6" t="str">
        <f t="shared" si="104"/>
        <v>May</v>
      </c>
      <c r="G3352" s="6">
        <f t="shared" si="105"/>
        <v>22</v>
      </c>
      <c r="H3352" s="1">
        <f>SUMIF('Retal Tran Line Item'!E:E,A3352,'Retal Tran Line Item'!B:B)</f>
        <v>4</v>
      </c>
    </row>
    <row r="3353" spans="1:8">
      <c r="A3353" s="1">
        <v>103998</v>
      </c>
      <c r="B3353" s="1">
        <v>407605</v>
      </c>
      <c r="C3353" s="2">
        <v>41785</v>
      </c>
      <c r="D3353" s="1" t="s">
        <v>1994</v>
      </c>
      <c r="E3353" s="6">
        <v>1</v>
      </c>
      <c r="F3353" s="6" t="str">
        <f t="shared" si="104"/>
        <v>May</v>
      </c>
      <c r="G3353" s="6">
        <f t="shared" si="105"/>
        <v>22</v>
      </c>
      <c r="H3353" s="1">
        <f>SUMIF('Retal Tran Line Item'!E:E,A3353,'Retal Tran Line Item'!B:B)</f>
        <v>5</v>
      </c>
    </row>
    <row r="3354" spans="1:8">
      <c r="A3354" s="1">
        <v>103999</v>
      </c>
      <c r="B3354" s="1">
        <v>766737</v>
      </c>
      <c r="C3354" s="2">
        <v>41785</v>
      </c>
      <c r="D3354" s="1" t="s">
        <v>1994</v>
      </c>
      <c r="E3354" s="6">
        <v>2</v>
      </c>
      <c r="F3354" s="6" t="str">
        <f t="shared" si="104"/>
        <v>May</v>
      </c>
      <c r="G3354" s="6">
        <f t="shared" si="105"/>
        <v>22</v>
      </c>
      <c r="H3354" s="1">
        <f>SUMIF('Retal Tran Line Item'!E:E,A3354,'Retal Tran Line Item'!B:B)</f>
        <v>9</v>
      </c>
    </row>
    <row r="3355" spans="1:8">
      <c r="A3355" s="1">
        <v>104001</v>
      </c>
      <c r="B3355" s="1">
        <v>706884</v>
      </c>
      <c r="C3355" s="2">
        <v>41785</v>
      </c>
      <c r="D3355" s="1" t="s">
        <v>1989</v>
      </c>
      <c r="E3355" s="6">
        <v>1</v>
      </c>
      <c r="F3355" s="6" t="str">
        <f t="shared" si="104"/>
        <v>May</v>
      </c>
      <c r="G3355" s="6">
        <f t="shared" si="105"/>
        <v>22</v>
      </c>
      <c r="H3355" s="1">
        <f>SUMIF('Retal Tran Line Item'!E:E,A3355,'Retal Tran Line Item'!B:B)</f>
        <v>11</v>
      </c>
    </row>
    <row r="3356" spans="1:8">
      <c r="A3356" s="1">
        <v>104002</v>
      </c>
      <c r="B3356" s="1">
        <v>736500</v>
      </c>
      <c r="C3356" s="2">
        <v>41785</v>
      </c>
      <c r="D3356" s="1" t="s">
        <v>1993</v>
      </c>
      <c r="E3356" s="6">
        <v>1</v>
      </c>
      <c r="F3356" s="6" t="str">
        <f t="shared" si="104"/>
        <v>May</v>
      </c>
      <c r="G3356" s="6">
        <f t="shared" si="105"/>
        <v>22</v>
      </c>
      <c r="H3356" s="1">
        <f>SUMIF('Retal Tran Line Item'!E:E,A3356,'Retal Tran Line Item'!B:B)</f>
        <v>10</v>
      </c>
    </row>
    <row r="3357" spans="1:8">
      <c r="A3357" s="1">
        <v>104003</v>
      </c>
      <c r="B3357" s="1">
        <v>882493</v>
      </c>
      <c r="C3357" s="2">
        <v>41786</v>
      </c>
      <c r="D3357" s="1" t="s">
        <v>1992</v>
      </c>
      <c r="E3357" s="6">
        <v>2</v>
      </c>
      <c r="F3357" s="6" t="str">
        <f t="shared" si="104"/>
        <v>May</v>
      </c>
      <c r="G3357" s="6">
        <f t="shared" si="105"/>
        <v>22</v>
      </c>
      <c r="H3357" s="1">
        <f>SUMIF('Retal Tran Line Item'!E:E,A3357,'Retal Tran Line Item'!B:B)</f>
        <v>2</v>
      </c>
    </row>
    <row r="3358" spans="1:8">
      <c r="A3358" s="1">
        <v>104006</v>
      </c>
      <c r="B3358" s="1">
        <v>548800</v>
      </c>
      <c r="C3358" s="2">
        <v>41786</v>
      </c>
      <c r="D3358" s="1" t="s">
        <v>1992</v>
      </c>
      <c r="E3358" s="6">
        <v>1</v>
      </c>
      <c r="F3358" s="6" t="str">
        <f t="shared" si="104"/>
        <v>May</v>
      </c>
      <c r="G3358" s="6">
        <f t="shared" si="105"/>
        <v>22</v>
      </c>
      <c r="H3358" s="1">
        <f>SUMIF('Retal Tran Line Item'!E:E,A3358,'Retal Tran Line Item'!B:B)</f>
        <v>1</v>
      </c>
    </row>
    <row r="3359" spans="1:8">
      <c r="A3359" s="1">
        <v>104007</v>
      </c>
      <c r="B3359" s="1">
        <v>806545</v>
      </c>
      <c r="C3359" s="2">
        <v>41786</v>
      </c>
      <c r="D3359" s="1" t="s">
        <v>1994</v>
      </c>
      <c r="E3359" s="6">
        <v>1</v>
      </c>
      <c r="F3359" s="6" t="str">
        <f t="shared" si="104"/>
        <v>May</v>
      </c>
      <c r="G3359" s="6">
        <f t="shared" si="105"/>
        <v>22</v>
      </c>
      <c r="H3359" s="1">
        <f>SUMIF('Retal Tran Line Item'!E:E,A3359,'Retal Tran Line Item'!B:B)</f>
        <v>3</v>
      </c>
    </row>
    <row r="3360" spans="1:8">
      <c r="A3360" s="1">
        <v>104008</v>
      </c>
      <c r="B3360" s="1">
        <v>900440</v>
      </c>
      <c r="C3360" s="2">
        <v>41786</v>
      </c>
      <c r="D3360" s="1" t="s">
        <v>1992</v>
      </c>
      <c r="E3360" s="6">
        <v>2</v>
      </c>
      <c r="F3360" s="6" t="str">
        <f t="shared" si="104"/>
        <v>May</v>
      </c>
      <c r="G3360" s="6">
        <f t="shared" si="105"/>
        <v>22</v>
      </c>
      <c r="H3360" s="1">
        <f>SUMIF('Retal Tran Line Item'!E:E,A3360,'Retal Tran Line Item'!B:B)</f>
        <v>9</v>
      </c>
    </row>
    <row r="3361" spans="1:8">
      <c r="A3361" s="1">
        <v>104009</v>
      </c>
      <c r="B3361" s="1">
        <v>404678</v>
      </c>
      <c r="C3361" s="2">
        <v>41786</v>
      </c>
      <c r="D3361" s="1" t="s">
        <v>1993</v>
      </c>
      <c r="E3361" s="6">
        <v>1</v>
      </c>
      <c r="F3361" s="6" t="str">
        <f t="shared" si="104"/>
        <v>May</v>
      </c>
      <c r="G3361" s="6">
        <f t="shared" si="105"/>
        <v>22</v>
      </c>
      <c r="H3361" s="1">
        <f>SUMIF('Retal Tran Line Item'!E:E,A3361,'Retal Tran Line Item'!B:B)</f>
        <v>1</v>
      </c>
    </row>
    <row r="3362" spans="1:8">
      <c r="A3362" s="1">
        <v>104010</v>
      </c>
      <c r="B3362" s="1">
        <v>561305</v>
      </c>
      <c r="C3362" s="2">
        <v>41786</v>
      </c>
      <c r="D3362" s="1" t="s">
        <v>1993</v>
      </c>
      <c r="E3362" s="6">
        <v>1</v>
      </c>
      <c r="F3362" s="6" t="str">
        <f t="shared" si="104"/>
        <v>May</v>
      </c>
      <c r="G3362" s="6">
        <f t="shared" si="105"/>
        <v>22</v>
      </c>
      <c r="H3362" s="1">
        <f>SUMIF('Retal Tran Line Item'!E:E,A3362,'Retal Tran Line Item'!B:B)</f>
        <v>10</v>
      </c>
    </row>
    <row r="3363" spans="1:8">
      <c r="A3363" s="1">
        <v>104011</v>
      </c>
      <c r="B3363" s="1">
        <v>456457</v>
      </c>
      <c r="C3363" s="2">
        <v>41787</v>
      </c>
      <c r="D3363" s="1" t="s">
        <v>1993</v>
      </c>
      <c r="E3363" s="6">
        <v>2</v>
      </c>
      <c r="F3363" s="6" t="str">
        <f t="shared" si="104"/>
        <v>May</v>
      </c>
      <c r="G3363" s="6">
        <f t="shared" si="105"/>
        <v>22</v>
      </c>
      <c r="H3363" s="1">
        <f>SUMIF('Retal Tran Line Item'!E:E,A3363,'Retal Tran Line Item'!B:B)</f>
        <v>9</v>
      </c>
    </row>
    <row r="3364" spans="1:8">
      <c r="A3364" s="1">
        <v>104012</v>
      </c>
      <c r="B3364" s="1">
        <v>665313</v>
      </c>
      <c r="C3364" s="2">
        <v>41787</v>
      </c>
      <c r="D3364" s="1" t="s">
        <v>1993</v>
      </c>
      <c r="E3364" s="6">
        <v>2</v>
      </c>
      <c r="F3364" s="6" t="str">
        <f t="shared" si="104"/>
        <v>May</v>
      </c>
      <c r="G3364" s="6">
        <f t="shared" si="105"/>
        <v>22</v>
      </c>
      <c r="H3364" s="1">
        <f>SUMIF('Retal Tran Line Item'!E:E,A3364,'Retal Tran Line Item'!B:B)</f>
        <v>2</v>
      </c>
    </row>
    <row r="3365" spans="1:8">
      <c r="A3365" s="1">
        <v>104015</v>
      </c>
      <c r="B3365" s="1">
        <v>888759</v>
      </c>
      <c r="C3365" s="2">
        <v>41787</v>
      </c>
      <c r="D3365" s="1" t="s">
        <v>1993</v>
      </c>
      <c r="E3365" s="6">
        <v>1</v>
      </c>
      <c r="F3365" s="6" t="str">
        <f t="shared" si="104"/>
        <v>May</v>
      </c>
      <c r="G3365" s="6">
        <f t="shared" si="105"/>
        <v>22</v>
      </c>
      <c r="H3365" s="1">
        <f>SUMIF('Retal Tran Line Item'!E:E,A3365,'Retal Tran Line Item'!B:B)</f>
        <v>18</v>
      </c>
    </row>
    <row r="3366" spans="1:8">
      <c r="A3366" s="1">
        <v>104016</v>
      </c>
      <c r="B3366" s="1">
        <v>976778</v>
      </c>
      <c r="C3366" s="2">
        <v>41787</v>
      </c>
      <c r="D3366" s="1" t="s">
        <v>1992</v>
      </c>
      <c r="E3366" s="6">
        <v>2</v>
      </c>
      <c r="F3366" s="6" t="str">
        <f t="shared" si="104"/>
        <v>May</v>
      </c>
      <c r="G3366" s="6">
        <f t="shared" si="105"/>
        <v>22</v>
      </c>
      <c r="H3366" s="1">
        <f>SUMIF('Retal Tran Line Item'!E:E,A3366,'Retal Tran Line Item'!B:B)</f>
        <v>19</v>
      </c>
    </row>
    <row r="3367" spans="1:8">
      <c r="A3367" s="1">
        <v>104019</v>
      </c>
      <c r="B3367" s="1">
        <v>925565</v>
      </c>
      <c r="C3367" s="2">
        <v>41788</v>
      </c>
      <c r="D3367" s="1" t="s">
        <v>1992</v>
      </c>
      <c r="E3367" s="6">
        <v>1</v>
      </c>
      <c r="F3367" s="6" t="str">
        <f t="shared" si="104"/>
        <v>May</v>
      </c>
      <c r="G3367" s="6">
        <f t="shared" si="105"/>
        <v>22</v>
      </c>
      <c r="H3367" s="1">
        <f>SUMIF('Retal Tran Line Item'!E:E,A3367,'Retal Tran Line Item'!B:B)</f>
        <v>8</v>
      </c>
    </row>
    <row r="3368" spans="1:8">
      <c r="A3368" s="1">
        <v>104020</v>
      </c>
      <c r="B3368" s="1">
        <v>346006</v>
      </c>
      <c r="C3368" s="2">
        <v>41788</v>
      </c>
      <c r="D3368" s="1" t="s">
        <v>1989</v>
      </c>
      <c r="E3368" s="6">
        <v>1</v>
      </c>
      <c r="F3368" s="6" t="str">
        <f t="shared" si="104"/>
        <v>May</v>
      </c>
      <c r="G3368" s="6">
        <f t="shared" si="105"/>
        <v>22</v>
      </c>
      <c r="H3368" s="1">
        <f>SUMIF('Retal Tran Line Item'!E:E,A3368,'Retal Tran Line Item'!B:B)</f>
        <v>8</v>
      </c>
    </row>
    <row r="3369" spans="1:8">
      <c r="A3369" s="1">
        <v>104021</v>
      </c>
      <c r="B3369" s="1">
        <v>528475</v>
      </c>
      <c r="C3369" s="2">
        <v>41788</v>
      </c>
      <c r="D3369" s="1" t="s">
        <v>1989</v>
      </c>
      <c r="E3369" s="6">
        <v>1</v>
      </c>
      <c r="F3369" s="6" t="str">
        <f t="shared" si="104"/>
        <v>May</v>
      </c>
      <c r="G3369" s="6">
        <f t="shared" si="105"/>
        <v>22</v>
      </c>
      <c r="H3369" s="1">
        <f>SUMIF('Retal Tran Line Item'!E:E,A3369,'Retal Tran Line Item'!B:B)</f>
        <v>8</v>
      </c>
    </row>
    <row r="3370" spans="1:8">
      <c r="A3370" s="1">
        <v>104023</v>
      </c>
      <c r="B3370" s="1">
        <v>250266</v>
      </c>
      <c r="C3370" s="2">
        <v>41788</v>
      </c>
      <c r="D3370" s="1" t="s">
        <v>1993</v>
      </c>
      <c r="E3370" s="6">
        <v>2</v>
      </c>
      <c r="F3370" s="6" t="str">
        <f t="shared" si="104"/>
        <v>May</v>
      </c>
      <c r="G3370" s="6">
        <f t="shared" si="105"/>
        <v>22</v>
      </c>
      <c r="H3370" s="1">
        <f>SUMIF('Retal Tran Line Item'!E:E,A3370,'Retal Tran Line Item'!B:B)</f>
        <v>16</v>
      </c>
    </row>
    <row r="3371" spans="1:8">
      <c r="A3371" s="1">
        <v>104027</v>
      </c>
      <c r="B3371" s="1">
        <v>964619</v>
      </c>
      <c r="C3371" s="2">
        <v>41789</v>
      </c>
      <c r="D3371" s="1" t="s">
        <v>1994</v>
      </c>
      <c r="E3371" s="6">
        <v>2</v>
      </c>
      <c r="F3371" s="6" t="str">
        <f t="shared" si="104"/>
        <v>May</v>
      </c>
      <c r="G3371" s="6">
        <f t="shared" si="105"/>
        <v>22</v>
      </c>
      <c r="H3371" s="1">
        <f>SUMIF('Retal Tran Line Item'!E:E,A3371,'Retal Tran Line Item'!B:B)</f>
        <v>12</v>
      </c>
    </row>
    <row r="3372" spans="1:8">
      <c r="A3372" s="1">
        <v>104028</v>
      </c>
      <c r="B3372" s="1">
        <v>104939</v>
      </c>
      <c r="C3372" s="2">
        <v>41789</v>
      </c>
      <c r="D3372" s="1" t="s">
        <v>1992</v>
      </c>
      <c r="E3372" s="6">
        <v>1</v>
      </c>
      <c r="F3372" s="6" t="str">
        <f t="shared" si="104"/>
        <v>May</v>
      </c>
      <c r="G3372" s="6">
        <f t="shared" si="105"/>
        <v>22</v>
      </c>
      <c r="H3372" s="1">
        <f>SUMIF('Retal Tran Line Item'!E:E,A3372,'Retal Tran Line Item'!B:B)</f>
        <v>17</v>
      </c>
    </row>
    <row r="3373" spans="1:8">
      <c r="A3373" s="1">
        <v>104030</v>
      </c>
      <c r="B3373" s="1">
        <v>927518</v>
      </c>
      <c r="C3373" s="2">
        <v>41789</v>
      </c>
      <c r="D3373" s="1" t="s">
        <v>1993</v>
      </c>
      <c r="E3373" s="6">
        <v>1</v>
      </c>
      <c r="F3373" s="6" t="str">
        <f t="shared" si="104"/>
        <v>May</v>
      </c>
      <c r="G3373" s="6">
        <f t="shared" si="105"/>
        <v>22</v>
      </c>
      <c r="H3373" s="1">
        <f>SUMIF('Retal Tran Line Item'!E:E,A3373,'Retal Tran Line Item'!B:B)</f>
        <v>5</v>
      </c>
    </row>
    <row r="3374" spans="1:8">
      <c r="A3374" s="1">
        <v>104032</v>
      </c>
      <c r="B3374" s="1">
        <v>200272</v>
      </c>
      <c r="C3374" s="2">
        <v>41790</v>
      </c>
      <c r="D3374" s="1" t="s">
        <v>1992</v>
      </c>
      <c r="E3374" s="6">
        <v>2</v>
      </c>
      <c r="F3374" s="6" t="str">
        <f t="shared" si="104"/>
        <v>May</v>
      </c>
      <c r="G3374" s="6">
        <f t="shared" si="105"/>
        <v>22</v>
      </c>
      <c r="H3374" s="1">
        <f>SUMIF('Retal Tran Line Item'!E:E,A3374,'Retal Tran Line Item'!B:B)</f>
        <v>8</v>
      </c>
    </row>
    <row r="3375" spans="1:8">
      <c r="A3375" s="1">
        <v>104033</v>
      </c>
      <c r="B3375" s="1">
        <v>818287</v>
      </c>
      <c r="C3375" s="2">
        <v>41790</v>
      </c>
      <c r="D3375" s="1" t="s">
        <v>1994</v>
      </c>
      <c r="E3375" s="6">
        <v>2</v>
      </c>
      <c r="F3375" s="6" t="str">
        <f t="shared" si="104"/>
        <v>May</v>
      </c>
      <c r="G3375" s="6">
        <f t="shared" si="105"/>
        <v>22</v>
      </c>
      <c r="H3375" s="1">
        <f>SUMIF('Retal Tran Line Item'!E:E,A3375,'Retal Tran Line Item'!B:B)</f>
        <v>3</v>
      </c>
    </row>
    <row r="3376" spans="1:8">
      <c r="A3376" s="1">
        <v>104034</v>
      </c>
      <c r="B3376" s="1">
        <v>795957</v>
      </c>
      <c r="C3376" s="2">
        <v>41790</v>
      </c>
      <c r="D3376" s="1" t="s">
        <v>1992</v>
      </c>
      <c r="E3376" s="6">
        <v>1</v>
      </c>
      <c r="F3376" s="6" t="str">
        <f t="shared" si="104"/>
        <v>May</v>
      </c>
      <c r="G3376" s="6">
        <f t="shared" si="105"/>
        <v>22</v>
      </c>
      <c r="H3376" s="1">
        <f>SUMIF('Retal Tran Line Item'!E:E,A3376,'Retal Tran Line Item'!B:B)</f>
        <v>3</v>
      </c>
    </row>
    <row r="3377" spans="1:8">
      <c r="A3377" s="1">
        <v>104035</v>
      </c>
      <c r="B3377" s="1">
        <v>330223</v>
      </c>
      <c r="C3377" s="2">
        <v>41790</v>
      </c>
      <c r="D3377" s="1" t="s">
        <v>1993</v>
      </c>
      <c r="E3377" s="6">
        <v>2</v>
      </c>
      <c r="F3377" s="6" t="str">
        <f t="shared" si="104"/>
        <v>May</v>
      </c>
      <c r="G3377" s="6">
        <f t="shared" si="105"/>
        <v>22</v>
      </c>
      <c r="H3377" s="1">
        <f>SUMIF('Retal Tran Line Item'!E:E,A3377,'Retal Tran Line Item'!B:B)</f>
        <v>7</v>
      </c>
    </row>
    <row r="3378" spans="1:8">
      <c r="A3378" s="1">
        <v>104036</v>
      </c>
      <c r="B3378" s="1">
        <v>116934</v>
      </c>
      <c r="C3378" s="2">
        <v>41790</v>
      </c>
      <c r="D3378" s="1" t="s">
        <v>1992</v>
      </c>
      <c r="E3378" s="6">
        <v>1</v>
      </c>
      <c r="F3378" s="6" t="str">
        <f t="shared" si="104"/>
        <v>May</v>
      </c>
      <c r="G3378" s="6">
        <f t="shared" si="105"/>
        <v>22</v>
      </c>
      <c r="H3378" s="1">
        <f>SUMIF('Retal Tran Line Item'!E:E,A3378,'Retal Tran Line Item'!B:B)</f>
        <v>4</v>
      </c>
    </row>
    <row r="3379" spans="1:8">
      <c r="A3379" s="1">
        <v>104037</v>
      </c>
      <c r="B3379" s="1">
        <v>954812</v>
      </c>
      <c r="C3379" s="2">
        <v>41790</v>
      </c>
      <c r="D3379" s="1" t="s">
        <v>1992</v>
      </c>
      <c r="E3379" s="6">
        <v>2</v>
      </c>
      <c r="F3379" s="6" t="str">
        <f t="shared" si="104"/>
        <v>May</v>
      </c>
      <c r="G3379" s="6">
        <f t="shared" si="105"/>
        <v>22</v>
      </c>
      <c r="H3379" s="1">
        <f>SUMIF('Retal Tran Line Item'!E:E,A3379,'Retal Tran Line Item'!B:B)</f>
        <v>13</v>
      </c>
    </row>
    <row r="3380" spans="1:8">
      <c r="A3380" s="1">
        <v>104039</v>
      </c>
      <c r="B3380" s="1">
        <v>696852</v>
      </c>
      <c r="C3380" s="2">
        <v>41791</v>
      </c>
      <c r="D3380" s="1" t="s">
        <v>1993</v>
      </c>
      <c r="E3380" s="6">
        <v>1</v>
      </c>
      <c r="F3380" s="6" t="str">
        <f t="shared" si="104"/>
        <v>June</v>
      </c>
      <c r="G3380" s="6">
        <f t="shared" si="105"/>
        <v>23</v>
      </c>
      <c r="H3380" s="1">
        <f>SUMIF('Retal Tran Line Item'!E:E,A3380,'Retal Tran Line Item'!B:B)</f>
        <v>6</v>
      </c>
    </row>
    <row r="3381" spans="1:8">
      <c r="A3381" s="1">
        <v>104040</v>
      </c>
      <c r="B3381" s="1">
        <v>925565</v>
      </c>
      <c r="C3381" s="2">
        <v>41791</v>
      </c>
      <c r="D3381" s="1" t="s">
        <v>1992</v>
      </c>
      <c r="E3381" s="6">
        <v>1</v>
      </c>
      <c r="F3381" s="6" t="str">
        <f t="shared" si="104"/>
        <v>June</v>
      </c>
      <c r="G3381" s="6">
        <f t="shared" si="105"/>
        <v>23</v>
      </c>
      <c r="H3381" s="1">
        <f>SUMIF('Retal Tran Line Item'!E:E,A3381,'Retal Tran Line Item'!B:B)</f>
        <v>8</v>
      </c>
    </row>
    <row r="3382" spans="1:8">
      <c r="A3382" s="1">
        <v>104041</v>
      </c>
      <c r="B3382" s="1">
        <v>593317</v>
      </c>
      <c r="C3382" s="2">
        <v>41791</v>
      </c>
      <c r="D3382" s="1" t="s">
        <v>1989</v>
      </c>
      <c r="E3382" s="6">
        <v>1</v>
      </c>
      <c r="F3382" s="6" t="str">
        <f t="shared" si="104"/>
        <v>June</v>
      </c>
      <c r="G3382" s="6">
        <f t="shared" si="105"/>
        <v>23</v>
      </c>
      <c r="H3382" s="1">
        <f>SUMIF('Retal Tran Line Item'!E:E,A3382,'Retal Tran Line Item'!B:B)</f>
        <v>4</v>
      </c>
    </row>
    <row r="3383" spans="1:8">
      <c r="A3383" s="1">
        <v>104042</v>
      </c>
      <c r="B3383" s="1">
        <v>580783</v>
      </c>
      <c r="C3383" s="2">
        <v>41791</v>
      </c>
      <c r="D3383" s="1" t="s">
        <v>1989</v>
      </c>
      <c r="E3383" s="6">
        <v>2</v>
      </c>
      <c r="F3383" s="6" t="str">
        <f t="shared" si="104"/>
        <v>June</v>
      </c>
      <c r="G3383" s="6">
        <f t="shared" si="105"/>
        <v>23</v>
      </c>
      <c r="H3383" s="1">
        <f>SUMIF('Retal Tran Line Item'!E:E,A3383,'Retal Tran Line Item'!B:B)</f>
        <v>9</v>
      </c>
    </row>
    <row r="3384" spans="1:8">
      <c r="A3384" s="1">
        <v>104043</v>
      </c>
      <c r="B3384" s="1">
        <v>731346</v>
      </c>
      <c r="C3384" s="2">
        <v>41791</v>
      </c>
      <c r="D3384" s="1" t="s">
        <v>1992</v>
      </c>
      <c r="E3384" s="6">
        <v>1</v>
      </c>
      <c r="F3384" s="6" t="str">
        <f t="shared" si="104"/>
        <v>June</v>
      </c>
      <c r="G3384" s="6">
        <f t="shared" si="105"/>
        <v>23</v>
      </c>
      <c r="H3384" s="1">
        <f>SUMIF('Retal Tran Line Item'!E:E,A3384,'Retal Tran Line Item'!B:B)</f>
        <v>5</v>
      </c>
    </row>
    <row r="3385" spans="1:8">
      <c r="A3385" s="1">
        <v>104045</v>
      </c>
      <c r="B3385" s="1">
        <v>590517</v>
      </c>
      <c r="C3385" s="2">
        <v>41791</v>
      </c>
      <c r="D3385" s="1" t="s">
        <v>1994</v>
      </c>
      <c r="E3385" s="6">
        <v>2</v>
      </c>
      <c r="F3385" s="6" t="str">
        <f t="shared" si="104"/>
        <v>June</v>
      </c>
      <c r="G3385" s="6">
        <f t="shared" si="105"/>
        <v>23</v>
      </c>
      <c r="H3385" s="1">
        <f>SUMIF('Retal Tran Line Item'!E:E,A3385,'Retal Tran Line Item'!B:B)</f>
        <v>5</v>
      </c>
    </row>
    <row r="3386" spans="1:8">
      <c r="A3386" s="1">
        <v>104046</v>
      </c>
      <c r="B3386" s="1">
        <v>404678</v>
      </c>
      <c r="C3386" s="2">
        <v>41792</v>
      </c>
      <c r="D3386" s="1" t="s">
        <v>1993</v>
      </c>
      <c r="E3386" s="6">
        <v>1</v>
      </c>
      <c r="F3386" s="6" t="str">
        <f t="shared" si="104"/>
        <v>June</v>
      </c>
      <c r="G3386" s="6">
        <f t="shared" si="105"/>
        <v>23</v>
      </c>
      <c r="H3386" s="1">
        <f>SUMIF('Retal Tran Line Item'!E:E,A3386,'Retal Tran Line Item'!B:B)</f>
        <v>8</v>
      </c>
    </row>
    <row r="3387" spans="1:8">
      <c r="A3387" s="1">
        <v>104049</v>
      </c>
      <c r="B3387" s="1">
        <v>877877</v>
      </c>
      <c r="C3387" s="2">
        <v>41792</v>
      </c>
      <c r="D3387" s="1" t="s">
        <v>1992</v>
      </c>
      <c r="E3387" s="6">
        <v>1</v>
      </c>
      <c r="F3387" s="6" t="str">
        <f t="shared" si="104"/>
        <v>June</v>
      </c>
      <c r="G3387" s="6">
        <f t="shared" si="105"/>
        <v>23</v>
      </c>
      <c r="H3387" s="1">
        <f>SUMIF('Retal Tran Line Item'!E:E,A3387,'Retal Tran Line Item'!B:B)</f>
        <v>12</v>
      </c>
    </row>
    <row r="3388" spans="1:8">
      <c r="A3388" s="1">
        <v>104051</v>
      </c>
      <c r="B3388" s="1">
        <v>671101</v>
      </c>
      <c r="C3388" s="2">
        <v>41792</v>
      </c>
      <c r="D3388" s="1" t="s">
        <v>1994</v>
      </c>
      <c r="E3388" s="6">
        <v>1</v>
      </c>
      <c r="F3388" s="6" t="str">
        <f t="shared" si="104"/>
        <v>June</v>
      </c>
      <c r="G3388" s="6">
        <f t="shared" si="105"/>
        <v>23</v>
      </c>
      <c r="H3388" s="1">
        <f>SUMIF('Retal Tran Line Item'!E:E,A3388,'Retal Tran Line Item'!B:B)</f>
        <v>6</v>
      </c>
    </row>
    <row r="3389" spans="1:8">
      <c r="A3389" s="1">
        <v>104053</v>
      </c>
      <c r="B3389" s="1">
        <v>606155</v>
      </c>
      <c r="C3389" s="2">
        <v>41793</v>
      </c>
      <c r="D3389" s="1" t="s">
        <v>1993</v>
      </c>
      <c r="E3389" s="6">
        <v>2</v>
      </c>
      <c r="F3389" s="6" t="str">
        <f t="shared" si="104"/>
        <v>June</v>
      </c>
      <c r="G3389" s="6">
        <f t="shared" si="105"/>
        <v>23</v>
      </c>
      <c r="H3389" s="1">
        <f>SUMIF('Retal Tran Line Item'!E:E,A3389,'Retal Tran Line Item'!B:B)</f>
        <v>9</v>
      </c>
    </row>
    <row r="3390" spans="1:8">
      <c r="A3390" s="1">
        <v>104054</v>
      </c>
      <c r="B3390" s="1">
        <v>119406</v>
      </c>
      <c r="C3390" s="2">
        <v>41793</v>
      </c>
      <c r="D3390" s="1" t="s">
        <v>1993</v>
      </c>
      <c r="E3390" s="6">
        <v>1</v>
      </c>
      <c r="F3390" s="6" t="str">
        <f t="shared" si="104"/>
        <v>June</v>
      </c>
      <c r="G3390" s="6">
        <f t="shared" si="105"/>
        <v>23</v>
      </c>
      <c r="H3390" s="1">
        <f>SUMIF('Retal Tran Line Item'!E:E,A3390,'Retal Tran Line Item'!B:B)</f>
        <v>8</v>
      </c>
    </row>
    <row r="3391" spans="1:8">
      <c r="A3391" s="1">
        <v>104057</v>
      </c>
      <c r="B3391" s="1">
        <v>189441</v>
      </c>
      <c r="C3391" s="2">
        <v>41793</v>
      </c>
      <c r="D3391" s="1" t="s">
        <v>1989</v>
      </c>
      <c r="E3391" s="6">
        <v>2</v>
      </c>
      <c r="F3391" s="6" t="str">
        <f t="shared" si="104"/>
        <v>June</v>
      </c>
      <c r="G3391" s="6">
        <f t="shared" si="105"/>
        <v>23</v>
      </c>
      <c r="H3391" s="1">
        <f>SUMIF('Retal Tran Line Item'!E:E,A3391,'Retal Tran Line Item'!B:B)</f>
        <v>12</v>
      </c>
    </row>
    <row r="3392" spans="1:8">
      <c r="A3392" s="1">
        <v>104058</v>
      </c>
      <c r="B3392" s="1">
        <v>915766</v>
      </c>
      <c r="C3392" s="2">
        <v>41793</v>
      </c>
      <c r="D3392" s="1" t="s">
        <v>1992</v>
      </c>
      <c r="E3392" s="6">
        <v>1</v>
      </c>
      <c r="F3392" s="6" t="str">
        <f t="shared" si="104"/>
        <v>June</v>
      </c>
      <c r="G3392" s="6">
        <f t="shared" si="105"/>
        <v>23</v>
      </c>
      <c r="H3392" s="1">
        <f>SUMIF('Retal Tran Line Item'!E:E,A3392,'Retal Tran Line Item'!B:B)</f>
        <v>35</v>
      </c>
    </row>
    <row r="3393" spans="1:8">
      <c r="A3393" s="1">
        <v>104059</v>
      </c>
      <c r="B3393" s="1">
        <v>317807</v>
      </c>
      <c r="C3393" s="2">
        <v>41794</v>
      </c>
      <c r="D3393" s="1" t="s">
        <v>1993</v>
      </c>
      <c r="E3393" s="6">
        <v>1</v>
      </c>
      <c r="F3393" s="6" t="str">
        <f t="shared" si="104"/>
        <v>June</v>
      </c>
      <c r="G3393" s="6">
        <f t="shared" si="105"/>
        <v>23</v>
      </c>
      <c r="H3393" s="1">
        <f>SUMIF('Retal Tran Line Item'!E:E,A3393,'Retal Tran Line Item'!B:B)</f>
        <v>4</v>
      </c>
    </row>
    <row r="3394" spans="1:8">
      <c r="A3394" s="1">
        <v>104061</v>
      </c>
      <c r="B3394" s="1">
        <v>103508</v>
      </c>
      <c r="C3394" s="2">
        <v>41794</v>
      </c>
      <c r="D3394" s="1" t="s">
        <v>1994</v>
      </c>
      <c r="E3394" s="6">
        <v>1</v>
      </c>
      <c r="F3394" s="6" t="str">
        <f t="shared" si="104"/>
        <v>June</v>
      </c>
      <c r="G3394" s="6">
        <f t="shared" si="105"/>
        <v>23</v>
      </c>
      <c r="H3394" s="1">
        <f>SUMIF('Retal Tran Line Item'!E:E,A3394,'Retal Tran Line Item'!B:B)</f>
        <v>19</v>
      </c>
    </row>
    <row r="3395" spans="1:8">
      <c r="A3395" s="1">
        <v>104063</v>
      </c>
      <c r="B3395" s="1">
        <v>417823</v>
      </c>
      <c r="C3395" s="2">
        <v>41794</v>
      </c>
      <c r="D3395" s="1" t="s">
        <v>1993</v>
      </c>
      <c r="E3395" s="6">
        <v>2</v>
      </c>
      <c r="F3395" s="6" t="str">
        <f t="shared" ref="F3395:F3458" si="106">TEXT(C3395,"MMMM")</f>
        <v>June</v>
      </c>
      <c r="G3395" s="6">
        <f t="shared" ref="G3395:G3458" si="107">WEEKNUM(C3395)</f>
        <v>23</v>
      </c>
      <c r="H3395" s="1">
        <f>SUMIF('Retal Tran Line Item'!E:E,A3395,'Retal Tran Line Item'!B:B)</f>
        <v>7</v>
      </c>
    </row>
    <row r="3396" spans="1:8">
      <c r="A3396" s="1">
        <v>104064</v>
      </c>
      <c r="B3396" s="1">
        <v>994056</v>
      </c>
      <c r="C3396" s="2">
        <v>41794</v>
      </c>
      <c r="D3396" s="1" t="s">
        <v>1989</v>
      </c>
      <c r="E3396" s="6">
        <v>1</v>
      </c>
      <c r="F3396" s="6" t="str">
        <f t="shared" si="106"/>
        <v>June</v>
      </c>
      <c r="G3396" s="6">
        <f t="shared" si="107"/>
        <v>23</v>
      </c>
      <c r="H3396" s="1">
        <f>SUMIF('Retal Tran Line Item'!E:E,A3396,'Retal Tran Line Item'!B:B)</f>
        <v>3</v>
      </c>
    </row>
    <row r="3397" spans="1:8">
      <c r="A3397" s="1">
        <v>104065</v>
      </c>
      <c r="B3397" s="1">
        <v>891738</v>
      </c>
      <c r="C3397" s="2">
        <v>41794</v>
      </c>
      <c r="D3397" s="1" t="s">
        <v>1994</v>
      </c>
      <c r="E3397" s="6">
        <v>1</v>
      </c>
      <c r="F3397" s="6" t="str">
        <f t="shared" si="106"/>
        <v>June</v>
      </c>
      <c r="G3397" s="6">
        <f t="shared" si="107"/>
        <v>23</v>
      </c>
      <c r="H3397" s="1">
        <f>SUMIF('Retal Tran Line Item'!E:E,A3397,'Retal Tran Line Item'!B:B)</f>
        <v>3</v>
      </c>
    </row>
    <row r="3398" spans="1:8">
      <c r="A3398" s="1">
        <v>104066</v>
      </c>
      <c r="B3398" s="1">
        <v>271531</v>
      </c>
      <c r="C3398" s="2">
        <v>41794</v>
      </c>
      <c r="D3398" s="1" t="s">
        <v>1993</v>
      </c>
      <c r="E3398" s="6">
        <v>2</v>
      </c>
      <c r="F3398" s="6" t="str">
        <f t="shared" si="106"/>
        <v>June</v>
      </c>
      <c r="G3398" s="6">
        <f t="shared" si="107"/>
        <v>23</v>
      </c>
      <c r="H3398" s="1">
        <f>SUMIF('Retal Tran Line Item'!E:E,A3398,'Retal Tran Line Item'!B:B)</f>
        <v>19</v>
      </c>
    </row>
    <row r="3399" spans="1:8">
      <c r="A3399" s="1">
        <v>104067</v>
      </c>
      <c r="B3399" s="1">
        <v>479497</v>
      </c>
      <c r="C3399" s="2">
        <v>41795</v>
      </c>
      <c r="D3399" s="1" t="s">
        <v>1994</v>
      </c>
      <c r="E3399" s="6">
        <v>1</v>
      </c>
      <c r="F3399" s="6" t="str">
        <f t="shared" si="106"/>
        <v>June</v>
      </c>
      <c r="G3399" s="6">
        <f t="shared" si="107"/>
        <v>23</v>
      </c>
      <c r="H3399" s="1">
        <f>SUMIF('Retal Tran Line Item'!E:E,A3399,'Retal Tran Line Item'!B:B)</f>
        <v>10</v>
      </c>
    </row>
    <row r="3400" spans="1:8">
      <c r="A3400" s="1">
        <v>104069</v>
      </c>
      <c r="B3400" s="1">
        <v>186353</v>
      </c>
      <c r="C3400" s="2">
        <v>41795</v>
      </c>
      <c r="D3400" s="1" t="s">
        <v>1994</v>
      </c>
      <c r="E3400" s="6">
        <v>1</v>
      </c>
      <c r="F3400" s="6" t="str">
        <f t="shared" si="106"/>
        <v>June</v>
      </c>
      <c r="G3400" s="6">
        <f t="shared" si="107"/>
        <v>23</v>
      </c>
      <c r="H3400" s="1">
        <f>SUMIF('Retal Tran Line Item'!E:E,A3400,'Retal Tran Line Item'!B:B)</f>
        <v>5</v>
      </c>
    </row>
    <row r="3401" spans="1:8">
      <c r="A3401" s="1">
        <v>104073</v>
      </c>
      <c r="B3401" s="1">
        <v>974503</v>
      </c>
      <c r="C3401" s="2">
        <v>41796</v>
      </c>
      <c r="D3401" s="1" t="s">
        <v>1993</v>
      </c>
      <c r="E3401" s="6">
        <v>1</v>
      </c>
      <c r="F3401" s="6" t="str">
        <f t="shared" si="106"/>
        <v>June</v>
      </c>
      <c r="G3401" s="6">
        <f t="shared" si="107"/>
        <v>23</v>
      </c>
      <c r="H3401" s="1">
        <f>SUMIF('Retal Tran Line Item'!E:E,A3401,'Retal Tran Line Item'!B:B)</f>
        <v>7</v>
      </c>
    </row>
    <row r="3402" spans="1:8">
      <c r="A3402" s="1">
        <v>104074</v>
      </c>
      <c r="B3402" s="1">
        <v>110363</v>
      </c>
      <c r="C3402" s="2">
        <v>41796</v>
      </c>
      <c r="D3402" s="1" t="s">
        <v>1994</v>
      </c>
      <c r="E3402" s="6">
        <v>2</v>
      </c>
      <c r="F3402" s="6" t="str">
        <f t="shared" si="106"/>
        <v>June</v>
      </c>
      <c r="G3402" s="6">
        <f t="shared" si="107"/>
        <v>23</v>
      </c>
      <c r="H3402" s="1">
        <f>SUMIF('Retal Tran Line Item'!E:E,A3402,'Retal Tran Line Item'!B:B)</f>
        <v>1</v>
      </c>
    </row>
    <row r="3403" spans="1:8">
      <c r="A3403" s="1">
        <v>104076</v>
      </c>
      <c r="B3403" s="1">
        <v>995599</v>
      </c>
      <c r="C3403" s="2">
        <v>41796</v>
      </c>
      <c r="D3403" s="1" t="s">
        <v>1989</v>
      </c>
      <c r="E3403" s="6">
        <v>1</v>
      </c>
      <c r="F3403" s="6" t="str">
        <f t="shared" si="106"/>
        <v>June</v>
      </c>
      <c r="G3403" s="6">
        <f t="shared" si="107"/>
        <v>23</v>
      </c>
      <c r="H3403" s="1">
        <f>SUMIF('Retal Tran Line Item'!E:E,A3403,'Retal Tran Line Item'!B:B)</f>
        <v>10</v>
      </c>
    </row>
    <row r="3404" spans="1:8">
      <c r="A3404" s="1">
        <v>104077</v>
      </c>
      <c r="B3404" s="1">
        <v>330570</v>
      </c>
      <c r="C3404" s="2">
        <v>41796</v>
      </c>
      <c r="D3404" s="1" t="s">
        <v>1993</v>
      </c>
      <c r="E3404" s="6">
        <v>1</v>
      </c>
      <c r="F3404" s="6" t="str">
        <f t="shared" si="106"/>
        <v>June</v>
      </c>
      <c r="G3404" s="6">
        <f t="shared" si="107"/>
        <v>23</v>
      </c>
      <c r="H3404" s="1">
        <f>SUMIF('Retal Tran Line Item'!E:E,A3404,'Retal Tran Line Item'!B:B)</f>
        <v>1</v>
      </c>
    </row>
    <row r="3405" spans="1:8">
      <c r="A3405" s="1">
        <v>104078</v>
      </c>
      <c r="B3405" s="1">
        <v>405671</v>
      </c>
      <c r="C3405" s="2">
        <v>41796</v>
      </c>
      <c r="D3405" s="1" t="s">
        <v>1989</v>
      </c>
      <c r="E3405" s="6">
        <v>2</v>
      </c>
      <c r="F3405" s="6" t="str">
        <f t="shared" si="106"/>
        <v>June</v>
      </c>
      <c r="G3405" s="6">
        <f t="shared" si="107"/>
        <v>23</v>
      </c>
      <c r="H3405" s="1">
        <f>SUMIF('Retal Tran Line Item'!E:E,A3405,'Retal Tran Line Item'!B:B)</f>
        <v>12</v>
      </c>
    </row>
    <row r="3406" spans="1:8">
      <c r="A3406" s="1">
        <v>104081</v>
      </c>
      <c r="B3406" s="1">
        <v>567719</v>
      </c>
      <c r="C3406" s="2">
        <v>41797</v>
      </c>
      <c r="D3406" s="1" t="s">
        <v>1993</v>
      </c>
      <c r="E3406" s="6">
        <v>2</v>
      </c>
      <c r="F3406" s="6" t="str">
        <f t="shared" si="106"/>
        <v>June</v>
      </c>
      <c r="G3406" s="6">
        <f t="shared" si="107"/>
        <v>23</v>
      </c>
      <c r="H3406" s="1">
        <f>SUMIF('Retal Tran Line Item'!E:E,A3406,'Retal Tran Line Item'!B:B)</f>
        <v>12</v>
      </c>
    </row>
    <row r="3407" spans="1:8">
      <c r="A3407" s="1">
        <v>104084</v>
      </c>
      <c r="B3407" s="1">
        <v>605188</v>
      </c>
      <c r="C3407" s="2">
        <v>41797</v>
      </c>
      <c r="D3407" s="1" t="s">
        <v>1989</v>
      </c>
      <c r="E3407" s="6">
        <v>1</v>
      </c>
      <c r="F3407" s="6" t="str">
        <f t="shared" si="106"/>
        <v>June</v>
      </c>
      <c r="G3407" s="6">
        <f t="shared" si="107"/>
        <v>23</v>
      </c>
      <c r="H3407" s="1">
        <f>SUMIF('Retal Tran Line Item'!E:E,A3407,'Retal Tran Line Item'!B:B)</f>
        <v>7</v>
      </c>
    </row>
    <row r="3408" spans="1:8">
      <c r="A3408" s="1">
        <v>104085</v>
      </c>
      <c r="B3408" s="1">
        <v>448993</v>
      </c>
      <c r="C3408" s="2">
        <v>41797</v>
      </c>
      <c r="D3408" s="1" t="s">
        <v>1992</v>
      </c>
      <c r="E3408" s="6">
        <v>2</v>
      </c>
      <c r="F3408" s="6" t="str">
        <f t="shared" si="106"/>
        <v>June</v>
      </c>
      <c r="G3408" s="6">
        <f t="shared" si="107"/>
        <v>23</v>
      </c>
      <c r="H3408" s="1">
        <f>SUMIF('Retal Tran Line Item'!E:E,A3408,'Retal Tran Line Item'!B:B)</f>
        <v>10</v>
      </c>
    </row>
    <row r="3409" spans="1:8">
      <c r="A3409" s="1">
        <v>104086</v>
      </c>
      <c r="B3409" s="1">
        <v>407605</v>
      </c>
      <c r="C3409" s="2">
        <v>41797</v>
      </c>
      <c r="D3409" s="1" t="s">
        <v>1994</v>
      </c>
      <c r="E3409" s="6">
        <v>2</v>
      </c>
      <c r="F3409" s="6" t="str">
        <f t="shared" si="106"/>
        <v>June</v>
      </c>
      <c r="G3409" s="6">
        <f t="shared" si="107"/>
        <v>23</v>
      </c>
      <c r="H3409" s="1">
        <f>SUMIF('Retal Tran Line Item'!E:E,A3409,'Retal Tran Line Item'!B:B)</f>
        <v>16</v>
      </c>
    </row>
    <row r="3410" spans="1:8">
      <c r="A3410" s="1">
        <v>104087</v>
      </c>
      <c r="B3410" s="1">
        <v>550824</v>
      </c>
      <c r="C3410" s="2">
        <v>41797</v>
      </c>
      <c r="D3410" s="1" t="s">
        <v>1989</v>
      </c>
      <c r="E3410" s="6">
        <v>2</v>
      </c>
      <c r="F3410" s="6" t="str">
        <f t="shared" si="106"/>
        <v>June</v>
      </c>
      <c r="G3410" s="6">
        <f t="shared" si="107"/>
        <v>23</v>
      </c>
      <c r="H3410" s="1">
        <f>SUMIF('Retal Tran Line Item'!E:E,A3410,'Retal Tran Line Item'!B:B)</f>
        <v>15</v>
      </c>
    </row>
    <row r="3411" spans="1:8">
      <c r="A3411" s="1">
        <v>104088</v>
      </c>
      <c r="B3411" s="1">
        <v>857548</v>
      </c>
      <c r="C3411" s="2">
        <v>41798</v>
      </c>
      <c r="D3411" s="1" t="s">
        <v>1992</v>
      </c>
      <c r="E3411" s="6">
        <v>2</v>
      </c>
      <c r="F3411" s="6" t="str">
        <f t="shared" si="106"/>
        <v>June</v>
      </c>
      <c r="G3411" s="6">
        <f t="shared" si="107"/>
        <v>24</v>
      </c>
      <c r="H3411" s="1">
        <f>SUMIF('Retal Tran Line Item'!E:E,A3411,'Retal Tran Line Item'!B:B)</f>
        <v>6</v>
      </c>
    </row>
    <row r="3412" spans="1:8">
      <c r="A3412" s="1">
        <v>104089</v>
      </c>
      <c r="B3412" s="1">
        <v>833180</v>
      </c>
      <c r="C3412" s="2">
        <v>41798</v>
      </c>
      <c r="D3412" s="1" t="s">
        <v>1993</v>
      </c>
      <c r="E3412" s="6">
        <v>2</v>
      </c>
      <c r="F3412" s="6" t="str">
        <f t="shared" si="106"/>
        <v>June</v>
      </c>
      <c r="G3412" s="6">
        <f t="shared" si="107"/>
        <v>24</v>
      </c>
      <c r="H3412" s="1">
        <f>SUMIF('Retal Tran Line Item'!E:E,A3412,'Retal Tran Line Item'!B:B)</f>
        <v>4</v>
      </c>
    </row>
    <row r="3413" spans="1:8">
      <c r="A3413" s="1">
        <v>104090</v>
      </c>
      <c r="B3413" s="1">
        <v>498970</v>
      </c>
      <c r="C3413" s="2">
        <v>41798</v>
      </c>
      <c r="D3413" s="1" t="s">
        <v>1992</v>
      </c>
      <c r="E3413" s="6">
        <v>1</v>
      </c>
      <c r="F3413" s="6" t="str">
        <f t="shared" si="106"/>
        <v>June</v>
      </c>
      <c r="G3413" s="6">
        <f t="shared" si="107"/>
        <v>24</v>
      </c>
      <c r="H3413" s="1">
        <f>SUMIF('Retal Tran Line Item'!E:E,A3413,'Retal Tran Line Item'!B:B)</f>
        <v>7</v>
      </c>
    </row>
    <row r="3414" spans="1:8">
      <c r="A3414" s="1">
        <v>104091</v>
      </c>
      <c r="B3414" s="1">
        <v>908768</v>
      </c>
      <c r="C3414" s="2">
        <v>41798</v>
      </c>
      <c r="D3414" s="1" t="s">
        <v>1992</v>
      </c>
      <c r="E3414" s="6">
        <v>2</v>
      </c>
      <c r="F3414" s="6" t="str">
        <f t="shared" si="106"/>
        <v>June</v>
      </c>
      <c r="G3414" s="6">
        <f t="shared" si="107"/>
        <v>24</v>
      </c>
      <c r="H3414" s="1">
        <f>SUMIF('Retal Tran Line Item'!E:E,A3414,'Retal Tran Line Item'!B:B)</f>
        <v>13</v>
      </c>
    </row>
    <row r="3415" spans="1:8">
      <c r="A3415" s="1">
        <v>104092</v>
      </c>
      <c r="B3415" s="1">
        <v>951702</v>
      </c>
      <c r="C3415" s="2">
        <v>41798</v>
      </c>
      <c r="D3415" s="1" t="s">
        <v>1992</v>
      </c>
      <c r="E3415" s="6">
        <v>1</v>
      </c>
      <c r="F3415" s="6" t="str">
        <f t="shared" si="106"/>
        <v>June</v>
      </c>
      <c r="G3415" s="6">
        <f t="shared" si="107"/>
        <v>24</v>
      </c>
      <c r="H3415" s="1">
        <f>SUMIF('Retal Tran Line Item'!E:E,A3415,'Retal Tran Line Item'!B:B)</f>
        <v>10</v>
      </c>
    </row>
    <row r="3416" spans="1:8">
      <c r="A3416" s="1">
        <v>104093</v>
      </c>
      <c r="B3416" s="1">
        <v>606155</v>
      </c>
      <c r="C3416" s="2">
        <v>41798</v>
      </c>
      <c r="D3416" s="1" t="s">
        <v>1993</v>
      </c>
      <c r="E3416" s="6">
        <v>1</v>
      </c>
      <c r="F3416" s="6" t="str">
        <f t="shared" si="106"/>
        <v>June</v>
      </c>
      <c r="G3416" s="6">
        <f t="shared" si="107"/>
        <v>24</v>
      </c>
      <c r="H3416" s="1">
        <f>SUMIF('Retal Tran Line Item'!E:E,A3416,'Retal Tran Line Item'!B:B)</f>
        <v>14</v>
      </c>
    </row>
    <row r="3417" spans="1:8">
      <c r="A3417" s="1">
        <v>104094</v>
      </c>
      <c r="B3417" s="1">
        <v>488803</v>
      </c>
      <c r="C3417" s="2">
        <v>41798</v>
      </c>
      <c r="D3417" s="1" t="s">
        <v>1989</v>
      </c>
      <c r="E3417" s="6">
        <v>1</v>
      </c>
      <c r="F3417" s="6" t="str">
        <f t="shared" si="106"/>
        <v>June</v>
      </c>
      <c r="G3417" s="6">
        <f t="shared" si="107"/>
        <v>24</v>
      </c>
      <c r="H3417" s="1">
        <f>SUMIF('Retal Tran Line Item'!E:E,A3417,'Retal Tran Line Item'!B:B)</f>
        <v>8</v>
      </c>
    </row>
    <row r="3418" spans="1:8">
      <c r="A3418" s="1">
        <v>104096</v>
      </c>
      <c r="B3418" s="1">
        <v>216475</v>
      </c>
      <c r="C3418" s="2">
        <v>41799</v>
      </c>
      <c r="D3418" s="1" t="s">
        <v>1992</v>
      </c>
      <c r="E3418" s="6">
        <v>2</v>
      </c>
      <c r="F3418" s="6" t="str">
        <f t="shared" si="106"/>
        <v>June</v>
      </c>
      <c r="G3418" s="6">
        <f t="shared" si="107"/>
        <v>24</v>
      </c>
      <c r="H3418" s="1">
        <f>SUMIF('Retal Tran Line Item'!E:E,A3418,'Retal Tran Line Item'!B:B)</f>
        <v>9</v>
      </c>
    </row>
    <row r="3419" spans="1:8">
      <c r="A3419" s="1">
        <v>104098</v>
      </c>
      <c r="B3419" s="1">
        <v>797968</v>
      </c>
      <c r="C3419" s="2">
        <v>41799</v>
      </c>
      <c r="D3419" s="1" t="s">
        <v>1993</v>
      </c>
      <c r="E3419" s="6">
        <v>1</v>
      </c>
      <c r="F3419" s="6" t="str">
        <f t="shared" si="106"/>
        <v>June</v>
      </c>
      <c r="G3419" s="6">
        <f t="shared" si="107"/>
        <v>24</v>
      </c>
      <c r="H3419" s="1">
        <f>SUMIF('Retal Tran Line Item'!E:E,A3419,'Retal Tran Line Item'!B:B)</f>
        <v>4</v>
      </c>
    </row>
    <row r="3420" spans="1:8">
      <c r="A3420" s="1">
        <v>104101</v>
      </c>
      <c r="B3420" s="1">
        <v>193914</v>
      </c>
      <c r="C3420" s="2">
        <v>41799</v>
      </c>
      <c r="D3420" s="1" t="s">
        <v>1992</v>
      </c>
      <c r="E3420" s="6">
        <v>2</v>
      </c>
      <c r="F3420" s="6" t="str">
        <f t="shared" si="106"/>
        <v>June</v>
      </c>
      <c r="G3420" s="6">
        <f t="shared" si="107"/>
        <v>24</v>
      </c>
      <c r="H3420" s="1">
        <f>SUMIF('Retal Tran Line Item'!E:E,A3420,'Retal Tran Line Item'!B:B)</f>
        <v>2</v>
      </c>
    </row>
    <row r="3421" spans="1:8">
      <c r="A3421" s="1">
        <v>104102</v>
      </c>
      <c r="B3421" s="1">
        <v>592726</v>
      </c>
      <c r="C3421" s="2">
        <v>41800</v>
      </c>
      <c r="D3421" s="1" t="s">
        <v>1993</v>
      </c>
      <c r="E3421" s="6">
        <v>1</v>
      </c>
      <c r="F3421" s="6" t="str">
        <f t="shared" si="106"/>
        <v>June</v>
      </c>
      <c r="G3421" s="6">
        <f t="shared" si="107"/>
        <v>24</v>
      </c>
      <c r="H3421" s="1">
        <f>SUMIF('Retal Tran Line Item'!E:E,A3421,'Retal Tran Line Item'!B:B)</f>
        <v>9</v>
      </c>
    </row>
    <row r="3422" spans="1:8">
      <c r="A3422" s="1">
        <v>104103</v>
      </c>
      <c r="B3422" s="1">
        <v>936214</v>
      </c>
      <c r="C3422" s="2">
        <v>41800</v>
      </c>
      <c r="D3422" s="1" t="s">
        <v>1993</v>
      </c>
      <c r="E3422" s="6">
        <v>2</v>
      </c>
      <c r="F3422" s="6" t="str">
        <f t="shared" si="106"/>
        <v>June</v>
      </c>
      <c r="G3422" s="6">
        <f t="shared" si="107"/>
        <v>24</v>
      </c>
      <c r="H3422" s="1">
        <f>SUMIF('Retal Tran Line Item'!E:E,A3422,'Retal Tran Line Item'!B:B)</f>
        <v>10</v>
      </c>
    </row>
    <row r="3423" spans="1:8">
      <c r="A3423" s="1">
        <v>104104</v>
      </c>
      <c r="B3423" s="1">
        <v>500828</v>
      </c>
      <c r="C3423" s="2">
        <v>41800</v>
      </c>
      <c r="D3423" s="1" t="s">
        <v>1992</v>
      </c>
      <c r="E3423" s="6">
        <v>1</v>
      </c>
      <c r="F3423" s="6" t="str">
        <f t="shared" si="106"/>
        <v>June</v>
      </c>
      <c r="G3423" s="6">
        <f t="shared" si="107"/>
        <v>24</v>
      </c>
      <c r="H3423" s="1">
        <f>SUMIF('Retal Tran Line Item'!E:E,A3423,'Retal Tran Line Item'!B:B)</f>
        <v>10</v>
      </c>
    </row>
    <row r="3424" spans="1:8">
      <c r="A3424" s="1">
        <v>104105</v>
      </c>
      <c r="B3424" s="1">
        <v>880238</v>
      </c>
      <c r="C3424" s="2">
        <v>41800</v>
      </c>
      <c r="D3424" s="1" t="s">
        <v>1993</v>
      </c>
      <c r="E3424" s="6">
        <v>1</v>
      </c>
      <c r="F3424" s="6" t="str">
        <f t="shared" si="106"/>
        <v>June</v>
      </c>
      <c r="G3424" s="6">
        <f t="shared" si="107"/>
        <v>24</v>
      </c>
      <c r="H3424" s="1">
        <f>SUMIF('Retal Tran Line Item'!E:E,A3424,'Retal Tran Line Item'!B:B)</f>
        <v>2</v>
      </c>
    </row>
    <row r="3425" spans="1:8">
      <c r="A3425" s="1">
        <v>104106</v>
      </c>
      <c r="B3425" s="1">
        <v>216475</v>
      </c>
      <c r="C3425" s="2">
        <v>41800</v>
      </c>
      <c r="D3425" s="1" t="s">
        <v>1992</v>
      </c>
      <c r="E3425" s="6">
        <v>2</v>
      </c>
      <c r="F3425" s="6" t="str">
        <f t="shared" si="106"/>
        <v>June</v>
      </c>
      <c r="G3425" s="6">
        <f t="shared" si="107"/>
        <v>24</v>
      </c>
      <c r="H3425" s="1">
        <f>SUMIF('Retal Tran Line Item'!E:E,A3425,'Retal Tran Line Item'!B:B)</f>
        <v>9</v>
      </c>
    </row>
    <row r="3426" spans="1:8">
      <c r="A3426" s="1">
        <v>104108</v>
      </c>
      <c r="B3426" s="1">
        <v>265707</v>
      </c>
      <c r="C3426" s="2">
        <v>41800</v>
      </c>
      <c r="D3426" s="1" t="s">
        <v>1994</v>
      </c>
      <c r="E3426" s="6">
        <v>1</v>
      </c>
      <c r="F3426" s="6" t="str">
        <f t="shared" si="106"/>
        <v>June</v>
      </c>
      <c r="G3426" s="6">
        <f t="shared" si="107"/>
        <v>24</v>
      </c>
      <c r="H3426" s="1">
        <f>SUMIF('Retal Tran Line Item'!E:E,A3426,'Retal Tran Line Item'!B:B)</f>
        <v>16</v>
      </c>
    </row>
    <row r="3427" spans="1:8">
      <c r="A3427" s="1">
        <v>104109</v>
      </c>
      <c r="B3427" s="1">
        <v>979679</v>
      </c>
      <c r="C3427" s="2">
        <v>41801</v>
      </c>
      <c r="D3427" s="1" t="s">
        <v>1994</v>
      </c>
      <c r="E3427" s="6">
        <v>1</v>
      </c>
      <c r="F3427" s="6" t="str">
        <f t="shared" si="106"/>
        <v>June</v>
      </c>
      <c r="G3427" s="6">
        <f t="shared" si="107"/>
        <v>24</v>
      </c>
      <c r="H3427" s="1">
        <f>SUMIF('Retal Tran Line Item'!E:E,A3427,'Retal Tran Line Item'!B:B)</f>
        <v>3</v>
      </c>
    </row>
    <row r="3428" spans="1:8">
      <c r="A3428" s="1">
        <v>104110</v>
      </c>
      <c r="B3428" s="1">
        <v>885548</v>
      </c>
      <c r="C3428" s="2">
        <v>41801</v>
      </c>
      <c r="D3428" s="1" t="s">
        <v>1992</v>
      </c>
      <c r="E3428" s="6">
        <v>1</v>
      </c>
      <c r="F3428" s="6" t="str">
        <f t="shared" si="106"/>
        <v>June</v>
      </c>
      <c r="G3428" s="6">
        <f t="shared" si="107"/>
        <v>24</v>
      </c>
      <c r="H3428" s="1">
        <f>SUMIF('Retal Tran Line Item'!E:E,A3428,'Retal Tran Line Item'!B:B)</f>
        <v>17</v>
      </c>
    </row>
    <row r="3429" spans="1:8">
      <c r="A3429" s="1">
        <v>104112</v>
      </c>
      <c r="B3429" s="1">
        <v>231615</v>
      </c>
      <c r="C3429" s="2">
        <v>41801</v>
      </c>
      <c r="D3429" s="1" t="s">
        <v>1989</v>
      </c>
      <c r="E3429" s="6">
        <v>2</v>
      </c>
      <c r="F3429" s="6" t="str">
        <f t="shared" si="106"/>
        <v>June</v>
      </c>
      <c r="G3429" s="6">
        <f t="shared" si="107"/>
        <v>24</v>
      </c>
      <c r="H3429" s="1">
        <f>SUMIF('Retal Tran Line Item'!E:E,A3429,'Retal Tran Line Item'!B:B)</f>
        <v>3</v>
      </c>
    </row>
    <row r="3430" spans="1:8">
      <c r="A3430" s="1">
        <v>104113</v>
      </c>
      <c r="B3430" s="1">
        <v>879173</v>
      </c>
      <c r="C3430" s="2">
        <v>41801</v>
      </c>
      <c r="D3430" s="1" t="s">
        <v>1992</v>
      </c>
      <c r="E3430" s="6">
        <v>1</v>
      </c>
      <c r="F3430" s="6" t="str">
        <f t="shared" si="106"/>
        <v>June</v>
      </c>
      <c r="G3430" s="6">
        <f t="shared" si="107"/>
        <v>24</v>
      </c>
      <c r="H3430" s="1">
        <f>SUMIF('Retal Tran Line Item'!E:E,A3430,'Retal Tran Line Item'!B:B)</f>
        <v>16</v>
      </c>
    </row>
    <row r="3431" spans="1:8">
      <c r="A3431" s="1">
        <v>104114</v>
      </c>
      <c r="B3431" s="1">
        <v>933331</v>
      </c>
      <c r="C3431" s="2">
        <v>41801</v>
      </c>
      <c r="D3431" s="1" t="s">
        <v>1994</v>
      </c>
      <c r="E3431" s="6">
        <v>1</v>
      </c>
      <c r="F3431" s="6" t="str">
        <f t="shared" si="106"/>
        <v>June</v>
      </c>
      <c r="G3431" s="6">
        <f t="shared" si="107"/>
        <v>24</v>
      </c>
      <c r="H3431" s="1">
        <f>SUMIF('Retal Tran Line Item'!E:E,A3431,'Retal Tran Line Item'!B:B)</f>
        <v>1</v>
      </c>
    </row>
    <row r="3432" spans="1:8">
      <c r="A3432" s="1">
        <v>104117</v>
      </c>
      <c r="B3432" s="1">
        <v>660634</v>
      </c>
      <c r="C3432" s="2">
        <v>41802</v>
      </c>
      <c r="D3432" s="1" t="s">
        <v>1993</v>
      </c>
      <c r="E3432" s="6">
        <v>1</v>
      </c>
      <c r="F3432" s="6" t="str">
        <f t="shared" si="106"/>
        <v>June</v>
      </c>
      <c r="G3432" s="6">
        <f t="shared" si="107"/>
        <v>24</v>
      </c>
      <c r="H3432" s="1">
        <f>SUMIF('Retal Tran Line Item'!E:E,A3432,'Retal Tran Line Item'!B:B)</f>
        <v>15</v>
      </c>
    </row>
    <row r="3433" spans="1:8">
      <c r="A3433" s="1">
        <v>104119</v>
      </c>
      <c r="B3433" s="1">
        <v>955591</v>
      </c>
      <c r="C3433" s="2">
        <v>41802</v>
      </c>
      <c r="D3433" s="1" t="s">
        <v>1993</v>
      </c>
      <c r="E3433" s="6">
        <v>1</v>
      </c>
      <c r="F3433" s="6" t="str">
        <f t="shared" si="106"/>
        <v>June</v>
      </c>
      <c r="G3433" s="6">
        <f t="shared" si="107"/>
        <v>24</v>
      </c>
      <c r="H3433" s="1">
        <f>SUMIF('Retal Tran Line Item'!E:E,A3433,'Retal Tran Line Item'!B:B)</f>
        <v>3</v>
      </c>
    </row>
    <row r="3434" spans="1:8">
      <c r="A3434" s="1">
        <v>104120</v>
      </c>
      <c r="B3434" s="1">
        <v>664934</v>
      </c>
      <c r="C3434" s="2">
        <v>41802</v>
      </c>
      <c r="D3434" s="1" t="s">
        <v>1994</v>
      </c>
      <c r="E3434" s="6">
        <v>2</v>
      </c>
      <c r="F3434" s="6" t="str">
        <f t="shared" si="106"/>
        <v>June</v>
      </c>
      <c r="G3434" s="6">
        <f t="shared" si="107"/>
        <v>24</v>
      </c>
      <c r="H3434" s="1">
        <f>SUMIF('Retal Tran Line Item'!E:E,A3434,'Retal Tran Line Item'!B:B)</f>
        <v>10</v>
      </c>
    </row>
    <row r="3435" spans="1:8">
      <c r="A3435" s="1">
        <v>104123</v>
      </c>
      <c r="B3435" s="1">
        <v>230602</v>
      </c>
      <c r="C3435" s="2">
        <v>41803</v>
      </c>
      <c r="D3435" s="1" t="s">
        <v>1992</v>
      </c>
      <c r="E3435" s="6">
        <v>1</v>
      </c>
      <c r="F3435" s="6" t="str">
        <f t="shared" si="106"/>
        <v>June</v>
      </c>
      <c r="G3435" s="6">
        <f t="shared" si="107"/>
        <v>24</v>
      </c>
      <c r="H3435" s="1">
        <f>SUMIF('Retal Tran Line Item'!E:E,A3435,'Retal Tran Line Item'!B:B)</f>
        <v>12</v>
      </c>
    </row>
    <row r="3436" spans="1:8">
      <c r="A3436" s="1">
        <v>104124</v>
      </c>
      <c r="B3436" s="1">
        <v>516619</v>
      </c>
      <c r="C3436" s="2">
        <v>41803</v>
      </c>
      <c r="D3436" s="1" t="s">
        <v>1993</v>
      </c>
      <c r="E3436" s="6">
        <v>1</v>
      </c>
      <c r="F3436" s="6" t="str">
        <f t="shared" si="106"/>
        <v>June</v>
      </c>
      <c r="G3436" s="6">
        <f t="shared" si="107"/>
        <v>24</v>
      </c>
      <c r="H3436" s="1">
        <f>SUMIF('Retal Tran Line Item'!E:E,A3436,'Retal Tran Line Item'!B:B)</f>
        <v>8</v>
      </c>
    </row>
    <row r="3437" spans="1:8">
      <c r="A3437" s="1">
        <v>104125</v>
      </c>
      <c r="B3437" s="1">
        <v>884729</v>
      </c>
      <c r="C3437" s="2">
        <v>41803</v>
      </c>
      <c r="D3437" s="1" t="s">
        <v>1993</v>
      </c>
      <c r="E3437" s="6">
        <v>2</v>
      </c>
      <c r="F3437" s="6" t="str">
        <f t="shared" si="106"/>
        <v>June</v>
      </c>
      <c r="G3437" s="6">
        <f t="shared" si="107"/>
        <v>24</v>
      </c>
      <c r="H3437" s="1">
        <f>SUMIF('Retal Tran Line Item'!E:E,A3437,'Retal Tran Line Item'!B:B)</f>
        <v>9</v>
      </c>
    </row>
    <row r="3438" spans="1:8">
      <c r="A3438" s="1">
        <v>104126</v>
      </c>
      <c r="B3438" s="1">
        <v>190721</v>
      </c>
      <c r="C3438" s="2">
        <v>41803</v>
      </c>
      <c r="D3438" s="1" t="s">
        <v>1993</v>
      </c>
      <c r="E3438" s="6">
        <v>1</v>
      </c>
      <c r="F3438" s="6" t="str">
        <f t="shared" si="106"/>
        <v>June</v>
      </c>
      <c r="G3438" s="6">
        <f t="shared" si="107"/>
        <v>24</v>
      </c>
      <c r="H3438" s="1">
        <f>SUMIF('Retal Tran Line Item'!E:E,A3438,'Retal Tran Line Item'!B:B)</f>
        <v>9</v>
      </c>
    </row>
    <row r="3439" spans="1:8">
      <c r="A3439" s="1">
        <v>104127</v>
      </c>
      <c r="B3439" s="1">
        <v>796796</v>
      </c>
      <c r="C3439" s="2">
        <v>41803</v>
      </c>
      <c r="D3439" s="1" t="s">
        <v>1992</v>
      </c>
      <c r="E3439" s="6">
        <v>1</v>
      </c>
      <c r="F3439" s="6" t="str">
        <f t="shared" si="106"/>
        <v>June</v>
      </c>
      <c r="G3439" s="6">
        <f t="shared" si="107"/>
        <v>24</v>
      </c>
      <c r="H3439" s="1">
        <f>SUMIF('Retal Tran Line Item'!E:E,A3439,'Retal Tran Line Item'!B:B)</f>
        <v>3</v>
      </c>
    </row>
    <row r="3440" spans="1:8">
      <c r="A3440" s="1">
        <v>104128</v>
      </c>
      <c r="B3440" s="1">
        <v>601753</v>
      </c>
      <c r="C3440" s="2">
        <v>41803</v>
      </c>
      <c r="D3440" s="1" t="s">
        <v>1992</v>
      </c>
      <c r="E3440" s="6">
        <v>2</v>
      </c>
      <c r="F3440" s="6" t="str">
        <f t="shared" si="106"/>
        <v>June</v>
      </c>
      <c r="G3440" s="6">
        <f t="shared" si="107"/>
        <v>24</v>
      </c>
      <c r="H3440" s="1">
        <f>SUMIF('Retal Tran Line Item'!E:E,A3440,'Retal Tran Line Item'!B:B)</f>
        <v>2</v>
      </c>
    </row>
    <row r="3441" spans="1:8">
      <c r="A3441" s="1">
        <v>104129</v>
      </c>
      <c r="B3441" s="1">
        <v>373200</v>
      </c>
      <c r="C3441" s="2">
        <v>41803</v>
      </c>
      <c r="D3441" s="1" t="s">
        <v>1989</v>
      </c>
      <c r="E3441" s="6">
        <v>1</v>
      </c>
      <c r="F3441" s="6" t="str">
        <f t="shared" si="106"/>
        <v>June</v>
      </c>
      <c r="G3441" s="6">
        <f t="shared" si="107"/>
        <v>24</v>
      </c>
      <c r="H3441" s="1">
        <f>SUMIF('Retal Tran Line Item'!E:E,A3441,'Retal Tran Line Item'!B:B)</f>
        <v>10</v>
      </c>
    </row>
    <row r="3442" spans="1:8">
      <c r="A3442" s="1">
        <v>104132</v>
      </c>
      <c r="B3442" s="1">
        <v>161175</v>
      </c>
      <c r="C3442" s="2">
        <v>41804</v>
      </c>
      <c r="D3442" s="1" t="s">
        <v>1994</v>
      </c>
      <c r="E3442" s="6">
        <v>1</v>
      </c>
      <c r="F3442" s="6" t="str">
        <f t="shared" si="106"/>
        <v>June</v>
      </c>
      <c r="G3442" s="6">
        <f t="shared" si="107"/>
        <v>24</v>
      </c>
      <c r="H3442" s="1">
        <f>SUMIF('Retal Tran Line Item'!E:E,A3442,'Retal Tran Line Item'!B:B)</f>
        <v>15</v>
      </c>
    </row>
    <row r="3443" spans="1:8">
      <c r="A3443" s="1">
        <v>104134</v>
      </c>
      <c r="B3443" s="1">
        <v>761615</v>
      </c>
      <c r="C3443" s="2">
        <v>41804</v>
      </c>
      <c r="D3443" s="1" t="s">
        <v>1993</v>
      </c>
      <c r="E3443" s="6">
        <v>2</v>
      </c>
      <c r="F3443" s="6" t="str">
        <f t="shared" si="106"/>
        <v>June</v>
      </c>
      <c r="G3443" s="6">
        <f t="shared" si="107"/>
        <v>24</v>
      </c>
      <c r="H3443" s="1">
        <f>SUMIF('Retal Tran Line Item'!E:E,A3443,'Retal Tran Line Item'!B:B)</f>
        <v>3</v>
      </c>
    </row>
    <row r="3444" spans="1:8">
      <c r="A3444" s="1">
        <v>104135</v>
      </c>
      <c r="B3444" s="1">
        <v>701211</v>
      </c>
      <c r="C3444" s="2">
        <v>41804</v>
      </c>
      <c r="D3444" s="1" t="s">
        <v>1993</v>
      </c>
      <c r="E3444" s="6">
        <v>2</v>
      </c>
      <c r="F3444" s="6" t="str">
        <f t="shared" si="106"/>
        <v>June</v>
      </c>
      <c r="G3444" s="6">
        <f t="shared" si="107"/>
        <v>24</v>
      </c>
      <c r="H3444" s="1">
        <f>SUMIF('Retal Tran Line Item'!E:E,A3444,'Retal Tran Line Item'!B:B)</f>
        <v>4</v>
      </c>
    </row>
    <row r="3445" spans="1:8">
      <c r="A3445" s="1">
        <v>104136</v>
      </c>
      <c r="B3445" s="1">
        <v>938417</v>
      </c>
      <c r="C3445" s="2">
        <v>41805</v>
      </c>
      <c r="D3445" s="1" t="s">
        <v>1992</v>
      </c>
      <c r="E3445" s="6">
        <v>2</v>
      </c>
      <c r="F3445" s="6" t="str">
        <f t="shared" si="106"/>
        <v>June</v>
      </c>
      <c r="G3445" s="6">
        <f t="shared" si="107"/>
        <v>25</v>
      </c>
      <c r="H3445" s="1">
        <f>SUMIF('Retal Tran Line Item'!E:E,A3445,'Retal Tran Line Item'!B:B)</f>
        <v>11</v>
      </c>
    </row>
    <row r="3446" spans="1:8">
      <c r="A3446" s="1">
        <v>104137</v>
      </c>
      <c r="B3446" s="1">
        <v>173125</v>
      </c>
      <c r="C3446" s="2">
        <v>41805</v>
      </c>
      <c r="D3446" s="1" t="s">
        <v>1993</v>
      </c>
      <c r="E3446" s="6">
        <v>2</v>
      </c>
      <c r="F3446" s="6" t="str">
        <f t="shared" si="106"/>
        <v>June</v>
      </c>
      <c r="G3446" s="6">
        <f t="shared" si="107"/>
        <v>25</v>
      </c>
      <c r="H3446" s="1">
        <f>SUMIF('Retal Tran Line Item'!E:E,A3446,'Retal Tran Line Item'!B:B)</f>
        <v>4</v>
      </c>
    </row>
    <row r="3447" spans="1:8">
      <c r="A3447" s="1">
        <v>104140</v>
      </c>
      <c r="B3447" s="1">
        <v>278204</v>
      </c>
      <c r="C3447" s="2">
        <v>41805</v>
      </c>
      <c r="D3447" s="1" t="s">
        <v>1993</v>
      </c>
      <c r="E3447" s="6">
        <v>2</v>
      </c>
      <c r="F3447" s="6" t="str">
        <f t="shared" si="106"/>
        <v>June</v>
      </c>
      <c r="G3447" s="6">
        <f t="shared" si="107"/>
        <v>25</v>
      </c>
      <c r="H3447" s="1">
        <f>SUMIF('Retal Tran Line Item'!E:E,A3447,'Retal Tran Line Item'!B:B)</f>
        <v>5</v>
      </c>
    </row>
    <row r="3448" spans="1:8">
      <c r="A3448" s="1">
        <v>104141</v>
      </c>
      <c r="B3448" s="1">
        <v>157388</v>
      </c>
      <c r="C3448" s="2">
        <v>41805</v>
      </c>
      <c r="D3448" s="1" t="s">
        <v>1989</v>
      </c>
      <c r="E3448" s="6">
        <v>2</v>
      </c>
      <c r="F3448" s="6" t="str">
        <f t="shared" si="106"/>
        <v>June</v>
      </c>
      <c r="G3448" s="6">
        <f t="shared" si="107"/>
        <v>25</v>
      </c>
      <c r="H3448" s="1">
        <f>SUMIF('Retal Tran Line Item'!E:E,A3448,'Retal Tran Line Item'!B:B)</f>
        <v>5</v>
      </c>
    </row>
    <row r="3449" spans="1:8">
      <c r="A3449" s="1">
        <v>104142</v>
      </c>
      <c r="B3449" s="1">
        <v>921792</v>
      </c>
      <c r="C3449" s="2">
        <v>41805</v>
      </c>
      <c r="D3449" s="1" t="s">
        <v>1992</v>
      </c>
      <c r="E3449" s="6">
        <v>2</v>
      </c>
      <c r="F3449" s="6" t="str">
        <f t="shared" si="106"/>
        <v>June</v>
      </c>
      <c r="G3449" s="6">
        <f t="shared" si="107"/>
        <v>25</v>
      </c>
      <c r="H3449" s="1">
        <f>SUMIF('Retal Tran Line Item'!E:E,A3449,'Retal Tran Line Item'!B:B)</f>
        <v>10</v>
      </c>
    </row>
    <row r="3450" spans="1:8">
      <c r="A3450" s="1">
        <v>104143</v>
      </c>
      <c r="B3450" s="1">
        <v>744648</v>
      </c>
      <c r="C3450" s="2">
        <v>41805</v>
      </c>
      <c r="D3450" s="1" t="s">
        <v>1992</v>
      </c>
      <c r="E3450" s="6">
        <v>1</v>
      </c>
      <c r="F3450" s="6" t="str">
        <f t="shared" si="106"/>
        <v>June</v>
      </c>
      <c r="G3450" s="6">
        <f t="shared" si="107"/>
        <v>25</v>
      </c>
      <c r="H3450" s="1">
        <f>SUMIF('Retal Tran Line Item'!E:E,A3450,'Retal Tran Line Item'!B:B)</f>
        <v>10</v>
      </c>
    </row>
    <row r="3451" spans="1:8">
      <c r="A3451" s="1">
        <v>104144</v>
      </c>
      <c r="B3451" s="1">
        <v>111486</v>
      </c>
      <c r="C3451" s="2">
        <v>41806</v>
      </c>
      <c r="D3451" s="1" t="s">
        <v>1993</v>
      </c>
      <c r="E3451" s="6">
        <v>2</v>
      </c>
      <c r="F3451" s="6" t="str">
        <f t="shared" si="106"/>
        <v>June</v>
      </c>
      <c r="G3451" s="6">
        <f t="shared" si="107"/>
        <v>25</v>
      </c>
      <c r="H3451" s="1">
        <f>SUMIF('Retal Tran Line Item'!E:E,A3451,'Retal Tran Line Item'!B:B)</f>
        <v>9</v>
      </c>
    </row>
    <row r="3452" spans="1:8">
      <c r="A3452" s="1">
        <v>104145</v>
      </c>
      <c r="B3452" s="1">
        <v>275152</v>
      </c>
      <c r="C3452" s="2">
        <v>41806</v>
      </c>
      <c r="D3452" s="1" t="s">
        <v>1992</v>
      </c>
      <c r="E3452" s="6">
        <v>2</v>
      </c>
      <c r="F3452" s="6" t="str">
        <f t="shared" si="106"/>
        <v>June</v>
      </c>
      <c r="G3452" s="6">
        <f t="shared" si="107"/>
        <v>25</v>
      </c>
      <c r="H3452" s="1">
        <f>SUMIF('Retal Tran Line Item'!E:E,A3452,'Retal Tran Line Item'!B:B)</f>
        <v>4</v>
      </c>
    </row>
    <row r="3453" spans="1:8">
      <c r="A3453" s="1">
        <v>104146</v>
      </c>
      <c r="B3453" s="1">
        <v>618955</v>
      </c>
      <c r="C3453" s="2">
        <v>41806</v>
      </c>
      <c r="D3453" s="1" t="s">
        <v>1992</v>
      </c>
      <c r="E3453" s="6">
        <v>1</v>
      </c>
      <c r="F3453" s="6" t="str">
        <f t="shared" si="106"/>
        <v>June</v>
      </c>
      <c r="G3453" s="6">
        <f t="shared" si="107"/>
        <v>25</v>
      </c>
      <c r="H3453" s="1">
        <f>SUMIF('Retal Tran Line Item'!E:E,A3453,'Retal Tran Line Item'!B:B)</f>
        <v>14</v>
      </c>
    </row>
    <row r="3454" spans="1:8">
      <c r="A3454" s="1">
        <v>104149</v>
      </c>
      <c r="B3454" s="1">
        <v>134457</v>
      </c>
      <c r="C3454" s="2">
        <v>41806</v>
      </c>
      <c r="D3454" s="1" t="s">
        <v>1992</v>
      </c>
      <c r="E3454" s="6">
        <v>2</v>
      </c>
      <c r="F3454" s="6" t="str">
        <f t="shared" si="106"/>
        <v>June</v>
      </c>
      <c r="G3454" s="6">
        <f t="shared" si="107"/>
        <v>25</v>
      </c>
      <c r="H3454" s="1">
        <f>SUMIF('Retal Tran Line Item'!E:E,A3454,'Retal Tran Line Item'!B:B)</f>
        <v>2</v>
      </c>
    </row>
    <row r="3455" spans="1:8">
      <c r="A3455" s="1">
        <v>104150</v>
      </c>
      <c r="B3455" s="1">
        <v>191050</v>
      </c>
      <c r="C3455" s="2">
        <v>41806</v>
      </c>
      <c r="D3455" s="1" t="s">
        <v>1992</v>
      </c>
      <c r="E3455" s="6">
        <v>1</v>
      </c>
      <c r="F3455" s="6" t="str">
        <f t="shared" si="106"/>
        <v>June</v>
      </c>
      <c r="G3455" s="6">
        <f t="shared" si="107"/>
        <v>25</v>
      </c>
      <c r="H3455" s="1">
        <f>SUMIF('Retal Tran Line Item'!E:E,A3455,'Retal Tran Line Item'!B:B)</f>
        <v>6</v>
      </c>
    </row>
    <row r="3456" spans="1:8">
      <c r="A3456" s="1">
        <v>104151</v>
      </c>
      <c r="B3456" s="1">
        <v>893039</v>
      </c>
      <c r="C3456" s="2">
        <v>41806</v>
      </c>
      <c r="D3456" s="1" t="s">
        <v>1992</v>
      </c>
      <c r="E3456" s="6">
        <v>1</v>
      </c>
      <c r="F3456" s="6" t="str">
        <f t="shared" si="106"/>
        <v>June</v>
      </c>
      <c r="G3456" s="6">
        <f t="shared" si="107"/>
        <v>25</v>
      </c>
      <c r="H3456" s="1">
        <f>SUMIF('Retal Tran Line Item'!E:E,A3456,'Retal Tran Line Item'!B:B)</f>
        <v>1</v>
      </c>
    </row>
    <row r="3457" spans="1:8">
      <c r="A3457" s="1">
        <v>104153</v>
      </c>
      <c r="B3457" s="1">
        <v>822823</v>
      </c>
      <c r="C3457" s="2">
        <v>41807</v>
      </c>
      <c r="D3457" s="1" t="s">
        <v>1994</v>
      </c>
      <c r="E3457" s="6">
        <v>1</v>
      </c>
      <c r="F3457" s="6" t="str">
        <f t="shared" si="106"/>
        <v>June</v>
      </c>
      <c r="G3457" s="6">
        <f t="shared" si="107"/>
        <v>25</v>
      </c>
      <c r="H3457" s="1">
        <f>SUMIF('Retal Tran Line Item'!E:E,A3457,'Retal Tran Line Item'!B:B)</f>
        <v>4</v>
      </c>
    </row>
    <row r="3458" spans="1:8">
      <c r="A3458" s="1">
        <v>104155</v>
      </c>
      <c r="B3458" s="1">
        <v>741398</v>
      </c>
      <c r="C3458" s="2">
        <v>41807</v>
      </c>
      <c r="D3458" s="1" t="s">
        <v>1993</v>
      </c>
      <c r="E3458" s="6">
        <v>2</v>
      </c>
      <c r="F3458" s="6" t="str">
        <f t="shared" si="106"/>
        <v>June</v>
      </c>
      <c r="G3458" s="6">
        <f t="shared" si="107"/>
        <v>25</v>
      </c>
      <c r="H3458" s="1">
        <f>SUMIF('Retal Tran Line Item'!E:E,A3458,'Retal Tran Line Item'!B:B)</f>
        <v>4</v>
      </c>
    </row>
    <row r="3459" spans="1:8">
      <c r="A3459" s="1">
        <v>104157</v>
      </c>
      <c r="B3459" s="1">
        <v>877877</v>
      </c>
      <c r="C3459" s="2">
        <v>41807</v>
      </c>
      <c r="D3459" s="1" t="s">
        <v>1992</v>
      </c>
      <c r="E3459" s="6">
        <v>2</v>
      </c>
      <c r="F3459" s="6" t="str">
        <f t="shared" ref="F3459:F3522" si="108">TEXT(C3459,"MMMM")</f>
        <v>June</v>
      </c>
      <c r="G3459" s="6">
        <f t="shared" ref="G3459:G3522" si="109">WEEKNUM(C3459)</f>
        <v>25</v>
      </c>
      <c r="H3459" s="1">
        <f>SUMIF('Retal Tran Line Item'!E:E,A3459,'Retal Tran Line Item'!B:B)</f>
        <v>8</v>
      </c>
    </row>
    <row r="3460" spans="1:8">
      <c r="A3460" s="1">
        <v>104158</v>
      </c>
      <c r="B3460" s="1">
        <v>491380</v>
      </c>
      <c r="C3460" s="2">
        <v>41807</v>
      </c>
      <c r="D3460" s="1" t="s">
        <v>1992</v>
      </c>
      <c r="E3460" s="6">
        <v>1</v>
      </c>
      <c r="F3460" s="6" t="str">
        <f t="shared" si="108"/>
        <v>June</v>
      </c>
      <c r="G3460" s="6">
        <f t="shared" si="109"/>
        <v>25</v>
      </c>
      <c r="H3460" s="1">
        <f>SUMIF('Retal Tran Line Item'!E:E,A3460,'Retal Tran Line Item'!B:B)</f>
        <v>12</v>
      </c>
    </row>
    <row r="3461" spans="1:8">
      <c r="A3461" s="1">
        <v>104160</v>
      </c>
      <c r="B3461" s="1">
        <v>265133</v>
      </c>
      <c r="C3461" s="2">
        <v>41808</v>
      </c>
      <c r="D3461" s="1" t="s">
        <v>1992</v>
      </c>
      <c r="E3461" s="6">
        <v>2</v>
      </c>
      <c r="F3461" s="6" t="str">
        <f t="shared" si="108"/>
        <v>June</v>
      </c>
      <c r="G3461" s="6">
        <f t="shared" si="109"/>
        <v>25</v>
      </c>
      <c r="H3461" s="1">
        <f>SUMIF('Retal Tran Line Item'!E:E,A3461,'Retal Tran Line Item'!B:B)</f>
        <v>13</v>
      </c>
    </row>
    <row r="3462" spans="1:8">
      <c r="A3462" s="1">
        <v>104161</v>
      </c>
      <c r="B3462" s="1">
        <v>513968</v>
      </c>
      <c r="C3462" s="2">
        <v>41808</v>
      </c>
      <c r="D3462" s="1" t="s">
        <v>1994</v>
      </c>
      <c r="E3462" s="6">
        <v>2</v>
      </c>
      <c r="F3462" s="6" t="str">
        <f t="shared" si="108"/>
        <v>June</v>
      </c>
      <c r="G3462" s="6">
        <f t="shared" si="109"/>
        <v>25</v>
      </c>
      <c r="H3462" s="1">
        <f>SUMIF('Retal Tran Line Item'!E:E,A3462,'Retal Tran Line Item'!B:B)</f>
        <v>4</v>
      </c>
    </row>
    <row r="3463" spans="1:8">
      <c r="A3463" s="1">
        <v>104162</v>
      </c>
      <c r="B3463" s="1">
        <v>744648</v>
      </c>
      <c r="C3463" s="2">
        <v>41808</v>
      </c>
      <c r="D3463" s="1" t="s">
        <v>1992</v>
      </c>
      <c r="E3463" s="6">
        <v>2</v>
      </c>
      <c r="F3463" s="6" t="str">
        <f t="shared" si="108"/>
        <v>June</v>
      </c>
      <c r="G3463" s="6">
        <f t="shared" si="109"/>
        <v>25</v>
      </c>
      <c r="H3463" s="1">
        <f>SUMIF('Retal Tran Line Item'!E:E,A3463,'Retal Tran Line Item'!B:B)</f>
        <v>14</v>
      </c>
    </row>
    <row r="3464" spans="1:8">
      <c r="A3464" s="1">
        <v>104163</v>
      </c>
      <c r="B3464" s="1">
        <v>458448</v>
      </c>
      <c r="C3464" s="2">
        <v>41808</v>
      </c>
      <c r="D3464" s="1" t="s">
        <v>1994</v>
      </c>
      <c r="E3464" s="6">
        <v>1</v>
      </c>
      <c r="F3464" s="6" t="str">
        <f t="shared" si="108"/>
        <v>June</v>
      </c>
      <c r="G3464" s="6">
        <f t="shared" si="109"/>
        <v>25</v>
      </c>
      <c r="H3464" s="1">
        <f>SUMIF('Retal Tran Line Item'!E:E,A3464,'Retal Tran Line Item'!B:B)</f>
        <v>9</v>
      </c>
    </row>
    <row r="3465" spans="1:8">
      <c r="A3465" s="1">
        <v>104164</v>
      </c>
      <c r="B3465" s="1">
        <v>759995</v>
      </c>
      <c r="C3465" s="2">
        <v>41808</v>
      </c>
      <c r="D3465" s="1" t="s">
        <v>1993</v>
      </c>
      <c r="E3465" s="6">
        <v>2</v>
      </c>
      <c r="F3465" s="6" t="str">
        <f t="shared" si="108"/>
        <v>June</v>
      </c>
      <c r="G3465" s="6">
        <f t="shared" si="109"/>
        <v>25</v>
      </c>
      <c r="H3465" s="1">
        <f>SUMIF('Retal Tran Line Item'!E:E,A3465,'Retal Tran Line Item'!B:B)</f>
        <v>10</v>
      </c>
    </row>
    <row r="3466" spans="1:8">
      <c r="A3466" s="1">
        <v>104165</v>
      </c>
      <c r="B3466" s="1">
        <v>737707</v>
      </c>
      <c r="C3466" s="2">
        <v>41809</v>
      </c>
      <c r="D3466" s="1" t="s">
        <v>1989</v>
      </c>
      <c r="E3466" s="6">
        <v>2</v>
      </c>
      <c r="F3466" s="6" t="str">
        <f t="shared" si="108"/>
        <v>June</v>
      </c>
      <c r="G3466" s="6">
        <f t="shared" si="109"/>
        <v>25</v>
      </c>
      <c r="H3466" s="1">
        <f>SUMIF('Retal Tran Line Item'!E:E,A3466,'Retal Tran Line Item'!B:B)</f>
        <v>17</v>
      </c>
    </row>
    <row r="3467" spans="1:8">
      <c r="A3467" s="1">
        <v>104166</v>
      </c>
      <c r="B3467" s="1">
        <v>556619</v>
      </c>
      <c r="C3467" s="2">
        <v>41809</v>
      </c>
      <c r="D3467" s="1" t="s">
        <v>1992</v>
      </c>
      <c r="E3467" s="6">
        <v>1</v>
      </c>
      <c r="F3467" s="6" t="str">
        <f t="shared" si="108"/>
        <v>June</v>
      </c>
      <c r="G3467" s="6">
        <f t="shared" si="109"/>
        <v>25</v>
      </c>
      <c r="H3467" s="1">
        <f>SUMIF('Retal Tran Line Item'!E:E,A3467,'Retal Tran Line Item'!B:B)</f>
        <v>10</v>
      </c>
    </row>
    <row r="3468" spans="1:8">
      <c r="A3468" s="1">
        <v>104167</v>
      </c>
      <c r="B3468" s="1">
        <v>592726</v>
      </c>
      <c r="C3468" s="2">
        <v>41809</v>
      </c>
      <c r="D3468" s="1" t="s">
        <v>1993</v>
      </c>
      <c r="E3468" s="6">
        <v>1</v>
      </c>
      <c r="F3468" s="6" t="str">
        <f t="shared" si="108"/>
        <v>June</v>
      </c>
      <c r="G3468" s="6">
        <f t="shared" si="109"/>
        <v>25</v>
      </c>
      <c r="H3468" s="1">
        <f>SUMIF('Retal Tran Line Item'!E:E,A3468,'Retal Tran Line Item'!B:B)</f>
        <v>5</v>
      </c>
    </row>
    <row r="3469" spans="1:8">
      <c r="A3469" s="1">
        <v>104168</v>
      </c>
      <c r="B3469" s="1">
        <v>498153</v>
      </c>
      <c r="C3469" s="2">
        <v>41809</v>
      </c>
      <c r="D3469" s="1" t="s">
        <v>1994</v>
      </c>
      <c r="E3469" s="6">
        <v>2</v>
      </c>
      <c r="F3469" s="6" t="str">
        <f t="shared" si="108"/>
        <v>June</v>
      </c>
      <c r="G3469" s="6">
        <f t="shared" si="109"/>
        <v>25</v>
      </c>
      <c r="H3469" s="1">
        <f>SUMIF('Retal Tran Line Item'!E:E,A3469,'Retal Tran Line Item'!B:B)</f>
        <v>13</v>
      </c>
    </row>
    <row r="3470" spans="1:8">
      <c r="A3470" s="1">
        <v>104172</v>
      </c>
      <c r="B3470" s="1">
        <v>345748</v>
      </c>
      <c r="C3470" s="2">
        <v>41809</v>
      </c>
      <c r="D3470" s="1" t="s">
        <v>1992</v>
      </c>
      <c r="E3470" s="6">
        <v>2</v>
      </c>
      <c r="F3470" s="6" t="str">
        <f t="shared" si="108"/>
        <v>June</v>
      </c>
      <c r="G3470" s="6">
        <f t="shared" si="109"/>
        <v>25</v>
      </c>
      <c r="H3470" s="1">
        <f>SUMIF('Retal Tran Line Item'!E:E,A3470,'Retal Tran Line Item'!B:B)</f>
        <v>10</v>
      </c>
    </row>
    <row r="3471" spans="1:8">
      <c r="A3471" s="1">
        <v>104173</v>
      </c>
      <c r="B3471" s="1">
        <v>409910</v>
      </c>
      <c r="C3471" s="2">
        <v>41810</v>
      </c>
      <c r="D3471" s="1" t="s">
        <v>1992</v>
      </c>
      <c r="E3471" s="6">
        <v>1</v>
      </c>
      <c r="F3471" s="6" t="str">
        <f t="shared" si="108"/>
        <v>June</v>
      </c>
      <c r="G3471" s="6">
        <f t="shared" si="109"/>
        <v>25</v>
      </c>
      <c r="H3471" s="1">
        <f>SUMIF('Retal Tran Line Item'!E:E,A3471,'Retal Tran Line Item'!B:B)</f>
        <v>9</v>
      </c>
    </row>
    <row r="3472" spans="1:8">
      <c r="A3472" s="1">
        <v>104174</v>
      </c>
      <c r="B3472" s="1">
        <v>345348</v>
      </c>
      <c r="C3472" s="2">
        <v>41810</v>
      </c>
      <c r="D3472" s="1" t="s">
        <v>1989</v>
      </c>
      <c r="E3472" s="6">
        <v>1</v>
      </c>
      <c r="F3472" s="6" t="str">
        <f t="shared" si="108"/>
        <v>June</v>
      </c>
      <c r="G3472" s="6">
        <f t="shared" si="109"/>
        <v>25</v>
      </c>
      <c r="H3472" s="1">
        <f>SUMIF('Retal Tran Line Item'!E:E,A3472,'Retal Tran Line Item'!B:B)</f>
        <v>8</v>
      </c>
    </row>
    <row r="3473" spans="1:8">
      <c r="A3473" s="1">
        <v>104175</v>
      </c>
      <c r="B3473" s="1">
        <v>464984</v>
      </c>
      <c r="C3473" s="2">
        <v>41810</v>
      </c>
      <c r="D3473" s="1" t="s">
        <v>1993</v>
      </c>
      <c r="E3473" s="6">
        <v>2</v>
      </c>
      <c r="F3473" s="6" t="str">
        <f t="shared" si="108"/>
        <v>June</v>
      </c>
      <c r="G3473" s="6">
        <f t="shared" si="109"/>
        <v>25</v>
      </c>
      <c r="H3473" s="1">
        <f>SUMIF('Retal Tran Line Item'!E:E,A3473,'Retal Tran Line Item'!B:B)</f>
        <v>7</v>
      </c>
    </row>
    <row r="3474" spans="1:8">
      <c r="A3474" s="1">
        <v>104176</v>
      </c>
      <c r="B3474" s="1">
        <v>575041</v>
      </c>
      <c r="C3474" s="2">
        <v>41810</v>
      </c>
      <c r="D3474" s="1" t="s">
        <v>1994</v>
      </c>
      <c r="E3474" s="6">
        <v>2</v>
      </c>
      <c r="F3474" s="6" t="str">
        <f t="shared" si="108"/>
        <v>June</v>
      </c>
      <c r="G3474" s="6">
        <f t="shared" si="109"/>
        <v>25</v>
      </c>
      <c r="H3474" s="1">
        <f>SUMIF('Retal Tran Line Item'!E:E,A3474,'Retal Tran Line Item'!B:B)</f>
        <v>3</v>
      </c>
    </row>
    <row r="3475" spans="1:8">
      <c r="A3475" s="1">
        <v>104177</v>
      </c>
      <c r="B3475" s="1">
        <v>813719</v>
      </c>
      <c r="C3475" s="2">
        <v>41810</v>
      </c>
      <c r="D3475" s="1" t="s">
        <v>1994</v>
      </c>
      <c r="E3475" s="6">
        <v>2</v>
      </c>
      <c r="F3475" s="6" t="str">
        <f t="shared" si="108"/>
        <v>June</v>
      </c>
      <c r="G3475" s="6">
        <f t="shared" si="109"/>
        <v>25</v>
      </c>
      <c r="H3475" s="1">
        <f>SUMIF('Retal Tran Line Item'!E:E,A3475,'Retal Tran Line Item'!B:B)</f>
        <v>9</v>
      </c>
    </row>
    <row r="3476" spans="1:8">
      <c r="A3476" s="1">
        <v>104178</v>
      </c>
      <c r="B3476" s="1">
        <v>301793</v>
      </c>
      <c r="C3476" s="2">
        <v>41810</v>
      </c>
      <c r="D3476" s="1" t="s">
        <v>1989</v>
      </c>
      <c r="E3476" s="6">
        <v>1</v>
      </c>
      <c r="F3476" s="6" t="str">
        <f t="shared" si="108"/>
        <v>June</v>
      </c>
      <c r="G3476" s="6">
        <f t="shared" si="109"/>
        <v>25</v>
      </c>
      <c r="H3476" s="1">
        <f>SUMIF('Retal Tran Line Item'!E:E,A3476,'Retal Tran Line Item'!B:B)</f>
        <v>3</v>
      </c>
    </row>
    <row r="3477" spans="1:8">
      <c r="A3477" s="1">
        <v>104179</v>
      </c>
      <c r="B3477" s="1">
        <v>743517</v>
      </c>
      <c r="C3477" s="2">
        <v>41810</v>
      </c>
      <c r="D3477" s="1" t="s">
        <v>1994</v>
      </c>
      <c r="E3477" s="6">
        <v>2</v>
      </c>
      <c r="F3477" s="6" t="str">
        <f t="shared" si="108"/>
        <v>June</v>
      </c>
      <c r="G3477" s="6">
        <f t="shared" si="109"/>
        <v>25</v>
      </c>
      <c r="H3477" s="1">
        <f>SUMIF('Retal Tran Line Item'!E:E,A3477,'Retal Tran Line Item'!B:B)</f>
        <v>7</v>
      </c>
    </row>
    <row r="3478" spans="1:8">
      <c r="A3478" s="1">
        <v>104184</v>
      </c>
      <c r="B3478" s="1">
        <v>161175</v>
      </c>
      <c r="C3478" s="2">
        <v>41811</v>
      </c>
      <c r="D3478" s="1" t="s">
        <v>1994</v>
      </c>
      <c r="E3478" s="6">
        <v>2</v>
      </c>
      <c r="F3478" s="6" t="str">
        <f t="shared" si="108"/>
        <v>June</v>
      </c>
      <c r="G3478" s="6">
        <f t="shared" si="109"/>
        <v>25</v>
      </c>
      <c r="H3478" s="1">
        <f>SUMIF('Retal Tran Line Item'!E:E,A3478,'Retal Tran Line Item'!B:B)</f>
        <v>3</v>
      </c>
    </row>
    <row r="3479" spans="1:8">
      <c r="A3479" s="1">
        <v>104185</v>
      </c>
      <c r="B3479" s="1">
        <v>464984</v>
      </c>
      <c r="C3479" s="2">
        <v>41811</v>
      </c>
      <c r="D3479" s="1" t="s">
        <v>1993</v>
      </c>
      <c r="E3479" s="6">
        <v>2</v>
      </c>
      <c r="F3479" s="6" t="str">
        <f t="shared" si="108"/>
        <v>June</v>
      </c>
      <c r="G3479" s="6">
        <f t="shared" si="109"/>
        <v>25</v>
      </c>
      <c r="H3479" s="1">
        <f>SUMIF('Retal Tran Line Item'!E:E,A3479,'Retal Tran Line Item'!B:B)</f>
        <v>4</v>
      </c>
    </row>
    <row r="3480" spans="1:8">
      <c r="A3480" s="1">
        <v>104186</v>
      </c>
      <c r="B3480" s="1">
        <v>782947</v>
      </c>
      <c r="C3480" s="2">
        <v>41811</v>
      </c>
      <c r="D3480" s="1" t="s">
        <v>1993</v>
      </c>
      <c r="E3480" s="6">
        <v>2</v>
      </c>
      <c r="F3480" s="6" t="str">
        <f t="shared" si="108"/>
        <v>June</v>
      </c>
      <c r="G3480" s="6">
        <f t="shared" si="109"/>
        <v>25</v>
      </c>
      <c r="H3480" s="1">
        <f>SUMIF('Retal Tran Line Item'!E:E,A3480,'Retal Tran Line Item'!B:B)</f>
        <v>11</v>
      </c>
    </row>
    <row r="3481" spans="1:8">
      <c r="A3481" s="1">
        <v>104189</v>
      </c>
      <c r="B3481" s="1">
        <v>657495</v>
      </c>
      <c r="C3481" s="2">
        <v>41812</v>
      </c>
      <c r="D3481" s="1" t="s">
        <v>1994</v>
      </c>
      <c r="E3481" s="6">
        <v>2</v>
      </c>
      <c r="F3481" s="6" t="str">
        <f t="shared" si="108"/>
        <v>June</v>
      </c>
      <c r="G3481" s="6">
        <f t="shared" si="109"/>
        <v>26</v>
      </c>
      <c r="H3481" s="1">
        <f>SUMIF('Retal Tran Line Item'!E:E,A3481,'Retal Tran Line Item'!B:B)</f>
        <v>4</v>
      </c>
    </row>
    <row r="3482" spans="1:8">
      <c r="A3482" s="1">
        <v>104190</v>
      </c>
      <c r="B3482" s="1">
        <v>168607</v>
      </c>
      <c r="C3482" s="2">
        <v>41812</v>
      </c>
      <c r="D3482" s="1" t="s">
        <v>1993</v>
      </c>
      <c r="E3482" s="6">
        <v>1</v>
      </c>
      <c r="F3482" s="6" t="str">
        <f t="shared" si="108"/>
        <v>June</v>
      </c>
      <c r="G3482" s="6">
        <f t="shared" si="109"/>
        <v>26</v>
      </c>
      <c r="H3482" s="1">
        <f>SUMIF('Retal Tran Line Item'!E:E,A3482,'Retal Tran Line Item'!B:B)</f>
        <v>11</v>
      </c>
    </row>
    <row r="3483" spans="1:8">
      <c r="A3483" s="1">
        <v>104191</v>
      </c>
      <c r="B3483" s="1">
        <v>454143</v>
      </c>
      <c r="C3483" s="2">
        <v>41812</v>
      </c>
      <c r="D3483" s="1" t="s">
        <v>1993</v>
      </c>
      <c r="E3483" s="6">
        <v>1</v>
      </c>
      <c r="F3483" s="6" t="str">
        <f t="shared" si="108"/>
        <v>June</v>
      </c>
      <c r="G3483" s="6">
        <f t="shared" si="109"/>
        <v>26</v>
      </c>
      <c r="H3483" s="1">
        <f>SUMIF('Retal Tran Line Item'!E:E,A3483,'Retal Tran Line Item'!B:B)</f>
        <v>9</v>
      </c>
    </row>
    <row r="3484" spans="1:8">
      <c r="A3484" s="1">
        <v>104192</v>
      </c>
      <c r="B3484" s="1">
        <v>465275</v>
      </c>
      <c r="C3484" s="2">
        <v>41812</v>
      </c>
      <c r="D3484" s="1" t="s">
        <v>1992</v>
      </c>
      <c r="E3484" s="6">
        <v>1</v>
      </c>
      <c r="F3484" s="6" t="str">
        <f t="shared" si="108"/>
        <v>June</v>
      </c>
      <c r="G3484" s="6">
        <f t="shared" si="109"/>
        <v>26</v>
      </c>
      <c r="H3484" s="1">
        <f>SUMIF('Retal Tran Line Item'!E:E,A3484,'Retal Tran Line Item'!B:B)</f>
        <v>17</v>
      </c>
    </row>
    <row r="3485" spans="1:8">
      <c r="A3485" s="1">
        <v>104193</v>
      </c>
      <c r="B3485" s="1">
        <v>241144</v>
      </c>
      <c r="C3485" s="2">
        <v>41812</v>
      </c>
      <c r="D3485" s="1" t="s">
        <v>1992</v>
      </c>
      <c r="E3485" s="6">
        <v>2</v>
      </c>
      <c r="F3485" s="6" t="str">
        <f t="shared" si="108"/>
        <v>June</v>
      </c>
      <c r="G3485" s="6">
        <f t="shared" si="109"/>
        <v>26</v>
      </c>
      <c r="H3485" s="1">
        <f>SUMIF('Retal Tran Line Item'!E:E,A3485,'Retal Tran Line Item'!B:B)</f>
        <v>11</v>
      </c>
    </row>
    <row r="3486" spans="1:8">
      <c r="A3486" s="1">
        <v>104196</v>
      </c>
      <c r="B3486" s="1">
        <v>882493</v>
      </c>
      <c r="C3486" s="2">
        <v>41813</v>
      </c>
      <c r="D3486" s="1" t="s">
        <v>1992</v>
      </c>
      <c r="E3486" s="6">
        <v>1</v>
      </c>
      <c r="F3486" s="6" t="str">
        <f t="shared" si="108"/>
        <v>June</v>
      </c>
      <c r="G3486" s="6">
        <f t="shared" si="109"/>
        <v>26</v>
      </c>
      <c r="H3486" s="1">
        <f>SUMIF('Retal Tran Line Item'!E:E,A3486,'Retal Tran Line Item'!B:B)</f>
        <v>12</v>
      </c>
    </row>
    <row r="3487" spans="1:8">
      <c r="A3487" s="1">
        <v>104197</v>
      </c>
      <c r="B3487" s="1">
        <v>905670</v>
      </c>
      <c r="C3487" s="2">
        <v>41813</v>
      </c>
      <c r="D3487" s="1" t="s">
        <v>1993</v>
      </c>
      <c r="E3487" s="6">
        <v>2</v>
      </c>
      <c r="F3487" s="6" t="str">
        <f t="shared" si="108"/>
        <v>June</v>
      </c>
      <c r="G3487" s="6">
        <f t="shared" si="109"/>
        <v>26</v>
      </c>
      <c r="H3487" s="1">
        <f>SUMIF('Retal Tran Line Item'!E:E,A3487,'Retal Tran Line Item'!B:B)</f>
        <v>8</v>
      </c>
    </row>
    <row r="3488" spans="1:8">
      <c r="A3488" s="1">
        <v>104198</v>
      </c>
      <c r="B3488" s="1">
        <v>549823</v>
      </c>
      <c r="C3488" s="2">
        <v>41813</v>
      </c>
      <c r="D3488" s="1" t="s">
        <v>1993</v>
      </c>
      <c r="E3488" s="6">
        <v>2</v>
      </c>
      <c r="F3488" s="6" t="str">
        <f t="shared" si="108"/>
        <v>June</v>
      </c>
      <c r="G3488" s="6">
        <f t="shared" si="109"/>
        <v>26</v>
      </c>
      <c r="H3488" s="1">
        <f>SUMIF('Retal Tran Line Item'!E:E,A3488,'Retal Tran Line Item'!B:B)</f>
        <v>5</v>
      </c>
    </row>
    <row r="3489" spans="1:8">
      <c r="A3489" s="1">
        <v>104199</v>
      </c>
      <c r="B3489" s="1">
        <v>707458</v>
      </c>
      <c r="C3489" s="2">
        <v>41813</v>
      </c>
      <c r="D3489" s="1" t="s">
        <v>1993</v>
      </c>
      <c r="E3489" s="6">
        <v>1</v>
      </c>
      <c r="F3489" s="6" t="str">
        <f t="shared" si="108"/>
        <v>June</v>
      </c>
      <c r="G3489" s="6">
        <f t="shared" si="109"/>
        <v>26</v>
      </c>
      <c r="H3489" s="1">
        <f>SUMIF('Retal Tran Line Item'!E:E,A3489,'Retal Tran Line Item'!B:B)</f>
        <v>6</v>
      </c>
    </row>
    <row r="3490" spans="1:8">
      <c r="A3490" s="1">
        <v>104200</v>
      </c>
      <c r="B3490" s="1">
        <v>105549</v>
      </c>
      <c r="C3490" s="2">
        <v>41813</v>
      </c>
      <c r="D3490" s="1" t="s">
        <v>1992</v>
      </c>
      <c r="E3490" s="6">
        <v>1</v>
      </c>
      <c r="F3490" s="6" t="str">
        <f t="shared" si="108"/>
        <v>June</v>
      </c>
      <c r="G3490" s="6">
        <f t="shared" si="109"/>
        <v>26</v>
      </c>
      <c r="H3490" s="1">
        <f>SUMIF('Retal Tran Line Item'!E:E,A3490,'Retal Tran Line Item'!B:B)</f>
        <v>4</v>
      </c>
    </row>
    <row r="3491" spans="1:8">
      <c r="A3491" s="1">
        <v>104203</v>
      </c>
      <c r="B3491" s="1">
        <v>825249</v>
      </c>
      <c r="C3491" s="2">
        <v>41814</v>
      </c>
      <c r="D3491" s="1" t="s">
        <v>1993</v>
      </c>
      <c r="E3491" s="6">
        <v>2</v>
      </c>
      <c r="F3491" s="6" t="str">
        <f t="shared" si="108"/>
        <v>June</v>
      </c>
      <c r="G3491" s="6">
        <f t="shared" si="109"/>
        <v>26</v>
      </c>
      <c r="H3491" s="1">
        <f>SUMIF('Retal Tran Line Item'!E:E,A3491,'Retal Tran Line Item'!B:B)</f>
        <v>14</v>
      </c>
    </row>
    <row r="3492" spans="1:8">
      <c r="A3492" s="1">
        <v>104204</v>
      </c>
      <c r="B3492" s="1">
        <v>996970</v>
      </c>
      <c r="C3492" s="2">
        <v>41814</v>
      </c>
      <c r="D3492" s="1" t="s">
        <v>1993</v>
      </c>
      <c r="E3492" s="6">
        <v>2</v>
      </c>
      <c r="F3492" s="6" t="str">
        <f t="shared" si="108"/>
        <v>June</v>
      </c>
      <c r="G3492" s="6">
        <f t="shared" si="109"/>
        <v>26</v>
      </c>
      <c r="H3492" s="1">
        <f>SUMIF('Retal Tran Line Item'!E:E,A3492,'Retal Tran Line Item'!B:B)</f>
        <v>7</v>
      </c>
    </row>
    <row r="3493" spans="1:8">
      <c r="A3493" s="1">
        <v>104205</v>
      </c>
      <c r="B3493" s="1">
        <v>345348</v>
      </c>
      <c r="C3493" s="2">
        <v>41814</v>
      </c>
      <c r="D3493" s="1" t="s">
        <v>1989</v>
      </c>
      <c r="E3493" s="6">
        <v>1</v>
      </c>
      <c r="F3493" s="6" t="str">
        <f t="shared" si="108"/>
        <v>June</v>
      </c>
      <c r="G3493" s="6">
        <f t="shared" si="109"/>
        <v>26</v>
      </c>
      <c r="H3493" s="1">
        <f>SUMIF('Retal Tran Line Item'!E:E,A3493,'Retal Tran Line Item'!B:B)</f>
        <v>9</v>
      </c>
    </row>
    <row r="3494" spans="1:8">
      <c r="A3494" s="1">
        <v>104206</v>
      </c>
      <c r="B3494" s="1">
        <v>892883</v>
      </c>
      <c r="C3494" s="2">
        <v>41814</v>
      </c>
      <c r="D3494" s="1" t="s">
        <v>1992</v>
      </c>
      <c r="E3494" s="6">
        <v>1</v>
      </c>
      <c r="F3494" s="6" t="str">
        <f t="shared" si="108"/>
        <v>June</v>
      </c>
      <c r="G3494" s="6">
        <f t="shared" si="109"/>
        <v>26</v>
      </c>
      <c r="H3494" s="1">
        <f>SUMIF('Retal Tran Line Item'!E:E,A3494,'Retal Tran Line Item'!B:B)</f>
        <v>10</v>
      </c>
    </row>
    <row r="3495" spans="1:8">
      <c r="A3495" s="1">
        <v>104209</v>
      </c>
      <c r="B3495" s="1">
        <v>964403</v>
      </c>
      <c r="C3495" s="2">
        <v>41814</v>
      </c>
      <c r="D3495" s="1" t="s">
        <v>1992</v>
      </c>
      <c r="E3495" s="6">
        <v>2</v>
      </c>
      <c r="F3495" s="6" t="str">
        <f t="shared" si="108"/>
        <v>June</v>
      </c>
      <c r="G3495" s="6">
        <f t="shared" si="109"/>
        <v>26</v>
      </c>
      <c r="H3495" s="1">
        <f>SUMIF('Retal Tran Line Item'!E:E,A3495,'Retal Tran Line Item'!B:B)</f>
        <v>4</v>
      </c>
    </row>
    <row r="3496" spans="1:8">
      <c r="A3496" s="1">
        <v>104210</v>
      </c>
      <c r="B3496" s="1">
        <v>116934</v>
      </c>
      <c r="C3496" s="2">
        <v>41815</v>
      </c>
      <c r="D3496" s="1" t="s">
        <v>1992</v>
      </c>
      <c r="E3496" s="6">
        <v>2</v>
      </c>
      <c r="F3496" s="6" t="str">
        <f t="shared" si="108"/>
        <v>June</v>
      </c>
      <c r="G3496" s="6">
        <f t="shared" si="109"/>
        <v>26</v>
      </c>
      <c r="H3496" s="1">
        <f>SUMIF('Retal Tran Line Item'!E:E,A3496,'Retal Tran Line Item'!B:B)</f>
        <v>4</v>
      </c>
    </row>
    <row r="3497" spans="1:8">
      <c r="A3497" s="1">
        <v>104211</v>
      </c>
      <c r="B3497" s="1">
        <v>105771</v>
      </c>
      <c r="C3497" s="2">
        <v>41815</v>
      </c>
      <c r="D3497" s="1" t="s">
        <v>1992</v>
      </c>
      <c r="E3497" s="6">
        <v>1</v>
      </c>
      <c r="F3497" s="6" t="str">
        <f t="shared" si="108"/>
        <v>June</v>
      </c>
      <c r="G3497" s="6">
        <f t="shared" si="109"/>
        <v>26</v>
      </c>
      <c r="H3497" s="1">
        <f>SUMIF('Retal Tran Line Item'!E:E,A3497,'Retal Tran Line Item'!B:B)</f>
        <v>12</v>
      </c>
    </row>
    <row r="3498" spans="1:8">
      <c r="A3498" s="1">
        <v>104212</v>
      </c>
      <c r="B3498" s="1">
        <v>592528</v>
      </c>
      <c r="C3498" s="2">
        <v>41815</v>
      </c>
      <c r="D3498" s="1" t="s">
        <v>1992</v>
      </c>
      <c r="E3498" s="6">
        <v>2</v>
      </c>
      <c r="F3498" s="6" t="str">
        <f t="shared" si="108"/>
        <v>June</v>
      </c>
      <c r="G3498" s="6">
        <f t="shared" si="109"/>
        <v>26</v>
      </c>
      <c r="H3498" s="1">
        <f>SUMIF('Retal Tran Line Item'!E:E,A3498,'Retal Tran Line Item'!B:B)</f>
        <v>11</v>
      </c>
    </row>
    <row r="3499" spans="1:8">
      <c r="A3499" s="1">
        <v>104213</v>
      </c>
      <c r="B3499" s="1">
        <v>905670</v>
      </c>
      <c r="C3499" s="2">
        <v>41815</v>
      </c>
      <c r="D3499" s="1" t="s">
        <v>1993</v>
      </c>
      <c r="E3499" s="6">
        <v>1</v>
      </c>
      <c r="F3499" s="6" t="str">
        <f t="shared" si="108"/>
        <v>June</v>
      </c>
      <c r="G3499" s="6">
        <f t="shared" si="109"/>
        <v>26</v>
      </c>
      <c r="H3499" s="1">
        <f>SUMIF('Retal Tran Line Item'!E:E,A3499,'Retal Tran Line Item'!B:B)</f>
        <v>15</v>
      </c>
    </row>
    <row r="3500" spans="1:8">
      <c r="A3500" s="1">
        <v>104214</v>
      </c>
      <c r="B3500" s="1">
        <v>433442</v>
      </c>
      <c r="C3500" s="2">
        <v>41815</v>
      </c>
      <c r="D3500" s="1" t="s">
        <v>1989</v>
      </c>
      <c r="E3500" s="6">
        <v>2</v>
      </c>
      <c r="F3500" s="6" t="str">
        <f t="shared" si="108"/>
        <v>June</v>
      </c>
      <c r="G3500" s="6">
        <f t="shared" si="109"/>
        <v>26</v>
      </c>
      <c r="H3500" s="1">
        <f>SUMIF('Retal Tran Line Item'!E:E,A3500,'Retal Tran Line Item'!B:B)</f>
        <v>6</v>
      </c>
    </row>
    <row r="3501" spans="1:8">
      <c r="A3501" s="1">
        <v>104218</v>
      </c>
      <c r="B3501" s="1">
        <v>567719</v>
      </c>
      <c r="C3501" s="2">
        <v>41816</v>
      </c>
      <c r="D3501" s="1" t="s">
        <v>1993</v>
      </c>
      <c r="E3501" s="6">
        <v>2</v>
      </c>
      <c r="F3501" s="6" t="str">
        <f t="shared" si="108"/>
        <v>June</v>
      </c>
      <c r="G3501" s="6">
        <f t="shared" si="109"/>
        <v>26</v>
      </c>
      <c r="H3501" s="1">
        <f>SUMIF('Retal Tran Line Item'!E:E,A3501,'Retal Tran Line Item'!B:B)</f>
        <v>4</v>
      </c>
    </row>
    <row r="3502" spans="1:8">
      <c r="A3502" s="1">
        <v>104219</v>
      </c>
      <c r="B3502" s="1">
        <v>417823</v>
      </c>
      <c r="C3502" s="2">
        <v>41816</v>
      </c>
      <c r="D3502" s="1" t="s">
        <v>1993</v>
      </c>
      <c r="E3502" s="6">
        <v>1</v>
      </c>
      <c r="F3502" s="6" t="str">
        <f t="shared" si="108"/>
        <v>June</v>
      </c>
      <c r="G3502" s="6">
        <f t="shared" si="109"/>
        <v>26</v>
      </c>
      <c r="H3502" s="1">
        <f>SUMIF('Retal Tran Line Item'!E:E,A3502,'Retal Tran Line Item'!B:B)</f>
        <v>1</v>
      </c>
    </row>
    <row r="3503" spans="1:8">
      <c r="A3503" s="1">
        <v>104220</v>
      </c>
      <c r="B3503" s="1">
        <v>346006</v>
      </c>
      <c r="C3503" s="2">
        <v>41816</v>
      </c>
      <c r="D3503" s="1" t="s">
        <v>1989</v>
      </c>
      <c r="E3503" s="6">
        <v>1</v>
      </c>
      <c r="F3503" s="6" t="str">
        <f t="shared" si="108"/>
        <v>June</v>
      </c>
      <c r="G3503" s="6">
        <f t="shared" si="109"/>
        <v>26</v>
      </c>
      <c r="H3503" s="1">
        <f>SUMIF('Retal Tran Line Item'!E:E,A3503,'Retal Tran Line Item'!B:B)</f>
        <v>15</v>
      </c>
    </row>
    <row r="3504" spans="1:8">
      <c r="A3504" s="1">
        <v>104223</v>
      </c>
      <c r="B3504" s="1">
        <v>798336</v>
      </c>
      <c r="C3504" s="2">
        <v>41816</v>
      </c>
      <c r="D3504" s="1" t="s">
        <v>1989</v>
      </c>
      <c r="E3504" s="6">
        <v>1</v>
      </c>
      <c r="F3504" s="6" t="str">
        <f t="shared" si="108"/>
        <v>June</v>
      </c>
      <c r="G3504" s="6">
        <f t="shared" si="109"/>
        <v>26</v>
      </c>
      <c r="H3504" s="1">
        <f>SUMIF('Retal Tran Line Item'!E:E,A3504,'Retal Tran Line Item'!B:B)</f>
        <v>8</v>
      </c>
    </row>
    <row r="3505" spans="1:8">
      <c r="A3505" s="1">
        <v>104224</v>
      </c>
      <c r="B3505" s="1">
        <v>951702</v>
      </c>
      <c r="C3505" s="2">
        <v>41816</v>
      </c>
      <c r="D3505" s="1" t="s">
        <v>1992</v>
      </c>
      <c r="E3505" s="6">
        <v>2</v>
      </c>
      <c r="F3505" s="6" t="str">
        <f t="shared" si="108"/>
        <v>June</v>
      </c>
      <c r="G3505" s="6">
        <f t="shared" si="109"/>
        <v>26</v>
      </c>
      <c r="H3505" s="1">
        <f>SUMIF('Retal Tran Line Item'!E:E,A3505,'Retal Tran Line Item'!B:B)</f>
        <v>10</v>
      </c>
    </row>
    <row r="3506" spans="1:8">
      <c r="A3506" s="1">
        <v>104225</v>
      </c>
      <c r="B3506" s="1">
        <v>798336</v>
      </c>
      <c r="C3506" s="2">
        <v>41817</v>
      </c>
      <c r="D3506" s="1" t="s">
        <v>1989</v>
      </c>
      <c r="E3506" s="6">
        <v>1</v>
      </c>
      <c r="F3506" s="6" t="str">
        <f t="shared" si="108"/>
        <v>June</v>
      </c>
      <c r="G3506" s="6">
        <f t="shared" si="109"/>
        <v>26</v>
      </c>
      <c r="H3506" s="1">
        <f>SUMIF('Retal Tran Line Item'!E:E,A3506,'Retal Tran Line Item'!B:B)</f>
        <v>3</v>
      </c>
    </row>
    <row r="3507" spans="1:8">
      <c r="A3507" s="1">
        <v>104228</v>
      </c>
      <c r="B3507" s="1">
        <v>580783</v>
      </c>
      <c r="C3507" s="2">
        <v>41817</v>
      </c>
      <c r="D3507" s="1" t="s">
        <v>1989</v>
      </c>
      <c r="E3507" s="6">
        <v>1</v>
      </c>
      <c r="F3507" s="6" t="str">
        <f t="shared" si="108"/>
        <v>June</v>
      </c>
      <c r="G3507" s="6">
        <f t="shared" si="109"/>
        <v>26</v>
      </c>
      <c r="H3507" s="1">
        <f>SUMIF('Retal Tran Line Item'!E:E,A3507,'Retal Tran Line Item'!B:B)</f>
        <v>17</v>
      </c>
    </row>
    <row r="3508" spans="1:8">
      <c r="A3508" s="1">
        <v>104229</v>
      </c>
      <c r="B3508" s="1">
        <v>119406</v>
      </c>
      <c r="C3508" s="2">
        <v>41817</v>
      </c>
      <c r="D3508" s="1" t="s">
        <v>1993</v>
      </c>
      <c r="E3508" s="6">
        <v>2</v>
      </c>
      <c r="F3508" s="6" t="str">
        <f t="shared" si="108"/>
        <v>June</v>
      </c>
      <c r="G3508" s="6">
        <f t="shared" si="109"/>
        <v>26</v>
      </c>
      <c r="H3508" s="1">
        <f>SUMIF('Retal Tran Line Item'!E:E,A3508,'Retal Tran Line Item'!B:B)</f>
        <v>10</v>
      </c>
    </row>
    <row r="3509" spans="1:8">
      <c r="A3509" s="1">
        <v>104230</v>
      </c>
      <c r="B3509" s="1">
        <v>216475</v>
      </c>
      <c r="C3509" s="2">
        <v>41817</v>
      </c>
      <c r="D3509" s="1" t="s">
        <v>1992</v>
      </c>
      <c r="E3509" s="6">
        <v>2</v>
      </c>
      <c r="F3509" s="6" t="str">
        <f t="shared" si="108"/>
        <v>June</v>
      </c>
      <c r="G3509" s="6">
        <f t="shared" si="109"/>
        <v>26</v>
      </c>
      <c r="H3509" s="1">
        <f>SUMIF('Retal Tran Line Item'!E:E,A3509,'Retal Tran Line Item'!B:B)</f>
        <v>13</v>
      </c>
    </row>
    <row r="3510" spans="1:8">
      <c r="A3510" s="1">
        <v>104231</v>
      </c>
      <c r="B3510" s="1">
        <v>371731</v>
      </c>
      <c r="C3510" s="2">
        <v>41817</v>
      </c>
      <c r="D3510" s="1" t="s">
        <v>1993</v>
      </c>
      <c r="E3510" s="6">
        <v>2</v>
      </c>
      <c r="F3510" s="6" t="str">
        <f t="shared" si="108"/>
        <v>June</v>
      </c>
      <c r="G3510" s="6">
        <f t="shared" si="109"/>
        <v>26</v>
      </c>
      <c r="H3510" s="1">
        <f>SUMIF('Retal Tran Line Item'!E:E,A3510,'Retal Tran Line Item'!B:B)</f>
        <v>16</v>
      </c>
    </row>
    <row r="3511" spans="1:8">
      <c r="A3511" s="1">
        <v>104232</v>
      </c>
      <c r="B3511" s="1">
        <v>822823</v>
      </c>
      <c r="C3511" s="2">
        <v>41818</v>
      </c>
      <c r="D3511" s="1" t="s">
        <v>1994</v>
      </c>
      <c r="E3511" s="6">
        <v>1</v>
      </c>
      <c r="F3511" s="6" t="str">
        <f t="shared" si="108"/>
        <v>June</v>
      </c>
      <c r="G3511" s="6">
        <f t="shared" si="109"/>
        <v>26</v>
      </c>
      <c r="H3511" s="1">
        <f>SUMIF('Retal Tran Line Item'!E:E,A3511,'Retal Tran Line Item'!B:B)</f>
        <v>12</v>
      </c>
    </row>
    <row r="3512" spans="1:8">
      <c r="A3512" s="1">
        <v>104233</v>
      </c>
      <c r="B3512" s="1">
        <v>548546</v>
      </c>
      <c r="C3512" s="2">
        <v>41818</v>
      </c>
      <c r="D3512" s="1" t="s">
        <v>1994</v>
      </c>
      <c r="E3512" s="6">
        <v>2</v>
      </c>
      <c r="F3512" s="6" t="str">
        <f t="shared" si="108"/>
        <v>June</v>
      </c>
      <c r="G3512" s="6">
        <f t="shared" si="109"/>
        <v>26</v>
      </c>
      <c r="H3512" s="1">
        <f>SUMIF('Retal Tran Line Item'!E:E,A3512,'Retal Tran Line Item'!B:B)</f>
        <v>5</v>
      </c>
    </row>
    <row r="3513" spans="1:8">
      <c r="A3513" s="1">
        <v>104234</v>
      </c>
      <c r="B3513" s="1">
        <v>815980</v>
      </c>
      <c r="C3513" s="2">
        <v>41818</v>
      </c>
      <c r="D3513" s="1" t="s">
        <v>1992</v>
      </c>
      <c r="E3513" s="6">
        <v>2</v>
      </c>
      <c r="F3513" s="6" t="str">
        <f t="shared" si="108"/>
        <v>June</v>
      </c>
      <c r="G3513" s="6">
        <f t="shared" si="109"/>
        <v>26</v>
      </c>
      <c r="H3513" s="1">
        <f>SUMIF('Retal Tran Line Item'!E:E,A3513,'Retal Tran Line Item'!B:B)</f>
        <v>3</v>
      </c>
    </row>
    <row r="3514" spans="1:8">
      <c r="A3514" s="1">
        <v>104235</v>
      </c>
      <c r="B3514" s="1">
        <v>520196</v>
      </c>
      <c r="C3514" s="2">
        <v>41818</v>
      </c>
      <c r="D3514" s="1" t="s">
        <v>1992</v>
      </c>
      <c r="E3514" s="6">
        <v>2</v>
      </c>
      <c r="F3514" s="6" t="str">
        <f t="shared" si="108"/>
        <v>June</v>
      </c>
      <c r="G3514" s="6">
        <f t="shared" si="109"/>
        <v>26</v>
      </c>
      <c r="H3514" s="1">
        <f>SUMIF('Retal Tran Line Item'!E:E,A3514,'Retal Tran Line Item'!B:B)</f>
        <v>8</v>
      </c>
    </row>
    <row r="3515" spans="1:8">
      <c r="A3515" s="1">
        <v>104236</v>
      </c>
      <c r="B3515" s="1">
        <v>817274</v>
      </c>
      <c r="C3515" s="2">
        <v>41818</v>
      </c>
      <c r="D3515" s="1" t="s">
        <v>1994</v>
      </c>
      <c r="E3515" s="6">
        <v>2</v>
      </c>
      <c r="F3515" s="6" t="str">
        <f t="shared" si="108"/>
        <v>June</v>
      </c>
      <c r="G3515" s="6">
        <f t="shared" si="109"/>
        <v>26</v>
      </c>
      <c r="H3515" s="1">
        <f>SUMIF('Retal Tran Line Item'!E:E,A3515,'Retal Tran Line Item'!B:B)</f>
        <v>13</v>
      </c>
    </row>
    <row r="3516" spans="1:8">
      <c r="A3516" s="1">
        <v>104239</v>
      </c>
      <c r="B3516" s="1">
        <v>353846</v>
      </c>
      <c r="C3516" s="2">
        <v>41819</v>
      </c>
      <c r="D3516" s="1" t="s">
        <v>1993</v>
      </c>
      <c r="E3516" s="6">
        <v>2</v>
      </c>
      <c r="F3516" s="6" t="str">
        <f t="shared" si="108"/>
        <v>June</v>
      </c>
      <c r="G3516" s="6">
        <f t="shared" si="109"/>
        <v>27</v>
      </c>
      <c r="H3516" s="1">
        <f>SUMIF('Retal Tran Line Item'!E:E,A3516,'Retal Tran Line Item'!B:B)</f>
        <v>3</v>
      </c>
    </row>
    <row r="3517" spans="1:8">
      <c r="A3517" s="1">
        <v>104240</v>
      </c>
      <c r="B3517" s="1">
        <v>563500</v>
      </c>
      <c r="C3517" s="2">
        <v>41819</v>
      </c>
      <c r="D3517" s="1" t="s">
        <v>1992</v>
      </c>
      <c r="E3517" s="6">
        <v>2</v>
      </c>
      <c r="F3517" s="6" t="str">
        <f t="shared" si="108"/>
        <v>June</v>
      </c>
      <c r="G3517" s="6">
        <f t="shared" si="109"/>
        <v>27</v>
      </c>
      <c r="H3517" s="1">
        <f>SUMIF('Retal Tran Line Item'!E:E,A3517,'Retal Tran Line Item'!B:B)</f>
        <v>9</v>
      </c>
    </row>
    <row r="3518" spans="1:8">
      <c r="A3518" s="1">
        <v>104241</v>
      </c>
      <c r="B3518" s="1">
        <v>852925</v>
      </c>
      <c r="C3518" s="2">
        <v>41819</v>
      </c>
      <c r="D3518" s="1" t="s">
        <v>1994</v>
      </c>
      <c r="E3518" s="6">
        <v>2</v>
      </c>
      <c r="F3518" s="6" t="str">
        <f t="shared" si="108"/>
        <v>June</v>
      </c>
      <c r="G3518" s="6">
        <f t="shared" si="109"/>
        <v>27</v>
      </c>
      <c r="H3518" s="1">
        <f>SUMIF('Retal Tran Line Item'!E:E,A3518,'Retal Tran Line Item'!B:B)</f>
        <v>9</v>
      </c>
    </row>
    <row r="3519" spans="1:8">
      <c r="A3519" s="1">
        <v>104245</v>
      </c>
      <c r="B3519" s="1">
        <v>992895</v>
      </c>
      <c r="C3519" s="2">
        <v>41820</v>
      </c>
      <c r="D3519" s="1" t="s">
        <v>1993</v>
      </c>
      <c r="E3519" s="6">
        <v>2</v>
      </c>
      <c r="F3519" s="6" t="str">
        <f t="shared" si="108"/>
        <v>June</v>
      </c>
      <c r="G3519" s="6">
        <f t="shared" si="109"/>
        <v>27</v>
      </c>
      <c r="H3519" s="1">
        <f>SUMIF('Retal Tran Line Item'!E:E,A3519,'Retal Tran Line Item'!B:B)</f>
        <v>1</v>
      </c>
    </row>
    <row r="3520" spans="1:8">
      <c r="A3520" s="1">
        <v>104247</v>
      </c>
      <c r="B3520" s="1">
        <v>396166</v>
      </c>
      <c r="C3520" s="2">
        <v>41820</v>
      </c>
      <c r="D3520" s="1" t="s">
        <v>1992</v>
      </c>
      <c r="E3520" s="6">
        <v>2</v>
      </c>
      <c r="F3520" s="6" t="str">
        <f t="shared" si="108"/>
        <v>June</v>
      </c>
      <c r="G3520" s="6">
        <f t="shared" si="109"/>
        <v>27</v>
      </c>
      <c r="H3520" s="1">
        <f>SUMIF('Retal Tran Line Item'!E:E,A3520,'Retal Tran Line Item'!B:B)</f>
        <v>6</v>
      </c>
    </row>
    <row r="3521" spans="1:8">
      <c r="A3521" s="1">
        <v>104248</v>
      </c>
      <c r="B3521" s="1">
        <v>420981</v>
      </c>
      <c r="C3521" s="2">
        <v>41820</v>
      </c>
      <c r="D3521" s="1" t="s">
        <v>1992</v>
      </c>
      <c r="E3521" s="6">
        <v>2</v>
      </c>
      <c r="F3521" s="6" t="str">
        <f t="shared" si="108"/>
        <v>June</v>
      </c>
      <c r="G3521" s="6">
        <f t="shared" si="109"/>
        <v>27</v>
      </c>
      <c r="H3521" s="1">
        <f>SUMIF('Retal Tran Line Item'!E:E,A3521,'Retal Tran Line Item'!B:B)</f>
        <v>9</v>
      </c>
    </row>
    <row r="3522" spans="1:8">
      <c r="A3522" s="1">
        <v>104249</v>
      </c>
      <c r="B3522" s="1">
        <v>380003</v>
      </c>
      <c r="C3522" s="2">
        <v>41820</v>
      </c>
      <c r="D3522" s="1" t="s">
        <v>1992</v>
      </c>
      <c r="E3522" s="6">
        <v>1</v>
      </c>
      <c r="F3522" s="6" t="str">
        <f t="shared" si="108"/>
        <v>June</v>
      </c>
      <c r="G3522" s="6">
        <f t="shared" si="109"/>
        <v>27</v>
      </c>
      <c r="H3522" s="1">
        <f>SUMIF('Retal Tran Line Item'!E:E,A3522,'Retal Tran Line Item'!B:B)</f>
        <v>11</v>
      </c>
    </row>
    <row r="3523" spans="1:8">
      <c r="A3523" s="1">
        <v>104251</v>
      </c>
      <c r="B3523" s="1">
        <v>796796</v>
      </c>
      <c r="C3523" s="2">
        <v>41820</v>
      </c>
      <c r="D3523" s="1" t="s">
        <v>1992</v>
      </c>
      <c r="E3523" s="6">
        <v>1</v>
      </c>
      <c r="F3523" s="6" t="str">
        <f t="shared" ref="F3523:F3586" si="110">TEXT(C3523,"MMMM")</f>
        <v>June</v>
      </c>
      <c r="G3523" s="6">
        <f t="shared" ref="G3523:G3586" si="111">WEEKNUM(C3523)</f>
        <v>27</v>
      </c>
      <c r="H3523" s="1">
        <f>SUMIF('Retal Tran Line Item'!E:E,A3523,'Retal Tran Line Item'!B:B)</f>
        <v>4</v>
      </c>
    </row>
    <row r="3524" spans="1:8">
      <c r="A3524" s="1">
        <v>104252</v>
      </c>
      <c r="B3524" s="1">
        <v>393893</v>
      </c>
      <c r="C3524" s="2">
        <v>41821</v>
      </c>
      <c r="D3524" s="1" t="s">
        <v>1992</v>
      </c>
      <c r="E3524" s="6">
        <v>2</v>
      </c>
      <c r="F3524" s="6" t="str">
        <f t="shared" si="110"/>
        <v>July</v>
      </c>
      <c r="G3524" s="6">
        <f t="shared" si="111"/>
        <v>27</v>
      </c>
      <c r="H3524" s="1">
        <f>SUMIF('Retal Tran Line Item'!E:E,A3524,'Retal Tran Line Item'!B:B)</f>
        <v>5</v>
      </c>
    </row>
    <row r="3525" spans="1:8">
      <c r="A3525" s="1">
        <v>104253</v>
      </c>
      <c r="B3525" s="1">
        <v>667170</v>
      </c>
      <c r="C3525" s="2">
        <v>41821</v>
      </c>
      <c r="D3525" s="1" t="s">
        <v>1993</v>
      </c>
      <c r="E3525" s="6">
        <v>1</v>
      </c>
      <c r="F3525" s="6" t="str">
        <f t="shared" si="110"/>
        <v>July</v>
      </c>
      <c r="G3525" s="6">
        <f t="shared" si="111"/>
        <v>27</v>
      </c>
      <c r="H3525" s="1">
        <f>SUMIF('Retal Tran Line Item'!E:E,A3525,'Retal Tran Line Item'!B:B)</f>
        <v>5</v>
      </c>
    </row>
    <row r="3526" spans="1:8">
      <c r="A3526" s="1">
        <v>104254</v>
      </c>
      <c r="B3526" s="1">
        <v>112690</v>
      </c>
      <c r="C3526" s="2">
        <v>41821</v>
      </c>
      <c r="D3526" s="1" t="s">
        <v>1994</v>
      </c>
      <c r="E3526" s="6">
        <v>2</v>
      </c>
      <c r="F3526" s="6" t="str">
        <f t="shared" si="110"/>
        <v>July</v>
      </c>
      <c r="G3526" s="6">
        <f t="shared" si="111"/>
        <v>27</v>
      </c>
      <c r="H3526" s="1">
        <f>SUMIF('Retal Tran Line Item'!E:E,A3526,'Retal Tran Line Item'!B:B)</f>
        <v>8</v>
      </c>
    </row>
    <row r="3527" spans="1:8">
      <c r="A3527" s="1">
        <v>104257</v>
      </c>
      <c r="B3527" s="1">
        <v>996970</v>
      </c>
      <c r="C3527" s="2">
        <v>41821</v>
      </c>
      <c r="D3527" s="1" t="s">
        <v>1993</v>
      </c>
      <c r="E3527" s="6">
        <v>1</v>
      </c>
      <c r="F3527" s="6" t="str">
        <f t="shared" si="110"/>
        <v>July</v>
      </c>
      <c r="G3527" s="6">
        <f t="shared" si="111"/>
        <v>27</v>
      </c>
      <c r="H3527" s="1">
        <f>SUMIF('Retal Tran Line Item'!E:E,A3527,'Retal Tran Line Item'!B:B)</f>
        <v>9</v>
      </c>
    </row>
    <row r="3528" spans="1:8">
      <c r="A3528" s="1">
        <v>104259</v>
      </c>
      <c r="B3528" s="1">
        <v>728908</v>
      </c>
      <c r="C3528" s="2">
        <v>41822</v>
      </c>
      <c r="D3528" s="1" t="s">
        <v>1989</v>
      </c>
      <c r="E3528" s="6">
        <v>1</v>
      </c>
      <c r="F3528" s="6" t="str">
        <f t="shared" si="110"/>
        <v>July</v>
      </c>
      <c r="G3528" s="6">
        <f t="shared" si="111"/>
        <v>27</v>
      </c>
      <c r="H3528" s="1">
        <f>SUMIF('Retal Tran Line Item'!E:E,A3528,'Retal Tran Line Item'!B:B)</f>
        <v>2</v>
      </c>
    </row>
    <row r="3529" spans="1:8">
      <c r="A3529" s="1">
        <v>104260</v>
      </c>
      <c r="B3529" s="1">
        <v>840096</v>
      </c>
      <c r="C3529" s="2">
        <v>41822</v>
      </c>
      <c r="D3529" s="1" t="s">
        <v>1992</v>
      </c>
      <c r="E3529" s="6">
        <v>2</v>
      </c>
      <c r="F3529" s="6" t="str">
        <f t="shared" si="110"/>
        <v>July</v>
      </c>
      <c r="G3529" s="6">
        <f t="shared" si="111"/>
        <v>27</v>
      </c>
      <c r="H3529" s="1">
        <f>SUMIF('Retal Tran Line Item'!E:E,A3529,'Retal Tran Line Item'!B:B)</f>
        <v>8</v>
      </c>
    </row>
    <row r="3530" spans="1:8">
      <c r="A3530" s="1">
        <v>104261</v>
      </c>
      <c r="B3530" s="1">
        <v>412544</v>
      </c>
      <c r="C3530" s="2">
        <v>41822</v>
      </c>
      <c r="D3530" s="1" t="s">
        <v>1993</v>
      </c>
      <c r="E3530" s="6">
        <v>1</v>
      </c>
      <c r="F3530" s="6" t="str">
        <f t="shared" si="110"/>
        <v>July</v>
      </c>
      <c r="G3530" s="6">
        <f t="shared" si="111"/>
        <v>27</v>
      </c>
      <c r="H3530" s="1">
        <f>SUMIF('Retal Tran Line Item'!E:E,A3530,'Retal Tran Line Item'!B:B)</f>
        <v>9</v>
      </c>
    </row>
    <row r="3531" spans="1:8">
      <c r="A3531" s="1">
        <v>104263</v>
      </c>
      <c r="B3531" s="1">
        <v>734514</v>
      </c>
      <c r="C3531" s="2">
        <v>41822</v>
      </c>
      <c r="D3531" s="1" t="s">
        <v>1993</v>
      </c>
      <c r="E3531" s="6">
        <v>1</v>
      </c>
      <c r="F3531" s="6" t="str">
        <f t="shared" si="110"/>
        <v>July</v>
      </c>
      <c r="G3531" s="6">
        <f t="shared" si="111"/>
        <v>27</v>
      </c>
      <c r="H3531" s="1">
        <f>SUMIF('Retal Tran Line Item'!E:E,A3531,'Retal Tran Line Item'!B:B)</f>
        <v>2</v>
      </c>
    </row>
    <row r="3532" spans="1:8">
      <c r="A3532" s="1">
        <v>104264</v>
      </c>
      <c r="B3532" s="1">
        <v>612681</v>
      </c>
      <c r="C3532" s="2">
        <v>41822</v>
      </c>
      <c r="D3532" s="1" t="s">
        <v>1993</v>
      </c>
      <c r="E3532" s="6">
        <v>2</v>
      </c>
      <c r="F3532" s="6" t="str">
        <f t="shared" si="110"/>
        <v>July</v>
      </c>
      <c r="G3532" s="6">
        <f t="shared" si="111"/>
        <v>27</v>
      </c>
      <c r="H3532" s="1">
        <f>SUMIF('Retal Tran Line Item'!E:E,A3532,'Retal Tran Line Item'!B:B)</f>
        <v>8</v>
      </c>
    </row>
    <row r="3533" spans="1:8">
      <c r="A3533" s="1">
        <v>104265</v>
      </c>
      <c r="B3533" s="1">
        <v>556619</v>
      </c>
      <c r="C3533" s="2">
        <v>41822</v>
      </c>
      <c r="D3533" s="1" t="s">
        <v>1992</v>
      </c>
      <c r="E3533" s="6">
        <v>1</v>
      </c>
      <c r="F3533" s="6" t="str">
        <f t="shared" si="110"/>
        <v>July</v>
      </c>
      <c r="G3533" s="6">
        <f t="shared" si="111"/>
        <v>27</v>
      </c>
      <c r="H3533" s="1">
        <f>SUMIF('Retal Tran Line Item'!E:E,A3533,'Retal Tran Line Item'!B:B)</f>
        <v>2</v>
      </c>
    </row>
    <row r="3534" spans="1:8">
      <c r="A3534" s="1">
        <v>104266</v>
      </c>
      <c r="B3534" s="1">
        <v>566192</v>
      </c>
      <c r="C3534" s="2">
        <v>41822</v>
      </c>
      <c r="D3534" s="1" t="s">
        <v>1992</v>
      </c>
      <c r="E3534" s="6">
        <v>2</v>
      </c>
      <c r="F3534" s="6" t="str">
        <f t="shared" si="110"/>
        <v>July</v>
      </c>
      <c r="G3534" s="6">
        <f t="shared" si="111"/>
        <v>27</v>
      </c>
      <c r="H3534" s="1">
        <f>SUMIF('Retal Tran Line Item'!E:E,A3534,'Retal Tran Line Item'!B:B)</f>
        <v>5</v>
      </c>
    </row>
    <row r="3535" spans="1:8">
      <c r="A3535" s="1">
        <v>104267</v>
      </c>
      <c r="B3535" s="1">
        <v>404678</v>
      </c>
      <c r="C3535" s="2">
        <v>41823</v>
      </c>
      <c r="D3535" s="1" t="s">
        <v>1993</v>
      </c>
      <c r="E3535" s="6">
        <v>1</v>
      </c>
      <c r="F3535" s="6" t="str">
        <f t="shared" si="110"/>
        <v>July</v>
      </c>
      <c r="G3535" s="6">
        <f t="shared" si="111"/>
        <v>27</v>
      </c>
      <c r="H3535" s="1">
        <f>SUMIF('Retal Tran Line Item'!E:E,A3535,'Retal Tran Line Item'!B:B)</f>
        <v>9</v>
      </c>
    </row>
    <row r="3536" spans="1:8">
      <c r="A3536" s="1">
        <v>104269</v>
      </c>
      <c r="B3536" s="1">
        <v>908328</v>
      </c>
      <c r="C3536" s="2">
        <v>41823</v>
      </c>
      <c r="D3536" s="1" t="s">
        <v>1992</v>
      </c>
      <c r="E3536" s="6">
        <v>1</v>
      </c>
      <c r="F3536" s="6" t="str">
        <f t="shared" si="110"/>
        <v>July</v>
      </c>
      <c r="G3536" s="6">
        <f t="shared" si="111"/>
        <v>27</v>
      </c>
      <c r="H3536" s="1">
        <f>SUMIF('Retal Tran Line Item'!E:E,A3536,'Retal Tran Line Item'!B:B)</f>
        <v>2</v>
      </c>
    </row>
    <row r="3537" spans="1:8">
      <c r="A3537" s="1">
        <v>104271</v>
      </c>
      <c r="B3537" s="1">
        <v>756928</v>
      </c>
      <c r="C3537" s="2">
        <v>41823</v>
      </c>
      <c r="D3537" s="1" t="s">
        <v>1993</v>
      </c>
      <c r="E3537" s="6">
        <v>2</v>
      </c>
      <c r="F3537" s="6" t="str">
        <f t="shared" si="110"/>
        <v>July</v>
      </c>
      <c r="G3537" s="6">
        <f t="shared" si="111"/>
        <v>27</v>
      </c>
      <c r="H3537" s="1">
        <f>SUMIF('Retal Tran Line Item'!E:E,A3537,'Retal Tran Line Item'!B:B)</f>
        <v>2</v>
      </c>
    </row>
    <row r="3538" spans="1:8">
      <c r="A3538" s="1">
        <v>104275</v>
      </c>
      <c r="B3538" s="1">
        <v>494106</v>
      </c>
      <c r="C3538" s="2">
        <v>41824</v>
      </c>
      <c r="D3538" s="1" t="s">
        <v>1993</v>
      </c>
      <c r="E3538" s="6">
        <v>2</v>
      </c>
      <c r="F3538" s="6" t="str">
        <f t="shared" si="110"/>
        <v>July</v>
      </c>
      <c r="G3538" s="6">
        <f t="shared" si="111"/>
        <v>27</v>
      </c>
      <c r="H3538" s="1">
        <f>SUMIF('Retal Tran Line Item'!E:E,A3538,'Retal Tran Line Item'!B:B)</f>
        <v>2</v>
      </c>
    </row>
    <row r="3539" spans="1:8">
      <c r="A3539" s="1">
        <v>104276</v>
      </c>
      <c r="B3539" s="1">
        <v>921792</v>
      </c>
      <c r="C3539" s="2">
        <v>41824</v>
      </c>
      <c r="D3539" s="1" t="s">
        <v>1992</v>
      </c>
      <c r="E3539" s="6">
        <v>2</v>
      </c>
      <c r="F3539" s="6" t="str">
        <f t="shared" si="110"/>
        <v>July</v>
      </c>
      <c r="G3539" s="6">
        <f t="shared" si="111"/>
        <v>27</v>
      </c>
      <c r="H3539" s="1">
        <f>SUMIF('Retal Tran Line Item'!E:E,A3539,'Retal Tran Line Item'!B:B)</f>
        <v>12</v>
      </c>
    </row>
    <row r="3540" spans="1:8">
      <c r="A3540" s="1">
        <v>104277</v>
      </c>
      <c r="B3540" s="1">
        <v>385115</v>
      </c>
      <c r="C3540" s="2">
        <v>41824</v>
      </c>
      <c r="D3540" s="1" t="s">
        <v>1992</v>
      </c>
      <c r="E3540" s="6">
        <v>2</v>
      </c>
      <c r="F3540" s="6" t="str">
        <f t="shared" si="110"/>
        <v>July</v>
      </c>
      <c r="G3540" s="6">
        <f t="shared" si="111"/>
        <v>27</v>
      </c>
      <c r="H3540" s="1">
        <f>SUMIF('Retal Tran Line Item'!E:E,A3540,'Retal Tran Line Item'!B:B)</f>
        <v>5</v>
      </c>
    </row>
    <row r="3541" spans="1:8">
      <c r="A3541" s="1">
        <v>104278</v>
      </c>
      <c r="B3541" s="1">
        <v>432268</v>
      </c>
      <c r="C3541" s="2">
        <v>41824</v>
      </c>
      <c r="D3541" s="1" t="s">
        <v>1994</v>
      </c>
      <c r="E3541" s="6">
        <v>2</v>
      </c>
      <c r="F3541" s="6" t="str">
        <f t="shared" si="110"/>
        <v>July</v>
      </c>
      <c r="G3541" s="6">
        <f t="shared" si="111"/>
        <v>27</v>
      </c>
      <c r="H3541" s="1">
        <f>SUMIF('Retal Tran Line Item'!E:E,A3541,'Retal Tran Line Item'!B:B)</f>
        <v>8</v>
      </c>
    </row>
    <row r="3542" spans="1:8">
      <c r="A3542" s="1">
        <v>104279</v>
      </c>
      <c r="B3542" s="1">
        <v>559486</v>
      </c>
      <c r="C3542" s="2">
        <v>41824</v>
      </c>
      <c r="D3542" s="1" t="s">
        <v>1992</v>
      </c>
      <c r="E3542" s="6">
        <v>2</v>
      </c>
      <c r="F3542" s="6" t="str">
        <f t="shared" si="110"/>
        <v>July</v>
      </c>
      <c r="G3542" s="6">
        <f t="shared" si="111"/>
        <v>27</v>
      </c>
      <c r="H3542" s="1">
        <f>SUMIF('Retal Tran Line Item'!E:E,A3542,'Retal Tran Line Item'!B:B)</f>
        <v>13</v>
      </c>
    </row>
    <row r="3543" spans="1:8">
      <c r="A3543" s="1">
        <v>104281</v>
      </c>
      <c r="B3543" s="1">
        <v>249779</v>
      </c>
      <c r="C3543" s="2">
        <v>41824</v>
      </c>
      <c r="D3543" s="1" t="s">
        <v>1992</v>
      </c>
      <c r="E3543" s="6">
        <v>2</v>
      </c>
      <c r="F3543" s="6" t="str">
        <f t="shared" si="110"/>
        <v>July</v>
      </c>
      <c r="G3543" s="6">
        <f t="shared" si="111"/>
        <v>27</v>
      </c>
      <c r="H3543" s="1">
        <f>SUMIF('Retal Tran Line Item'!E:E,A3543,'Retal Tran Line Item'!B:B)</f>
        <v>7</v>
      </c>
    </row>
    <row r="3544" spans="1:8">
      <c r="A3544" s="1">
        <v>104282</v>
      </c>
      <c r="B3544" s="1">
        <v>890497</v>
      </c>
      <c r="C3544" s="2">
        <v>41825</v>
      </c>
      <c r="D3544" s="1" t="s">
        <v>1992</v>
      </c>
      <c r="E3544" s="6">
        <v>2</v>
      </c>
      <c r="F3544" s="6" t="str">
        <f t="shared" si="110"/>
        <v>July</v>
      </c>
      <c r="G3544" s="6">
        <f t="shared" si="111"/>
        <v>27</v>
      </c>
      <c r="H3544" s="1">
        <f>SUMIF('Retal Tran Line Item'!E:E,A3544,'Retal Tran Line Item'!B:B)</f>
        <v>17</v>
      </c>
    </row>
    <row r="3545" spans="1:8">
      <c r="A3545" s="1">
        <v>104283</v>
      </c>
      <c r="B3545" s="1">
        <v>111991</v>
      </c>
      <c r="C3545" s="2">
        <v>41825</v>
      </c>
      <c r="D3545" s="1" t="s">
        <v>1994</v>
      </c>
      <c r="E3545" s="6">
        <v>1</v>
      </c>
      <c r="F3545" s="6" t="str">
        <f t="shared" si="110"/>
        <v>July</v>
      </c>
      <c r="G3545" s="6">
        <f t="shared" si="111"/>
        <v>27</v>
      </c>
      <c r="H3545" s="1">
        <f>SUMIF('Retal Tran Line Item'!E:E,A3545,'Retal Tran Line Item'!B:B)</f>
        <v>10</v>
      </c>
    </row>
    <row r="3546" spans="1:8">
      <c r="A3546" s="1">
        <v>104284</v>
      </c>
      <c r="B3546" s="1">
        <v>266633</v>
      </c>
      <c r="C3546" s="2">
        <v>41825</v>
      </c>
      <c r="D3546" s="1" t="s">
        <v>1992</v>
      </c>
      <c r="E3546" s="6">
        <v>1</v>
      </c>
      <c r="F3546" s="6" t="str">
        <f t="shared" si="110"/>
        <v>July</v>
      </c>
      <c r="G3546" s="6">
        <f t="shared" si="111"/>
        <v>27</v>
      </c>
      <c r="H3546" s="1">
        <f>SUMIF('Retal Tran Line Item'!E:E,A3546,'Retal Tran Line Item'!B:B)</f>
        <v>4</v>
      </c>
    </row>
    <row r="3547" spans="1:8">
      <c r="A3547" s="1">
        <v>104285</v>
      </c>
      <c r="B3547" s="1">
        <v>707458</v>
      </c>
      <c r="C3547" s="2">
        <v>41825</v>
      </c>
      <c r="D3547" s="1" t="s">
        <v>1993</v>
      </c>
      <c r="E3547" s="6">
        <v>1</v>
      </c>
      <c r="F3547" s="6" t="str">
        <f t="shared" si="110"/>
        <v>July</v>
      </c>
      <c r="G3547" s="6">
        <f t="shared" si="111"/>
        <v>27</v>
      </c>
      <c r="H3547" s="1">
        <f>SUMIF('Retal Tran Line Item'!E:E,A3547,'Retal Tran Line Item'!B:B)</f>
        <v>11</v>
      </c>
    </row>
    <row r="3548" spans="1:8">
      <c r="A3548" s="1">
        <v>104287</v>
      </c>
      <c r="B3548" s="1">
        <v>170500</v>
      </c>
      <c r="C3548" s="2">
        <v>41825</v>
      </c>
      <c r="D3548" s="1" t="s">
        <v>1989</v>
      </c>
      <c r="E3548" s="6">
        <v>2</v>
      </c>
      <c r="F3548" s="6" t="str">
        <f t="shared" si="110"/>
        <v>July</v>
      </c>
      <c r="G3548" s="6">
        <f t="shared" si="111"/>
        <v>27</v>
      </c>
      <c r="H3548" s="1">
        <f>SUMIF('Retal Tran Line Item'!E:E,A3548,'Retal Tran Line Item'!B:B)</f>
        <v>6</v>
      </c>
    </row>
    <row r="3549" spans="1:8">
      <c r="A3549" s="1">
        <v>104288</v>
      </c>
      <c r="B3549" s="1">
        <v>977759</v>
      </c>
      <c r="C3549" s="2">
        <v>41825</v>
      </c>
      <c r="D3549" s="1" t="s">
        <v>1992</v>
      </c>
      <c r="E3549" s="6">
        <v>1</v>
      </c>
      <c r="F3549" s="6" t="str">
        <f t="shared" si="110"/>
        <v>July</v>
      </c>
      <c r="G3549" s="6">
        <f t="shared" si="111"/>
        <v>27</v>
      </c>
      <c r="H3549" s="1">
        <f>SUMIF('Retal Tran Line Item'!E:E,A3549,'Retal Tran Line Item'!B:B)</f>
        <v>11</v>
      </c>
    </row>
    <row r="3550" spans="1:8">
      <c r="A3550" s="1">
        <v>104294</v>
      </c>
      <c r="B3550" s="1">
        <v>739440</v>
      </c>
      <c r="C3550" s="2">
        <v>41826</v>
      </c>
      <c r="D3550" s="1" t="s">
        <v>1993</v>
      </c>
      <c r="E3550" s="6">
        <v>1</v>
      </c>
      <c r="F3550" s="6" t="str">
        <f t="shared" si="110"/>
        <v>July</v>
      </c>
      <c r="G3550" s="6">
        <f t="shared" si="111"/>
        <v>28</v>
      </c>
      <c r="H3550" s="1">
        <f>SUMIF('Retal Tran Line Item'!E:E,A3550,'Retal Tran Line Item'!B:B)</f>
        <v>5</v>
      </c>
    </row>
    <row r="3551" spans="1:8">
      <c r="A3551" s="1">
        <v>104296</v>
      </c>
      <c r="B3551" s="1">
        <v>233956</v>
      </c>
      <c r="C3551" s="2">
        <v>41826</v>
      </c>
      <c r="D3551" s="1" t="s">
        <v>1992</v>
      </c>
      <c r="E3551" s="6">
        <v>1</v>
      </c>
      <c r="F3551" s="6" t="str">
        <f t="shared" si="110"/>
        <v>July</v>
      </c>
      <c r="G3551" s="6">
        <f t="shared" si="111"/>
        <v>28</v>
      </c>
      <c r="H3551" s="1">
        <f>SUMIF('Retal Tran Line Item'!E:E,A3551,'Retal Tran Line Item'!B:B)</f>
        <v>6</v>
      </c>
    </row>
    <row r="3552" spans="1:8">
      <c r="A3552" s="1">
        <v>104298</v>
      </c>
      <c r="B3552" s="1">
        <v>296886</v>
      </c>
      <c r="C3552" s="2">
        <v>41827</v>
      </c>
      <c r="D3552" s="1" t="s">
        <v>1992</v>
      </c>
      <c r="E3552" s="6">
        <v>1</v>
      </c>
      <c r="F3552" s="6" t="str">
        <f t="shared" si="110"/>
        <v>July</v>
      </c>
      <c r="G3552" s="6">
        <f t="shared" si="111"/>
        <v>28</v>
      </c>
      <c r="H3552" s="1">
        <f>SUMIF('Retal Tran Line Item'!E:E,A3552,'Retal Tran Line Item'!B:B)</f>
        <v>7</v>
      </c>
    </row>
    <row r="3553" spans="1:8">
      <c r="A3553" s="1">
        <v>104302</v>
      </c>
      <c r="B3553" s="1">
        <v>491380</v>
      </c>
      <c r="C3553" s="2">
        <v>41827</v>
      </c>
      <c r="D3553" s="1" t="s">
        <v>1992</v>
      </c>
      <c r="E3553" s="6">
        <v>1</v>
      </c>
      <c r="F3553" s="6" t="str">
        <f t="shared" si="110"/>
        <v>July</v>
      </c>
      <c r="G3553" s="6">
        <f t="shared" si="111"/>
        <v>28</v>
      </c>
      <c r="H3553" s="1">
        <f>SUMIF('Retal Tran Line Item'!E:E,A3553,'Retal Tran Line Item'!B:B)</f>
        <v>10</v>
      </c>
    </row>
    <row r="3554" spans="1:8">
      <c r="A3554" s="1">
        <v>104303</v>
      </c>
      <c r="B3554" s="1">
        <v>559486</v>
      </c>
      <c r="C3554" s="2">
        <v>41827</v>
      </c>
      <c r="D3554" s="1" t="s">
        <v>1992</v>
      </c>
      <c r="E3554" s="6">
        <v>1</v>
      </c>
      <c r="F3554" s="6" t="str">
        <f t="shared" si="110"/>
        <v>July</v>
      </c>
      <c r="G3554" s="6">
        <f t="shared" si="111"/>
        <v>28</v>
      </c>
      <c r="H3554" s="1">
        <f>SUMIF('Retal Tran Line Item'!E:E,A3554,'Retal Tran Line Item'!B:B)</f>
        <v>15</v>
      </c>
    </row>
    <row r="3555" spans="1:8">
      <c r="A3555" s="1">
        <v>104305</v>
      </c>
      <c r="B3555" s="1">
        <v>214537</v>
      </c>
      <c r="C3555" s="2">
        <v>41828</v>
      </c>
      <c r="D3555" s="1" t="s">
        <v>1989</v>
      </c>
      <c r="E3555" s="6">
        <v>1</v>
      </c>
      <c r="F3555" s="6" t="str">
        <f t="shared" si="110"/>
        <v>July</v>
      </c>
      <c r="G3555" s="6">
        <f t="shared" si="111"/>
        <v>28</v>
      </c>
      <c r="H3555" s="1">
        <f>SUMIF('Retal Tran Line Item'!E:E,A3555,'Retal Tran Line Item'!B:B)</f>
        <v>10</v>
      </c>
    </row>
    <row r="3556" spans="1:8">
      <c r="A3556" s="1">
        <v>104306</v>
      </c>
      <c r="B3556" s="1">
        <v>775449</v>
      </c>
      <c r="C3556" s="2">
        <v>41828</v>
      </c>
      <c r="D3556" s="1" t="s">
        <v>1993</v>
      </c>
      <c r="E3556" s="6">
        <v>2</v>
      </c>
      <c r="F3556" s="6" t="str">
        <f t="shared" si="110"/>
        <v>July</v>
      </c>
      <c r="G3556" s="6">
        <f t="shared" si="111"/>
        <v>28</v>
      </c>
      <c r="H3556" s="1">
        <f>SUMIF('Retal Tran Line Item'!E:E,A3556,'Retal Tran Line Item'!B:B)</f>
        <v>3</v>
      </c>
    </row>
    <row r="3557" spans="1:8">
      <c r="A3557" s="1">
        <v>104308</v>
      </c>
      <c r="B3557" s="1">
        <v>306853</v>
      </c>
      <c r="C3557" s="2">
        <v>41828</v>
      </c>
      <c r="D3557" s="1" t="s">
        <v>1989</v>
      </c>
      <c r="E3557" s="6">
        <v>2</v>
      </c>
      <c r="F3557" s="6" t="str">
        <f t="shared" si="110"/>
        <v>July</v>
      </c>
      <c r="G3557" s="6">
        <f t="shared" si="111"/>
        <v>28</v>
      </c>
      <c r="H3557" s="1">
        <f>SUMIF('Retal Tran Line Item'!E:E,A3557,'Retal Tran Line Item'!B:B)</f>
        <v>8</v>
      </c>
    </row>
    <row r="3558" spans="1:8">
      <c r="A3558" s="1">
        <v>104309</v>
      </c>
      <c r="B3558" s="1">
        <v>166135</v>
      </c>
      <c r="C3558" s="2">
        <v>41828</v>
      </c>
      <c r="D3558" s="1" t="s">
        <v>1989</v>
      </c>
      <c r="E3558" s="6">
        <v>1</v>
      </c>
      <c r="F3558" s="6" t="str">
        <f t="shared" si="110"/>
        <v>July</v>
      </c>
      <c r="G3558" s="6">
        <f t="shared" si="111"/>
        <v>28</v>
      </c>
      <c r="H3558" s="1">
        <f>SUMIF('Retal Tran Line Item'!E:E,A3558,'Retal Tran Line Item'!B:B)</f>
        <v>1</v>
      </c>
    </row>
    <row r="3559" spans="1:8">
      <c r="A3559" s="1">
        <v>104312</v>
      </c>
      <c r="B3559" s="1">
        <v>552124</v>
      </c>
      <c r="C3559" s="2">
        <v>41828</v>
      </c>
      <c r="D3559" s="1" t="s">
        <v>1992</v>
      </c>
      <c r="E3559" s="6">
        <v>2</v>
      </c>
      <c r="F3559" s="6" t="str">
        <f t="shared" si="110"/>
        <v>July</v>
      </c>
      <c r="G3559" s="6">
        <f t="shared" si="111"/>
        <v>28</v>
      </c>
      <c r="H3559" s="1">
        <f>SUMIF('Retal Tran Line Item'!E:E,A3559,'Retal Tran Line Item'!B:B)</f>
        <v>14</v>
      </c>
    </row>
    <row r="3560" spans="1:8">
      <c r="A3560" s="1">
        <v>104314</v>
      </c>
      <c r="B3560" s="1">
        <v>912671</v>
      </c>
      <c r="C3560" s="2">
        <v>41829</v>
      </c>
      <c r="D3560" s="1" t="s">
        <v>1992</v>
      </c>
      <c r="E3560" s="6">
        <v>2</v>
      </c>
      <c r="F3560" s="6" t="str">
        <f t="shared" si="110"/>
        <v>July</v>
      </c>
      <c r="G3560" s="6">
        <f t="shared" si="111"/>
        <v>28</v>
      </c>
      <c r="H3560" s="1">
        <f>SUMIF('Retal Tran Line Item'!E:E,A3560,'Retal Tran Line Item'!B:B)</f>
        <v>2</v>
      </c>
    </row>
    <row r="3561" spans="1:8">
      <c r="A3561" s="1">
        <v>104315</v>
      </c>
      <c r="B3561" s="1">
        <v>785444</v>
      </c>
      <c r="C3561" s="2">
        <v>41829</v>
      </c>
      <c r="D3561" s="1" t="s">
        <v>1992</v>
      </c>
      <c r="E3561" s="6">
        <v>1</v>
      </c>
      <c r="F3561" s="6" t="str">
        <f t="shared" si="110"/>
        <v>July</v>
      </c>
      <c r="G3561" s="6">
        <f t="shared" si="111"/>
        <v>28</v>
      </c>
      <c r="H3561" s="1">
        <f>SUMIF('Retal Tran Line Item'!E:E,A3561,'Retal Tran Line Item'!B:B)</f>
        <v>9</v>
      </c>
    </row>
    <row r="3562" spans="1:8">
      <c r="A3562" s="1">
        <v>104316</v>
      </c>
      <c r="B3562" s="1">
        <v>370870</v>
      </c>
      <c r="C3562" s="2">
        <v>41829</v>
      </c>
      <c r="D3562" s="1" t="s">
        <v>1993</v>
      </c>
      <c r="E3562" s="6">
        <v>2</v>
      </c>
      <c r="F3562" s="6" t="str">
        <f t="shared" si="110"/>
        <v>July</v>
      </c>
      <c r="G3562" s="6">
        <f t="shared" si="111"/>
        <v>28</v>
      </c>
      <c r="H3562" s="1">
        <f>SUMIF('Retal Tran Line Item'!E:E,A3562,'Retal Tran Line Item'!B:B)</f>
        <v>16</v>
      </c>
    </row>
    <row r="3563" spans="1:8">
      <c r="A3563" s="1">
        <v>104317</v>
      </c>
      <c r="B3563" s="1">
        <v>632495</v>
      </c>
      <c r="C3563" s="2">
        <v>41829</v>
      </c>
      <c r="D3563" s="1" t="s">
        <v>1993</v>
      </c>
      <c r="E3563" s="6">
        <v>1</v>
      </c>
      <c r="F3563" s="6" t="str">
        <f t="shared" si="110"/>
        <v>July</v>
      </c>
      <c r="G3563" s="6">
        <f t="shared" si="111"/>
        <v>28</v>
      </c>
      <c r="H3563" s="1">
        <f>SUMIF('Retal Tran Line Item'!E:E,A3563,'Retal Tran Line Item'!B:B)</f>
        <v>1</v>
      </c>
    </row>
    <row r="3564" spans="1:8">
      <c r="A3564" s="1">
        <v>104320</v>
      </c>
      <c r="B3564" s="1">
        <v>554099</v>
      </c>
      <c r="C3564" s="2">
        <v>41830</v>
      </c>
      <c r="D3564" s="1" t="s">
        <v>1994</v>
      </c>
      <c r="E3564" s="6">
        <v>1</v>
      </c>
      <c r="F3564" s="6" t="str">
        <f t="shared" si="110"/>
        <v>July</v>
      </c>
      <c r="G3564" s="6">
        <f t="shared" si="111"/>
        <v>28</v>
      </c>
      <c r="H3564" s="1">
        <f>SUMIF('Retal Tran Line Item'!E:E,A3564,'Retal Tran Line Item'!B:B)</f>
        <v>3</v>
      </c>
    </row>
    <row r="3565" spans="1:8">
      <c r="A3565" s="1">
        <v>104324</v>
      </c>
      <c r="B3565" s="1">
        <v>632495</v>
      </c>
      <c r="C3565" s="2">
        <v>41830</v>
      </c>
      <c r="D3565" s="1" t="s">
        <v>1993</v>
      </c>
      <c r="E3565" s="6">
        <v>1</v>
      </c>
      <c r="F3565" s="6" t="str">
        <f t="shared" si="110"/>
        <v>July</v>
      </c>
      <c r="G3565" s="6">
        <f t="shared" si="111"/>
        <v>28</v>
      </c>
      <c r="H3565" s="1">
        <f>SUMIF('Retal Tran Line Item'!E:E,A3565,'Retal Tran Line Item'!B:B)</f>
        <v>5</v>
      </c>
    </row>
    <row r="3566" spans="1:8">
      <c r="A3566" s="1">
        <v>104325</v>
      </c>
      <c r="B3566" s="1">
        <v>447601</v>
      </c>
      <c r="C3566" s="2">
        <v>41830</v>
      </c>
      <c r="D3566" s="1" t="s">
        <v>1989</v>
      </c>
      <c r="E3566" s="6">
        <v>2</v>
      </c>
      <c r="F3566" s="6" t="str">
        <f t="shared" si="110"/>
        <v>July</v>
      </c>
      <c r="G3566" s="6">
        <f t="shared" si="111"/>
        <v>28</v>
      </c>
      <c r="H3566" s="1">
        <f>SUMIF('Retal Tran Line Item'!E:E,A3566,'Retal Tran Line Item'!B:B)</f>
        <v>3</v>
      </c>
    </row>
    <row r="3567" spans="1:8">
      <c r="A3567" s="1">
        <v>104327</v>
      </c>
      <c r="B3567" s="1">
        <v>227456</v>
      </c>
      <c r="C3567" s="2">
        <v>41831</v>
      </c>
      <c r="D3567" s="1" t="s">
        <v>1993</v>
      </c>
      <c r="E3567" s="6">
        <v>2</v>
      </c>
      <c r="F3567" s="6" t="str">
        <f t="shared" si="110"/>
        <v>July</v>
      </c>
      <c r="G3567" s="6">
        <f t="shared" si="111"/>
        <v>28</v>
      </c>
      <c r="H3567" s="1">
        <f>SUMIF('Retal Tran Line Item'!E:E,A3567,'Retal Tran Line Item'!B:B)</f>
        <v>10</v>
      </c>
    </row>
    <row r="3568" spans="1:8">
      <c r="A3568" s="1">
        <v>104331</v>
      </c>
      <c r="B3568" s="1">
        <v>393893</v>
      </c>
      <c r="C3568" s="2">
        <v>41831</v>
      </c>
      <c r="D3568" s="1" t="s">
        <v>1992</v>
      </c>
      <c r="E3568" s="6">
        <v>1</v>
      </c>
      <c r="F3568" s="6" t="str">
        <f t="shared" si="110"/>
        <v>July</v>
      </c>
      <c r="G3568" s="6">
        <f t="shared" si="111"/>
        <v>28</v>
      </c>
      <c r="H3568" s="1">
        <f>SUMIF('Retal Tran Line Item'!E:E,A3568,'Retal Tran Line Item'!B:B)</f>
        <v>5</v>
      </c>
    </row>
    <row r="3569" spans="1:8">
      <c r="A3569" s="1">
        <v>104333</v>
      </c>
      <c r="B3569" s="1">
        <v>230467</v>
      </c>
      <c r="C3569" s="2">
        <v>41832</v>
      </c>
      <c r="D3569" s="1" t="s">
        <v>1989</v>
      </c>
      <c r="E3569" s="6">
        <v>2</v>
      </c>
      <c r="F3569" s="6" t="str">
        <f t="shared" si="110"/>
        <v>July</v>
      </c>
      <c r="G3569" s="6">
        <f t="shared" si="111"/>
        <v>28</v>
      </c>
      <c r="H3569" s="1">
        <f>SUMIF('Retal Tran Line Item'!E:E,A3569,'Retal Tran Line Item'!B:B)</f>
        <v>2</v>
      </c>
    </row>
    <row r="3570" spans="1:8">
      <c r="A3570" s="1">
        <v>104334</v>
      </c>
      <c r="B3570" s="1">
        <v>175940</v>
      </c>
      <c r="C3570" s="2">
        <v>41832</v>
      </c>
      <c r="D3570" s="1" t="s">
        <v>1993</v>
      </c>
      <c r="E3570" s="6">
        <v>2</v>
      </c>
      <c r="F3570" s="6" t="str">
        <f t="shared" si="110"/>
        <v>July</v>
      </c>
      <c r="G3570" s="6">
        <f t="shared" si="111"/>
        <v>28</v>
      </c>
      <c r="H3570" s="1">
        <f>SUMIF('Retal Tran Line Item'!E:E,A3570,'Retal Tran Line Item'!B:B)</f>
        <v>5</v>
      </c>
    </row>
    <row r="3571" spans="1:8">
      <c r="A3571" s="1">
        <v>104336</v>
      </c>
      <c r="B3571" s="1">
        <v>331115</v>
      </c>
      <c r="C3571" s="2">
        <v>41832</v>
      </c>
      <c r="D3571" s="1" t="s">
        <v>1989</v>
      </c>
      <c r="E3571" s="6">
        <v>2</v>
      </c>
      <c r="F3571" s="6" t="str">
        <f t="shared" si="110"/>
        <v>July</v>
      </c>
      <c r="G3571" s="6">
        <f t="shared" si="111"/>
        <v>28</v>
      </c>
      <c r="H3571" s="1">
        <f>SUMIF('Retal Tran Line Item'!E:E,A3571,'Retal Tran Line Item'!B:B)</f>
        <v>3</v>
      </c>
    </row>
    <row r="3572" spans="1:8">
      <c r="A3572" s="1">
        <v>104337</v>
      </c>
      <c r="B3572" s="1">
        <v>759995</v>
      </c>
      <c r="C3572" s="2">
        <v>41832</v>
      </c>
      <c r="D3572" s="1" t="s">
        <v>1993</v>
      </c>
      <c r="E3572" s="6">
        <v>2</v>
      </c>
      <c r="F3572" s="6" t="str">
        <f t="shared" si="110"/>
        <v>July</v>
      </c>
      <c r="G3572" s="6">
        <f t="shared" si="111"/>
        <v>28</v>
      </c>
      <c r="H3572" s="1">
        <f>SUMIF('Retal Tran Line Item'!E:E,A3572,'Retal Tran Line Item'!B:B)</f>
        <v>9</v>
      </c>
    </row>
    <row r="3573" spans="1:8">
      <c r="A3573" s="1">
        <v>104338</v>
      </c>
      <c r="B3573" s="1">
        <v>516619</v>
      </c>
      <c r="C3573" s="2">
        <v>41832</v>
      </c>
      <c r="D3573" s="1" t="s">
        <v>1993</v>
      </c>
      <c r="E3573" s="6">
        <v>1</v>
      </c>
      <c r="F3573" s="6" t="str">
        <f t="shared" si="110"/>
        <v>July</v>
      </c>
      <c r="G3573" s="6">
        <f t="shared" si="111"/>
        <v>28</v>
      </c>
      <c r="H3573" s="1">
        <f>SUMIF('Retal Tran Line Item'!E:E,A3573,'Retal Tran Line Item'!B:B)</f>
        <v>5</v>
      </c>
    </row>
    <row r="3574" spans="1:8">
      <c r="A3574" s="1">
        <v>104340</v>
      </c>
      <c r="B3574" s="1">
        <v>475216</v>
      </c>
      <c r="C3574" s="2">
        <v>41833</v>
      </c>
      <c r="D3574" s="1" t="s">
        <v>1994</v>
      </c>
      <c r="E3574" s="6">
        <v>2</v>
      </c>
      <c r="F3574" s="6" t="str">
        <f t="shared" si="110"/>
        <v>July</v>
      </c>
      <c r="G3574" s="6">
        <f t="shared" si="111"/>
        <v>29</v>
      </c>
      <c r="H3574" s="1">
        <f>SUMIF('Retal Tran Line Item'!E:E,A3574,'Retal Tran Line Item'!B:B)</f>
        <v>5</v>
      </c>
    </row>
    <row r="3575" spans="1:8">
      <c r="A3575" s="1">
        <v>104342</v>
      </c>
      <c r="B3575" s="1">
        <v>456457</v>
      </c>
      <c r="C3575" s="2">
        <v>41833</v>
      </c>
      <c r="D3575" s="1" t="s">
        <v>1993</v>
      </c>
      <c r="E3575" s="6">
        <v>1</v>
      </c>
      <c r="F3575" s="6" t="str">
        <f t="shared" si="110"/>
        <v>July</v>
      </c>
      <c r="G3575" s="6">
        <f t="shared" si="111"/>
        <v>29</v>
      </c>
      <c r="H3575" s="1">
        <f>SUMIF('Retal Tran Line Item'!E:E,A3575,'Retal Tran Line Item'!B:B)</f>
        <v>20</v>
      </c>
    </row>
    <row r="3576" spans="1:8">
      <c r="A3576" s="1">
        <v>104345</v>
      </c>
      <c r="B3576" s="1">
        <v>877877</v>
      </c>
      <c r="C3576" s="2">
        <v>41834</v>
      </c>
      <c r="D3576" s="1" t="s">
        <v>1992</v>
      </c>
      <c r="E3576" s="6">
        <v>2</v>
      </c>
      <c r="F3576" s="6" t="str">
        <f t="shared" si="110"/>
        <v>July</v>
      </c>
      <c r="G3576" s="6">
        <f t="shared" si="111"/>
        <v>29</v>
      </c>
      <c r="H3576" s="1">
        <f>SUMIF('Retal Tran Line Item'!E:E,A3576,'Retal Tran Line Item'!B:B)</f>
        <v>6</v>
      </c>
    </row>
    <row r="3577" spans="1:8">
      <c r="A3577" s="1">
        <v>104347</v>
      </c>
      <c r="B3577" s="1">
        <v>380003</v>
      </c>
      <c r="C3577" s="2">
        <v>41834</v>
      </c>
      <c r="D3577" s="1" t="s">
        <v>1992</v>
      </c>
      <c r="E3577" s="6">
        <v>1</v>
      </c>
      <c r="F3577" s="6" t="str">
        <f t="shared" si="110"/>
        <v>July</v>
      </c>
      <c r="G3577" s="6">
        <f t="shared" si="111"/>
        <v>29</v>
      </c>
      <c r="H3577" s="1">
        <f>SUMIF('Retal Tran Line Item'!E:E,A3577,'Retal Tran Line Item'!B:B)</f>
        <v>19</v>
      </c>
    </row>
    <row r="3578" spans="1:8">
      <c r="A3578" s="1">
        <v>104348</v>
      </c>
      <c r="B3578" s="1">
        <v>249188</v>
      </c>
      <c r="C3578" s="2">
        <v>41834</v>
      </c>
      <c r="D3578" s="1" t="s">
        <v>1992</v>
      </c>
      <c r="E3578" s="6">
        <v>1</v>
      </c>
      <c r="F3578" s="6" t="str">
        <f t="shared" si="110"/>
        <v>July</v>
      </c>
      <c r="G3578" s="6">
        <f t="shared" si="111"/>
        <v>29</v>
      </c>
      <c r="H3578" s="1">
        <f>SUMIF('Retal Tran Line Item'!E:E,A3578,'Retal Tran Line Item'!B:B)</f>
        <v>6</v>
      </c>
    </row>
    <row r="3579" spans="1:8">
      <c r="A3579" s="1">
        <v>104349</v>
      </c>
      <c r="B3579" s="1">
        <v>912671</v>
      </c>
      <c r="C3579" s="2">
        <v>41834</v>
      </c>
      <c r="D3579" s="1" t="s">
        <v>1992</v>
      </c>
      <c r="E3579" s="6">
        <v>1</v>
      </c>
      <c r="F3579" s="6" t="str">
        <f t="shared" si="110"/>
        <v>July</v>
      </c>
      <c r="G3579" s="6">
        <f t="shared" si="111"/>
        <v>29</v>
      </c>
      <c r="H3579" s="1">
        <f>SUMIF('Retal Tran Line Item'!E:E,A3579,'Retal Tran Line Item'!B:B)</f>
        <v>2</v>
      </c>
    </row>
    <row r="3580" spans="1:8">
      <c r="A3580" s="1">
        <v>104351</v>
      </c>
      <c r="B3580" s="1">
        <v>723057</v>
      </c>
      <c r="C3580" s="2">
        <v>41835</v>
      </c>
      <c r="D3580" s="1" t="s">
        <v>1993</v>
      </c>
      <c r="E3580" s="6">
        <v>1</v>
      </c>
      <c r="F3580" s="6" t="str">
        <f t="shared" si="110"/>
        <v>July</v>
      </c>
      <c r="G3580" s="6">
        <f t="shared" si="111"/>
        <v>29</v>
      </c>
      <c r="H3580" s="1">
        <f>SUMIF('Retal Tran Line Item'!E:E,A3580,'Retal Tran Line Item'!B:B)</f>
        <v>7</v>
      </c>
    </row>
    <row r="3581" spans="1:8">
      <c r="A3581" s="1">
        <v>104352</v>
      </c>
      <c r="B3581" s="1">
        <v>265339</v>
      </c>
      <c r="C3581" s="2">
        <v>41835</v>
      </c>
      <c r="D3581" s="1" t="s">
        <v>1994</v>
      </c>
      <c r="E3581" s="6">
        <v>2</v>
      </c>
      <c r="F3581" s="6" t="str">
        <f t="shared" si="110"/>
        <v>July</v>
      </c>
      <c r="G3581" s="6">
        <f t="shared" si="111"/>
        <v>29</v>
      </c>
      <c r="H3581" s="1">
        <f>SUMIF('Retal Tran Line Item'!E:E,A3581,'Retal Tran Line Item'!B:B)</f>
        <v>15</v>
      </c>
    </row>
    <row r="3582" spans="1:8">
      <c r="A3582" s="1">
        <v>104353</v>
      </c>
      <c r="B3582" s="1">
        <v>253106</v>
      </c>
      <c r="C3582" s="2">
        <v>41835</v>
      </c>
      <c r="D3582" s="1" t="s">
        <v>1989</v>
      </c>
      <c r="E3582" s="6">
        <v>1</v>
      </c>
      <c r="F3582" s="6" t="str">
        <f t="shared" si="110"/>
        <v>July</v>
      </c>
      <c r="G3582" s="6">
        <f t="shared" si="111"/>
        <v>29</v>
      </c>
      <c r="H3582" s="1">
        <f>SUMIF('Retal Tran Line Item'!E:E,A3582,'Retal Tran Line Item'!B:B)</f>
        <v>3</v>
      </c>
    </row>
    <row r="3583" spans="1:8">
      <c r="A3583" s="1">
        <v>104355</v>
      </c>
      <c r="B3583" s="1">
        <v>611848</v>
      </c>
      <c r="C3583" s="2">
        <v>41835</v>
      </c>
      <c r="D3583" s="1" t="s">
        <v>1992</v>
      </c>
      <c r="E3583" s="6">
        <v>1</v>
      </c>
      <c r="F3583" s="6" t="str">
        <f t="shared" si="110"/>
        <v>July</v>
      </c>
      <c r="G3583" s="6">
        <f t="shared" si="111"/>
        <v>29</v>
      </c>
      <c r="H3583" s="1">
        <f>SUMIF('Retal Tran Line Item'!E:E,A3583,'Retal Tran Line Item'!B:B)</f>
        <v>14</v>
      </c>
    </row>
    <row r="3584" spans="1:8">
      <c r="A3584" s="1">
        <v>104356</v>
      </c>
      <c r="B3584" s="1">
        <v>331115</v>
      </c>
      <c r="C3584" s="2">
        <v>41835</v>
      </c>
      <c r="D3584" s="1" t="s">
        <v>1989</v>
      </c>
      <c r="E3584" s="6">
        <v>2</v>
      </c>
      <c r="F3584" s="6" t="str">
        <f t="shared" si="110"/>
        <v>July</v>
      </c>
      <c r="G3584" s="6">
        <f t="shared" si="111"/>
        <v>29</v>
      </c>
      <c r="H3584" s="1">
        <f>SUMIF('Retal Tran Line Item'!E:E,A3584,'Retal Tran Line Item'!B:B)</f>
        <v>4</v>
      </c>
    </row>
    <row r="3585" spans="1:8">
      <c r="A3585" s="1">
        <v>104359</v>
      </c>
      <c r="B3585" s="1">
        <v>203787</v>
      </c>
      <c r="C3585" s="2">
        <v>41836</v>
      </c>
      <c r="D3585" s="1" t="s">
        <v>1994</v>
      </c>
      <c r="E3585" s="6">
        <v>2</v>
      </c>
      <c r="F3585" s="6" t="str">
        <f t="shared" si="110"/>
        <v>July</v>
      </c>
      <c r="G3585" s="6">
        <f t="shared" si="111"/>
        <v>29</v>
      </c>
      <c r="H3585" s="1">
        <f>SUMIF('Retal Tran Line Item'!E:E,A3585,'Retal Tran Line Item'!B:B)</f>
        <v>10</v>
      </c>
    </row>
    <row r="3586" spans="1:8">
      <c r="A3586" s="1">
        <v>104360</v>
      </c>
      <c r="B3586" s="1">
        <v>586201</v>
      </c>
      <c r="C3586" s="2">
        <v>41836</v>
      </c>
      <c r="D3586" s="1" t="s">
        <v>1992</v>
      </c>
      <c r="E3586" s="6">
        <v>2</v>
      </c>
      <c r="F3586" s="6" t="str">
        <f t="shared" si="110"/>
        <v>July</v>
      </c>
      <c r="G3586" s="6">
        <f t="shared" si="111"/>
        <v>29</v>
      </c>
      <c r="H3586" s="1">
        <f>SUMIF('Retal Tran Line Item'!E:E,A3586,'Retal Tran Line Item'!B:B)</f>
        <v>2</v>
      </c>
    </row>
    <row r="3587" spans="1:8">
      <c r="A3587" s="1">
        <v>104361</v>
      </c>
      <c r="B3587" s="1">
        <v>791559</v>
      </c>
      <c r="C3587" s="2">
        <v>41836</v>
      </c>
      <c r="D3587" s="1" t="s">
        <v>1989</v>
      </c>
      <c r="E3587" s="6">
        <v>2</v>
      </c>
      <c r="F3587" s="6" t="str">
        <f t="shared" ref="F3587:F3650" si="112">TEXT(C3587,"MMMM")</f>
        <v>July</v>
      </c>
      <c r="G3587" s="6">
        <f t="shared" ref="G3587:G3650" si="113">WEEKNUM(C3587)</f>
        <v>29</v>
      </c>
      <c r="H3587" s="1">
        <f>SUMIF('Retal Tran Line Item'!E:E,A3587,'Retal Tran Line Item'!B:B)</f>
        <v>14</v>
      </c>
    </row>
    <row r="3588" spans="1:8">
      <c r="A3588" s="1">
        <v>104363</v>
      </c>
      <c r="B3588" s="1">
        <v>319387</v>
      </c>
      <c r="C3588" s="2">
        <v>41836</v>
      </c>
      <c r="D3588" s="1" t="s">
        <v>1993</v>
      </c>
      <c r="E3588" s="6">
        <v>1</v>
      </c>
      <c r="F3588" s="6" t="str">
        <f t="shared" si="112"/>
        <v>July</v>
      </c>
      <c r="G3588" s="6">
        <f t="shared" si="113"/>
        <v>29</v>
      </c>
      <c r="H3588" s="1">
        <f>SUMIF('Retal Tran Line Item'!E:E,A3588,'Retal Tran Line Item'!B:B)</f>
        <v>1</v>
      </c>
    </row>
    <row r="3589" spans="1:8">
      <c r="A3589" s="1">
        <v>104364</v>
      </c>
      <c r="B3589" s="1">
        <v>694281</v>
      </c>
      <c r="C3589" s="2">
        <v>41836</v>
      </c>
      <c r="D3589" s="1" t="s">
        <v>1989</v>
      </c>
      <c r="E3589" s="6">
        <v>1</v>
      </c>
      <c r="F3589" s="6" t="str">
        <f t="shared" si="112"/>
        <v>July</v>
      </c>
      <c r="G3589" s="6">
        <f t="shared" si="113"/>
        <v>29</v>
      </c>
      <c r="H3589" s="1">
        <f>SUMIF('Retal Tran Line Item'!E:E,A3589,'Retal Tran Line Item'!B:B)</f>
        <v>8</v>
      </c>
    </row>
    <row r="3590" spans="1:8">
      <c r="A3590" s="1">
        <v>104365</v>
      </c>
      <c r="B3590" s="1">
        <v>464984</v>
      </c>
      <c r="C3590" s="2">
        <v>41837</v>
      </c>
      <c r="D3590" s="1" t="s">
        <v>1993</v>
      </c>
      <c r="E3590" s="6">
        <v>2</v>
      </c>
      <c r="F3590" s="6" t="str">
        <f t="shared" si="112"/>
        <v>July</v>
      </c>
      <c r="G3590" s="6">
        <f t="shared" si="113"/>
        <v>29</v>
      </c>
      <c r="H3590" s="1">
        <f>SUMIF('Retal Tran Line Item'!E:E,A3590,'Retal Tran Line Item'!B:B)</f>
        <v>5</v>
      </c>
    </row>
    <row r="3591" spans="1:8">
      <c r="A3591" s="1">
        <v>104366</v>
      </c>
      <c r="B3591" s="1">
        <v>908328</v>
      </c>
      <c r="C3591" s="2">
        <v>41837</v>
      </c>
      <c r="D3591" s="1" t="s">
        <v>1992</v>
      </c>
      <c r="E3591" s="6">
        <v>1</v>
      </c>
      <c r="F3591" s="6" t="str">
        <f t="shared" si="112"/>
        <v>July</v>
      </c>
      <c r="G3591" s="6">
        <f t="shared" si="113"/>
        <v>29</v>
      </c>
      <c r="H3591" s="1">
        <f>SUMIF('Retal Tran Line Item'!E:E,A3591,'Retal Tran Line Item'!B:B)</f>
        <v>10</v>
      </c>
    </row>
    <row r="3592" spans="1:8">
      <c r="A3592" s="1">
        <v>104367</v>
      </c>
      <c r="B3592" s="1">
        <v>955591</v>
      </c>
      <c r="C3592" s="2">
        <v>41837</v>
      </c>
      <c r="D3592" s="1" t="s">
        <v>1993</v>
      </c>
      <c r="E3592" s="6">
        <v>2</v>
      </c>
      <c r="F3592" s="6" t="str">
        <f t="shared" si="112"/>
        <v>July</v>
      </c>
      <c r="G3592" s="6">
        <f t="shared" si="113"/>
        <v>29</v>
      </c>
      <c r="H3592" s="1">
        <f>SUMIF('Retal Tran Line Item'!E:E,A3592,'Retal Tran Line Item'!B:B)</f>
        <v>12</v>
      </c>
    </row>
    <row r="3593" spans="1:8">
      <c r="A3593" s="1">
        <v>104368</v>
      </c>
      <c r="B3593" s="1">
        <v>304344</v>
      </c>
      <c r="C3593" s="2">
        <v>41837</v>
      </c>
      <c r="D3593" s="1" t="s">
        <v>1993</v>
      </c>
      <c r="E3593" s="6">
        <v>2</v>
      </c>
      <c r="F3593" s="6" t="str">
        <f t="shared" si="112"/>
        <v>July</v>
      </c>
      <c r="G3593" s="6">
        <f t="shared" si="113"/>
        <v>29</v>
      </c>
      <c r="H3593" s="1">
        <f>SUMIF('Retal Tran Line Item'!E:E,A3593,'Retal Tran Line Item'!B:B)</f>
        <v>12</v>
      </c>
    </row>
    <row r="3594" spans="1:8">
      <c r="A3594" s="1">
        <v>104371</v>
      </c>
      <c r="B3594" s="1">
        <v>911171</v>
      </c>
      <c r="C3594" s="2">
        <v>41837</v>
      </c>
      <c r="D3594" s="1" t="s">
        <v>1992</v>
      </c>
      <c r="E3594" s="6">
        <v>2</v>
      </c>
      <c r="F3594" s="6" t="str">
        <f t="shared" si="112"/>
        <v>July</v>
      </c>
      <c r="G3594" s="6">
        <f t="shared" si="113"/>
        <v>29</v>
      </c>
      <c r="H3594" s="1">
        <f>SUMIF('Retal Tran Line Item'!E:E,A3594,'Retal Tran Line Item'!B:B)</f>
        <v>26</v>
      </c>
    </row>
    <row r="3595" spans="1:8">
      <c r="A3595" s="1">
        <v>104374</v>
      </c>
      <c r="B3595" s="1">
        <v>116934</v>
      </c>
      <c r="C3595" s="2">
        <v>41838</v>
      </c>
      <c r="D3595" s="1" t="s">
        <v>1992</v>
      </c>
      <c r="E3595" s="6">
        <v>1</v>
      </c>
      <c r="F3595" s="6" t="str">
        <f t="shared" si="112"/>
        <v>July</v>
      </c>
      <c r="G3595" s="6">
        <f t="shared" si="113"/>
        <v>29</v>
      </c>
      <c r="H3595" s="1">
        <f>SUMIF('Retal Tran Line Item'!E:E,A3595,'Retal Tran Line Item'!B:B)</f>
        <v>1</v>
      </c>
    </row>
    <row r="3596" spans="1:8">
      <c r="A3596" s="1">
        <v>104375</v>
      </c>
      <c r="B3596" s="1">
        <v>479497</v>
      </c>
      <c r="C3596" s="2">
        <v>41838</v>
      </c>
      <c r="D3596" s="1" t="s">
        <v>1994</v>
      </c>
      <c r="E3596" s="6">
        <v>1</v>
      </c>
      <c r="F3596" s="6" t="str">
        <f t="shared" si="112"/>
        <v>July</v>
      </c>
      <c r="G3596" s="6">
        <f t="shared" si="113"/>
        <v>29</v>
      </c>
      <c r="H3596" s="1">
        <f>SUMIF('Retal Tran Line Item'!E:E,A3596,'Retal Tran Line Item'!B:B)</f>
        <v>8</v>
      </c>
    </row>
    <row r="3597" spans="1:8">
      <c r="A3597" s="1">
        <v>104376</v>
      </c>
      <c r="B3597" s="1">
        <v>885548</v>
      </c>
      <c r="C3597" s="2">
        <v>41838</v>
      </c>
      <c r="D3597" s="1" t="s">
        <v>1992</v>
      </c>
      <c r="E3597" s="6">
        <v>1</v>
      </c>
      <c r="F3597" s="6" t="str">
        <f t="shared" si="112"/>
        <v>July</v>
      </c>
      <c r="G3597" s="6">
        <f t="shared" si="113"/>
        <v>29</v>
      </c>
      <c r="H3597" s="1">
        <f>SUMIF('Retal Tran Line Item'!E:E,A3597,'Retal Tran Line Item'!B:B)</f>
        <v>5</v>
      </c>
    </row>
    <row r="3598" spans="1:8">
      <c r="A3598" s="1">
        <v>104377</v>
      </c>
      <c r="B3598" s="1">
        <v>759995</v>
      </c>
      <c r="C3598" s="2">
        <v>41838</v>
      </c>
      <c r="D3598" s="1" t="s">
        <v>1993</v>
      </c>
      <c r="E3598" s="6">
        <v>1</v>
      </c>
      <c r="F3598" s="6" t="str">
        <f t="shared" si="112"/>
        <v>July</v>
      </c>
      <c r="G3598" s="6">
        <f t="shared" si="113"/>
        <v>29</v>
      </c>
      <c r="H3598" s="1">
        <f>SUMIF('Retal Tran Line Item'!E:E,A3598,'Retal Tran Line Item'!B:B)</f>
        <v>16</v>
      </c>
    </row>
    <row r="3599" spans="1:8">
      <c r="A3599" s="1">
        <v>104380</v>
      </c>
      <c r="B3599" s="1">
        <v>973766</v>
      </c>
      <c r="C3599" s="2">
        <v>41839</v>
      </c>
      <c r="D3599" s="1" t="s">
        <v>1989</v>
      </c>
      <c r="E3599" s="6">
        <v>2</v>
      </c>
      <c r="F3599" s="6" t="str">
        <f t="shared" si="112"/>
        <v>July</v>
      </c>
      <c r="G3599" s="6">
        <f t="shared" si="113"/>
        <v>29</v>
      </c>
      <c r="H3599" s="1">
        <f>SUMIF('Retal Tran Line Item'!E:E,A3599,'Retal Tran Line Item'!B:B)</f>
        <v>9</v>
      </c>
    </row>
    <row r="3600" spans="1:8">
      <c r="A3600" s="1">
        <v>104381</v>
      </c>
      <c r="B3600" s="1">
        <v>253106</v>
      </c>
      <c r="C3600" s="2">
        <v>41839</v>
      </c>
      <c r="D3600" s="1" t="s">
        <v>1989</v>
      </c>
      <c r="E3600" s="6">
        <v>1</v>
      </c>
      <c r="F3600" s="6" t="str">
        <f t="shared" si="112"/>
        <v>July</v>
      </c>
      <c r="G3600" s="6">
        <f t="shared" si="113"/>
        <v>29</v>
      </c>
      <c r="H3600" s="1">
        <f>SUMIF('Retal Tran Line Item'!E:E,A3600,'Retal Tran Line Item'!B:B)</f>
        <v>9</v>
      </c>
    </row>
    <row r="3601" spans="1:8">
      <c r="A3601" s="1">
        <v>104383</v>
      </c>
      <c r="B3601" s="1">
        <v>771285</v>
      </c>
      <c r="C3601" s="2">
        <v>41839</v>
      </c>
      <c r="D3601" s="1" t="s">
        <v>1993</v>
      </c>
      <c r="E3601" s="6">
        <v>2</v>
      </c>
      <c r="F3601" s="6" t="str">
        <f t="shared" si="112"/>
        <v>July</v>
      </c>
      <c r="G3601" s="6">
        <f t="shared" si="113"/>
        <v>29</v>
      </c>
      <c r="H3601" s="1">
        <f>SUMIF('Retal Tran Line Item'!E:E,A3601,'Retal Tran Line Item'!B:B)</f>
        <v>9</v>
      </c>
    </row>
    <row r="3602" spans="1:8">
      <c r="A3602" s="1">
        <v>104384</v>
      </c>
      <c r="B3602" s="1">
        <v>822823</v>
      </c>
      <c r="C3602" s="2">
        <v>41839</v>
      </c>
      <c r="D3602" s="1" t="s">
        <v>1994</v>
      </c>
      <c r="E3602" s="6">
        <v>2</v>
      </c>
      <c r="F3602" s="6" t="str">
        <f t="shared" si="112"/>
        <v>July</v>
      </c>
      <c r="G3602" s="6">
        <f t="shared" si="113"/>
        <v>29</v>
      </c>
      <c r="H3602" s="1">
        <f>SUMIF('Retal Tran Line Item'!E:E,A3602,'Retal Tran Line Item'!B:B)</f>
        <v>9</v>
      </c>
    </row>
    <row r="3603" spans="1:8">
      <c r="A3603" s="1">
        <v>104385</v>
      </c>
      <c r="B3603" s="1">
        <v>418635</v>
      </c>
      <c r="C3603" s="2">
        <v>41839</v>
      </c>
      <c r="D3603" s="1" t="s">
        <v>1993</v>
      </c>
      <c r="E3603" s="6">
        <v>1</v>
      </c>
      <c r="F3603" s="6" t="str">
        <f t="shared" si="112"/>
        <v>July</v>
      </c>
      <c r="G3603" s="6">
        <f t="shared" si="113"/>
        <v>29</v>
      </c>
      <c r="H3603" s="1">
        <f>SUMIF('Retal Tran Line Item'!E:E,A3603,'Retal Tran Line Item'!B:B)</f>
        <v>16</v>
      </c>
    </row>
    <row r="3604" spans="1:8">
      <c r="A3604" s="1">
        <v>104386</v>
      </c>
      <c r="B3604" s="1">
        <v>193914</v>
      </c>
      <c r="C3604" s="2">
        <v>41839</v>
      </c>
      <c r="D3604" s="1" t="s">
        <v>1992</v>
      </c>
      <c r="E3604" s="6">
        <v>2</v>
      </c>
      <c r="F3604" s="6" t="str">
        <f t="shared" si="112"/>
        <v>July</v>
      </c>
      <c r="G3604" s="6">
        <f t="shared" si="113"/>
        <v>29</v>
      </c>
      <c r="H3604" s="1">
        <f>SUMIF('Retal Tran Line Item'!E:E,A3604,'Retal Tran Line Item'!B:B)</f>
        <v>10</v>
      </c>
    </row>
    <row r="3605" spans="1:8">
      <c r="A3605" s="1">
        <v>104389</v>
      </c>
      <c r="B3605" s="1">
        <v>884368</v>
      </c>
      <c r="C3605" s="2">
        <v>41840</v>
      </c>
      <c r="D3605" s="1" t="s">
        <v>1993</v>
      </c>
      <c r="E3605" s="6">
        <v>1</v>
      </c>
      <c r="F3605" s="6" t="str">
        <f t="shared" si="112"/>
        <v>July</v>
      </c>
      <c r="G3605" s="6">
        <f t="shared" si="113"/>
        <v>30</v>
      </c>
      <c r="H3605" s="1">
        <f>SUMIF('Retal Tran Line Item'!E:E,A3605,'Retal Tran Line Item'!B:B)</f>
        <v>9</v>
      </c>
    </row>
    <row r="3606" spans="1:8">
      <c r="A3606" s="1">
        <v>104390</v>
      </c>
      <c r="B3606" s="1">
        <v>456457</v>
      </c>
      <c r="C3606" s="2">
        <v>41840</v>
      </c>
      <c r="D3606" s="1" t="s">
        <v>1993</v>
      </c>
      <c r="E3606" s="6">
        <v>1</v>
      </c>
      <c r="F3606" s="6" t="str">
        <f t="shared" si="112"/>
        <v>July</v>
      </c>
      <c r="G3606" s="6">
        <f t="shared" si="113"/>
        <v>30</v>
      </c>
      <c r="H3606" s="1">
        <f>SUMIF('Retal Tran Line Item'!E:E,A3606,'Retal Tran Line Item'!B:B)</f>
        <v>3</v>
      </c>
    </row>
    <row r="3607" spans="1:8">
      <c r="A3607" s="1">
        <v>104392</v>
      </c>
      <c r="B3607" s="1">
        <v>325263</v>
      </c>
      <c r="C3607" s="2">
        <v>41840</v>
      </c>
      <c r="D3607" s="1" t="s">
        <v>1993</v>
      </c>
      <c r="E3607" s="6">
        <v>1</v>
      </c>
      <c r="F3607" s="6" t="str">
        <f t="shared" si="112"/>
        <v>July</v>
      </c>
      <c r="G3607" s="6">
        <f t="shared" si="113"/>
        <v>30</v>
      </c>
      <c r="H3607" s="1">
        <f>SUMIF('Retal Tran Line Item'!E:E,A3607,'Retal Tran Line Item'!B:B)</f>
        <v>10</v>
      </c>
    </row>
    <row r="3608" spans="1:8">
      <c r="A3608" s="1">
        <v>104394</v>
      </c>
      <c r="B3608" s="1">
        <v>866847</v>
      </c>
      <c r="C3608" s="2">
        <v>41840</v>
      </c>
      <c r="D3608" s="1" t="s">
        <v>1992</v>
      </c>
      <c r="E3608" s="6">
        <v>1</v>
      </c>
      <c r="F3608" s="6" t="str">
        <f t="shared" si="112"/>
        <v>July</v>
      </c>
      <c r="G3608" s="6">
        <f t="shared" si="113"/>
        <v>30</v>
      </c>
      <c r="H3608" s="1">
        <f>SUMIF('Retal Tran Line Item'!E:E,A3608,'Retal Tran Line Item'!B:B)</f>
        <v>5</v>
      </c>
    </row>
    <row r="3609" spans="1:8">
      <c r="A3609" s="1">
        <v>104395</v>
      </c>
      <c r="B3609" s="1">
        <v>731346</v>
      </c>
      <c r="C3609" s="2">
        <v>41841</v>
      </c>
      <c r="D3609" s="1" t="s">
        <v>1992</v>
      </c>
      <c r="E3609" s="6">
        <v>2</v>
      </c>
      <c r="F3609" s="6" t="str">
        <f t="shared" si="112"/>
        <v>July</v>
      </c>
      <c r="G3609" s="6">
        <f t="shared" si="113"/>
        <v>30</v>
      </c>
      <c r="H3609" s="1">
        <f>SUMIF('Retal Tran Line Item'!E:E,A3609,'Retal Tran Line Item'!B:B)</f>
        <v>4</v>
      </c>
    </row>
    <row r="3610" spans="1:8">
      <c r="A3610" s="1">
        <v>104398</v>
      </c>
      <c r="B3610" s="1">
        <v>442691</v>
      </c>
      <c r="C3610" s="2">
        <v>41841</v>
      </c>
      <c r="D3610" s="1" t="s">
        <v>1992</v>
      </c>
      <c r="E3610" s="6">
        <v>2</v>
      </c>
      <c r="F3610" s="6" t="str">
        <f t="shared" si="112"/>
        <v>July</v>
      </c>
      <c r="G3610" s="6">
        <f t="shared" si="113"/>
        <v>30</v>
      </c>
      <c r="H3610" s="1">
        <f>SUMIF('Retal Tran Line Item'!E:E,A3610,'Retal Tran Line Item'!B:B)</f>
        <v>17</v>
      </c>
    </row>
    <row r="3611" spans="1:8">
      <c r="A3611" s="1">
        <v>104399</v>
      </c>
      <c r="B3611" s="1">
        <v>173380</v>
      </c>
      <c r="C3611" s="2">
        <v>41841</v>
      </c>
      <c r="D3611" s="1" t="s">
        <v>1993</v>
      </c>
      <c r="E3611" s="6">
        <v>2</v>
      </c>
      <c r="F3611" s="6" t="str">
        <f t="shared" si="112"/>
        <v>July</v>
      </c>
      <c r="G3611" s="6">
        <f t="shared" si="113"/>
        <v>30</v>
      </c>
      <c r="H3611" s="1">
        <f>SUMIF('Retal Tran Line Item'!E:E,A3611,'Retal Tran Line Item'!B:B)</f>
        <v>5</v>
      </c>
    </row>
    <row r="3612" spans="1:8">
      <c r="A3612" s="1">
        <v>104401</v>
      </c>
      <c r="B3612" s="1">
        <v>412544</v>
      </c>
      <c r="C3612" s="2">
        <v>41841</v>
      </c>
      <c r="D3612" s="1" t="s">
        <v>1993</v>
      </c>
      <c r="E3612" s="6">
        <v>1</v>
      </c>
      <c r="F3612" s="6" t="str">
        <f t="shared" si="112"/>
        <v>July</v>
      </c>
      <c r="G3612" s="6">
        <f t="shared" si="113"/>
        <v>30</v>
      </c>
      <c r="H3612" s="1">
        <f>SUMIF('Retal Tran Line Item'!E:E,A3612,'Retal Tran Line Item'!B:B)</f>
        <v>8</v>
      </c>
    </row>
    <row r="3613" spans="1:8">
      <c r="A3613" s="1">
        <v>104403</v>
      </c>
      <c r="B3613" s="1">
        <v>992895</v>
      </c>
      <c r="C3613" s="2">
        <v>41842</v>
      </c>
      <c r="D3613" s="1" t="s">
        <v>1993</v>
      </c>
      <c r="E3613" s="6">
        <v>2</v>
      </c>
      <c r="F3613" s="6" t="str">
        <f t="shared" si="112"/>
        <v>July</v>
      </c>
      <c r="G3613" s="6">
        <f t="shared" si="113"/>
        <v>30</v>
      </c>
      <c r="H3613" s="1">
        <f>SUMIF('Retal Tran Line Item'!E:E,A3613,'Retal Tran Line Item'!B:B)</f>
        <v>8</v>
      </c>
    </row>
    <row r="3614" spans="1:8">
      <c r="A3614" s="1">
        <v>104404</v>
      </c>
      <c r="B3614" s="1">
        <v>189953</v>
      </c>
      <c r="C3614" s="2">
        <v>41842</v>
      </c>
      <c r="D3614" s="1" t="s">
        <v>1992</v>
      </c>
      <c r="E3614" s="6">
        <v>1</v>
      </c>
      <c r="F3614" s="6" t="str">
        <f t="shared" si="112"/>
        <v>July</v>
      </c>
      <c r="G3614" s="6">
        <f t="shared" si="113"/>
        <v>30</v>
      </c>
      <c r="H3614" s="1">
        <f>SUMIF('Retal Tran Line Item'!E:E,A3614,'Retal Tran Line Item'!B:B)</f>
        <v>24</v>
      </c>
    </row>
    <row r="3615" spans="1:8">
      <c r="A3615" s="1">
        <v>104405</v>
      </c>
      <c r="B3615" s="1">
        <v>970794</v>
      </c>
      <c r="C3615" s="2">
        <v>41842</v>
      </c>
      <c r="D3615" s="1" t="s">
        <v>1993</v>
      </c>
      <c r="E3615" s="6">
        <v>1</v>
      </c>
      <c r="F3615" s="6" t="str">
        <f t="shared" si="112"/>
        <v>July</v>
      </c>
      <c r="G3615" s="6">
        <f t="shared" si="113"/>
        <v>30</v>
      </c>
      <c r="H3615" s="1">
        <f>SUMIF('Retal Tran Line Item'!E:E,A3615,'Retal Tran Line Item'!B:B)</f>
        <v>10</v>
      </c>
    </row>
    <row r="3616" spans="1:8">
      <c r="A3616" s="1">
        <v>104406</v>
      </c>
      <c r="B3616" s="1">
        <v>628132</v>
      </c>
      <c r="C3616" s="2">
        <v>41842</v>
      </c>
      <c r="D3616" s="1" t="s">
        <v>1992</v>
      </c>
      <c r="E3616" s="6">
        <v>1</v>
      </c>
      <c r="F3616" s="6" t="str">
        <f t="shared" si="112"/>
        <v>July</v>
      </c>
      <c r="G3616" s="6">
        <f t="shared" si="113"/>
        <v>30</v>
      </c>
      <c r="H3616" s="1">
        <f>SUMIF('Retal Tran Line Item'!E:E,A3616,'Retal Tran Line Item'!B:B)</f>
        <v>12</v>
      </c>
    </row>
    <row r="3617" spans="1:8">
      <c r="A3617" s="1">
        <v>104407</v>
      </c>
      <c r="B3617" s="1">
        <v>170500</v>
      </c>
      <c r="C3617" s="2">
        <v>41842</v>
      </c>
      <c r="D3617" s="1" t="s">
        <v>1989</v>
      </c>
      <c r="E3617" s="6">
        <v>2</v>
      </c>
      <c r="F3617" s="6" t="str">
        <f t="shared" si="112"/>
        <v>July</v>
      </c>
      <c r="G3617" s="6">
        <f t="shared" si="113"/>
        <v>30</v>
      </c>
      <c r="H3617" s="1">
        <f>SUMIF('Retal Tran Line Item'!E:E,A3617,'Retal Tran Line Item'!B:B)</f>
        <v>10</v>
      </c>
    </row>
    <row r="3618" spans="1:8">
      <c r="A3618" s="1">
        <v>104408</v>
      </c>
      <c r="B3618" s="1">
        <v>236554</v>
      </c>
      <c r="C3618" s="2">
        <v>41842</v>
      </c>
      <c r="D3618" s="1" t="s">
        <v>1993</v>
      </c>
      <c r="E3618" s="6">
        <v>1</v>
      </c>
      <c r="F3618" s="6" t="str">
        <f t="shared" si="112"/>
        <v>July</v>
      </c>
      <c r="G3618" s="6">
        <f t="shared" si="113"/>
        <v>30</v>
      </c>
      <c r="H3618" s="1">
        <f>SUMIF('Retal Tran Line Item'!E:E,A3618,'Retal Tran Line Item'!B:B)</f>
        <v>6</v>
      </c>
    </row>
    <row r="3619" spans="1:8">
      <c r="A3619" s="1">
        <v>104409</v>
      </c>
      <c r="B3619" s="1">
        <v>200272</v>
      </c>
      <c r="C3619" s="2">
        <v>41842</v>
      </c>
      <c r="D3619" s="1" t="s">
        <v>1992</v>
      </c>
      <c r="E3619" s="6">
        <v>1</v>
      </c>
      <c r="F3619" s="6" t="str">
        <f t="shared" si="112"/>
        <v>July</v>
      </c>
      <c r="G3619" s="6">
        <f t="shared" si="113"/>
        <v>30</v>
      </c>
      <c r="H3619" s="1">
        <f>SUMIF('Retal Tran Line Item'!E:E,A3619,'Retal Tran Line Item'!B:B)</f>
        <v>14</v>
      </c>
    </row>
    <row r="3620" spans="1:8">
      <c r="A3620" s="1">
        <v>104411</v>
      </c>
      <c r="B3620" s="1">
        <v>162236</v>
      </c>
      <c r="C3620" s="2">
        <v>41843</v>
      </c>
      <c r="D3620" s="1" t="s">
        <v>1992</v>
      </c>
      <c r="E3620" s="6">
        <v>2</v>
      </c>
      <c r="F3620" s="6" t="str">
        <f t="shared" si="112"/>
        <v>July</v>
      </c>
      <c r="G3620" s="6">
        <f t="shared" si="113"/>
        <v>30</v>
      </c>
      <c r="H3620" s="1">
        <f>SUMIF('Retal Tran Line Item'!E:E,A3620,'Retal Tran Line Item'!B:B)</f>
        <v>7</v>
      </c>
    </row>
    <row r="3621" spans="1:8">
      <c r="A3621" s="1">
        <v>104413</v>
      </c>
      <c r="B3621" s="1">
        <v>808177</v>
      </c>
      <c r="C3621" s="2">
        <v>41843</v>
      </c>
      <c r="D3621" s="1" t="s">
        <v>1993</v>
      </c>
      <c r="E3621" s="6">
        <v>1</v>
      </c>
      <c r="F3621" s="6" t="str">
        <f t="shared" si="112"/>
        <v>July</v>
      </c>
      <c r="G3621" s="6">
        <f t="shared" si="113"/>
        <v>30</v>
      </c>
      <c r="H3621" s="1">
        <f>SUMIF('Retal Tran Line Item'!E:E,A3621,'Retal Tran Line Item'!B:B)</f>
        <v>5</v>
      </c>
    </row>
    <row r="3622" spans="1:8">
      <c r="A3622" s="1">
        <v>104415</v>
      </c>
      <c r="B3622" s="1">
        <v>183797</v>
      </c>
      <c r="C3622" s="2">
        <v>41843</v>
      </c>
      <c r="D3622" s="1" t="s">
        <v>1993</v>
      </c>
      <c r="E3622" s="6">
        <v>1</v>
      </c>
      <c r="F3622" s="6" t="str">
        <f t="shared" si="112"/>
        <v>July</v>
      </c>
      <c r="G3622" s="6">
        <f t="shared" si="113"/>
        <v>30</v>
      </c>
      <c r="H3622" s="1">
        <f>SUMIF('Retal Tran Line Item'!E:E,A3622,'Retal Tran Line Item'!B:B)</f>
        <v>17</v>
      </c>
    </row>
    <row r="3623" spans="1:8">
      <c r="A3623" s="1">
        <v>104416</v>
      </c>
      <c r="B3623" s="1">
        <v>664934</v>
      </c>
      <c r="C3623" s="2">
        <v>41844</v>
      </c>
      <c r="D3623" s="1" t="s">
        <v>1994</v>
      </c>
      <c r="E3623" s="6">
        <v>2</v>
      </c>
      <c r="F3623" s="6" t="str">
        <f t="shared" si="112"/>
        <v>July</v>
      </c>
      <c r="G3623" s="6">
        <f t="shared" si="113"/>
        <v>30</v>
      </c>
      <c r="H3623" s="1">
        <f>SUMIF('Retal Tran Line Item'!E:E,A3623,'Retal Tran Line Item'!B:B)</f>
        <v>5</v>
      </c>
    </row>
    <row r="3624" spans="1:8">
      <c r="A3624" s="1">
        <v>104417</v>
      </c>
      <c r="B3624" s="1">
        <v>938417</v>
      </c>
      <c r="C3624" s="2">
        <v>41844</v>
      </c>
      <c r="D3624" s="1" t="s">
        <v>1992</v>
      </c>
      <c r="E3624" s="6">
        <v>2</v>
      </c>
      <c r="F3624" s="6" t="str">
        <f t="shared" si="112"/>
        <v>July</v>
      </c>
      <c r="G3624" s="6">
        <f t="shared" si="113"/>
        <v>30</v>
      </c>
      <c r="H3624" s="1">
        <f>SUMIF('Retal Tran Line Item'!E:E,A3624,'Retal Tran Line Item'!B:B)</f>
        <v>6</v>
      </c>
    </row>
    <row r="3625" spans="1:8">
      <c r="A3625" s="1">
        <v>104418</v>
      </c>
      <c r="B3625" s="1">
        <v>407605</v>
      </c>
      <c r="C3625" s="2">
        <v>41844</v>
      </c>
      <c r="D3625" s="1" t="s">
        <v>1994</v>
      </c>
      <c r="E3625" s="6">
        <v>2</v>
      </c>
      <c r="F3625" s="6" t="str">
        <f t="shared" si="112"/>
        <v>July</v>
      </c>
      <c r="G3625" s="6">
        <f t="shared" si="113"/>
        <v>30</v>
      </c>
      <c r="H3625" s="1">
        <f>SUMIF('Retal Tran Line Item'!E:E,A3625,'Retal Tran Line Item'!B:B)</f>
        <v>4</v>
      </c>
    </row>
    <row r="3626" spans="1:8">
      <c r="A3626" s="1">
        <v>104419</v>
      </c>
      <c r="B3626" s="1">
        <v>108708</v>
      </c>
      <c r="C3626" s="2">
        <v>41844</v>
      </c>
      <c r="D3626" s="1" t="s">
        <v>1992</v>
      </c>
      <c r="E3626" s="6">
        <v>2</v>
      </c>
      <c r="F3626" s="6" t="str">
        <f t="shared" si="112"/>
        <v>July</v>
      </c>
      <c r="G3626" s="6">
        <f t="shared" si="113"/>
        <v>30</v>
      </c>
      <c r="H3626" s="1">
        <f>SUMIF('Retal Tran Line Item'!E:E,A3626,'Retal Tran Line Item'!B:B)</f>
        <v>4</v>
      </c>
    </row>
    <row r="3627" spans="1:8">
      <c r="A3627" s="1">
        <v>104420</v>
      </c>
      <c r="B3627" s="1">
        <v>659695</v>
      </c>
      <c r="C3627" s="2">
        <v>41844</v>
      </c>
      <c r="D3627" s="1" t="s">
        <v>1992</v>
      </c>
      <c r="E3627" s="6">
        <v>1</v>
      </c>
      <c r="F3627" s="6" t="str">
        <f t="shared" si="112"/>
        <v>July</v>
      </c>
      <c r="G3627" s="6">
        <f t="shared" si="113"/>
        <v>30</v>
      </c>
      <c r="H3627" s="1">
        <f>SUMIF('Retal Tran Line Item'!E:E,A3627,'Retal Tran Line Item'!B:B)</f>
        <v>8</v>
      </c>
    </row>
    <row r="3628" spans="1:8">
      <c r="A3628" s="1">
        <v>104421</v>
      </c>
      <c r="B3628" s="1">
        <v>493552</v>
      </c>
      <c r="C3628" s="2">
        <v>41844</v>
      </c>
      <c r="D3628" s="1" t="s">
        <v>1994</v>
      </c>
      <c r="E3628" s="6">
        <v>1</v>
      </c>
      <c r="F3628" s="6" t="str">
        <f t="shared" si="112"/>
        <v>July</v>
      </c>
      <c r="G3628" s="6">
        <f t="shared" si="113"/>
        <v>30</v>
      </c>
      <c r="H3628" s="1">
        <f>SUMIF('Retal Tran Line Item'!E:E,A3628,'Retal Tran Line Item'!B:B)</f>
        <v>10</v>
      </c>
    </row>
    <row r="3629" spans="1:8">
      <c r="A3629" s="1">
        <v>104422</v>
      </c>
      <c r="B3629" s="1">
        <v>422951</v>
      </c>
      <c r="C3629" s="2">
        <v>41844</v>
      </c>
      <c r="D3629" s="1" t="s">
        <v>1994</v>
      </c>
      <c r="E3629" s="6">
        <v>2</v>
      </c>
      <c r="F3629" s="6" t="str">
        <f t="shared" si="112"/>
        <v>July</v>
      </c>
      <c r="G3629" s="6">
        <f t="shared" si="113"/>
        <v>30</v>
      </c>
      <c r="H3629" s="1">
        <f>SUMIF('Retal Tran Line Item'!E:E,A3629,'Retal Tran Line Item'!B:B)</f>
        <v>9</v>
      </c>
    </row>
    <row r="3630" spans="1:8">
      <c r="A3630" s="1">
        <v>104423</v>
      </c>
      <c r="B3630" s="1">
        <v>817274</v>
      </c>
      <c r="C3630" s="2">
        <v>41844</v>
      </c>
      <c r="D3630" s="1" t="s">
        <v>1994</v>
      </c>
      <c r="E3630" s="6">
        <v>1</v>
      </c>
      <c r="F3630" s="6" t="str">
        <f t="shared" si="112"/>
        <v>July</v>
      </c>
      <c r="G3630" s="6">
        <f t="shared" si="113"/>
        <v>30</v>
      </c>
      <c r="H3630" s="1">
        <f>SUMIF('Retal Tran Line Item'!E:E,A3630,'Retal Tran Line Item'!B:B)</f>
        <v>7</v>
      </c>
    </row>
    <row r="3631" spans="1:8">
      <c r="A3631" s="1">
        <v>104424</v>
      </c>
      <c r="B3631" s="1">
        <v>850952</v>
      </c>
      <c r="C3631" s="2">
        <v>41845</v>
      </c>
      <c r="D3631" s="1" t="s">
        <v>1993</v>
      </c>
      <c r="E3631" s="6">
        <v>1</v>
      </c>
      <c r="F3631" s="6" t="str">
        <f t="shared" si="112"/>
        <v>July</v>
      </c>
      <c r="G3631" s="6">
        <f t="shared" si="113"/>
        <v>30</v>
      </c>
      <c r="H3631" s="1">
        <f>SUMIF('Retal Tran Line Item'!E:E,A3631,'Retal Tran Line Item'!B:B)</f>
        <v>7</v>
      </c>
    </row>
    <row r="3632" spans="1:8">
      <c r="A3632" s="1">
        <v>104426</v>
      </c>
      <c r="B3632" s="1">
        <v>196068</v>
      </c>
      <c r="C3632" s="2">
        <v>41845</v>
      </c>
      <c r="D3632" s="1" t="s">
        <v>1993</v>
      </c>
      <c r="E3632" s="6">
        <v>1</v>
      </c>
      <c r="F3632" s="6" t="str">
        <f t="shared" si="112"/>
        <v>July</v>
      </c>
      <c r="G3632" s="6">
        <f t="shared" si="113"/>
        <v>30</v>
      </c>
      <c r="H3632" s="1">
        <f>SUMIF('Retal Tran Line Item'!E:E,A3632,'Retal Tran Line Item'!B:B)</f>
        <v>2</v>
      </c>
    </row>
    <row r="3633" spans="1:8">
      <c r="A3633" s="1">
        <v>104427</v>
      </c>
      <c r="B3633" s="1">
        <v>722547</v>
      </c>
      <c r="C3633" s="2">
        <v>41845</v>
      </c>
      <c r="D3633" s="1" t="s">
        <v>1994</v>
      </c>
      <c r="E3633" s="6">
        <v>2</v>
      </c>
      <c r="F3633" s="6" t="str">
        <f t="shared" si="112"/>
        <v>July</v>
      </c>
      <c r="G3633" s="6">
        <f t="shared" si="113"/>
        <v>30</v>
      </c>
      <c r="H3633" s="1">
        <f>SUMIF('Retal Tran Line Item'!E:E,A3633,'Retal Tran Line Item'!B:B)</f>
        <v>7</v>
      </c>
    </row>
    <row r="3634" spans="1:8">
      <c r="A3634" s="1">
        <v>104430</v>
      </c>
      <c r="B3634" s="1">
        <v>994185</v>
      </c>
      <c r="C3634" s="2">
        <v>41845</v>
      </c>
      <c r="D3634" s="1" t="s">
        <v>1992</v>
      </c>
      <c r="E3634" s="6">
        <v>2</v>
      </c>
      <c r="F3634" s="6" t="str">
        <f t="shared" si="112"/>
        <v>July</v>
      </c>
      <c r="G3634" s="6">
        <f t="shared" si="113"/>
        <v>30</v>
      </c>
      <c r="H3634" s="1">
        <f>SUMIF('Retal Tran Line Item'!E:E,A3634,'Retal Tran Line Item'!B:B)</f>
        <v>3</v>
      </c>
    </row>
    <row r="3635" spans="1:8">
      <c r="A3635" s="1">
        <v>104431</v>
      </c>
      <c r="B3635" s="1">
        <v>116690</v>
      </c>
      <c r="C3635" s="2">
        <v>41845</v>
      </c>
      <c r="D3635" s="1" t="s">
        <v>1992</v>
      </c>
      <c r="E3635" s="6">
        <v>2</v>
      </c>
      <c r="F3635" s="6" t="str">
        <f t="shared" si="112"/>
        <v>July</v>
      </c>
      <c r="G3635" s="6">
        <f t="shared" si="113"/>
        <v>30</v>
      </c>
      <c r="H3635" s="1">
        <f>SUMIF('Retal Tran Line Item'!E:E,A3635,'Retal Tran Line Item'!B:B)</f>
        <v>9</v>
      </c>
    </row>
    <row r="3636" spans="1:8">
      <c r="A3636" s="1">
        <v>104432</v>
      </c>
      <c r="B3636" s="1">
        <v>405671</v>
      </c>
      <c r="C3636" s="2">
        <v>41846</v>
      </c>
      <c r="D3636" s="1" t="s">
        <v>1989</v>
      </c>
      <c r="E3636" s="6">
        <v>2</v>
      </c>
      <c r="F3636" s="6" t="str">
        <f t="shared" si="112"/>
        <v>July</v>
      </c>
      <c r="G3636" s="6">
        <f t="shared" si="113"/>
        <v>30</v>
      </c>
      <c r="H3636" s="1">
        <f>SUMIF('Retal Tran Line Item'!E:E,A3636,'Retal Tran Line Item'!B:B)</f>
        <v>1</v>
      </c>
    </row>
    <row r="3637" spans="1:8">
      <c r="A3637" s="1">
        <v>104433</v>
      </c>
      <c r="B3637" s="1">
        <v>951701</v>
      </c>
      <c r="C3637" s="2">
        <v>41846</v>
      </c>
      <c r="D3637" s="1" t="s">
        <v>1989</v>
      </c>
      <c r="E3637" s="6">
        <v>1</v>
      </c>
      <c r="F3637" s="6" t="str">
        <f t="shared" si="112"/>
        <v>July</v>
      </c>
      <c r="G3637" s="6">
        <f t="shared" si="113"/>
        <v>30</v>
      </c>
      <c r="H3637" s="1">
        <f>SUMIF('Retal Tran Line Item'!E:E,A3637,'Retal Tran Line Item'!B:B)</f>
        <v>9</v>
      </c>
    </row>
    <row r="3638" spans="1:8">
      <c r="A3638" s="1">
        <v>104434</v>
      </c>
      <c r="B3638" s="1">
        <v>242720</v>
      </c>
      <c r="C3638" s="2">
        <v>41846</v>
      </c>
      <c r="D3638" s="1" t="s">
        <v>1989</v>
      </c>
      <c r="E3638" s="6">
        <v>1</v>
      </c>
      <c r="F3638" s="6" t="str">
        <f t="shared" si="112"/>
        <v>July</v>
      </c>
      <c r="G3638" s="6">
        <f t="shared" si="113"/>
        <v>30</v>
      </c>
      <c r="H3638" s="1">
        <f>SUMIF('Retal Tran Line Item'!E:E,A3638,'Retal Tran Line Item'!B:B)</f>
        <v>5</v>
      </c>
    </row>
    <row r="3639" spans="1:8">
      <c r="A3639" s="1">
        <v>104435</v>
      </c>
      <c r="B3639" s="1">
        <v>793987</v>
      </c>
      <c r="C3639" s="2">
        <v>41846</v>
      </c>
      <c r="D3639" s="1" t="s">
        <v>1994</v>
      </c>
      <c r="E3639" s="6">
        <v>2</v>
      </c>
      <c r="F3639" s="6" t="str">
        <f t="shared" si="112"/>
        <v>July</v>
      </c>
      <c r="G3639" s="6">
        <f t="shared" si="113"/>
        <v>30</v>
      </c>
      <c r="H3639" s="1">
        <f>SUMIF('Retal Tran Line Item'!E:E,A3639,'Retal Tran Line Item'!B:B)</f>
        <v>3</v>
      </c>
    </row>
    <row r="3640" spans="1:8">
      <c r="A3640" s="1">
        <v>104436</v>
      </c>
      <c r="B3640" s="1">
        <v>371731</v>
      </c>
      <c r="C3640" s="2">
        <v>41846</v>
      </c>
      <c r="D3640" s="1" t="s">
        <v>1993</v>
      </c>
      <c r="E3640" s="6">
        <v>1</v>
      </c>
      <c r="F3640" s="6" t="str">
        <f t="shared" si="112"/>
        <v>July</v>
      </c>
      <c r="G3640" s="6">
        <f t="shared" si="113"/>
        <v>30</v>
      </c>
      <c r="H3640" s="1">
        <f>SUMIF('Retal Tran Line Item'!E:E,A3640,'Retal Tran Line Item'!B:B)</f>
        <v>12</v>
      </c>
    </row>
    <row r="3641" spans="1:8">
      <c r="A3641" s="1">
        <v>104437</v>
      </c>
      <c r="B3641" s="1">
        <v>193914</v>
      </c>
      <c r="C3641" s="2">
        <v>41846</v>
      </c>
      <c r="D3641" s="1" t="s">
        <v>1992</v>
      </c>
      <c r="E3641" s="6">
        <v>2</v>
      </c>
      <c r="F3641" s="6" t="str">
        <f t="shared" si="112"/>
        <v>July</v>
      </c>
      <c r="G3641" s="6">
        <f t="shared" si="113"/>
        <v>30</v>
      </c>
      <c r="H3641" s="1">
        <f>SUMIF('Retal Tran Line Item'!E:E,A3641,'Retal Tran Line Item'!B:B)</f>
        <v>8</v>
      </c>
    </row>
    <row r="3642" spans="1:8">
      <c r="A3642" s="1">
        <v>104438</v>
      </c>
      <c r="B3642" s="1">
        <v>245577</v>
      </c>
      <c r="C3642" s="2">
        <v>41846</v>
      </c>
      <c r="D3642" s="1" t="s">
        <v>1989</v>
      </c>
      <c r="E3642" s="6">
        <v>2</v>
      </c>
      <c r="F3642" s="6" t="str">
        <f t="shared" si="112"/>
        <v>July</v>
      </c>
      <c r="G3642" s="6">
        <f t="shared" si="113"/>
        <v>30</v>
      </c>
      <c r="H3642" s="1">
        <f>SUMIF('Retal Tran Line Item'!E:E,A3642,'Retal Tran Line Item'!B:B)</f>
        <v>10</v>
      </c>
    </row>
    <row r="3643" spans="1:8">
      <c r="A3643" s="1">
        <v>104439</v>
      </c>
      <c r="B3643" s="1">
        <v>767570</v>
      </c>
      <c r="C3643" s="2">
        <v>41846</v>
      </c>
      <c r="D3643" s="1" t="s">
        <v>1993</v>
      </c>
      <c r="E3643" s="6">
        <v>2</v>
      </c>
      <c r="F3643" s="6" t="str">
        <f t="shared" si="112"/>
        <v>July</v>
      </c>
      <c r="G3643" s="6">
        <f t="shared" si="113"/>
        <v>30</v>
      </c>
      <c r="H3643" s="1">
        <f>SUMIF('Retal Tran Line Item'!E:E,A3643,'Retal Tran Line Item'!B:B)</f>
        <v>6</v>
      </c>
    </row>
    <row r="3644" spans="1:8">
      <c r="A3644" s="1">
        <v>104440</v>
      </c>
      <c r="B3644" s="1">
        <v>271531</v>
      </c>
      <c r="C3644" s="2">
        <v>41847</v>
      </c>
      <c r="D3644" s="1" t="s">
        <v>1993</v>
      </c>
      <c r="E3644" s="6">
        <v>2</v>
      </c>
      <c r="F3644" s="6" t="str">
        <f t="shared" si="112"/>
        <v>July</v>
      </c>
      <c r="G3644" s="6">
        <f t="shared" si="113"/>
        <v>31</v>
      </c>
      <c r="H3644" s="1">
        <f>SUMIF('Retal Tran Line Item'!E:E,A3644,'Retal Tran Line Item'!B:B)</f>
        <v>8</v>
      </c>
    </row>
    <row r="3645" spans="1:8">
      <c r="A3645" s="1">
        <v>104442</v>
      </c>
      <c r="B3645" s="1">
        <v>390130</v>
      </c>
      <c r="C3645" s="2">
        <v>41847</v>
      </c>
      <c r="D3645" s="1" t="s">
        <v>1993</v>
      </c>
      <c r="E3645" s="6">
        <v>2</v>
      </c>
      <c r="F3645" s="6" t="str">
        <f t="shared" si="112"/>
        <v>July</v>
      </c>
      <c r="G3645" s="6">
        <f t="shared" si="113"/>
        <v>31</v>
      </c>
      <c r="H3645" s="1">
        <f>SUMIF('Retal Tran Line Item'!E:E,A3645,'Retal Tran Line Item'!B:B)</f>
        <v>8</v>
      </c>
    </row>
    <row r="3646" spans="1:8">
      <c r="A3646" s="1">
        <v>104446</v>
      </c>
      <c r="B3646" s="1">
        <v>742620</v>
      </c>
      <c r="C3646" s="2">
        <v>41847</v>
      </c>
      <c r="D3646" s="1" t="s">
        <v>1992</v>
      </c>
      <c r="E3646" s="6">
        <v>2</v>
      </c>
      <c r="F3646" s="6" t="str">
        <f t="shared" si="112"/>
        <v>July</v>
      </c>
      <c r="G3646" s="6">
        <f t="shared" si="113"/>
        <v>31</v>
      </c>
      <c r="H3646" s="1">
        <f>SUMIF('Retal Tran Line Item'!E:E,A3646,'Retal Tran Line Item'!B:B)</f>
        <v>7</v>
      </c>
    </row>
    <row r="3647" spans="1:8">
      <c r="A3647" s="1">
        <v>104448</v>
      </c>
      <c r="B3647" s="1">
        <v>253106</v>
      </c>
      <c r="C3647" s="2">
        <v>41848</v>
      </c>
      <c r="D3647" s="1" t="s">
        <v>1989</v>
      </c>
      <c r="E3647" s="6">
        <v>2</v>
      </c>
      <c r="F3647" s="6" t="str">
        <f t="shared" si="112"/>
        <v>July</v>
      </c>
      <c r="G3647" s="6">
        <f t="shared" si="113"/>
        <v>31</v>
      </c>
      <c r="H3647" s="1">
        <f>SUMIF('Retal Tran Line Item'!E:E,A3647,'Retal Tran Line Item'!B:B)</f>
        <v>5</v>
      </c>
    </row>
    <row r="3648" spans="1:8">
      <c r="A3648" s="1">
        <v>104450</v>
      </c>
      <c r="B3648" s="1">
        <v>347659</v>
      </c>
      <c r="C3648" s="2">
        <v>41848</v>
      </c>
      <c r="D3648" s="1" t="s">
        <v>1992</v>
      </c>
      <c r="E3648" s="6">
        <v>2</v>
      </c>
      <c r="F3648" s="6" t="str">
        <f t="shared" si="112"/>
        <v>July</v>
      </c>
      <c r="G3648" s="6">
        <f t="shared" si="113"/>
        <v>31</v>
      </c>
      <c r="H3648" s="1">
        <f>SUMIF('Retal Tran Line Item'!E:E,A3648,'Retal Tran Line Item'!B:B)</f>
        <v>9</v>
      </c>
    </row>
    <row r="3649" spans="1:8">
      <c r="A3649" s="1">
        <v>104451</v>
      </c>
      <c r="B3649" s="1">
        <v>534481</v>
      </c>
      <c r="C3649" s="2">
        <v>41848</v>
      </c>
      <c r="D3649" s="1" t="s">
        <v>1993</v>
      </c>
      <c r="E3649" s="6">
        <v>2</v>
      </c>
      <c r="F3649" s="6" t="str">
        <f t="shared" si="112"/>
        <v>July</v>
      </c>
      <c r="G3649" s="6">
        <f t="shared" si="113"/>
        <v>31</v>
      </c>
      <c r="H3649" s="1">
        <f>SUMIF('Retal Tran Line Item'!E:E,A3649,'Retal Tran Line Item'!B:B)</f>
        <v>9</v>
      </c>
    </row>
    <row r="3650" spans="1:8">
      <c r="A3650" s="1">
        <v>104452</v>
      </c>
      <c r="B3650" s="1">
        <v>207846</v>
      </c>
      <c r="C3650" s="2">
        <v>41848</v>
      </c>
      <c r="D3650" s="1" t="s">
        <v>1993</v>
      </c>
      <c r="E3650" s="6">
        <v>1</v>
      </c>
      <c r="F3650" s="6" t="str">
        <f t="shared" si="112"/>
        <v>July</v>
      </c>
      <c r="G3650" s="6">
        <f t="shared" si="113"/>
        <v>31</v>
      </c>
      <c r="H3650" s="1">
        <f>SUMIF('Retal Tran Line Item'!E:E,A3650,'Retal Tran Line Item'!B:B)</f>
        <v>10</v>
      </c>
    </row>
    <row r="3651" spans="1:8">
      <c r="A3651" s="1">
        <v>104454</v>
      </c>
      <c r="B3651" s="1">
        <v>927518</v>
      </c>
      <c r="C3651" s="2">
        <v>41848</v>
      </c>
      <c r="D3651" s="1" t="s">
        <v>1993</v>
      </c>
      <c r="E3651" s="6">
        <v>1</v>
      </c>
      <c r="F3651" s="6" t="str">
        <f t="shared" ref="F3651:F3714" si="114">TEXT(C3651,"MMMM")</f>
        <v>July</v>
      </c>
      <c r="G3651" s="6">
        <f t="shared" ref="G3651:G3714" si="115">WEEKNUM(C3651)</f>
        <v>31</v>
      </c>
      <c r="H3651" s="1">
        <f>SUMIF('Retal Tran Line Item'!E:E,A3651,'Retal Tran Line Item'!B:B)</f>
        <v>5</v>
      </c>
    </row>
    <row r="3652" spans="1:8">
      <c r="A3652" s="1">
        <v>104455</v>
      </c>
      <c r="B3652" s="1">
        <v>556152</v>
      </c>
      <c r="C3652" s="2">
        <v>41848</v>
      </c>
      <c r="D3652" s="1" t="s">
        <v>1993</v>
      </c>
      <c r="E3652" s="6">
        <v>2</v>
      </c>
      <c r="F3652" s="6" t="str">
        <f t="shared" si="114"/>
        <v>July</v>
      </c>
      <c r="G3652" s="6">
        <f t="shared" si="115"/>
        <v>31</v>
      </c>
      <c r="H3652" s="1">
        <f>SUMIF('Retal Tran Line Item'!E:E,A3652,'Retal Tran Line Item'!B:B)</f>
        <v>5</v>
      </c>
    </row>
    <row r="3653" spans="1:8">
      <c r="A3653" s="1">
        <v>104456</v>
      </c>
      <c r="B3653" s="1">
        <v>719921</v>
      </c>
      <c r="C3653" s="2">
        <v>41849</v>
      </c>
      <c r="D3653" s="1" t="s">
        <v>1993</v>
      </c>
      <c r="E3653" s="6">
        <v>1</v>
      </c>
      <c r="F3653" s="6" t="str">
        <f t="shared" si="114"/>
        <v>July</v>
      </c>
      <c r="G3653" s="6">
        <f t="shared" si="115"/>
        <v>31</v>
      </c>
      <c r="H3653" s="1">
        <f>SUMIF('Retal Tran Line Item'!E:E,A3653,'Retal Tran Line Item'!B:B)</f>
        <v>9</v>
      </c>
    </row>
    <row r="3654" spans="1:8">
      <c r="A3654" s="1">
        <v>104457</v>
      </c>
      <c r="B3654" s="1">
        <v>694281</v>
      </c>
      <c r="C3654" s="2">
        <v>41849</v>
      </c>
      <c r="D3654" s="1" t="s">
        <v>1989</v>
      </c>
      <c r="E3654" s="6">
        <v>2</v>
      </c>
      <c r="F3654" s="6" t="str">
        <f t="shared" si="114"/>
        <v>July</v>
      </c>
      <c r="G3654" s="6">
        <f t="shared" si="115"/>
        <v>31</v>
      </c>
      <c r="H3654" s="1">
        <f>SUMIF('Retal Tran Line Item'!E:E,A3654,'Retal Tran Line Item'!B:B)</f>
        <v>6</v>
      </c>
    </row>
    <row r="3655" spans="1:8">
      <c r="A3655" s="1">
        <v>104458</v>
      </c>
      <c r="B3655" s="1">
        <v>556152</v>
      </c>
      <c r="C3655" s="2">
        <v>41849</v>
      </c>
      <c r="D3655" s="1" t="s">
        <v>1993</v>
      </c>
      <c r="E3655" s="6">
        <v>1</v>
      </c>
      <c r="F3655" s="6" t="str">
        <f t="shared" si="114"/>
        <v>July</v>
      </c>
      <c r="G3655" s="6">
        <f t="shared" si="115"/>
        <v>31</v>
      </c>
      <c r="H3655" s="1">
        <f>SUMIF('Retal Tran Line Item'!E:E,A3655,'Retal Tran Line Item'!B:B)</f>
        <v>10</v>
      </c>
    </row>
    <row r="3656" spans="1:8">
      <c r="A3656" s="1">
        <v>104459</v>
      </c>
      <c r="B3656" s="1">
        <v>366695</v>
      </c>
      <c r="C3656" s="2">
        <v>41849</v>
      </c>
      <c r="D3656" s="1" t="s">
        <v>1992</v>
      </c>
      <c r="E3656" s="6">
        <v>2</v>
      </c>
      <c r="F3656" s="6" t="str">
        <f t="shared" si="114"/>
        <v>July</v>
      </c>
      <c r="G3656" s="6">
        <f t="shared" si="115"/>
        <v>31</v>
      </c>
      <c r="H3656" s="1">
        <f>SUMIF('Retal Tran Line Item'!E:E,A3656,'Retal Tran Line Item'!B:B)</f>
        <v>6</v>
      </c>
    </row>
    <row r="3657" spans="1:8">
      <c r="A3657" s="1">
        <v>104460</v>
      </c>
      <c r="B3657" s="1">
        <v>657736</v>
      </c>
      <c r="C3657" s="2">
        <v>41849</v>
      </c>
      <c r="D3657" s="1" t="s">
        <v>1993</v>
      </c>
      <c r="E3657" s="6">
        <v>1</v>
      </c>
      <c r="F3657" s="6" t="str">
        <f t="shared" si="114"/>
        <v>July</v>
      </c>
      <c r="G3657" s="6">
        <f t="shared" si="115"/>
        <v>31</v>
      </c>
      <c r="H3657" s="1">
        <f>SUMIF('Retal Tran Line Item'!E:E,A3657,'Retal Tran Line Item'!B:B)</f>
        <v>8</v>
      </c>
    </row>
    <row r="3658" spans="1:8">
      <c r="A3658" s="1">
        <v>104462</v>
      </c>
      <c r="B3658" s="1">
        <v>331115</v>
      </c>
      <c r="C3658" s="2">
        <v>41849</v>
      </c>
      <c r="D3658" s="1" t="s">
        <v>1989</v>
      </c>
      <c r="E3658" s="6">
        <v>1</v>
      </c>
      <c r="F3658" s="6" t="str">
        <f t="shared" si="114"/>
        <v>July</v>
      </c>
      <c r="G3658" s="6">
        <f t="shared" si="115"/>
        <v>31</v>
      </c>
      <c r="H3658" s="1">
        <f>SUMIF('Retal Tran Line Item'!E:E,A3658,'Retal Tran Line Item'!B:B)</f>
        <v>7</v>
      </c>
    </row>
    <row r="3659" spans="1:8">
      <c r="A3659" s="1">
        <v>104463</v>
      </c>
      <c r="B3659" s="1">
        <v>739393</v>
      </c>
      <c r="C3659" s="2">
        <v>41849</v>
      </c>
      <c r="D3659" s="1" t="s">
        <v>1993</v>
      </c>
      <c r="E3659" s="6">
        <v>1</v>
      </c>
      <c r="F3659" s="6" t="str">
        <f t="shared" si="114"/>
        <v>July</v>
      </c>
      <c r="G3659" s="6">
        <f t="shared" si="115"/>
        <v>31</v>
      </c>
      <c r="H3659" s="1">
        <f>SUMIF('Retal Tran Line Item'!E:E,A3659,'Retal Tran Line Item'!B:B)</f>
        <v>9</v>
      </c>
    </row>
    <row r="3660" spans="1:8">
      <c r="A3660" s="1">
        <v>104466</v>
      </c>
      <c r="B3660" s="1">
        <v>981529</v>
      </c>
      <c r="C3660" s="2">
        <v>41850</v>
      </c>
      <c r="D3660" s="1" t="s">
        <v>1989</v>
      </c>
      <c r="E3660" s="6">
        <v>1</v>
      </c>
      <c r="F3660" s="6" t="str">
        <f t="shared" si="114"/>
        <v>July</v>
      </c>
      <c r="G3660" s="6">
        <f t="shared" si="115"/>
        <v>31</v>
      </c>
      <c r="H3660" s="1">
        <f>SUMIF('Retal Tran Line Item'!E:E,A3660,'Retal Tran Line Item'!B:B)</f>
        <v>6</v>
      </c>
    </row>
    <row r="3661" spans="1:8">
      <c r="A3661" s="1">
        <v>104467</v>
      </c>
      <c r="B3661" s="1">
        <v>308505</v>
      </c>
      <c r="C3661" s="2">
        <v>41850</v>
      </c>
      <c r="D3661" s="1" t="s">
        <v>1993</v>
      </c>
      <c r="E3661" s="6">
        <v>2</v>
      </c>
      <c r="F3661" s="6" t="str">
        <f t="shared" si="114"/>
        <v>July</v>
      </c>
      <c r="G3661" s="6">
        <f t="shared" si="115"/>
        <v>31</v>
      </c>
      <c r="H3661" s="1">
        <f>SUMIF('Retal Tran Line Item'!E:E,A3661,'Retal Tran Line Item'!B:B)</f>
        <v>10</v>
      </c>
    </row>
    <row r="3662" spans="1:8">
      <c r="A3662" s="1">
        <v>104468</v>
      </c>
      <c r="B3662" s="1">
        <v>866847</v>
      </c>
      <c r="C3662" s="2">
        <v>41850</v>
      </c>
      <c r="D3662" s="1" t="s">
        <v>1992</v>
      </c>
      <c r="E3662" s="6">
        <v>2</v>
      </c>
      <c r="F3662" s="6" t="str">
        <f t="shared" si="114"/>
        <v>July</v>
      </c>
      <c r="G3662" s="6">
        <f t="shared" si="115"/>
        <v>31</v>
      </c>
      <c r="H3662" s="1">
        <f>SUMIF('Retal Tran Line Item'!E:E,A3662,'Retal Tran Line Item'!B:B)</f>
        <v>7</v>
      </c>
    </row>
    <row r="3663" spans="1:8">
      <c r="A3663" s="1">
        <v>104469</v>
      </c>
      <c r="B3663" s="1">
        <v>454015</v>
      </c>
      <c r="C3663" s="2">
        <v>41850</v>
      </c>
      <c r="D3663" s="1" t="s">
        <v>1993</v>
      </c>
      <c r="E3663" s="6">
        <v>1</v>
      </c>
      <c r="F3663" s="6" t="str">
        <f t="shared" si="114"/>
        <v>July</v>
      </c>
      <c r="G3663" s="6">
        <f t="shared" si="115"/>
        <v>31</v>
      </c>
      <c r="H3663" s="1">
        <f>SUMIF('Retal Tran Line Item'!E:E,A3663,'Retal Tran Line Item'!B:B)</f>
        <v>6</v>
      </c>
    </row>
    <row r="3664" spans="1:8">
      <c r="A3664" s="1">
        <v>104471</v>
      </c>
      <c r="B3664" s="1">
        <v>622506</v>
      </c>
      <c r="C3664" s="2">
        <v>41850</v>
      </c>
      <c r="D3664" s="1" t="s">
        <v>1993</v>
      </c>
      <c r="E3664" s="6">
        <v>1</v>
      </c>
      <c r="F3664" s="6" t="str">
        <f t="shared" si="114"/>
        <v>July</v>
      </c>
      <c r="G3664" s="6">
        <f t="shared" si="115"/>
        <v>31</v>
      </c>
      <c r="H3664" s="1">
        <f>SUMIF('Retal Tran Line Item'!E:E,A3664,'Retal Tran Line Item'!B:B)</f>
        <v>3</v>
      </c>
    </row>
    <row r="3665" spans="1:8">
      <c r="A3665" s="1">
        <v>104472</v>
      </c>
      <c r="B3665" s="1">
        <v>744780</v>
      </c>
      <c r="C3665" s="2">
        <v>41851</v>
      </c>
      <c r="D3665" s="1" t="s">
        <v>1994</v>
      </c>
      <c r="E3665" s="6">
        <v>1</v>
      </c>
      <c r="F3665" s="6" t="str">
        <f t="shared" si="114"/>
        <v>July</v>
      </c>
      <c r="G3665" s="6">
        <f t="shared" si="115"/>
        <v>31</v>
      </c>
      <c r="H3665" s="1">
        <f>SUMIF('Retal Tran Line Item'!E:E,A3665,'Retal Tran Line Item'!B:B)</f>
        <v>1</v>
      </c>
    </row>
    <row r="3666" spans="1:8">
      <c r="A3666" s="1">
        <v>104473</v>
      </c>
      <c r="B3666" s="1">
        <v>924361</v>
      </c>
      <c r="C3666" s="2">
        <v>41851</v>
      </c>
      <c r="D3666" s="1" t="s">
        <v>1993</v>
      </c>
      <c r="E3666" s="6">
        <v>2</v>
      </c>
      <c r="F3666" s="6" t="str">
        <f t="shared" si="114"/>
        <v>July</v>
      </c>
      <c r="G3666" s="6">
        <f t="shared" si="115"/>
        <v>31</v>
      </c>
      <c r="H3666" s="1">
        <f>SUMIF('Retal Tran Line Item'!E:E,A3666,'Retal Tran Line Item'!B:B)</f>
        <v>4</v>
      </c>
    </row>
    <row r="3667" spans="1:8">
      <c r="A3667" s="1">
        <v>104475</v>
      </c>
      <c r="B3667" s="1">
        <v>386950</v>
      </c>
      <c r="C3667" s="2">
        <v>41851</v>
      </c>
      <c r="D3667" s="1" t="s">
        <v>1992</v>
      </c>
      <c r="E3667" s="6">
        <v>1</v>
      </c>
      <c r="F3667" s="6" t="str">
        <f t="shared" si="114"/>
        <v>July</v>
      </c>
      <c r="G3667" s="6">
        <f t="shared" si="115"/>
        <v>31</v>
      </c>
      <c r="H3667" s="1">
        <f>SUMIF('Retal Tran Line Item'!E:E,A3667,'Retal Tran Line Item'!B:B)</f>
        <v>7</v>
      </c>
    </row>
    <row r="3668" spans="1:8">
      <c r="A3668" s="1">
        <v>104476</v>
      </c>
      <c r="B3668" s="1">
        <v>926144</v>
      </c>
      <c r="C3668" s="2">
        <v>41851</v>
      </c>
      <c r="D3668" s="1" t="s">
        <v>1993</v>
      </c>
      <c r="E3668" s="6">
        <v>1</v>
      </c>
      <c r="F3668" s="6" t="str">
        <f t="shared" si="114"/>
        <v>July</v>
      </c>
      <c r="G3668" s="6">
        <f t="shared" si="115"/>
        <v>31</v>
      </c>
      <c r="H3668" s="1">
        <f>SUMIF('Retal Tran Line Item'!E:E,A3668,'Retal Tran Line Item'!B:B)</f>
        <v>6</v>
      </c>
    </row>
    <row r="3669" spans="1:8">
      <c r="A3669" s="1">
        <v>104480</v>
      </c>
      <c r="B3669" s="1">
        <v>556619</v>
      </c>
      <c r="C3669" s="2">
        <v>41852</v>
      </c>
      <c r="D3669" s="1" t="s">
        <v>1992</v>
      </c>
      <c r="E3669" s="6">
        <v>1</v>
      </c>
      <c r="F3669" s="6" t="str">
        <f t="shared" si="114"/>
        <v>August</v>
      </c>
      <c r="G3669" s="6">
        <f t="shared" si="115"/>
        <v>31</v>
      </c>
      <c r="H3669" s="1">
        <f>SUMIF('Retal Tran Line Item'!E:E,A3669,'Retal Tran Line Item'!B:B)</f>
        <v>3</v>
      </c>
    </row>
    <row r="3670" spans="1:8">
      <c r="A3670" s="1">
        <v>104482</v>
      </c>
      <c r="B3670" s="1">
        <v>278204</v>
      </c>
      <c r="C3670" s="2">
        <v>41852</v>
      </c>
      <c r="D3670" s="1" t="s">
        <v>1993</v>
      </c>
      <c r="E3670" s="6">
        <v>1</v>
      </c>
      <c r="F3670" s="6" t="str">
        <f t="shared" si="114"/>
        <v>August</v>
      </c>
      <c r="G3670" s="6">
        <f t="shared" si="115"/>
        <v>31</v>
      </c>
      <c r="H3670" s="1">
        <f>SUMIF('Retal Tran Line Item'!E:E,A3670,'Retal Tran Line Item'!B:B)</f>
        <v>9</v>
      </c>
    </row>
    <row r="3671" spans="1:8">
      <c r="A3671" s="1">
        <v>104486</v>
      </c>
      <c r="B3671" s="1">
        <v>310195</v>
      </c>
      <c r="C3671" s="2">
        <v>41852</v>
      </c>
      <c r="D3671" s="1" t="s">
        <v>1993</v>
      </c>
      <c r="E3671" s="6">
        <v>1</v>
      </c>
      <c r="F3671" s="6" t="str">
        <f t="shared" si="114"/>
        <v>August</v>
      </c>
      <c r="G3671" s="6">
        <f t="shared" si="115"/>
        <v>31</v>
      </c>
      <c r="H3671" s="1">
        <f>SUMIF('Retal Tran Line Item'!E:E,A3671,'Retal Tran Line Item'!B:B)</f>
        <v>9</v>
      </c>
    </row>
    <row r="3672" spans="1:8">
      <c r="A3672" s="1">
        <v>104488</v>
      </c>
      <c r="B3672" s="1">
        <v>161942</v>
      </c>
      <c r="C3672" s="2">
        <v>41853</v>
      </c>
      <c r="D3672" s="1" t="s">
        <v>1993</v>
      </c>
      <c r="E3672" s="6">
        <v>1</v>
      </c>
      <c r="F3672" s="6" t="str">
        <f t="shared" si="114"/>
        <v>August</v>
      </c>
      <c r="G3672" s="6">
        <f t="shared" si="115"/>
        <v>31</v>
      </c>
      <c r="H3672" s="1">
        <f>SUMIF('Retal Tran Line Item'!E:E,A3672,'Retal Tran Line Item'!B:B)</f>
        <v>2</v>
      </c>
    </row>
    <row r="3673" spans="1:8">
      <c r="A3673" s="1">
        <v>104492</v>
      </c>
      <c r="B3673" s="1">
        <v>111486</v>
      </c>
      <c r="C3673" s="2">
        <v>41853</v>
      </c>
      <c r="D3673" s="1" t="s">
        <v>1993</v>
      </c>
      <c r="E3673" s="6">
        <v>2</v>
      </c>
      <c r="F3673" s="6" t="str">
        <f t="shared" si="114"/>
        <v>August</v>
      </c>
      <c r="G3673" s="6">
        <f t="shared" si="115"/>
        <v>31</v>
      </c>
      <c r="H3673" s="1">
        <f>SUMIF('Retal Tran Line Item'!E:E,A3673,'Retal Tran Line Item'!B:B)</f>
        <v>6</v>
      </c>
    </row>
    <row r="3674" spans="1:8">
      <c r="A3674" s="1">
        <v>104493</v>
      </c>
      <c r="B3674" s="1">
        <v>160392</v>
      </c>
      <c r="C3674" s="2">
        <v>41853</v>
      </c>
      <c r="D3674" s="1" t="s">
        <v>1989</v>
      </c>
      <c r="E3674" s="6">
        <v>2</v>
      </c>
      <c r="F3674" s="6" t="str">
        <f t="shared" si="114"/>
        <v>August</v>
      </c>
      <c r="G3674" s="6">
        <f t="shared" si="115"/>
        <v>31</v>
      </c>
      <c r="H3674" s="1">
        <f>SUMIF('Retal Tran Line Item'!E:E,A3674,'Retal Tran Line Item'!B:B)</f>
        <v>3</v>
      </c>
    </row>
    <row r="3675" spans="1:8">
      <c r="A3675" s="1">
        <v>104494</v>
      </c>
      <c r="B3675" s="1">
        <v>413495</v>
      </c>
      <c r="C3675" s="2">
        <v>41854</v>
      </c>
      <c r="D3675" s="1" t="s">
        <v>1994</v>
      </c>
      <c r="E3675" s="6">
        <v>2</v>
      </c>
      <c r="F3675" s="6" t="str">
        <f t="shared" si="114"/>
        <v>August</v>
      </c>
      <c r="G3675" s="6">
        <f t="shared" si="115"/>
        <v>32</v>
      </c>
      <c r="H3675" s="1">
        <f>SUMIF('Retal Tran Line Item'!E:E,A3675,'Retal Tran Line Item'!B:B)</f>
        <v>4</v>
      </c>
    </row>
    <row r="3676" spans="1:8">
      <c r="A3676" s="1">
        <v>104497</v>
      </c>
      <c r="B3676" s="1">
        <v>447368</v>
      </c>
      <c r="C3676" s="2">
        <v>41854</v>
      </c>
      <c r="D3676" s="1" t="s">
        <v>1993</v>
      </c>
      <c r="E3676" s="6">
        <v>1</v>
      </c>
      <c r="F3676" s="6" t="str">
        <f t="shared" si="114"/>
        <v>August</v>
      </c>
      <c r="G3676" s="6">
        <f t="shared" si="115"/>
        <v>32</v>
      </c>
      <c r="H3676" s="1">
        <f>SUMIF('Retal Tran Line Item'!E:E,A3676,'Retal Tran Line Item'!B:B)</f>
        <v>10</v>
      </c>
    </row>
    <row r="3677" spans="1:8">
      <c r="A3677" s="1">
        <v>104498</v>
      </c>
      <c r="B3677" s="1">
        <v>565259</v>
      </c>
      <c r="C3677" s="2">
        <v>41854</v>
      </c>
      <c r="D3677" s="1" t="s">
        <v>1992</v>
      </c>
      <c r="E3677" s="6">
        <v>2</v>
      </c>
      <c r="F3677" s="6" t="str">
        <f t="shared" si="114"/>
        <v>August</v>
      </c>
      <c r="G3677" s="6">
        <f t="shared" si="115"/>
        <v>32</v>
      </c>
      <c r="H3677" s="1">
        <f>SUMIF('Retal Tran Line Item'!E:E,A3677,'Retal Tran Line Item'!B:B)</f>
        <v>14</v>
      </c>
    </row>
    <row r="3678" spans="1:8">
      <c r="A3678" s="1">
        <v>104499</v>
      </c>
      <c r="B3678" s="1">
        <v>240205</v>
      </c>
      <c r="C3678" s="2">
        <v>41854</v>
      </c>
      <c r="D3678" s="1" t="s">
        <v>1992</v>
      </c>
      <c r="E3678" s="6">
        <v>2</v>
      </c>
      <c r="F3678" s="6" t="str">
        <f t="shared" si="114"/>
        <v>August</v>
      </c>
      <c r="G3678" s="6">
        <f t="shared" si="115"/>
        <v>32</v>
      </c>
      <c r="H3678" s="1">
        <f>SUMIF('Retal Tran Line Item'!E:E,A3678,'Retal Tran Line Item'!B:B)</f>
        <v>6</v>
      </c>
    </row>
    <row r="3679" spans="1:8">
      <c r="A3679" s="1">
        <v>104500</v>
      </c>
      <c r="B3679" s="1">
        <v>857548</v>
      </c>
      <c r="C3679" s="2">
        <v>41854</v>
      </c>
      <c r="D3679" s="1" t="s">
        <v>1992</v>
      </c>
      <c r="E3679" s="6">
        <v>2</v>
      </c>
      <c r="F3679" s="6" t="str">
        <f t="shared" si="114"/>
        <v>August</v>
      </c>
      <c r="G3679" s="6">
        <f t="shared" si="115"/>
        <v>32</v>
      </c>
      <c r="H3679" s="1">
        <f>SUMIF('Retal Tran Line Item'!E:E,A3679,'Retal Tran Line Item'!B:B)</f>
        <v>10</v>
      </c>
    </row>
    <row r="3680" spans="1:8">
      <c r="A3680" s="1">
        <v>104502</v>
      </c>
      <c r="B3680" s="1">
        <v>826590</v>
      </c>
      <c r="C3680" s="2">
        <v>41855</v>
      </c>
      <c r="D3680" s="1" t="s">
        <v>1992</v>
      </c>
      <c r="E3680" s="6">
        <v>2</v>
      </c>
      <c r="F3680" s="6" t="str">
        <f t="shared" si="114"/>
        <v>August</v>
      </c>
      <c r="G3680" s="6">
        <f t="shared" si="115"/>
        <v>32</v>
      </c>
      <c r="H3680" s="1">
        <f>SUMIF('Retal Tran Line Item'!E:E,A3680,'Retal Tran Line Item'!B:B)</f>
        <v>4</v>
      </c>
    </row>
    <row r="3681" spans="1:8">
      <c r="A3681" s="1">
        <v>104503</v>
      </c>
      <c r="B3681" s="1">
        <v>745543</v>
      </c>
      <c r="C3681" s="2">
        <v>41855</v>
      </c>
      <c r="D3681" s="1" t="s">
        <v>1989</v>
      </c>
      <c r="E3681" s="6">
        <v>2</v>
      </c>
      <c r="F3681" s="6" t="str">
        <f t="shared" si="114"/>
        <v>August</v>
      </c>
      <c r="G3681" s="6">
        <f t="shared" si="115"/>
        <v>32</v>
      </c>
      <c r="H3681" s="1">
        <f>SUMIF('Retal Tran Line Item'!E:E,A3681,'Retal Tran Line Item'!B:B)</f>
        <v>6</v>
      </c>
    </row>
    <row r="3682" spans="1:8">
      <c r="A3682" s="1">
        <v>104504</v>
      </c>
      <c r="B3682" s="1">
        <v>781523</v>
      </c>
      <c r="C3682" s="2">
        <v>41855</v>
      </c>
      <c r="D3682" s="1" t="s">
        <v>1989</v>
      </c>
      <c r="E3682" s="6">
        <v>1</v>
      </c>
      <c r="F3682" s="6" t="str">
        <f t="shared" si="114"/>
        <v>August</v>
      </c>
      <c r="G3682" s="6">
        <f t="shared" si="115"/>
        <v>32</v>
      </c>
      <c r="H3682" s="1">
        <f>SUMIF('Retal Tran Line Item'!E:E,A3682,'Retal Tran Line Item'!B:B)</f>
        <v>4</v>
      </c>
    </row>
    <row r="3683" spans="1:8">
      <c r="A3683" s="1">
        <v>104505</v>
      </c>
      <c r="B3683" s="1">
        <v>695276</v>
      </c>
      <c r="C3683" s="2">
        <v>41855</v>
      </c>
      <c r="D3683" s="1" t="s">
        <v>1992</v>
      </c>
      <c r="E3683" s="6">
        <v>2</v>
      </c>
      <c r="F3683" s="6" t="str">
        <f t="shared" si="114"/>
        <v>August</v>
      </c>
      <c r="G3683" s="6">
        <f t="shared" si="115"/>
        <v>32</v>
      </c>
      <c r="H3683" s="1">
        <f>SUMIF('Retal Tran Line Item'!E:E,A3683,'Retal Tran Line Item'!B:B)</f>
        <v>4</v>
      </c>
    </row>
    <row r="3684" spans="1:8">
      <c r="A3684" s="1">
        <v>104507</v>
      </c>
      <c r="B3684" s="1">
        <v>667170</v>
      </c>
      <c r="C3684" s="2">
        <v>41856</v>
      </c>
      <c r="D3684" s="1" t="s">
        <v>1993</v>
      </c>
      <c r="E3684" s="6">
        <v>1</v>
      </c>
      <c r="F3684" s="6" t="str">
        <f t="shared" si="114"/>
        <v>August</v>
      </c>
      <c r="G3684" s="6">
        <f t="shared" si="115"/>
        <v>32</v>
      </c>
      <c r="H3684" s="1">
        <f>SUMIF('Retal Tran Line Item'!E:E,A3684,'Retal Tran Line Item'!B:B)</f>
        <v>1</v>
      </c>
    </row>
    <row r="3685" spans="1:8">
      <c r="A3685" s="1">
        <v>104508</v>
      </c>
      <c r="B3685" s="1">
        <v>789500</v>
      </c>
      <c r="C3685" s="2">
        <v>41856</v>
      </c>
      <c r="D3685" s="1" t="s">
        <v>1992</v>
      </c>
      <c r="E3685" s="6">
        <v>1</v>
      </c>
      <c r="F3685" s="6" t="str">
        <f t="shared" si="114"/>
        <v>August</v>
      </c>
      <c r="G3685" s="6">
        <f t="shared" si="115"/>
        <v>32</v>
      </c>
      <c r="H3685" s="1">
        <f>SUMIF('Retal Tran Line Item'!E:E,A3685,'Retal Tran Line Item'!B:B)</f>
        <v>9</v>
      </c>
    </row>
    <row r="3686" spans="1:8">
      <c r="A3686" s="1">
        <v>104509</v>
      </c>
      <c r="B3686" s="1">
        <v>808869</v>
      </c>
      <c r="C3686" s="2">
        <v>41856</v>
      </c>
      <c r="D3686" s="1" t="s">
        <v>1989</v>
      </c>
      <c r="E3686" s="6">
        <v>2</v>
      </c>
      <c r="F3686" s="6" t="str">
        <f t="shared" si="114"/>
        <v>August</v>
      </c>
      <c r="G3686" s="6">
        <f t="shared" si="115"/>
        <v>32</v>
      </c>
      <c r="H3686" s="1">
        <f>SUMIF('Retal Tran Line Item'!E:E,A3686,'Retal Tran Line Item'!B:B)</f>
        <v>14</v>
      </c>
    </row>
    <row r="3687" spans="1:8">
      <c r="A3687" s="1">
        <v>104510</v>
      </c>
      <c r="B3687" s="1">
        <v>127472</v>
      </c>
      <c r="C3687" s="2">
        <v>41856</v>
      </c>
      <c r="D3687" s="1" t="s">
        <v>1993</v>
      </c>
      <c r="E3687" s="6">
        <v>2</v>
      </c>
      <c r="F3687" s="6" t="str">
        <f t="shared" si="114"/>
        <v>August</v>
      </c>
      <c r="G3687" s="6">
        <f t="shared" si="115"/>
        <v>32</v>
      </c>
      <c r="H3687" s="1">
        <f>SUMIF('Retal Tran Line Item'!E:E,A3687,'Retal Tran Line Item'!B:B)</f>
        <v>3</v>
      </c>
    </row>
    <row r="3688" spans="1:8">
      <c r="A3688" s="1">
        <v>104512</v>
      </c>
      <c r="B3688" s="1">
        <v>301793</v>
      </c>
      <c r="C3688" s="2">
        <v>41856</v>
      </c>
      <c r="D3688" s="1" t="s">
        <v>1989</v>
      </c>
      <c r="E3688" s="6">
        <v>1</v>
      </c>
      <c r="F3688" s="6" t="str">
        <f t="shared" si="114"/>
        <v>August</v>
      </c>
      <c r="G3688" s="6">
        <f t="shared" si="115"/>
        <v>32</v>
      </c>
      <c r="H3688" s="1">
        <f>SUMIF('Retal Tran Line Item'!E:E,A3688,'Retal Tran Line Item'!B:B)</f>
        <v>6</v>
      </c>
    </row>
    <row r="3689" spans="1:8">
      <c r="A3689" s="1">
        <v>104516</v>
      </c>
      <c r="B3689" s="1">
        <v>421074</v>
      </c>
      <c r="C3689" s="2">
        <v>41857</v>
      </c>
      <c r="D3689" s="1" t="s">
        <v>1992</v>
      </c>
      <c r="E3689" s="6">
        <v>2</v>
      </c>
      <c r="F3689" s="6" t="str">
        <f t="shared" si="114"/>
        <v>August</v>
      </c>
      <c r="G3689" s="6">
        <f t="shared" si="115"/>
        <v>32</v>
      </c>
      <c r="H3689" s="1">
        <f>SUMIF('Retal Tran Line Item'!E:E,A3689,'Retal Tran Line Item'!B:B)</f>
        <v>4</v>
      </c>
    </row>
    <row r="3690" spans="1:8">
      <c r="A3690" s="1">
        <v>104518</v>
      </c>
      <c r="B3690" s="1">
        <v>491380</v>
      </c>
      <c r="C3690" s="2">
        <v>41857</v>
      </c>
      <c r="D3690" s="1" t="s">
        <v>1992</v>
      </c>
      <c r="E3690" s="6">
        <v>1</v>
      </c>
      <c r="F3690" s="6" t="str">
        <f t="shared" si="114"/>
        <v>August</v>
      </c>
      <c r="G3690" s="6">
        <f t="shared" si="115"/>
        <v>32</v>
      </c>
      <c r="H3690" s="1">
        <f>SUMIF('Retal Tran Line Item'!E:E,A3690,'Retal Tran Line Item'!B:B)</f>
        <v>6</v>
      </c>
    </row>
    <row r="3691" spans="1:8">
      <c r="A3691" s="1">
        <v>104519</v>
      </c>
      <c r="B3691" s="1">
        <v>918682</v>
      </c>
      <c r="C3691" s="2">
        <v>41857</v>
      </c>
      <c r="D3691" s="1" t="s">
        <v>1992</v>
      </c>
      <c r="E3691" s="6">
        <v>2</v>
      </c>
      <c r="F3691" s="6" t="str">
        <f t="shared" si="114"/>
        <v>August</v>
      </c>
      <c r="G3691" s="6">
        <f t="shared" si="115"/>
        <v>32</v>
      </c>
      <c r="H3691" s="1">
        <f>SUMIF('Retal Tran Line Item'!E:E,A3691,'Retal Tran Line Item'!B:B)</f>
        <v>7</v>
      </c>
    </row>
    <row r="3692" spans="1:8">
      <c r="A3692" s="1">
        <v>104522</v>
      </c>
      <c r="B3692" s="1">
        <v>667170</v>
      </c>
      <c r="C3692" s="2">
        <v>41858</v>
      </c>
      <c r="D3692" s="1" t="s">
        <v>1993</v>
      </c>
      <c r="E3692" s="6">
        <v>2</v>
      </c>
      <c r="F3692" s="6" t="str">
        <f t="shared" si="114"/>
        <v>August</v>
      </c>
      <c r="G3692" s="6">
        <f t="shared" si="115"/>
        <v>32</v>
      </c>
      <c r="H3692" s="1">
        <f>SUMIF('Retal Tran Line Item'!E:E,A3692,'Retal Tran Line Item'!B:B)</f>
        <v>15</v>
      </c>
    </row>
    <row r="3693" spans="1:8">
      <c r="A3693" s="1">
        <v>104523</v>
      </c>
      <c r="B3693" s="1">
        <v>194680</v>
      </c>
      <c r="C3693" s="2">
        <v>41858</v>
      </c>
      <c r="D3693" s="1" t="s">
        <v>1993</v>
      </c>
      <c r="E3693" s="6">
        <v>1</v>
      </c>
      <c r="F3693" s="6" t="str">
        <f t="shared" si="114"/>
        <v>August</v>
      </c>
      <c r="G3693" s="6">
        <f t="shared" si="115"/>
        <v>32</v>
      </c>
      <c r="H3693" s="1">
        <f>SUMIF('Retal Tran Line Item'!E:E,A3693,'Retal Tran Line Item'!B:B)</f>
        <v>15</v>
      </c>
    </row>
    <row r="3694" spans="1:8">
      <c r="A3694" s="1">
        <v>104525</v>
      </c>
      <c r="B3694" s="1">
        <v>866847</v>
      </c>
      <c r="C3694" s="2">
        <v>41858</v>
      </c>
      <c r="D3694" s="1" t="s">
        <v>1992</v>
      </c>
      <c r="E3694" s="6">
        <v>2</v>
      </c>
      <c r="F3694" s="6" t="str">
        <f t="shared" si="114"/>
        <v>August</v>
      </c>
      <c r="G3694" s="6">
        <f t="shared" si="115"/>
        <v>32</v>
      </c>
      <c r="H3694" s="1">
        <f>SUMIF('Retal Tran Line Item'!E:E,A3694,'Retal Tran Line Item'!B:B)</f>
        <v>12</v>
      </c>
    </row>
    <row r="3695" spans="1:8">
      <c r="A3695" s="1">
        <v>104526</v>
      </c>
      <c r="B3695" s="1">
        <v>958321</v>
      </c>
      <c r="C3695" s="2">
        <v>41858</v>
      </c>
      <c r="D3695" s="1" t="s">
        <v>1993</v>
      </c>
      <c r="E3695" s="6">
        <v>1</v>
      </c>
      <c r="F3695" s="6" t="str">
        <f t="shared" si="114"/>
        <v>August</v>
      </c>
      <c r="G3695" s="6">
        <f t="shared" si="115"/>
        <v>32</v>
      </c>
      <c r="H3695" s="1">
        <f>SUMIF('Retal Tran Line Item'!E:E,A3695,'Retal Tran Line Item'!B:B)</f>
        <v>10</v>
      </c>
    </row>
    <row r="3696" spans="1:8">
      <c r="A3696" s="1">
        <v>104528</v>
      </c>
      <c r="B3696" s="1">
        <v>926289</v>
      </c>
      <c r="C3696" s="2">
        <v>41858</v>
      </c>
      <c r="D3696" s="1" t="s">
        <v>1994</v>
      </c>
      <c r="E3696" s="6">
        <v>1</v>
      </c>
      <c r="F3696" s="6" t="str">
        <f t="shared" si="114"/>
        <v>August</v>
      </c>
      <c r="G3696" s="6">
        <f t="shared" si="115"/>
        <v>32</v>
      </c>
      <c r="H3696" s="1">
        <f>SUMIF('Retal Tran Line Item'!E:E,A3696,'Retal Tran Line Item'!B:B)</f>
        <v>6</v>
      </c>
    </row>
    <row r="3697" spans="1:8">
      <c r="A3697" s="1">
        <v>104530</v>
      </c>
      <c r="B3697" s="1">
        <v>783369</v>
      </c>
      <c r="C3697" s="2">
        <v>41859</v>
      </c>
      <c r="D3697" s="1" t="s">
        <v>1994</v>
      </c>
      <c r="E3697" s="6">
        <v>2</v>
      </c>
      <c r="F3697" s="6" t="str">
        <f t="shared" si="114"/>
        <v>August</v>
      </c>
      <c r="G3697" s="6">
        <f t="shared" si="115"/>
        <v>32</v>
      </c>
      <c r="H3697" s="1">
        <f>SUMIF('Retal Tran Line Item'!E:E,A3697,'Retal Tran Line Item'!B:B)</f>
        <v>9</v>
      </c>
    </row>
    <row r="3698" spans="1:8">
      <c r="A3698" s="1">
        <v>104531</v>
      </c>
      <c r="B3698" s="1">
        <v>741398</v>
      </c>
      <c r="C3698" s="2">
        <v>41859</v>
      </c>
      <c r="D3698" s="1" t="s">
        <v>1993</v>
      </c>
      <c r="E3698" s="6">
        <v>1</v>
      </c>
      <c r="F3698" s="6" t="str">
        <f t="shared" si="114"/>
        <v>August</v>
      </c>
      <c r="G3698" s="6">
        <f t="shared" si="115"/>
        <v>32</v>
      </c>
      <c r="H3698" s="1">
        <f>SUMIF('Retal Tran Line Item'!E:E,A3698,'Retal Tran Line Item'!B:B)</f>
        <v>10</v>
      </c>
    </row>
    <row r="3699" spans="1:8">
      <c r="A3699" s="1">
        <v>104534</v>
      </c>
      <c r="B3699" s="1">
        <v>441628</v>
      </c>
      <c r="C3699" s="2">
        <v>41859</v>
      </c>
      <c r="D3699" s="1" t="s">
        <v>1989</v>
      </c>
      <c r="E3699" s="6">
        <v>2</v>
      </c>
      <c r="F3699" s="6" t="str">
        <f t="shared" si="114"/>
        <v>August</v>
      </c>
      <c r="G3699" s="6">
        <f t="shared" si="115"/>
        <v>32</v>
      </c>
      <c r="H3699" s="1">
        <f>SUMIF('Retal Tran Line Item'!E:E,A3699,'Retal Tran Line Item'!B:B)</f>
        <v>3</v>
      </c>
    </row>
    <row r="3700" spans="1:8">
      <c r="A3700" s="1">
        <v>104536</v>
      </c>
      <c r="B3700" s="1">
        <v>103508</v>
      </c>
      <c r="C3700" s="2">
        <v>41859</v>
      </c>
      <c r="D3700" s="1" t="s">
        <v>1994</v>
      </c>
      <c r="E3700" s="6">
        <v>1</v>
      </c>
      <c r="F3700" s="6" t="str">
        <f t="shared" si="114"/>
        <v>August</v>
      </c>
      <c r="G3700" s="6">
        <f t="shared" si="115"/>
        <v>32</v>
      </c>
      <c r="H3700" s="1">
        <f>SUMIF('Retal Tran Line Item'!E:E,A3700,'Retal Tran Line Item'!B:B)</f>
        <v>8</v>
      </c>
    </row>
    <row r="3701" spans="1:8">
      <c r="A3701" s="1">
        <v>104537</v>
      </c>
      <c r="B3701" s="1">
        <v>220206</v>
      </c>
      <c r="C3701" s="2">
        <v>41860</v>
      </c>
      <c r="D3701" s="1" t="s">
        <v>1992</v>
      </c>
      <c r="E3701" s="6">
        <v>1</v>
      </c>
      <c r="F3701" s="6" t="str">
        <f t="shared" si="114"/>
        <v>August</v>
      </c>
      <c r="G3701" s="6">
        <f t="shared" si="115"/>
        <v>32</v>
      </c>
      <c r="H3701" s="1">
        <f>SUMIF('Retal Tran Line Item'!E:E,A3701,'Retal Tran Line Item'!B:B)</f>
        <v>6</v>
      </c>
    </row>
    <row r="3702" spans="1:8">
      <c r="A3702" s="1">
        <v>104538</v>
      </c>
      <c r="B3702" s="1">
        <v>507743</v>
      </c>
      <c r="C3702" s="2">
        <v>41860</v>
      </c>
      <c r="D3702" s="1" t="s">
        <v>1993</v>
      </c>
      <c r="E3702" s="6">
        <v>2</v>
      </c>
      <c r="F3702" s="6" t="str">
        <f t="shared" si="114"/>
        <v>August</v>
      </c>
      <c r="G3702" s="6">
        <f t="shared" si="115"/>
        <v>32</v>
      </c>
      <c r="H3702" s="1">
        <f>SUMIF('Retal Tran Line Item'!E:E,A3702,'Retal Tran Line Item'!B:B)</f>
        <v>20</v>
      </c>
    </row>
    <row r="3703" spans="1:8">
      <c r="A3703" s="1">
        <v>104539</v>
      </c>
      <c r="B3703" s="1">
        <v>563500</v>
      </c>
      <c r="C3703" s="2">
        <v>41860</v>
      </c>
      <c r="D3703" s="1" t="s">
        <v>1992</v>
      </c>
      <c r="E3703" s="6">
        <v>1</v>
      </c>
      <c r="F3703" s="6" t="str">
        <f t="shared" si="114"/>
        <v>August</v>
      </c>
      <c r="G3703" s="6">
        <f t="shared" si="115"/>
        <v>32</v>
      </c>
      <c r="H3703" s="1">
        <f>SUMIF('Retal Tran Line Item'!E:E,A3703,'Retal Tran Line Item'!B:B)</f>
        <v>2</v>
      </c>
    </row>
    <row r="3704" spans="1:8">
      <c r="A3704" s="1">
        <v>104541</v>
      </c>
      <c r="B3704" s="1">
        <v>559190</v>
      </c>
      <c r="C3704" s="2">
        <v>41860</v>
      </c>
      <c r="D3704" s="1" t="s">
        <v>1993</v>
      </c>
      <c r="E3704" s="6">
        <v>1</v>
      </c>
      <c r="F3704" s="6" t="str">
        <f t="shared" si="114"/>
        <v>August</v>
      </c>
      <c r="G3704" s="6">
        <f t="shared" si="115"/>
        <v>32</v>
      </c>
      <c r="H3704" s="1">
        <f>SUMIF('Retal Tran Line Item'!E:E,A3704,'Retal Tran Line Item'!B:B)</f>
        <v>13</v>
      </c>
    </row>
    <row r="3705" spans="1:8">
      <c r="A3705" s="1">
        <v>104542</v>
      </c>
      <c r="B3705" s="1">
        <v>157695</v>
      </c>
      <c r="C3705" s="2">
        <v>41860</v>
      </c>
      <c r="D3705" s="1" t="s">
        <v>1994</v>
      </c>
      <c r="E3705" s="6">
        <v>2</v>
      </c>
      <c r="F3705" s="6" t="str">
        <f t="shared" si="114"/>
        <v>August</v>
      </c>
      <c r="G3705" s="6">
        <f t="shared" si="115"/>
        <v>32</v>
      </c>
      <c r="H3705" s="1">
        <f>SUMIF('Retal Tran Line Item'!E:E,A3705,'Retal Tran Line Item'!B:B)</f>
        <v>18</v>
      </c>
    </row>
    <row r="3706" spans="1:8">
      <c r="A3706" s="1">
        <v>104544</v>
      </c>
      <c r="B3706" s="1">
        <v>157388</v>
      </c>
      <c r="C3706" s="2">
        <v>41860</v>
      </c>
      <c r="D3706" s="1" t="s">
        <v>1989</v>
      </c>
      <c r="E3706" s="6">
        <v>2</v>
      </c>
      <c r="F3706" s="6" t="str">
        <f t="shared" si="114"/>
        <v>August</v>
      </c>
      <c r="G3706" s="6">
        <f t="shared" si="115"/>
        <v>32</v>
      </c>
      <c r="H3706" s="1">
        <f>SUMIF('Retal Tran Line Item'!E:E,A3706,'Retal Tran Line Item'!B:B)</f>
        <v>8</v>
      </c>
    </row>
    <row r="3707" spans="1:8">
      <c r="A3707" s="1">
        <v>104549</v>
      </c>
      <c r="B3707" s="1">
        <v>380003</v>
      </c>
      <c r="C3707" s="2">
        <v>41861</v>
      </c>
      <c r="D3707" s="1" t="s">
        <v>1992</v>
      </c>
      <c r="E3707" s="6">
        <v>1</v>
      </c>
      <c r="F3707" s="6" t="str">
        <f t="shared" si="114"/>
        <v>August</v>
      </c>
      <c r="G3707" s="6">
        <f t="shared" si="115"/>
        <v>33</v>
      </c>
      <c r="H3707" s="1">
        <f>SUMIF('Retal Tran Line Item'!E:E,A3707,'Retal Tran Line Item'!B:B)</f>
        <v>3</v>
      </c>
    </row>
    <row r="3708" spans="1:8">
      <c r="A3708" s="1">
        <v>104550</v>
      </c>
      <c r="B3708" s="1">
        <v>926289</v>
      </c>
      <c r="C3708" s="2">
        <v>41861</v>
      </c>
      <c r="D3708" s="1" t="s">
        <v>1994</v>
      </c>
      <c r="E3708" s="6">
        <v>2</v>
      </c>
      <c r="F3708" s="6" t="str">
        <f t="shared" si="114"/>
        <v>August</v>
      </c>
      <c r="G3708" s="6">
        <f t="shared" si="115"/>
        <v>33</v>
      </c>
      <c r="H3708" s="1">
        <f>SUMIF('Retal Tran Line Item'!E:E,A3708,'Retal Tran Line Item'!B:B)</f>
        <v>7</v>
      </c>
    </row>
    <row r="3709" spans="1:8">
      <c r="A3709" s="1">
        <v>104553</v>
      </c>
      <c r="B3709" s="1">
        <v>911171</v>
      </c>
      <c r="C3709" s="2">
        <v>41862</v>
      </c>
      <c r="D3709" s="1" t="s">
        <v>1992</v>
      </c>
      <c r="E3709" s="6">
        <v>2</v>
      </c>
      <c r="F3709" s="6" t="str">
        <f t="shared" si="114"/>
        <v>August</v>
      </c>
      <c r="G3709" s="6">
        <f t="shared" si="115"/>
        <v>33</v>
      </c>
      <c r="H3709" s="1">
        <f>SUMIF('Retal Tran Line Item'!E:E,A3709,'Retal Tran Line Item'!B:B)</f>
        <v>4</v>
      </c>
    </row>
    <row r="3710" spans="1:8">
      <c r="A3710" s="1">
        <v>104554</v>
      </c>
      <c r="B3710" s="1">
        <v>744416</v>
      </c>
      <c r="C3710" s="2">
        <v>41862</v>
      </c>
      <c r="D3710" s="1" t="s">
        <v>1992</v>
      </c>
      <c r="E3710" s="6">
        <v>2</v>
      </c>
      <c r="F3710" s="6" t="str">
        <f t="shared" si="114"/>
        <v>August</v>
      </c>
      <c r="G3710" s="6">
        <f t="shared" si="115"/>
        <v>33</v>
      </c>
      <c r="H3710" s="1">
        <f>SUMIF('Retal Tran Line Item'!E:E,A3710,'Retal Tran Line Item'!B:B)</f>
        <v>6</v>
      </c>
    </row>
    <row r="3711" spans="1:8">
      <c r="A3711" s="1">
        <v>104555</v>
      </c>
      <c r="B3711" s="1">
        <v>723819</v>
      </c>
      <c r="C3711" s="2">
        <v>41862</v>
      </c>
      <c r="D3711" s="1" t="s">
        <v>1993</v>
      </c>
      <c r="E3711" s="6">
        <v>2</v>
      </c>
      <c r="F3711" s="6" t="str">
        <f t="shared" si="114"/>
        <v>August</v>
      </c>
      <c r="G3711" s="6">
        <f t="shared" si="115"/>
        <v>33</v>
      </c>
      <c r="H3711" s="1">
        <f>SUMIF('Retal Tran Line Item'!E:E,A3711,'Retal Tran Line Item'!B:B)</f>
        <v>8</v>
      </c>
    </row>
    <row r="3712" spans="1:8">
      <c r="A3712" s="1">
        <v>104557</v>
      </c>
      <c r="B3712" s="1">
        <v>306475</v>
      </c>
      <c r="C3712" s="2">
        <v>41862</v>
      </c>
      <c r="D3712" s="1" t="s">
        <v>1992</v>
      </c>
      <c r="E3712" s="6">
        <v>1</v>
      </c>
      <c r="F3712" s="6" t="str">
        <f t="shared" si="114"/>
        <v>August</v>
      </c>
      <c r="G3712" s="6">
        <f t="shared" si="115"/>
        <v>33</v>
      </c>
      <c r="H3712" s="1">
        <f>SUMIF('Retal Tran Line Item'!E:E,A3712,'Retal Tran Line Item'!B:B)</f>
        <v>15</v>
      </c>
    </row>
    <row r="3713" spans="1:8">
      <c r="A3713" s="1">
        <v>104558</v>
      </c>
      <c r="B3713" s="1">
        <v>905670</v>
      </c>
      <c r="C3713" s="2">
        <v>41862</v>
      </c>
      <c r="D3713" s="1" t="s">
        <v>1993</v>
      </c>
      <c r="E3713" s="6">
        <v>1</v>
      </c>
      <c r="F3713" s="6" t="str">
        <f t="shared" si="114"/>
        <v>August</v>
      </c>
      <c r="G3713" s="6">
        <f t="shared" si="115"/>
        <v>33</v>
      </c>
      <c r="H3713" s="1">
        <f>SUMIF('Retal Tran Line Item'!E:E,A3713,'Retal Tran Line Item'!B:B)</f>
        <v>7</v>
      </c>
    </row>
    <row r="3714" spans="1:8">
      <c r="A3714" s="1">
        <v>104559</v>
      </c>
      <c r="B3714" s="1">
        <v>808869</v>
      </c>
      <c r="C3714" s="2">
        <v>41862</v>
      </c>
      <c r="D3714" s="1" t="s">
        <v>1989</v>
      </c>
      <c r="E3714" s="6">
        <v>2</v>
      </c>
      <c r="F3714" s="6" t="str">
        <f t="shared" si="114"/>
        <v>August</v>
      </c>
      <c r="G3714" s="6">
        <f t="shared" si="115"/>
        <v>33</v>
      </c>
      <c r="H3714" s="1">
        <f>SUMIF('Retal Tran Line Item'!E:E,A3714,'Retal Tran Line Item'!B:B)</f>
        <v>4</v>
      </c>
    </row>
    <row r="3715" spans="1:8">
      <c r="A3715" s="1">
        <v>104560</v>
      </c>
      <c r="B3715" s="1">
        <v>664411</v>
      </c>
      <c r="C3715" s="2">
        <v>41862</v>
      </c>
      <c r="D3715" s="1" t="s">
        <v>1992</v>
      </c>
      <c r="E3715" s="6">
        <v>2</v>
      </c>
      <c r="F3715" s="6" t="str">
        <f t="shared" ref="F3715:F3778" si="116">TEXT(C3715,"MMMM")</f>
        <v>August</v>
      </c>
      <c r="G3715" s="6">
        <f t="shared" ref="G3715:G3778" si="117">WEEKNUM(C3715)</f>
        <v>33</v>
      </c>
      <c r="H3715" s="1">
        <f>SUMIF('Retal Tran Line Item'!E:E,A3715,'Retal Tran Line Item'!B:B)</f>
        <v>8</v>
      </c>
    </row>
    <row r="3716" spans="1:8">
      <c r="A3716" s="1">
        <v>104561</v>
      </c>
      <c r="B3716" s="1">
        <v>454015</v>
      </c>
      <c r="C3716" s="2">
        <v>41863</v>
      </c>
      <c r="D3716" s="1" t="s">
        <v>1993</v>
      </c>
      <c r="E3716" s="6">
        <v>1</v>
      </c>
      <c r="F3716" s="6" t="str">
        <f t="shared" si="116"/>
        <v>August</v>
      </c>
      <c r="G3716" s="6">
        <f t="shared" si="117"/>
        <v>33</v>
      </c>
      <c r="H3716" s="1">
        <f>SUMIF('Retal Tran Line Item'!E:E,A3716,'Retal Tran Line Item'!B:B)</f>
        <v>3</v>
      </c>
    </row>
    <row r="3717" spans="1:8">
      <c r="A3717" s="1">
        <v>104562</v>
      </c>
      <c r="B3717" s="1">
        <v>205878</v>
      </c>
      <c r="C3717" s="2">
        <v>41863</v>
      </c>
      <c r="D3717" s="1" t="s">
        <v>1993</v>
      </c>
      <c r="E3717" s="6">
        <v>2</v>
      </c>
      <c r="F3717" s="6" t="str">
        <f t="shared" si="116"/>
        <v>August</v>
      </c>
      <c r="G3717" s="6">
        <f t="shared" si="117"/>
        <v>33</v>
      </c>
      <c r="H3717" s="1">
        <f>SUMIF('Retal Tran Line Item'!E:E,A3717,'Retal Tran Line Item'!B:B)</f>
        <v>9</v>
      </c>
    </row>
    <row r="3718" spans="1:8">
      <c r="A3718" s="1">
        <v>104564</v>
      </c>
      <c r="B3718" s="1">
        <v>262638</v>
      </c>
      <c r="C3718" s="2">
        <v>41863</v>
      </c>
      <c r="D3718" s="1" t="s">
        <v>1992</v>
      </c>
      <c r="E3718" s="6">
        <v>1</v>
      </c>
      <c r="F3718" s="6" t="str">
        <f t="shared" si="116"/>
        <v>August</v>
      </c>
      <c r="G3718" s="6">
        <f t="shared" si="117"/>
        <v>33</v>
      </c>
      <c r="H3718" s="1">
        <f>SUMIF('Retal Tran Line Item'!E:E,A3718,'Retal Tran Line Item'!B:B)</f>
        <v>6</v>
      </c>
    </row>
    <row r="3719" spans="1:8">
      <c r="A3719" s="1">
        <v>104565</v>
      </c>
      <c r="B3719" s="1">
        <v>663029</v>
      </c>
      <c r="C3719" s="2">
        <v>41863</v>
      </c>
      <c r="D3719" s="1" t="s">
        <v>1993</v>
      </c>
      <c r="E3719" s="6">
        <v>2</v>
      </c>
      <c r="F3719" s="6" t="str">
        <f t="shared" si="116"/>
        <v>August</v>
      </c>
      <c r="G3719" s="6">
        <f t="shared" si="117"/>
        <v>33</v>
      </c>
      <c r="H3719" s="1">
        <f>SUMIF('Retal Tran Line Item'!E:E,A3719,'Retal Tran Line Item'!B:B)</f>
        <v>3</v>
      </c>
    </row>
    <row r="3720" spans="1:8">
      <c r="A3720" s="1">
        <v>104566</v>
      </c>
      <c r="B3720" s="1">
        <v>766161</v>
      </c>
      <c r="C3720" s="2">
        <v>41863</v>
      </c>
      <c r="D3720" s="1" t="s">
        <v>1994</v>
      </c>
      <c r="E3720" s="6">
        <v>1</v>
      </c>
      <c r="F3720" s="6" t="str">
        <f t="shared" si="116"/>
        <v>August</v>
      </c>
      <c r="G3720" s="6">
        <f t="shared" si="117"/>
        <v>33</v>
      </c>
      <c r="H3720" s="1">
        <f>SUMIF('Retal Tran Line Item'!E:E,A3720,'Retal Tran Line Item'!B:B)</f>
        <v>20</v>
      </c>
    </row>
    <row r="3721" spans="1:8">
      <c r="A3721" s="1">
        <v>104567</v>
      </c>
      <c r="B3721" s="1">
        <v>231615</v>
      </c>
      <c r="C3721" s="2">
        <v>41863</v>
      </c>
      <c r="D3721" s="1" t="s">
        <v>1989</v>
      </c>
      <c r="E3721" s="6">
        <v>2</v>
      </c>
      <c r="F3721" s="6" t="str">
        <f t="shared" si="116"/>
        <v>August</v>
      </c>
      <c r="G3721" s="6">
        <f t="shared" si="117"/>
        <v>33</v>
      </c>
      <c r="H3721" s="1">
        <f>SUMIF('Retal Tran Line Item'!E:E,A3721,'Retal Tran Line Item'!B:B)</f>
        <v>2</v>
      </c>
    </row>
    <row r="3722" spans="1:8">
      <c r="A3722" s="1">
        <v>104568</v>
      </c>
      <c r="B3722" s="1">
        <v>888759</v>
      </c>
      <c r="C3722" s="2">
        <v>41863</v>
      </c>
      <c r="D3722" s="1" t="s">
        <v>1993</v>
      </c>
      <c r="E3722" s="6">
        <v>1</v>
      </c>
      <c r="F3722" s="6" t="str">
        <f t="shared" si="116"/>
        <v>August</v>
      </c>
      <c r="G3722" s="6">
        <f t="shared" si="117"/>
        <v>33</v>
      </c>
      <c r="H3722" s="1">
        <f>SUMIF('Retal Tran Line Item'!E:E,A3722,'Retal Tran Line Item'!B:B)</f>
        <v>2</v>
      </c>
    </row>
    <row r="3723" spans="1:8">
      <c r="A3723" s="1">
        <v>104570</v>
      </c>
      <c r="B3723" s="1">
        <v>905670</v>
      </c>
      <c r="C3723" s="2">
        <v>41864</v>
      </c>
      <c r="D3723" s="1" t="s">
        <v>1993</v>
      </c>
      <c r="E3723" s="6">
        <v>2</v>
      </c>
      <c r="F3723" s="6" t="str">
        <f t="shared" si="116"/>
        <v>August</v>
      </c>
      <c r="G3723" s="6">
        <f t="shared" si="117"/>
        <v>33</v>
      </c>
      <c r="H3723" s="1">
        <f>SUMIF('Retal Tran Line Item'!E:E,A3723,'Retal Tran Line Item'!B:B)</f>
        <v>9</v>
      </c>
    </row>
    <row r="3724" spans="1:8">
      <c r="A3724" s="1">
        <v>104572</v>
      </c>
      <c r="B3724" s="1">
        <v>128131</v>
      </c>
      <c r="C3724" s="2">
        <v>41864</v>
      </c>
      <c r="D3724" s="1" t="s">
        <v>1992</v>
      </c>
      <c r="E3724" s="6">
        <v>2</v>
      </c>
      <c r="F3724" s="6" t="str">
        <f t="shared" si="116"/>
        <v>August</v>
      </c>
      <c r="G3724" s="6">
        <f t="shared" si="117"/>
        <v>33</v>
      </c>
      <c r="H3724" s="1">
        <f>SUMIF('Retal Tran Line Item'!E:E,A3724,'Retal Tran Line Item'!B:B)</f>
        <v>13</v>
      </c>
    </row>
    <row r="3725" spans="1:8">
      <c r="A3725" s="1">
        <v>104573</v>
      </c>
      <c r="B3725" s="1">
        <v>433442</v>
      </c>
      <c r="C3725" s="2">
        <v>41864</v>
      </c>
      <c r="D3725" s="1" t="s">
        <v>1989</v>
      </c>
      <c r="E3725" s="6">
        <v>1</v>
      </c>
      <c r="F3725" s="6" t="str">
        <f t="shared" si="116"/>
        <v>August</v>
      </c>
      <c r="G3725" s="6">
        <f t="shared" si="117"/>
        <v>33</v>
      </c>
      <c r="H3725" s="1">
        <f>SUMIF('Retal Tran Line Item'!E:E,A3725,'Retal Tran Line Item'!B:B)</f>
        <v>2</v>
      </c>
    </row>
    <row r="3726" spans="1:8">
      <c r="A3726" s="1">
        <v>104574</v>
      </c>
      <c r="B3726" s="1">
        <v>951702</v>
      </c>
      <c r="C3726" s="2">
        <v>41864</v>
      </c>
      <c r="D3726" s="1" t="s">
        <v>1992</v>
      </c>
      <c r="E3726" s="6">
        <v>2</v>
      </c>
      <c r="F3726" s="6" t="str">
        <f t="shared" si="116"/>
        <v>August</v>
      </c>
      <c r="G3726" s="6">
        <f t="shared" si="117"/>
        <v>33</v>
      </c>
      <c r="H3726" s="1">
        <f>SUMIF('Retal Tran Line Item'!E:E,A3726,'Retal Tran Line Item'!B:B)</f>
        <v>10</v>
      </c>
    </row>
    <row r="3727" spans="1:8">
      <c r="A3727" s="1">
        <v>104577</v>
      </c>
      <c r="B3727" s="1">
        <v>345348</v>
      </c>
      <c r="C3727" s="2">
        <v>41865</v>
      </c>
      <c r="D3727" s="1" t="s">
        <v>1989</v>
      </c>
      <c r="E3727" s="6">
        <v>1</v>
      </c>
      <c r="F3727" s="6" t="str">
        <f t="shared" si="116"/>
        <v>August</v>
      </c>
      <c r="G3727" s="6">
        <f t="shared" si="117"/>
        <v>33</v>
      </c>
      <c r="H3727" s="1">
        <f>SUMIF('Retal Tran Line Item'!E:E,A3727,'Retal Tran Line Item'!B:B)</f>
        <v>11</v>
      </c>
    </row>
    <row r="3728" spans="1:8">
      <c r="A3728" s="1">
        <v>104579</v>
      </c>
      <c r="B3728" s="1">
        <v>671101</v>
      </c>
      <c r="C3728" s="2">
        <v>41865</v>
      </c>
      <c r="D3728" s="1" t="s">
        <v>1994</v>
      </c>
      <c r="E3728" s="6">
        <v>1</v>
      </c>
      <c r="F3728" s="6" t="str">
        <f t="shared" si="116"/>
        <v>August</v>
      </c>
      <c r="G3728" s="6">
        <f t="shared" si="117"/>
        <v>33</v>
      </c>
      <c r="H3728" s="1">
        <f>SUMIF('Retal Tran Line Item'!E:E,A3728,'Retal Tran Line Item'!B:B)</f>
        <v>8</v>
      </c>
    </row>
    <row r="3729" spans="1:8">
      <c r="A3729" s="1">
        <v>104581</v>
      </c>
      <c r="B3729" s="1">
        <v>976778</v>
      </c>
      <c r="C3729" s="2">
        <v>41865</v>
      </c>
      <c r="D3729" s="1" t="s">
        <v>1992</v>
      </c>
      <c r="E3729" s="6">
        <v>2</v>
      </c>
      <c r="F3729" s="6" t="str">
        <f t="shared" si="116"/>
        <v>August</v>
      </c>
      <c r="G3729" s="6">
        <f t="shared" si="117"/>
        <v>33</v>
      </c>
      <c r="H3729" s="1">
        <f>SUMIF('Retal Tran Line Item'!E:E,A3729,'Retal Tran Line Item'!B:B)</f>
        <v>6</v>
      </c>
    </row>
    <row r="3730" spans="1:8">
      <c r="A3730" s="1">
        <v>104582</v>
      </c>
      <c r="B3730" s="1">
        <v>193914</v>
      </c>
      <c r="C3730" s="2">
        <v>41865</v>
      </c>
      <c r="D3730" s="1" t="s">
        <v>1992</v>
      </c>
      <c r="E3730" s="6">
        <v>2</v>
      </c>
      <c r="F3730" s="6" t="str">
        <f t="shared" si="116"/>
        <v>August</v>
      </c>
      <c r="G3730" s="6">
        <f t="shared" si="117"/>
        <v>33</v>
      </c>
      <c r="H3730" s="1">
        <f>SUMIF('Retal Tran Line Item'!E:E,A3730,'Retal Tran Line Item'!B:B)</f>
        <v>7</v>
      </c>
    </row>
    <row r="3731" spans="1:8">
      <c r="A3731" s="1">
        <v>104583</v>
      </c>
      <c r="B3731" s="1">
        <v>866556</v>
      </c>
      <c r="C3731" s="2">
        <v>41866</v>
      </c>
      <c r="D3731" s="1" t="s">
        <v>1993</v>
      </c>
      <c r="E3731" s="6">
        <v>2</v>
      </c>
      <c r="F3731" s="6" t="str">
        <f t="shared" si="116"/>
        <v>August</v>
      </c>
      <c r="G3731" s="6">
        <f t="shared" si="117"/>
        <v>33</v>
      </c>
      <c r="H3731" s="1">
        <f>SUMIF('Retal Tran Line Item'!E:E,A3731,'Retal Tran Line Item'!B:B)</f>
        <v>10</v>
      </c>
    </row>
    <row r="3732" spans="1:8">
      <c r="A3732" s="1">
        <v>104586</v>
      </c>
      <c r="B3732" s="1">
        <v>781968</v>
      </c>
      <c r="C3732" s="2">
        <v>41866</v>
      </c>
      <c r="D3732" s="1" t="s">
        <v>1993</v>
      </c>
      <c r="E3732" s="6">
        <v>2</v>
      </c>
      <c r="F3732" s="6" t="str">
        <f t="shared" si="116"/>
        <v>August</v>
      </c>
      <c r="G3732" s="6">
        <f t="shared" si="117"/>
        <v>33</v>
      </c>
      <c r="H3732" s="1">
        <f>SUMIF('Retal Tran Line Item'!E:E,A3732,'Retal Tran Line Item'!B:B)</f>
        <v>8</v>
      </c>
    </row>
    <row r="3733" spans="1:8">
      <c r="A3733" s="1">
        <v>104587</v>
      </c>
      <c r="B3733" s="1">
        <v>128131</v>
      </c>
      <c r="C3733" s="2">
        <v>41866</v>
      </c>
      <c r="D3733" s="1" t="s">
        <v>1992</v>
      </c>
      <c r="E3733" s="6">
        <v>2</v>
      </c>
      <c r="F3733" s="6" t="str">
        <f t="shared" si="116"/>
        <v>August</v>
      </c>
      <c r="G3733" s="6">
        <f t="shared" si="117"/>
        <v>33</v>
      </c>
      <c r="H3733" s="1">
        <f>SUMIF('Retal Tran Line Item'!E:E,A3733,'Retal Tran Line Item'!B:B)</f>
        <v>5</v>
      </c>
    </row>
    <row r="3734" spans="1:8">
      <c r="A3734" s="1">
        <v>104588</v>
      </c>
      <c r="B3734" s="1">
        <v>884607</v>
      </c>
      <c r="C3734" s="2">
        <v>41866</v>
      </c>
      <c r="D3734" s="1" t="s">
        <v>1993</v>
      </c>
      <c r="E3734" s="6">
        <v>1</v>
      </c>
      <c r="F3734" s="6" t="str">
        <f t="shared" si="116"/>
        <v>August</v>
      </c>
      <c r="G3734" s="6">
        <f t="shared" si="117"/>
        <v>33</v>
      </c>
      <c r="H3734" s="1">
        <f>SUMIF('Retal Tran Line Item'!E:E,A3734,'Retal Tran Line Item'!B:B)</f>
        <v>3</v>
      </c>
    </row>
    <row r="3735" spans="1:8">
      <c r="A3735" s="1">
        <v>104590</v>
      </c>
      <c r="B3735" s="1">
        <v>498970</v>
      </c>
      <c r="C3735" s="2">
        <v>41867</v>
      </c>
      <c r="D3735" s="1" t="s">
        <v>1992</v>
      </c>
      <c r="E3735" s="6">
        <v>2</v>
      </c>
      <c r="F3735" s="6" t="str">
        <f t="shared" si="116"/>
        <v>August</v>
      </c>
      <c r="G3735" s="6">
        <f t="shared" si="117"/>
        <v>33</v>
      </c>
      <c r="H3735" s="1">
        <f>SUMIF('Retal Tran Line Item'!E:E,A3735,'Retal Tran Line Item'!B:B)</f>
        <v>10</v>
      </c>
    </row>
    <row r="3736" spans="1:8">
      <c r="A3736" s="1">
        <v>104591</v>
      </c>
      <c r="B3736" s="1">
        <v>690100</v>
      </c>
      <c r="C3736" s="2">
        <v>41867</v>
      </c>
      <c r="D3736" s="1" t="s">
        <v>1989</v>
      </c>
      <c r="E3736" s="6">
        <v>1</v>
      </c>
      <c r="F3736" s="6" t="str">
        <f t="shared" si="116"/>
        <v>August</v>
      </c>
      <c r="G3736" s="6">
        <f t="shared" si="117"/>
        <v>33</v>
      </c>
      <c r="H3736" s="1">
        <f>SUMIF('Retal Tran Line Item'!E:E,A3736,'Retal Tran Line Item'!B:B)</f>
        <v>9</v>
      </c>
    </row>
    <row r="3737" spans="1:8">
      <c r="A3737" s="1">
        <v>104595</v>
      </c>
      <c r="B3737" s="1">
        <v>101811</v>
      </c>
      <c r="C3737" s="2">
        <v>41867</v>
      </c>
      <c r="D3737" s="1" t="s">
        <v>1993</v>
      </c>
      <c r="E3737" s="6">
        <v>1</v>
      </c>
      <c r="F3737" s="6" t="str">
        <f t="shared" si="116"/>
        <v>August</v>
      </c>
      <c r="G3737" s="6">
        <f t="shared" si="117"/>
        <v>33</v>
      </c>
      <c r="H3737" s="1">
        <f>SUMIF('Retal Tran Line Item'!E:E,A3737,'Retal Tran Line Item'!B:B)</f>
        <v>1</v>
      </c>
    </row>
    <row r="3738" spans="1:8">
      <c r="A3738" s="1">
        <v>104596</v>
      </c>
      <c r="B3738" s="1">
        <v>925565</v>
      </c>
      <c r="C3738" s="2">
        <v>41867</v>
      </c>
      <c r="D3738" s="1" t="s">
        <v>1992</v>
      </c>
      <c r="E3738" s="6">
        <v>2</v>
      </c>
      <c r="F3738" s="6" t="str">
        <f t="shared" si="116"/>
        <v>August</v>
      </c>
      <c r="G3738" s="6">
        <f t="shared" si="117"/>
        <v>33</v>
      </c>
      <c r="H3738" s="1">
        <f>SUMIF('Retal Tran Line Item'!E:E,A3738,'Retal Tran Line Item'!B:B)</f>
        <v>3</v>
      </c>
    </row>
    <row r="3739" spans="1:8">
      <c r="A3739" s="1">
        <v>104597</v>
      </c>
      <c r="B3739" s="1">
        <v>498970</v>
      </c>
      <c r="C3739" s="2">
        <v>41868</v>
      </c>
      <c r="D3739" s="1" t="s">
        <v>1992</v>
      </c>
      <c r="E3739" s="6">
        <v>1</v>
      </c>
      <c r="F3739" s="6" t="str">
        <f t="shared" si="116"/>
        <v>August</v>
      </c>
      <c r="G3739" s="6">
        <f t="shared" si="117"/>
        <v>34</v>
      </c>
      <c r="H3739" s="1">
        <f>SUMIF('Retal Tran Line Item'!E:E,A3739,'Retal Tran Line Item'!B:B)</f>
        <v>3</v>
      </c>
    </row>
    <row r="3740" spans="1:8">
      <c r="A3740" s="1">
        <v>104598</v>
      </c>
      <c r="B3740" s="1">
        <v>593317</v>
      </c>
      <c r="C3740" s="2">
        <v>41868</v>
      </c>
      <c r="D3740" s="1" t="s">
        <v>1989</v>
      </c>
      <c r="E3740" s="6">
        <v>1</v>
      </c>
      <c r="F3740" s="6" t="str">
        <f t="shared" si="116"/>
        <v>August</v>
      </c>
      <c r="G3740" s="6">
        <f t="shared" si="117"/>
        <v>34</v>
      </c>
      <c r="H3740" s="1">
        <f>SUMIF('Retal Tran Line Item'!E:E,A3740,'Retal Tran Line Item'!B:B)</f>
        <v>2</v>
      </c>
    </row>
    <row r="3741" spans="1:8">
      <c r="A3741" s="1">
        <v>104599</v>
      </c>
      <c r="B3741" s="1">
        <v>378374</v>
      </c>
      <c r="C3741" s="2">
        <v>41868</v>
      </c>
      <c r="D3741" s="1" t="s">
        <v>1994</v>
      </c>
      <c r="E3741" s="6">
        <v>2</v>
      </c>
      <c r="F3741" s="6" t="str">
        <f t="shared" si="116"/>
        <v>August</v>
      </c>
      <c r="G3741" s="6">
        <f t="shared" si="117"/>
        <v>34</v>
      </c>
      <c r="H3741" s="1">
        <f>SUMIF('Retal Tran Line Item'!E:E,A3741,'Retal Tran Line Item'!B:B)</f>
        <v>9</v>
      </c>
    </row>
    <row r="3742" spans="1:8">
      <c r="A3742" s="1">
        <v>104601</v>
      </c>
      <c r="B3742" s="1">
        <v>927518</v>
      </c>
      <c r="C3742" s="2">
        <v>41868</v>
      </c>
      <c r="D3742" s="1" t="s">
        <v>1993</v>
      </c>
      <c r="E3742" s="6">
        <v>1</v>
      </c>
      <c r="F3742" s="6" t="str">
        <f t="shared" si="116"/>
        <v>August</v>
      </c>
      <c r="G3742" s="6">
        <f t="shared" si="117"/>
        <v>34</v>
      </c>
      <c r="H3742" s="1">
        <f>SUMIF('Retal Tran Line Item'!E:E,A3742,'Retal Tran Line Item'!B:B)</f>
        <v>2</v>
      </c>
    </row>
    <row r="3743" spans="1:8">
      <c r="A3743" s="1">
        <v>104602</v>
      </c>
      <c r="B3743" s="1">
        <v>559688</v>
      </c>
      <c r="C3743" s="2">
        <v>41868</v>
      </c>
      <c r="D3743" s="1" t="s">
        <v>1993</v>
      </c>
      <c r="E3743" s="6">
        <v>2</v>
      </c>
      <c r="F3743" s="6" t="str">
        <f t="shared" si="116"/>
        <v>August</v>
      </c>
      <c r="G3743" s="6">
        <f t="shared" si="117"/>
        <v>34</v>
      </c>
      <c r="H3743" s="1">
        <f>SUMIF('Retal Tran Line Item'!E:E,A3743,'Retal Tran Line Item'!B:B)</f>
        <v>9</v>
      </c>
    </row>
    <row r="3744" spans="1:8">
      <c r="A3744" s="1">
        <v>104604</v>
      </c>
      <c r="B3744" s="1">
        <v>484909</v>
      </c>
      <c r="C3744" s="2">
        <v>41869</v>
      </c>
      <c r="D3744" s="1" t="s">
        <v>1994</v>
      </c>
      <c r="E3744" s="6">
        <v>1</v>
      </c>
      <c r="F3744" s="6" t="str">
        <f t="shared" si="116"/>
        <v>August</v>
      </c>
      <c r="G3744" s="6">
        <f t="shared" si="117"/>
        <v>34</v>
      </c>
      <c r="H3744" s="1">
        <f>SUMIF('Retal Tran Line Item'!E:E,A3744,'Retal Tran Line Item'!B:B)</f>
        <v>8</v>
      </c>
    </row>
    <row r="3745" spans="1:8">
      <c r="A3745" s="1">
        <v>104605</v>
      </c>
      <c r="B3745" s="1">
        <v>551950</v>
      </c>
      <c r="C3745" s="2">
        <v>41869</v>
      </c>
      <c r="D3745" s="1" t="s">
        <v>1992</v>
      </c>
      <c r="E3745" s="6">
        <v>1</v>
      </c>
      <c r="F3745" s="6" t="str">
        <f t="shared" si="116"/>
        <v>August</v>
      </c>
      <c r="G3745" s="6">
        <f t="shared" si="117"/>
        <v>34</v>
      </c>
      <c r="H3745" s="1">
        <f>SUMIF('Retal Tran Line Item'!E:E,A3745,'Retal Tran Line Item'!B:B)</f>
        <v>12</v>
      </c>
    </row>
    <row r="3746" spans="1:8">
      <c r="A3746" s="1">
        <v>104606</v>
      </c>
      <c r="B3746" s="1">
        <v>553931</v>
      </c>
      <c r="C3746" s="2">
        <v>41869</v>
      </c>
      <c r="D3746" s="1" t="s">
        <v>1992</v>
      </c>
      <c r="E3746" s="6">
        <v>1</v>
      </c>
      <c r="F3746" s="6" t="str">
        <f t="shared" si="116"/>
        <v>August</v>
      </c>
      <c r="G3746" s="6">
        <f t="shared" si="117"/>
        <v>34</v>
      </c>
      <c r="H3746" s="1">
        <f>SUMIF('Retal Tran Line Item'!E:E,A3746,'Retal Tran Line Item'!B:B)</f>
        <v>4</v>
      </c>
    </row>
    <row r="3747" spans="1:8">
      <c r="A3747" s="1">
        <v>104608</v>
      </c>
      <c r="B3747" s="1">
        <v>111991</v>
      </c>
      <c r="C3747" s="2">
        <v>41869</v>
      </c>
      <c r="D3747" s="1" t="s">
        <v>1994</v>
      </c>
      <c r="E3747" s="6">
        <v>2</v>
      </c>
      <c r="F3747" s="6" t="str">
        <f t="shared" si="116"/>
        <v>August</v>
      </c>
      <c r="G3747" s="6">
        <f t="shared" si="117"/>
        <v>34</v>
      </c>
      <c r="H3747" s="1">
        <f>SUMIF('Retal Tran Line Item'!E:E,A3747,'Retal Tran Line Item'!B:B)</f>
        <v>1</v>
      </c>
    </row>
    <row r="3748" spans="1:8">
      <c r="A3748" s="1">
        <v>104610</v>
      </c>
      <c r="B3748" s="1">
        <v>413292</v>
      </c>
      <c r="C3748" s="2">
        <v>41869</v>
      </c>
      <c r="D3748" s="1" t="s">
        <v>1993</v>
      </c>
      <c r="E3748" s="6">
        <v>2</v>
      </c>
      <c r="F3748" s="6" t="str">
        <f t="shared" si="116"/>
        <v>August</v>
      </c>
      <c r="G3748" s="6">
        <f t="shared" si="117"/>
        <v>34</v>
      </c>
      <c r="H3748" s="1">
        <f>SUMIF('Retal Tran Line Item'!E:E,A3748,'Retal Tran Line Item'!B:B)</f>
        <v>6</v>
      </c>
    </row>
    <row r="3749" spans="1:8">
      <c r="A3749" s="1">
        <v>104612</v>
      </c>
      <c r="B3749" s="1">
        <v>191951</v>
      </c>
      <c r="C3749" s="2">
        <v>41870</v>
      </c>
      <c r="D3749" s="1" t="s">
        <v>1992</v>
      </c>
      <c r="E3749" s="6">
        <v>1</v>
      </c>
      <c r="F3749" s="6" t="str">
        <f t="shared" si="116"/>
        <v>August</v>
      </c>
      <c r="G3749" s="6">
        <f t="shared" si="117"/>
        <v>34</v>
      </c>
      <c r="H3749" s="1">
        <f>SUMIF('Retal Tran Line Item'!E:E,A3749,'Retal Tran Line Item'!B:B)</f>
        <v>9</v>
      </c>
    </row>
    <row r="3750" spans="1:8">
      <c r="A3750" s="1">
        <v>104613</v>
      </c>
      <c r="B3750" s="1">
        <v>994185</v>
      </c>
      <c r="C3750" s="2">
        <v>41870</v>
      </c>
      <c r="D3750" s="1" t="s">
        <v>1992</v>
      </c>
      <c r="E3750" s="6">
        <v>1</v>
      </c>
      <c r="F3750" s="6" t="str">
        <f t="shared" si="116"/>
        <v>August</v>
      </c>
      <c r="G3750" s="6">
        <f t="shared" si="117"/>
        <v>34</v>
      </c>
      <c r="H3750" s="1">
        <f>SUMIF('Retal Tran Line Item'!E:E,A3750,'Retal Tran Line Item'!B:B)</f>
        <v>8</v>
      </c>
    </row>
    <row r="3751" spans="1:8">
      <c r="A3751" s="1">
        <v>104615</v>
      </c>
      <c r="B3751" s="1">
        <v>404678</v>
      </c>
      <c r="C3751" s="2">
        <v>41870</v>
      </c>
      <c r="D3751" s="1" t="s">
        <v>1993</v>
      </c>
      <c r="E3751" s="6">
        <v>1</v>
      </c>
      <c r="F3751" s="6" t="str">
        <f t="shared" si="116"/>
        <v>August</v>
      </c>
      <c r="G3751" s="6">
        <f t="shared" si="117"/>
        <v>34</v>
      </c>
      <c r="H3751" s="1">
        <f>SUMIF('Retal Tran Line Item'!E:E,A3751,'Retal Tran Line Item'!B:B)</f>
        <v>3</v>
      </c>
    </row>
    <row r="3752" spans="1:8">
      <c r="A3752" s="1">
        <v>104616</v>
      </c>
      <c r="B3752" s="1">
        <v>345348</v>
      </c>
      <c r="C3752" s="2">
        <v>41870</v>
      </c>
      <c r="D3752" s="1" t="s">
        <v>1989</v>
      </c>
      <c r="E3752" s="6">
        <v>2</v>
      </c>
      <c r="F3752" s="6" t="str">
        <f t="shared" si="116"/>
        <v>August</v>
      </c>
      <c r="G3752" s="6">
        <f t="shared" si="117"/>
        <v>34</v>
      </c>
      <c r="H3752" s="1">
        <f>SUMIF('Retal Tran Line Item'!E:E,A3752,'Retal Tran Line Item'!B:B)</f>
        <v>2</v>
      </c>
    </row>
    <row r="3753" spans="1:8">
      <c r="A3753" s="1">
        <v>104617</v>
      </c>
      <c r="B3753" s="1">
        <v>183797</v>
      </c>
      <c r="C3753" s="2">
        <v>41870</v>
      </c>
      <c r="D3753" s="1" t="s">
        <v>1993</v>
      </c>
      <c r="E3753" s="6">
        <v>1</v>
      </c>
      <c r="F3753" s="6" t="str">
        <f t="shared" si="116"/>
        <v>August</v>
      </c>
      <c r="G3753" s="6">
        <f t="shared" si="117"/>
        <v>34</v>
      </c>
      <c r="H3753" s="1">
        <f>SUMIF('Retal Tran Line Item'!E:E,A3753,'Retal Tran Line Item'!B:B)</f>
        <v>7</v>
      </c>
    </row>
    <row r="3754" spans="1:8">
      <c r="A3754" s="1">
        <v>104620</v>
      </c>
      <c r="B3754" s="1">
        <v>714947</v>
      </c>
      <c r="C3754" s="2">
        <v>41871</v>
      </c>
      <c r="D3754" s="1" t="s">
        <v>1989</v>
      </c>
      <c r="E3754" s="6">
        <v>1</v>
      </c>
      <c r="F3754" s="6" t="str">
        <f t="shared" si="116"/>
        <v>August</v>
      </c>
      <c r="G3754" s="6">
        <f t="shared" si="117"/>
        <v>34</v>
      </c>
      <c r="H3754" s="1">
        <f>SUMIF('Retal Tran Line Item'!E:E,A3754,'Retal Tran Line Item'!B:B)</f>
        <v>11</v>
      </c>
    </row>
    <row r="3755" spans="1:8">
      <c r="A3755" s="1">
        <v>104622</v>
      </c>
      <c r="B3755" s="1">
        <v>205927</v>
      </c>
      <c r="C3755" s="2">
        <v>41871</v>
      </c>
      <c r="D3755" s="1" t="s">
        <v>1992</v>
      </c>
      <c r="E3755" s="6">
        <v>1</v>
      </c>
      <c r="F3755" s="6" t="str">
        <f t="shared" si="116"/>
        <v>August</v>
      </c>
      <c r="G3755" s="6">
        <f t="shared" si="117"/>
        <v>34</v>
      </c>
      <c r="H3755" s="1">
        <f>SUMIF('Retal Tran Line Item'!E:E,A3755,'Retal Tran Line Item'!B:B)</f>
        <v>3</v>
      </c>
    </row>
    <row r="3756" spans="1:8">
      <c r="A3756" s="1">
        <v>104623</v>
      </c>
      <c r="B3756" s="1">
        <v>889686</v>
      </c>
      <c r="C3756" s="2">
        <v>41871</v>
      </c>
      <c r="D3756" s="1" t="s">
        <v>1989</v>
      </c>
      <c r="E3756" s="6">
        <v>2</v>
      </c>
      <c r="F3756" s="6" t="str">
        <f t="shared" si="116"/>
        <v>August</v>
      </c>
      <c r="G3756" s="6">
        <f t="shared" si="117"/>
        <v>34</v>
      </c>
      <c r="H3756" s="1">
        <f>SUMIF('Retal Tran Line Item'!E:E,A3756,'Retal Tran Line Item'!B:B)</f>
        <v>10</v>
      </c>
    </row>
    <row r="3757" spans="1:8">
      <c r="A3757" s="1">
        <v>104624</v>
      </c>
      <c r="B3757" s="1">
        <v>491380</v>
      </c>
      <c r="C3757" s="2">
        <v>41871</v>
      </c>
      <c r="D3757" s="1" t="s">
        <v>1992</v>
      </c>
      <c r="E3757" s="6">
        <v>2</v>
      </c>
      <c r="F3757" s="6" t="str">
        <f t="shared" si="116"/>
        <v>August</v>
      </c>
      <c r="G3757" s="6">
        <f t="shared" si="117"/>
        <v>34</v>
      </c>
      <c r="H3757" s="1">
        <f>SUMIF('Retal Tran Line Item'!E:E,A3757,'Retal Tran Line Item'!B:B)</f>
        <v>6</v>
      </c>
    </row>
    <row r="3758" spans="1:8">
      <c r="A3758" s="1">
        <v>104627</v>
      </c>
      <c r="B3758" s="1">
        <v>464984</v>
      </c>
      <c r="C3758" s="2">
        <v>41872</v>
      </c>
      <c r="D3758" s="1" t="s">
        <v>1993</v>
      </c>
      <c r="E3758" s="6">
        <v>1</v>
      </c>
      <c r="F3758" s="6" t="str">
        <f t="shared" si="116"/>
        <v>August</v>
      </c>
      <c r="G3758" s="6">
        <f t="shared" si="117"/>
        <v>34</v>
      </c>
      <c r="H3758" s="1">
        <f>SUMIF('Retal Tran Line Item'!E:E,A3758,'Retal Tran Line Item'!B:B)</f>
        <v>2</v>
      </c>
    </row>
    <row r="3759" spans="1:8">
      <c r="A3759" s="1">
        <v>104628</v>
      </c>
      <c r="B3759" s="1">
        <v>672834</v>
      </c>
      <c r="C3759" s="2">
        <v>41872</v>
      </c>
      <c r="D3759" s="1" t="s">
        <v>1993</v>
      </c>
      <c r="E3759" s="6">
        <v>1</v>
      </c>
      <c r="F3759" s="6" t="str">
        <f t="shared" si="116"/>
        <v>August</v>
      </c>
      <c r="G3759" s="6">
        <f t="shared" si="117"/>
        <v>34</v>
      </c>
      <c r="H3759" s="1">
        <f>SUMIF('Retal Tran Line Item'!E:E,A3759,'Retal Tran Line Item'!B:B)</f>
        <v>3</v>
      </c>
    </row>
    <row r="3760" spans="1:8">
      <c r="A3760" s="1">
        <v>104629</v>
      </c>
      <c r="B3760" s="1">
        <v>646700</v>
      </c>
      <c r="C3760" s="2">
        <v>41872</v>
      </c>
      <c r="D3760" s="1" t="s">
        <v>1989</v>
      </c>
      <c r="E3760" s="6">
        <v>1</v>
      </c>
      <c r="F3760" s="6" t="str">
        <f t="shared" si="116"/>
        <v>August</v>
      </c>
      <c r="G3760" s="6">
        <f t="shared" si="117"/>
        <v>34</v>
      </c>
      <c r="H3760" s="1">
        <f>SUMIF('Retal Tran Line Item'!E:E,A3760,'Retal Tran Line Item'!B:B)</f>
        <v>3</v>
      </c>
    </row>
    <row r="3761" spans="1:8">
      <c r="A3761" s="1">
        <v>104630</v>
      </c>
      <c r="B3761" s="1">
        <v>992956</v>
      </c>
      <c r="C3761" s="2">
        <v>41872</v>
      </c>
      <c r="D3761" s="1" t="s">
        <v>1992</v>
      </c>
      <c r="E3761" s="6">
        <v>1</v>
      </c>
      <c r="F3761" s="6" t="str">
        <f t="shared" si="116"/>
        <v>August</v>
      </c>
      <c r="G3761" s="6">
        <f t="shared" si="117"/>
        <v>34</v>
      </c>
      <c r="H3761" s="1">
        <f>SUMIF('Retal Tran Line Item'!E:E,A3761,'Retal Tran Line Item'!B:B)</f>
        <v>7</v>
      </c>
    </row>
    <row r="3762" spans="1:8">
      <c r="A3762" s="1">
        <v>104631</v>
      </c>
      <c r="B3762" s="1">
        <v>441628</v>
      </c>
      <c r="C3762" s="2">
        <v>41872</v>
      </c>
      <c r="D3762" s="1" t="s">
        <v>1989</v>
      </c>
      <c r="E3762" s="6">
        <v>1</v>
      </c>
      <c r="F3762" s="6" t="str">
        <f t="shared" si="116"/>
        <v>August</v>
      </c>
      <c r="G3762" s="6">
        <f t="shared" si="117"/>
        <v>34</v>
      </c>
      <c r="H3762" s="1">
        <f>SUMIF('Retal Tran Line Item'!E:E,A3762,'Retal Tran Line Item'!B:B)</f>
        <v>20</v>
      </c>
    </row>
    <row r="3763" spans="1:8">
      <c r="A3763" s="1">
        <v>104632</v>
      </c>
      <c r="B3763" s="1">
        <v>447601</v>
      </c>
      <c r="C3763" s="2">
        <v>41872</v>
      </c>
      <c r="D3763" s="1" t="s">
        <v>1989</v>
      </c>
      <c r="E3763" s="6">
        <v>2</v>
      </c>
      <c r="F3763" s="6" t="str">
        <f t="shared" si="116"/>
        <v>August</v>
      </c>
      <c r="G3763" s="6">
        <f t="shared" si="117"/>
        <v>34</v>
      </c>
      <c r="H3763" s="1">
        <f>SUMIF('Retal Tran Line Item'!E:E,A3763,'Retal Tran Line Item'!B:B)</f>
        <v>7</v>
      </c>
    </row>
    <row r="3764" spans="1:8">
      <c r="A3764" s="1">
        <v>104633</v>
      </c>
      <c r="B3764" s="1">
        <v>230602</v>
      </c>
      <c r="C3764" s="2">
        <v>41872</v>
      </c>
      <c r="D3764" s="1" t="s">
        <v>1992</v>
      </c>
      <c r="E3764" s="6">
        <v>2</v>
      </c>
      <c r="F3764" s="6" t="str">
        <f t="shared" si="116"/>
        <v>August</v>
      </c>
      <c r="G3764" s="6">
        <f t="shared" si="117"/>
        <v>34</v>
      </c>
      <c r="H3764" s="1">
        <f>SUMIF('Retal Tran Line Item'!E:E,A3764,'Retal Tran Line Item'!B:B)</f>
        <v>3</v>
      </c>
    </row>
    <row r="3765" spans="1:8">
      <c r="A3765" s="1">
        <v>104634</v>
      </c>
      <c r="B3765" s="1">
        <v>558749</v>
      </c>
      <c r="C3765" s="2">
        <v>41873</v>
      </c>
      <c r="D3765" s="1" t="s">
        <v>1992</v>
      </c>
      <c r="E3765" s="6">
        <v>2</v>
      </c>
      <c r="F3765" s="6" t="str">
        <f t="shared" si="116"/>
        <v>August</v>
      </c>
      <c r="G3765" s="6">
        <f t="shared" si="117"/>
        <v>34</v>
      </c>
      <c r="H3765" s="1">
        <f>SUMIF('Retal Tran Line Item'!E:E,A3765,'Retal Tran Line Item'!B:B)</f>
        <v>1</v>
      </c>
    </row>
    <row r="3766" spans="1:8">
      <c r="A3766" s="1">
        <v>104635</v>
      </c>
      <c r="B3766" s="1">
        <v>559054</v>
      </c>
      <c r="C3766" s="2">
        <v>41873</v>
      </c>
      <c r="D3766" s="1" t="s">
        <v>1994</v>
      </c>
      <c r="E3766" s="6">
        <v>1</v>
      </c>
      <c r="F3766" s="6" t="str">
        <f t="shared" si="116"/>
        <v>August</v>
      </c>
      <c r="G3766" s="6">
        <f t="shared" si="117"/>
        <v>34</v>
      </c>
      <c r="H3766" s="1">
        <f>SUMIF('Retal Tran Line Item'!E:E,A3766,'Retal Tran Line Item'!B:B)</f>
        <v>3</v>
      </c>
    </row>
    <row r="3767" spans="1:8">
      <c r="A3767" s="1">
        <v>104636</v>
      </c>
      <c r="B3767" s="1">
        <v>888759</v>
      </c>
      <c r="C3767" s="2">
        <v>41873</v>
      </c>
      <c r="D3767" s="1" t="s">
        <v>1993</v>
      </c>
      <c r="E3767" s="6">
        <v>1</v>
      </c>
      <c r="F3767" s="6" t="str">
        <f t="shared" si="116"/>
        <v>August</v>
      </c>
      <c r="G3767" s="6">
        <f t="shared" si="117"/>
        <v>34</v>
      </c>
      <c r="H3767" s="1">
        <f>SUMIF('Retal Tran Line Item'!E:E,A3767,'Retal Tran Line Item'!B:B)</f>
        <v>18</v>
      </c>
    </row>
    <row r="3768" spans="1:8">
      <c r="A3768" s="1">
        <v>104637</v>
      </c>
      <c r="B3768" s="1">
        <v>162236</v>
      </c>
      <c r="C3768" s="2">
        <v>41873</v>
      </c>
      <c r="D3768" s="1" t="s">
        <v>1992</v>
      </c>
      <c r="E3768" s="6">
        <v>1</v>
      </c>
      <c r="F3768" s="6" t="str">
        <f t="shared" si="116"/>
        <v>August</v>
      </c>
      <c r="G3768" s="6">
        <f t="shared" si="117"/>
        <v>34</v>
      </c>
      <c r="H3768" s="1">
        <f>SUMIF('Retal Tran Line Item'!E:E,A3768,'Retal Tran Line Item'!B:B)</f>
        <v>7</v>
      </c>
    </row>
    <row r="3769" spans="1:8">
      <c r="A3769" s="1">
        <v>104638</v>
      </c>
      <c r="B3769" s="1">
        <v>194680</v>
      </c>
      <c r="C3769" s="2">
        <v>41873</v>
      </c>
      <c r="D3769" s="1" t="s">
        <v>1993</v>
      </c>
      <c r="E3769" s="6">
        <v>2</v>
      </c>
      <c r="F3769" s="6" t="str">
        <f t="shared" si="116"/>
        <v>August</v>
      </c>
      <c r="G3769" s="6">
        <f t="shared" si="117"/>
        <v>34</v>
      </c>
      <c r="H3769" s="1">
        <f>SUMIF('Retal Tran Line Item'!E:E,A3769,'Retal Tran Line Item'!B:B)</f>
        <v>8</v>
      </c>
    </row>
    <row r="3770" spans="1:8">
      <c r="A3770" s="1">
        <v>104639</v>
      </c>
      <c r="B3770" s="1">
        <v>346006</v>
      </c>
      <c r="C3770" s="2">
        <v>41873</v>
      </c>
      <c r="D3770" s="1" t="s">
        <v>1989</v>
      </c>
      <c r="E3770" s="6">
        <v>2</v>
      </c>
      <c r="F3770" s="6" t="str">
        <f t="shared" si="116"/>
        <v>August</v>
      </c>
      <c r="G3770" s="6">
        <f t="shared" si="117"/>
        <v>34</v>
      </c>
      <c r="H3770" s="1">
        <f>SUMIF('Retal Tran Line Item'!E:E,A3770,'Retal Tran Line Item'!B:B)</f>
        <v>5</v>
      </c>
    </row>
    <row r="3771" spans="1:8">
      <c r="A3771" s="1">
        <v>104640</v>
      </c>
      <c r="B3771" s="1">
        <v>563500</v>
      </c>
      <c r="C3771" s="2">
        <v>41873</v>
      </c>
      <c r="D3771" s="1" t="s">
        <v>1992</v>
      </c>
      <c r="E3771" s="6">
        <v>2</v>
      </c>
      <c r="F3771" s="6" t="str">
        <f t="shared" si="116"/>
        <v>August</v>
      </c>
      <c r="G3771" s="6">
        <f t="shared" si="117"/>
        <v>34</v>
      </c>
      <c r="H3771" s="1">
        <f>SUMIF('Retal Tran Line Item'!E:E,A3771,'Retal Tran Line Item'!B:B)</f>
        <v>14</v>
      </c>
    </row>
    <row r="3772" spans="1:8">
      <c r="A3772" s="1">
        <v>104641</v>
      </c>
      <c r="B3772" s="1">
        <v>275152</v>
      </c>
      <c r="C3772" s="2">
        <v>41873</v>
      </c>
      <c r="D3772" s="1" t="s">
        <v>1992</v>
      </c>
      <c r="E3772" s="6">
        <v>2</v>
      </c>
      <c r="F3772" s="6" t="str">
        <f t="shared" si="116"/>
        <v>August</v>
      </c>
      <c r="G3772" s="6">
        <f t="shared" si="117"/>
        <v>34</v>
      </c>
      <c r="H3772" s="1">
        <f>SUMIF('Retal Tran Line Item'!E:E,A3772,'Retal Tran Line Item'!B:B)</f>
        <v>10</v>
      </c>
    </row>
    <row r="3773" spans="1:8">
      <c r="A3773" s="1">
        <v>104642</v>
      </c>
      <c r="B3773" s="1">
        <v>432113</v>
      </c>
      <c r="C3773" s="2">
        <v>41874</v>
      </c>
      <c r="D3773" s="1" t="s">
        <v>1989</v>
      </c>
      <c r="E3773" s="6">
        <v>1</v>
      </c>
      <c r="F3773" s="6" t="str">
        <f t="shared" si="116"/>
        <v>August</v>
      </c>
      <c r="G3773" s="6">
        <f t="shared" si="117"/>
        <v>34</v>
      </c>
      <c r="H3773" s="1">
        <f>SUMIF('Retal Tran Line Item'!E:E,A3773,'Retal Tran Line Item'!B:B)</f>
        <v>8</v>
      </c>
    </row>
    <row r="3774" spans="1:8">
      <c r="A3774" s="1">
        <v>104643</v>
      </c>
      <c r="B3774" s="1">
        <v>240205</v>
      </c>
      <c r="C3774" s="2">
        <v>41874</v>
      </c>
      <c r="D3774" s="1" t="s">
        <v>1992</v>
      </c>
      <c r="E3774" s="6">
        <v>2</v>
      </c>
      <c r="F3774" s="6" t="str">
        <f t="shared" si="116"/>
        <v>August</v>
      </c>
      <c r="G3774" s="6">
        <f t="shared" si="117"/>
        <v>34</v>
      </c>
      <c r="H3774" s="1">
        <f>SUMIF('Retal Tran Line Item'!E:E,A3774,'Retal Tran Line Item'!B:B)</f>
        <v>3</v>
      </c>
    </row>
    <row r="3775" spans="1:8">
      <c r="A3775" s="1">
        <v>104646</v>
      </c>
      <c r="B3775" s="1">
        <v>695276</v>
      </c>
      <c r="C3775" s="2">
        <v>41874</v>
      </c>
      <c r="D3775" s="1" t="s">
        <v>1992</v>
      </c>
      <c r="E3775" s="6">
        <v>1</v>
      </c>
      <c r="F3775" s="6" t="str">
        <f t="shared" si="116"/>
        <v>August</v>
      </c>
      <c r="G3775" s="6">
        <f t="shared" si="117"/>
        <v>34</v>
      </c>
      <c r="H3775" s="1">
        <f>SUMIF('Retal Tran Line Item'!E:E,A3775,'Retal Tran Line Item'!B:B)</f>
        <v>8</v>
      </c>
    </row>
    <row r="3776" spans="1:8">
      <c r="A3776" s="1">
        <v>104647</v>
      </c>
      <c r="B3776" s="1">
        <v>994185</v>
      </c>
      <c r="C3776" s="2">
        <v>41874</v>
      </c>
      <c r="D3776" s="1" t="s">
        <v>1992</v>
      </c>
      <c r="E3776" s="6">
        <v>1</v>
      </c>
      <c r="F3776" s="6" t="str">
        <f t="shared" si="116"/>
        <v>August</v>
      </c>
      <c r="G3776" s="6">
        <f t="shared" si="117"/>
        <v>34</v>
      </c>
      <c r="H3776" s="1">
        <f>SUMIF('Retal Tran Line Item'!E:E,A3776,'Retal Tran Line Item'!B:B)</f>
        <v>9</v>
      </c>
    </row>
    <row r="3777" spans="1:8">
      <c r="A3777" s="1">
        <v>104648</v>
      </c>
      <c r="B3777" s="1">
        <v>194680</v>
      </c>
      <c r="C3777" s="2">
        <v>41874</v>
      </c>
      <c r="D3777" s="1" t="s">
        <v>1993</v>
      </c>
      <c r="E3777" s="6">
        <v>1</v>
      </c>
      <c r="F3777" s="6" t="str">
        <f t="shared" si="116"/>
        <v>August</v>
      </c>
      <c r="G3777" s="6">
        <f t="shared" si="117"/>
        <v>34</v>
      </c>
      <c r="H3777" s="1">
        <f>SUMIF('Retal Tran Line Item'!E:E,A3777,'Retal Tran Line Item'!B:B)</f>
        <v>15</v>
      </c>
    </row>
    <row r="3778" spans="1:8">
      <c r="A3778" s="1">
        <v>104650</v>
      </c>
      <c r="B3778" s="1">
        <v>590517</v>
      </c>
      <c r="C3778" s="2">
        <v>41875</v>
      </c>
      <c r="D3778" s="1" t="s">
        <v>1994</v>
      </c>
      <c r="E3778" s="6">
        <v>1</v>
      </c>
      <c r="F3778" s="6" t="str">
        <f t="shared" si="116"/>
        <v>August</v>
      </c>
      <c r="G3778" s="6">
        <f t="shared" si="117"/>
        <v>35</v>
      </c>
      <c r="H3778" s="1">
        <f>SUMIF('Retal Tran Line Item'!E:E,A3778,'Retal Tran Line Item'!B:B)</f>
        <v>11</v>
      </c>
    </row>
    <row r="3779" spans="1:8">
      <c r="A3779" s="1">
        <v>104651</v>
      </c>
      <c r="B3779" s="1">
        <v>230602</v>
      </c>
      <c r="C3779" s="2">
        <v>41875</v>
      </c>
      <c r="D3779" s="1" t="s">
        <v>1992</v>
      </c>
      <c r="E3779" s="6">
        <v>1</v>
      </c>
      <c r="F3779" s="6" t="str">
        <f t="shared" ref="F3779:F3842" si="118">TEXT(C3779,"MMMM")</f>
        <v>August</v>
      </c>
      <c r="G3779" s="6">
        <f t="shared" ref="G3779:G3842" si="119">WEEKNUM(C3779)</f>
        <v>35</v>
      </c>
      <c r="H3779" s="1">
        <f>SUMIF('Retal Tran Line Item'!E:E,A3779,'Retal Tran Line Item'!B:B)</f>
        <v>4</v>
      </c>
    </row>
    <row r="3780" spans="1:8">
      <c r="A3780" s="1">
        <v>104652</v>
      </c>
      <c r="B3780" s="1">
        <v>500733</v>
      </c>
      <c r="C3780" s="2">
        <v>41875</v>
      </c>
      <c r="D3780" s="1" t="s">
        <v>1994</v>
      </c>
      <c r="E3780" s="6">
        <v>2</v>
      </c>
      <c r="F3780" s="6" t="str">
        <f t="shared" si="118"/>
        <v>August</v>
      </c>
      <c r="G3780" s="6">
        <f t="shared" si="119"/>
        <v>35</v>
      </c>
      <c r="H3780" s="1">
        <f>SUMIF('Retal Tran Line Item'!E:E,A3780,'Retal Tran Line Item'!B:B)</f>
        <v>3</v>
      </c>
    </row>
    <row r="3781" spans="1:8">
      <c r="A3781" s="1">
        <v>104653</v>
      </c>
      <c r="B3781" s="1">
        <v>116934</v>
      </c>
      <c r="C3781" s="2">
        <v>41875</v>
      </c>
      <c r="D3781" s="1" t="s">
        <v>1992</v>
      </c>
      <c r="E3781" s="6">
        <v>1</v>
      </c>
      <c r="F3781" s="6" t="str">
        <f t="shared" si="118"/>
        <v>August</v>
      </c>
      <c r="G3781" s="6">
        <f t="shared" si="119"/>
        <v>35</v>
      </c>
      <c r="H3781" s="1">
        <f>SUMIF('Retal Tran Line Item'!E:E,A3781,'Retal Tran Line Item'!B:B)</f>
        <v>3</v>
      </c>
    </row>
    <row r="3782" spans="1:8">
      <c r="A3782" s="1">
        <v>104654</v>
      </c>
      <c r="B3782" s="1">
        <v>999915</v>
      </c>
      <c r="C3782" s="2">
        <v>41875</v>
      </c>
      <c r="D3782" s="1" t="s">
        <v>1989</v>
      </c>
      <c r="E3782" s="6">
        <v>2</v>
      </c>
      <c r="F3782" s="6" t="str">
        <f t="shared" si="118"/>
        <v>August</v>
      </c>
      <c r="G3782" s="6">
        <f t="shared" si="119"/>
        <v>35</v>
      </c>
      <c r="H3782" s="1">
        <f>SUMIF('Retal Tran Line Item'!E:E,A3782,'Retal Tran Line Item'!B:B)</f>
        <v>3</v>
      </c>
    </row>
    <row r="3783" spans="1:8">
      <c r="A3783" s="1">
        <v>104658</v>
      </c>
      <c r="B3783" s="1">
        <v>231615</v>
      </c>
      <c r="C3783" s="2">
        <v>41876</v>
      </c>
      <c r="D3783" s="1" t="s">
        <v>1989</v>
      </c>
      <c r="E3783" s="6">
        <v>2</v>
      </c>
      <c r="F3783" s="6" t="str">
        <f t="shared" si="118"/>
        <v>August</v>
      </c>
      <c r="G3783" s="6">
        <f t="shared" si="119"/>
        <v>35</v>
      </c>
      <c r="H3783" s="1">
        <f>SUMIF('Retal Tran Line Item'!E:E,A3783,'Retal Tran Line Item'!B:B)</f>
        <v>10</v>
      </c>
    </row>
    <row r="3784" spans="1:8">
      <c r="A3784" s="1">
        <v>104660</v>
      </c>
      <c r="B3784" s="1">
        <v>116690</v>
      </c>
      <c r="C3784" s="2">
        <v>41876</v>
      </c>
      <c r="D3784" s="1" t="s">
        <v>1992</v>
      </c>
      <c r="E3784" s="6">
        <v>2</v>
      </c>
      <c r="F3784" s="6" t="str">
        <f t="shared" si="118"/>
        <v>August</v>
      </c>
      <c r="G3784" s="6">
        <f t="shared" si="119"/>
        <v>35</v>
      </c>
      <c r="H3784" s="1">
        <f>SUMIF('Retal Tran Line Item'!E:E,A3784,'Retal Tran Line Item'!B:B)</f>
        <v>8</v>
      </c>
    </row>
    <row r="3785" spans="1:8">
      <c r="A3785" s="1">
        <v>104662</v>
      </c>
      <c r="B3785" s="1">
        <v>448739</v>
      </c>
      <c r="C3785" s="2">
        <v>41876</v>
      </c>
      <c r="D3785" s="1" t="s">
        <v>1989</v>
      </c>
      <c r="E3785" s="6">
        <v>1</v>
      </c>
      <c r="F3785" s="6" t="str">
        <f t="shared" si="118"/>
        <v>August</v>
      </c>
      <c r="G3785" s="6">
        <f t="shared" si="119"/>
        <v>35</v>
      </c>
      <c r="H3785" s="1">
        <f>SUMIF('Retal Tran Line Item'!E:E,A3785,'Retal Tran Line Item'!B:B)</f>
        <v>10</v>
      </c>
    </row>
    <row r="3786" spans="1:8">
      <c r="A3786" s="1">
        <v>104663</v>
      </c>
      <c r="B3786" s="1">
        <v>921901</v>
      </c>
      <c r="C3786" s="2">
        <v>41876</v>
      </c>
      <c r="D3786" s="1" t="s">
        <v>1989</v>
      </c>
      <c r="E3786" s="6">
        <v>2</v>
      </c>
      <c r="F3786" s="6" t="str">
        <f t="shared" si="118"/>
        <v>August</v>
      </c>
      <c r="G3786" s="6">
        <f t="shared" si="119"/>
        <v>35</v>
      </c>
      <c r="H3786" s="1">
        <f>SUMIF('Retal Tran Line Item'!E:E,A3786,'Retal Tran Line Item'!B:B)</f>
        <v>3</v>
      </c>
    </row>
    <row r="3787" spans="1:8">
      <c r="A3787" s="1">
        <v>104666</v>
      </c>
      <c r="B3787" s="1">
        <v>921901</v>
      </c>
      <c r="C3787" s="2">
        <v>41877</v>
      </c>
      <c r="D3787" s="1" t="s">
        <v>1989</v>
      </c>
      <c r="E3787" s="6">
        <v>2</v>
      </c>
      <c r="F3787" s="6" t="str">
        <f t="shared" si="118"/>
        <v>August</v>
      </c>
      <c r="G3787" s="6">
        <f t="shared" si="119"/>
        <v>35</v>
      </c>
      <c r="H3787" s="1">
        <f>SUMIF('Retal Tran Line Item'!E:E,A3787,'Retal Tran Line Item'!B:B)</f>
        <v>4</v>
      </c>
    </row>
    <row r="3788" spans="1:8">
      <c r="A3788" s="1">
        <v>104667</v>
      </c>
      <c r="B3788" s="1">
        <v>111486</v>
      </c>
      <c r="C3788" s="2">
        <v>41877</v>
      </c>
      <c r="D3788" s="1" t="s">
        <v>1993</v>
      </c>
      <c r="E3788" s="6">
        <v>2</v>
      </c>
      <c r="F3788" s="6" t="str">
        <f t="shared" si="118"/>
        <v>August</v>
      </c>
      <c r="G3788" s="6">
        <f t="shared" si="119"/>
        <v>35</v>
      </c>
      <c r="H3788" s="1">
        <f>SUMIF('Retal Tran Line Item'!E:E,A3788,'Retal Tran Line Item'!B:B)</f>
        <v>8</v>
      </c>
    </row>
    <row r="3789" spans="1:8">
      <c r="A3789" s="1">
        <v>104672</v>
      </c>
      <c r="B3789" s="1">
        <v>104939</v>
      </c>
      <c r="C3789" s="2">
        <v>41878</v>
      </c>
      <c r="D3789" s="1" t="s">
        <v>1992</v>
      </c>
      <c r="E3789" s="6">
        <v>2</v>
      </c>
      <c r="F3789" s="6" t="str">
        <f t="shared" si="118"/>
        <v>August</v>
      </c>
      <c r="G3789" s="6">
        <f t="shared" si="119"/>
        <v>35</v>
      </c>
      <c r="H3789" s="1">
        <f>SUMIF('Retal Tran Line Item'!E:E,A3789,'Retal Tran Line Item'!B:B)</f>
        <v>1</v>
      </c>
    </row>
    <row r="3790" spans="1:8">
      <c r="A3790" s="1">
        <v>104673</v>
      </c>
      <c r="B3790" s="1">
        <v>921901</v>
      </c>
      <c r="C3790" s="2">
        <v>41878</v>
      </c>
      <c r="D3790" s="1" t="s">
        <v>1989</v>
      </c>
      <c r="E3790" s="6">
        <v>2</v>
      </c>
      <c r="F3790" s="6" t="str">
        <f t="shared" si="118"/>
        <v>August</v>
      </c>
      <c r="G3790" s="6">
        <f t="shared" si="119"/>
        <v>35</v>
      </c>
      <c r="H3790" s="1">
        <f>SUMIF('Retal Tran Line Item'!E:E,A3790,'Retal Tran Line Item'!B:B)</f>
        <v>4</v>
      </c>
    </row>
    <row r="3791" spans="1:8">
      <c r="A3791" s="1">
        <v>104674</v>
      </c>
      <c r="B3791" s="1">
        <v>331115</v>
      </c>
      <c r="C3791" s="2">
        <v>41878</v>
      </c>
      <c r="D3791" s="1" t="s">
        <v>1989</v>
      </c>
      <c r="E3791" s="6">
        <v>2</v>
      </c>
      <c r="F3791" s="6" t="str">
        <f t="shared" si="118"/>
        <v>August</v>
      </c>
      <c r="G3791" s="6">
        <f t="shared" si="119"/>
        <v>35</v>
      </c>
      <c r="H3791" s="1">
        <f>SUMIF('Retal Tran Line Item'!E:E,A3791,'Retal Tran Line Item'!B:B)</f>
        <v>19</v>
      </c>
    </row>
    <row r="3792" spans="1:8">
      <c r="A3792" s="1">
        <v>104675</v>
      </c>
      <c r="B3792" s="1">
        <v>622131</v>
      </c>
      <c r="C3792" s="2">
        <v>41878</v>
      </c>
      <c r="D3792" s="1" t="s">
        <v>1993</v>
      </c>
      <c r="E3792" s="6">
        <v>1</v>
      </c>
      <c r="F3792" s="6" t="str">
        <f t="shared" si="118"/>
        <v>August</v>
      </c>
      <c r="G3792" s="6">
        <f t="shared" si="119"/>
        <v>35</v>
      </c>
      <c r="H3792" s="1">
        <f>SUMIF('Retal Tran Line Item'!E:E,A3792,'Retal Tran Line Item'!B:B)</f>
        <v>5</v>
      </c>
    </row>
    <row r="3793" spans="1:8">
      <c r="A3793" s="1">
        <v>104676</v>
      </c>
      <c r="B3793" s="1">
        <v>407605</v>
      </c>
      <c r="C3793" s="2">
        <v>41878</v>
      </c>
      <c r="D3793" s="1" t="s">
        <v>1994</v>
      </c>
      <c r="E3793" s="6">
        <v>1</v>
      </c>
      <c r="F3793" s="6" t="str">
        <f t="shared" si="118"/>
        <v>August</v>
      </c>
      <c r="G3793" s="6">
        <f t="shared" si="119"/>
        <v>35</v>
      </c>
      <c r="H3793" s="1">
        <f>SUMIF('Retal Tran Line Item'!E:E,A3793,'Retal Tran Line Item'!B:B)</f>
        <v>10</v>
      </c>
    </row>
    <row r="3794" spans="1:8">
      <c r="A3794" s="1">
        <v>104677</v>
      </c>
      <c r="B3794" s="1">
        <v>561305</v>
      </c>
      <c r="C3794" s="2">
        <v>41878</v>
      </c>
      <c r="D3794" s="1" t="s">
        <v>1993</v>
      </c>
      <c r="E3794" s="6">
        <v>1</v>
      </c>
      <c r="F3794" s="6" t="str">
        <f t="shared" si="118"/>
        <v>August</v>
      </c>
      <c r="G3794" s="6">
        <f t="shared" si="119"/>
        <v>35</v>
      </c>
      <c r="H3794" s="1">
        <f>SUMIF('Retal Tran Line Item'!E:E,A3794,'Retal Tran Line Item'!B:B)</f>
        <v>9</v>
      </c>
    </row>
    <row r="3795" spans="1:8">
      <c r="A3795" s="1">
        <v>104678</v>
      </c>
      <c r="B3795" s="1">
        <v>109251</v>
      </c>
      <c r="C3795" s="2">
        <v>41879</v>
      </c>
      <c r="D3795" s="1" t="s">
        <v>1993</v>
      </c>
      <c r="E3795" s="6">
        <v>2</v>
      </c>
      <c r="F3795" s="6" t="str">
        <f t="shared" si="118"/>
        <v>August</v>
      </c>
      <c r="G3795" s="6">
        <f t="shared" si="119"/>
        <v>35</v>
      </c>
      <c r="H3795" s="1">
        <f>SUMIF('Retal Tran Line Item'!E:E,A3795,'Retal Tran Line Item'!B:B)</f>
        <v>10</v>
      </c>
    </row>
    <row r="3796" spans="1:8">
      <c r="A3796" s="1">
        <v>104680</v>
      </c>
      <c r="B3796" s="1">
        <v>427391</v>
      </c>
      <c r="C3796" s="2">
        <v>41879</v>
      </c>
      <c r="D3796" s="1" t="s">
        <v>1992</v>
      </c>
      <c r="E3796" s="6">
        <v>2</v>
      </c>
      <c r="F3796" s="6" t="str">
        <f t="shared" si="118"/>
        <v>August</v>
      </c>
      <c r="G3796" s="6">
        <f t="shared" si="119"/>
        <v>35</v>
      </c>
      <c r="H3796" s="1">
        <f>SUMIF('Retal Tran Line Item'!E:E,A3796,'Retal Tran Line Item'!B:B)</f>
        <v>3</v>
      </c>
    </row>
    <row r="3797" spans="1:8">
      <c r="A3797" s="1">
        <v>104681</v>
      </c>
      <c r="B3797" s="1">
        <v>447368</v>
      </c>
      <c r="C3797" s="2">
        <v>41879</v>
      </c>
      <c r="D3797" s="1" t="s">
        <v>1993</v>
      </c>
      <c r="E3797" s="6">
        <v>1</v>
      </c>
      <c r="F3797" s="6" t="str">
        <f t="shared" si="118"/>
        <v>August</v>
      </c>
      <c r="G3797" s="6">
        <f t="shared" si="119"/>
        <v>35</v>
      </c>
      <c r="H3797" s="1">
        <f>SUMIF('Retal Tran Line Item'!E:E,A3797,'Retal Tran Line Item'!B:B)</f>
        <v>3</v>
      </c>
    </row>
    <row r="3798" spans="1:8">
      <c r="A3798" s="1">
        <v>104682</v>
      </c>
      <c r="B3798" s="1">
        <v>192738</v>
      </c>
      <c r="C3798" s="2">
        <v>41879</v>
      </c>
      <c r="D3798" s="1" t="s">
        <v>1994</v>
      </c>
      <c r="E3798" s="6">
        <v>2</v>
      </c>
      <c r="F3798" s="6" t="str">
        <f t="shared" si="118"/>
        <v>August</v>
      </c>
      <c r="G3798" s="6">
        <f t="shared" si="119"/>
        <v>35</v>
      </c>
      <c r="H3798" s="1">
        <f>SUMIF('Retal Tran Line Item'!E:E,A3798,'Retal Tran Line Item'!B:B)</f>
        <v>1</v>
      </c>
    </row>
    <row r="3799" spans="1:8">
      <c r="A3799" s="1">
        <v>104683</v>
      </c>
      <c r="B3799" s="1">
        <v>448739</v>
      </c>
      <c r="C3799" s="2">
        <v>41879</v>
      </c>
      <c r="D3799" s="1" t="s">
        <v>1989</v>
      </c>
      <c r="E3799" s="6">
        <v>2</v>
      </c>
      <c r="F3799" s="6" t="str">
        <f t="shared" si="118"/>
        <v>August</v>
      </c>
      <c r="G3799" s="6">
        <f t="shared" si="119"/>
        <v>35</v>
      </c>
      <c r="H3799" s="1">
        <f>SUMIF('Retal Tran Line Item'!E:E,A3799,'Retal Tran Line Item'!B:B)</f>
        <v>21</v>
      </c>
    </row>
    <row r="3800" spans="1:8">
      <c r="A3800" s="1">
        <v>104684</v>
      </c>
      <c r="B3800" s="1">
        <v>265707</v>
      </c>
      <c r="C3800" s="2">
        <v>41879</v>
      </c>
      <c r="D3800" s="1" t="s">
        <v>1994</v>
      </c>
      <c r="E3800" s="6">
        <v>1</v>
      </c>
      <c r="F3800" s="6" t="str">
        <f t="shared" si="118"/>
        <v>August</v>
      </c>
      <c r="G3800" s="6">
        <f t="shared" si="119"/>
        <v>35</v>
      </c>
      <c r="H3800" s="1">
        <f>SUMIF('Retal Tran Line Item'!E:E,A3800,'Retal Tran Line Item'!B:B)</f>
        <v>13</v>
      </c>
    </row>
    <row r="3801" spans="1:8">
      <c r="A3801" s="1">
        <v>104686</v>
      </c>
      <c r="B3801" s="1">
        <v>701211</v>
      </c>
      <c r="C3801" s="2">
        <v>41880</v>
      </c>
      <c r="D3801" s="1" t="s">
        <v>1993</v>
      </c>
      <c r="E3801" s="6">
        <v>2</v>
      </c>
      <c r="F3801" s="6" t="str">
        <f t="shared" si="118"/>
        <v>August</v>
      </c>
      <c r="G3801" s="6">
        <f t="shared" si="119"/>
        <v>35</v>
      </c>
      <c r="H3801" s="1">
        <f>SUMIF('Retal Tran Line Item'!E:E,A3801,'Retal Tran Line Item'!B:B)</f>
        <v>6</v>
      </c>
    </row>
    <row r="3802" spans="1:8">
      <c r="A3802" s="1">
        <v>104687</v>
      </c>
      <c r="B3802" s="1">
        <v>852925</v>
      </c>
      <c r="C3802" s="2">
        <v>41880</v>
      </c>
      <c r="D3802" s="1" t="s">
        <v>1994</v>
      </c>
      <c r="E3802" s="6">
        <v>1</v>
      </c>
      <c r="F3802" s="6" t="str">
        <f t="shared" si="118"/>
        <v>August</v>
      </c>
      <c r="G3802" s="6">
        <f t="shared" si="119"/>
        <v>35</v>
      </c>
      <c r="H3802" s="1">
        <f>SUMIF('Retal Tran Line Item'!E:E,A3802,'Retal Tran Line Item'!B:B)</f>
        <v>6</v>
      </c>
    </row>
    <row r="3803" spans="1:8">
      <c r="A3803" s="1">
        <v>104689</v>
      </c>
      <c r="B3803" s="1">
        <v>442691</v>
      </c>
      <c r="C3803" s="2">
        <v>41880</v>
      </c>
      <c r="D3803" s="1" t="s">
        <v>1992</v>
      </c>
      <c r="E3803" s="6">
        <v>1</v>
      </c>
      <c r="F3803" s="6" t="str">
        <f t="shared" si="118"/>
        <v>August</v>
      </c>
      <c r="G3803" s="6">
        <f t="shared" si="119"/>
        <v>35</v>
      </c>
      <c r="H3803" s="1">
        <f>SUMIF('Retal Tran Line Item'!E:E,A3803,'Retal Tran Line Item'!B:B)</f>
        <v>10</v>
      </c>
    </row>
    <row r="3804" spans="1:8">
      <c r="A3804" s="1">
        <v>104694</v>
      </c>
      <c r="B3804" s="1">
        <v>995599</v>
      </c>
      <c r="C3804" s="2">
        <v>41881</v>
      </c>
      <c r="D3804" s="1" t="s">
        <v>1989</v>
      </c>
      <c r="E3804" s="6">
        <v>1</v>
      </c>
      <c r="F3804" s="6" t="str">
        <f t="shared" si="118"/>
        <v>August</v>
      </c>
      <c r="G3804" s="6">
        <f t="shared" si="119"/>
        <v>35</v>
      </c>
      <c r="H3804" s="1">
        <f>SUMIF('Retal Tran Line Item'!E:E,A3804,'Retal Tran Line Item'!B:B)</f>
        <v>9</v>
      </c>
    </row>
    <row r="3805" spans="1:8">
      <c r="A3805" s="1">
        <v>104696</v>
      </c>
      <c r="B3805" s="1">
        <v>860057</v>
      </c>
      <c r="C3805" s="2">
        <v>41881</v>
      </c>
      <c r="D3805" s="1" t="s">
        <v>1989</v>
      </c>
      <c r="E3805" s="6">
        <v>2</v>
      </c>
      <c r="F3805" s="6" t="str">
        <f t="shared" si="118"/>
        <v>August</v>
      </c>
      <c r="G3805" s="6">
        <f t="shared" si="119"/>
        <v>35</v>
      </c>
      <c r="H3805" s="1">
        <f>SUMIF('Retal Tran Line Item'!E:E,A3805,'Retal Tran Line Item'!B:B)</f>
        <v>9</v>
      </c>
    </row>
    <row r="3806" spans="1:8">
      <c r="A3806" s="1">
        <v>104697</v>
      </c>
      <c r="B3806" s="1">
        <v>643214</v>
      </c>
      <c r="C3806" s="2">
        <v>41881</v>
      </c>
      <c r="D3806" s="1" t="s">
        <v>1989</v>
      </c>
      <c r="E3806" s="6">
        <v>1</v>
      </c>
      <c r="F3806" s="6" t="str">
        <f t="shared" si="118"/>
        <v>August</v>
      </c>
      <c r="G3806" s="6">
        <f t="shared" si="119"/>
        <v>35</v>
      </c>
      <c r="H3806" s="1">
        <f>SUMIF('Retal Tran Line Item'!E:E,A3806,'Retal Tran Line Item'!B:B)</f>
        <v>17</v>
      </c>
    </row>
    <row r="3807" spans="1:8">
      <c r="A3807" s="1">
        <v>104698</v>
      </c>
      <c r="B3807" s="1">
        <v>475216</v>
      </c>
      <c r="C3807" s="2">
        <v>41881</v>
      </c>
      <c r="D3807" s="1" t="s">
        <v>1994</v>
      </c>
      <c r="E3807" s="6">
        <v>1</v>
      </c>
      <c r="F3807" s="6" t="str">
        <f t="shared" si="118"/>
        <v>August</v>
      </c>
      <c r="G3807" s="6">
        <f t="shared" si="119"/>
        <v>35</v>
      </c>
      <c r="H3807" s="1">
        <f>SUMIF('Retal Tran Line Item'!E:E,A3807,'Retal Tran Line Item'!B:B)</f>
        <v>4</v>
      </c>
    </row>
    <row r="3808" spans="1:8">
      <c r="A3808" s="1">
        <v>104701</v>
      </c>
      <c r="B3808" s="1">
        <v>761615</v>
      </c>
      <c r="C3808" s="2">
        <v>41882</v>
      </c>
      <c r="D3808" s="1" t="s">
        <v>1993</v>
      </c>
      <c r="E3808" s="6">
        <v>2</v>
      </c>
      <c r="F3808" s="6" t="str">
        <f t="shared" si="118"/>
        <v>August</v>
      </c>
      <c r="G3808" s="6">
        <f t="shared" si="119"/>
        <v>36</v>
      </c>
      <c r="H3808" s="1">
        <f>SUMIF('Retal Tran Line Item'!E:E,A3808,'Retal Tran Line Item'!B:B)</f>
        <v>14</v>
      </c>
    </row>
    <row r="3809" spans="1:8">
      <c r="A3809" s="1">
        <v>104702</v>
      </c>
      <c r="B3809" s="1">
        <v>390130</v>
      </c>
      <c r="C3809" s="2">
        <v>41882</v>
      </c>
      <c r="D3809" s="1" t="s">
        <v>1993</v>
      </c>
      <c r="E3809" s="6">
        <v>1</v>
      </c>
      <c r="F3809" s="6" t="str">
        <f t="shared" si="118"/>
        <v>August</v>
      </c>
      <c r="G3809" s="6">
        <f t="shared" si="119"/>
        <v>36</v>
      </c>
      <c r="H3809" s="1">
        <f>SUMIF('Retal Tran Line Item'!E:E,A3809,'Retal Tran Line Item'!B:B)</f>
        <v>7</v>
      </c>
    </row>
    <row r="3810" spans="1:8">
      <c r="A3810" s="1">
        <v>104707</v>
      </c>
      <c r="B3810" s="1">
        <v>494106</v>
      </c>
      <c r="C3810" s="2">
        <v>41882</v>
      </c>
      <c r="D3810" s="1" t="s">
        <v>1993</v>
      </c>
      <c r="E3810" s="6">
        <v>2</v>
      </c>
      <c r="F3810" s="6" t="str">
        <f t="shared" si="118"/>
        <v>August</v>
      </c>
      <c r="G3810" s="6">
        <f t="shared" si="119"/>
        <v>36</v>
      </c>
      <c r="H3810" s="1">
        <f>SUMIF('Retal Tran Line Item'!E:E,A3810,'Retal Tran Line Item'!B:B)</f>
        <v>3</v>
      </c>
    </row>
    <row r="3811" spans="1:8">
      <c r="A3811" s="1">
        <v>104712</v>
      </c>
      <c r="B3811" s="1">
        <v>611848</v>
      </c>
      <c r="C3811" s="2">
        <v>41883</v>
      </c>
      <c r="D3811" s="1" t="s">
        <v>1992</v>
      </c>
      <c r="E3811" s="6">
        <v>2</v>
      </c>
      <c r="F3811" s="6" t="str">
        <f t="shared" si="118"/>
        <v>September</v>
      </c>
      <c r="G3811" s="6">
        <f t="shared" si="119"/>
        <v>36</v>
      </c>
      <c r="H3811" s="1">
        <f>SUMIF('Retal Tran Line Item'!E:E,A3811,'Retal Tran Line Item'!B:B)</f>
        <v>10</v>
      </c>
    </row>
    <row r="3812" spans="1:8">
      <c r="A3812" s="1">
        <v>104714</v>
      </c>
      <c r="B3812" s="1">
        <v>676018</v>
      </c>
      <c r="C3812" s="2">
        <v>41883</v>
      </c>
      <c r="D3812" s="1" t="s">
        <v>1994</v>
      </c>
      <c r="E3812" s="6">
        <v>2</v>
      </c>
      <c r="F3812" s="6" t="str">
        <f t="shared" si="118"/>
        <v>September</v>
      </c>
      <c r="G3812" s="6">
        <f t="shared" si="119"/>
        <v>36</v>
      </c>
      <c r="H3812" s="1">
        <f>SUMIF('Retal Tran Line Item'!E:E,A3812,'Retal Tran Line Item'!B:B)</f>
        <v>6</v>
      </c>
    </row>
    <row r="3813" spans="1:8">
      <c r="A3813" s="1">
        <v>104717</v>
      </c>
      <c r="B3813" s="1">
        <v>205927</v>
      </c>
      <c r="C3813" s="2">
        <v>41884</v>
      </c>
      <c r="D3813" s="1" t="s">
        <v>1992</v>
      </c>
      <c r="E3813" s="6">
        <v>1</v>
      </c>
      <c r="F3813" s="6" t="str">
        <f t="shared" si="118"/>
        <v>September</v>
      </c>
      <c r="G3813" s="6">
        <f t="shared" si="119"/>
        <v>36</v>
      </c>
      <c r="H3813" s="1">
        <f>SUMIF('Retal Tran Line Item'!E:E,A3813,'Retal Tran Line Item'!B:B)</f>
        <v>6</v>
      </c>
    </row>
    <row r="3814" spans="1:8">
      <c r="A3814" s="1">
        <v>104721</v>
      </c>
      <c r="B3814" s="1">
        <v>111486</v>
      </c>
      <c r="C3814" s="2">
        <v>41884</v>
      </c>
      <c r="D3814" s="1" t="s">
        <v>1993</v>
      </c>
      <c r="E3814" s="6">
        <v>2</v>
      </c>
      <c r="F3814" s="6" t="str">
        <f t="shared" si="118"/>
        <v>September</v>
      </c>
      <c r="G3814" s="6">
        <f t="shared" si="119"/>
        <v>36</v>
      </c>
      <c r="H3814" s="1">
        <f>SUMIF('Retal Tran Line Item'!E:E,A3814,'Retal Tran Line Item'!B:B)</f>
        <v>12</v>
      </c>
    </row>
    <row r="3815" spans="1:8">
      <c r="A3815" s="1">
        <v>104724</v>
      </c>
      <c r="B3815" s="1">
        <v>149240</v>
      </c>
      <c r="C3815" s="2">
        <v>41885</v>
      </c>
      <c r="D3815" s="1" t="s">
        <v>1992</v>
      </c>
      <c r="E3815" s="6">
        <v>1</v>
      </c>
      <c r="F3815" s="6" t="str">
        <f t="shared" si="118"/>
        <v>September</v>
      </c>
      <c r="G3815" s="6">
        <f t="shared" si="119"/>
        <v>36</v>
      </c>
      <c r="H3815" s="1">
        <f>SUMIF('Retal Tran Line Item'!E:E,A3815,'Retal Tran Line Item'!B:B)</f>
        <v>2</v>
      </c>
    </row>
    <row r="3816" spans="1:8">
      <c r="A3816" s="1">
        <v>104730</v>
      </c>
      <c r="B3816" s="1">
        <v>471187</v>
      </c>
      <c r="C3816" s="2">
        <v>41886</v>
      </c>
      <c r="D3816" s="1" t="s">
        <v>1993</v>
      </c>
      <c r="E3816" s="6">
        <v>2</v>
      </c>
      <c r="F3816" s="6" t="str">
        <f t="shared" si="118"/>
        <v>September</v>
      </c>
      <c r="G3816" s="6">
        <f t="shared" si="119"/>
        <v>36</v>
      </c>
      <c r="H3816" s="1">
        <f>SUMIF('Retal Tran Line Item'!E:E,A3816,'Retal Tran Line Item'!B:B)</f>
        <v>3</v>
      </c>
    </row>
    <row r="3817" spans="1:8">
      <c r="A3817" s="1">
        <v>104731</v>
      </c>
      <c r="B3817" s="1">
        <v>736500</v>
      </c>
      <c r="C3817" s="2">
        <v>41886</v>
      </c>
      <c r="D3817" s="1" t="s">
        <v>1993</v>
      </c>
      <c r="E3817" s="6">
        <v>1</v>
      </c>
      <c r="F3817" s="6" t="str">
        <f t="shared" si="118"/>
        <v>September</v>
      </c>
      <c r="G3817" s="6">
        <f t="shared" si="119"/>
        <v>36</v>
      </c>
      <c r="H3817" s="1">
        <f>SUMIF('Retal Tran Line Item'!E:E,A3817,'Retal Tran Line Item'!B:B)</f>
        <v>7</v>
      </c>
    </row>
    <row r="3818" spans="1:8">
      <c r="A3818" s="1">
        <v>104732</v>
      </c>
      <c r="B3818" s="1">
        <v>748326</v>
      </c>
      <c r="C3818" s="2">
        <v>41886</v>
      </c>
      <c r="D3818" s="1" t="s">
        <v>1993</v>
      </c>
      <c r="E3818" s="6">
        <v>2</v>
      </c>
      <c r="F3818" s="6" t="str">
        <f t="shared" si="118"/>
        <v>September</v>
      </c>
      <c r="G3818" s="6">
        <f t="shared" si="119"/>
        <v>36</v>
      </c>
      <c r="H3818" s="1">
        <f>SUMIF('Retal Tran Line Item'!E:E,A3818,'Retal Tran Line Item'!B:B)</f>
        <v>3</v>
      </c>
    </row>
    <row r="3819" spans="1:8">
      <c r="A3819" s="1">
        <v>104733</v>
      </c>
      <c r="B3819" s="1">
        <v>701211</v>
      </c>
      <c r="C3819" s="2">
        <v>41886</v>
      </c>
      <c r="D3819" s="1" t="s">
        <v>1993</v>
      </c>
      <c r="E3819" s="6">
        <v>1</v>
      </c>
      <c r="F3819" s="6" t="str">
        <f t="shared" si="118"/>
        <v>September</v>
      </c>
      <c r="G3819" s="6">
        <f t="shared" si="119"/>
        <v>36</v>
      </c>
      <c r="H3819" s="1">
        <f>SUMIF('Retal Tran Line Item'!E:E,A3819,'Retal Tran Line Item'!B:B)</f>
        <v>6</v>
      </c>
    </row>
    <row r="3820" spans="1:8">
      <c r="A3820" s="1">
        <v>104734</v>
      </c>
      <c r="B3820" s="1">
        <v>112690</v>
      </c>
      <c r="C3820" s="2">
        <v>41886</v>
      </c>
      <c r="D3820" s="1" t="s">
        <v>1994</v>
      </c>
      <c r="E3820" s="6">
        <v>2</v>
      </c>
      <c r="F3820" s="6" t="str">
        <f t="shared" si="118"/>
        <v>September</v>
      </c>
      <c r="G3820" s="6">
        <f t="shared" si="119"/>
        <v>36</v>
      </c>
      <c r="H3820" s="1">
        <f>SUMIF('Retal Tran Line Item'!E:E,A3820,'Retal Tran Line Item'!B:B)</f>
        <v>6</v>
      </c>
    </row>
    <row r="3821" spans="1:8">
      <c r="A3821" s="1">
        <v>104735</v>
      </c>
      <c r="B3821" s="1">
        <v>840970</v>
      </c>
      <c r="C3821" s="2">
        <v>41886</v>
      </c>
      <c r="D3821" s="1" t="s">
        <v>1994</v>
      </c>
      <c r="E3821" s="6">
        <v>2</v>
      </c>
      <c r="F3821" s="6" t="str">
        <f t="shared" si="118"/>
        <v>September</v>
      </c>
      <c r="G3821" s="6">
        <f t="shared" si="119"/>
        <v>36</v>
      </c>
      <c r="H3821" s="1">
        <f>SUMIF('Retal Tran Line Item'!E:E,A3821,'Retal Tran Line Item'!B:B)</f>
        <v>18</v>
      </c>
    </row>
    <row r="3822" spans="1:8">
      <c r="A3822" s="1">
        <v>104736</v>
      </c>
      <c r="B3822" s="1">
        <v>200272</v>
      </c>
      <c r="C3822" s="2">
        <v>41886</v>
      </c>
      <c r="D3822" s="1" t="s">
        <v>1992</v>
      </c>
      <c r="E3822" s="6">
        <v>1</v>
      </c>
      <c r="F3822" s="6" t="str">
        <f t="shared" si="118"/>
        <v>September</v>
      </c>
      <c r="G3822" s="6">
        <f t="shared" si="119"/>
        <v>36</v>
      </c>
      <c r="H3822" s="1">
        <f>SUMIF('Retal Tran Line Item'!E:E,A3822,'Retal Tran Line Item'!B:B)</f>
        <v>7</v>
      </c>
    </row>
    <row r="3823" spans="1:8">
      <c r="A3823" s="1">
        <v>104739</v>
      </c>
      <c r="B3823" s="1">
        <v>897980</v>
      </c>
      <c r="C3823" s="2">
        <v>41887</v>
      </c>
      <c r="D3823" s="1" t="s">
        <v>1993</v>
      </c>
      <c r="E3823" s="6">
        <v>2</v>
      </c>
      <c r="F3823" s="6" t="str">
        <f t="shared" si="118"/>
        <v>September</v>
      </c>
      <c r="G3823" s="6">
        <f t="shared" si="119"/>
        <v>36</v>
      </c>
      <c r="H3823" s="1">
        <f>SUMIF('Retal Tran Line Item'!E:E,A3823,'Retal Tran Line Item'!B:B)</f>
        <v>11</v>
      </c>
    </row>
    <row r="3824" spans="1:8">
      <c r="A3824" s="1">
        <v>104740</v>
      </c>
      <c r="B3824" s="1">
        <v>296353</v>
      </c>
      <c r="C3824" s="2">
        <v>41887</v>
      </c>
      <c r="D3824" s="1" t="s">
        <v>1993</v>
      </c>
      <c r="E3824" s="6">
        <v>2</v>
      </c>
      <c r="F3824" s="6" t="str">
        <f t="shared" si="118"/>
        <v>September</v>
      </c>
      <c r="G3824" s="6">
        <f t="shared" si="119"/>
        <v>36</v>
      </c>
      <c r="H3824" s="1">
        <f>SUMIF('Retal Tran Line Item'!E:E,A3824,'Retal Tran Line Item'!B:B)</f>
        <v>9</v>
      </c>
    </row>
    <row r="3825" spans="1:8">
      <c r="A3825" s="1">
        <v>104741</v>
      </c>
      <c r="B3825" s="1">
        <v>500733</v>
      </c>
      <c r="C3825" s="2">
        <v>41887</v>
      </c>
      <c r="D3825" s="1" t="s">
        <v>1994</v>
      </c>
      <c r="E3825" s="6">
        <v>1</v>
      </c>
      <c r="F3825" s="6" t="str">
        <f t="shared" si="118"/>
        <v>September</v>
      </c>
      <c r="G3825" s="6">
        <f t="shared" si="119"/>
        <v>36</v>
      </c>
      <c r="H3825" s="1">
        <f>SUMIF('Retal Tran Line Item'!E:E,A3825,'Retal Tran Line Item'!B:B)</f>
        <v>8</v>
      </c>
    </row>
    <row r="3826" spans="1:8">
      <c r="A3826" s="1">
        <v>104742</v>
      </c>
      <c r="B3826" s="1">
        <v>703083</v>
      </c>
      <c r="C3826" s="2">
        <v>41888</v>
      </c>
      <c r="D3826" s="1" t="s">
        <v>1994</v>
      </c>
      <c r="E3826" s="6">
        <v>1</v>
      </c>
      <c r="F3826" s="6" t="str">
        <f t="shared" si="118"/>
        <v>September</v>
      </c>
      <c r="G3826" s="6">
        <f t="shared" si="119"/>
        <v>36</v>
      </c>
      <c r="H3826" s="1">
        <f>SUMIF('Retal Tran Line Item'!E:E,A3826,'Retal Tran Line Item'!B:B)</f>
        <v>6</v>
      </c>
    </row>
    <row r="3827" spans="1:8">
      <c r="A3827" s="1">
        <v>104743</v>
      </c>
      <c r="B3827" s="1">
        <v>846722</v>
      </c>
      <c r="C3827" s="2">
        <v>41888</v>
      </c>
      <c r="D3827" s="1" t="s">
        <v>1992</v>
      </c>
      <c r="E3827" s="6">
        <v>1</v>
      </c>
      <c r="F3827" s="6" t="str">
        <f t="shared" si="118"/>
        <v>September</v>
      </c>
      <c r="G3827" s="6">
        <f t="shared" si="119"/>
        <v>36</v>
      </c>
      <c r="H3827" s="1">
        <f>SUMIF('Retal Tran Line Item'!E:E,A3827,'Retal Tran Line Item'!B:B)</f>
        <v>3</v>
      </c>
    </row>
    <row r="3828" spans="1:8">
      <c r="A3828" s="1">
        <v>104745</v>
      </c>
      <c r="B3828" s="1">
        <v>670707</v>
      </c>
      <c r="C3828" s="2">
        <v>41888</v>
      </c>
      <c r="D3828" s="1" t="s">
        <v>1994</v>
      </c>
      <c r="E3828" s="6">
        <v>1</v>
      </c>
      <c r="F3828" s="6" t="str">
        <f t="shared" si="118"/>
        <v>September</v>
      </c>
      <c r="G3828" s="6">
        <f t="shared" si="119"/>
        <v>36</v>
      </c>
      <c r="H3828" s="1">
        <f>SUMIF('Retal Tran Line Item'!E:E,A3828,'Retal Tran Line Item'!B:B)</f>
        <v>2</v>
      </c>
    </row>
    <row r="3829" spans="1:8">
      <c r="A3829" s="1">
        <v>104746</v>
      </c>
      <c r="B3829" s="1">
        <v>941876</v>
      </c>
      <c r="C3829" s="2">
        <v>41888</v>
      </c>
      <c r="D3829" s="1" t="s">
        <v>1993</v>
      </c>
      <c r="E3829" s="6">
        <v>2</v>
      </c>
      <c r="F3829" s="6" t="str">
        <f t="shared" si="118"/>
        <v>September</v>
      </c>
      <c r="G3829" s="6">
        <f t="shared" si="119"/>
        <v>36</v>
      </c>
      <c r="H3829" s="1">
        <f>SUMIF('Retal Tran Line Item'!E:E,A3829,'Retal Tran Line Item'!B:B)</f>
        <v>7</v>
      </c>
    </row>
    <row r="3830" spans="1:8">
      <c r="A3830" s="1">
        <v>104747</v>
      </c>
      <c r="B3830" s="1">
        <v>425051</v>
      </c>
      <c r="C3830" s="2">
        <v>41888</v>
      </c>
      <c r="D3830" s="1" t="s">
        <v>1992</v>
      </c>
      <c r="E3830" s="6">
        <v>1</v>
      </c>
      <c r="F3830" s="6" t="str">
        <f t="shared" si="118"/>
        <v>September</v>
      </c>
      <c r="G3830" s="6">
        <f t="shared" si="119"/>
        <v>36</v>
      </c>
      <c r="H3830" s="1">
        <f>SUMIF('Retal Tran Line Item'!E:E,A3830,'Retal Tran Line Item'!B:B)</f>
        <v>3</v>
      </c>
    </row>
    <row r="3831" spans="1:8">
      <c r="A3831" s="1">
        <v>104749</v>
      </c>
      <c r="B3831" s="1">
        <v>308662</v>
      </c>
      <c r="C3831" s="2">
        <v>41889</v>
      </c>
      <c r="D3831" s="1" t="s">
        <v>1989</v>
      </c>
      <c r="E3831" s="6">
        <v>1</v>
      </c>
      <c r="F3831" s="6" t="str">
        <f t="shared" si="118"/>
        <v>September</v>
      </c>
      <c r="G3831" s="6">
        <f t="shared" si="119"/>
        <v>37</v>
      </c>
      <c r="H3831" s="1">
        <f>SUMIF('Retal Tran Line Item'!E:E,A3831,'Retal Tran Line Item'!B:B)</f>
        <v>10</v>
      </c>
    </row>
    <row r="3832" spans="1:8">
      <c r="A3832" s="1">
        <v>104751</v>
      </c>
      <c r="B3832" s="1">
        <v>330570</v>
      </c>
      <c r="C3832" s="2">
        <v>41889</v>
      </c>
      <c r="D3832" s="1" t="s">
        <v>1993</v>
      </c>
      <c r="E3832" s="6">
        <v>1</v>
      </c>
      <c r="F3832" s="6" t="str">
        <f t="shared" si="118"/>
        <v>September</v>
      </c>
      <c r="G3832" s="6">
        <f t="shared" si="119"/>
        <v>37</v>
      </c>
      <c r="H3832" s="1">
        <f>SUMIF('Retal Tran Line Item'!E:E,A3832,'Retal Tran Line Item'!B:B)</f>
        <v>7</v>
      </c>
    </row>
    <row r="3833" spans="1:8">
      <c r="A3833" s="1">
        <v>104753</v>
      </c>
      <c r="B3833" s="1">
        <v>783369</v>
      </c>
      <c r="C3833" s="2">
        <v>41889</v>
      </c>
      <c r="D3833" s="1" t="s">
        <v>1994</v>
      </c>
      <c r="E3833" s="6">
        <v>1</v>
      </c>
      <c r="F3833" s="6" t="str">
        <f t="shared" si="118"/>
        <v>September</v>
      </c>
      <c r="G3833" s="6">
        <f t="shared" si="119"/>
        <v>37</v>
      </c>
      <c r="H3833" s="1">
        <f>SUMIF('Retal Tran Line Item'!E:E,A3833,'Retal Tran Line Item'!B:B)</f>
        <v>3</v>
      </c>
    </row>
    <row r="3834" spans="1:8">
      <c r="A3834" s="1">
        <v>104755</v>
      </c>
      <c r="B3834" s="1">
        <v>465275</v>
      </c>
      <c r="C3834" s="2">
        <v>41889</v>
      </c>
      <c r="D3834" s="1" t="s">
        <v>1992</v>
      </c>
      <c r="E3834" s="6">
        <v>1</v>
      </c>
      <c r="F3834" s="6" t="str">
        <f t="shared" si="118"/>
        <v>September</v>
      </c>
      <c r="G3834" s="6">
        <f t="shared" si="119"/>
        <v>37</v>
      </c>
      <c r="H3834" s="1">
        <f>SUMIF('Retal Tran Line Item'!E:E,A3834,'Retal Tran Line Item'!B:B)</f>
        <v>8</v>
      </c>
    </row>
    <row r="3835" spans="1:8">
      <c r="A3835" s="1">
        <v>104756</v>
      </c>
      <c r="B3835" s="1">
        <v>371731</v>
      </c>
      <c r="C3835" s="2">
        <v>41890</v>
      </c>
      <c r="D3835" s="1" t="s">
        <v>1993</v>
      </c>
      <c r="E3835" s="6">
        <v>2</v>
      </c>
      <c r="F3835" s="6" t="str">
        <f t="shared" si="118"/>
        <v>September</v>
      </c>
      <c r="G3835" s="6">
        <f t="shared" si="119"/>
        <v>37</v>
      </c>
      <c r="H3835" s="1">
        <f>SUMIF('Retal Tran Line Item'!E:E,A3835,'Retal Tran Line Item'!B:B)</f>
        <v>24</v>
      </c>
    </row>
    <row r="3836" spans="1:8">
      <c r="A3836" s="1">
        <v>104757</v>
      </c>
      <c r="B3836" s="1">
        <v>500828</v>
      </c>
      <c r="C3836" s="2">
        <v>41890</v>
      </c>
      <c r="D3836" s="1" t="s">
        <v>1992</v>
      </c>
      <c r="E3836" s="6">
        <v>2</v>
      </c>
      <c r="F3836" s="6" t="str">
        <f t="shared" si="118"/>
        <v>September</v>
      </c>
      <c r="G3836" s="6">
        <f t="shared" si="119"/>
        <v>37</v>
      </c>
      <c r="H3836" s="1">
        <f>SUMIF('Retal Tran Line Item'!E:E,A3836,'Retal Tran Line Item'!B:B)</f>
        <v>6</v>
      </c>
    </row>
    <row r="3837" spans="1:8">
      <c r="A3837" s="1">
        <v>104758</v>
      </c>
      <c r="B3837" s="1">
        <v>404678</v>
      </c>
      <c r="C3837" s="2">
        <v>41890</v>
      </c>
      <c r="D3837" s="1" t="s">
        <v>1993</v>
      </c>
      <c r="E3837" s="6">
        <v>2</v>
      </c>
      <c r="F3837" s="6" t="str">
        <f t="shared" si="118"/>
        <v>September</v>
      </c>
      <c r="G3837" s="6">
        <f t="shared" si="119"/>
        <v>37</v>
      </c>
      <c r="H3837" s="1">
        <f>SUMIF('Retal Tran Line Item'!E:E,A3837,'Retal Tran Line Item'!B:B)</f>
        <v>10</v>
      </c>
    </row>
    <row r="3838" spans="1:8">
      <c r="A3838" s="1">
        <v>104760</v>
      </c>
      <c r="B3838" s="1">
        <v>370870</v>
      </c>
      <c r="C3838" s="2">
        <v>41890</v>
      </c>
      <c r="D3838" s="1" t="s">
        <v>1993</v>
      </c>
      <c r="E3838" s="6">
        <v>2</v>
      </c>
      <c r="F3838" s="6" t="str">
        <f t="shared" si="118"/>
        <v>September</v>
      </c>
      <c r="G3838" s="6">
        <f t="shared" si="119"/>
        <v>37</v>
      </c>
      <c r="H3838" s="1">
        <f>SUMIF('Retal Tran Line Item'!E:E,A3838,'Retal Tran Line Item'!B:B)</f>
        <v>1</v>
      </c>
    </row>
    <row r="3839" spans="1:8">
      <c r="A3839" s="1">
        <v>104761</v>
      </c>
      <c r="B3839" s="1">
        <v>479497</v>
      </c>
      <c r="C3839" s="2">
        <v>41890</v>
      </c>
      <c r="D3839" s="1" t="s">
        <v>1994</v>
      </c>
      <c r="E3839" s="6">
        <v>1</v>
      </c>
      <c r="F3839" s="6" t="str">
        <f t="shared" si="118"/>
        <v>September</v>
      </c>
      <c r="G3839" s="6">
        <f t="shared" si="119"/>
        <v>37</v>
      </c>
      <c r="H3839" s="1">
        <f>SUMIF('Retal Tran Line Item'!E:E,A3839,'Retal Tran Line Item'!B:B)</f>
        <v>2</v>
      </c>
    </row>
    <row r="3840" spans="1:8">
      <c r="A3840" s="1">
        <v>104763</v>
      </c>
      <c r="B3840" s="1">
        <v>347189</v>
      </c>
      <c r="C3840" s="2">
        <v>41890</v>
      </c>
      <c r="D3840" s="1" t="s">
        <v>1989</v>
      </c>
      <c r="E3840" s="6">
        <v>2</v>
      </c>
      <c r="F3840" s="6" t="str">
        <f t="shared" si="118"/>
        <v>September</v>
      </c>
      <c r="G3840" s="6">
        <f t="shared" si="119"/>
        <v>37</v>
      </c>
      <c r="H3840" s="1">
        <f>SUMIF('Retal Tran Line Item'!E:E,A3840,'Retal Tran Line Item'!B:B)</f>
        <v>5</v>
      </c>
    </row>
    <row r="3841" spans="1:8">
      <c r="A3841" s="1">
        <v>104765</v>
      </c>
      <c r="B3841" s="1">
        <v>720602</v>
      </c>
      <c r="C3841" s="2">
        <v>41891</v>
      </c>
      <c r="D3841" s="1" t="s">
        <v>1992</v>
      </c>
      <c r="E3841" s="6">
        <v>1</v>
      </c>
      <c r="F3841" s="6" t="str">
        <f t="shared" si="118"/>
        <v>September</v>
      </c>
      <c r="G3841" s="6">
        <f t="shared" si="119"/>
        <v>37</v>
      </c>
      <c r="H3841" s="1">
        <f>SUMIF('Retal Tran Line Item'!E:E,A3841,'Retal Tran Line Item'!B:B)</f>
        <v>12</v>
      </c>
    </row>
    <row r="3842" spans="1:8">
      <c r="A3842" s="1">
        <v>104767</v>
      </c>
      <c r="B3842" s="1">
        <v>147216</v>
      </c>
      <c r="C3842" s="2">
        <v>41891</v>
      </c>
      <c r="D3842" s="1" t="s">
        <v>1993</v>
      </c>
      <c r="E3842" s="6">
        <v>1</v>
      </c>
      <c r="F3842" s="6" t="str">
        <f t="shared" si="118"/>
        <v>September</v>
      </c>
      <c r="G3842" s="6">
        <f t="shared" si="119"/>
        <v>37</v>
      </c>
      <c r="H3842" s="1">
        <f>SUMIF('Retal Tran Line Item'!E:E,A3842,'Retal Tran Line Item'!B:B)</f>
        <v>9</v>
      </c>
    </row>
    <row r="3843" spans="1:8">
      <c r="A3843" s="1">
        <v>104769</v>
      </c>
      <c r="B3843" s="1">
        <v>872851</v>
      </c>
      <c r="C3843" s="2">
        <v>41891</v>
      </c>
      <c r="D3843" s="1" t="s">
        <v>1992</v>
      </c>
      <c r="E3843" s="6">
        <v>1</v>
      </c>
      <c r="F3843" s="6" t="str">
        <f t="shared" ref="F3843:F3873" si="120">TEXT(C3843,"MMMM")</f>
        <v>September</v>
      </c>
      <c r="G3843" s="6">
        <f t="shared" ref="G3843:G3873" si="121">WEEKNUM(C3843)</f>
        <v>37</v>
      </c>
      <c r="H3843" s="1">
        <f>SUMIF('Retal Tran Line Item'!E:E,A3843,'Retal Tran Line Item'!B:B)</f>
        <v>2</v>
      </c>
    </row>
    <row r="3844" spans="1:8">
      <c r="A3844" s="1">
        <v>104770</v>
      </c>
      <c r="B3844" s="1">
        <v>951702</v>
      </c>
      <c r="C3844" s="2">
        <v>41891</v>
      </c>
      <c r="D3844" s="1" t="s">
        <v>1992</v>
      </c>
      <c r="E3844" s="6">
        <v>2</v>
      </c>
      <c r="F3844" s="6" t="str">
        <f t="shared" si="120"/>
        <v>September</v>
      </c>
      <c r="G3844" s="6">
        <f t="shared" si="121"/>
        <v>37</v>
      </c>
      <c r="H3844" s="1">
        <f>SUMIF('Retal Tran Line Item'!E:E,A3844,'Retal Tran Line Item'!B:B)</f>
        <v>5</v>
      </c>
    </row>
    <row r="3845" spans="1:8">
      <c r="A3845" s="1">
        <v>104772</v>
      </c>
      <c r="B3845" s="1">
        <v>924947</v>
      </c>
      <c r="C3845" s="2">
        <v>41892</v>
      </c>
      <c r="D3845" s="1" t="s">
        <v>1993</v>
      </c>
      <c r="E3845" s="6">
        <v>1</v>
      </c>
      <c r="F3845" s="6" t="str">
        <f t="shared" si="120"/>
        <v>September</v>
      </c>
      <c r="G3845" s="6">
        <f t="shared" si="121"/>
        <v>37</v>
      </c>
      <c r="H3845" s="1">
        <f>SUMIF('Retal Tran Line Item'!E:E,A3845,'Retal Tran Line Item'!B:B)</f>
        <v>7</v>
      </c>
    </row>
    <row r="3846" spans="1:8">
      <c r="A3846" s="1">
        <v>104776</v>
      </c>
      <c r="B3846" s="1">
        <v>104939</v>
      </c>
      <c r="C3846" s="2">
        <v>41892</v>
      </c>
      <c r="D3846" s="1" t="s">
        <v>1992</v>
      </c>
      <c r="E3846" s="6">
        <v>1</v>
      </c>
      <c r="F3846" s="6" t="str">
        <f t="shared" si="120"/>
        <v>September</v>
      </c>
      <c r="G3846" s="6">
        <f t="shared" si="121"/>
        <v>37</v>
      </c>
      <c r="H3846" s="1">
        <f>SUMIF('Retal Tran Line Item'!E:E,A3846,'Retal Tran Line Item'!B:B)</f>
        <v>5</v>
      </c>
    </row>
    <row r="3847" spans="1:8">
      <c r="A3847" s="1">
        <v>104778</v>
      </c>
      <c r="B3847" s="1">
        <v>240205</v>
      </c>
      <c r="C3847" s="2">
        <v>41893</v>
      </c>
      <c r="D3847" s="1" t="s">
        <v>1992</v>
      </c>
      <c r="E3847" s="6">
        <v>2</v>
      </c>
      <c r="F3847" s="6" t="str">
        <f t="shared" si="120"/>
        <v>September</v>
      </c>
      <c r="G3847" s="6">
        <f t="shared" si="121"/>
        <v>37</v>
      </c>
      <c r="H3847" s="1">
        <f>SUMIF('Retal Tran Line Item'!E:E,A3847,'Retal Tran Line Item'!B:B)</f>
        <v>10</v>
      </c>
    </row>
    <row r="3848" spans="1:8">
      <c r="A3848" s="1">
        <v>104779</v>
      </c>
      <c r="B3848" s="1">
        <v>741398</v>
      </c>
      <c r="C3848" s="2">
        <v>41893</v>
      </c>
      <c r="D3848" s="1" t="s">
        <v>1993</v>
      </c>
      <c r="E3848" s="6">
        <v>1</v>
      </c>
      <c r="F3848" s="6" t="str">
        <f t="shared" si="120"/>
        <v>September</v>
      </c>
      <c r="G3848" s="6">
        <f t="shared" si="121"/>
        <v>37</v>
      </c>
      <c r="H3848" s="1">
        <f>SUMIF('Retal Tran Line Item'!E:E,A3848,'Retal Tran Line Item'!B:B)</f>
        <v>9</v>
      </c>
    </row>
    <row r="3849" spans="1:8">
      <c r="A3849" s="1">
        <v>104780</v>
      </c>
      <c r="B3849" s="1">
        <v>493552</v>
      </c>
      <c r="C3849" s="2">
        <v>41893</v>
      </c>
      <c r="D3849" s="1" t="s">
        <v>1994</v>
      </c>
      <c r="E3849" s="6">
        <v>1</v>
      </c>
      <c r="F3849" s="6" t="str">
        <f t="shared" si="120"/>
        <v>September</v>
      </c>
      <c r="G3849" s="6">
        <f t="shared" si="121"/>
        <v>37</v>
      </c>
      <c r="H3849" s="1">
        <f>SUMIF('Retal Tran Line Item'!E:E,A3849,'Retal Tran Line Item'!B:B)</f>
        <v>8</v>
      </c>
    </row>
    <row r="3850" spans="1:8">
      <c r="A3850" s="1">
        <v>104783</v>
      </c>
      <c r="B3850" s="1">
        <v>797968</v>
      </c>
      <c r="C3850" s="2">
        <v>41893</v>
      </c>
      <c r="D3850" s="1" t="s">
        <v>1993</v>
      </c>
      <c r="E3850" s="6">
        <v>1</v>
      </c>
      <c r="F3850" s="6" t="str">
        <f t="shared" si="120"/>
        <v>September</v>
      </c>
      <c r="G3850" s="6">
        <f t="shared" si="121"/>
        <v>37</v>
      </c>
      <c r="H3850" s="1">
        <f>SUMIF('Retal Tran Line Item'!E:E,A3850,'Retal Tran Line Item'!B:B)</f>
        <v>8</v>
      </c>
    </row>
    <row r="3851" spans="1:8">
      <c r="A3851" s="1">
        <v>104784</v>
      </c>
      <c r="B3851" s="1">
        <v>245577</v>
      </c>
      <c r="C3851" s="2">
        <v>41893</v>
      </c>
      <c r="D3851" s="1" t="s">
        <v>1989</v>
      </c>
      <c r="E3851" s="6">
        <v>2</v>
      </c>
      <c r="F3851" s="6" t="str">
        <f t="shared" si="120"/>
        <v>September</v>
      </c>
      <c r="G3851" s="6">
        <f t="shared" si="121"/>
        <v>37</v>
      </c>
      <c r="H3851" s="1">
        <f>SUMIF('Retal Tran Line Item'!E:E,A3851,'Retal Tran Line Item'!B:B)</f>
        <v>5</v>
      </c>
    </row>
    <row r="3852" spans="1:8">
      <c r="A3852" s="1">
        <v>104786</v>
      </c>
      <c r="B3852" s="1">
        <v>242720</v>
      </c>
      <c r="C3852" s="2">
        <v>41894</v>
      </c>
      <c r="D3852" s="1" t="s">
        <v>1989</v>
      </c>
      <c r="E3852" s="6">
        <v>2</v>
      </c>
      <c r="F3852" s="6" t="str">
        <f t="shared" si="120"/>
        <v>September</v>
      </c>
      <c r="G3852" s="6">
        <f t="shared" si="121"/>
        <v>37</v>
      </c>
      <c r="H3852" s="1">
        <f>SUMIF('Retal Tran Line Item'!E:E,A3852,'Retal Tran Line Item'!B:B)</f>
        <v>8</v>
      </c>
    </row>
    <row r="3853" spans="1:8">
      <c r="A3853" s="1">
        <v>104787</v>
      </c>
      <c r="B3853" s="1">
        <v>262579</v>
      </c>
      <c r="C3853" s="2">
        <v>41894</v>
      </c>
      <c r="D3853" s="1" t="s">
        <v>1989</v>
      </c>
      <c r="E3853" s="6">
        <v>1</v>
      </c>
      <c r="F3853" s="6" t="str">
        <f t="shared" si="120"/>
        <v>September</v>
      </c>
      <c r="G3853" s="6">
        <f t="shared" si="121"/>
        <v>37</v>
      </c>
      <c r="H3853" s="1">
        <f>SUMIF('Retal Tran Line Item'!E:E,A3853,'Retal Tran Line Item'!B:B)</f>
        <v>9</v>
      </c>
    </row>
    <row r="3854" spans="1:8">
      <c r="A3854" s="1">
        <v>104789</v>
      </c>
      <c r="B3854" s="1">
        <v>105771</v>
      </c>
      <c r="C3854" s="2">
        <v>41894</v>
      </c>
      <c r="D3854" s="1" t="s">
        <v>1992</v>
      </c>
      <c r="E3854" s="6">
        <v>2</v>
      </c>
      <c r="F3854" s="6" t="str">
        <f t="shared" si="120"/>
        <v>September</v>
      </c>
      <c r="G3854" s="6">
        <f t="shared" si="121"/>
        <v>37</v>
      </c>
      <c r="H3854" s="1">
        <f>SUMIF('Retal Tran Line Item'!E:E,A3854,'Retal Tran Line Item'!B:B)</f>
        <v>14</v>
      </c>
    </row>
    <row r="3855" spans="1:8">
      <c r="A3855" s="1">
        <v>104790</v>
      </c>
      <c r="B3855" s="1">
        <v>601753</v>
      </c>
      <c r="C3855" s="2">
        <v>41894</v>
      </c>
      <c r="D3855" s="1" t="s">
        <v>1992</v>
      </c>
      <c r="E3855" s="6">
        <v>2</v>
      </c>
      <c r="F3855" s="6" t="str">
        <f t="shared" si="120"/>
        <v>September</v>
      </c>
      <c r="G3855" s="6">
        <f t="shared" si="121"/>
        <v>37</v>
      </c>
      <c r="H3855" s="1">
        <f>SUMIF('Retal Tran Line Item'!E:E,A3855,'Retal Tran Line Item'!B:B)</f>
        <v>3</v>
      </c>
    </row>
    <row r="3856" spans="1:8">
      <c r="A3856" s="1">
        <v>104791</v>
      </c>
      <c r="B3856" s="1">
        <v>842028</v>
      </c>
      <c r="C3856" s="2">
        <v>41894</v>
      </c>
      <c r="D3856" s="1" t="s">
        <v>1993</v>
      </c>
      <c r="E3856" s="6">
        <v>2</v>
      </c>
      <c r="F3856" s="6" t="str">
        <f t="shared" si="120"/>
        <v>September</v>
      </c>
      <c r="G3856" s="6">
        <f t="shared" si="121"/>
        <v>37</v>
      </c>
      <c r="H3856" s="1">
        <f>SUMIF('Retal Tran Line Item'!E:E,A3856,'Retal Tran Line Item'!B:B)</f>
        <v>7</v>
      </c>
    </row>
    <row r="3857" spans="1:8">
      <c r="A3857" s="1">
        <v>104792</v>
      </c>
      <c r="B3857" s="1">
        <v>611848</v>
      </c>
      <c r="C3857" s="2">
        <v>41895</v>
      </c>
      <c r="D3857" s="1" t="s">
        <v>1992</v>
      </c>
      <c r="E3857" s="6">
        <v>1</v>
      </c>
      <c r="F3857" s="6" t="str">
        <f t="shared" si="120"/>
        <v>September</v>
      </c>
      <c r="G3857" s="6">
        <f t="shared" si="121"/>
        <v>37</v>
      </c>
      <c r="H3857" s="1">
        <f>SUMIF('Retal Tran Line Item'!E:E,A3857,'Retal Tran Line Item'!B:B)</f>
        <v>8</v>
      </c>
    </row>
    <row r="3858" spans="1:8">
      <c r="A3858" s="1">
        <v>104793</v>
      </c>
      <c r="B3858" s="1">
        <v>277310</v>
      </c>
      <c r="C3858" s="2">
        <v>41895</v>
      </c>
      <c r="D3858" s="1" t="s">
        <v>1994</v>
      </c>
      <c r="E3858" s="6">
        <v>1</v>
      </c>
      <c r="F3858" s="6" t="str">
        <f t="shared" si="120"/>
        <v>September</v>
      </c>
      <c r="G3858" s="6">
        <f t="shared" si="121"/>
        <v>37</v>
      </c>
      <c r="H3858" s="1">
        <f>SUMIF('Retal Tran Line Item'!E:E,A3858,'Retal Tran Line Item'!B:B)</f>
        <v>10</v>
      </c>
    </row>
    <row r="3859" spans="1:8">
      <c r="A3859" s="1">
        <v>104794</v>
      </c>
      <c r="B3859" s="1">
        <v>690100</v>
      </c>
      <c r="C3859" s="2">
        <v>41895</v>
      </c>
      <c r="D3859" s="1" t="s">
        <v>1989</v>
      </c>
      <c r="E3859" s="6">
        <v>1</v>
      </c>
      <c r="F3859" s="6" t="str">
        <f t="shared" si="120"/>
        <v>September</v>
      </c>
      <c r="G3859" s="6">
        <f t="shared" si="121"/>
        <v>37</v>
      </c>
      <c r="H3859" s="1">
        <f>SUMIF('Retal Tran Line Item'!E:E,A3859,'Retal Tran Line Item'!B:B)</f>
        <v>3</v>
      </c>
    </row>
    <row r="3860" spans="1:8">
      <c r="A3860" s="1">
        <v>104795</v>
      </c>
      <c r="B3860" s="1">
        <v>646700</v>
      </c>
      <c r="C3860" s="2">
        <v>41895</v>
      </c>
      <c r="D3860" s="1" t="s">
        <v>1989</v>
      </c>
      <c r="E3860" s="6">
        <v>1</v>
      </c>
      <c r="F3860" s="6" t="str">
        <f t="shared" si="120"/>
        <v>September</v>
      </c>
      <c r="G3860" s="6">
        <f t="shared" si="121"/>
        <v>37</v>
      </c>
      <c r="H3860" s="1">
        <f>SUMIF('Retal Tran Line Item'!E:E,A3860,'Retal Tran Line Item'!B:B)</f>
        <v>12</v>
      </c>
    </row>
    <row r="3861" spans="1:8">
      <c r="A3861" s="1">
        <v>104797</v>
      </c>
      <c r="B3861" s="1">
        <v>657495</v>
      </c>
      <c r="C3861" s="2">
        <v>41895</v>
      </c>
      <c r="D3861" s="1" t="s">
        <v>1994</v>
      </c>
      <c r="E3861" s="6">
        <v>2</v>
      </c>
      <c r="F3861" s="6" t="str">
        <f t="shared" si="120"/>
        <v>September</v>
      </c>
      <c r="G3861" s="6">
        <f t="shared" si="121"/>
        <v>37</v>
      </c>
      <c r="H3861" s="1">
        <f>SUMIF('Retal Tran Line Item'!E:E,A3861,'Retal Tran Line Item'!B:B)</f>
        <v>14</v>
      </c>
    </row>
    <row r="3862" spans="1:8">
      <c r="A3862" s="1">
        <v>104799</v>
      </c>
      <c r="B3862" s="1">
        <v>606155</v>
      </c>
      <c r="C3862" s="2">
        <v>41895</v>
      </c>
      <c r="D3862" s="1" t="s">
        <v>1993</v>
      </c>
      <c r="E3862" s="6">
        <v>1</v>
      </c>
      <c r="F3862" s="6" t="str">
        <f t="shared" si="120"/>
        <v>September</v>
      </c>
      <c r="G3862" s="6">
        <f t="shared" si="121"/>
        <v>37</v>
      </c>
      <c r="H3862" s="1">
        <f>SUMIF('Retal Tran Line Item'!E:E,A3862,'Retal Tran Line Item'!B:B)</f>
        <v>8</v>
      </c>
    </row>
    <row r="3863" spans="1:8">
      <c r="A3863" s="1">
        <v>104800</v>
      </c>
      <c r="B3863" s="1">
        <v>116934</v>
      </c>
      <c r="C3863" s="2">
        <v>41896</v>
      </c>
      <c r="D3863" s="1" t="s">
        <v>1992</v>
      </c>
      <c r="E3863" s="6">
        <v>1</v>
      </c>
      <c r="F3863" s="6" t="str">
        <f t="shared" si="120"/>
        <v>September</v>
      </c>
      <c r="G3863" s="6">
        <f t="shared" si="121"/>
        <v>38</v>
      </c>
      <c r="H3863" s="1">
        <f>SUMIF('Retal Tran Line Item'!E:E,A3863,'Retal Tran Line Item'!B:B)</f>
        <v>7</v>
      </c>
    </row>
    <row r="3864" spans="1:8">
      <c r="A3864" s="1">
        <v>104801</v>
      </c>
      <c r="B3864" s="1">
        <v>663029</v>
      </c>
      <c r="C3864" s="2">
        <v>41896</v>
      </c>
      <c r="D3864" s="1" t="s">
        <v>1993</v>
      </c>
      <c r="E3864" s="6">
        <v>2</v>
      </c>
      <c r="F3864" s="6" t="str">
        <f t="shared" si="120"/>
        <v>September</v>
      </c>
      <c r="G3864" s="6">
        <f t="shared" si="121"/>
        <v>38</v>
      </c>
      <c r="H3864" s="1">
        <f>SUMIF('Retal Tran Line Item'!E:E,A3864,'Retal Tran Line Item'!B:B)</f>
        <v>9</v>
      </c>
    </row>
    <row r="3865" spans="1:8">
      <c r="A3865" s="1">
        <v>104802</v>
      </c>
      <c r="B3865" s="1">
        <v>132454</v>
      </c>
      <c r="C3865" s="2">
        <v>41896</v>
      </c>
      <c r="D3865" s="1" t="s">
        <v>1992</v>
      </c>
      <c r="E3865" s="6">
        <v>1</v>
      </c>
      <c r="F3865" s="6" t="str">
        <f t="shared" si="120"/>
        <v>September</v>
      </c>
      <c r="G3865" s="6">
        <f t="shared" si="121"/>
        <v>38</v>
      </c>
      <c r="H3865" s="1">
        <f>SUMIF('Retal Tran Line Item'!E:E,A3865,'Retal Tran Line Item'!B:B)</f>
        <v>10</v>
      </c>
    </row>
    <row r="3866" spans="1:8">
      <c r="A3866" s="1">
        <v>104803</v>
      </c>
      <c r="B3866" s="1">
        <v>301793</v>
      </c>
      <c r="C3866" s="2">
        <v>41896</v>
      </c>
      <c r="D3866" s="1" t="s">
        <v>1989</v>
      </c>
      <c r="E3866" s="6">
        <v>2</v>
      </c>
      <c r="F3866" s="6" t="str">
        <f t="shared" si="120"/>
        <v>September</v>
      </c>
      <c r="G3866" s="6">
        <f t="shared" si="121"/>
        <v>38</v>
      </c>
      <c r="H3866" s="1">
        <f>SUMIF('Retal Tran Line Item'!E:E,A3866,'Retal Tran Line Item'!B:B)</f>
        <v>6</v>
      </c>
    </row>
    <row r="3867" spans="1:8">
      <c r="A3867" s="1">
        <v>104805</v>
      </c>
      <c r="B3867" s="1">
        <v>235720</v>
      </c>
      <c r="C3867" s="2">
        <v>41896</v>
      </c>
      <c r="D3867" s="1" t="s">
        <v>1993</v>
      </c>
      <c r="E3867" s="6">
        <v>2</v>
      </c>
      <c r="F3867" s="6" t="str">
        <f t="shared" si="120"/>
        <v>September</v>
      </c>
      <c r="G3867" s="6">
        <f t="shared" si="121"/>
        <v>38</v>
      </c>
      <c r="H3867" s="1">
        <f>SUMIF('Retal Tran Line Item'!E:E,A3867,'Retal Tran Line Item'!B:B)</f>
        <v>8</v>
      </c>
    </row>
    <row r="3868" spans="1:8">
      <c r="A3868" s="1">
        <v>104807</v>
      </c>
      <c r="B3868" s="1">
        <v>517477</v>
      </c>
      <c r="C3868" s="2">
        <v>41897</v>
      </c>
      <c r="D3868" s="1" t="s">
        <v>1992</v>
      </c>
      <c r="E3868" s="6">
        <v>2</v>
      </c>
      <c r="F3868" s="6" t="str">
        <f t="shared" si="120"/>
        <v>September</v>
      </c>
      <c r="G3868" s="6">
        <f t="shared" si="121"/>
        <v>38</v>
      </c>
      <c r="H3868" s="1">
        <f>SUMIF('Retal Tran Line Item'!E:E,A3868,'Retal Tran Line Item'!B:B)</f>
        <v>17</v>
      </c>
    </row>
    <row r="3869" spans="1:8">
      <c r="A3869" s="1">
        <v>104808</v>
      </c>
      <c r="B3869" s="1">
        <v>270853</v>
      </c>
      <c r="C3869" s="2">
        <v>41897</v>
      </c>
      <c r="D3869" s="1" t="s">
        <v>1992</v>
      </c>
      <c r="E3869" s="6">
        <v>2</v>
      </c>
      <c r="F3869" s="6" t="str">
        <f t="shared" si="120"/>
        <v>September</v>
      </c>
      <c r="G3869" s="6">
        <f t="shared" si="121"/>
        <v>38</v>
      </c>
      <c r="H3869" s="1">
        <f>SUMIF('Retal Tran Line Item'!E:E,A3869,'Retal Tran Line Item'!B:B)</f>
        <v>1</v>
      </c>
    </row>
    <row r="3870" spans="1:8">
      <c r="A3870" s="1">
        <v>104809</v>
      </c>
      <c r="B3870" s="1">
        <v>925565</v>
      </c>
      <c r="C3870" s="2">
        <v>41897</v>
      </c>
      <c r="D3870" s="1" t="s">
        <v>1992</v>
      </c>
      <c r="E3870" s="6">
        <v>2</v>
      </c>
      <c r="F3870" s="6" t="str">
        <f t="shared" si="120"/>
        <v>September</v>
      </c>
      <c r="G3870" s="6">
        <f t="shared" si="121"/>
        <v>38</v>
      </c>
      <c r="H3870" s="1">
        <f>SUMIF('Retal Tran Line Item'!E:E,A3870,'Retal Tran Line Item'!B:B)</f>
        <v>8</v>
      </c>
    </row>
    <row r="3871" spans="1:8">
      <c r="A3871" s="1">
        <v>104810</v>
      </c>
      <c r="B3871" s="1">
        <v>227372</v>
      </c>
      <c r="C3871" s="2">
        <v>41897</v>
      </c>
      <c r="D3871" s="1" t="s">
        <v>1992</v>
      </c>
      <c r="E3871" s="6">
        <v>2</v>
      </c>
      <c r="F3871" s="6" t="str">
        <f t="shared" si="120"/>
        <v>September</v>
      </c>
      <c r="G3871" s="6">
        <f t="shared" si="121"/>
        <v>38</v>
      </c>
      <c r="H3871" s="1">
        <f>SUMIF('Retal Tran Line Item'!E:E,A3871,'Retal Tran Line Item'!B:B)</f>
        <v>7</v>
      </c>
    </row>
    <row r="3872" spans="1:8">
      <c r="A3872" s="1">
        <v>104812</v>
      </c>
      <c r="B3872" s="1">
        <v>703083</v>
      </c>
      <c r="C3872" s="2">
        <v>41897</v>
      </c>
      <c r="D3872" s="1" t="s">
        <v>1994</v>
      </c>
      <c r="E3872" s="6">
        <v>2</v>
      </c>
      <c r="F3872" s="6" t="str">
        <f t="shared" si="120"/>
        <v>September</v>
      </c>
      <c r="G3872" s="6">
        <f t="shared" si="121"/>
        <v>38</v>
      </c>
      <c r="H3872" s="1">
        <f>SUMIF('Retal Tran Line Item'!E:E,A3872,'Retal Tran Line Item'!B:B)</f>
        <v>7</v>
      </c>
    </row>
    <row r="3873" spans="1:8">
      <c r="A3873" s="1">
        <v>104813</v>
      </c>
      <c r="B3873" s="1">
        <v>480298</v>
      </c>
      <c r="C3873" s="2">
        <v>41897</v>
      </c>
      <c r="D3873" s="1" t="s">
        <v>1993</v>
      </c>
      <c r="E3873" s="6">
        <v>1</v>
      </c>
      <c r="F3873" s="6" t="str">
        <f t="shared" si="120"/>
        <v>September</v>
      </c>
      <c r="G3873" s="6">
        <f t="shared" si="121"/>
        <v>38</v>
      </c>
      <c r="H3873" s="1">
        <f>SUMIF('Retal Tran Line Item'!E:E,A3873,'Retal Tran Line Item'!B:B)</f>
        <v>8</v>
      </c>
    </row>
  </sheetData>
  <dataValidations count="1">
    <dataValidation allowBlank="1" showInputMessage="1" showErrorMessage="1" prompt="Calculate the total sum of price form the &quot;Rental Tran Line Item&quot; dataset._x000a_" sqref="H1:H1048576" xr:uid="{0662F6AE-0F48-49AB-9E89-825D406A0E20}"/>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18D3D-FA76-4103-B34E-ADB9E0C8AF0C}">
  <dimension ref="A1:I6311"/>
  <sheetViews>
    <sheetView topLeftCell="E1" workbookViewId="0">
      <selection activeCell="K6" sqref="K6"/>
    </sheetView>
  </sheetViews>
  <sheetFormatPr defaultRowHeight="15"/>
  <cols>
    <col min="1" max="1" width="10.7109375" bestFit="1" customWidth="1"/>
    <col min="2" max="2" width="12.5703125" customWidth="1"/>
    <col min="3" max="3" width="25.7109375" style="3" customWidth="1"/>
    <col min="4" max="4" width="22.140625" customWidth="1"/>
    <col min="5" max="5" width="24.42578125" customWidth="1"/>
    <col min="6" max="6" width="17.28515625" customWidth="1"/>
    <col min="7" max="7" width="16.5703125" style="1" customWidth="1"/>
    <col min="8" max="8" width="14.85546875" customWidth="1"/>
  </cols>
  <sheetData>
    <row r="1" spans="1:9">
      <c r="A1" s="4" t="s">
        <v>1995</v>
      </c>
      <c r="B1" s="4" t="s">
        <v>1896</v>
      </c>
      <c r="C1" s="5" t="s">
        <v>1996</v>
      </c>
      <c r="D1" s="4" t="s">
        <v>1997</v>
      </c>
      <c r="E1" s="4" t="s">
        <v>1998</v>
      </c>
      <c r="F1" s="7" t="s">
        <v>1999</v>
      </c>
      <c r="G1" s="11" t="s">
        <v>2000</v>
      </c>
      <c r="H1" s="21" t="s">
        <v>11</v>
      </c>
      <c r="I1" s="21" t="s">
        <v>2001</v>
      </c>
    </row>
    <row r="2" spans="1:9">
      <c r="A2" s="1">
        <v>10208</v>
      </c>
      <c r="B2" s="1">
        <v>5</v>
      </c>
      <c r="C2" s="2">
        <v>41100</v>
      </c>
      <c r="D2" s="1" t="s">
        <v>2002</v>
      </c>
      <c r="E2" s="1">
        <v>100000</v>
      </c>
      <c r="F2" s="6" t="s">
        <v>2003</v>
      </c>
      <c r="G2" s="15" t="str">
        <f>VLOOKUP(A2,Movie!A:D,4,FALSE)</f>
        <v>Warner Brothers</v>
      </c>
      <c r="H2" s="14">
        <f>VLOOKUP(E2,'Rental Transaction'!A:B,2,FALSE)</f>
        <v>864896</v>
      </c>
      <c r="I2">
        <f>YEAR(C2)</f>
        <v>2012</v>
      </c>
    </row>
    <row r="3" spans="1:9">
      <c r="A3" s="1">
        <v>10207</v>
      </c>
      <c r="B3" s="1">
        <v>6</v>
      </c>
      <c r="C3" s="2">
        <v>41098</v>
      </c>
      <c r="D3" s="1" t="s">
        <v>2002</v>
      </c>
      <c r="E3" s="1">
        <v>100000</v>
      </c>
      <c r="F3" s="6" t="s">
        <v>2004</v>
      </c>
      <c r="G3" s="15" t="str">
        <f>VLOOKUP(A3,Movie!A:D,4,FALSE)</f>
        <v>Paramount</v>
      </c>
      <c r="H3" s="14">
        <f>VLOOKUP(E3,'Rental Transaction'!A:B,2,FALSE)</f>
        <v>864896</v>
      </c>
      <c r="I3">
        <f t="shared" ref="I3:I66" si="0">YEAR(C3)</f>
        <v>2012</v>
      </c>
    </row>
    <row r="4" spans="1:9">
      <c r="A4" s="1">
        <v>10168</v>
      </c>
      <c r="B4" s="1">
        <v>4</v>
      </c>
      <c r="C4" s="2">
        <v>41099</v>
      </c>
      <c r="D4" s="1" t="s">
        <v>2005</v>
      </c>
      <c r="E4" s="1">
        <v>100000</v>
      </c>
      <c r="F4" s="6" t="s">
        <v>2006</v>
      </c>
      <c r="G4" s="15" t="str">
        <f>VLOOKUP(A4,Movie!A:D,4,FALSE)</f>
        <v>Paramount</v>
      </c>
      <c r="H4" s="14">
        <f>VLOOKUP(E4,'Rental Transaction'!A:B,2,FALSE)</f>
        <v>864896</v>
      </c>
      <c r="I4">
        <f t="shared" si="0"/>
        <v>2012</v>
      </c>
    </row>
    <row r="5" spans="1:9">
      <c r="A5" s="1">
        <v>10098</v>
      </c>
      <c r="B5" s="1">
        <v>10</v>
      </c>
      <c r="C5" s="2">
        <v>41098</v>
      </c>
      <c r="D5" s="1" t="s">
        <v>2005</v>
      </c>
      <c r="E5" s="1">
        <v>100000</v>
      </c>
      <c r="F5" s="6" t="s">
        <v>2007</v>
      </c>
      <c r="G5" s="15" t="str">
        <f>VLOOKUP(A5,Movie!A:D,4,FALSE)</f>
        <v>Warner Brothers</v>
      </c>
      <c r="H5" s="14">
        <f>VLOOKUP(E5,'Rental Transaction'!A:B,2,FALSE)</f>
        <v>864896</v>
      </c>
      <c r="I5">
        <f t="shared" si="0"/>
        <v>2012</v>
      </c>
    </row>
    <row r="6" spans="1:9" ht="29.25">
      <c r="A6" s="1">
        <v>10121</v>
      </c>
      <c r="B6" s="1">
        <v>5</v>
      </c>
      <c r="C6" s="2">
        <v>41104</v>
      </c>
      <c r="D6" s="1" t="s">
        <v>2002</v>
      </c>
      <c r="E6" s="1">
        <v>100001</v>
      </c>
      <c r="F6" s="6" t="s">
        <v>2008</v>
      </c>
      <c r="G6" s="15" t="str">
        <f>VLOOKUP(A6,Movie!A:D,4,FALSE)</f>
        <v>Weinstein Company</v>
      </c>
      <c r="H6" s="14">
        <f>VLOOKUP(E6,'Rental Transaction'!A:B,2,FALSE)</f>
        <v>610766</v>
      </c>
      <c r="I6">
        <f t="shared" si="0"/>
        <v>2012</v>
      </c>
    </row>
    <row r="7" spans="1:9">
      <c r="A7" s="1">
        <v>10137</v>
      </c>
      <c r="B7" s="1">
        <v>1</v>
      </c>
      <c r="C7" s="2">
        <v>41104</v>
      </c>
      <c r="D7" s="1" t="s">
        <v>2005</v>
      </c>
      <c r="E7" s="1">
        <v>100002</v>
      </c>
      <c r="F7" s="6" t="s">
        <v>2009</v>
      </c>
      <c r="G7" s="15" t="str">
        <f>VLOOKUP(A7,Movie!A:D,4,FALSE)</f>
        <v>Buena Vista</v>
      </c>
      <c r="H7" s="14">
        <f>VLOOKUP(E7,'Rental Transaction'!A:B,2,FALSE)</f>
        <v>207846</v>
      </c>
      <c r="I7">
        <f t="shared" si="0"/>
        <v>2012</v>
      </c>
    </row>
    <row r="8" spans="1:9">
      <c r="A8" s="1">
        <v>10124</v>
      </c>
      <c r="B8" s="1">
        <v>10</v>
      </c>
      <c r="C8" s="2">
        <v>41105</v>
      </c>
      <c r="D8" s="1" t="s">
        <v>2002</v>
      </c>
      <c r="E8" s="1">
        <v>100002</v>
      </c>
      <c r="F8" s="6" t="s">
        <v>2010</v>
      </c>
      <c r="G8" s="15" t="str">
        <f>VLOOKUP(A8,Movie!A:D,4,FALSE)</f>
        <v>Paramount</v>
      </c>
      <c r="H8" s="14">
        <f>VLOOKUP(E8,'Rental Transaction'!A:B,2,FALSE)</f>
        <v>207846</v>
      </c>
      <c r="I8">
        <f t="shared" si="0"/>
        <v>2012</v>
      </c>
    </row>
    <row r="9" spans="1:9" ht="29.25">
      <c r="A9" s="1">
        <v>10081</v>
      </c>
      <c r="B9" s="1">
        <v>7</v>
      </c>
      <c r="C9" s="2">
        <v>41108</v>
      </c>
      <c r="D9" s="1" t="s">
        <v>2002</v>
      </c>
      <c r="E9" s="1">
        <v>100003</v>
      </c>
      <c r="F9" s="6" t="s">
        <v>2011</v>
      </c>
      <c r="G9" s="15" t="str">
        <f>VLOOKUP(A9,Movie!A:D,4,FALSE)</f>
        <v>Weinstein Company</v>
      </c>
      <c r="H9" s="14">
        <f>VLOOKUP(E9,'Rental Transaction'!A:B,2,FALSE)</f>
        <v>166612</v>
      </c>
      <c r="I9">
        <f t="shared" si="0"/>
        <v>2012</v>
      </c>
    </row>
    <row r="10" spans="1:9">
      <c r="A10" s="1">
        <v>10025</v>
      </c>
      <c r="B10" s="1">
        <v>2</v>
      </c>
      <c r="C10" s="2">
        <v>41117</v>
      </c>
      <c r="D10" s="1" t="s">
        <v>2002</v>
      </c>
      <c r="E10" s="1">
        <v>100004</v>
      </c>
      <c r="F10" s="6" t="s">
        <v>2012</v>
      </c>
      <c r="G10" s="15" t="str">
        <f>VLOOKUP(A10,Movie!A:D,4,FALSE)</f>
        <v>Sony</v>
      </c>
      <c r="H10" s="14">
        <f>VLOOKUP(E10,'Rental Transaction'!A:B,2,FALSE)</f>
        <v>482274</v>
      </c>
      <c r="I10">
        <f t="shared" si="0"/>
        <v>2012</v>
      </c>
    </row>
    <row r="11" spans="1:9" ht="29.25">
      <c r="A11" s="1">
        <v>10028</v>
      </c>
      <c r="B11" s="1">
        <v>1</v>
      </c>
      <c r="C11" s="2">
        <v>41117</v>
      </c>
      <c r="D11" s="1" t="s">
        <v>2002</v>
      </c>
      <c r="E11" s="1">
        <v>100004</v>
      </c>
      <c r="F11" s="6" t="s">
        <v>2013</v>
      </c>
      <c r="G11" s="15" t="str">
        <f>VLOOKUP(A11,Movie!A:D,4,FALSE)</f>
        <v>Summit Entertainment</v>
      </c>
      <c r="H11" s="14">
        <f>VLOOKUP(E11,'Rental Transaction'!A:B,2,FALSE)</f>
        <v>482274</v>
      </c>
      <c r="I11">
        <f t="shared" si="0"/>
        <v>2012</v>
      </c>
    </row>
    <row r="12" spans="1:9">
      <c r="A12" s="1">
        <v>10080</v>
      </c>
      <c r="B12" s="1">
        <v>7</v>
      </c>
      <c r="C12" s="2">
        <v>41119</v>
      </c>
      <c r="D12" s="1" t="s">
        <v>2005</v>
      </c>
      <c r="E12" s="1">
        <v>100005</v>
      </c>
      <c r="F12" s="6" t="s">
        <v>2014</v>
      </c>
      <c r="G12" s="15" t="str">
        <f>VLOOKUP(A12,Movie!A:D,4,FALSE)</f>
        <v>Buena Vista</v>
      </c>
      <c r="H12" s="14">
        <f>VLOOKUP(E12,'Rental Transaction'!A:B,2,FALSE)</f>
        <v>961080</v>
      </c>
      <c r="I12">
        <f t="shared" si="0"/>
        <v>2012</v>
      </c>
    </row>
    <row r="13" spans="1:9">
      <c r="A13" s="1">
        <v>10124</v>
      </c>
      <c r="B13" s="1">
        <v>8</v>
      </c>
      <c r="C13" s="2">
        <v>41122</v>
      </c>
      <c r="D13" s="1" t="s">
        <v>2005</v>
      </c>
      <c r="E13" s="1">
        <v>100006</v>
      </c>
      <c r="F13" s="6" t="s">
        <v>2015</v>
      </c>
      <c r="G13" s="15" t="str">
        <f>VLOOKUP(A13,Movie!A:D,4,FALSE)</f>
        <v>Paramount</v>
      </c>
      <c r="H13" s="14">
        <f>VLOOKUP(E13,'Rental Transaction'!A:B,2,FALSE)</f>
        <v>736500</v>
      </c>
      <c r="I13">
        <f t="shared" si="0"/>
        <v>2012</v>
      </c>
    </row>
    <row r="14" spans="1:9">
      <c r="A14" s="1">
        <v>10015</v>
      </c>
      <c r="B14" s="1">
        <v>7</v>
      </c>
      <c r="C14" s="2">
        <v>41122</v>
      </c>
      <c r="D14" s="1" t="s">
        <v>2002</v>
      </c>
      <c r="E14" s="1">
        <v>100006</v>
      </c>
      <c r="F14" s="6" t="s">
        <v>2016</v>
      </c>
      <c r="G14" s="15" t="str">
        <f>VLOOKUP(A14,Movie!A:D,4,FALSE)</f>
        <v>TriStar</v>
      </c>
      <c r="H14" s="14">
        <f>VLOOKUP(E14,'Rental Transaction'!A:B,2,FALSE)</f>
        <v>736500</v>
      </c>
      <c r="I14">
        <f t="shared" si="0"/>
        <v>2012</v>
      </c>
    </row>
    <row r="15" spans="1:9">
      <c r="A15" s="1">
        <v>10175</v>
      </c>
      <c r="B15" s="1">
        <v>2</v>
      </c>
      <c r="C15" s="2">
        <v>41123</v>
      </c>
      <c r="D15" s="1" t="s">
        <v>2002</v>
      </c>
      <c r="E15" s="1">
        <v>100007</v>
      </c>
      <c r="F15" s="6" t="s">
        <v>2017</v>
      </c>
      <c r="G15" s="15" t="str">
        <f>VLOOKUP(A15,Movie!A:D,4,FALSE)</f>
        <v>Buena Vista</v>
      </c>
      <c r="H15" s="14">
        <f>VLOOKUP(E15,'Rental Transaction'!A:B,2,FALSE)</f>
        <v>714277</v>
      </c>
      <c r="I15">
        <f t="shared" si="0"/>
        <v>2012</v>
      </c>
    </row>
    <row r="16" spans="1:9">
      <c r="A16" s="1">
        <v>10053</v>
      </c>
      <c r="B16" s="1">
        <v>2</v>
      </c>
      <c r="C16" s="2">
        <v>41125</v>
      </c>
      <c r="D16" s="1" t="s">
        <v>2002</v>
      </c>
      <c r="E16" s="1">
        <v>100008</v>
      </c>
      <c r="F16" s="6" t="s">
        <v>2018</v>
      </c>
      <c r="G16" s="15" t="str">
        <f>VLOOKUP(A16,Movie!A:D,4,FALSE)</f>
        <v>Sony</v>
      </c>
      <c r="H16" s="14">
        <f>VLOOKUP(E16,'Rental Transaction'!A:B,2,FALSE)</f>
        <v>324435</v>
      </c>
      <c r="I16">
        <f t="shared" si="0"/>
        <v>2012</v>
      </c>
    </row>
    <row r="17" spans="1:9">
      <c r="A17" s="1">
        <v>10143</v>
      </c>
      <c r="B17" s="1">
        <v>2</v>
      </c>
      <c r="C17" s="2">
        <v>41124</v>
      </c>
      <c r="D17" s="1" t="s">
        <v>2002</v>
      </c>
      <c r="E17" s="1">
        <v>100008</v>
      </c>
      <c r="F17" s="6" t="s">
        <v>2019</v>
      </c>
      <c r="G17" s="15" t="str">
        <f>VLOOKUP(A17,Movie!A:D,4,FALSE)</f>
        <v>Buena Vista</v>
      </c>
      <c r="H17" s="14">
        <f>VLOOKUP(E17,'Rental Transaction'!A:B,2,FALSE)</f>
        <v>324435</v>
      </c>
      <c r="I17">
        <f t="shared" si="0"/>
        <v>2012</v>
      </c>
    </row>
    <row r="18" spans="1:9" ht="29.25">
      <c r="A18" s="1">
        <v>10239</v>
      </c>
      <c r="B18" s="1">
        <v>3</v>
      </c>
      <c r="C18" s="2">
        <v>41128</v>
      </c>
      <c r="D18" s="1" t="s">
        <v>2002</v>
      </c>
      <c r="E18" s="1">
        <v>100009</v>
      </c>
      <c r="F18" s="6" t="s">
        <v>2020</v>
      </c>
      <c r="G18" s="15" t="str">
        <f>VLOOKUP(A18,Movie!A:D,4,FALSE)</f>
        <v>Weinstein Company</v>
      </c>
      <c r="H18" s="14">
        <f>VLOOKUP(E18,'Rental Transaction'!A:B,2,FALSE)</f>
        <v>207846</v>
      </c>
      <c r="I18">
        <f t="shared" si="0"/>
        <v>2012</v>
      </c>
    </row>
    <row r="19" spans="1:9">
      <c r="A19" s="1">
        <v>10213</v>
      </c>
      <c r="B19" s="1">
        <v>6</v>
      </c>
      <c r="C19" s="2">
        <v>41127</v>
      </c>
      <c r="D19" s="1" t="s">
        <v>2002</v>
      </c>
      <c r="E19" s="1">
        <v>100010</v>
      </c>
      <c r="F19" s="6" t="s">
        <v>2021</v>
      </c>
      <c r="G19" s="15" t="str">
        <f>VLOOKUP(A19,Movie!A:D,4,FALSE)</f>
        <v>Sony</v>
      </c>
      <c r="H19" s="14">
        <f>VLOOKUP(E19,'Rental Transaction'!A:B,2,FALSE)</f>
        <v>862302</v>
      </c>
      <c r="I19">
        <f t="shared" si="0"/>
        <v>2012</v>
      </c>
    </row>
    <row r="20" spans="1:9">
      <c r="A20" s="1">
        <v>10006</v>
      </c>
      <c r="B20" s="1">
        <v>6</v>
      </c>
      <c r="C20" s="2">
        <v>41128</v>
      </c>
      <c r="D20" s="1" t="s">
        <v>2005</v>
      </c>
      <c r="E20" s="1">
        <v>100010</v>
      </c>
      <c r="F20" s="6" t="s">
        <v>2022</v>
      </c>
      <c r="G20" s="15" t="str">
        <f>VLOOKUP(A20,Movie!A:D,4,FALSE)</f>
        <v>Paramount</v>
      </c>
      <c r="H20" s="14">
        <f>VLOOKUP(E20,'Rental Transaction'!A:B,2,FALSE)</f>
        <v>862302</v>
      </c>
      <c r="I20">
        <f t="shared" si="0"/>
        <v>2012</v>
      </c>
    </row>
    <row r="21" spans="1:9">
      <c r="A21" s="1">
        <v>10213</v>
      </c>
      <c r="B21" s="1">
        <v>6</v>
      </c>
      <c r="C21" s="2">
        <v>41132</v>
      </c>
      <c r="D21" s="1" t="s">
        <v>2002</v>
      </c>
      <c r="E21" s="1">
        <v>100011</v>
      </c>
      <c r="F21" s="6" t="s">
        <v>2023</v>
      </c>
      <c r="G21" s="15" t="str">
        <f>VLOOKUP(A21,Movie!A:D,4,FALSE)</f>
        <v>Sony</v>
      </c>
      <c r="H21" s="14">
        <f>VLOOKUP(E21,'Rental Transaction'!A:B,2,FALSE)</f>
        <v>274541</v>
      </c>
      <c r="I21">
        <f t="shared" si="0"/>
        <v>2012</v>
      </c>
    </row>
    <row r="22" spans="1:9">
      <c r="A22" s="1">
        <v>10006</v>
      </c>
      <c r="B22" s="1">
        <v>9</v>
      </c>
      <c r="C22" s="2">
        <v>41132</v>
      </c>
      <c r="D22" s="1" t="s">
        <v>2002</v>
      </c>
      <c r="E22" s="1">
        <v>100012</v>
      </c>
      <c r="F22" s="6" t="s">
        <v>2024</v>
      </c>
      <c r="G22" s="15" t="str">
        <f>VLOOKUP(A22,Movie!A:D,4,FALSE)</f>
        <v>Paramount</v>
      </c>
      <c r="H22" s="14">
        <f>VLOOKUP(E22,'Rental Transaction'!A:B,2,FALSE)</f>
        <v>789308</v>
      </c>
      <c r="I22">
        <f t="shared" si="0"/>
        <v>2012</v>
      </c>
    </row>
    <row r="23" spans="1:9">
      <c r="A23" s="1">
        <v>10053</v>
      </c>
      <c r="B23" s="1">
        <v>6</v>
      </c>
      <c r="C23" s="2">
        <v>41135</v>
      </c>
      <c r="D23" s="1" t="s">
        <v>2005</v>
      </c>
      <c r="E23" s="1">
        <v>100013</v>
      </c>
      <c r="F23" s="6" t="s">
        <v>2025</v>
      </c>
      <c r="G23" s="15" t="str">
        <f>VLOOKUP(A23,Movie!A:D,4,FALSE)</f>
        <v>Sony</v>
      </c>
      <c r="H23" s="14">
        <f>VLOOKUP(E23,'Rental Transaction'!A:B,2,FALSE)</f>
        <v>108708</v>
      </c>
      <c r="I23">
        <f t="shared" si="0"/>
        <v>2012</v>
      </c>
    </row>
    <row r="24" spans="1:9">
      <c r="A24" s="1">
        <v>10171</v>
      </c>
      <c r="B24" s="1">
        <v>5</v>
      </c>
      <c r="C24" s="2">
        <v>41135</v>
      </c>
      <c r="D24" s="1" t="s">
        <v>2005</v>
      </c>
      <c r="E24" s="1">
        <v>100014</v>
      </c>
      <c r="F24" s="6" t="s">
        <v>2026</v>
      </c>
      <c r="G24" s="15" t="str">
        <f>VLOOKUP(A24,Movie!A:D,4,FALSE)</f>
        <v>Universal</v>
      </c>
      <c r="H24" s="14">
        <f>VLOOKUP(E24,'Rental Transaction'!A:B,2,FALSE)</f>
        <v>108708</v>
      </c>
      <c r="I24">
        <f t="shared" si="0"/>
        <v>2012</v>
      </c>
    </row>
    <row r="25" spans="1:9">
      <c r="A25" s="1">
        <v>10037</v>
      </c>
      <c r="B25" s="1">
        <v>7</v>
      </c>
      <c r="C25" s="2">
        <v>41137</v>
      </c>
      <c r="D25" s="1" t="s">
        <v>2002</v>
      </c>
      <c r="E25" s="1">
        <v>100015</v>
      </c>
      <c r="F25" s="6" t="s">
        <v>2027</v>
      </c>
      <c r="G25" s="15" t="str">
        <f>VLOOKUP(A25,Movie!A:D,4,FALSE)</f>
        <v>Buena Vista</v>
      </c>
      <c r="H25" s="14">
        <f>VLOOKUP(E25,'Rental Transaction'!A:B,2,FALSE)</f>
        <v>306475</v>
      </c>
      <c r="I25">
        <f t="shared" si="0"/>
        <v>2012</v>
      </c>
    </row>
    <row r="26" spans="1:9">
      <c r="A26" s="1">
        <v>10032</v>
      </c>
      <c r="B26" s="1">
        <v>5</v>
      </c>
      <c r="C26" s="2">
        <v>41136</v>
      </c>
      <c r="D26" s="1" t="s">
        <v>2002</v>
      </c>
      <c r="E26" s="1">
        <v>100015</v>
      </c>
      <c r="F26" s="6" t="s">
        <v>2028</v>
      </c>
      <c r="G26" s="15" t="str">
        <f>VLOOKUP(A26,Movie!A:D,4,FALSE)</f>
        <v>Sony</v>
      </c>
      <c r="H26" s="14">
        <f>VLOOKUP(E26,'Rental Transaction'!A:B,2,FALSE)</f>
        <v>306475</v>
      </c>
      <c r="I26">
        <f t="shared" si="0"/>
        <v>2012</v>
      </c>
    </row>
    <row r="27" spans="1:9">
      <c r="A27" s="1">
        <v>10135</v>
      </c>
      <c r="B27" s="1">
        <v>8</v>
      </c>
      <c r="C27" s="2">
        <v>41140</v>
      </c>
      <c r="D27" s="1" t="s">
        <v>2005</v>
      </c>
      <c r="E27" s="1">
        <v>100016</v>
      </c>
      <c r="F27" s="6" t="s">
        <v>2029</v>
      </c>
      <c r="G27" s="15" t="str">
        <f>VLOOKUP(A27,Movie!A:D,4,FALSE)</f>
        <v>Universal</v>
      </c>
      <c r="H27" s="14">
        <f>VLOOKUP(E27,'Rental Transaction'!A:B,2,FALSE)</f>
        <v>324435</v>
      </c>
      <c r="I27">
        <f t="shared" si="0"/>
        <v>2012</v>
      </c>
    </row>
    <row r="28" spans="1:9">
      <c r="A28" s="1">
        <v>10207</v>
      </c>
      <c r="B28" s="1">
        <v>1</v>
      </c>
      <c r="C28" s="2">
        <v>41141</v>
      </c>
      <c r="D28" s="1" t="s">
        <v>2005</v>
      </c>
      <c r="E28" s="1">
        <v>100016</v>
      </c>
      <c r="F28" s="6" t="s">
        <v>2030</v>
      </c>
      <c r="G28" s="15" t="str">
        <f>VLOOKUP(A28,Movie!A:D,4,FALSE)</f>
        <v>Paramount</v>
      </c>
      <c r="H28" s="14">
        <f>VLOOKUP(E28,'Rental Transaction'!A:B,2,FALSE)</f>
        <v>324435</v>
      </c>
      <c r="I28">
        <f t="shared" si="0"/>
        <v>2012</v>
      </c>
    </row>
    <row r="29" spans="1:9">
      <c r="A29" s="1">
        <v>10022</v>
      </c>
      <c r="B29" s="1">
        <v>6</v>
      </c>
      <c r="C29" s="2">
        <v>41141</v>
      </c>
      <c r="D29" s="1" t="s">
        <v>2002</v>
      </c>
      <c r="E29" s="1">
        <v>100017</v>
      </c>
      <c r="F29" s="6" t="s">
        <v>2031</v>
      </c>
      <c r="G29" s="15" t="str">
        <f>VLOOKUP(A29,Movie!A:D,4,FALSE)</f>
        <v>Universal</v>
      </c>
      <c r="H29" s="14">
        <f>VLOOKUP(E29,'Rental Transaction'!A:B,2,FALSE)</f>
        <v>860057</v>
      </c>
      <c r="I29">
        <f t="shared" si="0"/>
        <v>2012</v>
      </c>
    </row>
    <row r="30" spans="1:9">
      <c r="A30" s="1">
        <v>10091</v>
      </c>
      <c r="B30" s="1">
        <v>2</v>
      </c>
      <c r="C30" s="2">
        <v>41147</v>
      </c>
      <c r="D30" s="1" t="s">
        <v>2002</v>
      </c>
      <c r="E30" s="1">
        <v>100018</v>
      </c>
      <c r="F30" s="6" t="s">
        <v>2032</v>
      </c>
      <c r="G30" s="15" t="str">
        <f>VLOOKUP(A30,Movie!A:D,4,FALSE)</f>
        <v>Warner Brothers</v>
      </c>
      <c r="H30" s="14">
        <f>VLOOKUP(E30,'Rental Transaction'!A:B,2,FALSE)</f>
        <v>860057</v>
      </c>
      <c r="I30">
        <f t="shared" si="0"/>
        <v>2012</v>
      </c>
    </row>
    <row r="31" spans="1:9">
      <c r="A31" s="1">
        <v>10043</v>
      </c>
      <c r="B31" s="1">
        <v>7</v>
      </c>
      <c r="C31" s="2">
        <v>41146</v>
      </c>
      <c r="D31" s="1" t="s">
        <v>2002</v>
      </c>
      <c r="E31" s="1">
        <v>100018</v>
      </c>
      <c r="F31" s="6" t="s">
        <v>2033</v>
      </c>
      <c r="G31" s="15" t="str">
        <f>VLOOKUP(A31,Movie!A:D,4,FALSE)</f>
        <v>Screen Gems</v>
      </c>
      <c r="H31" s="14">
        <f>VLOOKUP(E31,'Rental Transaction'!A:B,2,FALSE)</f>
        <v>860057</v>
      </c>
      <c r="I31">
        <f t="shared" si="0"/>
        <v>2012</v>
      </c>
    </row>
    <row r="32" spans="1:9">
      <c r="A32" s="1">
        <v>10007</v>
      </c>
      <c r="B32" s="1">
        <v>5</v>
      </c>
      <c r="C32" s="2">
        <v>41148</v>
      </c>
      <c r="D32" s="1" t="s">
        <v>2005</v>
      </c>
      <c r="E32" s="1">
        <v>100019</v>
      </c>
      <c r="F32" s="6" t="s">
        <v>2034</v>
      </c>
      <c r="G32" s="15" t="str">
        <f>VLOOKUP(A32,Movie!A:D,4,FALSE)</f>
        <v>Sony</v>
      </c>
      <c r="H32" s="14">
        <f>VLOOKUP(E32,'Rental Transaction'!A:B,2,FALSE)</f>
        <v>447601</v>
      </c>
      <c r="I32">
        <f t="shared" si="0"/>
        <v>2012</v>
      </c>
    </row>
    <row r="33" spans="1:9">
      <c r="A33" s="1">
        <v>10004</v>
      </c>
      <c r="B33" s="1">
        <v>5</v>
      </c>
      <c r="C33" s="2">
        <v>41149</v>
      </c>
      <c r="D33" s="1" t="s">
        <v>2002</v>
      </c>
      <c r="E33" s="1">
        <v>100020</v>
      </c>
      <c r="F33" s="6" t="s">
        <v>2035</v>
      </c>
      <c r="G33" s="15" t="str">
        <f>VLOOKUP(A33,Movie!A:D,4,FALSE)</f>
        <v>Paramount</v>
      </c>
      <c r="H33" s="14">
        <f>VLOOKUP(E33,'Rental Transaction'!A:B,2,FALSE)</f>
        <v>961080</v>
      </c>
      <c r="I33">
        <f t="shared" si="0"/>
        <v>2012</v>
      </c>
    </row>
    <row r="34" spans="1:9">
      <c r="A34" s="1">
        <v>10201</v>
      </c>
      <c r="B34" s="1">
        <v>8</v>
      </c>
      <c r="C34" s="2">
        <v>41149</v>
      </c>
      <c r="D34" s="1" t="s">
        <v>2002</v>
      </c>
      <c r="E34" s="1">
        <v>100020</v>
      </c>
      <c r="F34" s="6" t="s">
        <v>2036</v>
      </c>
      <c r="G34" s="15" t="str">
        <f>VLOOKUP(A34,Movie!A:D,4,FALSE)</f>
        <v>Screen Gems</v>
      </c>
      <c r="H34" s="14">
        <f>VLOOKUP(E34,'Rental Transaction'!A:B,2,FALSE)</f>
        <v>961080</v>
      </c>
      <c r="I34">
        <f t="shared" si="0"/>
        <v>2012</v>
      </c>
    </row>
    <row r="35" spans="1:9">
      <c r="A35" s="1">
        <v>10221</v>
      </c>
      <c r="B35" s="1">
        <v>8</v>
      </c>
      <c r="C35" s="2">
        <v>41152</v>
      </c>
      <c r="D35" s="1" t="s">
        <v>2005</v>
      </c>
      <c r="E35" s="1">
        <v>100021</v>
      </c>
      <c r="F35" s="6" t="s">
        <v>2037</v>
      </c>
      <c r="G35" s="15" t="str">
        <f>VLOOKUP(A35,Movie!A:D,4,FALSE)</f>
        <v>Fox</v>
      </c>
      <c r="H35" s="14">
        <f>VLOOKUP(E35,'Rental Transaction'!A:B,2,FALSE)</f>
        <v>161942</v>
      </c>
      <c r="I35">
        <f t="shared" si="0"/>
        <v>2012</v>
      </c>
    </row>
    <row r="36" spans="1:9">
      <c r="A36" s="1">
        <v>10058</v>
      </c>
      <c r="B36" s="1">
        <v>2</v>
      </c>
      <c r="C36" s="2">
        <v>41152</v>
      </c>
      <c r="D36" s="1" t="s">
        <v>2002</v>
      </c>
      <c r="E36" s="1">
        <v>100021</v>
      </c>
      <c r="F36" s="6" t="s">
        <v>2038</v>
      </c>
      <c r="G36" s="15" t="str">
        <f>VLOOKUP(A36,Movie!A:D,4,FALSE)</f>
        <v>Sony</v>
      </c>
      <c r="H36" s="14">
        <f>VLOOKUP(E36,'Rental Transaction'!A:B,2,FALSE)</f>
        <v>161942</v>
      </c>
      <c r="I36">
        <f t="shared" si="0"/>
        <v>2012</v>
      </c>
    </row>
    <row r="37" spans="1:9">
      <c r="A37" s="1">
        <v>10018</v>
      </c>
      <c r="B37" s="1">
        <v>5</v>
      </c>
      <c r="C37" s="2">
        <v>41154</v>
      </c>
      <c r="D37" s="1" t="s">
        <v>2002</v>
      </c>
      <c r="E37" s="1">
        <v>100022</v>
      </c>
      <c r="F37" s="6" t="s">
        <v>2039</v>
      </c>
      <c r="G37" s="15" t="str">
        <f>VLOOKUP(A37,Movie!A:D,4,FALSE)</f>
        <v>Fox</v>
      </c>
      <c r="H37" s="14">
        <f>VLOOKUP(E37,'Rental Transaction'!A:B,2,FALSE)</f>
        <v>656728</v>
      </c>
      <c r="I37">
        <f t="shared" si="0"/>
        <v>2012</v>
      </c>
    </row>
    <row r="38" spans="1:9">
      <c r="A38" s="1">
        <v>10202</v>
      </c>
      <c r="B38" s="1">
        <v>2</v>
      </c>
      <c r="C38" s="2">
        <v>41154</v>
      </c>
      <c r="D38" s="1" t="s">
        <v>2002</v>
      </c>
      <c r="E38" s="1">
        <v>100023</v>
      </c>
      <c r="F38" s="6" t="s">
        <v>2040</v>
      </c>
      <c r="G38" s="15" t="str">
        <f>VLOOKUP(A38,Movie!A:D,4,FALSE)</f>
        <v>Warner Brothers</v>
      </c>
      <c r="H38" s="14">
        <f>VLOOKUP(E38,'Rental Transaction'!A:B,2,FALSE)</f>
        <v>482274</v>
      </c>
      <c r="I38">
        <f t="shared" si="0"/>
        <v>2012</v>
      </c>
    </row>
    <row r="39" spans="1:9">
      <c r="A39" s="1">
        <v>10046</v>
      </c>
      <c r="B39" s="1">
        <v>6</v>
      </c>
      <c r="C39" s="2">
        <v>41154</v>
      </c>
      <c r="D39" s="1" t="s">
        <v>2002</v>
      </c>
      <c r="E39" s="1">
        <v>100023</v>
      </c>
      <c r="F39" s="6" t="s">
        <v>2041</v>
      </c>
      <c r="G39" s="15" t="str">
        <f>VLOOKUP(A39,Movie!A:D,4,FALSE)</f>
        <v>Sony</v>
      </c>
      <c r="H39" s="14">
        <f>VLOOKUP(E39,'Rental Transaction'!A:B,2,FALSE)</f>
        <v>482274</v>
      </c>
      <c r="I39">
        <f t="shared" si="0"/>
        <v>2012</v>
      </c>
    </row>
    <row r="40" spans="1:9">
      <c r="A40" s="1">
        <v>10217</v>
      </c>
      <c r="B40" s="1">
        <v>6</v>
      </c>
      <c r="C40" s="2">
        <v>41155</v>
      </c>
      <c r="D40" s="1" t="s">
        <v>2002</v>
      </c>
      <c r="E40" s="1">
        <v>100024</v>
      </c>
      <c r="F40" s="6" t="s">
        <v>2042</v>
      </c>
      <c r="G40" s="15" t="str">
        <f>VLOOKUP(A40,Movie!A:D,4,FALSE)</f>
        <v>Warner Brothers</v>
      </c>
      <c r="H40" s="14">
        <f>VLOOKUP(E40,'Rental Transaction'!A:B,2,FALSE)</f>
        <v>470304</v>
      </c>
      <c r="I40">
        <f t="shared" si="0"/>
        <v>2012</v>
      </c>
    </row>
    <row r="41" spans="1:9">
      <c r="A41" s="1">
        <v>10004</v>
      </c>
      <c r="B41" s="1">
        <v>2</v>
      </c>
      <c r="C41" s="2">
        <v>41155</v>
      </c>
      <c r="D41" s="1" t="s">
        <v>2005</v>
      </c>
      <c r="E41" s="1">
        <v>100024</v>
      </c>
      <c r="F41" s="6" t="s">
        <v>2043</v>
      </c>
      <c r="G41" s="15" t="str">
        <f>VLOOKUP(A41,Movie!A:D,4,FALSE)</f>
        <v>Paramount</v>
      </c>
      <c r="H41" s="14">
        <f>VLOOKUP(E41,'Rental Transaction'!A:B,2,FALSE)</f>
        <v>470304</v>
      </c>
      <c r="I41">
        <f t="shared" si="0"/>
        <v>2012</v>
      </c>
    </row>
    <row r="42" spans="1:9">
      <c r="A42" s="1">
        <v>10159</v>
      </c>
      <c r="B42" s="1">
        <v>4</v>
      </c>
      <c r="C42" s="2">
        <v>41155</v>
      </c>
      <c r="D42" s="1" t="s">
        <v>2002</v>
      </c>
      <c r="E42" s="1">
        <v>100024</v>
      </c>
      <c r="F42" s="6" t="s">
        <v>2044</v>
      </c>
      <c r="G42" s="15" t="str">
        <f>VLOOKUP(A42,Movie!A:D,4,FALSE)</f>
        <v>Lionsgate</v>
      </c>
      <c r="H42" s="14">
        <f>VLOOKUP(E42,'Rental Transaction'!A:B,2,FALSE)</f>
        <v>470304</v>
      </c>
      <c r="I42">
        <f t="shared" si="0"/>
        <v>2012</v>
      </c>
    </row>
    <row r="43" spans="1:9">
      <c r="A43" s="1">
        <v>10126</v>
      </c>
      <c r="B43" s="1">
        <v>8</v>
      </c>
      <c r="C43" s="2">
        <v>41156</v>
      </c>
      <c r="D43" s="1" t="s">
        <v>2005</v>
      </c>
      <c r="E43" s="1">
        <v>100025</v>
      </c>
      <c r="F43" s="6" t="s">
        <v>2045</v>
      </c>
      <c r="G43" s="15" t="str">
        <f>VLOOKUP(A43,Movie!A:D,4,FALSE)</f>
        <v>Fox</v>
      </c>
      <c r="H43" s="14">
        <f>VLOOKUP(E43,'Rental Transaction'!A:B,2,FALSE)</f>
        <v>841141</v>
      </c>
      <c r="I43">
        <f t="shared" si="0"/>
        <v>2012</v>
      </c>
    </row>
    <row r="44" spans="1:9">
      <c r="A44" s="1">
        <v>10229</v>
      </c>
      <c r="B44" s="1">
        <v>7</v>
      </c>
      <c r="C44" s="2">
        <v>41156</v>
      </c>
      <c r="D44" s="1" t="s">
        <v>2005</v>
      </c>
      <c r="E44" s="1">
        <v>100025</v>
      </c>
      <c r="F44" s="6" t="s">
        <v>2046</v>
      </c>
      <c r="G44" s="15" t="str">
        <f>VLOOKUP(A44,Movie!A:D,4,FALSE)</f>
        <v>TriStar</v>
      </c>
      <c r="H44" s="14">
        <f>VLOOKUP(E44,'Rental Transaction'!A:B,2,FALSE)</f>
        <v>841141</v>
      </c>
      <c r="I44">
        <f t="shared" si="0"/>
        <v>2012</v>
      </c>
    </row>
    <row r="45" spans="1:9">
      <c r="A45" s="1">
        <v>10089</v>
      </c>
      <c r="B45" s="1">
        <v>9</v>
      </c>
      <c r="C45" s="2">
        <v>41157</v>
      </c>
      <c r="D45" s="1" t="s">
        <v>2002</v>
      </c>
      <c r="E45" s="1">
        <v>100026</v>
      </c>
      <c r="F45" s="6" t="s">
        <v>2047</v>
      </c>
      <c r="G45" s="15" t="str">
        <f>VLOOKUP(A45,Movie!A:D,4,FALSE)</f>
        <v>Sony</v>
      </c>
      <c r="H45" s="14">
        <f>VLOOKUP(E45,'Rental Transaction'!A:B,2,FALSE)</f>
        <v>175940</v>
      </c>
      <c r="I45">
        <f t="shared" si="0"/>
        <v>2012</v>
      </c>
    </row>
    <row r="46" spans="1:9">
      <c r="A46" s="1">
        <v>10203</v>
      </c>
      <c r="B46" s="1">
        <v>2</v>
      </c>
      <c r="C46" s="2">
        <v>41157</v>
      </c>
      <c r="D46" s="1" t="s">
        <v>2005</v>
      </c>
      <c r="E46" s="1">
        <v>100026</v>
      </c>
      <c r="F46" s="6" t="s">
        <v>2048</v>
      </c>
      <c r="G46" s="15" t="str">
        <f>VLOOKUP(A46,Movie!A:D,4,FALSE)</f>
        <v>Buena Vista</v>
      </c>
      <c r="H46" s="14">
        <f>VLOOKUP(E46,'Rental Transaction'!A:B,2,FALSE)</f>
        <v>175940</v>
      </c>
      <c r="I46">
        <f t="shared" si="0"/>
        <v>2012</v>
      </c>
    </row>
    <row r="47" spans="1:9">
      <c r="A47" s="1">
        <v>10225</v>
      </c>
      <c r="B47" s="1">
        <v>5</v>
      </c>
      <c r="C47" s="2">
        <v>41158</v>
      </c>
      <c r="D47" s="1" t="s">
        <v>2002</v>
      </c>
      <c r="E47" s="1">
        <v>100027</v>
      </c>
      <c r="F47" s="6" t="s">
        <v>2049</v>
      </c>
      <c r="G47" s="15" t="str">
        <f>VLOOKUP(A47,Movie!A:D,4,FALSE)</f>
        <v>Warner Brothers</v>
      </c>
      <c r="H47" s="14">
        <f>VLOOKUP(E47,'Rental Transaction'!A:B,2,FALSE)</f>
        <v>616028</v>
      </c>
      <c r="I47">
        <f t="shared" si="0"/>
        <v>2012</v>
      </c>
    </row>
    <row r="48" spans="1:9">
      <c r="A48" s="1">
        <v>10151</v>
      </c>
      <c r="B48" s="1">
        <v>2</v>
      </c>
      <c r="C48" s="2">
        <v>41158</v>
      </c>
      <c r="D48" s="1" t="s">
        <v>2005</v>
      </c>
      <c r="E48" s="1">
        <v>100027</v>
      </c>
      <c r="F48" s="6" t="s">
        <v>2050</v>
      </c>
      <c r="G48" s="15" t="str">
        <f>VLOOKUP(A48,Movie!A:D,4,FALSE)</f>
        <v>Screen Gems</v>
      </c>
      <c r="H48" s="14">
        <f>VLOOKUP(E48,'Rental Transaction'!A:B,2,FALSE)</f>
        <v>616028</v>
      </c>
      <c r="I48">
        <f t="shared" si="0"/>
        <v>2012</v>
      </c>
    </row>
    <row r="49" spans="1:9">
      <c r="A49" s="1">
        <v>10158</v>
      </c>
      <c r="B49" s="1">
        <v>6</v>
      </c>
      <c r="C49" s="2">
        <v>41163</v>
      </c>
      <c r="D49" s="1" t="s">
        <v>2002</v>
      </c>
      <c r="E49" s="1">
        <v>100028</v>
      </c>
      <c r="F49" s="6" t="s">
        <v>2051</v>
      </c>
      <c r="G49" s="15" t="str">
        <f>VLOOKUP(A49,Movie!A:D,4,FALSE)</f>
        <v>Warner Brothers</v>
      </c>
      <c r="H49" s="14">
        <f>VLOOKUP(E49,'Rental Transaction'!A:B,2,FALSE)</f>
        <v>269687</v>
      </c>
      <c r="I49">
        <f t="shared" si="0"/>
        <v>2012</v>
      </c>
    </row>
    <row r="50" spans="1:9">
      <c r="A50" s="1">
        <v>10123</v>
      </c>
      <c r="B50" s="1">
        <v>10</v>
      </c>
      <c r="C50" s="2">
        <v>41163</v>
      </c>
      <c r="D50" s="1" t="s">
        <v>2002</v>
      </c>
      <c r="E50" s="1">
        <v>100028</v>
      </c>
      <c r="F50" s="6" t="s">
        <v>2052</v>
      </c>
      <c r="G50" s="15" t="str">
        <f>VLOOKUP(A50,Movie!A:D,4,FALSE)</f>
        <v>Fox</v>
      </c>
      <c r="H50" s="14">
        <f>VLOOKUP(E50,'Rental Transaction'!A:B,2,FALSE)</f>
        <v>269687</v>
      </c>
      <c r="I50">
        <f t="shared" si="0"/>
        <v>2012</v>
      </c>
    </row>
    <row r="51" spans="1:9">
      <c r="A51" s="1">
        <v>10102</v>
      </c>
      <c r="B51" s="1">
        <v>4</v>
      </c>
      <c r="C51" s="2">
        <v>41168</v>
      </c>
      <c r="D51" s="1" t="s">
        <v>2002</v>
      </c>
      <c r="E51" s="1">
        <v>100029</v>
      </c>
      <c r="F51" s="6" t="s">
        <v>2053</v>
      </c>
      <c r="G51" s="15" t="str">
        <f>VLOOKUP(A51,Movie!A:D,4,FALSE)</f>
        <v>Universal</v>
      </c>
      <c r="H51" s="14">
        <f>VLOOKUP(E51,'Rental Transaction'!A:B,2,FALSE)</f>
        <v>370870</v>
      </c>
      <c r="I51">
        <f t="shared" si="0"/>
        <v>2012</v>
      </c>
    </row>
    <row r="52" spans="1:9">
      <c r="A52" s="1">
        <v>10036</v>
      </c>
      <c r="B52" s="1">
        <v>8</v>
      </c>
      <c r="C52" s="2">
        <v>41168</v>
      </c>
      <c r="D52" s="1" t="s">
        <v>2002</v>
      </c>
      <c r="E52" s="1">
        <v>100029</v>
      </c>
      <c r="F52" s="6" t="s">
        <v>2054</v>
      </c>
      <c r="G52" s="15" t="str">
        <f>VLOOKUP(A52,Movie!A:D,4,FALSE)</f>
        <v>Universal</v>
      </c>
      <c r="H52" s="14">
        <f>VLOOKUP(E52,'Rental Transaction'!A:B,2,FALSE)</f>
        <v>370870</v>
      </c>
      <c r="I52">
        <f t="shared" si="0"/>
        <v>2012</v>
      </c>
    </row>
    <row r="53" spans="1:9">
      <c r="A53" s="1">
        <v>10074</v>
      </c>
      <c r="B53" s="1">
        <v>4</v>
      </c>
      <c r="C53" s="2">
        <v>41168</v>
      </c>
      <c r="D53" s="1" t="s">
        <v>2005</v>
      </c>
      <c r="E53" s="1">
        <v>100030</v>
      </c>
      <c r="F53" s="6" t="s">
        <v>2055</v>
      </c>
      <c r="G53" s="15" t="str">
        <f>VLOOKUP(A53,Movie!A:D,4,FALSE)</f>
        <v>Open Road Films</v>
      </c>
      <c r="H53" s="14">
        <f>VLOOKUP(E53,'Rental Transaction'!A:B,2,FALSE)</f>
        <v>951701</v>
      </c>
      <c r="I53">
        <f t="shared" si="0"/>
        <v>2012</v>
      </c>
    </row>
    <row r="54" spans="1:9">
      <c r="A54" s="1">
        <v>10208</v>
      </c>
      <c r="B54" s="1">
        <v>5</v>
      </c>
      <c r="C54" s="2">
        <v>41168</v>
      </c>
      <c r="D54" s="1" t="s">
        <v>2005</v>
      </c>
      <c r="E54" s="1">
        <v>100030</v>
      </c>
      <c r="F54" s="6" t="s">
        <v>2056</v>
      </c>
      <c r="G54" s="15" t="str">
        <f>VLOOKUP(A54,Movie!A:D,4,FALSE)</f>
        <v>Warner Brothers</v>
      </c>
      <c r="H54" s="14">
        <f>VLOOKUP(E54,'Rental Transaction'!A:B,2,FALSE)</f>
        <v>951701</v>
      </c>
      <c r="I54">
        <f t="shared" si="0"/>
        <v>2012</v>
      </c>
    </row>
    <row r="55" spans="1:9">
      <c r="A55" s="1">
        <v>10035</v>
      </c>
      <c r="B55" s="1">
        <v>8</v>
      </c>
      <c r="C55" s="2">
        <v>41171</v>
      </c>
      <c r="D55" s="1" t="s">
        <v>2002</v>
      </c>
      <c r="E55" s="1">
        <v>100031</v>
      </c>
      <c r="F55" s="6" t="s">
        <v>2057</v>
      </c>
      <c r="G55" s="15" t="str">
        <f>VLOOKUP(A55,Movie!A:D,4,FALSE)</f>
        <v>Sony</v>
      </c>
      <c r="H55" s="14">
        <f>VLOOKUP(E55,'Rental Transaction'!A:B,2,FALSE)</f>
        <v>553931</v>
      </c>
      <c r="I55">
        <f t="shared" si="0"/>
        <v>2012</v>
      </c>
    </row>
    <row r="56" spans="1:9">
      <c r="A56" s="1">
        <v>10082</v>
      </c>
      <c r="B56" s="1">
        <v>5</v>
      </c>
      <c r="C56" s="2">
        <v>41170</v>
      </c>
      <c r="D56" s="1" t="s">
        <v>2002</v>
      </c>
      <c r="E56" s="1">
        <v>100032</v>
      </c>
      <c r="F56" s="6" t="s">
        <v>2058</v>
      </c>
      <c r="G56" s="15" t="str">
        <f>VLOOKUP(A56,Movie!A:D,4,FALSE)</f>
        <v>Buena Vista</v>
      </c>
      <c r="H56" s="14">
        <f>VLOOKUP(E56,'Rental Transaction'!A:B,2,FALSE)</f>
        <v>563468</v>
      </c>
      <c r="I56">
        <f t="shared" si="0"/>
        <v>2012</v>
      </c>
    </row>
    <row r="57" spans="1:9">
      <c r="A57" s="1">
        <v>10158</v>
      </c>
      <c r="B57" s="1">
        <v>10</v>
      </c>
      <c r="C57" s="2">
        <v>41171</v>
      </c>
      <c r="D57" s="1" t="s">
        <v>2002</v>
      </c>
      <c r="E57" s="1">
        <v>100033</v>
      </c>
      <c r="F57" s="6" t="s">
        <v>2059</v>
      </c>
      <c r="G57" s="15" t="str">
        <f>VLOOKUP(A57,Movie!A:D,4,FALSE)</f>
        <v>Warner Brothers</v>
      </c>
      <c r="H57" s="14">
        <f>VLOOKUP(E57,'Rental Transaction'!A:B,2,FALSE)</f>
        <v>464984</v>
      </c>
      <c r="I57">
        <f t="shared" si="0"/>
        <v>2012</v>
      </c>
    </row>
    <row r="58" spans="1:9">
      <c r="A58" s="1">
        <v>10031</v>
      </c>
      <c r="B58" s="1">
        <v>8</v>
      </c>
      <c r="C58" s="2">
        <v>41172</v>
      </c>
      <c r="D58" s="1" t="s">
        <v>2002</v>
      </c>
      <c r="E58" s="1">
        <v>100034</v>
      </c>
      <c r="F58" s="6" t="s">
        <v>2060</v>
      </c>
      <c r="G58" s="15" t="str">
        <f>VLOOKUP(A58,Movie!A:D,4,FALSE)</f>
        <v>Warner Brothers</v>
      </c>
      <c r="H58" s="14">
        <f>VLOOKUP(E58,'Rental Transaction'!A:B,2,FALSE)</f>
        <v>665313</v>
      </c>
      <c r="I58">
        <f t="shared" si="0"/>
        <v>2012</v>
      </c>
    </row>
    <row r="59" spans="1:9">
      <c r="A59" s="1">
        <v>10109</v>
      </c>
      <c r="B59" s="1">
        <v>4</v>
      </c>
      <c r="C59" s="2">
        <v>41172</v>
      </c>
      <c r="D59" s="1" t="s">
        <v>2005</v>
      </c>
      <c r="E59" s="1">
        <v>100034</v>
      </c>
      <c r="F59" s="6" t="s">
        <v>2061</v>
      </c>
      <c r="G59" s="15" t="str">
        <f>VLOOKUP(A59,Movie!A:D,4,FALSE)</f>
        <v>Warner Brothers</v>
      </c>
      <c r="H59" s="14">
        <f>VLOOKUP(E59,'Rental Transaction'!A:B,2,FALSE)</f>
        <v>665313</v>
      </c>
      <c r="I59">
        <f t="shared" si="0"/>
        <v>2012</v>
      </c>
    </row>
    <row r="60" spans="1:9">
      <c r="A60" s="1">
        <v>10244</v>
      </c>
      <c r="B60" s="1">
        <v>4</v>
      </c>
      <c r="C60" s="2">
        <v>41172</v>
      </c>
      <c r="D60" s="1" t="s">
        <v>2002</v>
      </c>
      <c r="E60" s="1">
        <v>100034</v>
      </c>
      <c r="F60" s="6" t="s">
        <v>2062</v>
      </c>
      <c r="G60" s="15" t="str">
        <f>VLOOKUP(A60,Movie!A:D,4,FALSE)</f>
        <v>Sony</v>
      </c>
      <c r="H60" s="14">
        <f>VLOOKUP(E60,'Rental Transaction'!A:B,2,FALSE)</f>
        <v>665313</v>
      </c>
      <c r="I60">
        <f t="shared" si="0"/>
        <v>2012</v>
      </c>
    </row>
    <row r="61" spans="1:9">
      <c r="A61" s="1">
        <v>10052</v>
      </c>
      <c r="B61" s="1">
        <v>4</v>
      </c>
      <c r="C61" s="2">
        <v>41174</v>
      </c>
      <c r="D61" s="1" t="s">
        <v>2002</v>
      </c>
      <c r="E61" s="1">
        <v>100035</v>
      </c>
      <c r="F61" s="6" t="s">
        <v>2063</v>
      </c>
      <c r="G61" s="15" t="str">
        <f>VLOOKUP(A61,Movie!A:D,4,FALSE)</f>
        <v>Warner Brothers</v>
      </c>
      <c r="H61" s="14">
        <f>VLOOKUP(E61,'Rental Transaction'!A:B,2,FALSE)</f>
        <v>306475</v>
      </c>
      <c r="I61">
        <f t="shared" si="0"/>
        <v>2012</v>
      </c>
    </row>
    <row r="62" spans="1:9">
      <c r="A62" s="1">
        <v>10245</v>
      </c>
      <c r="B62" s="1">
        <v>8</v>
      </c>
      <c r="C62" s="2">
        <v>41174</v>
      </c>
      <c r="D62" s="1" t="s">
        <v>2002</v>
      </c>
      <c r="E62" s="1">
        <v>100035</v>
      </c>
      <c r="F62" s="6" t="s">
        <v>2064</v>
      </c>
      <c r="G62" s="15" t="str">
        <f>VLOOKUP(A62,Movie!A:D,4,FALSE)</f>
        <v>Warner Brothers</v>
      </c>
      <c r="H62" s="14">
        <f>VLOOKUP(E62,'Rental Transaction'!A:B,2,FALSE)</f>
        <v>306475</v>
      </c>
      <c r="I62">
        <f t="shared" si="0"/>
        <v>2012</v>
      </c>
    </row>
    <row r="63" spans="1:9">
      <c r="A63" s="1">
        <v>10184</v>
      </c>
      <c r="B63" s="1">
        <v>3</v>
      </c>
      <c r="C63" s="2">
        <v>41175</v>
      </c>
      <c r="D63" s="1" t="s">
        <v>2005</v>
      </c>
      <c r="E63" s="1">
        <v>100036</v>
      </c>
      <c r="F63" s="6" t="s">
        <v>2065</v>
      </c>
      <c r="G63" s="15" t="str">
        <f>VLOOKUP(A63,Movie!A:D,4,FALSE)</f>
        <v>Universal</v>
      </c>
      <c r="H63" s="14">
        <f>VLOOKUP(E63,'Rental Transaction'!A:B,2,FALSE)</f>
        <v>465275</v>
      </c>
      <c r="I63">
        <f t="shared" si="0"/>
        <v>2012</v>
      </c>
    </row>
    <row r="64" spans="1:9">
      <c r="A64" s="1">
        <v>10199</v>
      </c>
      <c r="B64" s="1">
        <v>5</v>
      </c>
      <c r="C64" s="2">
        <v>41176</v>
      </c>
      <c r="D64" s="1" t="s">
        <v>2002</v>
      </c>
      <c r="E64" s="1">
        <v>100037</v>
      </c>
      <c r="F64" s="6" t="s">
        <v>2066</v>
      </c>
      <c r="G64" s="15" t="str">
        <f>VLOOKUP(A64,Movie!A:D,4,FALSE)</f>
        <v>Lionsgate</v>
      </c>
      <c r="H64" s="14">
        <f>VLOOKUP(E64,'Rental Transaction'!A:B,2,FALSE)</f>
        <v>470304</v>
      </c>
      <c r="I64">
        <f t="shared" si="0"/>
        <v>2012</v>
      </c>
    </row>
    <row r="65" spans="1:9">
      <c r="A65" s="1">
        <v>10216</v>
      </c>
      <c r="B65" s="1">
        <v>10</v>
      </c>
      <c r="C65" s="2">
        <v>41179</v>
      </c>
      <c r="D65" s="1" t="s">
        <v>2002</v>
      </c>
      <c r="E65" s="1">
        <v>100038</v>
      </c>
      <c r="F65" s="6" t="s">
        <v>2067</v>
      </c>
      <c r="G65" s="15" t="str">
        <f>VLOOKUP(A65,Movie!A:D,4,FALSE)</f>
        <v>Sony</v>
      </c>
      <c r="H65" s="14">
        <f>VLOOKUP(E65,'Rental Transaction'!A:B,2,FALSE)</f>
        <v>370870</v>
      </c>
      <c r="I65">
        <f t="shared" si="0"/>
        <v>2012</v>
      </c>
    </row>
    <row r="66" spans="1:9">
      <c r="A66" s="1">
        <v>10091</v>
      </c>
      <c r="B66" s="1">
        <v>6</v>
      </c>
      <c r="C66" s="2">
        <v>41179</v>
      </c>
      <c r="D66" s="1" t="s">
        <v>2002</v>
      </c>
      <c r="E66" s="1">
        <v>100039</v>
      </c>
      <c r="F66" s="6" t="s">
        <v>2068</v>
      </c>
      <c r="G66" s="15" t="str">
        <f>VLOOKUP(A66,Movie!A:D,4,FALSE)</f>
        <v>Warner Brothers</v>
      </c>
      <c r="H66" s="14">
        <f>VLOOKUP(E66,'Rental Transaction'!A:B,2,FALSE)</f>
        <v>795957</v>
      </c>
      <c r="I66">
        <f t="shared" si="0"/>
        <v>2012</v>
      </c>
    </row>
    <row r="67" spans="1:9">
      <c r="A67" s="1">
        <v>10076</v>
      </c>
      <c r="B67" s="1">
        <v>8</v>
      </c>
      <c r="C67" s="2">
        <v>41180</v>
      </c>
      <c r="D67" s="1" t="s">
        <v>2002</v>
      </c>
      <c r="E67" s="1">
        <v>100040</v>
      </c>
      <c r="F67" s="6" t="s">
        <v>2069</v>
      </c>
      <c r="G67" s="15" t="str">
        <f>VLOOKUP(A67,Movie!A:D,4,FALSE)</f>
        <v>Sony</v>
      </c>
      <c r="H67" s="14">
        <f>VLOOKUP(E67,'Rental Transaction'!A:B,2,FALSE)</f>
        <v>122818</v>
      </c>
      <c r="I67">
        <f t="shared" ref="I67:I130" si="1">YEAR(C67)</f>
        <v>2012</v>
      </c>
    </row>
    <row r="68" spans="1:9">
      <c r="A68" s="1">
        <v>10041</v>
      </c>
      <c r="B68" s="1">
        <v>6</v>
      </c>
      <c r="C68" s="2">
        <v>41182</v>
      </c>
      <c r="D68" s="1" t="s">
        <v>2002</v>
      </c>
      <c r="E68" s="1">
        <v>100041</v>
      </c>
      <c r="F68" s="6" t="s">
        <v>2070</v>
      </c>
      <c r="G68" s="15" t="str">
        <f>VLOOKUP(A68,Movie!A:D,4,FALSE)</f>
        <v>Lionsgate</v>
      </c>
      <c r="H68" s="14">
        <f>VLOOKUP(E68,'Rental Transaction'!A:B,2,FALSE)</f>
        <v>665313</v>
      </c>
      <c r="I68">
        <f t="shared" si="1"/>
        <v>2012</v>
      </c>
    </row>
    <row r="69" spans="1:9">
      <c r="A69" s="1">
        <v>10043</v>
      </c>
      <c r="B69" s="1">
        <v>6</v>
      </c>
      <c r="C69" s="2">
        <v>41184</v>
      </c>
      <c r="D69" s="1" t="s">
        <v>2005</v>
      </c>
      <c r="E69" s="1">
        <v>100042</v>
      </c>
      <c r="F69" s="6" t="s">
        <v>2071</v>
      </c>
      <c r="G69" s="15" t="str">
        <f>VLOOKUP(A69,Movie!A:D,4,FALSE)</f>
        <v>Screen Gems</v>
      </c>
      <c r="H69" s="14">
        <f>VLOOKUP(E69,'Rental Transaction'!A:B,2,FALSE)</f>
        <v>324435</v>
      </c>
      <c r="I69">
        <f t="shared" si="1"/>
        <v>2012</v>
      </c>
    </row>
    <row r="70" spans="1:9">
      <c r="A70" s="1">
        <v>10220</v>
      </c>
      <c r="B70" s="1">
        <v>2</v>
      </c>
      <c r="C70" s="2">
        <v>41186</v>
      </c>
      <c r="D70" s="1" t="s">
        <v>2002</v>
      </c>
      <c r="E70" s="1">
        <v>100043</v>
      </c>
      <c r="F70" s="6" t="s">
        <v>2072</v>
      </c>
      <c r="G70" s="15" t="str">
        <f>VLOOKUP(A70,Movie!A:D,4,FALSE)</f>
        <v>Fox</v>
      </c>
      <c r="H70" s="14">
        <f>VLOOKUP(E70,'Rental Transaction'!A:B,2,FALSE)</f>
        <v>643305</v>
      </c>
      <c r="I70">
        <f t="shared" si="1"/>
        <v>2012</v>
      </c>
    </row>
    <row r="71" spans="1:9">
      <c r="A71" s="1">
        <v>10209</v>
      </c>
      <c r="B71" s="1">
        <v>5</v>
      </c>
      <c r="C71" s="2">
        <v>41187</v>
      </c>
      <c r="D71" s="1" t="s">
        <v>2005</v>
      </c>
      <c r="E71" s="1">
        <v>100044</v>
      </c>
      <c r="F71" s="6" t="s">
        <v>2073</v>
      </c>
      <c r="G71" s="15" t="str">
        <f>VLOOKUP(A71,Movie!A:D,4,FALSE)</f>
        <v>Universal</v>
      </c>
      <c r="H71" s="14">
        <f>VLOOKUP(E71,'Rental Transaction'!A:B,2,FALSE)</f>
        <v>832914</v>
      </c>
      <c r="I71">
        <f t="shared" si="1"/>
        <v>2012</v>
      </c>
    </row>
    <row r="72" spans="1:9">
      <c r="A72" s="1">
        <v>10203</v>
      </c>
      <c r="B72" s="1">
        <v>6</v>
      </c>
      <c r="C72" s="2">
        <v>41185</v>
      </c>
      <c r="D72" s="1" t="s">
        <v>2002</v>
      </c>
      <c r="E72" s="1">
        <v>100044</v>
      </c>
      <c r="F72" s="6" t="s">
        <v>2074</v>
      </c>
      <c r="G72" s="15" t="str">
        <f>VLOOKUP(A72,Movie!A:D,4,FALSE)</f>
        <v>Buena Vista</v>
      </c>
      <c r="H72" s="14">
        <f>VLOOKUP(E72,'Rental Transaction'!A:B,2,FALSE)</f>
        <v>832914</v>
      </c>
      <c r="I72">
        <f t="shared" si="1"/>
        <v>2012</v>
      </c>
    </row>
    <row r="73" spans="1:9">
      <c r="A73" s="1">
        <v>10217</v>
      </c>
      <c r="B73" s="1">
        <v>6</v>
      </c>
      <c r="C73" s="2">
        <v>41186</v>
      </c>
      <c r="D73" s="1" t="s">
        <v>2005</v>
      </c>
      <c r="E73" s="1">
        <v>100045</v>
      </c>
      <c r="F73" s="6" t="s">
        <v>2075</v>
      </c>
      <c r="G73" s="15" t="str">
        <f>VLOOKUP(A73,Movie!A:D,4,FALSE)</f>
        <v>Warner Brothers</v>
      </c>
      <c r="H73" s="14">
        <f>VLOOKUP(E73,'Rental Transaction'!A:B,2,FALSE)</f>
        <v>112690</v>
      </c>
      <c r="I73">
        <f t="shared" si="1"/>
        <v>2012</v>
      </c>
    </row>
    <row r="74" spans="1:9">
      <c r="A74" s="1">
        <v>10045</v>
      </c>
      <c r="B74" s="1">
        <v>7</v>
      </c>
      <c r="C74" s="2">
        <v>41186</v>
      </c>
      <c r="D74" s="1" t="s">
        <v>2002</v>
      </c>
      <c r="E74" s="1">
        <v>100046</v>
      </c>
      <c r="F74" s="6" t="s">
        <v>2076</v>
      </c>
      <c r="G74" s="15" t="str">
        <f>VLOOKUP(A74,Movie!A:D,4,FALSE)</f>
        <v>Warner Brothers</v>
      </c>
      <c r="H74" s="14">
        <f>VLOOKUP(E74,'Rental Transaction'!A:B,2,FALSE)</f>
        <v>890270</v>
      </c>
      <c r="I74">
        <f t="shared" si="1"/>
        <v>2012</v>
      </c>
    </row>
    <row r="75" spans="1:9">
      <c r="A75" s="1">
        <v>10004</v>
      </c>
      <c r="B75" s="1">
        <v>3</v>
      </c>
      <c r="C75" s="2">
        <v>41188</v>
      </c>
      <c r="D75" s="1" t="s">
        <v>2002</v>
      </c>
      <c r="E75" s="1">
        <v>100047</v>
      </c>
      <c r="F75" s="6" t="s">
        <v>2077</v>
      </c>
      <c r="G75" s="15" t="str">
        <f>VLOOKUP(A75,Movie!A:D,4,FALSE)</f>
        <v>Paramount</v>
      </c>
      <c r="H75" s="14">
        <f>VLOOKUP(E75,'Rental Transaction'!A:B,2,FALSE)</f>
        <v>950299</v>
      </c>
      <c r="I75">
        <f t="shared" si="1"/>
        <v>2012</v>
      </c>
    </row>
    <row r="76" spans="1:9">
      <c r="A76" s="1">
        <v>10082</v>
      </c>
      <c r="B76" s="1">
        <v>1</v>
      </c>
      <c r="C76" s="2">
        <v>41188</v>
      </c>
      <c r="D76" s="1" t="s">
        <v>2002</v>
      </c>
      <c r="E76" s="1">
        <v>100047</v>
      </c>
      <c r="F76" s="6" t="s">
        <v>2078</v>
      </c>
      <c r="G76" s="15" t="str">
        <f>VLOOKUP(A76,Movie!A:D,4,FALSE)</f>
        <v>Buena Vista</v>
      </c>
      <c r="H76" s="14">
        <f>VLOOKUP(E76,'Rental Transaction'!A:B,2,FALSE)</f>
        <v>950299</v>
      </c>
      <c r="I76">
        <f t="shared" si="1"/>
        <v>2012</v>
      </c>
    </row>
    <row r="77" spans="1:9">
      <c r="A77" s="1">
        <v>10248</v>
      </c>
      <c r="B77" s="1">
        <v>7</v>
      </c>
      <c r="C77" s="2">
        <v>41190</v>
      </c>
      <c r="D77" s="1" t="s">
        <v>2005</v>
      </c>
      <c r="E77" s="1">
        <v>100048</v>
      </c>
      <c r="F77" s="6" t="s">
        <v>2079</v>
      </c>
      <c r="G77" s="15" t="str">
        <f>VLOOKUP(A77,Movie!A:D,4,FALSE)</f>
        <v>Relativity</v>
      </c>
      <c r="H77" s="14">
        <f>VLOOKUP(E77,'Rental Transaction'!A:B,2,FALSE)</f>
        <v>112690</v>
      </c>
      <c r="I77">
        <f t="shared" si="1"/>
        <v>2012</v>
      </c>
    </row>
    <row r="78" spans="1:9">
      <c r="A78" s="1">
        <v>10109</v>
      </c>
      <c r="B78" s="1">
        <v>1</v>
      </c>
      <c r="C78" s="2">
        <v>41189</v>
      </c>
      <c r="D78" s="1" t="s">
        <v>2002</v>
      </c>
      <c r="E78" s="1">
        <v>100049</v>
      </c>
      <c r="F78" s="6" t="s">
        <v>2080</v>
      </c>
      <c r="G78" s="15" t="str">
        <f>VLOOKUP(A78,Movie!A:D,4,FALSE)</f>
        <v>Warner Brothers</v>
      </c>
      <c r="H78" s="14">
        <f>VLOOKUP(E78,'Rental Transaction'!A:B,2,FALSE)</f>
        <v>147543</v>
      </c>
      <c r="I78">
        <f t="shared" si="1"/>
        <v>2012</v>
      </c>
    </row>
    <row r="79" spans="1:9">
      <c r="A79" s="1">
        <v>10032</v>
      </c>
      <c r="B79" s="1">
        <v>10</v>
      </c>
      <c r="C79" s="2">
        <v>41189</v>
      </c>
      <c r="D79" s="1" t="s">
        <v>2002</v>
      </c>
      <c r="E79" s="1">
        <v>100049</v>
      </c>
      <c r="F79" s="6" t="s">
        <v>2081</v>
      </c>
      <c r="G79" s="15" t="str">
        <f>VLOOKUP(A79,Movie!A:D,4,FALSE)</f>
        <v>Sony</v>
      </c>
      <c r="H79" s="14">
        <f>VLOOKUP(E79,'Rental Transaction'!A:B,2,FALSE)</f>
        <v>147543</v>
      </c>
      <c r="I79">
        <f t="shared" si="1"/>
        <v>2012</v>
      </c>
    </row>
    <row r="80" spans="1:9">
      <c r="A80" s="1">
        <v>10004</v>
      </c>
      <c r="B80" s="1">
        <v>1</v>
      </c>
      <c r="C80" s="2">
        <v>41189</v>
      </c>
      <c r="D80" s="1" t="s">
        <v>2002</v>
      </c>
      <c r="E80" s="1">
        <v>100050</v>
      </c>
      <c r="F80" s="6" t="s">
        <v>2082</v>
      </c>
      <c r="G80" s="15" t="str">
        <f>VLOOKUP(A80,Movie!A:D,4,FALSE)</f>
        <v>Paramount</v>
      </c>
      <c r="H80" s="14">
        <f>VLOOKUP(E80,'Rental Transaction'!A:B,2,FALSE)</f>
        <v>950299</v>
      </c>
      <c r="I80">
        <f t="shared" si="1"/>
        <v>2012</v>
      </c>
    </row>
    <row r="81" spans="1:9">
      <c r="A81" s="1">
        <v>10243</v>
      </c>
      <c r="B81" s="1">
        <v>9</v>
      </c>
      <c r="C81" s="2">
        <v>41190</v>
      </c>
      <c r="D81" s="1" t="s">
        <v>2002</v>
      </c>
      <c r="E81" s="1">
        <v>100050</v>
      </c>
      <c r="F81" s="6" t="s">
        <v>2083</v>
      </c>
      <c r="G81" s="15" t="str">
        <f>VLOOKUP(A81,Movie!A:D,4,FALSE)</f>
        <v>Fox</v>
      </c>
      <c r="H81" s="14">
        <f>VLOOKUP(E81,'Rental Transaction'!A:B,2,FALSE)</f>
        <v>950299</v>
      </c>
      <c r="I81">
        <f t="shared" si="1"/>
        <v>2012</v>
      </c>
    </row>
    <row r="82" spans="1:9" ht="29.25">
      <c r="A82" s="1">
        <v>10028</v>
      </c>
      <c r="B82" s="1">
        <v>4</v>
      </c>
      <c r="C82" s="2">
        <v>41189</v>
      </c>
      <c r="D82" s="1" t="s">
        <v>2002</v>
      </c>
      <c r="E82" s="1">
        <v>100050</v>
      </c>
      <c r="F82" s="6" t="s">
        <v>2084</v>
      </c>
      <c r="G82" s="15" t="str">
        <f>VLOOKUP(A82,Movie!A:D,4,FALSE)</f>
        <v>Summit Entertainment</v>
      </c>
      <c r="H82" s="14">
        <f>VLOOKUP(E82,'Rental Transaction'!A:B,2,FALSE)</f>
        <v>950299</v>
      </c>
      <c r="I82">
        <f t="shared" si="1"/>
        <v>2012</v>
      </c>
    </row>
    <row r="83" spans="1:9">
      <c r="A83" s="1">
        <v>10204</v>
      </c>
      <c r="B83" s="1">
        <v>4</v>
      </c>
      <c r="C83" s="2">
        <v>41189</v>
      </c>
      <c r="D83" s="1" t="s">
        <v>2005</v>
      </c>
      <c r="E83" s="1">
        <v>100050</v>
      </c>
      <c r="F83" s="6" t="s">
        <v>2085</v>
      </c>
      <c r="G83" s="15" t="str">
        <f>VLOOKUP(A83,Movie!A:D,4,FALSE)</f>
        <v>Universal</v>
      </c>
      <c r="H83" s="14">
        <f>VLOOKUP(E83,'Rental Transaction'!A:B,2,FALSE)</f>
        <v>950299</v>
      </c>
      <c r="I83">
        <f t="shared" si="1"/>
        <v>2012</v>
      </c>
    </row>
    <row r="84" spans="1:9">
      <c r="A84" s="1">
        <v>10074</v>
      </c>
      <c r="B84" s="1">
        <v>6</v>
      </c>
      <c r="C84" s="2">
        <v>41190</v>
      </c>
      <c r="D84" s="1" t="s">
        <v>2005</v>
      </c>
      <c r="E84" s="1">
        <v>100050</v>
      </c>
      <c r="F84" s="6" t="s">
        <v>2086</v>
      </c>
      <c r="G84" s="15" t="str">
        <f>VLOOKUP(A84,Movie!A:D,4,FALSE)</f>
        <v>Open Road Films</v>
      </c>
      <c r="H84" s="14">
        <f>VLOOKUP(E84,'Rental Transaction'!A:B,2,FALSE)</f>
        <v>950299</v>
      </c>
      <c r="I84">
        <f t="shared" si="1"/>
        <v>2012</v>
      </c>
    </row>
    <row r="85" spans="1:9">
      <c r="A85" s="1">
        <v>10064</v>
      </c>
      <c r="B85" s="1">
        <v>4</v>
      </c>
      <c r="C85" s="2">
        <v>41191</v>
      </c>
      <c r="D85" s="1" t="s">
        <v>2002</v>
      </c>
      <c r="E85" s="1">
        <v>100051</v>
      </c>
      <c r="F85" s="6" t="s">
        <v>2087</v>
      </c>
      <c r="G85" s="15" t="str">
        <f>VLOOKUP(A85,Movie!A:D,4,FALSE)</f>
        <v>Universal</v>
      </c>
      <c r="H85" s="14">
        <f>VLOOKUP(E85,'Rental Transaction'!A:B,2,FALSE)</f>
        <v>656512</v>
      </c>
      <c r="I85">
        <f t="shared" si="1"/>
        <v>2012</v>
      </c>
    </row>
    <row r="86" spans="1:9">
      <c r="A86" s="1">
        <v>10151</v>
      </c>
      <c r="B86" s="1">
        <v>7</v>
      </c>
      <c r="C86" s="2">
        <v>41191</v>
      </c>
      <c r="D86" s="1" t="s">
        <v>2005</v>
      </c>
      <c r="E86" s="1">
        <v>100051</v>
      </c>
      <c r="F86" s="6" t="s">
        <v>2088</v>
      </c>
      <c r="G86" s="15" t="str">
        <f>VLOOKUP(A86,Movie!A:D,4,FALSE)</f>
        <v>Screen Gems</v>
      </c>
      <c r="H86" s="14">
        <f>VLOOKUP(E86,'Rental Transaction'!A:B,2,FALSE)</f>
        <v>656512</v>
      </c>
      <c r="I86">
        <f t="shared" si="1"/>
        <v>2012</v>
      </c>
    </row>
    <row r="87" spans="1:9">
      <c r="A87" s="1">
        <v>10043</v>
      </c>
      <c r="B87" s="1">
        <v>6</v>
      </c>
      <c r="C87" s="2">
        <v>41191</v>
      </c>
      <c r="D87" s="1" t="s">
        <v>2005</v>
      </c>
      <c r="E87" s="1">
        <v>100052</v>
      </c>
      <c r="F87" s="6" t="s">
        <v>2089</v>
      </c>
      <c r="G87" s="15" t="str">
        <f>VLOOKUP(A87,Movie!A:D,4,FALSE)</f>
        <v>Screen Gems</v>
      </c>
      <c r="H87" s="14">
        <f>VLOOKUP(E87,'Rental Transaction'!A:B,2,FALSE)</f>
        <v>480298</v>
      </c>
      <c r="I87">
        <f t="shared" si="1"/>
        <v>2012</v>
      </c>
    </row>
    <row r="88" spans="1:9">
      <c r="A88" s="1">
        <v>10116</v>
      </c>
      <c r="B88" s="1">
        <v>2</v>
      </c>
      <c r="C88" s="2">
        <v>41191</v>
      </c>
      <c r="D88" s="1" t="s">
        <v>2005</v>
      </c>
      <c r="E88" s="1">
        <v>100052</v>
      </c>
      <c r="F88" s="6" t="s">
        <v>2090</v>
      </c>
      <c r="G88" s="15" t="str">
        <f>VLOOKUP(A88,Movie!A:D,4,FALSE)</f>
        <v>Universal</v>
      </c>
      <c r="H88" s="14">
        <f>VLOOKUP(E88,'Rental Transaction'!A:B,2,FALSE)</f>
        <v>480298</v>
      </c>
      <c r="I88">
        <f t="shared" si="1"/>
        <v>2012</v>
      </c>
    </row>
    <row r="89" spans="1:9">
      <c r="A89" s="1">
        <v>10148</v>
      </c>
      <c r="B89" s="1">
        <v>7</v>
      </c>
      <c r="C89" s="2">
        <v>41195</v>
      </c>
      <c r="D89" s="1" t="s">
        <v>2005</v>
      </c>
      <c r="E89" s="1">
        <v>100053</v>
      </c>
      <c r="F89" s="6" t="s">
        <v>2091</v>
      </c>
      <c r="G89" s="15" t="str">
        <f>VLOOKUP(A89,Movie!A:D,4,FALSE)</f>
        <v>Paramount</v>
      </c>
      <c r="H89" s="14">
        <f>VLOOKUP(E89,'Rental Transaction'!A:B,2,FALSE)</f>
        <v>447368</v>
      </c>
      <c r="I89">
        <f t="shared" si="1"/>
        <v>2012</v>
      </c>
    </row>
    <row r="90" spans="1:9">
      <c r="A90" s="1">
        <v>10166</v>
      </c>
      <c r="B90" s="1">
        <v>6</v>
      </c>
      <c r="C90" s="2">
        <v>41195</v>
      </c>
      <c r="D90" s="1" t="s">
        <v>2005</v>
      </c>
      <c r="E90" s="1">
        <v>100054</v>
      </c>
      <c r="F90" s="6" t="s">
        <v>2092</v>
      </c>
      <c r="G90" s="15" t="str">
        <f>VLOOKUP(A90,Movie!A:D,4,FALSE)</f>
        <v>Fox</v>
      </c>
      <c r="H90" s="14">
        <f>VLOOKUP(E90,'Rental Transaction'!A:B,2,FALSE)</f>
        <v>736500</v>
      </c>
      <c r="I90">
        <f t="shared" si="1"/>
        <v>2012</v>
      </c>
    </row>
    <row r="91" spans="1:9">
      <c r="A91" s="1">
        <v>10021</v>
      </c>
      <c r="B91" s="1">
        <v>4</v>
      </c>
      <c r="C91" s="2">
        <v>41195</v>
      </c>
      <c r="D91" s="1" t="s">
        <v>2005</v>
      </c>
      <c r="E91" s="1">
        <v>100054</v>
      </c>
      <c r="F91" s="6" t="s">
        <v>2093</v>
      </c>
      <c r="G91" s="15" t="str">
        <f>VLOOKUP(A91,Movie!A:D,4,FALSE)</f>
        <v>Paramount</v>
      </c>
      <c r="H91" s="14">
        <f>VLOOKUP(E91,'Rental Transaction'!A:B,2,FALSE)</f>
        <v>736500</v>
      </c>
      <c r="I91">
        <f t="shared" si="1"/>
        <v>2012</v>
      </c>
    </row>
    <row r="92" spans="1:9">
      <c r="A92" s="1">
        <v>10046</v>
      </c>
      <c r="B92" s="1">
        <v>3</v>
      </c>
      <c r="C92" s="2">
        <v>41195</v>
      </c>
      <c r="D92" s="1" t="s">
        <v>2002</v>
      </c>
      <c r="E92" s="1">
        <v>100054</v>
      </c>
      <c r="F92" s="6" t="s">
        <v>2094</v>
      </c>
      <c r="G92" s="15" t="str">
        <f>VLOOKUP(A92,Movie!A:D,4,FALSE)</f>
        <v>Sony</v>
      </c>
      <c r="H92" s="14">
        <f>VLOOKUP(E92,'Rental Transaction'!A:B,2,FALSE)</f>
        <v>736500</v>
      </c>
      <c r="I92">
        <f t="shared" si="1"/>
        <v>2012</v>
      </c>
    </row>
    <row r="93" spans="1:9">
      <c r="A93" s="1">
        <v>10137</v>
      </c>
      <c r="B93" s="1">
        <v>8</v>
      </c>
      <c r="C93" s="2">
        <v>41196</v>
      </c>
      <c r="D93" s="1" t="s">
        <v>2002</v>
      </c>
      <c r="E93" s="1">
        <v>100055</v>
      </c>
      <c r="F93" s="6" t="s">
        <v>2095</v>
      </c>
      <c r="G93" s="15" t="str">
        <f>VLOOKUP(A93,Movie!A:D,4,FALSE)</f>
        <v>Buena Vista</v>
      </c>
      <c r="H93" s="14">
        <f>VLOOKUP(E93,'Rental Transaction'!A:B,2,FALSE)</f>
        <v>435907</v>
      </c>
      <c r="I93">
        <f t="shared" si="1"/>
        <v>2012</v>
      </c>
    </row>
    <row r="94" spans="1:9">
      <c r="A94" s="1">
        <v>10234</v>
      </c>
      <c r="B94" s="1">
        <v>10</v>
      </c>
      <c r="C94" s="2">
        <v>41198</v>
      </c>
      <c r="D94" s="1" t="s">
        <v>2005</v>
      </c>
      <c r="E94" s="1">
        <v>100056</v>
      </c>
      <c r="F94" s="6" t="s">
        <v>2096</v>
      </c>
      <c r="G94" s="15" t="str">
        <f>VLOOKUP(A94,Movie!A:D,4,FALSE)</f>
        <v>Warner Brothers</v>
      </c>
      <c r="H94" s="14">
        <f>VLOOKUP(E94,'Rental Transaction'!A:B,2,FALSE)</f>
        <v>872851</v>
      </c>
      <c r="I94">
        <f t="shared" si="1"/>
        <v>2012</v>
      </c>
    </row>
    <row r="95" spans="1:9" ht="29.25">
      <c r="A95" s="1">
        <v>10144</v>
      </c>
      <c r="B95" s="1">
        <v>2</v>
      </c>
      <c r="C95" s="2">
        <v>41198</v>
      </c>
      <c r="D95" s="1" t="s">
        <v>2002</v>
      </c>
      <c r="E95" s="1">
        <v>100057</v>
      </c>
      <c r="F95" s="6" t="s">
        <v>2097</v>
      </c>
      <c r="G95" s="15" t="str">
        <f>VLOOKUP(A95,Movie!A:D,4,FALSE)</f>
        <v>Weinstein Company</v>
      </c>
      <c r="H95" s="14">
        <f>VLOOKUP(E95,'Rental Transaction'!A:B,2,FALSE)</f>
        <v>755271</v>
      </c>
      <c r="I95">
        <f t="shared" si="1"/>
        <v>2012</v>
      </c>
    </row>
    <row r="96" spans="1:9">
      <c r="A96" s="1">
        <v>10124</v>
      </c>
      <c r="B96" s="1">
        <v>9</v>
      </c>
      <c r="C96" s="2">
        <v>41198</v>
      </c>
      <c r="D96" s="1" t="s">
        <v>2002</v>
      </c>
      <c r="E96" s="1">
        <v>100057</v>
      </c>
      <c r="F96" s="6" t="s">
        <v>2098</v>
      </c>
      <c r="G96" s="15" t="str">
        <f>VLOOKUP(A96,Movie!A:D,4,FALSE)</f>
        <v>Paramount</v>
      </c>
      <c r="H96" s="14">
        <f>VLOOKUP(E96,'Rental Transaction'!A:B,2,FALSE)</f>
        <v>755271</v>
      </c>
      <c r="I96">
        <f t="shared" si="1"/>
        <v>2012</v>
      </c>
    </row>
    <row r="97" spans="1:9">
      <c r="A97" s="1">
        <v>10054</v>
      </c>
      <c r="B97" s="1">
        <v>8</v>
      </c>
      <c r="C97" s="2">
        <v>41200</v>
      </c>
      <c r="D97" s="1" t="s">
        <v>2005</v>
      </c>
      <c r="E97" s="1">
        <v>100058</v>
      </c>
      <c r="F97" s="6" t="s">
        <v>2099</v>
      </c>
      <c r="G97" s="15" t="str">
        <f>VLOOKUP(A97,Movie!A:D,4,FALSE)</f>
        <v>Paramount</v>
      </c>
      <c r="H97" s="14">
        <f>VLOOKUP(E97,'Rental Transaction'!A:B,2,FALSE)</f>
        <v>791850</v>
      </c>
      <c r="I97">
        <f t="shared" si="1"/>
        <v>2012</v>
      </c>
    </row>
    <row r="98" spans="1:9">
      <c r="A98" s="1">
        <v>10155</v>
      </c>
      <c r="B98" s="1">
        <v>4</v>
      </c>
      <c r="C98" s="2">
        <v>41200</v>
      </c>
      <c r="D98" s="1" t="s">
        <v>2002</v>
      </c>
      <c r="E98" s="1">
        <v>100058</v>
      </c>
      <c r="F98" s="6" t="s">
        <v>2100</v>
      </c>
      <c r="G98" s="15" t="str">
        <f>VLOOKUP(A98,Movie!A:D,4,FALSE)</f>
        <v>Fox</v>
      </c>
      <c r="H98" s="14">
        <f>VLOOKUP(E98,'Rental Transaction'!A:B,2,FALSE)</f>
        <v>791850</v>
      </c>
      <c r="I98">
        <f t="shared" si="1"/>
        <v>2012</v>
      </c>
    </row>
    <row r="99" spans="1:9">
      <c r="A99" s="1">
        <v>10242</v>
      </c>
      <c r="B99" s="1">
        <v>2</v>
      </c>
      <c r="C99" s="2">
        <v>41200</v>
      </c>
      <c r="D99" s="1" t="s">
        <v>2002</v>
      </c>
      <c r="E99" s="1">
        <v>100059</v>
      </c>
      <c r="F99" s="6" t="s">
        <v>2101</v>
      </c>
      <c r="G99" s="15" t="str">
        <f>VLOOKUP(A99,Movie!A:D,4,FALSE)</f>
        <v>Buena Vista</v>
      </c>
      <c r="H99" s="14">
        <f>VLOOKUP(E99,'Rental Transaction'!A:B,2,FALSE)</f>
        <v>386336</v>
      </c>
      <c r="I99">
        <f t="shared" si="1"/>
        <v>2012</v>
      </c>
    </row>
    <row r="100" spans="1:9">
      <c r="A100" s="1">
        <v>10143</v>
      </c>
      <c r="B100" s="1">
        <v>8</v>
      </c>
      <c r="C100" s="2">
        <v>41201</v>
      </c>
      <c r="D100" s="1" t="s">
        <v>2002</v>
      </c>
      <c r="E100" s="1">
        <v>100060</v>
      </c>
      <c r="F100" s="6" t="s">
        <v>2102</v>
      </c>
      <c r="G100" s="15" t="str">
        <f>VLOOKUP(A100,Movie!A:D,4,FALSE)</f>
        <v>Buena Vista</v>
      </c>
      <c r="H100" s="14">
        <f>VLOOKUP(E100,'Rental Transaction'!A:B,2,FALSE)</f>
        <v>739669</v>
      </c>
      <c r="I100">
        <f t="shared" si="1"/>
        <v>2012</v>
      </c>
    </row>
    <row r="101" spans="1:9">
      <c r="A101" s="1">
        <v>10181</v>
      </c>
      <c r="B101" s="1">
        <v>2</v>
      </c>
      <c r="C101" s="2">
        <v>41202</v>
      </c>
      <c r="D101" s="1" t="s">
        <v>2005</v>
      </c>
      <c r="E101" s="1">
        <v>100060</v>
      </c>
      <c r="F101" s="6" t="s">
        <v>2103</v>
      </c>
      <c r="G101" s="15" t="str">
        <f>VLOOKUP(A101,Movie!A:D,4,FALSE)</f>
        <v>Fox</v>
      </c>
      <c r="H101" s="14">
        <f>VLOOKUP(E101,'Rental Transaction'!A:B,2,FALSE)</f>
        <v>739669</v>
      </c>
      <c r="I101">
        <f t="shared" si="1"/>
        <v>2012</v>
      </c>
    </row>
    <row r="102" spans="1:9">
      <c r="A102" s="1">
        <v>10240</v>
      </c>
      <c r="B102" s="1">
        <v>9</v>
      </c>
      <c r="C102" s="2">
        <v>41201</v>
      </c>
      <c r="D102" s="1" t="s">
        <v>2002</v>
      </c>
      <c r="E102" s="1">
        <v>100061</v>
      </c>
      <c r="F102" s="6" t="s">
        <v>2104</v>
      </c>
      <c r="G102" s="15" t="str">
        <f>VLOOKUP(A102,Movie!A:D,4,FALSE)</f>
        <v>Warner Brothers</v>
      </c>
      <c r="H102" s="14">
        <f>VLOOKUP(E102,'Rental Transaction'!A:B,2,FALSE)</f>
        <v>810369</v>
      </c>
      <c r="I102">
        <f t="shared" si="1"/>
        <v>2012</v>
      </c>
    </row>
    <row r="103" spans="1:9">
      <c r="A103" s="1">
        <v>10092</v>
      </c>
      <c r="B103" s="1">
        <v>2</v>
      </c>
      <c r="C103" s="2">
        <v>41201</v>
      </c>
      <c r="D103" s="1" t="s">
        <v>2002</v>
      </c>
      <c r="E103" s="1">
        <v>100062</v>
      </c>
      <c r="F103" s="6" t="s">
        <v>2105</v>
      </c>
      <c r="G103" s="15" t="str">
        <f>VLOOKUP(A103,Movie!A:D,4,FALSE)</f>
        <v>Warner Brothers</v>
      </c>
      <c r="H103" s="14">
        <f>VLOOKUP(E103,'Rental Transaction'!A:B,2,FALSE)</f>
        <v>926289</v>
      </c>
      <c r="I103">
        <f t="shared" si="1"/>
        <v>2012</v>
      </c>
    </row>
    <row r="104" spans="1:9" ht="29.25">
      <c r="A104" s="1">
        <v>10028</v>
      </c>
      <c r="B104" s="1">
        <v>10</v>
      </c>
      <c r="C104" s="2">
        <v>41200</v>
      </c>
      <c r="D104" s="1" t="s">
        <v>2002</v>
      </c>
      <c r="E104" s="1">
        <v>100062</v>
      </c>
      <c r="F104" s="6" t="s">
        <v>2106</v>
      </c>
      <c r="G104" s="15" t="str">
        <f>VLOOKUP(A104,Movie!A:D,4,FALSE)</f>
        <v>Summit Entertainment</v>
      </c>
      <c r="H104" s="14">
        <f>VLOOKUP(E104,'Rental Transaction'!A:B,2,FALSE)</f>
        <v>926289</v>
      </c>
      <c r="I104">
        <f t="shared" si="1"/>
        <v>2012</v>
      </c>
    </row>
    <row r="105" spans="1:9">
      <c r="A105" s="1">
        <v>10245</v>
      </c>
      <c r="B105" s="1">
        <v>10</v>
      </c>
      <c r="C105" s="2">
        <v>41202</v>
      </c>
      <c r="D105" s="1" t="s">
        <v>2002</v>
      </c>
      <c r="E105" s="1">
        <v>100063</v>
      </c>
      <c r="F105" s="6" t="s">
        <v>2107</v>
      </c>
      <c r="G105" s="15" t="str">
        <f>VLOOKUP(A105,Movie!A:D,4,FALSE)</f>
        <v>Warner Brothers</v>
      </c>
      <c r="H105" s="14">
        <f>VLOOKUP(E105,'Rental Transaction'!A:B,2,FALSE)</f>
        <v>553931</v>
      </c>
      <c r="I105">
        <f t="shared" si="1"/>
        <v>2012</v>
      </c>
    </row>
    <row r="106" spans="1:9">
      <c r="A106" s="1">
        <v>10195</v>
      </c>
      <c r="B106" s="1">
        <v>8</v>
      </c>
      <c r="C106" s="2">
        <v>41202</v>
      </c>
      <c r="D106" s="1" t="s">
        <v>2002</v>
      </c>
      <c r="E106" s="1">
        <v>100064</v>
      </c>
      <c r="F106" s="6" t="s">
        <v>2108</v>
      </c>
      <c r="G106" s="15" t="str">
        <f>VLOOKUP(A106,Movie!A:D,4,FALSE)</f>
        <v>Sony</v>
      </c>
      <c r="H106" s="14">
        <f>VLOOKUP(E106,'Rental Transaction'!A:B,2,FALSE)</f>
        <v>795957</v>
      </c>
      <c r="I106">
        <f t="shared" si="1"/>
        <v>2012</v>
      </c>
    </row>
    <row r="107" spans="1:9">
      <c r="A107" s="1">
        <v>10247</v>
      </c>
      <c r="B107" s="1">
        <v>9</v>
      </c>
      <c r="C107" s="2">
        <v>41203</v>
      </c>
      <c r="D107" s="1" t="s">
        <v>2005</v>
      </c>
      <c r="E107" s="1">
        <v>100065</v>
      </c>
      <c r="F107" s="6" t="s">
        <v>2109</v>
      </c>
      <c r="G107" s="15" t="str">
        <f>VLOOKUP(A107,Movie!A:D,4,FALSE)</f>
        <v>Fox</v>
      </c>
      <c r="H107" s="14">
        <f>VLOOKUP(E107,'Rental Transaction'!A:B,2,FALSE)</f>
        <v>690100</v>
      </c>
      <c r="I107">
        <f t="shared" si="1"/>
        <v>2012</v>
      </c>
    </row>
    <row r="108" spans="1:9">
      <c r="A108" s="1">
        <v>10019</v>
      </c>
      <c r="B108" s="1">
        <v>5</v>
      </c>
      <c r="C108" s="2">
        <v>41204</v>
      </c>
      <c r="D108" s="1" t="s">
        <v>2005</v>
      </c>
      <c r="E108" s="1">
        <v>100066</v>
      </c>
      <c r="F108" s="6" t="s">
        <v>2110</v>
      </c>
      <c r="G108" s="15" t="str">
        <f>VLOOKUP(A108,Movie!A:D,4,FALSE)</f>
        <v>Fox</v>
      </c>
      <c r="H108" s="14">
        <f>VLOOKUP(E108,'Rental Transaction'!A:B,2,FALSE)</f>
        <v>663029</v>
      </c>
      <c r="I108">
        <f t="shared" si="1"/>
        <v>2012</v>
      </c>
    </row>
    <row r="109" spans="1:9">
      <c r="A109" s="1">
        <v>10023</v>
      </c>
      <c r="B109" s="1">
        <v>2</v>
      </c>
      <c r="C109" s="2">
        <v>41205</v>
      </c>
      <c r="D109" s="1" t="s">
        <v>2002</v>
      </c>
      <c r="E109" s="1">
        <v>100066</v>
      </c>
      <c r="F109" s="6" t="s">
        <v>2111</v>
      </c>
      <c r="G109" s="15" t="str">
        <f>VLOOKUP(A109,Movie!A:D,4,FALSE)</f>
        <v>Buena Vista</v>
      </c>
      <c r="H109" s="14">
        <f>VLOOKUP(E109,'Rental Transaction'!A:B,2,FALSE)</f>
        <v>663029</v>
      </c>
      <c r="I109">
        <f t="shared" si="1"/>
        <v>2012</v>
      </c>
    </row>
    <row r="110" spans="1:9">
      <c r="A110" s="1">
        <v>10169</v>
      </c>
      <c r="B110" s="1">
        <v>3</v>
      </c>
      <c r="C110" s="2">
        <v>41206</v>
      </c>
      <c r="D110" s="1" t="s">
        <v>2002</v>
      </c>
      <c r="E110" s="1">
        <v>100067</v>
      </c>
      <c r="F110" s="6" t="s">
        <v>2112</v>
      </c>
      <c r="G110" s="15" t="str">
        <f>VLOOKUP(A110,Movie!A:D,4,FALSE)</f>
        <v>Warner Brothers</v>
      </c>
      <c r="H110" s="14">
        <f>VLOOKUP(E110,'Rental Transaction'!A:B,2,FALSE)</f>
        <v>689877</v>
      </c>
      <c r="I110">
        <f t="shared" si="1"/>
        <v>2012</v>
      </c>
    </row>
    <row r="111" spans="1:9">
      <c r="A111" s="1">
        <v>10233</v>
      </c>
      <c r="B111" s="1">
        <v>9</v>
      </c>
      <c r="C111" s="2">
        <v>41205</v>
      </c>
      <c r="D111" s="1" t="s">
        <v>2002</v>
      </c>
      <c r="E111" s="1">
        <v>100068</v>
      </c>
      <c r="F111" s="6" t="s">
        <v>2113</v>
      </c>
      <c r="G111" s="15" t="str">
        <f>VLOOKUP(A111,Movie!A:D,4,FALSE)</f>
        <v>Screen Gems</v>
      </c>
      <c r="H111" s="14">
        <f>VLOOKUP(E111,'Rental Transaction'!A:B,2,FALSE)</f>
        <v>214537</v>
      </c>
      <c r="I111">
        <f t="shared" si="1"/>
        <v>2012</v>
      </c>
    </row>
    <row r="112" spans="1:9">
      <c r="A112" s="1">
        <v>10155</v>
      </c>
      <c r="B112" s="1">
        <v>5</v>
      </c>
      <c r="C112" s="2">
        <v>41206</v>
      </c>
      <c r="D112" s="1" t="s">
        <v>2002</v>
      </c>
      <c r="E112" s="1">
        <v>100069</v>
      </c>
      <c r="F112" s="6" t="s">
        <v>2114</v>
      </c>
      <c r="G112" s="15" t="str">
        <f>VLOOKUP(A112,Movie!A:D,4,FALSE)</f>
        <v>Fox</v>
      </c>
      <c r="H112" s="14">
        <f>VLOOKUP(E112,'Rental Transaction'!A:B,2,FALSE)</f>
        <v>199895</v>
      </c>
      <c r="I112">
        <f t="shared" si="1"/>
        <v>2012</v>
      </c>
    </row>
    <row r="113" spans="1:9">
      <c r="A113" s="1">
        <v>10005</v>
      </c>
      <c r="B113" s="1">
        <v>3</v>
      </c>
      <c r="C113" s="2">
        <v>41206</v>
      </c>
      <c r="D113" s="1" t="s">
        <v>2005</v>
      </c>
      <c r="E113" s="1">
        <v>100070</v>
      </c>
      <c r="F113" s="6" t="s">
        <v>2115</v>
      </c>
      <c r="G113" s="15" t="str">
        <f>VLOOKUP(A113,Movie!A:D,4,FALSE)</f>
        <v>Buena Vista</v>
      </c>
      <c r="H113" s="14">
        <f>VLOOKUP(E113,'Rental Transaction'!A:B,2,FALSE)</f>
        <v>158310</v>
      </c>
      <c r="I113">
        <f t="shared" si="1"/>
        <v>2012</v>
      </c>
    </row>
    <row r="114" spans="1:9">
      <c r="A114" s="1">
        <v>10038</v>
      </c>
      <c r="B114" s="1">
        <v>7</v>
      </c>
      <c r="C114" s="2">
        <v>41206</v>
      </c>
      <c r="D114" s="1" t="s">
        <v>2005</v>
      </c>
      <c r="E114" s="1">
        <v>100070</v>
      </c>
      <c r="F114" s="6" t="s">
        <v>2116</v>
      </c>
      <c r="G114" s="15" t="str">
        <f>VLOOKUP(A114,Movie!A:D,4,FALSE)</f>
        <v>Paramount</v>
      </c>
      <c r="H114" s="14">
        <f>VLOOKUP(E114,'Rental Transaction'!A:B,2,FALSE)</f>
        <v>158310</v>
      </c>
      <c r="I114">
        <f t="shared" si="1"/>
        <v>2012</v>
      </c>
    </row>
    <row r="115" spans="1:9">
      <c r="A115" s="1">
        <v>10090</v>
      </c>
      <c r="B115" s="1">
        <v>2</v>
      </c>
      <c r="C115" s="2">
        <v>41206</v>
      </c>
      <c r="D115" s="1" t="s">
        <v>2002</v>
      </c>
      <c r="E115" s="1">
        <v>100071</v>
      </c>
      <c r="F115" s="6" t="s">
        <v>2117</v>
      </c>
      <c r="G115" s="15" t="str">
        <f>VLOOKUP(A115,Movie!A:D,4,FALSE)</f>
        <v>Paramount</v>
      </c>
      <c r="H115" s="14">
        <f>VLOOKUP(E115,'Rental Transaction'!A:B,2,FALSE)</f>
        <v>707458</v>
      </c>
      <c r="I115">
        <f t="shared" si="1"/>
        <v>2012</v>
      </c>
    </row>
    <row r="116" spans="1:9">
      <c r="A116" s="1">
        <v>10242</v>
      </c>
      <c r="B116" s="1">
        <v>2</v>
      </c>
      <c r="C116" s="2">
        <v>41205</v>
      </c>
      <c r="D116" s="1" t="s">
        <v>2005</v>
      </c>
      <c r="E116" s="1">
        <v>100072</v>
      </c>
      <c r="F116" s="6" t="s">
        <v>2118</v>
      </c>
      <c r="G116" s="15" t="str">
        <f>VLOOKUP(A116,Movie!A:D,4,FALSE)</f>
        <v>Buena Vista</v>
      </c>
      <c r="H116" s="14">
        <f>VLOOKUP(E116,'Rental Transaction'!A:B,2,FALSE)</f>
        <v>370870</v>
      </c>
      <c r="I116">
        <f t="shared" si="1"/>
        <v>2012</v>
      </c>
    </row>
    <row r="117" spans="1:9">
      <c r="A117" s="1">
        <v>10142</v>
      </c>
      <c r="B117" s="1">
        <v>3</v>
      </c>
      <c r="C117" s="2">
        <v>41206</v>
      </c>
      <c r="D117" s="1" t="s">
        <v>2005</v>
      </c>
      <c r="E117" s="1">
        <v>100073</v>
      </c>
      <c r="F117" s="6" t="s">
        <v>2119</v>
      </c>
      <c r="G117" s="15" t="str">
        <f>VLOOKUP(A117,Movie!A:D,4,FALSE)</f>
        <v>Warner Brothers</v>
      </c>
      <c r="H117" s="14">
        <f>VLOOKUP(E117,'Rental Transaction'!A:B,2,FALSE)</f>
        <v>689877</v>
      </c>
      <c r="I117">
        <f t="shared" si="1"/>
        <v>2012</v>
      </c>
    </row>
    <row r="118" spans="1:9">
      <c r="A118" s="1">
        <v>10197</v>
      </c>
      <c r="B118" s="1">
        <v>1</v>
      </c>
      <c r="C118" s="2">
        <v>41207</v>
      </c>
      <c r="D118" s="1" t="s">
        <v>2002</v>
      </c>
      <c r="E118" s="1">
        <v>100074</v>
      </c>
      <c r="F118" s="6" t="s">
        <v>2120</v>
      </c>
      <c r="G118" s="15" t="str">
        <f>VLOOKUP(A118,Movie!A:D,4,FALSE)</f>
        <v>Warner Brothers</v>
      </c>
      <c r="H118" s="14">
        <f>VLOOKUP(E118,'Rental Transaction'!A:B,2,FALSE)</f>
        <v>336644</v>
      </c>
      <c r="I118">
        <f t="shared" si="1"/>
        <v>2012</v>
      </c>
    </row>
    <row r="119" spans="1:9">
      <c r="A119" s="1">
        <v>10213</v>
      </c>
      <c r="B119" s="1">
        <v>2</v>
      </c>
      <c r="C119" s="2">
        <v>41208</v>
      </c>
      <c r="D119" s="1" t="s">
        <v>2005</v>
      </c>
      <c r="E119" s="1">
        <v>100075</v>
      </c>
      <c r="F119" s="6" t="s">
        <v>2121</v>
      </c>
      <c r="G119" s="15" t="str">
        <f>VLOOKUP(A119,Movie!A:D,4,FALSE)</f>
        <v>Sony</v>
      </c>
      <c r="H119" s="14">
        <f>VLOOKUP(E119,'Rental Transaction'!A:B,2,FALSE)</f>
        <v>378374</v>
      </c>
      <c r="I119">
        <f t="shared" si="1"/>
        <v>2012</v>
      </c>
    </row>
    <row r="120" spans="1:9">
      <c r="A120" s="1">
        <v>10100</v>
      </c>
      <c r="B120" s="1">
        <v>5</v>
      </c>
      <c r="C120" s="2">
        <v>41208</v>
      </c>
      <c r="D120" s="1" t="s">
        <v>2005</v>
      </c>
      <c r="E120" s="1">
        <v>100075</v>
      </c>
      <c r="F120" s="6" t="s">
        <v>2122</v>
      </c>
      <c r="G120" s="15" t="str">
        <f>VLOOKUP(A120,Movie!A:D,4,FALSE)</f>
        <v>Fox</v>
      </c>
      <c r="H120" s="14">
        <f>VLOOKUP(E120,'Rental Transaction'!A:B,2,FALSE)</f>
        <v>378374</v>
      </c>
      <c r="I120">
        <f t="shared" si="1"/>
        <v>2012</v>
      </c>
    </row>
    <row r="121" spans="1:9">
      <c r="A121" s="1">
        <v>10148</v>
      </c>
      <c r="B121" s="1">
        <v>3</v>
      </c>
      <c r="C121" s="2">
        <v>41207</v>
      </c>
      <c r="D121" s="1" t="s">
        <v>2002</v>
      </c>
      <c r="E121" s="1">
        <v>100075</v>
      </c>
      <c r="F121" s="6" t="s">
        <v>2123</v>
      </c>
      <c r="G121" s="15" t="str">
        <f>VLOOKUP(A121,Movie!A:D,4,FALSE)</f>
        <v>Paramount</v>
      </c>
      <c r="H121" s="14">
        <f>VLOOKUP(E121,'Rental Transaction'!A:B,2,FALSE)</f>
        <v>378374</v>
      </c>
      <c r="I121">
        <f t="shared" si="1"/>
        <v>2012</v>
      </c>
    </row>
    <row r="122" spans="1:9">
      <c r="A122" s="1">
        <v>10011</v>
      </c>
      <c r="B122" s="1">
        <v>7</v>
      </c>
      <c r="C122" s="2">
        <v>41208</v>
      </c>
      <c r="D122" s="1" t="s">
        <v>2002</v>
      </c>
      <c r="E122" s="1">
        <v>100075</v>
      </c>
      <c r="F122" s="6" t="s">
        <v>2124</v>
      </c>
      <c r="G122" s="15" t="str">
        <f>VLOOKUP(A122,Movie!A:D,4,FALSE)</f>
        <v>Buena Vista</v>
      </c>
      <c r="H122" s="14">
        <f>VLOOKUP(E122,'Rental Transaction'!A:B,2,FALSE)</f>
        <v>378374</v>
      </c>
      <c r="I122">
        <f t="shared" si="1"/>
        <v>2012</v>
      </c>
    </row>
    <row r="123" spans="1:9">
      <c r="A123" s="1">
        <v>10238</v>
      </c>
      <c r="B123" s="1">
        <v>9</v>
      </c>
      <c r="C123" s="2">
        <v>41207</v>
      </c>
      <c r="D123" s="1" t="s">
        <v>2002</v>
      </c>
      <c r="E123" s="1">
        <v>100076</v>
      </c>
      <c r="F123" s="6" t="s">
        <v>2125</v>
      </c>
      <c r="G123" s="15" t="str">
        <f>VLOOKUP(A123,Movie!A:D,4,FALSE)</f>
        <v>Warner Brothers</v>
      </c>
      <c r="H123" s="14">
        <f>VLOOKUP(E123,'Rental Transaction'!A:B,2,FALSE)</f>
        <v>924649</v>
      </c>
      <c r="I123">
        <f t="shared" si="1"/>
        <v>2012</v>
      </c>
    </row>
    <row r="124" spans="1:9">
      <c r="A124" s="1">
        <v>10169</v>
      </c>
      <c r="B124" s="1">
        <v>5</v>
      </c>
      <c r="C124" s="2">
        <v>41207</v>
      </c>
      <c r="D124" s="1" t="s">
        <v>2005</v>
      </c>
      <c r="E124" s="1">
        <v>100076</v>
      </c>
      <c r="F124" s="6" t="s">
        <v>2126</v>
      </c>
      <c r="G124" s="15" t="str">
        <f>VLOOKUP(A124,Movie!A:D,4,FALSE)</f>
        <v>Warner Brothers</v>
      </c>
      <c r="H124" s="14">
        <f>VLOOKUP(E124,'Rental Transaction'!A:B,2,FALSE)</f>
        <v>924649</v>
      </c>
      <c r="I124">
        <f t="shared" si="1"/>
        <v>2012</v>
      </c>
    </row>
    <row r="125" spans="1:9">
      <c r="A125" s="1">
        <v>10214</v>
      </c>
      <c r="B125" s="1">
        <v>7</v>
      </c>
      <c r="C125" s="2">
        <v>41207</v>
      </c>
      <c r="D125" s="1" t="s">
        <v>2002</v>
      </c>
      <c r="E125" s="1">
        <v>100076</v>
      </c>
      <c r="F125" s="6" t="s">
        <v>2127</v>
      </c>
      <c r="G125" s="15" t="str">
        <f>VLOOKUP(A125,Movie!A:D,4,FALSE)</f>
        <v>RM</v>
      </c>
      <c r="H125" s="14">
        <f>VLOOKUP(E125,'Rental Transaction'!A:B,2,FALSE)</f>
        <v>924649</v>
      </c>
      <c r="I125">
        <f t="shared" si="1"/>
        <v>2012</v>
      </c>
    </row>
    <row r="126" spans="1:9">
      <c r="A126" s="1">
        <v>10074</v>
      </c>
      <c r="B126" s="1">
        <v>3</v>
      </c>
      <c r="C126" s="2">
        <v>41208</v>
      </c>
      <c r="D126" s="1" t="s">
        <v>2002</v>
      </c>
      <c r="E126" s="1">
        <v>100077</v>
      </c>
      <c r="F126" s="6" t="s">
        <v>2128</v>
      </c>
      <c r="G126" s="15" t="str">
        <f>VLOOKUP(A126,Movie!A:D,4,FALSE)</f>
        <v>Open Road Films</v>
      </c>
      <c r="H126" s="14">
        <f>VLOOKUP(E126,'Rental Transaction'!A:B,2,FALSE)</f>
        <v>689877</v>
      </c>
      <c r="I126">
        <f t="shared" si="1"/>
        <v>2012</v>
      </c>
    </row>
    <row r="127" spans="1:9">
      <c r="A127" s="1">
        <v>10159</v>
      </c>
      <c r="B127" s="1">
        <v>6</v>
      </c>
      <c r="C127" s="2">
        <v>41207</v>
      </c>
      <c r="D127" s="1" t="s">
        <v>2005</v>
      </c>
      <c r="E127" s="1">
        <v>100077</v>
      </c>
      <c r="F127" s="6" t="s">
        <v>2129</v>
      </c>
      <c r="G127" s="15" t="str">
        <f>VLOOKUP(A127,Movie!A:D,4,FALSE)</f>
        <v>Lionsgate</v>
      </c>
      <c r="H127" s="14">
        <f>VLOOKUP(E127,'Rental Transaction'!A:B,2,FALSE)</f>
        <v>689877</v>
      </c>
      <c r="I127">
        <f t="shared" si="1"/>
        <v>2012</v>
      </c>
    </row>
    <row r="128" spans="1:9">
      <c r="A128" s="1">
        <v>10108</v>
      </c>
      <c r="B128" s="1">
        <v>4</v>
      </c>
      <c r="C128" s="2">
        <v>41208</v>
      </c>
      <c r="D128" s="1" t="s">
        <v>2005</v>
      </c>
      <c r="E128" s="1">
        <v>100078</v>
      </c>
      <c r="F128" s="6" t="s">
        <v>2130</v>
      </c>
      <c r="G128" s="15" t="str">
        <f>VLOOKUP(A128,Movie!A:D,4,FALSE)</f>
        <v>Fox</v>
      </c>
      <c r="H128" s="14">
        <f>VLOOKUP(E128,'Rental Transaction'!A:B,2,FALSE)</f>
        <v>413292</v>
      </c>
      <c r="I128">
        <f t="shared" si="1"/>
        <v>2012</v>
      </c>
    </row>
    <row r="129" spans="1:9">
      <c r="A129" s="1">
        <v>10049</v>
      </c>
      <c r="B129" s="1">
        <v>4</v>
      </c>
      <c r="C129" s="2">
        <v>41207</v>
      </c>
      <c r="D129" s="1" t="s">
        <v>2002</v>
      </c>
      <c r="E129" s="1">
        <v>100078</v>
      </c>
      <c r="F129" s="6" t="s">
        <v>2131</v>
      </c>
      <c r="G129" s="15" t="str">
        <f>VLOOKUP(A129,Movie!A:D,4,FALSE)</f>
        <v>Universal</v>
      </c>
      <c r="H129" s="14">
        <f>VLOOKUP(E129,'Rental Transaction'!A:B,2,FALSE)</f>
        <v>413292</v>
      </c>
      <c r="I129">
        <f t="shared" si="1"/>
        <v>2012</v>
      </c>
    </row>
    <row r="130" spans="1:9">
      <c r="A130" s="1">
        <v>10182</v>
      </c>
      <c r="B130" s="1">
        <v>10</v>
      </c>
      <c r="C130" s="2">
        <v>41208</v>
      </c>
      <c r="D130" s="1" t="s">
        <v>2005</v>
      </c>
      <c r="E130" s="1">
        <v>100079</v>
      </c>
      <c r="F130" s="6" t="s">
        <v>2132</v>
      </c>
      <c r="G130" s="15" t="str">
        <f>VLOOKUP(A130,Movie!A:D,4,FALSE)</f>
        <v>Warner Brothers</v>
      </c>
      <c r="H130" s="14">
        <f>VLOOKUP(E130,'Rental Transaction'!A:B,2,FALSE)</f>
        <v>689877</v>
      </c>
      <c r="I130">
        <f t="shared" si="1"/>
        <v>2012</v>
      </c>
    </row>
    <row r="131" spans="1:9">
      <c r="A131" s="1">
        <v>10222</v>
      </c>
      <c r="B131" s="1">
        <v>7</v>
      </c>
      <c r="C131" s="2">
        <v>41208</v>
      </c>
      <c r="D131" s="1" t="s">
        <v>2002</v>
      </c>
      <c r="E131" s="1">
        <v>100080</v>
      </c>
      <c r="F131" s="6" t="s">
        <v>2133</v>
      </c>
      <c r="G131" s="15" t="str">
        <f>VLOOKUP(A131,Movie!A:D,4,FALSE)</f>
        <v>Sony</v>
      </c>
      <c r="H131" s="14">
        <f>VLOOKUP(E131,'Rental Transaction'!A:B,2,FALSE)</f>
        <v>292402</v>
      </c>
      <c r="I131">
        <f t="shared" ref="I131:I194" si="2">YEAR(C131)</f>
        <v>2012</v>
      </c>
    </row>
    <row r="132" spans="1:9">
      <c r="A132" s="1">
        <v>10177</v>
      </c>
      <c r="B132" s="1">
        <v>7</v>
      </c>
      <c r="C132" s="2">
        <v>41213</v>
      </c>
      <c r="D132" s="1" t="s">
        <v>2002</v>
      </c>
      <c r="E132" s="1">
        <v>100081</v>
      </c>
      <c r="F132" s="6" t="s">
        <v>2134</v>
      </c>
      <c r="G132" s="15" t="str">
        <f>VLOOKUP(A132,Movie!A:D,4,FALSE)</f>
        <v>Fox</v>
      </c>
      <c r="H132" s="14">
        <f>VLOOKUP(E132,'Rental Transaction'!A:B,2,FALSE)</f>
        <v>413495</v>
      </c>
      <c r="I132">
        <f t="shared" si="2"/>
        <v>2012</v>
      </c>
    </row>
    <row r="133" spans="1:9">
      <c r="A133" s="1">
        <v>10176</v>
      </c>
      <c r="B133" s="1">
        <v>10</v>
      </c>
      <c r="C133" s="2">
        <v>41212</v>
      </c>
      <c r="D133" s="1" t="s">
        <v>2005</v>
      </c>
      <c r="E133" s="1">
        <v>100082</v>
      </c>
      <c r="F133" s="6" t="s">
        <v>2135</v>
      </c>
      <c r="G133" s="15" t="str">
        <f>VLOOKUP(A133,Movie!A:D,4,FALSE)</f>
        <v>Universal</v>
      </c>
      <c r="H133" s="14">
        <f>VLOOKUP(E133,'Rental Transaction'!A:B,2,FALSE)</f>
        <v>537860</v>
      </c>
      <c r="I133">
        <f t="shared" si="2"/>
        <v>2012</v>
      </c>
    </row>
    <row r="134" spans="1:9" ht="29.25">
      <c r="A134" s="1">
        <v>10249</v>
      </c>
      <c r="B134" s="1">
        <v>4</v>
      </c>
      <c r="C134" s="2">
        <v>41211</v>
      </c>
      <c r="D134" s="1" t="s">
        <v>2002</v>
      </c>
      <c r="E134" s="1">
        <v>100083</v>
      </c>
      <c r="F134" s="6" t="s">
        <v>2136</v>
      </c>
      <c r="G134" s="15" t="str">
        <f>VLOOKUP(A134,Movie!A:D,4,FALSE)</f>
        <v>Summit Entertainment</v>
      </c>
      <c r="H134" s="14">
        <f>VLOOKUP(E134,'Rental Transaction'!A:B,2,FALSE)</f>
        <v>872851</v>
      </c>
      <c r="I134">
        <f t="shared" si="2"/>
        <v>2012</v>
      </c>
    </row>
    <row r="135" spans="1:9">
      <c r="A135" s="1">
        <v>10015</v>
      </c>
      <c r="B135" s="1">
        <v>9</v>
      </c>
      <c r="C135" s="2">
        <v>41214</v>
      </c>
      <c r="D135" s="1" t="s">
        <v>2005</v>
      </c>
      <c r="E135" s="1">
        <v>100084</v>
      </c>
      <c r="F135" s="6" t="s">
        <v>2137</v>
      </c>
      <c r="G135" s="15" t="str">
        <f>VLOOKUP(A135,Movie!A:D,4,FALSE)</f>
        <v>TriStar</v>
      </c>
      <c r="H135" s="14">
        <f>VLOOKUP(E135,'Rental Transaction'!A:B,2,FALSE)</f>
        <v>791850</v>
      </c>
      <c r="I135">
        <f t="shared" si="2"/>
        <v>2012</v>
      </c>
    </row>
    <row r="136" spans="1:9">
      <c r="A136" s="1">
        <v>10107</v>
      </c>
      <c r="B136" s="1">
        <v>8</v>
      </c>
      <c r="C136" s="2">
        <v>41212</v>
      </c>
      <c r="D136" s="1" t="s">
        <v>2002</v>
      </c>
      <c r="E136" s="1">
        <v>100084</v>
      </c>
      <c r="F136" s="6" t="s">
        <v>2138</v>
      </c>
      <c r="G136" s="15" t="str">
        <f>VLOOKUP(A136,Movie!A:D,4,FALSE)</f>
        <v>Universal</v>
      </c>
      <c r="H136" s="14">
        <f>VLOOKUP(E136,'Rental Transaction'!A:B,2,FALSE)</f>
        <v>791850</v>
      </c>
      <c r="I136">
        <f t="shared" si="2"/>
        <v>2012</v>
      </c>
    </row>
    <row r="137" spans="1:9">
      <c r="A137" s="1">
        <v>10214</v>
      </c>
      <c r="B137" s="1">
        <v>7</v>
      </c>
      <c r="C137" s="2">
        <v>41214</v>
      </c>
      <c r="D137" s="1" t="s">
        <v>2002</v>
      </c>
      <c r="E137" s="1">
        <v>100085</v>
      </c>
      <c r="F137" s="6" t="s">
        <v>2139</v>
      </c>
      <c r="G137" s="15" t="str">
        <f>VLOOKUP(A137,Movie!A:D,4,FALSE)</f>
        <v>RM</v>
      </c>
      <c r="H137" s="14">
        <f>VLOOKUP(E137,'Rental Transaction'!A:B,2,FALSE)</f>
        <v>789308</v>
      </c>
      <c r="I137">
        <f t="shared" si="2"/>
        <v>2012</v>
      </c>
    </row>
    <row r="138" spans="1:9">
      <c r="A138" s="1">
        <v>10116</v>
      </c>
      <c r="B138" s="1">
        <v>7</v>
      </c>
      <c r="C138" s="2">
        <v>41212</v>
      </c>
      <c r="D138" s="1" t="s">
        <v>2005</v>
      </c>
      <c r="E138" s="1">
        <v>100085</v>
      </c>
      <c r="F138" s="6" t="s">
        <v>2140</v>
      </c>
      <c r="G138" s="15" t="str">
        <f>VLOOKUP(A138,Movie!A:D,4,FALSE)</f>
        <v>Universal</v>
      </c>
      <c r="H138" s="14">
        <f>VLOOKUP(E138,'Rental Transaction'!A:B,2,FALSE)</f>
        <v>789308</v>
      </c>
      <c r="I138">
        <f t="shared" si="2"/>
        <v>2012</v>
      </c>
    </row>
    <row r="139" spans="1:9">
      <c r="A139" s="1">
        <v>10230</v>
      </c>
      <c r="B139" s="1">
        <v>2</v>
      </c>
      <c r="C139" s="2">
        <v>41212</v>
      </c>
      <c r="D139" s="1" t="s">
        <v>2005</v>
      </c>
      <c r="E139" s="1">
        <v>100086</v>
      </c>
      <c r="F139" s="6" t="s">
        <v>2141</v>
      </c>
      <c r="G139" s="15" t="str">
        <f>VLOOKUP(A139,Movie!A:D,4,FALSE)</f>
        <v>Focus</v>
      </c>
      <c r="H139" s="14">
        <f>VLOOKUP(E139,'Rental Transaction'!A:B,2,FALSE)</f>
        <v>336644</v>
      </c>
      <c r="I139">
        <f t="shared" si="2"/>
        <v>2012</v>
      </c>
    </row>
    <row r="140" spans="1:9">
      <c r="A140" s="1">
        <v>10055</v>
      </c>
      <c r="B140" s="1">
        <v>4</v>
      </c>
      <c r="C140" s="2">
        <v>41212</v>
      </c>
      <c r="D140" s="1" t="s">
        <v>2005</v>
      </c>
      <c r="E140" s="1">
        <v>100086</v>
      </c>
      <c r="F140" s="6" t="s">
        <v>2142</v>
      </c>
      <c r="G140" s="15" t="str">
        <f>VLOOKUP(A140,Movie!A:D,4,FALSE)</f>
        <v>Sony Classics</v>
      </c>
      <c r="H140" s="14">
        <f>VLOOKUP(E140,'Rental Transaction'!A:B,2,FALSE)</f>
        <v>336644</v>
      </c>
      <c r="I140">
        <f t="shared" si="2"/>
        <v>2012</v>
      </c>
    </row>
    <row r="141" spans="1:9">
      <c r="A141" s="1">
        <v>10200</v>
      </c>
      <c r="B141" s="1">
        <v>9</v>
      </c>
      <c r="C141" s="2">
        <v>41213</v>
      </c>
      <c r="D141" s="1" t="s">
        <v>2002</v>
      </c>
      <c r="E141" s="1">
        <v>100087</v>
      </c>
      <c r="F141" s="6" t="s">
        <v>2143</v>
      </c>
      <c r="G141" s="15" t="str">
        <f>VLOOKUP(A141,Movie!A:D,4,FALSE)</f>
        <v>Fox</v>
      </c>
      <c r="H141" s="14">
        <f>VLOOKUP(E141,'Rental Transaction'!A:B,2,FALSE)</f>
        <v>720602</v>
      </c>
      <c r="I141">
        <f t="shared" si="2"/>
        <v>2012</v>
      </c>
    </row>
    <row r="142" spans="1:9">
      <c r="A142" s="1">
        <v>10205</v>
      </c>
      <c r="B142" s="1">
        <v>2</v>
      </c>
      <c r="C142" s="2">
        <v>41214</v>
      </c>
      <c r="D142" s="1" t="s">
        <v>2005</v>
      </c>
      <c r="E142" s="1">
        <v>100087</v>
      </c>
      <c r="F142" s="6" t="s">
        <v>2144</v>
      </c>
      <c r="G142" s="15" t="str">
        <f>VLOOKUP(A142,Movie!A:D,4,FALSE)</f>
        <v>Paramount</v>
      </c>
      <c r="H142" s="14">
        <f>VLOOKUP(E142,'Rental Transaction'!A:B,2,FALSE)</f>
        <v>720602</v>
      </c>
      <c r="I142">
        <f t="shared" si="2"/>
        <v>2012</v>
      </c>
    </row>
    <row r="143" spans="1:9">
      <c r="A143" s="1">
        <v>10086</v>
      </c>
      <c r="B143" s="1">
        <v>5</v>
      </c>
      <c r="C143" s="2">
        <v>41215</v>
      </c>
      <c r="D143" s="1" t="s">
        <v>2005</v>
      </c>
      <c r="E143" s="1">
        <v>100088</v>
      </c>
      <c r="F143" s="6" t="s">
        <v>2145</v>
      </c>
      <c r="G143" s="15" t="str">
        <f>VLOOKUP(A143,Movie!A:D,4,FALSE)</f>
        <v>Buena Vista</v>
      </c>
      <c r="H143" s="14">
        <f>VLOOKUP(E143,'Rental Transaction'!A:B,2,FALSE)</f>
        <v>553931</v>
      </c>
      <c r="I143">
        <f t="shared" si="2"/>
        <v>2012</v>
      </c>
    </row>
    <row r="144" spans="1:9">
      <c r="A144" s="1">
        <v>10219</v>
      </c>
      <c r="B144" s="1">
        <v>1</v>
      </c>
      <c r="C144" s="2">
        <v>41214</v>
      </c>
      <c r="D144" s="1" t="s">
        <v>2005</v>
      </c>
      <c r="E144" s="1">
        <v>100088</v>
      </c>
      <c r="F144" s="6" t="s">
        <v>2146</v>
      </c>
      <c r="G144" s="15" t="str">
        <f>VLOOKUP(A144,Movie!A:D,4,FALSE)</f>
        <v>Paramount</v>
      </c>
      <c r="H144" s="14">
        <f>VLOOKUP(E144,'Rental Transaction'!A:B,2,FALSE)</f>
        <v>553931</v>
      </c>
      <c r="I144">
        <f t="shared" si="2"/>
        <v>2012</v>
      </c>
    </row>
    <row r="145" spans="1:9">
      <c r="A145" s="1">
        <v>10083</v>
      </c>
      <c r="B145" s="1">
        <v>5</v>
      </c>
      <c r="C145" s="2">
        <v>41214</v>
      </c>
      <c r="D145" s="1" t="s">
        <v>2005</v>
      </c>
      <c r="E145" s="1">
        <v>100088</v>
      </c>
      <c r="F145" s="6" t="s">
        <v>2147</v>
      </c>
      <c r="G145" s="15" t="str">
        <f>VLOOKUP(A145,Movie!A:D,4,FALSE)</f>
        <v>Buena Vista</v>
      </c>
      <c r="H145" s="14">
        <f>VLOOKUP(E145,'Rental Transaction'!A:B,2,FALSE)</f>
        <v>553931</v>
      </c>
      <c r="I145">
        <f t="shared" si="2"/>
        <v>2012</v>
      </c>
    </row>
    <row r="146" spans="1:9">
      <c r="A146" s="1">
        <v>10240</v>
      </c>
      <c r="B146" s="1">
        <v>2</v>
      </c>
      <c r="C146" s="2">
        <v>41215</v>
      </c>
      <c r="D146" s="1" t="s">
        <v>2005</v>
      </c>
      <c r="E146" s="1">
        <v>100089</v>
      </c>
      <c r="F146" s="6" t="s">
        <v>2148</v>
      </c>
      <c r="G146" s="15" t="str">
        <f>VLOOKUP(A146,Movie!A:D,4,FALSE)</f>
        <v>Warner Brothers</v>
      </c>
      <c r="H146" s="14">
        <f>VLOOKUP(E146,'Rental Transaction'!A:B,2,FALSE)</f>
        <v>722547</v>
      </c>
      <c r="I146">
        <f t="shared" si="2"/>
        <v>2012</v>
      </c>
    </row>
    <row r="147" spans="1:9">
      <c r="A147" s="1">
        <v>10057</v>
      </c>
      <c r="B147" s="1">
        <v>6</v>
      </c>
      <c r="C147" s="2">
        <v>41214</v>
      </c>
      <c r="D147" s="1" t="s">
        <v>2005</v>
      </c>
      <c r="E147" s="1">
        <v>100089</v>
      </c>
      <c r="F147" s="6" t="s">
        <v>2149</v>
      </c>
      <c r="G147" s="15" t="str">
        <f>VLOOKUP(A147,Movie!A:D,4,FALSE)</f>
        <v>Warner Brothers</v>
      </c>
      <c r="H147" s="14">
        <f>VLOOKUP(E147,'Rental Transaction'!A:B,2,FALSE)</f>
        <v>722547</v>
      </c>
      <c r="I147">
        <f t="shared" si="2"/>
        <v>2012</v>
      </c>
    </row>
    <row r="148" spans="1:9">
      <c r="A148" s="1">
        <v>10019</v>
      </c>
      <c r="B148" s="1">
        <v>10</v>
      </c>
      <c r="C148" s="2">
        <v>41215</v>
      </c>
      <c r="D148" s="1" t="s">
        <v>2005</v>
      </c>
      <c r="E148" s="1">
        <v>100090</v>
      </c>
      <c r="F148" s="6" t="s">
        <v>2150</v>
      </c>
      <c r="G148" s="15" t="str">
        <f>VLOOKUP(A148,Movie!A:D,4,FALSE)</f>
        <v>Fox</v>
      </c>
      <c r="H148" s="14">
        <f>VLOOKUP(E148,'Rental Transaction'!A:B,2,FALSE)</f>
        <v>559486</v>
      </c>
      <c r="I148">
        <f t="shared" si="2"/>
        <v>2012</v>
      </c>
    </row>
    <row r="149" spans="1:9">
      <c r="A149" s="1">
        <v>10234</v>
      </c>
      <c r="B149" s="1">
        <v>9</v>
      </c>
      <c r="C149" s="2">
        <v>41215</v>
      </c>
      <c r="D149" s="1" t="s">
        <v>2002</v>
      </c>
      <c r="E149" s="1">
        <v>100090</v>
      </c>
      <c r="F149" s="6" t="s">
        <v>2151</v>
      </c>
      <c r="G149" s="15" t="str">
        <f>VLOOKUP(A149,Movie!A:D,4,FALSE)</f>
        <v>Warner Brothers</v>
      </c>
      <c r="H149" s="14">
        <f>VLOOKUP(E149,'Rental Transaction'!A:B,2,FALSE)</f>
        <v>559486</v>
      </c>
      <c r="I149">
        <f t="shared" si="2"/>
        <v>2012</v>
      </c>
    </row>
    <row r="150" spans="1:9">
      <c r="A150" s="1">
        <v>10161</v>
      </c>
      <c r="B150" s="1">
        <v>10</v>
      </c>
      <c r="C150" s="2">
        <v>41216</v>
      </c>
      <c r="D150" s="1" t="s">
        <v>2002</v>
      </c>
      <c r="E150" s="1">
        <v>100091</v>
      </c>
      <c r="F150" s="6" t="s">
        <v>2152</v>
      </c>
      <c r="G150" s="15" t="str">
        <f>VLOOKUP(A150,Movie!A:D,4,FALSE)</f>
        <v>TriStar</v>
      </c>
      <c r="H150" s="14">
        <f>VLOOKUP(E150,'Rental Transaction'!A:B,2,FALSE)</f>
        <v>592726</v>
      </c>
      <c r="I150">
        <f t="shared" si="2"/>
        <v>2012</v>
      </c>
    </row>
    <row r="151" spans="1:9">
      <c r="A151" s="1">
        <v>10223</v>
      </c>
      <c r="B151" s="1">
        <v>1</v>
      </c>
      <c r="C151" s="2">
        <v>41215</v>
      </c>
      <c r="D151" s="1" t="s">
        <v>2002</v>
      </c>
      <c r="E151" s="1">
        <v>100091</v>
      </c>
      <c r="F151" s="6" t="s">
        <v>2153</v>
      </c>
      <c r="G151" s="15" t="str">
        <f>VLOOKUP(A151,Movie!A:D,4,FALSE)</f>
        <v>Universal</v>
      </c>
      <c r="H151" s="14">
        <f>VLOOKUP(E151,'Rental Transaction'!A:B,2,FALSE)</f>
        <v>592726</v>
      </c>
      <c r="I151">
        <f t="shared" si="2"/>
        <v>2012</v>
      </c>
    </row>
    <row r="152" spans="1:9">
      <c r="A152" s="1">
        <v>10213</v>
      </c>
      <c r="B152" s="1">
        <v>6</v>
      </c>
      <c r="C152" s="2">
        <v>41217</v>
      </c>
      <c r="D152" s="1" t="s">
        <v>2002</v>
      </c>
      <c r="E152" s="1">
        <v>100092</v>
      </c>
      <c r="F152" s="6" t="s">
        <v>2154</v>
      </c>
      <c r="G152" s="15" t="str">
        <f>VLOOKUP(A152,Movie!A:D,4,FALSE)</f>
        <v>Sony</v>
      </c>
      <c r="H152" s="14">
        <f>VLOOKUP(E152,'Rental Transaction'!A:B,2,FALSE)</f>
        <v>938417</v>
      </c>
      <c r="I152">
        <f t="shared" si="2"/>
        <v>2012</v>
      </c>
    </row>
    <row r="153" spans="1:9">
      <c r="A153" s="1">
        <v>10090</v>
      </c>
      <c r="B153" s="1">
        <v>5</v>
      </c>
      <c r="C153" s="2">
        <v>41217</v>
      </c>
      <c r="D153" s="1" t="s">
        <v>2002</v>
      </c>
      <c r="E153" s="1">
        <v>100092</v>
      </c>
      <c r="F153" s="6" t="s">
        <v>2155</v>
      </c>
      <c r="G153" s="15" t="str">
        <f>VLOOKUP(A153,Movie!A:D,4,FALSE)</f>
        <v>Paramount</v>
      </c>
      <c r="H153" s="14">
        <f>VLOOKUP(E153,'Rental Transaction'!A:B,2,FALSE)</f>
        <v>938417</v>
      </c>
      <c r="I153">
        <f t="shared" si="2"/>
        <v>2012</v>
      </c>
    </row>
    <row r="154" spans="1:9">
      <c r="A154" s="1">
        <v>10067</v>
      </c>
      <c r="B154" s="1">
        <v>10</v>
      </c>
      <c r="C154" s="2">
        <v>41218</v>
      </c>
      <c r="D154" s="1" t="s">
        <v>2002</v>
      </c>
      <c r="E154" s="1">
        <v>100092</v>
      </c>
      <c r="F154" s="6" t="s">
        <v>2156</v>
      </c>
      <c r="G154" s="15" t="str">
        <f>VLOOKUP(A154,Movie!A:D,4,FALSE)</f>
        <v>Paramount</v>
      </c>
      <c r="H154" s="14">
        <f>VLOOKUP(E154,'Rental Transaction'!A:B,2,FALSE)</f>
        <v>938417</v>
      </c>
      <c r="I154">
        <f t="shared" si="2"/>
        <v>2012</v>
      </c>
    </row>
    <row r="155" spans="1:9" ht="29.25">
      <c r="A155" s="1">
        <v>10144</v>
      </c>
      <c r="B155" s="1">
        <v>3</v>
      </c>
      <c r="C155" s="2">
        <v>41217</v>
      </c>
      <c r="D155" s="1" t="s">
        <v>2002</v>
      </c>
      <c r="E155" s="1">
        <v>100092</v>
      </c>
      <c r="F155" s="6" t="s">
        <v>2157</v>
      </c>
      <c r="G155" s="15" t="str">
        <f>VLOOKUP(A155,Movie!A:D,4,FALSE)</f>
        <v>Weinstein Company</v>
      </c>
      <c r="H155" s="14">
        <f>VLOOKUP(E155,'Rental Transaction'!A:B,2,FALSE)</f>
        <v>938417</v>
      </c>
      <c r="I155">
        <f t="shared" si="2"/>
        <v>2012</v>
      </c>
    </row>
    <row r="156" spans="1:9">
      <c r="A156" s="1">
        <v>10193</v>
      </c>
      <c r="B156" s="1">
        <v>9</v>
      </c>
      <c r="C156" s="2">
        <v>41217</v>
      </c>
      <c r="D156" s="1" t="s">
        <v>2002</v>
      </c>
      <c r="E156" s="1">
        <v>100093</v>
      </c>
      <c r="F156" s="6" t="s">
        <v>2158</v>
      </c>
      <c r="G156" s="15" t="str">
        <f>VLOOKUP(A156,Movie!A:D,4,FALSE)</f>
        <v>Fox</v>
      </c>
      <c r="H156" s="14">
        <f>VLOOKUP(E156,'Rental Transaction'!A:B,2,FALSE)</f>
        <v>175940</v>
      </c>
      <c r="I156">
        <f t="shared" si="2"/>
        <v>2012</v>
      </c>
    </row>
    <row r="157" spans="1:9">
      <c r="A157" s="1">
        <v>10012</v>
      </c>
      <c r="B157" s="1">
        <v>8</v>
      </c>
      <c r="C157" s="2">
        <v>41219</v>
      </c>
      <c r="D157" s="1" t="s">
        <v>2005</v>
      </c>
      <c r="E157" s="1">
        <v>100094</v>
      </c>
      <c r="F157" s="6" t="s">
        <v>2159</v>
      </c>
      <c r="G157" s="15" t="str">
        <f>VLOOKUP(A157,Movie!A:D,4,FALSE)</f>
        <v>Buena Vista</v>
      </c>
      <c r="H157" s="14">
        <f>VLOOKUP(E157,'Rental Transaction'!A:B,2,FALSE)</f>
        <v>447368</v>
      </c>
      <c r="I157">
        <f t="shared" si="2"/>
        <v>2012</v>
      </c>
    </row>
    <row r="158" spans="1:9">
      <c r="A158" s="1">
        <v>10050</v>
      </c>
      <c r="B158" s="1">
        <v>9</v>
      </c>
      <c r="C158" s="2">
        <v>41219</v>
      </c>
      <c r="D158" s="1" t="s">
        <v>2005</v>
      </c>
      <c r="E158" s="1">
        <v>100094</v>
      </c>
      <c r="F158" s="6" t="s">
        <v>2160</v>
      </c>
      <c r="G158" s="15" t="str">
        <f>VLOOKUP(A158,Movie!A:D,4,FALSE)</f>
        <v>Paramount</v>
      </c>
      <c r="H158" s="14">
        <f>VLOOKUP(E158,'Rental Transaction'!A:B,2,FALSE)</f>
        <v>447368</v>
      </c>
      <c r="I158">
        <f t="shared" si="2"/>
        <v>2012</v>
      </c>
    </row>
    <row r="159" spans="1:9">
      <c r="A159" s="1">
        <v>10149</v>
      </c>
      <c r="B159" s="1">
        <v>10</v>
      </c>
      <c r="C159" s="2">
        <v>41219</v>
      </c>
      <c r="D159" s="1" t="s">
        <v>2002</v>
      </c>
      <c r="E159" s="1">
        <v>100094</v>
      </c>
      <c r="F159" s="6" t="s">
        <v>2161</v>
      </c>
      <c r="G159" s="15" t="str">
        <f>VLOOKUP(A159,Movie!A:D,4,FALSE)</f>
        <v>Relativity</v>
      </c>
      <c r="H159" s="14">
        <f>VLOOKUP(E159,'Rental Transaction'!A:B,2,FALSE)</f>
        <v>447368</v>
      </c>
      <c r="I159">
        <f t="shared" si="2"/>
        <v>2012</v>
      </c>
    </row>
    <row r="160" spans="1:9">
      <c r="A160" s="1">
        <v>10215</v>
      </c>
      <c r="B160" s="1">
        <v>3</v>
      </c>
      <c r="C160" s="2">
        <v>41221</v>
      </c>
      <c r="D160" s="1" t="s">
        <v>2005</v>
      </c>
      <c r="E160" s="1">
        <v>100095</v>
      </c>
      <c r="F160" s="6" t="s">
        <v>2162</v>
      </c>
      <c r="G160" s="15" t="str">
        <f>VLOOKUP(A160,Movie!A:D,4,FALSE)</f>
        <v>Paramount</v>
      </c>
      <c r="H160" s="14">
        <f>VLOOKUP(E160,'Rental Transaction'!A:B,2,FALSE)</f>
        <v>884607</v>
      </c>
      <c r="I160">
        <f t="shared" si="2"/>
        <v>2012</v>
      </c>
    </row>
    <row r="161" spans="1:9">
      <c r="A161" s="1">
        <v>10209</v>
      </c>
      <c r="B161" s="1">
        <v>2</v>
      </c>
      <c r="C161" s="2">
        <v>41219</v>
      </c>
      <c r="D161" s="1" t="s">
        <v>2002</v>
      </c>
      <c r="E161" s="1">
        <v>100095</v>
      </c>
      <c r="F161" s="6" t="s">
        <v>2163</v>
      </c>
      <c r="G161" s="15" t="str">
        <f>VLOOKUP(A161,Movie!A:D,4,FALSE)</f>
        <v>Universal</v>
      </c>
      <c r="H161" s="14">
        <f>VLOOKUP(E161,'Rental Transaction'!A:B,2,FALSE)</f>
        <v>884607</v>
      </c>
      <c r="I161">
        <f t="shared" si="2"/>
        <v>2012</v>
      </c>
    </row>
    <row r="162" spans="1:9">
      <c r="A162" s="1">
        <v>10180</v>
      </c>
      <c r="B162" s="1">
        <v>4</v>
      </c>
      <c r="C162" s="2">
        <v>41220</v>
      </c>
      <c r="D162" s="1" t="s">
        <v>2005</v>
      </c>
      <c r="E162" s="1">
        <v>100096</v>
      </c>
      <c r="F162" s="6" t="s">
        <v>2164</v>
      </c>
      <c r="G162" s="15" t="str">
        <f>VLOOKUP(A162,Movie!A:D,4,FALSE)</f>
        <v>Relativity</v>
      </c>
      <c r="H162" s="14">
        <f>VLOOKUP(E162,'Rental Transaction'!A:B,2,FALSE)</f>
        <v>193968</v>
      </c>
      <c r="I162">
        <f t="shared" si="2"/>
        <v>2012</v>
      </c>
    </row>
    <row r="163" spans="1:9">
      <c r="A163" s="1">
        <v>10126</v>
      </c>
      <c r="B163" s="1">
        <v>4</v>
      </c>
      <c r="C163" s="2">
        <v>41220</v>
      </c>
      <c r="D163" s="1" t="s">
        <v>2005</v>
      </c>
      <c r="E163" s="1">
        <v>100096</v>
      </c>
      <c r="F163" s="6" t="s">
        <v>2165</v>
      </c>
      <c r="G163" s="15" t="str">
        <f>VLOOKUP(A163,Movie!A:D,4,FALSE)</f>
        <v>Fox</v>
      </c>
      <c r="H163" s="14">
        <f>VLOOKUP(E163,'Rental Transaction'!A:B,2,FALSE)</f>
        <v>193968</v>
      </c>
      <c r="I163">
        <f t="shared" si="2"/>
        <v>2012</v>
      </c>
    </row>
    <row r="164" spans="1:9">
      <c r="A164" s="1">
        <v>10032</v>
      </c>
      <c r="B164" s="1">
        <v>9</v>
      </c>
      <c r="C164" s="2">
        <v>41220</v>
      </c>
      <c r="D164" s="1" t="s">
        <v>2002</v>
      </c>
      <c r="E164" s="1">
        <v>100096</v>
      </c>
      <c r="F164" s="6" t="s">
        <v>2166</v>
      </c>
      <c r="G164" s="15" t="str">
        <f>VLOOKUP(A164,Movie!A:D,4,FALSE)</f>
        <v>Sony</v>
      </c>
      <c r="H164" s="14">
        <f>VLOOKUP(E164,'Rental Transaction'!A:B,2,FALSE)</f>
        <v>193968</v>
      </c>
      <c r="I164">
        <f t="shared" si="2"/>
        <v>2012</v>
      </c>
    </row>
    <row r="165" spans="1:9">
      <c r="A165" s="1">
        <v>10215</v>
      </c>
      <c r="B165" s="1">
        <v>8</v>
      </c>
      <c r="C165" s="2">
        <v>41222</v>
      </c>
      <c r="D165" s="1" t="s">
        <v>2002</v>
      </c>
      <c r="E165" s="1">
        <v>100096</v>
      </c>
      <c r="F165" s="6" t="s">
        <v>2167</v>
      </c>
      <c r="G165" s="15" t="str">
        <f>VLOOKUP(A165,Movie!A:D,4,FALSE)</f>
        <v>Paramount</v>
      </c>
      <c r="H165" s="14">
        <f>VLOOKUP(E165,'Rental Transaction'!A:B,2,FALSE)</f>
        <v>193968</v>
      </c>
      <c r="I165">
        <f t="shared" si="2"/>
        <v>2012</v>
      </c>
    </row>
    <row r="166" spans="1:9">
      <c r="A166" s="1">
        <v>10237</v>
      </c>
      <c r="B166" s="1">
        <v>3</v>
      </c>
      <c r="C166" s="2">
        <v>41221</v>
      </c>
      <c r="D166" s="1" t="s">
        <v>2002</v>
      </c>
      <c r="E166" s="1">
        <v>100096</v>
      </c>
      <c r="F166" s="6" t="s">
        <v>2168</v>
      </c>
      <c r="G166" s="15" t="str">
        <f>VLOOKUP(A166,Movie!A:D,4,FALSE)</f>
        <v>Warner Brothers</v>
      </c>
      <c r="H166" s="14">
        <f>VLOOKUP(E166,'Rental Transaction'!A:B,2,FALSE)</f>
        <v>193968</v>
      </c>
      <c r="I166">
        <f t="shared" si="2"/>
        <v>2012</v>
      </c>
    </row>
    <row r="167" spans="1:9" ht="29.25">
      <c r="A167" s="1">
        <v>10249</v>
      </c>
      <c r="B167" s="1">
        <v>1</v>
      </c>
      <c r="C167" s="2">
        <v>41220</v>
      </c>
      <c r="D167" s="1" t="s">
        <v>2002</v>
      </c>
      <c r="E167" s="1">
        <v>100097</v>
      </c>
      <c r="F167" s="6" t="s">
        <v>2169</v>
      </c>
      <c r="G167" s="15" t="str">
        <f>VLOOKUP(A167,Movie!A:D,4,FALSE)</f>
        <v>Summit Entertainment</v>
      </c>
      <c r="H167" s="14">
        <f>VLOOKUP(E167,'Rental Transaction'!A:B,2,FALSE)</f>
        <v>468100</v>
      </c>
      <c r="I167">
        <f t="shared" si="2"/>
        <v>2012</v>
      </c>
    </row>
    <row r="168" spans="1:9">
      <c r="A168" s="1">
        <v>10238</v>
      </c>
      <c r="B168" s="1">
        <v>4</v>
      </c>
      <c r="C168" s="2">
        <v>41221</v>
      </c>
      <c r="D168" s="1" t="s">
        <v>2002</v>
      </c>
      <c r="E168" s="1">
        <v>100097</v>
      </c>
      <c r="F168" s="6" t="s">
        <v>2170</v>
      </c>
      <c r="G168" s="15" t="str">
        <f>VLOOKUP(A168,Movie!A:D,4,FALSE)</f>
        <v>Warner Brothers</v>
      </c>
      <c r="H168" s="14">
        <f>VLOOKUP(E168,'Rental Transaction'!A:B,2,FALSE)</f>
        <v>468100</v>
      </c>
      <c r="I168">
        <f t="shared" si="2"/>
        <v>2012</v>
      </c>
    </row>
    <row r="169" spans="1:9">
      <c r="A169" s="1">
        <v>10090</v>
      </c>
      <c r="B169" s="1">
        <v>10</v>
      </c>
      <c r="C169" s="2">
        <v>41220</v>
      </c>
      <c r="D169" s="1" t="s">
        <v>2005</v>
      </c>
      <c r="E169" s="1">
        <v>100098</v>
      </c>
      <c r="F169" s="6" t="s">
        <v>2171</v>
      </c>
      <c r="G169" s="15" t="str">
        <f>VLOOKUP(A169,Movie!A:D,4,FALSE)</f>
        <v>Paramount</v>
      </c>
      <c r="H169" s="14">
        <f>VLOOKUP(E169,'Rental Transaction'!A:B,2,FALSE)</f>
        <v>132454</v>
      </c>
      <c r="I169">
        <f t="shared" si="2"/>
        <v>2012</v>
      </c>
    </row>
    <row r="170" spans="1:9">
      <c r="A170" s="1">
        <v>10142</v>
      </c>
      <c r="B170" s="1">
        <v>7</v>
      </c>
      <c r="C170" s="2">
        <v>41220</v>
      </c>
      <c r="D170" s="1" t="s">
        <v>2005</v>
      </c>
      <c r="E170" s="1">
        <v>100099</v>
      </c>
      <c r="F170" s="6" t="s">
        <v>2172</v>
      </c>
      <c r="G170" s="15" t="str">
        <f>VLOOKUP(A170,Movie!A:D,4,FALSE)</f>
        <v>Warner Brothers</v>
      </c>
      <c r="H170" s="14">
        <f>VLOOKUP(E170,'Rental Transaction'!A:B,2,FALSE)</f>
        <v>416523</v>
      </c>
      <c r="I170">
        <f t="shared" si="2"/>
        <v>2012</v>
      </c>
    </row>
    <row r="171" spans="1:9">
      <c r="A171" s="1">
        <v>10211</v>
      </c>
      <c r="B171" s="1">
        <v>2</v>
      </c>
      <c r="C171" s="2">
        <v>41221</v>
      </c>
      <c r="D171" s="1" t="s">
        <v>2002</v>
      </c>
      <c r="E171" s="1">
        <v>100100</v>
      </c>
      <c r="F171" s="6" t="s">
        <v>2173</v>
      </c>
      <c r="G171" s="15" t="str">
        <f>VLOOKUP(A171,Movie!A:D,4,FALSE)</f>
        <v>Buena Vista</v>
      </c>
      <c r="H171" s="14">
        <f>VLOOKUP(E171,'Rental Transaction'!A:B,2,FALSE)</f>
        <v>277373</v>
      </c>
      <c r="I171">
        <f t="shared" si="2"/>
        <v>2012</v>
      </c>
    </row>
    <row r="172" spans="1:9">
      <c r="A172" s="1">
        <v>10142</v>
      </c>
      <c r="B172" s="1">
        <v>2</v>
      </c>
      <c r="C172" s="2">
        <v>41222</v>
      </c>
      <c r="D172" s="1" t="s">
        <v>2005</v>
      </c>
      <c r="E172" s="1">
        <v>100100</v>
      </c>
      <c r="F172" s="6" t="s">
        <v>2174</v>
      </c>
      <c r="G172" s="15" t="str">
        <f>VLOOKUP(A172,Movie!A:D,4,FALSE)</f>
        <v>Warner Brothers</v>
      </c>
      <c r="H172" s="14">
        <f>VLOOKUP(E172,'Rental Transaction'!A:B,2,FALSE)</f>
        <v>277373</v>
      </c>
      <c r="I172">
        <f t="shared" si="2"/>
        <v>2012</v>
      </c>
    </row>
    <row r="173" spans="1:9">
      <c r="A173" s="1">
        <v>10037</v>
      </c>
      <c r="B173" s="1">
        <v>2</v>
      </c>
      <c r="C173" s="2">
        <v>41221</v>
      </c>
      <c r="D173" s="1" t="s">
        <v>2002</v>
      </c>
      <c r="E173" s="1">
        <v>100100</v>
      </c>
      <c r="F173" s="6" t="s">
        <v>2175</v>
      </c>
      <c r="G173" s="15" t="str">
        <f>VLOOKUP(A173,Movie!A:D,4,FALSE)</f>
        <v>Buena Vista</v>
      </c>
      <c r="H173" s="14">
        <f>VLOOKUP(E173,'Rental Transaction'!A:B,2,FALSE)</f>
        <v>277373</v>
      </c>
      <c r="I173">
        <f t="shared" si="2"/>
        <v>2012</v>
      </c>
    </row>
    <row r="174" spans="1:9">
      <c r="A174" s="1">
        <v>10108</v>
      </c>
      <c r="B174" s="1">
        <v>7</v>
      </c>
      <c r="C174" s="2">
        <v>41221</v>
      </c>
      <c r="D174" s="1" t="s">
        <v>2002</v>
      </c>
      <c r="E174" s="1">
        <v>100100</v>
      </c>
      <c r="F174" s="6" t="s">
        <v>2176</v>
      </c>
      <c r="G174" s="15" t="str">
        <f>VLOOKUP(A174,Movie!A:D,4,FALSE)</f>
        <v>Fox</v>
      </c>
      <c r="H174" s="14">
        <f>VLOOKUP(E174,'Rental Transaction'!A:B,2,FALSE)</f>
        <v>277373</v>
      </c>
      <c r="I174">
        <f t="shared" si="2"/>
        <v>2012</v>
      </c>
    </row>
    <row r="175" spans="1:9">
      <c r="A175" s="1">
        <v>10203</v>
      </c>
      <c r="B175" s="1">
        <v>5</v>
      </c>
      <c r="C175" s="2">
        <v>41221</v>
      </c>
      <c r="D175" s="1" t="s">
        <v>2005</v>
      </c>
      <c r="E175" s="1">
        <v>100101</v>
      </c>
      <c r="F175" s="6" t="s">
        <v>2177</v>
      </c>
      <c r="G175" s="15" t="str">
        <f>VLOOKUP(A175,Movie!A:D,4,FALSE)</f>
        <v>Buena Vista</v>
      </c>
      <c r="H175" s="14">
        <f>VLOOKUP(E175,'Rental Transaction'!A:B,2,FALSE)</f>
        <v>789500</v>
      </c>
      <c r="I175">
        <f t="shared" si="2"/>
        <v>2012</v>
      </c>
    </row>
    <row r="176" spans="1:9">
      <c r="A176" s="1">
        <v>10024</v>
      </c>
      <c r="B176" s="1">
        <v>2</v>
      </c>
      <c r="C176" s="2">
        <v>41221</v>
      </c>
      <c r="D176" s="1" t="s">
        <v>2005</v>
      </c>
      <c r="E176" s="1">
        <v>100101</v>
      </c>
      <c r="F176" s="6" t="s">
        <v>2178</v>
      </c>
      <c r="G176" s="15" t="str">
        <f>VLOOKUP(A176,Movie!A:D,4,FALSE)</f>
        <v>Fox</v>
      </c>
      <c r="H176" s="14">
        <f>VLOOKUP(E176,'Rental Transaction'!A:B,2,FALSE)</f>
        <v>789500</v>
      </c>
      <c r="I176">
        <f t="shared" si="2"/>
        <v>2012</v>
      </c>
    </row>
    <row r="177" spans="1:9">
      <c r="A177" s="1">
        <v>10016</v>
      </c>
      <c r="B177" s="1">
        <v>3</v>
      </c>
      <c r="C177" s="2">
        <v>41221</v>
      </c>
      <c r="D177" s="1" t="s">
        <v>2002</v>
      </c>
      <c r="E177" s="1">
        <v>100102</v>
      </c>
      <c r="F177" s="6" t="s">
        <v>2179</v>
      </c>
      <c r="G177" s="15" t="str">
        <f>VLOOKUP(A177,Movie!A:D,4,FALSE)</f>
        <v>Universal</v>
      </c>
      <c r="H177" s="14">
        <f>VLOOKUP(E177,'Rental Transaction'!A:B,2,FALSE)</f>
        <v>736500</v>
      </c>
      <c r="I177">
        <f t="shared" si="2"/>
        <v>2012</v>
      </c>
    </row>
    <row r="178" spans="1:9">
      <c r="A178" s="1">
        <v>10111</v>
      </c>
      <c r="B178" s="1">
        <v>10</v>
      </c>
      <c r="C178" s="2">
        <v>41222</v>
      </c>
      <c r="D178" s="1" t="s">
        <v>2005</v>
      </c>
      <c r="E178" s="1">
        <v>100102</v>
      </c>
      <c r="F178" s="6" t="s">
        <v>2180</v>
      </c>
      <c r="G178" s="15" t="str">
        <f>VLOOKUP(A178,Movie!A:D,4,FALSE)</f>
        <v>Fox</v>
      </c>
      <c r="H178" s="14">
        <f>VLOOKUP(E178,'Rental Transaction'!A:B,2,FALSE)</f>
        <v>736500</v>
      </c>
      <c r="I178">
        <f t="shared" si="2"/>
        <v>2012</v>
      </c>
    </row>
    <row r="179" spans="1:9">
      <c r="A179" s="1">
        <v>10116</v>
      </c>
      <c r="B179" s="1">
        <v>1</v>
      </c>
      <c r="C179" s="2">
        <v>41221</v>
      </c>
      <c r="D179" s="1" t="s">
        <v>2005</v>
      </c>
      <c r="E179" s="1">
        <v>100103</v>
      </c>
      <c r="F179" s="6" t="s">
        <v>2181</v>
      </c>
      <c r="G179" s="15" t="str">
        <f>VLOOKUP(A179,Movie!A:D,4,FALSE)</f>
        <v>Universal</v>
      </c>
      <c r="H179" s="14">
        <f>VLOOKUP(E179,'Rental Transaction'!A:B,2,FALSE)</f>
        <v>465275</v>
      </c>
      <c r="I179">
        <f t="shared" si="2"/>
        <v>2012</v>
      </c>
    </row>
    <row r="180" spans="1:9">
      <c r="A180" s="1">
        <v>10234</v>
      </c>
      <c r="B180" s="1">
        <v>4</v>
      </c>
      <c r="C180" s="2">
        <v>41223</v>
      </c>
      <c r="D180" s="1" t="s">
        <v>2002</v>
      </c>
      <c r="E180" s="1">
        <v>100104</v>
      </c>
      <c r="F180" s="6" t="s">
        <v>2182</v>
      </c>
      <c r="G180" s="15" t="str">
        <f>VLOOKUP(A180,Movie!A:D,4,FALSE)</f>
        <v>Warner Brothers</v>
      </c>
      <c r="H180" s="14">
        <f>VLOOKUP(E180,'Rental Transaction'!A:B,2,FALSE)</f>
        <v>214537</v>
      </c>
      <c r="I180">
        <f t="shared" si="2"/>
        <v>2012</v>
      </c>
    </row>
    <row r="181" spans="1:9">
      <c r="A181" s="1">
        <v>10134</v>
      </c>
      <c r="B181" s="1">
        <v>3</v>
      </c>
      <c r="C181" s="2">
        <v>41223</v>
      </c>
      <c r="D181" s="1" t="s">
        <v>2002</v>
      </c>
      <c r="E181" s="1">
        <v>100105</v>
      </c>
      <c r="F181" s="6" t="s">
        <v>2183</v>
      </c>
      <c r="G181" s="15" t="str">
        <f>VLOOKUP(A181,Movie!A:D,4,FALSE)</f>
        <v>Universal</v>
      </c>
      <c r="H181" s="14">
        <f>VLOOKUP(E181,'Rental Transaction'!A:B,2,FALSE)</f>
        <v>814512</v>
      </c>
      <c r="I181">
        <f t="shared" si="2"/>
        <v>2012</v>
      </c>
    </row>
    <row r="182" spans="1:9">
      <c r="A182" s="1">
        <v>10137</v>
      </c>
      <c r="B182" s="1">
        <v>7</v>
      </c>
      <c r="C182" s="2">
        <v>41224</v>
      </c>
      <c r="D182" s="1" t="s">
        <v>2005</v>
      </c>
      <c r="E182" s="1">
        <v>100105</v>
      </c>
      <c r="F182" s="6" t="s">
        <v>2184</v>
      </c>
      <c r="G182" s="15" t="str">
        <f>VLOOKUP(A182,Movie!A:D,4,FALSE)</f>
        <v>Buena Vista</v>
      </c>
      <c r="H182" s="14">
        <f>VLOOKUP(E182,'Rental Transaction'!A:B,2,FALSE)</f>
        <v>814512</v>
      </c>
      <c r="I182">
        <f t="shared" si="2"/>
        <v>2012</v>
      </c>
    </row>
    <row r="183" spans="1:9">
      <c r="A183" s="1">
        <v>10161</v>
      </c>
      <c r="B183" s="1">
        <v>7</v>
      </c>
      <c r="C183" s="2">
        <v>41223</v>
      </c>
      <c r="D183" s="1" t="s">
        <v>2002</v>
      </c>
      <c r="E183" s="1">
        <v>100105</v>
      </c>
      <c r="F183" s="6" t="s">
        <v>2185</v>
      </c>
      <c r="G183" s="15" t="str">
        <f>VLOOKUP(A183,Movie!A:D,4,FALSE)</f>
        <v>TriStar</v>
      </c>
      <c r="H183" s="14">
        <f>VLOOKUP(E183,'Rental Transaction'!A:B,2,FALSE)</f>
        <v>814512</v>
      </c>
      <c r="I183">
        <f t="shared" si="2"/>
        <v>2012</v>
      </c>
    </row>
    <row r="184" spans="1:9">
      <c r="A184" s="1">
        <v>10018</v>
      </c>
      <c r="B184" s="1">
        <v>10</v>
      </c>
      <c r="C184" s="2">
        <v>41223</v>
      </c>
      <c r="D184" s="1" t="s">
        <v>2005</v>
      </c>
      <c r="E184" s="1">
        <v>100105</v>
      </c>
      <c r="F184" s="6" t="s">
        <v>2186</v>
      </c>
      <c r="G184" s="15" t="str">
        <f>VLOOKUP(A184,Movie!A:D,4,FALSE)</f>
        <v>Fox</v>
      </c>
      <c r="H184" s="14">
        <f>VLOOKUP(E184,'Rental Transaction'!A:B,2,FALSE)</f>
        <v>814512</v>
      </c>
      <c r="I184">
        <f t="shared" si="2"/>
        <v>2012</v>
      </c>
    </row>
    <row r="185" spans="1:9">
      <c r="A185" s="1">
        <v>10004</v>
      </c>
      <c r="B185" s="1">
        <v>1</v>
      </c>
      <c r="C185" s="2">
        <v>41224</v>
      </c>
      <c r="D185" s="1" t="s">
        <v>2002</v>
      </c>
      <c r="E185" s="1">
        <v>100106</v>
      </c>
      <c r="F185" s="6" t="s">
        <v>2187</v>
      </c>
      <c r="G185" s="15" t="str">
        <f>VLOOKUP(A185,Movie!A:D,4,FALSE)</f>
        <v>Paramount</v>
      </c>
      <c r="H185" s="14">
        <f>VLOOKUP(E185,'Rental Transaction'!A:B,2,FALSE)</f>
        <v>166135</v>
      </c>
      <c r="I185">
        <f t="shared" si="2"/>
        <v>2012</v>
      </c>
    </row>
    <row r="186" spans="1:9">
      <c r="A186" s="1">
        <v>10181</v>
      </c>
      <c r="B186" s="1">
        <v>8</v>
      </c>
      <c r="C186" s="2">
        <v>41224</v>
      </c>
      <c r="D186" s="1" t="s">
        <v>2002</v>
      </c>
      <c r="E186" s="1">
        <v>100106</v>
      </c>
      <c r="F186" s="6" t="s">
        <v>2188</v>
      </c>
      <c r="G186" s="15" t="str">
        <f>VLOOKUP(A186,Movie!A:D,4,FALSE)</f>
        <v>Fox</v>
      </c>
      <c r="H186" s="14">
        <f>VLOOKUP(E186,'Rental Transaction'!A:B,2,FALSE)</f>
        <v>166135</v>
      </c>
      <c r="I186">
        <f t="shared" si="2"/>
        <v>2012</v>
      </c>
    </row>
    <row r="187" spans="1:9">
      <c r="A187" s="1">
        <v>10029</v>
      </c>
      <c r="B187" s="1">
        <v>8</v>
      </c>
      <c r="C187" s="2">
        <v>41225</v>
      </c>
      <c r="D187" s="1" t="s">
        <v>2002</v>
      </c>
      <c r="E187" s="1">
        <v>100107</v>
      </c>
      <c r="F187" s="6" t="s">
        <v>2189</v>
      </c>
      <c r="G187" s="15" t="str">
        <f>VLOOKUP(A187,Movie!A:D,4,FALSE)</f>
        <v>Relativity</v>
      </c>
      <c r="H187" s="14">
        <f>VLOOKUP(E187,'Rental Transaction'!A:B,2,FALSE)</f>
        <v>739669</v>
      </c>
      <c r="I187">
        <f t="shared" si="2"/>
        <v>2012</v>
      </c>
    </row>
    <row r="188" spans="1:9">
      <c r="A188" s="1">
        <v>10118</v>
      </c>
      <c r="B188" s="1">
        <v>3</v>
      </c>
      <c r="C188" s="2">
        <v>41226</v>
      </c>
      <c r="D188" s="1" t="s">
        <v>2005</v>
      </c>
      <c r="E188" s="1">
        <v>100107</v>
      </c>
      <c r="F188" s="6" t="s">
        <v>2190</v>
      </c>
      <c r="G188" s="15" t="str">
        <f>VLOOKUP(A188,Movie!A:D,4,FALSE)</f>
        <v>Buena Vista</v>
      </c>
      <c r="H188" s="14">
        <f>VLOOKUP(E188,'Rental Transaction'!A:B,2,FALSE)</f>
        <v>739669</v>
      </c>
      <c r="I188">
        <f t="shared" si="2"/>
        <v>2012</v>
      </c>
    </row>
    <row r="189" spans="1:9">
      <c r="A189" s="1">
        <v>10100</v>
      </c>
      <c r="B189" s="1">
        <v>7</v>
      </c>
      <c r="C189" s="2">
        <v>41225</v>
      </c>
      <c r="D189" s="1" t="s">
        <v>2005</v>
      </c>
      <c r="E189" s="1">
        <v>100107</v>
      </c>
      <c r="F189" s="6" t="s">
        <v>2191</v>
      </c>
      <c r="G189" s="15" t="str">
        <f>VLOOKUP(A189,Movie!A:D,4,FALSE)</f>
        <v>Fox</v>
      </c>
      <c r="H189" s="14">
        <f>VLOOKUP(E189,'Rental Transaction'!A:B,2,FALSE)</f>
        <v>739669</v>
      </c>
      <c r="I189">
        <f t="shared" si="2"/>
        <v>2012</v>
      </c>
    </row>
    <row r="190" spans="1:9">
      <c r="A190" s="1">
        <v>10020</v>
      </c>
      <c r="B190" s="1">
        <v>6</v>
      </c>
      <c r="C190" s="2">
        <v>41225</v>
      </c>
      <c r="D190" s="1" t="s">
        <v>2005</v>
      </c>
      <c r="E190" s="1">
        <v>100108</v>
      </c>
      <c r="F190" s="6" t="s">
        <v>2192</v>
      </c>
      <c r="G190" s="15" t="str">
        <f>VLOOKUP(A190,Movie!A:D,4,FALSE)</f>
        <v>FilmDistrict</v>
      </c>
      <c r="H190" s="14">
        <f>VLOOKUP(E190,'Rental Transaction'!A:B,2,FALSE)</f>
        <v>696852</v>
      </c>
      <c r="I190">
        <f t="shared" si="2"/>
        <v>2012</v>
      </c>
    </row>
    <row r="191" spans="1:9">
      <c r="A191" s="1">
        <v>10247</v>
      </c>
      <c r="B191" s="1">
        <v>10</v>
      </c>
      <c r="C191" s="2">
        <v>41228</v>
      </c>
      <c r="D191" s="1" t="s">
        <v>2002</v>
      </c>
      <c r="E191" s="1">
        <v>100109</v>
      </c>
      <c r="F191" s="6" t="s">
        <v>2193</v>
      </c>
      <c r="G191" s="15" t="str">
        <f>VLOOKUP(A191,Movie!A:D,4,FALSE)</f>
        <v>Fox</v>
      </c>
      <c r="H191" s="14">
        <f>VLOOKUP(E191,'Rental Transaction'!A:B,2,FALSE)</f>
        <v>567388</v>
      </c>
      <c r="I191">
        <f t="shared" si="2"/>
        <v>2012</v>
      </c>
    </row>
    <row r="192" spans="1:9">
      <c r="A192" s="1">
        <v>10068</v>
      </c>
      <c r="B192" s="1">
        <v>9</v>
      </c>
      <c r="C192" s="2">
        <v>41227</v>
      </c>
      <c r="D192" s="1" t="s">
        <v>2005</v>
      </c>
      <c r="E192" s="1">
        <v>100109</v>
      </c>
      <c r="F192" s="6" t="s">
        <v>2194</v>
      </c>
      <c r="G192" s="15" t="str">
        <f>VLOOKUP(A192,Movie!A:D,4,FALSE)</f>
        <v>Warner Brothers</v>
      </c>
      <c r="H192" s="14">
        <f>VLOOKUP(E192,'Rental Transaction'!A:B,2,FALSE)</f>
        <v>567388</v>
      </c>
      <c r="I192">
        <f t="shared" si="2"/>
        <v>2012</v>
      </c>
    </row>
    <row r="193" spans="1:9">
      <c r="A193" s="1">
        <v>10162</v>
      </c>
      <c r="B193" s="1">
        <v>5</v>
      </c>
      <c r="C193" s="2">
        <v>41231</v>
      </c>
      <c r="D193" s="1" t="s">
        <v>2005</v>
      </c>
      <c r="E193" s="1">
        <v>100110</v>
      </c>
      <c r="F193" s="6" t="s">
        <v>2195</v>
      </c>
      <c r="G193" s="15" t="str">
        <f>VLOOKUP(A193,Movie!A:D,4,FALSE)</f>
        <v>Sony</v>
      </c>
      <c r="H193" s="14">
        <f>VLOOKUP(E193,'Rental Transaction'!A:B,2,FALSE)</f>
        <v>122818</v>
      </c>
      <c r="I193">
        <f t="shared" si="2"/>
        <v>2012</v>
      </c>
    </row>
    <row r="194" spans="1:9">
      <c r="A194" s="1">
        <v>10194</v>
      </c>
      <c r="B194" s="1">
        <v>4</v>
      </c>
      <c r="C194" s="2">
        <v>41230</v>
      </c>
      <c r="D194" s="1" t="s">
        <v>2002</v>
      </c>
      <c r="E194" s="1">
        <v>100111</v>
      </c>
      <c r="F194" s="6" t="s">
        <v>2196</v>
      </c>
      <c r="G194" s="15" t="str">
        <f>VLOOKUP(A194,Movie!A:D,4,FALSE)</f>
        <v>FilmDistrict</v>
      </c>
      <c r="H194" s="14">
        <f>VLOOKUP(E194,'Rental Transaction'!A:B,2,FALSE)</f>
        <v>227372</v>
      </c>
      <c r="I194">
        <f t="shared" si="2"/>
        <v>2012</v>
      </c>
    </row>
    <row r="195" spans="1:9">
      <c r="A195" s="1">
        <v>10221</v>
      </c>
      <c r="B195" s="1">
        <v>2</v>
      </c>
      <c r="C195" s="2">
        <v>41232</v>
      </c>
      <c r="D195" s="1" t="s">
        <v>2005</v>
      </c>
      <c r="E195" s="1">
        <v>100112</v>
      </c>
      <c r="F195" s="6" t="s">
        <v>2197</v>
      </c>
      <c r="G195" s="15" t="str">
        <f>VLOOKUP(A195,Movie!A:D,4,FALSE)</f>
        <v>Fox</v>
      </c>
      <c r="H195" s="14">
        <f>VLOOKUP(E195,'Rental Transaction'!A:B,2,FALSE)</f>
        <v>464984</v>
      </c>
      <c r="I195">
        <f t="shared" ref="I195:I258" si="3">YEAR(C195)</f>
        <v>2012</v>
      </c>
    </row>
    <row r="196" spans="1:9">
      <c r="A196" s="1">
        <v>10011</v>
      </c>
      <c r="B196" s="1">
        <v>7</v>
      </c>
      <c r="C196" s="2">
        <v>41234</v>
      </c>
      <c r="D196" s="1" t="s">
        <v>2002</v>
      </c>
      <c r="E196" s="1">
        <v>100113</v>
      </c>
      <c r="F196" s="6" t="s">
        <v>2198</v>
      </c>
      <c r="G196" s="15" t="str">
        <f>VLOOKUP(A196,Movie!A:D,4,FALSE)</f>
        <v>Buena Vista</v>
      </c>
      <c r="H196" s="14">
        <f>VLOOKUP(E196,'Rental Transaction'!A:B,2,FALSE)</f>
        <v>422951</v>
      </c>
      <c r="I196">
        <f t="shared" si="3"/>
        <v>2012</v>
      </c>
    </row>
    <row r="197" spans="1:9">
      <c r="A197" s="1">
        <v>10076</v>
      </c>
      <c r="B197" s="1">
        <v>5</v>
      </c>
      <c r="C197" s="2">
        <v>41233</v>
      </c>
      <c r="D197" s="1" t="s">
        <v>2005</v>
      </c>
      <c r="E197" s="1">
        <v>100113</v>
      </c>
      <c r="F197" s="6" t="s">
        <v>2199</v>
      </c>
      <c r="G197" s="15" t="str">
        <f>VLOOKUP(A197,Movie!A:D,4,FALSE)</f>
        <v>Sony</v>
      </c>
      <c r="H197" s="14">
        <f>VLOOKUP(E197,'Rental Transaction'!A:B,2,FALSE)</f>
        <v>422951</v>
      </c>
      <c r="I197">
        <f t="shared" si="3"/>
        <v>2012</v>
      </c>
    </row>
    <row r="198" spans="1:9">
      <c r="A198" s="1">
        <v>10000</v>
      </c>
      <c r="B198" s="1">
        <v>1</v>
      </c>
      <c r="C198" s="2">
        <v>41233</v>
      </c>
      <c r="D198" s="1" t="s">
        <v>2005</v>
      </c>
      <c r="E198" s="1">
        <v>100114</v>
      </c>
      <c r="F198" s="6" t="s">
        <v>2200</v>
      </c>
      <c r="G198" s="15" t="str">
        <f>VLOOKUP(A198,Movie!A:D,4,FALSE)</f>
        <v>TriStar</v>
      </c>
      <c r="H198" s="14">
        <f>VLOOKUP(E198,'Rental Transaction'!A:B,2,FALSE)</f>
        <v>701816</v>
      </c>
      <c r="I198">
        <f t="shared" si="3"/>
        <v>2012</v>
      </c>
    </row>
    <row r="199" spans="1:9">
      <c r="A199" s="1">
        <v>10181</v>
      </c>
      <c r="B199" s="1">
        <v>6</v>
      </c>
      <c r="C199" s="2">
        <v>41234</v>
      </c>
      <c r="D199" s="1" t="s">
        <v>2002</v>
      </c>
      <c r="E199" s="1">
        <v>100114</v>
      </c>
      <c r="F199" s="6" t="s">
        <v>2201</v>
      </c>
      <c r="G199" s="15" t="str">
        <f>VLOOKUP(A199,Movie!A:D,4,FALSE)</f>
        <v>Fox</v>
      </c>
      <c r="H199" s="14">
        <f>VLOOKUP(E199,'Rental Transaction'!A:B,2,FALSE)</f>
        <v>701816</v>
      </c>
      <c r="I199">
        <f t="shared" si="3"/>
        <v>2012</v>
      </c>
    </row>
    <row r="200" spans="1:9">
      <c r="A200" s="1">
        <v>10096</v>
      </c>
      <c r="B200" s="1">
        <v>1</v>
      </c>
      <c r="C200" s="2">
        <v>41233</v>
      </c>
      <c r="D200" s="1" t="s">
        <v>2005</v>
      </c>
      <c r="E200" s="1">
        <v>100114</v>
      </c>
      <c r="F200" s="6" t="s">
        <v>2202</v>
      </c>
      <c r="G200" s="15" t="str">
        <f>VLOOKUP(A200,Movie!A:D,4,FALSE)</f>
        <v>Universal</v>
      </c>
      <c r="H200" s="14">
        <f>VLOOKUP(E200,'Rental Transaction'!A:B,2,FALSE)</f>
        <v>701816</v>
      </c>
      <c r="I200">
        <f t="shared" si="3"/>
        <v>2012</v>
      </c>
    </row>
    <row r="201" spans="1:9">
      <c r="A201" s="1">
        <v>10234</v>
      </c>
      <c r="B201" s="1">
        <v>4</v>
      </c>
      <c r="C201" s="2">
        <v>41234</v>
      </c>
      <c r="D201" s="1" t="s">
        <v>2005</v>
      </c>
      <c r="E201" s="1">
        <v>100115</v>
      </c>
      <c r="F201" s="6" t="s">
        <v>2203</v>
      </c>
      <c r="G201" s="15" t="str">
        <f>VLOOKUP(A201,Movie!A:D,4,FALSE)</f>
        <v>Warner Brothers</v>
      </c>
      <c r="H201" s="14">
        <f>VLOOKUP(E201,'Rental Transaction'!A:B,2,FALSE)</f>
        <v>336644</v>
      </c>
      <c r="I201">
        <f t="shared" si="3"/>
        <v>2012</v>
      </c>
    </row>
    <row r="202" spans="1:9">
      <c r="A202" s="1">
        <v>10021</v>
      </c>
      <c r="B202" s="1">
        <v>7</v>
      </c>
      <c r="C202" s="2">
        <v>41234</v>
      </c>
      <c r="D202" s="1" t="s">
        <v>2002</v>
      </c>
      <c r="E202" s="1">
        <v>100116</v>
      </c>
      <c r="F202" s="6" t="s">
        <v>2204</v>
      </c>
      <c r="G202" s="15" t="str">
        <f>VLOOKUP(A202,Movie!A:D,4,FALSE)</f>
        <v>Paramount</v>
      </c>
      <c r="H202" s="14">
        <f>VLOOKUP(E202,'Rental Transaction'!A:B,2,FALSE)</f>
        <v>951701</v>
      </c>
      <c r="I202">
        <f t="shared" si="3"/>
        <v>2012</v>
      </c>
    </row>
    <row r="203" spans="1:9">
      <c r="A203" s="1">
        <v>10166</v>
      </c>
      <c r="B203" s="1">
        <v>2</v>
      </c>
      <c r="C203" s="2">
        <v>41236</v>
      </c>
      <c r="D203" s="1" t="s">
        <v>2005</v>
      </c>
      <c r="E203" s="1">
        <v>100117</v>
      </c>
      <c r="F203" s="6" t="s">
        <v>2205</v>
      </c>
      <c r="G203" s="15" t="str">
        <f>VLOOKUP(A203,Movie!A:D,4,FALSE)</f>
        <v>Fox</v>
      </c>
      <c r="H203" s="14">
        <f>VLOOKUP(E203,'Rental Transaction'!A:B,2,FALSE)</f>
        <v>286196</v>
      </c>
      <c r="I203">
        <f t="shared" si="3"/>
        <v>2012</v>
      </c>
    </row>
    <row r="204" spans="1:9">
      <c r="A204" s="1">
        <v>10045</v>
      </c>
      <c r="B204" s="1">
        <v>5</v>
      </c>
      <c r="C204" s="2">
        <v>41235</v>
      </c>
      <c r="D204" s="1" t="s">
        <v>2005</v>
      </c>
      <c r="E204" s="1">
        <v>100118</v>
      </c>
      <c r="F204" s="6" t="s">
        <v>2206</v>
      </c>
      <c r="G204" s="15" t="str">
        <f>VLOOKUP(A204,Movie!A:D,4,FALSE)</f>
        <v>Warner Brothers</v>
      </c>
      <c r="H204" s="14">
        <f>VLOOKUP(E204,'Rental Transaction'!A:B,2,FALSE)</f>
        <v>122818</v>
      </c>
      <c r="I204">
        <f t="shared" si="3"/>
        <v>2012</v>
      </c>
    </row>
    <row r="205" spans="1:9">
      <c r="A205" s="1">
        <v>10100</v>
      </c>
      <c r="B205" s="1">
        <v>6</v>
      </c>
      <c r="C205" s="2">
        <v>41234</v>
      </c>
      <c r="D205" s="1" t="s">
        <v>2005</v>
      </c>
      <c r="E205" s="1">
        <v>100118</v>
      </c>
      <c r="F205" s="6" t="s">
        <v>2207</v>
      </c>
      <c r="G205" s="15" t="str">
        <f>VLOOKUP(A205,Movie!A:D,4,FALSE)</f>
        <v>Fox</v>
      </c>
      <c r="H205" s="14">
        <f>VLOOKUP(E205,'Rental Transaction'!A:B,2,FALSE)</f>
        <v>122818</v>
      </c>
      <c r="I205">
        <f t="shared" si="3"/>
        <v>2012</v>
      </c>
    </row>
    <row r="206" spans="1:9">
      <c r="A206" s="1">
        <v>10230</v>
      </c>
      <c r="B206" s="1">
        <v>3</v>
      </c>
      <c r="C206" s="2">
        <v>41234</v>
      </c>
      <c r="D206" s="1" t="s">
        <v>2002</v>
      </c>
      <c r="E206" s="1">
        <v>100119</v>
      </c>
      <c r="F206" s="6" t="s">
        <v>2208</v>
      </c>
      <c r="G206" s="15" t="str">
        <f>VLOOKUP(A206,Movie!A:D,4,FALSE)</f>
        <v>Focus</v>
      </c>
      <c r="H206" s="14">
        <f>VLOOKUP(E206,'Rental Transaction'!A:B,2,FALSE)</f>
        <v>992956</v>
      </c>
      <c r="I206">
        <f t="shared" si="3"/>
        <v>2012</v>
      </c>
    </row>
    <row r="207" spans="1:9">
      <c r="A207" s="1">
        <v>10066</v>
      </c>
      <c r="B207" s="1">
        <v>2</v>
      </c>
      <c r="C207" s="2">
        <v>41235</v>
      </c>
      <c r="D207" s="1" t="s">
        <v>2005</v>
      </c>
      <c r="E207" s="1">
        <v>100119</v>
      </c>
      <c r="F207" s="6" t="s">
        <v>2209</v>
      </c>
      <c r="G207" s="15" t="str">
        <f>VLOOKUP(A207,Movie!A:D,4,FALSE)</f>
        <v>Buena Vista</v>
      </c>
      <c r="H207" s="14">
        <f>VLOOKUP(E207,'Rental Transaction'!A:B,2,FALSE)</f>
        <v>992956</v>
      </c>
      <c r="I207">
        <f t="shared" si="3"/>
        <v>2012</v>
      </c>
    </row>
    <row r="208" spans="1:9">
      <c r="A208" s="1">
        <v>10171</v>
      </c>
      <c r="B208" s="1">
        <v>1</v>
      </c>
      <c r="C208" s="2">
        <v>41237</v>
      </c>
      <c r="D208" s="1" t="s">
        <v>2002</v>
      </c>
      <c r="E208" s="1">
        <v>100120</v>
      </c>
      <c r="F208" s="6" t="s">
        <v>2210</v>
      </c>
      <c r="G208" s="15" t="str">
        <f>VLOOKUP(A208,Movie!A:D,4,FALSE)</f>
        <v>Universal</v>
      </c>
      <c r="H208" s="14">
        <f>VLOOKUP(E208,'Rental Transaction'!A:B,2,FALSE)</f>
        <v>656728</v>
      </c>
      <c r="I208">
        <f t="shared" si="3"/>
        <v>2012</v>
      </c>
    </row>
    <row r="209" spans="1:9">
      <c r="A209" s="1">
        <v>10228</v>
      </c>
      <c r="B209" s="1">
        <v>1</v>
      </c>
      <c r="C209" s="2">
        <v>41235</v>
      </c>
      <c r="D209" s="1" t="s">
        <v>2002</v>
      </c>
      <c r="E209" s="1">
        <v>100120</v>
      </c>
      <c r="F209" s="6" t="s">
        <v>2211</v>
      </c>
      <c r="G209" s="15" t="str">
        <f>VLOOKUP(A209,Movie!A:D,4,FALSE)</f>
        <v>Universal</v>
      </c>
      <c r="H209" s="14">
        <f>VLOOKUP(E209,'Rental Transaction'!A:B,2,FALSE)</f>
        <v>656728</v>
      </c>
      <c r="I209">
        <f t="shared" si="3"/>
        <v>2012</v>
      </c>
    </row>
    <row r="210" spans="1:9">
      <c r="A210" s="1">
        <v>10208</v>
      </c>
      <c r="B210" s="1">
        <v>8</v>
      </c>
      <c r="C210" s="2">
        <v>41236</v>
      </c>
      <c r="D210" s="1" t="s">
        <v>2002</v>
      </c>
      <c r="E210" s="1">
        <v>100120</v>
      </c>
      <c r="F210" s="6" t="s">
        <v>2212</v>
      </c>
      <c r="G210" s="15" t="str">
        <f>VLOOKUP(A210,Movie!A:D,4,FALSE)</f>
        <v>Warner Brothers</v>
      </c>
      <c r="H210" s="14">
        <f>VLOOKUP(E210,'Rental Transaction'!A:B,2,FALSE)</f>
        <v>656728</v>
      </c>
      <c r="I210">
        <f t="shared" si="3"/>
        <v>2012</v>
      </c>
    </row>
    <row r="211" spans="1:9">
      <c r="A211" s="1">
        <v>10086</v>
      </c>
      <c r="B211" s="1">
        <v>6</v>
      </c>
      <c r="C211" s="2">
        <v>41237</v>
      </c>
      <c r="D211" s="1" t="s">
        <v>2005</v>
      </c>
      <c r="E211" s="1">
        <v>100121</v>
      </c>
      <c r="F211" s="6" t="s">
        <v>2213</v>
      </c>
      <c r="G211" s="15" t="str">
        <f>VLOOKUP(A211,Movie!A:D,4,FALSE)</f>
        <v>Buena Vista</v>
      </c>
      <c r="H211" s="14">
        <f>VLOOKUP(E211,'Rental Transaction'!A:B,2,FALSE)</f>
        <v>189953</v>
      </c>
      <c r="I211">
        <f t="shared" si="3"/>
        <v>2012</v>
      </c>
    </row>
    <row r="212" spans="1:9">
      <c r="A212" s="1">
        <v>10067</v>
      </c>
      <c r="B212" s="1">
        <v>6</v>
      </c>
      <c r="C212" s="2">
        <v>41237</v>
      </c>
      <c r="D212" s="1" t="s">
        <v>2002</v>
      </c>
      <c r="E212" s="1">
        <v>100121</v>
      </c>
      <c r="F212" s="6" t="s">
        <v>2214</v>
      </c>
      <c r="G212" s="15" t="str">
        <f>VLOOKUP(A212,Movie!A:D,4,FALSE)</f>
        <v>Paramount</v>
      </c>
      <c r="H212" s="14">
        <f>VLOOKUP(E212,'Rental Transaction'!A:B,2,FALSE)</f>
        <v>189953</v>
      </c>
      <c r="I212">
        <f t="shared" si="3"/>
        <v>2012</v>
      </c>
    </row>
    <row r="213" spans="1:9">
      <c r="A213" s="1">
        <v>10025</v>
      </c>
      <c r="B213" s="1">
        <v>9</v>
      </c>
      <c r="C213" s="2">
        <v>41238</v>
      </c>
      <c r="D213" s="1" t="s">
        <v>2005</v>
      </c>
      <c r="E213" s="1">
        <v>100122</v>
      </c>
      <c r="F213" s="6" t="s">
        <v>2215</v>
      </c>
      <c r="G213" s="15" t="str">
        <f>VLOOKUP(A213,Movie!A:D,4,FALSE)</f>
        <v>Sony</v>
      </c>
      <c r="H213" s="14">
        <f>VLOOKUP(E213,'Rental Transaction'!A:B,2,FALSE)</f>
        <v>422592</v>
      </c>
      <c r="I213">
        <f t="shared" si="3"/>
        <v>2012</v>
      </c>
    </row>
    <row r="214" spans="1:9">
      <c r="A214" s="1">
        <v>10213</v>
      </c>
      <c r="B214" s="1">
        <v>1</v>
      </c>
      <c r="C214" s="2">
        <v>41238</v>
      </c>
      <c r="D214" s="1" t="s">
        <v>2005</v>
      </c>
      <c r="E214" s="1">
        <v>100123</v>
      </c>
      <c r="F214" s="6" t="s">
        <v>2216</v>
      </c>
      <c r="G214" s="15" t="str">
        <f>VLOOKUP(A214,Movie!A:D,4,FALSE)</f>
        <v>Sony</v>
      </c>
      <c r="H214" s="14">
        <f>VLOOKUP(E214,'Rental Transaction'!A:B,2,FALSE)</f>
        <v>961080</v>
      </c>
      <c r="I214">
        <f t="shared" si="3"/>
        <v>2012</v>
      </c>
    </row>
    <row r="215" spans="1:9">
      <c r="A215" s="1">
        <v>10218</v>
      </c>
      <c r="B215" s="1">
        <v>4</v>
      </c>
      <c r="C215" s="2">
        <v>41239</v>
      </c>
      <c r="D215" s="1" t="s">
        <v>2002</v>
      </c>
      <c r="E215" s="1">
        <v>100123</v>
      </c>
      <c r="F215" s="6" t="s">
        <v>2217</v>
      </c>
      <c r="G215" s="15" t="str">
        <f>VLOOKUP(A215,Movie!A:D,4,FALSE)</f>
        <v>Sony</v>
      </c>
      <c r="H215" s="14">
        <f>VLOOKUP(E215,'Rental Transaction'!A:B,2,FALSE)</f>
        <v>961080</v>
      </c>
      <c r="I215">
        <f t="shared" si="3"/>
        <v>2012</v>
      </c>
    </row>
    <row r="216" spans="1:9">
      <c r="A216" s="1">
        <v>10065</v>
      </c>
      <c r="B216" s="1">
        <v>3</v>
      </c>
      <c r="C216" s="2">
        <v>41240</v>
      </c>
      <c r="D216" s="1" t="s">
        <v>2002</v>
      </c>
      <c r="E216" s="1">
        <v>100124</v>
      </c>
      <c r="F216" s="6" t="s">
        <v>2218</v>
      </c>
      <c r="G216" s="15" t="str">
        <f>VLOOKUP(A216,Movie!A:D,4,FALSE)</f>
        <v>Warner Brothers</v>
      </c>
      <c r="H216" s="14">
        <f>VLOOKUP(E216,'Rental Transaction'!A:B,2,FALSE)</f>
        <v>488803</v>
      </c>
      <c r="I216">
        <f t="shared" si="3"/>
        <v>2012</v>
      </c>
    </row>
    <row r="217" spans="1:9">
      <c r="A217" s="1">
        <v>10068</v>
      </c>
      <c r="B217" s="1">
        <v>2</v>
      </c>
      <c r="C217" s="2">
        <v>41240</v>
      </c>
      <c r="D217" s="1" t="s">
        <v>2002</v>
      </c>
      <c r="E217" s="1">
        <v>100125</v>
      </c>
      <c r="F217" s="6" t="s">
        <v>2219</v>
      </c>
      <c r="G217" s="15" t="str">
        <f>VLOOKUP(A217,Movie!A:D,4,FALSE)</f>
        <v>Warner Brothers</v>
      </c>
      <c r="H217" s="14">
        <f>VLOOKUP(E217,'Rental Transaction'!A:B,2,FALSE)</f>
        <v>137696</v>
      </c>
      <c r="I217">
        <f t="shared" si="3"/>
        <v>2012</v>
      </c>
    </row>
    <row r="218" spans="1:9">
      <c r="A218" s="1">
        <v>10191</v>
      </c>
      <c r="B218" s="1">
        <v>4</v>
      </c>
      <c r="C218" s="2">
        <v>41240</v>
      </c>
      <c r="D218" s="1" t="s">
        <v>2002</v>
      </c>
      <c r="E218" s="1">
        <v>100125</v>
      </c>
      <c r="F218" s="6" t="s">
        <v>2220</v>
      </c>
      <c r="G218" s="15" t="str">
        <f>VLOOKUP(A218,Movie!A:D,4,FALSE)</f>
        <v>Universal</v>
      </c>
      <c r="H218" s="14">
        <f>VLOOKUP(E218,'Rental Transaction'!A:B,2,FALSE)</f>
        <v>137696</v>
      </c>
      <c r="I218">
        <f t="shared" si="3"/>
        <v>2012</v>
      </c>
    </row>
    <row r="219" spans="1:9">
      <c r="A219" s="1">
        <v>10053</v>
      </c>
      <c r="B219" s="1">
        <v>8</v>
      </c>
      <c r="C219" s="2">
        <v>41240</v>
      </c>
      <c r="D219" s="1" t="s">
        <v>2002</v>
      </c>
      <c r="E219" s="1">
        <v>100125</v>
      </c>
      <c r="F219" s="6" t="s">
        <v>2221</v>
      </c>
      <c r="G219" s="15" t="str">
        <f>VLOOKUP(A219,Movie!A:D,4,FALSE)</f>
        <v>Sony</v>
      </c>
      <c r="H219" s="14">
        <f>VLOOKUP(E219,'Rental Transaction'!A:B,2,FALSE)</f>
        <v>137696</v>
      </c>
      <c r="I219">
        <f t="shared" si="3"/>
        <v>2012</v>
      </c>
    </row>
    <row r="220" spans="1:9">
      <c r="A220" s="1">
        <v>10222</v>
      </c>
      <c r="B220" s="1">
        <v>9</v>
      </c>
      <c r="C220" s="2">
        <v>41241</v>
      </c>
      <c r="D220" s="1" t="s">
        <v>2002</v>
      </c>
      <c r="E220" s="1">
        <v>100126</v>
      </c>
      <c r="F220" s="6" t="s">
        <v>2222</v>
      </c>
      <c r="G220" s="15" t="str">
        <f>VLOOKUP(A220,Movie!A:D,4,FALSE)</f>
        <v>Sony</v>
      </c>
      <c r="H220" s="14">
        <f>VLOOKUP(E220,'Rental Transaction'!A:B,2,FALSE)</f>
        <v>592726</v>
      </c>
      <c r="I220">
        <f t="shared" si="3"/>
        <v>2012</v>
      </c>
    </row>
    <row r="221" spans="1:9">
      <c r="A221" s="1">
        <v>10003</v>
      </c>
      <c r="B221" s="1">
        <v>2</v>
      </c>
      <c r="C221" s="2">
        <v>41242</v>
      </c>
      <c r="D221" s="1" t="s">
        <v>2005</v>
      </c>
      <c r="E221" s="1">
        <v>100126</v>
      </c>
      <c r="F221" s="6" t="s">
        <v>2223</v>
      </c>
      <c r="G221" s="15" t="str">
        <f>VLOOKUP(A221,Movie!A:D,4,FALSE)</f>
        <v>Paramount</v>
      </c>
      <c r="H221" s="14">
        <f>VLOOKUP(E221,'Rental Transaction'!A:B,2,FALSE)</f>
        <v>592726</v>
      </c>
      <c r="I221">
        <f t="shared" si="3"/>
        <v>2012</v>
      </c>
    </row>
    <row r="222" spans="1:9">
      <c r="A222" s="1">
        <v>10031</v>
      </c>
      <c r="B222" s="1">
        <v>2</v>
      </c>
      <c r="C222" s="2">
        <v>41241</v>
      </c>
      <c r="D222" s="1" t="s">
        <v>2002</v>
      </c>
      <c r="E222" s="1">
        <v>100127</v>
      </c>
      <c r="F222" s="6" t="s">
        <v>2224</v>
      </c>
      <c r="G222" s="15" t="str">
        <f>VLOOKUP(A222,Movie!A:D,4,FALSE)</f>
        <v>Warner Brothers</v>
      </c>
      <c r="H222" s="14">
        <f>VLOOKUP(E222,'Rental Transaction'!A:B,2,FALSE)</f>
        <v>413292</v>
      </c>
      <c r="I222">
        <f t="shared" si="3"/>
        <v>2012</v>
      </c>
    </row>
    <row r="223" spans="1:9">
      <c r="A223" s="1">
        <v>10021</v>
      </c>
      <c r="B223" s="1">
        <v>2</v>
      </c>
      <c r="C223" s="2">
        <v>41241</v>
      </c>
      <c r="D223" s="1" t="s">
        <v>2002</v>
      </c>
      <c r="E223" s="1">
        <v>100127</v>
      </c>
      <c r="F223" s="6" t="s">
        <v>2225</v>
      </c>
      <c r="G223" s="15" t="str">
        <f>VLOOKUP(A223,Movie!A:D,4,FALSE)</f>
        <v>Paramount</v>
      </c>
      <c r="H223" s="14">
        <f>VLOOKUP(E223,'Rental Transaction'!A:B,2,FALSE)</f>
        <v>413292</v>
      </c>
      <c r="I223">
        <f t="shared" si="3"/>
        <v>2012</v>
      </c>
    </row>
    <row r="224" spans="1:9">
      <c r="A224" s="1">
        <v>10240</v>
      </c>
      <c r="B224" s="1">
        <v>10</v>
      </c>
      <c r="C224" s="2">
        <v>41241</v>
      </c>
      <c r="D224" s="1" t="s">
        <v>2002</v>
      </c>
      <c r="E224" s="1">
        <v>100127</v>
      </c>
      <c r="F224" s="6" t="s">
        <v>2226</v>
      </c>
      <c r="G224" s="15" t="str">
        <f>VLOOKUP(A224,Movie!A:D,4,FALSE)</f>
        <v>Warner Brothers</v>
      </c>
      <c r="H224" s="14">
        <f>VLOOKUP(E224,'Rental Transaction'!A:B,2,FALSE)</f>
        <v>413292</v>
      </c>
      <c r="I224">
        <f t="shared" si="3"/>
        <v>2012</v>
      </c>
    </row>
    <row r="225" spans="1:9">
      <c r="A225" s="1">
        <v>10241</v>
      </c>
      <c r="B225" s="1">
        <v>10</v>
      </c>
      <c r="C225" s="2">
        <v>41241</v>
      </c>
      <c r="D225" s="1" t="s">
        <v>2005</v>
      </c>
      <c r="E225" s="1">
        <v>100127</v>
      </c>
      <c r="F225" s="6" t="s">
        <v>2227</v>
      </c>
      <c r="G225" s="15" t="str">
        <f>VLOOKUP(A225,Movie!A:D,4,FALSE)</f>
        <v>Warner Brothers</v>
      </c>
      <c r="H225" s="14">
        <f>VLOOKUP(E225,'Rental Transaction'!A:B,2,FALSE)</f>
        <v>413292</v>
      </c>
      <c r="I225">
        <f t="shared" si="3"/>
        <v>2012</v>
      </c>
    </row>
    <row r="226" spans="1:9">
      <c r="A226" s="1">
        <v>10074</v>
      </c>
      <c r="B226" s="1">
        <v>6</v>
      </c>
      <c r="C226" s="2">
        <v>41243</v>
      </c>
      <c r="D226" s="1" t="s">
        <v>2005</v>
      </c>
      <c r="E226" s="1">
        <v>100128</v>
      </c>
      <c r="F226" s="6" t="s">
        <v>2228</v>
      </c>
      <c r="G226" s="15" t="str">
        <f>VLOOKUP(A226,Movie!A:D,4,FALSE)</f>
        <v>Open Road Films</v>
      </c>
      <c r="H226" s="14">
        <f>VLOOKUP(E226,'Rental Transaction'!A:B,2,FALSE)</f>
        <v>203787</v>
      </c>
      <c r="I226">
        <f t="shared" si="3"/>
        <v>2012</v>
      </c>
    </row>
    <row r="227" spans="1:9" ht="29.25">
      <c r="A227" s="1">
        <v>10246</v>
      </c>
      <c r="B227" s="1">
        <v>7</v>
      </c>
      <c r="C227" s="2">
        <v>41242</v>
      </c>
      <c r="D227" s="1" t="s">
        <v>2002</v>
      </c>
      <c r="E227" s="1">
        <v>100128</v>
      </c>
      <c r="F227" s="6" t="s">
        <v>2229</v>
      </c>
      <c r="G227" s="15" t="str">
        <f>VLOOKUP(A227,Movie!A:D,4,FALSE)</f>
        <v>Weinstein Company</v>
      </c>
      <c r="H227" s="14">
        <f>VLOOKUP(E227,'Rental Transaction'!A:B,2,FALSE)</f>
        <v>203787</v>
      </c>
      <c r="I227">
        <f t="shared" si="3"/>
        <v>2012</v>
      </c>
    </row>
    <row r="228" spans="1:9">
      <c r="A228" s="1">
        <v>10179</v>
      </c>
      <c r="B228" s="1">
        <v>1</v>
      </c>
      <c r="C228" s="2">
        <v>41243</v>
      </c>
      <c r="D228" s="1" t="s">
        <v>2002</v>
      </c>
      <c r="E228" s="1">
        <v>100129</v>
      </c>
      <c r="F228" s="6" t="s">
        <v>2230</v>
      </c>
      <c r="G228" s="15" t="str">
        <f>VLOOKUP(A228,Movie!A:D,4,FALSE)</f>
        <v>Warner Brothers</v>
      </c>
      <c r="H228" s="14">
        <f>VLOOKUP(E228,'Rental Transaction'!A:B,2,FALSE)</f>
        <v>852925</v>
      </c>
      <c r="I228">
        <f t="shared" si="3"/>
        <v>2012</v>
      </c>
    </row>
    <row r="229" spans="1:9">
      <c r="A229" s="1">
        <v>10045</v>
      </c>
      <c r="B229" s="1">
        <v>9</v>
      </c>
      <c r="C229" s="2">
        <v>41242</v>
      </c>
      <c r="D229" s="1" t="s">
        <v>2002</v>
      </c>
      <c r="E229" s="1">
        <v>100129</v>
      </c>
      <c r="F229" s="6" t="s">
        <v>2231</v>
      </c>
      <c r="G229" s="15" t="str">
        <f>VLOOKUP(A229,Movie!A:D,4,FALSE)</f>
        <v>Warner Brothers</v>
      </c>
      <c r="H229" s="14">
        <f>VLOOKUP(E229,'Rental Transaction'!A:B,2,FALSE)</f>
        <v>852925</v>
      </c>
      <c r="I229">
        <f t="shared" si="3"/>
        <v>2012</v>
      </c>
    </row>
    <row r="230" spans="1:9">
      <c r="A230" s="1">
        <v>10020</v>
      </c>
      <c r="B230" s="1">
        <v>3</v>
      </c>
      <c r="C230" s="2">
        <v>41244</v>
      </c>
      <c r="D230" s="1" t="s">
        <v>2005</v>
      </c>
      <c r="E230" s="1">
        <v>100129</v>
      </c>
      <c r="F230" s="6" t="s">
        <v>2232</v>
      </c>
      <c r="G230" s="15" t="str">
        <f>VLOOKUP(A230,Movie!A:D,4,FALSE)</f>
        <v>FilmDistrict</v>
      </c>
      <c r="H230" s="14">
        <f>VLOOKUP(E230,'Rental Transaction'!A:B,2,FALSE)</f>
        <v>852925</v>
      </c>
      <c r="I230">
        <f t="shared" si="3"/>
        <v>2012</v>
      </c>
    </row>
    <row r="231" spans="1:9">
      <c r="A231" s="1">
        <v>10071</v>
      </c>
      <c r="B231" s="1">
        <v>6</v>
      </c>
      <c r="C231" s="2">
        <v>41243</v>
      </c>
      <c r="D231" s="1" t="s">
        <v>2002</v>
      </c>
      <c r="E231" s="1">
        <v>100129</v>
      </c>
      <c r="F231" s="6" t="s">
        <v>2233</v>
      </c>
      <c r="G231" s="15" t="str">
        <f>VLOOKUP(A231,Movie!A:D,4,FALSE)</f>
        <v>Paramount</v>
      </c>
      <c r="H231" s="14">
        <f>VLOOKUP(E231,'Rental Transaction'!A:B,2,FALSE)</f>
        <v>852925</v>
      </c>
      <c r="I231">
        <f t="shared" si="3"/>
        <v>2012</v>
      </c>
    </row>
    <row r="232" spans="1:9">
      <c r="A232" s="1">
        <v>10238</v>
      </c>
      <c r="B232" s="1">
        <v>10</v>
      </c>
      <c r="C232" s="2">
        <v>41244</v>
      </c>
      <c r="D232" s="1" t="s">
        <v>2002</v>
      </c>
      <c r="E232" s="1">
        <v>100130</v>
      </c>
      <c r="F232" s="6" t="s">
        <v>2234</v>
      </c>
      <c r="G232" s="15" t="str">
        <f>VLOOKUP(A232,Movie!A:D,4,FALSE)</f>
        <v>Warner Brothers</v>
      </c>
      <c r="H232" s="14">
        <f>VLOOKUP(E232,'Rental Transaction'!A:B,2,FALSE)</f>
        <v>880238</v>
      </c>
      <c r="I232">
        <f t="shared" si="3"/>
        <v>2012</v>
      </c>
    </row>
    <row r="233" spans="1:9">
      <c r="A233" s="1">
        <v>10097</v>
      </c>
      <c r="B233" s="1">
        <v>1</v>
      </c>
      <c r="C233" s="2">
        <v>41244</v>
      </c>
      <c r="D233" s="1" t="s">
        <v>2005</v>
      </c>
      <c r="E233" s="1">
        <v>100131</v>
      </c>
      <c r="F233" s="6" t="s">
        <v>2235</v>
      </c>
      <c r="G233" s="15" t="str">
        <f>VLOOKUP(A233,Movie!A:D,4,FALSE)</f>
        <v>Screen Gems</v>
      </c>
      <c r="H233" s="14">
        <f>VLOOKUP(E233,'Rental Transaction'!A:B,2,FALSE)</f>
        <v>610766</v>
      </c>
      <c r="I233">
        <f t="shared" si="3"/>
        <v>2012</v>
      </c>
    </row>
    <row r="234" spans="1:9">
      <c r="A234" s="1">
        <v>10160</v>
      </c>
      <c r="B234" s="1">
        <v>6</v>
      </c>
      <c r="C234" s="2">
        <v>41243</v>
      </c>
      <c r="D234" s="1" t="s">
        <v>2002</v>
      </c>
      <c r="E234" s="1">
        <v>100132</v>
      </c>
      <c r="F234" s="6" t="s">
        <v>2236</v>
      </c>
      <c r="G234" s="15" t="str">
        <f>VLOOKUP(A234,Movie!A:D,4,FALSE)</f>
        <v>Lionsgate</v>
      </c>
      <c r="H234" s="14">
        <f>VLOOKUP(E234,'Rental Transaction'!A:B,2,FALSE)</f>
        <v>632495</v>
      </c>
      <c r="I234">
        <f t="shared" si="3"/>
        <v>2012</v>
      </c>
    </row>
    <row r="235" spans="1:9">
      <c r="A235" s="1">
        <v>10161</v>
      </c>
      <c r="B235" s="1">
        <v>4</v>
      </c>
      <c r="C235" s="2">
        <v>41245</v>
      </c>
      <c r="D235" s="1" t="s">
        <v>2002</v>
      </c>
      <c r="E235" s="1">
        <v>100133</v>
      </c>
      <c r="F235" s="6" t="s">
        <v>2237</v>
      </c>
      <c r="G235" s="15" t="str">
        <f>VLOOKUP(A235,Movie!A:D,4,FALSE)</f>
        <v>TriStar</v>
      </c>
      <c r="H235" s="14">
        <f>VLOOKUP(E235,'Rental Transaction'!A:B,2,FALSE)</f>
        <v>890270</v>
      </c>
      <c r="I235">
        <f t="shared" si="3"/>
        <v>2012</v>
      </c>
    </row>
    <row r="236" spans="1:9">
      <c r="A236" s="1">
        <v>10091</v>
      </c>
      <c r="B236" s="1">
        <v>1</v>
      </c>
      <c r="C236" s="2">
        <v>41245</v>
      </c>
      <c r="D236" s="1" t="s">
        <v>2002</v>
      </c>
      <c r="E236" s="1">
        <v>100134</v>
      </c>
      <c r="F236" s="6" t="s">
        <v>2238</v>
      </c>
      <c r="G236" s="15" t="str">
        <f>VLOOKUP(A236,Movie!A:D,4,FALSE)</f>
        <v>Warner Brothers</v>
      </c>
      <c r="H236" s="14">
        <f>VLOOKUP(E236,'Rental Transaction'!A:B,2,FALSE)</f>
        <v>551950</v>
      </c>
      <c r="I236">
        <f t="shared" si="3"/>
        <v>2012</v>
      </c>
    </row>
    <row r="237" spans="1:9">
      <c r="A237" s="1">
        <v>10148</v>
      </c>
      <c r="B237" s="1">
        <v>5</v>
      </c>
      <c r="C237" s="2">
        <v>41244</v>
      </c>
      <c r="D237" s="1" t="s">
        <v>2005</v>
      </c>
      <c r="E237" s="1">
        <v>100135</v>
      </c>
      <c r="F237" s="6" t="s">
        <v>2239</v>
      </c>
      <c r="G237" s="15" t="str">
        <f>VLOOKUP(A237,Movie!A:D,4,FALSE)</f>
        <v>Paramount</v>
      </c>
      <c r="H237" s="14">
        <f>VLOOKUP(E237,'Rental Transaction'!A:B,2,FALSE)</f>
        <v>757780</v>
      </c>
      <c r="I237">
        <f t="shared" si="3"/>
        <v>2012</v>
      </c>
    </row>
    <row r="238" spans="1:9">
      <c r="A238" s="1">
        <v>10003</v>
      </c>
      <c r="B238" s="1">
        <v>7</v>
      </c>
      <c r="C238" s="2">
        <v>41245</v>
      </c>
      <c r="D238" s="1" t="s">
        <v>2005</v>
      </c>
      <c r="E238" s="1">
        <v>100136</v>
      </c>
      <c r="F238" s="6" t="s">
        <v>2240</v>
      </c>
      <c r="G238" s="15" t="str">
        <f>VLOOKUP(A238,Movie!A:D,4,FALSE)</f>
        <v>Paramount</v>
      </c>
      <c r="H238" s="14">
        <f>VLOOKUP(E238,'Rental Transaction'!A:B,2,FALSE)</f>
        <v>689877</v>
      </c>
      <c r="I238">
        <f t="shared" si="3"/>
        <v>2012</v>
      </c>
    </row>
    <row r="239" spans="1:9">
      <c r="A239" s="1">
        <v>10198</v>
      </c>
      <c r="B239" s="1">
        <v>10</v>
      </c>
      <c r="C239" s="2">
        <v>41246</v>
      </c>
      <c r="D239" s="1" t="s">
        <v>2005</v>
      </c>
      <c r="E239" s="1">
        <v>100136</v>
      </c>
      <c r="F239" s="6" t="s">
        <v>2241</v>
      </c>
      <c r="G239" s="15" t="str">
        <f>VLOOKUP(A239,Movie!A:D,4,FALSE)</f>
        <v>Fox</v>
      </c>
      <c r="H239" s="14">
        <f>VLOOKUP(E239,'Rental Transaction'!A:B,2,FALSE)</f>
        <v>689877</v>
      </c>
      <c r="I239">
        <f t="shared" si="3"/>
        <v>2012</v>
      </c>
    </row>
    <row r="240" spans="1:9">
      <c r="A240" s="1">
        <v>10013</v>
      </c>
      <c r="B240" s="1">
        <v>5</v>
      </c>
      <c r="C240" s="2">
        <v>41246</v>
      </c>
      <c r="D240" s="1" t="s">
        <v>2002</v>
      </c>
      <c r="E240" s="1">
        <v>100137</v>
      </c>
      <c r="F240" s="6" t="s">
        <v>2242</v>
      </c>
      <c r="G240" s="15" t="str">
        <f>VLOOKUP(A240,Movie!A:D,4,FALSE)</f>
        <v>Open Road Films</v>
      </c>
      <c r="H240" s="14">
        <f>VLOOKUP(E240,'Rental Transaction'!A:B,2,FALSE)</f>
        <v>109251</v>
      </c>
      <c r="I240">
        <f t="shared" si="3"/>
        <v>2012</v>
      </c>
    </row>
    <row r="241" spans="1:9">
      <c r="A241" s="1">
        <v>10023</v>
      </c>
      <c r="B241" s="1">
        <v>3</v>
      </c>
      <c r="C241" s="2">
        <v>41246</v>
      </c>
      <c r="D241" s="1" t="s">
        <v>2005</v>
      </c>
      <c r="E241" s="1">
        <v>100137</v>
      </c>
      <c r="F241" s="6" t="s">
        <v>2243</v>
      </c>
      <c r="G241" s="15" t="str">
        <f>VLOOKUP(A241,Movie!A:D,4,FALSE)</f>
        <v>Buena Vista</v>
      </c>
      <c r="H241" s="14">
        <f>VLOOKUP(E241,'Rental Transaction'!A:B,2,FALSE)</f>
        <v>109251</v>
      </c>
      <c r="I241">
        <f t="shared" si="3"/>
        <v>2012</v>
      </c>
    </row>
    <row r="242" spans="1:9">
      <c r="A242" s="1">
        <v>10204</v>
      </c>
      <c r="B242" s="1">
        <v>4</v>
      </c>
      <c r="C242" s="2">
        <v>41247</v>
      </c>
      <c r="D242" s="1" t="s">
        <v>2002</v>
      </c>
      <c r="E242" s="1">
        <v>100138</v>
      </c>
      <c r="F242" s="6" t="s">
        <v>2244</v>
      </c>
      <c r="G242" s="15" t="str">
        <f>VLOOKUP(A242,Movie!A:D,4,FALSE)</f>
        <v>Universal</v>
      </c>
      <c r="H242" s="14">
        <f>VLOOKUP(E242,'Rental Transaction'!A:B,2,FALSE)</f>
        <v>161942</v>
      </c>
      <c r="I242">
        <f t="shared" si="3"/>
        <v>2012</v>
      </c>
    </row>
    <row r="243" spans="1:9">
      <c r="A243" s="1">
        <v>10111</v>
      </c>
      <c r="B243" s="1">
        <v>4</v>
      </c>
      <c r="C243" s="2">
        <v>41246</v>
      </c>
      <c r="D243" s="1" t="s">
        <v>2005</v>
      </c>
      <c r="E243" s="1">
        <v>100139</v>
      </c>
      <c r="F243" s="6" t="s">
        <v>2245</v>
      </c>
      <c r="G243" s="15" t="str">
        <f>VLOOKUP(A243,Movie!A:D,4,FALSE)</f>
        <v>Fox</v>
      </c>
      <c r="H243" s="14">
        <f>VLOOKUP(E243,'Rental Transaction'!A:B,2,FALSE)</f>
        <v>961080</v>
      </c>
      <c r="I243">
        <f t="shared" si="3"/>
        <v>2012</v>
      </c>
    </row>
    <row r="244" spans="1:9">
      <c r="A244" s="1">
        <v>10190</v>
      </c>
      <c r="B244" s="1">
        <v>4</v>
      </c>
      <c r="C244" s="2">
        <v>41247</v>
      </c>
      <c r="D244" s="1" t="s">
        <v>2002</v>
      </c>
      <c r="E244" s="1">
        <v>100140</v>
      </c>
      <c r="F244" s="6" t="s">
        <v>2246</v>
      </c>
      <c r="G244" s="15" t="str">
        <f>VLOOKUP(A244,Movie!A:D,4,FALSE)</f>
        <v>Lionsgate</v>
      </c>
      <c r="H244" s="14">
        <f>VLOOKUP(E244,'Rental Transaction'!A:B,2,FALSE)</f>
        <v>416523</v>
      </c>
      <c r="I244">
        <f t="shared" si="3"/>
        <v>2012</v>
      </c>
    </row>
    <row r="245" spans="1:9">
      <c r="A245" s="1">
        <v>10153</v>
      </c>
      <c r="B245" s="1">
        <v>2</v>
      </c>
      <c r="C245" s="2">
        <v>41251</v>
      </c>
      <c r="D245" s="1" t="s">
        <v>2002</v>
      </c>
      <c r="E245" s="1">
        <v>100141</v>
      </c>
      <c r="F245" s="6" t="s">
        <v>2247</v>
      </c>
      <c r="G245" s="15" t="str">
        <f>VLOOKUP(A245,Movie!A:D,4,FALSE)</f>
        <v>Lionsgate</v>
      </c>
      <c r="H245" s="14">
        <f>VLOOKUP(E245,'Rental Transaction'!A:B,2,FALSE)</f>
        <v>149240</v>
      </c>
      <c r="I245">
        <f t="shared" si="3"/>
        <v>2012</v>
      </c>
    </row>
    <row r="246" spans="1:9">
      <c r="A246" s="1">
        <v>10108</v>
      </c>
      <c r="B246" s="1">
        <v>3</v>
      </c>
      <c r="C246" s="2">
        <v>41248</v>
      </c>
      <c r="D246" s="1" t="s">
        <v>2005</v>
      </c>
      <c r="E246" s="1">
        <v>100141</v>
      </c>
      <c r="F246" s="6" t="s">
        <v>2248</v>
      </c>
      <c r="G246" s="15" t="str">
        <f>VLOOKUP(A246,Movie!A:D,4,FALSE)</f>
        <v>Fox</v>
      </c>
      <c r="H246" s="14">
        <f>VLOOKUP(E246,'Rental Transaction'!A:B,2,FALSE)</f>
        <v>149240</v>
      </c>
      <c r="I246">
        <f t="shared" si="3"/>
        <v>2012</v>
      </c>
    </row>
    <row r="247" spans="1:9">
      <c r="A247" s="1">
        <v>10022</v>
      </c>
      <c r="B247" s="1">
        <v>5</v>
      </c>
      <c r="C247" s="2">
        <v>41248</v>
      </c>
      <c r="D247" s="1" t="s">
        <v>2002</v>
      </c>
      <c r="E247" s="1">
        <v>100142</v>
      </c>
      <c r="F247" s="6" t="s">
        <v>2249</v>
      </c>
      <c r="G247" s="15" t="str">
        <f>VLOOKUP(A247,Movie!A:D,4,FALSE)</f>
        <v>Universal</v>
      </c>
      <c r="H247" s="14">
        <f>VLOOKUP(E247,'Rental Transaction'!A:B,2,FALSE)</f>
        <v>893039</v>
      </c>
      <c r="I247">
        <f t="shared" si="3"/>
        <v>2012</v>
      </c>
    </row>
    <row r="248" spans="1:9">
      <c r="A248" s="1">
        <v>10161</v>
      </c>
      <c r="B248" s="1">
        <v>2</v>
      </c>
      <c r="C248" s="2">
        <v>41248</v>
      </c>
      <c r="D248" s="1" t="s">
        <v>2005</v>
      </c>
      <c r="E248" s="1">
        <v>100143</v>
      </c>
      <c r="F248" s="6" t="s">
        <v>2250</v>
      </c>
      <c r="G248" s="15" t="str">
        <f>VLOOKUP(A248,Movie!A:D,4,FALSE)</f>
        <v>TriStar</v>
      </c>
      <c r="H248" s="14">
        <f>VLOOKUP(E248,'Rental Transaction'!A:B,2,FALSE)</f>
        <v>278809</v>
      </c>
      <c r="I248">
        <f t="shared" si="3"/>
        <v>2012</v>
      </c>
    </row>
    <row r="249" spans="1:9">
      <c r="A249" s="1">
        <v>10019</v>
      </c>
      <c r="B249" s="1">
        <v>8</v>
      </c>
      <c r="C249" s="2">
        <v>41249</v>
      </c>
      <c r="D249" s="1" t="s">
        <v>2005</v>
      </c>
      <c r="E249" s="1">
        <v>100143</v>
      </c>
      <c r="F249" s="6" t="s">
        <v>2251</v>
      </c>
      <c r="G249" s="15" t="str">
        <f>VLOOKUP(A249,Movie!A:D,4,FALSE)</f>
        <v>Fox</v>
      </c>
      <c r="H249" s="14">
        <f>VLOOKUP(E249,'Rental Transaction'!A:B,2,FALSE)</f>
        <v>278809</v>
      </c>
      <c r="I249">
        <f t="shared" si="3"/>
        <v>2012</v>
      </c>
    </row>
    <row r="250" spans="1:9">
      <c r="A250" s="1">
        <v>10122</v>
      </c>
      <c r="B250" s="1">
        <v>10</v>
      </c>
      <c r="C250" s="2">
        <v>41250</v>
      </c>
      <c r="D250" s="1" t="s">
        <v>2005</v>
      </c>
      <c r="E250" s="1">
        <v>100144</v>
      </c>
      <c r="F250" s="6" t="s">
        <v>2252</v>
      </c>
      <c r="G250" s="15" t="str">
        <f>VLOOKUP(A250,Movie!A:D,4,FALSE)</f>
        <v>Relativity</v>
      </c>
      <c r="H250" s="14">
        <f>VLOOKUP(E250,'Rental Transaction'!A:B,2,FALSE)</f>
        <v>789308</v>
      </c>
      <c r="I250">
        <f t="shared" si="3"/>
        <v>2012</v>
      </c>
    </row>
    <row r="251" spans="1:9">
      <c r="A251" s="1">
        <v>10082</v>
      </c>
      <c r="B251" s="1">
        <v>7</v>
      </c>
      <c r="C251" s="2">
        <v>41249</v>
      </c>
      <c r="D251" s="1" t="s">
        <v>2002</v>
      </c>
      <c r="E251" s="1">
        <v>100144</v>
      </c>
      <c r="F251" s="6" t="s">
        <v>2253</v>
      </c>
      <c r="G251" s="15" t="str">
        <f>VLOOKUP(A251,Movie!A:D,4,FALSE)</f>
        <v>Buena Vista</v>
      </c>
      <c r="H251" s="14">
        <f>VLOOKUP(E251,'Rental Transaction'!A:B,2,FALSE)</f>
        <v>789308</v>
      </c>
      <c r="I251">
        <f t="shared" si="3"/>
        <v>2012</v>
      </c>
    </row>
    <row r="252" spans="1:9">
      <c r="A252" s="1">
        <v>10207</v>
      </c>
      <c r="B252" s="1">
        <v>9</v>
      </c>
      <c r="C252" s="2">
        <v>41249</v>
      </c>
      <c r="D252" s="1" t="s">
        <v>2002</v>
      </c>
      <c r="E252" s="1">
        <v>100145</v>
      </c>
      <c r="F252" s="6" t="s">
        <v>2254</v>
      </c>
      <c r="G252" s="15" t="str">
        <f>VLOOKUP(A252,Movie!A:D,4,FALSE)</f>
        <v>Paramount</v>
      </c>
      <c r="H252" s="14">
        <f>VLOOKUP(E252,'Rental Transaction'!A:B,2,FALSE)</f>
        <v>994056</v>
      </c>
      <c r="I252">
        <f t="shared" si="3"/>
        <v>2012</v>
      </c>
    </row>
    <row r="253" spans="1:9">
      <c r="A253" s="1">
        <v>10110</v>
      </c>
      <c r="B253" s="1">
        <v>9</v>
      </c>
      <c r="C253" s="2">
        <v>41249</v>
      </c>
      <c r="D253" s="1" t="s">
        <v>2002</v>
      </c>
      <c r="E253" s="1">
        <v>100145</v>
      </c>
      <c r="F253" s="6" t="s">
        <v>2255</v>
      </c>
      <c r="G253" s="15" t="str">
        <f>VLOOKUP(A253,Movie!A:D,4,FALSE)</f>
        <v>Warner Brothers</v>
      </c>
      <c r="H253" s="14">
        <f>VLOOKUP(E253,'Rental Transaction'!A:B,2,FALSE)</f>
        <v>994056</v>
      </c>
      <c r="I253">
        <f t="shared" si="3"/>
        <v>2012</v>
      </c>
    </row>
    <row r="254" spans="1:9">
      <c r="A254" s="1">
        <v>10192</v>
      </c>
      <c r="B254" s="1">
        <v>3</v>
      </c>
      <c r="C254" s="2">
        <v>41249</v>
      </c>
      <c r="D254" s="1" t="s">
        <v>2002</v>
      </c>
      <c r="E254" s="1">
        <v>100145</v>
      </c>
      <c r="F254" s="6" t="s">
        <v>2256</v>
      </c>
      <c r="G254" s="15" t="str">
        <f>VLOOKUP(A254,Movie!A:D,4,FALSE)</f>
        <v>Universal</v>
      </c>
      <c r="H254" s="14">
        <f>VLOOKUP(E254,'Rental Transaction'!A:B,2,FALSE)</f>
        <v>994056</v>
      </c>
      <c r="I254">
        <f t="shared" si="3"/>
        <v>2012</v>
      </c>
    </row>
    <row r="255" spans="1:9">
      <c r="A255" s="1">
        <v>10038</v>
      </c>
      <c r="B255" s="1">
        <v>10</v>
      </c>
      <c r="C255" s="2">
        <v>41251</v>
      </c>
      <c r="D255" s="1" t="s">
        <v>2005</v>
      </c>
      <c r="E255" s="1">
        <v>100146</v>
      </c>
      <c r="F255" s="6" t="s">
        <v>2257</v>
      </c>
      <c r="G255" s="15" t="str">
        <f>VLOOKUP(A255,Movie!A:D,4,FALSE)</f>
        <v>Paramount</v>
      </c>
      <c r="H255" s="14">
        <f>VLOOKUP(E255,'Rental Transaction'!A:B,2,FALSE)</f>
        <v>789308</v>
      </c>
      <c r="I255">
        <f t="shared" si="3"/>
        <v>2012</v>
      </c>
    </row>
    <row r="256" spans="1:9" ht="29.25">
      <c r="A256" s="1">
        <v>10239</v>
      </c>
      <c r="B256" s="1">
        <v>1</v>
      </c>
      <c r="C256" s="2">
        <v>41251</v>
      </c>
      <c r="D256" s="1" t="s">
        <v>2005</v>
      </c>
      <c r="E256" s="1">
        <v>100147</v>
      </c>
      <c r="F256" s="6" t="s">
        <v>2258</v>
      </c>
      <c r="G256" s="15" t="str">
        <f>VLOOKUP(A256,Movie!A:D,4,FALSE)</f>
        <v>Weinstein Company</v>
      </c>
      <c r="H256" s="14">
        <f>VLOOKUP(E256,'Rental Transaction'!A:B,2,FALSE)</f>
        <v>488803</v>
      </c>
      <c r="I256">
        <f t="shared" si="3"/>
        <v>2012</v>
      </c>
    </row>
    <row r="257" spans="1:9">
      <c r="A257" s="1">
        <v>10106</v>
      </c>
      <c r="B257" s="1">
        <v>8</v>
      </c>
      <c r="C257" s="2">
        <v>41250</v>
      </c>
      <c r="D257" s="1" t="s">
        <v>2005</v>
      </c>
      <c r="E257" s="1">
        <v>100147</v>
      </c>
      <c r="F257" s="6" t="s">
        <v>2259</v>
      </c>
      <c r="G257" s="15" t="str">
        <f>VLOOKUP(A257,Movie!A:D,4,FALSE)</f>
        <v>Fox</v>
      </c>
      <c r="H257" s="14">
        <f>VLOOKUP(E257,'Rental Transaction'!A:B,2,FALSE)</f>
        <v>488803</v>
      </c>
      <c r="I257">
        <f t="shared" si="3"/>
        <v>2012</v>
      </c>
    </row>
    <row r="258" spans="1:9">
      <c r="A258" s="1">
        <v>10022</v>
      </c>
      <c r="B258" s="1">
        <v>4</v>
      </c>
      <c r="C258" s="2">
        <v>41251</v>
      </c>
      <c r="D258" s="1" t="s">
        <v>2005</v>
      </c>
      <c r="E258" s="1">
        <v>100147</v>
      </c>
      <c r="F258" s="6" t="s">
        <v>2260</v>
      </c>
      <c r="G258" s="15" t="str">
        <f>VLOOKUP(A258,Movie!A:D,4,FALSE)</f>
        <v>Universal</v>
      </c>
      <c r="H258" s="14">
        <f>VLOOKUP(E258,'Rental Transaction'!A:B,2,FALSE)</f>
        <v>488803</v>
      </c>
      <c r="I258">
        <f t="shared" si="3"/>
        <v>2012</v>
      </c>
    </row>
    <row r="259" spans="1:9">
      <c r="A259" s="1">
        <v>10126</v>
      </c>
      <c r="B259" s="1">
        <v>1</v>
      </c>
      <c r="C259" s="2">
        <v>41250</v>
      </c>
      <c r="D259" s="1" t="s">
        <v>2002</v>
      </c>
      <c r="E259" s="1">
        <v>100148</v>
      </c>
      <c r="F259" s="6" t="s">
        <v>2261</v>
      </c>
      <c r="G259" s="15" t="str">
        <f>VLOOKUP(A259,Movie!A:D,4,FALSE)</f>
        <v>Fox</v>
      </c>
      <c r="H259" s="14">
        <f>VLOOKUP(E259,'Rental Transaction'!A:B,2,FALSE)</f>
        <v>905670</v>
      </c>
      <c r="I259">
        <f t="shared" ref="I259:I322" si="4">YEAR(C259)</f>
        <v>2012</v>
      </c>
    </row>
    <row r="260" spans="1:9">
      <c r="A260" s="1">
        <v>10072</v>
      </c>
      <c r="B260" s="1">
        <v>4</v>
      </c>
      <c r="C260" s="2">
        <v>41250</v>
      </c>
      <c r="D260" s="1" t="s">
        <v>2002</v>
      </c>
      <c r="E260" s="1">
        <v>100148</v>
      </c>
      <c r="F260" s="6" t="s">
        <v>2262</v>
      </c>
      <c r="G260" s="15" t="str">
        <f>VLOOKUP(A260,Movie!A:D,4,FALSE)</f>
        <v>Paramount</v>
      </c>
      <c r="H260" s="14">
        <f>VLOOKUP(E260,'Rental Transaction'!A:B,2,FALSE)</f>
        <v>905670</v>
      </c>
      <c r="I260">
        <f t="shared" si="4"/>
        <v>2012</v>
      </c>
    </row>
    <row r="261" spans="1:9">
      <c r="A261" s="1">
        <v>10029</v>
      </c>
      <c r="B261" s="1">
        <v>5</v>
      </c>
      <c r="C261" s="2">
        <v>41250</v>
      </c>
      <c r="D261" s="1" t="s">
        <v>2002</v>
      </c>
      <c r="E261" s="1">
        <v>100148</v>
      </c>
      <c r="F261" s="6" t="s">
        <v>2263</v>
      </c>
      <c r="G261" s="15" t="str">
        <f>VLOOKUP(A261,Movie!A:D,4,FALSE)</f>
        <v>Relativity</v>
      </c>
      <c r="H261" s="14">
        <f>VLOOKUP(E261,'Rental Transaction'!A:B,2,FALSE)</f>
        <v>905670</v>
      </c>
      <c r="I261">
        <f t="shared" si="4"/>
        <v>2012</v>
      </c>
    </row>
    <row r="262" spans="1:9">
      <c r="A262" s="1">
        <v>10000</v>
      </c>
      <c r="B262" s="1">
        <v>9</v>
      </c>
      <c r="C262" s="2">
        <v>41250</v>
      </c>
      <c r="D262" s="1" t="s">
        <v>2005</v>
      </c>
      <c r="E262" s="1">
        <v>100148</v>
      </c>
      <c r="F262" s="6" t="s">
        <v>2264</v>
      </c>
      <c r="G262" s="15" t="str">
        <f>VLOOKUP(A262,Movie!A:D,4,FALSE)</f>
        <v>TriStar</v>
      </c>
      <c r="H262" s="14">
        <f>VLOOKUP(E262,'Rental Transaction'!A:B,2,FALSE)</f>
        <v>905670</v>
      </c>
      <c r="I262">
        <f t="shared" si="4"/>
        <v>2012</v>
      </c>
    </row>
    <row r="263" spans="1:9">
      <c r="A263" s="1">
        <v>10213</v>
      </c>
      <c r="B263" s="1">
        <v>1</v>
      </c>
      <c r="C263" s="2">
        <v>41251</v>
      </c>
      <c r="D263" s="1" t="s">
        <v>2005</v>
      </c>
      <c r="E263" s="1">
        <v>100149</v>
      </c>
      <c r="F263" s="6" t="s">
        <v>2265</v>
      </c>
      <c r="G263" s="15" t="str">
        <f>VLOOKUP(A263,Movie!A:D,4,FALSE)</f>
        <v>Sony</v>
      </c>
      <c r="H263" s="14">
        <f>VLOOKUP(E263,'Rental Transaction'!A:B,2,FALSE)</f>
        <v>247216</v>
      </c>
      <c r="I263">
        <f t="shared" si="4"/>
        <v>2012</v>
      </c>
    </row>
    <row r="264" spans="1:9">
      <c r="A264" s="1">
        <v>10234</v>
      </c>
      <c r="B264" s="1">
        <v>3</v>
      </c>
      <c r="C264" s="2">
        <v>41252</v>
      </c>
      <c r="D264" s="1" t="s">
        <v>2002</v>
      </c>
      <c r="E264" s="1">
        <v>100149</v>
      </c>
      <c r="F264" s="6" t="s">
        <v>2266</v>
      </c>
      <c r="G264" s="15" t="str">
        <f>VLOOKUP(A264,Movie!A:D,4,FALSE)</f>
        <v>Warner Brothers</v>
      </c>
      <c r="H264" s="14">
        <f>VLOOKUP(E264,'Rental Transaction'!A:B,2,FALSE)</f>
        <v>247216</v>
      </c>
      <c r="I264">
        <f t="shared" si="4"/>
        <v>2012</v>
      </c>
    </row>
    <row r="265" spans="1:9">
      <c r="A265" s="1">
        <v>10011</v>
      </c>
      <c r="B265" s="1">
        <v>10</v>
      </c>
      <c r="C265" s="2">
        <v>41251</v>
      </c>
      <c r="D265" s="1" t="s">
        <v>2002</v>
      </c>
      <c r="E265" s="1">
        <v>100150</v>
      </c>
      <c r="F265" s="6" t="s">
        <v>2267</v>
      </c>
      <c r="G265" s="15" t="str">
        <f>VLOOKUP(A265,Movie!A:D,4,FALSE)</f>
        <v>Buena Vista</v>
      </c>
      <c r="H265" s="14">
        <f>VLOOKUP(E265,'Rental Transaction'!A:B,2,FALSE)</f>
        <v>951701</v>
      </c>
      <c r="I265">
        <f t="shared" si="4"/>
        <v>2012</v>
      </c>
    </row>
    <row r="266" spans="1:9">
      <c r="A266" s="1">
        <v>10200</v>
      </c>
      <c r="B266" s="1">
        <v>1</v>
      </c>
      <c r="C266" s="2">
        <v>41253</v>
      </c>
      <c r="D266" s="1" t="s">
        <v>2002</v>
      </c>
      <c r="E266" s="1">
        <v>100150</v>
      </c>
      <c r="F266" s="6" t="s">
        <v>2268</v>
      </c>
      <c r="G266" s="15" t="str">
        <f>VLOOKUP(A266,Movie!A:D,4,FALSE)</f>
        <v>Fox</v>
      </c>
      <c r="H266" s="14">
        <f>VLOOKUP(E266,'Rental Transaction'!A:B,2,FALSE)</f>
        <v>951701</v>
      </c>
      <c r="I266">
        <f t="shared" si="4"/>
        <v>2012</v>
      </c>
    </row>
    <row r="267" spans="1:9">
      <c r="A267" s="1">
        <v>10007</v>
      </c>
      <c r="B267" s="1">
        <v>7</v>
      </c>
      <c r="C267" s="2">
        <v>41251</v>
      </c>
      <c r="D267" s="1" t="s">
        <v>2002</v>
      </c>
      <c r="E267" s="1">
        <v>100150</v>
      </c>
      <c r="F267" s="6" t="s">
        <v>2269</v>
      </c>
      <c r="G267" s="15" t="str">
        <f>VLOOKUP(A267,Movie!A:D,4,FALSE)</f>
        <v>Sony</v>
      </c>
      <c r="H267" s="14">
        <f>VLOOKUP(E267,'Rental Transaction'!A:B,2,FALSE)</f>
        <v>951701</v>
      </c>
      <c r="I267">
        <f t="shared" si="4"/>
        <v>2012</v>
      </c>
    </row>
    <row r="268" spans="1:9">
      <c r="A268" s="1">
        <v>10201</v>
      </c>
      <c r="B268" s="1">
        <v>9</v>
      </c>
      <c r="C268" s="2">
        <v>41251</v>
      </c>
      <c r="D268" s="1" t="s">
        <v>2005</v>
      </c>
      <c r="E268" s="1">
        <v>100151</v>
      </c>
      <c r="F268" s="6" t="s">
        <v>2270</v>
      </c>
      <c r="G268" s="15" t="str">
        <f>VLOOKUP(A268,Movie!A:D,4,FALSE)</f>
        <v>Screen Gems</v>
      </c>
      <c r="H268" s="14">
        <f>VLOOKUP(E268,'Rental Transaction'!A:B,2,FALSE)</f>
        <v>491380</v>
      </c>
      <c r="I268">
        <f t="shared" si="4"/>
        <v>2012</v>
      </c>
    </row>
    <row r="269" spans="1:9">
      <c r="A269" s="1">
        <v>10233</v>
      </c>
      <c r="B269" s="1">
        <v>4</v>
      </c>
      <c r="C269" s="2">
        <v>41251</v>
      </c>
      <c r="D269" s="1" t="s">
        <v>2002</v>
      </c>
      <c r="E269" s="1">
        <v>100151</v>
      </c>
      <c r="F269" s="6" t="s">
        <v>2271</v>
      </c>
      <c r="G269" s="15" t="str">
        <f>VLOOKUP(A269,Movie!A:D,4,FALSE)</f>
        <v>Screen Gems</v>
      </c>
      <c r="H269" s="14">
        <f>VLOOKUP(E269,'Rental Transaction'!A:B,2,FALSE)</f>
        <v>491380</v>
      </c>
      <c r="I269">
        <f t="shared" si="4"/>
        <v>2012</v>
      </c>
    </row>
    <row r="270" spans="1:9">
      <c r="A270" s="1">
        <v>10074</v>
      </c>
      <c r="B270" s="1">
        <v>3</v>
      </c>
      <c r="C270" s="2">
        <v>41252</v>
      </c>
      <c r="D270" s="1" t="s">
        <v>2002</v>
      </c>
      <c r="E270" s="1">
        <v>100152</v>
      </c>
      <c r="F270" s="6" t="s">
        <v>2272</v>
      </c>
      <c r="G270" s="15" t="str">
        <f>VLOOKUP(A270,Movie!A:D,4,FALSE)</f>
        <v>Open Road Films</v>
      </c>
      <c r="H270" s="14">
        <f>VLOOKUP(E270,'Rental Transaction'!A:B,2,FALSE)</f>
        <v>465275</v>
      </c>
      <c r="I270">
        <f t="shared" si="4"/>
        <v>2012</v>
      </c>
    </row>
    <row r="271" spans="1:9">
      <c r="A271" s="1">
        <v>10072</v>
      </c>
      <c r="B271" s="1">
        <v>6</v>
      </c>
      <c r="C271" s="2">
        <v>41252</v>
      </c>
      <c r="D271" s="1" t="s">
        <v>2005</v>
      </c>
      <c r="E271" s="1">
        <v>100152</v>
      </c>
      <c r="F271" s="6" t="s">
        <v>2273</v>
      </c>
      <c r="G271" s="15" t="str">
        <f>VLOOKUP(A271,Movie!A:D,4,FALSE)</f>
        <v>Paramount</v>
      </c>
      <c r="H271" s="14">
        <f>VLOOKUP(E271,'Rental Transaction'!A:B,2,FALSE)</f>
        <v>465275</v>
      </c>
      <c r="I271">
        <f t="shared" si="4"/>
        <v>2012</v>
      </c>
    </row>
    <row r="272" spans="1:9">
      <c r="A272" s="1">
        <v>10159</v>
      </c>
      <c r="B272" s="1">
        <v>8</v>
      </c>
      <c r="C272" s="2">
        <v>41252</v>
      </c>
      <c r="D272" s="1" t="s">
        <v>2002</v>
      </c>
      <c r="E272" s="1">
        <v>100153</v>
      </c>
      <c r="F272" s="6" t="s">
        <v>2274</v>
      </c>
      <c r="G272" s="15" t="str">
        <f>VLOOKUP(A272,Movie!A:D,4,FALSE)</f>
        <v>Lionsgate</v>
      </c>
      <c r="H272" s="14">
        <f>VLOOKUP(E272,'Rental Transaction'!A:B,2,FALSE)</f>
        <v>890270</v>
      </c>
      <c r="I272">
        <f t="shared" si="4"/>
        <v>2012</v>
      </c>
    </row>
    <row r="273" spans="1:9">
      <c r="A273" s="1">
        <v>10142</v>
      </c>
      <c r="B273" s="1">
        <v>7</v>
      </c>
      <c r="C273" s="2">
        <v>41252</v>
      </c>
      <c r="D273" s="1" t="s">
        <v>2005</v>
      </c>
      <c r="E273" s="1">
        <v>100153</v>
      </c>
      <c r="F273" s="6" t="s">
        <v>2275</v>
      </c>
      <c r="G273" s="15" t="str">
        <f>VLOOKUP(A273,Movie!A:D,4,FALSE)</f>
        <v>Warner Brothers</v>
      </c>
      <c r="H273" s="14">
        <f>VLOOKUP(E273,'Rental Transaction'!A:B,2,FALSE)</f>
        <v>890270</v>
      </c>
      <c r="I273">
        <f t="shared" si="4"/>
        <v>2012</v>
      </c>
    </row>
    <row r="274" spans="1:9">
      <c r="A274" s="1">
        <v>10050</v>
      </c>
      <c r="B274" s="1">
        <v>6</v>
      </c>
      <c r="C274" s="2">
        <v>41255</v>
      </c>
      <c r="D274" s="1" t="s">
        <v>2005</v>
      </c>
      <c r="E274" s="1">
        <v>100154</v>
      </c>
      <c r="F274" s="6" t="s">
        <v>2276</v>
      </c>
      <c r="G274" s="15" t="str">
        <f>VLOOKUP(A274,Movie!A:D,4,FALSE)</f>
        <v>Paramount</v>
      </c>
      <c r="H274" s="14">
        <f>VLOOKUP(E274,'Rental Transaction'!A:B,2,FALSE)</f>
        <v>378374</v>
      </c>
      <c r="I274">
        <f t="shared" si="4"/>
        <v>2012</v>
      </c>
    </row>
    <row r="275" spans="1:9">
      <c r="A275" s="1">
        <v>10240</v>
      </c>
      <c r="B275" s="1">
        <v>4</v>
      </c>
      <c r="C275" s="2">
        <v>41253</v>
      </c>
      <c r="D275" s="1" t="s">
        <v>2002</v>
      </c>
      <c r="E275" s="1">
        <v>100155</v>
      </c>
      <c r="F275" s="6" t="s">
        <v>2277</v>
      </c>
      <c r="G275" s="15" t="str">
        <f>VLOOKUP(A275,Movie!A:D,4,FALSE)</f>
        <v>Warner Brothers</v>
      </c>
      <c r="H275" s="14">
        <f>VLOOKUP(E275,'Rental Transaction'!A:B,2,FALSE)</f>
        <v>157388</v>
      </c>
      <c r="I275">
        <f t="shared" si="4"/>
        <v>2012</v>
      </c>
    </row>
    <row r="276" spans="1:9">
      <c r="A276" s="1">
        <v>10237</v>
      </c>
      <c r="B276" s="1">
        <v>3</v>
      </c>
      <c r="C276" s="2">
        <v>41253</v>
      </c>
      <c r="D276" s="1" t="s">
        <v>2005</v>
      </c>
      <c r="E276" s="1">
        <v>100155</v>
      </c>
      <c r="F276" s="6" t="s">
        <v>2278</v>
      </c>
      <c r="G276" s="15" t="str">
        <f>VLOOKUP(A276,Movie!A:D,4,FALSE)</f>
        <v>Warner Brothers</v>
      </c>
      <c r="H276" s="14">
        <f>VLOOKUP(E276,'Rental Transaction'!A:B,2,FALSE)</f>
        <v>157388</v>
      </c>
      <c r="I276">
        <f t="shared" si="4"/>
        <v>2012</v>
      </c>
    </row>
    <row r="277" spans="1:9">
      <c r="A277" s="1">
        <v>10205</v>
      </c>
      <c r="B277" s="1">
        <v>8</v>
      </c>
      <c r="C277" s="2">
        <v>41254</v>
      </c>
      <c r="D277" s="1" t="s">
        <v>2002</v>
      </c>
      <c r="E277" s="1">
        <v>100156</v>
      </c>
      <c r="F277" s="6" t="s">
        <v>2279</v>
      </c>
      <c r="G277" s="15" t="str">
        <f>VLOOKUP(A277,Movie!A:D,4,FALSE)</f>
        <v>Paramount</v>
      </c>
      <c r="H277" s="14">
        <f>VLOOKUP(E277,'Rental Transaction'!A:B,2,FALSE)</f>
        <v>781968</v>
      </c>
      <c r="I277">
        <f t="shared" si="4"/>
        <v>2012</v>
      </c>
    </row>
    <row r="278" spans="1:9">
      <c r="A278" s="1">
        <v>10107</v>
      </c>
      <c r="B278" s="1">
        <v>10</v>
      </c>
      <c r="C278" s="2">
        <v>41255</v>
      </c>
      <c r="D278" s="1" t="s">
        <v>2002</v>
      </c>
      <c r="E278" s="1">
        <v>100157</v>
      </c>
      <c r="F278" s="6" t="s">
        <v>2280</v>
      </c>
      <c r="G278" s="15" t="str">
        <f>VLOOKUP(A278,Movie!A:D,4,FALSE)</f>
        <v>Universal</v>
      </c>
      <c r="H278" s="14">
        <f>VLOOKUP(E278,'Rental Transaction'!A:B,2,FALSE)</f>
        <v>432113</v>
      </c>
      <c r="I278">
        <f t="shared" si="4"/>
        <v>2012</v>
      </c>
    </row>
    <row r="279" spans="1:9">
      <c r="A279" s="1">
        <v>10242</v>
      </c>
      <c r="B279" s="1">
        <v>7</v>
      </c>
      <c r="C279" s="2">
        <v>41256</v>
      </c>
      <c r="D279" s="1" t="s">
        <v>2002</v>
      </c>
      <c r="E279" s="1">
        <v>100157</v>
      </c>
      <c r="F279" s="6" t="s">
        <v>2281</v>
      </c>
      <c r="G279" s="15" t="str">
        <f>VLOOKUP(A279,Movie!A:D,4,FALSE)</f>
        <v>Buena Vista</v>
      </c>
      <c r="H279" s="14">
        <f>VLOOKUP(E279,'Rental Transaction'!A:B,2,FALSE)</f>
        <v>432113</v>
      </c>
      <c r="I279">
        <f t="shared" si="4"/>
        <v>2012</v>
      </c>
    </row>
    <row r="280" spans="1:9">
      <c r="A280" s="1">
        <v>10016</v>
      </c>
      <c r="B280" s="1">
        <v>8</v>
      </c>
      <c r="C280" s="2">
        <v>41255</v>
      </c>
      <c r="D280" s="1" t="s">
        <v>2005</v>
      </c>
      <c r="E280" s="1">
        <v>100157</v>
      </c>
      <c r="F280" s="6" t="s">
        <v>2282</v>
      </c>
      <c r="G280" s="15" t="str">
        <f>VLOOKUP(A280,Movie!A:D,4,FALSE)</f>
        <v>Universal</v>
      </c>
      <c r="H280" s="14">
        <f>VLOOKUP(E280,'Rental Transaction'!A:B,2,FALSE)</f>
        <v>432113</v>
      </c>
      <c r="I280">
        <f t="shared" si="4"/>
        <v>2012</v>
      </c>
    </row>
    <row r="281" spans="1:9">
      <c r="A281" s="1">
        <v>10192</v>
      </c>
      <c r="B281" s="1">
        <v>1</v>
      </c>
      <c r="C281" s="2">
        <v>41255</v>
      </c>
      <c r="D281" s="1" t="s">
        <v>2002</v>
      </c>
      <c r="E281" s="1">
        <v>100158</v>
      </c>
      <c r="F281" s="6" t="s">
        <v>2283</v>
      </c>
      <c r="G281" s="15" t="str">
        <f>VLOOKUP(A281,Movie!A:D,4,FALSE)</f>
        <v>Universal</v>
      </c>
      <c r="H281" s="14">
        <f>VLOOKUP(E281,'Rental Transaction'!A:B,2,FALSE)</f>
        <v>500828</v>
      </c>
      <c r="I281">
        <f t="shared" si="4"/>
        <v>2012</v>
      </c>
    </row>
    <row r="282" spans="1:9">
      <c r="A282" s="1">
        <v>10171</v>
      </c>
      <c r="B282" s="1">
        <v>10</v>
      </c>
      <c r="C282" s="2">
        <v>41257</v>
      </c>
      <c r="D282" s="1" t="s">
        <v>2002</v>
      </c>
      <c r="E282" s="1">
        <v>100159</v>
      </c>
      <c r="F282" s="6" t="s">
        <v>2284</v>
      </c>
      <c r="G282" s="15" t="str">
        <f>VLOOKUP(A282,Movie!A:D,4,FALSE)</f>
        <v>Universal</v>
      </c>
      <c r="H282" s="14">
        <f>VLOOKUP(E282,'Rental Transaction'!A:B,2,FALSE)</f>
        <v>175940</v>
      </c>
      <c r="I282">
        <f t="shared" si="4"/>
        <v>2012</v>
      </c>
    </row>
    <row r="283" spans="1:9">
      <c r="A283" s="1">
        <v>10225</v>
      </c>
      <c r="B283" s="1">
        <v>10</v>
      </c>
      <c r="C283" s="2">
        <v>41256</v>
      </c>
      <c r="D283" s="1" t="s">
        <v>2002</v>
      </c>
      <c r="E283" s="1">
        <v>100159</v>
      </c>
      <c r="F283" s="6" t="s">
        <v>2285</v>
      </c>
      <c r="G283" s="15" t="str">
        <f>VLOOKUP(A283,Movie!A:D,4,FALSE)</f>
        <v>Warner Brothers</v>
      </c>
      <c r="H283" s="14">
        <f>VLOOKUP(E283,'Rental Transaction'!A:B,2,FALSE)</f>
        <v>175940</v>
      </c>
      <c r="I283">
        <f t="shared" si="4"/>
        <v>2012</v>
      </c>
    </row>
    <row r="284" spans="1:9">
      <c r="A284" s="1">
        <v>10202</v>
      </c>
      <c r="B284" s="1">
        <v>6</v>
      </c>
      <c r="C284" s="2">
        <v>41257</v>
      </c>
      <c r="D284" s="1" t="s">
        <v>2005</v>
      </c>
      <c r="E284" s="1">
        <v>100160</v>
      </c>
      <c r="F284" s="6" t="s">
        <v>2286</v>
      </c>
      <c r="G284" s="15" t="str">
        <f>VLOOKUP(A284,Movie!A:D,4,FALSE)</f>
        <v>Warner Brothers</v>
      </c>
      <c r="H284" s="14">
        <f>VLOOKUP(E284,'Rental Transaction'!A:B,2,FALSE)</f>
        <v>422717</v>
      </c>
      <c r="I284">
        <f t="shared" si="4"/>
        <v>2012</v>
      </c>
    </row>
    <row r="285" spans="1:9">
      <c r="A285" s="1">
        <v>10184</v>
      </c>
      <c r="B285" s="1">
        <v>9</v>
      </c>
      <c r="C285" s="2">
        <v>41257</v>
      </c>
      <c r="D285" s="1" t="s">
        <v>2005</v>
      </c>
      <c r="E285" s="1">
        <v>100161</v>
      </c>
      <c r="F285" s="6" t="s">
        <v>2287</v>
      </c>
      <c r="G285" s="15" t="str">
        <f>VLOOKUP(A285,Movie!A:D,4,FALSE)</f>
        <v>Universal</v>
      </c>
      <c r="H285" s="14">
        <f>VLOOKUP(E285,'Rental Transaction'!A:B,2,FALSE)</f>
        <v>556152</v>
      </c>
      <c r="I285">
        <f t="shared" si="4"/>
        <v>2012</v>
      </c>
    </row>
    <row r="286" spans="1:9">
      <c r="A286" s="1">
        <v>10004</v>
      </c>
      <c r="B286" s="1">
        <v>4</v>
      </c>
      <c r="C286" s="2">
        <v>41257</v>
      </c>
      <c r="D286" s="1" t="s">
        <v>2002</v>
      </c>
      <c r="E286" s="1">
        <v>100162</v>
      </c>
      <c r="F286" s="6" t="s">
        <v>2288</v>
      </c>
      <c r="G286" s="15" t="str">
        <f>VLOOKUP(A286,Movie!A:D,4,FALSE)</f>
        <v>Paramount</v>
      </c>
      <c r="H286" s="14">
        <f>VLOOKUP(E286,'Rental Transaction'!A:B,2,FALSE)</f>
        <v>724813</v>
      </c>
      <c r="I286">
        <f t="shared" si="4"/>
        <v>2012</v>
      </c>
    </row>
    <row r="287" spans="1:9">
      <c r="A287" s="1">
        <v>10208</v>
      </c>
      <c r="B287" s="1">
        <v>7</v>
      </c>
      <c r="C287" s="2">
        <v>41257</v>
      </c>
      <c r="D287" s="1" t="s">
        <v>2002</v>
      </c>
      <c r="E287" s="1">
        <v>100162</v>
      </c>
      <c r="F287" s="6" t="s">
        <v>2289</v>
      </c>
      <c r="G287" s="15" t="str">
        <f>VLOOKUP(A287,Movie!A:D,4,FALSE)</f>
        <v>Warner Brothers</v>
      </c>
      <c r="H287" s="14">
        <f>VLOOKUP(E287,'Rental Transaction'!A:B,2,FALSE)</f>
        <v>724813</v>
      </c>
      <c r="I287">
        <f t="shared" si="4"/>
        <v>2012</v>
      </c>
    </row>
    <row r="288" spans="1:9">
      <c r="A288" s="1">
        <v>10106</v>
      </c>
      <c r="B288" s="1">
        <v>7</v>
      </c>
      <c r="C288" s="2">
        <v>41259</v>
      </c>
      <c r="D288" s="1" t="s">
        <v>2002</v>
      </c>
      <c r="E288" s="1">
        <v>100163</v>
      </c>
      <c r="F288" s="6" t="s">
        <v>2290</v>
      </c>
      <c r="G288" s="15" t="str">
        <f>VLOOKUP(A288,Movie!A:D,4,FALSE)</f>
        <v>Fox</v>
      </c>
      <c r="H288" s="14">
        <f>VLOOKUP(E288,'Rental Transaction'!A:B,2,FALSE)</f>
        <v>380003</v>
      </c>
      <c r="I288">
        <f t="shared" si="4"/>
        <v>2012</v>
      </c>
    </row>
    <row r="289" spans="1:9">
      <c r="A289" s="1">
        <v>10035</v>
      </c>
      <c r="B289" s="1">
        <v>10</v>
      </c>
      <c r="C289" s="2">
        <v>41259</v>
      </c>
      <c r="D289" s="1" t="s">
        <v>2002</v>
      </c>
      <c r="E289" s="1">
        <v>100164</v>
      </c>
      <c r="F289" s="6" t="s">
        <v>2291</v>
      </c>
      <c r="G289" s="15" t="str">
        <f>VLOOKUP(A289,Movie!A:D,4,FALSE)</f>
        <v>Sony</v>
      </c>
      <c r="H289" s="14">
        <f>VLOOKUP(E289,'Rental Transaction'!A:B,2,FALSE)</f>
        <v>693531</v>
      </c>
      <c r="I289">
        <f t="shared" si="4"/>
        <v>2012</v>
      </c>
    </row>
    <row r="290" spans="1:9">
      <c r="A290" s="1">
        <v>10018</v>
      </c>
      <c r="B290" s="1">
        <v>10</v>
      </c>
      <c r="C290" s="2">
        <v>41260</v>
      </c>
      <c r="D290" s="1" t="s">
        <v>2002</v>
      </c>
      <c r="E290" s="1">
        <v>100165</v>
      </c>
      <c r="F290" s="6" t="s">
        <v>2292</v>
      </c>
      <c r="G290" s="15" t="str">
        <f>VLOOKUP(A290,Movie!A:D,4,FALSE)</f>
        <v>Fox</v>
      </c>
      <c r="H290" s="14">
        <f>VLOOKUP(E290,'Rental Transaction'!A:B,2,FALSE)</f>
        <v>791850</v>
      </c>
      <c r="I290">
        <f t="shared" si="4"/>
        <v>2012</v>
      </c>
    </row>
    <row r="291" spans="1:9">
      <c r="A291" s="1">
        <v>10137</v>
      </c>
      <c r="B291" s="1">
        <v>5</v>
      </c>
      <c r="C291" s="2">
        <v>41260</v>
      </c>
      <c r="D291" s="1" t="s">
        <v>2002</v>
      </c>
      <c r="E291" s="1">
        <v>100165</v>
      </c>
      <c r="F291" s="6" t="s">
        <v>2293</v>
      </c>
      <c r="G291" s="15" t="str">
        <f>VLOOKUP(A291,Movie!A:D,4,FALSE)</f>
        <v>Buena Vista</v>
      </c>
      <c r="H291" s="14">
        <f>VLOOKUP(E291,'Rental Transaction'!A:B,2,FALSE)</f>
        <v>791850</v>
      </c>
      <c r="I291">
        <f t="shared" si="4"/>
        <v>2012</v>
      </c>
    </row>
    <row r="292" spans="1:9">
      <c r="A292" s="1">
        <v>10224</v>
      </c>
      <c r="B292" s="1">
        <v>1</v>
      </c>
      <c r="C292" s="2">
        <v>41260</v>
      </c>
      <c r="D292" s="1" t="s">
        <v>2002</v>
      </c>
      <c r="E292" s="1">
        <v>100165</v>
      </c>
      <c r="F292" s="6" t="s">
        <v>2294</v>
      </c>
      <c r="G292" s="15" t="str">
        <f>VLOOKUP(A292,Movie!A:D,4,FALSE)</f>
        <v>Fox Searchlight</v>
      </c>
      <c r="H292" s="14">
        <f>VLOOKUP(E292,'Rental Transaction'!A:B,2,FALSE)</f>
        <v>791850</v>
      </c>
      <c r="I292">
        <f t="shared" si="4"/>
        <v>2012</v>
      </c>
    </row>
    <row r="293" spans="1:9">
      <c r="A293" s="1">
        <v>10146</v>
      </c>
      <c r="B293" s="1">
        <v>8</v>
      </c>
      <c r="C293" s="2">
        <v>41260</v>
      </c>
      <c r="D293" s="1" t="s">
        <v>2005</v>
      </c>
      <c r="E293" s="1">
        <v>100165</v>
      </c>
      <c r="F293" s="6" t="s">
        <v>2295</v>
      </c>
      <c r="G293" s="15" t="str">
        <f>VLOOKUP(A293,Movie!A:D,4,FALSE)</f>
        <v>Sony</v>
      </c>
      <c r="H293" s="14">
        <f>VLOOKUP(E293,'Rental Transaction'!A:B,2,FALSE)</f>
        <v>791850</v>
      </c>
      <c r="I293">
        <f t="shared" si="4"/>
        <v>2012</v>
      </c>
    </row>
    <row r="294" spans="1:9">
      <c r="A294" s="1">
        <v>10071</v>
      </c>
      <c r="B294" s="1">
        <v>9</v>
      </c>
      <c r="C294" s="2">
        <v>41260</v>
      </c>
      <c r="D294" s="1" t="s">
        <v>2002</v>
      </c>
      <c r="E294" s="1">
        <v>100166</v>
      </c>
      <c r="F294" s="6" t="s">
        <v>2296</v>
      </c>
      <c r="G294" s="15" t="str">
        <f>VLOOKUP(A294,Movie!A:D,4,FALSE)</f>
        <v>Paramount</v>
      </c>
      <c r="H294" s="14">
        <f>VLOOKUP(E294,'Rental Transaction'!A:B,2,FALSE)</f>
        <v>357579</v>
      </c>
      <c r="I294">
        <f t="shared" si="4"/>
        <v>2012</v>
      </c>
    </row>
    <row r="295" spans="1:9">
      <c r="A295" s="1">
        <v>10201</v>
      </c>
      <c r="B295" s="1">
        <v>4</v>
      </c>
      <c r="C295" s="2">
        <v>41260</v>
      </c>
      <c r="D295" s="1" t="s">
        <v>2005</v>
      </c>
      <c r="E295" s="1">
        <v>100166</v>
      </c>
      <c r="F295" s="6" t="s">
        <v>2297</v>
      </c>
      <c r="G295" s="15" t="str">
        <f>VLOOKUP(A295,Movie!A:D,4,FALSE)</f>
        <v>Screen Gems</v>
      </c>
      <c r="H295" s="14">
        <f>VLOOKUP(E295,'Rental Transaction'!A:B,2,FALSE)</f>
        <v>357579</v>
      </c>
      <c r="I295">
        <f t="shared" si="4"/>
        <v>2012</v>
      </c>
    </row>
    <row r="296" spans="1:9">
      <c r="A296" s="1">
        <v>10022</v>
      </c>
      <c r="B296" s="1">
        <v>3</v>
      </c>
      <c r="C296" s="2">
        <v>41261</v>
      </c>
      <c r="D296" s="1" t="s">
        <v>2002</v>
      </c>
      <c r="E296" s="1">
        <v>100167</v>
      </c>
      <c r="F296" s="6" t="s">
        <v>2298</v>
      </c>
      <c r="G296" s="15" t="str">
        <f>VLOOKUP(A296,Movie!A:D,4,FALSE)</f>
        <v>Universal</v>
      </c>
      <c r="H296" s="14">
        <f>VLOOKUP(E296,'Rental Transaction'!A:B,2,FALSE)</f>
        <v>806545</v>
      </c>
      <c r="I296">
        <f t="shared" si="4"/>
        <v>2012</v>
      </c>
    </row>
    <row r="297" spans="1:9">
      <c r="A297" s="1">
        <v>10006</v>
      </c>
      <c r="B297" s="1">
        <v>4</v>
      </c>
      <c r="C297" s="2">
        <v>41261</v>
      </c>
      <c r="D297" s="1" t="s">
        <v>2005</v>
      </c>
      <c r="E297" s="1">
        <v>100168</v>
      </c>
      <c r="F297" s="6" t="s">
        <v>2299</v>
      </c>
      <c r="G297" s="15" t="str">
        <f>VLOOKUP(A297,Movie!A:D,4,FALSE)</f>
        <v>Paramount</v>
      </c>
      <c r="H297" s="14">
        <f>VLOOKUP(E297,'Rental Transaction'!A:B,2,FALSE)</f>
        <v>905670</v>
      </c>
      <c r="I297">
        <f t="shared" si="4"/>
        <v>2012</v>
      </c>
    </row>
    <row r="298" spans="1:9">
      <c r="A298" s="1">
        <v>10050</v>
      </c>
      <c r="B298" s="1">
        <v>1</v>
      </c>
      <c r="C298" s="2">
        <v>41261</v>
      </c>
      <c r="D298" s="1" t="s">
        <v>2005</v>
      </c>
      <c r="E298" s="1">
        <v>100169</v>
      </c>
      <c r="F298" s="6" t="s">
        <v>2300</v>
      </c>
      <c r="G298" s="15" t="str">
        <f>VLOOKUP(A298,Movie!A:D,4,FALSE)</f>
        <v>Paramount</v>
      </c>
      <c r="H298" s="14">
        <f>VLOOKUP(E298,'Rental Transaction'!A:B,2,FALSE)</f>
        <v>203787</v>
      </c>
      <c r="I298">
        <f t="shared" si="4"/>
        <v>2012</v>
      </c>
    </row>
    <row r="299" spans="1:9">
      <c r="A299" s="1">
        <v>10245</v>
      </c>
      <c r="B299" s="1">
        <v>7</v>
      </c>
      <c r="C299" s="2">
        <v>41262</v>
      </c>
      <c r="D299" s="1" t="s">
        <v>2002</v>
      </c>
      <c r="E299" s="1">
        <v>100169</v>
      </c>
      <c r="F299" s="6" t="s">
        <v>2301</v>
      </c>
      <c r="G299" s="15" t="str">
        <f>VLOOKUP(A299,Movie!A:D,4,FALSE)</f>
        <v>Warner Brothers</v>
      </c>
      <c r="H299" s="14">
        <f>VLOOKUP(E299,'Rental Transaction'!A:B,2,FALSE)</f>
        <v>203787</v>
      </c>
      <c r="I299">
        <f t="shared" si="4"/>
        <v>2012</v>
      </c>
    </row>
    <row r="300" spans="1:9">
      <c r="A300" s="1">
        <v>10090</v>
      </c>
      <c r="B300" s="1">
        <v>6</v>
      </c>
      <c r="C300" s="2">
        <v>41262</v>
      </c>
      <c r="D300" s="1" t="s">
        <v>2005</v>
      </c>
      <c r="E300" s="1">
        <v>100170</v>
      </c>
      <c r="F300" s="6" t="s">
        <v>2302</v>
      </c>
      <c r="G300" s="15" t="str">
        <f>VLOOKUP(A300,Movie!A:D,4,FALSE)</f>
        <v>Paramount</v>
      </c>
      <c r="H300" s="14">
        <f>VLOOKUP(E300,'Rental Transaction'!A:B,2,FALSE)</f>
        <v>864896</v>
      </c>
      <c r="I300">
        <f t="shared" si="4"/>
        <v>2012</v>
      </c>
    </row>
    <row r="301" spans="1:9">
      <c r="A301" s="1">
        <v>10027</v>
      </c>
      <c r="B301" s="1">
        <v>5</v>
      </c>
      <c r="C301" s="2">
        <v>41262</v>
      </c>
      <c r="D301" s="1" t="s">
        <v>2002</v>
      </c>
      <c r="E301" s="1">
        <v>100170</v>
      </c>
      <c r="F301" s="6" t="s">
        <v>2303</v>
      </c>
      <c r="G301" s="15" t="str">
        <f>VLOOKUP(A301,Movie!A:D,4,FALSE)</f>
        <v>FilmDistrict</v>
      </c>
      <c r="H301" s="14">
        <f>VLOOKUP(E301,'Rental Transaction'!A:B,2,FALSE)</f>
        <v>864896</v>
      </c>
      <c r="I301">
        <f t="shared" si="4"/>
        <v>2012</v>
      </c>
    </row>
    <row r="302" spans="1:9">
      <c r="A302" s="1">
        <v>10051</v>
      </c>
      <c r="B302" s="1">
        <v>6</v>
      </c>
      <c r="C302" s="2">
        <v>41262</v>
      </c>
      <c r="D302" s="1" t="s">
        <v>2002</v>
      </c>
      <c r="E302" s="1">
        <v>100171</v>
      </c>
      <c r="F302" s="6" t="s">
        <v>2304</v>
      </c>
      <c r="G302" s="15" t="str">
        <f>VLOOKUP(A302,Movie!A:D,4,FALSE)</f>
        <v>Paramount</v>
      </c>
      <c r="H302" s="14">
        <f>VLOOKUP(E302,'Rental Transaction'!A:B,2,FALSE)</f>
        <v>690100</v>
      </c>
      <c r="I302">
        <f t="shared" si="4"/>
        <v>2012</v>
      </c>
    </row>
    <row r="303" spans="1:9">
      <c r="A303" s="1">
        <v>10210</v>
      </c>
      <c r="B303" s="1">
        <v>10</v>
      </c>
      <c r="C303" s="2">
        <v>41262</v>
      </c>
      <c r="D303" s="1" t="s">
        <v>2005</v>
      </c>
      <c r="E303" s="1">
        <v>100171</v>
      </c>
      <c r="F303" s="6" t="s">
        <v>2305</v>
      </c>
      <c r="G303" s="15" t="str">
        <f>VLOOKUP(A303,Movie!A:D,4,FALSE)</f>
        <v>Sony</v>
      </c>
      <c r="H303" s="14">
        <f>VLOOKUP(E303,'Rental Transaction'!A:B,2,FALSE)</f>
        <v>690100</v>
      </c>
      <c r="I303">
        <f t="shared" si="4"/>
        <v>2012</v>
      </c>
    </row>
    <row r="304" spans="1:9">
      <c r="A304" s="1">
        <v>10145</v>
      </c>
      <c r="B304" s="1">
        <v>2</v>
      </c>
      <c r="C304" s="2">
        <v>41262</v>
      </c>
      <c r="D304" s="1" t="s">
        <v>2002</v>
      </c>
      <c r="E304" s="1">
        <v>100171</v>
      </c>
      <c r="F304" s="6" t="s">
        <v>2306</v>
      </c>
      <c r="G304" s="15" t="str">
        <f>VLOOKUP(A304,Movie!A:D,4,FALSE)</f>
        <v>TriStar</v>
      </c>
      <c r="H304" s="14">
        <f>VLOOKUP(E304,'Rental Transaction'!A:B,2,FALSE)</f>
        <v>690100</v>
      </c>
      <c r="I304">
        <f t="shared" si="4"/>
        <v>2012</v>
      </c>
    </row>
    <row r="305" spans="1:9">
      <c r="A305" s="1">
        <v>10219</v>
      </c>
      <c r="B305" s="1">
        <v>4</v>
      </c>
      <c r="C305" s="2">
        <v>41262</v>
      </c>
      <c r="D305" s="1" t="s">
        <v>2002</v>
      </c>
      <c r="E305" s="1">
        <v>100171</v>
      </c>
      <c r="F305" s="6" t="s">
        <v>2307</v>
      </c>
      <c r="G305" s="15" t="str">
        <f>VLOOKUP(A305,Movie!A:D,4,FALSE)</f>
        <v>Paramount</v>
      </c>
      <c r="H305" s="14">
        <f>VLOOKUP(E305,'Rental Transaction'!A:B,2,FALSE)</f>
        <v>690100</v>
      </c>
      <c r="I305">
        <f t="shared" si="4"/>
        <v>2012</v>
      </c>
    </row>
    <row r="306" spans="1:9">
      <c r="A306" s="1">
        <v>10085</v>
      </c>
      <c r="B306" s="1">
        <v>1</v>
      </c>
      <c r="C306" s="2">
        <v>41262</v>
      </c>
      <c r="D306" s="1" t="s">
        <v>2002</v>
      </c>
      <c r="E306" s="1">
        <v>100171</v>
      </c>
      <c r="F306" s="6" t="s">
        <v>2308</v>
      </c>
      <c r="G306" s="15" t="str">
        <f>VLOOKUP(A306,Movie!A:D,4,FALSE)</f>
        <v>Buena Vista</v>
      </c>
      <c r="H306" s="14">
        <f>VLOOKUP(E306,'Rental Transaction'!A:B,2,FALSE)</f>
        <v>690100</v>
      </c>
      <c r="I306">
        <f t="shared" si="4"/>
        <v>2012</v>
      </c>
    </row>
    <row r="307" spans="1:9">
      <c r="A307" s="1">
        <v>10206</v>
      </c>
      <c r="B307" s="1">
        <v>1</v>
      </c>
      <c r="C307" s="2">
        <v>41263</v>
      </c>
      <c r="D307" s="1" t="s">
        <v>2002</v>
      </c>
      <c r="E307" s="1">
        <v>100171</v>
      </c>
      <c r="F307" s="6" t="s">
        <v>2309</v>
      </c>
      <c r="G307" s="15" t="str">
        <f>VLOOKUP(A307,Movie!A:D,4,FALSE)</f>
        <v>Fox</v>
      </c>
      <c r="H307" s="14">
        <f>VLOOKUP(E307,'Rental Transaction'!A:B,2,FALSE)</f>
        <v>690100</v>
      </c>
      <c r="I307">
        <f t="shared" si="4"/>
        <v>2012</v>
      </c>
    </row>
    <row r="308" spans="1:9" ht="29.25">
      <c r="A308" s="1">
        <v>10095</v>
      </c>
      <c r="B308" s="1">
        <v>8</v>
      </c>
      <c r="C308" s="2">
        <v>41263</v>
      </c>
      <c r="D308" s="1" t="s">
        <v>2002</v>
      </c>
      <c r="E308" s="1">
        <v>100172</v>
      </c>
      <c r="F308" s="6" t="s">
        <v>2310</v>
      </c>
      <c r="G308" s="15" t="str">
        <f>VLOOKUP(A308,Movie!A:D,4,FALSE)</f>
        <v>Weinstein Company</v>
      </c>
      <c r="H308" s="14">
        <f>VLOOKUP(E308,'Rental Transaction'!A:B,2,FALSE)</f>
        <v>329994</v>
      </c>
      <c r="I308">
        <f t="shared" si="4"/>
        <v>2012</v>
      </c>
    </row>
    <row r="309" spans="1:9">
      <c r="A309" s="1">
        <v>10243</v>
      </c>
      <c r="B309" s="1">
        <v>8</v>
      </c>
      <c r="C309" s="2">
        <v>41263</v>
      </c>
      <c r="D309" s="1" t="s">
        <v>2002</v>
      </c>
      <c r="E309" s="1">
        <v>100172</v>
      </c>
      <c r="F309" s="6" t="s">
        <v>2311</v>
      </c>
      <c r="G309" s="15" t="str">
        <f>VLOOKUP(A309,Movie!A:D,4,FALSE)</f>
        <v>Fox</v>
      </c>
      <c r="H309" s="14">
        <f>VLOOKUP(E309,'Rental Transaction'!A:B,2,FALSE)</f>
        <v>329994</v>
      </c>
      <c r="I309">
        <f t="shared" si="4"/>
        <v>2012</v>
      </c>
    </row>
    <row r="310" spans="1:9" ht="29.25">
      <c r="A310" s="1">
        <v>10154</v>
      </c>
      <c r="B310" s="1">
        <v>2</v>
      </c>
      <c r="C310" s="2">
        <v>41264</v>
      </c>
      <c r="D310" s="1" t="s">
        <v>2005</v>
      </c>
      <c r="E310" s="1">
        <v>100173</v>
      </c>
      <c r="F310" s="6" t="s">
        <v>2312</v>
      </c>
      <c r="G310" s="15" t="str">
        <f>VLOOKUP(A310,Movie!A:D,4,FALSE)</f>
        <v>Summit Entertainment</v>
      </c>
      <c r="H310" s="14">
        <f>VLOOKUP(E310,'Rental Transaction'!A:B,2,FALSE)</f>
        <v>230602</v>
      </c>
      <c r="I310">
        <f t="shared" si="4"/>
        <v>2012</v>
      </c>
    </row>
    <row r="311" spans="1:9">
      <c r="A311" s="1">
        <v>10052</v>
      </c>
      <c r="B311" s="1">
        <v>10</v>
      </c>
      <c r="C311" s="2">
        <v>41266</v>
      </c>
      <c r="D311" s="1" t="s">
        <v>2002</v>
      </c>
      <c r="E311" s="1">
        <v>100173</v>
      </c>
      <c r="F311" s="6" t="s">
        <v>2313</v>
      </c>
      <c r="G311" s="15" t="str">
        <f>VLOOKUP(A311,Movie!A:D,4,FALSE)</f>
        <v>Warner Brothers</v>
      </c>
      <c r="H311" s="14">
        <f>VLOOKUP(E311,'Rental Transaction'!A:B,2,FALSE)</f>
        <v>230602</v>
      </c>
      <c r="I311">
        <f t="shared" si="4"/>
        <v>2012</v>
      </c>
    </row>
    <row r="312" spans="1:9">
      <c r="A312" s="1">
        <v>10117</v>
      </c>
      <c r="B312" s="1">
        <v>6</v>
      </c>
      <c r="C312" s="2">
        <v>41264</v>
      </c>
      <c r="D312" s="1" t="s">
        <v>2005</v>
      </c>
      <c r="E312" s="1">
        <v>100174</v>
      </c>
      <c r="F312" s="6" t="s">
        <v>2314</v>
      </c>
      <c r="G312" s="15" t="str">
        <f>VLOOKUP(A312,Movie!A:D,4,FALSE)</f>
        <v>Sony</v>
      </c>
      <c r="H312" s="14">
        <f>VLOOKUP(E312,'Rental Transaction'!A:B,2,FALSE)</f>
        <v>791850</v>
      </c>
      <c r="I312">
        <f t="shared" si="4"/>
        <v>2012</v>
      </c>
    </row>
    <row r="313" spans="1:9">
      <c r="A313" s="1">
        <v>10014</v>
      </c>
      <c r="B313" s="1">
        <v>2</v>
      </c>
      <c r="C313" s="2">
        <v>41265</v>
      </c>
      <c r="D313" s="1" t="s">
        <v>2005</v>
      </c>
      <c r="E313" s="1">
        <v>100175</v>
      </c>
      <c r="F313" s="6" t="s">
        <v>2315</v>
      </c>
      <c r="G313" s="15" t="str">
        <f>VLOOKUP(A313,Movie!A:D,4,FALSE)</f>
        <v>Warner Brothers</v>
      </c>
      <c r="H313" s="14">
        <f>VLOOKUP(E313,'Rental Transaction'!A:B,2,FALSE)</f>
        <v>137696</v>
      </c>
      <c r="I313">
        <f t="shared" si="4"/>
        <v>2012</v>
      </c>
    </row>
    <row r="314" spans="1:9">
      <c r="A314" s="1">
        <v>10016</v>
      </c>
      <c r="B314" s="1">
        <v>2</v>
      </c>
      <c r="C314" s="2">
        <v>41264</v>
      </c>
      <c r="D314" s="1" t="s">
        <v>2005</v>
      </c>
      <c r="E314" s="1">
        <v>100175</v>
      </c>
      <c r="F314" s="6" t="s">
        <v>2316</v>
      </c>
      <c r="G314" s="15" t="str">
        <f>VLOOKUP(A314,Movie!A:D,4,FALSE)</f>
        <v>Universal</v>
      </c>
      <c r="H314" s="14">
        <f>VLOOKUP(E314,'Rental Transaction'!A:B,2,FALSE)</f>
        <v>137696</v>
      </c>
      <c r="I314">
        <f t="shared" si="4"/>
        <v>2012</v>
      </c>
    </row>
    <row r="315" spans="1:9">
      <c r="A315" s="1">
        <v>10030</v>
      </c>
      <c r="B315" s="1">
        <v>6</v>
      </c>
      <c r="C315" s="2">
        <v>41266</v>
      </c>
      <c r="D315" s="1" t="s">
        <v>2005</v>
      </c>
      <c r="E315" s="1">
        <v>100176</v>
      </c>
      <c r="F315" s="6" t="s">
        <v>2317</v>
      </c>
      <c r="G315" s="15" t="str">
        <f>VLOOKUP(A315,Movie!A:D,4,FALSE)</f>
        <v>Warner Brothers</v>
      </c>
      <c r="H315" s="14">
        <f>VLOOKUP(E315,'Rental Transaction'!A:B,2,FALSE)</f>
        <v>409910</v>
      </c>
      <c r="I315">
        <f t="shared" si="4"/>
        <v>2012</v>
      </c>
    </row>
    <row r="316" spans="1:9">
      <c r="A316" s="1">
        <v>10014</v>
      </c>
      <c r="B316" s="1">
        <v>9</v>
      </c>
      <c r="C316" s="2">
        <v>41267</v>
      </c>
      <c r="D316" s="1" t="s">
        <v>2005</v>
      </c>
      <c r="E316" s="1">
        <v>100177</v>
      </c>
      <c r="F316" s="6" t="s">
        <v>2318</v>
      </c>
      <c r="G316" s="15" t="str">
        <f>VLOOKUP(A316,Movie!A:D,4,FALSE)</f>
        <v>Warner Brothers</v>
      </c>
      <c r="H316" s="14">
        <f>VLOOKUP(E316,'Rental Transaction'!A:B,2,FALSE)</f>
        <v>852925</v>
      </c>
      <c r="I316">
        <f t="shared" si="4"/>
        <v>2012</v>
      </c>
    </row>
    <row r="317" spans="1:9">
      <c r="A317" s="1">
        <v>10176</v>
      </c>
      <c r="B317" s="1">
        <v>3</v>
      </c>
      <c r="C317" s="2">
        <v>41266</v>
      </c>
      <c r="D317" s="1" t="s">
        <v>2005</v>
      </c>
      <c r="E317" s="1">
        <v>100178</v>
      </c>
      <c r="F317" s="6" t="s">
        <v>2319</v>
      </c>
      <c r="G317" s="15" t="str">
        <f>VLOOKUP(A317,Movie!A:D,4,FALSE)</f>
        <v>Universal</v>
      </c>
      <c r="H317" s="14">
        <f>VLOOKUP(E317,'Rental Transaction'!A:B,2,FALSE)</f>
        <v>454015</v>
      </c>
      <c r="I317">
        <f t="shared" si="4"/>
        <v>2012</v>
      </c>
    </row>
    <row r="318" spans="1:9">
      <c r="A318" s="1">
        <v>10223</v>
      </c>
      <c r="B318" s="1">
        <v>4</v>
      </c>
      <c r="C318" s="2">
        <v>41267</v>
      </c>
      <c r="D318" s="1" t="s">
        <v>2002</v>
      </c>
      <c r="E318" s="1">
        <v>100179</v>
      </c>
      <c r="F318" s="6" t="s">
        <v>2320</v>
      </c>
      <c r="G318" s="15" t="str">
        <f>VLOOKUP(A318,Movie!A:D,4,FALSE)</f>
        <v>Universal</v>
      </c>
      <c r="H318" s="14">
        <f>VLOOKUP(E318,'Rental Transaction'!A:B,2,FALSE)</f>
        <v>566192</v>
      </c>
      <c r="I318">
        <f t="shared" si="4"/>
        <v>2012</v>
      </c>
    </row>
    <row r="319" spans="1:9">
      <c r="A319" s="1">
        <v>10020</v>
      </c>
      <c r="B319" s="1">
        <v>1</v>
      </c>
      <c r="C319" s="2">
        <v>41266</v>
      </c>
      <c r="D319" s="1" t="s">
        <v>2002</v>
      </c>
      <c r="E319" s="1">
        <v>100179</v>
      </c>
      <c r="F319" s="6" t="s">
        <v>2321</v>
      </c>
      <c r="G319" s="15" t="str">
        <f>VLOOKUP(A319,Movie!A:D,4,FALSE)</f>
        <v>FilmDistrict</v>
      </c>
      <c r="H319" s="14">
        <f>VLOOKUP(E319,'Rental Transaction'!A:B,2,FALSE)</f>
        <v>566192</v>
      </c>
      <c r="I319">
        <f t="shared" si="4"/>
        <v>2012</v>
      </c>
    </row>
    <row r="320" spans="1:9">
      <c r="A320" s="1">
        <v>10027</v>
      </c>
      <c r="B320" s="1">
        <v>3</v>
      </c>
      <c r="C320" s="2">
        <v>41268</v>
      </c>
      <c r="D320" s="1" t="s">
        <v>2005</v>
      </c>
      <c r="E320" s="1">
        <v>100180</v>
      </c>
      <c r="F320" s="6" t="s">
        <v>2322</v>
      </c>
      <c r="G320" s="15" t="str">
        <f>VLOOKUP(A320,Movie!A:D,4,FALSE)</f>
        <v>FilmDistrict</v>
      </c>
      <c r="H320" s="14">
        <f>VLOOKUP(E320,'Rental Transaction'!A:B,2,FALSE)</f>
        <v>720602</v>
      </c>
      <c r="I320">
        <f t="shared" si="4"/>
        <v>2012</v>
      </c>
    </row>
    <row r="321" spans="1:9">
      <c r="A321" s="1">
        <v>10100</v>
      </c>
      <c r="B321" s="1">
        <v>8</v>
      </c>
      <c r="C321" s="2">
        <v>41268</v>
      </c>
      <c r="D321" s="1" t="s">
        <v>2002</v>
      </c>
      <c r="E321" s="1">
        <v>100181</v>
      </c>
      <c r="F321" s="6" t="s">
        <v>2323</v>
      </c>
      <c r="G321" s="15" t="str">
        <f>VLOOKUP(A321,Movie!A:D,4,FALSE)</f>
        <v>Fox</v>
      </c>
      <c r="H321" s="14">
        <f>VLOOKUP(E321,'Rental Transaction'!A:B,2,FALSE)</f>
        <v>951701</v>
      </c>
      <c r="I321">
        <f t="shared" si="4"/>
        <v>2012</v>
      </c>
    </row>
    <row r="322" spans="1:9">
      <c r="A322" s="1">
        <v>10172</v>
      </c>
      <c r="B322" s="1">
        <v>10</v>
      </c>
      <c r="C322" s="2">
        <v>41269</v>
      </c>
      <c r="D322" s="1" t="s">
        <v>2002</v>
      </c>
      <c r="E322" s="1">
        <v>100182</v>
      </c>
      <c r="F322" s="6" t="s">
        <v>2324</v>
      </c>
      <c r="G322" s="15" t="str">
        <f>VLOOKUP(A322,Movie!A:D,4,FALSE)</f>
        <v>Lionsgate</v>
      </c>
      <c r="H322" s="14">
        <f>VLOOKUP(E322,'Rental Transaction'!A:B,2,FALSE)</f>
        <v>421074</v>
      </c>
      <c r="I322">
        <f t="shared" si="4"/>
        <v>2012</v>
      </c>
    </row>
    <row r="323" spans="1:9">
      <c r="A323" s="1">
        <v>10173</v>
      </c>
      <c r="B323" s="1">
        <v>9</v>
      </c>
      <c r="C323" s="2">
        <v>41269</v>
      </c>
      <c r="D323" s="1" t="s">
        <v>2005</v>
      </c>
      <c r="E323" s="1">
        <v>100183</v>
      </c>
      <c r="F323" s="6" t="s">
        <v>2325</v>
      </c>
      <c r="G323" s="15" t="str">
        <f>VLOOKUP(A323,Movie!A:D,4,FALSE)</f>
        <v>Sony</v>
      </c>
      <c r="H323" s="14">
        <f>VLOOKUP(E323,'Rental Transaction'!A:B,2,FALSE)</f>
        <v>109251</v>
      </c>
      <c r="I323">
        <f t="shared" ref="I323:I386" si="5">YEAR(C323)</f>
        <v>2012</v>
      </c>
    </row>
    <row r="324" spans="1:9">
      <c r="A324" s="1">
        <v>10041</v>
      </c>
      <c r="B324" s="1">
        <v>4</v>
      </c>
      <c r="C324" s="2">
        <v>41270</v>
      </c>
      <c r="D324" s="1" t="s">
        <v>2005</v>
      </c>
      <c r="E324" s="1">
        <v>100184</v>
      </c>
      <c r="F324" s="6" t="s">
        <v>2326</v>
      </c>
      <c r="G324" s="15" t="str">
        <f>VLOOKUP(A324,Movie!A:D,4,FALSE)</f>
        <v>Lionsgate</v>
      </c>
      <c r="H324" s="14">
        <f>VLOOKUP(E324,'Rental Transaction'!A:B,2,FALSE)</f>
        <v>994199</v>
      </c>
      <c r="I324">
        <f t="shared" si="5"/>
        <v>2012</v>
      </c>
    </row>
    <row r="325" spans="1:9">
      <c r="A325" s="1">
        <v>10245</v>
      </c>
      <c r="B325" s="1">
        <v>9</v>
      </c>
      <c r="C325" s="2">
        <v>41269</v>
      </c>
      <c r="D325" s="1" t="s">
        <v>2002</v>
      </c>
      <c r="E325" s="1">
        <v>100184</v>
      </c>
      <c r="F325" s="6" t="s">
        <v>2327</v>
      </c>
      <c r="G325" s="15" t="str">
        <f>VLOOKUP(A325,Movie!A:D,4,FALSE)</f>
        <v>Warner Brothers</v>
      </c>
      <c r="H325" s="14">
        <f>VLOOKUP(E325,'Rental Transaction'!A:B,2,FALSE)</f>
        <v>994199</v>
      </c>
      <c r="I325">
        <f t="shared" si="5"/>
        <v>2012</v>
      </c>
    </row>
    <row r="326" spans="1:9">
      <c r="A326" s="1">
        <v>10223</v>
      </c>
      <c r="B326" s="1">
        <v>8</v>
      </c>
      <c r="C326" s="2">
        <v>41270</v>
      </c>
      <c r="D326" s="1" t="s">
        <v>2002</v>
      </c>
      <c r="E326" s="1">
        <v>100184</v>
      </c>
      <c r="F326" s="6" t="s">
        <v>2328</v>
      </c>
      <c r="G326" s="15" t="str">
        <f>VLOOKUP(A326,Movie!A:D,4,FALSE)</f>
        <v>Universal</v>
      </c>
      <c r="H326" s="14">
        <f>VLOOKUP(E326,'Rental Transaction'!A:B,2,FALSE)</f>
        <v>994199</v>
      </c>
      <c r="I326">
        <f t="shared" si="5"/>
        <v>2012</v>
      </c>
    </row>
    <row r="327" spans="1:9">
      <c r="A327" s="1">
        <v>10235</v>
      </c>
      <c r="B327" s="1">
        <v>10</v>
      </c>
      <c r="C327" s="2">
        <v>41269</v>
      </c>
      <c r="D327" s="1" t="s">
        <v>2005</v>
      </c>
      <c r="E327" s="1">
        <v>100185</v>
      </c>
      <c r="F327" s="6" t="s">
        <v>2329</v>
      </c>
      <c r="G327" s="15" t="str">
        <f>VLOOKUP(A327,Movie!A:D,4,FALSE)</f>
        <v>Lionsgate</v>
      </c>
      <c r="H327" s="14">
        <f>VLOOKUP(E327,'Rental Transaction'!A:B,2,FALSE)</f>
        <v>724813</v>
      </c>
      <c r="I327">
        <f t="shared" si="5"/>
        <v>2012</v>
      </c>
    </row>
    <row r="328" spans="1:9">
      <c r="A328" s="1">
        <v>10148</v>
      </c>
      <c r="B328" s="1">
        <v>4</v>
      </c>
      <c r="C328" s="2">
        <v>41270</v>
      </c>
      <c r="D328" s="1" t="s">
        <v>2005</v>
      </c>
      <c r="E328" s="1">
        <v>100185</v>
      </c>
      <c r="F328" s="6" t="s">
        <v>2330</v>
      </c>
      <c r="G328" s="15" t="str">
        <f>VLOOKUP(A328,Movie!A:D,4,FALSE)</f>
        <v>Paramount</v>
      </c>
      <c r="H328" s="14">
        <f>VLOOKUP(E328,'Rental Transaction'!A:B,2,FALSE)</f>
        <v>724813</v>
      </c>
      <c r="I328">
        <f t="shared" si="5"/>
        <v>2012</v>
      </c>
    </row>
    <row r="329" spans="1:9">
      <c r="A329" s="1">
        <v>10099</v>
      </c>
      <c r="B329" s="1">
        <v>8</v>
      </c>
      <c r="C329" s="2">
        <v>41269</v>
      </c>
      <c r="D329" s="1" t="s">
        <v>2002</v>
      </c>
      <c r="E329" s="1">
        <v>100186</v>
      </c>
      <c r="F329" s="6" t="s">
        <v>2331</v>
      </c>
      <c r="G329" s="15" t="str">
        <f>VLOOKUP(A329,Movie!A:D,4,FALSE)</f>
        <v>Lionsgate</v>
      </c>
      <c r="H329" s="14">
        <f>VLOOKUP(E329,'Rental Transaction'!A:B,2,FALSE)</f>
        <v>693531</v>
      </c>
      <c r="I329">
        <f t="shared" si="5"/>
        <v>2012</v>
      </c>
    </row>
    <row r="330" spans="1:9">
      <c r="A330" s="1">
        <v>10022</v>
      </c>
      <c r="B330" s="1">
        <v>5</v>
      </c>
      <c r="C330" s="2">
        <v>41269</v>
      </c>
      <c r="D330" s="1" t="s">
        <v>2002</v>
      </c>
      <c r="E330" s="1">
        <v>100187</v>
      </c>
      <c r="F330" s="6" t="s">
        <v>2332</v>
      </c>
      <c r="G330" s="15" t="str">
        <f>VLOOKUP(A330,Movie!A:D,4,FALSE)</f>
        <v>Universal</v>
      </c>
      <c r="H330" s="14">
        <f>VLOOKUP(E330,'Rental Transaction'!A:B,2,FALSE)</f>
        <v>296208</v>
      </c>
      <c r="I330">
        <f t="shared" si="5"/>
        <v>2012</v>
      </c>
    </row>
    <row r="331" spans="1:9">
      <c r="A331" s="1">
        <v>10030</v>
      </c>
      <c r="B331" s="1">
        <v>3</v>
      </c>
      <c r="C331" s="2">
        <v>41270</v>
      </c>
      <c r="D331" s="1" t="s">
        <v>2005</v>
      </c>
      <c r="E331" s="1">
        <v>100188</v>
      </c>
      <c r="F331" s="6" t="s">
        <v>2333</v>
      </c>
      <c r="G331" s="15" t="str">
        <f>VLOOKUP(A331,Movie!A:D,4,FALSE)</f>
        <v>Warner Brothers</v>
      </c>
      <c r="H331" s="14">
        <f>VLOOKUP(E331,'Rental Transaction'!A:B,2,FALSE)</f>
        <v>183797</v>
      </c>
      <c r="I331">
        <f t="shared" si="5"/>
        <v>2012</v>
      </c>
    </row>
    <row r="332" spans="1:9">
      <c r="A332" s="1">
        <v>10212</v>
      </c>
      <c r="B332" s="1">
        <v>5</v>
      </c>
      <c r="C332" s="2">
        <v>41270</v>
      </c>
      <c r="D332" s="1" t="s">
        <v>2005</v>
      </c>
      <c r="E332" s="1">
        <v>100189</v>
      </c>
      <c r="F332" s="6" t="s">
        <v>2334</v>
      </c>
      <c r="G332" s="15" t="str">
        <f>VLOOKUP(A332,Movie!A:D,4,FALSE)</f>
        <v>Lionsgate</v>
      </c>
      <c r="H332" s="14">
        <f>VLOOKUP(E332,'Rental Transaction'!A:B,2,FALSE)</f>
        <v>325263</v>
      </c>
      <c r="I332">
        <f t="shared" si="5"/>
        <v>2012</v>
      </c>
    </row>
    <row r="333" spans="1:9">
      <c r="A333" s="1">
        <v>10181</v>
      </c>
      <c r="B333" s="1">
        <v>7</v>
      </c>
      <c r="C333" s="2">
        <v>41270</v>
      </c>
      <c r="D333" s="1" t="s">
        <v>2002</v>
      </c>
      <c r="E333" s="1">
        <v>100189</v>
      </c>
      <c r="F333" s="6" t="s">
        <v>2335</v>
      </c>
      <c r="G333" s="15" t="str">
        <f>VLOOKUP(A333,Movie!A:D,4,FALSE)</f>
        <v>Fox</v>
      </c>
      <c r="H333" s="14">
        <f>VLOOKUP(E333,'Rental Transaction'!A:B,2,FALSE)</f>
        <v>325263</v>
      </c>
      <c r="I333">
        <f t="shared" si="5"/>
        <v>2012</v>
      </c>
    </row>
    <row r="334" spans="1:9">
      <c r="A334" s="1">
        <v>10142</v>
      </c>
      <c r="B334" s="1">
        <v>1</v>
      </c>
      <c r="C334" s="2">
        <v>41270</v>
      </c>
      <c r="D334" s="1" t="s">
        <v>2002</v>
      </c>
      <c r="E334" s="1">
        <v>100190</v>
      </c>
      <c r="F334" s="6" t="s">
        <v>2336</v>
      </c>
      <c r="G334" s="15" t="str">
        <f>VLOOKUP(A334,Movie!A:D,4,FALSE)</f>
        <v>Warner Brothers</v>
      </c>
      <c r="H334" s="14">
        <f>VLOOKUP(E334,'Rental Transaction'!A:B,2,FALSE)</f>
        <v>656728</v>
      </c>
      <c r="I334">
        <f t="shared" si="5"/>
        <v>2012</v>
      </c>
    </row>
    <row r="335" spans="1:9">
      <c r="A335" s="1">
        <v>10108</v>
      </c>
      <c r="B335" s="1">
        <v>10</v>
      </c>
      <c r="C335" s="2">
        <v>41272</v>
      </c>
      <c r="D335" s="1" t="s">
        <v>2005</v>
      </c>
      <c r="E335" s="1">
        <v>100191</v>
      </c>
      <c r="F335" s="6" t="s">
        <v>2337</v>
      </c>
      <c r="G335" s="15" t="str">
        <f>VLOOKUP(A335,Movie!A:D,4,FALSE)</f>
        <v>Fox</v>
      </c>
      <c r="H335" s="14">
        <f>VLOOKUP(E335,'Rental Transaction'!A:B,2,FALSE)</f>
        <v>137696</v>
      </c>
      <c r="I335">
        <f t="shared" si="5"/>
        <v>2012</v>
      </c>
    </row>
    <row r="336" spans="1:9">
      <c r="A336" s="1">
        <v>10037</v>
      </c>
      <c r="B336" s="1">
        <v>9</v>
      </c>
      <c r="C336" s="2">
        <v>41271</v>
      </c>
      <c r="D336" s="1" t="s">
        <v>2005</v>
      </c>
      <c r="E336" s="1">
        <v>100191</v>
      </c>
      <c r="F336" s="6" t="s">
        <v>2338</v>
      </c>
      <c r="G336" s="15" t="str">
        <f>VLOOKUP(A336,Movie!A:D,4,FALSE)</f>
        <v>Buena Vista</v>
      </c>
      <c r="H336" s="14">
        <f>VLOOKUP(E336,'Rental Transaction'!A:B,2,FALSE)</f>
        <v>137696</v>
      </c>
      <c r="I336">
        <f t="shared" si="5"/>
        <v>2012</v>
      </c>
    </row>
    <row r="337" spans="1:9">
      <c r="A337" s="1">
        <v>10142</v>
      </c>
      <c r="B337" s="1">
        <v>2</v>
      </c>
      <c r="C337" s="2">
        <v>41272</v>
      </c>
      <c r="D337" s="1" t="s">
        <v>2005</v>
      </c>
      <c r="E337" s="1">
        <v>100192</v>
      </c>
      <c r="F337" s="6" t="s">
        <v>2339</v>
      </c>
      <c r="G337" s="15" t="str">
        <f>VLOOKUP(A337,Movie!A:D,4,FALSE)</f>
        <v>Warner Brothers</v>
      </c>
      <c r="H337" s="14">
        <f>VLOOKUP(E337,'Rental Transaction'!A:B,2,FALSE)</f>
        <v>418635</v>
      </c>
      <c r="I337">
        <f t="shared" si="5"/>
        <v>2012</v>
      </c>
    </row>
    <row r="338" spans="1:9">
      <c r="A338" s="1">
        <v>10055</v>
      </c>
      <c r="B338" s="1">
        <v>5</v>
      </c>
      <c r="C338" s="2">
        <v>41272</v>
      </c>
      <c r="D338" s="1" t="s">
        <v>2002</v>
      </c>
      <c r="E338" s="1">
        <v>100192</v>
      </c>
      <c r="F338" s="6" t="s">
        <v>2340</v>
      </c>
      <c r="G338" s="15" t="str">
        <f>VLOOKUP(A338,Movie!A:D,4,FALSE)</f>
        <v>Sony Classics</v>
      </c>
      <c r="H338" s="14">
        <f>VLOOKUP(E338,'Rental Transaction'!A:B,2,FALSE)</f>
        <v>418635</v>
      </c>
      <c r="I338">
        <f t="shared" si="5"/>
        <v>2012</v>
      </c>
    </row>
    <row r="339" spans="1:9">
      <c r="A339" s="1">
        <v>10210</v>
      </c>
      <c r="B339" s="1">
        <v>3</v>
      </c>
      <c r="C339" s="2">
        <v>41274</v>
      </c>
      <c r="D339" s="1" t="s">
        <v>2002</v>
      </c>
      <c r="E339" s="1">
        <v>100193</v>
      </c>
      <c r="F339" s="6" t="s">
        <v>2341</v>
      </c>
      <c r="G339" s="15" t="str">
        <f>VLOOKUP(A339,Movie!A:D,4,FALSE)</f>
        <v>Sony</v>
      </c>
      <c r="H339" s="14">
        <f>VLOOKUP(E339,'Rental Transaction'!A:B,2,FALSE)</f>
        <v>528475</v>
      </c>
      <c r="I339">
        <f t="shared" si="5"/>
        <v>2012</v>
      </c>
    </row>
    <row r="340" spans="1:9">
      <c r="A340" s="1">
        <v>10076</v>
      </c>
      <c r="B340" s="1">
        <v>9</v>
      </c>
      <c r="C340" s="2">
        <v>41274</v>
      </c>
      <c r="D340" s="1" t="s">
        <v>2002</v>
      </c>
      <c r="E340" s="1">
        <v>100193</v>
      </c>
      <c r="F340" s="6" t="s">
        <v>2342</v>
      </c>
      <c r="G340" s="15" t="str">
        <f>VLOOKUP(A340,Movie!A:D,4,FALSE)</f>
        <v>Sony</v>
      </c>
      <c r="H340" s="14">
        <f>VLOOKUP(E340,'Rental Transaction'!A:B,2,FALSE)</f>
        <v>528475</v>
      </c>
      <c r="I340">
        <f t="shared" si="5"/>
        <v>2012</v>
      </c>
    </row>
    <row r="341" spans="1:9">
      <c r="A341" s="1">
        <v>10217</v>
      </c>
      <c r="B341" s="1">
        <v>7</v>
      </c>
      <c r="C341" s="2">
        <v>41272</v>
      </c>
      <c r="D341" s="1" t="s">
        <v>2005</v>
      </c>
      <c r="E341" s="1">
        <v>100194</v>
      </c>
      <c r="F341" s="6" t="s">
        <v>2343</v>
      </c>
      <c r="G341" s="15" t="str">
        <f>VLOOKUP(A341,Movie!A:D,4,FALSE)</f>
        <v>Warner Brothers</v>
      </c>
      <c r="H341" s="14">
        <f>VLOOKUP(E341,'Rental Transaction'!A:B,2,FALSE)</f>
        <v>265707</v>
      </c>
      <c r="I341">
        <f t="shared" si="5"/>
        <v>2012</v>
      </c>
    </row>
    <row r="342" spans="1:9">
      <c r="A342" s="1">
        <v>10238</v>
      </c>
      <c r="B342" s="1">
        <v>8</v>
      </c>
      <c r="C342" s="2">
        <v>41272</v>
      </c>
      <c r="D342" s="1" t="s">
        <v>2002</v>
      </c>
      <c r="E342" s="1">
        <v>100195</v>
      </c>
      <c r="F342" s="6" t="s">
        <v>2344</v>
      </c>
      <c r="G342" s="15" t="str">
        <f>VLOOKUP(A342,Movie!A:D,4,FALSE)</f>
        <v>Warner Brothers</v>
      </c>
      <c r="H342" s="14">
        <f>VLOOKUP(E342,'Rental Transaction'!A:B,2,FALSE)</f>
        <v>690100</v>
      </c>
      <c r="I342">
        <f t="shared" si="5"/>
        <v>2012</v>
      </c>
    </row>
    <row r="343" spans="1:9">
      <c r="A343" s="1">
        <v>10066</v>
      </c>
      <c r="B343" s="1">
        <v>5</v>
      </c>
      <c r="C343" s="2">
        <v>41273</v>
      </c>
      <c r="D343" s="1" t="s">
        <v>2005</v>
      </c>
      <c r="E343" s="1">
        <v>100195</v>
      </c>
      <c r="F343" s="6" t="s">
        <v>2345</v>
      </c>
      <c r="G343" s="15" t="str">
        <f>VLOOKUP(A343,Movie!A:D,4,FALSE)</f>
        <v>Buena Vista</v>
      </c>
      <c r="H343" s="14">
        <f>VLOOKUP(E343,'Rental Transaction'!A:B,2,FALSE)</f>
        <v>690100</v>
      </c>
      <c r="I343">
        <f t="shared" si="5"/>
        <v>2012</v>
      </c>
    </row>
    <row r="344" spans="1:9">
      <c r="A344" s="1">
        <v>10092</v>
      </c>
      <c r="B344" s="1">
        <v>8</v>
      </c>
      <c r="C344" s="2">
        <v>41272</v>
      </c>
      <c r="D344" s="1" t="s">
        <v>2005</v>
      </c>
      <c r="E344" s="1">
        <v>100195</v>
      </c>
      <c r="F344" s="6" t="s">
        <v>2346</v>
      </c>
      <c r="G344" s="15" t="str">
        <f>VLOOKUP(A344,Movie!A:D,4,FALSE)</f>
        <v>Warner Brothers</v>
      </c>
      <c r="H344" s="14">
        <f>VLOOKUP(E344,'Rental Transaction'!A:B,2,FALSE)</f>
        <v>690100</v>
      </c>
      <c r="I344">
        <f t="shared" si="5"/>
        <v>2012</v>
      </c>
    </row>
    <row r="345" spans="1:9">
      <c r="A345" s="1">
        <v>10045</v>
      </c>
      <c r="B345" s="1">
        <v>8</v>
      </c>
      <c r="C345" s="2">
        <v>41272</v>
      </c>
      <c r="D345" s="1" t="s">
        <v>2005</v>
      </c>
      <c r="E345" s="1">
        <v>100195</v>
      </c>
      <c r="F345" s="6" t="s">
        <v>2347</v>
      </c>
      <c r="G345" s="15" t="str">
        <f>VLOOKUP(A345,Movie!A:D,4,FALSE)</f>
        <v>Warner Brothers</v>
      </c>
      <c r="H345" s="14">
        <f>VLOOKUP(E345,'Rental Transaction'!A:B,2,FALSE)</f>
        <v>690100</v>
      </c>
      <c r="I345">
        <f t="shared" si="5"/>
        <v>2012</v>
      </c>
    </row>
    <row r="346" spans="1:9">
      <c r="A346" s="1">
        <v>10084</v>
      </c>
      <c r="B346" s="1">
        <v>8</v>
      </c>
      <c r="C346" s="2">
        <v>41273</v>
      </c>
      <c r="D346" s="1" t="s">
        <v>2002</v>
      </c>
      <c r="E346" s="1">
        <v>100196</v>
      </c>
      <c r="F346" s="6" t="s">
        <v>2348</v>
      </c>
      <c r="G346" s="15" t="str">
        <f>VLOOKUP(A346,Movie!A:D,4,FALSE)</f>
        <v>CBS Films</v>
      </c>
      <c r="H346" s="14">
        <f>VLOOKUP(E346,'Rental Transaction'!A:B,2,FALSE)</f>
        <v>739669</v>
      </c>
      <c r="I346">
        <f t="shared" si="5"/>
        <v>2012</v>
      </c>
    </row>
    <row r="347" spans="1:9">
      <c r="A347" s="1">
        <v>10211</v>
      </c>
      <c r="B347" s="1">
        <v>8</v>
      </c>
      <c r="C347" s="2">
        <v>41272</v>
      </c>
      <c r="D347" s="1" t="s">
        <v>2002</v>
      </c>
      <c r="E347" s="1">
        <v>100196</v>
      </c>
      <c r="F347" s="6" t="s">
        <v>2349</v>
      </c>
      <c r="G347" s="15" t="str">
        <f>VLOOKUP(A347,Movie!A:D,4,FALSE)</f>
        <v>Buena Vista</v>
      </c>
      <c r="H347" s="14">
        <f>VLOOKUP(E347,'Rental Transaction'!A:B,2,FALSE)</f>
        <v>739669</v>
      </c>
      <c r="I347">
        <f t="shared" si="5"/>
        <v>2012</v>
      </c>
    </row>
    <row r="348" spans="1:9">
      <c r="A348" s="1">
        <v>10219</v>
      </c>
      <c r="B348" s="1">
        <v>5</v>
      </c>
      <c r="C348" s="2">
        <v>41272</v>
      </c>
      <c r="D348" s="1" t="s">
        <v>2002</v>
      </c>
      <c r="E348" s="1">
        <v>100196</v>
      </c>
      <c r="F348" s="6" t="s">
        <v>2350</v>
      </c>
      <c r="G348" s="15" t="str">
        <f>VLOOKUP(A348,Movie!A:D,4,FALSE)</f>
        <v>Paramount</v>
      </c>
      <c r="H348" s="14">
        <f>VLOOKUP(E348,'Rental Transaction'!A:B,2,FALSE)</f>
        <v>739669</v>
      </c>
      <c r="I348">
        <f t="shared" si="5"/>
        <v>2012</v>
      </c>
    </row>
    <row r="349" spans="1:9">
      <c r="A349" s="1">
        <v>10049</v>
      </c>
      <c r="B349" s="1">
        <v>2</v>
      </c>
      <c r="C349" s="2">
        <v>41272</v>
      </c>
      <c r="D349" s="1" t="s">
        <v>2005</v>
      </c>
      <c r="E349" s="1">
        <v>100196</v>
      </c>
      <c r="F349" s="6" t="s">
        <v>2351</v>
      </c>
      <c r="G349" s="15" t="str">
        <f>VLOOKUP(A349,Movie!A:D,4,FALSE)</f>
        <v>Universal</v>
      </c>
      <c r="H349" s="14">
        <f>VLOOKUP(E349,'Rental Transaction'!A:B,2,FALSE)</f>
        <v>739669</v>
      </c>
      <c r="I349">
        <f t="shared" si="5"/>
        <v>2012</v>
      </c>
    </row>
    <row r="350" spans="1:9" ht="29.25">
      <c r="A350" s="1">
        <v>10095</v>
      </c>
      <c r="B350" s="1">
        <v>8</v>
      </c>
      <c r="C350" s="2">
        <v>41272</v>
      </c>
      <c r="D350" s="1" t="s">
        <v>2005</v>
      </c>
      <c r="E350" s="1">
        <v>100196</v>
      </c>
      <c r="F350" s="6" t="s">
        <v>2352</v>
      </c>
      <c r="G350" s="15" t="str">
        <f>VLOOKUP(A350,Movie!A:D,4,FALSE)</f>
        <v>Weinstein Company</v>
      </c>
      <c r="H350" s="14">
        <f>VLOOKUP(E350,'Rental Transaction'!A:B,2,FALSE)</f>
        <v>739669</v>
      </c>
      <c r="I350">
        <f t="shared" si="5"/>
        <v>2012</v>
      </c>
    </row>
    <row r="351" spans="1:9">
      <c r="A351" s="1">
        <v>10225</v>
      </c>
      <c r="B351" s="1">
        <v>9</v>
      </c>
      <c r="C351" s="2">
        <v>41272</v>
      </c>
      <c r="D351" s="1" t="s">
        <v>2005</v>
      </c>
      <c r="E351" s="1">
        <v>100197</v>
      </c>
      <c r="F351" s="6" t="s">
        <v>2353</v>
      </c>
      <c r="G351" s="15" t="str">
        <f>VLOOKUP(A351,Movie!A:D,4,FALSE)</f>
        <v>Warner Brothers</v>
      </c>
      <c r="H351" s="14">
        <f>VLOOKUP(E351,'Rental Transaction'!A:B,2,FALSE)</f>
        <v>238347</v>
      </c>
      <c r="I351">
        <f t="shared" si="5"/>
        <v>2012</v>
      </c>
    </row>
    <row r="352" spans="1:9">
      <c r="A352" s="1">
        <v>10247</v>
      </c>
      <c r="B352" s="1">
        <v>1</v>
      </c>
      <c r="C352" s="2">
        <v>41272</v>
      </c>
      <c r="D352" s="1" t="s">
        <v>2005</v>
      </c>
      <c r="E352" s="1">
        <v>100197</v>
      </c>
      <c r="F352" s="6" t="s">
        <v>2354</v>
      </c>
      <c r="G352" s="15" t="str">
        <f>VLOOKUP(A352,Movie!A:D,4,FALSE)</f>
        <v>Fox</v>
      </c>
      <c r="H352" s="14">
        <f>VLOOKUP(E352,'Rental Transaction'!A:B,2,FALSE)</f>
        <v>238347</v>
      </c>
      <c r="I352">
        <f t="shared" si="5"/>
        <v>2012</v>
      </c>
    </row>
    <row r="353" spans="1:9">
      <c r="A353" s="1">
        <v>10151</v>
      </c>
      <c r="B353" s="1">
        <v>9</v>
      </c>
      <c r="C353" s="2">
        <v>41274</v>
      </c>
      <c r="D353" s="1" t="s">
        <v>2002</v>
      </c>
      <c r="E353" s="1">
        <v>100198</v>
      </c>
      <c r="F353" s="6" t="s">
        <v>2355</v>
      </c>
      <c r="G353" s="15" t="str">
        <f>VLOOKUP(A353,Movie!A:D,4,FALSE)</f>
        <v>Screen Gems</v>
      </c>
      <c r="H353" s="14">
        <f>VLOOKUP(E353,'Rental Transaction'!A:B,2,FALSE)</f>
        <v>325263</v>
      </c>
      <c r="I353">
        <f t="shared" si="5"/>
        <v>2012</v>
      </c>
    </row>
    <row r="354" spans="1:9">
      <c r="A354" s="1">
        <v>10223</v>
      </c>
      <c r="B354" s="1">
        <v>2</v>
      </c>
      <c r="C354" s="2">
        <v>41273</v>
      </c>
      <c r="D354" s="1" t="s">
        <v>2002</v>
      </c>
      <c r="E354" s="1">
        <v>100198</v>
      </c>
      <c r="F354" s="6" t="s">
        <v>2356</v>
      </c>
      <c r="G354" s="15" t="str">
        <f>VLOOKUP(A354,Movie!A:D,4,FALSE)</f>
        <v>Universal</v>
      </c>
      <c r="H354" s="14">
        <f>VLOOKUP(E354,'Rental Transaction'!A:B,2,FALSE)</f>
        <v>325263</v>
      </c>
      <c r="I354">
        <f t="shared" si="5"/>
        <v>2012</v>
      </c>
    </row>
    <row r="355" spans="1:9">
      <c r="A355" s="1">
        <v>10102</v>
      </c>
      <c r="B355" s="1">
        <v>1</v>
      </c>
      <c r="C355" s="2">
        <v>41273</v>
      </c>
      <c r="D355" s="1" t="s">
        <v>2002</v>
      </c>
      <c r="E355" s="1">
        <v>100198</v>
      </c>
      <c r="F355" s="6" t="s">
        <v>2357</v>
      </c>
      <c r="G355" s="15" t="str">
        <f>VLOOKUP(A355,Movie!A:D,4,FALSE)</f>
        <v>Universal</v>
      </c>
      <c r="H355" s="14">
        <f>VLOOKUP(E355,'Rental Transaction'!A:B,2,FALSE)</f>
        <v>325263</v>
      </c>
      <c r="I355">
        <f t="shared" si="5"/>
        <v>2012</v>
      </c>
    </row>
    <row r="356" spans="1:9">
      <c r="A356" s="1">
        <v>10191</v>
      </c>
      <c r="B356" s="1">
        <v>4</v>
      </c>
      <c r="C356" s="2">
        <v>41273</v>
      </c>
      <c r="D356" s="1" t="s">
        <v>2002</v>
      </c>
      <c r="E356" s="1">
        <v>100198</v>
      </c>
      <c r="F356" s="6" t="s">
        <v>2358</v>
      </c>
      <c r="G356" s="15" t="str">
        <f>VLOOKUP(A356,Movie!A:D,4,FALSE)</f>
        <v>Universal</v>
      </c>
      <c r="H356" s="14">
        <f>VLOOKUP(E356,'Rental Transaction'!A:B,2,FALSE)</f>
        <v>325263</v>
      </c>
      <c r="I356">
        <f t="shared" si="5"/>
        <v>2012</v>
      </c>
    </row>
    <row r="357" spans="1:9">
      <c r="A357" s="1">
        <v>10184</v>
      </c>
      <c r="B357" s="1">
        <v>1</v>
      </c>
      <c r="C357" s="2">
        <v>41274</v>
      </c>
      <c r="D357" s="1" t="s">
        <v>2002</v>
      </c>
      <c r="E357" s="1">
        <v>100199</v>
      </c>
      <c r="F357" s="6" t="s">
        <v>2359</v>
      </c>
      <c r="G357" s="15" t="str">
        <f>VLOOKUP(A357,Movie!A:D,4,FALSE)</f>
        <v>Universal</v>
      </c>
      <c r="H357" s="14">
        <f>VLOOKUP(E357,'Rental Transaction'!A:B,2,FALSE)</f>
        <v>789500</v>
      </c>
      <c r="I357">
        <f t="shared" si="5"/>
        <v>2012</v>
      </c>
    </row>
    <row r="358" spans="1:9">
      <c r="A358" s="1">
        <v>10234</v>
      </c>
      <c r="B358" s="1">
        <v>4</v>
      </c>
      <c r="C358" s="2">
        <v>41275</v>
      </c>
      <c r="D358" s="1" t="s">
        <v>2002</v>
      </c>
      <c r="E358" s="1">
        <v>100199</v>
      </c>
      <c r="F358" s="6" t="s">
        <v>2360</v>
      </c>
      <c r="G358" s="15" t="str">
        <f>VLOOKUP(A358,Movie!A:D,4,FALSE)</f>
        <v>Warner Brothers</v>
      </c>
      <c r="H358" s="14">
        <f>VLOOKUP(E358,'Rental Transaction'!A:B,2,FALSE)</f>
        <v>789500</v>
      </c>
      <c r="I358">
        <f t="shared" si="5"/>
        <v>2013</v>
      </c>
    </row>
    <row r="359" spans="1:9">
      <c r="A359" s="1">
        <v>10129</v>
      </c>
      <c r="B359" s="1">
        <v>3</v>
      </c>
      <c r="C359" s="2">
        <v>41274</v>
      </c>
      <c r="D359" s="1" t="s">
        <v>2005</v>
      </c>
      <c r="E359" s="1">
        <v>100200</v>
      </c>
      <c r="F359" s="6" t="s">
        <v>2361</v>
      </c>
      <c r="G359" s="15" t="str">
        <f>VLOOKUP(A359,Movie!A:D,4,FALSE)</f>
        <v>Warner Brothers</v>
      </c>
      <c r="H359" s="14">
        <f>VLOOKUP(E359,'Rental Transaction'!A:B,2,FALSE)</f>
        <v>324435</v>
      </c>
      <c r="I359">
        <f t="shared" si="5"/>
        <v>2012</v>
      </c>
    </row>
    <row r="360" spans="1:9">
      <c r="A360" s="1">
        <v>10016</v>
      </c>
      <c r="B360" s="1">
        <v>2</v>
      </c>
      <c r="C360" s="2">
        <v>41274</v>
      </c>
      <c r="D360" s="1" t="s">
        <v>2005</v>
      </c>
      <c r="E360" s="1">
        <v>100201</v>
      </c>
      <c r="F360" s="6" t="s">
        <v>2362</v>
      </c>
      <c r="G360" s="15" t="str">
        <f>VLOOKUP(A360,Movie!A:D,4,FALSE)</f>
        <v>Universal</v>
      </c>
      <c r="H360" s="14">
        <f>VLOOKUP(E360,'Rental Transaction'!A:B,2,FALSE)</f>
        <v>743517</v>
      </c>
      <c r="I360">
        <f t="shared" si="5"/>
        <v>2012</v>
      </c>
    </row>
    <row r="361" spans="1:9">
      <c r="A361" s="1">
        <v>10077</v>
      </c>
      <c r="B361" s="1">
        <v>10</v>
      </c>
      <c r="C361" s="2">
        <v>41274</v>
      </c>
      <c r="D361" s="1" t="s">
        <v>2005</v>
      </c>
      <c r="E361" s="1">
        <v>100201</v>
      </c>
      <c r="F361" s="6" t="s">
        <v>2363</v>
      </c>
      <c r="G361" s="15" t="str">
        <f>VLOOKUP(A361,Movie!A:D,4,FALSE)</f>
        <v>Warner Brothers</v>
      </c>
      <c r="H361" s="14">
        <f>VLOOKUP(E361,'Rental Transaction'!A:B,2,FALSE)</f>
        <v>743517</v>
      </c>
      <c r="I361">
        <f t="shared" si="5"/>
        <v>2012</v>
      </c>
    </row>
    <row r="362" spans="1:9">
      <c r="A362" s="1">
        <v>10029</v>
      </c>
      <c r="B362" s="1">
        <v>6</v>
      </c>
      <c r="C362" s="2">
        <v>41274</v>
      </c>
      <c r="D362" s="1" t="s">
        <v>2002</v>
      </c>
      <c r="E362" s="1">
        <v>100201</v>
      </c>
      <c r="F362" s="6" t="s">
        <v>2364</v>
      </c>
      <c r="G362" s="15" t="str">
        <f>VLOOKUP(A362,Movie!A:D,4,FALSE)</f>
        <v>Relativity</v>
      </c>
      <c r="H362" s="14">
        <f>VLOOKUP(E362,'Rental Transaction'!A:B,2,FALSE)</f>
        <v>743517</v>
      </c>
      <c r="I362">
        <f t="shared" si="5"/>
        <v>2012</v>
      </c>
    </row>
    <row r="363" spans="1:9">
      <c r="A363" s="1">
        <v>10091</v>
      </c>
      <c r="B363" s="1">
        <v>2</v>
      </c>
      <c r="C363" s="2">
        <v>41275</v>
      </c>
      <c r="D363" s="1" t="s">
        <v>2002</v>
      </c>
      <c r="E363" s="1">
        <v>100202</v>
      </c>
      <c r="F363" s="6" t="s">
        <v>2365</v>
      </c>
      <c r="G363" s="15" t="str">
        <f>VLOOKUP(A363,Movie!A:D,4,FALSE)</f>
        <v>Warner Brothers</v>
      </c>
      <c r="H363" s="14">
        <f>VLOOKUP(E363,'Rental Transaction'!A:B,2,FALSE)</f>
        <v>748326</v>
      </c>
      <c r="I363">
        <f t="shared" si="5"/>
        <v>2013</v>
      </c>
    </row>
    <row r="364" spans="1:9">
      <c r="A364" s="1">
        <v>10212</v>
      </c>
      <c r="B364" s="1">
        <v>10</v>
      </c>
      <c r="C364" s="2">
        <v>41275</v>
      </c>
      <c r="D364" s="1" t="s">
        <v>2002</v>
      </c>
      <c r="E364" s="1">
        <v>100202</v>
      </c>
      <c r="F364" s="6" t="s">
        <v>2366</v>
      </c>
      <c r="G364" s="15" t="str">
        <f>VLOOKUP(A364,Movie!A:D,4,FALSE)</f>
        <v>Lionsgate</v>
      </c>
      <c r="H364" s="14">
        <f>VLOOKUP(E364,'Rental Transaction'!A:B,2,FALSE)</f>
        <v>748326</v>
      </c>
      <c r="I364">
        <f t="shared" si="5"/>
        <v>2013</v>
      </c>
    </row>
    <row r="365" spans="1:9">
      <c r="A365" s="1">
        <v>10233</v>
      </c>
      <c r="B365" s="1">
        <v>1</v>
      </c>
      <c r="C365" s="2">
        <v>41276</v>
      </c>
      <c r="D365" s="1" t="s">
        <v>2002</v>
      </c>
      <c r="E365" s="1">
        <v>100203</v>
      </c>
      <c r="F365" s="6" t="s">
        <v>2367</v>
      </c>
      <c r="G365" s="15" t="str">
        <f>VLOOKUP(A365,Movie!A:D,4,FALSE)</f>
        <v>Screen Gems</v>
      </c>
      <c r="H365" s="14">
        <f>VLOOKUP(E365,'Rental Transaction'!A:B,2,FALSE)</f>
        <v>806545</v>
      </c>
      <c r="I365">
        <f t="shared" si="5"/>
        <v>2013</v>
      </c>
    </row>
    <row r="366" spans="1:9">
      <c r="A366" s="1">
        <v>10244</v>
      </c>
      <c r="B366" s="1">
        <v>3</v>
      </c>
      <c r="C366" s="2">
        <v>41276</v>
      </c>
      <c r="D366" s="1" t="s">
        <v>2002</v>
      </c>
      <c r="E366" s="1">
        <v>100204</v>
      </c>
      <c r="F366" s="6" t="s">
        <v>2368</v>
      </c>
      <c r="G366" s="15" t="str">
        <f>VLOOKUP(A366,Movie!A:D,4,FALSE)</f>
        <v>Sony</v>
      </c>
      <c r="H366" s="14">
        <f>VLOOKUP(E366,'Rental Transaction'!A:B,2,FALSE)</f>
        <v>413292</v>
      </c>
      <c r="I366">
        <f t="shared" si="5"/>
        <v>2013</v>
      </c>
    </row>
    <row r="367" spans="1:9">
      <c r="A367" s="1">
        <v>10037</v>
      </c>
      <c r="B367" s="1">
        <v>3</v>
      </c>
      <c r="C367" s="2">
        <v>41277</v>
      </c>
      <c r="D367" s="1" t="s">
        <v>2002</v>
      </c>
      <c r="E367" s="1">
        <v>100205</v>
      </c>
      <c r="F367" s="6" t="s">
        <v>2369</v>
      </c>
      <c r="G367" s="15" t="str">
        <f>VLOOKUP(A367,Movie!A:D,4,FALSE)</f>
        <v>Buena Vista</v>
      </c>
      <c r="H367" s="14">
        <f>VLOOKUP(E367,'Rental Transaction'!A:B,2,FALSE)</f>
        <v>723819</v>
      </c>
      <c r="I367">
        <f t="shared" si="5"/>
        <v>2013</v>
      </c>
    </row>
    <row r="368" spans="1:9">
      <c r="A368" s="1">
        <v>10288</v>
      </c>
      <c r="B368" s="1">
        <v>5</v>
      </c>
      <c r="C368" s="2">
        <v>41277</v>
      </c>
      <c r="D368" s="1" t="s">
        <v>2002</v>
      </c>
      <c r="E368" s="1">
        <v>100206</v>
      </c>
      <c r="F368" s="6" t="s">
        <v>2370</v>
      </c>
      <c r="G368" s="15" t="str">
        <f>VLOOKUP(A368,Movie!A:D,4,FALSE)</f>
        <v>Relativity</v>
      </c>
      <c r="H368" s="14">
        <f>VLOOKUP(E368,'Rental Transaction'!A:B,2,FALSE)</f>
        <v>789500</v>
      </c>
      <c r="I368">
        <f t="shared" si="5"/>
        <v>2013</v>
      </c>
    </row>
    <row r="369" spans="1:9">
      <c r="A369" s="1">
        <v>10233</v>
      </c>
      <c r="B369" s="1">
        <v>8</v>
      </c>
      <c r="C369" s="2">
        <v>41277</v>
      </c>
      <c r="D369" s="1" t="s">
        <v>2002</v>
      </c>
      <c r="E369" s="1">
        <v>100207</v>
      </c>
      <c r="F369" s="6" t="s">
        <v>2371</v>
      </c>
      <c r="G369" s="15" t="str">
        <f>VLOOKUP(A369,Movie!A:D,4,FALSE)</f>
        <v>Screen Gems</v>
      </c>
      <c r="H369" s="14">
        <f>VLOOKUP(E369,'Rental Transaction'!A:B,2,FALSE)</f>
        <v>781968</v>
      </c>
      <c r="I369">
        <f t="shared" si="5"/>
        <v>2013</v>
      </c>
    </row>
    <row r="370" spans="1:9">
      <c r="A370" s="1">
        <v>10280</v>
      </c>
      <c r="B370" s="1">
        <v>4</v>
      </c>
      <c r="C370" s="2">
        <v>41277</v>
      </c>
      <c r="D370" s="1" t="s">
        <v>2002</v>
      </c>
      <c r="E370" s="1">
        <v>100208</v>
      </c>
      <c r="F370" s="6" t="s">
        <v>2372</v>
      </c>
      <c r="G370" s="15" t="str">
        <f>VLOOKUP(A370,Movie!A:D,4,FALSE)</f>
        <v>Universal</v>
      </c>
      <c r="H370" s="14">
        <f>VLOOKUP(E370,'Rental Transaction'!A:B,2,FALSE)</f>
        <v>938417</v>
      </c>
      <c r="I370">
        <f t="shared" si="5"/>
        <v>2013</v>
      </c>
    </row>
    <row r="371" spans="1:9">
      <c r="A371" s="1">
        <v>10119</v>
      </c>
      <c r="B371" s="1">
        <v>2</v>
      </c>
      <c r="C371" s="2">
        <v>41277</v>
      </c>
      <c r="D371" s="1" t="s">
        <v>2005</v>
      </c>
      <c r="E371" s="1">
        <v>100208</v>
      </c>
      <c r="F371" s="6" t="s">
        <v>2373</v>
      </c>
      <c r="G371" s="15" t="str">
        <f>VLOOKUP(A371,Movie!A:D,4,FALSE)</f>
        <v>Universal</v>
      </c>
      <c r="H371" s="14">
        <f>VLOOKUP(E371,'Rental Transaction'!A:B,2,FALSE)</f>
        <v>938417</v>
      </c>
      <c r="I371">
        <f t="shared" si="5"/>
        <v>2013</v>
      </c>
    </row>
    <row r="372" spans="1:9">
      <c r="A372" s="1">
        <v>10174</v>
      </c>
      <c r="B372" s="1">
        <v>3</v>
      </c>
      <c r="C372" s="2">
        <v>41278</v>
      </c>
      <c r="D372" s="1" t="s">
        <v>2002</v>
      </c>
      <c r="E372" s="1">
        <v>100209</v>
      </c>
      <c r="F372" s="6" t="s">
        <v>2374</v>
      </c>
      <c r="G372" s="15" t="str">
        <f>VLOOKUP(A372,Movie!A:D,4,FALSE)</f>
        <v>Universal</v>
      </c>
      <c r="H372" s="14">
        <f>VLOOKUP(E372,'Rental Transaction'!A:B,2,FALSE)</f>
        <v>872851</v>
      </c>
      <c r="I372">
        <f t="shared" si="5"/>
        <v>2013</v>
      </c>
    </row>
    <row r="373" spans="1:9">
      <c r="A373" s="1">
        <v>10116</v>
      </c>
      <c r="B373" s="1">
        <v>4</v>
      </c>
      <c r="C373" s="2">
        <v>41279</v>
      </c>
      <c r="D373" s="1" t="s">
        <v>2002</v>
      </c>
      <c r="E373" s="1">
        <v>100210</v>
      </c>
      <c r="F373" s="6" t="s">
        <v>2375</v>
      </c>
      <c r="G373" s="15" t="str">
        <f>VLOOKUP(A373,Movie!A:D,4,FALSE)</f>
        <v>Universal</v>
      </c>
      <c r="H373" s="14">
        <f>VLOOKUP(E373,'Rental Transaction'!A:B,2,FALSE)</f>
        <v>422951</v>
      </c>
      <c r="I373">
        <f t="shared" si="5"/>
        <v>2013</v>
      </c>
    </row>
    <row r="374" spans="1:9">
      <c r="A374" s="1">
        <v>10166</v>
      </c>
      <c r="B374" s="1">
        <v>8</v>
      </c>
      <c r="C374" s="2">
        <v>41278</v>
      </c>
      <c r="D374" s="1" t="s">
        <v>2005</v>
      </c>
      <c r="E374" s="1">
        <v>100210</v>
      </c>
      <c r="F374" s="6" t="s">
        <v>2376</v>
      </c>
      <c r="G374" s="15" t="str">
        <f>VLOOKUP(A374,Movie!A:D,4,FALSE)</f>
        <v>Fox</v>
      </c>
      <c r="H374" s="14">
        <f>VLOOKUP(E374,'Rental Transaction'!A:B,2,FALSE)</f>
        <v>422951</v>
      </c>
      <c r="I374">
        <f t="shared" si="5"/>
        <v>2013</v>
      </c>
    </row>
    <row r="375" spans="1:9">
      <c r="A375" s="1">
        <v>10097</v>
      </c>
      <c r="B375" s="1">
        <v>2</v>
      </c>
      <c r="C375" s="2">
        <v>41280</v>
      </c>
      <c r="D375" s="1" t="s">
        <v>2002</v>
      </c>
      <c r="E375" s="1">
        <v>100211</v>
      </c>
      <c r="F375" s="6" t="s">
        <v>2377</v>
      </c>
      <c r="G375" s="15" t="str">
        <f>VLOOKUP(A375,Movie!A:D,4,FALSE)</f>
        <v>Screen Gems</v>
      </c>
      <c r="H375" s="14">
        <f>VLOOKUP(E375,'Rental Transaction'!A:B,2,FALSE)</f>
        <v>183797</v>
      </c>
      <c r="I375">
        <f t="shared" si="5"/>
        <v>2013</v>
      </c>
    </row>
    <row r="376" spans="1:9">
      <c r="A376" s="1">
        <v>10037</v>
      </c>
      <c r="B376" s="1">
        <v>4</v>
      </c>
      <c r="C376" s="2">
        <v>41279</v>
      </c>
      <c r="D376" s="1" t="s">
        <v>2005</v>
      </c>
      <c r="E376" s="1">
        <v>100211</v>
      </c>
      <c r="F376" s="6" t="s">
        <v>2378</v>
      </c>
      <c r="G376" s="15" t="str">
        <f>VLOOKUP(A376,Movie!A:D,4,FALSE)</f>
        <v>Buena Vista</v>
      </c>
      <c r="H376" s="14">
        <f>VLOOKUP(E376,'Rental Transaction'!A:B,2,FALSE)</f>
        <v>183797</v>
      </c>
      <c r="I376">
        <f t="shared" si="5"/>
        <v>2013</v>
      </c>
    </row>
    <row r="377" spans="1:9">
      <c r="A377" s="1">
        <v>10123</v>
      </c>
      <c r="B377" s="1">
        <v>5</v>
      </c>
      <c r="C377" s="2">
        <v>41279</v>
      </c>
      <c r="D377" s="1" t="s">
        <v>2002</v>
      </c>
      <c r="E377" s="1">
        <v>100211</v>
      </c>
      <c r="F377" s="6" t="s">
        <v>2379</v>
      </c>
      <c r="G377" s="15" t="str">
        <f>VLOOKUP(A377,Movie!A:D,4,FALSE)</f>
        <v>Fox</v>
      </c>
      <c r="H377" s="14">
        <f>VLOOKUP(E377,'Rental Transaction'!A:B,2,FALSE)</f>
        <v>183797</v>
      </c>
      <c r="I377">
        <f t="shared" si="5"/>
        <v>2013</v>
      </c>
    </row>
    <row r="378" spans="1:9">
      <c r="A378" s="1">
        <v>10183</v>
      </c>
      <c r="B378" s="1">
        <v>8</v>
      </c>
      <c r="C378" s="2">
        <v>41279</v>
      </c>
      <c r="D378" s="1" t="s">
        <v>2002</v>
      </c>
      <c r="E378" s="1">
        <v>100211</v>
      </c>
      <c r="F378" s="6" t="s">
        <v>2380</v>
      </c>
      <c r="G378" s="15" t="str">
        <f>VLOOKUP(A378,Movie!A:D,4,FALSE)</f>
        <v>Sony</v>
      </c>
      <c r="H378" s="14">
        <f>VLOOKUP(E378,'Rental Transaction'!A:B,2,FALSE)</f>
        <v>183797</v>
      </c>
      <c r="I378">
        <f t="shared" si="5"/>
        <v>2013</v>
      </c>
    </row>
    <row r="379" spans="1:9">
      <c r="A379" s="1">
        <v>10211</v>
      </c>
      <c r="B379" s="1">
        <v>2</v>
      </c>
      <c r="C379" s="2">
        <v>41280</v>
      </c>
      <c r="D379" s="1" t="s">
        <v>2002</v>
      </c>
      <c r="E379" s="1">
        <v>100212</v>
      </c>
      <c r="F379" s="6" t="s">
        <v>2381</v>
      </c>
      <c r="G379" s="15" t="str">
        <f>VLOOKUP(A379,Movie!A:D,4,FALSE)</f>
        <v>Buena Vista</v>
      </c>
      <c r="H379" s="14">
        <f>VLOOKUP(E379,'Rental Transaction'!A:B,2,FALSE)</f>
        <v>513968</v>
      </c>
      <c r="I379">
        <f t="shared" si="5"/>
        <v>2013</v>
      </c>
    </row>
    <row r="380" spans="1:9">
      <c r="A380" s="1">
        <v>10037</v>
      </c>
      <c r="B380" s="1">
        <v>1</v>
      </c>
      <c r="C380" s="2">
        <v>41279</v>
      </c>
      <c r="D380" s="1" t="s">
        <v>2005</v>
      </c>
      <c r="E380" s="1">
        <v>100212</v>
      </c>
      <c r="F380" s="6" t="s">
        <v>2382</v>
      </c>
      <c r="G380" s="15" t="str">
        <f>VLOOKUP(A380,Movie!A:D,4,FALSE)</f>
        <v>Buena Vista</v>
      </c>
      <c r="H380" s="14">
        <f>VLOOKUP(E380,'Rental Transaction'!A:B,2,FALSE)</f>
        <v>513968</v>
      </c>
      <c r="I380">
        <f t="shared" si="5"/>
        <v>2013</v>
      </c>
    </row>
    <row r="381" spans="1:9">
      <c r="A381" s="1">
        <v>10277</v>
      </c>
      <c r="B381" s="1">
        <v>2</v>
      </c>
      <c r="C381" s="2">
        <v>41279</v>
      </c>
      <c r="D381" s="1" t="s">
        <v>2002</v>
      </c>
      <c r="E381" s="1">
        <v>100212</v>
      </c>
      <c r="F381" s="6" t="s">
        <v>2383</v>
      </c>
      <c r="G381" s="15" t="str">
        <f>VLOOKUP(A381,Movie!A:D,4,FALSE)</f>
        <v>Universal</v>
      </c>
      <c r="H381" s="14">
        <f>VLOOKUP(E381,'Rental Transaction'!A:B,2,FALSE)</f>
        <v>513968</v>
      </c>
      <c r="I381">
        <f t="shared" si="5"/>
        <v>2013</v>
      </c>
    </row>
    <row r="382" spans="1:9">
      <c r="A382" s="1">
        <v>10010</v>
      </c>
      <c r="B382" s="1">
        <v>6</v>
      </c>
      <c r="C382" s="2">
        <v>41280</v>
      </c>
      <c r="D382" s="1" t="s">
        <v>2002</v>
      </c>
      <c r="E382" s="1">
        <v>100212</v>
      </c>
      <c r="F382" s="6" t="s">
        <v>2384</v>
      </c>
      <c r="G382" s="15" t="str">
        <f>VLOOKUP(A382,Movie!A:D,4,FALSE)</f>
        <v>Buena Vista</v>
      </c>
      <c r="H382" s="14">
        <f>VLOOKUP(E382,'Rental Transaction'!A:B,2,FALSE)</f>
        <v>513968</v>
      </c>
      <c r="I382">
        <f t="shared" si="5"/>
        <v>2013</v>
      </c>
    </row>
    <row r="383" spans="1:9">
      <c r="A383" s="1">
        <v>10252</v>
      </c>
      <c r="B383" s="1">
        <v>1</v>
      </c>
      <c r="C383" s="2">
        <v>41280</v>
      </c>
      <c r="D383" s="1" t="s">
        <v>2002</v>
      </c>
      <c r="E383" s="1">
        <v>100213</v>
      </c>
      <c r="F383" s="6" t="s">
        <v>2385</v>
      </c>
      <c r="G383" s="15" t="str">
        <f>VLOOKUP(A383,Movie!A:D,4,FALSE)</f>
        <v>Warner Brothers</v>
      </c>
      <c r="H383" s="14">
        <f>VLOOKUP(E383,'Rental Transaction'!A:B,2,FALSE)</f>
        <v>563468</v>
      </c>
      <c r="I383">
        <f t="shared" si="5"/>
        <v>2013</v>
      </c>
    </row>
    <row r="384" spans="1:9">
      <c r="A384" s="1">
        <v>10211</v>
      </c>
      <c r="B384" s="1">
        <v>5</v>
      </c>
      <c r="C384" s="2">
        <v>41280</v>
      </c>
      <c r="D384" s="1" t="s">
        <v>2002</v>
      </c>
      <c r="E384" s="1">
        <v>100213</v>
      </c>
      <c r="F384" s="6" t="s">
        <v>2386</v>
      </c>
      <c r="G384" s="15" t="str">
        <f>VLOOKUP(A384,Movie!A:D,4,FALSE)</f>
        <v>Buena Vista</v>
      </c>
      <c r="H384" s="14">
        <f>VLOOKUP(E384,'Rental Transaction'!A:B,2,FALSE)</f>
        <v>563468</v>
      </c>
      <c r="I384">
        <f t="shared" si="5"/>
        <v>2013</v>
      </c>
    </row>
    <row r="385" spans="1:9">
      <c r="A385" s="1">
        <v>10079</v>
      </c>
      <c r="B385" s="1">
        <v>8</v>
      </c>
      <c r="C385" s="2">
        <v>41280</v>
      </c>
      <c r="D385" s="1" t="s">
        <v>2002</v>
      </c>
      <c r="E385" s="1">
        <v>100214</v>
      </c>
      <c r="F385" s="6" t="s">
        <v>2387</v>
      </c>
      <c r="G385" s="15" t="str">
        <f>VLOOKUP(A385,Movie!A:D,4,FALSE)</f>
        <v>Warner Brothers</v>
      </c>
      <c r="H385" s="14">
        <f>VLOOKUP(E385,'Rental Transaction'!A:B,2,FALSE)</f>
        <v>416523</v>
      </c>
      <c r="I385">
        <f t="shared" si="5"/>
        <v>2013</v>
      </c>
    </row>
    <row r="386" spans="1:9">
      <c r="A386" s="1">
        <v>10279</v>
      </c>
      <c r="B386" s="1">
        <v>2</v>
      </c>
      <c r="C386" s="2">
        <v>41281</v>
      </c>
      <c r="D386" s="1" t="s">
        <v>2005</v>
      </c>
      <c r="E386" s="1">
        <v>100214</v>
      </c>
      <c r="F386" s="6" t="s">
        <v>2388</v>
      </c>
      <c r="G386" s="15" t="str">
        <f>VLOOKUP(A386,Movie!A:D,4,FALSE)</f>
        <v>Screen Gems</v>
      </c>
      <c r="H386" s="14">
        <f>VLOOKUP(E386,'Rental Transaction'!A:B,2,FALSE)</f>
        <v>416523</v>
      </c>
      <c r="I386">
        <f t="shared" si="5"/>
        <v>2013</v>
      </c>
    </row>
    <row r="387" spans="1:9">
      <c r="A387" s="1">
        <v>10284</v>
      </c>
      <c r="B387" s="1">
        <v>4</v>
      </c>
      <c r="C387" s="2">
        <v>41281</v>
      </c>
      <c r="D387" s="1" t="s">
        <v>2005</v>
      </c>
      <c r="E387" s="1">
        <v>100215</v>
      </c>
      <c r="F387" s="6" t="s">
        <v>2389</v>
      </c>
      <c r="G387" s="15" t="str">
        <f>VLOOKUP(A387,Movie!A:D,4,FALSE)</f>
        <v>Focus</v>
      </c>
      <c r="H387" s="14">
        <f>VLOOKUP(E387,'Rental Transaction'!A:B,2,FALSE)</f>
        <v>992956</v>
      </c>
      <c r="I387">
        <f t="shared" ref="I387:I450" si="6">YEAR(C387)</f>
        <v>2013</v>
      </c>
    </row>
    <row r="388" spans="1:9">
      <c r="A388" s="1">
        <v>10071</v>
      </c>
      <c r="B388" s="1">
        <v>1</v>
      </c>
      <c r="C388" s="2">
        <v>41282</v>
      </c>
      <c r="D388" s="1" t="s">
        <v>2002</v>
      </c>
      <c r="E388" s="1">
        <v>100216</v>
      </c>
      <c r="F388" s="6" t="s">
        <v>2390</v>
      </c>
      <c r="G388" s="15" t="str">
        <f>VLOOKUP(A388,Movie!A:D,4,FALSE)</f>
        <v>Paramount</v>
      </c>
      <c r="H388" s="14">
        <f>VLOOKUP(E388,'Rental Transaction'!A:B,2,FALSE)</f>
        <v>404678</v>
      </c>
      <c r="I388">
        <f t="shared" si="6"/>
        <v>2013</v>
      </c>
    </row>
    <row r="389" spans="1:9">
      <c r="A389" s="1">
        <v>10063</v>
      </c>
      <c r="B389" s="1">
        <v>4</v>
      </c>
      <c r="C389" s="2">
        <v>41284</v>
      </c>
      <c r="D389" s="1" t="s">
        <v>2002</v>
      </c>
      <c r="E389" s="1">
        <v>100217</v>
      </c>
      <c r="F389" s="6" t="s">
        <v>2391</v>
      </c>
      <c r="G389" s="15" t="str">
        <f>VLOOKUP(A389,Movie!A:D,4,FALSE)</f>
        <v>CBS Films</v>
      </c>
      <c r="H389" s="14">
        <f>VLOOKUP(E389,'Rental Transaction'!A:B,2,FALSE)</f>
        <v>643305</v>
      </c>
      <c r="I389">
        <f t="shared" si="6"/>
        <v>2013</v>
      </c>
    </row>
    <row r="390" spans="1:9">
      <c r="A390" s="1">
        <v>10008</v>
      </c>
      <c r="B390" s="1">
        <v>1</v>
      </c>
      <c r="C390" s="2">
        <v>41283</v>
      </c>
      <c r="D390" s="1" t="s">
        <v>2002</v>
      </c>
      <c r="E390" s="1">
        <v>100217</v>
      </c>
      <c r="F390" s="6" t="s">
        <v>2392</v>
      </c>
      <c r="G390" s="15" t="str">
        <f>VLOOKUP(A390,Movie!A:D,4,FALSE)</f>
        <v>Sony</v>
      </c>
      <c r="H390" s="14">
        <f>VLOOKUP(E390,'Rental Transaction'!A:B,2,FALSE)</f>
        <v>643305</v>
      </c>
      <c r="I390">
        <f t="shared" si="6"/>
        <v>2013</v>
      </c>
    </row>
    <row r="391" spans="1:9">
      <c r="A391" s="1">
        <v>10196</v>
      </c>
      <c r="B391" s="1">
        <v>4</v>
      </c>
      <c r="C391" s="2">
        <v>41285</v>
      </c>
      <c r="D391" s="1" t="s">
        <v>2005</v>
      </c>
      <c r="E391" s="1">
        <v>100218</v>
      </c>
      <c r="F391" s="6" t="s">
        <v>2393</v>
      </c>
      <c r="G391" s="15" t="str">
        <f>VLOOKUP(A391,Movie!A:D,4,FALSE)</f>
        <v>Fox</v>
      </c>
      <c r="H391" s="14">
        <f>VLOOKUP(E391,'Rental Transaction'!A:B,2,FALSE)</f>
        <v>556152</v>
      </c>
      <c r="I391">
        <f t="shared" si="6"/>
        <v>2013</v>
      </c>
    </row>
    <row r="392" spans="1:9">
      <c r="A392" s="1">
        <v>10137</v>
      </c>
      <c r="B392" s="1">
        <v>9</v>
      </c>
      <c r="C392" s="2">
        <v>41286</v>
      </c>
      <c r="D392" s="1" t="s">
        <v>2002</v>
      </c>
      <c r="E392" s="1">
        <v>100219</v>
      </c>
      <c r="F392" s="6" t="s">
        <v>2394</v>
      </c>
      <c r="G392" s="15" t="str">
        <f>VLOOKUP(A392,Movie!A:D,4,FALSE)</f>
        <v>Buena Vista</v>
      </c>
      <c r="H392" s="14">
        <f>VLOOKUP(E392,'Rental Transaction'!A:B,2,FALSE)</f>
        <v>132454</v>
      </c>
      <c r="I392">
        <f t="shared" si="6"/>
        <v>2013</v>
      </c>
    </row>
    <row r="393" spans="1:9">
      <c r="A393" s="1">
        <v>10224</v>
      </c>
      <c r="B393" s="1">
        <v>10</v>
      </c>
      <c r="C393" s="2">
        <v>41286</v>
      </c>
      <c r="D393" s="1" t="s">
        <v>2005</v>
      </c>
      <c r="E393" s="1">
        <v>100219</v>
      </c>
      <c r="F393" s="6" t="s">
        <v>2395</v>
      </c>
      <c r="G393" s="15" t="str">
        <f>VLOOKUP(A393,Movie!A:D,4,FALSE)</f>
        <v>Fox Searchlight</v>
      </c>
      <c r="H393" s="14">
        <f>VLOOKUP(E393,'Rental Transaction'!A:B,2,FALSE)</f>
        <v>132454</v>
      </c>
      <c r="I393">
        <f t="shared" si="6"/>
        <v>2013</v>
      </c>
    </row>
    <row r="394" spans="1:9">
      <c r="A394" s="1">
        <v>10168</v>
      </c>
      <c r="B394" s="1">
        <v>5</v>
      </c>
      <c r="C394" s="2">
        <v>41287</v>
      </c>
      <c r="D394" s="1" t="s">
        <v>2002</v>
      </c>
      <c r="E394" s="1">
        <v>100219</v>
      </c>
      <c r="F394" s="6" t="s">
        <v>2396</v>
      </c>
      <c r="G394" s="15" t="str">
        <f>VLOOKUP(A394,Movie!A:D,4,FALSE)</f>
        <v>Paramount</v>
      </c>
      <c r="H394" s="14">
        <f>VLOOKUP(E394,'Rental Transaction'!A:B,2,FALSE)</f>
        <v>132454</v>
      </c>
      <c r="I394">
        <f t="shared" si="6"/>
        <v>2013</v>
      </c>
    </row>
    <row r="395" spans="1:9">
      <c r="A395" s="1">
        <v>10138</v>
      </c>
      <c r="B395" s="1">
        <v>1</v>
      </c>
      <c r="C395" s="2">
        <v>41286</v>
      </c>
      <c r="D395" s="1" t="s">
        <v>2005</v>
      </c>
      <c r="E395" s="1">
        <v>100220</v>
      </c>
      <c r="F395" s="6" t="s">
        <v>2397</v>
      </c>
      <c r="G395" s="15" t="str">
        <f>VLOOKUP(A395,Movie!A:D,4,FALSE)</f>
        <v>Universal</v>
      </c>
      <c r="H395" s="14">
        <f>VLOOKUP(E395,'Rental Transaction'!A:B,2,FALSE)</f>
        <v>765237</v>
      </c>
      <c r="I395">
        <f t="shared" si="6"/>
        <v>2013</v>
      </c>
    </row>
    <row r="396" spans="1:9">
      <c r="A396" s="1">
        <v>10117</v>
      </c>
      <c r="B396" s="1">
        <v>3</v>
      </c>
      <c r="C396" s="2">
        <v>41286</v>
      </c>
      <c r="D396" s="1" t="s">
        <v>2002</v>
      </c>
      <c r="E396" s="1">
        <v>100220</v>
      </c>
      <c r="F396" s="6" t="s">
        <v>2398</v>
      </c>
      <c r="G396" s="15" t="str">
        <f>VLOOKUP(A396,Movie!A:D,4,FALSE)</f>
        <v>Sony</v>
      </c>
      <c r="H396" s="14">
        <f>VLOOKUP(E396,'Rental Transaction'!A:B,2,FALSE)</f>
        <v>765237</v>
      </c>
      <c r="I396">
        <f t="shared" si="6"/>
        <v>2013</v>
      </c>
    </row>
    <row r="397" spans="1:9">
      <c r="A397" s="1">
        <v>10065</v>
      </c>
      <c r="B397" s="1">
        <v>6</v>
      </c>
      <c r="C397" s="2">
        <v>41287</v>
      </c>
      <c r="D397" s="1" t="s">
        <v>2002</v>
      </c>
      <c r="E397" s="1">
        <v>100220</v>
      </c>
      <c r="F397" s="6" t="s">
        <v>2399</v>
      </c>
      <c r="G397" s="15" t="str">
        <f>VLOOKUP(A397,Movie!A:D,4,FALSE)</f>
        <v>Warner Brothers</v>
      </c>
      <c r="H397" s="14">
        <f>VLOOKUP(E397,'Rental Transaction'!A:B,2,FALSE)</f>
        <v>765237</v>
      </c>
      <c r="I397">
        <f t="shared" si="6"/>
        <v>2013</v>
      </c>
    </row>
    <row r="398" spans="1:9">
      <c r="A398" s="1">
        <v>10031</v>
      </c>
      <c r="B398" s="1">
        <v>5</v>
      </c>
      <c r="C398" s="2">
        <v>41288</v>
      </c>
      <c r="D398" s="1" t="s">
        <v>2002</v>
      </c>
      <c r="E398" s="1">
        <v>100221</v>
      </c>
      <c r="F398" s="6" t="s">
        <v>2400</v>
      </c>
      <c r="G398" s="15" t="str">
        <f>VLOOKUP(A398,Movie!A:D,4,FALSE)</f>
        <v>Warner Brothers</v>
      </c>
      <c r="H398" s="14">
        <f>VLOOKUP(E398,'Rental Transaction'!A:B,2,FALSE)</f>
        <v>491380</v>
      </c>
      <c r="I398">
        <f t="shared" si="6"/>
        <v>2013</v>
      </c>
    </row>
    <row r="399" spans="1:9">
      <c r="A399" s="1">
        <v>10176</v>
      </c>
      <c r="B399" s="1">
        <v>5</v>
      </c>
      <c r="C399" s="2">
        <v>41287</v>
      </c>
      <c r="D399" s="1" t="s">
        <v>2005</v>
      </c>
      <c r="E399" s="1">
        <v>100222</v>
      </c>
      <c r="F399" s="6" t="s">
        <v>2401</v>
      </c>
      <c r="G399" s="15" t="str">
        <f>VLOOKUP(A399,Movie!A:D,4,FALSE)</f>
        <v>Universal</v>
      </c>
      <c r="H399" s="14">
        <f>VLOOKUP(E399,'Rental Transaction'!A:B,2,FALSE)</f>
        <v>157388</v>
      </c>
      <c r="I399">
        <f t="shared" si="6"/>
        <v>2013</v>
      </c>
    </row>
    <row r="400" spans="1:9">
      <c r="A400" s="1">
        <v>10151</v>
      </c>
      <c r="B400" s="1">
        <v>10</v>
      </c>
      <c r="C400" s="2">
        <v>41287</v>
      </c>
      <c r="D400" s="1" t="s">
        <v>2002</v>
      </c>
      <c r="E400" s="1">
        <v>100223</v>
      </c>
      <c r="F400" s="6" t="s">
        <v>2402</v>
      </c>
      <c r="G400" s="15" t="str">
        <f>VLOOKUP(A400,Movie!A:D,4,FALSE)</f>
        <v>Screen Gems</v>
      </c>
      <c r="H400" s="14">
        <f>VLOOKUP(E400,'Rental Transaction'!A:B,2,FALSE)</f>
        <v>256181</v>
      </c>
      <c r="I400">
        <f t="shared" si="6"/>
        <v>2013</v>
      </c>
    </row>
    <row r="401" spans="1:9">
      <c r="A401" s="1">
        <v>10209</v>
      </c>
      <c r="B401" s="1">
        <v>3</v>
      </c>
      <c r="C401" s="2">
        <v>41287</v>
      </c>
      <c r="D401" s="1" t="s">
        <v>2002</v>
      </c>
      <c r="E401" s="1">
        <v>100223</v>
      </c>
      <c r="F401" s="6" t="s">
        <v>2403</v>
      </c>
      <c r="G401" s="15" t="str">
        <f>VLOOKUP(A401,Movie!A:D,4,FALSE)</f>
        <v>Universal</v>
      </c>
      <c r="H401" s="14">
        <f>VLOOKUP(E401,'Rental Transaction'!A:B,2,FALSE)</f>
        <v>256181</v>
      </c>
      <c r="I401">
        <f t="shared" si="6"/>
        <v>2013</v>
      </c>
    </row>
    <row r="402" spans="1:9">
      <c r="A402" s="1">
        <v>10004</v>
      </c>
      <c r="B402" s="1">
        <v>7</v>
      </c>
      <c r="C402" s="2">
        <v>41287</v>
      </c>
      <c r="D402" s="1" t="s">
        <v>2005</v>
      </c>
      <c r="E402" s="1">
        <v>100223</v>
      </c>
      <c r="F402" s="6" t="s">
        <v>2404</v>
      </c>
      <c r="G402" s="15" t="str">
        <f>VLOOKUP(A402,Movie!A:D,4,FALSE)</f>
        <v>Paramount</v>
      </c>
      <c r="H402" s="14">
        <f>VLOOKUP(E402,'Rental Transaction'!A:B,2,FALSE)</f>
        <v>256181</v>
      </c>
      <c r="I402">
        <f t="shared" si="6"/>
        <v>2013</v>
      </c>
    </row>
    <row r="403" spans="1:9">
      <c r="A403" s="1">
        <v>10106</v>
      </c>
      <c r="B403" s="1">
        <v>3</v>
      </c>
      <c r="C403" s="2">
        <v>41288</v>
      </c>
      <c r="D403" s="1" t="s">
        <v>2005</v>
      </c>
      <c r="E403" s="1">
        <v>100224</v>
      </c>
      <c r="F403" s="6" t="s">
        <v>2405</v>
      </c>
      <c r="G403" s="15" t="str">
        <f>VLOOKUP(A403,Movie!A:D,4,FALSE)</f>
        <v>Fox</v>
      </c>
      <c r="H403" s="14">
        <f>VLOOKUP(E403,'Rental Transaction'!A:B,2,FALSE)</f>
        <v>500733</v>
      </c>
      <c r="I403">
        <f t="shared" si="6"/>
        <v>2013</v>
      </c>
    </row>
    <row r="404" spans="1:9">
      <c r="A404" s="1">
        <v>10214</v>
      </c>
      <c r="B404" s="1">
        <v>7</v>
      </c>
      <c r="C404" s="2">
        <v>41288</v>
      </c>
      <c r="D404" s="1" t="s">
        <v>2005</v>
      </c>
      <c r="E404" s="1">
        <v>100224</v>
      </c>
      <c r="F404" s="6" t="s">
        <v>2406</v>
      </c>
      <c r="G404" s="15" t="str">
        <f>VLOOKUP(A404,Movie!A:D,4,FALSE)</f>
        <v>RM</v>
      </c>
      <c r="H404" s="14">
        <f>VLOOKUP(E404,'Rental Transaction'!A:B,2,FALSE)</f>
        <v>500733</v>
      </c>
      <c r="I404">
        <f t="shared" si="6"/>
        <v>2013</v>
      </c>
    </row>
    <row r="405" spans="1:9">
      <c r="A405" s="1">
        <v>10064</v>
      </c>
      <c r="B405" s="1">
        <v>5</v>
      </c>
      <c r="C405" s="2">
        <v>41288</v>
      </c>
      <c r="D405" s="1" t="s">
        <v>2002</v>
      </c>
      <c r="E405" s="1">
        <v>100225</v>
      </c>
      <c r="F405" s="6" t="s">
        <v>2407</v>
      </c>
      <c r="G405" s="15" t="str">
        <f>VLOOKUP(A405,Movie!A:D,4,FALSE)</f>
        <v>Universal</v>
      </c>
      <c r="H405" s="14">
        <f>VLOOKUP(E405,'Rental Transaction'!A:B,2,FALSE)</f>
        <v>795957</v>
      </c>
      <c r="I405">
        <f t="shared" si="6"/>
        <v>2013</v>
      </c>
    </row>
    <row r="406" spans="1:9">
      <c r="A406" s="1">
        <v>10181</v>
      </c>
      <c r="B406" s="1">
        <v>10</v>
      </c>
      <c r="C406" s="2">
        <v>41288</v>
      </c>
      <c r="D406" s="1" t="s">
        <v>2005</v>
      </c>
      <c r="E406" s="1">
        <v>100225</v>
      </c>
      <c r="F406" s="6" t="s">
        <v>2408</v>
      </c>
      <c r="G406" s="15" t="str">
        <f>VLOOKUP(A406,Movie!A:D,4,FALSE)</f>
        <v>Fox</v>
      </c>
      <c r="H406" s="14">
        <f>VLOOKUP(E406,'Rental Transaction'!A:B,2,FALSE)</f>
        <v>795957</v>
      </c>
      <c r="I406">
        <f t="shared" si="6"/>
        <v>2013</v>
      </c>
    </row>
    <row r="407" spans="1:9">
      <c r="A407" s="1">
        <v>10156</v>
      </c>
      <c r="B407" s="1">
        <v>8</v>
      </c>
      <c r="C407" s="2">
        <v>41290</v>
      </c>
      <c r="D407" s="1" t="s">
        <v>2002</v>
      </c>
      <c r="E407" s="1">
        <v>100226</v>
      </c>
      <c r="F407" s="6" t="s">
        <v>2409</v>
      </c>
      <c r="G407" s="15" t="str">
        <f>VLOOKUP(A407,Movie!A:D,4,FALSE)</f>
        <v>Buena Vista</v>
      </c>
      <c r="H407" s="14">
        <f>VLOOKUP(E407,'Rental Transaction'!A:B,2,FALSE)</f>
        <v>109251</v>
      </c>
      <c r="I407">
        <f t="shared" si="6"/>
        <v>2013</v>
      </c>
    </row>
    <row r="408" spans="1:9" ht="29.25">
      <c r="A408" s="1">
        <v>10294</v>
      </c>
      <c r="B408" s="1">
        <v>9</v>
      </c>
      <c r="C408" s="2">
        <v>41288</v>
      </c>
      <c r="D408" s="1" t="s">
        <v>2005</v>
      </c>
      <c r="E408" s="1">
        <v>100226</v>
      </c>
      <c r="F408" s="6" t="s">
        <v>2410</v>
      </c>
      <c r="G408" s="15" t="str">
        <f>VLOOKUP(A408,Movie!A:D,4,FALSE)</f>
        <v>Weinstein Company</v>
      </c>
      <c r="H408" s="14">
        <f>VLOOKUP(E408,'Rental Transaction'!A:B,2,FALSE)</f>
        <v>109251</v>
      </c>
      <c r="I408">
        <f t="shared" si="6"/>
        <v>2013</v>
      </c>
    </row>
    <row r="409" spans="1:9">
      <c r="A409" s="1">
        <v>10032</v>
      </c>
      <c r="B409" s="1">
        <v>1</v>
      </c>
      <c r="C409" s="2">
        <v>41289</v>
      </c>
      <c r="D409" s="1" t="s">
        <v>2005</v>
      </c>
      <c r="E409" s="1">
        <v>100227</v>
      </c>
      <c r="F409" s="6" t="s">
        <v>2411</v>
      </c>
      <c r="G409" s="15" t="str">
        <f>VLOOKUP(A409,Movie!A:D,4,FALSE)</f>
        <v>Sony</v>
      </c>
      <c r="H409" s="14">
        <f>VLOOKUP(E409,'Rental Transaction'!A:B,2,FALSE)</f>
        <v>308662</v>
      </c>
      <c r="I409">
        <f t="shared" si="6"/>
        <v>2013</v>
      </c>
    </row>
    <row r="410" spans="1:9">
      <c r="A410" s="1">
        <v>10202</v>
      </c>
      <c r="B410" s="1">
        <v>8</v>
      </c>
      <c r="C410" s="2">
        <v>41289</v>
      </c>
      <c r="D410" s="1" t="s">
        <v>2002</v>
      </c>
      <c r="E410" s="1">
        <v>100228</v>
      </c>
      <c r="F410" s="6" t="s">
        <v>2412</v>
      </c>
      <c r="G410" s="15" t="str">
        <f>VLOOKUP(A410,Movie!A:D,4,FALSE)</f>
        <v>Warner Brothers</v>
      </c>
      <c r="H410" s="14">
        <f>VLOOKUP(E410,'Rental Transaction'!A:B,2,FALSE)</f>
        <v>357579</v>
      </c>
      <c r="I410">
        <f t="shared" si="6"/>
        <v>2013</v>
      </c>
    </row>
    <row r="411" spans="1:9">
      <c r="A411" s="1">
        <v>10270</v>
      </c>
      <c r="B411" s="1">
        <v>10</v>
      </c>
      <c r="C411" s="2">
        <v>41289</v>
      </c>
      <c r="D411" s="1" t="s">
        <v>2002</v>
      </c>
      <c r="E411" s="1">
        <v>100228</v>
      </c>
      <c r="F411" s="6" t="s">
        <v>2413</v>
      </c>
      <c r="G411" s="15" t="str">
        <f>VLOOKUP(A411,Movie!A:D,4,FALSE)</f>
        <v>Fox</v>
      </c>
      <c r="H411" s="14">
        <f>VLOOKUP(E411,'Rental Transaction'!A:B,2,FALSE)</f>
        <v>357579</v>
      </c>
      <c r="I411">
        <f t="shared" si="6"/>
        <v>2013</v>
      </c>
    </row>
    <row r="412" spans="1:9" ht="29.25">
      <c r="A412" s="1">
        <v>10264</v>
      </c>
      <c r="B412" s="1">
        <v>6</v>
      </c>
      <c r="C412" s="2">
        <v>41290</v>
      </c>
      <c r="D412" s="1" t="s">
        <v>2002</v>
      </c>
      <c r="E412" s="1">
        <v>100228</v>
      </c>
      <c r="F412" s="6" t="s">
        <v>2414</v>
      </c>
      <c r="G412" s="15" t="str">
        <f>VLOOKUP(A412,Movie!A:D,4,FALSE)</f>
        <v>Weinstein Company</v>
      </c>
      <c r="H412" s="14">
        <f>VLOOKUP(E412,'Rental Transaction'!A:B,2,FALSE)</f>
        <v>357579</v>
      </c>
      <c r="I412">
        <f t="shared" si="6"/>
        <v>2013</v>
      </c>
    </row>
    <row r="413" spans="1:9">
      <c r="A413" s="1">
        <v>10069</v>
      </c>
      <c r="B413" s="1">
        <v>3</v>
      </c>
      <c r="C413" s="2">
        <v>41290</v>
      </c>
      <c r="D413" s="1" t="s">
        <v>2002</v>
      </c>
      <c r="E413" s="1">
        <v>100229</v>
      </c>
      <c r="F413" s="6" t="s">
        <v>2415</v>
      </c>
      <c r="G413" s="15" t="str">
        <f>VLOOKUP(A413,Movie!A:D,4,FALSE)</f>
        <v>Warner Brothers</v>
      </c>
      <c r="H413" s="14">
        <f>VLOOKUP(E413,'Rental Transaction'!A:B,2,FALSE)</f>
        <v>332324</v>
      </c>
      <c r="I413">
        <f t="shared" si="6"/>
        <v>2013</v>
      </c>
    </row>
    <row r="414" spans="1:9">
      <c r="A414" s="1">
        <v>10226</v>
      </c>
      <c r="B414" s="1">
        <v>5</v>
      </c>
      <c r="C414" s="2">
        <v>41292</v>
      </c>
      <c r="D414" s="1" t="s">
        <v>2002</v>
      </c>
      <c r="E414" s="1">
        <v>100230</v>
      </c>
      <c r="F414" s="6" t="s">
        <v>2416</v>
      </c>
      <c r="G414" s="15" t="str">
        <f>VLOOKUP(A414,Movie!A:D,4,FALSE)</f>
        <v>Sony</v>
      </c>
      <c r="H414" s="14">
        <f>VLOOKUP(E414,'Rental Transaction'!A:B,2,FALSE)</f>
        <v>310195</v>
      </c>
      <c r="I414">
        <f t="shared" si="6"/>
        <v>2013</v>
      </c>
    </row>
    <row r="415" spans="1:9">
      <c r="A415" s="1">
        <v>10124</v>
      </c>
      <c r="B415" s="1">
        <v>3</v>
      </c>
      <c r="C415" s="2">
        <v>41290</v>
      </c>
      <c r="D415" s="1" t="s">
        <v>2005</v>
      </c>
      <c r="E415" s="1">
        <v>100230</v>
      </c>
      <c r="F415" s="6" t="s">
        <v>2417</v>
      </c>
      <c r="G415" s="15" t="str">
        <f>VLOOKUP(A415,Movie!A:D,4,FALSE)</f>
        <v>Paramount</v>
      </c>
      <c r="H415" s="14">
        <f>VLOOKUP(E415,'Rental Transaction'!A:B,2,FALSE)</f>
        <v>310195</v>
      </c>
      <c r="I415">
        <f t="shared" si="6"/>
        <v>2013</v>
      </c>
    </row>
    <row r="416" spans="1:9">
      <c r="A416" s="1">
        <v>10012</v>
      </c>
      <c r="B416" s="1">
        <v>6</v>
      </c>
      <c r="C416" s="2">
        <v>41290</v>
      </c>
      <c r="D416" s="1" t="s">
        <v>2002</v>
      </c>
      <c r="E416" s="1">
        <v>100231</v>
      </c>
      <c r="F416" s="6" t="s">
        <v>2418</v>
      </c>
      <c r="G416" s="15" t="str">
        <f>VLOOKUP(A416,Movie!A:D,4,FALSE)</f>
        <v>Buena Vista</v>
      </c>
      <c r="H416" s="14">
        <f>VLOOKUP(E416,'Rental Transaction'!A:B,2,FALSE)</f>
        <v>109251</v>
      </c>
      <c r="I416">
        <f t="shared" si="6"/>
        <v>2013</v>
      </c>
    </row>
    <row r="417" spans="1:9">
      <c r="A417" s="1">
        <v>10158</v>
      </c>
      <c r="B417" s="1">
        <v>10</v>
      </c>
      <c r="C417" s="2">
        <v>41290</v>
      </c>
      <c r="D417" s="1" t="s">
        <v>2002</v>
      </c>
      <c r="E417" s="1">
        <v>100232</v>
      </c>
      <c r="F417" s="6" t="s">
        <v>2419</v>
      </c>
      <c r="G417" s="15" t="str">
        <f>VLOOKUP(A417,Movie!A:D,4,FALSE)</f>
        <v>Warner Brothers</v>
      </c>
      <c r="H417" s="14">
        <f>VLOOKUP(E417,'Rental Transaction'!A:B,2,FALSE)</f>
        <v>363931</v>
      </c>
      <c r="I417">
        <f t="shared" si="6"/>
        <v>2013</v>
      </c>
    </row>
    <row r="418" spans="1:9">
      <c r="A418" s="1">
        <v>10059</v>
      </c>
      <c r="B418" s="1">
        <v>1</v>
      </c>
      <c r="C418" s="2">
        <v>41290</v>
      </c>
      <c r="D418" s="1" t="s">
        <v>2005</v>
      </c>
      <c r="E418" s="1">
        <v>100233</v>
      </c>
      <c r="F418" s="6" t="s">
        <v>2420</v>
      </c>
      <c r="G418" s="15" t="str">
        <f>VLOOKUP(A418,Movie!A:D,4,FALSE)</f>
        <v>Universal</v>
      </c>
      <c r="H418" s="14">
        <f>VLOOKUP(E418,'Rental Transaction'!A:B,2,FALSE)</f>
        <v>693531</v>
      </c>
      <c r="I418">
        <f t="shared" si="6"/>
        <v>2013</v>
      </c>
    </row>
    <row r="419" spans="1:9" ht="29.25">
      <c r="A419" s="1">
        <v>10249</v>
      </c>
      <c r="B419" s="1">
        <v>6</v>
      </c>
      <c r="C419" s="2">
        <v>41291</v>
      </c>
      <c r="D419" s="1" t="s">
        <v>2002</v>
      </c>
      <c r="E419" s="1">
        <v>100234</v>
      </c>
      <c r="F419" s="6" t="s">
        <v>2421</v>
      </c>
      <c r="G419" s="15" t="str">
        <f>VLOOKUP(A419,Movie!A:D,4,FALSE)</f>
        <v>Summit Entertainment</v>
      </c>
      <c r="H419" s="14">
        <f>VLOOKUP(E419,'Rental Transaction'!A:B,2,FALSE)</f>
        <v>995599</v>
      </c>
      <c r="I419">
        <f t="shared" si="6"/>
        <v>2013</v>
      </c>
    </row>
    <row r="420" spans="1:9">
      <c r="A420" s="1">
        <v>10193</v>
      </c>
      <c r="B420" s="1">
        <v>2</v>
      </c>
      <c r="C420" s="2">
        <v>41291</v>
      </c>
      <c r="D420" s="1" t="s">
        <v>2005</v>
      </c>
      <c r="E420" s="1">
        <v>100235</v>
      </c>
      <c r="F420" s="6" t="s">
        <v>2422</v>
      </c>
      <c r="G420" s="15" t="str">
        <f>VLOOKUP(A420,Movie!A:D,4,FALSE)</f>
        <v>Fox</v>
      </c>
      <c r="H420" s="14">
        <f>VLOOKUP(E420,'Rental Transaction'!A:B,2,FALSE)</f>
        <v>149240</v>
      </c>
      <c r="I420">
        <f t="shared" si="6"/>
        <v>2013</v>
      </c>
    </row>
    <row r="421" spans="1:9">
      <c r="A421" s="1">
        <v>10160</v>
      </c>
      <c r="B421" s="1">
        <v>10</v>
      </c>
      <c r="C421" s="2">
        <v>41291</v>
      </c>
      <c r="D421" s="1" t="s">
        <v>2005</v>
      </c>
      <c r="E421" s="1">
        <v>100235</v>
      </c>
      <c r="F421" s="6" t="s">
        <v>2423</v>
      </c>
      <c r="G421" s="15" t="str">
        <f>VLOOKUP(A421,Movie!A:D,4,FALSE)</f>
        <v>Lionsgate</v>
      </c>
      <c r="H421" s="14">
        <f>VLOOKUP(E421,'Rental Transaction'!A:B,2,FALSE)</f>
        <v>149240</v>
      </c>
      <c r="I421">
        <f t="shared" si="6"/>
        <v>2013</v>
      </c>
    </row>
    <row r="422" spans="1:9">
      <c r="A422" s="1">
        <v>10284</v>
      </c>
      <c r="B422" s="1">
        <v>4</v>
      </c>
      <c r="C422" s="2">
        <v>41293</v>
      </c>
      <c r="D422" s="1" t="s">
        <v>2005</v>
      </c>
      <c r="E422" s="1">
        <v>100236</v>
      </c>
      <c r="F422" s="6" t="s">
        <v>2424</v>
      </c>
      <c r="G422" s="15" t="str">
        <f>VLOOKUP(A422,Movie!A:D,4,FALSE)</f>
        <v>Focus</v>
      </c>
      <c r="H422" s="14">
        <f>VLOOKUP(E422,'Rental Transaction'!A:B,2,FALSE)</f>
        <v>707458</v>
      </c>
      <c r="I422">
        <f t="shared" si="6"/>
        <v>2013</v>
      </c>
    </row>
    <row r="423" spans="1:9">
      <c r="A423" s="1">
        <v>10135</v>
      </c>
      <c r="B423" s="1">
        <v>10</v>
      </c>
      <c r="C423" s="2">
        <v>41292</v>
      </c>
      <c r="D423" s="1" t="s">
        <v>2005</v>
      </c>
      <c r="E423" s="1">
        <v>100236</v>
      </c>
      <c r="F423" s="6" t="s">
        <v>2425</v>
      </c>
      <c r="G423" s="15" t="str">
        <f>VLOOKUP(A423,Movie!A:D,4,FALSE)</f>
        <v>Universal</v>
      </c>
      <c r="H423" s="14">
        <f>VLOOKUP(E423,'Rental Transaction'!A:B,2,FALSE)</f>
        <v>707458</v>
      </c>
      <c r="I423">
        <f t="shared" si="6"/>
        <v>2013</v>
      </c>
    </row>
    <row r="424" spans="1:9">
      <c r="A424" s="1">
        <v>10192</v>
      </c>
      <c r="B424" s="1">
        <v>8</v>
      </c>
      <c r="C424" s="2">
        <v>41292</v>
      </c>
      <c r="D424" s="1" t="s">
        <v>2002</v>
      </c>
      <c r="E424" s="1">
        <v>100237</v>
      </c>
      <c r="F424" s="6" t="s">
        <v>2426</v>
      </c>
      <c r="G424" s="15" t="str">
        <f>VLOOKUP(A424,Movie!A:D,4,FALSE)</f>
        <v>Universal</v>
      </c>
      <c r="H424" s="14">
        <f>VLOOKUP(E424,'Rental Transaction'!A:B,2,FALSE)</f>
        <v>207846</v>
      </c>
      <c r="I424">
        <f t="shared" si="6"/>
        <v>2013</v>
      </c>
    </row>
    <row r="425" spans="1:9">
      <c r="A425" s="1">
        <v>10266</v>
      </c>
      <c r="B425" s="1">
        <v>9</v>
      </c>
      <c r="C425" s="2">
        <v>41293</v>
      </c>
      <c r="D425" s="1" t="s">
        <v>2002</v>
      </c>
      <c r="E425" s="1">
        <v>100238</v>
      </c>
      <c r="F425" s="6" t="s">
        <v>2427</v>
      </c>
      <c r="G425" s="15" t="str">
        <f>VLOOKUP(A425,Movie!A:D,4,FALSE)</f>
        <v>Sony</v>
      </c>
      <c r="H425" s="14">
        <f>VLOOKUP(E425,'Rental Transaction'!A:B,2,FALSE)</f>
        <v>671363</v>
      </c>
      <c r="I425">
        <f t="shared" si="6"/>
        <v>2013</v>
      </c>
    </row>
    <row r="426" spans="1:9">
      <c r="A426" s="1">
        <v>10167</v>
      </c>
      <c r="B426" s="1">
        <v>10</v>
      </c>
      <c r="C426" s="2">
        <v>41295</v>
      </c>
      <c r="D426" s="1" t="s">
        <v>2005</v>
      </c>
      <c r="E426" s="1">
        <v>100239</v>
      </c>
      <c r="F426" s="6" t="s">
        <v>2428</v>
      </c>
      <c r="G426" s="15" t="str">
        <f>VLOOKUP(A426,Movie!A:D,4,FALSE)</f>
        <v>Universal</v>
      </c>
      <c r="H426" s="14">
        <f>VLOOKUP(E426,'Rental Transaction'!A:B,2,FALSE)</f>
        <v>513968</v>
      </c>
      <c r="I426">
        <f t="shared" si="6"/>
        <v>2013</v>
      </c>
    </row>
    <row r="427" spans="1:9">
      <c r="A427" s="1">
        <v>10151</v>
      </c>
      <c r="B427" s="1">
        <v>4</v>
      </c>
      <c r="C427" s="2">
        <v>41295</v>
      </c>
      <c r="D427" s="1" t="s">
        <v>2002</v>
      </c>
      <c r="E427" s="1">
        <v>100239</v>
      </c>
      <c r="F427" s="6" t="s">
        <v>2429</v>
      </c>
      <c r="G427" s="15" t="str">
        <f>VLOOKUP(A427,Movie!A:D,4,FALSE)</f>
        <v>Screen Gems</v>
      </c>
      <c r="H427" s="14">
        <f>VLOOKUP(E427,'Rental Transaction'!A:B,2,FALSE)</f>
        <v>513968</v>
      </c>
      <c r="I427">
        <f t="shared" si="6"/>
        <v>2013</v>
      </c>
    </row>
    <row r="428" spans="1:9" ht="29.25">
      <c r="A428" s="1">
        <v>10164</v>
      </c>
      <c r="B428" s="1">
        <v>1</v>
      </c>
      <c r="C428" s="2">
        <v>41294</v>
      </c>
      <c r="D428" s="1" t="s">
        <v>2005</v>
      </c>
      <c r="E428" s="1">
        <v>100240</v>
      </c>
      <c r="F428" s="6" t="s">
        <v>2430</v>
      </c>
      <c r="G428" s="15" t="str">
        <f>VLOOKUP(A428,Movie!A:D,4,FALSE)</f>
        <v>Weinstein Company</v>
      </c>
      <c r="H428" s="14">
        <f>VLOOKUP(E428,'Rental Transaction'!A:B,2,FALSE)</f>
        <v>649551</v>
      </c>
      <c r="I428">
        <f t="shared" si="6"/>
        <v>2013</v>
      </c>
    </row>
    <row r="429" spans="1:9">
      <c r="A429" s="1">
        <v>10062</v>
      </c>
      <c r="B429" s="1">
        <v>1</v>
      </c>
      <c r="C429" s="2">
        <v>41294</v>
      </c>
      <c r="D429" s="1" t="s">
        <v>2005</v>
      </c>
      <c r="E429" s="1">
        <v>100240</v>
      </c>
      <c r="F429" s="6" t="s">
        <v>2431</v>
      </c>
      <c r="G429" s="15" t="str">
        <f>VLOOKUP(A429,Movie!A:D,4,FALSE)</f>
        <v>FilmDistrict</v>
      </c>
      <c r="H429" s="14">
        <f>VLOOKUP(E429,'Rental Transaction'!A:B,2,FALSE)</f>
        <v>649551</v>
      </c>
      <c r="I429">
        <f t="shared" si="6"/>
        <v>2013</v>
      </c>
    </row>
    <row r="430" spans="1:9">
      <c r="A430" s="1">
        <v>10083</v>
      </c>
      <c r="B430" s="1">
        <v>9</v>
      </c>
      <c r="C430" s="2">
        <v>41294</v>
      </c>
      <c r="D430" s="1" t="s">
        <v>2005</v>
      </c>
      <c r="E430" s="1">
        <v>100240</v>
      </c>
      <c r="F430" s="6" t="s">
        <v>2432</v>
      </c>
      <c r="G430" s="15" t="str">
        <f>VLOOKUP(A430,Movie!A:D,4,FALSE)</f>
        <v>Buena Vista</v>
      </c>
      <c r="H430" s="14">
        <f>VLOOKUP(E430,'Rental Transaction'!A:B,2,FALSE)</f>
        <v>649551</v>
      </c>
      <c r="I430">
        <f t="shared" si="6"/>
        <v>2013</v>
      </c>
    </row>
    <row r="431" spans="1:9">
      <c r="A431" s="1">
        <v>10131</v>
      </c>
      <c r="B431" s="1">
        <v>5</v>
      </c>
      <c r="C431" s="2">
        <v>41295</v>
      </c>
      <c r="D431" s="1" t="s">
        <v>2002</v>
      </c>
      <c r="E431" s="1">
        <v>100241</v>
      </c>
      <c r="F431" s="6" t="s">
        <v>2433</v>
      </c>
      <c r="G431" s="15" t="str">
        <f>VLOOKUP(A431,Movie!A:D,4,FALSE)</f>
        <v>Warner Brothers</v>
      </c>
      <c r="H431" s="14">
        <f>VLOOKUP(E431,'Rental Transaction'!A:B,2,FALSE)</f>
        <v>737707</v>
      </c>
      <c r="I431">
        <f t="shared" si="6"/>
        <v>2013</v>
      </c>
    </row>
    <row r="432" spans="1:9">
      <c r="A432" s="1">
        <v>10176</v>
      </c>
      <c r="B432" s="1">
        <v>6</v>
      </c>
      <c r="C432" s="2">
        <v>41296</v>
      </c>
      <c r="D432" s="1" t="s">
        <v>2005</v>
      </c>
      <c r="E432" s="1">
        <v>100242</v>
      </c>
      <c r="F432" s="6" t="s">
        <v>2434</v>
      </c>
      <c r="G432" s="15" t="str">
        <f>VLOOKUP(A432,Movie!A:D,4,FALSE)</f>
        <v>Universal</v>
      </c>
      <c r="H432" s="14">
        <f>VLOOKUP(E432,'Rental Transaction'!A:B,2,FALSE)</f>
        <v>422717</v>
      </c>
      <c r="I432">
        <f t="shared" si="6"/>
        <v>2013</v>
      </c>
    </row>
    <row r="433" spans="1:9">
      <c r="A433" s="1">
        <v>10071</v>
      </c>
      <c r="B433" s="1">
        <v>4</v>
      </c>
      <c r="C433" s="2">
        <v>41297</v>
      </c>
      <c r="D433" s="1" t="s">
        <v>2002</v>
      </c>
      <c r="E433" s="1">
        <v>100243</v>
      </c>
      <c r="F433" s="6" t="s">
        <v>2435</v>
      </c>
      <c r="G433" s="15" t="str">
        <f>VLOOKUP(A433,Movie!A:D,4,FALSE)</f>
        <v>Paramount</v>
      </c>
      <c r="H433" s="14">
        <f>VLOOKUP(E433,'Rental Transaction'!A:B,2,FALSE)</f>
        <v>841831</v>
      </c>
      <c r="I433">
        <f t="shared" si="6"/>
        <v>2013</v>
      </c>
    </row>
    <row r="434" spans="1:9">
      <c r="A434" s="1">
        <v>10221</v>
      </c>
      <c r="B434" s="1">
        <v>1</v>
      </c>
      <c r="C434" s="2">
        <v>41295</v>
      </c>
      <c r="D434" s="1" t="s">
        <v>2002</v>
      </c>
      <c r="E434" s="1">
        <v>100244</v>
      </c>
      <c r="F434" s="6" t="s">
        <v>2436</v>
      </c>
      <c r="G434" s="15" t="str">
        <f>VLOOKUP(A434,Movie!A:D,4,FALSE)</f>
        <v>Fox</v>
      </c>
      <c r="H434" s="14">
        <f>VLOOKUP(E434,'Rental Transaction'!A:B,2,FALSE)</f>
        <v>447368</v>
      </c>
      <c r="I434">
        <f t="shared" si="6"/>
        <v>2013</v>
      </c>
    </row>
    <row r="435" spans="1:9">
      <c r="A435" s="1">
        <v>10147</v>
      </c>
      <c r="B435" s="1">
        <v>6</v>
      </c>
      <c r="C435" s="2">
        <v>41295</v>
      </c>
      <c r="D435" s="1" t="s">
        <v>2002</v>
      </c>
      <c r="E435" s="1">
        <v>100245</v>
      </c>
      <c r="F435" s="6" t="s">
        <v>2437</v>
      </c>
      <c r="G435" s="15" t="str">
        <f>VLOOKUP(A435,Movie!A:D,4,FALSE)</f>
        <v>Lionsgate</v>
      </c>
      <c r="H435" s="14">
        <f>VLOOKUP(E435,'Rental Transaction'!A:B,2,FALSE)</f>
        <v>256181</v>
      </c>
      <c r="I435">
        <f t="shared" si="6"/>
        <v>2013</v>
      </c>
    </row>
    <row r="436" spans="1:9">
      <c r="A436" s="1">
        <v>10139</v>
      </c>
      <c r="B436" s="1">
        <v>5</v>
      </c>
      <c r="C436" s="2">
        <v>41297</v>
      </c>
      <c r="D436" s="1" t="s">
        <v>2005</v>
      </c>
      <c r="E436" s="1">
        <v>100246</v>
      </c>
      <c r="F436" s="6" t="s">
        <v>2438</v>
      </c>
      <c r="G436" s="15" t="str">
        <f>VLOOKUP(A436,Movie!A:D,4,FALSE)</f>
        <v>Focus</v>
      </c>
      <c r="H436" s="14">
        <f>VLOOKUP(E436,'Rental Transaction'!A:B,2,FALSE)</f>
        <v>488803</v>
      </c>
      <c r="I436">
        <f t="shared" si="6"/>
        <v>2013</v>
      </c>
    </row>
    <row r="437" spans="1:9">
      <c r="A437" s="1">
        <v>10020</v>
      </c>
      <c r="B437" s="1">
        <v>4</v>
      </c>
      <c r="C437" s="2">
        <v>41298</v>
      </c>
      <c r="D437" s="1" t="s">
        <v>2002</v>
      </c>
      <c r="E437" s="1">
        <v>100246</v>
      </c>
      <c r="F437" s="6" t="s">
        <v>2439</v>
      </c>
      <c r="G437" s="15" t="str">
        <f>VLOOKUP(A437,Movie!A:D,4,FALSE)</f>
        <v>FilmDistrict</v>
      </c>
      <c r="H437" s="14">
        <f>VLOOKUP(E437,'Rental Transaction'!A:B,2,FALSE)</f>
        <v>488803</v>
      </c>
      <c r="I437">
        <f t="shared" si="6"/>
        <v>2013</v>
      </c>
    </row>
    <row r="438" spans="1:9">
      <c r="A438" s="1">
        <v>10064</v>
      </c>
      <c r="B438" s="1">
        <v>7</v>
      </c>
      <c r="C438" s="2">
        <v>41298</v>
      </c>
      <c r="D438" s="1" t="s">
        <v>2002</v>
      </c>
      <c r="E438" s="1">
        <v>100247</v>
      </c>
      <c r="F438" s="6" t="s">
        <v>2440</v>
      </c>
      <c r="G438" s="15" t="str">
        <f>VLOOKUP(A438,Movie!A:D,4,FALSE)</f>
        <v>Universal</v>
      </c>
      <c r="H438" s="14">
        <f>VLOOKUP(E438,'Rental Transaction'!A:B,2,FALSE)</f>
        <v>289693</v>
      </c>
      <c r="I438">
        <f t="shared" si="6"/>
        <v>2013</v>
      </c>
    </row>
    <row r="439" spans="1:9" ht="29.25">
      <c r="A439" s="1">
        <v>10095</v>
      </c>
      <c r="B439" s="1">
        <v>9</v>
      </c>
      <c r="C439" s="2">
        <v>41297</v>
      </c>
      <c r="D439" s="1" t="s">
        <v>2005</v>
      </c>
      <c r="E439" s="1">
        <v>100247</v>
      </c>
      <c r="F439" s="6" t="s">
        <v>2441</v>
      </c>
      <c r="G439" s="15" t="str">
        <f>VLOOKUP(A439,Movie!A:D,4,FALSE)</f>
        <v>Weinstein Company</v>
      </c>
      <c r="H439" s="14">
        <f>VLOOKUP(E439,'Rental Transaction'!A:B,2,FALSE)</f>
        <v>289693</v>
      </c>
      <c r="I439">
        <f t="shared" si="6"/>
        <v>2013</v>
      </c>
    </row>
    <row r="440" spans="1:9">
      <c r="A440" s="1">
        <v>10007</v>
      </c>
      <c r="B440" s="1">
        <v>9</v>
      </c>
      <c r="C440" s="2">
        <v>41298</v>
      </c>
      <c r="D440" s="1" t="s">
        <v>2002</v>
      </c>
      <c r="E440" s="1">
        <v>100248</v>
      </c>
      <c r="F440" s="6" t="s">
        <v>2442</v>
      </c>
      <c r="G440" s="15" t="str">
        <f>VLOOKUP(A440,Movie!A:D,4,FALSE)</f>
        <v>Sony</v>
      </c>
      <c r="H440" s="14">
        <f>VLOOKUP(E440,'Rental Transaction'!A:B,2,FALSE)</f>
        <v>776775</v>
      </c>
      <c r="I440">
        <f t="shared" si="6"/>
        <v>2013</v>
      </c>
    </row>
    <row r="441" spans="1:9">
      <c r="A441" s="1">
        <v>10193</v>
      </c>
      <c r="B441" s="1">
        <v>6</v>
      </c>
      <c r="C441" s="2">
        <v>41298</v>
      </c>
      <c r="D441" s="1" t="s">
        <v>2005</v>
      </c>
      <c r="E441" s="1">
        <v>100249</v>
      </c>
      <c r="F441" s="6" t="s">
        <v>2443</v>
      </c>
      <c r="G441" s="15" t="str">
        <f>VLOOKUP(A441,Movie!A:D,4,FALSE)</f>
        <v>Fox</v>
      </c>
      <c r="H441" s="14">
        <f>VLOOKUP(E441,'Rental Transaction'!A:B,2,FALSE)</f>
        <v>147543</v>
      </c>
      <c r="I441">
        <f t="shared" si="6"/>
        <v>2013</v>
      </c>
    </row>
    <row r="442" spans="1:9">
      <c r="A442" s="1">
        <v>10150</v>
      </c>
      <c r="B442" s="1">
        <v>6</v>
      </c>
      <c r="C442" s="2">
        <v>41298</v>
      </c>
      <c r="D442" s="1" t="s">
        <v>2002</v>
      </c>
      <c r="E442" s="1">
        <v>100250</v>
      </c>
      <c r="F442" s="6" t="s">
        <v>2444</v>
      </c>
      <c r="G442" s="15" t="str">
        <f>VLOOKUP(A442,Movie!A:D,4,FALSE)</f>
        <v>Focus</v>
      </c>
      <c r="H442" s="14">
        <f>VLOOKUP(E442,'Rental Transaction'!A:B,2,FALSE)</f>
        <v>757780</v>
      </c>
      <c r="I442">
        <f t="shared" si="6"/>
        <v>2013</v>
      </c>
    </row>
    <row r="443" spans="1:9">
      <c r="A443" s="1">
        <v>10074</v>
      </c>
      <c r="B443" s="1">
        <v>3</v>
      </c>
      <c r="C443" s="2">
        <v>41298</v>
      </c>
      <c r="D443" s="1" t="s">
        <v>2002</v>
      </c>
      <c r="E443" s="1">
        <v>100250</v>
      </c>
      <c r="F443" s="6" t="s">
        <v>2445</v>
      </c>
      <c r="G443" s="15" t="str">
        <f>VLOOKUP(A443,Movie!A:D,4,FALSE)</f>
        <v>Open Road Films</v>
      </c>
      <c r="H443" s="14">
        <f>VLOOKUP(E443,'Rental Transaction'!A:B,2,FALSE)</f>
        <v>757780</v>
      </c>
      <c r="I443">
        <f t="shared" si="6"/>
        <v>2013</v>
      </c>
    </row>
    <row r="444" spans="1:9">
      <c r="A444" s="1">
        <v>10066</v>
      </c>
      <c r="B444" s="1">
        <v>9</v>
      </c>
      <c r="C444" s="2">
        <v>41298</v>
      </c>
      <c r="D444" s="1" t="s">
        <v>2005</v>
      </c>
      <c r="E444" s="1">
        <v>100250</v>
      </c>
      <c r="F444" s="6" t="s">
        <v>2446</v>
      </c>
      <c r="G444" s="15" t="str">
        <f>VLOOKUP(A444,Movie!A:D,4,FALSE)</f>
        <v>Buena Vista</v>
      </c>
      <c r="H444" s="14">
        <f>VLOOKUP(E444,'Rental Transaction'!A:B,2,FALSE)</f>
        <v>757780</v>
      </c>
      <c r="I444">
        <f t="shared" si="6"/>
        <v>2013</v>
      </c>
    </row>
    <row r="445" spans="1:9">
      <c r="A445" s="1">
        <v>10162</v>
      </c>
      <c r="B445" s="1">
        <v>5</v>
      </c>
      <c r="C445" s="2">
        <v>41298</v>
      </c>
      <c r="D445" s="1" t="s">
        <v>2005</v>
      </c>
      <c r="E445" s="1">
        <v>100250</v>
      </c>
      <c r="F445" s="6" t="s">
        <v>2447</v>
      </c>
      <c r="G445" s="15" t="str">
        <f>VLOOKUP(A445,Movie!A:D,4,FALSE)</f>
        <v>Sony</v>
      </c>
      <c r="H445" s="14">
        <f>VLOOKUP(E445,'Rental Transaction'!A:B,2,FALSE)</f>
        <v>757780</v>
      </c>
      <c r="I445">
        <f t="shared" si="6"/>
        <v>2013</v>
      </c>
    </row>
    <row r="446" spans="1:9">
      <c r="A446" s="1">
        <v>10021</v>
      </c>
      <c r="B446" s="1">
        <v>9</v>
      </c>
      <c r="C446" s="2">
        <v>41299</v>
      </c>
      <c r="D446" s="1" t="s">
        <v>2005</v>
      </c>
      <c r="E446" s="1">
        <v>100251</v>
      </c>
      <c r="F446" s="6" t="s">
        <v>2448</v>
      </c>
      <c r="G446" s="15" t="str">
        <f>VLOOKUP(A446,Movie!A:D,4,FALSE)</f>
        <v>Paramount</v>
      </c>
      <c r="H446" s="14">
        <f>VLOOKUP(E446,'Rental Transaction'!A:B,2,FALSE)</f>
        <v>465275</v>
      </c>
      <c r="I446">
        <f t="shared" si="6"/>
        <v>2013</v>
      </c>
    </row>
    <row r="447" spans="1:9">
      <c r="A447" s="1">
        <v>10106</v>
      </c>
      <c r="B447" s="1">
        <v>6</v>
      </c>
      <c r="C447" s="2">
        <v>41300</v>
      </c>
      <c r="D447" s="1" t="s">
        <v>2005</v>
      </c>
      <c r="E447" s="1">
        <v>100252</v>
      </c>
      <c r="F447" s="6" t="s">
        <v>2449</v>
      </c>
      <c r="G447" s="15" t="str">
        <f>VLOOKUP(A447,Movie!A:D,4,FALSE)</f>
        <v>Fox</v>
      </c>
      <c r="H447" s="14">
        <f>VLOOKUP(E447,'Rental Transaction'!A:B,2,FALSE)</f>
        <v>665313</v>
      </c>
      <c r="I447">
        <f t="shared" si="6"/>
        <v>2013</v>
      </c>
    </row>
    <row r="448" spans="1:9" ht="29.25">
      <c r="A448" s="1">
        <v>10246</v>
      </c>
      <c r="B448" s="1">
        <v>5</v>
      </c>
      <c r="C448" s="2">
        <v>41299</v>
      </c>
      <c r="D448" s="1" t="s">
        <v>2002</v>
      </c>
      <c r="E448" s="1">
        <v>100253</v>
      </c>
      <c r="F448" s="6" t="s">
        <v>2450</v>
      </c>
      <c r="G448" s="15" t="str">
        <f>VLOOKUP(A448,Movie!A:D,4,FALSE)</f>
        <v>Weinstein Company</v>
      </c>
      <c r="H448" s="14">
        <f>VLOOKUP(E448,'Rental Transaction'!A:B,2,FALSE)</f>
        <v>286196</v>
      </c>
      <c r="I448">
        <f t="shared" si="6"/>
        <v>2013</v>
      </c>
    </row>
    <row r="449" spans="1:9">
      <c r="A449" s="1">
        <v>10272</v>
      </c>
      <c r="B449" s="1">
        <v>1</v>
      </c>
      <c r="C449" s="2">
        <v>41299</v>
      </c>
      <c r="D449" s="1" t="s">
        <v>2005</v>
      </c>
      <c r="E449" s="1">
        <v>100253</v>
      </c>
      <c r="F449" s="6" t="s">
        <v>2451</v>
      </c>
      <c r="G449" s="15" t="str">
        <f>VLOOKUP(A449,Movie!A:D,4,FALSE)</f>
        <v>Sony</v>
      </c>
      <c r="H449" s="14">
        <f>VLOOKUP(E449,'Rental Transaction'!A:B,2,FALSE)</f>
        <v>286196</v>
      </c>
      <c r="I449">
        <f t="shared" si="6"/>
        <v>2013</v>
      </c>
    </row>
    <row r="450" spans="1:9">
      <c r="A450" s="1">
        <v>10283</v>
      </c>
      <c r="B450" s="1">
        <v>5</v>
      </c>
      <c r="C450" s="2">
        <v>41299</v>
      </c>
      <c r="D450" s="1" t="s">
        <v>2002</v>
      </c>
      <c r="E450" s="1">
        <v>100254</v>
      </c>
      <c r="F450" s="6" t="s">
        <v>2452</v>
      </c>
      <c r="G450" s="15" t="str">
        <f>VLOOKUP(A450,Movie!A:D,4,FALSE)</f>
        <v>TriStar</v>
      </c>
      <c r="H450" s="14">
        <f>VLOOKUP(E450,'Rental Transaction'!A:B,2,FALSE)</f>
        <v>795957</v>
      </c>
      <c r="I450">
        <f t="shared" si="6"/>
        <v>2013</v>
      </c>
    </row>
    <row r="451" spans="1:9">
      <c r="A451" s="1">
        <v>10214</v>
      </c>
      <c r="B451" s="1">
        <v>10</v>
      </c>
      <c r="C451" s="2">
        <v>41300</v>
      </c>
      <c r="D451" s="1" t="s">
        <v>2002</v>
      </c>
      <c r="E451" s="1">
        <v>100254</v>
      </c>
      <c r="F451" s="6" t="s">
        <v>2453</v>
      </c>
      <c r="G451" s="15" t="str">
        <f>VLOOKUP(A451,Movie!A:D,4,FALSE)</f>
        <v>RM</v>
      </c>
      <c r="H451" s="14">
        <f>VLOOKUP(E451,'Rental Transaction'!A:B,2,FALSE)</f>
        <v>795957</v>
      </c>
      <c r="I451">
        <f t="shared" ref="I451:I514" si="7">YEAR(C451)</f>
        <v>2013</v>
      </c>
    </row>
    <row r="452" spans="1:9">
      <c r="A452" s="1">
        <v>10287</v>
      </c>
      <c r="B452" s="1">
        <v>3</v>
      </c>
      <c r="C452" s="2">
        <v>41299</v>
      </c>
      <c r="D452" s="1" t="s">
        <v>2002</v>
      </c>
      <c r="E452" s="1">
        <v>100254</v>
      </c>
      <c r="F452" s="6" t="s">
        <v>2454</v>
      </c>
      <c r="G452" s="15" t="str">
        <f>VLOOKUP(A452,Movie!A:D,4,FALSE)</f>
        <v>Lionsgate</v>
      </c>
      <c r="H452" s="14">
        <f>VLOOKUP(E452,'Rental Transaction'!A:B,2,FALSE)</f>
        <v>795957</v>
      </c>
      <c r="I452">
        <f t="shared" si="7"/>
        <v>2013</v>
      </c>
    </row>
    <row r="453" spans="1:9">
      <c r="A453" s="1">
        <v>10158</v>
      </c>
      <c r="B453" s="1">
        <v>8</v>
      </c>
      <c r="C453" s="2">
        <v>41299</v>
      </c>
      <c r="D453" s="1" t="s">
        <v>2002</v>
      </c>
      <c r="E453" s="1">
        <v>100255</v>
      </c>
      <c r="F453" s="6" t="s">
        <v>2455</v>
      </c>
      <c r="G453" s="15" t="str">
        <f>VLOOKUP(A453,Movie!A:D,4,FALSE)</f>
        <v>Warner Brothers</v>
      </c>
      <c r="H453" s="14">
        <f>VLOOKUP(E453,'Rental Transaction'!A:B,2,FALSE)</f>
        <v>304344</v>
      </c>
      <c r="I453">
        <f t="shared" si="7"/>
        <v>2013</v>
      </c>
    </row>
    <row r="454" spans="1:9">
      <c r="A454" s="1">
        <v>10281</v>
      </c>
      <c r="B454" s="1">
        <v>7</v>
      </c>
      <c r="C454" s="2">
        <v>41300</v>
      </c>
      <c r="D454" s="1" t="s">
        <v>2002</v>
      </c>
      <c r="E454" s="1">
        <v>100256</v>
      </c>
      <c r="F454" s="6" t="s">
        <v>2456</v>
      </c>
      <c r="G454" s="15" t="str">
        <f>VLOOKUP(A454,Movie!A:D,4,FALSE)</f>
        <v>Lionsgate</v>
      </c>
      <c r="H454" s="14">
        <f>VLOOKUP(E454,'Rental Transaction'!A:B,2,FALSE)</f>
        <v>416523</v>
      </c>
      <c r="I454">
        <f t="shared" si="7"/>
        <v>2013</v>
      </c>
    </row>
    <row r="455" spans="1:9">
      <c r="A455" s="1">
        <v>10250</v>
      </c>
      <c r="B455" s="1">
        <v>8</v>
      </c>
      <c r="C455" s="2">
        <v>41300</v>
      </c>
      <c r="D455" s="1" t="s">
        <v>2002</v>
      </c>
      <c r="E455" s="1">
        <v>100256</v>
      </c>
      <c r="F455" s="6" t="s">
        <v>2457</v>
      </c>
      <c r="G455" s="15" t="str">
        <f>VLOOKUP(A455,Movie!A:D,4,FALSE)</f>
        <v>Buena Vista</v>
      </c>
      <c r="H455" s="14">
        <f>VLOOKUP(E455,'Rental Transaction'!A:B,2,FALSE)</f>
        <v>416523</v>
      </c>
      <c r="I455">
        <f t="shared" si="7"/>
        <v>2013</v>
      </c>
    </row>
    <row r="456" spans="1:9">
      <c r="A456" s="1">
        <v>10023</v>
      </c>
      <c r="B456" s="1">
        <v>3</v>
      </c>
      <c r="C456" s="2">
        <v>41299</v>
      </c>
      <c r="D456" s="1" t="s">
        <v>2002</v>
      </c>
      <c r="E456" s="1">
        <v>100256</v>
      </c>
      <c r="F456" s="6" t="s">
        <v>2458</v>
      </c>
      <c r="G456" s="15" t="str">
        <f>VLOOKUP(A456,Movie!A:D,4,FALSE)</f>
        <v>Buena Vista</v>
      </c>
      <c r="H456" s="14">
        <f>VLOOKUP(E456,'Rental Transaction'!A:B,2,FALSE)</f>
        <v>416523</v>
      </c>
      <c r="I456">
        <f t="shared" si="7"/>
        <v>2013</v>
      </c>
    </row>
    <row r="457" spans="1:9">
      <c r="A457" s="1">
        <v>10026</v>
      </c>
      <c r="B457" s="1">
        <v>7</v>
      </c>
      <c r="C457" s="2">
        <v>41301</v>
      </c>
      <c r="D457" s="1" t="s">
        <v>2002</v>
      </c>
      <c r="E457" s="1">
        <v>100257</v>
      </c>
      <c r="F457" s="6" t="s">
        <v>2459</v>
      </c>
      <c r="G457" s="15" t="str">
        <f>VLOOKUP(A457,Movie!A:D,4,FALSE)</f>
        <v>Fox</v>
      </c>
      <c r="H457" s="14">
        <f>VLOOKUP(E457,'Rental Transaction'!A:B,2,FALSE)</f>
        <v>929344</v>
      </c>
      <c r="I457">
        <f t="shared" si="7"/>
        <v>2013</v>
      </c>
    </row>
    <row r="458" spans="1:9">
      <c r="A458" s="1">
        <v>10036</v>
      </c>
      <c r="B458" s="1">
        <v>7</v>
      </c>
      <c r="C458" s="2">
        <v>41301</v>
      </c>
      <c r="D458" s="1" t="s">
        <v>2002</v>
      </c>
      <c r="E458" s="1">
        <v>100257</v>
      </c>
      <c r="F458" s="6" t="s">
        <v>2460</v>
      </c>
      <c r="G458" s="15" t="str">
        <f>VLOOKUP(A458,Movie!A:D,4,FALSE)</f>
        <v>Universal</v>
      </c>
      <c r="H458" s="14">
        <f>VLOOKUP(E458,'Rental Transaction'!A:B,2,FALSE)</f>
        <v>929344</v>
      </c>
      <c r="I458">
        <f t="shared" si="7"/>
        <v>2013</v>
      </c>
    </row>
    <row r="459" spans="1:9">
      <c r="A459" s="1">
        <v>10075</v>
      </c>
      <c r="B459" s="1">
        <v>1</v>
      </c>
      <c r="C459" s="2">
        <v>41302</v>
      </c>
      <c r="D459" s="1" t="s">
        <v>2002</v>
      </c>
      <c r="E459" s="1">
        <v>100258</v>
      </c>
      <c r="F459" s="6" t="s">
        <v>2461</v>
      </c>
      <c r="G459" s="15" t="str">
        <f>VLOOKUP(A459,Movie!A:D,4,FALSE)</f>
        <v>Fox Searchlight</v>
      </c>
      <c r="H459" s="14">
        <f>VLOOKUP(E459,'Rental Transaction'!A:B,2,FALSE)</f>
        <v>154427</v>
      </c>
      <c r="I459">
        <f t="shared" si="7"/>
        <v>2013</v>
      </c>
    </row>
    <row r="460" spans="1:9">
      <c r="A460" s="1">
        <v>10225</v>
      </c>
      <c r="B460" s="1">
        <v>6</v>
      </c>
      <c r="C460" s="2">
        <v>41301</v>
      </c>
      <c r="D460" s="1" t="s">
        <v>2002</v>
      </c>
      <c r="E460" s="1">
        <v>100258</v>
      </c>
      <c r="F460" s="6" t="s">
        <v>2462</v>
      </c>
      <c r="G460" s="15" t="str">
        <f>VLOOKUP(A460,Movie!A:D,4,FALSE)</f>
        <v>Warner Brothers</v>
      </c>
      <c r="H460" s="14">
        <f>VLOOKUP(E460,'Rental Transaction'!A:B,2,FALSE)</f>
        <v>154427</v>
      </c>
      <c r="I460">
        <f t="shared" si="7"/>
        <v>2013</v>
      </c>
    </row>
    <row r="461" spans="1:9">
      <c r="A461" s="1">
        <v>10220</v>
      </c>
      <c r="B461" s="1">
        <v>6</v>
      </c>
      <c r="C461" s="2">
        <v>41301</v>
      </c>
      <c r="D461" s="1" t="s">
        <v>2002</v>
      </c>
      <c r="E461" s="1">
        <v>100258</v>
      </c>
      <c r="F461" s="6" t="s">
        <v>2463</v>
      </c>
      <c r="G461" s="15" t="str">
        <f>VLOOKUP(A461,Movie!A:D,4,FALSE)</f>
        <v>Fox</v>
      </c>
      <c r="H461" s="14">
        <f>VLOOKUP(E461,'Rental Transaction'!A:B,2,FALSE)</f>
        <v>154427</v>
      </c>
      <c r="I461">
        <f t="shared" si="7"/>
        <v>2013</v>
      </c>
    </row>
    <row r="462" spans="1:9">
      <c r="A462" s="1">
        <v>10269</v>
      </c>
      <c r="B462" s="1">
        <v>3</v>
      </c>
      <c r="C462" s="2">
        <v>41301</v>
      </c>
      <c r="D462" s="1" t="s">
        <v>2002</v>
      </c>
      <c r="E462" s="1">
        <v>100258</v>
      </c>
      <c r="F462" s="6" t="s">
        <v>2464</v>
      </c>
      <c r="G462" s="15" t="str">
        <f>VLOOKUP(A462,Movie!A:D,4,FALSE)</f>
        <v>Buena Vista</v>
      </c>
      <c r="H462" s="14">
        <f>VLOOKUP(E462,'Rental Transaction'!A:B,2,FALSE)</f>
        <v>154427</v>
      </c>
      <c r="I462">
        <f t="shared" si="7"/>
        <v>2013</v>
      </c>
    </row>
    <row r="463" spans="1:9">
      <c r="A463" s="1">
        <v>10106</v>
      </c>
      <c r="B463" s="1">
        <v>8</v>
      </c>
      <c r="C463" s="2">
        <v>41301</v>
      </c>
      <c r="D463" s="1" t="s">
        <v>2005</v>
      </c>
      <c r="E463" s="1">
        <v>100259</v>
      </c>
      <c r="F463" s="6" t="s">
        <v>2465</v>
      </c>
      <c r="G463" s="15" t="str">
        <f>VLOOKUP(A463,Movie!A:D,4,FALSE)</f>
        <v>Fox</v>
      </c>
      <c r="H463" s="14">
        <f>VLOOKUP(E463,'Rental Transaction'!A:B,2,FALSE)</f>
        <v>121639</v>
      </c>
      <c r="I463">
        <f t="shared" si="7"/>
        <v>2013</v>
      </c>
    </row>
    <row r="464" spans="1:9">
      <c r="A464" s="1">
        <v>10012</v>
      </c>
      <c r="B464" s="1">
        <v>6</v>
      </c>
      <c r="C464" s="2">
        <v>41301</v>
      </c>
      <c r="D464" s="1" t="s">
        <v>2002</v>
      </c>
      <c r="E464" s="1">
        <v>100260</v>
      </c>
      <c r="F464" s="6" t="s">
        <v>2466</v>
      </c>
      <c r="G464" s="15" t="str">
        <f>VLOOKUP(A464,Movie!A:D,4,FALSE)</f>
        <v>Buena Vista</v>
      </c>
      <c r="H464" s="14">
        <f>VLOOKUP(E464,'Rental Transaction'!A:B,2,FALSE)</f>
        <v>657736</v>
      </c>
      <c r="I464">
        <f t="shared" si="7"/>
        <v>2013</v>
      </c>
    </row>
    <row r="465" spans="1:9">
      <c r="A465" s="1">
        <v>10093</v>
      </c>
      <c r="B465" s="1">
        <v>7</v>
      </c>
      <c r="C465" s="2">
        <v>41301</v>
      </c>
      <c r="D465" s="1" t="s">
        <v>2002</v>
      </c>
      <c r="E465" s="1">
        <v>100260</v>
      </c>
      <c r="F465" s="6" t="s">
        <v>2467</v>
      </c>
      <c r="G465" s="15" t="str">
        <f>VLOOKUP(A465,Movie!A:D,4,FALSE)</f>
        <v>Open Road Films</v>
      </c>
      <c r="H465" s="14">
        <f>VLOOKUP(E465,'Rental Transaction'!A:B,2,FALSE)</f>
        <v>657736</v>
      </c>
      <c r="I465">
        <f t="shared" si="7"/>
        <v>2013</v>
      </c>
    </row>
    <row r="466" spans="1:9">
      <c r="A466" s="1">
        <v>10096</v>
      </c>
      <c r="B466" s="1">
        <v>6</v>
      </c>
      <c r="C466" s="2">
        <v>41303</v>
      </c>
      <c r="D466" s="1" t="s">
        <v>2005</v>
      </c>
      <c r="E466" s="1">
        <v>100261</v>
      </c>
      <c r="F466" s="6" t="s">
        <v>2468</v>
      </c>
      <c r="G466" s="15" t="str">
        <f>VLOOKUP(A466,Movie!A:D,4,FALSE)</f>
        <v>Universal</v>
      </c>
      <c r="H466" s="14">
        <f>VLOOKUP(E466,'Rental Transaction'!A:B,2,FALSE)</f>
        <v>331115</v>
      </c>
      <c r="I466">
        <f t="shared" si="7"/>
        <v>2013</v>
      </c>
    </row>
    <row r="467" spans="1:9" ht="29.25">
      <c r="A467" s="1">
        <v>10105</v>
      </c>
      <c r="B467" s="1">
        <v>3</v>
      </c>
      <c r="C467" s="2">
        <v>41304</v>
      </c>
      <c r="D467" s="1" t="s">
        <v>2005</v>
      </c>
      <c r="E467" s="1">
        <v>100261</v>
      </c>
      <c r="F467" s="6" t="s">
        <v>2469</v>
      </c>
      <c r="G467" s="15" t="str">
        <f>VLOOKUP(A467,Movie!A:D,4,FALSE)</f>
        <v>Weinstein Company</v>
      </c>
      <c r="H467" s="14">
        <f>VLOOKUP(E467,'Rental Transaction'!A:B,2,FALSE)</f>
        <v>331115</v>
      </c>
      <c r="I467">
        <f t="shared" si="7"/>
        <v>2013</v>
      </c>
    </row>
    <row r="468" spans="1:9">
      <c r="A468" s="1">
        <v>10233</v>
      </c>
      <c r="B468" s="1">
        <v>5</v>
      </c>
      <c r="C468" s="2">
        <v>41304</v>
      </c>
      <c r="D468" s="1" t="s">
        <v>2002</v>
      </c>
      <c r="E468" s="1">
        <v>100261</v>
      </c>
      <c r="F468" s="6" t="s">
        <v>2470</v>
      </c>
      <c r="G468" s="15" t="str">
        <f>VLOOKUP(A468,Movie!A:D,4,FALSE)</f>
        <v>Screen Gems</v>
      </c>
      <c r="H468" s="14">
        <f>VLOOKUP(E468,'Rental Transaction'!A:B,2,FALSE)</f>
        <v>331115</v>
      </c>
      <c r="I468">
        <f t="shared" si="7"/>
        <v>2013</v>
      </c>
    </row>
    <row r="469" spans="1:9">
      <c r="A469" s="1">
        <v>10248</v>
      </c>
      <c r="B469" s="1">
        <v>8</v>
      </c>
      <c r="C469" s="2">
        <v>41303</v>
      </c>
      <c r="D469" s="1" t="s">
        <v>2002</v>
      </c>
      <c r="E469" s="1">
        <v>100261</v>
      </c>
      <c r="F469" s="6" t="s">
        <v>2471</v>
      </c>
      <c r="G469" s="15" t="str">
        <f>VLOOKUP(A469,Movie!A:D,4,FALSE)</f>
        <v>Relativity</v>
      </c>
      <c r="H469" s="14">
        <f>VLOOKUP(E469,'Rental Transaction'!A:B,2,FALSE)</f>
        <v>331115</v>
      </c>
      <c r="I469">
        <f t="shared" si="7"/>
        <v>2013</v>
      </c>
    </row>
    <row r="470" spans="1:9">
      <c r="A470" s="1">
        <v>10113</v>
      </c>
      <c r="B470" s="1">
        <v>5</v>
      </c>
      <c r="C470" s="2">
        <v>41302</v>
      </c>
      <c r="D470" s="1" t="s">
        <v>2002</v>
      </c>
      <c r="E470" s="1">
        <v>100262</v>
      </c>
      <c r="F470" s="6" t="s">
        <v>2472</v>
      </c>
      <c r="G470" s="15" t="str">
        <f>VLOOKUP(A470,Movie!A:D,4,FALSE)</f>
        <v>Lionsgate</v>
      </c>
      <c r="H470" s="14">
        <f>VLOOKUP(E470,'Rental Transaction'!A:B,2,FALSE)</f>
        <v>992956</v>
      </c>
      <c r="I470">
        <f t="shared" si="7"/>
        <v>2013</v>
      </c>
    </row>
    <row r="471" spans="1:9">
      <c r="A471" s="1">
        <v>10216</v>
      </c>
      <c r="B471" s="1">
        <v>3</v>
      </c>
      <c r="C471" s="2">
        <v>41302</v>
      </c>
      <c r="D471" s="1" t="s">
        <v>2002</v>
      </c>
      <c r="E471" s="1">
        <v>100262</v>
      </c>
      <c r="F471" s="6" t="s">
        <v>2473</v>
      </c>
      <c r="G471" s="15" t="str">
        <f>VLOOKUP(A471,Movie!A:D,4,FALSE)</f>
        <v>Sony</v>
      </c>
      <c r="H471" s="14">
        <f>VLOOKUP(E471,'Rental Transaction'!A:B,2,FALSE)</f>
        <v>992956</v>
      </c>
      <c r="I471">
        <f t="shared" si="7"/>
        <v>2013</v>
      </c>
    </row>
    <row r="472" spans="1:9">
      <c r="A472" s="1">
        <v>10138</v>
      </c>
      <c r="B472" s="1">
        <v>9</v>
      </c>
      <c r="C472" s="2">
        <v>41302</v>
      </c>
      <c r="D472" s="1" t="s">
        <v>2002</v>
      </c>
      <c r="E472" s="1">
        <v>100263</v>
      </c>
      <c r="F472" s="6" t="s">
        <v>2474</v>
      </c>
      <c r="G472" s="15" t="str">
        <f>VLOOKUP(A472,Movie!A:D,4,FALSE)</f>
        <v>Universal</v>
      </c>
      <c r="H472" s="14">
        <f>VLOOKUP(E472,'Rental Transaction'!A:B,2,FALSE)</f>
        <v>269687</v>
      </c>
      <c r="I472">
        <f t="shared" si="7"/>
        <v>2013</v>
      </c>
    </row>
    <row r="473" spans="1:9">
      <c r="A473" s="1">
        <v>10170</v>
      </c>
      <c r="B473" s="1">
        <v>5</v>
      </c>
      <c r="C473" s="2">
        <v>41302</v>
      </c>
      <c r="D473" s="1" t="s">
        <v>2002</v>
      </c>
      <c r="E473" s="1">
        <v>100263</v>
      </c>
      <c r="F473" s="6" t="s">
        <v>2475</v>
      </c>
      <c r="G473" s="15" t="str">
        <f>VLOOKUP(A473,Movie!A:D,4,FALSE)</f>
        <v>Sony Classics</v>
      </c>
      <c r="H473" s="14">
        <f>VLOOKUP(E473,'Rental Transaction'!A:B,2,FALSE)</f>
        <v>269687</v>
      </c>
      <c r="I473">
        <f t="shared" si="7"/>
        <v>2013</v>
      </c>
    </row>
    <row r="474" spans="1:9">
      <c r="A474" s="1">
        <v>10038</v>
      </c>
      <c r="B474" s="1">
        <v>2</v>
      </c>
      <c r="C474" s="2">
        <v>41302</v>
      </c>
      <c r="D474" s="1" t="s">
        <v>2005</v>
      </c>
      <c r="E474" s="1">
        <v>100264</v>
      </c>
      <c r="F474" s="6" t="s">
        <v>2476</v>
      </c>
      <c r="G474" s="15" t="str">
        <f>VLOOKUP(A474,Movie!A:D,4,FALSE)</f>
        <v>Paramount</v>
      </c>
      <c r="H474" s="14">
        <f>VLOOKUP(E474,'Rental Transaction'!A:B,2,FALSE)</f>
        <v>111991</v>
      </c>
      <c r="I474">
        <f t="shared" si="7"/>
        <v>2013</v>
      </c>
    </row>
    <row r="475" spans="1:9" ht="29.25">
      <c r="A475" s="1">
        <v>10164</v>
      </c>
      <c r="B475" s="1">
        <v>7</v>
      </c>
      <c r="C475" s="2">
        <v>41302</v>
      </c>
      <c r="D475" s="1" t="s">
        <v>2002</v>
      </c>
      <c r="E475" s="1">
        <v>100264</v>
      </c>
      <c r="F475" s="6" t="s">
        <v>2477</v>
      </c>
      <c r="G475" s="15" t="str">
        <f>VLOOKUP(A475,Movie!A:D,4,FALSE)</f>
        <v>Weinstein Company</v>
      </c>
      <c r="H475" s="14">
        <f>VLOOKUP(E475,'Rental Transaction'!A:B,2,FALSE)</f>
        <v>111991</v>
      </c>
      <c r="I475">
        <f t="shared" si="7"/>
        <v>2013</v>
      </c>
    </row>
    <row r="476" spans="1:9">
      <c r="A476" s="1">
        <v>10220</v>
      </c>
      <c r="B476" s="1">
        <v>2</v>
      </c>
      <c r="C476" s="2">
        <v>41302</v>
      </c>
      <c r="D476" s="1" t="s">
        <v>2005</v>
      </c>
      <c r="E476" s="1">
        <v>100264</v>
      </c>
      <c r="F476" s="6" t="s">
        <v>2478</v>
      </c>
      <c r="G476" s="15" t="str">
        <f>VLOOKUP(A476,Movie!A:D,4,FALSE)</f>
        <v>Fox</v>
      </c>
      <c r="H476" s="14">
        <f>VLOOKUP(E476,'Rental Transaction'!A:B,2,FALSE)</f>
        <v>111991</v>
      </c>
      <c r="I476">
        <f t="shared" si="7"/>
        <v>2013</v>
      </c>
    </row>
    <row r="477" spans="1:9">
      <c r="A477" s="1">
        <v>10064</v>
      </c>
      <c r="B477" s="1">
        <v>7</v>
      </c>
      <c r="C477" s="2">
        <v>41303</v>
      </c>
      <c r="D477" s="1" t="s">
        <v>2002</v>
      </c>
      <c r="E477" s="1">
        <v>100265</v>
      </c>
      <c r="F477" s="6" t="s">
        <v>2479</v>
      </c>
      <c r="G477" s="15" t="str">
        <f>VLOOKUP(A477,Movie!A:D,4,FALSE)</f>
        <v>Universal</v>
      </c>
      <c r="H477" s="14">
        <f>VLOOKUP(E477,'Rental Transaction'!A:B,2,FALSE)</f>
        <v>938006</v>
      </c>
      <c r="I477">
        <f t="shared" si="7"/>
        <v>2013</v>
      </c>
    </row>
    <row r="478" spans="1:9">
      <c r="A478" s="1">
        <v>10001</v>
      </c>
      <c r="B478" s="1">
        <v>3</v>
      </c>
      <c r="C478" s="2">
        <v>41305</v>
      </c>
      <c r="D478" s="1" t="s">
        <v>2002</v>
      </c>
      <c r="E478" s="1">
        <v>100266</v>
      </c>
      <c r="F478" s="6" t="s">
        <v>2480</v>
      </c>
      <c r="G478" s="15" t="str">
        <f>VLOOKUP(A478,Movie!A:D,4,FALSE)</f>
        <v>Focus</v>
      </c>
      <c r="H478" s="14">
        <f>VLOOKUP(E478,'Rental Transaction'!A:B,2,FALSE)</f>
        <v>413292</v>
      </c>
      <c r="I478">
        <f t="shared" si="7"/>
        <v>2013</v>
      </c>
    </row>
    <row r="479" spans="1:9" ht="29.25">
      <c r="A479" s="1">
        <v>10165</v>
      </c>
      <c r="B479" s="1">
        <v>5</v>
      </c>
      <c r="C479" s="2">
        <v>41305</v>
      </c>
      <c r="D479" s="1" t="s">
        <v>2005</v>
      </c>
      <c r="E479" s="1">
        <v>100267</v>
      </c>
      <c r="F479" s="6" t="s">
        <v>2481</v>
      </c>
      <c r="G479" s="15" t="str">
        <f>VLOOKUP(A479,Movie!A:D,4,FALSE)</f>
        <v>Weinstein Company</v>
      </c>
      <c r="H479" s="14">
        <f>VLOOKUP(E479,'Rental Transaction'!A:B,2,FALSE)</f>
        <v>227456</v>
      </c>
      <c r="I479">
        <f t="shared" si="7"/>
        <v>2013</v>
      </c>
    </row>
    <row r="480" spans="1:9" ht="29.25">
      <c r="A480" s="1">
        <v>10294</v>
      </c>
      <c r="B480" s="1">
        <v>8</v>
      </c>
      <c r="C480" s="2">
        <v>41304</v>
      </c>
      <c r="D480" s="1" t="s">
        <v>2005</v>
      </c>
      <c r="E480" s="1">
        <v>100267</v>
      </c>
      <c r="F480" s="6" t="s">
        <v>2482</v>
      </c>
      <c r="G480" s="15" t="str">
        <f>VLOOKUP(A480,Movie!A:D,4,FALSE)</f>
        <v>Weinstein Company</v>
      </c>
      <c r="H480" s="14">
        <f>VLOOKUP(E480,'Rental Transaction'!A:B,2,FALSE)</f>
        <v>227456</v>
      </c>
      <c r="I480">
        <f t="shared" si="7"/>
        <v>2013</v>
      </c>
    </row>
    <row r="481" spans="1:9">
      <c r="A481" s="1">
        <v>10110</v>
      </c>
      <c r="B481" s="1">
        <v>4</v>
      </c>
      <c r="C481" s="2">
        <v>41307</v>
      </c>
      <c r="D481" s="1" t="s">
        <v>2002</v>
      </c>
      <c r="E481" s="1">
        <v>100267</v>
      </c>
      <c r="F481" s="6" t="s">
        <v>2483</v>
      </c>
      <c r="G481" s="15" t="str">
        <f>VLOOKUP(A481,Movie!A:D,4,FALSE)</f>
        <v>Warner Brothers</v>
      </c>
      <c r="H481" s="14">
        <f>VLOOKUP(E481,'Rental Transaction'!A:B,2,FALSE)</f>
        <v>227456</v>
      </c>
      <c r="I481">
        <f t="shared" si="7"/>
        <v>2013</v>
      </c>
    </row>
    <row r="482" spans="1:9">
      <c r="A482" s="1">
        <v>10093</v>
      </c>
      <c r="B482" s="1">
        <v>3</v>
      </c>
      <c r="C482" s="2">
        <v>41305</v>
      </c>
      <c r="D482" s="1" t="s">
        <v>2005</v>
      </c>
      <c r="E482" s="1">
        <v>100268</v>
      </c>
      <c r="F482" s="6" t="s">
        <v>2484</v>
      </c>
      <c r="G482" s="15" t="str">
        <f>VLOOKUP(A482,Movie!A:D,4,FALSE)</f>
        <v>Open Road Films</v>
      </c>
      <c r="H482" s="14">
        <f>VLOOKUP(E482,'Rental Transaction'!A:B,2,FALSE)</f>
        <v>245577</v>
      </c>
      <c r="I482">
        <f t="shared" si="7"/>
        <v>2013</v>
      </c>
    </row>
    <row r="483" spans="1:9">
      <c r="A483" s="1">
        <v>10270</v>
      </c>
      <c r="B483" s="1">
        <v>6</v>
      </c>
      <c r="C483" s="2">
        <v>41305</v>
      </c>
      <c r="D483" s="1" t="s">
        <v>2005</v>
      </c>
      <c r="E483" s="1">
        <v>100269</v>
      </c>
      <c r="F483" s="6" t="s">
        <v>2485</v>
      </c>
      <c r="G483" s="15" t="str">
        <f>VLOOKUP(A483,Movie!A:D,4,FALSE)</f>
        <v>Fox</v>
      </c>
      <c r="H483" s="14">
        <f>VLOOKUP(E483,'Rental Transaction'!A:B,2,FALSE)</f>
        <v>247216</v>
      </c>
      <c r="I483">
        <f t="shared" si="7"/>
        <v>2013</v>
      </c>
    </row>
    <row r="484" spans="1:9">
      <c r="A484" s="1">
        <v>10298</v>
      </c>
      <c r="B484" s="1">
        <v>8</v>
      </c>
      <c r="C484" s="2">
        <v>41305</v>
      </c>
      <c r="D484" s="1" t="s">
        <v>2002</v>
      </c>
      <c r="E484" s="1">
        <v>100269</v>
      </c>
      <c r="F484" s="6" t="s">
        <v>2486</v>
      </c>
      <c r="G484" s="15" t="str">
        <f>VLOOKUP(A484,Movie!A:D,4,FALSE)</f>
        <v>UTV</v>
      </c>
      <c r="H484" s="14">
        <f>VLOOKUP(E484,'Rental Transaction'!A:B,2,FALSE)</f>
        <v>247216</v>
      </c>
      <c r="I484">
        <f t="shared" si="7"/>
        <v>2013</v>
      </c>
    </row>
    <row r="485" spans="1:9">
      <c r="A485" s="1">
        <v>10215</v>
      </c>
      <c r="B485" s="1">
        <v>4</v>
      </c>
      <c r="C485" s="2">
        <v>41305</v>
      </c>
      <c r="D485" s="1" t="s">
        <v>2005</v>
      </c>
      <c r="E485" s="1">
        <v>100270</v>
      </c>
      <c r="F485" s="6" t="s">
        <v>2487</v>
      </c>
      <c r="G485" s="15" t="str">
        <f>VLOOKUP(A485,Movie!A:D,4,FALSE)</f>
        <v>Paramount</v>
      </c>
      <c r="H485" s="14">
        <f>VLOOKUP(E485,'Rental Transaction'!A:B,2,FALSE)</f>
        <v>671363</v>
      </c>
      <c r="I485">
        <f t="shared" si="7"/>
        <v>2013</v>
      </c>
    </row>
    <row r="486" spans="1:9">
      <c r="A486" s="1">
        <v>10124</v>
      </c>
      <c r="B486" s="1">
        <v>7</v>
      </c>
      <c r="C486" s="2">
        <v>41305</v>
      </c>
      <c r="D486" s="1" t="s">
        <v>2002</v>
      </c>
      <c r="E486" s="1">
        <v>100270</v>
      </c>
      <c r="F486" s="6" t="s">
        <v>2488</v>
      </c>
      <c r="G486" s="15" t="str">
        <f>VLOOKUP(A486,Movie!A:D,4,FALSE)</f>
        <v>Paramount</v>
      </c>
      <c r="H486" s="14">
        <f>VLOOKUP(E486,'Rental Transaction'!A:B,2,FALSE)</f>
        <v>671363</v>
      </c>
      <c r="I486">
        <f t="shared" si="7"/>
        <v>2013</v>
      </c>
    </row>
    <row r="487" spans="1:9">
      <c r="A487" s="1">
        <v>10097</v>
      </c>
      <c r="B487" s="1">
        <v>6</v>
      </c>
      <c r="C487" s="2">
        <v>41306</v>
      </c>
      <c r="D487" s="1" t="s">
        <v>2005</v>
      </c>
      <c r="E487" s="1">
        <v>100271</v>
      </c>
      <c r="F487" s="6" t="s">
        <v>2489</v>
      </c>
      <c r="G487" s="15" t="str">
        <f>VLOOKUP(A487,Movie!A:D,4,FALSE)</f>
        <v>Screen Gems</v>
      </c>
      <c r="H487" s="14">
        <f>VLOOKUP(E487,'Rental Transaction'!A:B,2,FALSE)</f>
        <v>166735</v>
      </c>
      <c r="I487">
        <f t="shared" si="7"/>
        <v>2013</v>
      </c>
    </row>
    <row r="488" spans="1:9">
      <c r="A488" s="1">
        <v>10053</v>
      </c>
      <c r="B488" s="1">
        <v>3</v>
      </c>
      <c r="C488" s="2">
        <v>41306</v>
      </c>
      <c r="D488" s="1" t="s">
        <v>2005</v>
      </c>
      <c r="E488" s="1">
        <v>100271</v>
      </c>
      <c r="F488" s="6" t="s">
        <v>2490</v>
      </c>
      <c r="G488" s="15" t="str">
        <f>VLOOKUP(A488,Movie!A:D,4,FALSE)</f>
        <v>Sony</v>
      </c>
      <c r="H488" s="14">
        <f>VLOOKUP(E488,'Rental Transaction'!A:B,2,FALSE)</f>
        <v>166735</v>
      </c>
      <c r="I488">
        <f t="shared" si="7"/>
        <v>2013</v>
      </c>
    </row>
    <row r="489" spans="1:9">
      <c r="A489" s="1">
        <v>10241</v>
      </c>
      <c r="B489" s="1">
        <v>7</v>
      </c>
      <c r="C489" s="2">
        <v>41306</v>
      </c>
      <c r="D489" s="1" t="s">
        <v>2005</v>
      </c>
      <c r="E489" s="1">
        <v>100272</v>
      </c>
      <c r="F489" s="6" t="s">
        <v>2491</v>
      </c>
      <c r="G489" s="15" t="str">
        <f>VLOOKUP(A489,Movie!A:D,4,FALSE)</f>
        <v>Warner Brothers</v>
      </c>
      <c r="H489" s="14">
        <f>VLOOKUP(E489,'Rental Transaction'!A:B,2,FALSE)</f>
        <v>324435</v>
      </c>
      <c r="I489">
        <f t="shared" si="7"/>
        <v>2013</v>
      </c>
    </row>
    <row r="490" spans="1:9">
      <c r="A490" s="1">
        <v>10181</v>
      </c>
      <c r="B490" s="1">
        <v>6</v>
      </c>
      <c r="C490" s="2">
        <v>41307</v>
      </c>
      <c r="D490" s="1" t="s">
        <v>2002</v>
      </c>
      <c r="E490" s="1">
        <v>100272</v>
      </c>
      <c r="F490" s="6" t="s">
        <v>2492</v>
      </c>
      <c r="G490" s="15" t="str">
        <f>VLOOKUP(A490,Movie!A:D,4,FALSE)</f>
        <v>Fox</v>
      </c>
      <c r="H490" s="14">
        <f>VLOOKUP(E490,'Rental Transaction'!A:B,2,FALSE)</f>
        <v>324435</v>
      </c>
      <c r="I490">
        <f t="shared" si="7"/>
        <v>2013</v>
      </c>
    </row>
    <row r="491" spans="1:9">
      <c r="A491" s="1">
        <v>10226</v>
      </c>
      <c r="B491" s="1">
        <v>10</v>
      </c>
      <c r="C491" s="2">
        <v>41307</v>
      </c>
      <c r="D491" s="1" t="s">
        <v>2002</v>
      </c>
      <c r="E491" s="1">
        <v>100273</v>
      </c>
      <c r="F491" s="6" t="s">
        <v>2493</v>
      </c>
      <c r="G491" s="15" t="str">
        <f>VLOOKUP(A491,Movie!A:D,4,FALSE)</f>
        <v>Sony</v>
      </c>
      <c r="H491" s="14">
        <f>VLOOKUP(E491,'Rental Transaction'!A:B,2,FALSE)</f>
        <v>378374</v>
      </c>
      <c r="I491">
        <f t="shared" si="7"/>
        <v>2013</v>
      </c>
    </row>
    <row r="492" spans="1:9">
      <c r="A492" s="1">
        <v>10252</v>
      </c>
      <c r="B492" s="1">
        <v>8</v>
      </c>
      <c r="C492" s="2">
        <v>41306</v>
      </c>
      <c r="D492" s="1" t="s">
        <v>2002</v>
      </c>
      <c r="E492" s="1">
        <v>100274</v>
      </c>
      <c r="F492" s="6" t="s">
        <v>2494</v>
      </c>
      <c r="G492" s="15" t="str">
        <f>VLOOKUP(A492,Movie!A:D,4,FALSE)</f>
        <v>Warner Brothers</v>
      </c>
      <c r="H492" s="14">
        <f>VLOOKUP(E492,'Rental Transaction'!A:B,2,FALSE)</f>
        <v>454015</v>
      </c>
      <c r="I492">
        <f t="shared" si="7"/>
        <v>2013</v>
      </c>
    </row>
    <row r="493" spans="1:9">
      <c r="A493" s="1">
        <v>10260</v>
      </c>
      <c r="B493" s="1">
        <v>2</v>
      </c>
      <c r="C493" s="2">
        <v>41306</v>
      </c>
      <c r="D493" s="1" t="s">
        <v>2005</v>
      </c>
      <c r="E493" s="1">
        <v>100274</v>
      </c>
      <c r="F493" s="6" t="s">
        <v>2495</v>
      </c>
      <c r="G493" s="15" t="str">
        <f>VLOOKUP(A493,Movie!A:D,4,FALSE)</f>
        <v>Sony</v>
      </c>
      <c r="H493" s="14">
        <f>VLOOKUP(E493,'Rental Transaction'!A:B,2,FALSE)</f>
        <v>454015</v>
      </c>
      <c r="I493">
        <f t="shared" si="7"/>
        <v>2013</v>
      </c>
    </row>
    <row r="494" spans="1:9">
      <c r="A494" s="1">
        <v>10030</v>
      </c>
      <c r="B494" s="1">
        <v>8</v>
      </c>
      <c r="C494" s="2">
        <v>41307</v>
      </c>
      <c r="D494" s="1" t="s">
        <v>2002</v>
      </c>
      <c r="E494" s="1">
        <v>100275</v>
      </c>
      <c r="F494" s="6" t="s">
        <v>2496</v>
      </c>
      <c r="G494" s="15" t="str">
        <f>VLOOKUP(A494,Movie!A:D,4,FALSE)</f>
        <v>Warner Brothers</v>
      </c>
      <c r="H494" s="14">
        <f>VLOOKUP(E494,'Rental Transaction'!A:B,2,FALSE)</f>
        <v>767570</v>
      </c>
      <c r="I494">
        <f t="shared" si="7"/>
        <v>2013</v>
      </c>
    </row>
    <row r="495" spans="1:9">
      <c r="A495" s="1">
        <v>10086</v>
      </c>
      <c r="B495" s="1">
        <v>3</v>
      </c>
      <c r="C495" s="2">
        <v>41308</v>
      </c>
      <c r="D495" s="1" t="s">
        <v>2002</v>
      </c>
      <c r="E495" s="1">
        <v>100275</v>
      </c>
      <c r="F495" s="6" t="s">
        <v>2497</v>
      </c>
      <c r="G495" s="15" t="str">
        <f>VLOOKUP(A495,Movie!A:D,4,FALSE)</f>
        <v>Buena Vista</v>
      </c>
      <c r="H495" s="14">
        <f>VLOOKUP(E495,'Rental Transaction'!A:B,2,FALSE)</f>
        <v>767570</v>
      </c>
      <c r="I495">
        <f t="shared" si="7"/>
        <v>2013</v>
      </c>
    </row>
    <row r="496" spans="1:9">
      <c r="A496" s="1">
        <v>10186</v>
      </c>
      <c r="B496" s="1">
        <v>1</v>
      </c>
      <c r="C496" s="2">
        <v>41307</v>
      </c>
      <c r="D496" s="1" t="s">
        <v>2005</v>
      </c>
      <c r="E496" s="1">
        <v>100276</v>
      </c>
      <c r="F496" s="6" t="s">
        <v>2498</v>
      </c>
      <c r="G496" s="15" t="str">
        <f>VLOOKUP(A496,Movie!A:D,4,FALSE)</f>
        <v>Lionsgate</v>
      </c>
      <c r="H496" s="14">
        <f>VLOOKUP(E496,'Rental Transaction'!A:B,2,FALSE)</f>
        <v>278809</v>
      </c>
      <c r="I496">
        <f t="shared" si="7"/>
        <v>2013</v>
      </c>
    </row>
    <row r="497" spans="1:9">
      <c r="A497" s="1">
        <v>10017</v>
      </c>
      <c r="B497" s="1">
        <v>4</v>
      </c>
      <c r="C497" s="2">
        <v>41308</v>
      </c>
      <c r="D497" s="1" t="s">
        <v>2005</v>
      </c>
      <c r="E497" s="1">
        <v>100277</v>
      </c>
      <c r="F497" s="6" t="s">
        <v>2499</v>
      </c>
      <c r="G497" s="15" t="str">
        <f>VLOOKUP(A497,Movie!A:D,4,FALSE)</f>
        <v>Sony</v>
      </c>
      <c r="H497" s="14">
        <f>VLOOKUP(E497,'Rental Transaction'!A:B,2,FALSE)</f>
        <v>245577</v>
      </c>
      <c r="I497">
        <f t="shared" si="7"/>
        <v>2013</v>
      </c>
    </row>
    <row r="498" spans="1:9">
      <c r="A498" s="1">
        <v>10099</v>
      </c>
      <c r="B498" s="1">
        <v>4</v>
      </c>
      <c r="C498" s="2">
        <v>41309</v>
      </c>
      <c r="D498" s="1" t="s">
        <v>2002</v>
      </c>
      <c r="E498" s="1">
        <v>100277</v>
      </c>
      <c r="F498" s="6" t="s">
        <v>2500</v>
      </c>
      <c r="G498" s="15" t="str">
        <f>VLOOKUP(A498,Movie!A:D,4,FALSE)</f>
        <v>Lionsgate</v>
      </c>
      <c r="H498" s="14">
        <f>VLOOKUP(E498,'Rental Transaction'!A:B,2,FALSE)</f>
        <v>245577</v>
      </c>
      <c r="I498">
        <f t="shared" si="7"/>
        <v>2013</v>
      </c>
    </row>
    <row r="499" spans="1:9">
      <c r="A499" s="1">
        <v>10029</v>
      </c>
      <c r="B499" s="1">
        <v>1</v>
      </c>
      <c r="C499" s="2">
        <v>41308</v>
      </c>
      <c r="D499" s="1" t="s">
        <v>2002</v>
      </c>
      <c r="E499" s="1">
        <v>100277</v>
      </c>
      <c r="F499" s="6" t="s">
        <v>2501</v>
      </c>
      <c r="G499" s="15" t="str">
        <f>VLOOKUP(A499,Movie!A:D,4,FALSE)</f>
        <v>Relativity</v>
      </c>
      <c r="H499" s="14">
        <f>VLOOKUP(E499,'Rental Transaction'!A:B,2,FALSE)</f>
        <v>245577</v>
      </c>
      <c r="I499">
        <f t="shared" si="7"/>
        <v>2013</v>
      </c>
    </row>
    <row r="500" spans="1:9">
      <c r="A500" s="1">
        <v>10180</v>
      </c>
      <c r="B500" s="1">
        <v>4</v>
      </c>
      <c r="C500" s="2">
        <v>41308</v>
      </c>
      <c r="D500" s="1" t="s">
        <v>2005</v>
      </c>
      <c r="E500" s="1">
        <v>100278</v>
      </c>
      <c r="F500" s="6" t="s">
        <v>2502</v>
      </c>
      <c r="G500" s="15" t="str">
        <f>VLOOKUP(A500,Movie!A:D,4,FALSE)</f>
        <v>Relativity</v>
      </c>
      <c r="H500" s="14">
        <f>VLOOKUP(E500,'Rental Transaction'!A:B,2,FALSE)</f>
        <v>158310</v>
      </c>
      <c r="I500">
        <f t="shared" si="7"/>
        <v>2013</v>
      </c>
    </row>
    <row r="501" spans="1:9" ht="29.25">
      <c r="A501" s="1">
        <v>10095</v>
      </c>
      <c r="B501" s="1">
        <v>7</v>
      </c>
      <c r="C501" s="2">
        <v>41309</v>
      </c>
      <c r="D501" s="1" t="s">
        <v>2005</v>
      </c>
      <c r="E501" s="1">
        <v>100278</v>
      </c>
      <c r="F501" s="6" t="s">
        <v>2503</v>
      </c>
      <c r="G501" s="15" t="str">
        <f>VLOOKUP(A501,Movie!A:D,4,FALSE)</f>
        <v>Weinstein Company</v>
      </c>
      <c r="H501" s="14">
        <f>VLOOKUP(E501,'Rental Transaction'!A:B,2,FALSE)</f>
        <v>158310</v>
      </c>
      <c r="I501">
        <f t="shared" si="7"/>
        <v>2013</v>
      </c>
    </row>
    <row r="502" spans="1:9">
      <c r="A502" s="1">
        <v>10147</v>
      </c>
      <c r="B502" s="1">
        <v>4</v>
      </c>
      <c r="C502" s="2">
        <v>41309</v>
      </c>
      <c r="D502" s="1" t="s">
        <v>2002</v>
      </c>
      <c r="E502" s="1">
        <v>100278</v>
      </c>
      <c r="F502" s="6" t="s">
        <v>2504</v>
      </c>
      <c r="G502" s="15" t="str">
        <f>VLOOKUP(A502,Movie!A:D,4,FALSE)</f>
        <v>Lionsgate</v>
      </c>
      <c r="H502" s="14">
        <f>VLOOKUP(E502,'Rental Transaction'!A:B,2,FALSE)</f>
        <v>158310</v>
      </c>
      <c r="I502">
        <f t="shared" si="7"/>
        <v>2013</v>
      </c>
    </row>
    <row r="503" spans="1:9">
      <c r="A503" s="1">
        <v>10036</v>
      </c>
      <c r="B503" s="1">
        <v>7</v>
      </c>
      <c r="C503" s="2">
        <v>41308</v>
      </c>
      <c r="D503" s="1" t="s">
        <v>2002</v>
      </c>
      <c r="E503" s="1">
        <v>100279</v>
      </c>
      <c r="F503" s="6" t="s">
        <v>2505</v>
      </c>
      <c r="G503" s="15" t="str">
        <f>VLOOKUP(A503,Movie!A:D,4,FALSE)</f>
        <v>Universal</v>
      </c>
      <c r="H503" s="14">
        <f>VLOOKUP(E503,'Rental Transaction'!A:B,2,FALSE)</f>
        <v>358901</v>
      </c>
      <c r="I503">
        <f t="shared" si="7"/>
        <v>2013</v>
      </c>
    </row>
    <row r="504" spans="1:9">
      <c r="A504" s="1">
        <v>10145</v>
      </c>
      <c r="B504" s="1">
        <v>2</v>
      </c>
      <c r="C504" s="2">
        <v>41310</v>
      </c>
      <c r="D504" s="1" t="s">
        <v>2002</v>
      </c>
      <c r="E504" s="1">
        <v>100279</v>
      </c>
      <c r="F504" s="6" t="s">
        <v>2506</v>
      </c>
      <c r="G504" s="15" t="str">
        <f>VLOOKUP(A504,Movie!A:D,4,FALSE)</f>
        <v>TriStar</v>
      </c>
      <c r="H504" s="14">
        <f>VLOOKUP(E504,'Rental Transaction'!A:B,2,FALSE)</f>
        <v>358901</v>
      </c>
      <c r="I504">
        <f t="shared" si="7"/>
        <v>2013</v>
      </c>
    </row>
    <row r="505" spans="1:9">
      <c r="A505" s="1">
        <v>10180</v>
      </c>
      <c r="B505" s="1">
        <v>6</v>
      </c>
      <c r="C505" s="2">
        <v>41309</v>
      </c>
      <c r="D505" s="1" t="s">
        <v>2002</v>
      </c>
      <c r="E505" s="1">
        <v>100279</v>
      </c>
      <c r="F505" s="6" t="s">
        <v>2507</v>
      </c>
      <c r="G505" s="15" t="str">
        <f>VLOOKUP(A505,Movie!A:D,4,FALSE)</f>
        <v>Relativity</v>
      </c>
      <c r="H505" s="14">
        <f>VLOOKUP(E505,'Rental Transaction'!A:B,2,FALSE)</f>
        <v>358901</v>
      </c>
      <c r="I505">
        <f t="shared" si="7"/>
        <v>2013</v>
      </c>
    </row>
    <row r="506" spans="1:9">
      <c r="A506" s="1">
        <v>10157</v>
      </c>
      <c r="B506" s="1">
        <v>7</v>
      </c>
      <c r="C506" s="2">
        <v>41308</v>
      </c>
      <c r="D506" s="1" t="s">
        <v>2002</v>
      </c>
      <c r="E506" s="1">
        <v>100280</v>
      </c>
      <c r="F506" s="6" t="s">
        <v>2508</v>
      </c>
      <c r="G506" s="15" t="str">
        <f>VLOOKUP(A506,Movie!A:D,4,FALSE)</f>
        <v>Paramount</v>
      </c>
      <c r="H506" s="14">
        <f>VLOOKUP(E506,'Rental Transaction'!A:B,2,FALSE)</f>
        <v>841831</v>
      </c>
      <c r="I506">
        <f t="shared" si="7"/>
        <v>2013</v>
      </c>
    </row>
    <row r="507" spans="1:9">
      <c r="A507" s="1">
        <v>10113</v>
      </c>
      <c r="B507" s="1">
        <v>10</v>
      </c>
      <c r="C507" s="2">
        <v>41309</v>
      </c>
      <c r="D507" s="1" t="s">
        <v>2002</v>
      </c>
      <c r="E507" s="1">
        <v>100280</v>
      </c>
      <c r="F507" s="6" t="s">
        <v>2509</v>
      </c>
      <c r="G507" s="15" t="str">
        <f>VLOOKUP(A507,Movie!A:D,4,FALSE)</f>
        <v>Lionsgate</v>
      </c>
      <c r="H507" s="14">
        <f>VLOOKUP(E507,'Rental Transaction'!A:B,2,FALSE)</f>
        <v>841831</v>
      </c>
      <c r="I507">
        <f t="shared" si="7"/>
        <v>2013</v>
      </c>
    </row>
    <row r="508" spans="1:9">
      <c r="A508" s="1">
        <v>10170</v>
      </c>
      <c r="B508" s="1">
        <v>7</v>
      </c>
      <c r="C508" s="2">
        <v>41308</v>
      </c>
      <c r="D508" s="1" t="s">
        <v>2005</v>
      </c>
      <c r="E508" s="1">
        <v>100281</v>
      </c>
      <c r="F508" s="6" t="s">
        <v>2510</v>
      </c>
      <c r="G508" s="15" t="str">
        <f>VLOOKUP(A508,Movie!A:D,4,FALSE)</f>
        <v>Sony Classics</v>
      </c>
      <c r="H508" s="14">
        <f>VLOOKUP(E508,'Rental Transaction'!A:B,2,FALSE)</f>
        <v>656512</v>
      </c>
      <c r="I508">
        <f t="shared" si="7"/>
        <v>2013</v>
      </c>
    </row>
    <row r="509" spans="1:9">
      <c r="A509" s="1">
        <v>10224</v>
      </c>
      <c r="B509" s="1">
        <v>2</v>
      </c>
      <c r="C509" s="2">
        <v>41311</v>
      </c>
      <c r="D509" s="1" t="s">
        <v>2002</v>
      </c>
      <c r="E509" s="1">
        <v>100282</v>
      </c>
      <c r="F509" s="6" t="s">
        <v>2511</v>
      </c>
      <c r="G509" s="15" t="str">
        <f>VLOOKUP(A509,Movie!A:D,4,FALSE)</f>
        <v>Fox Searchlight</v>
      </c>
      <c r="H509" s="14">
        <f>VLOOKUP(E509,'Rental Transaction'!A:B,2,FALSE)</f>
        <v>537860</v>
      </c>
      <c r="I509">
        <f t="shared" si="7"/>
        <v>2013</v>
      </c>
    </row>
    <row r="510" spans="1:9">
      <c r="A510" s="1">
        <v>10123</v>
      </c>
      <c r="B510" s="1">
        <v>2</v>
      </c>
      <c r="C510" s="2">
        <v>41308</v>
      </c>
      <c r="D510" s="1" t="s">
        <v>2002</v>
      </c>
      <c r="E510" s="1">
        <v>100282</v>
      </c>
      <c r="F510" s="6" t="s">
        <v>2512</v>
      </c>
      <c r="G510" s="15" t="str">
        <f>VLOOKUP(A510,Movie!A:D,4,FALSE)</f>
        <v>Fox</v>
      </c>
      <c r="H510" s="14">
        <f>VLOOKUP(E510,'Rental Transaction'!A:B,2,FALSE)</f>
        <v>537860</v>
      </c>
      <c r="I510">
        <f t="shared" si="7"/>
        <v>2013</v>
      </c>
    </row>
    <row r="511" spans="1:9">
      <c r="A511" s="1">
        <v>10000</v>
      </c>
      <c r="B511" s="1">
        <v>3</v>
      </c>
      <c r="C511" s="2">
        <v>41308</v>
      </c>
      <c r="D511" s="1" t="s">
        <v>2002</v>
      </c>
      <c r="E511" s="1">
        <v>100283</v>
      </c>
      <c r="F511" s="6" t="s">
        <v>2513</v>
      </c>
      <c r="G511" s="15" t="str">
        <f>VLOOKUP(A511,Movie!A:D,4,FALSE)</f>
        <v>TriStar</v>
      </c>
      <c r="H511" s="14">
        <f>VLOOKUP(E511,'Rental Transaction'!A:B,2,FALSE)</f>
        <v>739440</v>
      </c>
      <c r="I511">
        <f t="shared" si="7"/>
        <v>2013</v>
      </c>
    </row>
    <row r="512" spans="1:9" ht="29.25">
      <c r="A512" s="1">
        <v>10285</v>
      </c>
      <c r="B512" s="1">
        <v>2</v>
      </c>
      <c r="C512" s="2">
        <v>41309</v>
      </c>
      <c r="D512" s="1" t="s">
        <v>2005</v>
      </c>
      <c r="E512" s="1">
        <v>100284</v>
      </c>
      <c r="F512" s="6" t="s">
        <v>2514</v>
      </c>
      <c r="G512" s="15" t="str">
        <f>VLOOKUP(A512,Movie!A:D,4,FALSE)</f>
        <v>Roadside Attractions</v>
      </c>
      <c r="H512" s="14">
        <f>VLOOKUP(E512,'Rental Transaction'!A:B,2,FALSE)</f>
        <v>656728</v>
      </c>
      <c r="I512">
        <f t="shared" si="7"/>
        <v>2013</v>
      </c>
    </row>
    <row r="513" spans="1:9">
      <c r="A513" s="1">
        <v>10016</v>
      </c>
      <c r="B513" s="1">
        <v>5</v>
      </c>
      <c r="C513" s="2">
        <v>41309</v>
      </c>
      <c r="D513" s="1" t="s">
        <v>2002</v>
      </c>
      <c r="E513" s="1">
        <v>100285</v>
      </c>
      <c r="F513" s="6" t="s">
        <v>2515</v>
      </c>
      <c r="G513" s="15" t="str">
        <f>VLOOKUP(A513,Movie!A:D,4,FALSE)</f>
        <v>Universal</v>
      </c>
      <c r="H513" s="14">
        <f>VLOOKUP(E513,'Rental Transaction'!A:B,2,FALSE)</f>
        <v>370870</v>
      </c>
      <c r="I513">
        <f t="shared" si="7"/>
        <v>2013</v>
      </c>
    </row>
    <row r="514" spans="1:9">
      <c r="A514" s="1">
        <v>10008</v>
      </c>
      <c r="B514" s="1">
        <v>1</v>
      </c>
      <c r="C514" s="2">
        <v>41309</v>
      </c>
      <c r="D514" s="1" t="s">
        <v>2002</v>
      </c>
      <c r="E514" s="1">
        <v>100285</v>
      </c>
      <c r="F514" s="6" t="s">
        <v>2516</v>
      </c>
      <c r="G514" s="15" t="str">
        <f>VLOOKUP(A514,Movie!A:D,4,FALSE)</f>
        <v>Sony</v>
      </c>
      <c r="H514" s="14">
        <f>VLOOKUP(E514,'Rental Transaction'!A:B,2,FALSE)</f>
        <v>370870</v>
      </c>
      <c r="I514">
        <f t="shared" si="7"/>
        <v>2013</v>
      </c>
    </row>
    <row r="515" spans="1:9">
      <c r="A515" s="1">
        <v>10161</v>
      </c>
      <c r="B515" s="1">
        <v>8</v>
      </c>
      <c r="C515" s="2">
        <v>41310</v>
      </c>
      <c r="D515" s="1" t="s">
        <v>2002</v>
      </c>
      <c r="E515" s="1">
        <v>100286</v>
      </c>
      <c r="F515" s="6" t="s">
        <v>2517</v>
      </c>
      <c r="G515" s="15" t="str">
        <f>VLOOKUP(A515,Movie!A:D,4,FALSE)</f>
        <v>TriStar</v>
      </c>
      <c r="H515" s="14">
        <f>VLOOKUP(E515,'Rental Transaction'!A:B,2,FALSE)</f>
        <v>566192</v>
      </c>
      <c r="I515">
        <f t="shared" ref="I515:I578" si="8">YEAR(C515)</f>
        <v>2013</v>
      </c>
    </row>
    <row r="516" spans="1:9">
      <c r="A516" s="1">
        <v>10041</v>
      </c>
      <c r="B516" s="1">
        <v>1</v>
      </c>
      <c r="C516" s="2">
        <v>41310</v>
      </c>
      <c r="D516" s="1" t="s">
        <v>2005</v>
      </c>
      <c r="E516" s="1">
        <v>100287</v>
      </c>
      <c r="F516" s="6" t="s">
        <v>2518</v>
      </c>
      <c r="G516" s="15" t="str">
        <f>VLOOKUP(A516,Movie!A:D,4,FALSE)</f>
        <v>Lionsgate</v>
      </c>
      <c r="H516" s="14">
        <f>VLOOKUP(E516,'Rental Transaction'!A:B,2,FALSE)</f>
        <v>405322</v>
      </c>
      <c r="I516">
        <f t="shared" si="8"/>
        <v>2013</v>
      </c>
    </row>
    <row r="517" spans="1:9">
      <c r="A517" s="1">
        <v>10207</v>
      </c>
      <c r="B517" s="1">
        <v>2</v>
      </c>
      <c r="C517" s="2">
        <v>41310</v>
      </c>
      <c r="D517" s="1" t="s">
        <v>2005</v>
      </c>
      <c r="E517" s="1">
        <v>100288</v>
      </c>
      <c r="F517" s="6" t="s">
        <v>2519</v>
      </c>
      <c r="G517" s="15" t="str">
        <f>VLOOKUP(A517,Movie!A:D,4,FALSE)</f>
        <v>Paramount</v>
      </c>
      <c r="H517" s="14">
        <f>VLOOKUP(E517,'Rental Transaction'!A:B,2,FALSE)</f>
        <v>791559</v>
      </c>
      <c r="I517">
        <f t="shared" si="8"/>
        <v>2013</v>
      </c>
    </row>
    <row r="518" spans="1:9">
      <c r="A518" s="1">
        <v>10281</v>
      </c>
      <c r="B518" s="1">
        <v>1</v>
      </c>
      <c r="C518" s="2">
        <v>41311</v>
      </c>
      <c r="D518" s="1" t="s">
        <v>2005</v>
      </c>
      <c r="E518" s="1">
        <v>100289</v>
      </c>
      <c r="F518" s="6" t="s">
        <v>2520</v>
      </c>
      <c r="G518" s="15" t="str">
        <f>VLOOKUP(A518,Movie!A:D,4,FALSE)</f>
        <v>Lionsgate</v>
      </c>
      <c r="H518" s="14">
        <f>VLOOKUP(E518,'Rental Transaction'!A:B,2,FALSE)</f>
        <v>292402</v>
      </c>
      <c r="I518">
        <f t="shared" si="8"/>
        <v>2013</v>
      </c>
    </row>
    <row r="519" spans="1:9">
      <c r="A519" s="1">
        <v>10025</v>
      </c>
      <c r="B519" s="1">
        <v>7</v>
      </c>
      <c r="C519" s="2">
        <v>41312</v>
      </c>
      <c r="D519" s="1" t="s">
        <v>2005</v>
      </c>
      <c r="E519" s="1">
        <v>100289</v>
      </c>
      <c r="F519" s="6" t="s">
        <v>2521</v>
      </c>
      <c r="G519" s="15" t="str">
        <f>VLOOKUP(A519,Movie!A:D,4,FALSE)</f>
        <v>Sony</v>
      </c>
      <c r="H519" s="14">
        <f>VLOOKUP(E519,'Rental Transaction'!A:B,2,FALSE)</f>
        <v>292402</v>
      </c>
      <c r="I519">
        <f t="shared" si="8"/>
        <v>2013</v>
      </c>
    </row>
    <row r="520" spans="1:9">
      <c r="A520" s="1">
        <v>10258</v>
      </c>
      <c r="B520" s="1">
        <v>9</v>
      </c>
      <c r="C520" s="2">
        <v>41312</v>
      </c>
      <c r="D520" s="1" t="s">
        <v>2005</v>
      </c>
      <c r="E520" s="1">
        <v>100289</v>
      </c>
      <c r="F520" s="6" t="s">
        <v>2522</v>
      </c>
      <c r="G520" s="15" t="str">
        <f>VLOOKUP(A520,Movie!A:D,4,FALSE)</f>
        <v>Warner Brothers</v>
      </c>
      <c r="H520" s="14">
        <f>VLOOKUP(E520,'Rental Transaction'!A:B,2,FALSE)</f>
        <v>292402</v>
      </c>
      <c r="I520">
        <f t="shared" si="8"/>
        <v>2013</v>
      </c>
    </row>
    <row r="521" spans="1:9">
      <c r="A521" s="1">
        <v>10229</v>
      </c>
      <c r="B521" s="1">
        <v>2</v>
      </c>
      <c r="C521" s="2">
        <v>41312</v>
      </c>
      <c r="D521" s="1" t="s">
        <v>2005</v>
      </c>
      <c r="E521" s="1">
        <v>100289</v>
      </c>
      <c r="F521" s="6" t="s">
        <v>2523</v>
      </c>
      <c r="G521" s="15" t="str">
        <f>VLOOKUP(A521,Movie!A:D,4,FALSE)</f>
        <v>TriStar</v>
      </c>
      <c r="H521" s="14">
        <f>VLOOKUP(E521,'Rental Transaction'!A:B,2,FALSE)</f>
        <v>292402</v>
      </c>
      <c r="I521">
        <f t="shared" si="8"/>
        <v>2013</v>
      </c>
    </row>
    <row r="522" spans="1:9">
      <c r="A522" s="1">
        <v>10088</v>
      </c>
      <c r="B522" s="1">
        <v>9</v>
      </c>
      <c r="C522" s="2">
        <v>41310</v>
      </c>
      <c r="D522" s="1" t="s">
        <v>2005</v>
      </c>
      <c r="E522" s="1">
        <v>100290</v>
      </c>
      <c r="F522" s="6" t="s">
        <v>2524</v>
      </c>
      <c r="G522" s="15" t="str">
        <f>VLOOKUP(A522,Movie!A:D,4,FALSE)</f>
        <v>Warner Brothers</v>
      </c>
      <c r="H522" s="14">
        <f>VLOOKUP(E522,'Rental Transaction'!A:B,2,FALSE)</f>
        <v>154427</v>
      </c>
      <c r="I522">
        <f t="shared" si="8"/>
        <v>2013</v>
      </c>
    </row>
    <row r="523" spans="1:9">
      <c r="A523" s="1">
        <v>10100</v>
      </c>
      <c r="B523" s="1">
        <v>3</v>
      </c>
      <c r="C523" s="2">
        <v>41311</v>
      </c>
      <c r="D523" s="1" t="s">
        <v>2005</v>
      </c>
      <c r="E523" s="1">
        <v>100291</v>
      </c>
      <c r="F523" s="6" t="s">
        <v>2525</v>
      </c>
      <c r="G523" s="15" t="str">
        <f>VLOOKUP(A523,Movie!A:D,4,FALSE)</f>
        <v>Fox</v>
      </c>
      <c r="H523" s="14">
        <f>VLOOKUP(E523,'Rental Transaction'!A:B,2,FALSE)</f>
        <v>757780</v>
      </c>
      <c r="I523">
        <f t="shared" si="8"/>
        <v>2013</v>
      </c>
    </row>
    <row r="524" spans="1:9">
      <c r="A524" s="1">
        <v>10156</v>
      </c>
      <c r="B524" s="1">
        <v>10</v>
      </c>
      <c r="C524" s="2">
        <v>41310</v>
      </c>
      <c r="D524" s="1" t="s">
        <v>2002</v>
      </c>
      <c r="E524" s="1">
        <v>100291</v>
      </c>
      <c r="F524" s="6" t="s">
        <v>2526</v>
      </c>
      <c r="G524" s="15" t="str">
        <f>VLOOKUP(A524,Movie!A:D,4,FALSE)</f>
        <v>Buena Vista</v>
      </c>
      <c r="H524" s="14">
        <f>VLOOKUP(E524,'Rental Transaction'!A:B,2,FALSE)</f>
        <v>757780</v>
      </c>
      <c r="I524">
        <f t="shared" si="8"/>
        <v>2013</v>
      </c>
    </row>
    <row r="525" spans="1:9">
      <c r="A525" s="1">
        <v>10090</v>
      </c>
      <c r="B525" s="1">
        <v>5</v>
      </c>
      <c r="C525" s="2">
        <v>41310</v>
      </c>
      <c r="D525" s="1" t="s">
        <v>2002</v>
      </c>
      <c r="E525" s="1">
        <v>100292</v>
      </c>
      <c r="F525" s="6" t="s">
        <v>2527</v>
      </c>
      <c r="G525" s="15" t="str">
        <f>VLOOKUP(A525,Movie!A:D,4,FALSE)</f>
        <v>Paramount</v>
      </c>
      <c r="H525" s="14">
        <f>VLOOKUP(E525,'Rental Transaction'!A:B,2,FALSE)</f>
        <v>386950</v>
      </c>
      <c r="I525">
        <f t="shared" si="8"/>
        <v>2013</v>
      </c>
    </row>
    <row r="526" spans="1:9">
      <c r="A526" s="1">
        <v>10252</v>
      </c>
      <c r="B526" s="1">
        <v>3</v>
      </c>
      <c r="C526" s="2">
        <v>41311</v>
      </c>
      <c r="D526" s="1" t="s">
        <v>2002</v>
      </c>
      <c r="E526" s="1">
        <v>100293</v>
      </c>
      <c r="F526" s="6" t="s">
        <v>2528</v>
      </c>
      <c r="G526" s="15" t="str">
        <f>VLOOKUP(A526,Movie!A:D,4,FALSE)</f>
        <v>Warner Brothers</v>
      </c>
      <c r="H526" s="14">
        <f>VLOOKUP(E526,'Rental Transaction'!A:B,2,FALSE)</f>
        <v>534481</v>
      </c>
      <c r="I526">
        <f t="shared" si="8"/>
        <v>2013</v>
      </c>
    </row>
    <row r="527" spans="1:9">
      <c r="A527" s="1">
        <v>10090</v>
      </c>
      <c r="B527" s="1">
        <v>6</v>
      </c>
      <c r="C527" s="2">
        <v>41311</v>
      </c>
      <c r="D527" s="1" t="s">
        <v>2005</v>
      </c>
      <c r="E527" s="1">
        <v>100293</v>
      </c>
      <c r="F527" s="6" t="s">
        <v>2529</v>
      </c>
      <c r="G527" s="15" t="str">
        <f>VLOOKUP(A527,Movie!A:D,4,FALSE)</f>
        <v>Paramount</v>
      </c>
      <c r="H527" s="14">
        <f>VLOOKUP(E527,'Rental Transaction'!A:B,2,FALSE)</f>
        <v>534481</v>
      </c>
      <c r="I527">
        <f t="shared" si="8"/>
        <v>2013</v>
      </c>
    </row>
    <row r="528" spans="1:9">
      <c r="A528" s="1">
        <v>10042</v>
      </c>
      <c r="B528" s="1">
        <v>6</v>
      </c>
      <c r="C528" s="2">
        <v>41311</v>
      </c>
      <c r="D528" s="1" t="s">
        <v>2002</v>
      </c>
      <c r="E528" s="1">
        <v>100294</v>
      </c>
      <c r="F528" s="6" t="s">
        <v>2530</v>
      </c>
      <c r="G528" s="15" t="str">
        <f>VLOOKUP(A528,Movie!A:D,4,FALSE)</f>
        <v>Paramount</v>
      </c>
      <c r="H528" s="14">
        <f>VLOOKUP(E528,'Rental Transaction'!A:B,2,FALSE)</f>
        <v>707458</v>
      </c>
      <c r="I528">
        <f t="shared" si="8"/>
        <v>2013</v>
      </c>
    </row>
    <row r="529" spans="1:9">
      <c r="A529" s="1">
        <v>10082</v>
      </c>
      <c r="B529" s="1">
        <v>7</v>
      </c>
      <c r="C529" s="2">
        <v>41311</v>
      </c>
      <c r="D529" s="1" t="s">
        <v>2002</v>
      </c>
      <c r="E529" s="1">
        <v>100295</v>
      </c>
      <c r="F529" s="6" t="s">
        <v>2531</v>
      </c>
      <c r="G529" s="15" t="str">
        <f>VLOOKUP(A529,Movie!A:D,4,FALSE)</f>
        <v>Buena Vista</v>
      </c>
      <c r="H529" s="14">
        <f>VLOOKUP(E529,'Rental Transaction'!A:B,2,FALSE)</f>
        <v>815980</v>
      </c>
      <c r="I529">
        <f t="shared" si="8"/>
        <v>2013</v>
      </c>
    </row>
    <row r="530" spans="1:9">
      <c r="A530" s="1">
        <v>10143</v>
      </c>
      <c r="B530" s="1">
        <v>7</v>
      </c>
      <c r="C530" s="2">
        <v>41311</v>
      </c>
      <c r="D530" s="1" t="s">
        <v>2002</v>
      </c>
      <c r="E530" s="1">
        <v>100296</v>
      </c>
      <c r="F530" s="6" t="s">
        <v>2532</v>
      </c>
      <c r="G530" s="15" t="str">
        <f>VLOOKUP(A530,Movie!A:D,4,FALSE)</f>
        <v>Buena Vista</v>
      </c>
      <c r="H530" s="14">
        <f>VLOOKUP(E530,'Rental Transaction'!A:B,2,FALSE)</f>
        <v>500733</v>
      </c>
      <c r="I530">
        <f t="shared" si="8"/>
        <v>2013</v>
      </c>
    </row>
    <row r="531" spans="1:9">
      <c r="A531" s="1">
        <v>10188</v>
      </c>
      <c r="B531" s="1">
        <v>2</v>
      </c>
      <c r="C531" s="2">
        <v>41313</v>
      </c>
      <c r="D531" s="1" t="s">
        <v>2002</v>
      </c>
      <c r="E531" s="1">
        <v>100297</v>
      </c>
      <c r="F531" s="6" t="s">
        <v>2533</v>
      </c>
      <c r="G531" s="15" t="str">
        <f>VLOOKUP(A531,Movie!A:D,4,FALSE)</f>
        <v>Paramount</v>
      </c>
      <c r="H531" s="14">
        <f>VLOOKUP(E531,'Rental Transaction'!A:B,2,FALSE)</f>
        <v>229742</v>
      </c>
      <c r="I531">
        <f t="shared" si="8"/>
        <v>2013</v>
      </c>
    </row>
    <row r="532" spans="1:9" ht="29.25">
      <c r="A532" s="1">
        <v>10239</v>
      </c>
      <c r="B532" s="1">
        <v>4</v>
      </c>
      <c r="C532" s="2">
        <v>41313</v>
      </c>
      <c r="D532" s="1" t="s">
        <v>2002</v>
      </c>
      <c r="E532" s="1">
        <v>100297</v>
      </c>
      <c r="F532" s="6" t="s">
        <v>2534</v>
      </c>
      <c r="G532" s="15" t="str">
        <f>VLOOKUP(A532,Movie!A:D,4,FALSE)</f>
        <v>Weinstein Company</v>
      </c>
      <c r="H532" s="14">
        <f>VLOOKUP(E532,'Rental Transaction'!A:B,2,FALSE)</f>
        <v>229742</v>
      </c>
      <c r="I532">
        <f t="shared" si="8"/>
        <v>2013</v>
      </c>
    </row>
    <row r="533" spans="1:9">
      <c r="A533" s="1">
        <v>10202</v>
      </c>
      <c r="B533" s="1">
        <v>2</v>
      </c>
      <c r="C533" s="2">
        <v>41312</v>
      </c>
      <c r="D533" s="1" t="s">
        <v>2002</v>
      </c>
      <c r="E533" s="1">
        <v>100298</v>
      </c>
      <c r="F533" s="6" t="s">
        <v>2535</v>
      </c>
      <c r="G533" s="15" t="str">
        <f>VLOOKUP(A533,Movie!A:D,4,FALSE)</f>
        <v>Warner Brothers</v>
      </c>
      <c r="H533" s="14">
        <f>VLOOKUP(E533,'Rental Transaction'!A:B,2,FALSE)</f>
        <v>746134</v>
      </c>
      <c r="I533">
        <f t="shared" si="8"/>
        <v>2013</v>
      </c>
    </row>
    <row r="534" spans="1:9">
      <c r="A534" s="1">
        <v>10297</v>
      </c>
      <c r="B534" s="1">
        <v>3</v>
      </c>
      <c r="C534" s="2">
        <v>41313</v>
      </c>
      <c r="D534" s="1" t="s">
        <v>2005</v>
      </c>
      <c r="E534" s="1">
        <v>100298</v>
      </c>
      <c r="F534" s="6" t="s">
        <v>2536</v>
      </c>
      <c r="G534" s="15" t="str">
        <f>VLOOKUP(A534,Movie!A:D,4,FALSE)</f>
        <v>Focus</v>
      </c>
      <c r="H534" s="14">
        <f>VLOOKUP(E534,'Rental Transaction'!A:B,2,FALSE)</f>
        <v>746134</v>
      </c>
      <c r="I534">
        <f t="shared" si="8"/>
        <v>2013</v>
      </c>
    </row>
    <row r="535" spans="1:9">
      <c r="A535" s="1">
        <v>10030</v>
      </c>
      <c r="B535" s="1">
        <v>3</v>
      </c>
      <c r="C535" s="2">
        <v>41312</v>
      </c>
      <c r="D535" s="1" t="s">
        <v>2005</v>
      </c>
      <c r="E535" s="1">
        <v>100298</v>
      </c>
      <c r="F535" s="6" t="s">
        <v>2537</v>
      </c>
      <c r="G535" s="15" t="str">
        <f>VLOOKUP(A535,Movie!A:D,4,FALSE)</f>
        <v>Warner Brothers</v>
      </c>
      <c r="H535" s="14">
        <f>VLOOKUP(E535,'Rental Transaction'!A:B,2,FALSE)</f>
        <v>746134</v>
      </c>
      <c r="I535">
        <f t="shared" si="8"/>
        <v>2013</v>
      </c>
    </row>
    <row r="536" spans="1:9">
      <c r="A536" s="1">
        <v>10293</v>
      </c>
      <c r="B536" s="1">
        <v>10</v>
      </c>
      <c r="C536" s="2">
        <v>41312</v>
      </c>
      <c r="D536" s="1" t="s">
        <v>2002</v>
      </c>
      <c r="E536" s="1">
        <v>100299</v>
      </c>
      <c r="F536" s="6" t="s">
        <v>2538</v>
      </c>
      <c r="G536" s="15" t="str">
        <f>VLOOKUP(A536,Movie!A:D,4,FALSE)</f>
        <v>Relativity</v>
      </c>
      <c r="H536" s="14">
        <f>VLOOKUP(E536,'Rental Transaction'!A:B,2,FALSE)</f>
        <v>929344</v>
      </c>
      <c r="I536">
        <f t="shared" si="8"/>
        <v>2013</v>
      </c>
    </row>
    <row r="537" spans="1:9" ht="29.25">
      <c r="A537" s="1">
        <v>10105</v>
      </c>
      <c r="B537" s="1">
        <v>2</v>
      </c>
      <c r="C537" s="2">
        <v>41312</v>
      </c>
      <c r="D537" s="1" t="s">
        <v>2002</v>
      </c>
      <c r="E537" s="1">
        <v>100300</v>
      </c>
      <c r="F537" s="6" t="s">
        <v>2539</v>
      </c>
      <c r="G537" s="15" t="str">
        <f>VLOOKUP(A537,Movie!A:D,4,FALSE)</f>
        <v>Weinstein Company</v>
      </c>
      <c r="H537" s="14">
        <f>VLOOKUP(E537,'Rental Transaction'!A:B,2,FALSE)</f>
        <v>567388</v>
      </c>
      <c r="I537">
        <f t="shared" si="8"/>
        <v>2013</v>
      </c>
    </row>
    <row r="538" spans="1:9">
      <c r="A538" s="1">
        <v>10078</v>
      </c>
      <c r="B538" s="1">
        <v>10</v>
      </c>
      <c r="C538" s="2">
        <v>41313</v>
      </c>
      <c r="D538" s="1" t="s">
        <v>2002</v>
      </c>
      <c r="E538" s="1">
        <v>100301</v>
      </c>
      <c r="F538" s="6" t="s">
        <v>2540</v>
      </c>
      <c r="G538" s="15" t="str">
        <f>VLOOKUP(A538,Movie!A:D,4,FALSE)</f>
        <v>Paramount</v>
      </c>
      <c r="H538" s="14">
        <f>VLOOKUP(E538,'Rental Transaction'!A:B,2,FALSE)</f>
        <v>743517</v>
      </c>
      <c r="I538">
        <f t="shared" si="8"/>
        <v>2013</v>
      </c>
    </row>
    <row r="539" spans="1:9">
      <c r="A539" s="1">
        <v>10122</v>
      </c>
      <c r="B539" s="1">
        <v>1</v>
      </c>
      <c r="C539" s="2">
        <v>41314</v>
      </c>
      <c r="D539" s="1" t="s">
        <v>2005</v>
      </c>
      <c r="E539" s="1">
        <v>100302</v>
      </c>
      <c r="F539" s="6" t="s">
        <v>2541</v>
      </c>
      <c r="G539" s="15" t="str">
        <f>VLOOKUP(A539,Movie!A:D,4,FALSE)</f>
        <v>Relativity</v>
      </c>
      <c r="H539" s="14">
        <f>VLOOKUP(E539,'Rental Transaction'!A:B,2,FALSE)</f>
        <v>454015</v>
      </c>
      <c r="I539">
        <f t="shared" si="8"/>
        <v>2013</v>
      </c>
    </row>
    <row r="540" spans="1:9">
      <c r="A540" s="1">
        <v>10281</v>
      </c>
      <c r="B540" s="1">
        <v>3</v>
      </c>
      <c r="C540" s="2">
        <v>41314</v>
      </c>
      <c r="D540" s="1" t="s">
        <v>2005</v>
      </c>
      <c r="E540" s="1">
        <v>100303</v>
      </c>
      <c r="F540" s="6" t="s">
        <v>2542</v>
      </c>
      <c r="G540" s="15" t="str">
        <f>VLOOKUP(A540,Movie!A:D,4,FALSE)</f>
        <v>Lionsgate</v>
      </c>
      <c r="H540" s="14">
        <f>VLOOKUP(E540,'Rental Transaction'!A:B,2,FALSE)</f>
        <v>149240</v>
      </c>
      <c r="I540">
        <f t="shared" si="8"/>
        <v>2013</v>
      </c>
    </row>
    <row r="541" spans="1:9">
      <c r="A541" s="1">
        <v>10022</v>
      </c>
      <c r="B541" s="1">
        <v>3</v>
      </c>
      <c r="C541" s="2">
        <v>41314</v>
      </c>
      <c r="D541" s="1" t="s">
        <v>2002</v>
      </c>
      <c r="E541" s="1">
        <v>100303</v>
      </c>
      <c r="F541" s="6" t="s">
        <v>2543</v>
      </c>
      <c r="G541" s="15" t="str">
        <f>VLOOKUP(A541,Movie!A:D,4,FALSE)</f>
        <v>Universal</v>
      </c>
      <c r="H541" s="14">
        <f>VLOOKUP(E541,'Rental Transaction'!A:B,2,FALSE)</f>
        <v>149240</v>
      </c>
      <c r="I541">
        <f t="shared" si="8"/>
        <v>2013</v>
      </c>
    </row>
    <row r="542" spans="1:9">
      <c r="A542" s="1">
        <v>10087</v>
      </c>
      <c r="B542" s="1">
        <v>10</v>
      </c>
      <c r="C542" s="2">
        <v>41315</v>
      </c>
      <c r="D542" s="1" t="s">
        <v>2002</v>
      </c>
      <c r="E542" s="1">
        <v>100303</v>
      </c>
      <c r="F542" s="6" t="s">
        <v>2544</v>
      </c>
      <c r="G542" s="15" t="str">
        <f>VLOOKUP(A542,Movie!A:D,4,FALSE)</f>
        <v>Lionsgate</v>
      </c>
      <c r="H542" s="14">
        <f>VLOOKUP(E542,'Rental Transaction'!A:B,2,FALSE)</f>
        <v>149240</v>
      </c>
      <c r="I542">
        <f t="shared" si="8"/>
        <v>2013</v>
      </c>
    </row>
    <row r="543" spans="1:9">
      <c r="A543" s="1">
        <v>10284</v>
      </c>
      <c r="B543" s="1">
        <v>7</v>
      </c>
      <c r="C543" s="2">
        <v>41314</v>
      </c>
      <c r="D543" s="1" t="s">
        <v>2005</v>
      </c>
      <c r="E543" s="1">
        <v>100303</v>
      </c>
      <c r="F543" s="6" t="s">
        <v>2545</v>
      </c>
      <c r="G543" s="15" t="str">
        <f>VLOOKUP(A543,Movie!A:D,4,FALSE)</f>
        <v>Focus</v>
      </c>
      <c r="H543" s="14">
        <f>VLOOKUP(E543,'Rental Transaction'!A:B,2,FALSE)</f>
        <v>149240</v>
      </c>
      <c r="I543">
        <f t="shared" si="8"/>
        <v>2013</v>
      </c>
    </row>
    <row r="544" spans="1:9">
      <c r="A544" s="1">
        <v>10174</v>
      </c>
      <c r="B544" s="1">
        <v>9</v>
      </c>
      <c r="C544" s="2">
        <v>41314</v>
      </c>
      <c r="D544" s="1" t="s">
        <v>2005</v>
      </c>
      <c r="E544" s="1">
        <v>100303</v>
      </c>
      <c r="F544" s="6" t="s">
        <v>2546</v>
      </c>
      <c r="G544" s="15" t="str">
        <f>VLOOKUP(A544,Movie!A:D,4,FALSE)</f>
        <v>Universal</v>
      </c>
      <c r="H544" s="14">
        <f>VLOOKUP(E544,'Rental Transaction'!A:B,2,FALSE)</f>
        <v>149240</v>
      </c>
      <c r="I544">
        <f t="shared" si="8"/>
        <v>2013</v>
      </c>
    </row>
    <row r="545" spans="1:9">
      <c r="A545" s="1">
        <v>10163</v>
      </c>
      <c r="B545" s="1">
        <v>6</v>
      </c>
      <c r="C545" s="2">
        <v>41314</v>
      </c>
      <c r="D545" s="1" t="s">
        <v>2005</v>
      </c>
      <c r="E545" s="1">
        <v>100304</v>
      </c>
      <c r="F545" s="6" t="s">
        <v>2547</v>
      </c>
      <c r="G545" s="15" t="str">
        <f>VLOOKUP(A545,Movie!A:D,4,FALSE)</f>
        <v>Warner Brothers</v>
      </c>
      <c r="H545" s="14">
        <f>VLOOKUP(E545,'Rental Transaction'!A:B,2,FALSE)</f>
        <v>109251</v>
      </c>
      <c r="I545">
        <f t="shared" si="8"/>
        <v>2013</v>
      </c>
    </row>
    <row r="546" spans="1:9">
      <c r="A546" s="1">
        <v>10113</v>
      </c>
      <c r="B546" s="1">
        <v>2</v>
      </c>
      <c r="C546" s="2">
        <v>41315</v>
      </c>
      <c r="D546" s="1" t="s">
        <v>2002</v>
      </c>
      <c r="E546" s="1">
        <v>100305</v>
      </c>
      <c r="F546" s="6" t="s">
        <v>2548</v>
      </c>
      <c r="G546" s="15" t="str">
        <f>VLOOKUP(A546,Movie!A:D,4,FALSE)</f>
        <v>Lionsgate</v>
      </c>
      <c r="H546" s="14">
        <f>VLOOKUP(E546,'Rental Transaction'!A:B,2,FALSE)</f>
        <v>162236</v>
      </c>
      <c r="I546">
        <f t="shared" si="8"/>
        <v>2013</v>
      </c>
    </row>
    <row r="547" spans="1:9">
      <c r="A547" s="1">
        <v>10163</v>
      </c>
      <c r="B547" s="1">
        <v>5</v>
      </c>
      <c r="C547" s="2">
        <v>41316</v>
      </c>
      <c r="D547" s="1" t="s">
        <v>2005</v>
      </c>
      <c r="E547" s="1">
        <v>100306</v>
      </c>
      <c r="F547" s="6" t="s">
        <v>2549</v>
      </c>
      <c r="G547" s="15" t="str">
        <f>VLOOKUP(A547,Movie!A:D,4,FALSE)</f>
        <v>Warner Brothers</v>
      </c>
      <c r="H547" s="14">
        <f>VLOOKUP(E547,'Rental Transaction'!A:B,2,FALSE)</f>
        <v>149240</v>
      </c>
      <c r="I547">
        <f t="shared" si="8"/>
        <v>2013</v>
      </c>
    </row>
    <row r="548" spans="1:9">
      <c r="A548" s="1">
        <v>10173</v>
      </c>
      <c r="B548" s="1">
        <v>10</v>
      </c>
      <c r="C548" s="2">
        <v>41316</v>
      </c>
      <c r="D548" s="1" t="s">
        <v>2005</v>
      </c>
      <c r="E548" s="1">
        <v>100307</v>
      </c>
      <c r="F548" s="6" t="s">
        <v>2550</v>
      </c>
      <c r="G548" s="15" t="str">
        <f>VLOOKUP(A548,Movie!A:D,4,FALSE)</f>
        <v>Sony</v>
      </c>
      <c r="H548" s="14">
        <f>VLOOKUP(E548,'Rental Transaction'!A:B,2,FALSE)</f>
        <v>776775</v>
      </c>
      <c r="I548">
        <f t="shared" si="8"/>
        <v>2013</v>
      </c>
    </row>
    <row r="549" spans="1:9">
      <c r="A549" s="1">
        <v>10263</v>
      </c>
      <c r="B549" s="1">
        <v>5</v>
      </c>
      <c r="C549" s="2">
        <v>41315</v>
      </c>
      <c r="D549" s="1" t="s">
        <v>2002</v>
      </c>
      <c r="E549" s="1">
        <v>100307</v>
      </c>
      <c r="F549" s="6" t="s">
        <v>2551</v>
      </c>
      <c r="G549" s="15" t="str">
        <f>VLOOKUP(A549,Movie!A:D,4,FALSE)</f>
        <v>Fox</v>
      </c>
      <c r="H549" s="14">
        <f>VLOOKUP(E549,'Rental Transaction'!A:B,2,FALSE)</f>
        <v>776775</v>
      </c>
      <c r="I549">
        <f t="shared" si="8"/>
        <v>2013</v>
      </c>
    </row>
    <row r="550" spans="1:9">
      <c r="A550" s="1">
        <v>10049</v>
      </c>
      <c r="B550" s="1">
        <v>1</v>
      </c>
      <c r="C550" s="2">
        <v>41315</v>
      </c>
      <c r="D550" s="1" t="s">
        <v>2005</v>
      </c>
      <c r="E550" s="1">
        <v>100307</v>
      </c>
      <c r="F550" s="6" t="s">
        <v>2552</v>
      </c>
      <c r="G550" s="15" t="str">
        <f>VLOOKUP(A550,Movie!A:D,4,FALSE)</f>
        <v>Universal</v>
      </c>
      <c r="H550" s="14">
        <f>VLOOKUP(E550,'Rental Transaction'!A:B,2,FALSE)</f>
        <v>776775</v>
      </c>
      <c r="I550">
        <f t="shared" si="8"/>
        <v>2013</v>
      </c>
    </row>
    <row r="551" spans="1:9">
      <c r="A551" s="1">
        <v>10279</v>
      </c>
      <c r="B551" s="1">
        <v>3</v>
      </c>
      <c r="C551" s="2">
        <v>41315</v>
      </c>
      <c r="D551" s="1" t="s">
        <v>2002</v>
      </c>
      <c r="E551" s="1">
        <v>100308</v>
      </c>
      <c r="F551" s="6" t="s">
        <v>2553</v>
      </c>
      <c r="G551" s="15" t="str">
        <f>VLOOKUP(A551,Movie!A:D,4,FALSE)</f>
        <v>Screen Gems</v>
      </c>
      <c r="H551" s="14">
        <f>VLOOKUP(E551,'Rental Transaction'!A:B,2,FALSE)</f>
        <v>649551</v>
      </c>
      <c r="I551">
        <f t="shared" si="8"/>
        <v>2013</v>
      </c>
    </row>
    <row r="552" spans="1:9">
      <c r="A552" s="1">
        <v>10131</v>
      </c>
      <c r="B552" s="1">
        <v>3</v>
      </c>
      <c r="C552" s="2">
        <v>41316</v>
      </c>
      <c r="D552" s="1" t="s">
        <v>2002</v>
      </c>
      <c r="E552" s="1">
        <v>100309</v>
      </c>
      <c r="F552" s="6" t="s">
        <v>2554</v>
      </c>
      <c r="G552" s="15" t="str">
        <f>VLOOKUP(A552,Movie!A:D,4,FALSE)</f>
        <v>Warner Brothers</v>
      </c>
      <c r="H552" s="14">
        <f>VLOOKUP(E552,'Rental Transaction'!A:B,2,FALSE)</f>
        <v>199895</v>
      </c>
      <c r="I552">
        <f t="shared" si="8"/>
        <v>2013</v>
      </c>
    </row>
    <row r="553" spans="1:9">
      <c r="A553" s="1">
        <v>10268</v>
      </c>
      <c r="B553" s="1">
        <v>9</v>
      </c>
      <c r="C553" s="2">
        <v>41317</v>
      </c>
      <c r="D553" s="1" t="s">
        <v>2005</v>
      </c>
      <c r="E553" s="1">
        <v>100309</v>
      </c>
      <c r="F553" s="6" t="s">
        <v>2555</v>
      </c>
      <c r="G553" s="15" t="str">
        <f>VLOOKUP(A553,Movie!A:D,4,FALSE)</f>
        <v>Buena Vista</v>
      </c>
      <c r="H553" s="14">
        <f>VLOOKUP(E553,'Rental Transaction'!A:B,2,FALSE)</f>
        <v>199895</v>
      </c>
      <c r="I553">
        <f t="shared" si="8"/>
        <v>2013</v>
      </c>
    </row>
    <row r="554" spans="1:9">
      <c r="A554" s="1">
        <v>10160</v>
      </c>
      <c r="B554" s="1">
        <v>5</v>
      </c>
      <c r="C554" s="2">
        <v>41317</v>
      </c>
      <c r="D554" s="1" t="s">
        <v>2002</v>
      </c>
      <c r="E554" s="1">
        <v>100310</v>
      </c>
      <c r="F554" s="6" t="s">
        <v>2556</v>
      </c>
      <c r="G554" s="15" t="str">
        <f>VLOOKUP(A554,Movie!A:D,4,FALSE)</f>
        <v>Lionsgate</v>
      </c>
      <c r="H554" s="14">
        <f>VLOOKUP(E554,'Rental Transaction'!A:B,2,FALSE)</f>
        <v>161942</v>
      </c>
      <c r="I554">
        <f t="shared" si="8"/>
        <v>2013</v>
      </c>
    </row>
    <row r="555" spans="1:9">
      <c r="A555" s="1">
        <v>10034</v>
      </c>
      <c r="B555" s="1">
        <v>4</v>
      </c>
      <c r="C555" s="2">
        <v>41317</v>
      </c>
      <c r="D555" s="1" t="s">
        <v>2002</v>
      </c>
      <c r="E555" s="1">
        <v>100310</v>
      </c>
      <c r="F555" s="6" t="s">
        <v>2557</v>
      </c>
      <c r="G555" s="15" t="str">
        <f>VLOOKUP(A555,Movie!A:D,4,FALSE)</f>
        <v>Lionsgate</v>
      </c>
      <c r="H555" s="14">
        <f>VLOOKUP(E555,'Rental Transaction'!A:B,2,FALSE)</f>
        <v>161942</v>
      </c>
      <c r="I555">
        <f t="shared" si="8"/>
        <v>2013</v>
      </c>
    </row>
    <row r="556" spans="1:9">
      <c r="A556" s="1">
        <v>10211</v>
      </c>
      <c r="B556" s="1">
        <v>4</v>
      </c>
      <c r="C556" s="2">
        <v>41316</v>
      </c>
      <c r="D556" s="1" t="s">
        <v>2002</v>
      </c>
      <c r="E556" s="1">
        <v>100310</v>
      </c>
      <c r="F556" s="6" t="s">
        <v>2558</v>
      </c>
      <c r="G556" s="15" t="str">
        <f>VLOOKUP(A556,Movie!A:D,4,FALSE)</f>
        <v>Buena Vista</v>
      </c>
      <c r="H556" s="14">
        <f>VLOOKUP(E556,'Rental Transaction'!A:B,2,FALSE)</f>
        <v>161942</v>
      </c>
      <c r="I556">
        <f t="shared" si="8"/>
        <v>2013</v>
      </c>
    </row>
    <row r="557" spans="1:9">
      <c r="A557" s="1">
        <v>10043</v>
      </c>
      <c r="B557" s="1">
        <v>3</v>
      </c>
      <c r="C557" s="2">
        <v>41317</v>
      </c>
      <c r="D557" s="1" t="s">
        <v>2002</v>
      </c>
      <c r="E557" s="1">
        <v>100311</v>
      </c>
      <c r="F557" s="6" t="s">
        <v>2559</v>
      </c>
      <c r="G557" s="15" t="str">
        <f>VLOOKUP(A557,Movie!A:D,4,FALSE)</f>
        <v>Screen Gems</v>
      </c>
      <c r="H557" s="14">
        <f>VLOOKUP(E557,'Rental Transaction'!A:B,2,FALSE)</f>
        <v>513968</v>
      </c>
      <c r="I557">
        <f t="shared" si="8"/>
        <v>2013</v>
      </c>
    </row>
    <row r="558" spans="1:9">
      <c r="A558" s="1">
        <v>10077</v>
      </c>
      <c r="B558" s="1">
        <v>9</v>
      </c>
      <c r="C558" s="2">
        <v>41317</v>
      </c>
      <c r="D558" s="1" t="s">
        <v>2005</v>
      </c>
      <c r="E558" s="1">
        <v>100312</v>
      </c>
      <c r="F558" s="6" t="s">
        <v>2560</v>
      </c>
      <c r="G558" s="15" t="str">
        <f>VLOOKUP(A558,Movie!A:D,4,FALSE)</f>
        <v>Warner Brothers</v>
      </c>
      <c r="H558" s="14">
        <f>VLOOKUP(E558,'Rental Transaction'!A:B,2,FALSE)</f>
        <v>994199</v>
      </c>
      <c r="I558">
        <f t="shared" si="8"/>
        <v>2013</v>
      </c>
    </row>
    <row r="559" spans="1:9">
      <c r="A559" s="1">
        <v>10060</v>
      </c>
      <c r="B559" s="1">
        <v>4</v>
      </c>
      <c r="C559" s="2">
        <v>41316</v>
      </c>
      <c r="D559" s="1" t="s">
        <v>2002</v>
      </c>
      <c r="E559" s="1">
        <v>100312</v>
      </c>
      <c r="F559" s="6" t="s">
        <v>2561</v>
      </c>
      <c r="G559" s="15" t="str">
        <f>VLOOKUP(A559,Movie!A:D,4,FALSE)</f>
        <v>Warner Brothers</v>
      </c>
      <c r="H559" s="14">
        <f>VLOOKUP(E559,'Rental Transaction'!A:B,2,FALSE)</f>
        <v>994199</v>
      </c>
      <c r="I559">
        <f t="shared" si="8"/>
        <v>2013</v>
      </c>
    </row>
    <row r="560" spans="1:9">
      <c r="A560" s="1">
        <v>10117</v>
      </c>
      <c r="B560" s="1">
        <v>1</v>
      </c>
      <c r="C560" s="2">
        <v>41317</v>
      </c>
      <c r="D560" s="1" t="s">
        <v>2002</v>
      </c>
      <c r="E560" s="1">
        <v>100313</v>
      </c>
      <c r="F560" s="6" t="s">
        <v>2562</v>
      </c>
      <c r="G560" s="15" t="str">
        <f>VLOOKUP(A560,Movie!A:D,4,FALSE)</f>
        <v>Sony</v>
      </c>
      <c r="H560" s="14">
        <f>VLOOKUP(E560,'Rental Transaction'!A:B,2,FALSE)</f>
        <v>734624</v>
      </c>
      <c r="I560">
        <f t="shared" si="8"/>
        <v>2013</v>
      </c>
    </row>
    <row r="561" spans="1:9">
      <c r="A561" s="1">
        <v>10126</v>
      </c>
      <c r="B561" s="1">
        <v>5</v>
      </c>
      <c r="C561" s="2">
        <v>41317</v>
      </c>
      <c r="D561" s="1" t="s">
        <v>2002</v>
      </c>
      <c r="E561" s="1">
        <v>100313</v>
      </c>
      <c r="F561" s="6" t="s">
        <v>2563</v>
      </c>
      <c r="G561" s="15" t="str">
        <f>VLOOKUP(A561,Movie!A:D,4,FALSE)</f>
        <v>Fox</v>
      </c>
      <c r="H561" s="14">
        <f>VLOOKUP(E561,'Rental Transaction'!A:B,2,FALSE)</f>
        <v>734624</v>
      </c>
      <c r="I561">
        <f t="shared" si="8"/>
        <v>2013</v>
      </c>
    </row>
    <row r="562" spans="1:9">
      <c r="A562" s="1">
        <v>10114</v>
      </c>
      <c r="B562" s="1">
        <v>5</v>
      </c>
      <c r="C562" s="2">
        <v>41317</v>
      </c>
      <c r="D562" s="1" t="s">
        <v>2002</v>
      </c>
      <c r="E562" s="1">
        <v>100314</v>
      </c>
      <c r="F562" s="6" t="s">
        <v>2564</v>
      </c>
      <c r="G562" s="15" t="str">
        <f>VLOOKUP(A562,Movie!A:D,4,FALSE)</f>
        <v>Lionsgate</v>
      </c>
      <c r="H562" s="14">
        <f>VLOOKUP(E562,'Rental Transaction'!A:B,2,FALSE)</f>
        <v>592726</v>
      </c>
      <c r="I562">
        <f t="shared" si="8"/>
        <v>2013</v>
      </c>
    </row>
    <row r="563" spans="1:9">
      <c r="A563" s="1">
        <v>10109</v>
      </c>
      <c r="B563" s="1">
        <v>6</v>
      </c>
      <c r="C563" s="2">
        <v>41318</v>
      </c>
      <c r="D563" s="1" t="s">
        <v>2002</v>
      </c>
      <c r="E563" s="1">
        <v>100315</v>
      </c>
      <c r="F563" s="6" t="s">
        <v>2565</v>
      </c>
      <c r="G563" s="15" t="str">
        <f>VLOOKUP(A563,Movie!A:D,4,FALSE)</f>
        <v>Warner Brothers</v>
      </c>
      <c r="H563" s="14">
        <f>VLOOKUP(E563,'Rental Transaction'!A:B,2,FALSE)</f>
        <v>189953</v>
      </c>
      <c r="I563">
        <f t="shared" si="8"/>
        <v>2013</v>
      </c>
    </row>
    <row r="564" spans="1:9">
      <c r="A564" s="1">
        <v>10116</v>
      </c>
      <c r="B564" s="1">
        <v>9</v>
      </c>
      <c r="C564" s="2">
        <v>41318</v>
      </c>
      <c r="D564" s="1" t="s">
        <v>2005</v>
      </c>
      <c r="E564" s="1">
        <v>100316</v>
      </c>
      <c r="F564" s="6" t="s">
        <v>2566</v>
      </c>
      <c r="G564" s="15" t="str">
        <f>VLOOKUP(A564,Movie!A:D,4,FALSE)</f>
        <v>Universal</v>
      </c>
      <c r="H564" s="14">
        <f>VLOOKUP(E564,'Rental Transaction'!A:B,2,FALSE)</f>
        <v>480298</v>
      </c>
      <c r="I564">
        <f t="shared" si="8"/>
        <v>2013</v>
      </c>
    </row>
    <row r="565" spans="1:9">
      <c r="A565" s="1">
        <v>10088</v>
      </c>
      <c r="B565" s="1">
        <v>4</v>
      </c>
      <c r="C565" s="2">
        <v>41318</v>
      </c>
      <c r="D565" s="1" t="s">
        <v>2005</v>
      </c>
      <c r="E565" s="1">
        <v>100316</v>
      </c>
      <c r="F565" s="6" t="s">
        <v>2567</v>
      </c>
      <c r="G565" s="15" t="str">
        <f>VLOOKUP(A565,Movie!A:D,4,FALSE)</f>
        <v>Warner Brothers</v>
      </c>
      <c r="H565" s="14">
        <f>VLOOKUP(E565,'Rental Transaction'!A:B,2,FALSE)</f>
        <v>480298</v>
      </c>
      <c r="I565">
        <f t="shared" si="8"/>
        <v>2013</v>
      </c>
    </row>
    <row r="566" spans="1:9">
      <c r="A566" s="1">
        <v>10256</v>
      </c>
      <c r="B566" s="1">
        <v>9</v>
      </c>
      <c r="C566" s="2">
        <v>41318</v>
      </c>
      <c r="D566" s="1" t="s">
        <v>2005</v>
      </c>
      <c r="E566" s="1">
        <v>100317</v>
      </c>
      <c r="F566" s="6" t="s">
        <v>2568</v>
      </c>
      <c r="G566" s="15" t="str">
        <f>VLOOKUP(A566,Movie!A:D,4,FALSE)</f>
        <v>Fox</v>
      </c>
      <c r="H566" s="14">
        <f>VLOOKUP(E566,'Rental Transaction'!A:B,2,FALSE)</f>
        <v>767570</v>
      </c>
      <c r="I566">
        <f t="shared" si="8"/>
        <v>2013</v>
      </c>
    </row>
    <row r="567" spans="1:9">
      <c r="A567" s="1">
        <v>10234</v>
      </c>
      <c r="B567" s="1">
        <v>2</v>
      </c>
      <c r="C567" s="2">
        <v>41320</v>
      </c>
      <c r="D567" s="1" t="s">
        <v>2002</v>
      </c>
      <c r="E567" s="1">
        <v>100317</v>
      </c>
      <c r="F567" s="6" t="s">
        <v>2569</v>
      </c>
      <c r="G567" s="15" t="str">
        <f>VLOOKUP(A567,Movie!A:D,4,FALSE)</f>
        <v>Warner Brothers</v>
      </c>
      <c r="H567" s="14">
        <f>VLOOKUP(E567,'Rental Transaction'!A:B,2,FALSE)</f>
        <v>767570</v>
      </c>
      <c r="I567">
        <f t="shared" si="8"/>
        <v>2013</v>
      </c>
    </row>
    <row r="568" spans="1:9">
      <c r="A568" s="1">
        <v>10179</v>
      </c>
      <c r="B568" s="1">
        <v>6</v>
      </c>
      <c r="C568" s="2">
        <v>41319</v>
      </c>
      <c r="D568" s="1" t="s">
        <v>2005</v>
      </c>
      <c r="E568" s="1">
        <v>100318</v>
      </c>
      <c r="F568" s="6" t="s">
        <v>2570</v>
      </c>
      <c r="G568" s="15" t="str">
        <f>VLOOKUP(A568,Movie!A:D,4,FALSE)</f>
        <v>Warner Brothers</v>
      </c>
      <c r="H568" s="14">
        <f>VLOOKUP(E568,'Rental Transaction'!A:B,2,FALSE)</f>
        <v>308662</v>
      </c>
      <c r="I568">
        <f t="shared" si="8"/>
        <v>2013</v>
      </c>
    </row>
    <row r="569" spans="1:9">
      <c r="A569" s="1">
        <v>10039</v>
      </c>
      <c r="B569" s="1">
        <v>7</v>
      </c>
      <c r="C569" s="2">
        <v>41319</v>
      </c>
      <c r="D569" s="1" t="s">
        <v>2002</v>
      </c>
      <c r="E569" s="1">
        <v>100318</v>
      </c>
      <c r="F569" s="6" t="s">
        <v>2571</v>
      </c>
      <c r="G569" s="15" t="str">
        <f>VLOOKUP(A569,Movie!A:D,4,FALSE)</f>
        <v>Open Road Films</v>
      </c>
      <c r="H569" s="14">
        <f>VLOOKUP(E569,'Rental Transaction'!A:B,2,FALSE)</f>
        <v>308662</v>
      </c>
      <c r="I569">
        <f t="shared" si="8"/>
        <v>2013</v>
      </c>
    </row>
    <row r="570" spans="1:9">
      <c r="A570" s="1">
        <v>10118</v>
      </c>
      <c r="B570" s="1">
        <v>9</v>
      </c>
      <c r="C570" s="2">
        <v>41320</v>
      </c>
      <c r="D570" s="1" t="s">
        <v>2002</v>
      </c>
      <c r="E570" s="1">
        <v>100319</v>
      </c>
      <c r="F570" s="6" t="s">
        <v>2572</v>
      </c>
      <c r="G570" s="15" t="str">
        <f>VLOOKUP(A570,Movie!A:D,4,FALSE)</f>
        <v>Buena Vista</v>
      </c>
      <c r="H570" s="14">
        <f>VLOOKUP(E570,'Rental Transaction'!A:B,2,FALSE)</f>
        <v>643214</v>
      </c>
      <c r="I570">
        <f t="shared" si="8"/>
        <v>2013</v>
      </c>
    </row>
    <row r="571" spans="1:9">
      <c r="A571" s="1">
        <v>10162</v>
      </c>
      <c r="B571" s="1">
        <v>9</v>
      </c>
      <c r="C571" s="2">
        <v>41321</v>
      </c>
      <c r="D571" s="1" t="s">
        <v>2002</v>
      </c>
      <c r="E571" s="1">
        <v>100319</v>
      </c>
      <c r="F571" s="6" t="s">
        <v>2573</v>
      </c>
      <c r="G571" s="15" t="str">
        <f>VLOOKUP(A571,Movie!A:D,4,FALSE)</f>
        <v>Sony</v>
      </c>
      <c r="H571" s="14">
        <f>VLOOKUP(E571,'Rental Transaction'!A:B,2,FALSE)</f>
        <v>643214</v>
      </c>
      <c r="I571">
        <f t="shared" si="8"/>
        <v>2013</v>
      </c>
    </row>
    <row r="572" spans="1:9">
      <c r="A572" s="1">
        <v>10117</v>
      </c>
      <c r="B572" s="1">
        <v>8</v>
      </c>
      <c r="C572" s="2">
        <v>41320</v>
      </c>
      <c r="D572" s="1" t="s">
        <v>2002</v>
      </c>
      <c r="E572" s="1">
        <v>100319</v>
      </c>
      <c r="F572" s="6" t="s">
        <v>2574</v>
      </c>
      <c r="G572" s="15" t="str">
        <f>VLOOKUP(A572,Movie!A:D,4,FALSE)</f>
        <v>Sony</v>
      </c>
      <c r="H572" s="14">
        <f>VLOOKUP(E572,'Rental Transaction'!A:B,2,FALSE)</f>
        <v>643214</v>
      </c>
      <c r="I572">
        <f t="shared" si="8"/>
        <v>2013</v>
      </c>
    </row>
    <row r="573" spans="1:9">
      <c r="A573" s="1">
        <v>10111</v>
      </c>
      <c r="B573" s="1">
        <v>5</v>
      </c>
      <c r="C573" s="2">
        <v>41320</v>
      </c>
      <c r="D573" s="1" t="s">
        <v>2002</v>
      </c>
      <c r="E573" s="1">
        <v>100320</v>
      </c>
      <c r="F573" s="6" t="s">
        <v>2575</v>
      </c>
      <c r="G573" s="15" t="str">
        <f>VLOOKUP(A573,Movie!A:D,4,FALSE)</f>
        <v>Fox</v>
      </c>
      <c r="H573" s="14">
        <f>VLOOKUP(E573,'Rental Transaction'!A:B,2,FALSE)</f>
        <v>973766</v>
      </c>
      <c r="I573">
        <f t="shared" si="8"/>
        <v>2013</v>
      </c>
    </row>
    <row r="574" spans="1:9">
      <c r="A574" s="1">
        <v>10193</v>
      </c>
      <c r="B574" s="1">
        <v>8</v>
      </c>
      <c r="C574" s="2">
        <v>41320</v>
      </c>
      <c r="D574" s="1" t="s">
        <v>2002</v>
      </c>
      <c r="E574" s="1">
        <v>100321</v>
      </c>
      <c r="F574" s="6" t="s">
        <v>2576</v>
      </c>
      <c r="G574" s="15" t="str">
        <f>VLOOKUP(A574,Movie!A:D,4,FALSE)</f>
        <v>Fox</v>
      </c>
      <c r="H574" s="14">
        <f>VLOOKUP(E574,'Rental Transaction'!A:B,2,FALSE)</f>
        <v>808421</v>
      </c>
      <c r="I574">
        <f t="shared" si="8"/>
        <v>2013</v>
      </c>
    </row>
    <row r="575" spans="1:9">
      <c r="A575" s="1">
        <v>10168</v>
      </c>
      <c r="B575" s="1">
        <v>1</v>
      </c>
      <c r="C575" s="2">
        <v>41321</v>
      </c>
      <c r="D575" s="1" t="s">
        <v>2002</v>
      </c>
      <c r="E575" s="1">
        <v>100322</v>
      </c>
      <c r="F575" s="6" t="s">
        <v>2577</v>
      </c>
      <c r="G575" s="15" t="str">
        <f>VLOOKUP(A575,Movie!A:D,4,FALSE)</f>
        <v>Paramount</v>
      </c>
      <c r="H575" s="14">
        <f>VLOOKUP(E575,'Rental Transaction'!A:B,2,FALSE)</f>
        <v>756769</v>
      </c>
      <c r="I575">
        <f t="shared" si="8"/>
        <v>2013</v>
      </c>
    </row>
    <row r="576" spans="1:9">
      <c r="A576" s="1">
        <v>10022</v>
      </c>
      <c r="B576" s="1">
        <v>4</v>
      </c>
      <c r="C576" s="2">
        <v>41320</v>
      </c>
      <c r="D576" s="1" t="s">
        <v>2002</v>
      </c>
      <c r="E576" s="1">
        <v>100322</v>
      </c>
      <c r="F576" s="6" t="s">
        <v>2578</v>
      </c>
      <c r="G576" s="15" t="str">
        <f>VLOOKUP(A576,Movie!A:D,4,FALSE)</f>
        <v>Universal</v>
      </c>
      <c r="H576" s="14">
        <f>VLOOKUP(E576,'Rental Transaction'!A:B,2,FALSE)</f>
        <v>756769</v>
      </c>
      <c r="I576">
        <f t="shared" si="8"/>
        <v>2013</v>
      </c>
    </row>
    <row r="577" spans="1:9" ht="29.25">
      <c r="A577" s="1">
        <v>10164</v>
      </c>
      <c r="B577" s="1">
        <v>4</v>
      </c>
      <c r="C577" s="2">
        <v>41320</v>
      </c>
      <c r="D577" s="1" t="s">
        <v>2002</v>
      </c>
      <c r="E577" s="1">
        <v>100323</v>
      </c>
      <c r="F577" s="6" t="s">
        <v>2579</v>
      </c>
      <c r="G577" s="15" t="str">
        <f>VLOOKUP(A577,Movie!A:D,4,FALSE)</f>
        <v>Weinstein Company</v>
      </c>
      <c r="H577" s="14">
        <f>VLOOKUP(E577,'Rental Transaction'!A:B,2,FALSE)</f>
        <v>556619</v>
      </c>
      <c r="I577">
        <f t="shared" si="8"/>
        <v>2013</v>
      </c>
    </row>
    <row r="578" spans="1:9">
      <c r="A578" s="1">
        <v>10183</v>
      </c>
      <c r="B578" s="1">
        <v>10</v>
      </c>
      <c r="C578" s="2">
        <v>41321</v>
      </c>
      <c r="D578" s="1" t="s">
        <v>2002</v>
      </c>
      <c r="E578" s="1">
        <v>100324</v>
      </c>
      <c r="F578" s="6" t="s">
        <v>2580</v>
      </c>
      <c r="G578" s="15" t="str">
        <f>VLOOKUP(A578,Movie!A:D,4,FALSE)</f>
        <v>Sony</v>
      </c>
      <c r="H578" s="14">
        <f>VLOOKUP(E578,'Rental Transaction'!A:B,2,FALSE)</f>
        <v>921792</v>
      </c>
      <c r="I578">
        <f t="shared" si="8"/>
        <v>2013</v>
      </c>
    </row>
    <row r="579" spans="1:9">
      <c r="A579" s="1">
        <v>10292</v>
      </c>
      <c r="B579" s="1">
        <v>5</v>
      </c>
      <c r="C579" s="2">
        <v>41321</v>
      </c>
      <c r="D579" s="1" t="s">
        <v>2005</v>
      </c>
      <c r="E579" s="1">
        <v>100324</v>
      </c>
      <c r="F579" s="6" t="s">
        <v>2581</v>
      </c>
      <c r="G579" s="15" t="str">
        <f>VLOOKUP(A579,Movie!A:D,4,FALSE)</f>
        <v>Sony Classics</v>
      </c>
      <c r="H579" s="14">
        <f>VLOOKUP(E579,'Rental Transaction'!A:B,2,FALSE)</f>
        <v>921792</v>
      </c>
      <c r="I579">
        <f t="shared" ref="I579:I642" si="9">YEAR(C579)</f>
        <v>2013</v>
      </c>
    </row>
    <row r="580" spans="1:9">
      <c r="A580" s="1">
        <v>10240</v>
      </c>
      <c r="B580" s="1">
        <v>5</v>
      </c>
      <c r="C580" s="2">
        <v>41321</v>
      </c>
      <c r="D580" s="1" t="s">
        <v>2002</v>
      </c>
      <c r="E580" s="1">
        <v>100325</v>
      </c>
      <c r="F580" s="6" t="s">
        <v>2582</v>
      </c>
      <c r="G580" s="15" t="str">
        <f>VLOOKUP(A580,Movie!A:D,4,FALSE)</f>
        <v>Warner Brothers</v>
      </c>
      <c r="H580" s="14">
        <f>VLOOKUP(E580,'Rental Transaction'!A:B,2,FALSE)</f>
        <v>866556</v>
      </c>
      <c r="I580">
        <f t="shared" si="9"/>
        <v>2013</v>
      </c>
    </row>
    <row r="581" spans="1:9">
      <c r="A581" s="1">
        <v>10115</v>
      </c>
      <c r="B581" s="1">
        <v>6</v>
      </c>
      <c r="C581" s="2">
        <v>41321</v>
      </c>
      <c r="D581" s="1" t="s">
        <v>2002</v>
      </c>
      <c r="E581" s="1">
        <v>100326</v>
      </c>
      <c r="F581" s="6" t="s">
        <v>2583</v>
      </c>
      <c r="G581" s="15" t="str">
        <f>VLOOKUP(A581,Movie!A:D,4,FALSE)</f>
        <v>Open Road Films</v>
      </c>
      <c r="H581" s="14">
        <f>VLOOKUP(E581,'Rental Transaction'!A:B,2,FALSE)</f>
        <v>884368</v>
      </c>
      <c r="I581">
        <f t="shared" si="9"/>
        <v>2013</v>
      </c>
    </row>
    <row r="582" spans="1:9">
      <c r="A582" s="1">
        <v>10283</v>
      </c>
      <c r="B582" s="1">
        <v>2</v>
      </c>
      <c r="C582" s="2">
        <v>41322</v>
      </c>
      <c r="D582" s="1" t="s">
        <v>2005</v>
      </c>
      <c r="E582" s="1">
        <v>100327</v>
      </c>
      <c r="F582" s="6" t="s">
        <v>2584</v>
      </c>
      <c r="G582" s="15" t="str">
        <f>VLOOKUP(A582,Movie!A:D,4,FALSE)</f>
        <v>TriStar</v>
      </c>
      <c r="H582" s="14">
        <f>VLOOKUP(E582,'Rental Transaction'!A:B,2,FALSE)</f>
        <v>559054</v>
      </c>
      <c r="I582">
        <f t="shared" si="9"/>
        <v>2013</v>
      </c>
    </row>
    <row r="583" spans="1:9">
      <c r="A583" s="1">
        <v>10230</v>
      </c>
      <c r="B583" s="1">
        <v>2</v>
      </c>
      <c r="C583" s="2">
        <v>41321</v>
      </c>
      <c r="D583" s="1" t="s">
        <v>2005</v>
      </c>
      <c r="E583" s="1">
        <v>100327</v>
      </c>
      <c r="F583" s="6" t="s">
        <v>2585</v>
      </c>
      <c r="G583" s="15" t="str">
        <f>VLOOKUP(A583,Movie!A:D,4,FALSE)</f>
        <v>Focus</v>
      </c>
      <c r="H583" s="14">
        <f>VLOOKUP(E583,'Rental Transaction'!A:B,2,FALSE)</f>
        <v>559054</v>
      </c>
      <c r="I583">
        <f t="shared" si="9"/>
        <v>2013</v>
      </c>
    </row>
    <row r="584" spans="1:9">
      <c r="A584" s="1">
        <v>10055</v>
      </c>
      <c r="B584" s="1">
        <v>1</v>
      </c>
      <c r="C584" s="2">
        <v>41321</v>
      </c>
      <c r="D584" s="1" t="s">
        <v>2005</v>
      </c>
      <c r="E584" s="1">
        <v>100328</v>
      </c>
      <c r="F584" s="6" t="s">
        <v>2586</v>
      </c>
      <c r="G584" s="15" t="str">
        <f>VLOOKUP(A584,Movie!A:D,4,FALSE)</f>
        <v>Sony Classics</v>
      </c>
      <c r="H584" s="14">
        <f>VLOOKUP(E584,'Rental Transaction'!A:B,2,FALSE)</f>
        <v>218889</v>
      </c>
      <c r="I584">
        <f t="shared" si="9"/>
        <v>2013</v>
      </c>
    </row>
    <row r="585" spans="1:9">
      <c r="A585" s="1">
        <v>10278</v>
      </c>
      <c r="B585" s="1">
        <v>7</v>
      </c>
      <c r="C585" s="2">
        <v>41322</v>
      </c>
      <c r="D585" s="1" t="s">
        <v>2002</v>
      </c>
      <c r="E585" s="1">
        <v>100328</v>
      </c>
      <c r="F585" s="6" t="s">
        <v>2587</v>
      </c>
      <c r="G585" s="15" t="str">
        <f>VLOOKUP(A585,Movie!A:D,4,FALSE)</f>
        <v>Universal</v>
      </c>
      <c r="H585" s="14">
        <f>VLOOKUP(E585,'Rental Transaction'!A:B,2,FALSE)</f>
        <v>218889</v>
      </c>
      <c r="I585">
        <f t="shared" si="9"/>
        <v>2013</v>
      </c>
    </row>
    <row r="586" spans="1:9">
      <c r="A586" s="1">
        <v>10266</v>
      </c>
      <c r="B586" s="1">
        <v>2</v>
      </c>
      <c r="C586" s="2">
        <v>41322</v>
      </c>
      <c r="D586" s="1" t="s">
        <v>2005</v>
      </c>
      <c r="E586" s="1">
        <v>100329</v>
      </c>
      <c r="F586" s="6" t="s">
        <v>2588</v>
      </c>
      <c r="G586" s="15" t="str">
        <f>VLOOKUP(A586,Movie!A:D,4,FALSE)</f>
        <v>Sony</v>
      </c>
      <c r="H586" s="14">
        <f>VLOOKUP(E586,'Rental Transaction'!A:B,2,FALSE)</f>
        <v>864896</v>
      </c>
      <c r="I586">
        <f t="shared" si="9"/>
        <v>2013</v>
      </c>
    </row>
    <row r="587" spans="1:9">
      <c r="A587" s="1">
        <v>10268</v>
      </c>
      <c r="B587" s="1">
        <v>9</v>
      </c>
      <c r="C587" s="2">
        <v>41322</v>
      </c>
      <c r="D587" s="1" t="s">
        <v>2005</v>
      </c>
      <c r="E587" s="1">
        <v>100329</v>
      </c>
      <c r="F587" s="6" t="s">
        <v>2589</v>
      </c>
      <c r="G587" s="15" t="str">
        <f>VLOOKUP(A587,Movie!A:D,4,FALSE)</f>
        <v>Buena Vista</v>
      </c>
      <c r="H587" s="14">
        <f>VLOOKUP(E587,'Rental Transaction'!A:B,2,FALSE)</f>
        <v>864896</v>
      </c>
      <c r="I587">
        <f t="shared" si="9"/>
        <v>2013</v>
      </c>
    </row>
    <row r="588" spans="1:9">
      <c r="A588" s="1">
        <v>10051</v>
      </c>
      <c r="B588" s="1">
        <v>6</v>
      </c>
      <c r="C588" s="2">
        <v>41322</v>
      </c>
      <c r="D588" s="1" t="s">
        <v>2002</v>
      </c>
      <c r="E588" s="1">
        <v>100329</v>
      </c>
      <c r="F588" s="6" t="s">
        <v>2590</v>
      </c>
      <c r="G588" s="15" t="str">
        <f>VLOOKUP(A588,Movie!A:D,4,FALSE)</f>
        <v>Paramount</v>
      </c>
      <c r="H588" s="14">
        <f>VLOOKUP(E588,'Rental Transaction'!A:B,2,FALSE)</f>
        <v>864896</v>
      </c>
      <c r="I588">
        <f t="shared" si="9"/>
        <v>2013</v>
      </c>
    </row>
    <row r="589" spans="1:9">
      <c r="A589" s="1">
        <v>10070</v>
      </c>
      <c r="B589" s="1">
        <v>8</v>
      </c>
      <c r="C589" s="2">
        <v>41322</v>
      </c>
      <c r="D589" s="1" t="s">
        <v>2002</v>
      </c>
      <c r="E589" s="1">
        <v>100330</v>
      </c>
      <c r="F589" s="6" t="s">
        <v>2591</v>
      </c>
      <c r="G589" s="15" t="str">
        <f>VLOOKUP(A589,Movie!A:D,4,FALSE)</f>
        <v>Paramount</v>
      </c>
      <c r="H589" s="14">
        <f>VLOOKUP(E589,'Rental Transaction'!A:B,2,FALSE)</f>
        <v>378374</v>
      </c>
      <c r="I589">
        <f t="shared" si="9"/>
        <v>2013</v>
      </c>
    </row>
    <row r="590" spans="1:9">
      <c r="A590" s="1">
        <v>10215</v>
      </c>
      <c r="B590" s="1">
        <v>2</v>
      </c>
      <c r="C590" s="2">
        <v>41323</v>
      </c>
      <c r="D590" s="1" t="s">
        <v>2002</v>
      </c>
      <c r="E590" s="1">
        <v>100331</v>
      </c>
      <c r="F590" s="6" t="s">
        <v>2592</v>
      </c>
      <c r="G590" s="15" t="str">
        <f>VLOOKUP(A590,Movie!A:D,4,FALSE)</f>
        <v>Paramount</v>
      </c>
      <c r="H590" s="14">
        <f>VLOOKUP(E590,'Rental Transaction'!A:B,2,FALSE)</f>
        <v>950299</v>
      </c>
      <c r="I590">
        <f t="shared" si="9"/>
        <v>2013</v>
      </c>
    </row>
    <row r="591" spans="1:9">
      <c r="A591" s="1">
        <v>10182</v>
      </c>
      <c r="B591" s="1">
        <v>9</v>
      </c>
      <c r="C591" s="2">
        <v>41323</v>
      </c>
      <c r="D591" s="1" t="s">
        <v>2005</v>
      </c>
      <c r="E591" s="1">
        <v>100332</v>
      </c>
      <c r="F591" s="6" t="s">
        <v>2593</v>
      </c>
      <c r="G591" s="15" t="str">
        <f>VLOOKUP(A591,Movie!A:D,4,FALSE)</f>
        <v>Warner Brothers</v>
      </c>
      <c r="H591" s="14">
        <f>VLOOKUP(E591,'Rental Transaction'!A:B,2,FALSE)</f>
        <v>701816</v>
      </c>
      <c r="I591">
        <f t="shared" si="9"/>
        <v>2013</v>
      </c>
    </row>
    <row r="592" spans="1:9">
      <c r="A592" s="1">
        <v>10040</v>
      </c>
      <c r="B592" s="1">
        <v>1</v>
      </c>
      <c r="C592" s="2">
        <v>41323</v>
      </c>
      <c r="D592" s="1" t="s">
        <v>2002</v>
      </c>
      <c r="E592" s="1">
        <v>100333</v>
      </c>
      <c r="F592" s="6" t="s">
        <v>2594</v>
      </c>
      <c r="G592" s="15" t="str">
        <f>VLOOKUP(A592,Movie!A:D,4,FALSE)</f>
        <v>Universal</v>
      </c>
      <c r="H592" s="14">
        <f>VLOOKUP(E592,'Rental Transaction'!A:B,2,FALSE)</f>
        <v>363931</v>
      </c>
      <c r="I592">
        <f t="shared" si="9"/>
        <v>2013</v>
      </c>
    </row>
    <row r="593" spans="1:9">
      <c r="A593" s="1">
        <v>10100</v>
      </c>
      <c r="B593" s="1">
        <v>8</v>
      </c>
      <c r="C593" s="2">
        <v>41324</v>
      </c>
      <c r="D593" s="1" t="s">
        <v>2002</v>
      </c>
      <c r="E593" s="1">
        <v>100333</v>
      </c>
      <c r="F593" s="6" t="s">
        <v>2595</v>
      </c>
      <c r="G593" s="15" t="str">
        <f>VLOOKUP(A593,Movie!A:D,4,FALSE)</f>
        <v>Fox</v>
      </c>
      <c r="H593" s="14">
        <f>VLOOKUP(E593,'Rental Transaction'!A:B,2,FALSE)</f>
        <v>363931</v>
      </c>
      <c r="I593">
        <f t="shared" si="9"/>
        <v>2013</v>
      </c>
    </row>
    <row r="594" spans="1:9">
      <c r="A594" s="1">
        <v>10126</v>
      </c>
      <c r="B594" s="1">
        <v>1</v>
      </c>
      <c r="C594" s="2">
        <v>41324</v>
      </c>
      <c r="D594" s="1" t="s">
        <v>2002</v>
      </c>
      <c r="E594" s="1">
        <v>100334</v>
      </c>
      <c r="F594" s="6" t="s">
        <v>2596</v>
      </c>
      <c r="G594" s="15" t="str">
        <f>VLOOKUP(A594,Movie!A:D,4,FALSE)</f>
        <v>Fox</v>
      </c>
      <c r="H594" s="14">
        <f>VLOOKUP(E594,'Rental Transaction'!A:B,2,FALSE)</f>
        <v>723057</v>
      </c>
      <c r="I594">
        <f t="shared" si="9"/>
        <v>2013</v>
      </c>
    </row>
    <row r="595" spans="1:9">
      <c r="A595" s="1">
        <v>10244</v>
      </c>
      <c r="B595" s="1">
        <v>8</v>
      </c>
      <c r="C595" s="2">
        <v>41323</v>
      </c>
      <c r="D595" s="1" t="s">
        <v>2002</v>
      </c>
      <c r="E595" s="1">
        <v>100335</v>
      </c>
      <c r="F595" s="6" t="s">
        <v>2597</v>
      </c>
      <c r="G595" s="15" t="str">
        <f>VLOOKUP(A595,Movie!A:D,4,FALSE)</f>
        <v>Sony</v>
      </c>
      <c r="H595" s="14">
        <f>VLOOKUP(E595,'Rental Transaction'!A:B,2,FALSE)</f>
        <v>961080</v>
      </c>
      <c r="I595">
        <f t="shared" si="9"/>
        <v>2013</v>
      </c>
    </row>
    <row r="596" spans="1:9">
      <c r="A596" s="1">
        <v>10123</v>
      </c>
      <c r="B596" s="1">
        <v>10</v>
      </c>
      <c r="C596" s="2">
        <v>41323</v>
      </c>
      <c r="D596" s="1" t="s">
        <v>2005</v>
      </c>
      <c r="E596" s="1">
        <v>100336</v>
      </c>
      <c r="F596" s="6" t="s">
        <v>2598</v>
      </c>
      <c r="G596" s="15" t="str">
        <f>VLOOKUP(A596,Movie!A:D,4,FALSE)</f>
        <v>Fox</v>
      </c>
      <c r="H596" s="14">
        <f>VLOOKUP(E596,'Rental Transaction'!A:B,2,FALSE)</f>
        <v>204295</v>
      </c>
      <c r="I596">
        <f t="shared" si="9"/>
        <v>2013</v>
      </c>
    </row>
    <row r="597" spans="1:9">
      <c r="A597" s="1">
        <v>10075</v>
      </c>
      <c r="B597" s="1">
        <v>10</v>
      </c>
      <c r="C597" s="2">
        <v>41324</v>
      </c>
      <c r="D597" s="1" t="s">
        <v>2002</v>
      </c>
      <c r="E597" s="1">
        <v>100337</v>
      </c>
      <c r="F597" s="6" t="s">
        <v>2599</v>
      </c>
      <c r="G597" s="15" t="str">
        <f>VLOOKUP(A597,Movie!A:D,4,FALSE)</f>
        <v>Fox Searchlight</v>
      </c>
      <c r="H597" s="14">
        <f>VLOOKUP(E597,'Rental Transaction'!A:B,2,FALSE)</f>
        <v>325263</v>
      </c>
      <c r="I597">
        <f t="shared" si="9"/>
        <v>2013</v>
      </c>
    </row>
    <row r="598" spans="1:9">
      <c r="A598" s="1">
        <v>10141</v>
      </c>
      <c r="B598" s="1">
        <v>2</v>
      </c>
      <c r="C598" s="2">
        <v>41324</v>
      </c>
      <c r="D598" s="1" t="s">
        <v>2005</v>
      </c>
      <c r="E598" s="1">
        <v>100337</v>
      </c>
      <c r="F598" s="6" t="s">
        <v>2600</v>
      </c>
      <c r="G598" s="15" t="str">
        <f>VLOOKUP(A598,Movie!A:D,4,FALSE)</f>
        <v>Warner Brothers</v>
      </c>
      <c r="H598" s="14">
        <f>VLOOKUP(E598,'Rental Transaction'!A:B,2,FALSE)</f>
        <v>325263</v>
      </c>
      <c r="I598">
        <f t="shared" si="9"/>
        <v>2013</v>
      </c>
    </row>
    <row r="599" spans="1:9">
      <c r="A599" s="1">
        <v>10073</v>
      </c>
      <c r="B599" s="1">
        <v>4</v>
      </c>
      <c r="C599" s="2">
        <v>41325</v>
      </c>
      <c r="D599" s="1" t="s">
        <v>2005</v>
      </c>
      <c r="E599" s="1">
        <v>100338</v>
      </c>
      <c r="F599" s="6" t="s">
        <v>2601</v>
      </c>
      <c r="G599" s="15" t="str">
        <f>VLOOKUP(A599,Movie!A:D,4,FALSE)</f>
        <v>FilmDistrict</v>
      </c>
      <c r="H599" s="14">
        <f>VLOOKUP(E599,'Rental Transaction'!A:B,2,FALSE)</f>
        <v>840970</v>
      </c>
      <c r="I599">
        <f t="shared" si="9"/>
        <v>2013</v>
      </c>
    </row>
    <row r="600" spans="1:9">
      <c r="A600" s="1">
        <v>10161</v>
      </c>
      <c r="B600" s="1">
        <v>7</v>
      </c>
      <c r="C600" s="2">
        <v>41325</v>
      </c>
      <c r="D600" s="1" t="s">
        <v>2002</v>
      </c>
      <c r="E600" s="1">
        <v>100339</v>
      </c>
      <c r="F600" s="6" t="s">
        <v>2602</v>
      </c>
      <c r="G600" s="15" t="str">
        <f>VLOOKUP(A600,Movie!A:D,4,FALSE)</f>
        <v>TriStar</v>
      </c>
      <c r="H600" s="14">
        <f>VLOOKUP(E600,'Rental Transaction'!A:B,2,FALSE)</f>
        <v>701816</v>
      </c>
      <c r="I600">
        <f t="shared" si="9"/>
        <v>2013</v>
      </c>
    </row>
    <row r="601" spans="1:9">
      <c r="A601" s="1">
        <v>10052</v>
      </c>
      <c r="B601" s="1">
        <v>6</v>
      </c>
      <c r="C601" s="2">
        <v>41324</v>
      </c>
      <c r="D601" s="1" t="s">
        <v>2005</v>
      </c>
      <c r="E601" s="1">
        <v>100340</v>
      </c>
      <c r="F601" s="6" t="s">
        <v>2603</v>
      </c>
      <c r="G601" s="15" t="str">
        <f>VLOOKUP(A601,Movie!A:D,4,FALSE)</f>
        <v>Warner Brothers</v>
      </c>
      <c r="H601" s="14">
        <f>VLOOKUP(E601,'Rental Transaction'!A:B,2,FALSE)</f>
        <v>233956</v>
      </c>
      <c r="I601">
        <f t="shared" si="9"/>
        <v>2013</v>
      </c>
    </row>
    <row r="602" spans="1:9">
      <c r="A602" s="1">
        <v>10062</v>
      </c>
      <c r="B602" s="1">
        <v>1</v>
      </c>
      <c r="C602" s="2">
        <v>41325</v>
      </c>
      <c r="D602" s="1" t="s">
        <v>2005</v>
      </c>
      <c r="E602" s="1">
        <v>100341</v>
      </c>
      <c r="F602" s="6" t="s">
        <v>2604</v>
      </c>
      <c r="G602" s="15" t="str">
        <f>VLOOKUP(A602,Movie!A:D,4,FALSE)</f>
        <v>FilmDistrict</v>
      </c>
      <c r="H602" s="14">
        <f>VLOOKUP(E602,'Rental Transaction'!A:B,2,FALSE)</f>
        <v>408341</v>
      </c>
      <c r="I602">
        <f t="shared" si="9"/>
        <v>2013</v>
      </c>
    </row>
    <row r="603" spans="1:9">
      <c r="A603" s="1">
        <v>10077</v>
      </c>
      <c r="B603" s="1">
        <v>9</v>
      </c>
      <c r="C603" s="2">
        <v>41324</v>
      </c>
      <c r="D603" s="1" t="s">
        <v>2002</v>
      </c>
      <c r="E603" s="1">
        <v>100341</v>
      </c>
      <c r="F603" s="6" t="s">
        <v>2605</v>
      </c>
      <c r="G603" s="15" t="str">
        <f>VLOOKUP(A603,Movie!A:D,4,FALSE)</f>
        <v>Warner Brothers</v>
      </c>
      <c r="H603" s="14">
        <f>VLOOKUP(E603,'Rental Transaction'!A:B,2,FALSE)</f>
        <v>408341</v>
      </c>
      <c r="I603">
        <f t="shared" si="9"/>
        <v>2013</v>
      </c>
    </row>
    <row r="604" spans="1:9">
      <c r="A604" s="1">
        <v>10027</v>
      </c>
      <c r="B604" s="1">
        <v>9</v>
      </c>
      <c r="C604" s="2">
        <v>41326</v>
      </c>
      <c r="D604" s="1" t="s">
        <v>2002</v>
      </c>
      <c r="E604" s="1">
        <v>100342</v>
      </c>
      <c r="F604" s="6" t="s">
        <v>2606</v>
      </c>
      <c r="G604" s="15" t="str">
        <f>VLOOKUP(A604,Movie!A:D,4,FALSE)</f>
        <v>FilmDistrict</v>
      </c>
      <c r="H604" s="14">
        <f>VLOOKUP(E604,'Rental Transaction'!A:B,2,FALSE)</f>
        <v>147543</v>
      </c>
      <c r="I604">
        <f t="shared" si="9"/>
        <v>2013</v>
      </c>
    </row>
    <row r="605" spans="1:9">
      <c r="A605" s="1">
        <v>10288</v>
      </c>
      <c r="B605" s="1">
        <v>1</v>
      </c>
      <c r="C605" s="2">
        <v>41325</v>
      </c>
      <c r="D605" s="1" t="s">
        <v>2002</v>
      </c>
      <c r="E605" s="1">
        <v>100342</v>
      </c>
      <c r="F605" s="6" t="s">
        <v>2607</v>
      </c>
      <c r="G605" s="15" t="str">
        <f>VLOOKUP(A605,Movie!A:D,4,FALSE)</f>
        <v>Relativity</v>
      </c>
      <c r="H605" s="14">
        <f>VLOOKUP(E605,'Rental Transaction'!A:B,2,FALSE)</f>
        <v>147543</v>
      </c>
      <c r="I605">
        <f t="shared" si="9"/>
        <v>2013</v>
      </c>
    </row>
    <row r="606" spans="1:9">
      <c r="A606" s="1">
        <v>10233</v>
      </c>
      <c r="B606" s="1">
        <v>6</v>
      </c>
      <c r="C606" s="2">
        <v>41326</v>
      </c>
      <c r="D606" s="1" t="s">
        <v>2002</v>
      </c>
      <c r="E606" s="1">
        <v>100343</v>
      </c>
      <c r="F606" s="6" t="s">
        <v>2608</v>
      </c>
      <c r="G606" s="15" t="str">
        <f>VLOOKUP(A606,Movie!A:D,4,FALSE)</f>
        <v>Screen Gems</v>
      </c>
      <c r="H606" s="14">
        <f>VLOOKUP(E606,'Rental Transaction'!A:B,2,FALSE)</f>
        <v>225489</v>
      </c>
      <c r="I606">
        <f t="shared" si="9"/>
        <v>2013</v>
      </c>
    </row>
    <row r="607" spans="1:9">
      <c r="A607" s="1">
        <v>10060</v>
      </c>
      <c r="B607" s="1">
        <v>8</v>
      </c>
      <c r="C607" s="2">
        <v>41325</v>
      </c>
      <c r="D607" s="1" t="s">
        <v>2005</v>
      </c>
      <c r="E607" s="1">
        <v>100344</v>
      </c>
      <c r="F607" s="6" t="s">
        <v>2609</v>
      </c>
      <c r="G607" s="15" t="str">
        <f>VLOOKUP(A607,Movie!A:D,4,FALSE)</f>
        <v>Warner Brothers</v>
      </c>
      <c r="H607" s="14">
        <f>VLOOKUP(E607,'Rental Transaction'!A:B,2,FALSE)</f>
        <v>958321</v>
      </c>
      <c r="I607">
        <f t="shared" si="9"/>
        <v>2013</v>
      </c>
    </row>
    <row r="608" spans="1:9" ht="29.25">
      <c r="A608" s="1">
        <v>10249</v>
      </c>
      <c r="B608" s="1">
        <v>7</v>
      </c>
      <c r="C608" s="2">
        <v>41326</v>
      </c>
      <c r="D608" s="1" t="s">
        <v>2005</v>
      </c>
      <c r="E608" s="1">
        <v>100345</v>
      </c>
      <c r="F608" s="6" t="s">
        <v>2610</v>
      </c>
      <c r="G608" s="15" t="str">
        <f>VLOOKUP(A608,Movie!A:D,4,FALSE)</f>
        <v>Summit Entertainment</v>
      </c>
      <c r="H608" s="14">
        <f>VLOOKUP(E608,'Rental Transaction'!A:B,2,FALSE)</f>
        <v>426984</v>
      </c>
      <c r="I608">
        <f t="shared" si="9"/>
        <v>2013</v>
      </c>
    </row>
    <row r="609" spans="1:9">
      <c r="A609" s="1">
        <v>10291</v>
      </c>
      <c r="B609" s="1">
        <v>9</v>
      </c>
      <c r="C609" s="2">
        <v>41326</v>
      </c>
      <c r="D609" s="1" t="s">
        <v>2002</v>
      </c>
      <c r="E609" s="1">
        <v>100345</v>
      </c>
      <c r="F609" s="6" t="s">
        <v>2611</v>
      </c>
      <c r="G609" s="15" t="str">
        <f>VLOOKUP(A609,Movie!A:D,4,FALSE)</f>
        <v>Warner Brothers</v>
      </c>
      <c r="H609" s="14">
        <f>VLOOKUP(E609,'Rental Transaction'!A:B,2,FALSE)</f>
        <v>426984</v>
      </c>
      <c r="I609">
        <f t="shared" si="9"/>
        <v>2013</v>
      </c>
    </row>
    <row r="610" spans="1:9">
      <c r="A610" s="1">
        <v>10196</v>
      </c>
      <c r="B610" s="1">
        <v>10</v>
      </c>
      <c r="C610" s="2">
        <v>41326</v>
      </c>
      <c r="D610" s="1" t="s">
        <v>2002</v>
      </c>
      <c r="E610" s="1">
        <v>100346</v>
      </c>
      <c r="F610" s="6" t="s">
        <v>2612</v>
      </c>
      <c r="G610" s="15" t="str">
        <f>VLOOKUP(A610,Movie!A:D,4,FALSE)</f>
        <v>Fox</v>
      </c>
      <c r="H610" s="14">
        <f>VLOOKUP(E610,'Rental Transaction'!A:B,2,FALSE)</f>
        <v>108708</v>
      </c>
      <c r="I610">
        <f t="shared" si="9"/>
        <v>2013</v>
      </c>
    </row>
    <row r="611" spans="1:9">
      <c r="A611" s="1">
        <v>10148</v>
      </c>
      <c r="B611" s="1">
        <v>2</v>
      </c>
      <c r="C611" s="2">
        <v>41327</v>
      </c>
      <c r="D611" s="1" t="s">
        <v>2005</v>
      </c>
      <c r="E611" s="1">
        <v>100346</v>
      </c>
      <c r="F611" s="6" t="s">
        <v>2613</v>
      </c>
      <c r="G611" s="15" t="str">
        <f>VLOOKUP(A611,Movie!A:D,4,FALSE)</f>
        <v>Paramount</v>
      </c>
      <c r="H611" s="14">
        <f>VLOOKUP(E611,'Rental Transaction'!A:B,2,FALSE)</f>
        <v>108708</v>
      </c>
      <c r="I611">
        <f t="shared" si="9"/>
        <v>2013</v>
      </c>
    </row>
    <row r="612" spans="1:9">
      <c r="A612" s="1">
        <v>10103</v>
      </c>
      <c r="B612" s="1">
        <v>6</v>
      </c>
      <c r="C612" s="2">
        <v>41327</v>
      </c>
      <c r="D612" s="1" t="s">
        <v>2002</v>
      </c>
      <c r="E612" s="1">
        <v>100346</v>
      </c>
      <c r="F612" s="6" t="s">
        <v>2614</v>
      </c>
      <c r="G612" s="15" t="str">
        <f>VLOOKUP(A612,Movie!A:D,4,FALSE)</f>
        <v>Fox</v>
      </c>
      <c r="H612" s="14">
        <f>VLOOKUP(E612,'Rental Transaction'!A:B,2,FALSE)</f>
        <v>108708</v>
      </c>
      <c r="I612">
        <f t="shared" si="9"/>
        <v>2013</v>
      </c>
    </row>
    <row r="613" spans="1:9">
      <c r="A613" s="1">
        <v>10160</v>
      </c>
      <c r="B613" s="1">
        <v>3</v>
      </c>
      <c r="C613" s="2">
        <v>41326</v>
      </c>
      <c r="D613" s="1" t="s">
        <v>2002</v>
      </c>
      <c r="E613" s="1">
        <v>100347</v>
      </c>
      <c r="F613" s="6" t="s">
        <v>2615</v>
      </c>
      <c r="G613" s="15" t="str">
        <f>VLOOKUP(A613,Movie!A:D,4,FALSE)</f>
        <v>Lionsgate</v>
      </c>
      <c r="H613" s="14">
        <f>VLOOKUP(E613,'Rental Transaction'!A:B,2,FALSE)</f>
        <v>432113</v>
      </c>
      <c r="I613">
        <f t="shared" si="9"/>
        <v>2013</v>
      </c>
    </row>
    <row r="614" spans="1:9">
      <c r="A614" s="1">
        <v>10041</v>
      </c>
      <c r="B614" s="1">
        <v>5</v>
      </c>
      <c r="C614" s="2">
        <v>41326</v>
      </c>
      <c r="D614" s="1" t="s">
        <v>2002</v>
      </c>
      <c r="E614" s="1">
        <v>100348</v>
      </c>
      <c r="F614" s="6" t="s">
        <v>2616</v>
      </c>
      <c r="G614" s="15" t="str">
        <f>VLOOKUP(A614,Movie!A:D,4,FALSE)</f>
        <v>Lionsgate</v>
      </c>
      <c r="H614" s="14">
        <f>VLOOKUP(E614,'Rental Transaction'!A:B,2,FALSE)</f>
        <v>563500</v>
      </c>
      <c r="I614">
        <f t="shared" si="9"/>
        <v>2013</v>
      </c>
    </row>
    <row r="615" spans="1:9">
      <c r="A615" s="1">
        <v>10206</v>
      </c>
      <c r="B615" s="1">
        <v>6</v>
      </c>
      <c r="C615" s="2">
        <v>41326</v>
      </c>
      <c r="D615" s="1" t="s">
        <v>2002</v>
      </c>
      <c r="E615" s="1">
        <v>100349</v>
      </c>
      <c r="F615" s="6" t="s">
        <v>2617</v>
      </c>
      <c r="G615" s="15" t="str">
        <f>VLOOKUP(A615,Movie!A:D,4,FALSE)</f>
        <v>Fox</v>
      </c>
      <c r="H615" s="14">
        <f>VLOOKUP(E615,'Rental Transaction'!A:B,2,FALSE)</f>
        <v>459243</v>
      </c>
      <c r="I615">
        <f t="shared" si="9"/>
        <v>2013</v>
      </c>
    </row>
    <row r="616" spans="1:9">
      <c r="A616" s="1">
        <v>10267</v>
      </c>
      <c r="B616" s="1">
        <v>8</v>
      </c>
      <c r="C616" s="2">
        <v>41328</v>
      </c>
      <c r="D616" s="1" t="s">
        <v>2002</v>
      </c>
      <c r="E616" s="1">
        <v>100350</v>
      </c>
      <c r="F616" s="6" t="s">
        <v>2618</v>
      </c>
      <c r="G616" s="15" t="str">
        <f>VLOOKUP(A616,Movie!A:D,4,FALSE)</f>
        <v>TriStar</v>
      </c>
      <c r="H616" s="14">
        <f>VLOOKUP(E616,'Rental Transaction'!A:B,2,FALSE)</f>
        <v>701816</v>
      </c>
      <c r="I616">
        <f t="shared" si="9"/>
        <v>2013</v>
      </c>
    </row>
    <row r="617" spans="1:9">
      <c r="A617" s="1">
        <v>10229</v>
      </c>
      <c r="B617" s="1">
        <v>5</v>
      </c>
      <c r="C617" s="2">
        <v>41327</v>
      </c>
      <c r="D617" s="1" t="s">
        <v>2005</v>
      </c>
      <c r="E617" s="1">
        <v>100351</v>
      </c>
      <c r="F617" s="6" t="s">
        <v>2619</v>
      </c>
      <c r="G617" s="15" t="str">
        <f>VLOOKUP(A617,Movie!A:D,4,FALSE)</f>
        <v>TriStar</v>
      </c>
      <c r="H617" s="14">
        <f>VLOOKUP(E617,'Rental Transaction'!A:B,2,FALSE)</f>
        <v>756928</v>
      </c>
      <c r="I617">
        <f t="shared" si="9"/>
        <v>2013</v>
      </c>
    </row>
    <row r="618" spans="1:9">
      <c r="A618" s="1">
        <v>10137</v>
      </c>
      <c r="B618" s="1">
        <v>7</v>
      </c>
      <c r="C618" s="2">
        <v>41327</v>
      </c>
      <c r="D618" s="1" t="s">
        <v>2005</v>
      </c>
      <c r="E618" s="1">
        <v>100351</v>
      </c>
      <c r="F618" s="6" t="s">
        <v>2620</v>
      </c>
      <c r="G618" s="15" t="str">
        <f>VLOOKUP(A618,Movie!A:D,4,FALSE)</f>
        <v>Buena Vista</v>
      </c>
      <c r="H618" s="14">
        <f>VLOOKUP(E618,'Rental Transaction'!A:B,2,FALSE)</f>
        <v>756928</v>
      </c>
      <c r="I618">
        <f t="shared" si="9"/>
        <v>2013</v>
      </c>
    </row>
    <row r="619" spans="1:9" ht="29.25">
      <c r="A619" s="1">
        <v>10140</v>
      </c>
      <c r="B619" s="1">
        <v>5</v>
      </c>
      <c r="C619" s="2">
        <v>41327</v>
      </c>
      <c r="D619" s="1" t="s">
        <v>2005</v>
      </c>
      <c r="E619" s="1">
        <v>100352</v>
      </c>
      <c r="F619" s="6" t="s">
        <v>2621</v>
      </c>
      <c r="G619" s="15" t="str">
        <f>VLOOKUP(A619,Movie!A:D,4,FALSE)</f>
        <v>Weinstein Company</v>
      </c>
      <c r="H619" s="14">
        <f>VLOOKUP(E619,'Rental Transaction'!A:B,2,FALSE)</f>
        <v>866847</v>
      </c>
      <c r="I619">
        <f t="shared" si="9"/>
        <v>2013</v>
      </c>
    </row>
    <row r="620" spans="1:9">
      <c r="A620" s="1">
        <v>10090</v>
      </c>
      <c r="B620" s="1">
        <v>2</v>
      </c>
      <c r="C620" s="2">
        <v>41327</v>
      </c>
      <c r="D620" s="1" t="s">
        <v>2002</v>
      </c>
      <c r="E620" s="1">
        <v>100352</v>
      </c>
      <c r="F620" s="6" t="s">
        <v>2622</v>
      </c>
      <c r="G620" s="15" t="str">
        <f>VLOOKUP(A620,Movie!A:D,4,FALSE)</f>
        <v>Paramount</v>
      </c>
      <c r="H620" s="14">
        <f>VLOOKUP(E620,'Rental Transaction'!A:B,2,FALSE)</f>
        <v>866847</v>
      </c>
      <c r="I620">
        <f t="shared" si="9"/>
        <v>2013</v>
      </c>
    </row>
    <row r="621" spans="1:9">
      <c r="A621" s="1">
        <v>10159</v>
      </c>
      <c r="B621" s="1">
        <v>1</v>
      </c>
      <c r="C621" s="2">
        <v>41327</v>
      </c>
      <c r="D621" s="1" t="s">
        <v>2002</v>
      </c>
      <c r="E621" s="1">
        <v>100353</v>
      </c>
      <c r="F621" s="6" t="s">
        <v>2623</v>
      </c>
      <c r="G621" s="15" t="str">
        <f>VLOOKUP(A621,Movie!A:D,4,FALSE)</f>
        <v>Lionsgate</v>
      </c>
      <c r="H621" s="14">
        <f>VLOOKUP(E621,'Rental Transaction'!A:B,2,FALSE)</f>
        <v>448739</v>
      </c>
      <c r="I621">
        <f t="shared" si="9"/>
        <v>2013</v>
      </c>
    </row>
    <row r="622" spans="1:9">
      <c r="A622" s="1">
        <v>10188</v>
      </c>
      <c r="B622" s="1">
        <v>3</v>
      </c>
      <c r="C622" s="2">
        <v>41327</v>
      </c>
      <c r="D622" s="1" t="s">
        <v>2002</v>
      </c>
      <c r="E622" s="1">
        <v>100353</v>
      </c>
      <c r="F622" s="6" t="s">
        <v>2624</v>
      </c>
      <c r="G622" s="15" t="str">
        <f>VLOOKUP(A622,Movie!A:D,4,FALSE)</f>
        <v>Paramount</v>
      </c>
      <c r="H622" s="14">
        <f>VLOOKUP(E622,'Rental Transaction'!A:B,2,FALSE)</f>
        <v>448739</v>
      </c>
      <c r="I622">
        <f t="shared" si="9"/>
        <v>2013</v>
      </c>
    </row>
    <row r="623" spans="1:9">
      <c r="A623" s="1">
        <v>10295</v>
      </c>
      <c r="B623" s="1">
        <v>4</v>
      </c>
      <c r="C623" s="2">
        <v>41328</v>
      </c>
      <c r="D623" s="1" t="s">
        <v>2005</v>
      </c>
      <c r="E623" s="1">
        <v>100354</v>
      </c>
      <c r="F623" s="6" t="s">
        <v>2625</v>
      </c>
      <c r="G623" s="15" t="str">
        <f>VLOOKUP(A623,Movie!A:D,4,FALSE)</f>
        <v>A24</v>
      </c>
      <c r="H623" s="14">
        <f>VLOOKUP(E623,'Rental Transaction'!A:B,2,FALSE)</f>
        <v>286196</v>
      </c>
      <c r="I623">
        <f t="shared" si="9"/>
        <v>2013</v>
      </c>
    </row>
    <row r="624" spans="1:9">
      <c r="A624" s="1">
        <v>10178</v>
      </c>
      <c r="B624" s="1">
        <v>8</v>
      </c>
      <c r="C624" s="2">
        <v>41328</v>
      </c>
      <c r="D624" s="1" t="s">
        <v>2002</v>
      </c>
      <c r="E624" s="1">
        <v>100354</v>
      </c>
      <c r="F624" s="6" t="s">
        <v>2626</v>
      </c>
      <c r="G624" s="15" t="str">
        <f>VLOOKUP(A624,Movie!A:D,4,FALSE)</f>
        <v>Warner Brothers</v>
      </c>
      <c r="H624" s="14">
        <f>VLOOKUP(E624,'Rental Transaction'!A:B,2,FALSE)</f>
        <v>286196</v>
      </c>
      <c r="I624">
        <f t="shared" si="9"/>
        <v>2013</v>
      </c>
    </row>
    <row r="625" spans="1:9">
      <c r="A625" s="1">
        <v>10092</v>
      </c>
      <c r="B625" s="1">
        <v>6</v>
      </c>
      <c r="C625" s="2">
        <v>41329</v>
      </c>
      <c r="D625" s="1" t="s">
        <v>2002</v>
      </c>
      <c r="E625" s="1">
        <v>100355</v>
      </c>
      <c r="F625" s="6" t="s">
        <v>2627</v>
      </c>
      <c r="G625" s="15" t="str">
        <f>VLOOKUP(A625,Movie!A:D,4,FALSE)</f>
        <v>Warner Brothers</v>
      </c>
      <c r="H625" s="14">
        <f>VLOOKUP(E625,'Rental Transaction'!A:B,2,FALSE)</f>
        <v>250266</v>
      </c>
      <c r="I625">
        <f t="shared" si="9"/>
        <v>2013</v>
      </c>
    </row>
    <row r="626" spans="1:9">
      <c r="A626" s="1">
        <v>10064</v>
      </c>
      <c r="B626" s="1">
        <v>6</v>
      </c>
      <c r="C626" s="2">
        <v>41328</v>
      </c>
      <c r="D626" s="1" t="s">
        <v>2005</v>
      </c>
      <c r="E626" s="1">
        <v>100355</v>
      </c>
      <c r="F626" s="6" t="s">
        <v>2628</v>
      </c>
      <c r="G626" s="15" t="str">
        <f>VLOOKUP(A626,Movie!A:D,4,FALSE)</f>
        <v>Universal</v>
      </c>
      <c r="H626" s="14">
        <f>VLOOKUP(E626,'Rental Transaction'!A:B,2,FALSE)</f>
        <v>250266</v>
      </c>
      <c r="I626">
        <f t="shared" si="9"/>
        <v>2013</v>
      </c>
    </row>
    <row r="627" spans="1:9">
      <c r="A627" s="1">
        <v>10276</v>
      </c>
      <c r="B627" s="1">
        <v>9</v>
      </c>
      <c r="C627" s="2">
        <v>41329</v>
      </c>
      <c r="D627" s="1" t="s">
        <v>2005</v>
      </c>
      <c r="E627" s="1">
        <v>100356</v>
      </c>
      <c r="F627" s="6" t="s">
        <v>2629</v>
      </c>
      <c r="G627" s="15" t="str">
        <f>VLOOKUP(A627,Movie!A:D,4,FALSE)</f>
        <v>FilmDistrict</v>
      </c>
      <c r="H627" s="14">
        <f>VLOOKUP(E627,'Rental Transaction'!A:B,2,FALSE)</f>
        <v>325263</v>
      </c>
      <c r="I627">
        <f t="shared" si="9"/>
        <v>2013</v>
      </c>
    </row>
    <row r="628" spans="1:9">
      <c r="A628" s="1">
        <v>10078</v>
      </c>
      <c r="B628" s="1">
        <v>6</v>
      </c>
      <c r="C628" s="2">
        <v>41330</v>
      </c>
      <c r="D628" s="1" t="s">
        <v>2005</v>
      </c>
      <c r="E628" s="1">
        <v>100357</v>
      </c>
      <c r="F628" s="6" t="s">
        <v>2630</v>
      </c>
      <c r="G628" s="15" t="str">
        <f>VLOOKUP(A628,Movie!A:D,4,FALSE)</f>
        <v>Paramount</v>
      </c>
      <c r="H628" s="14">
        <f>VLOOKUP(E628,'Rental Transaction'!A:B,2,FALSE)</f>
        <v>748326</v>
      </c>
      <c r="I628">
        <f t="shared" si="9"/>
        <v>2013</v>
      </c>
    </row>
    <row r="629" spans="1:9">
      <c r="A629" s="1">
        <v>10024</v>
      </c>
      <c r="B629" s="1">
        <v>6</v>
      </c>
      <c r="C629" s="2">
        <v>41329</v>
      </c>
      <c r="D629" s="1" t="s">
        <v>2002</v>
      </c>
      <c r="E629" s="1">
        <v>100357</v>
      </c>
      <c r="F629" s="6" t="s">
        <v>2631</v>
      </c>
      <c r="G629" s="15" t="str">
        <f>VLOOKUP(A629,Movie!A:D,4,FALSE)</f>
        <v>Fox</v>
      </c>
      <c r="H629" s="14">
        <f>VLOOKUP(E629,'Rental Transaction'!A:B,2,FALSE)</f>
        <v>748326</v>
      </c>
      <c r="I629">
        <f t="shared" si="9"/>
        <v>2013</v>
      </c>
    </row>
    <row r="630" spans="1:9">
      <c r="A630" s="1">
        <v>10014</v>
      </c>
      <c r="B630" s="1">
        <v>9</v>
      </c>
      <c r="C630" s="2">
        <v>41329</v>
      </c>
      <c r="D630" s="1" t="s">
        <v>2002</v>
      </c>
      <c r="E630" s="1">
        <v>100358</v>
      </c>
      <c r="F630" s="6" t="s">
        <v>2632</v>
      </c>
      <c r="G630" s="15" t="str">
        <f>VLOOKUP(A630,Movie!A:D,4,FALSE)</f>
        <v>Warner Brothers</v>
      </c>
      <c r="H630" s="14">
        <f>VLOOKUP(E630,'Rental Transaction'!A:B,2,FALSE)</f>
        <v>479497</v>
      </c>
      <c r="I630">
        <f t="shared" si="9"/>
        <v>2013</v>
      </c>
    </row>
    <row r="631" spans="1:9">
      <c r="A631" s="1">
        <v>10086</v>
      </c>
      <c r="B631" s="1">
        <v>10</v>
      </c>
      <c r="C631" s="2">
        <v>41329</v>
      </c>
      <c r="D631" s="1" t="s">
        <v>2005</v>
      </c>
      <c r="E631" s="1">
        <v>100359</v>
      </c>
      <c r="F631" s="6" t="s">
        <v>2633</v>
      </c>
      <c r="G631" s="15" t="str">
        <f>VLOOKUP(A631,Movie!A:D,4,FALSE)</f>
        <v>Buena Vista</v>
      </c>
      <c r="H631" s="14">
        <f>VLOOKUP(E631,'Rental Transaction'!A:B,2,FALSE)</f>
        <v>154427</v>
      </c>
      <c r="I631">
        <f t="shared" si="9"/>
        <v>2013</v>
      </c>
    </row>
    <row r="632" spans="1:9" ht="29.25">
      <c r="A632" s="1">
        <v>10285</v>
      </c>
      <c r="B632" s="1">
        <v>2</v>
      </c>
      <c r="C632" s="2">
        <v>41329</v>
      </c>
      <c r="D632" s="1" t="s">
        <v>2002</v>
      </c>
      <c r="E632" s="1">
        <v>100359</v>
      </c>
      <c r="F632" s="6" t="s">
        <v>2634</v>
      </c>
      <c r="G632" s="15" t="str">
        <f>VLOOKUP(A632,Movie!A:D,4,FALSE)</f>
        <v>Roadside Attractions</v>
      </c>
      <c r="H632" s="14">
        <f>VLOOKUP(E632,'Rental Transaction'!A:B,2,FALSE)</f>
        <v>154427</v>
      </c>
      <c r="I632">
        <f t="shared" si="9"/>
        <v>2013</v>
      </c>
    </row>
    <row r="633" spans="1:9">
      <c r="A633" s="1">
        <v>10046</v>
      </c>
      <c r="B633" s="1">
        <v>8</v>
      </c>
      <c r="C633" s="2">
        <v>41331</v>
      </c>
      <c r="D633" s="1" t="s">
        <v>2002</v>
      </c>
      <c r="E633" s="1">
        <v>100359</v>
      </c>
      <c r="F633" s="6" t="s">
        <v>2635</v>
      </c>
      <c r="G633" s="15" t="str">
        <f>VLOOKUP(A633,Movie!A:D,4,FALSE)</f>
        <v>Sony</v>
      </c>
      <c r="H633" s="14">
        <f>VLOOKUP(E633,'Rental Transaction'!A:B,2,FALSE)</f>
        <v>154427</v>
      </c>
      <c r="I633">
        <f t="shared" si="9"/>
        <v>2013</v>
      </c>
    </row>
    <row r="634" spans="1:9">
      <c r="A634" s="1">
        <v>10223</v>
      </c>
      <c r="B634" s="1">
        <v>10</v>
      </c>
      <c r="C634" s="2">
        <v>41329</v>
      </c>
      <c r="D634" s="1" t="s">
        <v>2005</v>
      </c>
      <c r="E634" s="1">
        <v>100360</v>
      </c>
      <c r="F634" s="6" t="s">
        <v>2636</v>
      </c>
      <c r="G634" s="15" t="str">
        <f>VLOOKUP(A634,Movie!A:D,4,FALSE)</f>
        <v>Universal</v>
      </c>
      <c r="H634" s="14">
        <f>VLOOKUP(E634,'Rental Transaction'!A:B,2,FALSE)</f>
        <v>841831</v>
      </c>
      <c r="I634">
        <f t="shared" si="9"/>
        <v>2013</v>
      </c>
    </row>
    <row r="635" spans="1:9">
      <c r="A635" s="1">
        <v>10218</v>
      </c>
      <c r="B635" s="1">
        <v>7</v>
      </c>
      <c r="C635" s="2">
        <v>41330</v>
      </c>
      <c r="D635" s="1" t="s">
        <v>2005</v>
      </c>
      <c r="E635" s="1">
        <v>100361</v>
      </c>
      <c r="F635" s="6" t="s">
        <v>2637</v>
      </c>
      <c r="G635" s="15" t="str">
        <f>VLOOKUP(A635,Movie!A:D,4,FALSE)</f>
        <v>Sony</v>
      </c>
      <c r="H635" s="14">
        <f>VLOOKUP(E635,'Rental Transaction'!A:B,2,FALSE)</f>
        <v>765237</v>
      </c>
      <c r="I635">
        <f t="shared" si="9"/>
        <v>2013</v>
      </c>
    </row>
    <row r="636" spans="1:9">
      <c r="A636" s="1">
        <v>10049</v>
      </c>
      <c r="B636" s="1">
        <v>6</v>
      </c>
      <c r="C636" s="2">
        <v>41330</v>
      </c>
      <c r="D636" s="1" t="s">
        <v>2002</v>
      </c>
      <c r="E636" s="1">
        <v>100361</v>
      </c>
      <c r="F636" s="6" t="s">
        <v>2638</v>
      </c>
      <c r="G636" s="15" t="str">
        <f>VLOOKUP(A636,Movie!A:D,4,FALSE)</f>
        <v>Universal</v>
      </c>
      <c r="H636" s="14">
        <f>VLOOKUP(E636,'Rental Transaction'!A:B,2,FALSE)</f>
        <v>765237</v>
      </c>
      <c r="I636">
        <f t="shared" si="9"/>
        <v>2013</v>
      </c>
    </row>
    <row r="637" spans="1:9">
      <c r="A637" s="1">
        <v>10120</v>
      </c>
      <c r="B637" s="1">
        <v>2</v>
      </c>
      <c r="C637" s="2">
        <v>41330</v>
      </c>
      <c r="D637" s="1" t="s">
        <v>2005</v>
      </c>
      <c r="E637" s="1">
        <v>100362</v>
      </c>
      <c r="F637" s="6" t="s">
        <v>2639</v>
      </c>
      <c r="G637" s="15" t="str">
        <f>VLOOKUP(A637,Movie!A:D,4,FALSE)</f>
        <v>Focus</v>
      </c>
      <c r="H637" s="14">
        <f>VLOOKUP(E637,'Rental Transaction'!A:B,2,FALSE)</f>
        <v>203787</v>
      </c>
      <c r="I637">
        <f t="shared" si="9"/>
        <v>2013</v>
      </c>
    </row>
    <row r="638" spans="1:9">
      <c r="A638" s="1">
        <v>10104</v>
      </c>
      <c r="B638" s="1">
        <v>7</v>
      </c>
      <c r="C638" s="2">
        <v>41330</v>
      </c>
      <c r="D638" s="1" t="s">
        <v>2002</v>
      </c>
      <c r="E638" s="1">
        <v>100362</v>
      </c>
      <c r="F638" s="6" t="s">
        <v>2640</v>
      </c>
      <c r="G638" s="15" t="str">
        <f>VLOOKUP(A638,Movie!A:D,4,FALSE)</f>
        <v>Universal</v>
      </c>
      <c r="H638" s="14">
        <f>VLOOKUP(E638,'Rental Transaction'!A:B,2,FALSE)</f>
        <v>203787</v>
      </c>
      <c r="I638">
        <f t="shared" si="9"/>
        <v>2013</v>
      </c>
    </row>
    <row r="639" spans="1:9">
      <c r="A639" s="1">
        <v>10078</v>
      </c>
      <c r="B639" s="1">
        <v>9</v>
      </c>
      <c r="C639" s="2">
        <v>41330</v>
      </c>
      <c r="D639" s="1" t="s">
        <v>2005</v>
      </c>
      <c r="E639" s="1">
        <v>100362</v>
      </c>
      <c r="F639" s="6" t="s">
        <v>2641</v>
      </c>
      <c r="G639" s="15" t="str">
        <f>VLOOKUP(A639,Movie!A:D,4,FALSE)</f>
        <v>Paramount</v>
      </c>
      <c r="H639" s="14">
        <f>VLOOKUP(E639,'Rental Transaction'!A:B,2,FALSE)</f>
        <v>203787</v>
      </c>
      <c r="I639">
        <f t="shared" si="9"/>
        <v>2013</v>
      </c>
    </row>
    <row r="640" spans="1:9">
      <c r="A640" s="1">
        <v>10288</v>
      </c>
      <c r="B640" s="1">
        <v>8</v>
      </c>
      <c r="C640" s="2">
        <v>41330</v>
      </c>
      <c r="D640" s="1" t="s">
        <v>2002</v>
      </c>
      <c r="E640" s="1">
        <v>100363</v>
      </c>
      <c r="F640" s="6" t="s">
        <v>2642</v>
      </c>
      <c r="G640" s="15" t="str">
        <f>VLOOKUP(A640,Movie!A:D,4,FALSE)</f>
        <v>Relativity</v>
      </c>
      <c r="H640" s="14">
        <f>VLOOKUP(E640,'Rental Transaction'!A:B,2,FALSE)</f>
        <v>193968</v>
      </c>
      <c r="I640">
        <f t="shared" si="9"/>
        <v>2013</v>
      </c>
    </row>
    <row r="641" spans="1:9">
      <c r="A641" s="1">
        <v>10277</v>
      </c>
      <c r="B641" s="1">
        <v>9</v>
      </c>
      <c r="C641" s="2">
        <v>41330</v>
      </c>
      <c r="D641" s="1" t="s">
        <v>2002</v>
      </c>
      <c r="E641" s="1">
        <v>100363</v>
      </c>
      <c r="F641" s="6" t="s">
        <v>2643</v>
      </c>
      <c r="G641" s="15" t="str">
        <f>VLOOKUP(A641,Movie!A:D,4,FALSE)</f>
        <v>Universal</v>
      </c>
      <c r="H641" s="14">
        <f>VLOOKUP(E641,'Rental Transaction'!A:B,2,FALSE)</f>
        <v>193968</v>
      </c>
      <c r="I641">
        <f t="shared" si="9"/>
        <v>2013</v>
      </c>
    </row>
    <row r="642" spans="1:9">
      <c r="A642" s="1">
        <v>10106</v>
      </c>
      <c r="B642" s="1">
        <v>6</v>
      </c>
      <c r="C642" s="2">
        <v>41331</v>
      </c>
      <c r="D642" s="1" t="s">
        <v>2005</v>
      </c>
      <c r="E642" s="1">
        <v>100364</v>
      </c>
      <c r="F642" s="6" t="s">
        <v>2644</v>
      </c>
      <c r="G642" s="15" t="str">
        <f>VLOOKUP(A642,Movie!A:D,4,FALSE)</f>
        <v>Fox</v>
      </c>
      <c r="H642" s="14">
        <f>VLOOKUP(E642,'Rental Transaction'!A:B,2,FALSE)</f>
        <v>846558</v>
      </c>
      <c r="I642">
        <f t="shared" si="9"/>
        <v>2013</v>
      </c>
    </row>
    <row r="643" spans="1:9">
      <c r="A643" s="1">
        <v>10085</v>
      </c>
      <c r="B643" s="1">
        <v>4</v>
      </c>
      <c r="C643" s="2">
        <v>41330</v>
      </c>
      <c r="D643" s="1" t="s">
        <v>2002</v>
      </c>
      <c r="E643" s="1">
        <v>100364</v>
      </c>
      <c r="F643" s="6" t="s">
        <v>2645</v>
      </c>
      <c r="G643" s="15" t="str">
        <f>VLOOKUP(A643,Movie!A:D,4,FALSE)</f>
        <v>Buena Vista</v>
      </c>
      <c r="H643" s="14">
        <f>VLOOKUP(E643,'Rental Transaction'!A:B,2,FALSE)</f>
        <v>846558</v>
      </c>
      <c r="I643">
        <f t="shared" ref="I643:I706" si="10">YEAR(C643)</f>
        <v>2013</v>
      </c>
    </row>
    <row r="644" spans="1:9">
      <c r="A644" s="1">
        <v>10065</v>
      </c>
      <c r="B644" s="1">
        <v>2</v>
      </c>
      <c r="C644" s="2">
        <v>41332</v>
      </c>
      <c r="D644" s="1" t="s">
        <v>2002</v>
      </c>
      <c r="E644" s="1">
        <v>100365</v>
      </c>
      <c r="F644" s="6" t="s">
        <v>2646</v>
      </c>
      <c r="G644" s="15" t="str">
        <f>VLOOKUP(A644,Movie!A:D,4,FALSE)</f>
        <v>Warner Brothers</v>
      </c>
      <c r="H644" s="14">
        <f>VLOOKUP(E644,'Rental Transaction'!A:B,2,FALSE)</f>
        <v>534481</v>
      </c>
      <c r="I644">
        <f t="shared" si="10"/>
        <v>2013</v>
      </c>
    </row>
    <row r="645" spans="1:9">
      <c r="A645" s="1">
        <v>10215</v>
      </c>
      <c r="B645" s="1">
        <v>9</v>
      </c>
      <c r="C645" s="2">
        <v>41330</v>
      </c>
      <c r="D645" s="1" t="s">
        <v>2002</v>
      </c>
      <c r="E645" s="1">
        <v>100365</v>
      </c>
      <c r="F645" s="6" t="s">
        <v>2647</v>
      </c>
      <c r="G645" s="15" t="str">
        <f>VLOOKUP(A645,Movie!A:D,4,FALSE)</f>
        <v>Paramount</v>
      </c>
      <c r="H645" s="14">
        <f>VLOOKUP(E645,'Rental Transaction'!A:B,2,FALSE)</f>
        <v>534481</v>
      </c>
      <c r="I645">
        <f t="shared" si="10"/>
        <v>2013</v>
      </c>
    </row>
    <row r="646" spans="1:9">
      <c r="A646" s="1">
        <v>10293</v>
      </c>
      <c r="B646" s="1">
        <v>5</v>
      </c>
      <c r="C646" s="2">
        <v>41330</v>
      </c>
      <c r="D646" s="1" t="s">
        <v>2005</v>
      </c>
      <c r="E646" s="1">
        <v>100365</v>
      </c>
      <c r="F646" s="6" t="s">
        <v>2648</v>
      </c>
      <c r="G646" s="15" t="str">
        <f>VLOOKUP(A646,Movie!A:D,4,FALSE)</f>
        <v>Relativity</v>
      </c>
      <c r="H646" s="14">
        <f>VLOOKUP(E646,'Rental Transaction'!A:B,2,FALSE)</f>
        <v>534481</v>
      </c>
      <c r="I646">
        <f t="shared" si="10"/>
        <v>2013</v>
      </c>
    </row>
    <row r="647" spans="1:9">
      <c r="A647" s="1">
        <v>10070</v>
      </c>
      <c r="B647" s="1">
        <v>5</v>
      </c>
      <c r="C647" s="2">
        <v>41332</v>
      </c>
      <c r="D647" s="1" t="s">
        <v>2002</v>
      </c>
      <c r="E647" s="1">
        <v>100365</v>
      </c>
      <c r="F647" s="6" t="s">
        <v>2649</v>
      </c>
      <c r="G647" s="15" t="str">
        <f>VLOOKUP(A647,Movie!A:D,4,FALSE)</f>
        <v>Paramount</v>
      </c>
      <c r="H647" s="14">
        <f>VLOOKUP(E647,'Rental Transaction'!A:B,2,FALSE)</f>
        <v>534481</v>
      </c>
      <c r="I647">
        <f t="shared" si="10"/>
        <v>2013</v>
      </c>
    </row>
    <row r="648" spans="1:9">
      <c r="A648" s="1">
        <v>10039</v>
      </c>
      <c r="B648" s="1">
        <v>9</v>
      </c>
      <c r="C648" s="2">
        <v>41331</v>
      </c>
      <c r="D648" s="1" t="s">
        <v>2002</v>
      </c>
      <c r="E648" s="1">
        <v>100366</v>
      </c>
      <c r="F648" s="6" t="s">
        <v>2650</v>
      </c>
      <c r="G648" s="15" t="str">
        <f>VLOOKUP(A648,Movie!A:D,4,FALSE)</f>
        <v>Open Road Films</v>
      </c>
      <c r="H648" s="14">
        <f>VLOOKUP(E648,'Rental Transaction'!A:B,2,FALSE)</f>
        <v>175940</v>
      </c>
      <c r="I648">
        <f t="shared" si="10"/>
        <v>2013</v>
      </c>
    </row>
    <row r="649" spans="1:9" ht="29.25">
      <c r="A649" s="1">
        <v>10264</v>
      </c>
      <c r="B649" s="1">
        <v>8</v>
      </c>
      <c r="C649" s="2">
        <v>41331</v>
      </c>
      <c r="D649" s="1" t="s">
        <v>2002</v>
      </c>
      <c r="E649" s="1">
        <v>100366</v>
      </c>
      <c r="F649" s="6" t="s">
        <v>2651</v>
      </c>
      <c r="G649" s="15" t="str">
        <f>VLOOKUP(A649,Movie!A:D,4,FALSE)</f>
        <v>Weinstein Company</v>
      </c>
      <c r="H649" s="14">
        <f>VLOOKUP(E649,'Rental Transaction'!A:B,2,FALSE)</f>
        <v>175940</v>
      </c>
      <c r="I649">
        <f t="shared" si="10"/>
        <v>2013</v>
      </c>
    </row>
    <row r="650" spans="1:9">
      <c r="A650" s="1">
        <v>10232</v>
      </c>
      <c r="B650" s="1">
        <v>10</v>
      </c>
      <c r="C650" s="2">
        <v>41331</v>
      </c>
      <c r="D650" s="1" t="s">
        <v>2002</v>
      </c>
      <c r="E650" s="1">
        <v>100366</v>
      </c>
      <c r="F650" s="6" t="s">
        <v>2652</v>
      </c>
      <c r="G650" s="15" t="str">
        <f>VLOOKUP(A650,Movie!A:D,4,FALSE)</f>
        <v>Paramount</v>
      </c>
      <c r="H650" s="14">
        <f>VLOOKUP(E650,'Rental Transaction'!A:B,2,FALSE)</f>
        <v>175940</v>
      </c>
      <c r="I650">
        <f t="shared" si="10"/>
        <v>2013</v>
      </c>
    </row>
    <row r="651" spans="1:9">
      <c r="A651" s="1">
        <v>10299</v>
      </c>
      <c r="B651" s="1">
        <v>6</v>
      </c>
      <c r="C651" s="2">
        <v>41335</v>
      </c>
      <c r="D651" s="1" t="s">
        <v>2005</v>
      </c>
      <c r="E651" s="1">
        <v>100367</v>
      </c>
      <c r="F651" s="6" t="s">
        <v>2653</v>
      </c>
      <c r="G651" s="15" t="str">
        <f>VLOOKUP(A651,Movie!A:D,4,FALSE)</f>
        <v>Radius-TWC</v>
      </c>
      <c r="H651" s="14">
        <f>VLOOKUP(E651,'Rental Transaction'!A:B,2,FALSE)</f>
        <v>757525</v>
      </c>
      <c r="I651">
        <f t="shared" si="10"/>
        <v>2013</v>
      </c>
    </row>
    <row r="652" spans="1:9">
      <c r="A652" s="1">
        <v>10092</v>
      </c>
      <c r="B652" s="1">
        <v>10</v>
      </c>
      <c r="C652" s="2">
        <v>41331</v>
      </c>
      <c r="D652" s="1" t="s">
        <v>2002</v>
      </c>
      <c r="E652" s="1">
        <v>100368</v>
      </c>
      <c r="F652" s="6" t="s">
        <v>2654</v>
      </c>
      <c r="G652" s="15" t="str">
        <f>VLOOKUP(A652,Movie!A:D,4,FALSE)</f>
        <v>Warner Brothers</v>
      </c>
      <c r="H652" s="14">
        <f>VLOOKUP(E652,'Rental Transaction'!A:B,2,FALSE)</f>
        <v>566192</v>
      </c>
      <c r="I652">
        <f t="shared" si="10"/>
        <v>2013</v>
      </c>
    </row>
    <row r="653" spans="1:9" ht="29.25">
      <c r="A653" s="1">
        <v>10249</v>
      </c>
      <c r="B653" s="1">
        <v>8</v>
      </c>
      <c r="C653" s="2">
        <v>41331</v>
      </c>
      <c r="D653" s="1" t="s">
        <v>2002</v>
      </c>
      <c r="E653" s="1">
        <v>100369</v>
      </c>
      <c r="F653" s="6" t="s">
        <v>2655</v>
      </c>
      <c r="G653" s="15" t="str">
        <f>VLOOKUP(A653,Movie!A:D,4,FALSE)</f>
        <v>Summit Entertainment</v>
      </c>
      <c r="H653" s="14">
        <f>VLOOKUP(E653,'Rental Transaction'!A:B,2,FALSE)</f>
        <v>850952</v>
      </c>
      <c r="I653">
        <f t="shared" si="10"/>
        <v>2013</v>
      </c>
    </row>
    <row r="654" spans="1:9">
      <c r="A654" s="1">
        <v>10064</v>
      </c>
      <c r="B654" s="1">
        <v>3</v>
      </c>
      <c r="C654" s="2">
        <v>41331</v>
      </c>
      <c r="D654" s="1" t="s">
        <v>2002</v>
      </c>
      <c r="E654" s="1">
        <v>100370</v>
      </c>
      <c r="F654" s="6" t="s">
        <v>2656</v>
      </c>
      <c r="G654" s="15" t="str">
        <f>VLOOKUP(A654,Movie!A:D,4,FALSE)</f>
        <v>Universal</v>
      </c>
      <c r="H654" s="14">
        <f>VLOOKUP(E654,'Rental Transaction'!A:B,2,FALSE)</f>
        <v>275152</v>
      </c>
      <c r="I654">
        <f t="shared" si="10"/>
        <v>2013</v>
      </c>
    </row>
    <row r="655" spans="1:9">
      <c r="A655" s="1">
        <v>10270</v>
      </c>
      <c r="B655" s="1">
        <v>6</v>
      </c>
      <c r="C655" s="2">
        <v>41332</v>
      </c>
      <c r="D655" s="1" t="s">
        <v>2002</v>
      </c>
      <c r="E655" s="1">
        <v>100371</v>
      </c>
      <c r="F655" s="6" t="s">
        <v>2657</v>
      </c>
      <c r="G655" s="15" t="str">
        <f>VLOOKUP(A655,Movie!A:D,4,FALSE)</f>
        <v>Fox</v>
      </c>
      <c r="H655" s="14">
        <f>VLOOKUP(E655,'Rental Transaction'!A:B,2,FALSE)</f>
        <v>448739</v>
      </c>
      <c r="I655">
        <f t="shared" si="10"/>
        <v>2013</v>
      </c>
    </row>
    <row r="656" spans="1:9">
      <c r="A656" s="1">
        <v>10005</v>
      </c>
      <c r="B656" s="1">
        <v>4</v>
      </c>
      <c r="C656" s="2">
        <v>41332</v>
      </c>
      <c r="D656" s="1" t="s">
        <v>2002</v>
      </c>
      <c r="E656" s="1">
        <v>100372</v>
      </c>
      <c r="F656" s="6" t="s">
        <v>2658</v>
      </c>
      <c r="G656" s="15" t="str">
        <f>VLOOKUP(A656,Movie!A:D,4,FALSE)</f>
        <v>Buena Vista</v>
      </c>
      <c r="H656" s="14">
        <f>VLOOKUP(E656,'Rental Transaction'!A:B,2,FALSE)</f>
        <v>537860</v>
      </c>
      <c r="I656">
        <f t="shared" si="10"/>
        <v>2013</v>
      </c>
    </row>
    <row r="657" spans="1:9">
      <c r="A657" s="1">
        <v>10033</v>
      </c>
      <c r="B657" s="1">
        <v>7</v>
      </c>
      <c r="C657" s="2">
        <v>41332</v>
      </c>
      <c r="D657" s="1" t="s">
        <v>2005</v>
      </c>
      <c r="E657" s="1">
        <v>100372</v>
      </c>
      <c r="F657" s="6" t="s">
        <v>2659</v>
      </c>
      <c r="G657" s="15" t="str">
        <f>VLOOKUP(A657,Movie!A:D,4,FALSE)</f>
        <v>Lionsgate</v>
      </c>
      <c r="H657" s="14">
        <f>VLOOKUP(E657,'Rental Transaction'!A:B,2,FALSE)</f>
        <v>537860</v>
      </c>
      <c r="I657">
        <f t="shared" si="10"/>
        <v>2013</v>
      </c>
    </row>
    <row r="658" spans="1:9">
      <c r="A658" s="1">
        <v>10226</v>
      </c>
      <c r="B658" s="1">
        <v>4</v>
      </c>
      <c r="C658" s="2">
        <v>41333</v>
      </c>
      <c r="D658" s="1" t="s">
        <v>2002</v>
      </c>
      <c r="E658" s="1">
        <v>100373</v>
      </c>
      <c r="F658" s="6" t="s">
        <v>2660</v>
      </c>
      <c r="G658" s="15" t="str">
        <f>VLOOKUP(A658,Movie!A:D,4,FALSE)</f>
        <v>Sony</v>
      </c>
      <c r="H658" s="14">
        <f>VLOOKUP(E658,'Rental Transaction'!A:B,2,FALSE)</f>
        <v>418635</v>
      </c>
      <c r="I658">
        <f t="shared" si="10"/>
        <v>2013</v>
      </c>
    </row>
    <row r="659" spans="1:9" ht="29.25">
      <c r="A659" s="1">
        <v>10285</v>
      </c>
      <c r="B659" s="1">
        <v>10</v>
      </c>
      <c r="C659" s="2">
        <v>41333</v>
      </c>
      <c r="D659" s="1" t="s">
        <v>2002</v>
      </c>
      <c r="E659" s="1">
        <v>100373</v>
      </c>
      <c r="F659" s="6" t="s">
        <v>2661</v>
      </c>
      <c r="G659" s="15" t="str">
        <f>VLOOKUP(A659,Movie!A:D,4,FALSE)</f>
        <v>Roadside Attractions</v>
      </c>
      <c r="H659" s="14">
        <f>VLOOKUP(E659,'Rental Transaction'!A:B,2,FALSE)</f>
        <v>418635</v>
      </c>
      <c r="I659">
        <f t="shared" si="10"/>
        <v>2013</v>
      </c>
    </row>
    <row r="660" spans="1:9">
      <c r="A660" s="1">
        <v>10228</v>
      </c>
      <c r="B660" s="1">
        <v>3</v>
      </c>
      <c r="C660" s="2">
        <v>41333</v>
      </c>
      <c r="D660" s="1" t="s">
        <v>2002</v>
      </c>
      <c r="E660" s="1">
        <v>100373</v>
      </c>
      <c r="F660" s="6" t="s">
        <v>2662</v>
      </c>
      <c r="G660" s="15" t="str">
        <f>VLOOKUP(A660,Movie!A:D,4,FALSE)</f>
        <v>Universal</v>
      </c>
      <c r="H660" s="14">
        <f>VLOOKUP(E660,'Rental Transaction'!A:B,2,FALSE)</f>
        <v>418635</v>
      </c>
      <c r="I660">
        <f t="shared" si="10"/>
        <v>2013</v>
      </c>
    </row>
    <row r="661" spans="1:9">
      <c r="A661" s="1">
        <v>10009</v>
      </c>
      <c r="B661" s="1">
        <v>3</v>
      </c>
      <c r="C661" s="2">
        <v>41335</v>
      </c>
      <c r="D661" s="1" t="s">
        <v>2002</v>
      </c>
      <c r="E661" s="1">
        <v>100374</v>
      </c>
      <c r="F661" s="6" t="s">
        <v>2663</v>
      </c>
      <c r="G661" s="15" t="str">
        <f>VLOOKUP(A661,Movie!A:D,4,FALSE)</f>
        <v>Warner Brothers</v>
      </c>
      <c r="H661" s="14">
        <f>VLOOKUP(E661,'Rental Transaction'!A:B,2,FALSE)</f>
        <v>498153</v>
      </c>
      <c r="I661">
        <f t="shared" si="10"/>
        <v>2013</v>
      </c>
    </row>
    <row r="662" spans="1:9">
      <c r="A662" s="1">
        <v>10039</v>
      </c>
      <c r="B662" s="1">
        <v>10</v>
      </c>
      <c r="C662" s="2">
        <v>41334</v>
      </c>
      <c r="D662" s="1" t="s">
        <v>2005</v>
      </c>
      <c r="E662" s="1">
        <v>100374</v>
      </c>
      <c r="F662" s="6" t="s">
        <v>2664</v>
      </c>
      <c r="G662" s="15" t="str">
        <f>VLOOKUP(A662,Movie!A:D,4,FALSE)</f>
        <v>Open Road Films</v>
      </c>
      <c r="H662" s="14">
        <f>VLOOKUP(E662,'Rental Transaction'!A:B,2,FALSE)</f>
        <v>498153</v>
      </c>
      <c r="I662">
        <f t="shared" si="10"/>
        <v>2013</v>
      </c>
    </row>
    <row r="663" spans="1:9">
      <c r="A663" s="1">
        <v>10193</v>
      </c>
      <c r="B663" s="1">
        <v>6</v>
      </c>
      <c r="C663" s="2">
        <v>41333</v>
      </c>
      <c r="D663" s="1" t="s">
        <v>2002</v>
      </c>
      <c r="E663" s="1">
        <v>100374</v>
      </c>
      <c r="F663" s="6" t="s">
        <v>2665</v>
      </c>
      <c r="G663" s="15" t="str">
        <f>VLOOKUP(A663,Movie!A:D,4,FALSE)</f>
        <v>Fox</v>
      </c>
      <c r="H663" s="14">
        <f>VLOOKUP(E663,'Rental Transaction'!A:B,2,FALSE)</f>
        <v>498153</v>
      </c>
      <c r="I663">
        <f t="shared" si="10"/>
        <v>2013</v>
      </c>
    </row>
    <row r="664" spans="1:9">
      <c r="A664" s="1">
        <v>10289</v>
      </c>
      <c r="B664" s="1">
        <v>10</v>
      </c>
      <c r="C664" s="2">
        <v>41334</v>
      </c>
      <c r="D664" s="1" t="s">
        <v>2005</v>
      </c>
      <c r="E664" s="1">
        <v>100375</v>
      </c>
      <c r="F664" s="6" t="s">
        <v>2666</v>
      </c>
      <c r="G664" s="15" t="str">
        <f>VLOOKUP(A664,Movie!A:D,4,FALSE)</f>
        <v>Open Road Films</v>
      </c>
      <c r="H664" s="14">
        <f>VLOOKUP(E664,'Rental Transaction'!A:B,2,FALSE)</f>
        <v>841831</v>
      </c>
      <c r="I664">
        <f t="shared" si="10"/>
        <v>2013</v>
      </c>
    </row>
    <row r="665" spans="1:9">
      <c r="A665" s="1">
        <v>10163</v>
      </c>
      <c r="B665" s="1">
        <v>10</v>
      </c>
      <c r="C665" s="2">
        <v>41334</v>
      </c>
      <c r="D665" s="1" t="s">
        <v>2002</v>
      </c>
      <c r="E665" s="1">
        <v>100375</v>
      </c>
      <c r="F665" s="6" t="s">
        <v>2667</v>
      </c>
      <c r="G665" s="15" t="str">
        <f>VLOOKUP(A665,Movie!A:D,4,FALSE)</f>
        <v>Warner Brothers</v>
      </c>
      <c r="H665" s="14">
        <f>VLOOKUP(E665,'Rental Transaction'!A:B,2,FALSE)</f>
        <v>841831</v>
      </c>
      <c r="I665">
        <f t="shared" si="10"/>
        <v>2013</v>
      </c>
    </row>
    <row r="666" spans="1:9">
      <c r="A666" s="1">
        <v>10098</v>
      </c>
      <c r="B666" s="1">
        <v>7</v>
      </c>
      <c r="C666" s="2">
        <v>41333</v>
      </c>
      <c r="D666" s="1" t="s">
        <v>2005</v>
      </c>
      <c r="E666" s="1">
        <v>100376</v>
      </c>
      <c r="F666" s="6" t="s">
        <v>2668</v>
      </c>
      <c r="G666" s="15" t="str">
        <f>VLOOKUP(A666,Movie!A:D,4,FALSE)</f>
        <v>Warner Brothers</v>
      </c>
      <c r="H666" s="14">
        <f>VLOOKUP(E666,'Rental Transaction'!A:B,2,FALSE)</f>
        <v>230602</v>
      </c>
      <c r="I666">
        <f t="shared" si="10"/>
        <v>2013</v>
      </c>
    </row>
    <row r="667" spans="1:9">
      <c r="A667" s="1">
        <v>10114</v>
      </c>
      <c r="B667" s="1">
        <v>2</v>
      </c>
      <c r="C667" s="2">
        <v>41335</v>
      </c>
      <c r="D667" s="1" t="s">
        <v>2002</v>
      </c>
      <c r="E667" s="1">
        <v>100377</v>
      </c>
      <c r="F667" s="6" t="s">
        <v>2669</v>
      </c>
      <c r="G667" s="15" t="str">
        <f>VLOOKUP(A667,Movie!A:D,4,FALSE)</f>
        <v>Lionsgate</v>
      </c>
      <c r="H667" s="14">
        <f>VLOOKUP(E667,'Rental Transaction'!A:B,2,FALSE)</f>
        <v>161942</v>
      </c>
      <c r="I667">
        <f t="shared" si="10"/>
        <v>2013</v>
      </c>
    </row>
    <row r="668" spans="1:9">
      <c r="A668" s="1">
        <v>10143</v>
      </c>
      <c r="B668" s="1">
        <v>3</v>
      </c>
      <c r="C668" s="2">
        <v>41335</v>
      </c>
      <c r="D668" s="1" t="s">
        <v>2002</v>
      </c>
      <c r="E668" s="1">
        <v>100377</v>
      </c>
      <c r="F668" s="6" t="s">
        <v>2670</v>
      </c>
      <c r="G668" s="15" t="str">
        <f>VLOOKUP(A668,Movie!A:D,4,FALSE)</f>
        <v>Buena Vista</v>
      </c>
      <c r="H668" s="14">
        <f>VLOOKUP(E668,'Rental Transaction'!A:B,2,FALSE)</f>
        <v>161942</v>
      </c>
      <c r="I668">
        <f t="shared" si="10"/>
        <v>2013</v>
      </c>
    </row>
    <row r="669" spans="1:9">
      <c r="A669" s="1">
        <v>10112</v>
      </c>
      <c r="B669" s="1">
        <v>2</v>
      </c>
      <c r="C669" s="2">
        <v>41334</v>
      </c>
      <c r="D669" s="1" t="s">
        <v>2005</v>
      </c>
      <c r="E669" s="1">
        <v>100378</v>
      </c>
      <c r="F669" s="6" t="s">
        <v>2671</v>
      </c>
      <c r="G669" s="15" t="str">
        <f>VLOOKUP(A669,Movie!A:D,4,FALSE)</f>
        <v>Relativity</v>
      </c>
      <c r="H669" s="14">
        <f>VLOOKUP(E669,'Rental Transaction'!A:B,2,FALSE)</f>
        <v>796796</v>
      </c>
      <c r="I669">
        <f t="shared" si="10"/>
        <v>2013</v>
      </c>
    </row>
    <row r="670" spans="1:9">
      <c r="A670" s="1">
        <v>10094</v>
      </c>
      <c r="B670" s="1">
        <v>4</v>
      </c>
      <c r="C670" s="2">
        <v>41334</v>
      </c>
      <c r="D670" s="1" t="s">
        <v>2002</v>
      </c>
      <c r="E670" s="1">
        <v>100378</v>
      </c>
      <c r="F670" s="6" t="s">
        <v>2672</v>
      </c>
      <c r="G670" s="15" t="str">
        <f>VLOOKUP(A670,Movie!A:D,4,FALSE)</f>
        <v>Relativity</v>
      </c>
      <c r="H670" s="14">
        <f>VLOOKUP(E670,'Rental Transaction'!A:B,2,FALSE)</f>
        <v>796796</v>
      </c>
      <c r="I670">
        <f t="shared" si="10"/>
        <v>2013</v>
      </c>
    </row>
    <row r="671" spans="1:9">
      <c r="A671" s="1">
        <v>10280</v>
      </c>
      <c r="B671" s="1">
        <v>9</v>
      </c>
      <c r="C671" s="2">
        <v>41335</v>
      </c>
      <c r="D671" s="1" t="s">
        <v>2002</v>
      </c>
      <c r="E671" s="1">
        <v>100379</v>
      </c>
      <c r="F671" s="6" t="s">
        <v>2673</v>
      </c>
      <c r="G671" s="15" t="str">
        <f>VLOOKUP(A671,Movie!A:D,4,FALSE)</f>
        <v>Universal</v>
      </c>
      <c r="H671" s="14">
        <f>VLOOKUP(E671,'Rental Transaction'!A:B,2,FALSE)</f>
        <v>122818</v>
      </c>
      <c r="I671">
        <f t="shared" si="10"/>
        <v>2013</v>
      </c>
    </row>
    <row r="672" spans="1:9">
      <c r="A672" s="1">
        <v>10111</v>
      </c>
      <c r="B672" s="1">
        <v>10</v>
      </c>
      <c r="C672" s="2">
        <v>41334</v>
      </c>
      <c r="D672" s="1" t="s">
        <v>2002</v>
      </c>
      <c r="E672" s="1">
        <v>100379</v>
      </c>
      <c r="F672" s="6" t="s">
        <v>2674</v>
      </c>
      <c r="G672" s="15" t="str">
        <f>VLOOKUP(A672,Movie!A:D,4,FALSE)</f>
        <v>Fox</v>
      </c>
      <c r="H672" s="14">
        <f>VLOOKUP(E672,'Rental Transaction'!A:B,2,FALSE)</f>
        <v>122818</v>
      </c>
      <c r="I672">
        <f t="shared" si="10"/>
        <v>2013</v>
      </c>
    </row>
    <row r="673" spans="1:9">
      <c r="A673" s="1">
        <v>10066</v>
      </c>
      <c r="B673" s="1">
        <v>3</v>
      </c>
      <c r="C673" s="2">
        <v>41335</v>
      </c>
      <c r="D673" s="1" t="s">
        <v>2005</v>
      </c>
      <c r="E673" s="1">
        <v>100380</v>
      </c>
      <c r="F673" s="6" t="s">
        <v>2675</v>
      </c>
      <c r="G673" s="15" t="str">
        <f>VLOOKUP(A673,Movie!A:D,4,FALSE)</f>
        <v>Buena Vista</v>
      </c>
      <c r="H673" s="14">
        <f>VLOOKUP(E673,'Rental Transaction'!A:B,2,FALSE)</f>
        <v>366695</v>
      </c>
      <c r="I673">
        <f t="shared" si="10"/>
        <v>2013</v>
      </c>
    </row>
    <row r="674" spans="1:9">
      <c r="A674" s="1">
        <v>10299</v>
      </c>
      <c r="B674" s="1">
        <v>2</v>
      </c>
      <c r="C674" s="2">
        <v>41335</v>
      </c>
      <c r="D674" s="1" t="s">
        <v>2002</v>
      </c>
      <c r="E674" s="1">
        <v>100381</v>
      </c>
      <c r="F674" s="6" t="s">
        <v>2676</v>
      </c>
      <c r="G674" s="15" t="str">
        <f>VLOOKUP(A674,Movie!A:D,4,FALSE)</f>
        <v>Radius-TWC</v>
      </c>
      <c r="H674" s="14">
        <f>VLOOKUP(E674,'Rental Transaction'!A:B,2,FALSE)</f>
        <v>908768</v>
      </c>
      <c r="I674">
        <f t="shared" si="10"/>
        <v>2013</v>
      </c>
    </row>
    <row r="675" spans="1:9">
      <c r="A675" s="1">
        <v>10021</v>
      </c>
      <c r="B675" s="1">
        <v>7</v>
      </c>
      <c r="C675" s="2">
        <v>41335</v>
      </c>
      <c r="D675" s="1" t="s">
        <v>2005</v>
      </c>
      <c r="E675" s="1">
        <v>100381</v>
      </c>
      <c r="F675" s="6" t="s">
        <v>2677</v>
      </c>
      <c r="G675" s="15" t="str">
        <f>VLOOKUP(A675,Movie!A:D,4,FALSE)</f>
        <v>Paramount</v>
      </c>
      <c r="H675" s="14">
        <f>VLOOKUP(E675,'Rental Transaction'!A:B,2,FALSE)</f>
        <v>908768</v>
      </c>
      <c r="I675">
        <f t="shared" si="10"/>
        <v>2013</v>
      </c>
    </row>
    <row r="676" spans="1:9">
      <c r="A676" s="1">
        <v>10096</v>
      </c>
      <c r="B676" s="1">
        <v>4</v>
      </c>
      <c r="C676" s="2">
        <v>41336</v>
      </c>
      <c r="D676" s="1" t="s">
        <v>2005</v>
      </c>
      <c r="E676" s="1">
        <v>100381</v>
      </c>
      <c r="F676" s="6" t="s">
        <v>2678</v>
      </c>
      <c r="G676" s="15" t="str">
        <f>VLOOKUP(A676,Movie!A:D,4,FALSE)</f>
        <v>Universal</v>
      </c>
      <c r="H676" s="14">
        <f>VLOOKUP(E676,'Rental Transaction'!A:B,2,FALSE)</f>
        <v>908768</v>
      </c>
      <c r="I676">
        <f t="shared" si="10"/>
        <v>2013</v>
      </c>
    </row>
    <row r="677" spans="1:9">
      <c r="A677" s="1">
        <v>10106</v>
      </c>
      <c r="B677" s="1">
        <v>10</v>
      </c>
      <c r="C677" s="2">
        <v>41336</v>
      </c>
      <c r="D677" s="1" t="s">
        <v>2005</v>
      </c>
      <c r="E677" s="1">
        <v>100382</v>
      </c>
      <c r="F677" s="6" t="s">
        <v>2679</v>
      </c>
      <c r="G677" s="15" t="str">
        <f>VLOOKUP(A677,Movie!A:D,4,FALSE)</f>
        <v>Fox</v>
      </c>
      <c r="H677" s="14">
        <f>VLOOKUP(E677,'Rental Transaction'!A:B,2,FALSE)</f>
        <v>938417</v>
      </c>
      <c r="I677">
        <f t="shared" si="10"/>
        <v>2013</v>
      </c>
    </row>
    <row r="678" spans="1:9">
      <c r="A678" s="1">
        <v>10289</v>
      </c>
      <c r="B678" s="1">
        <v>2</v>
      </c>
      <c r="C678" s="2">
        <v>41336</v>
      </c>
      <c r="D678" s="1" t="s">
        <v>2002</v>
      </c>
      <c r="E678" s="1">
        <v>100383</v>
      </c>
      <c r="F678" s="6" t="s">
        <v>2680</v>
      </c>
      <c r="G678" s="15" t="str">
        <f>VLOOKUP(A678,Movie!A:D,4,FALSE)</f>
        <v>Open Road Films</v>
      </c>
      <c r="H678" s="14">
        <f>VLOOKUP(E678,'Rental Transaction'!A:B,2,FALSE)</f>
        <v>879173</v>
      </c>
      <c r="I678">
        <f t="shared" si="10"/>
        <v>2013</v>
      </c>
    </row>
    <row r="679" spans="1:9">
      <c r="A679" s="1">
        <v>10017</v>
      </c>
      <c r="B679" s="1">
        <v>3</v>
      </c>
      <c r="C679" s="2">
        <v>41336</v>
      </c>
      <c r="D679" s="1" t="s">
        <v>2002</v>
      </c>
      <c r="E679" s="1">
        <v>100383</v>
      </c>
      <c r="F679" s="6" t="s">
        <v>2681</v>
      </c>
      <c r="G679" s="15" t="str">
        <f>VLOOKUP(A679,Movie!A:D,4,FALSE)</f>
        <v>Sony</v>
      </c>
      <c r="H679" s="14">
        <f>VLOOKUP(E679,'Rental Transaction'!A:B,2,FALSE)</f>
        <v>879173</v>
      </c>
      <c r="I679">
        <f t="shared" si="10"/>
        <v>2013</v>
      </c>
    </row>
    <row r="680" spans="1:9">
      <c r="A680" s="1">
        <v>10293</v>
      </c>
      <c r="B680" s="1">
        <v>1</v>
      </c>
      <c r="C680" s="2">
        <v>41336</v>
      </c>
      <c r="D680" s="1" t="s">
        <v>2002</v>
      </c>
      <c r="E680" s="1">
        <v>100384</v>
      </c>
      <c r="F680" s="6" t="s">
        <v>2682</v>
      </c>
      <c r="G680" s="15" t="str">
        <f>VLOOKUP(A680,Movie!A:D,4,FALSE)</f>
        <v>Relativity</v>
      </c>
      <c r="H680" s="14">
        <f>VLOOKUP(E680,'Rental Transaction'!A:B,2,FALSE)</f>
        <v>537860</v>
      </c>
      <c r="I680">
        <f t="shared" si="10"/>
        <v>2013</v>
      </c>
    </row>
    <row r="681" spans="1:9">
      <c r="A681" s="1">
        <v>10135</v>
      </c>
      <c r="B681" s="1">
        <v>6</v>
      </c>
      <c r="C681" s="2">
        <v>41336</v>
      </c>
      <c r="D681" s="1" t="s">
        <v>2005</v>
      </c>
      <c r="E681" s="1">
        <v>100385</v>
      </c>
      <c r="F681" s="6" t="s">
        <v>2683</v>
      </c>
      <c r="G681" s="15" t="str">
        <f>VLOOKUP(A681,Movie!A:D,4,FALSE)</f>
        <v>Universal</v>
      </c>
      <c r="H681" s="14">
        <f>VLOOKUP(E681,'Rental Transaction'!A:B,2,FALSE)</f>
        <v>370870</v>
      </c>
      <c r="I681">
        <f t="shared" si="10"/>
        <v>2013</v>
      </c>
    </row>
    <row r="682" spans="1:9">
      <c r="A682" s="1">
        <v>10065</v>
      </c>
      <c r="B682" s="1">
        <v>4</v>
      </c>
      <c r="C682" s="2">
        <v>41337</v>
      </c>
      <c r="D682" s="1" t="s">
        <v>2002</v>
      </c>
      <c r="E682" s="1">
        <v>100386</v>
      </c>
      <c r="F682" s="6" t="s">
        <v>2684</v>
      </c>
      <c r="G682" s="15" t="str">
        <f>VLOOKUP(A682,Movie!A:D,4,FALSE)</f>
        <v>Warner Brothers</v>
      </c>
      <c r="H682" s="14">
        <f>VLOOKUP(E682,'Rental Transaction'!A:B,2,FALSE)</f>
        <v>218889</v>
      </c>
      <c r="I682">
        <f t="shared" si="10"/>
        <v>2013</v>
      </c>
    </row>
    <row r="683" spans="1:9">
      <c r="A683" s="1">
        <v>10229</v>
      </c>
      <c r="B683" s="1">
        <v>3</v>
      </c>
      <c r="C683" s="2">
        <v>41337</v>
      </c>
      <c r="D683" s="1" t="s">
        <v>2005</v>
      </c>
      <c r="E683" s="1">
        <v>100387</v>
      </c>
      <c r="F683" s="6" t="s">
        <v>2685</v>
      </c>
      <c r="G683" s="15" t="str">
        <f>VLOOKUP(A683,Movie!A:D,4,FALSE)</f>
        <v>TriStar</v>
      </c>
      <c r="H683" s="14">
        <f>VLOOKUP(E683,'Rental Transaction'!A:B,2,FALSE)</f>
        <v>575903</v>
      </c>
      <c r="I683">
        <f t="shared" si="10"/>
        <v>2013</v>
      </c>
    </row>
    <row r="684" spans="1:9">
      <c r="A684" s="1">
        <v>10039</v>
      </c>
      <c r="B684" s="1">
        <v>4</v>
      </c>
      <c r="C684" s="2">
        <v>41338</v>
      </c>
      <c r="D684" s="1" t="s">
        <v>2002</v>
      </c>
      <c r="E684" s="1">
        <v>100387</v>
      </c>
      <c r="F684" s="6" t="s">
        <v>2686</v>
      </c>
      <c r="G684" s="15" t="str">
        <f>VLOOKUP(A684,Movie!A:D,4,FALSE)</f>
        <v>Open Road Films</v>
      </c>
      <c r="H684" s="14">
        <f>VLOOKUP(E684,'Rental Transaction'!A:B,2,FALSE)</f>
        <v>575903</v>
      </c>
      <c r="I684">
        <f t="shared" si="10"/>
        <v>2013</v>
      </c>
    </row>
    <row r="685" spans="1:9">
      <c r="A685" s="1">
        <v>10096</v>
      </c>
      <c r="B685" s="1">
        <v>3</v>
      </c>
      <c r="C685" s="2">
        <v>41337</v>
      </c>
      <c r="D685" s="1" t="s">
        <v>2005</v>
      </c>
      <c r="E685" s="1">
        <v>100388</v>
      </c>
      <c r="F685" s="6" t="s">
        <v>2687</v>
      </c>
      <c r="G685" s="15" t="str">
        <f>VLOOKUP(A685,Movie!A:D,4,FALSE)</f>
        <v>Universal</v>
      </c>
      <c r="H685" s="14">
        <f>VLOOKUP(E685,'Rental Transaction'!A:B,2,FALSE)</f>
        <v>694281</v>
      </c>
      <c r="I685">
        <f t="shared" si="10"/>
        <v>2013</v>
      </c>
    </row>
    <row r="686" spans="1:9">
      <c r="A686" s="1">
        <v>10093</v>
      </c>
      <c r="B686" s="1">
        <v>4</v>
      </c>
      <c r="C686" s="2">
        <v>41337</v>
      </c>
      <c r="D686" s="1" t="s">
        <v>2005</v>
      </c>
      <c r="E686" s="1">
        <v>100389</v>
      </c>
      <c r="F686" s="6" t="s">
        <v>2688</v>
      </c>
      <c r="G686" s="15" t="str">
        <f>VLOOKUP(A686,Movie!A:D,4,FALSE)</f>
        <v>Open Road Films</v>
      </c>
      <c r="H686" s="14">
        <f>VLOOKUP(E686,'Rental Transaction'!A:B,2,FALSE)</f>
        <v>132454</v>
      </c>
      <c r="I686">
        <f t="shared" si="10"/>
        <v>2013</v>
      </c>
    </row>
    <row r="687" spans="1:9">
      <c r="A687" s="1">
        <v>10057</v>
      </c>
      <c r="B687" s="1">
        <v>8</v>
      </c>
      <c r="C687" s="2">
        <v>41337</v>
      </c>
      <c r="D687" s="1" t="s">
        <v>2002</v>
      </c>
      <c r="E687" s="1">
        <v>100389</v>
      </c>
      <c r="F687" s="6" t="s">
        <v>2689</v>
      </c>
      <c r="G687" s="15" t="str">
        <f>VLOOKUP(A687,Movie!A:D,4,FALSE)</f>
        <v>Warner Brothers</v>
      </c>
      <c r="H687" s="14">
        <f>VLOOKUP(E687,'Rental Transaction'!A:B,2,FALSE)</f>
        <v>132454</v>
      </c>
      <c r="I687">
        <f t="shared" si="10"/>
        <v>2013</v>
      </c>
    </row>
    <row r="688" spans="1:9">
      <c r="A688" s="1">
        <v>10113</v>
      </c>
      <c r="B688" s="1">
        <v>4</v>
      </c>
      <c r="C688" s="2">
        <v>41337</v>
      </c>
      <c r="D688" s="1" t="s">
        <v>2005</v>
      </c>
      <c r="E688" s="1">
        <v>100390</v>
      </c>
      <c r="F688" s="6" t="s">
        <v>2690</v>
      </c>
      <c r="G688" s="15" t="str">
        <f>VLOOKUP(A688,Movie!A:D,4,FALSE)</f>
        <v>Lionsgate</v>
      </c>
      <c r="H688" s="14">
        <f>VLOOKUP(E688,'Rental Transaction'!A:B,2,FALSE)</f>
        <v>738357</v>
      </c>
      <c r="I688">
        <f t="shared" si="10"/>
        <v>2013</v>
      </c>
    </row>
    <row r="689" spans="1:9">
      <c r="A689" s="1">
        <v>10274</v>
      </c>
      <c r="B689" s="1">
        <v>8</v>
      </c>
      <c r="C689" s="2">
        <v>41340</v>
      </c>
      <c r="D689" s="1" t="s">
        <v>2005</v>
      </c>
      <c r="E689" s="1">
        <v>100391</v>
      </c>
      <c r="F689" s="6" t="s">
        <v>2691</v>
      </c>
      <c r="G689" s="15" t="str">
        <f>VLOOKUP(A689,Movie!A:D,4,FALSE)</f>
        <v>Fox</v>
      </c>
      <c r="H689" s="14">
        <f>VLOOKUP(E689,'Rental Transaction'!A:B,2,FALSE)</f>
        <v>610766</v>
      </c>
      <c r="I689">
        <f t="shared" si="10"/>
        <v>2013</v>
      </c>
    </row>
    <row r="690" spans="1:9">
      <c r="A690" s="1">
        <v>10171</v>
      </c>
      <c r="B690" s="1">
        <v>1</v>
      </c>
      <c r="C690" s="2">
        <v>41337</v>
      </c>
      <c r="D690" s="1" t="s">
        <v>2002</v>
      </c>
      <c r="E690" s="1">
        <v>100391</v>
      </c>
      <c r="F690" s="6" t="s">
        <v>2692</v>
      </c>
      <c r="G690" s="15" t="str">
        <f>VLOOKUP(A690,Movie!A:D,4,FALSE)</f>
        <v>Universal</v>
      </c>
      <c r="H690" s="14">
        <f>VLOOKUP(E690,'Rental Transaction'!A:B,2,FALSE)</f>
        <v>610766</v>
      </c>
      <c r="I690">
        <f t="shared" si="10"/>
        <v>2013</v>
      </c>
    </row>
    <row r="691" spans="1:9" ht="29.25">
      <c r="A691" s="1">
        <v>10136</v>
      </c>
      <c r="B691" s="1">
        <v>5</v>
      </c>
      <c r="C691" s="2">
        <v>41339</v>
      </c>
      <c r="D691" s="1" t="s">
        <v>2002</v>
      </c>
      <c r="E691" s="1">
        <v>100391</v>
      </c>
      <c r="F691" s="6" t="s">
        <v>2693</v>
      </c>
      <c r="G691" s="15" t="str">
        <f>VLOOKUP(A691,Movie!A:D,4,FALSE)</f>
        <v>Weinstein Company</v>
      </c>
      <c r="H691" s="14">
        <f>VLOOKUP(E691,'Rental Transaction'!A:B,2,FALSE)</f>
        <v>610766</v>
      </c>
      <c r="I691">
        <f t="shared" si="10"/>
        <v>2013</v>
      </c>
    </row>
    <row r="692" spans="1:9">
      <c r="A692" s="1">
        <v>10008</v>
      </c>
      <c r="B692" s="1">
        <v>1</v>
      </c>
      <c r="C692" s="2">
        <v>41338</v>
      </c>
      <c r="D692" s="1" t="s">
        <v>2002</v>
      </c>
      <c r="E692" s="1">
        <v>100392</v>
      </c>
      <c r="F692" s="6" t="s">
        <v>2694</v>
      </c>
      <c r="G692" s="15" t="str">
        <f>VLOOKUP(A692,Movie!A:D,4,FALSE)</f>
        <v>Sony</v>
      </c>
      <c r="H692" s="14">
        <f>VLOOKUP(E692,'Rental Transaction'!A:B,2,FALSE)</f>
        <v>841831</v>
      </c>
      <c r="I692">
        <f t="shared" si="10"/>
        <v>2013</v>
      </c>
    </row>
    <row r="693" spans="1:9">
      <c r="A693" s="1">
        <v>10175</v>
      </c>
      <c r="B693" s="1">
        <v>3</v>
      </c>
      <c r="C693" s="2">
        <v>41337</v>
      </c>
      <c r="D693" s="1" t="s">
        <v>2002</v>
      </c>
      <c r="E693" s="1">
        <v>100392</v>
      </c>
      <c r="F693" s="6" t="s">
        <v>2695</v>
      </c>
      <c r="G693" s="15" t="str">
        <f>VLOOKUP(A693,Movie!A:D,4,FALSE)</f>
        <v>Buena Vista</v>
      </c>
      <c r="H693" s="14">
        <f>VLOOKUP(E693,'Rental Transaction'!A:B,2,FALSE)</f>
        <v>841831</v>
      </c>
      <c r="I693">
        <f t="shared" si="10"/>
        <v>2013</v>
      </c>
    </row>
    <row r="694" spans="1:9">
      <c r="A694" s="1">
        <v>10040</v>
      </c>
      <c r="B694" s="1">
        <v>8</v>
      </c>
      <c r="C694" s="2">
        <v>41339</v>
      </c>
      <c r="D694" s="1" t="s">
        <v>2002</v>
      </c>
      <c r="E694" s="1">
        <v>100393</v>
      </c>
      <c r="F694" s="6" t="s">
        <v>2696</v>
      </c>
      <c r="G694" s="15" t="str">
        <f>VLOOKUP(A694,Movie!A:D,4,FALSE)</f>
        <v>Universal</v>
      </c>
      <c r="H694" s="14">
        <f>VLOOKUP(E694,'Rental Transaction'!A:B,2,FALSE)</f>
        <v>950299</v>
      </c>
      <c r="I694">
        <f t="shared" si="10"/>
        <v>2013</v>
      </c>
    </row>
    <row r="695" spans="1:9">
      <c r="A695" s="1">
        <v>10137</v>
      </c>
      <c r="B695" s="1">
        <v>8</v>
      </c>
      <c r="C695" s="2">
        <v>41339</v>
      </c>
      <c r="D695" s="1" t="s">
        <v>2005</v>
      </c>
      <c r="E695" s="1">
        <v>100394</v>
      </c>
      <c r="F695" s="6" t="s">
        <v>2697</v>
      </c>
      <c r="G695" s="15" t="str">
        <f>VLOOKUP(A695,Movie!A:D,4,FALSE)</f>
        <v>Buena Vista</v>
      </c>
      <c r="H695" s="14">
        <f>VLOOKUP(E695,'Rental Transaction'!A:B,2,FALSE)</f>
        <v>578275</v>
      </c>
      <c r="I695">
        <f t="shared" si="10"/>
        <v>2013</v>
      </c>
    </row>
    <row r="696" spans="1:9">
      <c r="A696" s="1">
        <v>10071</v>
      </c>
      <c r="B696" s="1">
        <v>1</v>
      </c>
      <c r="C696" s="2">
        <v>41339</v>
      </c>
      <c r="D696" s="1" t="s">
        <v>2002</v>
      </c>
      <c r="E696" s="1">
        <v>100394</v>
      </c>
      <c r="F696" s="6" t="s">
        <v>2698</v>
      </c>
      <c r="G696" s="15" t="str">
        <f>VLOOKUP(A696,Movie!A:D,4,FALSE)</f>
        <v>Paramount</v>
      </c>
      <c r="H696" s="14">
        <f>VLOOKUP(E696,'Rental Transaction'!A:B,2,FALSE)</f>
        <v>578275</v>
      </c>
      <c r="I696">
        <f t="shared" si="10"/>
        <v>2013</v>
      </c>
    </row>
    <row r="697" spans="1:9">
      <c r="A697" s="1">
        <v>10209</v>
      </c>
      <c r="B697" s="1">
        <v>3</v>
      </c>
      <c r="C697" s="2">
        <v>41339</v>
      </c>
      <c r="D697" s="1" t="s">
        <v>2005</v>
      </c>
      <c r="E697" s="1">
        <v>100395</v>
      </c>
      <c r="F697" s="6" t="s">
        <v>2699</v>
      </c>
      <c r="G697" s="15" t="str">
        <f>VLOOKUP(A697,Movie!A:D,4,FALSE)</f>
        <v>Universal</v>
      </c>
      <c r="H697" s="14">
        <f>VLOOKUP(E697,'Rental Transaction'!A:B,2,FALSE)</f>
        <v>964403</v>
      </c>
      <c r="I697">
        <f t="shared" si="10"/>
        <v>2013</v>
      </c>
    </row>
    <row r="698" spans="1:9">
      <c r="A698" s="1">
        <v>10242</v>
      </c>
      <c r="B698" s="1">
        <v>6</v>
      </c>
      <c r="C698" s="2">
        <v>41338</v>
      </c>
      <c r="D698" s="1" t="s">
        <v>2002</v>
      </c>
      <c r="E698" s="1">
        <v>100396</v>
      </c>
      <c r="F698" s="6" t="s">
        <v>2700</v>
      </c>
      <c r="G698" s="15" t="str">
        <f>VLOOKUP(A698,Movie!A:D,4,FALSE)</f>
        <v>Buena Vista</v>
      </c>
      <c r="H698" s="14">
        <f>VLOOKUP(E698,'Rental Transaction'!A:B,2,FALSE)</f>
        <v>336644</v>
      </c>
      <c r="I698">
        <f t="shared" si="10"/>
        <v>2013</v>
      </c>
    </row>
    <row r="699" spans="1:9">
      <c r="A699" s="1">
        <v>10106</v>
      </c>
      <c r="B699" s="1">
        <v>8</v>
      </c>
      <c r="C699" s="2">
        <v>41338</v>
      </c>
      <c r="D699" s="1" t="s">
        <v>2002</v>
      </c>
      <c r="E699" s="1">
        <v>100396</v>
      </c>
      <c r="F699" s="6" t="s">
        <v>2701</v>
      </c>
      <c r="G699" s="15" t="str">
        <f>VLOOKUP(A699,Movie!A:D,4,FALSE)</f>
        <v>Fox</v>
      </c>
      <c r="H699" s="14">
        <f>VLOOKUP(E699,'Rental Transaction'!A:B,2,FALSE)</f>
        <v>336644</v>
      </c>
      <c r="I699">
        <f t="shared" si="10"/>
        <v>2013</v>
      </c>
    </row>
    <row r="700" spans="1:9">
      <c r="A700" s="1">
        <v>10149</v>
      </c>
      <c r="B700" s="1">
        <v>6</v>
      </c>
      <c r="C700" s="2">
        <v>41338</v>
      </c>
      <c r="D700" s="1" t="s">
        <v>2005</v>
      </c>
      <c r="E700" s="1">
        <v>100397</v>
      </c>
      <c r="F700" s="6" t="s">
        <v>2702</v>
      </c>
      <c r="G700" s="15" t="str">
        <f>VLOOKUP(A700,Movie!A:D,4,FALSE)</f>
        <v>Relativity</v>
      </c>
      <c r="H700" s="14">
        <f>VLOOKUP(E700,'Rental Transaction'!A:B,2,FALSE)</f>
        <v>668931</v>
      </c>
      <c r="I700">
        <f t="shared" si="10"/>
        <v>2013</v>
      </c>
    </row>
    <row r="701" spans="1:9">
      <c r="A701" s="1">
        <v>10038</v>
      </c>
      <c r="B701" s="1">
        <v>1</v>
      </c>
      <c r="C701" s="2">
        <v>41338</v>
      </c>
      <c r="D701" s="1" t="s">
        <v>2005</v>
      </c>
      <c r="E701" s="1">
        <v>100397</v>
      </c>
      <c r="F701" s="6" t="s">
        <v>2703</v>
      </c>
      <c r="G701" s="15" t="str">
        <f>VLOOKUP(A701,Movie!A:D,4,FALSE)</f>
        <v>Paramount</v>
      </c>
      <c r="H701" s="14">
        <f>VLOOKUP(E701,'Rental Transaction'!A:B,2,FALSE)</f>
        <v>668931</v>
      </c>
      <c r="I701">
        <f t="shared" si="10"/>
        <v>2013</v>
      </c>
    </row>
    <row r="702" spans="1:9" ht="29.25">
      <c r="A702" s="1">
        <v>10136</v>
      </c>
      <c r="B702" s="1">
        <v>3</v>
      </c>
      <c r="C702" s="2">
        <v>41339</v>
      </c>
      <c r="D702" s="1" t="s">
        <v>2002</v>
      </c>
      <c r="E702" s="1">
        <v>100398</v>
      </c>
      <c r="F702" s="6" t="s">
        <v>2704</v>
      </c>
      <c r="G702" s="15" t="str">
        <f>VLOOKUP(A702,Movie!A:D,4,FALSE)</f>
        <v>Weinstein Company</v>
      </c>
      <c r="H702" s="14">
        <f>VLOOKUP(E702,'Rental Transaction'!A:B,2,FALSE)</f>
        <v>746134</v>
      </c>
      <c r="I702">
        <f t="shared" si="10"/>
        <v>2013</v>
      </c>
    </row>
    <row r="703" spans="1:9">
      <c r="A703" s="1">
        <v>10197</v>
      </c>
      <c r="B703" s="1">
        <v>5</v>
      </c>
      <c r="C703" s="2">
        <v>41339</v>
      </c>
      <c r="D703" s="1" t="s">
        <v>2005</v>
      </c>
      <c r="E703" s="1">
        <v>100399</v>
      </c>
      <c r="F703" s="6" t="s">
        <v>2705</v>
      </c>
      <c r="G703" s="15" t="str">
        <f>VLOOKUP(A703,Movie!A:D,4,FALSE)</f>
        <v>Warner Brothers</v>
      </c>
      <c r="H703" s="14">
        <f>VLOOKUP(E703,'Rental Transaction'!A:B,2,FALSE)</f>
        <v>330223</v>
      </c>
      <c r="I703">
        <f t="shared" si="10"/>
        <v>2013</v>
      </c>
    </row>
    <row r="704" spans="1:9">
      <c r="A704" s="1">
        <v>10223</v>
      </c>
      <c r="B704" s="1">
        <v>6</v>
      </c>
      <c r="C704" s="2">
        <v>41339</v>
      </c>
      <c r="D704" s="1" t="s">
        <v>2002</v>
      </c>
      <c r="E704" s="1">
        <v>100399</v>
      </c>
      <c r="F704" s="6" t="s">
        <v>2706</v>
      </c>
      <c r="G704" s="15" t="str">
        <f>VLOOKUP(A704,Movie!A:D,4,FALSE)</f>
        <v>Universal</v>
      </c>
      <c r="H704" s="14">
        <f>VLOOKUP(E704,'Rental Transaction'!A:B,2,FALSE)</f>
        <v>330223</v>
      </c>
      <c r="I704">
        <f t="shared" si="10"/>
        <v>2013</v>
      </c>
    </row>
    <row r="705" spans="1:9">
      <c r="A705" s="1">
        <v>10002</v>
      </c>
      <c r="B705" s="1">
        <v>10</v>
      </c>
      <c r="C705" s="2">
        <v>41340</v>
      </c>
      <c r="D705" s="1" t="s">
        <v>2002</v>
      </c>
      <c r="E705" s="1">
        <v>100400</v>
      </c>
      <c r="F705" s="6" t="s">
        <v>2707</v>
      </c>
      <c r="G705" s="15" t="str">
        <f>VLOOKUP(A705,Movie!A:D,4,FALSE)</f>
        <v>Lionsgate</v>
      </c>
      <c r="H705" s="14">
        <f>VLOOKUP(E705,'Rental Transaction'!A:B,2,FALSE)</f>
        <v>756769</v>
      </c>
      <c r="I705">
        <f t="shared" si="10"/>
        <v>2013</v>
      </c>
    </row>
    <row r="706" spans="1:9">
      <c r="A706" s="1">
        <v>10120</v>
      </c>
      <c r="B706" s="1">
        <v>3</v>
      </c>
      <c r="C706" s="2">
        <v>41339</v>
      </c>
      <c r="D706" s="1" t="s">
        <v>2002</v>
      </c>
      <c r="E706" s="1">
        <v>100401</v>
      </c>
      <c r="F706" s="6" t="s">
        <v>2708</v>
      </c>
      <c r="G706" s="15" t="str">
        <f>VLOOKUP(A706,Movie!A:D,4,FALSE)</f>
        <v>Focus</v>
      </c>
      <c r="H706" s="14">
        <f>VLOOKUP(E706,'Rental Transaction'!A:B,2,FALSE)</f>
        <v>951702</v>
      </c>
      <c r="I706">
        <f t="shared" si="10"/>
        <v>2013</v>
      </c>
    </row>
    <row r="707" spans="1:9">
      <c r="A707" s="1">
        <v>10278</v>
      </c>
      <c r="B707" s="1">
        <v>5</v>
      </c>
      <c r="C707" s="2">
        <v>41339</v>
      </c>
      <c r="D707" s="1" t="s">
        <v>2005</v>
      </c>
      <c r="E707" s="1">
        <v>100401</v>
      </c>
      <c r="F707" s="6" t="s">
        <v>2709</v>
      </c>
      <c r="G707" s="15" t="str">
        <f>VLOOKUP(A707,Movie!A:D,4,FALSE)</f>
        <v>Universal</v>
      </c>
      <c r="H707" s="14">
        <f>VLOOKUP(E707,'Rental Transaction'!A:B,2,FALSE)</f>
        <v>951702</v>
      </c>
      <c r="I707">
        <f t="shared" ref="I707:I770" si="11">YEAR(C707)</f>
        <v>2013</v>
      </c>
    </row>
    <row r="708" spans="1:9">
      <c r="A708" s="1">
        <v>10087</v>
      </c>
      <c r="B708" s="1">
        <v>7</v>
      </c>
      <c r="C708" s="2">
        <v>41339</v>
      </c>
      <c r="D708" s="1" t="s">
        <v>2002</v>
      </c>
      <c r="E708" s="1">
        <v>100401</v>
      </c>
      <c r="F708" s="6" t="s">
        <v>2710</v>
      </c>
      <c r="G708" s="15" t="str">
        <f>VLOOKUP(A708,Movie!A:D,4,FALSE)</f>
        <v>Lionsgate</v>
      </c>
      <c r="H708" s="14">
        <f>VLOOKUP(E708,'Rental Transaction'!A:B,2,FALSE)</f>
        <v>951702</v>
      </c>
      <c r="I708">
        <f t="shared" si="11"/>
        <v>2013</v>
      </c>
    </row>
    <row r="709" spans="1:9">
      <c r="A709" s="1">
        <v>10273</v>
      </c>
      <c r="B709" s="1">
        <v>5</v>
      </c>
      <c r="C709" s="2">
        <v>41341</v>
      </c>
      <c r="D709" s="1" t="s">
        <v>2005</v>
      </c>
      <c r="E709" s="1">
        <v>100402</v>
      </c>
      <c r="F709" s="6" t="s">
        <v>2711</v>
      </c>
      <c r="G709" s="15" t="str">
        <f>VLOOKUP(A709,Movie!A:D,4,FALSE)</f>
        <v>Sony</v>
      </c>
      <c r="H709" s="14">
        <f>VLOOKUP(E709,'Rental Transaction'!A:B,2,FALSE)</f>
        <v>103508</v>
      </c>
      <c r="I709">
        <f t="shared" si="11"/>
        <v>2013</v>
      </c>
    </row>
    <row r="710" spans="1:9">
      <c r="A710" s="1">
        <v>10053</v>
      </c>
      <c r="B710" s="1">
        <v>1</v>
      </c>
      <c r="C710" s="2">
        <v>41340</v>
      </c>
      <c r="D710" s="1" t="s">
        <v>2002</v>
      </c>
      <c r="E710" s="1">
        <v>100403</v>
      </c>
      <c r="F710" s="6" t="s">
        <v>2712</v>
      </c>
      <c r="G710" s="15" t="str">
        <f>VLOOKUP(A710,Movie!A:D,4,FALSE)</f>
        <v>Sony</v>
      </c>
      <c r="H710" s="14">
        <f>VLOOKUP(E710,'Rental Transaction'!A:B,2,FALSE)</f>
        <v>921792</v>
      </c>
      <c r="I710">
        <f t="shared" si="11"/>
        <v>2013</v>
      </c>
    </row>
    <row r="711" spans="1:9">
      <c r="A711" s="1">
        <v>10042</v>
      </c>
      <c r="B711" s="1">
        <v>7</v>
      </c>
      <c r="C711" s="2">
        <v>41341</v>
      </c>
      <c r="D711" s="1" t="s">
        <v>2005</v>
      </c>
      <c r="E711" s="1">
        <v>100403</v>
      </c>
      <c r="F711" s="6" t="s">
        <v>2713</v>
      </c>
      <c r="G711" s="15" t="str">
        <f>VLOOKUP(A711,Movie!A:D,4,FALSE)</f>
        <v>Paramount</v>
      </c>
      <c r="H711" s="14">
        <f>VLOOKUP(E711,'Rental Transaction'!A:B,2,FALSE)</f>
        <v>921792</v>
      </c>
      <c r="I711">
        <f t="shared" si="11"/>
        <v>2013</v>
      </c>
    </row>
    <row r="712" spans="1:9" ht="29.25">
      <c r="A712" s="1">
        <v>10290</v>
      </c>
      <c r="B712" s="1">
        <v>8</v>
      </c>
      <c r="C712" s="2">
        <v>41340</v>
      </c>
      <c r="D712" s="1" t="s">
        <v>2002</v>
      </c>
      <c r="E712" s="1">
        <v>100403</v>
      </c>
      <c r="F712" s="6" t="s">
        <v>2714</v>
      </c>
      <c r="G712" s="15" t="str">
        <f>VLOOKUP(A712,Movie!A:D,4,FALSE)</f>
        <v>Weinstein Company</v>
      </c>
      <c r="H712" s="14">
        <f>VLOOKUP(E712,'Rental Transaction'!A:B,2,FALSE)</f>
        <v>921792</v>
      </c>
      <c r="I712">
        <f t="shared" si="11"/>
        <v>2013</v>
      </c>
    </row>
    <row r="713" spans="1:9">
      <c r="A713" s="1">
        <v>10284</v>
      </c>
      <c r="B713" s="1">
        <v>1</v>
      </c>
      <c r="C713" s="2">
        <v>41342</v>
      </c>
      <c r="D713" s="1" t="s">
        <v>2002</v>
      </c>
      <c r="E713" s="1">
        <v>100404</v>
      </c>
      <c r="F713" s="6" t="s">
        <v>2715</v>
      </c>
      <c r="G713" s="15" t="str">
        <f>VLOOKUP(A713,Movie!A:D,4,FALSE)</f>
        <v>Focus</v>
      </c>
      <c r="H713" s="14">
        <f>VLOOKUP(E713,'Rental Transaction'!A:B,2,FALSE)</f>
        <v>817159</v>
      </c>
      <c r="I713">
        <f t="shared" si="11"/>
        <v>2013</v>
      </c>
    </row>
    <row r="714" spans="1:9">
      <c r="A714" s="1">
        <v>10067</v>
      </c>
      <c r="B714" s="1">
        <v>5</v>
      </c>
      <c r="C714" s="2">
        <v>41340</v>
      </c>
      <c r="D714" s="1" t="s">
        <v>2002</v>
      </c>
      <c r="E714" s="1">
        <v>100405</v>
      </c>
      <c r="F714" s="6" t="s">
        <v>2716</v>
      </c>
      <c r="G714" s="15" t="str">
        <f>VLOOKUP(A714,Movie!A:D,4,FALSE)</f>
        <v>Paramount</v>
      </c>
      <c r="H714" s="14">
        <f>VLOOKUP(E714,'Rental Transaction'!A:B,2,FALSE)</f>
        <v>190721</v>
      </c>
      <c r="I714">
        <f t="shared" si="11"/>
        <v>2013</v>
      </c>
    </row>
    <row r="715" spans="1:9">
      <c r="A715" s="1">
        <v>10166</v>
      </c>
      <c r="B715" s="1">
        <v>4</v>
      </c>
      <c r="C715" s="2">
        <v>41340</v>
      </c>
      <c r="D715" s="1" t="s">
        <v>2005</v>
      </c>
      <c r="E715" s="1">
        <v>100405</v>
      </c>
      <c r="F715" s="6" t="s">
        <v>2717</v>
      </c>
      <c r="G715" s="15" t="str">
        <f>VLOOKUP(A715,Movie!A:D,4,FALSE)</f>
        <v>Fox</v>
      </c>
      <c r="H715" s="14">
        <f>VLOOKUP(E715,'Rental Transaction'!A:B,2,FALSE)</f>
        <v>190721</v>
      </c>
      <c r="I715">
        <f t="shared" si="11"/>
        <v>2013</v>
      </c>
    </row>
    <row r="716" spans="1:9">
      <c r="A716" s="1">
        <v>10106</v>
      </c>
      <c r="B716" s="1">
        <v>3</v>
      </c>
      <c r="C716" s="2">
        <v>41341</v>
      </c>
      <c r="D716" s="1" t="s">
        <v>2002</v>
      </c>
      <c r="E716" s="1">
        <v>100405</v>
      </c>
      <c r="F716" s="6" t="s">
        <v>2718</v>
      </c>
      <c r="G716" s="15" t="str">
        <f>VLOOKUP(A716,Movie!A:D,4,FALSE)</f>
        <v>Fox</v>
      </c>
      <c r="H716" s="14">
        <f>VLOOKUP(E716,'Rental Transaction'!A:B,2,FALSE)</f>
        <v>190721</v>
      </c>
      <c r="I716">
        <f t="shared" si="11"/>
        <v>2013</v>
      </c>
    </row>
    <row r="717" spans="1:9">
      <c r="A717" s="1">
        <v>10080</v>
      </c>
      <c r="B717" s="1">
        <v>8</v>
      </c>
      <c r="C717" s="2">
        <v>41340</v>
      </c>
      <c r="D717" s="1" t="s">
        <v>2005</v>
      </c>
      <c r="E717" s="1">
        <v>100406</v>
      </c>
      <c r="F717" s="6" t="s">
        <v>2719</v>
      </c>
      <c r="G717" s="15" t="str">
        <f>VLOOKUP(A717,Movie!A:D,4,FALSE)</f>
        <v>Buena Vista</v>
      </c>
      <c r="H717" s="14">
        <f>VLOOKUP(E717,'Rental Transaction'!A:B,2,FALSE)</f>
        <v>513968</v>
      </c>
      <c r="I717">
        <f t="shared" si="11"/>
        <v>2013</v>
      </c>
    </row>
    <row r="718" spans="1:9">
      <c r="A718" s="1">
        <v>10172</v>
      </c>
      <c r="B718" s="1">
        <v>8</v>
      </c>
      <c r="C718" s="2">
        <v>41341</v>
      </c>
      <c r="D718" s="1" t="s">
        <v>2002</v>
      </c>
      <c r="E718" s="1">
        <v>100407</v>
      </c>
      <c r="F718" s="6" t="s">
        <v>2720</v>
      </c>
      <c r="G718" s="15" t="str">
        <f>VLOOKUP(A718,Movie!A:D,4,FALSE)</f>
        <v>Lionsgate</v>
      </c>
      <c r="H718" s="14">
        <f>VLOOKUP(E718,'Rental Transaction'!A:B,2,FALSE)</f>
        <v>796796</v>
      </c>
      <c r="I718">
        <f t="shared" si="11"/>
        <v>2013</v>
      </c>
    </row>
    <row r="719" spans="1:9">
      <c r="A719" s="1">
        <v>10091</v>
      </c>
      <c r="B719" s="1">
        <v>6</v>
      </c>
      <c r="C719" s="2">
        <v>41341</v>
      </c>
      <c r="D719" s="1" t="s">
        <v>2002</v>
      </c>
      <c r="E719" s="1">
        <v>100407</v>
      </c>
      <c r="F719" s="6" t="s">
        <v>2721</v>
      </c>
      <c r="G719" s="15" t="str">
        <f>VLOOKUP(A719,Movie!A:D,4,FALSE)</f>
        <v>Warner Brothers</v>
      </c>
      <c r="H719" s="14">
        <f>VLOOKUP(E719,'Rental Transaction'!A:B,2,FALSE)</f>
        <v>796796</v>
      </c>
      <c r="I719">
        <f t="shared" si="11"/>
        <v>2013</v>
      </c>
    </row>
    <row r="720" spans="1:9">
      <c r="A720" s="1">
        <v>10237</v>
      </c>
      <c r="B720" s="1">
        <v>5</v>
      </c>
      <c r="C720" s="2">
        <v>41341</v>
      </c>
      <c r="D720" s="1" t="s">
        <v>2002</v>
      </c>
      <c r="E720" s="1">
        <v>100407</v>
      </c>
      <c r="F720" s="6" t="s">
        <v>2722</v>
      </c>
      <c r="G720" s="15" t="str">
        <f>VLOOKUP(A720,Movie!A:D,4,FALSE)</f>
        <v>Warner Brothers</v>
      </c>
      <c r="H720" s="14">
        <f>VLOOKUP(E720,'Rental Transaction'!A:B,2,FALSE)</f>
        <v>796796</v>
      </c>
      <c r="I720">
        <f t="shared" si="11"/>
        <v>2013</v>
      </c>
    </row>
    <row r="721" spans="1:9">
      <c r="A721" s="1">
        <v>10162</v>
      </c>
      <c r="B721" s="1">
        <v>1</v>
      </c>
      <c r="C721" s="2">
        <v>41341</v>
      </c>
      <c r="D721" s="1" t="s">
        <v>2005</v>
      </c>
      <c r="E721" s="1">
        <v>100408</v>
      </c>
      <c r="F721" s="6" t="s">
        <v>2723</v>
      </c>
      <c r="G721" s="15" t="str">
        <f>VLOOKUP(A721,Movie!A:D,4,FALSE)</f>
        <v>Sony</v>
      </c>
      <c r="H721" s="14">
        <f>VLOOKUP(E721,'Rental Transaction'!A:B,2,FALSE)</f>
        <v>214537</v>
      </c>
      <c r="I721">
        <f t="shared" si="11"/>
        <v>2013</v>
      </c>
    </row>
    <row r="722" spans="1:9">
      <c r="A722" s="1">
        <v>10183</v>
      </c>
      <c r="B722" s="1">
        <v>1</v>
      </c>
      <c r="C722" s="2">
        <v>41341</v>
      </c>
      <c r="D722" s="1" t="s">
        <v>2002</v>
      </c>
      <c r="E722" s="1">
        <v>100408</v>
      </c>
      <c r="F722" s="6" t="s">
        <v>2724</v>
      </c>
      <c r="G722" s="15" t="str">
        <f>VLOOKUP(A722,Movie!A:D,4,FALSE)</f>
        <v>Sony</v>
      </c>
      <c r="H722" s="14">
        <f>VLOOKUP(E722,'Rental Transaction'!A:B,2,FALSE)</f>
        <v>214537</v>
      </c>
      <c r="I722">
        <f t="shared" si="11"/>
        <v>2013</v>
      </c>
    </row>
    <row r="723" spans="1:9">
      <c r="A723" s="1">
        <v>10011</v>
      </c>
      <c r="B723" s="1">
        <v>8</v>
      </c>
      <c r="C723" s="2">
        <v>41343</v>
      </c>
      <c r="D723" s="1" t="s">
        <v>2002</v>
      </c>
      <c r="E723" s="1">
        <v>100409</v>
      </c>
      <c r="F723" s="6" t="s">
        <v>2725</v>
      </c>
      <c r="G723" s="15" t="str">
        <f>VLOOKUP(A723,Movie!A:D,4,FALSE)</f>
        <v>Buena Vista</v>
      </c>
      <c r="H723" s="14">
        <f>VLOOKUP(E723,'Rental Transaction'!A:B,2,FALSE)</f>
        <v>111991</v>
      </c>
      <c r="I723">
        <f t="shared" si="11"/>
        <v>2013</v>
      </c>
    </row>
    <row r="724" spans="1:9">
      <c r="A724" s="1">
        <v>10188</v>
      </c>
      <c r="B724" s="1">
        <v>10</v>
      </c>
      <c r="C724" s="2">
        <v>41342</v>
      </c>
      <c r="D724" s="1" t="s">
        <v>2005</v>
      </c>
      <c r="E724" s="1">
        <v>100410</v>
      </c>
      <c r="F724" s="6" t="s">
        <v>2726</v>
      </c>
      <c r="G724" s="15" t="str">
        <f>VLOOKUP(A724,Movie!A:D,4,FALSE)</f>
        <v>Paramount</v>
      </c>
      <c r="H724" s="14">
        <f>VLOOKUP(E724,'Rental Transaction'!A:B,2,FALSE)</f>
        <v>358901</v>
      </c>
      <c r="I724">
        <f t="shared" si="11"/>
        <v>2013</v>
      </c>
    </row>
    <row r="725" spans="1:9">
      <c r="A725" s="1">
        <v>10184</v>
      </c>
      <c r="B725" s="1">
        <v>2</v>
      </c>
      <c r="C725" s="2">
        <v>41342</v>
      </c>
      <c r="D725" s="1" t="s">
        <v>2002</v>
      </c>
      <c r="E725" s="1">
        <v>100411</v>
      </c>
      <c r="F725" s="6" t="s">
        <v>2727</v>
      </c>
      <c r="G725" s="15" t="str">
        <f>VLOOKUP(A725,Movie!A:D,4,FALSE)</f>
        <v>Universal</v>
      </c>
      <c r="H725" s="14">
        <f>VLOOKUP(E725,'Rental Transaction'!A:B,2,FALSE)</f>
        <v>332324</v>
      </c>
      <c r="I725">
        <f t="shared" si="11"/>
        <v>2013</v>
      </c>
    </row>
    <row r="726" spans="1:9">
      <c r="A726" s="1">
        <v>10150</v>
      </c>
      <c r="B726" s="1">
        <v>6</v>
      </c>
      <c r="C726" s="2">
        <v>41342</v>
      </c>
      <c r="D726" s="1" t="s">
        <v>2002</v>
      </c>
      <c r="E726" s="1">
        <v>100412</v>
      </c>
      <c r="F726" s="6" t="s">
        <v>2728</v>
      </c>
      <c r="G726" s="15" t="str">
        <f>VLOOKUP(A726,Movie!A:D,4,FALSE)</f>
        <v>Focus</v>
      </c>
      <c r="H726" s="14">
        <f>VLOOKUP(E726,'Rental Transaction'!A:B,2,FALSE)</f>
        <v>190721</v>
      </c>
      <c r="I726">
        <f t="shared" si="11"/>
        <v>2013</v>
      </c>
    </row>
    <row r="727" spans="1:9">
      <c r="A727" s="1">
        <v>10053</v>
      </c>
      <c r="B727" s="1">
        <v>4</v>
      </c>
      <c r="C727" s="2">
        <v>41342</v>
      </c>
      <c r="D727" s="1" t="s">
        <v>2005</v>
      </c>
      <c r="E727" s="1">
        <v>100412</v>
      </c>
      <c r="F727" s="6" t="s">
        <v>2729</v>
      </c>
      <c r="G727" s="15" t="str">
        <f>VLOOKUP(A727,Movie!A:D,4,FALSE)</f>
        <v>Sony</v>
      </c>
      <c r="H727" s="14">
        <f>VLOOKUP(E727,'Rental Transaction'!A:B,2,FALSE)</f>
        <v>190721</v>
      </c>
      <c r="I727">
        <f t="shared" si="11"/>
        <v>2013</v>
      </c>
    </row>
    <row r="728" spans="1:9">
      <c r="A728" s="1">
        <v>10015</v>
      </c>
      <c r="B728" s="1">
        <v>5</v>
      </c>
      <c r="C728" s="2">
        <v>41343</v>
      </c>
      <c r="D728" s="1" t="s">
        <v>2005</v>
      </c>
      <c r="E728" s="1">
        <v>100413</v>
      </c>
      <c r="F728" s="6" t="s">
        <v>2730</v>
      </c>
      <c r="G728" s="15" t="str">
        <f>VLOOKUP(A728,Movie!A:D,4,FALSE)</f>
        <v>TriStar</v>
      </c>
      <c r="H728" s="14">
        <f>VLOOKUP(E728,'Rental Transaction'!A:B,2,FALSE)</f>
        <v>694281</v>
      </c>
      <c r="I728">
        <f t="shared" si="11"/>
        <v>2013</v>
      </c>
    </row>
    <row r="729" spans="1:9">
      <c r="A729" s="1">
        <v>10069</v>
      </c>
      <c r="B729" s="1">
        <v>9</v>
      </c>
      <c r="C729" s="2">
        <v>41342</v>
      </c>
      <c r="D729" s="1" t="s">
        <v>2005</v>
      </c>
      <c r="E729" s="1">
        <v>100414</v>
      </c>
      <c r="F729" s="6" t="s">
        <v>2731</v>
      </c>
      <c r="G729" s="15" t="str">
        <f>VLOOKUP(A729,Movie!A:D,4,FALSE)</f>
        <v>Warner Brothers</v>
      </c>
      <c r="H729" s="14">
        <f>VLOOKUP(E729,'Rental Transaction'!A:B,2,FALSE)</f>
        <v>665282</v>
      </c>
      <c r="I729">
        <f t="shared" si="11"/>
        <v>2013</v>
      </c>
    </row>
    <row r="730" spans="1:9">
      <c r="A730" s="1">
        <v>10102</v>
      </c>
      <c r="B730" s="1">
        <v>7</v>
      </c>
      <c r="C730" s="2">
        <v>41342</v>
      </c>
      <c r="D730" s="1" t="s">
        <v>2002</v>
      </c>
      <c r="E730" s="1">
        <v>100414</v>
      </c>
      <c r="F730" s="6" t="s">
        <v>2732</v>
      </c>
      <c r="G730" s="15" t="str">
        <f>VLOOKUP(A730,Movie!A:D,4,FALSE)</f>
        <v>Universal</v>
      </c>
      <c r="H730" s="14">
        <f>VLOOKUP(E730,'Rental Transaction'!A:B,2,FALSE)</f>
        <v>665282</v>
      </c>
      <c r="I730">
        <f t="shared" si="11"/>
        <v>2013</v>
      </c>
    </row>
    <row r="731" spans="1:9">
      <c r="A731" s="1">
        <v>10092</v>
      </c>
      <c r="B731" s="1">
        <v>8</v>
      </c>
      <c r="C731" s="2">
        <v>41343</v>
      </c>
      <c r="D731" s="1" t="s">
        <v>2005</v>
      </c>
      <c r="E731" s="1">
        <v>100414</v>
      </c>
      <c r="F731" s="6" t="s">
        <v>2733</v>
      </c>
      <c r="G731" s="15" t="str">
        <f>VLOOKUP(A731,Movie!A:D,4,FALSE)</f>
        <v>Warner Brothers</v>
      </c>
      <c r="H731" s="14">
        <f>VLOOKUP(E731,'Rental Transaction'!A:B,2,FALSE)</f>
        <v>665282</v>
      </c>
      <c r="I731">
        <f t="shared" si="11"/>
        <v>2013</v>
      </c>
    </row>
    <row r="732" spans="1:9">
      <c r="A732" s="1">
        <v>10114</v>
      </c>
      <c r="B732" s="1">
        <v>7</v>
      </c>
      <c r="C732" s="2">
        <v>41344</v>
      </c>
      <c r="D732" s="1" t="s">
        <v>2002</v>
      </c>
      <c r="E732" s="1">
        <v>100415</v>
      </c>
      <c r="F732" s="6" t="s">
        <v>2734</v>
      </c>
      <c r="G732" s="15" t="str">
        <f>VLOOKUP(A732,Movie!A:D,4,FALSE)</f>
        <v>Lionsgate</v>
      </c>
      <c r="H732" s="14">
        <f>VLOOKUP(E732,'Rental Transaction'!A:B,2,FALSE)</f>
        <v>578275</v>
      </c>
      <c r="I732">
        <f t="shared" si="11"/>
        <v>2013</v>
      </c>
    </row>
    <row r="733" spans="1:9">
      <c r="A733" s="1">
        <v>10296</v>
      </c>
      <c r="B733" s="1">
        <v>7</v>
      </c>
      <c r="C733" s="2">
        <v>41342</v>
      </c>
      <c r="D733" s="1" t="s">
        <v>2002</v>
      </c>
      <c r="E733" s="1">
        <v>100415</v>
      </c>
      <c r="F733" s="6" t="s">
        <v>2735</v>
      </c>
      <c r="G733" s="15" t="str">
        <f>VLOOKUP(A733,Movie!A:D,4,FALSE)</f>
        <v>A24</v>
      </c>
      <c r="H733" s="14">
        <f>VLOOKUP(E733,'Rental Transaction'!A:B,2,FALSE)</f>
        <v>578275</v>
      </c>
      <c r="I733">
        <f t="shared" si="11"/>
        <v>2013</v>
      </c>
    </row>
    <row r="734" spans="1:9">
      <c r="A734" s="1">
        <v>10114</v>
      </c>
      <c r="B734" s="1">
        <v>1</v>
      </c>
      <c r="C734" s="2">
        <v>41343</v>
      </c>
      <c r="D734" s="1" t="s">
        <v>2002</v>
      </c>
      <c r="E734" s="1">
        <v>100416</v>
      </c>
      <c r="F734" s="6" t="s">
        <v>2736</v>
      </c>
      <c r="G734" s="15" t="str">
        <f>VLOOKUP(A734,Movie!A:D,4,FALSE)</f>
        <v>Lionsgate</v>
      </c>
      <c r="H734" s="14">
        <f>VLOOKUP(E734,'Rental Transaction'!A:B,2,FALSE)</f>
        <v>964403</v>
      </c>
      <c r="I734">
        <f t="shared" si="11"/>
        <v>2013</v>
      </c>
    </row>
    <row r="735" spans="1:9">
      <c r="A735" s="1">
        <v>10293</v>
      </c>
      <c r="B735" s="1">
        <v>5</v>
      </c>
      <c r="C735" s="2">
        <v>41343</v>
      </c>
      <c r="D735" s="1" t="s">
        <v>2002</v>
      </c>
      <c r="E735" s="1">
        <v>100417</v>
      </c>
      <c r="F735" s="6" t="s">
        <v>2737</v>
      </c>
      <c r="G735" s="15" t="str">
        <f>VLOOKUP(A735,Movie!A:D,4,FALSE)</f>
        <v>Relativity</v>
      </c>
      <c r="H735" s="14">
        <f>VLOOKUP(E735,'Rental Transaction'!A:B,2,FALSE)</f>
        <v>938006</v>
      </c>
      <c r="I735">
        <f t="shared" si="11"/>
        <v>2013</v>
      </c>
    </row>
    <row r="736" spans="1:9">
      <c r="A736" s="1">
        <v>10043</v>
      </c>
      <c r="B736" s="1">
        <v>6</v>
      </c>
      <c r="C736" s="2">
        <v>41343</v>
      </c>
      <c r="D736" s="1" t="s">
        <v>2002</v>
      </c>
      <c r="E736" s="1">
        <v>100417</v>
      </c>
      <c r="F736" s="6" t="s">
        <v>2738</v>
      </c>
      <c r="G736" s="15" t="str">
        <f>VLOOKUP(A736,Movie!A:D,4,FALSE)</f>
        <v>Screen Gems</v>
      </c>
      <c r="H736" s="14">
        <f>VLOOKUP(E736,'Rental Transaction'!A:B,2,FALSE)</f>
        <v>938006</v>
      </c>
      <c r="I736">
        <f t="shared" si="11"/>
        <v>2013</v>
      </c>
    </row>
    <row r="737" spans="1:9">
      <c r="A737" s="1">
        <v>10216</v>
      </c>
      <c r="B737" s="1">
        <v>6</v>
      </c>
      <c r="C737" s="2">
        <v>41343</v>
      </c>
      <c r="D737" s="1" t="s">
        <v>2002</v>
      </c>
      <c r="E737" s="1">
        <v>100417</v>
      </c>
      <c r="F737" s="6" t="s">
        <v>2739</v>
      </c>
      <c r="G737" s="15" t="str">
        <f>VLOOKUP(A737,Movie!A:D,4,FALSE)</f>
        <v>Sony</v>
      </c>
      <c r="H737" s="14">
        <f>VLOOKUP(E737,'Rental Transaction'!A:B,2,FALSE)</f>
        <v>938006</v>
      </c>
      <c r="I737">
        <f t="shared" si="11"/>
        <v>2013</v>
      </c>
    </row>
    <row r="738" spans="1:9">
      <c r="A738" s="1">
        <v>10199</v>
      </c>
      <c r="B738" s="1">
        <v>8</v>
      </c>
      <c r="C738" s="2">
        <v>41343</v>
      </c>
      <c r="D738" s="1" t="s">
        <v>2002</v>
      </c>
      <c r="E738" s="1">
        <v>100417</v>
      </c>
      <c r="F738" s="6" t="s">
        <v>2740</v>
      </c>
      <c r="G738" s="15" t="str">
        <f>VLOOKUP(A738,Movie!A:D,4,FALSE)</f>
        <v>Lionsgate</v>
      </c>
      <c r="H738" s="14">
        <f>VLOOKUP(E738,'Rental Transaction'!A:B,2,FALSE)</f>
        <v>938006</v>
      </c>
      <c r="I738">
        <f t="shared" si="11"/>
        <v>2013</v>
      </c>
    </row>
    <row r="739" spans="1:9">
      <c r="A739" s="1">
        <v>10278</v>
      </c>
      <c r="B739" s="1">
        <v>5</v>
      </c>
      <c r="C739" s="2">
        <v>41344</v>
      </c>
      <c r="D739" s="1" t="s">
        <v>2005</v>
      </c>
      <c r="E739" s="1">
        <v>100418</v>
      </c>
      <c r="F739" s="6" t="s">
        <v>2741</v>
      </c>
      <c r="G739" s="15" t="str">
        <f>VLOOKUP(A739,Movie!A:D,4,FALSE)</f>
        <v>Universal</v>
      </c>
      <c r="H739" s="14">
        <f>VLOOKUP(E739,'Rental Transaction'!A:B,2,FALSE)</f>
        <v>657495</v>
      </c>
      <c r="I739">
        <f t="shared" si="11"/>
        <v>2013</v>
      </c>
    </row>
    <row r="740" spans="1:9">
      <c r="A740" s="1">
        <v>10016</v>
      </c>
      <c r="B740" s="1">
        <v>9</v>
      </c>
      <c r="C740" s="2">
        <v>41343</v>
      </c>
      <c r="D740" s="1" t="s">
        <v>2002</v>
      </c>
      <c r="E740" s="1">
        <v>100419</v>
      </c>
      <c r="F740" s="6" t="s">
        <v>2742</v>
      </c>
      <c r="G740" s="15" t="str">
        <f>VLOOKUP(A740,Movie!A:D,4,FALSE)</f>
        <v>Universal</v>
      </c>
      <c r="H740" s="14">
        <f>VLOOKUP(E740,'Rental Transaction'!A:B,2,FALSE)</f>
        <v>841141</v>
      </c>
      <c r="I740">
        <f t="shared" si="11"/>
        <v>2013</v>
      </c>
    </row>
    <row r="741" spans="1:9">
      <c r="A741" s="1">
        <v>10236</v>
      </c>
      <c r="B741" s="1">
        <v>10</v>
      </c>
      <c r="C741" s="2">
        <v>41343</v>
      </c>
      <c r="D741" s="1" t="s">
        <v>2005</v>
      </c>
      <c r="E741" s="1">
        <v>100420</v>
      </c>
      <c r="F741" s="6" t="s">
        <v>2743</v>
      </c>
      <c r="G741" s="15" t="str">
        <f>VLOOKUP(A741,Movie!A:D,4,FALSE)</f>
        <v>Lionsgate</v>
      </c>
      <c r="H741" s="14">
        <f>VLOOKUP(E741,'Rental Transaction'!A:B,2,FALSE)</f>
        <v>380003</v>
      </c>
      <c r="I741">
        <f t="shared" si="11"/>
        <v>2013</v>
      </c>
    </row>
    <row r="742" spans="1:9">
      <c r="A742" s="1">
        <v>10043</v>
      </c>
      <c r="B742" s="1">
        <v>6</v>
      </c>
      <c r="C742" s="2">
        <v>41344</v>
      </c>
      <c r="D742" s="1" t="s">
        <v>2005</v>
      </c>
      <c r="E742" s="1">
        <v>100421</v>
      </c>
      <c r="F742" s="6" t="s">
        <v>2744</v>
      </c>
      <c r="G742" s="15" t="str">
        <f>VLOOKUP(A742,Movie!A:D,4,FALSE)</f>
        <v>Screen Gems</v>
      </c>
      <c r="H742" s="14">
        <f>VLOOKUP(E742,'Rental Transaction'!A:B,2,FALSE)</f>
        <v>771285</v>
      </c>
      <c r="I742">
        <f t="shared" si="11"/>
        <v>2013</v>
      </c>
    </row>
    <row r="743" spans="1:9">
      <c r="A743" s="1">
        <v>10040</v>
      </c>
      <c r="B743" s="1">
        <v>10</v>
      </c>
      <c r="C743" s="2">
        <v>41344</v>
      </c>
      <c r="D743" s="1" t="s">
        <v>2005</v>
      </c>
      <c r="E743" s="1">
        <v>100421</v>
      </c>
      <c r="F743" s="6" t="s">
        <v>2745</v>
      </c>
      <c r="G743" s="15" t="str">
        <f>VLOOKUP(A743,Movie!A:D,4,FALSE)</f>
        <v>Universal</v>
      </c>
      <c r="H743" s="14">
        <f>VLOOKUP(E743,'Rental Transaction'!A:B,2,FALSE)</f>
        <v>771285</v>
      </c>
      <c r="I743">
        <f t="shared" si="11"/>
        <v>2013</v>
      </c>
    </row>
    <row r="744" spans="1:9">
      <c r="A744" s="1">
        <v>10232</v>
      </c>
      <c r="B744" s="1">
        <v>8</v>
      </c>
      <c r="C744" s="2">
        <v>41345</v>
      </c>
      <c r="D744" s="1" t="s">
        <v>2005</v>
      </c>
      <c r="E744" s="1">
        <v>100421</v>
      </c>
      <c r="F744" s="6" t="s">
        <v>2746</v>
      </c>
      <c r="G744" s="15" t="str">
        <f>VLOOKUP(A744,Movie!A:D,4,FALSE)</f>
        <v>Paramount</v>
      </c>
      <c r="H744" s="14">
        <f>VLOOKUP(E744,'Rental Transaction'!A:B,2,FALSE)</f>
        <v>771285</v>
      </c>
      <c r="I744">
        <f t="shared" si="11"/>
        <v>2013</v>
      </c>
    </row>
    <row r="745" spans="1:9">
      <c r="A745" s="1">
        <v>10133</v>
      </c>
      <c r="B745" s="1">
        <v>6</v>
      </c>
      <c r="C745" s="2">
        <v>41345</v>
      </c>
      <c r="D745" s="1" t="s">
        <v>2002</v>
      </c>
      <c r="E745" s="1">
        <v>100422</v>
      </c>
      <c r="F745" s="6" t="s">
        <v>2747</v>
      </c>
      <c r="G745" s="15" t="str">
        <f>VLOOKUP(A745,Movie!A:D,4,FALSE)</f>
        <v>Fox</v>
      </c>
      <c r="H745" s="14">
        <f>VLOOKUP(E745,'Rental Transaction'!A:B,2,FALSE)</f>
        <v>671363</v>
      </c>
      <c r="I745">
        <f t="shared" si="11"/>
        <v>2013</v>
      </c>
    </row>
    <row r="746" spans="1:9">
      <c r="A746" s="1">
        <v>10064</v>
      </c>
      <c r="B746" s="1">
        <v>9</v>
      </c>
      <c r="C746" s="2">
        <v>41345</v>
      </c>
      <c r="D746" s="1" t="s">
        <v>2002</v>
      </c>
      <c r="E746" s="1">
        <v>100423</v>
      </c>
      <c r="F746" s="6" t="s">
        <v>2748</v>
      </c>
      <c r="G746" s="15" t="str">
        <f>VLOOKUP(A746,Movie!A:D,4,FALSE)</f>
        <v>Universal</v>
      </c>
      <c r="H746" s="14">
        <f>VLOOKUP(E746,'Rental Transaction'!A:B,2,FALSE)</f>
        <v>166135</v>
      </c>
      <c r="I746">
        <f t="shared" si="11"/>
        <v>2013</v>
      </c>
    </row>
    <row r="747" spans="1:9">
      <c r="A747" s="1">
        <v>10199</v>
      </c>
      <c r="B747" s="1">
        <v>2</v>
      </c>
      <c r="C747" s="2">
        <v>41344</v>
      </c>
      <c r="D747" s="1" t="s">
        <v>2005</v>
      </c>
      <c r="E747" s="1">
        <v>100424</v>
      </c>
      <c r="F747" s="6" t="s">
        <v>2749</v>
      </c>
      <c r="G747" s="15" t="str">
        <f>VLOOKUP(A747,Movie!A:D,4,FALSE)</f>
        <v>Lionsgate</v>
      </c>
      <c r="H747" s="14">
        <f>VLOOKUP(E747,'Rental Transaction'!A:B,2,FALSE)</f>
        <v>616028</v>
      </c>
      <c r="I747">
        <f t="shared" si="11"/>
        <v>2013</v>
      </c>
    </row>
    <row r="748" spans="1:9">
      <c r="A748" s="1">
        <v>10151</v>
      </c>
      <c r="B748" s="1">
        <v>3</v>
      </c>
      <c r="C748" s="2">
        <v>41344</v>
      </c>
      <c r="D748" s="1" t="s">
        <v>2002</v>
      </c>
      <c r="E748" s="1">
        <v>100424</v>
      </c>
      <c r="F748" s="6" t="s">
        <v>2750</v>
      </c>
      <c r="G748" s="15" t="str">
        <f>VLOOKUP(A748,Movie!A:D,4,FALSE)</f>
        <v>Screen Gems</v>
      </c>
      <c r="H748" s="14">
        <f>VLOOKUP(E748,'Rental Transaction'!A:B,2,FALSE)</f>
        <v>616028</v>
      </c>
      <c r="I748">
        <f t="shared" si="11"/>
        <v>2013</v>
      </c>
    </row>
    <row r="749" spans="1:9">
      <c r="A749" s="1">
        <v>10075</v>
      </c>
      <c r="B749" s="1">
        <v>2</v>
      </c>
      <c r="C749" s="2">
        <v>41345</v>
      </c>
      <c r="D749" s="1" t="s">
        <v>2005</v>
      </c>
      <c r="E749" s="1">
        <v>100424</v>
      </c>
      <c r="F749" s="6" t="s">
        <v>2751</v>
      </c>
      <c r="G749" s="15" t="str">
        <f>VLOOKUP(A749,Movie!A:D,4,FALSE)</f>
        <v>Fox Searchlight</v>
      </c>
      <c r="H749" s="14">
        <f>VLOOKUP(E749,'Rental Transaction'!A:B,2,FALSE)</f>
        <v>616028</v>
      </c>
      <c r="I749">
        <f t="shared" si="11"/>
        <v>2013</v>
      </c>
    </row>
    <row r="750" spans="1:9">
      <c r="A750" s="1">
        <v>10094</v>
      </c>
      <c r="B750" s="1">
        <v>6</v>
      </c>
      <c r="C750" s="2">
        <v>41345</v>
      </c>
      <c r="D750" s="1" t="s">
        <v>2002</v>
      </c>
      <c r="E750" s="1">
        <v>100425</v>
      </c>
      <c r="F750" s="6" t="s">
        <v>2752</v>
      </c>
      <c r="G750" s="15" t="str">
        <f>VLOOKUP(A750,Movie!A:D,4,FALSE)</f>
        <v>Relativity</v>
      </c>
      <c r="H750" s="14">
        <f>VLOOKUP(E750,'Rental Transaction'!A:B,2,FALSE)</f>
        <v>537860</v>
      </c>
      <c r="I750">
        <f t="shared" si="11"/>
        <v>2013</v>
      </c>
    </row>
    <row r="751" spans="1:9">
      <c r="A751" s="1">
        <v>10229</v>
      </c>
      <c r="B751" s="1">
        <v>3</v>
      </c>
      <c r="C751" s="2">
        <v>41345</v>
      </c>
      <c r="D751" s="1" t="s">
        <v>2005</v>
      </c>
      <c r="E751" s="1">
        <v>100425</v>
      </c>
      <c r="F751" s="6" t="s">
        <v>2753</v>
      </c>
      <c r="G751" s="15" t="str">
        <f>VLOOKUP(A751,Movie!A:D,4,FALSE)</f>
        <v>TriStar</v>
      </c>
      <c r="H751" s="14">
        <f>VLOOKUP(E751,'Rental Transaction'!A:B,2,FALSE)</f>
        <v>537860</v>
      </c>
      <c r="I751">
        <f t="shared" si="11"/>
        <v>2013</v>
      </c>
    </row>
    <row r="752" spans="1:9">
      <c r="A752" s="1">
        <v>10040</v>
      </c>
      <c r="B752" s="1">
        <v>9</v>
      </c>
      <c r="C752" s="2">
        <v>41346</v>
      </c>
      <c r="D752" s="1" t="s">
        <v>2002</v>
      </c>
      <c r="E752" s="1">
        <v>100426</v>
      </c>
      <c r="F752" s="6" t="s">
        <v>2754</v>
      </c>
      <c r="G752" s="15" t="str">
        <f>VLOOKUP(A752,Movie!A:D,4,FALSE)</f>
        <v>Universal</v>
      </c>
      <c r="H752" s="14">
        <f>VLOOKUP(E752,'Rental Transaction'!A:B,2,FALSE)</f>
        <v>747066</v>
      </c>
      <c r="I752">
        <f t="shared" si="11"/>
        <v>2013</v>
      </c>
    </row>
    <row r="753" spans="1:9">
      <c r="A753" s="1">
        <v>10063</v>
      </c>
      <c r="B753" s="1">
        <v>10</v>
      </c>
      <c r="C753" s="2">
        <v>41346</v>
      </c>
      <c r="D753" s="1" t="s">
        <v>2005</v>
      </c>
      <c r="E753" s="1">
        <v>100426</v>
      </c>
      <c r="F753" s="6" t="s">
        <v>2755</v>
      </c>
      <c r="G753" s="15" t="str">
        <f>VLOOKUP(A753,Movie!A:D,4,FALSE)</f>
        <v>CBS Films</v>
      </c>
      <c r="H753" s="14">
        <f>VLOOKUP(E753,'Rental Transaction'!A:B,2,FALSE)</f>
        <v>747066</v>
      </c>
      <c r="I753">
        <f t="shared" si="11"/>
        <v>2013</v>
      </c>
    </row>
    <row r="754" spans="1:9" ht="29.25">
      <c r="A754" s="1">
        <v>10144</v>
      </c>
      <c r="B754" s="1">
        <v>7</v>
      </c>
      <c r="C754" s="2">
        <v>41348</v>
      </c>
      <c r="D754" s="1" t="s">
        <v>2005</v>
      </c>
      <c r="E754" s="1">
        <v>100427</v>
      </c>
      <c r="F754" s="6" t="s">
        <v>2756</v>
      </c>
      <c r="G754" s="15" t="str">
        <f>VLOOKUP(A754,Movie!A:D,4,FALSE)</f>
        <v>Weinstein Company</v>
      </c>
      <c r="H754" s="14">
        <f>VLOOKUP(E754,'Rental Transaction'!A:B,2,FALSE)</f>
        <v>905670</v>
      </c>
      <c r="I754">
        <f t="shared" si="11"/>
        <v>2013</v>
      </c>
    </row>
    <row r="755" spans="1:9">
      <c r="A755" s="1">
        <v>10170</v>
      </c>
      <c r="B755" s="1">
        <v>9</v>
      </c>
      <c r="C755" s="2">
        <v>41347</v>
      </c>
      <c r="D755" s="1" t="s">
        <v>2002</v>
      </c>
      <c r="E755" s="1">
        <v>100427</v>
      </c>
      <c r="F755" s="6" t="s">
        <v>2757</v>
      </c>
      <c r="G755" s="15" t="str">
        <f>VLOOKUP(A755,Movie!A:D,4,FALSE)</f>
        <v>Sony Classics</v>
      </c>
      <c r="H755" s="14">
        <f>VLOOKUP(E755,'Rental Transaction'!A:B,2,FALSE)</f>
        <v>905670</v>
      </c>
      <c r="I755">
        <f t="shared" si="11"/>
        <v>2013</v>
      </c>
    </row>
    <row r="756" spans="1:9">
      <c r="A756" s="1">
        <v>10103</v>
      </c>
      <c r="B756" s="1">
        <v>10</v>
      </c>
      <c r="C756" s="2">
        <v>41349</v>
      </c>
      <c r="D756" s="1" t="s">
        <v>2005</v>
      </c>
      <c r="E756" s="1">
        <v>100428</v>
      </c>
      <c r="F756" s="6" t="s">
        <v>2758</v>
      </c>
      <c r="G756" s="15" t="str">
        <f>VLOOKUP(A756,Movie!A:D,4,FALSE)</f>
        <v>Fox</v>
      </c>
      <c r="H756" s="14">
        <f>VLOOKUP(E756,'Rental Transaction'!A:B,2,FALSE)</f>
        <v>973766</v>
      </c>
      <c r="I756">
        <f t="shared" si="11"/>
        <v>2013</v>
      </c>
    </row>
    <row r="757" spans="1:9">
      <c r="A757" s="1">
        <v>10017</v>
      </c>
      <c r="B757" s="1">
        <v>10</v>
      </c>
      <c r="C757" s="2">
        <v>41347</v>
      </c>
      <c r="D757" s="1" t="s">
        <v>2002</v>
      </c>
      <c r="E757" s="1">
        <v>100429</v>
      </c>
      <c r="F757" s="6" t="s">
        <v>2759</v>
      </c>
      <c r="G757" s="15" t="str">
        <f>VLOOKUP(A757,Movie!A:D,4,FALSE)</f>
        <v>Sony</v>
      </c>
      <c r="H757" s="14">
        <f>VLOOKUP(E757,'Rental Transaction'!A:B,2,FALSE)</f>
        <v>624668</v>
      </c>
      <c r="I757">
        <f t="shared" si="11"/>
        <v>2013</v>
      </c>
    </row>
    <row r="758" spans="1:9">
      <c r="A758" s="1">
        <v>10133</v>
      </c>
      <c r="B758" s="1">
        <v>8</v>
      </c>
      <c r="C758" s="2">
        <v>41347</v>
      </c>
      <c r="D758" s="1" t="s">
        <v>2005</v>
      </c>
      <c r="E758" s="1">
        <v>100430</v>
      </c>
      <c r="F758" s="6" t="s">
        <v>2760</v>
      </c>
      <c r="G758" s="15" t="str">
        <f>VLOOKUP(A758,Movie!A:D,4,FALSE)</f>
        <v>Fox</v>
      </c>
      <c r="H758" s="14">
        <f>VLOOKUP(E758,'Rental Transaction'!A:B,2,FALSE)</f>
        <v>358901</v>
      </c>
      <c r="I758">
        <f t="shared" si="11"/>
        <v>2013</v>
      </c>
    </row>
    <row r="759" spans="1:9">
      <c r="A759" s="1">
        <v>10256</v>
      </c>
      <c r="B759" s="1">
        <v>6</v>
      </c>
      <c r="C759" s="2">
        <v>41347</v>
      </c>
      <c r="D759" s="1" t="s">
        <v>2002</v>
      </c>
      <c r="E759" s="1">
        <v>100430</v>
      </c>
      <c r="F759" s="6" t="s">
        <v>2761</v>
      </c>
      <c r="G759" s="15" t="str">
        <f>VLOOKUP(A759,Movie!A:D,4,FALSE)</f>
        <v>Fox</v>
      </c>
      <c r="H759" s="14">
        <f>VLOOKUP(E759,'Rental Transaction'!A:B,2,FALSE)</f>
        <v>358901</v>
      </c>
      <c r="I759">
        <f t="shared" si="11"/>
        <v>2013</v>
      </c>
    </row>
    <row r="760" spans="1:9">
      <c r="A760" s="1">
        <v>10238</v>
      </c>
      <c r="B760" s="1">
        <v>7</v>
      </c>
      <c r="C760" s="2">
        <v>41349</v>
      </c>
      <c r="D760" s="1" t="s">
        <v>2005</v>
      </c>
      <c r="E760" s="1">
        <v>100430</v>
      </c>
      <c r="F760" s="6" t="s">
        <v>2762</v>
      </c>
      <c r="G760" s="15" t="str">
        <f>VLOOKUP(A760,Movie!A:D,4,FALSE)</f>
        <v>Warner Brothers</v>
      </c>
      <c r="H760" s="14">
        <f>VLOOKUP(E760,'Rental Transaction'!A:B,2,FALSE)</f>
        <v>358901</v>
      </c>
      <c r="I760">
        <f t="shared" si="11"/>
        <v>2013</v>
      </c>
    </row>
    <row r="761" spans="1:9">
      <c r="A761" s="1">
        <v>10090</v>
      </c>
      <c r="B761" s="1">
        <v>1</v>
      </c>
      <c r="C761" s="2">
        <v>41349</v>
      </c>
      <c r="D761" s="1" t="s">
        <v>2005</v>
      </c>
      <c r="E761" s="1">
        <v>100430</v>
      </c>
      <c r="F761" s="6" t="s">
        <v>2763</v>
      </c>
      <c r="G761" s="15" t="str">
        <f>VLOOKUP(A761,Movie!A:D,4,FALSE)</f>
        <v>Paramount</v>
      </c>
      <c r="H761" s="14">
        <f>VLOOKUP(E761,'Rental Transaction'!A:B,2,FALSE)</f>
        <v>358901</v>
      </c>
      <c r="I761">
        <f t="shared" si="11"/>
        <v>2013</v>
      </c>
    </row>
    <row r="762" spans="1:9">
      <c r="A762" s="1">
        <v>10006</v>
      </c>
      <c r="B762" s="1">
        <v>4</v>
      </c>
      <c r="C762" s="2">
        <v>41348</v>
      </c>
      <c r="D762" s="1" t="s">
        <v>2005</v>
      </c>
      <c r="E762" s="1">
        <v>100431</v>
      </c>
      <c r="F762" s="6" t="s">
        <v>2764</v>
      </c>
      <c r="G762" s="15" t="str">
        <f>VLOOKUP(A762,Movie!A:D,4,FALSE)</f>
        <v>Paramount</v>
      </c>
      <c r="H762" s="14">
        <f>VLOOKUP(E762,'Rental Transaction'!A:B,2,FALSE)</f>
        <v>427826</v>
      </c>
      <c r="I762">
        <f t="shared" si="11"/>
        <v>2013</v>
      </c>
    </row>
    <row r="763" spans="1:9">
      <c r="A763" s="1">
        <v>10145</v>
      </c>
      <c r="B763" s="1">
        <v>2</v>
      </c>
      <c r="C763" s="2">
        <v>41349</v>
      </c>
      <c r="D763" s="1" t="s">
        <v>2002</v>
      </c>
      <c r="E763" s="1">
        <v>100432</v>
      </c>
      <c r="F763" s="6" t="s">
        <v>2765</v>
      </c>
      <c r="G763" s="15" t="str">
        <f>VLOOKUP(A763,Movie!A:D,4,FALSE)</f>
        <v>TriStar</v>
      </c>
      <c r="H763" s="14">
        <f>VLOOKUP(E763,'Rental Transaction'!A:B,2,FALSE)</f>
        <v>308662</v>
      </c>
      <c r="I763">
        <f t="shared" si="11"/>
        <v>2013</v>
      </c>
    </row>
    <row r="764" spans="1:9">
      <c r="A764" s="1">
        <v>10187</v>
      </c>
      <c r="B764" s="1">
        <v>1</v>
      </c>
      <c r="C764" s="2">
        <v>41348</v>
      </c>
      <c r="D764" s="1" t="s">
        <v>2002</v>
      </c>
      <c r="E764" s="1">
        <v>100433</v>
      </c>
      <c r="F764" s="6" t="s">
        <v>2766</v>
      </c>
      <c r="G764" s="15" t="str">
        <f>VLOOKUP(A764,Movie!A:D,4,FALSE)</f>
        <v>Paramount</v>
      </c>
      <c r="H764" s="14">
        <f>VLOOKUP(E764,'Rental Transaction'!A:B,2,FALSE)</f>
        <v>840970</v>
      </c>
      <c r="I764">
        <f t="shared" si="11"/>
        <v>2013</v>
      </c>
    </row>
    <row r="765" spans="1:9">
      <c r="A765" s="1">
        <v>10243</v>
      </c>
      <c r="B765" s="1">
        <v>5</v>
      </c>
      <c r="C765" s="2">
        <v>41348</v>
      </c>
      <c r="D765" s="1" t="s">
        <v>2005</v>
      </c>
      <c r="E765" s="1">
        <v>100434</v>
      </c>
      <c r="F765" s="6" t="s">
        <v>2767</v>
      </c>
      <c r="G765" s="15" t="str">
        <f>VLOOKUP(A765,Movie!A:D,4,FALSE)</f>
        <v>Fox</v>
      </c>
      <c r="H765" s="14">
        <f>VLOOKUP(E765,'Rental Transaction'!A:B,2,FALSE)</f>
        <v>793987</v>
      </c>
      <c r="I765">
        <f t="shared" si="11"/>
        <v>2013</v>
      </c>
    </row>
    <row r="766" spans="1:9">
      <c r="A766" s="1">
        <v>10289</v>
      </c>
      <c r="B766" s="1">
        <v>6</v>
      </c>
      <c r="C766" s="2">
        <v>41348</v>
      </c>
      <c r="D766" s="1" t="s">
        <v>2002</v>
      </c>
      <c r="E766" s="1">
        <v>100434</v>
      </c>
      <c r="F766" s="6" t="s">
        <v>2768</v>
      </c>
      <c r="G766" s="15" t="str">
        <f>VLOOKUP(A766,Movie!A:D,4,FALSE)</f>
        <v>Open Road Films</v>
      </c>
      <c r="H766" s="14">
        <f>VLOOKUP(E766,'Rental Transaction'!A:B,2,FALSE)</f>
        <v>793987</v>
      </c>
      <c r="I766">
        <f t="shared" si="11"/>
        <v>2013</v>
      </c>
    </row>
    <row r="767" spans="1:9">
      <c r="A767" s="1">
        <v>10005</v>
      </c>
      <c r="B767" s="1">
        <v>6</v>
      </c>
      <c r="C767" s="2">
        <v>41349</v>
      </c>
      <c r="D767" s="1" t="s">
        <v>2002</v>
      </c>
      <c r="E767" s="1">
        <v>100434</v>
      </c>
      <c r="F767" s="6" t="s">
        <v>2769</v>
      </c>
      <c r="G767" s="15" t="str">
        <f>VLOOKUP(A767,Movie!A:D,4,FALSE)</f>
        <v>Buena Vista</v>
      </c>
      <c r="H767" s="14">
        <f>VLOOKUP(E767,'Rental Transaction'!A:B,2,FALSE)</f>
        <v>793987</v>
      </c>
      <c r="I767">
        <f t="shared" si="11"/>
        <v>2013</v>
      </c>
    </row>
    <row r="768" spans="1:9">
      <c r="A768" s="1">
        <v>10122</v>
      </c>
      <c r="B768" s="1">
        <v>1</v>
      </c>
      <c r="C768" s="2">
        <v>41349</v>
      </c>
      <c r="D768" s="1" t="s">
        <v>2005</v>
      </c>
      <c r="E768" s="1">
        <v>100435</v>
      </c>
      <c r="F768" s="6" t="s">
        <v>2770</v>
      </c>
      <c r="G768" s="15" t="str">
        <f>VLOOKUP(A768,Movie!A:D,4,FALSE)</f>
        <v>Relativity</v>
      </c>
      <c r="H768" s="14">
        <f>VLOOKUP(E768,'Rental Transaction'!A:B,2,FALSE)</f>
        <v>840096</v>
      </c>
      <c r="I768">
        <f t="shared" si="11"/>
        <v>2013</v>
      </c>
    </row>
    <row r="769" spans="1:9">
      <c r="A769" s="1">
        <v>10238</v>
      </c>
      <c r="B769" s="1">
        <v>4</v>
      </c>
      <c r="C769" s="2">
        <v>41348</v>
      </c>
      <c r="D769" s="1" t="s">
        <v>2005</v>
      </c>
      <c r="E769" s="1">
        <v>100435</v>
      </c>
      <c r="F769" s="6" t="s">
        <v>2771</v>
      </c>
      <c r="G769" s="15" t="str">
        <f>VLOOKUP(A769,Movie!A:D,4,FALSE)</f>
        <v>Warner Brothers</v>
      </c>
      <c r="H769" s="14">
        <f>VLOOKUP(E769,'Rental Transaction'!A:B,2,FALSE)</f>
        <v>840096</v>
      </c>
      <c r="I769">
        <f t="shared" si="11"/>
        <v>2013</v>
      </c>
    </row>
    <row r="770" spans="1:9">
      <c r="A770" s="1">
        <v>10259</v>
      </c>
      <c r="B770" s="1">
        <v>10</v>
      </c>
      <c r="C770" s="2">
        <v>41348</v>
      </c>
      <c r="D770" s="1" t="s">
        <v>2005</v>
      </c>
      <c r="E770" s="1">
        <v>100436</v>
      </c>
      <c r="F770" s="6" t="s">
        <v>2772</v>
      </c>
      <c r="G770" s="15" t="str">
        <f>VLOOKUP(A770,Movie!A:D,4,FALSE)</f>
        <v>Warner Brothers</v>
      </c>
      <c r="H770" s="14">
        <f>VLOOKUP(E770,'Rental Transaction'!A:B,2,FALSE)</f>
        <v>880238</v>
      </c>
      <c r="I770">
        <f t="shared" si="11"/>
        <v>2013</v>
      </c>
    </row>
    <row r="771" spans="1:9">
      <c r="A771" s="1">
        <v>10210</v>
      </c>
      <c r="B771" s="1">
        <v>2</v>
      </c>
      <c r="C771" s="2">
        <v>41348</v>
      </c>
      <c r="D771" s="1" t="s">
        <v>2002</v>
      </c>
      <c r="E771" s="1">
        <v>100436</v>
      </c>
      <c r="F771" s="6" t="s">
        <v>2773</v>
      </c>
      <c r="G771" s="15" t="str">
        <f>VLOOKUP(A771,Movie!A:D,4,FALSE)</f>
        <v>Sony</v>
      </c>
      <c r="H771" s="14">
        <f>VLOOKUP(E771,'Rental Transaction'!A:B,2,FALSE)</f>
        <v>880238</v>
      </c>
      <c r="I771">
        <f t="shared" ref="I771:I834" si="12">YEAR(C771)</f>
        <v>2013</v>
      </c>
    </row>
    <row r="772" spans="1:9">
      <c r="A772" s="1">
        <v>10235</v>
      </c>
      <c r="B772" s="1">
        <v>5</v>
      </c>
      <c r="C772" s="2">
        <v>41348</v>
      </c>
      <c r="D772" s="1" t="s">
        <v>2005</v>
      </c>
      <c r="E772" s="1">
        <v>100436</v>
      </c>
      <c r="F772" s="6" t="s">
        <v>2774</v>
      </c>
      <c r="G772" s="15" t="str">
        <f>VLOOKUP(A772,Movie!A:D,4,FALSE)</f>
        <v>Lionsgate</v>
      </c>
      <c r="H772" s="14">
        <f>VLOOKUP(E772,'Rental Transaction'!A:B,2,FALSE)</f>
        <v>880238</v>
      </c>
      <c r="I772">
        <f t="shared" si="12"/>
        <v>2013</v>
      </c>
    </row>
    <row r="773" spans="1:9">
      <c r="A773" s="1">
        <v>10198</v>
      </c>
      <c r="B773" s="1">
        <v>6</v>
      </c>
      <c r="C773" s="2">
        <v>41349</v>
      </c>
      <c r="D773" s="1" t="s">
        <v>2005</v>
      </c>
      <c r="E773" s="1">
        <v>100437</v>
      </c>
      <c r="F773" s="6" t="s">
        <v>2775</v>
      </c>
      <c r="G773" s="15" t="str">
        <f>VLOOKUP(A773,Movie!A:D,4,FALSE)</f>
        <v>Fox</v>
      </c>
      <c r="H773" s="14">
        <f>VLOOKUP(E773,'Rental Transaction'!A:B,2,FALSE)</f>
        <v>837763</v>
      </c>
      <c r="I773">
        <f t="shared" si="12"/>
        <v>2013</v>
      </c>
    </row>
    <row r="774" spans="1:9">
      <c r="A774" s="1">
        <v>10007</v>
      </c>
      <c r="B774" s="1">
        <v>10</v>
      </c>
      <c r="C774" s="2">
        <v>41349</v>
      </c>
      <c r="D774" s="1" t="s">
        <v>2005</v>
      </c>
      <c r="E774" s="1">
        <v>100437</v>
      </c>
      <c r="F774" s="6" t="s">
        <v>2776</v>
      </c>
      <c r="G774" s="15" t="str">
        <f>VLOOKUP(A774,Movie!A:D,4,FALSE)</f>
        <v>Sony</v>
      </c>
      <c r="H774" s="14">
        <f>VLOOKUP(E774,'Rental Transaction'!A:B,2,FALSE)</f>
        <v>837763</v>
      </c>
      <c r="I774">
        <f t="shared" si="12"/>
        <v>2013</v>
      </c>
    </row>
    <row r="775" spans="1:9">
      <c r="A775" s="1">
        <v>10000</v>
      </c>
      <c r="B775" s="1">
        <v>2</v>
      </c>
      <c r="C775" s="2">
        <v>41349</v>
      </c>
      <c r="D775" s="1" t="s">
        <v>2005</v>
      </c>
      <c r="E775" s="1">
        <v>100437</v>
      </c>
      <c r="F775" s="6" t="s">
        <v>2777</v>
      </c>
      <c r="G775" s="15" t="str">
        <f>VLOOKUP(A775,Movie!A:D,4,FALSE)</f>
        <v>TriStar</v>
      </c>
      <c r="H775" s="14">
        <f>VLOOKUP(E775,'Rental Transaction'!A:B,2,FALSE)</f>
        <v>837763</v>
      </c>
      <c r="I775">
        <f t="shared" si="12"/>
        <v>2013</v>
      </c>
    </row>
    <row r="776" spans="1:9">
      <c r="A776" s="1">
        <v>10090</v>
      </c>
      <c r="B776" s="1">
        <v>9</v>
      </c>
      <c r="C776" s="2">
        <v>41349</v>
      </c>
      <c r="D776" s="1" t="s">
        <v>2002</v>
      </c>
      <c r="E776" s="1">
        <v>100437</v>
      </c>
      <c r="F776" s="6" t="s">
        <v>2778</v>
      </c>
      <c r="G776" s="15" t="str">
        <f>VLOOKUP(A776,Movie!A:D,4,FALSE)</f>
        <v>Paramount</v>
      </c>
      <c r="H776" s="14">
        <f>VLOOKUP(E776,'Rental Transaction'!A:B,2,FALSE)</f>
        <v>837763</v>
      </c>
      <c r="I776">
        <f t="shared" si="12"/>
        <v>2013</v>
      </c>
    </row>
    <row r="777" spans="1:9">
      <c r="A777" s="1">
        <v>10046</v>
      </c>
      <c r="B777" s="1">
        <v>10</v>
      </c>
      <c r="C777" s="2">
        <v>41350</v>
      </c>
      <c r="D777" s="1" t="s">
        <v>2005</v>
      </c>
      <c r="E777" s="1">
        <v>100438</v>
      </c>
      <c r="F777" s="6" t="s">
        <v>2779</v>
      </c>
      <c r="G777" s="15" t="str">
        <f>VLOOKUP(A777,Movie!A:D,4,FALSE)</f>
        <v>Sony</v>
      </c>
      <c r="H777" s="14">
        <f>VLOOKUP(E777,'Rental Transaction'!A:B,2,FALSE)</f>
        <v>426984</v>
      </c>
      <c r="I777">
        <f t="shared" si="12"/>
        <v>2013</v>
      </c>
    </row>
    <row r="778" spans="1:9">
      <c r="A778" s="1">
        <v>10149</v>
      </c>
      <c r="B778" s="1">
        <v>2</v>
      </c>
      <c r="C778" s="2">
        <v>41349</v>
      </c>
      <c r="D778" s="1" t="s">
        <v>2005</v>
      </c>
      <c r="E778" s="1">
        <v>100439</v>
      </c>
      <c r="F778" s="6" t="s">
        <v>2780</v>
      </c>
      <c r="G778" s="15" t="str">
        <f>VLOOKUP(A778,Movie!A:D,4,FALSE)</f>
        <v>Relativity</v>
      </c>
      <c r="H778" s="14">
        <f>VLOOKUP(E778,'Rental Transaction'!A:B,2,FALSE)</f>
        <v>724813</v>
      </c>
      <c r="I778">
        <f t="shared" si="12"/>
        <v>2013</v>
      </c>
    </row>
    <row r="779" spans="1:9">
      <c r="A779" s="1">
        <v>10031</v>
      </c>
      <c r="B779" s="1">
        <v>2</v>
      </c>
      <c r="C779" s="2">
        <v>41350</v>
      </c>
      <c r="D779" s="1" t="s">
        <v>2002</v>
      </c>
      <c r="E779" s="1">
        <v>100440</v>
      </c>
      <c r="F779" s="6" t="s">
        <v>2781</v>
      </c>
      <c r="G779" s="15" t="str">
        <f>VLOOKUP(A779,Movie!A:D,4,FALSE)</f>
        <v>Warner Brothers</v>
      </c>
      <c r="H779" s="14">
        <f>VLOOKUP(E779,'Rental Transaction'!A:B,2,FALSE)</f>
        <v>649551</v>
      </c>
      <c r="I779">
        <f t="shared" si="12"/>
        <v>2013</v>
      </c>
    </row>
    <row r="780" spans="1:9">
      <c r="A780" s="1">
        <v>10277</v>
      </c>
      <c r="B780" s="1">
        <v>10</v>
      </c>
      <c r="C780" s="2">
        <v>41351</v>
      </c>
      <c r="D780" s="1" t="s">
        <v>2005</v>
      </c>
      <c r="E780" s="1">
        <v>100440</v>
      </c>
      <c r="F780" s="6" t="s">
        <v>2782</v>
      </c>
      <c r="G780" s="15" t="str">
        <f>VLOOKUP(A780,Movie!A:D,4,FALSE)</f>
        <v>Universal</v>
      </c>
      <c r="H780" s="14">
        <f>VLOOKUP(E780,'Rental Transaction'!A:B,2,FALSE)</f>
        <v>649551</v>
      </c>
      <c r="I780">
        <f t="shared" si="12"/>
        <v>2013</v>
      </c>
    </row>
    <row r="781" spans="1:9">
      <c r="A781" s="1">
        <v>10029</v>
      </c>
      <c r="B781" s="1">
        <v>8</v>
      </c>
      <c r="C781" s="2">
        <v>41349</v>
      </c>
      <c r="D781" s="1" t="s">
        <v>2002</v>
      </c>
      <c r="E781" s="1">
        <v>100441</v>
      </c>
      <c r="F781" s="6" t="s">
        <v>2783</v>
      </c>
      <c r="G781" s="15" t="str">
        <f>VLOOKUP(A781,Movie!A:D,4,FALSE)</f>
        <v>Relativity</v>
      </c>
      <c r="H781" s="14">
        <f>VLOOKUP(E781,'Rental Transaction'!A:B,2,FALSE)</f>
        <v>782947</v>
      </c>
      <c r="I781">
        <f t="shared" si="12"/>
        <v>2013</v>
      </c>
    </row>
    <row r="782" spans="1:9">
      <c r="A782" s="1">
        <v>10029</v>
      </c>
      <c r="B782" s="1">
        <v>8</v>
      </c>
      <c r="C782" s="2">
        <v>41349</v>
      </c>
      <c r="D782" s="1" t="s">
        <v>2002</v>
      </c>
      <c r="E782" s="1">
        <v>100441</v>
      </c>
      <c r="F782" s="6" t="s">
        <v>2784</v>
      </c>
      <c r="G782" s="15" t="str">
        <f>VLOOKUP(A782,Movie!A:D,4,FALSE)</f>
        <v>Relativity</v>
      </c>
      <c r="H782" s="14">
        <f>VLOOKUP(E782,'Rental Transaction'!A:B,2,FALSE)</f>
        <v>782947</v>
      </c>
      <c r="I782">
        <f t="shared" si="12"/>
        <v>2013</v>
      </c>
    </row>
    <row r="783" spans="1:9">
      <c r="A783" s="1">
        <v>10232</v>
      </c>
      <c r="B783" s="1">
        <v>8</v>
      </c>
      <c r="C783" s="2">
        <v>41350</v>
      </c>
      <c r="D783" s="1" t="s">
        <v>2005</v>
      </c>
      <c r="E783" s="1">
        <v>100442</v>
      </c>
      <c r="F783" s="6" t="s">
        <v>2785</v>
      </c>
      <c r="G783" s="15" t="str">
        <f>VLOOKUP(A783,Movie!A:D,4,FALSE)</f>
        <v>Paramount</v>
      </c>
      <c r="H783" s="14">
        <f>VLOOKUP(E783,'Rental Transaction'!A:B,2,FALSE)</f>
        <v>289693</v>
      </c>
      <c r="I783">
        <f t="shared" si="12"/>
        <v>2013</v>
      </c>
    </row>
    <row r="784" spans="1:9">
      <c r="A784" s="1">
        <v>10097</v>
      </c>
      <c r="B784" s="1">
        <v>6</v>
      </c>
      <c r="C784" s="2">
        <v>41350</v>
      </c>
      <c r="D784" s="1" t="s">
        <v>2002</v>
      </c>
      <c r="E784" s="1">
        <v>100443</v>
      </c>
      <c r="F784" s="6" t="s">
        <v>2786</v>
      </c>
      <c r="G784" s="15" t="str">
        <f>VLOOKUP(A784,Movie!A:D,4,FALSE)</f>
        <v>Screen Gems</v>
      </c>
      <c r="H784" s="14">
        <f>VLOOKUP(E784,'Rental Transaction'!A:B,2,FALSE)</f>
        <v>800121</v>
      </c>
      <c r="I784">
        <f t="shared" si="12"/>
        <v>2013</v>
      </c>
    </row>
    <row r="785" spans="1:9">
      <c r="A785" s="1">
        <v>10182</v>
      </c>
      <c r="B785" s="1">
        <v>9</v>
      </c>
      <c r="C785" s="2">
        <v>41350</v>
      </c>
      <c r="D785" s="1" t="s">
        <v>2002</v>
      </c>
      <c r="E785" s="1">
        <v>100444</v>
      </c>
      <c r="F785" s="6" t="s">
        <v>2787</v>
      </c>
      <c r="G785" s="15" t="str">
        <f>VLOOKUP(A785,Movie!A:D,4,FALSE)</f>
        <v>Warner Brothers</v>
      </c>
      <c r="H785" s="14">
        <f>VLOOKUP(E785,'Rental Transaction'!A:B,2,FALSE)</f>
        <v>491380</v>
      </c>
      <c r="I785">
        <f t="shared" si="12"/>
        <v>2013</v>
      </c>
    </row>
    <row r="786" spans="1:9">
      <c r="A786" s="1">
        <v>10178</v>
      </c>
      <c r="B786" s="1">
        <v>8</v>
      </c>
      <c r="C786" s="2">
        <v>41351</v>
      </c>
      <c r="D786" s="1" t="s">
        <v>2005</v>
      </c>
      <c r="E786" s="1">
        <v>100445</v>
      </c>
      <c r="F786" s="6" t="s">
        <v>2788</v>
      </c>
      <c r="G786" s="15" t="str">
        <f>VLOOKUP(A786,Movie!A:D,4,FALSE)</f>
        <v>Warner Brothers</v>
      </c>
      <c r="H786" s="14">
        <f>VLOOKUP(E786,'Rental Transaction'!A:B,2,FALSE)</f>
        <v>454015</v>
      </c>
      <c r="I786">
        <f t="shared" si="12"/>
        <v>2013</v>
      </c>
    </row>
    <row r="787" spans="1:9">
      <c r="A787" s="1">
        <v>10252</v>
      </c>
      <c r="B787" s="1">
        <v>7</v>
      </c>
      <c r="C787" s="2">
        <v>41350</v>
      </c>
      <c r="D787" s="1" t="s">
        <v>2002</v>
      </c>
      <c r="E787" s="1">
        <v>100445</v>
      </c>
      <c r="F787" s="6" t="s">
        <v>2789</v>
      </c>
      <c r="G787" s="15" t="str">
        <f>VLOOKUP(A787,Movie!A:D,4,FALSE)</f>
        <v>Warner Brothers</v>
      </c>
      <c r="H787" s="14">
        <f>VLOOKUP(E787,'Rental Transaction'!A:B,2,FALSE)</f>
        <v>454015</v>
      </c>
      <c r="I787">
        <f t="shared" si="12"/>
        <v>2013</v>
      </c>
    </row>
    <row r="788" spans="1:9">
      <c r="A788" s="1">
        <v>10197</v>
      </c>
      <c r="B788" s="1">
        <v>2</v>
      </c>
      <c r="C788" s="2">
        <v>41350</v>
      </c>
      <c r="D788" s="1" t="s">
        <v>2005</v>
      </c>
      <c r="E788" s="1">
        <v>100446</v>
      </c>
      <c r="F788" s="6" t="s">
        <v>2790</v>
      </c>
      <c r="G788" s="15" t="str">
        <f>VLOOKUP(A788,Movie!A:D,4,FALSE)</f>
        <v>Warner Brothers</v>
      </c>
      <c r="H788" s="14">
        <f>VLOOKUP(E788,'Rental Transaction'!A:B,2,FALSE)</f>
        <v>491380</v>
      </c>
      <c r="I788">
        <f t="shared" si="12"/>
        <v>2013</v>
      </c>
    </row>
    <row r="789" spans="1:9">
      <c r="A789" s="1">
        <v>10063</v>
      </c>
      <c r="B789" s="1">
        <v>5</v>
      </c>
      <c r="C789" s="2">
        <v>41350</v>
      </c>
      <c r="D789" s="1" t="s">
        <v>2002</v>
      </c>
      <c r="E789" s="1">
        <v>100447</v>
      </c>
      <c r="F789" s="6" t="s">
        <v>2791</v>
      </c>
      <c r="G789" s="15" t="str">
        <f>VLOOKUP(A789,Movie!A:D,4,FALSE)</f>
        <v>CBS Films</v>
      </c>
      <c r="H789" s="14">
        <f>VLOOKUP(E789,'Rental Transaction'!A:B,2,FALSE)</f>
        <v>893039</v>
      </c>
      <c r="I789">
        <f t="shared" si="12"/>
        <v>2013</v>
      </c>
    </row>
    <row r="790" spans="1:9">
      <c r="A790" s="1">
        <v>10050</v>
      </c>
      <c r="B790" s="1">
        <v>1</v>
      </c>
      <c r="C790" s="2">
        <v>41352</v>
      </c>
      <c r="D790" s="1" t="s">
        <v>2002</v>
      </c>
      <c r="E790" s="1">
        <v>100448</v>
      </c>
      <c r="F790" s="6" t="s">
        <v>2792</v>
      </c>
      <c r="G790" s="15" t="str">
        <f>VLOOKUP(A790,Movie!A:D,4,FALSE)</f>
        <v>Paramount</v>
      </c>
      <c r="H790" s="14">
        <f>VLOOKUP(E790,'Rental Transaction'!A:B,2,FALSE)</f>
        <v>220206</v>
      </c>
      <c r="I790">
        <f t="shared" si="12"/>
        <v>2013</v>
      </c>
    </row>
    <row r="791" spans="1:9">
      <c r="A791" s="1">
        <v>10152</v>
      </c>
      <c r="B791" s="1">
        <v>7</v>
      </c>
      <c r="C791" s="2">
        <v>41350</v>
      </c>
      <c r="D791" s="1" t="s">
        <v>2002</v>
      </c>
      <c r="E791" s="1">
        <v>100448</v>
      </c>
      <c r="F791" s="6" t="s">
        <v>2793</v>
      </c>
      <c r="G791" s="15" t="str">
        <f>VLOOKUP(A791,Movie!A:D,4,FALSE)</f>
        <v>FilmDistrict</v>
      </c>
      <c r="H791" s="14">
        <f>VLOOKUP(E791,'Rental Transaction'!A:B,2,FALSE)</f>
        <v>220206</v>
      </c>
      <c r="I791">
        <f t="shared" si="12"/>
        <v>2013</v>
      </c>
    </row>
    <row r="792" spans="1:9">
      <c r="A792" s="1">
        <v>10271</v>
      </c>
      <c r="B792" s="1">
        <v>6</v>
      </c>
      <c r="C792" s="2">
        <v>41350</v>
      </c>
      <c r="D792" s="1" t="s">
        <v>2002</v>
      </c>
      <c r="E792" s="1">
        <v>100448</v>
      </c>
      <c r="F792" s="6" t="s">
        <v>2794</v>
      </c>
      <c r="G792" s="15" t="str">
        <f>VLOOKUP(A792,Movie!A:D,4,FALSE)</f>
        <v>Universal</v>
      </c>
      <c r="H792" s="14">
        <f>VLOOKUP(E792,'Rental Transaction'!A:B,2,FALSE)</f>
        <v>220206</v>
      </c>
      <c r="I792">
        <f t="shared" si="12"/>
        <v>2013</v>
      </c>
    </row>
    <row r="793" spans="1:9">
      <c r="A793" s="1">
        <v>10148</v>
      </c>
      <c r="B793" s="1">
        <v>9</v>
      </c>
      <c r="C793" s="2">
        <v>41351</v>
      </c>
      <c r="D793" s="1" t="s">
        <v>2005</v>
      </c>
      <c r="E793" s="1">
        <v>100449</v>
      </c>
      <c r="F793" s="6" t="s">
        <v>2795</v>
      </c>
      <c r="G793" s="15" t="str">
        <f>VLOOKUP(A793,Movie!A:D,4,FALSE)</f>
        <v>Paramount</v>
      </c>
      <c r="H793" s="14">
        <f>VLOOKUP(E793,'Rental Transaction'!A:B,2,FALSE)</f>
        <v>157695</v>
      </c>
      <c r="I793">
        <f t="shared" si="12"/>
        <v>2013</v>
      </c>
    </row>
    <row r="794" spans="1:9">
      <c r="A794" s="1">
        <v>10223</v>
      </c>
      <c r="B794" s="1">
        <v>5</v>
      </c>
      <c r="C794" s="2">
        <v>41351</v>
      </c>
      <c r="D794" s="1" t="s">
        <v>2002</v>
      </c>
      <c r="E794" s="1">
        <v>100449</v>
      </c>
      <c r="F794" s="6" t="s">
        <v>2796</v>
      </c>
      <c r="G794" s="15" t="str">
        <f>VLOOKUP(A794,Movie!A:D,4,FALSE)</f>
        <v>Universal</v>
      </c>
      <c r="H794" s="14">
        <f>VLOOKUP(E794,'Rental Transaction'!A:B,2,FALSE)</f>
        <v>157695</v>
      </c>
      <c r="I794">
        <f t="shared" si="12"/>
        <v>2013</v>
      </c>
    </row>
    <row r="795" spans="1:9">
      <c r="A795" s="1">
        <v>10106</v>
      </c>
      <c r="B795" s="1">
        <v>10</v>
      </c>
      <c r="C795" s="2">
        <v>41350</v>
      </c>
      <c r="D795" s="1" t="s">
        <v>2002</v>
      </c>
      <c r="E795" s="1">
        <v>100449</v>
      </c>
      <c r="F795" s="6" t="s">
        <v>2797</v>
      </c>
      <c r="G795" s="15" t="str">
        <f>VLOOKUP(A795,Movie!A:D,4,FALSE)</f>
        <v>Fox</v>
      </c>
      <c r="H795" s="14">
        <f>VLOOKUP(E795,'Rental Transaction'!A:B,2,FALSE)</f>
        <v>157695</v>
      </c>
      <c r="I795">
        <f t="shared" si="12"/>
        <v>2013</v>
      </c>
    </row>
    <row r="796" spans="1:9">
      <c r="A796" s="1">
        <v>10160</v>
      </c>
      <c r="B796" s="1">
        <v>10</v>
      </c>
      <c r="C796" s="2">
        <v>41350</v>
      </c>
      <c r="D796" s="1" t="s">
        <v>2002</v>
      </c>
      <c r="E796" s="1">
        <v>100449</v>
      </c>
      <c r="F796" s="6" t="s">
        <v>2798</v>
      </c>
      <c r="G796" s="15" t="str">
        <f>VLOOKUP(A796,Movie!A:D,4,FALSE)</f>
        <v>Lionsgate</v>
      </c>
      <c r="H796" s="14">
        <f>VLOOKUP(E796,'Rental Transaction'!A:B,2,FALSE)</f>
        <v>157695</v>
      </c>
      <c r="I796">
        <f t="shared" si="12"/>
        <v>2013</v>
      </c>
    </row>
    <row r="797" spans="1:9">
      <c r="A797" s="1">
        <v>10157</v>
      </c>
      <c r="B797" s="1">
        <v>1</v>
      </c>
      <c r="C797" s="2">
        <v>41351</v>
      </c>
      <c r="D797" s="1" t="s">
        <v>2002</v>
      </c>
      <c r="E797" s="1">
        <v>100450</v>
      </c>
      <c r="F797" s="6" t="s">
        <v>2799</v>
      </c>
      <c r="G797" s="15" t="str">
        <f>VLOOKUP(A797,Movie!A:D,4,FALSE)</f>
        <v>Paramount</v>
      </c>
      <c r="H797" s="14">
        <f>VLOOKUP(E797,'Rental Transaction'!A:B,2,FALSE)</f>
        <v>806545</v>
      </c>
      <c r="I797">
        <f t="shared" si="12"/>
        <v>2013</v>
      </c>
    </row>
    <row r="798" spans="1:9">
      <c r="A798" s="1">
        <v>10101</v>
      </c>
      <c r="B798" s="1">
        <v>1</v>
      </c>
      <c r="C798" s="2">
        <v>41351</v>
      </c>
      <c r="D798" s="1" t="s">
        <v>2002</v>
      </c>
      <c r="E798" s="1">
        <v>100451</v>
      </c>
      <c r="F798" s="6" t="s">
        <v>2800</v>
      </c>
      <c r="G798" s="15" t="str">
        <f>VLOOKUP(A798,Movie!A:D,4,FALSE)</f>
        <v>Sony</v>
      </c>
      <c r="H798" s="14">
        <f>VLOOKUP(E798,'Rental Transaction'!A:B,2,FALSE)</f>
        <v>785444</v>
      </c>
      <c r="I798">
        <f t="shared" si="12"/>
        <v>2013</v>
      </c>
    </row>
    <row r="799" spans="1:9">
      <c r="A799" s="1">
        <v>10195</v>
      </c>
      <c r="B799" s="1">
        <v>10</v>
      </c>
      <c r="C799" s="2">
        <v>41353</v>
      </c>
      <c r="D799" s="1" t="s">
        <v>2002</v>
      </c>
      <c r="E799" s="1">
        <v>100452</v>
      </c>
      <c r="F799" s="6" t="s">
        <v>2801</v>
      </c>
      <c r="G799" s="15" t="str">
        <f>VLOOKUP(A799,Movie!A:D,4,FALSE)</f>
        <v>Sony</v>
      </c>
      <c r="H799" s="14">
        <f>VLOOKUP(E799,'Rental Transaction'!A:B,2,FALSE)</f>
        <v>925565</v>
      </c>
      <c r="I799">
        <f t="shared" si="12"/>
        <v>2013</v>
      </c>
    </row>
    <row r="800" spans="1:9">
      <c r="A800" s="1">
        <v>10172</v>
      </c>
      <c r="B800" s="1">
        <v>10</v>
      </c>
      <c r="C800" s="2">
        <v>41352</v>
      </c>
      <c r="D800" s="1" t="s">
        <v>2002</v>
      </c>
      <c r="E800" s="1">
        <v>100452</v>
      </c>
      <c r="F800" s="6" t="s">
        <v>2802</v>
      </c>
      <c r="G800" s="15" t="str">
        <f>VLOOKUP(A800,Movie!A:D,4,FALSE)</f>
        <v>Lionsgate</v>
      </c>
      <c r="H800" s="14">
        <f>VLOOKUP(E800,'Rental Transaction'!A:B,2,FALSE)</f>
        <v>925565</v>
      </c>
      <c r="I800">
        <f t="shared" si="12"/>
        <v>2013</v>
      </c>
    </row>
    <row r="801" spans="1:9">
      <c r="A801" s="1">
        <v>10047</v>
      </c>
      <c r="B801" s="1">
        <v>4</v>
      </c>
      <c r="C801" s="2">
        <v>41352</v>
      </c>
      <c r="D801" s="1" t="s">
        <v>2005</v>
      </c>
      <c r="E801" s="1">
        <v>100453</v>
      </c>
      <c r="F801" s="6" t="s">
        <v>2803</v>
      </c>
      <c r="G801" s="15" t="str">
        <f>VLOOKUP(A801,Movie!A:D,4,FALSE)</f>
        <v>Warner Brothers</v>
      </c>
      <c r="H801" s="14">
        <f>VLOOKUP(E801,'Rental Transaction'!A:B,2,FALSE)</f>
        <v>347189</v>
      </c>
      <c r="I801">
        <f t="shared" si="12"/>
        <v>2013</v>
      </c>
    </row>
    <row r="802" spans="1:9">
      <c r="A802" s="1">
        <v>10068</v>
      </c>
      <c r="B802" s="1">
        <v>1</v>
      </c>
      <c r="C802" s="2">
        <v>41354</v>
      </c>
      <c r="D802" s="1" t="s">
        <v>2005</v>
      </c>
      <c r="E802" s="1">
        <v>100454</v>
      </c>
      <c r="F802" s="6" t="s">
        <v>2804</v>
      </c>
      <c r="G802" s="15" t="str">
        <f>VLOOKUP(A802,Movie!A:D,4,FALSE)</f>
        <v>Warner Brothers</v>
      </c>
      <c r="H802" s="14">
        <f>VLOOKUP(E802,'Rental Transaction'!A:B,2,FALSE)</f>
        <v>224094</v>
      </c>
      <c r="I802">
        <f t="shared" si="12"/>
        <v>2013</v>
      </c>
    </row>
    <row r="803" spans="1:9">
      <c r="A803" s="1">
        <v>10289</v>
      </c>
      <c r="B803" s="1">
        <v>8</v>
      </c>
      <c r="C803" s="2">
        <v>41352</v>
      </c>
      <c r="D803" s="1" t="s">
        <v>2005</v>
      </c>
      <c r="E803" s="1">
        <v>100455</v>
      </c>
      <c r="F803" s="6" t="s">
        <v>2805</v>
      </c>
      <c r="G803" s="15" t="str">
        <f>VLOOKUP(A803,Movie!A:D,4,FALSE)</f>
        <v>Open Road Films</v>
      </c>
      <c r="H803" s="14">
        <f>VLOOKUP(E803,'Rental Transaction'!A:B,2,FALSE)</f>
        <v>199895</v>
      </c>
      <c r="I803">
        <f t="shared" si="12"/>
        <v>2013</v>
      </c>
    </row>
    <row r="804" spans="1:9">
      <c r="A804" s="1">
        <v>10042</v>
      </c>
      <c r="B804" s="1">
        <v>7</v>
      </c>
      <c r="C804" s="2">
        <v>41352</v>
      </c>
      <c r="D804" s="1" t="s">
        <v>2005</v>
      </c>
      <c r="E804" s="1">
        <v>100455</v>
      </c>
      <c r="F804" s="6" t="s">
        <v>2806</v>
      </c>
      <c r="G804" s="15" t="str">
        <f>VLOOKUP(A804,Movie!A:D,4,FALSE)</f>
        <v>Paramount</v>
      </c>
      <c r="H804" s="14">
        <f>VLOOKUP(E804,'Rental Transaction'!A:B,2,FALSE)</f>
        <v>199895</v>
      </c>
      <c r="I804">
        <f t="shared" si="12"/>
        <v>2013</v>
      </c>
    </row>
    <row r="805" spans="1:9">
      <c r="A805" s="1">
        <v>10260</v>
      </c>
      <c r="B805" s="1">
        <v>2</v>
      </c>
      <c r="C805" s="2">
        <v>41352</v>
      </c>
      <c r="D805" s="1" t="s">
        <v>2002</v>
      </c>
      <c r="E805" s="1">
        <v>100456</v>
      </c>
      <c r="F805" s="6" t="s">
        <v>2807</v>
      </c>
      <c r="G805" s="15" t="str">
        <f>VLOOKUP(A805,Movie!A:D,4,FALSE)</f>
        <v>Sony</v>
      </c>
      <c r="H805" s="14">
        <f>VLOOKUP(E805,'Rental Transaction'!A:B,2,FALSE)</f>
        <v>415869</v>
      </c>
      <c r="I805">
        <f t="shared" si="12"/>
        <v>2013</v>
      </c>
    </row>
    <row r="806" spans="1:9">
      <c r="A806" s="1">
        <v>10295</v>
      </c>
      <c r="B806" s="1">
        <v>6</v>
      </c>
      <c r="C806" s="2">
        <v>41352</v>
      </c>
      <c r="D806" s="1" t="s">
        <v>2002</v>
      </c>
      <c r="E806" s="1">
        <v>100456</v>
      </c>
      <c r="F806" s="6" t="s">
        <v>2808</v>
      </c>
      <c r="G806" s="15" t="str">
        <f>VLOOKUP(A806,Movie!A:D,4,FALSE)</f>
        <v>A24</v>
      </c>
      <c r="H806" s="14">
        <f>VLOOKUP(E806,'Rental Transaction'!A:B,2,FALSE)</f>
        <v>415869</v>
      </c>
      <c r="I806">
        <f t="shared" si="12"/>
        <v>2013</v>
      </c>
    </row>
    <row r="807" spans="1:9">
      <c r="A807" s="1">
        <v>10152</v>
      </c>
      <c r="B807" s="1">
        <v>10</v>
      </c>
      <c r="C807" s="2">
        <v>41352</v>
      </c>
      <c r="D807" s="1" t="s">
        <v>2005</v>
      </c>
      <c r="E807" s="1">
        <v>100457</v>
      </c>
      <c r="F807" s="6" t="s">
        <v>2809</v>
      </c>
      <c r="G807" s="15" t="str">
        <f>VLOOKUP(A807,Movie!A:D,4,FALSE)</f>
        <v>FilmDistrict</v>
      </c>
      <c r="H807" s="14">
        <f>VLOOKUP(E807,'Rental Transaction'!A:B,2,FALSE)</f>
        <v>137696</v>
      </c>
      <c r="I807">
        <f t="shared" si="12"/>
        <v>2013</v>
      </c>
    </row>
    <row r="808" spans="1:9">
      <c r="A808" s="1">
        <v>10196</v>
      </c>
      <c r="B808" s="1">
        <v>1</v>
      </c>
      <c r="C808" s="2">
        <v>41353</v>
      </c>
      <c r="D808" s="1" t="s">
        <v>2002</v>
      </c>
      <c r="E808" s="1">
        <v>100458</v>
      </c>
      <c r="F808" s="6" t="s">
        <v>2810</v>
      </c>
      <c r="G808" s="15" t="str">
        <f>VLOOKUP(A808,Movie!A:D,4,FALSE)</f>
        <v>Fox</v>
      </c>
      <c r="H808" s="14">
        <f>VLOOKUP(E808,'Rental Transaction'!A:B,2,FALSE)</f>
        <v>961080</v>
      </c>
      <c r="I808">
        <f t="shared" si="12"/>
        <v>2013</v>
      </c>
    </row>
    <row r="809" spans="1:9">
      <c r="A809" s="1">
        <v>10289</v>
      </c>
      <c r="B809" s="1">
        <v>1</v>
      </c>
      <c r="C809" s="2">
        <v>41353</v>
      </c>
      <c r="D809" s="1" t="s">
        <v>2005</v>
      </c>
      <c r="E809" s="1">
        <v>100458</v>
      </c>
      <c r="F809" s="6" t="s">
        <v>2811</v>
      </c>
      <c r="G809" s="15" t="str">
        <f>VLOOKUP(A809,Movie!A:D,4,FALSE)</f>
        <v>Open Road Films</v>
      </c>
      <c r="H809" s="14">
        <f>VLOOKUP(E809,'Rental Transaction'!A:B,2,FALSE)</f>
        <v>961080</v>
      </c>
      <c r="I809">
        <f t="shared" si="12"/>
        <v>2013</v>
      </c>
    </row>
    <row r="810" spans="1:9" ht="29.25">
      <c r="A810" s="1">
        <v>10264</v>
      </c>
      <c r="B810" s="1">
        <v>10</v>
      </c>
      <c r="C810" s="2">
        <v>41353</v>
      </c>
      <c r="D810" s="1" t="s">
        <v>2005</v>
      </c>
      <c r="E810" s="1">
        <v>100458</v>
      </c>
      <c r="F810" s="6" t="s">
        <v>2812</v>
      </c>
      <c r="G810" s="15" t="str">
        <f>VLOOKUP(A810,Movie!A:D,4,FALSE)</f>
        <v>Weinstein Company</v>
      </c>
      <c r="H810" s="14">
        <f>VLOOKUP(E810,'Rental Transaction'!A:B,2,FALSE)</f>
        <v>961080</v>
      </c>
      <c r="I810">
        <f t="shared" si="12"/>
        <v>2013</v>
      </c>
    </row>
    <row r="811" spans="1:9">
      <c r="A811" s="1">
        <v>10244</v>
      </c>
      <c r="B811" s="1">
        <v>8</v>
      </c>
      <c r="C811" s="2">
        <v>41353</v>
      </c>
      <c r="D811" s="1" t="s">
        <v>2005</v>
      </c>
      <c r="E811" s="1">
        <v>100459</v>
      </c>
      <c r="F811" s="6" t="s">
        <v>2813</v>
      </c>
      <c r="G811" s="15" t="str">
        <f>VLOOKUP(A811,Movie!A:D,4,FALSE)</f>
        <v>Sony</v>
      </c>
      <c r="H811" s="14">
        <f>VLOOKUP(E811,'Rental Transaction'!A:B,2,FALSE)</f>
        <v>244282</v>
      </c>
      <c r="I811">
        <f t="shared" si="12"/>
        <v>2013</v>
      </c>
    </row>
    <row r="812" spans="1:9">
      <c r="A812" s="1">
        <v>10074</v>
      </c>
      <c r="B812" s="1">
        <v>1</v>
      </c>
      <c r="C812" s="2">
        <v>41355</v>
      </c>
      <c r="D812" s="1" t="s">
        <v>2005</v>
      </c>
      <c r="E812" s="1">
        <v>100460</v>
      </c>
      <c r="F812" s="6" t="s">
        <v>2814</v>
      </c>
      <c r="G812" s="15" t="str">
        <f>VLOOKUP(A812,Movie!A:D,4,FALSE)</f>
        <v>Open Road Films</v>
      </c>
      <c r="H812" s="14">
        <f>VLOOKUP(E812,'Rental Transaction'!A:B,2,FALSE)</f>
        <v>147543</v>
      </c>
      <c r="I812">
        <f t="shared" si="12"/>
        <v>2013</v>
      </c>
    </row>
    <row r="813" spans="1:9">
      <c r="A813" s="1">
        <v>10024</v>
      </c>
      <c r="B813" s="1">
        <v>5</v>
      </c>
      <c r="C813" s="2">
        <v>41353</v>
      </c>
      <c r="D813" s="1" t="s">
        <v>2005</v>
      </c>
      <c r="E813" s="1">
        <v>100461</v>
      </c>
      <c r="F813" s="6" t="s">
        <v>2815</v>
      </c>
      <c r="G813" s="15" t="str">
        <f>VLOOKUP(A813,Movie!A:D,4,FALSE)</f>
        <v>Fox</v>
      </c>
      <c r="H813" s="14">
        <f>VLOOKUP(E813,'Rental Transaction'!A:B,2,FALSE)</f>
        <v>665282</v>
      </c>
      <c r="I813">
        <f t="shared" si="12"/>
        <v>2013</v>
      </c>
    </row>
    <row r="814" spans="1:9">
      <c r="A814" s="1">
        <v>10046</v>
      </c>
      <c r="B814" s="1">
        <v>2</v>
      </c>
      <c r="C814" s="2">
        <v>41353</v>
      </c>
      <c r="D814" s="1" t="s">
        <v>2005</v>
      </c>
      <c r="E814" s="1">
        <v>100461</v>
      </c>
      <c r="F814" s="6" t="s">
        <v>2816</v>
      </c>
      <c r="G814" s="15" t="str">
        <f>VLOOKUP(A814,Movie!A:D,4,FALSE)</f>
        <v>Sony</v>
      </c>
      <c r="H814" s="14">
        <f>VLOOKUP(E814,'Rental Transaction'!A:B,2,FALSE)</f>
        <v>665282</v>
      </c>
      <c r="I814">
        <f t="shared" si="12"/>
        <v>2013</v>
      </c>
    </row>
    <row r="815" spans="1:9">
      <c r="A815" s="1">
        <v>10015</v>
      </c>
      <c r="B815" s="1">
        <v>1</v>
      </c>
      <c r="C815" s="2">
        <v>41354</v>
      </c>
      <c r="D815" s="1" t="s">
        <v>2005</v>
      </c>
      <c r="E815" s="1">
        <v>100462</v>
      </c>
      <c r="F815" s="6" t="s">
        <v>2817</v>
      </c>
      <c r="G815" s="15" t="str">
        <f>VLOOKUP(A815,Movie!A:D,4,FALSE)</f>
        <v>TriStar</v>
      </c>
      <c r="H815" s="14">
        <f>VLOOKUP(E815,'Rental Transaction'!A:B,2,FALSE)</f>
        <v>479497</v>
      </c>
      <c r="I815">
        <f t="shared" si="12"/>
        <v>2013</v>
      </c>
    </row>
    <row r="816" spans="1:9">
      <c r="A816" s="1">
        <v>10232</v>
      </c>
      <c r="B816" s="1">
        <v>1</v>
      </c>
      <c r="C816" s="2">
        <v>41355</v>
      </c>
      <c r="D816" s="1" t="s">
        <v>2005</v>
      </c>
      <c r="E816" s="1">
        <v>100463</v>
      </c>
      <c r="F816" s="6" t="s">
        <v>2818</v>
      </c>
      <c r="G816" s="15" t="str">
        <f>VLOOKUP(A816,Movie!A:D,4,FALSE)</f>
        <v>Paramount</v>
      </c>
      <c r="H816" s="14">
        <f>VLOOKUP(E816,'Rental Transaction'!A:B,2,FALSE)</f>
        <v>166612</v>
      </c>
      <c r="I816">
        <f t="shared" si="12"/>
        <v>2013</v>
      </c>
    </row>
    <row r="817" spans="1:9">
      <c r="A817" s="1">
        <v>10093</v>
      </c>
      <c r="B817" s="1">
        <v>3</v>
      </c>
      <c r="C817" s="2">
        <v>41354</v>
      </c>
      <c r="D817" s="1" t="s">
        <v>2002</v>
      </c>
      <c r="E817" s="1">
        <v>100463</v>
      </c>
      <c r="F817" s="6" t="s">
        <v>2819</v>
      </c>
      <c r="G817" s="15" t="str">
        <f>VLOOKUP(A817,Movie!A:D,4,FALSE)</f>
        <v>Open Road Films</v>
      </c>
      <c r="H817" s="14">
        <f>VLOOKUP(E817,'Rental Transaction'!A:B,2,FALSE)</f>
        <v>166612</v>
      </c>
      <c r="I817">
        <f t="shared" si="12"/>
        <v>2013</v>
      </c>
    </row>
    <row r="818" spans="1:9">
      <c r="A818" s="1">
        <v>10244</v>
      </c>
      <c r="B818" s="1">
        <v>3</v>
      </c>
      <c r="C818" s="2">
        <v>41354</v>
      </c>
      <c r="D818" s="1" t="s">
        <v>2002</v>
      </c>
      <c r="E818" s="1">
        <v>100464</v>
      </c>
      <c r="F818" s="6" t="s">
        <v>2820</v>
      </c>
      <c r="G818" s="15" t="str">
        <f>VLOOKUP(A818,Movie!A:D,4,FALSE)</f>
        <v>Sony</v>
      </c>
      <c r="H818" s="14">
        <f>VLOOKUP(E818,'Rental Transaction'!A:B,2,FALSE)</f>
        <v>227372</v>
      </c>
      <c r="I818">
        <f t="shared" si="12"/>
        <v>2013</v>
      </c>
    </row>
    <row r="819" spans="1:9">
      <c r="A819" s="1">
        <v>10027</v>
      </c>
      <c r="B819" s="1">
        <v>8</v>
      </c>
      <c r="C819" s="2">
        <v>41356</v>
      </c>
      <c r="D819" s="1" t="s">
        <v>2002</v>
      </c>
      <c r="E819" s="1">
        <v>100465</v>
      </c>
      <c r="F819" s="6" t="s">
        <v>2821</v>
      </c>
      <c r="G819" s="15" t="str">
        <f>VLOOKUP(A819,Movie!A:D,4,FALSE)</f>
        <v>FilmDistrict</v>
      </c>
      <c r="H819" s="14">
        <f>VLOOKUP(E819,'Rental Transaction'!A:B,2,FALSE)</f>
        <v>734624</v>
      </c>
      <c r="I819">
        <f t="shared" si="12"/>
        <v>2013</v>
      </c>
    </row>
    <row r="820" spans="1:9">
      <c r="A820" s="1">
        <v>10252</v>
      </c>
      <c r="B820" s="1">
        <v>2</v>
      </c>
      <c r="C820" s="2">
        <v>41354</v>
      </c>
      <c r="D820" s="1" t="s">
        <v>2005</v>
      </c>
      <c r="E820" s="1">
        <v>100465</v>
      </c>
      <c r="F820" s="6" t="s">
        <v>2822</v>
      </c>
      <c r="G820" s="15" t="str">
        <f>VLOOKUP(A820,Movie!A:D,4,FALSE)</f>
        <v>Warner Brothers</v>
      </c>
      <c r="H820" s="14">
        <f>VLOOKUP(E820,'Rental Transaction'!A:B,2,FALSE)</f>
        <v>734624</v>
      </c>
      <c r="I820">
        <f t="shared" si="12"/>
        <v>2013</v>
      </c>
    </row>
    <row r="821" spans="1:9">
      <c r="A821" s="1">
        <v>10031</v>
      </c>
      <c r="B821" s="1">
        <v>10</v>
      </c>
      <c r="C821" s="2">
        <v>41354</v>
      </c>
      <c r="D821" s="1" t="s">
        <v>2002</v>
      </c>
      <c r="E821" s="1">
        <v>100465</v>
      </c>
      <c r="F821" s="6" t="s">
        <v>2823</v>
      </c>
      <c r="G821" s="15" t="str">
        <f>VLOOKUP(A821,Movie!A:D,4,FALSE)</f>
        <v>Warner Brothers</v>
      </c>
      <c r="H821" s="14">
        <f>VLOOKUP(E821,'Rental Transaction'!A:B,2,FALSE)</f>
        <v>734624</v>
      </c>
      <c r="I821">
        <f t="shared" si="12"/>
        <v>2013</v>
      </c>
    </row>
    <row r="822" spans="1:9">
      <c r="A822" s="1">
        <v>10045</v>
      </c>
      <c r="B822" s="1">
        <v>1</v>
      </c>
      <c r="C822" s="2">
        <v>41354</v>
      </c>
      <c r="D822" s="1" t="s">
        <v>2002</v>
      </c>
      <c r="E822" s="1">
        <v>100466</v>
      </c>
      <c r="F822" s="6" t="s">
        <v>2824</v>
      </c>
      <c r="G822" s="15" t="str">
        <f>VLOOKUP(A822,Movie!A:D,4,FALSE)</f>
        <v>Warner Brothers</v>
      </c>
      <c r="H822" s="14">
        <f>VLOOKUP(E822,'Rental Transaction'!A:B,2,FALSE)</f>
        <v>689877</v>
      </c>
      <c r="I822">
        <f t="shared" si="12"/>
        <v>2013</v>
      </c>
    </row>
    <row r="823" spans="1:9">
      <c r="A823" s="1">
        <v>10185</v>
      </c>
      <c r="B823" s="1">
        <v>9</v>
      </c>
      <c r="C823" s="2">
        <v>41354</v>
      </c>
      <c r="D823" s="1" t="s">
        <v>2005</v>
      </c>
      <c r="E823" s="1">
        <v>100467</v>
      </c>
      <c r="F823" s="6" t="s">
        <v>2825</v>
      </c>
      <c r="G823" s="15" t="str">
        <f>VLOOKUP(A823,Movie!A:D,4,FALSE)</f>
        <v>Warner Brothers</v>
      </c>
      <c r="H823" s="14">
        <f>VLOOKUP(E823,'Rental Transaction'!A:B,2,FALSE)</f>
        <v>814512</v>
      </c>
      <c r="I823">
        <f t="shared" si="12"/>
        <v>2013</v>
      </c>
    </row>
    <row r="824" spans="1:9">
      <c r="A824" s="1">
        <v>10261</v>
      </c>
      <c r="B824" s="1">
        <v>3</v>
      </c>
      <c r="C824" s="2">
        <v>41354</v>
      </c>
      <c r="D824" s="1" t="s">
        <v>2002</v>
      </c>
      <c r="E824" s="1">
        <v>100467</v>
      </c>
      <c r="F824" s="6" t="s">
        <v>2826</v>
      </c>
      <c r="G824" s="15" t="str">
        <f>VLOOKUP(A824,Movie!A:D,4,FALSE)</f>
        <v>Fox</v>
      </c>
      <c r="H824" s="14">
        <f>VLOOKUP(E824,'Rental Transaction'!A:B,2,FALSE)</f>
        <v>814512</v>
      </c>
      <c r="I824">
        <f t="shared" si="12"/>
        <v>2013</v>
      </c>
    </row>
    <row r="825" spans="1:9">
      <c r="A825" s="1">
        <v>10272</v>
      </c>
      <c r="B825" s="1">
        <v>2</v>
      </c>
      <c r="C825" s="2">
        <v>41355</v>
      </c>
      <c r="D825" s="1" t="s">
        <v>2005</v>
      </c>
      <c r="E825" s="1">
        <v>100468</v>
      </c>
      <c r="F825" s="6" t="s">
        <v>2827</v>
      </c>
      <c r="G825" s="15" t="str">
        <f>VLOOKUP(A825,Movie!A:D,4,FALSE)</f>
        <v>Sony</v>
      </c>
      <c r="H825" s="14">
        <f>VLOOKUP(E825,'Rental Transaction'!A:B,2,FALSE)</f>
        <v>178806</v>
      </c>
      <c r="I825">
        <f t="shared" si="12"/>
        <v>2013</v>
      </c>
    </row>
    <row r="826" spans="1:9">
      <c r="A826" s="1">
        <v>10003</v>
      </c>
      <c r="B826" s="1">
        <v>8</v>
      </c>
      <c r="C826" s="2">
        <v>41355</v>
      </c>
      <c r="D826" s="1" t="s">
        <v>2002</v>
      </c>
      <c r="E826" s="1">
        <v>100469</v>
      </c>
      <c r="F826" s="6" t="s">
        <v>2828</v>
      </c>
      <c r="G826" s="15" t="str">
        <f>VLOOKUP(A826,Movie!A:D,4,FALSE)</f>
        <v>Paramount</v>
      </c>
      <c r="H826" s="14">
        <f>VLOOKUP(E826,'Rental Transaction'!A:B,2,FALSE)</f>
        <v>166735</v>
      </c>
      <c r="I826">
        <f t="shared" si="12"/>
        <v>2013</v>
      </c>
    </row>
    <row r="827" spans="1:9" ht="29.25">
      <c r="A827" s="1">
        <v>10154</v>
      </c>
      <c r="B827" s="1">
        <v>1</v>
      </c>
      <c r="C827" s="2">
        <v>41355</v>
      </c>
      <c r="D827" s="1" t="s">
        <v>2005</v>
      </c>
      <c r="E827" s="1">
        <v>100469</v>
      </c>
      <c r="F827" s="6" t="s">
        <v>2829</v>
      </c>
      <c r="G827" s="15" t="str">
        <f>VLOOKUP(A827,Movie!A:D,4,FALSE)</f>
        <v>Summit Entertainment</v>
      </c>
      <c r="H827" s="14">
        <f>VLOOKUP(E827,'Rental Transaction'!A:B,2,FALSE)</f>
        <v>166735</v>
      </c>
      <c r="I827">
        <f t="shared" si="12"/>
        <v>2013</v>
      </c>
    </row>
    <row r="828" spans="1:9">
      <c r="A828" s="1">
        <v>10085</v>
      </c>
      <c r="B828" s="1">
        <v>1</v>
      </c>
      <c r="C828" s="2">
        <v>41355</v>
      </c>
      <c r="D828" s="1" t="s">
        <v>2002</v>
      </c>
      <c r="E828" s="1">
        <v>100470</v>
      </c>
      <c r="F828" s="6" t="s">
        <v>2830</v>
      </c>
      <c r="G828" s="15" t="str">
        <f>VLOOKUP(A828,Movie!A:D,4,FALSE)</f>
        <v>Buena Vista</v>
      </c>
      <c r="H828" s="14">
        <f>VLOOKUP(E828,'Rental Transaction'!A:B,2,FALSE)</f>
        <v>429748</v>
      </c>
      <c r="I828">
        <f t="shared" si="12"/>
        <v>2013</v>
      </c>
    </row>
    <row r="829" spans="1:9">
      <c r="A829" s="1">
        <v>10153</v>
      </c>
      <c r="B829" s="1">
        <v>1</v>
      </c>
      <c r="C829" s="2">
        <v>41355</v>
      </c>
      <c r="D829" s="1" t="s">
        <v>2002</v>
      </c>
      <c r="E829" s="1">
        <v>100470</v>
      </c>
      <c r="F829" s="6" t="s">
        <v>2831</v>
      </c>
      <c r="G829" s="15" t="str">
        <f>VLOOKUP(A829,Movie!A:D,4,FALSE)</f>
        <v>Lionsgate</v>
      </c>
      <c r="H829" s="14">
        <f>VLOOKUP(E829,'Rental Transaction'!A:B,2,FALSE)</f>
        <v>429748</v>
      </c>
      <c r="I829">
        <f t="shared" si="12"/>
        <v>2013</v>
      </c>
    </row>
    <row r="830" spans="1:9">
      <c r="A830" s="1">
        <v>10151</v>
      </c>
      <c r="B830" s="1">
        <v>5</v>
      </c>
      <c r="C830" s="2">
        <v>41355</v>
      </c>
      <c r="D830" s="1" t="s">
        <v>2005</v>
      </c>
      <c r="E830" s="1">
        <v>100471</v>
      </c>
      <c r="F830" s="6" t="s">
        <v>2832</v>
      </c>
      <c r="G830" s="15" t="str">
        <f>VLOOKUP(A830,Movie!A:D,4,FALSE)</f>
        <v>Screen Gems</v>
      </c>
      <c r="H830" s="14">
        <f>VLOOKUP(E830,'Rental Transaction'!A:B,2,FALSE)</f>
        <v>415869</v>
      </c>
      <c r="I830">
        <f t="shared" si="12"/>
        <v>2013</v>
      </c>
    </row>
    <row r="831" spans="1:9">
      <c r="A831" s="1">
        <v>10273</v>
      </c>
      <c r="B831" s="1">
        <v>2</v>
      </c>
      <c r="C831" s="2">
        <v>41355</v>
      </c>
      <c r="D831" s="1" t="s">
        <v>2002</v>
      </c>
      <c r="E831" s="1">
        <v>100472</v>
      </c>
      <c r="F831" s="6" t="s">
        <v>2833</v>
      </c>
      <c r="G831" s="15" t="str">
        <f>VLOOKUP(A831,Movie!A:D,4,FALSE)</f>
        <v>Sony</v>
      </c>
      <c r="H831" s="14">
        <f>VLOOKUP(E831,'Rental Transaction'!A:B,2,FALSE)</f>
        <v>756928</v>
      </c>
      <c r="I831">
        <f t="shared" si="12"/>
        <v>2013</v>
      </c>
    </row>
    <row r="832" spans="1:9">
      <c r="A832" s="1">
        <v>10150</v>
      </c>
      <c r="B832" s="1">
        <v>6</v>
      </c>
      <c r="C832" s="2">
        <v>41355</v>
      </c>
      <c r="D832" s="1" t="s">
        <v>2002</v>
      </c>
      <c r="E832" s="1">
        <v>100473</v>
      </c>
      <c r="F832" s="6" t="s">
        <v>2834</v>
      </c>
      <c r="G832" s="15" t="str">
        <f>VLOOKUP(A832,Movie!A:D,4,FALSE)</f>
        <v>Focus</v>
      </c>
      <c r="H832" s="14">
        <f>VLOOKUP(E832,'Rental Transaction'!A:B,2,FALSE)</f>
        <v>926289</v>
      </c>
      <c r="I832">
        <f t="shared" si="12"/>
        <v>2013</v>
      </c>
    </row>
    <row r="833" spans="1:9">
      <c r="A833" s="1">
        <v>10248</v>
      </c>
      <c r="B833" s="1">
        <v>7</v>
      </c>
      <c r="C833" s="2">
        <v>41355</v>
      </c>
      <c r="D833" s="1" t="s">
        <v>2005</v>
      </c>
      <c r="E833" s="1">
        <v>100474</v>
      </c>
      <c r="F833" s="6" t="s">
        <v>2835</v>
      </c>
      <c r="G833" s="15" t="str">
        <f>VLOOKUP(A833,Movie!A:D,4,FALSE)</f>
        <v>Relativity</v>
      </c>
      <c r="H833" s="14">
        <f>VLOOKUP(E833,'Rental Transaction'!A:B,2,FALSE)</f>
        <v>517477</v>
      </c>
      <c r="I833">
        <f t="shared" si="12"/>
        <v>2013</v>
      </c>
    </row>
    <row r="834" spans="1:9">
      <c r="A834" s="1">
        <v>10159</v>
      </c>
      <c r="B834" s="1">
        <v>9</v>
      </c>
      <c r="C834" s="2">
        <v>41356</v>
      </c>
      <c r="D834" s="1" t="s">
        <v>2002</v>
      </c>
      <c r="E834" s="1">
        <v>100475</v>
      </c>
      <c r="F834" s="6" t="s">
        <v>2836</v>
      </c>
      <c r="G834" s="15" t="str">
        <f>VLOOKUP(A834,Movie!A:D,4,FALSE)</f>
        <v>Lionsgate</v>
      </c>
      <c r="H834" s="14">
        <f>VLOOKUP(E834,'Rental Transaction'!A:B,2,FALSE)</f>
        <v>724813</v>
      </c>
      <c r="I834">
        <f t="shared" si="12"/>
        <v>2013</v>
      </c>
    </row>
    <row r="835" spans="1:9">
      <c r="A835" s="1">
        <v>10091</v>
      </c>
      <c r="B835" s="1">
        <v>4</v>
      </c>
      <c r="C835" s="2">
        <v>41356</v>
      </c>
      <c r="D835" s="1" t="s">
        <v>2005</v>
      </c>
      <c r="E835" s="1">
        <v>100475</v>
      </c>
      <c r="F835" s="6" t="s">
        <v>2837</v>
      </c>
      <c r="G835" s="15" t="str">
        <f>VLOOKUP(A835,Movie!A:D,4,FALSE)</f>
        <v>Warner Brothers</v>
      </c>
      <c r="H835" s="14">
        <f>VLOOKUP(E835,'Rental Transaction'!A:B,2,FALSE)</f>
        <v>724813</v>
      </c>
      <c r="I835">
        <f t="shared" ref="I835:I898" si="13">YEAR(C835)</f>
        <v>2013</v>
      </c>
    </row>
    <row r="836" spans="1:9">
      <c r="A836" s="1">
        <v>10057</v>
      </c>
      <c r="B836" s="1">
        <v>7</v>
      </c>
      <c r="C836" s="2">
        <v>41355</v>
      </c>
      <c r="D836" s="1" t="s">
        <v>2005</v>
      </c>
      <c r="E836" s="1">
        <v>100476</v>
      </c>
      <c r="F836" s="6" t="s">
        <v>2838</v>
      </c>
      <c r="G836" s="15" t="str">
        <f>VLOOKUP(A836,Movie!A:D,4,FALSE)</f>
        <v>Warner Brothers</v>
      </c>
      <c r="H836" s="14">
        <f>VLOOKUP(E836,'Rental Transaction'!A:B,2,FALSE)</f>
        <v>784218</v>
      </c>
      <c r="I836">
        <f t="shared" si="13"/>
        <v>2013</v>
      </c>
    </row>
    <row r="837" spans="1:9">
      <c r="A837" s="1">
        <v>10076</v>
      </c>
      <c r="B837" s="1">
        <v>4</v>
      </c>
      <c r="C837" s="2">
        <v>41355</v>
      </c>
      <c r="D837" s="1" t="s">
        <v>2005</v>
      </c>
      <c r="E837" s="1">
        <v>100477</v>
      </c>
      <c r="F837" s="6" t="s">
        <v>2839</v>
      </c>
      <c r="G837" s="15" t="str">
        <f>VLOOKUP(A837,Movie!A:D,4,FALSE)</f>
        <v>Sony</v>
      </c>
      <c r="H837" s="14">
        <f>VLOOKUP(E837,'Rental Transaction'!A:B,2,FALSE)</f>
        <v>227372</v>
      </c>
      <c r="I837">
        <f t="shared" si="13"/>
        <v>2013</v>
      </c>
    </row>
    <row r="838" spans="1:9" ht="29.25">
      <c r="A838" s="1">
        <v>10081</v>
      </c>
      <c r="B838" s="1">
        <v>7</v>
      </c>
      <c r="C838" s="2">
        <v>41355</v>
      </c>
      <c r="D838" s="1" t="s">
        <v>2005</v>
      </c>
      <c r="E838" s="1">
        <v>100478</v>
      </c>
      <c r="F838" s="6" t="s">
        <v>2840</v>
      </c>
      <c r="G838" s="15" t="str">
        <f>VLOOKUP(A838,Movie!A:D,4,FALSE)</f>
        <v>Weinstein Company</v>
      </c>
      <c r="H838" s="14">
        <f>VLOOKUP(E838,'Rental Transaction'!A:B,2,FALSE)</f>
        <v>220206</v>
      </c>
      <c r="I838">
        <f t="shared" si="13"/>
        <v>2013</v>
      </c>
    </row>
    <row r="839" spans="1:9">
      <c r="A839" s="1">
        <v>10210</v>
      </c>
      <c r="B839" s="1">
        <v>7</v>
      </c>
      <c r="C839" s="2">
        <v>41355</v>
      </c>
      <c r="D839" s="1" t="s">
        <v>2002</v>
      </c>
      <c r="E839" s="1">
        <v>100479</v>
      </c>
      <c r="F839" s="6" t="s">
        <v>2841</v>
      </c>
      <c r="G839" s="15" t="str">
        <f>VLOOKUP(A839,Movie!A:D,4,FALSE)</f>
        <v>Sony</v>
      </c>
      <c r="H839" s="14">
        <f>VLOOKUP(E839,'Rental Transaction'!A:B,2,FALSE)</f>
        <v>563500</v>
      </c>
      <c r="I839">
        <f t="shared" si="13"/>
        <v>2013</v>
      </c>
    </row>
    <row r="840" spans="1:9">
      <c r="A840" s="1">
        <v>10229</v>
      </c>
      <c r="B840" s="1">
        <v>5</v>
      </c>
      <c r="C840" s="2">
        <v>41358</v>
      </c>
      <c r="D840" s="1" t="s">
        <v>2002</v>
      </c>
      <c r="E840" s="1">
        <v>100480</v>
      </c>
      <c r="F840" s="6" t="s">
        <v>2842</v>
      </c>
      <c r="G840" s="15" t="str">
        <f>VLOOKUP(A840,Movie!A:D,4,FALSE)</f>
        <v>TriStar</v>
      </c>
      <c r="H840" s="14">
        <f>VLOOKUP(E840,'Rental Transaction'!A:B,2,FALSE)</f>
        <v>808421</v>
      </c>
      <c r="I840">
        <f t="shared" si="13"/>
        <v>2013</v>
      </c>
    </row>
    <row r="841" spans="1:9">
      <c r="A841" s="1">
        <v>10139</v>
      </c>
      <c r="B841" s="1">
        <v>3</v>
      </c>
      <c r="C841" s="2">
        <v>41357</v>
      </c>
      <c r="D841" s="1" t="s">
        <v>2002</v>
      </c>
      <c r="E841" s="1">
        <v>100481</v>
      </c>
      <c r="F841" s="6" t="s">
        <v>2843</v>
      </c>
      <c r="G841" s="15" t="str">
        <f>VLOOKUP(A841,Movie!A:D,4,FALSE)</f>
        <v>Focus</v>
      </c>
      <c r="H841" s="14">
        <f>VLOOKUP(E841,'Rental Transaction'!A:B,2,FALSE)</f>
        <v>668931</v>
      </c>
      <c r="I841">
        <f t="shared" si="13"/>
        <v>2013</v>
      </c>
    </row>
    <row r="842" spans="1:9">
      <c r="A842" s="1">
        <v>10056</v>
      </c>
      <c r="B842" s="1">
        <v>8</v>
      </c>
      <c r="C842" s="2">
        <v>41356</v>
      </c>
      <c r="D842" s="1" t="s">
        <v>2002</v>
      </c>
      <c r="E842" s="1">
        <v>100481</v>
      </c>
      <c r="F842" s="6" t="s">
        <v>2844</v>
      </c>
      <c r="G842" s="15" t="str">
        <f>VLOOKUP(A842,Movie!A:D,4,FALSE)</f>
        <v>Screen Gems</v>
      </c>
      <c r="H842" s="14">
        <f>VLOOKUP(E842,'Rental Transaction'!A:B,2,FALSE)</f>
        <v>668931</v>
      </c>
      <c r="I842">
        <f t="shared" si="13"/>
        <v>2013</v>
      </c>
    </row>
    <row r="843" spans="1:9">
      <c r="A843" s="1">
        <v>10087</v>
      </c>
      <c r="B843" s="1">
        <v>2</v>
      </c>
      <c r="C843" s="2">
        <v>41357</v>
      </c>
      <c r="D843" s="1" t="s">
        <v>2002</v>
      </c>
      <c r="E843" s="1">
        <v>100481</v>
      </c>
      <c r="F843" s="6" t="s">
        <v>2845</v>
      </c>
      <c r="G843" s="15" t="str">
        <f>VLOOKUP(A843,Movie!A:D,4,FALSE)</f>
        <v>Lionsgate</v>
      </c>
      <c r="H843" s="14">
        <f>VLOOKUP(E843,'Rental Transaction'!A:B,2,FALSE)</f>
        <v>668931</v>
      </c>
      <c r="I843">
        <f t="shared" si="13"/>
        <v>2013</v>
      </c>
    </row>
    <row r="844" spans="1:9">
      <c r="A844" s="1">
        <v>10068</v>
      </c>
      <c r="B844" s="1">
        <v>9</v>
      </c>
      <c r="C844" s="2">
        <v>41356</v>
      </c>
      <c r="D844" s="1" t="s">
        <v>2005</v>
      </c>
      <c r="E844" s="1">
        <v>100481</v>
      </c>
      <c r="F844" s="6" t="s">
        <v>2846</v>
      </c>
      <c r="G844" s="15" t="str">
        <f>VLOOKUP(A844,Movie!A:D,4,FALSE)</f>
        <v>Warner Brothers</v>
      </c>
      <c r="H844" s="14">
        <f>VLOOKUP(E844,'Rental Transaction'!A:B,2,FALSE)</f>
        <v>668931</v>
      </c>
      <c r="I844">
        <f t="shared" si="13"/>
        <v>2013</v>
      </c>
    </row>
    <row r="845" spans="1:9">
      <c r="A845" s="1">
        <v>10068</v>
      </c>
      <c r="B845" s="1">
        <v>2</v>
      </c>
      <c r="C845" s="2">
        <v>41358</v>
      </c>
      <c r="D845" s="1" t="s">
        <v>2002</v>
      </c>
      <c r="E845" s="1">
        <v>100482</v>
      </c>
      <c r="F845" s="6" t="s">
        <v>2847</v>
      </c>
      <c r="G845" s="15" t="str">
        <f>VLOOKUP(A845,Movie!A:D,4,FALSE)</f>
        <v>Warner Brothers</v>
      </c>
      <c r="H845" s="14">
        <f>VLOOKUP(E845,'Rental Transaction'!A:B,2,FALSE)</f>
        <v>561305</v>
      </c>
      <c r="I845">
        <f t="shared" si="13"/>
        <v>2013</v>
      </c>
    </row>
    <row r="846" spans="1:9">
      <c r="A846" s="1">
        <v>10197</v>
      </c>
      <c r="B846" s="1">
        <v>3</v>
      </c>
      <c r="C846" s="2">
        <v>41356</v>
      </c>
      <c r="D846" s="1" t="s">
        <v>2002</v>
      </c>
      <c r="E846" s="1">
        <v>100482</v>
      </c>
      <c r="F846" s="6" t="s">
        <v>2848</v>
      </c>
      <c r="G846" s="15" t="str">
        <f>VLOOKUP(A846,Movie!A:D,4,FALSE)</f>
        <v>Warner Brothers</v>
      </c>
      <c r="H846" s="14">
        <f>VLOOKUP(E846,'Rental Transaction'!A:B,2,FALSE)</f>
        <v>561305</v>
      </c>
      <c r="I846">
        <f t="shared" si="13"/>
        <v>2013</v>
      </c>
    </row>
    <row r="847" spans="1:9">
      <c r="A847" s="1">
        <v>10050</v>
      </c>
      <c r="B847" s="1">
        <v>10</v>
      </c>
      <c r="C847" s="2">
        <v>41357</v>
      </c>
      <c r="D847" s="1" t="s">
        <v>2002</v>
      </c>
      <c r="E847" s="1">
        <v>100483</v>
      </c>
      <c r="F847" s="6" t="s">
        <v>2849</v>
      </c>
      <c r="G847" s="15" t="str">
        <f>VLOOKUP(A847,Movie!A:D,4,FALSE)</f>
        <v>Paramount</v>
      </c>
      <c r="H847" s="14">
        <f>VLOOKUP(E847,'Rental Transaction'!A:B,2,FALSE)</f>
        <v>994199</v>
      </c>
      <c r="I847">
        <f t="shared" si="13"/>
        <v>2013</v>
      </c>
    </row>
    <row r="848" spans="1:9">
      <c r="A848" s="1">
        <v>10127</v>
      </c>
      <c r="B848" s="1">
        <v>2</v>
      </c>
      <c r="C848" s="2">
        <v>41357</v>
      </c>
      <c r="D848" s="1" t="s">
        <v>2002</v>
      </c>
      <c r="E848" s="1">
        <v>100483</v>
      </c>
      <c r="F848" s="6" t="s">
        <v>2850</v>
      </c>
      <c r="G848" s="15" t="str">
        <f>VLOOKUP(A848,Movie!A:D,4,FALSE)</f>
        <v>TriStar</v>
      </c>
      <c r="H848" s="14">
        <f>VLOOKUP(E848,'Rental Transaction'!A:B,2,FALSE)</f>
        <v>994199</v>
      </c>
      <c r="I848">
        <f t="shared" si="13"/>
        <v>2013</v>
      </c>
    </row>
    <row r="849" spans="1:9">
      <c r="A849" s="1">
        <v>10130</v>
      </c>
      <c r="B849" s="1">
        <v>8</v>
      </c>
      <c r="C849" s="2">
        <v>41357</v>
      </c>
      <c r="D849" s="1" t="s">
        <v>2005</v>
      </c>
      <c r="E849" s="1">
        <v>100484</v>
      </c>
      <c r="F849" s="6" t="s">
        <v>2851</v>
      </c>
      <c r="G849" s="15" t="str">
        <f>VLOOKUP(A849,Movie!A:D,4,FALSE)</f>
        <v>A24</v>
      </c>
      <c r="H849" s="14">
        <f>VLOOKUP(E849,'Rental Transaction'!A:B,2,FALSE)</f>
        <v>513968</v>
      </c>
      <c r="I849">
        <f t="shared" si="13"/>
        <v>2013</v>
      </c>
    </row>
    <row r="850" spans="1:9">
      <c r="A850" s="1">
        <v>10084</v>
      </c>
      <c r="B850" s="1">
        <v>1</v>
      </c>
      <c r="C850" s="2">
        <v>41357</v>
      </c>
      <c r="D850" s="1" t="s">
        <v>2005</v>
      </c>
      <c r="E850" s="1">
        <v>100484</v>
      </c>
      <c r="F850" s="6" t="s">
        <v>2852</v>
      </c>
      <c r="G850" s="15" t="str">
        <f>VLOOKUP(A850,Movie!A:D,4,FALSE)</f>
        <v>CBS Films</v>
      </c>
      <c r="H850" s="14">
        <f>VLOOKUP(E850,'Rental Transaction'!A:B,2,FALSE)</f>
        <v>513968</v>
      </c>
      <c r="I850">
        <f t="shared" si="13"/>
        <v>2013</v>
      </c>
    </row>
    <row r="851" spans="1:9">
      <c r="A851" s="1">
        <v>10064</v>
      </c>
      <c r="B851" s="1">
        <v>9</v>
      </c>
      <c r="C851" s="2">
        <v>41357</v>
      </c>
      <c r="D851" s="1" t="s">
        <v>2005</v>
      </c>
      <c r="E851" s="1">
        <v>100485</v>
      </c>
      <c r="F851" s="6" t="s">
        <v>2853</v>
      </c>
      <c r="G851" s="15" t="str">
        <f>VLOOKUP(A851,Movie!A:D,4,FALSE)</f>
        <v>Universal</v>
      </c>
      <c r="H851" s="14">
        <f>VLOOKUP(E851,'Rental Transaction'!A:B,2,FALSE)</f>
        <v>926144</v>
      </c>
      <c r="I851">
        <f t="shared" si="13"/>
        <v>2013</v>
      </c>
    </row>
    <row r="852" spans="1:9">
      <c r="A852" s="1">
        <v>10094</v>
      </c>
      <c r="B852" s="1">
        <v>4</v>
      </c>
      <c r="C852" s="2">
        <v>41358</v>
      </c>
      <c r="D852" s="1" t="s">
        <v>2002</v>
      </c>
      <c r="E852" s="1">
        <v>100486</v>
      </c>
      <c r="F852" s="6" t="s">
        <v>2854</v>
      </c>
      <c r="G852" s="15" t="str">
        <f>VLOOKUP(A852,Movie!A:D,4,FALSE)</f>
        <v>Relativity</v>
      </c>
      <c r="H852" s="14">
        <f>VLOOKUP(E852,'Rental Transaction'!A:B,2,FALSE)</f>
        <v>317807</v>
      </c>
      <c r="I852">
        <f t="shared" si="13"/>
        <v>2013</v>
      </c>
    </row>
    <row r="853" spans="1:9">
      <c r="A853" s="1">
        <v>10074</v>
      </c>
      <c r="B853" s="1">
        <v>9</v>
      </c>
      <c r="C853" s="2">
        <v>41358</v>
      </c>
      <c r="D853" s="1" t="s">
        <v>2005</v>
      </c>
      <c r="E853" s="1">
        <v>100486</v>
      </c>
      <c r="F853" s="6" t="s">
        <v>2855</v>
      </c>
      <c r="G853" s="15" t="str">
        <f>VLOOKUP(A853,Movie!A:D,4,FALSE)</f>
        <v>Open Road Films</v>
      </c>
      <c r="H853" s="14">
        <f>VLOOKUP(E853,'Rental Transaction'!A:B,2,FALSE)</f>
        <v>317807</v>
      </c>
      <c r="I853">
        <f t="shared" si="13"/>
        <v>2013</v>
      </c>
    </row>
    <row r="854" spans="1:9">
      <c r="A854" s="1">
        <v>10025</v>
      </c>
      <c r="B854" s="1">
        <v>6</v>
      </c>
      <c r="C854" s="2">
        <v>41359</v>
      </c>
      <c r="D854" s="1" t="s">
        <v>2005</v>
      </c>
      <c r="E854" s="1">
        <v>100486</v>
      </c>
      <c r="F854" s="6" t="s">
        <v>2856</v>
      </c>
      <c r="G854" s="15" t="str">
        <f>VLOOKUP(A854,Movie!A:D,4,FALSE)</f>
        <v>Sony</v>
      </c>
      <c r="H854" s="14">
        <f>VLOOKUP(E854,'Rental Transaction'!A:B,2,FALSE)</f>
        <v>317807</v>
      </c>
      <c r="I854">
        <f t="shared" si="13"/>
        <v>2013</v>
      </c>
    </row>
    <row r="855" spans="1:9">
      <c r="A855" s="1">
        <v>10030</v>
      </c>
      <c r="B855" s="1">
        <v>7</v>
      </c>
      <c r="C855" s="2">
        <v>41358</v>
      </c>
      <c r="D855" s="1" t="s">
        <v>2005</v>
      </c>
      <c r="E855" s="1">
        <v>100487</v>
      </c>
      <c r="F855" s="6" t="s">
        <v>2857</v>
      </c>
      <c r="G855" s="15" t="str">
        <f>VLOOKUP(A855,Movie!A:D,4,FALSE)</f>
        <v>Warner Brothers</v>
      </c>
      <c r="H855" s="14">
        <f>VLOOKUP(E855,'Rental Transaction'!A:B,2,FALSE)</f>
        <v>308505</v>
      </c>
      <c r="I855">
        <f t="shared" si="13"/>
        <v>2013</v>
      </c>
    </row>
    <row r="856" spans="1:9">
      <c r="A856" s="1">
        <v>10141</v>
      </c>
      <c r="B856" s="1">
        <v>4</v>
      </c>
      <c r="C856" s="2">
        <v>41359</v>
      </c>
      <c r="D856" s="1" t="s">
        <v>2002</v>
      </c>
      <c r="E856" s="1">
        <v>100487</v>
      </c>
      <c r="F856" s="6" t="s">
        <v>2858</v>
      </c>
      <c r="G856" s="15" t="str">
        <f>VLOOKUP(A856,Movie!A:D,4,FALSE)</f>
        <v>Warner Brothers</v>
      </c>
      <c r="H856" s="14">
        <f>VLOOKUP(E856,'Rental Transaction'!A:B,2,FALSE)</f>
        <v>308505</v>
      </c>
      <c r="I856">
        <f t="shared" si="13"/>
        <v>2013</v>
      </c>
    </row>
    <row r="857" spans="1:9">
      <c r="A857" s="1">
        <v>10060</v>
      </c>
      <c r="B857" s="1">
        <v>4</v>
      </c>
      <c r="C857" s="2">
        <v>41359</v>
      </c>
      <c r="D857" s="1" t="s">
        <v>2005</v>
      </c>
      <c r="E857" s="1">
        <v>100488</v>
      </c>
      <c r="F857" s="6" t="s">
        <v>2859</v>
      </c>
      <c r="G857" s="15" t="str">
        <f>VLOOKUP(A857,Movie!A:D,4,FALSE)</f>
        <v>Warner Brothers</v>
      </c>
      <c r="H857" s="14">
        <f>VLOOKUP(E857,'Rental Transaction'!A:B,2,FALSE)</f>
        <v>757525</v>
      </c>
      <c r="I857">
        <f t="shared" si="13"/>
        <v>2013</v>
      </c>
    </row>
    <row r="858" spans="1:9">
      <c r="A858" s="1">
        <v>10079</v>
      </c>
      <c r="B858" s="1">
        <v>4</v>
      </c>
      <c r="C858" s="2">
        <v>41358</v>
      </c>
      <c r="D858" s="1" t="s">
        <v>2002</v>
      </c>
      <c r="E858" s="1">
        <v>100489</v>
      </c>
      <c r="F858" s="6" t="s">
        <v>2860</v>
      </c>
      <c r="G858" s="15" t="str">
        <f>VLOOKUP(A858,Movie!A:D,4,FALSE)</f>
        <v>Warner Brothers</v>
      </c>
      <c r="H858" s="14">
        <f>VLOOKUP(E858,'Rental Transaction'!A:B,2,FALSE)</f>
        <v>994185</v>
      </c>
      <c r="I858">
        <f t="shared" si="13"/>
        <v>2013</v>
      </c>
    </row>
    <row r="859" spans="1:9">
      <c r="A859" s="1">
        <v>10175</v>
      </c>
      <c r="B859" s="1">
        <v>5</v>
      </c>
      <c r="C859" s="2">
        <v>41358</v>
      </c>
      <c r="D859" s="1" t="s">
        <v>2002</v>
      </c>
      <c r="E859" s="1">
        <v>100489</v>
      </c>
      <c r="F859" s="6" t="s">
        <v>2861</v>
      </c>
      <c r="G859" s="15" t="str">
        <f>VLOOKUP(A859,Movie!A:D,4,FALSE)</f>
        <v>Buena Vista</v>
      </c>
      <c r="H859" s="14">
        <f>VLOOKUP(E859,'Rental Transaction'!A:B,2,FALSE)</f>
        <v>994185</v>
      </c>
      <c r="I859">
        <f t="shared" si="13"/>
        <v>2013</v>
      </c>
    </row>
    <row r="860" spans="1:9" ht="29.25">
      <c r="A860" s="1">
        <v>10140</v>
      </c>
      <c r="B860" s="1">
        <v>8</v>
      </c>
      <c r="C860" s="2">
        <v>41359</v>
      </c>
      <c r="D860" s="1" t="s">
        <v>2002</v>
      </c>
      <c r="E860" s="1">
        <v>100489</v>
      </c>
      <c r="F860" s="6" t="s">
        <v>2862</v>
      </c>
      <c r="G860" s="15" t="str">
        <f>VLOOKUP(A860,Movie!A:D,4,FALSE)</f>
        <v>Weinstein Company</v>
      </c>
      <c r="H860" s="14">
        <f>VLOOKUP(E860,'Rental Transaction'!A:B,2,FALSE)</f>
        <v>994185</v>
      </c>
      <c r="I860">
        <f t="shared" si="13"/>
        <v>2013</v>
      </c>
    </row>
    <row r="861" spans="1:9">
      <c r="A861" s="1">
        <v>10266</v>
      </c>
      <c r="B861" s="1">
        <v>5</v>
      </c>
      <c r="C861" s="2">
        <v>41358</v>
      </c>
      <c r="D861" s="1" t="s">
        <v>2002</v>
      </c>
      <c r="E861" s="1">
        <v>100490</v>
      </c>
      <c r="F861" s="6" t="s">
        <v>2863</v>
      </c>
      <c r="G861" s="15" t="str">
        <f>VLOOKUP(A861,Movie!A:D,4,FALSE)</f>
        <v>Sony</v>
      </c>
      <c r="H861" s="14">
        <f>VLOOKUP(E861,'Rental Transaction'!A:B,2,FALSE)</f>
        <v>134457</v>
      </c>
      <c r="I861">
        <f t="shared" si="13"/>
        <v>2013</v>
      </c>
    </row>
    <row r="862" spans="1:9">
      <c r="A862" s="1">
        <v>10191</v>
      </c>
      <c r="B862" s="1">
        <v>3</v>
      </c>
      <c r="C862" s="2">
        <v>41358</v>
      </c>
      <c r="D862" s="1" t="s">
        <v>2005</v>
      </c>
      <c r="E862" s="1">
        <v>100490</v>
      </c>
      <c r="F862" s="6" t="s">
        <v>2864</v>
      </c>
      <c r="G862" s="15" t="str">
        <f>VLOOKUP(A862,Movie!A:D,4,FALSE)</f>
        <v>Universal</v>
      </c>
      <c r="H862" s="14">
        <f>VLOOKUP(E862,'Rental Transaction'!A:B,2,FALSE)</f>
        <v>134457</v>
      </c>
      <c r="I862">
        <f t="shared" si="13"/>
        <v>2013</v>
      </c>
    </row>
    <row r="863" spans="1:9">
      <c r="A863" s="1">
        <v>10179</v>
      </c>
      <c r="B863" s="1">
        <v>7</v>
      </c>
      <c r="C863" s="2">
        <v>41358</v>
      </c>
      <c r="D863" s="1" t="s">
        <v>2005</v>
      </c>
      <c r="E863" s="1">
        <v>100490</v>
      </c>
      <c r="F863" s="6" t="s">
        <v>2865</v>
      </c>
      <c r="G863" s="15" t="str">
        <f>VLOOKUP(A863,Movie!A:D,4,FALSE)</f>
        <v>Warner Brothers</v>
      </c>
      <c r="H863" s="14">
        <f>VLOOKUP(E863,'Rental Transaction'!A:B,2,FALSE)</f>
        <v>134457</v>
      </c>
      <c r="I863">
        <f t="shared" si="13"/>
        <v>2013</v>
      </c>
    </row>
    <row r="864" spans="1:9">
      <c r="A864" s="1">
        <v>10041</v>
      </c>
      <c r="B864" s="1">
        <v>2</v>
      </c>
      <c r="C864" s="2">
        <v>41358</v>
      </c>
      <c r="D864" s="1" t="s">
        <v>2002</v>
      </c>
      <c r="E864" s="1">
        <v>100491</v>
      </c>
      <c r="F864" s="6" t="s">
        <v>2866</v>
      </c>
      <c r="G864" s="15" t="str">
        <f>VLOOKUP(A864,Movie!A:D,4,FALSE)</f>
        <v>Lionsgate</v>
      </c>
      <c r="H864" s="14">
        <f>VLOOKUP(E864,'Rental Transaction'!A:B,2,FALSE)</f>
        <v>256181</v>
      </c>
      <c r="I864">
        <f t="shared" si="13"/>
        <v>2013</v>
      </c>
    </row>
    <row r="865" spans="1:9">
      <c r="A865" s="1">
        <v>10044</v>
      </c>
      <c r="B865" s="1">
        <v>10</v>
      </c>
      <c r="C865" s="2">
        <v>41359</v>
      </c>
      <c r="D865" s="1" t="s">
        <v>2005</v>
      </c>
      <c r="E865" s="1">
        <v>100492</v>
      </c>
      <c r="F865" s="6" t="s">
        <v>2867</v>
      </c>
      <c r="G865" s="15" t="str">
        <f>VLOOKUP(A865,Movie!A:D,4,FALSE)</f>
        <v>Buena Vista</v>
      </c>
      <c r="H865" s="14">
        <f>VLOOKUP(E865,'Rental Transaction'!A:B,2,FALSE)</f>
        <v>214537</v>
      </c>
      <c r="I865">
        <f t="shared" si="13"/>
        <v>2013</v>
      </c>
    </row>
    <row r="866" spans="1:9">
      <c r="A866" s="1">
        <v>10281</v>
      </c>
      <c r="B866" s="1">
        <v>6</v>
      </c>
      <c r="C866" s="2">
        <v>41358</v>
      </c>
      <c r="D866" s="1" t="s">
        <v>2002</v>
      </c>
      <c r="E866" s="1">
        <v>100493</v>
      </c>
      <c r="F866" s="6" t="s">
        <v>2868</v>
      </c>
      <c r="G866" s="15" t="str">
        <f>VLOOKUP(A866,Movie!A:D,4,FALSE)</f>
        <v>Lionsgate</v>
      </c>
      <c r="H866" s="14">
        <f>VLOOKUP(E866,'Rental Transaction'!A:B,2,FALSE)</f>
        <v>448739</v>
      </c>
      <c r="I866">
        <f t="shared" si="13"/>
        <v>2013</v>
      </c>
    </row>
    <row r="867" spans="1:9">
      <c r="A867" s="1">
        <v>10270</v>
      </c>
      <c r="B867" s="1">
        <v>8</v>
      </c>
      <c r="C867" s="2">
        <v>41360</v>
      </c>
      <c r="D867" s="1" t="s">
        <v>2005</v>
      </c>
      <c r="E867" s="1">
        <v>100494</v>
      </c>
      <c r="F867" s="6" t="s">
        <v>2869</v>
      </c>
      <c r="G867" s="15" t="str">
        <f>VLOOKUP(A867,Movie!A:D,4,FALSE)</f>
        <v>Fox</v>
      </c>
      <c r="H867" s="14">
        <f>VLOOKUP(E867,'Rental Transaction'!A:B,2,FALSE)</f>
        <v>308505</v>
      </c>
      <c r="I867">
        <f t="shared" si="13"/>
        <v>2013</v>
      </c>
    </row>
    <row r="868" spans="1:9">
      <c r="A868" s="1">
        <v>10143</v>
      </c>
      <c r="B868" s="1">
        <v>8</v>
      </c>
      <c r="C868" s="2">
        <v>41359</v>
      </c>
      <c r="D868" s="1" t="s">
        <v>2005</v>
      </c>
      <c r="E868" s="1">
        <v>100495</v>
      </c>
      <c r="F868" s="6" t="s">
        <v>2870</v>
      </c>
      <c r="G868" s="15" t="str">
        <f>VLOOKUP(A868,Movie!A:D,4,FALSE)</f>
        <v>Buena Vista</v>
      </c>
      <c r="H868" s="14">
        <f>VLOOKUP(E868,'Rental Transaction'!A:B,2,FALSE)</f>
        <v>405322</v>
      </c>
      <c r="I868">
        <f t="shared" si="13"/>
        <v>2013</v>
      </c>
    </row>
    <row r="869" spans="1:9">
      <c r="A869" s="1">
        <v>10103</v>
      </c>
      <c r="B869" s="1">
        <v>9</v>
      </c>
      <c r="C869" s="2">
        <v>41360</v>
      </c>
      <c r="D869" s="1" t="s">
        <v>2002</v>
      </c>
      <c r="E869" s="1">
        <v>100495</v>
      </c>
      <c r="F869" s="6" t="s">
        <v>2871</v>
      </c>
      <c r="G869" s="15" t="str">
        <f>VLOOKUP(A869,Movie!A:D,4,FALSE)</f>
        <v>Fox</v>
      </c>
      <c r="H869" s="14">
        <f>VLOOKUP(E869,'Rental Transaction'!A:B,2,FALSE)</f>
        <v>405322</v>
      </c>
      <c r="I869">
        <f t="shared" si="13"/>
        <v>2013</v>
      </c>
    </row>
    <row r="870" spans="1:9">
      <c r="A870" s="1">
        <v>10197</v>
      </c>
      <c r="B870" s="1">
        <v>9</v>
      </c>
      <c r="C870" s="2">
        <v>41359</v>
      </c>
      <c r="D870" s="1" t="s">
        <v>2002</v>
      </c>
      <c r="E870" s="1">
        <v>100496</v>
      </c>
      <c r="F870" s="6" t="s">
        <v>2872</v>
      </c>
      <c r="G870" s="15" t="str">
        <f>VLOOKUP(A870,Movie!A:D,4,FALSE)</f>
        <v>Warner Brothers</v>
      </c>
      <c r="H870" s="14">
        <f>VLOOKUP(E870,'Rental Transaction'!A:B,2,FALSE)</f>
        <v>240205</v>
      </c>
      <c r="I870">
        <f t="shared" si="13"/>
        <v>2013</v>
      </c>
    </row>
    <row r="871" spans="1:9">
      <c r="A871" s="1">
        <v>10208</v>
      </c>
      <c r="B871" s="1">
        <v>2</v>
      </c>
      <c r="C871" s="2">
        <v>41360</v>
      </c>
      <c r="D871" s="1" t="s">
        <v>2005</v>
      </c>
      <c r="E871" s="1">
        <v>100497</v>
      </c>
      <c r="F871" s="6" t="s">
        <v>2873</v>
      </c>
      <c r="G871" s="15" t="str">
        <f>VLOOKUP(A871,Movie!A:D,4,FALSE)</f>
        <v>Warner Brothers</v>
      </c>
      <c r="H871" s="14">
        <f>VLOOKUP(E871,'Rental Transaction'!A:B,2,FALSE)</f>
        <v>304344</v>
      </c>
      <c r="I871">
        <f t="shared" si="13"/>
        <v>2013</v>
      </c>
    </row>
    <row r="872" spans="1:9">
      <c r="A872" s="1">
        <v>10180</v>
      </c>
      <c r="B872" s="1">
        <v>3</v>
      </c>
      <c r="C872" s="2">
        <v>41360</v>
      </c>
      <c r="D872" s="1" t="s">
        <v>2005</v>
      </c>
      <c r="E872" s="1">
        <v>100498</v>
      </c>
      <c r="F872" s="6" t="s">
        <v>2874</v>
      </c>
      <c r="G872" s="15" t="str">
        <f>VLOOKUP(A872,Movie!A:D,4,FALSE)</f>
        <v>Relativity</v>
      </c>
      <c r="H872" s="14">
        <f>VLOOKUP(E872,'Rental Transaction'!A:B,2,FALSE)</f>
        <v>206078</v>
      </c>
      <c r="I872">
        <f t="shared" si="13"/>
        <v>2013</v>
      </c>
    </row>
    <row r="873" spans="1:9">
      <c r="A873" s="1">
        <v>10195</v>
      </c>
      <c r="B873" s="1">
        <v>3</v>
      </c>
      <c r="C873" s="2">
        <v>41360</v>
      </c>
      <c r="D873" s="1" t="s">
        <v>2002</v>
      </c>
      <c r="E873" s="1">
        <v>100499</v>
      </c>
      <c r="F873" s="6" t="s">
        <v>2875</v>
      </c>
      <c r="G873" s="15" t="str">
        <f>VLOOKUP(A873,Movie!A:D,4,FALSE)</f>
        <v>Sony</v>
      </c>
      <c r="H873" s="14">
        <f>VLOOKUP(E873,'Rental Transaction'!A:B,2,FALSE)</f>
        <v>343021</v>
      </c>
      <c r="I873">
        <f t="shared" si="13"/>
        <v>2013</v>
      </c>
    </row>
    <row r="874" spans="1:9">
      <c r="A874" s="1">
        <v>10026</v>
      </c>
      <c r="B874" s="1">
        <v>7</v>
      </c>
      <c r="C874" s="2">
        <v>41359</v>
      </c>
      <c r="D874" s="1" t="s">
        <v>2002</v>
      </c>
      <c r="E874" s="1">
        <v>100500</v>
      </c>
      <c r="F874" s="6" t="s">
        <v>2876</v>
      </c>
      <c r="G874" s="15" t="str">
        <f>VLOOKUP(A874,Movie!A:D,4,FALSE)</f>
        <v>Fox</v>
      </c>
      <c r="H874" s="14">
        <f>VLOOKUP(E874,'Rental Transaction'!A:B,2,FALSE)</f>
        <v>847289</v>
      </c>
      <c r="I874">
        <f t="shared" si="13"/>
        <v>2013</v>
      </c>
    </row>
    <row r="875" spans="1:9">
      <c r="A875" s="1">
        <v>10215</v>
      </c>
      <c r="B875" s="1">
        <v>4</v>
      </c>
      <c r="C875" s="2">
        <v>41359</v>
      </c>
      <c r="D875" s="1" t="s">
        <v>2002</v>
      </c>
      <c r="E875" s="1">
        <v>100500</v>
      </c>
      <c r="F875" s="6" t="s">
        <v>2877</v>
      </c>
      <c r="G875" s="15" t="str">
        <f>VLOOKUP(A875,Movie!A:D,4,FALSE)</f>
        <v>Paramount</v>
      </c>
      <c r="H875" s="14">
        <f>VLOOKUP(E875,'Rental Transaction'!A:B,2,FALSE)</f>
        <v>847289</v>
      </c>
      <c r="I875">
        <f t="shared" si="13"/>
        <v>2013</v>
      </c>
    </row>
    <row r="876" spans="1:9">
      <c r="A876" s="1">
        <v>10155</v>
      </c>
      <c r="B876" s="1">
        <v>7</v>
      </c>
      <c r="C876" s="2">
        <v>41360</v>
      </c>
      <c r="D876" s="1" t="s">
        <v>2005</v>
      </c>
      <c r="E876" s="1">
        <v>100501</v>
      </c>
      <c r="F876" s="6" t="s">
        <v>2878</v>
      </c>
      <c r="G876" s="15" t="str">
        <f>VLOOKUP(A876,Movie!A:D,4,FALSE)</f>
        <v>Fox</v>
      </c>
      <c r="H876" s="14">
        <f>VLOOKUP(E876,'Rental Transaction'!A:B,2,FALSE)</f>
        <v>274541</v>
      </c>
      <c r="I876">
        <f t="shared" si="13"/>
        <v>2013</v>
      </c>
    </row>
    <row r="877" spans="1:9">
      <c r="A877" s="1">
        <v>10197</v>
      </c>
      <c r="B877" s="1">
        <v>3</v>
      </c>
      <c r="C877" s="2">
        <v>41361</v>
      </c>
      <c r="D877" s="1" t="s">
        <v>2005</v>
      </c>
      <c r="E877" s="1">
        <v>100501</v>
      </c>
      <c r="F877" s="6" t="s">
        <v>2879</v>
      </c>
      <c r="G877" s="15" t="str">
        <f>VLOOKUP(A877,Movie!A:D,4,FALSE)</f>
        <v>Warner Brothers</v>
      </c>
      <c r="H877" s="14">
        <f>VLOOKUP(E877,'Rental Transaction'!A:B,2,FALSE)</f>
        <v>274541</v>
      </c>
      <c r="I877">
        <f t="shared" si="13"/>
        <v>2013</v>
      </c>
    </row>
    <row r="878" spans="1:9">
      <c r="A878" s="1">
        <v>10251</v>
      </c>
      <c r="B878" s="1">
        <v>3</v>
      </c>
      <c r="C878" s="2">
        <v>41360</v>
      </c>
      <c r="D878" s="1" t="s">
        <v>2002</v>
      </c>
      <c r="E878" s="1">
        <v>100502</v>
      </c>
      <c r="F878" s="6" t="s">
        <v>2880</v>
      </c>
      <c r="G878" s="15" t="str">
        <f>VLOOKUP(A878,Movie!A:D,4,FALSE)</f>
        <v>Universal</v>
      </c>
      <c r="H878" s="14">
        <f>VLOOKUP(E878,'Rental Transaction'!A:B,2,FALSE)</f>
        <v>745543</v>
      </c>
      <c r="I878">
        <f t="shared" si="13"/>
        <v>2013</v>
      </c>
    </row>
    <row r="879" spans="1:9">
      <c r="A879" s="1">
        <v>10227</v>
      </c>
      <c r="B879" s="1">
        <v>1</v>
      </c>
      <c r="C879" s="2">
        <v>41362</v>
      </c>
      <c r="D879" s="1" t="s">
        <v>2002</v>
      </c>
      <c r="E879" s="1">
        <v>100503</v>
      </c>
      <c r="F879" s="6" t="s">
        <v>2881</v>
      </c>
      <c r="G879" s="15" t="str">
        <f>VLOOKUP(A879,Movie!A:D,4,FALSE)</f>
        <v>Focus</v>
      </c>
      <c r="H879" s="14">
        <f>VLOOKUP(E879,'Rental Transaction'!A:B,2,FALSE)</f>
        <v>757780</v>
      </c>
      <c r="I879">
        <f t="shared" si="13"/>
        <v>2013</v>
      </c>
    </row>
    <row r="880" spans="1:9">
      <c r="A880" s="1">
        <v>10085</v>
      </c>
      <c r="B880" s="1">
        <v>7</v>
      </c>
      <c r="C880" s="2">
        <v>41361</v>
      </c>
      <c r="D880" s="1" t="s">
        <v>2002</v>
      </c>
      <c r="E880" s="1">
        <v>100504</v>
      </c>
      <c r="F880" s="6" t="s">
        <v>2882</v>
      </c>
      <c r="G880" s="15" t="str">
        <f>VLOOKUP(A880,Movie!A:D,4,FALSE)</f>
        <v>Buena Vista</v>
      </c>
      <c r="H880" s="14">
        <f>VLOOKUP(E880,'Rental Transaction'!A:B,2,FALSE)</f>
        <v>973766</v>
      </c>
      <c r="I880">
        <f t="shared" si="13"/>
        <v>2013</v>
      </c>
    </row>
    <row r="881" spans="1:9">
      <c r="A881" s="1">
        <v>10002</v>
      </c>
      <c r="B881" s="1">
        <v>5</v>
      </c>
      <c r="C881" s="2">
        <v>41362</v>
      </c>
      <c r="D881" s="1" t="s">
        <v>2002</v>
      </c>
      <c r="E881" s="1">
        <v>100504</v>
      </c>
      <c r="F881" s="6" t="s">
        <v>2883</v>
      </c>
      <c r="G881" s="15" t="str">
        <f>VLOOKUP(A881,Movie!A:D,4,FALSE)</f>
        <v>Lionsgate</v>
      </c>
      <c r="H881" s="14">
        <f>VLOOKUP(E881,'Rental Transaction'!A:B,2,FALSE)</f>
        <v>973766</v>
      </c>
      <c r="I881">
        <f t="shared" si="13"/>
        <v>2013</v>
      </c>
    </row>
    <row r="882" spans="1:9">
      <c r="A882" s="1">
        <v>10183</v>
      </c>
      <c r="B882" s="1">
        <v>4</v>
      </c>
      <c r="C882" s="2">
        <v>41361</v>
      </c>
      <c r="D882" s="1" t="s">
        <v>2005</v>
      </c>
      <c r="E882" s="1">
        <v>100505</v>
      </c>
      <c r="F882" s="6" t="s">
        <v>2884</v>
      </c>
      <c r="G882" s="15" t="str">
        <f>VLOOKUP(A882,Movie!A:D,4,FALSE)</f>
        <v>Sony</v>
      </c>
      <c r="H882" s="14">
        <f>VLOOKUP(E882,'Rental Transaction'!A:B,2,FALSE)</f>
        <v>791850</v>
      </c>
      <c r="I882">
        <f t="shared" si="13"/>
        <v>2013</v>
      </c>
    </row>
    <row r="883" spans="1:9">
      <c r="A883" s="1">
        <v>10191</v>
      </c>
      <c r="B883" s="1">
        <v>7</v>
      </c>
      <c r="C883" s="2">
        <v>41361</v>
      </c>
      <c r="D883" s="1" t="s">
        <v>2005</v>
      </c>
      <c r="E883" s="1">
        <v>100505</v>
      </c>
      <c r="F883" s="6" t="s">
        <v>2885</v>
      </c>
      <c r="G883" s="15" t="str">
        <f>VLOOKUP(A883,Movie!A:D,4,FALSE)</f>
        <v>Universal</v>
      </c>
      <c r="H883" s="14">
        <f>VLOOKUP(E883,'Rental Transaction'!A:B,2,FALSE)</f>
        <v>791850</v>
      </c>
      <c r="I883">
        <f t="shared" si="13"/>
        <v>2013</v>
      </c>
    </row>
    <row r="884" spans="1:9">
      <c r="A884" s="1">
        <v>10096</v>
      </c>
      <c r="B884" s="1">
        <v>3</v>
      </c>
      <c r="C884" s="2">
        <v>41361</v>
      </c>
      <c r="D884" s="1" t="s">
        <v>2002</v>
      </c>
      <c r="E884" s="1">
        <v>100506</v>
      </c>
      <c r="F884" s="6" t="s">
        <v>2886</v>
      </c>
      <c r="G884" s="15" t="str">
        <f>VLOOKUP(A884,Movie!A:D,4,FALSE)</f>
        <v>Universal</v>
      </c>
      <c r="H884" s="14">
        <f>VLOOKUP(E884,'Rental Transaction'!A:B,2,FALSE)</f>
        <v>456457</v>
      </c>
      <c r="I884">
        <f t="shared" si="13"/>
        <v>2013</v>
      </c>
    </row>
    <row r="885" spans="1:9">
      <c r="A885" s="1">
        <v>10025</v>
      </c>
      <c r="B885" s="1">
        <v>9</v>
      </c>
      <c r="C885" s="2">
        <v>41361</v>
      </c>
      <c r="D885" s="1" t="s">
        <v>2005</v>
      </c>
      <c r="E885" s="1">
        <v>100506</v>
      </c>
      <c r="F885" s="6" t="s">
        <v>2887</v>
      </c>
      <c r="G885" s="15" t="str">
        <f>VLOOKUP(A885,Movie!A:D,4,FALSE)</f>
        <v>Sony</v>
      </c>
      <c r="H885" s="14">
        <f>VLOOKUP(E885,'Rental Transaction'!A:B,2,FALSE)</f>
        <v>456457</v>
      </c>
      <c r="I885">
        <f t="shared" si="13"/>
        <v>2013</v>
      </c>
    </row>
    <row r="886" spans="1:9" ht="29.25">
      <c r="A886" s="1">
        <v>10121</v>
      </c>
      <c r="B886" s="1">
        <v>4</v>
      </c>
      <c r="C886" s="2">
        <v>41362</v>
      </c>
      <c r="D886" s="1" t="s">
        <v>2002</v>
      </c>
      <c r="E886" s="1">
        <v>100507</v>
      </c>
      <c r="F886" s="6" t="s">
        <v>2888</v>
      </c>
      <c r="G886" s="15" t="str">
        <f>VLOOKUP(A886,Movie!A:D,4,FALSE)</f>
        <v>Weinstein Company</v>
      </c>
      <c r="H886" s="14">
        <f>VLOOKUP(E886,'Rental Transaction'!A:B,2,FALSE)</f>
        <v>386336</v>
      </c>
      <c r="I886">
        <f t="shared" si="13"/>
        <v>2013</v>
      </c>
    </row>
    <row r="887" spans="1:9">
      <c r="A887" s="1">
        <v>10048</v>
      </c>
      <c r="B887" s="1">
        <v>10</v>
      </c>
      <c r="C887" s="2">
        <v>41363</v>
      </c>
      <c r="D887" s="1" t="s">
        <v>2005</v>
      </c>
      <c r="E887" s="1">
        <v>100507</v>
      </c>
      <c r="F887" s="6" t="s">
        <v>2889</v>
      </c>
      <c r="G887" s="15" t="str">
        <f>VLOOKUP(A887,Movie!A:D,4,FALSE)</f>
        <v>Relativity</v>
      </c>
      <c r="H887" s="14">
        <f>VLOOKUP(E887,'Rental Transaction'!A:B,2,FALSE)</f>
        <v>386336</v>
      </c>
      <c r="I887">
        <f t="shared" si="13"/>
        <v>2013</v>
      </c>
    </row>
    <row r="888" spans="1:9">
      <c r="A888" s="1">
        <v>10231</v>
      </c>
      <c r="B888" s="1">
        <v>3</v>
      </c>
      <c r="C888" s="2">
        <v>41362</v>
      </c>
      <c r="D888" s="1" t="s">
        <v>2002</v>
      </c>
      <c r="E888" s="1">
        <v>100507</v>
      </c>
      <c r="F888" s="6" t="s">
        <v>2890</v>
      </c>
      <c r="G888" s="15" t="str">
        <f>VLOOKUP(A888,Movie!A:D,4,FALSE)</f>
        <v>Universal</v>
      </c>
      <c r="H888" s="14">
        <f>VLOOKUP(E888,'Rental Transaction'!A:B,2,FALSE)</f>
        <v>386336</v>
      </c>
      <c r="I888">
        <f t="shared" si="13"/>
        <v>2013</v>
      </c>
    </row>
    <row r="889" spans="1:9">
      <c r="A889" s="1">
        <v>10210</v>
      </c>
      <c r="B889" s="1">
        <v>3</v>
      </c>
      <c r="C889" s="2">
        <v>41363</v>
      </c>
      <c r="D889" s="1" t="s">
        <v>2002</v>
      </c>
      <c r="E889" s="1">
        <v>100507</v>
      </c>
      <c r="F889" s="6" t="s">
        <v>2891</v>
      </c>
      <c r="G889" s="15" t="str">
        <f>VLOOKUP(A889,Movie!A:D,4,FALSE)</f>
        <v>Sony</v>
      </c>
      <c r="H889" s="14">
        <f>VLOOKUP(E889,'Rental Transaction'!A:B,2,FALSE)</f>
        <v>386336</v>
      </c>
      <c r="I889">
        <f t="shared" si="13"/>
        <v>2013</v>
      </c>
    </row>
    <row r="890" spans="1:9">
      <c r="A890" s="1">
        <v>10029</v>
      </c>
      <c r="B890" s="1">
        <v>4</v>
      </c>
      <c r="C890" s="2">
        <v>41362</v>
      </c>
      <c r="D890" s="1" t="s">
        <v>2002</v>
      </c>
      <c r="E890" s="1">
        <v>100508</v>
      </c>
      <c r="F890" s="6" t="s">
        <v>2892</v>
      </c>
      <c r="G890" s="15" t="str">
        <f>VLOOKUP(A890,Movie!A:D,4,FALSE)</f>
        <v>Relativity</v>
      </c>
      <c r="H890" s="14">
        <f>VLOOKUP(E890,'Rental Transaction'!A:B,2,FALSE)</f>
        <v>932618</v>
      </c>
      <c r="I890">
        <f t="shared" si="13"/>
        <v>2013</v>
      </c>
    </row>
    <row r="891" spans="1:9">
      <c r="A891" s="1">
        <v>10181</v>
      </c>
      <c r="B891" s="1">
        <v>3</v>
      </c>
      <c r="C891" s="2">
        <v>41362</v>
      </c>
      <c r="D891" s="1" t="s">
        <v>2002</v>
      </c>
      <c r="E891" s="1">
        <v>100508</v>
      </c>
      <c r="F891" s="6" t="s">
        <v>2893</v>
      </c>
      <c r="G891" s="15" t="str">
        <f>VLOOKUP(A891,Movie!A:D,4,FALSE)</f>
        <v>Fox</v>
      </c>
      <c r="H891" s="14">
        <f>VLOOKUP(E891,'Rental Transaction'!A:B,2,FALSE)</f>
        <v>932618</v>
      </c>
      <c r="I891">
        <f t="shared" si="13"/>
        <v>2013</v>
      </c>
    </row>
    <row r="892" spans="1:9">
      <c r="A892" s="1">
        <v>10007</v>
      </c>
      <c r="B892" s="1">
        <v>2</v>
      </c>
      <c r="C892" s="2">
        <v>41362</v>
      </c>
      <c r="D892" s="1" t="s">
        <v>2002</v>
      </c>
      <c r="E892" s="1">
        <v>100508</v>
      </c>
      <c r="F892" s="6" t="s">
        <v>2894</v>
      </c>
      <c r="G892" s="15" t="str">
        <f>VLOOKUP(A892,Movie!A:D,4,FALSE)</f>
        <v>Sony</v>
      </c>
      <c r="H892" s="14">
        <f>VLOOKUP(E892,'Rental Transaction'!A:B,2,FALSE)</f>
        <v>932618</v>
      </c>
      <c r="I892">
        <f t="shared" si="13"/>
        <v>2013</v>
      </c>
    </row>
    <row r="893" spans="1:9">
      <c r="A893" s="1">
        <v>10089</v>
      </c>
      <c r="B893" s="1">
        <v>3</v>
      </c>
      <c r="C893" s="2">
        <v>41363</v>
      </c>
      <c r="D893" s="1" t="s">
        <v>2005</v>
      </c>
      <c r="E893" s="1">
        <v>100508</v>
      </c>
      <c r="F893" s="6" t="s">
        <v>2895</v>
      </c>
      <c r="G893" s="15" t="str">
        <f>VLOOKUP(A893,Movie!A:D,4,FALSE)</f>
        <v>Sony</v>
      </c>
      <c r="H893" s="14">
        <f>VLOOKUP(E893,'Rental Transaction'!A:B,2,FALSE)</f>
        <v>932618</v>
      </c>
      <c r="I893">
        <f t="shared" si="13"/>
        <v>2013</v>
      </c>
    </row>
    <row r="894" spans="1:9">
      <c r="A894" s="1">
        <v>10106</v>
      </c>
      <c r="B894" s="1">
        <v>7</v>
      </c>
      <c r="C894" s="2">
        <v>41363</v>
      </c>
      <c r="D894" s="1" t="s">
        <v>2005</v>
      </c>
      <c r="E894" s="1">
        <v>100509</v>
      </c>
      <c r="F894" s="6" t="s">
        <v>2896</v>
      </c>
      <c r="G894" s="15" t="str">
        <f>VLOOKUP(A894,Movie!A:D,4,FALSE)</f>
        <v>Fox</v>
      </c>
      <c r="H894" s="14">
        <f>VLOOKUP(E894,'Rental Transaction'!A:B,2,FALSE)</f>
        <v>734624</v>
      </c>
      <c r="I894">
        <f t="shared" si="13"/>
        <v>2013</v>
      </c>
    </row>
    <row r="895" spans="1:9">
      <c r="A895" s="1">
        <v>10153</v>
      </c>
      <c r="B895" s="1">
        <v>8</v>
      </c>
      <c r="C895" s="2">
        <v>41362</v>
      </c>
      <c r="D895" s="1" t="s">
        <v>2002</v>
      </c>
      <c r="E895" s="1">
        <v>100510</v>
      </c>
      <c r="F895" s="6" t="s">
        <v>2897</v>
      </c>
      <c r="G895" s="15" t="str">
        <f>VLOOKUP(A895,Movie!A:D,4,FALSE)</f>
        <v>Lionsgate</v>
      </c>
      <c r="H895" s="14">
        <f>VLOOKUP(E895,'Rental Transaction'!A:B,2,FALSE)</f>
        <v>734514</v>
      </c>
      <c r="I895">
        <f t="shared" si="13"/>
        <v>2013</v>
      </c>
    </row>
    <row r="896" spans="1:9">
      <c r="A896" s="1">
        <v>10015</v>
      </c>
      <c r="B896" s="1">
        <v>5</v>
      </c>
      <c r="C896" s="2">
        <v>41363</v>
      </c>
      <c r="D896" s="1" t="s">
        <v>2005</v>
      </c>
      <c r="E896" s="1">
        <v>100510</v>
      </c>
      <c r="F896" s="6" t="s">
        <v>2898</v>
      </c>
      <c r="G896" s="15" t="str">
        <f>VLOOKUP(A896,Movie!A:D,4,FALSE)</f>
        <v>TriStar</v>
      </c>
      <c r="H896" s="14">
        <f>VLOOKUP(E896,'Rental Transaction'!A:B,2,FALSE)</f>
        <v>734514</v>
      </c>
      <c r="I896">
        <f t="shared" si="13"/>
        <v>2013</v>
      </c>
    </row>
    <row r="897" spans="1:9">
      <c r="A897" s="1">
        <v>10026</v>
      </c>
      <c r="B897" s="1">
        <v>1</v>
      </c>
      <c r="C897" s="2">
        <v>41363</v>
      </c>
      <c r="D897" s="1" t="s">
        <v>2005</v>
      </c>
      <c r="E897" s="1">
        <v>100511</v>
      </c>
      <c r="F897" s="6" t="s">
        <v>2899</v>
      </c>
      <c r="G897" s="15" t="str">
        <f>VLOOKUP(A897,Movie!A:D,4,FALSE)</f>
        <v>Fox</v>
      </c>
      <c r="H897" s="14">
        <f>VLOOKUP(E897,'Rental Transaction'!A:B,2,FALSE)</f>
        <v>308505</v>
      </c>
      <c r="I897">
        <f t="shared" si="13"/>
        <v>2013</v>
      </c>
    </row>
    <row r="898" spans="1:9">
      <c r="A898" s="1">
        <v>10247</v>
      </c>
      <c r="B898" s="1">
        <v>5</v>
      </c>
      <c r="C898" s="2">
        <v>41363</v>
      </c>
      <c r="D898" s="1" t="s">
        <v>2005</v>
      </c>
      <c r="E898" s="1">
        <v>100512</v>
      </c>
      <c r="F898" s="6" t="s">
        <v>2900</v>
      </c>
      <c r="G898" s="15" t="str">
        <f>VLOOKUP(A898,Movie!A:D,4,FALSE)</f>
        <v>Fox</v>
      </c>
      <c r="H898" s="14">
        <f>VLOOKUP(E898,'Rental Transaction'!A:B,2,FALSE)</f>
        <v>791559</v>
      </c>
      <c r="I898">
        <f t="shared" si="13"/>
        <v>2013</v>
      </c>
    </row>
    <row r="899" spans="1:9">
      <c r="A899" s="1">
        <v>10114</v>
      </c>
      <c r="B899" s="1">
        <v>1</v>
      </c>
      <c r="C899" s="2">
        <v>41363</v>
      </c>
      <c r="D899" s="1" t="s">
        <v>2005</v>
      </c>
      <c r="E899" s="1">
        <v>100513</v>
      </c>
      <c r="F899" s="6" t="s">
        <v>2901</v>
      </c>
      <c r="G899" s="15" t="str">
        <f>VLOOKUP(A899,Movie!A:D,4,FALSE)</f>
        <v>Lionsgate</v>
      </c>
      <c r="H899" s="14">
        <f>VLOOKUP(E899,'Rental Transaction'!A:B,2,FALSE)</f>
        <v>418506</v>
      </c>
      <c r="I899">
        <f t="shared" ref="I899:I962" si="14">YEAR(C899)</f>
        <v>2013</v>
      </c>
    </row>
    <row r="900" spans="1:9">
      <c r="A900" s="1">
        <v>10167</v>
      </c>
      <c r="B900" s="1">
        <v>7</v>
      </c>
      <c r="C900" s="2">
        <v>41363</v>
      </c>
      <c r="D900" s="1" t="s">
        <v>2002</v>
      </c>
      <c r="E900" s="1">
        <v>100514</v>
      </c>
      <c r="F900" s="6" t="s">
        <v>2902</v>
      </c>
      <c r="G900" s="15" t="str">
        <f>VLOOKUP(A900,Movie!A:D,4,FALSE)</f>
        <v>Universal</v>
      </c>
      <c r="H900" s="14">
        <f>VLOOKUP(E900,'Rental Transaction'!A:B,2,FALSE)</f>
        <v>227372</v>
      </c>
      <c r="I900">
        <f t="shared" si="14"/>
        <v>2013</v>
      </c>
    </row>
    <row r="901" spans="1:9">
      <c r="A901" s="1">
        <v>10256</v>
      </c>
      <c r="B901" s="1">
        <v>8</v>
      </c>
      <c r="C901" s="2">
        <v>41363</v>
      </c>
      <c r="D901" s="1" t="s">
        <v>2002</v>
      </c>
      <c r="E901" s="1">
        <v>100514</v>
      </c>
      <c r="F901" s="6" t="s">
        <v>2903</v>
      </c>
      <c r="G901" s="15" t="str">
        <f>VLOOKUP(A901,Movie!A:D,4,FALSE)</f>
        <v>Fox</v>
      </c>
      <c r="H901" s="14">
        <f>VLOOKUP(E901,'Rental Transaction'!A:B,2,FALSE)</f>
        <v>227372</v>
      </c>
      <c r="I901">
        <f t="shared" si="14"/>
        <v>2013</v>
      </c>
    </row>
    <row r="902" spans="1:9">
      <c r="A902" s="1">
        <v>10278</v>
      </c>
      <c r="B902" s="1">
        <v>10</v>
      </c>
      <c r="C902" s="2">
        <v>41363</v>
      </c>
      <c r="D902" s="1" t="s">
        <v>2005</v>
      </c>
      <c r="E902" s="1">
        <v>100514</v>
      </c>
      <c r="F902" s="6" t="s">
        <v>2904</v>
      </c>
      <c r="G902" s="15" t="str">
        <f>VLOOKUP(A902,Movie!A:D,4,FALSE)</f>
        <v>Universal</v>
      </c>
      <c r="H902" s="14">
        <f>VLOOKUP(E902,'Rental Transaction'!A:B,2,FALSE)</f>
        <v>227372</v>
      </c>
      <c r="I902">
        <f t="shared" si="14"/>
        <v>2013</v>
      </c>
    </row>
    <row r="903" spans="1:9">
      <c r="A903" s="1">
        <v>10245</v>
      </c>
      <c r="B903" s="1">
        <v>9</v>
      </c>
      <c r="C903" s="2">
        <v>41363</v>
      </c>
      <c r="D903" s="1" t="s">
        <v>2002</v>
      </c>
      <c r="E903" s="1">
        <v>100515</v>
      </c>
      <c r="F903" s="6" t="s">
        <v>2905</v>
      </c>
      <c r="G903" s="15" t="str">
        <f>VLOOKUP(A903,Movie!A:D,4,FALSE)</f>
        <v>Warner Brothers</v>
      </c>
      <c r="H903" s="14">
        <f>VLOOKUP(E903,'Rental Transaction'!A:B,2,FALSE)</f>
        <v>183797</v>
      </c>
      <c r="I903">
        <f t="shared" si="14"/>
        <v>2013</v>
      </c>
    </row>
    <row r="904" spans="1:9">
      <c r="A904" s="1">
        <v>10059</v>
      </c>
      <c r="B904" s="1">
        <v>1</v>
      </c>
      <c r="C904" s="2">
        <v>41365</v>
      </c>
      <c r="D904" s="1" t="s">
        <v>2002</v>
      </c>
      <c r="E904" s="1">
        <v>100516</v>
      </c>
      <c r="F904" s="6" t="s">
        <v>2906</v>
      </c>
      <c r="G904" s="15" t="str">
        <f>VLOOKUP(A904,Movie!A:D,4,FALSE)</f>
        <v>Universal</v>
      </c>
      <c r="H904" s="14">
        <f>VLOOKUP(E904,'Rental Transaction'!A:B,2,FALSE)</f>
        <v>103508</v>
      </c>
      <c r="I904">
        <f t="shared" si="14"/>
        <v>2013</v>
      </c>
    </row>
    <row r="905" spans="1:9">
      <c r="A905" s="1">
        <v>10208</v>
      </c>
      <c r="B905" s="1">
        <v>3</v>
      </c>
      <c r="C905" s="2">
        <v>41364</v>
      </c>
      <c r="D905" s="1" t="s">
        <v>2002</v>
      </c>
      <c r="E905" s="1">
        <v>100517</v>
      </c>
      <c r="F905" s="6" t="s">
        <v>2907</v>
      </c>
      <c r="G905" s="15" t="str">
        <f>VLOOKUP(A905,Movie!A:D,4,FALSE)</f>
        <v>Warner Brothers</v>
      </c>
      <c r="H905" s="14">
        <f>VLOOKUP(E905,'Rental Transaction'!A:B,2,FALSE)</f>
        <v>426984</v>
      </c>
      <c r="I905">
        <f t="shared" si="14"/>
        <v>2013</v>
      </c>
    </row>
    <row r="906" spans="1:9">
      <c r="A906" s="1">
        <v>10039</v>
      </c>
      <c r="B906" s="1">
        <v>3</v>
      </c>
      <c r="C906" s="2">
        <v>41365</v>
      </c>
      <c r="D906" s="1" t="s">
        <v>2005</v>
      </c>
      <c r="E906" s="1">
        <v>100517</v>
      </c>
      <c r="F906" s="6" t="s">
        <v>2908</v>
      </c>
      <c r="G906" s="15" t="str">
        <f>VLOOKUP(A906,Movie!A:D,4,FALSE)</f>
        <v>Open Road Films</v>
      </c>
      <c r="H906" s="14">
        <f>VLOOKUP(E906,'Rental Transaction'!A:B,2,FALSE)</f>
        <v>426984</v>
      </c>
      <c r="I906">
        <f t="shared" si="14"/>
        <v>2013</v>
      </c>
    </row>
    <row r="907" spans="1:9">
      <c r="A907" s="1">
        <v>10041</v>
      </c>
      <c r="B907" s="1">
        <v>10</v>
      </c>
      <c r="C907" s="2">
        <v>41366</v>
      </c>
      <c r="D907" s="1" t="s">
        <v>2005</v>
      </c>
      <c r="E907" s="1">
        <v>100517</v>
      </c>
      <c r="F907" s="6" t="s">
        <v>2909</v>
      </c>
      <c r="G907" s="15" t="str">
        <f>VLOOKUP(A907,Movie!A:D,4,FALSE)</f>
        <v>Lionsgate</v>
      </c>
      <c r="H907" s="14">
        <f>VLOOKUP(E907,'Rental Transaction'!A:B,2,FALSE)</f>
        <v>426984</v>
      </c>
      <c r="I907">
        <f t="shared" si="14"/>
        <v>2013</v>
      </c>
    </row>
    <row r="908" spans="1:9">
      <c r="A908" s="1">
        <v>10114</v>
      </c>
      <c r="B908" s="1">
        <v>8</v>
      </c>
      <c r="C908" s="2">
        <v>41364</v>
      </c>
      <c r="D908" s="1" t="s">
        <v>2002</v>
      </c>
      <c r="E908" s="1">
        <v>100517</v>
      </c>
      <c r="F908" s="6" t="s">
        <v>2910</v>
      </c>
      <c r="G908" s="15" t="str">
        <f>VLOOKUP(A908,Movie!A:D,4,FALSE)</f>
        <v>Lionsgate</v>
      </c>
      <c r="H908" s="14">
        <f>VLOOKUP(E908,'Rental Transaction'!A:B,2,FALSE)</f>
        <v>426984</v>
      </c>
      <c r="I908">
        <f t="shared" si="14"/>
        <v>2013</v>
      </c>
    </row>
    <row r="909" spans="1:9">
      <c r="A909" s="1">
        <v>10031</v>
      </c>
      <c r="B909" s="1">
        <v>7</v>
      </c>
      <c r="C909" s="2">
        <v>41365</v>
      </c>
      <c r="D909" s="1" t="s">
        <v>2005</v>
      </c>
      <c r="E909" s="1">
        <v>100518</v>
      </c>
      <c r="F909" s="6" t="s">
        <v>2911</v>
      </c>
      <c r="G909" s="15" t="str">
        <f>VLOOKUP(A909,Movie!A:D,4,FALSE)</f>
        <v>Warner Brothers</v>
      </c>
      <c r="H909" s="14">
        <f>VLOOKUP(E909,'Rental Transaction'!A:B,2,FALSE)</f>
        <v>775449</v>
      </c>
      <c r="I909">
        <f t="shared" si="14"/>
        <v>2013</v>
      </c>
    </row>
    <row r="910" spans="1:9">
      <c r="A910" s="1">
        <v>10131</v>
      </c>
      <c r="B910" s="1">
        <v>6</v>
      </c>
      <c r="C910" s="2">
        <v>41364</v>
      </c>
      <c r="D910" s="1" t="s">
        <v>2005</v>
      </c>
      <c r="E910" s="1">
        <v>100519</v>
      </c>
      <c r="F910" s="6" t="s">
        <v>2912</v>
      </c>
      <c r="G910" s="15" t="str">
        <f>VLOOKUP(A910,Movie!A:D,4,FALSE)</f>
        <v>Warner Brothers</v>
      </c>
      <c r="H910" s="14">
        <f>VLOOKUP(E910,'Rental Transaction'!A:B,2,FALSE)</f>
        <v>676018</v>
      </c>
      <c r="I910">
        <f t="shared" si="14"/>
        <v>2013</v>
      </c>
    </row>
    <row r="911" spans="1:9">
      <c r="A911" s="1">
        <v>10179</v>
      </c>
      <c r="B911" s="1">
        <v>6</v>
      </c>
      <c r="C911" s="2">
        <v>41366</v>
      </c>
      <c r="D911" s="1" t="s">
        <v>2002</v>
      </c>
      <c r="E911" s="1">
        <v>100519</v>
      </c>
      <c r="F911" s="6" t="s">
        <v>2913</v>
      </c>
      <c r="G911" s="15" t="str">
        <f>VLOOKUP(A911,Movie!A:D,4,FALSE)</f>
        <v>Warner Brothers</v>
      </c>
      <c r="H911" s="14">
        <f>VLOOKUP(E911,'Rental Transaction'!A:B,2,FALSE)</f>
        <v>676018</v>
      </c>
      <c r="I911">
        <f t="shared" si="14"/>
        <v>2013</v>
      </c>
    </row>
    <row r="912" spans="1:9">
      <c r="A912" s="1">
        <v>10098</v>
      </c>
      <c r="B912" s="1">
        <v>7</v>
      </c>
      <c r="C912" s="2">
        <v>41364</v>
      </c>
      <c r="D912" s="1" t="s">
        <v>2002</v>
      </c>
      <c r="E912" s="1">
        <v>100519</v>
      </c>
      <c r="F912" s="6" t="s">
        <v>2914</v>
      </c>
      <c r="G912" s="15" t="str">
        <f>VLOOKUP(A912,Movie!A:D,4,FALSE)</f>
        <v>Warner Brothers</v>
      </c>
      <c r="H912" s="14">
        <f>VLOOKUP(E912,'Rental Transaction'!A:B,2,FALSE)</f>
        <v>676018</v>
      </c>
      <c r="I912">
        <f t="shared" si="14"/>
        <v>2013</v>
      </c>
    </row>
    <row r="913" spans="1:9">
      <c r="A913" s="1">
        <v>10184</v>
      </c>
      <c r="B913" s="1">
        <v>10</v>
      </c>
      <c r="C913" s="2">
        <v>41364</v>
      </c>
      <c r="D913" s="1" t="s">
        <v>2005</v>
      </c>
      <c r="E913" s="1">
        <v>100520</v>
      </c>
      <c r="F913" s="6" t="s">
        <v>2915</v>
      </c>
      <c r="G913" s="15" t="str">
        <f>VLOOKUP(A913,Movie!A:D,4,FALSE)</f>
        <v>Universal</v>
      </c>
      <c r="H913" s="14">
        <f>VLOOKUP(E913,'Rental Transaction'!A:B,2,FALSE)</f>
        <v>932618</v>
      </c>
      <c r="I913">
        <f t="shared" si="14"/>
        <v>2013</v>
      </c>
    </row>
    <row r="914" spans="1:9">
      <c r="A914" s="1">
        <v>10124</v>
      </c>
      <c r="B914" s="1">
        <v>8</v>
      </c>
      <c r="C914" s="2">
        <v>41364</v>
      </c>
      <c r="D914" s="1" t="s">
        <v>2002</v>
      </c>
      <c r="E914" s="1">
        <v>100521</v>
      </c>
      <c r="F914" s="6" t="s">
        <v>2916</v>
      </c>
      <c r="G914" s="15" t="str">
        <f>VLOOKUP(A914,Movie!A:D,4,FALSE)</f>
        <v>Paramount</v>
      </c>
      <c r="H914" s="14">
        <f>VLOOKUP(E914,'Rental Transaction'!A:B,2,FALSE)</f>
        <v>776775</v>
      </c>
      <c r="I914">
        <f t="shared" si="14"/>
        <v>2013</v>
      </c>
    </row>
    <row r="915" spans="1:9">
      <c r="A915" s="1">
        <v>10196</v>
      </c>
      <c r="B915" s="1">
        <v>8</v>
      </c>
      <c r="C915" s="2">
        <v>41366</v>
      </c>
      <c r="D915" s="1" t="s">
        <v>2005</v>
      </c>
      <c r="E915" s="1">
        <v>100522</v>
      </c>
      <c r="F915" s="6" t="s">
        <v>2917</v>
      </c>
      <c r="G915" s="15" t="str">
        <f>VLOOKUP(A915,Movie!A:D,4,FALSE)</f>
        <v>Fox</v>
      </c>
      <c r="H915" s="14">
        <f>VLOOKUP(E915,'Rental Transaction'!A:B,2,FALSE)</f>
        <v>393120</v>
      </c>
      <c r="I915">
        <f t="shared" si="14"/>
        <v>2013</v>
      </c>
    </row>
    <row r="916" spans="1:9">
      <c r="A916" s="1">
        <v>10037</v>
      </c>
      <c r="B916" s="1">
        <v>4</v>
      </c>
      <c r="C916" s="2">
        <v>41365</v>
      </c>
      <c r="D916" s="1" t="s">
        <v>2005</v>
      </c>
      <c r="E916" s="1">
        <v>100522</v>
      </c>
      <c r="F916" s="6" t="s">
        <v>2918</v>
      </c>
      <c r="G916" s="15" t="str">
        <f>VLOOKUP(A916,Movie!A:D,4,FALSE)</f>
        <v>Buena Vista</v>
      </c>
      <c r="H916" s="14">
        <f>VLOOKUP(E916,'Rental Transaction'!A:B,2,FALSE)</f>
        <v>393120</v>
      </c>
      <c r="I916">
        <f t="shared" si="14"/>
        <v>2013</v>
      </c>
    </row>
    <row r="917" spans="1:9">
      <c r="A917" s="1">
        <v>10215</v>
      </c>
      <c r="B917" s="1">
        <v>3</v>
      </c>
      <c r="C917" s="2">
        <v>41367</v>
      </c>
      <c r="D917" s="1" t="s">
        <v>2005</v>
      </c>
      <c r="E917" s="1">
        <v>100523</v>
      </c>
      <c r="F917" s="6" t="s">
        <v>2919</v>
      </c>
      <c r="G917" s="15" t="str">
        <f>VLOOKUP(A917,Movie!A:D,4,FALSE)</f>
        <v>Paramount</v>
      </c>
      <c r="H917" s="14">
        <f>VLOOKUP(E917,'Rental Transaction'!A:B,2,FALSE)</f>
        <v>412876</v>
      </c>
      <c r="I917">
        <f t="shared" si="14"/>
        <v>2013</v>
      </c>
    </row>
    <row r="918" spans="1:9">
      <c r="A918" s="1">
        <v>10252</v>
      </c>
      <c r="B918" s="1">
        <v>4</v>
      </c>
      <c r="C918" s="2">
        <v>41365</v>
      </c>
      <c r="D918" s="1" t="s">
        <v>2005</v>
      </c>
      <c r="E918" s="1">
        <v>100524</v>
      </c>
      <c r="F918" s="6" t="s">
        <v>2920</v>
      </c>
      <c r="G918" s="15" t="str">
        <f>VLOOKUP(A918,Movie!A:D,4,FALSE)</f>
        <v>Warner Brothers</v>
      </c>
      <c r="H918" s="14">
        <f>VLOOKUP(E918,'Rental Transaction'!A:B,2,FALSE)</f>
        <v>412876</v>
      </c>
      <c r="I918">
        <f t="shared" si="14"/>
        <v>2013</v>
      </c>
    </row>
    <row r="919" spans="1:9">
      <c r="A919" s="1">
        <v>10001</v>
      </c>
      <c r="B919" s="1">
        <v>2</v>
      </c>
      <c r="C919" s="2">
        <v>41365</v>
      </c>
      <c r="D919" s="1" t="s">
        <v>2005</v>
      </c>
      <c r="E919" s="1">
        <v>100524</v>
      </c>
      <c r="F919" s="6" t="s">
        <v>2921</v>
      </c>
      <c r="G919" s="15" t="str">
        <f>VLOOKUP(A919,Movie!A:D,4,FALSE)</f>
        <v>Focus</v>
      </c>
      <c r="H919" s="14">
        <f>VLOOKUP(E919,'Rental Transaction'!A:B,2,FALSE)</f>
        <v>412876</v>
      </c>
      <c r="I919">
        <f t="shared" si="14"/>
        <v>2013</v>
      </c>
    </row>
    <row r="920" spans="1:9">
      <c r="A920" s="1">
        <v>10002</v>
      </c>
      <c r="B920" s="1">
        <v>5</v>
      </c>
      <c r="C920" s="2">
        <v>41366</v>
      </c>
      <c r="D920" s="1" t="s">
        <v>2002</v>
      </c>
      <c r="E920" s="1">
        <v>100525</v>
      </c>
      <c r="F920" s="6" t="s">
        <v>2922</v>
      </c>
      <c r="G920" s="15" t="str">
        <f>VLOOKUP(A920,Movie!A:D,4,FALSE)</f>
        <v>Lionsgate</v>
      </c>
      <c r="H920" s="14">
        <f>VLOOKUP(E920,'Rental Transaction'!A:B,2,FALSE)</f>
        <v>346006</v>
      </c>
      <c r="I920">
        <f t="shared" si="14"/>
        <v>2013</v>
      </c>
    </row>
    <row r="921" spans="1:9">
      <c r="A921" s="1">
        <v>10248</v>
      </c>
      <c r="B921" s="1">
        <v>5</v>
      </c>
      <c r="C921" s="2">
        <v>41368</v>
      </c>
      <c r="D921" s="1" t="s">
        <v>2002</v>
      </c>
      <c r="E921" s="1">
        <v>100525</v>
      </c>
      <c r="F921" s="6" t="s">
        <v>2923</v>
      </c>
      <c r="G921" s="15" t="str">
        <f>VLOOKUP(A921,Movie!A:D,4,FALSE)</f>
        <v>Relativity</v>
      </c>
      <c r="H921" s="14">
        <f>VLOOKUP(E921,'Rental Transaction'!A:B,2,FALSE)</f>
        <v>346006</v>
      </c>
      <c r="I921">
        <f t="shared" si="14"/>
        <v>2013</v>
      </c>
    </row>
    <row r="922" spans="1:9">
      <c r="A922" s="1">
        <v>10275</v>
      </c>
      <c r="B922" s="1">
        <v>6</v>
      </c>
      <c r="C922" s="2">
        <v>41367</v>
      </c>
      <c r="D922" s="1" t="s">
        <v>2002</v>
      </c>
      <c r="E922" s="1">
        <v>100526</v>
      </c>
      <c r="F922" s="6" t="s">
        <v>2924</v>
      </c>
      <c r="G922" s="15" t="str">
        <f>VLOOKUP(A922,Movie!A:D,4,FALSE)</f>
        <v>Lionsgate</v>
      </c>
      <c r="H922" s="14">
        <f>VLOOKUP(E922,'Rental Transaction'!A:B,2,FALSE)</f>
        <v>386950</v>
      </c>
      <c r="I922">
        <f t="shared" si="14"/>
        <v>2013</v>
      </c>
    </row>
    <row r="923" spans="1:9">
      <c r="A923" s="1">
        <v>10277</v>
      </c>
      <c r="B923" s="1">
        <v>7</v>
      </c>
      <c r="C923" s="2">
        <v>41366</v>
      </c>
      <c r="D923" s="1" t="s">
        <v>2002</v>
      </c>
      <c r="E923" s="1">
        <v>100527</v>
      </c>
      <c r="F923" s="6" t="s">
        <v>2925</v>
      </c>
      <c r="G923" s="15" t="str">
        <f>VLOOKUP(A923,Movie!A:D,4,FALSE)</f>
        <v>Universal</v>
      </c>
      <c r="H923" s="14">
        <f>VLOOKUP(E923,'Rental Transaction'!A:B,2,FALSE)</f>
        <v>393120</v>
      </c>
      <c r="I923">
        <f t="shared" si="14"/>
        <v>2013</v>
      </c>
    </row>
    <row r="924" spans="1:9">
      <c r="A924" s="1">
        <v>10273</v>
      </c>
      <c r="B924" s="1">
        <v>3</v>
      </c>
      <c r="C924" s="2">
        <v>41366</v>
      </c>
      <c r="D924" s="1" t="s">
        <v>2002</v>
      </c>
      <c r="E924" s="1">
        <v>100527</v>
      </c>
      <c r="F924" s="6" t="s">
        <v>2926</v>
      </c>
      <c r="G924" s="15" t="str">
        <f>VLOOKUP(A924,Movie!A:D,4,FALSE)</f>
        <v>Sony</v>
      </c>
      <c r="H924" s="14">
        <f>VLOOKUP(E924,'Rental Transaction'!A:B,2,FALSE)</f>
        <v>393120</v>
      </c>
      <c r="I924">
        <f t="shared" si="14"/>
        <v>2013</v>
      </c>
    </row>
    <row r="925" spans="1:9">
      <c r="A925" s="1">
        <v>10277</v>
      </c>
      <c r="B925" s="1">
        <v>10</v>
      </c>
      <c r="C925" s="2">
        <v>41366</v>
      </c>
      <c r="D925" s="1" t="s">
        <v>2005</v>
      </c>
      <c r="E925" s="1">
        <v>100527</v>
      </c>
      <c r="F925" s="6" t="s">
        <v>2927</v>
      </c>
      <c r="G925" s="15" t="str">
        <f>VLOOKUP(A925,Movie!A:D,4,FALSE)</f>
        <v>Universal</v>
      </c>
      <c r="H925" s="14">
        <f>VLOOKUP(E925,'Rental Transaction'!A:B,2,FALSE)</f>
        <v>393120</v>
      </c>
      <c r="I925">
        <f t="shared" si="14"/>
        <v>2013</v>
      </c>
    </row>
    <row r="926" spans="1:9">
      <c r="A926" s="1">
        <v>10163</v>
      </c>
      <c r="B926" s="1">
        <v>8</v>
      </c>
      <c r="C926" s="2">
        <v>41368</v>
      </c>
      <c r="D926" s="1" t="s">
        <v>2005</v>
      </c>
      <c r="E926" s="1">
        <v>100528</v>
      </c>
      <c r="F926" s="6" t="s">
        <v>2928</v>
      </c>
      <c r="G926" s="15" t="str">
        <f>VLOOKUP(A926,Movie!A:D,4,FALSE)</f>
        <v>Warner Brothers</v>
      </c>
      <c r="H926" s="14">
        <f>VLOOKUP(E926,'Rental Transaction'!A:B,2,FALSE)</f>
        <v>305005</v>
      </c>
      <c r="I926">
        <f t="shared" si="14"/>
        <v>2013</v>
      </c>
    </row>
    <row r="927" spans="1:9">
      <c r="A927" s="1">
        <v>10199</v>
      </c>
      <c r="B927" s="1">
        <v>6</v>
      </c>
      <c r="C927" s="2">
        <v>41366</v>
      </c>
      <c r="D927" s="1" t="s">
        <v>2002</v>
      </c>
      <c r="E927" s="1">
        <v>100528</v>
      </c>
      <c r="F927" s="6" t="s">
        <v>2929</v>
      </c>
      <c r="G927" s="15" t="str">
        <f>VLOOKUP(A927,Movie!A:D,4,FALSE)</f>
        <v>Lionsgate</v>
      </c>
      <c r="H927" s="14">
        <f>VLOOKUP(E927,'Rental Transaction'!A:B,2,FALSE)</f>
        <v>305005</v>
      </c>
      <c r="I927">
        <f t="shared" si="14"/>
        <v>2013</v>
      </c>
    </row>
    <row r="928" spans="1:9">
      <c r="A928" s="1">
        <v>10044</v>
      </c>
      <c r="B928" s="1">
        <v>5</v>
      </c>
      <c r="C928" s="2">
        <v>41368</v>
      </c>
      <c r="D928" s="1" t="s">
        <v>2002</v>
      </c>
      <c r="E928" s="1">
        <v>100529</v>
      </c>
      <c r="F928" s="6" t="s">
        <v>2930</v>
      </c>
      <c r="G928" s="15" t="str">
        <f>VLOOKUP(A928,Movie!A:D,4,FALSE)</f>
        <v>Buena Vista</v>
      </c>
      <c r="H928" s="14">
        <f>VLOOKUP(E928,'Rental Transaction'!A:B,2,FALSE)</f>
        <v>278809</v>
      </c>
      <c r="I928">
        <f t="shared" si="14"/>
        <v>2013</v>
      </c>
    </row>
    <row r="929" spans="1:9">
      <c r="A929" s="1">
        <v>10244</v>
      </c>
      <c r="B929" s="1">
        <v>9</v>
      </c>
      <c r="C929" s="2">
        <v>41367</v>
      </c>
      <c r="D929" s="1" t="s">
        <v>2005</v>
      </c>
      <c r="E929" s="1">
        <v>100530</v>
      </c>
      <c r="F929" s="6" t="s">
        <v>2931</v>
      </c>
      <c r="G929" s="15" t="str">
        <f>VLOOKUP(A929,Movie!A:D,4,FALSE)</f>
        <v>Sony</v>
      </c>
      <c r="H929" s="14">
        <f>VLOOKUP(E929,'Rental Transaction'!A:B,2,FALSE)</f>
        <v>275152</v>
      </c>
      <c r="I929">
        <f t="shared" si="14"/>
        <v>2013</v>
      </c>
    </row>
    <row r="930" spans="1:9">
      <c r="A930" s="1">
        <v>10270</v>
      </c>
      <c r="B930" s="1">
        <v>1</v>
      </c>
      <c r="C930" s="2">
        <v>41367</v>
      </c>
      <c r="D930" s="1" t="s">
        <v>2005</v>
      </c>
      <c r="E930" s="1">
        <v>100531</v>
      </c>
      <c r="F930" s="6" t="s">
        <v>2932</v>
      </c>
      <c r="G930" s="15" t="str">
        <f>VLOOKUP(A930,Movie!A:D,4,FALSE)</f>
        <v>Fox</v>
      </c>
      <c r="H930" s="14">
        <f>VLOOKUP(E930,'Rental Transaction'!A:B,2,FALSE)</f>
        <v>233956</v>
      </c>
      <c r="I930">
        <f t="shared" si="14"/>
        <v>2013</v>
      </c>
    </row>
    <row r="931" spans="1:9">
      <c r="A931" s="1">
        <v>10114</v>
      </c>
      <c r="B931" s="1">
        <v>10</v>
      </c>
      <c r="C931" s="2">
        <v>41367</v>
      </c>
      <c r="D931" s="1" t="s">
        <v>2002</v>
      </c>
      <c r="E931" s="1">
        <v>100532</v>
      </c>
      <c r="F931" s="6" t="s">
        <v>2933</v>
      </c>
      <c r="G931" s="15" t="str">
        <f>VLOOKUP(A931,Movie!A:D,4,FALSE)</f>
        <v>Lionsgate</v>
      </c>
      <c r="H931" s="14">
        <f>VLOOKUP(E931,'Rental Transaction'!A:B,2,FALSE)</f>
        <v>734624</v>
      </c>
      <c r="I931">
        <f t="shared" si="14"/>
        <v>2013</v>
      </c>
    </row>
    <row r="932" spans="1:9">
      <c r="A932" s="1">
        <v>10225</v>
      </c>
      <c r="B932" s="1">
        <v>10</v>
      </c>
      <c r="C932" s="2">
        <v>41367</v>
      </c>
      <c r="D932" s="1" t="s">
        <v>2002</v>
      </c>
      <c r="E932" s="1">
        <v>100532</v>
      </c>
      <c r="F932" s="6" t="s">
        <v>2934</v>
      </c>
      <c r="G932" s="15" t="str">
        <f>VLOOKUP(A932,Movie!A:D,4,FALSE)</f>
        <v>Warner Brothers</v>
      </c>
      <c r="H932" s="14">
        <f>VLOOKUP(E932,'Rental Transaction'!A:B,2,FALSE)</f>
        <v>734624</v>
      </c>
      <c r="I932">
        <f t="shared" si="14"/>
        <v>2013</v>
      </c>
    </row>
    <row r="933" spans="1:9">
      <c r="A933" s="1">
        <v>10062</v>
      </c>
      <c r="B933" s="1">
        <v>8</v>
      </c>
      <c r="C933" s="2">
        <v>41367</v>
      </c>
      <c r="D933" s="1" t="s">
        <v>2005</v>
      </c>
      <c r="E933" s="1">
        <v>100533</v>
      </c>
      <c r="F933" s="6" t="s">
        <v>2935</v>
      </c>
      <c r="G933" s="15" t="str">
        <f>VLOOKUP(A933,Movie!A:D,4,FALSE)</f>
        <v>FilmDistrict</v>
      </c>
      <c r="H933" s="14">
        <f>VLOOKUP(E933,'Rental Transaction'!A:B,2,FALSE)</f>
        <v>846558</v>
      </c>
      <c r="I933">
        <f t="shared" si="14"/>
        <v>2013</v>
      </c>
    </row>
    <row r="934" spans="1:9">
      <c r="A934" s="1">
        <v>10002</v>
      </c>
      <c r="B934" s="1">
        <v>1</v>
      </c>
      <c r="C934" s="2">
        <v>41367</v>
      </c>
      <c r="D934" s="1" t="s">
        <v>2005</v>
      </c>
      <c r="E934" s="1">
        <v>100533</v>
      </c>
      <c r="F934" s="6" t="s">
        <v>2936</v>
      </c>
      <c r="G934" s="15" t="str">
        <f>VLOOKUP(A934,Movie!A:D,4,FALSE)</f>
        <v>Lionsgate</v>
      </c>
      <c r="H934" s="14">
        <f>VLOOKUP(E934,'Rental Transaction'!A:B,2,FALSE)</f>
        <v>846558</v>
      </c>
      <c r="I934">
        <f t="shared" si="14"/>
        <v>2013</v>
      </c>
    </row>
    <row r="935" spans="1:9">
      <c r="A935" s="1">
        <v>10206</v>
      </c>
      <c r="B935" s="1">
        <v>4</v>
      </c>
      <c r="C935" s="2">
        <v>41367</v>
      </c>
      <c r="D935" s="1" t="s">
        <v>2005</v>
      </c>
      <c r="E935" s="1">
        <v>100533</v>
      </c>
      <c r="F935" s="6" t="s">
        <v>2937</v>
      </c>
      <c r="G935" s="15" t="str">
        <f>VLOOKUP(A935,Movie!A:D,4,FALSE)</f>
        <v>Fox</v>
      </c>
      <c r="H935" s="14">
        <f>VLOOKUP(E935,'Rental Transaction'!A:B,2,FALSE)</f>
        <v>846558</v>
      </c>
      <c r="I935">
        <f t="shared" si="14"/>
        <v>2013</v>
      </c>
    </row>
    <row r="936" spans="1:9">
      <c r="A936" s="1">
        <v>10068</v>
      </c>
      <c r="B936" s="1">
        <v>2</v>
      </c>
      <c r="C936" s="2">
        <v>41367</v>
      </c>
      <c r="D936" s="1" t="s">
        <v>2005</v>
      </c>
      <c r="E936" s="1">
        <v>100533</v>
      </c>
      <c r="F936" s="6" t="s">
        <v>2938</v>
      </c>
      <c r="G936" s="15" t="str">
        <f>VLOOKUP(A936,Movie!A:D,4,FALSE)</f>
        <v>Warner Brothers</v>
      </c>
      <c r="H936" s="14">
        <f>VLOOKUP(E936,'Rental Transaction'!A:B,2,FALSE)</f>
        <v>846558</v>
      </c>
      <c r="I936">
        <f t="shared" si="14"/>
        <v>2013</v>
      </c>
    </row>
    <row r="937" spans="1:9">
      <c r="A937" s="1">
        <v>10065</v>
      </c>
      <c r="B937" s="1">
        <v>9</v>
      </c>
      <c r="C937" s="2">
        <v>41368</v>
      </c>
      <c r="D937" s="1" t="s">
        <v>2002</v>
      </c>
      <c r="E937" s="1">
        <v>100534</v>
      </c>
      <c r="F937" s="6" t="s">
        <v>2939</v>
      </c>
      <c r="G937" s="15" t="str">
        <f>VLOOKUP(A937,Movie!A:D,4,FALSE)</f>
        <v>Warner Brothers</v>
      </c>
      <c r="H937" s="14">
        <f>VLOOKUP(E937,'Rental Transaction'!A:B,2,FALSE)</f>
        <v>932618</v>
      </c>
      <c r="I937">
        <f t="shared" si="14"/>
        <v>2013</v>
      </c>
    </row>
    <row r="938" spans="1:9">
      <c r="A938" s="1">
        <v>10263</v>
      </c>
      <c r="B938" s="1">
        <v>6</v>
      </c>
      <c r="C938" s="2">
        <v>41367</v>
      </c>
      <c r="D938" s="1" t="s">
        <v>2005</v>
      </c>
      <c r="E938" s="1">
        <v>100534</v>
      </c>
      <c r="F938" s="6" t="s">
        <v>2940</v>
      </c>
      <c r="G938" s="15" t="str">
        <f>VLOOKUP(A938,Movie!A:D,4,FALSE)</f>
        <v>Fox</v>
      </c>
      <c r="H938" s="14">
        <f>VLOOKUP(E938,'Rental Transaction'!A:B,2,FALSE)</f>
        <v>932618</v>
      </c>
      <c r="I938">
        <f t="shared" si="14"/>
        <v>2013</v>
      </c>
    </row>
    <row r="939" spans="1:9">
      <c r="A939" s="1">
        <v>10237</v>
      </c>
      <c r="B939" s="1">
        <v>7</v>
      </c>
      <c r="C939" s="2">
        <v>41367</v>
      </c>
      <c r="D939" s="1" t="s">
        <v>2005</v>
      </c>
      <c r="E939" s="1">
        <v>100534</v>
      </c>
      <c r="F939" s="6" t="s">
        <v>2941</v>
      </c>
      <c r="G939" s="15" t="str">
        <f>VLOOKUP(A939,Movie!A:D,4,FALSE)</f>
        <v>Warner Brothers</v>
      </c>
      <c r="H939" s="14">
        <f>VLOOKUP(E939,'Rental Transaction'!A:B,2,FALSE)</f>
        <v>932618</v>
      </c>
      <c r="I939">
        <f t="shared" si="14"/>
        <v>2013</v>
      </c>
    </row>
    <row r="940" spans="1:9">
      <c r="A940" s="1">
        <v>10054</v>
      </c>
      <c r="B940" s="1">
        <v>7</v>
      </c>
      <c r="C940" s="2">
        <v>41368</v>
      </c>
      <c r="D940" s="1" t="s">
        <v>2002</v>
      </c>
      <c r="E940" s="1">
        <v>100535</v>
      </c>
      <c r="F940" s="6" t="s">
        <v>2942</v>
      </c>
      <c r="G940" s="15" t="str">
        <f>VLOOKUP(A940,Movie!A:D,4,FALSE)</f>
        <v>Paramount</v>
      </c>
      <c r="H940" s="14">
        <f>VLOOKUP(E940,'Rental Transaction'!A:B,2,FALSE)</f>
        <v>378374</v>
      </c>
      <c r="I940">
        <f t="shared" si="14"/>
        <v>2013</v>
      </c>
    </row>
    <row r="941" spans="1:9">
      <c r="A941" s="1">
        <v>10275</v>
      </c>
      <c r="B941" s="1">
        <v>6</v>
      </c>
      <c r="C941" s="2">
        <v>41368</v>
      </c>
      <c r="D941" s="1" t="s">
        <v>2002</v>
      </c>
      <c r="E941" s="1">
        <v>100536</v>
      </c>
      <c r="F941" s="6" t="s">
        <v>2943</v>
      </c>
      <c r="G941" s="15" t="str">
        <f>VLOOKUP(A941,Movie!A:D,4,FALSE)</f>
        <v>Lionsgate</v>
      </c>
      <c r="H941" s="14">
        <f>VLOOKUP(E941,'Rental Transaction'!A:B,2,FALSE)</f>
        <v>649551</v>
      </c>
      <c r="I941">
        <f t="shared" si="14"/>
        <v>2013</v>
      </c>
    </row>
    <row r="942" spans="1:9">
      <c r="A942" s="1">
        <v>10201</v>
      </c>
      <c r="B942" s="1">
        <v>2</v>
      </c>
      <c r="C942" s="2">
        <v>41367</v>
      </c>
      <c r="D942" s="1" t="s">
        <v>2005</v>
      </c>
      <c r="E942" s="1">
        <v>100537</v>
      </c>
      <c r="F942" s="6" t="s">
        <v>2944</v>
      </c>
      <c r="G942" s="15" t="str">
        <f>VLOOKUP(A942,Movie!A:D,4,FALSE)</f>
        <v>Screen Gems</v>
      </c>
      <c r="H942" s="14">
        <f>VLOOKUP(E942,'Rental Transaction'!A:B,2,FALSE)</f>
        <v>994199</v>
      </c>
      <c r="I942">
        <f t="shared" si="14"/>
        <v>2013</v>
      </c>
    </row>
    <row r="943" spans="1:9">
      <c r="A943" s="1">
        <v>10273</v>
      </c>
      <c r="B943" s="1">
        <v>10</v>
      </c>
      <c r="C943" s="2">
        <v>41367</v>
      </c>
      <c r="D943" s="1" t="s">
        <v>2002</v>
      </c>
      <c r="E943" s="1">
        <v>100537</v>
      </c>
      <c r="F943" s="6" t="s">
        <v>2945</v>
      </c>
      <c r="G943" s="15" t="str">
        <f>VLOOKUP(A943,Movie!A:D,4,FALSE)</f>
        <v>Sony</v>
      </c>
      <c r="H943" s="14">
        <f>VLOOKUP(E943,'Rental Transaction'!A:B,2,FALSE)</f>
        <v>994199</v>
      </c>
      <c r="I943">
        <f t="shared" si="14"/>
        <v>2013</v>
      </c>
    </row>
    <row r="944" spans="1:9">
      <c r="A944" s="1">
        <v>10087</v>
      </c>
      <c r="B944" s="1">
        <v>6</v>
      </c>
      <c r="C944" s="2">
        <v>41368</v>
      </c>
      <c r="D944" s="1" t="s">
        <v>2002</v>
      </c>
      <c r="E944" s="1">
        <v>100537</v>
      </c>
      <c r="F944" s="6" t="s">
        <v>2946</v>
      </c>
      <c r="G944" s="15" t="str">
        <f>VLOOKUP(A944,Movie!A:D,4,FALSE)</f>
        <v>Lionsgate</v>
      </c>
      <c r="H944" s="14">
        <f>VLOOKUP(E944,'Rental Transaction'!A:B,2,FALSE)</f>
        <v>994199</v>
      </c>
      <c r="I944">
        <f t="shared" si="14"/>
        <v>2013</v>
      </c>
    </row>
    <row r="945" spans="1:9">
      <c r="A945" s="1">
        <v>10279</v>
      </c>
      <c r="B945" s="1">
        <v>9</v>
      </c>
      <c r="C945" s="2">
        <v>41368</v>
      </c>
      <c r="D945" s="1" t="s">
        <v>2002</v>
      </c>
      <c r="E945" s="1">
        <v>100538</v>
      </c>
      <c r="F945" s="6" t="s">
        <v>2947</v>
      </c>
      <c r="G945" s="15" t="str">
        <f>VLOOKUP(A945,Movie!A:D,4,FALSE)</f>
        <v>Screen Gems</v>
      </c>
      <c r="H945" s="14">
        <f>VLOOKUP(E945,'Rental Transaction'!A:B,2,FALSE)</f>
        <v>567388</v>
      </c>
      <c r="I945">
        <f t="shared" si="14"/>
        <v>2013</v>
      </c>
    </row>
    <row r="946" spans="1:9">
      <c r="A946" s="1">
        <v>10076</v>
      </c>
      <c r="B946" s="1">
        <v>5</v>
      </c>
      <c r="C946" s="2">
        <v>41367</v>
      </c>
      <c r="D946" s="1" t="s">
        <v>2002</v>
      </c>
      <c r="E946" s="1">
        <v>100539</v>
      </c>
      <c r="F946" s="6" t="s">
        <v>2948</v>
      </c>
      <c r="G946" s="15" t="str">
        <f>VLOOKUP(A946,Movie!A:D,4,FALSE)</f>
        <v>Sony</v>
      </c>
      <c r="H946" s="14">
        <f>VLOOKUP(E946,'Rental Transaction'!A:B,2,FALSE)</f>
        <v>892883</v>
      </c>
      <c r="I946">
        <f t="shared" si="14"/>
        <v>2013</v>
      </c>
    </row>
    <row r="947" spans="1:9">
      <c r="A947" s="1">
        <v>10240</v>
      </c>
      <c r="B947" s="1">
        <v>10</v>
      </c>
      <c r="C947" s="2">
        <v>41367</v>
      </c>
      <c r="D947" s="1" t="s">
        <v>2005</v>
      </c>
      <c r="E947" s="1">
        <v>100540</v>
      </c>
      <c r="F947" s="6" t="s">
        <v>2949</v>
      </c>
      <c r="G947" s="15" t="str">
        <f>VLOOKUP(A947,Movie!A:D,4,FALSE)</f>
        <v>Warner Brothers</v>
      </c>
      <c r="H947" s="14">
        <f>VLOOKUP(E947,'Rental Transaction'!A:B,2,FALSE)</f>
        <v>746134</v>
      </c>
      <c r="I947">
        <f t="shared" si="14"/>
        <v>2013</v>
      </c>
    </row>
    <row r="948" spans="1:9">
      <c r="A948" s="1">
        <v>10281</v>
      </c>
      <c r="B948" s="1">
        <v>5</v>
      </c>
      <c r="C948" s="2">
        <v>41367</v>
      </c>
      <c r="D948" s="1" t="s">
        <v>2002</v>
      </c>
      <c r="E948" s="1">
        <v>100540</v>
      </c>
      <c r="F948" s="6" t="s">
        <v>2950</v>
      </c>
      <c r="G948" s="15" t="str">
        <f>VLOOKUP(A948,Movie!A:D,4,FALSE)</f>
        <v>Lionsgate</v>
      </c>
      <c r="H948" s="14">
        <f>VLOOKUP(E948,'Rental Transaction'!A:B,2,FALSE)</f>
        <v>746134</v>
      </c>
      <c r="I948">
        <f t="shared" si="14"/>
        <v>2013</v>
      </c>
    </row>
    <row r="949" spans="1:9">
      <c r="A949" s="1">
        <v>10214</v>
      </c>
      <c r="B949" s="1">
        <v>3</v>
      </c>
      <c r="C949" s="2">
        <v>41368</v>
      </c>
      <c r="D949" s="1" t="s">
        <v>2002</v>
      </c>
      <c r="E949" s="1">
        <v>100540</v>
      </c>
      <c r="F949" s="6" t="s">
        <v>2951</v>
      </c>
      <c r="G949" s="15" t="str">
        <f>VLOOKUP(A949,Movie!A:D,4,FALSE)</f>
        <v>RM</v>
      </c>
      <c r="H949" s="14">
        <f>VLOOKUP(E949,'Rental Transaction'!A:B,2,FALSE)</f>
        <v>746134</v>
      </c>
      <c r="I949">
        <f t="shared" si="14"/>
        <v>2013</v>
      </c>
    </row>
    <row r="950" spans="1:9">
      <c r="A950" s="1">
        <v>10064</v>
      </c>
      <c r="B950" s="1">
        <v>9</v>
      </c>
      <c r="C950" s="2">
        <v>41368</v>
      </c>
      <c r="D950" s="1" t="s">
        <v>2002</v>
      </c>
      <c r="E950" s="1">
        <v>100541</v>
      </c>
      <c r="F950" s="6" t="s">
        <v>2952</v>
      </c>
      <c r="G950" s="15" t="str">
        <f>VLOOKUP(A950,Movie!A:D,4,FALSE)</f>
        <v>Universal</v>
      </c>
      <c r="H950" s="14">
        <f>VLOOKUP(E950,'Rental Transaction'!A:B,2,FALSE)</f>
        <v>739669</v>
      </c>
      <c r="I950">
        <f t="shared" si="14"/>
        <v>2013</v>
      </c>
    </row>
    <row r="951" spans="1:9">
      <c r="A951" s="1">
        <v>10038</v>
      </c>
      <c r="B951" s="1">
        <v>2</v>
      </c>
      <c r="C951" s="2">
        <v>41369</v>
      </c>
      <c r="D951" s="1" t="s">
        <v>2002</v>
      </c>
      <c r="E951" s="1">
        <v>100541</v>
      </c>
      <c r="F951" s="6" t="s">
        <v>2953</v>
      </c>
      <c r="G951" s="15" t="str">
        <f>VLOOKUP(A951,Movie!A:D,4,FALSE)</f>
        <v>Paramount</v>
      </c>
      <c r="H951" s="14">
        <f>VLOOKUP(E951,'Rental Transaction'!A:B,2,FALSE)</f>
        <v>739669</v>
      </c>
      <c r="I951">
        <f t="shared" si="14"/>
        <v>2013</v>
      </c>
    </row>
    <row r="952" spans="1:9" ht="29.25">
      <c r="A952" s="1">
        <v>10239</v>
      </c>
      <c r="B952" s="1">
        <v>1</v>
      </c>
      <c r="C952" s="2">
        <v>41369</v>
      </c>
      <c r="D952" s="1" t="s">
        <v>2002</v>
      </c>
      <c r="E952" s="1">
        <v>100541</v>
      </c>
      <c r="F952" s="6" t="s">
        <v>2954</v>
      </c>
      <c r="G952" s="15" t="str">
        <f>VLOOKUP(A952,Movie!A:D,4,FALSE)</f>
        <v>Weinstein Company</v>
      </c>
      <c r="H952" s="14">
        <f>VLOOKUP(E952,'Rental Transaction'!A:B,2,FALSE)</f>
        <v>739669</v>
      </c>
      <c r="I952">
        <f t="shared" si="14"/>
        <v>2013</v>
      </c>
    </row>
    <row r="953" spans="1:9">
      <c r="A953" s="1">
        <v>10145</v>
      </c>
      <c r="B953" s="1">
        <v>9</v>
      </c>
      <c r="C953" s="2">
        <v>41368</v>
      </c>
      <c r="D953" s="1" t="s">
        <v>2005</v>
      </c>
      <c r="E953" s="1">
        <v>100542</v>
      </c>
      <c r="F953" s="6" t="s">
        <v>2955</v>
      </c>
      <c r="G953" s="15" t="str">
        <f>VLOOKUP(A953,Movie!A:D,4,FALSE)</f>
        <v>TriStar</v>
      </c>
      <c r="H953" s="14">
        <f>VLOOKUP(E953,'Rental Transaction'!A:B,2,FALSE)</f>
        <v>860057</v>
      </c>
      <c r="I953">
        <f t="shared" si="14"/>
        <v>2013</v>
      </c>
    </row>
    <row r="954" spans="1:9">
      <c r="A954" s="1">
        <v>10142</v>
      </c>
      <c r="B954" s="1">
        <v>4</v>
      </c>
      <c r="C954" s="2">
        <v>41368</v>
      </c>
      <c r="D954" s="1" t="s">
        <v>2005</v>
      </c>
      <c r="E954" s="1">
        <v>100542</v>
      </c>
      <c r="F954" s="6" t="s">
        <v>2956</v>
      </c>
      <c r="G954" s="15" t="str">
        <f>VLOOKUP(A954,Movie!A:D,4,FALSE)</f>
        <v>Warner Brothers</v>
      </c>
      <c r="H954" s="14">
        <f>VLOOKUP(E954,'Rental Transaction'!A:B,2,FALSE)</f>
        <v>860057</v>
      </c>
      <c r="I954">
        <f t="shared" si="14"/>
        <v>2013</v>
      </c>
    </row>
    <row r="955" spans="1:9">
      <c r="A955" s="1">
        <v>10057</v>
      </c>
      <c r="B955" s="1">
        <v>9</v>
      </c>
      <c r="C955" s="2">
        <v>41368</v>
      </c>
      <c r="D955" s="1" t="s">
        <v>2002</v>
      </c>
      <c r="E955" s="1">
        <v>100542</v>
      </c>
      <c r="F955" s="6" t="s">
        <v>2957</v>
      </c>
      <c r="G955" s="15" t="str">
        <f>VLOOKUP(A955,Movie!A:D,4,FALSE)</f>
        <v>Warner Brothers</v>
      </c>
      <c r="H955" s="14">
        <f>VLOOKUP(E955,'Rental Transaction'!A:B,2,FALSE)</f>
        <v>860057</v>
      </c>
      <c r="I955">
        <f t="shared" si="14"/>
        <v>2013</v>
      </c>
    </row>
    <row r="956" spans="1:9">
      <c r="A956" s="1">
        <v>10152</v>
      </c>
      <c r="B956" s="1">
        <v>7</v>
      </c>
      <c r="C956" s="2">
        <v>41368</v>
      </c>
      <c r="D956" s="1" t="s">
        <v>2002</v>
      </c>
      <c r="E956" s="1">
        <v>100542</v>
      </c>
      <c r="F956" s="6" t="s">
        <v>2958</v>
      </c>
      <c r="G956" s="15" t="str">
        <f>VLOOKUP(A956,Movie!A:D,4,FALSE)</f>
        <v>FilmDistrict</v>
      </c>
      <c r="H956" s="14">
        <f>VLOOKUP(E956,'Rental Transaction'!A:B,2,FALSE)</f>
        <v>860057</v>
      </c>
      <c r="I956">
        <f t="shared" si="14"/>
        <v>2013</v>
      </c>
    </row>
    <row r="957" spans="1:9" ht="29.25">
      <c r="A957" s="1">
        <v>10154</v>
      </c>
      <c r="B957" s="1">
        <v>1</v>
      </c>
      <c r="C957" s="2">
        <v>41368</v>
      </c>
      <c r="D957" s="1" t="s">
        <v>2005</v>
      </c>
      <c r="E957" s="1">
        <v>100542</v>
      </c>
      <c r="F957" s="6" t="s">
        <v>2959</v>
      </c>
      <c r="G957" s="15" t="str">
        <f>VLOOKUP(A957,Movie!A:D,4,FALSE)</f>
        <v>Summit Entertainment</v>
      </c>
      <c r="H957" s="14">
        <f>VLOOKUP(E957,'Rental Transaction'!A:B,2,FALSE)</f>
        <v>860057</v>
      </c>
      <c r="I957">
        <f t="shared" si="14"/>
        <v>2013</v>
      </c>
    </row>
    <row r="958" spans="1:9">
      <c r="A958" s="1">
        <v>10033</v>
      </c>
      <c r="B958" s="1">
        <v>5</v>
      </c>
      <c r="C958" s="2">
        <v>41368</v>
      </c>
      <c r="D958" s="1" t="s">
        <v>2002</v>
      </c>
      <c r="E958" s="1">
        <v>100542</v>
      </c>
      <c r="F958" s="6" t="s">
        <v>2960</v>
      </c>
      <c r="G958" s="15" t="str">
        <f>VLOOKUP(A958,Movie!A:D,4,FALSE)</f>
        <v>Lionsgate</v>
      </c>
      <c r="H958" s="14">
        <f>VLOOKUP(E958,'Rental Transaction'!A:B,2,FALSE)</f>
        <v>860057</v>
      </c>
      <c r="I958">
        <f t="shared" si="14"/>
        <v>2013</v>
      </c>
    </row>
    <row r="959" spans="1:9">
      <c r="A959" s="1">
        <v>10248</v>
      </c>
      <c r="B959" s="1">
        <v>2</v>
      </c>
      <c r="C959" s="2">
        <v>41368</v>
      </c>
      <c r="D959" s="1" t="s">
        <v>2005</v>
      </c>
      <c r="E959" s="1">
        <v>100542</v>
      </c>
      <c r="F959" s="6" t="s">
        <v>2961</v>
      </c>
      <c r="G959" s="15" t="str">
        <f>VLOOKUP(A959,Movie!A:D,4,FALSE)</f>
        <v>Relativity</v>
      </c>
      <c r="H959" s="14">
        <f>VLOOKUP(E959,'Rental Transaction'!A:B,2,FALSE)</f>
        <v>860057</v>
      </c>
      <c r="I959">
        <f t="shared" si="14"/>
        <v>2013</v>
      </c>
    </row>
    <row r="960" spans="1:9">
      <c r="A960" s="1">
        <v>10051</v>
      </c>
      <c r="B960" s="1">
        <v>4</v>
      </c>
      <c r="C960" s="2">
        <v>41368</v>
      </c>
      <c r="D960" s="1" t="s">
        <v>2005</v>
      </c>
      <c r="E960" s="1">
        <v>100542</v>
      </c>
      <c r="F960" s="6" t="s">
        <v>2962</v>
      </c>
      <c r="G960" s="15" t="str">
        <f>VLOOKUP(A960,Movie!A:D,4,FALSE)</f>
        <v>Paramount</v>
      </c>
      <c r="H960" s="14">
        <f>VLOOKUP(E960,'Rental Transaction'!A:B,2,FALSE)</f>
        <v>860057</v>
      </c>
      <c r="I960">
        <f t="shared" si="14"/>
        <v>2013</v>
      </c>
    </row>
    <row r="961" spans="1:9">
      <c r="A961" s="1">
        <v>10225</v>
      </c>
      <c r="B961" s="1">
        <v>1</v>
      </c>
      <c r="C961" s="2">
        <v>41368</v>
      </c>
      <c r="D961" s="1" t="s">
        <v>2005</v>
      </c>
      <c r="E961" s="1">
        <v>100543</v>
      </c>
      <c r="F961" s="6" t="s">
        <v>2963</v>
      </c>
      <c r="G961" s="15" t="str">
        <f>VLOOKUP(A961,Movie!A:D,4,FALSE)</f>
        <v>Warner Brothers</v>
      </c>
      <c r="H961" s="14">
        <f>VLOOKUP(E961,'Rental Transaction'!A:B,2,FALSE)</f>
        <v>884729</v>
      </c>
      <c r="I961">
        <f t="shared" si="14"/>
        <v>2013</v>
      </c>
    </row>
    <row r="962" spans="1:9">
      <c r="A962" s="1">
        <v>10005</v>
      </c>
      <c r="B962" s="1">
        <v>4</v>
      </c>
      <c r="C962" s="2">
        <v>41368</v>
      </c>
      <c r="D962" s="1" t="s">
        <v>2005</v>
      </c>
      <c r="E962" s="1">
        <v>100543</v>
      </c>
      <c r="F962" s="6" t="s">
        <v>2964</v>
      </c>
      <c r="G962" s="15" t="str">
        <f>VLOOKUP(A962,Movie!A:D,4,FALSE)</f>
        <v>Buena Vista</v>
      </c>
      <c r="H962" s="14">
        <f>VLOOKUP(E962,'Rental Transaction'!A:B,2,FALSE)</f>
        <v>884729</v>
      </c>
      <c r="I962">
        <f t="shared" si="14"/>
        <v>2013</v>
      </c>
    </row>
    <row r="963" spans="1:9">
      <c r="A963" s="1">
        <v>10078</v>
      </c>
      <c r="B963" s="1">
        <v>6</v>
      </c>
      <c r="C963" s="2">
        <v>41368</v>
      </c>
      <c r="D963" s="1" t="s">
        <v>2005</v>
      </c>
      <c r="E963" s="1">
        <v>100543</v>
      </c>
      <c r="F963" s="6" t="s">
        <v>2965</v>
      </c>
      <c r="G963" s="15" t="str">
        <f>VLOOKUP(A963,Movie!A:D,4,FALSE)</f>
        <v>Paramount</v>
      </c>
      <c r="H963" s="14">
        <f>VLOOKUP(E963,'Rental Transaction'!A:B,2,FALSE)</f>
        <v>884729</v>
      </c>
      <c r="I963">
        <f t="shared" ref="I963:I1026" si="15">YEAR(C963)</f>
        <v>2013</v>
      </c>
    </row>
    <row r="964" spans="1:9">
      <c r="A964" s="1">
        <v>10188</v>
      </c>
      <c r="B964" s="1">
        <v>2</v>
      </c>
      <c r="C964" s="2">
        <v>41368</v>
      </c>
      <c r="D964" s="1" t="s">
        <v>2002</v>
      </c>
      <c r="E964" s="1">
        <v>100543</v>
      </c>
      <c r="F964" s="6" t="s">
        <v>2966</v>
      </c>
      <c r="G964" s="15" t="str">
        <f>VLOOKUP(A964,Movie!A:D,4,FALSE)</f>
        <v>Paramount</v>
      </c>
      <c r="H964" s="14">
        <f>VLOOKUP(E964,'Rental Transaction'!A:B,2,FALSE)</f>
        <v>884729</v>
      </c>
      <c r="I964">
        <f t="shared" si="15"/>
        <v>2013</v>
      </c>
    </row>
    <row r="965" spans="1:9">
      <c r="A965" s="1">
        <v>10222</v>
      </c>
      <c r="B965" s="1">
        <v>10</v>
      </c>
      <c r="C965" s="2">
        <v>41368</v>
      </c>
      <c r="D965" s="1" t="s">
        <v>2002</v>
      </c>
      <c r="E965" s="1">
        <v>100544</v>
      </c>
      <c r="F965" s="6" t="s">
        <v>2967</v>
      </c>
      <c r="G965" s="15" t="str">
        <f>VLOOKUP(A965,Movie!A:D,4,FALSE)</f>
        <v>Sony</v>
      </c>
      <c r="H965" s="14">
        <f>VLOOKUP(E965,'Rental Transaction'!A:B,2,FALSE)</f>
        <v>292402</v>
      </c>
      <c r="I965">
        <f t="shared" si="15"/>
        <v>2013</v>
      </c>
    </row>
    <row r="966" spans="1:9">
      <c r="A966" s="1">
        <v>10206</v>
      </c>
      <c r="B966" s="1">
        <v>3</v>
      </c>
      <c r="C966" s="2">
        <v>41369</v>
      </c>
      <c r="D966" s="1" t="s">
        <v>2002</v>
      </c>
      <c r="E966" s="1">
        <v>100545</v>
      </c>
      <c r="F966" s="6" t="s">
        <v>2968</v>
      </c>
      <c r="G966" s="15" t="str">
        <f>VLOOKUP(A966,Movie!A:D,4,FALSE)</f>
        <v>Fox</v>
      </c>
      <c r="H966" s="14">
        <f>VLOOKUP(E966,'Rental Transaction'!A:B,2,FALSE)</f>
        <v>771285</v>
      </c>
      <c r="I966">
        <f t="shared" si="15"/>
        <v>2013</v>
      </c>
    </row>
    <row r="967" spans="1:9">
      <c r="A967" s="1">
        <v>10130</v>
      </c>
      <c r="B967" s="1">
        <v>4</v>
      </c>
      <c r="C967" s="2">
        <v>41368</v>
      </c>
      <c r="D967" s="1" t="s">
        <v>2005</v>
      </c>
      <c r="E967" s="1">
        <v>100545</v>
      </c>
      <c r="F967" s="6" t="s">
        <v>2969</v>
      </c>
      <c r="G967" s="15" t="str">
        <f>VLOOKUP(A967,Movie!A:D,4,FALSE)</f>
        <v>A24</v>
      </c>
      <c r="H967" s="14">
        <f>VLOOKUP(E967,'Rental Transaction'!A:B,2,FALSE)</f>
        <v>771285</v>
      </c>
      <c r="I967">
        <f t="shared" si="15"/>
        <v>2013</v>
      </c>
    </row>
    <row r="968" spans="1:9">
      <c r="A968" s="1">
        <v>10167</v>
      </c>
      <c r="B968" s="1">
        <v>10</v>
      </c>
      <c r="C968" s="2">
        <v>41368</v>
      </c>
      <c r="D968" s="1" t="s">
        <v>2005</v>
      </c>
      <c r="E968" s="1">
        <v>100545</v>
      </c>
      <c r="F968" s="6" t="s">
        <v>2970</v>
      </c>
      <c r="G968" s="15" t="str">
        <f>VLOOKUP(A968,Movie!A:D,4,FALSE)</f>
        <v>Universal</v>
      </c>
      <c r="H968" s="14">
        <f>VLOOKUP(E968,'Rental Transaction'!A:B,2,FALSE)</f>
        <v>771285</v>
      </c>
      <c r="I968">
        <f t="shared" si="15"/>
        <v>2013</v>
      </c>
    </row>
    <row r="969" spans="1:9">
      <c r="A969" s="1">
        <v>10159</v>
      </c>
      <c r="B969" s="1">
        <v>2</v>
      </c>
      <c r="C969" s="2">
        <v>41369</v>
      </c>
      <c r="D969" s="1" t="s">
        <v>2002</v>
      </c>
      <c r="E969" s="1">
        <v>100546</v>
      </c>
      <c r="F969" s="6" t="s">
        <v>2971</v>
      </c>
      <c r="G969" s="15" t="str">
        <f>VLOOKUP(A969,Movie!A:D,4,FALSE)</f>
        <v>Lionsgate</v>
      </c>
      <c r="H969" s="14">
        <f>VLOOKUP(E969,'Rental Transaction'!A:B,2,FALSE)</f>
        <v>921792</v>
      </c>
      <c r="I969">
        <f t="shared" si="15"/>
        <v>2013</v>
      </c>
    </row>
    <row r="970" spans="1:9">
      <c r="A970" s="1">
        <v>10112</v>
      </c>
      <c r="B970" s="1">
        <v>9</v>
      </c>
      <c r="C970" s="2">
        <v>41368</v>
      </c>
      <c r="D970" s="1" t="s">
        <v>2002</v>
      </c>
      <c r="E970" s="1">
        <v>100547</v>
      </c>
      <c r="F970" s="6" t="s">
        <v>2972</v>
      </c>
      <c r="G970" s="15" t="str">
        <f>VLOOKUP(A970,Movie!A:D,4,FALSE)</f>
        <v>Relativity</v>
      </c>
      <c r="H970" s="14">
        <f>VLOOKUP(E970,'Rental Transaction'!A:B,2,FALSE)</f>
        <v>737707</v>
      </c>
      <c r="I970">
        <f t="shared" si="15"/>
        <v>2013</v>
      </c>
    </row>
    <row r="971" spans="1:9">
      <c r="A971" s="1">
        <v>10201</v>
      </c>
      <c r="B971" s="1">
        <v>1</v>
      </c>
      <c r="C971" s="2">
        <v>41370</v>
      </c>
      <c r="D971" s="1" t="s">
        <v>2005</v>
      </c>
      <c r="E971" s="1">
        <v>100548</v>
      </c>
      <c r="F971" s="6" t="s">
        <v>2973</v>
      </c>
      <c r="G971" s="15" t="str">
        <f>VLOOKUP(A971,Movie!A:D,4,FALSE)</f>
        <v>Screen Gems</v>
      </c>
      <c r="H971" s="14">
        <f>VLOOKUP(E971,'Rental Transaction'!A:B,2,FALSE)</f>
        <v>412929</v>
      </c>
      <c r="I971">
        <f t="shared" si="15"/>
        <v>2013</v>
      </c>
    </row>
    <row r="972" spans="1:9">
      <c r="A972" s="1">
        <v>10004</v>
      </c>
      <c r="B972" s="1">
        <v>7</v>
      </c>
      <c r="C972" s="2">
        <v>41369</v>
      </c>
      <c r="D972" s="1" t="s">
        <v>2002</v>
      </c>
      <c r="E972" s="1">
        <v>100548</v>
      </c>
      <c r="F972" s="6" t="s">
        <v>2974</v>
      </c>
      <c r="G972" s="15" t="str">
        <f>VLOOKUP(A972,Movie!A:D,4,FALSE)</f>
        <v>Paramount</v>
      </c>
      <c r="H972" s="14">
        <f>VLOOKUP(E972,'Rental Transaction'!A:B,2,FALSE)</f>
        <v>412929</v>
      </c>
      <c r="I972">
        <f t="shared" si="15"/>
        <v>2013</v>
      </c>
    </row>
    <row r="973" spans="1:9">
      <c r="A973" s="1">
        <v>10098</v>
      </c>
      <c r="B973" s="1">
        <v>4</v>
      </c>
      <c r="C973" s="2">
        <v>41371</v>
      </c>
      <c r="D973" s="1" t="s">
        <v>2002</v>
      </c>
      <c r="E973" s="1">
        <v>100548</v>
      </c>
      <c r="F973" s="6" t="s">
        <v>2975</v>
      </c>
      <c r="G973" s="15" t="str">
        <f>VLOOKUP(A973,Movie!A:D,4,FALSE)</f>
        <v>Warner Brothers</v>
      </c>
      <c r="H973" s="14">
        <f>VLOOKUP(E973,'Rental Transaction'!A:B,2,FALSE)</f>
        <v>412929</v>
      </c>
      <c r="I973">
        <f t="shared" si="15"/>
        <v>2013</v>
      </c>
    </row>
    <row r="974" spans="1:9">
      <c r="A974" s="1">
        <v>10098</v>
      </c>
      <c r="B974" s="1">
        <v>7</v>
      </c>
      <c r="C974" s="2">
        <v>41369</v>
      </c>
      <c r="D974" s="1" t="s">
        <v>2005</v>
      </c>
      <c r="E974" s="1">
        <v>100549</v>
      </c>
      <c r="F974" s="6" t="s">
        <v>2976</v>
      </c>
      <c r="G974" s="15" t="str">
        <f>VLOOKUP(A974,Movie!A:D,4,FALSE)</f>
        <v>Warner Brothers</v>
      </c>
      <c r="H974" s="14">
        <f>VLOOKUP(E974,'Rental Transaction'!A:B,2,FALSE)</f>
        <v>756769</v>
      </c>
      <c r="I974">
        <f t="shared" si="15"/>
        <v>2013</v>
      </c>
    </row>
    <row r="975" spans="1:9">
      <c r="A975" s="1">
        <v>10221</v>
      </c>
      <c r="B975" s="1">
        <v>3</v>
      </c>
      <c r="C975" s="2">
        <v>41369</v>
      </c>
      <c r="D975" s="1" t="s">
        <v>2005</v>
      </c>
      <c r="E975" s="1">
        <v>100550</v>
      </c>
      <c r="F975" s="6" t="s">
        <v>2977</v>
      </c>
      <c r="G975" s="15" t="str">
        <f>VLOOKUP(A975,Movie!A:D,4,FALSE)</f>
        <v>Fox</v>
      </c>
      <c r="H975" s="14">
        <f>VLOOKUP(E975,'Rental Transaction'!A:B,2,FALSE)</f>
        <v>292402</v>
      </c>
      <c r="I975">
        <f t="shared" si="15"/>
        <v>2013</v>
      </c>
    </row>
    <row r="976" spans="1:9">
      <c r="A976" s="1">
        <v>10269</v>
      </c>
      <c r="B976" s="1">
        <v>6</v>
      </c>
      <c r="C976" s="2">
        <v>41369</v>
      </c>
      <c r="D976" s="1" t="s">
        <v>2002</v>
      </c>
      <c r="E976" s="1">
        <v>100551</v>
      </c>
      <c r="F976" s="6" t="s">
        <v>2978</v>
      </c>
      <c r="G976" s="15" t="str">
        <f>VLOOKUP(A976,Movie!A:D,4,FALSE)</f>
        <v>Buena Vista</v>
      </c>
      <c r="H976" s="14">
        <f>VLOOKUP(E976,'Rental Transaction'!A:B,2,FALSE)</f>
        <v>276549</v>
      </c>
      <c r="I976">
        <f t="shared" si="15"/>
        <v>2013</v>
      </c>
    </row>
    <row r="977" spans="1:9">
      <c r="A977" s="1">
        <v>10260</v>
      </c>
      <c r="B977" s="1">
        <v>4</v>
      </c>
      <c r="C977" s="2">
        <v>41371</v>
      </c>
      <c r="D977" s="1" t="s">
        <v>2002</v>
      </c>
      <c r="E977" s="1">
        <v>100551</v>
      </c>
      <c r="F977" s="6" t="s">
        <v>2979</v>
      </c>
      <c r="G977" s="15" t="str">
        <f>VLOOKUP(A977,Movie!A:D,4,FALSE)</f>
        <v>Sony</v>
      </c>
      <c r="H977" s="14">
        <f>VLOOKUP(E977,'Rental Transaction'!A:B,2,FALSE)</f>
        <v>276549</v>
      </c>
      <c r="I977">
        <f t="shared" si="15"/>
        <v>2013</v>
      </c>
    </row>
    <row r="978" spans="1:9">
      <c r="A978" s="1">
        <v>10163</v>
      </c>
      <c r="B978" s="1">
        <v>10</v>
      </c>
      <c r="C978" s="2">
        <v>41370</v>
      </c>
      <c r="D978" s="1" t="s">
        <v>2002</v>
      </c>
      <c r="E978" s="1">
        <v>100552</v>
      </c>
      <c r="F978" s="6" t="s">
        <v>2980</v>
      </c>
      <c r="G978" s="15" t="str">
        <f>VLOOKUP(A978,Movie!A:D,4,FALSE)</f>
        <v>Warner Brothers</v>
      </c>
      <c r="H978" s="14">
        <f>VLOOKUP(E978,'Rental Transaction'!A:B,2,FALSE)</f>
        <v>665282</v>
      </c>
      <c r="I978">
        <f t="shared" si="15"/>
        <v>2013</v>
      </c>
    </row>
    <row r="979" spans="1:9">
      <c r="A979" s="1">
        <v>10258</v>
      </c>
      <c r="B979" s="1">
        <v>9</v>
      </c>
      <c r="C979" s="2">
        <v>41371</v>
      </c>
      <c r="D979" s="1" t="s">
        <v>2005</v>
      </c>
      <c r="E979" s="1">
        <v>100553</v>
      </c>
      <c r="F979" s="6" t="s">
        <v>2981</v>
      </c>
      <c r="G979" s="15" t="str">
        <f>VLOOKUP(A979,Movie!A:D,4,FALSE)</f>
        <v>Warner Brothers</v>
      </c>
      <c r="H979" s="14">
        <f>VLOOKUP(E979,'Rental Transaction'!A:B,2,FALSE)</f>
        <v>737707</v>
      </c>
      <c r="I979">
        <f t="shared" si="15"/>
        <v>2013</v>
      </c>
    </row>
    <row r="980" spans="1:9">
      <c r="A980" s="1">
        <v>10234</v>
      </c>
      <c r="B980" s="1">
        <v>10</v>
      </c>
      <c r="C980" s="2">
        <v>41370</v>
      </c>
      <c r="D980" s="1" t="s">
        <v>2002</v>
      </c>
      <c r="E980" s="1">
        <v>100553</v>
      </c>
      <c r="F980" s="6" t="s">
        <v>2982</v>
      </c>
      <c r="G980" s="15" t="str">
        <f>VLOOKUP(A980,Movie!A:D,4,FALSE)</f>
        <v>Warner Brothers</v>
      </c>
      <c r="H980" s="14">
        <f>VLOOKUP(E980,'Rental Transaction'!A:B,2,FALSE)</f>
        <v>737707</v>
      </c>
      <c r="I980">
        <f t="shared" si="15"/>
        <v>2013</v>
      </c>
    </row>
    <row r="981" spans="1:9">
      <c r="A981" s="1">
        <v>10261</v>
      </c>
      <c r="B981" s="1">
        <v>9</v>
      </c>
      <c r="C981" s="2">
        <v>41370</v>
      </c>
      <c r="D981" s="1" t="s">
        <v>2002</v>
      </c>
      <c r="E981" s="1">
        <v>100554</v>
      </c>
      <c r="F981" s="6" t="s">
        <v>2983</v>
      </c>
      <c r="G981" s="15" t="str">
        <f>VLOOKUP(A981,Movie!A:D,4,FALSE)</f>
        <v>Fox</v>
      </c>
      <c r="H981" s="14">
        <f>VLOOKUP(E981,'Rental Transaction'!A:B,2,FALSE)</f>
        <v>720602</v>
      </c>
      <c r="I981">
        <f t="shared" si="15"/>
        <v>2013</v>
      </c>
    </row>
    <row r="982" spans="1:9">
      <c r="A982" s="1">
        <v>10013</v>
      </c>
      <c r="B982" s="1">
        <v>5</v>
      </c>
      <c r="C982" s="2">
        <v>41371</v>
      </c>
      <c r="D982" s="1" t="s">
        <v>2005</v>
      </c>
      <c r="E982" s="1">
        <v>100554</v>
      </c>
      <c r="F982" s="6" t="s">
        <v>2984</v>
      </c>
      <c r="G982" s="15" t="str">
        <f>VLOOKUP(A982,Movie!A:D,4,FALSE)</f>
        <v>Open Road Films</v>
      </c>
      <c r="H982" s="14">
        <f>VLOOKUP(E982,'Rental Transaction'!A:B,2,FALSE)</f>
        <v>720602</v>
      </c>
      <c r="I982">
        <f t="shared" si="15"/>
        <v>2013</v>
      </c>
    </row>
    <row r="983" spans="1:9">
      <c r="A983" s="1">
        <v>10069</v>
      </c>
      <c r="B983" s="1">
        <v>1</v>
      </c>
      <c r="C983" s="2">
        <v>41370</v>
      </c>
      <c r="D983" s="1" t="s">
        <v>2002</v>
      </c>
      <c r="E983" s="1">
        <v>100555</v>
      </c>
      <c r="F983" s="6" t="s">
        <v>2985</v>
      </c>
      <c r="G983" s="15" t="str">
        <f>VLOOKUP(A983,Movie!A:D,4,FALSE)</f>
        <v>Warner Brothers</v>
      </c>
      <c r="H983" s="14">
        <f>VLOOKUP(E983,'Rental Transaction'!A:B,2,FALSE)</f>
        <v>283158</v>
      </c>
      <c r="I983">
        <f t="shared" si="15"/>
        <v>2013</v>
      </c>
    </row>
    <row r="984" spans="1:9">
      <c r="A984" s="1">
        <v>10295</v>
      </c>
      <c r="B984" s="1">
        <v>9</v>
      </c>
      <c r="C984" s="2">
        <v>41370</v>
      </c>
      <c r="D984" s="1" t="s">
        <v>2005</v>
      </c>
      <c r="E984" s="1">
        <v>100555</v>
      </c>
      <c r="F984" s="6" t="s">
        <v>2986</v>
      </c>
      <c r="G984" s="15" t="str">
        <f>VLOOKUP(A984,Movie!A:D,4,FALSE)</f>
        <v>A24</v>
      </c>
      <c r="H984" s="14">
        <f>VLOOKUP(E984,'Rental Transaction'!A:B,2,FALSE)</f>
        <v>283158</v>
      </c>
      <c r="I984">
        <f t="shared" si="15"/>
        <v>2013</v>
      </c>
    </row>
    <row r="985" spans="1:9">
      <c r="A985" s="1">
        <v>10221</v>
      </c>
      <c r="B985" s="1">
        <v>10</v>
      </c>
      <c r="C985" s="2">
        <v>41370</v>
      </c>
      <c r="D985" s="1" t="s">
        <v>2002</v>
      </c>
      <c r="E985" s="1">
        <v>100555</v>
      </c>
      <c r="F985" s="6" t="s">
        <v>2987</v>
      </c>
      <c r="G985" s="15" t="str">
        <f>VLOOKUP(A985,Movie!A:D,4,FALSE)</f>
        <v>Fox</v>
      </c>
      <c r="H985" s="14">
        <f>VLOOKUP(E985,'Rental Transaction'!A:B,2,FALSE)</f>
        <v>283158</v>
      </c>
      <c r="I985">
        <f t="shared" si="15"/>
        <v>2013</v>
      </c>
    </row>
    <row r="986" spans="1:9">
      <c r="A986" s="1">
        <v>10082</v>
      </c>
      <c r="B986" s="1">
        <v>5</v>
      </c>
      <c r="C986" s="2">
        <v>41371</v>
      </c>
      <c r="D986" s="1" t="s">
        <v>2005</v>
      </c>
      <c r="E986" s="1">
        <v>100556</v>
      </c>
      <c r="F986" s="6" t="s">
        <v>2988</v>
      </c>
      <c r="G986" s="15" t="str">
        <f>VLOOKUP(A986,Movie!A:D,4,FALSE)</f>
        <v>Buena Vista</v>
      </c>
      <c r="H986" s="14">
        <f>VLOOKUP(E986,'Rental Transaction'!A:B,2,FALSE)</f>
        <v>776775</v>
      </c>
      <c r="I986">
        <f t="shared" si="15"/>
        <v>2013</v>
      </c>
    </row>
    <row r="987" spans="1:9">
      <c r="A987" s="1">
        <v>10214</v>
      </c>
      <c r="B987" s="1">
        <v>2</v>
      </c>
      <c r="C987" s="2">
        <v>41371</v>
      </c>
      <c r="D987" s="1" t="s">
        <v>2005</v>
      </c>
      <c r="E987" s="1">
        <v>100557</v>
      </c>
      <c r="F987" s="6" t="s">
        <v>2989</v>
      </c>
      <c r="G987" s="15" t="str">
        <f>VLOOKUP(A987,Movie!A:D,4,FALSE)</f>
        <v>RM</v>
      </c>
      <c r="H987" s="14">
        <f>VLOOKUP(E987,'Rental Transaction'!A:B,2,FALSE)</f>
        <v>938417</v>
      </c>
      <c r="I987">
        <f t="shared" si="15"/>
        <v>2013</v>
      </c>
    </row>
    <row r="988" spans="1:9">
      <c r="A988" s="1">
        <v>10056</v>
      </c>
      <c r="B988" s="1">
        <v>7</v>
      </c>
      <c r="C988" s="2">
        <v>41372</v>
      </c>
      <c r="D988" s="1" t="s">
        <v>2005</v>
      </c>
      <c r="E988" s="1">
        <v>100557</v>
      </c>
      <c r="F988" s="6" t="s">
        <v>2990</v>
      </c>
      <c r="G988" s="15" t="str">
        <f>VLOOKUP(A988,Movie!A:D,4,FALSE)</f>
        <v>Screen Gems</v>
      </c>
      <c r="H988" s="14">
        <f>VLOOKUP(E988,'Rental Transaction'!A:B,2,FALSE)</f>
        <v>938417</v>
      </c>
      <c r="I988">
        <f t="shared" si="15"/>
        <v>2013</v>
      </c>
    </row>
    <row r="989" spans="1:9" ht="29.25">
      <c r="A989" s="1">
        <v>10136</v>
      </c>
      <c r="B989" s="1">
        <v>2</v>
      </c>
      <c r="C989" s="2">
        <v>41373</v>
      </c>
      <c r="D989" s="1" t="s">
        <v>2002</v>
      </c>
      <c r="E989" s="1">
        <v>100558</v>
      </c>
      <c r="F989" s="6" t="s">
        <v>2991</v>
      </c>
      <c r="G989" s="15" t="str">
        <f>VLOOKUP(A989,Movie!A:D,4,FALSE)</f>
        <v>Weinstein Company</v>
      </c>
      <c r="H989" s="14">
        <f>VLOOKUP(E989,'Rental Transaction'!A:B,2,FALSE)</f>
        <v>841831</v>
      </c>
      <c r="I989">
        <f t="shared" si="15"/>
        <v>2013</v>
      </c>
    </row>
    <row r="990" spans="1:9">
      <c r="A990" s="1">
        <v>10127</v>
      </c>
      <c r="B990" s="1">
        <v>1</v>
      </c>
      <c r="C990" s="2">
        <v>41371</v>
      </c>
      <c r="D990" s="1" t="s">
        <v>2005</v>
      </c>
      <c r="E990" s="1">
        <v>100558</v>
      </c>
      <c r="F990" s="6" t="s">
        <v>2992</v>
      </c>
      <c r="G990" s="15" t="str">
        <f>VLOOKUP(A990,Movie!A:D,4,FALSE)</f>
        <v>TriStar</v>
      </c>
      <c r="H990" s="14">
        <f>VLOOKUP(E990,'Rental Transaction'!A:B,2,FALSE)</f>
        <v>841831</v>
      </c>
      <c r="I990">
        <f t="shared" si="15"/>
        <v>2013</v>
      </c>
    </row>
    <row r="991" spans="1:9">
      <c r="A991" s="1">
        <v>10077</v>
      </c>
      <c r="B991" s="1">
        <v>4</v>
      </c>
      <c r="C991" s="2">
        <v>41371</v>
      </c>
      <c r="D991" s="1" t="s">
        <v>2002</v>
      </c>
      <c r="E991" s="1">
        <v>100559</v>
      </c>
      <c r="F991" s="6" t="s">
        <v>2993</v>
      </c>
      <c r="G991" s="15" t="str">
        <f>VLOOKUP(A991,Movie!A:D,4,FALSE)</f>
        <v>Warner Brothers</v>
      </c>
      <c r="H991" s="14">
        <f>VLOOKUP(E991,'Rental Transaction'!A:B,2,FALSE)</f>
        <v>628132</v>
      </c>
      <c r="I991">
        <f t="shared" si="15"/>
        <v>2013</v>
      </c>
    </row>
    <row r="992" spans="1:9">
      <c r="A992" s="1">
        <v>10251</v>
      </c>
      <c r="B992" s="1">
        <v>7</v>
      </c>
      <c r="C992" s="2">
        <v>41372</v>
      </c>
      <c r="D992" s="1" t="s">
        <v>2005</v>
      </c>
      <c r="E992" s="1">
        <v>100560</v>
      </c>
      <c r="F992" s="6" t="s">
        <v>2994</v>
      </c>
      <c r="G992" s="15" t="str">
        <f>VLOOKUP(A992,Movie!A:D,4,FALSE)</f>
        <v>Universal</v>
      </c>
      <c r="H992" s="14">
        <f>VLOOKUP(E992,'Rental Transaction'!A:B,2,FALSE)</f>
        <v>608290</v>
      </c>
      <c r="I992">
        <f t="shared" si="15"/>
        <v>2013</v>
      </c>
    </row>
    <row r="993" spans="1:9">
      <c r="A993" s="1">
        <v>10240</v>
      </c>
      <c r="B993" s="1">
        <v>8</v>
      </c>
      <c r="C993" s="2">
        <v>41372</v>
      </c>
      <c r="D993" s="1" t="s">
        <v>2002</v>
      </c>
      <c r="E993" s="1">
        <v>100560</v>
      </c>
      <c r="F993" s="6" t="s">
        <v>2995</v>
      </c>
      <c r="G993" s="15" t="str">
        <f>VLOOKUP(A993,Movie!A:D,4,FALSE)</f>
        <v>Warner Brothers</v>
      </c>
      <c r="H993" s="14">
        <f>VLOOKUP(E993,'Rental Transaction'!A:B,2,FALSE)</f>
        <v>608290</v>
      </c>
      <c r="I993">
        <f t="shared" si="15"/>
        <v>2013</v>
      </c>
    </row>
    <row r="994" spans="1:9">
      <c r="A994" s="1">
        <v>10042</v>
      </c>
      <c r="B994" s="1">
        <v>7</v>
      </c>
      <c r="C994" s="2">
        <v>41371</v>
      </c>
      <c r="D994" s="1" t="s">
        <v>2002</v>
      </c>
      <c r="E994" s="1">
        <v>100561</v>
      </c>
      <c r="F994" s="6" t="s">
        <v>2996</v>
      </c>
      <c r="G994" s="15" t="str">
        <f>VLOOKUP(A994,Movie!A:D,4,FALSE)</f>
        <v>Paramount</v>
      </c>
      <c r="H994" s="14">
        <f>VLOOKUP(E994,'Rental Transaction'!A:B,2,FALSE)</f>
        <v>491380</v>
      </c>
      <c r="I994">
        <f t="shared" si="15"/>
        <v>2013</v>
      </c>
    </row>
    <row r="995" spans="1:9">
      <c r="A995" s="1">
        <v>10217</v>
      </c>
      <c r="B995" s="1">
        <v>4</v>
      </c>
      <c r="C995" s="2">
        <v>41372</v>
      </c>
      <c r="D995" s="1" t="s">
        <v>2002</v>
      </c>
      <c r="E995" s="1">
        <v>100561</v>
      </c>
      <c r="F995" s="6" t="s">
        <v>2997</v>
      </c>
      <c r="G995" s="15" t="str">
        <f>VLOOKUP(A995,Movie!A:D,4,FALSE)</f>
        <v>Warner Brothers</v>
      </c>
      <c r="H995" s="14">
        <f>VLOOKUP(E995,'Rental Transaction'!A:B,2,FALSE)</f>
        <v>491380</v>
      </c>
      <c r="I995">
        <f t="shared" si="15"/>
        <v>2013</v>
      </c>
    </row>
    <row r="996" spans="1:9">
      <c r="A996" s="1">
        <v>10159</v>
      </c>
      <c r="B996" s="1">
        <v>3</v>
      </c>
      <c r="C996" s="2">
        <v>41371</v>
      </c>
      <c r="D996" s="1" t="s">
        <v>2002</v>
      </c>
      <c r="E996" s="1">
        <v>100561</v>
      </c>
      <c r="F996" s="6" t="s">
        <v>2998</v>
      </c>
      <c r="G996" s="15" t="str">
        <f>VLOOKUP(A996,Movie!A:D,4,FALSE)</f>
        <v>Lionsgate</v>
      </c>
      <c r="H996" s="14">
        <f>VLOOKUP(E996,'Rental Transaction'!A:B,2,FALSE)</f>
        <v>491380</v>
      </c>
      <c r="I996">
        <f t="shared" si="15"/>
        <v>2013</v>
      </c>
    </row>
    <row r="997" spans="1:9" ht="29.25">
      <c r="A997" s="1">
        <v>10144</v>
      </c>
      <c r="B997" s="1">
        <v>9</v>
      </c>
      <c r="C997" s="2">
        <v>41373</v>
      </c>
      <c r="D997" s="1" t="s">
        <v>2005</v>
      </c>
      <c r="E997" s="1">
        <v>100562</v>
      </c>
      <c r="F997" s="6" t="s">
        <v>2999</v>
      </c>
      <c r="G997" s="15" t="str">
        <f>VLOOKUP(A997,Movie!A:D,4,FALSE)</f>
        <v>Weinstein Company</v>
      </c>
      <c r="H997" s="14">
        <f>VLOOKUP(E997,'Rental Transaction'!A:B,2,FALSE)</f>
        <v>378374</v>
      </c>
      <c r="I997">
        <f t="shared" si="15"/>
        <v>2013</v>
      </c>
    </row>
    <row r="998" spans="1:9">
      <c r="A998" s="1">
        <v>10211</v>
      </c>
      <c r="B998" s="1">
        <v>2</v>
      </c>
      <c r="C998" s="2">
        <v>41372</v>
      </c>
      <c r="D998" s="1" t="s">
        <v>2002</v>
      </c>
      <c r="E998" s="1">
        <v>100563</v>
      </c>
      <c r="F998" s="6" t="s">
        <v>3000</v>
      </c>
      <c r="G998" s="15" t="str">
        <f>VLOOKUP(A998,Movie!A:D,4,FALSE)</f>
        <v>Buena Vista</v>
      </c>
      <c r="H998" s="14">
        <f>VLOOKUP(E998,'Rental Transaction'!A:B,2,FALSE)</f>
        <v>585972</v>
      </c>
      <c r="I998">
        <f t="shared" si="15"/>
        <v>2013</v>
      </c>
    </row>
    <row r="999" spans="1:9">
      <c r="A999" s="1">
        <v>10237</v>
      </c>
      <c r="B999" s="1">
        <v>10</v>
      </c>
      <c r="C999" s="2">
        <v>41373</v>
      </c>
      <c r="D999" s="1" t="s">
        <v>2002</v>
      </c>
      <c r="E999" s="1">
        <v>100564</v>
      </c>
      <c r="F999" s="6" t="s">
        <v>3001</v>
      </c>
      <c r="G999" s="15" t="str">
        <f>VLOOKUP(A999,Movie!A:D,4,FALSE)</f>
        <v>Warner Brothers</v>
      </c>
      <c r="H999" s="14">
        <f>VLOOKUP(E999,'Rental Transaction'!A:B,2,FALSE)</f>
        <v>346006</v>
      </c>
      <c r="I999">
        <f t="shared" si="15"/>
        <v>2013</v>
      </c>
    </row>
    <row r="1000" spans="1:9">
      <c r="A1000" s="1">
        <v>10180</v>
      </c>
      <c r="B1000" s="1">
        <v>4</v>
      </c>
      <c r="C1000" s="2">
        <v>41373</v>
      </c>
      <c r="D1000" s="1" t="s">
        <v>2002</v>
      </c>
      <c r="E1000" s="1">
        <v>100565</v>
      </c>
      <c r="F1000" s="6" t="s">
        <v>3002</v>
      </c>
      <c r="G1000" s="15" t="str">
        <f>VLOOKUP(A1000,Movie!A:D,4,FALSE)</f>
        <v>Relativity</v>
      </c>
      <c r="H1000" s="14">
        <f>VLOOKUP(E1000,'Rental Transaction'!A:B,2,FALSE)</f>
        <v>995599</v>
      </c>
      <c r="I1000">
        <f t="shared" si="15"/>
        <v>2013</v>
      </c>
    </row>
    <row r="1001" spans="1:9">
      <c r="A1001" s="1">
        <v>10096</v>
      </c>
      <c r="B1001" s="1">
        <v>1</v>
      </c>
      <c r="C1001" s="2">
        <v>41373</v>
      </c>
      <c r="D1001" s="1" t="s">
        <v>2005</v>
      </c>
      <c r="E1001" s="1">
        <v>100566</v>
      </c>
      <c r="F1001" s="6" t="s">
        <v>3003</v>
      </c>
      <c r="G1001" s="15" t="str">
        <f>VLOOKUP(A1001,Movie!A:D,4,FALSE)</f>
        <v>Universal</v>
      </c>
      <c r="H1001" s="14">
        <f>VLOOKUP(E1001,'Rental Transaction'!A:B,2,FALSE)</f>
        <v>515753</v>
      </c>
      <c r="I1001">
        <f t="shared" si="15"/>
        <v>2013</v>
      </c>
    </row>
    <row r="1002" spans="1:9">
      <c r="A1002" s="1">
        <v>10161</v>
      </c>
      <c r="B1002" s="1">
        <v>1</v>
      </c>
      <c r="C1002" s="2">
        <v>41373</v>
      </c>
      <c r="D1002" s="1" t="s">
        <v>2005</v>
      </c>
      <c r="E1002" s="1">
        <v>100566</v>
      </c>
      <c r="F1002" s="6" t="s">
        <v>3004</v>
      </c>
      <c r="G1002" s="15" t="str">
        <f>VLOOKUP(A1002,Movie!A:D,4,FALSE)</f>
        <v>TriStar</v>
      </c>
      <c r="H1002" s="14">
        <f>VLOOKUP(E1002,'Rental Transaction'!A:B,2,FALSE)</f>
        <v>515753</v>
      </c>
      <c r="I1002">
        <f t="shared" si="15"/>
        <v>2013</v>
      </c>
    </row>
    <row r="1003" spans="1:9">
      <c r="A1003" s="1">
        <v>10048</v>
      </c>
      <c r="B1003" s="1">
        <v>1</v>
      </c>
      <c r="C1003" s="2">
        <v>41373</v>
      </c>
      <c r="D1003" s="1" t="s">
        <v>2002</v>
      </c>
      <c r="E1003" s="1">
        <v>100567</v>
      </c>
      <c r="F1003" s="6" t="s">
        <v>3005</v>
      </c>
      <c r="G1003" s="15" t="str">
        <f>VLOOKUP(A1003,Movie!A:D,4,FALSE)</f>
        <v>Relativity</v>
      </c>
      <c r="H1003" s="14">
        <f>VLOOKUP(E1003,'Rental Transaction'!A:B,2,FALSE)</f>
        <v>500828</v>
      </c>
      <c r="I1003">
        <f t="shared" si="15"/>
        <v>2013</v>
      </c>
    </row>
    <row r="1004" spans="1:9">
      <c r="A1004" s="1">
        <v>10046</v>
      </c>
      <c r="B1004" s="1">
        <v>7</v>
      </c>
      <c r="C1004" s="2">
        <v>41375</v>
      </c>
      <c r="D1004" s="1" t="s">
        <v>2002</v>
      </c>
      <c r="E1004" s="1">
        <v>100567</v>
      </c>
      <c r="F1004" s="6" t="s">
        <v>3006</v>
      </c>
      <c r="G1004" s="15" t="str">
        <f>VLOOKUP(A1004,Movie!A:D,4,FALSE)</f>
        <v>Sony</v>
      </c>
      <c r="H1004" s="14">
        <f>VLOOKUP(E1004,'Rental Transaction'!A:B,2,FALSE)</f>
        <v>500828</v>
      </c>
      <c r="I1004">
        <f t="shared" si="15"/>
        <v>2013</v>
      </c>
    </row>
    <row r="1005" spans="1:9">
      <c r="A1005" s="1">
        <v>10235</v>
      </c>
      <c r="B1005" s="1">
        <v>10</v>
      </c>
      <c r="C1005" s="2">
        <v>41373</v>
      </c>
      <c r="D1005" s="1" t="s">
        <v>2005</v>
      </c>
      <c r="E1005" s="1">
        <v>100567</v>
      </c>
      <c r="F1005" s="6" t="s">
        <v>3007</v>
      </c>
      <c r="G1005" s="15" t="str">
        <f>VLOOKUP(A1005,Movie!A:D,4,FALSE)</f>
        <v>Lionsgate</v>
      </c>
      <c r="H1005" s="14">
        <f>VLOOKUP(E1005,'Rental Transaction'!A:B,2,FALSE)</f>
        <v>500828</v>
      </c>
      <c r="I1005">
        <f t="shared" si="15"/>
        <v>2013</v>
      </c>
    </row>
    <row r="1006" spans="1:9">
      <c r="A1006" s="1">
        <v>10051</v>
      </c>
      <c r="B1006" s="1">
        <v>3</v>
      </c>
      <c r="C1006" s="2">
        <v>41373</v>
      </c>
      <c r="D1006" s="1" t="s">
        <v>2005</v>
      </c>
      <c r="E1006" s="1">
        <v>100568</v>
      </c>
      <c r="F1006" s="6" t="s">
        <v>3008</v>
      </c>
      <c r="G1006" s="15" t="str">
        <f>VLOOKUP(A1006,Movie!A:D,4,FALSE)</f>
        <v>Paramount</v>
      </c>
      <c r="H1006" s="14">
        <f>VLOOKUP(E1006,'Rental Transaction'!A:B,2,FALSE)</f>
        <v>926289</v>
      </c>
      <c r="I1006">
        <f t="shared" si="15"/>
        <v>2013</v>
      </c>
    </row>
    <row r="1007" spans="1:9">
      <c r="A1007" s="1">
        <v>10111</v>
      </c>
      <c r="B1007" s="1">
        <v>1</v>
      </c>
      <c r="C1007" s="2">
        <v>41374</v>
      </c>
      <c r="D1007" s="1" t="s">
        <v>2005</v>
      </c>
      <c r="E1007" s="1">
        <v>100569</v>
      </c>
      <c r="F1007" s="6" t="s">
        <v>3009</v>
      </c>
      <c r="G1007" s="15" t="str">
        <f>VLOOKUP(A1007,Movie!A:D,4,FALSE)</f>
        <v>Fox</v>
      </c>
      <c r="H1007" s="14">
        <f>VLOOKUP(E1007,'Rental Transaction'!A:B,2,FALSE)</f>
        <v>304344</v>
      </c>
      <c r="I1007">
        <f t="shared" si="15"/>
        <v>2013</v>
      </c>
    </row>
    <row r="1008" spans="1:9">
      <c r="A1008" s="1">
        <v>10228</v>
      </c>
      <c r="B1008" s="1">
        <v>7</v>
      </c>
      <c r="C1008" s="2">
        <v>41374</v>
      </c>
      <c r="D1008" s="1" t="s">
        <v>2005</v>
      </c>
      <c r="E1008" s="1">
        <v>100569</v>
      </c>
      <c r="F1008" s="6" t="s">
        <v>3010</v>
      </c>
      <c r="G1008" s="15" t="str">
        <f>VLOOKUP(A1008,Movie!A:D,4,FALSE)</f>
        <v>Universal</v>
      </c>
      <c r="H1008" s="14">
        <f>VLOOKUP(E1008,'Rental Transaction'!A:B,2,FALSE)</f>
        <v>304344</v>
      </c>
      <c r="I1008">
        <f t="shared" si="15"/>
        <v>2013</v>
      </c>
    </row>
    <row r="1009" spans="1:9">
      <c r="A1009" s="1">
        <v>10292</v>
      </c>
      <c r="B1009" s="1">
        <v>8</v>
      </c>
      <c r="C1009" s="2">
        <v>41375</v>
      </c>
      <c r="D1009" s="1" t="s">
        <v>2005</v>
      </c>
      <c r="E1009" s="1">
        <v>100569</v>
      </c>
      <c r="F1009" s="6" t="s">
        <v>3011</v>
      </c>
      <c r="G1009" s="15" t="str">
        <f>VLOOKUP(A1009,Movie!A:D,4,FALSE)</f>
        <v>Sony Classics</v>
      </c>
      <c r="H1009" s="14">
        <f>VLOOKUP(E1009,'Rental Transaction'!A:B,2,FALSE)</f>
        <v>304344</v>
      </c>
      <c r="I1009">
        <f t="shared" si="15"/>
        <v>2013</v>
      </c>
    </row>
    <row r="1010" spans="1:9">
      <c r="A1010" s="1">
        <v>10122</v>
      </c>
      <c r="B1010" s="1">
        <v>1</v>
      </c>
      <c r="C1010" s="2">
        <v>41374</v>
      </c>
      <c r="D1010" s="1" t="s">
        <v>2002</v>
      </c>
      <c r="E1010" s="1">
        <v>100570</v>
      </c>
      <c r="F1010" s="6" t="s">
        <v>3012</v>
      </c>
      <c r="G1010" s="15" t="str">
        <f>VLOOKUP(A1010,Movie!A:D,4,FALSE)</f>
        <v>Relativity</v>
      </c>
      <c r="H1010" s="14">
        <f>VLOOKUP(E1010,'Rental Transaction'!A:B,2,FALSE)</f>
        <v>741514</v>
      </c>
      <c r="I1010">
        <f t="shared" si="15"/>
        <v>2013</v>
      </c>
    </row>
    <row r="1011" spans="1:9">
      <c r="A1011" s="1">
        <v>10226</v>
      </c>
      <c r="B1011" s="1">
        <v>8</v>
      </c>
      <c r="C1011" s="2">
        <v>41374</v>
      </c>
      <c r="D1011" s="1" t="s">
        <v>2002</v>
      </c>
      <c r="E1011" s="1">
        <v>100570</v>
      </c>
      <c r="F1011" s="6" t="s">
        <v>3013</v>
      </c>
      <c r="G1011" s="15" t="str">
        <f>VLOOKUP(A1011,Movie!A:D,4,FALSE)</f>
        <v>Sony</v>
      </c>
      <c r="H1011" s="14">
        <f>VLOOKUP(E1011,'Rental Transaction'!A:B,2,FALSE)</f>
        <v>741514</v>
      </c>
      <c r="I1011">
        <f t="shared" si="15"/>
        <v>2013</v>
      </c>
    </row>
    <row r="1012" spans="1:9" ht="29.25">
      <c r="A1012" s="1">
        <v>10140</v>
      </c>
      <c r="B1012" s="1">
        <v>8</v>
      </c>
      <c r="C1012" s="2">
        <v>41374</v>
      </c>
      <c r="D1012" s="1" t="s">
        <v>2002</v>
      </c>
      <c r="E1012" s="1">
        <v>100571</v>
      </c>
      <c r="F1012" s="6" t="s">
        <v>3014</v>
      </c>
      <c r="G1012" s="15" t="str">
        <f>VLOOKUP(A1012,Movie!A:D,4,FALSE)</f>
        <v>Weinstein Company</v>
      </c>
      <c r="H1012" s="14">
        <f>VLOOKUP(E1012,'Rental Transaction'!A:B,2,FALSE)</f>
        <v>454015</v>
      </c>
      <c r="I1012">
        <f t="shared" si="15"/>
        <v>2013</v>
      </c>
    </row>
    <row r="1013" spans="1:9">
      <c r="A1013" s="1">
        <v>10122</v>
      </c>
      <c r="B1013" s="1">
        <v>2</v>
      </c>
      <c r="C1013" s="2">
        <v>41374</v>
      </c>
      <c r="D1013" s="1" t="s">
        <v>2005</v>
      </c>
      <c r="E1013" s="1">
        <v>100572</v>
      </c>
      <c r="F1013" s="6" t="s">
        <v>3015</v>
      </c>
      <c r="G1013" s="15" t="str">
        <f>VLOOKUP(A1013,Movie!A:D,4,FALSE)</f>
        <v>Relativity</v>
      </c>
      <c r="H1013" s="14">
        <f>VLOOKUP(E1013,'Rental Transaction'!A:B,2,FALSE)</f>
        <v>305005</v>
      </c>
      <c r="I1013">
        <f t="shared" si="15"/>
        <v>2013</v>
      </c>
    </row>
    <row r="1014" spans="1:9">
      <c r="A1014" s="1">
        <v>10061</v>
      </c>
      <c r="B1014" s="1">
        <v>2</v>
      </c>
      <c r="C1014" s="2">
        <v>41374</v>
      </c>
      <c r="D1014" s="1" t="s">
        <v>2005</v>
      </c>
      <c r="E1014" s="1">
        <v>100572</v>
      </c>
      <c r="F1014" s="6" t="s">
        <v>3016</v>
      </c>
      <c r="G1014" s="15" t="str">
        <f>VLOOKUP(A1014,Movie!A:D,4,FALSE)</f>
        <v>Fox</v>
      </c>
      <c r="H1014" s="14">
        <f>VLOOKUP(E1014,'Rental Transaction'!A:B,2,FALSE)</f>
        <v>305005</v>
      </c>
      <c r="I1014">
        <f t="shared" si="15"/>
        <v>2013</v>
      </c>
    </row>
    <row r="1015" spans="1:9">
      <c r="A1015" s="1">
        <v>10010</v>
      </c>
      <c r="B1015" s="1">
        <v>5</v>
      </c>
      <c r="C1015" s="2">
        <v>41374</v>
      </c>
      <c r="D1015" s="1" t="s">
        <v>2002</v>
      </c>
      <c r="E1015" s="1">
        <v>100572</v>
      </c>
      <c r="F1015" s="6" t="s">
        <v>3017</v>
      </c>
      <c r="G1015" s="15" t="str">
        <f>VLOOKUP(A1015,Movie!A:D,4,FALSE)</f>
        <v>Buena Vista</v>
      </c>
      <c r="H1015" s="14">
        <f>VLOOKUP(E1015,'Rental Transaction'!A:B,2,FALSE)</f>
        <v>305005</v>
      </c>
      <c r="I1015">
        <f t="shared" si="15"/>
        <v>2013</v>
      </c>
    </row>
    <row r="1016" spans="1:9">
      <c r="A1016" s="1">
        <v>10185</v>
      </c>
      <c r="B1016" s="1">
        <v>8</v>
      </c>
      <c r="C1016" s="2">
        <v>41375</v>
      </c>
      <c r="D1016" s="1" t="s">
        <v>2002</v>
      </c>
      <c r="E1016" s="1">
        <v>100573</v>
      </c>
      <c r="F1016" s="6" t="s">
        <v>3018</v>
      </c>
      <c r="G1016" s="15" t="str">
        <f>VLOOKUP(A1016,Movie!A:D,4,FALSE)</f>
        <v>Warner Brothers</v>
      </c>
      <c r="H1016" s="14">
        <f>VLOOKUP(E1016,'Rental Transaction'!A:B,2,FALSE)</f>
        <v>336644</v>
      </c>
      <c r="I1016">
        <f t="shared" si="15"/>
        <v>2013</v>
      </c>
    </row>
    <row r="1017" spans="1:9">
      <c r="A1017" s="1">
        <v>10021</v>
      </c>
      <c r="B1017" s="1">
        <v>8</v>
      </c>
      <c r="C1017" s="2">
        <v>41376</v>
      </c>
      <c r="D1017" s="1" t="s">
        <v>2002</v>
      </c>
      <c r="E1017" s="1">
        <v>100573</v>
      </c>
      <c r="F1017" s="6" t="s">
        <v>3019</v>
      </c>
      <c r="G1017" s="15" t="str">
        <f>VLOOKUP(A1017,Movie!A:D,4,FALSE)</f>
        <v>Paramount</v>
      </c>
      <c r="H1017" s="14">
        <f>VLOOKUP(E1017,'Rental Transaction'!A:B,2,FALSE)</f>
        <v>336644</v>
      </c>
      <c r="I1017">
        <f t="shared" si="15"/>
        <v>2013</v>
      </c>
    </row>
    <row r="1018" spans="1:9">
      <c r="A1018" s="1">
        <v>10017</v>
      </c>
      <c r="B1018" s="1">
        <v>3</v>
      </c>
      <c r="C1018" s="2">
        <v>41376</v>
      </c>
      <c r="D1018" s="1" t="s">
        <v>2002</v>
      </c>
      <c r="E1018" s="1">
        <v>100573</v>
      </c>
      <c r="F1018" s="6" t="s">
        <v>3020</v>
      </c>
      <c r="G1018" s="15" t="str">
        <f>VLOOKUP(A1018,Movie!A:D,4,FALSE)</f>
        <v>Sony</v>
      </c>
      <c r="H1018" s="14">
        <f>VLOOKUP(E1018,'Rental Transaction'!A:B,2,FALSE)</f>
        <v>336644</v>
      </c>
      <c r="I1018">
        <f t="shared" si="15"/>
        <v>2013</v>
      </c>
    </row>
    <row r="1019" spans="1:9">
      <c r="A1019" s="1">
        <v>10127</v>
      </c>
      <c r="B1019" s="1">
        <v>6</v>
      </c>
      <c r="C1019" s="2">
        <v>41376</v>
      </c>
      <c r="D1019" s="1" t="s">
        <v>2002</v>
      </c>
      <c r="E1019" s="1">
        <v>100573</v>
      </c>
      <c r="F1019" s="6" t="s">
        <v>3021</v>
      </c>
      <c r="G1019" s="15" t="str">
        <f>VLOOKUP(A1019,Movie!A:D,4,FALSE)</f>
        <v>TriStar</v>
      </c>
      <c r="H1019" s="14">
        <f>VLOOKUP(E1019,'Rental Transaction'!A:B,2,FALSE)</f>
        <v>336644</v>
      </c>
      <c r="I1019">
        <f t="shared" si="15"/>
        <v>2013</v>
      </c>
    </row>
    <row r="1020" spans="1:9">
      <c r="A1020" s="1">
        <v>10180</v>
      </c>
      <c r="B1020" s="1">
        <v>4</v>
      </c>
      <c r="C1020" s="2">
        <v>41375</v>
      </c>
      <c r="D1020" s="1" t="s">
        <v>2005</v>
      </c>
      <c r="E1020" s="1">
        <v>100574</v>
      </c>
      <c r="F1020" s="6" t="s">
        <v>3022</v>
      </c>
      <c r="G1020" s="15" t="str">
        <f>VLOOKUP(A1020,Movie!A:D,4,FALSE)</f>
        <v>Relativity</v>
      </c>
      <c r="H1020" s="14">
        <f>VLOOKUP(E1020,'Rental Transaction'!A:B,2,FALSE)</f>
        <v>305005</v>
      </c>
      <c r="I1020">
        <f t="shared" si="15"/>
        <v>2013</v>
      </c>
    </row>
    <row r="1021" spans="1:9">
      <c r="A1021" s="1">
        <v>10061</v>
      </c>
      <c r="B1021" s="1">
        <v>9</v>
      </c>
      <c r="C1021" s="2">
        <v>41376</v>
      </c>
      <c r="D1021" s="1" t="s">
        <v>2002</v>
      </c>
      <c r="E1021" s="1">
        <v>100574</v>
      </c>
      <c r="F1021" s="6" t="s">
        <v>3023</v>
      </c>
      <c r="G1021" s="15" t="str">
        <f>VLOOKUP(A1021,Movie!A:D,4,FALSE)</f>
        <v>Fox</v>
      </c>
      <c r="H1021" s="14">
        <f>VLOOKUP(E1021,'Rental Transaction'!A:B,2,FALSE)</f>
        <v>305005</v>
      </c>
      <c r="I1021">
        <f t="shared" si="15"/>
        <v>2013</v>
      </c>
    </row>
    <row r="1022" spans="1:9">
      <c r="A1022" s="1">
        <v>10265</v>
      </c>
      <c r="B1022" s="1">
        <v>5</v>
      </c>
      <c r="C1022" s="2">
        <v>41375</v>
      </c>
      <c r="D1022" s="1" t="s">
        <v>2005</v>
      </c>
      <c r="E1022" s="1">
        <v>100575</v>
      </c>
      <c r="F1022" s="6" t="s">
        <v>3024</v>
      </c>
      <c r="G1022" s="15" t="str">
        <f>VLOOKUP(A1022,Movie!A:D,4,FALSE)</f>
        <v>Warner Brothers</v>
      </c>
      <c r="H1022" s="14">
        <f>VLOOKUP(E1022,'Rental Transaction'!A:B,2,FALSE)</f>
        <v>921792</v>
      </c>
      <c r="I1022">
        <f t="shared" si="15"/>
        <v>2013</v>
      </c>
    </row>
    <row r="1023" spans="1:9">
      <c r="A1023" s="1">
        <v>10263</v>
      </c>
      <c r="B1023" s="1">
        <v>4</v>
      </c>
      <c r="C1023" s="2">
        <v>41377</v>
      </c>
      <c r="D1023" s="1" t="s">
        <v>2005</v>
      </c>
      <c r="E1023" s="1">
        <v>100575</v>
      </c>
      <c r="F1023" s="6" t="s">
        <v>3025</v>
      </c>
      <c r="G1023" s="15" t="str">
        <f>VLOOKUP(A1023,Movie!A:D,4,FALSE)</f>
        <v>Fox</v>
      </c>
      <c r="H1023" s="14">
        <f>VLOOKUP(E1023,'Rental Transaction'!A:B,2,FALSE)</f>
        <v>921792</v>
      </c>
      <c r="I1023">
        <f t="shared" si="15"/>
        <v>2013</v>
      </c>
    </row>
    <row r="1024" spans="1:9">
      <c r="A1024" s="1">
        <v>10197</v>
      </c>
      <c r="B1024" s="1">
        <v>8</v>
      </c>
      <c r="C1024" s="2">
        <v>41375</v>
      </c>
      <c r="D1024" s="1" t="s">
        <v>2002</v>
      </c>
      <c r="E1024" s="1">
        <v>100576</v>
      </c>
      <c r="F1024" s="6" t="s">
        <v>3026</v>
      </c>
      <c r="G1024" s="15" t="str">
        <f>VLOOKUP(A1024,Movie!A:D,4,FALSE)</f>
        <v>Warner Brothers</v>
      </c>
      <c r="H1024" s="14">
        <f>VLOOKUP(E1024,'Rental Transaction'!A:B,2,FALSE)</f>
        <v>739440</v>
      </c>
      <c r="I1024">
        <f t="shared" si="15"/>
        <v>2013</v>
      </c>
    </row>
    <row r="1025" spans="1:9">
      <c r="A1025" s="1">
        <v>10139</v>
      </c>
      <c r="B1025" s="1">
        <v>8</v>
      </c>
      <c r="C1025" s="2">
        <v>41375</v>
      </c>
      <c r="D1025" s="1" t="s">
        <v>2005</v>
      </c>
      <c r="E1025" s="1">
        <v>100576</v>
      </c>
      <c r="F1025" s="6" t="s">
        <v>3027</v>
      </c>
      <c r="G1025" s="15" t="str">
        <f>VLOOKUP(A1025,Movie!A:D,4,FALSE)</f>
        <v>Focus</v>
      </c>
      <c r="H1025" s="14">
        <f>VLOOKUP(E1025,'Rental Transaction'!A:B,2,FALSE)</f>
        <v>739440</v>
      </c>
      <c r="I1025">
        <f t="shared" si="15"/>
        <v>2013</v>
      </c>
    </row>
    <row r="1026" spans="1:9">
      <c r="A1026" s="1">
        <v>10152</v>
      </c>
      <c r="B1026" s="1">
        <v>6</v>
      </c>
      <c r="C1026" s="2">
        <v>41375</v>
      </c>
      <c r="D1026" s="1" t="s">
        <v>2005</v>
      </c>
      <c r="E1026" s="1">
        <v>100576</v>
      </c>
      <c r="F1026" s="6" t="s">
        <v>3028</v>
      </c>
      <c r="G1026" s="15" t="str">
        <f>VLOOKUP(A1026,Movie!A:D,4,FALSE)</f>
        <v>FilmDistrict</v>
      </c>
      <c r="H1026" s="14">
        <f>VLOOKUP(E1026,'Rental Transaction'!A:B,2,FALSE)</f>
        <v>739440</v>
      </c>
      <c r="I1026">
        <f t="shared" si="15"/>
        <v>2013</v>
      </c>
    </row>
    <row r="1027" spans="1:9">
      <c r="A1027" s="1">
        <v>10186</v>
      </c>
      <c r="B1027" s="1">
        <v>7</v>
      </c>
      <c r="C1027" s="2">
        <v>41375</v>
      </c>
      <c r="D1027" s="1" t="s">
        <v>2005</v>
      </c>
      <c r="E1027" s="1">
        <v>100577</v>
      </c>
      <c r="F1027" s="6" t="s">
        <v>3029</v>
      </c>
      <c r="G1027" s="15" t="str">
        <f>VLOOKUP(A1027,Movie!A:D,4,FALSE)</f>
        <v>Lionsgate</v>
      </c>
      <c r="H1027" s="14">
        <f>VLOOKUP(E1027,'Rental Transaction'!A:B,2,FALSE)</f>
        <v>567388</v>
      </c>
      <c r="I1027">
        <f t="shared" ref="I1027:I1090" si="16">YEAR(C1027)</f>
        <v>2013</v>
      </c>
    </row>
    <row r="1028" spans="1:9">
      <c r="A1028" s="1">
        <v>10211</v>
      </c>
      <c r="B1028" s="1">
        <v>7</v>
      </c>
      <c r="C1028" s="2">
        <v>41376</v>
      </c>
      <c r="D1028" s="1" t="s">
        <v>2002</v>
      </c>
      <c r="E1028" s="1">
        <v>100577</v>
      </c>
      <c r="F1028" s="6" t="s">
        <v>3030</v>
      </c>
      <c r="G1028" s="15" t="str">
        <f>VLOOKUP(A1028,Movie!A:D,4,FALSE)</f>
        <v>Buena Vista</v>
      </c>
      <c r="H1028" s="14">
        <f>VLOOKUP(E1028,'Rental Transaction'!A:B,2,FALSE)</f>
        <v>567388</v>
      </c>
      <c r="I1028">
        <f t="shared" si="16"/>
        <v>2013</v>
      </c>
    </row>
    <row r="1029" spans="1:9" ht="29.25">
      <c r="A1029" s="1">
        <v>10249</v>
      </c>
      <c r="B1029" s="1">
        <v>1</v>
      </c>
      <c r="C1029" s="2">
        <v>41375</v>
      </c>
      <c r="D1029" s="1" t="s">
        <v>2002</v>
      </c>
      <c r="E1029" s="1">
        <v>100577</v>
      </c>
      <c r="F1029" s="6" t="s">
        <v>3031</v>
      </c>
      <c r="G1029" s="15" t="str">
        <f>VLOOKUP(A1029,Movie!A:D,4,FALSE)</f>
        <v>Summit Entertainment</v>
      </c>
      <c r="H1029" s="14">
        <f>VLOOKUP(E1029,'Rental Transaction'!A:B,2,FALSE)</f>
        <v>567388</v>
      </c>
      <c r="I1029">
        <f t="shared" si="16"/>
        <v>2013</v>
      </c>
    </row>
    <row r="1030" spans="1:9">
      <c r="A1030" s="1">
        <v>10064</v>
      </c>
      <c r="B1030" s="1">
        <v>2</v>
      </c>
      <c r="C1030" s="2">
        <v>41375</v>
      </c>
      <c r="D1030" s="1" t="s">
        <v>2002</v>
      </c>
      <c r="E1030" s="1">
        <v>100577</v>
      </c>
      <c r="F1030" s="6" t="s">
        <v>3032</v>
      </c>
      <c r="G1030" s="15" t="str">
        <f>VLOOKUP(A1030,Movie!A:D,4,FALSE)</f>
        <v>Universal</v>
      </c>
      <c r="H1030" s="14">
        <f>VLOOKUP(E1030,'Rental Transaction'!A:B,2,FALSE)</f>
        <v>567388</v>
      </c>
      <c r="I1030">
        <f t="shared" si="16"/>
        <v>2013</v>
      </c>
    </row>
    <row r="1031" spans="1:9">
      <c r="A1031" s="1">
        <v>10024</v>
      </c>
      <c r="B1031" s="1">
        <v>4</v>
      </c>
      <c r="C1031" s="2">
        <v>41375</v>
      </c>
      <c r="D1031" s="1" t="s">
        <v>2002</v>
      </c>
      <c r="E1031" s="1">
        <v>100578</v>
      </c>
      <c r="F1031" s="6" t="s">
        <v>3033</v>
      </c>
      <c r="G1031" s="15" t="str">
        <f>VLOOKUP(A1031,Movie!A:D,4,FALSE)</f>
        <v>Fox</v>
      </c>
      <c r="H1031" s="14">
        <f>VLOOKUP(E1031,'Rental Transaction'!A:B,2,FALSE)</f>
        <v>214537</v>
      </c>
      <c r="I1031">
        <f t="shared" si="16"/>
        <v>2013</v>
      </c>
    </row>
    <row r="1032" spans="1:9">
      <c r="A1032" s="1">
        <v>10132</v>
      </c>
      <c r="B1032" s="1">
        <v>1</v>
      </c>
      <c r="C1032" s="2">
        <v>41375</v>
      </c>
      <c r="D1032" s="1" t="s">
        <v>2005</v>
      </c>
      <c r="E1032" s="1">
        <v>100578</v>
      </c>
      <c r="F1032" s="6" t="s">
        <v>3034</v>
      </c>
      <c r="G1032" s="15" t="str">
        <f>VLOOKUP(A1032,Movie!A:D,4,FALSE)</f>
        <v>Lionsgate</v>
      </c>
      <c r="H1032" s="14">
        <f>VLOOKUP(E1032,'Rental Transaction'!A:B,2,FALSE)</f>
        <v>214537</v>
      </c>
      <c r="I1032">
        <f t="shared" si="16"/>
        <v>2013</v>
      </c>
    </row>
    <row r="1033" spans="1:9">
      <c r="A1033" s="1">
        <v>10205</v>
      </c>
      <c r="B1033" s="1">
        <v>2</v>
      </c>
      <c r="C1033" s="2">
        <v>41375</v>
      </c>
      <c r="D1033" s="1" t="s">
        <v>2005</v>
      </c>
      <c r="E1033" s="1">
        <v>100578</v>
      </c>
      <c r="F1033" s="6" t="s">
        <v>3035</v>
      </c>
      <c r="G1033" s="15" t="str">
        <f>VLOOKUP(A1033,Movie!A:D,4,FALSE)</f>
        <v>Paramount</v>
      </c>
      <c r="H1033" s="14">
        <f>VLOOKUP(E1033,'Rental Transaction'!A:B,2,FALSE)</f>
        <v>214537</v>
      </c>
      <c r="I1033">
        <f t="shared" si="16"/>
        <v>2013</v>
      </c>
    </row>
    <row r="1034" spans="1:9">
      <c r="A1034" s="1">
        <v>10208</v>
      </c>
      <c r="B1034" s="1">
        <v>1</v>
      </c>
      <c r="C1034" s="2">
        <v>41376</v>
      </c>
      <c r="D1034" s="1" t="s">
        <v>2002</v>
      </c>
      <c r="E1034" s="1">
        <v>100578</v>
      </c>
      <c r="F1034" s="6" t="s">
        <v>3036</v>
      </c>
      <c r="G1034" s="15" t="str">
        <f>VLOOKUP(A1034,Movie!A:D,4,FALSE)</f>
        <v>Warner Brothers</v>
      </c>
      <c r="H1034" s="14">
        <f>VLOOKUP(E1034,'Rental Transaction'!A:B,2,FALSE)</f>
        <v>214537</v>
      </c>
      <c r="I1034">
        <f t="shared" si="16"/>
        <v>2013</v>
      </c>
    </row>
    <row r="1035" spans="1:9">
      <c r="A1035" s="1">
        <v>10281</v>
      </c>
      <c r="B1035" s="1">
        <v>7</v>
      </c>
      <c r="C1035" s="2">
        <v>41377</v>
      </c>
      <c r="D1035" s="1" t="s">
        <v>2002</v>
      </c>
      <c r="E1035" s="1">
        <v>100579</v>
      </c>
      <c r="F1035" s="6" t="s">
        <v>3037</v>
      </c>
      <c r="G1035" s="15" t="str">
        <f>VLOOKUP(A1035,Movie!A:D,4,FALSE)</f>
        <v>Lionsgate</v>
      </c>
      <c r="H1035" s="14">
        <f>VLOOKUP(E1035,'Rental Transaction'!A:B,2,FALSE)</f>
        <v>643305</v>
      </c>
      <c r="I1035">
        <f t="shared" si="16"/>
        <v>2013</v>
      </c>
    </row>
    <row r="1036" spans="1:9">
      <c r="A1036" s="1">
        <v>10031</v>
      </c>
      <c r="B1036" s="1">
        <v>9</v>
      </c>
      <c r="C1036" s="2">
        <v>41377</v>
      </c>
      <c r="D1036" s="1" t="s">
        <v>2002</v>
      </c>
      <c r="E1036" s="1">
        <v>100579</v>
      </c>
      <c r="F1036" s="6" t="s">
        <v>3038</v>
      </c>
      <c r="G1036" s="15" t="str">
        <f>VLOOKUP(A1036,Movie!A:D,4,FALSE)</f>
        <v>Warner Brothers</v>
      </c>
      <c r="H1036" s="14">
        <f>VLOOKUP(E1036,'Rental Transaction'!A:B,2,FALSE)</f>
        <v>643305</v>
      </c>
      <c r="I1036">
        <f t="shared" si="16"/>
        <v>2013</v>
      </c>
    </row>
    <row r="1037" spans="1:9">
      <c r="A1037" s="1">
        <v>10220</v>
      </c>
      <c r="B1037" s="1">
        <v>3</v>
      </c>
      <c r="C1037" s="2">
        <v>41378</v>
      </c>
      <c r="D1037" s="1" t="s">
        <v>2002</v>
      </c>
      <c r="E1037" s="1">
        <v>100579</v>
      </c>
      <c r="F1037" s="6" t="s">
        <v>3039</v>
      </c>
      <c r="G1037" s="15" t="str">
        <f>VLOOKUP(A1037,Movie!A:D,4,FALSE)</f>
        <v>Fox</v>
      </c>
      <c r="H1037" s="14">
        <f>VLOOKUP(E1037,'Rental Transaction'!A:B,2,FALSE)</f>
        <v>643305</v>
      </c>
      <c r="I1037">
        <f t="shared" si="16"/>
        <v>2013</v>
      </c>
    </row>
    <row r="1038" spans="1:9">
      <c r="A1038" s="1">
        <v>10291</v>
      </c>
      <c r="B1038" s="1">
        <v>8</v>
      </c>
      <c r="C1038" s="2">
        <v>41377</v>
      </c>
      <c r="D1038" s="1" t="s">
        <v>2005</v>
      </c>
      <c r="E1038" s="1">
        <v>100580</v>
      </c>
      <c r="F1038" s="6" t="s">
        <v>3040</v>
      </c>
      <c r="G1038" s="15" t="str">
        <f>VLOOKUP(A1038,Movie!A:D,4,FALSE)</f>
        <v>Warner Brothers</v>
      </c>
      <c r="H1038" s="14">
        <f>VLOOKUP(E1038,'Rental Transaction'!A:B,2,FALSE)</f>
        <v>884607</v>
      </c>
      <c r="I1038">
        <f t="shared" si="16"/>
        <v>2013</v>
      </c>
    </row>
    <row r="1039" spans="1:9">
      <c r="A1039" s="1">
        <v>10271</v>
      </c>
      <c r="B1039" s="1">
        <v>5</v>
      </c>
      <c r="C1039" s="2">
        <v>41376</v>
      </c>
      <c r="D1039" s="1" t="s">
        <v>2005</v>
      </c>
      <c r="E1039" s="1">
        <v>100581</v>
      </c>
      <c r="F1039" s="6" t="s">
        <v>3041</v>
      </c>
      <c r="G1039" s="15" t="str">
        <f>VLOOKUP(A1039,Movie!A:D,4,FALSE)</f>
        <v>Universal</v>
      </c>
      <c r="H1039" s="14">
        <f>VLOOKUP(E1039,'Rental Transaction'!A:B,2,FALSE)</f>
        <v>734624</v>
      </c>
      <c r="I1039">
        <f t="shared" si="16"/>
        <v>2013</v>
      </c>
    </row>
    <row r="1040" spans="1:9">
      <c r="A1040" s="1">
        <v>10234</v>
      </c>
      <c r="B1040" s="1">
        <v>6</v>
      </c>
      <c r="C1040" s="2">
        <v>41376</v>
      </c>
      <c r="D1040" s="1" t="s">
        <v>2002</v>
      </c>
      <c r="E1040" s="1">
        <v>100582</v>
      </c>
      <c r="F1040" s="6" t="s">
        <v>3042</v>
      </c>
      <c r="G1040" s="15" t="str">
        <f>VLOOKUP(A1040,Movie!A:D,4,FALSE)</f>
        <v>Warner Brothers</v>
      </c>
      <c r="H1040" s="14">
        <f>VLOOKUP(E1040,'Rental Transaction'!A:B,2,FALSE)</f>
        <v>885548</v>
      </c>
      <c r="I1040">
        <f t="shared" si="16"/>
        <v>2013</v>
      </c>
    </row>
    <row r="1041" spans="1:9">
      <c r="A1041" s="1">
        <v>10133</v>
      </c>
      <c r="B1041" s="1">
        <v>2</v>
      </c>
      <c r="C1041" s="2">
        <v>41376</v>
      </c>
      <c r="D1041" s="1" t="s">
        <v>2005</v>
      </c>
      <c r="E1041" s="1">
        <v>100583</v>
      </c>
      <c r="F1041" s="6" t="s">
        <v>3043</v>
      </c>
      <c r="G1041" s="15" t="str">
        <f>VLOOKUP(A1041,Movie!A:D,4,FALSE)</f>
        <v>Fox</v>
      </c>
      <c r="H1041" s="14">
        <f>VLOOKUP(E1041,'Rental Transaction'!A:B,2,FALSE)</f>
        <v>249188</v>
      </c>
      <c r="I1041">
        <f t="shared" si="16"/>
        <v>2013</v>
      </c>
    </row>
    <row r="1042" spans="1:9">
      <c r="A1042" s="1">
        <v>10014</v>
      </c>
      <c r="B1042" s="1">
        <v>6</v>
      </c>
      <c r="C1042" s="2">
        <v>41376</v>
      </c>
      <c r="D1042" s="1" t="s">
        <v>2005</v>
      </c>
      <c r="E1042" s="1">
        <v>100584</v>
      </c>
      <c r="F1042" s="6" t="s">
        <v>3044</v>
      </c>
      <c r="G1042" s="15" t="str">
        <f>VLOOKUP(A1042,Movie!A:D,4,FALSE)</f>
        <v>Warner Brothers</v>
      </c>
      <c r="H1042" s="14">
        <f>VLOOKUP(E1042,'Rental Transaction'!A:B,2,FALSE)</f>
        <v>464782</v>
      </c>
      <c r="I1042">
        <f t="shared" si="16"/>
        <v>2013</v>
      </c>
    </row>
    <row r="1043" spans="1:9">
      <c r="A1043" s="1">
        <v>10110</v>
      </c>
      <c r="B1043" s="1">
        <v>5</v>
      </c>
      <c r="C1043" s="2">
        <v>41377</v>
      </c>
      <c r="D1043" s="1" t="s">
        <v>2005</v>
      </c>
      <c r="E1043" s="1">
        <v>100584</v>
      </c>
      <c r="F1043" s="6" t="s">
        <v>3045</v>
      </c>
      <c r="G1043" s="15" t="str">
        <f>VLOOKUP(A1043,Movie!A:D,4,FALSE)</f>
        <v>Warner Brothers</v>
      </c>
      <c r="H1043" s="14">
        <f>VLOOKUP(E1043,'Rental Transaction'!A:B,2,FALSE)</f>
        <v>464782</v>
      </c>
      <c r="I1043">
        <f t="shared" si="16"/>
        <v>2013</v>
      </c>
    </row>
    <row r="1044" spans="1:9">
      <c r="A1044" s="1">
        <v>10101</v>
      </c>
      <c r="B1044" s="1">
        <v>2</v>
      </c>
      <c r="C1044" s="2">
        <v>41377</v>
      </c>
      <c r="D1044" s="1" t="s">
        <v>2005</v>
      </c>
      <c r="E1044" s="1">
        <v>100584</v>
      </c>
      <c r="F1044" s="6" t="s">
        <v>3046</v>
      </c>
      <c r="G1044" s="15" t="str">
        <f>VLOOKUP(A1044,Movie!A:D,4,FALSE)</f>
        <v>Sony</v>
      </c>
      <c r="H1044" s="14">
        <f>VLOOKUP(E1044,'Rental Transaction'!A:B,2,FALSE)</f>
        <v>464782</v>
      </c>
      <c r="I1044">
        <f t="shared" si="16"/>
        <v>2013</v>
      </c>
    </row>
    <row r="1045" spans="1:9">
      <c r="A1045" s="1">
        <v>10260</v>
      </c>
      <c r="B1045" s="1">
        <v>8</v>
      </c>
      <c r="C1045" s="2">
        <v>41376</v>
      </c>
      <c r="D1045" s="1" t="s">
        <v>2005</v>
      </c>
      <c r="E1045" s="1">
        <v>100585</v>
      </c>
      <c r="F1045" s="6" t="s">
        <v>3047</v>
      </c>
      <c r="G1045" s="15" t="str">
        <f>VLOOKUP(A1045,Movie!A:D,4,FALSE)</f>
        <v>Sony</v>
      </c>
      <c r="H1045" s="14">
        <f>VLOOKUP(E1045,'Rental Transaction'!A:B,2,FALSE)</f>
        <v>748326</v>
      </c>
      <c r="I1045">
        <f t="shared" si="16"/>
        <v>2013</v>
      </c>
    </row>
    <row r="1046" spans="1:9">
      <c r="A1046" s="1">
        <v>10253</v>
      </c>
      <c r="B1046" s="1">
        <v>3</v>
      </c>
      <c r="C1046" s="2">
        <v>41377</v>
      </c>
      <c r="D1046" s="1" t="s">
        <v>2002</v>
      </c>
      <c r="E1046" s="1">
        <v>100586</v>
      </c>
      <c r="F1046" s="6" t="s">
        <v>3048</v>
      </c>
      <c r="G1046" s="15" t="str">
        <f>VLOOKUP(A1046,Movie!A:D,4,FALSE)</f>
        <v>Buena Vista</v>
      </c>
      <c r="H1046" s="14">
        <f>VLOOKUP(E1046,'Rental Transaction'!A:B,2,FALSE)</f>
        <v>415869</v>
      </c>
      <c r="I1046">
        <f t="shared" si="16"/>
        <v>2013</v>
      </c>
    </row>
    <row r="1047" spans="1:9">
      <c r="A1047" s="1">
        <v>10162</v>
      </c>
      <c r="B1047" s="1">
        <v>4</v>
      </c>
      <c r="C1047" s="2">
        <v>41377</v>
      </c>
      <c r="D1047" s="1" t="s">
        <v>2002</v>
      </c>
      <c r="E1047" s="1">
        <v>100587</v>
      </c>
      <c r="F1047" s="6" t="s">
        <v>3049</v>
      </c>
      <c r="G1047" s="15" t="str">
        <f>VLOOKUP(A1047,Movie!A:D,4,FALSE)</f>
        <v>Sony</v>
      </c>
      <c r="H1047" s="14">
        <f>VLOOKUP(E1047,'Rental Transaction'!A:B,2,FALSE)</f>
        <v>825249</v>
      </c>
      <c r="I1047">
        <f t="shared" si="16"/>
        <v>2013</v>
      </c>
    </row>
    <row r="1048" spans="1:9">
      <c r="A1048" s="1">
        <v>10223</v>
      </c>
      <c r="B1048" s="1">
        <v>5</v>
      </c>
      <c r="C1048" s="2">
        <v>41377</v>
      </c>
      <c r="D1048" s="1" t="s">
        <v>2005</v>
      </c>
      <c r="E1048" s="1">
        <v>100587</v>
      </c>
      <c r="F1048" s="6" t="s">
        <v>3050</v>
      </c>
      <c r="G1048" s="15" t="str">
        <f>VLOOKUP(A1048,Movie!A:D,4,FALSE)</f>
        <v>Universal</v>
      </c>
      <c r="H1048" s="14">
        <f>VLOOKUP(E1048,'Rental Transaction'!A:B,2,FALSE)</f>
        <v>825249</v>
      </c>
      <c r="I1048">
        <f t="shared" si="16"/>
        <v>2013</v>
      </c>
    </row>
    <row r="1049" spans="1:9">
      <c r="A1049" s="1">
        <v>10029</v>
      </c>
      <c r="B1049" s="1">
        <v>5</v>
      </c>
      <c r="C1049" s="2">
        <v>41377</v>
      </c>
      <c r="D1049" s="1" t="s">
        <v>2002</v>
      </c>
      <c r="E1049" s="1">
        <v>100588</v>
      </c>
      <c r="F1049" s="6" t="s">
        <v>3051</v>
      </c>
      <c r="G1049" s="15" t="str">
        <f>VLOOKUP(A1049,Movie!A:D,4,FALSE)</f>
        <v>Relativity</v>
      </c>
      <c r="H1049" s="14">
        <f>VLOOKUP(E1049,'Rental Transaction'!A:B,2,FALSE)</f>
        <v>817159</v>
      </c>
      <c r="I1049">
        <f t="shared" si="16"/>
        <v>2013</v>
      </c>
    </row>
    <row r="1050" spans="1:9">
      <c r="A1050" s="1">
        <v>10226</v>
      </c>
      <c r="B1050" s="1">
        <v>1</v>
      </c>
      <c r="C1050" s="2">
        <v>41378</v>
      </c>
      <c r="D1050" s="1" t="s">
        <v>2002</v>
      </c>
      <c r="E1050" s="1">
        <v>100588</v>
      </c>
      <c r="F1050" s="6" t="s">
        <v>3052</v>
      </c>
      <c r="G1050" s="15" t="str">
        <f>VLOOKUP(A1050,Movie!A:D,4,FALSE)</f>
        <v>Sony</v>
      </c>
      <c r="H1050" s="14">
        <f>VLOOKUP(E1050,'Rental Transaction'!A:B,2,FALSE)</f>
        <v>817159</v>
      </c>
      <c r="I1050">
        <f t="shared" si="16"/>
        <v>2013</v>
      </c>
    </row>
    <row r="1051" spans="1:9">
      <c r="A1051" s="1">
        <v>10263</v>
      </c>
      <c r="B1051" s="1">
        <v>5</v>
      </c>
      <c r="C1051" s="2">
        <v>41377</v>
      </c>
      <c r="D1051" s="1" t="s">
        <v>2005</v>
      </c>
      <c r="E1051" s="1">
        <v>100589</v>
      </c>
      <c r="F1051" s="6" t="s">
        <v>3053</v>
      </c>
      <c r="G1051" s="15" t="str">
        <f>VLOOKUP(A1051,Movie!A:D,4,FALSE)</f>
        <v>Fox</v>
      </c>
      <c r="H1051" s="14">
        <f>VLOOKUP(E1051,'Rental Transaction'!A:B,2,FALSE)</f>
        <v>771285</v>
      </c>
      <c r="I1051">
        <f t="shared" si="16"/>
        <v>2013</v>
      </c>
    </row>
    <row r="1052" spans="1:9">
      <c r="A1052" s="1">
        <v>10082</v>
      </c>
      <c r="B1052" s="1">
        <v>3</v>
      </c>
      <c r="C1052" s="2">
        <v>41377</v>
      </c>
      <c r="D1052" s="1" t="s">
        <v>2002</v>
      </c>
      <c r="E1052" s="1">
        <v>100590</v>
      </c>
      <c r="F1052" s="6" t="s">
        <v>3054</v>
      </c>
      <c r="G1052" s="15" t="str">
        <f>VLOOKUP(A1052,Movie!A:D,4,FALSE)</f>
        <v>Buena Vista</v>
      </c>
      <c r="H1052" s="14">
        <f>VLOOKUP(E1052,'Rental Transaction'!A:B,2,FALSE)</f>
        <v>227456</v>
      </c>
      <c r="I1052">
        <f t="shared" si="16"/>
        <v>2013</v>
      </c>
    </row>
    <row r="1053" spans="1:9" ht="29.25">
      <c r="A1053" s="1">
        <v>10249</v>
      </c>
      <c r="B1053" s="1">
        <v>5</v>
      </c>
      <c r="C1053" s="2">
        <v>41377</v>
      </c>
      <c r="D1053" s="1" t="s">
        <v>2005</v>
      </c>
      <c r="E1053" s="1">
        <v>100591</v>
      </c>
      <c r="F1053" s="6" t="s">
        <v>3055</v>
      </c>
      <c r="G1053" s="15" t="str">
        <f>VLOOKUP(A1053,Movie!A:D,4,FALSE)</f>
        <v>Summit Entertainment</v>
      </c>
      <c r="H1053" s="14">
        <f>VLOOKUP(E1053,'Rental Transaction'!A:B,2,FALSE)</f>
        <v>862302</v>
      </c>
      <c r="I1053">
        <f t="shared" si="16"/>
        <v>2013</v>
      </c>
    </row>
    <row r="1054" spans="1:9">
      <c r="A1054" s="1">
        <v>10033</v>
      </c>
      <c r="B1054" s="1">
        <v>9</v>
      </c>
      <c r="C1054" s="2">
        <v>41378</v>
      </c>
      <c r="D1054" s="1" t="s">
        <v>2002</v>
      </c>
      <c r="E1054" s="1">
        <v>100592</v>
      </c>
      <c r="F1054" s="6" t="s">
        <v>3056</v>
      </c>
      <c r="G1054" s="15" t="str">
        <f>VLOOKUP(A1054,Movie!A:D,4,FALSE)</f>
        <v>Lionsgate</v>
      </c>
      <c r="H1054" s="14">
        <f>VLOOKUP(E1054,'Rental Transaction'!A:B,2,FALSE)</f>
        <v>879173</v>
      </c>
      <c r="I1054">
        <f t="shared" si="16"/>
        <v>2013</v>
      </c>
    </row>
    <row r="1055" spans="1:9">
      <c r="A1055" s="1">
        <v>10274</v>
      </c>
      <c r="B1055" s="1">
        <v>8</v>
      </c>
      <c r="C1055" s="2">
        <v>41378</v>
      </c>
      <c r="D1055" s="1" t="s">
        <v>2002</v>
      </c>
      <c r="E1055" s="1">
        <v>100592</v>
      </c>
      <c r="F1055" s="6" t="s">
        <v>3057</v>
      </c>
      <c r="G1055" s="15" t="str">
        <f>VLOOKUP(A1055,Movie!A:D,4,FALSE)</f>
        <v>Fox</v>
      </c>
      <c r="H1055" s="14">
        <f>VLOOKUP(E1055,'Rental Transaction'!A:B,2,FALSE)</f>
        <v>879173</v>
      </c>
      <c r="I1055">
        <f t="shared" si="16"/>
        <v>2013</v>
      </c>
    </row>
    <row r="1056" spans="1:9">
      <c r="A1056" s="1">
        <v>10287</v>
      </c>
      <c r="B1056" s="1">
        <v>5</v>
      </c>
      <c r="C1056" s="2">
        <v>41379</v>
      </c>
      <c r="D1056" s="1" t="s">
        <v>2005</v>
      </c>
      <c r="E1056" s="1">
        <v>100592</v>
      </c>
      <c r="F1056" s="6" t="s">
        <v>3058</v>
      </c>
      <c r="G1056" s="15" t="str">
        <f>VLOOKUP(A1056,Movie!A:D,4,FALSE)</f>
        <v>Lionsgate</v>
      </c>
      <c r="H1056" s="14">
        <f>VLOOKUP(E1056,'Rental Transaction'!A:B,2,FALSE)</f>
        <v>879173</v>
      </c>
      <c r="I1056">
        <f t="shared" si="16"/>
        <v>2013</v>
      </c>
    </row>
    <row r="1057" spans="1:9">
      <c r="A1057" s="1">
        <v>10098</v>
      </c>
      <c r="B1057" s="1">
        <v>8</v>
      </c>
      <c r="C1057" s="2">
        <v>41379</v>
      </c>
      <c r="D1057" s="1" t="s">
        <v>2002</v>
      </c>
      <c r="E1057" s="1">
        <v>100593</v>
      </c>
      <c r="F1057" s="6" t="s">
        <v>3059</v>
      </c>
      <c r="G1057" s="15" t="str">
        <f>VLOOKUP(A1057,Movie!A:D,4,FALSE)</f>
        <v>Warner Brothers</v>
      </c>
      <c r="H1057" s="14">
        <f>VLOOKUP(E1057,'Rental Transaction'!A:B,2,FALSE)</f>
        <v>459243</v>
      </c>
      <c r="I1057">
        <f t="shared" si="16"/>
        <v>2013</v>
      </c>
    </row>
    <row r="1058" spans="1:9">
      <c r="A1058" s="1">
        <v>10018</v>
      </c>
      <c r="B1058" s="1">
        <v>1</v>
      </c>
      <c r="C1058" s="2">
        <v>41378</v>
      </c>
      <c r="D1058" s="1" t="s">
        <v>2005</v>
      </c>
      <c r="E1058" s="1">
        <v>100594</v>
      </c>
      <c r="F1058" s="6" t="s">
        <v>3060</v>
      </c>
      <c r="G1058" s="15" t="str">
        <f>VLOOKUP(A1058,Movie!A:D,4,FALSE)</f>
        <v>Fox</v>
      </c>
      <c r="H1058" s="14">
        <f>VLOOKUP(E1058,'Rental Transaction'!A:B,2,FALSE)</f>
        <v>418635</v>
      </c>
      <c r="I1058">
        <f t="shared" si="16"/>
        <v>2013</v>
      </c>
    </row>
    <row r="1059" spans="1:9">
      <c r="A1059" s="1">
        <v>10192</v>
      </c>
      <c r="B1059" s="1">
        <v>9</v>
      </c>
      <c r="C1059" s="2">
        <v>41378</v>
      </c>
      <c r="D1059" s="1" t="s">
        <v>2002</v>
      </c>
      <c r="E1059" s="1">
        <v>100595</v>
      </c>
      <c r="F1059" s="6" t="s">
        <v>3061</v>
      </c>
      <c r="G1059" s="15" t="str">
        <f>VLOOKUP(A1059,Movie!A:D,4,FALSE)</f>
        <v>Universal</v>
      </c>
      <c r="H1059" s="14">
        <f>VLOOKUP(E1059,'Rental Transaction'!A:B,2,FALSE)</f>
        <v>278204</v>
      </c>
      <c r="I1059">
        <f t="shared" si="16"/>
        <v>2013</v>
      </c>
    </row>
    <row r="1060" spans="1:9">
      <c r="A1060" s="1">
        <v>10149</v>
      </c>
      <c r="B1060" s="1">
        <v>9</v>
      </c>
      <c r="C1060" s="2">
        <v>41381</v>
      </c>
      <c r="D1060" s="1" t="s">
        <v>2002</v>
      </c>
      <c r="E1060" s="1">
        <v>100596</v>
      </c>
      <c r="F1060" s="6" t="s">
        <v>3062</v>
      </c>
      <c r="G1060" s="15" t="str">
        <f>VLOOKUP(A1060,Movie!A:D,4,FALSE)</f>
        <v>Relativity</v>
      </c>
      <c r="H1060" s="14">
        <f>VLOOKUP(E1060,'Rental Transaction'!A:B,2,FALSE)</f>
        <v>643214</v>
      </c>
      <c r="I1060">
        <f t="shared" si="16"/>
        <v>2013</v>
      </c>
    </row>
    <row r="1061" spans="1:9">
      <c r="A1061" s="1">
        <v>10120</v>
      </c>
      <c r="B1061" s="1">
        <v>6</v>
      </c>
      <c r="C1061" s="2">
        <v>41379</v>
      </c>
      <c r="D1061" s="1" t="s">
        <v>2005</v>
      </c>
      <c r="E1061" s="1">
        <v>100597</v>
      </c>
      <c r="F1061" s="6" t="s">
        <v>3063</v>
      </c>
      <c r="G1061" s="15" t="str">
        <f>VLOOKUP(A1061,Movie!A:D,4,FALSE)</f>
        <v>Focus</v>
      </c>
      <c r="H1061" s="14">
        <f>VLOOKUP(E1061,'Rental Transaction'!A:B,2,FALSE)</f>
        <v>800121</v>
      </c>
      <c r="I1061">
        <f t="shared" si="16"/>
        <v>2013</v>
      </c>
    </row>
    <row r="1062" spans="1:9">
      <c r="A1062" s="1">
        <v>10087</v>
      </c>
      <c r="B1062" s="1">
        <v>2</v>
      </c>
      <c r="C1062" s="2">
        <v>41379</v>
      </c>
      <c r="D1062" s="1" t="s">
        <v>2002</v>
      </c>
      <c r="E1062" s="1">
        <v>100598</v>
      </c>
      <c r="F1062" s="6" t="s">
        <v>3064</v>
      </c>
      <c r="G1062" s="15" t="str">
        <f>VLOOKUP(A1062,Movie!A:D,4,FALSE)</f>
        <v>Lionsgate</v>
      </c>
      <c r="H1062" s="14">
        <f>VLOOKUP(E1062,'Rental Transaction'!A:B,2,FALSE)</f>
        <v>981529</v>
      </c>
      <c r="I1062">
        <f t="shared" si="16"/>
        <v>2013</v>
      </c>
    </row>
    <row r="1063" spans="1:9">
      <c r="A1063" s="1">
        <v>10291</v>
      </c>
      <c r="B1063" s="1">
        <v>4</v>
      </c>
      <c r="C1063" s="2">
        <v>41379</v>
      </c>
      <c r="D1063" s="1" t="s">
        <v>2002</v>
      </c>
      <c r="E1063" s="1">
        <v>100599</v>
      </c>
      <c r="F1063" s="6" t="s">
        <v>3065</v>
      </c>
      <c r="G1063" s="15" t="str">
        <f>VLOOKUP(A1063,Movie!A:D,4,FALSE)</f>
        <v>Warner Brothers</v>
      </c>
      <c r="H1063" s="14">
        <f>VLOOKUP(E1063,'Rental Transaction'!A:B,2,FALSE)</f>
        <v>283158</v>
      </c>
      <c r="I1063">
        <f t="shared" si="16"/>
        <v>2013</v>
      </c>
    </row>
    <row r="1064" spans="1:9">
      <c r="A1064" s="1">
        <v>10195</v>
      </c>
      <c r="B1064" s="1">
        <v>3</v>
      </c>
      <c r="C1064" s="2">
        <v>41379</v>
      </c>
      <c r="D1064" s="1" t="s">
        <v>2002</v>
      </c>
      <c r="E1064" s="1">
        <v>100599</v>
      </c>
      <c r="F1064" s="6" t="s">
        <v>3066</v>
      </c>
      <c r="G1064" s="15" t="str">
        <f>VLOOKUP(A1064,Movie!A:D,4,FALSE)</f>
        <v>Sony</v>
      </c>
      <c r="H1064" s="14">
        <f>VLOOKUP(E1064,'Rental Transaction'!A:B,2,FALSE)</f>
        <v>283158</v>
      </c>
      <c r="I1064">
        <f t="shared" si="16"/>
        <v>2013</v>
      </c>
    </row>
    <row r="1065" spans="1:9">
      <c r="A1065" s="1">
        <v>10226</v>
      </c>
      <c r="B1065" s="1">
        <v>8</v>
      </c>
      <c r="C1065" s="2">
        <v>41379</v>
      </c>
      <c r="D1065" s="1" t="s">
        <v>2005</v>
      </c>
      <c r="E1065" s="1">
        <v>100600</v>
      </c>
      <c r="F1065" s="6" t="s">
        <v>3067</v>
      </c>
      <c r="G1065" s="15" t="str">
        <f>VLOOKUP(A1065,Movie!A:D,4,FALSE)</f>
        <v>Sony</v>
      </c>
      <c r="H1065" s="14">
        <f>VLOOKUP(E1065,'Rental Transaction'!A:B,2,FALSE)</f>
        <v>412929</v>
      </c>
      <c r="I1065">
        <f t="shared" si="16"/>
        <v>2013</v>
      </c>
    </row>
    <row r="1066" spans="1:9">
      <c r="A1066" s="1">
        <v>10039</v>
      </c>
      <c r="B1066" s="1">
        <v>4</v>
      </c>
      <c r="C1066" s="2">
        <v>41380</v>
      </c>
      <c r="D1066" s="1" t="s">
        <v>2002</v>
      </c>
      <c r="E1066" s="1">
        <v>100601</v>
      </c>
      <c r="F1066" s="6" t="s">
        <v>3068</v>
      </c>
      <c r="G1066" s="15" t="str">
        <f>VLOOKUP(A1066,Movie!A:D,4,FALSE)</f>
        <v>Open Road Films</v>
      </c>
      <c r="H1066" s="14">
        <f>VLOOKUP(E1066,'Rental Transaction'!A:B,2,FALSE)</f>
        <v>756769</v>
      </c>
      <c r="I1066">
        <f t="shared" si="16"/>
        <v>2013</v>
      </c>
    </row>
    <row r="1067" spans="1:9">
      <c r="A1067" s="1">
        <v>10259</v>
      </c>
      <c r="B1067" s="1">
        <v>3</v>
      </c>
      <c r="C1067" s="2">
        <v>41380</v>
      </c>
      <c r="D1067" s="1" t="s">
        <v>2002</v>
      </c>
      <c r="E1067" s="1">
        <v>100601</v>
      </c>
      <c r="F1067" s="6" t="s">
        <v>3069</v>
      </c>
      <c r="G1067" s="15" t="str">
        <f>VLOOKUP(A1067,Movie!A:D,4,FALSE)</f>
        <v>Warner Brothers</v>
      </c>
      <c r="H1067" s="14">
        <f>VLOOKUP(E1067,'Rental Transaction'!A:B,2,FALSE)</f>
        <v>756769</v>
      </c>
      <c r="I1067">
        <f t="shared" si="16"/>
        <v>2013</v>
      </c>
    </row>
    <row r="1068" spans="1:9">
      <c r="A1068" s="1">
        <v>10242</v>
      </c>
      <c r="B1068" s="1">
        <v>9</v>
      </c>
      <c r="C1068" s="2">
        <v>41382</v>
      </c>
      <c r="D1068" s="1" t="s">
        <v>2005</v>
      </c>
      <c r="E1068" s="1">
        <v>100602</v>
      </c>
      <c r="F1068" s="6" t="s">
        <v>3070</v>
      </c>
      <c r="G1068" s="15" t="str">
        <f>VLOOKUP(A1068,Movie!A:D,4,FALSE)</f>
        <v>Buena Vista</v>
      </c>
      <c r="H1068" s="14">
        <f>VLOOKUP(E1068,'Rental Transaction'!A:B,2,FALSE)</f>
        <v>782947</v>
      </c>
      <c r="I1068">
        <f t="shared" si="16"/>
        <v>2013</v>
      </c>
    </row>
    <row r="1069" spans="1:9">
      <c r="A1069" s="1">
        <v>10052</v>
      </c>
      <c r="B1069" s="1">
        <v>3</v>
      </c>
      <c r="C1069" s="2">
        <v>41380</v>
      </c>
      <c r="D1069" s="1" t="s">
        <v>2002</v>
      </c>
      <c r="E1069" s="1">
        <v>100603</v>
      </c>
      <c r="F1069" s="6" t="s">
        <v>3071</v>
      </c>
      <c r="G1069" s="15" t="str">
        <f>VLOOKUP(A1069,Movie!A:D,4,FALSE)</f>
        <v>Warner Brothers</v>
      </c>
      <c r="H1069" s="14">
        <f>VLOOKUP(E1069,'Rental Transaction'!A:B,2,FALSE)</f>
        <v>832914</v>
      </c>
      <c r="I1069">
        <f t="shared" si="16"/>
        <v>2013</v>
      </c>
    </row>
    <row r="1070" spans="1:9">
      <c r="A1070" s="1">
        <v>10094</v>
      </c>
      <c r="B1070" s="1">
        <v>5</v>
      </c>
      <c r="C1070" s="2">
        <v>41381</v>
      </c>
      <c r="D1070" s="1" t="s">
        <v>2002</v>
      </c>
      <c r="E1070" s="1">
        <v>100604</v>
      </c>
      <c r="F1070" s="6" t="s">
        <v>3072</v>
      </c>
      <c r="G1070" s="15" t="str">
        <f>VLOOKUP(A1070,Movie!A:D,4,FALSE)</f>
        <v>Relativity</v>
      </c>
      <c r="H1070" s="14">
        <f>VLOOKUP(E1070,'Rental Transaction'!A:B,2,FALSE)</f>
        <v>199895</v>
      </c>
      <c r="I1070">
        <f t="shared" si="16"/>
        <v>2013</v>
      </c>
    </row>
    <row r="1071" spans="1:9">
      <c r="A1071" s="1">
        <v>10207</v>
      </c>
      <c r="B1071" s="1">
        <v>3</v>
      </c>
      <c r="C1071" s="2">
        <v>41381</v>
      </c>
      <c r="D1071" s="1" t="s">
        <v>2002</v>
      </c>
      <c r="E1071" s="1">
        <v>100604</v>
      </c>
      <c r="F1071" s="6" t="s">
        <v>3073</v>
      </c>
      <c r="G1071" s="15" t="str">
        <f>VLOOKUP(A1071,Movie!A:D,4,FALSE)</f>
        <v>Paramount</v>
      </c>
      <c r="H1071" s="14">
        <f>VLOOKUP(E1071,'Rental Transaction'!A:B,2,FALSE)</f>
        <v>199895</v>
      </c>
      <c r="I1071">
        <f t="shared" si="16"/>
        <v>2013</v>
      </c>
    </row>
    <row r="1072" spans="1:9">
      <c r="A1072" s="1">
        <v>10008</v>
      </c>
      <c r="B1072" s="1">
        <v>7</v>
      </c>
      <c r="C1072" s="2">
        <v>41380</v>
      </c>
      <c r="D1072" s="1" t="s">
        <v>2005</v>
      </c>
      <c r="E1072" s="1">
        <v>100605</v>
      </c>
      <c r="F1072" s="6" t="s">
        <v>3074</v>
      </c>
      <c r="G1072" s="15" t="str">
        <f>VLOOKUP(A1072,Movie!A:D,4,FALSE)</f>
        <v>Sony</v>
      </c>
      <c r="H1072" s="14">
        <f>VLOOKUP(E1072,'Rental Transaction'!A:B,2,FALSE)</f>
        <v>566192</v>
      </c>
      <c r="I1072">
        <f t="shared" si="16"/>
        <v>2013</v>
      </c>
    </row>
    <row r="1073" spans="1:9">
      <c r="A1073" s="1">
        <v>10042</v>
      </c>
      <c r="B1073" s="1">
        <v>8</v>
      </c>
      <c r="C1073" s="2">
        <v>41381</v>
      </c>
      <c r="D1073" s="1" t="s">
        <v>2005</v>
      </c>
      <c r="E1073" s="1">
        <v>100606</v>
      </c>
      <c r="F1073" s="6" t="s">
        <v>3075</v>
      </c>
      <c r="G1073" s="15" t="str">
        <f>VLOOKUP(A1073,Movie!A:D,4,FALSE)</f>
        <v>Paramount</v>
      </c>
      <c r="H1073" s="14">
        <f>VLOOKUP(E1073,'Rental Transaction'!A:B,2,FALSE)</f>
        <v>580783</v>
      </c>
      <c r="I1073">
        <f t="shared" si="16"/>
        <v>2013</v>
      </c>
    </row>
    <row r="1074" spans="1:9">
      <c r="A1074" s="1">
        <v>10147</v>
      </c>
      <c r="B1074" s="1">
        <v>2</v>
      </c>
      <c r="C1074" s="2">
        <v>41382</v>
      </c>
      <c r="D1074" s="1" t="s">
        <v>2005</v>
      </c>
      <c r="E1074" s="1">
        <v>100606</v>
      </c>
      <c r="F1074" s="6" t="s">
        <v>3076</v>
      </c>
      <c r="G1074" s="15" t="str">
        <f>VLOOKUP(A1074,Movie!A:D,4,FALSE)</f>
        <v>Lionsgate</v>
      </c>
      <c r="H1074" s="14">
        <f>VLOOKUP(E1074,'Rental Transaction'!A:B,2,FALSE)</f>
        <v>580783</v>
      </c>
      <c r="I1074">
        <f t="shared" si="16"/>
        <v>2013</v>
      </c>
    </row>
    <row r="1075" spans="1:9">
      <c r="A1075" s="1">
        <v>10232</v>
      </c>
      <c r="B1075" s="1">
        <v>9</v>
      </c>
      <c r="C1075" s="2">
        <v>41382</v>
      </c>
      <c r="D1075" s="1" t="s">
        <v>2002</v>
      </c>
      <c r="E1075" s="1">
        <v>100607</v>
      </c>
      <c r="F1075" s="6" t="s">
        <v>3077</v>
      </c>
      <c r="G1075" s="15" t="str">
        <f>VLOOKUP(A1075,Movie!A:D,4,FALSE)</f>
        <v>Paramount</v>
      </c>
      <c r="H1075" s="14">
        <f>VLOOKUP(E1075,'Rental Transaction'!A:B,2,FALSE)</f>
        <v>386950</v>
      </c>
      <c r="I1075">
        <f t="shared" si="16"/>
        <v>2013</v>
      </c>
    </row>
    <row r="1076" spans="1:9">
      <c r="A1076" s="1">
        <v>10146</v>
      </c>
      <c r="B1076" s="1">
        <v>6</v>
      </c>
      <c r="C1076" s="2">
        <v>41382</v>
      </c>
      <c r="D1076" s="1" t="s">
        <v>2002</v>
      </c>
      <c r="E1076" s="1">
        <v>100608</v>
      </c>
      <c r="F1076" s="6" t="s">
        <v>3078</v>
      </c>
      <c r="G1076" s="15" t="str">
        <f>VLOOKUP(A1076,Movie!A:D,4,FALSE)</f>
        <v>Sony</v>
      </c>
      <c r="H1076" s="14">
        <f>VLOOKUP(E1076,'Rental Transaction'!A:B,2,FALSE)</f>
        <v>992956</v>
      </c>
      <c r="I1076">
        <f t="shared" si="16"/>
        <v>2013</v>
      </c>
    </row>
    <row r="1077" spans="1:9">
      <c r="A1077" s="1">
        <v>10222</v>
      </c>
      <c r="B1077" s="1">
        <v>10</v>
      </c>
      <c r="C1077" s="2">
        <v>41382</v>
      </c>
      <c r="D1077" s="1" t="s">
        <v>2002</v>
      </c>
      <c r="E1077" s="1">
        <v>100609</v>
      </c>
      <c r="F1077" s="6" t="s">
        <v>3079</v>
      </c>
      <c r="G1077" s="15" t="str">
        <f>VLOOKUP(A1077,Movie!A:D,4,FALSE)</f>
        <v>Sony</v>
      </c>
      <c r="H1077" s="14">
        <f>VLOOKUP(E1077,'Rental Transaction'!A:B,2,FALSE)</f>
        <v>464782</v>
      </c>
      <c r="I1077">
        <f t="shared" si="16"/>
        <v>2013</v>
      </c>
    </row>
    <row r="1078" spans="1:9" ht="29.25">
      <c r="A1078" s="1">
        <v>10105</v>
      </c>
      <c r="B1078" s="1">
        <v>2</v>
      </c>
      <c r="C1078" s="2">
        <v>41383</v>
      </c>
      <c r="D1078" s="1" t="s">
        <v>2002</v>
      </c>
      <c r="E1078" s="1">
        <v>100610</v>
      </c>
      <c r="F1078" s="6" t="s">
        <v>3080</v>
      </c>
      <c r="G1078" s="15" t="str">
        <f>VLOOKUP(A1078,Movie!A:D,4,FALSE)</f>
        <v>Weinstein Company</v>
      </c>
      <c r="H1078" s="14">
        <f>VLOOKUP(E1078,'Rental Transaction'!A:B,2,FALSE)</f>
        <v>408341</v>
      </c>
      <c r="I1078">
        <f t="shared" si="16"/>
        <v>2013</v>
      </c>
    </row>
    <row r="1079" spans="1:9">
      <c r="A1079" s="1">
        <v>10208</v>
      </c>
      <c r="B1079" s="1">
        <v>4</v>
      </c>
      <c r="C1079" s="2">
        <v>41382</v>
      </c>
      <c r="D1079" s="1" t="s">
        <v>2005</v>
      </c>
      <c r="E1079" s="1">
        <v>100610</v>
      </c>
      <c r="F1079" s="6" t="s">
        <v>3081</v>
      </c>
      <c r="G1079" s="15" t="str">
        <f>VLOOKUP(A1079,Movie!A:D,4,FALSE)</f>
        <v>Warner Brothers</v>
      </c>
      <c r="H1079" s="14">
        <f>VLOOKUP(E1079,'Rental Transaction'!A:B,2,FALSE)</f>
        <v>408341</v>
      </c>
      <c r="I1079">
        <f t="shared" si="16"/>
        <v>2013</v>
      </c>
    </row>
    <row r="1080" spans="1:9">
      <c r="A1080" s="1">
        <v>10261</v>
      </c>
      <c r="B1080" s="1">
        <v>4</v>
      </c>
      <c r="C1080" s="2">
        <v>41383</v>
      </c>
      <c r="D1080" s="1" t="s">
        <v>2005</v>
      </c>
      <c r="E1080" s="1">
        <v>100611</v>
      </c>
      <c r="F1080" s="6" t="s">
        <v>3082</v>
      </c>
      <c r="G1080" s="15" t="str">
        <f>VLOOKUP(A1080,Movie!A:D,4,FALSE)</f>
        <v>Fox</v>
      </c>
      <c r="H1080" s="14">
        <f>VLOOKUP(E1080,'Rental Transaction'!A:B,2,FALSE)</f>
        <v>464984</v>
      </c>
      <c r="I1080">
        <f t="shared" si="16"/>
        <v>2013</v>
      </c>
    </row>
    <row r="1081" spans="1:9">
      <c r="A1081" s="1">
        <v>10202</v>
      </c>
      <c r="B1081" s="1">
        <v>1</v>
      </c>
      <c r="C1081" s="2">
        <v>41383</v>
      </c>
      <c r="D1081" s="1" t="s">
        <v>2002</v>
      </c>
      <c r="E1081" s="1">
        <v>100612</v>
      </c>
      <c r="F1081" s="6" t="s">
        <v>3083</v>
      </c>
      <c r="G1081" s="15" t="str">
        <f>VLOOKUP(A1081,Movie!A:D,4,FALSE)</f>
        <v>Warner Brothers</v>
      </c>
      <c r="H1081" s="14">
        <f>VLOOKUP(E1081,'Rental Transaction'!A:B,2,FALSE)</f>
        <v>781523</v>
      </c>
      <c r="I1081">
        <f t="shared" si="16"/>
        <v>2013</v>
      </c>
    </row>
    <row r="1082" spans="1:9">
      <c r="A1082" s="1">
        <v>10126</v>
      </c>
      <c r="B1082" s="1">
        <v>1</v>
      </c>
      <c r="C1082" s="2">
        <v>41384</v>
      </c>
      <c r="D1082" s="1" t="s">
        <v>2002</v>
      </c>
      <c r="E1082" s="1">
        <v>100612</v>
      </c>
      <c r="F1082" s="6" t="s">
        <v>3084</v>
      </c>
      <c r="G1082" s="15" t="str">
        <f>VLOOKUP(A1082,Movie!A:D,4,FALSE)</f>
        <v>Fox</v>
      </c>
      <c r="H1082" s="14">
        <f>VLOOKUP(E1082,'Rental Transaction'!A:B,2,FALSE)</f>
        <v>781523</v>
      </c>
      <c r="I1082">
        <f t="shared" si="16"/>
        <v>2013</v>
      </c>
    </row>
    <row r="1083" spans="1:9">
      <c r="A1083" s="1">
        <v>10008</v>
      </c>
      <c r="B1083" s="1">
        <v>8</v>
      </c>
      <c r="C1083" s="2">
        <v>41384</v>
      </c>
      <c r="D1083" s="1" t="s">
        <v>2002</v>
      </c>
      <c r="E1083" s="1">
        <v>100612</v>
      </c>
      <c r="F1083" s="6" t="s">
        <v>3085</v>
      </c>
      <c r="G1083" s="15" t="str">
        <f>VLOOKUP(A1083,Movie!A:D,4,FALSE)</f>
        <v>Sony</v>
      </c>
      <c r="H1083" s="14">
        <f>VLOOKUP(E1083,'Rental Transaction'!A:B,2,FALSE)</f>
        <v>781523</v>
      </c>
      <c r="I1083">
        <f t="shared" si="16"/>
        <v>2013</v>
      </c>
    </row>
    <row r="1084" spans="1:9">
      <c r="A1084" s="1">
        <v>10087</v>
      </c>
      <c r="B1084" s="1">
        <v>10</v>
      </c>
      <c r="C1084" s="2">
        <v>41383</v>
      </c>
      <c r="D1084" s="1" t="s">
        <v>2005</v>
      </c>
      <c r="E1084" s="1">
        <v>100613</v>
      </c>
      <c r="F1084" s="6" t="s">
        <v>3086</v>
      </c>
      <c r="G1084" s="15" t="str">
        <f>VLOOKUP(A1084,Movie!A:D,4,FALSE)</f>
        <v>Lionsgate</v>
      </c>
      <c r="H1084" s="14">
        <f>VLOOKUP(E1084,'Rental Transaction'!A:B,2,FALSE)</f>
        <v>917728</v>
      </c>
      <c r="I1084">
        <f t="shared" si="16"/>
        <v>2013</v>
      </c>
    </row>
    <row r="1085" spans="1:9">
      <c r="A1085" s="1">
        <v>10050</v>
      </c>
      <c r="B1085" s="1">
        <v>2</v>
      </c>
      <c r="C1085" s="2">
        <v>41383</v>
      </c>
      <c r="D1085" s="1" t="s">
        <v>2005</v>
      </c>
      <c r="E1085" s="1">
        <v>100613</v>
      </c>
      <c r="F1085" s="6" t="s">
        <v>3087</v>
      </c>
      <c r="G1085" s="15" t="str">
        <f>VLOOKUP(A1085,Movie!A:D,4,FALSE)</f>
        <v>Paramount</v>
      </c>
      <c r="H1085" s="14">
        <f>VLOOKUP(E1085,'Rental Transaction'!A:B,2,FALSE)</f>
        <v>917728</v>
      </c>
      <c r="I1085">
        <f t="shared" si="16"/>
        <v>2013</v>
      </c>
    </row>
    <row r="1086" spans="1:9">
      <c r="A1086" s="1">
        <v>10037</v>
      </c>
      <c r="B1086" s="1">
        <v>4</v>
      </c>
      <c r="C1086" s="2">
        <v>41385</v>
      </c>
      <c r="D1086" s="1" t="s">
        <v>2005</v>
      </c>
      <c r="E1086" s="1">
        <v>100613</v>
      </c>
      <c r="F1086" s="6" t="s">
        <v>3088</v>
      </c>
      <c r="G1086" s="15" t="str">
        <f>VLOOKUP(A1086,Movie!A:D,4,FALSE)</f>
        <v>Buena Vista</v>
      </c>
      <c r="H1086" s="14">
        <f>VLOOKUP(E1086,'Rental Transaction'!A:B,2,FALSE)</f>
        <v>917728</v>
      </c>
      <c r="I1086">
        <f t="shared" si="16"/>
        <v>2013</v>
      </c>
    </row>
    <row r="1087" spans="1:9">
      <c r="A1087" s="1">
        <v>10227</v>
      </c>
      <c r="B1087" s="1">
        <v>7</v>
      </c>
      <c r="C1087" s="2">
        <v>41384</v>
      </c>
      <c r="D1087" s="1" t="s">
        <v>2002</v>
      </c>
      <c r="E1087" s="1">
        <v>100614</v>
      </c>
      <c r="F1087" s="6" t="s">
        <v>3089</v>
      </c>
      <c r="G1087" s="15" t="str">
        <f>VLOOKUP(A1087,Movie!A:D,4,FALSE)</f>
        <v>Focus</v>
      </c>
      <c r="H1087" s="14">
        <f>VLOOKUP(E1087,'Rental Transaction'!A:B,2,FALSE)</f>
        <v>249188</v>
      </c>
      <c r="I1087">
        <f t="shared" si="16"/>
        <v>2013</v>
      </c>
    </row>
    <row r="1088" spans="1:9">
      <c r="A1088" s="1">
        <v>10064</v>
      </c>
      <c r="B1088" s="1">
        <v>1</v>
      </c>
      <c r="C1088" s="2">
        <v>41386</v>
      </c>
      <c r="D1088" s="1" t="s">
        <v>2005</v>
      </c>
      <c r="E1088" s="1">
        <v>100615</v>
      </c>
      <c r="F1088" s="6" t="s">
        <v>3090</v>
      </c>
      <c r="G1088" s="15" t="str">
        <f>VLOOKUP(A1088,Movie!A:D,4,FALSE)</f>
        <v>Universal</v>
      </c>
      <c r="H1088" s="14">
        <f>VLOOKUP(E1088,'Rental Transaction'!A:B,2,FALSE)</f>
        <v>127472</v>
      </c>
      <c r="I1088">
        <f t="shared" si="16"/>
        <v>2013</v>
      </c>
    </row>
    <row r="1089" spans="1:9">
      <c r="A1089" s="1">
        <v>10192</v>
      </c>
      <c r="B1089" s="1">
        <v>9</v>
      </c>
      <c r="C1089" s="2">
        <v>41384</v>
      </c>
      <c r="D1089" s="1" t="s">
        <v>2002</v>
      </c>
      <c r="E1089" s="1">
        <v>100616</v>
      </c>
      <c r="F1089" s="6" t="s">
        <v>3091</v>
      </c>
      <c r="G1089" s="15" t="str">
        <f>VLOOKUP(A1089,Movie!A:D,4,FALSE)</f>
        <v>Universal</v>
      </c>
      <c r="H1089" s="14">
        <f>VLOOKUP(E1089,'Rental Transaction'!A:B,2,FALSE)</f>
        <v>432268</v>
      </c>
      <c r="I1089">
        <f t="shared" si="16"/>
        <v>2013</v>
      </c>
    </row>
    <row r="1090" spans="1:9">
      <c r="A1090" s="1">
        <v>10017</v>
      </c>
      <c r="B1090" s="1">
        <v>10</v>
      </c>
      <c r="C1090" s="2">
        <v>41384</v>
      </c>
      <c r="D1090" s="1" t="s">
        <v>2002</v>
      </c>
      <c r="E1090" s="1">
        <v>100617</v>
      </c>
      <c r="F1090" s="6" t="s">
        <v>3092</v>
      </c>
      <c r="G1090" s="15" t="str">
        <f>VLOOKUP(A1090,Movie!A:D,4,FALSE)</f>
        <v>Sony</v>
      </c>
      <c r="H1090" s="14">
        <f>VLOOKUP(E1090,'Rental Transaction'!A:B,2,FALSE)</f>
        <v>628132</v>
      </c>
      <c r="I1090">
        <f t="shared" si="16"/>
        <v>2013</v>
      </c>
    </row>
    <row r="1091" spans="1:9">
      <c r="A1091" s="1">
        <v>10206</v>
      </c>
      <c r="B1091" s="1">
        <v>2</v>
      </c>
      <c r="C1091" s="2">
        <v>41385</v>
      </c>
      <c r="D1091" s="1" t="s">
        <v>2005</v>
      </c>
      <c r="E1091" s="1">
        <v>100617</v>
      </c>
      <c r="F1091" s="6" t="s">
        <v>3093</v>
      </c>
      <c r="G1091" s="15" t="str">
        <f>VLOOKUP(A1091,Movie!A:D,4,FALSE)</f>
        <v>Fox</v>
      </c>
      <c r="H1091" s="14">
        <f>VLOOKUP(E1091,'Rental Transaction'!A:B,2,FALSE)</f>
        <v>628132</v>
      </c>
      <c r="I1091">
        <f t="shared" ref="I1091:I1154" si="17">YEAR(C1091)</f>
        <v>2013</v>
      </c>
    </row>
    <row r="1092" spans="1:9">
      <c r="A1092" s="1">
        <v>10283</v>
      </c>
      <c r="B1092" s="1">
        <v>8</v>
      </c>
      <c r="C1092" s="2">
        <v>41384</v>
      </c>
      <c r="D1092" s="1" t="s">
        <v>2002</v>
      </c>
      <c r="E1092" s="1">
        <v>100618</v>
      </c>
      <c r="F1092" s="6" t="s">
        <v>3094</v>
      </c>
      <c r="G1092" s="15" t="str">
        <f>VLOOKUP(A1092,Movie!A:D,4,FALSE)</f>
        <v>TriStar</v>
      </c>
      <c r="H1092" s="14">
        <f>VLOOKUP(E1092,'Rental Transaction'!A:B,2,FALSE)</f>
        <v>520078</v>
      </c>
      <c r="I1092">
        <f t="shared" si="17"/>
        <v>2013</v>
      </c>
    </row>
    <row r="1093" spans="1:9">
      <c r="A1093" s="1">
        <v>10203</v>
      </c>
      <c r="B1093" s="1">
        <v>7</v>
      </c>
      <c r="C1093" s="2">
        <v>41384</v>
      </c>
      <c r="D1093" s="1" t="s">
        <v>2005</v>
      </c>
      <c r="E1093" s="1">
        <v>100618</v>
      </c>
      <c r="F1093" s="6" t="s">
        <v>3095</v>
      </c>
      <c r="G1093" s="15" t="str">
        <f>VLOOKUP(A1093,Movie!A:D,4,FALSE)</f>
        <v>Buena Vista</v>
      </c>
      <c r="H1093" s="14">
        <f>VLOOKUP(E1093,'Rental Transaction'!A:B,2,FALSE)</f>
        <v>520078</v>
      </c>
      <c r="I1093">
        <f t="shared" si="17"/>
        <v>2013</v>
      </c>
    </row>
    <row r="1094" spans="1:9">
      <c r="A1094" s="1">
        <v>10082</v>
      </c>
      <c r="B1094" s="1">
        <v>2</v>
      </c>
      <c r="C1094" s="2">
        <v>41384</v>
      </c>
      <c r="D1094" s="1" t="s">
        <v>2005</v>
      </c>
      <c r="E1094" s="1">
        <v>100619</v>
      </c>
      <c r="F1094" s="6" t="s">
        <v>3096</v>
      </c>
      <c r="G1094" s="15" t="str">
        <f>VLOOKUP(A1094,Movie!A:D,4,FALSE)</f>
        <v>Buena Vista</v>
      </c>
      <c r="H1094" s="14">
        <f>VLOOKUP(E1094,'Rental Transaction'!A:B,2,FALSE)</f>
        <v>676155</v>
      </c>
      <c r="I1094">
        <f t="shared" si="17"/>
        <v>2013</v>
      </c>
    </row>
    <row r="1095" spans="1:9">
      <c r="A1095" s="1">
        <v>10059</v>
      </c>
      <c r="B1095" s="1">
        <v>5</v>
      </c>
      <c r="C1095" s="2">
        <v>41385</v>
      </c>
      <c r="D1095" s="1" t="s">
        <v>2002</v>
      </c>
      <c r="E1095" s="1">
        <v>100620</v>
      </c>
      <c r="F1095" s="6" t="s">
        <v>3097</v>
      </c>
      <c r="G1095" s="15" t="str">
        <f>VLOOKUP(A1095,Movie!A:D,4,FALSE)</f>
        <v>Universal</v>
      </c>
      <c r="H1095" s="14">
        <f>VLOOKUP(E1095,'Rental Transaction'!A:B,2,FALSE)</f>
        <v>950299</v>
      </c>
      <c r="I1095">
        <f t="shared" si="17"/>
        <v>2013</v>
      </c>
    </row>
    <row r="1096" spans="1:9" ht="29.25">
      <c r="A1096" s="1">
        <v>10290</v>
      </c>
      <c r="B1096" s="1">
        <v>9</v>
      </c>
      <c r="C1096" s="2">
        <v>41386</v>
      </c>
      <c r="D1096" s="1" t="s">
        <v>2002</v>
      </c>
      <c r="E1096" s="1">
        <v>100620</v>
      </c>
      <c r="F1096" s="6" t="s">
        <v>3098</v>
      </c>
      <c r="G1096" s="15" t="str">
        <f>VLOOKUP(A1096,Movie!A:D,4,FALSE)</f>
        <v>Weinstein Company</v>
      </c>
      <c r="H1096" s="14">
        <f>VLOOKUP(E1096,'Rental Transaction'!A:B,2,FALSE)</f>
        <v>950299</v>
      </c>
      <c r="I1096">
        <f t="shared" si="17"/>
        <v>2013</v>
      </c>
    </row>
    <row r="1097" spans="1:9">
      <c r="A1097" s="1">
        <v>10221</v>
      </c>
      <c r="B1097" s="1">
        <v>6</v>
      </c>
      <c r="C1097" s="2">
        <v>41385</v>
      </c>
      <c r="D1097" s="1" t="s">
        <v>2002</v>
      </c>
      <c r="E1097" s="1">
        <v>100621</v>
      </c>
      <c r="F1097" s="6" t="s">
        <v>3099</v>
      </c>
      <c r="G1097" s="15" t="str">
        <f>VLOOKUP(A1097,Movie!A:D,4,FALSE)</f>
        <v>Fox</v>
      </c>
      <c r="H1097" s="14">
        <f>VLOOKUP(E1097,'Rental Transaction'!A:B,2,FALSE)</f>
        <v>739669</v>
      </c>
      <c r="I1097">
        <f t="shared" si="17"/>
        <v>2013</v>
      </c>
    </row>
    <row r="1098" spans="1:9">
      <c r="A1098" s="1">
        <v>10184</v>
      </c>
      <c r="B1098" s="1">
        <v>10</v>
      </c>
      <c r="C1098" s="2">
        <v>41385</v>
      </c>
      <c r="D1098" s="1" t="s">
        <v>2002</v>
      </c>
      <c r="E1098" s="1">
        <v>100621</v>
      </c>
      <c r="F1098" s="6" t="s">
        <v>3100</v>
      </c>
      <c r="G1098" s="15" t="str">
        <f>VLOOKUP(A1098,Movie!A:D,4,FALSE)</f>
        <v>Universal</v>
      </c>
      <c r="H1098" s="14">
        <f>VLOOKUP(E1098,'Rental Transaction'!A:B,2,FALSE)</f>
        <v>739669</v>
      </c>
      <c r="I1098">
        <f t="shared" si="17"/>
        <v>2013</v>
      </c>
    </row>
    <row r="1099" spans="1:9" ht="29.25">
      <c r="A1099" s="1">
        <v>10285</v>
      </c>
      <c r="B1099" s="1">
        <v>7</v>
      </c>
      <c r="C1099" s="2">
        <v>41385</v>
      </c>
      <c r="D1099" s="1" t="s">
        <v>2002</v>
      </c>
      <c r="E1099" s="1">
        <v>100622</v>
      </c>
      <c r="F1099" s="6" t="s">
        <v>3101</v>
      </c>
      <c r="G1099" s="15" t="str">
        <f>VLOOKUP(A1099,Movie!A:D,4,FALSE)</f>
        <v>Roadside Attractions</v>
      </c>
      <c r="H1099" s="14">
        <f>VLOOKUP(E1099,'Rental Transaction'!A:B,2,FALSE)</f>
        <v>850952</v>
      </c>
      <c r="I1099">
        <f t="shared" si="17"/>
        <v>2013</v>
      </c>
    </row>
    <row r="1100" spans="1:9">
      <c r="A1100" s="1">
        <v>10175</v>
      </c>
      <c r="B1100" s="1">
        <v>9</v>
      </c>
      <c r="C1100" s="2">
        <v>41385</v>
      </c>
      <c r="D1100" s="1" t="s">
        <v>2002</v>
      </c>
      <c r="E1100" s="1">
        <v>100622</v>
      </c>
      <c r="F1100" s="6" t="s">
        <v>3102</v>
      </c>
      <c r="G1100" s="15" t="str">
        <f>VLOOKUP(A1100,Movie!A:D,4,FALSE)</f>
        <v>Buena Vista</v>
      </c>
      <c r="H1100" s="14">
        <f>VLOOKUP(E1100,'Rental Transaction'!A:B,2,FALSE)</f>
        <v>850952</v>
      </c>
      <c r="I1100">
        <f t="shared" si="17"/>
        <v>2013</v>
      </c>
    </row>
    <row r="1101" spans="1:9">
      <c r="A1101" s="1">
        <v>10026</v>
      </c>
      <c r="B1101" s="1">
        <v>3</v>
      </c>
      <c r="C1101" s="2">
        <v>41385</v>
      </c>
      <c r="D1101" s="1" t="s">
        <v>2005</v>
      </c>
      <c r="E1101" s="1">
        <v>100623</v>
      </c>
      <c r="F1101" s="6" t="s">
        <v>3103</v>
      </c>
      <c r="G1101" s="15" t="str">
        <f>VLOOKUP(A1101,Movie!A:D,4,FALSE)</f>
        <v>Fox</v>
      </c>
      <c r="H1101" s="14">
        <f>VLOOKUP(E1101,'Rental Transaction'!A:B,2,FALSE)</f>
        <v>789308</v>
      </c>
      <c r="I1101">
        <f t="shared" si="17"/>
        <v>2013</v>
      </c>
    </row>
    <row r="1102" spans="1:9">
      <c r="A1102" s="1">
        <v>10115</v>
      </c>
      <c r="B1102" s="1">
        <v>8</v>
      </c>
      <c r="C1102" s="2">
        <v>41385</v>
      </c>
      <c r="D1102" s="1" t="s">
        <v>2002</v>
      </c>
      <c r="E1102" s="1">
        <v>100624</v>
      </c>
      <c r="F1102" s="6" t="s">
        <v>3104</v>
      </c>
      <c r="G1102" s="15" t="str">
        <f>VLOOKUP(A1102,Movie!A:D,4,FALSE)</f>
        <v>Open Road Films</v>
      </c>
      <c r="H1102" s="14">
        <f>VLOOKUP(E1102,'Rental Transaction'!A:B,2,FALSE)</f>
        <v>578275</v>
      </c>
      <c r="I1102">
        <f t="shared" si="17"/>
        <v>2013</v>
      </c>
    </row>
    <row r="1103" spans="1:9">
      <c r="A1103" s="1">
        <v>10112</v>
      </c>
      <c r="B1103" s="1">
        <v>2</v>
      </c>
      <c r="C1103" s="2">
        <v>41385</v>
      </c>
      <c r="D1103" s="1" t="s">
        <v>2002</v>
      </c>
      <c r="E1103" s="1">
        <v>100624</v>
      </c>
      <c r="F1103" s="6" t="s">
        <v>3105</v>
      </c>
      <c r="G1103" s="15" t="str">
        <f>VLOOKUP(A1103,Movie!A:D,4,FALSE)</f>
        <v>Relativity</v>
      </c>
      <c r="H1103" s="14">
        <f>VLOOKUP(E1103,'Rental Transaction'!A:B,2,FALSE)</f>
        <v>578275</v>
      </c>
      <c r="I1103">
        <f t="shared" si="17"/>
        <v>2013</v>
      </c>
    </row>
    <row r="1104" spans="1:9">
      <c r="A1104" s="1">
        <v>10258</v>
      </c>
      <c r="B1104" s="1">
        <v>9</v>
      </c>
      <c r="C1104" s="2">
        <v>41386</v>
      </c>
      <c r="D1104" s="1" t="s">
        <v>2002</v>
      </c>
      <c r="E1104" s="1">
        <v>100625</v>
      </c>
      <c r="F1104" s="6" t="s">
        <v>3106</v>
      </c>
      <c r="G1104" s="15" t="str">
        <f>VLOOKUP(A1104,Movie!A:D,4,FALSE)</f>
        <v>Warner Brothers</v>
      </c>
      <c r="H1104" s="14">
        <f>VLOOKUP(E1104,'Rental Transaction'!A:B,2,FALSE)</f>
        <v>994185</v>
      </c>
      <c r="I1104">
        <f t="shared" si="17"/>
        <v>2013</v>
      </c>
    </row>
    <row r="1105" spans="1:9">
      <c r="A1105" s="1">
        <v>10183</v>
      </c>
      <c r="B1105" s="1">
        <v>3</v>
      </c>
      <c r="C1105" s="2">
        <v>41385</v>
      </c>
      <c r="D1105" s="1" t="s">
        <v>2002</v>
      </c>
      <c r="E1105" s="1">
        <v>100625</v>
      </c>
      <c r="F1105" s="6" t="s">
        <v>3107</v>
      </c>
      <c r="G1105" s="15" t="str">
        <f>VLOOKUP(A1105,Movie!A:D,4,FALSE)</f>
        <v>Sony</v>
      </c>
      <c r="H1105" s="14">
        <f>VLOOKUP(E1105,'Rental Transaction'!A:B,2,FALSE)</f>
        <v>994185</v>
      </c>
      <c r="I1105">
        <f t="shared" si="17"/>
        <v>2013</v>
      </c>
    </row>
    <row r="1106" spans="1:9">
      <c r="A1106" s="1">
        <v>10182</v>
      </c>
      <c r="B1106" s="1">
        <v>2</v>
      </c>
      <c r="C1106" s="2">
        <v>41386</v>
      </c>
      <c r="D1106" s="1" t="s">
        <v>2005</v>
      </c>
      <c r="E1106" s="1">
        <v>100626</v>
      </c>
      <c r="F1106" s="6" t="s">
        <v>3108</v>
      </c>
      <c r="G1106" s="15" t="str">
        <f>VLOOKUP(A1106,Movie!A:D,4,FALSE)</f>
        <v>Warner Brothers</v>
      </c>
      <c r="H1106" s="14">
        <f>VLOOKUP(E1106,'Rental Transaction'!A:B,2,FALSE)</f>
        <v>885548</v>
      </c>
      <c r="I1106">
        <f t="shared" si="17"/>
        <v>2013</v>
      </c>
    </row>
    <row r="1107" spans="1:9">
      <c r="A1107" s="1">
        <v>10147</v>
      </c>
      <c r="B1107" s="1">
        <v>2</v>
      </c>
      <c r="C1107" s="2">
        <v>41386</v>
      </c>
      <c r="D1107" s="1" t="s">
        <v>2005</v>
      </c>
      <c r="E1107" s="1">
        <v>100627</v>
      </c>
      <c r="F1107" s="6" t="s">
        <v>3109</v>
      </c>
      <c r="G1107" s="15" t="str">
        <f>VLOOKUP(A1107,Movie!A:D,4,FALSE)</f>
        <v>Lionsgate</v>
      </c>
      <c r="H1107" s="14">
        <f>VLOOKUP(E1107,'Rental Transaction'!A:B,2,FALSE)</f>
        <v>432268</v>
      </c>
      <c r="I1107">
        <f t="shared" si="17"/>
        <v>2013</v>
      </c>
    </row>
    <row r="1108" spans="1:9">
      <c r="A1108" s="1">
        <v>10214</v>
      </c>
      <c r="B1108" s="1">
        <v>10</v>
      </c>
      <c r="C1108" s="2">
        <v>41386</v>
      </c>
      <c r="D1108" s="1" t="s">
        <v>2002</v>
      </c>
      <c r="E1108" s="1">
        <v>100627</v>
      </c>
      <c r="F1108" s="6" t="s">
        <v>3110</v>
      </c>
      <c r="G1108" s="15" t="str">
        <f>VLOOKUP(A1108,Movie!A:D,4,FALSE)</f>
        <v>RM</v>
      </c>
      <c r="H1108" s="14">
        <f>VLOOKUP(E1108,'Rental Transaction'!A:B,2,FALSE)</f>
        <v>432268</v>
      </c>
      <c r="I1108">
        <f t="shared" si="17"/>
        <v>2013</v>
      </c>
    </row>
    <row r="1109" spans="1:9">
      <c r="A1109" s="1">
        <v>10238</v>
      </c>
      <c r="B1109" s="1">
        <v>9</v>
      </c>
      <c r="C1109" s="2">
        <v>41387</v>
      </c>
      <c r="D1109" s="1" t="s">
        <v>2005</v>
      </c>
      <c r="E1109" s="1">
        <v>100628</v>
      </c>
      <c r="F1109" s="6" t="s">
        <v>3111</v>
      </c>
      <c r="G1109" s="15" t="str">
        <f>VLOOKUP(A1109,Movie!A:D,4,FALSE)</f>
        <v>Warner Brothers</v>
      </c>
      <c r="H1109" s="14">
        <f>VLOOKUP(E1109,'Rental Transaction'!A:B,2,FALSE)</f>
        <v>390130</v>
      </c>
      <c r="I1109">
        <f t="shared" si="17"/>
        <v>2013</v>
      </c>
    </row>
    <row r="1110" spans="1:9">
      <c r="A1110" s="1">
        <v>10141</v>
      </c>
      <c r="B1110" s="1">
        <v>10</v>
      </c>
      <c r="C1110" s="2">
        <v>41385</v>
      </c>
      <c r="D1110" s="1" t="s">
        <v>2002</v>
      </c>
      <c r="E1110" s="1">
        <v>100629</v>
      </c>
      <c r="F1110" s="6" t="s">
        <v>3112</v>
      </c>
      <c r="G1110" s="15" t="str">
        <f>VLOOKUP(A1110,Movie!A:D,4,FALSE)</f>
        <v>Warner Brothers</v>
      </c>
      <c r="H1110" s="14">
        <f>VLOOKUP(E1110,'Rental Transaction'!A:B,2,FALSE)</f>
        <v>757525</v>
      </c>
      <c r="I1110">
        <f t="shared" si="17"/>
        <v>2013</v>
      </c>
    </row>
    <row r="1111" spans="1:9">
      <c r="A1111" s="1">
        <v>10024</v>
      </c>
      <c r="B1111" s="1">
        <v>3</v>
      </c>
      <c r="C1111" s="2">
        <v>41387</v>
      </c>
      <c r="D1111" s="1" t="s">
        <v>2002</v>
      </c>
      <c r="E1111" s="1">
        <v>100630</v>
      </c>
      <c r="F1111" s="6" t="s">
        <v>3113</v>
      </c>
      <c r="G1111" s="15" t="str">
        <f>VLOOKUP(A1111,Movie!A:D,4,FALSE)</f>
        <v>Fox</v>
      </c>
      <c r="H1111" s="14">
        <f>VLOOKUP(E1111,'Rental Transaction'!A:B,2,FALSE)</f>
        <v>938393</v>
      </c>
      <c r="I1111">
        <f t="shared" si="17"/>
        <v>2013</v>
      </c>
    </row>
    <row r="1112" spans="1:9">
      <c r="A1112" s="1">
        <v>10235</v>
      </c>
      <c r="B1112" s="1">
        <v>8</v>
      </c>
      <c r="C1112" s="2">
        <v>41386</v>
      </c>
      <c r="D1112" s="1" t="s">
        <v>2005</v>
      </c>
      <c r="E1112" s="1">
        <v>100631</v>
      </c>
      <c r="F1112" s="6" t="s">
        <v>3114</v>
      </c>
      <c r="G1112" s="15" t="str">
        <f>VLOOKUP(A1112,Movie!A:D,4,FALSE)</f>
        <v>Lionsgate</v>
      </c>
      <c r="H1112" s="14">
        <f>VLOOKUP(E1112,'Rental Transaction'!A:B,2,FALSE)</f>
        <v>422951</v>
      </c>
      <c r="I1112">
        <f t="shared" si="17"/>
        <v>2013</v>
      </c>
    </row>
    <row r="1113" spans="1:9" ht="29.25">
      <c r="A1113" s="1">
        <v>10290</v>
      </c>
      <c r="B1113" s="1">
        <v>8</v>
      </c>
      <c r="C1113" s="2">
        <v>41386</v>
      </c>
      <c r="D1113" s="1" t="s">
        <v>2005</v>
      </c>
      <c r="E1113" s="1">
        <v>100631</v>
      </c>
      <c r="F1113" s="6" t="s">
        <v>3115</v>
      </c>
      <c r="G1113" s="15" t="str">
        <f>VLOOKUP(A1113,Movie!A:D,4,FALSE)</f>
        <v>Weinstein Company</v>
      </c>
      <c r="H1113" s="14">
        <f>VLOOKUP(E1113,'Rental Transaction'!A:B,2,FALSE)</f>
        <v>422951</v>
      </c>
      <c r="I1113">
        <f t="shared" si="17"/>
        <v>2013</v>
      </c>
    </row>
    <row r="1114" spans="1:9" ht="29.25">
      <c r="A1114" s="1">
        <v>10105</v>
      </c>
      <c r="B1114" s="1">
        <v>1</v>
      </c>
      <c r="C1114" s="2">
        <v>41386</v>
      </c>
      <c r="D1114" s="1" t="s">
        <v>2005</v>
      </c>
      <c r="E1114" s="1">
        <v>100631</v>
      </c>
      <c r="F1114" s="6" t="s">
        <v>3116</v>
      </c>
      <c r="G1114" s="15" t="str">
        <f>VLOOKUP(A1114,Movie!A:D,4,FALSE)</f>
        <v>Weinstein Company</v>
      </c>
      <c r="H1114" s="14">
        <f>VLOOKUP(E1114,'Rental Transaction'!A:B,2,FALSE)</f>
        <v>422951</v>
      </c>
      <c r="I1114">
        <f t="shared" si="17"/>
        <v>2013</v>
      </c>
    </row>
    <row r="1115" spans="1:9">
      <c r="A1115" s="1">
        <v>10260</v>
      </c>
      <c r="B1115" s="1">
        <v>9</v>
      </c>
      <c r="C1115" s="2">
        <v>41388</v>
      </c>
      <c r="D1115" s="1" t="s">
        <v>2005</v>
      </c>
      <c r="E1115" s="1">
        <v>100632</v>
      </c>
      <c r="F1115" s="6" t="s">
        <v>3117</v>
      </c>
      <c r="G1115" s="15" t="str">
        <f>VLOOKUP(A1115,Movie!A:D,4,FALSE)</f>
        <v>Sony</v>
      </c>
      <c r="H1115" s="14">
        <f>VLOOKUP(E1115,'Rental Transaction'!A:B,2,FALSE)</f>
        <v>149240</v>
      </c>
      <c r="I1115">
        <f t="shared" si="17"/>
        <v>2013</v>
      </c>
    </row>
    <row r="1116" spans="1:9">
      <c r="A1116" s="1">
        <v>10100</v>
      </c>
      <c r="B1116" s="1">
        <v>8</v>
      </c>
      <c r="C1116" s="2">
        <v>41386</v>
      </c>
      <c r="D1116" s="1" t="s">
        <v>2002</v>
      </c>
      <c r="E1116" s="1">
        <v>100633</v>
      </c>
      <c r="F1116" s="6" t="s">
        <v>3118</v>
      </c>
      <c r="G1116" s="15" t="str">
        <f>VLOOKUP(A1116,Movie!A:D,4,FALSE)</f>
        <v>Fox</v>
      </c>
      <c r="H1116" s="14">
        <f>VLOOKUP(E1116,'Rental Transaction'!A:B,2,FALSE)</f>
        <v>464984</v>
      </c>
      <c r="I1116">
        <f t="shared" si="17"/>
        <v>2013</v>
      </c>
    </row>
    <row r="1117" spans="1:9">
      <c r="A1117" s="1">
        <v>10078</v>
      </c>
      <c r="B1117" s="1">
        <v>4</v>
      </c>
      <c r="C1117" s="2">
        <v>41386</v>
      </c>
      <c r="D1117" s="1" t="s">
        <v>2002</v>
      </c>
      <c r="E1117" s="1">
        <v>100634</v>
      </c>
      <c r="F1117" s="6" t="s">
        <v>3119</v>
      </c>
      <c r="G1117" s="15" t="str">
        <f>VLOOKUP(A1117,Movie!A:D,4,FALSE)</f>
        <v>Paramount</v>
      </c>
      <c r="H1117" s="14">
        <f>VLOOKUP(E1117,'Rental Transaction'!A:B,2,FALSE)</f>
        <v>841831</v>
      </c>
      <c r="I1117">
        <f t="shared" si="17"/>
        <v>2013</v>
      </c>
    </row>
    <row r="1118" spans="1:9">
      <c r="A1118" s="1">
        <v>10198</v>
      </c>
      <c r="B1118" s="1">
        <v>9</v>
      </c>
      <c r="C1118" s="2">
        <v>41386</v>
      </c>
      <c r="D1118" s="1" t="s">
        <v>2002</v>
      </c>
      <c r="E1118" s="1">
        <v>100634</v>
      </c>
      <c r="F1118" s="6" t="s">
        <v>3120</v>
      </c>
      <c r="G1118" s="15" t="str">
        <f>VLOOKUP(A1118,Movie!A:D,4,FALSE)</f>
        <v>Fox</v>
      </c>
      <c r="H1118" s="14">
        <f>VLOOKUP(E1118,'Rental Transaction'!A:B,2,FALSE)</f>
        <v>841831</v>
      </c>
      <c r="I1118">
        <f t="shared" si="17"/>
        <v>2013</v>
      </c>
    </row>
    <row r="1119" spans="1:9">
      <c r="A1119" s="1">
        <v>10119</v>
      </c>
      <c r="B1119" s="1">
        <v>7</v>
      </c>
      <c r="C1119" s="2">
        <v>41386</v>
      </c>
      <c r="D1119" s="1" t="s">
        <v>2005</v>
      </c>
      <c r="E1119" s="1">
        <v>100634</v>
      </c>
      <c r="F1119" s="6" t="s">
        <v>3121</v>
      </c>
      <c r="G1119" s="15" t="str">
        <f>VLOOKUP(A1119,Movie!A:D,4,FALSE)</f>
        <v>Universal</v>
      </c>
      <c r="H1119" s="14">
        <f>VLOOKUP(E1119,'Rental Transaction'!A:B,2,FALSE)</f>
        <v>841831</v>
      </c>
      <c r="I1119">
        <f t="shared" si="17"/>
        <v>2013</v>
      </c>
    </row>
    <row r="1120" spans="1:9">
      <c r="A1120" s="1">
        <v>10171</v>
      </c>
      <c r="B1120" s="1">
        <v>4</v>
      </c>
      <c r="C1120" s="2">
        <v>41386</v>
      </c>
      <c r="D1120" s="1" t="s">
        <v>2005</v>
      </c>
      <c r="E1120" s="1">
        <v>100635</v>
      </c>
      <c r="F1120" s="6" t="s">
        <v>3122</v>
      </c>
      <c r="G1120" s="15" t="str">
        <f>VLOOKUP(A1120,Movie!A:D,4,FALSE)</f>
        <v>Universal</v>
      </c>
      <c r="H1120" s="14">
        <f>VLOOKUP(E1120,'Rental Transaction'!A:B,2,FALSE)</f>
        <v>981529</v>
      </c>
      <c r="I1120">
        <f t="shared" si="17"/>
        <v>2013</v>
      </c>
    </row>
    <row r="1121" spans="1:9">
      <c r="A1121" s="1">
        <v>10199</v>
      </c>
      <c r="B1121" s="1">
        <v>5</v>
      </c>
      <c r="C1121" s="2">
        <v>41387</v>
      </c>
      <c r="D1121" s="1" t="s">
        <v>2002</v>
      </c>
      <c r="E1121" s="1">
        <v>100635</v>
      </c>
      <c r="F1121" s="6" t="s">
        <v>3123</v>
      </c>
      <c r="G1121" s="15" t="str">
        <f>VLOOKUP(A1121,Movie!A:D,4,FALSE)</f>
        <v>Lionsgate</v>
      </c>
      <c r="H1121" s="14">
        <f>VLOOKUP(E1121,'Rental Transaction'!A:B,2,FALSE)</f>
        <v>981529</v>
      </c>
      <c r="I1121">
        <f t="shared" si="17"/>
        <v>2013</v>
      </c>
    </row>
    <row r="1122" spans="1:9">
      <c r="A1122" s="1">
        <v>10297</v>
      </c>
      <c r="B1122" s="1">
        <v>7</v>
      </c>
      <c r="C1122" s="2">
        <v>41388</v>
      </c>
      <c r="D1122" s="1" t="s">
        <v>2005</v>
      </c>
      <c r="E1122" s="1">
        <v>100636</v>
      </c>
      <c r="F1122" s="6" t="s">
        <v>3124</v>
      </c>
      <c r="G1122" s="15" t="str">
        <f>VLOOKUP(A1122,Movie!A:D,4,FALSE)</f>
        <v>Focus</v>
      </c>
      <c r="H1122" s="14">
        <f>VLOOKUP(E1122,'Rental Transaction'!A:B,2,FALSE)</f>
        <v>513968</v>
      </c>
      <c r="I1122">
        <f t="shared" si="17"/>
        <v>2013</v>
      </c>
    </row>
    <row r="1123" spans="1:9">
      <c r="A1123" s="1">
        <v>10263</v>
      </c>
      <c r="B1123" s="1">
        <v>7</v>
      </c>
      <c r="C1123" s="2">
        <v>41387</v>
      </c>
      <c r="D1123" s="1" t="s">
        <v>2002</v>
      </c>
      <c r="E1123" s="1">
        <v>100637</v>
      </c>
      <c r="F1123" s="6" t="s">
        <v>3125</v>
      </c>
      <c r="G1123" s="15" t="str">
        <f>VLOOKUP(A1123,Movie!A:D,4,FALSE)</f>
        <v>Fox</v>
      </c>
      <c r="H1123" s="14">
        <f>VLOOKUP(E1123,'Rental Transaction'!A:B,2,FALSE)</f>
        <v>464984</v>
      </c>
      <c r="I1123">
        <f t="shared" si="17"/>
        <v>2013</v>
      </c>
    </row>
    <row r="1124" spans="1:9">
      <c r="A1124" s="1">
        <v>10053</v>
      </c>
      <c r="B1124" s="1">
        <v>9</v>
      </c>
      <c r="C1124" s="2">
        <v>41388</v>
      </c>
      <c r="D1124" s="1" t="s">
        <v>2002</v>
      </c>
      <c r="E1124" s="1">
        <v>100637</v>
      </c>
      <c r="F1124" s="6" t="s">
        <v>3126</v>
      </c>
      <c r="G1124" s="15" t="str">
        <f>VLOOKUP(A1124,Movie!A:D,4,FALSE)</f>
        <v>Sony</v>
      </c>
      <c r="H1124" s="14">
        <f>VLOOKUP(E1124,'Rental Transaction'!A:B,2,FALSE)</f>
        <v>464984</v>
      </c>
      <c r="I1124">
        <f t="shared" si="17"/>
        <v>2013</v>
      </c>
    </row>
    <row r="1125" spans="1:9">
      <c r="A1125" s="1">
        <v>10186</v>
      </c>
      <c r="B1125" s="1">
        <v>1</v>
      </c>
      <c r="C1125" s="2">
        <v>41389</v>
      </c>
      <c r="D1125" s="1" t="s">
        <v>2005</v>
      </c>
      <c r="E1125" s="1">
        <v>100638</v>
      </c>
      <c r="F1125" s="6" t="s">
        <v>3127</v>
      </c>
      <c r="G1125" s="15" t="str">
        <f>VLOOKUP(A1125,Movie!A:D,4,FALSE)</f>
        <v>Lionsgate</v>
      </c>
      <c r="H1125" s="14">
        <f>VLOOKUP(E1125,'Rental Transaction'!A:B,2,FALSE)</f>
        <v>448739</v>
      </c>
      <c r="I1125">
        <f t="shared" si="17"/>
        <v>2013</v>
      </c>
    </row>
    <row r="1126" spans="1:9">
      <c r="A1126" s="1">
        <v>10288</v>
      </c>
      <c r="B1126" s="1">
        <v>3</v>
      </c>
      <c r="C1126" s="2">
        <v>41388</v>
      </c>
      <c r="D1126" s="1" t="s">
        <v>2005</v>
      </c>
      <c r="E1126" s="1">
        <v>100638</v>
      </c>
      <c r="F1126" s="6" t="s">
        <v>3128</v>
      </c>
      <c r="G1126" s="15" t="str">
        <f>VLOOKUP(A1126,Movie!A:D,4,FALSE)</f>
        <v>Relativity</v>
      </c>
      <c r="H1126" s="14">
        <f>VLOOKUP(E1126,'Rental Transaction'!A:B,2,FALSE)</f>
        <v>448739</v>
      </c>
      <c r="I1126">
        <f t="shared" si="17"/>
        <v>2013</v>
      </c>
    </row>
    <row r="1127" spans="1:9">
      <c r="A1127" s="1">
        <v>10078</v>
      </c>
      <c r="B1127" s="1">
        <v>7</v>
      </c>
      <c r="C1127" s="2">
        <v>41387</v>
      </c>
      <c r="D1127" s="1" t="s">
        <v>2002</v>
      </c>
      <c r="E1127" s="1">
        <v>100638</v>
      </c>
      <c r="F1127" s="6" t="s">
        <v>3129</v>
      </c>
      <c r="G1127" s="15" t="str">
        <f>VLOOKUP(A1127,Movie!A:D,4,FALSE)</f>
        <v>Paramount</v>
      </c>
      <c r="H1127" s="14">
        <f>VLOOKUP(E1127,'Rental Transaction'!A:B,2,FALSE)</f>
        <v>448739</v>
      </c>
      <c r="I1127">
        <f t="shared" si="17"/>
        <v>2013</v>
      </c>
    </row>
    <row r="1128" spans="1:9">
      <c r="A1128" s="1">
        <v>10125</v>
      </c>
      <c r="B1128" s="1">
        <v>9</v>
      </c>
      <c r="C1128" s="2">
        <v>41387</v>
      </c>
      <c r="D1128" s="1" t="s">
        <v>2005</v>
      </c>
      <c r="E1128" s="1">
        <v>100639</v>
      </c>
      <c r="F1128" s="6" t="s">
        <v>3130</v>
      </c>
      <c r="G1128" s="15" t="str">
        <f>VLOOKUP(A1128,Movie!A:D,4,FALSE)</f>
        <v>Fox</v>
      </c>
      <c r="H1128" s="14">
        <f>VLOOKUP(E1128,'Rental Transaction'!A:B,2,FALSE)</f>
        <v>563500</v>
      </c>
      <c r="I1128">
        <f t="shared" si="17"/>
        <v>2013</v>
      </c>
    </row>
    <row r="1129" spans="1:9">
      <c r="A1129" s="1">
        <v>10090</v>
      </c>
      <c r="B1129" s="1">
        <v>1</v>
      </c>
      <c r="C1129" s="2">
        <v>41387</v>
      </c>
      <c r="D1129" s="1" t="s">
        <v>2002</v>
      </c>
      <c r="E1129" s="1">
        <v>100640</v>
      </c>
      <c r="F1129" s="6" t="s">
        <v>3131</v>
      </c>
      <c r="G1129" s="15" t="str">
        <f>VLOOKUP(A1129,Movie!A:D,4,FALSE)</f>
        <v>Paramount</v>
      </c>
      <c r="H1129" s="14">
        <f>VLOOKUP(E1129,'Rental Transaction'!A:B,2,FALSE)</f>
        <v>765237</v>
      </c>
      <c r="I1129">
        <f t="shared" si="17"/>
        <v>2013</v>
      </c>
    </row>
    <row r="1130" spans="1:9">
      <c r="A1130" s="1">
        <v>10123</v>
      </c>
      <c r="B1130" s="1">
        <v>9</v>
      </c>
      <c r="C1130" s="2">
        <v>41388</v>
      </c>
      <c r="D1130" s="1" t="s">
        <v>2005</v>
      </c>
      <c r="E1130" s="1">
        <v>100641</v>
      </c>
      <c r="F1130" s="6" t="s">
        <v>3132</v>
      </c>
      <c r="G1130" s="15" t="str">
        <f>VLOOKUP(A1130,Movie!A:D,4,FALSE)</f>
        <v>Fox</v>
      </c>
      <c r="H1130" s="14">
        <f>VLOOKUP(E1130,'Rental Transaction'!A:B,2,FALSE)</f>
        <v>563500</v>
      </c>
      <c r="I1130">
        <f t="shared" si="17"/>
        <v>2013</v>
      </c>
    </row>
    <row r="1131" spans="1:9">
      <c r="A1131" s="1">
        <v>10237</v>
      </c>
      <c r="B1131" s="1">
        <v>4</v>
      </c>
      <c r="C1131" s="2">
        <v>41389</v>
      </c>
      <c r="D1131" s="1" t="s">
        <v>2005</v>
      </c>
      <c r="E1131" s="1">
        <v>100641</v>
      </c>
      <c r="F1131" s="6" t="s">
        <v>3133</v>
      </c>
      <c r="G1131" s="15" t="str">
        <f>VLOOKUP(A1131,Movie!A:D,4,FALSE)</f>
        <v>Warner Brothers</v>
      </c>
      <c r="H1131" s="14">
        <f>VLOOKUP(E1131,'Rental Transaction'!A:B,2,FALSE)</f>
        <v>563500</v>
      </c>
      <c r="I1131">
        <f t="shared" si="17"/>
        <v>2013</v>
      </c>
    </row>
    <row r="1132" spans="1:9" ht="29.25">
      <c r="A1132" s="1">
        <v>10285</v>
      </c>
      <c r="B1132" s="1">
        <v>6</v>
      </c>
      <c r="C1132" s="2">
        <v>41389</v>
      </c>
      <c r="D1132" s="1" t="s">
        <v>2002</v>
      </c>
      <c r="E1132" s="1">
        <v>100642</v>
      </c>
      <c r="F1132" s="6" t="s">
        <v>3134</v>
      </c>
      <c r="G1132" s="15" t="str">
        <f>VLOOKUP(A1132,Movie!A:D,4,FALSE)</f>
        <v>Roadside Attractions</v>
      </c>
      <c r="H1132" s="14">
        <f>VLOOKUP(E1132,'Rental Transaction'!A:B,2,FALSE)</f>
        <v>289693</v>
      </c>
      <c r="I1132">
        <f t="shared" si="17"/>
        <v>2013</v>
      </c>
    </row>
    <row r="1133" spans="1:9">
      <c r="A1133" s="1">
        <v>10191</v>
      </c>
      <c r="B1133" s="1">
        <v>5</v>
      </c>
      <c r="C1133" s="2">
        <v>41389</v>
      </c>
      <c r="D1133" s="1" t="s">
        <v>2005</v>
      </c>
      <c r="E1133" s="1">
        <v>100643</v>
      </c>
      <c r="F1133" s="6" t="s">
        <v>3135</v>
      </c>
      <c r="G1133" s="15" t="str">
        <f>VLOOKUP(A1133,Movie!A:D,4,FALSE)</f>
        <v>Universal</v>
      </c>
      <c r="H1133" s="14">
        <f>VLOOKUP(E1133,'Rental Transaction'!A:B,2,FALSE)</f>
        <v>244282</v>
      </c>
      <c r="I1133">
        <f t="shared" si="17"/>
        <v>2013</v>
      </c>
    </row>
    <row r="1134" spans="1:9">
      <c r="A1134" s="1">
        <v>10148</v>
      </c>
      <c r="B1134" s="1">
        <v>4</v>
      </c>
      <c r="C1134" s="2">
        <v>41389</v>
      </c>
      <c r="D1134" s="1" t="s">
        <v>2005</v>
      </c>
      <c r="E1134" s="1">
        <v>100643</v>
      </c>
      <c r="F1134" s="6" t="s">
        <v>3136</v>
      </c>
      <c r="G1134" s="15" t="str">
        <f>VLOOKUP(A1134,Movie!A:D,4,FALSE)</f>
        <v>Paramount</v>
      </c>
      <c r="H1134" s="14">
        <f>VLOOKUP(E1134,'Rental Transaction'!A:B,2,FALSE)</f>
        <v>244282</v>
      </c>
      <c r="I1134">
        <f t="shared" si="17"/>
        <v>2013</v>
      </c>
    </row>
    <row r="1135" spans="1:9">
      <c r="A1135" s="1">
        <v>10006</v>
      </c>
      <c r="B1135" s="1">
        <v>6</v>
      </c>
      <c r="C1135" s="2">
        <v>41389</v>
      </c>
      <c r="D1135" s="1" t="s">
        <v>2005</v>
      </c>
      <c r="E1135" s="1">
        <v>100644</v>
      </c>
      <c r="F1135" s="6" t="s">
        <v>3137</v>
      </c>
      <c r="G1135" s="15" t="str">
        <f>VLOOKUP(A1135,Movie!A:D,4,FALSE)</f>
        <v>Paramount</v>
      </c>
      <c r="H1135" s="14">
        <f>VLOOKUP(E1135,'Rental Transaction'!A:B,2,FALSE)</f>
        <v>950299</v>
      </c>
      <c r="I1135">
        <f t="shared" si="17"/>
        <v>2013</v>
      </c>
    </row>
    <row r="1136" spans="1:9">
      <c r="A1136" s="1">
        <v>10111</v>
      </c>
      <c r="B1136" s="1">
        <v>8</v>
      </c>
      <c r="C1136" s="2">
        <v>41389</v>
      </c>
      <c r="D1136" s="1" t="s">
        <v>2002</v>
      </c>
      <c r="E1136" s="1">
        <v>100644</v>
      </c>
      <c r="F1136" s="6" t="s">
        <v>3138</v>
      </c>
      <c r="G1136" s="15" t="str">
        <f>VLOOKUP(A1136,Movie!A:D,4,FALSE)</f>
        <v>Fox</v>
      </c>
      <c r="H1136" s="14">
        <f>VLOOKUP(E1136,'Rental Transaction'!A:B,2,FALSE)</f>
        <v>950299</v>
      </c>
      <c r="I1136">
        <f t="shared" si="17"/>
        <v>2013</v>
      </c>
    </row>
    <row r="1137" spans="1:9">
      <c r="A1137" s="1">
        <v>10061</v>
      </c>
      <c r="B1137" s="1">
        <v>8</v>
      </c>
      <c r="C1137" s="2">
        <v>41389</v>
      </c>
      <c r="D1137" s="1" t="s">
        <v>2002</v>
      </c>
      <c r="E1137" s="1">
        <v>100644</v>
      </c>
      <c r="F1137" s="6" t="s">
        <v>3139</v>
      </c>
      <c r="G1137" s="15" t="str">
        <f>VLOOKUP(A1137,Movie!A:D,4,FALSE)</f>
        <v>Fox</v>
      </c>
      <c r="H1137" s="14">
        <f>VLOOKUP(E1137,'Rental Transaction'!A:B,2,FALSE)</f>
        <v>950299</v>
      </c>
      <c r="I1137">
        <f t="shared" si="17"/>
        <v>2013</v>
      </c>
    </row>
    <row r="1138" spans="1:9">
      <c r="A1138" s="1">
        <v>10197</v>
      </c>
      <c r="B1138" s="1">
        <v>5</v>
      </c>
      <c r="C1138" s="2">
        <v>41390</v>
      </c>
      <c r="D1138" s="1" t="s">
        <v>2005</v>
      </c>
      <c r="E1138" s="1">
        <v>100645</v>
      </c>
      <c r="F1138" s="6" t="s">
        <v>3140</v>
      </c>
      <c r="G1138" s="15" t="str">
        <f>VLOOKUP(A1138,Movie!A:D,4,FALSE)</f>
        <v>Warner Brothers</v>
      </c>
      <c r="H1138" s="14">
        <f>VLOOKUP(E1138,'Rental Transaction'!A:B,2,FALSE)</f>
        <v>748326</v>
      </c>
      <c r="I1138">
        <f t="shared" si="17"/>
        <v>2013</v>
      </c>
    </row>
    <row r="1139" spans="1:9" ht="29.25">
      <c r="A1139" s="1">
        <v>10121</v>
      </c>
      <c r="B1139" s="1">
        <v>7</v>
      </c>
      <c r="C1139" s="2">
        <v>41391</v>
      </c>
      <c r="D1139" s="1" t="s">
        <v>2005</v>
      </c>
      <c r="E1139" s="1">
        <v>100646</v>
      </c>
      <c r="F1139" s="6" t="s">
        <v>3141</v>
      </c>
      <c r="G1139" s="15" t="str">
        <f>VLOOKUP(A1139,Movie!A:D,4,FALSE)</f>
        <v>Weinstein Company</v>
      </c>
      <c r="H1139" s="14">
        <f>VLOOKUP(E1139,'Rental Transaction'!A:B,2,FALSE)</f>
        <v>668931</v>
      </c>
      <c r="I1139">
        <f t="shared" si="17"/>
        <v>2013</v>
      </c>
    </row>
    <row r="1140" spans="1:9">
      <c r="A1140" s="1">
        <v>10043</v>
      </c>
      <c r="B1140" s="1">
        <v>9</v>
      </c>
      <c r="C1140" s="2">
        <v>41390</v>
      </c>
      <c r="D1140" s="1" t="s">
        <v>2002</v>
      </c>
      <c r="E1140" s="1">
        <v>100647</v>
      </c>
      <c r="F1140" s="6" t="s">
        <v>3142</v>
      </c>
      <c r="G1140" s="15" t="str">
        <f>VLOOKUP(A1140,Movie!A:D,4,FALSE)</f>
        <v>Screen Gems</v>
      </c>
      <c r="H1140" s="14">
        <f>VLOOKUP(E1140,'Rental Transaction'!A:B,2,FALSE)</f>
        <v>994185</v>
      </c>
      <c r="I1140">
        <f t="shared" si="17"/>
        <v>2013</v>
      </c>
    </row>
    <row r="1141" spans="1:9">
      <c r="A1141" s="1">
        <v>10025</v>
      </c>
      <c r="B1141" s="1">
        <v>4</v>
      </c>
      <c r="C1141" s="2">
        <v>41391</v>
      </c>
      <c r="D1141" s="1" t="s">
        <v>2002</v>
      </c>
      <c r="E1141" s="1">
        <v>100648</v>
      </c>
      <c r="F1141" s="6" t="s">
        <v>3143</v>
      </c>
      <c r="G1141" s="15" t="str">
        <f>VLOOKUP(A1141,Movie!A:D,4,FALSE)</f>
        <v>Sony</v>
      </c>
      <c r="H1141" s="14">
        <f>VLOOKUP(E1141,'Rental Transaction'!A:B,2,FALSE)</f>
        <v>145929</v>
      </c>
      <c r="I1141">
        <f t="shared" si="17"/>
        <v>2013</v>
      </c>
    </row>
    <row r="1142" spans="1:9">
      <c r="A1142" s="1">
        <v>10109</v>
      </c>
      <c r="B1142" s="1">
        <v>4</v>
      </c>
      <c r="C1142" s="2">
        <v>41390</v>
      </c>
      <c r="D1142" s="1" t="s">
        <v>2002</v>
      </c>
      <c r="E1142" s="1">
        <v>100648</v>
      </c>
      <c r="F1142" s="6" t="s">
        <v>3144</v>
      </c>
      <c r="G1142" s="15" t="str">
        <f>VLOOKUP(A1142,Movie!A:D,4,FALSE)</f>
        <v>Warner Brothers</v>
      </c>
      <c r="H1142" s="14">
        <f>VLOOKUP(E1142,'Rental Transaction'!A:B,2,FALSE)</f>
        <v>145929</v>
      </c>
      <c r="I1142">
        <f t="shared" si="17"/>
        <v>2013</v>
      </c>
    </row>
    <row r="1143" spans="1:9">
      <c r="A1143" s="1">
        <v>10137</v>
      </c>
      <c r="B1143" s="1">
        <v>7</v>
      </c>
      <c r="C1143" s="2">
        <v>41392</v>
      </c>
      <c r="D1143" s="1" t="s">
        <v>2005</v>
      </c>
      <c r="E1143" s="1">
        <v>100649</v>
      </c>
      <c r="F1143" s="6" t="s">
        <v>3145</v>
      </c>
      <c r="G1143" s="15" t="str">
        <f>VLOOKUP(A1143,Movie!A:D,4,FALSE)</f>
        <v>Buena Vista</v>
      </c>
      <c r="H1143" s="14">
        <f>VLOOKUP(E1143,'Rental Transaction'!A:B,2,FALSE)</f>
        <v>132454</v>
      </c>
      <c r="I1143">
        <f t="shared" si="17"/>
        <v>2013</v>
      </c>
    </row>
    <row r="1144" spans="1:9">
      <c r="A1144" s="1">
        <v>10118</v>
      </c>
      <c r="B1144" s="1">
        <v>6</v>
      </c>
      <c r="C1144" s="2">
        <v>41392</v>
      </c>
      <c r="D1144" s="1" t="s">
        <v>2002</v>
      </c>
      <c r="E1144" s="1">
        <v>100650</v>
      </c>
      <c r="F1144" s="6" t="s">
        <v>3146</v>
      </c>
      <c r="G1144" s="15" t="str">
        <f>VLOOKUP(A1144,Movie!A:D,4,FALSE)</f>
        <v>Buena Vista</v>
      </c>
      <c r="H1144" s="14">
        <f>VLOOKUP(E1144,'Rental Transaction'!A:B,2,FALSE)</f>
        <v>427826</v>
      </c>
      <c r="I1144">
        <f t="shared" si="17"/>
        <v>2013</v>
      </c>
    </row>
    <row r="1145" spans="1:9">
      <c r="A1145" s="1">
        <v>10166</v>
      </c>
      <c r="B1145" s="1">
        <v>3</v>
      </c>
      <c r="C1145" s="2">
        <v>41392</v>
      </c>
      <c r="D1145" s="1" t="s">
        <v>2002</v>
      </c>
      <c r="E1145" s="1">
        <v>100650</v>
      </c>
      <c r="F1145" s="6" t="s">
        <v>3147</v>
      </c>
      <c r="G1145" s="15" t="str">
        <f>VLOOKUP(A1145,Movie!A:D,4,FALSE)</f>
        <v>Fox</v>
      </c>
      <c r="H1145" s="14">
        <f>VLOOKUP(E1145,'Rental Transaction'!A:B,2,FALSE)</f>
        <v>427826</v>
      </c>
      <c r="I1145">
        <f t="shared" si="17"/>
        <v>2013</v>
      </c>
    </row>
    <row r="1146" spans="1:9">
      <c r="A1146" s="1">
        <v>10199</v>
      </c>
      <c r="B1146" s="1">
        <v>3</v>
      </c>
      <c r="C1146" s="2">
        <v>41392</v>
      </c>
      <c r="D1146" s="1" t="s">
        <v>2005</v>
      </c>
      <c r="E1146" s="1">
        <v>100650</v>
      </c>
      <c r="F1146" s="6" t="s">
        <v>3148</v>
      </c>
      <c r="G1146" s="15" t="str">
        <f>VLOOKUP(A1146,Movie!A:D,4,FALSE)</f>
        <v>Lionsgate</v>
      </c>
      <c r="H1146" s="14">
        <f>VLOOKUP(E1146,'Rental Transaction'!A:B,2,FALSE)</f>
        <v>427826</v>
      </c>
      <c r="I1146">
        <f t="shared" si="17"/>
        <v>2013</v>
      </c>
    </row>
    <row r="1147" spans="1:9">
      <c r="A1147" s="1">
        <v>10260</v>
      </c>
      <c r="B1147" s="1">
        <v>8</v>
      </c>
      <c r="C1147" s="2">
        <v>41392</v>
      </c>
      <c r="D1147" s="1" t="s">
        <v>2005</v>
      </c>
      <c r="E1147" s="1">
        <v>100651</v>
      </c>
      <c r="F1147" s="6" t="s">
        <v>3149</v>
      </c>
      <c r="G1147" s="15" t="str">
        <f>VLOOKUP(A1147,Movie!A:D,4,FALSE)</f>
        <v>Sony</v>
      </c>
      <c r="H1147" s="14">
        <f>VLOOKUP(E1147,'Rental Transaction'!A:B,2,FALSE)</f>
        <v>225489</v>
      </c>
      <c r="I1147">
        <f t="shared" si="17"/>
        <v>2013</v>
      </c>
    </row>
    <row r="1148" spans="1:9">
      <c r="A1148" s="1">
        <v>10027</v>
      </c>
      <c r="B1148" s="1">
        <v>3</v>
      </c>
      <c r="C1148" s="2">
        <v>41391</v>
      </c>
      <c r="D1148" s="1" t="s">
        <v>2002</v>
      </c>
      <c r="E1148" s="1">
        <v>100652</v>
      </c>
      <c r="F1148" s="6" t="s">
        <v>3150</v>
      </c>
      <c r="G1148" s="15" t="str">
        <f>VLOOKUP(A1148,Movie!A:D,4,FALSE)</f>
        <v>FilmDistrict</v>
      </c>
      <c r="H1148" s="14">
        <f>VLOOKUP(E1148,'Rental Transaction'!A:B,2,FALSE)</f>
        <v>940912</v>
      </c>
      <c r="I1148">
        <f t="shared" si="17"/>
        <v>2013</v>
      </c>
    </row>
    <row r="1149" spans="1:9">
      <c r="A1149" s="1">
        <v>10088</v>
      </c>
      <c r="B1149" s="1">
        <v>7</v>
      </c>
      <c r="C1149" s="2">
        <v>41391</v>
      </c>
      <c r="D1149" s="1" t="s">
        <v>2002</v>
      </c>
      <c r="E1149" s="1">
        <v>100652</v>
      </c>
      <c r="F1149" s="6" t="s">
        <v>3151</v>
      </c>
      <c r="G1149" s="15" t="str">
        <f>VLOOKUP(A1149,Movie!A:D,4,FALSE)</f>
        <v>Warner Brothers</v>
      </c>
      <c r="H1149" s="14">
        <f>VLOOKUP(E1149,'Rental Transaction'!A:B,2,FALSE)</f>
        <v>940912</v>
      </c>
      <c r="I1149">
        <f t="shared" si="17"/>
        <v>2013</v>
      </c>
    </row>
    <row r="1150" spans="1:9">
      <c r="A1150" s="1">
        <v>10047</v>
      </c>
      <c r="B1150" s="1">
        <v>10</v>
      </c>
      <c r="C1150" s="2">
        <v>41391</v>
      </c>
      <c r="D1150" s="1" t="s">
        <v>2005</v>
      </c>
      <c r="E1150" s="1">
        <v>100653</v>
      </c>
      <c r="F1150" s="6" t="s">
        <v>3152</v>
      </c>
      <c r="G1150" s="15" t="str">
        <f>VLOOKUP(A1150,Movie!A:D,4,FALSE)</f>
        <v>Warner Brothers</v>
      </c>
      <c r="H1150" s="14">
        <f>VLOOKUP(E1150,'Rental Transaction'!A:B,2,FALSE)</f>
        <v>121639</v>
      </c>
      <c r="I1150">
        <f t="shared" si="17"/>
        <v>2013</v>
      </c>
    </row>
    <row r="1151" spans="1:9">
      <c r="A1151" s="1">
        <v>10077</v>
      </c>
      <c r="B1151" s="1">
        <v>7</v>
      </c>
      <c r="C1151" s="2">
        <v>41392</v>
      </c>
      <c r="D1151" s="1" t="s">
        <v>2002</v>
      </c>
      <c r="E1151" s="1">
        <v>100654</v>
      </c>
      <c r="F1151" s="6" t="s">
        <v>3153</v>
      </c>
      <c r="G1151" s="15" t="str">
        <f>VLOOKUP(A1151,Movie!A:D,4,FALSE)</f>
        <v>Warner Brothers</v>
      </c>
      <c r="H1151" s="14">
        <f>VLOOKUP(E1151,'Rental Transaction'!A:B,2,FALSE)</f>
        <v>720602</v>
      </c>
      <c r="I1151">
        <f t="shared" si="17"/>
        <v>2013</v>
      </c>
    </row>
    <row r="1152" spans="1:9">
      <c r="A1152" s="1">
        <v>10204</v>
      </c>
      <c r="B1152" s="1">
        <v>9</v>
      </c>
      <c r="C1152" s="2">
        <v>41393</v>
      </c>
      <c r="D1152" s="1" t="s">
        <v>2005</v>
      </c>
      <c r="E1152" s="1">
        <v>100654</v>
      </c>
      <c r="F1152" s="6" t="s">
        <v>3154</v>
      </c>
      <c r="G1152" s="15" t="str">
        <f>VLOOKUP(A1152,Movie!A:D,4,FALSE)</f>
        <v>Universal</v>
      </c>
      <c r="H1152" s="14">
        <f>VLOOKUP(E1152,'Rental Transaction'!A:B,2,FALSE)</f>
        <v>720602</v>
      </c>
      <c r="I1152">
        <f t="shared" si="17"/>
        <v>2013</v>
      </c>
    </row>
    <row r="1153" spans="1:9">
      <c r="A1153" s="1">
        <v>10082</v>
      </c>
      <c r="B1153" s="1">
        <v>6</v>
      </c>
      <c r="C1153" s="2">
        <v>41392</v>
      </c>
      <c r="D1153" s="1" t="s">
        <v>2005</v>
      </c>
      <c r="E1153" s="1">
        <v>100655</v>
      </c>
      <c r="F1153" s="6" t="s">
        <v>3155</v>
      </c>
      <c r="G1153" s="15" t="str">
        <f>VLOOKUP(A1153,Movie!A:D,4,FALSE)</f>
        <v>Buena Vista</v>
      </c>
      <c r="H1153" s="14">
        <f>VLOOKUP(E1153,'Rental Transaction'!A:B,2,FALSE)</f>
        <v>833180</v>
      </c>
      <c r="I1153">
        <f t="shared" si="17"/>
        <v>2013</v>
      </c>
    </row>
    <row r="1154" spans="1:9">
      <c r="A1154" s="1">
        <v>10084</v>
      </c>
      <c r="B1154" s="1">
        <v>7</v>
      </c>
      <c r="C1154" s="2">
        <v>41392</v>
      </c>
      <c r="D1154" s="1" t="s">
        <v>2005</v>
      </c>
      <c r="E1154" s="1">
        <v>100655</v>
      </c>
      <c r="F1154" s="6" t="s">
        <v>3156</v>
      </c>
      <c r="G1154" s="15" t="str">
        <f>VLOOKUP(A1154,Movie!A:D,4,FALSE)</f>
        <v>CBS Films</v>
      </c>
      <c r="H1154" s="14">
        <f>VLOOKUP(E1154,'Rental Transaction'!A:B,2,FALSE)</f>
        <v>833180</v>
      </c>
      <c r="I1154">
        <f t="shared" si="17"/>
        <v>2013</v>
      </c>
    </row>
    <row r="1155" spans="1:9" ht="29.25">
      <c r="A1155" s="1">
        <v>10144</v>
      </c>
      <c r="B1155" s="1">
        <v>4</v>
      </c>
      <c r="C1155" s="2">
        <v>41392</v>
      </c>
      <c r="D1155" s="1" t="s">
        <v>2005</v>
      </c>
      <c r="E1155" s="1">
        <v>100656</v>
      </c>
      <c r="F1155" s="6" t="s">
        <v>3157</v>
      </c>
      <c r="G1155" s="15" t="str">
        <f>VLOOKUP(A1155,Movie!A:D,4,FALSE)</f>
        <v>Weinstein Company</v>
      </c>
      <c r="H1155" s="14">
        <f>VLOOKUP(E1155,'Rental Transaction'!A:B,2,FALSE)</f>
        <v>660634</v>
      </c>
      <c r="I1155">
        <f t="shared" ref="I1155:I1218" si="18">YEAR(C1155)</f>
        <v>2013</v>
      </c>
    </row>
    <row r="1156" spans="1:9">
      <c r="A1156" s="1">
        <v>10120</v>
      </c>
      <c r="B1156" s="1">
        <v>5</v>
      </c>
      <c r="C1156" s="2">
        <v>41392</v>
      </c>
      <c r="D1156" s="1" t="s">
        <v>2005</v>
      </c>
      <c r="E1156" s="1">
        <v>100656</v>
      </c>
      <c r="F1156" s="6" t="s">
        <v>3158</v>
      </c>
      <c r="G1156" s="15" t="str">
        <f>VLOOKUP(A1156,Movie!A:D,4,FALSE)</f>
        <v>Focus</v>
      </c>
      <c r="H1156" s="14">
        <f>VLOOKUP(E1156,'Rental Transaction'!A:B,2,FALSE)</f>
        <v>660634</v>
      </c>
      <c r="I1156">
        <f t="shared" si="18"/>
        <v>2013</v>
      </c>
    </row>
    <row r="1157" spans="1:9">
      <c r="A1157" s="1">
        <v>10227</v>
      </c>
      <c r="B1157" s="1">
        <v>5</v>
      </c>
      <c r="C1157" s="2">
        <v>41392</v>
      </c>
      <c r="D1157" s="1" t="s">
        <v>2002</v>
      </c>
      <c r="E1157" s="1">
        <v>100657</v>
      </c>
      <c r="F1157" s="6" t="s">
        <v>3159</v>
      </c>
      <c r="G1157" s="15" t="str">
        <f>VLOOKUP(A1157,Movie!A:D,4,FALSE)</f>
        <v>Focus</v>
      </c>
      <c r="H1157" s="14">
        <f>VLOOKUP(E1157,'Rental Transaction'!A:B,2,FALSE)</f>
        <v>739440</v>
      </c>
      <c r="I1157">
        <f t="shared" si="18"/>
        <v>2013</v>
      </c>
    </row>
    <row r="1158" spans="1:9">
      <c r="A1158" s="1">
        <v>10102</v>
      </c>
      <c r="B1158" s="1">
        <v>9</v>
      </c>
      <c r="C1158" s="2">
        <v>41392</v>
      </c>
      <c r="D1158" s="1" t="s">
        <v>2002</v>
      </c>
      <c r="E1158" s="1">
        <v>100657</v>
      </c>
      <c r="F1158" s="6" t="s">
        <v>3160</v>
      </c>
      <c r="G1158" s="15" t="str">
        <f>VLOOKUP(A1158,Movie!A:D,4,FALSE)</f>
        <v>Universal</v>
      </c>
      <c r="H1158" s="14">
        <f>VLOOKUP(E1158,'Rental Transaction'!A:B,2,FALSE)</f>
        <v>739440</v>
      </c>
      <c r="I1158">
        <f t="shared" si="18"/>
        <v>2013</v>
      </c>
    </row>
    <row r="1159" spans="1:9">
      <c r="A1159" s="1">
        <v>10125</v>
      </c>
      <c r="B1159" s="1">
        <v>1</v>
      </c>
      <c r="C1159" s="2">
        <v>41392</v>
      </c>
      <c r="D1159" s="1" t="s">
        <v>2002</v>
      </c>
      <c r="E1159" s="1">
        <v>100657</v>
      </c>
      <c r="F1159" s="6" t="s">
        <v>3161</v>
      </c>
      <c r="G1159" s="15" t="str">
        <f>VLOOKUP(A1159,Movie!A:D,4,FALSE)</f>
        <v>Fox</v>
      </c>
      <c r="H1159" s="14">
        <f>VLOOKUP(E1159,'Rental Transaction'!A:B,2,FALSE)</f>
        <v>739440</v>
      </c>
      <c r="I1159">
        <f t="shared" si="18"/>
        <v>2013</v>
      </c>
    </row>
    <row r="1160" spans="1:9">
      <c r="A1160" s="1">
        <v>10171</v>
      </c>
      <c r="B1160" s="1">
        <v>9</v>
      </c>
      <c r="C1160" s="2">
        <v>41393</v>
      </c>
      <c r="D1160" s="1" t="s">
        <v>2002</v>
      </c>
      <c r="E1160" s="1">
        <v>100658</v>
      </c>
      <c r="F1160" s="6" t="s">
        <v>3162</v>
      </c>
      <c r="G1160" s="15" t="str">
        <f>VLOOKUP(A1160,Movie!A:D,4,FALSE)</f>
        <v>Universal</v>
      </c>
      <c r="H1160" s="14">
        <f>VLOOKUP(E1160,'Rental Transaction'!A:B,2,FALSE)</f>
        <v>488295</v>
      </c>
      <c r="I1160">
        <f t="shared" si="18"/>
        <v>2013</v>
      </c>
    </row>
    <row r="1161" spans="1:9">
      <c r="A1161" s="1">
        <v>10276</v>
      </c>
      <c r="B1161" s="1">
        <v>3</v>
      </c>
      <c r="C1161" s="2">
        <v>41394</v>
      </c>
      <c r="D1161" s="1" t="s">
        <v>2005</v>
      </c>
      <c r="E1161" s="1">
        <v>100659</v>
      </c>
      <c r="F1161" s="6" t="s">
        <v>3163</v>
      </c>
      <c r="G1161" s="15" t="str">
        <f>VLOOKUP(A1161,Movie!A:D,4,FALSE)</f>
        <v>FilmDistrict</v>
      </c>
      <c r="H1161" s="14">
        <f>VLOOKUP(E1161,'Rental Transaction'!A:B,2,FALSE)</f>
        <v>585972</v>
      </c>
      <c r="I1161">
        <f t="shared" si="18"/>
        <v>2013</v>
      </c>
    </row>
    <row r="1162" spans="1:9">
      <c r="A1162" s="1">
        <v>10086</v>
      </c>
      <c r="B1162" s="1">
        <v>7</v>
      </c>
      <c r="C1162" s="2">
        <v>41394</v>
      </c>
      <c r="D1162" s="1" t="s">
        <v>2005</v>
      </c>
      <c r="E1162" s="1">
        <v>100659</v>
      </c>
      <c r="F1162" s="6" t="s">
        <v>3164</v>
      </c>
      <c r="G1162" s="15" t="str">
        <f>VLOOKUP(A1162,Movie!A:D,4,FALSE)</f>
        <v>Buena Vista</v>
      </c>
      <c r="H1162" s="14">
        <f>VLOOKUP(E1162,'Rental Transaction'!A:B,2,FALSE)</f>
        <v>585972</v>
      </c>
      <c r="I1162">
        <f t="shared" si="18"/>
        <v>2013</v>
      </c>
    </row>
    <row r="1163" spans="1:9">
      <c r="A1163" s="1">
        <v>10123</v>
      </c>
      <c r="B1163" s="1">
        <v>9</v>
      </c>
      <c r="C1163" s="2">
        <v>41393</v>
      </c>
      <c r="D1163" s="1" t="s">
        <v>2002</v>
      </c>
      <c r="E1163" s="1">
        <v>100660</v>
      </c>
      <c r="F1163" s="6" t="s">
        <v>3165</v>
      </c>
      <c r="G1163" s="15" t="str">
        <f>VLOOKUP(A1163,Movie!A:D,4,FALSE)</f>
        <v>Fox</v>
      </c>
      <c r="H1163" s="14">
        <f>VLOOKUP(E1163,'Rental Transaction'!A:B,2,FALSE)</f>
        <v>723057</v>
      </c>
      <c r="I1163">
        <f t="shared" si="18"/>
        <v>2013</v>
      </c>
    </row>
    <row r="1164" spans="1:9">
      <c r="A1164" s="1">
        <v>10183</v>
      </c>
      <c r="B1164" s="1">
        <v>8</v>
      </c>
      <c r="C1164" s="2">
        <v>41393</v>
      </c>
      <c r="D1164" s="1" t="s">
        <v>2005</v>
      </c>
      <c r="E1164" s="1">
        <v>100660</v>
      </c>
      <c r="F1164" s="6" t="s">
        <v>3166</v>
      </c>
      <c r="G1164" s="15" t="str">
        <f>VLOOKUP(A1164,Movie!A:D,4,FALSE)</f>
        <v>Sony</v>
      </c>
      <c r="H1164" s="14">
        <f>VLOOKUP(E1164,'Rental Transaction'!A:B,2,FALSE)</f>
        <v>723057</v>
      </c>
      <c r="I1164">
        <f t="shared" si="18"/>
        <v>2013</v>
      </c>
    </row>
    <row r="1165" spans="1:9">
      <c r="A1165" s="1">
        <v>10104</v>
      </c>
      <c r="B1165" s="1">
        <v>4</v>
      </c>
      <c r="C1165" s="2">
        <v>41393</v>
      </c>
      <c r="D1165" s="1" t="s">
        <v>2002</v>
      </c>
      <c r="E1165" s="1">
        <v>100661</v>
      </c>
      <c r="F1165" s="6" t="s">
        <v>3167</v>
      </c>
      <c r="G1165" s="15" t="str">
        <f>VLOOKUP(A1165,Movie!A:D,4,FALSE)</f>
        <v>Universal</v>
      </c>
      <c r="H1165" s="14">
        <f>VLOOKUP(E1165,'Rental Transaction'!A:B,2,FALSE)</f>
        <v>566192</v>
      </c>
      <c r="I1165">
        <f t="shared" si="18"/>
        <v>2013</v>
      </c>
    </row>
    <row r="1166" spans="1:9">
      <c r="A1166" s="1">
        <v>10065</v>
      </c>
      <c r="B1166" s="1">
        <v>7</v>
      </c>
      <c r="C1166" s="2">
        <v>41393</v>
      </c>
      <c r="D1166" s="1" t="s">
        <v>2002</v>
      </c>
      <c r="E1166" s="1">
        <v>100662</v>
      </c>
      <c r="F1166" s="6" t="s">
        <v>3168</v>
      </c>
      <c r="G1166" s="15" t="str">
        <f>VLOOKUP(A1166,Movie!A:D,4,FALSE)</f>
        <v>Warner Brothers</v>
      </c>
      <c r="H1166" s="14">
        <f>VLOOKUP(E1166,'Rental Transaction'!A:B,2,FALSE)</f>
        <v>561305</v>
      </c>
      <c r="I1166">
        <f t="shared" si="18"/>
        <v>2013</v>
      </c>
    </row>
    <row r="1167" spans="1:9" ht="29.25">
      <c r="A1167" s="1">
        <v>10154</v>
      </c>
      <c r="B1167" s="1">
        <v>7</v>
      </c>
      <c r="C1167" s="2">
        <v>41393</v>
      </c>
      <c r="D1167" s="1" t="s">
        <v>2002</v>
      </c>
      <c r="E1167" s="1">
        <v>100663</v>
      </c>
      <c r="F1167" s="6" t="s">
        <v>3169</v>
      </c>
      <c r="G1167" s="15" t="str">
        <f>VLOOKUP(A1167,Movie!A:D,4,FALSE)</f>
        <v>Summit Entertainment</v>
      </c>
      <c r="H1167" s="14">
        <f>VLOOKUP(E1167,'Rental Transaction'!A:B,2,FALSE)</f>
        <v>548800</v>
      </c>
      <c r="I1167">
        <f t="shared" si="18"/>
        <v>2013</v>
      </c>
    </row>
    <row r="1168" spans="1:9">
      <c r="A1168" s="1">
        <v>10273</v>
      </c>
      <c r="B1168" s="1">
        <v>10</v>
      </c>
      <c r="C1168" s="2">
        <v>41393</v>
      </c>
      <c r="D1168" s="1" t="s">
        <v>2002</v>
      </c>
      <c r="E1168" s="1">
        <v>100664</v>
      </c>
      <c r="F1168" s="6" t="s">
        <v>3170</v>
      </c>
      <c r="G1168" s="15" t="str">
        <f>VLOOKUP(A1168,Movie!A:D,4,FALSE)</f>
        <v>Sony</v>
      </c>
      <c r="H1168" s="14">
        <f>VLOOKUP(E1168,'Rental Transaction'!A:B,2,FALSE)</f>
        <v>275152</v>
      </c>
      <c r="I1168">
        <f t="shared" si="18"/>
        <v>2013</v>
      </c>
    </row>
    <row r="1169" spans="1:9">
      <c r="A1169" s="1">
        <v>10118</v>
      </c>
      <c r="B1169" s="1">
        <v>6</v>
      </c>
      <c r="C1169" s="2">
        <v>41393</v>
      </c>
      <c r="D1169" s="1" t="s">
        <v>2005</v>
      </c>
      <c r="E1169" s="1">
        <v>100664</v>
      </c>
      <c r="F1169" s="6" t="s">
        <v>3171</v>
      </c>
      <c r="G1169" s="15" t="str">
        <f>VLOOKUP(A1169,Movie!A:D,4,FALSE)</f>
        <v>Buena Vista</v>
      </c>
      <c r="H1169" s="14">
        <f>VLOOKUP(E1169,'Rental Transaction'!A:B,2,FALSE)</f>
        <v>275152</v>
      </c>
      <c r="I1169">
        <f t="shared" si="18"/>
        <v>2013</v>
      </c>
    </row>
    <row r="1170" spans="1:9">
      <c r="A1170" s="1">
        <v>10174</v>
      </c>
      <c r="B1170" s="1">
        <v>8</v>
      </c>
      <c r="C1170" s="2">
        <v>41393</v>
      </c>
      <c r="D1170" s="1" t="s">
        <v>2002</v>
      </c>
      <c r="E1170" s="1">
        <v>100664</v>
      </c>
      <c r="F1170" s="6" t="s">
        <v>3172</v>
      </c>
      <c r="G1170" s="15" t="str">
        <f>VLOOKUP(A1170,Movie!A:D,4,FALSE)</f>
        <v>Universal</v>
      </c>
      <c r="H1170" s="14">
        <f>VLOOKUP(E1170,'Rental Transaction'!A:B,2,FALSE)</f>
        <v>275152</v>
      </c>
      <c r="I1170">
        <f t="shared" si="18"/>
        <v>2013</v>
      </c>
    </row>
    <row r="1171" spans="1:9">
      <c r="A1171" s="1">
        <v>10270</v>
      </c>
      <c r="B1171" s="1">
        <v>1</v>
      </c>
      <c r="C1171" s="2">
        <v>41394</v>
      </c>
      <c r="D1171" s="1" t="s">
        <v>2002</v>
      </c>
      <c r="E1171" s="1">
        <v>100665</v>
      </c>
      <c r="F1171" s="6" t="s">
        <v>3173</v>
      </c>
      <c r="G1171" s="15" t="str">
        <f>VLOOKUP(A1171,Movie!A:D,4,FALSE)</f>
        <v>Fox</v>
      </c>
      <c r="H1171" s="14">
        <f>VLOOKUP(E1171,'Rental Transaction'!A:B,2,FALSE)</f>
        <v>249188</v>
      </c>
      <c r="I1171">
        <f t="shared" si="18"/>
        <v>2013</v>
      </c>
    </row>
    <row r="1172" spans="1:9">
      <c r="A1172" s="1">
        <v>10282</v>
      </c>
      <c r="B1172" s="1">
        <v>3</v>
      </c>
      <c r="C1172" s="2">
        <v>41394</v>
      </c>
      <c r="D1172" s="1" t="s">
        <v>2005</v>
      </c>
      <c r="E1172" s="1">
        <v>100666</v>
      </c>
      <c r="F1172" s="6" t="s">
        <v>3174</v>
      </c>
      <c r="G1172" s="15" t="str">
        <f>VLOOKUP(A1172,Movie!A:D,4,FALSE)</f>
        <v>Sony Classics</v>
      </c>
      <c r="H1172" s="14">
        <f>VLOOKUP(E1172,'Rental Transaction'!A:B,2,FALSE)</f>
        <v>938006</v>
      </c>
      <c r="I1172">
        <f t="shared" si="18"/>
        <v>2013</v>
      </c>
    </row>
    <row r="1173" spans="1:9">
      <c r="A1173" s="1">
        <v>10007</v>
      </c>
      <c r="B1173" s="1">
        <v>6</v>
      </c>
      <c r="C1173" s="2">
        <v>41394</v>
      </c>
      <c r="D1173" s="1" t="s">
        <v>2002</v>
      </c>
      <c r="E1173" s="1">
        <v>100666</v>
      </c>
      <c r="F1173" s="6" t="s">
        <v>3175</v>
      </c>
      <c r="G1173" s="15" t="str">
        <f>VLOOKUP(A1173,Movie!A:D,4,FALSE)</f>
        <v>Sony</v>
      </c>
      <c r="H1173" s="14">
        <f>VLOOKUP(E1173,'Rental Transaction'!A:B,2,FALSE)</f>
        <v>938006</v>
      </c>
      <c r="I1173">
        <f t="shared" si="18"/>
        <v>2013</v>
      </c>
    </row>
    <row r="1174" spans="1:9">
      <c r="A1174" s="1">
        <v>10250</v>
      </c>
      <c r="B1174" s="1">
        <v>10</v>
      </c>
      <c r="C1174" s="2">
        <v>41394</v>
      </c>
      <c r="D1174" s="1" t="s">
        <v>2002</v>
      </c>
      <c r="E1174" s="1">
        <v>100667</v>
      </c>
      <c r="F1174" s="6" t="s">
        <v>3176</v>
      </c>
      <c r="G1174" s="15" t="str">
        <f>VLOOKUP(A1174,Movie!A:D,4,FALSE)</f>
        <v>Buena Vista</v>
      </c>
      <c r="H1174" s="14">
        <f>VLOOKUP(E1174,'Rental Transaction'!A:B,2,FALSE)</f>
        <v>771285</v>
      </c>
      <c r="I1174">
        <f t="shared" si="18"/>
        <v>2013</v>
      </c>
    </row>
    <row r="1175" spans="1:9">
      <c r="A1175" s="1">
        <v>10282</v>
      </c>
      <c r="B1175" s="1">
        <v>8</v>
      </c>
      <c r="C1175" s="2">
        <v>41396</v>
      </c>
      <c r="D1175" s="1" t="s">
        <v>2005</v>
      </c>
      <c r="E1175" s="1">
        <v>100668</v>
      </c>
      <c r="F1175" s="6" t="s">
        <v>3177</v>
      </c>
      <c r="G1175" s="15" t="str">
        <f>VLOOKUP(A1175,Movie!A:D,4,FALSE)</f>
        <v>Sony Classics</v>
      </c>
      <c r="H1175" s="14">
        <f>VLOOKUP(E1175,'Rental Transaction'!A:B,2,FALSE)</f>
        <v>236554</v>
      </c>
      <c r="I1175">
        <f t="shared" si="18"/>
        <v>2013</v>
      </c>
    </row>
    <row r="1176" spans="1:9">
      <c r="A1176" s="1">
        <v>10049</v>
      </c>
      <c r="B1176" s="1">
        <v>6</v>
      </c>
      <c r="C1176" s="2">
        <v>41396</v>
      </c>
      <c r="D1176" s="1" t="s">
        <v>2002</v>
      </c>
      <c r="E1176" s="1">
        <v>100669</v>
      </c>
      <c r="F1176" s="6" t="s">
        <v>3178</v>
      </c>
      <c r="G1176" s="15" t="str">
        <f>VLOOKUP(A1176,Movie!A:D,4,FALSE)</f>
        <v>Universal</v>
      </c>
      <c r="H1176" s="14">
        <f>VLOOKUP(E1176,'Rental Transaction'!A:B,2,FALSE)</f>
        <v>884368</v>
      </c>
      <c r="I1176">
        <f t="shared" si="18"/>
        <v>2013</v>
      </c>
    </row>
    <row r="1177" spans="1:9" ht="29.25">
      <c r="A1177" s="1">
        <v>10239</v>
      </c>
      <c r="B1177" s="1">
        <v>9</v>
      </c>
      <c r="C1177" s="2">
        <v>41395</v>
      </c>
      <c r="D1177" s="1" t="s">
        <v>2002</v>
      </c>
      <c r="E1177" s="1">
        <v>100669</v>
      </c>
      <c r="F1177" s="6" t="s">
        <v>3179</v>
      </c>
      <c r="G1177" s="15" t="str">
        <f>VLOOKUP(A1177,Movie!A:D,4,FALSE)</f>
        <v>Weinstein Company</v>
      </c>
      <c r="H1177" s="14">
        <f>VLOOKUP(E1177,'Rental Transaction'!A:B,2,FALSE)</f>
        <v>884368</v>
      </c>
      <c r="I1177">
        <f t="shared" si="18"/>
        <v>2013</v>
      </c>
    </row>
    <row r="1178" spans="1:9">
      <c r="A1178" s="1">
        <v>10257</v>
      </c>
      <c r="B1178" s="1">
        <v>2</v>
      </c>
      <c r="C1178" s="2">
        <v>41396</v>
      </c>
      <c r="D1178" s="1" t="s">
        <v>2002</v>
      </c>
      <c r="E1178" s="1">
        <v>100669</v>
      </c>
      <c r="F1178" s="6" t="s">
        <v>3180</v>
      </c>
      <c r="G1178" s="15" t="str">
        <f>VLOOKUP(A1178,Movie!A:D,4,FALSE)</f>
        <v>Fox</v>
      </c>
      <c r="H1178" s="14">
        <f>VLOOKUP(E1178,'Rental Transaction'!A:B,2,FALSE)</f>
        <v>884368</v>
      </c>
      <c r="I1178">
        <f t="shared" si="18"/>
        <v>2013</v>
      </c>
    </row>
    <row r="1179" spans="1:9">
      <c r="A1179" s="1">
        <v>10270</v>
      </c>
      <c r="B1179" s="1">
        <v>1</v>
      </c>
      <c r="C1179" s="2">
        <v>41397</v>
      </c>
      <c r="D1179" s="1" t="s">
        <v>2005</v>
      </c>
      <c r="E1179" s="1">
        <v>100670</v>
      </c>
      <c r="F1179" s="6" t="s">
        <v>3181</v>
      </c>
      <c r="G1179" s="15" t="str">
        <f>VLOOKUP(A1179,Movie!A:D,4,FALSE)</f>
        <v>Fox</v>
      </c>
      <c r="H1179" s="14">
        <f>VLOOKUP(E1179,'Rental Transaction'!A:B,2,FALSE)</f>
        <v>852319</v>
      </c>
      <c r="I1179">
        <f t="shared" si="18"/>
        <v>2013</v>
      </c>
    </row>
    <row r="1180" spans="1:9">
      <c r="A1180" s="1">
        <v>10197</v>
      </c>
      <c r="B1180" s="1">
        <v>1</v>
      </c>
      <c r="C1180" s="2">
        <v>41396</v>
      </c>
      <c r="D1180" s="1" t="s">
        <v>2002</v>
      </c>
      <c r="E1180" s="1">
        <v>100671</v>
      </c>
      <c r="F1180" s="6" t="s">
        <v>3182</v>
      </c>
      <c r="G1180" s="15" t="str">
        <f>VLOOKUP(A1180,Movie!A:D,4,FALSE)</f>
        <v>Warner Brothers</v>
      </c>
      <c r="H1180" s="14">
        <f>VLOOKUP(E1180,'Rental Transaction'!A:B,2,FALSE)</f>
        <v>974503</v>
      </c>
      <c r="I1180">
        <f t="shared" si="18"/>
        <v>2013</v>
      </c>
    </row>
    <row r="1181" spans="1:9" ht="29.25">
      <c r="A1181" s="1">
        <v>10239</v>
      </c>
      <c r="B1181" s="1">
        <v>6</v>
      </c>
      <c r="C1181" s="2">
        <v>41395</v>
      </c>
      <c r="D1181" s="1" t="s">
        <v>2005</v>
      </c>
      <c r="E1181" s="1">
        <v>100671</v>
      </c>
      <c r="F1181" s="6" t="s">
        <v>3183</v>
      </c>
      <c r="G1181" s="15" t="str">
        <f>VLOOKUP(A1181,Movie!A:D,4,FALSE)</f>
        <v>Weinstein Company</v>
      </c>
      <c r="H1181" s="14">
        <f>VLOOKUP(E1181,'Rental Transaction'!A:B,2,FALSE)</f>
        <v>974503</v>
      </c>
      <c r="I1181">
        <f t="shared" si="18"/>
        <v>2013</v>
      </c>
    </row>
    <row r="1182" spans="1:9">
      <c r="A1182" s="1">
        <v>10116</v>
      </c>
      <c r="B1182" s="1">
        <v>5</v>
      </c>
      <c r="C1182" s="2">
        <v>41396</v>
      </c>
      <c r="D1182" s="1" t="s">
        <v>2005</v>
      </c>
      <c r="E1182" s="1">
        <v>100672</v>
      </c>
      <c r="F1182" s="6" t="s">
        <v>3184</v>
      </c>
      <c r="G1182" s="15" t="str">
        <f>VLOOKUP(A1182,Movie!A:D,4,FALSE)</f>
        <v>Universal</v>
      </c>
      <c r="H1182" s="14">
        <f>VLOOKUP(E1182,'Rental Transaction'!A:B,2,FALSE)</f>
        <v>216081</v>
      </c>
      <c r="I1182">
        <f t="shared" si="18"/>
        <v>2013</v>
      </c>
    </row>
    <row r="1183" spans="1:9">
      <c r="A1183" s="1">
        <v>10152</v>
      </c>
      <c r="B1183" s="1">
        <v>7</v>
      </c>
      <c r="C1183" s="2">
        <v>41396</v>
      </c>
      <c r="D1183" s="1" t="s">
        <v>2002</v>
      </c>
      <c r="E1183" s="1">
        <v>100673</v>
      </c>
      <c r="F1183" s="6" t="s">
        <v>3185</v>
      </c>
      <c r="G1183" s="15" t="str">
        <f>VLOOKUP(A1183,Movie!A:D,4,FALSE)</f>
        <v>FilmDistrict</v>
      </c>
      <c r="H1183" s="14">
        <f>VLOOKUP(E1183,'Rental Transaction'!A:B,2,FALSE)</f>
        <v>605188</v>
      </c>
      <c r="I1183">
        <f t="shared" si="18"/>
        <v>2013</v>
      </c>
    </row>
    <row r="1184" spans="1:9">
      <c r="A1184" s="1">
        <v>10139</v>
      </c>
      <c r="B1184" s="1">
        <v>5</v>
      </c>
      <c r="C1184" s="2">
        <v>41395</v>
      </c>
      <c r="D1184" s="1" t="s">
        <v>2005</v>
      </c>
      <c r="E1184" s="1">
        <v>100673</v>
      </c>
      <c r="F1184" s="6" t="s">
        <v>3186</v>
      </c>
      <c r="G1184" s="15" t="str">
        <f>VLOOKUP(A1184,Movie!A:D,4,FALSE)</f>
        <v>Focus</v>
      </c>
      <c r="H1184" s="14">
        <f>VLOOKUP(E1184,'Rental Transaction'!A:B,2,FALSE)</f>
        <v>605188</v>
      </c>
      <c r="I1184">
        <f t="shared" si="18"/>
        <v>2013</v>
      </c>
    </row>
    <row r="1185" spans="1:9">
      <c r="A1185" s="1">
        <v>10216</v>
      </c>
      <c r="B1185" s="1">
        <v>7</v>
      </c>
      <c r="C1185" s="2">
        <v>41395</v>
      </c>
      <c r="D1185" s="1" t="s">
        <v>2002</v>
      </c>
      <c r="E1185" s="1">
        <v>100674</v>
      </c>
      <c r="F1185" s="6" t="s">
        <v>3187</v>
      </c>
      <c r="G1185" s="15" t="str">
        <f>VLOOKUP(A1185,Movie!A:D,4,FALSE)</f>
        <v>Sony</v>
      </c>
      <c r="H1185" s="14">
        <f>VLOOKUP(E1185,'Rental Transaction'!A:B,2,FALSE)</f>
        <v>193968</v>
      </c>
      <c r="I1185">
        <f t="shared" si="18"/>
        <v>2013</v>
      </c>
    </row>
    <row r="1186" spans="1:9">
      <c r="A1186" s="1">
        <v>10045</v>
      </c>
      <c r="B1186" s="1">
        <v>2</v>
      </c>
      <c r="C1186" s="2">
        <v>41395</v>
      </c>
      <c r="D1186" s="1" t="s">
        <v>2005</v>
      </c>
      <c r="E1186" s="1">
        <v>100674</v>
      </c>
      <c r="F1186" s="6" t="s">
        <v>3188</v>
      </c>
      <c r="G1186" s="15" t="str">
        <f>VLOOKUP(A1186,Movie!A:D,4,FALSE)</f>
        <v>Warner Brothers</v>
      </c>
      <c r="H1186" s="14">
        <f>VLOOKUP(E1186,'Rental Transaction'!A:B,2,FALSE)</f>
        <v>193968</v>
      </c>
      <c r="I1186">
        <f t="shared" si="18"/>
        <v>2013</v>
      </c>
    </row>
    <row r="1187" spans="1:9">
      <c r="A1187" s="1">
        <v>10027</v>
      </c>
      <c r="B1187" s="1">
        <v>2</v>
      </c>
      <c r="C1187" s="2">
        <v>41395</v>
      </c>
      <c r="D1187" s="1" t="s">
        <v>2005</v>
      </c>
      <c r="E1187" s="1">
        <v>100675</v>
      </c>
      <c r="F1187" s="6" t="s">
        <v>3189</v>
      </c>
      <c r="G1187" s="15" t="str">
        <f>VLOOKUP(A1187,Movie!A:D,4,FALSE)</f>
        <v>FilmDistrict</v>
      </c>
      <c r="H1187" s="14">
        <f>VLOOKUP(E1187,'Rental Transaction'!A:B,2,FALSE)</f>
        <v>203787</v>
      </c>
      <c r="I1187">
        <f t="shared" si="18"/>
        <v>2013</v>
      </c>
    </row>
    <row r="1188" spans="1:9">
      <c r="A1188" s="1">
        <v>10186</v>
      </c>
      <c r="B1188" s="1">
        <v>4</v>
      </c>
      <c r="C1188" s="2">
        <v>41396</v>
      </c>
      <c r="D1188" s="1" t="s">
        <v>2002</v>
      </c>
      <c r="E1188" s="1">
        <v>100676</v>
      </c>
      <c r="F1188" s="6" t="s">
        <v>3190</v>
      </c>
      <c r="G1188" s="15" t="str">
        <f>VLOOKUP(A1188,Movie!A:D,4,FALSE)</f>
        <v>Lionsgate</v>
      </c>
      <c r="H1188" s="14">
        <f>VLOOKUP(E1188,'Rental Transaction'!A:B,2,FALSE)</f>
        <v>189953</v>
      </c>
      <c r="I1188">
        <f t="shared" si="18"/>
        <v>2013</v>
      </c>
    </row>
    <row r="1189" spans="1:9">
      <c r="A1189" s="1">
        <v>10197</v>
      </c>
      <c r="B1189" s="1">
        <v>6</v>
      </c>
      <c r="C1189" s="2">
        <v>41396</v>
      </c>
      <c r="D1189" s="1" t="s">
        <v>2002</v>
      </c>
      <c r="E1189" s="1">
        <v>100676</v>
      </c>
      <c r="F1189" s="6" t="s">
        <v>3191</v>
      </c>
      <c r="G1189" s="15" t="str">
        <f>VLOOKUP(A1189,Movie!A:D,4,FALSE)</f>
        <v>Warner Brothers</v>
      </c>
      <c r="H1189" s="14">
        <f>VLOOKUP(E1189,'Rental Transaction'!A:B,2,FALSE)</f>
        <v>189953</v>
      </c>
      <c r="I1189">
        <f t="shared" si="18"/>
        <v>2013</v>
      </c>
    </row>
    <row r="1190" spans="1:9">
      <c r="A1190" s="1">
        <v>10180</v>
      </c>
      <c r="B1190" s="1">
        <v>3</v>
      </c>
      <c r="C1190" s="2">
        <v>41397</v>
      </c>
      <c r="D1190" s="1" t="s">
        <v>2002</v>
      </c>
      <c r="E1190" s="1">
        <v>100677</v>
      </c>
      <c r="F1190" s="6" t="s">
        <v>3192</v>
      </c>
      <c r="G1190" s="15" t="str">
        <f>VLOOKUP(A1190,Movie!A:D,4,FALSE)</f>
        <v>Relativity</v>
      </c>
      <c r="H1190" s="14">
        <f>VLOOKUP(E1190,'Rental Transaction'!A:B,2,FALSE)</f>
        <v>775449</v>
      </c>
      <c r="I1190">
        <f t="shared" si="18"/>
        <v>2013</v>
      </c>
    </row>
    <row r="1191" spans="1:9">
      <c r="A1191" s="1">
        <v>10271</v>
      </c>
      <c r="B1191" s="1">
        <v>3</v>
      </c>
      <c r="C1191" s="2">
        <v>41396</v>
      </c>
      <c r="D1191" s="1" t="s">
        <v>2005</v>
      </c>
      <c r="E1191" s="1">
        <v>100678</v>
      </c>
      <c r="F1191" s="6" t="s">
        <v>3193</v>
      </c>
      <c r="G1191" s="15" t="str">
        <f>VLOOKUP(A1191,Movie!A:D,4,FALSE)</f>
        <v>Universal</v>
      </c>
      <c r="H1191" s="14">
        <f>VLOOKUP(E1191,'Rental Transaction'!A:B,2,FALSE)</f>
        <v>850952</v>
      </c>
      <c r="I1191">
        <f t="shared" si="18"/>
        <v>2013</v>
      </c>
    </row>
    <row r="1192" spans="1:9">
      <c r="A1192" s="1">
        <v>10094</v>
      </c>
      <c r="B1192" s="1">
        <v>9</v>
      </c>
      <c r="C1192" s="2">
        <v>41397</v>
      </c>
      <c r="D1192" s="1" t="s">
        <v>2002</v>
      </c>
      <c r="E1192" s="1">
        <v>100679</v>
      </c>
      <c r="F1192" s="6" t="s">
        <v>3194</v>
      </c>
      <c r="G1192" s="15" t="str">
        <f>VLOOKUP(A1192,Movie!A:D,4,FALSE)</f>
        <v>Relativity</v>
      </c>
      <c r="H1192" s="14">
        <f>VLOOKUP(E1192,'Rental Transaction'!A:B,2,FALSE)</f>
        <v>784218</v>
      </c>
      <c r="I1192">
        <f t="shared" si="18"/>
        <v>2013</v>
      </c>
    </row>
    <row r="1193" spans="1:9" ht="29.25">
      <c r="A1193" s="1">
        <v>10028</v>
      </c>
      <c r="B1193" s="1">
        <v>7</v>
      </c>
      <c r="C1193" s="2">
        <v>41397</v>
      </c>
      <c r="D1193" s="1" t="s">
        <v>2002</v>
      </c>
      <c r="E1193" s="1">
        <v>100679</v>
      </c>
      <c r="F1193" s="6" t="s">
        <v>3195</v>
      </c>
      <c r="G1193" s="15" t="str">
        <f>VLOOKUP(A1193,Movie!A:D,4,FALSE)</f>
        <v>Summit Entertainment</v>
      </c>
      <c r="H1193" s="14">
        <f>VLOOKUP(E1193,'Rental Transaction'!A:B,2,FALSE)</f>
        <v>784218</v>
      </c>
      <c r="I1193">
        <f t="shared" si="18"/>
        <v>2013</v>
      </c>
    </row>
    <row r="1194" spans="1:9">
      <c r="A1194" s="1">
        <v>10078</v>
      </c>
      <c r="B1194" s="1">
        <v>3</v>
      </c>
      <c r="C1194" s="2">
        <v>41396</v>
      </c>
      <c r="D1194" s="1" t="s">
        <v>2005</v>
      </c>
      <c r="E1194" s="1">
        <v>100680</v>
      </c>
      <c r="F1194" s="6" t="s">
        <v>3196</v>
      </c>
      <c r="G1194" s="15" t="str">
        <f>VLOOKUP(A1194,Movie!A:D,4,FALSE)</f>
        <v>Paramount</v>
      </c>
      <c r="H1194" s="14">
        <f>VLOOKUP(E1194,'Rental Transaction'!A:B,2,FALSE)</f>
        <v>561305</v>
      </c>
      <c r="I1194">
        <f t="shared" si="18"/>
        <v>2013</v>
      </c>
    </row>
    <row r="1195" spans="1:9">
      <c r="A1195" s="1">
        <v>10051</v>
      </c>
      <c r="B1195" s="1">
        <v>3</v>
      </c>
      <c r="C1195" s="2">
        <v>41396</v>
      </c>
      <c r="D1195" s="1" t="s">
        <v>2005</v>
      </c>
      <c r="E1195" s="1">
        <v>100680</v>
      </c>
      <c r="F1195" s="6" t="s">
        <v>3197</v>
      </c>
      <c r="G1195" s="15" t="str">
        <f>VLOOKUP(A1195,Movie!A:D,4,FALSE)</f>
        <v>Paramount</v>
      </c>
      <c r="H1195" s="14">
        <f>VLOOKUP(E1195,'Rental Transaction'!A:B,2,FALSE)</f>
        <v>561305</v>
      </c>
      <c r="I1195">
        <f t="shared" si="18"/>
        <v>2013</v>
      </c>
    </row>
    <row r="1196" spans="1:9">
      <c r="A1196" s="1">
        <v>10076</v>
      </c>
      <c r="B1196" s="1">
        <v>6</v>
      </c>
      <c r="C1196" s="2">
        <v>41397</v>
      </c>
      <c r="D1196" s="1" t="s">
        <v>2002</v>
      </c>
      <c r="E1196" s="1">
        <v>100681</v>
      </c>
      <c r="F1196" s="6" t="s">
        <v>3198</v>
      </c>
      <c r="G1196" s="15" t="str">
        <f>VLOOKUP(A1196,Movie!A:D,4,FALSE)</f>
        <v>Sony</v>
      </c>
      <c r="H1196" s="14">
        <f>VLOOKUP(E1196,'Rental Transaction'!A:B,2,FALSE)</f>
        <v>703083</v>
      </c>
      <c r="I1196">
        <f t="shared" si="18"/>
        <v>2013</v>
      </c>
    </row>
    <row r="1197" spans="1:9">
      <c r="A1197" s="1">
        <v>10009</v>
      </c>
      <c r="B1197" s="1">
        <v>6</v>
      </c>
      <c r="C1197" s="2">
        <v>41397</v>
      </c>
      <c r="D1197" s="1" t="s">
        <v>2002</v>
      </c>
      <c r="E1197" s="1">
        <v>100682</v>
      </c>
      <c r="F1197" s="6" t="s">
        <v>3199</v>
      </c>
      <c r="G1197" s="15" t="str">
        <f>VLOOKUP(A1197,Movie!A:D,4,FALSE)</f>
        <v>Warner Brothers</v>
      </c>
      <c r="H1197" s="14">
        <f>VLOOKUP(E1197,'Rental Transaction'!A:B,2,FALSE)</f>
        <v>408341</v>
      </c>
      <c r="I1197">
        <f t="shared" si="18"/>
        <v>2013</v>
      </c>
    </row>
    <row r="1198" spans="1:9">
      <c r="A1198" s="1">
        <v>10142</v>
      </c>
      <c r="B1198" s="1">
        <v>2</v>
      </c>
      <c r="C1198" s="2">
        <v>41396</v>
      </c>
      <c r="D1198" s="1" t="s">
        <v>2005</v>
      </c>
      <c r="E1198" s="1">
        <v>100682</v>
      </c>
      <c r="F1198" s="6" t="s">
        <v>3200</v>
      </c>
      <c r="G1198" s="15" t="str">
        <f>VLOOKUP(A1198,Movie!A:D,4,FALSE)</f>
        <v>Warner Brothers</v>
      </c>
      <c r="H1198" s="14">
        <f>VLOOKUP(E1198,'Rental Transaction'!A:B,2,FALSE)</f>
        <v>408341</v>
      </c>
      <c r="I1198">
        <f t="shared" si="18"/>
        <v>2013</v>
      </c>
    </row>
    <row r="1199" spans="1:9" ht="29.25">
      <c r="A1199" s="1">
        <v>10264</v>
      </c>
      <c r="B1199" s="1">
        <v>8</v>
      </c>
      <c r="C1199" s="2">
        <v>41396</v>
      </c>
      <c r="D1199" s="1" t="s">
        <v>2002</v>
      </c>
      <c r="E1199" s="1">
        <v>100683</v>
      </c>
      <c r="F1199" s="6" t="s">
        <v>3201</v>
      </c>
      <c r="G1199" s="15" t="str">
        <f>VLOOKUP(A1199,Movie!A:D,4,FALSE)</f>
        <v>Weinstein Company</v>
      </c>
      <c r="H1199" s="14">
        <f>VLOOKUP(E1199,'Rental Transaction'!A:B,2,FALSE)</f>
        <v>911171</v>
      </c>
      <c r="I1199">
        <f t="shared" si="18"/>
        <v>2013</v>
      </c>
    </row>
    <row r="1200" spans="1:9">
      <c r="A1200" s="1">
        <v>10119</v>
      </c>
      <c r="B1200" s="1">
        <v>9</v>
      </c>
      <c r="C1200" s="2">
        <v>41396</v>
      </c>
      <c r="D1200" s="1" t="s">
        <v>2005</v>
      </c>
      <c r="E1200" s="1">
        <v>100683</v>
      </c>
      <c r="F1200" s="6" t="s">
        <v>3202</v>
      </c>
      <c r="G1200" s="15" t="str">
        <f>VLOOKUP(A1200,Movie!A:D,4,FALSE)</f>
        <v>Universal</v>
      </c>
      <c r="H1200" s="14">
        <f>VLOOKUP(E1200,'Rental Transaction'!A:B,2,FALSE)</f>
        <v>911171</v>
      </c>
      <c r="I1200">
        <f t="shared" si="18"/>
        <v>2013</v>
      </c>
    </row>
    <row r="1201" spans="1:9">
      <c r="A1201" s="1">
        <v>10186</v>
      </c>
      <c r="B1201" s="1">
        <v>7</v>
      </c>
      <c r="C1201" s="2">
        <v>41397</v>
      </c>
      <c r="D1201" s="1" t="s">
        <v>2002</v>
      </c>
      <c r="E1201" s="1">
        <v>100684</v>
      </c>
      <c r="F1201" s="6" t="s">
        <v>3203</v>
      </c>
      <c r="G1201" s="15" t="str">
        <f>VLOOKUP(A1201,Movie!A:D,4,FALSE)</f>
        <v>Lionsgate</v>
      </c>
      <c r="H1201" s="14">
        <f>VLOOKUP(E1201,'Rental Transaction'!A:B,2,FALSE)</f>
        <v>793987</v>
      </c>
      <c r="I1201">
        <f t="shared" si="18"/>
        <v>2013</v>
      </c>
    </row>
    <row r="1202" spans="1:9">
      <c r="A1202" s="1">
        <v>10274</v>
      </c>
      <c r="B1202" s="1">
        <v>5</v>
      </c>
      <c r="C1202" s="2">
        <v>41397</v>
      </c>
      <c r="D1202" s="1" t="s">
        <v>2005</v>
      </c>
      <c r="E1202" s="1">
        <v>100685</v>
      </c>
      <c r="F1202" s="6" t="s">
        <v>3204</v>
      </c>
      <c r="G1202" s="15" t="str">
        <f>VLOOKUP(A1202,Movie!A:D,4,FALSE)</f>
        <v>Fox</v>
      </c>
      <c r="H1202" s="14">
        <f>VLOOKUP(E1202,'Rental Transaction'!A:B,2,FALSE)</f>
        <v>366695</v>
      </c>
      <c r="I1202">
        <f t="shared" si="18"/>
        <v>2013</v>
      </c>
    </row>
    <row r="1203" spans="1:9">
      <c r="A1203" s="1">
        <v>10209</v>
      </c>
      <c r="B1203" s="1">
        <v>8</v>
      </c>
      <c r="C1203" s="2">
        <v>41398</v>
      </c>
      <c r="D1203" s="1" t="s">
        <v>2002</v>
      </c>
      <c r="E1203" s="1">
        <v>100686</v>
      </c>
      <c r="F1203" s="6" t="s">
        <v>3205</v>
      </c>
      <c r="G1203" s="15" t="str">
        <f>VLOOKUP(A1203,Movie!A:D,4,FALSE)</f>
        <v>Universal</v>
      </c>
      <c r="H1203" s="14">
        <f>VLOOKUP(E1203,'Rental Transaction'!A:B,2,FALSE)</f>
        <v>242720</v>
      </c>
      <c r="I1203">
        <f t="shared" si="18"/>
        <v>2013</v>
      </c>
    </row>
    <row r="1204" spans="1:9">
      <c r="A1204" s="1">
        <v>10021</v>
      </c>
      <c r="B1204" s="1">
        <v>10</v>
      </c>
      <c r="C1204" s="2">
        <v>41397</v>
      </c>
      <c r="D1204" s="1" t="s">
        <v>2002</v>
      </c>
      <c r="E1204" s="1">
        <v>100686</v>
      </c>
      <c r="F1204" s="6" t="s">
        <v>3206</v>
      </c>
      <c r="G1204" s="15" t="str">
        <f>VLOOKUP(A1204,Movie!A:D,4,FALSE)</f>
        <v>Paramount</v>
      </c>
      <c r="H1204" s="14">
        <f>VLOOKUP(E1204,'Rental Transaction'!A:B,2,FALSE)</f>
        <v>242720</v>
      </c>
      <c r="I1204">
        <f t="shared" si="18"/>
        <v>2013</v>
      </c>
    </row>
    <row r="1205" spans="1:9">
      <c r="A1205" s="1">
        <v>10268</v>
      </c>
      <c r="B1205" s="1">
        <v>1</v>
      </c>
      <c r="C1205" s="2">
        <v>41397</v>
      </c>
      <c r="D1205" s="1" t="s">
        <v>2002</v>
      </c>
      <c r="E1205" s="1">
        <v>100687</v>
      </c>
      <c r="F1205" s="6" t="s">
        <v>3207</v>
      </c>
      <c r="G1205" s="15" t="str">
        <f>VLOOKUP(A1205,Movie!A:D,4,FALSE)</f>
        <v>Buena Vista</v>
      </c>
      <c r="H1205" s="14">
        <f>VLOOKUP(E1205,'Rental Transaction'!A:B,2,FALSE)</f>
        <v>720602</v>
      </c>
      <c r="I1205">
        <f t="shared" si="18"/>
        <v>2013</v>
      </c>
    </row>
    <row r="1206" spans="1:9">
      <c r="A1206" s="1">
        <v>10040</v>
      </c>
      <c r="B1206" s="1">
        <v>9</v>
      </c>
      <c r="C1206" s="2">
        <v>41397</v>
      </c>
      <c r="D1206" s="1" t="s">
        <v>2002</v>
      </c>
      <c r="E1206" s="1">
        <v>100687</v>
      </c>
      <c r="F1206" s="6" t="s">
        <v>3208</v>
      </c>
      <c r="G1206" s="15" t="str">
        <f>VLOOKUP(A1206,Movie!A:D,4,FALSE)</f>
        <v>Universal</v>
      </c>
      <c r="H1206" s="14">
        <f>VLOOKUP(E1206,'Rental Transaction'!A:B,2,FALSE)</f>
        <v>720602</v>
      </c>
      <c r="I1206">
        <f t="shared" si="18"/>
        <v>2013</v>
      </c>
    </row>
    <row r="1207" spans="1:9">
      <c r="A1207" s="1">
        <v>10202</v>
      </c>
      <c r="B1207" s="1">
        <v>10</v>
      </c>
      <c r="C1207" s="2">
        <v>41398</v>
      </c>
      <c r="D1207" s="1" t="s">
        <v>2005</v>
      </c>
      <c r="E1207" s="1">
        <v>100688</v>
      </c>
      <c r="F1207" s="6" t="s">
        <v>3209</v>
      </c>
      <c r="G1207" s="15" t="str">
        <f>VLOOKUP(A1207,Movie!A:D,4,FALSE)</f>
        <v>Warner Brothers</v>
      </c>
      <c r="H1207" s="14">
        <f>VLOOKUP(E1207,'Rental Transaction'!A:B,2,FALSE)</f>
        <v>938006</v>
      </c>
      <c r="I1207">
        <f t="shared" si="18"/>
        <v>2013</v>
      </c>
    </row>
    <row r="1208" spans="1:9" ht="29.25">
      <c r="A1208" s="1">
        <v>10028</v>
      </c>
      <c r="B1208" s="1">
        <v>5</v>
      </c>
      <c r="C1208" s="2">
        <v>41397</v>
      </c>
      <c r="D1208" s="1" t="s">
        <v>2005</v>
      </c>
      <c r="E1208" s="1">
        <v>100688</v>
      </c>
      <c r="F1208" s="6" t="s">
        <v>3210</v>
      </c>
      <c r="G1208" s="15" t="str">
        <f>VLOOKUP(A1208,Movie!A:D,4,FALSE)</f>
        <v>Summit Entertainment</v>
      </c>
      <c r="H1208" s="14">
        <f>VLOOKUP(E1208,'Rental Transaction'!A:B,2,FALSE)</f>
        <v>938006</v>
      </c>
      <c r="I1208">
        <f t="shared" si="18"/>
        <v>2013</v>
      </c>
    </row>
    <row r="1209" spans="1:9">
      <c r="A1209" s="1">
        <v>10139</v>
      </c>
      <c r="B1209" s="1">
        <v>6</v>
      </c>
      <c r="C1209" s="2">
        <v>41397</v>
      </c>
      <c r="D1209" s="1" t="s">
        <v>2002</v>
      </c>
      <c r="E1209" s="1">
        <v>100688</v>
      </c>
      <c r="F1209" s="6" t="s">
        <v>3211</v>
      </c>
      <c r="G1209" s="15" t="str">
        <f>VLOOKUP(A1209,Movie!A:D,4,FALSE)</f>
        <v>Focus</v>
      </c>
      <c r="H1209" s="14">
        <f>VLOOKUP(E1209,'Rental Transaction'!A:B,2,FALSE)</f>
        <v>938006</v>
      </c>
      <c r="I1209">
        <f t="shared" si="18"/>
        <v>2013</v>
      </c>
    </row>
    <row r="1210" spans="1:9">
      <c r="A1210" s="1">
        <v>10048</v>
      </c>
      <c r="B1210" s="1">
        <v>1</v>
      </c>
      <c r="C1210" s="2">
        <v>41398</v>
      </c>
      <c r="D1210" s="1" t="s">
        <v>2002</v>
      </c>
      <c r="E1210" s="1">
        <v>100689</v>
      </c>
      <c r="F1210" s="6" t="s">
        <v>3212</v>
      </c>
      <c r="G1210" s="15" t="str">
        <f>VLOOKUP(A1210,Movie!A:D,4,FALSE)</f>
        <v>Relativity</v>
      </c>
      <c r="H1210" s="14">
        <f>VLOOKUP(E1210,'Rental Transaction'!A:B,2,FALSE)</f>
        <v>668931</v>
      </c>
      <c r="I1210">
        <f t="shared" si="18"/>
        <v>2013</v>
      </c>
    </row>
    <row r="1211" spans="1:9">
      <c r="A1211" s="1">
        <v>10044</v>
      </c>
      <c r="B1211" s="1">
        <v>6</v>
      </c>
      <c r="C1211" s="2">
        <v>41397</v>
      </c>
      <c r="D1211" s="1" t="s">
        <v>2002</v>
      </c>
      <c r="E1211" s="1">
        <v>100690</v>
      </c>
      <c r="F1211" s="6" t="s">
        <v>3213</v>
      </c>
      <c r="G1211" s="15" t="str">
        <f>VLOOKUP(A1211,Movie!A:D,4,FALSE)</f>
        <v>Buena Vista</v>
      </c>
      <c r="H1211" s="14">
        <f>VLOOKUP(E1211,'Rental Transaction'!A:B,2,FALSE)</f>
        <v>515790</v>
      </c>
      <c r="I1211">
        <f t="shared" si="18"/>
        <v>2013</v>
      </c>
    </row>
    <row r="1212" spans="1:9">
      <c r="A1212" s="1">
        <v>10042</v>
      </c>
      <c r="B1212" s="1">
        <v>7</v>
      </c>
      <c r="C1212" s="2">
        <v>41399</v>
      </c>
      <c r="D1212" s="1" t="s">
        <v>2002</v>
      </c>
      <c r="E1212" s="1">
        <v>100691</v>
      </c>
      <c r="F1212" s="6" t="s">
        <v>3214</v>
      </c>
      <c r="G1212" s="15" t="str">
        <f>VLOOKUP(A1212,Movie!A:D,4,FALSE)</f>
        <v>Paramount</v>
      </c>
      <c r="H1212" s="14">
        <f>VLOOKUP(E1212,'Rental Transaction'!A:B,2,FALSE)</f>
        <v>866556</v>
      </c>
      <c r="I1212">
        <f t="shared" si="18"/>
        <v>2013</v>
      </c>
    </row>
    <row r="1213" spans="1:9">
      <c r="A1213" s="1">
        <v>10282</v>
      </c>
      <c r="B1213" s="1">
        <v>8</v>
      </c>
      <c r="C1213" s="2">
        <v>41399</v>
      </c>
      <c r="D1213" s="1" t="s">
        <v>2005</v>
      </c>
      <c r="E1213" s="1">
        <v>100691</v>
      </c>
      <c r="F1213" s="6" t="s">
        <v>3215</v>
      </c>
      <c r="G1213" s="15" t="str">
        <f>VLOOKUP(A1213,Movie!A:D,4,FALSE)</f>
        <v>Sony Classics</v>
      </c>
      <c r="H1213" s="14">
        <f>VLOOKUP(E1213,'Rental Transaction'!A:B,2,FALSE)</f>
        <v>866556</v>
      </c>
      <c r="I1213">
        <f t="shared" si="18"/>
        <v>2013</v>
      </c>
    </row>
    <row r="1214" spans="1:9" ht="29.25">
      <c r="A1214" s="1">
        <v>10154</v>
      </c>
      <c r="B1214" s="1">
        <v>1</v>
      </c>
      <c r="C1214" s="2">
        <v>41398</v>
      </c>
      <c r="D1214" s="1" t="s">
        <v>2005</v>
      </c>
      <c r="E1214" s="1">
        <v>100691</v>
      </c>
      <c r="F1214" s="6" t="s">
        <v>3216</v>
      </c>
      <c r="G1214" s="15" t="str">
        <f>VLOOKUP(A1214,Movie!A:D,4,FALSE)</f>
        <v>Summit Entertainment</v>
      </c>
      <c r="H1214" s="14">
        <f>VLOOKUP(E1214,'Rental Transaction'!A:B,2,FALSE)</f>
        <v>866556</v>
      </c>
      <c r="I1214">
        <f t="shared" si="18"/>
        <v>2013</v>
      </c>
    </row>
    <row r="1215" spans="1:9">
      <c r="A1215" s="1">
        <v>10211</v>
      </c>
      <c r="B1215" s="1">
        <v>8</v>
      </c>
      <c r="C1215" s="2">
        <v>41398</v>
      </c>
      <c r="D1215" s="1" t="s">
        <v>2002</v>
      </c>
      <c r="E1215" s="1">
        <v>100692</v>
      </c>
      <c r="F1215" s="6" t="s">
        <v>3217</v>
      </c>
      <c r="G1215" s="15" t="str">
        <f>VLOOKUP(A1215,Movie!A:D,4,FALSE)</f>
        <v>Buena Vista</v>
      </c>
      <c r="H1215" s="14">
        <f>VLOOKUP(E1215,'Rental Transaction'!A:B,2,FALSE)</f>
        <v>884368</v>
      </c>
      <c r="I1215">
        <f t="shared" si="18"/>
        <v>2013</v>
      </c>
    </row>
    <row r="1216" spans="1:9">
      <c r="A1216" s="1">
        <v>10287</v>
      </c>
      <c r="B1216" s="1">
        <v>5</v>
      </c>
      <c r="C1216" s="2">
        <v>41398</v>
      </c>
      <c r="D1216" s="1" t="s">
        <v>2002</v>
      </c>
      <c r="E1216" s="1">
        <v>100693</v>
      </c>
      <c r="F1216" s="6" t="s">
        <v>3218</v>
      </c>
      <c r="G1216" s="15" t="str">
        <f>VLOOKUP(A1216,Movie!A:D,4,FALSE)</f>
        <v>Lionsgate</v>
      </c>
      <c r="H1216" s="14">
        <f>VLOOKUP(E1216,'Rental Transaction'!A:B,2,FALSE)</f>
        <v>132454</v>
      </c>
      <c r="I1216">
        <f t="shared" si="18"/>
        <v>2013</v>
      </c>
    </row>
    <row r="1217" spans="1:9">
      <c r="A1217" s="1">
        <v>10029</v>
      </c>
      <c r="B1217" s="1">
        <v>1</v>
      </c>
      <c r="C1217" s="2">
        <v>41398</v>
      </c>
      <c r="D1217" s="1" t="s">
        <v>2002</v>
      </c>
      <c r="E1217" s="1">
        <v>100693</v>
      </c>
      <c r="F1217" s="6" t="s">
        <v>3219</v>
      </c>
      <c r="G1217" s="15" t="str">
        <f>VLOOKUP(A1217,Movie!A:D,4,FALSE)</f>
        <v>Relativity</v>
      </c>
      <c r="H1217" s="14">
        <f>VLOOKUP(E1217,'Rental Transaction'!A:B,2,FALSE)</f>
        <v>132454</v>
      </c>
      <c r="I1217">
        <f t="shared" si="18"/>
        <v>2013</v>
      </c>
    </row>
    <row r="1218" spans="1:9">
      <c r="A1218" s="1">
        <v>10018</v>
      </c>
      <c r="B1218" s="1">
        <v>2</v>
      </c>
      <c r="C1218" s="2">
        <v>41398</v>
      </c>
      <c r="D1218" s="1" t="s">
        <v>2002</v>
      </c>
      <c r="E1218" s="1">
        <v>100693</v>
      </c>
      <c r="F1218" s="6" t="s">
        <v>3220</v>
      </c>
      <c r="G1218" s="15" t="str">
        <f>VLOOKUP(A1218,Movie!A:D,4,FALSE)</f>
        <v>Fox</v>
      </c>
      <c r="H1218" s="14">
        <f>VLOOKUP(E1218,'Rental Transaction'!A:B,2,FALSE)</f>
        <v>132454</v>
      </c>
      <c r="I1218">
        <f t="shared" si="18"/>
        <v>2013</v>
      </c>
    </row>
    <row r="1219" spans="1:9">
      <c r="A1219" s="1">
        <v>10097</v>
      </c>
      <c r="B1219" s="1">
        <v>1</v>
      </c>
      <c r="C1219" s="2">
        <v>41398</v>
      </c>
      <c r="D1219" s="1" t="s">
        <v>2005</v>
      </c>
      <c r="E1219" s="1">
        <v>100694</v>
      </c>
      <c r="F1219" s="6" t="s">
        <v>3221</v>
      </c>
      <c r="G1219" s="15" t="str">
        <f>VLOOKUP(A1219,Movie!A:D,4,FALSE)</f>
        <v>Screen Gems</v>
      </c>
      <c r="H1219" s="14">
        <f>VLOOKUP(E1219,'Rental Transaction'!A:B,2,FALSE)</f>
        <v>269687</v>
      </c>
      <c r="I1219">
        <f t="shared" ref="I1219:I1282" si="19">YEAR(C1219)</f>
        <v>2013</v>
      </c>
    </row>
    <row r="1220" spans="1:9">
      <c r="A1220" s="1">
        <v>10277</v>
      </c>
      <c r="B1220" s="1">
        <v>8</v>
      </c>
      <c r="C1220" s="2">
        <v>41398</v>
      </c>
      <c r="D1220" s="1" t="s">
        <v>2002</v>
      </c>
      <c r="E1220" s="1">
        <v>100695</v>
      </c>
      <c r="F1220" s="6" t="s">
        <v>3222</v>
      </c>
      <c r="G1220" s="15" t="str">
        <f>VLOOKUP(A1220,Movie!A:D,4,FALSE)</f>
        <v>Universal</v>
      </c>
      <c r="H1220" s="14">
        <f>VLOOKUP(E1220,'Rental Transaction'!A:B,2,FALSE)</f>
        <v>418521</v>
      </c>
      <c r="I1220">
        <f t="shared" si="19"/>
        <v>2013</v>
      </c>
    </row>
    <row r="1221" spans="1:9">
      <c r="A1221" s="1">
        <v>10132</v>
      </c>
      <c r="B1221" s="1">
        <v>7</v>
      </c>
      <c r="C1221" s="2">
        <v>41400</v>
      </c>
      <c r="D1221" s="1" t="s">
        <v>2005</v>
      </c>
      <c r="E1221" s="1">
        <v>100695</v>
      </c>
      <c r="F1221" s="6" t="s">
        <v>3223</v>
      </c>
      <c r="G1221" s="15" t="str">
        <f>VLOOKUP(A1221,Movie!A:D,4,FALSE)</f>
        <v>Lionsgate</v>
      </c>
      <c r="H1221" s="14">
        <f>VLOOKUP(E1221,'Rental Transaction'!A:B,2,FALSE)</f>
        <v>418521</v>
      </c>
      <c r="I1221">
        <f t="shared" si="19"/>
        <v>2013</v>
      </c>
    </row>
    <row r="1222" spans="1:9">
      <c r="A1222" s="1">
        <v>10141</v>
      </c>
      <c r="B1222" s="1">
        <v>2</v>
      </c>
      <c r="C1222" s="2">
        <v>41398</v>
      </c>
      <c r="D1222" s="1" t="s">
        <v>2002</v>
      </c>
      <c r="E1222" s="1">
        <v>100696</v>
      </c>
      <c r="F1222" s="6" t="s">
        <v>3224</v>
      </c>
      <c r="G1222" s="15" t="str">
        <f>VLOOKUP(A1222,Movie!A:D,4,FALSE)</f>
        <v>Warner Brothers</v>
      </c>
      <c r="H1222" s="14">
        <f>VLOOKUP(E1222,'Rental Transaction'!A:B,2,FALSE)</f>
        <v>657736</v>
      </c>
      <c r="I1222">
        <f t="shared" si="19"/>
        <v>2013</v>
      </c>
    </row>
    <row r="1223" spans="1:9">
      <c r="A1223" s="1">
        <v>10179</v>
      </c>
      <c r="B1223" s="1">
        <v>3</v>
      </c>
      <c r="C1223" s="2">
        <v>41398</v>
      </c>
      <c r="D1223" s="1" t="s">
        <v>2005</v>
      </c>
      <c r="E1223" s="1">
        <v>100696</v>
      </c>
      <c r="F1223" s="6" t="s">
        <v>3225</v>
      </c>
      <c r="G1223" s="15" t="str">
        <f>VLOOKUP(A1223,Movie!A:D,4,FALSE)</f>
        <v>Warner Brothers</v>
      </c>
      <c r="H1223" s="14">
        <f>VLOOKUP(E1223,'Rental Transaction'!A:B,2,FALSE)</f>
        <v>657736</v>
      </c>
      <c r="I1223">
        <f t="shared" si="19"/>
        <v>2013</v>
      </c>
    </row>
    <row r="1224" spans="1:9">
      <c r="A1224" s="1">
        <v>10287</v>
      </c>
      <c r="B1224" s="1">
        <v>10</v>
      </c>
      <c r="C1224" s="2">
        <v>41398</v>
      </c>
      <c r="D1224" s="1" t="s">
        <v>2002</v>
      </c>
      <c r="E1224" s="1">
        <v>100697</v>
      </c>
      <c r="F1224" s="6" t="s">
        <v>3226</v>
      </c>
      <c r="G1224" s="15" t="str">
        <f>VLOOKUP(A1224,Movie!A:D,4,FALSE)</f>
        <v>Lionsgate</v>
      </c>
      <c r="H1224" s="14">
        <f>VLOOKUP(E1224,'Rental Transaction'!A:B,2,FALSE)</f>
        <v>464782</v>
      </c>
      <c r="I1224">
        <f t="shared" si="19"/>
        <v>2013</v>
      </c>
    </row>
    <row r="1225" spans="1:9">
      <c r="A1225" s="1">
        <v>10265</v>
      </c>
      <c r="B1225" s="1">
        <v>6</v>
      </c>
      <c r="C1225" s="2">
        <v>41398</v>
      </c>
      <c r="D1225" s="1" t="s">
        <v>2005</v>
      </c>
      <c r="E1225" s="1">
        <v>100697</v>
      </c>
      <c r="F1225" s="6" t="s">
        <v>3227</v>
      </c>
      <c r="G1225" s="15" t="str">
        <f>VLOOKUP(A1225,Movie!A:D,4,FALSE)</f>
        <v>Warner Brothers</v>
      </c>
      <c r="H1225" s="14">
        <f>VLOOKUP(E1225,'Rental Transaction'!A:B,2,FALSE)</f>
        <v>464782</v>
      </c>
      <c r="I1225">
        <f t="shared" si="19"/>
        <v>2013</v>
      </c>
    </row>
    <row r="1226" spans="1:9">
      <c r="A1226" s="1">
        <v>10008</v>
      </c>
      <c r="B1226" s="1">
        <v>9</v>
      </c>
      <c r="C1226" s="2">
        <v>41399</v>
      </c>
      <c r="D1226" s="1" t="s">
        <v>2002</v>
      </c>
      <c r="E1226" s="1">
        <v>100698</v>
      </c>
      <c r="F1226" s="6" t="s">
        <v>3228</v>
      </c>
      <c r="G1226" s="15" t="str">
        <f>VLOOKUP(A1226,Movie!A:D,4,FALSE)</f>
        <v>Sony</v>
      </c>
      <c r="H1226" s="14">
        <f>VLOOKUP(E1226,'Rental Transaction'!A:B,2,FALSE)</f>
        <v>245577</v>
      </c>
      <c r="I1226">
        <f t="shared" si="19"/>
        <v>2013</v>
      </c>
    </row>
    <row r="1227" spans="1:9">
      <c r="A1227" s="1">
        <v>10151</v>
      </c>
      <c r="B1227" s="1">
        <v>2</v>
      </c>
      <c r="C1227" s="2">
        <v>41399</v>
      </c>
      <c r="D1227" s="1" t="s">
        <v>2002</v>
      </c>
      <c r="E1227" s="1">
        <v>100698</v>
      </c>
      <c r="F1227" s="6" t="s">
        <v>3229</v>
      </c>
      <c r="G1227" s="15" t="str">
        <f>VLOOKUP(A1227,Movie!A:D,4,FALSE)</f>
        <v>Screen Gems</v>
      </c>
      <c r="H1227" s="14">
        <f>VLOOKUP(E1227,'Rental Transaction'!A:B,2,FALSE)</f>
        <v>245577</v>
      </c>
      <c r="I1227">
        <f t="shared" si="19"/>
        <v>2013</v>
      </c>
    </row>
    <row r="1228" spans="1:9">
      <c r="A1228" s="1">
        <v>10259</v>
      </c>
      <c r="B1228" s="1">
        <v>9</v>
      </c>
      <c r="C1228" s="2">
        <v>41399</v>
      </c>
      <c r="D1228" s="1" t="s">
        <v>2005</v>
      </c>
      <c r="E1228" s="1">
        <v>100699</v>
      </c>
      <c r="F1228" s="6" t="s">
        <v>3230</v>
      </c>
      <c r="G1228" s="15" t="str">
        <f>VLOOKUP(A1228,Movie!A:D,4,FALSE)</f>
        <v>Warner Brothers</v>
      </c>
      <c r="H1228" s="14">
        <f>VLOOKUP(E1228,'Rental Transaction'!A:B,2,FALSE)</f>
        <v>427826</v>
      </c>
      <c r="I1228">
        <f t="shared" si="19"/>
        <v>2013</v>
      </c>
    </row>
    <row r="1229" spans="1:9">
      <c r="A1229" s="1">
        <v>10119</v>
      </c>
      <c r="B1229" s="1">
        <v>8</v>
      </c>
      <c r="C1229" s="2">
        <v>41399</v>
      </c>
      <c r="D1229" s="1" t="s">
        <v>2005</v>
      </c>
      <c r="E1229" s="1">
        <v>100699</v>
      </c>
      <c r="F1229" s="6" t="s">
        <v>3231</v>
      </c>
      <c r="G1229" s="15" t="str">
        <f>VLOOKUP(A1229,Movie!A:D,4,FALSE)</f>
        <v>Universal</v>
      </c>
      <c r="H1229" s="14">
        <f>VLOOKUP(E1229,'Rental Transaction'!A:B,2,FALSE)</f>
        <v>427826</v>
      </c>
      <c r="I1229">
        <f t="shared" si="19"/>
        <v>2013</v>
      </c>
    </row>
    <row r="1230" spans="1:9">
      <c r="A1230" s="1">
        <v>10252</v>
      </c>
      <c r="B1230" s="1">
        <v>7</v>
      </c>
      <c r="C1230" s="2">
        <v>41399</v>
      </c>
      <c r="D1230" s="1" t="s">
        <v>2002</v>
      </c>
      <c r="E1230" s="1">
        <v>100699</v>
      </c>
      <c r="F1230" s="6" t="s">
        <v>3232</v>
      </c>
      <c r="G1230" s="15" t="str">
        <f>VLOOKUP(A1230,Movie!A:D,4,FALSE)</f>
        <v>Warner Brothers</v>
      </c>
      <c r="H1230" s="14">
        <f>VLOOKUP(E1230,'Rental Transaction'!A:B,2,FALSE)</f>
        <v>427826</v>
      </c>
      <c r="I1230">
        <f t="shared" si="19"/>
        <v>2013</v>
      </c>
    </row>
    <row r="1231" spans="1:9" ht="29.25">
      <c r="A1231" s="1">
        <v>10095</v>
      </c>
      <c r="B1231" s="1">
        <v>7</v>
      </c>
      <c r="C1231" s="2">
        <v>41399</v>
      </c>
      <c r="D1231" s="1" t="s">
        <v>2002</v>
      </c>
      <c r="E1231" s="1">
        <v>100699</v>
      </c>
      <c r="F1231" s="6" t="s">
        <v>3233</v>
      </c>
      <c r="G1231" s="15" t="str">
        <f>VLOOKUP(A1231,Movie!A:D,4,FALSE)</f>
        <v>Weinstein Company</v>
      </c>
      <c r="H1231" s="14">
        <f>VLOOKUP(E1231,'Rental Transaction'!A:B,2,FALSE)</f>
        <v>427826</v>
      </c>
      <c r="I1231">
        <f t="shared" si="19"/>
        <v>2013</v>
      </c>
    </row>
    <row r="1232" spans="1:9">
      <c r="A1232" s="1">
        <v>10117</v>
      </c>
      <c r="B1232" s="1">
        <v>5</v>
      </c>
      <c r="C1232" s="2">
        <v>41400</v>
      </c>
      <c r="D1232" s="1" t="s">
        <v>2002</v>
      </c>
      <c r="E1232" s="1">
        <v>100700</v>
      </c>
      <c r="F1232" s="6" t="s">
        <v>3234</v>
      </c>
      <c r="G1232" s="15" t="str">
        <f>VLOOKUP(A1232,Movie!A:D,4,FALSE)</f>
        <v>Sony</v>
      </c>
      <c r="H1232" s="14">
        <f>VLOOKUP(E1232,'Rental Transaction'!A:B,2,FALSE)</f>
        <v>276549</v>
      </c>
      <c r="I1232">
        <f t="shared" si="19"/>
        <v>2013</v>
      </c>
    </row>
    <row r="1233" spans="1:9">
      <c r="A1233" s="1">
        <v>10252</v>
      </c>
      <c r="B1233" s="1">
        <v>5</v>
      </c>
      <c r="C1233" s="2">
        <v>41399</v>
      </c>
      <c r="D1233" s="1" t="s">
        <v>2002</v>
      </c>
      <c r="E1233" s="1">
        <v>100700</v>
      </c>
      <c r="F1233" s="6" t="s">
        <v>3235</v>
      </c>
      <c r="G1233" s="15" t="str">
        <f>VLOOKUP(A1233,Movie!A:D,4,FALSE)</f>
        <v>Warner Brothers</v>
      </c>
      <c r="H1233" s="14">
        <f>VLOOKUP(E1233,'Rental Transaction'!A:B,2,FALSE)</f>
        <v>276549</v>
      </c>
      <c r="I1233">
        <f t="shared" si="19"/>
        <v>2013</v>
      </c>
    </row>
    <row r="1234" spans="1:9">
      <c r="A1234" s="1">
        <v>10177</v>
      </c>
      <c r="B1234" s="1">
        <v>7</v>
      </c>
      <c r="C1234" s="2">
        <v>41399</v>
      </c>
      <c r="D1234" s="1" t="s">
        <v>2002</v>
      </c>
      <c r="E1234" s="1">
        <v>100700</v>
      </c>
      <c r="F1234" s="6" t="s">
        <v>3236</v>
      </c>
      <c r="G1234" s="15" t="str">
        <f>VLOOKUP(A1234,Movie!A:D,4,FALSE)</f>
        <v>Fox</v>
      </c>
      <c r="H1234" s="14">
        <f>VLOOKUP(E1234,'Rental Transaction'!A:B,2,FALSE)</f>
        <v>276549</v>
      </c>
      <c r="I1234">
        <f t="shared" si="19"/>
        <v>2013</v>
      </c>
    </row>
    <row r="1235" spans="1:9">
      <c r="A1235" s="1">
        <v>10113</v>
      </c>
      <c r="B1235" s="1">
        <v>4</v>
      </c>
      <c r="C1235" s="2">
        <v>41400</v>
      </c>
      <c r="D1235" s="1" t="s">
        <v>2005</v>
      </c>
      <c r="E1235" s="1">
        <v>100701</v>
      </c>
      <c r="F1235" s="6" t="s">
        <v>3237</v>
      </c>
      <c r="G1235" s="15" t="str">
        <f>VLOOKUP(A1235,Movie!A:D,4,FALSE)</f>
        <v>Lionsgate</v>
      </c>
      <c r="H1235" s="14">
        <f>VLOOKUP(E1235,'Rental Transaction'!A:B,2,FALSE)</f>
        <v>242720</v>
      </c>
      <c r="I1235">
        <f t="shared" si="19"/>
        <v>2013</v>
      </c>
    </row>
    <row r="1236" spans="1:9">
      <c r="A1236" s="1">
        <v>10193</v>
      </c>
      <c r="B1236" s="1">
        <v>6</v>
      </c>
      <c r="C1236" s="2">
        <v>41400</v>
      </c>
      <c r="D1236" s="1" t="s">
        <v>2005</v>
      </c>
      <c r="E1236" s="1">
        <v>100701</v>
      </c>
      <c r="F1236" s="6" t="s">
        <v>3238</v>
      </c>
      <c r="G1236" s="15" t="str">
        <f>VLOOKUP(A1236,Movie!A:D,4,FALSE)</f>
        <v>Fox</v>
      </c>
      <c r="H1236" s="14">
        <f>VLOOKUP(E1236,'Rental Transaction'!A:B,2,FALSE)</f>
        <v>242720</v>
      </c>
      <c r="I1236">
        <f t="shared" si="19"/>
        <v>2013</v>
      </c>
    </row>
    <row r="1237" spans="1:9">
      <c r="A1237" s="1">
        <v>10270</v>
      </c>
      <c r="B1237" s="1">
        <v>7</v>
      </c>
      <c r="C1237" s="2">
        <v>41401</v>
      </c>
      <c r="D1237" s="1" t="s">
        <v>2002</v>
      </c>
      <c r="E1237" s="1">
        <v>100702</v>
      </c>
      <c r="F1237" s="6" t="s">
        <v>3239</v>
      </c>
      <c r="G1237" s="15" t="str">
        <f>VLOOKUP(A1237,Movie!A:D,4,FALSE)</f>
        <v>Fox</v>
      </c>
      <c r="H1237" s="14">
        <f>VLOOKUP(E1237,'Rental Transaction'!A:B,2,FALSE)</f>
        <v>646953</v>
      </c>
      <c r="I1237">
        <f t="shared" si="19"/>
        <v>2013</v>
      </c>
    </row>
    <row r="1238" spans="1:9">
      <c r="A1238" s="1">
        <v>10129</v>
      </c>
      <c r="B1238" s="1">
        <v>2</v>
      </c>
      <c r="C1238" s="2">
        <v>41400</v>
      </c>
      <c r="D1238" s="1" t="s">
        <v>2005</v>
      </c>
      <c r="E1238" s="1">
        <v>100702</v>
      </c>
      <c r="F1238" s="6" t="s">
        <v>3240</v>
      </c>
      <c r="G1238" s="15" t="str">
        <f>VLOOKUP(A1238,Movie!A:D,4,FALSE)</f>
        <v>Warner Brothers</v>
      </c>
      <c r="H1238" s="14">
        <f>VLOOKUP(E1238,'Rental Transaction'!A:B,2,FALSE)</f>
        <v>646953</v>
      </c>
      <c r="I1238">
        <f t="shared" si="19"/>
        <v>2013</v>
      </c>
    </row>
    <row r="1239" spans="1:9">
      <c r="A1239" s="1">
        <v>10011</v>
      </c>
      <c r="B1239" s="1">
        <v>5</v>
      </c>
      <c r="C1239" s="2">
        <v>41401</v>
      </c>
      <c r="D1239" s="1" t="s">
        <v>2002</v>
      </c>
      <c r="E1239" s="1">
        <v>100703</v>
      </c>
      <c r="F1239" s="6" t="s">
        <v>3241</v>
      </c>
      <c r="G1239" s="15" t="str">
        <f>VLOOKUP(A1239,Movie!A:D,4,FALSE)</f>
        <v>Buena Vista</v>
      </c>
      <c r="H1239" s="14">
        <f>VLOOKUP(E1239,'Rental Transaction'!A:B,2,FALSE)</f>
        <v>429748</v>
      </c>
      <c r="I1239">
        <f t="shared" si="19"/>
        <v>2013</v>
      </c>
    </row>
    <row r="1240" spans="1:9">
      <c r="A1240" s="1">
        <v>10191</v>
      </c>
      <c r="B1240" s="1">
        <v>2</v>
      </c>
      <c r="C1240" s="2">
        <v>41400</v>
      </c>
      <c r="D1240" s="1" t="s">
        <v>2002</v>
      </c>
      <c r="E1240" s="1">
        <v>100703</v>
      </c>
      <c r="F1240" s="6" t="s">
        <v>3242</v>
      </c>
      <c r="G1240" s="15" t="str">
        <f>VLOOKUP(A1240,Movie!A:D,4,FALSE)</f>
        <v>Universal</v>
      </c>
      <c r="H1240" s="14">
        <f>VLOOKUP(E1240,'Rental Transaction'!A:B,2,FALSE)</f>
        <v>429748</v>
      </c>
      <c r="I1240">
        <f t="shared" si="19"/>
        <v>2013</v>
      </c>
    </row>
    <row r="1241" spans="1:9">
      <c r="A1241" s="1">
        <v>10197</v>
      </c>
      <c r="B1241" s="1">
        <v>10</v>
      </c>
      <c r="C1241" s="2">
        <v>41401</v>
      </c>
      <c r="D1241" s="1" t="s">
        <v>2002</v>
      </c>
      <c r="E1241" s="1">
        <v>100704</v>
      </c>
      <c r="F1241" s="6" t="s">
        <v>3243</v>
      </c>
      <c r="G1241" s="15" t="str">
        <f>VLOOKUP(A1241,Movie!A:D,4,FALSE)</f>
        <v>Warner Brothers</v>
      </c>
      <c r="H1241" s="14">
        <f>VLOOKUP(E1241,'Rental Transaction'!A:B,2,FALSE)</f>
        <v>757525</v>
      </c>
      <c r="I1241">
        <f t="shared" si="19"/>
        <v>2013</v>
      </c>
    </row>
    <row r="1242" spans="1:9">
      <c r="A1242" s="1">
        <v>10183</v>
      </c>
      <c r="B1242" s="1">
        <v>3</v>
      </c>
      <c r="C1242" s="2">
        <v>41401</v>
      </c>
      <c r="D1242" s="1" t="s">
        <v>2005</v>
      </c>
      <c r="E1242" s="1">
        <v>100704</v>
      </c>
      <c r="F1242" s="6" t="s">
        <v>3244</v>
      </c>
      <c r="G1242" s="15" t="str">
        <f>VLOOKUP(A1242,Movie!A:D,4,FALSE)</f>
        <v>Sony</v>
      </c>
      <c r="H1242" s="14">
        <f>VLOOKUP(E1242,'Rental Transaction'!A:B,2,FALSE)</f>
        <v>757525</v>
      </c>
      <c r="I1242">
        <f t="shared" si="19"/>
        <v>2013</v>
      </c>
    </row>
    <row r="1243" spans="1:9">
      <c r="A1243" s="1">
        <v>10208</v>
      </c>
      <c r="B1243" s="1">
        <v>5</v>
      </c>
      <c r="C1243" s="2">
        <v>41401</v>
      </c>
      <c r="D1243" s="1" t="s">
        <v>2002</v>
      </c>
      <c r="E1243" s="1">
        <v>100704</v>
      </c>
      <c r="F1243" s="6" t="s">
        <v>3245</v>
      </c>
      <c r="G1243" s="15" t="str">
        <f>VLOOKUP(A1243,Movie!A:D,4,FALSE)</f>
        <v>Warner Brothers</v>
      </c>
      <c r="H1243" s="14">
        <f>VLOOKUP(E1243,'Rental Transaction'!A:B,2,FALSE)</f>
        <v>757525</v>
      </c>
      <c r="I1243">
        <f t="shared" si="19"/>
        <v>2013</v>
      </c>
    </row>
    <row r="1244" spans="1:9">
      <c r="A1244" s="1">
        <v>10024</v>
      </c>
      <c r="B1244" s="1">
        <v>6</v>
      </c>
      <c r="C1244" s="2">
        <v>41402</v>
      </c>
      <c r="D1244" s="1" t="s">
        <v>2002</v>
      </c>
      <c r="E1244" s="1">
        <v>100705</v>
      </c>
      <c r="F1244" s="6" t="s">
        <v>3246</v>
      </c>
      <c r="G1244" s="15" t="str">
        <f>VLOOKUP(A1244,Movie!A:D,4,FALSE)</f>
        <v>Fox</v>
      </c>
      <c r="H1244" s="14">
        <f>VLOOKUP(E1244,'Rental Transaction'!A:B,2,FALSE)</f>
        <v>301793</v>
      </c>
      <c r="I1244">
        <f t="shared" si="19"/>
        <v>2013</v>
      </c>
    </row>
    <row r="1245" spans="1:9">
      <c r="A1245" s="1">
        <v>10056</v>
      </c>
      <c r="B1245" s="1">
        <v>3</v>
      </c>
      <c r="C1245" s="2">
        <v>41401</v>
      </c>
      <c r="D1245" s="1" t="s">
        <v>2005</v>
      </c>
      <c r="E1245" s="1">
        <v>100706</v>
      </c>
      <c r="F1245" s="6" t="s">
        <v>3247</v>
      </c>
      <c r="G1245" s="15" t="str">
        <f>VLOOKUP(A1245,Movie!A:D,4,FALSE)</f>
        <v>Screen Gems</v>
      </c>
      <c r="H1245" s="14">
        <f>VLOOKUP(E1245,'Rental Transaction'!A:B,2,FALSE)</f>
        <v>994185</v>
      </c>
      <c r="I1245">
        <f t="shared" si="19"/>
        <v>2013</v>
      </c>
    </row>
    <row r="1246" spans="1:9">
      <c r="A1246" s="1">
        <v>10006</v>
      </c>
      <c r="B1246" s="1">
        <v>9</v>
      </c>
      <c r="C1246" s="2">
        <v>41403</v>
      </c>
      <c r="D1246" s="1" t="s">
        <v>2002</v>
      </c>
      <c r="E1246" s="1">
        <v>100706</v>
      </c>
      <c r="F1246" s="6" t="s">
        <v>3248</v>
      </c>
      <c r="G1246" s="15" t="str">
        <f>VLOOKUP(A1246,Movie!A:D,4,FALSE)</f>
        <v>Paramount</v>
      </c>
      <c r="H1246" s="14">
        <f>VLOOKUP(E1246,'Rental Transaction'!A:B,2,FALSE)</f>
        <v>994185</v>
      </c>
      <c r="I1246">
        <f t="shared" si="19"/>
        <v>2013</v>
      </c>
    </row>
    <row r="1247" spans="1:9">
      <c r="A1247" s="1">
        <v>10255</v>
      </c>
      <c r="B1247" s="1">
        <v>10</v>
      </c>
      <c r="C1247" s="2">
        <v>41401</v>
      </c>
      <c r="D1247" s="1" t="s">
        <v>2002</v>
      </c>
      <c r="E1247" s="1">
        <v>100706</v>
      </c>
      <c r="F1247" s="6" t="s">
        <v>3249</v>
      </c>
      <c r="G1247" s="15" t="str">
        <f>VLOOKUP(A1247,Movie!A:D,4,FALSE)</f>
        <v>Paramount</v>
      </c>
      <c r="H1247" s="14">
        <f>VLOOKUP(E1247,'Rental Transaction'!A:B,2,FALSE)</f>
        <v>994185</v>
      </c>
      <c r="I1247">
        <f t="shared" si="19"/>
        <v>2013</v>
      </c>
    </row>
    <row r="1248" spans="1:9">
      <c r="A1248" s="1">
        <v>10071</v>
      </c>
      <c r="B1248" s="1">
        <v>7</v>
      </c>
      <c r="C1248" s="2">
        <v>41401</v>
      </c>
      <c r="D1248" s="1" t="s">
        <v>2002</v>
      </c>
      <c r="E1248" s="1">
        <v>100707</v>
      </c>
      <c r="F1248" s="6" t="s">
        <v>3250</v>
      </c>
      <c r="G1248" s="15" t="str">
        <f>VLOOKUP(A1248,Movie!A:D,4,FALSE)</f>
        <v>Paramount</v>
      </c>
      <c r="H1248" s="14">
        <f>VLOOKUP(E1248,'Rental Transaction'!A:B,2,FALSE)</f>
        <v>175871</v>
      </c>
      <c r="I1248">
        <f t="shared" si="19"/>
        <v>2013</v>
      </c>
    </row>
    <row r="1249" spans="1:9">
      <c r="A1249" s="1">
        <v>10191</v>
      </c>
      <c r="B1249" s="1">
        <v>10</v>
      </c>
      <c r="C1249" s="2">
        <v>41402</v>
      </c>
      <c r="D1249" s="1" t="s">
        <v>2002</v>
      </c>
      <c r="E1249" s="1">
        <v>100708</v>
      </c>
      <c r="F1249" s="6" t="s">
        <v>3251</v>
      </c>
      <c r="G1249" s="15" t="str">
        <f>VLOOKUP(A1249,Movie!A:D,4,FALSE)</f>
        <v>Universal</v>
      </c>
      <c r="H1249" s="14">
        <f>VLOOKUP(E1249,'Rental Transaction'!A:B,2,FALSE)</f>
        <v>671363</v>
      </c>
      <c r="I1249">
        <f t="shared" si="19"/>
        <v>2013</v>
      </c>
    </row>
    <row r="1250" spans="1:9">
      <c r="A1250" s="1">
        <v>10126</v>
      </c>
      <c r="B1250" s="1">
        <v>2</v>
      </c>
      <c r="C1250" s="2">
        <v>41402</v>
      </c>
      <c r="D1250" s="1" t="s">
        <v>2005</v>
      </c>
      <c r="E1250" s="1">
        <v>100709</v>
      </c>
      <c r="F1250" s="6" t="s">
        <v>3252</v>
      </c>
      <c r="G1250" s="15" t="str">
        <f>VLOOKUP(A1250,Movie!A:D,4,FALSE)</f>
        <v>Fox</v>
      </c>
      <c r="H1250" s="14">
        <f>VLOOKUP(E1250,'Rental Transaction'!A:B,2,FALSE)</f>
        <v>900440</v>
      </c>
      <c r="I1250">
        <f t="shared" si="19"/>
        <v>2013</v>
      </c>
    </row>
    <row r="1251" spans="1:9">
      <c r="A1251" s="1">
        <v>10116</v>
      </c>
      <c r="B1251" s="1">
        <v>9</v>
      </c>
      <c r="C1251" s="2">
        <v>41402</v>
      </c>
      <c r="D1251" s="1" t="s">
        <v>2005</v>
      </c>
      <c r="E1251" s="1">
        <v>100709</v>
      </c>
      <c r="F1251" s="6" t="s">
        <v>3253</v>
      </c>
      <c r="G1251" s="15" t="str">
        <f>VLOOKUP(A1251,Movie!A:D,4,FALSE)</f>
        <v>Universal</v>
      </c>
      <c r="H1251" s="14">
        <f>VLOOKUP(E1251,'Rental Transaction'!A:B,2,FALSE)</f>
        <v>900440</v>
      </c>
      <c r="I1251">
        <f t="shared" si="19"/>
        <v>2013</v>
      </c>
    </row>
    <row r="1252" spans="1:9">
      <c r="A1252" s="1">
        <v>10080</v>
      </c>
      <c r="B1252" s="1">
        <v>4</v>
      </c>
      <c r="C1252" s="2">
        <v>41402</v>
      </c>
      <c r="D1252" s="1" t="s">
        <v>2002</v>
      </c>
      <c r="E1252" s="1">
        <v>100709</v>
      </c>
      <c r="F1252" s="6" t="s">
        <v>3254</v>
      </c>
      <c r="G1252" s="15" t="str">
        <f>VLOOKUP(A1252,Movie!A:D,4,FALSE)</f>
        <v>Buena Vista</v>
      </c>
      <c r="H1252" s="14">
        <f>VLOOKUP(E1252,'Rental Transaction'!A:B,2,FALSE)</f>
        <v>900440</v>
      </c>
      <c r="I1252">
        <f t="shared" si="19"/>
        <v>2013</v>
      </c>
    </row>
    <row r="1253" spans="1:9">
      <c r="A1253" s="1">
        <v>10212</v>
      </c>
      <c r="B1253" s="1">
        <v>3</v>
      </c>
      <c r="C1253" s="2">
        <v>41403</v>
      </c>
      <c r="D1253" s="1" t="s">
        <v>2002</v>
      </c>
      <c r="E1253" s="1">
        <v>100710</v>
      </c>
      <c r="F1253" s="6" t="s">
        <v>3255</v>
      </c>
      <c r="G1253" s="15" t="str">
        <f>VLOOKUP(A1253,Movie!A:D,4,FALSE)</f>
        <v>Lionsgate</v>
      </c>
      <c r="H1253" s="14">
        <f>VLOOKUP(E1253,'Rental Transaction'!A:B,2,FALSE)</f>
        <v>766737</v>
      </c>
      <c r="I1253">
        <f t="shared" si="19"/>
        <v>2013</v>
      </c>
    </row>
    <row r="1254" spans="1:9">
      <c r="A1254" s="1">
        <v>10096</v>
      </c>
      <c r="B1254" s="1">
        <v>5</v>
      </c>
      <c r="C1254" s="2">
        <v>41403</v>
      </c>
      <c r="D1254" s="1" t="s">
        <v>2005</v>
      </c>
      <c r="E1254" s="1">
        <v>100710</v>
      </c>
      <c r="F1254" s="6" t="s">
        <v>3256</v>
      </c>
      <c r="G1254" s="15" t="str">
        <f>VLOOKUP(A1254,Movie!A:D,4,FALSE)</f>
        <v>Universal</v>
      </c>
      <c r="H1254" s="14">
        <f>VLOOKUP(E1254,'Rental Transaction'!A:B,2,FALSE)</f>
        <v>766737</v>
      </c>
      <c r="I1254">
        <f t="shared" si="19"/>
        <v>2013</v>
      </c>
    </row>
    <row r="1255" spans="1:9">
      <c r="A1255" s="1">
        <v>10015</v>
      </c>
      <c r="B1255" s="1">
        <v>9</v>
      </c>
      <c r="C1255" s="2">
        <v>41402</v>
      </c>
      <c r="D1255" s="1" t="s">
        <v>2002</v>
      </c>
      <c r="E1255" s="1">
        <v>100710</v>
      </c>
      <c r="F1255" s="6" t="s">
        <v>3257</v>
      </c>
      <c r="G1255" s="15" t="str">
        <f>VLOOKUP(A1255,Movie!A:D,4,FALSE)</f>
        <v>TriStar</v>
      </c>
      <c r="H1255" s="14">
        <f>VLOOKUP(E1255,'Rental Transaction'!A:B,2,FALSE)</f>
        <v>766737</v>
      </c>
      <c r="I1255">
        <f t="shared" si="19"/>
        <v>2013</v>
      </c>
    </row>
    <row r="1256" spans="1:9">
      <c r="A1256" s="1">
        <v>10176</v>
      </c>
      <c r="B1256" s="1">
        <v>3</v>
      </c>
      <c r="C1256" s="2">
        <v>41402</v>
      </c>
      <c r="D1256" s="1" t="s">
        <v>2005</v>
      </c>
      <c r="E1256" s="1">
        <v>100711</v>
      </c>
      <c r="F1256" s="6" t="s">
        <v>3258</v>
      </c>
      <c r="G1256" s="15" t="str">
        <f>VLOOKUP(A1256,Movie!A:D,4,FALSE)</f>
        <v>Universal</v>
      </c>
      <c r="H1256" s="14">
        <f>VLOOKUP(E1256,'Rental Transaction'!A:B,2,FALSE)</f>
        <v>908328</v>
      </c>
      <c r="I1256">
        <f t="shared" si="19"/>
        <v>2013</v>
      </c>
    </row>
    <row r="1257" spans="1:9">
      <c r="A1257" s="1">
        <v>10262</v>
      </c>
      <c r="B1257" s="1">
        <v>3</v>
      </c>
      <c r="C1257" s="2">
        <v>41402</v>
      </c>
      <c r="D1257" s="1" t="s">
        <v>2002</v>
      </c>
      <c r="E1257" s="1">
        <v>100712</v>
      </c>
      <c r="F1257" s="6" t="s">
        <v>3259</v>
      </c>
      <c r="G1257" s="15" t="str">
        <f>VLOOKUP(A1257,Movie!A:D,4,FALSE)</f>
        <v>Lionsgate</v>
      </c>
      <c r="H1257" s="14">
        <f>VLOOKUP(E1257,'Rental Transaction'!A:B,2,FALSE)</f>
        <v>332324</v>
      </c>
      <c r="I1257">
        <f t="shared" si="19"/>
        <v>2013</v>
      </c>
    </row>
    <row r="1258" spans="1:9">
      <c r="A1258" s="1">
        <v>10046</v>
      </c>
      <c r="B1258" s="1">
        <v>9</v>
      </c>
      <c r="C1258" s="2">
        <v>41402</v>
      </c>
      <c r="D1258" s="1" t="s">
        <v>2002</v>
      </c>
      <c r="E1258" s="1">
        <v>100713</v>
      </c>
      <c r="F1258" s="6" t="s">
        <v>3260</v>
      </c>
      <c r="G1258" s="15" t="str">
        <f>VLOOKUP(A1258,Movie!A:D,4,FALSE)</f>
        <v>Sony</v>
      </c>
      <c r="H1258" s="14">
        <f>VLOOKUP(E1258,'Rental Transaction'!A:B,2,FALSE)</f>
        <v>355107</v>
      </c>
      <c r="I1258">
        <f t="shared" si="19"/>
        <v>2013</v>
      </c>
    </row>
    <row r="1259" spans="1:9">
      <c r="A1259" s="1">
        <v>10234</v>
      </c>
      <c r="B1259" s="1">
        <v>7</v>
      </c>
      <c r="C1259" s="2">
        <v>41402</v>
      </c>
      <c r="D1259" s="1" t="s">
        <v>2005</v>
      </c>
      <c r="E1259" s="1">
        <v>100714</v>
      </c>
      <c r="F1259" s="6" t="s">
        <v>3261</v>
      </c>
      <c r="G1259" s="15" t="str">
        <f>VLOOKUP(A1259,Movie!A:D,4,FALSE)</f>
        <v>Warner Brothers</v>
      </c>
      <c r="H1259" s="14">
        <f>VLOOKUP(E1259,'Rental Transaction'!A:B,2,FALSE)</f>
        <v>344702</v>
      </c>
      <c r="I1259">
        <f t="shared" si="19"/>
        <v>2013</v>
      </c>
    </row>
    <row r="1260" spans="1:9">
      <c r="A1260" s="1">
        <v>10198</v>
      </c>
      <c r="B1260" s="1">
        <v>3</v>
      </c>
      <c r="C1260" s="2">
        <v>41402</v>
      </c>
      <c r="D1260" s="1" t="s">
        <v>2002</v>
      </c>
      <c r="E1260" s="1">
        <v>100714</v>
      </c>
      <c r="F1260" s="6" t="s">
        <v>3262</v>
      </c>
      <c r="G1260" s="15" t="str">
        <f>VLOOKUP(A1260,Movie!A:D,4,FALSE)</f>
        <v>Fox</v>
      </c>
      <c r="H1260" s="14">
        <f>VLOOKUP(E1260,'Rental Transaction'!A:B,2,FALSE)</f>
        <v>344702</v>
      </c>
      <c r="I1260">
        <f t="shared" si="19"/>
        <v>2013</v>
      </c>
    </row>
    <row r="1261" spans="1:9">
      <c r="A1261" s="1">
        <v>10070</v>
      </c>
      <c r="B1261" s="1">
        <v>9</v>
      </c>
      <c r="C1261" s="2">
        <v>41402</v>
      </c>
      <c r="D1261" s="1" t="s">
        <v>2002</v>
      </c>
      <c r="E1261" s="1">
        <v>100714</v>
      </c>
      <c r="F1261" s="6" t="s">
        <v>3263</v>
      </c>
      <c r="G1261" s="15" t="str">
        <f>VLOOKUP(A1261,Movie!A:D,4,FALSE)</f>
        <v>Paramount</v>
      </c>
      <c r="H1261" s="14">
        <f>VLOOKUP(E1261,'Rental Transaction'!A:B,2,FALSE)</f>
        <v>344702</v>
      </c>
      <c r="I1261">
        <f t="shared" si="19"/>
        <v>2013</v>
      </c>
    </row>
    <row r="1262" spans="1:9">
      <c r="A1262" s="1">
        <v>10184</v>
      </c>
      <c r="B1262" s="1">
        <v>3</v>
      </c>
      <c r="C1262" s="2">
        <v>41404</v>
      </c>
      <c r="D1262" s="1" t="s">
        <v>2002</v>
      </c>
      <c r="E1262" s="1">
        <v>100715</v>
      </c>
      <c r="F1262" s="6" t="s">
        <v>3264</v>
      </c>
      <c r="G1262" s="15" t="str">
        <f>VLOOKUP(A1262,Movie!A:D,4,FALSE)</f>
        <v>Universal</v>
      </c>
      <c r="H1262" s="14">
        <f>VLOOKUP(E1262,'Rental Transaction'!A:B,2,FALSE)</f>
        <v>706884</v>
      </c>
      <c r="I1262">
        <f t="shared" si="19"/>
        <v>2013</v>
      </c>
    </row>
    <row r="1263" spans="1:9">
      <c r="A1263" s="1">
        <v>10013</v>
      </c>
      <c r="B1263" s="1">
        <v>10</v>
      </c>
      <c r="C1263" s="2">
        <v>41403</v>
      </c>
      <c r="D1263" s="1" t="s">
        <v>2002</v>
      </c>
      <c r="E1263" s="1">
        <v>100715</v>
      </c>
      <c r="F1263" s="6" t="s">
        <v>3265</v>
      </c>
      <c r="G1263" s="15" t="str">
        <f>VLOOKUP(A1263,Movie!A:D,4,FALSE)</f>
        <v>Open Road Films</v>
      </c>
      <c r="H1263" s="14">
        <f>VLOOKUP(E1263,'Rental Transaction'!A:B,2,FALSE)</f>
        <v>706884</v>
      </c>
      <c r="I1263">
        <f t="shared" si="19"/>
        <v>2013</v>
      </c>
    </row>
    <row r="1264" spans="1:9">
      <c r="A1264" s="1">
        <v>10039</v>
      </c>
      <c r="B1264" s="1">
        <v>10</v>
      </c>
      <c r="C1264" s="2">
        <v>41403</v>
      </c>
      <c r="D1264" s="1" t="s">
        <v>2002</v>
      </c>
      <c r="E1264" s="1">
        <v>100716</v>
      </c>
      <c r="F1264" s="6" t="s">
        <v>3266</v>
      </c>
      <c r="G1264" s="15" t="str">
        <f>VLOOKUP(A1264,Movie!A:D,4,FALSE)</f>
        <v>Open Road Films</v>
      </c>
      <c r="H1264" s="14">
        <f>VLOOKUP(E1264,'Rental Transaction'!A:B,2,FALSE)</f>
        <v>355107</v>
      </c>
      <c r="I1264">
        <f t="shared" si="19"/>
        <v>2013</v>
      </c>
    </row>
    <row r="1265" spans="1:9">
      <c r="A1265" s="1">
        <v>10038</v>
      </c>
      <c r="B1265" s="1">
        <v>2</v>
      </c>
      <c r="C1265" s="2">
        <v>41403</v>
      </c>
      <c r="D1265" s="1" t="s">
        <v>2005</v>
      </c>
      <c r="E1265" s="1">
        <v>100716</v>
      </c>
      <c r="F1265" s="6" t="s">
        <v>3267</v>
      </c>
      <c r="G1265" s="15" t="str">
        <f>VLOOKUP(A1265,Movie!A:D,4,FALSE)</f>
        <v>Paramount</v>
      </c>
      <c r="H1265" s="14">
        <f>VLOOKUP(E1265,'Rental Transaction'!A:B,2,FALSE)</f>
        <v>355107</v>
      </c>
      <c r="I1265">
        <f t="shared" si="19"/>
        <v>2013</v>
      </c>
    </row>
    <row r="1266" spans="1:9">
      <c r="A1266" s="1">
        <v>10161</v>
      </c>
      <c r="B1266" s="1">
        <v>2</v>
      </c>
      <c r="C1266" s="2">
        <v>41403</v>
      </c>
      <c r="D1266" s="1" t="s">
        <v>2002</v>
      </c>
      <c r="E1266" s="1">
        <v>100716</v>
      </c>
      <c r="F1266" s="6" t="s">
        <v>3268</v>
      </c>
      <c r="G1266" s="15" t="str">
        <f>VLOOKUP(A1266,Movie!A:D,4,FALSE)</f>
        <v>TriStar</v>
      </c>
      <c r="H1266" s="14">
        <f>VLOOKUP(E1266,'Rental Transaction'!A:B,2,FALSE)</f>
        <v>355107</v>
      </c>
      <c r="I1266">
        <f t="shared" si="19"/>
        <v>2013</v>
      </c>
    </row>
    <row r="1267" spans="1:9">
      <c r="A1267" s="1">
        <v>10108</v>
      </c>
      <c r="B1267" s="1">
        <v>6</v>
      </c>
      <c r="C1267" s="2">
        <v>41403</v>
      </c>
      <c r="D1267" s="1" t="s">
        <v>2002</v>
      </c>
      <c r="E1267" s="1">
        <v>100716</v>
      </c>
      <c r="F1267" s="6" t="s">
        <v>3269</v>
      </c>
      <c r="G1267" s="15" t="str">
        <f>VLOOKUP(A1267,Movie!A:D,4,FALSE)</f>
        <v>Fox</v>
      </c>
      <c r="H1267" s="14">
        <f>VLOOKUP(E1267,'Rental Transaction'!A:B,2,FALSE)</f>
        <v>355107</v>
      </c>
      <c r="I1267">
        <f t="shared" si="19"/>
        <v>2013</v>
      </c>
    </row>
    <row r="1268" spans="1:9">
      <c r="A1268" s="1">
        <v>10281</v>
      </c>
      <c r="B1268" s="1">
        <v>2</v>
      </c>
      <c r="C1268" s="2">
        <v>41405</v>
      </c>
      <c r="D1268" s="1" t="s">
        <v>2002</v>
      </c>
      <c r="E1268" s="1">
        <v>100717</v>
      </c>
      <c r="F1268" s="6" t="s">
        <v>3270</v>
      </c>
      <c r="G1268" s="15" t="str">
        <f>VLOOKUP(A1268,Movie!A:D,4,FALSE)</f>
        <v>Lionsgate</v>
      </c>
      <c r="H1268" s="14">
        <f>VLOOKUP(E1268,'Rental Transaction'!A:B,2,FALSE)</f>
        <v>656512</v>
      </c>
      <c r="I1268">
        <f t="shared" si="19"/>
        <v>2013</v>
      </c>
    </row>
    <row r="1269" spans="1:9">
      <c r="A1269" s="1">
        <v>10001</v>
      </c>
      <c r="B1269" s="1">
        <v>4</v>
      </c>
      <c r="C1269" s="2">
        <v>41403</v>
      </c>
      <c r="D1269" s="1" t="s">
        <v>2005</v>
      </c>
      <c r="E1269" s="1">
        <v>100718</v>
      </c>
      <c r="F1269" s="6" t="s">
        <v>3271</v>
      </c>
      <c r="G1269" s="15" t="str">
        <f>VLOOKUP(A1269,Movie!A:D,4,FALSE)</f>
        <v>Focus</v>
      </c>
      <c r="H1269" s="14">
        <f>VLOOKUP(E1269,'Rental Transaction'!A:B,2,FALSE)</f>
        <v>724700</v>
      </c>
      <c r="I1269">
        <f t="shared" si="19"/>
        <v>2013</v>
      </c>
    </row>
    <row r="1270" spans="1:9">
      <c r="A1270" s="1">
        <v>10034</v>
      </c>
      <c r="B1270" s="1">
        <v>5</v>
      </c>
      <c r="C1270" s="2">
        <v>41403</v>
      </c>
      <c r="D1270" s="1" t="s">
        <v>2005</v>
      </c>
      <c r="E1270" s="1">
        <v>100718</v>
      </c>
      <c r="F1270" s="6" t="s">
        <v>3272</v>
      </c>
      <c r="G1270" s="15" t="str">
        <f>VLOOKUP(A1270,Movie!A:D,4,FALSE)</f>
        <v>Lionsgate</v>
      </c>
      <c r="H1270" s="14">
        <f>VLOOKUP(E1270,'Rental Transaction'!A:B,2,FALSE)</f>
        <v>724700</v>
      </c>
      <c r="I1270">
        <f t="shared" si="19"/>
        <v>2013</v>
      </c>
    </row>
    <row r="1271" spans="1:9">
      <c r="A1271" s="1">
        <v>10079</v>
      </c>
      <c r="B1271" s="1">
        <v>10</v>
      </c>
      <c r="C1271" s="2">
        <v>41403</v>
      </c>
      <c r="D1271" s="1" t="s">
        <v>2005</v>
      </c>
      <c r="E1271" s="1">
        <v>100719</v>
      </c>
      <c r="F1271" s="6" t="s">
        <v>3273</v>
      </c>
      <c r="G1271" s="15" t="str">
        <f>VLOOKUP(A1271,Movie!A:D,4,FALSE)</f>
        <v>Warner Brothers</v>
      </c>
      <c r="H1271" s="14">
        <f>VLOOKUP(E1271,'Rental Transaction'!A:B,2,FALSE)</f>
        <v>884368</v>
      </c>
      <c r="I1271">
        <f t="shared" si="19"/>
        <v>2013</v>
      </c>
    </row>
    <row r="1272" spans="1:9">
      <c r="A1272" s="1">
        <v>10007</v>
      </c>
      <c r="B1272" s="1">
        <v>3</v>
      </c>
      <c r="C1272" s="2">
        <v>41403</v>
      </c>
      <c r="D1272" s="1" t="s">
        <v>2002</v>
      </c>
      <c r="E1272" s="1">
        <v>100719</v>
      </c>
      <c r="F1272" s="6" t="s">
        <v>3274</v>
      </c>
      <c r="G1272" s="15" t="str">
        <f>VLOOKUP(A1272,Movie!A:D,4,FALSE)</f>
        <v>Sony</v>
      </c>
      <c r="H1272" s="14">
        <f>VLOOKUP(E1272,'Rental Transaction'!A:B,2,FALSE)</f>
        <v>884368</v>
      </c>
      <c r="I1272">
        <f t="shared" si="19"/>
        <v>2013</v>
      </c>
    </row>
    <row r="1273" spans="1:9">
      <c r="A1273" s="1">
        <v>10119</v>
      </c>
      <c r="B1273" s="1">
        <v>1</v>
      </c>
      <c r="C1273" s="2">
        <v>41405</v>
      </c>
      <c r="D1273" s="1" t="s">
        <v>2002</v>
      </c>
      <c r="E1273" s="1">
        <v>100720</v>
      </c>
      <c r="F1273" s="6" t="s">
        <v>3275</v>
      </c>
      <c r="G1273" s="15" t="str">
        <f>VLOOKUP(A1273,Movie!A:D,4,FALSE)</f>
        <v>Universal</v>
      </c>
      <c r="H1273" s="14">
        <f>VLOOKUP(E1273,'Rental Transaction'!A:B,2,FALSE)</f>
        <v>515753</v>
      </c>
      <c r="I1273">
        <f t="shared" si="19"/>
        <v>2013</v>
      </c>
    </row>
    <row r="1274" spans="1:9">
      <c r="A1274" s="1">
        <v>10038</v>
      </c>
      <c r="B1274" s="1">
        <v>5</v>
      </c>
      <c r="C1274" s="2">
        <v>41404</v>
      </c>
      <c r="D1274" s="1" t="s">
        <v>2002</v>
      </c>
      <c r="E1274" s="1">
        <v>100721</v>
      </c>
      <c r="F1274" s="6" t="s">
        <v>3276</v>
      </c>
      <c r="G1274" s="15" t="str">
        <f>VLOOKUP(A1274,Movie!A:D,4,FALSE)</f>
        <v>Paramount</v>
      </c>
      <c r="H1274" s="14">
        <f>VLOOKUP(E1274,'Rental Transaction'!A:B,2,FALSE)</f>
        <v>515790</v>
      </c>
      <c r="I1274">
        <f t="shared" si="19"/>
        <v>2013</v>
      </c>
    </row>
    <row r="1275" spans="1:9">
      <c r="A1275" s="1">
        <v>10049</v>
      </c>
      <c r="B1275" s="1">
        <v>8</v>
      </c>
      <c r="C1275" s="2">
        <v>41404</v>
      </c>
      <c r="D1275" s="1" t="s">
        <v>2005</v>
      </c>
      <c r="E1275" s="1">
        <v>100721</v>
      </c>
      <c r="F1275" s="6" t="s">
        <v>3277</v>
      </c>
      <c r="G1275" s="15" t="str">
        <f>VLOOKUP(A1275,Movie!A:D,4,FALSE)</f>
        <v>Universal</v>
      </c>
      <c r="H1275" s="14">
        <f>VLOOKUP(E1275,'Rental Transaction'!A:B,2,FALSE)</f>
        <v>515790</v>
      </c>
      <c r="I1275">
        <f t="shared" si="19"/>
        <v>2013</v>
      </c>
    </row>
    <row r="1276" spans="1:9">
      <c r="A1276" s="1">
        <v>10192</v>
      </c>
      <c r="B1276" s="1">
        <v>5</v>
      </c>
      <c r="C1276" s="2">
        <v>41404</v>
      </c>
      <c r="D1276" s="1" t="s">
        <v>2002</v>
      </c>
      <c r="E1276" s="1">
        <v>100722</v>
      </c>
      <c r="F1276" s="6" t="s">
        <v>3278</v>
      </c>
      <c r="G1276" s="15" t="str">
        <f>VLOOKUP(A1276,Movie!A:D,4,FALSE)</f>
        <v>Universal</v>
      </c>
      <c r="H1276" s="14">
        <f>VLOOKUP(E1276,'Rental Transaction'!A:B,2,FALSE)</f>
        <v>416523</v>
      </c>
      <c r="I1276">
        <f t="shared" si="19"/>
        <v>2013</v>
      </c>
    </row>
    <row r="1277" spans="1:9">
      <c r="A1277" s="1">
        <v>10221</v>
      </c>
      <c r="B1277" s="1">
        <v>6</v>
      </c>
      <c r="C1277" s="2">
        <v>41405</v>
      </c>
      <c r="D1277" s="1" t="s">
        <v>2002</v>
      </c>
      <c r="E1277" s="1">
        <v>100722</v>
      </c>
      <c r="F1277" s="6" t="s">
        <v>3279</v>
      </c>
      <c r="G1277" s="15" t="str">
        <f>VLOOKUP(A1277,Movie!A:D,4,FALSE)</f>
        <v>Fox</v>
      </c>
      <c r="H1277" s="14">
        <f>VLOOKUP(E1277,'Rental Transaction'!A:B,2,FALSE)</f>
        <v>416523</v>
      </c>
      <c r="I1277">
        <f t="shared" si="19"/>
        <v>2013</v>
      </c>
    </row>
    <row r="1278" spans="1:9">
      <c r="A1278" s="1">
        <v>10214</v>
      </c>
      <c r="B1278" s="1">
        <v>4</v>
      </c>
      <c r="C1278" s="2">
        <v>41404</v>
      </c>
      <c r="D1278" s="1" t="s">
        <v>2002</v>
      </c>
      <c r="E1278" s="1">
        <v>100722</v>
      </c>
      <c r="F1278" s="6" t="s">
        <v>3280</v>
      </c>
      <c r="G1278" s="15" t="str">
        <f>VLOOKUP(A1278,Movie!A:D,4,FALSE)</f>
        <v>RM</v>
      </c>
      <c r="H1278" s="14">
        <f>VLOOKUP(E1278,'Rental Transaction'!A:B,2,FALSE)</f>
        <v>416523</v>
      </c>
      <c r="I1278">
        <f t="shared" si="19"/>
        <v>2013</v>
      </c>
    </row>
    <row r="1279" spans="1:9">
      <c r="A1279" s="1">
        <v>10278</v>
      </c>
      <c r="B1279" s="1">
        <v>9</v>
      </c>
      <c r="C1279" s="2">
        <v>41405</v>
      </c>
      <c r="D1279" s="1" t="s">
        <v>2002</v>
      </c>
      <c r="E1279" s="1">
        <v>100723</v>
      </c>
      <c r="F1279" s="6" t="s">
        <v>3281</v>
      </c>
      <c r="G1279" s="15" t="str">
        <f>VLOOKUP(A1279,Movie!A:D,4,FALSE)</f>
        <v>Universal</v>
      </c>
      <c r="H1279" s="14">
        <f>VLOOKUP(E1279,'Rental Transaction'!A:B,2,FALSE)</f>
        <v>330223</v>
      </c>
      <c r="I1279">
        <f t="shared" si="19"/>
        <v>2013</v>
      </c>
    </row>
    <row r="1280" spans="1:9">
      <c r="A1280" s="1">
        <v>10227</v>
      </c>
      <c r="B1280" s="1">
        <v>1</v>
      </c>
      <c r="C1280" s="2">
        <v>41404</v>
      </c>
      <c r="D1280" s="1" t="s">
        <v>2002</v>
      </c>
      <c r="E1280" s="1">
        <v>100724</v>
      </c>
      <c r="F1280" s="6" t="s">
        <v>3282</v>
      </c>
      <c r="G1280" s="15" t="str">
        <f>VLOOKUP(A1280,Movie!A:D,4,FALSE)</f>
        <v>Focus</v>
      </c>
      <c r="H1280" s="14">
        <f>VLOOKUP(E1280,'Rental Transaction'!A:B,2,FALSE)</f>
        <v>924947</v>
      </c>
      <c r="I1280">
        <f t="shared" si="19"/>
        <v>2013</v>
      </c>
    </row>
    <row r="1281" spans="1:9">
      <c r="A1281" s="1">
        <v>10170</v>
      </c>
      <c r="B1281" s="1">
        <v>6</v>
      </c>
      <c r="C1281" s="2">
        <v>41404</v>
      </c>
      <c r="D1281" s="1" t="s">
        <v>2002</v>
      </c>
      <c r="E1281" s="1">
        <v>100724</v>
      </c>
      <c r="F1281" s="6" t="s">
        <v>3283</v>
      </c>
      <c r="G1281" s="15" t="str">
        <f>VLOOKUP(A1281,Movie!A:D,4,FALSE)</f>
        <v>Sony Classics</v>
      </c>
      <c r="H1281" s="14">
        <f>VLOOKUP(E1281,'Rental Transaction'!A:B,2,FALSE)</f>
        <v>924947</v>
      </c>
      <c r="I1281">
        <f t="shared" si="19"/>
        <v>2013</v>
      </c>
    </row>
    <row r="1282" spans="1:9">
      <c r="A1282" s="1">
        <v>10075</v>
      </c>
      <c r="B1282" s="1">
        <v>3</v>
      </c>
      <c r="C1282" s="2">
        <v>41404</v>
      </c>
      <c r="D1282" s="1" t="s">
        <v>2005</v>
      </c>
      <c r="E1282" s="1">
        <v>100725</v>
      </c>
      <c r="F1282" s="6" t="s">
        <v>3284</v>
      </c>
      <c r="G1282" s="15" t="str">
        <f>VLOOKUP(A1282,Movie!A:D,4,FALSE)</f>
        <v>Fox Searchlight</v>
      </c>
      <c r="H1282" s="14">
        <f>VLOOKUP(E1282,'Rental Transaction'!A:B,2,FALSE)</f>
        <v>884729</v>
      </c>
      <c r="I1282">
        <f t="shared" si="19"/>
        <v>2013</v>
      </c>
    </row>
    <row r="1283" spans="1:9">
      <c r="A1283" s="1">
        <v>10051</v>
      </c>
      <c r="B1283" s="1">
        <v>3</v>
      </c>
      <c r="C1283" s="2">
        <v>41404</v>
      </c>
      <c r="D1283" s="1" t="s">
        <v>2002</v>
      </c>
      <c r="E1283" s="1">
        <v>100725</v>
      </c>
      <c r="F1283" s="6" t="s">
        <v>3285</v>
      </c>
      <c r="G1283" s="15" t="str">
        <f>VLOOKUP(A1283,Movie!A:D,4,FALSE)</f>
        <v>Paramount</v>
      </c>
      <c r="H1283" s="14">
        <f>VLOOKUP(E1283,'Rental Transaction'!A:B,2,FALSE)</f>
        <v>884729</v>
      </c>
      <c r="I1283">
        <f t="shared" ref="I1283:I1346" si="20">YEAR(C1283)</f>
        <v>2013</v>
      </c>
    </row>
    <row r="1284" spans="1:9">
      <c r="A1284" s="1">
        <v>10157</v>
      </c>
      <c r="B1284" s="1">
        <v>9</v>
      </c>
      <c r="C1284" s="2">
        <v>41405</v>
      </c>
      <c r="D1284" s="1" t="s">
        <v>2005</v>
      </c>
      <c r="E1284" s="1">
        <v>100726</v>
      </c>
      <c r="F1284" s="6" t="s">
        <v>3286</v>
      </c>
      <c r="G1284" s="15" t="str">
        <f>VLOOKUP(A1284,Movie!A:D,4,FALSE)</f>
        <v>Paramount</v>
      </c>
      <c r="H1284" s="14">
        <f>VLOOKUP(E1284,'Rental Transaction'!A:B,2,FALSE)</f>
        <v>432268</v>
      </c>
      <c r="I1284">
        <f t="shared" si="20"/>
        <v>2013</v>
      </c>
    </row>
    <row r="1285" spans="1:9">
      <c r="A1285" s="1">
        <v>10187</v>
      </c>
      <c r="B1285" s="1">
        <v>1</v>
      </c>
      <c r="C1285" s="2">
        <v>41404</v>
      </c>
      <c r="D1285" s="1" t="s">
        <v>2002</v>
      </c>
      <c r="E1285" s="1">
        <v>100726</v>
      </c>
      <c r="F1285" s="6" t="s">
        <v>3287</v>
      </c>
      <c r="G1285" s="15" t="str">
        <f>VLOOKUP(A1285,Movie!A:D,4,FALSE)</f>
        <v>Paramount</v>
      </c>
      <c r="H1285" s="14">
        <f>VLOOKUP(E1285,'Rental Transaction'!A:B,2,FALSE)</f>
        <v>432268</v>
      </c>
      <c r="I1285">
        <f t="shared" si="20"/>
        <v>2013</v>
      </c>
    </row>
    <row r="1286" spans="1:9">
      <c r="A1286" s="1">
        <v>10115</v>
      </c>
      <c r="B1286" s="1">
        <v>2</v>
      </c>
      <c r="C1286" s="2">
        <v>41405</v>
      </c>
      <c r="D1286" s="1" t="s">
        <v>2002</v>
      </c>
      <c r="E1286" s="1">
        <v>100727</v>
      </c>
      <c r="F1286" s="6" t="s">
        <v>3288</v>
      </c>
      <c r="G1286" s="15" t="str">
        <f>VLOOKUP(A1286,Movie!A:D,4,FALSE)</f>
        <v>Open Road Films</v>
      </c>
      <c r="H1286" s="14">
        <f>VLOOKUP(E1286,'Rental Transaction'!A:B,2,FALSE)</f>
        <v>116934</v>
      </c>
      <c r="I1286">
        <f t="shared" si="20"/>
        <v>2013</v>
      </c>
    </row>
    <row r="1287" spans="1:9">
      <c r="A1287" s="1">
        <v>10221</v>
      </c>
      <c r="B1287" s="1">
        <v>10</v>
      </c>
      <c r="C1287" s="2">
        <v>41405</v>
      </c>
      <c r="D1287" s="1" t="s">
        <v>2002</v>
      </c>
      <c r="E1287" s="1">
        <v>100728</v>
      </c>
      <c r="F1287" s="6" t="s">
        <v>3289</v>
      </c>
      <c r="G1287" s="15" t="str">
        <f>VLOOKUP(A1287,Movie!A:D,4,FALSE)</f>
        <v>Fox</v>
      </c>
      <c r="H1287" s="14">
        <f>VLOOKUP(E1287,'Rental Transaction'!A:B,2,FALSE)</f>
        <v>817159</v>
      </c>
      <c r="I1287">
        <f t="shared" si="20"/>
        <v>2013</v>
      </c>
    </row>
    <row r="1288" spans="1:9">
      <c r="A1288" s="1">
        <v>10015</v>
      </c>
      <c r="B1288" s="1">
        <v>10</v>
      </c>
      <c r="C1288" s="2">
        <v>41405</v>
      </c>
      <c r="D1288" s="1" t="s">
        <v>2002</v>
      </c>
      <c r="E1288" s="1">
        <v>100728</v>
      </c>
      <c r="F1288" s="6" t="s">
        <v>3290</v>
      </c>
      <c r="G1288" s="15" t="str">
        <f>VLOOKUP(A1288,Movie!A:D,4,FALSE)</f>
        <v>TriStar</v>
      </c>
      <c r="H1288" s="14">
        <f>VLOOKUP(E1288,'Rental Transaction'!A:B,2,FALSE)</f>
        <v>817159</v>
      </c>
      <c r="I1288">
        <f t="shared" si="20"/>
        <v>2013</v>
      </c>
    </row>
    <row r="1289" spans="1:9">
      <c r="A1289" s="1">
        <v>10231</v>
      </c>
      <c r="B1289" s="1">
        <v>7</v>
      </c>
      <c r="C1289" s="2">
        <v>41405</v>
      </c>
      <c r="D1289" s="1" t="s">
        <v>2002</v>
      </c>
      <c r="E1289" s="1">
        <v>100729</v>
      </c>
      <c r="F1289" s="6" t="s">
        <v>3291</v>
      </c>
      <c r="G1289" s="15" t="str">
        <f>VLOOKUP(A1289,Movie!A:D,4,FALSE)</f>
        <v>Universal</v>
      </c>
      <c r="H1289" s="14">
        <f>VLOOKUP(E1289,'Rental Transaction'!A:B,2,FALSE)</f>
        <v>605188</v>
      </c>
      <c r="I1289">
        <f t="shared" si="20"/>
        <v>2013</v>
      </c>
    </row>
    <row r="1290" spans="1:9">
      <c r="A1290" s="1">
        <v>10016</v>
      </c>
      <c r="B1290" s="1">
        <v>9</v>
      </c>
      <c r="C1290" s="2">
        <v>41406</v>
      </c>
      <c r="D1290" s="1" t="s">
        <v>2002</v>
      </c>
      <c r="E1290" s="1">
        <v>100729</v>
      </c>
      <c r="F1290" s="6" t="s">
        <v>3292</v>
      </c>
      <c r="G1290" s="15" t="str">
        <f>VLOOKUP(A1290,Movie!A:D,4,FALSE)</f>
        <v>Universal</v>
      </c>
      <c r="H1290" s="14">
        <f>VLOOKUP(E1290,'Rental Transaction'!A:B,2,FALSE)</f>
        <v>605188</v>
      </c>
      <c r="I1290">
        <f t="shared" si="20"/>
        <v>2013</v>
      </c>
    </row>
    <row r="1291" spans="1:9">
      <c r="A1291" s="1">
        <v>10269</v>
      </c>
      <c r="B1291" s="1">
        <v>5</v>
      </c>
      <c r="C1291" s="2">
        <v>41406</v>
      </c>
      <c r="D1291" s="1" t="s">
        <v>2002</v>
      </c>
      <c r="E1291" s="1">
        <v>100729</v>
      </c>
      <c r="F1291" s="6" t="s">
        <v>3293</v>
      </c>
      <c r="G1291" s="15" t="str">
        <f>VLOOKUP(A1291,Movie!A:D,4,FALSE)</f>
        <v>Buena Vista</v>
      </c>
      <c r="H1291" s="14">
        <f>VLOOKUP(E1291,'Rental Transaction'!A:B,2,FALSE)</f>
        <v>605188</v>
      </c>
      <c r="I1291">
        <f t="shared" si="20"/>
        <v>2013</v>
      </c>
    </row>
    <row r="1292" spans="1:9">
      <c r="A1292" s="1">
        <v>10104</v>
      </c>
      <c r="B1292" s="1">
        <v>2</v>
      </c>
      <c r="C1292" s="2">
        <v>41405</v>
      </c>
      <c r="D1292" s="1" t="s">
        <v>2005</v>
      </c>
      <c r="E1292" s="1">
        <v>100730</v>
      </c>
      <c r="F1292" s="6" t="s">
        <v>3294</v>
      </c>
      <c r="G1292" s="15" t="str">
        <f>VLOOKUP(A1292,Movie!A:D,4,FALSE)</f>
        <v>Universal</v>
      </c>
      <c r="H1292" s="14">
        <f>VLOOKUP(E1292,'Rental Transaction'!A:B,2,FALSE)</f>
        <v>456457</v>
      </c>
      <c r="I1292">
        <f t="shared" si="20"/>
        <v>2013</v>
      </c>
    </row>
    <row r="1293" spans="1:9" ht="29.25">
      <c r="A1293" s="1">
        <v>10140</v>
      </c>
      <c r="B1293" s="1">
        <v>8</v>
      </c>
      <c r="C1293" s="2">
        <v>41405</v>
      </c>
      <c r="D1293" s="1" t="s">
        <v>2002</v>
      </c>
      <c r="E1293" s="1">
        <v>100730</v>
      </c>
      <c r="F1293" s="6" t="s">
        <v>3295</v>
      </c>
      <c r="G1293" s="15" t="str">
        <f>VLOOKUP(A1293,Movie!A:D,4,FALSE)</f>
        <v>Weinstein Company</v>
      </c>
      <c r="H1293" s="14">
        <f>VLOOKUP(E1293,'Rental Transaction'!A:B,2,FALSE)</f>
        <v>456457</v>
      </c>
      <c r="I1293">
        <f t="shared" si="20"/>
        <v>2013</v>
      </c>
    </row>
    <row r="1294" spans="1:9">
      <c r="A1294" s="1">
        <v>10024</v>
      </c>
      <c r="B1294" s="1">
        <v>2</v>
      </c>
      <c r="C1294" s="2">
        <v>41406</v>
      </c>
      <c r="D1294" s="1" t="s">
        <v>2005</v>
      </c>
      <c r="E1294" s="1">
        <v>100730</v>
      </c>
      <c r="F1294" s="6" t="s">
        <v>3296</v>
      </c>
      <c r="G1294" s="15" t="str">
        <f>VLOOKUP(A1294,Movie!A:D,4,FALSE)</f>
        <v>Fox</v>
      </c>
      <c r="H1294" s="14">
        <f>VLOOKUP(E1294,'Rental Transaction'!A:B,2,FALSE)</f>
        <v>456457</v>
      </c>
      <c r="I1294">
        <f t="shared" si="20"/>
        <v>2013</v>
      </c>
    </row>
    <row r="1295" spans="1:9">
      <c r="A1295" s="1">
        <v>10108</v>
      </c>
      <c r="B1295" s="1">
        <v>4</v>
      </c>
      <c r="C1295" s="2">
        <v>41406</v>
      </c>
      <c r="D1295" s="1" t="s">
        <v>2005</v>
      </c>
      <c r="E1295" s="1">
        <v>100731</v>
      </c>
      <c r="F1295" s="6" t="s">
        <v>3297</v>
      </c>
      <c r="G1295" s="15" t="str">
        <f>VLOOKUP(A1295,Movie!A:D,4,FALSE)</f>
        <v>Fox</v>
      </c>
      <c r="H1295" s="14">
        <f>VLOOKUP(E1295,'Rental Transaction'!A:B,2,FALSE)</f>
        <v>793987</v>
      </c>
      <c r="I1295">
        <f t="shared" si="20"/>
        <v>2013</v>
      </c>
    </row>
    <row r="1296" spans="1:9">
      <c r="A1296" s="1">
        <v>10085</v>
      </c>
      <c r="B1296" s="1">
        <v>5</v>
      </c>
      <c r="C1296" s="2">
        <v>41406</v>
      </c>
      <c r="D1296" s="1" t="s">
        <v>2005</v>
      </c>
      <c r="E1296" s="1">
        <v>100731</v>
      </c>
      <c r="F1296" s="6" t="s">
        <v>3298</v>
      </c>
      <c r="G1296" s="15" t="str">
        <f>VLOOKUP(A1296,Movie!A:D,4,FALSE)</f>
        <v>Buena Vista</v>
      </c>
      <c r="H1296" s="14">
        <f>VLOOKUP(E1296,'Rental Transaction'!A:B,2,FALSE)</f>
        <v>793987</v>
      </c>
      <c r="I1296">
        <f t="shared" si="20"/>
        <v>2013</v>
      </c>
    </row>
    <row r="1297" spans="1:9">
      <c r="A1297" s="1">
        <v>10269</v>
      </c>
      <c r="B1297" s="1">
        <v>1</v>
      </c>
      <c r="C1297" s="2">
        <v>41408</v>
      </c>
      <c r="D1297" s="1" t="s">
        <v>2005</v>
      </c>
      <c r="E1297" s="1">
        <v>100732</v>
      </c>
      <c r="F1297" s="6" t="s">
        <v>3299</v>
      </c>
      <c r="G1297" s="15" t="str">
        <f>VLOOKUP(A1297,Movie!A:D,4,FALSE)</f>
        <v>Buena Vista</v>
      </c>
      <c r="H1297" s="14">
        <f>VLOOKUP(E1297,'Rental Transaction'!A:B,2,FALSE)</f>
        <v>892883</v>
      </c>
      <c r="I1297">
        <f t="shared" si="20"/>
        <v>2013</v>
      </c>
    </row>
    <row r="1298" spans="1:9">
      <c r="A1298" s="1">
        <v>10029</v>
      </c>
      <c r="B1298" s="1">
        <v>8</v>
      </c>
      <c r="C1298" s="2">
        <v>41406</v>
      </c>
      <c r="D1298" s="1" t="s">
        <v>2002</v>
      </c>
      <c r="E1298" s="1">
        <v>100733</v>
      </c>
      <c r="F1298" s="6" t="s">
        <v>3300</v>
      </c>
      <c r="G1298" s="15" t="str">
        <f>VLOOKUP(A1298,Movie!A:D,4,FALSE)</f>
        <v>Relativity</v>
      </c>
      <c r="H1298" s="14">
        <f>VLOOKUP(E1298,'Rental Transaction'!A:B,2,FALSE)</f>
        <v>890270</v>
      </c>
      <c r="I1298">
        <f t="shared" si="20"/>
        <v>2013</v>
      </c>
    </row>
    <row r="1299" spans="1:9">
      <c r="A1299" s="1">
        <v>10038</v>
      </c>
      <c r="B1299" s="1">
        <v>10</v>
      </c>
      <c r="C1299" s="2">
        <v>41407</v>
      </c>
      <c r="D1299" s="1" t="s">
        <v>2005</v>
      </c>
      <c r="E1299" s="1">
        <v>100733</v>
      </c>
      <c r="F1299" s="6" t="s">
        <v>3301</v>
      </c>
      <c r="G1299" s="15" t="str">
        <f>VLOOKUP(A1299,Movie!A:D,4,FALSE)</f>
        <v>Paramount</v>
      </c>
      <c r="H1299" s="14">
        <f>VLOOKUP(E1299,'Rental Transaction'!A:B,2,FALSE)</f>
        <v>890270</v>
      </c>
      <c r="I1299">
        <f t="shared" si="20"/>
        <v>2013</v>
      </c>
    </row>
    <row r="1300" spans="1:9">
      <c r="A1300" s="1">
        <v>10151</v>
      </c>
      <c r="B1300" s="1">
        <v>5</v>
      </c>
      <c r="C1300" s="2">
        <v>41406</v>
      </c>
      <c r="D1300" s="1" t="s">
        <v>2002</v>
      </c>
      <c r="E1300" s="1">
        <v>100734</v>
      </c>
      <c r="F1300" s="6" t="s">
        <v>3302</v>
      </c>
      <c r="G1300" s="15" t="str">
        <f>VLOOKUP(A1300,Movie!A:D,4,FALSE)</f>
        <v>Screen Gems</v>
      </c>
      <c r="H1300" s="14">
        <f>VLOOKUP(E1300,'Rental Transaction'!A:B,2,FALSE)</f>
        <v>901388</v>
      </c>
      <c r="I1300">
        <f t="shared" si="20"/>
        <v>2013</v>
      </c>
    </row>
    <row r="1301" spans="1:9">
      <c r="A1301" s="1">
        <v>10029</v>
      </c>
      <c r="B1301" s="1">
        <v>1</v>
      </c>
      <c r="C1301" s="2">
        <v>41407</v>
      </c>
      <c r="D1301" s="1" t="s">
        <v>2002</v>
      </c>
      <c r="E1301" s="1">
        <v>100734</v>
      </c>
      <c r="F1301" s="6" t="s">
        <v>3303</v>
      </c>
      <c r="G1301" s="15" t="str">
        <f>VLOOKUP(A1301,Movie!A:D,4,FALSE)</f>
        <v>Relativity</v>
      </c>
      <c r="H1301" s="14">
        <f>VLOOKUP(E1301,'Rental Transaction'!A:B,2,FALSE)</f>
        <v>901388</v>
      </c>
      <c r="I1301">
        <f t="shared" si="20"/>
        <v>2013</v>
      </c>
    </row>
    <row r="1302" spans="1:9">
      <c r="A1302" s="1">
        <v>10107</v>
      </c>
      <c r="B1302" s="1">
        <v>5</v>
      </c>
      <c r="C1302" s="2">
        <v>41408</v>
      </c>
      <c r="D1302" s="1" t="s">
        <v>2002</v>
      </c>
      <c r="E1302" s="1">
        <v>100735</v>
      </c>
      <c r="F1302" s="6" t="s">
        <v>3304</v>
      </c>
      <c r="G1302" s="15" t="str">
        <f>VLOOKUP(A1302,Movie!A:D,4,FALSE)</f>
        <v>Universal</v>
      </c>
      <c r="H1302" s="14">
        <f>VLOOKUP(E1302,'Rental Transaction'!A:B,2,FALSE)</f>
        <v>951702</v>
      </c>
      <c r="I1302">
        <f t="shared" si="20"/>
        <v>2013</v>
      </c>
    </row>
    <row r="1303" spans="1:9" ht="29.25">
      <c r="A1303" s="1">
        <v>10294</v>
      </c>
      <c r="B1303" s="1">
        <v>10</v>
      </c>
      <c r="C1303" s="2">
        <v>41406</v>
      </c>
      <c r="D1303" s="1" t="s">
        <v>2002</v>
      </c>
      <c r="E1303" s="1">
        <v>100736</v>
      </c>
      <c r="F1303" s="6" t="s">
        <v>3305</v>
      </c>
      <c r="G1303" s="15" t="str">
        <f>VLOOKUP(A1303,Movie!A:D,4,FALSE)</f>
        <v>Weinstein Company</v>
      </c>
      <c r="H1303" s="14">
        <f>VLOOKUP(E1303,'Rental Transaction'!A:B,2,FALSE)</f>
        <v>667170</v>
      </c>
      <c r="I1303">
        <f t="shared" si="20"/>
        <v>2013</v>
      </c>
    </row>
    <row r="1304" spans="1:9">
      <c r="A1304" s="1">
        <v>10274</v>
      </c>
      <c r="B1304" s="1">
        <v>1</v>
      </c>
      <c r="C1304" s="2">
        <v>41407</v>
      </c>
      <c r="D1304" s="1" t="s">
        <v>2002</v>
      </c>
      <c r="E1304" s="1">
        <v>100736</v>
      </c>
      <c r="F1304" s="6" t="s">
        <v>3306</v>
      </c>
      <c r="G1304" s="15" t="str">
        <f>VLOOKUP(A1304,Movie!A:D,4,FALSE)</f>
        <v>Fox</v>
      </c>
      <c r="H1304" s="14">
        <f>VLOOKUP(E1304,'Rental Transaction'!A:B,2,FALSE)</f>
        <v>667170</v>
      </c>
      <c r="I1304">
        <f t="shared" si="20"/>
        <v>2013</v>
      </c>
    </row>
    <row r="1305" spans="1:9">
      <c r="A1305" s="1">
        <v>10053</v>
      </c>
      <c r="B1305" s="1">
        <v>5</v>
      </c>
      <c r="C1305" s="2">
        <v>41406</v>
      </c>
      <c r="D1305" s="1" t="s">
        <v>2002</v>
      </c>
      <c r="E1305" s="1">
        <v>100737</v>
      </c>
      <c r="F1305" s="6" t="s">
        <v>3307</v>
      </c>
      <c r="G1305" s="15" t="str">
        <f>VLOOKUP(A1305,Movie!A:D,4,FALSE)</f>
        <v>Sony</v>
      </c>
      <c r="H1305" s="14">
        <f>VLOOKUP(E1305,'Rental Transaction'!A:B,2,FALSE)</f>
        <v>204295</v>
      </c>
      <c r="I1305">
        <f t="shared" si="20"/>
        <v>2013</v>
      </c>
    </row>
    <row r="1306" spans="1:9">
      <c r="A1306" s="1">
        <v>10094</v>
      </c>
      <c r="B1306" s="1">
        <v>5</v>
      </c>
      <c r="C1306" s="2">
        <v>41406</v>
      </c>
      <c r="D1306" s="1" t="s">
        <v>2002</v>
      </c>
      <c r="E1306" s="1">
        <v>100737</v>
      </c>
      <c r="F1306" s="6" t="s">
        <v>3308</v>
      </c>
      <c r="G1306" s="15" t="str">
        <f>VLOOKUP(A1306,Movie!A:D,4,FALSE)</f>
        <v>Relativity</v>
      </c>
      <c r="H1306" s="14">
        <f>VLOOKUP(E1306,'Rental Transaction'!A:B,2,FALSE)</f>
        <v>204295</v>
      </c>
      <c r="I1306">
        <f t="shared" si="20"/>
        <v>2013</v>
      </c>
    </row>
    <row r="1307" spans="1:9">
      <c r="A1307" s="1">
        <v>10256</v>
      </c>
      <c r="B1307" s="1">
        <v>3</v>
      </c>
      <c r="C1307" s="2">
        <v>41406</v>
      </c>
      <c r="D1307" s="1" t="s">
        <v>2002</v>
      </c>
      <c r="E1307" s="1">
        <v>100737</v>
      </c>
      <c r="F1307" s="6" t="s">
        <v>3309</v>
      </c>
      <c r="G1307" s="15" t="str">
        <f>VLOOKUP(A1307,Movie!A:D,4,FALSE)</f>
        <v>Fox</v>
      </c>
      <c r="H1307" s="14">
        <f>VLOOKUP(E1307,'Rental Transaction'!A:B,2,FALSE)</f>
        <v>204295</v>
      </c>
      <c r="I1307">
        <f t="shared" si="20"/>
        <v>2013</v>
      </c>
    </row>
    <row r="1308" spans="1:9">
      <c r="A1308" s="1">
        <v>10052</v>
      </c>
      <c r="B1308" s="1">
        <v>2</v>
      </c>
      <c r="C1308" s="2">
        <v>41409</v>
      </c>
      <c r="D1308" s="1" t="s">
        <v>2005</v>
      </c>
      <c r="E1308" s="1">
        <v>100737</v>
      </c>
      <c r="F1308" s="6" t="s">
        <v>3310</v>
      </c>
      <c r="G1308" s="15" t="str">
        <f>VLOOKUP(A1308,Movie!A:D,4,FALSE)</f>
        <v>Warner Brothers</v>
      </c>
      <c r="H1308" s="14">
        <f>VLOOKUP(E1308,'Rental Transaction'!A:B,2,FALSE)</f>
        <v>204295</v>
      </c>
      <c r="I1308">
        <f t="shared" si="20"/>
        <v>2013</v>
      </c>
    </row>
    <row r="1309" spans="1:9">
      <c r="A1309" s="1">
        <v>10098</v>
      </c>
      <c r="B1309" s="1">
        <v>5</v>
      </c>
      <c r="C1309" s="2">
        <v>41406</v>
      </c>
      <c r="D1309" s="1" t="s">
        <v>2002</v>
      </c>
      <c r="E1309" s="1">
        <v>100738</v>
      </c>
      <c r="F1309" s="6" t="s">
        <v>3311</v>
      </c>
      <c r="G1309" s="15" t="str">
        <f>VLOOKUP(A1309,Movie!A:D,4,FALSE)</f>
        <v>Warner Brothers</v>
      </c>
      <c r="H1309" s="14">
        <f>VLOOKUP(E1309,'Rental Transaction'!A:B,2,FALSE)</f>
        <v>734514</v>
      </c>
      <c r="I1309">
        <f t="shared" si="20"/>
        <v>2013</v>
      </c>
    </row>
    <row r="1310" spans="1:9">
      <c r="A1310" s="1">
        <v>10265</v>
      </c>
      <c r="B1310" s="1">
        <v>10</v>
      </c>
      <c r="C1310" s="2">
        <v>41408</v>
      </c>
      <c r="D1310" s="1" t="s">
        <v>2002</v>
      </c>
      <c r="E1310" s="1">
        <v>100738</v>
      </c>
      <c r="F1310" s="6" t="s">
        <v>3312</v>
      </c>
      <c r="G1310" s="15" t="str">
        <f>VLOOKUP(A1310,Movie!A:D,4,FALSE)</f>
        <v>Warner Brothers</v>
      </c>
      <c r="H1310" s="14">
        <f>VLOOKUP(E1310,'Rental Transaction'!A:B,2,FALSE)</f>
        <v>734514</v>
      </c>
      <c r="I1310">
        <f t="shared" si="20"/>
        <v>2013</v>
      </c>
    </row>
    <row r="1311" spans="1:9">
      <c r="A1311" s="1">
        <v>10072</v>
      </c>
      <c r="B1311" s="1">
        <v>6</v>
      </c>
      <c r="C1311" s="2">
        <v>41406</v>
      </c>
      <c r="D1311" s="1" t="s">
        <v>2002</v>
      </c>
      <c r="E1311" s="1">
        <v>100739</v>
      </c>
      <c r="F1311" s="6" t="s">
        <v>3313</v>
      </c>
      <c r="G1311" s="15" t="str">
        <f>VLOOKUP(A1311,Movie!A:D,4,FALSE)</f>
        <v>Paramount</v>
      </c>
      <c r="H1311" s="14">
        <f>VLOOKUP(E1311,'Rental Transaction'!A:B,2,FALSE)</f>
        <v>627324</v>
      </c>
      <c r="I1311">
        <f t="shared" si="20"/>
        <v>2013</v>
      </c>
    </row>
    <row r="1312" spans="1:9">
      <c r="A1312" s="1">
        <v>10141</v>
      </c>
      <c r="B1312" s="1">
        <v>10</v>
      </c>
      <c r="C1312" s="2">
        <v>41406</v>
      </c>
      <c r="D1312" s="1" t="s">
        <v>2005</v>
      </c>
      <c r="E1312" s="1">
        <v>100739</v>
      </c>
      <c r="F1312" s="6" t="s">
        <v>3314</v>
      </c>
      <c r="G1312" s="15" t="str">
        <f>VLOOKUP(A1312,Movie!A:D,4,FALSE)</f>
        <v>Warner Brothers</v>
      </c>
      <c r="H1312" s="14">
        <f>VLOOKUP(E1312,'Rental Transaction'!A:B,2,FALSE)</f>
        <v>627324</v>
      </c>
      <c r="I1312">
        <f t="shared" si="20"/>
        <v>2013</v>
      </c>
    </row>
    <row r="1313" spans="1:9">
      <c r="A1313" s="1">
        <v>10047</v>
      </c>
      <c r="B1313" s="1">
        <v>6</v>
      </c>
      <c r="C1313" s="2">
        <v>41406</v>
      </c>
      <c r="D1313" s="1" t="s">
        <v>2005</v>
      </c>
      <c r="E1313" s="1">
        <v>100739</v>
      </c>
      <c r="F1313" s="6" t="s">
        <v>3315</v>
      </c>
      <c r="G1313" s="15" t="str">
        <f>VLOOKUP(A1313,Movie!A:D,4,FALSE)</f>
        <v>Warner Brothers</v>
      </c>
      <c r="H1313" s="14">
        <f>VLOOKUP(E1313,'Rental Transaction'!A:B,2,FALSE)</f>
        <v>627324</v>
      </c>
      <c r="I1313">
        <f t="shared" si="20"/>
        <v>2013</v>
      </c>
    </row>
    <row r="1314" spans="1:9">
      <c r="A1314" s="1">
        <v>10293</v>
      </c>
      <c r="B1314" s="1">
        <v>4</v>
      </c>
      <c r="C1314" s="2">
        <v>41406</v>
      </c>
      <c r="D1314" s="1" t="s">
        <v>2005</v>
      </c>
      <c r="E1314" s="1">
        <v>100739</v>
      </c>
      <c r="F1314" s="6" t="s">
        <v>3316</v>
      </c>
      <c r="G1314" s="15" t="str">
        <f>VLOOKUP(A1314,Movie!A:D,4,FALSE)</f>
        <v>Relativity</v>
      </c>
      <c r="H1314" s="14">
        <f>VLOOKUP(E1314,'Rental Transaction'!A:B,2,FALSE)</f>
        <v>627324</v>
      </c>
      <c r="I1314">
        <f t="shared" si="20"/>
        <v>2013</v>
      </c>
    </row>
    <row r="1315" spans="1:9">
      <c r="A1315" s="1">
        <v>10091</v>
      </c>
      <c r="B1315" s="1">
        <v>10</v>
      </c>
      <c r="C1315" s="2">
        <v>41407</v>
      </c>
      <c r="D1315" s="1" t="s">
        <v>2005</v>
      </c>
      <c r="E1315" s="1">
        <v>100740</v>
      </c>
      <c r="F1315" s="6" t="s">
        <v>3317</v>
      </c>
      <c r="G1315" s="15" t="str">
        <f>VLOOKUP(A1315,Movie!A:D,4,FALSE)</f>
        <v>Warner Brothers</v>
      </c>
      <c r="H1315" s="14">
        <f>VLOOKUP(E1315,'Rental Transaction'!A:B,2,FALSE)</f>
        <v>412929</v>
      </c>
      <c r="I1315">
        <f t="shared" si="20"/>
        <v>2013</v>
      </c>
    </row>
    <row r="1316" spans="1:9">
      <c r="A1316" s="1">
        <v>10115</v>
      </c>
      <c r="B1316" s="1">
        <v>2</v>
      </c>
      <c r="C1316" s="2">
        <v>41407</v>
      </c>
      <c r="D1316" s="1" t="s">
        <v>2002</v>
      </c>
      <c r="E1316" s="1">
        <v>100741</v>
      </c>
      <c r="F1316" s="6" t="s">
        <v>3318</v>
      </c>
      <c r="G1316" s="15" t="str">
        <f>VLOOKUP(A1316,Movie!A:D,4,FALSE)</f>
        <v>Open Road Films</v>
      </c>
      <c r="H1316" s="14">
        <f>VLOOKUP(E1316,'Rental Transaction'!A:B,2,FALSE)</f>
        <v>936214</v>
      </c>
      <c r="I1316">
        <f t="shared" si="20"/>
        <v>2013</v>
      </c>
    </row>
    <row r="1317" spans="1:9">
      <c r="A1317" s="1">
        <v>10117</v>
      </c>
      <c r="B1317" s="1">
        <v>2</v>
      </c>
      <c r="C1317" s="2">
        <v>41407</v>
      </c>
      <c r="D1317" s="1" t="s">
        <v>2002</v>
      </c>
      <c r="E1317" s="1">
        <v>100741</v>
      </c>
      <c r="F1317" s="6" t="s">
        <v>3319</v>
      </c>
      <c r="G1317" s="15" t="str">
        <f>VLOOKUP(A1317,Movie!A:D,4,FALSE)</f>
        <v>Sony</v>
      </c>
      <c r="H1317" s="14">
        <f>VLOOKUP(E1317,'Rental Transaction'!A:B,2,FALSE)</f>
        <v>936214</v>
      </c>
      <c r="I1317">
        <f t="shared" si="20"/>
        <v>2013</v>
      </c>
    </row>
    <row r="1318" spans="1:9">
      <c r="A1318" s="1">
        <v>10096</v>
      </c>
      <c r="B1318" s="1">
        <v>6</v>
      </c>
      <c r="C1318" s="2">
        <v>41408</v>
      </c>
      <c r="D1318" s="1" t="s">
        <v>2005</v>
      </c>
      <c r="E1318" s="1">
        <v>100741</v>
      </c>
      <c r="F1318" s="6" t="s">
        <v>3320</v>
      </c>
      <c r="G1318" s="15" t="str">
        <f>VLOOKUP(A1318,Movie!A:D,4,FALSE)</f>
        <v>Universal</v>
      </c>
      <c r="H1318" s="14">
        <f>VLOOKUP(E1318,'Rental Transaction'!A:B,2,FALSE)</f>
        <v>936214</v>
      </c>
      <c r="I1318">
        <f t="shared" si="20"/>
        <v>2013</v>
      </c>
    </row>
    <row r="1319" spans="1:9">
      <c r="A1319" s="1">
        <v>10234</v>
      </c>
      <c r="B1319" s="1">
        <v>1</v>
      </c>
      <c r="C1319" s="2">
        <v>41408</v>
      </c>
      <c r="D1319" s="1" t="s">
        <v>2002</v>
      </c>
      <c r="E1319" s="1">
        <v>100742</v>
      </c>
      <c r="F1319" s="6" t="s">
        <v>3321</v>
      </c>
      <c r="G1319" s="15" t="str">
        <f>VLOOKUP(A1319,Movie!A:D,4,FALSE)</f>
        <v>Warner Brothers</v>
      </c>
      <c r="H1319" s="14">
        <f>VLOOKUP(E1319,'Rental Transaction'!A:B,2,FALSE)</f>
        <v>175940</v>
      </c>
      <c r="I1319">
        <f t="shared" si="20"/>
        <v>2013</v>
      </c>
    </row>
    <row r="1320" spans="1:9">
      <c r="A1320" s="1">
        <v>10282</v>
      </c>
      <c r="B1320" s="1">
        <v>9</v>
      </c>
      <c r="C1320" s="2">
        <v>41407</v>
      </c>
      <c r="D1320" s="1" t="s">
        <v>2002</v>
      </c>
      <c r="E1320" s="1">
        <v>100743</v>
      </c>
      <c r="F1320" s="6" t="s">
        <v>3322</v>
      </c>
      <c r="G1320" s="15" t="str">
        <f>VLOOKUP(A1320,Movie!A:D,4,FALSE)</f>
        <v>Sony Classics</v>
      </c>
      <c r="H1320" s="14">
        <f>VLOOKUP(E1320,'Rental Transaction'!A:B,2,FALSE)</f>
        <v>810369</v>
      </c>
      <c r="I1320">
        <f t="shared" si="20"/>
        <v>2013</v>
      </c>
    </row>
    <row r="1321" spans="1:9">
      <c r="A1321" s="1">
        <v>10134</v>
      </c>
      <c r="B1321" s="1">
        <v>5</v>
      </c>
      <c r="C1321" s="2">
        <v>41407</v>
      </c>
      <c r="D1321" s="1" t="s">
        <v>2005</v>
      </c>
      <c r="E1321" s="1">
        <v>100743</v>
      </c>
      <c r="F1321" s="6" t="s">
        <v>3323</v>
      </c>
      <c r="G1321" s="15" t="str">
        <f>VLOOKUP(A1321,Movie!A:D,4,FALSE)</f>
        <v>Universal</v>
      </c>
      <c r="H1321" s="14">
        <f>VLOOKUP(E1321,'Rental Transaction'!A:B,2,FALSE)</f>
        <v>810369</v>
      </c>
      <c r="I1321">
        <f t="shared" si="20"/>
        <v>2013</v>
      </c>
    </row>
    <row r="1322" spans="1:9" ht="29.25">
      <c r="A1322" s="1">
        <v>10246</v>
      </c>
      <c r="B1322" s="1">
        <v>6</v>
      </c>
      <c r="C1322" s="2">
        <v>41408</v>
      </c>
      <c r="D1322" s="1" t="s">
        <v>2005</v>
      </c>
      <c r="E1322" s="1">
        <v>100744</v>
      </c>
      <c r="F1322" s="6" t="s">
        <v>3324</v>
      </c>
      <c r="G1322" s="15" t="str">
        <f>VLOOKUP(A1322,Movie!A:D,4,FALSE)</f>
        <v>Weinstein Company</v>
      </c>
      <c r="H1322" s="14">
        <f>VLOOKUP(E1322,'Rental Transaction'!A:B,2,FALSE)</f>
        <v>432268</v>
      </c>
      <c r="I1322">
        <f t="shared" si="20"/>
        <v>2013</v>
      </c>
    </row>
    <row r="1323" spans="1:9">
      <c r="A1323" s="1">
        <v>10001</v>
      </c>
      <c r="B1323" s="1">
        <v>5</v>
      </c>
      <c r="C1323" s="2">
        <v>41408</v>
      </c>
      <c r="D1323" s="1" t="s">
        <v>2005</v>
      </c>
      <c r="E1323" s="1">
        <v>100744</v>
      </c>
      <c r="F1323" s="6" t="s">
        <v>3325</v>
      </c>
      <c r="G1323" s="15" t="str">
        <f>VLOOKUP(A1323,Movie!A:D,4,FALSE)</f>
        <v>Focus</v>
      </c>
      <c r="H1323" s="14">
        <f>VLOOKUP(E1323,'Rental Transaction'!A:B,2,FALSE)</f>
        <v>432268</v>
      </c>
      <c r="I1323">
        <f t="shared" si="20"/>
        <v>2013</v>
      </c>
    </row>
    <row r="1324" spans="1:9">
      <c r="A1324" s="1">
        <v>10134</v>
      </c>
      <c r="B1324" s="1">
        <v>9</v>
      </c>
      <c r="C1324" s="2">
        <v>41408</v>
      </c>
      <c r="D1324" s="1" t="s">
        <v>2005</v>
      </c>
      <c r="E1324" s="1">
        <v>100744</v>
      </c>
      <c r="F1324" s="6" t="s">
        <v>3326</v>
      </c>
      <c r="G1324" s="15" t="str">
        <f>VLOOKUP(A1324,Movie!A:D,4,FALSE)</f>
        <v>Universal</v>
      </c>
      <c r="H1324" s="14">
        <f>VLOOKUP(E1324,'Rental Transaction'!A:B,2,FALSE)</f>
        <v>432268</v>
      </c>
      <c r="I1324">
        <f t="shared" si="20"/>
        <v>2013</v>
      </c>
    </row>
    <row r="1325" spans="1:9">
      <c r="A1325" s="1">
        <v>10134</v>
      </c>
      <c r="B1325" s="1">
        <v>9</v>
      </c>
      <c r="C1325" s="2">
        <v>41407</v>
      </c>
      <c r="D1325" s="1" t="s">
        <v>2005</v>
      </c>
      <c r="E1325" s="1">
        <v>100744</v>
      </c>
      <c r="F1325" s="6" t="s">
        <v>3327</v>
      </c>
      <c r="G1325" s="15" t="str">
        <f>VLOOKUP(A1325,Movie!A:D,4,FALSE)</f>
        <v>Universal</v>
      </c>
      <c r="H1325" s="14">
        <f>VLOOKUP(E1325,'Rental Transaction'!A:B,2,FALSE)</f>
        <v>432268</v>
      </c>
      <c r="I1325">
        <f t="shared" si="20"/>
        <v>2013</v>
      </c>
    </row>
    <row r="1326" spans="1:9">
      <c r="A1326" s="1">
        <v>10088</v>
      </c>
      <c r="B1326" s="1">
        <v>7</v>
      </c>
      <c r="C1326" s="2">
        <v>41408</v>
      </c>
      <c r="D1326" s="1" t="s">
        <v>2002</v>
      </c>
      <c r="E1326" s="1">
        <v>100744</v>
      </c>
      <c r="F1326" s="6" t="s">
        <v>3328</v>
      </c>
      <c r="G1326" s="15" t="str">
        <f>VLOOKUP(A1326,Movie!A:D,4,FALSE)</f>
        <v>Warner Brothers</v>
      </c>
      <c r="H1326" s="14">
        <f>VLOOKUP(E1326,'Rental Transaction'!A:B,2,FALSE)</f>
        <v>432268</v>
      </c>
      <c r="I1326">
        <f t="shared" si="20"/>
        <v>2013</v>
      </c>
    </row>
    <row r="1327" spans="1:9">
      <c r="A1327" s="1">
        <v>10013</v>
      </c>
      <c r="B1327" s="1">
        <v>8</v>
      </c>
      <c r="C1327" s="2">
        <v>41407</v>
      </c>
      <c r="D1327" s="1" t="s">
        <v>2002</v>
      </c>
      <c r="E1327" s="1">
        <v>100745</v>
      </c>
      <c r="F1327" s="6" t="s">
        <v>3329</v>
      </c>
      <c r="G1327" s="15" t="str">
        <f>VLOOKUP(A1327,Movie!A:D,4,FALSE)</f>
        <v>Open Road Films</v>
      </c>
      <c r="H1327" s="14">
        <f>VLOOKUP(E1327,'Rental Transaction'!A:B,2,FALSE)</f>
        <v>265339</v>
      </c>
      <c r="I1327">
        <f t="shared" si="20"/>
        <v>2013</v>
      </c>
    </row>
    <row r="1328" spans="1:9">
      <c r="A1328" s="1">
        <v>10233</v>
      </c>
      <c r="B1328" s="1">
        <v>9</v>
      </c>
      <c r="C1328" s="2">
        <v>41408</v>
      </c>
      <c r="D1328" s="1" t="s">
        <v>2002</v>
      </c>
      <c r="E1328" s="1">
        <v>100746</v>
      </c>
      <c r="F1328" s="6" t="s">
        <v>3330</v>
      </c>
      <c r="G1328" s="15" t="str">
        <f>VLOOKUP(A1328,Movie!A:D,4,FALSE)</f>
        <v>Screen Gems</v>
      </c>
      <c r="H1328" s="14">
        <f>VLOOKUP(E1328,'Rental Transaction'!A:B,2,FALSE)</f>
        <v>145929</v>
      </c>
      <c r="I1328">
        <f t="shared" si="20"/>
        <v>2013</v>
      </c>
    </row>
    <row r="1329" spans="1:9" ht="29.25">
      <c r="A1329" s="1">
        <v>10165</v>
      </c>
      <c r="B1329" s="1">
        <v>9</v>
      </c>
      <c r="C1329" s="2">
        <v>41407</v>
      </c>
      <c r="D1329" s="1" t="s">
        <v>2002</v>
      </c>
      <c r="E1329" s="1">
        <v>100747</v>
      </c>
      <c r="F1329" s="6" t="s">
        <v>3331</v>
      </c>
      <c r="G1329" s="15" t="str">
        <f>VLOOKUP(A1329,Movie!A:D,4,FALSE)</f>
        <v>Weinstein Company</v>
      </c>
      <c r="H1329" s="14">
        <f>VLOOKUP(E1329,'Rental Transaction'!A:B,2,FALSE)</f>
        <v>578275</v>
      </c>
      <c r="I1329">
        <f t="shared" si="20"/>
        <v>2013</v>
      </c>
    </row>
    <row r="1330" spans="1:9">
      <c r="A1330" s="1">
        <v>10199</v>
      </c>
      <c r="B1330" s="1">
        <v>9</v>
      </c>
      <c r="C1330" s="2">
        <v>41409</v>
      </c>
      <c r="D1330" s="1" t="s">
        <v>2005</v>
      </c>
      <c r="E1330" s="1">
        <v>100748</v>
      </c>
      <c r="F1330" s="6" t="s">
        <v>3332</v>
      </c>
      <c r="G1330" s="15" t="str">
        <f>VLOOKUP(A1330,Movie!A:D,4,FALSE)</f>
        <v>Lionsgate</v>
      </c>
      <c r="H1330" s="14">
        <f>VLOOKUP(E1330,'Rental Transaction'!A:B,2,FALSE)</f>
        <v>441628</v>
      </c>
      <c r="I1330">
        <f t="shared" si="20"/>
        <v>2013</v>
      </c>
    </row>
    <row r="1331" spans="1:9">
      <c r="A1331" s="1">
        <v>10027</v>
      </c>
      <c r="B1331" s="1">
        <v>10</v>
      </c>
      <c r="C1331" s="2">
        <v>41408</v>
      </c>
      <c r="D1331" s="1" t="s">
        <v>2005</v>
      </c>
      <c r="E1331" s="1">
        <v>100748</v>
      </c>
      <c r="F1331" s="6" t="s">
        <v>3333</v>
      </c>
      <c r="G1331" s="15" t="str">
        <f>VLOOKUP(A1331,Movie!A:D,4,FALSE)</f>
        <v>FilmDistrict</v>
      </c>
      <c r="H1331" s="14">
        <f>VLOOKUP(E1331,'Rental Transaction'!A:B,2,FALSE)</f>
        <v>441628</v>
      </c>
      <c r="I1331">
        <f t="shared" si="20"/>
        <v>2013</v>
      </c>
    </row>
    <row r="1332" spans="1:9">
      <c r="A1332" s="1">
        <v>10146</v>
      </c>
      <c r="B1332" s="1">
        <v>6</v>
      </c>
      <c r="C1332" s="2">
        <v>41408</v>
      </c>
      <c r="D1332" s="1" t="s">
        <v>2002</v>
      </c>
      <c r="E1332" s="1">
        <v>100749</v>
      </c>
      <c r="F1332" s="6" t="s">
        <v>3334</v>
      </c>
      <c r="G1332" s="15" t="str">
        <f>VLOOKUP(A1332,Movie!A:D,4,FALSE)</f>
        <v>Sony</v>
      </c>
      <c r="H1332" s="14">
        <f>VLOOKUP(E1332,'Rental Transaction'!A:B,2,FALSE)</f>
        <v>206078</v>
      </c>
      <c r="I1332">
        <f t="shared" si="20"/>
        <v>2013</v>
      </c>
    </row>
    <row r="1333" spans="1:9">
      <c r="A1333" s="1">
        <v>10173</v>
      </c>
      <c r="B1333" s="1">
        <v>6</v>
      </c>
      <c r="C1333" s="2">
        <v>41408</v>
      </c>
      <c r="D1333" s="1" t="s">
        <v>2002</v>
      </c>
      <c r="E1333" s="1">
        <v>100750</v>
      </c>
      <c r="F1333" s="6" t="s">
        <v>3335</v>
      </c>
      <c r="G1333" s="15" t="str">
        <f>VLOOKUP(A1333,Movie!A:D,4,FALSE)</f>
        <v>Sony</v>
      </c>
      <c r="H1333" s="14">
        <f>VLOOKUP(E1333,'Rental Transaction'!A:B,2,FALSE)</f>
        <v>437454</v>
      </c>
      <c r="I1333">
        <f t="shared" si="20"/>
        <v>2013</v>
      </c>
    </row>
    <row r="1334" spans="1:9">
      <c r="A1334" s="1">
        <v>10287</v>
      </c>
      <c r="B1334" s="1">
        <v>10</v>
      </c>
      <c r="C1334" s="2">
        <v>41408</v>
      </c>
      <c r="D1334" s="1" t="s">
        <v>2005</v>
      </c>
      <c r="E1334" s="1">
        <v>100751</v>
      </c>
      <c r="F1334" s="6" t="s">
        <v>3336</v>
      </c>
      <c r="G1334" s="15" t="str">
        <f>VLOOKUP(A1334,Movie!A:D,4,FALSE)</f>
        <v>Lionsgate</v>
      </c>
      <c r="H1334" s="14">
        <f>VLOOKUP(E1334,'Rental Transaction'!A:B,2,FALSE)</f>
        <v>344702</v>
      </c>
      <c r="I1334">
        <f t="shared" si="20"/>
        <v>2013</v>
      </c>
    </row>
    <row r="1335" spans="1:9">
      <c r="A1335" s="1">
        <v>10248</v>
      </c>
      <c r="B1335" s="1">
        <v>5</v>
      </c>
      <c r="C1335" s="2">
        <v>41408</v>
      </c>
      <c r="D1335" s="1" t="s">
        <v>2005</v>
      </c>
      <c r="E1335" s="1">
        <v>100751</v>
      </c>
      <c r="F1335" s="6" t="s">
        <v>3337</v>
      </c>
      <c r="G1335" s="15" t="str">
        <f>VLOOKUP(A1335,Movie!A:D,4,FALSE)</f>
        <v>Relativity</v>
      </c>
      <c r="H1335" s="14">
        <f>VLOOKUP(E1335,'Rental Transaction'!A:B,2,FALSE)</f>
        <v>344702</v>
      </c>
      <c r="I1335">
        <f t="shared" si="20"/>
        <v>2013</v>
      </c>
    </row>
    <row r="1336" spans="1:9">
      <c r="A1336" s="1">
        <v>10070</v>
      </c>
      <c r="B1336" s="1">
        <v>8</v>
      </c>
      <c r="C1336" s="2">
        <v>41408</v>
      </c>
      <c r="D1336" s="1" t="s">
        <v>2002</v>
      </c>
      <c r="E1336" s="1">
        <v>100752</v>
      </c>
      <c r="F1336" s="6" t="s">
        <v>3338</v>
      </c>
      <c r="G1336" s="15" t="str">
        <f>VLOOKUP(A1336,Movie!A:D,4,FALSE)</f>
        <v>Paramount</v>
      </c>
      <c r="H1336" s="14">
        <f>VLOOKUP(E1336,'Rental Transaction'!A:B,2,FALSE)</f>
        <v>347189</v>
      </c>
      <c r="I1336">
        <f t="shared" si="20"/>
        <v>2013</v>
      </c>
    </row>
    <row r="1337" spans="1:9">
      <c r="A1337" s="1">
        <v>10019</v>
      </c>
      <c r="B1337" s="1">
        <v>2</v>
      </c>
      <c r="C1337" s="2">
        <v>41408</v>
      </c>
      <c r="D1337" s="1" t="s">
        <v>2002</v>
      </c>
      <c r="E1337" s="1">
        <v>100752</v>
      </c>
      <c r="F1337" s="6" t="s">
        <v>3339</v>
      </c>
      <c r="G1337" s="15" t="str">
        <f>VLOOKUP(A1337,Movie!A:D,4,FALSE)</f>
        <v>Fox</v>
      </c>
      <c r="H1337" s="14">
        <f>VLOOKUP(E1337,'Rental Transaction'!A:B,2,FALSE)</f>
        <v>347189</v>
      </c>
      <c r="I1337">
        <f t="shared" si="20"/>
        <v>2013</v>
      </c>
    </row>
    <row r="1338" spans="1:9">
      <c r="A1338" s="1">
        <v>10218</v>
      </c>
      <c r="B1338" s="1">
        <v>10</v>
      </c>
      <c r="C1338" s="2">
        <v>41408</v>
      </c>
      <c r="D1338" s="1" t="s">
        <v>2005</v>
      </c>
      <c r="E1338" s="1">
        <v>100753</v>
      </c>
      <c r="F1338" s="6" t="s">
        <v>3340</v>
      </c>
      <c r="G1338" s="15" t="str">
        <f>VLOOKUP(A1338,Movie!A:D,4,FALSE)</f>
        <v>Sony</v>
      </c>
      <c r="H1338" s="14">
        <f>VLOOKUP(E1338,'Rental Transaction'!A:B,2,FALSE)</f>
        <v>537796</v>
      </c>
      <c r="I1338">
        <f t="shared" si="20"/>
        <v>2013</v>
      </c>
    </row>
    <row r="1339" spans="1:9">
      <c r="A1339" s="1">
        <v>10052</v>
      </c>
      <c r="B1339" s="1">
        <v>1</v>
      </c>
      <c r="C1339" s="2">
        <v>41409</v>
      </c>
      <c r="D1339" s="1" t="s">
        <v>2002</v>
      </c>
      <c r="E1339" s="1">
        <v>100754</v>
      </c>
      <c r="F1339" s="6" t="s">
        <v>3341</v>
      </c>
      <c r="G1339" s="15" t="str">
        <f>VLOOKUP(A1339,Movie!A:D,4,FALSE)</f>
        <v>Warner Brothers</v>
      </c>
      <c r="H1339" s="14">
        <f>VLOOKUP(E1339,'Rental Transaction'!A:B,2,FALSE)</f>
        <v>191951</v>
      </c>
      <c r="I1339">
        <f t="shared" si="20"/>
        <v>2013</v>
      </c>
    </row>
    <row r="1340" spans="1:9">
      <c r="A1340" s="1">
        <v>10118</v>
      </c>
      <c r="B1340" s="1">
        <v>5</v>
      </c>
      <c r="C1340" s="2">
        <v>41410</v>
      </c>
      <c r="D1340" s="1" t="s">
        <v>2005</v>
      </c>
      <c r="E1340" s="1">
        <v>100755</v>
      </c>
      <c r="F1340" s="6" t="s">
        <v>3342</v>
      </c>
      <c r="G1340" s="15" t="str">
        <f>VLOOKUP(A1340,Movie!A:D,4,FALSE)</f>
        <v>Buena Vista</v>
      </c>
      <c r="H1340" s="14">
        <f>VLOOKUP(E1340,'Rental Transaction'!A:B,2,FALSE)</f>
        <v>336644</v>
      </c>
      <c r="I1340">
        <f t="shared" si="20"/>
        <v>2013</v>
      </c>
    </row>
    <row r="1341" spans="1:9">
      <c r="A1341" s="1">
        <v>10173</v>
      </c>
      <c r="B1341" s="1">
        <v>1</v>
      </c>
      <c r="C1341" s="2">
        <v>41408</v>
      </c>
      <c r="D1341" s="1" t="s">
        <v>2002</v>
      </c>
      <c r="E1341" s="1">
        <v>100755</v>
      </c>
      <c r="F1341" s="6" t="s">
        <v>3343</v>
      </c>
      <c r="G1341" s="15" t="str">
        <f>VLOOKUP(A1341,Movie!A:D,4,FALSE)</f>
        <v>Sony</v>
      </c>
      <c r="H1341" s="14">
        <f>VLOOKUP(E1341,'Rental Transaction'!A:B,2,FALSE)</f>
        <v>336644</v>
      </c>
      <c r="I1341">
        <f t="shared" si="20"/>
        <v>2013</v>
      </c>
    </row>
    <row r="1342" spans="1:9">
      <c r="A1342" s="1">
        <v>10170</v>
      </c>
      <c r="B1342" s="1">
        <v>3</v>
      </c>
      <c r="C1342" s="2">
        <v>41410</v>
      </c>
      <c r="D1342" s="1" t="s">
        <v>2002</v>
      </c>
      <c r="E1342" s="1">
        <v>100756</v>
      </c>
      <c r="F1342" s="6" t="s">
        <v>3344</v>
      </c>
      <c r="G1342" s="15" t="str">
        <f>VLOOKUP(A1342,Movie!A:D,4,FALSE)</f>
        <v>Sony Classics</v>
      </c>
      <c r="H1342" s="14">
        <f>VLOOKUP(E1342,'Rental Transaction'!A:B,2,FALSE)</f>
        <v>850933</v>
      </c>
      <c r="I1342">
        <f t="shared" si="20"/>
        <v>2013</v>
      </c>
    </row>
    <row r="1343" spans="1:9">
      <c r="A1343" s="1">
        <v>10193</v>
      </c>
      <c r="B1343" s="1">
        <v>6</v>
      </c>
      <c r="C1343" s="2">
        <v>41408</v>
      </c>
      <c r="D1343" s="1" t="s">
        <v>2002</v>
      </c>
      <c r="E1343" s="1">
        <v>100756</v>
      </c>
      <c r="F1343" s="6" t="s">
        <v>3345</v>
      </c>
      <c r="G1343" s="15" t="str">
        <f>VLOOKUP(A1343,Movie!A:D,4,FALSE)</f>
        <v>Fox</v>
      </c>
      <c r="H1343" s="14">
        <f>VLOOKUP(E1343,'Rental Transaction'!A:B,2,FALSE)</f>
        <v>850933</v>
      </c>
      <c r="I1343">
        <f t="shared" si="20"/>
        <v>2013</v>
      </c>
    </row>
    <row r="1344" spans="1:9">
      <c r="A1344" s="1">
        <v>10193</v>
      </c>
      <c r="B1344" s="1">
        <v>9</v>
      </c>
      <c r="C1344" s="2">
        <v>41408</v>
      </c>
      <c r="D1344" s="1" t="s">
        <v>2002</v>
      </c>
      <c r="E1344" s="1">
        <v>100757</v>
      </c>
      <c r="F1344" s="6" t="s">
        <v>3346</v>
      </c>
      <c r="G1344" s="15" t="str">
        <f>VLOOKUP(A1344,Movie!A:D,4,FALSE)</f>
        <v>Fox</v>
      </c>
      <c r="H1344" s="14">
        <f>VLOOKUP(E1344,'Rental Transaction'!A:B,2,FALSE)</f>
        <v>193914</v>
      </c>
      <c r="I1344">
        <f t="shared" si="20"/>
        <v>2013</v>
      </c>
    </row>
    <row r="1345" spans="1:9">
      <c r="A1345" s="1">
        <v>10193</v>
      </c>
      <c r="B1345" s="1">
        <v>3</v>
      </c>
      <c r="C1345" s="2">
        <v>41409</v>
      </c>
      <c r="D1345" s="1" t="s">
        <v>2005</v>
      </c>
      <c r="E1345" s="1">
        <v>100758</v>
      </c>
      <c r="F1345" s="6" t="s">
        <v>3347</v>
      </c>
      <c r="G1345" s="15" t="str">
        <f>VLOOKUP(A1345,Movie!A:D,4,FALSE)</f>
        <v>Fox</v>
      </c>
      <c r="H1345" s="14">
        <f>VLOOKUP(E1345,'Rental Transaction'!A:B,2,FALSE)</f>
        <v>325263</v>
      </c>
      <c r="I1345">
        <f t="shared" si="20"/>
        <v>2013</v>
      </c>
    </row>
    <row r="1346" spans="1:9">
      <c r="A1346" s="1">
        <v>10005</v>
      </c>
      <c r="B1346" s="1">
        <v>1</v>
      </c>
      <c r="C1346" s="2">
        <v>41412</v>
      </c>
      <c r="D1346" s="1" t="s">
        <v>2002</v>
      </c>
      <c r="E1346" s="1">
        <v>100758</v>
      </c>
      <c r="F1346" s="6" t="s">
        <v>3348</v>
      </c>
      <c r="G1346" s="15" t="str">
        <f>VLOOKUP(A1346,Movie!A:D,4,FALSE)</f>
        <v>Buena Vista</v>
      </c>
      <c r="H1346" s="14">
        <f>VLOOKUP(E1346,'Rental Transaction'!A:B,2,FALSE)</f>
        <v>325263</v>
      </c>
      <c r="I1346">
        <f t="shared" si="20"/>
        <v>2013</v>
      </c>
    </row>
    <row r="1347" spans="1:9">
      <c r="A1347" s="1">
        <v>10027</v>
      </c>
      <c r="B1347" s="1">
        <v>7</v>
      </c>
      <c r="C1347" s="2">
        <v>41409</v>
      </c>
      <c r="D1347" s="1" t="s">
        <v>2002</v>
      </c>
      <c r="E1347" s="1">
        <v>100759</v>
      </c>
      <c r="F1347" s="6" t="s">
        <v>3349</v>
      </c>
      <c r="G1347" s="15" t="str">
        <f>VLOOKUP(A1347,Movie!A:D,4,FALSE)</f>
        <v>FilmDistrict</v>
      </c>
      <c r="H1347" s="14">
        <f>VLOOKUP(E1347,'Rental Transaction'!A:B,2,FALSE)</f>
        <v>441628</v>
      </c>
      <c r="I1347">
        <f t="shared" ref="I1347:I1410" si="21">YEAR(C1347)</f>
        <v>2013</v>
      </c>
    </row>
    <row r="1348" spans="1:9">
      <c r="A1348" s="1">
        <v>10019</v>
      </c>
      <c r="B1348" s="1">
        <v>10</v>
      </c>
      <c r="C1348" s="2">
        <v>41410</v>
      </c>
      <c r="D1348" s="1" t="s">
        <v>2005</v>
      </c>
      <c r="E1348" s="1">
        <v>100759</v>
      </c>
      <c r="F1348" s="6" t="s">
        <v>3350</v>
      </c>
      <c r="G1348" s="15" t="str">
        <f>VLOOKUP(A1348,Movie!A:D,4,FALSE)</f>
        <v>Fox</v>
      </c>
      <c r="H1348" s="14">
        <f>VLOOKUP(E1348,'Rental Transaction'!A:B,2,FALSE)</f>
        <v>441628</v>
      </c>
      <c r="I1348">
        <f t="shared" si="21"/>
        <v>2013</v>
      </c>
    </row>
    <row r="1349" spans="1:9">
      <c r="A1349" s="1">
        <v>10074</v>
      </c>
      <c r="B1349" s="1">
        <v>7</v>
      </c>
      <c r="C1349" s="2">
        <v>41410</v>
      </c>
      <c r="D1349" s="1" t="s">
        <v>2002</v>
      </c>
      <c r="E1349" s="1">
        <v>100760</v>
      </c>
      <c r="F1349" s="6" t="s">
        <v>3351</v>
      </c>
      <c r="G1349" s="15" t="str">
        <f>VLOOKUP(A1349,Movie!A:D,4,FALSE)</f>
        <v>Open Road Films</v>
      </c>
      <c r="H1349" s="14">
        <f>VLOOKUP(E1349,'Rental Transaction'!A:B,2,FALSE)</f>
        <v>846558</v>
      </c>
      <c r="I1349">
        <f t="shared" si="21"/>
        <v>2013</v>
      </c>
    </row>
    <row r="1350" spans="1:9">
      <c r="A1350" s="1">
        <v>10003</v>
      </c>
      <c r="B1350" s="1">
        <v>8</v>
      </c>
      <c r="C1350" s="2">
        <v>41409</v>
      </c>
      <c r="D1350" s="1" t="s">
        <v>2002</v>
      </c>
      <c r="E1350" s="1">
        <v>100760</v>
      </c>
      <c r="F1350" s="6" t="s">
        <v>3352</v>
      </c>
      <c r="G1350" s="15" t="str">
        <f>VLOOKUP(A1350,Movie!A:D,4,FALSE)</f>
        <v>Paramount</v>
      </c>
      <c r="H1350" s="14">
        <f>VLOOKUP(E1350,'Rental Transaction'!A:B,2,FALSE)</f>
        <v>846558</v>
      </c>
      <c r="I1350">
        <f t="shared" si="21"/>
        <v>2013</v>
      </c>
    </row>
    <row r="1351" spans="1:9">
      <c r="A1351" s="1">
        <v>10155</v>
      </c>
      <c r="B1351" s="1">
        <v>2</v>
      </c>
      <c r="C1351" s="2">
        <v>41409</v>
      </c>
      <c r="D1351" s="1" t="s">
        <v>2002</v>
      </c>
      <c r="E1351" s="1">
        <v>100760</v>
      </c>
      <c r="F1351" s="6" t="s">
        <v>3353</v>
      </c>
      <c r="G1351" s="15" t="str">
        <f>VLOOKUP(A1351,Movie!A:D,4,FALSE)</f>
        <v>Fox</v>
      </c>
      <c r="H1351" s="14">
        <f>VLOOKUP(E1351,'Rental Transaction'!A:B,2,FALSE)</f>
        <v>846558</v>
      </c>
      <c r="I1351">
        <f t="shared" si="21"/>
        <v>2013</v>
      </c>
    </row>
    <row r="1352" spans="1:9">
      <c r="A1352" s="1">
        <v>10192</v>
      </c>
      <c r="B1352" s="1">
        <v>5</v>
      </c>
      <c r="C1352" s="2">
        <v>41409</v>
      </c>
      <c r="D1352" s="1" t="s">
        <v>2002</v>
      </c>
      <c r="E1352" s="1">
        <v>100760</v>
      </c>
      <c r="F1352" s="6" t="s">
        <v>3354</v>
      </c>
      <c r="G1352" s="15" t="str">
        <f>VLOOKUP(A1352,Movie!A:D,4,FALSE)</f>
        <v>Universal</v>
      </c>
      <c r="H1352" s="14">
        <f>VLOOKUP(E1352,'Rental Transaction'!A:B,2,FALSE)</f>
        <v>846558</v>
      </c>
      <c r="I1352">
        <f t="shared" si="21"/>
        <v>2013</v>
      </c>
    </row>
    <row r="1353" spans="1:9">
      <c r="A1353" s="1">
        <v>10107</v>
      </c>
      <c r="B1353" s="1">
        <v>5</v>
      </c>
      <c r="C1353" s="2">
        <v>41409</v>
      </c>
      <c r="D1353" s="1" t="s">
        <v>2005</v>
      </c>
      <c r="E1353" s="1">
        <v>100760</v>
      </c>
      <c r="F1353" s="6" t="s">
        <v>3355</v>
      </c>
      <c r="G1353" s="15" t="str">
        <f>VLOOKUP(A1353,Movie!A:D,4,FALSE)</f>
        <v>Universal</v>
      </c>
      <c r="H1353" s="14">
        <f>VLOOKUP(E1353,'Rental Transaction'!A:B,2,FALSE)</f>
        <v>846558</v>
      </c>
      <c r="I1353">
        <f t="shared" si="21"/>
        <v>2013</v>
      </c>
    </row>
    <row r="1354" spans="1:9">
      <c r="A1354" s="1">
        <v>10126</v>
      </c>
      <c r="B1354" s="1">
        <v>3</v>
      </c>
      <c r="C1354" s="2">
        <v>41409</v>
      </c>
      <c r="D1354" s="1" t="s">
        <v>2002</v>
      </c>
      <c r="E1354" s="1">
        <v>100761</v>
      </c>
      <c r="F1354" s="6" t="s">
        <v>3356</v>
      </c>
      <c r="G1354" s="15" t="str">
        <f>VLOOKUP(A1354,Movie!A:D,4,FALSE)</f>
        <v>Fox</v>
      </c>
      <c r="H1354" s="14">
        <f>VLOOKUP(E1354,'Rental Transaction'!A:B,2,FALSE)</f>
        <v>852319</v>
      </c>
      <c r="I1354">
        <f t="shared" si="21"/>
        <v>2013</v>
      </c>
    </row>
    <row r="1355" spans="1:9">
      <c r="A1355" s="1">
        <v>10026</v>
      </c>
      <c r="B1355" s="1">
        <v>4</v>
      </c>
      <c r="C1355" s="2">
        <v>41410</v>
      </c>
      <c r="D1355" s="1" t="s">
        <v>2005</v>
      </c>
      <c r="E1355" s="1">
        <v>100761</v>
      </c>
      <c r="F1355" s="6" t="s">
        <v>3357</v>
      </c>
      <c r="G1355" s="15" t="str">
        <f>VLOOKUP(A1355,Movie!A:D,4,FALSE)</f>
        <v>Fox</v>
      </c>
      <c r="H1355" s="14">
        <f>VLOOKUP(E1355,'Rental Transaction'!A:B,2,FALSE)</f>
        <v>852319</v>
      </c>
      <c r="I1355">
        <f t="shared" si="21"/>
        <v>2013</v>
      </c>
    </row>
    <row r="1356" spans="1:9">
      <c r="A1356" s="1">
        <v>10097</v>
      </c>
      <c r="B1356" s="1">
        <v>4</v>
      </c>
      <c r="C1356" s="2">
        <v>41410</v>
      </c>
      <c r="D1356" s="1" t="s">
        <v>2002</v>
      </c>
      <c r="E1356" s="1">
        <v>100762</v>
      </c>
      <c r="F1356" s="6" t="s">
        <v>3358</v>
      </c>
      <c r="G1356" s="15" t="str">
        <f>VLOOKUP(A1356,Movie!A:D,4,FALSE)</f>
        <v>Screen Gems</v>
      </c>
      <c r="H1356" s="14">
        <f>VLOOKUP(E1356,'Rental Transaction'!A:B,2,FALSE)</f>
        <v>418506</v>
      </c>
      <c r="I1356">
        <f t="shared" si="21"/>
        <v>2013</v>
      </c>
    </row>
    <row r="1357" spans="1:9">
      <c r="A1357" s="1">
        <v>10203</v>
      </c>
      <c r="B1357" s="1">
        <v>6</v>
      </c>
      <c r="C1357" s="2">
        <v>41410</v>
      </c>
      <c r="D1357" s="1" t="s">
        <v>2005</v>
      </c>
      <c r="E1357" s="1">
        <v>100762</v>
      </c>
      <c r="F1357" s="6" t="s">
        <v>3359</v>
      </c>
      <c r="G1357" s="15" t="str">
        <f>VLOOKUP(A1357,Movie!A:D,4,FALSE)</f>
        <v>Buena Vista</v>
      </c>
      <c r="H1357" s="14">
        <f>VLOOKUP(E1357,'Rental Transaction'!A:B,2,FALSE)</f>
        <v>418506</v>
      </c>
      <c r="I1357">
        <f t="shared" si="21"/>
        <v>2013</v>
      </c>
    </row>
    <row r="1358" spans="1:9">
      <c r="A1358" s="1">
        <v>10128</v>
      </c>
      <c r="B1358" s="1">
        <v>9</v>
      </c>
      <c r="C1358" s="2">
        <v>41411</v>
      </c>
      <c r="D1358" s="1" t="s">
        <v>2005</v>
      </c>
      <c r="E1358" s="1">
        <v>100763</v>
      </c>
      <c r="F1358" s="6" t="s">
        <v>3360</v>
      </c>
      <c r="G1358" s="15" t="str">
        <f>VLOOKUP(A1358,Movie!A:D,4,FALSE)</f>
        <v>TriStar</v>
      </c>
      <c r="H1358" s="14">
        <f>VLOOKUP(E1358,'Rental Transaction'!A:B,2,FALSE)</f>
        <v>418506</v>
      </c>
      <c r="I1358">
        <f t="shared" si="21"/>
        <v>2013</v>
      </c>
    </row>
    <row r="1359" spans="1:9" ht="29.25">
      <c r="A1359" s="1">
        <v>10249</v>
      </c>
      <c r="B1359" s="1">
        <v>3</v>
      </c>
      <c r="C1359" s="2">
        <v>41410</v>
      </c>
      <c r="D1359" s="1" t="s">
        <v>2002</v>
      </c>
      <c r="E1359" s="1">
        <v>100764</v>
      </c>
      <c r="F1359" s="6" t="s">
        <v>3361</v>
      </c>
      <c r="G1359" s="15" t="str">
        <f>VLOOKUP(A1359,Movie!A:D,4,FALSE)</f>
        <v>Summit Entertainment</v>
      </c>
      <c r="H1359" s="14">
        <f>VLOOKUP(E1359,'Rental Transaction'!A:B,2,FALSE)</f>
        <v>693531</v>
      </c>
      <c r="I1359">
        <f t="shared" si="21"/>
        <v>2013</v>
      </c>
    </row>
    <row r="1360" spans="1:9">
      <c r="A1360" s="1">
        <v>10254</v>
      </c>
      <c r="B1360" s="1">
        <v>3</v>
      </c>
      <c r="C1360" s="2">
        <v>41412</v>
      </c>
      <c r="D1360" s="1" t="s">
        <v>2002</v>
      </c>
      <c r="E1360" s="1">
        <v>100764</v>
      </c>
      <c r="F1360" s="6" t="s">
        <v>3362</v>
      </c>
      <c r="G1360" s="15" t="str">
        <f>VLOOKUP(A1360,Movie!A:D,4,FALSE)</f>
        <v>Paramount</v>
      </c>
      <c r="H1360" s="14">
        <f>VLOOKUP(E1360,'Rental Transaction'!A:B,2,FALSE)</f>
        <v>693531</v>
      </c>
      <c r="I1360">
        <f t="shared" si="21"/>
        <v>2013</v>
      </c>
    </row>
    <row r="1361" spans="1:9">
      <c r="A1361" s="1">
        <v>10175</v>
      </c>
      <c r="B1361" s="1">
        <v>10</v>
      </c>
      <c r="C1361" s="2">
        <v>41410</v>
      </c>
      <c r="D1361" s="1" t="s">
        <v>2002</v>
      </c>
      <c r="E1361" s="1">
        <v>100765</v>
      </c>
      <c r="F1361" s="6" t="s">
        <v>3363</v>
      </c>
      <c r="G1361" s="15" t="str">
        <f>VLOOKUP(A1361,Movie!A:D,4,FALSE)</f>
        <v>Buena Vista</v>
      </c>
      <c r="H1361" s="14">
        <f>VLOOKUP(E1361,'Rental Transaction'!A:B,2,FALSE)</f>
        <v>193914</v>
      </c>
      <c r="I1361">
        <f t="shared" si="21"/>
        <v>2013</v>
      </c>
    </row>
    <row r="1362" spans="1:9">
      <c r="A1362" s="1">
        <v>10117</v>
      </c>
      <c r="B1362" s="1">
        <v>5</v>
      </c>
      <c r="C1362" s="2">
        <v>41410</v>
      </c>
      <c r="D1362" s="1" t="s">
        <v>2005</v>
      </c>
      <c r="E1362" s="1">
        <v>100766</v>
      </c>
      <c r="F1362" s="6" t="s">
        <v>3364</v>
      </c>
      <c r="G1362" s="15" t="str">
        <f>VLOOKUP(A1362,Movie!A:D,4,FALSE)</f>
        <v>Sony</v>
      </c>
      <c r="H1362" s="14">
        <f>VLOOKUP(E1362,'Rental Transaction'!A:B,2,FALSE)</f>
        <v>355107</v>
      </c>
      <c r="I1362">
        <f t="shared" si="21"/>
        <v>2013</v>
      </c>
    </row>
    <row r="1363" spans="1:9">
      <c r="A1363" s="1">
        <v>10088</v>
      </c>
      <c r="B1363" s="1">
        <v>5</v>
      </c>
      <c r="C1363" s="2">
        <v>41411</v>
      </c>
      <c r="D1363" s="1" t="s">
        <v>2002</v>
      </c>
      <c r="E1363" s="1">
        <v>100766</v>
      </c>
      <c r="F1363" s="6" t="s">
        <v>3365</v>
      </c>
      <c r="G1363" s="15" t="str">
        <f>VLOOKUP(A1363,Movie!A:D,4,FALSE)</f>
        <v>Warner Brothers</v>
      </c>
      <c r="H1363" s="14">
        <f>VLOOKUP(E1363,'Rental Transaction'!A:B,2,FALSE)</f>
        <v>355107</v>
      </c>
      <c r="I1363">
        <f t="shared" si="21"/>
        <v>2013</v>
      </c>
    </row>
    <row r="1364" spans="1:9">
      <c r="A1364" s="1">
        <v>10184</v>
      </c>
      <c r="B1364" s="1">
        <v>8</v>
      </c>
      <c r="C1364" s="2">
        <v>41410</v>
      </c>
      <c r="D1364" s="1" t="s">
        <v>2002</v>
      </c>
      <c r="E1364" s="1">
        <v>100767</v>
      </c>
      <c r="F1364" s="6" t="s">
        <v>3366</v>
      </c>
      <c r="G1364" s="15" t="str">
        <f>VLOOKUP(A1364,Movie!A:D,4,FALSE)</f>
        <v>Universal</v>
      </c>
      <c r="H1364" s="14">
        <f>VLOOKUP(E1364,'Rental Transaction'!A:B,2,FALSE)</f>
        <v>145929</v>
      </c>
      <c r="I1364">
        <f t="shared" si="21"/>
        <v>2013</v>
      </c>
    </row>
    <row r="1365" spans="1:9">
      <c r="A1365" s="1">
        <v>10083</v>
      </c>
      <c r="B1365" s="1">
        <v>8</v>
      </c>
      <c r="C1365" s="2">
        <v>41410</v>
      </c>
      <c r="D1365" s="1" t="s">
        <v>2002</v>
      </c>
      <c r="E1365" s="1">
        <v>100768</v>
      </c>
      <c r="F1365" s="6" t="s">
        <v>3367</v>
      </c>
      <c r="G1365" s="15" t="str">
        <f>VLOOKUP(A1365,Movie!A:D,4,FALSE)</f>
        <v>Buena Vista</v>
      </c>
      <c r="H1365" s="14">
        <f>VLOOKUP(E1365,'Rental Transaction'!A:B,2,FALSE)</f>
        <v>657736</v>
      </c>
      <c r="I1365">
        <f t="shared" si="21"/>
        <v>2013</v>
      </c>
    </row>
    <row r="1366" spans="1:9">
      <c r="A1366" s="1">
        <v>10186</v>
      </c>
      <c r="B1366" s="1">
        <v>9</v>
      </c>
      <c r="C1366" s="2">
        <v>41410</v>
      </c>
      <c r="D1366" s="1" t="s">
        <v>2002</v>
      </c>
      <c r="E1366" s="1">
        <v>100768</v>
      </c>
      <c r="F1366" s="6" t="s">
        <v>3368</v>
      </c>
      <c r="G1366" s="15" t="str">
        <f>VLOOKUP(A1366,Movie!A:D,4,FALSE)</f>
        <v>Lionsgate</v>
      </c>
      <c r="H1366" s="14">
        <f>VLOOKUP(E1366,'Rental Transaction'!A:B,2,FALSE)</f>
        <v>657736</v>
      </c>
      <c r="I1366">
        <f t="shared" si="21"/>
        <v>2013</v>
      </c>
    </row>
    <row r="1367" spans="1:9">
      <c r="A1367" s="1">
        <v>10209</v>
      </c>
      <c r="B1367" s="1">
        <v>10</v>
      </c>
      <c r="C1367" s="2">
        <v>41411</v>
      </c>
      <c r="D1367" s="1" t="s">
        <v>2002</v>
      </c>
      <c r="E1367" s="1">
        <v>100769</v>
      </c>
      <c r="F1367" s="6" t="s">
        <v>3369</v>
      </c>
      <c r="G1367" s="15" t="str">
        <f>VLOOKUP(A1367,Movie!A:D,4,FALSE)</f>
        <v>Universal</v>
      </c>
      <c r="H1367" s="14">
        <f>VLOOKUP(E1367,'Rental Transaction'!A:B,2,FALSE)</f>
        <v>789065</v>
      </c>
      <c r="I1367">
        <f t="shared" si="21"/>
        <v>2013</v>
      </c>
    </row>
    <row r="1368" spans="1:9">
      <c r="A1368" s="1">
        <v>10203</v>
      </c>
      <c r="B1368" s="1">
        <v>8</v>
      </c>
      <c r="C1368" s="2">
        <v>41410</v>
      </c>
      <c r="D1368" s="1" t="s">
        <v>2002</v>
      </c>
      <c r="E1368" s="1">
        <v>100770</v>
      </c>
      <c r="F1368" s="6" t="s">
        <v>3370</v>
      </c>
      <c r="G1368" s="15" t="str">
        <f>VLOOKUP(A1368,Movie!A:D,4,FALSE)</f>
        <v>Buena Vista</v>
      </c>
      <c r="H1368" s="14">
        <f>VLOOKUP(E1368,'Rental Transaction'!A:B,2,FALSE)</f>
        <v>789065</v>
      </c>
      <c r="I1368">
        <f t="shared" si="21"/>
        <v>2013</v>
      </c>
    </row>
    <row r="1369" spans="1:9">
      <c r="A1369" s="1">
        <v>10117</v>
      </c>
      <c r="B1369" s="1">
        <v>2</v>
      </c>
      <c r="C1369" s="2">
        <v>41411</v>
      </c>
      <c r="D1369" s="1" t="s">
        <v>2002</v>
      </c>
      <c r="E1369" s="1">
        <v>100771</v>
      </c>
      <c r="F1369" s="6" t="s">
        <v>3371</v>
      </c>
      <c r="G1369" s="15" t="str">
        <f>VLOOKUP(A1369,Movie!A:D,4,FALSE)</f>
        <v>Sony</v>
      </c>
      <c r="H1369" s="14">
        <f>VLOOKUP(E1369,'Rental Transaction'!A:B,2,FALSE)</f>
        <v>559486</v>
      </c>
      <c r="I1369">
        <f t="shared" si="21"/>
        <v>2013</v>
      </c>
    </row>
    <row r="1370" spans="1:9">
      <c r="A1370" s="1">
        <v>10267</v>
      </c>
      <c r="B1370" s="1">
        <v>1</v>
      </c>
      <c r="C1370" s="2">
        <v>41411</v>
      </c>
      <c r="D1370" s="1" t="s">
        <v>2002</v>
      </c>
      <c r="E1370" s="1">
        <v>100772</v>
      </c>
      <c r="F1370" s="6" t="s">
        <v>3372</v>
      </c>
      <c r="G1370" s="15" t="str">
        <f>VLOOKUP(A1370,Movie!A:D,4,FALSE)</f>
        <v>TriStar</v>
      </c>
      <c r="H1370" s="14">
        <f>VLOOKUP(E1370,'Rental Transaction'!A:B,2,FALSE)</f>
        <v>437454</v>
      </c>
      <c r="I1370">
        <f t="shared" si="21"/>
        <v>2013</v>
      </c>
    </row>
    <row r="1371" spans="1:9" ht="29.25">
      <c r="A1371" s="1">
        <v>10121</v>
      </c>
      <c r="B1371" s="1">
        <v>7</v>
      </c>
      <c r="C1371" s="2">
        <v>41411</v>
      </c>
      <c r="D1371" s="1" t="s">
        <v>2005</v>
      </c>
      <c r="E1371" s="1">
        <v>100773</v>
      </c>
      <c r="F1371" s="6" t="s">
        <v>3373</v>
      </c>
      <c r="G1371" s="15" t="str">
        <f>VLOOKUP(A1371,Movie!A:D,4,FALSE)</f>
        <v>Weinstein Company</v>
      </c>
      <c r="H1371" s="14">
        <f>VLOOKUP(E1371,'Rental Transaction'!A:B,2,FALSE)</f>
        <v>938393</v>
      </c>
      <c r="I1371">
        <f t="shared" si="21"/>
        <v>2013</v>
      </c>
    </row>
    <row r="1372" spans="1:9">
      <c r="A1372" s="1">
        <v>10270</v>
      </c>
      <c r="B1372" s="1">
        <v>2</v>
      </c>
      <c r="C1372" s="2">
        <v>41411</v>
      </c>
      <c r="D1372" s="1" t="s">
        <v>2002</v>
      </c>
      <c r="E1372" s="1">
        <v>100773</v>
      </c>
      <c r="F1372" s="6" t="s">
        <v>3374</v>
      </c>
      <c r="G1372" s="15" t="str">
        <f>VLOOKUP(A1372,Movie!A:D,4,FALSE)</f>
        <v>Fox</v>
      </c>
      <c r="H1372" s="14">
        <f>VLOOKUP(E1372,'Rental Transaction'!A:B,2,FALSE)</f>
        <v>938393</v>
      </c>
      <c r="I1372">
        <f t="shared" si="21"/>
        <v>2013</v>
      </c>
    </row>
    <row r="1373" spans="1:9">
      <c r="A1373" s="1">
        <v>10283</v>
      </c>
      <c r="B1373" s="1">
        <v>7</v>
      </c>
      <c r="C1373" s="2">
        <v>41412</v>
      </c>
      <c r="D1373" s="1" t="s">
        <v>2002</v>
      </c>
      <c r="E1373" s="1">
        <v>100774</v>
      </c>
      <c r="F1373" s="6" t="s">
        <v>3375</v>
      </c>
      <c r="G1373" s="15" t="str">
        <f>VLOOKUP(A1373,Movie!A:D,4,FALSE)</f>
        <v>TriStar</v>
      </c>
      <c r="H1373" s="14">
        <f>VLOOKUP(E1373,'Rental Transaction'!A:B,2,FALSE)</f>
        <v>793987</v>
      </c>
      <c r="I1373">
        <f t="shared" si="21"/>
        <v>2013</v>
      </c>
    </row>
    <row r="1374" spans="1:9">
      <c r="A1374" s="1">
        <v>10125</v>
      </c>
      <c r="B1374" s="1">
        <v>9</v>
      </c>
      <c r="C1374" s="2">
        <v>41413</v>
      </c>
      <c r="D1374" s="1" t="s">
        <v>2005</v>
      </c>
      <c r="E1374" s="1">
        <v>100774</v>
      </c>
      <c r="F1374" s="6" t="s">
        <v>3376</v>
      </c>
      <c r="G1374" s="15" t="str">
        <f>VLOOKUP(A1374,Movie!A:D,4,FALSE)</f>
        <v>Fox</v>
      </c>
      <c r="H1374" s="14">
        <f>VLOOKUP(E1374,'Rental Transaction'!A:B,2,FALSE)</f>
        <v>793987</v>
      </c>
      <c r="I1374">
        <f t="shared" si="21"/>
        <v>2013</v>
      </c>
    </row>
    <row r="1375" spans="1:9">
      <c r="A1375" s="1">
        <v>10116</v>
      </c>
      <c r="B1375" s="1">
        <v>9</v>
      </c>
      <c r="C1375" s="2">
        <v>41411</v>
      </c>
      <c r="D1375" s="1" t="s">
        <v>2005</v>
      </c>
      <c r="E1375" s="1">
        <v>100774</v>
      </c>
      <c r="F1375" s="6" t="s">
        <v>3377</v>
      </c>
      <c r="G1375" s="15" t="str">
        <f>VLOOKUP(A1375,Movie!A:D,4,FALSE)</f>
        <v>Universal</v>
      </c>
      <c r="H1375" s="14">
        <f>VLOOKUP(E1375,'Rental Transaction'!A:B,2,FALSE)</f>
        <v>793987</v>
      </c>
      <c r="I1375">
        <f t="shared" si="21"/>
        <v>2013</v>
      </c>
    </row>
    <row r="1376" spans="1:9">
      <c r="A1376" s="1">
        <v>10021</v>
      </c>
      <c r="B1376" s="1">
        <v>5</v>
      </c>
      <c r="C1376" s="2">
        <v>41411</v>
      </c>
      <c r="D1376" s="1" t="s">
        <v>2005</v>
      </c>
      <c r="E1376" s="1">
        <v>100774</v>
      </c>
      <c r="F1376" s="6" t="s">
        <v>3378</v>
      </c>
      <c r="G1376" s="15" t="str">
        <f>VLOOKUP(A1376,Movie!A:D,4,FALSE)</f>
        <v>Paramount</v>
      </c>
      <c r="H1376" s="14">
        <f>VLOOKUP(E1376,'Rental Transaction'!A:B,2,FALSE)</f>
        <v>793987</v>
      </c>
      <c r="I1376">
        <f t="shared" si="21"/>
        <v>2013</v>
      </c>
    </row>
    <row r="1377" spans="1:9">
      <c r="A1377" s="1">
        <v>10119</v>
      </c>
      <c r="B1377" s="1">
        <v>6</v>
      </c>
      <c r="C1377" s="2">
        <v>41411</v>
      </c>
      <c r="D1377" s="1" t="s">
        <v>2002</v>
      </c>
      <c r="E1377" s="1">
        <v>100775</v>
      </c>
      <c r="F1377" s="6" t="s">
        <v>3379</v>
      </c>
      <c r="G1377" s="15" t="str">
        <f>VLOOKUP(A1377,Movie!A:D,4,FALSE)</f>
        <v>Universal</v>
      </c>
      <c r="H1377" s="14">
        <f>VLOOKUP(E1377,'Rental Transaction'!A:B,2,FALSE)</f>
        <v>385115</v>
      </c>
      <c r="I1377">
        <f t="shared" si="21"/>
        <v>2013</v>
      </c>
    </row>
    <row r="1378" spans="1:9">
      <c r="A1378" s="1">
        <v>10211</v>
      </c>
      <c r="B1378" s="1">
        <v>2</v>
      </c>
      <c r="C1378" s="2">
        <v>41411</v>
      </c>
      <c r="D1378" s="1" t="s">
        <v>2002</v>
      </c>
      <c r="E1378" s="1">
        <v>100776</v>
      </c>
      <c r="F1378" s="6" t="s">
        <v>3380</v>
      </c>
      <c r="G1378" s="15" t="str">
        <f>VLOOKUP(A1378,Movie!A:D,4,FALSE)</f>
        <v>Buena Vista</v>
      </c>
      <c r="H1378" s="14">
        <f>VLOOKUP(E1378,'Rental Transaction'!A:B,2,FALSE)</f>
        <v>765237</v>
      </c>
      <c r="I1378">
        <f t="shared" si="21"/>
        <v>2013</v>
      </c>
    </row>
    <row r="1379" spans="1:9">
      <c r="A1379" s="1">
        <v>10018</v>
      </c>
      <c r="B1379" s="1">
        <v>10</v>
      </c>
      <c r="C1379" s="2">
        <v>41411</v>
      </c>
      <c r="D1379" s="1" t="s">
        <v>2002</v>
      </c>
      <c r="E1379" s="1">
        <v>100777</v>
      </c>
      <c r="F1379" s="6" t="s">
        <v>3381</v>
      </c>
      <c r="G1379" s="15" t="str">
        <f>VLOOKUP(A1379,Movie!A:D,4,FALSE)</f>
        <v>Fox</v>
      </c>
      <c r="H1379" s="14">
        <f>VLOOKUP(E1379,'Rental Transaction'!A:B,2,FALSE)</f>
        <v>422951</v>
      </c>
      <c r="I1379">
        <f t="shared" si="21"/>
        <v>2013</v>
      </c>
    </row>
    <row r="1380" spans="1:9">
      <c r="A1380" s="1">
        <v>10168</v>
      </c>
      <c r="B1380" s="1">
        <v>10</v>
      </c>
      <c r="C1380" s="2">
        <v>41411</v>
      </c>
      <c r="D1380" s="1" t="s">
        <v>2002</v>
      </c>
      <c r="E1380" s="1">
        <v>100777</v>
      </c>
      <c r="F1380" s="6" t="s">
        <v>3382</v>
      </c>
      <c r="G1380" s="15" t="str">
        <f>VLOOKUP(A1380,Movie!A:D,4,FALSE)</f>
        <v>Paramount</v>
      </c>
      <c r="H1380" s="14">
        <f>VLOOKUP(E1380,'Rental Transaction'!A:B,2,FALSE)</f>
        <v>422951</v>
      </c>
      <c r="I1380">
        <f t="shared" si="21"/>
        <v>2013</v>
      </c>
    </row>
    <row r="1381" spans="1:9">
      <c r="A1381" s="1">
        <v>10196</v>
      </c>
      <c r="B1381" s="1">
        <v>4</v>
      </c>
      <c r="C1381" s="2">
        <v>41411</v>
      </c>
      <c r="D1381" s="1" t="s">
        <v>2002</v>
      </c>
      <c r="E1381" s="1">
        <v>100777</v>
      </c>
      <c r="F1381" s="6" t="s">
        <v>3383</v>
      </c>
      <c r="G1381" s="15" t="str">
        <f>VLOOKUP(A1381,Movie!A:D,4,FALSE)</f>
        <v>Fox</v>
      </c>
      <c r="H1381" s="14">
        <f>VLOOKUP(E1381,'Rental Transaction'!A:B,2,FALSE)</f>
        <v>422951</v>
      </c>
      <c r="I1381">
        <f t="shared" si="21"/>
        <v>2013</v>
      </c>
    </row>
    <row r="1382" spans="1:9">
      <c r="A1382" s="1">
        <v>10070</v>
      </c>
      <c r="B1382" s="1">
        <v>5</v>
      </c>
      <c r="C1382" s="2">
        <v>41413</v>
      </c>
      <c r="D1382" s="1" t="s">
        <v>2002</v>
      </c>
      <c r="E1382" s="1">
        <v>100778</v>
      </c>
      <c r="F1382" s="6" t="s">
        <v>3384</v>
      </c>
      <c r="G1382" s="15" t="str">
        <f>VLOOKUP(A1382,Movie!A:D,4,FALSE)</f>
        <v>Paramount</v>
      </c>
      <c r="H1382" s="14">
        <f>VLOOKUP(E1382,'Rental Transaction'!A:B,2,FALSE)</f>
        <v>319387</v>
      </c>
      <c r="I1382">
        <f t="shared" si="21"/>
        <v>2013</v>
      </c>
    </row>
    <row r="1383" spans="1:9">
      <c r="A1383" s="1">
        <v>10076</v>
      </c>
      <c r="B1383" s="1">
        <v>8</v>
      </c>
      <c r="C1383" s="2">
        <v>41412</v>
      </c>
      <c r="D1383" s="1" t="s">
        <v>2002</v>
      </c>
      <c r="E1383" s="1">
        <v>100778</v>
      </c>
      <c r="F1383" s="6" t="s">
        <v>3385</v>
      </c>
      <c r="G1383" s="15" t="str">
        <f>VLOOKUP(A1383,Movie!A:D,4,FALSE)</f>
        <v>Sony</v>
      </c>
      <c r="H1383" s="14">
        <f>VLOOKUP(E1383,'Rental Transaction'!A:B,2,FALSE)</f>
        <v>319387</v>
      </c>
      <c r="I1383">
        <f t="shared" si="21"/>
        <v>2013</v>
      </c>
    </row>
    <row r="1384" spans="1:9">
      <c r="A1384" s="1">
        <v>10273</v>
      </c>
      <c r="B1384" s="1">
        <v>9</v>
      </c>
      <c r="C1384" s="2">
        <v>41412</v>
      </c>
      <c r="D1384" s="1" t="s">
        <v>2005</v>
      </c>
      <c r="E1384" s="1">
        <v>100779</v>
      </c>
      <c r="F1384" s="6" t="s">
        <v>3386</v>
      </c>
      <c r="G1384" s="15" t="str">
        <f>VLOOKUP(A1384,Movie!A:D,4,FALSE)</f>
        <v>Sony</v>
      </c>
      <c r="H1384" s="14">
        <f>VLOOKUP(E1384,'Rental Transaction'!A:B,2,FALSE)</f>
        <v>929344</v>
      </c>
      <c r="I1384">
        <f t="shared" si="21"/>
        <v>2013</v>
      </c>
    </row>
    <row r="1385" spans="1:9">
      <c r="A1385" s="1">
        <v>10259</v>
      </c>
      <c r="B1385" s="1">
        <v>3</v>
      </c>
      <c r="C1385" s="2">
        <v>41412</v>
      </c>
      <c r="D1385" s="1" t="s">
        <v>2002</v>
      </c>
      <c r="E1385" s="1">
        <v>100779</v>
      </c>
      <c r="F1385" s="6" t="s">
        <v>3387</v>
      </c>
      <c r="G1385" s="15" t="str">
        <f>VLOOKUP(A1385,Movie!A:D,4,FALSE)</f>
        <v>Warner Brothers</v>
      </c>
      <c r="H1385" s="14">
        <f>VLOOKUP(E1385,'Rental Transaction'!A:B,2,FALSE)</f>
        <v>929344</v>
      </c>
      <c r="I1385">
        <f t="shared" si="21"/>
        <v>2013</v>
      </c>
    </row>
    <row r="1386" spans="1:9">
      <c r="A1386" s="1">
        <v>10143</v>
      </c>
      <c r="B1386" s="1">
        <v>1</v>
      </c>
      <c r="C1386" s="2">
        <v>41413</v>
      </c>
      <c r="D1386" s="1" t="s">
        <v>2005</v>
      </c>
      <c r="E1386" s="1">
        <v>100779</v>
      </c>
      <c r="F1386" s="6" t="s">
        <v>3388</v>
      </c>
      <c r="G1386" s="15" t="str">
        <f>VLOOKUP(A1386,Movie!A:D,4,FALSE)</f>
        <v>Buena Vista</v>
      </c>
      <c r="H1386" s="14">
        <f>VLOOKUP(E1386,'Rental Transaction'!A:B,2,FALSE)</f>
        <v>929344</v>
      </c>
      <c r="I1386">
        <f t="shared" si="21"/>
        <v>2013</v>
      </c>
    </row>
    <row r="1387" spans="1:9">
      <c r="A1387" s="1">
        <v>10024</v>
      </c>
      <c r="B1387" s="1">
        <v>7</v>
      </c>
      <c r="C1387" s="2">
        <v>41412</v>
      </c>
      <c r="D1387" s="1" t="s">
        <v>2002</v>
      </c>
      <c r="E1387" s="1">
        <v>100780</v>
      </c>
      <c r="F1387" s="6" t="s">
        <v>3389</v>
      </c>
      <c r="G1387" s="15" t="str">
        <f>VLOOKUP(A1387,Movie!A:D,4,FALSE)</f>
        <v>Fox</v>
      </c>
      <c r="H1387" s="14">
        <f>VLOOKUP(E1387,'Rental Transaction'!A:B,2,FALSE)</f>
        <v>605188</v>
      </c>
      <c r="I1387">
        <f t="shared" si="21"/>
        <v>2013</v>
      </c>
    </row>
    <row r="1388" spans="1:9">
      <c r="A1388" s="1">
        <v>10068</v>
      </c>
      <c r="B1388" s="1">
        <v>4</v>
      </c>
      <c r="C1388" s="2">
        <v>41412</v>
      </c>
      <c r="D1388" s="1" t="s">
        <v>2005</v>
      </c>
      <c r="E1388" s="1">
        <v>100780</v>
      </c>
      <c r="F1388" s="6" t="s">
        <v>3390</v>
      </c>
      <c r="G1388" s="15" t="str">
        <f>VLOOKUP(A1388,Movie!A:D,4,FALSE)</f>
        <v>Warner Brothers</v>
      </c>
      <c r="H1388" s="14">
        <f>VLOOKUP(E1388,'Rental Transaction'!A:B,2,FALSE)</f>
        <v>605188</v>
      </c>
      <c r="I1388">
        <f t="shared" si="21"/>
        <v>2013</v>
      </c>
    </row>
    <row r="1389" spans="1:9">
      <c r="A1389" s="1">
        <v>10193</v>
      </c>
      <c r="B1389" s="1">
        <v>5</v>
      </c>
      <c r="C1389" s="2">
        <v>41412</v>
      </c>
      <c r="D1389" s="1" t="s">
        <v>2005</v>
      </c>
      <c r="E1389" s="1">
        <v>100781</v>
      </c>
      <c r="F1389" s="6" t="s">
        <v>3391</v>
      </c>
      <c r="G1389" s="15" t="str">
        <f>VLOOKUP(A1389,Movie!A:D,4,FALSE)</f>
        <v>Fox</v>
      </c>
      <c r="H1389" s="14">
        <f>VLOOKUP(E1389,'Rental Transaction'!A:B,2,FALSE)</f>
        <v>247216</v>
      </c>
      <c r="I1389">
        <f t="shared" si="21"/>
        <v>2013</v>
      </c>
    </row>
    <row r="1390" spans="1:9">
      <c r="A1390" s="1">
        <v>10156</v>
      </c>
      <c r="B1390" s="1">
        <v>7</v>
      </c>
      <c r="C1390" s="2">
        <v>41413</v>
      </c>
      <c r="D1390" s="1" t="s">
        <v>2002</v>
      </c>
      <c r="E1390" s="1">
        <v>100781</v>
      </c>
      <c r="F1390" s="6" t="s">
        <v>3392</v>
      </c>
      <c r="G1390" s="15" t="str">
        <f>VLOOKUP(A1390,Movie!A:D,4,FALSE)</f>
        <v>Buena Vista</v>
      </c>
      <c r="H1390" s="14">
        <f>VLOOKUP(E1390,'Rental Transaction'!A:B,2,FALSE)</f>
        <v>247216</v>
      </c>
      <c r="I1390">
        <f t="shared" si="21"/>
        <v>2013</v>
      </c>
    </row>
    <row r="1391" spans="1:9">
      <c r="A1391" s="1">
        <v>10101</v>
      </c>
      <c r="B1391" s="1">
        <v>6</v>
      </c>
      <c r="C1391" s="2">
        <v>41413</v>
      </c>
      <c r="D1391" s="1" t="s">
        <v>2005</v>
      </c>
      <c r="E1391" s="1">
        <v>100782</v>
      </c>
      <c r="F1391" s="6" t="s">
        <v>3393</v>
      </c>
      <c r="G1391" s="15" t="str">
        <f>VLOOKUP(A1391,Movie!A:D,4,FALSE)</f>
        <v>Sony</v>
      </c>
      <c r="H1391" s="14">
        <f>VLOOKUP(E1391,'Rental Transaction'!A:B,2,FALSE)</f>
        <v>317461</v>
      </c>
      <c r="I1391">
        <f t="shared" si="21"/>
        <v>2013</v>
      </c>
    </row>
    <row r="1392" spans="1:9" ht="29.25">
      <c r="A1392" s="1">
        <v>10144</v>
      </c>
      <c r="B1392" s="1">
        <v>2</v>
      </c>
      <c r="C1392" s="2">
        <v>41413</v>
      </c>
      <c r="D1392" s="1" t="s">
        <v>2002</v>
      </c>
      <c r="E1392" s="1">
        <v>100782</v>
      </c>
      <c r="F1392" s="6" t="s">
        <v>3394</v>
      </c>
      <c r="G1392" s="15" t="str">
        <f>VLOOKUP(A1392,Movie!A:D,4,FALSE)</f>
        <v>Weinstein Company</v>
      </c>
      <c r="H1392" s="14">
        <f>VLOOKUP(E1392,'Rental Transaction'!A:B,2,FALSE)</f>
        <v>317461</v>
      </c>
      <c r="I1392">
        <f t="shared" si="21"/>
        <v>2013</v>
      </c>
    </row>
    <row r="1393" spans="1:9">
      <c r="A1393" s="1">
        <v>10299</v>
      </c>
      <c r="B1393" s="1">
        <v>2</v>
      </c>
      <c r="C1393" s="2">
        <v>41414</v>
      </c>
      <c r="D1393" s="1" t="s">
        <v>2005</v>
      </c>
      <c r="E1393" s="1">
        <v>100783</v>
      </c>
      <c r="F1393" s="6" t="s">
        <v>3395</v>
      </c>
      <c r="G1393" s="15" t="str">
        <f>VLOOKUP(A1393,Movie!A:D,4,FALSE)</f>
        <v>Radius-TWC</v>
      </c>
      <c r="H1393" s="14">
        <f>VLOOKUP(E1393,'Rental Transaction'!A:B,2,FALSE)</f>
        <v>371731</v>
      </c>
      <c r="I1393">
        <f t="shared" si="21"/>
        <v>2013</v>
      </c>
    </row>
    <row r="1394" spans="1:9">
      <c r="A1394" s="1">
        <v>10240</v>
      </c>
      <c r="B1394" s="1">
        <v>1</v>
      </c>
      <c r="C1394" s="2">
        <v>41413</v>
      </c>
      <c r="D1394" s="1" t="s">
        <v>2002</v>
      </c>
      <c r="E1394" s="1">
        <v>100783</v>
      </c>
      <c r="F1394" s="6" t="s">
        <v>3396</v>
      </c>
      <c r="G1394" s="15" t="str">
        <f>VLOOKUP(A1394,Movie!A:D,4,FALSE)</f>
        <v>Warner Brothers</v>
      </c>
      <c r="H1394" s="14">
        <f>VLOOKUP(E1394,'Rental Transaction'!A:B,2,FALSE)</f>
        <v>371731</v>
      </c>
      <c r="I1394">
        <f t="shared" si="21"/>
        <v>2013</v>
      </c>
    </row>
    <row r="1395" spans="1:9">
      <c r="A1395" s="1">
        <v>10031</v>
      </c>
      <c r="B1395" s="1">
        <v>5</v>
      </c>
      <c r="C1395" s="2">
        <v>41413</v>
      </c>
      <c r="D1395" s="1" t="s">
        <v>2002</v>
      </c>
      <c r="E1395" s="1">
        <v>100784</v>
      </c>
      <c r="F1395" s="6" t="s">
        <v>3397</v>
      </c>
      <c r="G1395" s="15" t="str">
        <f>VLOOKUP(A1395,Movie!A:D,4,FALSE)</f>
        <v>Warner Brothers</v>
      </c>
      <c r="H1395" s="14">
        <f>VLOOKUP(E1395,'Rental Transaction'!A:B,2,FALSE)</f>
        <v>814317</v>
      </c>
      <c r="I1395">
        <f t="shared" si="21"/>
        <v>2013</v>
      </c>
    </row>
    <row r="1396" spans="1:9">
      <c r="A1396" s="1">
        <v>10113</v>
      </c>
      <c r="B1396" s="1">
        <v>2</v>
      </c>
      <c r="C1396" s="2">
        <v>41413</v>
      </c>
      <c r="D1396" s="1" t="s">
        <v>2002</v>
      </c>
      <c r="E1396" s="1">
        <v>100785</v>
      </c>
      <c r="F1396" s="6" t="s">
        <v>3398</v>
      </c>
      <c r="G1396" s="15" t="str">
        <f>VLOOKUP(A1396,Movie!A:D,4,FALSE)</f>
        <v>Lionsgate</v>
      </c>
      <c r="H1396" s="14">
        <f>VLOOKUP(E1396,'Rental Transaction'!A:B,2,FALSE)</f>
        <v>207846</v>
      </c>
      <c r="I1396">
        <f t="shared" si="21"/>
        <v>2013</v>
      </c>
    </row>
    <row r="1397" spans="1:9">
      <c r="A1397" s="1">
        <v>10157</v>
      </c>
      <c r="B1397" s="1">
        <v>4</v>
      </c>
      <c r="C1397" s="2">
        <v>41413</v>
      </c>
      <c r="D1397" s="1" t="s">
        <v>2002</v>
      </c>
      <c r="E1397" s="1">
        <v>100785</v>
      </c>
      <c r="F1397" s="6" t="s">
        <v>3399</v>
      </c>
      <c r="G1397" s="15" t="str">
        <f>VLOOKUP(A1397,Movie!A:D,4,FALSE)</f>
        <v>Paramount</v>
      </c>
      <c r="H1397" s="14">
        <f>VLOOKUP(E1397,'Rental Transaction'!A:B,2,FALSE)</f>
        <v>207846</v>
      </c>
      <c r="I1397">
        <f t="shared" si="21"/>
        <v>2013</v>
      </c>
    </row>
    <row r="1398" spans="1:9">
      <c r="A1398" s="1">
        <v>10228</v>
      </c>
      <c r="B1398" s="1">
        <v>7</v>
      </c>
      <c r="C1398" s="2">
        <v>41413</v>
      </c>
      <c r="D1398" s="1" t="s">
        <v>2005</v>
      </c>
      <c r="E1398" s="1">
        <v>100785</v>
      </c>
      <c r="F1398" s="6" t="s">
        <v>3400</v>
      </c>
      <c r="G1398" s="15" t="str">
        <f>VLOOKUP(A1398,Movie!A:D,4,FALSE)</f>
        <v>Universal</v>
      </c>
      <c r="H1398" s="14">
        <f>VLOOKUP(E1398,'Rental Transaction'!A:B,2,FALSE)</f>
        <v>207846</v>
      </c>
      <c r="I1398">
        <f t="shared" si="21"/>
        <v>2013</v>
      </c>
    </row>
    <row r="1399" spans="1:9">
      <c r="A1399" s="1">
        <v>10064</v>
      </c>
      <c r="B1399" s="1">
        <v>1</v>
      </c>
      <c r="C1399" s="2">
        <v>41414</v>
      </c>
      <c r="D1399" s="1" t="s">
        <v>2002</v>
      </c>
      <c r="E1399" s="1">
        <v>100786</v>
      </c>
      <c r="F1399" s="6" t="s">
        <v>3401</v>
      </c>
      <c r="G1399" s="15" t="str">
        <f>VLOOKUP(A1399,Movie!A:D,4,FALSE)</f>
        <v>Universal</v>
      </c>
      <c r="H1399" s="14">
        <f>VLOOKUP(E1399,'Rental Transaction'!A:B,2,FALSE)</f>
        <v>917728</v>
      </c>
      <c r="I1399">
        <f t="shared" si="21"/>
        <v>2013</v>
      </c>
    </row>
    <row r="1400" spans="1:9">
      <c r="A1400" s="1">
        <v>10062</v>
      </c>
      <c r="B1400" s="1">
        <v>2</v>
      </c>
      <c r="C1400" s="2">
        <v>41413</v>
      </c>
      <c r="D1400" s="1" t="s">
        <v>2005</v>
      </c>
      <c r="E1400" s="1">
        <v>100787</v>
      </c>
      <c r="F1400" s="6" t="s">
        <v>3402</v>
      </c>
      <c r="G1400" s="15" t="str">
        <f>VLOOKUP(A1400,Movie!A:D,4,FALSE)</f>
        <v>FilmDistrict</v>
      </c>
      <c r="H1400" s="14">
        <f>VLOOKUP(E1400,'Rental Transaction'!A:B,2,FALSE)</f>
        <v>757525</v>
      </c>
      <c r="I1400">
        <f t="shared" si="21"/>
        <v>2013</v>
      </c>
    </row>
    <row r="1401" spans="1:9">
      <c r="A1401" s="1">
        <v>10085</v>
      </c>
      <c r="B1401" s="1">
        <v>1</v>
      </c>
      <c r="C1401" s="2">
        <v>41413</v>
      </c>
      <c r="D1401" s="1" t="s">
        <v>2005</v>
      </c>
      <c r="E1401" s="1">
        <v>100787</v>
      </c>
      <c r="F1401" s="6" t="s">
        <v>3403</v>
      </c>
      <c r="G1401" s="15" t="str">
        <f>VLOOKUP(A1401,Movie!A:D,4,FALSE)</f>
        <v>Buena Vista</v>
      </c>
      <c r="H1401" s="14">
        <f>VLOOKUP(E1401,'Rental Transaction'!A:B,2,FALSE)</f>
        <v>757525</v>
      </c>
      <c r="I1401">
        <f t="shared" si="21"/>
        <v>2013</v>
      </c>
    </row>
    <row r="1402" spans="1:9">
      <c r="A1402" s="1">
        <v>10089</v>
      </c>
      <c r="B1402" s="1">
        <v>3</v>
      </c>
      <c r="C1402" s="2">
        <v>41414</v>
      </c>
      <c r="D1402" s="1" t="s">
        <v>2002</v>
      </c>
      <c r="E1402" s="1">
        <v>100787</v>
      </c>
      <c r="F1402" s="6" t="s">
        <v>3404</v>
      </c>
      <c r="G1402" s="15" t="str">
        <f>VLOOKUP(A1402,Movie!A:D,4,FALSE)</f>
        <v>Sony</v>
      </c>
      <c r="H1402" s="14">
        <f>VLOOKUP(E1402,'Rental Transaction'!A:B,2,FALSE)</f>
        <v>757525</v>
      </c>
      <c r="I1402">
        <f t="shared" si="21"/>
        <v>2013</v>
      </c>
    </row>
    <row r="1403" spans="1:9">
      <c r="A1403" s="1">
        <v>10020</v>
      </c>
      <c r="B1403" s="1">
        <v>5</v>
      </c>
      <c r="C1403" s="2">
        <v>41414</v>
      </c>
      <c r="D1403" s="1" t="s">
        <v>2002</v>
      </c>
      <c r="E1403" s="1">
        <v>100788</v>
      </c>
      <c r="F1403" s="6" t="s">
        <v>3405</v>
      </c>
      <c r="G1403" s="15" t="str">
        <f>VLOOKUP(A1403,Movie!A:D,4,FALSE)</f>
        <v>FilmDistrict</v>
      </c>
      <c r="H1403" s="14">
        <f>VLOOKUP(E1403,'Rental Transaction'!A:B,2,FALSE)</f>
        <v>767570</v>
      </c>
      <c r="I1403">
        <f t="shared" si="21"/>
        <v>2013</v>
      </c>
    </row>
    <row r="1404" spans="1:9">
      <c r="A1404" s="1">
        <v>10124</v>
      </c>
      <c r="B1404" s="1">
        <v>10</v>
      </c>
      <c r="C1404" s="2">
        <v>41415</v>
      </c>
      <c r="D1404" s="1" t="s">
        <v>2002</v>
      </c>
      <c r="E1404" s="1">
        <v>100788</v>
      </c>
      <c r="F1404" s="6" t="s">
        <v>3406</v>
      </c>
      <c r="G1404" s="15" t="str">
        <f>VLOOKUP(A1404,Movie!A:D,4,FALSE)</f>
        <v>Paramount</v>
      </c>
      <c r="H1404" s="14">
        <f>VLOOKUP(E1404,'Rental Transaction'!A:B,2,FALSE)</f>
        <v>767570</v>
      </c>
      <c r="I1404">
        <f t="shared" si="21"/>
        <v>2013</v>
      </c>
    </row>
    <row r="1405" spans="1:9">
      <c r="A1405" s="1">
        <v>10296</v>
      </c>
      <c r="B1405" s="1">
        <v>10</v>
      </c>
      <c r="C1405" s="2">
        <v>41415</v>
      </c>
      <c r="D1405" s="1" t="s">
        <v>2002</v>
      </c>
      <c r="E1405" s="1">
        <v>100789</v>
      </c>
      <c r="F1405" s="6" t="s">
        <v>3407</v>
      </c>
      <c r="G1405" s="15" t="str">
        <f>VLOOKUP(A1405,Movie!A:D,4,FALSE)</f>
        <v>A24</v>
      </c>
      <c r="H1405" s="14">
        <f>VLOOKUP(E1405,'Rental Transaction'!A:B,2,FALSE)</f>
        <v>905670</v>
      </c>
      <c r="I1405">
        <f t="shared" si="21"/>
        <v>2013</v>
      </c>
    </row>
    <row r="1406" spans="1:9">
      <c r="A1406" s="1">
        <v>10213</v>
      </c>
      <c r="B1406" s="1">
        <v>9</v>
      </c>
      <c r="C1406" s="2">
        <v>41415</v>
      </c>
      <c r="D1406" s="1" t="s">
        <v>2005</v>
      </c>
      <c r="E1406" s="1">
        <v>100790</v>
      </c>
      <c r="F1406" s="6" t="s">
        <v>3408</v>
      </c>
      <c r="G1406" s="15" t="str">
        <f>VLOOKUP(A1406,Movie!A:D,4,FALSE)</f>
        <v>Sony</v>
      </c>
      <c r="H1406" s="14">
        <f>VLOOKUP(E1406,'Rental Transaction'!A:B,2,FALSE)</f>
        <v>616028</v>
      </c>
      <c r="I1406">
        <f t="shared" si="21"/>
        <v>2013</v>
      </c>
    </row>
    <row r="1407" spans="1:9">
      <c r="A1407" s="1">
        <v>10120</v>
      </c>
      <c r="B1407" s="1">
        <v>10</v>
      </c>
      <c r="C1407" s="2">
        <v>41415</v>
      </c>
      <c r="D1407" s="1" t="s">
        <v>2005</v>
      </c>
      <c r="E1407" s="1">
        <v>100791</v>
      </c>
      <c r="F1407" s="6" t="s">
        <v>3409</v>
      </c>
      <c r="G1407" s="15" t="str">
        <f>VLOOKUP(A1407,Movie!A:D,4,FALSE)</f>
        <v>Focus</v>
      </c>
      <c r="H1407" s="14">
        <f>VLOOKUP(E1407,'Rental Transaction'!A:B,2,FALSE)</f>
        <v>766737</v>
      </c>
      <c r="I1407">
        <f t="shared" si="21"/>
        <v>2013</v>
      </c>
    </row>
    <row r="1408" spans="1:9">
      <c r="A1408" s="1">
        <v>10030</v>
      </c>
      <c r="B1408" s="1">
        <v>4</v>
      </c>
      <c r="C1408" s="2">
        <v>41416</v>
      </c>
      <c r="D1408" s="1" t="s">
        <v>2002</v>
      </c>
      <c r="E1408" s="1">
        <v>100791</v>
      </c>
      <c r="F1408" s="6" t="s">
        <v>3410</v>
      </c>
      <c r="G1408" s="15" t="str">
        <f>VLOOKUP(A1408,Movie!A:D,4,FALSE)</f>
        <v>Warner Brothers</v>
      </c>
      <c r="H1408" s="14">
        <f>VLOOKUP(E1408,'Rental Transaction'!A:B,2,FALSE)</f>
        <v>766737</v>
      </c>
      <c r="I1408">
        <f t="shared" si="21"/>
        <v>2013</v>
      </c>
    </row>
    <row r="1409" spans="1:9">
      <c r="A1409" s="1">
        <v>10041</v>
      </c>
      <c r="B1409" s="1">
        <v>8</v>
      </c>
      <c r="C1409" s="2">
        <v>41414</v>
      </c>
      <c r="D1409" s="1" t="s">
        <v>2005</v>
      </c>
      <c r="E1409" s="1">
        <v>100791</v>
      </c>
      <c r="F1409" s="6" t="s">
        <v>3411</v>
      </c>
      <c r="G1409" s="15" t="str">
        <f>VLOOKUP(A1409,Movie!A:D,4,FALSE)</f>
        <v>Lionsgate</v>
      </c>
      <c r="H1409" s="14">
        <f>VLOOKUP(E1409,'Rental Transaction'!A:B,2,FALSE)</f>
        <v>766737</v>
      </c>
      <c r="I1409">
        <f t="shared" si="21"/>
        <v>2013</v>
      </c>
    </row>
    <row r="1410" spans="1:9">
      <c r="A1410" s="1">
        <v>10284</v>
      </c>
      <c r="B1410" s="1">
        <v>4</v>
      </c>
      <c r="C1410" s="2">
        <v>41414</v>
      </c>
      <c r="D1410" s="1" t="s">
        <v>2002</v>
      </c>
      <c r="E1410" s="1">
        <v>100792</v>
      </c>
      <c r="F1410" s="6" t="s">
        <v>3412</v>
      </c>
      <c r="G1410" s="15" t="str">
        <f>VLOOKUP(A1410,Movie!A:D,4,FALSE)</f>
        <v>Focus</v>
      </c>
      <c r="H1410" s="14">
        <f>VLOOKUP(E1410,'Rental Transaction'!A:B,2,FALSE)</f>
        <v>888952</v>
      </c>
      <c r="I1410">
        <f t="shared" si="21"/>
        <v>2013</v>
      </c>
    </row>
    <row r="1411" spans="1:9">
      <c r="A1411" s="1">
        <v>10088</v>
      </c>
      <c r="B1411" s="1">
        <v>6</v>
      </c>
      <c r="C1411" s="2">
        <v>41414</v>
      </c>
      <c r="D1411" s="1" t="s">
        <v>2002</v>
      </c>
      <c r="E1411" s="1">
        <v>100792</v>
      </c>
      <c r="F1411" s="6" t="s">
        <v>3413</v>
      </c>
      <c r="G1411" s="15" t="str">
        <f>VLOOKUP(A1411,Movie!A:D,4,FALSE)</f>
        <v>Warner Brothers</v>
      </c>
      <c r="H1411" s="14">
        <f>VLOOKUP(E1411,'Rental Transaction'!A:B,2,FALSE)</f>
        <v>888952</v>
      </c>
      <c r="I1411">
        <f t="shared" ref="I1411:I1474" si="22">YEAR(C1411)</f>
        <v>2013</v>
      </c>
    </row>
    <row r="1412" spans="1:9">
      <c r="A1412" s="1">
        <v>10157</v>
      </c>
      <c r="B1412" s="1">
        <v>2</v>
      </c>
      <c r="C1412" s="2">
        <v>41414</v>
      </c>
      <c r="D1412" s="1" t="s">
        <v>2002</v>
      </c>
      <c r="E1412" s="1">
        <v>100792</v>
      </c>
      <c r="F1412" s="6" t="s">
        <v>3414</v>
      </c>
      <c r="G1412" s="15" t="str">
        <f>VLOOKUP(A1412,Movie!A:D,4,FALSE)</f>
        <v>Paramount</v>
      </c>
      <c r="H1412" s="14">
        <f>VLOOKUP(E1412,'Rental Transaction'!A:B,2,FALSE)</f>
        <v>888952</v>
      </c>
      <c r="I1412">
        <f t="shared" si="22"/>
        <v>2013</v>
      </c>
    </row>
    <row r="1413" spans="1:9">
      <c r="A1413" s="1">
        <v>10286</v>
      </c>
      <c r="B1413" s="1">
        <v>8</v>
      </c>
      <c r="C1413" s="2">
        <v>41415</v>
      </c>
      <c r="D1413" s="1" t="s">
        <v>2002</v>
      </c>
      <c r="E1413" s="1">
        <v>100793</v>
      </c>
      <c r="F1413" s="6" t="s">
        <v>3415</v>
      </c>
      <c r="G1413" s="15" t="str">
        <f>VLOOKUP(A1413,Movie!A:D,4,FALSE)</f>
        <v>Fox Searchlight</v>
      </c>
      <c r="H1413" s="14">
        <f>VLOOKUP(E1413,'Rental Transaction'!A:B,2,FALSE)</f>
        <v>319387</v>
      </c>
      <c r="I1413">
        <f t="shared" si="22"/>
        <v>2013</v>
      </c>
    </row>
    <row r="1414" spans="1:9">
      <c r="A1414" s="1">
        <v>10078</v>
      </c>
      <c r="B1414" s="1">
        <v>5</v>
      </c>
      <c r="C1414" s="2">
        <v>41415</v>
      </c>
      <c r="D1414" s="1" t="s">
        <v>2002</v>
      </c>
      <c r="E1414" s="1">
        <v>100793</v>
      </c>
      <c r="F1414" s="6" t="s">
        <v>3416</v>
      </c>
      <c r="G1414" s="15" t="str">
        <f>VLOOKUP(A1414,Movie!A:D,4,FALSE)</f>
        <v>Paramount</v>
      </c>
      <c r="H1414" s="14">
        <f>VLOOKUP(E1414,'Rental Transaction'!A:B,2,FALSE)</f>
        <v>319387</v>
      </c>
      <c r="I1414">
        <f t="shared" si="22"/>
        <v>2013</v>
      </c>
    </row>
    <row r="1415" spans="1:9">
      <c r="A1415" s="1">
        <v>10282</v>
      </c>
      <c r="B1415" s="1">
        <v>4</v>
      </c>
      <c r="C1415" s="2">
        <v>41415</v>
      </c>
      <c r="D1415" s="1" t="s">
        <v>2002</v>
      </c>
      <c r="E1415" s="1">
        <v>100794</v>
      </c>
      <c r="F1415" s="6" t="s">
        <v>3417</v>
      </c>
      <c r="G1415" s="15" t="str">
        <f>VLOOKUP(A1415,Movie!A:D,4,FALSE)</f>
        <v>Sony Classics</v>
      </c>
      <c r="H1415" s="14">
        <f>VLOOKUP(E1415,'Rental Transaction'!A:B,2,FALSE)</f>
        <v>759995</v>
      </c>
      <c r="I1415">
        <f t="shared" si="22"/>
        <v>2013</v>
      </c>
    </row>
    <row r="1416" spans="1:9">
      <c r="A1416" s="1">
        <v>10041</v>
      </c>
      <c r="B1416" s="1">
        <v>5</v>
      </c>
      <c r="C1416" s="2">
        <v>41415</v>
      </c>
      <c r="D1416" s="1" t="s">
        <v>2002</v>
      </c>
      <c r="E1416" s="1">
        <v>100794</v>
      </c>
      <c r="F1416" s="6" t="s">
        <v>3418</v>
      </c>
      <c r="G1416" s="15" t="str">
        <f>VLOOKUP(A1416,Movie!A:D,4,FALSE)</f>
        <v>Lionsgate</v>
      </c>
      <c r="H1416" s="14">
        <f>VLOOKUP(E1416,'Rental Transaction'!A:B,2,FALSE)</f>
        <v>759995</v>
      </c>
      <c r="I1416">
        <f t="shared" si="22"/>
        <v>2013</v>
      </c>
    </row>
    <row r="1417" spans="1:9">
      <c r="A1417" s="1">
        <v>10087</v>
      </c>
      <c r="B1417" s="1">
        <v>7</v>
      </c>
      <c r="C1417" s="2">
        <v>41415</v>
      </c>
      <c r="D1417" s="1" t="s">
        <v>2002</v>
      </c>
      <c r="E1417" s="1">
        <v>100795</v>
      </c>
      <c r="F1417" s="6" t="s">
        <v>3419</v>
      </c>
      <c r="G1417" s="15" t="str">
        <f>VLOOKUP(A1417,Movie!A:D,4,FALSE)</f>
        <v>Lionsgate</v>
      </c>
      <c r="H1417" s="14">
        <f>VLOOKUP(E1417,'Rental Transaction'!A:B,2,FALSE)</f>
        <v>271531</v>
      </c>
      <c r="I1417">
        <f t="shared" si="22"/>
        <v>2013</v>
      </c>
    </row>
    <row r="1418" spans="1:9">
      <c r="A1418" s="1">
        <v>10236</v>
      </c>
      <c r="B1418" s="1">
        <v>3</v>
      </c>
      <c r="C1418" s="2">
        <v>41414</v>
      </c>
      <c r="D1418" s="1" t="s">
        <v>2002</v>
      </c>
      <c r="E1418" s="1">
        <v>100796</v>
      </c>
      <c r="F1418" s="6" t="s">
        <v>3420</v>
      </c>
      <c r="G1418" s="15" t="str">
        <f>VLOOKUP(A1418,Movie!A:D,4,FALSE)</f>
        <v>Lionsgate</v>
      </c>
      <c r="H1418" s="14">
        <f>VLOOKUP(E1418,'Rental Transaction'!A:B,2,FALSE)</f>
        <v>108708</v>
      </c>
      <c r="I1418">
        <f t="shared" si="22"/>
        <v>2013</v>
      </c>
    </row>
    <row r="1419" spans="1:9">
      <c r="A1419" s="1">
        <v>10037</v>
      </c>
      <c r="B1419" s="1">
        <v>1</v>
      </c>
      <c r="C1419" s="2">
        <v>41414</v>
      </c>
      <c r="D1419" s="1" t="s">
        <v>2002</v>
      </c>
      <c r="E1419" s="1">
        <v>100796</v>
      </c>
      <c r="F1419" s="6" t="s">
        <v>3421</v>
      </c>
      <c r="G1419" s="15" t="str">
        <f>VLOOKUP(A1419,Movie!A:D,4,FALSE)</f>
        <v>Buena Vista</v>
      </c>
      <c r="H1419" s="14">
        <f>VLOOKUP(E1419,'Rental Transaction'!A:B,2,FALSE)</f>
        <v>108708</v>
      </c>
      <c r="I1419">
        <f t="shared" si="22"/>
        <v>2013</v>
      </c>
    </row>
    <row r="1420" spans="1:9">
      <c r="A1420" s="1">
        <v>10287</v>
      </c>
      <c r="B1420" s="1">
        <v>1</v>
      </c>
      <c r="C1420" s="2">
        <v>41415</v>
      </c>
      <c r="D1420" s="1" t="s">
        <v>2002</v>
      </c>
      <c r="E1420" s="1">
        <v>100796</v>
      </c>
      <c r="F1420" s="6" t="s">
        <v>3422</v>
      </c>
      <c r="G1420" s="15" t="str">
        <f>VLOOKUP(A1420,Movie!A:D,4,FALSE)</f>
        <v>Lionsgate</v>
      </c>
      <c r="H1420" s="14">
        <f>VLOOKUP(E1420,'Rental Transaction'!A:B,2,FALSE)</f>
        <v>108708</v>
      </c>
      <c r="I1420">
        <f t="shared" si="22"/>
        <v>2013</v>
      </c>
    </row>
    <row r="1421" spans="1:9">
      <c r="A1421" s="1">
        <v>10116</v>
      </c>
      <c r="B1421" s="1">
        <v>9</v>
      </c>
      <c r="C1421" s="2">
        <v>41415</v>
      </c>
      <c r="D1421" s="1" t="s">
        <v>2002</v>
      </c>
      <c r="E1421" s="1">
        <v>100797</v>
      </c>
      <c r="F1421" s="6" t="s">
        <v>3423</v>
      </c>
      <c r="G1421" s="15" t="str">
        <f>VLOOKUP(A1421,Movie!A:D,4,FALSE)</f>
        <v>Universal</v>
      </c>
      <c r="H1421" s="14">
        <f>VLOOKUP(E1421,'Rental Transaction'!A:B,2,FALSE)</f>
        <v>803700</v>
      </c>
      <c r="I1421">
        <f t="shared" si="22"/>
        <v>2013</v>
      </c>
    </row>
    <row r="1422" spans="1:9">
      <c r="A1422" s="1">
        <v>10174</v>
      </c>
      <c r="B1422" s="1">
        <v>7</v>
      </c>
      <c r="C1422" s="2">
        <v>41414</v>
      </c>
      <c r="D1422" s="1" t="s">
        <v>2005</v>
      </c>
      <c r="E1422" s="1">
        <v>100797</v>
      </c>
      <c r="F1422" s="6" t="s">
        <v>3424</v>
      </c>
      <c r="G1422" s="15" t="str">
        <f>VLOOKUP(A1422,Movie!A:D,4,FALSE)</f>
        <v>Universal</v>
      </c>
      <c r="H1422" s="14">
        <f>VLOOKUP(E1422,'Rental Transaction'!A:B,2,FALSE)</f>
        <v>803700</v>
      </c>
      <c r="I1422">
        <f t="shared" si="22"/>
        <v>2013</v>
      </c>
    </row>
    <row r="1423" spans="1:9">
      <c r="A1423" s="1">
        <v>10004</v>
      </c>
      <c r="B1423" s="1">
        <v>9</v>
      </c>
      <c r="C1423" s="2">
        <v>41414</v>
      </c>
      <c r="D1423" s="1" t="s">
        <v>2002</v>
      </c>
      <c r="E1423" s="1">
        <v>100797</v>
      </c>
      <c r="F1423" s="6" t="s">
        <v>3425</v>
      </c>
      <c r="G1423" s="15" t="str">
        <f>VLOOKUP(A1423,Movie!A:D,4,FALSE)</f>
        <v>Paramount</v>
      </c>
      <c r="H1423" s="14">
        <f>VLOOKUP(E1423,'Rental Transaction'!A:B,2,FALSE)</f>
        <v>803700</v>
      </c>
      <c r="I1423">
        <f t="shared" si="22"/>
        <v>2013</v>
      </c>
    </row>
    <row r="1424" spans="1:9">
      <c r="A1424" s="1">
        <v>10228</v>
      </c>
      <c r="B1424" s="1">
        <v>10</v>
      </c>
      <c r="C1424" s="2">
        <v>41415</v>
      </c>
      <c r="D1424" s="1" t="s">
        <v>2002</v>
      </c>
      <c r="E1424" s="1">
        <v>100798</v>
      </c>
      <c r="F1424" s="6" t="s">
        <v>3426</v>
      </c>
      <c r="G1424" s="15" t="str">
        <f>VLOOKUP(A1424,Movie!A:D,4,FALSE)</f>
        <v>Universal</v>
      </c>
      <c r="H1424" s="14">
        <f>VLOOKUP(E1424,'Rental Transaction'!A:B,2,FALSE)</f>
        <v>964403</v>
      </c>
      <c r="I1424">
        <f t="shared" si="22"/>
        <v>2013</v>
      </c>
    </row>
    <row r="1425" spans="1:9">
      <c r="A1425" s="1">
        <v>10129</v>
      </c>
      <c r="B1425" s="1">
        <v>6</v>
      </c>
      <c r="C1425" s="2">
        <v>41416</v>
      </c>
      <c r="D1425" s="1" t="s">
        <v>2002</v>
      </c>
      <c r="E1425" s="1">
        <v>100798</v>
      </c>
      <c r="F1425" s="6" t="s">
        <v>3427</v>
      </c>
      <c r="G1425" s="15" t="str">
        <f>VLOOKUP(A1425,Movie!A:D,4,FALSE)</f>
        <v>Warner Brothers</v>
      </c>
      <c r="H1425" s="14">
        <f>VLOOKUP(E1425,'Rental Transaction'!A:B,2,FALSE)</f>
        <v>964403</v>
      </c>
      <c r="I1425">
        <f t="shared" si="22"/>
        <v>2013</v>
      </c>
    </row>
    <row r="1426" spans="1:9">
      <c r="A1426" s="1">
        <v>10093</v>
      </c>
      <c r="B1426" s="1">
        <v>3</v>
      </c>
      <c r="C1426" s="2">
        <v>41416</v>
      </c>
      <c r="D1426" s="1" t="s">
        <v>2005</v>
      </c>
      <c r="E1426" s="1">
        <v>100798</v>
      </c>
      <c r="F1426" s="6" t="s">
        <v>3428</v>
      </c>
      <c r="G1426" s="15" t="str">
        <f>VLOOKUP(A1426,Movie!A:D,4,FALSE)</f>
        <v>Open Road Films</v>
      </c>
      <c r="H1426" s="14">
        <f>VLOOKUP(E1426,'Rental Transaction'!A:B,2,FALSE)</f>
        <v>964403</v>
      </c>
      <c r="I1426">
        <f t="shared" si="22"/>
        <v>2013</v>
      </c>
    </row>
    <row r="1427" spans="1:9">
      <c r="A1427" s="1">
        <v>10070</v>
      </c>
      <c r="B1427" s="1">
        <v>10</v>
      </c>
      <c r="C1427" s="2">
        <v>41416</v>
      </c>
      <c r="D1427" s="1" t="s">
        <v>2002</v>
      </c>
      <c r="E1427" s="1">
        <v>100799</v>
      </c>
      <c r="F1427" s="6" t="s">
        <v>3429</v>
      </c>
      <c r="G1427" s="15" t="str">
        <f>VLOOKUP(A1427,Movie!A:D,4,FALSE)</f>
        <v>Paramount</v>
      </c>
      <c r="H1427" s="14">
        <f>VLOOKUP(E1427,'Rental Transaction'!A:B,2,FALSE)</f>
        <v>317807</v>
      </c>
      <c r="I1427">
        <f t="shared" si="22"/>
        <v>2013</v>
      </c>
    </row>
    <row r="1428" spans="1:9" ht="29.25">
      <c r="A1428" s="1">
        <v>10095</v>
      </c>
      <c r="B1428" s="1">
        <v>2</v>
      </c>
      <c r="C1428" s="2">
        <v>41416</v>
      </c>
      <c r="D1428" s="1" t="s">
        <v>2002</v>
      </c>
      <c r="E1428" s="1">
        <v>100800</v>
      </c>
      <c r="F1428" s="6" t="s">
        <v>3430</v>
      </c>
      <c r="G1428" s="15" t="str">
        <f>VLOOKUP(A1428,Movie!A:D,4,FALSE)</f>
        <v>Weinstein Company</v>
      </c>
      <c r="H1428" s="14">
        <f>VLOOKUP(E1428,'Rental Transaction'!A:B,2,FALSE)</f>
        <v>355107</v>
      </c>
      <c r="I1428">
        <f t="shared" si="22"/>
        <v>2013</v>
      </c>
    </row>
    <row r="1429" spans="1:9">
      <c r="A1429" s="1">
        <v>10232</v>
      </c>
      <c r="B1429" s="1">
        <v>3</v>
      </c>
      <c r="C1429" s="2">
        <v>41416</v>
      </c>
      <c r="D1429" s="1" t="s">
        <v>2002</v>
      </c>
      <c r="E1429" s="1">
        <v>100800</v>
      </c>
      <c r="F1429" s="6" t="s">
        <v>3431</v>
      </c>
      <c r="G1429" s="15" t="str">
        <f>VLOOKUP(A1429,Movie!A:D,4,FALSE)</f>
        <v>Paramount</v>
      </c>
      <c r="H1429" s="14">
        <f>VLOOKUP(E1429,'Rental Transaction'!A:B,2,FALSE)</f>
        <v>355107</v>
      </c>
      <c r="I1429">
        <f t="shared" si="22"/>
        <v>2013</v>
      </c>
    </row>
    <row r="1430" spans="1:9">
      <c r="A1430" s="1">
        <v>10167</v>
      </c>
      <c r="B1430" s="1">
        <v>1</v>
      </c>
      <c r="C1430" s="2">
        <v>41415</v>
      </c>
      <c r="D1430" s="1" t="s">
        <v>2005</v>
      </c>
      <c r="E1430" s="1">
        <v>100801</v>
      </c>
      <c r="F1430" s="6" t="s">
        <v>3432</v>
      </c>
      <c r="G1430" s="15" t="str">
        <f>VLOOKUP(A1430,Movie!A:D,4,FALSE)</f>
        <v>Universal</v>
      </c>
      <c r="H1430" s="14">
        <f>VLOOKUP(E1430,'Rental Transaction'!A:B,2,FALSE)</f>
        <v>756769</v>
      </c>
      <c r="I1430">
        <f t="shared" si="22"/>
        <v>2013</v>
      </c>
    </row>
    <row r="1431" spans="1:9">
      <c r="A1431" s="1">
        <v>10298</v>
      </c>
      <c r="B1431" s="1">
        <v>8</v>
      </c>
      <c r="C1431" s="2">
        <v>41415</v>
      </c>
      <c r="D1431" s="1" t="s">
        <v>2002</v>
      </c>
      <c r="E1431" s="1">
        <v>100801</v>
      </c>
      <c r="F1431" s="6" t="s">
        <v>3433</v>
      </c>
      <c r="G1431" s="15" t="str">
        <f>VLOOKUP(A1431,Movie!A:D,4,FALSE)</f>
        <v>UTV</v>
      </c>
      <c r="H1431" s="14">
        <f>VLOOKUP(E1431,'Rental Transaction'!A:B,2,FALSE)</f>
        <v>756769</v>
      </c>
      <c r="I1431">
        <f t="shared" si="22"/>
        <v>2013</v>
      </c>
    </row>
    <row r="1432" spans="1:9">
      <c r="A1432" s="1">
        <v>10206</v>
      </c>
      <c r="B1432" s="1">
        <v>10</v>
      </c>
      <c r="C1432" s="2">
        <v>41416</v>
      </c>
      <c r="D1432" s="1" t="s">
        <v>2002</v>
      </c>
      <c r="E1432" s="1">
        <v>100802</v>
      </c>
      <c r="F1432" s="6" t="s">
        <v>3434</v>
      </c>
      <c r="G1432" s="15" t="str">
        <f>VLOOKUP(A1432,Movie!A:D,4,FALSE)</f>
        <v>Fox</v>
      </c>
      <c r="H1432" s="14">
        <f>VLOOKUP(E1432,'Rental Transaction'!A:B,2,FALSE)</f>
        <v>236554</v>
      </c>
      <c r="I1432">
        <f t="shared" si="22"/>
        <v>2013</v>
      </c>
    </row>
    <row r="1433" spans="1:9" ht="29.25">
      <c r="A1433" s="1">
        <v>10121</v>
      </c>
      <c r="B1433" s="1">
        <v>5</v>
      </c>
      <c r="C1433" s="2">
        <v>41416</v>
      </c>
      <c r="D1433" s="1" t="s">
        <v>2005</v>
      </c>
      <c r="E1433" s="1">
        <v>100802</v>
      </c>
      <c r="F1433" s="6" t="s">
        <v>3435</v>
      </c>
      <c r="G1433" s="15" t="str">
        <f>VLOOKUP(A1433,Movie!A:D,4,FALSE)</f>
        <v>Weinstein Company</v>
      </c>
      <c r="H1433" s="14">
        <f>VLOOKUP(E1433,'Rental Transaction'!A:B,2,FALSE)</f>
        <v>236554</v>
      </c>
      <c r="I1433">
        <f t="shared" si="22"/>
        <v>2013</v>
      </c>
    </row>
    <row r="1434" spans="1:9">
      <c r="A1434" s="1">
        <v>10216</v>
      </c>
      <c r="B1434" s="1">
        <v>1</v>
      </c>
      <c r="C1434" s="2">
        <v>41415</v>
      </c>
      <c r="D1434" s="1" t="s">
        <v>2005</v>
      </c>
      <c r="E1434" s="1">
        <v>100803</v>
      </c>
      <c r="F1434" s="6" t="s">
        <v>3436</v>
      </c>
      <c r="G1434" s="15" t="str">
        <f>VLOOKUP(A1434,Movie!A:D,4,FALSE)</f>
        <v>Sony</v>
      </c>
      <c r="H1434" s="14">
        <f>VLOOKUP(E1434,'Rental Transaction'!A:B,2,FALSE)</f>
        <v>558749</v>
      </c>
      <c r="I1434">
        <f t="shared" si="22"/>
        <v>2013</v>
      </c>
    </row>
    <row r="1435" spans="1:9">
      <c r="A1435" s="1">
        <v>10211</v>
      </c>
      <c r="B1435" s="1">
        <v>9</v>
      </c>
      <c r="C1435" s="2">
        <v>41415</v>
      </c>
      <c r="D1435" s="1" t="s">
        <v>2002</v>
      </c>
      <c r="E1435" s="1">
        <v>100804</v>
      </c>
      <c r="F1435" s="6" t="s">
        <v>3437</v>
      </c>
      <c r="G1435" s="15" t="str">
        <f>VLOOKUP(A1435,Movie!A:D,4,FALSE)</f>
        <v>Buena Vista</v>
      </c>
      <c r="H1435" s="14">
        <f>VLOOKUP(E1435,'Rental Transaction'!A:B,2,FALSE)</f>
        <v>227456</v>
      </c>
      <c r="I1435">
        <f t="shared" si="22"/>
        <v>2013</v>
      </c>
    </row>
    <row r="1436" spans="1:9">
      <c r="A1436" s="1">
        <v>10077</v>
      </c>
      <c r="B1436" s="1">
        <v>1</v>
      </c>
      <c r="C1436" s="2">
        <v>41415</v>
      </c>
      <c r="D1436" s="1" t="s">
        <v>2005</v>
      </c>
      <c r="E1436" s="1">
        <v>100805</v>
      </c>
      <c r="F1436" s="6" t="s">
        <v>3438</v>
      </c>
      <c r="G1436" s="15" t="str">
        <f>VLOOKUP(A1436,Movie!A:D,4,FALSE)</f>
        <v>Warner Brothers</v>
      </c>
      <c r="H1436" s="14">
        <f>VLOOKUP(E1436,'Rental Transaction'!A:B,2,FALSE)</f>
        <v>189441</v>
      </c>
      <c r="I1436">
        <f t="shared" si="22"/>
        <v>2013</v>
      </c>
    </row>
    <row r="1437" spans="1:9" ht="29.25">
      <c r="A1437" s="1">
        <v>10246</v>
      </c>
      <c r="B1437" s="1">
        <v>1</v>
      </c>
      <c r="C1437" s="2">
        <v>41416</v>
      </c>
      <c r="D1437" s="1" t="s">
        <v>2005</v>
      </c>
      <c r="E1437" s="1">
        <v>100806</v>
      </c>
      <c r="F1437" s="6" t="s">
        <v>3439</v>
      </c>
      <c r="G1437" s="15" t="str">
        <f>VLOOKUP(A1437,Movie!A:D,4,FALSE)</f>
        <v>Weinstein Company</v>
      </c>
      <c r="H1437" s="14">
        <f>VLOOKUP(E1437,'Rental Transaction'!A:B,2,FALSE)</f>
        <v>842028</v>
      </c>
      <c r="I1437">
        <f t="shared" si="22"/>
        <v>2013</v>
      </c>
    </row>
    <row r="1438" spans="1:9">
      <c r="A1438" s="1">
        <v>10267</v>
      </c>
      <c r="B1438" s="1">
        <v>3</v>
      </c>
      <c r="C1438" s="2">
        <v>41415</v>
      </c>
      <c r="D1438" s="1" t="s">
        <v>2005</v>
      </c>
      <c r="E1438" s="1">
        <v>100806</v>
      </c>
      <c r="F1438" s="6" t="s">
        <v>3440</v>
      </c>
      <c r="G1438" s="15" t="str">
        <f>VLOOKUP(A1438,Movie!A:D,4,FALSE)</f>
        <v>TriStar</v>
      </c>
      <c r="H1438" s="14">
        <f>VLOOKUP(E1438,'Rental Transaction'!A:B,2,FALSE)</f>
        <v>842028</v>
      </c>
      <c r="I1438">
        <f t="shared" si="22"/>
        <v>2013</v>
      </c>
    </row>
    <row r="1439" spans="1:9">
      <c r="A1439" s="1">
        <v>10138</v>
      </c>
      <c r="B1439" s="1">
        <v>10</v>
      </c>
      <c r="C1439" s="2">
        <v>41416</v>
      </c>
      <c r="D1439" s="1" t="s">
        <v>2005</v>
      </c>
      <c r="E1439" s="1">
        <v>100807</v>
      </c>
      <c r="F1439" s="6" t="s">
        <v>3441</v>
      </c>
      <c r="G1439" s="15" t="str">
        <f>VLOOKUP(A1439,Movie!A:D,4,FALSE)</f>
        <v>Universal</v>
      </c>
      <c r="H1439" s="14">
        <f>VLOOKUP(E1439,'Rental Transaction'!A:B,2,FALSE)</f>
        <v>168607</v>
      </c>
      <c r="I1439">
        <f t="shared" si="22"/>
        <v>2013</v>
      </c>
    </row>
    <row r="1440" spans="1:9">
      <c r="A1440" s="1">
        <v>10296</v>
      </c>
      <c r="B1440" s="1">
        <v>8</v>
      </c>
      <c r="C1440" s="2">
        <v>41415</v>
      </c>
      <c r="D1440" s="1" t="s">
        <v>2005</v>
      </c>
      <c r="E1440" s="1">
        <v>100807</v>
      </c>
      <c r="F1440" s="6" t="s">
        <v>3442</v>
      </c>
      <c r="G1440" s="15" t="str">
        <f>VLOOKUP(A1440,Movie!A:D,4,FALSE)</f>
        <v>A24</v>
      </c>
      <c r="H1440" s="14">
        <f>VLOOKUP(E1440,'Rental Transaction'!A:B,2,FALSE)</f>
        <v>168607</v>
      </c>
      <c r="I1440">
        <f t="shared" si="22"/>
        <v>2013</v>
      </c>
    </row>
    <row r="1441" spans="1:9">
      <c r="A1441" s="1">
        <v>10247</v>
      </c>
      <c r="B1441" s="1">
        <v>6</v>
      </c>
      <c r="C1441" s="2">
        <v>41416</v>
      </c>
      <c r="D1441" s="1" t="s">
        <v>2002</v>
      </c>
      <c r="E1441" s="1">
        <v>100808</v>
      </c>
      <c r="F1441" s="6" t="s">
        <v>3443</v>
      </c>
      <c r="G1441" s="15" t="str">
        <f>VLOOKUP(A1441,Movie!A:D,4,FALSE)</f>
        <v>Fox</v>
      </c>
      <c r="H1441" s="14">
        <f>VLOOKUP(E1441,'Rental Transaction'!A:B,2,FALSE)</f>
        <v>743517</v>
      </c>
      <c r="I1441">
        <f t="shared" si="22"/>
        <v>2013</v>
      </c>
    </row>
    <row r="1442" spans="1:9" ht="29.25">
      <c r="A1442" s="1">
        <v>10140</v>
      </c>
      <c r="B1442" s="1">
        <v>9</v>
      </c>
      <c r="C1442" s="2">
        <v>41415</v>
      </c>
      <c r="D1442" s="1" t="s">
        <v>2002</v>
      </c>
      <c r="E1442" s="1">
        <v>100808</v>
      </c>
      <c r="F1442" s="6" t="s">
        <v>3444</v>
      </c>
      <c r="G1442" s="15" t="str">
        <f>VLOOKUP(A1442,Movie!A:D,4,FALSE)</f>
        <v>Weinstein Company</v>
      </c>
      <c r="H1442" s="14">
        <f>VLOOKUP(E1442,'Rental Transaction'!A:B,2,FALSE)</f>
        <v>743517</v>
      </c>
      <c r="I1442">
        <f t="shared" si="22"/>
        <v>2013</v>
      </c>
    </row>
    <row r="1443" spans="1:9">
      <c r="A1443" s="1">
        <v>10042</v>
      </c>
      <c r="B1443" s="1">
        <v>5</v>
      </c>
      <c r="C1443" s="2">
        <v>41416</v>
      </c>
      <c r="D1443" s="1" t="s">
        <v>2002</v>
      </c>
      <c r="E1443" s="1">
        <v>100809</v>
      </c>
      <c r="F1443" s="6" t="s">
        <v>3445</v>
      </c>
      <c r="G1443" s="15" t="str">
        <f>VLOOKUP(A1443,Movie!A:D,4,FALSE)</f>
        <v>Paramount</v>
      </c>
      <c r="H1443" s="14">
        <f>VLOOKUP(E1443,'Rental Transaction'!A:B,2,FALSE)</f>
        <v>580783</v>
      </c>
      <c r="I1443">
        <f t="shared" si="22"/>
        <v>2013</v>
      </c>
    </row>
    <row r="1444" spans="1:9">
      <c r="A1444" s="1">
        <v>10001</v>
      </c>
      <c r="B1444" s="1">
        <v>8</v>
      </c>
      <c r="C1444" s="2">
        <v>41416</v>
      </c>
      <c r="D1444" s="1" t="s">
        <v>2005</v>
      </c>
      <c r="E1444" s="1">
        <v>100810</v>
      </c>
      <c r="F1444" s="6" t="s">
        <v>3446</v>
      </c>
      <c r="G1444" s="15" t="str">
        <f>VLOOKUP(A1444,Movie!A:D,4,FALSE)</f>
        <v>Focus</v>
      </c>
      <c r="H1444" s="14">
        <f>VLOOKUP(E1444,'Rental Transaction'!A:B,2,FALSE)</f>
        <v>418635</v>
      </c>
      <c r="I1444">
        <f t="shared" si="22"/>
        <v>2013</v>
      </c>
    </row>
    <row r="1445" spans="1:9">
      <c r="A1445" s="1">
        <v>10236</v>
      </c>
      <c r="B1445" s="1">
        <v>10</v>
      </c>
      <c r="C1445" s="2">
        <v>41416</v>
      </c>
      <c r="D1445" s="1" t="s">
        <v>2002</v>
      </c>
      <c r="E1445" s="1">
        <v>100811</v>
      </c>
      <c r="F1445" s="6" t="s">
        <v>3447</v>
      </c>
      <c r="G1445" s="15" t="str">
        <f>VLOOKUP(A1445,Movie!A:D,4,FALSE)</f>
        <v>Lionsgate</v>
      </c>
      <c r="H1445" s="14">
        <f>VLOOKUP(E1445,'Rental Transaction'!A:B,2,FALSE)</f>
        <v>556152</v>
      </c>
      <c r="I1445">
        <f t="shared" si="22"/>
        <v>2013</v>
      </c>
    </row>
    <row r="1446" spans="1:9">
      <c r="A1446" s="1">
        <v>10225</v>
      </c>
      <c r="B1446" s="1">
        <v>7</v>
      </c>
      <c r="C1446" s="2">
        <v>41416</v>
      </c>
      <c r="D1446" s="1" t="s">
        <v>2005</v>
      </c>
      <c r="E1446" s="1">
        <v>100812</v>
      </c>
      <c r="F1446" s="6" t="s">
        <v>3448</v>
      </c>
      <c r="G1446" s="15" t="str">
        <f>VLOOKUP(A1446,Movie!A:D,4,FALSE)</f>
        <v>Warner Brothers</v>
      </c>
      <c r="H1446" s="14">
        <f>VLOOKUP(E1446,'Rental Transaction'!A:B,2,FALSE)</f>
        <v>265133</v>
      </c>
      <c r="I1446">
        <f t="shared" si="22"/>
        <v>2013</v>
      </c>
    </row>
    <row r="1447" spans="1:9">
      <c r="A1447" s="1">
        <v>10137</v>
      </c>
      <c r="B1447" s="1">
        <v>4</v>
      </c>
      <c r="C1447" s="2">
        <v>41417</v>
      </c>
      <c r="D1447" s="1" t="s">
        <v>2005</v>
      </c>
      <c r="E1447" s="1">
        <v>100813</v>
      </c>
      <c r="F1447" s="6" t="s">
        <v>3449</v>
      </c>
      <c r="G1447" s="15" t="str">
        <f>VLOOKUP(A1447,Movie!A:D,4,FALSE)</f>
        <v>Buena Vista</v>
      </c>
      <c r="H1447" s="14">
        <f>VLOOKUP(E1447,'Rental Transaction'!A:B,2,FALSE)</f>
        <v>191951</v>
      </c>
      <c r="I1447">
        <f t="shared" si="22"/>
        <v>2013</v>
      </c>
    </row>
    <row r="1448" spans="1:9">
      <c r="A1448" s="1">
        <v>10241</v>
      </c>
      <c r="B1448" s="1">
        <v>3</v>
      </c>
      <c r="C1448" s="2">
        <v>41416</v>
      </c>
      <c r="D1448" s="1" t="s">
        <v>2005</v>
      </c>
      <c r="E1448" s="1">
        <v>100814</v>
      </c>
      <c r="F1448" s="6" t="s">
        <v>3450</v>
      </c>
      <c r="G1448" s="15" t="str">
        <f>VLOOKUP(A1448,Movie!A:D,4,FALSE)</f>
        <v>Warner Brothers</v>
      </c>
      <c r="H1448" s="14">
        <f>VLOOKUP(E1448,'Rental Transaction'!A:B,2,FALSE)</f>
        <v>471187</v>
      </c>
      <c r="I1448">
        <f t="shared" si="22"/>
        <v>2013</v>
      </c>
    </row>
    <row r="1449" spans="1:9" ht="29.25">
      <c r="A1449" s="1">
        <v>10121</v>
      </c>
      <c r="B1449" s="1">
        <v>4</v>
      </c>
      <c r="C1449" s="2">
        <v>41417</v>
      </c>
      <c r="D1449" s="1" t="s">
        <v>2005</v>
      </c>
      <c r="E1449" s="1">
        <v>100814</v>
      </c>
      <c r="F1449" s="6" t="s">
        <v>3451</v>
      </c>
      <c r="G1449" s="15" t="str">
        <f>VLOOKUP(A1449,Movie!A:D,4,FALSE)</f>
        <v>Weinstein Company</v>
      </c>
      <c r="H1449" s="14">
        <f>VLOOKUP(E1449,'Rental Transaction'!A:B,2,FALSE)</f>
        <v>471187</v>
      </c>
      <c r="I1449">
        <f t="shared" si="22"/>
        <v>2013</v>
      </c>
    </row>
    <row r="1450" spans="1:9">
      <c r="A1450" s="1">
        <v>10131</v>
      </c>
      <c r="B1450" s="1">
        <v>10</v>
      </c>
      <c r="C1450" s="2">
        <v>41417</v>
      </c>
      <c r="D1450" s="1" t="s">
        <v>2002</v>
      </c>
      <c r="E1450" s="1">
        <v>100815</v>
      </c>
      <c r="F1450" s="6" t="s">
        <v>3452</v>
      </c>
      <c r="G1450" s="15" t="str">
        <f>VLOOKUP(A1450,Movie!A:D,4,FALSE)</f>
        <v>Warner Brothers</v>
      </c>
      <c r="H1450" s="14">
        <f>VLOOKUP(E1450,'Rental Transaction'!A:B,2,FALSE)</f>
        <v>421074</v>
      </c>
      <c r="I1450">
        <f t="shared" si="22"/>
        <v>2013</v>
      </c>
    </row>
    <row r="1451" spans="1:9">
      <c r="A1451" s="1">
        <v>10284</v>
      </c>
      <c r="B1451" s="1">
        <v>9</v>
      </c>
      <c r="C1451" s="2">
        <v>41418</v>
      </c>
      <c r="D1451" s="1" t="s">
        <v>2002</v>
      </c>
      <c r="E1451" s="1">
        <v>100815</v>
      </c>
      <c r="F1451" s="6" t="s">
        <v>3453</v>
      </c>
      <c r="G1451" s="15" t="str">
        <f>VLOOKUP(A1451,Movie!A:D,4,FALSE)</f>
        <v>Focus</v>
      </c>
      <c r="H1451" s="14">
        <f>VLOOKUP(E1451,'Rental Transaction'!A:B,2,FALSE)</f>
        <v>421074</v>
      </c>
      <c r="I1451">
        <f t="shared" si="22"/>
        <v>2013</v>
      </c>
    </row>
    <row r="1452" spans="1:9">
      <c r="A1452" s="1">
        <v>10272</v>
      </c>
      <c r="B1452" s="1">
        <v>6</v>
      </c>
      <c r="C1452" s="2">
        <v>41417</v>
      </c>
      <c r="D1452" s="1" t="s">
        <v>2005</v>
      </c>
      <c r="E1452" s="1">
        <v>100816</v>
      </c>
      <c r="F1452" s="6" t="s">
        <v>3454</v>
      </c>
      <c r="G1452" s="15" t="str">
        <f>VLOOKUP(A1452,Movie!A:D,4,FALSE)</f>
        <v>Sony</v>
      </c>
      <c r="H1452" s="14">
        <f>VLOOKUP(E1452,'Rental Transaction'!A:B,2,FALSE)</f>
        <v>468100</v>
      </c>
      <c r="I1452">
        <f t="shared" si="22"/>
        <v>2013</v>
      </c>
    </row>
    <row r="1453" spans="1:9">
      <c r="A1453" s="1">
        <v>10205</v>
      </c>
      <c r="B1453" s="1">
        <v>7</v>
      </c>
      <c r="C1453" s="2">
        <v>41418</v>
      </c>
      <c r="D1453" s="1" t="s">
        <v>2005</v>
      </c>
      <c r="E1453" s="1">
        <v>100817</v>
      </c>
      <c r="F1453" s="6" t="s">
        <v>3455</v>
      </c>
      <c r="G1453" s="15" t="str">
        <f>VLOOKUP(A1453,Movie!A:D,4,FALSE)</f>
        <v>Paramount</v>
      </c>
      <c r="H1453" s="14">
        <f>VLOOKUP(E1453,'Rental Transaction'!A:B,2,FALSE)</f>
        <v>380003</v>
      </c>
      <c r="I1453">
        <f t="shared" si="22"/>
        <v>2013</v>
      </c>
    </row>
    <row r="1454" spans="1:9">
      <c r="A1454" s="1">
        <v>10051</v>
      </c>
      <c r="B1454" s="1">
        <v>2</v>
      </c>
      <c r="C1454" s="2">
        <v>41420</v>
      </c>
      <c r="D1454" s="1" t="s">
        <v>2005</v>
      </c>
      <c r="E1454" s="1">
        <v>100818</v>
      </c>
      <c r="F1454" s="6" t="s">
        <v>3456</v>
      </c>
      <c r="G1454" s="15" t="str">
        <f>VLOOKUP(A1454,Movie!A:D,4,FALSE)</f>
        <v>Paramount</v>
      </c>
      <c r="H1454" s="14">
        <f>VLOOKUP(E1454,'Rental Transaction'!A:B,2,FALSE)</f>
        <v>884368</v>
      </c>
      <c r="I1454">
        <f t="shared" si="22"/>
        <v>2013</v>
      </c>
    </row>
    <row r="1455" spans="1:9">
      <c r="A1455" s="1">
        <v>10069</v>
      </c>
      <c r="B1455" s="1">
        <v>9</v>
      </c>
      <c r="C1455" s="2">
        <v>41418</v>
      </c>
      <c r="D1455" s="1" t="s">
        <v>2005</v>
      </c>
      <c r="E1455" s="1">
        <v>100819</v>
      </c>
      <c r="F1455" s="6" t="s">
        <v>3457</v>
      </c>
      <c r="G1455" s="15" t="str">
        <f>VLOOKUP(A1455,Movie!A:D,4,FALSE)</f>
        <v>Warner Brothers</v>
      </c>
      <c r="H1455" s="14">
        <f>VLOOKUP(E1455,'Rental Transaction'!A:B,2,FALSE)</f>
        <v>880238</v>
      </c>
      <c r="I1455">
        <f t="shared" si="22"/>
        <v>2013</v>
      </c>
    </row>
    <row r="1456" spans="1:9">
      <c r="A1456" s="1">
        <v>10093</v>
      </c>
      <c r="B1456" s="1">
        <v>2</v>
      </c>
      <c r="C1456" s="2">
        <v>41418</v>
      </c>
      <c r="D1456" s="1" t="s">
        <v>2002</v>
      </c>
      <c r="E1456" s="1">
        <v>100820</v>
      </c>
      <c r="F1456" s="6" t="s">
        <v>3458</v>
      </c>
      <c r="G1456" s="15" t="str">
        <f>VLOOKUP(A1456,Movie!A:D,4,FALSE)</f>
        <v>Open Road Films</v>
      </c>
      <c r="H1456" s="14">
        <f>VLOOKUP(E1456,'Rental Transaction'!A:B,2,FALSE)</f>
        <v>515753</v>
      </c>
      <c r="I1456">
        <f t="shared" si="22"/>
        <v>2013</v>
      </c>
    </row>
    <row r="1457" spans="1:9">
      <c r="A1457" s="1">
        <v>10259</v>
      </c>
      <c r="B1457" s="1">
        <v>1</v>
      </c>
      <c r="C1457" s="2">
        <v>41418</v>
      </c>
      <c r="D1457" s="1" t="s">
        <v>2002</v>
      </c>
      <c r="E1457" s="1">
        <v>100821</v>
      </c>
      <c r="F1457" s="6" t="s">
        <v>3459</v>
      </c>
      <c r="G1457" s="15" t="str">
        <f>VLOOKUP(A1457,Movie!A:D,4,FALSE)</f>
        <v>Warner Brothers</v>
      </c>
      <c r="H1457" s="14">
        <f>VLOOKUP(E1457,'Rental Transaction'!A:B,2,FALSE)</f>
        <v>352644</v>
      </c>
      <c r="I1457">
        <f t="shared" si="22"/>
        <v>2013</v>
      </c>
    </row>
    <row r="1458" spans="1:9">
      <c r="A1458" s="1">
        <v>10024</v>
      </c>
      <c r="B1458" s="1">
        <v>4</v>
      </c>
      <c r="C1458" s="2">
        <v>41418</v>
      </c>
      <c r="D1458" s="1" t="s">
        <v>2005</v>
      </c>
      <c r="E1458" s="1">
        <v>100822</v>
      </c>
      <c r="F1458" s="6" t="s">
        <v>3460</v>
      </c>
      <c r="G1458" s="15" t="str">
        <f>VLOOKUP(A1458,Movie!A:D,4,FALSE)</f>
        <v>Fox</v>
      </c>
      <c r="H1458" s="14">
        <f>VLOOKUP(E1458,'Rental Transaction'!A:B,2,FALSE)</f>
        <v>271531</v>
      </c>
      <c r="I1458">
        <f t="shared" si="22"/>
        <v>2013</v>
      </c>
    </row>
    <row r="1459" spans="1:9" ht="29.25">
      <c r="A1459" s="1">
        <v>10121</v>
      </c>
      <c r="B1459" s="1">
        <v>2</v>
      </c>
      <c r="C1459" s="2">
        <v>41420</v>
      </c>
      <c r="D1459" s="1" t="s">
        <v>2005</v>
      </c>
      <c r="E1459" s="1">
        <v>100822</v>
      </c>
      <c r="F1459" s="6" t="s">
        <v>3461</v>
      </c>
      <c r="G1459" s="15" t="str">
        <f>VLOOKUP(A1459,Movie!A:D,4,FALSE)</f>
        <v>Weinstein Company</v>
      </c>
      <c r="H1459" s="14">
        <f>VLOOKUP(E1459,'Rental Transaction'!A:B,2,FALSE)</f>
        <v>271531</v>
      </c>
      <c r="I1459">
        <f t="shared" si="22"/>
        <v>2013</v>
      </c>
    </row>
    <row r="1460" spans="1:9" ht="29.25">
      <c r="A1460" s="1">
        <v>10140</v>
      </c>
      <c r="B1460" s="1">
        <v>7</v>
      </c>
      <c r="C1460" s="2">
        <v>41419</v>
      </c>
      <c r="D1460" s="1" t="s">
        <v>2002</v>
      </c>
      <c r="E1460" s="1">
        <v>100823</v>
      </c>
      <c r="F1460" s="6" t="s">
        <v>3462</v>
      </c>
      <c r="G1460" s="15" t="str">
        <f>VLOOKUP(A1460,Movie!A:D,4,FALSE)</f>
        <v>Weinstein Company</v>
      </c>
      <c r="H1460" s="14">
        <f>VLOOKUP(E1460,'Rental Transaction'!A:B,2,FALSE)</f>
        <v>559054</v>
      </c>
      <c r="I1460">
        <f t="shared" si="22"/>
        <v>2013</v>
      </c>
    </row>
    <row r="1461" spans="1:9">
      <c r="A1461" s="1">
        <v>10032</v>
      </c>
      <c r="B1461" s="1">
        <v>8</v>
      </c>
      <c r="C1461" s="2">
        <v>41419</v>
      </c>
      <c r="D1461" s="1" t="s">
        <v>2002</v>
      </c>
      <c r="E1461" s="1">
        <v>100824</v>
      </c>
      <c r="F1461" s="6" t="s">
        <v>3463</v>
      </c>
      <c r="G1461" s="15" t="str">
        <f>VLOOKUP(A1461,Movie!A:D,4,FALSE)</f>
        <v>Sony</v>
      </c>
      <c r="H1461" s="14">
        <f>VLOOKUP(E1461,'Rental Transaction'!A:B,2,FALSE)</f>
        <v>605188</v>
      </c>
      <c r="I1461">
        <f t="shared" si="22"/>
        <v>2013</v>
      </c>
    </row>
    <row r="1462" spans="1:9">
      <c r="A1462" s="1">
        <v>10183</v>
      </c>
      <c r="B1462" s="1">
        <v>10</v>
      </c>
      <c r="C1462" s="2">
        <v>41420</v>
      </c>
      <c r="D1462" s="1" t="s">
        <v>2002</v>
      </c>
      <c r="E1462" s="1">
        <v>100825</v>
      </c>
      <c r="F1462" s="6" t="s">
        <v>3464</v>
      </c>
      <c r="G1462" s="15" t="str">
        <f>VLOOKUP(A1462,Movie!A:D,4,FALSE)</f>
        <v>Sony</v>
      </c>
      <c r="H1462" s="14">
        <f>VLOOKUP(E1462,'Rental Transaction'!A:B,2,FALSE)</f>
        <v>833180</v>
      </c>
      <c r="I1462">
        <f t="shared" si="22"/>
        <v>2013</v>
      </c>
    </row>
    <row r="1463" spans="1:9">
      <c r="A1463" s="1">
        <v>10130</v>
      </c>
      <c r="B1463" s="1">
        <v>3</v>
      </c>
      <c r="C1463" s="2">
        <v>41419</v>
      </c>
      <c r="D1463" s="1" t="s">
        <v>2005</v>
      </c>
      <c r="E1463" s="1">
        <v>100826</v>
      </c>
      <c r="F1463" s="6" t="s">
        <v>3465</v>
      </c>
      <c r="G1463" s="15" t="str">
        <f>VLOOKUP(A1463,Movie!A:D,4,FALSE)</f>
        <v>A24</v>
      </c>
      <c r="H1463" s="14">
        <f>VLOOKUP(E1463,'Rental Transaction'!A:B,2,FALSE)</f>
        <v>974503</v>
      </c>
      <c r="I1463">
        <f t="shared" si="22"/>
        <v>2013</v>
      </c>
    </row>
    <row r="1464" spans="1:9">
      <c r="A1464" s="1">
        <v>10090</v>
      </c>
      <c r="B1464" s="1">
        <v>2</v>
      </c>
      <c r="C1464" s="2">
        <v>41419</v>
      </c>
      <c r="D1464" s="1" t="s">
        <v>2002</v>
      </c>
      <c r="E1464" s="1">
        <v>100826</v>
      </c>
      <c r="F1464" s="6" t="s">
        <v>3466</v>
      </c>
      <c r="G1464" s="15" t="str">
        <f>VLOOKUP(A1464,Movie!A:D,4,FALSE)</f>
        <v>Paramount</v>
      </c>
      <c r="H1464" s="14">
        <f>VLOOKUP(E1464,'Rental Transaction'!A:B,2,FALSE)</f>
        <v>974503</v>
      </c>
      <c r="I1464">
        <f t="shared" si="22"/>
        <v>2013</v>
      </c>
    </row>
    <row r="1465" spans="1:9">
      <c r="A1465" s="1">
        <v>10036</v>
      </c>
      <c r="B1465" s="1">
        <v>2</v>
      </c>
      <c r="C1465" s="2">
        <v>41419</v>
      </c>
      <c r="D1465" s="1" t="s">
        <v>2002</v>
      </c>
      <c r="E1465" s="1">
        <v>100827</v>
      </c>
      <c r="F1465" s="6" t="s">
        <v>3467</v>
      </c>
      <c r="G1465" s="15" t="str">
        <f>VLOOKUP(A1465,Movie!A:D,4,FALSE)</f>
        <v>Universal</v>
      </c>
      <c r="H1465" s="14">
        <f>VLOOKUP(E1465,'Rental Transaction'!A:B,2,FALSE)</f>
        <v>567388</v>
      </c>
      <c r="I1465">
        <f t="shared" si="22"/>
        <v>2013</v>
      </c>
    </row>
    <row r="1466" spans="1:9">
      <c r="A1466" s="1">
        <v>10073</v>
      </c>
      <c r="B1466" s="1">
        <v>6</v>
      </c>
      <c r="C1466" s="2">
        <v>41419</v>
      </c>
      <c r="D1466" s="1" t="s">
        <v>2002</v>
      </c>
      <c r="E1466" s="1">
        <v>100827</v>
      </c>
      <c r="F1466" s="6" t="s">
        <v>3468</v>
      </c>
      <c r="G1466" s="15" t="str">
        <f>VLOOKUP(A1466,Movie!A:D,4,FALSE)</f>
        <v>FilmDistrict</v>
      </c>
      <c r="H1466" s="14">
        <f>VLOOKUP(E1466,'Rental Transaction'!A:B,2,FALSE)</f>
        <v>567388</v>
      </c>
      <c r="I1466">
        <f t="shared" si="22"/>
        <v>2013</v>
      </c>
    </row>
    <row r="1467" spans="1:9">
      <c r="A1467" s="1">
        <v>10168</v>
      </c>
      <c r="B1467" s="1">
        <v>7</v>
      </c>
      <c r="C1467" s="2">
        <v>41420</v>
      </c>
      <c r="D1467" s="1" t="s">
        <v>2005</v>
      </c>
      <c r="E1467" s="1">
        <v>100828</v>
      </c>
      <c r="F1467" s="6" t="s">
        <v>3469</v>
      </c>
      <c r="G1467" s="15" t="str">
        <f>VLOOKUP(A1467,Movie!A:D,4,FALSE)</f>
        <v>Paramount</v>
      </c>
      <c r="H1467" s="14">
        <f>VLOOKUP(E1467,'Rental Transaction'!A:B,2,FALSE)</f>
        <v>548800</v>
      </c>
      <c r="I1467">
        <f t="shared" si="22"/>
        <v>2013</v>
      </c>
    </row>
    <row r="1468" spans="1:9">
      <c r="A1468" s="1">
        <v>10189</v>
      </c>
      <c r="B1468" s="1">
        <v>9</v>
      </c>
      <c r="C1468" s="2">
        <v>41421</v>
      </c>
      <c r="D1468" s="1" t="s">
        <v>2002</v>
      </c>
      <c r="E1468" s="1">
        <v>100828</v>
      </c>
      <c r="F1468" s="6" t="s">
        <v>3470</v>
      </c>
      <c r="G1468" s="15" t="str">
        <f>VLOOKUP(A1468,Movie!A:D,4,FALSE)</f>
        <v>Universal</v>
      </c>
      <c r="H1468" s="14">
        <f>VLOOKUP(E1468,'Rental Transaction'!A:B,2,FALSE)</f>
        <v>548800</v>
      </c>
      <c r="I1468">
        <f t="shared" si="22"/>
        <v>2013</v>
      </c>
    </row>
    <row r="1469" spans="1:9">
      <c r="A1469" s="1">
        <v>10259</v>
      </c>
      <c r="B1469" s="1">
        <v>3</v>
      </c>
      <c r="C1469" s="2">
        <v>41420</v>
      </c>
      <c r="D1469" s="1" t="s">
        <v>2002</v>
      </c>
      <c r="E1469" s="1">
        <v>100828</v>
      </c>
      <c r="F1469" s="6" t="s">
        <v>3471</v>
      </c>
      <c r="G1469" s="15" t="str">
        <f>VLOOKUP(A1469,Movie!A:D,4,FALSE)</f>
        <v>Warner Brothers</v>
      </c>
      <c r="H1469" s="14">
        <f>VLOOKUP(E1469,'Rental Transaction'!A:B,2,FALSE)</f>
        <v>548800</v>
      </c>
      <c r="I1469">
        <f t="shared" si="22"/>
        <v>2013</v>
      </c>
    </row>
    <row r="1470" spans="1:9">
      <c r="A1470" s="1">
        <v>10185</v>
      </c>
      <c r="B1470" s="1">
        <v>2</v>
      </c>
      <c r="C1470" s="2">
        <v>41420</v>
      </c>
      <c r="D1470" s="1" t="s">
        <v>2005</v>
      </c>
      <c r="E1470" s="1">
        <v>100829</v>
      </c>
      <c r="F1470" s="6" t="s">
        <v>3472</v>
      </c>
      <c r="G1470" s="15" t="str">
        <f>VLOOKUP(A1470,Movie!A:D,4,FALSE)</f>
        <v>Warner Brothers</v>
      </c>
      <c r="H1470" s="14">
        <f>VLOOKUP(E1470,'Rental Transaction'!A:B,2,FALSE)</f>
        <v>912671</v>
      </c>
      <c r="I1470">
        <f t="shared" si="22"/>
        <v>2013</v>
      </c>
    </row>
    <row r="1471" spans="1:9">
      <c r="A1471" s="1">
        <v>10199</v>
      </c>
      <c r="B1471" s="1">
        <v>1</v>
      </c>
      <c r="C1471" s="2">
        <v>41420</v>
      </c>
      <c r="D1471" s="1" t="s">
        <v>2002</v>
      </c>
      <c r="E1471" s="1">
        <v>100829</v>
      </c>
      <c r="F1471" s="6" t="s">
        <v>3473</v>
      </c>
      <c r="G1471" s="15" t="str">
        <f>VLOOKUP(A1471,Movie!A:D,4,FALSE)</f>
        <v>Lionsgate</v>
      </c>
      <c r="H1471" s="14">
        <f>VLOOKUP(E1471,'Rental Transaction'!A:B,2,FALSE)</f>
        <v>912671</v>
      </c>
      <c r="I1471">
        <f t="shared" si="22"/>
        <v>2013</v>
      </c>
    </row>
    <row r="1472" spans="1:9">
      <c r="A1472" s="1">
        <v>10221</v>
      </c>
      <c r="B1472" s="1">
        <v>2</v>
      </c>
      <c r="C1472" s="2">
        <v>41420</v>
      </c>
      <c r="D1472" s="1" t="s">
        <v>2002</v>
      </c>
      <c r="E1472" s="1">
        <v>100830</v>
      </c>
      <c r="F1472" s="6" t="s">
        <v>3474</v>
      </c>
      <c r="G1472" s="15" t="str">
        <f>VLOOKUP(A1472,Movie!A:D,4,FALSE)</f>
        <v>Fox</v>
      </c>
      <c r="H1472" s="14">
        <f>VLOOKUP(E1472,'Rental Transaction'!A:B,2,FALSE)</f>
        <v>513968</v>
      </c>
      <c r="I1472">
        <f t="shared" si="22"/>
        <v>2013</v>
      </c>
    </row>
    <row r="1473" spans="1:9">
      <c r="A1473" s="1">
        <v>10197</v>
      </c>
      <c r="B1473" s="1">
        <v>2</v>
      </c>
      <c r="C1473" s="2">
        <v>41420</v>
      </c>
      <c r="D1473" s="1" t="s">
        <v>2002</v>
      </c>
      <c r="E1473" s="1">
        <v>100830</v>
      </c>
      <c r="F1473" s="6" t="s">
        <v>3475</v>
      </c>
      <c r="G1473" s="15" t="str">
        <f>VLOOKUP(A1473,Movie!A:D,4,FALSE)</f>
        <v>Warner Brothers</v>
      </c>
      <c r="H1473" s="14">
        <f>VLOOKUP(E1473,'Rental Transaction'!A:B,2,FALSE)</f>
        <v>513968</v>
      </c>
      <c r="I1473">
        <f t="shared" si="22"/>
        <v>2013</v>
      </c>
    </row>
    <row r="1474" spans="1:9">
      <c r="A1474" s="1">
        <v>10295</v>
      </c>
      <c r="B1474" s="1">
        <v>4</v>
      </c>
      <c r="C1474" s="2">
        <v>41420</v>
      </c>
      <c r="D1474" s="1" t="s">
        <v>2002</v>
      </c>
      <c r="E1474" s="1">
        <v>100831</v>
      </c>
      <c r="F1474" s="6" t="s">
        <v>3476</v>
      </c>
      <c r="G1474" s="15" t="str">
        <f>VLOOKUP(A1474,Movie!A:D,4,FALSE)</f>
        <v>A24</v>
      </c>
      <c r="H1474" s="14">
        <f>VLOOKUP(E1474,'Rental Transaction'!A:B,2,FALSE)</f>
        <v>162236</v>
      </c>
      <c r="I1474">
        <f t="shared" si="22"/>
        <v>2013</v>
      </c>
    </row>
    <row r="1475" spans="1:9">
      <c r="A1475" s="1">
        <v>10202</v>
      </c>
      <c r="B1475" s="1">
        <v>1</v>
      </c>
      <c r="C1475" s="2">
        <v>41421</v>
      </c>
      <c r="D1475" s="1" t="s">
        <v>2002</v>
      </c>
      <c r="E1475" s="1">
        <v>100832</v>
      </c>
      <c r="F1475" s="6" t="s">
        <v>3477</v>
      </c>
      <c r="G1475" s="15" t="str">
        <f>VLOOKUP(A1475,Movie!A:D,4,FALSE)</f>
        <v>Warner Brothers</v>
      </c>
      <c r="H1475" s="14">
        <f>VLOOKUP(E1475,'Rental Transaction'!A:B,2,FALSE)</f>
        <v>170500</v>
      </c>
      <c r="I1475">
        <f t="shared" ref="I1475:I1538" si="23">YEAR(C1475)</f>
        <v>2013</v>
      </c>
    </row>
    <row r="1476" spans="1:9">
      <c r="A1476" s="1">
        <v>10286</v>
      </c>
      <c r="B1476" s="1">
        <v>1</v>
      </c>
      <c r="C1476" s="2">
        <v>41422</v>
      </c>
      <c r="D1476" s="1" t="s">
        <v>2002</v>
      </c>
      <c r="E1476" s="1">
        <v>100832</v>
      </c>
      <c r="F1476" s="6" t="s">
        <v>3478</v>
      </c>
      <c r="G1476" s="15" t="str">
        <f>VLOOKUP(A1476,Movie!A:D,4,FALSE)</f>
        <v>Fox Searchlight</v>
      </c>
      <c r="H1476" s="14">
        <f>VLOOKUP(E1476,'Rental Transaction'!A:B,2,FALSE)</f>
        <v>170500</v>
      </c>
      <c r="I1476">
        <f t="shared" si="23"/>
        <v>2013</v>
      </c>
    </row>
    <row r="1477" spans="1:9">
      <c r="A1477" s="1">
        <v>10168</v>
      </c>
      <c r="B1477" s="1">
        <v>9</v>
      </c>
      <c r="C1477" s="2">
        <v>41420</v>
      </c>
      <c r="D1477" s="1" t="s">
        <v>2005</v>
      </c>
      <c r="E1477" s="1">
        <v>100833</v>
      </c>
      <c r="F1477" s="6" t="s">
        <v>3479</v>
      </c>
      <c r="G1477" s="15" t="str">
        <f>VLOOKUP(A1477,Movie!A:D,4,FALSE)</f>
        <v>Paramount</v>
      </c>
      <c r="H1477" s="14">
        <f>VLOOKUP(E1477,'Rental Transaction'!A:B,2,FALSE)</f>
        <v>478274</v>
      </c>
      <c r="I1477">
        <f t="shared" si="23"/>
        <v>2013</v>
      </c>
    </row>
    <row r="1478" spans="1:9">
      <c r="A1478" s="1">
        <v>10291</v>
      </c>
      <c r="B1478" s="1">
        <v>1</v>
      </c>
      <c r="C1478" s="2">
        <v>41420</v>
      </c>
      <c r="D1478" s="1" t="s">
        <v>2002</v>
      </c>
      <c r="E1478" s="1">
        <v>100833</v>
      </c>
      <c r="F1478" s="6" t="s">
        <v>3480</v>
      </c>
      <c r="G1478" s="15" t="str">
        <f>VLOOKUP(A1478,Movie!A:D,4,FALSE)</f>
        <v>Warner Brothers</v>
      </c>
      <c r="H1478" s="14">
        <f>VLOOKUP(E1478,'Rental Transaction'!A:B,2,FALSE)</f>
        <v>478274</v>
      </c>
      <c r="I1478">
        <f t="shared" si="23"/>
        <v>2013</v>
      </c>
    </row>
    <row r="1479" spans="1:9">
      <c r="A1479" s="1">
        <v>10284</v>
      </c>
      <c r="B1479" s="1">
        <v>5</v>
      </c>
      <c r="C1479" s="2">
        <v>41422</v>
      </c>
      <c r="D1479" s="1" t="s">
        <v>2005</v>
      </c>
      <c r="E1479" s="1">
        <v>100834</v>
      </c>
      <c r="F1479" s="6" t="s">
        <v>3481</v>
      </c>
      <c r="G1479" s="15" t="str">
        <f>VLOOKUP(A1479,Movie!A:D,4,FALSE)</f>
        <v>Focus</v>
      </c>
      <c r="H1479" s="14">
        <f>VLOOKUP(E1479,'Rental Transaction'!A:B,2,FALSE)</f>
        <v>926144</v>
      </c>
      <c r="I1479">
        <f t="shared" si="23"/>
        <v>2013</v>
      </c>
    </row>
    <row r="1480" spans="1:9">
      <c r="A1480" s="1">
        <v>10111</v>
      </c>
      <c r="B1480" s="1">
        <v>7</v>
      </c>
      <c r="C1480" s="2">
        <v>41421</v>
      </c>
      <c r="D1480" s="1" t="s">
        <v>2002</v>
      </c>
      <c r="E1480" s="1">
        <v>100834</v>
      </c>
      <c r="F1480" s="6" t="s">
        <v>3482</v>
      </c>
      <c r="G1480" s="15" t="str">
        <f>VLOOKUP(A1480,Movie!A:D,4,FALSE)</f>
        <v>Fox</v>
      </c>
      <c r="H1480" s="14">
        <f>VLOOKUP(E1480,'Rental Transaction'!A:B,2,FALSE)</f>
        <v>926144</v>
      </c>
      <c r="I1480">
        <f t="shared" si="23"/>
        <v>2013</v>
      </c>
    </row>
    <row r="1481" spans="1:9">
      <c r="A1481" s="1">
        <v>10227</v>
      </c>
      <c r="B1481" s="1">
        <v>6</v>
      </c>
      <c r="C1481" s="2">
        <v>41420</v>
      </c>
      <c r="D1481" s="1" t="s">
        <v>2005</v>
      </c>
      <c r="E1481" s="1">
        <v>100835</v>
      </c>
      <c r="F1481" s="6" t="s">
        <v>3483</v>
      </c>
      <c r="G1481" s="15" t="str">
        <f>VLOOKUP(A1481,Movie!A:D,4,FALSE)</f>
        <v>Focus</v>
      </c>
      <c r="H1481" s="14">
        <f>VLOOKUP(E1481,'Rental Transaction'!A:B,2,FALSE)</f>
        <v>672834</v>
      </c>
      <c r="I1481">
        <f t="shared" si="23"/>
        <v>2013</v>
      </c>
    </row>
    <row r="1482" spans="1:9">
      <c r="A1482" s="1">
        <v>10225</v>
      </c>
      <c r="B1482" s="1">
        <v>4</v>
      </c>
      <c r="C1482" s="2">
        <v>41420</v>
      </c>
      <c r="D1482" s="1" t="s">
        <v>2005</v>
      </c>
      <c r="E1482" s="1">
        <v>100835</v>
      </c>
      <c r="F1482" s="6" t="s">
        <v>3484</v>
      </c>
      <c r="G1482" s="15" t="str">
        <f>VLOOKUP(A1482,Movie!A:D,4,FALSE)</f>
        <v>Warner Brothers</v>
      </c>
      <c r="H1482" s="14">
        <f>VLOOKUP(E1482,'Rental Transaction'!A:B,2,FALSE)</f>
        <v>672834</v>
      </c>
      <c r="I1482">
        <f t="shared" si="23"/>
        <v>2013</v>
      </c>
    </row>
    <row r="1483" spans="1:9">
      <c r="A1483" s="1">
        <v>10174</v>
      </c>
      <c r="B1483" s="1">
        <v>10</v>
      </c>
      <c r="C1483" s="2">
        <v>41420</v>
      </c>
      <c r="D1483" s="1" t="s">
        <v>2002</v>
      </c>
      <c r="E1483" s="1">
        <v>100835</v>
      </c>
      <c r="F1483" s="6" t="s">
        <v>3485</v>
      </c>
      <c r="G1483" s="15" t="str">
        <f>VLOOKUP(A1483,Movie!A:D,4,FALSE)</f>
        <v>Universal</v>
      </c>
      <c r="H1483" s="14">
        <f>VLOOKUP(E1483,'Rental Transaction'!A:B,2,FALSE)</f>
        <v>672834</v>
      </c>
      <c r="I1483">
        <f t="shared" si="23"/>
        <v>2013</v>
      </c>
    </row>
    <row r="1484" spans="1:9">
      <c r="A1484" s="1">
        <v>10127</v>
      </c>
      <c r="B1484" s="1">
        <v>10</v>
      </c>
      <c r="C1484" s="2">
        <v>41421</v>
      </c>
      <c r="D1484" s="1" t="s">
        <v>2002</v>
      </c>
      <c r="E1484" s="1">
        <v>100836</v>
      </c>
      <c r="F1484" s="6" t="s">
        <v>3486</v>
      </c>
      <c r="G1484" s="15" t="str">
        <f>VLOOKUP(A1484,Movie!A:D,4,FALSE)</f>
        <v>TriStar</v>
      </c>
      <c r="H1484" s="14">
        <f>VLOOKUP(E1484,'Rental Transaction'!A:B,2,FALSE)</f>
        <v>346006</v>
      </c>
      <c r="I1484">
        <f t="shared" si="23"/>
        <v>2013</v>
      </c>
    </row>
    <row r="1485" spans="1:9">
      <c r="A1485" s="1">
        <v>10288</v>
      </c>
      <c r="B1485" s="1">
        <v>4</v>
      </c>
      <c r="C1485" s="2">
        <v>41421</v>
      </c>
      <c r="D1485" s="1" t="s">
        <v>2002</v>
      </c>
      <c r="E1485" s="1">
        <v>100836</v>
      </c>
      <c r="F1485" s="6" t="s">
        <v>3487</v>
      </c>
      <c r="G1485" s="15" t="str">
        <f>VLOOKUP(A1485,Movie!A:D,4,FALSE)</f>
        <v>Relativity</v>
      </c>
      <c r="H1485" s="14">
        <f>VLOOKUP(E1485,'Rental Transaction'!A:B,2,FALSE)</f>
        <v>346006</v>
      </c>
      <c r="I1485">
        <f t="shared" si="23"/>
        <v>2013</v>
      </c>
    </row>
    <row r="1486" spans="1:9">
      <c r="A1486" s="1">
        <v>10272</v>
      </c>
      <c r="B1486" s="1">
        <v>5</v>
      </c>
      <c r="C1486" s="2">
        <v>41421</v>
      </c>
      <c r="D1486" s="1" t="s">
        <v>2005</v>
      </c>
      <c r="E1486" s="1">
        <v>100837</v>
      </c>
      <c r="F1486" s="6" t="s">
        <v>3488</v>
      </c>
      <c r="G1486" s="15" t="str">
        <f>VLOOKUP(A1486,Movie!A:D,4,FALSE)</f>
        <v>Sony</v>
      </c>
      <c r="H1486" s="14">
        <f>VLOOKUP(E1486,'Rental Transaction'!A:B,2,FALSE)</f>
        <v>908768</v>
      </c>
      <c r="I1486">
        <f t="shared" si="23"/>
        <v>2013</v>
      </c>
    </row>
    <row r="1487" spans="1:9">
      <c r="A1487" s="1">
        <v>10148</v>
      </c>
      <c r="B1487" s="1">
        <v>7</v>
      </c>
      <c r="C1487" s="2">
        <v>41422</v>
      </c>
      <c r="D1487" s="1" t="s">
        <v>2002</v>
      </c>
      <c r="E1487" s="1">
        <v>100838</v>
      </c>
      <c r="F1487" s="6" t="s">
        <v>3489</v>
      </c>
      <c r="G1487" s="15" t="str">
        <f>VLOOKUP(A1487,Movie!A:D,4,FALSE)</f>
        <v>Paramount</v>
      </c>
      <c r="H1487" s="14">
        <f>VLOOKUP(E1487,'Rental Transaction'!A:B,2,FALSE)</f>
        <v>781523</v>
      </c>
      <c r="I1487">
        <f t="shared" si="23"/>
        <v>2013</v>
      </c>
    </row>
    <row r="1488" spans="1:9">
      <c r="A1488" s="1">
        <v>10286</v>
      </c>
      <c r="B1488" s="1">
        <v>6</v>
      </c>
      <c r="C1488" s="2">
        <v>41421</v>
      </c>
      <c r="D1488" s="1" t="s">
        <v>2005</v>
      </c>
      <c r="E1488" s="1">
        <v>100839</v>
      </c>
      <c r="F1488" s="6" t="s">
        <v>3490</v>
      </c>
      <c r="G1488" s="15" t="str">
        <f>VLOOKUP(A1488,Movie!A:D,4,FALSE)</f>
        <v>Fox Searchlight</v>
      </c>
      <c r="H1488" s="14">
        <f>VLOOKUP(E1488,'Rental Transaction'!A:B,2,FALSE)</f>
        <v>464782</v>
      </c>
      <c r="I1488">
        <f t="shared" si="23"/>
        <v>2013</v>
      </c>
    </row>
    <row r="1489" spans="1:9">
      <c r="A1489" s="1">
        <v>10005</v>
      </c>
      <c r="B1489" s="1">
        <v>10</v>
      </c>
      <c r="C1489" s="2">
        <v>41423</v>
      </c>
      <c r="D1489" s="1" t="s">
        <v>2002</v>
      </c>
      <c r="E1489" s="1">
        <v>100839</v>
      </c>
      <c r="F1489" s="6" t="s">
        <v>3491</v>
      </c>
      <c r="G1489" s="15" t="str">
        <f>VLOOKUP(A1489,Movie!A:D,4,FALSE)</f>
        <v>Buena Vista</v>
      </c>
      <c r="H1489" s="14">
        <f>VLOOKUP(E1489,'Rental Transaction'!A:B,2,FALSE)</f>
        <v>464782</v>
      </c>
      <c r="I1489">
        <f t="shared" si="23"/>
        <v>2013</v>
      </c>
    </row>
    <row r="1490" spans="1:9">
      <c r="A1490" s="1">
        <v>10184</v>
      </c>
      <c r="B1490" s="1">
        <v>9</v>
      </c>
      <c r="C1490" s="2">
        <v>41421</v>
      </c>
      <c r="D1490" s="1" t="s">
        <v>2005</v>
      </c>
      <c r="E1490" s="1">
        <v>100840</v>
      </c>
      <c r="F1490" s="6" t="s">
        <v>3492</v>
      </c>
      <c r="G1490" s="15" t="str">
        <f>VLOOKUP(A1490,Movie!A:D,4,FALSE)</f>
        <v>Universal</v>
      </c>
      <c r="H1490" s="14">
        <f>VLOOKUP(E1490,'Rental Transaction'!A:B,2,FALSE)</f>
        <v>329994</v>
      </c>
      <c r="I1490">
        <f t="shared" si="23"/>
        <v>2013</v>
      </c>
    </row>
    <row r="1491" spans="1:9">
      <c r="A1491" s="1">
        <v>10110</v>
      </c>
      <c r="B1491" s="1">
        <v>4</v>
      </c>
      <c r="C1491" s="2">
        <v>41421</v>
      </c>
      <c r="D1491" s="1" t="s">
        <v>2005</v>
      </c>
      <c r="E1491" s="1">
        <v>100841</v>
      </c>
      <c r="F1491" s="6" t="s">
        <v>3493</v>
      </c>
      <c r="G1491" s="15" t="str">
        <f>VLOOKUP(A1491,Movie!A:D,4,FALSE)</f>
        <v>Warner Brothers</v>
      </c>
      <c r="H1491" s="14">
        <f>VLOOKUP(E1491,'Rental Transaction'!A:B,2,FALSE)</f>
        <v>116934</v>
      </c>
      <c r="I1491">
        <f t="shared" si="23"/>
        <v>2013</v>
      </c>
    </row>
    <row r="1492" spans="1:9">
      <c r="A1492" s="1">
        <v>10217</v>
      </c>
      <c r="B1492" s="1">
        <v>7</v>
      </c>
      <c r="C1492" s="2">
        <v>41421</v>
      </c>
      <c r="D1492" s="1" t="s">
        <v>2005</v>
      </c>
      <c r="E1492" s="1">
        <v>100841</v>
      </c>
      <c r="F1492" s="6" t="s">
        <v>3494</v>
      </c>
      <c r="G1492" s="15" t="str">
        <f>VLOOKUP(A1492,Movie!A:D,4,FALSE)</f>
        <v>Warner Brothers</v>
      </c>
      <c r="H1492" s="14">
        <f>VLOOKUP(E1492,'Rental Transaction'!A:B,2,FALSE)</f>
        <v>116934</v>
      </c>
      <c r="I1492">
        <f t="shared" si="23"/>
        <v>2013</v>
      </c>
    </row>
    <row r="1493" spans="1:9">
      <c r="A1493" s="1">
        <v>10099</v>
      </c>
      <c r="B1493" s="1">
        <v>3</v>
      </c>
      <c r="C1493" s="2">
        <v>41422</v>
      </c>
      <c r="D1493" s="1" t="s">
        <v>2002</v>
      </c>
      <c r="E1493" s="1">
        <v>100842</v>
      </c>
      <c r="F1493" s="6" t="s">
        <v>3495</v>
      </c>
      <c r="G1493" s="15" t="str">
        <f>VLOOKUP(A1493,Movie!A:D,4,FALSE)</f>
        <v>Lionsgate</v>
      </c>
      <c r="H1493" s="14">
        <f>VLOOKUP(E1493,'Rental Transaction'!A:B,2,FALSE)</f>
        <v>170500</v>
      </c>
      <c r="I1493">
        <f t="shared" si="23"/>
        <v>2013</v>
      </c>
    </row>
    <row r="1494" spans="1:9">
      <c r="A1494" s="1">
        <v>10269</v>
      </c>
      <c r="B1494" s="1">
        <v>6</v>
      </c>
      <c r="C1494" s="2">
        <v>41421</v>
      </c>
      <c r="D1494" s="1" t="s">
        <v>2002</v>
      </c>
      <c r="E1494" s="1">
        <v>100843</v>
      </c>
      <c r="F1494" s="6" t="s">
        <v>3496</v>
      </c>
      <c r="G1494" s="15" t="str">
        <f>VLOOKUP(A1494,Movie!A:D,4,FALSE)</f>
        <v>Buena Vista</v>
      </c>
      <c r="H1494" s="14">
        <f>VLOOKUP(E1494,'Rental Transaction'!A:B,2,FALSE)</f>
        <v>478274</v>
      </c>
      <c r="I1494">
        <f t="shared" si="23"/>
        <v>2013</v>
      </c>
    </row>
    <row r="1495" spans="1:9">
      <c r="A1495" s="1">
        <v>10115</v>
      </c>
      <c r="B1495" s="1">
        <v>10</v>
      </c>
      <c r="C1495" s="2">
        <v>41421</v>
      </c>
      <c r="D1495" s="1" t="s">
        <v>2002</v>
      </c>
      <c r="E1495" s="1">
        <v>100843</v>
      </c>
      <c r="F1495" s="6" t="s">
        <v>3497</v>
      </c>
      <c r="G1495" s="15" t="str">
        <f>VLOOKUP(A1495,Movie!A:D,4,FALSE)</f>
        <v>Open Road Films</v>
      </c>
      <c r="H1495" s="14">
        <f>VLOOKUP(E1495,'Rental Transaction'!A:B,2,FALSE)</f>
        <v>478274</v>
      </c>
      <c r="I1495">
        <f t="shared" si="23"/>
        <v>2013</v>
      </c>
    </row>
    <row r="1496" spans="1:9">
      <c r="A1496" s="1">
        <v>10080</v>
      </c>
      <c r="B1496" s="1">
        <v>10</v>
      </c>
      <c r="C1496" s="2">
        <v>41423</v>
      </c>
      <c r="D1496" s="1" t="s">
        <v>2005</v>
      </c>
      <c r="E1496" s="1">
        <v>100843</v>
      </c>
      <c r="F1496" s="6" t="s">
        <v>3498</v>
      </c>
      <c r="G1496" s="15" t="str">
        <f>VLOOKUP(A1496,Movie!A:D,4,FALSE)</f>
        <v>Buena Vista</v>
      </c>
      <c r="H1496" s="14">
        <f>VLOOKUP(E1496,'Rental Transaction'!A:B,2,FALSE)</f>
        <v>478274</v>
      </c>
      <c r="I1496">
        <f t="shared" si="23"/>
        <v>2013</v>
      </c>
    </row>
    <row r="1497" spans="1:9">
      <c r="A1497" s="1">
        <v>10250</v>
      </c>
      <c r="B1497" s="1">
        <v>4</v>
      </c>
      <c r="C1497" s="2">
        <v>41423</v>
      </c>
      <c r="D1497" s="1" t="s">
        <v>2002</v>
      </c>
      <c r="E1497" s="1">
        <v>100844</v>
      </c>
      <c r="F1497" s="6" t="s">
        <v>3499</v>
      </c>
      <c r="G1497" s="15" t="str">
        <f>VLOOKUP(A1497,Movie!A:D,4,FALSE)</f>
        <v>Buena Vista</v>
      </c>
      <c r="H1497" s="14">
        <f>VLOOKUP(E1497,'Rental Transaction'!A:B,2,FALSE)</f>
        <v>178806</v>
      </c>
      <c r="I1497">
        <f t="shared" si="23"/>
        <v>2013</v>
      </c>
    </row>
    <row r="1498" spans="1:9">
      <c r="A1498" s="1">
        <v>10284</v>
      </c>
      <c r="B1498" s="1">
        <v>10</v>
      </c>
      <c r="C1498" s="2">
        <v>41424</v>
      </c>
      <c r="D1498" s="1" t="s">
        <v>2002</v>
      </c>
      <c r="E1498" s="1">
        <v>100844</v>
      </c>
      <c r="F1498" s="6" t="s">
        <v>3500</v>
      </c>
      <c r="G1498" s="15" t="str">
        <f>VLOOKUP(A1498,Movie!A:D,4,FALSE)</f>
        <v>Focus</v>
      </c>
      <c r="H1498" s="14">
        <f>VLOOKUP(E1498,'Rental Transaction'!A:B,2,FALSE)</f>
        <v>178806</v>
      </c>
      <c r="I1498">
        <f t="shared" si="23"/>
        <v>2013</v>
      </c>
    </row>
    <row r="1499" spans="1:9">
      <c r="A1499" s="1">
        <v>10132</v>
      </c>
      <c r="B1499" s="1">
        <v>5</v>
      </c>
      <c r="C1499" s="2">
        <v>41422</v>
      </c>
      <c r="D1499" s="1" t="s">
        <v>2005</v>
      </c>
      <c r="E1499" s="1">
        <v>100845</v>
      </c>
      <c r="F1499" s="6" t="s">
        <v>3501</v>
      </c>
      <c r="G1499" s="15" t="str">
        <f>VLOOKUP(A1499,Movie!A:D,4,FALSE)</f>
        <v>Lionsgate</v>
      </c>
      <c r="H1499" s="14">
        <f>VLOOKUP(E1499,'Rental Transaction'!A:B,2,FALSE)</f>
        <v>253106</v>
      </c>
      <c r="I1499">
        <f t="shared" si="23"/>
        <v>2013</v>
      </c>
    </row>
    <row r="1500" spans="1:9">
      <c r="A1500" s="1">
        <v>10180</v>
      </c>
      <c r="B1500" s="1">
        <v>9</v>
      </c>
      <c r="C1500" s="2">
        <v>41422</v>
      </c>
      <c r="D1500" s="1" t="s">
        <v>2002</v>
      </c>
      <c r="E1500" s="1">
        <v>100846</v>
      </c>
      <c r="F1500" s="6" t="s">
        <v>3502</v>
      </c>
      <c r="G1500" s="15" t="str">
        <f>VLOOKUP(A1500,Movie!A:D,4,FALSE)</f>
        <v>Relativity</v>
      </c>
      <c r="H1500" s="14">
        <f>VLOOKUP(E1500,'Rental Transaction'!A:B,2,FALSE)</f>
        <v>676018</v>
      </c>
      <c r="I1500">
        <f t="shared" si="23"/>
        <v>2013</v>
      </c>
    </row>
    <row r="1501" spans="1:9">
      <c r="A1501" s="1">
        <v>10271</v>
      </c>
      <c r="B1501" s="1">
        <v>5</v>
      </c>
      <c r="C1501" s="2">
        <v>41422</v>
      </c>
      <c r="D1501" s="1" t="s">
        <v>2002</v>
      </c>
      <c r="E1501" s="1">
        <v>100846</v>
      </c>
      <c r="F1501" s="6" t="s">
        <v>3503</v>
      </c>
      <c r="G1501" s="15" t="str">
        <f>VLOOKUP(A1501,Movie!A:D,4,FALSE)</f>
        <v>Universal</v>
      </c>
      <c r="H1501" s="14">
        <f>VLOOKUP(E1501,'Rental Transaction'!A:B,2,FALSE)</f>
        <v>676018</v>
      </c>
      <c r="I1501">
        <f t="shared" si="23"/>
        <v>2013</v>
      </c>
    </row>
    <row r="1502" spans="1:9" ht="29.25">
      <c r="A1502" s="1">
        <v>10136</v>
      </c>
      <c r="B1502" s="1">
        <v>9</v>
      </c>
      <c r="C1502" s="2">
        <v>41422</v>
      </c>
      <c r="D1502" s="1" t="s">
        <v>2002</v>
      </c>
      <c r="E1502" s="1">
        <v>100847</v>
      </c>
      <c r="F1502" s="6" t="s">
        <v>3504</v>
      </c>
      <c r="G1502" s="15" t="str">
        <f>VLOOKUP(A1502,Movie!A:D,4,FALSE)</f>
        <v>Weinstein Company</v>
      </c>
      <c r="H1502" s="14">
        <f>VLOOKUP(E1502,'Rental Transaction'!A:B,2,FALSE)</f>
        <v>199895</v>
      </c>
      <c r="I1502">
        <f t="shared" si="23"/>
        <v>2013</v>
      </c>
    </row>
    <row r="1503" spans="1:9">
      <c r="A1503" s="1">
        <v>10041</v>
      </c>
      <c r="B1503" s="1">
        <v>3</v>
      </c>
      <c r="C1503" s="2">
        <v>41422</v>
      </c>
      <c r="D1503" s="1" t="s">
        <v>2002</v>
      </c>
      <c r="E1503" s="1">
        <v>100847</v>
      </c>
      <c r="F1503" s="6" t="s">
        <v>3505</v>
      </c>
      <c r="G1503" s="15" t="str">
        <f>VLOOKUP(A1503,Movie!A:D,4,FALSE)</f>
        <v>Lionsgate</v>
      </c>
      <c r="H1503" s="14">
        <f>VLOOKUP(E1503,'Rental Transaction'!A:B,2,FALSE)</f>
        <v>199895</v>
      </c>
      <c r="I1503">
        <f t="shared" si="23"/>
        <v>2013</v>
      </c>
    </row>
    <row r="1504" spans="1:9">
      <c r="A1504" s="1">
        <v>10058</v>
      </c>
      <c r="B1504" s="1">
        <v>3</v>
      </c>
      <c r="C1504" s="2">
        <v>41423</v>
      </c>
      <c r="D1504" s="1" t="s">
        <v>2002</v>
      </c>
      <c r="E1504" s="1">
        <v>100848</v>
      </c>
      <c r="F1504" s="6" t="s">
        <v>3506</v>
      </c>
      <c r="G1504" s="15" t="str">
        <f>VLOOKUP(A1504,Movie!A:D,4,FALSE)</f>
        <v>Sony</v>
      </c>
      <c r="H1504" s="14">
        <f>VLOOKUP(E1504,'Rental Transaction'!A:B,2,FALSE)</f>
        <v>932618</v>
      </c>
      <c r="I1504">
        <f t="shared" si="23"/>
        <v>2013</v>
      </c>
    </row>
    <row r="1505" spans="1:9">
      <c r="A1505" s="1">
        <v>10262</v>
      </c>
      <c r="B1505" s="1">
        <v>9</v>
      </c>
      <c r="C1505" s="2">
        <v>41423</v>
      </c>
      <c r="D1505" s="1" t="s">
        <v>2002</v>
      </c>
      <c r="E1505" s="1">
        <v>100848</v>
      </c>
      <c r="F1505" s="6" t="s">
        <v>3507</v>
      </c>
      <c r="G1505" s="15" t="str">
        <f>VLOOKUP(A1505,Movie!A:D,4,FALSE)</f>
        <v>Lionsgate</v>
      </c>
      <c r="H1505" s="14">
        <f>VLOOKUP(E1505,'Rental Transaction'!A:B,2,FALSE)</f>
        <v>932618</v>
      </c>
      <c r="I1505">
        <f t="shared" si="23"/>
        <v>2013</v>
      </c>
    </row>
    <row r="1506" spans="1:9">
      <c r="A1506" s="1">
        <v>10097</v>
      </c>
      <c r="B1506" s="1">
        <v>3</v>
      </c>
      <c r="C1506" s="2">
        <v>41424</v>
      </c>
      <c r="D1506" s="1" t="s">
        <v>2002</v>
      </c>
      <c r="E1506" s="1">
        <v>100849</v>
      </c>
      <c r="F1506" s="6" t="s">
        <v>3508</v>
      </c>
      <c r="G1506" s="15" t="str">
        <f>VLOOKUP(A1506,Movie!A:D,4,FALSE)</f>
        <v>Screen Gems</v>
      </c>
      <c r="H1506" s="14">
        <f>VLOOKUP(E1506,'Rental Transaction'!A:B,2,FALSE)</f>
        <v>932618</v>
      </c>
      <c r="I1506">
        <f t="shared" si="23"/>
        <v>2013</v>
      </c>
    </row>
    <row r="1507" spans="1:9">
      <c r="A1507" s="1">
        <v>10213</v>
      </c>
      <c r="B1507" s="1">
        <v>6</v>
      </c>
      <c r="C1507" s="2">
        <v>41423</v>
      </c>
      <c r="D1507" s="1" t="s">
        <v>2002</v>
      </c>
      <c r="E1507" s="1">
        <v>100850</v>
      </c>
      <c r="F1507" s="6" t="s">
        <v>3509</v>
      </c>
      <c r="G1507" s="15" t="str">
        <f>VLOOKUP(A1507,Movie!A:D,4,FALSE)</f>
        <v>Sony</v>
      </c>
      <c r="H1507" s="14">
        <f>VLOOKUP(E1507,'Rental Transaction'!A:B,2,FALSE)</f>
        <v>785444</v>
      </c>
      <c r="I1507">
        <f t="shared" si="23"/>
        <v>2013</v>
      </c>
    </row>
    <row r="1508" spans="1:9">
      <c r="A1508" s="1">
        <v>10110</v>
      </c>
      <c r="B1508" s="1">
        <v>7</v>
      </c>
      <c r="C1508" s="2">
        <v>41424</v>
      </c>
      <c r="D1508" s="1" t="s">
        <v>2005</v>
      </c>
      <c r="E1508" s="1">
        <v>100851</v>
      </c>
      <c r="F1508" s="6" t="s">
        <v>3510</v>
      </c>
      <c r="G1508" s="15" t="str">
        <f>VLOOKUP(A1508,Movie!A:D,4,FALSE)</f>
        <v>Warner Brothers</v>
      </c>
      <c r="H1508" s="14">
        <f>VLOOKUP(E1508,'Rental Transaction'!A:B,2,FALSE)</f>
        <v>616028</v>
      </c>
      <c r="I1508">
        <f t="shared" si="23"/>
        <v>2013</v>
      </c>
    </row>
    <row r="1509" spans="1:9" ht="29.25">
      <c r="A1509" s="1">
        <v>10164</v>
      </c>
      <c r="B1509" s="1">
        <v>7</v>
      </c>
      <c r="C1509" s="2">
        <v>41423</v>
      </c>
      <c r="D1509" s="1" t="s">
        <v>2005</v>
      </c>
      <c r="E1509" s="1">
        <v>100851</v>
      </c>
      <c r="F1509" s="6" t="s">
        <v>3511</v>
      </c>
      <c r="G1509" s="15" t="str">
        <f>VLOOKUP(A1509,Movie!A:D,4,FALSE)</f>
        <v>Weinstein Company</v>
      </c>
      <c r="H1509" s="14">
        <f>VLOOKUP(E1509,'Rental Transaction'!A:B,2,FALSE)</f>
        <v>616028</v>
      </c>
      <c r="I1509">
        <f t="shared" si="23"/>
        <v>2013</v>
      </c>
    </row>
    <row r="1510" spans="1:9">
      <c r="A1510" s="1">
        <v>10011</v>
      </c>
      <c r="B1510" s="1">
        <v>5</v>
      </c>
      <c r="C1510" s="2">
        <v>41423</v>
      </c>
      <c r="D1510" s="1" t="s">
        <v>2005</v>
      </c>
      <c r="E1510" s="1">
        <v>100852</v>
      </c>
      <c r="F1510" s="6" t="s">
        <v>3512</v>
      </c>
      <c r="G1510" s="15" t="str">
        <f>VLOOKUP(A1510,Movie!A:D,4,FALSE)</f>
        <v>Buena Vista</v>
      </c>
      <c r="H1510" s="14">
        <f>VLOOKUP(E1510,'Rental Transaction'!A:B,2,FALSE)</f>
        <v>694281</v>
      </c>
      <c r="I1510">
        <f t="shared" si="23"/>
        <v>2013</v>
      </c>
    </row>
    <row r="1511" spans="1:9">
      <c r="A1511" s="1">
        <v>10073</v>
      </c>
      <c r="B1511" s="1">
        <v>1</v>
      </c>
      <c r="C1511" s="2">
        <v>41423</v>
      </c>
      <c r="D1511" s="1" t="s">
        <v>2005</v>
      </c>
      <c r="E1511" s="1">
        <v>100852</v>
      </c>
      <c r="F1511" s="6" t="s">
        <v>3513</v>
      </c>
      <c r="G1511" s="15" t="str">
        <f>VLOOKUP(A1511,Movie!A:D,4,FALSE)</f>
        <v>FilmDistrict</v>
      </c>
      <c r="H1511" s="14">
        <f>VLOOKUP(E1511,'Rental Transaction'!A:B,2,FALSE)</f>
        <v>694281</v>
      </c>
      <c r="I1511">
        <f t="shared" si="23"/>
        <v>2013</v>
      </c>
    </row>
    <row r="1512" spans="1:9">
      <c r="A1512" s="1">
        <v>10193</v>
      </c>
      <c r="B1512" s="1">
        <v>3</v>
      </c>
      <c r="C1512" s="2">
        <v>41424</v>
      </c>
      <c r="D1512" s="1" t="s">
        <v>2005</v>
      </c>
      <c r="E1512" s="1">
        <v>100853</v>
      </c>
      <c r="F1512" s="6" t="s">
        <v>3514</v>
      </c>
      <c r="G1512" s="15" t="str">
        <f>VLOOKUP(A1512,Movie!A:D,4,FALSE)</f>
        <v>Fox</v>
      </c>
      <c r="H1512" s="14">
        <f>VLOOKUP(E1512,'Rental Transaction'!A:B,2,FALSE)</f>
        <v>649551</v>
      </c>
      <c r="I1512">
        <f t="shared" si="23"/>
        <v>2013</v>
      </c>
    </row>
    <row r="1513" spans="1:9">
      <c r="A1513" s="1">
        <v>10288</v>
      </c>
      <c r="B1513" s="1">
        <v>8</v>
      </c>
      <c r="C1513" s="2">
        <v>41423</v>
      </c>
      <c r="D1513" s="1" t="s">
        <v>2005</v>
      </c>
      <c r="E1513" s="1">
        <v>100853</v>
      </c>
      <c r="F1513" s="6" t="s">
        <v>3515</v>
      </c>
      <c r="G1513" s="15" t="str">
        <f>VLOOKUP(A1513,Movie!A:D,4,FALSE)</f>
        <v>Relativity</v>
      </c>
      <c r="H1513" s="14">
        <f>VLOOKUP(E1513,'Rental Transaction'!A:B,2,FALSE)</f>
        <v>649551</v>
      </c>
      <c r="I1513">
        <f t="shared" si="23"/>
        <v>2013</v>
      </c>
    </row>
    <row r="1514" spans="1:9">
      <c r="A1514" s="1">
        <v>10202</v>
      </c>
      <c r="B1514" s="1">
        <v>9</v>
      </c>
      <c r="C1514" s="2">
        <v>41423</v>
      </c>
      <c r="D1514" s="1" t="s">
        <v>2002</v>
      </c>
      <c r="E1514" s="1">
        <v>100853</v>
      </c>
      <c r="F1514" s="6" t="s">
        <v>3516</v>
      </c>
      <c r="G1514" s="15" t="str">
        <f>VLOOKUP(A1514,Movie!A:D,4,FALSE)</f>
        <v>Warner Brothers</v>
      </c>
      <c r="H1514" s="14">
        <f>VLOOKUP(E1514,'Rental Transaction'!A:B,2,FALSE)</f>
        <v>649551</v>
      </c>
      <c r="I1514">
        <f t="shared" si="23"/>
        <v>2013</v>
      </c>
    </row>
    <row r="1515" spans="1:9">
      <c r="A1515" s="1">
        <v>10023</v>
      </c>
      <c r="B1515" s="1">
        <v>10</v>
      </c>
      <c r="C1515" s="2">
        <v>41423</v>
      </c>
      <c r="D1515" s="1" t="s">
        <v>2002</v>
      </c>
      <c r="E1515" s="1">
        <v>100854</v>
      </c>
      <c r="F1515" s="6" t="s">
        <v>3517</v>
      </c>
      <c r="G1515" s="15" t="str">
        <f>VLOOKUP(A1515,Movie!A:D,4,FALSE)</f>
        <v>Buena Vista</v>
      </c>
      <c r="H1515" s="14">
        <f>VLOOKUP(E1515,'Rental Transaction'!A:B,2,FALSE)</f>
        <v>200272</v>
      </c>
      <c r="I1515">
        <f t="shared" si="23"/>
        <v>2013</v>
      </c>
    </row>
    <row r="1516" spans="1:9">
      <c r="A1516" s="1">
        <v>10255</v>
      </c>
      <c r="B1516" s="1">
        <v>10</v>
      </c>
      <c r="C1516" s="2">
        <v>41424</v>
      </c>
      <c r="D1516" s="1" t="s">
        <v>2005</v>
      </c>
      <c r="E1516" s="1">
        <v>100854</v>
      </c>
      <c r="F1516" s="6" t="s">
        <v>3518</v>
      </c>
      <c r="G1516" s="15" t="str">
        <f>VLOOKUP(A1516,Movie!A:D,4,FALSE)</f>
        <v>Paramount</v>
      </c>
      <c r="H1516" s="14">
        <f>VLOOKUP(E1516,'Rental Transaction'!A:B,2,FALSE)</f>
        <v>200272</v>
      </c>
      <c r="I1516">
        <f t="shared" si="23"/>
        <v>2013</v>
      </c>
    </row>
    <row r="1517" spans="1:9">
      <c r="A1517" s="1">
        <v>10018</v>
      </c>
      <c r="B1517" s="1">
        <v>6</v>
      </c>
      <c r="C1517" s="2">
        <v>41424</v>
      </c>
      <c r="D1517" s="1" t="s">
        <v>2002</v>
      </c>
      <c r="E1517" s="1">
        <v>100855</v>
      </c>
      <c r="F1517" s="6" t="s">
        <v>3519</v>
      </c>
      <c r="G1517" s="15" t="str">
        <f>VLOOKUP(A1517,Movie!A:D,4,FALSE)</f>
        <v>Fox</v>
      </c>
      <c r="H1517" s="14">
        <f>VLOOKUP(E1517,'Rental Transaction'!A:B,2,FALSE)</f>
        <v>938393</v>
      </c>
      <c r="I1517">
        <f t="shared" si="23"/>
        <v>2013</v>
      </c>
    </row>
    <row r="1518" spans="1:9">
      <c r="A1518" s="1">
        <v>10076</v>
      </c>
      <c r="B1518" s="1">
        <v>7</v>
      </c>
      <c r="C1518" s="2">
        <v>41424</v>
      </c>
      <c r="D1518" s="1" t="s">
        <v>2005</v>
      </c>
      <c r="E1518" s="1">
        <v>100856</v>
      </c>
      <c r="F1518" s="6" t="s">
        <v>3520</v>
      </c>
      <c r="G1518" s="15" t="str">
        <f>VLOOKUP(A1518,Movie!A:D,4,FALSE)</f>
        <v>Sony</v>
      </c>
      <c r="H1518" s="14">
        <f>VLOOKUP(E1518,'Rental Transaction'!A:B,2,FALSE)</f>
        <v>825249</v>
      </c>
      <c r="I1518">
        <f t="shared" si="23"/>
        <v>2013</v>
      </c>
    </row>
    <row r="1519" spans="1:9" ht="29.25">
      <c r="A1519" s="1">
        <v>10095</v>
      </c>
      <c r="B1519" s="1">
        <v>3</v>
      </c>
      <c r="C1519" s="2">
        <v>41423</v>
      </c>
      <c r="D1519" s="1" t="s">
        <v>2005</v>
      </c>
      <c r="E1519" s="1">
        <v>100856</v>
      </c>
      <c r="F1519" s="6" t="s">
        <v>3521</v>
      </c>
      <c r="G1519" s="15" t="str">
        <f>VLOOKUP(A1519,Movie!A:D,4,FALSE)</f>
        <v>Weinstein Company</v>
      </c>
      <c r="H1519" s="14">
        <f>VLOOKUP(E1519,'Rental Transaction'!A:B,2,FALSE)</f>
        <v>825249</v>
      </c>
      <c r="I1519">
        <f t="shared" si="23"/>
        <v>2013</v>
      </c>
    </row>
    <row r="1520" spans="1:9">
      <c r="A1520" s="1">
        <v>10064</v>
      </c>
      <c r="B1520" s="1">
        <v>6</v>
      </c>
      <c r="C1520" s="2">
        <v>41424</v>
      </c>
      <c r="D1520" s="1" t="s">
        <v>2005</v>
      </c>
      <c r="E1520" s="1">
        <v>100857</v>
      </c>
      <c r="F1520" s="6" t="s">
        <v>3522</v>
      </c>
      <c r="G1520" s="15" t="str">
        <f>VLOOKUP(A1520,Movie!A:D,4,FALSE)</f>
        <v>Universal</v>
      </c>
      <c r="H1520" s="14">
        <f>VLOOKUP(E1520,'Rental Transaction'!A:B,2,FALSE)</f>
        <v>742620</v>
      </c>
      <c r="I1520">
        <f t="shared" si="23"/>
        <v>2013</v>
      </c>
    </row>
    <row r="1521" spans="1:9">
      <c r="A1521" s="1">
        <v>10097</v>
      </c>
      <c r="B1521" s="1">
        <v>6</v>
      </c>
      <c r="C1521" s="2">
        <v>41424</v>
      </c>
      <c r="D1521" s="1" t="s">
        <v>2002</v>
      </c>
      <c r="E1521" s="1">
        <v>100857</v>
      </c>
      <c r="F1521" s="6" t="s">
        <v>3523</v>
      </c>
      <c r="G1521" s="15" t="str">
        <f>VLOOKUP(A1521,Movie!A:D,4,FALSE)</f>
        <v>Screen Gems</v>
      </c>
      <c r="H1521" s="14">
        <f>VLOOKUP(E1521,'Rental Transaction'!A:B,2,FALSE)</f>
        <v>742620</v>
      </c>
      <c r="I1521">
        <f t="shared" si="23"/>
        <v>2013</v>
      </c>
    </row>
    <row r="1522" spans="1:9">
      <c r="A1522" s="1">
        <v>10231</v>
      </c>
      <c r="B1522" s="1">
        <v>8</v>
      </c>
      <c r="C1522" s="2">
        <v>41425</v>
      </c>
      <c r="D1522" s="1" t="s">
        <v>2005</v>
      </c>
      <c r="E1522" s="1">
        <v>100857</v>
      </c>
      <c r="F1522" s="6" t="s">
        <v>3524</v>
      </c>
      <c r="G1522" s="15" t="str">
        <f>VLOOKUP(A1522,Movie!A:D,4,FALSE)</f>
        <v>Universal</v>
      </c>
      <c r="H1522" s="14">
        <f>VLOOKUP(E1522,'Rental Transaction'!A:B,2,FALSE)</f>
        <v>742620</v>
      </c>
      <c r="I1522">
        <f t="shared" si="23"/>
        <v>2013</v>
      </c>
    </row>
    <row r="1523" spans="1:9">
      <c r="A1523" s="1">
        <v>10090</v>
      </c>
      <c r="B1523" s="1">
        <v>8</v>
      </c>
      <c r="C1523" s="2">
        <v>41424</v>
      </c>
      <c r="D1523" s="1" t="s">
        <v>2002</v>
      </c>
      <c r="E1523" s="1">
        <v>100858</v>
      </c>
      <c r="F1523" s="6" t="s">
        <v>3525</v>
      </c>
      <c r="G1523" s="15" t="str">
        <f>VLOOKUP(A1523,Movie!A:D,4,FALSE)</f>
        <v>Paramount</v>
      </c>
      <c r="H1523" s="14">
        <f>VLOOKUP(E1523,'Rental Transaction'!A:B,2,FALSE)</f>
        <v>414509</v>
      </c>
      <c r="I1523">
        <f t="shared" si="23"/>
        <v>2013</v>
      </c>
    </row>
    <row r="1524" spans="1:9">
      <c r="A1524" s="1">
        <v>10003</v>
      </c>
      <c r="B1524" s="1">
        <v>9</v>
      </c>
      <c r="C1524" s="2">
        <v>41424</v>
      </c>
      <c r="D1524" s="1" t="s">
        <v>2005</v>
      </c>
      <c r="E1524" s="1">
        <v>100859</v>
      </c>
      <c r="F1524" s="6" t="s">
        <v>3526</v>
      </c>
      <c r="G1524" s="15" t="str">
        <f>VLOOKUP(A1524,Movie!A:D,4,FALSE)</f>
        <v>Paramount</v>
      </c>
      <c r="H1524" s="14">
        <f>VLOOKUP(E1524,'Rental Transaction'!A:B,2,FALSE)</f>
        <v>242720</v>
      </c>
      <c r="I1524">
        <f t="shared" si="23"/>
        <v>2013</v>
      </c>
    </row>
    <row r="1525" spans="1:9">
      <c r="A1525" s="1">
        <v>10102</v>
      </c>
      <c r="B1525" s="1">
        <v>7</v>
      </c>
      <c r="C1525" s="2">
        <v>41426</v>
      </c>
      <c r="D1525" s="1" t="s">
        <v>2002</v>
      </c>
      <c r="E1525" s="1">
        <v>100860</v>
      </c>
      <c r="F1525" s="6" t="s">
        <v>3527</v>
      </c>
      <c r="G1525" s="15" t="str">
        <f>VLOOKUP(A1525,Movie!A:D,4,FALSE)</f>
        <v>Universal</v>
      </c>
      <c r="H1525" s="14">
        <f>VLOOKUP(E1525,'Rental Transaction'!A:B,2,FALSE)</f>
        <v>256181</v>
      </c>
      <c r="I1525">
        <f t="shared" si="23"/>
        <v>2013</v>
      </c>
    </row>
    <row r="1526" spans="1:9">
      <c r="A1526" s="1">
        <v>10030</v>
      </c>
      <c r="B1526" s="1">
        <v>10</v>
      </c>
      <c r="C1526" s="2">
        <v>41425</v>
      </c>
      <c r="D1526" s="1" t="s">
        <v>2005</v>
      </c>
      <c r="E1526" s="1">
        <v>100861</v>
      </c>
      <c r="F1526" s="6" t="s">
        <v>3528</v>
      </c>
      <c r="G1526" s="15" t="str">
        <f>VLOOKUP(A1526,Movie!A:D,4,FALSE)</f>
        <v>Warner Brothers</v>
      </c>
      <c r="H1526" s="14">
        <f>VLOOKUP(E1526,'Rental Transaction'!A:B,2,FALSE)</f>
        <v>611848</v>
      </c>
      <c r="I1526">
        <f t="shared" si="23"/>
        <v>2013</v>
      </c>
    </row>
    <row r="1527" spans="1:9">
      <c r="A1527" s="1">
        <v>10027</v>
      </c>
      <c r="B1527" s="1">
        <v>3</v>
      </c>
      <c r="C1527" s="2">
        <v>41425</v>
      </c>
      <c r="D1527" s="1" t="s">
        <v>2002</v>
      </c>
      <c r="E1527" s="1">
        <v>100861</v>
      </c>
      <c r="F1527" s="6" t="s">
        <v>3529</v>
      </c>
      <c r="G1527" s="15" t="str">
        <f>VLOOKUP(A1527,Movie!A:D,4,FALSE)</f>
        <v>FilmDistrict</v>
      </c>
      <c r="H1527" s="14">
        <f>VLOOKUP(E1527,'Rental Transaction'!A:B,2,FALSE)</f>
        <v>611848</v>
      </c>
      <c r="I1527">
        <f t="shared" si="23"/>
        <v>2013</v>
      </c>
    </row>
    <row r="1528" spans="1:9">
      <c r="A1528" s="1">
        <v>10241</v>
      </c>
      <c r="B1528" s="1">
        <v>7</v>
      </c>
      <c r="C1528" s="2">
        <v>41425</v>
      </c>
      <c r="D1528" s="1" t="s">
        <v>2002</v>
      </c>
      <c r="E1528" s="1">
        <v>100861</v>
      </c>
      <c r="F1528" s="6" t="s">
        <v>3530</v>
      </c>
      <c r="G1528" s="15" t="str">
        <f>VLOOKUP(A1528,Movie!A:D,4,FALSE)</f>
        <v>Warner Brothers</v>
      </c>
      <c r="H1528" s="14">
        <f>VLOOKUP(E1528,'Rental Transaction'!A:B,2,FALSE)</f>
        <v>611848</v>
      </c>
      <c r="I1528">
        <f t="shared" si="23"/>
        <v>2013</v>
      </c>
    </row>
    <row r="1529" spans="1:9">
      <c r="A1529" s="1">
        <v>10266</v>
      </c>
      <c r="B1529" s="1">
        <v>1</v>
      </c>
      <c r="C1529" s="2">
        <v>41425</v>
      </c>
      <c r="D1529" s="1" t="s">
        <v>2002</v>
      </c>
      <c r="E1529" s="1">
        <v>100862</v>
      </c>
      <c r="F1529" s="6" t="s">
        <v>3531</v>
      </c>
      <c r="G1529" s="15" t="str">
        <f>VLOOKUP(A1529,Movie!A:D,4,FALSE)</f>
        <v>Sony</v>
      </c>
      <c r="H1529" s="14">
        <f>VLOOKUP(E1529,'Rental Transaction'!A:B,2,FALSE)</f>
        <v>441628</v>
      </c>
      <c r="I1529">
        <f t="shared" si="23"/>
        <v>2013</v>
      </c>
    </row>
    <row r="1530" spans="1:9">
      <c r="A1530" s="1">
        <v>10056</v>
      </c>
      <c r="B1530" s="1">
        <v>3</v>
      </c>
      <c r="C1530" s="2">
        <v>41425</v>
      </c>
      <c r="D1530" s="1" t="s">
        <v>2002</v>
      </c>
      <c r="E1530" s="1">
        <v>100863</v>
      </c>
      <c r="F1530" s="6" t="s">
        <v>3532</v>
      </c>
      <c r="G1530" s="15" t="str">
        <f>VLOOKUP(A1530,Movie!A:D,4,FALSE)</f>
        <v>Screen Gems</v>
      </c>
      <c r="H1530" s="14">
        <f>VLOOKUP(E1530,'Rental Transaction'!A:B,2,FALSE)</f>
        <v>818287</v>
      </c>
      <c r="I1530">
        <f t="shared" si="23"/>
        <v>2013</v>
      </c>
    </row>
    <row r="1531" spans="1:9">
      <c r="A1531" s="1">
        <v>10114</v>
      </c>
      <c r="B1531" s="1">
        <v>5</v>
      </c>
      <c r="C1531" s="2">
        <v>41425</v>
      </c>
      <c r="D1531" s="1" t="s">
        <v>2002</v>
      </c>
      <c r="E1531" s="1">
        <v>100863</v>
      </c>
      <c r="F1531" s="6" t="s">
        <v>3533</v>
      </c>
      <c r="G1531" s="15" t="str">
        <f>VLOOKUP(A1531,Movie!A:D,4,FALSE)</f>
        <v>Lionsgate</v>
      </c>
      <c r="H1531" s="14">
        <f>VLOOKUP(E1531,'Rental Transaction'!A:B,2,FALSE)</f>
        <v>818287</v>
      </c>
      <c r="I1531">
        <f t="shared" si="23"/>
        <v>2013</v>
      </c>
    </row>
    <row r="1532" spans="1:9">
      <c r="A1532" s="1">
        <v>10286</v>
      </c>
      <c r="B1532" s="1">
        <v>1</v>
      </c>
      <c r="C1532" s="2">
        <v>41426</v>
      </c>
      <c r="D1532" s="1" t="s">
        <v>2002</v>
      </c>
      <c r="E1532" s="1">
        <v>100864</v>
      </c>
      <c r="F1532" s="6" t="s">
        <v>3534</v>
      </c>
      <c r="G1532" s="15" t="str">
        <f>VLOOKUP(A1532,Movie!A:D,4,FALSE)</f>
        <v>Fox Searchlight</v>
      </c>
      <c r="H1532" s="14">
        <f>VLOOKUP(E1532,'Rental Transaction'!A:B,2,FALSE)</f>
        <v>912671</v>
      </c>
      <c r="I1532">
        <f t="shared" si="23"/>
        <v>2013</v>
      </c>
    </row>
    <row r="1533" spans="1:9">
      <c r="A1533" s="1">
        <v>10003</v>
      </c>
      <c r="B1533" s="1">
        <v>9</v>
      </c>
      <c r="C1533" s="2">
        <v>41425</v>
      </c>
      <c r="D1533" s="1" t="s">
        <v>2002</v>
      </c>
      <c r="E1533" s="1">
        <v>100864</v>
      </c>
      <c r="F1533" s="6" t="s">
        <v>3535</v>
      </c>
      <c r="G1533" s="15" t="str">
        <f>VLOOKUP(A1533,Movie!A:D,4,FALSE)</f>
        <v>Paramount</v>
      </c>
      <c r="H1533" s="14">
        <f>VLOOKUP(E1533,'Rental Transaction'!A:B,2,FALSE)</f>
        <v>912671</v>
      </c>
      <c r="I1533">
        <f t="shared" si="23"/>
        <v>2013</v>
      </c>
    </row>
    <row r="1534" spans="1:9">
      <c r="A1534" s="1">
        <v>10014</v>
      </c>
      <c r="B1534" s="1">
        <v>3</v>
      </c>
      <c r="C1534" s="2">
        <v>41425</v>
      </c>
      <c r="D1534" s="1" t="s">
        <v>2002</v>
      </c>
      <c r="E1534" s="1">
        <v>100865</v>
      </c>
      <c r="F1534" s="6" t="s">
        <v>3536</v>
      </c>
      <c r="G1534" s="15" t="str">
        <f>VLOOKUP(A1534,Movie!A:D,4,FALSE)</f>
        <v>Warner Brothers</v>
      </c>
      <c r="H1534" s="14">
        <f>VLOOKUP(E1534,'Rental Transaction'!A:B,2,FALSE)</f>
        <v>253106</v>
      </c>
      <c r="I1534">
        <f t="shared" si="23"/>
        <v>2013</v>
      </c>
    </row>
    <row r="1535" spans="1:9">
      <c r="A1535" s="1">
        <v>10199</v>
      </c>
      <c r="B1535" s="1">
        <v>2</v>
      </c>
      <c r="C1535" s="2">
        <v>41426</v>
      </c>
      <c r="D1535" s="1" t="s">
        <v>2002</v>
      </c>
      <c r="E1535" s="1">
        <v>100866</v>
      </c>
      <c r="F1535" s="6" t="s">
        <v>3537</v>
      </c>
      <c r="G1535" s="15" t="str">
        <f>VLOOKUP(A1535,Movie!A:D,4,FALSE)</f>
        <v>Lionsgate</v>
      </c>
      <c r="H1535" s="14">
        <f>VLOOKUP(E1535,'Rental Transaction'!A:B,2,FALSE)</f>
        <v>276549</v>
      </c>
      <c r="I1535">
        <f t="shared" si="23"/>
        <v>2013</v>
      </c>
    </row>
    <row r="1536" spans="1:9">
      <c r="A1536" s="1">
        <v>10274</v>
      </c>
      <c r="B1536" s="1">
        <v>3</v>
      </c>
      <c r="C1536" s="2">
        <v>41425</v>
      </c>
      <c r="D1536" s="1" t="s">
        <v>2002</v>
      </c>
      <c r="E1536" s="1">
        <v>100866</v>
      </c>
      <c r="F1536" s="6" t="s">
        <v>3538</v>
      </c>
      <c r="G1536" s="15" t="str">
        <f>VLOOKUP(A1536,Movie!A:D,4,FALSE)</f>
        <v>Fox</v>
      </c>
      <c r="H1536" s="14">
        <f>VLOOKUP(E1536,'Rental Transaction'!A:B,2,FALSE)</f>
        <v>276549</v>
      </c>
      <c r="I1536">
        <f t="shared" si="23"/>
        <v>2013</v>
      </c>
    </row>
    <row r="1537" spans="1:9">
      <c r="A1537" s="1">
        <v>10119</v>
      </c>
      <c r="B1537" s="1">
        <v>8</v>
      </c>
      <c r="C1537" s="2">
        <v>41425</v>
      </c>
      <c r="D1537" s="1" t="s">
        <v>2002</v>
      </c>
      <c r="E1537" s="1">
        <v>100866</v>
      </c>
      <c r="F1537" s="6" t="s">
        <v>3539</v>
      </c>
      <c r="G1537" s="15" t="str">
        <f>VLOOKUP(A1537,Movie!A:D,4,FALSE)</f>
        <v>Universal</v>
      </c>
      <c r="H1537" s="14">
        <f>VLOOKUP(E1537,'Rental Transaction'!A:B,2,FALSE)</f>
        <v>276549</v>
      </c>
      <c r="I1537">
        <f t="shared" si="23"/>
        <v>2013</v>
      </c>
    </row>
    <row r="1538" spans="1:9">
      <c r="A1538" s="1">
        <v>10063</v>
      </c>
      <c r="B1538" s="1">
        <v>1</v>
      </c>
      <c r="C1538" s="2">
        <v>41425</v>
      </c>
      <c r="D1538" s="1" t="s">
        <v>2002</v>
      </c>
      <c r="E1538" s="1">
        <v>100867</v>
      </c>
      <c r="F1538" s="6" t="s">
        <v>3540</v>
      </c>
      <c r="G1538" s="15" t="str">
        <f>VLOOKUP(A1538,Movie!A:D,4,FALSE)</f>
        <v>CBS Films</v>
      </c>
      <c r="H1538" s="14">
        <f>VLOOKUP(E1538,'Rental Transaction'!A:B,2,FALSE)</f>
        <v>302774</v>
      </c>
      <c r="I1538">
        <f t="shared" si="23"/>
        <v>2013</v>
      </c>
    </row>
    <row r="1539" spans="1:9">
      <c r="A1539" s="1">
        <v>10237</v>
      </c>
      <c r="B1539" s="1">
        <v>1</v>
      </c>
      <c r="C1539" s="2">
        <v>41425</v>
      </c>
      <c r="D1539" s="1" t="s">
        <v>2005</v>
      </c>
      <c r="E1539" s="1">
        <v>100867</v>
      </c>
      <c r="F1539" s="6" t="s">
        <v>3541</v>
      </c>
      <c r="G1539" s="15" t="str">
        <f>VLOOKUP(A1539,Movie!A:D,4,FALSE)</f>
        <v>Warner Brothers</v>
      </c>
      <c r="H1539" s="14">
        <f>VLOOKUP(E1539,'Rental Transaction'!A:B,2,FALSE)</f>
        <v>302774</v>
      </c>
      <c r="I1539">
        <f t="shared" ref="I1539:I1602" si="24">YEAR(C1539)</f>
        <v>2013</v>
      </c>
    </row>
    <row r="1540" spans="1:9" ht="29.25">
      <c r="A1540" s="1">
        <v>10165</v>
      </c>
      <c r="B1540" s="1">
        <v>4</v>
      </c>
      <c r="C1540" s="2">
        <v>41426</v>
      </c>
      <c r="D1540" s="1" t="s">
        <v>2002</v>
      </c>
      <c r="E1540" s="1">
        <v>100868</v>
      </c>
      <c r="F1540" s="6" t="s">
        <v>3542</v>
      </c>
      <c r="G1540" s="15" t="str">
        <f>VLOOKUP(A1540,Movie!A:D,4,FALSE)</f>
        <v>Weinstein Company</v>
      </c>
      <c r="H1540" s="14">
        <f>VLOOKUP(E1540,'Rental Transaction'!A:B,2,FALSE)</f>
        <v>189441</v>
      </c>
      <c r="I1540">
        <f t="shared" si="24"/>
        <v>2013</v>
      </c>
    </row>
    <row r="1541" spans="1:9">
      <c r="A1541" s="1">
        <v>10114</v>
      </c>
      <c r="B1541" s="1">
        <v>7</v>
      </c>
      <c r="C1541" s="2">
        <v>41425</v>
      </c>
      <c r="D1541" s="1" t="s">
        <v>2002</v>
      </c>
      <c r="E1541" s="1">
        <v>100869</v>
      </c>
      <c r="F1541" s="6" t="s">
        <v>3543</v>
      </c>
      <c r="G1541" s="15" t="str">
        <f>VLOOKUP(A1541,Movie!A:D,4,FALSE)</f>
        <v>Lionsgate</v>
      </c>
      <c r="H1541" s="14">
        <f>VLOOKUP(E1541,'Rental Transaction'!A:B,2,FALSE)</f>
        <v>785444</v>
      </c>
      <c r="I1541">
        <f t="shared" si="24"/>
        <v>2013</v>
      </c>
    </row>
    <row r="1542" spans="1:9">
      <c r="A1542" s="1">
        <v>10215</v>
      </c>
      <c r="B1542" s="1">
        <v>4</v>
      </c>
      <c r="C1542" s="2">
        <v>41425</v>
      </c>
      <c r="D1542" s="1" t="s">
        <v>2002</v>
      </c>
      <c r="E1542" s="1">
        <v>100869</v>
      </c>
      <c r="F1542" s="6" t="s">
        <v>3544</v>
      </c>
      <c r="G1542" s="15" t="str">
        <f>VLOOKUP(A1542,Movie!A:D,4,FALSE)</f>
        <v>Paramount</v>
      </c>
      <c r="H1542" s="14">
        <f>VLOOKUP(E1542,'Rental Transaction'!A:B,2,FALSE)</f>
        <v>785444</v>
      </c>
      <c r="I1542">
        <f t="shared" si="24"/>
        <v>2013</v>
      </c>
    </row>
    <row r="1543" spans="1:9">
      <c r="A1543" s="1">
        <v>10124</v>
      </c>
      <c r="B1543" s="1">
        <v>7</v>
      </c>
      <c r="C1543" s="2">
        <v>41426</v>
      </c>
      <c r="D1543" s="1" t="s">
        <v>2005</v>
      </c>
      <c r="E1543" s="1">
        <v>100869</v>
      </c>
      <c r="F1543" s="6" t="s">
        <v>3545</v>
      </c>
      <c r="G1543" s="15" t="str">
        <f>VLOOKUP(A1543,Movie!A:D,4,FALSE)</f>
        <v>Paramount</v>
      </c>
      <c r="H1543" s="14">
        <f>VLOOKUP(E1543,'Rental Transaction'!A:B,2,FALSE)</f>
        <v>785444</v>
      </c>
      <c r="I1543">
        <f t="shared" si="24"/>
        <v>2013</v>
      </c>
    </row>
    <row r="1544" spans="1:9">
      <c r="A1544" s="1">
        <v>10169</v>
      </c>
      <c r="B1544" s="1">
        <v>3</v>
      </c>
      <c r="C1544" s="2">
        <v>41426</v>
      </c>
      <c r="D1544" s="1" t="s">
        <v>2005</v>
      </c>
      <c r="E1544" s="1">
        <v>100870</v>
      </c>
      <c r="F1544" s="6" t="s">
        <v>3546</v>
      </c>
      <c r="G1544" s="15" t="str">
        <f>VLOOKUP(A1544,Movie!A:D,4,FALSE)</f>
        <v>Warner Brothers</v>
      </c>
      <c r="H1544" s="14">
        <f>VLOOKUP(E1544,'Rental Transaction'!A:B,2,FALSE)</f>
        <v>108708</v>
      </c>
      <c r="I1544">
        <f t="shared" si="24"/>
        <v>2013</v>
      </c>
    </row>
    <row r="1545" spans="1:9">
      <c r="A1545" s="1">
        <v>10195</v>
      </c>
      <c r="B1545" s="1">
        <v>4</v>
      </c>
      <c r="C1545" s="2">
        <v>41426</v>
      </c>
      <c r="D1545" s="1" t="s">
        <v>2002</v>
      </c>
      <c r="E1545" s="1">
        <v>100871</v>
      </c>
      <c r="F1545" s="6" t="s">
        <v>3547</v>
      </c>
      <c r="G1545" s="15" t="str">
        <f>VLOOKUP(A1545,Movie!A:D,4,FALSE)</f>
        <v>Sony</v>
      </c>
      <c r="H1545" s="14">
        <f>VLOOKUP(E1545,'Rental Transaction'!A:B,2,FALSE)</f>
        <v>534481</v>
      </c>
      <c r="I1545">
        <f t="shared" si="24"/>
        <v>2013</v>
      </c>
    </row>
    <row r="1546" spans="1:9">
      <c r="A1546" s="1">
        <v>10240</v>
      </c>
      <c r="B1546" s="1">
        <v>9</v>
      </c>
      <c r="C1546" s="2">
        <v>41426</v>
      </c>
      <c r="D1546" s="1" t="s">
        <v>2002</v>
      </c>
      <c r="E1546" s="1">
        <v>100872</v>
      </c>
      <c r="F1546" s="6" t="s">
        <v>3548</v>
      </c>
      <c r="G1546" s="15" t="str">
        <f>VLOOKUP(A1546,Movie!A:D,4,FALSE)</f>
        <v>Warner Brothers</v>
      </c>
      <c r="H1546" s="14">
        <f>VLOOKUP(E1546,'Rental Transaction'!A:B,2,FALSE)</f>
        <v>808421</v>
      </c>
      <c r="I1546">
        <f t="shared" si="24"/>
        <v>2013</v>
      </c>
    </row>
    <row r="1547" spans="1:9">
      <c r="A1547" s="1">
        <v>10111</v>
      </c>
      <c r="B1547" s="1">
        <v>5</v>
      </c>
      <c r="C1547" s="2">
        <v>41426</v>
      </c>
      <c r="D1547" s="1" t="s">
        <v>2002</v>
      </c>
      <c r="E1547" s="1">
        <v>100873</v>
      </c>
      <c r="F1547" s="6" t="s">
        <v>3549</v>
      </c>
      <c r="G1547" s="15" t="str">
        <f>VLOOKUP(A1547,Movie!A:D,4,FALSE)</f>
        <v>Fox</v>
      </c>
      <c r="H1547" s="14">
        <f>VLOOKUP(E1547,'Rental Transaction'!A:B,2,FALSE)</f>
        <v>448739</v>
      </c>
      <c r="I1547">
        <f t="shared" si="24"/>
        <v>2013</v>
      </c>
    </row>
    <row r="1548" spans="1:9">
      <c r="A1548" s="1">
        <v>10055</v>
      </c>
      <c r="B1548" s="1">
        <v>3</v>
      </c>
      <c r="C1548" s="2">
        <v>41426</v>
      </c>
      <c r="D1548" s="1" t="s">
        <v>2005</v>
      </c>
      <c r="E1548" s="1">
        <v>100873</v>
      </c>
      <c r="F1548" s="6" t="s">
        <v>3550</v>
      </c>
      <c r="G1548" s="15" t="str">
        <f>VLOOKUP(A1548,Movie!A:D,4,FALSE)</f>
        <v>Sony Classics</v>
      </c>
      <c r="H1548" s="14">
        <f>VLOOKUP(E1548,'Rental Transaction'!A:B,2,FALSE)</f>
        <v>448739</v>
      </c>
      <c r="I1548">
        <f t="shared" si="24"/>
        <v>2013</v>
      </c>
    </row>
    <row r="1549" spans="1:9">
      <c r="A1549" s="1">
        <v>10101</v>
      </c>
      <c r="B1549" s="1">
        <v>7</v>
      </c>
      <c r="C1549" s="2">
        <v>41426</v>
      </c>
      <c r="D1549" s="1" t="s">
        <v>2002</v>
      </c>
      <c r="E1549" s="1">
        <v>100873</v>
      </c>
      <c r="F1549" s="6" t="s">
        <v>3551</v>
      </c>
      <c r="G1549" s="15" t="str">
        <f>VLOOKUP(A1549,Movie!A:D,4,FALSE)</f>
        <v>Sony</v>
      </c>
      <c r="H1549" s="14">
        <f>VLOOKUP(E1549,'Rental Transaction'!A:B,2,FALSE)</f>
        <v>448739</v>
      </c>
      <c r="I1549">
        <f t="shared" si="24"/>
        <v>2013</v>
      </c>
    </row>
    <row r="1550" spans="1:9">
      <c r="A1550" s="1">
        <v>10235</v>
      </c>
      <c r="B1550" s="1">
        <v>7</v>
      </c>
      <c r="C1550" s="2">
        <v>41426</v>
      </c>
      <c r="D1550" s="1" t="s">
        <v>2005</v>
      </c>
      <c r="E1550" s="1">
        <v>100874</v>
      </c>
      <c r="F1550" s="6" t="s">
        <v>3552</v>
      </c>
      <c r="G1550" s="15" t="str">
        <f>VLOOKUP(A1550,Movie!A:D,4,FALSE)</f>
        <v>Lionsgate</v>
      </c>
      <c r="H1550" s="14">
        <f>VLOOKUP(E1550,'Rental Transaction'!A:B,2,FALSE)</f>
        <v>719921</v>
      </c>
      <c r="I1550">
        <f t="shared" si="24"/>
        <v>2013</v>
      </c>
    </row>
    <row r="1551" spans="1:9">
      <c r="A1551" s="1">
        <v>10031</v>
      </c>
      <c r="B1551" s="1">
        <v>6</v>
      </c>
      <c r="C1551" s="2">
        <v>41426</v>
      </c>
      <c r="D1551" s="1" t="s">
        <v>2002</v>
      </c>
      <c r="E1551" s="1">
        <v>100874</v>
      </c>
      <c r="F1551" s="6" t="s">
        <v>3553</v>
      </c>
      <c r="G1551" s="15" t="str">
        <f>VLOOKUP(A1551,Movie!A:D,4,FALSE)</f>
        <v>Warner Brothers</v>
      </c>
      <c r="H1551" s="14">
        <f>VLOOKUP(E1551,'Rental Transaction'!A:B,2,FALSE)</f>
        <v>719921</v>
      </c>
      <c r="I1551">
        <f t="shared" si="24"/>
        <v>2013</v>
      </c>
    </row>
    <row r="1552" spans="1:9">
      <c r="A1552" s="1">
        <v>10150</v>
      </c>
      <c r="B1552" s="1">
        <v>5</v>
      </c>
      <c r="C1552" s="2">
        <v>41426</v>
      </c>
      <c r="D1552" s="1" t="s">
        <v>2005</v>
      </c>
      <c r="E1552" s="1">
        <v>100874</v>
      </c>
      <c r="F1552" s="6" t="s">
        <v>3554</v>
      </c>
      <c r="G1552" s="15" t="str">
        <f>VLOOKUP(A1552,Movie!A:D,4,FALSE)</f>
        <v>Focus</v>
      </c>
      <c r="H1552" s="14">
        <f>VLOOKUP(E1552,'Rental Transaction'!A:B,2,FALSE)</f>
        <v>719921</v>
      </c>
      <c r="I1552">
        <f t="shared" si="24"/>
        <v>2013</v>
      </c>
    </row>
    <row r="1553" spans="1:9">
      <c r="A1553" s="1">
        <v>10183</v>
      </c>
      <c r="B1553" s="1">
        <v>7</v>
      </c>
      <c r="C1553" s="2">
        <v>41426</v>
      </c>
      <c r="D1553" s="1" t="s">
        <v>2002</v>
      </c>
      <c r="E1553" s="1">
        <v>100874</v>
      </c>
      <c r="F1553" s="6" t="s">
        <v>3555</v>
      </c>
      <c r="G1553" s="15" t="str">
        <f>VLOOKUP(A1553,Movie!A:D,4,FALSE)</f>
        <v>Sony</v>
      </c>
      <c r="H1553" s="14">
        <f>VLOOKUP(E1553,'Rental Transaction'!A:B,2,FALSE)</f>
        <v>719921</v>
      </c>
      <c r="I1553">
        <f t="shared" si="24"/>
        <v>2013</v>
      </c>
    </row>
    <row r="1554" spans="1:9">
      <c r="A1554" s="1">
        <v>10040</v>
      </c>
      <c r="B1554" s="1">
        <v>6</v>
      </c>
      <c r="C1554" s="2">
        <v>41426</v>
      </c>
      <c r="D1554" s="1" t="s">
        <v>2005</v>
      </c>
      <c r="E1554" s="1">
        <v>100875</v>
      </c>
      <c r="F1554" s="6" t="s">
        <v>3556</v>
      </c>
      <c r="G1554" s="15" t="str">
        <f>VLOOKUP(A1554,Movie!A:D,4,FALSE)</f>
        <v>Universal</v>
      </c>
      <c r="H1554" s="14">
        <f>VLOOKUP(E1554,'Rental Transaction'!A:B,2,FALSE)</f>
        <v>632495</v>
      </c>
      <c r="I1554">
        <f t="shared" si="24"/>
        <v>2013</v>
      </c>
    </row>
    <row r="1555" spans="1:9">
      <c r="A1555" s="1">
        <v>10212</v>
      </c>
      <c r="B1555" s="1">
        <v>6</v>
      </c>
      <c r="C1555" s="2">
        <v>41427</v>
      </c>
      <c r="D1555" s="1" t="s">
        <v>2005</v>
      </c>
      <c r="E1555" s="1">
        <v>100875</v>
      </c>
      <c r="F1555" s="6" t="s">
        <v>3557</v>
      </c>
      <c r="G1555" s="15" t="str">
        <f>VLOOKUP(A1555,Movie!A:D,4,FALSE)</f>
        <v>Lionsgate</v>
      </c>
      <c r="H1555" s="14">
        <f>VLOOKUP(E1555,'Rental Transaction'!A:B,2,FALSE)</f>
        <v>632495</v>
      </c>
      <c r="I1555">
        <f t="shared" si="24"/>
        <v>2013</v>
      </c>
    </row>
    <row r="1556" spans="1:9">
      <c r="A1556" s="1">
        <v>10200</v>
      </c>
      <c r="B1556" s="1">
        <v>9</v>
      </c>
      <c r="C1556" s="2">
        <v>41426</v>
      </c>
      <c r="D1556" s="1" t="s">
        <v>2002</v>
      </c>
      <c r="E1556" s="1">
        <v>100876</v>
      </c>
      <c r="F1556" s="6" t="s">
        <v>3558</v>
      </c>
      <c r="G1556" s="15" t="str">
        <f>VLOOKUP(A1556,Movie!A:D,4,FALSE)</f>
        <v>Fox</v>
      </c>
      <c r="H1556" s="14">
        <f>VLOOKUP(E1556,'Rental Transaction'!A:B,2,FALSE)</f>
        <v>783369</v>
      </c>
      <c r="I1556">
        <f t="shared" si="24"/>
        <v>2013</v>
      </c>
    </row>
    <row r="1557" spans="1:9">
      <c r="A1557" s="1">
        <v>10034</v>
      </c>
      <c r="B1557" s="1">
        <v>7</v>
      </c>
      <c r="C1557" s="2">
        <v>41427</v>
      </c>
      <c r="D1557" s="1" t="s">
        <v>2005</v>
      </c>
      <c r="E1557" s="1">
        <v>100877</v>
      </c>
      <c r="F1557" s="6" t="s">
        <v>3559</v>
      </c>
      <c r="G1557" s="15" t="str">
        <f>VLOOKUP(A1557,Movie!A:D,4,FALSE)</f>
        <v>Lionsgate</v>
      </c>
      <c r="H1557" s="14">
        <f>VLOOKUP(E1557,'Rental Transaction'!A:B,2,FALSE)</f>
        <v>756928</v>
      </c>
      <c r="I1557">
        <f t="shared" si="24"/>
        <v>2013</v>
      </c>
    </row>
    <row r="1558" spans="1:9">
      <c r="A1558" s="1">
        <v>10244</v>
      </c>
      <c r="B1558" s="1">
        <v>7</v>
      </c>
      <c r="C1558" s="2">
        <v>41427</v>
      </c>
      <c r="D1558" s="1" t="s">
        <v>2005</v>
      </c>
      <c r="E1558" s="1">
        <v>100878</v>
      </c>
      <c r="F1558" s="6" t="s">
        <v>3560</v>
      </c>
      <c r="G1558" s="15" t="str">
        <f>VLOOKUP(A1558,Movie!A:D,4,FALSE)</f>
        <v>Sony</v>
      </c>
      <c r="H1558" s="14">
        <f>VLOOKUP(E1558,'Rental Transaction'!A:B,2,FALSE)</f>
        <v>417823</v>
      </c>
      <c r="I1558">
        <f t="shared" si="24"/>
        <v>2013</v>
      </c>
    </row>
    <row r="1559" spans="1:9">
      <c r="A1559" s="1">
        <v>10170</v>
      </c>
      <c r="B1559" s="1">
        <v>1</v>
      </c>
      <c r="C1559" s="2">
        <v>41427</v>
      </c>
      <c r="D1559" s="1" t="s">
        <v>2002</v>
      </c>
      <c r="E1559" s="1">
        <v>100878</v>
      </c>
      <c r="F1559" s="6" t="s">
        <v>3561</v>
      </c>
      <c r="G1559" s="15" t="str">
        <f>VLOOKUP(A1559,Movie!A:D,4,FALSE)</f>
        <v>Sony Classics</v>
      </c>
      <c r="H1559" s="14">
        <f>VLOOKUP(E1559,'Rental Transaction'!A:B,2,FALSE)</f>
        <v>417823</v>
      </c>
      <c r="I1559">
        <f t="shared" si="24"/>
        <v>2013</v>
      </c>
    </row>
    <row r="1560" spans="1:9" ht="29.25">
      <c r="A1560" s="1">
        <v>10105</v>
      </c>
      <c r="B1560" s="1">
        <v>2</v>
      </c>
      <c r="C1560" s="2">
        <v>41428</v>
      </c>
      <c r="D1560" s="1" t="s">
        <v>2005</v>
      </c>
      <c r="E1560" s="1">
        <v>100878</v>
      </c>
      <c r="F1560" s="6" t="s">
        <v>3562</v>
      </c>
      <c r="G1560" s="15" t="str">
        <f>VLOOKUP(A1560,Movie!A:D,4,FALSE)</f>
        <v>Weinstein Company</v>
      </c>
      <c r="H1560" s="14">
        <f>VLOOKUP(E1560,'Rental Transaction'!A:B,2,FALSE)</f>
        <v>417823</v>
      </c>
      <c r="I1560">
        <f t="shared" si="24"/>
        <v>2013</v>
      </c>
    </row>
    <row r="1561" spans="1:9">
      <c r="A1561" s="1">
        <v>10056</v>
      </c>
      <c r="B1561" s="1">
        <v>2</v>
      </c>
      <c r="C1561" s="2">
        <v>41427</v>
      </c>
      <c r="D1561" s="1" t="s">
        <v>2005</v>
      </c>
      <c r="E1561" s="1">
        <v>100879</v>
      </c>
      <c r="F1561" s="6" t="s">
        <v>3563</v>
      </c>
      <c r="G1561" s="15" t="str">
        <f>VLOOKUP(A1561,Movie!A:D,4,FALSE)</f>
        <v>Screen Gems</v>
      </c>
      <c r="H1561" s="14">
        <f>VLOOKUP(E1561,'Rental Transaction'!A:B,2,FALSE)</f>
        <v>646953</v>
      </c>
      <c r="I1561">
        <f t="shared" si="24"/>
        <v>2013</v>
      </c>
    </row>
    <row r="1562" spans="1:9">
      <c r="A1562" s="1">
        <v>10262</v>
      </c>
      <c r="B1562" s="1">
        <v>1</v>
      </c>
      <c r="C1562" s="2">
        <v>41427</v>
      </c>
      <c r="D1562" s="1" t="s">
        <v>2005</v>
      </c>
      <c r="E1562" s="1">
        <v>100880</v>
      </c>
      <c r="F1562" s="6" t="s">
        <v>3564</v>
      </c>
      <c r="G1562" s="15" t="str">
        <f>VLOOKUP(A1562,Movie!A:D,4,FALSE)</f>
        <v>Lionsgate</v>
      </c>
      <c r="H1562" s="14">
        <f>VLOOKUP(E1562,'Rental Transaction'!A:B,2,FALSE)</f>
        <v>158310</v>
      </c>
      <c r="I1562">
        <f t="shared" si="24"/>
        <v>2013</v>
      </c>
    </row>
    <row r="1563" spans="1:9" ht="29.25">
      <c r="A1563" s="1">
        <v>10095</v>
      </c>
      <c r="B1563" s="1">
        <v>9</v>
      </c>
      <c r="C1563" s="2">
        <v>41427</v>
      </c>
      <c r="D1563" s="1" t="s">
        <v>2002</v>
      </c>
      <c r="E1563" s="1">
        <v>100880</v>
      </c>
      <c r="F1563" s="6" t="s">
        <v>3565</v>
      </c>
      <c r="G1563" s="15" t="str">
        <f>VLOOKUP(A1563,Movie!A:D,4,FALSE)</f>
        <v>Weinstein Company</v>
      </c>
      <c r="H1563" s="14">
        <f>VLOOKUP(E1563,'Rental Transaction'!A:B,2,FALSE)</f>
        <v>158310</v>
      </c>
      <c r="I1563">
        <f t="shared" si="24"/>
        <v>2013</v>
      </c>
    </row>
    <row r="1564" spans="1:9">
      <c r="A1564" s="1">
        <v>10052</v>
      </c>
      <c r="B1564" s="1">
        <v>2</v>
      </c>
      <c r="C1564" s="2">
        <v>41427</v>
      </c>
      <c r="D1564" s="1" t="s">
        <v>2002</v>
      </c>
      <c r="E1564" s="1">
        <v>100881</v>
      </c>
      <c r="F1564" s="6" t="s">
        <v>3566</v>
      </c>
      <c r="G1564" s="15" t="str">
        <f>VLOOKUP(A1564,Movie!A:D,4,FALSE)</f>
        <v>Warner Brothers</v>
      </c>
      <c r="H1564" s="14">
        <f>VLOOKUP(E1564,'Rental Transaction'!A:B,2,FALSE)</f>
        <v>301793</v>
      </c>
      <c r="I1564">
        <f t="shared" si="24"/>
        <v>2013</v>
      </c>
    </row>
    <row r="1565" spans="1:9">
      <c r="A1565" s="1">
        <v>10008</v>
      </c>
      <c r="B1565" s="1">
        <v>3</v>
      </c>
      <c r="C1565" s="2">
        <v>41428</v>
      </c>
      <c r="D1565" s="1" t="s">
        <v>2002</v>
      </c>
      <c r="E1565" s="1">
        <v>100882</v>
      </c>
      <c r="F1565" s="6" t="s">
        <v>3567</v>
      </c>
      <c r="G1565" s="15" t="str">
        <f>VLOOKUP(A1565,Movie!A:D,4,FALSE)</f>
        <v>Sony</v>
      </c>
      <c r="H1565" s="14">
        <f>VLOOKUP(E1565,'Rental Transaction'!A:B,2,FALSE)</f>
        <v>611848</v>
      </c>
      <c r="I1565">
        <f t="shared" si="24"/>
        <v>2013</v>
      </c>
    </row>
    <row r="1566" spans="1:9">
      <c r="A1566" s="1">
        <v>10242</v>
      </c>
      <c r="B1566" s="1">
        <v>1</v>
      </c>
      <c r="C1566" s="2">
        <v>41427</v>
      </c>
      <c r="D1566" s="1" t="s">
        <v>2005</v>
      </c>
      <c r="E1566" s="1">
        <v>100882</v>
      </c>
      <c r="F1566" s="6" t="s">
        <v>3568</v>
      </c>
      <c r="G1566" s="15" t="str">
        <f>VLOOKUP(A1566,Movie!A:D,4,FALSE)</f>
        <v>Buena Vista</v>
      </c>
      <c r="H1566" s="14">
        <f>VLOOKUP(E1566,'Rental Transaction'!A:B,2,FALSE)</f>
        <v>611848</v>
      </c>
      <c r="I1566">
        <f t="shared" si="24"/>
        <v>2013</v>
      </c>
    </row>
    <row r="1567" spans="1:9">
      <c r="A1567" s="1">
        <v>10272</v>
      </c>
      <c r="B1567" s="1">
        <v>6</v>
      </c>
      <c r="C1567" s="2">
        <v>41429</v>
      </c>
      <c r="D1567" s="1" t="s">
        <v>2002</v>
      </c>
      <c r="E1567" s="1">
        <v>100883</v>
      </c>
      <c r="F1567" s="6" t="s">
        <v>3569</v>
      </c>
      <c r="G1567" s="15" t="str">
        <f>VLOOKUP(A1567,Movie!A:D,4,FALSE)</f>
        <v>Sony</v>
      </c>
      <c r="H1567" s="14">
        <f>VLOOKUP(E1567,'Rental Transaction'!A:B,2,FALSE)</f>
        <v>757525</v>
      </c>
      <c r="I1567">
        <f t="shared" si="24"/>
        <v>2013</v>
      </c>
    </row>
    <row r="1568" spans="1:9">
      <c r="A1568" s="1">
        <v>10260</v>
      </c>
      <c r="B1568" s="1">
        <v>8</v>
      </c>
      <c r="C1568" s="2">
        <v>41428</v>
      </c>
      <c r="D1568" s="1" t="s">
        <v>2005</v>
      </c>
      <c r="E1568" s="1">
        <v>100884</v>
      </c>
      <c r="F1568" s="6" t="s">
        <v>3570</v>
      </c>
      <c r="G1568" s="15" t="str">
        <f>VLOOKUP(A1568,Movie!A:D,4,FALSE)</f>
        <v>Sony</v>
      </c>
      <c r="H1568" s="14">
        <f>VLOOKUP(E1568,'Rental Transaction'!A:B,2,FALSE)</f>
        <v>996970</v>
      </c>
      <c r="I1568">
        <f t="shared" si="24"/>
        <v>2013</v>
      </c>
    </row>
    <row r="1569" spans="1:9">
      <c r="A1569" s="1">
        <v>10038</v>
      </c>
      <c r="B1569" s="1">
        <v>5</v>
      </c>
      <c r="C1569" s="2">
        <v>41427</v>
      </c>
      <c r="D1569" s="1" t="s">
        <v>2005</v>
      </c>
      <c r="E1569" s="1">
        <v>100884</v>
      </c>
      <c r="F1569" s="6" t="s">
        <v>3571</v>
      </c>
      <c r="G1569" s="15" t="str">
        <f>VLOOKUP(A1569,Movie!A:D,4,FALSE)</f>
        <v>Paramount</v>
      </c>
      <c r="H1569" s="14">
        <f>VLOOKUP(E1569,'Rental Transaction'!A:B,2,FALSE)</f>
        <v>996970</v>
      </c>
      <c r="I1569">
        <f t="shared" si="24"/>
        <v>2013</v>
      </c>
    </row>
    <row r="1570" spans="1:9">
      <c r="A1570" s="1">
        <v>10197</v>
      </c>
      <c r="B1570" s="1">
        <v>2</v>
      </c>
      <c r="C1570" s="2">
        <v>41427</v>
      </c>
      <c r="D1570" s="1" t="s">
        <v>2002</v>
      </c>
      <c r="E1570" s="1">
        <v>100885</v>
      </c>
      <c r="F1570" s="6" t="s">
        <v>3572</v>
      </c>
      <c r="G1570" s="15" t="str">
        <f>VLOOKUP(A1570,Movie!A:D,4,FALSE)</f>
        <v>Warner Brothers</v>
      </c>
      <c r="H1570" s="14">
        <f>VLOOKUP(E1570,'Rental Transaction'!A:B,2,FALSE)</f>
        <v>205190</v>
      </c>
      <c r="I1570">
        <f t="shared" si="24"/>
        <v>2013</v>
      </c>
    </row>
    <row r="1571" spans="1:9">
      <c r="A1571" s="1">
        <v>10237</v>
      </c>
      <c r="B1571" s="1">
        <v>8</v>
      </c>
      <c r="C1571" s="2">
        <v>41427</v>
      </c>
      <c r="D1571" s="1" t="s">
        <v>2005</v>
      </c>
      <c r="E1571" s="1">
        <v>100885</v>
      </c>
      <c r="F1571" s="6" t="s">
        <v>3573</v>
      </c>
      <c r="G1571" s="15" t="str">
        <f>VLOOKUP(A1571,Movie!A:D,4,FALSE)</f>
        <v>Warner Brothers</v>
      </c>
      <c r="H1571" s="14">
        <f>VLOOKUP(E1571,'Rental Transaction'!A:B,2,FALSE)</f>
        <v>205190</v>
      </c>
      <c r="I1571">
        <f t="shared" si="24"/>
        <v>2013</v>
      </c>
    </row>
    <row r="1572" spans="1:9">
      <c r="A1572" s="1">
        <v>10135</v>
      </c>
      <c r="B1572" s="1">
        <v>5</v>
      </c>
      <c r="C1572" s="2">
        <v>41428</v>
      </c>
      <c r="D1572" s="1" t="s">
        <v>2005</v>
      </c>
      <c r="E1572" s="1">
        <v>100886</v>
      </c>
      <c r="F1572" s="6" t="s">
        <v>3574</v>
      </c>
      <c r="G1572" s="15" t="str">
        <f>VLOOKUP(A1572,Movie!A:D,4,FALSE)</f>
        <v>Universal</v>
      </c>
      <c r="H1572" s="14">
        <f>VLOOKUP(E1572,'Rental Transaction'!A:B,2,FALSE)</f>
        <v>432268</v>
      </c>
      <c r="I1572">
        <f t="shared" si="24"/>
        <v>2013</v>
      </c>
    </row>
    <row r="1573" spans="1:9">
      <c r="A1573" s="1">
        <v>10188</v>
      </c>
      <c r="B1573" s="1">
        <v>7</v>
      </c>
      <c r="C1573" s="2">
        <v>41429</v>
      </c>
      <c r="D1573" s="1" t="s">
        <v>2002</v>
      </c>
      <c r="E1573" s="1">
        <v>100887</v>
      </c>
      <c r="F1573" s="6" t="s">
        <v>3575</v>
      </c>
      <c r="G1573" s="15" t="str">
        <f>VLOOKUP(A1573,Movie!A:D,4,FALSE)</f>
        <v>Paramount</v>
      </c>
      <c r="H1573" s="14">
        <f>VLOOKUP(E1573,'Rental Transaction'!A:B,2,FALSE)</f>
        <v>385115</v>
      </c>
      <c r="I1573">
        <f t="shared" si="24"/>
        <v>2013</v>
      </c>
    </row>
    <row r="1574" spans="1:9">
      <c r="A1574" s="1">
        <v>10291</v>
      </c>
      <c r="B1574" s="1">
        <v>7</v>
      </c>
      <c r="C1574" s="2">
        <v>41430</v>
      </c>
      <c r="D1574" s="1" t="s">
        <v>2005</v>
      </c>
      <c r="E1574" s="1">
        <v>100888</v>
      </c>
      <c r="F1574" s="6" t="s">
        <v>3576</v>
      </c>
      <c r="G1574" s="15" t="str">
        <f>VLOOKUP(A1574,Movie!A:D,4,FALSE)</f>
        <v>Warner Brothers</v>
      </c>
      <c r="H1574" s="14">
        <f>VLOOKUP(E1574,'Rental Transaction'!A:B,2,FALSE)</f>
        <v>336644</v>
      </c>
      <c r="I1574">
        <f t="shared" si="24"/>
        <v>2013</v>
      </c>
    </row>
    <row r="1575" spans="1:9">
      <c r="A1575" s="1">
        <v>10080</v>
      </c>
      <c r="B1575" s="1">
        <v>10</v>
      </c>
      <c r="C1575" s="2">
        <v>41428</v>
      </c>
      <c r="D1575" s="1" t="s">
        <v>2002</v>
      </c>
      <c r="E1575" s="1">
        <v>100888</v>
      </c>
      <c r="F1575" s="6" t="s">
        <v>3577</v>
      </c>
      <c r="G1575" s="15" t="str">
        <f>VLOOKUP(A1575,Movie!A:D,4,FALSE)</f>
        <v>Buena Vista</v>
      </c>
      <c r="H1575" s="14">
        <f>VLOOKUP(E1575,'Rental Transaction'!A:B,2,FALSE)</f>
        <v>336644</v>
      </c>
      <c r="I1575">
        <f t="shared" si="24"/>
        <v>2013</v>
      </c>
    </row>
    <row r="1576" spans="1:9">
      <c r="A1576" s="1">
        <v>10065</v>
      </c>
      <c r="B1576" s="1">
        <v>2</v>
      </c>
      <c r="C1576" s="2">
        <v>41428</v>
      </c>
      <c r="D1576" s="1" t="s">
        <v>2002</v>
      </c>
      <c r="E1576" s="1">
        <v>100889</v>
      </c>
      <c r="F1576" s="6" t="s">
        <v>3578</v>
      </c>
      <c r="G1576" s="15" t="str">
        <f>VLOOKUP(A1576,Movie!A:D,4,FALSE)</f>
        <v>Warner Brothers</v>
      </c>
      <c r="H1576" s="14">
        <f>VLOOKUP(E1576,'Rental Transaction'!A:B,2,FALSE)</f>
        <v>493552</v>
      </c>
      <c r="I1576">
        <f t="shared" si="24"/>
        <v>2013</v>
      </c>
    </row>
    <row r="1577" spans="1:9">
      <c r="A1577" s="1">
        <v>10052</v>
      </c>
      <c r="B1577" s="1">
        <v>4</v>
      </c>
      <c r="C1577" s="2">
        <v>41428</v>
      </c>
      <c r="D1577" s="1" t="s">
        <v>2002</v>
      </c>
      <c r="E1577" s="1">
        <v>100890</v>
      </c>
      <c r="F1577" s="6" t="s">
        <v>3579</v>
      </c>
      <c r="G1577" s="15" t="str">
        <f>VLOOKUP(A1577,Movie!A:D,4,FALSE)</f>
        <v>Warner Brothers</v>
      </c>
      <c r="H1577" s="14">
        <f>VLOOKUP(E1577,'Rental Transaction'!A:B,2,FALSE)</f>
        <v>822823</v>
      </c>
      <c r="I1577">
        <f t="shared" si="24"/>
        <v>2013</v>
      </c>
    </row>
    <row r="1578" spans="1:9" ht="29.25">
      <c r="A1578" s="1">
        <v>10165</v>
      </c>
      <c r="B1578" s="1">
        <v>6</v>
      </c>
      <c r="C1578" s="2">
        <v>41429</v>
      </c>
      <c r="D1578" s="1" t="s">
        <v>2002</v>
      </c>
      <c r="E1578" s="1">
        <v>100891</v>
      </c>
      <c r="F1578" s="6" t="s">
        <v>3580</v>
      </c>
      <c r="G1578" s="15" t="str">
        <f>VLOOKUP(A1578,Movie!A:D,4,FALSE)</f>
        <v>Weinstein Company</v>
      </c>
      <c r="H1578" s="14">
        <f>VLOOKUP(E1578,'Rental Transaction'!A:B,2,FALSE)</f>
        <v>426984</v>
      </c>
      <c r="I1578">
        <f t="shared" si="24"/>
        <v>2013</v>
      </c>
    </row>
    <row r="1579" spans="1:9">
      <c r="A1579" s="1">
        <v>10197</v>
      </c>
      <c r="B1579" s="1">
        <v>4</v>
      </c>
      <c r="C1579" s="2">
        <v>41430</v>
      </c>
      <c r="D1579" s="1" t="s">
        <v>2005</v>
      </c>
      <c r="E1579" s="1">
        <v>100892</v>
      </c>
      <c r="F1579" s="6" t="s">
        <v>3581</v>
      </c>
      <c r="G1579" s="15" t="str">
        <f>VLOOKUP(A1579,Movie!A:D,4,FALSE)</f>
        <v>Warner Brothers</v>
      </c>
      <c r="H1579" s="14">
        <f>VLOOKUP(E1579,'Rental Transaction'!A:B,2,FALSE)</f>
        <v>738357</v>
      </c>
      <c r="I1579">
        <f t="shared" si="24"/>
        <v>2013</v>
      </c>
    </row>
    <row r="1580" spans="1:9">
      <c r="A1580" s="1">
        <v>10013</v>
      </c>
      <c r="B1580" s="1">
        <v>10</v>
      </c>
      <c r="C1580" s="2">
        <v>41430</v>
      </c>
      <c r="D1580" s="1" t="s">
        <v>2005</v>
      </c>
      <c r="E1580" s="1">
        <v>100893</v>
      </c>
      <c r="F1580" s="6" t="s">
        <v>3582</v>
      </c>
      <c r="G1580" s="15" t="str">
        <f>VLOOKUP(A1580,Movie!A:D,4,FALSE)</f>
        <v>Open Road Films</v>
      </c>
      <c r="H1580" s="14">
        <f>VLOOKUP(E1580,'Rental Transaction'!A:B,2,FALSE)</f>
        <v>128131</v>
      </c>
      <c r="I1580">
        <f t="shared" si="24"/>
        <v>2013</v>
      </c>
    </row>
    <row r="1581" spans="1:9">
      <c r="A1581" s="1">
        <v>10244</v>
      </c>
      <c r="B1581" s="1">
        <v>2</v>
      </c>
      <c r="C1581" s="2">
        <v>41429</v>
      </c>
      <c r="D1581" s="1" t="s">
        <v>2002</v>
      </c>
      <c r="E1581" s="1">
        <v>100893</v>
      </c>
      <c r="F1581" s="6" t="s">
        <v>3583</v>
      </c>
      <c r="G1581" s="15" t="str">
        <f>VLOOKUP(A1581,Movie!A:D,4,FALSE)</f>
        <v>Sony</v>
      </c>
      <c r="H1581" s="14">
        <f>VLOOKUP(E1581,'Rental Transaction'!A:B,2,FALSE)</f>
        <v>128131</v>
      </c>
      <c r="I1581">
        <f t="shared" si="24"/>
        <v>2013</v>
      </c>
    </row>
    <row r="1582" spans="1:9">
      <c r="A1582" s="1">
        <v>10232</v>
      </c>
      <c r="B1582" s="1">
        <v>10</v>
      </c>
      <c r="C1582" s="2">
        <v>41429</v>
      </c>
      <c r="D1582" s="1" t="s">
        <v>2002</v>
      </c>
      <c r="E1582" s="1">
        <v>100894</v>
      </c>
      <c r="F1582" s="6" t="s">
        <v>3584</v>
      </c>
      <c r="G1582" s="15" t="str">
        <f>VLOOKUP(A1582,Movie!A:D,4,FALSE)</f>
        <v>Paramount</v>
      </c>
      <c r="H1582" s="14">
        <f>VLOOKUP(E1582,'Rental Transaction'!A:B,2,FALSE)</f>
        <v>250266</v>
      </c>
      <c r="I1582">
        <f t="shared" si="24"/>
        <v>2013</v>
      </c>
    </row>
    <row r="1583" spans="1:9">
      <c r="A1583" s="1">
        <v>10210</v>
      </c>
      <c r="B1583" s="1">
        <v>5</v>
      </c>
      <c r="C1583" s="2">
        <v>41429</v>
      </c>
      <c r="D1583" s="1" t="s">
        <v>2002</v>
      </c>
      <c r="E1583" s="1">
        <v>100894</v>
      </c>
      <c r="F1583" s="6" t="s">
        <v>3585</v>
      </c>
      <c r="G1583" s="15" t="str">
        <f>VLOOKUP(A1583,Movie!A:D,4,FALSE)</f>
        <v>Sony</v>
      </c>
      <c r="H1583" s="14">
        <f>VLOOKUP(E1583,'Rental Transaction'!A:B,2,FALSE)</f>
        <v>250266</v>
      </c>
      <c r="I1583">
        <f t="shared" si="24"/>
        <v>2013</v>
      </c>
    </row>
    <row r="1584" spans="1:9">
      <c r="A1584" s="1">
        <v>10247</v>
      </c>
      <c r="B1584" s="1">
        <v>4</v>
      </c>
      <c r="C1584" s="2">
        <v>41430</v>
      </c>
      <c r="D1584" s="1" t="s">
        <v>2002</v>
      </c>
      <c r="E1584" s="1">
        <v>100895</v>
      </c>
      <c r="F1584" s="6" t="s">
        <v>3586</v>
      </c>
      <c r="G1584" s="15" t="str">
        <f>VLOOKUP(A1584,Movie!A:D,4,FALSE)</f>
        <v>Fox</v>
      </c>
      <c r="H1584" s="14">
        <f>VLOOKUP(E1584,'Rental Transaction'!A:B,2,FALSE)</f>
        <v>266633</v>
      </c>
      <c r="I1584">
        <f t="shared" si="24"/>
        <v>2013</v>
      </c>
    </row>
    <row r="1585" spans="1:9">
      <c r="A1585" s="1">
        <v>10192</v>
      </c>
      <c r="B1585" s="1">
        <v>6</v>
      </c>
      <c r="C1585" s="2">
        <v>41430</v>
      </c>
      <c r="D1585" s="1" t="s">
        <v>2002</v>
      </c>
      <c r="E1585" s="1">
        <v>100895</v>
      </c>
      <c r="F1585" s="6" t="s">
        <v>3587</v>
      </c>
      <c r="G1585" s="15" t="str">
        <f>VLOOKUP(A1585,Movie!A:D,4,FALSE)</f>
        <v>Universal</v>
      </c>
      <c r="H1585" s="14">
        <f>VLOOKUP(E1585,'Rental Transaction'!A:B,2,FALSE)</f>
        <v>266633</v>
      </c>
      <c r="I1585">
        <f t="shared" si="24"/>
        <v>2013</v>
      </c>
    </row>
    <row r="1586" spans="1:9" ht="29.25">
      <c r="A1586" s="1">
        <v>10285</v>
      </c>
      <c r="B1586" s="1">
        <v>9</v>
      </c>
      <c r="C1586" s="2">
        <v>41429</v>
      </c>
      <c r="D1586" s="1" t="s">
        <v>2002</v>
      </c>
      <c r="E1586" s="1">
        <v>100896</v>
      </c>
      <c r="F1586" s="6" t="s">
        <v>3588</v>
      </c>
      <c r="G1586" s="15" t="str">
        <f>VLOOKUP(A1586,Movie!A:D,4,FALSE)</f>
        <v>Roadside Attractions</v>
      </c>
      <c r="H1586" s="14">
        <f>VLOOKUP(E1586,'Rental Transaction'!A:B,2,FALSE)</f>
        <v>344702</v>
      </c>
      <c r="I1586">
        <f t="shared" si="24"/>
        <v>2013</v>
      </c>
    </row>
    <row r="1587" spans="1:9">
      <c r="A1587" s="1">
        <v>10005</v>
      </c>
      <c r="B1587" s="1">
        <v>2</v>
      </c>
      <c r="C1587" s="2">
        <v>41429</v>
      </c>
      <c r="D1587" s="1" t="s">
        <v>2005</v>
      </c>
      <c r="E1587" s="1">
        <v>100896</v>
      </c>
      <c r="F1587" s="6" t="s">
        <v>3589</v>
      </c>
      <c r="G1587" s="15" t="str">
        <f>VLOOKUP(A1587,Movie!A:D,4,FALSE)</f>
        <v>Buena Vista</v>
      </c>
      <c r="H1587" s="14">
        <f>VLOOKUP(E1587,'Rental Transaction'!A:B,2,FALSE)</f>
        <v>344702</v>
      </c>
      <c r="I1587">
        <f t="shared" si="24"/>
        <v>2013</v>
      </c>
    </row>
    <row r="1588" spans="1:9">
      <c r="A1588" s="1">
        <v>10269</v>
      </c>
      <c r="B1588" s="1">
        <v>1</v>
      </c>
      <c r="C1588" s="2">
        <v>41429</v>
      </c>
      <c r="D1588" s="1" t="s">
        <v>2002</v>
      </c>
      <c r="E1588" s="1">
        <v>100897</v>
      </c>
      <c r="F1588" s="6" t="s">
        <v>3590</v>
      </c>
      <c r="G1588" s="15" t="str">
        <f>VLOOKUP(A1588,Movie!A:D,4,FALSE)</f>
        <v>Buena Vista</v>
      </c>
      <c r="H1588" s="14">
        <f>VLOOKUP(E1588,'Rental Transaction'!A:B,2,FALSE)</f>
        <v>160392</v>
      </c>
      <c r="I1588">
        <f t="shared" si="24"/>
        <v>2013</v>
      </c>
    </row>
    <row r="1589" spans="1:9">
      <c r="A1589" s="1">
        <v>10073</v>
      </c>
      <c r="B1589" s="1">
        <v>10</v>
      </c>
      <c r="C1589" s="2">
        <v>41431</v>
      </c>
      <c r="D1589" s="1" t="s">
        <v>2002</v>
      </c>
      <c r="E1589" s="1">
        <v>100898</v>
      </c>
      <c r="F1589" s="6" t="s">
        <v>3591</v>
      </c>
      <c r="G1589" s="15" t="str">
        <f>VLOOKUP(A1589,Movie!A:D,4,FALSE)</f>
        <v>FilmDistrict</v>
      </c>
      <c r="H1589" s="14">
        <f>VLOOKUP(E1589,'Rental Transaction'!A:B,2,FALSE)</f>
        <v>352644</v>
      </c>
      <c r="I1589">
        <f t="shared" si="24"/>
        <v>2013</v>
      </c>
    </row>
    <row r="1590" spans="1:9">
      <c r="A1590" s="1">
        <v>10243</v>
      </c>
      <c r="B1590" s="1">
        <v>9</v>
      </c>
      <c r="C1590" s="2">
        <v>41429</v>
      </c>
      <c r="D1590" s="1" t="s">
        <v>2005</v>
      </c>
      <c r="E1590" s="1">
        <v>100898</v>
      </c>
      <c r="F1590" s="6" t="s">
        <v>3592</v>
      </c>
      <c r="G1590" s="15" t="str">
        <f>VLOOKUP(A1590,Movie!A:D,4,FALSE)</f>
        <v>Fox</v>
      </c>
      <c r="H1590" s="14">
        <f>VLOOKUP(E1590,'Rental Transaction'!A:B,2,FALSE)</f>
        <v>352644</v>
      </c>
      <c r="I1590">
        <f t="shared" si="24"/>
        <v>2013</v>
      </c>
    </row>
    <row r="1591" spans="1:9">
      <c r="A1591" s="1">
        <v>10226</v>
      </c>
      <c r="B1591" s="1">
        <v>3</v>
      </c>
      <c r="C1591" s="2">
        <v>41429</v>
      </c>
      <c r="D1591" s="1" t="s">
        <v>2002</v>
      </c>
      <c r="E1591" s="1">
        <v>100899</v>
      </c>
      <c r="F1591" s="6" t="s">
        <v>3593</v>
      </c>
      <c r="G1591" s="15" t="str">
        <f>VLOOKUP(A1591,Movie!A:D,4,FALSE)</f>
        <v>Sony</v>
      </c>
      <c r="H1591" s="14">
        <f>VLOOKUP(E1591,'Rental Transaction'!A:B,2,FALSE)</f>
        <v>676155</v>
      </c>
      <c r="I1591">
        <f t="shared" si="24"/>
        <v>2013</v>
      </c>
    </row>
    <row r="1592" spans="1:9">
      <c r="A1592" s="1">
        <v>10018</v>
      </c>
      <c r="B1592" s="1">
        <v>3</v>
      </c>
      <c r="C1592" s="2">
        <v>41429</v>
      </c>
      <c r="D1592" s="1" t="s">
        <v>2002</v>
      </c>
      <c r="E1592" s="1">
        <v>100899</v>
      </c>
      <c r="F1592" s="6" t="s">
        <v>3594</v>
      </c>
      <c r="G1592" s="15" t="str">
        <f>VLOOKUP(A1592,Movie!A:D,4,FALSE)</f>
        <v>Fox</v>
      </c>
      <c r="H1592" s="14">
        <f>VLOOKUP(E1592,'Rental Transaction'!A:B,2,FALSE)</f>
        <v>676155</v>
      </c>
      <c r="I1592">
        <f t="shared" si="24"/>
        <v>2013</v>
      </c>
    </row>
    <row r="1593" spans="1:9">
      <c r="A1593" s="1">
        <v>10046</v>
      </c>
      <c r="B1593" s="1">
        <v>9</v>
      </c>
      <c r="C1593" s="2">
        <v>41429</v>
      </c>
      <c r="D1593" s="1" t="s">
        <v>2002</v>
      </c>
      <c r="E1593" s="1">
        <v>100900</v>
      </c>
      <c r="F1593" s="6" t="s">
        <v>3595</v>
      </c>
      <c r="G1593" s="15" t="str">
        <f>VLOOKUP(A1593,Movie!A:D,4,FALSE)</f>
        <v>Sony</v>
      </c>
      <c r="H1593" s="14">
        <f>VLOOKUP(E1593,'Rental Transaction'!A:B,2,FALSE)</f>
        <v>710047</v>
      </c>
      <c r="I1593">
        <f t="shared" si="24"/>
        <v>2013</v>
      </c>
    </row>
    <row r="1594" spans="1:9">
      <c r="A1594" s="1">
        <v>10213</v>
      </c>
      <c r="B1594" s="1">
        <v>3</v>
      </c>
      <c r="C1594" s="2">
        <v>41429</v>
      </c>
      <c r="D1594" s="1" t="s">
        <v>2005</v>
      </c>
      <c r="E1594" s="1">
        <v>100900</v>
      </c>
      <c r="F1594" s="6" t="s">
        <v>3596</v>
      </c>
      <c r="G1594" s="15" t="str">
        <f>VLOOKUP(A1594,Movie!A:D,4,FALSE)</f>
        <v>Sony</v>
      </c>
      <c r="H1594" s="14">
        <f>VLOOKUP(E1594,'Rental Transaction'!A:B,2,FALSE)</f>
        <v>710047</v>
      </c>
      <c r="I1594">
        <f t="shared" si="24"/>
        <v>2013</v>
      </c>
    </row>
    <row r="1595" spans="1:9">
      <c r="A1595" s="1">
        <v>10113</v>
      </c>
      <c r="B1595" s="1">
        <v>7</v>
      </c>
      <c r="C1595" s="2">
        <v>41430</v>
      </c>
      <c r="D1595" s="1" t="s">
        <v>2002</v>
      </c>
      <c r="E1595" s="1">
        <v>100901</v>
      </c>
      <c r="F1595" s="6" t="s">
        <v>3597</v>
      </c>
      <c r="G1595" s="15" t="str">
        <f>VLOOKUP(A1595,Movie!A:D,4,FALSE)</f>
        <v>Lionsgate</v>
      </c>
      <c r="H1595" s="14">
        <f>VLOOKUP(E1595,'Rental Transaction'!A:B,2,FALSE)</f>
        <v>559688</v>
      </c>
      <c r="I1595">
        <f t="shared" si="24"/>
        <v>2013</v>
      </c>
    </row>
    <row r="1596" spans="1:9" ht="29.25">
      <c r="A1596" s="1">
        <v>10136</v>
      </c>
      <c r="B1596" s="1">
        <v>9</v>
      </c>
      <c r="C1596" s="2">
        <v>41430</v>
      </c>
      <c r="D1596" s="1" t="s">
        <v>2002</v>
      </c>
      <c r="E1596" s="1">
        <v>100902</v>
      </c>
      <c r="F1596" s="6" t="s">
        <v>3598</v>
      </c>
      <c r="G1596" s="15" t="str">
        <f>VLOOKUP(A1596,Movie!A:D,4,FALSE)</f>
        <v>Weinstein Company</v>
      </c>
      <c r="H1596" s="14">
        <f>VLOOKUP(E1596,'Rental Transaction'!A:B,2,FALSE)</f>
        <v>961080</v>
      </c>
      <c r="I1596">
        <f t="shared" si="24"/>
        <v>2013</v>
      </c>
    </row>
    <row r="1597" spans="1:9">
      <c r="A1597" s="1">
        <v>10234</v>
      </c>
      <c r="B1597" s="1">
        <v>3</v>
      </c>
      <c r="C1597" s="2">
        <v>41430</v>
      </c>
      <c r="D1597" s="1" t="s">
        <v>2002</v>
      </c>
      <c r="E1597" s="1">
        <v>100903</v>
      </c>
      <c r="F1597" s="6" t="s">
        <v>3599</v>
      </c>
      <c r="G1597" s="15" t="str">
        <f>VLOOKUP(A1597,Movie!A:D,4,FALSE)</f>
        <v>Warner Brothers</v>
      </c>
      <c r="H1597" s="14">
        <f>VLOOKUP(E1597,'Rental Transaction'!A:B,2,FALSE)</f>
        <v>559054</v>
      </c>
      <c r="I1597">
        <f t="shared" si="24"/>
        <v>2013</v>
      </c>
    </row>
    <row r="1598" spans="1:9">
      <c r="A1598" s="1">
        <v>10216</v>
      </c>
      <c r="B1598" s="1">
        <v>6</v>
      </c>
      <c r="C1598" s="2">
        <v>41430</v>
      </c>
      <c r="D1598" s="1" t="s">
        <v>2002</v>
      </c>
      <c r="E1598" s="1">
        <v>100904</v>
      </c>
      <c r="F1598" s="6" t="s">
        <v>3600</v>
      </c>
      <c r="G1598" s="15" t="str">
        <f>VLOOKUP(A1598,Movie!A:D,4,FALSE)</f>
        <v>Sony</v>
      </c>
      <c r="H1598" s="14">
        <f>VLOOKUP(E1598,'Rental Transaction'!A:B,2,FALSE)</f>
        <v>741398</v>
      </c>
      <c r="I1598">
        <f t="shared" si="24"/>
        <v>2013</v>
      </c>
    </row>
    <row r="1599" spans="1:9">
      <c r="A1599" s="1">
        <v>10087</v>
      </c>
      <c r="B1599" s="1">
        <v>2</v>
      </c>
      <c r="C1599" s="2">
        <v>41430</v>
      </c>
      <c r="D1599" s="1" t="s">
        <v>2005</v>
      </c>
      <c r="E1599" s="1">
        <v>100905</v>
      </c>
      <c r="F1599" s="6" t="s">
        <v>3601</v>
      </c>
      <c r="G1599" s="15" t="str">
        <f>VLOOKUP(A1599,Movie!A:D,4,FALSE)</f>
        <v>Lionsgate</v>
      </c>
      <c r="H1599" s="14">
        <f>VLOOKUP(E1599,'Rental Transaction'!A:B,2,FALSE)</f>
        <v>147216</v>
      </c>
      <c r="I1599">
        <f t="shared" si="24"/>
        <v>2013</v>
      </c>
    </row>
    <row r="1600" spans="1:9">
      <c r="A1600" s="1">
        <v>10260</v>
      </c>
      <c r="B1600" s="1">
        <v>3</v>
      </c>
      <c r="C1600" s="2">
        <v>41431</v>
      </c>
      <c r="D1600" s="1" t="s">
        <v>2005</v>
      </c>
      <c r="E1600" s="1">
        <v>100905</v>
      </c>
      <c r="F1600" s="6" t="s">
        <v>3602</v>
      </c>
      <c r="G1600" s="15" t="str">
        <f>VLOOKUP(A1600,Movie!A:D,4,FALSE)</f>
        <v>Sony</v>
      </c>
      <c r="H1600" s="14">
        <f>VLOOKUP(E1600,'Rental Transaction'!A:B,2,FALSE)</f>
        <v>147216</v>
      </c>
      <c r="I1600">
        <f t="shared" si="24"/>
        <v>2013</v>
      </c>
    </row>
    <row r="1601" spans="1:9">
      <c r="A1601" s="1">
        <v>10104</v>
      </c>
      <c r="B1601" s="1">
        <v>9</v>
      </c>
      <c r="C1601" s="2">
        <v>41431</v>
      </c>
      <c r="D1601" s="1" t="s">
        <v>2005</v>
      </c>
      <c r="E1601" s="1">
        <v>100906</v>
      </c>
      <c r="F1601" s="6" t="s">
        <v>3603</v>
      </c>
      <c r="G1601" s="15" t="str">
        <f>VLOOKUP(A1601,Movie!A:D,4,FALSE)</f>
        <v>Universal</v>
      </c>
      <c r="H1601" s="14">
        <f>VLOOKUP(E1601,'Rental Transaction'!A:B,2,FALSE)</f>
        <v>418506</v>
      </c>
      <c r="I1601">
        <f t="shared" si="24"/>
        <v>2013</v>
      </c>
    </row>
    <row r="1602" spans="1:9">
      <c r="A1602" s="1">
        <v>10298</v>
      </c>
      <c r="B1602" s="1">
        <v>8</v>
      </c>
      <c r="C1602" s="2">
        <v>41432</v>
      </c>
      <c r="D1602" s="1" t="s">
        <v>2005</v>
      </c>
      <c r="E1602" s="1">
        <v>100907</v>
      </c>
      <c r="F1602" s="6" t="s">
        <v>3604</v>
      </c>
      <c r="G1602" s="15" t="str">
        <f>VLOOKUP(A1602,Movie!A:D,4,FALSE)</f>
        <v>UTV</v>
      </c>
      <c r="H1602" s="14">
        <f>VLOOKUP(E1602,'Rental Transaction'!A:B,2,FALSE)</f>
        <v>888759</v>
      </c>
      <c r="I1602">
        <f t="shared" si="24"/>
        <v>2013</v>
      </c>
    </row>
    <row r="1603" spans="1:9">
      <c r="A1603" s="1">
        <v>10052</v>
      </c>
      <c r="B1603" s="1">
        <v>8</v>
      </c>
      <c r="C1603" s="2">
        <v>41432</v>
      </c>
      <c r="D1603" s="1" t="s">
        <v>2005</v>
      </c>
      <c r="E1603" s="1">
        <v>100908</v>
      </c>
      <c r="F1603" s="6" t="s">
        <v>3605</v>
      </c>
      <c r="G1603" s="15" t="str">
        <f>VLOOKUP(A1603,Movie!A:D,4,FALSE)</f>
        <v>Warner Brothers</v>
      </c>
      <c r="H1603" s="14">
        <f>VLOOKUP(E1603,'Rental Transaction'!A:B,2,FALSE)</f>
        <v>249779</v>
      </c>
      <c r="I1603">
        <f t="shared" ref="I1603:I1666" si="25">YEAR(C1603)</f>
        <v>2013</v>
      </c>
    </row>
    <row r="1604" spans="1:9">
      <c r="A1604" s="1">
        <v>10268</v>
      </c>
      <c r="B1604" s="1">
        <v>4</v>
      </c>
      <c r="C1604" s="2">
        <v>41432</v>
      </c>
      <c r="D1604" s="1" t="s">
        <v>2005</v>
      </c>
      <c r="E1604" s="1">
        <v>100909</v>
      </c>
      <c r="F1604" s="6" t="s">
        <v>3606</v>
      </c>
      <c r="G1604" s="15" t="str">
        <f>VLOOKUP(A1604,Movie!A:D,4,FALSE)</f>
        <v>Buena Vista</v>
      </c>
      <c r="H1604" s="14">
        <f>VLOOKUP(E1604,'Rental Transaction'!A:B,2,FALSE)</f>
        <v>921792</v>
      </c>
      <c r="I1604">
        <f t="shared" si="25"/>
        <v>2013</v>
      </c>
    </row>
    <row r="1605" spans="1:9">
      <c r="A1605" s="1">
        <v>10289</v>
      </c>
      <c r="B1605" s="1">
        <v>8</v>
      </c>
      <c r="C1605" s="2">
        <v>41432</v>
      </c>
      <c r="D1605" s="1" t="s">
        <v>2002</v>
      </c>
      <c r="E1605" s="1">
        <v>100910</v>
      </c>
      <c r="F1605" s="6" t="s">
        <v>3607</v>
      </c>
      <c r="G1605" s="15" t="str">
        <f>VLOOKUP(A1605,Movie!A:D,4,FALSE)</f>
        <v>Open Road Films</v>
      </c>
      <c r="H1605" s="14">
        <f>VLOOKUP(E1605,'Rental Transaction'!A:B,2,FALSE)</f>
        <v>756928</v>
      </c>
      <c r="I1605">
        <f t="shared" si="25"/>
        <v>2013</v>
      </c>
    </row>
    <row r="1606" spans="1:9">
      <c r="A1606" s="1">
        <v>10269</v>
      </c>
      <c r="B1606" s="1">
        <v>10</v>
      </c>
      <c r="C1606" s="2">
        <v>41432</v>
      </c>
      <c r="D1606" s="1" t="s">
        <v>2005</v>
      </c>
      <c r="E1606" s="1">
        <v>100911</v>
      </c>
      <c r="F1606" s="6" t="s">
        <v>3608</v>
      </c>
      <c r="G1606" s="15" t="str">
        <f>VLOOKUP(A1606,Movie!A:D,4,FALSE)</f>
        <v>Buena Vista</v>
      </c>
      <c r="H1606" s="14">
        <f>VLOOKUP(E1606,'Rental Transaction'!A:B,2,FALSE)</f>
        <v>407605</v>
      </c>
      <c r="I1606">
        <f t="shared" si="25"/>
        <v>2013</v>
      </c>
    </row>
    <row r="1607" spans="1:9">
      <c r="A1607" s="1">
        <v>10241</v>
      </c>
      <c r="B1607" s="1">
        <v>8</v>
      </c>
      <c r="C1607" s="2">
        <v>41431</v>
      </c>
      <c r="D1607" s="1" t="s">
        <v>2005</v>
      </c>
      <c r="E1607" s="1">
        <v>100911</v>
      </c>
      <c r="F1607" s="6" t="s">
        <v>3609</v>
      </c>
      <c r="G1607" s="15" t="str">
        <f>VLOOKUP(A1607,Movie!A:D,4,FALSE)</f>
        <v>Warner Brothers</v>
      </c>
      <c r="H1607" s="14">
        <f>VLOOKUP(E1607,'Rental Transaction'!A:B,2,FALSE)</f>
        <v>407605</v>
      </c>
      <c r="I1607">
        <f t="shared" si="25"/>
        <v>2013</v>
      </c>
    </row>
    <row r="1608" spans="1:9">
      <c r="A1608" s="1">
        <v>10015</v>
      </c>
      <c r="B1608" s="1">
        <v>4</v>
      </c>
      <c r="C1608" s="2">
        <v>41431</v>
      </c>
      <c r="D1608" s="1" t="s">
        <v>2005</v>
      </c>
      <c r="E1608" s="1">
        <v>100912</v>
      </c>
      <c r="F1608" s="6" t="s">
        <v>3610</v>
      </c>
      <c r="G1608" s="15" t="str">
        <f>VLOOKUP(A1608,Movie!A:D,4,FALSE)</f>
        <v>TriStar</v>
      </c>
      <c r="H1608" s="14">
        <f>VLOOKUP(E1608,'Rental Transaction'!A:B,2,FALSE)</f>
        <v>407605</v>
      </c>
      <c r="I1608">
        <f t="shared" si="25"/>
        <v>2013</v>
      </c>
    </row>
    <row r="1609" spans="1:9">
      <c r="A1609" s="1">
        <v>10057</v>
      </c>
      <c r="B1609" s="1">
        <v>1</v>
      </c>
      <c r="C1609" s="2">
        <v>41432</v>
      </c>
      <c r="D1609" s="1" t="s">
        <v>2005</v>
      </c>
      <c r="E1609" s="1">
        <v>100913</v>
      </c>
      <c r="F1609" s="6" t="s">
        <v>3611</v>
      </c>
      <c r="G1609" s="15" t="str">
        <f>VLOOKUP(A1609,Movie!A:D,4,FALSE)</f>
        <v>Warner Brothers</v>
      </c>
      <c r="H1609" s="14">
        <f>VLOOKUP(E1609,'Rental Transaction'!A:B,2,FALSE)</f>
        <v>308505</v>
      </c>
      <c r="I1609">
        <f t="shared" si="25"/>
        <v>2013</v>
      </c>
    </row>
    <row r="1610" spans="1:9">
      <c r="A1610" s="1">
        <v>10042</v>
      </c>
      <c r="B1610" s="1">
        <v>3</v>
      </c>
      <c r="C1610" s="2">
        <v>41432</v>
      </c>
      <c r="D1610" s="1" t="s">
        <v>2005</v>
      </c>
      <c r="E1610" s="1">
        <v>100914</v>
      </c>
      <c r="F1610" s="6" t="s">
        <v>3612</v>
      </c>
      <c r="G1610" s="15" t="str">
        <f>VLOOKUP(A1610,Movie!A:D,4,FALSE)</f>
        <v>Paramount</v>
      </c>
      <c r="H1610" s="14">
        <f>VLOOKUP(E1610,'Rental Transaction'!A:B,2,FALSE)</f>
        <v>101811</v>
      </c>
      <c r="I1610">
        <f t="shared" si="25"/>
        <v>2013</v>
      </c>
    </row>
    <row r="1611" spans="1:9">
      <c r="A1611" s="1">
        <v>10288</v>
      </c>
      <c r="B1611" s="1">
        <v>8</v>
      </c>
      <c r="C1611" s="2">
        <v>41432</v>
      </c>
      <c r="D1611" s="1" t="s">
        <v>2002</v>
      </c>
      <c r="E1611" s="1">
        <v>100915</v>
      </c>
      <c r="F1611" s="6" t="s">
        <v>3613</v>
      </c>
      <c r="G1611" s="15" t="str">
        <f>VLOOKUP(A1611,Movie!A:D,4,FALSE)</f>
        <v>Relativity</v>
      </c>
      <c r="H1611" s="14">
        <f>VLOOKUP(E1611,'Rental Transaction'!A:B,2,FALSE)</f>
        <v>520196</v>
      </c>
      <c r="I1611">
        <f t="shared" si="25"/>
        <v>2013</v>
      </c>
    </row>
    <row r="1612" spans="1:9">
      <c r="A1612" s="1">
        <v>10208</v>
      </c>
      <c r="B1612" s="1">
        <v>9</v>
      </c>
      <c r="C1612" s="2">
        <v>41432</v>
      </c>
      <c r="D1612" s="1" t="s">
        <v>2002</v>
      </c>
      <c r="E1612" s="1">
        <v>100916</v>
      </c>
      <c r="F1612" s="6" t="s">
        <v>3614</v>
      </c>
      <c r="G1612" s="15" t="str">
        <f>VLOOKUP(A1612,Movie!A:D,4,FALSE)</f>
        <v>Warner Brothers</v>
      </c>
      <c r="H1612" s="14">
        <f>VLOOKUP(E1612,'Rental Transaction'!A:B,2,FALSE)</f>
        <v>283158</v>
      </c>
      <c r="I1612">
        <f t="shared" si="25"/>
        <v>2013</v>
      </c>
    </row>
    <row r="1613" spans="1:9">
      <c r="A1613" s="1">
        <v>10126</v>
      </c>
      <c r="B1613" s="1">
        <v>2</v>
      </c>
      <c r="C1613" s="2">
        <v>41432</v>
      </c>
      <c r="D1613" s="1" t="s">
        <v>2005</v>
      </c>
      <c r="E1613" s="1">
        <v>100917</v>
      </c>
      <c r="F1613" s="6" t="s">
        <v>3615</v>
      </c>
      <c r="G1613" s="15" t="str">
        <f>VLOOKUP(A1613,Movie!A:D,4,FALSE)</f>
        <v>Fox</v>
      </c>
      <c r="H1613" s="14">
        <f>VLOOKUP(E1613,'Rental Transaction'!A:B,2,FALSE)</f>
        <v>488295</v>
      </c>
      <c r="I1613">
        <f t="shared" si="25"/>
        <v>2013</v>
      </c>
    </row>
    <row r="1614" spans="1:9">
      <c r="A1614" s="1">
        <v>10258</v>
      </c>
      <c r="B1614" s="1">
        <v>7</v>
      </c>
      <c r="C1614" s="2">
        <v>41433</v>
      </c>
      <c r="D1614" s="1" t="s">
        <v>2002</v>
      </c>
      <c r="E1614" s="1">
        <v>100917</v>
      </c>
      <c r="F1614" s="6" t="s">
        <v>3616</v>
      </c>
      <c r="G1614" s="15" t="str">
        <f>VLOOKUP(A1614,Movie!A:D,4,FALSE)</f>
        <v>Warner Brothers</v>
      </c>
      <c r="H1614" s="14">
        <f>VLOOKUP(E1614,'Rental Transaction'!A:B,2,FALSE)</f>
        <v>488295</v>
      </c>
      <c r="I1614">
        <f t="shared" si="25"/>
        <v>2013</v>
      </c>
    </row>
    <row r="1615" spans="1:9">
      <c r="A1615" s="1">
        <v>10120</v>
      </c>
      <c r="B1615" s="1">
        <v>6</v>
      </c>
      <c r="C1615" s="2">
        <v>41432</v>
      </c>
      <c r="D1615" s="1" t="s">
        <v>2002</v>
      </c>
      <c r="E1615" s="1">
        <v>100917</v>
      </c>
      <c r="F1615" s="6" t="s">
        <v>3617</v>
      </c>
      <c r="G1615" s="15" t="str">
        <f>VLOOKUP(A1615,Movie!A:D,4,FALSE)</f>
        <v>Focus</v>
      </c>
      <c r="H1615" s="14">
        <f>VLOOKUP(E1615,'Rental Transaction'!A:B,2,FALSE)</f>
        <v>488295</v>
      </c>
      <c r="I1615">
        <f t="shared" si="25"/>
        <v>2013</v>
      </c>
    </row>
    <row r="1616" spans="1:9">
      <c r="A1616" s="1">
        <v>10236</v>
      </c>
      <c r="B1616" s="1">
        <v>6</v>
      </c>
      <c r="C1616" s="2">
        <v>41433</v>
      </c>
      <c r="D1616" s="1" t="s">
        <v>2002</v>
      </c>
      <c r="E1616" s="1">
        <v>100918</v>
      </c>
      <c r="F1616" s="6" t="s">
        <v>3618</v>
      </c>
      <c r="G1616" s="15" t="str">
        <f>VLOOKUP(A1616,Movie!A:D,4,FALSE)</f>
        <v>Lionsgate</v>
      </c>
      <c r="H1616" s="14">
        <f>VLOOKUP(E1616,'Rental Transaction'!A:B,2,FALSE)</f>
        <v>814317</v>
      </c>
      <c r="I1616">
        <f t="shared" si="25"/>
        <v>2013</v>
      </c>
    </row>
    <row r="1617" spans="1:9">
      <c r="A1617" s="1">
        <v>10230</v>
      </c>
      <c r="B1617" s="1">
        <v>2</v>
      </c>
      <c r="C1617" s="2">
        <v>41433</v>
      </c>
      <c r="D1617" s="1" t="s">
        <v>2002</v>
      </c>
      <c r="E1617" s="1">
        <v>100919</v>
      </c>
      <c r="F1617" s="6" t="s">
        <v>3619</v>
      </c>
      <c r="G1617" s="15" t="str">
        <f>VLOOKUP(A1617,Movie!A:D,4,FALSE)</f>
        <v>Focus</v>
      </c>
      <c r="H1617" s="14">
        <f>VLOOKUP(E1617,'Rental Transaction'!A:B,2,FALSE)</f>
        <v>413495</v>
      </c>
      <c r="I1617">
        <f t="shared" si="25"/>
        <v>2013</v>
      </c>
    </row>
    <row r="1618" spans="1:9">
      <c r="A1618" s="1">
        <v>10083</v>
      </c>
      <c r="B1618" s="1">
        <v>7</v>
      </c>
      <c r="C1618" s="2">
        <v>41433</v>
      </c>
      <c r="D1618" s="1" t="s">
        <v>2005</v>
      </c>
      <c r="E1618" s="1">
        <v>100920</v>
      </c>
      <c r="F1618" s="6" t="s">
        <v>3620</v>
      </c>
      <c r="G1618" s="15" t="str">
        <f>VLOOKUP(A1618,Movie!A:D,4,FALSE)</f>
        <v>Buena Vista</v>
      </c>
      <c r="H1618" s="14">
        <f>VLOOKUP(E1618,'Rental Transaction'!A:B,2,FALSE)</f>
        <v>846558</v>
      </c>
      <c r="I1618">
        <f t="shared" si="25"/>
        <v>2013</v>
      </c>
    </row>
    <row r="1619" spans="1:9">
      <c r="A1619" s="1">
        <v>10178</v>
      </c>
      <c r="B1619" s="1">
        <v>1</v>
      </c>
      <c r="C1619" s="2">
        <v>41434</v>
      </c>
      <c r="D1619" s="1" t="s">
        <v>2005</v>
      </c>
      <c r="E1619" s="1">
        <v>100921</v>
      </c>
      <c r="F1619" s="6" t="s">
        <v>3621</v>
      </c>
      <c r="G1619" s="15" t="str">
        <f>VLOOKUP(A1619,Movie!A:D,4,FALSE)</f>
        <v>Warner Brothers</v>
      </c>
      <c r="H1619" s="14">
        <f>VLOOKUP(E1619,'Rental Transaction'!A:B,2,FALSE)</f>
        <v>308505</v>
      </c>
      <c r="I1619">
        <f t="shared" si="25"/>
        <v>2013</v>
      </c>
    </row>
    <row r="1620" spans="1:9">
      <c r="A1620" s="1">
        <v>10115</v>
      </c>
      <c r="B1620" s="1">
        <v>5</v>
      </c>
      <c r="C1620" s="2">
        <v>41433</v>
      </c>
      <c r="D1620" s="1" t="s">
        <v>2002</v>
      </c>
      <c r="E1620" s="1">
        <v>100921</v>
      </c>
      <c r="F1620" s="6" t="s">
        <v>3622</v>
      </c>
      <c r="G1620" s="15" t="str">
        <f>VLOOKUP(A1620,Movie!A:D,4,FALSE)</f>
        <v>Open Road Films</v>
      </c>
      <c r="H1620" s="14">
        <f>VLOOKUP(E1620,'Rental Transaction'!A:B,2,FALSE)</f>
        <v>308505</v>
      </c>
      <c r="I1620">
        <f t="shared" si="25"/>
        <v>2013</v>
      </c>
    </row>
    <row r="1621" spans="1:9">
      <c r="A1621" s="1">
        <v>10157</v>
      </c>
      <c r="B1621" s="1">
        <v>1</v>
      </c>
      <c r="C1621" s="2">
        <v>41433</v>
      </c>
      <c r="D1621" s="1" t="s">
        <v>2005</v>
      </c>
      <c r="E1621" s="1">
        <v>100922</v>
      </c>
      <c r="F1621" s="6" t="s">
        <v>3623</v>
      </c>
      <c r="G1621" s="15" t="str">
        <f>VLOOKUP(A1621,Movie!A:D,4,FALSE)</f>
        <v>Paramount</v>
      </c>
      <c r="H1621" s="14">
        <f>VLOOKUP(E1621,'Rental Transaction'!A:B,2,FALSE)</f>
        <v>465275</v>
      </c>
      <c r="I1621">
        <f t="shared" si="25"/>
        <v>2013</v>
      </c>
    </row>
    <row r="1622" spans="1:9">
      <c r="A1622" s="1">
        <v>10184</v>
      </c>
      <c r="B1622" s="1">
        <v>3</v>
      </c>
      <c r="C1622" s="2">
        <v>41433</v>
      </c>
      <c r="D1622" s="1" t="s">
        <v>2005</v>
      </c>
      <c r="E1622" s="1">
        <v>100922</v>
      </c>
      <c r="F1622" s="6" t="s">
        <v>3624</v>
      </c>
      <c r="G1622" s="15" t="str">
        <f>VLOOKUP(A1622,Movie!A:D,4,FALSE)</f>
        <v>Universal</v>
      </c>
      <c r="H1622" s="14">
        <f>VLOOKUP(E1622,'Rental Transaction'!A:B,2,FALSE)</f>
        <v>465275</v>
      </c>
      <c r="I1622">
        <f t="shared" si="25"/>
        <v>2013</v>
      </c>
    </row>
    <row r="1623" spans="1:9">
      <c r="A1623" s="1">
        <v>10288</v>
      </c>
      <c r="B1623" s="1">
        <v>10</v>
      </c>
      <c r="C1623" s="2">
        <v>41433</v>
      </c>
      <c r="D1623" s="1" t="s">
        <v>2005</v>
      </c>
      <c r="E1623" s="1">
        <v>100923</v>
      </c>
      <c r="F1623" s="6" t="s">
        <v>3625</v>
      </c>
      <c r="G1623" s="15" t="str">
        <f>VLOOKUP(A1623,Movie!A:D,4,FALSE)</f>
        <v>Relativity</v>
      </c>
      <c r="H1623" s="14">
        <f>VLOOKUP(E1623,'Rental Transaction'!A:B,2,FALSE)</f>
        <v>608290</v>
      </c>
      <c r="I1623">
        <f t="shared" si="25"/>
        <v>2013</v>
      </c>
    </row>
    <row r="1624" spans="1:9">
      <c r="A1624" s="1">
        <v>10295</v>
      </c>
      <c r="B1624" s="1">
        <v>6</v>
      </c>
      <c r="C1624" s="2">
        <v>41433</v>
      </c>
      <c r="D1624" s="1" t="s">
        <v>2002</v>
      </c>
      <c r="E1624" s="1">
        <v>100923</v>
      </c>
      <c r="F1624" s="6" t="s">
        <v>3626</v>
      </c>
      <c r="G1624" s="15" t="str">
        <f>VLOOKUP(A1624,Movie!A:D,4,FALSE)</f>
        <v>A24</v>
      </c>
      <c r="H1624" s="14">
        <f>VLOOKUP(E1624,'Rental Transaction'!A:B,2,FALSE)</f>
        <v>608290</v>
      </c>
      <c r="I1624">
        <f t="shared" si="25"/>
        <v>2013</v>
      </c>
    </row>
    <row r="1625" spans="1:9">
      <c r="A1625" s="1">
        <v>10133</v>
      </c>
      <c r="B1625" s="1">
        <v>2</v>
      </c>
      <c r="C1625" s="2">
        <v>41434</v>
      </c>
      <c r="D1625" s="1" t="s">
        <v>2005</v>
      </c>
      <c r="E1625" s="1">
        <v>100924</v>
      </c>
      <c r="F1625" s="6" t="s">
        <v>3627</v>
      </c>
      <c r="G1625" s="15" t="str">
        <f>VLOOKUP(A1625,Movie!A:D,4,FALSE)</f>
        <v>Fox</v>
      </c>
      <c r="H1625" s="14">
        <f>VLOOKUP(E1625,'Rental Transaction'!A:B,2,FALSE)</f>
        <v>344702</v>
      </c>
      <c r="I1625">
        <f t="shared" si="25"/>
        <v>2013</v>
      </c>
    </row>
    <row r="1626" spans="1:9">
      <c r="A1626" s="1">
        <v>10039</v>
      </c>
      <c r="B1626" s="1">
        <v>7</v>
      </c>
      <c r="C1626" s="2">
        <v>41433</v>
      </c>
      <c r="D1626" s="1" t="s">
        <v>2005</v>
      </c>
      <c r="E1626" s="1">
        <v>100924</v>
      </c>
      <c r="F1626" s="6" t="s">
        <v>3628</v>
      </c>
      <c r="G1626" s="15" t="str">
        <f>VLOOKUP(A1626,Movie!A:D,4,FALSE)</f>
        <v>Open Road Films</v>
      </c>
      <c r="H1626" s="14">
        <f>VLOOKUP(E1626,'Rental Transaction'!A:B,2,FALSE)</f>
        <v>344702</v>
      </c>
      <c r="I1626">
        <f t="shared" si="25"/>
        <v>2013</v>
      </c>
    </row>
    <row r="1627" spans="1:9">
      <c r="A1627" s="1">
        <v>10168</v>
      </c>
      <c r="B1627" s="1">
        <v>9</v>
      </c>
      <c r="C1627" s="2">
        <v>41434</v>
      </c>
      <c r="D1627" s="1" t="s">
        <v>2005</v>
      </c>
      <c r="E1627" s="1">
        <v>100925</v>
      </c>
      <c r="F1627" s="6" t="s">
        <v>3629</v>
      </c>
      <c r="G1627" s="15" t="str">
        <f>VLOOKUP(A1627,Movie!A:D,4,FALSE)</f>
        <v>Paramount</v>
      </c>
      <c r="H1627" s="14">
        <f>VLOOKUP(E1627,'Rental Transaction'!A:B,2,FALSE)</f>
        <v>225489</v>
      </c>
      <c r="I1627">
        <f t="shared" si="25"/>
        <v>2013</v>
      </c>
    </row>
    <row r="1628" spans="1:9">
      <c r="A1628" s="1">
        <v>10049</v>
      </c>
      <c r="B1628" s="1">
        <v>8</v>
      </c>
      <c r="C1628" s="2">
        <v>41434</v>
      </c>
      <c r="D1628" s="1" t="s">
        <v>2002</v>
      </c>
      <c r="E1628" s="1">
        <v>100925</v>
      </c>
      <c r="F1628" s="6" t="s">
        <v>3630</v>
      </c>
      <c r="G1628" s="15" t="str">
        <f>VLOOKUP(A1628,Movie!A:D,4,FALSE)</f>
        <v>Universal</v>
      </c>
      <c r="H1628" s="14">
        <f>VLOOKUP(E1628,'Rental Transaction'!A:B,2,FALSE)</f>
        <v>225489</v>
      </c>
      <c r="I1628">
        <f t="shared" si="25"/>
        <v>2013</v>
      </c>
    </row>
    <row r="1629" spans="1:9">
      <c r="A1629" s="1">
        <v>10112</v>
      </c>
      <c r="B1629" s="1">
        <v>3</v>
      </c>
      <c r="C1629" s="2">
        <v>41434</v>
      </c>
      <c r="D1629" s="1" t="s">
        <v>2005</v>
      </c>
      <c r="E1629" s="1">
        <v>100925</v>
      </c>
      <c r="F1629" s="6" t="s">
        <v>3631</v>
      </c>
      <c r="G1629" s="15" t="str">
        <f>VLOOKUP(A1629,Movie!A:D,4,FALSE)</f>
        <v>Relativity</v>
      </c>
      <c r="H1629" s="14">
        <f>VLOOKUP(E1629,'Rental Transaction'!A:B,2,FALSE)</f>
        <v>225489</v>
      </c>
      <c r="I1629">
        <f t="shared" si="25"/>
        <v>2013</v>
      </c>
    </row>
    <row r="1630" spans="1:9">
      <c r="A1630" s="1">
        <v>10078</v>
      </c>
      <c r="B1630" s="1">
        <v>6</v>
      </c>
      <c r="C1630" s="2">
        <v>41435</v>
      </c>
      <c r="D1630" s="1" t="s">
        <v>2002</v>
      </c>
      <c r="E1630" s="1">
        <v>100926</v>
      </c>
      <c r="F1630" s="6" t="s">
        <v>3632</v>
      </c>
      <c r="G1630" s="15" t="str">
        <f>VLOOKUP(A1630,Movie!A:D,4,FALSE)</f>
        <v>Paramount</v>
      </c>
      <c r="H1630" s="14">
        <f>VLOOKUP(E1630,'Rental Transaction'!A:B,2,FALSE)</f>
        <v>249779</v>
      </c>
      <c r="I1630">
        <f t="shared" si="25"/>
        <v>2013</v>
      </c>
    </row>
    <row r="1631" spans="1:9">
      <c r="A1631" s="1">
        <v>10279</v>
      </c>
      <c r="B1631" s="1">
        <v>1</v>
      </c>
      <c r="C1631" s="2">
        <v>41434</v>
      </c>
      <c r="D1631" s="1" t="s">
        <v>2005</v>
      </c>
      <c r="E1631" s="1">
        <v>100927</v>
      </c>
      <c r="F1631" s="6" t="s">
        <v>3633</v>
      </c>
      <c r="G1631" s="15" t="str">
        <f>VLOOKUP(A1631,Movie!A:D,4,FALSE)</f>
        <v>Screen Gems</v>
      </c>
      <c r="H1631" s="14">
        <f>VLOOKUP(E1631,'Rental Transaction'!A:B,2,FALSE)</f>
        <v>563468</v>
      </c>
      <c r="I1631">
        <f t="shared" si="25"/>
        <v>2013</v>
      </c>
    </row>
    <row r="1632" spans="1:9">
      <c r="A1632" s="1">
        <v>10088</v>
      </c>
      <c r="B1632" s="1">
        <v>3</v>
      </c>
      <c r="C1632" s="2">
        <v>41435</v>
      </c>
      <c r="D1632" s="1" t="s">
        <v>2005</v>
      </c>
      <c r="E1632" s="1">
        <v>100927</v>
      </c>
      <c r="F1632" s="6" t="s">
        <v>3634</v>
      </c>
      <c r="G1632" s="15" t="str">
        <f>VLOOKUP(A1632,Movie!A:D,4,FALSE)</f>
        <v>Warner Brothers</v>
      </c>
      <c r="H1632" s="14">
        <f>VLOOKUP(E1632,'Rental Transaction'!A:B,2,FALSE)</f>
        <v>563468</v>
      </c>
      <c r="I1632">
        <f t="shared" si="25"/>
        <v>2013</v>
      </c>
    </row>
    <row r="1633" spans="1:9">
      <c r="A1633" s="1">
        <v>10003</v>
      </c>
      <c r="B1633" s="1">
        <v>3</v>
      </c>
      <c r="C1633" s="2">
        <v>41434</v>
      </c>
      <c r="D1633" s="1" t="s">
        <v>2005</v>
      </c>
      <c r="E1633" s="1">
        <v>100927</v>
      </c>
      <c r="F1633" s="6" t="s">
        <v>3635</v>
      </c>
      <c r="G1633" s="15" t="str">
        <f>VLOOKUP(A1633,Movie!A:D,4,FALSE)</f>
        <v>Paramount</v>
      </c>
      <c r="H1633" s="14">
        <f>VLOOKUP(E1633,'Rental Transaction'!A:B,2,FALSE)</f>
        <v>563468</v>
      </c>
      <c r="I1633">
        <f t="shared" si="25"/>
        <v>2013</v>
      </c>
    </row>
    <row r="1634" spans="1:9" ht="29.25">
      <c r="A1634" s="1">
        <v>10154</v>
      </c>
      <c r="B1634" s="1">
        <v>3</v>
      </c>
      <c r="C1634" s="2">
        <v>41434</v>
      </c>
      <c r="D1634" s="1" t="s">
        <v>2005</v>
      </c>
      <c r="E1634" s="1">
        <v>100928</v>
      </c>
      <c r="F1634" s="6" t="s">
        <v>3636</v>
      </c>
      <c r="G1634" s="15" t="str">
        <f>VLOOKUP(A1634,Movie!A:D,4,FALSE)</f>
        <v>Summit Entertainment</v>
      </c>
      <c r="H1634" s="14">
        <f>VLOOKUP(E1634,'Rental Transaction'!A:B,2,FALSE)</f>
        <v>892883</v>
      </c>
      <c r="I1634">
        <f t="shared" si="25"/>
        <v>2013</v>
      </c>
    </row>
    <row r="1635" spans="1:9">
      <c r="A1635" s="1">
        <v>10163</v>
      </c>
      <c r="B1635" s="1">
        <v>3</v>
      </c>
      <c r="C1635" s="2">
        <v>41434</v>
      </c>
      <c r="D1635" s="1" t="s">
        <v>2002</v>
      </c>
      <c r="E1635" s="1">
        <v>100928</v>
      </c>
      <c r="F1635" s="6" t="s">
        <v>3637</v>
      </c>
      <c r="G1635" s="15" t="str">
        <f>VLOOKUP(A1635,Movie!A:D,4,FALSE)</f>
        <v>Warner Brothers</v>
      </c>
      <c r="H1635" s="14">
        <f>VLOOKUP(E1635,'Rental Transaction'!A:B,2,FALSE)</f>
        <v>892883</v>
      </c>
      <c r="I1635">
        <f t="shared" si="25"/>
        <v>2013</v>
      </c>
    </row>
    <row r="1636" spans="1:9">
      <c r="A1636" s="1">
        <v>10072</v>
      </c>
      <c r="B1636" s="1">
        <v>3</v>
      </c>
      <c r="C1636" s="2">
        <v>41436</v>
      </c>
      <c r="D1636" s="1" t="s">
        <v>2002</v>
      </c>
      <c r="E1636" s="1">
        <v>100929</v>
      </c>
      <c r="F1636" s="6" t="s">
        <v>3638</v>
      </c>
      <c r="G1636" s="15" t="str">
        <f>VLOOKUP(A1636,Movie!A:D,4,FALSE)</f>
        <v>Paramount</v>
      </c>
      <c r="H1636" s="14">
        <f>VLOOKUP(E1636,'Rental Transaction'!A:B,2,FALSE)</f>
        <v>437454</v>
      </c>
      <c r="I1636">
        <f t="shared" si="25"/>
        <v>2013</v>
      </c>
    </row>
    <row r="1637" spans="1:9">
      <c r="A1637" s="1">
        <v>10110</v>
      </c>
      <c r="B1637" s="1">
        <v>6</v>
      </c>
      <c r="C1637" s="2">
        <v>41435</v>
      </c>
      <c r="D1637" s="1" t="s">
        <v>2002</v>
      </c>
      <c r="E1637" s="1">
        <v>100929</v>
      </c>
      <c r="F1637" s="6" t="s">
        <v>3639</v>
      </c>
      <c r="G1637" s="15" t="str">
        <f>VLOOKUP(A1637,Movie!A:D,4,FALSE)</f>
        <v>Warner Brothers</v>
      </c>
      <c r="H1637" s="14">
        <f>VLOOKUP(E1637,'Rental Transaction'!A:B,2,FALSE)</f>
        <v>437454</v>
      </c>
      <c r="I1637">
        <f t="shared" si="25"/>
        <v>2013</v>
      </c>
    </row>
    <row r="1638" spans="1:9">
      <c r="A1638" s="1">
        <v>10236</v>
      </c>
      <c r="B1638" s="1">
        <v>8</v>
      </c>
      <c r="C1638" s="2">
        <v>41435</v>
      </c>
      <c r="D1638" s="1" t="s">
        <v>2002</v>
      </c>
      <c r="E1638" s="1">
        <v>100929</v>
      </c>
      <c r="F1638" s="6" t="s">
        <v>3640</v>
      </c>
      <c r="G1638" s="15" t="str">
        <f>VLOOKUP(A1638,Movie!A:D,4,FALSE)</f>
        <v>Lionsgate</v>
      </c>
      <c r="H1638" s="14">
        <f>VLOOKUP(E1638,'Rental Transaction'!A:B,2,FALSE)</f>
        <v>437454</v>
      </c>
      <c r="I1638">
        <f t="shared" si="25"/>
        <v>2013</v>
      </c>
    </row>
    <row r="1639" spans="1:9">
      <c r="A1639" s="1">
        <v>10001</v>
      </c>
      <c r="B1639" s="1">
        <v>2</v>
      </c>
      <c r="C1639" s="2">
        <v>41437</v>
      </c>
      <c r="D1639" s="1" t="s">
        <v>2002</v>
      </c>
      <c r="E1639" s="1">
        <v>100930</v>
      </c>
      <c r="F1639" s="6" t="s">
        <v>3641</v>
      </c>
      <c r="G1639" s="15" t="str">
        <f>VLOOKUP(A1639,Movie!A:D,4,FALSE)</f>
        <v>Focus</v>
      </c>
      <c r="H1639" s="14">
        <f>VLOOKUP(E1639,'Rental Transaction'!A:B,2,FALSE)</f>
        <v>912671</v>
      </c>
      <c r="I1639">
        <f t="shared" si="25"/>
        <v>2013</v>
      </c>
    </row>
    <row r="1640" spans="1:9">
      <c r="A1640" s="1">
        <v>10040</v>
      </c>
      <c r="B1640" s="1">
        <v>7</v>
      </c>
      <c r="C1640" s="2">
        <v>41435</v>
      </c>
      <c r="D1640" s="1" t="s">
        <v>2002</v>
      </c>
      <c r="E1640" s="1">
        <v>100931</v>
      </c>
      <c r="F1640" s="6" t="s">
        <v>3642</v>
      </c>
      <c r="G1640" s="15" t="str">
        <f>VLOOKUP(A1640,Movie!A:D,4,FALSE)</f>
        <v>Universal</v>
      </c>
      <c r="H1640" s="14">
        <f>VLOOKUP(E1640,'Rental Transaction'!A:B,2,FALSE)</f>
        <v>885548</v>
      </c>
      <c r="I1640">
        <f t="shared" si="25"/>
        <v>2013</v>
      </c>
    </row>
    <row r="1641" spans="1:9">
      <c r="A1641" s="1">
        <v>10025</v>
      </c>
      <c r="B1641" s="1">
        <v>3</v>
      </c>
      <c r="C1641" s="2">
        <v>41435</v>
      </c>
      <c r="D1641" s="1" t="s">
        <v>2002</v>
      </c>
      <c r="E1641" s="1">
        <v>100932</v>
      </c>
      <c r="F1641" s="6" t="s">
        <v>3643</v>
      </c>
      <c r="G1641" s="15" t="str">
        <f>VLOOKUP(A1641,Movie!A:D,4,FALSE)</f>
        <v>Sony</v>
      </c>
      <c r="H1641" s="14">
        <f>VLOOKUP(E1641,'Rental Transaction'!A:B,2,FALSE)</f>
        <v>814317</v>
      </c>
      <c r="I1641">
        <f t="shared" si="25"/>
        <v>2013</v>
      </c>
    </row>
    <row r="1642" spans="1:9">
      <c r="A1642" s="1">
        <v>10047</v>
      </c>
      <c r="B1642" s="1">
        <v>9</v>
      </c>
      <c r="C1642" s="2">
        <v>41438</v>
      </c>
      <c r="D1642" s="1" t="s">
        <v>2002</v>
      </c>
      <c r="E1642" s="1">
        <v>100932</v>
      </c>
      <c r="F1642" s="6" t="s">
        <v>3644</v>
      </c>
      <c r="G1642" s="15" t="str">
        <f>VLOOKUP(A1642,Movie!A:D,4,FALSE)</f>
        <v>Warner Brothers</v>
      </c>
      <c r="H1642" s="14">
        <f>VLOOKUP(E1642,'Rental Transaction'!A:B,2,FALSE)</f>
        <v>814317</v>
      </c>
      <c r="I1642">
        <f t="shared" si="25"/>
        <v>2013</v>
      </c>
    </row>
    <row r="1643" spans="1:9">
      <c r="A1643" s="1">
        <v>10296</v>
      </c>
      <c r="B1643" s="1">
        <v>5</v>
      </c>
      <c r="C1643" s="2">
        <v>41435</v>
      </c>
      <c r="D1643" s="1" t="s">
        <v>2002</v>
      </c>
      <c r="E1643" s="1">
        <v>100933</v>
      </c>
      <c r="F1643" s="6" t="s">
        <v>3645</v>
      </c>
      <c r="G1643" s="15" t="str">
        <f>VLOOKUP(A1643,Movie!A:D,4,FALSE)</f>
        <v>A24</v>
      </c>
      <c r="H1643" s="14">
        <f>VLOOKUP(E1643,'Rental Transaction'!A:B,2,FALSE)</f>
        <v>515753</v>
      </c>
      <c r="I1643">
        <f t="shared" si="25"/>
        <v>2013</v>
      </c>
    </row>
    <row r="1644" spans="1:9">
      <c r="A1644" s="1">
        <v>10072</v>
      </c>
      <c r="B1644" s="1">
        <v>2</v>
      </c>
      <c r="C1644" s="2">
        <v>41435</v>
      </c>
      <c r="D1644" s="1" t="s">
        <v>2005</v>
      </c>
      <c r="E1644" s="1">
        <v>100933</v>
      </c>
      <c r="F1644" s="6" t="s">
        <v>3646</v>
      </c>
      <c r="G1644" s="15" t="str">
        <f>VLOOKUP(A1644,Movie!A:D,4,FALSE)</f>
        <v>Paramount</v>
      </c>
      <c r="H1644" s="14">
        <f>VLOOKUP(E1644,'Rental Transaction'!A:B,2,FALSE)</f>
        <v>515753</v>
      </c>
      <c r="I1644">
        <f t="shared" si="25"/>
        <v>2013</v>
      </c>
    </row>
    <row r="1645" spans="1:9">
      <c r="A1645" s="1">
        <v>10296</v>
      </c>
      <c r="B1645" s="1">
        <v>9</v>
      </c>
      <c r="C1645" s="2">
        <v>41435</v>
      </c>
      <c r="D1645" s="1" t="s">
        <v>2002</v>
      </c>
      <c r="E1645" s="1">
        <v>100934</v>
      </c>
      <c r="F1645" s="6" t="s">
        <v>3647</v>
      </c>
      <c r="G1645" s="15" t="str">
        <f>VLOOKUP(A1645,Movie!A:D,4,FALSE)</f>
        <v>A24</v>
      </c>
      <c r="H1645" s="14">
        <f>VLOOKUP(E1645,'Rental Transaction'!A:B,2,FALSE)</f>
        <v>817500</v>
      </c>
      <c r="I1645">
        <f t="shared" si="25"/>
        <v>2013</v>
      </c>
    </row>
    <row r="1646" spans="1:9">
      <c r="A1646" s="1">
        <v>10273</v>
      </c>
      <c r="B1646" s="1">
        <v>10</v>
      </c>
      <c r="C1646" s="2">
        <v>41435</v>
      </c>
      <c r="D1646" s="1" t="s">
        <v>2002</v>
      </c>
      <c r="E1646" s="1">
        <v>100934</v>
      </c>
      <c r="F1646" s="6" t="s">
        <v>3648</v>
      </c>
      <c r="G1646" s="15" t="str">
        <f>VLOOKUP(A1646,Movie!A:D,4,FALSE)</f>
        <v>Sony</v>
      </c>
      <c r="H1646" s="14">
        <f>VLOOKUP(E1646,'Rental Transaction'!A:B,2,FALSE)</f>
        <v>817500</v>
      </c>
      <c r="I1646">
        <f t="shared" si="25"/>
        <v>2013</v>
      </c>
    </row>
    <row r="1647" spans="1:9">
      <c r="A1647" s="1">
        <v>10160</v>
      </c>
      <c r="B1647" s="1">
        <v>10</v>
      </c>
      <c r="C1647" s="2">
        <v>41435</v>
      </c>
      <c r="D1647" s="1" t="s">
        <v>2005</v>
      </c>
      <c r="E1647" s="1">
        <v>100934</v>
      </c>
      <c r="F1647" s="6" t="s">
        <v>3649</v>
      </c>
      <c r="G1647" s="15" t="str">
        <f>VLOOKUP(A1647,Movie!A:D,4,FALSE)</f>
        <v>Lionsgate</v>
      </c>
      <c r="H1647" s="14">
        <f>VLOOKUP(E1647,'Rental Transaction'!A:B,2,FALSE)</f>
        <v>817500</v>
      </c>
      <c r="I1647">
        <f t="shared" si="25"/>
        <v>2013</v>
      </c>
    </row>
    <row r="1648" spans="1:9">
      <c r="A1648" s="1">
        <v>10182</v>
      </c>
      <c r="B1648" s="1">
        <v>4</v>
      </c>
      <c r="C1648" s="2">
        <v>41436</v>
      </c>
      <c r="D1648" s="1" t="s">
        <v>2005</v>
      </c>
      <c r="E1648" s="1">
        <v>100935</v>
      </c>
      <c r="F1648" s="6" t="s">
        <v>3650</v>
      </c>
      <c r="G1648" s="15" t="str">
        <f>VLOOKUP(A1648,Movie!A:D,4,FALSE)</f>
        <v>Warner Brothers</v>
      </c>
      <c r="H1648" s="14">
        <f>VLOOKUP(E1648,'Rental Transaction'!A:B,2,FALSE)</f>
        <v>308505</v>
      </c>
      <c r="I1648">
        <f t="shared" si="25"/>
        <v>2013</v>
      </c>
    </row>
    <row r="1649" spans="1:9">
      <c r="A1649" s="1">
        <v>10050</v>
      </c>
      <c r="B1649" s="1">
        <v>2</v>
      </c>
      <c r="C1649" s="2">
        <v>41436</v>
      </c>
      <c r="D1649" s="1" t="s">
        <v>2005</v>
      </c>
      <c r="E1649" s="1">
        <v>100936</v>
      </c>
      <c r="F1649" s="6" t="s">
        <v>3651</v>
      </c>
      <c r="G1649" s="15" t="str">
        <f>VLOOKUP(A1649,Movie!A:D,4,FALSE)</f>
        <v>Paramount</v>
      </c>
      <c r="H1649" s="14">
        <f>VLOOKUP(E1649,'Rental Transaction'!A:B,2,FALSE)</f>
        <v>147543</v>
      </c>
      <c r="I1649">
        <f t="shared" si="25"/>
        <v>2013</v>
      </c>
    </row>
    <row r="1650" spans="1:9">
      <c r="A1650" s="1">
        <v>10063</v>
      </c>
      <c r="B1650" s="1">
        <v>3</v>
      </c>
      <c r="C1650" s="2">
        <v>41436</v>
      </c>
      <c r="D1650" s="1" t="s">
        <v>2002</v>
      </c>
      <c r="E1650" s="1">
        <v>100936</v>
      </c>
      <c r="F1650" s="6" t="s">
        <v>3652</v>
      </c>
      <c r="G1650" s="15" t="str">
        <f>VLOOKUP(A1650,Movie!A:D,4,FALSE)</f>
        <v>CBS Films</v>
      </c>
      <c r="H1650" s="14">
        <f>VLOOKUP(E1650,'Rental Transaction'!A:B,2,FALSE)</f>
        <v>147543</v>
      </c>
      <c r="I1650">
        <f t="shared" si="25"/>
        <v>2013</v>
      </c>
    </row>
    <row r="1651" spans="1:9">
      <c r="A1651" s="1">
        <v>10260</v>
      </c>
      <c r="B1651" s="1">
        <v>7</v>
      </c>
      <c r="C1651" s="2">
        <v>41436</v>
      </c>
      <c r="D1651" s="1" t="s">
        <v>2005</v>
      </c>
      <c r="E1651" s="1">
        <v>100937</v>
      </c>
      <c r="F1651" s="6" t="s">
        <v>3653</v>
      </c>
      <c r="G1651" s="15" t="str">
        <f>VLOOKUP(A1651,Movie!A:D,4,FALSE)</f>
        <v>Sony</v>
      </c>
      <c r="H1651" s="14">
        <f>VLOOKUP(E1651,'Rental Transaction'!A:B,2,FALSE)</f>
        <v>567388</v>
      </c>
      <c r="I1651">
        <f t="shared" si="25"/>
        <v>2013</v>
      </c>
    </row>
    <row r="1652" spans="1:9">
      <c r="A1652" s="1">
        <v>10071</v>
      </c>
      <c r="B1652" s="1">
        <v>10</v>
      </c>
      <c r="C1652" s="2">
        <v>41437</v>
      </c>
      <c r="D1652" s="1" t="s">
        <v>2002</v>
      </c>
      <c r="E1652" s="1">
        <v>100937</v>
      </c>
      <c r="F1652" s="6" t="s">
        <v>3654</v>
      </c>
      <c r="G1652" s="15" t="str">
        <f>VLOOKUP(A1652,Movie!A:D,4,FALSE)</f>
        <v>Paramount</v>
      </c>
      <c r="H1652" s="14">
        <f>VLOOKUP(E1652,'Rental Transaction'!A:B,2,FALSE)</f>
        <v>567388</v>
      </c>
      <c r="I1652">
        <f t="shared" si="25"/>
        <v>2013</v>
      </c>
    </row>
    <row r="1653" spans="1:9">
      <c r="A1653" s="1">
        <v>10053</v>
      </c>
      <c r="B1653" s="1">
        <v>7</v>
      </c>
      <c r="C1653" s="2">
        <v>41436</v>
      </c>
      <c r="D1653" s="1" t="s">
        <v>2005</v>
      </c>
      <c r="E1653" s="1">
        <v>100938</v>
      </c>
      <c r="F1653" s="6" t="s">
        <v>3655</v>
      </c>
      <c r="G1653" s="15" t="str">
        <f>VLOOKUP(A1653,Movie!A:D,4,FALSE)</f>
        <v>Sony</v>
      </c>
      <c r="H1653" s="14">
        <f>VLOOKUP(E1653,'Rental Transaction'!A:B,2,FALSE)</f>
        <v>720602</v>
      </c>
      <c r="I1653">
        <f t="shared" si="25"/>
        <v>2013</v>
      </c>
    </row>
    <row r="1654" spans="1:9">
      <c r="A1654" s="1">
        <v>10020</v>
      </c>
      <c r="B1654" s="1">
        <v>8</v>
      </c>
      <c r="C1654" s="2">
        <v>41436</v>
      </c>
      <c r="D1654" s="1" t="s">
        <v>2005</v>
      </c>
      <c r="E1654" s="1">
        <v>100939</v>
      </c>
      <c r="F1654" s="6" t="s">
        <v>3656</v>
      </c>
      <c r="G1654" s="15" t="str">
        <f>VLOOKUP(A1654,Movie!A:D,4,FALSE)</f>
        <v>FilmDistrict</v>
      </c>
      <c r="H1654" s="14">
        <f>VLOOKUP(E1654,'Rental Transaction'!A:B,2,FALSE)</f>
        <v>363931</v>
      </c>
      <c r="I1654">
        <f t="shared" si="25"/>
        <v>2013</v>
      </c>
    </row>
    <row r="1655" spans="1:9">
      <c r="A1655" s="1">
        <v>10230</v>
      </c>
      <c r="B1655" s="1">
        <v>8</v>
      </c>
      <c r="C1655" s="2">
        <v>41436</v>
      </c>
      <c r="D1655" s="1" t="s">
        <v>2005</v>
      </c>
      <c r="E1655" s="1">
        <v>100939</v>
      </c>
      <c r="F1655" s="6" t="s">
        <v>3657</v>
      </c>
      <c r="G1655" s="15" t="str">
        <f>VLOOKUP(A1655,Movie!A:D,4,FALSE)</f>
        <v>Focus</v>
      </c>
      <c r="H1655" s="14">
        <f>VLOOKUP(E1655,'Rental Transaction'!A:B,2,FALSE)</f>
        <v>363931</v>
      </c>
      <c r="I1655">
        <f t="shared" si="25"/>
        <v>2013</v>
      </c>
    </row>
    <row r="1656" spans="1:9">
      <c r="A1656" s="1">
        <v>10044</v>
      </c>
      <c r="B1656" s="1">
        <v>2</v>
      </c>
      <c r="C1656" s="2">
        <v>41436</v>
      </c>
      <c r="D1656" s="1" t="s">
        <v>2002</v>
      </c>
      <c r="E1656" s="1">
        <v>100940</v>
      </c>
      <c r="F1656" s="6" t="s">
        <v>3658</v>
      </c>
      <c r="G1656" s="15" t="str">
        <f>VLOOKUP(A1656,Movie!A:D,4,FALSE)</f>
        <v>Buena Vista</v>
      </c>
      <c r="H1656" s="14">
        <f>VLOOKUP(E1656,'Rental Transaction'!A:B,2,FALSE)</f>
        <v>537796</v>
      </c>
      <c r="I1656">
        <f t="shared" si="25"/>
        <v>2013</v>
      </c>
    </row>
    <row r="1657" spans="1:9">
      <c r="A1657" s="1">
        <v>10235</v>
      </c>
      <c r="B1657" s="1">
        <v>1</v>
      </c>
      <c r="C1657" s="2">
        <v>41437</v>
      </c>
      <c r="D1657" s="1" t="s">
        <v>2002</v>
      </c>
      <c r="E1657" s="1">
        <v>100940</v>
      </c>
      <c r="F1657" s="6" t="s">
        <v>3659</v>
      </c>
      <c r="G1657" s="15" t="str">
        <f>VLOOKUP(A1657,Movie!A:D,4,FALSE)</f>
        <v>Lionsgate</v>
      </c>
      <c r="H1657" s="14">
        <f>VLOOKUP(E1657,'Rental Transaction'!A:B,2,FALSE)</f>
        <v>537796</v>
      </c>
      <c r="I1657">
        <f t="shared" si="25"/>
        <v>2013</v>
      </c>
    </row>
    <row r="1658" spans="1:9">
      <c r="A1658" s="1">
        <v>10138</v>
      </c>
      <c r="B1658" s="1">
        <v>4</v>
      </c>
      <c r="C1658" s="2">
        <v>41437</v>
      </c>
      <c r="D1658" s="1" t="s">
        <v>2002</v>
      </c>
      <c r="E1658" s="1">
        <v>100940</v>
      </c>
      <c r="F1658" s="6" t="s">
        <v>3660</v>
      </c>
      <c r="G1658" s="15" t="str">
        <f>VLOOKUP(A1658,Movie!A:D,4,FALSE)</f>
        <v>Universal</v>
      </c>
      <c r="H1658" s="14">
        <f>VLOOKUP(E1658,'Rental Transaction'!A:B,2,FALSE)</f>
        <v>537796</v>
      </c>
      <c r="I1658">
        <f t="shared" si="25"/>
        <v>2013</v>
      </c>
    </row>
    <row r="1659" spans="1:9">
      <c r="A1659" s="1">
        <v>10019</v>
      </c>
      <c r="B1659" s="1">
        <v>9</v>
      </c>
      <c r="C1659" s="2">
        <v>41436</v>
      </c>
      <c r="D1659" s="1" t="s">
        <v>2005</v>
      </c>
      <c r="E1659" s="1">
        <v>100941</v>
      </c>
      <c r="F1659" s="6" t="s">
        <v>3661</v>
      </c>
      <c r="G1659" s="15" t="str">
        <f>VLOOKUP(A1659,Movie!A:D,4,FALSE)</f>
        <v>Fox</v>
      </c>
      <c r="H1659" s="14">
        <f>VLOOKUP(E1659,'Rental Transaction'!A:B,2,FALSE)</f>
        <v>782947</v>
      </c>
      <c r="I1659">
        <f t="shared" si="25"/>
        <v>2013</v>
      </c>
    </row>
    <row r="1660" spans="1:9">
      <c r="A1660" s="1">
        <v>10272</v>
      </c>
      <c r="B1660" s="1">
        <v>8</v>
      </c>
      <c r="C1660" s="2">
        <v>41436</v>
      </c>
      <c r="D1660" s="1" t="s">
        <v>2005</v>
      </c>
      <c r="E1660" s="1">
        <v>100942</v>
      </c>
      <c r="F1660" s="6" t="s">
        <v>3662</v>
      </c>
      <c r="G1660" s="15" t="str">
        <f>VLOOKUP(A1660,Movie!A:D,4,FALSE)</f>
        <v>Sony</v>
      </c>
      <c r="H1660" s="14">
        <f>VLOOKUP(E1660,'Rental Transaction'!A:B,2,FALSE)</f>
        <v>500350</v>
      </c>
      <c r="I1660">
        <f t="shared" si="25"/>
        <v>2013</v>
      </c>
    </row>
    <row r="1661" spans="1:9">
      <c r="A1661" s="1">
        <v>10293</v>
      </c>
      <c r="B1661" s="1">
        <v>8</v>
      </c>
      <c r="C1661" s="2">
        <v>41436</v>
      </c>
      <c r="D1661" s="1" t="s">
        <v>2005</v>
      </c>
      <c r="E1661" s="1">
        <v>100943</v>
      </c>
      <c r="F1661" s="6" t="s">
        <v>3663</v>
      </c>
      <c r="G1661" s="15" t="str">
        <f>VLOOKUP(A1661,Movie!A:D,4,FALSE)</f>
        <v>Relativity</v>
      </c>
      <c r="H1661" s="14">
        <f>VLOOKUP(E1661,'Rental Transaction'!A:B,2,FALSE)</f>
        <v>994185</v>
      </c>
      <c r="I1661">
        <f t="shared" si="25"/>
        <v>2013</v>
      </c>
    </row>
    <row r="1662" spans="1:9" ht="29.25">
      <c r="A1662" s="1">
        <v>10081</v>
      </c>
      <c r="B1662" s="1">
        <v>6</v>
      </c>
      <c r="C1662" s="2">
        <v>41437</v>
      </c>
      <c r="D1662" s="1" t="s">
        <v>2005</v>
      </c>
      <c r="E1662" s="1">
        <v>100943</v>
      </c>
      <c r="F1662" s="6" t="s">
        <v>3664</v>
      </c>
      <c r="G1662" s="15" t="str">
        <f>VLOOKUP(A1662,Movie!A:D,4,FALSE)</f>
        <v>Weinstein Company</v>
      </c>
      <c r="H1662" s="14">
        <f>VLOOKUP(E1662,'Rental Transaction'!A:B,2,FALSE)</f>
        <v>994185</v>
      </c>
      <c r="I1662">
        <f t="shared" si="25"/>
        <v>2013</v>
      </c>
    </row>
    <row r="1663" spans="1:9">
      <c r="A1663" s="1">
        <v>10232</v>
      </c>
      <c r="B1663" s="1">
        <v>10</v>
      </c>
      <c r="C1663" s="2">
        <v>41436</v>
      </c>
      <c r="D1663" s="1" t="s">
        <v>2002</v>
      </c>
      <c r="E1663" s="1">
        <v>100944</v>
      </c>
      <c r="F1663" s="6" t="s">
        <v>3665</v>
      </c>
      <c r="G1663" s="15" t="str">
        <f>VLOOKUP(A1663,Movie!A:D,4,FALSE)</f>
        <v>Paramount</v>
      </c>
      <c r="H1663" s="14">
        <f>VLOOKUP(E1663,'Rental Transaction'!A:B,2,FALSE)</f>
        <v>548800</v>
      </c>
      <c r="I1663">
        <f t="shared" si="25"/>
        <v>2013</v>
      </c>
    </row>
    <row r="1664" spans="1:9">
      <c r="A1664" s="1">
        <v>10139</v>
      </c>
      <c r="B1664" s="1">
        <v>3</v>
      </c>
      <c r="C1664" s="2">
        <v>41436</v>
      </c>
      <c r="D1664" s="1" t="s">
        <v>2002</v>
      </c>
      <c r="E1664" s="1">
        <v>100944</v>
      </c>
      <c r="F1664" s="6" t="s">
        <v>3666</v>
      </c>
      <c r="G1664" s="15" t="str">
        <f>VLOOKUP(A1664,Movie!A:D,4,FALSE)</f>
        <v>Focus</v>
      </c>
      <c r="H1664" s="14">
        <f>VLOOKUP(E1664,'Rental Transaction'!A:B,2,FALSE)</f>
        <v>548800</v>
      </c>
      <c r="I1664">
        <f t="shared" si="25"/>
        <v>2013</v>
      </c>
    </row>
    <row r="1665" spans="1:9" ht="29.25">
      <c r="A1665" s="1">
        <v>10121</v>
      </c>
      <c r="B1665" s="1">
        <v>3</v>
      </c>
      <c r="C1665" s="2">
        <v>41436</v>
      </c>
      <c r="D1665" s="1" t="s">
        <v>2005</v>
      </c>
      <c r="E1665" s="1">
        <v>100945</v>
      </c>
      <c r="F1665" s="6" t="s">
        <v>3667</v>
      </c>
      <c r="G1665" s="15" t="str">
        <f>VLOOKUP(A1665,Movie!A:D,4,FALSE)</f>
        <v>Weinstein Company</v>
      </c>
      <c r="H1665" s="14">
        <f>VLOOKUP(E1665,'Rental Transaction'!A:B,2,FALSE)</f>
        <v>500828</v>
      </c>
      <c r="I1665">
        <f t="shared" si="25"/>
        <v>2013</v>
      </c>
    </row>
    <row r="1666" spans="1:9">
      <c r="A1666" s="1">
        <v>10218</v>
      </c>
      <c r="B1666" s="1">
        <v>7</v>
      </c>
      <c r="C1666" s="2">
        <v>41437</v>
      </c>
      <c r="D1666" s="1" t="s">
        <v>2002</v>
      </c>
      <c r="E1666" s="1">
        <v>100946</v>
      </c>
      <c r="F1666" s="6" t="s">
        <v>3668</v>
      </c>
      <c r="G1666" s="15" t="str">
        <f>VLOOKUP(A1666,Movie!A:D,4,FALSE)</f>
        <v>Sony</v>
      </c>
      <c r="H1666" s="14">
        <f>VLOOKUP(E1666,'Rental Transaction'!A:B,2,FALSE)</f>
        <v>761615</v>
      </c>
      <c r="I1666">
        <f t="shared" si="25"/>
        <v>2013</v>
      </c>
    </row>
    <row r="1667" spans="1:9">
      <c r="A1667" s="1">
        <v>10162</v>
      </c>
      <c r="B1667" s="1">
        <v>1</v>
      </c>
      <c r="C1667" s="2">
        <v>41437</v>
      </c>
      <c r="D1667" s="1" t="s">
        <v>2002</v>
      </c>
      <c r="E1667" s="1">
        <v>100946</v>
      </c>
      <c r="F1667" s="6" t="s">
        <v>3669</v>
      </c>
      <c r="G1667" s="15" t="str">
        <f>VLOOKUP(A1667,Movie!A:D,4,FALSE)</f>
        <v>Sony</v>
      </c>
      <c r="H1667" s="14">
        <f>VLOOKUP(E1667,'Rental Transaction'!A:B,2,FALSE)</f>
        <v>761615</v>
      </c>
      <c r="I1667">
        <f t="shared" ref="I1667:I1730" si="26">YEAR(C1667)</f>
        <v>2013</v>
      </c>
    </row>
    <row r="1668" spans="1:9" ht="29.25">
      <c r="A1668" s="1">
        <v>10165</v>
      </c>
      <c r="B1668" s="1">
        <v>2</v>
      </c>
      <c r="C1668" s="2">
        <v>41437</v>
      </c>
      <c r="D1668" s="1" t="s">
        <v>2002</v>
      </c>
      <c r="E1668" s="1">
        <v>100946</v>
      </c>
      <c r="F1668" s="6" t="s">
        <v>3670</v>
      </c>
      <c r="G1668" s="15" t="str">
        <f>VLOOKUP(A1668,Movie!A:D,4,FALSE)</f>
        <v>Weinstein Company</v>
      </c>
      <c r="H1668" s="14">
        <f>VLOOKUP(E1668,'Rental Transaction'!A:B,2,FALSE)</f>
        <v>761615</v>
      </c>
      <c r="I1668">
        <f t="shared" si="26"/>
        <v>2013</v>
      </c>
    </row>
    <row r="1669" spans="1:9" ht="29.25">
      <c r="A1669" s="1">
        <v>10249</v>
      </c>
      <c r="B1669" s="1">
        <v>8</v>
      </c>
      <c r="C1669" s="2">
        <v>41437</v>
      </c>
      <c r="D1669" s="1" t="s">
        <v>2002</v>
      </c>
      <c r="E1669" s="1">
        <v>100947</v>
      </c>
      <c r="F1669" s="6" t="s">
        <v>3671</v>
      </c>
      <c r="G1669" s="15" t="str">
        <f>VLOOKUP(A1669,Movie!A:D,4,FALSE)</f>
        <v>Summit Entertainment</v>
      </c>
      <c r="H1669" s="14">
        <f>VLOOKUP(E1669,'Rental Transaction'!A:B,2,FALSE)</f>
        <v>822823</v>
      </c>
      <c r="I1669">
        <f t="shared" si="26"/>
        <v>2013</v>
      </c>
    </row>
    <row r="1670" spans="1:9">
      <c r="A1670" s="1">
        <v>10085</v>
      </c>
      <c r="B1670" s="1">
        <v>3</v>
      </c>
      <c r="C1670" s="2">
        <v>41437</v>
      </c>
      <c r="D1670" s="1" t="s">
        <v>2002</v>
      </c>
      <c r="E1670" s="1">
        <v>100947</v>
      </c>
      <c r="F1670" s="6" t="s">
        <v>3672</v>
      </c>
      <c r="G1670" s="15" t="str">
        <f>VLOOKUP(A1670,Movie!A:D,4,FALSE)</f>
        <v>Buena Vista</v>
      </c>
      <c r="H1670" s="14">
        <f>VLOOKUP(E1670,'Rental Transaction'!A:B,2,FALSE)</f>
        <v>822823</v>
      </c>
      <c r="I1670">
        <f t="shared" si="26"/>
        <v>2013</v>
      </c>
    </row>
    <row r="1671" spans="1:9">
      <c r="A1671" s="1">
        <v>10014</v>
      </c>
      <c r="B1671" s="1">
        <v>9</v>
      </c>
      <c r="C1671" s="2">
        <v>41437</v>
      </c>
      <c r="D1671" s="1" t="s">
        <v>2005</v>
      </c>
      <c r="E1671" s="1">
        <v>100948</v>
      </c>
      <c r="F1671" s="6" t="s">
        <v>3673</v>
      </c>
      <c r="G1671" s="15" t="str">
        <f>VLOOKUP(A1671,Movie!A:D,4,FALSE)</f>
        <v>Warner Brothers</v>
      </c>
      <c r="H1671" s="14">
        <f>VLOOKUP(E1671,'Rental Transaction'!A:B,2,FALSE)</f>
        <v>736500</v>
      </c>
      <c r="I1671">
        <f t="shared" si="26"/>
        <v>2013</v>
      </c>
    </row>
    <row r="1672" spans="1:9">
      <c r="A1672" s="1">
        <v>10295</v>
      </c>
      <c r="B1672" s="1">
        <v>5</v>
      </c>
      <c r="C1672" s="2">
        <v>41438</v>
      </c>
      <c r="D1672" s="1" t="s">
        <v>2005</v>
      </c>
      <c r="E1672" s="1">
        <v>100948</v>
      </c>
      <c r="F1672" s="6" t="s">
        <v>3674</v>
      </c>
      <c r="G1672" s="15" t="str">
        <f>VLOOKUP(A1672,Movie!A:D,4,FALSE)</f>
        <v>A24</v>
      </c>
      <c r="H1672" s="14">
        <f>VLOOKUP(E1672,'Rental Transaction'!A:B,2,FALSE)</f>
        <v>736500</v>
      </c>
      <c r="I1672">
        <f t="shared" si="26"/>
        <v>2013</v>
      </c>
    </row>
    <row r="1673" spans="1:9">
      <c r="A1673" s="1">
        <v>10032</v>
      </c>
      <c r="B1673" s="1">
        <v>6</v>
      </c>
      <c r="C1673" s="2">
        <v>41438</v>
      </c>
      <c r="D1673" s="1" t="s">
        <v>2002</v>
      </c>
      <c r="E1673" s="1">
        <v>100949</v>
      </c>
      <c r="F1673" s="6" t="s">
        <v>3675</v>
      </c>
      <c r="G1673" s="15" t="str">
        <f>VLOOKUP(A1673,Movie!A:D,4,FALSE)</f>
        <v>Sony</v>
      </c>
      <c r="H1673" s="14">
        <f>VLOOKUP(E1673,'Rental Transaction'!A:B,2,FALSE)</f>
        <v>336644</v>
      </c>
      <c r="I1673">
        <f t="shared" si="26"/>
        <v>2013</v>
      </c>
    </row>
    <row r="1674" spans="1:9">
      <c r="A1674" s="1">
        <v>10276</v>
      </c>
      <c r="B1674" s="1">
        <v>4</v>
      </c>
      <c r="C1674" s="2">
        <v>41437</v>
      </c>
      <c r="D1674" s="1" t="s">
        <v>2002</v>
      </c>
      <c r="E1674" s="1">
        <v>100949</v>
      </c>
      <c r="F1674" s="6" t="s">
        <v>3676</v>
      </c>
      <c r="G1674" s="15" t="str">
        <f>VLOOKUP(A1674,Movie!A:D,4,FALSE)</f>
        <v>FilmDistrict</v>
      </c>
      <c r="H1674" s="14">
        <f>VLOOKUP(E1674,'Rental Transaction'!A:B,2,FALSE)</f>
        <v>336644</v>
      </c>
      <c r="I1674">
        <f t="shared" si="26"/>
        <v>2013</v>
      </c>
    </row>
    <row r="1675" spans="1:9">
      <c r="A1675" s="1">
        <v>10101</v>
      </c>
      <c r="B1675" s="1">
        <v>2</v>
      </c>
      <c r="C1675" s="2">
        <v>41438</v>
      </c>
      <c r="D1675" s="1" t="s">
        <v>2005</v>
      </c>
      <c r="E1675" s="1">
        <v>100950</v>
      </c>
      <c r="F1675" s="6" t="s">
        <v>3677</v>
      </c>
      <c r="G1675" s="15" t="str">
        <f>VLOOKUP(A1675,Movie!A:D,4,FALSE)</f>
        <v>Sony</v>
      </c>
      <c r="H1675" s="14">
        <f>VLOOKUP(E1675,'Rental Transaction'!A:B,2,FALSE)</f>
        <v>738357</v>
      </c>
      <c r="I1675">
        <f t="shared" si="26"/>
        <v>2013</v>
      </c>
    </row>
    <row r="1676" spans="1:9">
      <c r="A1676" s="1">
        <v>10292</v>
      </c>
      <c r="B1676" s="1">
        <v>10</v>
      </c>
      <c r="C1676" s="2">
        <v>41438</v>
      </c>
      <c r="D1676" s="1" t="s">
        <v>2002</v>
      </c>
      <c r="E1676" s="1">
        <v>100950</v>
      </c>
      <c r="F1676" s="6" t="s">
        <v>3678</v>
      </c>
      <c r="G1676" s="15" t="str">
        <f>VLOOKUP(A1676,Movie!A:D,4,FALSE)</f>
        <v>Sony Classics</v>
      </c>
      <c r="H1676" s="14">
        <f>VLOOKUP(E1676,'Rental Transaction'!A:B,2,FALSE)</f>
        <v>738357</v>
      </c>
      <c r="I1676">
        <f t="shared" si="26"/>
        <v>2013</v>
      </c>
    </row>
    <row r="1677" spans="1:9">
      <c r="A1677" s="1">
        <v>10059</v>
      </c>
      <c r="B1677" s="1">
        <v>3</v>
      </c>
      <c r="C1677" s="2">
        <v>41437</v>
      </c>
      <c r="D1677" s="1" t="s">
        <v>2002</v>
      </c>
      <c r="E1677" s="1">
        <v>100951</v>
      </c>
      <c r="F1677" s="6" t="s">
        <v>3679</v>
      </c>
      <c r="G1677" s="15" t="str">
        <f>VLOOKUP(A1677,Movie!A:D,4,FALSE)</f>
        <v>Universal</v>
      </c>
      <c r="H1677" s="14">
        <f>VLOOKUP(E1677,'Rental Transaction'!A:B,2,FALSE)</f>
        <v>366695</v>
      </c>
      <c r="I1677">
        <f t="shared" si="26"/>
        <v>2013</v>
      </c>
    </row>
    <row r="1678" spans="1:9">
      <c r="A1678" s="1">
        <v>10032</v>
      </c>
      <c r="B1678" s="1">
        <v>9</v>
      </c>
      <c r="C1678" s="2">
        <v>41438</v>
      </c>
      <c r="D1678" s="1" t="s">
        <v>2005</v>
      </c>
      <c r="E1678" s="1">
        <v>100951</v>
      </c>
      <c r="F1678" s="6" t="s">
        <v>3680</v>
      </c>
      <c r="G1678" s="15" t="str">
        <f>VLOOKUP(A1678,Movie!A:D,4,FALSE)</f>
        <v>Sony</v>
      </c>
      <c r="H1678" s="14">
        <f>VLOOKUP(E1678,'Rental Transaction'!A:B,2,FALSE)</f>
        <v>366695</v>
      </c>
      <c r="I1678">
        <f t="shared" si="26"/>
        <v>2013</v>
      </c>
    </row>
    <row r="1679" spans="1:9">
      <c r="A1679" s="1">
        <v>10152</v>
      </c>
      <c r="B1679" s="1">
        <v>10</v>
      </c>
      <c r="C1679" s="2">
        <v>41438</v>
      </c>
      <c r="D1679" s="1" t="s">
        <v>2002</v>
      </c>
      <c r="E1679" s="1">
        <v>100952</v>
      </c>
      <c r="F1679" s="6" t="s">
        <v>3681</v>
      </c>
      <c r="G1679" s="15" t="str">
        <f>VLOOKUP(A1679,Movie!A:D,4,FALSE)</f>
        <v>FilmDistrict</v>
      </c>
      <c r="H1679" s="14">
        <f>VLOOKUP(E1679,'Rental Transaction'!A:B,2,FALSE)</f>
        <v>706884</v>
      </c>
      <c r="I1679">
        <f t="shared" si="26"/>
        <v>2013</v>
      </c>
    </row>
    <row r="1680" spans="1:9">
      <c r="A1680" s="1">
        <v>10024</v>
      </c>
      <c r="B1680" s="1">
        <v>8</v>
      </c>
      <c r="C1680" s="2">
        <v>41438</v>
      </c>
      <c r="D1680" s="1" t="s">
        <v>2005</v>
      </c>
      <c r="E1680" s="1">
        <v>100952</v>
      </c>
      <c r="F1680" s="6" t="s">
        <v>3682</v>
      </c>
      <c r="G1680" s="15" t="str">
        <f>VLOOKUP(A1680,Movie!A:D,4,FALSE)</f>
        <v>Fox</v>
      </c>
      <c r="H1680" s="14">
        <f>VLOOKUP(E1680,'Rental Transaction'!A:B,2,FALSE)</f>
        <v>706884</v>
      </c>
      <c r="I1680">
        <f t="shared" si="26"/>
        <v>2013</v>
      </c>
    </row>
    <row r="1681" spans="1:9">
      <c r="A1681" s="1">
        <v>10284</v>
      </c>
      <c r="B1681" s="1">
        <v>2</v>
      </c>
      <c r="C1681" s="2">
        <v>41438</v>
      </c>
      <c r="D1681" s="1" t="s">
        <v>2002</v>
      </c>
      <c r="E1681" s="1">
        <v>100953</v>
      </c>
      <c r="F1681" s="6" t="s">
        <v>3683</v>
      </c>
      <c r="G1681" s="15" t="str">
        <f>VLOOKUP(A1681,Movie!A:D,4,FALSE)</f>
        <v>Focus</v>
      </c>
      <c r="H1681" s="14">
        <f>VLOOKUP(E1681,'Rental Transaction'!A:B,2,FALSE)</f>
        <v>616258</v>
      </c>
      <c r="I1681">
        <f t="shared" si="26"/>
        <v>2013</v>
      </c>
    </row>
    <row r="1682" spans="1:9">
      <c r="A1682" s="1">
        <v>10170</v>
      </c>
      <c r="B1682" s="1">
        <v>10</v>
      </c>
      <c r="C1682" s="2">
        <v>41439</v>
      </c>
      <c r="D1682" s="1" t="s">
        <v>2002</v>
      </c>
      <c r="E1682" s="1">
        <v>100954</v>
      </c>
      <c r="F1682" s="6" t="s">
        <v>3684</v>
      </c>
      <c r="G1682" s="15" t="str">
        <f>VLOOKUP(A1682,Movie!A:D,4,FALSE)</f>
        <v>Sony Classics</v>
      </c>
      <c r="H1682" s="14">
        <f>VLOOKUP(E1682,'Rental Transaction'!A:B,2,FALSE)</f>
        <v>194680</v>
      </c>
      <c r="I1682">
        <f t="shared" si="26"/>
        <v>2013</v>
      </c>
    </row>
    <row r="1683" spans="1:9">
      <c r="A1683" s="1">
        <v>10223</v>
      </c>
      <c r="B1683" s="1">
        <v>2</v>
      </c>
      <c r="C1683" s="2">
        <v>41438</v>
      </c>
      <c r="D1683" s="1" t="s">
        <v>2002</v>
      </c>
      <c r="E1683" s="1">
        <v>100954</v>
      </c>
      <c r="F1683" s="6" t="s">
        <v>3685</v>
      </c>
      <c r="G1683" s="15" t="str">
        <f>VLOOKUP(A1683,Movie!A:D,4,FALSE)</f>
        <v>Universal</v>
      </c>
      <c r="H1683" s="14">
        <f>VLOOKUP(E1683,'Rental Transaction'!A:B,2,FALSE)</f>
        <v>194680</v>
      </c>
      <c r="I1683">
        <f t="shared" si="26"/>
        <v>2013</v>
      </c>
    </row>
    <row r="1684" spans="1:9">
      <c r="A1684" s="1">
        <v>10232</v>
      </c>
      <c r="B1684" s="1">
        <v>8</v>
      </c>
      <c r="C1684" s="2">
        <v>41439</v>
      </c>
      <c r="D1684" s="1" t="s">
        <v>2005</v>
      </c>
      <c r="E1684" s="1">
        <v>100955</v>
      </c>
      <c r="F1684" s="6" t="s">
        <v>3686</v>
      </c>
      <c r="G1684" s="15" t="str">
        <f>VLOOKUP(A1684,Movie!A:D,4,FALSE)</f>
        <v>Paramount</v>
      </c>
      <c r="H1684" s="14">
        <f>VLOOKUP(E1684,'Rental Transaction'!A:B,2,FALSE)</f>
        <v>777145</v>
      </c>
      <c r="I1684">
        <f t="shared" si="26"/>
        <v>2013</v>
      </c>
    </row>
    <row r="1685" spans="1:9">
      <c r="A1685" s="1">
        <v>10076</v>
      </c>
      <c r="B1685" s="1">
        <v>3</v>
      </c>
      <c r="C1685" s="2">
        <v>41440</v>
      </c>
      <c r="D1685" s="1" t="s">
        <v>2005</v>
      </c>
      <c r="E1685" s="1">
        <v>100955</v>
      </c>
      <c r="F1685" s="6" t="s">
        <v>3687</v>
      </c>
      <c r="G1685" s="15" t="str">
        <f>VLOOKUP(A1685,Movie!A:D,4,FALSE)</f>
        <v>Sony</v>
      </c>
      <c r="H1685" s="14">
        <f>VLOOKUP(E1685,'Rental Transaction'!A:B,2,FALSE)</f>
        <v>777145</v>
      </c>
      <c r="I1685">
        <f t="shared" si="26"/>
        <v>2013</v>
      </c>
    </row>
    <row r="1686" spans="1:9">
      <c r="A1686" s="1">
        <v>10046</v>
      </c>
      <c r="B1686" s="1">
        <v>7</v>
      </c>
      <c r="C1686" s="2">
        <v>41442</v>
      </c>
      <c r="D1686" s="1" t="s">
        <v>2005</v>
      </c>
      <c r="E1686" s="1">
        <v>100955</v>
      </c>
      <c r="F1686" s="6" t="s">
        <v>3688</v>
      </c>
      <c r="G1686" s="15" t="str">
        <f>VLOOKUP(A1686,Movie!A:D,4,FALSE)</f>
        <v>Sony</v>
      </c>
      <c r="H1686" s="14">
        <f>VLOOKUP(E1686,'Rental Transaction'!A:B,2,FALSE)</f>
        <v>777145</v>
      </c>
      <c r="I1686">
        <f t="shared" si="26"/>
        <v>2013</v>
      </c>
    </row>
    <row r="1687" spans="1:9">
      <c r="A1687" s="1">
        <v>10056</v>
      </c>
      <c r="B1687" s="1">
        <v>9</v>
      </c>
      <c r="C1687" s="2">
        <v>41439</v>
      </c>
      <c r="D1687" s="1" t="s">
        <v>2002</v>
      </c>
      <c r="E1687" s="1">
        <v>100956</v>
      </c>
      <c r="F1687" s="6" t="s">
        <v>3689</v>
      </c>
      <c r="G1687" s="15" t="str">
        <f>VLOOKUP(A1687,Movie!A:D,4,FALSE)</f>
        <v>Screen Gems</v>
      </c>
      <c r="H1687" s="14">
        <f>VLOOKUP(E1687,'Rental Transaction'!A:B,2,FALSE)</f>
        <v>262579</v>
      </c>
      <c r="I1687">
        <f t="shared" si="26"/>
        <v>2013</v>
      </c>
    </row>
    <row r="1688" spans="1:9">
      <c r="A1688" s="1">
        <v>10148</v>
      </c>
      <c r="B1688" s="1">
        <v>3</v>
      </c>
      <c r="C1688" s="2">
        <v>41441</v>
      </c>
      <c r="D1688" s="1" t="s">
        <v>2005</v>
      </c>
      <c r="E1688" s="1">
        <v>100957</v>
      </c>
      <c r="F1688" s="6" t="s">
        <v>3690</v>
      </c>
      <c r="G1688" s="15" t="str">
        <f>VLOOKUP(A1688,Movie!A:D,4,FALSE)</f>
        <v>Paramount</v>
      </c>
      <c r="H1688" s="14">
        <f>VLOOKUP(E1688,'Rental Transaction'!A:B,2,FALSE)</f>
        <v>253106</v>
      </c>
      <c r="I1688">
        <f t="shared" si="26"/>
        <v>2013</v>
      </c>
    </row>
    <row r="1689" spans="1:9">
      <c r="A1689" s="1">
        <v>10134</v>
      </c>
      <c r="B1689" s="1">
        <v>3</v>
      </c>
      <c r="C1689" s="2">
        <v>41439</v>
      </c>
      <c r="D1689" s="1" t="s">
        <v>2002</v>
      </c>
      <c r="E1689" s="1">
        <v>100957</v>
      </c>
      <c r="F1689" s="6" t="s">
        <v>3691</v>
      </c>
      <c r="G1689" s="15" t="str">
        <f>VLOOKUP(A1689,Movie!A:D,4,FALSE)</f>
        <v>Universal</v>
      </c>
      <c r="H1689" s="14">
        <f>VLOOKUP(E1689,'Rental Transaction'!A:B,2,FALSE)</f>
        <v>253106</v>
      </c>
      <c r="I1689">
        <f t="shared" si="26"/>
        <v>2013</v>
      </c>
    </row>
    <row r="1690" spans="1:9">
      <c r="A1690" s="1">
        <v>10298</v>
      </c>
      <c r="B1690" s="1">
        <v>3</v>
      </c>
      <c r="C1690" s="2">
        <v>41439</v>
      </c>
      <c r="D1690" s="1" t="s">
        <v>2005</v>
      </c>
      <c r="E1690" s="1">
        <v>100957</v>
      </c>
      <c r="F1690" s="6" t="s">
        <v>3692</v>
      </c>
      <c r="G1690" s="15" t="str">
        <f>VLOOKUP(A1690,Movie!A:D,4,FALSE)</f>
        <v>UTV</v>
      </c>
      <c r="H1690" s="14">
        <f>VLOOKUP(E1690,'Rental Transaction'!A:B,2,FALSE)</f>
        <v>253106</v>
      </c>
      <c r="I1690">
        <f t="shared" si="26"/>
        <v>2013</v>
      </c>
    </row>
    <row r="1691" spans="1:9">
      <c r="A1691" s="1">
        <v>10147</v>
      </c>
      <c r="B1691" s="1">
        <v>6</v>
      </c>
      <c r="C1691" s="2">
        <v>41439</v>
      </c>
      <c r="D1691" s="1" t="s">
        <v>2002</v>
      </c>
      <c r="E1691" s="1">
        <v>100958</v>
      </c>
      <c r="F1691" s="6" t="s">
        <v>3693</v>
      </c>
      <c r="G1691" s="15" t="str">
        <f>VLOOKUP(A1691,Movie!A:D,4,FALSE)</f>
        <v>Lionsgate</v>
      </c>
      <c r="H1691" s="14">
        <f>VLOOKUP(E1691,'Rental Transaction'!A:B,2,FALSE)</f>
        <v>408341</v>
      </c>
      <c r="I1691">
        <f t="shared" si="26"/>
        <v>2013</v>
      </c>
    </row>
    <row r="1692" spans="1:9">
      <c r="A1692" s="1">
        <v>10014</v>
      </c>
      <c r="B1692" s="1">
        <v>4</v>
      </c>
      <c r="C1692" s="2">
        <v>41439</v>
      </c>
      <c r="D1692" s="1" t="s">
        <v>2002</v>
      </c>
      <c r="E1692" s="1">
        <v>100958</v>
      </c>
      <c r="F1692" s="6" t="s">
        <v>3694</v>
      </c>
      <c r="G1692" s="15" t="str">
        <f>VLOOKUP(A1692,Movie!A:D,4,FALSE)</f>
        <v>Warner Brothers</v>
      </c>
      <c r="H1692" s="14">
        <f>VLOOKUP(E1692,'Rental Transaction'!A:B,2,FALSE)</f>
        <v>408341</v>
      </c>
      <c r="I1692">
        <f t="shared" si="26"/>
        <v>2013</v>
      </c>
    </row>
    <row r="1693" spans="1:9">
      <c r="A1693" s="1">
        <v>10265</v>
      </c>
      <c r="B1693" s="1">
        <v>4</v>
      </c>
      <c r="C1693" s="2">
        <v>41439</v>
      </c>
      <c r="D1693" s="1" t="s">
        <v>2002</v>
      </c>
      <c r="E1693" s="1">
        <v>100958</v>
      </c>
      <c r="F1693" s="6" t="s">
        <v>3695</v>
      </c>
      <c r="G1693" s="15" t="str">
        <f>VLOOKUP(A1693,Movie!A:D,4,FALSE)</f>
        <v>Warner Brothers</v>
      </c>
      <c r="H1693" s="14">
        <f>VLOOKUP(E1693,'Rental Transaction'!A:B,2,FALSE)</f>
        <v>408341</v>
      </c>
      <c r="I1693">
        <f t="shared" si="26"/>
        <v>2013</v>
      </c>
    </row>
    <row r="1694" spans="1:9">
      <c r="A1694" s="1">
        <v>10145</v>
      </c>
      <c r="B1694" s="1">
        <v>5</v>
      </c>
      <c r="C1694" s="2">
        <v>41439</v>
      </c>
      <c r="D1694" s="1" t="s">
        <v>2005</v>
      </c>
      <c r="E1694" s="1">
        <v>100959</v>
      </c>
      <c r="F1694" s="6" t="s">
        <v>3696</v>
      </c>
      <c r="G1694" s="15" t="str">
        <f>VLOOKUP(A1694,Movie!A:D,4,FALSE)</f>
        <v>TriStar</v>
      </c>
      <c r="H1694" s="14">
        <f>VLOOKUP(E1694,'Rental Transaction'!A:B,2,FALSE)</f>
        <v>970794</v>
      </c>
      <c r="I1694">
        <f t="shared" si="26"/>
        <v>2013</v>
      </c>
    </row>
    <row r="1695" spans="1:9">
      <c r="A1695" s="1">
        <v>10280</v>
      </c>
      <c r="B1695" s="1">
        <v>5</v>
      </c>
      <c r="C1695" s="2">
        <v>41441</v>
      </c>
      <c r="D1695" s="1" t="s">
        <v>2005</v>
      </c>
      <c r="E1695" s="1">
        <v>100959</v>
      </c>
      <c r="F1695" s="6" t="s">
        <v>3697</v>
      </c>
      <c r="G1695" s="15" t="str">
        <f>VLOOKUP(A1695,Movie!A:D,4,FALSE)</f>
        <v>Universal</v>
      </c>
      <c r="H1695" s="14">
        <f>VLOOKUP(E1695,'Rental Transaction'!A:B,2,FALSE)</f>
        <v>970794</v>
      </c>
      <c r="I1695">
        <f t="shared" si="26"/>
        <v>2013</v>
      </c>
    </row>
    <row r="1696" spans="1:9">
      <c r="A1696" s="1">
        <v>10088</v>
      </c>
      <c r="B1696" s="1">
        <v>10</v>
      </c>
      <c r="C1696" s="2">
        <v>41440</v>
      </c>
      <c r="D1696" s="1" t="s">
        <v>2002</v>
      </c>
      <c r="E1696" s="1">
        <v>100960</v>
      </c>
      <c r="F1696" s="6" t="s">
        <v>3698</v>
      </c>
      <c r="G1696" s="15" t="str">
        <f>VLOOKUP(A1696,Movie!A:D,4,FALSE)</f>
        <v>Warner Brothers</v>
      </c>
      <c r="H1696" s="14">
        <f>VLOOKUP(E1696,'Rental Transaction'!A:B,2,FALSE)</f>
        <v>793987</v>
      </c>
      <c r="I1696">
        <f t="shared" si="26"/>
        <v>2013</v>
      </c>
    </row>
    <row r="1697" spans="1:9" ht="29.25">
      <c r="A1697" s="1">
        <v>10239</v>
      </c>
      <c r="B1697" s="1">
        <v>4</v>
      </c>
      <c r="C1697" s="2">
        <v>41440</v>
      </c>
      <c r="D1697" s="1" t="s">
        <v>2005</v>
      </c>
      <c r="E1697" s="1">
        <v>100961</v>
      </c>
      <c r="F1697" s="6" t="s">
        <v>3699</v>
      </c>
      <c r="G1697" s="15" t="str">
        <f>VLOOKUP(A1697,Movie!A:D,4,FALSE)</f>
        <v>Weinstein Company</v>
      </c>
      <c r="H1697" s="14">
        <f>VLOOKUP(E1697,'Rental Transaction'!A:B,2,FALSE)</f>
        <v>479497</v>
      </c>
      <c r="I1697">
        <f t="shared" si="26"/>
        <v>2013</v>
      </c>
    </row>
    <row r="1698" spans="1:9">
      <c r="A1698" s="1">
        <v>10226</v>
      </c>
      <c r="B1698" s="1">
        <v>3</v>
      </c>
      <c r="C1698" s="2">
        <v>41441</v>
      </c>
      <c r="D1698" s="1" t="s">
        <v>2002</v>
      </c>
      <c r="E1698" s="1">
        <v>100962</v>
      </c>
      <c r="F1698" s="6" t="s">
        <v>3700</v>
      </c>
      <c r="G1698" s="15" t="str">
        <f>VLOOKUP(A1698,Movie!A:D,4,FALSE)</f>
        <v>Sony</v>
      </c>
      <c r="H1698" s="14">
        <f>VLOOKUP(E1698,'Rental Transaction'!A:B,2,FALSE)</f>
        <v>585972</v>
      </c>
      <c r="I1698">
        <f t="shared" si="26"/>
        <v>2013</v>
      </c>
    </row>
    <row r="1699" spans="1:9">
      <c r="A1699" s="1">
        <v>10100</v>
      </c>
      <c r="B1699" s="1">
        <v>4</v>
      </c>
      <c r="C1699" s="2">
        <v>41440</v>
      </c>
      <c r="D1699" s="1" t="s">
        <v>2002</v>
      </c>
      <c r="E1699" s="1">
        <v>100963</v>
      </c>
      <c r="F1699" s="6" t="s">
        <v>3701</v>
      </c>
      <c r="G1699" s="15" t="str">
        <f>VLOOKUP(A1699,Movie!A:D,4,FALSE)</f>
        <v>Fox</v>
      </c>
      <c r="H1699" s="14">
        <f>VLOOKUP(E1699,'Rental Transaction'!A:B,2,FALSE)</f>
        <v>761615</v>
      </c>
      <c r="I1699">
        <f t="shared" si="26"/>
        <v>2013</v>
      </c>
    </row>
    <row r="1700" spans="1:9" ht="29.25">
      <c r="A1700" s="1">
        <v>10264</v>
      </c>
      <c r="B1700" s="1">
        <v>6</v>
      </c>
      <c r="C1700" s="2">
        <v>41441</v>
      </c>
      <c r="D1700" s="1" t="s">
        <v>2002</v>
      </c>
      <c r="E1700" s="1">
        <v>100964</v>
      </c>
      <c r="F1700" s="6" t="s">
        <v>3702</v>
      </c>
      <c r="G1700" s="15" t="str">
        <f>VLOOKUP(A1700,Movie!A:D,4,FALSE)</f>
        <v>Weinstein Company</v>
      </c>
      <c r="H1700" s="14">
        <f>VLOOKUP(E1700,'Rental Transaction'!A:B,2,FALSE)</f>
        <v>218889</v>
      </c>
      <c r="I1700">
        <f t="shared" si="26"/>
        <v>2013</v>
      </c>
    </row>
    <row r="1701" spans="1:9">
      <c r="A1701" s="1">
        <v>10082</v>
      </c>
      <c r="B1701" s="1">
        <v>4</v>
      </c>
      <c r="C1701" s="2">
        <v>41440</v>
      </c>
      <c r="D1701" s="1" t="s">
        <v>2002</v>
      </c>
      <c r="E1701" s="1">
        <v>100964</v>
      </c>
      <c r="F1701" s="6" t="s">
        <v>3703</v>
      </c>
      <c r="G1701" s="15" t="str">
        <f>VLOOKUP(A1701,Movie!A:D,4,FALSE)</f>
        <v>Buena Vista</v>
      </c>
      <c r="H1701" s="14">
        <f>VLOOKUP(E1701,'Rental Transaction'!A:B,2,FALSE)</f>
        <v>218889</v>
      </c>
      <c r="I1701">
        <f t="shared" si="26"/>
        <v>2013</v>
      </c>
    </row>
    <row r="1702" spans="1:9">
      <c r="A1702" s="1">
        <v>10284</v>
      </c>
      <c r="B1702" s="1">
        <v>2</v>
      </c>
      <c r="C1702" s="2">
        <v>41441</v>
      </c>
      <c r="D1702" s="1" t="s">
        <v>2002</v>
      </c>
      <c r="E1702" s="1">
        <v>100964</v>
      </c>
      <c r="F1702" s="6" t="s">
        <v>3704</v>
      </c>
      <c r="G1702" s="15" t="str">
        <f>VLOOKUP(A1702,Movie!A:D,4,FALSE)</f>
        <v>Focus</v>
      </c>
      <c r="H1702" s="14">
        <f>VLOOKUP(E1702,'Rental Transaction'!A:B,2,FALSE)</f>
        <v>218889</v>
      </c>
      <c r="I1702">
        <f t="shared" si="26"/>
        <v>2013</v>
      </c>
    </row>
    <row r="1703" spans="1:9">
      <c r="A1703" s="1">
        <v>10226</v>
      </c>
      <c r="B1703" s="1">
        <v>10</v>
      </c>
      <c r="C1703" s="2">
        <v>41440</v>
      </c>
      <c r="D1703" s="1" t="s">
        <v>2002</v>
      </c>
      <c r="E1703" s="1">
        <v>100965</v>
      </c>
      <c r="F1703" s="6" t="s">
        <v>3705</v>
      </c>
      <c r="G1703" s="15" t="str">
        <f>VLOOKUP(A1703,Movie!A:D,4,FALSE)</f>
        <v>Sony</v>
      </c>
      <c r="H1703" s="14">
        <f>VLOOKUP(E1703,'Rental Transaction'!A:B,2,FALSE)</f>
        <v>765237</v>
      </c>
      <c r="I1703">
        <f t="shared" si="26"/>
        <v>2013</v>
      </c>
    </row>
    <row r="1704" spans="1:9">
      <c r="A1704" s="1">
        <v>10222</v>
      </c>
      <c r="B1704" s="1">
        <v>4</v>
      </c>
      <c r="C1704" s="2">
        <v>41440</v>
      </c>
      <c r="D1704" s="1" t="s">
        <v>2002</v>
      </c>
      <c r="E1704" s="1">
        <v>100965</v>
      </c>
      <c r="F1704" s="6" t="s">
        <v>3706</v>
      </c>
      <c r="G1704" s="15" t="str">
        <f>VLOOKUP(A1704,Movie!A:D,4,FALSE)</f>
        <v>Sony</v>
      </c>
      <c r="H1704" s="14">
        <f>VLOOKUP(E1704,'Rental Transaction'!A:B,2,FALSE)</f>
        <v>765237</v>
      </c>
      <c r="I1704">
        <f t="shared" si="26"/>
        <v>2013</v>
      </c>
    </row>
    <row r="1705" spans="1:9">
      <c r="A1705" s="1">
        <v>10150</v>
      </c>
      <c r="B1705" s="1">
        <v>4</v>
      </c>
      <c r="C1705" s="2">
        <v>41442</v>
      </c>
      <c r="D1705" s="1" t="s">
        <v>2002</v>
      </c>
      <c r="E1705" s="1">
        <v>100966</v>
      </c>
      <c r="F1705" s="6" t="s">
        <v>3707</v>
      </c>
      <c r="G1705" s="15" t="str">
        <f>VLOOKUP(A1705,Movie!A:D,4,FALSE)</f>
        <v>Focus</v>
      </c>
      <c r="H1705" s="14">
        <f>VLOOKUP(E1705,'Rental Transaction'!A:B,2,FALSE)</f>
        <v>759995</v>
      </c>
      <c r="I1705">
        <f t="shared" si="26"/>
        <v>2013</v>
      </c>
    </row>
    <row r="1706" spans="1:9">
      <c r="A1706" s="1">
        <v>10254</v>
      </c>
      <c r="B1706" s="1">
        <v>8</v>
      </c>
      <c r="C1706" s="2">
        <v>41442</v>
      </c>
      <c r="D1706" s="1" t="s">
        <v>2002</v>
      </c>
      <c r="E1706" s="1">
        <v>100967</v>
      </c>
      <c r="F1706" s="6" t="s">
        <v>3708</v>
      </c>
      <c r="G1706" s="15" t="str">
        <f>VLOOKUP(A1706,Movie!A:D,4,FALSE)</f>
        <v>Paramount</v>
      </c>
      <c r="H1706" s="14">
        <f>VLOOKUP(E1706,'Rental Transaction'!A:B,2,FALSE)</f>
        <v>706101</v>
      </c>
      <c r="I1706">
        <f t="shared" si="26"/>
        <v>2013</v>
      </c>
    </row>
    <row r="1707" spans="1:9">
      <c r="A1707" s="1">
        <v>10065</v>
      </c>
      <c r="B1707" s="1">
        <v>2</v>
      </c>
      <c r="C1707" s="2">
        <v>41441</v>
      </c>
      <c r="D1707" s="1" t="s">
        <v>2002</v>
      </c>
      <c r="E1707" s="1">
        <v>100967</v>
      </c>
      <c r="F1707" s="6" t="s">
        <v>3709</v>
      </c>
      <c r="G1707" s="15" t="str">
        <f>VLOOKUP(A1707,Movie!A:D,4,FALSE)</f>
        <v>Warner Brothers</v>
      </c>
      <c r="H1707" s="14">
        <f>VLOOKUP(E1707,'Rental Transaction'!A:B,2,FALSE)</f>
        <v>706101</v>
      </c>
      <c r="I1707">
        <f t="shared" si="26"/>
        <v>2013</v>
      </c>
    </row>
    <row r="1708" spans="1:9">
      <c r="A1708" s="1">
        <v>10288</v>
      </c>
      <c r="B1708" s="1">
        <v>10</v>
      </c>
      <c r="C1708" s="2">
        <v>41441</v>
      </c>
      <c r="D1708" s="1" t="s">
        <v>2002</v>
      </c>
      <c r="E1708" s="1">
        <v>100968</v>
      </c>
      <c r="F1708" s="6" t="s">
        <v>3710</v>
      </c>
      <c r="G1708" s="15" t="str">
        <f>VLOOKUP(A1708,Movie!A:D,4,FALSE)</f>
        <v>Relativity</v>
      </c>
      <c r="H1708" s="14">
        <f>VLOOKUP(E1708,'Rental Transaction'!A:B,2,FALSE)</f>
        <v>747066</v>
      </c>
      <c r="I1708">
        <f t="shared" si="26"/>
        <v>2013</v>
      </c>
    </row>
    <row r="1709" spans="1:9">
      <c r="A1709" s="1">
        <v>10187</v>
      </c>
      <c r="B1709" s="1">
        <v>10</v>
      </c>
      <c r="C1709" s="2">
        <v>41442</v>
      </c>
      <c r="D1709" s="1" t="s">
        <v>2002</v>
      </c>
      <c r="E1709" s="1">
        <v>100969</v>
      </c>
      <c r="F1709" s="6" t="s">
        <v>3711</v>
      </c>
      <c r="G1709" s="15" t="str">
        <f>VLOOKUP(A1709,Movie!A:D,4,FALSE)</f>
        <v>Paramount</v>
      </c>
      <c r="H1709" s="14">
        <f>VLOOKUP(E1709,'Rental Transaction'!A:B,2,FALSE)</f>
        <v>185863</v>
      </c>
      <c r="I1709">
        <f t="shared" si="26"/>
        <v>2013</v>
      </c>
    </row>
    <row r="1710" spans="1:9">
      <c r="A1710" s="1">
        <v>10112</v>
      </c>
      <c r="B1710" s="1">
        <v>5</v>
      </c>
      <c r="C1710" s="2">
        <v>41441</v>
      </c>
      <c r="D1710" s="1" t="s">
        <v>2005</v>
      </c>
      <c r="E1710" s="1">
        <v>100970</v>
      </c>
      <c r="F1710" s="6" t="s">
        <v>3712</v>
      </c>
      <c r="G1710" s="15" t="str">
        <f>VLOOKUP(A1710,Movie!A:D,4,FALSE)</f>
        <v>Relativity</v>
      </c>
      <c r="H1710" s="14">
        <f>VLOOKUP(E1710,'Rental Transaction'!A:B,2,FALSE)</f>
        <v>744648</v>
      </c>
      <c r="I1710">
        <f t="shared" si="26"/>
        <v>2013</v>
      </c>
    </row>
    <row r="1711" spans="1:9">
      <c r="A1711" s="1">
        <v>10174</v>
      </c>
      <c r="B1711" s="1">
        <v>9</v>
      </c>
      <c r="C1711" s="2">
        <v>41442</v>
      </c>
      <c r="D1711" s="1" t="s">
        <v>2005</v>
      </c>
      <c r="E1711" s="1">
        <v>100971</v>
      </c>
      <c r="F1711" s="6" t="s">
        <v>3713</v>
      </c>
      <c r="G1711" s="15" t="str">
        <f>VLOOKUP(A1711,Movie!A:D,4,FALSE)</f>
        <v>Universal</v>
      </c>
      <c r="H1711" s="14">
        <f>VLOOKUP(E1711,'Rental Transaction'!A:B,2,FALSE)</f>
        <v>304344</v>
      </c>
      <c r="I1711">
        <f t="shared" si="26"/>
        <v>2013</v>
      </c>
    </row>
    <row r="1712" spans="1:9">
      <c r="A1712" s="1">
        <v>10093</v>
      </c>
      <c r="B1712" s="1">
        <v>9</v>
      </c>
      <c r="C1712" s="2">
        <v>41441</v>
      </c>
      <c r="D1712" s="1" t="s">
        <v>2002</v>
      </c>
      <c r="E1712" s="1">
        <v>100971</v>
      </c>
      <c r="F1712" s="6" t="s">
        <v>3714</v>
      </c>
      <c r="G1712" s="15" t="str">
        <f>VLOOKUP(A1712,Movie!A:D,4,FALSE)</f>
        <v>Open Road Films</v>
      </c>
      <c r="H1712" s="14">
        <f>VLOOKUP(E1712,'Rental Transaction'!A:B,2,FALSE)</f>
        <v>304344</v>
      </c>
      <c r="I1712">
        <f t="shared" si="26"/>
        <v>2013</v>
      </c>
    </row>
    <row r="1713" spans="1:9">
      <c r="A1713" s="1">
        <v>10070</v>
      </c>
      <c r="B1713" s="1">
        <v>4</v>
      </c>
      <c r="C1713" s="2">
        <v>41441</v>
      </c>
      <c r="D1713" s="1" t="s">
        <v>2002</v>
      </c>
      <c r="E1713" s="1">
        <v>100972</v>
      </c>
      <c r="F1713" s="6" t="s">
        <v>3715</v>
      </c>
      <c r="G1713" s="15" t="str">
        <f>VLOOKUP(A1713,Movie!A:D,4,FALSE)</f>
        <v>Paramount</v>
      </c>
      <c r="H1713" s="14">
        <f>VLOOKUP(E1713,'Rental Transaction'!A:B,2,FALSE)</f>
        <v>663029</v>
      </c>
      <c r="I1713">
        <f t="shared" si="26"/>
        <v>2013</v>
      </c>
    </row>
    <row r="1714" spans="1:9">
      <c r="A1714" s="1">
        <v>10265</v>
      </c>
      <c r="B1714" s="1">
        <v>1</v>
      </c>
      <c r="C1714" s="2">
        <v>41442</v>
      </c>
      <c r="D1714" s="1" t="s">
        <v>2005</v>
      </c>
      <c r="E1714" s="1">
        <v>100972</v>
      </c>
      <c r="F1714" s="6" t="s">
        <v>3716</v>
      </c>
      <c r="G1714" s="15" t="str">
        <f>VLOOKUP(A1714,Movie!A:D,4,FALSE)</f>
        <v>Warner Brothers</v>
      </c>
      <c r="H1714" s="14">
        <f>VLOOKUP(E1714,'Rental Transaction'!A:B,2,FALSE)</f>
        <v>663029</v>
      </c>
      <c r="I1714">
        <f t="shared" si="26"/>
        <v>2013</v>
      </c>
    </row>
    <row r="1715" spans="1:9">
      <c r="A1715" s="1">
        <v>10215</v>
      </c>
      <c r="B1715" s="1">
        <v>2</v>
      </c>
      <c r="C1715" s="2">
        <v>41442</v>
      </c>
      <c r="D1715" s="1" t="s">
        <v>2002</v>
      </c>
      <c r="E1715" s="1">
        <v>100973</v>
      </c>
      <c r="F1715" s="6" t="s">
        <v>3717</v>
      </c>
      <c r="G1715" s="15" t="str">
        <f>VLOOKUP(A1715,Movie!A:D,4,FALSE)</f>
        <v>Paramount</v>
      </c>
      <c r="H1715" s="14">
        <f>VLOOKUP(E1715,'Rental Transaction'!A:B,2,FALSE)</f>
        <v>412929</v>
      </c>
      <c r="I1715">
        <f t="shared" si="26"/>
        <v>2013</v>
      </c>
    </row>
    <row r="1716" spans="1:9">
      <c r="A1716" s="1">
        <v>10142</v>
      </c>
      <c r="B1716" s="1">
        <v>1</v>
      </c>
      <c r="C1716" s="2">
        <v>41444</v>
      </c>
      <c r="D1716" s="1" t="s">
        <v>2005</v>
      </c>
      <c r="E1716" s="1">
        <v>100973</v>
      </c>
      <c r="F1716" s="6" t="s">
        <v>3718</v>
      </c>
      <c r="G1716" s="15" t="str">
        <f>VLOOKUP(A1716,Movie!A:D,4,FALSE)</f>
        <v>Warner Brothers</v>
      </c>
      <c r="H1716" s="14">
        <f>VLOOKUP(E1716,'Rental Transaction'!A:B,2,FALSE)</f>
        <v>412929</v>
      </c>
      <c r="I1716">
        <f t="shared" si="26"/>
        <v>2013</v>
      </c>
    </row>
    <row r="1717" spans="1:9">
      <c r="A1717" s="1">
        <v>10198</v>
      </c>
      <c r="B1717" s="1">
        <v>8</v>
      </c>
      <c r="C1717" s="2">
        <v>41442</v>
      </c>
      <c r="D1717" s="1" t="s">
        <v>2005</v>
      </c>
      <c r="E1717" s="1">
        <v>100974</v>
      </c>
      <c r="F1717" s="6" t="s">
        <v>3719</v>
      </c>
      <c r="G1717" s="15" t="str">
        <f>VLOOKUP(A1717,Movie!A:D,4,FALSE)</f>
        <v>Fox</v>
      </c>
      <c r="H1717" s="14">
        <f>VLOOKUP(E1717,'Rental Transaction'!A:B,2,FALSE)</f>
        <v>667170</v>
      </c>
      <c r="I1717">
        <f t="shared" si="26"/>
        <v>2013</v>
      </c>
    </row>
    <row r="1718" spans="1:9" ht="29.25">
      <c r="A1718" s="1">
        <v>10165</v>
      </c>
      <c r="B1718" s="1">
        <v>1</v>
      </c>
      <c r="C1718" s="2">
        <v>41442</v>
      </c>
      <c r="D1718" s="1" t="s">
        <v>2005</v>
      </c>
      <c r="E1718" s="1">
        <v>100974</v>
      </c>
      <c r="F1718" s="6" t="s">
        <v>3720</v>
      </c>
      <c r="G1718" s="15" t="str">
        <f>VLOOKUP(A1718,Movie!A:D,4,FALSE)</f>
        <v>Weinstein Company</v>
      </c>
      <c r="H1718" s="14">
        <f>VLOOKUP(E1718,'Rental Transaction'!A:B,2,FALSE)</f>
        <v>667170</v>
      </c>
      <c r="I1718">
        <f t="shared" si="26"/>
        <v>2013</v>
      </c>
    </row>
    <row r="1719" spans="1:9">
      <c r="A1719" s="1">
        <v>10289</v>
      </c>
      <c r="B1719" s="1">
        <v>1</v>
      </c>
      <c r="C1719" s="2">
        <v>41443</v>
      </c>
      <c r="D1719" s="1" t="s">
        <v>2005</v>
      </c>
      <c r="E1719" s="1">
        <v>100975</v>
      </c>
      <c r="F1719" s="6" t="s">
        <v>3721</v>
      </c>
      <c r="G1719" s="15" t="str">
        <f>VLOOKUP(A1719,Movie!A:D,4,FALSE)</f>
        <v>Open Road Films</v>
      </c>
      <c r="H1719" s="14">
        <f>VLOOKUP(E1719,'Rental Transaction'!A:B,2,FALSE)</f>
        <v>412929</v>
      </c>
      <c r="I1719">
        <f t="shared" si="26"/>
        <v>2013</v>
      </c>
    </row>
    <row r="1720" spans="1:9">
      <c r="A1720" s="1">
        <v>10115</v>
      </c>
      <c r="B1720" s="1">
        <v>7</v>
      </c>
      <c r="C1720" s="2">
        <v>41442</v>
      </c>
      <c r="D1720" s="1" t="s">
        <v>2002</v>
      </c>
      <c r="E1720" s="1">
        <v>100976</v>
      </c>
      <c r="F1720" s="6" t="s">
        <v>3722</v>
      </c>
      <c r="G1720" s="15" t="str">
        <f>VLOOKUP(A1720,Movie!A:D,4,FALSE)</f>
        <v>Open Road Films</v>
      </c>
      <c r="H1720" s="14">
        <f>VLOOKUP(E1720,'Rental Transaction'!A:B,2,FALSE)</f>
        <v>559486</v>
      </c>
      <c r="I1720">
        <f t="shared" si="26"/>
        <v>2013</v>
      </c>
    </row>
    <row r="1721" spans="1:9">
      <c r="A1721" s="1">
        <v>10183</v>
      </c>
      <c r="B1721" s="1">
        <v>8</v>
      </c>
      <c r="C1721" s="2">
        <v>41442</v>
      </c>
      <c r="D1721" s="1" t="s">
        <v>2002</v>
      </c>
      <c r="E1721" s="1">
        <v>100976</v>
      </c>
      <c r="F1721" s="6" t="s">
        <v>3723</v>
      </c>
      <c r="G1721" s="15" t="str">
        <f>VLOOKUP(A1721,Movie!A:D,4,FALSE)</f>
        <v>Sony</v>
      </c>
      <c r="H1721" s="14">
        <f>VLOOKUP(E1721,'Rental Transaction'!A:B,2,FALSE)</f>
        <v>559486</v>
      </c>
      <c r="I1721">
        <f t="shared" si="26"/>
        <v>2013</v>
      </c>
    </row>
    <row r="1722" spans="1:9">
      <c r="A1722" s="1">
        <v>10183</v>
      </c>
      <c r="B1722" s="1">
        <v>5</v>
      </c>
      <c r="C1722" s="2">
        <v>41442</v>
      </c>
      <c r="D1722" s="1" t="s">
        <v>2002</v>
      </c>
      <c r="E1722" s="1">
        <v>100976</v>
      </c>
      <c r="F1722" s="6" t="s">
        <v>3724</v>
      </c>
      <c r="G1722" s="15" t="str">
        <f>VLOOKUP(A1722,Movie!A:D,4,FALSE)</f>
        <v>Sony</v>
      </c>
      <c r="H1722" s="14">
        <f>VLOOKUP(E1722,'Rental Transaction'!A:B,2,FALSE)</f>
        <v>559486</v>
      </c>
      <c r="I1722">
        <f t="shared" si="26"/>
        <v>2013</v>
      </c>
    </row>
    <row r="1723" spans="1:9">
      <c r="A1723" s="1">
        <v>10237</v>
      </c>
      <c r="B1723" s="1">
        <v>1</v>
      </c>
      <c r="C1723" s="2">
        <v>41442</v>
      </c>
      <c r="D1723" s="1" t="s">
        <v>2005</v>
      </c>
      <c r="E1723" s="1">
        <v>100977</v>
      </c>
      <c r="F1723" s="6" t="s">
        <v>3725</v>
      </c>
      <c r="G1723" s="15" t="str">
        <f>VLOOKUP(A1723,Movie!A:D,4,FALSE)</f>
        <v>Warner Brothers</v>
      </c>
      <c r="H1723" s="14">
        <f>VLOOKUP(E1723,'Rental Transaction'!A:B,2,FALSE)</f>
        <v>292402</v>
      </c>
      <c r="I1723">
        <f t="shared" si="26"/>
        <v>2013</v>
      </c>
    </row>
    <row r="1724" spans="1:9">
      <c r="A1724" s="1">
        <v>10142</v>
      </c>
      <c r="B1724" s="1">
        <v>5</v>
      </c>
      <c r="C1724" s="2">
        <v>41442</v>
      </c>
      <c r="D1724" s="1" t="s">
        <v>2005</v>
      </c>
      <c r="E1724" s="1">
        <v>100977</v>
      </c>
      <c r="F1724" s="6" t="s">
        <v>3726</v>
      </c>
      <c r="G1724" s="15" t="str">
        <f>VLOOKUP(A1724,Movie!A:D,4,FALSE)</f>
        <v>Warner Brothers</v>
      </c>
      <c r="H1724" s="14">
        <f>VLOOKUP(E1724,'Rental Transaction'!A:B,2,FALSE)</f>
        <v>292402</v>
      </c>
      <c r="I1724">
        <f t="shared" si="26"/>
        <v>2013</v>
      </c>
    </row>
    <row r="1725" spans="1:9">
      <c r="A1725" s="1">
        <v>10079</v>
      </c>
      <c r="B1725" s="1">
        <v>6</v>
      </c>
      <c r="C1725" s="2">
        <v>41443</v>
      </c>
      <c r="D1725" s="1" t="s">
        <v>2005</v>
      </c>
      <c r="E1725" s="1">
        <v>100978</v>
      </c>
      <c r="F1725" s="6" t="s">
        <v>3727</v>
      </c>
      <c r="G1725" s="15" t="str">
        <f>VLOOKUP(A1725,Movie!A:D,4,FALSE)</f>
        <v>Warner Brothers</v>
      </c>
      <c r="H1725" s="14">
        <f>VLOOKUP(E1725,'Rental Transaction'!A:B,2,FALSE)</f>
        <v>745543</v>
      </c>
      <c r="I1725">
        <f t="shared" si="26"/>
        <v>2013</v>
      </c>
    </row>
    <row r="1726" spans="1:9">
      <c r="A1726" s="1">
        <v>10270</v>
      </c>
      <c r="B1726" s="1">
        <v>9</v>
      </c>
      <c r="C1726" s="2">
        <v>41443</v>
      </c>
      <c r="D1726" s="1" t="s">
        <v>2002</v>
      </c>
      <c r="E1726" s="1">
        <v>100979</v>
      </c>
      <c r="F1726" s="6" t="s">
        <v>3728</v>
      </c>
      <c r="G1726" s="15" t="str">
        <f>VLOOKUP(A1726,Movie!A:D,4,FALSE)</f>
        <v>Fox</v>
      </c>
      <c r="H1726" s="14">
        <f>VLOOKUP(E1726,'Rental Transaction'!A:B,2,FALSE)</f>
        <v>297686</v>
      </c>
      <c r="I1726">
        <f t="shared" si="26"/>
        <v>2013</v>
      </c>
    </row>
    <row r="1727" spans="1:9">
      <c r="A1727" s="1">
        <v>10225</v>
      </c>
      <c r="B1727" s="1">
        <v>2</v>
      </c>
      <c r="C1727" s="2">
        <v>41444</v>
      </c>
      <c r="D1727" s="1" t="s">
        <v>2002</v>
      </c>
      <c r="E1727" s="1">
        <v>100979</v>
      </c>
      <c r="F1727" s="6" t="s">
        <v>3729</v>
      </c>
      <c r="G1727" s="15" t="str">
        <f>VLOOKUP(A1727,Movie!A:D,4,FALSE)</f>
        <v>Warner Brothers</v>
      </c>
      <c r="H1727" s="14">
        <f>VLOOKUP(E1727,'Rental Transaction'!A:B,2,FALSE)</f>
        <v>297686</v>
      </c>
      <c r="I1727">
        <f t="shared" si="26"/>
        <v>2013</v>
      </c>
    </row>
    <row r="1728" spans="1:9">
      <c r="A1728" s="1">
        <v>10271</v>
      </c>
      <c r="B1728" s="1">
        <v>5</v>
      </c>
      <c r="C1728" s="2">
        <v>41443</v>
      </c>
      <c r="D1728" s="1" t="s">
        <v>2002</v>
      </c>
      <c r="E1728" s="1">
        <v>100980</v>
      </c>
      <c r="F1728" s="6" t="s">
        <v>3730</v>
      </c>
      <c r="G1728" s="15" t="str">
        <f>VLOOKUP(A1728,Movie!A:D,4,FALSE)</f>
        <v>Universal</v>
      </c>
      <c r="H1728" s="14">
        <f>VLOOKUP(E1728,'Rental Transaction'!A:B,2,FALSE)</f>
        <v>256181</v>
      </c>
      <c r="I1728">
        <f t="shared" si="26"/>
        <v>2013</v>
      </c>
    </row>
    <row r="1729" spans="1:9">
      <c r="A1729" s="1">
        <v>10218</v>
      </c>
      <c r="B1729" s="1">
        <v>6</v>
      </c>
      <c r="C1729" s="2">
        <v>41443</v>
      </c>
      <c r="D1729" s="1" t="s">
        <v>2002</v>
      </c>
      <c r="E1729" s="1">
        <v>100980</v>
      </c>
      <c r="F1729" s="6" t="s">
        <v>3731</v>
      </c>
      <c r="G1729" s="15" t="str">
        <f>VLOOKUP(A1729,Movie!A:D,4,FALSE)</f>
        <v>Sony</v>
      </c>
      <c r="H1729" s="14">
        <f>VLOOKUP(E1729,'Rental Transaction'!A:B,2,FALSE)</f>
        <v>256181</v>
      </c>
      <c r="I1729">
        <f t="shared" si="26"/>
        <v>2013</v>
      </c>
    </row>
    <row r="1730" spans="1:9">
      <c r="A1730" s="1">
        <v>10000</v>
      </c>
      <c r="B1730" s="1">
        <v>8</v>
      </c>
      <c r="C1730" s="2">
        <v>41443</v>
      </c>
      <c r="D1730" s="1" t="s">
        <v>2005</v>
      </c>
      <c r="E1730" s="1">
        <v>100981</v>
      </c>
      <c r="F1730" s="6" t="s">
        <v>3732</v>
      </c>
      <c r="G1730" s="15" t="str">
        <f>VLOOKUP(A1730,Movie!A:D,4,FALSE)</f>
        <v>TriStar</v>
      </c>
      <c r="H1730" s="14">
        <f>VLOOKUP(E1730,'Rental Transaction'!A:B,2,FALSE)</f>
        <v>220206</v>
      </c>
      <c r="I1730">
        <f t="shared" si="26"/>
        <v>2013</v>
      </c>
    </row>
    <row r="1731" spans="1:9">
      <c r="A1731" s="1">
        <v>10072</v>
      </c>
      <c r="B1731" s="1">
        <v>10</v>
      </c>
      <c r="C1731" s="2">
        <v>41443</v>
      </c>
      <c r="D1731" s="1" t="s">
        <v>2002</v>
      </c>
      <c r="E1731" s="1">
        <v>100982</v>
      </c>
      <c r="F1731" s="6" t="s">
        <v>3733</v>
      </c>
      <c r="G1731" s="15" t="str">
        <f>VLOOKUP(A1731,Movie!A:D,4,FALSE)</f>
        <v>Paramount</v>
      </c>
      <c r="H1731" s="14">
        <f>VLOOKUP(E1731,'Rental Transaction'!A:B,2,FALSE)</f>
        <v>520078</v>
      </c>
      <c r="I1731">
        <f t="shared" ref="I1731:I1794" si="27">YEAR(C1731)</f>
        <v>2013</v>
      </c>
    </row>
    <row r="1732" spans="1:9">
      <c r="A1732" s="1">
        <v>10015</v>
      </c>
      <c r="B1732" s="1">
        <v>4</v>
      </c>
      <c r="C1732" s="2">
        <v>41443</v>
      </c>
      <c r="D1732" s="1" t="s">
        <v>2005</v>
      </c>
      <c r="E1732" s="1">
        <v>100983</v>
      </c>
      <c r="F1732" s="6" t="s">
        <v>3734</v>
      </c>
      <c r="G1732" s="15" t="str">
        <f>VLOOKUP(A1732,Movie!A:D,4,FALSE)</f>
        <v>TriStar</v>
      </c>
      <c r="H1732" s="14">
        <f>VLOOKUP(E1732,'Rental Transaction'!A:B,2,FALSE)</f>
        <v>933331</v>
      </c>
      <c r="I1732">
        <f t="shared" si="27"/>
        <v>2013</v>
      </c>
    </row>
    <row r="1733" spans="1:9">
      <c r="A1733" s="1">
        <v>10216</v>
      </c>
      <c r="B1733" s="1">
        <v>5</v>
      </c>
      <c r="C1733" s="2">
        <v>41443</v>
      </c>
      <c r="D1733" s="1" t="s">
        <v>2002</v>
      </c>
      <c r="E1733" s="1">
        <v>100983</v>
      </c>
      <c r="F1733" s="6" t="s">
        <v>3735</v>
      </c>
      <c r="G1733" s="15" t="str">
        <f>VLOOKUP(A1733,Movie!A:D,4,FALSE)</f>
        <v>Sony</v>
      </c>
      <c r="H1733" s="14">
        <f>VLOOKUP(E1733,'Rental Transaction'!A:B,2,FALSE)</f>
        <v>933331</v>
      </c>
      <c r="I1733">
        <f t="shared" si="27"/>
        <v>2013</v>
      </c>
    </row>
    <row r="1734" spans="1:9">
      <c r="A1734" s="1">
        <v>10091</v>
      </c>
      <c r="B1734" s="1">
        <v>7</v>
      </c>
      <c r="C1734" s="2">
        <v>41443</v>
      </c>
      <c r="D1734" s="1" t="s">
        <v>2002</v>
      </c>
      <c r="E1734" s="1">
        <v>100983</v>
      </c>
      <c r="F1734" s="6" t="s">
        <v>3736</v>
      </c>
      <c r="G1734" s="15" t="str">
        <f>VLOOKUP(A1734,Movie!A:D,4,FALSE)</f>
        <v>Warner Brothers</v>
      </c>
      <c r="H1734" s="14">
        <f>VLOOKUP(E1734,'Rental Transaction'!A:B,2,FALSE)</f>
        <v>933331</v>
      </c>
      <c r="I1734">
        <f t="shared" si="27"/>
        <v>2013</v>
      </c>
    </row>
    <row r="1735" spans="1:9">
      <c r="A1735" s="1">
        <v>10039</v>
      </c>
      <c r="B1735" s="1">
        <v>7</v>
      </c>
      <c r="C1735" s="2">
        <v>41444</v>
      </c>
      <c r="D1735" s="1" t="s">
        <v>2005</v>
      </c>
      <c r="E1735" s="1">
        <v>100984</v>
      </c>
      <c r="F1735" s="6" t="s">
        <v>3737</v>
      </c>
      <c r="G1735" s="15" t="str">
        <f>VLOOKUP(A1735,Movie!A:D,4,FALSE)</f>
        <v>Open Road Films</v>
      </c>
      <c r="H1735" s="14">
        <f>VLOOKUP(E1735,'Rental Transaction'!A:B,2,FALSE)</f>
        <v>413292</v>
      </c>
      <c r="I1735">
        <f t="shared" si="27"/>
        <v>2013</v>
      </c>
    </row>
    <row r="1736" spans="1:9">
      <c r="A1736" s="1">
        <v>10230</v>
      </c>
      <c r="B1736" s="1">
        <v>5</v>
      </c>
      <c r="C1736" s="2">
        <v>41443</v>
      </c>
      <c r="D1736" s="1" t="s">
        <v>2002</v>
      </c>
      <c r="E1736" s="1">
        <v>100984</v>
      </c>
      <c r="F1736" s="6" t="s">
        <v>3738</v>
      </c>
      <c r="G1736" s="15" t="str">
        <f>VLOOKUP(A1736,Movie!A:D,4,FALSE)</f>
        <v>Focus</v>
      </c>
      <c r="H1736" s="14">
        <f>VLOOKUP(E1736,'Rental Transaction'!A:B,2,FALSE)</f>
        <v>413292</v>
      </c>
      <c r="I1736">
        <f t="shared" si="27"/>
        <v>2013</v>
      </c>
    </row>
    <row r="1737" spans="1:9">
      <c r="A1737" s="1">
        <v>10219</v>
      </c>
      <c r="B1737" s="1">
        <v>4</v>
      </c>
      <c r="C1737" s="2">
        <v>41444</v>
      </c>
      <c r="D1737" s="1" t="s">
        <v>2005</v>
      </c>
      <c r="E1737" s="1">
        <v>100984</v>
      </c>
      <c r="F1737" s="6" t="s">
        <v>3739</v>
      </c>
      <c r="G1737" s="15" t="str">
        <f>VLOOKUP(A1737,Movie!A:D,4,FALSE)</f>
        <v>Paramount</v>
      </c>
      <c r="H1737" s="14">
        <f>VLOOKUP(E1737,'Rental Transaction'!A:B,2,FALSE)</f>
        <v>413292</v>
      </c>
      <c r="I1737">
        <f t="shared" si="27"/>
        <v>2013</v>
      </c>
    </row>
    <row r="1738" spans="1:9">
      <c r="A1738" s="1">
        <v>10058</v>
      </c>
      <c r="B1738" s="1">
        <v>5</v>
      </c>
      <c r="C1738" s="2">
        <v>41443</v>
      </c>
      <c r="D1738" s="1" t="s">
        <v>2002</v>
      </c>
      <c r="E1738" s="1">
        <v>100985</v>
      </c>
      <c r="F1738" s="6" t="s">
        <v>3740</v>
      </c>
      <c r="G1738" s="15" t="str">
        <f>VLOOKUP(A1738,Movie!A:D,4,FALSE)</f>
        <v>Sony</v>
      </c>
      <c r="H1738" s="14">
        <f>VLOOKUP(E1738,'Rental Transaction'!A:B,2,FALSE)</f>
        <v>236554</v>
      </c>
      <c r="I1738">
        <f t="shared" si="27"/>
        <v>2013</v>
      </c>
    </row>
    <row r="1739" spans="1:9">
      <c r="A1739" s="1">
        <v>10085</v>
      </c>
      <c r="B1739" s="1">
        <v>10</v>
      </c>
      <c r="C1739" s="2">
        <v>41443</v>
      </c>
      <c r="D1739" s="1" t="s">
        <v>2002</v>
      </c>
      <c r="E1739" s="1">
        <v>100986</v>
      </c>
      <c r="F1739" s="6" t="s">
        <v>3741</v>
      </c>
      <c r="G1739" s="15" t="str">
        <f>VLOOKUP(A1739,Movie!A:D,4,FALSE)</f>
        <v>Buena Vista</v>
      </c>
      <c r="H1739" s="14">
        <f>VLOOKUP(E1739,'Rental Transaction'!A:B,2,FALSE)</f>
        <v>507743</v>
      </c>
      <c r="I1739">
        <f t="shared" si="27"/>
        <v>2013</v>
      </c>
    </row>
    <row r="1740" spans="1:9">
      <c r="A1740" s="1">
        <v>10094</v>
      </c>
      <c r="B1740" s="1">
        <v>10</v>
      </c>
      <c r="C1740" s="2">
        <v>41443</v>
      </c>
      <c r="D1740" s="1" t="s">
        <v>2005</v>
      </c>
      <c r="E1740" s="1">
        <v>100986</v>
      </c>
      <c r="F1740" s="6" t="s">
        <v>3742</v>
      </c>
      <c r="G1740" s="15" t="str">
        <f>VLOOKUP(A1740,Movie!A:D,4,FALSE)</f>
        <v>Relativity</v>
      </c>
      <c r="H1740" s="14">
        <f>VLOOKUP(E1740,'Rental Transaction'!A:B,2,FALSE)</f>
        <v>507743</v>
      </c>
      <c r="I1740">
        <f t="shared" si="27"/>
        <v>2013</v>
      </c>
    </row>
    <row r="1741" spans="1:9">
      <c r="A1741" s="1">
        <v>10208</v>
      </c>
      <c r="B1741" s="1">
        <v>6</v>
      </c>
      <c r="C1741" s="2">
        <v>41445</v>
      </c>
      <c r="D1741" s="1" t="s">
        <v>2005</v>
      </c>
      <c r="E1741" s="1">
        <v>100987</v>
      </c>
      <c r="F1741" s="6" t="s">
        <v>3743</v>
      </c>
      <c r="G1741" s="15" t="str">
        <f>VLOOKUP(A1741,Movie!A:D,4,FALSE)</f>
        <v>Warner Brothers</v>
      </c>
      <c r="H1741" s="14">
        <f>VLOOKUP(E1741,'Rental Transaction'!A:B,2,FALSE)</f>
        <v>815980</v>
      </c>
      <c r="I1741">
        <f t="shared" si="27"/>
        <v>2013</v>
      </c>
    </row>
    <row r="1742" spans="1:9">
      <c r="A1742" s="1">
        <v>10275</v>
      </c>
      <c r="B1742" s="1">
        <v>1</v>
      </c>
      <c r="C1742" s="2">
        <v>41445</v>
      </c>
      <c r="D1742" s="1" t="s">
        <v>2002</v>
      </c>
      <c r="E1742" s="1">
        <v>100988</v>
      </c>
      <c r="F1742" s="6" t="s">
        <v>3744</v>
      </c>
      <c r="G1742" s="15" t="str">
        <f>VLOOKUP(A1742,Movie!A:D,4,FALSE)</f>
        <v>Lionsgate</v>
      </c>
      <c r="H1742" s="14">
        <f>VLOOKUP(E1742,'Rental Transaction'!A:B,2,FALSE)</f>
        <v>343021</v>
      </c>
      <c r="I1742">
        <f t="shared" si="27"/>
        <v>2013</v>
      </c>
    </row>
    <row r="1743" spans="1:9">
      <c r="A1743" s="1">
        <v>10010</v>
      </c>
      <c r="B1743" s="1">
        <v>6</v>
      </c>
      <c r="C1743" s="2">
        <v>41444</v>
      </c>
      <c r="D1743" s="1" t="s">
        <v>2002</v>
      </c>
      <c r="E1743" s="1">
        <v>100988</v>
      </c>
      <c r="F1743" s="6" t="s">
        <v>3745</v>
      </c>
      <c r="G1743" s="15" t="str">
        <f>VLOOKUP(A1743,Movie!A:D,4,FALSE)</f>
        <v>Buena Vista</v>
      </c>
      <c r="H1743" s="14">
        <f>VLOOKUP(E1743,'Rental Transaction'!A:B,2,FALSE)</f>
        <v>343021</v>
      </c>
      <c r="I1743">
        <f t="shared" si="27"/>
        <v>2013</v>
      </c>
    </row>
    <row r="1744" spans="1:9">
      <c r="A1744" s="1">
        <v>10269</v>
      </c>
      <c r="B1744" s="1">
        <v>3</v>
      </c>
      <c r="C1744" s="2">
        <v>41444</v>
      </c>
      <c r="D1744" s="1" t="s">
        <v>2002</v>
      </c>
      <c r="E1744" s="1">
        <v>100989</v>
      </c>
      <c r="F1744" s="6" t="s">
        <v>3746</v>
      </c>
      <c r="G1744" s="15" t="str">
        <f>VLOOKUP(A1744,Movie!A:D,4,FALSE)</f>
        <v>Buena Vista</v>
      </c>
      <c r="H1744" s="14">
        <f>VLOOKUP(E1744,'Rental Transaction'!A:B,2,FALSE)</f>
        <v>393120</v>
      </c>
      <c r="I1744">
        <f t="shared" si="27"/>
        <v>2013</v>
      </c>
    </row>
    <row r="1745" spans="1:9">
      <c r="A1745" s="1">
        <v>10231</v>
      </c>
      <c r="B1745" s="1">
        <v>8</v>
      </c>
      <c r="C1745" s="2">
        <v>41445</v>
      </c>
      <c r="D1745" s="1" t="s">
        <v>2005</v>
      </c>
      <c r="E1745" s="1">
        <v>100989</v>
      </c>
      <c r="F1745" s="6" t="s">
        <v>3747</v>
      </c>
      <c r="G1745" s="15" t="str">
        <f>VLOOKUP(A1745,Movie!A:D,4,FALSE)</f>
        <v>Universal</v>
      </c>
      <c r="H1745" s="14">
        <f>VLOOKUP(E1745,'Rental Transaction'!A:B,2,FALSE)</f>
        <v>393120</v>
      </c>
      <c r="I1745">
        <f t="shared" si="27"/>
        <v>2013</v>
      </c>
    </row>
    <row r="1746" spans="1:9">
      <c r="A1746" s="1">
        <v>10203</v>
      </c>
      <c r="B1746" s="1">
        <v>3</v>
      </c>
      <c r="C1746" s="2">
        <v>41445</v>
      </c>
      <c r="D1746" s="1" t="s">
        <v>2005</v>
      </c>
      <c r="E1746" s="1">
        <v>100990</v>
      </c>
      <c r="F1746" s="6" t="s">
        <v>3748</v>
      </c>
      <c r="G1746" s="15" t="str">
        <f>VLOOKUP(A1746,Movie!A:D,4,FALSE)</f>
        <v>Buena Vista</v>
      </c>
      <c r="H1746" s="14">
        <f>VLOOKUP(E1746,'Rental Transaction'!A:B,2,FALSE)</f>
        <v>484909</v>
      </c>
      <c r="I1746">
        <f t="shared" si="27"/>
        <v>2013</v>
      </c>
    </row>
    <row r="1747" spans="1:9">
      <c r="A1747" s="1">
        <v>10242</v>
      </c>
      <c r="B1747" s="1">
        <v>8</v>
      </c>
      <c r="C1747" s="2">
        <v>41444</v>
      </c>
      <c r="D1747" s="1" t="s">
        <v>2002</v>
      </c>
      <c r="E1747" s="1">
        <v>100991</v>
      </c>
      <c r="F1747" s="6" t="s">
        <v>3749</v>
      </c>
      <c r="G1747" s="15" t="str">
        <f>VLOOKUP(A1747,Movie!A:D,4,FALSE)</f>
        <v>Buena Vista</v>
      </c>
      <c r="H1747" s="14">
        <f>VLOOKUP(E1747,'Rental Transaction'!A:B,2,FALSE)</f>
        <v>612681</v>
      </c>
      <c r="I1747">
        <f t="shared" si="27"/>
        <v>2013</v>
      </c>
    </row>
    <row r="1748" spans="1:9">
      <c r="A1748" s="1">
        <v>10171</v>
      </c>
      <c r="B1748" s="1">
        <v>2</v>
      </c>
      <c r="C1748" s="2">
        <v>41445</v>
      </c>
      <c r="D1748" s="1" t="s">
        <v>2005</v>
      </c>
      <c r="E1748" s="1">
        <v>100991</v>
      </c>
      <c r="F1748" s="6" t="s">
        <v>3750</v>
      </c>
      <c r="G1748" s="15" t="str">
        <f>VLOOKUP(A1748,Movie!A:D,4,FALSE)</f>
        <v>Universal</v>
      </c>
      <c r="H1748" s="14">
        <f>VLOOKUP(E1748,'Rental Transaction'!A:B,2,FALSE)</f>
        <v>612681</v>
      </c>
      <c r="I1748">
        <f t="shared" si="27"/>
        <v>2013</v>
      </c>
    </row>
    <row r="1749" spans="1:9">
      <c r="A1749" s="1">
        <v>10223</v>
      </c>
      <c r="B1749" s="1">
        <v>7</v>
      </c>
      <c r="C1749" s="2">
        <v>41444</v>
      </c>
      <c r="D1749" s="1" t="s">
        <v>2002</v>
      </c>
      <c r="E1749" s="1">
        <v>100992</v>
      </c>
      <c r="F1749" s="6" t="s">
        <v>3751</v>
      </c>
      <c r="G1749" s="15" t="str">
        <f>VLOOKUP(A1749,Movie!A:D,4,FALSE)</f>
        <v>Universal</v>
      </c>
      <c r="H1749" s="14">
        <f>VLOOKUP(E1749,'Rental Transaction'!A:B,2,FALSE)</f>
        <v>478274</v>
      </c>
      <c r="I1749">
        <f t="shared" si="27"/>
        <v>2013</v>
      </c>
    </row>
    <row r="1750" spans="1:9">
      <c r="A1750" s="1">
        <v>10050</v>
      </c>
      <c r="B1750" s="1">
        <v>5</v>
      </c>
      <c r="C1750" s="2">
        <v>41444</v>
      </c>
      <c r="D1750" s="1" t="s">
        <v>2002</v>
      </c>
      <c r="E1750" s="1">
        <v>100993</v>
      </c>
      <c r="F1750" s="6" t="s">
        <v>3752</v>
      </c>
      <c r="G1750" s="15" t="str">
        <f>VLOOKUP(A1750,Movie!A:D,4,FALSE)</f>
        <v>Paramount</v>
      </c>
      <c r="H1750" s="14">
        <f>VLOOKUP(E1750,'Rental Transaction'!A:B,2,FALSE)</f>
        <v>168607</v>
      </c>
      <c r="I1750">
        <f t="shared" si="27"/>
        <v>2013</v>
      </c>
    </row>
    <row r="1751" spans="1:9">
      <c r="A1751" s="1">
        <v>10205</v>
      </c>
      <c r="B1751" s="1">
        <v>6</v>
      </c>
      <c r="C1751" s="2">
        <v>41444</v>
      </c>
      <c r="D1751" s="1" t="s">
        <v>2002</v>
      </c>
      <c r="E1751" s="1">
        <v>100993</v>
      </c>
      <c r="F1751" s="6" t="s">
        <v>3753</v>
      </c>
      <c r="G1751" s="15" t="str">
        <f>VLOOKUP(A1751,Movie!A:D,4,FALSE)</f>
        <v>Paramount</v>
      </c>
      <c r="H1751" s="14">
        <f>VLOOKUP(E1751,'Rental Transaction'!A:B,2,FALSE)</f>
        <v>168607</v>
      </c>
      <c r="I1751">
        <f t="shared" si="27"/>
        <v>2013</v>
      </c>
    </row>
    <row r="1752" spans="1:9">
      <c r="A1752" s="1">
        <v>10023</v>
      </c>
      <c r="B1752" s="1">
        <v>6</v>
      </c>
      <c r="C1752" s="2">
        <v>41445</v>
      </c>
      <c r="D1752" s="1" t="s">
        <v>2002</v>
      </c>
      <c r="E1752" s="1">
        <v>100994</v>
      </c>
      <c r="F1752" s="6" t="s">
        <v>3754</v>
      </c>
      <c r="G1752" s="15" t="str">
        <f>VLOOKUP(A1752,Movie!A:D,4,FALSE)</f>
        <v>Buena Vista</v>
      </c>
      <c r="H1752" s="14">
        <f>VLOOKUP(E1752,'Rental Transaction'!A:B,2,FALSE)</f>
        <v>149240</v>
      </c>
      <c r="I1752">
        <f t="shared" si="27"/>
        <v>2013</v>
      </c>
    </row>
    <row r="1753" spans="1:9">
      <c r="A1753" s="1">
        <v>10085</v>
      </c>
      <c r="B1753" s="1">
        <v>1</v>
      </c>
      <c r="C1753" s="2">
        <v>41447</v>
      </c>
      <c r="D1753" s="1" t="s">
        <v>2005</v>
      </c>
      <c r="E1753" s="1">
        <v>100995</v>
      </c>
      <c r="F1753" s="6" t="s">
        <v>3755</v>
      </c>
      <c r="G1753" s="15" t="str">
        <f>VLOOKUP(A1753,Movie!A:D,4,FALSE)</f>
        <v>Buena Vista</v>
      </c>
      <c r="H1753" s="14">
        <f>VLOOKUP(E1753,'Rental Transaction'!A:B,2,FALSE)</f>
        <v>306475</v>
      </c>
      <c r="I1753">
        <f t="shared" si="27"/>
        <v>2013</v>
      </c>
    </row>
    <row r="1754" spans="1:9">
      <c r="A1754" s="1">
        <v>10198</v>
      </c>
      <c r="B1754" s="1">
        <v>6</v>
      </c>
      <c r="C1754" s="2">
        <v>41447</v>
      </c>
      <c r="D1754" s="1" t="s">
        <v>2002</v>
      </c>
      <c r="E1754" s="1">
        <v>100996</v>
      </c>
      <c r="F1754" s="6" t="s">
        <v>3756</v>
      </c>
      <c r="G1754" s="15" t="str">
        <f>VLOOKUP(A1754,Movie!A:D,4,FALSE)</f>
        <v>Fox</v>
      </c>
      <c r="H1754" s="14">
        <f>VLOOKUP(E1754,'Rental Transaction'!A:B,2,FALSE)</f>
        <v>520196</v>
      </c>
      <c r="I1754">
        <f t="shared" si="27"/>
        <v>2013</v>
      </c>
    </row>
    <row r="1755" spans="1:9">
      <c r="A1755" s="1">
        <v>10015</v>
      </c>
      <c r="B1755" s="1">
        <v>6</v>
      </c>
      <c r="C1755" s="2">
        <v>41446</v>
      </c>
      <c r="D1755" s="1" t="s">
        <v>2005</v>
      </c>
      <c r="E1755" s="1">
        <v>100996</v>
      </c>
      <c r="F1755" s="6" t="s">
        <v>3757</v>
      </c>
      <c r="G1755" s="15" t="str">
        <f>VLOOKUP(A1755,Movie!A:D,4,FALSE)</f>
        <v>TriStar</v>
      </c>
      <c r="H1755" s="14">
        <f>VLOOKUP(E1755,'Rental Transaction'!A:B,2,FALSE)</f>
        <v>520196</v>
      </c>
      <c r="I1755">
        <f t="shared" si="27"/>
        <v>2013</v>
      </c>
    </row>
    <row r="1756" spans="1:9" ht="29.25">
      <c r="A1756" s="1">
        <v>10249</v>
      </c>
      <c r="B1756" s="1">
        <v>6</v>
      </c>
      <c r="C1756" s="2">
        <v>41445</v>
      </c>
      <c r="D1756" s="1" t="s">
        <v>2002</v>
      </c>
      <c r="E1756" s="1">
        <v>100996</v>
      </c>
      <c r="F1756" s="6" t="s">
        <v>3758</v>
      </c>
      <c r="G1756" s="15" t="str">
        <f>VLOOKUP(A1756,Movie!A:D,4,FALSE)</f>
        <v>Summit Entertainment</v>
      </c>
      <c r="H1756" s="14">
        <f>VLOOKUP(E1756,'Rental Transaction'!A:B,2,FALSE)</f>
        <v>520196</v>
      </c>
      <c r="I1756">
        <f t="shared" si="27"/>
        <v>2013</v>
      </c>
    </row>
    <row r="1757" spans="1:9">
      <c r="A1757" s="1">
        <v>10125</v>
      </c>
      <c r="B1757" s="1">
        <v>10</v>
      </c>
      <c r="C1757" s="2">
        <v>41446</v>
      </c>
      <c r="D1757" s="1" t="s">
        <v>2005</v>
      </c>
      <c r="E1757" s="1">
        <v>100997</v>
      </c>
      <c r="F1757" s="6" t="s">
        <v>3759</v>
      </c>
      <c r="G1757" s="15" t="str">
        <f>VLOOKUP(A1757,Movie!A:D,4,FALSE)</f>
        <v>Fox</v>
      </c>
      <c r="H1757" s="14">
        <f>VLOOKUP(E1757,'Rental Transaction'!A:B,2,FALSE)</f>
        <v>791850</v>
      </c>
      <c r="I1757">
        <f t="shared" si="27"/>
        <v>2013</v>
      </c>
    </row>
    <row r="1758" spans="1:9">
      <c r="A1758" s="1">
        <v>10282</v>
      </c>
      <c r="B1758" s="1">
        <v>6</v>
      </c>
      <c r="C1758" s="2">
        <v>41446</v>
      </c>
      <c r="D1758" s="1" t="s">
        <v>2005</v>
      </c>
      <c r="E1758" s="1">
        <v>100997</v>
      </c>
      <c r="F1758" s="6" t="s">
        <v>3760</v>
      </c>
      <c r="G1758" s="15" t="str">
        <f>VLOOKUP(A1758,Movie!A:D,4,FALSE)</f>
        <v>Sony Classics</v>
      </c>
      <c r="H1758" s="14">
        <f>VLOOKUP(E1758,'Rental Transaction'!A:B,2,FALSE)</f>
        <v>791850</v>
      </c>
      <c r="I1758">
        <f t="shared" si="27"/>
        <v>2013</v>
      </c>
    </row>
    <row r="1759" spans="1:9">
      <c r="A1759" s="1">
        <v>10051</v>
      </c>
      <c r="B1759" s="1">
        <v>6</v>
      </c>
      <c r="C1759" s="2">
        <v>41446</v>
      </c>
      <c r="D1759" s="1" t="s">
        <v>2005</v>
      </c>
      <c r="E1759" s="1">
        <v>100998</v>
      </c>
      <c r="F1759" s="6" t="s">
        <v>3761</v>
      </c>
      <c r="G1759" s="15" t="str">
        <f>VLOOKUP(A1759,Movie!A:D,4,FALSE)</f>
        <v>Paramount</v>
      </c>
      <c r="H1759" s="14">
        <f>VLOOKUP(E1759,'Rental Transaction'!A:B,2,FALSE)</f>
        <v>592726</v>
      </c>
      <c r="I1759">
        <f t="shared" si="27"/>
        <v>2013</v>
      </c>
    </row>
    <row r="1760" spans="1:9">
      <c r="A1760" s="1">
        <v>10011</v>
      </c>
      <c r="B1760" s="1">
        <v>1</v>
      </c>
      <c r="C1760" s="2">
        <v>41445</v>
      </c>
      <c r="D1760" s="1" t="s">
        <v>2002</v>
      </c>
      <c r="E1760" s="1">
        <v>100999</v>
      </c>
      <c r="F1760" s="6" t="s">
        <v>3762</v>
      </c>
      <c r="G1760" s="15" t="str">
        <f>VLOOKUP(A1760,Movie!A:D,4,FALSE)</f>
        <v>Buena Vista</v>
      </c>
      <c r="H1760" s="14">
        <f>VLOOKUP(E1760,'Rental Transaction'!A:B,2,FALSE)</f>
        <v>465275</v>
      </c>
      <c r="I1760">
        <f t="shared" si="27"/>
        <v>2013</v>
      </c>
    </row>
    <row r="1761" spans="1:9">
      <c r="A1761" s="1">
        <v>10118</v>
      </c>
      <c r="B1761" s="1">
        <v>8</v>
      </c>
      <c r="C1761" s="2">
        <v>41447</v>
      </c>
      <c r="D1761" s="1" t="s">
        <v>2005</v>
      </c>
      <c r="E1761" s="1">
        <v>100999</v>
      </c>
      <c r="F1761" s="6" t="s">
        <v>3763</v>
      </c>
      <c r="G1761" s="15" t="str">
        <f>VLOOKUP(A1761,Movie!A:D,4,FALSE)</f>
        <v>Buena Vista</v>
      </c>
      <c r="H1761" s="14">
        <f>VLOOKUP(E1761,'Rental Transaction'!A:B,2,FALSE)</f>
        <v>465275</v>
      </c>
      <c r="I1761">
        <f t="shared" si="27"/>
        <v>2013</v>
      </c>
    </row>
    <row r="1762" spans="1:9">
      <c r="A1762" s="1">
        <v>10078</v>
      </c>
      <c r="B1762" s="1">
        <v>9</v>
      </c>
      <c r="C1762" s="2">
        <v>41445</v>
      </c>
      <c r="D1762" s="1" t="s">
        <v>2002</v>
      </c>
      <c r="E1762" s="1">
        <v>101000</v>
      </c>
      <c r="F1762" s="6" t="s">
        <v>3764</v>
      </c>
      <c r="G1762" s="15" t="str">
        <f>VLOOKUP(A1762,Movie!A:D,4,FALSE)</f>
        <v>Paramount</v>
      </c>
      <c r="H1762" s="14">
        <f>VLOOKUP(E1762,'Rental Transaction'!A:B,2,FALSE)</f>
        <v>743517</v>
      </c>
      <c r="I1762">
        <f t="shared" si="27"/>
        <v>2013</v>
      </c>
    </row>
    <row r="1763" spans="1:9">
      <c r="A1763" s="1">
        <v>10265</v>
      </c>
      <c r="B1763" s="1">
        <v>9</v>
      </c>
      <c r="C1763" s="2">
        <v>41447</v>
      </c>
      <c r="D1763" s="1" t="s">
        <v>2005</v>
      </c>
      <c r="E1763" s="1">
        <v>101001</v>
      </c>
      <c r="F1763" s="6" t="s">
        <v>3765</v>
      </c>
      <c r="G1763" s="15" t="str">
        <f>VLOOKUP(A1763,Movie!A:D,4,FALSE)</f>
        <v>Warner Brothers</v>
      </c>
      <c r="H1763" s="14">
        <f>VLOOKUP(E1763,'Rental Transaction'!A:B,2,FALSE)</f>
        <v>818287</v>
      </c>
      <c r="I1763">
        <f t="shared" si="27"/>
        <v>2013</v>
      </c>
    </row>
    <row r="1764" spans="1:9">
      <c r="A1764" s="1">
        <v>10012</v>
      </c>
      <c r="B1764" s="1">
        <v>2</v>
      </c>
      <c r="C1764" s="2">
        <v>41445</v>
      </c>
      <c r="D1764" s="1" t="s">
        <v>2005</v>
      </c>
      <c r="E1764" s="1">
        <v>101001</v>
      </c>
      <c r="F1764" s="6" t="s">
        <v>3766</v>
      </c>
      <c r="G1764" s="15" t="str">
        <f>VLOOKUP(A1764,Movie!A:D,4,FALSE)</f>
        <v>Buena Vista</v>
      </c>
      <c r="H1764" s="14">
        <f>VLOOKUP(E1764,'Rental Transaction'!A:B,2,FALSE)</f>
        <v>818287</v>
      </c>
      <c r="I1764">
        <f t="shared" si="27"/>
        <v>2013</v>
      </c>
    </row>
    <row r="1765" spans="1:9">
      <c r="A1765" s="1">
        <v>10112</v>
      </c>
      <c r="B1765" s="1">
        <v>9</v>
      </c>
      <c r="C1765" s="2">
        <v>41446</v>
      </c>
      <c r="D1765" s="1" t="s">
        <v>2002</v>
      </c>
      <c r="E1765" s="1">
        <v>101001</v>
      </c>
      <c r="F1765" s="6" t="s">
        <v>3767</v>
      </c>
      <c r="G1765" s="15" t="str">
        <f>VLOOKUP(A1765,Movie!A:D,4,FALSE)</f>
        <v>Relativity</v>
      </c>
      <c r="H1765" s="14">
        <f>VLOOKUP(E1765,'Rental Transaction'!A:B,2,FALSE)</f>
        <v>818287</v>
      </c>
      <c r="I1765">
        <f t="shared" si="27"/>
        <v>2013</v>
      </c>
    </row>
    <row r="1766" spans="1:9">
      <c r="A1766" s="1">
        <v>10251</v>
      </c>
      <c r="B1766" s="1">
        <v>10</v>
      </c>
      <c r="C1766" s="2">
        <v>41445</v>
      </c>
      <c r="D1766" s="1" t="s">
        <v>2002</v>
      </c>
      <c r="E1766" s="1">
        <v>101002</v>
      </c>
      <c r="F1766" s="6" t="s">
        <v>3768</v>
      </c>
      <c r="G1766" s="15" t="str">
        <f>VLOOKUP(A1766,Movie!A:D,4,FALSE)</f>
        <v>Universal</v>
      </c>
      <c r="H1766" s="14">
        <f>VLOOKUP(E1766,'Rental Transaction'!A:B,2,FALSE)</f>
        <v>548546</v>
      </c>
      <c r="I1766">
        <f t="shared" si="27"/>
        <v>2013</v>
      </c>
    </row>
    <row r="1767" spans="1:9">
      <c r="A1767" s="1">
        <v>10141</v>
      </c>
      <c r="B1767" s="1">
        <v>2</v>
      </c>
      <c r="C1767" s="2">
        <v>41446</v>
      </c>
      <c r="D1767" s="1" t="s">
        <v>2005</v>
      </c>
      <c r="E1767" s="1">
        <v>101002</v>
      </c>
      <c r="F1767" s="6" t="s">
        <v>3769</v>
      </c>
      <c r="G1767" s="15" t="str">
        <f>VLOOKUP(A1767,Movie!A:D,4,FALSE)</f>
        <v>Warner Brothers</v>
      </c>
      <c r="H1767" s="14">
        <f>VLOOKUP(E1767,'Rental Transaction'!A:B,2,FALSE)</f>
        <v>548546</v>
      </c>
      <c r="I1767">
        <f t="shared" si="27"/>
        <v>2013</v>
      </c>
    </row>
    <row r="1768" spans="1:9">
      <c r="A1768" s="1">
        <v>10167</v>
      </c>
      <c r="B1768" s="1">
        <v>6</v>
      </c>
      <c r="C1768" s="2">
        <v>41445</v>
      </c>
      <c r="D1768" s="1" t="s">
        <v>2002</v>
      </c>
      <c r="E1768" s="1">
        <v>101003</v>
      </c>
      <c r="F1768" s="6" t="s">
        <v>3770</v>
      </c>
      <c r="G1768" s="15" t="str">
        <f>VLOOKUP(A1768,Movie!A:D,4,FALSE)</f>
        <v>Universal</v>
      </c>
      <c r="H1768" s="14">
        <f>VLOOKUP(E1768,'Rental Transaction'!A:B,2,FALSE)</f>
        <v>319387</v>
      </c>
      <c r="I1768">
        <f t="shared" si="27"/>
        <v>2013</v>
      </c>
    </row>
    <row r="1769" spans="1:9">
      <c r="A1769" s="1">
        <v>10137</v>
      </c>
      <c r="B1769" s="1">
        <v>2</v>
      </c>
      <c r="C1769" s="2">
        <v>41445</v>
      </c>
      <c r="D1769" s="1" t="s">
        <v>2002</v>
      </c>
      <c r="E1769" s="1">
        <v>101003</v>
      </c>
      <c r="F1769" s="6" t="s">
        <v>3771</v>
      </c>
      <c r="G1769" s="15" t="str">
        <f>VLOOKUP(A1769,Movie!A:D,4,FALSE)</f>
        <v>Buena Vista</v>
      </c>
      <c r="H1769" s="14">
        <f>VLOOKUP(E1769,'Rental Transaction'!A:B,2,FALSE)</f>
        <v>319387</v>
      </c>
      <c r="I1769">
        <f t="shared" si="27"/>
        <v>2013</v>
      </c>
    </row>
    <row r="1770" spans="1:9">
      <c r="A1770" s="1">
        <v>10004</v>
      </c>
      <c r="B1770" s="1">
        <v>2</v>
      </c>
      <c r="C1770" s="2">
        <v>41446</v>
      </c>
      <c r="D1770" s="1" t="s">
        <v>2002</v>
      </c>
      <c r="E1770" s="1">
        <v>101004</v>
      </c>
      <c r="F1770" s="6" t="s">
        <v>3772</v>
      </c>
      <c r="G1770" s="15" t="str">
        <f>VLOOKUP(A1770,Movie!A:D,4,FALSE)</f>
        <v>Paramount</v>
      </c>
      <c r="H1770" s="14">
        <f>VLOOKUP(E1770,'Rental Transaction'!A:B,2,FALSE)</f>
        <v>109251</v>
      </c>
      <c r="I1770">
        <f t="shared" si="27"/>
        <v>2013</v>
      </c>
    </row>
    <row r="1771" spans="1:9">
      <c r="A1771" s="1">
        <v>10096</v>
      </c>
      <c r="B1771" s="1">
        <v>9</v>
      </c>
      <c r="C1771" s="2">
        <v>41446</v>
      </c>
      <c r="D1771" s="1" t="s">
        <v>2005</v>
      </c>
      <c r="E1771" s="1">
        <v>101004</v>
      </c>
      <c r="F1771" s="6" t="s">
        <v>3773</v>
      </c>
      <c r="G1771" s="15" t="str">
        <f>VLOOKUP(A1771,Movie!A:D,4,FALSE)</f>
        <v>Universal</v>
      </c>
      <c r="H1771" s="14">
        <f>VLOOKUP(E1771,'Rental Transaction'!A:B,2,FALSE)</f>
        <v>109251</v>
      </c>
      <c r="I1771">
        <f t="shared" si="27"/>
        <v>2013</v>
      </c>
    </row>
    <row r="1772" spans="1:9">
      <c r="A1772" s="1">
        <v>10190</v>
      </c>
      <c r="B1772" s="1">
        <v>10</v>
      </c>
      <c r="C1772" s="2">
        <v>41446</v>
      </c>
      <c r="D1772" s="1" t="s">
        <v>2002</v>
      </c>
      <c r="E1772" s="1">
        <v>101004</v>
      </c>
      <c r="F1772" s="6" t="s">
        <v>3774</v>
      </c>
      <c r="G1772" s="15" t="str">
        <f>VLOOKUP(A1772,Movie!A:D,4,FALSE)</f>
        <v>Lionsgate</v>
      </c>
      <c r="H1772" s="14">
        <f>VLOOKUP(E1772,'Rental Transaction'!A:B,2,FALSE)</f>
        <v>109251</v>
      </c>
      <c r="I1772">
        <f t="shared" si="27"/>
        <v>2013</v>
      </c>
    </row>
    <row r="1773" spans="1:9">
      <c r="A1773" s="1">
        <v>10182</v>
      </c>
      <c r="B1773" s="1">
        <v>3</v>
      </c>
      <c r="C1773" s="2">
        <v>41446</v>
      </c>
      <c r="D1773" s="1" t="s">
        <v>2005</v>
      </c>
      <c r="E1773" s="1">
        <v>101004</v>
      </c>
      <c r="F1773" s="6" t="s">
        <v>3775</v>
      </c>
      <c r="G1773" s="15" t="str">
        <f>VLOOKUP(A1773,Movie!A:D,4,FALSE)</f>
        <v>Warner Brothers</v>
      </c>
      <c r="H1773" s="14">
        <f>VLOOKUP(E1773,'Rental Transaction'!A:B,2,FALSE)</f>
        <v>109251</v>
      </c>
      <c r="I1773">
        <f t="shared" si="27"/>
        <v>2013</v>
      </c>
    </row>
    <row r="1774" spans="1:9" ht="29.25">
      <c r="A1774" s="1">
        <v>10144</v>
      </c>
      <c r="B1774" s="1">
        <v>7</v>
      </c>
      <c r="C1774" s="2">
        <v>41448</v>
      </c>
      <c r="D1774" s="1" t="s">
        <v>2002</v>
      </c>
      <c r="E1774" s="1">
        <v>101005</v>
      </c>
      <c r="F1774" s="6" t="s">
        <v>3776</v>
      </c>
      <c r="G1774" s="15" t="str">
        <f>VLOOKUP(A1774,Movie!A:D,4,FALSE)</f>
        <v>Weinstein Company</v>
      </c>
      <c r="H1774" s="14">
        <f>VLOOKUP(E1774,'Rental Transaction'!A:B,2,FALSE)</f>
        <v>746134</v>
      </c>
      <c r="I1774">
        <f t="shared" si="27"/>
        <v>2013</v>
      </c>
    </row>
    <row r="1775" spans="1:9">
      <c r="A1775" s="1">
        <v>10019</v>
      </c>
      <c r="B1775" s="1">
        <v>9</v>
      </c>
      <c r="C1775" s="2">
        <v>41446</v>
      </c>
      <c r="D1775" s="1" t="s">
        <v>2005</v>
      </c>
      <c r="E1775" s="1">
        <v>101006</v>
      </c>
      <c r="F1775" s="6" t="s">
        <v>3777</v>
      </c>
      <c r="G1775" s="15" t="str">
        <f>VLOOKUP(A1775,Movie!A:D,4,FALSE)</f>
        <v>Fox</v>
      </c>
      <c r="H1775" s="14">
        <f>VLOOKUP(E1775,'Rental Transaction'!A:B,2,FALSE)</f>
        <v>741514</v>
      </c>
      <c r="I1775">
        <f t="shared" si="27"/>
        <v>2013</v>
      </c>
    </row>
    <row r="1776" spans="1:9">
      <c r="A1776" s="1">
        <v>10106</v>
      </c>
      <c r="B1776" s="1">
        <v>10</v>
      </c>
      <c r="C1776" s="2">
        <v>41446</v>
      </c>
      <c r="D1776" s="1" t="s">
        <v>2005</v>
      </c>
      <c r="E1776" s="1">
        <v>101007</v>
      </c>
      <c r="F1776" s="6" t="s">
        <v>3778</v>
      </c>
      <c r="G1776" s="15" t="str">
        <f>VLOOKUP(A1776,Movie!A:D,4,FALSE)</f>
        <v>Fox</v>
      </c>
      <c r="H1776" s="14">
        <f>VLOOKUP(E1776,'Rental Transaction'!A:B,2,FALSE)</f>
        <v>755271</v>
      </c>
      <c r="I1776">
        <f t="shared" si="27"/>
        <v>2013</v>
      </c>
    </row>
    <row r="1777" spans="1:9">
      <c r="A1777" s="1">
        <v>10137</v>
      </c>
      <c r="B1777" s="1">
        <v>10</v>
      </c>
      <c r="C1777" s="2">
        <v>41447</v>
      </c>
      <c r="D1777" s="1" t="s">
        <v>2002</v>
      </c>
      <c r="E1777" s="1">
        <v>101008</v>
      </c>
      <c r="F1777" s="6" t="s">
        <v>3779</v>
      </c>
      <c r="G1777" s="15" t="str">
        <f>VLOOKUP(A1777,Movie!A:D,4,FALSE)</f>
        <v>Buena Vista</v>
      </c>
      <c r="H1777" s="14">
        <f>VLOOKUP(E1777,'Rental Transaction'!A:B,2,FALSE)</f>
        <v>840096</v>
      </c>
      <c r="I1777">
        <f t="shared" si="27"/>
        <v>2013</v>
      </c>
    </row>
    <row r="1778" spans="1:9">
      <c r="A1778" s="1">
        <v>10072</v>
      </c>
      <c r="B1778" s="1">
        <v>4</v>
      </c>
      <c r="C1778" s="2">
        <v>41447</v>
      </c>
      <c r="D1778" s="1" t="s">
        <v>2002</v>
      </c>
      <c r="E1778" s="1">
        <v>101009</v>
      </c>
      <c r="F1778" s="6" t="s">
        <v>3780</v>
      </c>
      <c r="G1778" s="15" t="str">
        <f>VLOOKUP(A1778,Movie!A:D,4,FALSE)</f>
        <v>Paramount</v>
      </c>
      <c r="H1778" s="14">
        <f>VLOOKUP(E1778,'Rental Transaction'!A:B,2,FALSE)</f>
        <v>912671</v>
      </c>
      <c r="I1778">
        <f t="shared" si="27"/>
        <v>2013</v>
      </c>
    </row>
    <row r="1779" spans="1:9">
      <c r="A1779" s="1">
        <v>10075</v>
      </c>
      <c r="B1779" s="1">
        <v>1</v>
      </c>
      <c r="C1779" s="2">
        <v>41446</v>
      </c>
      <c r="D1779" s="1" t="s">
        <v>2005</v>
      </c>
      <c r="E1779" s="1">
        <v>101010</v>
      </c>
      <c r="F1779" s="6" t="s">
        <v>3781</v>
      </c>
      <c r="G1779" s="15" t="str">
        <f>VLOOKUP(A1779,Movie!A:D,4,FALSE)</f>
        <v>Fox Searchlight</v>
      </c>
      <c r="H1779" s="14">
        <f>VLOOKUP(E1779,'Rental Transaction'!A:B,2,FALSE)</f>
        <v>885548</v>
      </c>
      <c r="I1779">
        <f t="shared" si="27"/>
        <v>2013</v>
      </c>
    </row>
    <row r="1780" spans="1:9">
      <c r="A1780" s="1">
        <v>10224</v>
      </c>
      <c r="B1780" s="1">
        <v>4</v>
      </c>
      <c r="C1780" s="2">
        <v>41447</v>
      </c>
      <c r="D1780" s="1" t="s">
        <v>2005</v>
      </c>
      <c r="E1780" s="1">
        <v>101011</v>
      </c>
      <c r="F1780" s="6" t="s">
        <v>3782</v>
      </c>
      <c r="G1780" s="15" t="str">
        <f>VLOOKUP(A1780,Movie!A:D,4,FALSE)</f>
        <v>Fox Searchlight</v>
      </c>
      <c r="H1780" s="14">
        <f>VLOOKUP(E1780,'Rental Transaction'!A:B,2,FALSE)</f>
        <v>798336</v>
      </c>
      <c r="I1780">
        <f t="shared" si="27"/>
        <v>2013</v>
      </c>
    </row>
    <row r="1781" spans="1:9">
      <c r="A1781" s="1">
        <v>10101</v>
      </c>
      <c r="B1781" s="1">
        <v>8</v>
      </c>
      <c r="C1781" s="2">
        <v>41446</v>
      </c>
      <c r="D1781" s="1" t="s">
        <v>2005</v>
      </c>
      <c r="E1781" s="1">
        <v>101011</v>
      </c>
      <c r="F1781" s="6" t="s">
        <v>3783</v>
      </c>
      <c r="G1781" s="15" t="str">
        <f>VLOOKUP(A1781,Movie!A:D,4,FALSE)</f>
        <v>Sony</v>
      </c>
      <c r="H1781" s="14">
        <f>VLOOKUP(E1781,'Rental Transaction'!A:B,2,FALSE)</f>
        <v>798336</v>
      </c>
      <c r="I1781">
        <f t="shared" si="27"/>
        <v>2013</v>
      </c>
    </row>
    <row r="1782" spans="1:9">
      <c r="A1782" s="1">
        <v>10288</v>
      </c>
      <c r="B1782" s="1">
        <v>9</v>
      </c>
      <c r="C1782" s="2">
        <v>41446</v>
      </c>
      <c r="D1782" s="1" t="s">
        <v>2002</v>
      </c>
      <c r="E1782" s="1">
        <v>101011</v>
      </c>
      <c r="F1782" s="6" t="s">
        <v>3784</v>
      </c>
      <c r="G1782" s="15" t="str">
        <f>VLOOKUP(A1782,Movie!A:D,4,FALSE)</f>
        <v>Relativity</v>
      </c>
      <c r="H1782" s="14">
        <f>VLOOKUP(E1782,'Rental Transaction'!A:B,2,FALSE)</f>
        <v>798336</v>
      </c>
      <c r="I1782">
        <f t="shared" si="27"/>
        <v>2013</v>
      </c>
    </row>
    <row r="1783" spans="1:9" ht="29.25">
      <c r="A1783" s="1">
        <v>10164</v>
      </c>
      <c r="B1783" s="1">
        <v>1</v>
      </c>
      <c r="C1783" s="2">
        <v>41447</v>
      </c>
      <c r="D1783" s="1" t="s">
        <v>2005</v>
      </c>
      <c r="E1783" s="1">
        <v>101012</v>
      </c>
      <c r="F1783" s="6" t="s">
        <v>3785</v>
      </c>
      <c r="G1783" s="15" t="str">
        <f>VLOOKUP(A1783,Movie!A:D,4,FALSE)</f>
        <v>Weinstein Company</v>
      </c>
      <c r="H1783" s="14">
        <f>VLOOKUP(E1783,'Rental Transaction'!A:B,2,FALSE)</f>
        <v>646700</v>
      </c>
      <c r="I1783">
        <f t="shared" si="27"/>
        <v>2013</v>
      </c>
    </row>
    <row r="1784" spans="1:9">
      <c r="A1784" s="1">
        <v>10058</v>
      </c>
      <c r="B1784" s="1">
        <v>9</v>
      </c>
      <c r="C1784" s="2">
        <v>41449</v>
      </c>
      <c r="D1784" s="1" t="s">
        <v>2002</v>
      </c>
      <c r="E1784" s="1">
        <v>101013</v>
      </c>
      <c r="F1784" s="6" t="s">
        <v>3786</v>
      </c>
      <c r="G1784" s="15" t="str">
        <f>VLOOKUP(A1784,Movie!A:D,4,FALSE)</f>
        <v>Sony</v>
      </c>
      <c r="H1784" s="14">
        <f>VLOOKUP(E1784,'Rental Transaction'!A:B,2,FALSE)</f>
        <v>745543</v>
      </c>
      <c r="I1784">
        <f t="shared" si="27"/>
        <v>2013</v>
      </c>
    </row>
    <row r="1785" spans="1:9">
      <c r="A1785" s="1">
        <v>10267</v>
      </c>
      <c r="B1785" s="1">
        <v>8</v>
      </c>
      <c r="C1785" s="2">
        <v>41448</v>
      </c>
      <c r="D1785" s="1" t="s">
        <v>2005</v>
      </c>
      <c r="E1785" s="1">
        <v>101013</v>
      </c>
      <c r="F1785" s="6" t="s">
        <v>3787</v>
      </c>
      <c r="G1785" s="15" t="str">
        <f>VLOOKUP(A1785,Movie!A:D,4,FALSE)</f>
        <v>TriStar</v>
      </c>
      <c r="H1785" s="14">
        <f>VLOOKUP(E1785,'Rental Transaction'!A:B,2,FALSE)</f>
        <v>745543</v>
      </c>
      <c r="I1785">
        <f t="shared" si="27"/>
        <v>2013</v>
      </c>
    </row>
    <row r="1786" spans="1:9">
      <c r="A1786" s="1">
        <v>10106</v>
      </c>
      <c r="B1786" s="1">
        <v>2</v>
      </c>
      <c r="C1786" s="2">
        <v>41447</v>
      </c>
      <c r="D1786" s="1" t="s">
        <v>2002</v>
      </c>
      <c r="E1786" s="1">
        <v>101014</v>
      </c>
      <c r="F1786" s="6" t="s">
        <v>3788</v>
      </c>
      <c r="G1786" s="15" t="str">
        <f>VLOOKUP(A1786,Movie!A:D,4,FALSE)</f>
        <v>Fox</v>
      </c>
      <c r="H1786" s="14">
        <f>VLOOKUP(E1786,'Rental Transaction'!A:B,2,FALSE)</f>
        <v>680104</v>
      </c>
      <c r="I1786">
        <f t="shared" si="27"/>
        <v>2013</v>
      </c>
    </row>
    <row r="1787" spans="1:9" ht="29.25">
      <c r="A1787" s="1">
        <v>10264</v>
      </c>
      <c r="B1787" s="1">
        <v>4</v>
      </c>
      <c r="C1787" s="2">
        <v>41448</v>
      </c>
      <c r="D1787" s="1" t="s">
        <v>2002</v>
      </c>
      <c r="E1787" s="1">
        <v>101014</v>
      </c>
      <c r="F1787" s="6" t="s">
        <v>3789</v>
      </c>
      <c r="G1787" s="15" t="str">
        <f>VLOOKUP(A1787,Movie!A:D,4,FALSE)</f>
        <v>Weinstein Company</v>
      </c>
      <c r="H1787" s="14">
        <f>VLOOKUP(E1787,'Rental Transaction'!A:B,2,FALSE)</f>
        <v>680104</v>
      </c>
      <c r="I1787">
        <f t="shared" si="27"/>
        <v>2013</v>
      </c>
    </row>
    <row r="1788" spans="1:9">
      <c r="A1788" s="1">
        <v>10152</v>
      </c>
      <c r="B1788" s="1">
        <v>3</v>
      </c>
      <c r="C1788" s="2">
        <v>41448</v>
      </c>
      <c r="D1788" s="1" t="s">
        <v>2002</v>
      </c>
      <c r="E1788" s="1">
        <v>101015</v>
      </c>
      <c r="F1788" s="6" t="s">
        <v>3790</v>
      </c>
      <c r="G1788" s="15" t="str">
        <f>VLOOKUP(A1788,Movie!A:D,4,FALSE)</f>
        <v>FilmDistrict</v>
      </c>
      <c r="H1788" s="14">
        <f>VLOOKUP(E1788,'Rental Transaction'!A:B,2,FALSE)</f>
        <v>646700</v>
      </c>
      <c r="I1788">
        <f t="shared" si="27"/>
        <v>2013</v>
      </c>
    </row>
    <row r="1789" spans="1:9">
      <c r="A1789" s="1">
        <v>10170</v>
      </c>
      <c r="B1789" s="1">
        <v>4</v>
      </c>
      <c r="C1789" s="2">
        <v>41447</v>
      </c>
      <c r="D1789" s="1" t="s">
        <v>2002</v>
      </c>
      <c r="E1789" s="1">
        <v>101016</v>
      </c>
      <c r="F1789" s="6" t="s">
        <v>3791</v>
      </c>
      <c r="G1789" s="15" t="str">
        <f>VLOOKUP(A1789,Movie!A:D,4,FALSE)</f>
        <v>Sony Classics</v>
      </c>
      <c r="H1789" s="14">
        <f>VLOOKUP(E1789,'Rental Transaction'!A:B,2,FALSE)</f>
        <v>612681</v>
      </c>
      <c r="I1789">
        <f t="shared" si="27"/>
        <v>2013</v>
      </c>
    </row>
    <row r="1790" spans="1:9">
      <c r="A1790" s="1">
        <v>10222</v>
      </c>
      <c r="B1790" s="1">
        <v>8</v>
      </c>
      <c r="C1790" s="2">
        <v>41447</v>
      </c>
      <c r="D1790" s="1" t="s">
        <v>2002</v>
      </c>
      <c r="E1790" s="1">
        <v>101016</v>
      </c>
      <c r="F1790" s="6" t="s">
        <v>3792</v>
      </c>
      <c r="G1790" s="15" t="str">
        <f>VLOOKUP(A1790,Movie!A:D,4,FALSE)</f>
        <v>Sony</v>
      </c>
      <c r="H1790" s="14">
        <f>VLOOKUP(E1790,'Rental Transaction'!A:B,2,FALSE)</f>
        <v>612681</v>
      </c>
      <c r="I1790">
        <f t="shared" si="27"/>
        <v>2013</v>
      </c>
    </row>
    <row r="1791" spans="1:9">
      <c r="A1791" s="1">
        <v>10206</v>
      </c>
      <c r="B1791" s="1">
        <v>2</v>
      </c>
      <c r="C1791" s="2">
        <v>41447</v>
      </c>
      <c r="D1791" s="1" t="s">
        <v>2005</v>
      </c>
      <c r="E1791" s="1">
        <v>101016</v>
      </c>
      <c r="F1791" s="6" t="s">
        <v>3793</v>
      </c>
      <c r="G1791" s="15" t="str">
        <f>VLOOKUP(A1791,Movie!A:D,4,FALSE)</f>
        <v>Fox</v>
      </c>
      <c r="H1791" s="14">
        <f>VLOOKUP(E1791,'Rental Transaction'!A:B,2,FALSE)</f>
        <v>612681</v>
      </c>
      <c r="I1791">
        <f t="shared" si="27"/>
        <v>2013</v>
      </c>
    </row>
    <row r="1792" spans="1:9">
      <c r="A1792" s="1">
        <v>10114</v>
      </c>
      <c r="B1792" s="1">
        <v>4</v>
      </c>
      <c r="C1792" s="2">
        <v>41448</v>
      </c>
      <c r="D1792" s="1" t="s">
        <v>2002</v>
      </c>
      <c r="E1792" s="1">
        <v>101017</v>
      </c>
      <c r="F1792" s="6" t="s">
        <v>3794</v>
      </c>
      <c r="G1792" s="15" t="str">
        <f>VLOOKUP(A1792,Movie!A:D,4,FALSE)</f>
        <v>Lionsgate</v>
      </c>
      <c r="H1792" s="14">
        <f>VLOOKUP(E1792,'Rental Transaction'!A:B,2,FALSE)</f>
        <v>355107</v>
      </c>
      <c r="I1792">
        <f t="shared" si="27"/>
        <v>2013</v>
      </c>
    </row>
    <row r="1793" spans="1:9" ht="29.25">
      <c r="A1793" s="1">
        <v>10294</v>
      </c>
      <c r="B1793" s="1">
        <v>9</v>
      </c>
      <c r="C1793" s="2">
        <v>41447</v>
      </c>
      <c r="D1793" s="1" t="s">
        <v>2002</v>
      </c>
      <c r="E1793" s="1">
        <v>101017</v>
      </c>
      <c r="F1793" s="6" t="s">
        <v>3795</v>
      </c>
      <c r="G1793" s="15" t="str">
        <f>VLOOKUP(A1793,Movie!A:D,4,FALSE)</f>
        <v>Weinstein Company</v>
      </c>
      <c r="H1793" s="14">
        <f>VLOOKUP(E1793,'Rental Transaction'!A:B,2,FALSE)</f>
        <v>355107</v>
      </c>
      <c r="I1793">
        <f t="shared" si="27"/>
        <v>2013</v>
      </c>
    </row>
    <row r="1794" spans="1:9">
      <c r="A1794" s="1">
        <v>10272</v>
      </c>
      <c r="B1794" s="1">
        <v>3</v>
      </c>
      <c r="C1794" s="2">
        <v>41447</v>
      </c>
      <c r="D1794" s="1" t="s">
        <v>2005</v>
      </c>
      <c r="E1794" s="1">
        <v>101018</v>
      </c>
      <c r="F1794" s="6" t="s">
        <v>3796</v>
      </c>
      <c r="G1794" s="15" t="str">
        <f>VLOOKUP(A1794,Movie!A:D,4,FALSE)</f>
        <v>Sony</v>
      </c>
      <c r="H1794" s="14">
        <f>VLOOKUP(E1794,'Rental Transaction'!A:B,2,FALSE)</f>
        <v>484909</v>
      </c>
      <c r="I1794">
        <f t="shared" si="27"/>
        <v>2013</v>
      </c>
    </row>
    <row r="1795" spans="1:9">
      <c r="A1795" s="1">
        <v>10197</v>
      </c>
      <c r="B1795" s="1">
        <v>6</v>
      </c>
      <c r="C1795" s="2">
        <v>41448</v>
      </c>
      <c r="D1795" s="1" t="s">
        <v>2002</v>
      </c>
      <c r="E1795" s="1">
        <v>101019</v>
      </c>
      <c r="F1795" s="6" t="s">
        <v>3797</v>
      </c>
      <c r="G1795" s="15" t="str">
        <f>VLOOKUP(A1795,Movie!A:D,4,FALSE)</f>
        <v>Warner Brothers</v>
      </c>
      <c r="H1795" s="14">
        <f>VLOOKUP(E1795,'Rental Transaction'!A:B,2,FALSE)</f>
        <v>310195</v>
      </c>
      <c r="I1795">
        <f t="shared" ref="I1795:I1858" si="28">YEAR(C1795)</f>
        <v>2013</v>
      </c>
    </row>
    <row r="1796" spans="1:9">
      <c r="A1796" s="1">
        <v>10270</v>
      </c>
      <c r="B1796" s="1">
        <v>2</v>
      </c>
      <c r="C1796" s="2">
        <v>41448</v>
      </c>
      <c r="D1796" s="1" t="s">
        <v>2002</v>
      </c>
      <c r="E1796" s="1">
        <v>101019</v>
      </c>
      <c r="F1796" s="6" t="s">
        <v>3798</v>
      </c>
      <c r="G1796" s="15" t="str">
        <f>VLOOKUP(A1796,Movie!A:D,4,FALSE)</f>
        <v>Fox</v>
      </c>
      <c r="H1796" s="14">
        <f>VLOOKUP(E1796,'Rental Transaction'!A:B,2,FALSE)</f>
        <v>310195</v>
      </c>
      <c r="I1796">
        <f t="shared" si="28"/>
        <v>2013</v>
      </c>
    </row>
    <row r="1797" spans="1:9">
      <c r="A1797" s="1">
        <v>10032</v>
      </c>
      <c r="B1797" s="1">
        <v>8</v>
      </c>
      <c r="C1797" s="2">
        <v>41448</v>
      </c>
      <c r="D1797" s="1" t="s">
        <v>2005</v>
      </c>
      <c r="E1797" s="1">
        <v>101020</v>
      </c>
      <c r="F1797" s="6" t="s">
        <v>3799</v>
      </c>
      <c r="G1797" s="15" t="str">
        <f>VLOOKUP(A1797,Movie!A:D,4,FALSE)</f>
        <v>Sony</v>
      </c>
      <c r="H1797" s="14">
        <f>VLOOKUP(E1797,'Rental Transaction'!A:B,2,FALSE)</f>
        <v>901388</v>
      </c>
      <c r="I1797">
        <f t="shared" si="28"/>
        <v>2013</v>
      </c>
    </row>
    <row r="1798" spans="1:9">
      <c r="A1798" s="1">
        <v>10035</v>
      </c>
      <c r="B1798" s="1">
        <v>4</v>
      </c>
      <c r="C1798" s="2">
        <v>41449</v>
      </c>
      <c r="D1798" s="1" t="s">
        <v>2002</v>
      </c>
      <c r="E1798" s="1">
        <v>101020</v>
      </c>
      <c r="F1798" s="6" t="s">
        <v>3800</v>
      </c>
      <c r="G1798" s="15" t="str">
        <f>VLOOKUP(A1798,Movie!A:D,4,FALSE)</f>
        <v>Sony</v>
      </c>
      <c r="H1798" s="14">
        <f>VLOOKUP(E1798,'Rental Transaction'!A:B,2,FALSE)</f>
        <v>901388</v>
      </c>
      <c r="I1798">
        <f t="shared" si="28"/>
        <v>2013</v>
      </c>
    </row>
    <row r="1799" spans="1:9">
      <c r="A1799" s="1">
        <v>10059</v>
      </c>
      <c r="B1799" s="1">
        <v>1</v>
      </c>
      <c r="C1799" s="2">
        <v>41449</v>
      </c>
      <c r="D1799" s="1" t="s">
        <v>2005</v>
      </c>
      <c r="E1799" s="1">
        <v>101021</v>
      </c>
      <c r="F1799" s="6" t="s">
        <v>3801</v>
      </c>
      <c r="G1799" s="15" t="str">
        <f>VLOOKUP(A1799,Movie!A:D,4,FALSE)</f>
        <v>Universal</v>
      </c>
      <c r="H1799" s="14">
        <f>VLOOKUP(E1799,'Rental Transaction'!A:B,2,FALSE)</f>
        <v>747066</v>
      </c>
      <c r="I1799">
        <f t="shared" si="28"/>
        <v>2013</v>
      </c>
    </row>
    <row r="1800" spans="1:9">
      <c r="A1800" s="1">
        <v>10209</v>
      </c>
      <c r="B1800" s="1">
        <v>10</v>
      </c>
      <c r="C1800" s="2">
        <v>41448</v>
      </c>
      <c r="D1800" s="1" t="s">
        <v>2005</v>
      </c>
      <c r="E1800" s="1">
        <v>101021</v>
      </c>
      <c r="F1800" s="6" t="s">
        <v>3802</v>
      </c>
      <c r="G1800" s="15" t="str">
        <f>VLOOKUP(A1800,Movie!A:D,4,FALSE)</f>
        <v>Universal</v>
      </c>
      <c r="H1800" s="14">
        <f>VLOOKUP(E1800,'Rental Transaction'!A:B,2,FALSE)</f>
        <v>747066</v>
      </c>
      <c r="I1800">
        <f t="shared" si="28"/>
        <v>2013</v>
      </c>
    </row>
    <row r="1801" spans="1:9">
      <c r="A1801" s="1">
        <v>10279</v>
      </c>
      <c r="B1801" s="1">
        <v>6</v>
      </c>
      <c r="C1801" s="2">
        <v>41448</v>
      </c>
      <c r="D1801" s="1" t="s">
        <v>2002</v>
      </c>
      <c r="E1801" s="1">
        <v>101022</v>
      </c>
      <c r="F1801" s="6" t="s">
        <v>3803</v>
      </c>
      <c r="G1801" s="15" t="str">
        <f>VLOOKUP(A1801,Movie!A:D,4,FALSE)</f>
        <v>Screen Gems</v>
      </c>
      <c r="H1801" s="14">
        <f>VLOOKUP(E1801,'Rental Transaction'!A:B,2,FALSE)</f>
        <v>306853</v>
      </c>
      <c r="I1801">
        <f t="shared" si="28"/>
        <v>2013</v>
      </c>
    </row>
    <row r="1802" spans="1:9">
      <c r="A1802" s="1">
        <v>10098</v>
      </c>
      <c r="B1802" s="1">
        <v>1</v>
      </c>
      <c r="C1802" s="2">
        <v>41448</v>
      </c>
      <c r="D1802" s="1" t="s">
        <v>2005</v>
      </c>
      <c r="E1802" s="1">
        <v>101022</v>
      </c>
      <c r="F1802" s="6" t="s">
        <v>3804</v>
      </c>
      <c r="G1802" s="15" t="str">
        <f>VLOOKUP(A1802,Movie!A:D,4,FALSE)</f>
        <v>Warner Brothers</v>
      </c>
      <c r="H1802" s="14">
        <f>VLOOKUP(E1802,'Rental Transaction'!A:B,2,FALSE)</f>
        <v>306853</v>
      </c>
      <c r="I1802">
        <f t="shared" si="28"/>
        <v>2013</v>
      </c>
    </row>
    <row r="1803" spans="1:9">
      <c r="A1803" s="1">
        <v>10089</v>
      </c>
      <c r="B1803" s="1">
        <v>6</v>
      </c>
      <c r="C1803" s="2">
        <v>41448</v>
      </c>
      <c r="D1803" s="1" t="s">
        <v>2005</v>
      </c>
      <c r="E1803" s="1">
        <v>101022</v>
      </c>
      <c r="F1803" s="6" t="s">
        <v>3805</v>
      </c>
      <c r="G1803" s="15" t="str">
        <f>VLOOKUP(A1803,Movie!A:D,4,FALSE)</f>
        <v>Sony</v>
      </c>
      <c r="H1803" s="14">
        <f>VLOOKUP(E1803,'Rental Transaction'!A:B,2,FALSE)</f>
        <v>306853</v>
      </c>
      <c r="I1803">
        <f t="shared" si="28"/>
        <v>2013</v>
      </c>
    </row>
    <row r="1804" spans="1:9">
      <c r="A1804" s="1">
        <v>10214</v>
      </c>
      <c r="B1804" s="1">
        <v>10</v>
      </c>
      <c r="C1804" s="2">
        <v>41449</v>
      </c>
      <c r="D1804" s="1" t="s">
        <v>2002</v>
      </c>
      <c r="E1804" s="1">
        <v>101023</v>
      </c>
      <c r="F1804" s="6" t="s">
        <v>3806</v>
      </c>
      <c r="G1804" s="15" t="str">
        <f>VLOOKUP(A1804,Movie!A:D,4,FALSE)</f>
        <v>RM</v>
      </c>
      <c r="H1804" s="14">
        <f>VLOOKUP(E1804,'Rental Transaction'!A:B,2,FALSE)</f>
        <v>905670</v>
      </c>
      <c r="I1804">
        <f t="shared" si="28"/>
        <v>2013</v>
      </c>
    </row>
    <row r="1805" spans="1:9">
      <c r="A1805" s="1">
        <v>10078</v>
      </c>
      <c r="B1805" s="1">
        <v>2</v>
      </c>
      <c r="C1805" s="2">
        <v>41448</v>
      </c>
      <c r="D1805" s="1" t="s">
        <v>2005</v>
      </c>
      <c r="E1805" s="1">
        <v>101023</v>
      </c>
      <c r="F1805" s="6" t="s">
        <v>3807</v>
      </c>
      <c r="G1805" s="15" t="str">
        <f>VLOOKUP(A1805,Movie!A:D,4,FALSE)</f>
        <v>Paramount</v>
      </c>
      <c r="H1805" s="14">
        <f>VLOOKUP(E1805,'Rental Transaction'!A:B,2,FALSE)</f>
        <v>905670</v>
      </c>
      <c r="I1805">
        <f t="shared" si="28"/>
        <v>2013</v>
      </c>
    </row>
    <row r="1806" spans="1:9">
      <c r="A1806" s="1">
        <v>10216</v>
      </c>
      <c r="B1806" s="1">
        <v>3</v>
      </c>
      <c r="C1806" s="2">
        <v>41448</v>
      </c>
      <c r="D1806" s="1" t="s">
        <v>2002</v>
      </c>
      <c r="E1806" s="1">
        <v>101023</v>
      </c>
      <c r="F1806" s="6" t="s">
        <v>3808</v>
      </c>
      <c r="G1806" s="15" t="str">
        <f>VLOOKUP(A1806,Movie!A:D,4,FALSE)</f>
        <v>Sony</v>
      </c>
      <c r="H1806" s="14">
        <f>VLOOKUP(E1806,'Rental Transaction'!A:B,2,FALSE)</f>
        <v>905670</v>
      </c>
      <c r="I1806">
        <f t="shared" si="28"/>
        <v>2013</v>
      </c>
    </row>
    <row r="1807" spans="1:9">
      <c r="A1807" s="1">
        <v>10173</v>
      </c>
      <c r="B1807" s="1">
        <v>10</v>
      </c>
      <c r="C1807" s="2">
        <v>41448</v>
      </c>
      <c r="D1807" s="1" t="s">
        <v>2005</v>
      </c>
      <c r="E1807" s="1">
        <v>101024</v>
      </c>
      <c r="F1807" s="6" t="s">
        <v>3809</v>
      </c>
      <c r="G1807" s="15" t="str">
        <f>VLOOKUP(A1807,Movie!A:D,4,FALSE)</f>
        <v>Sony</v>
      </c>
      <c r="H1807" s="14">
        <f>VLOOKUP(E1807,'Rental Transaction'!A:B,2,FALSE)</f>
        <v>847289</v>
      </c>
      <c r="I1807">
        <f t="shared" si="28"/>
        <v>2013</v>
      </c>
    </row>
    <row r="1808" spans="1:9">
      <c r="A1808" s="1">
        <v>10255</v>
      </c>
      <c r="B1808" s="1">
        <v>4</v>
      </c>
      <c r="C1808" s="2">
        <v>41448</v>
      </c>
      <c r="D1808" s="1" t="s">
        <v>2002</v>
      </c>
      <c r="E1808" s="1">
        <v>101025</v>
      </c>
      <c r="F1808" s="6" t="s">
        <v>3810</v>
      </c>
      <c r="G1808" s="15" t="str">
        <f>VLOOKUP(A1808,Movie!A:D,4,FALSE)</f>
        <v>Paramount</v>
      </c>
      <c r="H1808" s="14">
        <f>VLOOKUP(E1808,'Rental Transaction'!A:B,2,FALSE)</f>
        <v>289693</v>
      </c>
      <c r="I1808">
        <f t="shared" si="28"/>
        <v>2013</v>
      </c>
    </row>
    <row r="1809" spans="1:9">
      <c r="A1809" s="1">
        <v>10238</v>
      </c>
      <c r="B1809" s="1">
        <v>10</v>
      </c>
      <c r="C1809" s="2">
        <v>41449</v>
      </c>
      <c r="D1809" s="1" t="s">
        <v>2002</v>
      </c>
      <c r="E1809" s="1">
        <v>101026</v>
      </c>
      <c r="F1809" s="6" t="s">
        <v>3811</v>
      </c>
      <c r="G1809" s="15" t="str">
        <f>VLOOKUP(A1809,Movie!A:D,4,FALSE)</f>
        <v>Warner Brothers</v>
      </c>
      <c r="H1809" s="14">
        <f>VLOOKUP(E1809,'Rental Transaction'!A:B,2,FALSE)</f>
        <v>619910</v>
      </c>
      <c r="I1809">
        <f t="shared" si="28"/>
        <v>2013</v>
      </c>
    </row>
    <row r="1810" spans="1:9">
      <c r="A1810" s="1">
        <v>10077</v>
      </c>
      <c r="B1810" s="1">
        <v>8</v>
      </c>
      <c r="C1810" s="2">
        <v>41450</v>
      </c>
      <c r="D1810" s="1" t="s">
        <v>2002</v>
      </c>
      <c r="E1810" s="1">
        <v>101026</v>
      </c>
      <c r="F1810" s="6" t="s">
        <v>3812</v>
      </c>
      <c r="G1810" s="15" t="str">
        <f>VLOOKUP(A1810,Movie!A:D,4,FALSE)</f>
        <v>Warner Brothers</v>
      </c>
      <c r="H1810" s="14">
        <f>VLOOKUP(E1810,'Rental Transaction'!A:B,2,FALSE)</f>
        <v>619910</v>
      </c>
      <c r="I1810">
        <f t="shared" si="28"/>
        <v>2013</v>
      </c>
    </row>
    <row r="1811" spans="1:9">
      <c r="A1811" s="1">
        <v>10184</v>
      </c>
      <c r="B1811" s="1">
        <v>2</v>
      </c>
      <c r="C1811" s="2">
        <v>41449</v>
      </c>
      <c r="D1811" s="1" t="s">
        <v>2002</v>
      </c>
      <c r="E1811" s="1">
        <v>101027</v>
      </c>
      <c r="F1811" s="6" t="s">
        <v>3813</v>
      </c>
      <c r="G1811" s="15" t="str">
        <f>VLOOKUP(A1811,Movie!A:D,4,FALSE)</f>
        <v>Universal</v>
      </c>
      <c r="H1811" s="14">
        <f>VLOOKUP(E1811,'Rental Transaction'!A:B,2,FALSE)</f>
        <v>888952</v>
      </c>
      <c r="I1811">
        <f t="shared" si="28"/>
        <v>2013</v>
      </c>
    </row>
    <row r="1812" spans="1:9">
      <c r="A1812" s="1">
        <v>10089</v>
      </c>
      <c r="B1812" s="1">
        <v>8</v>
      </c>
      <c r="C1812" s="2">
        <v>41449</v>
      </c>
      <c r="D1812" s="1" t="s">
        <v>2002</v>
      </c>
      <c r="E1812" s="1">
        <v>101027</v>
      </c>
      <c r="F1812" s="6" t="s">
        <v>3814</v>
      </c>
      <c r="G1812" s="15" t="str">
        <f>VLOOKUP(A1812,Movie!A:D,4,FALSE)</f>
        <v>Sony</v>
      </c>
      <c r="H1812" s="14">
        <f>VLOOKUP(E1812,'Rental Transaction'!A:B,2,FALSE)</f>
        <v>888952</v>
      </c>
      <c r="I1812">
        <f t="shared" si="28"/>
        <v>2013</v>
      </c>
    </row>
    <row r="1813" spans="1:9">
      <c r="A1813" s="1">
        <v>10094</v>
      </c>
      <c r="B1813" s="1">
        <v>10</v>
      </c>
      <c r="C1813" s="2">
        <v>41449</v>
      </c>
      <c r="D1813" s="1" t="s">
        <v>2005</v>
      </c>
      <c r="E1813" s="1">
        <v>101027</v>
      </c>
      <c r="F1813" s="6" t="s">
        <v>3815</v>
      </c>
      <c r="G1813" s="15" t="str">
        <f>VLOOKUP(A1813,Movie!A:D,4,FALSE)</f>
        <v>Relativity</v>
      </c>
      <c r="H1813" s="14">
        <f>VLOOKUP(E1813,'Rental Transaction'!A:B,2,FALSE)</f>
        <v>888952</v>
      </c>
      <c r="I1813">
        <f t="shared" si="28"/>
        <v>2013</v>
      </c>
    </row>
    <row r="1814" spans="1:9">
      <c r="A1814" s="1">
        <v>10267</v>
      </c>
      <c r="B1814" s="1">
        <v>4</v>
      </c>
      <c r="C1814" s="2">
        <v>41449</v>
      </c>
      <c r="D1814" s="1" t="s">
        <v>2002</v>
      </c>
      <c r="E1814" s="1">
        <v>101028</v>
      </c>
      <c r="F1814" s="6" t="s">
        <v>3816</v>
      </c>
      <c r="G1814" s="15" t="str">
        <f>VLOOKUP(A1814,Movie!A:D,4,FALSE)</f>
        <v>TriStar</v>
      </c>
      <c r="H1814" s="14">
        <f>VLOOKUP(E1814,'Rental Transaction'!A:B,2,FALSE)</f>
        <v>950299</v>
      </c>
      <c r="I1814">
        <f t="shared" si="28"/>
        <v>2013</v>
      </c>
    </row>
    <row r="1815" spans="1:9">
      <c r="A1815" s="1">
        <v>10160</v>
      </c>
      <c r="B1815" s="1">
        <v>7</v>
      </c>
      <c r="C1815" s="2">
        <v>41449</v>
      </c>
      <c r="D1815" s="1" t="s">
        <v>2002</v>
      </c>
      <c r="E1815" s="1">
        <v>101029</v>
      </c>
      <c r="F1815" s="6" t="s">
        <v>3817</v>
      </c>
      <c r="G1815" s="15" t="str">
        <f>VLOOKUP(A1815,Movie!A:D,4,FALSE)</f>
        <v>Lionsgate</v>
      </c>
      <c r="H1815" s="14">
        <f>VLOOKUP(E1815,'Rental Transaction'!A:B,2,FALSE)</f>
        <v>418521</v>
      </c>
      <c r="I1815">
        <f t="shared" si="28"/>
        <v>2013</v>
      </c>
    </row>
    <row r="1816" spans="1:9" ht="29.25">
      <c r="A1816" s="1">
        <v>10154</v>
      </c>
      <c r="B1816" s="1">
        <v>5</v>
      </c>
      <c r="C1816" s="2">
        <v>41449</v>
      </c>
      <c r="D1816" s="1" t="s">
        <v>2005</v>
      </c>
      <c r="E1816" s="1">
        <v>101030</v>
      </c>
      <c r="F1816" s="6" t="s">
        <v>3818</v>
      </c>
      <c r="G1816" s="15" t="str">
        <f>VLOOKUP(A1816,Movie!A:D,4,FALSE)</f>
        <v>Summit Entertainment</v>
      </c>
      <c r="H1816" s="14">
        <f>VLOOKUP(E1816,'Rental Transaction'!A:B,2,FALSE)</f>
        <v>551950</v>
      </c>
      <c r="I1816">
        <f t="shared" si="28"/>
        <v>2013</v>
      </c>
    </row>
    <row r="1817" spans="1:9">
      <c r="A1817" s="1">
        <v>10220</v>
      </c>
      <c r="B1817" s="1">
        <v>5</v>
      </c>
      <c r="C1817" s="2">
        <v>41450</v>
      </c>
      <c r="D1817" s="1" t="s">
        <v>2002</v>
      </c>
      <c r="E1817" s="1">
        <v>101030</v>
      </c>
      <c r="F1817" s="6" t="s">
        <v>3819</v>
      </c>
      <c r="G1817" s="15" t="str">
        <f>VLOOKUP(A1817,Movie!A:D,4,FALSE)</f>
        <v>Fox</v>
      </c>
      <c r="H1817" s="14">
        <f>VLOOKUP(E1817,'Rental Transaction'!A:B,2,FALSE)</f>
        <v>551950</v>
      </c>
      <c r="I1817">
        <f t="shared" si="28"/>
        <v>2013</v>
      </c>
    </row>
    <row r="1818" spans="1:9">
      <c r="A1818" s="1">
        <v>10027</v>
      </c>
      <c r="B1818" s="1">
        <v>1</v>
      </c>
      <c r="C1818" s="2">
        <v>41450</v>
      </c>
      <c r="D1818" s="1" t="s">
        <v>2005</v>
      </c>
      <c r="E1818" s="1">
        <v>101030</v>
      </c>
      <c r="F1818" s="6" t="s">
        <v>3820</v>
      </c>
      <c r="G1818" s="15" t="str">
        <f>VLOOKUP(A1818,Movie!A:D,4,FALSE)</f>
        <v>FilmDistrict</v>
      </c>
      <c r="H1818" s="14">
        <f>VLOOKUP(E1818,'Rental Transaction'!A:B,2,FALSE)</f>
        <v>551950</v>
      </c>
      <c r="I1818">
        <f t="shared" si="28"/>
        <v>2013</v>
      </c>
    </row>
    <row r="1819" spans="1:9">
      <c r="A1819" s="1">
        <v>10107</v>
      </c>
      <c r="B1819" s="1">
        <v>9</v>
      </c>
      <c r="C1819" s="2">
        <v>41449</v>
      </c>
      <c r="D1819" s="1" t="s">
        <v>2005</v>
      </c>
      <c r="E1819" s="1">
        <v>101031</v>
      </c>
      <c r="F1819" s="6" t="s">
        <v>3821</v>
      </c>
      <c r="G1819" s="15" t="str">
        <f>VLOOKUP(A1819,Movie!A:D,4,FALSE)</f>
        <v>Universal</v>
      </c>
      <c r="H1819" s="14">
        <f>VLOOKUP(E1819,'Rental Transaction'!A:B,2,FALSE)</f>
        <v>225489</v>
      </c>
      <c r="I1819">
        <f t="shared" si="28"/>
        <v>2013</v>
      </c>
    </row>
    <row r="1820" spans="1:9">
      <c r="A1820" s="1">
        <v>10053</v>
      </c>
      <c r="B1820" s="1">
        <v>7</v>
      </c>
      <c r="C1820" s="2">
        <v>41451</v>
      </c>
      <c r="D1820" s="1" t="s">
        <v>2005</v>
      </c>
      <c r="E1820" s="1">
        <v>101031</v>
      </c>
      <c r="F1820" s="6" t="s">
        <v>3822</v>
      </c>
      <c r="G1820" s="15" t="str">
        <f>VLOOKUP(A1820,Movie!A:D,4,FALSE)</f>
        <v>Sony</v>
      </c>
      <c r="H1820" s="14">
        <f>VLOOKUP(E1820,'Rental Transaction'!A:B,2,FALSE)</f>
        <v>225489</v>
      </c>
      <c r="I1820">
        <f t="shared" si="28"/>
        <v>2013</v>
      </c>
    </row>
    <row r="1821" spans="1:9">
      <c r="A1821" s="1">
        <v>10126</v>
      </c>
      <c r="B1821" s="1">
        <v>5</v>
      </c>
      <c r="C1821" s="2">
        <v>41449</v>
      </c>
      <c r="D1821" s="1" t="s">
        <v>2002</v>
      </c>
      <c r="E1821" s="1">
        <v>101031</v>
      </c>
      <c r="F1821" s="6" t="s">
        <v>3823</v>
      </c>
      <c r="G1821" s="15" t="str">
        <f>VLOOKUP(A1821,Movie!A:D,4,FALSE)</f>
        <v>Fox</v>
      </c>
      <c r="H1821" s="14">
        <f>VLOOKUP(E1821,'Rental Transaction'!A:B,2,FALSE)</f>
        <v>225489</v>
      </c>
      <c r="I1821">
        <f t="shared" si="28"/>
        <v>2013</v>
      </c>
    </row>
    <row r="1822" spans="1:9">
      <c r="A1822" s="1">
        <v>10247</v>
      </c>
      <c r="B1822" s="1">
        <v>1</v>
      </c>
      <c r="C1822" s="2">
        <v>41450</v>
      </c>
      <c r="D1822" s="1" t="s">
        <v>2005</v>
      </c>
      <c r="E1822" s="1">
        <v>101032</v>
      </c>
      <c r="F1822" s="6" t="s">
        <v>3824</v>
      </c>
      <c r="G1822" s="15" t="str">
        <f>VLOOKUP(A1822,Movie!A:D,4,FALSE)</f>
        <v>Fox</v>
      </c>
      <c r="H1822" s="14">
        <f>VLOOKUP(E1822,'Rental Transaction'!A:B,2,FALSE)</f>
        <v>908328</v>
      </c>
      <c r="I1822">
        <f t="shared" si="28"/>
        <v>2013</v>
      </c>
    </row>
    <row r="1823" spans="1:9">
      <c r="A1823" s="1">
        <v>10189</v>
      </c>
      <c r="B1823" s="1">
        <v>6</v>
      </c>
      <c r="C1823" s="2">
        <v>41450</v>
      </c>
      <c r="D1823" s="1" t="s">
        <v>2002</v>
      </c>
      <c r="E1823" s="1">
        <v>101032</v>
      </c>
      <c r="F1823" s="6" t="s">
        <v>3825</v>
      </c>
      <c r="G1823" s="15" t="str">
        <f>VLOOKUP(A1823,Movie!A:D,4,FALSE)</f>
        <v>Universal</v>
      </c>
      <c r="H1823" s="14">
        <f>VLOOKUP(E1823,'Rental Transaction'!A:B,2,FALSE)</f>
        <v>908328</v>
      </c>
      <c r="I1823">
        <f t="shared" si="28"/>
        <v>2013</v>
      </c>
    </row>
    <row r="1824" spans="1:9">
      <c r="A1824" s="1">
        <v>10181</v>
      </c>
      <c r="B1824" s="1">
        <v>1</v>
      </c>
      <c r="C1824" s="2">
        <v>41451</v>
      </c>
      <c r="D1824" s="1" t="s">
        <v>2002</v>
      </c>
      <c r="E1824" s="1">
        <v>101033</v>
      </c>
      <c r="F1824" s="6" t="s">
        <v>3826</v>
      </c>
      <c r="G1824" s="15" t="str">
        <f>VLOOKUP(A1824,Movie!A:D,4,FALSE)</f>
        <v>Fox</v>
      </c>
      <c r="H1824" s="14">
        <f>VLOOKUP(E1824,'Rental Transaction'!A:B,2,FALSE)</f>
        <v>924649</v>
      </c>
      <c r="I1824">
        <f t="shared" si="28"/>
        <v>2013</v>
      </c>
    </row>
    <row r="1825" spans="1:9">
      <c r="A1825" s="1">
        <v>10296</v>
      </c>
      <c r="B1825" s="1">
        <v>2</v>
      </c>
      <c r="C1825" s="2">
        <v>41450</v>
      </c>
      <c r="D1825" s="1" t="s">
        <v>2005</v>
      </c>
      <c r="E1825" s="1">
        <v>101033</v>
      </c>
      <c r="F1825" s="6" t="s">
        <v>3827</v>
      </c>
      <c r="G1825" s="15" t="str">
        <f>VLOOKUP(A1825,Movie!A:D,4,FALSE)</f>
        <v>A24</v>
      </c>
      <c r="H1825" s="14">
        <f>VLOOKUP(E1825,'Rental Transaction'!A:B,2,FALSE)</f>
        <v>924649</v>
      </c>
      <c r="I1825">
        <f t="shared" si="28"/>
        <v>2013</v>
      </c>
    </row>
    <row r="1826" spans="1:9">
      <c r="A1826" s="1">
        <v>10079</v>
      </c>
      <c r="B1826" s="1">
        <v>5</v>
      </c>
      <c r="C1826" s="2">
        <v>41450</v>
      </c>
      <c r="D1826" s="1" t="s">
        <v>2002</v>
      </c>
      <c r="E1826" s="1">
        <v>101034</v>
      </c>
      <c r="F1826" s="6" t="s">
        <v>3828</v>
      </c>
      <c r="G1826" s="15" t="str">
        <f>VLOOKUP(A1826,Movie!A:D,4,FALSE)</f>
        <v>Warner Brothers</v>
      </c>
      <c r="H1826" s="14">
        <f>VLOOKUP(E1826,'Rental Transaction'!A:B,2,FALSE)</f>
        <v>283158</v>
      </c>
      <c r="I1826">
        <f t="shared" si="28"/>
        <v>2013</v>
      </c>
    </row>
    <row r="1827" spans="1:9">
      <c r="A1827" s="1">
        <v>10045</v>
      </c>
      <c r="B1827" s="1">
        <v>6</v>
      </c>
      <c r="C1827" s="2">
        <v>41450</v>
      </c>
      <c r="D1827" s="1" t="s">
        <v>2005</v>
      </c>
      <c r="E1827" s="1">
        <v>101034</v>
      </c>
      <c r="F1827" s="6" t="s">
        <v>3829</v>
      </c>
      <c r="G1827" s="15" t="str">
        <f>VLOOKUP(A1827,Movie!A:D,4,FALSE)</f>
        <v>Warner Brothers</v>
      </c>
      <c r="H1827" s="14">
        <f>VLOOKUP(E1827,'Rental Transaction'!A:B,2,FALSE)</f>
        <v>283158</v>
      </c>
      <c r="I1827">
        <f t="shared" si="28"/>
        <v>2013</v>
      </c>
    </row>
    <row r="1828" spans="1:9">
      <c r="A1828" s="1">
        <v>10253</v>
      </c>
      <c r="B1828" s="1">
        <v>10</v>
      </c>
      <c r="C1828" s="2">
        <v>41450</v>
      </c>
      <c r="D1828" s="1" t="s">
        <v>2002</v>
      </c>
      <c r="E1828" s="1">
        <v>101034</v>
      </c>
      <c r="F1828" s="6" t="s">
        <v>3830</v>
      </c>
      <c r="G1828" s="15" t="str">
        <f>VLOOKUP(A1828,Movie!A:D,4,FALSE)</f>
        <v>Buena Vista</v>
      </c>
      <c r="H1828" s="14">
        <f>VLOOKUP(E1828,'Rental Transaction'!A:B,2,FALSE)</f>
        <v>283158</v>
      </c>
      <c r="I1828">
        <f t="shared" si="28"/>
        <v>2013</v>
      </c>
    </row>
    <row r="1829" spans="1:9">
      <c r="A1829" s="1">
        <v>10236</v>
      </c>
      <c r="B1829" s="1">
        <v>1</v>
      </c>
      <c r="C1829" s="2">
        <v>41450</v>
      </c>
      <c r="D1829" s="1" t="s">
        <v>2002</v>
      </c>
      <c r="E1829" s="1">
        <v>101035</v>
      </c>
      <c r="F1829" s="6" t="s">
        <v>3831</v>
      </c>
      <c r="G1829" s="15" t="str">
        <f>VLOOKUP(A1829,Movie!A:D,4,FALSE)</f>
        <v>Lionsgate</v>
      </c>
      <c r="H1829" s="14">
        <f>VLOOKUP(E1829,'Rental Transaction'!A:B,2,FALSE)</f>
        <v>343021</v>
      </c>
      <c r="I1829">
        <f t="shared" si="28"/>
        <v>2013</v>
      </c>
    </row>
    <row r="1830" spans="1:9">
      <c r="A1830" s="1">
        <v>10066</v>
      </c>
      <c r="B1830" s="1">
        <v>9</v>
      </c>
      <c r="C1830" s="2">
        <v>41450</v>
      </c>
      <c r="D1830" s="1" t="s">
        <v>2002</v>
      </c>
      <c r="E1830" s="1">
        <v>101036</v>
      </c>
      <c r="F1830" s="6" t="s">
        <v>3832</v>
      </c>
      <c r="G1830" s="15" t="str">
        <f>VLOOKUP(A1830,Movie!A:D,4,FALSE)</f>
        <v>Buena Vista</v>
      </c>
      <c r="H1830" s="14">
        <f>VLOOKUP(E1830,'Rental Transaction'!A:B,2,FALSE)</f>
        <v>741398</v>
      </c>
      <c r="I1830">
        <f t="shared" si="28"/>
        <v>2013</v>
      </c>
    </row>
    <row r="1831" spans="1:9">
      <c r="A1831" s="1">
        <v>10096</v>
      </c>
      <c r="B1831" s="1">
        <v>1</v>
      </c>
      <c r="C1831" s="2">
        <v>41451</v>
      </c>
      <c r="D1831" s="1" t="s">
        <v>2002</v>
      </c>
      <c r="E1831" s="1">
        <v>101037</v>
      </c>
      <c r="F1831" s="6" t="s">
        <v>3833</v>
      </c>
      <c r="G1831" s="15" t="str">
        <f>VLOOKUP(A1831,Movie!A:D,4,FALSE)</f>
        <v>Universal</v>
      </c>
      <c r="H1831" s="14">
        <f>VLOOKUP(E1831,'Rental Transaction'!A:B,2,FALSE)</f>
        <v>908328</v>
      </c>
      <c r="I1831">
        <f t="shared" si="28"/>
        <v>2013</v>
      </c>
    </row>
    <row r="1832" spans="1:9">
      <c r="A1832" s="1">
        <v>10036</v>
      </c>
      <c r="B1832" s="1">
        <v>9</v>
      </c>
      <c r="C1832" s="2">
        <v>41451</v>
      </c>
      <c r="D1832" s="1" t="s">
        <v>2002</v>
      </c>
      <c r="E1832" s="1">
        <v>101038</v>
      </c>
      <c r="F1832" s="6" t="s">
        <v>3834</v>
      </c>
      <c r="G1832" s="15" t="str">
        <f>VLOOKUP(A1832,Movie!A:D,4,FALSE)</f>
        <v>Universal</v>
      </c>
      <c r="H1832" s="14">
        <f>VLOOKUP(E1832,'Rental Transaction'!A:B,2,FALSE)</f>
        <v>842028</v>
      </c>
      <c r="I1832">
        <f t="shared" si="28"/>
        <v>2013</v>
      </c>
    </row>
    <row r="1833" spans="1:9">
      <c r="A1833" s="1">
        <v>10138</v>
      </c>
      <c r="B1833" s="1">
        <v>9</v>
      </c>
      <c r="C1833" s="2">
        <v>41451</v>
      </c>
      <c r="D1833" s="1" t="s">
        <v>2002</v>
      </c>
      <c r="E1833" s="1">
        <v>101038</v>
      </c>
      <c r="F1833" s="6" t="s">
        <v>3835</v>
      </c>
      <c r="G1833" s="15" t="str">
        <f>VLOOKUP(A1833,Movie!A:D,4,FALSE)</f>
        <v>Universal</v>
      </c>
      <c r="H1833" s="14">
        <f>VLOOKUP(E1833,'Rental Transaction'!A:B,2,FALSE)</f>
        <v>842028</v>
      </c>
      <c r="I1833">
        <f t="shared" si="28"/>
        <v>2013</v>
      </c>
    </row>
    <row r="1834" spans="1:9">
      <c r="A1834" s="1">
        <v>10205</v>
      </c>
      <c r="B1834" s="1">
        <v>8</v>
      </c>
      <c r="C1834" s="2">
        <v>41451</v>
      </c>
      <c r="D1834" s="1" t="s">
        <v>2005</v>
      </c>
      <c r="E1834" s="1">
        <v>101039</v>
      </c>
      <c r="F1834" s="6" t="s">
        <v>3836</v>
      </c>
      <c r="G1834" s="15" t="str">
        <f>VLOOKUP(A1834,Movie!A:D,4,FALSE)</f>
        <v>Paramount</v>
      </c>
      <c r="H1834" s="14">
        <f>VLOOKUP(E1834,'Rental Transaction'!A:B,2,FALSE)</f>
        <v>612681</v>
      </c>
      <c r="I1834">
        <f t="shared" si="28"/>
        <v>2013</v>
      </c>
    </row>
    <row r="1835" spans="1:9">
      <c r="A1835" s="1">
        <v>10199</v>
      </c>
      <c r="B1835" s="1">
        <v>3</v>
      </c>
      <c r="C1835" s="2">
        <v>41451</v>
      </c>
      <c r="D1835" s="1" t="s">
        <v>2002</v>
      </c>
      <c r="E1835" s="1">
        <v>101039</v>
      </c>
      <c r="F1835" s="6" t="s">
        <v>3837</v>
      </c>
      <c r="G1835" s="15" t="str">
        <f>VLOOKUP(A1835,Movie!A:D,4,FALSE)</f>
        <v>Lionsgate</v>
      </c>
      <c r="H1835" s="14">
        <f>VLOOKUP(E1835,'Rental Transaction'!A:B,2,FALSE)</f>
        <v>612681</v>
      </c>
      <c r="I1835">
        <f t="shared" si="28"/>
        <v>2013</v>
      </c>
    </row>
    <row r="1836" spans="1:9">
      <c r="A1836" s="1">
        <v>10203</v>
      </c>
      <c r="B1836" s="1">
        <v>6</v>
      </c>
      <c r="C1836" s="2">
        <v>41454</v>
      </c>
      <c r="D1836" s="1" t="s">
        <v>2005</v>
      </c>
      <c r="E1836" s="1">
        <v>101039</v>
      </c>
      <c r="F1836" s="6" t="s">
        <v>3838</v>
      </c>
      <c r="G1836" s="15" t="str">
        <f>VLOOKUP(A1836,Movie!A:D,4,FALSE)</f>
        <v>Buena Vista</v>
      </c>
      <c r="H1836" s="14">
        <f>VLOOKUP(E1836,'Rental Transaction'!A:B,2,FALSE)</f>
        <v>612681</v>
      </c>
      <c r="I1836">
        <f t="shared" si="28"/>
        <v>2013</v>
      </c>
    </row>
    <row r="1837" spans="1:9">
      <c r="A1837" s="1">
        <v>10274</v>
      </c>
      <c r="B1837" s="1">
        <v>3</v>
      </c>
      <c r="C1837" s="2">
        <v>41451</v>
      </c>
      <c r="D1837" s="1" t="s">
        <v>2005</v>
      </c>
      <c r="E1837" s="1">
        <v>101040</v>
      </c>
      <c r="F1837" s="6" t="s">
        <v>3839</v>
      </c>
      <c r="G1837" s="15" t="str">
        <f>VLOOKUP(A1837,Movie!A:D,4,FALSE)</f>
        <v>Fox</v>
      </c>
      <c r="H1837" s="14">
        <f>VLOOKUP(E1837,'Rental Transaction'!A:B,2,FALSE)</f>
        <v>694281</v>
      </c>
      <c r="I1837">
        <f t="shared" si="28"/>
        <v>2013</v>
      </c>
    </row>
    <row r="1838" spans="1:9">
      <c r="A1838" s="1">
        <v>10186</v>
      </c>
      <c r="B1838" s="1">
        <v>9</v>
      </c>
      <c r="C1838" s="2">
        <v>41452</v>
      </c>
      <c r="D1838" s="1" t="s">
        <v>2002</v>
      </c>
      <c r="E1838" s="1">
        <v>101041</v>
      </c>
      <c r="F1838" s="6" t="s">
        <v>3840</v>
      </c>
      <c r="G1838" s="15" t="str">
        <f>VLOOKUP(A1838,Movie!A:D,4,FALSE)</f>
        <v>Lionsgate</v>
      </c>
      <c r="H1838" s="14">
        <f>VLOOKUP(E1838,'Rental Transaction'!A:B,2,FALSE)</f>
        <v>147216</v>
      </c>
      <c r="I1838">
        <f t="shared" si="28"/>
        <v>2013</v>
      </c>
    </row>
    <row r="1839" spans="1:9">
      <c r="A1839" s="1">
        <v>10195</v>
      </c>
      <c r="B1839" s="1">
        <v>4</v>
      </c>
      <c r="C1839" s="2">
        <v>41452</v>
      </c>
      <c r="D1839" s="1" t="s">
        <v>2002</v>
      </c>
      <c r="E1839" s="1">
        <v>101041</v>
      </c>
      <c r="F1839" s="6" t="s">
        <v>3841</v>
      </c>
      <c r="G1839" s="15" t="str">
        <f>VLOOKUP(A1839,Movie!A:D,4,FALSE)</f>
        <v>Sony</v>
      </c>
      <c r="H1839" s="14">
        <f>VLOOKUP(E1839,'Rental Transaction'!A:B,2,FALSE)</f>
        <v>147216</v>
      </c>
      <c r="I1839">
        <f t="shared" si="28"/>
        <v>2013</v>
      </c>
    </row>
    <row r="1840" spans="1:9">
      <c r="A1840" s="1">
        <v>10194</v>
      </c>
      <c r="B1840" s="1">
        <v>10</v>
      </c>
      <c r="C1840" s="2">
        <v>41451</v>
      </c>
      <c r="D1840" s="1" t="s">
        <v>2002</v>
      </c>
      <c r="E1840" s="1">
        <v>101042</v>
      </c>
      <c r="F1840" s="6" t="s">
        <v>3842</v>
      </c>
      <c r="G1840" s="15" t="str">
        <f>VLOOKUP(A1840,Movie!A:D,4,FALSE)</f>
        <v>FilmDistrict</v>
      </c>
      <c r="H1840" s="14">
        <f>VLOOKUP(E1840,'Rental Transaction'!A:B,2,FALSE)</f>
        <v>249188</v>
      </c>
      <c r="I1840">
        <f t="shared" si="28"/>
        <v>2013</v>
      </c>
    </row>
    <row r="1841" spans="1:9">
      <c r="A1841" s="1">
        <v>10196</v>
      </c>
      <c r="B1841" s="1">
        <v>8</v>
      </c>
      <c r="C1841" s="2">
        <v>41451</v>
      </c>
      <c r="D1841" s="1" t="s">
        <v>2005</v>
      </c>
      <c r="E1841" s="1">
        <v>101042</v>
      </c>
      <c r="F1841" s="6" t="s">
        <v>3843</v>
      </c>
      <c r="G1841" s="15" t="str">
        <f>VLOOKUP(A1841,Movie!A:D,4,FALSE)</f>
        <v>Fox</v>
      </c>
      <c r="H1841" s="14">
        <f>VLOOKUP(E1841,'Rental Transaction'!A:B,2,FALSE)</f>
        <v>249188</v>
      </c>
      <c r="I1841">
        <f t="shared" si="28"/>
        <v>2013</v>
      </c>
    </row>
    <row r="1842" spans="1:9">
      <c r="A1842" s="1">
        <v>10059</v>
      </c>
      <c r="B1842" s="1">
        <v>4</v>
      </c>
      <c r="C1842" s="2">
        <v>41452</v>
      </c>
      <c r="D1842" s="1" t="s">
        <v>2002</v>
      </c>
      <c r="E1842" s="1">
        <v>101043</v>
      </c>
      <c r="F1842" s="6" t="s">
        <v>3844</v>
      </c>
      <c r="G1842" s="15" t="str">
        <f>VLOOKUP(A1842,Movie!A:D,4,FALSE)</f>
        <v>Universal</v>
      </c>
      <c r="H1842" s="14">
        <f>VLOOKUP(E1842,'Rental Transaction'!A:B,2,FALSE)</f>
        <v>719921</v>
      </c>
      <c r="I1842">
        <f t="shared" si="28"/>
        <v>2013</v>
      </c>
    </row>
    <row r="1843" spans="1:9">
      <c r="A1843" s="1">
        <v>10075</v>
      </c>
      <c r="B1843" s="1">
        <v>3</v>
      </c>
      <c r="C1843" s="2">
        <v>41452</v>
      </c>
      <c r="D1843" s="1" t="s">
        <v>2005</v>
      </c>
      <c r="E1843" s="1">
        <v>101043</v>
      </c>
      <c r="F1843" s="6" t="s">
        <v>3845</v>
      </c>
      <c r="G1843" s="15" t="str">
        <f>VLOOKUP(A1843,Movie!A:D,4,FALSE)</f>
        <v>Fox Searchlight</v>
      </c>
      <c r="H1843" s="14">
        <f>VLOOKUP(E1843,'Rental Transaction'!A:B,2,FALSE)</f>
        <v>719921</v>
      </c>
      <c r="I1843">
        <f t="shared" si="28"/>
        <v>2013</v>
      </c>
    </row>
    <row r="1844" spans="1:9">
      <c r="A1844" s="1">
        <v>10032</v>
      </c>
      <c r="B1844" s="1">
        <v>2</v>
      </c>
      <c r="C1844" s="2">
        <v>41452</v>
      </c>
      <c r="D1844" s="1" t="s">
        <v>2002</v>
      </c>
      <c r="E1844" s="1">
        <v>101044</v>
      </c>
      <c r="F1844" s="6" t="s">
        <v>3846</v>
      </c>
      <c r="G1844" s="15" t="str">
        <f>VLOOKUP(A1844,Movie!A:D,4,FALSE)</f>
        <v>Sony</v>
      </c>
      <c r="H1844" s="14">
        <f>VLOOKUP(E1844,'Rental Transaction'!A:B,2,FALSE)</f>
        <v>734514</v>
      </c>
      <c r="I1844">
        <f t="shared" si="28"/>
        <v>2013</v>
      </c>
    </row>
    <row r="1845" spans="1:9">
      <c r="A1845" s="1">
        <v>10007</v>
      </c>
      <c r="B1845" s="1">
        <v>5</v>
      </c>
      <c r="C1845" s="2">
        <v>41452</v>
      </c>
      <c r="D1845" s="1" t="s">
        <v>2002</v>
      </c>
      <c r="E1845" s="1">
        <v>101045</v>
      </c>
      <c r="F1845" s="6" t="s">
        <v>3847</v>
      </c>
      <c r="G1845" s="15" t="str">
        <f>VLOOKUP(A1845,Movie!A:D,4,FALSE)</f>
        <v>Sony</v>
      </c>
      <c r="H1845" s="14">
        <f>VLOOKUP(E1845,'Rental Transaction'!A:B,2,FALSE)</f>
        <v>190721</v>
      </c>
      <c r="I1845">
        <f t="shared" si="28"/>
        <v>2013</v>
      </c>
    </row>
    <row r="1846" spans="1:9">
      <c r="A1846" s="1">
        <v>10127</v>
      </c>
      <c r="B1846" s="1">
        <v>9</v>
      </c>
      <c r="C1846" s="2">
        <v>41453</v>
      </c>
      <c r="D1846" s="1" t="s">
        <v>2002</v>
      </c>
      <c r="E1846" s="1">
        <v>101046</v>
      </c>
      <c r="F1846" s="6" t="s">
        <v>3848</v>
      </c>
      <c r="G1846" s="15" t="str">
        <f>VLOOKUP(A1846,Movie!A:D,4,FALSE)</f>
        <v>TriStar</v>
      </c>
      <c r="H1846" s="14">
        <f>VLOOKUP(E1846,'Rental Transaction'!A:B,2,FALSE)</f>
        <v>390130</v>
      </c>
      <c r="I1846">
        <f t="shared" si="28"/>
        <v>2013</v>
      </c>
    </row>
    <row r="1847" spans="1:9">
      <c r="A1847" s="1">
        <v>10263</v>
      </c>
      <c r="B1847" s="1">
        <v>9</v>
      </c>
      <c r="C1847" s="2">
        <v>41454</v>
      </c>
      <c r="D1847" s="1" t="s">
        <v>2002</v>
      </c>
      <c r="E1847" s="1">
        <v>101047</v>
      </c>
      <c r="F1847" s="6" t="s">
        <v>3849</v>
      </c>
      <c r="G1847" s="15" t="str">
        <f>VLOOKUP(A1847,Movie!A:D,4,FALSE)</f>
        <v>Fox</v>
      </c>
      <c r="H1847" s="14">
        <f>VLOOKUP(E1847,'Rental Transaction'!A:B,2,FALSE)</f>
        <v>548800</v>
      </c>
      <c r="I1847">
        <f t="shared" si="28"/>
        <v>2013</v>
      </c>
    </row>
    <row r="1848" spans="1:9">
      <c r="A1848" s="1">
        <v>10276</v>
      </c>
      <c r="B1848" s="1">
        <v>10</v>
      </c>
      <c r="C1848" s="2">
        <v>41453</v>
      </c>
      <c r="D1848" s="1" t="s">
        <v>2005</v>
      </c>
      <c r="E1848" s="1">
        <v>101048</v>
      </c>
      <c r="F1848" s="6" t="s">
        <v>3850</v>
      </c>
      <c r="G1848" s="15" t="str">
        <f>VLOOKUP(A1848,Movie!A:D,4,FALSE)</f>
        <v>FilmDistrict</v>
      </c>
      <c r="H1848" s="14">
        <f>VLOOKUP(E1848,'Rental Transaction'!A:B,2,FALSE)</f>
        <v>396166</v>
      </c>
      <c r="I1848">
        <f t="shared" si="28"/>
        <v>2013</v>
      </c>
    </row>
    <row r="1849" spans="1:9">
      <c r="A1849" s="1">
        <v>10206</v>
      </c>
      <c r="B1849" s="1">
        <v>10</v>
      </c>
      <c r="C1849" s="2">
        <v>41453</v>
      </c>
      <c r="D1849" s="1" t="s">
        <v>2002</v>
      </c>
      <c r="E1849" s="1">
        <v>101048</v>
      </c>
      <c r="F1849" s="6" t="s">
        <v>3851</v>
      </c>
      <c r="G1849" s="15" t="str">
        <f>VLOOKUP(A1849,Movie!A:D,4,FALSE)</f>
        <v>Fox</v>
      </c>
      <c r="H1849" s="14">
        <f>VLOOKUP(E1849,'Rental Transaction'!A:B,2,FALSE)</f>
        <v>396166</v>
      </c>
      <c r="I1849">
        <f t="shared" si="28"/>
        <v>2013</v>
      </c>
    </row>
    <row r="1850" spans="1:9" ht="29.25">
      <c r="A1850" s="1">
        <v>10285</v>
      </c>
      <c r="B1850" s="1">
        <v>5</v>
      </c>
      <c r="C1850" s="2">
        <v>41453</v>
      </c>
      <c r="D1850" s="1" t="s">
        <v>2005</v>
      </c>
      <c r="E1850" s="1">
        <v>101049</v>
      </c>
      <c r="F1850" s="6" t="s">
        <v>3852</v>
      </c>
      <c r="G1850" s="15" t="str">
        <f>VLOOKUP(A1850,Movie!A:D,4,FALSE)</f>
        <v>Roadside Attractions</v>
      </c>
      <c r="H1850" s="14">
        <f>VLOOKUP(E1850,'Rental Transaction'!A:B,2,FALSE)</f>
        <v>822823</v>
      </c>
      <c r="I1850">
        <f t="shared" si="28"/>
        <v>2013</v>
      </c>
    </row>
    <row r="1851" spans="1:9">
      <c r="A1851" s="1">
        <v>10187</v>
      </c>
      <c r="B1851" s="1">
        <v>10</v>
      </c>
      <c r="C1851" s="2">
        <v>41453</v>
      </c>
      <c r="D1851" s="1" t="s">
        <v>2005</v>
      </c>
      <c r="E1851" s="1">
        <v>101049</v>
      </c>
      <c r="F1851" s="6" t="s">
        <v>3853</v>
      </c>
      <c r="G1851" s="15" t="str">
        <f>VLOOKUP(A1851,Movie!A:D,4,FALSE)</f>
        <v>Paramount</v>
      </c>
      <c r="H1851" s="14">
        <f>VLOOKUP(E1851,'Rental Transaction'!A:B,2,FALSE)</f>
        <v>822823</v>
      </c>
      <c r="I1851">
        <f t="shared" si="28"/>
        <v>2013</v>
      </c>
    </row>
    <row r="1852" spans="1:9">
      <c r="A1852" s="1">
        <v>10273</v>
      </c>
      <c r="B1852" s="1">
        <v>4</v>
      </c>
      <c r="C1852" s="2">
        <v>41454</v>
      </c>
      <c r="D1852" s="1" t="s">
        <v>2002</v>
      </c>
      <c r="E1852" s="1">
        <v>101049</v>
      </c>
      <c r="F1852" s="6" t="s">
        <v>3854</v>
      </c>
      <c r="G1852" s="15" t="str">
        <f>VLOOKUP(A1852,Movie!A:D,4,FALSE)</f>
        <v>Sony</v>
      </c>
      <c r="H1852" s="14">
        <f>VLOOKUP(E1852,'Rental Transaction'!A:B,2,FALSE)</f>
        <v>822823</v>
      </c>
      <c r="I1852">
        <f t="shared" si="28"/>
        <v>2013</v>
      </c>
    </row>
    <row r="1853" spans="1:9">
      <c r="A1853" s="1">
        <v>10010</v>
      </c>
      <c r="B1853" s="1">
        <v>6</v>
      </c>
      <c r="C1853" s="2">
        <v>41453</v>
      </c>
      <c r="D1853" s="1" t="s">
        <v>2002</v>
      </c>
      <c r="E1853" s="1">
        <v>101049</v>
      </c>
      <c r="F1853" s="6" t="s">
        <v>3855</v>
      </c>
      <c r="G1853" s="15" t="str">
        <f>VLOOKUP(A1853,Movie!A:D,4,FALSE)</f>
        <v>Buena Vista</v>
      </c>
      <c r="H1853" s="14">
        <f>VLOOKUP(E1853,'Rental Transaction'!A:B,2,FALSE)</f>
        <v>822823</v>
      </c>
      <c r="I1853">
        <f t="shared" si="28"/>
        <v>2013</v>
      </c>
    </row>
    <row r="1854" spans="1:9">
      <c r="A1854" s="1">
        <v>10135</v>
      </c>
      <c r="B1854" s="1">
        <v>7</v>
      </c>
      <c r="C1854" s="2">
        <v>41454</v>
      </c>
      <c r="D1854" s="1" t="s">
        <v>2005</v>
      </c>
      <c r="E1854" s="1">
        <v>101050</v>
      </c>
      <c r="F1854" s="6" t="s">
        <v>3856</v>
      </c>
      <c r="G1854" s="15" t="str">
        <f>VLOOKUP(A1854,Movie!A:D,4,FALSE)</f>
        <v>Universal</v>
      </c>
      <c r="H1854" s="14">
        <f>VLOOKUP(E1854,'Rental Transaction'!A:B,2,FALSE)</f>
        <v>229742</v>
      </c>
      <c r="I1854">
        <f t="shared" si="28"/>
        <v>2013</v>
      </c>
    </row>
    <row r="1855" spans="1:9">
      <c r="A1855" s="1">
        <v>10048</v>
      </c>
      <c r="B1855" s="1">
        <v>9</v>
      </c>
      <c r="C1855" s="2">
        <v>41454</v>
      </c>
      <c r="D1855" s="1" t="s">
        <v>2005</v>
      </c>
      <c r="E1855" s="1">
        <v>101050</v>
      </c>
      <c r="F1855" s="6" t="s">
        <v>3857</v>
      </c>
      <c r="G1855" s="15" t="str">
        <f>VLOOKUP(A1855,Movie!A:D,4,FALSE)</f>
        <v>Relativity</v>
      </c>
      <c r="H1855" s="14">
        <f>VLOOKUP(E1855,'Rental Transaction'!A:B,2,FALSE)</f>
        <v>229742</v>
      </c>
      <c r="I1855">
        <f t="shared" si="28"/>
        <v>2013</v>
      </c>
    </row>
    <row r="1856" spans="1:9">
      <c r="A1856" s="1">
        <v>10227</v>
      </c>
      <c r="B1856" s="1">
        <v>3</v>
      </c>
      <c r="C1856" s="2">
        <v>41456</v>
      </c>
      <c r="D1856" s="1" t="s">
        <v>2005</v>
      </c>
      <c r="E1856" s="1">
        <v>101051</v>
      </c>
      <c r="F1856" s="6" t="s">
        <v>3858</v>
      </c>
      <c r="G1856" s="15" t="str">
        <f>VLOOKUP(A1856,Movie!A:D,4,FALSE)</f>
        <v>Focus</v>
      </c>
      <c r="H1856" s="14">
        <f>VLOOKUP(E1856,'Rental Transaction'!A:B,2,FALSE)</f>
        <v>706884</v>
      </c>
      <c r="I1856">
        <f t="shared" si="28"/>
        <v>2013</v>
      </c>
    </row>
    <row r="1857" spans="1:9">
      <c r="A1857" s="1">
        <v>10055</v>
      </c>
      <c r="B1857" s="1">
        <v>3</v>
      </c>
      <c r="C1857" s="2">
        <v>41455</v>
      </c>
      <c r="D1857" s="1" t="s">
        <v>2005</v>
      </c>
      <c r="E1857" s="1">
        <v>101052</v>
      </c>
      <c r="F1857" s="6" t="s">
        <v>3859</v>
      </c>
      <c r="G1857" s="15" t="str">
        <f>VLOOKUP(A1857,Movie!A:D,4,FALSE)</f>
        <v>Sony Classics</v>
      </c>
      <c r="H1857" s="14">
        <f>VLOOKUP(E1857,'Rental Transaction'!A:B,2,FALSE)</f>
        <v>471187</v>
      </c>
      <c r="I1857">
        <f t="shared" si="28"/>
        <v>2013</v>
      </c>
    </row>
    <row r="1858" spans="1:9">
      <c r="A1858" s="1">
        <v>10103</v>
      </c>
      <c r="B1858" s="1">
        <v>6</v>
      </c>
      <c r="C1858" s="2">
        <v>41454</v>
      </c>
      <c r="D1858" s="1" t="s">
        <v>2005</v>
      </c>
      <c r="E1858" s="1">
        <v>101052</v>
      </c>
      <c r="F1858" s="6" t="s">
        <v>3860</v>
      </c>
      <c r="G1858" s="15" t="str">
        <f>VLOOKUP(A1858,Movie!A:D,4,FALSE)</f>
        <v>Fox</v>
      </c>
      <c r="H1858" s="14">
        <f>VLOOKUP(E1858,'Rental Transaction'!A:B,2,FALSE)</f>
        <v>471187</v>
      </c>
      <c r="I1858">
        <f t="shared" si="28"/>
        <v>2013</v>
      </c>
    </row>
    <row r="1859" spans="1:9">
      <c r="A1859" s="1">
        <v>10216</v>
      </c>
      <c r="B1859" s="1">
        <v>8</v>
      </c>
      <c r="C1859" s="2">
        <v>41455</v>
      </c>
      <c r="D1859" s="1" t="s">
        <v>2002</v>
      </c>
      <c r="E1859" s="1">
        <v>101052</v>
      </c>
      <c r="F1859" s="6" t="s">
        <v>3861</v>
      </c>
      <c r="G1859" s="15" t="str">
        <f>VLOOKUP(A1859,Movie!A:D,4,FALSE)</f>
        <v>Sony</v>
      </c>
      <c r="H1859" s="14">
        <f>VLOOKUP(E1859,'Rental Transaction'!A:B,2,FALSE)</f>
        <v>471187</v>
      </c>
      <c r="I1859">
        <f t="shared" ref="I1859:I1922" si="29">YEAR(C1859)</f>
        <v>2013</v>
      </c>
    </row>
    <row r="1860" spans="1:9">
      <c r="A1860" s="1">
        <v>10212</v>
      </c>
      <c r="B1860" s="1">
        <v>7</v>
      </c>
      <c r="C1860" s="2">
        <v>41454</v>
      </c>
      <c r="D1860" s="1" t="s">
        <v>2002</v>
      </c>
      <c r="E1860" s="1">
        <v>101053</v>
      </c>
      <c r="F1860" s="6" t="s">
        <v>3862</v>
      </c>
      <c r="G1860" s="15" t="str">
        <f>VLOOKUP(A1860,Movie!A:D,4,FALSE)</f>
        <v>Lionsgate</v>
      </c>
      <c r="H1860" s="14">
        <f>VLOOKUP(E1860,'Rental Transaction'!A:B,2,FALSE)</f>
        <v>837763</v>
      </c>
      <c r="I1860">
        <f t="shared" si="29"/>
        <v>2013</v>
      </c>
    </row>
    <row r="1861" spans="1:9">
      <c r="A1861" s="1">
        <v>10292</v>
      </c>
      <c r="B1861" s="1">
        <v>7</v>
      </c>
      <c r="C1861" s="2">
        <v>41456</v>
      </c>
      <c r="D1861" s="1" t="s">
        <v>2002</v>
      </c>
      <c r="E1861" s="1">
        <v>101054</v>
      </c>
      <c r="F1861" s="6" t="s">
        <v>3863</v>
      </c>
      <c r="G1861" s="15" t="str">
        <f>VLOOKUP(A1861,Movie!A:D,4,FALSE)</f>
        <v>Sony Classics</v>
      </c>
      <c r="H1861" s="14">
        <f>VLOOKUP(E1861,'Rental Transaction'!A:B,2,FALSE)</f>
        <v>147216</v>
      </c>
      <c r="I1861">
        <f t="shared" si="29"/>
        <v>2013</v>
      </c>
    </row>
    <row r="1862" spans="1:9">
      <c r="A1862" s="1">
        <v>10111</v>
      </c>
      <c r="B1862" s="1">
        <v>5</v>
      </c>
      <c r="C1862" s="2">
        <v>41454</v>
      </c>
      <c r="D1862" s="1" t="s">
        <v>2005</v>
      </c>
      <c r="E1862" s="1">
        <v>101055</v>
      </c>
      <c r="F1862" s="6" t="s">
        <v>3864</v>
      </c>
      <c r="G1862" s="15" t="str">
        <f>VLOOKUP(A1862,Movie!A:D,4,FALSE)</f>
        <v>Fox</v>
      </c>
      <c r="H1862" s="14">
        <f>VLOOKUP(E1862,'Rental Transaction'!A:B,2,FALSE)</f>
        <v>242720</v>
      </c>
      <c r="I1862">
        <f t="shared" si="29"/>
        <v>2013</v>
      </c>
    </row>
    <row r="1863" spans="1:9">
      <c r="A1863" s="1">
        <v>10219</v>
      </c>
      <c r="B1863" s="1">
        <v>10</v>
      </c>
      <c r="C1863" s="2">
        <v>41454</v>
      </c>
      <c r="D1863" s="1" t="s">
        <v>2005</v>
      </c>
      <c r="E1863" s="1">
        <v>101056</v>
      </c>
      <c r="F1863" s="6" t="s">
        <v>3865</v>
      </c>
      <c r="G1863" s="15" t="str">
        <f>VLOOKUP(A1863,Movie!A:D,4,FALSE)</f>
        <v>Paramount</v>
      </c>
      <c r="H1863" s="14">
        <f>VLOOKUP(E1863,'Rental Transaction'!A:B,2,FALSE)</f>
        <v>900440</v>
      </c>
      <c r="I1863">
        <f t="shared" si="29"/>
        <v>2013</v>
      </c>
    </row>
    <row r="1864" spans="1:9">
      <c r="A1864" s="1">
        <v>10084</v>
      </c>
      <c r="B1864" s="1">
        <v>10</v>
      </c>
      <c r="C1864" s="2">
        <v>41455</v>
      </c>
      <c r="D1864" s="1" t="s">
        <v>2002</v>
      </c>
      <c r="E1864" s="1">
        <v>101057</v>
      </c>
      <c r="F1864" s="6" t="s">
        <v>3866</v>
      </c>
      <c r="G1864" s="15" t="str">
        <f>VLOOKUP(A1864,Movie!A:D,4,FALSE)</f>
        <v>CBS Films</v>
      </c>
      <c r="H1864" s="14">
        <f>VLOOKUP(E1864,'Rental Transaction'!A:B,2,FALSE)</f>
        <v>189953</v>
      </c>
      <c r="I1864">
        <f t="shared" si="29"/>
        <v>2013</v>
      </c>
    </row>
    <row r="1865" spans="1:9">
      <c r="A1865" s="1">
        <v>10214</v>
      </c>
      <c r="B1865" s="1">
        <v>6</v>
      </c>
      <c r="C1865" s="2">
        <v>41455</v>
      </c>
      <c r="D1865" s="1" t="s">
        <v>2005</v>
      </c>
      <c r="E1865" s="1">
        <v>101058</v>
      </c>
      <c r="F1865" s="6" t="s">
        <v>3867</v>
      </c>
      <c r="G1865" s="15" t="str">
        <f>VLOOKUP(A1865,Movie!A:D,4,FALSE)</f>
        <v>RM</v>
      </c>
      <c r="H1865" s="14">
        <f>VLOOKUP(E1865,'Rental Transaction'!A:B,2,FALSE)</f>
        <v>205190</v>
      </c>
      <c r="I1865">
        <f t="shared" si="29"/>
        <v>2013</v>
      </c>
    </row>
    <row r="1866" spans="1:9">
      <c r="A1866" s="1">
        <v>10219</v>
      </c>
      <c r="B1866" s="1">
        <v>1</v>
      </c>
      <c r="C1866" s="2">
        <v>41455</v>
      </c>
      <c r="D1866" s="1" t="s">
        <v>2005</v>
      </c>
      <c r="E1866" s="1">
        <v>101059</v>
      </c>
      <c r="F1866" s="6" t="s">
        <v>3868</v>
      </c>
      <c r="G1866" s="15" t="str">
        <f>VLOOKUP(A1866,Movie!A:D,4,FALSE)</f>
        <v>Paramount</v>
      </c>
      <c r="H1866" s="14">
        <f>VLOOKUP(E1866,'Rental Transaction'!A:B,2,FALSE)</f>
        <v>371731</v>
      </c>
      <c r="I1866">
        <f t="shared" si="29"/>
        <v>2013</v>
      </c>
    </row>
    <row r="1867" spans="1:9">
      <c r="A1867" s="1">
        <v>10034</v>
      </c>
      <c r="B1867" s="1">
        <v>8</v>
      </c>
      <c r="C1867" s="2">
        <v>41456</v>
      </c>
      <c r="D1867" s="1" t="s">
        <v>2005</v>
      </c>
      <c r="E1867" s="1">
        <v>101059</v>
      </c>
      <c r="F1867" s="6" t="s">
        <v>3869</v>
      </c>
      <c r="G1867" s="15" t="str">
        <f>VLOOKUP(A1867,Movie!A:D,4,FALSE)</f>
        <v>Lionsgate</v>
      </c>
      <c r="H1867" s="14">
        <f>VLOOKUP(E1867,'Rental Transaction'!A:B,2,FALSE)</f>
        <v>371731</v>
      </c>
      <c r="I1867">
        <f t="shared" si="29"/>
        <v>2013</v>
      </c>
    </row>
    <row r="1868" spans="1:9">
      <c r="A1868" s="1">
        <v>10169</v>
      </c>
      <c r="B1868" s="1">
        <v>10</v>
      </c>
      <c r="C1868" s="2">
        <v>41455</v>
      </c>
      <c r="D1868" s="1" t="s">
        <v>2005</v>
      </c>
      <c r="E1868" s="1">
        <v>101059</v>
      </c>
      <c r="F1868" s="6" t="s">
        <v>3870</v>
      </c>
      <c r="G1868" s="15" t="str">
        <f>VLOOKUP(A1868,Movie!A:D,4,FALSE)</f>
        <v>Warner Brothers</v>
      </c>
      <c r="H1868" s="14">
        <f>VLOOKUP(E1868,'Rental Transaction'!A:B,2,FALSE)</f>
        <v>371731</v>
      </c>
      <c r="I1868">
        <f t="shared" si="29"/>
        <v>2013</v>
      </c>
    </row>
    <row r="1869" spans="1:9">
      <c r="A1869" s="1">
        <v>10173</v>
      </c>
      <c r="B1869" s="1">
        <v>5</v>
      </c>
      <c r="C1869" s="2">
        <v>41455</v>
      </c>
      <c r="D1869" s="1" t="s">
        <v>2002</v>
      </c>
      <c r="E1869" s="1">
        <v>101060</v>
      </c>
      <c r="F1869" s="6" t="s">
        <v>3871</v>
      </c>
      <c r="G1869" s="15" t="str">
        <f>VLOOKUP(A1869,Movie!A:D,4,FALSE)</f>
        <v>Sony</v>
      </c>
      <c r="H1869" s="14">
        <f>VLOOKUP(E1869,'Rental Transaction'!A:B,2,FALSE)</f>
        <v>227372</v>
      </c>
      <c r="I1869">
        <f t="shared" si="29"/>
        <v>2013</v>
      </c>
    </row>
    <row r="1870" spans="1:9">
      <c r="A1870" s="1">
        <v>10059</v>
      </c>
      <c r="B1870" s="1">
        <v>10</v>
      </c>
      <c r="C1870" s="2">
        <v>41455</v>
      </c>
      <c r="D1870" s="1" t="s">
        <v>2005</v>
      </c>
      <c r="E1870" s="1">
        <v>101060</v>
      </c>
      <c r="F1870" s="6" t="s">
        <v>3872</v>
      </c>
      <c r="G1870" s="15" t="str">
        <f>VLOOKUP(A1870,Movie!A:D,4,FALSE)</f>
        <v>Universal</v>
      </c>
      <c r="H1870" s="14">
        <f>VLOOKUP(E1870,'Rental Transaction'!A:B,2,FALSE)</f>
        <v>227372</v>
      </c>
      <c r="I1870">
        <f t="shared" si="29"/>
        <v>2013</v>
      </c>
    </row>
    <row r="1871" spans="1:9">
      <c r="A1871" s="1">
        <v>10155</v>
      </c>
      <c r="B1871" s="1">
        <v>8</v>
      </c>
      <c r="C1871" s="2">
        <v>41456</v>
      </c>
      <c r="D1871" s="1" t="s">
        <v>2005</v>
      </c>
      <c r="E1871" s="1">
        <v>101060</v>
      </c>
      <c r="F1871" s="6" t="s">
        <v>3873</v>
      </c>
      <c r="G1871" s="15" t="str">
        <f>VLOOKUP(A1871,Movie!A:D,4,FALSE)</f>
        <v>Fox</v>
      </c>
      <c r="H1871" s="14">
        <f>VLOOKUP(E1871,'Rental Transaction'!A:B,2,FALSE)</f>
        <v>227372</v>
      </c>
      <c r="I1871">
        <f t="shared" si="29"/>
        <v>2013</v>
      </c>
    </row>
    <row r="1872" spans="1:9">
      <c r="A1872" s="1">
        <v>10263</v>
      </c>
      <c r="B1872" s="1">
        <v>10</v>
      </c>
      <c r="C1872" s="2">
        <v>41457</v>
      </c>
      <c r="D1872" s="1" t="s">
        <v>2002</v>
      </c>
      <c r="E1872" s="1">
        <v>101061</v>
      </c>
      <c r="F1872" s="6" t="s">
        <v>3874</v>
      </c>
      <c r="G1872" s="15" t="str">
        <f>VLOOKUP(A1872,Movie!A:D,4,FALSE)</f>
        <v>Fox</v>
      </c>
      <c r="H1872" s="14">
        <f>VLOOKUP(E1872,'Rental Transaction'!A:B,2,FALSE)</f>
        <v>624668</v>
      </c>
      <c r="I1872">
        <f t="shared" si="29"/>
        <v>2013</v>
      </c>
    </row>
    <row r="1873" spans="1:9" ht="29.25">
      <c r="A1873" s="1">
        <v>10239</v>
      </c>
      <c r="B1873" s="1">
        <v>3</v>
      </c>
      <c r="C1873" s="2">
        <v>41455</v>
      </c>
      <c r="D1873" s="1" t="s">
        <v>2005</v>
      </c>
      <c r="E1873" s="1">
        <v>101062</v>
      </c>
      <c r="F1873" s="6" t="s">
        <v>3875</v>
      </c>
      <c r="G1873" s="15" t="str">
        <f>VLOOKUP(A1873,Movie!A:D,4,FALSE)</f>
        <v>Weinstein Company</v>
      </c>
      <c r="H1873" s="14">
        <f>VLOOKUP(E1873,'Rental Transaction'!A:B,2,FALSE)</f>
        <v>646953</v>
      </c>
      <c r="I1873">
        <f t="shared" si="29"/>
        <v>2013</v>
      </c>
    </row>
    <row r="1874" spans="1:9">
      <c r="A1874" s="1">
        <v>10026</v>
      </c>
      <c r="B1874" s="1">
        <v>7</v>
      </c>
      <c r="C1874" s="2">
        <v>41456</v>
      </c>
      <c r="D1874" s="1" t="s">
        <v>2002</v>
      </c>
      <c r="E1874" s="1">
        <v>101062</v>
      </c>
      <c r="F1874" s="6" t="s">
        <v>3876</v>
      </c>
      <c r="G1874" s="15" t="str">
        <f>VLOOKUP(A1874,Movie!A:D,4,FALSE)</f>
        <v>Fox</v>
      </c>
      <c r="H1874" s="14">
        <f>VLOOKUP(E1874,'Rental Transaction'!A:B,2,FALSE)</f>
        <v>646953</v>
      </c>
      <c r="I1874">
        <f t="shared" si="29"/>
        <v>2013</v>
      </c>
    </row>
    <row r="1875" spans="1:9">
      <c r="A1875" s="1">
        <v>10248</v>
      </c>
      <c r="B1875" s="1">
        <v>9</v>
      </c>
      <c r="C1875" s="2">
        <v>41455</v>
      </c>
      <c r="D1875" s="1" t="s">
        <v>2005</v>
      </c>
      <c r="E1875" s="1">
        <v>101063</v>
      </c>
      <c r="F1875" s="6" t="s">
        <v>3877</v>
      </c>
      <c r="G1875" s="15" t="str">
        <f>VLOOKUP(A1875,Movie!A:D,4,FALSE)</f>
        <v>Relativity</v>
      </c>
      <c r="H1875" s="14">
        <f>VLOOKUP(E1875,'Rental Transaction'!A:B,2,FALSE)</f>
        <v>810369</v>
      </c>
      <c r="I1875">
        <f t="shared" si="29"/>
        <v>2013</v>
      </c>
    </row>
    <row r="1876" spans="1:9">
      <c r="A1876" s="1">
        <v>10199</v>
      </c>
      <c r="B1876" s="1">
        <v>3</v>
      </c>
      <c r="C1876" s="2">
        <v>41456</v>
      </c>
      <c r="D1876" s="1" t="s">
        <v>2002</v>
      </c>
      <c r="E1876" s="1">
        <v>101063</v>
      </c>
      <c r="F1876" s="6" t="s">
        <v>3878</v>
      </c>
      <c r="G1876" s="15" t="str">
        <f>VLOOKUP(A1876,Movie!A:D,4,FALSE)</f>
        <v>Lionsgate</v>
      </c>
      <c r="H1876" s="14">
        <f>VLOOKUP(E1876,'Rental Transaction'!A:B,2,FALSE)</f>
        <v>810369</v>
      </c>
      <c r="I1876">
        <f t="shared" si="29"/>
        <v>2013</v>
      </c>
    </row>
    <row r="1877" spans="1:9">
      <c r="A1877" s="1">
        <v>10094</v>
      </c>
      <c r="B1877" s="1">
        <v>8</v>
      </c>
      <c r="C1877" s="2">
        <v>41456</v>
      </c>
      <c r="D1877" s="1" t="s">
        <v>2002</v>
      </c>
      <c r="E1877" s="1">
        <v>101063</v>
      </c>
      <c r="F1877" s="6" t="s">
        <v>3879</v>
      </c>
      <c r="G1877" s="15" t="str">
        <f>VLOOKUP(A1877,Movie!A:D,4,FALSE)</f>
        <v>Relativity</v>
      </c>
      <c r="H1877" s="14">
        <f>VLOOKUP(E1877,'Rental Transaction'!A:B,2,FALSE)</f>
        <v>810369</v>
      </c>
      <c r="I1877">
        <f t="shared" si="29"/>
        <v>2013</v>
      </c>
    </row>
    <row r="1878" spans="1:9">
      <c r="A1878" s="1">
        <v>10092</v>
      </c>
      <c r="B1878" s="1">
        <v>2</v>
      </c>
      <c r="C1878" s="2">
        <v>41457</v>
      </c>
      <c r="D1878" s="1" t="s">
        <v>2005</v>
      </c>
      <c r="E1878" s="1">
        <v>101064</v>
      </c>
      <c r="F1878" s="6" t="s">
        <v>3880</v>
      </c>
      <c r="G1878" s="15" t="str">
        <f>VLOOKUP(A1878,Movie!A:D,4,FALSE)</f>
        <v>Warner Brothers</v>
      </c>
      <c r="H1878" s="14">
        <f>VLOOKUP(E1878,'Rental Transaction'!A:B,2,FALSE)</f>
        <v>561305</v>
      </c>
      <c r="I1878">
        <f t="shared" si="29"/>
        <v>2013</v>
      </c>
    </row>
    <row r="1879" spans="1:9">
      <c r="A1879" s="1">
        <v>10080</v>
      </c>
      <c r="B1879" s="1">
        <v>10</v>
      </c>
      <c r="C1879" s="2">
        <v>41455</v>
      </c>
      <c r="D1879" s="1" t="s">
        <v>2005</v>
      </c>
      <c r="E1879" s="1">
        <v>101065</v>
      </c>
      <c r="F1879" s="6" t="s">
        <v>3881</v>
      </c>
      <c r="G1879" s="15" t="str">
        <f>VLOOKUP(A1879,Movie!A:D,4,FALSE)</f>
        <v>Buena Vista</v>
      </c>
      <c r="H1879" s="14">
        <f>VLOOKUP(E1879,'Rental Transaction'!A:B,2,FALSE)</f>
        <v>344702</v>
      </c>
      <c r="I1879">
        <f t="shared" si="29"/>
        <v>2013</v>
      </c>
    </row>
    <row r="1880" spans="1:9">
      <c r="A1880" s="1">
        <v>10192</v>
      </c>
      <c r="B1880" s="1">
        <v>1</v>
      </c>
      <c r="C1880" s="2">
        <v>41456</v>
      </c>
      <c r="D1880" s="1" t="s">
        <v>2002</v>
      </c>
      <c r="E1880" s="1">
        <v>101066</v>
      </c>
      <c r="F1880" s="6" t="s">
        <v>3882</v>
      </c>
      <c r="G1880" s="15" t="str">
        <f>VLOOKUP(A1880,Movie!A:D,4,FALSE)</f>
        <v>Universal</v>
      </c>
      <c r="H1880" s="14">
        <f>VLOOKUP(E1880,'Rental Transaction'!A:B,2,FALSE)</f>
        <v>649551</v>
      </c>
      <c r="I1880">
        <f t="shared" si="29"/>
        <v>2013</v>
      </c>
    </row>
    <row r="1881" spans="1:9">
      <c r="A1881" s="1">
        <v>10275</v>
      </c>
      <c r="B1881" s="1">
        <v>6</v>
      </c>
      <c r="C1881" s="2">
        <v>41456</v>
      </c>
      <c r="D1881" s="1" t="s">
        <v>2005</v>
      </c>
      <c r="E1881" s="1">
        <v>101066</v>
      </c>
      <c r="F1881" s="6" t="s">
        <v>3883</v>
      </c>
      <c r="G1881" s="15" t="str">
        <f>VLOOKUP(A1881,Movie!A:D,4,FALSE)</f>
        <v>Lionsgate</v>
      </c>
      <c r="H1881" s="14">
        <f>VLOOKUP(E1881,'Rental Transaction'!A:B,2,FALSE)</f>
        <v>649551</v>
      </c>
      <c r="I1881">
        <f t="shared" si="29"/>
        <v>2013</v>
      </c>
    </row>
    <row r="1882" spans="1:9" ht="29.25">
      <c r="A1882" s="1">
        <v>10095</v>
      </c>
      <c r="B1882" s="1">
        <v>2</v>
      </c>
      <c r="C1882" s="2">
        <v>41456</v>
      </c>
      <c r="D1882" s="1" t="s">
        <v>2002</v>
      </c>
      <c r="E1882" s="1">
        <v>101067</v>
      </c>
      <c r="F1882" s="6" t="s">
        <v>3884</v>
      </c>
      <c r="G1882" s="15" t="str">
        <f>VLOOKUP(A1882,Movie!A:D,4,FALSE)</f>
        <v>Weinstein Company</v>
      </c>
      <c r="H1882" s="14">
        <f>VLOOKUP(E1882,'Rental Transaction'!A:B,2,FALSE)</f>
        <v>611078</v>
      </c>
      <c r="I1882">
        <f t="shared" si="29"/>
        <v>2013</v>
      </c>
    </row>
    <row r="1883" spans="1:9">
      <c r="A1883" s="1">
        <v>10077</v>
      </c>
      <c r="B1883" s="1">
        <v>6</v>
      </c>
      <c r="C1883" s="2">
        <v>41456</v>
      </c>
      <c r="D1883" s="1" t="s">
        <v>2002</v>
      </c>
      <c r="E1883" s="1">
        <v>101067</v>
      </c>
      <c r="F1883" s="6" t="s">
        <v>3885</v>
      </c>
      <c r="G1883" s="15" t="str">
        <f>VLOOKUP(A1883,Movie!A:D,4,FALSE)</f>
        <v>Warner Brothers</v>
      </c>
      <c r="H1883" s="14">
        <f>VLOOKUP(E1883,'Rental Transaction'!A:B,2,FALSE)</f>
        <v>611078</v>
      </c>
      <c r="I1883">
        <f t="shared" si="29"/>
        <v>2013</v>
      </c>
    </row>
    <row r="1884" spans="1:9">
      <c r="A1884" s="1">
        <v>10114</v>
      </c>
      <c r="B1884" s="1">
        <v>3</v>
      </c>
      <c r="C1884" s="2">
        <v>41456</v>
      </c>
      <c r="D1884" s="1" t="s">
        <v>2002</v>
      </c>
      <c r="E1884" s="1">
        <v>101068</v>
      </c>
      <c r="F1884" s="6" t="s">
        <v>3886</v>
      </c>
      <c r="G1884" s="15" t="str">
        <f>VLOOKUP(A1884,Movie!A:D,4,FALSE)</f>
        <v>Lionsgate</v>
      </c>
      <c r="H1884" s="14">
        <f>VLOOKUP(E1884,'Rental Transaction'!A:B,2,FALSE)</f>
        <v>308505</v>
      </c>
      <c r="I1884">
        <f t="shared" si="29"/>
        <v>2013</v>
      </c>
    </row>
    <row r="1885" spans="1:9">
      <c r="A1885" s="1">
        <v>10202</v>
      </c>
      <c r="B1885" s="1">
        <v>9</v>
      </c>
      <c r="C1885" s="2">
        <v>41456</v>
      </c>
      <c r="D1885" s="1" t="s">
        <v>2002</v>
      </c>
      <c r="E1885" s="1">
        <v>101069</v>
      </c>
      <c r="F1885" s="6" t="s">
        <v>3887</v>
      </c>
      <c r="G1885" s="15" t="str">
        <f>VLOOKUP(A1885,Movie!A:D,4,FALSE)</f>
        <v>Warner Brothers</v>
      </c>
      <c r="H1885" s="14">
        <f>VLOOKUP(E1885,'Rental Transaction'!A:B,2,FALSE)</f>
        <v>355107</v>
      </c>
      <c r="I1885">
        <f t="shared" si="29"/>
        <v>2013</v>
      </c>
    </row>
    <row r="1886" spans="1:9">
      <c r="A1886" s="1">
        <v>10084</v>
      </c>
      <c r="B1886" s="1">
        <v>7</v>
      </c>
      <c r="C1886" s="2">
        <v>41458</v>
      </c>
      <c r="D1886" s="1" t="s">
        <v>2002</v>
      </c>
      <c r="E1886" s="1">
        <v>101070</v>
      </c>
      <c r="F1886" s="6" t="s">
        <v>3888</v>
      </c>
      <c r="G1886" s="15" t="str">
        <f>VLOOKUP(A1886,Movie!A:D,4,FALSE)</f>
        <v>CBS Films</v>
      </c>
      <c r="H1886" s="14">
        <f>VLOOKUP(E1886,'Rental Transaction'!A:B,2,FALSE)</f>
        <v>608290</v>
      </c>
      <c r="I1886">
        <f t="shared" si="29"/>
        <v>2013</v>
      </c>
    </row>
    <row r="1887" spans="1:9">
      <c r="A1887" s="1">
        <v>10036</v>
      </c>
      <c r="B1887" s="1">
        <v>2</v>
      </c>
      <c r="C1887" s="2">
        <v>41456</v>
      </c>
      <c r="D1887" s="1" t="s">
        <v>2005</v>
      </c>
      <c r="E1887" s="1">
        <v>101070</v>
      </c>
      <c r="F1887" s="6" t="s">
        <v>3889</v>
      </c>
      <c r="G1887" s="15" t="str">
        <f>VLOOKUP(A1887,Movie!A:D,4,FALSE)</f>
        <v>Universal</v>
      </c>
      <c r="H1887" s="14">
        <f>VLOOKUP(E1887,'Rental Transaction'!A:B,2,FALSE)</f>
        <v>608290</v>
      </c>
      <c r="I1887">
        <f t="shared" si="29"/>
        <v>2013</v>
      </c>
    </row>
    <row r="1888" spans="1:9">
      <c r="A1888" s="1">
        <v>10007</v>
      </c>
      <c r="B1888" s="1">
        <v>4</v>
      </c>
      <c r="C1888" s="2">
        <v>41456</v>
      </c>
      <c r="D1888" s="1" t="s">
        <v>2002</v>
      </c>
      <c r="E1888" s="1">
        <v>101071</v>
      </c>
      <c r="F1888" s="6" t="s">
        <v>3890</v>
      </c>
      <c r="G1888" s="15" t="str">
        <f>VLOOKUP(A1888,Movie!A:D,4,FALSE)</f>
        <v>Sony</v>
      </c>
      <c r="H1888" s="14">
        <f>VLOOKUP(E1888,'Rental Transaction'!A:B,2,FALSE)</f>
        <v>611078</v>
      </c>
      <c r="I1888">
        <f t="shared" si="29"/>
        <v>2013</v>
      </c>
    </row>
    <row r="1889" spans="1:9">
      <c r="A1889" s="1">
        <v>10213</v>
      </c>
      <c r="B1889" s="1">
        <v>5</v>
      </c>
      <c r="C1889" s="2">
        <v>41456</v>
      </c>
      <c r="D1889" s="1" t="s">
        <v>2005</v>
      </c>
      <c r="E1889" s="1">
        <v>101072</v>
      </c>
      <c r="F1889" s="6" t="s">
        <v>3891</v>
      </c>
      <c r="G1889" s="15" t="str">
        <f>VLOOKUP(A1889,Movie!A:D,4,FALSE)</f>
        <v>Sony</v>
      </c>
      <c r="H1889" s="14">
        <f>VLOOKUP(E1889,'Rental Transaction'!A:B,2,FALSE)</f>
        <v>238347</v>
      </c>
      <c r="I1889">
        <f t="shared" si="29"/>
        <v>2013</v>
      </c>
    </row>
    <row r="1890" spans="1:9">
      <c r="A1890" s="1">
        <v>10214</v>
      </c>
      <c r="B1890" s="1">
        <v>9</v>
      </c>
      <c r="C1890" s="2">
        <v>41456</v>
      </c>
      <c r="D1890" s="1" t="s">
        <v>2005</v>
      </c>
      <c r="E1890" s="1">
        <v>101072</v>
      </c>
      <c r="F1890" s="6" t="s">
        <v>3892</v>
      </c>
      <c r="G1890" s="15" t="str">
        <f>VLOOKUP(A1890,Movie!A:D,4,FALSE)</f>
        <v>RM</v>
      </c>
      <c r="H1890" s="14">
        <f>VLOOKUP(E1890,'Rental Transaction'!A:B,2,FALSE)</f>
        <v>238347</v>
      </c>
      <c r="I1890">
        <f t="shared" si="29"/>
        <v>2013</v>
      </c>
    </row>
    <row r="1891" spans="1:9">
      <c r="A1891" s="1">
        <v>10151</v>
      </c>
      <c r="B1891" s="1">
        <v>10</v>
      </c>
      <c r="C1891" s="2">
        <v>41459</v>
      </c>
      <c r="D1891" s="1" t="s">
        <v>2002</v>
      </c>
      <c r="E1891" s="1">
        <v>101073</v>
      </c>
      <c r="F1891" s="6" t="s">
        <v>3893</v>
      </c>
      <c r="G1891" s="15" t="str">
        <f>VLOOKUP(A1891,Movie!A:D,4,FALSE)</f>
        <v>Screen Gems</v>
      </c>
      <c r="H1891" s="14">
        <f>VLOOKUP(E1891,'Rental Transaction'!A:B,2,FALSE)</f>
        <v>330223</v>
      </c>
      <c r="I1891">
        <f t="shared" si="29"/>
        <v>2013</v>
      </c>
    </row>
    <row r="1892" spans="1:9">
      <c r="A1892" s="1">
        <v>10226</v>
      </c>
      <c r="B1892" s="1">
        <v>7</v>
      </c>
      <c r="C1892" s="2">
        <v>41458</v>
      </c>
      <c r="D1892" s="1" t="s">
        <v>2005</v>
      </c>
      <c r="E1892" s="1">
        <v>101073</v>
      </c>
      <c r="F1892" s="6" t="s">
        <v>3894</v>
      </c>
      <c r="G1892" s="15" t="str">
        <f>VLOOKUP(A1892,Movie!A:D,4,FALSE)</f>
        <v>Sony</v>
      </c>
      <c r="H1892" s="14">
        <f>VLOOKUP(E1892,'Rental Transaction'!A:B,2,FALSE)</f>
        <v>330223</v>
      </c>
      <c r="I1892">
        <f t="shared" si="29"/>
        <v>2013</v>
      </c>
    </row>
    <row r="1893" spans="1:9">
      <c r="A1893" s="1">
        <v>10222</v>
      </c>
      <c r="B1893" s="1">
        <v>1</v>
      </c>
      <c r="C1893" s="2">
        <v>41457</v>
      </c>
      <c r="D1893" s="1" t="s">
        <v>2005</v>
      </c>
      <c r="E1893" s="1">
        <v>101074</v>
      </c>
      <c r="F1893" s="6" t="s">
        <v>3895</v>
      </c>
      <c r="G1893" s="15" t="str">
        <f>VLOOKUP(A1893,Movie!A:D,4,FALSE)</f>
        <v>Sony</v>
      </c>
      <c r="H1893" s="14">
        <f>VLOOKUP(E1893,'Rental Transaction'!A:B,2,FALSE)</f>
        <v>739669</v>
      </c>
      <c r="I1893">
        <f t="shared" si="29"/>
        <v>2013</v>
      </c>
    </row>
    <row r="1894" spans="1:9">
      <c r="A1894" s="1">
        <v>10145</v>
      </c>
      <c r="B1894" s="1">
        <v>3</v>
      </c>
      <c r="C1894" s="2">
        <v>41457</v>
      </c>
      <c r="D1894" s="1" t="s">
        <v>2005</v>
      </c>
      <c r="E1894" s="1">
        <v>101075</v>
      </c>
      <c r="F1894" s="6" t="s">
        <v>3896</v>
      </c>
      <c r="G1894" s="15" t="str">
        <f>VLOOKUP(A1894,Movie!A:D,4,FALSE)</f>
        <v>TriStar</v>
      </c>
      <c r="H1894" s="14">
        <f>VLOOKUP(E1894,'Rental Transaction'!A:B,2,FALSE)</f>
        <v>890497</v>
      </c>
      <c r="I1894">
        <f t="shared" si="29"/>
        <v>2013</v>
      </c>
    </row>
    <row r="1895" spans="1:9">
      <c r="A1895" s="1">
        <v>10201</v>
      </c>
      <c r="B1895" s="1">
        <v>4</v>
      </c>
      <c r="C1895" s="2">
        <v>41458</v>
      </c>
      <c r="D1895" s="1" t="s">
        <v>2005</v>
      </c>
      <c r="E1895" s="1">
        <v>101076</v>
      </c>
      <c r="F1895" s="6" t="s">
        <v>3897</v>
      </c>
      <c r="G1895" s="15" t="str">
        <f>VLOOKUP(A1895,Movie!A:D,4,FALSE)</f>
        <v>Screen Gems</v>
      </c>
      <c r="H1895" s="14">
        <f>VLOOKUP(E1895,'Rental Transaction'!A:B,2,FALSE)</f>
        <v>352644</v>
      </c>
      <c r="I1895">
        <f t="shared" si="29"/>
        <v>2013</v>
      </c>
    </row>
    <row r="1896" spans="1:9">
      <c r="A1896" s="1">
        <v>10103</v>
      </c>
      <c r="B1896" s="1">
        <v>6</v>
      </c>
      <c r="C1896" s="2">
        <v>41457</v>
      </c>
      <c r="D1896" s="1" t="s">
        <v>2005</v>
      </c>
      <c r="E1896" s="1">
        <v>101076</v>
      </c>
      <c r="F1896" s="6" t="s">
        <v>3898</v>
      </c>
      <c r="G1896" s="15" t="str">
        <f>VLOOKUP(A1896,Movie!A:D,4,FALSE)</f>
        <v>Fox</v>
      </c>
      <c r="H1896" s="14">
        <f>VLOOKUP(E1896,'Rental Transaction'!A:B,2,FALSE)</f>
        <v>352644</v>
      </c>
      <c r="I1896">
        <f t="shared" si="29"/>
        <v>2013</v>
      </c>
    </row>
    <row r="1897" spans="1:9">
      <c r="A1897" s="1">
        <v>10126</v>
      </c>
      <c r="B1897" s="1">
        <v>8</v>
      </c>
      <c r="C1897" s="2">
        <v>41457</v>
      </c>
      <c r="D1897" s="1" t="s">
        <v>2002</v>
      </c>
      <c r="E1897" s="1">
        <v>101076</v>
      </c>
      <c r="F1897" s="6" t="s">
        <v>3899</v>
      </c>
      <c r="G1897" s="15" t="str">
        <f>VLOOKUP(A1897,Movie!A:D,4,FALSE)</f>
        <v>Fox</v>
      </c>
      <c r="H1897" s="14">
        <f>VLOOKUP(E1897,'Rental Transaction'!A:B,2,FALSE)</f>
        <v>352644</v>
      </c>
      <c r="I1897">
        <f t="shared" si="29"/>
        <v>2013</v>
      </c>
    </row>
    <row r="1898" spans="1:9">
      <c r="A1898" s="1">
        <v>10216</v>
      </c>
      <c r="B1898" s="1">
        <v>5</v>
      </c>
      <c r="C1898" s="2">
        <v>41457</v>
      </c>
      <c r="D1898" s="1" t="s">
        <v>2002</v>
      </c>
      <c r="E1898" s="1">
        <v>101076</v>
      </c>
      <c r="F1898" s="6" t="s">
        <v>3900</v>
      </c>
      <c r="G1898" s="15" t="str">
        <f>VLOOKUP(A1898,Movie!A:D,4,FALSE)</f>
        <v>Sony</v>
      </c>
      <c r="H1898" s="14">
        <f>VLOOKUP(E1898,'Rental Transaction'!A:B,2,FALSE)</f>
        <v>352644</v>
      </c>
      <c r="I1898">
        <f t="shared" si="29"/>
        <v>2013</v>
      </c>
    </row>
    <row r="1899" spans="1:9" ht="29.25">
      <c r="A1899" s="1">
        <v>10239</v>
      </c>
      <c r="B1899" s="1">
        <v>5</v>
      </c>
      <c r="C1899" s="2">
        <v>41457</v>
      </c>
      <c r="D1899" s="1" t="s">
        <v>2005</v>
      </c>
      <c r="E1899" s="1">
        <v>101077</v>
      </c>
      <c r="F1899" s="6" t="s">
        <v>3901</v>
      </c>
      <c r="G1899" s="15" t="str">
        <f>VLOOKUP(A1899,Movie!A:D,4,FALSE)</f>
        <v>Weinstein Company</v>
      </c>
      <c r="H1899" s="14">
        <f>VLOOKUP(E1899,'Rental Transaction'!A:B,2,FALSE)</f>
        <v>220206</v>
      </c>
      <c r="I1899">
        <f t="shared" si="29"/>
        <v>2013</v>
      </c>
    </row>
    <row r="1900" spans="1:9">
      <c r="A1900" s="1">
        <v>10139</v>
      </c>
      <c r="B1900" s="1">
        <v>9</v>
      </c>
      <c r="C1900" s="2">
        <v>41457</v>
      </c>
      <c r="D1900" s="1" t="s">
        <v>2005</v>
      </c>
      <c r="E1900" s="1">
        <v>101077</v>
      </c>
      <c r="F1900" s="6" t="s">
        <v>3902</v>
      </c>
      <c r="G1900" s="15" t="str">
        <f>VLOOKUP(A1900,Movie!A:D,4,FALSE)</f>
        <v>Focus</v>
      </c>
      <c r="H1900" s="14">
        <f>VLOOKUP(E1900,'Rental Transaction'!A:B,2,FALSE)</f>
        <v>220206</v>
      </c>
      <c r="I1900">
        <f t="shared" si="29"/>
        <v>2013</v>
      </c>
    </row>
    <row r="1901" spans="1:9">
      <c r="A1901" s="1">
        <v>10157</v>
      </c>
      <c r="B1901" s="1">
        <v>10</v>
      </c>
      <c r="C1901" s="2">
        <v>41458</v>
      </c>
      <c r="D1901" s="1" t="s">
        <v>2002</v>
      </c>
      <c r="E1901" s="1">
        <v>101077</v>
      </c>
      <c r="F1901" s="6" t="s">
        <v>3903</v>
      </c>
      <c r="G1901" s="15" t="str">
        <f>VLOOKUP(A1901,Movie!A:D,4,FALSE)</f>
        <v>Paramount</v>
      </c>
      <c r="H1901" s="14">
        <f>VLOOKUP(E1901,'Rental Transaction'!A:B,2,FALSE)</f>
        <v>220206</v>
      </c>
      <c r="I1901">
        <f t="shared" si="29"/>
        <v>2013</v>
      </c>
    </row>
    <row r="1902" spans="1:9">
      <c r="A1902" s="1">
        <v>10017</v>
      </c>
      <c r="B1902" s="1">
        <v>1</v>
      </c>
      <c r="C1902" s="2">
        <v>41457</v>
      </c>
      <c r="D1902" s="1" t="s">
        <v>2002</v>
      </c>
      <c r="E1902" s="1">
        <v>101078</v>
      </c>
      <c r="F1902" s="6" t="s">
        <v>3904</v>
      </c>
      <c r="G1902" s="15" t="str">
        <f>VLOOKUP(A1902,Movie!A:D,4,FALSE)</f>
        <v>Sony</v>
      </c>
      <c r="H1902" s="14">
        <f>VLOOKUP(E1902,'Rental Transaction'!A:B,2,FALSE)</f>
        <v>204295</v>
      </c>
      <c r="I1902">
        <f t="shared" si="29"/>
        <v>2013</v>
      </c>
    </row>
    <row r="1903" spans="1:9">
      <c r="A1903" s="1">
        <v>10214</v>
      </c>
      <c r="B1903" s="1">
        <v>9</v>
      </c>
      <c r="C1903" s="2">
        <v>41457</v>
      </c>
      <c r="D1903" s="1" t="s">
        <v>2005</v>
      </c>
      <c r="E1903" s="1">
        <v>101079</v>
      </c>
      <c r="F1903" s="6" t="s">
        <v>3905</v>
      </c>
      <c r="G1903" s="15" t="str">
        <f>VLOOKUP(A1903,Movie!A:D,4,FALSE)</f>
        <v>RM</v>
      </c>
      <c r="H1903" s="14">
        <f>VLOOKUP(E1903,'Rental Transaction'!A:B,2,FALSE)</f>
        <v>435907</v>
      </c>
      <c r="I1903">
        <f t="shared" si="29"/>
        <v>2013</v>
      </c>
    </row>
    <row r="1904" spans="1:9" ht="29.25">
      <c r="A1904" s="1">
        <v>10028</v>
      </c>
      <c r="B1904" s="1">
        <v>1</v>
      </c>
      <c r="C1904" s="2">
        <v>41459</v>
      </c>
      <c r="D1904" s="1" t="s">
        <v>2002</v>
      </c>
      <c r="E1904" s="1">
        <v>101080</v>
      </c>
      <c r="F1904" s="6" t="s">
        <v>3906</v>
      </c>
      <c r="G1904" s="15" t="str">
        <f>VLOOKUP(A1904,Movie!A:D,4,FALSE)</f>
        <v>Summit Entertainment</v>
      </c>
      <c r="H1904" s="14">
        <f>VLOOKUP(E1904,'Rental Transaction'!A:B,2,FALSE)</f>
        <v>719921</v>
      </c>
      <c r="I1904">
        <f t="shared" si="29"/>
        <v>2013</v>
      </c>
    </row>
    <row r="1905" spans="1:9">
      <c r="A1905" s="1">
        <v>10021</v>
      </c>
      <c r="B1905" s="1">
        <v>3</v>
      </c>
      <c r="C1905" s="2">
        <v>41459</v>
      </c>
      <c r="D1905" s="1" t="s">
        <v>2005</v>
      </c>
      <c r="E1905" s="1">
        <v>101081</v>
      </c>
      <c r="F1905" s="6" t="s">
        <v>3907</v>
      </c>
      <c r="G1905" s="15" t="str">
        <f>VLOOKUP(A1905,Movie!A:D,4,FALSE)</f>
        <v>Paramount</v>
      </c>
      <c r="H1905" s="14">
        <f>VLOOKUP(E1905,'Rental Transaction'!A:B,2,FALSE)</f>
        <v>249188</v>
      </c>
      <c r="I1905">
        <f t="shared" si="29"/>
        <v>2013</v>
      </c>
    </row>
    <row r="1906" spans="1:9">
      <c r="A1906" s="1">
        <v>10287</v>
      </c>
      <c r="B1906" s="1">
        <v>4</v>
      </c>
      <c r="C1906" s="2">
        <v>41459</v>
      </c>
      <c r="D1906" s="1" t="s">
        <v>2005</v>
      </c>
      <c r="E1906" s="1">
        <v>101081</v>
      </c>
      <c r="F1906" s="6" t="s">
        <v>3908</v>
      </c>
      <c r="G1906" s="15" t="str">
        <f>VLOOKUP(A1906,Movie!A:D,4,FALSE)</f>
        <v>Lionsgate</v>
      </c>
      <c r="H1906" s="14">
        <f>VLOOKUP(E1906,'Rental Transaction'!A:B,2,FALSE)</f>
        <v>249188</v>
      </c>
      <c r="I1906">
        <f t="shared" si="29"/>
        <v>2013</v>
      </c>
    </row>
    <row r="1907" spans="1:9">
      <c r="A1907" s="1">
        <v>10288</v>
      </c>
      <c r="B1907" s="1">
        <v>5</v>
      </c>
      <c r="C1907" s="2">
        <v>41458</v>
      </c>
      <c r="D1907" s="1" t="s">
        <v>2002</v>
      </c>
      <c r="E1907" s="1">
        <v>101082</v>
      </c>
      <c r="F1907" s="6" t="s">
        <v>3909</v>
      </c>
      <c r="G1907" s="15" t="str">
        <f>VLOOKUP(A1907,Movie!A:D,4,FALSE)</f>
        <v>Relativity</v>
      </c>
      <c r="H1907" s="14">
        <f>VLOOKUP(E1907,'Rental Transaction'!A:B,2,FALSE)</f>
        <v>186353</v>
      </c>
      <c r="I1907">
        <f t="shared" si="29"/>
        <v>2013</v>
      </c>
    </row>
    <row r="1908" spans="1:9">
      <c r="A1908" s="1">
        <v>10217</v>
      </c>
      <c r="B1908" s="1">
        <v>10</v>
      </c>
      <c r="C1908" s="2">
        <v>41459</v>
      </c>
      <c r="D1908" s="1" t="s">
        <v>2005</v>
      </c>
      <c r="E1908" s="1">
        <v>101083</v>
      </c>
      <c r="F1908" s="6" t="s">
        <v>3910</v>
      </c>
      <c r="G1908" s="15" t="str">
        <f>VLOOKUP(A1908,Movie!A:D,4,FALSE)</f>
        <v>Warner Brothers</v>
      </c>
      <c r="H1908" s="14">
        <f>VLOOKUP(E1908,'Rental Transaction'!A:B,2,FALSE)</f>
        <v>346006</v>
      </c>
      <c r="I1908">
        <f t="shared" si="29"/>
        <v>2013</v>
      </c>
    </row>
    <row r="1909" spans="1:9">
      <c r="A1909" s="1">
        <v>10196</v>
      </c>
      <c r="B1909" s="1">
        <v>6</v>
      </c>
      <c r="C1909" s="2">
        <v>41459</v>
      </c>
      <c r="D1909" s="1" t="s">
        <v>2002</v>
      </c>
      <c r="E1909" s="1">
        <v>101084</v>
      </c>
      <c r="F1909" s="6" t="s">
        <v>3911</v>
      </c>
      <c r="G1909" s="15" t="str">
        <f>VLOOKUP(A1909,Movie!A:D,4,FALSE)</f>
        <v>Fox</v>
      </c>
      <c r="H1909" s="14">
        <f>VLOOKUP(E1909,'Rental Transaction'!A:B,2,FALSE)</f>
        <v>862302</v>
      </c>
      <c r="I1909">
        <f t="shared" si="29"/>
        <v>2013</v>
      </c>
    </row>
    <row r="1910" spans="1:9">
      <c r="A1910" s="1">
        <v>10129</v>
      </c>
      <c r="B1910" s="1">
        <v>2</v>
      </c>
      <c r="C1910" s="2">
        <v>41458</v>
      </c>
      <c r="D1910" s="1" t="s">
        <v>2005</v>
      </c>
      <c r="E1910" s="1">
        <v>101085</v>
      </c>
      <c r="F1910" s="6" t="s">
        <v>3912</v>
      </c>
      <c r="G1910" s="15" t="str">
        <f>VLOOKUP(A1910,Movie!A:D,4,FALSE)</f>
        <v>Warner Brothers</v>
      </c>
      <c r="H1910" s="14">
        <f>VLOOKUP(E1910,'Rental Transaction'!A:B,2,FALSE)</f>
        <v>592592</v>
      </c>
      <c r="I1910">
        <f t="shared" si="29"/>
        <v>2013</v>
      </c>
    </row>
    <row r="1911" spans="1:9">
      <c r="A1911" s="1">
        <v>10033</v>
      </c>
      <c r="B1911" s="1">
        <v>8</v>
      </c>
      <c r="C1911" s="2">
        <v>41458</v>
      </c>
      <c r="D1911" s="1" t="s">
        <v>2005</v>
      </c>
      <c r="E1911" s="1">
        <v>101085</v>
      </c>
      <c r="F1911" s="6" t="s">
        <v>3913</v>
      </c>
      <c r="G1911" s="15" t="str">
        <f>VLOOKUP(A1911,Movie!A:D,4,FALSE)</f>
        <v>Lionsgate</v>
      </c>
      <c r="H1911" s="14">
        <f>VLOOKUP(E1911,'Rental Transaction'!A:B,2,FALSE)</f>
        <v>592592</v>
      </c>
      <c r="I1911">
        <f t="shared" si="29"/>
        <v>2013</v>
      </c>
    </row>
    <row r="1912" spans="1:9">
      <c r="A1912" s="1">
        <v>10229</v>
      </c>
      <c r="B1912" s="1">
        <v>4</v>
      </c>
      <c r="C1912" s="2">
        <v>41460</v>
      </c>
      <c r="D1912" s="1" t="s">
        <v>2005</v>
      </c>
      <c r="E1912" s="1">
        <v>101086</v>
      </c>
      <c r="F1912" s="6" t="s">
        <v>3914</v>
      </c>
      <c r="G1912" s="15" t="str">
        <f>VLOOKUP(A1912,Movie!A:D,4,FALSE)</f>
        <v>TriStar</v>
      </c>
      <c r="H1912" s="14">
        <f>VLOOKUP(E1912,'Rental Transaction'!A:B,2,FALSE)</f>
        <v>396166</v>
      </c>
      <c r="I1912">
        <f t="shared" si="29"/>
        <v>2013</v>
      </c>
    </row>
    <row r="1913" spans="1:9">
      <c r="A1913" s="1">
        <v>10222</v>
      </c>
      <c r="B1913" s="1">
        <v>8</v>
      </c>
      <c r="C1913" s="2">
        <v>41458</v>
      </c>
      <c r="D1913" s="1" t="s">
        <v>2002</v>
      </c>
      <c r="E1913" s="1">
        <v>101086</v>
      </c>
      <c r="F1913" s="6" t="s">
        <v>3915</v>
      </c>
      <c r="G1913" s="15" t="str">
        <f>VLOOKUP(A1913,Movie!A:D,4,FALSE)</f>
        <v>Sony</v>
      </c>
      <c r="H1913" s="14">
        <f>VLOOKUP(E1913,'Rental Transaction'!A:B,2,FALSE)</f>
        <v>396166</v>
      </c>
      <c r="I1913">
        <f t="shared" si="29"/>
        <v>2013</v>
      </c>
    </row>
    <row r="1914" spans="1:9">
      <c r="A1914" s="1">
        <v>10139</v>
      </c>
      <c r="B1914" s="1">
        <v>2</v>
      </c>
      <c r="C1914" s="2">
        <v>41458</v>
      </c>
      <c r="D1914" s="1" t="s">
        <v>2002</v>
      </c>
      <c r="E1914" s="1">
        <v>101086</v>
      </c>
      <c r="F1914" s="6" t="s">
        <v>3916</v>
      </c>
      <c r="G1914" s="15" t="str">
        <f>VLOOKUP(A1914,Movie!A:D,4,FALSE)</f>
        <v>Focus</v>
      </c>
      <c r="H1914" s="14">
        <f>VLOOKUP(E1914,'Rental Transaction'!A:B,2,FALSE)</f>
        <v>396166</v>
      </c>
      <c r="I1914">
        <f t="shared" si="29"/>
        <v>2013</v>
      </c>
    </row>
    <row r="1915" spans="1:9">
      <c r="A1915" s="1">
        <v>10173</v>
      </c>
      <c r="B1915" s="1">
        <v>10</v>
      </c>
      <c r="C1915" s="2">
        <v>41458</v>
      </c>
      <c r="D1915" s="1" t="s">
        <v>2005</v>
      </c>
      <c r="E1915" s="1">
        <v>101087</v>
      </c>
      <c r="F1915" s="6" t="s">
        <v>3917</v>
      </c>
      <c r="G1915" s="15" t="str">
        <f>VLOOKUP(A1915,Movie!A:D,4,FALSE)</f>
        <v>Sony</v>
      </c>
      <c r="H1915" s="14">
        <f>VLOOKUP(E1915,'Rental Transaction'!A:B,2,FALSE)</f>
        <v>668931</v>
      </c>
      <c r="I1915">
        <f t="shared" si="29"/>
        <v>2013</v>
      </c>
    </row>
    <row r="1916" spans="1:9" ht="29.25">
      <c r="A1916" s="1">
        <v>10121</v>
      </c>
      <c r="B1916" s="1">
        <v>2</v>
      </c>
      <c r="C1916" s="2">
        <v>41459</v>
      </c>
      <c r="D1916" s="1" t="s">
        <v>2005</v>
      </c>
      <c r="E1916" s="1">
        <v>101087</v>
      </c>
      <c r="F1916" s="6" t="s">
        <v>3918</v>
      </c>
      <c r="G1916" s="15" t="str">
        <f>VLOOKUP(A1916,Movie!A:D,4,FALSE)</f>
        <v>Weinstein Company</v>
      </c>
      <c r="H1916" s="14">
        <f>VLOOKUP(E1916,'Rental Transaction'!A:B,2,FALSE)</f>
        <v>668931</v>
      </c>
      <c r="I1916">
        <f t="shared" si="29"/>
        <v>2013</v>
      </c>
    </row>
    <row r="1917" spans="1:9">
      <c r="A1917" s="1">
        <v>10125</v>
      </c>
      <c r="B1917" s="1">
        <v>3</v>
      </c>
      <c r="C1917" s="2">
        <v>41458</v>
      </c>
      <c r="D1917" s="1" t="s">
        <v>2005</v>
      </c>
      <c r="E1917" s="1">
        <v>101088</v>
      </c>
      <c r="F1917" s="6" t="s">
        <v>3919</v>
      </c>
      <c r="G1917" s="15" t="str">
        <f>VLOOKUP(A1917,Movie!A:D,4,FALSE)</f>
        <v>Fox</v>
      </c>
      <c r="H1917" s="14">
        <f>VLOOKUP(E1917,'Rental Transaction'!A:B,2,FALSE)</f>
        <v>162236</v>
      </c>
      <c r="I1917">
        <f t="shared" si="29"/>
        <v>2013</v>
      </c>
    </row>
    <row r="1918" spans="1:9">
      <c r="A1918" s="1">
        <v>10119</v>
      </c>
      <c r="B1918" s="1">
        <v>2</v>
      </c>
      <c r="C1918" s="2">
        <v>41459</v>
      </c>
      <c r="D1918" s="1" t="s">
        <v>2005</v>
      </c>
      <c r="E1918" s="1">
        <v>101089</v>
      </c>
      <c r="F1918" s="6" t="s">
        <v>3920</v>
      </c>
      <c r="G1918" s="15" t="str">
        <f>VLOOKUP(A1918,Movie!A:D,4,FALSE)</f>
        <v>Universal</v>
      </c>
      <c r="H1918" s="14">
        <f>VLOOKUP(E1918,'Rental Transaction'!A:B,2,FALSE)</f>
        <v>178806</v>
      </c>
      <c r="I1918">
        <f t="shared" si="29"/>
        <v>2013</v>
      </c>
    </row>
    <row r="1919" spans="1:9">
      <c r="A1919" s="1">
        <v>10046</v>
      </c>
      <c r="B1919" s="1">
        <v>9</v>
      </c>
      <c r="C1919" s="2">
        <v>41458</v>
      </c>
      <c r="D1919" s="1" t="s">
        <v>2002</v>
      </c>
      <c r="E1919" s="1">
        <v>101089</v>
      </c>
      <c r="F1919" s="6" t="s">
        <v>3921</v>
      </c>
      <c r="G1919" s="15" t="str">
        <f>VLOOKUP(A1919,Movie!A:D,4,FALSE)</f>
        <v>Sony</v>
      </c>
      <c r="H1919" s="14">
        <f>VLOOKUP(E1919,'Rental Transaction'!A:B,2,FALSE)</f>
        <v>178806</v>
      </c>
      <c r="I1919">
        <f t="shared" si="29"/>
        <v>2013</v>
      </c>
    </row>
    <row r="1920" spans="1:9">
      <c r="A1920" s="1">
        <v>10083</v>
      </c>
      <c r="B1920" s="1">
        <v>1</v>
      </c>
      <c r="C1920" s="2">
        <v>41459</v>
      </c>
      <c r="D1920" s="1" t="s">
        <v>2002</v>
      </c>
      <c r="E1920" s="1">
        <v>101090</v>
      </c>
      <c r="F1920" s="6" t="s">
        <v>3922</v>
      </c>
      <c r="G1920" s="15" t="str">
        <f>VLOOKUP(A1920,Movie!A:D,4,FALSE)</f>
        <v>Buena Vista</v>
      </c>
      <c r="H1920" s="14">
        <f>VLOOKUP(E1920,'Rental Transaction'!A:B,2,FALSE)</f>
        <v>622131</v>
      </c>
      <c r="I1920">
        <f t="shared" si="29"/>
        <v>2013</v>
      </c>
    </row>
    <row r="1921" spans="1:9">
      <c r="A1921" s="1">
        <v>10128</v>
      </c>
      <c r="B1921" s="1">
        <v>4</v>
      </c>
      <c r="C1921" s="2">
        <v>41459</v>
      </c>
      <c r="D1921" s="1" t="s">
        <v>2005</v>
      </c>
      <c r="E1921" s="1">
        <v>101090</v>
      </c>
      <c r="F1921" s="6" t="s">
        <v>3923</v>
      </c>
      <c r="G1921" s="15" t="str">
        <f>VLOOKUP(A1921,Movie!A:D,4,FALSE)</f>
        <v>TriStar</v>
      </c>
      <c r="H1921" s="14">
        <f>VLOOKUP(E1921,'Rental Transaction'!A:B,2,FALSE)</f>
        <v>622131</v>
      </c>
      <c r="I1921">
        <f t="shared" si="29"/>
        <v>2013</v>
      </c>
    </row>
    <row r="1922" spans="1:9">
      <c r="A1922" s="1">
        <v>10008</v>
      </c>
      <c r="B1922" s="1">
        <v>5</v>
      </c>
      <c r="C1922" s="2">
        <v>41459</v>
      </c>
      <c r="D1922" s="1" t="s">
        <v>2002</v>
      </c>
      <c r="E1922" s="1">
        <v>101091</v>
      </c>
      <c r="F1922" s="6" t="s">
        <v>3924</v>
      </c>
      <c r="G1922" s="15" t="str">
        <f>VLOOKUP(A1922,Movie!A:D,4,FALSE)</f>
        <v>Sony</v>
      </c>
      <c r="H1922" s="14">
        <f>VLOOKUP(E1922,'Rental Transaction'!A:B,2,FALSE)</f>
        <v>676018</v>
      </c>
      <c r="I1922">
        <f t="shared" si="29"/>
        <v>2013</v>
      </c>
    </row>
    <row r="1923" spans="1:9">
      <c r="A1923" s="1">
        <v>10145</v>
      </c>
      <c r="B1923" s="1">
        <v>1</v>
      </c>
      <c r="C1923" s="2">
        <v>41459</v>
      </c>
      <c r="D1923" s="1" t="s">
        <v>2005</v>
      </c>
      <c r="E1923" s="1">
        <v>101091</v>
      </c>
      <c r="F1923" s="6" t="s">
        <v>3925</v>
      </c>
      <c r="G1923" s="15" t="str">
        <f>VLOOKUP(A1923,Movie!A:D,4,FALSE)</f>
        <v>TriStar</v>
      </c>
      <c r="H1923" s="14">
        <f>VLOOKUP(E1923,'Rental Transaction'!A:B,2,FALSE)</f>
        <v>676018</v>
      </c>
      <c r="I1923">
        <f t="shared" ref="I1923:I1986" si="30">YEAR(C1923)</f>
        <v>2013</v>
      </c>
    </row>
    <row r="1924" spans="1:9">
      <c r="A1924" s="1">
        <v>10083</v>
      </c>
      <c r="B1924" s="1">
        <v>4</v>
      </c>
      <c r="C1924" s="2">
        <v>41459</v>
      </c>
      <c r="D1924" s="1" t="s">
        <v>2005</v>
      </c>
      <c r="E1924" s="1">
        <v>101092</v>
      </c>
      <c r="F1924" s="6" t="s">
        <v>3926</v>
      </c>
      <c r="G1924" s="15" t="str">
        <f>VLOOKUP(A1924,Movie!A:D,4,FALSE)</f>
        <v>Buena Vista</v>
      </c>
      <c r="H1924" s="14">
        <f>VLOOKUP(E1924,'Rental Transaction'!A:B,2,FALSE)</f>
        <v>911171</v>
      </c>
      <c r="I1924">
        <f t="shared" si="30"/>
        <v>2013</v>
      </c>
    </row>
    <row r="1925" spans="1:9">
      <c r="A1925" s="1">
        <v>10066</v>
      </c>
      <c r="B1925" s="1">
        <v>3</v>
      </c>
      <c r="C1925" s="2">
        <v>41460</v>
      </c>
      <c r="D1925" s="1" t="s">
        <v>2002</v>
      </c>
      <c r="E1925" s="1">
        <v>101092</v>
      </c>
      <c r="F1925" s="6" t="s">
        <v>3927</v>
      </c>
      <c r="G1925" s="15" t="str">
        <f>VLOOKUP(A1925,Movie!A:D,4,FALSE)</f>
        <v>Buena Vista</v>
      </c>
      <c r="H1925" s="14">
        <f>VLOOKUP(E1925,'Rental Transaction'!A:B,2,FALSE)</f>
        <v>911171</v>
      </c>
      <c r="I1925">
        <f t="shared" si="30"/>
        <v>2013</v>
      </c>
    </row>
    <row r="1926" spans="1:9" ht="29.25">
      <c r="A1926" s="1">
        <v>10136</v>
      </c>
      <c r="B1926" s="1">
        <v>8</v>
      </c>
      <c r="C1926" s="2">
        <v>41459</v>
      </c>
      <c r="D1926" s="1" t="s">
        <v>2002</v>
      </c>
      <c r="E1926" s="1">
        <v>101093</v>
      </c>
      <c r="F1926" s="6" t="s">
        <v>3928</v>
      </c>
      <c r="G1926" s="15" t="str">
        <f>VLOOKUP(A1926,Movie!A:D,4,FALSE)</f>
        <v>Weinstein Company</v>
      </c>
      <c r="H1926" s="14">
        <f>VLOOKUP(E1926,'Rental Transaction'!A:B,2,FALSE)</f>
        <v>744648</v>
      </c>
      <c r="I1926">
        <f t="shared" si="30"/>
        <v>2013</v>
      </c>
    </row>
    <row r="1927" spans="1:9">
      <c r="A1927" s="1">
        <v>10097</v>
      </c>
      <c r="B1927" s="1">
        <v>3</v>
      </c>
      <c r="C1927" s="2">
        <v>41460</v>
      </c>
      <c r="D1927" s="1" t="s">
        <v>2005</v>
      </c>
      <c r="E1927" s="1">
        <v>101094</v>
      </c>
      <c r="F1927" s="6" t="s">
        <v>3929</v>
      </c>
      <c r="G1927" s="15" t="str">
        <f>VLOOKUP(A1927,Movie!A:D,4,FALSE)</f>
        <v>Screen Gems</v>
      </c>
      <c r="H1927" s="14">
        <f>VLOOKUP(E1927,'Rental Transaction'!A:B,2,FALSE)</f>
        <v>606155</v>
      </c>
      <c r="I1927">
        <f t="shared" si="30"/>
        <v>2013</v>
      </c>
    </row>
    <row r="1928" spans="1:9">
      <c r="A1928" s="1">
        <v>10141</v>
      </c>
      <c r="B1928" s="1">
        <v>2</v>
      </c>
      <c r="C1928" s="2">
        <v>41459</v>
      </c>
      <c r="D1928" s="1" t="s">
        <v>2002</v>
      </c>
      <c r="E1928" s="1">
        <v>101094</v>
      </c>
      <c r="F1928" s="6" t="s">
        <v>3930</v>
      </c>
      <c r="G1928" s="15" t="str">
        <f>VLOOKUP(A1928,Movie!A:D,4,FALSE)</f>
        <v>Warner Brothers</v>
      </c>
      <c r="H1928" s="14">
        <f>VLOOKUP(E1928,'Rental Transaction'!A:B,2,FALSE)</f>
        <v>606155</v>
      </c>
      <c r="I1928">
        <f t="shared" si="30"/>
        <v>2013</v>
      </c>
    </row>
    <row r="1929" spans="1:9">
      <c r="A1929" s="1">
        <v>10048</v>
      </c>
      <c r="B1929" s="1">
        <v>1</v>
      </c>
      <c r="C1929" s="2">
        <v>41459</v>
      </c>
      <c r="D1929" s="1" t="s">
        <v>2005</v>
      </c>
      <c r="E1929" s="1">
        <v>101095</v>
      </c>
      <c r="F1929" s="6" t="s">
        <v>3931</v>
      </c>
      <c r="G1929" s="15" t="str">
        <f>VLOOKUP(A1929,Movie!A:D,4,FALSE)</f>
        <v>Relativity</v>
      </c>
      <c r="H1929" s="14">
        <f>VLOOKUP(E1929,'Rental Transaction'!A:B,2,FALSE)</f>
        <v>706884</v>
      </c>
      <c r="I1929">
        <f t="shared" si="30"/>
        <v>2013</v>
      </c>
    </row>
    <row r="1930" spans="1:9">
      <c r="A1930" s="1">
        <v>10197</v>
      </c>
      <c r="B1930" s="1">
        <v>9</v>
      </c>
      <c r="C1930" s="2">
        <v>41459</v>
      </c>
      <c r="D1930" s="1" t="s">
        <v>2005</v>
      </c>
      <c r="E1930" s="1">
        <v>101096</v>
      </c>
      <c r="F1930" s="6" t="s">
        <v>3932</v>
      </c>
      <c r="G1930" s="15" t="str">
        <f>VLOOKUP(A1930,Movie!A:D,4,FALSE)</f>
        <v>Warner Brothers</v>
      </c>
      <c r="H1930" s="14">
        <f>VLOOKUP(E1930,'Rental Transaction'!A:B,2,FALSE)</f>
        <v>378374</v>
      </c>
      <c r="I1930">
        <f t="shared" si="30"/>
        <v>2013</v>
      </c>
    </row>
    <row r="1931" spans="1:9">
      <c r="A1931" s="1">
        <v>10225</v>
      </c>
      <c r="B1931" s="1">
        <v>7</v>
      </c>
      <c r="C1931" s="2">
        <v>41459</v>
      </c>
      <c r="D1931" s="1" t="s">
        <v>2002</v>
      </c>
      <c r="E1931" s="1">
        <v>101097</v>
      </c>
      <c r="F1931" s="6" t="s">
        <v>3933</v>
      </c>
      <c r="G1931" s="15" t="str">
        <f>VLOOKUP(A1931,Movie!A:D,4,FALSE)</f>
        <v>Warner Brothers</v>
      </c>
      <c r="H1931" s="14">
        <f>VLOOKUP(E1931,'Rental Transaction'!A:B,2,FALSE)</f>
        <v>765237</v>
      </c>
      <c r="I1931">
        <f t="shared" si="30"/>
        <v>2013</v>
      </c>
    </row>
    <row r="1932" spans="1:9">
      <c r="A1932" s="1">
        <v>10233</v>
      </c>
      <c r="B1932" s="1">
        <v>5</v>
      </c>
      <c r="C1932" s="2">
        <v>41459</v>
      </c>
      <c r="D1932" s="1" t="s">
        <v>2002</v>
      </c>
      <c r="E1932" s="1">
        <v>101098</v>
      </c>
      <c r="F1932" s="6" t="s">
        <v>3934</v>
      </c>
      <c r="G1932" s="15" t="str">
        <f>VLOOKUP(A1932,Movie!A:D,4,FALSE)</f>
        <v>Screen Gems</v>
      </c>
      <c r="H1932" s="14">
        <f>VLOOKUP(E1932,'Rental Transaction'!A:B,2,FALSE)</f>
        <v>447368</v>
      </c>
      <c r="I1932">
        <f t="shared" si="30"/>
        <v>2013</v>
      </c>
    </row>
    <row r="1933" spans="1:9">
      <c r="A1933" s="1">
        <v>10251</v>
      </c>
      <c r="B1933" s="1">
        <v>3</v>
      </c>
      <c r="C1933" s="2">
        <v>41460</v>
      </c>
      <c r="D1933" s="1" t="s">
        <v>2005</v>
      </c>
      <c r="E1933" s="1">
        <v>101099</v>
      </c>
      <c r="F1933" s="6" t="s">
        <v>3935</v>
      </c>
      <c r="G1933" s="15" t="str">
        <f>VLOOKUP(A1933,Movie!A:D,4,FALSE)</f>
        <v>Universal</v>
      </c>
      <c r="H1933" s="14">
        <f>VLOOKUP(E1933,'Rental Transaction'!A:B,2,FALSE)</f>
        <v>852319</v>
      </c>
      <c r="I1933">
        <f t="shared" si="30"/>
        <v>2013</v>
      </c>
    </row>
    <row r="1934" spans="1:9">
      <c r="A1934" s="1">
        <v>10147</v>
      </c>
      <c r="B1934" s="1">
        <v>6</v>
      </c>
      <c r="C1934" s="2">
        <v>41460</v>
      </c>
      <c r="D1934" s="1" t="s">
        <v>2005</v>
      </c>
      <c r="E1934" s="1">
        <v>101099</v>
      </c>
      <c r="F1934" s="6" t="s">
        <v>3936</v>
      </c>
      <c r="G1934" s="15" t="str">
        <f>VLOOKUP(A1934,Movie!A:D,4,FALSE)</f>
        <v>Lionsgate</v>
      </c>
      <c r="H1934" s="14">
        <f>VLOOKUP(E1934,'Rental Transaction'!A:B,2,FALSE)</f>
        <v>852319</v>
      </c>
      <c r="I1934">
        <f t="shared" si="30"/>
        <v>2013</v>
      </c>
    </row>
    <row r="1935" spans="1:9">
      <c r="A1935" s="1">
        <v>10212</v>
      </c>
      <c r="B1935" s="1">
        <v>9</v>
      </c>
      <c r="C1935" s="2">
        <v>41460</v>
      </c>
      <c r="D1935" s="1" t="s">
        <v>2002</v>
      </c>
      <c r="E1935" s="1">
        <v>101100</v>
      </c>
      <c r="F1935" s="6" t="s">
        <v>3937</v>
      </c>
      <c r="G1935" s="15" t="str">
        <f>VLOOKUP(A1935,Movie!A:D,4,FALSE)</f>
        <v>Lionsgate</v>
      </c>
      <c r="H1935" s="14">
        <f>VLOOKUP(E1935,'Rental Transaction'!A:B,2,FALSE)</f>
        <v>605188</v>
      </c>
      <c r="I1935">
        <f t="shared" si="30"/>
        <v>2013</v>
      </c>
    </row>
    <row r="1936" spans="1:9">
      <c r="A1936" s="1">
        <v>10298</v>
      </c>
      <c r="B1936" s="1">
        <v>8</v>
      </c>
      <c r="C1936" s="2">
        <v>41460</v>
      </c>
      <c r="D1936" s="1" t="s">
        <v>2002</v>
      </c>
      <c r="E1936" s="1">
        <v>101101</v>
      </c>
      <c r="F1936" s="6" t="s">
        <v>3938</v>
      </c>
      <c r="G1936" s="15" t="str">
        <f>VLOOKUP(A1936,Movie!A:D,4,FALSE)</f>
        <v>UTV</v>
      </c>
      <c r="H1936" s="14">
        <f>VLOOKUP(E1936,'Rental Transaction'!A:B,2,FALSE)</f>
        <v>561305</v>
      </c>
      <c r="I1936">
        <f t="shared" si="30"/>
        <v>2013</v>
      </c>
    </row>
    <row r="1937" spans="1:9">
      <c r="A1937" s="1">
        <v>10037</v>
      </c>
      <c r="B1937" s="1">
        <v>5</v>
      </c>
      <c r="C1937" s="2">
        <v>41461</v>
      </c>
      <c r="D1937" s="1" t="s">
        <v>2005</v>
      </c>
      <c r="E1937" s="1">
        <v>101102</v>
      </c>
      <c r="F1937" s="6" t="s">
        <v>3939</v>
      </c>
      <c r="G1937" s="15" t="str">
        <f>VLOOKUP(A1937,Movie!A:D,4,FALSE)</f>
        <v>Buena Vista</v>
      </c>
      <c r="H1937" s="14">
        <f>VLOOKUP(E1937,'Rental Transaction'!A:B,2,FALSE)</f>
        <v>305005</v>
      </c>
      <c r="I1937">
        <f t="shared" si="30"/>
        <v>2013</v>
      </c>
    </row>
    <row r="1938" spans="1:9">
      <c r="A1938" s="1">
        <v>10109</v>
      </c>
      <c r="B1938" s="1">
        <v>7</v>
      </c>
      <c r="C1938" s="2">
        <v>41460</v>
      </c>
      <c r="D1938" s="1" t="s">
        <v>2002</v>
      </c>
      <c r="E1938" s="1">
        <v>101103</v>
      </c>
      <c r="F1938" s="6" t="s">
        <v>3940</v>
      </c>
      <c r="G1938" s="15" t="str">
        <f>VLOOKUP(A1938,Movie!A:D,4,FALSE)</f>
        <v>Warner Brothers</v>
      </c>
      <c r="H1938" s="14">
        <f>VLOOKUP(E1938,'Rental Transaction'!A:B,2,FALSE)</f>
        <v>242720</v>
      </c>
      <c r="I1938">
        <f t="shared" si="30"/>
        <v>2013</v>
      </c>
    </row>
    <row r="1939" spans="1:9">
      <c r="A1939" s="1">
        <v>10168</v>
      </c>
      <c r="B1939" s="1">
        <v>1</v>
      </c>
      <c r="C1939" s="2">
        <v>41460</v>
      </c>
      <c r="D1939" s="1" t="s">
        <v>2002</v>
      </c>
      <c r="E1939" s="1">
        <v>101103</v>
      </c>
      <c r="F1939" s="6" t="s">
        <v>3941</v>
      </c>
      <c r="G1939" s="15" t="str">
        <f>VLOOKUP(A1939,Movie!A:D,4,FALSE)</f>
        <v>Paramount</v>
      </c>
      <c r="H1939" s="14">
        <f>VLOOKUP(E1939,'Rental Transaction'!A:B,2,FALSE)</f>
        <v>242720</v>
      </c>
      <c r="I1939">
        <f t="shared" si="30"/>
        <v>2013</v>
      </c>
    </row>
    <row r="1940" spans="1:9">
      <c r="A1940" s="1">
        <v>10134</v>
      </c>
      <c r="B1940" s="1">
        <v>4</v>
      </c>
      <c r="C1940" s="2">
        <v>41460</v>
      </c>
      <c r="D1940" s="1" t="s">
        <v>2005</v>
      </c>
      <c r="E1940" s="1">
        <v>101103</v>
      </c>
      <c r="F1940" s="6" t="s">
        <v>3942</v>
      </c>
      <c r="G1940" s="15" t="str">
        <f>VLOOKUP(A1940,Movie!A:D,4,FALSE)</f>
        <v>Universal</v>
      </c>
      <c r="H1940" s="14">
        <f>VLOOKUP(E1940,'Rental Transaction'!A:B,2,FALSE)</f>
        <v>242720</v>
      </c>
      <c r="I1940">
        <f t="shared" si="30"/>
        <v>2013</v>
      </c>
    </row>
    <row r="1941" spans="1:9">
      <c r="A1941" s="1">
        <v>10039</v>
      </c>
      <c r="B1941" s="1">
        <v>7</v>
      </c>
      <c r="C1941" s="2">
        <v>41461</v>
      </c>
      <c r="D1941" s="1" t="s">
        <v>2005</v>
      </c>
      <c r="E1941" s="1">
        <v>101104</v>
      </c>
      <c r="F1941" s="6" t="s">
        <v>3943</v>
      </c>
      <c r="G1941" s="15" t="str">
        <f>VLOOKUP(A1941,Movie!A:D,4,FALSE)</f>
        <v>Open Road Films</v>
      </c>
      <c r="H1941" s="14">
        <f>VLOOKUP(E1941,'Rental Transaction'!A:B,2,FALSE)</f>
        <v>111486</v>
      </c>
      <c r="I1941">
        <f t="shared" si="30"/>
        <v>2013</v>
      </c>
    </row>
    <row r="1942" spans="1:9">
      <c r="A1942" s="1">
        <v>10063</v>
      </c>
      <c r="B1942" s="1">
        <v>7</v>
      </c>
      <c r="C1942" s="2">
        <v>41460</v>
      </c>
      <c r="D1942" s="1" t="s">
        <v>2002</v>
      </c>
      <c r="E1942" s="1">
        <v>101104</v>
      </c>
      <c r="F1942" s="6" t="s">
        <v>3944</v>
      </c>
      <c r="G1942" s="15" t="str">
        <f>VLOOKUP(A1942,Movie!A:D,4,FALSE)</f>
        <v>CBS Films</v>
      </c>
      <c r="H1942" s="14">
        <f>VLOOKUP(E1942,'Rental Transaction'!A:B,2,FALSE)</f>
        <v>111486</v>
      </c>
      <c r="I1942">
        <f t="shared" si="30"/>
        <v>2013</v>
      </c>
    </row>
    <row r="1943" spans="1:9">
      <c r="A1943" s="1">
        <v>10104</v>
      </c>
      <c r="B1943" s="1">
        <v>2</v>
      </c>
      <c r="C1943" s="2">
        <v>41460</v>
      </c>
      <c r="D1943" s="1" t="s">
        <v>2002</v>
      </c>
      <c r="E1943" s="1">
        <v>101105</v>
      </c>
      <c r="F1943" s="6" t="s">
        <v>3945</v>
      </c>
      <c r="G1943" s="15" t="str">
        <f>VLOOKUP(A1943,Movie!A:D,4,FALSE)</f>
        <v>Universal</v>
      </c>
      <c r="H1943" s="14">
        <f>VLOOKUP(E1943,'Rental Transaction'!A:B,2,FALSE)</f>
        <v>888759</v>
      </c>
      <c r="I1943">
        <f t="shared" si="30"/>
        <v>2013</v>
      </c>
    </row>
    <row r="1944" spans="1:9">
      <c r="A1944" s="1">
        <v>10277</v>
      </c>
      <c r="B1944" s="1">
        <v>4</v>
      </c>
      <c r="C1944" s="2">
        <v>41461</v>
      </c>
      <c r="D1944" s="1" t="s">
        <v>2005</v>
      </c>
      <c r="E1944" s="1">
        <v>101106</v>
      </c>
      <c r="F1944" s="6" t="s">
        <v>3946</v>
      </c>
      <c r="G1944" s="15" t="str">
        <f>VLOOKUP(A1944,Movie!A:D,4,FALSE)</f>
        <v>Universal</v>
      </c>
      <c r="H1944" s="14">
        <f>VLOOKUP(E1944,'Rental Transaction'!A:B,2,FALSE)</f>
        <v>590616</v>
      </c>
      <c r="I1944">
        <f t="shared" si="30"/>
        <v>2013</v>
      </c>
    </row>
    <row r="1945" spans="1:9">
      <c r="A1945" s="1">
        <v>10214</v>
      </c>
      <c r="B1945" s="1">
        <v>9</v>
      </c>
      <c r="C1945" s="2">
        <v>41460</v>
      </c>
      <c r="D1945" s="1" t="s">
        <v>2002</v>
      </c>
      <c r="E1945" s="1">
        <v>101106</v>
      </c>
      <c r="F1945" s="6" t="s">
        <v>3947</v>
      </c>
      <c r="G1945" s="15" t="str">
        <f>VLOOKUP(A1945,Movie!A:D,4,FALSE)</f>
        <v>RM</v>
      </c>
      <c r="H1945" s="14">
        <f>VLOOKUP(E1945,'Rental Transaction'!A:B,2,FALSE)</f>
        <v>590616</v>
      </c>
      <c r="I1945">
        <f t="shared" si="30"/>
        <v>2013</v>
      </c>
    </row>
    <row r="1946" spans="1:9">
      <c r="A1946" s="1">
        <v>10113</v>
      </c>
      <c r="B1946" s="1">
        <v>10</v>
      </c>
      <c r="C1946" s="2">
        <v>41461</v>
      </c>
      <c r="D1946" s="1" t="s">
        <v>2002</v>
      </c>
      <c r="E1946" s="1">
        <v>101106</v>
      </c>
      <c r="F1946" s="6" t="s">
        <v>3948</v>
      </c>
      <c r="G1946" s="15" t="str">
        <f>VLOOKUP(A1946,Movie!A:D,4,FALSE)</f>
        <v>Lionsgate</v>
      </c>
      <c r="H1946" s="14">
        <f>VLOOKUP(E1946,'Rental Transaction'!A:B,2,FALSE)</f>
        <v>590616</v>
      </c>
      <c r="I1946">
        <f t="shared" si="30"/>
        <v>2013</v>
      </c>
    </row>
    <row r="1947" spans="1:9">
      <c r="A1947" s="1">
        <v>10047</v>
      </c>
      <c r="B1947" s="1">
        <v>5</v>
      </c>
      <c r="C1947" s="2">
        <v>41460</v>
      </c>
      <c r="D1947" s="1" t="s">
        <v>2005</v>
      </c>
      <c r="E1947" s="1">
        <v>101106</v>
      </c>
      <c r="F1947" s="6" t="s">
        <v>3949</v>
      </c>
      <c r="G1947" s="15" t="str">
        <f>VLOOKUP(A1947,Movie!A:D,4,FALSE)</f>
        <v>Warner Brothers</v>
      </c>
      <c r="H1947" s="14">
        <f>VLOOKUP(E1947,'Rental Transaction'!A:B,2,FALSE)</f>
        <v>590616</v>
      </c>
      <c r="I1947">
        <f t="shared" si="30"/>
        <v>2013</v>
      </c>
    </row>
    <row r="1948" spans="1:9">
      <c r="A1948" s="1">
        <v>10021</v>
      </c>
      <c r="B1948" s="1">
        <v>1</v>
      </c>
      <c r="C1948" s="2">
        <v>41460</v>
      </c>
      <c r="D1948" s="1" t="s">
        <v>2002</v>
      </c>
      <c r="E1948" s="1">
        <v>101107</v>
      </c>
      <c r="F1948" s="6" t="s">
        <v>3950</v>
      </c>
      <c r="G1948" s="15" t="str">
        <f>VLOOKUP(A1948,Movie!A:D,4,FALSE)</f>
        <v>Paramount</v>
      </c>
      <c r="H1948" s="14">
        <f>VLOOKUP(E1948,'Rental Transaction'!A:B,2,FALSE)</f>
        <v>777145</v>
      </c>
      <c r="I1948">
        <f t="shared" si="30"/>
        <v>2013</v>
      </c>
    </row>
    <row r="1949" spans="1:9">
      <c r="A1949" s="1">
        <v>10232</v>
      </c>
      <c r="B1949" s="1">
        <v>10</v>
      </c>
      <c r="C1949" s="2">
        <v>41461</v>
      </c>
      <c r="D1949" s="1" t="s">
        <v>2005</v>
      </c>
      <c r="E1949" s="1">
        <v>101107</v>
      </c>
      <c r="F1949" s="6" t="s">
        <v>3951</v>
      </c>
      <c r="G1949" s="15" t="str">
        <f>VLOOKUP(A1949,Movie!A:D,4,FALSE)</f>
        <v>Paramount</v>
      </c>
      <c r="H1949" s="14">
        <f>VLOOKUP(E1949,'Rental Transaction'!A:B,2,FALSE)</f>
        <v>777145</v>
      </c>
      <c r="I1949">
        <f t="shared" si="30"/>
        <v>2013</v>
      </c>
    </row>
    <row r="1950" spans="1:9">
      <c r="A1950" s="1">
        <v>10052</v>
      </c>
      <c r="B1950" s="1">
        <v>6</v>
      </c>
      <c r="C1950" s="2">
        <v>41460</v>
      </c>
      <c r="D1950" s="1" t="s">
        <v>2005</v>
      </c>
      <c r="E1950" s="1">
        <v>101107</v>
      </c>
      <c r="F1950" s="6" t="s">
        <v>3952</v>
      </c>
      <c r="G1950" s="15" t="str">
        <f>VLOOKUP(A1950,Movie!A:D,4,FALSE)</f>
        <v>Warner Brothers</v>
      </c>
      <c r="H1950" s="14">
        <f>VLOOKUP(E1950,'Rental Transaction'!A:B,2,FALSE)</f>
        <v>777145</v>
      </c>
      <c r="I1950">
        <f t="shared" si="30"/>
        <v>2013</v>
      </c>
    </row>
    <row r="1951" spans="1:9">
      <c r="A1951" s="1">
        <v>10245</v>
      </c>
      <c r="B1951" s="1">
        <v>2</v>
      </c>
      <c r="C1951" s="2">
        <v>41462</v>
      </c>
      <c r="D1951" s="1" t="s">
        <v>2002</v>
      </c>
      <c r="E1951" s="1">
        <v>101108</v>
      </c>
      <c r="F1951" s="6" t="s">
        <v>3953</v>
      </c>
      <c r="G1951" s="15" t="str">
        <f>VLOOKUP(A1951,Movie!A:D,4,FALSE)</f>
        <v>Warner Brothers</v>
      </c>
      <c r="H1951" s="14">
        <f>VLOOKUP(E1951,'Rental Transaction'!A:B,2,FALSE)</f>
        <v>795957</v>
      </c>
      <c r="I1951">
        <f t="shared" si="30"/>
        <v>2013</v>
      </c>
    </row>
    <row r="1952" spans="1:9" ht="29.25">
      <c r="A1952" s="1">
        <v>10285</v>
      </c>
      <c r="B1952" s="1">
        <v>4</v>
      </c>
      <c r="C1952" s="2">
        <v>41462</v>
      </c>
      <c r="D1952" s="1" t="s">
        <v>2005</v>
      </c>
      <c r="E1952" s="1">
        <v>101108</v>
      </c>
      <c r="F1952" s="6" t="s">
        <v>3954</v>
      </c>
      <c r="G1952" s="15" t="str">
        <f>VLOOKUP(A1952,Movie!A:D,4,FALSE)</f>
        <v>Roadside Attractions</v>
      </c>
      <c r="H1952" s="14">
        <f>VLOOKUP(E1952,'Rental Transaction'!A:B,2,FALSE)</f>
        <v>795957</v>
      </c>
      <c r="I1952">
        <f t="shared" si="30"/>
        <v>2013</v>
      </c>
    </row>
    <row r="1953" spans="1:9">
      <c r="A1953" s="1">
        <v>10064</v>
      </c>
      <c r="B1953" s="1">
        <v>8</v>
      </c>
      <c r="C1953" s="2">
        <v>41462</v>
      </c>
      <c r="D1953" s="1" t="s">
        <v>2002</v>
      </c>
      <c r="E1953" s="1">
        <v>101109</v>
      </c>
      <c r="F1953" s="6" t="s">
        <v>3955</v>
      </c>
      <c r="G1953" s="15" t="str">
        <f>VLOOKUP(A1953,Movie!A:D,4,FALSE)</f>
        <v>Universal</v>
      </c>
      <c r="H1953" s="14">
        <f>VLOOKUP(E1953,'Rental Transaction'!A:B,2,FALSE)</f>
        <v>825249</v>
      </c>
      <c r="I1953">
        <f t="shared" si="30"/>
        <v>2013</v>
      </c>
    </row>
    <row r="1954" spans="1:9">
      <c r="A1954" s="1">
        <v>10150</v>
      </c>
      <c r="B1954" s="1">
        <v>10</v>
      </c>
      <c r="C1954" s="2">
        <v>41461</v>
      </c>
      <c r="D1954" s="1" t="s">
        <v>2002</v>
      </c>
      <c r="E1954" s="1">
        <v>101110</v>
      </c>
      <c r="F1954" s="6" t="s">
        <v>3956</v>
      </c>
      <c r="G1954" s="15" t="str">
        <f>VLOOKUP(A1954,Movie!A:D,4,FALSE)</f>
        <v>Focus</v>
      </c>
      <c r="H1954" s="14">
        <f>VLOOKUP(E1954,'Rental Transaction'!A:B,2,FALSE)</f>
        <v>736500</v>
      </c>
      <c r="I1954">
        <f t="shared" si="30"/>
        <v>2013</v>
      </c>
    </row>
    <row r="1955" spans="1:9">
      <c r="A1955" s="1">
        <v>10042</v>
      </c>
      <c r="B1955" s="1">
        <v>8</v>
      </c>
      <c r="C1955" s="2">
        <v>41462</v>
      </c>
      <c r="D1955" s="1" t="s">
        <v>2005</v>
      </c>
      <c r="E1955" s="1">
        <v>101110</v>
      </c>
      <c r="F1955" s="6" t="s">
        <v>3957</v>
      </c>
      <c r="G1955" s="15" t="str">
        <f>VLOOKUP(A1955,Movie!A:D,4,FALSE)</f>
        <v>Paramount</v>
      </c>
      <c r="H1955" s="14">
        <f>VLOOKUP(E1955,'Rental Transaction'!A:B,2,FALSE)</f>
        <v>736500</v>
      </c>
      <c r="I1955">
        <f t="shared" si="30"/>
        <v>2013</v>
      </c>
    </row>
    <row r="1956" spans="1:9">
      <c r="A1956" s="1">
        <v>10153</v>
      </c>
      <c r="B1956" s="1">
        <v>5</v>
      </c>
      <c r="C1956" s="2">
        <v>41461</v>
      </c>
      <c r="D1956" s="1" t="s">
        <v>2002</v>
      </c>
      <c r="E1956" s="1">
        <v>101110</v>
      </c>
      <c r="F1956" s="6" t="s">
        <v>3958</v>
      </c>
      <c r="G1956" s="15" t="str">
        <f>VLOOKUP(A1956,Movie!A:D,4,FALSE)</f>
        <v>Lionsgate</v>
      </c>
      <c r="H1956" s="14">
        <f>VLOOKUP(E1956,'Rental Transaction'!A:B,2,FALSE)</f>
        <v>736500</v>
      </c>
      <c r="I1956">
        <f t="shared" si="30"/>
        <v>2013</v>
      </c>
    </row>
    <row r="1957" spans="1:9">
      <c r="A1957" s="1">
        <v>10049</v>
      </c>
      <c r="B1957" s="1">
        <v>5</v>
      </c>
      <c r="C1957" s="2">
        <v>41461</v>
      </c>
      <c r="D1957" s="1" t="s">
        <v>2002</v>
      </c>
      <c r="E1957" s="1">
        <v>101111</v>
      </c>
      <c r="F1957" s="6" t="s">
        <v>3959</v>
      </c>
      <c r="G1957" s="15" t="str">
        <f>VLOOKUP(A1957,Movie!A:D,4,FALSE)</f>
        <v>Universal</v>
      </c>
      <c r="H1957" s="14">
        <f>VLOOKUP(E1957,'Rental Transaction'!A:B,2,FALSE)</f>
        <v>479497</v>
      </c>
      <c r="I1957">
        <f t="shared" si="30"/>
        <v>2013</v>
      </c>
    </row>
    <row r="1958" spans="1:9">
      <c r="A1958" s="1">
        <v>10242</v>
      </c>
      <c r="B1958" s="1">
        <v>10</v>
      </c>
      <c r="C1958" s="2">
        <v>41461</v>
      </c>
      <c r="D1958" s="1" t="s">
        <v>2002</v>
      </c>
      <c r="E1958" s="1">
        <v>101112</v>
      </c>
      <c r="F1958" s="6" t="s">
        <v>3960</v>
      </c>
      <c r="G1958" s="15" t="str">
        <f>VLOOKUP(A1958,Movie!A:D,4,FALSE)</f>
        <v>Buena Vista</v>
      </c>
      <c r="H1958" s="14">
        <f>VLOOKUP(E1958,'Rental Transaction'!A:B,2,FALSE)</f>
        <v>908768</v>
      </c>
      <c r="I1958">
        <f t="shared" si="30"/>
        <v>2013</v>
      </c>
    </row>
    <row r="1959" spans="1:9" ht="29.25">
      <c r="A1959" s="1">
        <v>10290</v>
      </c>
      <c r="B1959" s="1">
        <v>6</v>
      </c>
      <c r="C1959" s="2">
        <v>41461</v>
      </c>
      <c r="D1959" s="1" t="s">
        <v>2005</v>
      </c>
      <c r="E1959" s="1">
        <v>101112</v>
      </c>
      <c r="F1959" s="6" t="s">
        <v>3961</v>
      </c>
      <c r="G1959" s="15" t="str">
        <f>VLOOKUP(A1959,Movie!A:D,4,FALSE)</f>
        <v>Weinstein Company</v>
      </c>
      <c r="H1959" s="14">
        <f>VLOOKUP(E1959,'Rental Transaction'!A:B,2,FALSE)</f>
        <v>908768</v>
      </c>
      <c r="I1959">
        <f t="shared" si="30"/>
        <v>2013</v>
      </c>
    </row>
    <row r="1960" spans="1:9">
      <c r="A1960" s="1">
        <v>10060</v>
      </c>
      <c r="B1960" s="1">
        <v>10</v>
      </c>
      <c r="C1960" s="2">
        <v>41461</v>
      </c>
      <c r="D1960" s="1" t="s">
        <v>2002</v>
      </c>
      <c r="E1960" s="1">
        <v>101113</v>
      </c>
      <c r="F1960" s="6" t="s">
        <v>3962</v>
      </c>
      <c r="G1960" s="15" t="str">
        <f>VLOOKUP(A1960,Movie!A:D,4,FALSE)</f>
        <v>Warner Brothers</v>
      </c>
      <c r="H1960" s="14">
        <f>VLOOKUP(E1960,'Rental Transaction'!A:B,2,FALSE)</f>
        <v>249188</v>
      </c>
      <c r="I1960">
        <f t="shared" si="30"/>
        <v>2013</v>
      </c>
    </row>
    <row r="1961" spans="1:9">
      <c r="A1961" s="1">
        <v>10293</v>
      </c>
      <c r="B1961" s="1">
        <v>8</v>
      </c>
      <c r="C1961" s="2">
        <v>41462</v>
      </c>
      <c r="D1961" s="1" t="s">
        <v>2005</v>
      </c>
      <c r="E1961" s="1">
        <v>101114</v>
      </c>
      <c r="F1961" s="6" t="s">
        <v>3963</v>
      </c>
      <c r="G1961" s="15" t="str">
        <f>VLOOKUP(A1961,Movie!A:D,4,FALSE)</f>
        <v>Relativity</v>
      </c>
      <c r="H1961" s="14">
        <f>VLOOKUP(E1961,'Rental Transaction'!A:B,2,FALSE)</f>
        <v>277373</v>
      </c>
      <c r="I1961">
        <f t="shared" si="30"/>
        <v>2013</v>
      </c>
    </row>
    <row r="1962" spans="1:9" ht="29.25">
      <c r="A1962" s="1">
        <v>10028</v>
      </c>
      <c r="B1962" s="1">
        <v>4</v>
      </c>
      <c r="C1962" s="2">
        <v>41462</v>
      </c>
      <c r="D1962" s="1" t="s">
        <v>2002</v>
      </c>
      <c r="E1962" s="1">
        <v>101114</v>
      </c>
      <c r="F1962" s="6" t="s">
        <v>3964</v>
      </c>
      <c r="G1962" s="15" t="str">
        <f>VLOOKUP(A1962,Movie!A:D,4,FALSE)</f>
        <v>Summit Entertainment</v>
      </c>
      <c r="H1962" s="14">
        <f>VLOOKUP(E1962,'Rental Transaction'!A:B,2,FALSE)</f>
        <v>277373</v>
      </c>
      <c r="I1962">
        <f t="shared" si="30"/>
        <v>2013</v>
      </c>
    </row>
    <row r="1963" spans="1:9">
      <c r="A1963" s="1">
        <v>10044</v>
      </c>
      <c r="B1963" s="1">
        <v>1</v>
      </c>
      <c r="C1963" s="2">
        <v>41462</v>
      </c>
      <c r="D1963" s="1" t="s">
        <v>2005</v>
      </c>
      <c r="E1963" s="1">
        <v>101115</v>
      </c>
      <c r="F1963" s="6" t="s">
        <v>3965</v>
      </c>
      <c r="G1963" s="15" t="str">
        <f>VLOOKUP(A1963,Movie!A:D,4,FALSE)</f>
        <v>Buena Vista</v>
      </c>
      <c r="H1963" s="14">
        <f>VLOOKUP(E1963,'Rental Transaction'!A:B,2,FALSE)</f>
        <v>590517</v>
      </c>
      <c r="I1963">
        <f t="shared" si="30"/>
        <v>2013</v>
      </c>
    </row>
    <row r="1964" spans="1:9">
      <c r="A1964" s="1">
        <v>10104</v>
      </c>
      <c r="B1964" s="1">
        <v>5</v>
      </c>
      <c r="C1964" s="2">
        <v>41463</v>
      </c>
      <c r="D1964" s="1" t="s">
        <v>2002</v>
      </c>
      <c r="E1964" s="1">
        <v>101115</v>
      </c>
      <c r="F1964" s="6" t="s">
        <v>3966</v>
      </c>
      <c r="G1964" s="15" t="str">
        <f>VLOOKUP(A1964,Movie!A:D,4,FALSE)</f>
        <v>Universal</v>
      </c>
      <c r="H1964" s="14">
        <f>VLOOKUP(E1964,'Rental Transaction'!A:B,2,FALSE)</f>
        <v>590517</v>
      </c>
      <c r="I1964">
        <f t="shared" si="30"/>
        <v>2013</v>
      </c>
    </row>
    <row r="1965" spans="1:9" ht="29.25">
      <c r="A1965" s="1">
        <v>10264</v>
      </c>
      <c r="B1965" s="1">
        <v>9</v>
      </c>
      <c r="C1965" s="2">
        <v>41462</v>
      </c>
      <c r="D1965" s="1" t="s">
        <v>2002</v>
      </c>
      <c r="E1965" s="1">
        <v>101116</v>
      </c>
      <c r="F1965" s="6" t="s">
        <v>3967</v>
      </c>
      <c r="G1965" s="15" t="str">
        <f>VLOOKUP(A1965,Movie!A:D,4,FALSE)</f>
        <v>Weinstein Company</v>
      </c>
      <c r="H1965" s="14">
        <f>VLOOKUP(E1965,'Rental Transaction'!A:B,2,FALSE)</f>
        <v>912671</v>
      </c>
      <c r="I1965">
        <f t="shared" si="30"/>
        <v>2013</v>
      </c>
    </row>
    <row r="1966" spans="1:9">
      <c r="A1966" s="1">
        <v>10280</v>
      </c>
      <c r="B1966" s="1">
        <v>2</v>
      </c>
      <c r="C1966" s="2">
        <v>41462</v>
      </c>
      <c r="D1966" s="1" t="s">
        <v>2005</v>
      </c>
      <c r="E1966" s="1">
        <v>101117</v>
      </c>
      <c r="F1966" s="6" t="s">
        <v>3968</v>
      </c>
      <c r="G1966" s="15" t="str">
        <f>VLOOKUP(A1966,Movie!A:D,4,FALSE)</f>
        <v>Universal</v>
      </c>
      <c r="H1966" s="14">
        <f>VLOOKUP(E1966,'Rental Transaction'!A:B,2,FALSE)</f>
        <v>415869</v>
      </c>
      <c r="I1966">
        <f t="shared" si="30"/>
        <v>2013</v>
      </c>
    </row>
    <row r="1967" spans="1:9">
      <c r="A1967" s="1">
        <v>10063</v>
      </c>
      <c r="B1967" s="1">
        <v>2</v>
      </c>
      <c r="C1967" s="2">
        <v>41463</v>
      </c>
      <c r="D1967" s="1" t="s">
        <v>2002</v>
      </c>
      <c r="E1967" s="1">
        <v>101118</v>
      </c>
      <c r="F1967" s="6" t="s">
        <v>3969</v>
      </c>
      <c r="G1967" s="15" t="str">
        <f>VLOOKUP(A1967,Movie!A:D,4,FALSE)</f>
        <v>CBS Films</v>
      </c>
      <c r="H1967" s="14">
        <f>VLOOKUP(E1967,'Rental Transaction'!A:B,2,FALSE)</f>
        <v>803700</v>
      </c>
      <c r="I1967">
        <f t="shared" si="30"/>
        <v>2013</v>
      </c>
    </row>
    <row r="1968" spans="1:9">
      <c r="A1968" s="1">
        <v>10025</v>
      </c>
      <c r="B1968" s="1">
        <v>2</v>
      </c>
      <c r="C1968" s="2">
        <v>41462</v>
      </c>
      <c r="D1968" s="1" t="s">
        <v>2002</v>
      </c>
      <c r="E1968" s="1">
        <v>101119</v>
      </c>
      <c r="F1968" s="6" t="s">
        <v>3970</v>
      </c>
      <c r="G1968" s="15" t="str">
        <f>VLOOKUP(A1968,Movie!A:D,4,FALSE)</f>
        <v>Sony</v>
      </c>
      <c r="H1968" s="14">
        <f>VLOOKUP(E1968,'Rental Transaction'!A:B,2,FALSE)</f>
        <v>748326</v>
      </c>
      <c r="I1968">
        <f t="shared" si="30"/>
        <v>2013</v>
      </c>
    </row>
    <row r="1969" spans="1:9">
      <c r="A1969" s="1">
        <v>10012</v>
      </c>
      <c r="B1969" s="1">
        <v>2</v>
      </c>
      <c r="C1969" s="2">
        <v>41462</v>
      </c>
      <c r="D1969" s="1" t="s">
        <v>2002</v>
      </c>
      <c r="E1969" s="1">
        <v>101119</v>
      </c>
      <c r="F1969" s="6" t="s">
        <v>3971</v>
      </c>
      <c r="G1969" s="15" t="str">
        <f>VLOOKUP(A1969,Movie!A:D,4,FALSE)</f>
        <v>Buena Vista</v>
      </c>
      <c r="H1969" s="14">
        <f>VLOOKUP(E1969,'Rental Transaction'!A:B,2,FALSE)</f>
        <v>748326</v>
      </c>
      <c r="I1969">
        <f t="shared" si="30"/>
        <v>2013</v>
      </c>
    </row>
    <row r="1970" spans="1:9">
      <c r="A1970" s="1">
        <v>10075</v>
      </c>
      <c r="B1970" s="1">
        <v>3</v>
      </c>
      <c r="C1970" s="2">
        <v>41463</v>
      </c>
      <c r="D1970" s="1" t="s">
        <v>2002</v>
      </c>
      <c r="E1970" s="1">
        <v>101120</v>
      </c>
      <c r="F1970" s="6" t="s">
        <v>3972</v>
      </c>
      <c r="G1970" s="15" t="str">
        <f>VLOOKUP(A1970,Movie!A:D,4,FALSE)</f>
        <v>Fox Searchlight</v>
      </c>
      <c r="H1970" s="14">
        <f>VLOOKUP(E1970,'Rental Transaction'!A:B,2,FALSE)</f>
        <v>199895</v>
      </c>
      <c r="I1970">
        <f t="shared" si="30"/>
        <v>2013</v>
      </c>
    </row>
    <row r="1971" spans="1:9">
      <c r="A1971" s="1">
        <v>10124</v>
      </c>
      <c r="B1971" s="1">
        <v>1</v>
      </c>
      <c r="C1971" s="2">
        <v>41462</v>
      </c>
      <c r="D1971" s="1" t="s">
        <v>2002</v>
      </c>
      <c r="E1971" s="1">
        <v>101121</v>
      </c>
      <c r="F1971" s="6" t="s">
        <v>3973</v>
      </c>
      <c r="G1971" s="15" t="str">
        <f>VLOOKUP(A1971,Movie!A:D,4,FALSE)</f>
        <v>Paramount</v>
      </c>
      <c r="H1971" s="14">
        <f>VLOOKUP(E1971,'Rental Transaction'!A:B,2,FALSE)</f>
        <v>599995</v>
      </c>
      <c r="I1971">
        <f t="shared" si="30"/>
        <v>2013</v>
      </c>
    </row>
    <row r="1972" spans="1:9">
      <c r="A1972" s="1">
        <v>10274</v>
      </c>
      <c r="B1972" s="1">
        <v>10</v>
      </c>
      <c r="C1972" s="2">
        <v>41462</v>
      </c>
      <c r="D1972" s="1" t="s">
        <v>2002</v>
      </c>
      <c r="E1972" s="1">
        <v>101122</v>
      </c>
      <c r="F1972" s="6" t="s">
        <v>3974</v>
      </c>
      <c r="G1972" s="15" t="str">
        <f>VLOOKUP(A1972,Movie!A:D,4,FALSE)</f>
        <v>Fox</v>
      </c>
      <c r="H1972" s="14">
        <f>VLOOKUP(E1972,'Rental Transaction'!A:B,2,FALSE)</f>
        <v>592592</v>
      </c>
      <c r="I1972">
        <f t="shared" si="30"/>
        <v>2013</v>
      </c>
    </row>
    <row r="1973" spans="1:9">
      <c r="A1973" s="1">
        <v>10071</v>
      </c>
      <c r="B1973" s="1">
        <v>5</v>
      </c>
      <c r="C1973" s="2">
        <v>41463</v>
      </c>
      <c r="D1973" s="1" t="s">
        <v>2002</v>
      </c>
      <c r="E1973" s="1">
        <v>101123</v>
      </c>
      <c r="F1973" s="6" t="s">
        <v>3975</v>
      </c>
      <c r="G1973" s="15" t="str">
        <f>VLOOKUP(A1973,Movie!A:D,4,FALSE)</f>
        <v>Paramount</v>
      </c>
      <c r="H1973" s="14">
        <f>VLOOKUP(E1973,'Rental Transaction'!A:B,2,FALSE)</f>
        <v>385115</v>
      </c>
      <c r="I1973">
        <f t="shared" si="30"/>
        <v>2013</v>
      </c>
    </row>
    <row r="1974" spans="1:9">
      <c r="A1974" s="1">
        <v>10043</v>
      </c>
      <c r="B1974" s="1">
        <v>8</v>
      </c>
      <c r="C1974" s="2">
        <v>41463</v>
      </c>
      <c r="D1974" s="1" t="s">
        <v>2005</v>
      </c>
      <c r="E1974" s="1">
        <v>101124</v>
      </c>
      <c r="F1974" s="6" t="s">
        <v>3976</v>
      </c>
      <c r="G1974" s="15" t="str">
        <f>VLOOKUP(A1974,Movie!A:D,4,FALSE)</f>
        <v>Screen Gems</v>
      </c>
      <c r="H1974" s="14">
        <f>VLOOKUP(E1974,'Rental Transaction'!A:B,2,FALSE)</f>
        <v>815980</v>
      </c>
      <c r="I1974">
        <f t="shared" si="30"/>
        <v>2013</v>
      </c>
    </row>
    <row r="1975" spans="1:9">
      <c r="A1975" s="1">
        <v>10094</v>
      </c>
      <c r="B1975" s="1">
        <v>1</v>
      </c>
      <c r="C1975" s="2">
        <v>41463</v>
      </c>
      <c r="D1975" s="1" t="s">
        <v>2005</v>
      </c>
      <c r="E1975" s="1">
        <v>101124</v>
      </c>
      <c r="F1975" s="6" t="s">
        <v>3977</v>
      </c>
      <c r="G1975" s="15" t="str">
        <f>VLOOKUP(A1975,Movie!A:D,4,FALSE)</f>
        <v>Relativity</v>
      </c>
      <c r="H1975" s="14">
        <f>VLOOKUP(E1975,'Rental Transaction'!A:B,2,FALSE)</f>
        <v>815980</v>
      </c>
      <c r="I1975">
        <f t="shared" si="30"/>
        <v>2013</v>
      </c>
    </row>
    <row r="1976" spans="1:9" ht="29.25">
      <c r="A1976" s="1">
        <v>10154</v>
      </c>
      <c r="B1976" s="1">
        <v>5</v>
      </c>
      <c r="C1976" s="2">
        <v>41463</v>
      </c>
      <c r="D1976" s="1" t="s">
        <v>2005</v>
      </c>
      <c r="E1976" s="1">
        <v>101125</v>
      </c>
      <c r="F1976" s="6" t="s">
        <v>3978</v>
      </c>
      <c r="G1976" s="15" t="str">
        <f>VLOOKUP(A1976,Movie!A:D,4,FALSE)</f>
        <v>Summit Entertainment</v>
      </c>
      <c r="H1976" s="14">
        <f>VLOOKUP(E1976,'Rental Transaction'!A:B,2,FALSE)</f>
        <v>214537</v>
      </c>
      <c r="I1976">
        <f t="shared" si="30"/>
        <v>2013</v>
      </c>
    </row>
    <row r="1977" spans="1:9" ht="29.25">
      <c r="A1977" s="1">
        <v>10154</v>
      </c>
      <c r="B1977" s="1">
        <v>3</v>
      </c>
      <c r="C1977" s="2">
        <v>41463</v>
      </c>
      <c r="D1977" s="1" t="s">
        <v>2002</v>
      </c>
      <c r="E1977" s="1">
        <v>101125</v>
      </c>
      <c r="F1977" s="6" t="s">
        <v>3979</v>
      </c>
      <c r="G1977" s="15" t="str">
        <f>VLOOKUP(A1977,Movie!A:D,4,FALSE)</f>
        <v>Summit Entertainment</v>
      </c>
      <c r="H1977" s="14">
        <f>VLOOKUP(E1977,'Rental Transaction'!A:B,2,FALSE)</f>
        <v>214537</v>
      </c>
      <c r="I1977">
        <f t="shared" si="30"/>
        <v>2013</v>
      </c>
    </row>
    <row r="1978" spans="1:9">
      <c r="A1978" s="1">
        <v>10177</v>
      </c>
      <c r="B1978" s="1">
        <v>4</v>
      </c>
      <c r="C1978" s="2">
        <v>41463</v>
      </c>
      <c r="D1978" s="1" t="s">
        <v>2002</v>
      </c>
      <c r="E1978" s="1">
        <v>101126</v>
      </c>
      <c r="F1978" s="6" t="s">
        <v>3980</v>
      </c>
      <c r="G1978" s="15" t="str">
        <f>VLOOKUP(A1978,Movie!A:D,4,FALSE)</f>
        <v>Fox</v>
      </c>
      <c r="H1978" s="14">
        <f>VLOOKUP(E1978,'Rental Transaction'!A:B,2,FALSE)</f>
        <v>308662</v>
      </c>
      <c r="I1978">
        <f t="shared" si="30"/>
        <v>2013</v>
      </c>
    </row>
    <row r="1979" spans="1:9">
      <c r="A1979" s="1">
        <v>10062</v>
      </c>
      <c r="B1979" s="1">
        <v>8</v>
      </c>
      <c r="C1979" s="2">
        <v>41463</v>
      </c>
      <c r="D1979" s="1" t="s">
        <v>2002</v>
      </c>
      <c r="E1979" s="1">
        <v>101127</v>
      </c>
      <c r="F1979" s="6" t="s">
        <v>3981</v>
      </c>
      <c r="G1979" s="15" t="str">
        <f>VLOOKUP(A1979,Movie!A:D,4,FALSE)</f>
        <v>FilmDistrict</v>
      </c>
      <c r="H1979" s="14">
        <f>VLOOKUP(E1979,'Rental Transaction'!A:B,2,FALSE)</f>
        <v>955591</v>
      </c>
      <c r="I1979">
        <f t="shared" si="30"/>
        <v>2013</v>
      </c>
    </row>
    <row r="1980" spans="1:9">
      <c r="A1980" s="1">
        <v>10284</v>
      </c>
      <c r="B1980" s="1">
        <v>9</v>
      </c>
      <c r="C1980" s="2">
        <v>41463</v>
      </c>
      <c r="D1980" s="1" t="s">
        <v>2005</v>
      </c>
      <c r="E1980" s="1">
        <v>101127</v>
      </c>
      <c r="F1980" s="6" t="s">
        <v>3982</v>
      </c>
      <c r="G1980" s="15" t="str">
        <f>VLOOKUP(A1980,Movie!A:D,4,FALSE)</f>
        <v>Focus</v>
      </c>
      <c r="H1980" s="14">
        <f>VLOOKUP(E1980,'Rental Transaction'!A:B,2,FALSE)</f>
        <v>955591</v>
      </c>
      <c r="I1980">
        <f t="shared" si="30"/>
        <v>2013</v>
      </c>
    </row>
    <row r="1981" spans="1:9">
      <c r="A1981" s="1">
        <v>10157</v>
      </c>
      <c r="B1981" s="1">
        <v>2</v>
      </c>
      <c r="C1981" s="2">
        <v>41465</v>
      </c>
      <c r="D1981" s="1" t="s">
        <v>2002</v>
      </c>
      <c r="E1981" s="1">
        <v>101128</v>
      </c>
      <c r="F1981" s="6" t="s">
        <v>3983</v>
      </c>
      <c r="G1981" s="15" t="str">
        <f>VLOOKUP(A1981,Movie!A:D,4,FALSE)</f>
        <v>Paramount</v>
      </c>
      <c r="H1981" s="14">
        <f>VLOOKUP(E1981,'Rental Transaction'!A:B,2,FALSE)</f>
        <v>396166</v>
      </c>
      <c r="I1981">
        <f t="shared" si="30"/>
        <v>2013</v>
      </c>
    </row>
    <row r="1982" spans="1:9">
      <c r="A1982" s="1">
        <v>10134</v>
      </c>
      <c r="B1982" s="1">
        <v>1</v>
      </c>
      <c r="C1982" s="2">
        <v>41464</v>
      </c>
      <c r="D1982" s="1" t="s">
        <v>2002</v>
      </c>
      <c r="E1982" s="1">
        <v>101129</v>
      </c>
      <c r="F1982" s="6" t="s">
        <v>3984</v>
      </c>
      <c r="G1982" s="15" t="str">
        <f>VLOOKUP(A1982,Movie!A:D,4,FALSE)</f>
        <v>Universal</v>
      </c>
      <c r="H1982" s="14">
        <f>VLOOKUP(E1982,'Rental Transaction'!A:B,2,FALSE)</f>
        <v>840096</v>
      </c>
      <c r="I1982">
        <f t="shared" si="30"/>
        <v>2013</v>
      </c>
    </row>
    <row r="1983" spans="1:9">
      <c r="A1983" s="1">
        <v>10281</v>
      </c>
      <c r="B1983" s="1">
        <v>4</v>
      </c>
      <c r="C1983" s="2">
        <v>41464</v>
      </c>
      <c r="D1983" s="1" t="s">
        <v>2005</v>
      </c>
      <c r="E1983" s="1">
        <v>101130</v>
      </c>
      <c r="F1983" s="6" t="s">
        <v>3985</v>
      </c>
      <c r="G1983" s="15" t="str">
        <f>VLOOKUP(A1983,Movie!A:D,4,FALSE)</f>
        <v>Lionsgate</v>
      </c>
      <c r="H1983" s="14">
        <f>VLOOKUP(E1983,'Rental Transaction'!A:B,2,FALSE)</f>
        <v>302774</v>
      </c>
      <c r="I1983">
        <f t="shared" si="30"/>
        <v>2013</v>
      </c>
    </row>
    <row r="1984" spans="1:9">
      <c r="A1984" s="1">
        <v>10051</v>
      </c>
      <c r="B1984" s="1">
        <v>9</v>
      </c>
      <c r="C1984" s="2">
        <v>41463</v>
      </c>
      <c r="D1984" s="1" t="s">
        <v>2005</v>
      </c>
      <c r="E1984" s="1">
        <v>101131</v>
      </c>
      <c r="F1984" s="6" t="s">
        <v>3986</v>
      </c>
      <c r="G1984" s="15" t="str">
        <f>VLOOKUP(A1984,Movie!A:D,4,FALSE)</f>
        <v>Paramount</v>
      </c>
      <c r="H1984" s="14">
        <f>VLOOKUP(E1984,'Rental Transaction'!A:B,2,FALSE)</f>
        <v>958321</v>
      </c>
      <c r="I1984">
        <f t="shared" si="30"/>
        <v>2013</v>
      </c>
    </row>
    <row r="1985" spans="1:9">
      <c r="A1985" s="1">
        <v>10226</v>
      </c>
      <c r="B1985" s="1">
        <v>1</v>
      </c>
      <c r="C1985" s="2">
        <v>41466</v>
      </c>
      <c r="D1985" s="1" t="s">
        <v>2002</v>
      </c>
      <c r="E1985" s="1">
        <v>101132</v>
      </c>
      <c r="F1985" s="6" t="s">
        <v>3987</v>
      </c>
      <c r="G1985" s="15" t="str">
        <f>VLOOKUP(A1985,Movie!A:D,4,FALSE)</f>
        <v>Sony</v>
      </c>
      <c r="H1985" s="14">
        <f>VLOOKUP(E1985,'Rental Transaction'!A:B,2,FALSE)</f>
        <v>128131</v>
      </c>
      <c r="I1985">
        <f t="shared" si="30"/>
        <v>2013</v>
      </c>
    </row>
    <row r="1986" spans="1:9">
      <c r="A1986" s="1">
        <v>10122</v>
      </c>
      <c r="B1986" s="1">
        <v>5</v>
      </c>
      <c r="C1986" s="2">
        <v>41466</v>
      </c>
      <c r="D1986" s="1" t="s">
        <v>2005</v>
      </c>
      <c r="E1986" s="1">
        <v>101132</v>
      </c>
      <c r="F1986" s="6" t="s">
        <v>3988</v>
      </c>
      <c r="G1986" s="15" t="str">
        <f>VLOOKUP(A1986,Movie!A:D,4,FALSE)</f>
        <v>Relativity</v>
      </c>
      <c r="H1986" s="14">
        <f>VLOOKUP(E1986,'Rental Transaction'!A:B,2,FALSE)</f>
        <v>128131</v>
      </c>
      <c r="I1986">
        <f t="shared" si="30"/>
        <v>2013</v>
      </c>
    </row>
    <row r="1987" spans="1:9">
      <c r="A1987" s="1">
        <v>10215</v>
      </c>
      <c r="B1987" s="1">
        <v>2</v>
      </c>
      <c r="C1987" s="2">
        <v>41464</v>
      </c>
      <c r="D1987" s="1" t="s">
        <v>2002</v>
      </c>
      <c r="E1987" s="1">
        <v>101133</v>
      </c>
      <c r="F1987" s="6" t="s">
        <v>3989</v>
      </c>
      <c r="G1987" s="15" t="str">
        <f>VLOOKUP(A1987,Movie!A:D,4,FALSE)</f>
        <v>Paramount</v>
      </c>
      <c r="H1987" s="14">
        <f>VLOOKUP(E1987,'Rental Transaction'!A:B,2,FALSE)</f>
        <v>891738</v>
      </c>
      <c r="I1987">
        <f t="shared" ref="I1987:I2050" si="31">YEAR(C1987)</f>
        <v>2013</v>
      </c>
    </row>
    <row r="1988" spans="1:9">
      <c r="A1988" s="1">
        <v>10157</v>
      </c>
      <c r="B1988" s="1">
        <v>10</v>
      </c>
      <c r="C1988" s="2">
        <v>41464</v>
      </c>
      <c r="D1988" s="1" t="s">
        <v>2002</v>
      </c>
      <c r="E1988" s="1">
        <v>101134</v>
      </c>
      <c r="F1988" s="6" t="s">
        <v>3990</v>
      </c>
      <c r="G1988" s="15" t="str">
        <f>VLOOKUP(A1988,Movie!A:D,4,FALSE)</f>
        <v>Paramount</v>
      </c>
      <c r="H1988" s="14">
        <f>VLOOKUP(E1988,'Rental Transaction'!A:B,2,FALSE)</f>
        <v>739440</v>
      </c>
      <c r="I1988">
        <f t="shared" si="31"/>
        <v>2013</v>
      </c>
    </row>
    <row r="1989" spans="1:9">
      <c r="A1989" s="1">
        <v>10027</v>
      </c>
      <c r="B1989" s="1">
        <v>10</v>
      </c>
      <c r="C1989" s="2">
        <v>41464</v>
      </c>
      <c r="D1989" s="1" t="s">
        <v>2005</v>
      </c>
      <c r="E1989" s="1">
        <v>101134</v>
      </c>
      <c r="F1989" s="6" t="s">
        <v>3991</v>
      </c>
      <c r="G1989" s="15" t="str">
        <f>VLOOKUP(A1989,Movie!A:D,4,FALSE)</f>
        <v>FilmDistrict</v>
      </c>
      <c r="H1989" s="14">
        <f>VLOOKUP(E1989,'Rental Transaction'!A:B,2,FALSE)</f>
        <v>739440</v>
      </c>
      <c r="I1989">
        <f t="shared" si="31"/>
        <v>2013</v>
      </c>
    </row>
    <row r="1990" spans="1:9">
      <c r="A1990" s="1">
        <v>10025</v>
      </c>
      <c r="B1990" s="1">
        <v>10</v>
      </c>
      <c r="C1990" s="2">
        <v>41464</v>
      </c>
      <c r="D1990" s="1" t="s">
        <v>2005</v>
      </c>
      <c r="E1990" s="1">
        <v>101135</v>
      </c>
      <c r="F1990" s="6" t="s">
        <v>3992</v>
      </c>
      <c r="G1990" s="15" t="str">
        <f>VLOOKUP(A1990,Movie!A:D,4,FALSE)</f>
        <v>Sony</v>
      </c>
      <c r="H1990" s="14">
        <f>VLOOKUP(E1990,'Rental Transaction'!A:B,2,FALSE)</f>
        <v>744648</v>
      </c>
      <c r="I1990">
        <f t="shared" si="31"/>
        <v>2013</v>
      </c>
    </row>
    <row r="1991" spans="1:9">
      <c r="A1991" s="1">
        <v>10158</v>
      </c>
      <c r="B1991" s="1">
        <v>6</v>
      </c>
      <c r="C1991" s="2">
        <v>41464</v>
      </c>
      <c r="D1991" s="1" t="s">
        <v>2002</v>
      </c>
      <c r="E1991" s="1">
        <v>101135</v>
      </c>
      <c r="F1991" s="6" t="s">
        <v>3993</v>
      </c>
      <c r="G1991" s="15" t="str">
        <f>VLOOKUP(A1991,Movie!A:D,4,FALSE)</f>
        <v>Warner Brothers</v>
      </c>
      <c r="H1991" s="14">
        <f>VLOOKUP(E1991,'Rental Transaction'!A:B,2,FALSE)</f>
        <v>744648</v>
      </c>
      <c r="I1991">
        <f t="shared" si="31"/>
        <v>2013</v>
      </c>
    </row>
    <row r="1992" spans="1:9">
      <c r="A1992" s="1">
        <v>10108</v>
      </c>
      <c r="B1992" s="1">
        <v>7</v>
      </c>
      <c r="C1992" s="2">
        <v>41464</v>
      </c>
      <c r="D1992" s="1" t="s">
        <v>2002</v>
      </c>
      <c r="E1992" s="1">
        <v>101135</v>
      </c>
      <c r="F1992" s="6" t="s">
        <v>3994</v>
      </c>
      <c r="G1992" s="15" t="str">
        <f>VLOOKUP(A1992,Movie!A:D,4,FALSE)</f>
        <v>Fox</v>
      </c>
      <c r="H1992" s="14">
        <f>VLOOKUP(E1992,'Rental Transaction'!A:B,2,FALSE)</f>
        <v>744648</v>
      </c>
      <c r="I1992">
        <f t="shared" si="31"/>
        <v>2013</v>
      </c>
    </row>
    <row r="1993" spans="1:9">
      <c r="A1993" s="1">
        <v>10042</v>
      </c>
      <c r="B1993" s="1">
        <v>1</v>
      </c>
      <c r="C1993" s="2">
        <v>41464</v>
      </c>
      <c r="D1993" s="1" t="s">
        <v>2005</v>
      </c>
      <c r="E1993" s="1">
        <v>101136</v>
      </c>
      <c r="F1993" s="6" t="s">
        <v>3995</v>
      </c>
      <c r="G1993" s="15" t="str">
        <f>VLOOKUP(A1993,Movie!A:D,4,FALSE)</f>
        <v>Paramount</v>
      </c>
      <c r="H1993" s="14">
        <f>VLOOKUP(E1993,'Rental Transaction'!A:B,2,FALSE)</f>
        <v>352644</v>
      </c>
      <c r="I1993">
        <f t="shared" si="31"/>
        <v>2013</v>
      </c>
    </row>
    <row r="1994" spans="1:9">
      <c r="A1994" s="1">
        <v>10071</v>
      </c>
      <c r="B1994" s="1">
        <v>5</v>
      </c>
      <c r="C1994" s="2">
        <v>41464</v>
      </c>
      <c r="D1994" s="1" t="s">
        <v>2002</v>
      </c>
      <c r="E1994" s="1">
        <v>101136</v>
      </c>
      <c r="F1994" s="6" t="s">
        <v>3996</v>
      </c>
      <c r="G1994" s="15" t="str">
        <f>VLOOKUP(A1994,Movie!A:D,4,FALSE)</f>
        <v>Paramount</v>
      </c>
      <c r="H1994" s="14">
        <f>VLOOKUP(E1994,'Rental Transaction'!A:B,2,FALSE)</f>
        <v>352644</v>
      </c>
      <c r="I1994">
        <f t="shared" si="31"/>
        <v>2013</v>
      </c>
    </row>
    <row r="1995" spans="1:9">
      <c r="A1995" s="1">
        <v>10218</v>
      </c>
      <c r="B1995" s="1">
        <v>5</v>
      </c>
      <c r="C1995" s="2">
        <v>41465</v>
      </c>
      <c r="D1995" s="1" t="s">
        <v>2002</v>
      </c>
      <c r="E1995" s="1">
        <v>101136</v>
      </c>
      <c r="F1995" s="6" t="s">
        <v>3997</v>
      </c>
      <c r="G1995" s="15" t="str">
        <f>VLOOKUP(A1995,Movie!A:D,4,FALSE)</f>
        <v>Sony</v>
      </c>
      <c r="H1995" s="14">
        <f>VLOOKUP(E1995,'Rental Transaction'!A:B,2,FALSE)</f>
        <v>352644</v>
      </c>
      <c r="I1995">
        <f t="shared" si="31"/>
        <v>2013</v>
      </c>
    </row>
    <row r="1996" spans="1:9">
      <c r="A1996" s="1">
        <v>10210</v>
      </c>
      <c r="B1996" s="1">
        <v>5</v>
      </c>
      <c r="C1996" s="2">
        <v>41464</v>
      </c>
      <c r="D1996" s="1" t="s">
        <v>2002</v>
      </c>
      <c r="E1996" s="1">
        <v>101137</v>
      </c>
      <c r="F1996" s="6" t="s">
        <v>3998</v>
      </c>
      <c r="G1996" s="15" t="str">
        <f>VLOOKUP(A1996,Movie!A:D,4,FALSE)</f>
        <v>Sony</v>
      </c>
      <c r="H1996" s="14">
        <f>VLOOKUP(E1996,'Rental Transaction'!A:B,2,FALSE)</f>
        <v>649551</v>
      </c>
      <c r="I1996">
        <f t="shared" si="31"/>
        <v>2013</v>
      </c>
    </row>
    <row r="1997" spans="1:9">
      <c r="A1997" s="1">
        <v>10289</v>
      </c>
      <c r="B1997" s="1">
        <v>9</v>
      </c>
      <c r="C1997" s="2">
        <v>41464</v>
      </c>
      <c r="D1997" s="1" t="s">
        <v>2005</v>
      </c>
      <c r="E1997" s="1">
        <v>101137</v>
      </c>
      <c r="F1997" s="6" t="s">
        <v>3999</v>
      </c>
      <c r="G1997" s="15" t="str">
        <f>VLOOKUP(A1997,Movie!A:D,4,FALSE)</f>
        <v>Open Road Films</v>
      </c>
      <c r="H1997" s="14">
        <f>VLOOKUP(E1997,'Rental Transaction'!A:B,2,FALSE)</f>
        <v>649551</v>
      </c>
      <c r="I1997">
        <f t="shared" si="31"/>
        <v>2013</v>
      </c>
    </row>
    <row r="1998" spans="1:9">
      <c r="A1998" s="1">
        <v>10069</v>
      </c>
      <c r="B1998" s="1">
        <v>7</v>
      </c>
      <c r="C1998" s="2">
        <v>41465</v>
      </c>
      <c r="D1998" s="1" t="s">
        <v>2005</v>
      </c>
      <c r="E1998" s="1">
        <v>101138</v>
      </c>
      <c r="F1998" s="6" t="s">
        <v>4000</v>
      </c>
      <c r="G1998" s="15" t="str">
        <f>VLOOKUP(A1998,Movie!A:D,4,FALSE)</f>
        <v>Warner Brothers</v>
      </c>
      <c r="H1998" s="14">
        <f>VLOOKUP(E1998,'Rental Transaction'!A:B,2,FALSE)</f>
        <v>242720</v>
      </c>
      <c r="I1998">
        <f t="shared" si="31"/>
        <v>2013</v>
      </c>
    </row>
    <row r="1999" spans="1:9">
      <c r="A1999" s="1">
        <v>10260</v>
      </c>
      <c r="B1999" s="1">
        <v>6</v>
      </c>
      <c r="C1999" s="2">
        <v>41464</v>
      </c>
      <c r="D1999" s="1" t="s">
        <v>2005</v>
      </c>
      <c r="E1999" s="1">
        <v>101139</v>
      </c>
      <c r="F1999" s="6" t="s">
        <v>4001</v>
      </c>
      <c r="G1999" s="15" t="str">
        <f>VLOOKUP(A1999,Movie!A:D,4,FALSE)</f>
        <v>Sony</v>
      </c>
      <c r="H1999" s="14">
        <f>VLOOKUP(E1999,'Rental Transaction'!A:B,2,FALSE)</f>
        <v>911171</v>
      </c>
      <c r="I1999">
        <f t="shared" si="31"/>
        <v>2013</v>
      </c>
    </row>
    <row r="2000" spans="1:9">
      <c r="A2000" s="1">
        <v>10122</v>
      </c>
      <c r="B2000" s="1">
        <v>9</v>
      </c>
      <c r="C2000" s="2">
        <v>41467</v>
      </c>
      <c r="D2000" s="1" t="s">
        <v>2005</v>
      </c>
      <c r="E2000" s="1">
        <v>101140</v>
      </c>
      <c r="F2000" s="6" t="s">
        <v>4002</v>
      </c>
      <c r="G2000" s="15" t="str">
        <f>VLOOKUP(A2000,Movie!A:D,4,FALSE)</f>
        <v>Relativity</v>
      </c>
      <c r="H2000" s="14">
        <f>VLOOKUP(E2000,'Rental Transaction'!A:B,2,FALSE)</f>
        <v>324435</v>
      </c>
      <c r="I2000">
        <f t="shared" si="31"/>
        <v>2013</v>
      </c>
    </row>
    <row r="2001" spans="1:9" ht="29.25">
      <c r="A2001" s="1">
        <v>10081</v>
      </c>
      <c r="B2001" s="1">
        <v>6</v>
      </c>
      <c r="C2001" s="2">
        <v>41465</v>
      </c>
      <c r="D2001" s="1" t="s">
        <v>2005</v>
      </c>
      <c r="E2001" s="1">
        <v>101140</v>
      </c>
      <c r="F2001" s="6" t="s">
        <v>4003</v>
      </c>
      <c r="G2001" s="15" t="str">
        <f>VLOOKUP(A2001,Movie!A:D,4,FALSE)</f>
        <v>Weinstein Company</v>
      </c>
      <c r="H2001" s="14">
        <f>VLOOKUP(E2001,'Rental Transaction'!A:B,2,FALSE)</f>
        <v>324435</v>
      </c>
      <c r="I2001">
        <f t="shared" si="31"/>
        <v>2013</v>
      </c>
    </row>
    <row r="2002" spans="1:9">
      <c r="A2002" s="1">
        <v>10255</v>
      </c>
      <c r="B2002" s="1">
        <v>9</v>
      </c>
      <c r="C2002" s="2">
        <v>41465</v>
      </c>
      <c r="D2002" s="1" t="s">
        <v>2005</v>
      </c>
      <c r="E2002" s="1">
        <v>101141</v>
      </c>
      <c r="F2002" s="6" t="s">
        <v>4004</v>
      </c>
      <c r="G2002" s="15" t="str">
        <f>VLOOKUP(A2002,Movie!A:D,4,FALSE)</f>
        <v>Paramount</v>
      </c>
      <c r="H2002" s="14">
        <f>VLOOKUP(E2002,'Rental Transaction'!A:B,2,FALSE)</f>
        <v>737707</v>
      </c>
      <c r="I2002">
        <f t="shared" si="31"/>
        <v>2013</v>
      </c>
    </row>
    <row r="2003" spans="1:9">
      <c r="A2003" s="1">
        <v>10030</v>
      </c>
      <c r="B2003" s="1">
        <v>3</v>
      </c>
      <c r="C2003" s="2">
        <v>41466</v>
      </c>
      <c r="D2003" s="1" t="s">
        <v>2002</v>
      </c>
      <c r="E2003" s="1">
        <v>101141</v>
      </c>
      <c r="F2003" s="6" t="s">
        <v>4005</v>
      </c>
      <c r="G2003" s="15" t="str">
        <f>VLOOKUP(A2003,Movie!A:D,4,FALSE)</f>
        <v>Warner Brothers</v>
      </c>
      <c r="H2003" s="14">
        <f>VLOOKUP(E2003,'Rental Transaction'!A:B,2,FALSE)</f>
        <v>737707</v>
      </c>
      <c r="I2003">
        <f t="shared" si="31"/>
        <v>2013</v>
      </c>
    </row>
    <row r="2004" spans="1:9">
      <c r="A2004" s="1">
        <v>10142</v>
      </c>
      <c r="B2004" s="1">
        <v>10</v>
      </c>
      <c r="C2004" s="2">
        <v>41465</v>
      </c>
      <c r="D2004" s="1" t="s">
        <v>2005</v>
      </c>
      <c r="E2004" s="1">
        <v>101141</v>
      </c>
      <c r="F2004" s="6" t="s">
        <v>4006</v>
      </c>
      <c r="G2004" s="15" t="str">
        <f>VLOOKUP(A2004,Movie!A:D,4,FALSE)</f>
        <v>Warner Brothers</v>
      </c>
      <c r="H2004" s="14">
        <f>VLOOKUP(E2004,'Rental Transaction'!A:B,2,FALSE)</f>
        <v>737707</v>
      </c>
      <c r="I2004">
        <f t="shared" si="31"/>
        <v>2013</v>
      </c>
    </row>
    <row r="2005" spans="1:9">
      <c r="A2005" s="1">
        <v>10155</v>
      </c>
      <c r="B2005" s="1">
        <v>4</v>
      </c>
      <c r="C2005" s="2">
        <v>41465</v>
      </c>
      <c r="D2005" s="1" t="s">
        <v>2002</v>
      </c>
      <c r="E2005" s="1">
        <v>101142</v>
      </c>
      <c r="F2005" s="6" t="s">
        <v>4007</v>
      </c>
      <c r="G2005" s="15" t="str">
        <f>VLOOKUP(A2005,Movie!A:D,4,FALSE)</f>
        <v>Fox</v>
      </c>
      <c r="H2005" s="14">
        <f>VLOOKUP(E2005,'Rental Transaction'!A:B,2,FALSE)</f>
        <v>355107</v>
      </c>
      <c r="I2005">
        <f t="shared" si="31"/>
        <v>2013</v>
      </c>
    </row>
    <row r="2006" spans="1:9">
      <c r="A2006" s="1">
        <v>10029</v>
      </c>
      <c r="B2006" s="1">
        <v>9</v>
      </c>
      <c r="C2006" s="2">
        <v>41465</v>
      </c>
      <c r="D2006" s="1" t="s">
        <v>2002</v>
      </c>
      <c r="E2006" s="1">
        <v>101142</v>
      </c>
      <c r="F2006" s="6" t="s">
        <v>4008</v>
      </c>
      <c r="G2006" s="15" t="str">
        <f>VLOOKUP(A2006,Movie!A:D,4,FALSE)</f>
        <v>Relativity</v>
      </c>
      <c r="H2006" s="14">
        <f>VLOOKUP(E2006,'Rental Transaction'!A:B,2,FALSE)</f>
        <v>355107</v>
      </c>
      <c r="I2006">
        <f t="shared" si="31"/>
        <v>2013</v>
      </c>
    </row>
    <row r="2007" spans="1:9">
      <c r="A2007" s="1">
        <v>10063</v>
      </c>
      <c r="B2007" s="1">
        <v>3</v>
      </c>
      <c r="C2007" s="2">
        <v>41465</v>
      </c>
      <c r="D2007" s="1" t="s">
        <v>2002</v>
      </c>
      <c r="E2007" s="1">
        <v>101143</v>
      </c>
      <c r="F2007" s="6" t="s">
        <v>4009</v>
      </c>
      <c r="G2007" s="15" t="str">
        <f>VLOOKUP(A2007,Movie!A:D,4,FALSE)</f>
        <v>CBS Films</v>
      </c>
      <c r="H2007" s="14">
        <f>VLOOKUP(E2007,'Rental Transaction'!A:B,2,FALSE)</f>
        <v>471187</v>
      </c>
      <c r="I2007">
        <f t="shared" si="31"/>
        <v>2013</v>
      </c>
    </row>
    <row r="2008" spans="1:9">
      <c r="A2008" s="1">
        <v>10227</v>
      </c>
      <c r="B2008" s="1">
        <v>7</v>
      </c>
      <c r="C2008" s="2">
        <v>41466</v>
      </c>
      <c r="D2008" s="1" t="s">
        <v>2002</v>
      </c>
      <c r="E2008" s="1">
        <v>101143</v>
      </c>
      <c r="F2008" s="6" t="s">
        <v>4010</v>
      </c>
      <c r="G2008" s="15" t="str">
        <f>VLOOKUP(A2008,Movie!A:D,4,FALSE)</f>
        <v>Focus</v>
      </c>
      <c r="H2008" s="14">
        <f>VLOOKUP(E2008,'Rental Transaction'!A:B,2,FALSE)</f>
        <v>471187</v>
      </c>
      <c r="I2008">
        <f t="shared" si="31"/>
        <v>2013</v>
      </c>
    </row>
    <row r="2009" spans="1:9">
      <c r="A2009" s="1">
        <v>10204</v>
      </c>
      <c r="B2009" s="1">
        <v>3</v>
      </c>
      <c r="C2009" s="2">
        <v>41465</v>
      </c>
      <c r="D2009" s="1" t="s">
        <v>2002</v>
      </c>
      <c r="E2009" s="1">
        <v>101144</v>
      </c>
      <c r="F2009" s="6" t="s">
        <v>4011</v>
      </c>
      <c r="G2009" s="15" t="str">
        <f>VLOOKUP(A2009,Movie!A:D,4,FALSE)</f>
        <v>Universal</v>
      </c>
      <c r="H2009" s="14">
        <f>VLOOKUP(E2009,'Rental Transaction'!A:B,2,FALSE)</f>
        <v>456457</v>
      </c>
      <c r="I2009">
        <f t="shared" si="31"/>
        <v>2013</v>
      </c>
    </row>
    <row r="2010" spans="1:9">
      <c r="A2010" s="1">
        <v>10097</v>
      </c>
      <c r="B2010" s="1">
        <v>9</v>
      </c>
      <c r="C2010" s="2">
        <v>41465</v>
      </c>
      <c r="D2010" s="1" t="s">
        <v>2002</v>
      </c>
      <c r="E2010" s="1">
        <v>101145</v>
      </c>
      <c r="F2010" s="6" t="s">
        <v>4012</v>
      </c>
      <c r="G2010" s="15" t="str">
        <f>VLOOKUP(A2010,Movie!A:D,4,FALSE)</f>
        <v>Screen Gems</v>
      </c>
      <c r="H2010" s="14">
        <f>VLOOKUP(E2010,'Rental Transaction'!A:B,2,FALSE)</f>
        <v>891738</v>
      </c>
      <c r="I2010">
        <f t="shared" si="31"/>
        <v>2013</v>
      </c>
    </row>
    <row r="2011" spans="1:9">
      <c r="A2011" s="1">
        <v>10145</v>
      </c>
      <c r="B2011" s="1">
        <v>10</v>
      </c>
      <c r="C2011" s="2">
        <v>41465</v>
      </c>
      <c r="D2011" s="1" t="s">
        <v>2002</v>
      </c>
      <c r="E2011" s="1">
        <v>101145</v>
      </c>
      <c r="F2011" s="6" t="s">
        <v>4013</v>
      </c>
      <c r="G2011" s="15" t="str">
        <f>VLOOKUP(A2011,Movie!A:D,4,FALSE)</f>
        <v>TriStar</v>
      </c>
      <c r="H2011" s="14">
        <f>VLOOKUP(E2011,'Rental Transaction'!A:B,2,FALSE)</f>
        <v>891738</v>
      </c>
      <c r="I2011">
        <f t="shared" si="31"/>
        <v>2013</v>
      </c>
    </row>
    <row r="2012" spans="1:9">
      <c r="A2012" s="1">
        <v>10084</v>
      </c>
      <c r="B2012" s="1">
        <v>2</v>
      </c>
      <c r="C2012" s="2">
        <v>41465</v>
      </c>
      <c r="D2012" s="1" t="s">
        <v>2002</v>
      </c>
      <c r="E2012" s="1">
        <v>101146</v>
      </c>
      <c r="F2012" s="6" t="s">
        <v>4014</v>
      </c>
      <c r="G2012" s="15" t="str">
        <f>VLOOKUP(A2012,Movie!A:D,4,FALSE)</f>
        <v>CBS Films</v>
      </c>
      <c r="H2012" s="14">
        <f>VLOOKUP(E2012,'Rental Transaction'!A:B,2,FALSE)</f>
        <v>427826</v>
      </c>
      <c r="I2012">
        <f t="shared" si="31"/>
        <v>2013</v>
      </c>
    </row>
    <row r="2013" spans="1:9">
      <c r="A2013" s="1">
        <v>10037</v>
      </c>
      <c r="B2013" s="1">
        <v>6</v>
      </c>
      <c r="C2013" s="2">
        <v>41465</v>
      </c>
      <c r="D2013" s="1" t="s">
        <v>2002</v>
      </c>
      <c r="E2013" s="1">
        <v>101146</v>
      </c>
      <c r="F2013" s="6" t="s">
        <v>4015</v>
      </c>
      <c r="G2013" s="15" t="str">
        <f>VLOOKUP(A2013,Movie!A:D,4,FALSE)</f>
        <v>Buena Vista</v>
      </c>
      <c r="H2013" s="14">
        <f>VLOOKUP(E2013,'Rental Transaction'!A:B,2,FALSE)</f>
        <v>427826</v>
      </c>
      <c r="I2013">
        <f t="shared" si="31"/>
        <v>2013</v>
      </c>
    </row>
    <row r="2014" spans="1:9">
      <c r="A2014" s="1">
        <v>10225</v>
      </c>
      <c r="B2014" s="1">
        <v>4</v>
      </c>
      <c r="C2014" s="2">
        <v>41465</v>
      </c>
      <c r="D2014" s="1" t="s">
        <v>2002</v>
      </c>
      <c r="E2014" s="1">
        <v>101147</v>
      </c>
      <c r="F2014" s="6" t="s">
        <v>4016</v>
      </c>
      <c r="G2014" s="15" t="str">
        <f>VLOOKUP(A2014,Movie!A:D,4,FALSE)</f>
        <v>Warner Brothers</v>
      </c>
      <c r="H2014" s="14">
        <f>VLOOKUP(E2014,'Rental Transaction'!A:B,2,FALSE)</f>
        <v>992895</v>
      </c>
      <c r="I2014">
        <f t="shared" si="31"/>
        <v>2013</v>
      </c>
    </row>
    <row r="2015" spans="1:9">
      <c r="A2015" s="1">
        <v>10017</v>
      </c>
      <c r="B2015" s="1">
        <v>4</v>
      </c>
      <c r="C2015" s="2">
        <v>41466</v>
      </c>
      <c r="D2015" s="1" t="s">
        <v>2002</v>
      </c>
      <c r="E2015" s="1">
        <v>101147</v>
      </c>
      <c r="F2015" s="6" t="s">
        <v>4017</v>
      </c>
      <c r="G2015" s="15" t="str">
        <f>VLOOKUP(A2015,Movie!A:D,4,FALSE)</f>
        <v>Sony</v>
      </c>
      <c r="H2015" s="14">
        <f>VLOOKUP(E2015,'Rental Transaction'!A:B,2,FALSE)</f>
        <v>992895</v>
      </c>
      <c r="I2015">
        <f t="shared" si="31"/>
        <v>2013</v>
      </c>
    </row>
    <row r="2016" spans="1:9">
      <c r="A2016" s="1">
        <v>10227</v>
      </c>
      <c r="B2016" s="1">
        <v>9</v>
      </c>
      <c r="C2016" s="2">
        <v>41465</v>
      </c>
      <c r="D2016" s="1" t="s">
        <v>2005</v>
      </c>
      <c r="E2016" s="1">
        <v>101147</v>
      </c>
      <c r="F2016" s="6" t="s">
        <v>4018</v>
      </c>
      <c r="G2016" s="15" t="str">
        <f>VLOOKUP(A2016,Movie!A:D,4,FALSE)</f>
        <v>Focus</v>
      </c>
      <c r="H2016" s="14">
        <f>VLOOKUP(E2016,'Rental Transaction'!A:B,2,FALSE)</f>
        <v>992895</v>
      </c>
      <c r="I2016">
        <f t="shared" si="31"/>
        <v>2013</v>
      </c>
    </row>
    <row r="2017" spans="1:9">
      <c r="A2017" s="1">
        <v>10281</v>
      </c>
      <c r="B2017" s="1">
        <v>9</v>
      </c>
      <c r="C2017" s="2">
        <v>41466</v>
      </c>
      <c r="D2017" s="1" t="s">
        <v>2002</v>
      </c>
      <c r="E2017" s="1">
        <v>101148</v>
      </c>
      <c r="F2017" s="6" t="s">
        <v>4019</v>
      </c>
      <c r="G2017" s="15" t="str">
        <f>VLOOKUP(A2017,Movie!A:D,4,FALSE)</f>
        <v>Lionsgate</v>
      </c>
      <c r="H2017" s="14">
        <f>VLOOKUP(E2017,'Rental Transaction'!A:B,2,FALSE)</f>
        <v>741398</v>
      </c>
      <c r="I2017">
        <f t="shared" si="31"/>
        <v>2013</v>
      </c>
    </row>
    <row r="2018" spans="1:9">
      <c r="A2018" s="1">
        <v>10008</v>
      </c>
      <c r="B2018" s="1">
        <v>4</v>
      </c>
      <c r="C2018" s="2">
        <v>41465</v>
      </c>
      <c r="D2018" s="1" t="s">
        <v>2005</v>
      </c>
      <c r="E2018" s="1">
        <v>101149</v>
      </c>
      <c r="F2018" s="6" t="s">
        <v>4020</v>
      </c>
      <c r="G2018" s="15" t="str">
        <f>VLOOKUP(A2018,Movie!A:D,4,FALSE)</f>
        <v>Sony</v>
      </c>
      <c r="H2018" s="14">
        <f>VLOOKUP(E2018,'Rental Transaction'!A:B,2,FALSE)</f>
        <v>242720</v>
      </c>
      <c r="I2018">
        <f t="shared" si="31"/>
        <v>2013</v>
      </c>
    </row>
    <row r="2019" spans="1:9">
      <c r="A2019" s="1">
        <v>10233</v>
      </c>
      <c r="B2019" s="1">
        <v>9</v>
      </c>
      <c r="C2019" s="2">
        <v>41466</v>
      </c>
      <c r="D2019" s="1" t="s">
        <v>2002</v>
      </c>
      <c r="E2019" s="1">
        <v>101149</v>
      </c>
      <c r="F2019" s="6" t="s">
        <v>4021</v>
      </c>
      <c r="G2019" s="15" t="str">
        <f>VLOOKUP(A2019,Movie!A:D,4,FALSE)</f>
        <v>Screen Gems</v>
      </c>
      <c r="H2019" s="14">
        <f>VLOOKUP(E2019,'Rental Transaction'!A:B,2,FALSE)</f>
        <v>242720</v>
      </c>
      <c r="I2019">
        <f t="shared" si="31"/>
        <v>2013</v>
      </c>
    </row>
    <row r="2020" spans="1:9">
      <c r="A2020" s="1">
        <v>10087</v>
      </c>
      <c r="B2020" s="1">
        <v>1</v>
      </c>
      <c r="C2020" s="2">
        <v>41466</v>
      </c>
      <c r="D2020" s="1" t="s">
        <v>2002</v>
      </c>
      <c r="E2020" s="1">
        <v>101150</v>
      </c>
      <c r="F2020" s="6" t="s">
        <v>4022</v>
      </c>
      <c r="G2020" s="15" t="str">
        <f>VLOOKUP(A2020,Movie!A:D,4,FALSE)</f>
        <v>Lionsgate</v>
      </c>
      <c r="H2020" s="14">
        <f>VLOOKUP(E2020,'Rental Transaction'!A:B,2,FALSE)</f>
        <v>723819</v>
      </c>
      <c r="I2020">
        <f t="shared" si="31"/>
        <v>2013</v>
      </c>
    </row>
    <row r="2021" spans="1:9">
      <c r="A2021" s="1">
        <v>10052</v>
      </c>
      <c r="B2021" s="1">
        <v>10</v>
      </c>
      <c r="C2021" s="2">
        <v>41466</v>
      </c>
      <c r="D2021" s="1" t="s">
        <v>2002</v>
      </c>
      <c r="E2021" s="1">
        <v>101150</v>
      </c>
      <c r="F2021" s="6" t="s">
        <v>4023</v>
      </c>
      <c r="G2021" s="15" t="str">
        <f>VLOOKUP(A2021,Movie!A:D,4,FALSE)</f>
        <v>Warner Brothers</v>
      </c>
      <c r="H2021" s="14">
        <f>VLOOKUP(E2021,'Rental Transaction'!A:B,2,FALSE)</f>
        <v>723819</v>
      </c>
      <c r="I2021">
        <f t="shared" si="31"/>
        <v>2013</v>
      </c>
    </row>
    <row r="2022" spans="1:9">
      <c r="A2022" s="1">
        <v>10005</v>
      </c>
      <c r="B2022" s="1">
        <v>4</v>
      </c>
      <c r="C2022" s="2">
        <v>41468</v>
      </c>
      <c r="D2022" s="1" t="s">
        <v>2005</v>
      </c>
      <c r="E2022" s="1">
        <v>101151</v>
      </c>
      <c r="F2022" s="6" t="s">
        <v>4024</v>
      </c>
      <c r="G2022" s="15" t="str">
        <f>VLOOKUP(A2022,Movie!A:D,4,FALSE)</f>
        <v>Buena Vista</v>
      </c>
      <c r="H2022" s="14">
        <f>VLOOKUP(E2022,'Rental Transaction'!A:B,2,FALSE)</f>
        <v>105549</v>
      </c>
      <c r="I2022">
        <f t="shared" si="31"/>
        <v>2013</v>
      </c>
    </row>
    <row r="2023" spans="1:9" ht="29.25">
      <c r="A2023" s="1">
        <v>10081</v>
      </c>
      <c r="B2023" s="1">
        <v>10</v>
      </c>
      <c r="C2023" s="2">
        <v>41466</v>
      </c>
      <c r="D2023" s="1" t="s">
        <v>2005</v>
      </c>
      <c r="E2023" s="1">
        <v>101152</v>
      </c>
      <c r="F2023" s="6" t="s">
        <v>4025</v>
      </c>
      <c r="G2023" s="15" t="str">
        <f>VLOOKUP(A2023,Movie!A:D,4,FALSE)</f>
        <v>Weinstein Company</v>
      </c>
      <c r="H2023" s="14">
        <f>VLOOKUP(E2023,'Rental Transaction'!A:B,2,FALSE)</f>
        <v>665282</v>
      </c>
      <c r="I2023">
        <f t="shared" si="31"/>
        <v>2013</v>
      </c>
    </row>
    <row r="2024" spans="1:9">
      <c r="A2024" s="1">
        <v>10009</v>
      </c>
      <c r="B2024" s="1">
        <v>10</v>
      </c>
      <c r="C2024" s="2">
        <v>41466</v>
      </c>
      <c r="D2024" s="1" t="s">
        <v>2002</v>
      </c>
      <c r="E2024" s="1">
        <v>101153</v>
      </c>
      <c r="F2024" s="6" t="s">
        <v>4026</v>
      </c>
      <c r="G2024" s="15" t="str">
        <f>VLOOKUP(A2024,Movie!A:D,4,FALSE)</f>
        <v>Warner Brothers</v>
      </c>
      <c r="H2024" s="14">
        <f>VLOOKUP(E2024,'Rental Transaction'!A:B,2,FALSE)</f>
        <v>783369</v>
      </c>
      <c r="I2024">
        <f t="shared" si="31"/>
        <v>2013</v>
      </c>
    </row>
    <row r="2025" spans="1:9">
      <c r="A2025" s="1">
        <v>10086</v>
      </c>
      <c r="B2025" s="1">
        <v>10</v>
      </c>
      <c r="C2025" s="2">
        <v>41466</v>
      </c>
      <c r="D2025" s="1" t="s">
        <v>2002</v>
      </c>
      <c r="E2025" s="1">
        <v>101153</v>
      </c>
      <c r="F2025" s="6" t="s">
        <v>4027</v>
      </c>
      <c r="G2025" s="15" t="str">
        <f>VLOOKUP(A2025,Movie!A:D,4,FALSE)</f>
        <v>Buena Vista</v>
      </c>
      <c r="H2025" s="14">
        <f>VLOOKUP(E2025,'Rental Transaction'!A:B,2,FALSE)</f>
        <v>783369</v>
      </c>
      <c r="I2025">
        <f t="shared" si="31"/>
        <v>2013</v>
      </c>
    </row>
    <row r="2026" spans="1:9">
      <c r="A2026" s="1">
        <v>10059</v>
      </c>
      <c r="B2026" s="1">
        <v>6</v>
      </c>
      <c r="C2026" s="2">
        <v>41466</v>
      </c>
      <c r="D2026" s="1" t="s">
        <v>2002</v>
      </c>
      <c r="E2026" s="1">
        <v>101154</v>
      </c>
      <c r="F2026" s="6" t="s">
        <v>4028</v>
      </c>
      <c r="G2026" s="15" t="str">
        <f>VLOOKUP(A2026,Movie!A:D,4,FALSE)</f>
        <v>Universal</v>
      </c>
      <c r="H2026" s="14">
        <f>VLOOKUP(E2026,'Rental Transaction'!A:B,2,FALSE)</f>
        <v>147216</v>
      </c>
      <c r="I2026">
        <f t="shared" si="31"/>
        <v>2013</v>
      </c>
    </row>
    <row r="2027" spans="1:9">
      <c r="A2027" s="1">
        <v>10039</v>
      </c>
      <c r="B2027" s="1">
        <v>6</v>
      </c>
      <c r="C2027" s="2">
        <v>41466</v>
      </c>
      <c r="D2027" s="1" t="s">
        <v>2002</v>
      </c>
      <c r="E2027" s="1">
        <v>101154</v>
      </c>
      <c r="F2027" s="6" t="s">
        <v>4029</v>
      </c>
      <c r="G2027" s="15" t="str">
        <f>VLOOKUP(A2027,Movie!A:D,4,FALSE)</f>
        <v>Open Road Films</v>
      </c>
      <c r="H2027" s="14">
        <f>VLOOKUP(E2027,'Rental Transaction'!A:B,2,FALSE)</f>
        <v>147216</v>
      </c>
      <c r="I2027">
        <f t="shared" si="31"/>
        <v>2013</v>
      </c>
    </row>
    <row r="2028" spans="1:9">
      <c r="A2028" s="1">
        <v>10203</v>
      </c>
      <c r="B2028" s="1">
        <v>8</v>
      </c>
      <c r="C2028" s="2">
        <v>41468</v>
      </c>
      <c r="D2028" s="1" t="s">
        <v>2002</v>
      </c>
      <c r="E2028" s="1">
        <v>101155</v>
      </c>
      <c r="F2028" s="6" t="s">
        <v>4030</v>
      </c>
      <c r="G2028" s="15" t="str">
        <f>VLOOKUP(A2028,Movie!A:D,4,FALSE)</f>
        <v>Buena Vista</v>
      </c>
      <c r="H2028" s="14">
        <f>VLOOKUP(E2028,'Rental Transaction'!A:B,2,FALSE)</f>
        <v>329994</v>
      </c>
      <c r="I2028">
        <f t="shared" si="31"/>
        <v>2013</v>
      </c>
    </row>
    <row r="2029" spans="1:9">
      <c r="A2029" s="1">
        <v>10252</v>
      </c>
      <c r="B2029" s="1">
        <v>5</v>
      </c>
      <c r="C2029" s="2">
        <v>41466</v>
      </c>
      <c r="D2029" s="1" t="s">
        <v>2002</v>
      </c>
      <c r="E2029" s="1">
        <v>101156</v>
      </c>
      <c r="F2029" s="6" t="s">
        <v>4031</v>
      </c>
      <c r="G2029" s="15" t="str">
        <f>VLOOKUP(A2029,Movie!A:D,4,FALSE)</f>
        <v>Warner Brothers</v>
      </c>
      <c r="H2029" s="14">
        <f>VLOOKUP(E2029,'Rental Transaction'!A:B,2,FALSE)</f>
        <v>302774</v>
      </c>
      <c r="I2029">
        <f t="shared" si="31"/>
        <v>2013</v>
      </c>
    </row>
    <row r="2030" spans="1:9">
      <c r="A2030" s="1">
        <v>10089</v>
      </c>
      <c r="B2030" s="1">
        <v>10</v>
      </c>
      <c r="C2030" s="2">
        <v>41466</v>
      </c>
      <c r="D2030" s="1" t="s">
        <v>2005</v>
      </c>
      <c r="E2030" s="1">
        <v>101156</v>
      </c>
      <c r="F2030" s="6" t="s">
        <v>4032</v>
      </c>
      <c r="G2030" s="15" t="str">
        <f>VLOOKUP(A2030,Movie!A:D,4,FALSE)</f>
        <v>Sony</v>
      </c>
      <c r="H2030" s="14">
        <f>VLOOKUP(E2030,'Rental Transaction'!A:B,2,FALSE)</f>
        <v>302774</v>
      </c>
      <c r="I2030">
        <f t="shared" si="31"/>
        <v>2013</v>
      </c>
    </row>
    <row r="2031" spans="1:9">
      <c r="A2031" s="1">
        <v>10006</v>
      </c>
      <c r="B2031" s="1">
        <v>6</v>
      </c>
      <c r="C2031" s="2">
        <v>41466</v>
      </c>
      <c r="D2031" s="1" t="s">
        <v>2002</v>
      </c>
      <c r="E2031" s="1">
        <v>101157</v>
      </c>
      <c r="F2031" s="6" t="s">
        <v>4033</v>
      </c>
      <c r="G2031" s="15" t="str">
        <f>VLOOKUP(A2031,Movie!A:D,4,FALSE)</f>
        <v>Paramount</v>
      </c>
      <c r="H2031" s="14">
        <f>VLOOKUP(E2031,'Rental Transaction'!A:B,2,FALSE)</f>
        <v>611078</v>
      </c>
      <c r="I2031">
        <f t="shared" si="31"/>
        <v>2013</v>
      </c>
    </row>
    <row r="2032" spans="1:9">
      <c r="A2032" s="1">
        <v>10252</v>
      </c>
      <c r="B2032" s="1">
        <v>10</v>
      </c>
      <c r="C2032" s="2">
        <v>41466</v>
      </c>
      <c r="D2032" s="1" t="s">
        <v>2002</v>
      </c>
      <c r="E2032" s="1">
        <v>101157</v>
      </c>
      <c r="F2032" s="6" t="s">
        <v>4034</v>
      </c>
      <c r="G2032" s="15" t="str">
        <f>VLOOKUP(A2032,Movie!A:D,4,FALSE)</f>
        <v>Warner Brothers</v>
      </c>
      <c r="H2032" s="14">
        <f>VLOOKUP(E2032,'Rental Transaction'!A:B,2,FALSE)</f>
        <v>611078</v>
      </c>
      <c r="I2032">
        <f t="shared" si="31"/>
        <v>2013</v>
      </c>
    </row>
    <row r="2033" spans="1:9" ht="29.25">
      <c r="A2033" s="1">
        <v>10264</v>
      </c>
      <c r="B2033" s="1">
        <v>5</v>
      </c>
      <c r="C2033" s="2">
        <v>41466</v>
      </c>
      <c r="D2033" s="1" t="s">
        <v>2005</v>
      </c>
      <c r="E2033" s="1">
        <v>101157</v>
      </c>
      <c r="F2033" s="6" t="s">
        <v>4035</v>
      </c>
      <c r="G2033" s="15" t="str">
        <f>VLOOKUP(A2033,Movie!A:D,4,FALSE)</f>
        <v>Weinstein Company</v>
      </c>
      <c r="H2033" s="14">
        <f>VLOOKUP(E2033,'Rental Transaction'!A:B,2,FALSE)</f>
        <v>611078</v>
      </c>
      <c r="I2033">
        <f t="shared" si="31"/>
        <v>2013</v>
      </c>
    </row>
    <row r="2034" spans="1:9">
      <c r="A2034" s="1">
        <v>10235</v>
      </c>
      <c r="B2034" s="1">
        <v>9</v>
      </c>
      <c r="C2034" s="2">
        <v>41466</v>
      </c>
      <c r="D2034" s="1" t="s">
        <v>2002</v>
      </c>
      <c r="E2034" s="1">
        <v>101157</v>
      </c>
      <c r="F2034" s="6" t="s">
        <v>4036</v>
      </c>
      <c r="G2034" s="15" t="str">
        <f>VLOOKUP(A2034,Movie!A:D,4,FALSE)</f>
        <v>Lionsgate</v>
      </c>
      <c r="H2034" s="14">
        <f>VLOOKUP(E2034,'Rental Transaction'!A:B,2,FALSE)</f>
        <v>611078</v>
      </c>
      <c r="I2034">
        <f t="shared" si="31"/>
        <v>2013</v>
      </c>
    </row>
    <row r="2035" spans="1:9">
      <c r="A2035" s="1">
        <v>10102</v>
      </c>
      <c r="B2035" s="1">
        <v>6</v>
      </c>
      <c r="C2035" s="2">
        <v>41467</v>
      </c>
      <c r="D2035" s="1" t="s">
        <v>2002</v>
      </c>
      <c r="E2035" s="1">
        <v>101158</v>
      </c>
      <c r="F2035" s="6" t="s">
        <v>4037</v>
      </c>
      <c r="G2035" s="15" t="str">
        <f>VLOOKUP(A2035,Movie!A:D,4,FALSE)</f>
        <v>Universal</v>
      </c>
      <c r="H2035" s="14">
        <f>VLOOKUP(E2035,'Rental Transaction'!A:B,2,FALSE)</f>
        <v>567388</v>
      </c>
      <c r="I2035">
        <f t="shared" si="31"/>
        <v>2013</v>
      </c>
    </row>
    <row r="2036" spans="1:9">
      <c r="A2036" s="1">
        <v>10087</v>
      </c>
      <c r="B2036" s="1">
        <v>1</v>
      </c>
      <c r="C2036" s="2">
        <v>41467</v>
      </c>
      <c r="D2036" s="1" t="s">
        <v>2005</v>
      </c>
      <c r="E2036" s="1">
        <v>101158</v>
      </c>
      <c r="F2036" s="6" t="s">
        <v>4038</v>
      </c>
      <c r="G2036" s="15" t="str">
        <f>VLOOKUP(A2036,Movie!A:D,4,FALSE)</f>
        <v>Lionsgate</v>
      </c>
      <c r="H2036" s="14">
        <f>VLOOKUP(E2036,'Rental Transaction'!A:B,2,FALSE)</f>
        <v>567388</v>
      </c>
      <c r="I2036">
        <f t="shared" si="31"/>
        <v>2013</v>
      </c>
    </row>
    <row r="2037" spans="1:9">
      <c r="A2037" s="1">
        <v>10026</v>
      </c>
      <c r="B2037" s="1">
        <v>10</v>
      </c>
      <c r="C2037" s="2">
        <v>41467</v>
      </c>
      <c r="D2037" s="1" t="s">
        <v>2002</v>
      </c>
      <c r="E2037" s="1">
        <v>101159</v>
      </c>
      <c r="F2037" s="6" t="s">
        <v>4039</v>
      </c>
      <c r="G2037" s="15" t="str">
        <f>VLOOKUP(A2037,Movie!A:D,4,FALSE)</f>
        <v>Fox</v>
      </c>
      <c r="H2037" s="14">
        <f>VLOOKUP(E2037,'Rental Transaction'!A:B,2,FALSE)</f>
        <v>611848</v>
      </c>
      <c r="I2037">
        <f t="shared" si="31"/>
        <v>2013</v>
      </c>
    </row>
    <row r="2038" spans="1:9">
      <c r="A2038" s="1">
        <v>10275</v>
      </c>
      <c r="B2038" s="1">
        <v>1</v>
      </c>
      <c r="C2038" s="2">
        <v>41468</v>
      </c>
      <c r="D2038" s="1" t="s">
        <v>2002</v>
      </c>
      <c r="E2038" s="1">
        <v>101159</v>
      </c>
      <c r="F2038" s="6" t="s">
        <v>4040</v>
      </c>
      <c r="G2038" s="15" t="str">
        <f>VLOOKUP(A2038,Movie!A:D,4,FALSE)</f>
        <v>Lionsgate</v>
      </c>
      <c r="H2038" s="14">
        <f>VLOOKUP(E2038,'Rental Transaction'!A:B,2,FALSE)</f>
        <v>611848</v>
      </c>
      <c r="I2038">
        <f t="shared" si="31"/>
        <v>2013</v>
      </c>
    </row>
    <row r="2039" spans="1:9">
      <c r="A2039" s="1">
        <v>10077</v>
      </c>
      <c r="B2039" s="1">
        <v>5</v>
      </c>
      <c r="C2039" s="2">
        <v>41468</v>
      </c>
      <c r="D2039" s="1" t="s">
        <v>2002</v>
      </c>
      <c r="E2039" s="1">
        <v>101160</v>
      </c>
      <c r="F2039" s="6" t="s">
        <v>4041</v>
      </c>
      <c r="G2039" s="15" t="str">
        <f>VLOOKUP(A2039,Movie!A:D,4,FALSE)</f>
        <v>Warner Brothers</v>
      </c>
      <c r="H2039" s="14">
        <f>VLOOKUP(E2039,'Rental Transaction'!A:B,2,FALSE)</f>
        <v>403000</v>
      </c>
      <c r="I2039">
        <f t="shared" si="31"/>
        <v>2013</v>
      </c>
    </row>
    <row r="2040" spans="1:9">
      <c r="A2040" s="1">
        <v>10094</v>
      </c>
      <c r="B2040" s="1">
        <v>8</v>
      </c>
      <c r="C2040" s="2">
        <v>41467</v>
      </c>
      <c r="D2040" s="1" t="s">
        <v>2002</v>
      </c>
      <c r="E2040" s="1">
        <v>101161</v>
      </c>
      <c r="F2040" s="6" t="s">
        <v>4042</v>
      </c>
      <c r="G2040" s="15" t="str">
        <f>VLOOKUP(A2040,Movie!A:D,4,FALSE)</f>
        <v>Relativity</v>
      </c>
      <c r="H2040" s="14">
        <f>VLOOKUP(E2040,'Rental Transaction'!A:B,2,FALSE)</f>
        <v>627324</v>
      </c>
      <c r="I2040">
        <f t="shared" si="31"/>
        <v>2013</v>
      </c>
    </row>
    <row r="2041" spans="1:9">
      <c r="A2041" s="1">
        <v>10082</v>
      </c>
      <c r="B2041" s="1">
        <v>2</v>
      </c>
      <c r="C2041" s="2">
        <v>41467</v>
      </c>
      <c r="D2041" s="1" t="s">
        <v>2005</v>
      </c>
      <c r="E2041" s="1">
        <v>101162</v>
      </c>
      <c r="F2041" s="6" t="s">
        <v>4043</v>
      </c>
      <c r="G2041" s="15" t="str">
        <f>VLOOKUP(A2041,Movie!A:D,4,FALSE)</f>
        <v>Buena Vista</v>
      </c>
      <c r="H2041" s="14">
        <f>VLOOKUP(E2041,'Rental Transaction'!A:B,2,FALSE)</f>
        <v>891738</v>
      </c>
      <c r="I2041">
        <f t="shared" si="31"/>
        <v>2013</v>
      </c>
    </row>
    <row r="2042" spans="1:9">
      <c r="A2042" s="1">
        <v>10019</v>
      </c>
      <c r="B2042" s="1">
        <v>9</v>
      </c>
      <c r="C2042" s="2">
        <v>41468</v>
      </c>
      <c r="D2042" s="1" t="s">
        <v>2002</v>
      </c>
      <c r="E2042" s="1">
        <v>101162</v>
      </c>
      <c r="F2042" s="6" t="s">
        <v>4044</v>
      </c>
      <c r="G2042" s="15" t="str">
        <f>VLOOKUP(A2042,Movie!A:D,4,FALSE)</f>
        <v>Fox</v>
      </c>
      <c r="H2042" s="14">
        <f>VLOOKUP(E2042,'Rental Transaction'!A:B,2,FALSE)</f>
        <v>891738</v>
      </c>
      <c r="I2042">
        <f t="shared" si="31"/>
        <v>2013</v>
      </c>
    </row>
    <row r="2043" spans="1:9" ht="29.25">
      <c r="A2043" s="1">
        <v>10249</v>
      </c>
      <c r="B2043" s="1">
        <v>4</v>
      </c>
      <c r="C2043" s="2">
        <v>41467</v>
      </c>
      <c r="D2043" s="1" t="s">
        <v>2002</v>
      </c>
      <c r="E2043" s="1">
        <v>101163</v>
      </c>
      <c r="F2043" s="6" t="s">
        <v>4045</v>
      </c>
      <c r="G2043" s="15" t="str">
        <f>VLOOKUP(A2043,Movie!A:D,4,FALSE)</f>
        <v>Summit Entertainment</v>
      </c>
      <c r="H2043" s="14">
        <f>VLOOKUP(E2043,'Rental Transaction'!A:B,2,FALSE)</f>
        <v>798336</v>
      </c>
      <c r="I2043">
        <f t="shared" si="31"/>
        <v>2013</v>
      </c>
    </row>
    <row r="2044" spans="1:9">
      <c r="A2044" s="1">
        <v>10244</v>
      </c>
      <c r="B2044" s="1">
        <v>1</v>
      </c>
      <c r="C2044" s="2">
        <v>41467</v>
      </c>
      <c r="D2044" s="1" t="s">
        <v>2002</v>
      </c>
      <c r="E2044" s="1">
        <v>101164</v>
      </c>
      <c r="F2044" s="6" t="s">
        <v>4046</v>
      </c>
      <c r="G2044" s="15" t="str">
        <f>VLOOKUP(A2044,Movie!A:D,4,FALSE)</f>
        <v>Sony</v>
      </c>
      <c r="H2044" s="14">
        <f>VLOOKUP(E2044,'Rental Transaction'!A:B,2,FALSE)</f>
        <v>407605</v>
      </c>
      <c r="I2044">
        <f t="shared" si="31"/>
        <v>2013</v>
      </c>
    </row>
    <row r="2045" spans="1:9">
      <c r="A2045" s="1">
        <v>10211</v>
      </c>
      <c r="B2045" s="1">
        <v>4</v>
      </c>
      <c r="C2045" s="2">
        <v>41468</v>
      </c>
      <c r="D2045" s="1" t="s">
        <v>2005</v>
      </c>
      <c r="E2045" s="1">
        <v>101164</v>
      </c>
      <c r="F2045" s="6" t="s">
        <v>4047</v>
      </c>
      <c r="G2045" s="15" t="str">
        <f>VLOOKUP(A2045,Movie!A:D,4,FALSE)</f>
        <v>Buena Vista</v>
      </c>
      <c r="H2045" s="14">
        <f>VLOOKUP(E2045,'Rental Transaction'!A:B,2,FALSE)</f>
        <v>407605</v>
      </c>
      <c r="I2045">
        <f t="shared" si="31"/>
        <v>2013</v>
      </c>
    </row>
    <row r="2046" spans="1:9">
      <c r="A2046" s="1">
        <v>10275</v>
      </c>
      <c r="B2046" s="1">
        <v>5</v>
      </c>
      <c r="C2046" s="2">
        <v>41467</v>
      </c>
      <c r="D2046" s="1" t="s">
        <v>2002</v>
      </c>
      <c r="E2046" s="1">
        <v>101164</v>
      </c>
      <c r="F2046" s="6" t="s">
        <v>4048</v>
      </c>
      <c r="G2046" s="15" t="str">
        <f>VLOOKUP(A2046,Movie!A:D,4,FALSE)</f>
        <v>Lionsgate</v>
      </c>
      <c r="H2046" s="14">
        <f>VLOOKUP(E2046,'Rental Transaction'!A:B,2,FALSE)</f>
        <v>407605</v>
      </c>
      <c r="I2046">
        <f t="shared" si="31"/>
        <v>2013</v>
      </c>
    </row>
    <row r="2047" spans="1:9">
      <c r="A2047" s="1">
        <v>10229</v>
      </c>
      <c r="B2047" s="1">
        <v>9</v>
      </c>
      <c r="C2047" s="2">
        <v>41467</v>
      </c>
      <c r="D2047" s="1" t="s">
        <v>2005</v>
      </c>
      <c r="E2047" s="1">
        <v>101164</v>
      </c>
      <c r="F2047" s="6" t="s">
        <v>4049</v>
      </c>
      <c r="G2047" s="15" t="str">
        <f>VLOOKUP(A2047,Movie!A:D,4,FALSE)</f>
        <v>TriStar</v>
      </c>
      <c r="H2047" s="14">
        <f>VLOOKUP(E2047,'Rental Transaction'!A:B,2,FALSE)</f>
        <v>407605</v>
      </c>
      <c r="I2047">
        <f t="shared" si="31"/>
        <v>2013</v>
      </c>
    </row>
    <row r="2048" spans="1:9">
      <c r="A2048" s="1">
        <v>10200</v>
      </c>
      <c r="B2048" s="1">
        <v>4</v>
      </c>
      <c r="C2048" s="2">
        <v>41468</v>
      </c>
      <c r="D2048" s="1" t="s">
        <v>2005</v>
      </c>
      <c r="E2048" s="1">
        <v>101165</v>
      </c>
      <c r="F2048" s="6" t="s">
        <v>4050</v>
      </c>
      <c r="G2048" s="15" t="str">
        <f>VLOOKUP(A2048,Movie!A:D,4,FALSE)</f>
        <v>Fox</v>
      </c>
      <c r="H2048" s="14">
        <f>VLOOKUP(E2048,'Rental Transaction'!A:B,2,FALSE)</f>
        <v>396166</v>
      </c>
      <c r="I2048">
        <f t="shared" si="31"/>
        <v>2013</v>
      </c>
    </row>
    <row r="2049" spans="1:9">
      <c r="A2049" s="1">
        <v>10009</v>
      </c>
      <c r="B2049" s="1">
        <v>3</v>
      </c>
      <c r="C2049" s="2">
        <v>41468</v>
      </c>
      <c r="D2049" s="1" t="s">
        <v>2005</v>
      </c>
      <c r="E2049" s="1">
        <v>101166</v>
      </c>
      <c r="F2049" s="6" t="s">
        <v>4051</v>
      </c>
      <c r="G2049" s="15" t="str">
        <f>VLOOKUP(A2049,Movie!A:D,4,FALSE)</f>
        <v>Warner Brothers</v>
      </c>
      <c r="H2049" s="14">
        <f>VLOOKUP(E2049,'Rental Transaction'!A:B,2,FALSE)</f>
        <v>500350</v>
      </c>
      <c r="I2049">
        <f t="shared" si="31"/>
        <v>2013</v>
      </c>
    </row>
    <row r="2050" spans="1:9">
      <c r="A2050" s="1">
        <v>10045</v>
      </c>
      <c r="B2050" s="1">
        <v>8</v>
      </c>
      <c r="C2050" s="2">
        <v>41468</v>
      </c>
      <c r="D2050" s="1" t="s">
        <v>2005</v>
      </c>
      <c r="E2050" s="1">
        <v>101166</v>
      </c>
      <c r="F2050" s="6" t="s">
        <v>4052</v>
      </c>
      <c r="G2050" s="15" t="str">
        <f>VLOOKUP(A2050,Movie!A:D,4,FALSE)</f>
        <v>Warner Brothers</v>
      </c>
      <c r="H2050" s="14">
        <f>VLOOKUP(E2050,'Rental Transaction'!A:B,2,FALSE)</f>
        <v>500350</v>
      </c>
      <c r="I2050">
        <f t="shared" si="31"/>
        <v>2013</v>
      </c>
    </row>
    <row r="2051" spans="1:9">
      <c r="A2051" s="1">
        <v>10043</v>
      </c>
      <c r="B2051" s="1">
        <v>9</v>
      </c>
      <c r="C2051" s="2">
        <v>41467</v>
      </c>
      <c r="D2051" s="1" t="s">
        <v>2002</v>
      </c>
      <c r="E2051" s="1">
        <v>101167</v>
      </c>
      <c r="F2051" s="6" t="s">
        <v>4053</v>
      </c>
      <c r="G2051" s="15" t="str">
        <f>VLOOKUP(A2051,Movie!A:D,4,FALSE)</f>
        <v>Screen Gems</v>
      </c>
      <c r="H2051" s="14">
        <f>VLOOKUP(E2051,'Rental Transaction'!A:B,2,FALSE)</f>
        <v>329994</v>
      </c>
      <c r="I2051">
        <f t="shared" ref="I2051:I2114" si="32">YEAR(C2051)</f>
        <v>2013</v>
      </c>
    </row>
    <row r="2052" spans="1:9">
      <c r="A2052" s="1">
        <v>10073</v>
      </c>
      <c r="B2052" s="1">
        <v>1</v>
      </c>
      <c r="C2052" s="2">
        <v>41468</v>
      </c>
      <c r="D2052" s="1" t="s">
        <v>2002</v>
      </c>
      <c r="E2052" s="1">
        <v>101168</v>
      </c>
      <c r="F2052" s="6" t="s">
        <v>4054</v>
      </c>
      <c r="G2052" s="15" t="str">
        <f>VLOOKUP(A2052,Movie!A:D,4,FALSE)</f>
        <v>FilmDistrict</v>
      </c>
      <c r="H2052" s="14">
        <f>VLOOKUP(E2052,'Rental Transaction'!A:B,2,FALSE)</f>
        <v>837763</v>
      </c>
      <c r="I2052">
        <f t="shared" si="32"/>
        <v>2013</v>
      </c>
    </row>
    <row r="2053" spans="1:9">
      <c r="A2053" s="1">
        <v>10108</v>
      </c>
      <c r="B2053" s="1">
        <v>7</v>
      </c>
      <c r="C2053" s="2">
        <v>41468</v>
      </c>
      <c r="D2053" s="1" t="s">
        <v>2005</v>
      </c>
      <c r="E2053" s="1">
        <v>101169</v>
      </c>
      <c r="F2053" s="6" t="s">
        <v>4055</v>
      </c>
      <c r="G2053" s="15" t="str">
        <f>VLOOKUP(A2053,Movie!A:D,4,FALSE)</f>
        <v>Fox</v>
      </c>
      <c r="H2053" s="14">
        <f>VLOOKUP(E2053,'Rental Transaction'!A:B,2,FALSE)</f>
        <v>905670</v>
      </c>
      <c r="I2053">
        <f t="shared" si="32"/>
        <v>2013</v>
      </c>
    </row>
    <row r="2054" spans="1:9">
      <c r="A2054" s="1">
        <v>10175</v>
      </c>
      <c r="B2054" s="1">
        <v>1</v>
      </c>
      <c r="C2054" s="2">
        <v>41469</v>
      </c>
      <c r="D2054" s="1" t="s">
        <v>2002</v>
      </c>
      <c r="E2054" s="1">
        <v>101169</v>
      </c>
      <c r="F2054" s="6" t="s">
        <v>4056</v>
      </c>
      <c r="G2054" s="15" t="str">
        <f>VLOOKUP(A2054,Movie!A:D,4,FALSE)</f>
        <v>Buena Vista</v>
      </c>
      <c r="H2054" s="14">
        <f>VLOOKUP(E2054,'Rental Transaction'!A:B,2,FALSE)</f>
        <v>905670</v>
      </c>
      <c r="I2054">
        <f t="shared" si="32"/>
        <v>2013</v>
      </c>
    </row>
    <row r="2055" spans="1:9">
      <c r="A2055" s="1">
        <v>10261</v>
      </c>
      <c r="B2055" s="1">
        <v>6</v>
      </c>
      <c r="C2055" s="2">
        <v>41470</v>
      </c>
      <c r="D2055" s="1" t="s">
        <v>2005</v>
      </c>
      <c r="E2055" s="1">
        <v>101170</v>
      </c>
      <c r="F2055" s="6" t="s">
        <v>4057</v>
      </c>
      <c r="G2055" s="15" t="str">
        <f>VLOOKUP(A2055,Movie!A:D,4,FALSE)</f>
        <v>Fox</v>
      </c>
      <c r="H2055" s="14">
        <f>VLOOKUP(E2055,'Rental Transaction'!A:B,2,FALSE)</f>
        <v>103508</v>
      </c>
      <c r="I2055">
        <f t="shared" si="32"/>
        <v>2013</v>
      </c>
    </row>
    <row r="2056" spans="1:9">
      <c r="A2056" s="1">
        <v>10241</v>
      </c>
      <c r="B2056" s="1">
        <v>4</v>
      </c>
      <c r="C2056" s="2">
        <v>41470</v>
      </c>
      <c r="D2056" s="1" t="s">
        <v>2005</v>
      </c>
      <c r="E2056" s="1">
        <v>101171</v>
      </c>
      <c r="F2056" s="6" t="s">
        <v>4058</v>
      </c>
      <c r="G2056" s="15" t="str">
        <f>VLOOKUP(A2056,Movie!A:D,4,FALSE)</f>
        <v>Warner Brothers</v>
      </c>
      <c r="H2056" s="14">
        <f>VLOOKUP(E2056,'Rental Transaction'!A:B,2,FALSE)</f>
        <v>433442</v>
      </c>
      <c r="I2056">
        <f t="shared" si="32"/>
        <v>2013</v>
      </c>
    </row>
    <row r="2057" spans="1:9">
      <c r="A2057" s="1">
        <v>10250</v>
      </c>
      <c r="B2057" s="1">
        <v>6</v>
      </c>
      <c r="C2057" s="2">
        <v>41468</v>
      </c>
      <c r="D2057" s="1" t="s">
        <v>2005</v>
      </c>
      <c r="E2057" s="1">
        <v>101171</v>
      </c>
      <c r="F2057" s="6" t="s">
        <v>4059</v>
      </c>
      <c r="G2057" s="15" t="str">
        <f>VLOOKUP(A2057,Movie!A:D,4,FALSE)</f>
        <v>Buena Vista</v>
      </c>
      <c r="H2057" s="14">
        <f>VLOOKUP(E2057,'Rental Transaction'!A:B,2,FALSE)</f>
        <v>433442</v>
      </c>
      <c r="I2057">
        <f t="shared" si="32"/>
        <v>2013</v>
      </c>
    </row>
    <row r="2058" spans="1:9">
      <c r="A2058" s="1">
        <v>10093</v>
      </c>
      <c r="B2058" s="1">
        <v>9</v>
      </c>
      <c r="C2058" s="2">
        <v>41469</v>
      </c>
      <c r="D2058" s="1" t="s">
        <v>2005</v>
      </c>
      <c r="E2058" s="1">
        <v>101171</v>
      </c>
      <c r="F2058" s="6" t="s">
        <v>4060</v>
      </c>
      <c r="G2058" s="15" t="str">
        <f>VLOOKUP(A2058,Movie!A:D,4,FALSE)</f>
        <v>Open Road Films</v>
      </c>
      <c r="H2058" s="14">
        <f>VLOOKUP(E2058,'Rental Transaction'!A:B,2,FALSE)</f>
        <v>433442</v>
      </c>
      <c r="I2058">
        <f t="shared" si="32"/>
        <v>2013</v>
      </c>
    </row>
    <row r="2059" spans="1:9">
      <c r="A2059" s="1">
        <v>10139</v>
      </c>
      <c r="B2059" s="1">
        <v>9</v>
      </c>
      <c r="C2059" s="2">
        <v>41469</v>
      </c>
      <c r="D2059" s="1" t="s">
        <v>2002</v>
      </c>
      <c r="E2059" s="1">
        <v>101172</v>
      </c>
      <c r="F2059" s="6" t="s">
        <v>4061</v>
      </c>
      <c r="G2059" s="15" t="str">
        <f>VLOOKUP(A2059,Movie!A:D,4,FALSE)</f>
        <v>Focus</v>
      </c>
      <c r="H2059" s="14">
        <f>VLOOKUP(E2059,'Rental Transaction'!A:B,2,FALSE)</f>
        <v>182040</v>
      </c>
      <c r="I2059">
        <f t="shared" si="32"/>
        <v>2013</v>
      </c>
    </row>
    <row r="2060" spans="1:9">
      <c r="A2060" s="1">
        <v>10129</v>
      </c>
      <c r="B2060" s="1">
        <v>6</v>
      </c>
      <c r="C2060" s="2">
        <v>41468</v>
      </c>
      <c r="D2060" s="1" t="s">
        <v>2002</v>
      </c>
      <c r="E2060" s="1">
        <v>101172</v>
      </c>
      <c r="F2060" s="6" t="s">
        <v>4062</v>
      </c>
      <c r="G2060" s="15" t="str">
        <f>VLOOKUP(A2060,Movie!A:D,4,FALSE)</f>
        <v>Warner Brothers</v>
      </c>
      <c r="H2060" s="14">
        <f>VLOOKUP(E2060,'Rental Transaction'!A:B,2,FALSE)</f>
        <v>182040</v>
      </c>
      <c r="I2060">
        <f t="shared" si="32"/>
        <v>2013</v>
      </c>
    </row>
    <row r="2061" spans="1:9">
      <c r="A2061" s="1">
        <v>10228</v>
      </c>
      <c r="B2061" s="1">
        <v>10</v>
      </c>
      <c r="C2061" s="2">
        <v>41470</v>
      </c>
      <c r="D2061" s="1" t="s">
        <v>2005</v>
      </c>
      <c r="E2061" s="1">
        <v>101173</v>
      </c>
      <c r="F2061" s="6" t="s">
        <v>4063</v>
      </c>
      <c r="G2061" s="15" t="str">
        <f>VLOOKUP(A2061,Movie!A:D,4,FALSE)</f>
        <v>Universal</v>
      </c>
      <c r="H2061" s="14">
        <f>VLOOKUP(E2061,'Rental Transaction'!A:B,2,FALSE)</f>
        <v>452874</v>
      </c>
      <c r="I2061">
        <f t="shared" si="32"/>
        <v>2013</v>
      </c>
    </row>
    <row r="2062" spans="1:9">
      <c r="A2062" s="1">
        <v>10143</v>
      </c>
      <c r="B2062" s="1">
        <v>10</v>
      </c>
      <c r="C2062" s="2">
        <v>41468</v>
      </c>
      <c r="D2062" s="1" t="s">
        <v>2002</v>
      </c>
      <c r="E2062" s="1">
        <v>101173</v>
      </c>
      <c r="F2062" s="6" t="s">
        <v>4064</v>
      </c>
      <c r="G2062" s="15" t="str">
        <f>VLOOKUP(A2062,Movie!A:D,4,FALSE)</f>
        <v>Buena Vista</v>
      </c>
      <c r="H2062" s="14">
        <f>VLOOKUP(E2062,'Rental Transaction'!A:B,2,FALSE)</f>
        <v>452874</v>
      </c>
      <c r="I2062">
        <f t="shared" si="32"/>
        <v>2013</v>
      </c>
    </row>
    <row r="2063" spans="1:9">
      <c r="A2063" s="1">
        <v>10270</v>
      </c>
      <c r="B2063" s="1">
        <v>4</v>
      </c>
      <c r="C2063" s="2">
        <v>41468</v>
      </c>
      <c r="D2063" s="1" t="s">
        <v>2002</v>
      </c>
      <c r="E2063" s="1">
        <v>101174</v>
      </c>
      <c r="F2063" s="6" t="s">
        <v>4065</v>
      </c>
      <c r="G2063" s="15" t="str">
        <f>VLOOKUP(A2063,Movie!A:D,4,FALSE)</f>
        <v>Fox</v>
      </c>
      <c r="H2063" s="14">
        <f>VLOOKUP(E2063,'Rental Transaction'!A:B,2,FALSE)</f>
        <v>782947</v>
      </c>
      <c r="I2063">
        <f t="shared" si="32"/>
        <v>2013</v>
      </c>
    </row>
    <row r="2064" spans="1:9">
      <c r="A2064" s="1">
        <v>10057</v>
      </c>
      <c r="B2064" s="1">
        <v>3</v>
      </c>
      <c r="C2064" s="2">
        <v>41468</v>
      </c>
      <c r="D2064" s="1" t="s">
        <v>2005</v>
      </c>
      <c r="E2064" s="1">
        <v>101174</v>
      </c>
      <c r="F2064" s="6" t="s">
        <v>4066</v>
      </c>
      <c r="G2064" s="15" t="str">
        <f>VLOOKUP(A2064,Movie!A:D,4,FALSE)</f>
        <v>Warner Brothers</v>
      </c>
      <c r="H2064" s="14">
        <f>VLOOKUP(E2064,'Rental Transaction'!A:B,2,FALSE)</f>
        <v>782947</v>
      </c>
      <c r="I2064">
        <f t="shared" si="32"/>
        <v>2013</v>
      </c>
    </row>
    <row r="2065" spans="1:9">
      <c r="A2065" s="1">
        <v>10221</v>
      </c>
      <c r="B2065" s="1">
        <v>5</v>
      </c>
      <c r="C2065" s="2">
        <v>41468</v>
      </c>
      <c r="D2065" s="1" t="s">
        <v>2005</v>
      </c>
      <c r="E2065" s="1">
        <v>101174</v>
      </c>
      <c r="F2065" s="6" t="s">
        <v>4067</v>
      </c>
      <c r="G2065" s="15" t="str">
        <f>VLOOKUP(A2065,Movie!A:D,4,FALSE)</f>
        <v>Fox</v>
      </c>
      <c r="H2065" s="14">
        <f>VLOOKUP(E2065,'Rental Transaction'!A:B,2,FALSE)</f>
        <v>782947</v>
      </c>
      <c r="I2065">
        <f t="shared" si="32"/>
        <v>2013</v>
      </c>
    </row>
    <row r="2066" spans="1:9">
      <c r="A2066" s="1">
        <v>10080</v>
      </c>
      <c r="B2066" s="1">
        <v>4</v>
      </c>
      <c r="C2066" s="2">
        <v>41468</v>
      </c>
      <c r="D2066" s="1" t="s">
        <v>2005</v>
      </c>
      <c r="E2066" s="1">
        <v>101175</v>
      </c>
      <c r="F2066" s="6" t="s">
        <v>4068</v>
      </c>
      <c r="G2066" s="15" t="str">
        <f>VLOOKUP(A2066,Movie!A:D,4,FALSE)</f>
        <v>Buena Vista</v>
      </c>
      <c r="H2066" s="14">
        <f>VLOOKUP(E2066,'Rental Transaction'!A:B,2,FALSE)</f>
        <v>590616</v>
      </c>
      <c r="I2066">
        <f t="shared" si="32"/>
        <v>2013</v>
      </c>
    </row>
    <row r="2067" spans="1:9">
      <c r="A2067" s="1">
        <v>10142</v>
      </c>
      <c r="B2067" s="1">
        <v>2</v>
      </c>
      <c r="C2067" s="2">
        <v>41468</v>
      </c>
      <c r="D2067" s="1" t="s">
        <v>2005</v>
      </c>
      <c r="E2067" s="1">
        <v>101176</v>
      </c>
      <c r="F2067" s="6" t="s">
        <v>4069</v>
      </c>
      <c r="G2067" s="15" t="str">
        <f>VLOOKUP(A2067,Movie!A:D,4,FALSE)</f>
        <v>Warner Brothers</v>
      </c>
      <c r="H2067" s="14">
        <f>VLOOKUP(E2067,'Rental Transaction'!A:B,2,FALSE)</f>
        <v>412544</v>
      </c>
      <c r="I2067">
        <f t="shared" si="32"/>
        <v>2013</v>
      </c>
    </row>
    <row r="2068" spans="1:9">
      <c r="A2068" s="1">
        <v>10199</v>
      </c>
      <c r="B2068" s="1">
        <v>2</v>
      </c>
      <c r="C2068" s="2">
        <v>41468</v>
      </c>
      <c r="D2068" s="1" t="s">
        <v>2002</v>
      </c>
      <c r="E2068" s="1">
        <v>101176</v>
      </c>
      <c r="F2068" s="6" t="s">
        <v>4070</v>
      </c>
      <c r="G2068" s="15" t="str">
        <f>VLOOKUP(A2068,Movie!A:D,4,FALSE)</f>
        <v>Lionsgate</v>
      </c>
      <c r="H2068" s="14">
        <f>VLOOKUP(E2068,'Rental Transaction'!A:B,2,FALSE)</f>
        <v>412544</v>
      </c>
      <c r="I2068">
        <f t="shared" si="32"/>
        <v>2013</v>
      </c>
    </row>
    <row r="2069" spans="1:9">
      <c r="A2069" s="1">
        <v>10269</v>
      </c>
      <c r="B2069" s="1">
        <v>8</v>
      </c>
      <c r="C2069" s="2">
        <v>41468</v>
      </c>
      <c r="D2069" s="1" t="s">
        <v>2002</v>
      </c>
      <c r="E2069" s="1">
        <v>101177</v>
      </c>
      <c r="F2069" s="6" t="s">
        <v>4071</v>
      </c>
      <c r="G2069" s="15" t="str">
        <f>VLOOKUP(A2069,Movie!A:D,4,FALSE)</f>
        <v>Buena Vista</v>
      </c>
      <c r="H2069" s="14">
        <f>VLOOKUP(E2069,'Rental Transaction'!A:B,2,FALSE)</f>
        <v>616258</v>
      </c>
      <c r="I2069">
        <f t="shared" si="32"/>
        <v>2013</v>
      </c>
    </row>
    <row r="2070" spans="1:9">
      <c r="A2070" s="1">
        <v>10045</v>
      </c>
      <c r="B2070" s="1">
        <v>4</v>
      </c>
      <c r="C2070" s="2">
        <v>41468</v>
      </c>
      <c r="D2070" s="1" t="s">
        <v>2002</v>
      </c>
      <c r="E2070" s="1">
        <v>101177</v>
      </c>
      <c r="F2070" s="6" t="s">
        <v>4072</v>
      </c>
      <c r="G2070" s="15" t="str">
        <f>VLOOKUP(A2070,Movie!A:D,4,FALSE)</f>
        <v>Warner Brothers</v>
      </c>
      <c r="H2070" s="14">
        <f>VLOOKUP(E2070,'Rental Transaction'!A:B,2,FALSE)</f>
        <v>616258</v>
      </c>
      <c r="I2070">
        <f t="shared" si="32"/>
        <v>2013</v>
      </c>
    </row>
    <row r="2071" spans="1:9">
      <c r="A2071" s="1">
        <v>10054</v>
      </c>
      <c r="B2071" s="1">
        <v>3</v>
      </c>
      <c r="C2071" s="2">
        <v>41468</v>
      </c>
      <c r="D2071" s="1" t="s">
        <v>2005</v>
      </c>
      <c r="E2071" s="1">
        <v>101177</v>
      </c>
      <c r="F2071" s="6" t="s">
        <v>4073</v>
      </c>
      <c r="G2071" s="15" t="str">
        <f>VLOOKUP(A2071,Movie!A:D,4,FALSE)</f>
        <v>Paramount</v>
      </c>
      <c r="H2071" s="14">
        <f>VLOOKUP(E2071,'Rental Transaction'!A:B,2,FALSE)</f>
        <v>616258</v>
      </c>
      <c r="I2071">
        <f t="shared" si="32"/>
        <v>2013</v>
      </c>
    </row>
    <row r="2072" spans="1:9">
      <c r="A2072" s="1">
        <v>10176</v>
      </c>
      <c r="B2072" s="1">
        <v>7</v>
      </c>
      <c r="C2072" s="2">
        <v>41468</v>
      </c>
      <c r="D2072" s="1" t="s">
        <v>2005</v>
      </c>
      <c r="E2072" s="1">
        <v>101178</v>
      </c>
      <c r="F2072" s="6" t="s">
        <v>4074</v>
      </c>
      <c r="G2072" s="15" t="str">
        <f>VLOOKUP(A2072,Movie!A:D,4,FALSE)</f>
        <v>Universal</v>
      </c>
      <c r="H2072" s="14">
        <f>VLOOKUP(E2072,'Rental Transaction'!A:B,2,FALSE)</f>
        <v>701816</v>
      </c>
      <c r="I2072">
        <f t="shared" si="32"/>
        <v>2013</v>
      </c>
    </row>
    <row r="2073" spans="1:9">
      <c r="A2073" s="1">
        <v>10218</v>
      </c>
      <c r="B2073" s="1">
        <v>1</v>
      </c>
      <c r="C2073" s="2">
        <v>41468</v>
      </c>
      <c r="D2073" s="1" t="s">
        <v>2002</v>
      </c>
      <c r="E2073" s="1">
        <v>101178</v>
      </c>
      <c r="F2073" s="6" t="s">
        <v>4075</v>
      </c>
      <c r="G2073" s="15" t="str">
        <f>VLOOKUP(A2073,Movie!A:D,4,FALSE)</f>
        <v>Sony</v>
      </c>
      <c r="H2073" s="14">
        <f>VLOOKUP(E2073,'Rental Transaction'!A:B,2,FALSE)</f>
        <v>701816</v>
      </c>
      <c r="I2073">
        <f t="shared" si="32"/>
        <v>2013</v>
      </c>
    </row>
    <row r="2074" spans="1:9">
      <c r="A2074" s="1">
        <v>10177</v>
      </c>
      <c r="B2074" s="1">
        <v>10</v>
      </c>
      <c r="C2074" s="2">
        <v>41468</v>
      </c>
      <c r="D2074" s="1" t="s">
        <v>2005</v>
      </c>
      <c r="E2074" s="1">
        <v>101179</v>
      </c>
      <c r="F2074" s="6" t="s">
        <v>4076</v>
      </c>
      <c r="G2074" s="15" t="str">
        <f>VLOOKUP(A2074,Movie!A:D,4,FALSE)</f>
        <v>Fox</v>
      </c>
      <c r="H2074" s="14">
        <f>VLOOKUP(E2074,'Rental Transaction'!A:B,2,FALSE)</f>
        <v>701816</v>
      </c>
      <c r="I2074">
        <f t="shared" si="32"/>
        <v>2013</v>
      </c>
    </row>
    <row r="2075" spans="1:9">
      <c r="A2075" s="1">
        <v>10284</v>
      </c>
      <c r="B2075" s="1">
        <v>7</v>
      </c>
      <c r="C2075" s="2">
        <v>41468</v>
      </c>
      <c r="D2075" s="1" t="s">
        <v>2005</v>
      </c>
      <c r="E2075" s="1">
        <v>101179</v>
      </c>
      <c r="F2075" s="6" t="s">
        <v>4077</v>
      </c>
      <c r="G2075" s="15" t="str">
        <f>VLOOKUP(A2075,Movie!A:D,4,FALSE)</f>
        <v>Focus</v>
      </c>
      <c r="H2075" s="14">
        <f>VLOOKUP(E2075,'Rental Transaction'!A:B,2,FALSE)</f>
        <v>701816</v>
      </c>
      <c r="I2075">
        <f t="shared" si="32"/>
        <v>2013</v>
      </c>
    </row>
    <row r="2076" spans="1:9">
      <c r="A2076" s="1">
        <v>10159</v>
      </c>
      <c r="B2076" s="1">
        <v>1</v>
      </c>
      <c r="C2076" s="2">
        <v>41468</v>
      </c>
      <c r="D2076" s="1" t="s">
        <v>2002</v>
      </c>
      <c r="E2076" s="1">
        <v>101179</v>
      </c>
      <c r="F2076" s="6" t="s">
        <v>4078</v>
      </c>
      <c r="G2076" s="15" t="str">
        <f>VLOOKUP(A2076,Movie!A:D,4,FALSE)</f>
        <v>Lionsgate</v>
      </c>
      <c r="H2076" s="14">
        <f>VLOOKUP(E2076,'Rental Transaction'!A:B,2,FALSE)</f>
        <v>701816</v>
      </c>
      <c r="I2076">
        <f t="shared" si="32"/>
        <v>2013</v>
      </c>
    </row>
    <row r="2077" spans="1:9">
      <c r="A2077" s="1">
        <v>10024</v>
      </c>
      <c r="B2077" s="1">
        <v>3</v>
      </c>
      <c r="C2077" s="2">
        <v>41468</v>
      </c>
      <c r="D2077" s="1" t="s">
        <v>2005</v>
      </c>
      <c r="E2077" s="1">
        <v>101180</v>
      </c>
      <c r="F2077" s="6" t="s">
        <v>4079</v>
      </c>
      <c r="G2077" s="15" t="str">
        <f>VLOOKUP(A2077,Movie!A:D,4,FALSE)</f>
        <v>Fox</v>
      </c>
      <c r="H2077" s="14">
        <f>VLOOKUP(E2077,'Rental Transaction'!A:B,2,FALSE)</f>
        <v>412544</v>
      </c>
      <c r="I2077">
        <f t="shared" si="32"/>
        <v>2013</v>
      </c>
    </row>
    <row r="2078" spans="1:9" ht="29.25">
      <c r="A2078" s="1">
        <v>10290</v>
      </c>
      <c r="B2078" s="1">
        <v>4</v>
      </c>
      <c r="C2078" s="2">
        <v>41468</v>
      </c>
      <c r="D2078" s="1" t="s">
        <v>2005</v>
      </c>
      <c r="E2078" s="1">
        <v>101181</v>
      </c>
      <c r="F2078" s="6" t="s">
        <v>4080</v>
      </c>
      <c r="G2078" s="15" t="str">
        <f>VLOOKUP(A2078,Movie!A:D,4,FALSE)</f>
        <v>Weinstein Company</v>
      </c>
      <c r="H2078" s="14">
        <f>VLOOKUP(E2078,'Rental Transaction'!A:B,2,FALSE)</f>
        <v>756769</v>
      </c>
      <c r="I2078">
        <f t="shared" si="32"/>
        <v>2013</v>
      </c>
    </row>
    <row r="2079" spans="1:9">
      <c r="A2079" s="1">
        <v>10194</v>
      </c>
      <c r="B2079" s="1">
        <v>9</v>
      </c>
      <c r="C2079" s="2">
        <v>41469</v>
      </c>
      <c r="D2079" s="1" t="s">
        <v>2002</v>
      </c>
      <c r="E2079" s="1">
        <v>101182</v>
      </c>
      <c r="F2079" s="6" t="s">
        <v>4081</v>
      </c>
      <c r="G2079" s="15" t="str">
        <f>VLOOKUP(A2079,Movie!A:D,4,FALSE)</f>
        <v>FilmDistrict</v>
      </c>
      <c r="H2079" s="14">
        <f>VLOOKUP(E2079,'Rental Transaction'!A:B,2,FALSE)</f>
        <v>619910</v>
      </c>
      <c r="I2079">
        <f t="shared" si="32"/>
        <v>2013</v>
      </c>
    </row>
    <row r="2080" spans="1:9">
      <c r="A2080" s="1">
        <v>10150</v>
      </c>
      <c r="B2080" s="1">
        <v>1</v>
      </c>
      <c r="C2080" s="2">
        <v>41469</v>
      </c>
      <c r="D2080" s="1" t="s">
        <v>2005</v>
      </c>
      <c r="E2080" s="1">
        <v>101182</v>
      </c>
      <c r="F2080" s="6" t="s">
        <v>4082</v>
      </c>
      <c r="G2080" s="15" t="str">
        <f>VLOOKUP(A2080,Movie!A:D,4,FALSE)</f>
        <v>Focus</v>
      </c>
      <c r="H2080" s="14">
        <f>VLOOKUP(E2080,'Rental Transaction'!A:B,2,FALSE)</f>
        <v>619910</v>
      </c>
      <c r="I2080">
        <f t="shared" si="32"/>
        <v>2013</v>
      </c>
    </row>
    <row r="2081" spans="1:9">
      <c r="A2081" s="1">
        <v>10234</v>
      </c>
      <c r="B2081" s="1">
        <v>6</v>
      </c>
      <c r="C2081" s="2">
        <v>41470</v>
      </c>
      <c r="D2081" s="1" t="s">
        <v>2002</v>
      </c>
      <c r="E2081" s="1">
        <v>101183</v>
      </c>
      <c r="F2081" s="6" t="s">
        <v>4083</v>
      </c>
      <c r="G2081" s="15" t="str">
        <f>VLOOKUP(A2081,Movie!A:D,4,FALSE)</f>
        <v>Warner Brothers</v>
      </c>
      <c r="H2081" s="14">
        <f>VLOOKUP(E2081,'Rental Transaction'!A:B,2,FALSE)</f>
        <v>958321</v>
      </c>
      <c r="I2081">
        <f t="shared" si="32"/>
        <v>2013</v>
      </c>
    </row>
    <row r="2082" spans="1:9">
      <c r="A2082" s="1">
        <v>10027</v>
      </c>
      <c r="B2082" s="1">
        <v>9</v>
      </c>
      <c r="C2082" s="2">
        <v>41469</v>
      </c>
      <c r="D2082" s="1" t="s">
        <v>2002</v>
      </c>
      <c r="E2082" s="1">
        <v>101183</v>
      </c>
      <c r="F2082" s="6" t="s">
        <v>4084</v>
      </c>
      <c r="G2082" s="15" t="str">
        <f>VLOOKUP(A2082,Movie!A:D,4,FALSE)</f>
        <v>FilmDistrict</v>
      </c>
      <c r="H2082" s="14">
        <f>VLOOKUP(E2082,'Rental Transaction'!A:B,2,FALSE)</f>
        <v>958321</v>
      </c>
      <c r="I2082">
        <f t="shared" si="32"/>
        <v>2013</v>
      </c>
    </row>
    <row r="2083" spans="1:9">
      <c r="A2083" s="1">
        <v>10199</v>
      </c>
      <c r="B2083" s="1">
        <v>5</v>
      </c>
      <c r="C2083" s="2">
        <v>41469</v>
      </c>
      <c r="D2083" s="1" t="s">
        <v>2005</v>
      </c>
      <c r="E2083" s="1">
        <v>101184</v>
      </c>
      <c r="F2083" s="6" t="s">
        <v>4085</v>
      </c>
      <c r="G2083" s="15" t="str">
        <f>VLOOKUP(A2083,Movie!A:D,4,FALSE)</f>
        <v>Lionsgate</v>
      </c>
      <c r="H2083" s="14">
        <f>VLOOKUP(E2083,'Rental Transaction'!A:B,2,FALSE)</f>
        <v>808177</v>
      </c>
      <c r="I2083">
        <f t="shared" si="32"/>
        <v>2013</v>
      </c>
    </row>
    <row r="2084" spans="1:9">
      <c r="A2084" s="1">
        <v>10218</v>
      </c>
      <c r="B2084" s="1">
        <v>5</v>
      </c>
      <c r="C2084" s="2">
        <v>41469</v>
      </c>
      <c r="D2084" s="1" t="s">
        <v>2005</v>
      </c>
      <c r="E2084" s="1">
        <v>101185</v>
      </c>
      <c r="F2084" s="6" t="s">
        <v>4086</v>
      </c>
      <c r="G2084" s="15" t="str">
        <f>VLOOKUP(A2084,Movie!A:D,4,FALSE)</f>
        <v>Sony</v>
      </c>
      <c r="H2084" s="14">
        <f>VLOOKUP(E2084,'Rental Transaction'!A:B,2,FALSE)</f>
        <v>561305</v>
      </c>
      <c r="I2084">
        <f t="shared" si="32"/>
        <v>2013</v>
      </c>
    </row>
    <row r="2085" spans="1:9">
      <c r="A2085" s="1">
        <v>10271</v>
      </c>
      <c r="B2085" s="1">
        <v>8</v>
      </c>
      <c r="C2085" s="2">
        <v>41469</v>
      </c>
      <c r="D2085" s="1" t="s">
        <v>2002</v>
      </c>
      <c r="E2085" s="1">
        <v>101185</v>
      </c>
      <c r="F2085" s="6" t="s">
        <v>4087</v>
      </c>
      <c r="G2085" s="15" t="str">
        <f>VLOOKUP(A2085,Movie!A:D,4,FALSE)</f>
        <v>Universal</v>
      </c>
      <c r="H2085" s="14">
        <f>VLOOKUP(E2085,'Rental Transaction'!A:B,2,FALSE)</f>
        <v>561305</v>
      </c>
      <c r="I2085">
        <f t="shared" si="32"/>
        <v>2013</v>
      </c>
    </row>
    <row r="2086" spans="1:9">
      <c r="A2086" s="1">
        <v>10129</v>
      </c>
      <c r="B2086" s="1">
        <v>7</v>
      </c>
      <c r="C2086" s="2">
        <v>41469</v>
      </c>
      <c r="D2086" s="1" t="s">
        <v>2002</v>
      </c>
      <c r="E2086" s="1">
        <v>101185</v>
      </c>
      <c r="F2086" s="6" t="s">
        <v>4088</v>
      </c>
      <c r="G2086" s="15" t="str">
        <f>VLOOKUP(A2086,Movie!A:D,4,FALSE)</f>
        <v>Warner Brothers</v>
      </c>
      <c r="H2086" s="14">
        <f>VLOOKUP(E2086,'Rental Transaction'!A:B,2,FALSE)</f>
        <v>561305</v>
      </c>
      <c r="I2086">
        <f t="shared" si="32"/>
        <v>2013</v>
      </c>
    </row>
    <row r="2087" spans="1:9">
      <c r="A2087" s="1">
        <v>10273</v>
      </c>
      <c r="B2087" s="1">
        <v>2</v>
      </c>
      <c r="C2087" s="2">
        <v>41470</v>
      </c>
      <c r="D2087" s="1" t="s">
        <v>2005</v>
      </c>
      <c r="E2087" s="1">
        <v>101186</v>
      </c>
      <c r="F2087" s="6" t="s">
        <v>4089</v>
      </c>
      <c r="G2087" s="15" t="str">
        <f>VLOOKUP(A2087,Movie!A:D,4,FALSE)</f>
        <v>Sony</v>
      </c>
      <c r="H2087" s="14">
        <f>VLOOKUP(E2087,'Rental Transaction'!A:B,2,FALSE)</f>
        <v>745543</v>
      </c>
      <c r="I2087">
        <f t="shared" si="32"/>
        <v>2013</v>
      </c>
    </row>
    <row r="2088" spans="1:9">
      <c r="A2088" s="1">
        <v>10256</v>
      </c>
      <c r="B2088" s="1">
        <v>2</v>
      </c>
      <c r="C2088" s="2">
        <v>41469</v>
      </c>
      <c r="D2088" s="1" t="s">
        <v>2002</v>
      </c>
      <c r="E2088" s="1">
        <v>101186</v>
      </c>
      <c r="F2088" s="6" t="s">
        <v>4090</v>
      </c>
      <c r="G2088" s="15" t="str">
        <f>VLOOKUP(A2088,Movie!A:D,4,FALSE)</f>
        <v>Fox</v>
      </c>
      <c r="H2088" s="14">
        <f>VLOOKUP(E2088,'Rental Transaction'!A:B,2,FALSE)</f>
        <v>745543</v>
      </c>
      <c r="I2088">
        <f t="shared" si="32"/>
        <v>2013</v>
      </c>
    </row>
    <row r="2089" spans="1:9">
      <c r="A2089" s="1">
        <v>10023</v>
      </c>
      <c r="B2089" s="1">
        <v>2</v>
      </c>
      <c r="C2089" s="2">
        <v>41469</v>
      </c>
      <c r="D2089" s="1" t="s">
        <v>2002</v>
      </c>
      <c r="E2089" s="1">
        <v>101187</v>
      </c>
      <c r="F2089" s="6" t="s">
        <v>4091</v>
      </c>
      <c r="G2089" s="15" t="str">
        <f>VLOOKUP(A2089,Movie!A:D,4,FALSE)</f>
        <v>Buena Vista</v>
      </c>
      <c r="H2089" s="14">
        <f>VLOOKUP(E2089,'Rental Transaction'!A:B,2,FALSE)</f>
        <v>183797</v>
      </c>
      <c r="I2089">
        <f t="shared" si="32"/>
        <v>2013</v>
      </c>
    </row>
    <row r="2090" spans="1:9">
      <c r="A2090" s="1">
        <v>10065</v>
      </c>
      <c r="B2090" s="1">
        <v>1</v>
      </c>
      <c r="C2090" s="2">
        <v>41470</v>
      </c>
      <c r="D2090" s="1" t="s">
        <v>2002</v>
      </c>
      <c r="E2090" s="1">
        <v>101188</v>
      </c>
      <c r="F2090" s="6" t="s">
        <v>4092</v>
      </c>
      <c r="G2090" s="15" t="str">
        <f>VLOOKUP(A2090,Movie!A:D,4,FALSE)</f>
        <v>Warner Brothers</v>
      </c>
      <c r="H2090" s="14">
        <f>VLOOKUP(E2090,'Rental Transaction'!A:B,2,FALSE)</f>
        <v>471187</v>
      </c>
      <c r="I2090">
        <f t="shared" si="32"/>
        <v>2013</v>
      </c>
    </row>
    <row r="2091" spans="1:9">
      <c r="A2091" s="1">
        <v>10039</v>
      </c>
      <c r="B2091" s="1">
        <v>10</v>
      </c>
      <c r="C2091" s="2">
        <v>41470</v>
      </c>
      <c r="D2091" s="1" t="s">
        <v>2005</v>
      </c>
      <c r="E2091" s="1">
        <v>101189</v>
      </c>
      <c r="F2091" s="6" t="s">
        <v>4093</v>
      </c>
      <c r="G2091" s="15" t="str">
        <f>VLOOKUP(A2091,Movie!A:D,4,FALSE)</f>
        <v>Open Road Films</v>
      </c>
      <c r="H2091" s="14">
        <f>VLOOKUP(E2091,'Rental Transaction'!A:B,2,FALSE)</f>
        <v>305005</v>
      </c>
      <c r="I2091">
        <f t="shared" si="32"/>
        <v>2013</v>
      </c>
    </row>
    <row r="2092" spans="1:9">
      <c r="A2092" s="1">
        <v>10002</v>
      </c>
      <c r="B2092" s="1">
        <v>3</v>
      </c>
      <c r="C2092" s="2">
        <v>41469</v>
      </c>
      <c r="D2092" s="1" t="s">
        <v>2005</v>
      </c>
      <c r="E2092" s="1">
        <v>101189</v>
      </c>
      <c r="F2092" s="6" t="s">
        <v>4094</v>
      </c>
      <c r="G2092" s="15" t="str">
        <f>VLOOKUP(A2092,Movie!A:D,4,FALSE)</f>
        <v>Lionsgate</v>
      </c>
      <c r="H2092" s="14">
        <f>VLOOKUP(E2092,'Rental Transaction'!A:B,2,FALSE)</f>
        <v>305005</v>
      </c>
      <c r="I2092">
        <f t="shared" si="32"/>
        <v>2013</v>
      </c>
    </row>
    <row r="2093" spans="1:9">
      <c r="A2093" s="1">
        <v>10296</v>
      </c>
      <c r="B2093" s="1">
        <v>8</v>
      </c>
      <c r="C2093" s="2">
        <v>41470</v>
      </c>
      <c r="D2093" s="1" t="s">
        <v>2002</v>
      </c>
      <c r="E2093" s="1">
        <v>101189</v>
      </c>
      <c r="F2093" s="6" t="s">
        <v>4095</v>
      </c>
      <c r="G2093" s="15" t="str">
        <f>VLOOKUP(A2093,Movie!A:D,4,FALSE)</f>
        <v>A24</v>
      </c>
      <c r="H2093" s="14">
        <f>VLOOKUP(E2093,'Rental Transaction'!A:B,2,FALSE)</f>
        <v>305005</v>
      </c>
      <c r="I2093">
        <f t="shared" si="32"/>
        <v>2013</v>
      </c>
    </row>
    <row r="2094" spans="1:9">
      <c r="A2094" s="1">
        <v>10166</v>
      </c>
      <c r="B2094" s="1">
        <v>8</v>
      </c>
      <c r="C2094" s="2">
        <v>41469</v>
      </c>
      <c r="D2094" s="1" t="s">
        <v>2005</v>
      </c>
      <c r="E2094" s="1">
        <v>101189</v>
      </c>
      <c r="F2094" s="6" t="s">
        <v>4096</v>
      </c>
      <c r="G2094" s="15" t="str">
        <f>VLOOKUP(A2094,Movie!A:D,4,FALSE)</f>
        <v>Fox</v>
      </c>
      <c r="H2094" s="14">
        <f>VLOOKUP(E2094,'Rental Transaction'!A:B,2,FALSE)</f>
        <v>305005</v>
      </c>
      <c r="I2094">
        <f t="shared" si="32"/>
        <v>2013</v>
      </c>
    </row>
    <row r="2095" spans="1:9">
      <c r="A2095" s="1">
        <v>10272</v>
      </c>
      <c r="B2095" s="1">
        <v>4</v>
      </c>
      <c r="C2095" s="2">
        <v>41469</v>
      </c>
      <c r="D2095" s="1" t="s">
        <v>2005</v>
      </c>
      <c r="E2095" s="1">
        <v>101190</v>
      </c>
      <c r="F2095" s="6" t="s">
        <v>4097</v>
      </c>
      <c r="G2095" s="15" t="str">
        <f>VLOOKUP(A2095,Movie!A:D,4,FALSE)</f>
        <v>Sony</v>
      </c>
      <c r="H2095" s="14">
        <f>VLOOKUP(E2095,'Rental Transaction'!A:B,2,FALSE)</f>
        <v>207846</v>
      </c>
      <c r="I2095">
        <f t="shared" si="32"/>
        <v>2013</v>
      </c>
    </row>
    <row r="2096" spans="1:9">
      <c r="A2096" s="1">
        <v>10115</v>
      </c>
      <c r="B2096" s="1">
        <v>7</v>
      </c>
      <c r="C2096" s="2">
        <v>41470</v>
      </c>
      <c r="D2096" s="1" t="s">
        <v>2002</v>
      </c>
      <c r="E2096" s="1">
        <v>101191</v>
      </c>
      <c r="F2096" s="6" t="s">
        <v>4098</v>
      </c>
      <c r="G2096" s="15" t="str">
        <f>VLOOKUP(A2096,Movie!A:D,4,FALSE)</f>
        <v>Open Road Films</v>
      </c>
      <c r="H2096" s="14">
        <f>VLOOKUP(E2096,'Rental Transaction'!A:B,2,FALSE)</f>
        <v>484909</v>
      </c>
      <c r="I2096">
        <f t="shared" si="32"/>
        <v>2013</v>
      </c>
    </row>
    <row r="2097" spans="1:9">
      <c r="A2097" s="1">
        <v>10110</v>
      </c>
      <c r="B2097" s="1">
        <v>2</v>
      </c>
      <c r="C2097" s="2">
        <v>41471</v>
      </c>
      <c r="D2097" s="1" t="s">
        <v>2002</v>
      </c>
      <c r="E2097" s="1">
        <v>101191</v>
      </c>
      <c r="F2097" s="6" t="s">
        <v>4099</v>
      </c>
      <c r="G2097" s="15" t="str">
        <f>VLOOKUP(A2097,Movie!A:D,4,FALSE)</f>
        <v>Warner Brothers</v>
      </c>
      <c r="H2097" s="14">
        <f>VLOOKUP(E2097,'Rental Transaction'!A:B,2,FALSE)</f>
        <v>484909</v>
      </c>
      <c r="I2097">
        <f t="shared" si="32"/>
        <v>2013</v>
      </c>
    </row>
    <row r="2098" spans="1:9">
      <c r="A2098" s="1">
        <v>10118</v>
      </c>
      <c r="B2098" s="1">
        <v>10</v>
      </c>
      <c r="C2098" s="2">
        <v>41470</v>
      </c>
      <c r="D2098" s="1" t="s">
        <v>2002</v>
      </c>
      <c r="E2098" s="1">
        <v>101192</v>
      </c>
      <c r="F2098" s="6" t="s">
        <v>4100</v>
      </c>
      <c r="G2098" s="15" t="str">
        <f>VLOOKUP(A2098,Movie!A:D,4,FALSE)</f>
        <v>Buena Vista</v>
      </c>
      <c r="H2098" s="14">
        <f>VLOOKUP(E2098,'Rental Transaction'!A:B,2,FALSE)</f>
        <v>888759</v>
      </c>
      <c r="I2098">
        <f t="shared" si="32"/>
        <v>2013</v>
      </c>
    </row>
    <row r="2099" spans="1:9" ht="29.25">
      <c r="A2099" s="1">
        <v>10121</v>
      </c>
      <c r="B2099" s="1">
        <v>6</v>
      </c>
      <c r="C2099" s="2">
        <v>41471</v>
      </c>
      <c r="D2099" s="1" t="s">
        <v>2005</v>
      </c>
      <c r="E2099" s="1">
        <v>101193</v>
      </c>
      <c r="F2099" s="6" t="s">
        <v>4101</v>
      </c>
      <c r="G2099" s="15" t="str">
        <f>VLOOKUP(A2099,Movie!A:D,4,FALSE)</f>
        <v>Weinstein Company</v>
      </c>
      <c r="H2099" s="14">
        <f>VLOOKUP(E2099,'Rental Transaction'!A:B,2,FALSE)</f>
        <v>128131</v>
      </c>
      <c r="I2099">
        <f t="shared" si="32"/>
        <v>2013</v>
      </c>
    </row>
    <row r="2100" spans="1:9">
      <c r="A2100" s="1">
        <v>10289</v>
      </c>
      <c r="B2100" s="1">
        <v>3</v>
      </c>
      <c r="C2100" s="2">
        <v>41470</v>
      </c>
      <c r="D2100" s="1" t="s">
        <v>2005</v>
      </c>
      <c r="E2100" s="1">
        <v>101193</v>
      </c>
      <c r="F2100" s="6" t="s">
        <v>4102</v>
      </c>
      <c r="G2100" s="15" t="str">
        <f>VLOOKUP(A2100,Movie!A:D,4,FALSE)</f>
        <v>Open Road Films</v>
      </c>
      <c r="H2100" s="14">
        <f>VLOOKUP(E2100,'Rental Transaction'!A:B,2,FALSE)</f>
        <v>128131</v>
      </c>
      <c r="I2100">
        <f t="shared" si="32"/>
        <v>2013</v>
      </c>
    </row>
    <row r="2101" spans="1:9">
      <c r="A2101" s="1">
        <v>10065</v>
      </c>
      <c r="B2101" s="1">
        <v>8</v>
      </c>
      <c r="C2101" s="2">
        <v>41470</v>
      </c>
      <c r="D2101" s="1" t="s">
        <v>2002</v>
      </c>
      <c r="E2101" s="1">
        <v>101193</v>
      </c>
      <c r="F2101" s="6" t="s">
        <v>4103</v>
      </c>
      <c r="G2101" s="15" t="str">
        <f>VLOOKUP(A2101,Movie!A:D,4,FALSE)</f>
        <v>Warner Brothers</v>
      </c>
      <c r="H2101" s="14">
        <f>VLOOKUP(E2101,'Rental Transaction'!A:B,2,FALSE)</f>
        <v>128131</v>
      </c>
      <c r="I2101">
        <f t="shared" si="32"/>
        <v>2013</v>
      </c>
    </row>
    <row r="2102" spans="1:9" ht="29.25">
      <c r="A2102" s="1">
        <v>10165</v>
      </c>
      <c r="B2102" s="1">
        <v>10</v>
      </c>
      <c r="C2102" s="2">
        <v>41470</v>
      </c>
      <c r="D2102" s="1" t="s">
        <v>2002</v>
      </c>
      <c r="E2102" s="1">
        <v>101194</v>
      </c>
      <c r="F2102" s="6" t="s">
        <v>4104</v>
      </c>
      <c r="G2102" s="15" t="str">
        <f>VLOOKUP(A2102,Movie!A:D,4,FALSE)</f>
        <v>Weinstein Company</v>
      </c>
      <c r="H2102" s="14">
        <f>VLOOKUP(E2102,'Rental Transaction'!A:B,2,FALSE)</f>
        <v>244282</v>
      </c>
      <c r="I2102">
        <f t="shared" si="32"/>
        <v>2013</v>
      </c>
    </row>
    <row r="2103" spans="1:9">
      <c r="A2103" s="1">
        <v>10228</v>
      </c>
      <c r="B2103" s="1">
        <v>9</v>
      </c>
      <c r="C2103" s="2">
        <v>41471</v>
      </c>
      <c r="D2103" s="1" t="s">
        <v>2002</v>
      </c>
      <c r="E2103" s="1">
        <v>101195</v>
      </c>
      <c r="F2103" s="6" t="s">
        <v>4105</v>
      </c>
      <c r="G2103" s="15" t="str">
        <f>VLOOKUP(A2103,Movie!A:D,4,FALSE)</f>
        <v>Universal</v>
      </c>
      <c r="H2103" s="14">
        <f>VLOOKUP(E2103,'Rental Transaction'!A:B,2,FALSE)</f>
        <v>433442</v>
      </c>
      <c r="I2103">
        <f t="shared" si="32"/>
        <v>2013</v>
      </c>
    </row>
    <row r="2104" spans="1:9">
      <c r="A2104" s="1">
        <v>10086</v>
      </c>
      <c r="B2104" s="1">
        <v>2</v>
      </c>
      <c r="C2104" s="2">
        <v>41471</v>
      </c>
      <c r="D2104" s="1" t="s">
        <v>2002</v>
      </c>
      <c r="E2104" s="1">
        <v>101195</v>
      </c>
      <c r="F2104" s="6" t="s">
        <v>4106</v>
      </c>
      <c r="G2104" s="15" t="str">
        <f>VLOOKUP(A2104,Movie!A:D,4,FALSE)</f>
        <v>Buena Vista</v>
      </c>
      <c r="H2104" s="14">
        <f>VLOOKUP(E2104,'Rental Transaction'!A:B,2,FALSE)</f>
        <v>433442</v>
      </c>
      <c r="I2104">
        <f t="shared" si="32"/>
        <v>2013</v>
      </c>
    </row>
    <row r="2105" spans="1:9">
      <c r="A2105" s="1">
        <v>10286</v>
      </c>
      <c r="B2105" s="1">
        <v>6</v>
      </c>
      <c r="C2105" s="2">
        <v>41470</v>
      </c>
      <c r="D2105" s="1" t="s">
        <v>2002</v>
      </c>
      <c r="E2105" s="1">
        <v>101195</v>
      </c>
      <c r="F2105" s="6" t="s">
        <v>4107</v>
      </c>
      <c r="G2105" s="15" t="str">
        <f>VLOOKUP(A2105,Movie!A:D,4,FALSE)</f>
        <v>Fox Searchlight</v>
      </c>
      <c r="H2105" s="14">
        <f>VLOOKUP(E2105,'Rental Transaction'!A:B,2,FALSE)</f>
        <v>433442</v>
      </c>
      <c r="I2105">
        <f t="shared" si="32"/>
        <v>2013</v>
      </c>
    </row>
    <row r="2106" spans="1:9">
      <c r="A2106" s="1">
        <v>10115</v>
      </c>
      <c r="B2106" s="1">
        <v>6</v>
      </c>
      <c r="C2106" s="2">
        <v>41470</v>
      </c>
      <c r="D2106" s="1" t="s">
        <v>2002</v>
      </c>
      <c r="E2106" s="1">
        <v>101196</v>
      </c>
      <c r="F2106" s="6" t="s">
        <v>4108</v>
      </c>
      <c r="G2106" s="15" t="str">
        <f>VLOOKUP(A2106,Movie!A:D,4,FALSE)</f>
        <v>Open Road Films</v>
      </c>
      <c r="H2106" s="14">
        <f>VLOOKUP(E2106,'Rental Transaction'!A:B,2,FALSE)</f>
        <v>347659</v>
      </c>
      <c r="I2106">
        <f t="shared" si="32"/>
        <v>2013</v>
      </c>
    </row>
    <row r="2107" spans="1:9">
      <c r="A2107" s="1">
        <v>10120</v>
      </c>
      <c r="B2107" s="1">
        <v>8</v>
      </c>
      <c r="C2107" s="2">
        <v>41470</v>
      </c>
      <c r="D2107" s="1" t="s">
        <v>2005</v>
      </c>
      <c r="E2107" s="1">
        <v>101197</v>
      </c>
      <c r="F2107" s="6" t="s">
        <v>4109</v>
      </c>
      <c r="G2107" s="15" t="str">
        <f>VLOOKUP(A2107,Movie!A:D,4,FALSE)</f>
        <v>Focus</v>
      </c>
      <c r="H2107" s="14">
        <f>VLOOKUP(E2107,'Rental Transaction'!A:B,2,FALSE)</f>
        <v>710047</v>
      </c>
      <c r="I2107">
        <f t="shared" si="32"/>
        <v>2013</v>
      </c>
    </row>
    <row r="2108" spans="1:9">
      <c r="A2108" s="1">
        <v>10035</v>
      </c>
      <c r="B2108" s="1">
        <v>8</v>
      </c>
      <c r="C2108" s="2">
        <v>41470</v>
      </c>
      <c r="D2108" s="1" t="s">
        <v>2005</v>
      </c>
      <c r="E2108" s="1">
        <v>101197</v>
      </c>
      <c r="F2108" s="6" t="s">
        <v>4110</v>
      </c>
      <c r="G2108" s="15" t="str">
        <f>VLOOKUP(A2108,Movie!A:D,4,FALSE)</f>
        <v>Sony</v>
      </c>
      <c r="H2108" s="14">
        <f>VLOOKUP(E2108,'Rental Transaction'!A:B,2,FALSE)</f>
        <v>710047</v>
      </c>
      <c r="I2108">
        <f t="shared" si="32"/>
        <v>2013</v>
      </c>
    </row>
    <row r="2109" spans="1:9">
      <c r="A2109" s="1">
        <v>10046</v>
      </c>
      <c r="B2109" s="1">
        <v>1</v>
      </c>
      <c r="C2109" s="2">
        <v>41470</v>
      </c>
      <c r="D2109" s="1" t="s">
        <v>2002</v>
      </c>
      <c r="E2109" s="1">
        <v>101197</v>
      </c>
      <c r="F2109" s="6" t="s">
        <v>4111</v>
      </c>
      <c r="G2109" s="15" t="str">
        <f>VLOOKUP(A2109,Movie!A:D,4,FALSE)</f>
        <v>Sony</v>
      </c>
      <c r="H2109" s="14">
        <f>VLOOKUP(E2109,'Rental Transaction'!A:B,2,FALSE)</f>
        <v>710047</v>
      </c>
      <c r="I2109">
        <f t="shared" si="32"/>
        <v>2013</v>
      </c>
    </row>
    <row r="2110" spans="1:9">
      <c r="A2110" s="1">
        <v>10025</v>
      </c>
      <c r="B2110" s="1">
        <v>10</v>
      </c>
      <c r="C2110" s="2">
        <v>41470</v>
      </c>
      <c r="D2110" s="1" t="s">
        <v>2005</v>
      </c>
      <c r="E2110" s="1">
        <v>101198</v>
      </c>
      <c r="F2110" s="6" t="s">
        <v>4112</v>
      </c>
      <c r="G2110" s="15" t="str">
        <f>VLOOKUP(A2110,Movie!A:D,4,FALSE)</f>
        <v>Sony</v>
      </c>
      <c r="H2110" s="14">
        <f>VLOOKUP(E2110,'Rental Transaction'!A:B,2,FALSE)</f>
        <v>317461</v>
      </c>
      <c r="I2110">
        <f t="shared" si="32"/>
        <v>2013</v>
      </c>
    </row>
    <row r="2111" spans="1:9">
      <c r="A2111" s="1">
        <v>10042</v>
      </c>
      <c r="B2111" s="1">
        <v>7</v>
      </c>
      <c r="C2111" s="2">
        <v>41470</v>
      </c>
      <c r="D2111" s="1" t="s">
        <v>2002</v>
      </c>
      <c r="E2111" s="1">
        <v>101199</v>
      </c>
      <c r="F2111" s="6" t="s">
        <v>4113</v>
      </c>
      <c r="G2111" s="15" t="str">
        <f>VLOOKUP(A2111,Movie!A:D,4,FALSE)</f>
        <v>Paramount</v>
      </c>
      <c r="H2111" s="14">
        <f>VLOOKUP(E2111,'Rental Transaction'!A:B,2,FALSE)</f>
        <v>157695</v>
      </c>
      <c r="I2111">
        <f t="shared" si="32"/>
        <v>2013</v>
      </c>
    </row>
    <row r="2112" spans="1:9">
      <c r="A2112" s="1">
        <v>10273</v>
      </c>
      <c r="B2112" s="1">
        <v>7</v>
      </c>
      <c r="C2112" s="2">
        <v>41470</v>
      </c>
      <c r="D2112" s="1" t="s">
        <v>2002</v>
      </c>
      <c r="E2112" s="1">
        <v>101200</v>
      </c>
      <c r="F2112" s="6" t="s">
        <v>4114</v>
      </c>
      <c r="G2112" s="15" t="str">
        <f>VLOOKUP(A2112,Movie!A:D,4,FALSE)</f>
        <v>Sony</v>
      </c>
      <c r="H2112" s="14">
        <f>VLOOKUP(E2112,'Rental Transaction'!A:B,2,FALSE)</f>
        <v>918682</v>
      </c>
      <c r="I2112">
        <f t="shared" si="32"/>
        <v>2013</v>
      </c>
    </row>
    <row r="2113" spans="1:9">
      <c r="A2113" s="1">
        <v>10268</v>
      </c>
      <c r="B2113" s="1">
        <v>1</v>
      </c>
      <c r="C2113" s="2">
        <v>41470</v>
      </c>
      <c r="D2113" s="1" t="s">
        <v>2005</v>
      </c>
      <c r="E2113" s="1">
        <v>101201</v>
      </c>
      <c r="F2113" s="6" t="s">
        <v>4115</v>
      </c>
      <c r="G2113" s="15" t="str">
        <f>VLOOKUP(A2113,Movie!A:D,4,FALSE)</f>
        <v>Buena Vista</v>
      </c>
      <c r="H2113" s="14">
        <f>VLOOKUP(E2113,'Rental Transaction'!A:B,2,FALSE)</f>
        <v>266633</v>
      </c>
      <c r="I2113">
        <f t="shared" si="32"/>
        <v>2013</v>
      </c>
    </row>
    <row r="2114" spans="1:9" ht="29.25">
      <c r="A2114" s="1">
        <v>10136</v>
      </c>
      <c r="B2114" s="1">
        <v>2</v>
      </c>
      <c r="C2114" s="2">
        <v>41471</v>
      </c>
      <c r="D2114" s="1" t="s">
        <v>2002</v>
      </c>
      <c r="E2114" s="1">
        <v>101201</v>
      </c>
      <c r="F2114" s="6" t="s">
        <v>4116</v>
      </c>
      <c r="G2114" s="15" t="str">
        <f>VLOOKUP(A2114,Movie!A:D,4,FALSE)</f>
        <v>Weinstein Company</v>
      </c>
      <c r="H2114" s="14">
        <f>VLOOKUP(E2114,'Rental Transaction'!A:B,2,FALSE)</f>
        <v>266633</v>
      </c>
      <c r="I2114">
        <f t="shared" si="32"/>
        <v>2013</v>
      </c>
    </row>
    <row r="2115" spans="1:9">
      <c r="A2115" s="1">
        <v>10051</v>
      </c>
      <c r="B2115" s="1">
        <v>6</v>
      </c>
      <c r="C2115" s="2">
        <v>41471</v>
      </c>
      <c r="D2115" s="1" t="s">
        <v>2005</v>
      </c>
      <c r="E2115" s="1">
        <v>101202</v>
      </c>
      <c r="F2115" s="6" t="s">
        <v>4117</v>
      </c>
      <c r="G2115" s="15" t="str">
        <f>VLOOKUP(A2115,Movie!A:D,4,FALSE)</f>
        <v>Paramount</v>
      </c>
      <c r="H2115" s="14">
        <f>VLOOKUP(E2115,'Rental Transaction'!A:B,2,FALSE)</f>
        <v>425051</v>
      </c>
      <c r="I2115">
        <f t="shared" ref="I2115:I2178" si="33">YEAR(C2115)</f>
        <v>2013</v>
      </c>
    </row>
    <row r="2116" spans="1:9">
      <c r="A2116" s="1">
        <v>10221</v>
      </c>
      <c r="B2116" s="1">
        <v>4</v>
      </c>
      <c r="C2116" s="2">
        <v>41471</v>
      </c>
      <c r="D2116" s="1" t="s">
        <v>2005</v>
      </c>
      <c r="E2116" s="1">
        <v>101202</v>
      </c>
      <c r="F2116" s="6" t="s">
        <v>4118</v>
      </c>
      <c r="G2116" s="15" t="str">
        <f>VLOOKUP(A2116,Movie!A:D,4,FALSE)</f>
        <v>Fox</v>
      </c>
      <c r="H2116" s="14">
        <f>VLOOKUP(E2116,'Rental Transaction'!A:B,2,FALSE)</f>
        <v>425051</v>
      </c>
      <c r="I2116">
        <f t="shared" si="33"/>
        <v>2013</v>
      </c>
    </row>
    <row r="2117" spans="1:9">
      <c r="A2117" s="1">
        <v>10120</v>
      </c>
      <c r="B2117" s="1">
        <v>4</v>
      </c>
      <c r="C2117" s="2">
        <v>41471</v>
      </c>
      <c r="D2117" s="1" t="s">
        <v>2005</v>
      </c>
      <c r="E2117" s="1">
        <v>101202</v>
      </c>
      <c r="F2117" s="6" t="s">
        <v>4119</v>
      </c>
      <c r="G2117" s="15" t="str">
        <f>VLOOKUP(A2117,Movie!A:D,4,FALSE)</f>
        <v>Focus</v>
      </c>
      <c r="H2117" s="14">
        <f>VLOOKUP(E2117,'Rental Transaction'!A:B,2,FALSE)</f>
        <v>425051</v>
      </c>
      <c r="I2117">
        <f t="shared" si="33"/>
        <v>2013</v>
      </c>
    </row>
    <row r="2118" spans="1:9">
      <c r="A2118" s="1">
        <v>10036</v>
      </c>
      <c r="B2118" s="1">
        <v>4</v>
      </c>
      <c r="C2118" s="2">
        <v>41471</v>
      </c>
      <c r="D2118" s="1" t="s">
        <v>2002</v>
      </c>
      <c r="E2118" s="1">
        <v>101203</v>
      </c>
      <c r="F2118" s="6" t="s">
        <v>4120</v>
      </c>
      <c r="G2118" s="15" t="str">
        <f>VLOOKUP(A2118,Movie!A:D,4,FALSE)</f>
        <v>Universal</v>
      </c>
      <c r="H2118" s="14">
        <f>VLOOKUP(E2118,'Rental Transaction'!A:B,2,FALSE)</f>
        <v>297686</v>
      </c>
      <c r="I2118">
        <f t="shared" si="33"/>
        <v>2013</v>
      </c>
    </row>
    <row r="2119" spans="1:9">
      <c r="A2119" s="1">
        <v>10214</v>
      </c>
      <c r="B2119" s="1">
        <v>4</v>
      </c>
      <c r="C2119" s="2">
        <v>41471</v>
      </c>
      <c r="D2119" s="1" t="s">
        <v>2002</v>
      </c>
      <c r="E2119" s="1">
        <v>101204</v>
      </c>
      <c r="F2119" s="6" t="s">
        <v>4121</v>
      </c>
      <c r="G2119" s="15" t="str">
        <f>VLOOKUP(A2119,Movie!A:D,4,FALSE)</f>
        <v>RM</v>
      </c>
      <c r="H2119" s="14">
        <f>VLOOKUP(E2119,'Rental Transaction'!A:B,2,FALSE)</f>
        <v>994056</v>
      </c>
      <c r="I2119">
        <f t="shared" si="33"/>
        <v>2013</v>
      </c>
    </row>
    <row r="2120" spans="1:9">
      <c r="A2120" s="1">
        <v>10101</v>
      </c>
      <c r="B2120" s="1">
        <v>8</v>
      </c>
      <c r="C2120" s="2">
        <v>41471</v>
      </c>
      <c r="D2120" s="1" t="s">
        <v>2002</v>
      </c>
      <c r="E2120" s="1">
        <v>101204</v>
      </c>
      <c r="F2120" s="6" t="s">
        <v>4122</v>
      </c>
      <c r="G2120" s="15" t="str">
        <f>VLOOKUP(A2120,Movie!A:D,4,FALSE)</f>
        <v>Sony</v>
      </c>
      <c r="H2120" s="14">
        <f>VLOOKUP(E2120,'Rental Transaction'!A:B,2,FALSE)</f>
        <v>994056</v>
      </c>
      <c r="I2120">
        <f t="shared" si="33"/>
        <v>2013</v>
      </c>
    </row>
    <row r="2121" spans="1:9">
      <c r="A2121" s="1">
        <v>10177</v>
      </c>
      <c r="B2121" s="1">
        <v>7</v>
      </c>
      <c r="C2121" s="2">
        <v>41472</v>
      </c>
      <c r="D2121" s="1" t="s">
        <v>2002</v>
      </c>
      <c r="E2121" s="1">
        <v>101205</v>
      </c>
      <c r="F2121" s="6" t="s">
        <v>4123</v>
      </c>
      <c r="G2121" s="15" t="str">
        <f>VLOOKUP(A2121,Movie!A:D,4,FALSE)</f>
        <v>Fox</v>
      </c>
      <c r="H2121" s="14">
        <f>VLOOKUP(E2121,'Rental Transaction'!A:B,2,FALSE)</f>
        <v>421074</v>
      </c>
      <c r="I2121">
        <f t="shared" si="33"/>
        <v>2013</v>
      </c>
    </row>
    <row r="2122" spans="1:9">
      <c r="A2122" s="1">
        <v>10174</v>
      </c>
      <c r="B2122" s="1">
        <v>1</v>
      </c>
      <c r="C2122" s="2">
        <v>41471</v>
      </c>
      <c r="D2122" s="1" t="s">
        <v>2005</v>
      </c>
      <c r="E2122" s="1">
        <v>101206</v>
      </c>
      <c r="F2122" s="6" t="s">
        <v>4124</v>
      </c>
      <c r="G2122" s="15" t="str">
        <f>VLOOKUP(A2122,Movie!A:D,4,FALSE)</f>
        <v>Universal</v>
      </c>
      <c r="H2122" s="14">
        <f>VLOOKUP(E2122,'Rental Transaction'!A:B,2,FALSE)</f>
        <v>396166</v>
      </c>
      <c r="I2122">
        <f t="shared" si="33"/>
        <v>2013</v>
      </c>
    </row>
    <row r="2123" spans="1:9">
      <c r="A2123" s="1">
        <v>10178</v>
      </c>
      <c r="B2123" s="1">
        <v>4</v>
      </c>
      <c r="C2123" s="2">
        <v>41471</v>
      </c>
      <c r="D2123" s="1" t="s">
        <v>2002</v>
      </c>
      <c r="E2123" s="1">
        <v>101206</v>
      </c>
      <c r="F2123" s="6" t="s">
        <v>4125</v>
      </c>
      <c r="G2123" s="15" t="str">
        <f>VLOOKUP(A2123,Movie!A:D,4,FALSE)</f>
        <v>Warner Brothers</v>
      </c>
      <c r="H2123" s="14">
        <f>VLOOKUP(E2123,'Rental Transaction'!A:B,2,FALSE)</f>
        <v>396166</v>
      </c>
      <c r="I2123">
        <f t="shared" si="33"/>
        <v>2013</v>
      </c>
    </row>
    <row r="2124" spans="1:9">
      <c r="A2124" s="1">
        <v>10158</v>
      </c>
      <c r="B2124" s="1">
        <v>3</v>
      </c>
      <c r="C2124" s="2">
        <v>41471</v>
      </c>
      <c r="D2124" s="1" t="s">
        <v>2002</v>
      </c>
      <c r="E2124" s="1">
        <v>101206</v>
      </c>
      <c r="F2124" s="6" t="s">
        <v>4126</v>
      </c>
      <c r="G2124" s="15" t="str">
        <f>VLOOKUP(A2124,Movie!A:D,4,FALSE)</f>
        <v>Warner Brothers</v>
      </c>
      <c r="H2124" s="14">
        <f>VLOOKUP(E2124,'Rental Transaction'!A:B,2,FALSE)</f>
        <v>396166</v>
      </c>
      <c r="I2124">
        <f t="shared" si="33"/>
        <v>2013</v>
      </c>
    </row>
    <row r="2125" spans="1:9">
      <c r="A2125" s="1">
        <v>10131</v>
      </c>
      <c r="B2125" s="1">
        <v>9</v>
      </c>
      <c r="C2125" s="2">
        <v>41471</v>
      </c>
      <c r="D2125" s="1" t="s">
        <v>2005</v>
      </c>
      <c r="E2125" s="1">
        <v>101207</v>
      </c>
      <c r="F2125" s="6" t="s">
        <v>4127</v>
      </c>
      <c r="G2125" s="15" t="str">
        <f>VLOOKUP(A2125,Movie!A:D,4,FALSE)</f>
        <v>Warner Brothers</v>
      </c>
      <c r="H2125" s="14">
        <f>VLOOKUP(E2125,'Rental Transaction'!A:B,2,FALSE)</f>
        <v>900440</v>
      </c>
      <c r="I2125">
        <f t="shared" si="33"/>
        <v>2013</v>
      </c>
    </row>
    <row r="2126" spans="1:9">
      <c r="A2126" s="1">
        <v>10279</v>
      </c>
      <c r="B2126" s="1">
        <v>5</v>
      </c>
      <c r="C2126" s="2">
        <v>41472</v>
      </c>
      <c r="D2126" s="1" t="s">
        <v>2005</v>
      </c>
      <c r="E2126" s="1">
        <v>101207</v>
      </c>
      <c r="F2126" s="6" t="s">
        <v>4128</v>
      </c>
      <c r="G2126" s="15" t="str">
        <f>VLOOKUP(A2126,Movie!A:D,4,FALSE)</f>
        <v>Screen Gems</v>
      </c>
      <c r="H2126" s="14">
        <f>VLOOKUP(E2126,'Rental Transaction'!A:B,2,FALSE)</f>
        <v>900440</v>
      </c>
      <c r="I2126">
        <f t="shared" si="33"/>
        <v>2013</v>
      </c>
    </row>
    <row r="2127" spans="1:9">
      <c r="A2127" s="1">
        <v>10289</v>
      </c>
      <c r="B2127" s="1">
        <v>3</v>
      </c>
      <c r="C2127" s="2">
        <v>41471</v>
      </c>
      <c r="D2127" s="1" t="s">
        <v>2002</v>
      </c>
      <c r="E2127" s="1">
        <v>101208</v>
      </c>
      <c r="F2127" s="6" t="s">
        <v>4129</v>
      </c>
      <c r="G2127" s="15" t="str">
        <f>VLOOKUP(A2127,Movie!A:D,4,FALSE)</f>
        <v>Open Road Films</v>
      </c>
      <c r="H2127" s="14">
        <f>VLOOKUP(E2127,'Rental Transaction'!A:B,2,FALSE)</f>
        <v>862302</v>
      </c>
      <c r="I2127">
        <f t="shared" si="33"/>
        <v>2013</v>
      </c>
    </row>
    <row r="2128" spans="1:9">
      <c r="A2128" s="1">
        <v>10019</v>
      </c>
      <c r="B2128" s="1">
        <v>7</v>
      </c>
      <c r="C2128" s="2">
        <v>41471</v>
      </c>
      <c r="D2128" s="1" t="s">
        <v>2005</v>
      </c>
      <c r="E2128" s="1">
        <v>101208</v>
      </c>
      <c r="F2128" s="6" t="s">
        <v>4130</v>
      </c>
      <c r="G2128" s="15" t="str">
        <f>VLOOKUP(A2128,Movie!A:D,4,FALSE)</f>
        <v>Fox</v>
      </c>
      <c r="H2128" s="14">
        <f>VLOOKUP(E2128,'Rental Transaction'!A:B,2,FALSE)</f>
        <v>862302</v>
      </c>
      <c r="I2128">
        <f t="shared" si="33"/>
        <v>2013</v>
      </c>
    </row>
    <row r="2129" spans="1:9">
      <c r="A2129" s="1">
        <v>10173</v>
      </c>
      <c r="B2129" s="1">
        <v>6</v>
      </c>
      <c r="C2129" s="2">
        <v>41471</v>
      </c>
      <c r="D2129" s="1" t="s">
        <v>2005</v>
      </c>
      <c r="E2129" s="1">
        <v>101209</v>
      </c>
      <c r="F2129" s="6" t="s">
        <v>4131</v>
      </c>
      <c r="G2129" s="15" t="str">
        <f>VLOOKUP(A2129,Movie!A:D,4,FALSE)</f>
        <v>Sony</v>
      </c>
      <c r="H2129" s="14">
        <f>VLOOKUP(E2129,'Rental Transaction'!A:B,2,FALSE)</f>
        <v>720602</v>
      </c>
      <c r="I2129">
        <f t="shared" si="33"/>
        <v>2013</v>
      </c>
    </row>
    <row r="2130" spans="1:9">
      <c r="A2130" s="1">
        <v>10237</v>
      </c>
      <c r="B2130" s="1">
        <v>2</v>
      </c>
      <c r="C2130" s="2">
        <v>41471</v>
      </c>
      <c r="D2130" s="1" t="s">
        <v>2005</v>
      </c>
      <c r="E2130" s="1">
        <v>101209</v>
      </c>
      <c r="F2130" s="6" t="s">
        <v>4132</v>
      </c>
      <c r="G2130" s="15" t="str">
        <f>VLOOKUP(A2130,Movie!A:D,4,FALSE)</f>
        <v>Warner Brothers</v>
      </c>
      <c r="H2130" s="14">
        <f>VLOOKUP(E2130,'Rental Transaction'!A:B,2,FALSE)</f>
        <v>720602</v>
      </c>
      <c r="I2130">
        <f t="shared" si="33"/>
        <v>2013</v>
      </c>
    </row>
    <row r="2131" spans="1:9">
      <c r="A2131" s="1">
        <v>10050</v>
      </c>
      <c r="B2131" s="1">
        <v>10</v>
      </c>
      <c r="C2131" s="2">
        <v>41471</v>
      </c>
      <c r="D2131" s="1" t="s">
        <v>2005</v>
      </c>
      <c r="E2131" s="1">
        <v>101210</v>
      </c>
      <c r="F2131" s="6" t="s">
        <v>4133</v>
      </c>
      <c r="G2131" s="15" t="str">
        <f>VLOOKUP(A2131,Movie!A:D,4,FALSE)</f>
        <v>Paramount</v>
      </c>
      <c r="H2131" s="14">
        <f>VLOOKUP(E2131,'Rental Transaction'!A:B,2,FALSE)</f>
        <v>498970</v>
      </c>
      <c r="I2131">
        <f t="shared" si="33"/>
        <v>2013</v>
      </c>
    </row>
    <row r="2132" spans="1:9">
      <c r="A2132" s="1">
        <v>10284</v>
      </c>
      <c r="B2132" s="1">
        <v>5</v>
      </c>
      <c r="C2132" s="2">
        <v>41471</v>
      </c>
      <c r="D2132" s="1" t="s">
        <v>2002</v>
      </c>
      <c r="E2132" s="1">
        <v>101211</v>
      </c>
      <c r="F2132" s="6" t="s">
        <v>4134</v>
      </c>
      <c r="G2132" s="15" t="str">
        <f>VLOOKUP(A2132,Movie!A:D,4,FALSE)</f>
        <v>Focus</v>
      </c>
      <c r="H2132" s="14">
        <f>VLOOKUP(E2132,'Rental Transaction'!A:B,2,FALSE)</f>
        <v>175871</v>
      </c>
      <c r="I2132">
        <f t="shared" si="33"/>
        <v>2013</v>
      </c>
    </row>
    <row r="2133" spans="1:9">
      <c r="A2133" s="1">
        <v>10190</v>
      </c>
      <c r="B2133" s="1">
        <v>4</v>
      </c>
      <c r="C2133" s="2">
        <v>41473</v>
      </c>
      <c r="D2133" s="1" t="s">
        <v>2002</v>
      </c>
      <c r="E2133" s="1">
        <v>101211</v>
      </c>
      <c r="F2133" s="6" t="s">
        <v>4135</v>
      </c>
      <c r="G2133" s="15" t="str">
        <f>VLOOKUP(A2133,Movie!A:D,4,FALSE)</f>
        <v>Lionsgate</v>
      </c>
      <c r="H2133" s="14">
        <f>VLOOKUP(E2133,'Rental Transaction'!A:B,2,FALSE)</f>
        <v>175871</v>
      </c>
      <c r="I2133">
        <f t="shared" si="33"/>
        <v>2013</v>
      </c>
    </row>
    <row r="2134" spans="1:9">
      <c r="A2134" s="1">
        <v>10123</v>
      </c>
      <c r="B2134" s="1">
        <v>7</v>
      </c>
      <c r="C2134" s="2">
        <v>41473</v>
      </c>
      <c r="D2134" s="1" t="s">
        <v>2005</v>
      </c>
      <c r="E2134" s="1">
        <v>101212</v>
      </c>
      <c r="F2134" s="6" t="s">
        <v>4136</v>
      </c>
      <c r="G2134" s="15" t="str">
        <f>VLOOKUP(A2134,Movie!A:D,4,FALSE)</f>
        <v>Fox</v>
      </c>
      <c r="H2134" s="14">
        <f>VLOOKUP(E2134,'Rental Transaction'!A:B,2,FALSE)</f>
        <v>757780</v>
      </c>
      <c r="I2134">
        <f t="shared" si="33"/>
        <v>2013</v>
      </c>
    </row>
    <row r="2135" spans="1:9">
      <c r="A2135" s="1">
        <v>10147</v>
      </c>
      <c r="B2135" s="1">
        <v>8</v>
      </c>
      <c r="C2135" s="2">
        <v>41472</v>
      </c>
      <c r="D2135" s="1" t="s">
        <v>2002</v>
      </c>
      <c r="E2135" s="1">
        <v>101212</v>
      </c>
      <c r="F2135" s="6" t="s">
        <v>4137</v>
      </c>
      <c r="G2135" s="15" t="str">
        <f>VLOOKUP(A2135,Movie!A:D,4,FALSE)</f>
        <v>Lionsgate</v>
      </c>
      <c r="H2135" s="14">
        <f>VLOOKUP(E2135,'Rental Transaction'!A:B,2,FALSE)</f>
        <v>757780</v>
      </c>
      <c r="I2135">
        <f t="shared" si="33"/>
        <v>2013</v>
      </c>
    </row>
    <row r="2136" spans="1:9">
      <c r="A2136" s="1">
        <v>10100</v>
      </c>
      <c r="B2136" s="1">
        <v>3</v>
      </c>
      <c r="C2136" s="2">
        <v>41472</v>
      </c>
      <c r="D2136" s="1" t="s">
        <v>2002</v>
      </c>
      <c r="E2136" s="1">
        <v>101212</v>
      </c>
      <c r="F2136" s="6" t="s">
        <v>4138</v>
      </c>
      <c r="G2136" s="15" t="str">
        <f>VLOOKUP(A2136,Movie!A:D,4,FALSE)</f>
        <v>Fox</v>
      </c>
      <c r="H2136" s="14">
        <f>VLOOKUP(E2136,'Rental Transaction'!A:B,2,FALSE)</f>
        <v>757780</v>
      </c>
      <c r="I2136">
        <f t="shared" si="33"/>
        <v>2013</v>
      </c>
    </row>
    <row r="2137" spans="1:9">
      <c r="A2137" s="1">
        <v>10072</v>
      </c>
      <c r="B2137" s="1">
        <v>4</v>
      </c>
      <c r="C2137" s="2">
        <v>41472</v>
      </c>
      <c r="D2137" s="1" t="s">
        <v>2005</v>
      </c>
      <c r="E2137" s="1">
        <v>101212</v>
      </c>
      <c r="F2137" s="6" t="s">
        <v>4139</v>
      </c>
      <c r="G2137" s="15" t="str">
        <f>VLOOKUP(A2137,Movie!A:D,4,FALSE)</f>
        <v>Paramount</v>
      </c>
      <c r="H2137" s="14">
        <f>VLOOKUP(E2137,'Rental Transaction'!A:B,2,FALSE)</f>
        <v>757780</v>
      </c>
      <c r="I2137">
        <f t="shared" si="33"/>
        <v>2013</v>
      </c>
    </row>
    <row r="2138" spans="1:9" ht="29.25">
      <c r="A2138" s="1">
        <v>10246</v>
      </c>
      <c r="B2138" s="1">
        <v>3</v>
      </c>
      <c r="C2138" s="2">
        <v>41473</v>
      </c>
      <c r="D2138" s="1" t="s">
        <v>2002</v>
      </c>
      <c r="E2138" s="1">
        <v>101213</v>
      </c>
      <c r="F2138" s="6" t="s">
        <v>4140</v>
      </c>
      <c r="G2138" s="15" t="str">
        <f>VLOOKUP(A2138,Movie!A:D,4,FALSE)</f>
        <v>Weinstein Company</v>
      </c>
      <c r="H2138" s="14">
        <f>VLOOKUP(E2138,'Rental Transaction'!A:B,2,FALSE)</f>
        <v>745543</v>
      </c>
      <c r="I2138">
        <f t="shared" si="33"/>
        <v>2013</v>
      </c>
    </row>
    <row r="2139" spans="1:9">
      <c r="A2139" s="1">
        <v>10283</v>
      </c>
      <c r="B2139" s="1">
        <v>8</v>
      </c>
      <c r="C2139" s="2">
        <v>41473</v>
      </c>
      <c r="D2139" s="1" t="s">
        <v>2002</v>
      </c>
      <c r="E2139" s="1">
        <v>101213</v>
      </c>
      <c r="F2139" s="6" t="s">
        <v>4141</v>
      </c>
      <c r="G2139" s="15" t="str">
        <f>VLOOKUP(A2139,Movie!A:D,4,FALSE)</f>
        <v>TriStar</v>
      </c>
      <c r="H2139" s="14">
        <f>VLOOKUP(E2139,'Rental Transaction'!A:B,2,FALSE)</f>
        <v>745543</v>
      </c>
      <c r="I2139">
        <f t="shared" si="33"/>
        <v>2013</v>
      </c>
    </row>
    <row r="2140" spans="1:9" ht="29.25">
      <c r="A2140" s="1">
        <v>10105</v>
      </c>
      <c r="B2140" s="1">
        <v>7</v>
      </c>
      <c r="C2140" s="2">
        <v>41473</v>
      </c>
      <c r="D2140" s="1" t="s">
        <v>2002</v>
      </c>
      <c r="E2140" s="1">
        <v>101214</v>
      </c>
      <c r="F2140" s="6" t="s">
        <v>4142</v>
      </c>
      <c r="G2140" s="15" t="str">
        <f>VLOOKUP(A2140,Movie!A:D,4,FALSE)</f>
        <v>Weinstein Company</v>
      </c>
      <c r="H2140" s="14">
        <f>VLOOKUP(E2140,'Rental Transaction'!A:B,2,FALSE)</f>
        <v>427391</v>
      </c>
      <c r="I2140">
        <f t="shared" si="33"/>
        <v>2013</v>
      </c>
    </row>
    <row r="2141" spans="1:9">
      <c r="A2141" s="1">
        <v>10252</v>
      </c>
      <c r="B2141" s="1">
        <v>4</v>
      </c>
      <c r="C2141" s="2">
        <v>41472</v>
      </c>
      <c r="D2141" s="1" t="s">
        <v>2005</v>
      </c>
      <c r="E2141" s="1">
        <v>101215</v>
      </c>
      <c r="F2141" s="6" t="s">
        <v>4143</v>
      </c>
      <c r="G2141" s="15" t="str">
        <f>VLOOKUP(A2141,Movie!A:D,4,FALSE)</f>
        <v>Warner Brothers</v>
      </c>
      <c r="H2141" s="14">
        <f>VLOOKUP(E2141,'Rental Transaction'!A:B,2,FALSE)</f>
        <v>605188</v>
      </c>
      <c r="I2141">
        <f t="shared" si="33"/>
        <v>2013</v>
      </c>
    </row>
    <row r="2142" spans="1:9">
      <c r="A2142" s="1">
        <v>10299</v>
      </c>
      <c r="B2142" s="1">
        <v>1</v>
      </c>
      <c r="C2142" s="2">
        <v>41472</v>
      </c>
      <c r="D2142" s="1" t="s">
        <v>2002</v>
      </c>
      <c r="E2142" s="1">
        <v>101216</v>
      </c>
      <c r="F2142" s="6" t="s">
        <v>4144</v>
      </c>
      <c r="G2142" s="15" t="str">
        <f>VLOOKUP(A2142,Movie!A:D,4,FALSE)</f>
        <v>Radius-TWC</v>
      </c>
      <c r="H2142" s="14">
        <f>VLOOKUP(E2142,'Rental Transaction'!A:B,2,FALSE)</f>
        <v>253106</v>
      </c>
      <c r="I2142">
        <f t="shared" si="33"/>
        <v>2013</v>
      </c>
    </row>
    <row r="2143" spans="1:9">
      <c r="A2143" s="1">
        <v>10052</v>
      </c>
      <c r="B2143" s="1">
        <v>2</v>
      </c>
      <c r="C2143" s="2">
        <v>41472</v>
      </c>
      <c r="D2143" s="1" t="s">
        <v>2002</v>
      </c>
      <c r="E2143" s="1">
        <v>101216</v>
      </c>
      <c r="F2143" s="6" t="s">
        <v>4145</v>
      </c>
      <c r="G2143" s="15" t="str">
        <f>VLOOKUP(A2143,Movie!A:D,4,FALSE)</f>
        <v>Warner Brothers</v>
      </c>
      <c r="H2143" s="14">
        <f>VLOOKUP(E2143,'Rental Transaction'!A:B,2,FALSE)</f>
        <v>253106</v>
      </c>
      <c r="I2143">
        <f t="shared" si="33"/>
        <v>2013</v>
      </c>
    </row>
    <row r="2144" spans="1:9">
      <c r="A2144" s="1">
        <v>10137</v>
      </c>
      <c r="B2144" s="1">
        <v>9</v>
      </c>
      <c r="C2144" s="2">
        <v>41472</v>
      </c>
      <c r="D2144" s="1" t="s">
        <v>2002</v>
      </c>
      <c r="E2144" s="1">
        <v>101217</v>
      </c>
      <c r="F2144" s="6" t="s">
        <v>4146</v>
      </c>
      <c r="G2144" s="15" t="str">
        <f>VLOOKUP(A2144,Movie!A:D,4,FALSE)</f>
        <v>Buena Vista</v>
      </c>
      <c r="H2144" s="14">
        <f>VLOOKUP(E2144,'Rental Transaction'!A:B,2,FALSE)</f>
        <v>575903</v>
      </c>
      <c r="I2144">
        <f t="shared" si="33"/>
        <v>2013</v>
      </c>
    </row>
    <row r="2145" spans="1:9">
      <c r="A2145" s="1">
        <v>10010</v>
      </c>
      <c r="B2145" s="1">
        <v>9</v>
      </c>
      <c r="C2145" s="2">
        <v>41472</v>
      </c>
      <c r="D2145" s="1" t="s">
        <v>2002</v>
      </c>
      <c r="E2145" s="1">
        <v>101218</v>
      </c>
      <c r="F2145" s="6" t="s">
        <v>4147</v>
      </c>
      <c r="G2145" s="15" t="str">
        <f>VLOOKUP(A2145,Movie!A:D,4,FALSE)</f>
        <v>Buena Vista</v>
      </c>
      <c r="H2145" s="14">
        <f>VLOOKUP(E2145,'Rental Transaction'!A:B,2,FALSE)</f>
        <v>933331</v>
      </c>
      <c r="I2145">
        <f t="shared" si="33"/>
        <v>2013</v>
      </c>
    </row>
    <row r="2146" spans="1:9">
      <c r="A2146" s="1">
        <v>10126</v>
      </c>
      <c r="B2146" s="1">
        <v>5</v>
      </c>
      <c r="C2146" s="2">
        <v>41472</v>
      </c>
      <c r="D2146" s="1" t="s">
        <v>2005</v>
      </c>
      <c r="E2146" s="1">
        <v>101219</v>
      </c>
      <c r="F2146" s="6" t="s">
        <v>4148</v>
      </c>
      <c r="G2146" s="15" t="str">
        <f>VLOOKUP(A2146,Movie!A:D,4,FALSE)</f>
        <v>Fox</v>
      </c>
      <c r="H2146" s="14">
        <f>VLOOKUP(E2146,'Rental Transaction'!A:B,2,FALSE)</f>
        <v>627324</v>
      </c>
      <c r="I2146">
        <f t="shared" si="33"/>
        <v>2013</v>
      </c>
    </row>
    <row r="2147" spans="1:9">
      <c r="A2147" s="1">
        <v>10060</v>
      </c>
      <c r="B2147" s="1">
        <v>3</v>
      </c>
      <c r="C2147" s="2">
        <v>41472</v>
      </c>
      <c r="D2147" s="1" t="s">
        <v>2002</v>
      </c>
      <c r="E2147" s="1">
        <v>101219</v>
      </c>
      <c r="F2147" s="6" t="s">
        <v>4149</v>
      </c>
      <c r="G2147" s="15" t="str">
        <f>VLOOKUP(A2147,Movie!A:D,4,FALSE)</f>
        <v>Warner Brothers</v>
      </c>
      <c r="H2147" s="14">
        <f>VLOOKUP(E2147,'Rental Transaction'!A:B,2,FALSE)</f>
        <v>627324</v>
      </c>
      <c r="I2147">
        <f t="shared" si="33"/>
        <v>2013</v>
      </c>
    </row>
    <row r="2148" spans="1:9">
      <c r="A2148" s="1">
        <v>10203</v>
      </c>
      <c r="B2148" s="1">
        <v>3</v>
      </c>
      <c r="C2148" s="2">
        <v>41472</v>
      </c>
      <c r="D2148" s="1" t="s">
        <v>2005</v>
      </c>
      <c r="E2148" s="1">
        <v>101219</v>
      </c>
      <c r="F2148" s="6" t="s">
        <v>4150</v>
      </c>
      <c r="G2148" s="15" t="str">
        <f>VLOOKUP(A2148,Movie!A:D,4,FALSE)</f>
        <v>Buena Vista</v>
      </c>
      <c r="H2148" s="14">
        <f>VLOOKUP(E2148,'Rental Transaction'!A:B,2,FALSE)</f>
        <v>627324</v>
      </c>
      <c r="I2148">
        <f t="shared" si="33"/>
        <v>2013</v>
      </c>
    </row>
    <row r="2149" spans="1:9" ht="29.25">
      <c r="A2149" s="1">
        <v>10140</v>
      </c>
      <c r="B2149" s="1">
        <v>8</v>
      </c>
      <c r="C2149" s="2">
        <v>41473</v>
      </c>
      <c r="D2149" s="1" t="s">
        <v>2002</v>
      </c>
      <c r="E2149" s="1">
        <v>101220</v>
      </c>
      <c r="F2149" s="6" t="s">
        <v>4151</v>
      </c>
      <c r="G2149" s="15" t="str">
        <f>VLOOKUP(A2149,Movie!A:D,4,FALSE)</f>
        <v>Weinstein Company</v>
      </c>
      <c r="H2149" s="14">
        <f>VLOOKUP(E2149,'Rental Transaction'!A:B,2,FALSE)</f>
        <v>229742</v>
      </c>
      <c r="I2149">
        <f t="shared" si="33"/>
        <v>2013</v>
      </c>
    </row>
    <row r="2150" spans="1:9">
      <c r="A2150" s="1">
        <v>10101</v>
      </c>
      <c r="B2150" s="1">
        <v>5</v>
      </c>
      <c r="C2150" s="2">
        <v>41473</v>
      </c>
      <c r="D2150" s="1" t="s">
        <v>2005</v>
      </c>
      <c r="E2150" s="1">
        <v>101221</v>
      </c>
      <c r="F2150" s="6" t="s">
        <v>4152</v>
      </c>
      <c r="G2150" s="15" t="str">
        <f>VLOOKUP(A2150,Movie!A:D,4,FALSE)</f>
        <v>Sony</v>
      </c>
      <c r="H2150" s="14">
        <f>VLOOKUP(E2150,'Rental Transaction'!A:B,2,FALSE)</f>
        <v>498970</v>
      </c>
      <c r="I2150">
        <f t="shared" si="33"/>
        <v>2013</v>
      </c>
    </row>
    <row r="2151" spans="1:9">
      <c r="A2151" s="1">
        <v>10184</v>
      </c>
      <c r="B2151" s="1">
        <v>10</v>
      </c>
      <c r="C2151" s="2">
        <v>41472</v>
      </c>
      <c r="D2151" s="1" t="s">
        <v>2002</v>
      </c>
      <c r="E2151" s="1">
        <v>101221</v>
      </c>
      <c r="F2151" s="6" t="s">
        <v>4153</v>
      </c>
      <c r="G2151" s="15" t="str">
        <f>VLOOKUP(A2151,Movie!A:D,4,FALSE)</f>
        <v>Universal</v>
      </c>
      <c r="H2151" s="14">
        <f>VLOOKUP(E2151,'Rental Transaction'!A:B,2,FALSE)</f>
        <v>498970</v>
      </c>
      <c r="I2151">
        <f t="shared" si="33"/>
        <v>2013</v>
      </c>
    </row>
    <row r="2152" spans="1:9">
      <c r="A2152" s="1">
        <v>10090</v>
      </c>
      <c r="B2152" s="1">
        <v>8</v>
      </c>
      <c r="C2152" s="2">
        <v>41472</v>
      </c>
      <c r="D2152" s="1" t="s">
        <v>2002</v>
      </c>
      <c r="E2152" s="1">
        <v>101221</v>
      </c>
      <c r="F2152" s="6" t="s">
        <v>4154</v>
      </c>
      <c r="G2152" s="15" t="str">
        <f>VLOOKUP(A2152,Movie!A:D,4,FALSE)</f>
        <v>Paramount</v>
      </c>
      <c r="H2152" s="14">
        <f>VLOOKUP(E2152,'Rental Transaction'!A:B,2,FALSE)</f>
        <v>498970</v>
      </c>
      <c r="I2152">
        <f t="shared" si="33"/>
        <v>2013</v>
      </c>
    </row>
    <row r="2153" spans="1:9">
      <c r="A2153" s="1">
        <v>10230</v>
      </c>
      <c r="B2153" s="1">
        <v>4</v>
      </c>
      <c r="C2153" s="2">
        <v>41472</v>
      </c>
      <c r="D2153" s="1" t="s">
        <v>2005</v>
      </c>
      <c r="E2153" s="1">
        <v>101222</v>
      </c>
      <c r="F2153" s="6" t="s">
        <v>4155</v>
      </c>
      <c r="G2153" s="15" t="str">
        <f>VLOOKUP(A2153,Movie!A:D,4,FALSE)</f>
        <v>Focus</v>
      </c>
      <c r="H2153" s="14">
        <f>VLOOKUP(E2153,'Rental Transaction'!A:B,2,FALSE)</f>
        <v>422951</v>
      </c>
      <c r="I2153">
        <f t="shared" si="33"/>
        <v>2013</v>
      </c>
    </row>
    <row r="2154" spans="1:9">
      <c r="A2154" s="1">
        <v>10041</v>
      </c>
      <c r="B2154" s="1">
        <v>4</v>
      </c>
      <c r="C2154" s="2">
        <v>41472</v>
      </c>
      <c r="D2154" s="1" t="s">
        <v>2002</v>
      </c>
      <c r="E2154" s="1">
        <v>101223</v>
      </c>
      <c r="F2154" s="6" t="s">
        <v>4156</v>
      </c>
      <c r="G2154" s="15" t="str">
        <f>VLOOKUP(A2154,Movie!A:D,4,FALSE)</f>
        <v>Lionsgate</v>
      </c>
      <c r="H2154" s="14">
        <f>VLOOKUP(E2154,'Rental Transaction'!A:B,2,FALSE)</f>
        <v>289693</v>
      </c>
      <c r="I2154">
        <f t="shared" si="33"/>
        <v>2013</v>
      </c>
    </row>
    <row r="2155" spans="1:9">
      <c r="A2155" s="1">
        <v>10025</v>
      </c>
      <c r="B2155" s="1">
        <v>10</v>
      </c>
      <c r="C2155" s="2">
        <v>41472</v>
      </c>
      <c r="D2155" s="1" t="s">
        <v>2005</v>
      </c>
      <c r="E2155" s="1">
        <v>101223</v>
      </c>
      <c r="F2155" s="6" t="s">
        <v>4157</v>
      </c>
      <c r="G2155" s="15" t="str">
        <f>VLOOKUP(A2155,Movie!A:D,4,FALSE)</f>
        <v>Sony</v>
      </c>
      <c r="H2155" s="14">
        <f>VLOOKUP(E2155,'Rental Transaction'!A:B,2,FALSE)</f>
        <v>289693</v>
      </c>
      <c r="I2155">
        <f t="shared" si="33"/>
        <v>2013</v>
      </c>
    </row>
    <row r="2156" spans="1:9">
      <c r="A2156" s="1">
        <v>10115</v>
      </c>
      <c r="B2156" s="1">
        <v>3</v>
      </c>
      <c r="C2156" s="2">
        <v>41473</v>
      </c>
      <c r="D2156" s="1" t="s">
        <v>2002</v>
      </c>
      <c r="E2156" s="1">
        <v>101223</v>
      </c>
      <c r="F2156" s="6" t="s">
        <v>4158</v>
      </c>
      <c r="G2156" s="15" t="str">
        <f>VLOOKUP(A2156,Movie!A:D,4,FALSE)</f>
        <v>Open Road Films</v>
      </c>
      <c r="H2156" s="14">
        <f>VLOOKUP(E2156,'Rental Transaction'!A:B,2,FALSE)</f>
        <v>289693</v>
      </c>
      <c r="I2156">
        <f t="shared" si="33"/>
        <v>2013</v>
      </c>
    </row>
    <row r="2157" spans="1:9">
      <c r="A2157" s="1">
        <v>10207</v>
      </c>
      <c r="B2157" s="1">
        <v>5</v>
      </c>
      <c r="C2157" s="2">
        <v>41473</v>
      </c>
      <c r="D2157" s="1" t="s">
        <v>2002</v>
      </c>
      <c r="E2157" s="1">
        <v>101224</v>
      </c>
      <c r="F2157" s="6" t="s">
        <v>4159</v>
      </c>
      <c r="G2157" s="15" t="str">
        <f>VLOOKUP(A2157,Movie!A:D,4,FALSE)</f>
        <v>Paramount</v>
      </c>
      <c r="H2157" s="14">
        <f>VLOOKUP(E2157,'Rental Transaction'!A:B,2,FALSE)</f>
        <v>885548</v>
      </c>
      <c r="I2157">
        <f t="shared" si="33"/>
        <v>2013</v>
      </c>
    </row>
    <row r="2158" spans="1:9">
      <c r="A2158" s="1">
        <v>10078</v>
      </c>
      <c r="B2158" s="1">
        <v>3</v>
      </c>
      <c r="C2158" s="2">
        <v>41473</v>
      </c>
      <c r="D2158" s="1" t="s">
        <v>2005</v>
      </c>
      <c r="E2158" s="1">
        <v>101224</v>
      </c>
      <c r="F2158" s="6" t="s">
        <v>4160</v>
      </c>
      <c r="G2158" s="15" t="str">
        <f>VLOOKUP(A2158,Movie!A:D,4,FALSE)</f>
        <v>Paramount</v>
      </c>
      <c r="H2158" s="14">
        <f>VLOOKUP(E2158,'Rental Transaction'!A:B,2,FALSE)</f>
        <v>885548</v>
      </c>
      <c r="I2158">
        <f t="shared" si="33"/>
        <v>2013</v>
      </c>
    </row>
    <row r="2159" spans="1:9">
      <c r="A2159" s="1">
        <v>10035</v>
      </c>
      <c r="B2159" s="1">
        <v>10</v>
      </c>
      <c r="C2159" s="2">
        <v>41473</v>
      </c>
      <c r="D2159" s="1" t="s">
        <v>2005</v>
      </c>
      <c r="E2159" s="1">
        <v>101225</v>
      </c>
      <c r="F2159" s="6" t="s">
        <v>4161</v>
      </c>
      <c r="G2159" s="15" t="str">
        <f>VLOOKUP(A2159,Movie!A:D,4,FALSE)</f>
        <v>Sony</v>
      </c>
      <c r="H2159" s="14">
        <f>VLOOKUP(E2159,'Rental Transaction'!A:B,2,FALSE)</f>
        <v>814512</v>
      </c>
      <c r="I2159">
        <f t="shared" si="33"/>
        <v>2013</v>
      </c>
    </row>
    <row r="2160" spans="1:9" ht="29.25">
      <c r="A2160" s="1">
        <v>10246</v>
      </c>
      <c r="B2160" s="1">
        <v>3</v>
      </c>
      <c r="C2160" s="2">
        <v>41474</v>
      </c>
      <c r="D2160" s="1" t="s">
        <v>2005</v>
      </c>
      <c r="E2160" s="1">
        <v>101226</v>
      </c>
      <c r="F2160" s="6" t="s">
        <v>4162</v>
      </c>
      <c r="G2160" s="15" t="str">
        <f>VLOOKUP(A2160,Movie!A:D,4,FALSE)</f>
        <v>Weinstein Company</v>
      </c>
      <c r="H2160" s="14">
        <f>VLOOKUP(E2160,'Rental Transaction'!A:B,2,FALSE)</f>
        <v>808869</v>
      </c>
      <c r="I2160">
        <f t="shared" si="33"/>
        <v>2013</v>
      </c>
    </row>
    <row r="2161" spans="1:9">
      <c r="A2161" s="1">
        <v>10124</v>
      </c>
      <c r="B2161" s="1">
        <v>3</v>
      </c>
      <c r="C2161" s="2">
        <v>41473</v>
      </c>
      <c r="D2161" s="1" t="s">
        <v>2002</v>
      </c>
      <c r="E2161" s="1">
        <v>101227</v>
      </c>
      <c r="F2161" s="6" t="s">
        <v>4163</v>
      </c>
      <c r="G2161" s="15" t="str">
        <f>VLOOKUP(A2161,Movie!A:D,4,FALSE)</f>
        <v>Paramount</v>
      </c>
      <c r="H2161" s="14">
        <f>VLOOKUP(E2161,'Rental Transaction'!A:B,2,FALSE)</f>
        <v>420981</v>
      </c>
      <c r="I2161">
        <f t="shared" si="33"/>
        <v>2013</v>
      </c>
    </row>
    <row r="2162" spans="1:9">
      <c r="A2162" s="1">
        <v>10270</v>
      </c>
      <c r="B2162" s="1">
        <v>10</v>
      </c>
      <c r="C2162" s="2">
        <v>41473</v>
      </c>
      <c r="D2162" s="1" t="s">
        <v>2002</v>
      </c>
      <c r="E2162" s="1">
        <v>101228</v>
      </c>
      <c r="F2162" s="6" t="s">
        <v>4164</v>
      </c>
      <c r="G2162" s="15" t="str">
        <f>VLOOKUP(A2162,Movie!A:D,4,FALSE)</f>
        <v>Fox</v>
      </c>
      <c r="H2162" s="14">
        <f>VLOOKUP(E2162,'Rental Transaction'!A:B,2,FALSE)</f>
        <v>422592</v>
      </c>
      <c r="I2162">
        <f t="shared" si="33"/>
        <v>2013</v>
      </c>
    </row>
    <row r="2163" spans="1:9">
      <c r="A2163" s="1">
        <v>10299</v>
      </c>
      <c r="B2163" s="1">
        <v>4</v>
      </c>
      <c r="C2163" s="2">
        <v>41473</v>
      </c>
      <c r="D2163" s="1" t="s">
        <v>2005</v>
      </c>
      <c r="E2163" s="1">
        <v>101228</v>
      </c>
      <c r="F2163" s="6" t="s">
        <v>4165</v>
      </c>
      <c r="G2163" s="15" t="str">
        <f>VLOOKUP(A2163,Movie!A:D,4,FALSE)</f>
        <v>Radius-TWC</v>
      </c>
      <c r="H2163" s="14">
        <f>VLOOKUP(E2163,'Rental Transaction'!A:B,2,FALSE)</f>
        <v>422592</v>
      </c>
      <c r="I2163">
        <f t="shared" si="33"/>
        <v>2013</v>
      </c>
    </row>
    <row r="2164" spans="1:9">
      <c r="A2164" s="1">
        <v>10203</v>
      </c>
      <c r="B2164" s="1">
        <v>3</v>
      </c>
      <c r="C2164" s="2">
        <v>41473</v>
      </c>
      <c r="D2164" s="1" t="s">
        <v>2005</v>
      </c>
      <c r="E2164" s="1">
        <v>101229</v>
      </c>
      <c r="F2164" s="6" t="s">
        <v>4166</v>
      </c>
      <c r="G2164" s="15" t="str">
        <f>VLOOKUP(A2164,Movie!A:D,4,FALSE)</f>
        <v>Buena Vista</v>
      </c>
      <c r="H2164" s="14">
        <f>VLOOKUP(E2164,'Rental Transaction'!A:B,2,FALSE)</f>
        <v>249779</v>
      </c>
      <c r="I2164">
        <f t="shared" si="33"/>
        <v>2013</v>
      </c>
    </row>
    <row r="2165" spans="1:9">
      <c r="A2165" s="1">
        <v>10066</v>
      </c>
      <c r="B2165" s="1">
        <v>7</v>
      </c>
      <c r="C2165" s="2">
        <v>41473</v>
      </c>
      <c r="D2165" s="1" t="s">
        <v>2002</v>
      </c>
      <c r="E2165" s="1">
        <v>101229</v>
      </c>
      <c r="F2165" s="6" t="s">
        <v>4167</v>
      </c>
      <c r="G2165" s="15" t="str">
        <f>VLOOKUP(A2165,Movie!A:D,4,FALSE)</f>
        <v>Buena Vista</v>
      </c>
      <c r="H2165" s="14">
        <f>VLOOKUP(E2165,'Rental Transaction'!A:B,2,FALSE)</f>
        <v>249779</v>
      </c>
      <c r="I2165">
        <f t="shared" si="33"/>
        <v>2013</v>
      </c>
    </row>
    <row r="2166" spans="1:9">
      <c r="A2166" s="1">
        <v>10126</v>
      </c>
      <c r="B2166" s="1">
        <v>3</v>
      </c>
      <c r="C2166" s="2">
        <v>41473</v>
      </c>
      <c r="D2166" s="1" t="s">
        <v>2002</v>
      </c>
      <c r="E2166" s="1">
        <v>101229</v>
      </c>
      <c r="F2166" s="6" t="s">
        <v>4168</v>
      </c>
      <c r="G2166" s="15" t="str">
        <f>VLOOKUP(A2166,Movie!A:D,4,FALSE)</f>
        <v>Fox</v>
      </c>
      <c r="H2166" s="14">
        <f>VLOOKUP(E2166,'Rental Transaction'!A:B,2,FALSE)</f>
        <v>249779</v>
      </c>
      <c r="I2166">
        <f t="shared" si="33"/>
        <v>2013</v>
      </c>
    </row>
    <row r="2167" spans="1:9">
      <c r="A2167" s="1">
        <v>10097</v>
      </c>
      <c r="B2167" s="1">
        <v>2</v>
      </c>
      <c r="C2167" s="2">
        <v>41474</v>
      </c>
      <c r="D2167" s="1" t="s">
        <v>2002</v>
      </c>
      <c r="E2167" s="1">
        <v>101230</v>
      </c>
      <c r="F2167" s="6" t="s">
        <v>4169</v>
      </c>
      <c r="G2167" s="15" t="str">
        <f>VLOOKUP(A2167,Movie!A:D,4,FALSE)</f>
        <v>Screen Gems</v>
      </c>
      <c r="H2167" s="14">
        <f>VLOOKUP(E2167,'Rental Transaction'!A:B,2,FALSE)</f>
        <v>719921</v>
      </c>
      <c r="I2167">
        <f t="shared" si="33"/>
        <v>2013</v>
      </c>
    </row>
    <row r="2168" spans="1:9">
      <c r="A2168" s="1">
        <v>10168</v>
      </c>
      <c r="B2168" s="1">
        <v>2</v>
      </c>
      <c r="C2168" s="2">
        <v>41473</v>
      </c>
      <c r="D2168" s="1" t="s">
        <v>2005</v>
      </c>
      <c r="E2168" s="1">
        <v>101230</v>
      </c>
      <c r="F2168" s="6" t="s">
        <v>4170</v>
      </c>
      <c r="G2168" s="15" t="str">
        <f>VLOOKUP(A2168,Movie!A:D,4,FALSE)</f>
        <v>Paramount</v>
      </c>
      <c r="H2168" s="14">
        <f>VLOOKUP(E2168,'Rental Transaction'!A:B,2,FALSE)</f>
        <v>719921</v>
      </c>
      <c r="I2168">
        <f t="shared" si="33"/>
        <v>2013</v>
      </c>
    </row>
    <row r="2169" spans="1:9">
      <c r="A2169" s="1">
        <v>10274</v>
      </c>
      <c r="B2169" s="1">
        <v>10</v>
      </c>
      <c r="C2169" s="2">
        <v>41474</v>
      </c>
      <c r="D2169" s="1" t="s">
        <v>2002</v>
      </c>
      <c r="E2169" s="1">
        <v>101230</v>
      </c>
      <c r="F2169" s="6" t="s">
        <v>4171</v>
      </c>
      <c r="G2169" s="15" t="str">
        <f>VLOOKUP(A2169,Movie!A:D,4,FALSE)</f>
        <v>Fox</v>
      </c>
      <c r="H2169" s="14">
        <f>VLOOKUP(E2169,'Rental Transaction'!A:B,2,FALSE)</f>
        <v>719921</v>
      </c>
      <c r="I2169">
        <f t="shared" si="33"/>
        <v>2013</v>
      </c>
    </row>
    <row r="2170" spans="1:9">
      <c r="A2170" s="1">
        <v>10223</v>
      </c>
      <c r="B2170" s="1">
        <v>8</v>
      </c>
      <c r="C2170" s="2">
        <v>41473</v>
      </c>
      <c r="D2170" s="1" t="s">
        <v>2002</v>
      </c>
      <c r="E2170" s="1">
        <v>101231</v>
      </c>
      <c r="F2170" s="6" t="s">
        <v>4172</v>
      </c>
      <c r="G2170" s="15" t="str">
        <f>VLOOKUP(A2170,Movie!A:D,4,FALSE)</f>
        <v>Universal</v>
      </c>
      <c r="H2170" s="14">
        <f>VLOOKUP(E2170,'Rental Transaction'!A:B,2,FALSE)</f>
        <v>608290</v>
      </c>
      <c r="I2170">
        <f t="shared" si="33"/>
        <v>2013</v>
      </c>
    </row>
    <row r="2171" spans="1:9">
      <c r="A2171" s="1">
        <v>10082</v>
      </c>
      <c r="B2171" s="1">
        <v>2</v>
      </c>
      <c r="C2171" s="2">
        <v>41473</v>
      </c>
      <c r="D2171" s="1" t="s">
        <v>2002</v>
      </c>
      <c r="E2171" s="1">
        <v>101231</v>
      </c>
      <c r="F2171" s="6" t="s">
        <v>4173</v>
      </c>
      <c r="G2171" s="15" t="str">
        <f>VLOOKUP(A2171,Movie!A:D,4,FALSE)</f>
        <v>Buena Vista</v>
      </c>
      <c r="H2171" s="14">
        <f>VLOOKUP(E2171,'Rental Transaction'!A:B,2,FALSE)</f>
        <v>608290</v>
      </c>
      <c r="I2171">
        <f t="shared" si="33"/>
        <v>2013</v>
      </c>
    </row>
    <row r="2172" spans="1:9">
      <c r="A2172" s="1">
        <v>10033</v>
      </c>
      <c r="B2172" s="1">
        <v>7</v>
      </c>
      <c r="C2172" s="2">
        <v>41473</v>
      </c>
      <c r="D2172" s="1" t="s">
        <v>2002</v>
      </c>
      <c r="E2172" s="1">
        <v>101232</v>
      </c>
      <c r="F2172" s="6" t="s">
        <v>4174</v>
      </c>
      <c r="G2172" s="15" t="str">
        <f>VLOOKUP(A2172,Movie!A:D,4,FALSE)</f>
        <v>Lionsgate</v>
      </c>
      <c r="H2172" s="14">
        <f>VLOOKUP(E2172,'Rental Transaction'!A:B,2,FALSE)</f>
        <v>498970</v>
      </c>
      <c r="I2172">
        <f t="shared" si="33"/>
        <v>2013</v>
      </c>
    </row>
    <row r="2173" spans="1:9">
      <c r="A2173" s="1">
        <v>10079</v>
      </c>
      <c r="B2173" s="1">
        <v>2</v>
      </c>
      <c r="C2173" s="2">
        <v>41473</v>
      </c>
      <c r="D2173" s="1" t="s">
        <v>2002</v>
      </c>
      <c r="E2173" s="1">
        <v>101232</v>
      </c>
      <c r="F2173" s="6" t="s">
        <v>4175</v>
      </c>
      <c r="G2173" s="15" t="str">
        <f>VLOOKUP(A2173,Movie!A:D,4,FALSE)</f>
        <v>Warner Brothers</v>
      </c>
      <c r="H2173" s="14">
        <f>VLOOKUP(E2173,'Rental Transaction'!A:B,2,FALSE)</f>
        <v>498970</v>
      </c>
      <c r="I2173">
        <f t="shared" si="33"/>
        <v>2013</v>
      </c>
    </row>
    <row r="2174" spans="1:9">
      <c r="A2174" s="1">
        <v>10109</v>
      </c>
      <c r="B2174" s="1">
        <v>5</v>
      </c>
      <c r="C2174" s="2">
        <v>41473</v>
      </c>
      <c r="D2174" s="1" t="s">
        <v>2002</v>
      </c>
      <c r="E2174" s="1">
        <v>101233</v>
      </c>
      <c r="F2174" s="6" t="s">
        <v>4176</v>
      </c>
      <c r="G2174" s="15" t="str">
        <f>VLOOKUP(A2174,Movie!A:D,4,FALSE)</f>
        <v>Warner Brothers</v>
      </c>
      <c r="H2174" s="14">
        <f>VLOOKUP(E2174,'Rental Transaction'!A:B,2,FALSE)</f>
        <v>559486</v>
      </c>
      <c r="I2174">
        <f t="shared" si="33"/>
        <v>2013</v>
      </c>
    </row>
    <row r="2175" spans="1:9">
      <c r="A2175" s="1">
        <v>10166</v>
      </c>
      <c r="B2175" s="1">
        <v>7</v>
      </c>
      <c r="C2175" s="2">
        <v>41473</v>
      </c>
      <c r="D2175" s="1" t="s">
        <v>2002</v>
      </c>
      <c r="E2175" s="1">
        <v>101233</v>
      </c>
      <c r="F2175" s="6" t="s">
        <v>4177</v>
      </c>
      <c r="G2175" s="15" t="str">
        <f>VLOOKUP(A2175,Movie!A:D,4,FALSE)</f>
        <v>Fox</v>
      </c>
      <c r="H2175" s="14">
        <f>VLOOKUP(E2175,'Rental Transaction'!A:B,2,FALSE)</f>
        <v>559486</v>
      </c>
      <c r="I2175">
        <f t="shared" si="33"/>
        <v>2013</v>
      </c>
    </row>
    <row r="2176" spans="1:9">
      <c r="A2176" s="1">
        <v>10261</v>
      </c>
      <c r="B2176" s="1">
        <v>5</v>
      </c>
      <c r="C2176" s="2">
        <v>41474</v>
      </c>
      <c r="D2176" s="1" t="s">
        <v>2002</v>
      </c>
      <c r="E2176" s="1">
        <v>101233</v>
      </c>
      <c r="F2176" s="6" t="s">
        <v>4178</v>
      </c>
      <c r="G2176" s="15" t="str">
        <f>VLOOKUP(A2176,Movie!A:D,4,FALSE)</f>
        <v>Fox</v>
      </c>
      <c r="H2176" s="14">
        <f>VLOOKUP(E2176,'Rental Transaction'!A:B,2,FALSE)</f>
        <v>559486</v>
      </c>
      <c r="I2176">
        <f t="shared" si="33"/>
        <v>2013</v>
      </c>
    </row>
    <row r="2177" spans="1:9">
      <c r="A2177" s="1">
        <v>10217</v>
      </c>
      <c r="B2177" s="1">
        <v>10</v>
      </c>
      <c r="C2177" s="2">
        <v>41473</v>
      </c>
      <c r="D2177" s="1" t="s">
        <v>2002</v>
      </c>
      <c r="E2177" s="1">
        <v>101234</v>
      </c>
      <c r="F2177" s="6" t="s">
        <v>4179</v>
      </c>
      <c r="G2177" s="15" t="str">
        <f>VLOOKUP(A2177,Movie!A:D,4,FALSE)</f>
        <v>Warner Brothers</v>
      </c>
      <c r="H2177" s="14">
        <f>VLOOKUP(E2177,'Rental Transaction'!A:B,2,FALSE)</f>
        <v>892883</v>
      </c>
      <c r="I2177">
        <f t="shared" si="33"/>
        <v>2013</v>
      </c>
    </row>
    <row r="2178" spans="1:9">
      <c r="A2178" s="1">
        <v>10159</v>
      </c>
      <c r="B2178" s="1">
        <v>8</v>
      </c>
      <c r="C2178" s="2">
        <v>41474</v>
      </c>
      <c r="D2178" s="1" t="s">
        <v>2002</v>
      </c>
      <c r="E2178" s="1">
        <v>101234</v>
      </c>
      <c r="F2178" s="6" t="s">
        <v>4180</v>
      </c>
      <c r="G2178" s="15" t="str">
        <f>VLOOKUP(A2178,Movie!A:D,4,FALSE)</f>
        <v>Lionsgate</v>
      </c>
      <c r="H2178" s="14">
        <f>VLOOKUP(E2178,'Rental Transaction'!A:B,2,FALSE)</f>
        <v>892883</v>
      </c>
      <c r="I2178">
        <f t="shared" si="33"/>
        <v>2013</v>
      </c>
    </row>
    <row r="2179" spans="1:9">
      <c r="A2179" s="1">
        <v>10072</v>
      </c>
      <c r="B2179" s="1">
        <v>9</v>
      </c>
      <c r="C2179" s="2">
        <v>41473</v>
      </c>
      <c r="D2179" s="1" t="s">
        <v>2005</v>
      </c>
      <c r="E2179" s="1">
        <v>101234</v>
      </c>
      <c r="F2179" s="6" t="s">
        <v>4181</v>
      </c>
      <c r="G2179" s="15" t="str">
        <f>VLOOKUP(A2179,Movie!A:D,4,FALSE)</f>
        <v>Paramount</v>
      </c>
      <c r="H2179" s="14">
        <f>VLOOKUP(E2179,'Rental Transaction'!A:B,2,FALSE)</f>
        <v>892883</v>
      </c>
      <c r="I2179">
        <f t="shared" ref="I2179:I2242" si="34">YEAR(C2179)</f>
        <v>2013</v>
      </c>
    </row>
    <row r="2180" spans="1:9">
      <c r="A2180" s="1">
        <v>10214</v>
      </c>
      <c r="B2180" s="1">
        <v>8</v>
      </c>
      <c r="C2180" s="2">
        <v>41473</v>
      </c>
      <c r="D2180" s="1" t="s">
        <v>2002</v>
      </c>
      <c r="E2180" s="1">
        <v>101235</v>
      </c>
      <c r="F2180" s="6" t="s">
        <v>4182</v>
      </c>
      <c r="G2180" s="15" t="str">
        <f>VLOOKUP(A2180,Movie!A:D,4,FALSE)</f>
        <v>RM</v>
      </c>
      <c r="H2180" s="14">
        <f>VLOOKUP(E2180,'Rental Transaction'!A:B,2,FALSE)</f>
        <v>672834</v>
      </c>
      <c r="I2180">
        <f t="shared" si="34"/>
        <v>2013</v>
      </c>
    </row>
    <row r="2181" spans="1:9">
      <c r="A2181" s="1">
        <v>10101</v>
      </c>
      <c r="B2181" s="1">
        <v>8</v>
      </c>
      <c r="C2181" s="2">
        <v>41473</v>
      </c>
      <c r="D2181" s="1" t="s">
        <v>2005</v>
      </c>
      <c r="E2181" s="1">
        <v>101235</v>
      </c>
      <c r="F2181" s="6" t="s">
        <v>4183</v>
      </c>
      <c r="G2181" s="15" t="str">
        <f>VLOOKUP(A2181,Movie!A:D,4,FALSE)</f>
        <v>Sony</v>
      </c>
      <c r="H2181" s="14">
        <f>VLOOKUP(E2181,'Rental Transaction'!A:B,2,FALSE)</f>
        <v>672834</v>
      </c>
      <c r="I2181">
        <f t="shared" si="34"/>
        <v>2013</v>
      </c>
    </row>
    <row r="2182" spans="1:9">
      <c r="A2182" s="1">
        <v>10018</v>
      </c>
      <c r="B2182" s="1">
        <v>10</v>
      </c>
      <c r="C2182" s="2">
        <v>41474</v>
      </c>
      <c r="D2182" s="1" t="s">
        <v>2002</v>
      </c>
      <c r="E2182" s="1">
        <v>101236</v>
      </c>
      <c r="F2182" s="6" t="s">
        <v>4184</v>
      </c>
      <c r="G2182" s="15" t="str">
        <f>VLOOKUP(A2182,Movie!A:D,4,FALSE)</f>
        <v>Fox</v>
      </c>
      <c r="H2182" s="14">
        <f>VLOOKUP(E2182,'Rental Transaction'!A:B,2,FALSE)</f>
        <v>520377</v>
      </c>
      <c r="I2182">
        <f t="shared" si="34"/>
        <v>2013</v>
      </c>
    </row>
    <row r="2183" spans="1:9">
      <c r="A2183" s="1">
        <v>10250</v>
      </c>
      <c r="B2183" s="1">
        <v>4</v>
      </c>
      <c r="C2183" s="2">
        <v>41473</v>
      </c>
      <c r="D2183" s="1" t="s">
        <v>2005</v>
      </c>
      <c r="E2183" s="1">
        <v>101236</v>
      </c>
      <c r="F2183" s="6" t="s">
        <v>4185</v>
      </c>
      <c r="G2183" s="15" t="str">
        <f>VLOOKUP(A2183,Movie!A:D,4,FALSE)</f>
        <v>Buena Vista</v>
      </c>
      <c r="H2183" s="14">
        <f>VLOOKUP(E2183,'Rental Transaction'!A:B,2,FALSE)</f>
        <v>520377</v>
      </c>
      <c r="I2183">
        <f t="shared" si="34"/>
        <v>2013</v>
      </c>
    </row>
    <row r="2184" spans="1:9">
      <c r="A2184" s="1">
        <v>10278</v>
      </c>
      <c r="B2184" s="1">
        <v>10</v>
      </c>
      <c r="C2184" s="2">
        <v>41473</v>
      </c>
      <c r="D2184" s="1" t="s">
        <v>2005</v>
      </c>
      <c r="E2184" s="1">
        <v>101237</v>
      </c>
      <c r="F2184" s="6" t="s">
        <v>4186</v>
      </c>
      <c r="G2184" s="15" t="str">
        <f>VLOOKUP(A2184,Movie!A:D,4,FALSE)</f>
        <v>Universal</v>
      </c>
      <c r="H2184" s="14">
        <f>VLOOKUP(E2184,'Rental Transaction'!A:B,2,FALSE)</f>
        <v>663029</v>
      </c>
      <c r="I2184">
        <f t="shared" si="34"/>
        <v>2013</v>
      </c>
    </row>
    <row r="2185" spans="1:9">
      <c r="A2185" s="1">
        <v>10068</v>
      </c>
      <c r="B2185" s="1">
        <v>4</v>
      </c>
      <c r="C2185" s="2">
        <v>41473</v>
      </c>
      <c r="D2185" s="1" t="s">
        <v>2002</v>
      </c>
      <c r="E2185" s="1">
        <v>101237</v>
      </c>
      <c r="F2185" s="6" t="s">
        <v>4187</v>
      </c>
      <c r="G2185" s="15" t="str">
        <f>VLOOKUP(A2185,Movie!A:D,4,FALSE)</f>
        <v>Warner Brothers</v>
      </c>
      <c r="H2185" s="14">
        <f>VLOOKUP(E2185,'Rental Transaction'!A:B,2,FALSE)</f>
        <v>663029</v>
      </c>
      <c r="I2185">
        <f t="shared" si="34"/>
        <v>2013</v>
      </c>
    </row>
    <row r="2186" spans="1:9">
      <c r="A2186" s="1">
        <v>10003</v>
      </c>
      <c r="B2186" s="1">
        <v>2</v>
      </c>
      <c r="C2186" s="2">
        <v>41473</v>
      </c>
      <c r="D2186" s="1" t="s">
        <v>2005</v>
      </c>
      <c r="E2186" s="1">
        <v>101238</v>
      </c>
      <c r="F2186" s="6" t="s">
        <v>4188</v>
      </c>
      <c r="G2186" s="15" t="str">
        <f>VLOOKUP(A2186,Movie!A:D,4,FALSE)</f>
        <v>Paramount</v>
      </c>
      <c r="H2186" s="14">
        <f>VLOOKUP(E2186,'Rental Transaction'!A:B,2,FALSE)</f>
        <v>890270</v>
      </c>
      <c r="I2186">
        <f t="shared" si="34"/>
        <v>2013</v>
      </c>
    </row>
    <row r="2187" spans="1:9">
      <c r="A2187" s="1">
        <v>10237</v>
      </c>
      <c r="B2187" s="1">
        <v>9</v>
      </c>
      <c r="C2187" s="2">
        <v>41476</v>
      </c>
      <c r="D2187" s="1" t="s">
        <v>2005</v>
      </c>
      <c r="E2187" s="1">
        <v>101239</v>
      </c>
      <c r="F2187" s="6" t="s">
        <v>4189</v>
      </c>
      <c r="G2187" s="15" t="str">
        <f>VLOOKUP(A2187,Movie!A:D,4,FALSE)</f>
        <v>Warner Brothers</v>
      </c>
      <c r="H2187" s="14">
        <f>VLOOKUP(E2187,'Rental Transaction'!A:B,2,FALSE)</f>
        <v>761615</v>
      </c>
      <c r="I2187">
        <f t="shared" si="34"/>
        <v>2013</v>
      </c>
    </row>
    <row r="2188" spans="1:9">
      <c r="A2188" s="1">
        <v>10018</v>
      </c>
      <c r="B2188" s="1">
        <v>6</v>
      </c>
      <c r="C2188" s="2">
        <v>41474</v>
      </c>
      <c r="D2188" s="1" t="s">
        <v>2005</v>
      </c>
      <c r="E2188" s="1">
        <v>101239</v>
      </c>
      <c r="F2188" s="6" t="s">
        <v>4190</v>
      </c>
      <c r="G2188" s="15" t="str">
        <f>VLOOKUP(A2188,Movie!A:D,4,FALSE)</f>
        <v>Fox</v>
      </c>
      <c r="H2188" s="14">
        <f>VLOOKUP(E2188,'Rental Transaction'!A:B,2,FALSE)</f>
        <v>761615</v>
      </c>
      <c r="I2188">
        <f t="shared" si="34"/>
        <v>2013</v>
      </c>
    </row>
    <row r="2189" spans="1:9">
      <c r="A2189" s="1">
        <v>10155</v>
      </c>
      <c r="B2189" s="1">
        <v>4</v>
      </c>
      <c r="C2189" s="2">
        <v>41474</v>
      </c>
      <c r="D2189" s="1" t="s">
        <v>2005</v>
      </c>
      <c r="E2189" s="1">
        <v>101240</v>
      </c>
      <c r="F2189" s="6" t="s">
        <v>4191</v>
      </c>
      <c r="G2189" s="15" t="str">
        <f>VLOOKUP(A2189,Movie!A:D,4,FALSE)</f>
        <v>Fox</v>
      </c>
      <c r="H2189" s="14">
        <f>VLOOKUP(E2189,'Rental Transaction'!A:B,2,FALSE)</f>
        <v>552124</v>
      </c>
      <c r="I2189">
        <f t="shared" si="34"/>
        <v>2013</v>
      </c>
    </row>
    <row r="2190" spans="1:9">
      <c r="A2190" s="1">
        <v>10247</v>
      </c>
      <c r="B2190" s="1">
        <v>4</v>
      </c>
      <c r="C2190" s="2">
        <v>41474</v>
      </c>
      <c r="D2190" s="1" t="s">
        <v>2002</v>
      </c>
      <c r="E2190" s="1">
        <v>101240</v>
      </c>
      <c r="F2190" s="6" t="s">
        <v>4192</v>
      </c>
      <c r="G2190" s="15" t="str">
        <f>VLOOKUP(A2190,Movie!A:D,4,FALSE)</f>
        <v>Fox</v>
      </c>
      <c r="H2190" s="14">
        <f>VLOOKUP(E2190,'Rental Transaction'!A:B,2,FALSE)</f>
        <v>552124</v>
      </c>
      <c r="I2190">
        <f t="shared" si="34"/>
        <v>2013</v>
      </c>
    </row>
    <row r="2191" spans="1:9" ht="29.25">
      <c r="A2191" s="1">
        <v>10144</v>
      </c>
      <c r="B2191" s="1">
        <v>3</v>
      </c>
      <c r="C2191" s="2">
        <v>41474</v>
      </c>
      <c r="D2191" s="1" t="s">
        <v>2002</v>
      </c>
      <c r="E2191" s="1">
        <v>101241</v>
      </c>
      <c r="F2191" s="6" t="s">
        <v>4193</v>
      </c>
      <c r="G2191" s="15" t="str">
        <f>VLOOKUP(A2191,Movie!A:D,4,FALSE)</f>
        <v>Weinstein Company</v>
      </c>
      <c r="H2191" s="14">
        <f>VLOOKUP(E2191,'Rental Transaction'!A:B,2,FALSE)</f>
        <v>487346</v>
      </c>
      <c r="I2191">
        <f t="shared" si="34"/>
        <v>2013</v>
      </c>
    </row>
    <row r="2192" spans="1:9">
      <c r="A2192" s="1">
        <v>10113</v>
      </c>
      <c r="B2192" s="1">
        <v>10</v>
      </c>
      <c r="C2192" s="2">
        <v>41474</v>
      </c>
      <c r="D2192" s="1" t="s">
        <v>2005</v>
      </c>
      <c r="E2192" s="1">
        <v>101242</v>
      </c>
      <c r="F2192" s="6" t="s">
        <v>4194</v>
      </c>
      <c r="G2192" s="15" t="str">
        <f>VLOOKUP(A2192,Movie!A:D,4,FALSE)</f>
        <v>Lionsgate</v>
      </c>
      <c r="H2192" s="14">
        <f>VLOOKUP(E2192,'Rental Transaction'!A:B,2,FALSE)</f>
        <v>470304</v>
      </c>
      <c r="I2192">
        <f t="shared" si="34"/>
        <v>2013</v>
      </c>
    </row>
    <row r="2193" spans="1:9">
      <c r="A2193" s="1">
        <v>10210</v>
      </c>
      <c r="B2193" s="1">
        <v>3</v>
      </c>
      <c r="C2193" s="2">
        <v>41475</v>
      </c>
      <c r="D2193" s="1" t="s">
        <v>2002</v>
      </c>
      <c r="E2193" s="1">
        <v>101243</v>
      </c>
      <c r="F2193" s="6" t="s">
        <v>4195</v>
      </c>
      <c r="G2193" s="15" t="str">
        <f>VLOOKUP(A2193,Movie!A:D,4,FALSE)</f>
        <v>Sony</v>
      </c>
      <c r="H2193" s="14">
        <f>VLOOKUP(E2193,'Rental Transaction'!A:B,2,FALSE)</f>
        <v>789065</v>
      </c>
      <c r="I2193">
        <f t="shared" si="34"/>
        <v>2013</v>
      </c>
    </row>
    <row r="2194" spans="1:9">
      <c r="A2194" s="1">
        <v>10211</v>
      </c>
      <c r="B2194" s="1">
        <v>8</v>
      </c>
      <c r="C2194" s="2">
        <v>41474</v>
      </c>
      <c r="D2194" s="1" t="s">
        <v>2005</v>
      </c>
      <c r="E2194" s="1">
        <v>101243</v>
      </c>
      <c r="F2194" s="6" t="s">
        <v>4196</v>
      </c>
      <c r="G2194" s="15" t="str">
        <f>VLOOKUP(A2194,Movie!A:D,4,FALSE)</f>
        <v>Buena Vista</v>
      </c>
      <c r="H2194" s="14">
        <f>VLOOKUP(E2194,'Rental Transaction'!A:B,2,FALSE)</f>
        <v>789065</v>
      </c>
      <c r="I2194">
        <f t="shared" si="34"/>
        <v>2013</v>
      </c>
    </row>
    <row r="2195" spans="1:9">
      <c r="A2195" s="1">
        <v>10270</v>
      </c>
      <c r="B2195" s="1">
        <v>9</v>
      </c>
      <c r="C2195" s="2">
        <v>41474</v>
      </c>
      <c r="D2195" s="1" t="s">
        <v>2005</v>
      </c>
      <c r="E2195" s="1">
        <v>101244</v>
      </c>
      <c r="F2195" s="6" t="s">
        <v>4197</v>
      </c>
      <c r="G2195" s="15" t="str">
        <f>VLOOKUP(A2195,Movie!A:D,4,FALSE)</f>
        <v>Fox</v>
      </c>
      <c r="H2195" s="14">
        <f>VLOOKUP(E2195,'Rental Transaction'!A:B,2,FALSE)</f>
        <v>317807</v>
      </c>
      <c r="I2195">
        <f t="shared" si="34"/>
        <v>2013</v>
      </c>
    </row>
    <row r="2196" spans="1:9">
      <c r="A2196" s="1">
        <v>10157</v>
      </c>
      <c r="B2196" s="1">
        <v>1</v>
      </c>
      <c r="C2196" s="2">
        <v>41474</v>
      </c>
      <c r="D2196" s="1" t="s">
        <v>2002</v>
      </c>
      <c r="E2196" s="1">
        <v>101244</v>
      </c>
      <c r="F2196" s="6" t="s">
        <v>4198</v>
      </c>
      <c r="G2196" s="15" t="str">
        <f>VLOOKUP(A2196,Movie!A:D,4,FALSE)</f>
        <v>Paramount</v>
      </c>
      <c r="H2196" s="14">
        <f>VLOOKUP(E2196,'Rental Transaction'!A:B,2,FALSE)</f>
        <v>317807</v>
      </c>
      <c r="I2196">
        <f t="shared" si="34"/>
        <v>2013</v>
      </c>
    </row>
    <row r="2197" spans="1:9">
      <c r="A2197" s="1">
        <v>10129</v>
      </c>
      <c r="B2197" s="1">
        <v>5</v>
      </c>
      <c r="C2197" s="2">
        <v>41475</v>
      </c>
      <c r="D2197" s="1" t="s">
        <v>2002</v>
      </c>
      <c r="E2197" s="1">
        <v>101245</v>
      </c>
      <c r="F2197" s="6" t="s">
        <v>4199</v>
      </c>
      <c r="G2197" s="15" t="str">
        <f>VLOOKUP(A2197,Movie!A:D,4,FALSE)</f>
        <v>Warner Brothers</v>
      </c>
      <c r="H2197" s="14">
        <f>VLOOKUP(E2197,'Rental Transaction'!A:B,2,FALSE)</f>
        <v>448993</v>
      </c>
      <c r="I2197">
        <f t="shared" si="34"/>
        <v>2013</v>
      </c>
    </row>
    <row r="2198" spans="1:9">
      <c r="A2198" s="1">
        <v>10060</v>
      </c>
      <c r="B2198" s="1">
        <v>5</v>
      </c>
      <c r="C2198" s="2">
        <v>41476</v>
      </c>
      <c r="D2198" s="1" t="s">
        <v>2002</v>
      </c>
      <c r="E2198" s="1">
        <v>101245</v>
      </c>
      <c r="F2198" s="6" t="s">
        <v>4200</v>
      </c>
      <c r="G2198" s="15" t="str">
        <f>VLOOKUP(A2198,Movie!A:D,4,FALSE)</f>
        <v>Warner Brothers</v>
      </c>
      <c r="H2198" s="14">
        <f>VLOOKUP(E2198,'Rental Transaction'!A:B,2,FALSE)</f>
        <v>448993</v>
      </c>
      <c r="I2198">
        <f t="shared" si="34"/>
        <v>2013</v>
      </c>
    </row>
    <row r="2199" spans="1:9">
      <c r="A2199" s="1">
        <v>10241</v>
      </c>
      <c r="B2199" s="1">
        <v>4</v>
      </c>
      <c r="C2199" s="2">
        <v>41476</v>
      </c>
      <c r="D2199" s="1" t="s">
        <v>2002</v>
      </c>
      <c r="E2199" s="1">
        <v>101246</v>
      </c>
      <c r="F2199" s="6" t="s">
        <v>4201</v>
      </c>
      <c r="G2199" s="15" t="str">
        <f>VLOOKUP(A2199,Movie!A:D,4,FALSE)</f>
        <v>Warner Brothers</v>
      </c>
      <c r="H2199" s="14">
        <f>VLOOKUP(E2199,'Rental Transaction'!A:B,2,FALSE)</f>
        <v>759995</v>
      </c>
      <c r="I2199">
        <f t="shared" si="34"/>
        <v>2013</v>
      </c>
    </row>
    <row r="2200" spans="1:9">
      <c r="A2200" s="1">
        <v>10106</v>
      </c>
      <c r="B2200" s="1">
        <v>3</v>
      </c>
      <c r="C2200" s="2">
        <v>41475</v>
      </c>
      <c r="D2200" s="1" t="s">
        <v>2002</v>
      </c>
      <c r="E2200" s="1">
        <v>101247</v>
      </c>
      <c r="F2200" s="6" t="s">
        <v>4202</v>
      </c>
      <c r="G2200" s="15" t="str">
        <f>VLOOKUP(A2200,Movie!A:D,4,FALSE)</f>
        <v>Fox</v>
      </c>
      <c r="H2200" s="14">
        <f>VLOOKUP(E2200,'Rental Transaction'!A:B,2,FALSE)</f>
        <v>905670</v>
      </c>
      <c r="I2200">
        <f t="shared" si="34"/>
        <v>2013</v>
      </c>
    </row>
    <row r="2201" spans="1:9">
      <c r="A2201" s="1">
        <v>10041</v>
      </c>
      <c r="B2201" s="1">
        <v>9</v>
      </c>
      <c r="C2201" s="2">
        <v>41476</v>
      </c>
      <c r="D2201" s="1" t="s">
        <v>2002</v>
      </c>
      <c r="E2201" s="1">
        <v>101248</v>
      </c>
      <c r="F2201" s="6" t="s">
        <v>4203</v>
      </c>
      <c r="G2201" s="15" t="str">
        <f>VLOOKUP(A2201,Movie!A:D,4,FALSE)</f>
        <v>Lionsgate</v>
      </c>
      <c r="H2201" s="14">
        <f>VLOOKUP(E2201,'Rental Transaction'!A:B,2,FALSE)</f>
        <v>734514</v>
      </c>
      <c r="I2201">
        <f t="shared" si="34"/>
        <v>2013</v>
      </c>
    </row>
    <row r="2202" spans="1:9">
      <c r="A2202" s="1">
        <v>10295</v>
      </c>
      <c r="B2202" s="1">
        <v>9</v>
      </c>
      <c r="C2202" s="2">
        <v>41475</v>
      </c>
      <c r="D2202" s="1" t="s">
        <v>2002</v>
      </c>
      <c r="E2202" s="1">
        <v>101249</v>
      </c>
      <c r="F2202" s="6" t="s">
        <v>4204</v>
      </c>
      <c r="G2202" s="15" t="str">
        <f>VLOOKUP(A2202,Movie!A:D,4,FALSE)</f>
        <v>A24</v>
      </c>
      <c r="H2202" s="14">
        <f>VLOOKUP(E2202,'Rental Transaction'!A:B,2,FALSE)</f>
        <v>265133</v>
      </c>
      <c r="I2202">
        <f t="shared" si="34"/>
        <v>2013</v>
      </c>
    </row>
    <row r="2203" spans="1:9" ht="29.25">
      <c r="A2203" s="1">
        <v>10154</v>
      </c>
      <c r="B2203" s="1">
        <v>9</v>
      </c>
      <c r="C2203" s="2">
        <v>41475</v>
      </c>
      <c r="D2203" s="1" t="s">
        <v>2002</v>
      </c>
      <c r="E2203" s="1">
        <v>101249</v>
      </c>
      <c r="F2203" s="6" t="s">
        <v>4205</v>
      </c>
      <c r="G2203" s="15" t="str">
        <f>VLOOKUP(A2203,Movie!A:D,4,FALSE)</f>
        <v>Summit Entertainment</v>
      </c>
      <c r="H2203" s="14">
        <f>VLOOKUP(E2203,'Rental Transaction'!A:B,2,FALSE)</f>
        <v>265133</v>
      </c>
      <c r="I2203">
        <f t="shared" si="34"/>
        <v>2013</v>
      </c>
    </row>
    <row r="2204" spans="1:9">
      <c r="A2204" s="1">
        <v>10269</v>
      </c>
      <c r="B2204" s="1">
        <v>10</v>
      </c>
      <c r="C2204" s="2">
        <v>41476</v>
      </c>
      <c r="D2204" s="1" t="s">
        <v>2005</v>
      </c>
      <c r="E2204" s="1">
        <v>101250</v>
      </c>
      <c r="F2204" s="6" t="s">
        <v>4206</v>
      </c>
      <c r="G2204" s="15" t="str">
        <f>VLOOKUP(A2204,Movie!A:D,4,FALSE)</f>
        <v>Buena Vista</v>
      </c>
      <c r="H2204" s="14">
        <f>VLOOKUP(E2204,'Rental Transaction'!A:B,2,FALSE)</f>
        <v>191951</v>
      </c>
      <c r="I2204">
        <f t="shared" si="34"/>
        <v>2013</v>
      </c>
    </row>
    <row r="2205" spans="1:9">
      <c r="A2205" s="1">
        <v>10229</v>
      </c>
      <c r="B2205" s="1">
        <v>3</v>
      </c>
      <c r="C2205" s="2">
        <v>41475</v>
      </c>
      <c r="D2205" s="1" t="s">
        <v>2005</v>
      </c>
      <c r="E2205" s="1">
        <v>101250</v>
      </c>
      <c r="F2205" s="6" t="s">
        <v>4207</v>
      </c>
      <c r="G2205" s="15" t="str">
        <f>VLOOKUP(A2205,Movie!A:D,4,FALSE)</f>
        <v>TriStar</v>
      </c>
      <c r="H2205" s="14">
        <f>VLOOKUP(E2205,'Rental Transaction'!A:B,2,FALSE)</f>
        <v>191951</v>
      </c>
      <c r="I2205">
        <f t="shared" si="34"/>
        <v>2013</v>
      </c>
    </row>
    <row r="2206" spans="1:9">
      <c r="A2206" s="1">
        <v>10007</v>
      </c>
      <c r="B2206" s="1">
        <v>10</v>
      </c>
      <c r="C2206" s="2">
        <v>41475</v>
      </c>
      <c r="D2206" s="1" t="s">
        <v>2002</v>
      </c>
      <c r="E2206" s="1">
        <v>101250</v>
      </c>
      <c r="F2206" s="6" t="s">
        <v>4208</v>
      </c>
      <c r="G2206" s="15" t="str">
        <f>VLOOKUP(A2206,Movie!A:D,4,FALSE)</f>
        <v>Sony</v>
      </c>
      <c r="H2206" s="14">
        <f>VLOOKUP(E2206,'Rental Transaction'!A:B,2,FALSE)</f>
        <v>191951</v>
      </c>
      <c r="I2206">
        <f t="shared" si="34"/>
        <v>2013</v>
      </c>
    </row>
    <row r="2207" spans="1:9">
      <c r="A2207" s="1">
        <v>10179</v>
      </c>
      <c r="B2207" s="1">
        <v>8</v>
      </c>
      <c r="C2207" s="2">
        <v>41475</v>
      </c>
      <c r="D2207" s="1" t="s">
        <v>2002</v>
      </c>
      <c r="E2207" s="1">
        <v>101251</v>
      </c>
      <c r="F2207" s="6" t="s">
        <v>4209</v>
      </c>
      <c r="G2207" s="15" t="str">
        <f>VLOOKUP(A2207,Movie!A:D,4,FALSE)</f>
        <v>Warner Brothers</v>
      </c>
      <c r="H2207" s="14">
        <f>VLOOKUP(E2207,'Rental Transaction'!A:B,2,FALSE)</f>
        <v>882493</v>
      </c>
      <c r="I2207">
        <f t="shared" si="34"/>
        <v>2013</v>
      </c>
    </row>
    <row r="2208" spans="1:9">
      <c r="A2208" s="1">
        <v>10044</v>
      </c>
      <c r="B2208" s="1">
        <v>9</v>
      </c>
      <c r="C2208" s="2">
        <v>41476</v>
      </c>
      <c r="D2208" s="1" t="s">
        <v>2002</v>
      </c>
      <c r="E2208" s="1">
        <v>101252</v>
      </c>
      <c r="F2208" s="6" t="s">
        <v>4210</v>
      </c>
      <c r="G2208" s="15" t="str">
        <f>VLOOKUP(A2208,Movie!A:D,4,FALSE)</f>
        <v>Buena Vista</v>
      </c>
      <c r="H2208" s="14">
        <f>VLOOKUP(E2208,'Rental Transaction'!A:B,2,FALSE)</f>
        <v>610766</v>
      </c>
      <c r="I2208">
        <f t="shared" si="34"/>
        <v>2013</v>
      </c>
    </row>
    <row r="2209" spans="1:9" ht="29.25">
      <c r="A2209" s="1">
        <v>10081</v>
      </c>
      <c r="B2209" s="1">
        <v>6</v>
      </c>
      <c r="C2209" s="2">
        <v>41476</v>
      </c>
      <c r="D2209" s="1" t="s">
        <v>2002</v>
      </c>
      <c r="E2209" s="1">
        <v>101252</v>
      </c>
      <c r="F2209" s="6" t="s">
        <v>4211</v>
      </c>
      <c r="G2209" s="15" t="str">
        <f>VLOOKUP(A2209,Movie!A:D,4,FALSE)</f>
        <v>Weinstein Company</v>
      </c>
      <c r="H2209" s="14">
        <f>VLOOKUP(E2209,'Rental Transaction'!A:B,2,FALSE)</f>
        <v>610766</v>
      </c>
      <c r="I2209">
        <f t="shared" si="34"/>
        <v>2013</v>
      </c>
    </row>
    <row r="2210" spans="1:9">
      <c r="A2210" s="1">
        <v>10117</v>
      </c>
      <c r="B2210" s="1">
        <v>1</v>
      </c>
      <c r="C2210" s="2">
        <v>41475</v>
      </c>
      <c r="D2210" s="1" t="s">
        <v>2002</v>
      </c>
      <c r="E2210" s="1">
        <v>101253</v>
      </c>
      <c r="F2210" s="6" t="s">
        <v>4212</v>
      </c>
      <c r="G2210" s="15" t="str">
        <f>VLOOKUP(A2210,Movie!A:D,4,FALSE)</f>
        <v>Sony</v>
      </c>
      <c r="H2210" s="14">
        <f>VLOOKUP(E2210,'Rental Transaction'!A:B,2,FALSE)</f>
        <v>702197</v>
      </c>
      <c r="I2210">
        <f t="shared" si="34"/>
        <v>2013</v>
      </c>
    </row>
    <row r="2211" spans="1:9">
      <c r="A2211" s="1">
        <v>10068</v>
      </c>
      <c r="B2211" s="1">
        <v>8</v>
      </c>
      <c r="C2211" s="2">
        <v>41475</v>
      </c>
      <c r="D2211" s="1" t="s">
        <v>2005</v>
      </c>
      <c r="E2211" s="1">
        <v>101254</v>
      </c>
      <c r="F2211" s="6" t="s">
        <v>4213</v>
      </c>
      <c r="G2211" s="15" t="str">
        <f>VLOOKUP(A2211,Movie!A:D,4,FALSE)</f>
        <v>Warner Brothers</v>
      </c>
      <c r="H2211" s="14">
        <f>VLOOKUP(E2211,'Rental Transaction'!A:B,2,FALSE)</f>
        <v>452874</v>
      </c>
      <c r="I2211">
        <f t="shared" si="34"/>
        <v>2013</v>
      </c>
    </row>
    <row r="2212" spans="1:9">
      <c r="A2212" s="1">
        <v>10222</v>
      </c>
      <c r="B2212" s="1">
        <v>7</v>
      </c>
      <c r="C2212" s="2">
        <v>41476</v>
      </c>
      <c r="D2212" s="1" t="s">
        <v>2002</v>
      </c>
      <c r="E2212" s="1">
        <v>101254</v>
      </c>
      <c r="F2212" s="6" t="s">
        <v>4214</v>
      </c>
      <c r="G2212" s="15" t="str">
        <f>VLOOKUP(A2212,Movie!A:D,4,FALSE)</f>
        <v>Sony</v>
      </c>
      <c r="H2212" s="14">
        <f>VLOOKUP(E2212,'Rental Transaction'!A:B,2,FALSE)</f>
        <v>452874</v>
      </c>
      <c r="I2212">
        <f t="shared" si="34"/>
        <v>2013</v>
      </c>
    </row>
    <row r="2213" spans="1:9">
      <c r="A2213" s="1">
        <v>10117</v>
      </c>
      <c r="B2213" s="1">
        <v>5</v>
      </c>
      <c r="C2213" s="2">
        <v>41475</v>
      </c>
      <c r="D2213" s="1" t="s">
        <v>2005</v>
      </c>
      <c r="E2213" s="1">
        <v>101255</v>
      </c>
      <c r="F2213" s="6" t="s">
        <v>4215</v>
      </c>
      <c r="G2213" s="15" t="str">
        <f>VLOOKUP(A2213,Movie!A:D,4,FALSE)</f>
        <v>Sony</v>
      </c>
      <c r="H2213" s="14">
        <f>VLOOKUP(E2213,'Rental Transaction'!A:B,2,FALSE)</f>
        <v>938393</v>
      </c>
      <c r="I2213">
        <f t="shared" si="34"/>
        <v>2013</v>
      </c>
    </row>
    <row r="2214" spans="1:9" ht="29.25">
      <c r="A2214" s="1">
        <v>10249</v>
      </c>
      <c r="B2214" s="1">
        <v>9</v>
      </c>
      <c r="C2214" s="2">
        <v>41475</v>
      </c>
      <c r="D2214" s="1" t="s">
        <v>2002</v>
      </c>
      <c r="E2214" s="1">
        <v>101256</v>
      </c>
      <c r="F2214" s="6" t="s">
        <v>4216</v>
      </c>
      <c r="G2214" s="15" t="str">
        <f>VLOOKUP(A2214,Movie!A:D,4,FALSE)</f>
        <v>Summit Entertainment</v>
      </c>
      <c r="H2214" s="14">
        <f>VLOOKUP(E2214,'Rental Transaction'!A:B,2,FALSE)</f>
        <v>548800</v>
      </c>
      <c r="I2214">
        <f t="shared" si="34"/>
        <v>2013</v>
      </c>
    </row>
    <row r="2215" spans="1:9">
      <c r="A2215" s="1">
        <v>10021</v>
      </c>
      <c r="B2215" s="1">
        <v>1</v>
      </c>
      <c r="C2215" s="2">
        <v>41475</v>
      </c>
      <c r="D2215" s="1" t="s">
        <v>2005</v>
      </c>
      <c r="E2215" s="1">
        <v>101256</v>
      </c>
      <c r="F2215" s="6" t="s">
        <v>4217</v>
      </c>
      <c r="G2215" s="15" t="str">
        <f>VLOOKUP(A2215,Movie!A:D,4,FALSE)</f>
        <v>Paramount</v>
      </c>
      <c r="H2215" s="14">
        <f>VLOOKUP(E2215,'Rental Transaction'!A:B,2,FALSE)</f>
        <v>548800</v>
      </c>
      <c r="I2215">
        <f t="shared" si="34"/>
        <v>2013</v>
      </c>
    </row>
    <row r="2216" spans="1:9" ht="29.25">
      <c r="A2216" s="1">
        <v>10144</v>
      </c>
      <c r="B2216" s="1">
        <v>5</v>
      </c>
      <c r="C2216" s="2">
        <v>41475</v>
      </c>
      <c r="D2216" s="1" t="s">
        <v>2005</v>
      </c>
      <c r="E2216" s="1">
        <v>101257</v>
      </c>
      <c r="F2216" s="6" t="s">
        <v>4218</v>
      </c>
      <c r="G2216" s="15" t="str">
        <f>VLOOKUP(A2216,Movie!A:D,4,FALSE)</f>
        <v>Weinstein Company</v>
      </c>
      <c r="H2216" s="14">
        <f>VLOOKUP(E2216,'Rental Transaction'!A:B,2,FALSE)</f>
        <v>791559</v>
      </c>
      <c r="I2216">
        <f t="shared" si="34"/>
        <v>2013</v>
      </c>
    </row>
    <row r="2217" spans="1:9" ht="29.25">
      <c r="A2217" s="1">
        <v>10105</v>
      </c>
      <c r="B2217" s="1">
        <v>10</v>
      </c>
      <c r="C2217" s="2">
        <v>41477</v>
      </c>
      <c r="D2217" s="1" t="s">
        <v>2002</v>
      </c>
      <c r="E2217" s="1">
        <v>101258</v>
      </c>
      <c r="F2217" s="6" t="s">
        <v>4219</v>
      </c>
      <c r="G2217" s="15" t="str">
        <f>VLOOKUP(A2217,Movie!A:D,4,FALSE)</f>
        <v>Weinstein Company</v>
      </c>
      <c r="H2217" s="14">
        <f>VLOOKUP(E2217,'Rental Transaction'!A:B,2,FALSE)</f>
        <v>745543</v>
      </c>
      <c r="I2217">
        <f t="shared" si="34"/>
        <v>2013</v>
      </c>
    </row>
    <row r="2218" spans="1:9">
      <c r="A2218" s="1">
        <v>10122</v>
      </c>
      <c r="B2218" s="1">
        <v>7</v>
      </c>
      <c r="C2218" s="2">
        <v>41476</v>
      </c>
      <c r="D2218" s="1" t="s">
        <v>2005</v>
      </c>
      <c r="E2218" s="1">
        <v>101259</v>
      </c>
      <c r="F2218" s="6" t="s">
        <v>4220</v>
      </c>
      <c r="G2218" s="15" t="str">
        <f>VLOOKUP(A2218,Movie!A:D,4,FALSE)</f>
        <v>Relativity</v>
      </c>
      <c r="H2218" s="14">
        <f>VLOOKUP(E2218,'Rental Transaction'!A:B,2,FALSE)</f>
        <v>622506</v>
      </c>
      <c r="I2218">
        <f t="shared" si="34"/>
        <v>2013</v>
      </c>
    </row>
    <row r="2219" spans="1:9">
      <c r="A2219" s="1">
        <v>10128</v>
      </c>
      <c r="B2219" s="1">
        <v>2</v>
      </c>
      <c r="C2219" s="2">
        <v>41477</v>
      </c>
      <c r="D2219" s="1" t="s">
        <v>2002</v>
      </c>
      <c r="E2219" s="1">
        <v>101259</v>
      </c>
      <c r="F2219" s="6" t="s">
        <v>4221</v>
      </c>
      <c r="G2219" s="15" t="str">
        <f>VLOOKUP(A2219,Movie!A:D,4,FALSE)</f>
        <v>TriStar</v>
      </c>
      <c r="H2219" s="14">
        <f>VLOOKUP(E2219,'Rental Transaction'!A:B,2,FALSE)</f>
        <v>622506</v>
      </c>
      <c r="I2219">
        <f t="shared" si="34"/>
        <v>2013</v>
      </c>
    </row>
    <row r="2220" spans="1:9">
      <c r="A2220" s="1">
        <v>10072</v>
      </c>
      <c r="B2220" s="1">
        <v>6</v>
      </c>
      <c r="C2220" s="2">
        <v>41476</v>
      </c>
      <c r="D2220" s="1" t="s">
        <v>2005</v>
      </c>
      <c r="E2220" s="1">
        <v>101260</v>
      </c>
      <c r="F2220" s="6" t="s">
        <v>4222</v>
      </c>
      <c r="G2220" s="15" t="str">
        <f>VLOOKUP(A2220,Movie!A:D,4,FALSE)</f>
        <v>Paramount</v>
      </c>
      <c r="H2220" s="14">
        <f>VLOOKUP(E2220,'Rental Transaction'!A:B,2,FALSE)</f>
        <v>757525</v>
      </c>
      <c r="I2220">
        <f t="shared" si="34"/>
        <v>2013</v>
      </c>
    </row>
    <row r="2221" spans="1:9">
      <c r="A2221" s="1">
        <v>10006</v>
      </c>
      <c r="B2221" s="1">
        <v>3</v>
      </c>
      <c r="C2221" s="2">
        <v>41476</v>
      </c>
      <c r="D2221" s="1" t="s">
        <v>2005</v>
      </c>
      <c r="E2221" s="1">
        <v>101261</v>
      </c>
      <c r="F2221" s="6" t="s">
        <v>4223</v>
      </c>
      <c r="G2221" s="15" t="str">
        <f>VLOOKUP(A2221,Movie!A:D,4,FALSE)</f>
        <v>Paramount</v>
      </c>
      <c r="H2221" s="14">
        <f>VLOOKUP(E2221,'Rental Transaction'!A:B,2,FALSE)</f>
        <v>723057</v>
      </c>
      <c r="I2221">
        <f t="shared" si="34"/>
        <v>2013</v>
      </c>
    </row>
    <row r="2222" spans="1:9">
      <c r="A2222" s="1">
        <v>10169</v>
      </c>
      <c r="B2222" s="1">
        <v>10</v>
      </c>
      <c r="C2222" s="2">
        <v>41478</v>
      </c>
      <c r="D2222" s="1" t="s">
        <v>2005</v>
      </c>
      <c r="E2222" s="1">
        <v>101261</v>
      </c>
      <c r="F2222" s="6" t="s">
        <v>4224</v>
      </c>
      <c r="G2222" s="15" t="str">
        <f>VLOOKUP(A2222,Movie!A:D,4,FALSE)</f>
        <v>Warner Brothers</v>
      </c>
      <c r="H2222" s="14">
        <f>VLOOKUP(E2222,'Rental Transaction'!A:B,2,FALSE)</f>
        <v>723057</v>
      </c>
      <c r="I2222">
        <f t="shared" si="34"/>
        <v>2013</v>
      </c>
    </row>
    <row r="2223" spans="1:9">
      <c r="A2223" s="1">
        <v>10200</v>
      </c>
      <c r="B2223" s="1">
        <v>10</v>
      </c>
      <c r="C2223" s="2">
        <v>41476</v>
      </c>
      <c r="D2223" s="1" t="s">
        <v>2005</v>
      </c>
      <c r="E2223" s="1">
        <v>101261</v>
      </c>
      <c r="F2223" s="6" t="s">
        <v>4225</v>
      </c>
      <c r="G2223" s="15" t="str">
        <f>VLOOKUP(A2223,Movie!A:D,4,FALSE)</f>
        <v>Fox</v>
      </c>
      <c r="H2223" s="14">
        <f>VLOOKUP(E2223,'Rental Transaction'!A:B,2,FALSE)</f>
        <v>723057</v>
      </c>
      <c r="I2223">
        <f t="shared" si="34"/>
        <v>2013</v>
      </c>
    </row>
    <row r="2224" spans="1:9">
      <c r="A2224" s="1">
        <v>10179</v>
      </c>
      <c r="B2224" s="1">
        <v>10</v>
      </c>
      <c r="C2224" s="2">
        <v>41476</v>
      </c>
      <c r="D2224" s="1" t="s">
        <v>2002</v>
      </c>
      <c r="E2224" s="1">
        <v>101261</v>
      </c>
      <c r="F2224" s="6" t="s">
        <v>4226</v>
      </c>
      <c r="G2224" s="15" t="str">
        <f>VLOOKUP(A2224,Movie!A:D,4,FALSE)</f>
        <v>Warner Brothers</v>
      </c>
      <c r="H2224" s="14">
        <f>VLOOKUP(E2224,'Rental Transaction'!A:B,2,FALSE)</f>
        <v>723057</v>
      </c>
      <c r="I2224">
        <f t="shared" si="34"/>
        <v>2013</v>
      </c>
    </row>
    <row r="2225" spans="1:9">
      <c r="A2225" s="1">
        <v>10047</v>
      </c>
      <c r="B2225" s="1">
        <v>3</v>
      </c>
      <c r="C2225" s="2">
        <v>41476</v>
      </c>
      <c r="D2225" s="1" t="s">
        <v>2002</v>
      </c>
      <c r="E2225" s="1">
        <v>101261</v>
      </c>
      <c r="F2225" s="6" t="s">
        <v>4227</v>
      </c>
      <c r="G2225" s="15" t="str">
        <f>VLOOKUP(A2225,Movie!A:D,4,FALSE)</f>
        <v>Warner Brothers</v>
      </c>
      <c r="H2225" s="14">
        <f>VLOOKUP(E2225,'Rental Transaction'!A:B,2,FALSE)</f>
        <v>723057</v>
      </c>
      <c r="I2225">
        <f t="shared" si="34"/>
        <v>2013</v>
      </c>
    </row>
    <row r="2226" spans="1:9">
      <c r="A2226" s="1">
        <v>10093</v>
      </c>
      <c r="B2226" s="1">
        <v>5</v>
      </c>
      <c r="C2226" s="2">
        <v>41476</v>
      </c>
      <c r="D2226" s="1" t="s">
        <v>2002</v>
      </c>
      <c r="E2226" s="1">
        <v>101261</v>
      </c>
      <c r="F2226" s="6" t="s">
        <v>4228</v>
      </c>
      <c r="G2226" s="15" t="str">
        <f>VLOOKUP(A2226,Movie!A:D,4,FALSE)</f>
        <v>Open Road Films</v>
      </c>
      <c r="H2226" s="14">
        <f>VLOOKUP(E2226,'Rental Transaction'!A:B,2,FALSE)</f>
        <v>723057</v>
      </c>
      <c r="I2226">
        <f t="shared" si="34"/>
        <v>2013</v>
      </c>
    </row>
    <row r="2227" spans="1:9">
      <c r="A2227" s="1">
        <v>10296</v>
      </c>
      <c r="B2227" s="1">
        <v>10</v>
      </c>
      <c r="C2227" s="2">
        <v>41476</v>
      </c>
      <c r="D2227" s="1" t="s">
        <v>2002</v>
      </c>
      <c r="E2227" s="1">
        <v>101261</v>
      </c>
      <c r="F2227" s="6" t="s">
        <v>4229</v>
      </c>
      <c r="G2227" s="15" t="str">
        <f>VLOOKUP(A2227,Movie!A:D,4,FALSE)</f>
        <v>A24</v>
      </c>
      <c r="H2227" s="14">
        <f>VLOOKUP(E2227,'Rental Transaction'!A:B,2,FALSE)</f>
        <v>723057</v>
      </c>
      <c r="I2227">
        <f t="shared" si="34"/>
        <v>2013</v>
      </c>
    </row>
    <row r="2228" spans="1:9">
      <c r="A2228" s="1">
        <v>10013</v>
      </c>
      <c r="B2228" s="1">
        <v>7</v>
      </c>
      <c r="C2228" s="2">
        <v>41476</v>
      </c>
      <c r="D2228" s="1" t="s">
        <v>2005</v>
      </c>
      <c r="E2228" s="1">
        <v>101262</v>
      </c>
      <c r="F2228" s="6" t="s">
        <v>4230</v>
      </c>
      <c r="G2228" s="15" t="str">
        <f>VLOOKUP(A2228,Movie!A:D,4,FALSE)</f>
        <v>Open Road Films</v>
      </c>
      <c r="H2228" s="14">
        <f>VLOOKUP(E2228,'Rental Transaction'!A:B,2,FALSE)</f>
        <v>520196</v>
      </c>
      <c r="I2228">
        <f t="shared" si="34"/>
        <v>2013</v>
      </c>
    </row>
    <row r="2229" spans="1:9">
      <c r="A2229" s="1">
        <v>10151</v>
      </c>
      <c r="B2229" s="1">
        <v>3</v>
      </c>
      <c r="C2229" s="2">
        <v>41476</v>
      </c>
      <c r="D2229" s="1" t="s">
        <v>2005</v>
      </c>
      <c r="E2229" s="1">
        <v>101263</v>
      </c>
      <c r="F2229" s="6" t="s">
        <v>4231</v>
      </c>
      <c r="G2229" s="15" t="str">
        <f>VLOOKUP(A2229,Movie!A:D,4,FALSE)</f>
        <v>Screen Gems</v>
      </c>
      <c r="H2229" s="14">
        <f>VLOOKUP(E2229,'Rental Transaction'!A:B,2,FALSE)</f>
        <v>500733</v>
      </c>
      <c r="I2229">
        <f t="shared" si="34"/>
        <v>2013</v>
      </c>
    </row>
    <row r="2230" spans="1:9">
      <c r="A2230" s="1">
        <v>10017</v>
      </c>
      <c r="B2230" s="1">
        <v>1</v>
      </c>
      <c r="C2230" s="2">
        <v>41478</v>
      </c>
      <c r="D2230" s="1" t="s">
        <v>2002</v>
      </c>
      <c r="E2230" s="1">
        <v>101263</v>
      </c>
      <c r="F2230" s="6" t="s">
        <v>4232</v>
      </c>
      <c r="G2230" s="15" t="str">
        <f>VLOOKUP(A2230,Movie!A:D,4,FALSE)</f>
        <v>Sony</v>
      </c>
      <c r="H2230" s="14">
        <f>VLOOKUP(E2230,'Rental Transaction'!A:B,2,FALSE)</f>
        <v>500733</v>
      </c>
      <c r="I2230">
        <f t="shared" si="34"/>
        <v>2013</v>
      </c>
    </row>
    <row r="2231" spans="1:9">
      <c r="A2231" s="1">
        <v>10025</v>
      </c>
      <c r="B2231" s="1">
        <v>10</v>
      </c>
      <c r="C2231" s="2">
        <v>41476</v>
      </c>
      <c r="D2231" s="1" t="s">
        <v>2002</v>
      </c>
      <c r="E2231" s="1">
        <v>101264</v>
      </c>
      <c r="F2231" s="6" t="s">
        <v>4233</v>
      </c>
      <c r="G2231" s="15" t="str">
        <f>VLOOKUP(A2231,Movie!A:D,4,FALSE)</f>
        <v>Sony</v>
      </c>
      <c r="H2231" s="14">
        <f>VLOOKUP(E2231,'Rental Transaction'!A:B,2,FALSE)</f>
        <v>347659</v>
      </c>
      <c r="I2231">
        <f t="shared" si="34"/>
        <v>2013</v>
      </c>
    </row>
    <row r="2232" spans="1:9">
      <c r="A2232" s="1">
        <v>10251</v>
      </c>
      <c r="B2232" s="1">
        <v>10</v>
      </c>
      <c r="C2232" s="2">
        <v>41476</v>
      </c>
      <c r="D2232" s="1" t="s">
        <v>2002</v>
      </c>
      <c r="E2232" s="1">
        <v>101264</v>
      </c>
      <c r="F2232" s="6" t="s">
        <v>4234</v>
      </c>
      <c r="G2232" s="15" t="str">
        <f>VLOOKUP(A2232,Movie!A:D,4,FALSE)</f>
        <v>Universal</v>
      </c>
      <c r="H2232" s="14">
        <f>VLOOKUP(E2232,'Rental Transaction'!A:B,2,FALSE)</f>
        <v>347659</v>
      </c>
      <c r="I2232">
        <f t="shared" si="34"/>
        <v>2013</v>
      </c>
    </row>
    <row r="2233" spans="1:9">
      <c r="A2233" s="1">
        <v>10036</v>
      </c>
      <c r="B2233" s="1">
        <v>2</v>
      </c>
      <c r="C2233" s="2">
        <v>41477</v>
      </c>
      <c r="D2233" s="1" t="s">
        <v>2002</v>
      </c>
      <c r="E2233" s="1">
        <v>101264</v>
      </c>
      <c r="F2233" s="6" t="s">
        <v>4235</v>
      </c>
      <c r="G2233" s="15" t="str">
        <f>VLOOKUP(A2233,Movie!A:D,4,FALSE)</f>
        <v>Universal</v>
      </c>
      <c r="H2233" s="14">
        <f>VLOOKUP(E2233,'Rental Transaction'!A:B,2,FALSE)</f>
        <v>347659</v>
      </c>
      <c r="I2233">
        <f t="shared" si="34"/>
        <v>2013</v>
      </c>
    </row>
    <row r="2234" spans="1:9">
      <c r="A2234" s="1">
        <v>10196</v>
      </c>
      <c r="B2234" s="1">
        <v>1</v>
      </c>
      <c r="C2234" s="2">
        <v>41476</v>
      </c>
      <c r="D2234" s="1" t="s">
        <v>2002</v>
      </c>
      <c r="E2234" s="1">
        <v>101265</v>
      </c>
      <c r="F2234" s="6" t="s">
        <v>4236</v>
      </c>
      <c r="G2234" s="15" t="str">
        <f>VLOOKUP(A2234,Movie!A:D,4,FALSE)</f>
        <v>Fox</v>
      </c>
      <c r="H2234" s="14">
        <f>VLOOKUP(E2234,'Rental Transaction'!A:B,2,FALSE)</f>
        <v>158528</v>
      </c>
      <c r="I2234">
        <f t="shared" si="34"/>
        <v>2013</v>
      </c>
    </row>
    <row r="2235" spans="1:9">
      <c r="A2235" s="1">
        <v>10066</v>
      </c>
      <c r="B2235" s="1">
        <v>8</v>
      </c>
      <c r="C2235" s="2">
        <v>41477</v>
      </c>
      <c r="D2235" s="1" t="s">
        <v>2002</v>
      </c>
      <c r="E2235" s="1">
        <v>101266</v>
      </c>
      <c r="F2235" s="6" t="s">
        <v>4237</v>
      </c>
      <c r="G2235" s="15" t="str">
        <f>VLOOKUP(A2235,Movie!A:D,4,FALSE)</f>
        <v>Buena Vista</v>
      </c>
      <c r="H2235" s="14">
        <f>VLOOKUP(E2235,'Rental Transaction'!A:B,2,FALSE)</f>
        <v>689877</v>
      </c>
      <c r="I2235">
        <f t="shared" si="34"/>
        <v>2013</v>
      </c>
    </row>
    <row r="2236" spans="1:9">
      <c r="A2236" s="1">
        <v>10272</v>
      </c>
      <c r="B2236" s="1">
        <v>7</v>
      </c>
      <c r="C2236" s="2">
        <v>41476</v>
      </c>
      <c r="D2236" s="1" t="s">
        <v>2005</v>
      </c>
      <c r="E2236" s="1">
        <v>101267</v>
      </c>
      <c r="F2236" s="6" t="s">
        <v>4238</v>
      </c>
      <c r="G2236" s="15" t="str">
        <f>VLOOKUP(A2236,Movie!A:D,4,FALSE)</f>
        <v>Sony</v>
      </c>
      <c r="H2236" s="14">
        <f>VLOOKUP(E2236,'Rental Transaction'!A:B,2,FALSE)</f>
        <v>550661</v>
      </c>
      <c r="I2236">
        <f t="shared" si="34"/>
        <v>2013</v>
      </c>
    </row>
    <row r="2237" spans="1:9">
      <c r="A2237" s="1">
        <v>10153</v>
      </c>
      <c r="B2237" s="1">
        <v>9</v>
      </c>
      <c r="C2237" s="2">
        <v>41477</v>
      </c>
      <c r="D2237" s="1" t="s">
        <v>2002</v>
      </c>
      <c r="E2237" s="1">
        <v>101268</v>
      </c>
      <c r="F2237" s="6" t="s">
        <v>4239</v>
      </c>
      <c r="G2237" s="15" t="str">
        <f>VLOOKUP(A2237,Movie!A:D,4,FALSE)</f>
        <v>Lionsgate</v>
      </c>
      <c r="H2237" s="14">
        <f>VLOOKUP(E2237,'Rental Transaction'!A:B,2,FALSE)</f>
        <v>160392</v>
      </c>
      <c r="I2237">
        <f t="shared" si="34"/>
        <v>2013</v>
      </c>
    </row>
    <row r="2238" spans="1:9">
      <c r="A2238" s="1">
        <v>10132</v>
      </c>
      <c r="B2238" s="1">
        <v>2</v>
      </c>
      <c r="C2238" s="2">
        <v>41477</v>
      </c>
      <c r="D2238" s="1" t="s">
        <v>2005</v>
      </c>
      <c r="E2238" s="1">
        <v>101269</v>
      </c>
      <c r="F2238" s="6" t="s">
        <v>4240</v>
      </c>
      <c r="G2238" s="15" t="str">
        <f>VLOOKUP(A2238,Movie!A:D,4,FALSE)</f>
        <v>Lionsgate</v>
      </c>
      <c r="H2238" s="14">
        <f>VLOOKUP(E2238,'Rental Transaction'!A:B,2,FALSE)</f>
        <v>304344</v>
      </c>
      <c r="I2238">
        <f t="shared" si="34"/>
        <v>2013</v>
      </c>
    </row>
    <row r="2239" spans="1:9">
      <c r="A2239" s="1">
        <v>10049</v>
      </c>
      <c r="B2239" s="1">
        <v>5</v>
      </c>
      <c r="C2239" s="2">
        <v>41477</v>
      </c>
      <c r="D2239" s="1" t="s">
        <v>2002</v>
      </c>
      <c r="E2239" s="1">
        <v>101270</v>
      </c>
      <c r="F2239" s="6" t="s">
        <v>4241</v>
      </c>
      <c r="G2239" s="15" t="str">
        <f>VLOOKUP(A2239,Movie!A:D,4,FALSE)</f>
        <v>Universal</v>
      </c>
      <c r="H2239" s="14">
        <f>VLOOKUP(E2239,'Rental Transaction'!A:B,2,FALSE)</f>
        <v>766737</v>
      </c>
      <c r="I2239">
        <f t="shared" si="34"/>
        <v>2013</v>
      </c>
    </row>
    <row r="2240" spans="1:9">
      <c r="A2240" s="1">
        <v>10171</v>
      </c>
      <c r="B2240" s="1">
        <v>5</v>
      </c>
      <c r="C2240" s="2">
        <v>41477</v>
      </c>
      <c r="D2240" s="1" t="s">
        <v>2005</v>
      </c>
      <c r="E2240" s="1">
        <v>101270</v>
      </c>
      <c r="F2240" s="6" t="s">
        <v>4242</v>
      </c>
      <c r="G2240" s="15" t="str">
        <f>VLOOKUP(A2240,Movie!A:D,4,FALSE)</f>
        <v>Universal</v>
      </c>
      <c r="H2240" s="14">
        <f>VLOOKUP(E2240,'Rental Transaction'!A:B,2,FALSE)</f>
        <v>766737</v>
      </c>
      <c r="I2240">
        <f t="shared" si="34"/>
        <v>2013</v>
      </c>
    </row>
    <row r="2241" spans="1:9">
      <c r="A2241" s="1">
        <v>10061</v>
      </c>
      <c r="B2241" s="1">
        <v>10</v>
      </c>
      <c r="C2241" s="2">
        <v>41477</v>
      </c>
      <c r="D2241" s="1" t="s">
        <v>2002</v>
      </c>
      <c r="E2241" s="1">
        <v>101271</v>
      </c>
      <c r="F2241" s="6" t="s">
        <v>4243</v>
      </c>
      <c r="G2241" s="15" t="str">
        <f>VLOOKUP(A2241,Movie!A:D,4,FALSE)</f>
        <v>Fox</v>
      </c>
      <c r="H2241" s="14">
        <f>VLOOKUP(E2241,'Rental Transaction'!A:B,2,FALSE)</f>
        <v>270853</v>
      </c>
      <c r="I2241">
        <f t="shared" si="34"/>
        <v>2013</v>
      </c>
    </row>
    <row r="2242" spans="1:9">
      <c r="A2242" s="1">
        <v>10010</v>
      </c>
      <c r="B2242" s="1">
        <v>6</v>
      </c>
      <c r="C2242" s="2">
        <v>41479</v>
      </c>
      <c r="D2242" s="1" t="s">
        <v>2002</v>
      </c>
      <c r="E2242" s="1">
        <v>101271</v>
      </c>
      <c r="F2242" s="6" t="s">
        <v>4244</v>
      </c>
      <c r="G2242" s="15" t="str">
        <f>VLOOKUP(A2242,Movie!A:D,4,FALSE)</f>
        <v>Buena Vista</v>
      </c>
      <c r="H2242" s="14">
        <f>VLOOKUP(E2242,'Rental Transaction'!A:B,2,FALSE)</f>
        <v>270853</v>
      </c>
      <c r="I2242">
        <f t="shared" si="34"/>
        <v>2013</v>
      </c>
    </row>
    <row r="2243" spans="1:9">
      <c r="A2243" s="1">
        <v>10278</v>
      </c>
      <c r="B2243" s="1">
        <v>4</v>
      </c>
      <c r="C2243" s="2">
        <v>41477</v>
      </c>
      <c r="D2243" s="1" t="s">
        <v>2005</v>
      </c>
      <c r="E2243" s="1">
        <v>101272</v>
      </c>
      <c r="F2243" s="6" t="s">
        <v>4245</v>
      </c>
      <c r="G2243" s="15" t="str">
        <f>VLOOKUP(A2243,Movie!A:D,4,FALSE)</f>
        <v>Universal</v>
      </c>
      <c r="H2243" s="14">
        <f>VLOOKUP(E2243,'Rental Transaction'!A:B,2,FALSE)</f>
        <v>344702</v>
      </c>
      <c r="I2243">
        <f t="shared" ref="I2243:I2306" si="35">YEAR(C2243)</f>
        <v>2013</v>
      </c>
    </row>
    <row r="2244" spans="1:9">
      <c r="A2244" s="1">
        <v>10198</v>
      </c>
      <c r="B2244" s="1">
        <v>5</v>
      </c>
      <c r="C2244" s="2">
        <v>41477</v>
      </c>
      <c r="D2244" s="1" t="s">
        <v>2002</v>
      </c>
      <c r="E2244" s="1">
        <v>101273</v>
      </c>
      <c r="F2244" s="6" t="s">
        <v>4246</v>
      </c>
      <c r="G2244" s="15" t="str">
        <f>VLOOKUP(A2244,Movie!A:D,4,FALSE)</f>
        <v>Fox</v>
      </c>
      <c r="H2244" s="14">
        <f>VLOOKUP(E2244,'Rental Transaction'!A:B,2,FALSE)</f>
        <v>932618</v>
      </c>
      <c r="I2244">
        <f t="shared" si="35"/>
        <v>2013</v>
      </c>
    </row>
    <row r="2245" spans="1:9">
      <c r="A2245" s="1">
        <v>10098</v>
      </c>
      <c r="B2245" s="1">
        <v>1</v>
      </c>
      <c r="C2245" s="2">
        <v>41477</v>
      </c>
      <c r="D2245" s="1" t="s">
        <v>2005</v>
      </c>
      <c r="E2245" s="1">
        <v>101273</v>
      </c>
      <c r="F2245" s="6" t="s">
        <v>4247</v>
      </c>
      <c r="G2245" s="15" t="str">
        <f>VLOOKUP(A2245,Movie!A:D,4,FALSE)</f>
        <v>Warner Brothers</v>
      </c>
      <c r="H2245" s="14">
        <f>VLOOKUP(E2245,'Rental Transaction'!A:B,2,FALSE)</f>
        <v>932618</v>
      </c>
      <c r="I2245">
        <f t="shared" si="35"/>
        <v>2013</v>
      </c>
    </row>
    <row r="2246" spans="1:9">
      <c r="A2246" s="1">
        <v>10075</v>
      </c>
      <c r="B2246" s="1">
        <v>8</v>
      </c>
      <c r="C2246" s="2">
        <v>41478</v>
      </c>
      <c r="D2246" s="1" t="s">
        <v>2005</v>
      </c>
      <c r="E2246" s="1">
        <v>101274</v>
      </c>
      <c r="F2246" s="6" t="s">
        <v>4248</v>
      </c>
      <c r="G2246" s="15" t="str">
        <f>VLOOKUP(A2246,Movie!A:D,4,FALSE)</f>
        <v>Fox Searchlight</v>
      </c>
      <c r="H2246" s="14">
        <f>VLOOKUP(E2246,'Rental Transaction'!A:B,2,FALSE)</f>
        <v>897614</v>
      </c>
      <c r="I2246">
        <f t="shared" si="35"/>
        <v>2013</v>
      </c>
    </row>
    <row r="2247" spans="1:9">
      <c r="A2247" s="1">
        <v>10208</v>
      </c>
      <c r="B2247" s="1">
        <v>2</v>
      </c>
      <c r="C2247" s="2">
        <v>41477</v>
      </c>
      <c r="D2247" s="1" t="s">
        <v>2002</v>
      </c>
      <c r="E2247" s="1">
        <v>101275</v>
      </c>
      <c r="F2247" s="6" t="s">
        <v>4249</v>
      </c>
      <c r="G2247" s="15" t="str">
        <f>VLOOKUP(A2247,Movie!A:D,4,FALSE)</f>
        <v>Warner Brothers</v>
      </c>
      <c r="H2247" s="14">
        <f>VLOOKUP(E2247,'Rental Transaction'!A:B,2,FALSE)</f>
        <v>999915</v>
      </c>
      <c r="I2247">
        <f t="shared" si="35"/>
        <v>2013</v>
      </c>
    </row>
    <row r="2248" spans="1:9">
      <c r="A2248" s="1">
        <v>10236</v>
      </c>
      <c r="B2248" s="1">
        <v>9</v>
      </c>
      <c r="C2248" s="2">
        <v>41478</v>
      </c>
      <c r="D2248" s="1" t="s">
        <v>2005</v>
      </c>
      <c r="E2248" s="1">
        <v>101275</v>
      </c>
      <c r="F2248" s="6" t="s">
        <v>4250</v>
      </c>
      <c r="G2248" s="15" t="str">
        <f>VLOOKUP(A2248,Movie!A:D,4,FALSE)</f>
        <v>Lionsgate</v>
      </c>
      <c r="H2248" s="14">
        <f>VLOOKUP(E2248,'Rental Transaction'!A:B,2,FALSE)</f>
        <v>999915</v>
      </c>
      <c r="I2248">
        <f t="shared" si="35"/>
        <v>2013</v>
      </c>
    </row>
    <row r="2249" spans="1:9">
      <c r="A2249" s="1">
        <v>10045</v>
      </c>
      <c r="B2249" s="1">
        <v>10</v>
      </c>
      <c r="C2249" s="2">
        <v>41478</v>
      </c>
      <c r="D2249" s="1" t="s">
        <v>2002</v>
      </c>
      <c r="E2249" s="1">
        <v>101275</v>
      </c>
      <c r="F2249" s="6" t="s">
        <v>4251</v>
      </c>
      <c r="G2249" s="15" t="str">
        <f>VLOOKUP(A2249,Movie!A:D,4,FALSE)</f>
        <v>Warner Brothers</v>
      </c>
      <c r="H2249" s="14">
        <f>VLOOKUP(E2249,'Rental Transaction'!A:B,2,FALSE)</f>
        <v>999915</v>
      </c>
      <c r="I2249">
        <f t="shared" si="35"/>
        <v>2013</v>
      </c>
    </row>
    <row r="2250" spans="1:9">
      <c r="A2250" s="1">
        <v>10162</v>
      </c>
      <c r="B2250" s="1">
        <v>10</v>
      </c>
      <c r="C2250" s="2">
        <v>41477</v>
      </c>
      <c r="D2250" s="1" t="s">
        <v>2005</v>
      </c>
      <c r="E2250" s="1">
        <v>101275</v>
      </c>
      <c r="F2250" s="6" t="s">
        <v>4252</v>
      </c>
      <c r="G2250" s="15" t="str">
        <f>VLOOKUP(A2250,Movie!A:D,4,FALSE)</f>
        <v>Sony</v>
      </c>
      <c r="H2250" s="14">
        <f>VLOOKUP(E2250,'Rental Transaction'!A:B,2,FALSE)</f>
        <v>999915</v>
      </c>
      <c r="I2250">
        <f t="shared" si="35"/>
        <v>2013</v>
      </c>
    </row>
    <row r="2251" spans="1:9">
      <c r="A2251" s="1">
        <v>10151</v>
      </c>
      <c r="B2251" s="1">
        <v>9</v>
      </c>
      <c r="C2251" s="2">
        <v>41477</v>
      </c>
      <c r="D2251" s="1" t="s">
        <v>2002</v>
      </c>
      <c r="E2251" s="1">
        <v>101275</v>
      </c>
      <c r="F2251" s="6" t="s">
        <v>4253</v>
      </c>
      <c r="G2251" s="15" t="str">
        <f>VLOOKUP(A2251,Movie!A:D,4,FALSE)</f>
        <v>Screen Gems</v>
      </c>
      <c r="H2251" s="14">
        <f>VLOOKUP(E2251,'Rental Transaction'!A:B,2,FALSE)</f>
        <v>999915</v>
      </c>
      <c r="I2251">
        <f t="shared" si="35"/>
        <v>2013</v>
      </c>
    </row>
    <row r="2252" spans="1:9">
      <c r="A2252" s="1">
        <v>10216</v>
      </c>
      <c r="B2252" s="1">
        <v>6</v>
      </c>
      <c r="C2252" s="2">
        <v>41477</v>
      </c>
      <c r="D2252" s="1" t="s">
        <v>2002</v>
      </c>
      <c r="E2252" s="1">
        <v>101276</v>
      </c>
      <c r="F2252" s="6" t="s">
        <v>4254</v>
      </c>
      <c r="G2252" s="15" t="str">
        <f>VLOOKUP(A2252,Movie!A:D,4,FALSE)</f>
        <v>Sony</v>
      </c>
      <c r="H2252" s="14">
        <f>VLOOKUP(E2252,'Rental Transaction'!A:B,2,FALSE)</f>
        <v>305005</v>
      </c>
      <c r="I2252">
        <f t="shared" si="35"/>
        <v>2013</v>
      </c>
    </row>
    <row r="2253" spans="1:9">
      <c r="A2253" s="1">
        <v>10241</v>
      </c>
      <c r="B2253" s="1">
        <v>3</v>
      </c>
      <c r="C2253" s="2">
        <v>41478</v>
      </c>
      <c r="D2253" s="1" t="s">
        <v>2002</v>
      </c>
      <c r="E2253" s="1">
        <v>101276</v>
      </c>
      <c r="F2253" s="6" t="s">
        <v>4255</v>
      </c>
      <c r="G2253" s="15" t="str">
        <f>VLOOKUP(A2253,Movie!A:D,4,FALSE)</f>
        <v>Warner Brothers</v>
      </c>
      <c r="H2253" s="14">
        <f>VLOOKUP(E2253,'Rental Transaction'!A:B,2,FALSE)</f>
        <v>305005</v>
      </c>
      <c r="I2253">
        <f t="shared" si="35"/>
        <v>2013</v>
      </c>
    </row>
    <row r="2254" spans="1:9">
      <c r="A2254" s="1">
        <v>10255</v>
      </c>
      <c r="B2254" s="1">
        <v>5</v>
      </c>
      <c r="C2254" s="2">
        <v>41477</v>
      </c>
      <c r="D2254" s="1" t="s">
        <v>2002</v>
      </c>
      <c r="E2254" s="1">
        <v>101276</v>
      </c>
      <c r="F2254" s="6" t="s">
        <v>4256</v>
      </c>
      <c r="G2254" s="15" t="str">
        <f>VLOOKUP(A2254,Movie!A:D,4,FALSE)</f>
        <v>Paramount</v>
      </c>
      <c r="H2254" s="14">
        <f>VLOOKUP(E2254,'Rental Transaction'!A:B,2,FALSE)</f>
        <v>305005</v>
      </c>
      <c r="I2254">
        <f t="shared" si="35"/>
        <v>2013</v>
      </c>
    </row>
    <row r="2255" spans="1:9">
      <c r="A2255" s="1">
        <v>10295</v>
      </c>
      <c r="B2255" s="1">
        <v>9</v>
      </c>
      <c r="C2255" s="2">
        <v>41477</v>
      </c>
      <c r="D2255" s="1" t="s">
        <v>2002</v>
      </c>
      <c r="E2255" s="1">
        <v>101277</v>
      </c>
      <c r="F2255" s="6" t="s">
        <v>4257</v>
      </c>
      <c r="G2255" s="15" t="str">
        <f>VLOOKUP(A2255,Movie!A:D,4,FALSE)</f>
        <v>A24</v>
      </c>
      <c r="H2255" s="14">
        <f>VLOOKUP(E2255,'Rental Transaction'!A:B,2,FALSE)</f>
        <v>563468</v>
      </c>
      <c r="I2255">
        <f t="shared" si="35"/>
        <v>2013</v>
      </c>
    </row>
    <row r="2256" spans="1:9">
      <c r="A2256" s="1">
        <v>10180</v>
      </c>
      <c r="B2256" s="1">
        <v>10</v>
      </c>
      <c r="C2256" s="2">
        <v>41477</v>
      </c>
      <c r="D2256" s="1" t="s">
        <v>2002</v>
      </c>
      <c r="E2256" s="1">
        <v>101277</v>
      </c>
      <c r="F2256" s="6" t="s">
        <v>4258</v>
      </c>
      <c r="G2256" s="15" t="str">
        <f>VLOOKUP(A2256,Movie!A:D,4,FALSE)</f>
        <v>Relativity</v>
      </c>
      <c r="H2256" s="14">
        <f>VLOOKUP(E2256,'Rental Transaction'!A:B,2,FALSE)</f>
        <v>563468</v>
      </c>
      <c r="I2256">
        <f t="shared" si="35"/>
        <v>2013</v>
      </c>
    </row>
    <row r="2257" spans="1:9">
      <c r="A2257" s="1">
        <v>10133</v>
      </c>
      <c r="B2257" s="1">
        <v>9</v>
      </c>
      <c r="C2257" s="2">
        <v>41477</v>
      </c>
      <c r="D2257" s="1" t="s">
        <v>2002</v>
      </c>
      <c r="E2257" s="1">
        <v>101277</v>
      </c>
      <c r="F2257" s="6" t="s">
        <v>4259</v>
      </c>
      <c r="G2257" s="15" t="str">
        <f>VLOOKUP(A2257,Movie!A:D,4,FALSE)</f>
        <v>Fox</v>
      </c>
      <c r="H2257" s="14">
        <f>VLOOKUP(E2257,'Rental Transaction'!A:B,2,FALSE)</f>
        <v>563468</v>
      </c>
      <c r="I2257">
        <f t="shared" si="35"/>
        <v>2013</v>
      </c>
    </row>
    <row r="2258" spans="1:9">
      <c r="A2258" s="1">
        <v>10014</v>
      </c>
      <c r="B2258" s="1">
        <v>5</v>
      </c>
      <c r="C2258" s="2">
        <v>41477</v>
      </c>
      <c r="D2258" s="1" t="s">
        <v>2002</v>
      </c>
      <c r="E2258" s="1">
        <v>101277</v>
      </c>
      <c r="F2258" s="6" t="s">
        <v>4260</v>
      </c>
      <c r="G2258" s="15" t="str">
        <f>VLOOKUP(A2258,Movie!A:D,4,FALSE)</f>
        <v>Warner Brothers</v>
      </c>
      <c r="H2258" s="14">
        <f>VLOOKUP(E2258,'Rental Transaction'!A:B,2,FALSE)</f>
        <v>563468</v>
      </c>
      <c r="I2258">
        <f t="shared" si="35"/>
        <v>2013</v>
      </c>
    </row>
    <row r="2259" spans="1:9">
      <c r="A2259" s="1">
        <v>10000</v>
      </c>
      <c r="B2259" s="1">
        <v>5</v>
      </c>
      <c r="C2259" s="2">
        <v>41478</v>
      </c>
      <c r="D2259" s="1" t="s">
        <v>2002</v>
      </c>
      <c r="E2259" s="1">
        <v>101278</v>
      </c>
      <c r="F2259" s="6" t="s">
        <v>4261</v>
      </c>
      <c r="G2259" s="15" t="str">
        <f>VLOOKUP(A2259,Movie!A:D,4,FALSE)</f>
        <v>TriStar</v>
      </c>
      <c r="H2259" s="14">
        <f>VLOOKUP(E2259,'Rental Transaction'!A:B,2,FALSE)</f>
        <v>592592</v>
      </c>
      <c r="I2259">
        <f t="shared" si="35"/>
        <v>2013</v>
      </c>
    </row>
    <row r="2260" spans="1:9">
      <c r="A2260" s="1">
        <v>10107</v>
      </c>
      <c r="B2260" s="1">
        <v>10</v>
      </c>
      <c r="C2260" s="2">
        <v>41478</v>
      </c>
      <c r="D2260" s="1" t="s">
        <v>2002</v>
      </c>
      <c r="E2260" s="1">
        <v>101278</v>
      </c>
      <c r="F2260" s="6" t="s">
        <v>4262</v>
      </c>
      <c r="G2260" s="15" t="str">
        <f>VLOOKUP(A2260,Movie!A:D,4,FALSE)</f>
        <v>Universal</v>
      </c>
      <c r="H2260" s="14">
        <f>VLOOKUP(E2260,'Rental Transaction'!A:B,2,FALSE)</f>
        <v>592592</v>
      </c>
      <c r="I2260">
        <f t="shared" si="35"/>
        <v>2013</v>
      </c>
    </row>
    <row r="2261" spans="1:9">
      <c r="A2261" s="1">
        <v>10043</v>
      </c>
      <c r="B2261" s="1">
        <v>3</v>
      </c>
      <c r="C2261" s="2">
        <v>41478</v>
      </c>
      <c r="D2261" s="1" t="s">
        <v>2002</v>
      </c>
      <c r="E2261" s="1">
        <v>101278</v>
      </c>
      <c r="F2261" s="6" t="s">
        <v>4263</v>
      </c>
      <c r="G2261" s="15" t="str">
        <f>VLOOKUP(A2261,Movie!A:D,4,FALSE)</f>
        <v>Screen Gems</v>
      </c>
      <c r="H2261" s="14">
        <f>VLOOKUP(E2261,'Rental Transaction'!A:B,2,FALSE)</f>
        <v>592592</v>
      </c>
      <c r="I2261">
        <f t="shared" si="35"/>
        <v>2013</v>
      </c>
    </row>
    <row r="2262" spans="1:9">
      <c r="A2262" s="1">
        <v>10286</v>
      </c>
      <c r="B2262" s="1">
        <v>6</v>
      </c>
      <c r="C2262" s="2">
        <v>41478</v>
      </c>
      <c r="D2262" s="1" t="s">
        <v>2002</v>
      </c>
      <c r="E2262" s="1">
        <v>101279</v>
      </c>
      <c r="F2262" s="6" t="s">
        <v>4264</v>
      </c>
      <c r="G2262" s="15" t="str">
        <f>VLOOKUP(A2262,Movie!A:D,4,FALSE)</f>
        <v>Fox Searchlight</v>
      </c>
      <c r="H2262" s="14">
        <f>VLOOKUP(E2262,'Rental Transaction'!A:B,2,FALSE)</f>
        <v>520196</v>
      </c>
      <c r="I2262">
        <f t="shared" si="35"/>
        <v>2013</v>
      </c>
    </row>
    <row r="2263" spans="1:9">
      <c r="A2263" s="1">
        <v>10033</v>
      </c>
      <c r="B2263" s="1">
        <v>7</v>
      </c>
      <c r="C2263" s="2">
        <v>41478</v>
      </c>
      <c r="D2263" s="1" t="s">
        <v>2005</v>
      </c>
      <c r="E2263" s="1">
        <v>101280</v>
      </c>
      <c r="F2263" s="6" t="s">
        <v>4265</v>
      </c>
      <c r="G2263" s="15" t="str">
        <f>VLOOKUP(A2263,Movie!A:D,4,FALSE)</f>
        <v>Lionsgate</v>
      </c>
      <c r="H2263" s="14">
        <f>VLOOKUP(E2263,'Rental Transaction'!A:B,2,FALSE)</f>
        <v>189441</v>
      </c>
      <c r="I2263">
        <f t="shared" si="35"/>
        <v>2013</v>
      </c>
    </row>
    <row r="2264" spans="1:9">
      <c r="A2264" s="1">
        <v>10082</v>
      </c>
      <c r="B2264" s="1">
        <v>10</v>
      </c>
      <c r="C2264" s="2">
        <v>41478</v>
      </c>
      <c r="D2264" s="1" t="s">
        <v>2002</v>
      </c>
      <c r="E2264" s="1">
        <v>101281</v>
      </c>
      <c r="F2264" s="6" t="s">
        <v>4266</v>
      </c>
      <c r="G2264" s="15" t="str">
        <f>VLOOKUP(A2264,Movie!A:D,4,FALSE)</f>
        <v>Buena Vista</v>
      </c>
      <c r="H2264" s="14">
        <f>VLOOKUP(E2264,'Rental Transaction'!A:B,2,FALSE)</f>
        <v>955591</v>
      </c>
      <c r="I2264">
        <f t="shared" si="35"/>
        <v>2013</v>
      </c>
    </row>
    <row r="2265" spans="1:9">
      <c r="A2265" s="1">
        <v>10227</v>
      </c>
      <c r="B2265" s="1">
        <v>3</v>
      </c>
      <c r="C2265" s="2">
        <v>41478</v>
      </c>
      <c r="D2265" s="1" t="s">
        <v>2002</v>
      </c>
      <c r="E2265" s="1">
        <v>101281</v>
      </c>
      <c r="F2265" s="6" t="s">
        <v>4267</v>
      </c>
      <c r="G2265" s="15" t="str">
        <f>VLOOKUP(A2265,Movie!A:D,4,FALSE)</f>
        <v>Focus</v>
      </c>
      <c r="H2265" s="14">
        <f>VLOOKUP(E2265,'Rental Transaction'!A:B,2,FALSE)</f>
        <v>955591</v>
      </c>
      <c r="I2265">
        <f t="shared" si="35"/>
        <v>2013</v>
      </c>
    </row>
    <row r="2266" spans="1:9">
      <c r="A2266" s="1">
        <v>10171</v>
      </c>
      <c r="B2266" s="1">
        <v>1</v>
      </c>
      <c r="C2266" s="2">
        <v>41479</v>
      </c>
      <c r="D2266" s="1" t="s">
        <v>2002</v>
      </c>
      <c r="E2266" s="1">
        <v>101282</v>
      </c>
      <c r="F2266" s="6" t="s">
        <v>4268</v>
      </c>
      <c r="G2266" s="15" t="str">
        <f>VLOOKUP(A2266,Movie!A:D,4,FALSE)</f>
        <v>Universal</v>
      </c>
      <c r="H2266" s="14">
        <f>VLOOKUP(E2266,'Rental Transaction'!A:B,2,FALSE)</f>
        <v>575041</v>
      </c>
      <c r="I2266">
        <f t="shared" si="35"/>
        <v>2013</v>
      </c>
    </row>
    <row r="2267" spans="1:9">
      <c r="A2267" s="1">
        <v>10197</v>
      </c>
      <c r="B2267" s="1">
        <v>3</v>
      </c>
      <c r="C2267" s="2">
        <v>41478</v>
      </c>
      <c r="D2267" s="1" t="s">
        <v>2005</v>
      </c>
      <c r="E2267" s="1">
        <v>101283</v>
      </c>
      <c r="F2267" s="6" t="s">
        <v>4269</v>
      </c>
      <c r="G2267" s="15" t="str">
        <f>VLOOKUP(A2267,Movie!A:D,4,FALSE)</f>
        <v>Warner Brothers</v>
      </c>
      <c r="H2267" s="14">
        <f>VLOOKUP(E2267,'Rental Transaction'!A:B,2,FALSE)</f>
        <v>378374</v>
      </c>
      <c r="I2267">
        <f t="shared" si="35"/>
        <v>2013</v>
      </c>
    </row>
    <row r="2268" spans="1:9">
      <c r="A2268" s="1">
        <v>10224</v>
      </c>
      <c r="B2268" s="1">
        <v>10</v>
      </c>
      <c r="C2268" s="2">
        <v>41478</v>
      </c>
      <c r="D2268" s="1" t="s">
        <v>2002</v>
      </c>
      <c r="E2268" s="1">
        <v>101283</v>
      </c>
      <c r="F2268" s="6" t="s">
        <v>4270</v>
      </c>
      <c r="G2268" s="15" t="str">
        <f>VLOOKUP(A2268,Movie!A:D,4,FALSE)</f>
        <v>Fox Searchlight</v>
      </c>
      <c r="H2268" s="14">
        <f>VLOOKUP(E2268,'Rental Transaction'!A:B,2,FALSE)</f>
        <v>378374</v>
      </c>
      <c r="I2268">
        <f t="shared" si="35"/>
        <v>2013</v>
      </c>
    </row>
    <row r="2269" spans="1:9">
      <c r="A2269" s="1">
        <v>10036</v>
      </c>
      <c r="B2269" s="1">
        <v>5</v>
      </c>
      <c r="C2269" s="2">
        <v>41479</v>
      </c>
      <c r="D2269" s="1" t="s">
        <v>2002</v>
      </c>
      <c r="E2269" s="1">
        <v>101284</v>
      </c>
      <c r="F2269" s="6" t="s">
        <v>4271</v>
      </c>
      <c r="G2269" s="15" t="str">
        <f>VLOOKUP(A2269,Movie!A:D,4,FALSE)</f>
        <v>Universal</v>
      </c>
      <c r="H2269" s="14">
        <f>VLOOKUP(E2269,'Rental Transaction'!A:B,2,FALSE)</f>
        <v>618955</v>
      </c>
      <c r="I2269">
        <f t="shared" si="35"/>
        <v>2013</v>
      </c>
    </row>
    <row r="2270" spans="1:9">
      <c r="A2270" s="1">
        <v>10231</v>
      </c>
      <c r="B2270" s="1">
        <v>3</v>
      </c>
      <c r="C2270" s="2">
        <v>41479</v>
      </c>
      <c r="D2270" s="1" t="s">
        <v>2002</v>
      </c>
      <c r="E2270" s="1">
        <v>101284</v>
      </c>
      <c r="F2270" s="6" t="s">
        <v>4272</v>
      </c>
      <c r="G2270" s="15" t="str">
        <f>VLOOKUP(A2270,Movie!A:D,4,FALSE)</f>
        <v>Universal</v>
      </c>
      <c r="H2270" s="14">
        <f>VLOOKUP(E2270,'Rental Transaction'!A:B,2,FALSE)</f>
        <v>618955</v>
      </c>
      <c r="I2270">
        <f t="shared" si="35"/>
        <v>2013</v>
      </c>
    </row>
    <row r="2271" spans="1:9">
      <c r="A2271" s="1">
        <v>10057</v>
      </c>
      <c r="B2271" s="1">
        <v>6</v>
      </c>
      <c r="C2271" s="2">
        <v>41479</v>
      </c>
      <c r="D2271" s="1" t="s">
        <v>2005</v>
      </c>
      <c r="E2271" s="1">
        <v>101285</v>
      </c>
      <c r="F2271" s="6" t="s">
        <v>4273</v>
      </c>
      <c r="G2271" s="15" t="str">
        <f>VLOOKUP(A2271,Movie!A:D,4,FALSE)</f>
        <v>Warner Brothers</v>
      </c>
      <c r="H2271" s="14">
        <f>VLOOKUP(E2271,'Rental Transaction'!A:B,2,FALSE)</f>
        <v>304344</v>
      </c>
      <c r="I2271">
        <f t="shared" si="35"/>
        <v>2013</v>
      </c>
    </row>
    <row r="2272" spans="1:9">
      <c r="A2272" s="1">
        <v>10049</v>
      </c>
      <c r="B2272" s="1">
        <v>8</v>
      </c>
      <c r="C2272" s="2">
        <v>41478</v>
      </c>
      <c r="D2272" s="1" t="s">
        <v>2002</v>
      </c>
      <c r="E2272" s="1">
        <v>101285</v>
      </c>
      <c r="F2272" s="6" t="s">
        <v>4274</v>
      </c>
      <c r="G2272" s="15" t="str">
        <f>VLOOKUP(A2272,Movie!A:D,4,FALSE)</f>
        <v>Universal</v>
      </c>
      <c r="H2272" s="14">
        <f>VLOOKUP(E2272,'Rental Transaction'!A:B,2,FALSE)</f>
        <v>304344</v>
      </c>
      <c r="I2272">
        <f t="shared" si="35"/>
        <v>2013</v>
      </c>
    </row>
    <row r="2273" spans="1:9">
      <c r="A2273" s="1">
        <v>10104</v>
      </c>
      <c r="B2273" s="1">
        <v>7</v>
      </c>
      <c r="C2273" s="2">
        <v>41479</v>
      </c>
      <c r="D2273" s="1" t="s">
        <v>2002</v>
      </c>
      <c r="E2273" s="1">
        <v>101286</v>
      </c>
      <c r="F2273" s="6" t="s">
        <v>4275</v>
      </c>
      <c r="G2273" s="15" t="str">
        <f>VLOOKUP(A2273,Movie!A:D,4,FALSE)</f>
        <v>Universal</v>
      </c>
      <c r="H2273" s="14">
        <f>VLOOKUP(E2273,'Rental Transaction'!A:B,2,FALSE)</f>
        <v>175940</v>
      </c>
      <c r="I2273">
        <f t="shared" si="35"/>
        <v>2013</v>
      </c>
    </row>
    <row r="2274" spans="1:9">
      <c r="A2274" s="1">
        <v>10112</v>
      </c>
      <c r="B2274" s="1">
        <v>2</v>
      </c>
      <c r="C2274" s="2">
        <v>41479</v>
      </c>
      <c r="D2274" s="1" t="s">
        <v>2005</v>
      </c>
      <c r="E2274" s="1">
        <v>101286</v>
      </c>
      <c r="F2274" s="6" t="s">
        <v>4276</v>
      </c>
      <c r="G2274" s="15" t="str">
        <f>VLOOKUP(A2274,Movie!A:D,4,FALSE)</f>
        <v>Relativity</v>
      </c>
      <c r="H2274" s="14">
        <f>VLOOKUP(E2274,'Rental Transaction'!A:B,2,FALSE)</f>
        <v>175940</v>
      </c>
      <c r="I2274">
        <f t="shared" si="35"/>
        <v>2013</v>
      </c>
    </row>
    <row r="2275" spans="1:9">
      <c r="A2275" s="1">
        <v>10163</v>
      </c>
      <c r="B2275" s="1">
        <v>2</v>
      </c>
      <c r="C2275" s="2">
        <v>41479</v>
      </c>
      <c r="D2275" s="1" t="s">
        <v>2005</v>
      </c>
      <c r="E2275" s="1">
        <v>101287</v>
      </c>
      <c r="F2275" s="6" t="s">
        <v>4277</v>
      </c>
      <c r="G2275" s="15" t="str">
        <f>VLOOKUP(A2275,Movie!A:D,4,FALSE)</f>
        <v>Warner Brothers</v>
      </c>
      <c r="H2275" s="14">
        <f>VLOOKUP(E2275,'Rental Transaction'!A:B,2,FALSE)</f>
        <v>147216</v>
      </c>
      <c r="I2275">
        <f t="shared" si="35"/>
        <v>2013</v>
      </c>
    </row>
    <row r="2276" spans="1:9" ht="29.25">
      <c r="A2276" s="1">
        <v>10140</v>
      </c>
      <c r="B2276" s="1">
        <v>6</v>
      </c>
      <c r="C2276" s="2">
        <v>41479</v>
      </c>
      <c r="D2276" s="1" t="s">
        <v>2005</v>
      </c>
      <c r="E2276" s="1">
        <v>101288</v>
      </c>
      <c r="F2276" s="6" t="s">
        <v>4278</v>
      </c>
      <c r="G2276" s="15" t="str">
        <f>VLOOKUP(A2276,Movie!A:D,4,FALSE)</f>
        <v>Weinstein Company</v>
      </c>
      <c r="H2276" s="14">
        <f>VLOOKUP(E2276,'Rental Transaction'!A:B,2,FALSE)</f>
        <v>777145</v>
      </c>
      <c r="I2276">
        <f t="shared" si="35"/>
        <v>2013</v>
      </c>
    </row>
    <row r="2277" spans="1:9">
      <c r="A2277" s="1">
        <v>10187</v>
      </c>
      <c r="B2277" s="1">
        <v>3</v>
      </c>
      <c r="C2277" s="2">
        <v>41479</v>
      </c>
      <c r="D2277" s="1" t="s">
        <v>2005</v>
      </c>
      <c r="E2277" s="1">
        <v>101288</v>
      </c>
      <c r="F2277" s="6" t="s">
        <v>4279</v>
      </c>
      <c r="G2277" s="15" t="str">
        <f>VLOOKUP(A2277,Movie!A:D,4,FALSE)</f>
        <v>Paramount</v>
      </c>
      <c r="H2277" s="14">
        <f>VLOOKUP(E2277,'Rental Transaction'!A:B,2,FALSE)</f>
        <v>777145</v>
      </c>
      <c r="I2277">
        <f t="shared" si="35"/>
        <v>2013</v>
      </c>
    </row>
    <row r="2278" spans="1:9">
      <c r="A2278" s="1">
        <v>10214</v>
      </c>
      <c r="B2278" s="1">
        <v>6</v>
      </c>
      <c r="C2278" s="2">
        <v>41479</v>
      </c>
      <c r="D2278" s="1" t="s">
        <v>2002</v>
      </c>
      <c r="E2278" s="1">
        <v>101289</v>
      </c>
      <c r="F2278" s="6" t="s">
        <v>4280</v>
      </c>
      <c r="G2278" s="15" t="str">
        <f>VLOOKUP(A2278,Movie!A:D,4,FALSE)</f>
        <v>RM</v>
      </c>
      <c r="H2278" s="14">
        <f>VLOOKUP(E2278,'Rental Transaction'!A:B,2,FALSE)</f>
        <v>524667</v>
      </c>
      <c r="I2278">
        <f t="shared" si="35"/>
        <v>2013</v>
      </c>
    </row>
    <row r="2279" spans="1:9">
      <c r="A2279" s="1">
        <v>10059</v>
      </c>
      <c r="B2279" s="1">
        <v>8</v>
      </c>
      <c r="C2279" s="2">
        <v>41480</v>
      </c>
      <c r="D2279" s="1" t="s">
        <v>2002</v>
      </c>
      <c r="E2279" s="1">
        <v>101290</v>
      </c>
      <c r="F2279" s="6" t="s">
        <v>4281</v>
      </c>
      <c r="G2279" s="15" t="str">
        <f>VLOOKUP(A2279,Movie!A:D,4,FALSE)</f>
        <v>Universal</v>
      </c>
      <c r="H2279" s="14">
        <f>VLOOKUP(E2279,'Rental Transaction'!A:B,2,FALSE)</f>
        <v>344702</v>
      </c>
      <c r="I2279">
        <f t="shared" si="35"/>
        <v>2013</v>
      </c>
    </row>
    <row r="2280" spans="1:9">
      <c r="A2280" s="1">
        <v>10026</v>
      </c>
      <c r="B2280" s="1">
        <v>9</v>
      </c>
      <c r="C2280" s="2">
        <v>41479</v>
      </c>
      <c r="D2280" s="1" t="s">
        <v>2002</v>
      </c>
      <c r="E2280" s="1">
        <v>101290</v>
      </c>
      <c r="F2280" s="6" t="s">
        <v>4282</v>
      </c>
      <c r="G2280" s="15" t="str">
        <f>VLOOKUP(A2280,Movie!A:D,4,FALSE)</f>
        <v>Fox</v>
      </c>
      <c r="H2280" s="14">
        <f>VLOOKUP(E2280,'Rental Transaction'!A:B,2,FALSE)</f>
        <v>344702</v>
      </c>
      <c r="I2280">
        <f t="shared" si="35"/>
        <v>2013</v>
      </c>
    </row>
    <row r="2281" spans="1:9">
      <c r="A2281" s="1">
        <v>10053</v>
      </c>
      <c r="B2281" s="1">
        <v>2</v>
      </c>
      <c r="C2281" s="2">
        <v>41480</v>
      </c>
      <c r="D2281" s="1" t="s">
        <v>2002</v>
      </c>
      <c r="E2281" s="1">
        <v>101291</v>
      </c>
      <c r="F2281" s="6" t="s">
        <v>4283</v>
      </c>
      <c r="G2281" s="15" t="str">
        <f>VLOOKUP(A2281,Movie!A:D,4,FALSE)</f>
        <v>Sony</v>
      </c>
      <c r="H2281" s="14">
        <f>VLOOKUP(E2281,'Rental Transaction'!A:B,2,FALSE)</f>
        <v>233813</v>
      </c>
      <c r="I2281">
        <f t="shared" si="35"/>
        <v>2013</v>
      </c>
    </row>
    <row r="2282" spans="1:9">
      <c r="A2282" s="1">
        <v>10053</v>
      </c>
      <c r="B2282" s="1">
        <v>4</v>
      </c>
      <c r="C2282" s="2">
        <v>41479</v>
      </c>
      <c r="D2282" s="1" t="s">
        <v>2002</v>
      </c>
      <c r="E2282" s="1">
        <v>101291</v>
      </c>
      <c r="F2282" s="6" t="s">
        <v>4284</v>
      </c>
      <c r="G2282" s="15" t="str">
        <f>VLOOKUP(A2282,Movie!A:D,4,FALSE)</f>
        <v>Sony</v>
      </c>
      <c r="H2282" s="14">
        <f>VLOOKUP(E2282,'Rental Transaction'!A:B,2,FALSE)</f>
        <v>233813</v>
      </c>
      <c r="I2282">
        <f t="shared" si="35"/>
        <v>2013</v>
      </c>
    </row>
    <row r="2283" spans="1:9">
      <c r="A2283" s="1">
        <v>10183</v>
      </c>
      <c r="B2283" s="1">
        <v>7</v>
      </c>
      <c r="C2283" s="2">
        <v>41479</v>
      </c>
      <c r="D2283" s="1" t="s">
        <v>2002</v>
      </c>
      <c r="E2283" s="1">
        <v>101292</v>
      </c>
      <c r="F2283" s="6" t="s">
        <v>4285</v>
      </c>
      <c r="G2283" s="15" t="str">
        <f>VLOOKUP(A2283,Movie!A:D,4,FALSE)</f>
        <v>Sony</v>
      </c>
      <c r="H2283" s="14">
        <f>VLOOKUP(E2283,'Rental Transaction'!A:B,2,FALSE)</f>
        <v>643305</v>
      </c>
      <c r="I2283">
        <f t="shared" si="35"/>
        <v>2013</v>
      </c>
    </row>
    <row r="2284" spans="1:9">
      <c r="A2284" s="1">
        <v>10048</v>
      </c>
      <c r="B2284" s="1">
        <v>4</v>
      </c>
      <c r="C2284" s="2">
        <v>41479</v>
      </c>
      <c r="D2284" s="1" t="s">
        <v>2005</v>
      </c>
      <c r="E2284" s="1">
        <v>101292</v>
      </c>
      <c r="F2284" s="6" t="s">
        <v>4286</v>
      </c>
      <c r="G2284" s="15" t="str">
        <f>VLOOKUP(A2284,Movie!A:D,4,FALSE)</f>
        <v>Relativity</v>
      </c>
      <c r="H2284" s="14">
        <f>VLOOKUP(E2284,'Rental Transaction'!A:B,2,FALSE)</f>
        <v>643305</v>
      </c>
      <c r="I2284">
        <f t="shared" si="35"/>
        <v>2013</v>
      </c>
    </row>
    <row r="2285" spans="1:9">
      <c r="A2285" s="1">
        <v>10262</v>
      </c>
      <c r="B2285" s="1">
        <v>9</v>
      </c>
      <c r="C2285" s="2">
        <v>41479</v>
      </c>
      <c r="D2285" s="1" t="s">
        <v>2005</v>
      </c>
      <c r="E2285" s="1">
        <v>101292</v>
      </c>
      <c r="F2285" s="6" t="s">
        <v>4287</v>
      </c>
      <c r="G2285" s="15" t="str">
        <f>VLOOKUP(A2285,Movie!A:D,4,FALSE)</f>
        <v>Lionsgate</v>
      </c>
      <c r="H2285" s="14">
        <f>VLOOKUP(E2285,'Rental Transaction'!A:B,2,FALSE)</f>
        <v>643305</v>
      </c>
      <c r="I2285">
        <f t="shared" si="35"/>
        <v>2013</v>
      </c>
    </row>
    <row r="2286" spans="1:9">
      <c r="A2286" s="1">
        <v>10206</v>
      </c>
      <c r="B2286" s="1">
        <v>8</v>
      </c>
      <c r="C2286" s="2">
        <v>41480</v>
      </c>
      <c r="D2286" s="1" t="s">
        <v>2002</v>
      </c>
      <c r="E2286" s="1">
        <v>101293</v>
      </c>
      <c r="F2286" s="6" t="s">
        <v>4288</v>
      </c>
      <c r="G2286" s="15" t="str">
        <f>VLOOKUP(A2286,Movie!A:D,4,FALSE)</f>
        <v>Fox</v>
      </c>
      <c r="H2286" s="14">
        <f>VLOOKUP(E2286,'Rental Transaction'!A:B,2,FALSE)</f>
        <v>586201</v>
      </c>
      <c r="I2286">
        <f t="shared" si="35"/>
        <v>2013</v>
      </c>
    </row>
    <row r="2287" spans="1:9">
      <c r="A2287" s="1">
        <v>10247</v>
      </c>
      <c r="B2287" s="1">
        <v>8</v>
      </c>
      <c r="C2287" s="2">
        <v>41479</v>
      </c>
      <c r="D2287" s="1" t="s">
        <v>2002</v>
      </c>
      <c r="E2287" s="1">
        <v>101293</v>
      </c>
      <c r="F2287" s="6" t="s">
        <v>4289</v>
      </c>
      <c r="G2287" s="15" t="str">
        <f>VLOOKUP(A2287,Movie!A:D,4,FALSE)</f>
        <v>Fox</v>
      </c>
      <c r="H2287" s="14">
        <f>VLOOKUP(E2287,'Rental Transaction'!A:B,2,FALSE)</f>
        <v>586201</v>
      </c>
      <c r="I2287">
        <f t="shared" si="35"/>
        <v>2013</v>
      </c>
    </row>
    <row r="2288" spans="1:9">
      <c r="A2288" s="1">
        <v>10213</v>
      </c>
      <c r="B2288" s="1">
        <v>1</v>
      </c>
      <c r="C2288" s="2">
        <v>41479</v>
      </c>
      <c r="D2288" s="1" t="s">
        <v>2005</v>
      </c>
      <c r="E2288" s="1">
        <v>101293</v>
      </c>
      <c r="F2288" s="6" t="s">
        <v>4290</v>
      </c>
      <c r="G2288" s="15" t="str">
        <f>VLOOKUP(A2288,Movie!A:D,4,FALSE)</f>
        <v>Sony</v>
      </c>
      <c r="H2288" s="14">
        <f>VLOOKUP(E2288,'Rental Transaction'!A:B,2,FALSE)</f>
        <v>586201</v>
      </c>
      <c r="I2288">
        <f t="shared" si="35"/>
        <v>2013</v>
      </c>
    </row>
    <row r="2289" spans="1:9">
      <c r="A2289" s="1">
        <v>10192</v>
      </c>
      <c r="B2289" s="1">
        <v>6</v>
      </c>
      <c r="C2289" s="2">
        <v>41480</v>
      </c>
      <c r="D2289" s="1" t="s">
        <v>2005</v>
      </c>
      <c r="E2289" s="1">
        <v>101294</v>
      </c>
      <c r="F2289" s="6" t="s">
        <v>4291</v>
      </c>
      <c r="G2289" s="15" t="str">
        <f>VLOOKUP(A2289,Movie!A:D,4,FALSE)</f>
        <v>Universal</v>
      </c>
      <c r="H2289" s="14">
        <f>VLOOKUP(E2289,'Rental Transaction'!A:B,2,FALSE)</f>
        <v>796796</v>
      </c>
      <c r="I2289">
        <f t="shared" si="35"/>
        <v>2013</v>
      </c>
    </row>
    <row r="2290" spans="1:9">
      <c r="A2290" s="1">
        <v>10068</v>
      </c>
      <c r="B2290" s="1">
        <v>9</v>
      </c>
      <c r="C2290" s="2">
        <v>41481</v>
      </c>
      <c r="D2290" s="1" t="s">
        <v>2002</v>
      </c>
      <c r="E2290" s="1">
        <v>101295</v>
      </c>
      <c r="F2290" s="6" t="s">
        <v>4292</v>
      </c>
      <c r="G2290" s="15" t="str">
        <f>VLOOKUP(A2290,Movie!A:D,4,FALSE)</f>
        <v>Warner Brothers</v>
      </c>
      <c r="H2290" s="14">
        <f>VLOOKUP(E2290,'Rental Transaction'!A:B,2,FALSE)</f>
        <v>296208</v>
      </c>
      <c r="I2290">
        <f t="shared" si="35"/>
        <v>2013</v>
      </c>
    </row>
    <row r="2291" spans="1:9" ht="29.25">
      <c r="A2291" s="1">
        <v>10285</v>
      </c>
      <c r="B2291" s="1">
        <v>5</v>
      </c>
      <c r="C2291" s="2">
        <v>41480</v>
      </c>
      <c r="D2291" s="1" t="s">
        <v>2002</v>
      </c>
      <c r="E2291" s="1">
        <v>101296</v>
      </c>
      <c r="F2291" s="6" t="s">
        <v>4293</v>
      </c>
      <c r="G2291" s="15" t="str">
        <f>VLOOKUP(A2291,Movie!A:D,4,FALSE)</f>
        <v>Roadside Attractions</v>
      </c>
      <c r="H2291" s="14">
        <f>VLOOKUP(E2291,'Rental Transaction'!A:B,2,FALSE)</f>
        <v>884368</v>
      </c>
      <c r="I2291">
        <f t="shared" si="35"/>
        <v>2013</v>
      </c>
    </row>
    <row r="2292" spans="1:9">
      <c r="A2292" s="1">
        <v>10223</v>
      </c>
      <c r="B2292" s="1">
        <v>1</v>
      </c>
      <c r="C2292" s="2">
        <v>41480</v>
      </c>
      <c r="D2292" s="1" t="s">
        <v>2002</v>
      </c>
      <c r="E2292" s="1">
        <v>101297</v>
      </c>
      <c r="F2292" s="6" t="s">
        <v>4294</v>
      </c>
      <c r="G2292" s="15" t="str">
        <f>VLOOKUP(A2292,Movie!A:D,4,FALSE)</f>
        <v>Universal</v>
      </c>
      <c r="H2292" s="14">
        <f>VLOOKUP(E2292,'Rental Transaction'!A:B,2,FALSE)</f>
        <v>890497</v>
      </c>
      <c r="I2292">
        <f t="shared" si="35"/>
        <v>2013</v>
      </c>
    </row>
    <row r="2293" spans="1:9">
      <c r="A2293" s="1">
        <v>10112</v>
      </c>
      <c r="B2293" s="1">
        <v>10</v>
      </c>
      <c r="C2293" s="2">
        <v>41480</v>
      </c>
      <c r="D2293" s="1" t="s">
        <v>2005</v>
      </c>
      <c r="E2293" s="1">
        <v>101297</v>
      </c>
      <c r="F2293" s="6" t="s">
        <v>4295</v>
      </c>
      <c r="G2293" s="15" t="str">
        <f>VLOOKUP(A2293,Movie!A:D,4,FALSE)</f>
        <v>Relativity</v>
      </c>
      <c r="H2293" s="14">
        <f>VLOOKUP(E2293,'Rental Transaction'!A:B,2,FALSE)</f>
        <v>890497</v>
      </c>
      <c r="I2293">
        <f t="shared" si="35"/>
        <v>2013</v>
      </c>
    </row>
    <row r="2294" spans="1:9">
      <c r="A2294" s="1">
        <v>10231</v>
      </c>
      <c r="B2294" s="1">
        <v>9</v>
      </c>
      <c r="C2294" s="2">
        <v>41480</v>
      </c>
      <c r="D2294" s="1" t="s">
        <v>2005</v>
      </c>
      <c r="E2294" s="1">
        <v>101298</v>
      </c>
      <c r="F2294" s="6" t="s">
        <v>4296</v>
      </c>
      <c r="G2294" s="15" t="str">
        <f>VLOOKUP(A2294,Movie!A:D,4,FALSE)</f>
        <v>Universal</v>
      </c>
      <c r="H2294" s="14">
        <f>VLOOKUP(E2294,'Rental Transaction'!A:B,2,FALSE)</f>
        <v>992895</v>
      </c>
      <c r="I2294">
        <f t="shared" si="35"/>
        <v>2013</v>
      </c>
    </row>
    <row r="2295" spans="1:9">
      <c r="A2295" s="1">
        <v>10213</v>
      </c>
      <c r="B2295" s="1">
        <v>2</v>
      </c>
      <c r="C2295" s="2">
        <v>41480</v>
      </c>
      <c r="D2295" s="1" t="s">
        <v>2002</v>
      </c>
      <c r="E2295" s="1">
        <v>101299</v>
      </c>
      <c r="F2295" s="6" t="s">
        <v>4297</v>
      </c>
      <c r="G2295" s="15" t="str">
        <f>VLOOKUP(A2295,Movie!A:D,4,FALSE)</f>
        <v>Sony</v>
      </c>
      <c r="H2295" s="14">
        <f>VLOOKUP(E2295,'Rental Transaction'!A:B,2,FALSE)</f>
        <v>242720</v>
      </c>
      <c r="I2295">
        <f t="shared" si="35"/>
        <v>2013</v>
      </c>
    </row>
    <row r="2296" spans="1:9">
      <c r="A2296" s="1">
        <v>10190</v>
      </c>
      <c r="B2296" s="1">
        <v>6</v>
      </c>
      <c r="C2296" s="2">
        <v>41481</v>
      </c>
      <c r="D2296" s="1" t="s">
        <v>2002</v>
      </c>
      <c r="E2296" s="1">
        <v>101299</v>
      </c>
      <c r="F2296" s="6" t="s">
        <v>4298</v>
      </c>
      <c r="G2296" s="15" t="str">
        <f>VLOOKUP(A2296,Movie!A:D,4,FALSE)</f>
        <v>Lionsgate</v>
      </c>
      <c r="H2296" s="14">
        <f>VLOOKUP(E2296,'Rental Transaction'!A:B,2,FALSE)</f>
        <v>242720</v>
      </c>
      <c r="I2296">
        <f t="shared" si="35"/>
        <v>2013</v>
      </c>
    </row>
    <row r="2297" spans="1:9">
      <c r="A2297" s="1">
        <v>10167</v>
      </c>
      <c r="B2297" s="1">
        <v>10</v>
      </c>
      <c r="C2297" s="2">
        <v>41480</v>
      </c>
      <c r="D2297" s="1" t="s">
        <v>2005</v>
      </c>
      <c r="E2297" s="1">
        <v>101300</v>
      </c>
      <c r="F2297" s="6" t="s">
        <v>4299</v>
      </c>
      <c r="G2297" s="15" t="str">
        <f>VLOOKUP(A2297,Movie!A:D,4,FALSE)</f>
        <v>Universal</v>
      </c>
      <c r="H2297" s="14">
        <f>VLOOKUP(E2297,'Rental Transaction'!A:B,2,FALSE)</f>
        <v>233956</v>
      </c>
      <c r="I2297">
        <f t="shared" si="35"/>
        <v>2013</v>
      </c>
    </row>
    <row r="2298" spans="1:9">
      <c r="A2298" s="1">
        <v>10026</v>
      </c>
      <c r="B2298" s="1">
        <v>10</v>
      </c>
      <c r="C2298" s="2">
        <v>41480</v>
      </c>
      <c r="D2298" s="1" t="s">
        <v>2005</v>
      </c>
      <c r="E2298" s="1">
        <v>101301</v>
      </c>
      <c r="F2298" s="6" t="s">
        <v>4300</v>
      </c>
      <c r="G2298" s="15" t="str">
        <f>VLOOKUP(A2298,Movie!A:D,4,FALSE)</f>
        <v>Fox</v>
      </c>
      <c r="H2298" s="14">
        <f>VLOOKUP(E2298,'Rental Transaction'!A:B,2,FALSE)</f>
        <v>204295</v>
      </c>
      <c r="I2298">
        <f t="shared" si="35"/>
        <v>2013</v>
      </c>
    </row>
    <row r="2299" spans="1:9">
      <c r="A2299" s="1">
        <v>10072</v>
      </c>
      <c r="B2299" s="1">
        <v>2</v>
      </c>
      <c r="C2299" s="2">
        <v>41482</v>
      </c>
      <c r="D2299" s="1" t="s">
        <v>2005</v>
      </c>
      <c r="E2299" s="1">
        <v>101301</v>
      </c>
      <c r="F2299" s="6" t="s">
        <v>4301</v>
      </c>
      <c r="G2299" s="15" t="str">
        <f>VLOOKUP(A2299,Movie!A:D,4,FALSE)</f>
        <v>Paramount</v>
      </c>
      <c r="H2299" s="14">
        <f>VLOOKUP(E2299,'Rental Transaction'!A:B,2,FALSE)</f>
        <v>204295</v>
      </c>
      <c r="I2299">
        <f t="shared" si="35"/>
        <v>2013</v>
      </c>
    </row>
    <row r="2300" spans="1:9">
      <c r="A2300" s="1">
        <v>10201</v>
      </c>
      <c r="B2300" s="1">
        <v>6</v>
      </c>
      <c r="C2300" s="2">
        <v>41480</v>
      </c>
      <c r="D2300" s="1" t="s">
        <v>2005</v>
      </c>
      <c r="E2300" s="1">
        <v>101302</v>
      </c>
      <c r="F2300" s="6" t="s">
        <v>4302</v>
      </c>
      <c r="G2300" s="15" t="str">
        <f>VLOOKUP(A2300,Movie!A:D,4,FALSE)</f>
        <v>Screen Gems</v>
      </c>
      <c r="H2300" s="14">
        <f>VLOOKUP(E2300,'Rental Transaction'!A:B,2,FALSE)</f>
        <v>480298</v>
      </c>
      <c r="I2300">
        <f t="shared" si="35"/>
        <v>2013</v>
      </c>
    </row>
    <row r="2301" spans="1:9">
      <c r="A2301" s="1">
        <v>10082</v>
      </c>
      <c r="B2301" s="1">
        <v>1</v>
      </c>
      <c r="C2301" s="2">
        <v>41480</v>
      </c>
      <c r="D2301" s="1" t="s">
        <v>2005</v>
      </c>
      <c r="E2301" s="1">
        <v>101303</v>
      </c>
      <c r="F2301" s="6" t="s">
        <v>4303</v>
      </c>
      <c r="G2301" s="15" t="str">
        <f>VLOOKUP(A2301,Movie!A:D,4,FALSE)</f>
        <v>Buena Vista</v>
      </c>
      <c r="H2301" s="14">
        <f>VLOOKUP(E2301,'Rental Transaction'!A:B,2,FALSE)</f>
        <v>664411</v>
      </c>
      <c r="I2301">
        <f t="shared" si="35"/>
        <v>2013</v>
      </c>
    </row>
    <row r="2302" spans="1:9">
      <c r="A2302" s="1">
        <v>10222</v>
      </c>
      <c r="B2302" s="1">
        <v>10</v>
      </c>
      <c r="C2302" s="2">
        <v>41480</v>
      </c>
      <c r="D2302" s="1" t="s">
        <v>2002</v>
      </c>
      <c r="E2302" s="1">
        <v>101303</v>
      </c>
      <c r="F2302" s="6" t="s">
        <v>4304</v>
      </c>
      <c r="G2302" s="15" t="str">
        <f>VLOOKUP(A2302,Movie!A:D,4,FALSE)</f>
        <v>Sony</v>
      </c>
      <c r="H2302" s="14">
        <f>VLOOKUP(E2302,'Rental Transaction'!A:B,2,FALSE)</f>
        <v>664411</v>
      </c>
      <c r="I2302">
        <f t="shared" si="35"/>
        <v>2013</v>
      </c>
    </row>
    <row r="2303" spans="1:9">
      <c r="A2303" s="1">
        <v>10289</v>
      </c>
      <c r="B2303" s="1">
        <v>3</v>
      </c>
      <c r="C2303" s="2">
        <v>41480</v>
      </c>
      <c r="D2303" s="1" t="s">
        <v>2005</v>
      </c>
      <c r="E2303" s="1">
        <v>101304</v>
      </c>
      <c r="F2303" s="6" t="s">
        <v>4305</v>
      </c>
      <c r="G2303" s="15" t="str">
        <f>VLOOKUP(A2303,Movie!A:D,4,FALSE)</f>
        <v>Open Road Films</v>
      </c>
      <c r="H2303" s="14">
        <f>VLOOKUP(E2303,'Rental Transaction'!A:B,2,FALSE)</f>
        <v>842028</v>
      </c>
      <c r="I2303">
        <f t="shared" si="35"/>
        <v>2013</v>
      </c>
    </row>
    <row r="2304" spans="1:9">
      <c r="A2304" s="1">
        <v>10033</v>
      </c>
      <c r="B2304" s="1">
        <v>5</v>
      </c>
      <c r="C2304" s="2">
        <v>41480</v>
      </c>
      <c r="D2304" s="1" t="s">
        <v>2005</v>
      </c>
      <c r="E2304" s="1">
        <v>101305</v>
      </c>
      <c r="F2304" s="6" t="s">
        <v>4306</v>
      </c>
      <c r="G2304" s="15" t="str">
        <f>VLOOKUP(A2304,Movie!A:D,4,FALSE)</f>
        <v>Lionsgate</v>
      </c>
      <c r="H2304" s="14">
        <f>VLOOKUP(E2304,'Rental Transaction'!A:B,2,FALSE)</f>
        <v>317807</v>
      </c>
      <c r="I2304">
        <f t="shared" si="35"/>
        <v>2013</v>
      </c>
    </row>
    <row r="2305" spans="1:9">
      <c r="A2305" s="1">
        <v>10155</v>
      </c>
      <c r="B2305" s="1">
        <v>6</v>
      </c>
      <c r="C2305" s="2">
        <v>41482</v>
      </c>
      <c r="D2305" s="1" t="s">
        <v>2005</v>
      </c>
      <c r="E2305" s="1">
        <v>101306</v>
      </c>
      <c r="F2305" s="6" t="s">
        <v>4307</v>
      </c>
      <c r="G2305" s="15" t="str">
        <f>VLOOKUP(A2305,Movie!A:D,4,FALSE)</f>
        <v>Fox</v>
      </c>
      <c r="H2305" s="14">
        <f>VLOOKUP(E2305,'Rental Transaction'!A:B,2,FALSE)</f>
        <v>427391</v>
      </c>
      <c r="I2305">
        <f t="shared" si="35"/>
        <v>2013</v>
      </c>
    </row>
    <row r="2306" spans="1:9">
      <c r="A2306" s="1">
        <v>10057</v>
      </c>
      <c r="B2306" s="1">
        <v>4</v>
      </c>
      <c r="C2306" s="2">
        <v>41481</v>
      </c>
      <c r="D2306" s="1" t="s">
        <v>2002</v>
      </c>
      <c r="E2306" s="1">
        <v>101307</v>
      </c>
      <c r="F2306" s="6" t="s">
        <v>4308</v>
      </c>
      <c r="G2306" s="15" t="str">
        <f>VLOOKUP(A2306,Movie!A:D,4,FALSE)</f>
        <v>Warner Brothers</v>
      </c>
      <c r="H2306" s="14">
        <f>VLOOKUP(E2306,'Rental Transaction'!A:B,2,FALSE)</f>
        <v>723057</v>
      </c>
      <c r="I2306">
        <f t="shared" si="35"/>
        <v>2013</v>
      </c>
    </row>
    <row r="2307" spans="1:9">
      <c r="A2307" s="1">
        <v>10097</v>
      </c>
      <c r="B2307" s="1">
        <v>1</v>
      </c>
      <c r="C2307" s="2">
        <v>41481</v>
      </c>
      <c r="D2307" s="1" t="s">
        <v>2005</v>
      </c>
      <c r="E2307" s="1">
        <v>101308</v>
      </c>
      <c r="F2307" s="6" t="s">
        <v>4309</v>
      </c>
      <c r="G2307" s="15" t="str">
        <f>VLOOKUP(A2307,Movie!A:D,4,FALSE)</f>
        <v>Screen Gems</v>
      </c>
      <c r="H2307" s="14">
        <f>VLOOKUP(E2307,'Rental Transaction'!A:B,2,FALSE)</f>
        <v>592726</v>
      </c>
      <c r="I2307">
        <f t="shared" ref="I2307:I2370" si="36">YEAR(C2307)</f>
        <v>2013</v>
      </c>
    </row>
    <row r="2308" spans="1:9">
      <c r="A2308" s="1">
        <v>10288</v>
      </c>
      <c r="B2308" s="1">
        <v>5</v>
      </c>
      <c r="C2308" s="2">
        <v>41481</v>
      </c>
      <c r="D2308" s="1" t="s">
        <v>2002</v>
      </c>
      <c r="E2308" s="1">
        <v>101309</v>
      </c>
      <c r="F2308" s="6" t="s">
        <v>4310</v>
      </c>
      <c r="G2308" s="15" t="str">
        <f>VLOOKUP(A2308,Movie!A:D,4,FALSE)</f>
        <v>Relativity</v>
      </c>
      <c r="H2308" s="14">
        <f>VLOOKUP(E2308,'Rental Transaction'!A:B,2,FALSE)</f>
        <v>719921</v>
      </c>
      <c r="I2308">
        <f t="shared" si="36"/>
        <v>2013</v>
      </c>
    </row>
    <row r="2309" spans="1:9">
      <c r="A2309" s="1">
        <v>10174</v>
      </c>
      <c r="B2309" s="1">
        <v>4</v>
      </c>
      <c r="C2309" s="2">
        <v>41481</v>
      </c>
      <c r="D2309" s="1" t="s">
        <v>2005</v>
      </c>
      <c r="E2309" s="1">
        <v>101310</v>
      </c>
      <c r="F2309" s="6" t="s">
        <v>4311</v>
      </c>
      <c r="G2309" s="15" t="str">
        <f>VLOOKUP(A2309,Movie!A:D,4,FALSE)</f>
        <v>Universal</v>
      </c>
      <c r="H2309" s="14">
        <f>VLOOKUP(E2309,'Rental Transaction'!A:B,2,FALSE)</f>
        <v>891738</v>
      </c>
      <c r="I2309">
        <f t="shared" si="36"/>
        <v>2013</v>
      </c>
    </row>
    <row r="2310" spans="1:9">
      <c r="A2310" s="1">
        <v>10022</v>
      </c>
      <c r="B2310" s="1">
        <v>4</v>
      </c>
      <c r="C2310" s="2">
        <v>41482</v>
      </c>
      <c r="D2310" s="1" t="s">
        <v>2002</v>
      </c>
      <c r="E2310" s="1">
        <v>101310</v>
      </c>
      <c r="F2310" s="6" t="s">
        <v>4312</v>
      </c>
      <c r="G2310" s="15" t="str">
        <f>VLOOKUP(A2310,Movie!A:D,4,FALSE)</f>
        <v>Universal</v>
      </c>
      <c r="H2310" s="14">
        <f>VLOOKUP(E2310,'Rental Transaction'!A:B,2,FALSE)</f>
        <v>891738</v>
      </c>
      <c r="I2310">
        <f t="shared" si="36"/>
        <v>2013</v>
      </c>
    </row>
    <row r="2311" spans="1:9">
      <c r="A2311" s="1">
        <v>10295</v>
      </c>
      <c r="B2311" s="1">
        <v>10</v>
      </c>
      <c r="C2311" s="2">
        <v>41481</v>
      </c>
      <c r="D2311" s="1" t="s">
        <v>2002</v>
      </c>
      <c r="E2311" s="1">
        <v>101311</v>
      </c>
      <c r="F2311" s="6" t="s">
        <v>4313</v>
      </c>
      <c r="G2311" s="15" t="str">
        <f>VLOOKUP(A2311,Movie!A:D,4,FALSE)</f>
        <v>A24</v>
      </c>
      <c r="H2311" s="14">
        <f>VLOOKUP(E2311,'Rental Transaction'!A:B,2,FALSE)</f>
        <v>565259</v>
      </c>
      <c r="I2311">
        <f t="shared" si="36"/>
        <v>2013</v>
      </c>
    </row>
    <row r="2312" spans="1:9">
      <c r="A2312" s="1">
        <v>10253</v>
      </c>
      <c r="B2312" s="1">
        <v>10</v>
      </c>
      <c r="C2312" s="2">
        <v>41482</v>
      </c>
      <c r="D2312" s="1" t="s">
        <v>2002</v>
      </c>
      <c r="E2312" s="1">
        <v>101311</v>
      </c>
      <c r="F2312" s="6" t="s">
        <v>4314</v>
      </c>
      <c r="G2312" s="15" t="str">
        <f>VLOOKUP(A2312,Movie!A:D,4,FALSE)</f>
        <v>Buena Vista</v>
      </c>
      <c r="H2312" s="14">
        <f>VLOOKUP(E2312,'Rental Transaction'!A:B,2,FALSE)</f>
        <v>565259</v>
      </c>
      <c r="I2312">
        <f t="shared" si="36"/>
        <v>2013</v>
      </c>
    </row>
    <row r="2313" spans="1:9" ht="29.25">
      <c r="A2313" s="1">
        <v>10246</v>
      </c>
      <c r="B2313" s="1">
        <v>8</v>
      </c>
      <c r="C2313" s="2">
        <v>41481</v>
      </c>
      <c r="D2313" s="1" t="s">
        <v>2005</v>
      </c>
      <c r="E2313" s="1">
        <v>101312</v>
      </c>
      <c r="F2313" s="6" t="s">
        <v>4315</v>
      </c>
      <c r="G2313" s="15" t="str">
        <f>VLOOKUP(A2313,Movie!A:D,4,FALSE)</f>
        <v>Weinstein Company</v>
      </c>
      <c r="H2313" s="14">
        <f>VLOOKUP(E2313,'Rental Transaction'!A:B,2,FALSE)</f>
        <v>101811</v>
      </c>
      <c r="I2313">
        <f t="shared" si="36"/>
        <v>2013</v>
      </c>
    </row>
    <row r="2314" spans="1:9">
      <c r="A2314" s="1">
        <v>10106</v>
      </c>
      <c r="B2314" s="1">
        <v>5</v>
      </c>
      <c r="C2314" s="2">
        <v>41481</v>
      </c>
      <c r="D2314" s="1" t="s">
        <v>2005</v>
      </c>
      <c r="E2314" s="1">
        <v>101312</v>
      </c>
      <c r="F2314" s="6" t="s">
        <v>4316</v>
      </c>
      <c r="G2314" s="15" t="str">
        <f>VLOOKUP(A2314,Movie!A:D,4,FALSE)</f>
        <v>Fox</v>
      </c>
      <c r="H2314" s="14">
        <f>VLOOKUP(E2314,'Rental Transaction'!A:B,2,FALSE)</f>
        <v>101811</v>
      </c>
      <c r="I2314">
        <f t="shared" si="36"/>
        <v>2013</v>
      </c>
    </row>
    <row r="2315" spans="1:9">
      <c r="A2315" s="1">
        <v>10222</v>
      </c>
      <c r="B2315" s="1">
        <v>3</v>
      </c>
      <c r="C2315" s="2">
        <v>41483</v>
      </c>
      <c r="D2315" s="1" t="s">
        <v>2002</v>
      </c>
      <c r="E2315" s="1">
        <v>101313</v>
      </c>
      <c r="F2315" s="6" t="s">
        <v>4317</v>
      </c>
      <c r="G2315" s="15" t="str">
        <f>VLOOKUP(A2315,Movie!A:D,4,FALSE)</f>
        <v>Sony</v>
      </c>
      <c r="H2315" s="14">
        <f>VLOOKUP(E2315,'Rental Transaction'!A:B,2,FALSE)</f>
        <v>563468</v>
      </c>
      <c r="I2315">
        <f t="shared" si="36"/>
        <v>2013</v>
      </c>
    </row>
    <row r="2316" spans="1:9">
      <c r="A2316" s="1">
        <v>10131</v>
      </c>
      <c r="B2316" s="1">
        <v>10</v>
      </c>
      <c r="C2316" s="2">
        <v>41482</v>
      </c>
      <c r="D2316" s="1" t="s">
        <v>2005</v>
      </c>
      <c r="E2316" s="1">
        <v>101314</v>
      </c>
      <c r="F2316" s="6" t="s">
        <v>4318</v>
      </c>
      <c r="G2316" s="15" t="str">
        <f>VLOOKUP(A2316,Movie!A:D,4,FALSE)</f>
        <v>Warner Brothers</v>
      </c>
      <c r="H2316" s="14">
        <f>VLOOKUP(E2316,'Rental Transaction'!A:B,2,FALSE)</f>
        <v>161942</v>
      </c>
      <c r="I2316">
        <f t="shared" si="36"/>
        <v>2013</v>
      </c>
    </row>
    <row r="2317" spans="1:9">
      <c r="A2317" s="1">
        <v>10006</v>
      </c>
      <c r="B2317" s="1">
        <v>9</v>
      </c>
      <c r="C2317" s="2">
        <v>41482</v>
      </c>
      <c r="D2317" s="1" t="s">
        <v>2002</v>
      </c>
      <c r="E2317" s="1">
        <v>101314</v>
      </c>
      <c r="F2317" s="6" t="s">
        <v>4319</v>
      </c>
      <c r="G2317" s="15" t="str">
        <f>VLOOKUP(A2317,Movie!A:D,4,FALSE)</f>
        <v>Paramount</v>
      </c>
      <c r="H2317" s="14">
        <f>VLOOKUP(E2317,'Rental Transaction'!A:B,2,FALSE)</f>
        <v>161942</v>
      </c>
      <c r="I2317">
        <f t="shared" si="36"/>
        <v>2013</v>
      </c>
    </row>
    <row r="2318" spans="1:9">
      <c r="A2318" s="1">
        <v>10033</v>
      </c>
      <c r="B2318" s="1">
        <v>2</v>
      </c>
      <c r="C2318" s="2">
        <v>41481</v>
      </c>
      <c r="D2318" s="1" t="s">
        <v>2002</v>
      </c>
      <c r="E2318" s="1">
        <v>101315</v>
      </c>
      <c r="F2318" s="6" t="s">
        <v>4320</v>
      </c>
      <c r="G2318" s="15" t="str">
        <f>VLOOKUP(A2318,Movie!A:D,4,FALSE)</f>
        <v>Lionsgate</v>
      </c>
      <c r="H2318" s="14">
        <f>VLOOKUP(E2318,'Rental Transaction'!A:B,2,FALSE)</f>
        <v>302774</v>
      </c>
      <c r="I2318">
        <f t="shared" si="36"/>
        <v>2013</v>
      </c>
    </row>
    <row r="2319" spans="1:9">
      <c r="A2319" s="1">
        <v>10182</v>
      </c>
      <c r="B2319" s="1">
        <v>4</v>
      </c>
      <c r="C2319" s="2">
        <v>41481</v>
      </c>
      <c r="D2319" s="1" t="s">
        <v>2005</v>
      </c>
      <c r="E2319" s="1">
        <v>101316</v>
      </c>
      <c r="F2319" s="6" t="s">
        <v>4321</v>
      </c>
      <c r="G2319" s="15" t="str">
        <f>VLOOKUP(A2319,Movie!A:D,4,FALSE)</f>
        <v>Warner Brothers</v>
      </c>
      <c r="H2319" s="14">
        <f>VLOOKUP(E2319,'Rental Transaction'!A:B,2,FALSE)</f>
        <v>796796</v>
      </c>
      <c r="I2319">
        <f t="shared" si="36"/>
        <v>2013</v>
      </c>
    </row>
    <row r="2320" spans="1:9">
      <c r="A2320" s="1">
        <v>10205</v>
      </c>
      <c r="B2320" s="1">
        <v>7</v>
      </c>
      <c r="C2320" s="2">
        <v>41482</v>
      </c>
      <c r="D2320" s="1" t="s">
        <v>2002</v>
      </c>
      <c r="E2320" s="1">
        <v>101316</v>
      </c>
      <c r="F2320" s="6" t="s">
        <v>4322</v>
      </c>
      <c r="G2320" s="15" t="str">
        <f>VLOOKUP(A2320,Movie!A:D,4,FALSE)</f>
        <v>Paramount</v>
      </c>
      <c r="H2320" s="14">
        <f>VLOOKUP(E2320,'Rental Transaction'!A:B,2,FALSE)</f>
        <v>796796</v>
      </c>
      <c r="I2320">
        <f t="shared" si="36"/>
        <v>2013</v>
      </c>
    </row>
    <row r="2321" spans="1:9">
      <c r="A2321" s="1">
        <v>10202</v>
      </c>
      <c r="B2321" s="1">
        <v>10</v>
      </c>
      <c r="C2321" s="2">
        <v>41482</v>
      </c>
      <c r="D2321" s="1" t="s">
        <v>2002</v>
      </c>
      <c r="E2321" s="1">
        <v>101316</v>
      </c>
      <c r="F2321" s="6" t="s">
        <v>4323</v>
      </c>
      <c r="G2321" s="15" t="str">
        <f>VLOOKUP(A2321,Movie!A:D,4,FALSE)</f>
        <v>Warner Brothers</v>
      </c>
      <c r="H2321" s="14">
        <f>VLOOKUP(E2321,'Rental Transaction'!A:B,2,FALSE)</f>
        <v>796796</v>
      </c>
      <c r="I2321">
        <f t="shared" si="36"/>
        <v>2013</v>
      </c>
    </row>
    <row r="2322" spans="1:9">
      <c r="A2322" s="1">
        <v>10237</v>
      </c>
      <c r="B2322" s="1">
        <v>1</v>
      </c>
      <c r="C2322" s="2">
        <v>41482</v>
      </c>
      <c r="D2322" s="1" t="s">
        <v>2002</v>
      </c>
      <c r="E2322" s="1">
        <v>101317</v>
      </c>
      <c r="F2322" s="6" t="s">
        <v>4324</v>
      </c>
      <c r="G2322" s="15" t="str">
        <f>VLOOKUP(A2322,Movie!A:D,4,FALSE)</f>
        <v>Warner Brothers</v>
      </c>
      <c r="H2322" s="14">
        <f>VLOOKUP(E2322,'Rental Transaction'!A:B,2,FALSE)</f>
        <v>317807</v>
      </c>
      <c r="I2322">
        <f t="shared" si="36"/>
        <v>2013</v>
      </c>
    </row>
    <row r="2323" spans="1:9">
      <c r="A2323" s="1">
        <v>10236</v>
      </c>
      <c r="B2323" s="1">
        <v>1</v>
      </c>
      <c r="C2323" s="2">
        <v>41481</v>
      </c>
      <c r="D2323" s="1" t="s">
        <v>2002</v>
      </c>
      <c r="E2323" s="1">
        <v>101317</v>
      </c>
      <c r="F2323" s="6" t="s">
        <v>4325</v>
      </c>
      <c r="G2323" s="15" t="str">
        <f>VLOOKUP(A2323,Movie!A:D,4,FALSE)</f>
        <v>Lionsgate</v>
      </c>
      <c r="H2323" s="14">
        <f>VLOOKUP(E2323,'Rental Transaction'!A:B,2,FALSE)</f>
        <v>317807</v>
      </c>
      <c r="I2323">
        <f t="shared" si="36"/>
        <v>2013</v>
      </c>
    </row>
    <row r="2324" spans="1:9">
      <c r="A2324" s="1">
        <v>10077</v>
      </c>
      <c r="B2324" s="1">
        <v>10</v>
      </c>
      <c r="C2324" s="2">
        <v>41482</v>
      </c>
      <c r="D2324" s="1" t="s">
        <v>2005</v>
      </c>
      <c r="E2324" s="1">
        <v>101318</v>
      </c>
      <c r="F2324" s="6" t="s">
        <v>4326</v>
      </c>
      <c r="G2324" s="15" t="str">
        <f>VLOOKUP(A2324,Movie!A:D,4,FALSE)</f>
        <v>Warner Brothers</v>
      </c>
      <c r="H2324" s="14">
        <f>VLOOKUP(E2324,'Rental Transaction'!A:B,2,FALSE)</f>
        <v>627324</v>
      </c>
      <c r="I2324">
        <f t="shared" si="36"/>
        <v>2013</v>
      </c>
    </row>
    <row r="2325" spans="1:9">
      <c r="A2325" s="1">
        <v>10232</v>
      </c>
      <c r="B2325" s="1">
        <v>2</v>
      </c>
      <c r="C2325" s="2">
        <v>41481</v>
      </c>
      <c r="D2325" s="1" t="s">
        <v>2002</v>
      </c>
      <c r="E2325" s="1">
        <v>101319</v>
      </c>
      <c r="F2325" s="6" t="s">
        <v>4327</v>
      </c>
      <c r="G2325" s="15" t="str">
        <f>VLOOKUP(A2325,Movie!A:D,4,FALSE)</f>
        <v>Paramount</v>
      </c>
      <c r="H2325" s="14">
        <f>VLOOKUP(E2325,'Rental Transaction'!A:B,2,FALSE)</f>
        <v>417823</v>
      </c>
      <c r="I2325">
        <f t="shared" si="36"/>
        <v>2013</v>
      </c>
    </row>
    <row r="2326" spans="1:9">
      <c r="A2326" s="1">
        <v>10258</v>
      </c>
      <c r="B2326" s="1">
        <v>3</v>
      </c>
      <c r="C2326" s="2">
        <v>41481</v>
      </c>
      <c r="D2326" s="1" t="s">
        <v>2005</v>
      </c>
      <c r="E2326" s="1">
        <v>101319</v>
      </c>
      <c r="F2326" s="6" t="s">
        <v>4328</v>
      </c>
      <c r="G2326" s="15" t="str">
        <f>VLOOKUP(A2326,Movie!A:D,4,FALSE)</f>
        <v>Warner Brothers</v>
      </c>
      <c r="H2326" s="14">
        <f>VLOOKUP(E2326,'Rental Transaction'!A:B,2,FALSE)</f>
        <v>417823</v>
      </c>
      <c r="I2326">
        <f t="shared" si="36"/>
        <v>2013</v>
      </c>
    </row>
    <row r="2327" spans="1:9">
      <c r="A2327" s="1">
        <v>10278</v>
      </c>
      <c r="B2327" s="1">
        <v>10</v>
      </c>
      <c r="C2327" s="2">
        <v>41481</v>
      </c>
      <c r="D2327" s="1" t="s">
        <v>2005</v>
      </c>
      <c r="E2327" s="1">
        <v>101320</v>
      </c>
      <c r="F2327" s="6" t="s">
        <v>4329</v>
      </c>
      <c r="G2327" s="15" t="str">
        <f>VLOOKUP(A2327,Movie!A:D,4,FALSE)</f>
        <v>Universal</v>
      </c>
      <c r="H2327" s="14">
        <f>VLOOKUP(E2327,'Rental Transaction'!A:B,2,FALSE)</f>
        <v>911171</v>
      </c>
      <c r="I2327">
        <f t="shared" si="36"/>
        <v>2013</v>
      </c>
    </row>
    <row r="2328" spans="1:9">
      <c r="A2328" s="1">
        <v>10252</v>
      </c>
      <c r="B2328" s="1">
        <v>5</v>
      </c>
      <c r="C2328" s="2">
        <v>41482</v>
      </c>
      <c r="D2328" s="1" t="s">
        <v>2002</v>
      </c>
      <c r="E2328" s="1">
        <v>101320</v>
      </c>
      <c r="F2328" s="6" t="s">
        <v>4330</v>
      </c>
      <c r="G2328" s="15" t="str">
        <f>VLOOKUP(A2328,Movie!A:D,4,FALSE)</f>
        <v>Warner Brothers</v>
      </c>
      <c r="H2328" s="14">
        <f>VLOOKUP(E2328,'Rental Transaction'!A:B,2,FALSE)</f>
        <v>911171</v>
      </c>
      <c r="I2328">
        <f t="shared" si="36"/>
        <v>2013</v>
      </c>
    </row>
    <row r="2329" spans="1:9">
      <c r="A2329" s="1">
        <v>10221</v>
      </c>
      <c r="B2329" s="1">
        <v>2</v>
      </c>
      <c r="C2329" s="2">
        <v>41481</v>
      </c>
      <c r="D2329" s="1" t="s">
        <v>2002</v>
      </c>
      <c r="E2329" s="1">
        <v>101321</v>
      </c>
      <c r="F2329" s="6" t="s">
        <v>4331</v>
      </c>
      <c r="G2329" s="15" t="str">
        <f>VLOOKUP(A2329,Movie!A:D,4,FALSE)</f>
        <v>Fox</v>
      </c>
      <c r="H2329" s="14">
        <f>VLOOKUP(E2329,'Rental Transaction'!A:B,2,FALSE)</f>
        <v>996970</v>
      </c>
      <c r="I2329">
        <f t="shared" si="36"/>
        <v>2013</v>
      </c>
    </row>
    <row r="2330" spans="1:9">
      <c r="A2330" s="1">
        <v>10000</v>
      </c>
      <c r="B2330" s="1">
        <v>2</v>
      </c>
      <c r="C2330" s="2">
        <v>41482</v>
      </c>
      <c r="D2330" s="1" t="s">
        <v>2002</v>
      </c>
      <c r="E2330" s="1">
        <v>101322</v>
      </c>
      <c r="F2330" s="6" t="s">
        <v>4332</v>
      </c>
      <c r="G2330" s="15" t="str">
        <f>VLOOKUP(A2330,Movie!A:D,4,FALSE)</f>
        <v>TriStar</v>
      </c>
      <c r="H2330" s="14">
        <f>VLOOKUP(E2330,'Rental Transaction'!A:B,2,FALSE)</f>
        <v>433442</v>
      </c>
      <c r="I2330">
        <f t="shared" si="36"/>
        <v>2013</v>
      </c>
    </row>
    <row r="2331" spans="1:9">
      <c r="A2331" s="1">
        <v>10216</v>
      </c>
      <c r="B2331" s="1">
        <v>9</v>
      </c>
      <c r="C2331" s="2">
        <v>41483</v>
      </c>
      <c r="D2331" s="1" t="s">
        <v>2002</v>
      </c>
      <c r="E2331" s="1">
        <v>101322</v>
      </c>
      <c r="F2331" s="6" t="s">
        <v>4333</v>
      </c>
      <c r="G2331" s="15" t="str">
        <f>VLOOKUP(A2331,Movie!A:D,4,FALSE)</f>
        <v>Sony</v>
      </c>
      <c r="H2331" s="14">
        <f>VLOOKUP(E2331,'Rental Transaction'!A:B,2,FALSE)</f>
        <v>433442</v>
      </c>
      <c r="I2331">
        <f t="shared" si="36"/>
        <v>2013</v>
      </c>
    </row>
    <row r="2332" spans="1:9">
      <c r="A2332" s="1">
        <v>10127</v>
      </c>
      <c r="B2332" s="1">
        <v>3</v>
      </c>
      <c r="C2332" s="2">
        <v>41483</v>
      </c>
      <c r="D2332" s="1" t="s">
        <v>2002</v>
      </c>
      <c r="E2332" s="1">
        <v>101323</v>
      </c>
      <c r="F2332" s="6" t="s">
        <v>4334</v>
      </c>
      <c r="G2332" s="15" t="str">
        <f>VLOOKUP(A2332,Movie!A:D,4,FALSE)</f>
        <v>TriStar</v>
      </c>
      <c r="H2332" s="14">
        <f>VLOOKUP(E2332,'Rental Transaction'!A:B,2,FALSE)</f>
        <v>676155</v>
      </c>
      <c r="I2332">
        <f t="shared" si="36"/>
        <v>2013</v>
      </c>
    </row>
    <row r="2333" spans="1:9">
      <c r="A2333" s="1">
        <v>10003</v>
      </c>
      <c r="B2333" s="1">
        <v>10</v>
      </c>
      <c r="C2333" s="2">
        <v>41482</v>
      </c>
      <c r="D2333" s="1" t="s">
        <v>2005</v>
      </c>
      <c r="E2333" s="1">
        <v>101324</v>
      </c>
      <c r="F2333" s="6" t="s">
        <v>4335</v>
      </c>
      <c r="G2333" s="15" t="str">
        <f>VLOOKUP(A2333,Movie!A:D,4,FALSE)</f>
        <v>Paramount</v>
      </c>
      <c r="H2333" s="14">
        <f>VLOOKUP(E2333,'Rental Transaction'!A:B,2,FALSE)</f>
        <v>808421</v>
      </c>
      <c r="I2333">
        <f t="shared" si="36"/>
        <v>2013</v>
      </c>
    </row>
    <row r="2334" spans="1:9">
      <c r="A2334" s="1">
        <v>10286</v>
      </c>
      <c r="B2334" s="1">
        <v>7</v>
      </c>
      <c r="C2334" s="2">
        <v>41482</v>
      </c>
      <c r="D2334" s="1" t="s">
        <v>2005</v>
      </c>
      <c r="E2334" s="1">
        <v>101325</v>
      </c>
      <c r="F2334" s="6" t="s">
        <v>4336</v>
      </c>
      <c r="G2334" s="15" t="str">
        <f>VLOOKUP(A2334,Movie!A:D,4,FALSE)</f>
        <v>Fox Searchlight</v>
      </c>
      <c r="H2334" s="14">
        <f>VLOOKUP(E2334,'Rental Transaction'!A:B,2,FALSE)</f>
        <v>795957</v>
      </c>
      <c r="I2334">
        <f t="shared" si="36"/>
        <v>2013</v>
      </c>
    </row>
    <row r="2335" spans="1:9">
      <c r="A2335" s="1">
        <v>10042</v>
      </c>
      <c r="B2335" s="1">
        <v>7</v>
      </c>
      <c r="C2335" s="2">
        <v>41483</v>
      </c>
      <c r="D2335" s="1" t="s">
        <v>2005</v>
      </c>
      <c r="E2335" s="1">
        <v>101326</v>
      </c>
      <c r="F2335" s="6" t="s">
        <v>4337</v>
      </c>
      <c r="G2335" s="15" t="str">
        <f>VLOOKUP(A2335,Movie!A:D,4,FALSE)</f>
        <v>Paramount</v>
      </c>
      <c r="H2335" s="14">
        <f>VLOOKUP(E2335,'Rental Transaction'!A:B,2,FALSE)</f>
        <v>627324</v>
      </c>
      <c r="I2335">
        <f t="shared" si="36"/>
        <v>2013</v>
      </c>
    </row>
    <row r="2336" spans="1:9">
      <c r="A2336" s="1">
        <v>10122</v>
      </c>
      <c r="B2336" s="1">
        <v>9</v>
      </c>
      <c r="C2336" s="2">
        <v>41482</v>
      </c>
      <c r="D2336" s="1" t="s">
        <v>2005</v>
      </c>
      <c r="E2336" s="1">
        <v>101327</v>
      </c>
      <c r="F2336" s="6" t="s">
        <v>4338</v>
      </c>
      <c r="G2336" s="15" t="str">
        <f>VLOOKUP(A2336,Movie!A:D,4,FALSE)</f>
        <v>Relativity</v>
      </c>
      <c r="H2336" s="14">
        <f>VLOOKUP(E2336,'Rental Transaction'!A:B,2,FALSE)</f>
        <v>524667</v>
      </c>
      <c r="I2336">
        <f t="shared" si="36"/>
        <v>2013</v>
      </c>
    </row>
    <row r="2337" spans="1:9">
      <c r="A2337" s="1">
        <v>10125</v>
      </c>
      <c r="B2337" s="1">
        <v>5</v>
      </c>
      <c r="C2337" s="2">
        <v>41482</v>
      </c>
      <c r="D2337" s="1" t="s">
        <v>2005</v>
      </c>
      <c r="E2337" s="1">
        <v>101327</v>
      </c>
      <c r="F2337" s="6" t="s">
        <v>4339</v>
      </c>
      <c r="G2337" s="15" t="str">
        <f>VLOOKUP(A2337,Movie!A:D,4,FALSE)</f>
        <v>Fox</v>
      </c>
      <c r="H2337" s="14">
        <f>VLOOKUP(E2337,'Rental Transaction'!A:B,2,FALSE)</f>
        <v>524667</v>
      </c>
      <c r="I2337">
        <f t="shared" si="36"/>
        <v>2013</v>
      </c>
    </row>
    <row r="2338" spans="1:9">
      <c r="A2338" s="1">
        <v>10040</v>
      </c>
      <c r="B2338" s="1">
        <v>2</v>
      </c>
      <c r="C2338" s="2">
        <v>41482</v>
      </c>
      <c r="D2338" s="1" t="s">
        <v>2005</v>
      </c>
      <c r="E2338" s="1">
        <v>101328</v>
      </c>
      <c r="F2338" s="6" t="s">
        <v>4340</v>
      </c>
      <c r="G2338" s="15" t="str">
        <f>VLOOKUP(A2338,Movie!A:D,4,FALSE)</f>
        <v>Universal</v>
      </c>
      <c r="H2338" s="14">
        <f>VLOOKUP(E2338,'Rental Transaction'!A:B,2,FALSE)</f>
        <v>413495</v>
      </c>
      <c r="I2338">
        <f t="shared" si="36"/>
        <v>2013</v>
      </c>
    </row>
    <row r="2339" spans="1:9">
      <c r="A2339" s="1">
        <v>10037</v>
      </c>
      <c r="B2339" s="1">
        <v>5</v>
      </c>
      <c r="C2339" s="2">
        <v>41482</v>
      </c>
      <c r="D2339" s="1" t="s">
        <v>2002</v>
      </c>
      <c r="E2339" s="1">
        <v>101328</v>
      </c>
      <c r="F2339" s="6" t="s">
        <v>4341</v>
      </c>
      <c r="G2339" s="15" t="str">
        <f>VLOOKUP(A2339,Movie!A:D,4,FALSE)</f>
        <v>Buena Vista</v>
      </c>
      <c r="H2339" s="14">
        <f>VLOOKUP(E2339,'Rental Transaction'!A:B,2,FALSE)</f>
        <v>413495</v>
      </c>
      <c r="I2339">
        <f t="shared" si="36"/>
        <v>2013</v>
      </c>
    </row>
    <row r="2340" spans="1:9">
      <c r="A2340" s="1">
        <v>10245</v>
      </c>
      <c r="B2340" s="1">
        <v>6</v>
      </c>
      <c r="C2340" s="2">
        <v>41482</v>
      </c>
      <c r="D2340" s="1" t="s">
        <v>2002</v>
      </c>
      <c r="E2340" s="1">
        <v>101329</v>
      </c>
      <c r="F2340" s="6" t="s">
        <v>4342</v>
      </c>
      <c r="G2340" s="15" t="str">
        <f>VLOOKUP(A2340,Movie!A:D,4,FALSE)</f>
        <v>Warner Brothers</v>
      </c>
      <c r="H2340" s="14">
        <f>VLOOKUP(E2340,'Rental Transaction'!A:B,2,FALSE)</f>
        <v>970794</v>
      </c>
      <c r="I2340">
        <f t="shared" si="36"/>
        <v>2013</v>
      </c>
    </row>
    <row r="2341" spans="1:9">
      <c r="A2341" s="1">
        <v>10168</v>
      </c>
      <c r="B2341" s="1">
        <v>2</v>
      </c>
      <c r="C2341" s="2">
        <v>41482</v>
      </c>
      <c r="D2341" s="1" t="s">
        <v>2002</v>
      </c>
      <c r="E2341" s="1">
        <v>101329</v>
      </c>
      <c r="F2341" s="6" t="s">
        <v>4343</v>
      </c>
      <c r="G2341" s="15" t="str">
        <f>VLOOKUP(A2341,Movie!A:D,4,FALSE)</f>
        <v>Paramount</v>
      </c>
      <c r="H2341" s="14">
        <f>VLOOKUP(E2341,'Rental Transaction'!A:B,2,FALSE)</f>
        <v>970794</v>
      </c>
      <c r="I2341">
        <f t="shared" si="36"/>
        <v>2013</v>
      </c>
    </row>
    <row r="2342" spans="1:9">
      <c r="A2342" s="1">
        <v>10036</v>
      </c>
      <c r="B2342" s="1">
        <v>9</v>
      </c>
      <c r="C2342" s="2">
        <v>41484</v>
      </c>
      <c r="D2342" s="1" t="s">
        <v>2002</v>
      </c>
      <c r="E2342" s="1">
        <v>101330</v>
      </c>
      <c r="F2342" s="6" t="s">
        <v>4344</v>
      </c>
      <c r="G2342" s="15" t="str">
        <f>VLOOKUP(A2342,Movie!A:D,4,FALSE)</f>
        <v>Universal</v>
      </c>
      <c r="H2342" s="14">
        <f>VLOOKUP(E2342,'Rental Transaction'!A:B,2,FALSE)</f>
        <v>433442</v>
      </c>
      <c r="I2342">
        <f t="shared" si="36"/>
        <v>2013</v>
      </c>
    </row>
    <row r="2343" spans="1:9">
      <c r="A2343" s="1">
        <v>10148</v>
      </c>
      <c r="B2343" s="1">
        <v>1</v>
      </c>
      <c r="C2343" s="2">
        <v>41484</v>
      </c>
      <c r="D2343" s="1" t="s">
        <v>2005</v>
      </c>
      <c r="E2343" s="1">
        <v>101330</v>
      </c>
      <c r="F2343" s="6" t="s">
        <v>4345</v>
      </c>
      <c r="G2343" s="15" t="str">
        <f>VLOOKUP(A2343,Movie!A:D,4,FALSE)</f>
        <v>Paramount</v>
      </c>
      <c r="H2343" s="14">
        <f>VLOOKUP(E2343,'Rental Transaction'!A:B,2,FALSE)</f>
        <v>433442</v>
      </c>
      <c r="I2343">
        <f t="shared" si="36"/>
        <v>2013</v>
      </c>
    </row>
    <row r="2344" spans="1:9">
      <c r="A2344" s="1">
        <v>10127</v>
      </c>
      <c r="B2344" s="1">
        <v>2</v>
      </c>
      <c r="C2344" s="2">
        <v>41482</v>
      </c>
      <c r="D2344" s="1" t="s">
        <v>2005</v>
      </c>
      <c r="E2344" s="1">
        <v>101330</v>
      </c>
      <c r="F2344" s="6" t="s">
        <v>4346</v>
      </c>
      <c r="G2344" s="15" t="str">
        <f>VLOOKUP(A2344,Movie!A:D,4,FALSE)</f>
        <v>TriStar</v>
      </c>
      <c r="H2344" s="14">
        <f>VLOOKUP(E2344,'Rental Transaction'!A:B,2,FALSE)</f>
        <v>433442</v>
      </c>
      <c r="I2344">
        <f t="shared" si="36"/>
        <v>2013</v>
      </c>
    </row>
    <row r="2345" spans="1:9">
      <c r="A2345" s="1">
        <v>10270</v>
      </c>
      <c r="B2345" s="1">
        <v>9</v>
      </c>
      <c r="C2345" s="2">
        <v>41483</v>
      </c>
      <c r="D2345" s="1" t="s">
        <v>2002</v>
      </c>
      <c r="E2345" s="1">
        <v>101331</v>
      </c>
      <c r="F2345" s="6" t="s">
        <v>4347</v>
      </c>
      <c r="G2345" s="15" t="str">
        <f>VLOOKUP(A2345,Movie!A:D,4,FALSE)</f>
        <v>Fox</v>
      </c>
      <c r="H2345" s="14">
        <f>VLOOKUP(E2345,'Rental Transaction'!A:B,2,FALSE)</f>
        <v>933331</v>
      </c>
      <c r="I2345">
        <f t="shared" si="36"/>
        <v>2013</v>
      </c>
    </row>
    <row r="2346" spans="1:9">
      <c r="A2346" s="1">
        <v>10069</v>
      </c>
      <c r="B2346" s="1">
        <v>5</v>
      </c>
      <c r="C2346" s="2">
        <v>41482</v>
      </c>
      <c r="D2346" s="1" t="s">
        <v>2005</v>
      </c>
      <c r="E2346" s="1">
        <v>101331</v>
      </c>
      <c r="F2346" s="6" t="s">
        <v>4348</v>
      </c>
      <c r="G2346" s="15" t="str">
        <f>VLOOKUP(A2346,Movie!A:D,4,FALSE)</f>
        <v>Warner Brothers</v>
      </c>
      <c r="H2346" s="14">
        <f>VLOOKUP(E2346,'Rental Transaction'!A:B,2,FALSE)</f>
        <v>933331</v>
      </c>
      <c r="I2346">
        <f t="shared" si="36"/>
        <v>2013</v>
      </c>
    </row>
    <row r="2347" spans="1:9">
      <c r="A2347" s="1">
        <v>10181</v>
      </c>
      <c r="B2347" s="1">
        <v>2</v>
      </c>
      <c r="C2347" s="2">
        <v>41482</v>
      </c>
      <c r="D2347" s="1" t="s">
        <v>2002</v>
      </c>
      <c r="E2347" s="1">
        <v>101332</v>
      </c>
      <c r="F2347" s="6" t="s">
        <v>4349</v>
      </c>
      <c r="G2347" s="15" t="str">
        <f>VLOOKUP(A2347,Movie!A:D,4,FALSE)</f>
        <v>Fox</v>
      </c>
      <c r="H2347" s="14">
        <f>VLOOKUP(E2347,'Rental Transaction'!A:B,2,FALSE)</f>
        <v>925565</v>
      </c>
      <c r="I2347">
        <f t="shared" si="36"/>
        <v>2013</v>
      </c>
    </row>
    <row r="2348" spans="1:9">
      <c r="A2348" s="1">
        <v>10050</v>
      </c>
      <c r="B2348" s="1">
        <v>4</v>
      </c>
      <c r="C2348" s="2">
        <v>41482</v>
      </c>
      <c r="D2348" s="1" t="s">
        <v>2002</v>
      </c>
      <c r="E2348" s="1">
        <v>101333</v>
      </c>
      <c r="F2348" s="6" t="s">
        <v>4350</v>
      </c>
      <c r="G2348" s="15" t="str">
        <f>VLOOKUP(A2348,Movie!A:D,4,FALSE)</f>
        <v>Paramount</v>
      </c>
      <c r="H2348" s="14">
        <f>VLOOKUP(E2348,'Rental Transaction'!A:B,2,FALSE)</f>
        <v>233813</v>
      </c>
      <c r="I2348">
        <f t="shared" si="36"/>
        <v>2013</v>
      </c>
    </row>
    <row r="2349" spans="1:9">
      <c r="A2349" s="1">
        <v>10228</v>
      </c>
      <c r="B2349" s="1">
        <v>4</v>
      </c>
      <c r="C2349" s="2">
        <v>41482</v>
      </c>
      <c r="D2349" s="1" t="s">
        <v>2005</v>
      </c>
      <c r="E2349" s="1">
        <v>101333</v>
      </c>
      <c r="F2349" s="6" t="s">
        <v>4351</v>
      </c>
      <c r="G2349" s="15" t="str">
        <f>VLOOKUP(A2349,Movie!A:D,4,FALSE)</f>
        <v>Universal</v>
      </c>
      <c r="H2349" s="14">
        <f>VLOOKUP(E2349,'Rental Transaction'!A:B,2,FALSE)</f>
        <v>233813</v>
      </c>
      <c r="I2349">
        <f t="shared" si="36"/>
        <v>2013</v>
      </c>
    </row>
    <row r="2350" spans="1:9">
      <c r="A2350" s="1">
        <v>10083</v>
      </c>
      <c r="B2350" s="1">
        <v>3</v>
      </c>
      <c r="C2350" s="2">
        <v>41483</v>
      </c>
      <c r="D2350" s="1" t="s">
        <v>2005</v>
      </c>
      <c r="E2350" s="1">
        <v>101334</v>
      </c>
      <c r="F2350" s="6" t="s">
        <v>4352</v>
      </c>
      <c r="G2350" s="15" t="str">
        <f>VLOOKUP(A2350,Movie!A:D,4,FALSE)</f>
        <v>Buena Vista</v>
      </c>
      <c r="H2350" s="14">
        <f>VLOOKUP(E2350,'Rental Transaction'!A:B,2,FALSE)</f>
        <v>233813</v>
      </c>
      <c r="I2350">
        <f t="shared" si="36"/>
        <v>2013</v>
      </c>
    </row>
    <row r="2351" spans="1:9" ht="29.25">
      <c r="A2351" s="1">
        <v>10154</v>
      </c>
      <c r="B2351" s="1">
        <v>1</v>
      </c>
      <c r="C2351" s="2">
        <v>41483</v>
      </c>
      <c r="D2351" s="1" t="s">
        <v>2005</v>
      </c>
      <c r="E2351" s="1">
        <v>101334</v>
      </c>
      <c r="F2351" s="6" t="s">
        <v>4353</v>
      </c>
      <c r="G2351" s="15" t="str">
        <f>VLOOKUP(A2351,Movie!A:D,4,FALSE)</f>
        <v>Summit Entertainment</v>
      </c>
      <c r="H2351" s="14">
        <f>VLOOKUP(E2351,'Rental Transaction'!A:B,2,FALSE)</f>
        <v>233813</v>
      </c>
      <c r="I2351">
        <f t="shared" si="36"/>
        <v>2013</v>
      </c>
    </row>
    <row r="2352" spans="1:9">
      <c r="A2352" s="1">
        <v>10091</v>
      </c>
      <c r="B2352" s="1">
        <v>8</v>
      </c>
      <c r="C2352" s="2">
        <v>41483</v>
      </c>
      <c r="D2352" s="1" t="s">
        <v>2002</v>
      </c>
      <c r="E2352" s="1">
        <v>101334</v>
      </c>
      <c r="F2352" s="6" t="s">
        <v>4354</v>
      </c>
      <c r="G2352" s="15" t="str">
        <f>VLOOKUP(A2352,Movie!A:D,4,FALSE)</f>
        <v>Warner Brothers</v>
      </c>
      <c r="H2352" s="14">
        <f>VLOOKUP(E2352,'Rental Transaction'!A:B,2,FALSE)</f>
        <v>233813</v>
      </c>
      <c r="I2352">
        <f t="shared" si="36"/>
        <v>2013</v>
      </c>
    </row>
    <row r="2353" spans="1:9" ht="29.25">
      <c r="A2353" s="1">
        <v>10294</v>
      </c>
      <c r="B2353" s="1">
        <v>8</v>
      </c>
      <c r="C2353" s="2">
        <v>41483</v>
      </c>
      <c r="D2353" s="1" t="s">
        <v>2002</v>
      </c>
      <c r="E2353" s="1">
        <v>101334</v>
      </c>
      <c r="F2353" s="6" t="s">
        <v>4355</v>
      </c>
      <c r="G2353" s="15" t="str">
        <f>VLOOKUP(A2353,Movie!A:D,4,FALSE)</f>
        <v>Weinstein Company</v>
      </c>
      <c r="H2353" s="14">
        <f>VLOOKUP(E2353,'Rental Transaction'!A:B,2,FALSE)</f>
        <v>233813</v>
      </c>
      <c r="I2353">
        <f t="shared" si="36"/>
        <v>2013</v>
      </c>
    </row>
    <row r="2354" spans="1:9">
      <c r="A2354" s="1">
        <v>10245</v>
      </c>
      <c r="B2354" s="1">
        <v>7</v>
      </c>
      <c r="C2354" s="2">
        <v>41484</v>
      </c>
      <c r="D2354" s="1" t="s">
        <v>2005</v>
      </c>
      <c r="E2354" s="1">
        <v>101335</v>
      </c>
      <c r="F2354" s="6" t="s">
        <v>4356</v>
      </c>
      <c r="G2354" s="15" t="str">
        <f>VLOOKUP(A2354,Movie!A:D,4,FALSE)</f>
        <v>Warner Brothers</v>
      </c>
      <c r="H2354" s="14">
        <f>VLOOKUP(E2354,'Rental Transaction'!A:B,2,FALSE)</f>
        <v>575041</v>
      </c>
      <c r="I2354">
        <f t="shared" si="36"/>
        <v>2013</v>
      </c>
    </row>
    <row r="2355" spans="1:9">
      <c r="A2355" s="1">
        <v>10175</v>
      </c>
      <c r="B2355" s="1">
        <v>6</v>
      </c>
      <c r="C2355" s="2">
        <v>41483</v>
      </c>
      <c r="D2355" s="1" t="s">
        <v>2005</v>
      </c>
      <c r="E2355" s="1">
        <v>101335</v>
      </c>
      <c r="F2355" s="6" t="s">
        <v>4357</v>
      </c>
      <c r="G2355" s="15" t="str">
        <f>VLOOKUP(A2355,Movie!A:D,4,FALSE)</f>
        <v>Buena Vista</v>
      </c>
      <c r="H2355" s="14">
        <f>VLOOKUP(E2355,'Rental Transaction'!A:B,2,FALSE)</f>
        <v>575041</v>
      </c>
      <c r="I2355">
        <f t="shared" si="36"/>
        <v>2013</v>
      </c>
    </row>
    <row r="2356" spans="1:9">
      <c r="A2356" s="1">
        <v>10077</v>
      </c>
      <c r="B2356" s="1">
        <v>10</v>
      </c>
      <c r="C2356" s="2">
        <v>41484</v>
      </c>
      <c r="D2356" s="1" t="s">
        <v>2002</v>
      </c>
      <c r="E2356" s="1">
        <v>101336</v>
      </c>
      <c r="F2356" s="6" t="s">
        <v>4358</v>
      </c>
      <c r="G2356" s="15" t="str">
        <f>VLOOKUP(A2356,Movie!A:D,4,FALSE)</f>
        <v>Warner Brothers</v>
      </c>
      <c r="H2356" s="14">
        <f>VLOOKUP(E2356,'Rental Transaction'!A:B,2,FALSE)</f>
        <v>197102</v>
      </c>
      <c r="I2356">
        <f t="shared" si="36"/>
        <v>2013</v>
      </c>
    </row>
    <row r="2357" spans="1:9">
      <c r="A2357" s="1">
        <v>10125</v>
      </c>
      <c r="B2357" s="1">
        <v>1</v>
      </c>
      <c r="C2357" s="2">
        <v>41483</v>
      </c>
      <c r="D2357" s="1" t="s">
        <v>2005</v>
      </c>
      <c r="E2357" s="1">
        <v>101337</v>
      </c>
      <c r="F2357" s="6" t="s">
        <v>4359</v>
      </c>
      <c r="G2357" s="15" t="str">
        <f>VLOOKUP(A2357,Movie!A:D,4,FALSE)</f>
        <v>Fox</v>
      </c>
      <c r="H2357" s="14">
        <f>VLOOKUP(E2357,'Rental Transaction'!A:B,2,FALSE)</f>
        <v>706884</v>
      </c>
      <c r="I2357">
        <f t="shared" si="36"/>
        <v>2013</v>
      </c>
    </row>
    <row r="2358" spans="1:9">
      <c r="A2358" s="1">
        <v>10297</v>
      </c>
      <c r="B2358" s="1">
        <v>1</v>
      </c>
      <c r="C2358" s="2">
        <v>41485</v>
      </c>
      <c r="D2358" s="1" t="s">
        <v>2005</v>
      </c>
      <c r="E2358" s="1">
        <v>101337</v>
      </c>
      <c r="F2358" s="6" t="s">
        <v>4360</v>
      </c>
      <c r="G2358" s="15" t="str">
        <f>VLOOKUP(A2358,Movie!A:D,4,FALSE)</f>
        <v>Focus</v>
      </c>
      <c r="H2358" s="14">
        <f>VLOOKUP(E2358,'Rental Transaction'!A:B,2,FALSE)</f>
        <v>706884</v>
      </c>
      <c r="I2358">
        <f t="shared" si="36"/>
        <v>2013</v>
      </c>
    </row>
    <row r="2359" spans="1:9">
      <c r="A2359" s="1">
        <v>10244</v>
      </c>
      <c r="B2359" s="1">
        <v>1</v>
      </c>
      <c r="C2359" s="2">
        <v>41483</v>
      </c>
      <c r="D2359" s="1" t="s">
        <v>2002</v>
      </c>
      <c r="E2359" s="1">
        <v>101338</v>
      </c>
      <c r="F2359" s="6" t="s">
        <v>4361</v>
      </c>
      <c r="G2359" s="15" t="str">
        <f>VLOOKUP(A2359,Movie!A:D,4,FALSE)</f>
        <v>Sony</v>
      </c>
      <c r="H2359" s="14">
        <f>VLOOKUP(E2359,'Rental Transaction'!A:B,2,FALSE)</f>
        <v>803700</v>
      </c>
      <c r="I2359">
        <f t="shared" si="36"/>
        <v>2013</v>
      </c>
    </row>
    <row r="2360" spans="1:9">
      <c r="A2360" s="1">
        <v>10259</v>
      </c>
      <c r="B2360" s="1">
        <v>3</v>
      </c>
      <c r="C2360" s="2">
        <v>41484</v>
      </c>
      <c r="D2360" s="1" t="s">
        <v>2005</v>
      </c>
      <c r="E2360" s="1">
        <v>101338</v>
      </c>
      <c r="F2360" s="6" t="s">
        <v>4362</v>
      </c>
      <c r="G2360" s="15" t="str">
        <f>VLOOKUP(A2360,Movie!A:D,4,FALSE)</f>
        <v>Warner Brothers</v>
      </c>
      <c r="H2360" s="14">
        <f>VLOOKUP(E2360,'Rental Transaction'!A:B,2,FALSE)</f>
        <v>803700</v>
      </c>
      <c r="I2360">
        <f t="shared" si="36"/>
        <v>2013</v>
      </c>
    </row>
    <row r="2361" spans="1:9">
      <c r="A2361" s="1">
        <v>10280</v>
      </c>
      <c r="B2361" s="1">
        <v>10</v>
      </c>
      <c r="C2361" s="2">
        <v>41483</v>
      </c>
      <c r="D2361" s="1" t="s">
        <v>2005</v>
      </c>
      <c r="E2361" s="1">
        <v>101339</v>
      </c>
      <c r="F2361" s="6" t="s">
        <v>4363</v>
      </c>
      <c r="G2361" s="15" t="str">
        <f>VLOOKUP(A2361,Movie!A:D,4,FALSE)</f>
        <v>Universal</v>
      </c>
      <c r="H2361" s="14">
        <f>VLOOKUP(E2361,'Rental Transaction'!A:B,2,FALSE)</f>
        <v>145929</v>
      </c>
      <c r="I2361">
        <f t="shared" si="36"/>
        <v>2013</v>
      </c>
    </row>
    <row r="2362" spans="1:9">
      <c r="A2362" s="1">
        <v>10174</v>
      </c>
      <c r="B2362" s="1">
        <v>6</v>
      </c>
      <c r="C2362" s="2">
        <v>41483</v>
      </c>
      <c r="D2362" s="1" t="s">
        <v>2005</v>
      </c>
      <c r="E2362" s="1">
        <v>101339</v>
      </c>
      <c r="F2362" s="6" t="s">
        <v>4364</v>
      </c>
      <c r="G2362" s="15" t="str">
        <f>VLOOKUP(A2362,Movie!A:D,4,FALSE)</f>
        <v>Universal</v>
      </c>
      <c r="H2362" s="14">
        <f>VLOOKUP(E2362,'Rental Transaction'!A:B,2,FALSE)</f>
        <v>145929</v>
      </c>
      <c r="I2362">
        <f t="shared" si="36"/>
        <v>2013</v>
      </c>
    </row>
    <row r="2363" spans="1:9">
      <c r="A2363" s="1">
        <v>10161</v>
      </c>
      <c r="B2363" s="1">
        <v>2</v>
      </c>
      <c r="C2363" s="2">
        <v>41483</v>
      </c>
      <c r="D2363" s="1" t="s">
        <v>2002</v>
      </c>
      <c r="E2363" s="1">
        <v>101340</v>
      </c>
      <c r="F2363" s="6" t="s">
        <v>4365</v>
      </c>
      <c r="G2363" s="15" t="str">
        <f>VLOOKUP(A2363,Movie!A:D,4,FALSE)</f>
        <v>TriStar</v>
      </c>
      <c r="H2363" s="14">
        <f>VLOOKUP(E2363,'Rental Transaction'!A:B,2,FALSE)</f>
        <v>599995</v>
      </c>
      <c r="I2363">
        <f t="shared" si="36"/>
        <v>2013</v>
      </c>
    </row>
    <row r="2364" spans="1:9">
      <c r="A2364" s="1">
        <v>10083</v>
      </c>
      <c r="B2364" s="1">
        <v>3</v>
      </c>
      <c r="C2364" s="2">
        <v>41483</v>
      </c>
      <c r="D2364" s="1" t="s">
        <v>2005</v>
      </c>
      <c r="E2364" s="1">
        <v>101341</v>
      </c>
      <c r="F2364" s="6" t="s">
        <v>4366</v>
      </c>
      <c r="G2364" s="15" t="str">
        <f>VLOOKUP(A2364,Movie!A:D,4,FALSE)</f>
        <v>Buena Vista</v>
      </c>
      <c r="H2364" s="14">
        <f>VLOOKUP(E2364,'Rental Transaction'!A:B,2,FALSE)</f>
        <v>315634</v>
      </c>
      <c r="I2364">
        <f t="shared" si="36"/>
        <v>2013</v>
      </c>
    </row>
    <row r="2365" spans="1:9">
      <c r="A2365" s="1">
        <v>10188</v>
      </c>
      <c r="B2365" s="1">
        <v>10</v>
      </c>
      <c r="C2365" s="2">
        <v>41483</v>
      </c>
      <c r="D2365" s="1" t="s">
        <v>2005</v>
      </c>
      <c r="E2365" s="1">
        <v>101341</v>
      </c>
      <c r="F2365" s="6" t="s">
        <v>4367</v>
      </c>
      <c r="G2365" s="15" t="str">
        <f>VLOOKUP(A2365,Movie!A:D,4,FALSE)</f>
        <v>Paramount</v>
      </c>
      <c r="H2365" s="14">
        <f>VLOOKUP(E2365,'Rental Transaction'!A:B,2,FALSE)</f>
        <v>315634</v>
      </c>
      <c r="I2365">
        <f t="shared" si="36"/>
        <v>2013</v>
      </c>
    </row>
    <row r="2366" spans="1:9">
      <c r="A2366" s="1">
        <v>10296</v>
      </c>
      <c r="B2366" s="1">
        <v>4</v>
      </c>
      <c r="C2366" s="2">
        <v>41483</v>
      </c>
      <c r="D2366" s="1" t="s">
        <v>2002</v>
      </c>
      <c r="E2366" s="1">
        <v>101341</v>
      </c>
      <c r="F2366" s="6" t="s">
        <v>4368</v>
      </c>
      <c r="G2366" s="15" t="str">
        <f>VLOOKUP(A2366,Movie!A:D,4,FALSE)</f>
        <v>A24</v>
      </c>
      <c r="H2366" s="14">
        <f>VLOOKUP(E2366,'Rental Transaction'!A:B,2,FALSE)</f>
        <v>315634</v>
      </c>
      <c r="I2366">
        <f t="shared" si="36"/>
        <v>2013</v>
      </c>
    </row>
    <row r="2367" spans="1:9">
      <c r="A2367" s="1">
        <v>10205</v>
      </c>
      <c r="B2367" s="1">
        <v>10</v>
      </c>
      <c r="C2367" s="2">
        <v>41483</v>
      </c>
      <c r="D2367" s="1" t="s">
        <v>2002</v>
      </c>
      <c r="E2367" s="1">
        <v>101342</v>
      </c>
      <c r="F2367" s="6" t="s">
        <v>4369</v>
      </c>
      <c r="G2367" s="15" t="str">
        <f>VLOOKUP(A2367,Movie!A:D,4,FALSE)</f>
        <v>Paramount</v>
      </c>
      <c r="H2367" s="14">
        <f>VLOOKUP(E2367,'Rental Transaction'!A:B,2,FALSE)</f>
        <v>269687</v>
      </c>
      <c r="I2367">
        <f t="shared" si="36"/>
        <v>2013</v>
      </c>
    </row>
    <row r="2368" spans="1:9">
      <c r="A2368" s="1">
        <v>10170</v>
      </c>
      <c r="B2368" s="1">
        <v>4</v>
      </c>
      <c r="C2368" s="2">
        <v>41484</v>
      </c>
      <c r="D2368" s="1" t="s">
        <v>2005</v>
      </c>
      <c r="E2368" s="1">
        <v>101342</v>
      </c>
      <c r="F2368" s="6" t="s">
        <v>4370</v>
      </c>
      <c r="G2368" s="15" t="str">
        <f>VLOOKUP(A2368,Movie!A:D,4,FALSE)</f>
        <v>Sony Classics</v>
      </c>
      <c r="H2368" s="14">
        <f>VLOOKUP(E2368,'Rental Transaction'!A:B,2,FALSE)</f>
        <v>269687</v>
      </c>
      <c r="I2368">
        <f t="shared" si="36"/>
        <v>2013</v>
      </c>
    </row>
    <row r="2369" spans="1:9">
      <c r="A2369" s="1">
        <v>10009</v>
      </c>
      <c r="B2369" s="1">
        <v>10</v>
      </c>
      <c r="C2369" s="2">
        <v>41484</v>
      </c>
      <c r="D2369" s="1" t="s">
        <v>2005</v>
      </c>
      <c r="E2369" s="1">
        <v>101343</v>
      </c>
      <c r="F2369" s="6" t="s">
        <v>4371</v>
      </c>
      <c r="G2369" s="15" t="str">
        <f>VLOOKUP(A2369,Movie!A:D,4,FALSE)</f>
        <v>Warner Brothers</v>
      </c>
      <c r="H2369" s="14">
        <f>VLOOKUP(E2369,'Rental Transaction'!A:B,2,FALSE)</f>
        <v>734624</v>
      </c>
      <c r="I2369">
        <f t="shared" si="36"/>
        <v>2013</v>
      </c>
    </row>
    <row r="2370" spans="1:9">
      <c r="A2370" s="1">
        <v>10020</v>
      </c>
      <c r="B2370" s="1">
        <v>4</v>
      </c>
      <c r="C2370" s="2">
        <v>41484</v>
      </c>
      <c r="D2370" s="1" t="s">
        <v>2002</v>
      </c>
      <c r="E2370" s="1">
        <v>101343</v>
      </c>
      <c r="F2370" s="6" t="s">
        <v>4372</v>
      </c>
      <c r="G2370" s="15" t="str">
        <f>VLOOKUP(A2370,Movie!A:D,4,FALSE)</f>
        <v>FilmDistrict</v>
      </c>
      <c r="H2370" s="14">
        <f>VLOOKUP(E2370,'Rental Transaction'!A:B,2,FALSE)</f>
        <v>734624</v>
      </c>
      <c r="I2370">
        <f t="shared" si="36"/>
        <v>2013</v>
      </c>
    </row>
    <row r="2371" spans="1:9">
      <c r="A2371" s="1">
        <v>10188</v>
      </c>
      <c r="B2371" s="1">
        <v>4</v>
      </c>
      <c r="C2371" s="2">
        <v>41483</v>
      </c>
      <c r="D2371" s="1" t="s">
        <v>2005</v>
      </c>
      <c r="E2371" s="1">
        <v>101344</v>
      </c>
      <c r="F2371" s="6" t="s">
        <v>4373</v>
      </c>
      <c r="G2371" s="15" t="str">
        <f>VLOOKUP(A2371,Movie!A:D,4,FALSE)</f>
        <v>Paramount</v>
      </c>
      <c r="H2371" s="14">
        <f>VLOOKUP(E2371,'Rental Transaction'!A:B,2,FALSE)</f>
        <v>552124</v>
      </c>
      <c r="I2371">
        <f t="shared" ref="I2371:I2434" si="37">YEAR(C2371)</f>
        <v>2013</v>
      </c>
    </row>
    <row r="2372" spans="1:9">
      <c r="A2372" s="1">
        <v>10273</v>
      </c>
      <c r="B2372" s="1">
        <v>7</v>
      </c>
      <c r="C2372" s="2">
        <v>41484</v>
      </c>
      <c r="D2372" s="1" t="s">
        <v>2002</v>
      </c>
      <c r="E2372" s="1">
        <v>101345</v>
      </c>
      <c r="F2372" s="6" t="s">
        <v>4374</v>
      </c>
      <c r="G2372" s="15" t="str">
        <f>VLOOKUP(A2372,Movie!A:D,4,FALSE)</f>
        <v>Sony</v>
      </c>
      <c r="H2372" s="14">
        <f>VLOOKUP(E2372,'Rental Transaction'!A:B,2,FALSE)</f>
        <v>238347</v>
      </c>
      <c r="I2372">
        <f t="shared" si="37"/>
        <v>2013</v>
      </c>
    </row>
    <row r="2373" spans="1:9">
      <c r="A2373" s="1">
        <v>10252</v>
      </c>
      <c r="B2373" s="1">
        <v>1</v>
      </c>
      <c r="C2373" s="2">
        <v>41484</v>
      </c>
      <c r="D2373" s="1" t="s">
        <v>2002</v>
      </c>
      <c r="E2373" s="1">
        <v>101346</v>
      </c>
      <c r="F2373" s="6" t="s">
        <v>4375</v>
      </c>
      <c r="G2373" s="15" t="str">
        <f>VLOOKUP(A2373,Movie!A:D,4,FALSE)</f>
        <v>Warner Brothers</v>
      </c>
      <c r="H2373" s="14">
        <f>VLOOKUP(E2373,'Rental Transaction'!A:B,2,FALSE)</f>
        <v>793987</v>
      </c>
      <c r="I2373">
        <f t="shared" si="37"/>
        <v>2013</v>
      </c>
    </row>
    <row r="2374" spans="1:9">
      <c r="A2374" s="1">
        <v>10222</v>
      </c>
      <c r="B2374" s="1">
        <v>3</v>
      </c>
      <c r="C2374" s="2">
        <v>41484</v>
      </c>
      <c r="D2374" s="1" t="s">
        <v>2002</v>
      </c>
      <c r="E2374" s="1">
        <v>101347</v>
      </c>
      <c r="F2374" s="6" t="s">
        <v>4376</v>
      </c>
      <c r="G2374" s="15" t="str">
        <f>VLOOKUP(A2374,Movie!A:D,4,FALSE)</f>
        <v>Sony</v>
      </c>
      <c r="H2374" s="14">
        <f>VLOOKUP(E2374,'Rental Transaction'!A:B,2,FALSE)</f>
        <v>755271</v>
      </c>
      <c r="I2374">
        <f t="shared" si="37"/>
        <v>2013</v>
      </c>
    </row>
    <row r="2375" spans="1:9">
      <c r="A2375" s="1">
        <v>10233</v>
      </c>
      <c r="B2375" s="1">
        <v>5</v>
      </c>
      <c r="C2375" s="2">
        <v>41484</v>
      </c>
      <c r="D2375" s="1" t="s">
        <v>2002</v>
      </c>
      <c r="E2375" s="1">
        <v>101347</v>
      </c>
      <c r="F2375" s="6" t="s">
        <v>4377</v>
      </c>
      <c r="G2375" s="15" t="str">
        <f>VLOOKUP(A2375,Movie!A:D,4,FALSE)</f>
        <v>Screen Gems</v>
      </c>
      <c r="H2375" s="14">
        <f>VLOOKUP(E2375,'Rental Transaction'!A:B,2,FALSE)</f>
        <v>755271</v>
      </c>
      <c r="I2375">
        <f t="shared" si="37"/>
        <v>2013</v>
      </c>
    </row>
    <row r="2376" spans="1:9">
      <c r="A2376" s="1">
        <v>10256</v>
      </c>
      <c r="B2376" s="1">
        <v>7</v>
      </c>
      <c r="C2376" s="2">
        <v>41484</v>
      </c>
      <c r="D2376" s="1" t="s">
        <v>2002</v>
      </c>
      <c r="E2376" s="1">
        <v>101347</v>
      </c>
      <c r="F2376" s="6" t="s">
        <v>4378</v>
      </c>
      <c r="G2376" s="15" t="str">
        <f>VLOOKUP(A2376,Movie!A:D,4,FALSE)</f>
        <v>Fox</v>
      </c>
      <c r="H2376" s="14">
        <f>VLOOKUP(E2376,'Rental Transaction'!A:B,2,FALSE)</f>
        <v>755271</v>
      </c>
      <c r="I2376">
        <f t="shared" si="37"/>
        <v>2013</v>
      </c>
    </row>
    <row r="2377" spans="1:9">
      <c r="A2377" s="1">
        <v>10282</v>
      </c>
      <c r="B2377" s="1">
        <v>10</v>
      </c>
      <c r="C2377" s="2">
        <v>41484</v>
      </c>
      <c r="D2377" s="1" t="s">
        <v>2002</v>
      </c>
      <c r="E2377" s="1">
        <v>101348</v>
      </c>
      <c r="F2377" s="6" t="s">
        <v>4379</v>
      </c>
      <c r="G2377" s="15" t="str">
        <f>VLOOKUP(A2377,Movie!A:D,4,FALSE)</f>
        <v>Sony Classics</v>
      </c>
      <c r="H2377" s="14">
        <f>VLOOKUP(E2377,'Rental Transaction'!A:B,2,FALSE)</f>
        <v>741514</v>
      </c>
      <c r="I2377">
        <f t="shared" si="37"/>
        <v>2013</v>
      </c>
    </row>
    <row r="2378" spans="1:9">
      <c r="A2378" s="1">
        <v>10180</v>
      </c>
      <c r="B2378" s="1">
        <v>7</v>
      </c>
      <c r="C2378" s="2">
        <v>41484</v>
      </c>
      <c r="D2378" s="1" t="s">
        <v>2002</v>
      </c>
      <c r="E2378" s="1">
        <v>101349</v>
      </c>
      <c r="F2378" s="6" t="s">
        <v>4380</v>
      </c>
      <c r="G2378" s="15" t="str">
        <f>VLOOKUP(A2378,Movie!A:D,4,FALSE)</f>
        <v>Relativity</v>
      </c>
      <c r="H2378" s="14">
        <f>VLOOKUP(E2378,'Rental Transaction'!A:B,2,FALSE)</f>
        <v>974503</v>
      </c>
      <c r="I2378">
        <f t="shared" si="37"/>
        <v>2013</v>
      </c>
    </row>
    <row r="2379" spans="1:9" ht="29.25">
      <c r="A2379" s="1">
        <v>10249</v>
      </c>
      <c r="B2379" s="1">
        <v>10</v>
      </c>
      <c r="C2379" s="2">
        <v>41485</v>
      </c>
      <c r="D2379" s="1" t="s">
        <v>2002</v>
      </c>
      <c r="E2379" s="1">
        <v>101349</v>
      </c>
      <c r="F2379" s="6" t="s">
        <v>4381</v>
      </c>
      <c r="G2379" s="15" t="str">
        <f>VLOOKUP(A2379,Movie!A:D,4,FALSE)</f>
        <v>Summit Entertainment</v>
      </c>
      <c r="H2379" s="14">
        <f>VLOOKUP(E2379,'Rental Transaction'!A:B,2,FALSE)</f>
        <v>974503</v>
      </c>
      <c r="I2379">
        <f t="shared" si="37"/>
        <v>2013</v>
      </c>
    </row>
    <row r="2380" spans="1:9">
      <c r="A2380" s="1">
        <v>10018</v>
      </c>
      <c r="B2380" s="1">
        <v>6</v>
      </c>
      <c r="C2380" s="2">
        <v>41485</v>
      </c>
      <c r="D2380" s="1" t="s">
        <v>2002</v>
      </c>
      <c r="E2380" s="1">
        <v>101350</v>
      </c>
      <c r="F2380" s="6" t="s">
        <v>4382</v>
      </c>
      <c r="G2380" s="15" t="str">
        <f>VLOOKUP(A2380,Movie!A:D,4,FALSE)</f>
        <v>Fox</v>
      </c>
      <c r="H2380" s="14">
        <f>VLOOKUP(E2380,'Rental Transaction'!A:B,2,FALSE)</f>
        <v>404678</v>
      </c>
      <c r="I2380">
        <f t="shared" si="37"/>
        <v>2013</v>
      </c>
    </row>
    <row r="2381" spans="1:9">
      <c r="A2381" s="1">
        <v>10143</v>
      </c>
      <c r="B2381" s="1">
        <v>8</v>
      </c>
      <c r="C2381" s="2">
        <v>41484</v>
      </c>
      <c r="D2381" s="1" t="s">
        <v>2002</v>
      </c>
      <c r="E2381" s="1">
        <v>101351</v>
      </c>
      <c r="F2381" s="6" t="s">
        <v>4383</v>
      </c>
      <c r="G2381" s="15" t="str">
        <f>VLOOKUP(A2381,Movie!A:D,4,FALSE)</f>
        <v>Buena Vista</v>
      </c>
      <c r="H2381" s="14">
        <f>VLOOKUP(E2381,'Rental Transaction'!A:B,2,FALSE)</f>
        <v>791559</v>
      </c>
      <c r="I2381">
        <f t="shared" si="37"/>
        <v>2013</v>
      </c>
    </row>
    <row r="2382" spans="1:9" ht="29.25">
      <c r="A2382" s="1">
        <v>10121</v>
      </c>
      <c r="B2382" s="1">
        <v>6</v>
      </c>
      <c r="C2382" s="2">
        <v>41484</v>
      </c>
      <c r="D2382" s="1" t="s">
        <v>2005</v>
      </c>
      <c r="E2382" s="1">
        <v>101351</v>
      </c>
      <c r="F2382" s="6" t="s">
        <v>4384</v>
      </c>
      <c r="G2382" s="15" t="str">
        <f>VLOOKUP(A2382,Movie!A:D,4,FALSE)</f>
        <v>Weinstein Company</v>
      </c>
      <c r="H2382" s="14">
        <f>VLOOKUP(E2382,'Rental Transaction'!A:B,2,FALSE)</f>
        <v>791559</v>
      </c>
      <c r="I2382">
        <f t="shared" si="37"/>
        <v>2013</v>
      </c>
    </row>
    <row r="2383" spans="1:9">
      <c r="A2383" s="1">
        <v>10173</v>
      </c>
      <c r="B2383" s="1">
        <v>4</v>
      </c>
      <c r="C2383" s="2">
        <v>41485</v>
      </c>
      <c r="D2383" s="1" t="s">
        <v>2005</v>
      </c>
      <c r="E2383" s="1">
        <v>101352</v>
      </c>
      <c r="F2383" s="6" t="s">
        <v>4385</v>
      </c>
      <c r="G2383" s="15" t="str">
        <f>VLOOKUP(A2383,Movie!A:D,4,FALSE)</f>
        <v>Sony</v>
      </c>
      <c r="H2383" s="14">
        <f>VLOOKUP(E2383,'Rental Transaction'!A:B,2,FALSE)</f>
        <v>885548</v>
      </c>
      <c r="I2383">
        <f t="shared" si="37"/>
        <v>2013</v>
      </c>
    </row>
    <row r="2384" spans="1:9">
      <c r="A2384" s="1">
        <v>10031</v>
      </c>
      <c r="B2384" s="1">
        <v>8</v>
      </c>
      <c r="C2384" s="2">
        <v>41484</v>
      </c>
      <c r="D2384" s="1" t="s">
        <v>2002</v>
      </c>
      <c r="E2384" s="1">
        <v>101353</v>
      </c>
      <c r="F2384" s="6" t="s">
        <v>4386</v>
      </c>
      <c r="G2384" s="15" t="str">
        <f>VLOOKUP(A2384,Movie!A:D,4,FALSE)</f>
        <v>Warner Brothers</v>
      </c>
      <c r="H2384" s="14">
        <f>VLOOKUP(E2384,'Rental Transaction'!A:B,2,FALSE)</f>
        <v>979679</v>
      </c>
      <c r="I2384">
        <f t="shared" si="37"/>
        <v>2013</v>
      </c>
    </row>
    <row r="2385" spans="1:9">
      <c r="A2385" s="1">
        <v>10176</v>
      </c>
      <c r="B2385" s="1">
        <v>3</v>
      </c>
      <c r="C2385" s="2">
        <v>41484</v>
      </c>
      <c r="D2385" s="1" t="s">
        <v>2005</v>
      </c>
      <c r="E2385" s="1">
        <v>101353</v>
      </c>
      <c r="F2385" s="6" t="s">
        <v>4387</v>
      </c>
      <c r="G2385" s="15" t="str">
        <f>VLOOKUP(A2385,Movie!A:D,4,FALSE)</f>
        <v>Universal</v>
      </c>
      <c r="H2385" s="14">
        <f>VLOOKUP(E2385,'Rental Transaction'!A:B,2,FALSE)</f>
        <v>979679</v>
      </c>
      <c r="I2385">
        <f t="shared" si="37"/>
        <v>2013</v>
      </c>
    </row>
    <row r="2386" spans="1:9">
      <c r="A2386" s="1">
        <v>10044</v>
      </c>
      <c r="B2386" s="1">
        <v>2</v>
      </c>
      <c r="C2386" s="2">
        <v>41484</v>
      </c>
      <c r="D2386" s="1" t="s">
        <v>2005</v>
      </c>
      <c r="E2386" s="1">
        <v>101353</v>
      </c>
      <c r="F2386" s="6" t="s">
        <v>4388</v>
      </c>
      <c r="G2386" s="15" t="str">
        <f>VLOOKUP(A2386,Movie!A:D,4,FALSE)</f>
        <v>Buena Vista</v>
      </c>
      <c r="H2386" s="14">
        <f>VLOOKUP(E2386,'Rental Transaction'!A:B,2,FALSE)</f>
        <v>979679</v>
      </c>
      <c r="I2386">
        <f t="shared" si="37"/>
        <v>2013</v>
      </c>
    </row>
    <row r="2387" spans="1:9">
      <c r="A2387" s="1">
        <v>10141</v>
      </c>
      <c r="B2387" s="1">
        <v>5</v>
      </c>
      <c r="C2387" s="2">
        <v>41484</v>
      </c>
      <c r="D2387" s="1" t="s">
        <v>2002</v>
      </c>
      <c r="E2387" s="1">
        <v>101354</v>
      </c>
      <c r="F2387" s="6" t="s">
        <v>4389</v>
      </c>
      <c r="G2387" s="15" t="str">
        <f>VLOOKUP(A2387,Movie!A:D,4,FALSE)</f>
        <v>Warner Brothers</v>
      </c>
      <c r="H2387" s="14">
        <f>VLOOKUP(E2387,'Rental Transaction'!A:B,2,FALSE)</f>
        <v>426984</v>
      </c>
      <c r="I2387">
        <f t="shared" si="37"/>
        <v>2013</v>
      </c>
    </row>
    <row r="2388" spans="1:9">
      <c r="A2388" s="1">
        <v>10223</v>
      </c>
      <c r="B2388" s="1">
        <v>4</v>
      </c>
      <c r="C2388" s="2">
        <v>41484</v>
      </c>
      <c r="D2388" s="1" t="s">
        <v>2002</v>
      </c>
      <c r="E2388" s="1">
        <v>101355</v>
      </c>
      <c r="F2388" s="6" t="s">
        <v>4390</v>
      </c>
      <c r="G2388" s="15" t="str">
        <f>VLOOKUP(A2388,Movie!A:D,4,FALSE)</f>
        <v>Universal</v>
      </c>
      <c r="H2388" s="14">
        <f>VLOOKUP(E2388,'Rental Transaction'!A:B,2,FALSE)</f>
        <v>270853</v>
      </c>
      <c r="I2388">
        <f t="shared" si="37"/>
        <v>2013</v>
      </c>
    </row>
    <row r="2389" spans="1:9">
      <c r="A2389" s="1">
        <v>10224</v>
      </c>
      <c r="B2389" s="1">
        <v>5</v>
      </c>
      <c r="C2389" s="2">
        <v>41485</v>
      </c>
      <c r="D2389" s="1" t="s">
        <v>2002</v>
      </c>
      <c r="E2389" s="1">
        <v>101356</v>
      </c>
      <c r="F2389" s="6" t="s">
        <v>4391</v>
      </c>
      <c r="G2389" s="15" t="str">
        <f>VLOOKUP(A2389,Movie!A:D,4,FALSE)</f>
        <v>Fox Searchlight</v>
      </c>
      <c r="H2389" s="14">
        <f>VLOOKUP(E2389,'Rental Transaction'!A:B,2,FALSE)</f>
        <v>277310</v>
      </c>
      <c r="I2389">
        <f t="shared" si="37"/>
        <v>2013</v>
      </c>
    </row>
    <row r="2390" spans="1:9">
      <c r="A2390" s="1">
        <v>10233</v>
      </c>
      <c r="B2390" s="1">
        <v>4</v>
      </c>
      <c r="C2390" s="2">
        <v>41484</v>
      </c>
      <c r="D2390" s="1" t="s">
        <v>2002</v>
      </c>
      <c r="E2390" s="1">
        <v>101356</v>
      </c>
      <c r="F2390" s="6" t="s">
        <v>4392</v>
      </c>
      <c r="G2390" s="15" t="str">
        <f>VLOOKUP(A2390,Movie!A:D,4,FALSE)</f>
        <v>Screen Gems</v>
      </c>
      <c r="H2390" s="14">
        <f>VLOOKUP(E2390,'Rental Transaction'!A:B,2,FALSE)</f>
        <v>277310</v>
      </c>
      <c r="I2390">
        <f t="shared" si="37"/>
        <v>2013</v>
      </c>
    </row>
    <row r="2391" spans="1:9">
      <c r="A2391" s="1">
        <v>10248</v>
      </c>
      <c r="B2391" s="1">
        <v>9</v>
      </c>
      <c r="C2391" s="2">
        <v>41484</v>
      </c>
      <c r="D2391" s="1" t="s">
        <v>2002</v>
      </c>
      <c r="E2391" s="1">
        <v>101356</v>
      </c>
      <c r="F2391" s="6" t="s">
        <v>4393</v>
      </c>
      <c r="G2391" s="15" t="str">
        <f>VLOOKUP(A2391,Movie!A:D,4,FALSE)</f>
        <v>Relativity</v>
      </c>
      <c r="H2391" s="14">
        <f>VLOOKUP(E2391,'Rental Transaction'!A:B,2,FALSE)</f>
        <v>277310</v>
      </c>
      <c r="I2391">
        <f t="shared" si="37"/>
        <v>2013</v>
      </c>
    </row>
    <row r="2392" spans="1:9">
      <c r="A2392" s="1">
        <v>10024</v>
      </c>
      <c r="B2392" s="1">
        <v>9</v>
      </c>
      <c r="C2392" s="2">
        <v>41484</v>
      </c>
      <c r="D2392" s="1" t="s">
        <v>2005</v>
      </c>
      <c r="E2392" s="1">
        <v>101357</v>
      </c>
      <c r="F2392" s="6" t="s">
        <v>4394</v>
      </c>
      <c r="G2392" s="15" t="str">
        <f>VLOOKUP(A2392,Movie!A:D,4,FALSE)</f>
        <v>Fox</v>
      </c>
      <c r="H2392" s="14">
        <f>VLOOKUP(E2392,'Rental Transaction'!A:B,2,FALSE)</f>
        <v>524667</v>
      </c>
      <c r="I2392">
        <f t="shared" si="37"/>
        <v>2013</v>
      </c>
    </row>
    <row r="2393" spans="1:9">
      <c r="A2393" s="1">
        <v>10089</v>
      </c>
      <c r="B2393" s="1">
        <v>4</v>
      </c>
      <c r="C2393" s="2">
        <v>41485</v>
      </c>
      <c r="D2393" s="1" t="s">
        <v>2005</v>
      </c>
      <c r="E2393" s="1">
        <v>101357</v>
      </c>
      <c r="F2393" s="6" t="s">
        <v>4395</v>
      </c>
      <c r="G2393" s="15" t="str">
        <f>VLOOKUP(A2393,Movie!A:D,4,FALSE)</f>
        <v>Sony</v>
      </c>
      <c r="H2393" s="14">
        <f>VLOOKUP(E2393,'Rental Transaction'!A:B,2,FALSE)</f>
        <v>524667</v>
      </c>
      <c r="I2393">
        <f t="shared" si="37"/>
        <v>2013</v>
      </c>
    </row>
    <row r="2394" spans="1:9">
      <c r="A2394" s="1">
        <v>10141</v>
      </c>
      <c r="B2394" s="1">
        <v>2</v>
      </c>
      <c r="C2394" s="2">
        <v>41486</v>
      </c>
      <c r="D2394" s="1" t="s">
        <v>2002</v>
      </c>
      <c r="E2394" s="1">
        <v>101358</v>
      </c>
      <c r="F2394" s="6" t="s">
        <v>4396</v>
      </c>
      <c r="G2394" s="15" t="str">
        <f>VLOOKUP(A2394,Movie!A:D,4,FALSE)</f>
        <v>Warner Brothers</v>
      </c>
      <c r="H2394" s="14">
        <f>VLOOKUP(E2394,'Rental Transaction'!A:B,2,FALSE)</f>
        <v>267632</v>
      </c>
      <c r="I2394">
        <f t="shared" si="37"/>
        <v>2013</v>
      </c>
    </row>
    <row r="2395" spans="1:9">
      <c r="A2395" s="1">
        <v>10129</v>
      </c>
      <c r="B2395" s="1">
        <v>9</v>
      </c>
      <c r="C2395" s="2">
        <v>41485</v>
      </c>
      <c r="D2395" s="1" t="s">
        <v>2005</v>
      </c>
      <c r="E2395" s="1">
        <v>101358</v>
      </c>
      <c r="F2395" s="6" t="s">
        <v>4397</v>
      </c>
      <c r="G2395" s="15" t="str">
        <f>VLOOKUP(A2395,Movie!A:D,4,FALSE)</f>
        <v>Warner Brothers</v>
      </c>
      <c r="H2395" s="14">
        <f>VLOOKUP(E2395,'Rental Transaction'!A:B,2,FALSE)</f>
        <v>267632</v>
      </c>
      <c r="I2395">
        <f t="shared" si="37"/>
        <v>2013</v>
      </c>
    </row>
    <row r="2396" spans="1:9">
      <c r="A2396" s="1">
        <v>10220</v>
      </c>
      <c r="B2396" s="1">
        <v>9</v>
      </c>
      <c r="C2396" s="2">
        <v>41486</v>
      </c>
      <c r="D2396" s="1" t="s">
        <v>2005</v>
      </c>
      <c r="E2396" s="1">
        <v>101359</v>
      </c>
      <c r="F2396" s="6" t="s">
        <v>4398</v>
      </c>
      <c r="G2396" s="15" t="str">
        <f>VLOOKUP(A2396,Movie!A:D,4,FALSE)</f>
        <v>Fox</v>
      </c>
      <c r="H2396" s="14">
        <f>VLOOKUP(E2396,'Rental Transaction'!A:B,2,FALSE)</f>
        <v>196068</v>
      </c>
      <c r="I2396">
        <f t="shared" si="37"/>
        <v>2013</v>
      </c>
    </row>
    <row r="2397" spans="1:9">
      <c r="A2397" s="1">
        <v>10125</v>
      </c>
      <c r="B2397" s="1">
        <v>5</v>
      </c>
      <c r="C2397" s="2">
        <v>41485</v>
      </c>
      <c r="D2397" s="1" t="s">
        <v>2005</v>
      </c>
      <c r="E2397" s="1">
        <v>101360</v>
      </c>
      <c r="F2397" s="6" t="s">
        <v>4399</v>
      </c>
      <c r="G2397" s="15" t="str">
        <f>VLOOKUP(A2397,Movie!A:D,4,FALSE)</f>
        <v>Fox</v>
      </c>
      <c r="H2397" s="14">
        <f>VLOOKUP(E2397,'Rental Transaction'!A:B,2,FALSE)</f>
        <v>730305</v>
      </c>
      <c r="I2397">
        <f t="shared" si="37"/>
        <v>2013</v>
      </c>
    </row>
    <row r="2398" spans="1:9">
      <c r="A2398" s="1">
        <v>10221</v>
      </c>
      <c r="B2398" s="1">
        <v>8</v>
      </c>
      <c r="C2398" s="2">
        <v>41485</v>
      </c>
      <c r="D2398" s="1" t="s">
        <v>2002</v>
      </c>
      <c r="E2398" s="1">
        <v>101360</v>
      </c>
      <c r="F2398" s="6" t="s">
        <v>4400</v>
      </c>
      <c r="G2398" s="15" t="str">
        <f>VLOOKUP(A2398,Movie!A:D,4,FALSE)</f>
        <v>Fox</v>
      </c>
      <c r="H2398" s="14">
        <f>VLOOKUP(E2398,'Rental Transaction'!A:B,2,FALSE)</f>
        <v>730305</v>
      </c>
      <c r="I2398">
        <f t="shared" si="37"/>
        <v>2013</v>
      </c>
    </row>
    <row r="2399" spans="1:9">
      <c r="A2399" s="1">
        <v>10214</v>
      </c>
      <c r="B2399" s="1">
        <v>1</v>
      </c>
      <c r="C2399" s="2">
        <v>41485</v>
      </c>
      <c r="D2399" s="1" t="s">
        <v>2002</v>
      </c>
      <c r="E2399" s="1">
        <v>101361</v>
      </c>
      <c r="F2399" s="6" t="s">
        <v>4401</v>
      </c>
      <c r="G2399" s="15" t="str">
        <f>VLOOKUP(A2399,Movie!A:D,4,FALSE)</f>
        <v>RM</v>
      </c>
      <c r="H2399" s="14">
        <f>VLOOKUP(E2399,'Rental Transaction'!A:B,2,FALSE)</f>
        <v>185863</v>
      </c>
      <c r="I2399">
        <f t="shared" si="37"/>
        <v>2013</v>
      </c>
    </row>
    <row r="2400" spans="1:9">
      <c r="A2400" s="1">
        <v>10068</v>
      </c>
      <c r="B2400" s="1">
        <v>1</v>
      </c>
      <c r="C2400" s="2">
        <v>41485</v>
      </c>
      <c r="D2400" s="1" t="s">
        <v>2005</v>
      </c>
      <c r="E2400" s="1">
        <v>101361</v>
      </c>
      <c r="F2400" s="6" t="s">
        <v>4402</v>
      </c>
      <c r="G2400" s="15" t="str">
        <f>VLOOKUP(A2400,Movie!A:D,4,FALSE)</f>
        <v>Warner Brothers</v>
      </c>
      <c r="H2400" s="14">
        <f>VLOOKUP(E2400,'Rental Transaction'!A:B,2,FALSE)</f>
        <v>185863</v>
      </c>
      <c r="I2400">
        <f t="shared" si="37"/>
        <v>2013</v>
      </c>
    </row>
    <row r="2401" spans="1:9">
      <c r="A2401" s="1">
        <v>10295</v>
      </c>
      <c r="B2401" s="1">
        <v>3</v>
      </c>
      <c r="C2401" s="2">
        <v>41485</v>
      </c>
      <c r="D2401" s="1" t="s">
        <v>2002</v>
      </c>
      <c r="E2401" s="1">
        <v>101361</v>
      </c>
      <c r="F2401" s="6" t="s">
        <v>4403</v>
      </c>
      <c r="G2401" s="15" t="str">
        <f>VLOOKUP(A2401,Movie!A:D,4,FALSE)</f>
        <v>A24</v>
      </c>
      <c r="H2401" s="14">
        <f>VLOOKUP(E2401,'Rental Transaction'!A:B,2,FALSE)</f>
        <v>185863</v>
      </c>
      <c r="I2401">
        <f t="shared" si="37"/>
        <v>2013</v>
      </c>
    </row>
    <row r="2402" spans="1:9">
      <c r="A2402" s="1">
        <v>10284</v>
      </c>
      <c r="B2402" s="1">
        <v>3</v>
      </c>
      <c r="C2402" s="2">
        <v>41485</v>
      </c>
      <c r="D2402" s="1" t="s">
        <v>2002</v>
      </c>
      <c r="E2402" s="1">
        <v>101361</v>
      </c>
      <c r="F2402" s="6" t="s">
        <v>4404</v>
      </c>
      <c r="G2402" s="15" t="str">
        <f>VLOOKUP(A2402,Movie!A:D,4,FALSE)</f>
        <v>Focus</v>
      </c>
      <c r="H2402" s="14">
        <f>VLOOKUP(E2402,'Rental Transaction'!A:B,2,FALSE)</f>
        <v>185863</v>
      </c>
      <c r="I2402">
        <f t="shared" si="37"/>
        <v>2013</v>
      </c>
    </row>
    <row r="2403" spans="1:9">
      <c r="A2403" s="1">
        <v>10139</v>
      </c>
      <c r="B2403" s="1">
        <v>6</v>
      </c>
      <c r="C2403" s="2">
        <v>41485</v>
      </c>
      <c r="D2403" s="1" t="s">
        <v>2005</v>
      </c>
      <c r="E2403" s="1">
        <v>101362</v>
      </c>
      <c r="F2403" s="6" t="s">
        <v>4405</v>
      </c>
      <c r="G2403" s="15" t="str">
        <f>VLOOKUP(A2403,Movie!A:D,4,FALSE)</f>
        <v>Focus</v>
      </c>
      <c r="H2403" s="14">
        <f>VLOOKUP(E2403,'Rental Transaction'!A:B,2,FALSE)</f>
        <v>580783</v>
      </c>
      <c r="I2403">
        <f t="shared" si="37"/>
        <v>2013</v>
      </c>
    </row>
    <row r="2404" spans="1:9">
      <c r="A2404" s="1">
        <v>10282</v>
      </c>
      <c r="B2404" s="1">
        <v>4</v>
      </c>
      <c r="C2404" s="2">
        <v>41486</v>
      </c>
      <c r="D2404" s="1" t="s">
        <v>2005</v>
      </c>
      <c r="E2404" s="1">
        <v>101362</v>
      </c>
      <c r="F2404" s="6" t="s">
        <v>4406</v>
      </c>
      <c r="G2404" s="15" t="str">
        <f>VLOOKUP(A2404,Movie!A:D,4,FALSE)</f>
        <v>Sony Classics</v>
      </c>
      <c r="H2404" s="14">
        <f>VLOOKUP(E2404,'Rental Transaction'!A:B,2,FALSE)</f>
        <v>580783</v>
      </c>
      <c r="I2404">
        <f t="shared" si="37"/>
        <v>2013</v>
      </c>
    </row>
    <row r="2405" spans="1:9">
      <c r="A2405" s="1">
        <v>10157</v>
      </c>
      <c r="B2405" s="1">
        <v>8</v>
      </c>
      <c r="C2405" s="2">
        <v>41486</v>
      </c>
      <c r="D2405" s="1" t="s">
        <v>2002</v>
      </c>
      <c r="E2405" s="1">
        <v>101363</v>
      </c>
      <c r="F2405" s="6" t="s">
        <v>4407</v>
      </c>
      <c r="G2405" s="15" t="str">
        <f>VLOOKUP(A2405,Movie!A:D,4,FALSE)</f>
        <v>Paramount</v>
      </c>
      <c r="H2405" s="14">
        <f>VLOOKUP(E2405,'Rental Transaction'!A:B,2,FALSE)</f>
        <v>921901</v>
      </c>
      <c r="I2405">
        <f t="shared" si="37"/>
        <v>2013</v>
      </c>
    </row>
    <row r="2406" spans="1:9">
      <c r="A2406" s="1">
        <v>10122</v>
      </c>
      <c r="B2406" s="1">
        <v>9</v>
      </c>
      <c r="C2406" s="2">
        <v>41485</v>
      </c>
      <c r="D2406" s="1" t="s">
        <v>2002</v>
      </c>
      <c r="E2406" s="1">
        <v>101363</v>
      </c>
      <c r="F2406" s="6" t="s">
        <v>4408</v>
      </c>
      <c r="G2406" s="15" t="str">
        <f>VLOOKUP(A2406,Movie!A:D,4,FALSE)</f>
        <v>Relativity</v>
      </c>
      <c r="H2406" s="14">
        <f>VLOOKUP(E2406,'Rental Transaction'!A:B,2,FALSE)</f>
        <v>921901</v>
      </c>
      <c r="I2406">
        <f t="shared" si="37"/>
        <v>2013</v>
      </c>
    </row>
    <row r="2407" spans="1:9" ht="29.25">
      <c r="A2407" s="1">
        <v>10095</v>
      </c>
      <c r="B2407" s="1">
        <v>9</v>
      </c>
      <c r="C2407" s="2">
        <v>41486</v>
      </c>
      <c r="D2407" s="1" t="s">
        <v>2002</v>
      </c>
      <c r="E2407" s="1">
        <v>101363</v>
      </c>
      <c r="F2407" s="6" t="s">
        <v>4409</v>
      </c>
      <c r="G2407" s="15" t="str">
        <f>VLOOKUP(A2407,Movie!A:D,4,FALSE)</f>
        <v>Weinstein Company</v>
      </c>
      <c r="H2407" s="14">
        <f>VLOOKUP(E2407,'Rental Transaction'!A:B,2,FALSE)</f>
        <v>921901</v>
      </c>
      <c r="I2407">
        <f t="shared" si="37"/>
        <v>2013</v>
      </c>
    </row>
    <row r="2408" spans="1:9">
      <c r="A2408" s="1">
        <v>10184</v>
      </c>
      <c r="B2408" s="1">
        <v>5</v>
      </c>
      <c r="C2408" s="2">
        <v>41486</v>
      </c>
      <c r="D2408" s="1" t="s">
        <v>2005</v>
      </c>
      <c r="E2408" s="1">
        <v>101364</v>
      </c>
      <c r="F2408" s="6" t="s">
        <v>4410</v>
      </c>
      <c r="G2408" s="15" t="str">
        <f>VLOOKUP(A2408,Movie!A:D,4,FALSE)</f>
        <v>Universal</v>
      </c>
      <c r="H2408" s="14">
        <f>VLOOKUP(E2408,'Rental Transaction'!A:B,2,FALSE)</f>
        <v>888759</v>
      </c>
      <c r="I2408">
        <f t="shared" si="37"/>
        <v>2013</v>
      </c>
    </row>
    <row r="2409" spans="1:9">
      <c r="A2409" s="1">
        <v>10268</v>
      </c>
      <c r="B2409" s="1">
        <v>9</v>
      </c>
      <c r="C2409" s="2">
        <v>41486</v>
      </c>
      <c r="D2409" s="1" t="s">
        <v>2002</v>
      </c>
      <c r="E2409" s="1">
        <v>101364</v>
      </c>
      <c r="F2409" s="6" t="s">
        <v>4411</v>
      </c>
      <c r="G2409" s="15" t="str">
        <f>VLOOKUP(A2409,Movie!A:D,4,FALSE)</f>
        <v>Buena Vista</v>
      </c>
      <c r="H2409" s="14">
        <f>VLOOKUP(E2409,'Rental Transaction'!A:B,2,FALSE)</f>
        <v>888759</v>
      </c>
      <c r="I2409">
        <f t="shared" si="37"/>
        <v>2013</v>
      </c>
    </row>
    <row r="2410" spans="1:9" ht="29.25">
      <c r="A2410" s="1">
        <v>10285</v>
      </c>
      <c r="B2410" s="1">
        <v>6</v>
      </c>
      <c r="C2410" s="2">
        <v>41486</v>
      </c>
      <c r="D2410" s="1" t="s">
        <v>2002</v>
      </c>
      <c r="E2410" s="1">
        <v>101365</v>
      </c>
      <c r="F2410" s="6" t="s">
        <v>4412</v>
      </c>
      <c r="G2410" s="15" t="str">
        <f>VLOOKUP(A2410,Movie!A:D,4,FALSE)</f>
        <v>Roadside Attractions</v>
      </c>
      <c r="H2410" s="14">
        <f>VLOOKUP(E2410,'Rental Transaction'!A:B,2,FALSE)</f>
        <v>104939</v>
      </c>
      <c r="I2410">
        <f t="shared" si="37"/>
        <v>2013</v>
      </c>
    </row>
    <row r="2411" spans="1:9">
      <c r="A2411" s="1">
        <v>10148</v>
      </c>
      <c r="B2411" s="1">
        <v>7</v>
      </c>
      <c r="C2411" s="2">
        <v>41486</v>
      </c>
      <c r="D2411" s="1" t="s">
        <v>2002</v>
      </c>
      <c r="E2411" s="1">
        <v>101365</v>
      </c>
      <c r="F2411" s="6" t="s">
        <v>4413</v>
      </c>
      <c r="G2411" s="15" t="str">
        <f>VLOOKUP(A2411,Movie!A:D,4,FALSE)</f>
        <v>Paramount</v>
      </c>
      <c r="H2411" s="14">
        <f>VLOOKUP(E2411,'Rental Transaction'!A:B,2,FALSE)</f>
        <v>104939</v>
      </c>
      <c r="I2411">
        <f t="shared" si="37"/>
        <v>2013</v>
      </c>
    </row>
    <row r="2412" spans="1:9">
      <c r="A2412" s="1">
        <v>10145</v>
      </c>
      <c r="B2412" s="1">
        <v>5</v>
      </c>
      <c r="C2412" s="2">
        <v>41485</v>
      </c>
      <c r="D2412" s="1" t="s">
        <v>2002</v>
      </c>
      <c r="E2412" s="1">
        <v>101366</v>
      </c>
      <c r="F2412" s="6" t="s">
        <v>4414</v>
      </c>
      <c r="G2412" s="15" t="str">
        <f>VLOOKUP(A2412,Movie!A:D,4,FALSE)</f>
        <v>TriStar</v>
      </c>
      <c r="H2412" s="14">
        <f>VLOOKUP(E2412,'Rental Transaction'!A:B,2,FALSE)</f>
        <v>202612</v>
      </c>
      <c r="I2412">
        <f t="shared" si="37"/>
        <v>2013</v>
      </c>
    </row>
    <row r="2413" spans="1:9">
      <c r="A2413" s="1">
        <v>10076</v>
      </c>
      <c r="B2413" s="1">
        <v>7</v>
      </c>
      <c r="C2413" s="2">
        <v>41485</v>
      </c>
      <c r="D2413" s="1" t="s">
        <v>2002</v>
      </c>
      <c r="E2413" s="1">
        <v>101366</v>
      </c>
      <c r="F2413" s="6" t="s">
        <v>4415</v>
      </c>
      <c r="G2413" s="15" t="str">
        <f>VLOOKUP(A2413,Movie!A:D,4,FALSE)</f>
        <v>Sony</v>
      </c>
      <c r="H2413" s="14">
        <f>VLOOKUP(E2413,'Rental Transaction'!A:B,2,FALSE)</f>
        <v>202612</v>
      </c>
      <c r="I2413">
        <f t="shared" si="37"/>
        <v>2013</v>
      </c>
    </row>
    <row r="2414" spans="1:9">
      <c r="A2414" s="1">
        <v>10025</v>
      </c>
      <c r="B2414" s="1">
        <v>2</v>
      </c>
      <c r="C2414" s="2">
        <v>41486</v>
      </c>
      <c r="D2414" s="1" t="s">
        <v>2005</v>
      </c>
      <c r="E2414" s="1">
        <v>101367</v>
      </c>
      <c r="F2414" s="6" t="s">
        <v>4416</v>
      </c>
      <c r="G2414" s="15" t="str">
        <f>VLOOKUP(A2414,Movie!A:D,4,FALSE)</f>
        <v>Sony</v>
      </c>
      <c r="H2414" s="14">
        <f>VLOOKUP(E2414,'Rental Transaction'!A:B,2,FALSE)</f>
        <v>745543</v>
      </c>
      <c r="I2414">
        <f t="shared" si="37"/>
        <v>2013</v>
      </c>
    </row>
    <row r="2415" spans="1:9">
      <c r="A2415" s="1">
        <v>10174</v>
      </c>
      <c r="B2415" s="1">
        <v>3</v>
      </c>
      <c r="C2415" s="2">
        <v>41485</v>
      </c>
      <c r="D2415" s="1" t="s">
        <v>2005</v>
      </c>
      <c r="E2415" s="1">
        <v>101368</v>
      </c>
      <c r="F2415" s="6" t="s">
        <v>4417</v>
      </c>
      <c r="G2415" s="15" t="str">
        <f>VLOOKUP(A2415,Movie!A:D,4,FALSE)</f>
        <v>Universal</v>
      </c>
      <c r="H2415" s="14">
        <f>VLOOKUP(E2415,'Rental Transaction'!A:B,2,FALSE)</f>
        <v>550824</v>
      </c>
      <c r="I2415">
        <f t="shared" si="37"/>
        <v>2013</v>
      </c>
    </row>
    <row r="2416" spans="1:9">
      <c r="A2416" s="1">
        <v>10185</v>
      </c>
      <c r="B2416" s="1">
        <v>7</v>
      </c>
      <c r="C2416" s="2">
        <v>41486</v>
      </c>
      <c r="D2416" s="1" t="s">
        <v>2002</v>
      </c>
      <c r="E2416" s="1">
        <v>101369</v>
      </c>
      <c r="F2416" s="6" t="s">
        <v>4418</v>
      </c>
      <c r="G2416" s="15" t="str">
        <f>VLOOKUP(A2416,Movie!A:D,4,FALSE)</f>
        <v>Warner Brothers</v>
      </c>
      <c r="H2416" s="14">
        <f>VLOOKUP(E2416,'Rental Transaction'!A:B,2,FALSE)</f>
        <v>999915</v>
      </c>
      <c r="I2416">
        <f t="shared" si="37"/>
        <v>2013</v>
      </c>
    </row>
    <row r="2417" spans="1:9">
      <c r="A2417" s="1">
        <v>10220</v>
      </c>
      <c r="B2417" s="1">
        <v>7</v>
      </c>
      <c r="C2417" s="2">
        <v>41485</v>
      </c>
      <c r="D2417" s="1" t="s">
        <v>2002</v>
      </c>
      <c r="E2417" s="1">
        <v>101369</v>
      </c>
      <c r="F2417" s="6" t="s">
        <v>4419</v>
      </c>
      <c r="G2417" s="15" t="str">
        <f>VLOOKUP(A2417,Movie!A:D,4,FALSE)</f>
        <v>Fox</v>
      </c>
      <c r="H2417" s="14">
        <f>VLOOKUP(E2417,'Rental Transaction'!A:B,2,FALSE)</f>
        <v>999915</v>
      </c>
      <c r="I2417">
        <f t="shared" si="37"/>
        <v>2013</v>
      </c>
    </row>
    <row r="2418" spans="1:9">
      <c r="A2418" s="1">
        <v>10248</v>
      </c>
      <c r="B2418" s="1">
        <v>5</v>
      </c>
      <c r="C2418" s="2">
        <v>41486</v>
      </c>
      <c r="D2418" s="1" t="s">
        <v>2005</v>
      </c>
      <c r="E2418" s="1">
        <v>101370</v>
      </c>
      <c r="F2418" s="6" t="s">
        <v>4420</v>
      </c>
      <c r="G2418" s="15" t="str">
        <f>VLOOKUP(A2418,Movie!A:D,4,FALSE)</f>
        <v>Relativity</v>
      </c>
      <c r="H2418" s="14">
        <f>VLOOKUP(E2418,'Rental Transaction'!A:B,2,FALSE)</f>
        <v>994185</v>
      </c>
      <c r="I2418">
        <f t="shared" si="37"/>
        <v>2013</v>
      </c>
    </row>
    <row r="2419" spans="1:9">
      <c r="A2419" s="1">
        <v>10291</v>
      </c>
      <c r="B2419" s="1">
        <v>6</v>
      </c>
      <c r="C2419" s="2">
        <v>41486</v>
      </c>
      <c r="D2419" s="1" t="s">
        <v>2005</v>
      </c>
      <c r="E2419" s="1">
        <v>101370</v>
      </c>
      <c r="F2419" s="6" t="s">
        <v>4421</v>
      </c>
      <c r="G2419" s="15" t="str">
        <f>VLOOKUP(A2419,Movie!A:D,4,FALSE)</f>
        <v>Warner Brothers</v>
      </c>
      <c r="H2419" s="14">
        <f>VLOOKUP(E2419,'Rental Transaction'!A:B,2,FALSE)</f>
        <v>994185</v>
      </c>
      <c r="I2419">
        <f t="shared" si="37"/>
        <v>2013</v>
      </c>
    </row>
    <row r="2420" spans="1:9">
      <c r="A2420" s="1">
        <v>10032</v>
      </c>
      <c r="B2420" s="1">
        <v>2</v>
      </c>
      <c r="C2420" s="2">
        <v>41487</v>
      </c>
      <c r="D2420" s="1" t="s">
        <v>2002</v>
      </c>
      <c r="E2420" s="1">
        <v>101371</v>
      </c>
      <c r="F2420" s="6" t="s">
        <v>4422</v>
      </c>
      <c r="G2420" s="15" t="str">
        <f>VLOOKUP(A2420,Movie!A:D,4,FALSE)</f>
        <v>Sony</v>
      </c>
      <c r="H2420" s="14">
        <f>VLOOKUP(E2420,'Rental Transaction'!A:B,2,FALSE)</f>
        <v>218889</v>
      </c>
      <c r="I2420">
        <f t="shared" si="37"/>
        <v>2013</v>
      </c>
    </row>
    <row r="2421" spans="1:9">
      <c r="A2421" s="1">
        <v>10109</v>
      </c>
      <c r="B2421" s="1">
        <v>4</v>
      </c>
      <c r="C2421" s="2">
        <v>41486</v>
      </c>
      <c r="D2421" s="1" t="s">
        <v>2005</v>
      </c>
      <c r="E2421" s="1">
        <v>101372</v>
      </c>
      <c r="F2421" s="6" t="s">
        <v>4423</v>
      </c>
      <c r="G2421" s="15" t="str">
        <f>VLOOKUP(A2421,Movie!A:D,4,FALSE)</f>
        <v>Warner Brothers</v>
      </c>
      <c r="H2421" s="14">
        <f>VLOOKUP(E2421,'Rental Transaction'!A:B,2,FALSE)</f>
        <v>304344</v>
      </c>
      <c r="I2421">
        <f t="shared" si="37"/>
        <v>2013</v>
      </c>
    </row>
    <row r="2422" spans="1:9">
      <c r="A2422" s="1">
        <v>10087</v>
      </c>
      <c r="B2422" s="1">
        <v>4</v>
      </c>
      <c r="C2422" s="2">
        <v>41487</v>
      </c>
      <c r="D2422" s="1" t="s">
        <v>2005</v>
      </c>
      <c r="E2422" s="1">
        <v>101372</v>
      </c>
      <c r="F2422" s="6" t="s">
        <v>4424</v>
      </c>
      <c r="G2422" s="15" t="str">
        <f>VLOOKUP(A2422,Movie!A:D,4,FALSE)</f>
        <v>Lionsgate</v>
      </c>
      <c r="H2422" s="14">
        <f>VLOOKUP(E2422,'Rental Transaction'!A:B,2,FALSE)</f>
        <v>304344</v>
      </c>
      <c r="I2422">
        <f t="shared" si="37"/>
        <v>2013</v>
      </c>
    </row>
    <row r="2423" spans="1:9">
      <c r="A2423" s="1">
        <v>10188</v>
      </c>
      <c r="B2423" s="1">
        <v>8</v>
      </c>
      <c r="C2423" s="2">
        <v>41486</v>
      </c>
      <c r="D2423" s="1" t="s">
        <v>2005</v>
      </c>
      <c r="E2423" s="1">
        <v>101373</v>
      </c>
      <c r="F2423" s="6" t="s">
        <v>4425</v>
      </c>
      <c r="G2423" s="15" t="str">
        <f>VLOOKUP(A2423,Movie!A:D,4,FALSE)</f>
        <v>Paramount</v>
      </c>
      <c r="H2423" s="14">
        <f>VLOOKUP(E2423,'Rental Transaction'!A:B,2,FALSE)</f>
        <v>347659</v>
      </c>
      <c r="I2423">
        <f t="shared" si="37"/>
        <v>2013</v>
      </c>
    </row>
    <row r="2424" spans="1:9">
      <c r="A2424" s="1">
        <v>10176</v>
      </c>
      <c r="B2424" s="1">
        <v>6</v>
      </c>
      <c r="C2424" s="2">
        <v>41486</v>
      </c>
      <c r="D2424" s="1" t="s">
        <v>2005</v>
      </c>
      <c r="E2424" s="1">
        <v>101374</v>
      </c>
      <c r="F2424" s="6" t="s">
        <v>4426</v>
      </c>
      <c r="G2424" s="15" t="str">
        <f>VLOOKUP(A2424,Movie!A:D,4,FALSE)</f>
        <v>Universal</v>
      </c>
      <c r="H2424" s="14">
        <f>VLOOKUP(E2424,'Rental Transaction'!A:B,2,FALSE)</f>
        <v>680104</v>
      </c>
      <c r="I2424">
        <f t="shared" si="37"/>
        <v>2013</v>
      </c>
    </row>
    <row r="2425" spans="1:9">
      <c r="A2425" s="1">
        <v>10011</v>
      </c>
      <c r="B2425" s="1">
        <v>1</v>
      </c>
      <c r="C2425" s="2">
        <v>41486</v>
      </c>
      <c r="D2425" s="1" t="s">
        <v>2005</v>
      </c>
      <c r="E2425" s="1">
        <v>101375</v>
      </c>
      <c r="F2425" s="6" t="s">
        <v>4427</v>
      </c>
      <c r="G2425" s="15" t="str">
        <f>VLOOKUP(A2425,Movie!A:D,4,FALSE)</f>
        <v>Buena Vista</v>
      </c>
      <c r="H2425" s="14">
        <f>VLOOKUP(E2425,'Rental Transaction'!A:B,2,FALSE)</f>
        <v>841141</v>
      </c>
      <c r="I2425">
        <f t="shared" si="37"/>
        <v>2013</v>
      </c>
    </row>
    <row r="2426" spans="1:9">
      <c r="A2426" s="1">
        <v>10099</v>
      </c>
      <c r="B2426" s="1">
        <v>2</v>
      </c>
      <c r="C2426" s="2">
        <v>41488</v>
      </c>
      <c r="D2426" s="1" t="s">
        <v>2002</v>
      </c>
      <c r="E2426" s="1">
        <v>101375</v>
      </c>
      <c r="F2426" s="6" t="s">
        <v>4428</v>
      </c>
      <c r="G2426" s="15" t="str">
        <f>VLOOKUP(A2426,Movie!A:D,4,FALSE)</f>
        <v>Lionsgate</v>
      </c>
      <c r="H2426" s="14">
        <f>VLOOKUP(E2426,'Rental Transaction'!A:B,2,FALSE)</f>
        <v>841141</v>
      </c>
      <c r="I2426">
        <f t="shared" si="37"/>
        <v>2013</v>
      </c>
    </row>
    <row r="2427" spans="1:9">
      <c r="A2427" s="1">
        <v>10133</v>
      </c>
      <c r="B2427" s="1">
        <v>1</v>
      </c>
      <c r="C2427" s="2">
        <v>41487</v>
      </c>
      <c r="D2427" s="1" t="s">
        <v>2002</v>
      </c>
      <c r="E2427" s="1">
        <v>101376</v>
      </c>
      <c r="F2427" s="6" t="s">
        <v>4429</v>
      </c>
      <c r="G2427" s="15" t="str">
        <f>VLOOKUP(A2427,Movie!A:D,4,FALSE)</f>
        <v>Fox</v>
      </c>
      <c r="H2427" s="14">
        <f>VLOOKUP(E2427,'Rental Transaction'!A:B,2,FALSE)</f>
        <v>469564</v>
      </c>
      <c r="I2427">
        <f t="shared" si="37"/>
        <v>2013</v>
      </c>
    </row>
    <row r="2428" spans="1:9">
      <c r="A2428" s="1">
        <v>10098</v>
      </c>
      <c r="B2428" s="1">
        <v>1</v>
      </c>
      <c r="C2428" s="2">
        <v>41486</v>
      </c>
      <c r="D2428" s="1" t="s">
        <v>2005</v>
      </c>
      <c r="E2428" s="1">
        <v>101376</v>
      </c>
      <c r="F2428" s="6" t="s">
        <v>4430</v>
      </c>
      <c r="G2428" s="15" t="str">
        <f>VLOOKUP(A2428,Movie!A:D,4,FALSE)</f>
        <v>Warner Brothers</v>
      </c>
      <c r="H2428" s="14">
        <f>VLOOKUP(E2428,'Rental Transaction'!A:B,2,FALSE)</f>
        <v>469564</v>
      </c>
      <c r="I2428">
        <f t="shared" si="37"/>
        <v>2013</v>
      </c>
    </row>
    <row r="2429" spans="1:9">
      <c r="A2429" s="1">
        <v>10018</v>
      </c>
      <c r="B2429" s="1">
        <v>5</v>
      </c>
      <c r="C2429" s="2">
        <v>41486</v>
      </c>
      <c r="D2429" s="1" t="s">
        <v>2002</v>
      </c>
      <c r="E2429" s="1">
        <v>101376</v>
      </c>
      <c r="F2429" s="6" t="s">
        <v>4431</v>
      </c>
      <c r="G2429" s="15" t="str">
        <f>VLOOKUP(A2429,Movie!A:D,4,FALSE)</f>
        <v>Fox</v>
      </c>
      <c r="H2429" s="14">
        <f>VLOOKUP(E2429,'Rental Transaction'!A:B,2,FALSE)</f>
        <v>469564</v>
      </c>
      <c r="I2429">
        <f t="shared" si="37"/>
        <v>2013</v>
      </c>
    </row>
    <row r="2430" spans="1:9">
      <c r="A2430" s="1">
        <v>10166</v>
      </c>
      <c r="B2430" s="1">
        <v>9</v>
      </c>
      <c r="C2430" s="2">
        <v>41486</v>
      </c>
      <c r="D2430" s="1" t="s">
        <v>2005</v>
      </c>
      <c r="E2430" s="1">
        <v>101376</v>
      </c>
      <c r="F2430" s="6" t="s">
        <v>4432</v>
      </c>
      <c r="G2430" s="15" t="str">
        <f>VLOOKUP(A2430,Movie!A:D,4,FALSE)</f>
        <v>Fox</v>
      </c>
      <c r="H2430" s="14">
        <f>VLOOKUP(E2430,'Rental Transaction'!A:B,2,FALSE)</f>
        <v>469564</v>
      </c>
      <c r="I2430">
        <f t="shared" si="37"/>
        <v>2013</v>
      </c>
    </row>
    <row r="2431" spans="1:9">
      <c r="A2431" s="1">
        <v>10111</v>
      </c>
      <c r="B2431" s="1">
        <v>4</v>
      </c>
      <c r="C2431" s="2">
        <v>41486</v>
      </c>
      <c r="D2431" s="1" t="s">
        <v>2005</v>
      </c>
      <c r="E2431" s="1">
        <v>101376</v>
      </c>
      <c r="F2431" s="6" t="s">
        <v>4433</v>
      </c>
      <c r="G2431" s="15" t="str">
        <f>VLOOKUP(A2431,Movie!A:D,4,FALSE)</f>
        <v>Fox</v>
      </c>
      <c r="H2431" s="14">
        <f>VLOOKUP(E2431,'Rental Transaction'!A:B,2,FALSE)</f>
        <v>469564</v>
      </c>
      <c r="I2431">
        <f t="shared" si="37"/>
        <v>2013</v>
      </c>
    </row>
    <row r="2432" spans="1:9">
      <c r="A2432" s="1">
        <v>10063</v>
      </c>
      <c r="B2432" s="1">
        <v>1</v>
      </c>
      <c r="C2432" s="2">
        <v>41486</v>
      </c>
      <c r="D2432" s="1" t="s">
        <v>2002</v>
      </c>
      <c r="E2432" s="1">
        <v>101377</v>
      </c>
      <c r="F2432" s="6" t="s">
        <v>4434</v>
      </c>
      <c r="G2432" s="15" t="str">
        <f>VLOOKUP(A2432,Movie!A:D,4,FALSE)</f>
        <v>CBS Films</v>
      </c>
      <c r="H2432" s="14">
        <f>VLOOKUP(E2432,'Rental Transaction'!A:B,2,FALSE)</f>
        <v>256181</v>
      </c>
      <c r="I2432">
        <f t="shared" si="37"/>
        <v>2013</v>
      </c>
    </row>
    <row r="2433" spans="1:9">
      <c r="A2433" s="1">
        <v>10252</v>
      </c>
      <c r="B2433" s="1">
        <v>8</v>
      </c>
      <c r="C2433" s="2">
        <v>41486</v>
      </c>
      <c r="D2433" s="1" t="s">
        <v>2002</v>
      </c>
      <c r="E2433" s="1">
        <v>101378</v>
      </c>
      <c r="F2433" s="6" t="s">
        <v>4435</v>
      </c>
      <c r="G2433" s="15" t="str">
        <f>VLOOKUP(A2433,Movie!A:D,4,FALSE)</f>
        <v>Warner Brothers</v>
      </c>
      <c r="H2433" s="14">
        <f>VLOOKUP(E2433,'Rental Transaction'!A:B,2,FALSE)</f>
        <v>795957</v>
      </c>
      <c r="I2433">
        <f t="shared" si="37"/>
        <v>2013</v>
      </c>
    </row>
    <row r="2434" spans="1:9">
      <c r="A2434" s="1">
        <v>10042</v>
      </c>
      <c r="B2434" s="1">
        <v>3</v>
      </c>
      <c r="C2434" s="2">
        <v>41486</v>
      </c>
      <c r="D2434" s="1" t="s">
        <v>2002</v>
      </c>
      <c r="E2434" s="1">
        <v>101379</v>
      </c>
      <c r="F2434" s="6" t="s">
        <v>4436</v>
      </c>
      <c r="G2434" s="15" t="str">
        <f>VLOOKUP(A2434,Movie!A:D,4,FALSE)</f>
        <v>Paramount</v>
      </c>
      <c r="H2434" s="14">
        <f>VLOOKUP(E2434,'Rental Transaction'!A:B,2,FALSE)</f>
        <v>552124</v>
      </c>
      <c r="I2434">
        <f t="shared" si="37"/>
        <v>2013</v>
      </c>
    </row>
    <row r="2435" spans="1:9">
      <c r="A2435" s="1">
        <v>10096</v>
      </c>
      <c r="B2435" s="1">
        <v>1</v>
      </c>
      <c r="C2435" s="2">
        <v>41486</v>
      </c>
      <c r="D2435" s="1" t="s">
        <v>2005</v>
      </c>
      <c r="E2435" s="1">
        <v>101379</v>
      </c>
      <c r="F2435" s="6" t="s">
        <v>4437</v>
      </c>
      <c r="G2435" s="15" t="str">
        <f>VLOOKUP(A2435,Movie!A:D,4,FALSE)</f>
        <v>Universal</v>
      </c>
      <c r="H2435" s="14">
        <f>VLOOKUP(E2435,'Rental Transaction'!A:B,2,FALSE)</f>
        <v>552124</v>
      </c>
      <c r="I2435">
        <f t="shared" ref="I2435:I2498" si="38">YEAR(C2435)</f>
        <v>2013</v>
      </c>
    </row>
    <row r="2436" spans="1:9">
      <c r="A2436" s="1">
        <v>10237</v>
      </c>
      <c r="B2436" s="1">
        <v>3</v>
      </c>
      <c r="C2436" s="2">
        <v>41486</v>
      </c>
      <c r="D2436" s="1" t="s">
        <v>2005</v>
      </c>
      <c r="E2436" s="1">
        <v>101379</v>
      </c>
      <c r="F2436" s="6" t="s">
        <v>4438</v>
      </c>
      <c r="G2436" s="15" t="str">
        <f>VLOOKUP(A2436,Movie!A:D,4,FALSE)</f>
        <v>Warner Brothers</v>
      </c>
      <c r="H2436" s="14">
        <f>VLOOKUP(E2436,'Rental Transaction'!A:B,2,FALSE)</f>
        <v>552124</v>
      </c>
      <c r="I2436">
        <f t="shared" si="38"/>
        <v>2013</v>
      </c>
    </row>
    <row r="2437" spans="1:9">
      <c r="A2437" s="1">
        <v>10131</v>
      </c>
      <c r="B2437" s="1">
        <v>10</v>
      </c>
      <c r="C2437" s="2">
        <v>41487</v>
      </c>
      <c r="D2437" s="1" t="s">
        <v>2002</v>
      </c>
      <c r="E2437" s="1">
        <v>101380</v>
      </c>
      <c r="F2437" s="6" t="s">
        <v>4439</v>
      </c>
      <c r="G2437" s="15" t="str">
        <f>VLOOKUP(A2437,Movie!A:D,4,FALSE)</f>
        <v>Warner Brothers</v>
      </c>
      <c r="H2437" s="14">
        <f>VLOOKUP(E2437,'Rental Transaction'!A:B,2,FALSE)</f>
        <v>267632</v>
      </c>
      <c r="I2437">
        <f t="shared" si="38"/>
        <v>2013</v>
      </c>
    </row>
    <row r="2438" spans="1:9">
      <c r="A2438" s="1">
        <v>10122</v>
      </c>
      <c r="B2438" s="1">
        <v>3</v>
      </c>
      <c r="C2438" s="2">
        <v>41486</v>
      </c>
      <c r="D2438" s="1" t="s">
        <v>2005</v>
      </c>
      <c r="E2438" s="1">
        <v>101380</v>
      </c>
      <c r="F2438" s="6" t="s">
        <v>4440</v>
      </c>
      <c r="G2438" s="15" t="str">
        <f>VLOOKUP(A2438,Movie!A:D,4,FALSE)</f>
        <v>Relativity</v>
      </c>
      <c r="H2438" s="14">
        <f>VLOOKUP(E2438,'Rental Transaction'!A:B,2,FALSE)</f>
        <v>267632</v>
      </c>
      <c r="I2438">
        <f t="shared" si="38"/>
        <v>2013</v>
      </c>
    </row>
    <row r="2439" spans="1:9">
      <c r="A2439" s="1">
        <v>10175</v>
      </c>
      <c r="B2439" s="1">
        <v>10</v>
      </c>
      <c r="C2439" s="2">
        <v>41486</v>
      </c>
      <c r="D2439" s="1" t="s">
        <v>2002</v>
      </c>
      <c r="E2439" s="1">
        <v>101381</v>
      </c>
      <c r="F2439" s="6" t="s">
        <v>4441</v>
      </c>
      <c r="G2439" s="15" t="str">
        <f>VLOOKUP(A2439,Movie!A:D,4,FALSE)</f>
        <v>Buena Vista</v>
      </c>
      <c r="H2439" s="14">
        <f>VLOOKUP(E2439,'Rental Transaction'!A:B,2,FALSE)</f>
        <v>926289</v>
      </c>
      <c r="I2439">
        <f t="shared" si="38"/>
        <v>2013</v>
      </c>
    </row>
    <row r="2440" spans="1:9" ht="29.25">
      <c r="A2440" s="1">
        <v>10290</v>
      </c>
      <c r="B2440" s="1">
        <v>9</v>
      </c>
      <c r="C2440" s="2">
        <v>41486</v>
      </c>
      <c r="D2440" s="1" t="s">
        <v>2002</v>
      </c>
      <c r="E2440" s="1">
        <v>101381</v>
      </c>
      <c r="F2440" s="6" t="s">
        <v>4442</v>
      </c>
      <c r="G2440" s="15" t="str">
        <f>VLOOKUP(A2440,Movie!A:D,4,FALSE)</f>
        <v>Weinstein Company</v>
      </c>
      <c r="H2440" s="14">
        <f>VLOOKUP(E2440,'Rental Transaction'!A:B,2,FALSE)</f>
        <v>926289</v>
      </c>
      <c r="I2440">
        <f t="shared" si="38"/>
        <v>2013</v>
      </c>
    </row>
    <row r="2441" spans="1:9">
      <c r="A2441" s="1">
        <v>10008</v>
      </c>
      <c r="B2441" s="1">
        <v>9</v>
      </c>
      <c r="C2441" s="2">
        <v>41486</v>
      </c>
      <c r="D2441" s="1" t="s">
        <v>2005</v>
      </c>
      <c r="E2441" s="1">
        <v>101382</v>
      </c>
      <c r="F2441" s="6" t="s">
        <v>4443</v>
      </c>
      <c r="G2441" s="15" t="str">
        <f>VLOOKUP(A2441,Movie!A:D,4,FALSE)</f>
        <v>Sony</v>
      </c>
      <c r="H2441" s="14">
        <f>VLOOKUP(E2441,'Rental Transaction'!A:B,2,FALSE)</f>
        <v>491380</v>
      </c>
      <c r="I2441">
        <f t="shared" si="38"/>
        <v>2013</v>
      </c>
    </row>
    <row r="2442" spans="1:9" ht="29.25">
      <c r="A2442" s="1">
        <v>10028</v>
      </c>
      <c r="B2442" s="1">
        <v>2</v>
      </c>
      <c r="C2442" s="2">
        <v>41486</v>
      </c>
      <c r="D2442" s="1" t="s">
        <v>2002</v>
      </c>
      <c r="E2442" s="1">
        <v>101382</v>
      </c>
      <c r="F2442" s="6" t="s">
        <v>4444</v>
      </c>
      <c r="G2442" s="15" t="str">
        <f>VLOOKUP(A2442,Movie!A:D,4,FALSE)</f>
        <v>Summit Entertainment</v>
      </c>
      <c r="H2442" s="14">
        <f>VLOOKUP(E2442,'Rental Transaction'!A:B,2,FALSE)</f>
        <v>491380</v>
      </c>
      <c r="I2442">
        <f t="shared" si="38"/>
        <v>2013</v>
      </c>
    </row>
    <row r="2443" spans="1:9">
      <c r="A2443" s="1">
        <v>10120</v>
      </c>
      <c r="B2443" s="1">
        <v>3</v>
      </c>
      <c r="C2443" s="2">
        <v>41486</v>
      </c>
      <c r="D2443" s="1" t="s">
        <v>2002</v>
      </c>
      <c r="E2443" s="1">
        <v>101383</v>
      </c>
      <c r="F2443" s="6" t="s">
        <v>4445</v>
      </c>
      <c r="G2443" s="15" t="str">
        <f>VLOOKUP(A2443,Movie!A:D,4,FALSE)</f>
        <v>Focus</v>
      </c>
      <c r="H2443" s="14">
        <f>VLOOKUP(E2443,'Rental Transaction'!A:B,2,FALSE)</f>
        <v>924947</v>
      </c>
      <c r="I2443">
        <f t="shared" si="38"/>
        <v>2013</v>
      </c>
    </row>
    <row r="2444" spans="1:9">
      <c r="A2444" s="1">
        <v>10040</v>
      </c>
      <c r="B2444" s="1">
        <v>4</v>
      </c>
      <c r="C2444" s="2">
        <v>41486</v>
      </c>
      <c r="D2444" s="1" t="s">
        <v>2005</v>
      </c>
      <c r="E2444" s="1">
        <v>101384</v>
      </c>
      <c r="F2444" s="6" t="s">
        <v>4446</v>
      </c>
      <c r="G2444" s="15" t="str">
        <f>VLOOKUP(A2444,Movie!A:D,4,FALSE)</f>
        <v>Universal</v>
      </c>
      <c r="H2444" s="14">
        <f>VLOOKUP(E2444,'Rental Transaction'!A:B,2,FALSE)</f>
        <v>702197</v>
      </c>
      <c r="I2444">
        <f t="shared" si="38"/>
        <v>2013</v>
      </c>
    </row>
    <row r="2445" spans="1:9">
      <c r="A2445" s="1">
        <v>10063</v>
      </c>
      <c r="B2445" s="1">
        <v>1</v>
      </c>
      <c r="C2445" s="2">
        <v>41486</v>
      </c>
      <c r="D2445" s="1" t="s">
        <v>2005</v>
      </c>
      <c r="E2445" s="1">
        <v>101384</v>
      </c>
      <c r="F2445" s="6" t="s">
        <v>4447</v>
      </c>
      <c r="G2445" s="15" t="str">
        <f>VLOOKUP(A2445,Movie!A:D,4,FALSE)</f>
        <v>CBS Films</v>
      </c>
      <c r="H2445" s="14">
        <f>VLOOKUP(E2445,'Rental Transaction'!A:B,2,FALSE)</f>
        <v>702197</v>
      </c>
      <c r="I2445">
        <f t="shared" si="38"/>
        <v>2013</v>
      </c>
    </row>
    <row r="2446" spans="1:9">
      <c r="A2446" s="1">
        <v>10207</v>
      </c>
      <c r="B2446" s="1">
        <v>8</v>
      </c>
      <c r="C2446" s="2">
        <v>41486</v>
      </c>
      <c r="D2446" s="1" t="s">
        <v>2005</v>
      </c>
      <c r="E2446" s="1">
        <v>101384</v>
      </c>
      <c r="F2446" s="6" t="s">
        <v>4448</v>
      </c>
      <c r="G2446" s="15" t="str">
        <f>VLOOKUP(A2446,Movie!A:D,4,FALSE)</f>
        <v>Paramount</v>
      </c>
      <c r="H2446" s="14">
        <f>VLOOKUP(E2446,'Rental Transaction'!A:B,2,FALSE)</f>
        <v>702197</v>
      </c>
      <c r="I2446">
        <f t="shared" si="38"/>
        <v>2013</v>
      </c>
    </row>
    <row r="2447" spans="1:9">
      <c r="A2447" s="1">
        <v>10229</v>
      </c>
      <c r="B2447" s="1">
        <v>1</v>
      </c>
      <c r="C2447" s="2">
        <v>41488</v>
      </c>
      <c r="D2447" s="1" t="s">
        <v>2002</v>
      </c>
      <c r="E2447" s="1">
        <v>101385</v>
      </c>
      <c r="F2447" s="6" t="s">
        <v>4449</v>
      </c>
      <c r="G2447" s="15" t="str">
        <f>VLOOKUP(A2447,Movie!A:D,4,FALSE)</f>
        <v>TriStar</v>
      </c>
      <c r="H2447" s="14">
        <f>VLOOKUP(E2447,'Rental Transaction'!A:B,2,FALSE)</f>
        <v>266633</v>
      </c>
      <c r="I2447">
        <f t="shared" si="38"/>
        <v>2013</v>
      </c>
    </row>
    <row r="2448" spans="1:9">
      <c r="A2448" s="1">
        <v>10101</v>
      </c>
      <c r="B2448" s="1">
        <v>6</v>
      </c>
      <c r="C2448" s="2">
        <v>41488</v>
      </c>
      <c r="D2448" s="1" t="s">
        <v>2005</v>
      </c>
      <c r="E2448" s="1">
        <v>101386</v>
      </c>
      <c r="F2448" s="6" t="s">
        <v>4450</v>
      </c>
      <c r="G2448" s="15" t="str">
        <f>VLOOKUP(A2448,Movie!A:D,4,FALSE)</f>
        <v>Sony</v>
      </c>
      <c r="H2448" s="14">
        <f>VLOOKUP(E2448,'Rental Transaction'!A:B,2,FALSE)</f>
        <v>611848</v>
      </c>
      <c r="I2448">
        <f t="shared" si="38"/>
        <v>2013</v>
      </c>
    </row>
    <row r="2449" spans="1:9">
      <c r="A2449" s="1">
        <v>10052</v>
      </c>
      <c r="B2449" s="1">
        <v>3</v>
      </c>
      <c r="C2449" s="2">
        <v>41488</v>
      </c>
      <c r="D2449" s="1" t="s">
        <v>2005</v>
      </c>
      <c r="E2449" s="1">
        <v>101387</v>
      </c>
      <c r="F2449" s="6" t="s">
        <v>4451</v>
      </c>
      <c r="G2449" s="15" t="str">
        <f>VLOOKUP(A2449,Movie!A:D,4,FALSE)</f>
        <v>Warner Brothers</v>
      </c>
      <c r="H2449" s="14">
        <f>VLOOKUP(E2449,'Rental Transaction'!A:B,2,FALSE)</f>
        <v>996970</v>
      </c>
      <c r="I2449">
        <f t="shared" si="38"/>
        <v>2013</v>
      </c>
    </row>
    <row r="2450" spans="1:9">
      <c r="A2450" s="1">
        <v>10106</v>
      </c>
      <c r="B2450" s="1">
        <v>3</v>
      </c>
      <c r="C2450" s="2">
        <v>41488</v>
      </c>
      <c r="D2450" s="1" t="s">
        <v>2002</v>
      </c>
      <c r="E2450" s="1">
        <v>101388</v>
      </c>
      <c r="F2450" s="6" t="s">
        <v>4452</v>
      </c>
      <c r="G2450" s="15" t="str">
        <f>VLOOKUP(A2450,Movie!A:D,4,FALSE)</f>
        <v>Fox</v>
      </c>
      <c r="H2450" s="14">
        <f>VLOOKUP(E2450,'Rental Transaction'!A:B,2,FALSE)</f>
        <v>599995</v>
      </c>
      <c r="I2450">
        <f t="shared" si="38"/>
        <v>2013</v>
      </c>
    </row>
    <row r="2451" spans="1:9" ht="29.25">
      <c r="A2451" s="1">
        <v>10290</v>
      </c>
      <c r="B2451" s="1">
        <v>1</v>
      </c>
      <c r="C2451" s="2">
        <v>41487</v>
      </c>
      <c r="D2451" s="1" t="s">
        <v>2002</v>
      </c>
      <c r="E2451" s="1">
        <v>101388</v>
      </c>
      <c r="F2451" s="6" t="s">
        <v>4453</v>
      </c>
      <c r="G2451" s="15" t="str">
        <f>VLOOKUP(A2451,Movie!A:D,4,FALSE)</f>
        <v>Weinstein Company</v>
      </c>
      <c r="H2451" s="14">
        <f>VLOOKUP(E2451,'Rental Transaction'!A:B,2,FALSE)</f>
        <v>599995</v>
      </c>
      <c r="I2451">
        <f t="shared" si="38"/>
        <v>2013</v>
      </c>
    </row>
    <row r="2452" spans="1:9">
      <c r="A2452" s="1">
        <v>10189</v>
      </c>
      <c r="B2452" s="1">
        <v>1</v>
      </c>
      <c r="C2452" s="2">
        <v>41487</v>
      </c>
      <c r="D2452" s="1" t="s">
        <v>2002</v>
      </c>
      <c r="E2452" s="1">
        <v>101389</v>
      </c>
      <c r="F2452" s="6" t="s">
        <v>4454</v>
      </c>
      <c r="G2452" s="15" t="str">
        <f>VLOOKUP(A2452,Movie!A:D,4,FALSE)</f>
        <v>Universal</v>
      </c>
      <c r="H2452" s="14">
        <f>VLOOKUP(E2452,'Rental Transaction'!A:B,2,FALSE)</f>
        <v>345348</v>
      </c>
      <c r="I2452">
        <f t="shared" si="38"/>
        <v>2013</v>
      </c>
    </row>
    <row r="2453" spans="1:9">
      <c r="A2453" s="1">
        <v>10288</v>
      </c>
      <c r="B2453" s="1">
        <v>3</v>
      </c>
      <c r="C2453" s="2">
        <v>41487</v>
      </c>
      <c r="D2453" s="1" t="s">
        <v>2002</v>
      </c>
      <c r="E2453" s="1">
        <v>101389</v>
      </c>
      <c r="F2453" s="6" t="s">
        <v>4455</v>
      </c>
      <c r="G2453" s="15" t="str">
        <f>VLOOKUP(A2453,Movie!A:D,4,FALSE)</f>
        <v>Relativity</v>
      </c>
      <c r="H2453" s="14">
        <f>VLOOKUP(E2453,'Rental Transaction'!A:B,2,FALSE)</f>
        <v>345348</v>
      </c>
      <c r="I2453">
        <f t="shared" si="38"/>
        <v>2013</v>
      </c>
    </row>
    <row r="2454" spans="1:9">
      <c r="A2454" s="1">
        <v>10053</v>
      </c>
      <c r="B2454" s="1">
        <v>9</v>
      </c>
      <c r="C2454" s="2">
        <v>41487</v>
      </c>
      <c r="D2454" s="1" t="s">
        <v>2005</v>
      </c>
      <c r="E2454" s="1">
        <v>101390</v>
      </c>
      <c r="F2454" s="6" t="s">
        <v>4456</v>
      </c>
      <c r="G2454" s="15" t="str">
        <f>VLOOKUP(A2454,Movie!A:D,4,FALSE)</f>
        <v>Sony</v>
      </c>
      <c r="H2454" s="14">
        <f>VLOOKUP(E2454,'Rental Transaction'!A:B,2,FALSE)</f>
        <v>756928</v>
      </c>
      <c r="I2454">
        <f t="shared" si="38"/>
        <v>2013</v>
      </c>
    </row>
    <row r="2455" spans="1:9">
      <c r="A2455" s="1">
        <v>10180</v>
      </c>
      <c r="B2455" s="1">
        <v>5</v>
      </c>
      <c r="C2455" s="2">
        <v>41487</v>
      </c>
      <c r="D2455" s="1" t="s">
        <v>2002</v>
      </c>
      <c r="E2455" s="1">
        <v>101391</v>
      </c>
      <c r="F2455" s="6" t="s">
        <v>4457</v>
      </c>
      <c r="G2455" s="15" t="str">
        <f>VLOOKUP(A2455,Movie!A:D,4,FALSE)</f>
        <v>Relativity</v>
      </c>
      <c r="H2455" s="14">
        <f>VLOOKUP(E2455,'Rental Transaction'!A:B,2,FALSE)</f>
        <v>216081</v>
      </c>
      <c r="I2455">
        <f t="shared" si="38"/>
        <v>2013</v>
      </c>
    </row>
    <row r="2456" spans="1:9">
      <c r="A2456" s="1">
        <v>10291</v>
      </c>
      <c r="B2456" s="1">
        <v>1</v>
      </c>
      <c r="C2456" s="2">
        <v>41487</v>
      </c>
      <c r="D2456" s="1" t="s">
        <v>2005</v>
      </c>
      <c r="E2456" s="1">
        <v>101391</v>
      </c>
      <c r="F2456" s="6" t="s">
        <v>4458</v>
      </c>
      <c r="G2456" s="15" t="str">
        <f>VLOOKUP(A2456,Movie!A:D,4,FALSE)</f>
        <v>Warner Brothers</v>
      </c>
      <c r="H2456" s="14">
        <f>VLOOKUP(E2456,'Rental Transaction'!A:B,2,FALSE)</f>
        <v>216081</v>
      </c>
      <c r="I2456">
        <f t="shared" si="38"/>
        <v>2013</v>
      </c>
    </row>
    <row r="2457" spans="1:9">
      <c r="A2457" s="1">
        <v>10031</v>
      </c>
      <c r="B2457" s="1">
        <v>4</v>
      </c>
      <c r="C2457" s="2">
        <v>41487</v>
      </c>
      <c r="D2457" s="1" t="s">
        <v>2002</v>
      </c>
      <c r="E2457" s="1">
        <v>101392</v>
      </c>
      <c r="F2457" s="6" t="s">
        <v>4459</v>
      </c>
      <c r="G2457" s="15" t="str">
        <f>VLOOKUP(A2457,Movie!A:D,4,FALSE)</f>
        <v>Warner Brothers</v>
      </c>
      <c r="H2457" s="14">
        <f>VLOOKUP(E2457,'Rental Transaction'!A:B,2,FALSE)</f>
        <v>918682</v>
      </c>
      <c r="I2457">
        <f t="shared" si="38"/>
        <v>2013</v>
      </c>
    </row>
    <row r="2458" spans="1:9">
      <c r="A2458" s="1">
        <v>10234</v>
      </c>
      <c r="B2458" s="1">
        <v>10</v>
      </c>
      <c r="C2458" s="2">
        <v>41488</v>
      </c>
      <c r="D2458" s="1" t="s">
        <v>2002</v>
      </c>
      <c r="E2458" s="1">
        <v>101393</v>
      </c>
      <c r="F2458" s="6" t="s">
        <v>4460</v>
      </c>
      <c r="G2458" s="15" t="str">
        <f>VLOOKUP(A2458,Movie!A:D,4,FALSE)</f>
        <v>Warner Brothers</v>
      </c>
      <c r="H2458" s="14">
        <f>VLOOKUP(E2458,'Rental Transaction'!A:B,2,FALSE)</f>
        <v>995599</v>
      </c>
      <c r="I2458">
        <f t="shared" si="38"/>
        <v>2013</v>
      </c>
    </row>
    <row r="2459" spans="1:9">
      <c r="A2459" s="1">
        <v>10017</v>
      </c>
      <c r="B2459" s="1">
        <v>3</v>
      </c>
      <c r="C2459" s="2">
        <v>41487</v>
      </c>
      <c r="D2459" s="1" t="s">
        <v>2005</v>
      </c>
      <c r="E2459" s="1">
        <v>101394</v>
      </c>
      <c r="F2459" s="6" t="s">
        <v>4461</v>
      </c>
      <c r="G2459" s="15" t="str">
        <f>VLOOKUP(A2459,Movie!A:D,4,FALSE)</f>
        <v>Sony</v>
      </c>
      <c r="H2459" s="14">
        <f>VLOOKUP(E2459,'Rental Transaction'!A:B,2,FALSE)</f>
        <v>689877</v>
      </c>
      <c r="I2459">
        <f t="shared" si="38"/>
        <v>2013</v>
      </c>
    </row>
    <row r="2460" spans="1:9">
      <c r="A2460" s="1">
        <v>10143</v>
      </c>
      <c r="B2460" s="1">
        <v>4</v>
      </c>
      <c r="C2460" s="2">
        <v>41487</v>
      </c>
      <c r="D2460" s="1" t="s">
        <v>2005</v>
      </c>
      <c r="E2460" s="1">
        <v>101395</v>
      </c>
      <c r="F2460" s="6" t="s">
        <v>4462</v>
      </c>
      <c r="G2460" s="15" t="str">
        <f>VLOOKUP(A2460,Movie!A:D,4,FALSE)</f>
        <v>Buena Vista</v>
      </c>
      <c r="H2460" s="14">
        <f>VLOOKUP(E2460,'Rental Transaction'!A:B,2,FALSE)</f>
        <v>660634</v>
      </c>
      <c r="I2460">
        <f t="shared" si="38"/>
        <v>2013</v>
      </c>
    </row>
    <row r="2461" spans="1:9">
      <c r="A2461" s="1">
        <v>10197</v>
      </c>
      <c r="B2461" s="1">
        <v>3</v>
      </c>
      <c r="C2461" s="2">
        <v>41487</v>
      </c>
      <c r="D2461" s="1" t="s">
        <v>2002</v>
      </c>
      <c r="E2461" s="1">
        <v>101395</v>
      </c>
      <c r="F2461" s="6" t="s">
        <v>4463</v>
      </c>
      <c r="G2461" s="15" t="str">
        <f>VLOOKUP(A2461,Movie!A:D,4,FALSE)</f>
        <v>Warner Brothers</v>
      </c>
      <c r="H2461" s="14">
        <f>VLOOKUP(E2461,'Rental Transaction'!A:B,2,FALSE)</f>
        <v>660634</v>
      </c>
      <c r="I2461">
        <f t="shared" si="38"/>
        <v>2013</v>
      </c>
    </row>
    <row r="2462" spans="1:9">
      <c r="A2462" s="1">
        <v>10059</v>
      </c>
      <c r="B2462" s="1">
        <v>3</v>
      </c>
      <c r="C2462" s="2">
        <v>41487</v>
      </c>
      <c r="D2462" s="1" t="s">
        <v>2002</v>
      </c>
      <c r="E2462" s="1">
        <v>101396</v>
      </c>
      <c r="F2462" s="6" t="s">
        <v>4464</v>
      </c>
      <c r="G2462" s="15" t="str">
        <f>VLOOKUP(A2462,Movie!A:D,4,FALSE)</f>
        <v>Universal</v>
      </c>
      <c r="H2462" s="14">
        <f>VLOOKUP(E2462,'Rental Transaction'!A:B,2,FALSE)</f>
        <v>593317</v>
      </c>
      <c r="I2462">
        <f t="shared" si="38"/>
        <v>2013</v>
      </c>
    </row>
    <row r="2463" spans="1:9">
      <c r="A2463" s="1">
        <v>10263</v>
      </c>
      <c r="B2463" s="1">
        <v>7</v>
      </c>
      <c r="C2463" s="2">
        <v>41489</v>
      </c>
      <c r="D2463" s="1" t="s">
        <v>2005</v>
      </c>
      <c r="E2463" s="1">
        <v>101397</v>
      </c>
      <c r="F2463" s="6" t="s">
        <v>4465</v>
      </c>
      <c r="G2463" s="15" t="str">
        <f>VLOOKUP(A2463,Movie!A:D,4,FALSE)</f>
        <v>Fox</v>
      </c>
      <c r="H2463" s="14">
        <f>VLOOKUP(E2463,'Rental Transaction'!A:B,2,FALSE)</f>
        <v>458448</v>
      </c>
      <c r="I2463">
        <f t="shared" si="38"/>
        <v>2013</v>
      </c>
    </row>
    <row r="2464" spans="1:9">
      <c r="A2464" s="1">
        <v>10119</v>
      </c>
      <c r="B2464" s="1">
        <v>1</v>
      </c>
      <c r="C2464" s="2">
        <v>41488</v>
      </c>
      <c r="D2464" s="1" t="s">
        <v>2002</v>
      </c>
      <c r="E2464" s="1">
        <v>101398</v>
      </c>
      <c r="F2464" s="6" t="s">
        <v>4466</v>
      </c>
      <c r="G2464" s="15" t="str">
        <f>VLOOKUP(A2464,Movie!A:D,4,FALSE)</f>
        <v>Universal</v>
      </c>
      <c r="H2464" s="14">
        <f>VLOOKUP(E2464,'Rental Transaction'!A:B,2,FALSE)</f>
        <v>448739</v>
      </c>
      <c r="I2464">
        <f t="shared" si="38"/>
        <v>2013</v>
      </c>
    </row>
    <row r="2465" spans="1:9">
      <c r="A2465" s="1">
        <v>10156</v>
      </c>
      <c r="B2465" s="1">
        <v>9</v>
      </c>
      <c r="C2465" s="2">
        <v>41490</v>
      </c>
      <c r="D2465" s="1" t="s">
        <v>2002</v>
      </c>
      <c r="E2465" s="1">
        <v>101399</v>
      </c>
      <c r="F2465" s="6" t="s">
        <v>4467</v>
      </c>
      <c r="G2465" s="15" t="str">
        <f>VLOOKUP(A2465,Movie!A:D,4,FALSE)</f>
        <v>Buena Vista</v>
      </c>
      <c r="H2465" s="14">
        <f>VLOOKUP(E2465,'Rental Transaction'!A:B,2,FALSE)</f>
        <v>193968</v>
      </c>
      <c r="I2465">
        <f t="shared" si="38"/>
        <v>2013</v>
      </c>
    </row>
    <row r="2466" spans="1:9">
      <c r="A2466" s="1">
        <v>10226</v>
      </c>
      <c r="B2466" s="1">
        <v>5</v>
      </c>
      <c r="C2466" s="2">
        <v>41489</v>
      </c>
      <c r="D2466" s="1" t="s">
        <v>2002</v>
      </c>
      <c r="E2466" s="1">
        <v>101399</v>
      </c>
      <c r="F2466" s="6" t="s">
        <v>4468</v>
      </c>
      <c r="G2466" s="15" t="str">
        <f>VLOOKUP(A2466,Movie!A:D,4,FALSE)</f>
        <v>Sony</v>
      </c>
      <c r="H2466" s="14">
        <f>VLOOKUP(E2466,'Rental Transaction'!A:B,2,FALSE)</f>
        <v>193968</v>
      </c>
      <c r="I2466">
        <f t="shared" si="38"/>
        <v>2013</v>
      </c>
    </row>
    <row r="2467" spans="1:9">
      <c r="A2467" s="1">
        <v>10056</v>
      </c>
      <c r="B2467" s="1">
        <v>10</v>
      </c>
      <c r="C2467" s="2">
        <v>41489</v>
      </c>
      <c r="D2467" s="1" t="s">
        <v>2005</v>
      </c>
      <c r="E2467" s="1">
        <v>101399</v>
      </c>
      <c r="F2467" s="6" t="s">
        <v>4469</v>
      </c>
      <c r="G2467" s="15" t="str">
        <f>VLOOKUP(A2467,Movie!A:D,4,FALSE)</f>
        <v>Screen Gems</v>
      </c>
      <c r="H2467" s="14">
        <f>VLOOKUP(E2467,'Rental Transaction'!A:B,2,FALSE)</f>
        <v>193968</v>
      </c>
      <c r="I2467">
        <f t="shared" si="38"/>
        <v>2013</v>
      </c>
    </row>
    <row r="2468" spans="1:9">
      <c r="A2468" s="1">
        <v>10274</v>
      </c>
      <c r="B2468" s="1">
        <v>4</v>
      </c>
      <c r="C2468" s="2">
        <v>41488</v>
      </c>
      <c r="D2468" s="1" t="s">
        <v>2005</v>
      </c>
      <c r="E2468" s="1">
        <v>101400</v>
      </c>
      <c r="F2468" s="6" t="s">
        <v>4470</v>
      </c>
      <c r="G2468" s="15" t="str">
        <f>VLOOKUP(A2468,Movie!A:D,4,FALSE)</f>
        <v>Fox</v>
      </c>
      <c r="H2468" s="14">
        <f>VLOOKUP(E2468,'Rental Transaction'!A:B,2,FALSE)</f>
        <v>306853</v>
      </c>
      <c r="I2468">
        <f t="shared" si="38"/>
        <v>2013</v>
      </c>
    </row>
    <row r="2469" spans="1:9">
      <c r="A2469" s="1">
        <v>10026</v>
      </c>
      <c r="B2469" s="1">
        <v>1</v>
      </c>
      <c r="C2469" s="2">
        <v>41491</v>
      </c>
      <c r="D2469" s="1" t="s">
        <v>2005</v>
      </c>
      <c r="E2469" s="1">
        <v>101400</v>
      </c>
      <c r="F2469" s="6" t="s">
        <v>4471</v>
      </c>
      <c r="G2469" s="15" t="str">
        <f>VLOOKUP(A2469,Movie!A:D,4,FALSE)</f>
        <v>Fox</v>
      </c>
      <c r="H2469" s="14">
        <f>VLOOKUP(E2469,'Rental Transaction'!A:B,2,FALSE)</f>
        <v>306853</v>
      </c>
      <c r="I2469">
        <f t="shared" si="38"/>
        <v>2013</v>
      </c>
    </row>
    <row r="2470" spans="1:9">
      <c r="A2470" s="1">
        <v>10210</v>
      </c>
      <c r="B2470" s="1">
        <v>9</v>
      </c>
      <c r="C2470" s="2">
        <v>41488</v>
      </c>
      <c r="D2470" s="1" t="s">
        <v>2005</v>
      </c>
      <c r="E2470" s="1">
        <v>101400</v>
      </c>
      <c r="F2470" s="6" t="s">
        <v>4472</v>
      </c>
      <c r="G2470" s="15" t="str">
        <f>VLOOKUP(A2470,Movie!A:D,4,FALSE)</f>
        <v>Sony</v>
      </c>
      <c r="H2470" s="14">
        <f>VLOOKUP(E2470,'Rental Transaction'!A:B,2,FALSE)</f>
        <v>306853</v>
      </c>
      <c r="I2470">
        <f t="shared" si="38"/>
        <v>2013</v>
      </c>
    </row>
    <row r="2471" spans="1:9">
      <c r="A2471" s="1">
        <v>10000</v>
      </c>
      <c r="B2471" s="1">
        <v>3</v>
      </c>
      <c r="C2471" s="2">
        <v>41488</v>
      </c>
      <c r="D2471" s="1" t="s">
        <v>2005</v>
      </c>
      <c r="E2471" s="1">
        <v>101401</v>
      </c>
      <c r="F2471" s="6" t="s">
        <v>4473</v>
      </c>
      <c r="G2471" s="15" t="str">
        <f>VLOOKUP(A2471,Movie!A:D,4,FALSE)</f>
        <v>TriStar</v>
      </c>
      <c r="H2471" s="14">
        <f>VLOOKUP(E2471,'Rental Transaction'!A:B,2,FALSE)</f>
        <v>803700</v>
      </c>
      <c r="I2471">
        <f t="shared" si="38"/>
        <v>2013</v>
      </c>
    </row>
    <row r="2472" spans="1:9">
      <c r="A2472" s="1">
        <v>10276</v>
      </c>
      <c r="B2472" s="1">
        <v>2</v>
      </c>
      <c r="C2472" s="2">
        <v>41488</v>
      </c>
      <c r="D2472" s="1" t="s">
        <v>2002</v>
      </c>
      <c r="E2472" s="1">
        <v>101402</v>
      </c>
      <c r="F2472" s="6" t="s">
        <v>4474</v>
      </c>
      <c r="G2472" s="15" t="str">
        <f>VLOOKUP(A2472,Movie!A:D,4,FALSE)</f>
        <v>FilmDistrict</v>
      </c>
      <c r="H2472" s="14">
        <f>VLOOKUP(E2472,'Rental Transaction'!A:B,2,FALSE)</f>
        <v>425051</v>
      </c>
      <c r="I2472">
        <f t="shared" si="38"/>
        <v>2013</v>
      </c>
    </row>
    <row r="2473" spans="1:9" ht="29.25">
      <c r="A2473" s="1">
        <v>10294</v>
      </c>
      <c r="B2473" s="1">
        <v>4</v>
      </c>
      <c r="C2473" s="2">
        <v>41488</v>
      </c>
      <c r="D2473" s="1" t="s">
        <v>2005</v>
      </c>
      <c r="E2473" s="1">
        <v>101402</v>
      </c>
      <c r="F2473" s="6" t="s">
        <v>4475</v>
      </c>
      <c r="G2473" s="15" t="str">
        <f>VLOOKUP(A2473,Movie!A:D,4,FALSE)</f>
        <v>Weinstein Company</v>
      </c>
      <c r="H2473" s="14">
        <f>VLOOKUP(E2473,'Rental Transaction'!A:B,2,FALSE)</f>
        <v>425051</v>
      </c>
      <c r="I2473">
        <f t="shared" si="38"/>
        <v>2013</v>
      </c>
    </row>
    <row r="2474" spans="1:9">
      <c r="A2474" s="1">
        <v>10155</v>
      </c>
      <c r="B2474" s="1">
        <v>7</v>
      </c>
      <c r="C2474" s="2">
        <v>41488</v>
      </c>
      <c r="D2474" s="1" t="s">
        <v>2002</v>
      </c>
      <c r="E2474" s="1">
        <v>101402</v>
      </c>
      <c r="F2474" s="6" t="s">
        <v>4476</v>
      </c>
      <c r="G2474" s="15" t="str">
        <f>VLOOKUP(A2474,Movie!A:D,4,FALSE)</f>
        <v>Fox</v>
      </c>
      <c r="H2474" s="14">
        <f>VLOOKUP(E2474,'Rental Transaction'!A:B,2,FALSE)</f>
        <v>425051</v>
      </c>
      <c r="I2474">
        <f t="shared" si="38"/>
        <v>2013</v>
      </c>
    </row>
    <row r="2475" spans="1:9">
      <c r="A2475" s="1">
        <v>10284</v>
      </c>
      <c r="B2475" s="1">
        <v>3</v>
      </c>
      <c r="C2475" s="2">
        <v>41488</v>
      </c>
      <c r="D2475" s="1" t="s">
        <v>2005</v>
      </c>
      <c r="E2475" s="1">
        <v>101403</v>
      </c>
      <c r="F2475" s="6" t="s">
        <v>4477</v>
      </c>
      <c r="G2475" s="15" t="str">
        <f>VLOOKUP(A2475,Movie!A:D,4,FALSE)</f>
        <v>Focus</v>
      </c>
      <c r="H2475" s="14">
        <f>VLOOKUP(E2475,'Rental Transaction'!A:B,2,FALSE)</f>
        <v>736500</v>
      </c>
      <c r="I2475">
        <f t="shared" si="38"/>
        <v>2013</v>
      </c>
    </row>
    <row r="2476" spans="1:9">
      <c r="A2476" s="1">
        <v>10127</v>
      </c>
      <c r="B2476" s="1">
        <v>10</v>
      </c>
      <c r="C2476" s="2">
        <v>41488</v>
      </c>
      <c r="D2476" s="1" t="s">
        <v>2005</v>
      </c>
      <c r="E2476" s="1">
        <v>101404</v>
      </c>
      <c r="F2476" s="6" t="s">
        <v>4478</v>
      </c>
      <c r="G2476" s="15" t="str">
        <f>VLOOKUP(A2476,Movie!A:D,4,FALSE)</f>
        <v>TriStar</v>
      </c>
      <c r="H2476" s="14">
        <f>VLOOKUP(E2476,'Rental Transaction'!A:B,2,FALSE)</f>
        <v>766737</v>
      </c>
      <c r="I2476">
        <f t="shared" si="38"/>
        <v>2013</v>
      </c>
    </row>
    <row r="2477" spans="1:9">
      <c r="A2477" s="1">
        <v>10206</v>
      </c>
      <c r="B2477" s="1">
        <v>8</v>
      </c>
      <c r="C2477" s="2">
        <v>41488</v>
      </c>
      <c r="D2477" s="1" t="s">
        <v>2002</v>
      </c>
      <c r="E2477" s="1">
        <v>101404</v>
      </c>
      <c r="F2477" s="6" t="s">
        <v>4479</v>
      </c>
      <c r="G2477" s="15" t="str">
        <f>VLOOKUP(A2477,Movie!A:D,4,FALSE)</f>
        <v>Fox</v>
      </c>
      <c r="H2477" s="14">
        <f>VLOOKUP(E2477,'Rental Transaction'!A:B,2,FALSE)</f>
        <v>766737</v>
      </c>
      <c r="I2477">
        <f t="shared" si="38"/>
        <v>2013</v>
      </c>
    </row>
    <row r="2478" spans="1:9">
      <c r="A2478" s="1">
        <v>10180</v>
      </c>
      <c r="B2478" s="1">
        <v>4</v>
      </c>
      <c r="C2478" s="2">
        <v>41488</v>
      </c>
      <c r="D2478" s="1" t="s">
        <v>2002</v>
      </c>
      <c r="E2478" s="1">
        <v>101405</v>
      </c>
      <c r="F2478" s="6" t="s">
        <v>4480</v>
      </c>
      <c r="G2478" s="15" t="str">
        <f>VLOOKUP(A2478,Movie!A:D,4,FALSE)</f>
        <v>Relativity</v>
      </c>
      <c r="H2478" s="14">
        <f>VLOOKUP(E2478,'Rental Transaction'!A:B,2,FALSE)</f>
        <v>193914</v>
      </c>
      <c r="I2478">
        <f t="shared" si="38"/>
        <v>2013</v>
      </c>
    </row>
    <row r="2479" spans="1:9">
      <c r="A2479" s="1">
        <v>10007</v>
      </c>
      <c r="B2479" s="1">
        <v>1</v>
      </c>
      <c r="C2479" s="2">
        <v>41489</v>
      </c>
      <c r="D2479" s="1" t="s">
        <v>2005</v>
      </c>
      <c r="E2479" s="1">
        <v>101405</v>
      </c>
      <c r="F2479" s="6" t="s">
        <v>4481</v>
      </c>
      <c r="G2479" s="15" t="str">
        <f>VLOOKUP(A2479,Movie!A:D,4,FALSE)</f>
        <v>Sony</v>
      </c>
      <c r="H2479" s="14">
        <f>VLOOKUP(E2479,'Rental Transaction'!A:B,2,FALSE)</f>
        <v>193914</v>
      </c>
      <c r="I2479">
        <f t="shared" si="38"/>
        <v>2013</v>
      </c>
    </row>
    <row r="2480" spans="1:9">
      <c r="A2480" s="1">
        <v>10172</v>
      </c>
      <c r="B2480" s="1">
        <v>8</v>
      </c>
      <c r="C2480" s="2">
        <v>41488</v>
      </c>
      <c r="D2480" s="1" t="s">
        <v>2002</v>
      </c>
      <c r="E2480" s="1">
        <v>101406</v>
      </c>
      <c r="F2480" s="6" t="s">
        <v>4482</v>
      </c>
      <c r="G2480" s="15" t="str">
        <f>VLOOKUP(A2480,Movie!A:D,4,FALSE)</f>
        <v>Lionsgate</v>
      </c>
      <c r="H2480" s="14">
        <f>VLOOKUP(E2480,'Rental Transaction'!A:B,2,FALSE)</f>
        <v>890651</v>
      </c>
      <c r="I2480">
        <f t="shared" si="38"/>
        <v>2013</v>
      </c>
    </row>
    <row r="2481" spans="1:9">
      <c r="A2481" s="1">
        <v>10242</v>
      </c>
      <c r="B2481" s="1">
        <v>4</v>
      </c>
      <c r="C2481" s="2">
        <v>41489</v>
      </c>
      <c r="D2481" s="1" t="s">
        <v>2005</v>
      </c>
      <c r="E2481" s="1">
        <v>101407</v>
      </c>
      <c r="F2481" s="6" t="s">
        <v>4483</v>
      </c>
      <c r="G2481" s="15" t="str">
        <f>VLOOKUP(A2481,Movie!A:D,4,FALSE)</f>
        <v>Buena Vista</v>
      </c>
      <c r="H2481" s="14">
        <f>VLOOKUP(E2481,'Rental Transaction'!A:B,2,FALSE)</f>
        <v>500828</v>
      </c>
      <c r="I2481">
        <f t="shared" si="38"/>
        <v>2013</v>
      </c>
    </row>
    <row r="2482" spans="1:9">
      <c r="A2482" s="1">
        <v>10261</v>
      </c>
      <c r="B2482" s="1">
        <v>10</v>
      </c>
      <c r="C2482" s="2">
        <v>41488</v>
      </c>
      <c r="D2482" s="1" t="s">
        <v>2005</v>
      </c>
      <c r="E2482" s="1">
        <v>101407</v>
      </c>
      <c r="F2482" s="6" t="s">
        <v>4484</v>
      </c>
      <c r="G2482" s="15" t="str">
        <f>VLOOKUP(A2482,Movie!A:D,4,FALSE)</f>
        <v>Fox</v>
      </c>
      <c r="H2482" s="14">
        <f>VLOOKUP(E2482,'Rental Transaction'!A:B,2,FALSE)</f>
        <v>500828</v>
      </c>
      <c r="I2482">
        <f t="shared" si="38"/>
        <v>2013</v>
      </c>
    </row>
    <row r="2483" spans="1:9">
      <c r="A2483" s="1">
        <v>10005</v>
      </c>
      <c r="B2483" s="1">
        <v>8</v>
      </c>
      <c r="C2483" s="2">
        <v>41488</v>
      </c>
      <c r="D2483" s="1" t="s">
        <v>2005</v>
      </c>
      <c r="E2483" s="1">
        <v>101407</v>
      </c>
      <c r="F2483" s="6" t="s">
        <v>4485</v>
      </c>
      <c r="G2483" s="15" t="str">
        <f>VLOOKUP(A2483,Movie!A:D,4,FALSE)</f>
        <v>Buena Vista</v>
      </c>
      <c r="H2483" s="14">
        <f>VLOOKUP(E2483,'Rental Transaction'!A:B,2,FALSE)</f>
        <v>500828</v>
      </c>
      <c r="I2483">
        <f t="shared" si="38"/>
        <v>2013</v>
      </c>
    </row>
    <row r="2484" spans="1:9">
      <c r="A2484" s="1">
        <v>10016</v>
      </c>
      <c r="B2484" s="1">
        <v>1</v>
      </c>
      <c r="C2484" s="2">
        <v>41490</v>
      </c>
      <c r="D2484" s="1" t="s">
        <v>2005</v>
      </c>
      <c r="E2484" s="1">
        <v>101408</v>
      </c>
      <c r="F2484" s="6" t="s">
        <v>4486</v>
      </c>
      <c r="G2484" s="15" t="str">
        <f>VLOOKUP(A2484,Movie!A:D,4,FALSE)</f>
        <v>Universal</v>
      </c>
      <c r="H2484" s="14">
        <f>VLOOKUP(E2484,'Rental Transaction'!A:B,2,FALSE)</f>
        <v>833180</v>
      </c>
      <c r="I2484">
        <f t="shared" si="38"/>
        <v>2013</v>
      </c>
    </row>
    <row r="2485" spans="1:9">
      <c r="A2485" s="1">
        <v>10020</v>
      </c>
      <c r="B2485" s="1">
        <v>4</v>
      </c>
      <c r="C2485" s="2">
        <v>41488</v>
      </c>
      <c r="D2485" s="1" t="s">
        <v>2002</v>
      </c>
      <c r="E2485" s="1">
        <v>101408</v>
      </c>
      <c r="F2485" s="6" t="s">
        <v>4487</v>
      </c>
      <c r="G2485" s="15" t="str">
        <f>VLOOKUP(A2485,Movie!A:D,4,FALSE)</f>
        <v>FilmDistrict</v>
      </c>
      <c r="H2485" s="14">
        <f>VLOOKUP(E2485,'Rental Transaction'!A:B,2,FALSE)</f>
        <v>833180</v>
      </c>
      <c r="I2485">
        <f t="shared" si="38"/>
        <v>2013</v>
      </c>
    </row>
    <row r="2486" spans="1:9">
      <c r="A2486" s="1">
        <v>10033</v>
      </c>
      <c r="B2486" s="1">
        <v>6</v>
      </c>
      <c r="C2486" s="2">
        <v>41489</v>
      </c>
      <c r="D2486" s="1" t="s">
        <v>2005</v>
      </c>
      <c r="E2486" s="1">
        <v>101409</v>
      </c>
      <c r="F2486" s="6" t="s">
        <v>4488</v>
      </c>
      <c r="G2486" s="15" t="str">
        <f>VLOOKUP(A2486,Movie!A:D,4,FALSE)</f>
        <v>Lionsgate</v>
      </c>
      <c r="H2486" s="14">
        <f>VLOOKUP(E2486,'Rental Transaction'!A:B,2,FALSE)</f>
        <v>974503</v>
      </c>
      <c r="I2486">
        <f t="shared" si="38"/>
        <v>2013</v>
      </c>
    </row>
    <row r="2487" spans="1:9">
      <c r="A2487" s="1">
        <v>10007</v>
      </c>
      <c r="B2487" s="1">
        <v>1</v>
      </c>
      <c r="C2487" s="2">
        <v>41489</v>
      </c>
      <c r="D2487" s="1" t="s">
        <v>2005</v>
      </c>
      <c r="E2487" s="1">
        <v>101409</v>
      </c>
      <c r="F2487" s="6" t="s">
        <v>4489</v>
      </c>
      <c r="G2487" s="15" t="str">
        <f>VLOOKUP(A2487,Movie!A:D,4,FALSE)</f>
        <v>Sony</v>
      </c>
      <c r="H2487" s="14">
        <f>VLOOKUP(E2487,'Rental Transaction'!A:B,2,FALSE)</f>
        <v>974503</v>
      </c>
      <c r="I2487">
        <f t="shared" si="38"/>
        <v>2013</v>
      </c>
    </row>
    <row r="2488" spans="1:9">
      <c r="A2488" s="1">
        <v>10130</v>
      </c>
      <c r="B2488" s="1">
        <v>3</v>
      </c>
      <c r="C2488" s="2">
        <v>41489</v>
      </c>
      <c r="D2488" s="1" t="s">
        <v>2005</v>
      </c>
      <c r="E2488" s="1">
        <v>101410</v>
      </c>
      <c r="F2488" s="6" t="s">
        <v>4490</v>
      </c>
      <c r="G2488" s="15" t="str">
        <f>VLOOKUP(A2488,Movie!A:D,4,FALSE)</f>
        <v>A24</v>
      </c>
      <c r="H2488" s="14">
        <f>VLOOKUP(E2488,'Rental Transaction'!A:B,2,FALSE)</f>
        <v>599995</v>
      </c>
      <c r="I2488">
        <f t="shared" si="38"/>
        <v>2013</v>
      </c>
    </row>
    <row r="2489" spans="1:9">
      <c r="A2489" s="1">
        <v>10065</v>
      </c>
      <c r="B2489" s="1">
        <v>3</v>
      </c>
      <c r="C2489" s="2">
        <v>41490</v>
      </c>
      <c r="D2489" s="1" t="s">
        <v>2005</v>
      </c>
      <c r="E2489" s="1">
        <v>101411</v>
      </c>
      <c r="F2489" s="6" t="s">
        <v>4491</v>
      </c>
      <c r="G2489" s="15" t="str">
        <f>VLOOKUP(A2489,Movie!A:D,4,FALSE)</f>
        <v>Warner Brothers</v>
      </c>
      <c r="H2489" s="14">
        <f>VLOOKUP(E2489,'Rental Transaction'!A:B,2,FALSE)</f>
        <v>196068</v>
      </c>
      <c r="I2489">
        <f t="shared" si="38"/>
        <v>2013</v>
      </c>
    </row>
    <row r="2490" spans="1:9">
      <c r="A2490" s="1">
        <v>10262</v>
      </c>
      <c r="B2490" s="1">
        <v>9</v>
      </c>
      <c r="C2490" s="2">
        <v>41489</v>
      </c>
      <c r="D2490" s="1" t="s">
        <v>2005</v>
      </c>
      <c r="E2490" s="1">
        <v>101412</v>
      </c>
      <c r="F2490" s="6" t="s">
        <v>4492</v>
      </c>
      <c r="G2490" s="15" t="str">
        <f>VLOOKUP(A2490,Movie!A:D,4,FALSE)</f>
        <v>Lionsgate</v>
      </c>
      <c r="H2490" s="14">
        <f>VLOOKUP(E2490,'Rental Transaction'!A:B,2,FALSE)</f>
        <v>241144</v>
      </c>
      <c r="I2490">
        <f t="shared" si="38"/>
        <v>2013</v>
      </c>
    </row>
    <row r="2491" spans="1:9">
      <c r="A2491" s="1">
        <v>10199</v>
      </c>
      <c r="B2491" s="1">
        <v>8</v>
      </c>
      <c r="C2491" s="2">
        <v>41489</v>
      </c>
      <c r="D2491" s="1" t="s">
        <v>2002</v>
      </c>
      <c r="E2491" s="1">
        <v>101412</v>
      </c>
      <c r="F2491" s="6" t="s">
        <v>4493</v>
      </c>
      <c r="G2491" s="15" t="str">
        <f>VLOOKUP(A2491,Movie!A:D,4,FALSE)</f>
        <v>Lionsgate</v>
      </c>
      <c r="H2491" s="14">
        <f>VLOOKUP(E2491,'Rental Transaction'!A:B,2,FALSE)</f>
        <v>241144</v>
      </c>
      <c r="I2491">
        <f t="shared" si="38"/>
        <v>2013</v>
      </c>
    </row>
    <row r="2492" spans="1:9">
      <c r="A2492" s="1">
        <v>10100</v>
      </c>
      <c r="B2492" s="1">
        <v>2</v>
      </c>
      <c r="C2492" s="2">
        <v>41489</v>
      </c>
      <c r="D2492" s="1" t="s">
        <v>2002</v>
      </c>
      <c r="E2492" s="1">
        <v>101413</v>
      </c>
      <c r="F2492" s="6" t="s">
        <v>4494</v>
      </c>
      <c r="G2492" s="15" t="str">
        <f>VLOOKUP(A2492,Movie!A:D,4,FALSE)</f>
        <v>Fox</v>
      </c>
      <c r="H2492" s="14">
        <f>VLOOKUP(E2492,'Rental Transaction'!A:B,2,FALSE)</f>
        <v>694281</v>
      </c>
      <c r="I2492">
        <f t="shared" si="38"/>
        <v>2013</v>
      </c>
    </row>
    <row r="2493" spans="1:9">
      <c r="A2493" s="1">
        <v>10116</v>
      </c>
      <c r="B2493" s="1">
        <v>4</v>
      </c>
      <c r="C2493" s="2">
        <v>41490</v>
      </c>
      <c r="D2493" s="1" t="s">
        <v>2005</v>
      </c>
      <c r="E2493" s="1">
        <v>101414</v>
      </c>
      <c r="F2493" s="6" t="s">
        <v>4495</v>
      </c>
      <c r="G2493" s="15" t="str">
        <f>VLOOKUP(A2493,Movie!A:D,4,FALSE)</f>
        <v>Universal</v>
      </c>
      <c r="H2493" s="14">
        <f>VLOOKUP(E2493,'Rental Transaction'!A:B,2,FALSE)</f>
        <v>199895</v>
      </c>
      <c r="I2493">
        <f t="shared" si="38"/>
        <v>2013</v>
      </c>
    </row>
    <row r="2494" spans="1:9">
      <c r="A2494" s="1">
        <v>10012</v>
      </c>
      <c r="B2494" s="1">
        <v>3</v>
      </c>
      <c r="C2494" s="2">
        <v>41489</v>
      </c>
      <c r="D2494" s="1" t="s">
        <v>2002</v>
      </c>
      <c r="E2494" s="1">
        <v>101414</v>
      </c>
      <c r="F2494" s="6" t="s">
        <v>4496</v>
      </c>
      <c r="G2494" s="15" t="str">
        <f>VLOOKUP(A2494,Movie!A:D,4,FALSE)</f>
        <v>Buena Vista</v>
      </c>
      <c r="H2494" s="14">
        <f>VLOOKUP(E2494,'Rental Transaction'!A:B,2,FALSE)</f>
        <v>199895</v>
      </c>
      <c r="I2494">
        <f t="shared" si="38"/>
        <v>2013</v>
      </c>
    </row>
    <row r="2495" spans="1:9">
      <c r="A2495" s="1">
        <v>10269</v>
      </c>
      <c r="B2495" s="1">
        <v>9</v>
      </c>
      <c r="C2495" s="2">
        <v>41489</v>
      </c>
      <c r="D2495" s="1" t="s">
        <v>2005</v>
      </c>
      <c r="E2495" s="1">
        <v>101415</v>
      </c>
      <c r="F2495" s="6" t="s">
        <v>4497</v>
      </c>
      <c r="G2495" s="15" t="str">
        <f>VLOOKUP(A2495,Movie!A:D,4,FALSE)</f>
        <v>Buena Vista</v>
      </c>
      <c r="H2495" s="14">
        <f>VLOOKUP(E2495,'Rental Transaction'!A:B,2,FALSE)</f>
        <v>999915</v>
      </c>
      <c r="I2495">
        <f t="shared" si="38"/>
        <v>2013</v>
      </c>
    </row>
    <row r="2496" spans="1:9" ht="29.25">
      <c r="A2496" s="1">
        <v>10249</v>
      </c>
      <c r="B2496" s="1">
        <v>9</v>
      </c>
      <c r="C2496" s="2">
        <v>41489</v>
      </c>
      <c r="D2496" s="1" t="s">
        <v>2005</v>
      </c>
      <c r="E2496" s="1">
        <v>101415</v>
      </c>
      <c r="F2496" s="6" t="s">
        <v>4498</v>
      </c>
      <c r="G2496" s="15" t="str">
        <f>VLOOKUP(A2496,Movie!A:D,4,FALSE)</f>
        <v>Summit Entertainment</v>
      </c>
      <c r="H2496" s="14">
        <f>VLOOKUP(E2496,'Rental Transaction'!A:B,2,FALSE)</f>
        <v>999915</v>
      </c>
      <c r="I2496">
        <f t="shared" si="38"/>
        <v>2013</v>
      </c>
    </row>
    <row r="2497" spans="1:9">
      <c r="A2497" s="1">
        <v>10208</v>
      </c>
      <c r="B2497" s="1">
        <v>6</v>
      </c>
      <c r="C2497" s="2">
        <v>41489</v>
      </c>
      <c r="D2497" s="1" t="s">
        <v>2002</v>
      </c>
      <c r="E2497" s="1">
        <v>101415</v>
      </c>
      <c r="F2497" s="6" t="s">
        <v>4499</v>
      </c>
      <c r="G2497" s="15" t="str">
        <f>VLOOKUP(A2497,Movie!A:D,4,FALSE)</f>
        <v>Warner Brothers</v>
      </c>
      <c r="H2497" s="14">
        <f>VLOOKUP(E2497,'Rental Transaction'!A:B,2,FALSE)</f>
        <v>999915</v>
      </c>
      <c r="I2497">
        <f t="shared" si="38"/>
        <v>2013</v>
      </c>
    </row>
    <row r="2498" spans="1:9">
      <c r="A2498" s="1">
        <v>10221</v>
      </c>
      <c r="B2498" s="1">
        <v>7</v>
      </c>
      <c r="C2498" s="2">
        <v>41489</v>
      </c>
      <c r="D2498" s="1" t="s">
        <v>2005</v>
      </c>
      <c r="E2498" s="1">
        <v>101416</v>
      </c>
      <c r="F2498" s="6" t="s">
        <v>4500</v>
      </c>
      <c r="G2498" s="15" t="str">
        <f>VLOOKUP(A2498,Movie!A:D,4,FALSE)</f>
        <v>Fox</v>
      </c>
      <c r="H2498" s="14">
        <f>VLOOKUP(E2498,'Rental Transaction'!A:B,2,FALSE)</f>
        <v>739669</v>
      </c>
      <c r="I2498">
        <f t="shared" si="38"/>
        <v>2013</v>
      </c>
    </row>
    <row r="2499" spans="1:9">
      <c r="A2499" s="1">
        <v>10141</v>
      </c>
      <c r="B2499" s="1">
        <v>10</v>
      </c>
      <c r="C2499" s="2">
        <v>41489</v>
      </c>
      <c r="D2499" s="1" t="s">
        <v>2005</v>
      </c>
      <c r="E2499" s="1">
        <v>101417</v>
      </c>
      <c r="F2499" s="6" t="s">
        <v>4501</v>
      </c>
      <c r="G2499" s="15" t="str">
        <f>VLOOKUP(A2499,Movie!A:D,4,FALSE)</f>
        <v>Warner Brothers</v>
      </c>
      <c r="H2499" s="14">
        <f>VLOOKUP(E2499,'Rental Transaction'!A:B,2,FALSE)</f>
        <v>628132</v>
      </c>
      <c r="I2499">
        <f t="shared" ref="I2499:I2562" si="39">YEAR(C2499)</f>
        <v>2013</v>
      </c>
    </row>
    <row r="2500" spans="1:9">
      <c r="A2500" s="1">
        <v>10120</v>
      </c>
      <c r="B2500" s="1">
        <v>7</v>
      </c>
      <c r="C2500" s="2">
        <v>41490</v>
      </c>
      <c r="D2500" s="1" t="s">
        <v>2005</v>
      </c>
      <c r="E2500" s="1">
        <v>101418</v>
      </c>
      <c r="F2500" s="6" t="s">
        <v>4502</v>
      </c>
      <c r="G2500" s="15" t="str">
        <f>VLOOKUP(A2500,Movie!A:D,4,FALSE)</f>
        <v>Focus</v>
      </c>
      <c r="H2500" s="14">
        <f>VLOOKUP(E2500,'Rental Transaction'!A:B,2,FALSE)</f>
        <v>173125</v>
      </c>
      <c r="I2500">
        <f t="shared" si="39"/>
        <v>2013</v>
      </c>
    </row>
    <row r="2501" spans="1:9">
      <c r="A2501" s="1">
        <v>10284</v>
      </c>
      <c r="B2501" s="1">
        <v>9</v>
      </c>
      <c r="C2501" s="2">
        <v>41489</v>
      </c>
      <c r="D2501" s="1" t="s">
        <v>2002</v>
      </c>
      <c r="E2501" s="1">
        <v>101418</v>
      </c>
      <c r="F2501" s="6" t="s">
        <v>4503</v>
      </c>
      <c r="G2501" s="15" t="str">
        <f>VLOOKUP(A2501,Movie!A:D,4,FALSE)</f>
        <v>Focus</v>
      </c>
      <c r="H2501" s="14">
        <f>VLOOKUP(E2501,'Rental Transaction'!A:B,2,FALSE)</f>
        <v>173125</v>
      </c>
      <c r="I2501">
        <f t="shared" si="39"/>
        <v>2013</v>
      </c>
    </row>
    <row r="2502" spans="1:9">
      <c r="A2502" s="1">
        <v>10237</v>
      </c>
      <c r="B2502" s="1">
        <v>5</v>
      </c>
      <c r="C2502" s="2">
        <v>41489</v>
      </c>
      <c r="D2502" s="1" t="s">
        <v>2005</v>
      </c>
      <c r="E2502" s="1">
        <v>101419</v>
      </c>
      <c r="F2502" s="6" t="s">
        <v>4504</v>
      </c>
      <c r="G2502" s="15" t="str">
        <f>VLOOKUP(A2502,Movie!A:D,4,FALSE)</f>
        <v>Warner Brothers</v>
      </c>
      <c r="H2502" s="14">
        <f>VLOOKUP(E2502,'Rental Transaction'!A:B,2,FALSE)</f>
        <v>116934</v>
      </c>
      <c r="I2502">
        <f t="shared" si="39"/>
        <v>2013</v>
      </c>
    </row>
    <row r="2503" spans="1:9">
      <c r="A2503" s="1">
        <v>10138</v>
      </c>
      <c r="B2503" s="1">
        <v>8</v>
      </c>
      <c r="C2503" s="2">
        <v>41491</v>
      </c>
      <c r="D2503" s="1" t="s">
        <v>2002</v>
      </c>
      <c r="E2503" s="1">
        <v>101419</v>
      </c>
      <c r="F2503" s="6" t="s">
        <v>4505</v>
      </c>
      <c r="G2503" s="15" t="str">
        <f>VLOOKUP(A2503,Movie!A:D,4,FALSE)</f>
        <v>Universal</v>
      </c>
      <c r="H2503" s="14">
        <f>VLOOKUP(E2503,'Rental Transaction'!A:B,2,FALSE)</f>
        <v>116934</v>
      </c>
      <c r="I2503">
        <f t="shared" si="39"/>
        <v>2013</v>
      </c>
    </row>
    <row r="2504" spans="1:9">
      <c r="A2504" s="1">
        <v>10056</v>
      </c>
      <c r="B2504" s="1">
        <v>5</v>
      </c>
      <c r="C2504" s="2">
        <v>41489</v>
      </c>
      <c r="D2504" s="1" t="s">
        <v>2002</v>
      </c>
      <c r="E2504" s="1">
        <v>101419</v>
      </c>
      <c r="F2504" s="6" t="s">
        <v>4506</v>
      </c>
      <c r="G2504" s="15" t="str">
        <f>VLOOKUP(A2504,Movie!A:D,4,FALSE)</f>
        <v>Screen Gems</v>
      </c>
      <c r="H2504" s="14">
        <f>VLOOKUP(E2504,'Rental Transaction'!A:B,2,FALSE)</f>
        <v>116934</v>
      </c>
      <c r="I2504">
        <f t="shared" si="39"/>
        <v>2013</v>
      </c>
    </row>
    <row r="2505" spans="1:9">
      <c r="A2505" s="1">
        <v>10146</v>
      </c>
      <c r="B2505" s="1">
        <v>5</v>
      </c>
      <c r="C2505" s="2">
        <v>41490</v>
      </c>
      <c r="D2505" s="1" t="s">
        <v>2005</v>
      </c>
      <c r="E2505" s="1">
        <v>101419</v>
      </c>
      <c r="F2505" s="6" t="s">
        <v>4507</v>
      </c>
      <c r="G2505" s="15" t="str">
        <f>VLOOKUP(A2505,Movie!A:D,4,FALSE)</f>
        <v>Sony</v>
      </c>
      <c r="H2505" s="14">
        <f>VLOOKUP(E2505,'Rental Transaction'!A:B,2,FALSE)</f>
        <v>116934</v>
      </c>
      <c r="I2505">
        <f t="shared" si="39"/>
        <v>2013</v>
      </c>
    </row>
    <row r="2506" spans="1:9">
      <c r="A2506" s="1">
        <v>10151</v>
      </c>
      <c r="B2506" s="1">
        <v>1</v>
      </c>
      <c r="C2506" s="2">
        <v>41490</v>
      </c>
      <c r="D2506" s="1" t="s">
        <v>2002</v>
      </c>
      <c r="E2506" s="1">
        <v>101419</v>
      </c>
      <c r="F2506" s="6" t="s">
        <v>4508</v>
      </c>
      <c r="G2506" s="15" t="str">
        <f>VLOOKUP(A2506,Movie!A:D,4,FALSE)</f>
        <v>Screen Gems</v>
      </c>
      <c r="H2506" s="14">
        <f>VLOOKUP(E2506,'Rental Transaction'!A:B,2,FALSE)</f>
        <v>116934</v>
      </c>
      <c r="I2506">
        <f t="shared" si="39"/>
        <v>2013</v>
      </c>
    </row>
    <row r="2507" spans="1:9">
      <c r="A2507" s="1">
        <v>10209</v>
      </c>
      <c r="B2507" s="1">
        <v>4</v>
      </c>
      <c r="C2507" s="2">
        <v>41490</v>
      </c>
      <c r="D2507" s="1" t="s">
        <v>2005</v>
      </c>
      <c r="E2507" s="1">
        <v>101420</v>
      </c>
      <c r="F2507" s="6" t="s">
        <v>4509</v>
      </c>
      <c r="G2507" s="15" t="str">
        <f>VLOOKUP(A2507,Movie!A:D,4,FALSE)</f>
        <v>Universal</v>
      </c>
      <c r="H2507" s="14">
        <f>VLOOKUP(E2507,'Rental Transaction'!A:B,2,FALSE)</f>
        <v>776775</v>
      </c>
      <c r="I2507">
        <f t="shared" si="39"/>
        <v>2013</v>
      </c>
    </row>
    <row r="2508" spans="1:9">
      <c r="A2508" s="1">
        <v>10091</v>
      </c>
      <c r="B2508" s="1">
        <v>6</v>
      </c>
      <c r="C2508" s="2">
        <v>41490</v>
      </c>
      <c r="D2508" s="1" t="s">
        <v>2002</v>
      </c>
      <c r="E2508" s="1">
        <v>101421</v>
      </c>
      <c r="F2508" s="6" t="s">
        <v>4510</v>
      </c>
      <c r="G2508" s="15" t="str">
        <f>VLOOKUP(A2508,Movie!A:D,4,FALSE)</f>
        <v>Warner Brothers</v>
      </c>
      <c r="H2508" s="14">
        <f>VLOOKUP(E2508,'Rental Transaction'!A:B,2,FALSE)</f>
        <v>196068</v>
      </c>
      <c r="I2508">
        <f t="shared" si="39"/>
        <v>2013</v>
      </c>
    </row>
    <row r="2509" spans="1:9">
      <c r="A2509" s="1">
        <v>10251</v>
      </c>
      <c r="B2509" s="1">
        <v>6</v>
      </c>
      <c r="C2509" s="2">
        <v>41491</v>
      </c>
      <c r="D2509" s="1" t="s">
        <v>2002</v>
      </c>
      <c r="E2509" s="1">
        <v>101421</v>
      </c>
      <c r="F2509" s="6" t="s">
        <v>4511</v>
      </c>
      <c r="G2509" s="15" t="str">
        <f>VLOOKUP(A2509,Movie!A:D,4,FALSE)</f>
        <v>Universal</v>
      </c>
      <c r="H2509" s="14">
        <f>VLOOKUP(E2509,'Rental Transaction'!A:B,2,FALSE)</f>
        <v>196068</v>
      </c>
      <c r="I2509">
        <f t="shared" si="39"/>
        <v>2013</v>
      </c>
    </row>
    <row r="2510" spans="1:9" ht="29.25">
      <c r="A2510" s="1">
        <v>10136</v>
      </c>
      <c r="B2510" s="1">
        <v>3</v>
      </c>
      <c r="C2510" s="2">
        <v>41490</v>
      </c>
      <c r="D2510" s="1" t="s">
        <v>2002</v>
      </c>
      <c r="E2510" s="1">
        <v>101422</v>
      </c>
      <c r="F2510" s="6" t="s">
        <v>4512</v>
      </c>
      <c r="G2510" s="15" t="str">
        <f>VLOOKUP(A2510,Movie!A:D,4,FALSE)</f>
        <v>Weinstein Company</v>
      </c>
      <c r="H2510" s="14">
        <f>VLOOKUP(E2510,'Rental Transaction'!A:B,2,FALSE)</f>
        <v>741398</v>
      </c>
      <c r="I2510">
        <f t="shared" si="39"/>
        <v>2013</v>
      </c>
    </row>
    <row r="2511" spans="1:9">
      <c r="A2511" s="1">
        <v>10235</v>
      </c>
      <c r="B2511" s="1">
        <v>2</v>
      </c>
      <c r="C2511" s="2">
        <v>41490</v>
      </c>
      <c r="D2511" s="1" t="s">
        <v>2005</v>
      </c>
      <c r="E2511" s="1">
        <v>101422</v>
      </c>
      <c r="F2511" s="6" t="s">
        <v>4513</v>
      </c>
      <c r="G2511" s="15" t="str">
        <f>VLOOKUP(A2511,Movie!A:D,4,FALSE)</f>
        <v>Lionsgate</v>
      </c>
      <c r="H2511" s="14">
        <f>VLOOKUP(E2511,'Rental Transaction'!A:B,2,FALSE)</f>
        <v>741398</v>
      </c>
      <c r="I2511">
        <f t="shared" si="39"/>
        <v>2013</v>
      </c>
    </row>
    <row r="2512" spans="1:9">
      <c r="A2512" s="1">
        <v>10244</v>
      </c>
      <c r="B2512" s="1">
        <v>3</v>
      </c>
      <c r="C2512" s="2">
        <v>41490</v>
      </c>
      <c r="D2512" s="1" t="s">
        <v>2002</v>
      </c>
      <c r="E2512" s="1">
        <v>101423</v>
      </c>
      <c r="F2512" s="6" t="s">
        <v>4514</v>
      </c>
      <c r="G2512" s="15" t="str">
        <f>VLOOKUP(A2512,Movie!A:D,4,FALSE)</f>
        <v>Sony</v>
      </c>
      <c r="H2512" s="14">
        <f>VLOOKUP(E2512,'Rental Transaction'!A:B,2,FALSE)</f>
        <v>425051</v>
      </c>
      <c r="I2512">
        <f t="shared" si="39"/>
        <v>2013</v>
      </c>
    </row>
    <row r="2513" spans="1:9">
      <c r="A2513" s="1">
        <v>10069</v>
      </c>
      <c r="B2513" s="1">
        <v>6</v>
      </c>
      <c r="C2513" s="2">
        <v>41490</v>
      </c>
      <c r="D2513" s="1" t="s">
        <v>2002</v>
      </c>
      <c r="E2513" s="1">
        <v>101424</v>
      </c>
      <c r="F2513" s="6" t="s">
        <v>4515</v>
      </c>
      <c r="G2513" s="15" t="str">
        <f>VLOOKUP(A2513,Movie!A:D,4,FALSE)</f>
        <v>Warner Brothers</v>
      </c>
      <c r="H2513" s="14">
        <f>VLOOKUP(E2513,'Rental Transaction'!A:B,2,FALSE)</f>
        <v>643214</v>
      </c>
      <c r="I2513">
        <f t="shared" si="39"/>
        <v>2013</v>
      </c>
    </row>
    <row r="2514" spans="1:9">
      <c r="A2514" s="1">
        <v>10210</v>
      </c>
      <c r="B2514" s="1">
        <v>9</v>
      </c>
      <c r="C2514" s="2">
        <v>41490</v>
      </c>
      <c r="D2514" s="1" t="s">
        <v>2005</v>
      </c>
      <c r="E2514" s="1">
        <v>101424</v>
      </c>
      <c r="F2514" s="6" t="s">
        <v>4516</v>
      </c>
      <c r="G2514" s="15" t="str">
        <f>VLOOKUP(A2514,Movie!A:D,4,FALSE)</f>
        <v>Sony</v>
      </c>
      <c r="H2514" s="14">
        <f>VLOOKUP(E2514,'Rental Transaction'!A:B,2,FALSE)</f>
        <v>643214</v>
      </c>
      <c r="I2514">
        <f t="shared" si="39"/>
        <v>2013</v>
      </c>
    </row>
    <row r="2515" spans="1:9">
      <c r="A2515" s="1">
        <v>10156</v>
      </c>
      <c r="B2515" s="1">
        <v>3</v>
      </c>
      <c r="C2515" s="2">
        <v>41491</v>
      </c>
      <c r="D2515" s="1" t="s">
        <v>2002</v>
      </c>
      <c r="E2515" s="1">
        <v>101424</v>
      </c>
      <c r="F2515" s="6" t="s">
        <v>4517</v>
      </c>
      <c r="G2515" s="15" t="str">
        <f>VLOOKUP(A2515,Movie!A:D,4,FALSE)</f>
        <v>Buena Vista</v>
      </c>
      <c r="H2515" s="14">
        <f>VLOOKUP(E2515,'Rental Transaction'!A:B,2,FALSE)</f>
        <v>643214</v>
      </c>
      <c r="I2515">
        <f t="shared" si="39"/>
        <v>2013</v>
      </c>
    </row>
    <row r="2516" spans="1:9">
      <c r="A2516" s="1">
        <v>10174</v>
      </c>
      <c r="B2516" s="1">
        <v>2</v>
      </c>
      <c r="C2516" s="2">
        <v>41490</v>
      </c>
      <c r="D2516" s="1" t="s">
        <v>2002</v>
      </c>
      <c r="E2516" s="1">
        <v>101425</v>
      </c>
      <c r="F2516" s="6" t="s">
        <v>4518</v>
      </c>
      <c r="G2516" s="15" t="str">
        <f>VLOOKUP(A2516,Movie!A:D,4,FALSE)</f>
        <v>Universal</v>
      </c>
      <c r="H2516" s="14">
        <f>VLOOKUP(E2516,'Rental Transaction'!A:B,2,FALSE)</f>
        <v>798336</v>
      </c>
      <c r="I2516">
        <f t="shared" si="39"/>
        <v>2013</v>
      </c>
    </row>
    <row r="2517" spans="1:9" ht="29.25">
      <c r="A2517" s="1">
        <v>10264</v>
      </c>
      <c r="B2517" s="1">
        <v>10</v>
      </c>
      <c r="C2517" s="2">
        <v>41490</v>
      </c>
      <c r="D2517" s="1" t="s">
        <v>2002</v>
      </c>
      <c r="E2517" s="1">
        <v>101426</v>
      </c>
      <c r="F2517" s="6" t="s">
        <v>4519</v>
      </c>
      <c r="G2517" s="15" t="str">
        <f>VLOOKUP(A2517,Movie!A:D,4,FALSE)</f>
        <v>Weinstein Company</v>
      </c>
      <c r="H2517" s="14">
        <f>VLOOKUP(E2517,'Rental Transaction'!A:B,2,FALSE)</f>
        <v>847289</v>
      </c>
      <c r="I2517">
        <f t="shared" si="39"/>
        <v>2013</v>
      </c>
    </row>
    <row r="2518" spans="1:9">
      <c r="A2518" s="1">
        <v>10283</v>
      </c>
      <c r="B2518" s="1">
        <v>4</v>
      </c>
      <c r="C2518" s="2">
        <v>41492</v>
      </c>
      <c r="D2518" s="1" t="s">
        <v>2002</v>
      </c>
      <c r="E2518" s="1">
        <v>101427</v>
      </c>
      <c r="F2518" s="6" t="s">
        <v>4520</v>
      </c>
      <c r="G2518" s="15" t="str">
        <f>VLOOKUP(A2518,Movie!A:D,4,FALSE)</f>
        <v>TriStar</v>
      </c>
      <c r="H2518" s="14">
        <f>VLOOKUP(E2518,'Rental Transaction'!A:B,2,FALSE)</f>
        <v>385115</v>
      </c>
      <c r="I2518">
        <f t="shared" si="39"/>
        <v>2013</v>
      </c>
    </row>
    <row r="2519" spans="1:9">
      <c r="A2519" s="1">
        <v>10257</v>
      </c>
      <c r="B2519" s="1">
        <v>9</v>
      </c>
      <c r="C2519" s="2">
        <v>41490</v>
      </c>
      <c r="D2519" s="1" t="s">
        <v>2005</v>
      </c>
      <c r="E2519" s="1">
        <v>101427</v>
      </c>
      <c r="F2519" s="6" t="s">
        <v>4521</v>
      </c>
      <c r="G2519" s="15" t="str">
        <f>VLOOKUP(A2519,Movie!A:D,4,FALSE)</f>
        <v>Fox</v>
      </c>
      <c r="H2519" s="14">
        <f>VLOOKUP(E2519,'Rental Transaction'!A:B,2,FALSE)</f>
        <v>385115</v>
      </c>
      <c r="I2519">
        <f t="shared" si="39"/>
        <v>2013</v>
      </c>
    </row>
    <row r="2520" spans="1:9">
      <c r="A2520" s="1">
        <v>10076</v>
      </c>
      <c r="B2520" s="1">
        <v>3</v>
      </c>
      <c r="C2520" s="2">
        <v>41490</v>
      </c>
      <c r="D2520" s="1" t="s">
        <v>2005</v>
      </c>
      <c r="E2520" s="1">
        <v>101427</v>
      </c>
      <c r="F2520" s="6" t="s">
        <v>4522</v>
      </c>
      <c r="G2520" s="15" t="str">
        <f>VLOOKUP(A2520,Movie!A:D,4,FALSE)</f>
        <v>Sony</v>
      </c>
      <c r="H2520" s="14">
        <f>VLOOKUP(E2520,'Rental Transaction'!A:B,2,FALSE)</f>
        <v>385115</v>
      </c>
      <c r="I2520">
        <f t="shared" si="39"/>
        <v>2013</v>
      </c>
    </row>
    <row r="2521" spans="1:9">
      <c r="A2521" s="1">
        <v>10058</v>
      </c>
      <c r="B2521" s="1">
        <v>3</v>
      </c>
      <c r="C2521" s="2">
        <v>41490</v>
      </c>
      <c r="D2521" s="1" t="s">
        <v>2002</v>
      </c>
      <c r="E2521" s="1">
        <v>101428</v>
      </c>
      <c r="F2521" s="6" t="s">
        <v>4523</v>
      </c>
      <c r="G2521" s="15" t="str">
        <f>VLOOKUP(A2521,Movie!A:D,4,FALSE)</f>
        <v>Sony</v>
      </c>
      <c r="H2521" s="14">
        <f>VLOOKUP(E2521,'Rental Transaction'!A:B,2,FALSE)</f>
        <v>344702</v>
      </c>
      <c r="I2521">
        <f t="shared" si="39"/>
        <v>2013</v>
      </c>
    </row>
    <row r="2522" spans="1:9">
      <c r="A2522" s="1">
        <v>10059</v>
      </c>
      <c r="B2522" s="1">
        <v>7</v>
      </c>
      <c r="C2522" s="2">
        <v>41491</v>
      </c>
      <c r="D2522" s="1" t="s">
        <v>2005</v>
      </c>
      <c r="E2522" s="1">
        <v>101428</v>
      </c>
      <c r="F2522" s="6" t="s">
        <v>4524</v>
      </c>
      <c r="G2522" s="15" t="str">
        <f>VLOOKUP(A2522,Movie!A:D,4,FALSE)</f>
        <v>Universal</v>
      </c>
      <c r="H2522" s="14">
        <f>VLOOKUP(E2522,'Rental Transaction'!A:B,2,FALSE)</f>
        <v>344702</v>
      </c>
      <c r="I2522">
        <f t="shared" si="39"/>
        <v>2013</v>
      </c>
    </row>
    <row r="2523" spans="1:9" ht="29.25">
      <c r="A2523" s="1">
        <v>10136</v>
      </c>
      <c r="B2523" s="1">
        <v>9</v>
      </c>
      <c r="C2523" s="2">
        <v>41491</v>
      </c>
      <c r="D2523" s="1" t="s">
        <v>2005</v>
      </c>
      <c r="E2523" s="1">
        <v>101428</v>
      </c>
      <c r="F2523" s="6" t="s">
        <v>4525</v>
      </c>
      <c r="G2523" s="15" t="str">
        <f>VLOOKUP(A2523,Movie!A:D,4,FALSE)</f>
        <v>Weinstein Company</v>
      </c>
      <c r="H2523" s="14">
        <f>VLOOKUP(E2523,'Rental Transaction'!A:B,2,FALSE)</f>
        <v>344702</v>
      </c>
      <c r="I2523">
        <f t="shared" si="39"/>
        <v>2013</v>
      </c>
    </row>
    <row r="2524" spans="1:9">
      <c r="A2524" s="1">
        <v>10157</v>
      </c>
      <c r="B2524" s="1">
        <v>4</v>
      </c>
      <c r="C2524" s="2">
        <v>41490</v>
      </c>
      <c r="D2524" s="1" t="s">
        <v>2002</v>
      </c>
      <c r="E2524" s="1">
        <v>101428</v>
      </c>
      <c r="F2524" s="6" t="s">
        <v>4526</v>
      </c>
      <c r="G2524" s="15" t="str">
        <f>VLOOKUP(A2524,Movie!A:D,4,FALSE)</f>
        <v>Paramount</v>
      </c>
      <c r="H2524" s="14">
        <f>VLOOKUP(E2524,'Rental Transaction'!A:B,2,FALSE)</f>
        <v>344702</v>
      </c>
      <c r="I2524">
        <f t="shared" si="39"/>
        <v>2013</v>
      </c>
    </row>
    <row r="2525" spans="1:9">
      <c r="A2525" s="1">
        <v>10202</v>
      </c>
      <c r="B2525" s="1">
        <v>7</v>
      </c>
      <c r="C2525" s="2">
        <v>41490</v>
      </c>
      <c r="D2525" s="1" t="s">
        <v>2002</v>
      </c>
      <c r="E2525" s="1">
        <v>101429</v>
      </c>
      <c r="F2525" s="6" t="s">
        <v>4527</v>
      </c>
      <c r="G2525" s="15" t="str">
        <f>VLOOKUP(A2525,Movie!A:D,4,FALSE)</f>
        <v>Warner Brothers</v>
      </c>
      <c r="H2525" s="14">
        <f>VLOOKUP(E2525,'Rental Transaction'!A:B,2,FALSE)</f>
        <v>448993</v>
      </c>
      <c r="I2525">
        <f t="shared" si="39"/>
        <v>2013</v>
      </c>
    </row>
    <row r="2526" spans="1:9">
      <c r="A2526" s="1">
        <v>10265</v>
      </c>
      <c r="B2526" s="1">
        <v>10</v>
      </c>
      <c r="C2526" s="2">
        <v>41491</v>
      </c>
      <c r="D2526" s="1" t="s">
        <v>2002</v>
      </c>
      <c r="E2526" s="1">
        <v>101430</v>
      </c>
      <c r="F2526" s="6" t="s">
        <v>4528</v>
      </c>
      <c r="G2526" s="15" t="str">
        <f>VLOOKUP(A2526,Movie!A:D,4,FALSE)</f>
        <v>Warner Brothers</v>
      </c>
      <c r="H2526" s="14">
        <f>VLOOKUP(E2526,'Rental Transaction'!A:B,2,FALSE)</f>
        <v>676155</v>
      </c>
      <c r="I2526">
        <f t="shared" si="39"/>
        <v>2013</v>
      </c>
    </row>
    <row r="2527" spans="1:9">
      <c r="A2527" s="1">
        <v>10156</v>
      </c>
      <c r="B2527" s="1">
        <v>8</v>
      </c>
      <c r="C2527" s="2">
        <v>41491</v>
      </c>
      <c r="D2527" s="1" t="s">
        <v>2002</v>
      </c>
      <c r="E2527" s="1">
        <v>101430</v>
      </c>
      <c r="F2527" s="6" t="s">
        <v>4529</v>
      </c>
      <c r="G2527" s="15" t="str">
        <f>VLOOKUP(A2527,Movie!A:D,4,FALSE)</f>
        <v>Buena Vista</v>
      </c>
      <c r="H2527" s="14">
        <f>VLOOKUP(E2527,'Rental Transaction'!A:B,2,FALSE)</f>
        <v>676155</v>
      </c>
      <c r="I2527">
        <f t="shared" si="39"/>
        <v>2013</v>
      </c>
    </row>
    <row r="2528" spans="1:9">
      <c r="A2528" s="1">
        <v>10184</v>
      </c>
      <c r="B2528" s="1">
        <v>7</v>
      </c>
      <c r="C2528" s="2">
        <v>41491</v>
      </c>
      <c r="D2528" s="1" t="s">
        <v>2002</v>
      </c>
      <c r="E2528" s="1">
        <v>101431</v>
      </c>
      <c r="F2528" s="6" t="s">
        <v>4530</v>
      </c>
      <c r="G2528" s="15" t="str">
        <f>VLOOKUP(A2528,Movie!A:D,4,FALSE)</f>
        <v>Universal</v>
      </c>
      <c r="H2528" s="14">
        <f>VLOOKUP(E2528,'Rental Transaction'!A:B,2,FALSE)</f>
        <v>517477</v>
      </c>
      <c r="I2528">
        <f t="shared" si="39"/>
        <v>2013</v>
      </c>
    </row>
    <row r="2529" spans="1:9">
      <c r="A2529" s="1">
        <v>10151</v>
      </c>
      <c r="B2529" s="1">
        <v>1</v>
      </c>
      <c r="C2529" s="2">
        <v>41492</v>
      </c>
      <c r="D2529" s="1" t="s">
        <v>2002</v>
      </c>
      <c r="E2529" s="1">
        <v>101432</v>
      </c>
      <c r="F2529" s="6" t="s">
        <v>4531</v>
      </c>
      <c r="G2529" s="15" t="str">
        <f>VLOOKUP(A2529,Movie!A:D,4,FALSE)</f>
        <v>Screen Gems</v>
      </c>
      <c r="H2529" s="14">
        <f>VLOOKUP(E2529,'Rental Transaction'!A:B,2,FALSE)</f>
        <v>412544</v>
      </c>
      <c r="I2529">
        <f t="shared" si="39"/>
        <v>2013</v>
      </c>
    </row>
    <row r="2530" spans="1:9">
      <c r="A2530" s="1">
        <v>10282</v>
      </c>
      <c r="B2530" s="1">
        <v>8</v>
      </c>
      <c r="C2530" s="2">
        <v>41491</v>
      </c>
      <c r="D2530" s="1" t="s">
        <v>2002</v>
      </c>
      <c r="E2530" s="1">
        <v>101433</v>
      </c>
      <c r="F2530" s="6" t="s">
        <v>4532</v>
      </c>
      <c r="G2530" s="15" t="str">
        <f>VLOOKUP(A2530,Movie!A:D,4,FALSE)</f>
        <v>Sony Classics</v>
      </c>
      <c r="H2530" s="14">
        <f>VLOOKUP(E2530,'Rental Transaction'!A:B,2,FALSE)</f>
        <v>944523</v>
      </c>
      <c r="I2530">
        <f t="shared" si="39"/>
        <v>2013</v>
      </c>
    </row>
    <row r="2531" spans="1:9">
      <c r="A2531" s="1">
        <v>10166</v>
      </c>
      <c r="B2531" s="1">
        <v>10</v>
      </c>
      <c r="C2531" s="2">
        <v>41491</v>
      </c>
      <c r="D2531" s="1" t="s">
        <v>2005</v>
      </c>
      <c r="E2531" s="1">
        <v>101433</v>
      </c>
      <c r="F2531" s="6" t="s">
        <v>4533</v>
      </c>
      <c r="G2531" s="15" t="str">
        <f>VLOOKUP(A2531,Movie!A:D,4,FALSE)</f>
        <v>Fox</v>
      </c>
      <c r="H2531" s="14">
        <f>VLOOKUP(E2531,'Rental Transaction'!A:B,2,FALSE)</f>
        <v>944523</v>
      </c>
      <c r="I2531">
        <f t="shared" si="39"/>
        <v>2013</v>
      </c>
    </row>
    <row r="2532" spans="1:9">
      <c r="A2532" s="1">
        <v>10236</v>
      </c>
      <c r="B2532" s="1">
        <v>9</v>
      </c>
      <c r="C2532" s="2">
        <v>41492</v>
      </c>
      <c r="D2532" s="1" t="s">
        <v>2002</v>
      </c>
      <c r="E2532" s="1">
        <v>101433</v>
      </c>
      <c r="F2532" s="6" t="s">
        <v>4534</v>
      </c>
      <c r="G2532" s="15" t="str">
        <f>VLOOKUP(A2532,Movie!A:D,4,FALSE)</f>
        <v>Lionsgate</v>
      </c>
      <c r="H2532" s="14">
        <f>VLOOKUP(E2532,'Rental Transaction'!A:B,2,FALSE)</f>
        <v>944523</v>
      </c>
      <c r="I2532">
        <f t="shared" si="39"/>
        <v>2013</v>
      </c>
    </row>
    <row r="2533" spans="1:9">
      <c r="A2533" s="1">
        <v>10041</v>
      </c>
      <c r="B2533" s="1">
        <v>1</v>
      </c>
      <c r="C2533" s="2">
        <v>41491</v>
      </c>
      <c r="D2533" s="1" t="s">
        <v>2002</v>
      </c>
      <c r="E2533" s="1">
        <v>101434</v>
      </c>
      <c r="F2533" s="6" t="s">
        <v>4535</v>
      </c>
      <c r="G2533" s="15" t="str">
        <f>VLOOKUP(A2533,Movie!A:D,4,FALSE)</f>
        <v>Lionsgate</v>
      </c>
      <c r="H2533" s="14">
        <f>VLOOKUP(E2533,'Rental Transaction'!A:B,2,FALSE)</f>
        <v>363931</v>
      </c>
      <c r="I2533">
        <f t="shared" si="39"/>
        <v>2013</v>
      </c>
    </row>
    <row r="2534" spans="1:9">
      <c r="A2534" s="1">
        <v>10109</v>
      </c>
      <c r="B2534" s="1">
        <v>5</v>
      </c>
      <c r="C2534" s="2">
        <v>41491</v>
      </c>
      <c r="D2534" s="1" t="s">
        <v>2002</v>
      </c>
      <c r="E2534" s="1">
        <v>101434</v>
      </c>
      <c r="F2534" s="6" t="s">
        <v>4536</v>
      </c>
      <c r="G2534" s="15" t="str">
        <f>VLOOKUP(A2534,Movie!A:D,4,FALSE)</f>
        <v>Warner Brothers</v>
      </c>
      <c r="H2534" s="14">
        <f>VLOOKUP(E2534,'Rental Transaction'!A:B,2,FALSE)</f>
        <v>363931</v>
      </c>
      <c r="I2534">
        <f t="shared" si="39"/>
        <v>2013</v>
      </c>
    </row>
    <row r="2535" spans="1:9">
      <c r="A2535" s="1">
        <v>10134</v>
      </c>
      <c r="B2535" s="1">
        <v>6</v>
      </c>
      <c r="C2535" s="2">
        <v>41491</v>
      </c>
      <c r="D2535" s="1" t="s">
        <v>2005</v>
      </c>
      <c r="E2535" s="1">
        <v>101435</v>
      </c>
      <c r="F2535" s="6" t="s">
        <v>4537</v>
      </c>
      <c r="G2535" s="15" t="str">
        <f>VLOOKUP(A2535,Movie!A:D,4,FALSE)</f>
        <v>Universal</v>
      </c>
      <c r="H2535" s="14">
        <f>VLOOKUP(E2535,'Rental Transaction'!A:B,2,FALSE)</f>
        <v>305005</v>
      </c>
      <c r="I2535">
        <f t="shared" si="39"/>
        <v>2013</v>
      </c>
    </row>
    <row r="2536" spans="1:9">
      <c r="A2536" s="1">
        <v>10238</v>
      </c>
      <c r="B2536" s="1">
        <v>2</v>
      </c>
      <c r="C2536" s="2">
        <v>41491</v>
      </c>
      <c r="D2536" s="1" t="s">
        <v>2005</v>
      </c>
      <c r="E2536" s="1">
        <v>101436</v>
      </c>
      <c r="F2536" s="6" t="s">
        <v>4538</v>
      </c>
      <c r="G2536" s="15" t="str">
        <f>VLOOKUP(A2536,Movie!A:D,4,FALSE)</f>
        <v>Warner Brothers</v>
      </c>
      <c r="H2536" s="14">
        <f>VLOOKUP(E2536,'Rental Transaction'!A:B,2,FALSE)</f>
        <v>277310</v>
      </c>
      <c r="I2536">
        <f t="shared" si="39"/>
        <v>2013</v>
      </c>
    </row>
    <row r="2537" spans="1:9">
      <c r="A2537" s="1">
        <v>10205</v>
      </c>
      <c r="B2537" s="1">
        <v>10</v>
      </c>
      <c r="C2537" s="2">
        <v>41491</v>
      </c>
      <c r="D2537" s="1" t="s">
        <v>2005</v>
      </c>
      <c r="E2537" s="1">
        <v>101436</v>
      </c>
      <c r="F2537" s="6" t="s">
        <v>4539</v>
      </c>
      <c r="G2537" s="15" t="str">
        <f>VLOOKUP(A2537,Movie!A:D,4,FALSE)</f>
        <v>Paramount</v>
      </c>
      <c r="H2537" s="14">
        <f>VLOOKUP(E2537,'Rental Transaction'!A:B,2,FALSE)</f>
        <v>277310</v>
      </c>
      <c r="I2537">
        <f t="shared" si="39"/>
        <v>2013</v>
      </c>
    </row>
    <row r="2538" spans="1:9">
      <c r="A2538" s="1">
        <v>10214</v>
      </c>
      <c r="B2538" s="1">
        <v>1</v>
      </c>
      <c r="C2538" s="2">
        <v>41491</v>
      </c>
      <c r="D2538" s="1" t="s">
        <v>2002</v>
      </c>
      <c r="E2538" s="1">
        <v>101437</v>
      </c>
      <c r="F2538" s="6" t="s">
        <v>4540</v>
      </c>
      <c r="G2538" s="15" t="str">
        <f>VLOOKUP(A2538,Movie!A:D,4,FALSE)</f>
        <v>RM</v>
      </c>
      <c r="H2538" s="14">
        <f>VLOOKUP(E2538,'Rental Transaction'!A:B,2,FALSE)</f>
        <v>317461</v>
      </c>
      <c r="I2538">
        <f t="shared" si="39"/>
        <v>2013</v>
      </c>
    </row>
    <row r="2539" spans="1:9">
      <c r="A2539" s="1">
        <v>10090</v>
      </c>
      <c r="B2539" s="1">
        <v>10</v>
      </c>
      <c r="C2539" s="2">
        <v>41491</v>
      </c>
      <c r="D2539" s="1" t="s">
        <v>2002</v>
      </c>
      <c r="E2539" s="1">
        <v>101438</v>
      </c>
      <c r="F2539" s="6" t="s">
        <v>4541</v>
      </c>
      <c r="G2539" s="15" t="str">
        <f>VLOOKUP(A2539,Movie!A:D,4,FALSE)</f>
        <v>Paramount</v>
      </c>
      <c r="H2539" s="14">
        <f>VLOOKUP(E2539,'Rental Transaction'!A:B,2,FALSE)</f>
        <v>796796</v>
      </c>
      <c r="I2539">
        <f t="shared" si="39"/>
        <v>2013</v>
      </c>
    </row>
    <row r="2540" spans="1:9">
      <c r="A2540" s="1">
        <v>10132</v>
      </c>
      <c r="B2540" s="1">
        <v>6</v>
      </c>
      <c r="C2540" s="2">
        <v>41491</v>
      </c>
      <c r="D2540" s="1" t="s">
        <v>2005</v>
      </c>
      <c r="E2540" s="1">
        <v>101439</v>
      </c>
      <c r="F2540" s="6" t="s">
        <v>4542</v>
      </c>
      <c r="G2540" s="15" t="str">
        <f>VLOOKUP(A2540,Movie!A:D,4,FALSE)</f>
        <v>Lionsgate</v>
      </c>
      <c r="H2540" s="14">
        <f>VLOOKUP(E2540,'Rental Transaction'!A:B,2,FALSE)</f>
        <v>944523</v>
      </c>
      <c r="I2540">
        <f t="shared" si="39"/>
        <v>2013</v>
      </c>
    </row>
    <row r="2541" spans="1:9">
      <c r="A2541" s="1">
        <v>10129</v>
      </c>
      <c r="B2541" s="1">
        <v>9</v>
      </c>
      <c r="C2541" s="2">
        <v>41492</v>
      </c>
      <c r="D2541" s="1" t="s">
        <v>2002</v>
      </c>
      <c r="E2541" s="1">
        <v>101440</v>
      </c>
      <c r="F2541" s="6" t="s">
        <v>4543</v>
      </c>
      <c r="G2541" s="15" t="str">
        <f>VLOOKUP(A2541,Movie!A:D,4,FALSE)</f>
        <v>Warner Brothers</v>
      </c>
      <c r="H2541" s="14">
        <f>VLOOKUP(E2541,'Rental Transaction'!A:B,2,FALSE)</f>
        <v>706101</v>
      </c>
      <c r="I2541">
        <f t="shared" si="39"/>
        <v>2013</v>
      </c>
    </row>
    <row r="2542" spans="1:9">
      <c r="A2542" s="1">
        <v>10272</v>
      </c>
      <c r="B2542" s="1">
        <v>5</v>
      </c>
      <c r="C2542" s="2">
        <v>41491</v>
      </c>
      <c r="D2542" s="1" t="s">
        <v>2005</v>
      </c>
      <c r="E2542" s="1">
        <v>101440</v>
      </c>
      <c r="F2542" s="6" t="s">
        <v>4544</v>
      </c>
      <c r="G2542" s="15" t="str">
        <f>VLOOKUP(A2542,Movie!A:D,4,FALSE)</f>
        <v>Sony</v>
      </c>
      <c r="H2542" s="14">
        <f>VLOOKUP(E2542,'Rental Transaction'!A:B,2,FALSE)</f>
        <v>706101</v>
      </c>
      <c r="I2542">
        <f t="shared" si="39"/>
        <v>2013</v>
      </c>
    </row>
    <row r="2543" spans="1:9">
      <c r="A2543" s="1">
        <v>10120</v>
      </c>
      <c r="B2543" s="1">
        <v>2</v>
      </c>
      <c r="C2543" s="2">
        <v>41491</v>
      </c>
      <c r="D2543" s="1" t="s">
        <v>2002</v>
      </c>
      <c r="E2543" s="1">
        <v>101440</v>
      </c>
      <c r="F2543" s="6" t="s">
        <v>4545</v>
      </c>
      <c r="G2543" s="15" t="str">
        <f>VLOOKUP(A2543,Movie!A:D,4,FALSE)</f>
        <v>Focus</v>
      </c>
      <c r="H2543" s="14">
        <f>VLOOKUP(E2543,'Rental Transaction'!A:B,2,FALSE)</f>
        <v>706101</v>
      </c>
      <c r="I2543">
        <f t="shared" si="39"/>
        <v>2013</v>
      </c>
    </row>
    <row r="2544" spans="1:9" ht="29.25">
      <c r="A2544" s="1">
        <v>10264</v>
      </c>
      <c r="B2544" s="1">
        <v>10</v>
      </c>
      <c r="C2544" s="2">
        <v>41491</v>
      </c>
      <c r="D2544" s="1" t="s">
        <v>2002</v>
      </c>
      <c r="E2544" s="1">
        <v>101441</v>
      </c>
      <c r="F2544" s="6" t="s">
        <v>4546</v>
      </c>
      <c r="G2544" s="15" t="str">
        <f>VLOOKUP(A2544,Movie!A:D,4,FALSE)</f>
        <v>Weinstein Company</v>
      </c>
      <c r="H2544" s="14">
        <f>VLOOKUP(E2544,'Rental Transaction'!A:B,2,FALSE)</f>
        <v>813719</v>
      </c>
      <c r="I2544">
        <f t="shared" si="39"/>
        <v>2013</v>
      </c>
    </row>
    <row r="2545" spans="1:9">
      <c r="A2545" s="1">
        <v>10178</v>
      </c>
      <c r="B2545" s="1">
        <v>6</v>
      </c>
      <c r="C2545" s="2">
        <v>41492</v>
      </c>
      <c r="D2545" s="1" t="s">
        <v>2002</v>
      </c>
      <c r="E2545" s="1">
        <v>101442</v>
      </c>
      <c r="F2545" s="6" t="s">
        <v>4547</v>
      </c>
      <c r="G2545" s="15" t="str">
        <f>VLOOKUP(A2545,Movie!A:D,4,FALSE)</f>
        <v>Warner Brothers</v>
      </c>
      <c r="H2545" s="14">
        <f>VLOOKUP(E2545,'Rental Transaction'!A:B,2,FALSE)</f>
        <v>864896</v>
      </c>
      <c r="I2545">
        <f t="shared" si="39"/>
        <v>2013</v>
      </c>
    </row>
    <row r="2546" spans="1:9">
      <c r="A2546" s="1">
        <v>10014</v>
      </c>
      <c r="B2546" s="1">
        <v>2</v>
      </c>
      <c r="C2546" s="2">
        <v>41492</v>
      </c>
      <c r="D2546" s="1" t="s">
        <v>2005</v>
      </c>
      <c r="E2546" s="1">
        <v>101442</v>
      </c>
      <c r="F2546" s="6" t="s">
        <v>4548</v>
      </c>
      <c r="G2546" s="15" t="str">
        <f>VLOOKUP(A2546,Movie!A:D,4,FALSE)</f>
        <v>Warner Brothers</v>
      </c>
      <c r="H2546" s="14">
        <f>VLOOKUP(E2546,'Rental Transaction'!A:B,2,FALSE)</f>
        <v>864896</v>
      </c>
      <c r="I2546">
        <f t="shared" si="39"/>
        <v>2013</v>
      </c>
    </row>
    <row r="2547" spans="1:9">
      <c r="A2547" s="1">
        <v>10187</v>
      </c>
      <c r="B2547" s="1">
        <v>4</v>
      </c>
      <c r="C2547" s="2">
        <v>41491</v>
      </c>
      <c r="D2547" s="1" t="s">
        <v>2005</v>
      </c>
      <c r="E2547" s="1">
        <v>101442</v>
      </c>
      <c r="F2547" s="6" t="s">
        <v>4549</v>
      </c>
      <c r="G2547" s="15" t="str">
        <f>VLOOKUP(A2547,Movie!A:D,4,FALSE)</f>
        <v>Paramount</v>
      </c>
      <c r="H2547" s="14">
        <f>VLOOKUP(E2547,'Rental Transaction'!A:B,2,FALSE)</f>
        <v>864896</v>
      </c>
      <c r="I2547">
        <f t="shared" si="39"/>
        <v>2013</v>
      </c>
    </row>
    <row r="2548" spans="1:9" ht="29.25">
      <c r="A2548" s="1">
        <v>10136</v>
      </c>
      <c r="B2548" s="1">
        <v>2</v>
      </c>
      <c r="C2548" s="2">
        <v>41491</v>
      </c>
      <c r="D2548" s="1" t="s">
        <v>2002</v>
      </c>
      <c r="E2548" s="1">
        <v>101443</v>
      </c>
      <c r="F2548" s="6" t="s">
        <v>4550</v>
      </c>
      <c r="G2548" s="15" t="str">
        <f>VLOOKUP(A2548,Movie!A:D,4,FALSE)</f>
        <v>Weinstein Company</v>
      </c>
      <c r="H2548" s="14">
        <f>VLOOKUP(E2548,'Rental Transaction'!A:B,2,FALSE)</f>
        <v>147216</v>
      </c>
      <c r="I2548">
        <f t="shared" si="39"/>
        <v>2013</v>
      </c>
    </row>
    <row r="2549" spans="1:9">
      <c r="A2549" s="1">
        <v>10059</v>
      </c>
      <c r="B2549" s="1">
        <v>8</v>
      </c>
      <c r="C2549" s="2">
        <v>41491</v>
      </c>
      <c r="D2549" s="1" t="s">
        <v>2002</v>
      </c>
      <c r="E2549" s="1">
        <v>101443</v>
      </c>
      <c r="F2549" s="6" t="s">
        <v>4551</v>
      </c>
      <c r="G2549" s="15" t="str">
        <f>VLOOKUP(A2549,Movie!A:D,4,FALSE)</f>
        <v>Universal</v>
      </c>
      <c r="H2549" s="14">
        <f>VLOOKUP(E2549,'Rental Transaction'!A:B,2,FALSE)</f>
        <v>147216</v>
      </c>
      <c r="I2549">
        <f t="shared" si="39"/>
        <v>2013</v>
      </c>
    </row>
    <row r="2550" spans="1:9">
      <c r="A2550" s="1">
        <v>10158</v>
      </c>
      <c r="B2550" s="1">
        <v>2</v>
      </c>
      <c r="C2550" s="2">
        <v>41493</v>
      </c>
      <c r="D2550" s="1" t="s">
        <v>2002</v>
      </c>
      <c r="E2550" s="1">
        <v>101443</v>
      </c>
      <c r="F2550" s="6" t="s">
        <v>4552</v>
      </c>
      <c r="G2550" s="15" t="str">
        <f>VLOOKUP(A2550,Movie!A:D,4,FALSE)</f>
        <v>Warner Brothers</v>
      </c>
      <c r="H2550" s="14">
        <f>VLOOKUP(E2550,'Rental Transaction'!A:B,2,FALSE)</f>
        <v>147216</v>
      </c>
      <c r="I2550">
        <f t="shared" si="39"/>
        <v>2013</v>
      </c>
    </row>
    <row r="2551" spans="1:9" ht="29.25">
      <c r="A2551" s="1">
        <v>10136</v>
      </c>
      <c r="B2551" s="1">
        <v>4</v>
      </c>
      <c r="C2551" s="2">
        <v>41492</v>
      </c>
      <c r="D2551" s="1" t="s">
        <v>2005</v>
      </c>
      <c r="E2551" s="1">
        <v>101443</v>
      </c>
      <c r="F2551" s="6" t="s">
        <v>4553</v>
      </c>
      <c r="G2551" s="15" t="str">
        <f>VLOOKUP(A2551,Movie!A:D,4,FALSE)</f>
        <v>Weinstein Company</v>
      </c>
      <c r="H2551" s="14">
        <f>VLOOKUP(E2551,'Rental Transaction'!A:B,2,FALSE)</f>
        <v>147216</v>
      </c>
      <c r="I2551">
        <f t="shared" si="39"/>
        <v>2013</v>
      </c>
    </row>
    <row r="2552" spans="1:9">
      <c r="A2552" s="1">
        <v>10292</v>
      </c>
      <c r="B2552" s="1">
        <v>10</v>
      </c>
      <c r="C2552" s="2">
        <v>41493</v>
      </c>
      <c r="D2552" s="1" t="s">
        <v>2005</v>
      </c>
      <c r="E2552" s="1">
        <v>101444</v>
      </c>
      <c r="F2552" s="6" t="s">
        <v>4554</v>
      </c>
      <c r="G2552" s="15" t="str">
        <f>VLOOKUP(A2552,Movie!A:D,4,FALSE)</f>
        <v>Sony Classics</v>
      </c>
      <c r="H2552" s="14">
        <f>VLOOKUP(E2552,'Rental Transaction'!A:B,2,FALSE)</f>
        <v>265339</v>
      </c>
      <c r="I2552">
        <f t="shared" si="39"/>
        <v>2013</v>
      </c>
    </row>
    <row r="2553" spans="1:9">
      <c r="A2553" s="1">
        <v>10018</v>
      </c>
      <c r="B2553" s="1">
        <v>4</v>
      </c>
      <c r="C2553" s="2">
        <v>41492</v>
      </c>
      <c r="D2553" s="1" t="s">
        <v>2005</v>
      </c>
      <c r="E2553" s="1">
        <v>101445</v>
      </c>
      <c r="F2553" s="6" t="s">
        <v>4555</v>
      </c>
      <c r="G2553" s="15" t="str">
        <f>VLOOKUP(A2553,Movie!A:D,4,FALSE)</f>
        <v>Fox</v>
      </c>
      <c r="H2553" s="14">
        <f>VLOOKUP(E2553,'Rental Transaction'!A:B,2,FALSE)</f>
        <v>317461</v>
      </c>
      <c r="I2553">
        <f t="shared" si="39"/>
        <v>2013</v>
      </c>
    </row>
    <row r="2554" spans="1:9">
      <c r="A2554" s="1">
        <v>10035</v>
      </c>
      <c r="B2554" s="1">
        <v>1</v>
      </c>
      <c r="C2554" s="2">
        <v>41493</v>
      </c>
      <c r="D2554" s="1" t="s">
        <v>2002</v>
      </c>
      <c r="E2554" s="1">
        <v>101446</v>
      </c>
      <c r="F2554" s="6" t="s">
        <v>4556</v>
      </c>
      <c r="G2554" s="15" t="str">
        <f>VLOOKUP(A2554,Movie!A:D,4,FALSE)</f>
        <v>Sony</v>
      </c>
      <c r="H2554" s="14">
        <f>VLOOKUP(E2554,'Rental Transaction'!A:B,2,FALSE)</f>
        <v>556152</v>
      </c>
      <c r="I2554">
        <f t="shared" si="39"/>
        <v>2013</v>
      </c>
    </row>
    <row r="2555" spans="1:9">
      <c r="A2555" s="1">
        <v>10056</v>
      </c>
      <c r="B2555" s="1">
        <v>9</v>
      </c>
      <c r="C2555" s="2">
        <v>41492</v>
      </c>
      <c r="D2555" s="1" t="s">
        <v>2002</v>
      </c>
      <c r="E2555" s="1">
        <v>101446</v>
      </c>
      <c r="F2555" s="6" t="s">
        <v>4557</v>
      </c>
      <c r="G2555" s="15" t="str">
        <f>VLOOKUP(A2555,Movie!A:D,4,FALSE)</f>
        <v>Screen Gems</v>
      </c>
      <c r="H2555" s="14">
        <f>VLOOKUP(E2555,'Rental Transaction'!A:B,2,FALSE)</f>
        <v>556152</v>
      </c>
      <c r="I2555">
        <f t="shared" si="39"/>
        <v>2013</v>
      </c>
    </row>
    <row r="2556" spans="1:9">
      <c r="A2556" s="1">
        <v>10228</v>
      </c>
      <c r="B2556" s="1">
        <v>8</v>
      </c>
      <c r="C2556" s="2">
        <v>41492</v>
      </c>
      <c r="D2556" s="1" t="s">
        <v>2002</v>
      </c>
      <c r="E2556" s="1">
        <v>101447</v>
      </c>
      <c r="F2556" s="6" t="s">
        <v>4558</v>
      </c>
      <c r="G2556" s="15" t="str">
        <f>VLOOKUP(A2556,Movie!A:D,4,FALSE)</f>
        <v>Universal</v>
      </c>
      <c r="H2556" s="14">
        <f>VLOOKUP(E2556,'Rental Transaction'!A:B,2,FALSE)</f>
        <v>954812</v>
      </c>
      <c r="I2556">
        <f t="shared" si="39"/>
        <v>2013</v>
      </c>
    </row>
    <row r="2557" spans="1:9">
      <c r="A2557" s="1">
        <v>10073</v>
      </c>
      <c r="B2557" s="1">
        <v>6</v>
      </c>
      <c r="C2557" s="2">
        <v>41492</v>
      </c>
      <c r="D2557" s="1" t="s">
        <v>2002</v>
      </c>
      <c r="E2557" s="1">
        <v>101448</v>
      </c>
      <c r="F2557" s="6" t="s">
        <v>4559</v>
      </c>
      <c r="G2557" s="15" t="str">
        <f>VLOOKUP(A2557,Movie!A:D,4,FALSE)</f>
        <v>FilmDistrict</v>
      </c>
      <c r="H2557" s="14">
        <f>VLOOKUP(E2557,'Rental Transaction'!A:B,2,FALSE)</f>
        <v>649551</v>
      </c>
      <c r="I2557">
        <f t="shared" si="39"/>
        <v>2013</v>
      </c>
    </row>
    <row r="2558" spans="1:9">
      <c r="A2558" s="1">
        <v>10098</v>
      </c>
      <c r="B2558" s="1">
        <v>10</v>
      </c>
      <c r="C2558" s="2">
        <v>41492</v>
      </c>
      <c r="D2558" s="1" t="s">
        <v>2005</v>
      </c>
      <c r="E2558" s="1">
        <v>101448</v>
      </c>
      <c r="F2558" s="6" t="s">
        <v>4560</v>
      </c>
      <c r="G2558" s="15" t="str">
        <f>VLOOKUP(A2558,Movie!A:D,4,FALSE)</f>
        <v>Warner Brothers</v>
      </c>
      <c r="H2558" s="14">
        <f>VLOOKUP(E2558,'Rental Transaction'!A:B,2,FALSE)</f>
        <v>649551</v>
      </c>
      <c r="I2558">
        <f t="shared" si="39"/>
        <v>2013</v>
      </c>
    </row>
    <row r="2559" spans="1:9">
      <c r="A2559" s="1">
        <v>10080</v>
      </c>
      <c r="B2559" s="1">
        <v>5</v>
      </c>
      <c r="C2559" s="2">
        <v>41493</v>
      </c>
      <c r="D2559" s="1" t="s">
        <v>2005</v>
      </c>
      <c r="E2559" s="1">
        <v>101448</v>
      </c>
      <c r="F2559" s="6" t="s">
        <v>4561</v>
      </c>
      <c r="G2559" s="15" t="str">
        <f>VLOOKUP(A2559,Movie!A:D,4,FALSE)</f>
        <v>Buena Vista</v>
      </c>
      <c r="H2559" s="14">
        <f>VLOOKUP(E2559,'Rental Transaction'!A:B,2,FALSE)</f>
        <v>649551</v>
      </c>
      <c r="I2559">
        <f t="shared" si="39"/>
        <v>2013</v>
      </c>
    </row>
    <row r="2560" spans="1:9">
      <c r="A2560" s="1">
        <v>10153</v>
      </c>
      <c r="B2560" s="1">
        <v>4</v>
      </c>
      <c r="C2560" s="2">
        <v>41492</v>
      </c>
      <c r="D2560" s="1" t="s">
        <v>2002</v>
      </c>
      <c r="E2560" s="1">
        <v>101449</v>
      </c>
      <c r="F2560" s="6" t="s">
        <v>4562</v>
      </c>
      <c r="G2560" s="15" t="str">
        <f>VLOOKUP(A2560,Movie!A:D,4,FALSE)</f>
        <v>Lionsgate</v>
      </c>
      <c r="H2560" s="14">
        <f>VLOOKUP(E2560,'Rental Transaction'!A:B,2,FALSE)</f>
        <v>813719</v>
      </c>
      <c r="I2560">
        <f t="shared" si="39"/>
        <v>2013</v>
      </c>
    </row>
    <row r="2561" spans="1:9">
      <c r="A2561" s="1">
        <v>10188</v>
      </c>
      <c r="B2561" s="1">
        <v>10</v>
      </c>
      <c r="C2561" s="2">
        <v>41494</v>
      </c>
      <c r="D2561" s="1" t="s">
        <v>2005</v>
      </c>
      <c r="E2561" s="1">
        <v>101449</v>
      </c>
      <c r="F2561" s="6" t="s">
        <v>4563</v>
      </c>
      <c r="G2561" s="15" t="str">
        <f>VLOOKUP(A2561,Movie!A:D,4,FALSE)</f>
        <v>Paramount</v>
      </c>
      <c r="H2561" s="14">
        <f>VLOOKUP(E2561,'Rental Transaction'!A:B,2,FALSE)</f>
        <v>813719</v>
      </c>
      <c r="I2561">
        <f t="shared" si="39"/>
        <v>2013</v>
      </c>
    </row>
    <row r="2562" spans="1:9">
      <c r="A2562" s="1">
        <v>10170</v>
      </c>
      <c r="B2562" s="1">
        <v>6</v>
      </c>
      <c r="C2562" s="2">
        <v>41493</v>
      </c>
      <c r="D2562" s="1" t="s">
        <v>2005</v>
      </c>
      <c r="E2562" s="1">
        <v>101450</v>
      </c>
      <c r="F2562" s="6" t="s">
        <v>4564</v>
      </c>
      <c r="G2562" s="15" t="str">
        <f>VLOOKUP(A2562,Movie!A:D,4,FALSE)</f>
        <v>Sony Classics</v>
      </c>
      <c r="H2562" s="14">
        <f>VLOOKUP(E2562,'Rental Transaction'!A:B,2,FALSE)</f>
        <v>193968</v>
      </c>
      <c r="I2562">
        <f t="shared" si="39"/>
        <v>2013</v>
      </c>
    </row>
    <row r="2563" spans="1:9">
      <c r="A2563" s="1">
        <v>10296</v>
      </c>
      <c r="B2563" s="1">
        <v>10</v>
      </c>
      <c r="C2563" s="2">
        <v>41492</v>
      </c>
      <c r="D2563" s="1" t="s">
        <v>2002</v>
      </c>
      <c r="E2563" s="1">
        <v>101451</v>
      </c>
      <c r="F2563" s="6" t="s">
        <v>4565</v>
      </c>
      <c r="G2563" s="15" t="str">
        <f>VLOOKUP(A2563,Movie!A:D,4,FALSE)</f>
        <v>A24</v>
      </c>
      <c r="H2563" s="14">
        <f>VLOOKUP(E2563,'Rental Transaction'!A:B,2,FALSE)</f>
        <v>447368</v>
      </c>
      <c r="I2563">
        <f t="shared" ref="I2563:I2626" si="40">YEAR(C2563)</f>
        <v>2013</v>
      </c>
    </row>
    <row r="2564" spans="1:9">
      <c r="A2564" s="1">
        <v>10025</v>
      </c>
      <c r="B2564" s="1">
        <v>2</v>
      </c>
      <c r="C2564" s="2">
        <v>41492</v>
      </c>
      <c r="D2564" s="1" t="s">
        <v>2002</v>
      </c>
      <c r="E2564" s="1">
        <v>101451</v>
      </c>
      <c r="F2564" s="6" t="s">
        <v>4566</v>
      </c>
      <c r="G2564" s="15" t="str">
        <f>VLOOKUP(A2564,Movie!A:D,4,FALSE)</f>
        <v>Sony</v>
      </c>
      <c r="H2564" s="14">
        <f>VLOOKUP(E2564,'Rental Transaction'!A:B,2,FALSE)</f>
        <v>447368</v>
      </c>
      <c r="I2564">
        <f t="shared" si="40"/>
        <v>2013</v>
      </c>
    </row>
    <row r="2565" spans="1:9" ht="29.25">
      <c r="A2565" s="1">
        <v>10165</v>
      </c>
      <c r="B2565" s="1">
        <v>1</v>
      </c>
      <c r="C2565" s="2">
        <v>41492</v>
      </c>
      <c r="D2565" s="1" t="s">
        <v>2002</v>
      </c>
      <c r="E2565" s="1">
        <v>101452</v>
      </c>
      <c r="F2565" s="6" t="s">
        <v>4567</v>
      </c>
      <c r="G2565" s="15" t="str">
        <f>VLOOKUP(A2565,Movie!A:D,4,FALSE)</f>
        <v>Weinstein Company</v>
      </c>
      <c r="H2565" s="14">
        <f>VLOOKUP(E2565,'Rental Transaction'!A:B,2,FALSE)</f>
        <v>478274</v>
      </c>
      <c r="I2565">
        <f t="shared" si="40"/>
        <v>2013</v>
      </c>
    </row>
    <row r="2566" spans="1:9">
      <c r="A2566" s="1">
        <v>10274</v>
      </c>
      <c r="B2566" s="1">
        <v>6</v>
      </c>
      <c r="C2566" s="2">
        <v>41492</v>
      </c>
      <c r="D2566" s="1" t="s">
        <v>2005</v>
      </c>
      <c r="E2566" s="1">
        <v>101452</v>
      </c>
      <c r="F2566" s="6" t="s">
        <v>4568</v>
      </c>
      <c r="G2566" s="15" t="str">
        <f>VLOOKUP(A2566,Movie!A:D,4,FALSE)</f>
        <v>Fox</v>
      </c>
      <c r="H2566" s="14">
        <f>VLOOKUP(E2566,'Rental Transaction'!A:B,2,FALSE)</f>
        <v>478274</v>
      </c>
      <c r="I2566">
        <f t="shared" si="40"/>
        <v>2013</v>
      </c>
    </row>
    <row r="2567" spans="1:9">
      <c r="A2567" s="1">
        <v>10031</v>
      </c>
      <c r="B2567" s="1">
        <v>4</v>
      </c>
      <c r="C2567" s="2">
        <v>41492</v>
      </c>
      <c r="D2567" s="1" t="s">
        <v>2002</v>
      </c>
      <c r="E2567" s="1">
        <v>101453</v>
      </c>
      <c r="F2567" s="6" t="s">
        <v>4569</v>
      </c>
      <c r="G2567" s="15" t="str">
        <f>VLOOKUP(A2567,Movie!A:D,4,FALSE)</f>
        <v>Warner Brothers</v>
      </c>
      <c r="H2567" s="14">
        <f>VLOOKUP(E2567,'Rental Transaction'!A:B,2,FALSE)</f>
        <v>298508</v>
      </c>
      <c r="I2567">
        <f t="shared" si="40"/>
        <v>2013</v>
      </c>
    </row>
    <row r="2568" spans="1:9">
      <c r="A2568" s="1">
        <v>10062</v>
      </c>
      <c r="B2568" s="1">
        <v>9</v>
      </c>
      <c r="C2568" s="2">
        <v>41493</v>
      </c>
      <c r="D2568" s="1" t="s">
        <v>2002</v>
      </c>
      <c r="E2568" s="1">
        <v>101453</v>
      </c>
      <c r="F2568" s="6" t="s">
        <v>4570</v>
      </c>
      <c r="G2568" s="15" t="str">
        <f>VLOOKUP(A2568,Movie!A:D,4,FALSE)</f>
        <v>FilmDistrict</v>
      </c>
      <c r="H2568" s="14">
        <f>VLOOKUP(E2568,'Rental Transaction'!A:B,2,FALSE)</f>
        <v>298508</v>
      </c>
      <c r="I2568">
        <f t="shared" si="40"/>
        <v>2013</v>
      </c>
    </row>
    <row r="2569" spans="1:9">
      <c r="A2569" s="1">
        <v>10181</v>
      </c>
      <c r="B2569" s="1">
        <v>2</v>
      </c>
      <c r="C2569" s="2">
        <v>41492</v>
      </c>
      <c r="D2569" s="1" t="s">
        <v>2002</v>
      </c>
      <c r="E2569" s="1">
        <v>101454</v>
      </c>
      <c r="F2569" s="6" t="s">
        <v>4571</v>
      </c>
      <c r="G2569" s="15" t="str">
        <f>VLOOKUP(A2569,Movie!A:D,4,FALSE)</f>
        <v>Fox</v>
      </c>
      <c r="H2569" s="14">
        <f>VLOOKUP(E2569,'Rental Transaction'!A:B,2,FALSE)</f>
        <v>578275</v>
      </c>
      <c r="I2569">
        <f t="shared" si="40"/>
        <v>2013</v>
      </c>
    </row>
    <row r="2570" spans="1:9">
      <c r="A2570" s="1">
        <v>10161</v>
      </c>
      <c r="B2570" s="1">
        <v>1</v>
      </c>
      <c r="C2570" s="2">
        <v>41493</v>
      </c>
      <c r="D2570" s="1" t="s">
        <v>2002</v>
      </c>
      <c r="E2570" s="1">
        <v>101454</v>
      </c>
      <c r="F2570" s="6" t="s">
        <v>4572</v>
      </c>
      <c r="G2570" s="15" t="str">
        <f>VLOOKUP(A2570,Movie!A:D,4,FALSE)</f>
        <v>TriStar</v>
      </c>
      <c r="H2570" s="14">
        <f>VLOOKUP(E2570,'Rental Transaction'!A:B,2,FALSE)</f>
        <v>578275</v>
      </c>
      <c r="I2570">
        <f t="shared" si="40"/>
        <v>2013</v>
      </c>
    </row>
    <row r="2571" spans="1:9" ht="29.25">
      <c r="A2571" s="1">
        <v>10264</v>
      </c>
      <c r="B2571" s="1">
        <v>8</v>
      </c>
      <c r="C2571" s="2">
        <v>41492</v>
      </c>
      <c r="D2571" s="1" t="s">
        <v>2002</v>
      </c>
      <c r="E2571" s="1">
        <v>101454</v>
      </c>
      <c r="F2571" s="6" t="s">
        <v>4573</v>
      </c>
      <c r="G2571" s="15" t="str">
        <f>VLOOKUP(A2571,Movie!A:D,4,FALSE)</f>
        <v>Weinstein Company</v>
      </c>
      <c r="H2571" s="14">
        <f>VLOOKUP(E2571,'Rental Transaction'!A:B,2,FALSE)</f>
        <v>578275</v>
      </c>
      <c r="I2571">
        <f t="shared" si="40"/>
        <v>2013</v>
      </c>
    </row>
    <row r="2572" spans="1:9">
      <c r="A2572" s="1">
        <v>10007</v>
      </c>
      <c r="B2572" s="1">
        <v>6</v>
      </c>
      <c r="C2572" s="2">
        <v>41494</v>
      </c>
      <c r="D2572" s="1" t="s">
        <v>2002</v>
      </c>
      <c r="E2572" s="1">
        <v>101455</v>
      </c>
      <c r="F2572" s="6" t="s">
        <v>4574</v>
      </c>
      <c r="G2572" s="15" t="str">
        <f>VLOOKUP(A2572,Movie!A:D,4,FALSE)</f>
        <v>Sony</v>
      </c>
      <c r="H2572" s="14">
        <f>VLOOKUP(E2572,'Rental Transaction'!A:B,2,FALSE)</f>
        <v>611848</v>
      </c>
      <c r="I2572">
        <f t="shared" si="40"/>
        <v>2013</v>
      </c>
    </row>
    <row r="2573" spans="1:9">
      <c r="A2573" s="1">
        <v>10044</v>
      </c>
      <c r="B2573" s="1">
        <v>1</v>
      </c>
      <c r="C2573" s="2">
        <v>41492</v>
      </c>
      <c r="D2573" s="1" t="s">
        <v>2005</v>
      </c>
      <c r="E2573" s="1">
        <v>101456</v>
      </c>
      <c r="F2573" s="6" t="s">
        <v>4575</v>
      </c>
      <c r="G2573" s="15" t="str">
        <f>VLOOKUP(A2573,Movie!A:D,4,FALSE)</f>
        <v>Buena Vista</v>
      </c>
      <c r="H2573" s="14">
        <f>VLOOKUP(E2573,'Rental Transaction'!A:B,2,FALSE)</f>
        <v>742620</v>
      </c>
      <c r="I2573">
        <f t="shared" si="40"/>
        <v>2013</v>
      </c>
    </row>
    <row r="2574" spans="1:9">
      <c r="A2574" s="1">
        <v>10197</v>
      </c>
      <c r="B2574" s="1">
        <v>2</v>
      </c>
      <c r="C2574" s="2">
        <v>41493</v>
      </c>
      <c r="D2574" s="1" t="s">
        <v>2002</v>
      </c>
      <c r="E2574" s="1">
        <v>101456</v>
      </c>
      <c r="F2574" s="6" t="s">
        <v>4576</v>
      </c>
      <c r="G2574" s="15" t="str">
        <f>VLOOKUP(A2574,Movie!A:D,4,FALSE)</f>
        <v>Warner Brothers</v>
      </c>
      <c r="H2574" s="14">
        <f>VLOOKUP(E2574,'Rental Transaction'!A:B,2,FALSE)</f>
        <v>742620</v>
      </c>
      <c r="I2574">
        <f t="shared" si="40"/>
        <v>2013</v>
      </c>
    </row>
    <row r="2575" spans="1:9">
      <c r="A2575" s="1">
        <v>10068</v>
      </c>
      <c r="B2575" s="1">
        <v>9</v>
      </c>
      <c r="C2575" s="2">
        <v>41492</v>
      </c>
      <c r="D2575" s="1" t="s">
        <v>2005</v>
      </c>
      <c r="E2575" s="1">
        <v>101457</v>
      </c>
      <c r="F2575" s="6" t="s">
        <v>4577</v>
      </c>
      <c r="G2575" s="15" t="str">
        <f>VLOOKUP(A2575,Movie!A:D,4,FALSE)</f>
        <v>Warner Brothers</v>
      </c>
      <c r="H2575" s="14">
        <f>VLOOKUP(E2575,'Rental Transaction'!A:B,2,FALSE)</f>
        <v>731346</v>
      </c>
      <c r="I2575">
        <f t="shared" si="40"/>
        <v>2013</v>
      </c>
    </row>
    <row r="2576" spans="1:9">
      <c r="A2576" s="1">
        <v>10010</v>
      </c>
      <c r="B2576" s="1">
        <v>8</v>
      </c>
      <c r="C2576" s="2">
        <v>41493</v>
      </c>
      <c r="D2576" s="1" t="s">
        <v>2002</v>
      </c>
      <c r="E2576" s="1">
        <v>101457</v>
      </c>
      <c r="F2576" s="6" t="s">
        <v>4578</v>
      </c>
      <c r="G2576" s="15" t="str">
        <f>VLOOKUP(A2576,Movie!A:D,4,FALSE)</f>
        <v>Buena Vista</v>
      </c>
      <c r="H2576" s="14">
        <f>VLOOKUP(E2576,'Rental Transaction'!A:B,2,FALSE)</f>
        <v>731346</v>
      </c>
      <c r="I2576">
        <f t="shared" si="40"/>
        <v>2013</v>
      </c>
    </row>
    <row r="2577" spans="1:9">
      <c r="A2577" s="1">
        <v>10051</v>
      </c>
      <c r="B2577" s="1">
        <v>9</v>
      </c>
      <c r="C2577" s="2">
        <v>41492</v>
      </c>
      <c r="D2577" s="1" t="s">
        <v>2002</v>
      </c>
      <c r="E2577" s="1">
        <v>101457</v>
      </c>
      <c r="F2577" s="6" t="s">
        <v>4579</v>
      </c>
      <c r="G2577" s="15" t="str">
        <f>VLOOKUP(A2577,Movie!A:D,4,FALSE)</f>
        <v>Paramount</v>
      </c>
      <c r="H2577" s="14">
        <f>VLOOKUP(E2577,'Rental Transaction'!A:B,2,FALSE)</f>
        <v>731346</v>
      </c>
      <c r="I2577">
        <f t="shared" si="40"/>
        <v>2013</v>
      </c>
    </row>
    <row r="2578" spans="1:9">
      <c r="A2578" s="1">
        <v>10061</v>
      </c>
      <c r="B2578" s="1">
        <v>6</v>
      </c>
      <c r="C2578" s="2">
        <v>41492</v>
      </c>
      <c r="D2578" s="1" t="s">
        <v>2005</v>
      </c>
      <c r="E2578" s="1">
        <v>101458</v>
      </c>
      <c r="F2578" s="6" t="s">
        <v>4580</v>
      </c>
      <c r="G2578" s="15" t="str">
        <f>VLOOKUP(A2578,Movie!A:D,4,FALSE)</f>
        <v>Fox</v>
      </c>
      <c r="H2578" s="14">
        <f>VLOOKUP(E2578,'Rental Transaction'!A:B,2,FALSE)</f>
        <v>485769</v>
      </c>
      <c r="I2578">
        <f t="shared" si="40"/>
        <v>2013</v>
      </c>
    </row>
    <row r="2579" spans="1:9">
      <c r="A2579" s="1">
        <v>10040</v>
      </c>
      <c r="B2579" s="1">
        <v>9</v>
      </c>
      <c r="C2579" s="2">
        <v>41493</v>
      </c>
      <c r="D2579" s="1" t="s">
        <v>2005</v>
      </c>
      <c r="E2579" s="1">
        <v>101459</v>
      </c>
      <c r="F2579" s="6" t="s">
        <v>4581</v>
      </c>
      <c r="G2579" s="15" t="str">
        <f>VLOOKUP(A2579,Movie!A:D,4,FALSE)</f>
        <v>Universal</v>
      </c>
      <c r="H2579" s="14">
        <f>VLOOKUP(E2579,'Rental Transaction'!A:B,2,FALSE)</f>
        <v>842028</v>
      </c>
      <c r="I2579">
        <f t="shared" si="40"/>
        <v>2013</v>
      </c>
    </row>
    <row r="2580" spans="1:9">
      <c r="A2580" s="1">
        <v>10232</v>
      </c>
      <c r="B2580" s="1">
        <v>7</v>
      </c>
      <c r="C2580" s="2">
        <v>41493</v>
      </c>
      <c r="D2580" s="1" t="s">
        <v>2005</v>
      </c>
      <c r="E2580" s="1">
        <v>101459</v>
      </c>
      <c r="F2580" s="6" t="s">
        <v>4582</v>
      </c>
      <c r="G2580" s="15" t="str">
        <f>VLOOKUP(A2580,Movie!A:D,4,FALSE)</f>
        <v>Paramount</v>
      </c>
      <c r="H2580" s="14">
        <f>VLOOKUP(E2580,'Rental Transaction'!A:B,2,FALSE)</f>
        <v>842028</v>
      </c>
      <c r="I2580">
        <f t="shared" si="40"/>
        <v>2013</v>
      </c>
    </row>
    <row r="2581" spans="1:9">
      <c r="A2581" s="1">
        <v>10166</v>
      </c>
      <c r="B2581" s="1">
        <v>3</v>
      </c>
      <c r="C2581" s="2">
        <v>41495</v>
      </c>
      <c r="D2581" s="1" t="s">
        <v>2002</v>
      </c>
      <c r="E2581" s="1">
        <v>101459</v>
      </c>
      <c r="F2581" s="6" t="s">
        <v>4583</v>
      </c>
      <c r="G2581" s="15" t="str">
        <f>VLOOKUP(A2581,Movie!A:D,4,FALSE)</f>
        <v>Fox</v>
      </c>
      <c r="H2581" s="14">
        <f>VLOOKUP(E2581,'Rental Transaction'!A:B,2,FALSE)</f>
        <v>842028</v>
      </c>
      <c r="I2581">
        <f t="shared" si="40"/>
        <v>2013</v>
      </c>
    </row>
    <row r="2582" spans="1:9">
      <c r="A2582" s="1">
        <v>10195</v>
      </c>
      <c r="B2582" s="1">
        <v>3</v>
      </c>
      <c r="C2582" s="2">
        <v>41493</v>
      </c>
      <c r="D2582" s="1" t="s">
        <v>2005</v>
      </c>
      <c r="E2582" s="1">
        <v>101459</v>
      </c>
      <c r="F2582" s="6" t="s">
        <v>4584</v>
      </c>
      <c r="G2582" s="15" t="str">
        <f>VLOOKUP(A2582,Movie!A:D,4,FALSE)</f>
        <v>Sony</v>
      </c>
      <c r="H2582" s="14">
        <f>VLOOKUP(E2582,'Rental Transaction'!A:B,2,FALSE)</f>
        <v>842028</v>
      </c>
      <c r="I2582">
        <f t="shared" si="40"/>
        <v>2013</v>
      </c>
    </row>
    <row r="2583" spans="1:9">
      <c r="A2583" s="1">
        <v>10142</v>
      </c>
      <c r="B2583" s="1">
        <v>1</v>
      </c>
      <c r="C2583" s="2">
        <v>41495</v>
      </c>
      <c r="D2583" s="1" t="s">
        <v>2005</v>
      </c>
      <c r="E2583" s="1">
        <v>101460</v>
      </c>
      <c r="F2583" s="6" t="s">
        <v>4585</v>
      </c>
      <c r="G2583" s="15" t="str">
        <f>VLOOKUP(A2583,Movie!A:D,4,FALSE)</f>
        <v>Warner Brothers</v>
      </c>
      <c r="H2583" s="14">
        <f>VLOOKUP(E2583,'Rental Transaction'!A:B,2,FALSE)</f>
        <v>253106</v>
      </c>
      <c r="I2583">
        <f t="shared" si="40"/>
        <v>2013</v>
      </c>
    </row>
    <row r="2584" spans="1:9">
      <c r="A2584" s="1">
        <v>10025</v>
      </c>
      <c r="B2584" s="1">
        <v>8</v>
      </c>
      <c r="C2584" s="2">
        <v>41493</v>
      </c>
      <c r="D2584" s="1" t="s">
        <v>2005</v>
      </c>
      <c r="E2584" s="1">
        <v>101460</v>
      </c>
      <c r="F2584" s="6" t="s">
        <v>4586</v>
      </c>
      <c r="G2584" s="15" t="str">
        <f>VLOOKUP(A2584,Movie!A:D,4,FALSE)</f>
        <v>Sony</v>
      </c>
      <c r="H2584" s="14">
        <f>VLOOKUP(E2584,'Rental Transaction'!A:B,2,FALSE)</f>
        <v>253106</v>
      </c>
      <c r="I2584">
        <f t="shared" si="40"/>
        <v>2013</v>
      </c>
    </row>
    <row r="2585" spans="1:9">
      <c r="A2585" s="1">
        <v>10155</v>
      </c>
      <c r="B2585" s="1">
        <v>5</v>
      </c>
      <c r="C2585" s="2">
        <v>41493</v>
      </c>
      <c r="D2585" s="1" t="s">
        <v>2005</v>
      </c>
      <c r="E2585" s="1">
        <v>101461</v>
      </c>
      <c r="F2585" s="6" t="s">
        <v>4587</v>
      </c>
      <c r="G2585" s="15" t="str">
        <f>VLOOKUP(A2585,Movie!A:D,4,FALSE)</f>
        <v>Fox</v>
      </c>
      <c r="H2585" s="14">
        <f>VLOOKUP(E2585,'Rental Transaction'!A:B,2,FALSE)</f>
        <v>646700</v>
      </c>
      <c r="I2585">
        <f t="shared" si="40"/>
        <v>2013</v>
      </c>
    </row>
    <row r="2586" spans="1:9">
      <c r="A2586" s="1">
        <v>10237</v>
      </c>
      <c r="B2586" s="1">
        <v>5</v>
      </c>
      <c r="C2586" s="2">
        <v>41493</v>
      </c>
      <c r="D2586" s="1" t="s">
        <v>2005</v>
      </c>
      <c r="E2586" s="1">
        <v>101462</v>
      </c>
      <c r="F2586" s="6" t="s">
        <v>4588</v>
      </c>
      <c r="G2586" s="15" t="str">
        <f>VLOOKUP(A2586,Movie!A:D,4,FALSE)</f>
        <v>Warner Brothers</v>
      </c>
      <c r="H2586" s="14">
        <f>VLOOKUP(E2586,'Rental Transaction'!A:B,2,FALSE)</f>
        <v>616392</v>
      </c>
      <c r="I2586">
        <f t="shared" si="40"/>
        <v>2013</v>
      </c>
    </row>
    <row r="2587" spans="1:9">
      <c r="A2587" s="1">
        <v>10247</v>
      </c>
      <c r="B2587" s="1">
        <v>7</v>
      </c>
      <c r="C2587" s="2">
        <v>41493</v>
      </c>
      <c r="D2587" s="1" t="s">
        <v>2005</v>
      </c>
      <c r="E2587" s="1">
        <v>101462</v>
      </c>
      <c r="F2587" s="6" t="s">
        <v>4589</v>
      </c>
      <c r="G2587" s="15" t="str">
        <f>VLOOKUP(A2587,Movie!A:D,4,FALSE)</f>
        <v>Fox</v>
      </c>
      <c r="H2587" s="14">
        <f>VLOOKUP(E2587,'Rental Transaction'!A:B,2,FALSE)</f>
        <v>616392</v>
      </c>
      <c r="I2587">
        <f t="shared" si="40"/>
        <v>2013</v>
      </c>
    </row>
    <row r="2588" spans="1:9">
      <c r="A2588" s="1">
        <v>10109</v>
      </c>
      <c r="B2588" s="1">
        <v>2</v>
      </c>
      <c r="C2588" s="2">
        <v>41493</v>
      </c>
      <c r="D2588" s="1" t="s">
        <v>2002</v>
      </c>
      <c r="E2588" s="1">
        <v>101463</v>
      </c>
      <c r="F2588" s="6" t="s">
        <v>4590</v>
      </c>
      <c r="G2588" s="15" t="str">
        <f>VLOOKUP(A2588,Movie!A:D,4,FALSE)</f>
        <v>Warner Brothers</v>
      </c>
      <c r="H2588" s="14">
        <f>VLOOKUP(E2588,'Rental Transaction'!A:B,2,FALSE)</f>
        <v>884729</v>
      </c>
      <c r="I2588">
        <f t="shared" si="40"/>
        <v>2013</v>
      </c>
    </row>
    <row r="2589" spans="1:9">
      <c r="A2589" s="1">
        <v>10174</v>
      </c>
      <c r="B2589" s="1">
        <v>8</v>
      </c>
      <c r="C2589" s="2">
        <v>41493</v>
      </c>
      <c r="D2589" s="1" t="s">
        <v>2005</v>
      </c>
      <c r="E2589" s="1">
        <v>101464</v>
      </c>
      <c r="F2589" s="6" t="s">
        <v>4591</v>
      </c>
      <c r="G2589" s="15" t="str">
        <f>VLOOKUP(A2589,Movie!A:D,4,FALSE)</f>
        <v>Universal</v>
      </c>
      <c r="H2589" s="14">
        <f>VLOOKUP(E2589,'Rental Transaction'!A:B,2,FALSE)</f>
        <v>256181</v>
      </c>
      <c r="I2589">
        <f t="shared" si="40"/>
        <v>2013</v>
      </c>
    </row>
    <row r="2590" spans="1:9">
      <c r="A2590" s="1">
        <v>10298</v>
      </c>
      <c r="B2590" s="1">
        <v>6</v>
      </c>
      <c r="C2590" s="2">
        <v>41493</v>
      </c>
      <c r="D2590" s="1" t="s">
        <v>2005</v>
      </c>
      <c r="E2590" s="1">
        <v>101464</v>
      </c>
      <c r="F2590" s="6" t="s">
        <v>4592</v>
      </c>
      <c r="G2590" s="15" t="str">
        <f>VLOOKUP(A2590,Movie!A:D,4,FALSE)</f>
        <v>UTV</v>
      </c>
      <c r="H2590" s="14">
        <f>VLOOKUP(E2590,'Rental Transaction'!A:B,2,FALSE)</f>
        <v>256181</v>
      </c>
      <c r="I2590">
        <f t="shared" si="40"/>
        <v>2013</v>
      </c>
    </row>
    <row r="2591" spans="1:9">
      <c r="A2591" s="1">
        <v>10180</v>
      </c>
      <c r="B2591" s="1">
        <v>9</v>
      </c>
      <c r="C2591" s="2">
        <v>41493</v>
      </c>
      <c r="D2591" s="1" t="s">
        <v>2005</v>
      </c>
      <c r="E2591" s="1">
        <v>101464</v>
      </c>
      <c r="F2591" s="6" t="s">
        <v>4593</v>
      </c>
      <c r="G2591" s="15" t="str">
        <f>VLOOKUP(A2591,Movie!A:D,4,FALSE)</f>
        <v>Relativity</v>
      </c>
      <c r="H2591" s="14">
        <f>VLOOKUP(E2591,'Rental Transaction'!A:B,2,FALSE)</f>
        <v>256181</v>
      </c>
      <c r="I2591">
        <f t="shared" si="40"/>
        <v>2013</v>
      </c>
    </row>
    <row r="2592" spans="1:9">
      <c r="A2592" s="1">
        <v>10063</v>
      </c>
      <c r="B2592" s="1">
        <v>3</v>
      </c>
      <c r="C2592" s="2">
        <v>41493</v>
      </c>
      <c r="D2592" s="1" t="s">
        <v>2005</v>
      </c>
      <c r="E2592" s="1">
        <v>101464</v>
      </c>
      <c r="F2592" s="6" t="s">
        <v>4594</v>
      </c>
      <c r="G2592" s="15" t="str">
        <f>VLOOKUP(A2592,Movie!A:D,4,FALSE)</f>
        <v>CBS Films</v>
      </c>
      <c r="H2592" s="14">
        <f>VLOOKUP(E2592,'Rental Transaction'!A:B,2,FALSE)</f>
        <v>256181</v>
      </c>
      <c r="I2592">
        <f t="shared" si="40"/>
        <v>2013</v>
      </c>
    </row>
    <row r="2593" spans="1:9">
      <c r="A2593" s="1">
        <v>10226</v>
      </c>
      <c r="B2593" s="1">
        <v>5</v>
      </c>
      <c r="C2593" s="2">
        <v>41493</v>
      </c>
      <c r="D2593" s="1" t="s">
        <v>2005</v>
      </c>
      <c r="E2593" s="1">
        <v>101465</v>
      </c>
      <c r="F2593" s="6" t="s">
        <v>4595</v>
      </c>
      <c r="G2593" s="15" t="str">
        <f>VLOOKUP(A2593,Movie!A:D,4,FALSE)</f>
        <v>Sony</v>
      </c>
      <c r="H2593" s="14">
        <f>VLOOKUP(E2593,'Rental Transaction'!A:B,2,FALSE)</f>
        <v>366695</v>
      </c>
      <c r="I2593">
        <f t="shared" si="40"/>
        <v>2013</v>
      </c>
    </row>
    <row r="2594" spans="1:9" ht="29.25">
      <c r="A2594" s="1">
        <v>10290</v>
      </c>
      <c r="B2594" s="1">
        <v>9</v>
      </c>
      <c r="C2594" s="2">
        <v>41494</v>
      </c>
      <c r="D2594" s="1" t="s">
        <v>2005</v>
      </c>
      <c r="E2594" s="1">
        <v>101465</v>
      </c>
      <c r="F2594" s="6" t="s">
        <v>4596</v>
      </c>
      <c r="G2594" s="15" t="str">
        <f>VLOOKUP(A2594,Movie!A:D,4,FALSE)</f>
        <v>Weinstein Company</v>
      </c>
      <c r="H2594" s="14">
        <f>VLOOKUP(E2594,'Rental Transaction'!A:B,2,FALSE)</f>
        <v>366695</v>
      </c>
      <c r="I2594">
        <f t="shared" si="40"/>
        <v>2013</v>
      </c>
    </row>
    <row r="2595" spans="1:9">
      <c r="A2595" s="1">
        <v>10283</v>
      </c>
      <c r="B2595" s="1">
        <v>3</v>
      </c>
      <c r="C2595" s="2">
        <v>41494</v>
      </c>
      <c r="D2595" s="1" t="s">
        <v>2005</v>
      </c>
      <c r="E2595" s="1">
        <v>101465</v>
      </c>
      <c r="F2595" s="6" t="s">
        <v>4597</v>
      </c>
      <c r="G2595" s="15" t="str">
        <f>VLOOKUP(A2595,Movie!A:D,4,FALSE)</f>
        <v>TriStar</v>
      </c>
      <c r="H2595" s="14">
        <f>VLOOKUP(E2595,'Rental Transaction'!A:B,2,FALSE)</f>
        <v>366695</v>
      </c>
      <c r="I2595">
        <f t="shared" si="40"/>
        <v>2013</v>
      </c>
    </row>
    <row r="2596" spans="1:9">
      <c r="A2596" s="1">
        <v>10185</v>
      </c>
      <c r="B2596" s="1">
        <v>2</v>
      </c>
      <c r="C2596" s="2">
        <v>41493</v>
      </c>
      <c r="D2596" s="1" t="s">
        <v>2002</v>
      </c>
      <c r="E2596" s="1">
        <v>101466</v>
      </c>
      <c r="F2596" s="6" t="s">
        <v>4598</v>
      </c>
      <c r="G2596" s="15" t="str">
        <f>VLOOKUP(A2596,Movie!A:D,4,FALSE)</f>
        <v>Warner Brothers</v>
      </c>
      <c r="H2596" s="14">
        <f>VLOOKUP(E2596,'Rental Transaction'!A:B,2,FALSE)</f>
        <v>371731</v>
      </c>
      <c r="I2596">
        <f t="shared" si="40"/>
        <v>2013</v>
      </c>
    </row>
    <row r="2597" spans="1:9">
      <c r="A2597" s="1">
        <v>10009</v>
      </c>
      <c r="B2597" s="1">
        <v>10</v>
      </c>
      <c r="C2597" s="2">
        <v>41493</v>
      </c>
      <c r="D2597" s="1" t="s">
        <v>2005</v>
      </c>
      <c r="E2597" s="1">
        <v>101466</v>
      </c>
      <c r="F2597" s="6" t="s">
        <v>4599</v>
      </c>
      <c r="G2597" s="15" t="str">
        <f>VLOOKUP(A2597,Movie!A:D,4,FALSE)</f>
        <v>Warner Brothers</v>
      </c>
      <c r="H2597" s="14">
        <f>VLOOKUP(E2597,'Rental Transaction'!A:B,2,FALSE)</f>
        <v>371731</v>
      </c>
      <c r="I2597">
        <f t="shared" si="40"/>
        <v>2013</v>
      </c>
    </row>
    <row r="2598" spans="1:9">
      <c r="A2598" s="1">
        <v>10196</v>
      </c>
      <c r="B2598" s="1">
        <v>2</v>
      </c>
      <c r="C2598" s="2">
        <v>41493</v>
      </c>
      <c r="D2598" s="1" t="s">
        <v>2002</v>
      </c>
      <c r="E2598" s="1">
        <v>101467</v>
      </c>
      <c r="F2598" s="6" t="s">
        <v>4600</v>
      </c>
      <c r="G2598" s="15" t="str">
        <f>VLOOKUP(A2598,Movie!A:D,4,FALSE)</f>
        <v>Fox</v>
      </c>
      <c r="H2598" s="14">
        <f>VLOOKUP(E2598,'Rental Transaction'!A:B,2,FALSE)</f>
        <v>837763</v>
      </c>
      <c r="I2598">
        <f t="shared" si="40"/>
        <v>2013</v>
      </c>
    </row>
    <row r="2599" spans="1:9">
      <c r="A2599" s="1">
        <v>10059</v>
      </c>
      <c r="B2599" s="1">
        <v>1</v>
      </c>
      <c r="C2599" s="2">
        <v>41493</v>
      </c>
      <c r="D2599" s="1" t="s">
        <v>2002</v>
      </c>
      <c r="E2599" s="1">
        <v>101467</v>
      </c>
      <c r="F2599" s="6" t="s">
        <v>4601</v>
      </c>
      <c r="G2599" s="15" t="str">
        <f>VLOOKUP(A2599,Movie!A:D,4,FALSE)</f>
        <v>Universal</v>
      </c>
      <c r="H2599" s="14">
        <f>VLOOKUP(E2599,'Rental Transaction'!A:B,2,FALSE)</f>
        <v>837763</v>
      </c>
      <c r="I2599">
        <f t="shared" si="40"/>
        <v>2013</v>
      </c>
    </row>
    <row r="2600" spans="1:9">
      <c r="A2600" s="1">
        <v>10299</v>
      </c>
      <c r="B2600" s="1">
        <v>1</v>
      </c>
      <c r="C2600" s="2">
        <v>41494</v>
      </c>
      <c r="D2600" s="1" t="s">
        <v>2005</v>
      </c>
      <c r="E2600" s="1">
        <v>101468</v>
      </c>
      <c r="F2600" s="6" t="s">
        <v>4602</v>
      </c>
      <c r="G2600" s="15" t="str">
        <f>VLOOKUP(A2600,Movie!A:D,4,FALSE)</f>
        <v>Radius-TWC</v>
      </c>
      <c r="H2600" s="14">
        <f>VLOOKUP(E2600,'Rental Transaction'!A:B,2,FALSE)</f>
        <v>550824</v>
      </c>
      <c r="I2600">
        <f t="shared" si="40"/>
        <v>2013</v>
      </c>
    </row>
    <row r="2601" spans="1:9">
      <c r="A2601" s="1">
        <v>10129</v>
      </c>
      <c r="B2601" s="1">
        <v>4</v>
      </c>
      <c r="C2601" s="2">
        <v>41493</v>
      </c>
      <c r="D2601" s="1" t="s">
        <v>2005</v>
      </c>
      <c r="E2601" s="1">
        <v>101468</v>
      </c>
      <c r="F2601" s="6" t="s">
        <v>4603</v>
      </c>
      <c r="G2601" s="15" t="str">
        <f>VLOOKUP(A2601,Movie!A:D,4,FALSE)</f>
        <v>Warner Brothers</v>
      </c>
      <c r="H2601" s="14">
        <f>VLOOKUP(E2601,'Rental Transaction'!A:B,2,FALSE)</f>
        <v>550824</v>
      </c>
      <c r="I2601">
        <f t="shared" si="40"/>
        <v>2013</v>
      </c>
    </row>
    <row r="2602" spans="1:9">
      <c r="A2602" s="1">
        <v>10159</v>
      </c>
      <c r="B2602" s="1">
        <v>2</v>
      </c>
      <c r="C2602" s="2">
        <v>41494</v>
      </c>
      <c r="D2602" s="1" t="s">
        <v>2005</v>
      </c>
      <c r="E2602" s="1">
        <v>101469</v>
      </c>
      <c r="F2602" s="6" t="s">
        <v>4604</v>
      </c>
      <c r="G2602" s="15" t="str">
        <f>VLOOKUP(A2602,Movie!A:D,4,FALSE)</f>
        <v>Lionsgate</v>
      </c>
      <c r="H2602" s="14">
        <f>VLOOKUP(E2602,'Rental Transaction'!A:B,2,FALSE)</f>
        <v>671101</v>
      </c>
      <c r="I2602">
        <f t="shared" si="40"/>
        <v>2013</v>
      </c>
    </row>
    <row r="2603" spans="1:9">
      <c r="A2603" s="1">
        <v>10248</v>
      </c>
      <c r="B2603" s="1">
        <v>3</v>
      </c>
      <c r="C2603" s="2">
        <v>41494</v>
      </c>
      <c r="D2603" s="1" t="s">
        <v>2005</v>
      </c>
      <c r="E2603" s="1">
        <v>101469</v>
      </c>
      <c r="F2603" s="6" t="s">
        <v>4605</v>
      </c>
      <c r="G2603" s="15" t="str">
        <f>VLOOKUP(A2603,Movie!A:D,4,FALSE)</f>
        <v>Relativity</v>
      </c>
      <c r="H2603" s="14">
        <f>VLOOKUP(E2603,'Rental Transaction'!A:B,2,FALSE)</f>
        <v>671101</v>
      </c>
      <c r="I2603">
        <f t="shared" si="40"/>
        <v>2013</v>
      </c>
    </row>
    <row r="2604" spans="1:9">
      <c r="A2604" s="1">
        <v>10193</v>
      </c>
      <c r="B2604" s="1">
        <v>8</v>
      </c>
      <c r="C2604" s="2">
        <v>41494</v>
      </c>
      <c r="D2604" s="1" t="s">
        <v>2002</v>
      </c>
      <c r="E2604" s="1">
        <v>101470</v>
      </c>
      <c r="F2604" s="6" t="s">
        <v>4606</v>
      </c>
      <c r="G2604" s="15" t="str">
        <f>VLOOKUP(A2604,Movie!A:D,4,FALSE)</f>
        <v>Fox</v>
      </c>
      <c r="H2604" s="14">
        <f>VLOOKUP(E2604,'Rental Transaction'!A:B,2,FALSE)</f>
        <v>586201</v>
      </c>
      <c r="I2604">
        <f t="shared" si="40"/>
        <v>2013</v>
      </c>
    </row>
    <row r="2605" spans="1:9">
      <c r="A2605" s="1">
        <v>10065</v>
      </c>
      <c r="B2605" s="1">
        <v>6</v>
      </c>
      <c r="C2605" s="2">
        <v>41494</v>
      </c>
      <c r="D2605" s="1" t="s">
        <v>2002</v>
      </c>
      <c r="E2605" s="1">
        <v>101470</v>
      </c>
      <c r="F2605" s="6" t="s">
        <v>4607</v>
      </c>
      <c r="G2605" s="15" t="str">
        <f>VLOOKUP(A2605,Movie!A:D,4,FALSE)</f>
        <v>Warner Brothers</v>
      </c>
      <c r="H2605" s="14">
        <f>VLOOKUP(E2605,'Rental Transaction'!A:B,2,FALSE)</f>
        <v>586201</v>
      </c>
      <c r="I2605">
        <f t="shared" si="40"/>
        <v>2013</v>
      </c>
    </row>
    <row r="2606" spans="1:9">
      <c r="A2606" s="1">
        <v>10212</v>
      </c>
      <c r="B2606" s="1">
        <v>10</v>
      </c>
      <c r="C2606" s="2">
        <v>41494</v>
      </c>
      <c r="D2606" s="1" t="s">
        <v>2005</v>
      </c>
      <c r="E2606" s="1">
        <v>101471</v>
      </c>
      <c r="F2606" s="6" t="s">
        <v>4608</v>
      </c>
      <c r="G2606" s="15" t="str">
        <f>VLOOKUP(A2606,Movie!A:D,4,FALSE)</f>
        <v>Lionsgate</v>
      </c>
      <c r="H2606" s="14">
        <f>VLOOKUP(E2606,'Rental Transaction'!A:B,2,FALSE)</f>
        <v>593317</v>
      </c>
      <c r="I2606">
        <f t="shared" si="40"/>
        <v>2013</v>
      </c>
    </row>
    <row r="2607" spans="1:9">
      <c r="A2607" s="1">
        <v>10288</v>
      </c>
      <c r="B2607" s="1">
        <v>8</v>
      </c>
      <c r="C2607" s="2">
        <v>41495</v>
      </c>
      <c r="D2607" s="1" t="s">
        <v>2002</v>
      </c>
      <c r="E2607" s="1">
        <v>101472</v>
      </c>
      <c r="F2607" s="6" t="s">
        <v>4609</v>
      </c>
      <c r="G2607" s="15" t="str">
        <f>VLOOKUP(A2607,Movie!A:D,4,FALSE)</f>
        <v>Relativity</v>
      </c>
      <c r="H2607" s="14">
        <f>VLOOKUP(E2607,'Rental Transaction'!A:B,2,FALSE)</f>
        <v>469564</v>
      </c>
      <c r="I2607">
        <f t="shared" si="40"/>
        <v>2013</v>
      </c>
    </row>
    <row r="2608" spans="1:9" ht="29.25">
      <c r="A2608" s="1">
        <v>10165</v>
      </c>
      <c r="B2608" s="1">
        <v>1</v>
      </c>
      <c r="C2608" s="2">
        <v>41495</v>
      </c>
      <c r="D2608" s="1" t="s">
        <v>2002</v>
      </c>
      <c r="E2608" s="1">
        <v>101473</v>
      </c>
      <c r="F2608" s="6" t="s">
        <v>4610</v>
      </c>
      <c r="G2608" s="15" t="str">
        <f>VLOOKUP(A2608,Movie!A:D,4,FALSE)</f>
        <v>Weinstein Company</v>
      </c>
      <c r="H2608" s="14">
        <f>VLOOKUP(E2608,'Rental Transaction'!A:B,2,FALSE)</f>
        <v>249779</v>
      </c>
      <c r="I2608">
        <f t="shared" si="40"/>
        <v>2013</v>
      </c>
    </row>
    <row r="2609" spans="1:9">
      <c r="A2609" s="1">
        <v>10258</v>
      </c>
      <c r="B2609" s="1">
        <v>3</v>
      </c>
      <c r="C2609" s="2">
        <v>41495</v>
      </c>
      <c r="D2609" s="1" t="s">
        <v>2005</v>
      </c>
      <c r="E2609" s="1">
        <v>101474</v>
      </c>
      <c r="F2609" s="6" t="s">
        <v>4611</v>
      </c>
      <c r="G2609" s="15" t="str">
        <f>VLOOKUP(A2609,Movie!A:D,4,FALSE)</f>
        <v>Warner Brothers</v>
      </c>
      <c r="H2609" s="14">
        <f>VLOOKUP(E2609,'Rental Transaction'!A:B,2,FALSE)</f>
        <v>189953</v>
      </c>
      <c r="I2609">
        <f t="shared" si="40"/>
        <v>2013</v>
      </c>
    </row>
    <row r="2610" spans="1:9">
      <c r="A2610" s="1">
        <v>10178</v>
      </c>
      <c r="B2610" s="1">
        <v>8</v>
      </c>
      <c r="C2610" s="2">
        <v>41495</v>
      </c>
      <c r="D2610" s="1" t="s">
        <v>2005</v>
      </c>
      <c r="E2610" s="1">
        <v>101474</v>
      </c>
      <c r="F2610" s="6" t="s">
        <v>4612</v>
      </c>
      <c r="G2610" s="15" t="str">
        <f>VLOOKUP(A2610,Movie!A:D,4,FALSE)</f>
        <v>Warner Brothers</v>
      </c>
      <c r="H2610" s="14">
        <f>VLOOKUP(E2610,'Rental Transaction'!A:B,2,FALSE)</f>
        <v>189953</v>
      </c>
      <c r="I2610">
        <f t="shared" si="40"/>
        <v>2013</v>
      </c>
    </row>
    <row r="2611" spans="1:9">
      <c r="A2611" s="1">
        <v>10180</v>
      </c>
      <c r="B2611" s="1">
        <v>7</v>
      </c>
      <c r="C2611" s="2">
        <v>41495</v>
      </c>
      <c r="D2611" s="1" t="s">
        <v>2002</v>
      </c>
      <c r="E2611" s="1">
        <v>101475</v>
      </c>
      <c r="F2611" s="6" t="s">
        <v>4613</v>
      </c>
      <c r="G2611" s="15" t="str">
        <f>VLOOKUP(A2611,Movie!A:D,4,FALSE)</f>
        <v>Relativity</v>
      </c>
      <c r="H2611" s="14">
        <f>VLOOKUP(E2611,'Rental Transaction'!A:B,2,FALSE)</f>
        <v>157388</v>
      </c>
      <c r="I2611">
        <f t="shared" si="40"/>
        <v>2013</v>
      </c>
    </row>
    <row r="2612" spans="1:9">
      <c r="A2612" s="1">
        <v>10175</v>
      </c>
      <c r="B2612" s="1">
        <v>8</v>
      </c>
      <c r="C2612" s="2">
        <v>41495</v>
      </c>
      <c r="D2612" s="1" t="s">
        <v>2002</v>
      </c>
      <c r="E2612" s="1">
        <v>101475</v>
      </c>
      <c r="F2612" s="6" t="s">
        <v>4614</v>
      </c>
      <c r="G2612" s="15" t="str">
        <f>VLOOKUP(A2612,Movie!A:D,4,FALSE)</f>
        <v>Buena Vista</v>
      </c>
      <c r="H2612" s="14">
        <f>VLOOKUP(E2612,'Rental Transaction'!A:B,2,FALSE)</f>
        <v>157388</v>
      </c>
      <c r="I2612">
        <f t="shared" si="40"/>
        <v>2013</v>
      </c>
    </row>
    <row r="2613" spans="1:9">
      <c r="A2613" s="1">
        <v>10118</v>
      </c>
      <c r="B2613" s="1">
        <v>3</v>
      </c>
      <c r="C2613" s="2">
        <v>41495</v>
      </c>
      <c r="D2613" s="1" t="s">
        <v>2002</v>
      </c>
      <c r="E2613" s="1">
        <v>101476</v>
      </c>
      <c r="F2613" s="6" t="s">
        <v>4615</v>
      </c>
      <c r="G2613" s="15" t="str">
        <f>VLOOKUP(A2613,Movie!A:D,4,FALSE)</f>
        <v>Buena Vista</v>
      </c>
      <c r="H2613" s="14">
        <f>VLOOKUP(E2613,'Rental Transaction'!A:B,2,FALSE)</f>
        <v>782947</v>
      </c>
      <c r="I2613">
        <f t="shared" si="40"/>
        <v>2013</v>
      </c>
    </row>
    <row r="2614" spans="1:9">
      <c r="A2614" s="1">
        <v>10017</v>
      </c>
      <c r="B2614" s="1">
        <v>2</v>
      </c>
      <c r="C2614" s="2">
        <v>41496</v>
      </c>
      <c r="D2614" s="1" t="s">
        <v>2002</v>
      </c>
      <c r="E2614" s="1">
        <v>101476</v>
      </c>
      <c r="F2614" s="6" t="s">
        <v>4616</v>
      </c>
      <c r="G2614" s="15" t="str">
        <f>VLOOKUP(A2614,Movie!A:D,4,FALSE)</f>
        <v>Sony</v>
      </c>
      <c r="H2614" s="14">
        <f>VLOOKUP(E2614,'Rental Transaction'!A:B,2,FALSE)</f>
        <v>782947</v>
      </c>
      <c r="I2614">
        <f t="shared" si="40"/>
        <v>2013</v>
      </c>
    </row>
    <row r="2615" spans="1:9">
      <c r="A2615" s="1">
        <v>10052</v>
      </c>
      <c r="B2615" s="1">
        <v>2</v>
      </c>
      <c r="C2615" s="2">
        <v>41495</v>
      </c>
      <c r="D2615" s="1" t="s">
        <v>2002</v>
      </c>
      <c r="E2615" s="1">
        <v>101476</v>
      </c>
      <c r="F2615" s="6" t="s">
        <v>4617</v>
      </c>
      <c r="G2615" s="15" t="str">
        <f>VLOOKUP(A2615,Movie!A:D,4,FALSE)</f>
        <v>Warner Brothers</v>
      </c>
      <c r="H2615" s="14">
        <f>VLOOKUP(E2615,'Rental Transaction'!A:B,2,FALSE)</f>
        <v>782947</v>
      </c>
      <c r="I2615">
        <f t="shared" si="40"/>
        <v>2013</v>
      </c>
    </row>
    <row r="2616" spans="1:9">
      <c r="A2616" s="1">
        <v>10133</v>
      </c>
      <c r="B2616" s="1">
        <v>10</v>
      </c>
      <c r="C2616" s="2">
        <v>41495</v>
      </c>
      <c r="D2616" s="1" t="s">
        <v>2005</v>
      </c>
      <c r="E2616" s="1">
        <v>101477</v>
      </c>
      <c r="F2616" s="6" t="s">
        <v>4618</v>
      </c>
      <c r="G2616" s="15" t="str">
        <f>VLOOKUP(A2616,Movie!A:D,4,FALSE)</f>
        <v>Fox</v>
      </c>
      <c r="H2616" s="14">
        <f>VLOOKUP(E2616,'Rental Transaction'!A:B,2,FALSE)</f>
        <v>454143</v>
      </c>
      <c r="I2616">
        <f t="shared" si="40"/>
        <v>2013</v>
      </c>
    </row>
    <row r="2617" spans="1:9">
      <c r="A2617" s="1">
        <v>10073</v>
      </c>
      <c r="B2617" s="1">
        <v>9</v>
      </c>
      <c r="C2617" s="2">
        <v>41496</v>
      </c>
      <c r="D2617" s="1" t="s">
        <v>2005</v>
      </c>
      <c r="E2617" s="1">
        <v>101478</v>
      </c>
      <c r="F2617" s="6" t="s">
        <v>4619</v>
      </c>
      <c r="G2617" s="15" t="str">
        <f>VLOOKUP(A2617,Movie!A:D,4,FALSE)</f>
        <v>FilmDistrict</v>
      </c>
      <c r="H2617" s="14">
        <f>VLOOKUP(E2617,'Rental Transaction'!A:B,2,FALSE)</f>
        <v>927518</v>
      </c>
      <c r="I2617">
        <f t="shared" si="40"/>
        <v>2013</v>
      </c>
    </row>
    <row r="2618" spans="1:9">
      <c r="A2618" s="1">
        <v>10037</v>
      </c>
      <c r="B2618" s="1">
        <v>2</v>
      </c>
      <c r="C2618" s="2">
        <v>41495</v>
      </c>
      <c r="D2618" s="1" t="s">
        <v>2005</v>
      </c>
      <c r="E2618" s="1">
        <v>101479</v>
      </c>
      <c r="F2618" s="6" t="s">
        <v>4620</v>
      </c>
      <c r="G2618" s="15" t="str">
        <f>VLOOKUP(A2618,Movie!A:D,4,FALSE)</f>
        <v>Buena Vista</v>
      </c>
      <c r="H2618" s="14">
        <f>VLOOKUP(E2618,'Rental Transaction'!A:B,2,FALSE)</f>
        <v>469564</v>
      </c>
      <c r="I2618">
        <f t="shared" si="40"/>
        <v>2013</v>
      </c>
    </row>
    <row r="2619" spans="1:9">
      <c r="A2619" s="1">
        <v>10059</v>
      </c>
      <c r="B2619" s="1">
        <v>6</v>
      </c>
      <c r="C2619" s="2">
        <v>41495</v>
      </c>
      <c r="D2619" s="1" t="s">
        <v>2005</v>
      </c>
      <c r="E2619" s="1">
        <v>101479</v>
      </c>
      <c r="F2619" s="6" t="s">
        <v>4621</v>
      </c>
      <c r="G2619" s="15" t="str">
        <f>VLOOKUP(A2619,Movie!A:D,4,FALSE)</f>
        <v>Universal</v>
      </c>
      <c r="H2619" s="14">
        <f>VLOOKUP(E2619,'Rental Transaction'!A:B,2,FALSE)</f>
        <v>469564</v>
      </c>
      <c r="I2619">
        <f t="shared" si="40"/>
        <v>2013</v>
      </c>
    </row>
    <row r="2620" spans="1:9">
      <c r="A2620" s="1">
        <v>10299</v>
      </c>
      <c r="B2620" s="1">
        <v>7</v>
      </c>
      <c r="C2620" s="2">
        <v>41495</v>
      </c>
      <c r="D2620" s="1" t="s">
        <v>2005</v>
      </c>
      <c r="E2620" s="1">
        <v>101480</v>
      </c>
      <c r="F2620" s="6" t="s">
        <v>4622</v>
      </c>
      <c r="G2620" s="15" t="str">
        <f>VLOOKUP(A2620,Movie!A:D,4,FALSE)</f>
        <v>Radius-TWC</v>
      </c>
      <c r="H2620" s="14">
        <f>VLOOKUP(E2620,'Rental Transaction'!A:B,2,FALSE)</f>
        <v>731346</v>
      </c>
      <c r="I2620">
        <f t="shared" si="40"/>
        <v>2013</v>
      </c>
    </row>
    <row r="2621" spans="1:9">
      <c r="A2621" s="1">
        <v>10082</v>
      </c>
      <c r="B2621" s="1">
        <v>4</v>
      </c>
      <c r="C2621" s="2">
        <v>41496</v>
      </c>
      <c r="D2621" s="1" t="s">
        <v>2005</v>
      </c>
      <c r="E2621" s="1">
        <v>101481</v>
      </c>
      <c r="F2621" s="6" t="s">
        <v>4623</v>
      </c>
      <c r="G2621" s="15" t="str">
        <f>VLOOKUP(A2621,Movie!A:D,4,FALSE)</f>
        <v>Buena Vista</v>
      </c>
      <c r="H2621" s="14">
        <f>VLOOKUP(E2621,'Rental Transaction'!A:B,2,FALSE)</f>
        <v>908328</v>
      </c>
      <c r="I2621">
        <f t="shared" si="40"/>
        <v>2013</v>
      </c>
    </row>
    <row r="2622" spans="1:9" ht="29.25">
      <c r="A2622" s="1">
        <v>10290</v>
      </c>
      <c r="B2622" s="1">
        <v>6</v>
      </c>
      <c r="C2622" s="2">
        <v>41496</v>
      </c>
      <c r="D2622" s="1" t="s">
        <v>2002</v>
      </c>
      <c r="E2622" s="1">
        <v>101482</v>
      </c>
      <c r="F2622" s="6" t="s">
        <v>4624</v>
      </c>
      <c r="G2622" s="15" t="str">
        <f>VLOOKUP(A2622,Movie!A:D,4,FALSE)</f>
        <v>Weinstein Company</v>
      </c>
      <c r="H2622" s="14">
        <f>VLOOKUP(E2622,'Rental Transaction'!A:B,2,FALSE)</f>
        <v>927518</v>
      </c>
      <c r="I2622">
        <f t="shared" si="40"/>
        <v>2013</v>
      </c>
    </row>
    <row r="2623" spans="1:9">
      <c r="A2623" s="1">
        <v>10220</v>
      </c>
      <c r="B2623" s="1">
        <v>9</v>
      </c>
      <c r="C2623" s="2">
        <v>41495</v>
      </c>
      <c r="D2623" s="1" t="s">
        <v>2005</v>
      </c>
      <c r="E2623" s="1">
        <v>101483</v>
      </c>
      <c r="F2623" s="6" t="s">
        <v>4625</v>
      </c>
      <c r="G2623" s="15" t="str">
        <f>VLOOKUP(A2623,Movie!A:D,4,FALSE)</f>
        <v>Fox</v>
      </c>
      <c r="H2623" s="14">
        <f>VLOOKUP(E2623,'Rental Transaction'!A:B,2,FALSE)</f>
        <v>191951</v>
      </c>
      <c r="I2623">
        <f t="shared" si="40"/>
        <v>2013</v>
      </c>
    </row>
    <row r="2624" spans="1:9">
      <c r="A2624" s="1">
        <v>10187</v>
      </c>
      <c r="B2624" s="1">
        <v>5</v>
      </c>
      <c r="C2624" s="2">
        <v>41495</v>
      </c>
      <c r="D2624" s="1" t="s">
        <v>2002</v>
      </c>
      <c r="E2624" s="1">
        <v>101483</v>
      </c>
      <c r="F2624" s="6" t="s">
        <v>4626</v>
      </c>
      <c r="G2624" s="15" t="str">
        <f>VLOOKUP(A2624,Movie!A:D,4,FALSE)</f>
        <v>Paramount</v>
      </c>
      <c r="H2624" s="14">
        <f>VLOOKUP(E2624,'Rental Transaction'!A:B,2,FALSE)</f>
        <v>191951</v>
      </c>
      <c r="I2624">
        <f t="shared" si="40"/>
        <v>2013</v>
      </c>
    </row>
    <row r="2625" spans="1:9">
      <c r="A2625" s="1">
        <v>10257</v>
      </c>
      <c r="B2625" s="1">
        <v>4</v>
      </c>
      <c r="C2625" s="2">
        <v>41496</v>
      </c>
      <c r="D2625" s="1" t="s">
        <v>2002</v>
      </c>
      <c r="E2625" s="1">
        <v>101484</v>
      </c>
      <c r="F2625" s="6" t="s">
        <v>4627</v>
      </c>
      <c r="G2625" s="15" t="str">
        <f>VLOOKUP(A2625,Movie!A:D,4,FALSE)</f>
        <v>Fox</v>
      </c>
      <c r="H2625" s="14">
        <f>VLOOKUP(E2625,'Rental Transaction'!A:B,2,FALSE)</f>
        <v>448993</v>
      </c>
      <c r="I2625">
        <f t="shared" si="40"/>
        <v>2013</v>
      </c>
    </row>
    <row r="2626" spans="1:9">
      <c r="A2626" s="1">
        <v>10022</v>
      </c>
      <c r="B2626" s="1">
        <v>3</v>
      </c>
      <c r="C2626" s="2">
        <v>41495</v>
      </c>
      <c r="D2626" s="1" t="s">
        <v>2002</v>
      </c>
      <c r="E2626" s="1">
        <v>101484</v>
      </c>
      <c r="F2626" s="6" t="s">
        <v>4628</v>
      </c>
      <c r="G2626" s="15" t="str">
        <f>VLOOKUP(A2626,Movie!A:D,4,FALSE)</f>
        <v>Universal</v>
      </c>
      <c r="H2626" s="14">
        <f>VLOOKUP(E2626,'Rental Transaction'!A:B,2,FALSE)</f>
        <v>448993</v>
      </c>
      <c r="I2626">
        <f t="shared" si="40"/>
        <v>2013</v>
      </c>
    </row>
    <row r="2627" spans="1:9">
      <c r="A2627" s="1">
        <v>10040</v>
      </c>
      <c r="B2627" s="1">
        <v>5</v>
      </c>
      <c r="C2627" s="2">
        <v>41495</v>
      </c>
      <c r="D2627" s="1" t="s">
        <v>2002</v>
      </c>
      <c r="E2627" s="1">
        <v>101484</v>
      </c>
      <c r="F2627" s="6" t="s">
        <v>4629</v>
      </c>
      <c r="G2627" s="15" t="str">
        <f>VLOOKUP(A2627,Movie!A:D,4,FALSE)</f>
        <v>Universal</v>
      </c>
      <c r="H2627" s="14">
        <f>VLOOKUP(E2627,'Rental Transaction'!A:B,2,FALSE)</f>
        <v>448993</v>
      </c>
      <c r="I2627">
        <f t="shared" ref="I2627:I2690" si="41">YEAR(C2627)</f>
        <v>2013</v>
      </c>
    </row>
    <row r="2628" spans="1:9">
      <c r="A2628" s="1">
        <v>10108</v>
      </c>
      <c r="B2628" s="1">
        <v>2</v>
      </c>
      <c r="C2628" s="2">
        <v>41496</v>
      </c>
      <c r="D2628" s="1" t="s">
        <v>2005</v>
      </c>
      <c r="E2628" s="1">
        <v>101485</v>
      </c>
      <c r="F2628" s="6" t="s">
        <v>4630</v>
      </c>
      <c r="G2628" s="15" t="str">
        <f>VLOOKUP(A2628,Movie!A:D,4,FALSE)</f>
        <v>Fox</v>
      </c>
      <c r="H2628" s="14">
        <f>VLOOKUP(E2628,'Rental Transaction'!A:B,2,FALSE)</f>
        <v>485769</v>
      </c>
      <c r="I2628">
        <f t="shared" si="41"/>
        <v>2013</v>
      </c>
    </row>
    <row r="2629" spans="1:9">
      <c r="A2629" s="1">
        <v>10070</v>
      </c>
      <c r="B2629" s="1">
        <v>3</v>
      </c>
      <c r="C2629" s="2">
        <v>41496</v>
      </c>
      <c r="D2629" s="1" t="s">
        <v>2005</v>
      </c>
      <c r="E2629" s="1">
        <v>101485</v>
      </c>
      <c r="F2629" s="6" t="s">
        <v>4631</v>
      </c>
      <c r="G2629" s="15" t="str">
        <f>VLOOKUP(A2629,Movie!A:D,4,FALSE)</f>
        <v>Paramount</v>
      </c>
      <c r="H2629" s="14">
        <f>VLOOKUP(E2629,'Rental Transaction'!A:B,2,FALSE)</f>
        <v>485769</v>
      </c>
      <c r="I2629">
        <f t="shared" si="41"/>
        <v>2013</v>
      </c>
    </row>
    <row r="2630" spans="1:9">
      <c r="A2630" s="1">
        <v>10062</v>
      </c>
      <c r="B2630" s="1">
        <v>9</v>
      </c>
      <c r="C2630" s="2">
        <v>41496</v>
      </c>
      <c r="D2630" s="1" t="s">
        <v>2005</v>
      </c>
      <c r="E2630" s="1">
        <v>101486</v>
      </c>
      <c r="F2630" s="6" t="s">
        <v>4632</v>
      </c>
      <c r="G2630" s="15" t="str">
        <f>VLOOKUP(A2630,Movie!A:D,4,FALSE)</f>
        <v>FilmDistrict</v>
      </c>
      <c r="H2630" s="14">
        <f>VLOOKUP(E2630,'Rental Transaction'!A:B,2,FALSE)</f>
        <v>925565</v>
      </c>
      <c r="I2630">
        <f t="shared" si="41"/>
        <v>2013</v>
      </c>
    </row>
    <row r="2631" spans="1:9">
      <c r="A2631" s="1">
        <v>10127</v>
      </c>
      <c r="B2631" s="1">
        <v>4</v>
      </c>
      <c r="C2631" s="2">
        <v>41496</v>
      </c>
      <c r="D2631" s="1" t="s">
        <v>2005</v>
      </c>
      <c r="E2631" s="1">
        <v>101487</v>
      </c>
      <c r="F2631" s="6" t="s">
        <v>4633</v>
      </c>
      <c r="G2631" s="15" t="str">
        <f>VLOOKUP(A2631,Movie!A:D,4,FALSE)</f>
        <v>TriStar</v>
      </c>
      <c r="H2631" s="14">
        <f>VLOOKUP(E2631,'Rental Transaction'!A:B,2,FALSE)</f>
        <v>739669</v>
      </c>
      <c r="I2631">
        <f t="shared" si="41"/>
        <v>2013</v>
      </c>
    </row>
    <row r="2632" spans="1:9">
      <c r="A2632" s="1">
        <v>10276</v>
      </c>
      <c r="B2632" s="1">
        <v>5</v>
      </c>
      <c r="C2632" s="2">
        <v>41497</v>
      </c>
      <c r="D2632" s="1" t="s">
        <v>2005</v>
      </c>
      <c r="E2632" s="1">
        <v>101487</v>
      </c>
      <c r="F2632" s="6" t="s">
        <v>4634</v>
      </c>
      <c r="G2632" s="15" t="str">
        <f>VLOOKUP(A2632,Movie!A:D,4,FALSE)</f>
        <v>FilmDistrict</v>
      </c>
      <c r="H2632" s="14">
        <f>VLOOKUP(E2632,'Rental Transaction'!A:B,2,FALSE)</f>
        <v>739669</v>
      </c>
      <c r="I2632">
        <f t="shared" si="41"/>
        <v>2013</v>
      </c>
    </row>
    <row r="2633" spans="1:9">
      <c r="A2633" s="1">
        <v>10008</v>
      </c>
      <c r="B2633" s="1">
        <v>8</v>
      </c>
      <c r="C2633" s="2">
        <v>41496</v>
      </c>
      <c r="D2633" s="1" t="s">
        <v>2002</v>
      </c>
      <c r="E2633" s="1">
        <v>101488</v>
      </c>
      <c r="F2633" s="6" t="s">
        <v>4635</v>
      </c>
      <c r="G2633" s="15" t="str">
        <f>VLOOKUP(A2633,Movie!A:D,4,FALSE)</f>
        <v>Sony</v>
      </c>
      <c r="H2633" s="14">
        <f>VLOOKUP(E2633,'Rental Transaction'!A:B,2,FALSE)</f>
        <v>580674</v>
      </c>
      <c r="I2633">
        <f t="shared" si="41"/>
        <v>2013</v>
      </c>
    </row>
    <row r="2634" spans="1:9">
      <c r="A2634" s="1">
        <v>10067</v>
      </c>
      <c r="B2634" s="1">
        <v>1</v>
      </c>
      <c r="C2634" s="2">
        <v>41496</v>
      </c>
      <c r="D2634" s="1" t="s">
        <v>2002</v>
      </c>
      <c r="E2634" s="1">
        <v>101489</v>
      </c>
      <c r="F2634" s="6" t="s">
        <v>4636</v>
      </c>
      <c r="G2634" s="15" t="str">
        <f>VLOOKUP(A2634,Movie!A:D,4,FALSE)</f>
        <v>Paramount</v>
      </c>
      <c r="H2634" s="14">
        <f>VLOOKUP(E2634,'Rental Transaction'!A:B,2,FALSE)</f>
        <v>170500</v>
      </c>
      <c r="I2634">
        <f t="shared" si="41"/>
        <v>2013</v>
      </c>
    </row>
    <row r="2635" spans="1:9">
      <c r="A2635" s="1">
        <v>10174</v>
      </c>
      <c r="B2635" s="1">
        <v>4</v>
      </c>
      <c r="C2635" s="2">
        <v>41497</v>
      </c>
      <c r="D2635" s="1" t="s">
        <v>2005</v>
      </c>
      <c r="E2635" s="1">
        <v>101490</v>
      </c>
      <c r="F2635" s="6" t="s">
        <v>4637</v>
      </c>
      <c r="G2635" s="15" t="str">
        <f>VLOOKUP(A2635,Movie!A:D,4,FALSE)</f>
        <v>Universal</v>
      </c>
      <c r="H2635" s="14">
        <f>VLOOKUP(E2635,'Rental Transaction'!A:B,2,FALSE)</f>
        <v>422717</v>
      </c>
      <c r="I2635">
        <f t="shared" si="41"/>
        <v>2013</v>
      </c>
    </row>
    <row r="2636" spans="1:9" ht="29.25">
      <c r="A2636" s="1">
        <v>10154</v>
      </c>
      <c r="B2636" s="1">
        <v>1</v>
      </c>
      <c r="C2636" s="2">
        <v>41498</v>
      </c>
      <c r="D2636" s="1" t="s">
        <v>2002</v>
      </c>
      <c r="E2636" s="1">
        <v>101490</v>
      </c>
      <c r="F2636" s="6" t="s">
        <v>4638</v>
      </c>
      <c r="G2636" s="15" t="str">
        <f>VLOOKUP(A2636,Movie!A:D,4,FALSE)</f>
        <v>Summit Entertainment</v>
      </c>
      <c r="H2636" s="14">
        <f>VLOOKUP(E2636,'Rental Transaction'!A:B,2,FALSE)</f>
        <v>422717</v>
      </c>
      <c r="I2636">
        <f t="shared" si="41"/>
        <v>2013</v>
      </c>
    </row>
    <row r="2637" spans="1:9">
      <c r="A2637" s="1">
        <v>10007</v>
      </c>
      <c r="B2637" s="1">
        <v>7</v>
      </c>
      <c r="C2637" s="2">
        <v>41498</v>
      </c>
      <c r="D2637" s="1" t="s">
        <v>2005</v>
      </c>
      <c r="E2637" s="1">
        <v>101491</v>
      </c>
      <c r="F2637" s="6" t="s">
        <v>4639</v>
      </c>
      <c r="G2637" s="15" t="str">
        <f>VLOOKUP(A2637,Movie!A:D,4,FALSE)</f>
        <v>Sony</v>
      </c>
      <c r="H2637" s="14">
        <f>VLOOKUP(E2637,'Rental Transaction'!A:B,2,FALSE)</f>
        <v>592528</v>
      </c>
      <c r="I2637">
        <f t="shared" si="41"/>
        <v>2013</v>
      </c>
    </row>
    <row r="2638" spans="1:9">
      <c r="A2638" s="1">
        <v>10287</v>
      </c>
      <c r="B2638" s="1">
        <v>7</v>
      </c>
      <c r="C2638" s="2">
        <v>41498</v>
      </c>
      <c r="D2638" s="1" t="s">
        <v>2002</v>
      </c>
      <c r="E2638" s="1">
        <v>101491</v>
      </c>
      <c r="F2638" s="6" t="s">
        <v>4640</v>
      </c>
      <c r="G2638" s="15" t="str">
        <f>VLOOKUP(A2638,Movie!A:D,4,FALSE)</f>
        <v>Lionsgate</v>
      </c>
      <c r="H2638" s="14">
        <f>VLOOKUP(E2638,'Rental Transaction'!A:B,2,FALSE)</f>
        <v>592528</v>
      </c>
      <c r="I2638">
        <f t="shared" si="41"/>
        <v>2013</v>
      </c>
    </row>
    <row r="2639" spans="1:9">
      <c r="A2639" s="1">
        <v>10126</v>
      </c>
      <c r="B2639" s="1">
        <v>7</v>
      </c>
      <c r="C2639" s="2">
        <v>41497</v>
      </c>
      <c r="D2639" s="1" t="s">
        <v>2002</v>
      </c>
      <c r="E2639" s="1">
        <v>101491</v>
      </c>
      <c r="F2639" s="6" t="s">
        <v>4641</v>
      </c>
      <c r="G2639" s="15" t="str">
        <f>VLOOKUP(A2639,Movie!A:D,4,FALSE)</f>
        <v>Fox</v>
      </c>
      <c r="H2639" s="14">
        <f>VLOOKUP(E2639,'Rental Transaction'!A:B,2,FALSE)</f>
        <v>592528</v>
      </c>
      <c r="I2639">
        <f t="shared" si="41"/>
        <v>2013</v>
      </c>
    </row>
    <row r="2640" spans="1:9">
      <c r="A2640" s="1">
        <v>10297</v>
      </c>
      <c r="B2640" s="1">
        <v>5</v>
      </c>
      <c r="C2640" s="2">
        <v>41496</v>
      </c>
      <c r="D2640" s="1" t="s">
        <v>2005</v>
      </c>
      <c r="E2640" s="1">
        <v>101492</v>
      </c>
      <c r="F2640" s="6" t="s">
        <v>4642</v>
      </c>
      <c r="G2640" s="15" t="str">
        <f>VLOOKUP(A2640,Movie!A:D,4,FALSE)</f>
        <v>Focus</v>
      </c>
      <c r="H2640" s="14">
        <f>VLOOKUP(E2640,'Rental Transaction'!A:B,2,FALSE)</f>
        <v>296208</v>
      </c>
      <c r="I2640">
        <f t="shared" si="41"/>
        <v>2013</v>
      </c>
    </row>
    <row r="2641" spans="1:9">
      <c r="A2641" s="1">
        <v>10250</v>
      </c>
      <c r="B2641" s="1">
        <v>8</v>
      </c>
      <c r="C2641" s="2">
        <v>41496</v>
      </c>
      <c r="D2641" s="1" t="s">
        <v>2002</v>
      </c>
      <c r="E2641" s="1">
        <v>101492</v>
      </c>
      <c r="F2641" s="6" t="s">
        <v>4643</v>
      </c>
      <c r="G2641" s="15" t="str">
        <f>VLOOKUP(A2641,Movie!A:D,4,FALSE)</f>
        <v>Buena Vista</v>
      </c>
      <c r="H2641" s="14">
        <f>VLOOKUP(E2641,'Rental Transaction'!A:B,2,FALSE)</f>
        <v>296208</v>
      </c>
      <c r="I2641">
        <f t="shared" si="41"/>
        <v>2013</v>
      </c>
    </row>
    <row r="2642" spans="1:9">
      <c r="A2642" s="1">
        <v>10152</v>
      </c>
      <c r="B2642" s="1">
        <v>10</v>
      </c>
      <c r="C2642" s="2">
        <v>41496</v>
      </c>
      <c r="D2642" s="1" t="s">
        <v>2005</v>
      </c>
      <c r="E2642" s="1">
        <v>101493</v>
      </c>
      <c r="F2642" s="6" t="s">
        <v>4644</v>
      </c>
      <c r="G2642" s="15" t="str">
        <f>VLOOKUP(A2642,Movie!A:D,4,FALSE)</f>
        <v>FilmDistrict</v>
      </c>
      <c r="H2642" s="14">
        <f>VLOOKUP(E2642,'Rental Transaction'!A:B,2,FALSE)</f>
        <v>872851</v>
      </c>
      <c r="I2642">
        <f t="shared" si="41"/>
        <v>2013</v>
      </c>
    </row>
    <row r="2643" spans="1:9">
      <c r="A2643" s="1">
        <v>10086</v>
      </c>
      <c r="B2643" s="1">
        <v>10</v>
      </c>
      <c r="C2643" s="2">
        <v>41496</v>
      </c>
      <c r="D2643" s="1" t="s">
        <v>2002</v>
      </c>
      <c r="E2643" s="1">
        <v>101494</v>
      </c>
      <c r="F2643" s="6" t="s">
        <v>4645</v>
      </c>
      <c r="G2643" s="15" t="str">
        <f>VLOOKUP(A2643,Movie!A:D,4,FALSE)</f>
        <v>Buena Vista</v>
      </c>
      <c r="H2643" s="14">
        <f>VLOOKUP(E2643,'Rental Transaction'!A:B,2,FALSE)</f>
        <v>160392</v>
      </c>
      <c r="I2643">
        <f t="shared" si="41"/>
        <v>2013</v>
      </c>
    </row>
    <row r="2644" spans="1:9">
      <c r="A2644" s="1">
        <v>10060</v>
      </c>
      <c r="B2644" s="1">
        <v>4</v>
      </c>
      <c r="C2644" s="2">
        <v>41496</v>
      </c>
      <c r="D2644" s="1" t="s">
        <v>2005</v>
      </c>
      <c r="E2644" s="1">
        <v>101495</v>
      </c>
      <c r="F2644" s="6" t="s">
        <v>4646</v>
      </c>
      <c r="G2644" s="15" t="str">
        <f>VLOOKUP(A2644,Movie!A:D,4,FALSE)</f>
        <v>Warner Brothers</v>
      </c>
      <c r="H2644" s="14">
        <f>VLOOKUP(E2644,'Rental Transaction'!A:B,2,FALSE)</f>
        <v>616392</v>
      </c>
      <c r="I2644">
        <f t="shared" si="41"/>
        <v>2013</v>
      </c>
    </row>
    <row r="2645" spans="1:9">
      <c r="A2645" s="1">
        <v>10060</v>
      </c>
      <c r="B2645" s="1">
        <v>9</v>
      </c>
      <c r="C2645" s="2">
        <v>41496</v>
      </c>
      <c r="D2645" s="1" t="s">
        <v>2005</v>
      </c>
      <c r="E2645" s="1">
        <v>101495</v>
      </c>
      <c r="F2645" s="6" t="s">
        <v>4647</v>
      </c>
      <c r="G2645" s="15" t="str">
        <f>VLOOKUP(A2645,Movie!A:D,4,FALSE)</f>
        <v>Warner Brothers</v>
      </c>
      <c r="H2645" s="14">
        <f>VLOOKUP(E2645,'Rental Transaction'!A:B,2,FALSE)</f>
        <v>616392</v>
      </c>
      <c r="I2645">
        <f t="shared" si="41"/>
        <v>2013</v>
      </c>
    </row>
    <row r="2646" spans="1:9">
      <c r="A2646" s="1">
        <v>10129</v>
      </c>
      <c r="B2646" s="1">
        <v>8</v>
      </c>
      <c r="C2646" s="2">
        <v>41497</v>
      </c>
      <c r="D2646" s="1" t="s">
        <v>2005</v>
      </c>
      <c r="E2646" s="1">
        <v>101496</v>
      </c>
      <c r="F2646" s="6" t="s">
        <v>4648</v>
      </c>
      <c r="G2646" s="15" t="str">
        <f>VLOOKUP(A2646,Movie!A:D,4,FALSE)</f>
        <v>Warner Brothers</v>
      </c>
      <c r="H2646" s="14">
        <f>VLOOKUP(E2646,'Rental Transaction'!A:B,2,FALSE)</f>
        <v>941876</v>
      </c>
      <c r="I2646">
        <f t="shared" si="41"/>
        <v>2013</v>
      </c>
    </row>
    <row r="2647" spans="1:9">
      <c r="A2647" s="1">
        <v>10268</v>
      </c>
      <c r="B2647" s="1">
        <v>1</v>
      </c>
      <c r="C2647" s="2">
        <v>41498</v>
      </c>
      <c r="D2647" s="1" t="s">
        <v>2005</v>
      </c>
      <c r="E2647" s="1">
        <v>101497</v>
      </c>
      <c r="F2647" s="6" t="s">
        <v>4649</v>
      </c>
      <c r="G2647" s="15" t="str">
        <f>VLOOKUP(A2647,Movie!A:D,4,FALSE)</f>
        <v>Buena Vista</v>
      </c>
      <c r="H2647" s="14">
        <f>VLOOKUP(E2647,'Rental Transaction'!A:B,2,FALSE)</f>
        <v>643214</v>
      </c>
      <c r="I2647">
        <f t="shared" si="41"/>
        <v>2013</v>
      </c>
    </row>
    <row r="2648" spans="1:9">
      <c r="A2648" s="1">
        <v>10244</v>
      </c>
      <c r="B2648" s="1">
        <v>9</v>
      </c>
      <c r="C2648" s="2">
        <v>41497</v>
      </c>
      <c r="D2648" s="1" t="s">
        <v>2002</v>
      </c>
      <c r="E2648" s="1">
        <v>101498</v>
      </c>
      <c r="F2648" s="6" t="s">
        <v>4650</v>
      </c>
      <c r="G2648" s="15" t="str">
        <f>VLOOKUP(A2648,Movie!A:D,4,FALSE)</f>
        <v>Sony</v>
      </c>
      <c r="H2648" s="14">
        <f>VLOOKUP(E2648,'Rental Transaction'!A:B,2,FALSE)</f>
        <v>220206</v>
      </c>
      <c r="I2648">
        <f t="shared" si="41"/>
        <v>2013</v>
      </c>
    </row>
    <row r="2649" spans="1:9">
      <c r="A2649" s="1">
        <v>10211</v>
      </c>
      <c r="B2649" s="1">
        <v>4</v>
      </c>
      <c r="C2649" s="2">
        <v>41497</v>
      </c>
      <c r="D2649" s="1" t="s">
        <v>2005</v>
      </c>
      <c r="E2649" s="1">
        <v>101499</v>
      </c>
      <c r="F2649" s="6" t="s">
        <v>4651</v>
      </c>
      <c r="G2649" s="15" t="str">
        <f>VLOOKUP(A2649,Movie!A:D,4,FALSE)</f>
        <v>Buena Vista</v>
      </c>
      <c r="H2649" s="14">
        <f>VLOOKUP(E2649,'Rental Transaction'!A:B,2,FALSE)</f>
        <v>396166</v>
      </c>
      <c r="I2649">
        <f t="shared" si="41"/>
        <v>2013</v>
      </c>
    </row>
    <row r="2650" spans="1:9">
      <c r="A2650" s="1">
        <v>10057</v>
      </c>
      <c r="B2650" s="1">
        <v>2</v>
      </c>
      <c r="C2650" s="2">
        <v>41498</v>
      </c>
      <c r="D2650" s="1" t="s">
        <v>2002</v>
      </c>
      <c r="E2650" s="1">
        <v>101499</v>
      </c>
      <c r="F2650" s="6" t="s">
        <v>4652</v>
      </c>
      <c r="G2650" s="15" t="str">
        <f>VLOOKUP(A2650,Movie!A:D,4,FALSE)</f>
        <v>Warner Brothers</v>
      </c>
      <c r="H2650" s="14">
        <f>VLOOKUP(E2650,'Rental Transaction'!A:B,2,FALSE)</f>
        <v>396166</v>
      </c>
      <c r="I2650">
        <f t="shared" si="41"/>
        <v>2013</v>
      </c>
    </row>
    <row r="2651" spans="1:9">
      <c r="A2651" s="1">
        <v>10221</v>
      </c>
      <c r="B2651" s="1">
        <v>8</v>
      </c>
      <c r="C2651" s="2">
        <v>41497</v>
      </c>
      <c r="D2651" s="1" t="s">
        <v>2002</v>
      </c>
      <c r="E2651" s="1">
        <v>101500</v>
      </c>
      <c r="F2651" s="6" t="s">
        <v>4653</v>
      </c>
      <c r="G2651" s="15" t="str">
        <f>VLOOKUP(A2651,Movie!A:D,4,FALSE)</f>
        <v>Fox</v>
      </c>
      <c r="H2651" s="14">
        <f>VLOOKUP(E2651,'Rental Transaction'!A:B,2,FALSE)</f>
        <v>464984</v>
      </c>
      <c r="I2651">
        <f t="shared" si="41"/>
        <v>2013</v>
      </c>
    </row>
    <row r="2652" spans="1:9">
      <c r="A2652" s="1">
        <v>10227</v>
      </c>
      <c r="B2652" s="1">
        <v>3</v>
      </c>
      <c r="C2652" s="2">
        <v>41498</v>
      </c>
      <c r="D2652" s="1" t="s">
        <v>2002</v>
      </c>
      <c r="E2652" s="1">
        <v>101500</v>
      </c>
      <c r="F2652" s="6" t="s">
        <v>4654</v>
      </c>
      <c r="G2652" s="15" t="str">
        <f>VLOOKUP(A2652,Movie!A:D,4,FALSE)</f>
        <v>Focus</v>
      </c>
      <c r="H2652" s="14">
        <f>VLOOKUP(E2652,'Rental Transaction'!A:B,2,FALSE)</f>
        <v>464984</v>
      </c>
      <c r="I2652">
        <f t="shared" si="41"/>
        <v>2013</v>
      </c>
    </row>
    <row r="2653" spans="1:9">
      <c r="A2653" s="1">
        <v>10287</v>
      </c>
      <c r="B2653" s="1">
        <v>10</v>
      </c>
      <c r="C2653" s="2">
        <v>41497</v>
      </c>
      <c r="D2653" s="1" t="s">
        <v>2002</v>
      </c>
      <c r="E2653" s="1">
        <v>101501</v>
      </c>
      <c r="F2653" s="6" t="s">
        <v>4655</v>
      </c>
      <c r="G2653" s="15" t="str">
        <f>VLOOKUP(A2653,Movie!A:D,4,FALSE)</f>
        <v>Lionsgate</v>
      </c>
      <c r="H2653" s="14">
        <f>VLOOKUP(E2653,'Rental Transaction'!A:B,2,FALSE)</f>
        <v>286196</v>
      </c>
      <c r="I2653">
        <f t="shared" si="41"/>
        <v>2013</v>
      </c>
    </row>
    <row r="2654" spans="1:9">
      <c r="A2654" s="1">
        <v>10238</v>
      </c>
      <c r="B2654" s="1">
        <v>2</v>
      </c>
      <c r="C2654" s="2">
        <v>41497</v>
      </c>
      <c r="D2654" s="1" t="s">
        <v>2002</v>
      </c>
      <c r="E2654" s="1">
        <v>101501</v>
      </c>
      <c r="F2654" s="6" t="s">
        <v>4656</v>
      </c>
      <c r="G2654" s="15" t="str">
        <f>VLOOKUP(A2654,Movie!A:D,4,FALSE)</f>
        <v>Warner Brothers</v>
      </c>
      <c r="H2654" s="14">
        <f>VLOOKUP(E2654,'Rental Transaction'!A:B,2,FALSE)</f>
        <v>286196</v>
      </c>
      <c r="I2654">
        <f t="shared" si="41"/>
        <v>2013</v>
      </c>
    </row>
    <row r="2655" spans="1:9">
      <c r="A2655" s="1">
        <v>10196</v>
      </c>
      <c r="B2655" s="1">
        <v>9</v>
      </c>
      <c r="C2655" s="2">
        <v>41497</v>
      </c>
      <c r="D2655" s="1" t="s">
        <v>2002</v>
      </c>
      <c r="E2655" s="1">
        <v>101501</v>
      </c>
      <c r="F2655" s="6" t="s">
        <v>4657</v>
      </c>
      <c r="G2655" s="15" t="str">
        <f>VLOOKUP(A2655,Movie!A:D,4,FALSE)</f>
        <v>Fox</v>
      </c>
      <c r="H2655" s="14">
        <f>VLOOKUP(E2655,'Rental Transaction'!A:B,2,FALSE)</f>
        <v>286196</v>
      </c>
      <c r="I2655">
        <f t="shared" si="41"/>
        <v>2013</v>
      </c>
    </row>
    <row r="2656" spans="1:9">
      <c r="A2656" s="1">
        <v>10035</v>
      </c>
      <c r="B2656" s="1">
        <v>2</v>
      </c>
      <c r="C2656" s="2">
        <v>41497</v>
      </c>
      <c r="D2656" s="1" t="s">
        <v>2002</v>
      </c>
      <c r="E2656" s="1">
        <v>101502</v>
      </c>
      <c r="F2656" s="6" t="s">
        <v>4658</v>
      </c>
      <c r="G2656" s="15" t="str">
        <f>VLOOKUP(A2656,Movie!A:D,4,FALSE)</f>
        <v>Sony</v>
      </c>
      <c r="H2656" s="14">
        <f>VLOOKUP(E2656,'Rental Transaction'!A:B,2,FALSE)</f>
        <v>664411</v>
      </c>
      <c r="I2656">
        <f t="shared" si="41"/>
        <v>2013</v>
      </c>
    </row>
    <row r="2657" spans="1:9">
      <c r="A2657" s="1">
        <v>10016</v>
      </c>
      <c r="B2657" s="1">
        <v>10</v>
      </c>
      <c r="C2657" s="2">
        <v>41497</v>
      </c>
      <c r="D2657" s="1" t="s">
        <v>2005</v>
      </c>
      <c r="E2657" s="1">
        <v>101502</v>
      </c>
      <c r="F2657" s="6" t="s">
        <v>4659</v>
      </c>
      <c r="G2657" s="15" t="str">
        <f>VLOOKUP(A2657,Movie!A:D,4,FALSE)</f>
        <v>Universal</v>
      </c>
      <c r="H2657" s="14">
        <f>VLOOKUP(E2657,'Rental Transaction'!A:B,2,FALSE)</f>
        <v>664411</v>
      </c>
      <c r="I2657">
        <f t="shared" si="41"/>
        <v>2013</v>
      </c>
    </row>
    <row r="2658" spans="1:9">
      <c r="A2658" s="1">
        <v>10086</v>
      </c>
      <c r="B2658" s="1">
        <v>2</v>
      </c>
      <c r="C2658" s="2">
        <v>41497</v>
      </c>
      <c r="D2658" s="1" t="s">
        <v>2005</v>
      </c>
      <c r="E2658" s="1">
        <v>101502</v>
      </c>
      <c r="F2658" s="6" t="s">
        <v>4660</v>
      </c>
      <c r="G2658" s="15" t="str">
        <f>VLOOKUP(A2658,Movie!A:D,4,FALSE)</f>
        <v>Buena Vista</v>
      </c>
      <c r="H2658" s="14">
        <f>VLOOKUP(E2658,'Rental Transaction'!A:B,2,FALSE)</f>
        <v>664411</v>
      </c>
      <c r="I2658">
        <f t="shared" si="41"/>
        <v>2013</v>
      </c>
    </row>
    <row r="2659" spans="1:9">
      <c r="A2659" s="1">
        <v>10232</v>
      </c>
      <c r="B2659" s="1">
        <v>6</v>
      </c>
      <c r="C2659" s="2">
        <v>41498</v>
      </c>
      <c r="D2659" s="1" t="s">
        <v>2005</v>
      </c>
      <c r="E2659" s="1">
        <v>101503</v>
      </c>
      <c r="F2659" s="6" t="s">
        <v>4661</v>
      </c>
      <c r="G2659" s="15" t="str">
        <f>VLOOKUP(A2659,Movie!A:D,4,FALSE)</f>
        <v>Paramount</v>
      </c>
      <c r="H2659" s="14">
        <f>VLOOKUP(E2659,'Rental Transaction'!A:B,2,FALSE)</f>
        <v>590517</v>
      </c>
      <c r="I2659">
        <f t="shared" si="41"/>
        <v>2013</v>
      </c>
    </row>
    <row r="2660" spans="1:9">
      <c r="A2660" s="1">
        <v>10005</v>
      </c>
      <c r="B2660" s="1">
        <v>5</v>
      </c>
      <c r="C2660" s="2">
        <v>41497</v>
      </c>
      <c r="D2660" s="1" t="s">
        <v>2005</v>
      </c>
      <c r="E2660" s="1">
        <v>101504</v>
      </c>
      <c r="F2660" s="6" t="s">
        <v>4662</v>
      </c>
      <c r="G2660" s="15" t="str">
        <f>VLOOKUP(A2660,Movie!A:D,4,FALSE)</f>
        <v>Buena Vista</v>
      </c>
      <c r="H2660" s="14">
        <f>VLOOKUP(E2660,'Rental Transaction'!A:B,2,FALSE)</f>
        <v>664411</v>
      </c>
      <c r="I2660">
        <f t="shared" si="41"/>
        <v>2013</v>
      </c>
    </row>
    <row r="2661" spans="1:9">
      <c r="A2661" s="1">
        <v>10258</v>
      </c>
      <c r="B2661" s="1">
        <v>9</v>
      </c>
      <c r="C2661" s="2">
        <v>41498</v>
      </c>
      <c r="D2661" s="1" t="s">
        <v>2002</v>
      </c>
      <c r="E2661" s="1">
        <v>101505</v>
      </c>
      <c r="F2661" s="6" t="s">
        <v>4663</v>
      </c>
      <c r="G2661" s="15" t="str">
        <f>VLOOKUP(A2661,Movie!A:D,4,FALSE)</f>
        <v>Warner Brothers</v>
      </c>
      <c r="H2661" s="14">
        <f>VLOOKUP(E2661,'Rental Transaction'!A:B,2,FALSE)</f>
        <v>742620</v>
      </c>
      <c r="I2661">
        <f t="shared" si="41"/>
        <v>2013</v>
      </c>
    </row>
    <row r="2662" spans="1:9">
      <c r="A2662" s="1">
        <v>10289</v>
      </c>
      <c r="B2662" s="1">
        <v>1</v>
      </c>
      <c r="C2662" s="2">
        <v>41497</v>
      </c>
      <c r="D2662" s="1" t="s">
        <v>2005</v>
      </c>
      <c r="E2662" s="1">
        <v>101506</v>
      </c>
      <c r="F2662" s="6" t="s">
        <v>4664</v>
      </c>
      <c r="G2662" s="15" t="str">
        <f>VLOOKUP(A2662,Movie!A:D,4,FALSE)</f>
        <v>Open Road Films</v>
      </c>
      <c r="H2662" s="14">
        <f>VLOOKUP(E2662,'Rental Transaction'!A:B,2,FALSE)</f>
        <v>882493</v>
      </c>
      <c r="I2662">
        <f t="shared" si="41"/>
        <v>2013</v>
      </c>
    </row>
    <row r="2663" spans="1:9">
      <c r="A2663" s="1">
        <v>10160</v>
      </c>
      <c r="B2663" s="1">
        <v>4</v>
      </c>
      <c r="C2663" s="2">
        <v>41497</v>
      </c>
      <c r="D2663" s="1" t="s">
        <v>2005</v>
      </c>
      <c r="E2663" s="1">
        <v>101507</v>
      </c>
      <c r="F2663" s="6" t="s">
        <v>4665</v>
      </c>
      <c r="G2663" s="15" t="str">
        <f>VLOOKUP(A2663,Movie!A:D,4,FALSE)</f>
        <v>Lionsgate</v>
      </c>
      <c r="H2663" s="14">
        <f>VLOOKUP(E2663,'Rental Transaction'!A:B,2,FALSE)</f>
        <v>465275</v>
      </c>
      <c r="I2663">
        <f t="shared" si="41"/>
        <v>2013</v>
      </c>
    </row>
    <row r="2664" spans="1:9">
      <c r="A2664" s="1">
        <v>10124</v>
      </c>
      <c r="B2664" s="1">
        <v>8</v>
      </c>
      <c r="C2664" s="2">
        <v>41497</v>
      </c>
      <c r="D2664" s="1" t="s">
        <v>2002</v>
      </c>
      <c r="E2664" s="1">
        <v>101507</v>
      </c>
      <c r="F2664" s="6" t="s">
        <v>4666</v>
      </c>
      <c r="G2664" s="15" t="str">
        <f>VLOOKUP(A2664,Movie!A:D,4,FALSE)</f>
        <v>Paramount</v>
      </c>
      <c r="H2664" s="14">
        <f>VLOOKUP(E2664,'Rental Transaction'!A:B,2,FALSE)</f>
        <v>465275</v>
      </c>
      <c r="I2664">
        <f t="shared" si="41"/>
        <v>2013</v>
      </c>
    </row>
    <row r="2665" spans="1:9">
      <c r="A2665" s="1">
        <v>10003</v>
      </c>
      <c r="B2665" s="1">
        <v>1</v>
      </c>
      <c r="C2665" s="2">
        <v>41497</v>
      </c>
      <c r="D2665" s="1" t="s">
        <v>2002</v>
      </c>
      <c r="E2665" s="1">
        <v>101507</v>
      </c>
      <c r="F2665" s="6" t="s">
        <v>4667</v>
      </c>
      <c r="G2665" s="15" t="str">
        <f>VLOOKUP(A2665,Movie!A:D,4,FALSE)</f>
        <v>Paramount</v>
      </c>
      <c r="H2665" s="14">
        <f>VLOOKUP(E2665,'Rental Transaction'!A:B,2,FALSE)</f>
        <v>465275</v>
      </c>
      <c r="I2665">
        <f t="shared" si="41"/>
        <v>2013</v>
      </c>
    </row>
    <row r="2666" spans="1:9">
      <c r="A2666" s="1">
        <v>10288</v>
      </c>
      <c r="B2666" s="1">
        <v>4</v>
      </c>
      <c r="C2666" s="2">
        <v>41497</v>
      </c>
      <c r="D2666" s="1" t="s">
        <v>2002</v>
      </c>
      <c r="E2666" s="1">
        <v>101508</v>
      </c>
      <c r="F2666" s="6" t="s">
        <v>4668</v>
      </c>
      <c r="G2666" s="15" t="str">
        <f>VLOOKUP(A2666,Movie!A:D,4,FALSE)</f>
        <v>Relativity</v>
      </c>
      <c r="H2666" s="14">
        <f>VLOOKUP(E2666,'Rental Transaction'!A:B,2,FALSE)</f>
        <v>813719</v>
      </c>
      <c r="I2666">
        <f t="shared" si="41"/>
        <v>2013</v>
      </c>
    </row>
    <row r="2667" spans="1:9">
      <c r="A2667" s="1">
        <v>10014</v>
      </c>
      <c r="B2667" s="1">
        <v>10</v>
      </c>
      <c r="C2667" s="2">
        <v>41498</v>
      </c>
      <c r="D2667" s="1" t="s">
        <v>2002</v>
      </c>
      <c r="E2667" s="1">
        <v>101509</v>
      </c>
      <c r="F2667" s="6" t="s">
        <v>4669</v>
      </c>
      <c r="G2667" s="15" t="str">
        <f>VLOOKUP(A2667,Movie!A:D,4,FALSE)</f>
        <v>Warner Brothers</v>
      </c>
      <c r="H2667" s="14">
        <f>VLOOKUP(E2667,'Rental Transaction'!A:B,2,FALSE)</f>
        <v>202612</v>
      </c>
      <c r="I2667">
        <f t="shared" si="41"/>
        <v>2013</v>
      </c>
    </row>
    <row r="2668" spans="1:9">
      <c r="A2668" s="1">
        <v>10173</v>
      </c>
      <c r="B2668" s="1">
        <v>4</v>
      </c>
      <c r="C2668" s="2">
        <v>41498</v>
      </c>
      <c r="D2668" s="1" t="s">
        <v>2005</v>
      </c>
      <c r="E2668" s="1">
        <v>101510</v>
      </c>
      <c r="F2668" s="6" t="s">
        <v>4670</v>
      </c>
      <c r="G2668" s="15" t="str">
        <f>VLOOKUP(A2668,Movie!A:D,4,FALSE)</f>
        <v>Sony</v>
      </c>
      <c r="H2668" s="14">
        <f>VLOOKUP(E2668,'Rental Transaction'!A:B,2,FALSE)</f>
        <v>493552</v>
      </c>
      <c r="I2668">
        <f t="shared" si="41"/>
        <v>2013</v>
      </c>
    </row>
    <row r="2669" spans="1:9">
      <c r="A2669" s="1">
        <v>10046</v>
      </c>
      <c r="B2669" s="1">
        <v>4</v>
      </c>
      <c r="C2669" s="2">
        <v>41499</v>
      </c>
      <c r="D2669" s="1" t="s">
        <v>2005</v>
      </c>
      <c r="E2669" s="1">
        <v>101511</v>
      </c>
      <c r="F2669" s="6" t="s">
        <v>4671</v>
      </c>
      <c r="G2669" s="15" t="str">
        <f>VLOOKUP(A2669,Movie!A:D,4,FALSE)</f>
        <v>Sony</v>
      </c>
      <c r="H2669" s="14">
        <f>VLOOKUP(E2669,'Rental Transaction'!A:B,2,FALSE)</f>
        <v>888952</v>
      </c>
      <c r="I2669">
        <f t="shared" si="41"/>
        <v>2013</v>
      </c>
    </row>
    <row r="2670" spans="1:9">
      <c r="A2670" s="1">
        <v>10015</v>
      </c>
      <c r="B2670" s="1">
        <v>5</v>
      </c>
      <c r="C2670" s="2">
        <v>41497</v>
      </c>
      <c r="D2670" s="1" t="s">
        <v>2005</v>
      </c>
      <c r="E2670" s="1">
        <v>101511</v>
      </c>
      <c r="F2670" s="6" t="s">
        <v>4672</v>
      </c>
      <c r="G2670" s="15" t="str">
        <f>VLOOKUP(A2670,Movie!A:D,4,FALSE)</f>
        <v>TriStar</v>
      </c>
      <c r="H2670" s="14">
        <f>VLOOKUP(E2670,'Rental Transaction'!A:B,2,FALSE)</f>
        <v>888952</v>
      </c>
      <c r="I2670">
        <f t="shared" si="41"/>
        <v>2013</v>
      </c>
    </row>
    <row r="2671" spans="1:9">
      <c r="A2671" s="1">
        <v>10063</v>
      </c>
      <c r="B2671" s="1">
        <v>8</v>
      </c>
      <c r="C2671" s="2">
        <v>41498</v>
      </c>
      <c r="D2671" s="1" t="s">
        <v>2002</v>
      </c>
      <c r="E2671" s="1">
        <v>101512</v>
      </c>
      <c r="F2671" s="6" t="s">
        <v>4673</v>
      </c>
      <c r="G2671" s="15" t="str">
        <f>VLOOKUP(A2671,Movie!A:D,4,FALSE)</f>
        <v>CBS Films</v>
      </c>
      <c r="H2671" s="14">
        <f>VLOOKUP(E2671,'Rental Transaction'!A:B,2,FALSE)</f>
        <v>766161</v>
      </c>
      <c r="I2671">
        <f t="shared" si="41"/>
        <v>2013</v>
      </c>
    </row>
    <row r="2672" spans="1:9">
      <c r="A2672" s="1">
        <v>10251</v>
      </c>
      <c r="B2672" s="1">
        <v>10</v>
      </c>
      <c r="C2672" s="2">
        <v>41499</v>
      </c>
      <c r="D2672" s="1" t="s">
        <v>2005</v>
      </c>
      <c r="E2672" s="1">
        <v>101513</v>
      </c>
      <c r="F2672" s="6" t="s">
        <v>4674</v>
      </c>
      <c r="G2672" s="15" t="str">
        <f>VLOOKUP(A2672,Movie!A:D,4,FALSE)</f>
        <v>Universal</v>
      </c>
      <c r="H2672" s="14">
        <f>VLOOKUP(E2672,'Rental Transaction'!A:B,2,FALSE)</f>
        <v>194680</v>
      </c>
      <c r="I2672">
        <f t="shared" si="41"/>
        <v>2013</v>
      </c>
    </row>
    <row r="2673" spans="1:9">
      <c r="A2673" s="1">
        <v>10045</v>
      </c>
      <c r="B2673" s="1">
        <v>7</v>
      </c>
      <c r="C2673" s="2">
        <v>41498</v>
      </c>
      <c r="D2673" s="1" t="s">
        <v>2002</v>
      </c>
      <c r="E2673" s="1">
        <v>101514</v>
      </c>
      <c r="F2673" s="6" t="s">
        <v>4675</v>
      </c>
      <c r="G2673" s="15" t="str">
        <f>VLOOKUP(A2673,Movie!A:D,4,FALSE)</f>
        <v>Warner Brothers</v>
      </c>
      <c r="H2673" s="14">
        <f>VLOOKUP(E2673,'Rental Transaction'!A:B,2,FALSE)</f>
        <v>593317</v>
      </c>
      <c r="I2673">
        <f t="shared" si="41"/>
        <v>2013</v>
      </c>
    </row>
    <row r="2674" spans="1:9">
      <c r="A2674" s="1">
        <v>10276</v>
      </c>
      <c r="B2674" s="1">
        <v>10</v>
      </c>
      <c r="C2674" s="2">
        <v>41498</v>
      </c>
      <c r="D2674" s="1" t="s">
        <v>2005</v>
      </c>
      <c r="E2674" s="1">
        <v>101515</v>
      </c>
      <c r="F2674" s="6" t="s">
        <v>4676</v>
      </c>
      <c r="G2674" s="15" t="str">
        <f>VLOOKUP(A2674,Movie!A:D,4,FALSE)</f>
        <v>FilmDistrict</v>
      </c>
      <c r="H2674" s="14">
        <f>VLOOKUP(E2674,'Rental Transaction'!A:B,2,FALSE)</f>
        <v>618955</v>
      </c>
      <c r="I2674">
        <f t="shared" si="41"/>
        <v>2013</v>
      </c>
    </row>
    <row r="2675" spans="1:9">
      <c r="A2675" s="1">
        <v>10066</v>
      </c>
      <c r="B2675" s="1">
        <v>7</v>
      </c>
      <c r="C2675" s="2">
        <v>41498</v>
      </c>
      <c r="D2675" s="1" t="s">
        <v>2005</v>
      </c>
      <c r="E2675" s="1">
        <v>101515</v>
      </c>
      <c r="F2675" s="6" t="s">
        <v>4677</v>
      </c>
      <c r="G2675" s="15" t="str">
        <f>VLOOKUP(A2675,Movie!A:D,4,FALSE)</f>
        <v>Buena Vista</v>
      </c>
      <c r="H2675" s="14">
        <f>VLOOKUP(E2675,'Rental Transaction'!A:B,2,FALSE)</f>
        <v>618955</v>
      </c>
      <c r="I2675">
        <f t="shared" si="41"/>
        <v>2013</v>
      </c>
    </row>
    <row r="2676" spans="1:9">
      <c r="A2676" s="1">
        <v>10299</v>
      </c>
      <c r="B2676" s="1">
        <v>7</v>
      </c>
      <c r="C2676" s="2">
        <v>41498</v>
      </c>
      <c r="D2676" s="1" t="s">
        <v>2005</v>
      </c>
      <c r="E2676" s="1">
        <v>101515</v>
      </c>
      <c r="F2676" s="6" t="s">
        <v>4678</v>
      </c>
      <c r="G2676" s="15" t="str">
        <f>VLOOKUP(A2676,Movie!A:D,4,FALSE)</f>
        <v>Radius-TWC</v>
      </c>
      <c r="H2676" s="14">
        <f>VLOOKUP(E2676,'Rental Transaction'!A:B,2,FALSE)</f>
        <v>618955</v>
      </c>
      <c r="I2676">
        <f t="shared" si="41"/>
        <v>2013</v>
      </c>
    </row>
    <row r="2677" spans="1:9">
      <c r="A2677" s="1">
        <v>10099</v>
      </c>
      <c r="B2677" s="1">
        <v>2</v>
      </c>
      <c r="C2677" s="2">
        <v>41498</v>
      </c>
      <c r="D2677" s="1" t="s">
        <v>2002</v>
      </c>
      <c r="E2677" s="1">
        <v>101516</v>
      </c>
      <c r="F2677" s="6" t="s">
        <v>4679</v>
      </c>
      <c r="G2677" s="15" t="str">
        <f>VLOOKUP(A2677,Movie!A:D,4,FALSE)</f>
        <v>Lionsgate</v>
      </c>
      <c r="H2677" s="14">
        <f>VLOOKUP(E2677,'Rental Transaction'!A:B,2,FALSE)</f>
        <v>808421</v>
      </c>
      <c r="I2677">
        <f t="shared" si="41"/>
        <v>2013</v>
      </c>
    </row>
    <row r="2678" spans="1:9" ht="29.25">
      <c r="A2678" s="1">
        <v>10239</v>
      </c>
      <c r="B2678" s="1">
        <v>3</v>
      </c>
      <c r="C2678" s="2">
        <v>41498</v>
      </c>
      <c r="D2678" s="1" t="s">
        <v>2005</v>
      </c>
      <c r="E2678" s="1">
        <v>101516</v>
      </c>
      <c r="F2678" s="6" t="s">
        <v>4680</v>
      </c>
      <c r="G2678" s="15" t="str">
        <f>VLOOKUP(A2678,Movie!A:D,4,FALSE)</f>
        <v>Weinstein Company</v>
      </c>
      <c r="H2678" s="14">
        <f>VLOOKUP(E2678,'Rental Transaction'!A:B,2,FALSE)</f>
        <v>808421</v>
      </c>
      <c r="I2678">
        <f t="shared" si="41"/>
        <v>2013</v>
      </c>
    </row>
    <row r="2679" spans="1:9">
      <c r="A2679" s="1">
        <v>10161</v>
      </c>
      <c r="B2679" s="1">
        <v>1</v>
      </c>
      <c r="C2679" s="2">
        <v>41499</v>
      </c>
      <c r="D2679" s="1" t="s">
        <v>2002</v>
      </c>
      <c r="E2679" s="1">
        <v>101516</v>
      </c>
      <c r="F2679" s="6" t="s">
        <v>4681</v>
      </c>
      <c r="G2679" s="15" t="str">
        <f>VLOOKUP(A2679,Movie!A:D,4,FALSE)</f>
        <v>TriStar</v>
      </c>
      <c r="H2679" s="14">
        <f>VLOOKUP(E2679,'Rental Transaction'!A:B,2,FALSE)</f>
        <v>808421</v>
      </c>
      <c r="I2679">
        <f t="shared" si="41"/>
        <v>2013</v>
      </c>
    </row>
    <row r="2680" spans="1:9">
      <c r="A2680" s="1">
        <v>10150</v>
      </c>
      <c r="B2680" s="1">
        <v>7</v>
      </c>
      <c r="C2680" s="2">
        <v>41499</v>
      </c>
      <c r="D2680" s="1" t="s">
        <v>2002</v>
      </c>
      <c r="E2680" s="1">
        <v>101517</v>
      </c>
      <c r="F2680" s="6" t="s">
        <v>4682</v>
      </c>
      <c r="G2680" s="15" t="str">
        <f>VLOOKUP(A2680,Movie!A:D,4,FALSE)</f>
        <v>Focus</v>
      </c>
      <c r="H2680" s="14">
        <f>VLOOKUP(E2680,'Rental Transaction'!A:B,2,FALSE)</f>
        <v>547890</v>
      </c>
      <c r="I2680">
        <f t="shared" si="41"/>
        <v>2013</v>
      </c>
    </row>
    <row r="2681" spans="1:9">
      <c r="A2681" s="1">
        <v>10086</v>
      </c>
      <c r="B2681" s="1">
        <v>4</v>
      </c>
      <c r="C2681" s="2">
        <v>41499</v>
      </c>
      <c r="D2681" s="1" t="s">
        <v>2005</v>
      </c>
      <c r="E2681" s="1">
        <v>101517</v>
      </c>
      <c r="F2681" s="6" t="s">
        <v>4683</v>
      </c>
      <c r="G2681" s="15" t="str">
        <f>VLOOKUP(A2681,Movie!A:D,4,FALSE)</f>
        <v>Buena Vista</v>
      </c>
      <c r="H2681" s="14">
        <f>VLOOKUP(E2681,'Rental Transaction'!A:B,2,FALSE)</f>
        <v>547890</v>
      </c>
      <c r="I2681">
        <f t="shared" si="41"/>
        <v>2013</v>
      </c>
    </row>
    <row r="2682" spans="1:9">
      <c r="A2682" s="1">
        <v>10098</v>
      </c>
      <c r="B2682" s="1">
        <v>8</v>
      </c>
      <c r="C2682" s="2">
        <v>41499</v>
      </c>
      <c r="D2682" s="1" t="s">
        <v>2005</v>
      </c>
      <c r="E2682" s="1">
        <v>101518</v>
      </c>
      <c r="F2682" s="6" t="s">
        <v>4684</v>
      </c>
      <c r="G2682" s="15" t="str">
        <f>VLOOKUP(A2682,Movie!A:D,4,FALSE)</f>
        <v>Warner Brothers</v>
      </c>
      <c r="H2682" s="14">
        <f>VLOOKUP(E2682,'Rental Transaction'!A:B,2,FALSE)</f>
        <v>918682</v>
      </c>
      <c r="I2682">
        <f t="shared" si="41"/>
        <v>2013</v>
      </c>
    </row>
    <row r="2683" spans="1:9">
      <c r="A2683" s="1">
        <v>10101</v>
      </c>
      <c r="B2683" s="1">
        <v>8</v>
      </c>
      <c r="C2683" s="2">
        <v>41499</v>
      </c>
      <c r="D2683" s="1" t="s">
        <v>2005</v>
      </c>
      <c r="E2683" s="1">
        <v>101518</v>
      </c>
      <c r="F2683" s="6" t="s">
        <v>4685</v>
      </c>
      <c r="G2683" s="15" t="str">
        <f>VLOOKUP(A2683,Movie!A:D,4,FALSE)</f>
        <v>Sony</v>
      </c>
      <c r="H2683" s="14">
        <f>VLOOKUP(E2683,'Rental Transaction'!A:B,2,FALSE)</f>
        <v>918682</v>
      </c>
      <c r="I2683">
        <f t="shared" si="41"/>
        <v>2013</v>
      </c>
    </row>
    <row r="2684" spans="1:9">
      <c r="A2684" s="1">
        <v>10073</v>
      </c>
      <c r="B2684" s="1">
        <v>5</v>
      </c>
      <c r="C2684" s="2">
        <v>41499</v>
      </c>
      <c r="D2684" s="1" t="s">
        <v>2002</v>
      </c>
      <c r="E2684" s="1">
        <v>101519</v>
      </c>
      <c r="F2684" s="6" t="s">
        <v>4686</v>
      </c>
      <c r="G2684" s="15" t="str">
        <f>VLOOKUP(A2684,Movie!A:D,4,FALSE)</f>
        <v>FilmDistrict</v>
      </c>
      <c r="H2684" s="14">
        <f>VLOOKUP(E2684,'Rental Transaction'!A:B,2,FALSE)</f>
        <v>306853</v>
      </c>
      <c r="I2684">
        <f t="shared" si="41"/>
        <v>2013</v>
      </c>
    </row>
    <row r="2685" spans="1:9">
      <c r="A2685" s="1">
        <v>10008</v>
      </c>
      <c r="B2685" s="1">
        <v>5</v>
      </c>
      <c r="C2685" s="2">
        <v>41499</v>
      </c>
      <c r="D2685" s="1" t="s">
        <v>2002</v>
      </c>
      <c r="E2685" s="1">
        <v>101519</v>
      </c>
      <c r="F2685" s="6" t="s">
        <v>4687</v>
      </c>
      <c r="G2685" s="15" t="str">
        <f>VLOOKUP(A2685,Movie!A:D,4,FALSE)</f>
        <v>Sony</v>
      </c>
      <c r="H2685" s="14">
        <f>VLOOKUP(E2685,'Rental Transaction'!A:B,2,FALSE)</f>
        <v>306853</v>
      </c>
      <c r="I2685">
        <f t="shared" si="41"/>
        <v>2013</v>
      </c>
    </row>
    <row r="2686" spans="1:9">
      <c r="A2686" s="1">
        <v>10041</v>
      </c>
      <c r="B2686" s="1">
        <v>4</v>
      </c>
      <c r="C2686" s="2">
        <v>41500</v>
      </c>
      <c r="D2686" s="1" t="s">
        <v>2002</v>
      </c>
      <c r="E2686" s="1">
        <v>101520</v>
      </c>
      <c r="F2686" s="6" t="s">
        <v>4688</v>
      </c>
      <c r="G2686" s="15" t="str">
        <f>VLOOKUP(A2686,Movie!A:D,4,FALSE)</f>
        <v>Lionsgate</v>
      </c>
      <c r="H2686" s="14">
        <f>VLOOKUP(E2686,'Rental Transaction'!A:B,2,FALSE)</f>
        <v>724813</v>
      </c>
      <c r="I2686">
        <f t="shared" si="41"/>
        <v>2013</v>
      </c>
    </row>
    <row r="2687" spans="1:9">
      <c r="A2687" s="1">
        <v>10174</v>
      </c>
      <c r="B2687" s="1">
        <v>6</v>
      </c>
      <c r="C2687" s="2">
        <v>41500</v>
      </c>
      <c r="D2687" s="1" t="s">
        <v>2005</v>
      </c>
      <c r="E2687" s="1">
        <v>101520</v>
      </c>
      <c r="F2687" s="6" t="s">
        <v>4689</v>
      </c>
      <c r="G2687" s="15" t="str">
        <f>VLOOKUP(A2687,Movie!A:D,4,FALSE)</f>
        <v>Universal</v>
      </c>
      <c r="H2687" s="14">
        <f>VLOOKUP(E2687,'Rental Transaction'!A:B,2,FALSE)</f>
        <v>724813</v>
      </c>
      <c r="I2687">
        <f t="shared" si="41"/>
        <v>2013</v>
      </c>
    </row>
    <row r="2688" spans="1:9">
      <c r="A2688" s="1">
        <v>10064</v>
      </c>
      <c r="B2688" s="1">
        <v>2</v>
      </c>
      <c r="C2688" s="2">
        <v>41499</v>
      </c>
      <c r="D2688" s="1" t="s">
        <v>2005</v>
      </c>
      <c r="E2688" s="1">
        <v>101520</v>
      </c>
      <c r="F2688" s="6" t="s">
        <v>4690</v>
      </c>
      <c r="G2688" s="15" t="str">
        <f>VLOOKUP(A2688,Movie!A:D,4,FALSE)</f>
        <v>Universal</v>
      </c>
      <c r="H2688" s="14">
        <f>VLOOKUP(E2688,'Rental Transaction'!A:B,2,FALSE)</f>
        <v>724813</v>
      </c>
      <c r="I2688">
        <f t="shared" si="41"/>
        <v>2013</v>
      </c>
    </row>
    <row r="2689" spans="1:9">
      <c r="A2689" s="1">
        <v>10071</v>
      </c>
      <c r="B2689" s="1">
        <v>1</v>
      </c>
      <c r="C2689" s="2">
        <v>41499</v>
      </c>
      <c r="D2689" s="1" t="s">
        <v>2002</v>
      </c>
      <c r="E2689" s="1">
        <v>101521</v>
      </c>
      <c r="F2689" s="6" t="s">
        <v>4691</v>
      </c>
      <c r="G2689" s="15" t="str">
        <f>VLOOKUP(A2689,Movie!A:D,4,FALSE)</f>
        <v>Paramount</v>
      </c>
      <c r="H2689" s="14">
        <f>VLOOKUP(E2689,'Rental Transaction'!A:B,2,FALSE)</f>
        <v>149240</v>
      </c>
      <c r="I2689">
        <f t="shared" si="41"/>
        <v>2013</v>
      </c>
    </row>
    <row r="2690" spans="1:9">
      <c r="A2690" s="1">
        <v>10258</v>
      </c>
      <c r="B2690" s="1">
        <v>4</v>
      </c>
      <c r="C2690" s="2">
        <v>41499</v>
      </c>
      <c r="D2690" s="1" t="s">
        <v>2005</v>
      </c>
      <c r="E2690" s="1">
        <v>101521</v>
      </c>
      <c r="F2690" s="6" t="s">
        <v>4692</v>
      </c>
      <c r="G2690" s="15" t="str">
        <f>VLOOKUP(A2690,Movie!A:D,4,FALSE)</f>
        <v>Warner Brothers</v>
      </c>
      <c r="H2690" s="14">
        <f>VLOOKUP(E2690,'Rental Transaction'!A:B,2,FALSE)</f>
        <v>149240</v>
      </c>
      <c r="I2690">
        <f t="shared" si="41"/>
        <v>2013</v>
      </c>
    </row>
    <row r="2691" spans="1:9" ht="29.25">
      <c r="A2691" s="1">
        <v>10285</v>
      </c>
      <c r="B2691" s="1">
        <v>7</v>
      </c>
      <c r="C2691" s="2">
        <v>41500</v>
      </c>
      <c r="D2691" s="1" t="s">
        <v>2005</v>
      </c>
      <c r="E2691" s="1">
        <v>101522</v>
      </c>
      <c r="F2691" s="6" t="s">
        <v>4693</v>
      </c>
      <c r="G2691" s="15" t="str">
        <f>VLOOKUP(A2691,Movie!A:D,4,FALSE)</f>
        <v>Roadside Attractions</v>
      </c>
      <c r="H2691" s="14">
        <f>VLOOKUP(E2691,'Rental Transaction'!A:B,2,FALSE)</f>
        <v>479497</v>
      </c>
      <c r="I2691">
        <f t="shared" ref="I2691:I2754" si="42">YEAR(C2691)</f>
        <v>2013</v>
      </c>
    </row>
    <row r="2692" spans="1:9">
      <c r="A2692" s="1">
        <v>10061</v>
      </c>
      <c r="B2692" s="1">
        <v>2</v>
      </c>
      <c r="C2692" s="2">
        <v>41500</v>
      </c>
      <c r="D2692" s="1" t="s">
        <v>2005</v>
      </c>
      <c r="E2692" s="1">
        <v>101522</v>
      </c>
      <c r="F2692" s="6" t="s">
        <v>4694</v>
      </c>
      <c r="G2692" s="15" t="str">
        <f>VLOOKUP(A2692,Movie!A:D,4,FALSE)</f>
        <v>Fox</v>
      </c>
      <c r="H2692" s="14">
        <f>VLOOKUP(E2692,'Rental Transaction'!A:B,2,FALSE)</f>
        <v>479497</v>
      </c>
      <c r="I2692">
        <f t="shared" si="42"/>
        <v>2013</v>
      </c>
    </row>
    <row r="2693" spans="1:9">
      <c r="A2693" s="1">
        <v>10247</v>
      </c>
      <c r="B2693" s="1">
        <v>8</v>
      </c>
      <c r="C2693" s="2">
        <v>41501</v>
      </c>
      <c r="D2693" s="1" t="s">
        <v>2002</v>
      </c>
      <c r="E2693" s="1">
        <v>101523</v>
      </c>
      <c r="F2693" s="6" t="s">
        <v>4695</v>
      </c>
      <c r="G2693" s="15" t="str">
        <f>VLOOKUP(A2693,Movie!A:D,4,FALSE)</f>
        <v>Fox</v>
      </c>
      <c r="H2693" s="14">
        <f>VLOOKUP(E2693,'Rental Transaction'!A:B,2,FALSE)</f>
        <v>315634</v>
      </c>
      <c r="I2693">
        <f t="shared" si="42"/>
        <v>2013</v>
      </c>
    </row>
    <row r="2694" spans="1:9">
      <c r="A2694" s="1">
        <v>10176</v>
      </c>
      <c r="B2694" s="1">
        <v>1</v>
      </c>
      <c r="C2694" s="2">
        <v>41499</v>
      </c>
      <c r="D2694" s="1" t="s">
        <v>2005</v>
      </c>
      <c r="E2694" s="1">
        <v>101524</v>
      </c>
      <c r="F2694" s="6" t="s">
        <v>4696</v>
      </c>
      <c r="G2694" s="15" t="str">
        <f>VLOOKUP(A2694,Movie!A:D,4,FALSE)</f>
        <v>Universal</v>
      </c>
      <c r="H2694" s="14">
        <f>VLOOKUP(E2694,'Rental Transaction'!A:B,2,FALSE)</f>
        <v>933331</v>
      </c>
      <c r="I2694">
        <f t="shared" si="42"/>
        <v>2013</v>
      </c>
    </row>
    <row r="2695" spans="1:9">
      <c r="A2695" s="1">
        <v>10074</v>
      </c>
      <c r="B2695" s="1">
        <v>1</v>
      </c>
      <c r="C2695" s="2">
        <v>41500</v>
      </c>
      <c r="D2695" s="1" t="s">
        <v>2002</v>
      </c>
      <c r="E2695" s="1">
        <v>101524</v>
      </c>
      <c r="F2695" s="6" t="s">
        <v>4697</v>
      </c>
      <c r="G2695" s="15" t="str">
        <f>VLOOKUP(A2695,Movie!A:D,4,FALSE)</f>
        <v>Open Road Films</v>
      </c>
      <c r="H2695" s="14">
        <f>VLOOKUP(E2695,'Rental Transaction'!A:B,2,FALSE)</f>
        <v>933331</v>
      </c>
      <c r="I2695">
        <f t="shared" si="42"/>
        <v>2013</v>
      </c>
    </row>
    <row r="2696" spans="1:9">
      <c r="A2696" s="1">
        <v>10189</v>
      </c>
      <c r="B2696" s="1">
        <v>3</v>
      </c>
      <c r="C2696" s="2">
        <v>41500</v>
      </c>
      <c r="D2696" s="1" t="s">
        <v>2002</v>
      </c>
      <c r="E2696" s="1">
        <v>101525</v>
      </c>
      <c r="F2696" s="6" t="s">
        <v>4698</v>
      </c>
      <c r="G2696" s="15" t="str">
        <f>VLOOKUP(A2696,Movie!A:D,4,FALSE)</f>
        <v>Universal</v>
      </c>
      <c r="H2696" s="14">
        <f>VLOOKUP(E2696,'Rental Transaction'!A:B,2,FALSE)</f>
        <v>305005</v>
      </c>
      <c r="I2696">
        <f t="shared" si="42"/>
        <v>2013</v>
      </c>
    </row>
    <row r="2697" spans="1:9">
      <c r="A2697" s="1">
        <v>10050</v>
      </c>
      <c r="B2697" s="1">
        <v>6</v>
      </c>
      <c r="C2697" s="2">
        <v>41499</v>
      </c>
      <c r="D2697" s="1" t="s">
        <v>2005</v>
      </c>
      <c r="E2697" s="1">
        <v>101526</v>
      </c>
      <c r="F2697" s="6" t="s">
        <v>4699</v>
      </c>
      <c r="G2697" s="15" t="str">
        <f>VLOOKUP(A2697,Movie!A:D,4,FALSE)</f>
        <v>Paramount</v>
      </c>
      <c r="H2697" s="14">
        <f>VLOOKUP(E2697,'Rental Transaction'!A:B,2,FALSE)</f>
        <v>345748</v>
      </c>
      <c r="I2697">
        <f t="shared" si="42"/>
        <v>2013</v>
      </c>
    </row>
    <row r="2698" spans="1:9">
      <c r="A2698" s="1">
        <v>10180</v>
      </c>
      <c r="B2698" s="1">
        <v>1</v>
      </c>
      <c r="C2698" s="2">
        <v>41499</v>
      </c>
      <c r="D2698" s="1" t="s">
        <v>2002</v>
      </c>
      <c r="E2698" s="1">
        <v>101526</v>
      </c>
      <c r="F2698" s="6" t="s">
        <v>4700</v>
      </c>
      <c r="G2698" s="15" t="str">
        <f>VLOOKUP(A2698,Movie!A:D,4,FALSE)</f>
        <v>Relativity</v>
      </c>
      <c r="H2698" s="14">
        <f>VLOOKUP(E2698,'Rental Transaction'!A:B,2,FALSE)</f>
        <v>345748</v>
      </c>
      <c r="I2698">
        <f t="shared" si="42"/>
        <v>2013</v>
      </c>
    </row>
    <row r="2699" spans="1:9">
      <c r="A2699" s="1">
        <v>10117</v>
      </c>
      <c r="B2699" s="1">
        <v>7</v>
      </c>
      <c r="C2699" s="2">
        <v>41500</v>
      </c>
      <c r="D2699" s="1" t="s">
        <v>2002</v>
      </c>
      <c r="E2699" s="1">
        <v>101527</v>
      </c>
      <c r="F2699" s="6" t="s">
        <v>4701</v>
      </c>
      <c r="G2699" s="15" t="str">
        <f>VLOOKUP(A2699,Movie!A:D,4,FALSE)</f>
        <v>Sony</v>
      </c>
      <c r="H2699" s="14">
        <f>VLOOKUP(E2699,'Rental Transaction'!A:B,2,FALSE)</f>
        <v>385115</v>
      </c>
      <c r="I2699">
        <f t="shared" si="42"/>
        <v>2013</v>
      </c>
    </row>
    <row r="2700" spans="1:9">
      <c r="A2700" s="1">
        <v>10007</v>
      </c>
      <c r="B2700" s="1">
        <v>8</v>
      </c>
      <c r="C2700" s="2">
        <v>41501</v>
      </c>
      <c r="D2700" s="1" t="s">
        <v>2005</v>
      </c>
      <c r="E2700" s="1">
        <v>101527</v>
      </c>
      <c r="F2700" s="6" t="s">
        <v>4702</v>
      </c>
      <c r="G2700" s="15" t="str">
        <f>VLOOKUP(A2700,Movie!A:D,4,FALSE)</f>
        <v>Sony</v>
      </c>
      <c r="H2700" s="14">
        <f>VLOOKUP(E2700,'Rental Transaction'!A:B,2,FALSE)</f>
        <v>385115</v>
      </c>
      <c r="I2700">
        <f t="shared" si="42"/>
        <v>2013</v>
      </c>
    </row>
    <row r="2701" spans="1:9">
      <c r="A2701" s="1">
        <v>10112</v>
      </c>
      <c r="B2701" s="1">
        <v>10</v>
      </c>
      <c r="C2701" s="2">
        <v>41500</v>
      </c>
      <c r="D2701" s="1" t="s">
        <v>2002</v>
      </c>
      <c r="E2701" s="1">
        <v>101528</v>
      </c>
      <c r="F2701" s="6" t="s">
        <v>4703</v>
      </c>
      <c r="G2701" s="15" t="str">
        <f>VLOOKUP(A2701,Movie!A:D,4,FALSE)</f>
        <v>Relativity</v>
      </c>
      <c r="H2701" s="14">
        <f>VLOOKUP(E2701,'Rental Transaction'!A:B,2,FALSE)</f>
        <v>850933</v>
      </c>
      <c r="I2701">
        <f t="shared" si="42"/>
        <v>2013</v>
      </c>
    </row>
    <row r="2702" spans="1:9">
      <c r="A2702" s="1">
        <v>10227</v>
      </c>
      <c r="B2702" s="1">
        <v>9</v>
      </c>
      <c r="C2702" s="2">
        <v>41500</v>
      </c>
      <c r="D2702" s="1" t="s">
        <v>2002</v>
      </c>
      <c r="E2702" s="1">
        <v>101528</v>
      </c>
      <c r="F2702" s="6" t="s">
        <v>4704</v>
      </c>
      <c r="G2702" s="15" t="str">
        <f>VLOOKUP(A2702,Movie!A:D,4,FALSE)</f>
        <v>Focus</v>
      </c>
      <c r="H2702" s="14">
        <f>VLOOKUP(E2702,'Rental Transaction'!A:B,2,FALSE)</f>
        <v>850933</v>
      </c>
      <c r="I2702">
        <f t="shared" si="42"/>
        <v>2013</v>
      </c>
    </row>
    <row r="2703" spans="1:9" ht="29.25">
      <c r="A2703" s="1">
        <v>10239</v>
      </c>
      <c r="B2703" s="1">
        <v>5</v>
      </c>
      <c r="C2703" s="2">
        <v>41500</v>
      </c>
      <c r="D2703" s="1" t="s">
        <v>2005</v>
      </c>
      <c r="E2703" s="1">
        <v>101529</v>
      </c>
      <c r="F2703" s="6" t="s">
        <v>4705</v>
      </c>
      <c r="G2703" s="15" t="str">
        <f>VLOOKUP(A2703,Movie!A:D,4,FALSE)</f>
        <v>Weinstein Company</v>
      </c>
      <c r="H2703" s="14">
        <f>VLOOKUP(E2703,'Rental Transaction'!A:B,2,FALSE)</f>
        <v>622506</v>
      </c>
      <c r="I2703">
        <f t="shared" si="42"/>
        <v>2013</v>
      </c>
    </row>
    <row r="2704" spans="1:9">
      <c r="A2704" s="1">
        <v>10047</v>
      </c>
      <c r="B2704" s="1">
        <v>10</v>
      </c>
      <c r="C2704" s="2">
        <v>41500</v>
      </c>
      <c r="D2704" s="1" t="s">
        <v>2002</v>
      </c>
      <c r="E2704" s="1">
        <v>101529</v>
      </c>
      <c r="F2704" s="6" t="s">
        <v>4706</v>
      </c>
      <c r="G2704" s="15" t="str">
        <f>VLOOKUP(A2704,Movie!A:D,4,FALSE)</f>
        <v>Warner Brothers</v>
      </c>
      <c r="H2704" s="14">
        <f>VLOOKUP(E2704,'Rental Transaction'!A:B,2,FALSE)</f>
        <v>622506</v>
      </c>
      <c r="I2704">
        <f t="shared" si="42"/>
        <v>2013</v>
      </c>
    </row>
    <row r="2705" spans="1:9">
      <c r="A2705" s="1">
        <v>10276</v>
      </c>
      <c r="B2705" s="1">
        <v>3</v>
      </c>
      <c r="C2705" s="2">
        <v>41500</v>
      </c>
      <c r="D2705" s="1" t="s">
        <v>2005</v>
      </c>
      <c r="E2705" s="1">
        <v>101530</v>
      </c>
      <c r="F2705" s="6" t="s">
        <v>4707</v>
      </c>
      <c r="G2705" s="15" t="str">
        <f>VLOOKUP(A2705,Movie!A:D,4,FALSE)</f>
        <v>FilmDistrict</v>
      </c>
      <c r="H2705" s="14">
        <f>VLOOKUP(E2705,'Rental Transaction'!A:B,2,FALSE)</f>
        <v>550824</v>
      </c>
      <c r="I2705">
        <f t="shared" si="42"/>
        <v>2013</v>
      </c>
    </row>
    <row r="2706" spans="1:9">
      <c r="A2706" s="1">
        <v>10184</v>
      </c>
      <c r="B2706" s="1">
        <v>10</v>
      </c>
      <c r="C2706" s="2">
        <v>41500</v>
      </c>
      <c r="D2706" s="1" t="s">
        <v>2002</v>
      </c>
      <c r="E2706" s="1">
        <v>101530</v>
      </c>
      <c r="F2706" s="6" t="s">
        <v>4708</v>
      </c>
      <c r="G2706" s="15" t="str">
        <f>VLOOKUP(A2706,Movie!A:D,4,FALSE)</f>
        <v>Universal</v>
      </c>
      <c r="H2706" s="14">
        <f>VLOOKUP(E2706,'Rental Transaction'!A:B,2,FALSE)</f>
        <v>550824</v>
      </c>
      <c r="I2706">
        <f t="shared" si="42"/>
        <v>2013</v>
      </c>
    </row>
    <row r="2707" spans="1:9" ht="29.25">
      <c r="A2707" s="1">
        <v>10028</v>
      </c>
      <c r="B2707" s="1">
        <v>2</v>
      </c>
      <c r="C2707" s="2">
        <v>41500</v>
      </c>
      <c r="D2707" s="1" t="s">
        <v>2002</v>
      </c>
      <c r="E2707" s="1">
        <v>101531</v>
      </c>
      <c r="F2707" s="6" t="s">
        <v>4709</v>
      </c>
      <c r="G2707" s="15" t="str">
        <f>VLOOKUP(A2707,Movie!A:D,4,FALSE)</f>
        <v>Summit Entertainment</v>
      </c>
      <c r="H2707" s="14">
        <f>VLOOKUP(E2707,'Rental Transaction'!A:B,2,FALSE)</f>
        <v>924649</v>
      </c>
      <c r="I2707">
        <f t="shared" si="42"/>
        <v>2013</v>
      </c>
    </row>
    <row r="2708" spans="1:9">
      <c r="A2708" s="1">
        <v>10116</v>
      </c>
      <c r="B2708" s="1">
        <v>5</v>
      </c>
      <c r="C2708" s="2">
        <v>41501</v>
      </c>
      <c r="D2708" s="1" t="s">
        <v>2002</v>
      </c>
      <c r="E2708" s="1">
        <v>101531</v>
      </c>
      <c r="F2708" s="6" t="s">
        <v>4710</v>
      </c>
      <c r="G2708" s="15" t="str">
        <f>VLOOKUP(A2708,Movie!A:D,4,FALSE)</f>
        <v>Universal</v>
      </c>
      <c r="H2708" s="14">
        <f>VLOOKUP(E2708,'Rental Transaction'!A:B,2,FALSE)</f>
        <v>924649</v>
      </c>
      <c r="I2708">
        <f t="shared" si="42"/>
        <v>2013</v>
      </c>
    </row>
    <row r="2709" spans="1:9">
      <c r="A2709" s="1">
        <v>10127</v>
      </c>
      <c r="B2709" s="1">
        <v>3</v>
      </c>
      <c r="C2709" s="2">
        <v>41500</v>
      </c>
      <c r="D2709" s="1" t="s">
        <v>2002</v>
      </c>
      <c r="E2709" s="1">
        <v>101532</v>
      </c>
      <c r="F2709" s="6" t="s">
        <v>4711</v>
      </c>
      <c r="G2709" s="15" t="str">
        <f>VLOOKUP(A2709,Movie!A:D,4,FALSE)</f>
        <v>TriStar</v>
      </c>
      <c r="H2709" s="14">
        <f>VLOOKUP(E2709,'Rental Transaction'!A:B,2,FALSE)</f>
        <v>425051</v>
      </c>
      <c r="I2709">
        <f t="shared" si="42"/>
        <v>2013</v>
      </c>
    </row>
    <row r="2710" spans="1:9">
      <c r="A2710" s="1">
        <v>10271</v>
      </c>
      <c r="B2710" s="1">
        <v>7</v>
      </c>
      <c r="C2710" s="2">
        <v>41501</v>
      </c>
      <c r="D2710" s="1" t="s">
        <v>2002</v>
      </c>
      <c r="E2710" s="1">
        <v>101532</v>
      </c>
      <c r="F2710" s="6" t="s">
        <v>4712</v>
      </c>
      <c r="G2710" s="15" t="str">
        <f>VLOOKUP(A2710,Movie!A:D,4,FALSE)</f>
        <v>Universal</v>
      </c>
      <c r="H2710" s="14">
        <f>VLOOKUP(E2710,'Rental Transaction'!A:B,2,FALSE)</f>
        <v>425051</v>
      </c>
      <c r="I2710">
        <f t="shared" si="42"/>
        <v>2013</v>
      </c>
    </row>
    <row r="2711" spans="1:9">
      <c r="A2711" s="1">
        <v>10135</v>
      </c>
      <c r="B2711" s="1">
        <v>10</v>
      </c>
      <c r="C2711" s="2">
        <v>41500</v>
      </c>
      <c r="D2711" s="1" t="s">
        <v>2002</v>
      </c>
      <c r="E2711" s="1">
        <v>101533</v>
      </c>
      <c r="F2711" s="6" t="s">
        <v>4713</v>
      </c>
      <c r="G2711" s="15" t="str">
        <f>VLOOKUP(A2711,Movie!A:D,4,FALSE)</f>
        <v>Universal</v>
      </c>
      <c r="H2711" s="14">
        <f>VLOOKUP(E2711,'Rental Transaction'!A:B,2,FALSE)</f>
        <v>586201</v>
      </c>
      <c r="I2711">
        <f t="shared" si="42"/>
        <v>2013</v>
      </c>
    </row>
    <row r="2712" spans="1:9">
      <c r="A2712" s="1">
        <v>10052</v>
      </c>
      <c r="B2712" s="1">
        <v>1</v>
      </c>
      <c r="C2712" s="2">
        <v>41500</v>
      </c>
      <c r="D2712" s="1" t="s">
        <v>2005</v>
      </c>
      <c r="E2712" s="1">
        <v>101534</v>
      </c>
      <c r="F2712" s="6" t="s">
        <v>4714</v>
      </c>
      <c r="G2712" s="15" t="str">
        <f>VLOOKUP(A2712,Movie!A:D,4,FALSE)</f>
        <v>Warner Brothers</v>
      </c>
      <c r="H2712" s="14">
        <f>VLOOKUP(E2712,'Rental Transaction'!A:B,2,FALSE)</f>
        <v>900440</v>
      </c>
      <c r="I2712">
        <f t="shared" si="42"/>
        <v>2013</v>
      </c>
    </row>
    <row r="2713" spans="1:9">
      <c r="A2713" s="1">
        <v>10206</v>
      </c>
      <c r="B2713" s="1">
        <v>1</v>
      </c>
      <c r="C2713" s="2">
        <v>41501</v>
      </c>
      <c r="D2713" s="1" t="s">
        <v>2005</v>
      </c>
      <c r="E2713" s="1">
        <v>101534</v>
      </c>
      <c r="F2713" s="6" t="s">
        <v>4715</v>
      </c>
      <c r="G2713" s="15" t="str">
        <f>VLOOKUP(A2713,Movie!A:D,4,FALSE)</f>
        <v>Fox</v>
      </c>
      <c r="H2713" s="14">
        <f>VLOOKUP(E2713,'Rental Transaction'!A:B,2,FALSE)</f>
        <v>900440</v>
      </c>
      <c r="I2713">
        <f t="shared" si="42"/>
        <v>2013</v>
      </c>
    </row>
    <row r="2714" spans="1:9">
      <c r="A2714" s="1">
        <v>10062</v>
      </c>
      <c r="B2714" s="1">
        <v>9</v>
      </c>
      <c r="C2714" s="2">
        <v>41500</v>
      </c>
      <c r="D2714" s="1" t="s">
        <v>2002</v>
      </c>
      <c r="E2714" s="1">
        <v>101534</v>
      </c>
      <c r="F2714" s="6" t="s">
        <v>4716</v>
      </c>
      <c r="G2714" s="15" t="str">
        <f>VLOOKUP(A2714,Movie!A:D,4,FALSE)</f>
        <v>FilmDistrict</v>
      </c>
      <c r="H2714" s="14">
        <f>VLOOKUP(E2714,'Rental Transaction'!A:B,2,FALSE)</f>
        <v>900440</v>
      </c>
      <c r="I2714">
        <f t="shared" si="42"/>
        <v>2013</v>
      </c>
    </row>
    <row r="2715" spans="1:9">
      <c r="A2715" s="1">
        <v>10252</v>
      </c>
      <c r="B2715" s="1">
        <v>10</v>
      </c>
      <c r="C2715" s="2">
        <v>41500</v>
      </c>
      <c r="D2715" s="1" t="s">
        <v>2002</v>
      </c>
      <c r="E2715" s="1">
        <v>101535</v>
      </c>
      <c r="F2715" s="6" t="s">
        <v>4717</v>
      </c>
      <c r="G2715" s="15" t="str">
        <f>VLOOKUP(A2715,Movie!A:D,4,FALSE)</f>
        <v>Warner Brothers</v>
      </c>
      <c r="H2715" s="14">
        <f>VLOOKUP(E2715,'Rental Transaction'!A:B,2,FALSE)</f>
        <v>559688</v>
      </c>
      <c r="I2715">
        <f t="shared" si="42"/>
        <v>2013</v>
      </c>
    </row>
    <row r="2716" spans="1:9">
      <c r="A2716" s="1">
        <v>10101</v>
      </c>
      <c r="B2716" s="1">
        <v>6</v>
      </c>
      <c r="C2716" s="2">
        <v>41502</v>
      </c>
      <c r="D2716" s="1" t="s">
        <v>2005</v>
      </c>
      <c r="E2716" s="1">
        <v>101535</v>
      </c>
      <c r="F2716" s="6" t="s">
        <v>4718</v>
      </c>
      <c r="G2716" s="15" t="str">
        <f>VLOOKUP(A2716,Movie!A:D,4,FALSE)</f>
        <v>Sony</v>
      </c>
      <c r="H2716" s="14">
        <f>VLOOKUP(E2716,'Rental Transaction'!A:B,2,FALSE)</f>
        <v>559688</v>
      </c>
      <c r="I2716">
        <f t="shared" si="42"/>
        <v>2013</v>
      </c>
    </row>
    <row r="2717" spans="1:9">
      <c r="A2717" s="1">
        <v>10189</v>
      </c>
      <c r="B2717" s="1">
        <v>7</v>
      </c>
      <c r="C2717" s="2">
        <v>41501</v>
      </c>
      <c r="D2717" s="1" t="s">
        <v>2002</v>
      </c>
      <c r="E2717" s="1">
        <v>101535</v>
      </c>
      <c r="F2717" s="6" t="s">
        <v>4719</v>
      </c>
      <c r="G2717" s="15" t="str">
        <f>VLOOKUP(A2717,Movie!A:D,4,FALSE)</f>
        <v>Universal</v>
      </c>
      <c r="H2717" s="14">
        <f>VLOOKUP(E2717,'Rental Transaction'!A:B,2,FALSE)</f>
        <v>559688</v>
      </c>
      <c r="I2717">
        <f t="shared" si="42"/>
        <v>2013</v>
      </c>
    </row>
    <row r="2718" spans="1:9">
      <c r="A2718" s="1">
        <v>10025</v>
      </c>
      <c r="B2718" s="1">
        <v>4</v>
      </c>
      <c r="C2718" s="2">
        <v>41502</v>
      </c>
      <c r="D2718" s="1" t="s">
        <v>2002</v>
      </c>
      <c r="E2718" s="1">
        <v>101536</v>
      </c>
      <c r="F2718" s="6" t="s">
        <v>4720</v>
      </c>
      <c r="G2718" s="15" t="str">
        <f>VLOOKUP(A2718,Movie!A:D,4,FALSE)</f>
        <v>Sony</v>
      </c>
      <c r="H2718" s="14">
        <f>VLOOKUP(E2718,'Rental Transaction'!A:B,2,FALSE)</f>
        <v>766161</v>
      </c>
      <c r="I2718">
        <f t="shared" si="42"/>
        <v>2013</v>
      </c>
    </row>
    <row r="2719" spans="1:9">
      <c r="A2719" s="1">
        <v>10054</v>
      </c>
      <c r="B2719" s="1">
        <v>5</v>
      </c>
      <c r="C2719" s="2">
        <v>41501</v>
      </c>
      <c r="D2719" s="1" t="s">
        <v>2005</v>
      </c>
      <c r="E2719" s="1">
        <v>101537</v>
      </c>
      <c r="F2719" s="6" t="s">
        <v>4721</v>
      </c>
      <c r="G2719" s="15" t="str">
        <f>VLOOKUP(A2719,Movie!A:D,4,FALSE)</f>
        <v>Paramount</v>
      </c>
      <c r="H2719" s="14">
        <f>VLOOKUP(E2719,'Rental Transaction'!A:B,2,FALSE)</f>
        <v>897614</v>
      </c>
      <c r="I2719">
        <f t="shared" si="42"/>
        <v>2013</v>
      </c>
    </row>
    <row r="2720" spans="1:9">
      <c r="A2720" s="1">
        <v>10084</v>
      </c>
      <c r="B2720" s="1">
        <v>6</v>
      </c>
      <c r="C2720" s="2">
        <v>41502</v>
      </c>
      <c r="D2720" s="1" t="s">
        <v>2005</v>
      </c>
      <c r="E2720" s="1">
        <v>101537</v>
      </c>
      <c r="F2720" s="6" t="s">
        <v>4722</v>
      </c>
      <c r="G2720" s="15" t="str">
        <f>VLOOKUP(A2720,Movie!A:D,4,FALSE)</f>
        <v>CBS Films</v>
      </c>
      <c r="H2720" s="14">
        <f>VLOOKUP(E2720,'Rental Transaction'!A:B,2,FALSE)</f>
        <v>897614</v>
      </c>
      <c r="I2720">
        <f t="shared" si="42"/>
        <v>2013</v>
      </c>
    </row>
    <row r="2721" spans="1:9">
      <c r="A2721" s="1">
        <v>10048</v>
      </c>
      <c r="B2721" s="1">
        <v>1</v>
      </c>
      <c r="C2721" s="2">
        <v>41501</v>
      </c>
      <c r="D2721" s="1" t="s">
        <v>2002</v>
      </c>
      <c r="E2721" s="1">
        <v>101538</v>
      </c>
      <c r="F2721" s="6" t="s">
        <v>4723</v>
      </c>
      <c r="G2721" s="15" t="str">
        <f>VLOOKUP(A2721,Movie!A:D,4,FALSE)</f>
        <v>Relativity</v>
      </c>
      <c r="H2721" s="14">
        <f>VLOOKUP(E2721,'Rental Transaction'!A:B,2,FALSE)</f>
        <v>119406</v>
      </c>
      <c r="I2721">
        <f t="shared" si="42"/>
        <v>2013</v>
      </c>
    </row>
    <row r="2722" spans="1:9">
      <c r="A2722" s="1">
        <v>10276</v>
      </c>
      <c r="B2722" s="1">
        <v>2</v>
      </c>
      <c r="C2722" s="2">
        <v>41501</v>
      </c>
      <c r="D2722" s="1" t="s">
        <v>2002</v>
      </c>
      <c r="E2722" s="1">
        <v>101539</v>
      </c>
      <c r="F2722" s="6" t="s">
        <v>4724</v>
      </c>
      <c r="G2722" s="15" t="str">
        <f>VLOOKUP(A2722,Movie!A:D,4,FALSE)</f>
        <v>FilmDistrict</v>
      </c>
      <c r="H2722" s="14">
        <f>VLOOKUP(E2722,'Rental Transaction'!A:B,2,FALSE)</f>
        <v>627324</v>
      </c>
      <c r="I2722">
        <f t="shared" si="42"/>
        <v>2013</v>
      </c>
    </row>
    <row r="2723" spans="1:9">
      <c r="A2723" s="1">
        <v>10128</v>
      </c>
      <c r="B2723" s="1">
        <v>7</v>
      </c>
      <c r="C2723" s="2">
        <v>41501</v>
      </c>
      <c r="D2723" s="1" t="s">
        <v>2002</v>
      </c>
      <c r="E2723" s="1">
        <v>101539</v>
      </c>
      <c r="F2723" s="6" t="s">
        <v>4725</v>
      </c>
      <c r="G2723" s="15" t="str">
        <f>VLOOKUP(A2723,Movie!A:D,4,FALSE)</f>
        <v>TriStar</v>
      </c>
      <c r="H2723" s="14">
        <f>VLOOKUP(E2723,'Rental Transaction'!A:B,2,FALSE)</f>
        <v>627324</v>
      </c>
      <c r="I2723">
        <f t="shared" si="42"/>
        <v>2013</v>
      </c>
    </row>
    <row r="2724" spans="1:9">
      <c r="A2724" s="1">
        <v>10229</v>
      </c>
      <c r="B2724" s="1">
        <v>9</v>
      </c>
      <c r="C2724" s="2">
        <v>41501</v>
      </c>
      <c r="D2724" s="1" t="s">
        <v>2005</v>
      </c>
      <c r="E2724" s="1">
        <v>101540</v>
      </c>
      <c r="F2724" s="6" t="s">
        <v>4726</v>
      </c>
      <c r="G2724" s="15" t="str">
        <f>VLOOKUP(A2724,Movie!A:D,4,FALSE)</f>
        <v>TriStar</v>
      </c>
      <c r="H2724" s="14">
        <f>VLOOKUP(E2724,'Rental Transaction'!A:B,2,FALSE)</f>
        <v>347659</v>
      </c>
      <c r="I2724">
        <f t="shared" si="42"/>
        <v>2013</v>
      </c>
    </row>
    <row r="2725" spans="1:9">
      <c r="A2725" s="1">
        <v>10125</v>
      </c>
      <c r="B2725" s="1">
        <v>8</v>
      </c>
      <c r="C2725" s="2">
        <v>41501</v>
      </c>
      <c r="D2725" s="1" t="s">
        <v>2005</v>
      </c>
      <c r="E2725" s="1">
        <v>101540</v>
      </c>
      <c r="F2725" s="6" t="s">
        <v>4727</v>
      </c>
      <c r="G2725" s="15" t="str">
        <f>VLOOKUP(A2725,Movie!A:D,4,FALSE)</f>
        <v>Fox</v>
      </c>
      <c r="H2725" s="14">
        <f>VLOOKUP(E2725,'Rental Transaction'!A:B,2,FALSE)</f>
        <v>347659</v>
      </c>
      <c r="I2725">
        <f t="shared" si="42"/>
        <v>2013</v>
      </c>
    </row>
    <row r="2726" spans="1:9">
      <c r="A2726" s="1">
        <v>10230</v>
      </c>
      <c r="B2726" s="1">
        <v>2</v>
      </c>
      <c r="C2726" s="2">
        <v>41502</v>
      </c>
      <c r="D2726" s="1" t="s">
        <v>2005</v>
      </c>
      <c r="E2726" s="1">
        <v>101540</v>
      </c>
      <c r="F2726" s="6" t="s">
        <v>4728</v>
      </c>
      <c r="G2726" s="15" t="str">
        <f>VLOOKUP(A2726,Movie!A:D,4,FALSE)</f>
        <v>Focus</v>
      </c>
      <c r="H2726" s="14">
        <f>VLOOKUP(E2726,'Rental Transaction'!A:B,2,FALSE)</f>
        <v>347659</v>
      </c>
      <c r="I2726">
        <f t="shared" si="42"/>
        <v>2013</v>
      </c>
    </row>
    <row r="2727" spans="1:9">
      <c r="A2727" s="1">
        <v>10131</v>
      </c>
      <c r="B2727" s="1">
        <v>6</v>
      </c>
      <c r="C2727" s="2">
        <v>41501</v>
      </c>
      <c r="D2727" s="1" t="s">
        <v>2002</v>
      </c>
      <c r="E2727" s="1">
        <v>101541</v>
      </c>
      <c r="F2727" s="6" t="s">
        <v>4729</v>
      </c>
      <c r="G2727" s="15" t="str">
        <f>VLOOKUP(A2727,Movie!A:D,4,FALSE)</f>
        <v>Warner Brothers</v>
      </c>
      <c r="H2727" s="14">
        <f>VLOOKUP(E2727,'Rental Transaction'!A:B,2,FALSE)</f>
        <v>199895</v>
      </c>
      <c r="I2727">
        <f t="shared" si="42"/>
        <v>2013</v>
      </c>
    </row>
    <row r="2728" spans="1:9">
      <c r="A2728" s="1">
        <v>10027</v>
      </c>
      <c r="B2728" s="1">
        <v>10</v>
      </c>
      <c r="C2728" s="2">
        <v>41502</v>
      </c>
      <c r="D2728" s="1" t="s">
        <v>2002</v>
      </c>
      <c r="E2728" s="1">
        <v>101542</v>
      </c>
      <c r="F2728" s="6" t="s">
        <v>4730</v>
      </c>
      <c r="G2728" s="15" t="str">
        <f>VLOOKUP(A2728,Movie!A:D,4,FALSE)</f>
        <v>FilmDistrict</v>
      </c>
      <c r="H2728" s="14">
        <f>VLOOKUP(E2728,'Rental Transaction'!A:B,2,FALSE)</f>
        <v>668931</v>
      </c>
      <c r="I2728">
        <f t="shared" si="42"/>
        <v>2013</v>
      </c>
    </row>
    <row r="2729" spans="1:9">
      <c r="A2729" s="1">
        <v>10127</v>
      </c>
      <c r="B2729" s="1">
        <v>9</v>
      </c>
      <c r="C2729" s="2">
        <v>41501</v>
      </c>
      <c r="D2729" s="1" t="s">
        <v>2002</v>
      </c>
      <c r="E2729" s="1">
        <v>101542</v>
      </c>
      <c r="F2729" s="6" t="s">
        <v>4731</v>
      </c>
      <c r="G2729" s="15" t="str">
        <f>VLOOKUP(A2729,Movie!A:D,4,FALSE)</f>
        <v>TriStar</v>
      </c>
      <c r="H2729" s="14">
        <f>VLOOKUP(E2729,'Rental Transaction'!A:B,2,FALSE)</f>
        <v>668931</v>
      </c>
      <c r="I2729">
        <f t="shared" si="42"/>
        <v>2013</v>
      </c>
    </row>
    <row r="2730" spans="1:9">
      <c r="A2730" s="1">
        <v>10161</v>
      </c>
      <c r="B2730" s="1">
        <v>8</v>
      </c>
      <c r="C2730" s="2">
        <v>41501</v>
      </c>
      <c r="D2730" s="1" t="s">
        <v>2002</v>
      </c>
      <c r="E2730" s="1">
        <v>101542</v>
      </c>
      <c r="F2730" s="6" t="s">
        <v>4732</v>
      </c>
      <c r="G2730" s="15" t="str">
        <f>VLOOKUP(A2730,Movie!A:D,4,FALSE)</f>
        <v>TriStar</v>
      </c>
      <c r="H2730" s="14">
        <f>VLOOKUP(E2730,'Rental Transaction'!A:B,2,FALSE)</f>
        <v>668931</v>
      </c>
      <c r="I2730">
        <f t="shared" si="42"/>
        <v>2013</v>
      </c>
    </row>
    <row r="2731" spans="1:9">
      <c r="A2731" s="1">
        <v>10122</v>
      </c>
      <c r="B2731" s="1">
        <v>9</v>
      </c>
      <c r="C2731" s="2">
        <v>41501</v>
      </c>
      <c r="D2731" s="1" t="s">
        <v>2005</v>
      </c>
      <c r="E2731" s="1">
        <v>101542</v>
      </c>
      <c r="F2731" s="6" t="s">
        <v>4733</v>
      </c>
      <c r="G2731" s="15" t="str">
        <f>VLOOKUP(A2731,Movie!A:D,4,FALSE)</f>
        <v>Relativity</v>
      </c>
      <c r="H2731" s="14">
        <f>VLOOKUP(E2731,'Rental Transaction'!A:B,2,FALSE)</f>
        <v>668931</v>
      </c>
      <c r="I2731">
        <f t="shared" si="42"/>
        <v>2013</v>
      </c>
    </row>
    <row r="2732" spans="1:9">
      <c r="A2732" s="1">
        <v>10122</v>
      </c>
      <c r="B2732" s="1">
        <v>6</v>
      </c>
      <c r="C2732" s="2">
        <v>41501</v>
      </c>
      <c r="D2732" s="1" t="s">
        <v>2002</v>
      </c>
      <c r="E2732" s="1">
        <v>101543</v>
      </c>
      <c r="F2732" s="6" t="s">
        <v>4734</v>
      </c>
      <c r="G2732" s="15" t="str">
        <f>VLOOKUP(A2732,Movie!A:D,4,FALSE)</f>
        <v>Relativity</v>
      </c>
      <c r="H2732" s="14">
        <f>VLOOKUP(E2732,'Rental Transaction'!A:B,2,FALSE)</f>
        <v>798336</v>
      </c>
      <c r="I2732">
        <f t="shared" si="42"/>
        <v>2013</v>
      </c>
    </row>
    <row r="2733" spans="1:9">
      <c r="A2733" s="1">
        <v>10234</v>
      </c>
      <c r="B2733" s="1">
        <v>2</v>
      </c>
      <c r="C2733" s="2">
        <v>41501</v>
      </c>
      <c r="D2733" s="1" t="s">
        <v>2005</v>
      </c>
      <c r="E2733" s="1">
        <v>101544</v>
      </c>
      <c r="F2733" s="6" t="s">
        <v>4735</v>
      </c>
      <c r="G2733" s="15" t="str">
        <f>VLOOKUP(A2733,Movie!A:D,4,FALSE)</f>
        <v>Warner Brothers</v>
      </c>
      <c r="H2733" s="14">
        <f>VLOOKUP(E2733,'Rental Transaction'!A:B,2,FALSE)</f>
        <v>616392</v>
      </c>
      <c r="I2733">
        <f t="shared" si="42"/>
        <v>2013</v>
      </c>
    </row>
    <row r="2734" spans="1:9">
      <c r="A2734" s="1">
        <v>10236</v>
      </c>
      <c r="B2734" s="1">
        <v>10</v>
      </c>
      <c r="C2734" s="2">
        <v>41503</v>
      </c>
      <c r="D2734" s="1" t="s">
        <v>2002</v>
      </c>
      <c r="E2734" s="1">
        <v>101544</v>
      </c>
      <c r="F2734" s="6" t="s">
        <v>4736</v>
      </c>
      <c r="G2734" s="15" t="str">
        <f>VLOOKUP(A2734,Movie!A:D,4,FALSE)</f>
        <v>Lionsgate</v>
      </c>
      <c r="H2734" s="14">
        <f>VLOOKUP(E2734,'Rental Transaction'!A:B,2,FALSE)</f>
        <v>616392</v>
      </c>
      <c r="I2734">
        <f t="shared" si="42"/>
        <v>2013</v>
      </c>
    </row>
    <row r="2735" spans="1:9">
      <c r="A2735" s="1">
        <v>10157</v>
      </c>
      <c r="B2735" s="1">
        <v>8</v>
      </c>
      <c r="C2735" s="2">
        <v>41501</v>
      </c>
      <c r="D2735" s="1" t="s">
        <v>2005</v>
      </c>
      <c r="E2735" s="1">
        <v>101544</v>
      </c>
      <c r="F2735" s="6" t="s">
        <v>4737</v>
      </c>
      <c r="G2735" s="15" t="str">
        <f>VLOOKUP(A2735,Movie!A:D,4,FALSE)</f>
        <v>Paramount</v>
      </c>
      <c r="H2735" s="14">
        <f>VLOOKUP(E2735,'Rental Transaction'!A:B,2,FALSE)</f>
        <v>616392</v>
      </c>
      <c r="I2735">
        <f t="shared" si="42"/>
        <v>2013</v>
      </c>
    </row>
    <row r="2736" spans="1:9">
      <c r="A2736" s="1">
        <v>10182</v>
      </c>
      <c r="B2736" s="1">
        <v>9</v>
      </c>
      <c r="C2736" s="2">
        <v>41503</v>
      </c>
      <c r="D2736" s="1" t="s">
        <v>2002</v>
      </c>
      <c r="E2736" s="1">
        <v>101545</v>
      </c>
      <c r="F2736" s="6" t="s">
        <v>4738</v>
      </c>
      <c r="G2736" s="15" t="str">
        <f>VLOOKUP(A2736,Movie!A:D,4,FALSE)</f>
        <v>Warner Brothers</v>
      </c>
      <c r="H2736" s="14">
        <f>VLOOKUP(E2736,'Rental Transaction'!A:B,2,FALSE)</f>
        <v>454143</v>
      </c>
      <c r="I2736">
        <f t="shared" si="42"/>
        <v>2013</v>
      </c>
    </row>
    <row r="2737" spans="1:9">
      <c r="A2737" s="1">
        <v>10130</v>
      </c>
      <c r="B2737" s="1">
        <v>3</v>
      </c>
      <c r="C2737" s="2">
        <v>41502</v>
      </c>
      <c r="D2737" s="1" t="s">
        <v>2002</v>
      </c>
      <c r="E2737" s="1">
        <v>101546</v>
      </c>
      <c r="F2737" s="6" t="s">
        <v>4739</v>
      </c>
      <c r="G2737" s="15" t="str">
        <f>VLOOKUP(A2737,Movie!A:D,4,FALSE)</f>
        <v>A24</v>
      </c>
      <c r="H2737" s="14">
        <f>VLOOKUP(E2737,'Rental Transaction'!A:B,2,FALSE)</f>
        <v>412876</v>
      </c>
      <c r="I2737">
        <f t="shared" si="42"/>
        <v>2013</v>
      </c>
    </row>
    <row r="2738" spans="1:9">
      <c r="A2738" s="1">
        <v>10124</v>
      </c>
      <c r="B2738" s="1">
        <v>4</v>
      </c>
      <c r="C2738" s="2">
        <v>41502</v>
      </c>
      <c r="D2738" s="1" t="s">
        <v>2005</v>
      </c>
      <c r="E2738" s="1">
        <v>101546</v>
      </c>
      <c r="F2738" s="6" t="s">
        <v>4740</v>
      </c>
      <c r="G2738" s="15" t="str">
        <f>VLOOKUP(A2738,Movie!A:D,4,FALSE)</f>
        <v>Paramount</v>
      </c>
      <c r="H2738" s="14">
        <f>VLOOKUP(E2738,'Rental Transaction'!A:B,2,FALSE)</f>
        <v>412876</v>
      </c>
      <c r="I2738">
        <f t="shared" si="42"/>
        <v>2013</v>
      </c>
    </row>
    <row r="2739" spans="1:9">
      <c r="A2739" s="1">
        <v>10252</v>
      </c>
      <c r="B2739" s="1">
        <v>6</v>
      </c>
      <c r="C2739" s="2">
        <v>41503</v>
      </c>
      <c r="D2739" s="1" t="s">
        <v>2002</v>
      </c>
      <c r="E2739" s="1">
        <v>101547</v>
      </c>
      <c r="F2739" s="6" t="s">
        <v>4741</v>
      </c>
      <c r="G2739" s="15" t="str">
        <f>VLOOKUP(A2739,Movie!A:D,4,FALSE)</f>
        <v>Warner Brothers</v>
      </c>
      <c r="H2739" s="14">
        <f>VLOOKUP(E2739,'Rental Transaction'!A:B,2,FALSE)</f>
        <v>380003</v>
      </c>
      <c r="I2739">
        <f t="shared" si="42"/>
        <v>2013</v>
      </c>
    </row>
    <row r="2740" spans="1:9">
      <c r="A2740" s="1">
        <v>10195</v>
      </c>
      <c r="B2740" s="1">
        <v>3</v>
      </c>
      <c r="C2740" s="2">
        <v>41502</v>
      </c>
      <c r="D2740" s="1" t="s">
        <v>2005</v>
      </c>
      <c r="E2740" s="1">
        <v>101548</v>
      </c>
      <c r="F2740" s="6" t="s">
        <v>4742</v>
      </c>
      <c r="G2740" s="15" t="str">
        <f>VLOOKUP(A2740,Movie!A:D,4,FALSE)</f>
        <v>Sony</v>
      </c>
      <c r="H2740" s="14">
        <f>VLOOKUP(E2740,'Rental Transaction'!A:B,2,FALSE)</f>
        <v>567719</v>
      </c>
      <c r="I2740">
        <f t="shared" si="42"/>
        <v>2013</v>
      </c>
    </row>
    <row r="2741" spans="1:9">
      <c r="A2741" s="1">
        <v>10066</v>
      </c>
      <c r="B2741" s="1">
        <v>6</v>
      </c>
      <c r="C2741" s="2">
        <v>41504</v>
      </c>
      <c r="D2741" s="1" t="s">
        <v>2002</v>
      </c>
      <c r="E2741" s="1">
        <v>101549</v>
      </c>
      <c r="F2741" s="6" t="s">
        <v>4743</v>
      </c>
      <c r="G2741" s="15" t="str">
        <f>VLOOKUP(A2741,Movie!A:D,4,FALSE)</f>
        <v>Buena Vista</v>
      </c>
      <c r="H2741" s="14">
        <f>VLOOKUP(E2741,'Rental Transaction'!A:B,2,FALSE)</f>
        <v>622131</v>
      </c>
      <c r="I2741">
        <f t="shared" si="42"/>
        <v>2013</v>
      </c>
    </row>
    <row r="2742" spans="1:9" ht="29.25">
      <c r="A2742" s="1">
        <v>10028</v>
      </c>
      <c r="B2742" s="1">
        <v>9</v>
      </c>
      <c r="C2742" s="2">
        <v>41503</v>
      </c>
      <c r="D2742" s="1" t="s">
        <v>2002</v>
      </c>
      <c r="E2742" s="1">
        <v>101549</v>
      </c>
      <c r="F2742" s="6" t="s">
        <v>4744</v>
      </c>
      <c r="G2742" s="15" t="str">
        <f>VLOOKUP(A2742,Movie!A:D,4,FALSE)</f>
        <v>Summit Entertainment</v>
      </c>
      <c r="H2742" s="14">
        <f>VLOOKUP(E2742,'Rental Transaction'!A:B,2,FALSE)</f>
        <v>622131</v>
      </c>
      <c r="I2742">
        <f t="shared" si="42"/>
        <v>2013</v>
      </c>
    </row>
    <row r="2743" spans="1:9">
      <c r="A2743" s="1">
        <v>10182</v>
      </c>
      <c r="B2743" s="1">
        <v>7</v>
      </c>
      <c r="C2743" s="2">
        <v>41504</v>
      </c>
      <c r="D2743" s="1" t="s">
        <v>2002</v>
      </c>
      <c r="E2743" s="1">
        <v>101550</v>
      </c>
      <c r="F2743" s="6" t="s">
        <v>4745</v>
      </c>
      <c r="G2743" s="15" t="str">
        <f>VLOOKUP(A2743,Movie!A:D,4,FALSE)</f>
        <v>Warner Brothers</v>
      </c>
      <c r="H2743" s="14">
        <f>VLOOKUP(E2743,'Rental Transaction'!A:B,2,FALSE)</f>
        <v>458448</v>
      </c>
      <c r="I2743">
        <f t="shared" si="42"/>
        <v>2013</v>
      </c>
    </row>
    <row r="2744" spans="1:9">
      <c r="A2744" s="1">
        <v>10092</v>
      </c>
      <c r="B2744" s="1">
        <v>8</v>
      </c>
      <c r="C2744" s="2">
        <v>41502</v>
      </c>
      <c r="D2744" s="1" t="s">
        <v>2002</v>
      </c>
      <c r="E2744" s="1">
        <v>101550</v>
      </c>
      <c r="F2744" s="6" t="s">
        <v>4746</v>
      </c>
      <c r="G2744" s="15" t="str">
        <f>VLOOKUP(A2744,Movie!A:D,4,FALSE)</f>
        <v>Warner Brothers</v>
      </c>
      <c r="H2744" s="14">
        <f>VLOOKUP(E2744,'Rental Transaction'!A:B,2,FALSE)</f>
        <v>458448</v>
      </c>
      <c r="I2744">
        <f t="shared" si="42"/>
        <v>2013</v>
      </c>
    </row>
    <row r="2745" spans="1:9">
      <c r="A2745" s="1">
        <v>10128</v>
      </c>
      <c r="B2745" s="1">
        <v>2</v>
      </c>
      <c r="C2745" s="2">
        <v>41503</v>
      </c>
      <c r="D2745" s="1" t="s">
        <v>2002</v>
      </c>
      <c r="E2745" s="1">
        <v>101551</v>
      </c>
      <c r="F2745" s="6" t="s">
        <v>4747</v>
      </c>
      <c r="G2745" s="15" t="str">
        <f>VLOOKUP(A2745,Movie!A:D,4,FALSE)</f>
        <v>TriStar</v>
      </c>
      <c r="H2745" s="14">
        <f>VLOOKUP(E2745,'Rental Transaction'!A:B,2,FALSE)</f>
        <v>366695</v>
      </c>
      <c r="I2745">
        <f t="shared" si="42"/>
        <v>2013</v>
      </c>
    </row>
    <row r="2746" spans="1:9">
      <c r="A2746" s="1">
        <v>10193</v>
      </c>
      <c r="B2746" s="1">
        <v>5</v>
      </c>
      <c r="C2746" s="2">
        <v>41502</v>
      </c>
      <c r="D2746" s="1" t="s">
        <v>2002</v>
      </c>
      <c r="E2746" s="1">
        <v>101551</v>
      </c>
      <c r="F2746" s="6" t="s">
        <v>4748</v>
      </c>
      <c r="G2746" s="15" t="str">
        <f>VLOOKUP(A2746,Movie!A:D,4,FALSE)</f>
        <v>Fox</v>
      </c>
      <c r="H2746" s="14">
        <f>VLOOKUP(E2746,'Rental Transaction'!A:B,2,FALSE)</f>
        <v>366695</v>
      </c>
      <c r="I2746">
        <f t="shared" si="42"/>
        <v>2013</v>
      </c>
    </row>
    <row r="2747" spans="1:9">
      <c r="A2747" s="1">
        <v>10267</v>
      </c>
      <c r="B2747" s="1">
        <v>5</v>
      </c>
      <c r="C2747" s="2">
        <v>41503</v>
      </c>
      <c r="D2747" s="1" t="s">
        <v>2005</v>
      </c>
      <c r="E2747" s="1">
        <v>101552</v>
      </c>
      <c r="F2747" s="6" t="s">
        <v>4749</v>
      </c>
      <c r="G2747" s="15" t="str">
        <f>VLOOKUP(A2747,Movie!A:D,4,FALSE)</f>
        <v>TriStar</v>
      </c>
      <c r="H2747" s="14">
        <f>VLOOKUP(E2747,'Rental Transaction'!A:B,2,FALSE)</f>
        <v>197102</v>
      </c>
      <c r="I2747">
        <f t="shared" si="42"/>
        <v>2013</v>
      </c>
    </row>
    <row r="2748" spans="1:9">
      <c r="A2748" s="1">
        <v>10041</v>
      </c>
      <c r="B2748" s="1">
        <v>2</v>
      </c>
      <c r="C2748" s="2">
        <v>41502</v>
      </c>
      <c r="D2748" s="1" t="s">
        <v>2005</v>
      </c>
      <c r="E2748" s="1">
        <v>101552</v>
      </c>
      <c r="F2748" s="6" t="s">
        <v>4750</v>
      </c>
      <c r="G2748" s="15" t="str">
        <f>VLOOKUP(A2748,Movie!A:D,4,FALSE)</f>
        <v>Lionsgate</v>
      </c>
      <c r="H2748" s="14">
        <f>VLOOKUP(E2748,'Rental Transaction'!A:B,2,FALSE)</f>
        <v>197102</v>
      </c>
      <c r="I2748">
        <f t="shared" si="42"/>
        <v>2013</v>
      </c>
    </row>
    <row r="2749" spans="1:9">
      <c r="A2749" s="1">
        <v>10090</v>
      </c>
      <c r="B2749" s="1">
        <v>3</v>
      </c>
      <c r="C2749" s="2">
        <v>41502</v>
      </c>
      <c r="D2749" s="1" t="s">
        <v>2002</v>
      </c>
      <c r="E2749" s="1">
        <v>101553</v>
      </c>
      <c r="F2749" s="6" t="s">
        <v>4751</v>
      </c>
      <c r="G2749" s="15" t="str">
        <f>VLOOKUP(A2749,Movie!A:D,4,FALSE)</f>
        <v>Paramount</v>
      </c>
      <c r="H2749" s="14">
        <f>VLOOKUP(E2749,'Rental Transaction'!A:B,2,FALSE)</f>
        <v>345348</v>
      </c>
      <c r="I2749">
        <f t="shared" si="42"/>
        <v>2013</v>
      </c>
    </row>
    <row r="2750" spans="1:9">
      <c r="A2750" s="1">
        <v>10288</v>
      </c>
      <c r="B2750" s="1">
        <v>2</v>
      </c>
      <c r="C2750" s="2">
        <v>41502</v>
      </c>
      <c r="D2750" s="1" t="s">
        <v>2002</v>
      </c>
      <c r="E2750" s="1">
        <v>101554</v>
      </c>
      <c r="F2750" s="6" t="s">
        <v>4752</v>
      </c>
      <c r="G2750" s="15" t="str">
        <f>VLOOKUP(A2750,Movie!A:D,4,FALSE)</f>
        <v>Relativity</v>
      </c>
      <c r="H2750" s="14">
        <f>VLOOKUP(E2750,'Rental Transaction'!A:B,2,FALSE)</f>
        <v>797968</v>
      </c>
      <c r="I2750">
        <f t="shared" si="42"/>
        <v>2013</v>
      </c>
    </row>
    <row r="2751" spans="1:9">
      <c r="A2751" s="1">
        <v>10010</v>
      </c>
      <c r="B2751" s="1">
        <v>6</v>
      </c>
      <c r="C2751" s="2">
        <v>41502</v>
      </c>
      <c r="D2751" s="1" t="s">
        <v>2005</v>
      </c>
      <c r="E2751" s="1">
        <v>101554</v>
      </c>
      <c r="F2751" s="6" t="s">
        <v>4753</v>
      </c>
      <c r="G2751" s="15" t="str">
        <f>VLOOKUP(A2751,Movie!A:D,4,FALSE)</f>
        <v>Buena Vista</v>
      </c>
      <c r="H2751" s="14">
        <f>VLOOKUP(E2751,'Rental Transaction'!A:B,2,FALSE)</f>
        <v>797968</v>
      </c>
      <c r="I2751">
        <f t="shared" si="42"/>
        <v>2013</v>
      </c>
    </row>
    <row r="2752" spans="1:9">
      <c r="A2752" s="1">
        <v>10166</v>
      </c>
      <c r="B2752" s="1">
        <v>7</v>
      </c>
      <c r="C2752" s="2">
        <v>41504</v>
      </c>
      <c r="D2752" s="1" t="s">
        <v>2002</v>
      </c>
      <c r="E2752" s="1">
        <v>101555</v>
      </c>
      <c r="F2752" s="6" t="s">
        <v>4754</v>
      </c>
      <c r="G2752" s="15" t="str">
        <f>VLOOKUP(A2752,Movie!A:D,4,FALSE)</f>
        <v>Fox</v>
      </c>
      <c r="H2752" s="14">
        <f>VLOOKUP(E2752,'Rental Transaction'!A:B,2,FALSE)</f>
        <v>302774</v>
      </c>
      <c r="I2752">
        <f t="shared" si="42"/>
        <v>2013</v>
      </c>
    </row>
    <row r="2753" spans="1:9">
      <c r="A2753" s="1">
        <v>10029</v>
      </c>
      <c r="B2753" s="1">
        <v>2</v>
      </c>
      <c r="C2753" s="2">
        <v>41502</v>
      </c>
      <c r="D2753" s="1" t="s">
        <v>2005</v>
      </c>
      <c r="E2753" s="1">
        <v>101555</v>
      </c>
      <c r="F2753" s="6" t="s">
        <v>4755</v>
      </c>
      <c r="G2753" s="15" t="str">
        <f>VLOOKUP(A2753,Movie!A:D,4,FALSE)</f>
        <v>Relativity</v>
      </c>
      <c r="H2753" s="14">
        <f>VLOOKUP(E2753,'Rental Transaction'!A:B,2,FALSE)</f>
        <v>302774</v>
      </c>
      <c r="I2753">
        <f t="shared" si="42"/>
        <v>2013</v>
      </c>
    </row>
    <row r="2754" spans="1:9">
      <c r="A2754" s="1">
        <v>10148</v>
      </c>
      <c r="B2754" s="1">
        <v>3</v>
      </c>
      <c r="C2754" s="2">
        <v>41502</v>
      </c>
      <c r="D2754" s="1" t="s">
        <v>2005</v>
      </c>
      <c r="E2754" s="1">
        <v>101556</v>
      </c>
      <c r="F2754" s="6" t="s">
        <v>4756</v>
      </c>
      <c r="G2754" s="15" t="str">
        <f>VLOOKUP(A2754,Movie!A:D,4,FALSE)</f>
        <v>Paramount</v>
      </c>
      <c r="H2754" s="14">
        <f>VLOOKUP(E2754,'Rental Transaction'!A:B,2,FALSE)</f>
        <v>890270</v>
      </c>
      <c r="I2754">
        <f t="shared" si="42"/>
        <v>2013</v>
      </c>
    </row>
    <row r="2755" spans="1:9" ht="29.25">
      <c r="A2755" s="1">
        <v>10081</v>
      </c>
      <c r="B2755" s="1">
        <v>4</v>
      </c>
      <c r="C2755" s="2">
        <v>41502</v>
      </c>
      <c r="D2755" s="1" t="s">
        <v>2002</v>
      </c>
      <c r="E2755" s="1">
        <v>101556</v>
      </c>
      <c r="F2755" s="6" t="s">
        <v>4757</v>
      </c>
      <c r="G2755" s="15" t="str">
        <f>VLOOKUP(A2755,Movie!A:D,4,FALSE)</f>
        <v>Weinstein Company</v>
      </c>
      <c r="H2755" s="14">
        <f>VLOOKUP(E2755,'Rental Transaction'!A:B,2,FALSE)</f>
        <v>890270</v>
      </c>
      <c r="I2755">
        <f t="shared" ref="I2755:I2818" si="43">YEAR(C2755)</f>
        <v>2013</v>
      </c>
    </row>
    <row r="2756" spans="1:9">
      <c r="A2756" s="1">
        <v>10241</v>
      </c>
      <c r="B2756" s="1">
        <v>10</v>
      </c>
      <c r="C2756" s="2">
        <v>41502</v>
      </c>
      <c r="D2756" s="1" t="s">
        <v>2002</v>
      </c>
      <c r="E2756" s="1">
        <v>101557</v>
      </c>
      <c r="F2756" s="6" t="s">
        <v>4758</v>
      </c>
      <c r="G2756" s="15" t="str">
        <f>VLOOKUP(A2756,Movie!A:D,4,FALSE)</f>
        <v>Warner Brothers</v>
      </c>
      <c r="H2756" s="14">
        <f>VLOOKUP(E2756,'Rental Transaction'!A:B,2,FALSE)</f>
        <v>745543</v>
      </c>
      <c r="I2756">
        <f t="shared" si="43"/>
        <v>2013</v>
      </c>
    </row>
    <row r="2757" spans="1:9">
      <c r="A2757" s="1">
        <v>10153</v>
      </c>
      <c r="B2757" s="1">
        <v>4</v>
      </c>
      <c r="C2757" s="2">
        <v>41502</v>
      </c>
      <c r="D2757" s="1" t="s">
        <v>2002</v>
      </c>
      <c r="E2757" s="1">
        <v>101557</v>
      </c>
      <c r="F2757" s="6" t="s">
        <v>4759</v>
      </c>
      <c r="G2757" s="15" t="str">
        <f>VLOOKUP(A2757,Movie!A:D,4,FALSE)</f>
        <v>Lionsgate</v>
      </c>
      <c r="H2757" s="14">
        <f>VLOOKUP(E2757,'Rental Transaction'!A:B,2,FALSE)</f>
        <v>745543</v>
      </c>
      <c r="I2757">
        <f t="shared" si="43"/>
        <v>2013</v>
      </c>
    </row>
    <row r="2758" spans="1:9">
      <c r="A2758" s="1">
        <v>10191</v>
      </c>
      <c r="B2758" s="1">
        <v>2</v>
      </c>
      <c r="C2758" s="2">
        <v>41503</v>
      </c>
      <c r="D2758" s="1" t="s">
        <v>2005</v>
      </c>
      <c r="E2758" s="1">
        <v>101558</v>
      </c>
      <c r="F2758" s="6" t="s">
        <v>4760</v>
      </c>
      <c r="G2758" s="15" t="str">
        <f>VLOOKUP(A2758,Movie!A:D,4,FALSE)</f>
        <v>Universal</v>
      </c>
      <c r="H2758" s="14">
        <f>VLOOKUP(E2758,'Rental Transaction'!A:B,2,FALSE)</f>
        <v>924649</v>
      </c>
      <c r="I2758">
        <f t="shared" si="43"/>
        <v>2013</v>
      </c>
    </row>
    <row r="2759" spans="1:9">
      <c r="A2759" s="1">
        <v>10029</v>
      </c>
      <c r="B2759" s="1">
        <v>8</v>
      </c>
      <c r="C2759" s="2">
        <v>41502</v>
      </c>
      <c r="D2759" s="1" t="s">
        <v>2002</v>
      </c>
      <c r="E2759" s="1">
        <v>101559</v>
      </c>
      <c r="F2759" s="6" t="s">
        <v>4761</v>
      </c>
      <c r="G2759" s="15" t="str">
        <f>VLOOKUP(A2759,Movie!A:D,4,FALSE)</f>
        <v>Relativity</v>
      </c>
      <c r="H2759" s="14">
        <f>VLOOKUP(E2759,'Rental Transaction'!A:B,2,FALSE)</f>
        <v>200272</v>
      </c>
      <c r="I2759">
        <f t="shared" si="43"/>
        <v>2013</v>
      </c>
    </row>
    <row r="2760" spans="1:9">
      <c r="A2760" s="1">
        <v>10125</v>
      </c>
      <c r="B2760" s="1">
        <v>1</v>
      </c>
      <c r="C2760" s="2">
        <v>41503</v>
      </c>
      <c r="D2760" s="1" t="s">
        <v>2002</v>
      </c>
      <c r="E2760" s="1">
        <v>101560</v>
      </c>
      <c r="F2760" s="6" t="s">
        <v>4762</v>
      </c>
      <c r="G2760" s="15" t="str">
        <f>VLOOKUP(A2760,Movie!A:D,4,FALSE)</f>
        <v>Fox</v>
      </c>
      <c r="H2760" s="14">
        <f>VLOOKUP(E2760,'Rental Transaction'!A:B,2,FALSE)</f>
        <v>964403</v>
      </c>
      <c r="I2760">
        <f t="shared" si="43"/>
        <v>2013</v>
      </c>
    </row>
    <row r="2761" spans="1:9">
      <c r="A2761" s="1">
        <v>10088</v>
      </c>
      <c r="B2761" s="1">
        <v>4</v>
      </c>
      <c r="C2761" s="2">
        <v>41503</v>
      </c>
      <c r="D2761" s="1" t="s">
        <v>2005</v>
      </c>
      <c r="E2761" s="1">
        <v>101560</v>
      </c>
      <c r="F2761" s="6" t="s">
        <v>4763</v>
      </c>
      <c r="G2761" s="15" t="str">
        <f>VLOOKUP(A2761,Movie!A:D,4,FALSE)</f>
        <v>Warner Brothers</v>
      </c>
      <c r="H2761" s="14">
        <f>VLOOKUP(E2761,'Rental Transaction'!A:B,2,FALSE)</f>
        <v>964403</v>
      </c>
      <c r="I2761">
        <f t="shared" si="43"/>
        <v>2013</v>
      </c>
    </row>
    <row r="2762" spans="1:9">
      <c r="A2762" s="1">
        <v>10131</v>
      </c>
      <c r="B2762" s="1">
        <v>5</v>
      </c>
      <c r="C2762" s="2">
        <v>41503</v>
      </c>
      <c r="D2762" s="1" t="s">
        <v>2002</v>
      </c>
      <c r="E2762" s="1">
        <v>101561</v>
      </c>
      <c r="F2762" s="6" t="s">
        <v>4764</v>
      </c>
      <c r="G2762" s="15" t="str">
        <f>VLOOKUP(A2762,Movie!A:D,4,FALSE)</f>
        <v>Warner Brothers</v>
      </c>
      <c r="H2762" s="14">
        <f>VLOOKUP(E2762,'Rental Transaction'!A:B,2,FALSE)</f>
        <v>841141</v>
      </c>
      <c r="I2762">
        <f t="shared" si="43"/>
        <v>2013</v>
      </c>
    </row>
    <row r="2763" spans="1:9" ht="29.25">
      <c r="A2763" s="1">
        <v>10105</v>
      </c>
      <c r="B2763" s="1">
        <v>5</v>
      </c>
      <c r="C2763" s="2">
        <v>41504</v>
      </c>
      <c r="D2763" s="1" t="s">
        <v>2002</v>
      </c>
      <c r="E2763" s="1">
        <v>101562</v>
      </c>
      <c r="F2763" s="6" t="s">
        <v>4765</v>
      </c>
      <c r="G2763" s="15" t="str">
        <f>VLOOKUP(A2763,Movie!A:D,4,FALSE)</f>
        <v>Weinstein Company</v>
      </c>
      <c r="H2763" s="14">
        <f>VLOOKUP(E2763,'Rental Transaction'!A:B,2,FALSE)</f>
        <v>297686</v>
      </c>
      <c r="I2763">
        <f t="shared" si="43"/>
        <v>2013</v>
      </c>
    </row>
    <row r="2764" spans="1:9" ht="29.25">
      <c r="A2764" s="1">
        <v>10249</v>
      </c>
      <c r="B2764" s="1">
        <v>2</v>
      </c>
      <c r="C2764" s="2">
        <v>41503</v>
      </c>
      <c r="D2764" s="1" t="s">
        <v>2005</v>
      </c>
      <c r="E2764" s="1">
        <v>101563</v>
      </c>
      <c r="F2764" s="6" t="s">
        <v>4766</v>
      </c>
      <c r="G2764" s="15" t="str">
        <f>VLOOKUP(A2764,Movie!A:D,4,FALSE)</f>
        <v>Summit Entertainment</v>
      </c>
      <c r="H2764" s="14">
        <f>VLOOKUP(E2764,'Rental Transaction'!A:B,2,FALSE)</f>
        <v>157695</v>
      </c>
      <c r="I2764">
        <f t="shared" si="43"/>
        <v>2013</v>
      </c>
    </row>
    <row r="2765" spans="1:9">
      <c r="A2765" s="1">
        <v>10171</v>
      </c>
      <c r="B2765" s="1">
        <v>1</v>
      </c>
      <c r="C2765" s="2">
        <v>41503</v>
      </c>
      <c r="D2765" s="1" t="s">
        <v>2005</v>
      </c>
      <c r="E2765" s="1">
        <v>101563</v>
      </c>
      <c r="F2765" s="6" t="s">
        <v>4767</v>
      </c>
      <c r="G2765" s="15" t="str">
        <f>VLOOKUP(A2765,Movie!A:D,4,FALSE)</f>
        <v>Universal</v>
      </c>
      <c r="H2765" s="14">
        <f>VLOOKUP(E2765,'Rental Transaction'!A:B,2,FALSE)</f>
        <v>157695</v>
      </c>
      <c r="I2765">
        <f t="shared" si="43"/>
        <v>2013</v>
      </c>
    </row>
    <row r="2766" spans="1:9">
      <c r="A2766" s="1">
        <v>10147</v>
      </c>
      <c r="B2766" s="1">
        <v>8</v>
      </c>
      <c r="C2766" s="2">
        <v>41503</v>
      </c>
      <c r="D2766" s="1" t="s">
        <v>2005</v>
      </c>
      <c r="E2766" s="1">
        <v>101564</v>
      </c>
      <c r="F2766" s="6" t="s">
        <v>4768</v>
      </c>
      <c r="G2766" s="15" t="str">
        <f>VLOOKUP(A2766,Movie!A:D,4,FALSE)</f>
        <v>Lionsgate</v>
      </c>
      <c r="H2766" s="14">
        <f>VLOOKUP(E2766,'Rental Transaction'!A:B,2,FALSE)</f>
        <v>817500</v>
      </c>
      <c r="I2766">
        <f t="shared" si="43"/>
        <v>2013</v>
      </c>
    </row>
    <row r="2767" spans="1:9">
      <c r="A2767" s="1">
        <v>10015</v>
      </c>
      <c r="B2767" s="1">
        <v>8</v>
      </c>
      <c r="C2767" s="2">
        <v>41503</v>
      </c>
      <c r="D2767" s="1" t="s">
        <v>2005</v>
      </c>
      <c r="E2767" s="1">
        <v>101565</v>
      </c>
      <c r="F2767" s="6" t="s">
        <v>4769</v>
      </c>
      <c r="G2767" s="15" t="str">
        <f>VLOOKUP(A2767,Movie!A:D,4,FALSE)</f>
        <v>TriStar</v>
      </c>
      <c r="H2767" s="14">
        <f>VLOOKUP(E2767,'Rental Transaction'!A:B,2,FALSE)</f>
        <v>783369</v>
      </c>
      <c r="I2767">
        <f t="shared" si="43"/>
        <v>2013</v>
      </c>
    </row>
    <row r="2768" spans="1:9">
      <c r="A2768" s="1">
        <v>10064</v>
      </c>
      <c r="B2768" s="1">
        <v>4</v>
      </c>
      <c r="C2768" s="2">
        <v>41503</v>
      </c>
      <c r="D2768" s="1" t="s">
        <v>2005</v>
      </c>
      <c r="E2768" s="1">
        <v>101565</v>
      </c>
      <c r="F2768" s="6" t="s">
        <v>4770</v>
      </c>
      <c r="G2768" s="15" t="str">
        <f>VLOOKUP(A2768,Movie!A:D,4,FALSE)</f>
        <v>Universal</v>
      </c>
      <c r="H2768" s="14">
        <f>VLOOKUP(E2768,'Rental Transaction'!A:B,2,FALSE)</f>
        <v>783369</v>
      </c>
      <c r="I2768">
        <f t="shared" si="43"/>
        <v>2013</v>
      </c>
    </row>
    <row r="2769" spans="1:9">
      <c r="A2769" s="1">
        <v>10134</v>
      </c>
      <c r="B2769" s="1">
        <v>8</v>
      </c>
      <c r="C2769" s="2">
        <v>41504</v>
      </c>
      <c r="D2769" s="1" t="s">
        <v>2005</v>
      </c>
      <c r="E2769" s="1">
        <v>101566</v>
      </c>
      <c r="F2769" s="6" t="s">
        <v>4771</v>
      </c>
      <c r="G2769" s="15" t="str">
        <f>VLOOKUP(A2769,Movie!A:D,4,FALSE)</f>
        <v>Universal</v>
      </c>
      <c r="H2769" s="14">
        <f>VLOOKUP(E2769,'Rental Transaction'!A:B,2,FALSE)</f>
        <v>671101</v>
      </c>
      <c r="I2769">
        <f t="shared" si="43"/>
        <v>2013</v>
      </c>
    </row>
    <row r="2770" spans="1:9">
      <c r="A2770" s="1">
        <v>10201</v>
      </c>
      <c r="B2770" s="1">
        <v>7</v>
      </c>
      <c r="C2770" s="2">
        <v>41504</v>
      </c>
      <c r="D2770" s="1" t="s">
        <v>2002</v>
      </c>
      <c r="E2770" s="1">
        <v>101566</v>
      </c>
      <c r="F2770" s="6" t="s">
        <v>4772</v>
      </c>
      <c r="G2770" s="15" t="str">
        <f>VLOOKUP(A2770,Movie!A:D,4,FALSE)</f>
        <v>Screen Gems</v>
      </c>
      <c r="H2770" s="14">
        <f>VLOOKUP(E2770,'Rental Transaction'!A:B,2,FALSE)</f>
        <v>671101</v>
      </c>
      <c r="I2770">
        <f t="shared" si="43"/>
        <v>2013</v>
      </c>
    </row>
    <row r="2771" spans="1:9">
      <c r="A2771" s="1">
        <v>10116</v>
      </c>
      <c r="B2771" s="1">
        <v>8</v>
      </c>
      <c r="C2771" s="2">
        <v>41503</v>
      </c>
      <c r="D2771" s="1" t="s">
        <v>2005</v>
      </c>
      <c r="E2771" s="1">
        <v>101567</v>
      </c>
      <c r="F2771" s="6" t="s">
        <v>4773</v>
      </c>
      <c r="G2771" s="15" t="str">
        <f>VLOOKUP(A2771,Movie!A:D,4,FALSE)</f>
        <v>Universal</v>
      </c>
      <c r="H2771" s="14">
        <f>VLOOKUP(E2771,'Rental Transaction'!A:B,2,FALSE)</f>
        <v>200272</v>
      </c>
      <c r="I2771">
        <f t="shared" si="43"/>
        <v>2013</v>
      </c>
    </row>
    <row r="2772" spans="1:9">
      <c r="A2772" s="1">
        <v>10068</v>
      </c>
      <c r="B2772" s="1">
        <v>6</v>
      </c>
      <c r="C2772" s="2">
        <v>41504</v>
      </c>
      <c r="D2772" s="1" t="s">
        <v>2005</v>
      </c>
      <c r="E2772" s="1">
        <v>101567</v>
      </c>
      <c r="F2772" s="6" t="s">
        <v>4774</v>
      </c>
      <c r="G2772" s="15" t="str">
        <f>VLOOKUP(A2772,Movie!A:D,4,FALSE)</f>
        <v>Warner Brothers</v>
      </c>
      <c r="H2772" s="14">
        <f>VLOOKUP(E2772,'Rental Transaction'!A:B,2,FALSE)</f>
        <v>200272</v>
      </c>
      <c r="I2772">
        <f t="shared" si="43"/>
        <v>2013</v>
      </c>
    </row>
    <row r="2773" spans="1:9">
      <c r="A2773" s="1">
        <v>10001</v>
      </c>
      <c r="B2773" s="1">
        <v>9</v>
      </c>
      <c r="C2773" s="2">
        <v>41503</v>
      </c>
      <c r="D2773" s="1" t="s">
        <v>2002</v>
      </c>
      <c r="E2773" s="1">
        <v>101568</v>
      </c>
      <c r="F2773" s="6" t="s">
        <v>4775</v>
      </c>
      <c r="G2773" s="15" t="str">
        <f>VLOOKUP(A2773,Movie!A:D,4,FALSE)</f>
        <v>Focus</v>
      </c>
      <c r="H2773" s="14">
        <f>VLOOKUP(E2773,'Rental Transaction'!A:B,2,FALSE)</f>
        <v>185863</v>
      </c>
      <c r="I2773">
        <f t="shared" si="43"/>
        <v>2013</v>
      </c>
    </row>
    <row r="2774" spans="1:9">
      <c r="A2774" s="1">
        <v>10023</v>
      </c>
      <c r="B2774" s="1">
        <v>3</v>
      </c>
      <c r="C2774" s="2">
        <v>41504</v>
      </c>
      <c r="D2774" s="1" t="s">
        <v>2005</v>
      </c>
      <c r="E2774" s="1">
        <v>101568</v>
      </c>
      <c r="F2774" s="6" t="s">
        <v>4776</v>
      </c>
      <c r="G2774" s="15" t="str">
        <f>VLOOKUP(A2774,Movie!A:D,4,FALSE)</f>
        <v>Buena Vista</v>
      </c>
      <c r="H2774" s="14">
        <f>VLOOKUP(E2774,'Rental Transaction'!A:B,2,FALSE)</f>
        <v>185863</v>
      </c>
      <c r="I2774">
        <f t="shared" si="43"/>
        <v>2013</v>
      </c>
    </row>
    <row r="2775" spans="1:9" ht="29.25">
      <c r="A2775" s="1">
        <v>10136</v>
      </c>
      <c r="B2775" s="1">
        <v>10</v>
      </c>
      <c r="C2775" s="2">
        <v>41503</v>
      </c>
      <c r="D2775" s="1" t="s">
        <v>2002</v>
      </c>
      <c r="E2775" s="1">
        <v>101569</v>
      </c>
      <c r="F2775" s="6" t="s">
        <v>4777</v>
      </c>
      <c r="G2775" s="15" t="str">
        <f>VLOOKUP(A2775,Movie!A:D,4,FALSE)</f>
        <v>Weinstein Company</v>
      </c>
      <c r="H2775" s="14">
        <f>VLOOKUP(E2775,'Rental Transaction'!A:B,2,FALSE)</f>
        <v>308505</v>
      </c>
      <c r="I2775">
        <f t="shared" si="43"/>
        <v>2013</v>
      </c>
    </row>
    <row r="2776" spans="1:9">
      <c r="A2776" s="1">
        <v>10037</v>
      </c>
      <c r="B2776" s="1">
        <v>8</v>
      </c>
      <c r="C2776" s="2">
        <v>41503</v>
      </c>
      <c r="D2776" s="1" t="s">
        <v>2005</v>
      </c>
      <c r="E2776" s="1">
        <v>101570</v>
      </c>
      <c r="F2776" s="6" t="s">
        <v>4778</v>
      </c>
      <c r="G2776" s="15" t="str">
        <f>VLOOKUP(A2776,Movie!A:D,4,FALSE)</f>
        <v>Buena Vista</v>
      </c>
      <c r="H2776" s="14">
        <f>VLOOKUP(E2776,'Rental Transaction'!A:B,2,FALSE)</f>
        <v>755271</v>
      </c>
      <c r="I2776">
        <f t="shared" si="43"/>
        <v>2013</v>
      </c>
    </row>
    <row r="2777" spans="1:9">
      <c r="A2777" s="1">
        <v>10070</v>
      </c>
      <c r="B2777" s="1">
        <v>7</v>
      </c>
      <c r="C2777" s="2">
        <v>41503</v>
      </c>
      <c r="D2777" s="1" t="s">
        <v>2002</v>
      </c>
      <c r="E2777" s="1">
        <v>101571</v>
      </c>
      <c r="F2777" s="6" t="s">
        <v>4779</v>
      </c>
      <c r="G2777" s="15" t="str">
        <f>VLOOKUP(A2777,Movie!A:D,4,FALSE)</f>
        <v>Paramount</v>
      </c>
      <c r="H2777" s="14">
        <f>VLOOKUP(E2777,'Rental Transaction'!A:B,2,FALSE)</f>
        <v>412544</v>
      </c>
      <c r="I2777">
        <f t="shared" si="43"/>
        <v>2013</v>
      </c>
    </row>
    <row r="2778" spans="1:9" ht="29.25">
      <c r="A2778" s="1">
        <v>10081</v>
      </c>
      <c r="B2778" s="1">
        <v>4</v>
      </c>
      <c r="C2778" s="2">
        <v>41503</v>
      </c>
      <c r="D2778" s="1" t="s">
        <v>2005</v>
      </c>
      <c r="E2778" s="1">
        <v>101572</v>
      </c>
      <c r="F2778" s="6" t="s">
        <v>4780</v>
      </c>
      <c r="G2778" s="15" t="str">
        <f>VLOOKUP(A2778,Movie!A:D,4,FALSE)</f>
        <v>Weinstein Company</v>
      </c>
      <c r="H2778" s="14">
        <f>VLOOKUP(E2778,'Rental Transaction'!A:B,2,FALSE)</f>
        <v>347659</v>
      </c>
      <c r="I2778">
        <f t="shared" si="43"/>
        <v>2013</v>
      </c>
    </row>
    <row r="2779" spans="1:9">
      <c r="A2779" s="1">
        <v>10048</v>
      </c>
      <c r="B2779" s="1">
        <v>10</v>
      </c>
      <c r="C2779" s="2">
        <v>41503</v>
      </c>
      <c r="D2779" s="1" t="s">
        <v>2005</v>
      </c>
      <c r="E2779" s="1">
        <v>101572</v>
      </c>
      <c r="F2779" s="6" t="s">
        <v>4781</v>
      </c>
      <c r="G2779" s="15" t="str">
        <f>VLOOKUP(A2779,Movie!A:D,4,FALSE)</f>
        <v>Relativity</v>
      </c>
      <c r="H2779" s="14">
        <f>VLOOKUP(E2779,'Rental Transaction'!A:B,2,FALSE)</f>
        <v>347659</v>
      </c>
      <c r="I2779">
        <f t="shared" si="43"/>
        <v>2013</v>
      </c>
    </row>
    <row r="2780" spans="1:9">
      <c r="A2780" s="1">
        <v>10279</v>
      </c>
      <c r="B2780" s="1">
        <v>2</v>
      </c>
      <c r="C2780" s="2">
        <v>41505</v>
      </c>
      <c r="D2780" s="1" t="s">
        <v>2002</v>
      </c>
      <c r="E2780" s="1">
        <v>101573</v>
      </c>
      <c r="F2780" s="6" t="s">
        <v>4782</v>
      </c>
      <c r="G2780" s="15" t="str">
        <f>VLOOKUP(A2780,Movie!A:D,4,FALSE)</f>
        <v>Screen Gems</v>
      </c>
      <c r="H2780" s="14">
        <f>VLOOKUP(E2780,'Rental Transaction'!A:B,2,FALSE)</f>
        <v>897980</v>
      </c>
      <c r="I2780">
        <f t="shared" si="43"/>
        <v>2013</v>
      </c>
    </row>
    <row r="2781" spans="1:9">
      <c r="A2781" s="1">
        <v>10036</v>
      </c>
      <c r="B2781" s="1">
        <v>5</v>
      </c>
      <c r="C2781" s="2">
        <v>41505</v>
      </c>
      <c r="D2781" s="1" t="s">
        <v>2005</v>
      </c>
      <c r="E2781" s="1">
        <v>101574</v>
      </c>
      <c r="F2781" s="6" t="s">
        <v>4783</v>
      </c>
      <c r="G2781" s="15" t="str">
        <f>VLOOKUP(A2781,Movie!A:D,4,FALSE)</f>
        <v>Universal</v>
      </c>
      <c r="H2781" s="14">
        <f>VLOOKUP(E2781,'Rental Transaction'!A:B,2,FALSE)</f>
        <v>128131</v>
      </c>
      <c r="I2781">
        <f t="shared" si="43"/>
        <v>2013</v>
      </c>
    </row>
    <row r="2782" spans="1:9">
      <c r="A2782" s="1">
        <v>10158</v>
      </c>
      <c r="B2782" s="1">
        <v>2</v>
      </c>
      <c r="C2782" s="2">
        <v>41504</v>
      </c>
      <c r="D2782" s="1" t="s">
        <v>2002</v>
      </c>
      <c r="E2782" s="1">
        <v>101574</v>
      </c>
      <c r="F2782" s="6" t="s">
        <v>4784</v>
      </c>
      <c r="G2782" s="15" t="str">
        <f>VLOOKUP(A2782,Movie!A:D,4,FALSE)</f>
        <v>Warner Brothers</v>
      </c>
      <c r="H2782" s="14">
        <f>VLOOKUP(E2782,'Rental Transaction'!A:B,2,FALSE)</f>
        <v>128131</v>
      </c>
      <c r="I2782">
        <f t="shared" si="43"/>
        <v>2013</v>
      </c>
    </row>
    <row r="2783" spans="1:9">
      <c r="A2783" s="1">
        <v>10174</v>
      </c>
      <c r="B2783" s="1">
        <v>4</v>
      </c>
      <c r="C2783" s="2">
        <v>41504</v>
      </c>
      <c r="D2783" s="1" t="s">
        <v>2002</v>
      </c>
      <c r="E2783" s="1">
        <v>101575</v>
      </c>
      <c r="F2783" s="6" t="s">
        <v>4785</v>
      </c>
      <c r="G2783" s="15" t="str">
        <f>VLOOKUP(A2783,Movie!A:D,4,FALSE)</f>
        <v>Universal</v>
      </c>
      <c r="H2783" s="14">
        <f>VLOOKUP(E2783,'Rental Transaction'!A:B,2,FALSE)</f>
        <v>346006</v>
      </c>
      <c r="I2783">
        <f t="shared" si="43"/>
        <v>2013</v>
      </c>
    </row>
    <row r="2784" spans="1:9">
      <c r="A2784" s="1">
        <v>10260</v>
      </c>
      <c r="B2784" s="1">
        <v>8</v>
      </c>
      <c r="C2784" s="2">
        <v>41504</v>
      </c>
      <c r="D2784" s="1" t="s">
        <v>2002</v>
      </c>
      <c r="E2784" s="1">
        <v>101575</v>
      </c>
      <c r="F2784" s="6" t="s">
        <v>4786</v>
      </c>
      <c r="G2784" s="15" t="str">
        <f>VLOOKUP(A2784,Movie!A:D,4,FALSE)</f>
        <v>Sony</v>
      </c>
      <c r="H2784" s="14">
        <f>VLOOKUP(E2784,'Rental Transaction'!A:B,2,FALSE)</f>
        <v>346006</v>
      </c>
      <c r="I2784">
        <f t="shared" si="43"/>
        <v>2013</v>
      </c>
    </row>
    <row r="2785" spans="1:9" ht="29.25">
      <c r="A2785" s="1">
        <v>10246</v>
      </c>
      <c r="B2785" s="1">
        <v>8</v>
      </c>
      <c r="C2785" s="2">
        <v>41504</v>
      </c>
      <c r="D2785" s="1" t="s">
        <v>2005</v>
      </c>
      <c r="E2785" s="1">
        <v>101575</v>
      </c>
      <c r="F2785" s="6" t="s">
        <v>4787</v>
      </c>
      <c r="G2785" s="15" t="str">
        <f>VLOOKUP(A2785,Movie!A:D,4,FALSE)</f>
        <v>Weinstein Company</v>
      </c>
      <c r="H2785" s="14">
        <f>VLOOKUP(E2785,'Rental Transaction'!A:B,2,FALSE)</f>
        <v>346006</v>
      </c>
      <c r="I2785">
        <f t="shared" si="43"/>
        <v>2013</v>
      </c>
    </row>
    <row r="2786" spans="1:9">
      <c r="A2786" s="1">
        <v>10281</v>
      </c>
      <c r="B2786" s="1">
        <v>5</v>
      </c>
      <c r="C2786" s="2">
        <v>41505</v>
      </c>
      <c r="D2786" s="1" t="s">
        <v>2005</v>
      </c>
      <c r="E2786" s="1">
        <v>101576</v>
      </c>
      <c r="F2786" s="6" t="s">
        <v>4788</v>
      </c>
      <c r="G2786" s="15" t="str">
        <f>VLOOKUP(A2786,Movie!A:D,4,FALSE)</f>
        <v>Lionsgate</v>
      </c>
      <c r="H2786" s="14">
        <f>VLOOKUP(E2786,'Rental Transaction'!A:B,2,FALSE)</f>
        <v>593317</v>
      </c>
      <c r="I2786">
        <f t="shared" si="43"/>
        <v>2013</v>
      </c>
    </row>
    <row r="2787" spans="1:9">
      <c r="A2787" s="1">
        <v>10129</v>
      </c>
      <c r="B2787" s="1">
        <v>9</v>
      </c>
      <c r="C2787" s="2">
        <v>41505</v>
      </c>
      <c r="D2787" s="1" t="s">
        <v>2002</v>
      </c>
      <c r="E2787" s="1">
        <v>101576</v>
      </c>
      <c r="F2787" s="6" t="s">
        <v>4789</v>
      </c>
      <c r="G2787" s="15" t="str">
        <f>VLOOKUP(A2787,Movie!A:D,4,FALSE)</f>
        <v>Warner Brothers</v>
      </c>
      <c r="H2787" s="14">
        <f>VLOOKUP(E2787,'Rental Transaction'!A:B,2,FALSE)</f>
        <v>593317</v>
      </c>
      <c r="I2787">
        <f t="shared" si="43"/>
        <v>2013</v>
      </c>
    </row>
    <row r="2788" spans="1:9">
      <c r="A2788" s="1">
        <v>10255</v>
      </c>
      <c r="B2788" s="1">
        <v>2</v>
      </c>
      <c r="C2788" s="2">
        <v>41504</v>
      </c>
      <c r="D2788" s="1" t="s">
        <v>2005</v>
      </c>
      <c r="E2788" s="1">
        <v>101576</v>
      </c>
      <c r="F2788" s="6" t="s">
        <v>4790</v>
      </c>
      <c r="G2788" s="15" t="str">
        <f>VLOOKUP(A2788,Movie!A:D,4,FALSE)</f>
        <v>Paramount</v>
      </c>
      <c r="H2788" s="14">
        <f>VLOOKUP(E2788,'Rental Transaction'!A:B,2,FALSE)</f>
        <v>593317</v>
      </c>
      <c r="I2788">
        <f t="shared" si="43"/>
        <v>2013</v>
      </c>
    </row>
    <row r="2789" spans="1:9">
      <c r="A2789" s="1">
        <v>10193</v>
      </c>
      <c r="B2789" s="1">
        <v>1</v>
      </c>
      <c r="C2789" s="2">
        <v>41504</v>
      </c>
      <c r="D2789" s="1" t="s">
        <v>2005</v>
      </c>
      <c r="E2789" s="1">
        <v>101576</v>
      </c>
      <c r="F2789" s="6" t="s">
        <v>4791</v>
      </c>
      <c r="G2789" s="15" t="str">
        <f>VLOOKUP(A2789,Movie!A:D,4,FALSE)</f>
        <v>Fox</v>
      </c>
      <c r="H2789" s="14">
        <f>VLOOKUP(E2789,'Rental Transaction'!A:B,2,FALSE)</f>
        <v>593317</v>
      </c>
      <c r="I2789">
        <f t="shared" si="43"/>
        <v>2013</v>
      </c>
    </row>
    <row r="2790" spans="1:9">
      <c r="A2790" s="1">
        <v>10129</v>
      </c>
      <c r="B2790" s="1">
        <v>9</v>
      </c>
      <c r="C2790" s="2">
        <v>41504</v>
      </c>
      <c r="D2790" s="1" t="s">
        <v>2005</v>
      </c>
      <c r="E2790" s="1">
        <v>101577</v>
      </c>
      <c r="F2790" s="6" t="s">
        <v>4792</v>
      </c>
      <c r="G2790" s="15" t="str">
        <f>VLOOKUP(A2790,Movie!A:D,4,FALSE)</f>
        <v>Warner Brothers</v>
      </c>
      <c r="H2790" s="14">
        <f>VLOOKUP(E2790,'Rental Transaction'!A:B,2,FALSE)</f>
        <v>766161</v>
      </c>
      <c r="I2790">
        <f t="shared" si="43"/>
        <v>2013</v>
      </c>
    </row>
    <row r="2791" spans="1:9">
      <c r="A2791" s="1">
        <v>10187</v>
      </c>
      <c r="B2791" s="1">
        <v>1</v>
      </c>
      <c r="C2791" s="2">
        <v>41505</v>
      </c>
      <c r="D2791" s="1" t="s">
        <v>2005</v>
      </c>
      <c r="E2791" s="1">
        <v>101577</v>
      </c>
      <c r="F2791" s="6" t="s">
        <v>4793</v>
      </c>
      <c r="G2791" s="15" t="str">
        <f>VLOOKUP(A2791,Movie!A:D,4,FALSE)</f>
        <v>Paramount</v>
      </c>
      <c r="H2791" s="14">
        <f>VLOOKUP(E2791,'Rental Transaction'!A:B,2,FALSE)</f>
        <v>766161</v>
      </c>
      <c r="I2791">
        <f t="shared" si="43"/>
        <v>2013</v>
      </c>
    </row>
    <row r="2792" spans="1:9">
      <c r="A2792" s="1">
        <v>10078</v>
      </c>
      <c r="B2792" s="1">
        <v>3</v>
      </c>
      <c r="C2792" s="2">
        <v>41504</v>
      </c>
      <c r="D2792" s="1" t="s">
        <v>2002</v>
      </c>
      <c r="E2792" s="1">
        <v>101577</v>
      </c>
      <c r="F2792" s="6" t="s">
        <v>4794</v>
      </c>
      <c r="G2792" s="15" t="str">
        <f>VLOOKUP(A2792,Movie!A:D,4,FALSE)</f>
        <v>Paramount</v>
      </c>
      <c r="H2792" s="14">
        <f>VLOOKUP(E2792,'Rental Transaction'!A:B,2,FALSE)</f>
        <v>766161</v>
      </c>
      <c r="I2792">
        <f t="shared" si="43"/>
        <v>2013</v>
      </c>
    </row>
    <row r="2793" spans="1:9">
      <c r="A2793" s="1">
        <v>10163</v>
      </c>
      <c r="B2793" s="1">
        <v>3</v>
      </c>
      <c r="C2793" s="2">
        <v>41504</v>
      </c>
      <c r="D2793" s="1" t="s">
        <v>2002</v>
      </c>
      <c r="E2793" s="1">
        <v>101577</v>
      </c>
      <c r="F2793" s="6" t="s">
        <v>4795</v>
      </c>
      <c r="G2793" s="15" t="str">
        <f>VLOOKUP(A2793,Movie!A:D,4,FALSE)</f>
        <v>Warner Brothers</v>
      </c>
      <c r="H2793" s="14">
        <f>VLOOKUP(E2793,'Rental Transaction'!A:B,2,FALSE)</f>
        <v>766161</v>
      </c>
      <c r="I2793">
        <f t="shared" si="43"/>
        <v>2013</v>
      </c>
    </row>
    <row r="2794" spans="1:9">
      <c r="A2794" s="1">
        <v>10032</v>
      </c>
      <c r="B2794" s="1">
        <v>4</v>
      </c>
      <c r="C2794" s="2">
        <v>41504</v>
      </c>
      <c r="D2794" s="1" t="s">
        <v>2002</v>
      </c>
      <c r="E2794" s="1">
        <v>101578</v>
      </c>
      <c r="F2794" s="6" t="s">
        <v>4796</v>
      </c>
      <c r="G2794" s="15" t="str">
        <f>VLOOKUP(A2794,Movie!A:D,4,FALSE)</f>
        <v>Sony</v>
      </c>
      <c r="H2794" s="14">
        <f>VLOOKUP(E2794,'Rental Transaction'!A:B,2,FALSE)</f>
        <v>891738</v>
      </c>
      <c r="I2794">
        <f t="shared" si="43"/>
        <v>2013</v>
      </c>
    </row>
    <row r="2795" spans="1:9">
      <c r="A2795" s="1">
        <v>10070</v>
      </c>
      <c r="B2795" s="1">
        <v>2</v>
      </c>
      <c r="C2795" s="2">
        <v>41505</v>
      </c>
      <c r="D2795" s="1" t="s">
        <v>2002</v>
      </c>
      <c r="E2795" s="1">
        <v>101578</v>
      </c>
      <c r="F2795" s="6" t="s">
        <v>4797</v>
      </c>
      <c r="G2795" s="15" t="str">
        <f>VLOOKUP(A2795,Movie!A:D,4,FALSE)</f>
        <v>Paramount</v>
      </c>
      <c r="H2795" s="14">
        <f>VLOOKUP(E2795,'Rental Transaction'!A:B,2,FALSE)</f>
        <v>891738</v>
      </c>
      <c r="I2795">
        <f t="shared" si="43"/>
        <v>2013</v>
      </c>
    </row>
    <row r="2796" spans="1:9">
      <c r="A2796" s="1">
        <v>10286</v>
      </c>
      <c r="B2796" s="1">
        <v>8</v>
      </c>
      <c r="C2796" s="2">
        <v>41506</v>
      </c>
      <c r="D2796" s="1" t="s">
        <v>2005</v>
      </c>
      <c r="E2796" s="1">
        <v>101579</v>
      </c>
      <c r="F2796" s="6" t="s">
        <v>4798</v>
      </c>
      <c r="G2796" s="15" t="str">
        <f>VLOOKUP(A2796,Movie!A:D,4,FALSE)</f>
        <v>Fox Searchlight</v>
      </c>
      <c r="H2796" s="14">
        <f>VLOOKUP(E2796,'Rental Transaction'!A:B,2,FALSE)</f>
        <v>197102</v>
      </c>
      <c r="I2796">
        <f t="shared" si="43"/>
        <v>2013</v>
      </c>
    </row>
    <row r="2797" spans="1:9">
      <c r="A2797" s="1">
        <v>10160</v>
      </c>
      <c r="B2797" s="1">
        <v>1</v>
      </c>
      <c r="C2797" s="2">
        <v>41505</v>
      </c>
      <c r="D2797" s="1" t="s">
        <v>2005</v>
      </c>
      <c r="E2797" s="1">
        <v>101579</v>
      </c>
      <c r="F2797" s="6" t="s">
        <v>4799</v>
      </c>
      <c r="G2797" s="15" t="str">
        <f>VLOOKUP(A2797,Movie!A:D,4,FALSE)</f>
        <v>Lionsgate</v>
      </c>
      <c r="H2797" s="14">
        <f>VLOOKUP(E2797,'Rental Transaction'!A:B,2,FALSE)</f>
        <v>197102</v>
      </c>
      <c r="I2797">
        <f t="shared" si="43"/>
        <v>2013</v>
      </c>
    </row>
    <row r="2798" spans="1:9">
      <c r="A2798" s="1">
        <v>10070</v>
      </c>
      <c r="B2798" s="1">
        <v>8</v>
      </c>
      <c r="C2798" s="2">
        <v>41505</v>
      </c>
      <c r="D2798" s="1" t="s">
        <v>2005</v>
      </c>
      <c r="E2798" s="1">
        <v>101580</v>
      </c>
      <c r="F2798" s="6" t="s">
        <v>4800</v>
      </c>
      <c r="G2798" s="15" t="str">
        <f>VLOOKUP(A2798,Movie!A:D,4,FALSE)</f>
        <v>Paramount</v>
      </c>
      <c r="H2798" s="14">
        <f>VLOOKUP(E2798,'Rental Transaction'!A:B,2,FALSE)</f>
        <v>744648</v>
      </c>
      <c r="I2798">
        <f t="shared" si="43"/>
        <v>2013</v>
      </c>
    </row>
    <row r="2799" spans="1:9">
      <c r="A2799" s="1">
        <v>10297</v>
      </c>
      <c r="B2799" s="1">
        <v>5</v>
      </c>
      <c r="C2799" s="2">
        <v>41506</v>
      </c>
      <c r="D2799" s="1" t="s">
        <v>2005</v>
      </c>
      <c r="E2799" s="1">
        <v>101581</v>
      </c>
      <c r="F2799" s="6" t="s">
        <v>4801</v>
      </c>
      <c r="G2799" s="15" t="str">
        <f>VLOOKUP(A2799,Movie!A:D,4,FALSE)</f>
        <v>Focus</v>
      </c>
      <c r="H2799" s="14">
        <f>VLOOKUP(E2799,'Rental Transaction'!A:B,2,FALSE)</f>
        <v>347659</v>
      </c>
      <c r="I2799">
        <f t="shared" si="43"/>
        <v>2013</v>
      </c>
    </row>
    <row r="2800" spans="1:9" ht="29.25">
      <c r="A2800" s="1">
        <v>10285</v>
      </c>
      <c r="B2800" s="1">
        <v>4</v>
      </c>
      <c r="C2800" s="2">
        <v>41505</v>
      </c>
      <c r="D2800" s="1" t="s">
        <v>2002</v>
      </c>
      <c r="E2800" s="1">
        <v>101582</v>
      </c>
      <c r="F2800" s="6" t="s">
        <v>4802</v>
      </c>
      <c r="G2800" s="15" t="str">
        <f>VLOOKUP(A2800,Movie!A:D,4,FALSE)</f>
        <v>Roadside Attractions</v>
      </c>
      <c r="H2800" s="14">
        <f>VLOOKUP(E2800,'Rental Transaction'!A:B,2,FALSE)</f>
        <v>840970</v>
      </c>
      <c r="I2800">
        <f t="shared" si="43"/>
        <v>2013</v>
      </c>
    </row>
    <row r="2801" spans="1:9">
      <c r="A2801" s="1">
        <v>10275</v>
      </c>
      <c r="B2801" s="1">
        <v>4</v>
      </c>
      <c r="C2801" s="2">
        <v>41505</v>
      </c>
      <c r="D2801" s="1" t="s">
        <v>2002</v>
      </c>
      <c r="E2801" s="1">
        <v>101583</v>
      </c>
      <c r="F2801" s="6" t="s">
        <v>4803</v>
      </c>
      <c r="G2801" s="15" t="str">
        <f>VLOOKUP(A2801,Movie!A:D,4,FALSE)</f>
        <v>Lionsgate</v>
      </c>
      <c r="H2801" s="14">
        <f>VLOOKUP(E2801,'Rental Transaction'!A:B,2,FALSE)</f>
        <v>524667</v>
      </c>
      <c r="I2801">
        <f t="shared" si="43"/>
        <v>2013</v>
      </c>
    </row>
    <row r="2802" spans="1:9" ht="29.25">
      <c r="A2802" s="1">
        <v>10239</v>
      </c>
      <c r="B2802" s="1">
        <v>3</v>
      </c>
      <c r="C2802" s="2">
        <v>41505</v>
      </c>
      <c r="D2802" s="1" t="s">
        <v>2002</v>
      </c>
      <c r="E2802" s="1">
        <v>101583</v>
      </c>
      <c r="F2802" s="6" t="s">
        <v>4804</v>
      </c>
      <c r="G2802" s="15" t="str">
        <f>VLOOKUP(A2802,Movie!A:D,4,FALSE)</f>
        <v>Weinstein Company</v>
      </c>
      <c r="H2802" s="14">
        <f>VLOOKUP(E2802,'Rental Transaction'!A:B,2,FALSE)</f>
        <v>524667</v>
      </c>
      <c r="I2802">
        <f t="shared" si="43"/>
        <v>2013</v>
      </c>
    </row>
    <row r="2803" spans="1:9">
      <c r="A2803" s="1">
        <v>10135</v>
      </c>
      <c r="B2803" s="1">
        <v>2</v>
      </c>
      <c r="C2803" s="2">
        <v>41505</v>
      </c>
      <c r="D2803" s="1" t="s">
        <v>2002</v>
      </c>
      <c r="E2803" s="1">
        <v>101584</v>
      </c>
      <c r="F2803" s="6" t="s">
        <v>4805</v>
      </c>
      <c r="G2803" s="15" t="str">
        <f>VLOOKUP(A2803,Movie!A:D,4,FALSE)</f>
        <v>Universal</v>
      </c>
      <c r="H2803" s="14">
        <f>VLOOKUP(E2803,'Rental Transaction'!A:B,2,FALSE)</f>
        <v>797968</v>
      </c>
      <c r="I2803">
        <f t="shared" si="43"/>
        <v>2013</v>
      </c>
    </row>
    <row r="2804" spans="1:9">
      <c r="A2804" s="1">
        <v>10138</v>
      </c>
      <c r="B2804" s="1">
        <v>8</v>
      </c>
      <c r="C2804" s="2">
        <v>41507</v>
      </c>
      <c r="D2804" s="1" t="s">
        <v>2002</v>
      </c>
      <c r="E2804" s="1">
        <v>101585</v>
      </c>
      <c r="F2804" s="6" t="s">
        <v>4806</v>
      </c>
      <c r="G2804" s="15" t="str">
        <f>VLOOKUP(A2804,Movie!A:D,4,FALSE)</f>
        <v>Universal</v>
      </c>
      <c r="H2804" s="14">
        <f>VLOOKUP(E2804,'Rental Transaction'!A:B,2,FALSE)</f>
        <v>924649</v>
      </c>
      <c r="I2804">
        <f t="shared" si="43"/>
        <v>2013</v>
      </c>
    </row>
    <row r="2805" spans="1:9">
      <c r="A2805" s="1">
        <v>10245</v>
      </c>
      <c r="B2805" s="1">
        <v>3</v>
      </c>
      <c r="C2805" s="2">
        <v>41506</v>
      </c>
      <c r="D2805" s="1" t="s">
        <v>2005</v>
      </c>
      <c r="E2805" s="1">
        <v>101585</v>
      </c>
      <c r="F2805" s="6" t="s">
        <v>4807</v>
      </c>
      <c r="G2805" s="15" t="str">
        <f>VLOOKUP(A2805,Movie!A:D,4,FALSE)</f>
        <v>Warner Brothers</v>
      </c>
      <c r="H2805" s="14">
        <f>VLOOKUP(E2805,'Rental Transaction'!A:B,2,FALSE)</f>
        <v>924649</v>
      </c>
      <c r="I2805">
        <f t="shared" si="43"/>
        <v>2013</v>
      </c>
    </row>
    <row r="2806" spans="1:9">
      <c r="A2806" s="1">
        <v>10248</v>
      </c>
      <c r="B2806" s="1">
        <v>5</v>
      </c>
      <c r="C2806" s="2">
        <v>41505</v>
      </c>
      <c r="D2806" s="1" t="s">
        <v>2002</v>
      </c>
      <c r="E2806" s="1">
        <v>101586</v>
      </c>
      <c r="F2806" s="6" t="s">
        <v>4808</v>
      </c>
      <c r="G2806" s="15" t="str">
        <f>VLOOKUP(A2806,Movie!A:D,4,FALSE)</f>
        <v>Relativity</v>
      </c>
      <c r="H2806" s="14">
        <f>VLOOKUP(E2806,'Rental Transaction'!A:B,2,FALSE)</f>
        <v>611848</v>
      </c>
      <c r="I2806">
        <f t="shared" si="43"/>
        <v>2013</v>
      </c>
    </row>
    <row r="2807" spans="1:9">
      <c r="A2807" s="1">
        <v>10085</v>
      </c>
      <c r="B2807" s="1">
        <v>6</v>
      </c>
      <c r="C2807" s="2">
        <v>41506</v>
      </c>
      <c r="D2807" s="1" t="s">
        <v>2002</v>
      </c>
      <c r="E2807" s="1">
        <v>101586</v>
      </c>
      <c r="F2807" s="6" t="s">
        <v>4809</v>
      </c>
      <c r="G2807" s="15" t="str">
        <f>VLOOKUP(A2807,Movie!A:D,4,FALSE)</f>
        <v>Buena Vista</v>
      </c>
      <c r="H2807" s="14">
        <f>VLOOKUP(E2807,'Rental Transaction'!A:B,2,FALSE)</f>
        <v>611848</v>
      </c>
      <c r="I2807">
        <f t="shared" si="43"/>
        <v>2013</v>
      </c>
    </row>
    <row r="2808" spans="1:9">
      <c r="A2808" s="1">
        <v>10033</v>
      </c>
      <c r="B2808" s="1">
        <v>8</v>
      </c>
      <c r="C2808" s="2">
        <v>41506</v>
      </c>
      <c r="D2808" s="1" t="s">
        <v>2005</v>
      </c>
      <c r="E2808" s="1">
        <v>101586</v>
      </c>
      <c r="F2808" s="6" t="s">
        <v>4810</v>
      </c>
      <c r="G2808" s="15" t="str">
        <f>VLOOKUP(A2808,Movie!A:D,4,FALSE)</f>
        <v>Lionsgate</v>
      </c>
      <c r="H2808" s="14">
        <f>VLOOKUP(E2808,'Rental Transaction'!A:B,2,FALSE)</f>
        <v>611848</v>
      </c>
      <c r="I2808">
        <f t="shared" si="43"/>
        <v>2013</v>
      </c>
    </row>
    <row r="2809" spans="1:9">
      <c r="A2809" s="1">
        <v>10018</v>
      </c>
      <c r="B2809" s="1">
        <v>4</v>
      </c>
      <c r="C2809" s="2">
        <v>41506</v>
      </c>
      <c r="D2809" s="1" t="s">
        <v>2005</v>
      </c>
      <c r="E2809" s="1">
        <v>101586</v>
      </c>
      <c r="F2809" s="6" t="s">
        <v>4811</v>
      </c>
      <c r="G2809" s="15" t="str">
        <f>VLOOKUP(A2809,Movie!A:D,4,FALSE)</f>
        <v>Fox</v>
      </c>
      <c r="H2809" s="14">
        <f>VLOOKUP(E2809,'Rental Transaction'!A:B,2,FALSE)</f>
        <v>611848</v>
      </c>
      <c r="I2809">
        <f t="shared" si="43"/>
        <v>2013</v>
      </c>
    </row>
    <row r="2810" spans="1:9">
      <c r="A2810" s="1">
        <v>10071</v>
      </c>
      <c r="B2810" s="1">
        <v>2</v>
      </c>
      <c r="C2810" s="2">
        <v>41505</v>
      </c>
      <c r="D2810" s="1" t="s">
        <v>2002</v>
      </c>
      <c r="E2810" s="1">
        <v>101587</v>
      </c>
      <c r="F2810" s="6" t="s">
        <v>4812</v>
      </c>
      <c r="G2810" s="15" t="str">
        <f>VLOOKUP(A2810,Movie!A:D,4,FALSE)</f>
        <v>Paramount</v>
      </c>
      <c r="H2810" s="14">
        <f>VLOOKUP(E2810,'Rental Transaction'!A:B,2,FALSE)</f>
        <v>970794</v>
      </c>
      <c r="I2810">
        <f t="shared" si="43"/>
        <v>2013</v>
      </c>
    </row>
    <row r="2811" spans="1:9">
      <c r="A2811" s="1">
        <v>10107</v>
      </c>
      <c r="B2811" s="1">
        <v>3</v>
      </c>
      <c r="C2811" s="2">
        <v>41506</v>
      </c>
      <c r="D2811" s="1" t="s">
        <v>2005</v>
      </c>
      <c r="E2811" s="1">
        <v>101588</v>
      </c>
      <c r="F2811" s="6" t="s">
        <v>4813</v>
      </c>
      <c r="G2811" s="15" t="str">
        <f>VLOOKUP(A2811,Movie!A:D,4,FALSE)</f>
        <v>Universal</v>
      </c>
      <c r="H2811" s="14">
        <f>VLOOKUP(E2811,'Rental Transaction'!A:B,2,FALSE)</f>
        <v>485769</v>
      </c>
      <c r="I2811">
        <f t="shared" si="43"/>
        <v>2013</v>
      </c>
    </row>
    <row r="2812" spans="1:9">
      <c r="A2812" s="1">
        <v>10139</v>
      </c>
      <c r="B2812" s="1">
        <v>5</v>
      </c>
      <c r="C2812" s="2">
        <v>41505</v>
      </c>
      <c r="D2812" s="1" t="s">
        <v>2005</v>
      </c>
      <c r="E2812" s="1">
        <v>101588</v>
      </c>
      <c r="F2812" s="6" t="s">
        <v>4814</v>
      </c>
      <c r="G2812" s="15" t="str">
        <f>VLOOKUP(A2812,Movie!A:D,4,FALSE)</f>
        <v>Focus</v>
      </c>
      <c r="H2812" s="14">
        <f>VLOOKUP(E2812,'Rental Transaction'!A:B,2,FALSE)</f>
        <v>485769</v>
      </c>
      <c r="I2812">
        <f t="shared" si="43"/>
        <v>2013</v>
      </c>
    </row>
    <row r="2813" spans="1:9">
      <c r="A2813" s="1">
        <v>10232</v>
      </c>
      <c r="B2813" s="1">
        <v>6</v>
      </c>
      <c r="C2813" s="2">
        <v>41505</v>
      </c>
      <c r="D2813" s="1" t="s">
        <v>2005</v>
      </c>
      <c r="E2813" s="1">
        <v>101588</v>
      </c>
      <c r="F2813" s="6" t="s">
        <v>4815</v>
      </c>
      <c r="G2813" s="15" t="str">
        <f>VLOOKUP(A2813,Movie!A:D,4,FALSE)</f>
        <v>Paramount</v>
      </c>
      <c r="H2813" s="14">
        <f>VLOOKUP(E2813,'Rental Transaction'!A:B,2,FALSE)</f>
        <v>485769</v>
      </c>
      <c r="I2813">
        <f t="shared" si="43"/>
        <v>2013</v>
      </c>
    </row>
    <row r="2814" spans="1:9">
      <c r="A2814" s="1">
        <v>10060</v>
      </c>
      <c r="B2814" s="1">
        <v>1</v>
      </c>
      <c r="C2814" s="2">
        <v>41505</v>
      </c>
      <c r="D2814" s="1" t="s">
        <v>2002</v>
      </c>
      <c r="E2814" s="1">
        <v>101589</v>
      </c>
      <c r="F2814" s="6" t="s">
        <v>4816</v>
      </c>
      <c r="G2814" s="15" t="str">
        <f>VLOOKUP(A2814,Movie!A:D,4,FALSE)</f>
        <v>Warner Brothers</v>
      </c>
      <c r="H2814" s="14">
        <f>VLOOKUP(E2814,'Rental Transaction'!A:B,2,FALSE)</f>
        <v>412235</v>
      </c>
      <c r="I2814">
        <f t="shared" si="43"/>
        <v>2013</v>
      </c>
    </row>
    <row r="2815" spans="1:9">
      <c r="A2815" s="1">
        <v>10127</v>
      </c>
      <c r="B2815" s="1">
        <v>8</v>
      </c>
      <c r="C2815" s="2">
        <v>41505</v>
      </c>
      <c r="D2815" s="1" t="s">
        <v>2005</v>
      </c>
      <c r="E2815" s="1">
        <v>101589</v>
      </c>
      <c r="F2815" s="6" t="s">
        <v>4817</v>
      </c>
      <c r="G2815" s="15" t="str">
        <f>VLOOKUP(A2815,Movie!A:D,4,FALSE)</f>
        <v>TriStar</v>
      </c>
      <c r="H2815" s="14">
        <f>VLOOKUP(E2815,'Rental Transaction'!A:B,2,FALSE)</f>
        <v>412235</v>
      </c>
      <c r="I2815">
        <f t="shared" si="43"/>
        <v>2013</v>
      </c>
    </row>
    <row r="2816" spans="1:9">
      <c r="A2816" s="1">
        <v>10284</v>
      </c>
      <c r="B2816" s="1">
        <v>7</v>
      </c>
      <c r="C2816" s="2">
        <v>41505</v>
      </c>
      <c r="D2816" s="1" t="s">
        <v>2005</v>
      </c>
      <c r="E2816" s="1">
        <v>101590</v>
      </c>
      <c r="F2816" s="6" t="s">
        <v>4818</v>
      </c>
      <c r="G2816" s="15" t="str">
        <f>VLOOKUP(A2816,Movie!A:D,4,FALSE)</f>
        <v>Focus</v>
      </c>
      <c r="H2816" s="14">
        <f>VLOOKUP(E2816,'Rental Transaction'!A:B,2,FALSE)</f>
        <v>119406</v>
      </c>
      <c r="I2816">
        <f t="shared" si="43"/>
        <v>2013</v>
      </c>
    </row>
    <row r="2817" spans="1:9">
      <c r="A2817" s="1">
        <v>10234</v>
      </c>
      <c r="B2817" s="1">
        <v>6</v>
      </c>
      <c r="C2817" s="2">
        <v>41505</v>
      </c>
      <c r="D2817" s="1" t="s">
        <v>2002</v>
      </c>
      <c r="E2817" s="1">
        <v>101590</v>
      </c>
      <c r="F2817" s="6" t="s">
        <v>4819</v>
      </c>
      <c r="G2817" s="15" t="str">
        <f>VLOOKUP(A2817,Movie!A:D,4,FALSE)</f>
        <v>Warner Brothers</v>
      </c>
      <c r="H2817" s="14">
        <f>VLOOKUP(E2817,'Rental Transaction'!A:B,2,FALSE)</f>
        <v>119406</v>
      </c>
      <c r="I2817">
        <f t="shared" si="43"/>
        <v>2013</v>
      </c>
    </row>
    <row r="2818" spans="1:9" ht="29.25">
      <c r="A2818" s="1">
        <v>10246</v>
      </c>
      <c r="B2818" s="1">
        <v>5</v>
      </c>
      <c r="C2818" s="2">
        <v>41505</v>
      </c>
      <c r="D2818" s="1" t="s">
        <v>2002</v>
      </c>
      <c r="E2818" s="1">
        <v>101591</v>
      </c>
      <c r="F2818" s="6" t="s">
        <v>4820</v>
      </c>
      <c r="G2818" s="15" t="str">
        <f>VLOOKUP(A2818,Movie!A:D,4,FALSE)</f>
        <v>Weinstein Company</v>
      </c>
      <c r="H2818" s="14">
        <f>VLOOKUP(E2818,'Rental Transaction'!A:B,2,FALSE)</f>
        <v>565259</v>
      </c>
      <c r="I2818">
        <f t="shared" si="43"/>
        <v>2013</v>
      </c>
    </row>
    <row r="2819" spans="1:9">
      <c r="A2819" s="1">
        <v>10292</v>
      </c>
      <c r="B2819" s="1">
        <v>9</v>
      </c>
      <c r="C2819" s="2">
        <v>41505</v>
      </c>
      <c r="D2819" s="1" t="s">
        <v>2005</v>
      </c>
      <c r="E2819" s="1">
        <v>101592</v>
      </c>
      <c r="F2819" s="6" t="s">
        <v>4821</v>
      </c>
      <c r="G2819" s="15" t="str">
        <f>VLOOKUP(A2819,Movie!A:D,4,FALSE)</f>
        <v>Sony Classics</v>
      </c>
      <c r="H2819" s="14">
        <f>VLOOKUP(E2819,'Rental Transaction'!A:B,2,FALSE)</f>
        <v>548800</v>
      </c>
      <c r="I2819">
        <f t="shared" ref="I2819:I2882" si="44">YEAR(C2819)</f>
        <v>2013</v>
      </c>
    </row>
    <row r="2820" spans="1:9">
      <c r="A2820" s="1">
        <v>10167</v>
      </c>
      <c r="B2820" s="1">
        <v>10</v>
      </c>
      <c r="C2820" s="2">
        <v>41505</v>
      </c>
      <c r="D2820" s="1" t="s">
        <v>2005</v>
      </c>
      <c r="E2820" s="1">
        <v>101592</v>
      </c>
      <c r="F2820" s="6" t="s">
        <v>4822</v>
      </c>
      <c r="G2820" s="15" t="str">
        <f>VLOOKUP(A2820,Movie!A:D,4,FALSE)</f>
        <v>Universal</v>
      </c>
      <c r="H2820" s="14">
        <f>VLOOKUP(E2820,'Rental Transaction'!A:B,2,FALSE)</f>
        <v>548800</v>
      </c>
      <c r="I2820">
        <f t="shared" si="44"/>
        <v>2013</v>
      </c>
    </row>
    <row r="2821" spans="1:9" ht="29.25">
      <c r="A2821" s="1">
        <v>10154</v>
      </c>
      <c r="B2821" s="1">
        <v>6</v>
      </c>
      <c r="C2821" s="2">
        <v>41506</v>
      </c>
      <c r="D2821" s="1" t="s">
        <v>2005</v>
      </c>
      <c r="E2821" s="1">
        <v>101592</v>
      </c>
      <c r="F2821" s="6" t="s">
        <v>4823</v>
      </c>
      <c r="G2821" s="15" t="str">
        <f>VLOOKUP(A2821,Movie!A:D,4,FALSE)</f>
        <v>Summit Entertainment</v>
      </c>
      <c r="H2821" s="14">
        <f>VLOOKUP(E2821,'Rental Transaction'!A:B,2,FALSE)</f>
        <v>548800</v>
      </c>
      <c r="I2821">
        <f t="shared" si="44"/>
        <v>2013</v>
      </c>
    </row>
    <row r="2822" spans="1:9">
      <c r="A2822" s="1">
        <v>10146</v>
      </c>
      <c r="B2822" s="1">
        <v>9</v>
      </c>
      <c r="C2822" s="2">
        <v>41505</v>
      </c>
      <c r="D2822" s="1" t="s">
        <v>2002</v>
      </c>
      <c r="E2822" s="1">
        <v>101593</v>
      </c>
      <c r="F2822" s="6" t="s">
        <v>4824</v>
      </c>
      <c r="G2822" s="15" t="str">
        <f>VLOOKUP(A2822,Movie!A:D,4,FALSE)</f>
        <v>Sony</v>
      </c>
      <c r="H2822" s="14">
        <f>VLOOKUP(E2822,'Rental Transaction'!A:B,2,FALSE)</f>
        <v>500350</v>
      </c>
      <c r="I2822">
        <f t="shared" si="44"/>
        <v>2013</v>
      </c>
    </row>
    <row r="2823" spans="1:9">
      <c r="A2823" s="1">
        <v>10200</v>
      </c>
      <c r="B2823" s="1">
        <v>10</v>
      </c>
      <c r="C2823" s="2">
        <v>41506</v>
      </c>
      <c r="D2823" s="1" t="s">
        <v>2005</v>
      </c>
      <c r="E2823" s="1">
        <v>101594</v>
      </c>
      <c r="F2823" s="6" t="s">
        <v>4825</v>
      </c>
      <c r="G2823" s="15" t="str">
        <f>VLOOKUP(A2823,Movie!A:D,4,FALSE)</f>
        <v>Fox</v>
      </c>
      <c r="H2823" s="14">
        <f>VLOOKUP(E2823,'Rental Transaction'!A:B,2,FALSE)</f>
        <v>414509</v>
      </c>
      <c r="I2823">
        <f t="shared" si="44"/>
        <v>2013</v>
      </c>
    </row>
    <row r="2824" spans="1:9">
      <c r="A2824" s="1">
        <v>10103</v>
      </c>
      <c r="B2824" s="1">
        <v>9</v>
      </c>
      <c r="C2824" s="2">
        <v>41507</v>
      </c>
      <c r="D2824" s="1" t="s">
        <v>2002</v>
      </c>
      <c r="E2824" s="1">
        <v>101594</v>
      </c>
      <c r="F2824" s="6" t="s">
        <v>4826</v>
      </c>
      <c r="G2824" s="15" t="str">
        <f>VLOOKUP(A2824,Movie!A:D,4,FALSE)</f>
        <v>Fox</v>
      </c>
      <c r="H2824" s="14">
        <f>VLOOKUP(E2824,'Rental Transaction'!A:B,2,FALSE)</f>
        <v>414509</v>
      </c>
      <c r="I2824">
        <f t="shared" si="44"/>
        <v>2013</v>
      </c>
    </row>
    <row r="2825" spans="1:9">
      <c r="A2825" s="1">
        <v>10199</v>
      </c>
      <c r="B2825" s="1">
        <v>4</v>
      </c>
      <c r="C2825" s="2">
        <v>41506</v>
      </c>
      <c r="D2825" s="1" t="s">
        <v>2002</v>
      </c>
      <c r="E2825" s="1">
        <v>101595</v>
      </c>
      <c r="F2825" s="6" t="s">
        <v>4827</v>
      </c>
      <c r="G2825" s="15" t="str">
        <f>VLOOKUP(A2825,Movie!A:D,4,FALSE)</f>
        <v>Lionsgate</v>
      </c>
      <c r="H2825" s="14">
        <f>VLOOKUP(E2825,'Rental Transaction'!A:B,2,FALSE)</f>
        <v>901388</v>
      </c>
      <c r="I2825">
        <f t="shared" si="44"/>
        <v>2013</v>
      </c>
    </row>
    <row r="2826" spans="1:9">
      <c r="A2826" s="1">
        <v>10036</v>
      </c>
      <c r="B2826" s="1">
        <v>9</v>
      </c>
      <c r="C2826" s="2">
        <v>41507</v>
      </c>
      <c r="D2826" s="1" t="s">
        <v>2005</v>
      </c>
      <c r="E2826" s="1">
        <v>101596</v>
      </c>
      <c r="F2826" s="6" t="s">
        <v>4828</v>
      </c>
      <c r="G2826" s="15" t="str">
        <f>VLOOKUP(A2826,Movie!A:D,4,FALSE)</f>
        <v>Universal</v>
      </c>
      <c r="H2826" s="14">
        <f>VLOOKUP(E2826,'Rental Transaction'!A:B,2,FALSE)</f>
        <v>191951</v>
      </c>
      <c r="I2826">
        <f t="shared" si="44"/>
        <v>2013</v>
      </c>
    </row>
    <row r="2827" spans="1:9">
      <c r="A2827" s="1">
        <v>10261</v>
      </c>
      <c r="B2827" s="1">
        <v>8</v>
      </c>
      <c r="C2827" s="2">
        <v>41507</v>
      </c>
      <c r="D2827" s="1" t="s">
        <v>2005</v>
      </c>
      <c r="E2827" s="1">
        <v>101596</v>
      </c>
      <c r="F2827" s="6" t="s">
        <v>4829</v>
      </c>
      <c r="G2827" s="15" t="str">
        <f>VLOOKUP(A2827,Movie!A:D,4,FALSE)</f>
        <v>Fox</v>
      </c>
      <c r="H2827" s="14">
        <f>VLOOKUP(E2827,'Rental Transaction'!A:B,2,FALSE)</f>
        <v>191951</v>
      </c>
      <c r="I2827">
        <f t="shared" si="44"/>
        <v>2013</v>
      </c>
    </row>
    <row r="2828" spans="1:9">
      <c r="A2828" s="1">
        <v>10151</v>
      </c>
      <c r="B2828" s="1">
        <v>7</v>
      </c>
      <c r="C2828" s="2">
        <v>41506</v>
      </c>
      <c r="D2828" s="1" t="s">
        <v>2002</v>
      </c>
      <c r="E2828" s="1">
        <v>101597</v>
      </c>
      <c r="F2828" s="6" t="s">
        <v>4830</v>
      </c>
      <c r="G2828" s="15" t="str">
        <f>VLOOKUP(A2828,Movie!A:D,4,FALSE)</f>
        <v>Screen Gems</v>
      </c>
      <c r="H2828" s="14">
        <f>VLOOKUP(E2828,'Rental Transaction'!A:B,2,FALSE)</f>
        <v>846558</v>
      </c>
      <c r="I2828">
        <f t="shared" si="44"/>
        <v>2013</v>
      </c>
    </row>
    <row r="2829" spans="1:9">
      <c r="A2829" s="1">
        <v>10202</v>
      </c>
      <c r="B2829" s="1">
        <v>6</v>
      </c>
      <c r="C2829" s="2">
        <v>41506</v>
      </c>
      <c r="D2829" s="1" t="s">
        <v>2002</v>
      </c>
      <c r="E2829" s="1">
        <v>101598</v>
      </c>
      <c r="F2829" s="6" t="s">
        <v>4831</v>
      </c>
      <c r="G2829" s="15" t="str">
        <f>VLOOKUP(A2829,Movie!A:D,4,FALSE)</f>
        <v>Warner Brothers</v>
      </c>
      <c r="H2829" s="14">
        <f>VLOOKUP(E2829,'Rental Transaction'!A:B,2,FALSE)</f>
        <v>296353</v>
      </c>
      <c r="I2829">
        <f t="shared" si="44"/>
        <v>2013</v>
      </c>
    </row>
    <row r="2830" spans="1:9">
      <c r="A2830" s="1">
        <v>10115</v>
      </c>
      <c r="B2830" s="1">
        <v>1</v>
      </c>
      <c r="C2830" s="2">
        <v>41507</v>
      </c>
      <c r="D2830" s="1" t="s">
        <v>2002</v>
      </c>
      <c r="E2830" s="1">
        <v>101598</v>
      </c>
      <c r="F2830" s="6" t="s">
        <v>4832</v>
      </c>
      <c r="G2830" s="15" t="str">
        <f>VLOOKUP(A2830,Movie!A:D,4,FALSE)</f>
        <v>Open Road Films</v>
      </c>
      <c r="H2830" s="14">
        <f>VLOOKUP(E2830,'Rental Transaction'!A:B,2,FALSE)</f>
        <v>296353</v>
      </c>
      <c r="I2830">
        <f t="shared" si="44"/>
        <v>2013</v>
      </c>
    </row>
    <row r="2831" spans="1:9">
      <c r="A2831" s="1">
        <v>10048</v>
      </c>
      <c r="B2831" s="1">
        <v>8</v>
      </c>
      <c r="C2831" s="2">
        <v>41506</v>
      </c>
      <c r="D2831" s="1" t="s">
        <v>2002</v>
      </c>
      <c r="E2831" s="1">
        <v>101599</v>
      </c>
      <c r="F2831" s="6" t="s">
        <v>4833</v>
      </c>
      <c r="G2831" s="15" t="str">
        <f>VLOOKUP(A2831,Movie!A:D,4,FALSE)</f>
        <v>Relativity</v>
      </c>
      <c r="H2831" s="14">
        <f>VLOOKUP(E2831,'Rental Transaction'!A:B,2,FALSE)</f>
        <v>714947</v>
      </c>
      <c r="I2831">
        <f t="shared" si="44"/>
        <v>2013</v>
      </c>
    </row>
    <row r="2832" spans="1:9">
      <c r="A2832" s="1">
        <v>10225</v>
      </c>
      <c r="B2832" s="1">
        <v>3</v>
      </c>
      <c r="C2832" s="2">
        <v>41506</v>
      </c>
      <c r="D2832" s="1" t="s">
        <v>2002</v>
      </c>
      <c r="E2832" s="1">
        <v>101599</v>
      </c>
      <c r="F2832" s="6" t="s">
        <v>4834</v>
      </c>
      <c r="G2832" s="15" t="str">
        <f>VLOOKUP(A2832,Movie!A:D,4,FALSE)</f>
        <v>Warner Brothers</v>
      </c>
      <c r="H2832" s="14">
        <f>VLOOKUP(E2832,'Rental Transaction'!A:B,2,FALSE)</f>
        <v>714947</v>
      </c>
      <c r="I2832">
        <f t="shared" si="44"/>
        <v>2013</v>
      </c>
    </row>
    <row r="2833" spans="1:9">
      <c r="A2833" s="1">
        <v>10130</v>
      </c>
      <c r="B2833" s="1">
        <v>10</v>
      </c>
      <c r="C2833" s="2">
        <v>41506</v>
      </c>
      <c r="D2833" s="1" t="s">
        <v>2005</v>
      </c>
      <c r="E2833" s="1">
        <v>101600</v>
      </c>
      <c r="F2833" s="6" t="s">
        <v>4835</v>
      </c>
      <c r="G2833" s="15" t="str">
        <f>VLOOKUP(A2833,Movie!A:D,4,FALSE)</f>
        <v>A24</v>
      </c>
      <c r="H2833" s="14">
        <f>VLOOKUP(E2833,'Rental Transaction'!A:B,2,FALSE)</f>
        <v>680104</v>
      </c>
      <c r="I2833">
        <f t="shared" si="44"/>
        <v>2013</v>
      </c>
    </row>
    <row r="2834" spans="1:9">
      <c r="A2834" s="1">
        <v>10169</v>
      </c>
      <c r="B2834" s="1">
        <v>6</v>
      </c>
      <c r="C2834" s="2">
        <v>41506</v>
      </c>
      <c r="D2834" s="1" t="s">
        <v>2005</v>
      </c>
      <c r="E2834" s="1">
        <v>101600</v>
      </c>
      <c r="F2834" s="6" t="s">
        <v>4836</v>
      </c>
      <c r="G2834" s="15" t="str">
        <f>VLOOKUP(A2834,Movie!A:D,4,FALSE)</f>
        <v>Warner Brothers</v>
      </c>
      <c r="H2834" s="14">
        <f>VLOOKUP(E2834,'Rental Transaction'!A:B,2,FALSE)</f>
        <v>680104</v>
      </c>
      <c r="I2834">
        <f t="shared" si="44"/>
        <v>2013</v>
      </c>
    </row>
    <row r="2835" spans="1:9">
      <c r="A2835" s="1">
        <v>10265</v>
      </c>
      <c r="B2835" s="1">
        <v>1</v>
      </c>
      <c r="C2835" s="2">
        <v>41506</v>
      </c>
      <c r="D2835" s="1" t="s">
        <v>2002</v>
      </c>
      <c r="E2835" s="1">
        <v>101600</v>
      </c>
      <c r="F2835" s="6" t="s">
        <v>4837</v>
      </c>
      <c r="G2835" s="15" t="str">
        <f>VLOOKUP(A2835,Movie!A:D,4,FALSE)</f>
        <v>Warner Brothers</v>
      </c>
      <c r="H2835" s="14">
        <f>VLOOKUP(E2835,'Rental Transaction'!A:B,2,FALSE)</f>
        <v>680104</v>
      </c>
      <c r="I2835">
        <f t="shared" si="44"/>
        <v>2013</v>
      </c>
    </row>
    <row r="2836" spans="1:9">
      <c r="A2836" s="1">
        <v>10228</v>
      </c>
      <c r="B2836" s="1">
        <v>3</v>
      </c>
      <c r="C2836" s="2">
        <v>41506</v>
      </c>
      <c r="D2836" s="1" t="s">
        <v>2002</v>
      </c>
      <c r="E2836" s="1">
        <v>101600</v>
      </c>
      <c r="F2836" s="6" t="s">
        <v>4838</v>
      </c>
      <c r="G2836" s="15" t="str">
        <f>VLOOKUP(A2836,Movie!A:D,4,FALSE)</f>
        <v>Universal</v>
      </c>
      <c r="H2836" s="14">
        <f>VLOOKUP(E2836,'Rental Transaction'!A:B,2,FALSE)</f>
        <v>680104</v>
      </c>
      <c r="I2836">
        <f t="shared" si="44"/>
        <v>2013</v>
      </c>
    </row>
    <row r="2837" spans="1:9">
      <c r="A2837" s="1">
        <v>10055</v>
      </c>
      <c r="B2837" s="1">
        <v>7</v>
      </c>
      <c r="C2837" s="2">
        <v>41506</v>
      </c>
      <c r="D2837" s="1" t="s">
        <v>2005</v>
      </c>
      <c r="E2837" s="1">
        <v>101601</v>
      </c>
      <c r="F2837" s="6" t="s">
        <v>4839</v>
      </c>
      <c r="G2837" s="15" t="str">
        <f>VLOOKUP(A2837,Movie!A:D,4,FALSE)</f>
        <v>Sony Classics</v>
      </c>
      <c r="H2837" s="14">
        <f>VLOOKUP(E2837,'Rental Transaction'!A:B,2,FALSE)</f>
        <v>575041</v>
      </c>
      <c r="I2837">
        <f t="shared" si="44"/>
        <v>2013</v>
      </c>
    </row>
    <row r="2838" spans="1:9">
      <c r="A2838" s="1">
        <v>10114</v>
      </c>
      <c r="B2838" s="1">
        <v>4</v>
      </c>
      <c r="C2838" s="2">
        <v>41506</v>
      </c>
      <c r="D2838" s="1" t="s">
        <v>2005</v>
      </c>
      <c r="E2838" s="1">
        <v>101601</v>
      </c>
      <c r="F2838" s="6" t="s">
        <v>4840</v>
      </c>
      <c r="G2838" s="15" t="str">
        <f>VLOOKUP(A2838,Movie!A:D,4,FALSE)</f>
        <v>Lionsgate</v>
      </c>
      <c r="H2838" s="14">
        <f>VLOOKUP(E2838,'Rental Transaction'!A:B,2,FALSE)</f>
        <v>575041</v>
      </c>
      <c r="I2838">
        <f t="shared" si="44"/>
        <v>2013</v>
      </c>
    </row>
    <row r="2839" spans="1:9">
      <c r="A2839" s="1">
        <v>10077</v>
      </c>
      <c r="B2839" s="1">
        <v>10</v>
      </c>
      <c r="C2839" s="2">
        <v>41506</v>
      </c>
      <c r="D2839" s="1" t="s">
        <v>2002</v>
      </c>
      <c r="E2839" s="1">
        <v>101601</v>
      </c>
      <c r="F2839" s="6" t="s">
        <v>4841</v>
      </c>
      <c r="G2839" s="15" t="str">
        <f>VLOOKUP(A2839,Movie!A:D,4,FALSE)</f>
        <v>Warner Brothers</v>
      </c>
      <c r="H2839" s="14">
        <f>VLOOKUP(E2839,'Rental Transaction'!A:B,2,FALSE)</f>
        <v>575041</v>
      </c>
      <c r="I2839">
        <f t="shared" si="44"/>
        <v>2013</v>
      </c>
    </row>
    <row r="2840" spans="1:9">
      <c r="A2840" s="1">
        <v>10199</v>
      </c>
      <c r="B2840" s="1">
        <v>7</v>
      </c>
      <c r="C2840" s="2">
        <v>41506</v>
      </c>
      <c r="D2840" s="1" t="s">
        <v>2002</v>
      </c>
      <c r="E2840" s="1">
        <v>101601</v>
      </c>
      <c r="F2840" s="6" t="s">
        <v>4842</v>
      </c>
      <c r="G2840" s="15" t="str">
        <f>VLOOKUP(A2840,Movie!A:D,4,FALSE)</f>
        <v>Lionsgate</v>
      </c>
      <c r="H2840" s="14">
        <f>VLOOKUP(E2840,'Rental Transaction'!A:B,2,FALSE)</f>
        <v>575041</v>
      </c>
      <c r="I2840">
        <f t="shared" si="44"/>
        <v>2013</v>
      </c>
    </row>
    <row r="2841" spans="1:9" ht="29.25">
      <c r="A2841" s="1">
        <v>10121</v>
      </c>
      <c r="B2841" s="1">
        <v>7</v>
      </c>
      <c r="C2841" s="2">
        <v>41506</v>
      </c>
      <c r="D2841" s="1" t="s">
        <v>2002</v>
      </c>
      <c r="E2841" s="1">
        <v>101601</v>
      </c>
      <c r="F2841" s="6" t="s">
        <v>4843</v>
      </c>
      <c r="G2841" s="15" t="str">
        <f>VLOOKUP(A2841,Movie!A:D,4,FALSE)</f>
        <v>Weinstein Company</v>
      </c>
      <c r="H2841" s="14">
        <f>VLOOKUP(E2841,'Rental Transaction'!A:B,2,FALSE)</f>
        <v>575041</v>
      </c>
      <c r="I2841">
        <f t="shared" si="44"/>
        <v>2013</v>
      </c>
    </row>
    <row r="2842" spans="1:9">
      <c r="A2842" s="1">
        <v>10085</v>
      </c>
      <c r="B2842" s="1">
        <v>2</v>
      </c>
      <c r="C2842" s="2">
        <v>41507</v>
      </c>
      <c r="D2842" s="1" t="s">
        <v>2002</v>
      </c>
      <c r="E2842" s="1">
        <v>101602</v>
      </c>
      <c r="F2842" s="6" t="s">
        <v>4844</v>
      </c>
      <c r="G2842" s="15" t="str">
        <f>VLOOKUP(A2842,Movie!A:D,4,FALSE)</f>
        <v>Buena Vista</v>
      </c>
      <c r="H2842" s="14">
        <f>VLOOKUP(E2842,'Rental Transaction'!A:B,2,FALSE)</f>
        <v>568217</v>
      </c>
      <c r="I2842">
        <f t="shared" si="44"/>
        <v>2013</v>
      </c>
    </row>
    <row r="2843" spans="1:9">
      <c r="A2843" s="1">
        <v>10207</v>
      </c>
      <c r="B2843" s="1">
        <v>4</v>
      </c>
      <c r="C2843" s="2">
        <v>41506</v>
      </c>
      <c r="D2843" s="1" t="s">
        <v>2005</v>
      </c>
      <c r="E2843" s="1">
        <v>101602</v>
      </c>
      <c r="F2843" s="6" t="s">
        <v>4845</v>
      </c>
      <c r="G2843" s="15" t="str">
        <f>VLOOKUP(A2843,Movie!A:D,4,FALSE)</f>
        <v>Paramount</v>
      </c>
      <c r="H2843" s="14">
        <f>VLOOKUP(E2843,'Rental Transaction'!A:B,2,FALSE)</f>
        <v>568217</v>
      </c>
      <c r="I2843">
        <f t="shared" si="44"/>
        <v>2013</v>
      </c>
    </row>
    <row r="2844" spans="1:9">
      <c r="A2844" s="1">
        <v>10237</v>
      </c>
      <c r="B2844" s="1">
        <v>9</v>
      </c>
      <c r="C2844" s="2">
        <v>41507</v>
      </c>
      <c r="D2844" s="1" t="s">
        <v>2005</v>
      </c>
      <c r="E2844" s="1">
        <v>101603</v>
      </c>
      <c r="F2844" s="6" t="s">
        <v>4846</v>
      </c>
      <c r="G2844" s="15" t="str">
        <f>VLOOKUP(A2844,Movie!A:D,4,FALSE)</f>
        <v>Warner Brothers</v>
      </c>
      <c r="H2844" s="14">
        <f>VLOOKUP(E2844,'Rental Transaction'!A:B,2,FALSE)</f>
        <v>815980</v>
      </c>
      <c r="I2844">
        <f t="shared" si="44"/>
        <v>2013</v>
      </c>
    </row>
    <row r="2845" spans="1:9">
      <c r="A2845" s="1">
        <v>10039</v>
      </c>
      <c r="B2845" s="1">
        <v>3</v>
      </c>
      <c r="C2845" s="2">
        <v>41506</v>
      </c>
      <c r="D2845" s="1" t="s">
        <v>2002</v>
      </c>
      <c r="E2845" s="1">
        <v>101603</v>
      </c>
      <c r="F2845" s="6" t="s">
        <v>4847</v>
      </c>
      <c r="G2845" s="15" t="str">
        <f>VLOOKUP(A2845,Movie!A:D,4,FALSE)</f>
        <v>Open Road Films</v>
      </c>
      <c r="H2845" s="14">
        <f>VLOOKUP(E2845,'Rental Transaction'!A:B,2,FALSE)</f>
        <v>815980</v>
      </c>
      <c r="I2845">
        <f t="shared" si="44"/>
        <v>2013</v>
      </c>
    </row>
    <row r="2846" spans="1:9">
      <c r="A2846" s="1">
        <v>10273</v>
      </c>
      <c r="B2846" s="1">
        <v>6</v>
      </c>
      <c r="C2846" s="2">
        <v>41506</v>
      </c>
      <c r="D2846" s="1" t="s">
        <v>2002</v>
      </c>
      <c r="E2846" s="1">
        <v>101604</v>
      </c>
      <c r="F2846" s="6" t="s">
        <v>4848</v>
      </c>
      <c r="G2846" s="15" t="str">
        <f>VLOOKUP(A2846,Movie!A:D,4,FALSE)</f>
        <v>Sony</v>
      </c>
      <c r="H2846" s="14">
        <f>VLOOKUP(E2846,'Rental Transaction'!A:B,2,FALSE)</f>
        <v>890651</v>
      </c>
      <c r="I2846">
        <f t="shared" si="44"/>
        <v>2013</v>
      </c>
    </row>
    <row r="2847" spans="1:9">
      <c r="A2847" s="1">
        <v>10138</v>
      </c>
      <c r="B2847" s="1">
        <v>1</v>
      </c>
      <c r="C2847" s="2">
        <v>41506</v>
      </c>
      <c r="D2847" s="1" t="s">
        <v>2005</v>
      </c>
      <c r="E2847" s="1">
        <v>101605</v>
      </c>
      <c r="F2847" s="6" t="s">
        <v>4849</v>
      </c>
      <c r="G2847" s="15" t="str">
        <f>VLOOKUP(A2847,Movie!A:D,4,FALSE)</f>
        <v>Universal</v>
      </c>
      <c r="H2847" s="14">
        <f>VLOOKUP(E2847,'Rental Transaction'!A:B,2,FALSE)</f>
        <v>520377</v>
      </c>
      <c r="I2847">
        <f t="shared" si="44"/>
        <v>2013</v>
      </c>
    </row>
    <row r="2848" spans="1:9">
      <c r="A2848" s="1">
        <v>10053</v>
      </c>
      <c r="B2848" s="1">
        <v>5</v>
      </c>
      <c r="C2848" s="2">
        <v>41508</v>
      </c>
      <c r="D2848" s="1" t="s">
        <v>2005</v>
      </c>
      <c r="E2848" s="1">
        <v>101606</v>
      </c>
      <c r="F2848" s="6" t="s">
        <v>4850</v>
      </c>
      <c r="G2848" s="15" t="str">
        <f>VLOOKUP(A2848,Movie!A:D,4,FALSE)</f>
        <v>Sony</v>
      </c>
      <c r="H2848" s="14">
        <f>VLOOKUP(E2848,'Rental Transaction'!A:B,2,FALSE)</f>
        <v>134457</v>
      </c>
      <c r="I2848">
        <f t="shared" si="44"/>
        <v>2013</v>
      </c>
    </row>
    <row r="2849" spans="1:9">
      <c r="A2849" s="1">
        <v>10206</v>
      </c>
      <c r="B2849" s="1">
        <v>5</v>
      </c>
      <c r="C2849" s="2">
        <v>41509</v>
      </c>
      <c r="D2849" s="1" t="s">
        <v>2002</v>
      </c>
      <c r="E2849" s="1">
        <v>101607</v>
      </c>
      <c r="F2849" s="6" t="s">
        <v>4851</v>
      </c>
      <c r="G2849" s="15" t="str">
        <f>VLOOKUP(A2849,Movie!A:D,4,FALSE)</f>
        <v>Fox</v>
      </c>
      <c r="H2849" s="14">
        <f>VLOOKUP(E2849,'Rental Transaction'!A:B,2,FALSE)</f>
        <v>230467</v>
      </c>
      <c r="I2849">
        <f t="shared" si="44"/>
        <v>2013</v>
      </c>
    </row>
    <row r="2850" spans="1:9">
      <c r="A2850" s="1">
        <v>10106</v>
      </c>
      <c r="B2850" s="1">
        <v>6</v>
      </c>
      <c r="C2850" s="2">
        <v>41507</v>
      </c>
      <c r="D2850" s="1" t="s">
        <v>2002</v>
      </c>
      <c r="E2850" s="1">
        <v>101608</v>
      </c>
      <c r="F2850" s="6" t="s">
        <v>4852</v>
      </c>
      <c r="G2850" s="15" t="str">
        <f>VLOOKUP(A2850,Movie!A:D,4,FALSE)</f>
        <v>Fox</v>
      </c>
      <c r="H2850" s="14">
        <f>VLOOKUP(E2850,'Rental Transaction'!A:B,2,FALSE)</f>
        <v>703083</v>
      </c>
      <c r="I2850">
        <f t="shared" si="44"/>
        <v>2013</v>
      </c>
    </row>
    <row r="2851" spans="1:9">
      <c r="A2851" s="1">
        <v>10063</v>
      </c>
      <c r="B2851" s="1">
        <v>4</v>
      </c>
      <c r="C2851" s="2">
        <v>41508</v>
      </c>
      <c r="D2851" s="1" t="s">
        <v>2002</v>
      </c>
      <c r="E2851" s="1">
        <v>101608</v>
      </c>
      <c r="F2851" s="6" t="s">
        <v>4853</v>
      </c>
      <c r="G2851" s="15" t="str">
        <f>VLOOKUP(A2851,Movie!A:D,4,FALSE)</f>
        <v>CBS Films</v>
      </c>
      <c r="H2851" s="14">
        <f>VLOOKUP(E2851,'Rental Transaction'!A:B,2,FALSE)</f>
        <v>703083</v>
      </c>
      <c r="I2851">
        <f t="shared" si="44"/>
        <v>2013</v>
      </c>
    </row>
    <row r="2852" spans="1:9">
      <c r="A2852" s="1">
        <v>10061</v>
      </c>
      <c r="B2852" s="1">
        <v>2</v>
      </c>
      <c r="C2852" s="2">
        <v>41507</v>
      </c>
      <c r="D2852" s="1" t="s">
        <v>2002</v>
      </c>
      <c r="E2852" s="1">
        <v>101609</v>
      </c>
      <c r="F2852" s="6" t="s">
        <v>4854</v>
      </c>
      <c r="G2852" s="15" t="str">
        <f>VLOOKUP(A2852,Movie!A:D,4,FALSE)</f>
        <v>Fox</v>
      </c>
      <c r="H2852" s="14">
        <f>VLOOKUP(E2852,'Rental Transaction'!A:B,2,FALSE)</f>
        <v>166135</v>
      </c>
      <c r="I2852">
        <f t="shared" si="44"/>
        <v>2013</v>
      </c>
    </row>
    <row r="2853" spans="1:9">
      <c r="A2853" s="1">
        <v>10015</v>
      </c>
      <c r="B2853" s="1">
        <v>6</v>
      </c>
      <c r="C2853" s="2">
        <v>41509</v>
      </c>
      <c r="D2853" s="1" t="s">
        <v>2005</v>
      </c>
      <c r="E2853" s="1">
        <v>101609</v>
      </c>
      <c r="F2853" s="6" t="s">
        <v>4855</v>
      </c>
      <c r="G2853" s="15" t="str">
        <f>VLOOKUP(A2853,Movie!A:D,4,FALSE)</f>
        <v>TriStar</v>
      </c>
      <c r="H2853" s="14">
        <f>VLOOKUP(E2853,'Rental Transaction'!A:B,2,FALSE)</f>
        <v>166135</v>
      </c>
      <c r="I2853">
        <f t="shared" si="44"/>
        <v>2013</v>
      </c>
    </row>
    <row r="2854" spans="1:9">
      <c r="A2854" s="1">
        <v>10274</v>
      </c>
      <c r="B2854" s="1">
        <v>2</v>
      </c>
      <c r="C2854" s="2">
        <v>41507</v>
      </c>
      <c r="D2854" s="1" t="s">
        <v>2002</v>
      </c>
      <c r="E2854" s="1">
        <v>101609</v>
      </c>
      <c r="F2854" s="6" t="s">
        <v>4856</v>
      </c>
      <c r="G2854" s="15" t="str">
        <f>VLOOKUP(A2854,Movie!A:D,4,FALSE)</f>
        <v>Fox</v>
      </c>
      <c r="H2854" s="14">
        <f>VLOOKUP(E2854,'Rental Transaction'!A:B,2,FALSE)</f>
        <v>166135</v>
      </c>
      <c r="I2854">
        <f t="shared" si="44"/>
        <v>2013</v>
      </c>
    </row>
    <row r="2855" spans="1:9">
      <c r="A2855" s="1">
        <v>10032</v>
      </c>
      <c r="B2855" s="1">
        <v>2</v>
      </c>
      <c r="C2855" s="2">
        <v>41507</v>
      </c>
      <c r="D2855" s="1" t="s">
        <v>2002</v>
      </c>
      <c r="E2855" s="1">
        <v>101610</v>
      </c>
      <c r="F2855" s="6" t="s">
        <v>4857</v>
      </c>
      <c r="G2855" s="15" t="str">
        <f>VLOOKUP(A2855,Movie!A:D,4,FALSE)</f>
        <v>Sony</v>
      </c>
      <c r="H2855" s="14">
        <f>VLOOKUP(E2855,'Rental Transaction'!A:B,2,FALSE)</f>
        <v>567719</v>
      </c>
      <c r="I2855">
        <f t="shared" si="44"/>
        <v>2013</v>
      </c>
    </row>
    <row r="2856" spans="1:9">
      <c r="A2856" s="1">
        <v>10233</v>
      </c>
      <c r="B2856" s="1">
        <v>5</v>
      </c>
      <c r="C2856" s="2">
        <v>41509</v>
      </c>
      <c r="D2856" s="1" t="s">
        <v>2005</v>
      </c>
      <c r="E2856" s="1">
        <v>101611</v>
      </c>
      <c r="F2856" s="6" t="s">
        <v>4858</v>
      </c>
      <c r="G2856" s="15" t="str">
        <f>VLOOKUP(A2856,Movie!A:D,4,FALSE)</f>
        <v>Screen Gems</v>
      </c>
      <c r="H2856" s="14">
        <f>VLOOKUP(E2856,'Rental Transaction'!A:B,2,FALSE)</f>
        <v>757780</v>
      </c>
      <c r="I2856">
        <f t="shared" si="44"/>
        <v>2013</v>
      </c>
    </row>
    <row r="2857" spans="1:9">
      <c r="A2857" s="1">
        <v>10225</v>
      </c>
      <c r="B2857" s="1">
        <v>3</v>
      </c>
      <c r="C2857" s="2">
        <v>41507</v>
      </c>
      <c r="D2857" s="1" t="s">
        <v>2002</v>
      </c>
      <c r="E2857" s="1">
        <v>101611</v>
      </c>
      <c r="F2857" s="6" t="s">
        <v>4859</v>
      </c>
      <c r="G2857" s="15" t="str">
        <f>VLOOKUP(A2857,Movie!A:D,4,FALSE)</f>
        <v>Warner Brothers</v>
      </c>
      <c r="H2857" s="14">
        <f>VLOOKUP(E2857,'Rental Transaction'!A:B,2,FALSE)</f>
        <v>757780</v>
      </c>
      <c r="I2857">
        <f t="shared" si="44"/>
        <v>2013</v>
      </c>
    </row>
    <row r="2858" spans="1:9">
      <c r="A2858" s="1">
        <v>10020</v>
      </c>
      <c r="B2858" s="1">
        <v>3</v>
      </c>
      <c r="C2858" s="2">
        <v>41508</v>
      </c>
      <c r="D2858" s="1" t="s">
        <v>2002</v>
      </c>
      <c r="E2858" s="1">
        <v>101612</v>
      </c>
      <c r="F2858" s="6" t="s">
        <v>4860</v>
      </c>
      <c r="G2858" s="15" t="str">
        <f>VLOOKUP(A2858,Movie!A:D,4,FALSE)</f>
        <v>FilmDistrict</v>
      </c>
      <c r="H2858" s="14">
        <f>VLOOKUP(E2858,'Rental Transaction'!A:B,2,FALSE)</f>
        <v>706101</v>
      </c>
      <c r="I2858">
        <f t="shared" si="44"/>
        <v>2013</v>
      </c>
    </row>
    <row r="2859" spans="1:9">
      <c r="A2859" s="1">
        <v>10174</v>
      </c>
      <c r="B2859" s="1">
        <v>6</v>
      </c>
      <c r="C2859" s="2">
        <v>41507</v>
      </c>
      <c r="D2859" s="1" t="s">
        <v>2002</v>
      </c>
      <c r="E2859" s="1">
        <v>101613</v>
      </c>
      <c r="F2859" s="6" t="s">
        <v>4861</v>
      </c>
      <c r="G2859" s="15" t="str">
        <f>VLOOKUP(A2859,Movie!A:D,4,FALSE)</f>
        <v>Universal</v>
      </c>
      <c r="H2859" s="14">
        <f>VLOOKUP(E2859,'Rental Transaction'!A:B,2,FALSE)</f>
        <v>912671</v>
      </c>
      <c r="I2859">
        <f t="shared" si="44"/>
        <v>2013</v>
      </c>
    </row>
    <row r="2860" spans="1:9">
      <c r="A2860" s="1">
        <v>10109</v>
      </c>
      <c r="B2860" s="1">
        <v>1</v>
      </c>
      <c r="C2860" s="2">
        <v>41507</v>
      </c>
      <c r="D2860" s="1" t="s">
        <v>2002</v>
      </c>
      <c r="E2860" s="1">
        <v>101613</v>
      </c>
      <c r="F2860" s="6" t="s">
        <v>4862</v>
      </c>
      <c r="G2860" s="15" t="str">
        <f>VLOOKUP(A2860,Movie!A:D,4,FALSE)</f>
        <v>Warner Brothers</v>
      </c>
      <c r="H2860" s="14">
        <f>VLOOKUP(E2860,'Rental Transaction'!A:B,2,FALSE)</f>
        <v>912671</v>
      </c>
      <c r="I2860">
        <f t="shared" si="44"/>
        <v>2013</v>
      </c>
    </row>
    <row r="2861" spans="1:9">
      <c r="A2861" s="1">
        <v>10049</v>
      </c>
      <c r="B2861" s="1">
        <v>6</v>
      </c>
      <c r="C2861" s="2">
        <v>41507</v>
      </c>
      <c r="D2861" s="1" t="s">
        <v>2005</v>
      </c>
      <c r="E2861" s="1">
        <v>101614</v>
      </c>
      <c r="F2861" s="6" t="s">
        <v>4863</v>
      </c>
      <c r="G2861" s="15" t="str">
        <f>VLOOKUP(A2861,Movie!A:D,4,FALSE)</f>
        <v>Universal</v>
      </c>
      <c r="H2861" s="14">
        <f>VLOOKUP(E2861,'Rental Transaction'!A:B,2,FALSE)</f>
        <v>266633</v>
      </c>
      <c r="I2861">
        <f t="shared" si="44"/>
        <v>2013</v>
      </c>
    </row>
    <row r="2862" spans="1:9">
      <c r="A2862" s="1">
        <v>10031</v>
      </c>
      <c r="B2862" s="1">
        <v>10</v>
      </c>
      <c r="C2862" s="2">
        <v>41508</v>
      </c>
      <c r="D2862" s="1" t="s">
        <v>2002</v>
      </c>
      <c r="E2862" s="1">
        <v>101615</v>
      </c>
      <c r="F2862" s="6" t="s">
        <v>4864</v>
      </c>
      <c r="G2862" s="15" t="str">
        <f>VLOOKUP(A2862,Movie!A:D,4,FALSE)</f>
        <v>Warner Brothers</v>
      </c>
      <c r="H2862" s="14">
        <f>VLOOKUP(E2862,'Rental Transaction'!A:B,2,FALSE)</f>
        <v>599995</v>
      </c>
      <c r="I2862">
        <f t="shared" si="44"/>
        <v>2013</v>
      </c>
    </row>
    <row r="2863" spans="1:9">
      <c r="A2863" s="1">
        <v>10020</v>
      </c>
      <c r="B2863" s="1">
        <v>9</v>
      </c>
      <c r="C2863" s="2">
        <v>41510</v>
      </c>
      <c r="D2863" s="1" t="s">
        <v>2005</v>
      </c>
      <c r="E2863" s="1">
        <v>101615</v>
      </c>
      <c r="F2863" s="6" t="s">
        <v>4865</v>
      </c>
      <c r="G2863" s="15" t="str">
        <f>VLOOKUP(A2863,Movie!A:D,4,FALSE)</f>
        <v>FilmDistrict</v>
      </c>
      <c r="H2863" s="14">
        <f>VLOOKUP(E2863,'Rental Transaction'!A:B,2,FALSE)</f>
        <v>599995</v>
      </c>
      <c r="I2863">
        <f t="shared" si="44"/>
        <v>2013</v>
      </c>
    </row>
    <row r="2864" spans="1:9">
      <c r="A2864" s="1">
        <v>10225</v>
      </c>
      <c r="B2864" s="1">
        <v>5</v>
      </c>
      <c r="C2864" s="2">
        <v>41508</v>
      </c>
      <c r="D2864" s="1" t="s">
        <v>2002</v>
      </c>
      <c r="E2864" s="1">
        <v>101615</v>
      </c>
      <c r="F2864" s="6" t="s">
        <v>4866</v>
      </c>
      <c r="G2864" s="15" t="str">
        <f>VLOOKUP(A2864,Movie!A:D,4,FALSE)</f>
        <v>Warner Brothers</v>
      </c>
      <c r="H2864" s="14">
        <f>VLOOKUP(E2864,'Rental Transaction'!A:B,2,FALSE)</f>
        <v>599995</v>
      </c>
      <c r="I2864">
        <f t="shared" si="44"/>
        <v>2013</v>
      </c>
    </row>
    <row r="2865" spans="1:9">
      <c r="A2865" s="1">
        <v>10022</v>
      </c>
      <c r="B2865" s="1">
        <v>1</v>
      </c>
      <c r="C2865" s="2">
        <v>41508</v>
      </c>
      <c r="D2865" s="1" t="s">
        <v>2002</v>
      </c>
      <c r="E2865" s="1">
        <v>101616</v>
      </c>
      <c r="F2865" s="6" t="s">
        <v>4867</v>
      </c>
      <c r="G2865" s="15" t="str">
        <f>VLOOKUP(A2865,Movie!A:D,4,FALSE)</f>
        <v>Universal</v>
      </c>
      <c r="H2865" s="14">
        <f>VLOOKUP(E2865,'Rental Transaction'!A:B,2,FALSE)</f>
        <v>745543</v>
      </c>
      <c r="I2865">
        <f t="shared" si="44"/>
        <v>2013</v>
      </c>
    </row>
    <row r="2866" spans="1:9">
      <c r="A2866" s="1">
        <v>10283</v>
      </c>
      <c r="B2866" s="1">
        <v>9</v>
      </c>
      <c r="C2866" s="2">
        <v>41509</v>
      </c>
      <c r="D2866" s="1" t="s">
        <v>2002</v>
      </c>
      <c r="E2866" s="1">
        <v>101617</v>
      </c>
      <c r="F2866" s="6" t="s">
        <v>4868</v>
      </c>
      <c r="G2866" s="15" t="str">
        <f>VLOOKUP(A2866,Movie!A:D,4,FALSE)</f>
        <v>TriStar</v>
      </c>
      <c r="H2866" s="14">
        <f>VLOOKUP(E2866,'Rental Transaction'!A:B,2,FALSE)</f>
        <v>672834</v>
      </c>
      <c r="I2866">
        <f t="shared" si="44"/>
        <v>2013</v>
      </c>
    </row>
    <row r="2867" spans="1:9">
      <c r="A2867" s="1">
        <v>10001</v>
      </c>
      <c r="B2867" s="1">
        <v>8</v>
      </c>
      <c r="C2867" s="2">
        <v>41508</v>
      </c>
      <c r="D2867" s="1" t="s">
        <v>2002</v>
      </c>
      <c r="E2867" s="1">
        <v>101617</v>
      </c>
      <c r="F2867" s="6" t="s">
        <v>4869</v>
      </c>
      <c r="G2867" s="15" t="str">
        <f>VLOOKUP(A2867,Movie!A:D,4,FALSE)</f>
        <v>Focus</v>
      </c>
      <c r="H2867" s="14">
        <f>VLOOKUP(E2867,'Rental Transaction'!A:B,2,FALSE)</f>
        <v>672834</v>
      </c>
      <c r="I2867">
        <f t="shared" si="44"/>
        <v>2013</v>
      </c>
    </row>
    <row r="2868" spans="1:9">
      <c r="A2868" s="1">
        <v>10034</v>
      </c>
      <c r="B2868" s="1">
        <v>4</v>
      </c>
      <c r="C2868" s="2">
        <v>41508</v>
      </c>
      <c r="D2868" s="1" t="s">
        <v>2005</v>
      </c>
      <c r="E2868" s="1">
        <v>101617</v>
      </c>
      <c r="F2868" s="6" t="s">
        <v>4870</v>
      </c>
      <c r="G2868" s="15" t="str">
        <f>VLOOKUP(A2868,Movie!A:D,4,FALSE)</f>
        <v>Lionsgate</v>
      </c>
      <c r="H2868" s="14">
        <f>VLOOKUP(E2868,'Rental Transaction'!A:B,2,FALSE)</f>
        <v>672834</v>
      </c>
      <c r="I2868">
        <f t="shared" si="44"/>
        <v>2013</v>
      </c>
    </row>
    <row r="2869" spans="1:9">
      <c r="A2869" s="1">
        <v>10130</v>
      </c>
      <c r="B2869" s="1">
        <v>2</v>
      </c>
      <c r="C2869" s="2">
        <v>41508</v>
      </c>
      <c r="D2869" s="1" t="s">
        <v>2005</v>
      </c>
      <c r="E2869" s="1">
        <v>101618</v>
      </c>
      <c r="F2869" s="6" t="s">
        <v>4871</v>
      </c>
      <c r="G2869" s="15" t="str">
        <f>VLOOKUP(A2869,Movie!A:D,4,FALSE)</f>
        <v>A24</v>
      </c>
      <c r="H2869" s="14">
        <f>VLOOKUP(E2869,'Rental Transaction'!A:B,2,FALSE)</f>
        <v>900440</v>
      </c>
      <c r="I2869">
        <f t="shared" si="44"/>
        <v>2013</v>
      </c>
    </row>
    <row r="2870" spans="1:9">
      <c r="A2870" s="1">
        <v>10276</v>
      </c>
      <c r="B2870" s="1">
        <v>5</v>
      </c>
      <c r="C2870" s="2">
        <v>41508</v>
      </c>
      <c r="D2870" s="1" t="s">
        <v>2005</v>
      </c>
      <c r="E2870" s="1">
        <v>101618</v>
      </c>
      <c r="F2870" s="6" t="s">
        <v>4872</v>
      </c>
      <c r="G2870" s="15" t="str">
        <f>VLOOKUP(A2870,Movie!A:D,4,FALSE)</f>
        <v>FilmDistrict</v>
      </c>
      <c r="H2870" s="14">
        <f>VLOOKUP(E2870,'Rental Transaction'!A:B,2,FALSE)</f>
        <v>900440</v>
      </c>
      <c r="I2870">
        <f t="shared" si="44"/>
        <v>2013</v>
      </c>
    </row>
    <row r="2871" spans="1:9">
      <c r="A2871" s="1">
        <v>10269</v>
      </c>
      <c r="B2871" s="1">
        <v>5</v>
      </c>
      <c r="C2871" s="2">
        <v>41510</v>
      </c>
      <c r="D2871" s="1" t="s">
        <v>2002</v>
      </c>
      <c r="E2871" s="1">
        <v>101619</v>
      </c>
      <c r="F2871" s="6" t="s">
        <v>4873</v>
      </c>
      <c r="G2871" s="15" t="str">
        <f>VLOOKUP(A2871,Movie!A:D,4,FALSE)</f>
        <v>Buena Vista</v>
      </c>
      <c r="H2871" s="14">
        <f>VLOOKUP(E2871,'Rental Transaction'!A:B,2,FALSE)</f>
        <v>912671</v>
      </c>
      <c r="I2871">
        <f t="shared" si="44"/>
        <v>2013</v>
      </c>
    </row>
    <row r="2872" spans="1:9">
      <c r="A2872" s="1">
        <v>10202</v>
      </c>
      <c r="B2872" s="1">
        <v>4</v>
      </c>
      <c r="C2872" s="2">
        <v>41510</v>
      </c>
      <c r="D2872" s="1" t="s">
        <v>2002</v>
      </c>
      <c r="E2872" s="1">
        <v>101619</v>
      </c>
      <c r="F2872" s="6" t="s">
        <v>4874</v>
      </c>
      <c r="G2872" s="15" t="str">
        <f>VLOOKUP(A2872,Movie!A:D,4,FALSE)</f>
        <v>Warner Brothers</v>
      </c>
      <c r="H2872" s="14">
        <f>VLOOKUP(E2872,'Rental Transaction'!A:B,2,FALSE)</f>
        <v>912671</v>
      </c>
      <c r="I2872">
        <f t="shared" si="44"/>
        <v>2013</v>
      </c>
    </row>
    <row r="2873" spans="1:9" ht="29.25">
      <c r="A2873" s="1">
        <v>10136</v>
      </c>
      <c r="B2873" s="1">
        <v>10</v>
      </c>
      <c r="C2873" s="2">
        <v>41510</v>
      </c>
      <c r="D2873" s="1" t="s">
        <v>2002</v>
      </c>
      <c r="E2873" s="1">
        <v>101620</v>
      </c>
      <c r="F2873" s="6" t="s">
        <v>4875</v>
      </c>
      <c r="G2873" s="15" t="str">
        <f>VLOOKUP(A2873,Movie!A:D,4,FALSE)</f>
        <v>Weinstein Company</v>
      </c>
      <c r="H2873" s="14">
        <f>VLOOKUP(E2873,'Rental Transaction'!A:B,2,FALSE)</f>
        <v>866556</v>
      </c>
      <c r="I2873">
        <f t="shared" si="44"/>
        <v>2013</v>
      </c>
    </row>
    <row r="2874" spans="1:9">
      <c r="A2874" s="1">
        <v>10103</v>
      </c>
      <c r="B2874" s="1">
        <v>5</v>
      </c>
      <c r="C2874" s="2">
        <v>41508</v>
      </c>
      <c r="D2874" s="1" t="s">
        <v>2002</v>
      </c>
      <c r="E2874" s="1">
        <v>101621</v>
      </c>
      <c r="F2874" s="6" t="s">
        <v>4876</v>
      </c>
      <c r="G2874" s="15" t="str">
        <f>VLOOKUP(A2874,Movie!A:D,4,FALSE)</f>
        <v>Fox</v>
      </c>
      <c r="H2874" s="14">
        <f>VLOOKUP(E2874,'Rental Transaction'!A:B,2,FALSE)</f>
        <v>781523</v>
      </c>
      <c r="I2874">
        <f t="shared" si="44"/>
        <v>2013</v>
      </c>
    </row>
    <row r="2875" spans="1:9">
      <c r="A2875" s="1">
        <v>10247</v>
      </c>
      <c r="B2875" s="1">
        <v>5</v>
      </c>
      <c r="C2875" s="2">
        <v>41509</v>
      </c>
      <c r="D2875" s="1" t="s">
        <v>2002</v>
      </c>
      <c r="E2875" s="1">
        <v>101622</v>
      </c>
      <c r="F2875" s="6" t="s">
        <v>4877</v>
      </c>
      <c r="G2875" s="15" t="str">
        <f>VLOOKUP(A2875,Movie!A:D,4,FALSE)</f>
        <v>Fox</v>
      </c>
      <c r="H2875" s="14">
        <f>VLOOKUP(E2875,'Rental Transaction'!A:B,2,FALSE)</f>
        <v>464782</v>
      </c>
      <c r="I2875">
        <f t="shared" si="44"/>
        <v>2013</v>
      </c>
    </row>
    <row r="2876" spans="1:9" ht="29.25">
      <c r="A2876" s="1">
        <v>10246</v>
      </c>
      <c r="B2876" s="1">
        <v>1</v>
      </c>
      <c r="C2876" s="2">
        <v>41509</v>
      </c>
      <c r="D2876" s="1" t="s">
        <v>2002</v>
      </c>
      <c r="E2876" s="1">
        <v>101623</v>
      </c>
      <c r="F2876" s="6" t="s">
        <v>4878</v>
      </c>
      <c r="G2876" s="15" t="str">
        <f>VLOOKUP(A2876,Movie!A:D,4,FALSE)</f>
        <v>Weinstein Company</v>
      </c>
      <c r="H2876" s="14">
        <f>VLOOKUP(E2876,'Rental Transaction'!A:B,2,FALSE)</f>
        <v>941876</v>
      </c>
      <c r="I2876">
        <f t="shared" si="44"/>
        <v>2013</v>
      </c>
    </row>
    <row r="2877" spans="1:9">
      <c r="A2877" s="1">
        <v>10029</v>
      </c>
      <c r="B2877" s="1">
        <v>9</v>
      </c>
      <c r="C2877" s="2">
        <v>41509</v>
      </c>
      <c r="D2877" s="1" t="s">
        <v>2002</v>
      </c>
      <c r="E2877" s="1">
        <v>101623</v>
      </c>
      <c r="F2877" s="6" t="s">
        <v>4879</v>
      </c>
      <c r="G2877" s="15" t="str">
        <f>VLOOKUP(A2877,Movie!A:D,4,FALSE)</f>
        <v>Relativity</v>
      </c>
      <c r="H2877" s="14">
        <f>VLOOKUP(E2877,'Rental Transaction'!A:B,2,FALSE)</f>
        <v>941876</v>
      </c>
      <c r="I2877">
        <f t="shared" si="44"/>
        <v>2013</v>
      </c>
    </row>
    <row r="2878" spans="1:9">
      <c r="A2878" s="1">
        <v>10148</v>
      </c>
      <c r="B2878" s="1">
        <v>5</v>
      </c>
      <c r="C2878" s="2">
        <v>41509</v>
      </c>
      <c r="D2878" s="1" t="s">
        <v>2002</v>
      </c>
      <c r="E2878" s="1">
        <v>101623</v>
      </c>
      <c r="F2878" s="6" t="s">
        <v>4880</v>
      </c>
      <c r="G2878" s="15" t="str">
        <f>VLOOKUP(A2878,Movie!A:D,4,FALSE)</f>
        <v>Paramount</v>
      </c>
      <c r="H2878" s="14">
        <f>VLOOKUP(E2878,'Rental Transaction'!A:B,2,FALSE)</f>
        <v>941876</v>
      </c>
      <c r="I2878">
        <f t="shared" si="44"/>
        <v>2013</v>
      </c>
    </row>
    <row r="2879" spans="1:9">
      <c r="A2879" s="1">
        <v>10101</v>
      </c>
      <c r="B2879" s="1">
        <v>8</v>
      </c>
      <c r="C2879" s="2">
        <v>41509</v>
      </c>
      <c r="D2879" s="1" t="s">
        <v>2005</v>
      </c>
      <c r="E2879" s="1">
        <v>101623</v>
      </c>
      <c r="F2879" s="6" t="s">
        <v>4881</v>
      </c>
      <c r="G2879" s="15" t="str">
        <f>VLOOKUP(A2879,Movie!A:D,4,FALSE)</f>
        <v>Sony</v>
      </c>
      <c r="H2879" s="14">
        <f>VLOOKUP(E2879,'Rental Transaction'!A:B,2,FALSE)</f>
        <v>941876</v>
      </c>
      <c r="I2879">
        <f t="shared" si="44"/>
        <v>2013</v>
      </c>
    </row>
    <row r="2880" spans="1:9">
      <c r="A2880" s="1">
        <v>10047</v>
      </c>
      <c r="B2880" s="1">
        <v>9</v>
      </c>
      <c r="C2880" s="2">
        <v>41509</v>
      </c>
      <c r="D2880" s="1" t="s">
        <v>2005</v>
      </c>
      <c r="E2880" s="1">
        <v>101623</v>
      </c>
      <c r="F2880" s="6" t="s">
        <v>4882</v>
      </c>
      <c r="G2880" s="15" t="str">
        <f>VLOOKUP(A2880,Movie!A:D,4,FALSE)</f>
        <v>Warner Brothers</v>
      </c>
      <c r="H2880" s="14">
        <f>VLOOKUP(E2880,'Rental Transaction'!A:B,2,FALSE)</f>
        <v>941876</v>
      </c>
      <c r="I2880">
        <f t="shared" si="44"/>
        <v>2013</v>
      </c>
    </row>
    <row r="2881" spans="1:9" ht="29.25">
      <c r="A2881" s="1">
        <v>10246</v>
      </c>
      <c r="B2881" s="1">
        <v>6</v>
      </c>
      <c r="C2881" s="2">
        <v>41509</v>
      </c>
      <c r="D2881" s="1" t="s">
        <v>2002</v>
      </c>
      <c r="E2881" s="1">
        <v>101624</v>
      </c>
      <c r="F2881" s="6" t="s">
        <v>4883</v>
      </c>
      <c r="G2881" s="15" t="str">
        <f>VLOOKUP(A2881,Movie!A:D,4,FALSE)</f>
        <v>Weinstein Company</v>
      </c>
      <c r="H2881" s="14">
        <f>VLOOKUP(E2881,'Rental Transaction'!A:B,2,FALSE)</f>
        <v>944523</v>
      </c>
      <c r="I2881">
        <f t="shared" si="44"/>
        <v>2013</v>
      </c>
    </row>
    <row r="2882" spans="1:9">
      <c r="A2882" s="1">
        <v>10172</v>
      </c>
      <c r="B2882" s="1">
        <v>7</v>
      </c>
      <c r="C2882" s="2">
        <v>41509</v>
      </c>
      <c r="D2882" s="1" t="s">
        <v>2005</v>
      </c>
      <c r="E2882" s="1">
        <v>101624</v>
      </c>
      <c r="F2882" s="6" t="s">
        <v>4884</v>
      </c>
      <c r="G2882" s="15" t="str">
        <f>VLOOKUP(A2882,Movie!A:D,4,FALSE)</f>
        <v>Lionsgate</v>
      </c>
      <c r="H2882" s="14">
        <f>VLOOKUP(E2882,'Rental Transaction'!A:B,2,FALSE)</f>
        <v>944523</v>
      </c>
      <c r="I2882">
        <f t="shared" si="44"/>
        <v>2013</v>
      </c>
    </row>
    <row r="2883" spans="1:9">
      <c r="A2883" s="1">
        <v>10168</v>
      </c>
      <c r="B2883" s="1">
        <v>3</v>
      </c>
      <c r="C2883" s="2">
        <v>41509</v>
      </c>
      <c r="D2883" s="1" t="s">
        <v>2005</v>
      </c>
      <c r="E2883" s="1">
        <v>101624</v>
      </c>
      <c r="F2883" s="6" t="s">
        <v>4885</v>
      </c>
      <c r="G2883" s="15" t="str">
        <f>VLOOKUP(A2883,Movie!A:D,4,FALSE)</f>
        <v>Paramount</v>
      </c>
      <c r="H2883" s="14">
        <f>VLOOKUP(E2883,'Rental Transaction'!A:B,2,FALSE)</f>
        <v>944523</v>
      </c>
      <c r="I2883">
        <f t="shared" ref="I2883:I2946" si="45">YEAR(C2883)</f>
        <v>2013</v>
      </c>
    </row>
    <row r="2884" spans="1:9">
      <c r="A2884" s="1">
        <v>10109</v>
      </c>
      <c r="B2884" s="1">
        <v>10</v>
      </c>
      <c r="C2884" s="2">
        <v>41509</v>
      </c>
      <c r="D2884" s="1" t="s">
        <v>2002</v>
      </c>
      <c r="E2884" s="1">
        <v>101625</v>
      </c>
      <c r="F2884" s="6" t="s">
        <v>4886</v>
      </c>
      <c r="G2884" s="15" t="str">
        <f>VLOOKUP(A2884,Movie!A:D,4,FALSE)</f>
        <v>Warner Brothers</v>
      </c>
      <c r="H2884" s="14">
        <f>VLOOKUP(E2884,'Rental Transaction'!A:B,2,FALSE)</f>
        <v>889686</v>
      </c>
      <c r="I2884">
        <f t="shared" si="45"/>
        <v>2013</v>
      </c>
    </row>
    <row r="2885" spans="1:9">
      <c r="A2885" s="1">
        <v>10118</v>
      </c>
      <c r="B2885" s="1">
        <v>3</v>
      </c>
      <c r="C2885" s="2">
        <v>41509</v>
      </c>
      <c r="D2885" s="1" t="s">
        <v>2005</v>
      </c>
      <c r="E2885" s="1">
        <v>101626</v>
      </c>
      <c r="F2885" s="6" t="s">
        <v>4887</v>
      </c>
      <c r="G2885" s="15" t="str">
        <f>VLOOKUP(A2885,Movie!A:D,4,FALSE)</f>
        <v>Buena Vista</v>
      </c>
      <c r="H2885" s="14">
        <f>VLOOKUP(E2885,'Rental Transaction'!A:B,2,FALSE)</f>
        <v>701211</v>
      </c>
      <c r="I2885">
        <f t="shared" si="45"/>
        <v>2013</v>
      </c>
    </row>
    <row r="2886" spans="1:9">
      <c r="A2886" s="1">
        <v>10237</v>
      </c>
      <c r="B2886" s="1">
        <v>4</v>
      </c>
      <c r="C2886" s="2">
        <v>41509</v>
      </c>
      <c r="D2886" s="1" t="s">
        <v>2002</v>
      </c>
      <c r="E2886" s="1">
        <v>101626</v>
      </c>
      <c r="F2886" s="6" t="s">
        <v>4888</v>
      </c>
      <c r="G2886" s="15" t="str">
        <f>VLOOKUP(A2886,Movie!A:D,4,FALSE)</f>
        <v>Warner Brothers</v>
      </c>
      <c r="H2886" s="14">
        <f>VLOOKUP(E2886,'Rental Transaction'!A:B,2,FALSE)</f>
        <v>701211</v>
      </c>
      <c r="I2886">
        <f t="shared" si="45"/>
        <v>2013</v>
      </c>
    </row>
    <row r="2887" spans="1:9">
      <c r="A2887" s="1">
        <v>10224</v>
      </c>
      <c r="B2887" s="1">
        <v>4</v>
      </c>
      <c r="C2887" s="2">
        <v>41509</v>
      </c>
      <c r="D2887" s="1" t="s">
        <v>2002</v>
      </c>
      <c r="E2887" s="1">
        <v>101626</v>
      </c>
      <c r="F2887" s="6" t="s">
        <v>4889</v>
      </c>
      <c r="G2887" s="15" t="str">
        <f>VLOOKUP(A2887,Movie!A:D,4,FALSE)</f>
        <v>Fox Searchlight</v>
      </c>
      <c r="H2887" s="14">
        <f>VLOOKUP(E2887,'Rental Transaction'!A:B,2,FALSE)</f>
        <v>701211</v>
      </c>
      <c r="I2887">
        <f t="shared" si="45"/>
        <v>2013</v>
      </c>
    </row>
    <row r="2888" spans="1:9">
      <c r="A2888" s="1">
        <v>10152</v>
      </c>
      <c r="B2888" s="1">
        <v>1</v>
      </c>
      <c r="C2888" s="2">
        <v>41509</v>
      </c>
      <c r="D2888" s="1" t="s">
        <v>2005</v>
      </c>
      <c r="E2888" s="1">
        <v>101627</v>
      </c>
      <c r="F2888" s="6" t="s">
        <v>4890</v>
      </c>
      <c r="G2888" s="15" t="str">
        <f>VLOOKUP(A2888,Movie!A:D,4,FALSE)</f>
        <v>FilmDistrict</v>
      </c>
      <c r="H2888" s="14">
        <f>VLOOKUP(E2888,'Rental Transaction'!A:B,2,FALSE)</f>
        <v>233956</v>
      </c>
      <c r="I2888">
        <f t="shared" si="45"/>
        <v>2013</v>
      </c>
    </row>
    <row r="2889" spans="1:9">
      <c r="A2889" s="1">
        <v>10001</v>
      </c>
      <c r="B2889" s="1">
        <v>5</v>
      </c>
      <c r="C2889" s="2">
        <v>41509</v>
      </c>
      <c r="D2889" s="1" t="s">
        <v>2002</v>
      </c>
      <c r="E2889" s="1">
        <v>101627</v>
      </c>
      <c r="F2889" s="6" t="s">
        <v>4891</v>
      </c>
      <c r="G2889" s="15" t="str">
        <f>VLOOKUP(A2889,Movie!A:D,4,FALSE)</f>
        <v>Focus</v>
      </c>
      <c r="H2889" s="14">
        <f>VLOOKUP(E2889,'Rental Transaction'!A:B,2,FALSE)</f>
        <v>233956</v>
      </c>
      <c r="I2889">
        <f t="shared" si="45"/>
        <v>2013</v>
      </c>
    </row>
    <row r="2890" spans="1:9">
      <c r="A2890" s="1">
        <v>10231</v>
      </c>
      <c r="B2890" s="1">
        <v>5</v>
      </c>
      <c r="C2890" s="2">
        <v>41509</v>
      </c>
      <c r="D2890" s="1" t="s">
        <v>2002</v>
      </c>
      <c r="E2890" s="1">
        <v>101627</v>
      </c>
      <c r="F2890" s="6" t="s">
        <v>4892</v>
      </c>
      <c r="G2890" s="15" t="str">
        <f>VLOOKUP(A2890,Movie!A:D,4,FALSE)</f>
        <v>Universal</v>
      </c>
      <c r="H2890" s="14">
        <f>VLOOKUP(E2890,'Rental Transaction'!A:B,2,FALSE)</f>
        <v>233956</v>
      </c>
      <c r="I2890">
        <f t="shared" si="45"/>
        <v>2013</v>
      </c>
    </row>
    <row r="2891" spans="1:9">
      <c r="A2891" s="1">
        <v>10148</v>
      </c>
      <c r="B2891" s="1">
        <v>1</v>
      </c>
      <c r="C2891" s="2">
        <v>41509</v>
      </c>
      <c r="D2891" s="1" t="s">
        <v>2002</v>
      </c>
      <c r="E2891" s="1">
        <v>101627</v>
      </c>
      <c r="F2891" s="6" t="s">
        <v>4893</v>
      </c>
      <c r="G2891" s="15" t="str">
        <f>VLOOKUP(A2891,Movie!A:D,4,FALSE)</f>
        <v>Paramount</v>
      </c>
      <c r="H2891" s="14">
        <f>VLOOKUP(E2891,'Rental Transaction'!A:B,2,FALSE)</f>
        <v>233956</v>
      </c>
      <c r="I2891">
        <f t="shared" si="45"/>
        <v>2013</v>
      </c>
    </row>
    <row r="2892" spans="1:9">
      <c r="A2892" s="1">
        <v>10185</v>
      </c>
      <c r="B2892" s="1">
        <v>6</v>
      </c>
      <c r="C2892" s="2">
        <v>41510</v>
      </c>
      <c r="D2892" s="1" t="s">
        <v>2005</v>
      </c>
      <c r="E2892" s="1">
        <v>101628</v>
      </c>
      <c r="F2892" s="6" t="s">
        <v>4894</v>
      </c>
      <c r="G2892" s="15" t="str">
        <f>VLOOKUP(A2892,Movie!A:D,4,FALSE)</f>
        <v>Warner Brothers</v>
      </c>
      <c r="H2892" s="14">
        <f>VLOOKUP(E2892,'Rental Transaction'!A:B,2,FALSE)</f>
        <v>420981</v>
      </c>
      <c r="I2892">
        <f t="shared" si="45"/>
        <v>2013</v>
      </c>
    </row>
    <row r="2893" spans="1:9">
      <c r="A2893" s="1">
        <v>10129</v>
      </c>
      <c r="B2893" s="1">
        <v>6</v>
      </c>
      <c r="C2893" s="2">
        <v>41509</v>
      </c>
      <c r="D2893" s="1" t="s">
        <v>2002</v>
      </c>
      <c r="E2893" s="1">
        <v>101628</v>
      </c>
      <c r="F2893" s="6" t="s">
        <v>4895</v>
      </c>
      <c r="G2893" s="15" t="str">
        <f>VLOOKUP(A2893,Movie!A:D,4,FALSE)</f>
        <v>Warner Brothers</v>
      </c>
      <c r="H2893" s="14">
        <f>VLOOKUP(E2893,'Rental Transaction'!A:B,2,FALSE)</f>
        <v>420981</v>
      </c>
      <c r="I2893">
        <f t="shared" si="45"/>
        <v>2013</v>
      </c>
    </row>
    <row r="2894" spans="1:9">
      <c r="A2894" s="1">
        <v>10213</v>
      </c>
      <c r="B2894" s="1">
        <v>9</v>
      </c>
      <c r="C2894" s="2">
        <v>41509</v>
      </c>
      <c r="D2894" s="1" t="s">
        <v>2002</v>
      </c>
      <c r="E2894" s="1">
        <v>101629</v>
      </c>
      <c r="F2894" s="6" t="s">
        <v>4896</v>
      </c>
      <c r="G2894" s="15" t="str">
        <f>VLOOKUP(A2894,Movie!A:D,4,FALSE)</f>
        <v>Sony</v>
      </c>
      <c r="H2894" s="14">
        <f>VLOOKUP(E2894,'Rental Transaction'!A:B,2,FALSE)</f>
        <v>108708</v>
      </c>
      <c r="I2894">
        <f t="shared" si="45"/>
        <v>2013</v>
      </c>
    </row>
    <row r="2895" spans="1:9">
      <c r="A2895" s="1">
        <v>10233</v>
      </c>
      <c r="B2895" s="1">
        <v>10</v>
      </c>
      <c r="C2895" s="2">
        <v>41509</v>
      </c>
      <c r="D2895" s="1" t="s">
        <v>2002</v>
      </c>
      <c r="E2895" s="1">
        <v>101630</v>
      </c>
      <c r="F2895" s="6" t="s">
        <v>4897</v>
      </c>
      <c r="G2895" s="15" t="str">
        <f>VLOOKUP(A2895,Movie!A:D,4,FALSE)</f>
        <v>Screen Gems</v>
      </c>
      <c r="H2895" s="14">
        <f>VLOOKUP(E2895,'Rental Transaction'!A:B,2,FALSE)</f>
        <v>407605</v>
      </c>
      <c r="I2895">
        <f t="shared" si="45"/>
        <v>2013</v>
      </c>
    </row>
    <row r="2896" spans="1:9">
      <c r="A2896" s="1">
        <v>10270</v>
      </c>
      <c r="B2896" s="1">
        <v>10</v>
      </c>
      <c r="C2896" s="2">
        <v>41509</v>
      </c>
      <c r="D2896" s="1" t="s">
        <v>2002</v>
      </c>
      <c r="E2896" s="1">
        <v>101631</v>
      </c>
      <c r="F2896" s="6" t="s">
        <v>4898</v>
      </c>
      <c r="G2896" s="15" t="str">
        <f>VLOOKUP(A2896,Movie!A:D,4,FALSE)</f>
        <v>Fox</v>
      </c>
      <c r="H2896" s="14">
        <f>VLOOKUP(E2896,'Rental Transaction'!A:B,2,FALSE)</f>
        <v>796796</v>
      </c>
      <c r="I2896">
        <f t="shared" si="45"/>
        <v>2013</v>
      </c>
    </row>
    <row r="2897" spans="1:9" ht="29.25">
      <c r="A2897" s="1">
        <v>10028</v>
      </c>
      <c r="B2897" s="1">
        <v>9</v>
      </c>
      <c r="C2897" s="2">
        <v>41510</v>
      </c>
      <c r="D2897" s="1" t="s">
        <v>2002</v>
      </c>
      <c r="E2897" s="1">
        <v>101631</v>
      </c>
      <c r="F2897" s="6" t="s">
        <v>4899</v>
      </c>
      <c r="G2897" s="15" t="str">
        <f>VLOOKUP(A2897,Movie!A:D,4,FALSE)</f>
        <v>Summit Entertainment</v>
      </c>
      <c r="H2897" s="14">
        <f>VLOOKUP(E2897,'Rental Transaction'!A:B,2,FALSE)</f>
        <v>796796</v>
      </c>
      <c r="I2897">
        <f t="shared" si="45"/>
        <v>2013</v>
      </c>
    </row>
    <row r="2898" spans="1:9">
      <c r="A2898" s="1">
        <v>10084</v>
      </c>
      <c r="B2898" s="1">
        <v>1</v>
      </c>
      <c r="C2898" s="2">
        <v>41512</v>
      </c>
      <c r="D2898" s="1" t="s">
        <v>2002</v>
      </c>
      <c r="E2898" s="1">
        <v>101632</v>
      </c>
      <c r="F2898" s="6" t="s">
        <v>4900</v>
      </c>
      <c r="G2898" s="15" t="str">
        <f>VLOOKUP(A2898,Movie!A:D,4,FALSE)</f>
        <v>CBS Films</v>
      </c>
      <c r="H2898" s="14">
        <f>VLOOKUP(E2898,'Rental Transaction'!A:B,2,FALSE)</f>
        <v>484909</v>
      </c>
      <c r="I2898">
        <f t="shared" si="45"/>
        <v>2013</v>
      </c>
    </row>
    <row r="2899" spans="1:9">
      <c r="A2899" s="1">
        <v>10069</v>
      </c>
      <c r="B2899" s="1">
        <v>8</v>
      </c>
      <c r="C2899" s="2">
        <v>41509</v>
      </c>
      <c r="D2899" s="1" t="s">
        <v>2005</v>
      </c>
      <c r="E2899" s="1">
        <v>101633</v>
      </c>
      <c r="F2899" s="6" t="s">
        <v>4901</v>
      </c>
      <c r="G2899" s="15" t="str">
        <f>VLOOKUP(A2899,Movie!A:D,4,FALSE)</f>
        <v>Warner Brothers</v>
      </c>
      <c r="H2899" s="14">
        <f>VLOOKUP(E2899,'Rental Transaction'!A:B,2,FALSE)</f>
        <v>730305</v>
      </c>
      <c r="I2899">
        <f t="shared" si="45"/>
        <v>2013</v>
      </c>
    </row>
    <row r="2900" spans="1:9">
      <c r="A2900" s="1">
        <v>10257</v>
      </c>
      <c r="B2900" s="1">
        <v>9</v>
      </c>
      <c r="C2900" s="2">
        <v>41509</v>
      </c>
      <c r="D2900" s="1" t="s">
        <v>2005</v>
      </c>
      <c r="E2900" s="1">
        <v>101633</v>
      </c>
      <c r="F2900" s="6" t="s">
        <v>4902</v>
      </c>
      <c r="G2900" s="15" t="str">
        <f>VLOOKUP(A2900,Movie!A:D,4,FALSE)</f>
        <v>Fox</v>
      </c>
      <c r="H2900" s="14">
        <f>VLOOKUP(E2900,'Rental Transaction'!A:B,2,FALSE)</f>
        <v>730305</v>
      </c>
      <c r="I2900">
        <f t="shared" si="45"/>
        <v>2013</v>
      </c>
    </row>
    <row r="2901" spans="1:9">
      <c r="A2901" s="1">
        <v>10218</v>
      </c>
      <c r="B2901" s="1">
        <v>8</v>
      </c>
      <c r="C2901" s="2">
        <v>41509</v>
      </c>
      <c r="D2901" s="1" t="s">
        <v>2002</v>
      </c>
      <c r="E2901" s="1">
        <v>101633</v>
      </c>
      <c r="F2901" s="6" t="s">
        <v>4903</v>
      </c>
      <c r="G2901" s="15" t="str">
        <f>VLOOKUP(A2901,Movie!A:D,4,FALSE)</f>
        <v>Sony</v>
      </c>
      <c r="H2901" s="14">
        <f>VLOOKUP(E2901,'Rental Transaction'!A:B,2,FALSE)</f>
        <v>730305</v>
      </c>
      <c r="I2901">
        <f t="shared" si="45"/>
        <v>2013</v>
      </c>
    </row>
    <row r="2902" spans="1:9" ht="29.25">
      <c r="A2902" s="1">
        <v>10136</v>
      </c>
      <c r="B2902" s="1">
        <v>9</v>
      </c>
      <c r="C2902" s="2">
        <v>41511</v>
      </c>
      <c r="D2902" s="1" t="s">
        <v>2005</v>
      </c>
      <c r="E2902" s="1">
        <v>101634</v>
      </c>
      <c r="F2902" s="6" t="s">
        <v>4904</v>
      </c>
      <c r="G2902" s="15" t="str">
        <f>VLOOKUP(A2902,Movie!A:D,4,FALSE)</f>
        <v>Weinstein Company</v>
      </c>
      <c r="H2902" s="14">
        <f>VLOOKUP(E2902,'Rental Transaction'!A:B,2,FALSE)</f>
        <v>158528</v>
      </c>
      <c r="I2902">
        <f t="shared" si="45"/>
        <v>2013</v>
      </c>
    </row>
    <row r="2903" spans="1:9">
      <c r="A2903" s="1">
        <v>10297</v>
      </c>
      <c r="B2903" s="1">
        <v>2</v>
      </c>
      <c r="C2903" s="2">
        <v>41509</v>
      </c>
      <c r="D2903" s="1" t="s">
        <v>2005</v>
      </c>
      <c r="E2903" s="1">
        <v>101634</v>
      </c>
      <c r="F2903" s="6" t="s">
        <v>4905</v>
      </c>
      <c r="G2903" s="15" t="str">
        <f>VLOOKUP(A2903,Movie!A:D,4,FALSE)</f>
        <v>Focus</v>
      </c>
      <c r="H2903" s="14">
        <f>VLOOKUP(E2903,'Rental Transaction'!A:B,2,FALSE)</f>
        <v>158528</v>
      </c>
      <c r="I2903">
        <f t="shared" si="45"/>
        <v>2013</v>
      </c>
    </row>
    <row r="2904" spans="1:9" ht="29.25">
      <c r="A2904" s="1">
        <v>10121</v>
      </c>
      <c r="B2904" s="1">
        <v>2</v>
      </c>
      <c r="C2904" s="2">
        <v>41510</v>
      </c>
      <c r="D2904" s="1" t="s">
        <v>2005</v>
      </c>
      <c r="E2904" s="1">
        <v>101635</v>
      </c>
      <c r="F2904" s="6" t="s">
        <v>4906</v>
      </c>
      <c r="G2904" s="15" t="str">
        <f>VLOOKUP(A2904,Movie!A:D,4,FALSE)</f>
        <v>Weinstein Company</v>
      </c>
      <c r="H2904" s="14">
        <f>VLOOKUP(E2904,'Rental Transaction'!A:B,2,FALSE)</f>
        <v>908328</v>
      </c>
      <c r="I2904">
        <f t="shared" si="45"/>
        <v>2013</v>
      </c>
    </row>
    <row r="2905" spans="1:9">
      <c r="A2905" s="1">
        <v>10206</v>
      </c>
      <c r="B2905" s="1">
        <v>3</v>
      </c>
      <c r="C2905" s="2">
        <v>41511</v>
      </c>
      <c r="D2905" s="1" t="s">
        <v>2002</v>
      </c>
      <c r="E2905" s="1">
        <v>101635</v>
      </c>
      <c r="F2905" s="6" t="s">
        <v>4907</v>
      </c>
      <c r="G2905" s="15" t="str">
        <f>VLOOKUP(A2905,Movie!A:D,4,FALSE)</f>
        <v>Fox</v>
      </c>
      <c r="H2905" s="14">
        <f>VLOOKUP(E2905,'Rental Transaction'!A:B,2,FALSE)</f>
        <v>908328</v>
      </c>
      <c r="I2905">
        <f t="shared" si="45"/>
        <v>2013</v>
      </c>
    </row>
    <row r="2906" spans="1:9">
      <c r="A2906" s="1">
        <v>10051</v>
      </c>
      <c r="B2906" s="1">
        <v>2</v>
      </c>
      <c r="C2906" s="2">
        <v>41509</v>
      </c>
      <c r="D2906" s="1" t="s">
        <v>2005</v>
      </c>
      <c r="E2906" s="1">
        <v>101636</v>
      </c>
      <c r="F2906" s="6" t="s">
        <v>4908</v>
      </c>
      <c r="G2906" s="15" t="str">
        <f>VLOOKUP(A2906,Movie!A:D,4,FALSE)</f>
        <v>Paramount</v>
      </c>
      <c r="H2906" s="14">
        <f>VLOOKUP(E2906,'Rental Transaction'!A:B,2,FALSE)</f>
        <v>447601</v>
      </c>
      <c r="I2906">
        <f t="shared" si="45"/>
        <v>2013</v>
      </c>
    </row>
    <row r="2907" spans="1:9">
      <c r="A2907" s="1">
        <v>10065</v>
      </c>
      <c r="B2907" s="1">
        <v>5</v>
      </c>
      <c r="C2907" s="2">
        <v>41509</v>
      </c>
      <c r="D2907" s="1" t="s">
        <v>2002</v>
      </c>
      <c r="E2907" s="1">
        <v>101636</v>
      </c>
      <c r="F2907" s="6" t="s">
        <v>4909</v>
      </c>
      <c r="G2907" s="15" t="str">
        <f>VLOOKUP(A2907,Movie!A:D,4,FALSE)</f>
        <v>Warner Brothers</v>
      </c>
      <c r="H2907" s="14">
        <f>VLOOKUP(E2907,'Rental Transaction'!A:B,2,FALSE)</f>
        <v>447601</v>
      </c>
      <c r="I2907">
        <f t="shared" si="45"/>
        <v>2013</v>
      </c>
    </row>
    <row r="2908" spans="1:9">
      <c r="A2908" s="1">
        <v>10168</v>
      </c>
      <c r="B2908" s="1">
        <v>2</v>
      </c>
      <c r="C2908" s="2">
        <v>41509</v>
      </c>
      <c r="D2908" s="1" t="s">
        <v>2002</v>
      </c>
      <c r="E2908" s="1">
        <v>101637</v>
      </c>
      <c r="F2908" s="6" t="s">
        <v>4910</v>
      </c>
      <c r="G2908" s="15" t="str">
        <f>VLOOKUP(A2908,Movie!A:D,4,FALSE)</f>
        <v>Paramount</v>
      </c>
      <c r="H2908" s="14">
        <f>VLOOKUP(E2908,'Rental Transaction'!A:B,2,FALSE)</f>
        <v>622506</v>
      </c>
      <c r="I2908">
        <f t="shared" si="45"/>
        <v>2013</v>
      </c>
    </row>
    <row r="2909" spans="1:9">
      <c r="A2909" s="1">
        <v>10240</v>
      </c>
      <c r="B2909" s="1">
        <v>2</v>
      </c>
      <c r="C2909" s="2">
        <v>41510</v>
      </c>
      <c r="D2909" s="1" t="s">
        <v>2002</v>
      </c>
      <c r="E2909" s="1">
        <v>101638</v>
      </c>
      <c r="F2909" s="6" t="s">
        <v>4911</v>
      </c>
      <c r="G2909" s="15" t="str">
        <f>VLOOKUP(A2909,Movie!A:D,4,FALSE)</f>
        <v>Warner Brothers</v>
      </c>
      <c r="H2909" s="14">
        <f>VLOOKUP(E2909,'Rental Transaction'!A:B,2,FALSE)</f>
        <v>842028</v>
      </c>
      <c r="I2909">
        <f t="shared" si="45"/>
        <v>2013</v>
      </c>
    </row>
    <row r="2910" spans="1:9">
      <c r="A2910" s="1">
        <v>10216</v>
      </c>
      <c r="B2910" s="1">
        <v>3</v>
      </c>
      <c r="C2910" s="2">
        <v>41510</v>
      </c>
      <c r="D2910" s="1" t="s">
        <v>2005</v>
      </c>
      <c r="E2910" s="1">
        <v>101638</v>
      </c>
      <c r="F2910" s="6" t="s">
        <v>4912</v>
      </c>
      <c r="G2910" s="15" t="str">
        <f>VLOOKUP(A2910,Movie!A:D,4,FALSE)</f>
        <v>Sony</v>
      </c>
      <c r="H2910" s="14">
        <f>VLOOKUP(E2910,'Rental Transaction'!A:B,2,FALSE)</f>
        <v>842028</v>
      </c>
      <c r="I2910">
        <f t="shared" si="45"/>
        <v>2013</v>
      </c>
    </row>
    <row r="2911" spans="1:9">
      <c r="A2911" s="1">
        <v>10138</v>
      </c>
      <c r="B2911" s="1">
        <v>3</v>
      </c>
      <c r="C2911" s="2">
        <v>41511</v>
      </c>
      <c r="D2911" s="1" t="s">
        <v>2002</v>
      </c>
      <c r="E2911" s="1">
        <v>101639</v>
      </c>
      <c r="F2911" s="6" t="s">
        <v>4913</v>
      </c>
      <c r="G2911" s="15" t="str">
        <f>VLOOKUP(A2911,Movie!A:D,4,FALSE)</f>
        <v>Universal</v>
      </c>
      <c r="H2911" s="14">
        <f>VLOOKUP(E2911,'Rental Transaction'!A:B,2,FALSE)</f>
        <v>298508</v>
      </c>
      <c r="I2911">
        <f t="shared" si="45"/>
        <v>2013</v>
      </c>
    </row>
    <row r="2912" spans="1:9">
      <c r="A2912" s="1">
        <v>10210</v>
      </c>
      <c r="B2912" s="1">
        <v>5</v>
      </c>
      <c r="C2912" s="2">
        <v>41511</v>
      </c>
      <c r="D2912" s="1" t="s">
        <v>2002</v>
      </c>
      <c r="E2912" s="1">
        <v>101640</v>
      </c>
      <c r="F2912" s="6" t="s">
        <v>4914</v>
      </c>
      <c r="G2912" s="15" t="str">
        <f>VLOOKUP(A2912,Movie!A:D,4,FALSE)</f>
        <v>Sony</v>
      </c>
      <c r="H2912" s="14">
        <f>VLOOKUP(E2912,'Rental Transaction'!A:B,2,FALSE)</f>
        <v>357579</v>
      </c>
      <c r="I2912">
        <f t="shared" si="45"/>
        <v>2013</v>
      </c>
    </row>
    <row r="2913" spans="1:9">
      <c r="A2913" s="1">
        <v>10065</v>
      </c>
      <c r="B2913" s="1">
        <v>3</v>
      </c>
      <c r="C2913" s="2">
        <v>41511</v>
      </c>
      <c r="D2913" s="1" t="s">
        <v>2005</v>
      </c>
      <c r="E2913" s="1">
        <v>101640</v>
      </c>
      <c r="F2913" s="6" t="s">
        <v>4915</v>
      </c>
      <c r="G2913" s="15" t="str">
        <f>VLOOKUP(A2913,Movie!A:D,4,FALSE)</f>
        <v>Warner Brothers</v>
      </c>
      <c r="H2913" s="14">
        <f>VLOOKUP(E2913,'Rental Transaction'!A:B,2,FALSE)</f>
        <v>357579</v>
      </c>
      <c r="I2913">
        <f t="shared" si="45"/>
        <v>2013</v>
      </c>
    </row>
    <row r="2914" spans="1:9">
      <c r="A2914" s="1">
        <v>10259</v>
      </c>
      <c r="B2914" s="1">
        <v>3</v>
      </c>
      <c r="C2914" s="2">
        <v>41510</v>
      </c>
      <c r="D2914" s="1" t="s">
        <v>2002</v>
      </c>
      <c r="E2914" s="1">
        <v>101641</v>
      </c>
      <c r="F2914" s="6" t="s">
        <v>4916</v>
      </c>
      <c r="G2914" s="15" t="str">
        <f>VLOOKUP(A2914,Movie!A:D,4,FALSE)</f>
        <v>Warner Brothers</v>
      </c>
      <c r="H2914" s="14">
        <f>VLOOKUP(E2914,'Rental Transaction'!A:B,2,FALSE)</f>
        <v>493552</v>
      </c>
      <c r="I2914">
        <f t="shared" si="45"/>
        <v>2013</v>
      </c>
    </row>
    <row r="2915" spans="1:9">
      <c r="A2915" s="1">
        <v>10068</v>
      </c>
      <c r="B2915" s="1">
        <v>10</v>
      </c>
      <c r="C2915" s="2">
        <v>41511</v>
      </c>
      <c r="D2915" s="1" t="s">
        <v>2005</v>
      </c>
      <c r="E2915" s="1">
        <v>101642</v>
      </c>
      <c r="F2915" s="6" t="s">
        <v>4917</v>
      </c>
      <c r="G2915" s="15" t="str">
        <f>VLOOKUP(A2915,Movie!A:D,4,FALSE)</f>
        <v>Warner Brothers</v>
      </c>
      <c r="H2915" s="14">
        <f>VLOOKUP(E2915,'Rental Transaction'!A:B,2,FALSE)</f>
        <v>612681</v>
      </c>
      <c r="I2915">
        <f t="shared" si="45"/>
        <v>2013</v>
      </c>
    </row>
    <row r="2916" spans="1:9">
      <c r="A2916" s="1">
        <v>10139</v>
      </c>
      <c r="B2916" s="1">
        <v>8</v>
      </c>
      <c r="C2916" s="2">
        <v>41510</v>
      </c>
      <c r="D2916" s="1" t="s">
        <v>2002</v>
      </c>
      <c r="E2916" s="1">
        <v>101642</v>
      </c>
      <c r="F2916" s="6" t="s">
        <v>4918</v>
      </c>
      <c r="G2916" s="15" t="str">
        <f>VLOOKUP(A2916,Movie!A:D,4,FALSE)</f>
        <v>Focus</v>
      </c>
      <c r="H2916" s="14">
        <f>VLOOKUP(E2916,'Rental Transaction'!A:B,2,FALSE)</f>
        <v>612681</v>
      </c>
      <c r="I2916">
        <f t="shared" si="45"/>
        <v>2013</v>
      </c>
    </row>
    <row r="2917" spans="1:9">
      <c r="A2917" s="1">
        <v>10067</v>
      </c>
      <c r="B2917" s="1">
        <v>10</v>
      </c>
      <c r="C2917" s="2">
        <v>41510</v>
      </c>
      <c r="D2917" s="1" t="s">
        <v>2002</v>
      </c>
      <c r="E2917" s="1">
        <v>101642</v>
      </c>
      <c r="F2917" s="6" t="s">
        <v>4919</v>
      </c>
      <c r="G2917" s="15" t="str">
        <f>VLOOKUP(A2917,Movie!A:D,4,FALSE)</f>
        <v>Paramount</v>
      </c>
      <c r="H2917" s="14">
        <f>VLOOKUP(E2917,'Rental Transaction'!A:B,2,FALSE)</f>
        <v>612681</v>
      </c>
      <c r="I2917">
        <f t="shared" si="45"/>
        <v>2013</v>
      </c>
    </row>
    <row r="2918" spans="1:9">
      <c r="A2918" s="1">
        <v>10118</v>
      </c>
      <c r="B2918" s="1">
        <v>5</v>
      </c>
      <c r="C2918" s="2">
        <v>41510</v>
      </c>
      <c r="D2918" s="1" t="s">
        <v>2002</v>
      </c>
      <c r="E2918" s="1">
        <v>101643</v>
      </c>
      <c r="F2918" s="6" t="s">
        <v>4920</v>
      </c>
      <c r="G2918" s="15" t="str">
        <f>VLOOKUP(A2918,Movie!A:D,4,FALSE)</f>
        <v>Buena Vista</v>
      </c>
      <c r="H2918" s="14">
        <f>VLOOKUP(E2918,'Rental Transaction'!A:B,2,FALSE)</f>
        <v>238347</v>
      </c>
      <c r="I2918">
        <f t="shared" si="45"/>
        <v>2013</v>
      </c>
    </row>
    <row r="2919" spans="1:9" ht="29.25">
      <c r="A2919" s="1">
        <v>10105</v>
      </c>
      <c r="B2919" s="1">
        <v>4</v>
      </c>
      <c r="C2919" s="2">
        <v>41512</v>
      </c>
      <c r="D2919" s="1" t="s">
        <v>2002</v>
      </c>
      <c r="E2919" s="1">
        <v>101644</v>
      </c>
      <c r="F2919" s="6" t="s">
        <v>4921</v>
      </c>
      <c r="G2919" s="15" t="str">
        <f>VLOOKUP(A2919,Movie!A:D,4,FALSE)</f>
        <v>Weinstein Company</v>
      </c>
      <c r="H2919" s="14">
        <f>VLOOKUP(E2919,'Rental Transaction'!A:B,2,FALSE)</f>
        <v>173125</v>
      </c>
      <c r="I2919">
        <f t="shared" si="45"/>
        <v>2013</v>
      </c>
    </row>
    <row r="2920" spans="1:9">
      <c r="A2920" s="1">
        <v>10005</v>
      </c>
      <c r="B2920" s="1">
        <v>6</v>
      </c>
      <c r="C2920" s="2">
        <v>41510</v>
      </c>
      <c r="D2920" s="1" t="s">
        <v>2002</v>
      </c>
      <c r="E2920" s="1">
        <v>101644</v>
      </c>
      <c r="F2920" s="6" t="s">
        <v>4922</v>
      </c>
      <c r="G2920" s="15" t="str">
        <f>VLOOKUP(A2920,Movie!A:D,4,FALSE)</f>
        <v>Buena Vista</v>
      </c>
      <c r="H2920" s="14">
        <f>VLOOKUP(E2920,'Rental Transaction'!A:B,2,FALSE)</f>
        <v>173125</v>
      </c>
      <c r="I2920">
        <f t="shared" si="45"/>
        <v>2013</v>
      </c>
    </row>
    <row r="2921" spans="1:9">
      <c r="A2921" s="1">
        <v>10011</v>
      </c>
      <c r="B2921" s="1">
        <v>4</v>
      </c>
      <c r="C2921" s="2">
        <v>41511</v>
      </c>
      <c r="D2921" s="1" t="s">
        <v>2005</v>
      </c>
      <c r="E2921" s="1">
        <v>101645</v>
      </c>
      <c r="F2921" s="6" t="s">
        <v>4923</v>
      </c>
      <c r="G2921" s="15" t="str">
        <f>VLOOKUP(A2921,Movie!A:D,4,FALSE)</f>
        <v>Buena Vista</v>
      </c>
      <c r="H2921" s="14">
        <f>VLOOKUP(E2921,'Rental Transaction'!A:B,2,FALSE)</f>
        <v>454015</v>
      </c>
      <c r="I2921">
        <f t="shared" si="45"/>
        <v>2013</v>
      </c>
    </row>
    <row r="2922" spans="1:9" ht="29.25">
      <c r="A2922" s="1">
        <v>10081</v>
      </c>
      <c r="B2922" s="1">
        <v>4</v>
      </c>
      <c r="C2922" s="2">
        <v>41510</v>
      </c>
      <c r="D2922" s="1" t="s">
        <v>2002</v>
      </c>
      <c r="E2922" s="1">
        <v>101646</v>
      </c>
      <c r="F2922" s="6" t="s">
        <v>4924</v>
      </c>
      <c r="G2922" s="15" t="str">
        <f>VLOOKUP(A2922,Movie!A:D,4,FALSE)</f>
        <v>Weinstein Company</v>
      </c>
      <c r="H2922" s="14">
        <f>VLOOKUP(E2922,'Rental Transaction'!A:B,2,FALSE)</f>
        <v>941876</v>
      </c>
      <c r="I2922">
        <f t="shared" si="45"/>
        <v>2013</v>
      </c>
    </row>
    <row r="2923" spans="1:9">
      <c r="A2923" s="1">
        <v>10073</v>
      </c>
      <c r="B2923" s="1">
        <v>2</v>
      </c>
      <c r="C2923" s="2">
        <v>41510</v>
      </c>
      <c r="D2923" s="1" t="s">
        <v>2005</v>
      </c>
      <c r="E2923" s="1">
        <v>101647</v>
      </c>
      <c r="F2923" s="6" t="s">
        <v>4925</v>
      </c>
      <c r="G2923" s="15" t="str">
        <f>VLOOKUP(A2923,Movie!A:D,4,FALSE)</f>
        <v>FilmDistrict</v>
      </c>
      <c r="H2923" s="14">
        <f>VLOOKUP(E2923,'Rental Transaction'!A:B,2,FALSE)</f>
        <v>714277</v>
      </c>
      <c r="I2923">
        <f t="shared" si="45"/>
        <v>2013</v>
      </c>
    </row>
    <row r="2924" spans="1:9">
      <c r="A2924" s="1">
        <v>10235</v>
      </c>
      <c r="B2924" s="1">
        <v>8</v>
      </c>
      <c r="C2924" s="2">
        <v>41510</v>
      </c>
      <c r="D2924" s="1" t="s">
        <v>2005</v>
      </c>
      <c r="E2924" s="1">
        <v>101647</v>
      </c>
      <c r="F2924" s="6" t="s">
        <v>4926</v>
      </c>
      <c r="G2924" s="15" t="str">
        <f>VLOOKUP(A2924,Movie!A:D,4,FALSE)</f>
        <v>Lionsgate</v>
      </c>
      <c r="H2924" s="14">
        <f>VLOOKUP(E2924,'Rental Transaction'!A:B,2,FALSE)</f>
        <v>714277</v>
      </c>
      <c r="I2924">
        <f t="shared" si="45"/>
        <v>2013</v>
      </c>
    </row>
    <row r="2925" spans="1:9">
      <c r="A2925" s="1">
        <v>10259</v>
      </c>
      <c r="B2925" s="1">
        <v>10</v>
      </c>
      <c r="C2925" s="2">
        <v>41511</v>
      </c>
      <c r="D2925" s="1" t="s">
        <v>2002</v>
      </c>
      <c r="E2925" s="1">
        <v>101647</v>
      </c>
      <c r="F2925" s="6" t="s">
        <v>4927</v>
      </c>
      <c r="G2925" s="15" t="str">
        <f>VLOOKUP(A2925,Movie!A:D,4,FALSE)</f>
        <v>Warner Brothers</v>
      </c>
      <c r="H2925" s="14">
        <f>VLOOKUP(E2925,'Rental Transaction'!A:B,2,FALSE)</f>
        <v>714277</v>
      </c>
      <c r="I2925">
        <f t="shared" si="45"/>
        <v>2013</v>
      </c>
    </row>
    <row r="2926" spans="1:9">
      <c r="A2926" s="1">
        <v>10236</v>
      </c>
      <c r="B2926" s="1">
        <v>8</v>
      </c>
      <c r="C2926" s="2">
        <v>41511</v>
      </c>
      <c r="D2926" s="1" t="s">
        <v>2002</v>
      </c>
      <c r="E2926" s="1">
        <v>101648</v>
      </c>
      <c r="F2926" s="6" t="s">
        <v>4928</v>
      </c>
      <c r="G2926" s="15" t="str">
        <f>VLOOKUP(A2926,Movie!A:D,4,FALSE)</f>
        <v>Lionsgate</v>
      </c>
      <c r="H2926" s="14">
        <f>VLOOKUP(E2926,'Rental Transaction'!A:B,2,FALSE)</f>
        <v>568217</v>
      </c>
      <c r="I2926">
        <f t="shared" si="45"/>
        <v>2013</v>
      </c>
    </row>
    <row r="2927" spans="1:9">
      <c r="A2927" s="1">
        <v>10197</v>
      </c>
      <c r="B2927" s="1">
        <v>8</v>
      </c>
      <c r="C2927" s="2">
        <v>41510</v>
      </c>
      <c r="D2927" s="1" t="s">
        <v>2005</v>
      </c>
      <c r="E2927" s="1">
        <v>101648</v>
      </c>
      <c r="F2927" s="6" t="s">
        <v>4929</v>
      </c>
      <c r="G2927" s="15" t="str">
        <f>VLOOKUP(A2927,Movie!A:D,4,FALSE)</f>
        <v>Warner Brothers</v>
      </c>
      <c r="H2927" s="14">
        <f>VLOOKUP(E2927,'Rental Transaction'!A:B,2,FALSE)</f>
        <v>568217</v>
      </c>
      <c r="I2927">
        <f t="shared" si="45"/>
        <v>2013</v>
      </c>
    </row>
    <row r="2928" spans="1:9">
      <c r="A2928" s="1">
        <v>10116</v>
      </c>
      <c r="B2928" s="1">
        <v>9</v>
      </c>
      <c r="C2928" s="2">
        <v>41511</v>
      </c>
      <c r="D2928" s="1" t="s">
        <v>2002</v>
      </c>
      <c r="E2928" s="1">
        <v>101649</v>
      </c>
      <c r="F2928" s="6" t="s">
        <v>4930</v>
      </c>
      <c r="G2928" s="15" t="str">
        <f>VLOOKUP(A2928,Movie!A:D,4,FALSE)</f>
        <v>Universal</v>
      </c>
      <c r="H2928" s="14">
        <f>VLOOKUP(E2928,'Rental Transaction'!A:B,2,FALSE)</f>
        <v>793987</v>
      </c>
      <c r="I2928">
        <f t="shared" si="45"/>
        <v>2013</v>
      </c>
    </row>
    <row r="2929" spans="1:9">
      <c r="A2929" s="1">
        <v>10014</v>
      </c>
      <c r="B2929" s="1">
        <v>1</v>
      </c>
      <c r="C2929" s="2">
        <v>41511</v>
      </c>
      <c r="D2929" s="1" t="s">
        <v>2002</v>
      </c>
      <c r="E2929" s="1">
        <v>101650</v>
      </c>
      <c r="F2929" s="6" t="s">
        <v>4931</v>
      </c>
      <c r="G2929" s="15" t="str">
        <f>VLOOKUP(A2929,Movie!A:D,4,FALSE)</f>
        <v>Warner Brothers</v>
      </c>
      <c r="H2929" s="14">
        <f>VLOOKUP(E2929,'Rental Transaction'!A:B,2,FALSE)</f>
        <v>838924</v>
      </c>
      <c r="I2929">
        <f t="shared" si="45"/>
        <v>2013</v>
      </c>
    </row>
    <row r="2930" spans="1:9">
      <c r="A2930" s="1">
        <v>10189</v>
      </c>
      <c r="B2930" s="1">
        <v>1</v>
      </c>
      <c r="C2930" s="2">
        <v>41511</v>
      </c>
      <c r="D2930" s="1" t="s">
        <v>2002</v>
      </c>
      <c r="E2930" s="1">
        <v>101650</v>
      </c>
      <c r="F2930" s="6" t="s">
        <v>4932</v>
      </c>
      <c r="G2930" s="15" t="str">
        <f>VLOOKUP(A2930,Movie!A:D,4,FALSE)</f>
        <v>Universal</v>
      </c>
      <c r="H2930" s="14">
        <f>VLOOKUP(E2930,'Rental Transaction'!A:B,2,FALSE)</f>
        <v>838924</v>
      </c>
      <c r="I2930">
        <f t="shared" si="45"/>
        <v>2013</v>
      </c>
    </row>
    <row r="2931" spans="1:9">
      <c r="A2931" s="1">
        <v>10169</v>
      </c>
      <c r="B2931" s="1">
        <v>8</v>
      </c>
      <c r="C2931" s="2">
        <v>41511</v>
      </c>
      <c r="D2931" s="1" t="s">
        <v>2002</v>
      </c>
      <c r="E2931" s="1">
        <v>101650</v>
      </c>
      <c r="F2931" s="6" t="s">
        <v>4933</v>
      </c>
      <c r="G2931" s="15" t="str">
        <f>VLOOKUP(A2931,Movie!A:D,4,FALSE)</f>
        <v>Warner Brothers</v>
      </c>
      <c r="H2931" s="14">
        <f>VLOOKUP(E2931,'Rental Transaction'!A:B,2,FALSE)</f>
        <v>838924</v>
      </c>
      <c r="I2931">
        <f t="shared" si="45"/>
        <v>2013</v>
      </c>
    </row>
    <row r="2932" spans="1:9">
      <c r="A2932" s="1">
        <v>10212</v>
      </c>
      <c r="B2932" s="1">
        <v>6</v>
      </c>
      <c r="C2932" s="2">
        <v>41511</v>
      </c>
      <c r="D2932" s="1" t="s">
        <v>2005</v>
      </c>
      <c r="E2932" s="1">
        <v>101651</v>
      </c>
      <c r="F2932" s="6" t="s">
        <v>4934</v>
      </c>
      <c r="G2932" s="15" t="str">
        <f>VLOOKUP(A2932,Movie!A:D,4,FALSE)</f>
        <v>Lionsgate</v>
      </c>
      <c r="H2932" s="14">
        <f>VLOOKUP(E2932,'Rental Transaction'!A:B,2,FALSE)</f>
        <v>412235</v>
      </c>
      <c r="I2932">
        <f t="shared" si="45"/>
        <v>2013</v>
      </c>
    </row>
    <row r="2933" spans="1:9">
      <c r="A2933" s="1">
        <v>10127</v>
      </c>
      <c r="B2933" s="1">
        <v>7</v>
      </c>
      <c r="C2933" s="2">
        <v>41511</v>
      </c>
      <c r="D2933" s="1" t="s">
        <v>2005</v>
      </c>
      <c r="E2933" s="1">
        <v>101652</v>
      </c>
      <c r="F2933" s="6" t="s">
        <v>4935</v>
      </c>
      <c r="G2933" s="15" t="str">
        <f>VLOOKUP(A2933,Movie!A:D,4,FALSE)</f>
        <v>TriStar</v>
      </c>
      <c r="H2933" s="14">
        <f>VLOOKUP(E2933,'Rental Transaction'!A:B,2,FALSE)</f>
        <v>826590</v>
      </c>
      <c r="I2933">
        <f t="shared" si="45"/>
        <v>2013</v>
      </c>
    </row>
    <row r="2934" spans="1:9">
      <c r="A2934" s="1">
        <v>10202</v>
      </c>
      <c r="B2934" s="1">
        <v>3</v>
      </c>
      <c r="C2934" s="2">
        <v>41511</v>
      </c>
      <c r="D2934" s="1" t="s">
        <v>2002</v>
      </c>
      <c r="E2934" s="1">
        <v>101653</v>
      </c>
      <c r="F2934" s="6" t="s">
        <v>4936</v>
      </c>
      <c r="G2934" s="15" t="str">
        <f>VLOOKUP(A2934,Movie!A:D,4,FALSE)</f>
        <v>Warner Brothers</v>
      </c>
      <c r="H2934" s="14">
        <f>VLOOKUP(E2934,'Rental Transaction'!A:B,2,FALSE)</f>
        <v>317461</v>
      </c>
      <c r="I2934">
        <f t="shared" si="45"/>
        <v>2013</v>
      </c>
    </row>
    <row r="2935" spans="1:9">
      <c r="A2935" s="1">
        <v>10137</v>
      </c>
      <c r="B2935" s="1">
        <v>8</v>
      </c>
      <c r="C2935" s="2">
        <v>41511</v>
      </c>
      <c r="D2935" s="1" t="s">
        <v>2002</v>
      </c>
      <c r="E2935" s="1">
        <v>101653</v>
      </c>
      <c r="F2935" s="6" t="s">
        <v>4937</v>
      </c>
      <c r="G2935" s="15" t="str">
        <f>VLOOKUP(A2935,Movie!A:D,4,FALSE)</f>
        <v>Buena Vista</v>
      </c>
      <c r="H2935" s="14">
        <f>VLOOKUP(E2935,'Rental Transaction'!A:B,2,FALSE)</f>
        <v>317461</v>
      </c>
      <c r="I2935">
        <f t="shared" si="45"/>
        <v>2013</v>
      </c>
    </row>
    <row r="2936" spans="1:9">
      <c r="A2936" s="1">
        <v>10023</v>
      </c>
      <c r="B2936" s="1">
        <v>3</v>
      </c>
      <c r="C2936" s="2">
        <v>41511</v>
      </c>
      <c r="D2936" s="1" t="s">
        <v>2005</v>
      </c>
      <c r="E2936" s="1">
        <v>101653</v>
      </c>
      <c r="F2936" s="6" t="s">
        <v>4938</v>
      </c>
      <c r="G2936" s="15" t="str">
        <f>VLOOKUP(A2936,Movie!A:D,4,FALSE)</f>
        <v>Buena Vista</v>
      </c>
      <c r="H2936" s="14">
        <f>VLOOKUP(E2936,'Rental Transaction'!A:B,2,FALSE)</f>
        <v>317461</v>
      </c>
      <c r="I2936">
        <f t="shared" si="45"/>
        <v>2013</v>
      </c>
    </row>
    <row r="2937" spans="1:9">
      <c r="A2937" s="1">
        <v>10256</v>
      </c>
      <c r="B2937" s="1">
        <v>9</v>
      </c>
      <c r="C2937" s="2">
        <v>41512</v>
      </c>
      <c r="D2937" s="1" t="s">
        <v>2005</v>
      </c>
      <c r="E2937" s="1">
        <v>101654</v>
      </c>
      <c r="F2937" s="6" t="s">
        <v>4939</v>
      </c>
      <c r="G2937" s="15" t="str">
        <f>VLOOKUP(A2937,Movie!A:D,4,FALSE)</f>
        <v>Fox</v>
      </c>
      <c r="H2937" s="14">
        <f>VLOOKUP(E2937,'Rental Transaction'!A:B,2,FALSE)</f>
        <v>412235</v>
      </c>
      <c r="I2937">
        <f t="shared" si="45"/>
        <v>2013</v>
      </c>
    </row>
    <row r="2938" spans="1:9">
      <c r="A2938" s="1">
        <v>10279</v>
      </c>
      <c r="B2938" s="1">
        <v>1</v>
      </c>
      <c r="C2938" s="2">
        <v>41511</v>
      </c>
      <c r="D2938" s="1" t="s">
        <v>2002</v>
      </c>
      <c r="E2938" s="1">
        <v>101654</v>
      </c>
      <c r="F2938" s="6" t="s">
        <v>4940</v>
      </c>
      <c r="G2938" s="15" t="str">
        <f>VLOOKUP(A2938,Movie!A:D,4,FALSE)</f>
        <v>Screen Gems</v>
      </c>
      <c r="H2938" s="14">
        <f>VLOOKUP(E2938,'Rental Transaction'!A:B,2,FALSE)</f>
        <v>412235</v>
      </c>
      <c r="I2938">
        <f t="shared" si="45"/>
        <v>2013</v>
      </c>
    </row>
    <row r="2939" spans="1:9">
      <c r="A2939" s="1">
        <v>10204</v>
      </c>
      <c r="B2939" s="1">
        <v>9</v>
      </c>
      <c r="C2939" s="2">
        <v>41511</v>
      </c>
      <c r="D2939" s="1" t="s">
        <v>2002</v>
      </c>
      <c r="E2939" s="1">
        <v>101654</v>
      </c>
      <c r="F2939" s="6" t="s">
        <v>4941</v>
      </c>
      <c r="G2939" s="15" t="str">
        <f>VLOOKUP(A2939,Movie!A:D,4,FALSE)</f>
        <v>Universal</v>
      </c>
      <c r="H2939" s="14">
        <f>VLOOKUP(E2939,'Rental Transaction'!A:B,2,FALSE)</f>
        <v>412235</v>
      </c>
      <c r="I2939">
        <f t="shared" si="45"/>
        <v>2013</v>
      </c>
    </row>
    <row r="2940" spans="1:9">
      <c r="A2940" s="1">
        <v>10266</v>
      </c>
      <c r="B2940" s="1">
        <v>6</v>
      </c>
      <c r="C2940" s="2">
        <v>41513</v>
      </c>
      <c r="D2940" s="1" t="s">
        <v>2005</v>
      </c>
      <c r="E2940" s="1">
        <v>101655</v>
      </c>
      <c r="F2940" s="6" t="s">
        <v>4942</v>
      </c>
      <c r="G2940" s="15" t="str">
        <f>VLOOKUP(A2940,Movie!A:D,4,FALSE)</f>
        <v>Sony</v>
      </c>
      <c r="H2940" s="14">
        <f>VLOOKUP(E2940,'Rental Transaction'!A:B,2,FALSE)</f>
        <v>308688</v>
      </c>
      <c r="I2940">
        <f t="shared" si="45"/>
        <v>2013</v>
      </c>
    </row>
    <row r="2941" spans="1:9">
      <c r="A2941" s="1">
        <v>10245</v>
      </c>
      <c r="B2941" s="1">
        <v>1</v>
      </c>
      <c r="C2941" s="2">
        <v>41511</v>
      </c>
      <c r="D2941" s="1" t="s">
        <v>2002</v>
      </c>
      <c r="E2941" s="1">
        <v>101656</v>
      </c>
      <c r="F2941" s="6" t="s">
        <v>4943</v>
      </c>
      <c r="G2941" s="15" t="str">
        <f>VLOOKUP(A2941,Movie!A:D,4,FALSE)</f>
        <v>Warner Brothers</v>
      </c>
      <c r="H2941" s="14">
        <f>VLOOKUP(E2941,'Rental Transaction'!A:B,2,FALSE)</f>
        <v>220206</v>
      </c>
      <c r="I2941">
        <f t="shared" si="45"/>
        <v>2013</v>
      </c>
    </row>
    <row r="2942" spans="1:9">
      <c r="A2942" s="1">
        <v>10200</v>
      </c>
      <c r="B2942" s="1">
        <v>5</v>
      </c>
      <c r="C2942" s="2">
        <v>41511</v>
      </c>
      <c r="D2942" s="1" t="s">
        <v>2005</v>
      </c>
      <c r="E2942" s="1">
        <v>101656</v>
      </c>
      <c r="F2942" s="6" t="s">
        <v>4944</v>
      </c>
      <c r="G2942" s="15" t="str">
        <f>VLOOKUP(A2942,Movie!A:D,4,FALSE)</f>
        <v>Fox</v>
      </c>
      <c r="H2942" s="14">
        <f>VLOOKUP(E2942,'Rental Transaction'!A:B,2,FALSE)</f>
        <v>220206</v>
      </c>
      <c r="I2942">
        <f t="shared" si="45"/>
        <v>2013</v>
      </c>
    </row>
    <row r="2943" spans="1:9" ht="29.25">
      <c r="A2943" s="1">
        <v>10264</v>
      </c>
      <c r="B2943" s="1">
        <v>4</v>
      </c>
      <c r="C2943" s="2">
        <v>41511</v>
      </c>
      <c r="D2943" s="1" t="s">
        <v>2002</v>
      </c>
      <c r="E2943" s="1">
        <v>101657</v>
      </c>
      <c r="F2943" s="6" t="s">
        <v>4945</v>
      </c>
      <c r="G2943" s="15" t="str">
        <f>VLOOKUP(A2943,Movie!A:D,4,FALSE)</f>
        <v>Weinstein Company</v>
      </c>
      <c r="H2943" s="14">
        <f>VLOOKUP(E2943,'Rental Transaction'!A:B,2,FALSE)</f>
        <v>847289</v>
      </c>
      <c r="I2943">
        <f t="shared" si="45"/>
        <v>2013</v>
      </c>
    </row>
    <row r="2944" spans="1:9">
      <c r="A2944" s="1">
        <v>10172</v>
      </c>
      <c r="B2944" s="1">
        <v>5</v>
      </c>
      <c r="C2944" s="2">
        <v>41512</v>
      </c>
      <c r="D2944" s="1" t="s">
        <v>2005</v>
      </c>
      <c r="E2944" s="1">
        <v>101657</v>
      </c>
      <c r="F2944" s="6" t="s">
        <v>4946</v>
      </c>
      <c r="G2944" s="15" t="str">
        <f>VLOOKUP(A2944,Movie!A:D,4,FALSE)</f>
        <v>Lionsgate</v>
      </c>
      <c r="H2944" s="14">
        <f>VLOOKUP(E2944,'Rental Transaction'!A:B,2,FALSE)</f>
        <v>847289</v>
      </c>
      <c r="I2944">
        <f t="shared" si="45"/>
        <v>2013</v>
      </c>
    </row>
    <row r="2945" spans="1:9">
      <c r="A2945" s="1">
        <v>10061</v>
      </c>
      <c r="B2945" s="1">
        <v>9</v>
      </c>
      <c r="C2945" s="2">
        <v>41511</v>
      </c>
      <c r="D2945" s="1" t="s">
        <v>2005</v>
      </c>
      <c r="E2945" s="1">
        <v>101657</v>
      </c>
      <c r="F2945" s="6" t="s">
        <v>4947</v>
      </c>
      <c r="G2945" s="15" t="str">
        <f>VLOOKUP(A2945,Movie!A:D,4,FALSE)</f>
        <v>Fox</v>
      </c>
      <c r="H2945" s="14">
        <f>VLOOKUP(E2945,'Rental Transaction'!A:B,2,FALSE)</f>
        <v>847289</v>
      </c>
      <c r="I2945">
        <f t="shared" si="45"/>
        <v>2013</v>
      </c>
    </row>
    <row r="2946" spans="1:9" ht="29.25">
      <c r="A2946" s="1">
        <v>10136</v>
      </c>
      <c r="B2946" s="1">
        <v>4</v>
      </c>
      <c r="C2946" s="2">
        <v>41512</v>
      </c>
      <c r="D2946" s="1" t="s">
        <v>2005</v>
      </c>
      <c r="E2946" s="1">
        <v>101657</v>
      </c>
      <c r="F2946" s="6" t="s">
        <v>4948</v>
      </c>
      <c r="G2946" s="15" t="str">
        <f>VLOOKUP(A2946,Movie!A:D,4,FALSE)</f>
        <v>Weinstein Company</v>
      </c>
      <c r="H2946" s="14">
        <f>VLOOKUP(E2946,'Rental Transaction'!A:B,2,FALSE)</f>
        <v>847289</v>
      </c>
      <c r="I2946">
        <f t="shared" si="45"/>
        <v>2013</v>
      </c>
    </row>
    <row r="2947" spans="1:9">
      <c r="A2947" s="1">
        <v>10014</v>
      </c>
      <c r="B2947" s="1">
        <v>5</v>
      </c>
      <c r="C2947" s="2">
        <v>41512</v>
      </c>
      <c r="D2947" s="1" t="s">
        <v>2002</v>
      </c>
      <c r="E2947" s="1">
        <v>101658</v>
      </c>
      <c r="F2947" s="6" t="s">
        <v>4949</v>
      </c>
      <c r="G2947" s="15" t="str">
        <f>VLOOKUP(A2947,Movie!A:D,4,FALSE)</f>
        <v>Warner Brothers</v>
      </c>
      <c r="H2947" s="14">
        <f>VLOOKUP(E2947,'Rental Transaction'!A:B,2,FALSE)</f>
        <v>427391</v>
      </c>
      <c r="I2947">
        <f t="shared" ref="I2947:I3010" si="46">YEAR(C2947)</f>
        <v>2013</v>
      </c>
    </row>
    <row r="2948" spans="1:9">
      <c r="A2948" s="1">
        <v>10014</v>
      </c>
      <c r="B2948" s="1">
        <v>3</v>
      </c>
      <c r="C2948" s="2">
        <v>41512</v>
      </c>
      <c r="D2948" s="1" t="s">
        <v>2005</v>
      </c>
      <c r="E2948" s="1">
        <v>101658</v>
      </c>
      <c r="F2948" s="6" t="s">
        <v>4950</v>
      </c>
      <c r="G2948" s="15" t="str">
        <f>VLOOKUP(A2948,Movie!A:D,4,FALSE)</f>
        <v>Warner Brothers</v>
      </c>
      <c r="H2948" s="14">
        <f>VLOOKUP(E2948,'Rental Transaction'!A:B,2,FALSE)</f>
        <v>427391</v>
      </c>
      <c r="I2948">
        <f t="shared" si="46"/>
        <v>2013</v>
      </c>
    </row>
    <row r="2949" spans="1:9">
      <c r="A2949" s="1">
        <v>10011</v>
      </c>
      <c r="B2949" s="1">
        <v>8</v>
      </c>
      <c r="C2949" s="2">
        <v>41513</v>
      </c>
      <c r="D2949" s="1" t="s">
        <v>2002</v>
      </c>
      <c r="E2949" s="1">
        <v>101659</v>
      </c>
      <c r="F2949" s="6" t="s">
        <v>4951</v>
      </c>
      <c r="G2949" s="15" t="str">
        <f>VLOOKUP(A2949,Movie!A:D,4,FALSE)</f>
        <v>Buena Vista</v>
      </c>
      <c r="H2949" s="14">
        <f>VLOOKUP(E2949,'Rental Transaction'!A:B,2,FALSE)</f>
        <v>296886</v>
      </c>
      <c r="I2949">
        <f t="shared" si="46"/>
        <v>2013</v>
      </c>
    </row>
    <row r="2950" spans="1:9">
      <c r="A2950" s="1">
        <v>10232</v>
      </c>
      <c r="B2950" s="1">
        <v>3</v>
      </c>
      <c r="C2950" s="2">
        <v>41513</v>
      </c>
      <c r="D2950" s="1" t="s">
        <v>2002</v>
      </c>
      <c r="E2950" s="1">
        <v>101659</v>
      </c>
      <c r="F2950" s="6" t="s">
        <v>4952</v>
      </c>
      <c r="G2950" s="15" t="str">
        <f>VLOOKUP(A2950,Movie!A:D,4,FALSE)</f>
        <v>Paramount</v>
      </c>
      <c r="H2950" s="14">
        <f>VLOOKUP(E2950,'Rental Transaction'!A:B,2,FALSE)</f>
        <v>296886</v>
      </c>
      <c r="I2950">
        <f t="shared" si="46"/>
        <v>2013</v>
      </c>
    </row>
    <row r="2951" spans="1:9">
      <c r="A2951" s="1">
        <v>10145</v>
      </c>
      <c r="B2951" s="1">
        <v>5</v>
      </c>
      <c r="C2951" s="2">
        <v>41512</v>
      </c>
      <c r="D2951" s="1" t="s">
        <v>2005</v>
      </c>
      <c r="E2951" s="1">
        <v>101660</v>
      </c>
      <c r="F2951" s="6" t="s">
        <v>4953</v>
      </c>
      <c r="G2951" s="15" t="str">
        <f>VLOOKUP(A2951,Movie!A:D,4,FALSE)</f>
        <v>TriStar</v>
      </c>
      <c r="H2951" s="14">
        <f>VLOOKUP(E2951,'Rental Transaction'!A:B,2,FALSE)</f>
        <v>938417</v>
      </c>
      <c r="I2951">
        <f t="shared" si="46"/>
        <v>2013</v>
      </c>
    </row>
    <row r="2952" spans="1:9">
      <c r="A2952" s="1">
        <v>10296</v>
      </c>
      <c r="B2952" s="1">
        <v>3</v>
      </c>
      <c r="C2952" s="2">
        <v>41512</v>
      </c>
      <c r="D2952" s="1" t="s">
        <v>2002</v>
      </c>
      <c r="E2952" s="1">
        <v>101661</v>
      </c>
      <c r="F2952" s="6" t="s">
        <v>4954</v>
      </c>
      <c r="G2952" s="15" t="str">
        <f>VLOOKUP(A2952,Movie!A:D,4,FALSE)</f>
        <v>A24</v>
      </c>
      <c r="H2952" s="14">
        <f>VLOOKUP(E2952,'Rental Transaction'!A:B,2,FALSE)</f>
        <v>938006</v>
      </c>
      <c r="I2952">
        <f t="shared" si="46"/>
        <v>2013</v>
      </c>
    </row>
    <row r="2953" spans="1:9">
      <c r="A2953" s="1">
        <v>10139</v>
      </c>
      <c r="B2953" s="1">
        <v>10</v>
      </c>
      <c r="C2953" s="2">
        <v>41512</v>
      </c>
      <c r="D2953" s="1" t="s">
        <v>2002</v>
      </c>
      <c r="E2953" s="1">
        <v>101661</v>
      </c>
      <c r="F2953" s="6" t="s">
        <v>4955</v>
      </c>
      <c r="G2953" s="15" t="str">
        <f>VLOOKUP(A2953,Movie!A:D,4,FALSE)</f>
        <v>Focus</v>
      </c>
      <c r="H2953" s="14">
        <f>VLOOKUP(E2953,'Rental Transaction'!A:B,2,FALSE)</f>
        <v>938006</v>
      </c>
      <c r="I2953">
        <f t="shared" si="46"/>
        <v>2013</v>
      </c>
    </row>
    <row r="2954" spans="1:9">
      <c r="A2954" s="1">
        <v>10265</v>
      </c>
      <c r="B2954" s="1">
        <v>6</v>
      </c>
      <c r="C2954" s="2">
        <v>41513</v>
      </c>
      <c r="D2954" s="1" t="s">
        <v>2005</v>
      </c>
      <c r="E2954" s="1">
        <v>101662</v>
      </c>
      <c r="F2954" s="6" t="s">
        <v>4956</v>
      </c>
      <c r="G2954" s="15" t="str">
        <f>VLOOKUP(A2954,Movie!A:D,4,FALSE)</f>
        <v>Warner Brothers</v>
      </c>
      <c r="H2954" s="14">
        <f>VLOOKUP(E2954,'Rental Transaction'!A:B,2,FALSE)</f>
        <v>841831</v>
      </c>
      <c r="I2954">
        <f t="shared" si="46"/>
        <v>2013</v>
      </c>
    </row>
    <row r="2955" spans="1:9">
      <c r="A2955" s="1">
        <v>10054</v>
      </c>
      <c r="B2955" s="1">
        <v>10</v>
      </c>
      <c r="C2955" s="2">
        <v>41512</v>
      </c>
      <c r="D2955" s="1" t="s">
        <v>2005</v>
      </c>
      <c r="E2955" s="1">
        <v>101663</v>
      </c>
      <c r="F2955" s="6" t="s">
        <v>4957</v>
      </c>
      <c r="G2955" s="15" t="str">
        <f>VLOOKUP(A2955,Movie!A:D,4,FALSE)</f>
        <v>Paramount</v>
      </c>
      <c r="H2955" s="14">
        <f>VLOOKUP(E2955,'Rental Transaction'!A:B,2,FALSE)</f>
        <v>520377</v>
      </c>
      <c r="I2955">
        <f t="shared" si="46"/>
        <v>2013</v>
      </c>
    </row>
    <row r="2956" spans="1:9">
      <c r="A2956" s="1">
        <v>10289</v>
      </c>
      <c r="B2956" s="1">
        <v>7</v>
      </c>
      <c r="C2956" s="2">
        <v>41512</v>
      </c>
      <c r="D2956" s="1" t="s">
        <v>2002</v>
      </c>
      <c r="E2956" s="1">
        <v>101663</v>
      </c>
      <c r="F2956" s="6" t="s">
        <v>4958</v>
      </c>
      <c r="G2956" s="15" t="str">
        <f>VLOOKUP(A2956,Movie!A:D,4,FALSE)</f>
        <v>Open Road Films</v>
      </c>
      <c r="H2956" s="14">
        <f>VLOOKUP(E2956,'Rental Transaction'!A:B,2,FALSE)</f>
        <v>520377</v>
      </c>
      <c r="I2956">
        <f t="shared" si="46"/>
        <v>2013</v>
      </c>
    </row>
    <row r="2957" spans="1:9">
      <c r="A2957" s="1">
        <v>10117</v>
      </c>
      <c r="B2957" s="1">
        <v>4</v>
      </c>
      <c r="C2957" s="2">
        <v>41512</v>
      </c>
      <c r="D2957" s="1" t="s">
        <v>2005</v>
      </c>
      <c r="E2957" s="1">
        <v>101663</v>
      </c>
      <c r="F2957" s="6" t="s">
        <v>4959</v>
      </c>
      <c r="G2957" s="15" t="str">
        <f>VLOOKUP(A2957,Movie!A:D,4,FALSE)</f>
        <v>Sony</v>
      </c>
      <c r="H2957" s="14">
        <f>VLOOKUP(E2957,'Rental Transaction'!A:B,2,FALSE)</f>
        <v>520377</v>
      </c>
      <c r="I2957">
        <f t="shared" si="46"/>
        <v>2013</v>
      </c>
    </row>
    <row r="2958" spans="1:9" ht="29.25">
      <c r="A2958" s="1">
        <v>10164</v>
      </c>
      <c r="B2958" s="1">
        <v>9</v>
      </c>
      <c r="C2958" s="2">
        <v>41512</v>
      </c>
      <c r="D2958" s="1" t="s">
        <v>2002</v>
      </c>
      <c r="E2958" s="1">
        <v>101664</v>
      </c>
      <c r="F2958" s="6" t="s">
        <v>4960</v>
      </c>
      <c r="G2958" s="15" t="str">
        <f>VLOOKUP(A2958,Movie!A:D,4,FALSE)</f>
        <v>Weinstein Company</v>
      </c>
      <c r="H2958" s="14">
        <f>VLOOKUP(E2958,'Rental Transaction'!A:B,2,FALSE)</f>
        <v>417823</v>
      </c>
      <c r="I2958">
        <f t="shared" si="46"/>
        <v>2013</v>
      </c>
    </row>
    <row r="2959" spans="1:9" ht="29.25">
      <c r="A2959" s="1">
        <v>10121</v>
      </c>
      <c r="B2959" s="1">
        <v>8</v>
      </c>
      <c r="C2959" s="2">
        <v>41514</v>
      </c>
      <c r="D2959" s="1" t="s">
        <v>2005</v>
      </c>
      <c r="E2959" s="1">
        <v>101665</v>
      </c>
      <c r="F2959" s="6" t="s">
        <v>4961</v>
      </c>
      <c r="G2959" s="15" t="str">
        <f>VLOOKUP(A2959,Movie!A:D,4,FALSE)</f>
        <v>Weinstein Company</v>
      </c>
      <c r="H2959" s="14">
        <f>VLOOKUP(E2959,'Rental Transaction'!A:B,2,FALSE)</f>
        <v>482274</v>
      </c>
      <c r="I2959">
        <f t="shared" si="46"/>
        <v>2013</v>
      </c>
    </row>
    <row r="2960" spans="1:9">
      <c r="A2960" s="1">
        <v>10280</v>
      </c>
      <c r="B2960" s="1">
        <v>4</v>
      </c>
      <c r="C2960" s="2">
        <v>41513</v>
      </c>
      <c r="D2960" s="1" t="s">
        <v>2002</v>
      </c>
      <c r="E2960" s="1">
        <v>101666</v>
      </c>
      <c r="F2960" s="6" t="s">
        <v>4962</v>
      </c>
      <c r="G2960" s="15" t="str">
        <f>VLOOKUP(A2960,Movie!A:D,4,FALSE)</f>
        <v>Universal</v>
      </c>
      <c r="H2960" s="14">
        <f>VLOOKUP(E2960,'Rental Transaction'!A:B,2,FALSE)</f>
        <v>231615</v>
      </c>
      <c r="I2960">
        <f t="shared" si="46"/>
        <v>2013</v>
      </c>
    </row>
    <row r="2961" spans="1:9">
      <c r="A2961" s="1">
        <v>10168</v>
      </c>
      <c r="B2961" s="1">
        <v>8</v>
      </c>
      <c r="C2961" s="2">
        <v>41512</v>
      </c>
      <c r="D2961" s="1" t="s">
        <v>2005</v>
      </c>
      <c r="E2961" s="1">
        <v>101667</v>
      </c>
      <c r="F2961" s="6" t="s">
        <v>4963</v>
      </c>
      <c r="G2961" s="15" t="str">
        <f>VLOOKUP(A2961,Movie!A:D,4,FALSE)</f>
        <v>Paramount</v>
      </c>
      <c r="H2961" s="14">
        <f>VLOOKUP(E2961,'Rental Transaction'!A:B,2,FALSE)</f>
        <v>249779</v>
      </c>
      <c r="I2961">
        <f t="shared" si="46"/>
        <v>2013</v>
      </c>
    </row>
    <row r="2962" spans="1:9" ht="29.25">
      <c r="A2962" s="1">
        <v>10136</v>
      </c>
      <c r="B2962" s="1">
        <v>3</v>
      </c>
      <c r="C2962" s="2">
        <v>41512</v>
      </c>
      <c r="D2962" s="1" t="s">
        <v>2002</v>
      </c>
      <c r="E2962" s="1">
        <v>101668</v>
      </c>
      <c r="F2962" s="6" t="s">
        <v>4964</v>
      </c>
      <c r="G2962" s="15" t="str">
        <f>VLOOKUP(A2962,Movie!A:D,4,FALSE)</f>
        <v>Weinstein Company</v>
      </c>
      <c r="H2962" s="14">
        <f>VLOOKUP(E2962,'Rental Transaction'!A:B,2,FALSE)</f>
        <v>407605</v>
      </c>
      <c r="I2962">
        <f t="shared" si="46"/>
        <v>2013</v>
      </c>
    </row>
    <row r="2963" spans="1:9">
      <c r="A2963" s="1">
        <v>10152</v>
      </c>
      <c r="B2963" s="1">
        <v>2</v>
      </c>
      <c r="C2963" s="2">
        <v>41512</v>
      </c>
      <c r="D2963" s="1" t="s">
        <v>2005</v>
      </c>
      <c r="E2963" s="1">
        <v>101668</v>
      </c>
      <c r="F2963" s="6" t="s">
        <v>4965</v>
      </c>
      <c r="G2963" s="15" t="str">
        <f>VLOOKUP(A2963,Movie!A:D,4,FALSE)</f>
        <v>FilmDistrict</v>
      </c>
      <c r="H2963" s="14">
        <f>VLOOKUP(E2963,'Rental Transaction'!A:B,2,FALSE)</f>
        <v>407605</v>
      </c>
      <c r="I2963">
        <f t="shared" si="46"/>
        <v>2013</v>
      </c>
    </row>
    <row r="2964" spans="1:9">
      <c r="A2964" s="1">
        <v>10200</v>
      </c>
      <c r="B2964" s="1">
        <v>7</v>
      </c>
      <c r="C2964" s="2">
        <v>41513</v>
      </c>
      <c r="D2964" s="1" t="s">
        <v>2005</v>
      </c>
      <c r="E2964" s="1">
        <v>101669</v>
      </c>
      <c r="F2964" s="6" t="s">
        <v>4966</v>
      </c>
      <c r="G2964" s="15" t="str">
        <f>VLOOKUP(A2964,Movie!A:D,4,FALSE)</f>
        <v>Fox</v>
      </c>
      <c r="H2964" s="14">
        <f>VLOOKUP(E2964,'Rental Transaction'!A:B,2,FALSE)</f>
        <v>976778</v>
      </c>
      <c r="I2964">
        <f t="shared" si="46"/>
        <v>2013</v>
      </c>
    </row>
    <row r="2965" spans="1:9">
      <c r="A2965" s="1">
        <v>10002</v>
      </c>
      <c r="B2965" s="1">
        <v>3</v>
      </c>
      <c r="C2965" s="2">
        <v>41514</v>
      </c>
      <c r="D2965" s="1" t="s">
        <v>2002</v>
      </c>
      <c r="E2965" s="1">
        <v>101669</v>
      </c>
      <c r="F2965" s="6" t="s">
        <v>4967</v>
      </c>
      <c r="G2965" s="15" t="str">
        <f>VLOOKUP(A2965,Movie!A:D,4,FALSE)</f>
        <v>Lionsgate</v>
      </c>
      <c r="H2965" s="14">
        <f>VLOOKUP(E2965,'Rental Transaction'!A:B,2,FALSE)</f>
        <v>976778</v>
      </c>
      <c r="I2965">
        <f t="shared" si="46"/>
        <v>2013</v>
      </c>
    </row>
    <row r="2966" spans="1:9">
      <c r="A2966" s="1">
        <v>10257</v>
      </c>
      <c r="B2966" s="1">
        <v>1</v>
      </c>
      <c r="C2966" s="2">
        <v>41513</v>
      </c>
      <c r="D2966" s="1" t="s">
        <v>2002</v>
      </c>
      <c r="E2966" s="1">
        <v>101670</v>
      </c>
      <c r="F2966" s="6" t="s">
        <v>4968</v>
      </c>
      <c r="G2966" s="15" t="str">
        <f>VLOOKUP(A2966,Movie!A:D,4,FALSE)</f>
        <v>Fox</v>
      </c>
      <c r="H2966" s="14">
        <f>VLOOKUP(E2966,'Rental Transaction'!A:B,2,FALSE)</f>
        <v>196068</v>
      </c>
      <c r="I2966">
        <f t="shared" si="46"/>
        <v>2013</v>
      </c>
    </row>
    <row r="2967" spans="1:9">
      <c r="A2967" s="1">
        <v>10112</v>
      </c>
      <c r="B2967" s="1">
        <v>4</v>
      </c>
      <c r="C2967" s="2">
        <v>41513</v>
      </c>
      <c r="D2967" s="1" t="s">
        <v>2002</v>
      </c>
      <c r="E2967" s="1">
        <v>101670</v>
      </c>
      <c r="F2967" s="6" t="s">
        <v>4969</v>
      </c>
      <c r="G2967" s="15" t="str">
        <f>VLOOKUP(A2967,Movie!A:D,4,FALSE)</f>
        <v>Relativity</v>
      </c>
      <c r="H2967" s="14">
        <f>VLOOKUP(E2967,'Rental Transaction'!A:B,2,FALSE)</f>
        <v>196068</v>
      </c>
      <c r="I2967">
        <f t="shared" si="46"/>
        <v>2013</v>
      </c>
    </row>
    <row r="2968" spans="1:9">
      <c r="A2968" s="1">
        <v>10282</v>
      </c>
      <c r="B2968" s="1">
        <v>9</v>
      </c>
      <c r="C2968" s="2">
        <v>41514</v>
      </c>
      <c r="D2968" s="1" t="s">
        <v>2002</v>
      </c>
      <c r="E2968" s="1">
        <v>101671</v>
      </c>
      <c r="F2968" s="6" t="s">
        <v>4970</v>
      </c>
      <c r="G2968" s="15" t="str">
        <f>VLOOKUP(A2968,Movie!A:D,4,FALSE)</f>
        <v>Sony Classics</v>
      </c>
      <c r="H2968" s="14">
        <f>VLOOKUP(E2968,'Rental Transaction'!A:B,2,FALSE)</f>
        <v>559688</v>
      </c>
      <c r="I2968">
        <f t="shared" si="46"/>
        <v>2013</v>
      </c>
    </row>
    <row r="2969" spans="1:9" ht="29.25">
      <c r="A2969" s="1">
        <v>10294</v>
      </c>
      <c r="B2969" s="1">
        <v>1</v>
      </c>
      <c r="C2969" s="2">
        <v>41514</v>
      </c>
      <c r="D2969" s="1" t="s">
        <v>2002</v>
      </c>
      <c r="E2969" s="1">
        <v>101671</v>
      </c>
      <c r="F2969" s="6" t="s">
        <v>4971</v>
      </c>
      <c r="G2969" s="15" t="str">
        <f>VLOOKUP(A2969,Movie!A:D,4,FALSE)</f>
        <v>Weinstein Company</v>
      </c>
      <c r="H2969" s="14">
        <f>VLOOKUP(E2969,'Rental Transaction'!A:B,2,FALSE)</f>
        <v>559688</v>
      </c>
      <c r="I2969">
        <f t="shared" si="46"/>
        <v>2013</v>
      </c>
    </row>
    <row r="2970" spans="1:9">
      <c r="A2970" s="1">
        <v>10280</v>
      </c>
      <c r="B2970" s="1">
        <v>2</v>
      </c>
      <c r="C2970" s="2">
        <v>41513</v>
      </c>
      <c r="D2970" s="1" t="s">
        <v>2002</v>
      </c>
      <c r="E2970" s="1">
        <v>101672</v>
      </c>
      <c r="F2970" s="6" t="s">
        <v>4972</v>
      </c>
      <c r="G2970" s="15" t="str">
        <f>VLOOKUP(A2970,Movie!A:D,4,FALSE)</f>
        <v>Universal</v>
      </c>
      <c r="H2970" s="14">
        <f>VLOOKUP(E2970,'Rental Transaction'!A:B,2,FALSE)</f>
        <v>396166</v>
      </c>
      <c r="I2970">
        <f t="shared" si="46"/>
        <v>2013</v>
      </c>
    </row>
    <row r="2971" spans="1:9">
      <c r="A2971" s="1">
        <v>10295</v>
      </c>
      <c r="B2971" s="1">
        <v>3</v>
      </c>
      <c r="C2971" s="2">
        <v>41514</v>
      </c>
      <c r="D2971" s="1" t="s">
        <v>2005</v>
      </c>
      <c r="E2971" s="1">
        <v>101673</v>
      </c>
      <c r="F2971" s="6" t="s">
        <v>4973</v>
      </c>
      <c r="G2971" s="15" t="str">
        <f>VLOOKUP(A2971,Movie!A:D,4,FALSE)</f>
        <v>A24</v>
      </c>
      <c r="H2971" s="14">
        <f>VLOOKUP(E2971,'Rental Transaction'!A:B,2,FALSE)</f>
        <v>548800</v>
      </c>
      <c r="I2971">
        <f t="shared" si="46"/>
        <v>2013</v>
      </c>
    </row>
    <row r="2972" spans="1:9">
      <c r="A2972" s="1">
        <v>10003</v>
      </c>
      <c r="B2972" s="1">
        <v>4</v>
      </c>
      <c r="C2972" s="2">
        <v>41513</v>
      </c>
      <c r="D2972" s="1" t="s">
        <v>2002</v>
      </c>
      <c r="E2972" s="1">
        <v>101673</v>
      </c>
      <c r="F2972" s="6" t="s">
        <v>4974</v>
      </c>
      <c r="G2972" s="15" t="str">
        <f>VLOOKUP(A2972,Movie!A:D,4,FALSE)</f>
        <v>Paramount</v>
      </c>
      <c r="H2972" s="14">
        <f>VLOOKUP(E2972,'Rental Transaction'!A:B,2,FALSE)</f>
        <v>548800</v>
      </c>
      <c r="I2972">
        <f t="shared" si="46"/>
        <v>2013</v>
      </c>
    </row>
    <row r="2973" spans="1:9">
      <c r="A2973" s="1">
        <v>10265</v>
      </c>
      <c r="B2973" s="1">
        <v>3</v>
      </c>
      <c r="C2973" s="2">
        <v>41514</v>
      </c>
      <c r="D2973" s="1" t="s">
        <v>2005</v>
      </c>
      <c r="E2973" s="1">
        <v>101674</v>
      </c>
      <c r="F2973" s="6" t="s">
        <v>4975</v>
      </c>
      <c r="G2973" s="15" t="str">
        <f>VLOOKUP(A2973,Movie!A:D,4,FALSE)</f>
        <v>Warner Brothers</v>
      </c>
      <c r="H2973" s="14">
        <f>VLOOKUP(E2973,'Rental Transaction'!A:B,2,FALSE)</f>
        <v>889686</v>
      </c>
      <c r="I2973">
        <f t="shared" si="46"/>
        <v>2013</v>
      </c>
    </row>
    <row r="2974" spans="1:9">
      <c r="A2974" s="1">
        <v>10229</v>
      </c>
      <c r="B2974" s="1">
        <v>8</v>
      </c>
      <c r="C2974" s="2">
        <v>41513</v>
      </c>
      <c r="D2974" s="1" t="s">
        <v>2002</v>
      </c>
      <c r="E2974" s="1">
        <v>101674</v>
      </c>
      <c r="F2974" s="6" t="s">
        <v>4976</v>
      </c>
      <c r="G2974" s="15" t="str">
        <f>VLOOKUP(A2974,Movie!A:D,4,FALSE)</f>
        <v>TriStar</v>
      </c>
      <c r="H2974" s="14">
        <f>VLOOKUP(E2974,'Rental Transaction'!A:B,2,FALSE)</f>
        <v>889686</v>
      </c>
      <c r="I2974">
        <f t="shared" si="46"/>
        <v>2013</v>
      </c>
    </row>
    <row r="2975" spans="1:9">
      <c r="A2975" s="1">
        <v>10065</v>
      </c>
      <c r="B2975" s="1">
        <v>8</v>
      </c>
      <c r="C2975" s="2">
        <v>41514</v>
      </c>
      <c r="D2975" s="1" t="s">
        <v>2002</v>
      </c>
      <c r="E2975" s="1">
        <v>101675</v>
      </c>
      <c r="F2975" s="6" t="s">
        <v>4977</v>
      </c>
      <c r="G2975" s="15" t="str">
        <f>VLOOKUP(A2975,Movie!A:D,4,FALSE)</f>
        <v>Warner Brothers</v>
      </c>
      <c r="H2975" s="14">
        <f>VLOOKUP(E2975,'Rental Transaction'!A:B,2,FALSE)</f>
        <v>559190</v>
      </c>
      <c r="I2975">
        <f t="shared" si="46"/>
        <v>2013</v>
      </c>
    </row>
    <row r="2976" spans="1:9">
      <c r="A2976" s="1">
        <v>10039</v>
      </c>
      <c r="B2976" s="1">
        <v>5</v>
      </c>
      <c r="C2976" s="2">
        <v>41514</v>
      </c>
      <c r="D2976" s="1" t="s">
        <v>2002</v>
      </c>
      <c r="E2976" s="1">
        <v>101676</v>
      </c>
      <c r="F2976" s="6" t="s">
        <v>4978</v>
      </c>
      <c r="G2976" s="15" t="str">
        <f>VLOOKUP(A2976,Movie!A:D,4,FALSE)</f>
        <v>Open Road Films</v>
      </c>
      <c r="H2976" s="14">
        <f>VLOOKUP(E2976,'Rental Transaction'!A:B,2,FALSE)</f>
        <v>744648</v>
      </c>
      <c r="I2976">
        <f t="shared" si="46"/>
        <v>2013</v>
      </c>
    </row>
    <row r="2977" spans="1:9">
      <c r="A2977" s="1">
        <v>10111</v>
      </c>
      <c r="B2977" s="1">
        <v>9</v>
      </c>
      <c r="C2977" s="2">
        <v>41514</v>
      </c>
      <c r="D2977" s="1" t="s">
        <v>2002</v>
      </c>
      <c r="E2977" s="1">
        <v>101676</v>
      </c>
      <c r="F2977" s="6" t="s">
        <v>4979</v>
      </c>
      <c r="G2977" s="15" t="str">
        <f>VLOOKUP(A2977,Movie!A:D,4,FALSE)</f>
        <v>Fox</v>
      </c>
      <c r="H2977" s="14">
        <f>VLOOKUP(E2977,'Rental Transaction'!A:B,2,FALSE)</f>
        <v>744648</v>
      </c>
      <c r="I2977">
        <f t="shared" si="46"/>
        <v>2013</v>
      </c>
    </row>
    <row r="2978" spans="1:9">
      <c r="A2978" s="1">
        <v>10037</v>
      </c>
      <c r="B2978" s="1">
        <v>6</v>
      </c>
      <c r="C2978" s="2">
        <v>41513</v>
      </c>
      <c r="D2978" s="1" t="s">
        <v>2005</v>
      </c>
      <c r="E2978" s="1">
        <v>101677</v>
      </c>
      <c r="F2978" s="6" t="s">
        <v>4980</v>
      </c>
      <c r="G2978" s="15" t="str">
        <f>VLOOKUP(A2978,Movie!A:D,4,FALSE)</f>
        <v>Buena Vista</v>
      </c>
      <c r="H2978" s="14">
        <f>VLOOKUP(E2978,'Rental Transaction'!A:B,2,FALSE)</f>
        <v>226209</v>
      </c>
      <c r="I2978">
        <f t="shared" si="46"/>
        <v>2013</v>
      </c>
    </row>
    <row r="2979" spans="1:9" ht="29.25">
      <c r="A2979" s="1">
        <v>10246</v>
      </c>
      <c r="B2979" s="1">
        <v>9</v>
      </c>
      <c r="C2979" s="2">
        <v>41513</v>
      </c>
      <c r="D2979" s="1" t="s">
        <v>2005</v>
      </c>
      <c r="E2979" s="1">
        <v>101678</v>
      </c>
      <c r="F2979" s="6" t="s">
        <v>4981</v>
      </c>
      <c r="G2979" s="15" t="str">
        <f>VLOOKUP(A2979,Movie!A:D,4,FALSE)</f>
        <v>Weinstein Company</v>
      </c>
      <c r="H2979" s="14">
        <f>VLOOKUP(E2979,'Rental Transaction'!A:B,2,FALSE)</f>
        <v>469564</v>
      </c>
      <c r="I2979">
        <f t="shared" si="46"/>
        <v>2013</v>
      </c>
    </row>
    <row r="2980" spans="1:9" ht="29.25">
      <c r="A2980" s="1">
        <v>10136</v>
      </c>
      <c r="B2980" s="1">
        <v>9</v>
      </c>
      <c r="C2980" s="2">
        <v>41515</v>
      </c>
      <c r="D2980" s="1" t="s">
        <v>2002</v>
      </c>
      <c r="E2980" s="1">
        <v>101678</v>
      </c>
      <c r="F2980" s="6" t="s">
        <v>4982</v>
      </c>
      <c r="G2980" s="15" t="str">
        <f>VLOOKUP(A2980,Movie!A:D,4,FALSE)</f>
        <v>Weinstein Company</v>
      </c>
      <c r="H2980" s="14">
        <f>VLOOKUP(E2980,'Rental Transaction'!A:B,2,FALSE)</f>
        <v>469564</v>
      </c>
      <c r="I2980">
        <f t="shared" si="46"/>
        <v>2013</v>
      </c>
    </row>
    <row r="2981" spans="1:9" ht="29.25">
      <c r="A2981" s="1">
        <v>10165</v>
      </c>
      <c r="B2981" s="1">
        <v>4</v>
      </c>
      <c r="C2981" s="2">
        <v>41515</v>
      </c>
      <c r="D2981" s="1" t="s">
        <v>2002</v>
      </c>
      <c r="E2981" s="1">
        <v>101678</v>
      </c>
      <c r="F2981" s="6" t="s">
        <v>4983</v>
      </c>
      <c r="G2981" s="15" t="str">
        <f>VLOOKUP(A2981,Movie!A:D,4,FALSE)</f>
        <v>Weinstein Company</v>
      </c>
      <c r="H2981" s="14">
        <f>VLOOKUP(E2981,'Rental Transaction'!A:B,2,FALSE)</f>
        <v>469564</v>
      </c>
      <c r="I2981">
        <f t="shared" si="46"/>
        <v>2013</v>
      </c>
    </row>
    <row r="2982" spans="1:9">
      <c r="A2982" s="1">
        <v>10086</v>
      </c>
      <c r="B2982" s="1">
        <v>10</v>
      </c>
      <c r="C2982" s="2">
        <v>41513</v>
      </c>
      <c r="D2982" s="1" t="s">
        <v>2005</v>
      </c>
      <c r="E2982" s="1">
        <v>101679</v>
      </c>
      <c r="F2982" s="6" t="s">
        <v>4984</v>
      </c>
      <c r="G2982" s="15" t="str">
        <f>VLOOKUP(A2982,Movie!A:D,4,FALSE)</f>
        <v>Buena Vista</v>
      </c>
      <c r="H2982" s="14">
        <f>VLOOKUP(E2982,'Rental Transaction'!A:B,2,FALSE)</f>
        <v>192738</v>
      </c>
      <c r="I2982">
        <f t="shared" si="46"/>
        <v>2013</v>
      </c>
    </row>
    <row r="2983" spans="1:9">
      <c r="A2983" s="1">
        <v>10226</v>
      </c>
      <c r="B2983" s="1">
        <v>9</v>
      </c>
      <c r="C2983" s="2">
        <v>41515</v>
      </c>
      <c r="D2983" s="1" t="s">
        <v>2005</v>
      </c>
      <c r="E2983" s="1">
        <v>101679</v>
      </c>
      <c r="F2983" s="6" t="s">
        <v>4985</v>
      </c>
      <c r="G2983" s="15" t="str">
        <f>VLOOKUP(A2983,Movie!A:D,4,FALSE)</f>
        <v>Sony</v>
      </c>
      <c r="H2983" s="14">
        <f>VLOOKUP(E2983,'Rental Transaction'!A:B,2,FALSE)</f>
        <v>192738</v>
      </c>
      <c r="I2983">
        <f t="shared" si="46"/>
        <v>2013</v>
      </c>
    </row>
    <row r="2984" spans="1:9">
      <c r="A2984" s="1">
        <v>10074</v>
      </c>
      <c r="B2984" s="1">
        <v>2</v>
      </c>
      <c r="C2984" s="2">
        <v>41515</v>
      </c>
      <c r="D2984" s="1" t="s">
        <v>2002</v>
      </c>
      <c r="E2984" s="1">
        <v>101680</v>
      </c>
      <c r="F2984" s="6" t="s">
        <v>4986</v>
      </c>
      <c r="G2984" s="15" t="str">
        <f>VLOOKUP(A2984,Movie!A:D,4,FALSE)</f>
        <v>Open Road Films</v>
      </c>
      <c r="H2984" s="14">
        <f>VLOOKUP(E2984,'Rental Transaction'!A:B,2,FALSE)</f>
        <v>826590</v>
      </c>
      <c r="I2984">
        <f t="shared" si="46"/>
        <v>2013</v>
      </c>
    </row>
    <row r="2985" spans="1:9">
      <c r="A2985" s="1">
        <v>10000</v>
      </c>
      <c r="B2985" s="1">
        <v>1</v>
      </c>
      <c r="C2985" s="2">
        <v>41515</v>
      </c>
      <c r="D2985" s="1" t="s">
        <v>2005</v>
      </c>
      <c r="E2985" s="1">
        <v>101681</v>
      </c>
      <c r="F2985" s="6" t="s">
        <v>4987</v>
      </c>
      <c r="G2985" s="15" t="str">
        <f>VLOOKUP(A2985,Movie!A:D,4,FALSE)</f>
        <v>TriStar</v>
      </c>
      <c r="H2985" s="14">
        <f>VLOOKUP(E2985,'Rental Transaction'!A:B,2,FALSE)</f>
        <v>265339</v>
      </c>
      <c r="I2985">
        <f t="shared" si="46"/>
        <v>2013</v>
      </c>
    </row>
    <row r="2986" spans="1:9">
      <c r="A2986" s="1">
        <v>10066</v>
      </c>
      <c r="B2986" s="1">
        <v>6</v>
      </c>
      <c r="C2986" s="2">
        <v>41514</v>
      </c>
      <c r="D2986" s="1" t="s">
        <v>2002</v>
      </c>
      <c r="E2986" s="1">
        <v>101681</v>
      </c>
      <c r="F2986" s="6" t="s">
        <v>4988</v>
      </c>
      <c r="G2986" s="15" t="str">
        <f>VLOOKUP(A2986,Movie!A:D,4,FALSE)</f>
        <v>Buena Vista</v>
      </c>
      <c r="H2986" s="14">
        <f>VLOOKUP(E2986,'Rental Transaction'!A:B,2,FALSE)</f>
        <v>265339</v>
      </c>
      <c r="I2986">
        <f t="shared" si="46"/>
        <v>2013</v>
      </c>
    </row>
    <row r="2987" spans="1:9">
      <c r="A2987" s="1">
        <v>10155</v>
      </c>
      <c r="B2987" s="1">
        <v>7</v>
      </c>
      <c r="C2987" s="2">
        <v>41514</v>
      </c>
      <c r="D2987" s="1" t="s">
        <v>2002</v>
      </c>
      <c r="E2987" s="1">
        <v>101682</v>
      </c>
      <c r="F2987" s="6" t="s">
        <v>4989</v>
      </c>
      <c r="G2987" s="15" t="str">
        <f>VLOOKUP(A2987,Movie!A:D,4,FALSE)</f>
        <v>Fox</v>
      </c>
      <c r="H2987" s="14">
        <f>VLOOKUP(E2987,'Rental Transaction'!A:B,2,FALSE)</f>
        <v>826590</v>
      </c>
      <c r="I2987">
        <f t="shared" si="46"/>
        <v>2013</v>
      </c>
    </row>
    <row r="2988" spans="1:9">
      <c r="A2988" s="1">
        <v>10078</v>
      </c>
      <c r="B2988" s="1">
        <v>8</v>
      </c>
      <c r="C2988" s="2">
        <v>41516</v>
      </c>
      <c r="D2988" s="1" t="s">
        <v>2002</v>
      </c>
      <c r="E2988" s="1">
        <v>101683</v>
      </c>
      <c r="F2988" s="6" t="s">
        <v>4990</v>
      </c>
      <c r="G2988" s="15" t="str">
        <f>VLOOKUP(A2988,Movie!A:D,4,FALSE)</f>
        <v>Paramount</v>
      </c>
      <c r="H2988" s="14">
        <f>VLOOKUP(E2988,'Rental Transaction'!A:B,2,FALSE)</f>
        <v>459243</v>
      </c>
      <c r="I2988">
        <f t="shared" si="46"/>
        <v>2013</v>
      </c>
    </row>
    <row r="2989" spans="1:9">
      <c r="A2989" s="1">
        <v>10135</v>
      </c>
      <c r="B2989" s="1">
        <v>6</v>
      </c>
      <c r="C2989" s="2">
        <v>41515</v>
      </c>
      <c r="D2989" s="1" t="s">
        <v>2005</v>
      </c>
      <c r="E2989" s="1">
        <v>101684</v>
      </c>
      <c r="F2989" s="6" t="s">
        <v>4991</v>
      </c>
      <c r="G2989" s="15" t="str">
        <f>VLOOKUP(A2989,Movie!A:D,4,FALSE)</f>
        <v>Universal</v>
      </c>
      <c r="H2989" s="14">
        <f>VLOOKUP(E2989,'Rental Transaction'!A:B,2,FALSE)</f>
        <v>315634</v>
      </c>
      <c r="I2989">
        <f t="shared" si="46"/>
        <v>2013</v>
      </c>
    </row>
    <row r="2990" spans="1:9">
      <c r="A2990" s="1">
        <v>10038</v>
      </c>
      <c r="B2990" s="1">
        <v>8</v>
      </c>
      <c r="C2990" s="2">
        <v>41514</v>
      </c>
      <c r="D2990" s="1" t="s">
        <v>2005</v>
      </c>
      <c r="E2990" s="1">
        <v>101684</v>
      </c>
      <c r="F2990" s="6" t="s">
        <v>4992</v>
      </c>
      <c r="G2990" s="15" t="str">
        <f>VLOOKUP(A2990,Movie!A:D,4,FALSE)</f>
        <v>Paramount</v>
      </c>
      <c r="H2990" s="14">
        <f>VLOOKUP(E2990,'Rental Transaction'!A:B,2,FALSE)</f>
        <v>315634</v>
      </c>
      <c r="I2990">
        <f t="shared" si="46"/>
        <v>2013</v>
      </c>
    </row>
    <row r="2991" spans="1:9" ht="29.25">
      <c r="A2991" s="1">
        <v>10140</v>
      </c>
      <c r="B2991" s="1">
        <v>8</v>
      </c>
      <c r="C2991" s="2">
        <v>41514</v>
      </c>
      <c r="D2991" s="1" t="s">
        <v>2005</v>
      </c>
      <c r="E2991" s="1">
        <v>101684</v>
      </c>
      <c r="F2991" s="6" t="s">
        <v>4993</v>
      </c>
      <c r="G2991" s="15" t="str">
        <f>VLOOKUP(A2991,Movie!A:D,4,FALSE)</f>
        <v>Weinstein Company</v>
      </c>
      <c r="H2991" s="14">
        <f>VLOOKUP(E2991,'Rental Transaction'!A:B,2,FALSE)</f>
        <v>315634</v>
      </c>
      <c r="I2991">
        <f t="shared" si="46"/>
        <v>2013</v>
      </c>
    </row>
    <row r="2992" spans="1:9">
      <c r="A2992" s="1">
        <v>10161</v>
      </c>
      <c r="B2992" s="1">
        <v>7</v>
      </c>
      <c r="C2992" s="2">
        <v>41514</v>
      </c>
      <c r="D2992" s="1" t="s">
        <v>2002</v>
      </c>
      <c r="E2992" s="1">
        <v>101685</v>
      </c>
      <c r="F2992" s="6" t="s">
        <v>4994</v>
      </c>
      <c r="G2992" s="15" t="str">
        <f>VLOOKUP(A2992,Movie!A:D,4,FALSE)</f>
        <v>TriStar</v>
      </c>
      <c r="H2992" s="14">
        <f>VLOOKUP(E2992,'Rental Transaction'!A:B,2,FALSE)</f>
        <v>161175</v>
      </c>
      <c r="I2992">
        <f t="shared" si="46"/>
        <v>2013</v>
      </c>
    </row>
    <row r="2993" spans="1:9">
      <c r="A2993" s="1">
        <v>10286</v>
      </c>
      <c r="B2993" s="1">
        <v>2</v>
      </c>
      <c r="C2993" s="2">
        <v>41514</v>
      </c>
      <c r="D2993" s="1" t="s">
        <v>2005</v>
      </c>
      <c r="E2993" s="1">
        <v>101685</v>
      </c>
      <c r="F2993" s="6" t="s">
        <v>4995</v>
      </c>
      <c r="G2993" s="15" t="str">
        <f>VLOOKUP(A2993,Movie!A:D,4,FALSE)</f>
        <v>Fox Searchlight</v>
      </c>
      <c r="H2993" s="14">
        <f>VLOOKUP(E2993,'Rental Transaction'!A:B,2,FALSE)</f>
        <v>161175</v>
      </c>
      <c r="I2993">
        <f t="shared" si="46"/>
        <v>2013</v>
      </c>
    </row>
    <row r="2994" spans="1:9">
      <c r="A2994" s="1">
        <v>10250</v>
      </c>
      <c r="B2994" s="1">
        <v>1</v>
      </c>
      <c r="C2994" s="2">
        <v>41515</v>
      </c>
      <c r="D2994" s="1" t="s">
        <v>2002</v>
      </c>
      <c r="E2994" s="1">
        <v>101685</v>
      </c>
      <c r="F2994" s="6" t="s">
        <v>4996</v>
      </c>
      <c r="G2994" s="15" t="str">
        <f>VLOOKUP(A2994,Movie!A:D,4,FALSE)</f>
        <v>Buena Vista</v>
      </c>
      <c r="H2994" s="14">
        <f>VLOOKUP(E2994,'Rental Transaction'!A:B,2,FALSE)</f>
        <v>161175</v>
      </c>
      <c r="I2994">
        <f t="shared" si="46"/>
        <v>2013</v>
      </c>
    </row>
    <row r="2995" spans="1:9">
      <c r="A2995" s="1">
        <v>10157</v>
      </c>
      <c r="B2995" s="1">
        <v>7</v>
      </c>
      <c r="C2995" s="2">
        <v>41514</v>
      </c>
      <c r="D2995" s="1" t="s">
        <v>2002</v>
      </c>
      <c r="E2995" s="1">
        <v>101686</v>
      </c>
      <c r="F2995" s="6" t="s">
        <v>4997</v>
      </c>
      <c r="G2995" s="15" t="str">
        <f>VLOOKUP(A2995,Movie!A:D,4,FALSE)</f>
        <v>Paramount</v>
      </c>
      <c r="H2995" s="14">
        <f>VLOOKUP(E2995,'Rental Transaction'!A:B,2,FALSE)</f>
        <v>857548</v>
      </c>
      <c r="I2995">
        <f t="shared" si="46"/>
        <v>2013</v>
      </c>
    </row>
    <row r="2996" spans="1:9">
      <c r="A2996" s="1">
        <v>10159</v>
      </c>
      <c r="B2996" s="1">
        <v>4</v>
      </c>
      <c r="C2996" s="2">
        <v>41514</v>
      </c>
      <c r="D2996" s="1" t="s">
        <v>2005</v>
      </c>
      <c r="E2996" s="1">
        <v>101686</v>
      </c>
      <c r="F2996" s="6" t="s">
        <v>4998</v>
      </c>
      <c r="G2996" s="15" t="str">
        <f>VLOOKUP(A2996,Movie!A:D,4,FALSE)</f>
        <v>Lionsgate</v>
      </c>
      <c r="H2996" s="14">
        <f>VLOOKUP(E2996,'Rental Transaction'!A:B,2,FALSE)</f>
        <v>857548</v>
      </c>
      <c r="I2996">
        <f t="shared" si="46"/>
        <v>2013</v>
      </c>
    </row>
    <row r="2997" spans="1:9">
      <c r="A2997" s="1">
        <v>10147</v>
      </c>
      <c r="B2997" s="1">
        <v>4</v>
      </c>
      <c r="C2997" s="2">
        <v>41515</v>
      </c>
      <c r="D2997" s="1" t="s">
        <v>2002</v>
      </c>
      <c r="E2997" s="1">
        <v>101687</v>
      </c>
      <c r="F2997" s="6" t="s">
        <v>4999</v>
      </c>
      <c r="G2997" s="15" t="str">
        <f>VLOOKUP(A2997,Movie!A:D,4,FALSE)</f>
        <v>Lionsgate</v>
      </c>
      <c r="H2997" s="14">
        <f>VLOOKUP(E2997,'Rental Transaction'!A:B,2,FALSE)</f>
        <v>797968</v>
      </c>
      <c r="I2997">
        <f t="shared" si="46"/>
        <v>2013</v>
      </c>
    </row>
    <row r="2998" spans="1:9">
      <c r="A2998" s="1">
        <v>10052</v>
      </c>
      <c r="B2998" s="1">
        <v>8</v>
      </c>
      <c r="C2998" s="2">
        <v>41515</v>
      </c>
      <c r="D2998" s="1" t="s">
        <v>2005</v>
      </c>
      <c r="E2998" s="1">
        <v>101688</v>
      </c>
      <c r="F2998" s="6" t="s">
        <v>5000</v>
      </c>
      <c r="G2998" s="15" t="str">
        <f>VLOOKUP(A2998,Movie!A:D,4,FALSE)</f>
        <v>Warner Brothers</v>
      </c>
      <c r="H2998" s="14">
        <f>VLOOKUP(E2998,'Rental Transaction'!A:B,2,FALSE)</f>
        <v>826590</v>
      </c>
      <c r="I2998">
        <f t="shared" si="46"/>
        <v>2013</v>
      </c>
    </row>
    <row r="2999" spans="1:9">
      <c r="A2999" s="1">
        <v>10176</v>
      </c>
      <c r="B2999" s="1">
        <v>5</v>
      </c>
      <c r="C2999" s="2">
        <v>41514</v>
      </c>
      <c r="D2999" s="1" t="s">
        <v>2005</v>
      </c>
      <c r="E2999" s="1">
        <v>101688</v>
      </c>
      <c r="F2999" s="6" t="s">
        <v>5001</v>
      </c>
      <c r="G2999" s="15" t="str">
        <f>VLOOKUP(A2999,Movie!A:D,4,FALSE)</f>
        <v>Universal</v>
      </c>
      <c r="H2999" s="14">
        <f>VLOOKUP(E2999,'Rental Transaction'!A:B,2,FALSE)</f>
        <v>826590</v>
      </c>
      <c r="I2999">
        <f t="shared" si="46"/>
        <v>2013</v>
      </c>
    </row>
    <row r="3000" spans="1:9">
      <c r="A3000" s="1">
        <v>10036</v>
      </c>
      <c r="B3000" s="1">
        <v>5</v>
      </c>
      <c r="C3000" s="2">
        <v>41515</v>
      </c>
      <c r="D3000" s="1" t="s">
        <v>2002</v>
      </c>
      <c r="E3000" s="1">
        <v>101689</v>
      </c>
      <c r="F3000" s="6" t="s">
        <v>5002</v>
      </c>
      <c r="G3000" s="15" t="str">
        <f>VLOOKUP(A3000,Movie!A:D,4,FALSE)</f>
        <v>Universal</v>
      </c>
      <c r="H3000" s="14">
        <f>VLOOKUP(E3000,'Rental Transaction'!A:B,2,FALSE)</f>
        <v>977759</v>
      </c>
      <c r="I3000">
        <f t="shared" si="46"/>
        <v>2013</v>
      </c>
    </row>
    <row r="3001" spans="1:9">
      <c r="A3001" s="1">
        <v>10076</v>
      </c>
      <c r="B3001" s="1">
        <v>7</v>
      </c>
      <c r="C3001" s="2">
        <v>41515</v>
      </c>
      <c r="D3001" s="1" t="s">
        <v>2002</v>
      </c>
      <c r="E3001" s="1">
        <v>101689</v>
      </c>
      <c r="F3001" s="6" t="s">
        <v>5003</v>
      </c>
      <c r="G3001" s="15" t="str">
        <f>VLOOKUP(A3001,Movie!A:D,4,FALSE)</f>
        <v>Sony</v>
      </c>
      <c r="H3001" s="14">
        <f>VLOOKUP(E3001,'Rental Transaction'!A:B,2,FALSE)</f>
        <v>977759</v>
      </c>
      <c r="I3001">
        <f t="shared" si="46"/>
        <v>2013</v>
      </c>
    </row>
    <row r="3002" spans="1:9">
      <c r="A3002" s="1">
        <v>10134</v>
      </c>
      <c r="B3002" s="1">
        <v>1</v>
      </c>
      <c r="C3002" s="2">
        <v>41514</v>
      </c>
      <c r="D3002" s="1" t="s">
        <v>2002</v>
      </c>
      <c r="E3002" s="1">
        <v>101689</v>
      </c>
      <c r="F3002" s="6" t="s">
        <v>5004</v>
      </c>
      <c r="G3002" s="15" t="str">
        <f>VLOOKUP(A3002,Movie!A:D,4,FALSE)</f>
        <v>Universal</v>
      </c>
      <c r="H3002" s="14">
        <f>VLOOKUP(E3002,'Rental Transaction'!A:B,2,FALSE)</f>
        <v>977759</v>
      </c>
      <c r="I3002">
        <f t="shared" si="46"/>
        <v>2013</v>
      </c>
    </row>
    <row r="3003" spans="1:9">
      <c r="A3003" s="1">
        <v>10010</v>
      </c>
      <c r="B3003" s="1">
        <v>4</v>
      </c>
      <c r="C3003" s="2">
        <v>41515</v>
      </c>
      <c r="D3003" s="1" t="s">
        <v>2002</v>
      </c>
      <c r="E3003" s="1">
        <v>101690</v>
      </c>
      <c r="F3003" s="6" t="s">
        <v>5005</v>
      </c>
      <c r="G3003" s="15" t="str">
        <f>VLOOKUP(A3003,Movie!A:D,4,FALSE)</f>
        <v>Buena Vista</v>
      </c>
      <c r="H3003" s="14">
        <f>VLOOKUP(E3003,'Rental Transaction'!A:B,2,FALSE)</f>
        <v>954812</v>
      </c>
      <c r="I3003">
        <f t="shared" si="46"/>
        <v>2013</v>
      </c>
    </row>
    <row r="3004" spans="1:9">
      <c r="A3004" s="1">
        <v>10200</v>
      </c>
      <c r="B3004" s="1">
        <v>5</v>
      </c>
      <c r="C3004" s="2">
        <v>41515</v>
      </c>
      <c r="D3004" s="1" t="s">
        <v>2002</v>
      </c>
      <c r="E3004" s="1">
        <v>101690</v>
      </c>
      <c r="F3004" s="6" t="s">
        <v>5006</v>
      </c>
      <c r="G3004" s="15" t="str">
        <f>VLOOKUP(A3004,Movie!A:D,4,FALSE)</f>
        <v>Fox</v>
      </c>
      <c r="H3004" s="14">
        <f>VLOOKUP(E3004,'Rental Transaction'!A:B,2,FALSE)</f>
        <v>954812</v>
      </c>
      <c r="I3004">
        <f t="shared" si="46"/>
        <v>2013</v>
      </c>
    </row>
    <row r="3005" spans="1:9">
      <c r="A3005" s="1">
        <v>10251</v>
      </c>
      <c r="B3005" s="1">
        <v>5</v>
      </c>
      <c r="C3005" s="2">
        <v>41515</v>
      </c>
      <c r="D3005" s="1" t="s">
        <v>2002</v>
      </c>
      <c r="E3005" s="1">
        <v>101690</v>
      </c>
      <c r="F3005" s="6" t="s">
        <v>5007</v>
      </c>
      <c r="G3005" s="15" t="str">
        <f>VLOOKUP(A3005,Movie!A:D,4,FALSE)</f>
        <v>Universal</v>
      </c>
      <c r="H3005" s="14">
        <f>VLOOKUP(E3005,'Rental Transaction'!A:B,2,FALSE)</f>
        <v>954812</v>
      </c>
      <c r="I3005">
        <f t="shared" si="46"/>
        <v>2013</v>
      </c>
    </row>
    <row r="3006" spans="1:9">
      <c r="A3006" s="1">
        <v>10079</v>
      </c>
      <c r="B3006" s="1">
        <v>10</v>
      </c>
      <c r="C3006" s="2">
        <v>41515</v>
      </c>
      <c r="D3006" s="1" t="s">
        <v>2005</v>
      </c>
      <c r="E3006" s="1">
        <v>101691</v>
      </c>
      <c r="F3006" s="6" t="s">
        <v>5008</v>
      </c>
      <c r="G3006" s="15" t="str">
        <f>VLOOKUP(A3006,Movie!A:D,4,FALSE)</f>
        <v>Warner Brothers</v>
      </c>
      <c r="H3006" s="14">
        <f>VLOOKUP(E3006,'Rental Transaction'!A:B,2,FALSE)</f>
        <v>852925</v>
      </c>
      <c r="I3006">
        <f t="shared" si="46"/>
        <v>2013</v>
      </c>
    </row>
    <row r="3007" spans="1:9">
      <c r="A3007" s="1">
        <v>10217</v>
      </c>
      <c r="B3007" s="1">
        <v>4</v>
      </c>
      <c r="C3007" s="2">
        <v>41516</v>
      </c>
      <c r="D3007" s="1" t="s">
        <v>2002</v>
      </c>
      <c r="E3007" s="1">
        <v>101692</v>
      </c>
      <c r="F3007" s="6" t="s">
        <v>5009</v>
      </c>
      <c r="G3007" s="15" t="str">
        <f>VLOOKUP(A3007,Movie!A:D,4,FALSE)</f>
        <v>Warner Brothers</v>
      </c>
      <c r="H3007" s="14">
        <f>VLOOKUP(E3007,'Rental Transaction'!A:B,2,FALSE)</f>
        <v>143878</v>
      </c>
      <c r="I3007">
        <f t="shared" si="46"/>
        <v>2013</v>
      </c>
    </row>
    <row r="3008" spans="1:9">
      <c r="A3008" s="1">
        <v>10134</v>
      </c>
      <c r="B3008" s="1">
        <v>1</v>
      </c>
      <c r="C3008" s="2">
        <v>41515</v>
      </c>
      <c r="D3008" s="1" t="s">
        <v>2002</v>
      </c>
      <c r="E3008" s="1">
        <v>101692</v>
      </c>
      <c r="F3008" s="6" t="s">
        <v>5010</v>
      </c>
      <c r="G3008" s="15" t="str">
        <f>VLOOKUP(A3008,Movie!A:D,4,FALSE)</f>
        <v>Universal</v>
      </c>
      <c r="H3008" s="14">
        <f>VLOOKUP(E3008,'Rental Transaction'!A:B,2,FALSE)</f>
        <v>143878</v>
      </c>
      <c r="I3008">
        <f t="shared" si="46"/>
        <v>2013</v>
      </c>
    </row>
    <row r="3009" spans="1:9">
      <c r="A3009" s="1">
        <v>10231</v>
      </c>
      <c r="B3009" s="1">
        <v>6</v>
      </c>
      <c r="C3009" s="2">
        <v>41515</v>
      </c>
      <c r="D3009" s="1" t="s">
        <v>2005</v>
      </c>
      <c r="E3009" s="1">
        <v>101693</v>
      </c>
      <c r="F3009" s="6" t="s">
        <v>5011</v>
      </c>
      <c r="G3009" s="15" t="str">
        <f>VLOOKUP(A3009,Movie!A:D,4,FALSE)</f>
        <v>Universal</v>
      </c>
      <c r="H3009" s="14">
        <f>VLOOKUP(E3009,'Rental Transaction'!A:B,2,FALSE)</f>
        <v>918682</v>
      </c>
      <c r="I3009">
        <f t="shared" si="46"/>
        <v>2013</v>
      </c>
    </row>
    <row r="3010" spans="1:9">
      <c r="A3010" s="1">
        <v>10124</v>
      </c>
      <c r="B3010" s="1">
        <v>8</v>
      </c>
      <c r="C3010" s="2">
        <v>41516</v>
      </c>
      <c r="D3010" s="1" t="s">
        <v>2005</v>
      </c>
      <c r="E3010" s="1">
        <v>101694</v>
      </c>
      <c r="F3010" s="6" t="s">
        <v>5012</v>
      </c>
      <c r="G3010" s="15" t="str">
        <f>VLOOKUP(A3010,Movie!A:D,4,FALSE)</f>
        <v>Paramount</v>
      </c>
      <c r="H3010" s="14">
        <f>VLOOKUP(E3010,'Rental Transaction'!A:B,2,FALSE)</f>
        <v>775449</v>
      </c>
      <c r="I3010">
        <f t="shared" si="46"/>
        <v>2013</v>
      </c>
    </row>
    <row r="3011" spans="1:9" ht="29.25">
      <c r="A3011" s="1">
        <v>10290</v>
      </c>
      <c r="B3011" s="1">
        <v>10</v>
      </c>
      <c r="C3011" s="2">
        <v>41515</v>
      </c>
      <c r="D3011" s="1" t="s">
        <v>2002</v>
      </c>
      <c r="E3011" s="1">
        <v>101694</v>
      </c>
      <c r="F3011" s="6" t="s">
        <v>5013</v>
      </c>
      <c r="G3011" s="15" t="str">
        <f>VLOOKUP(A3011,Movie!A:D,4,FALSE)</f>
        <v>Weinstein Company</v>
      </c>
      <c r="H3011" s="14">
        <f>VLOOKUP(E3011,'Rental Transaction'!A:B,2,FALSE)</f>
        <v>775449</v>
      </c>
      <c r="I3011">
        <f t="shared" ref="I3011:I3074" si="47">YEAR(C3011)</f>
        <v>2013</v>
      </c>
    </row>
    <row r="3012" spans="1:9">
      <c r="A3012" s="1">
        <v>10077</v>
      </c>
      <c r="B3012" s="1">
        <v>4</v>
      </c>
      <c r="C3012" s="2">
        <v>41515</v>
      </c>
      <c r="D3012" s="1" t="s">
        <v>2002</v>
      </c>
      <c r="E3012" s="1">
        <v>101694</v>
      </c>
      <c r="F3012" s="6" t="s">
        <v>5014</v>
      </c>
      <c r="G3012" s="15" t="str">
        <f>VLOOKUP(A3012,Movie!A:D,4,FALSE)</f>
        <v>Warner Brothers</v>
      </c>
      <c r="H3012" s="14">
        <f>VLOOKUP(E3012,'Rental Transaction'!A:B,2,FALSE)</f>
        <v>775449</v>
      </c>
      <c r="I3012">
        <f t="shared" si="47"/>
        <v>2013</v>
      </c>
    </row>
    <row r="3013" spans="1:9">
      <c r="A3013" s="1">
        <v>10229</v>
      </c>
      <c r="B3013" s="1">
        <v>5</v>
      </c>
      <c r="C3013" s="2">
        <v>41515</v>
      </c>
      <c r="D3013" s="1" t="s">
        <v>2005</v>
      </c>
      <c r="E3013" s="1">
        <v>101695</v>
      </c>
      <c r="F3013" s="6" t="s">
        <v>5015</v>
      </c>
      <c r="G3013" s="15" t="str">
        <f>VLOOKUP(A3013,Movie!A:D,4,FALSE)</f>
        <v>TriStar</v>
      </c>
      <c r="H3013" s="14">
        <f>VLOOKUP(E3013,'Rental Transaction'!A:B,2,FALSE)</f>
        <v>127472</v>
      </c>
      <c r="I3013">
        <f t="shared" si="47"/>
        <v>2013</v>
      </c>
    </row>
    <row r="3014" spans="1:9">
      <c r="A3014" s="1">
        <v>10088</v>
      </c>
      <c r="B3014" s="1">
        <v>4</v>
      </c>
      <c r="C3014" s="2">
        <v>41515</v>
      </c>
      <c r="D3014" s="1" t="s">
        <v>2002</v>
      </c>
      <c r="E3014" s="1">
        <v>101696</v>
      </c>
      <c r="F3014" s="6" t="s">
        <v>5016</v>
      </c>
      <c r="G3014" s="15" t="str">
        <f>VLOOKUP(A3014,Movie!A:D,4,FALSE)</f>
        <v>Warner Brothers</v>
      </c>
      <c r="H3014" s="14">
        <f>VLOOKUP(E3014,'Rental Transaction'!A:B,2,FALSE)</f>
        <v>231615</v>
      </c>
      <c r="I3014">
        <f t="shared" si="47"/>
        <v>2013</v>
      </c>
    </row>
    <row r="3015" spans="1:9">
      <c r="A3015" s="1">
        <v>10088</v>
      </c>
      <c r="B3015" s="1">
        <v>10</v>
      </c>
      <c r="C3015" s="2">
        <v>41515</v>
      </c>
      <c r="D3015" s="1" t="s">
        <v>2002</v>
      </c>
      <c r="E3015" s="1">
        <v>101697</v>
      </c>
      <c r="F3015" s="6" t="s">
        <v>5017</v>
      </c>
      <c r="G3015" s="15" t="str">
        <f>VLOOKUP(A3015,Movie!A:D,4,FALSE)</f>
        <v>Warner Brothers</v>
      </c>
      <c r="H3015" s="14">
        <f>VLOOKUP(E3015,'Rental Transaction'!A:B,2,FALSE)</f>
        <v>862302</v>
      </c>
      <c r="I3015">
        <f t="shared" si="47"/>
        <v>2013</v>
      </c>
    </row>
    <row r="3016" spans="1:9">
      <c r="A3016" s="1">
        <v>10293</v>
      </c>
      <c r="B3016" s="1">
        <v>8</v>
      </c>
      <c r="C3016" s="2">
        <v>41515</v>
      </c>
      <c r="D3016" s="1" t="s">
        <v>2005</v>
      </c>
      <c r="E3016" s="1">
        <v>101698</v>
      </c>
      <c r="F3016" s="6" t="s">
        <v>5018</v>
      </c>
      <c r="G3016" s="15" t="str">
        <f>VLOOKUP(A3016,Movie!A:D,4,FALSE)</f>
        <v>Relativity</v>
      </c>
      <c r="H3016" s="14">
        <f>VLOOKUP(E3016,'Rental Transaction'!A:B,2,FALSE)</f>
        <v>550824</v>
      </c>
      <c r="I3016">
        <f t="shared" si="47"/>
        <v>2013</v>
      </c>
    </row>
    <row r="3017" spans="1:9">
      <c r="A3017" s="1">
        <v>10187</v>
      </c>
      <c r="B3017" s="1">
        <v>8</v>
      </c>
      <c r="C3017" s="2">
        <v>41515</v>
      </c>
      <c r="D3017" s="1" t="s">
        <v>2002</v>
      </c>
      <c r="E3017" s="1">
        <v>101699</v>
      </c>
      <c r="F3017" s="6" t="s">
        <v>5019</v>
      </c>
      <c r="G3017" s="15" t="str">
        <f>VLOOKUP(A3017,Movie!A:D,4,FALSE)</f>
        <v>Paramount</v>
      </c>
      <c r="H3017" s="14">
        <f>VLOOKUP(E3017,'Rental Transaction'!A:B,2,FALSE)</f>
        <v>396166</v>
      </c>
      <c r="I3017">
        <f t="shared" si="47"/>
        <v>2013</v>
      </c>
    </row>
    <row r="3018" spans="1:9">
      <c r="A3018" s="1">
        <v>10195</v>
      </c>
      <c r="B3018" s="1">
        <v>8</v>
      </c>
      <c r="C3018" s="2">
        <v>41515</v>
      </c>
      <c r="D3018" s="1" t="s">
        <v>2005</v>
      </c>
      <c r="E3018" s="1">
        <v>101699</v>
      </c>
      <c r="F3018" s="6" t="s">
        <v>5020</v>
      </c>
      <c r="G3018" s="15" t="str">
        <f>VLOOKUP(A3018,Movie!A:D,4,FALSE)</f>
        <v>Sony</v>
      </c>
      <c r="H3018" s="14">
        <f>VLOOKUP(E3018,'Rental Transaction'!A:B,2,FALSE)</f>
        <v>396166</v>
      </c>
      <c r="I3018">
        <f t="shared" si="47"/>
        <v>2013</v>
      </c>
    </row>
    <row r="3019" spans="1:9">
      <c r="A3019" s="1">
        <v>10209</v>
      </c>
      <c r="B3019" s="1">
        <v>7</v>
      </c>
      <c r="C3019" s="2">
        <v>41518</v>
      </c>
      <c r="D3019" s="1" t="s">
        <v>2005</v>
      </c>
      <c r="E3019" s="1">
        <v>101700</v>
      </c>
      <c r="F3019" s="6" t="s">
        <v>5021</v>
      </c>
      <c r="G3019" s="15" t="str">
        <f>VLOOKUP(A3019,Movie!A:D,4,FALSE)</f>
        <v>Universal</v>
      </c>
      <c r="H3019" s="14">
        <f>VLOOKUP(E3019,'Rental Transaction'!A:B,2,FALSE)</f>
        <v>500350</v>
      </c>
      <c r="I3019">
        <f t="shared" si="47"/>
        <v>2013</v>
      </c>
    </row>
    <row r="3020" spans="1:9">
      <c r="A3020" s="1">
        <v>10243</v>
      </c>
      <c r="B3020" s="1">
        <v>6</v>
      </c>
      <c r="C3020" s="2">
        <v>41515</v>
      </c>
      <c r="D3020" s="1" t="s">
        <v>2002</v>
      </c>
      <c r="E3020" s="1">
        <v>101700</v>
      </c>
      <c r="F3020" s="6" t="s">
        <v>5022</v>
      </c>
      <c r="G3020" s="15" t="str">
        <f>VLOOKUP(A3020,Movie!A:D,4,FALSE)</f>
        <v>Fox</v>
      </c>
      <c r="H3020" s="14">
        <f>VLOOKUP(E3020,'Rental Transaction'!A:B,2,FALSE)</f>
        <v>500350</v>
      </c>
      <c r="I3020">
        <f t="shared" si="47"/>
        <v>2013</v>
      </c>
    </row>
    <row r="3021" spans="1:9">
      <c r="A3021" s="1">
        <v>10287</v>
      </c>
      <c r="B3021" s="1">
        <v>5</v>
      </c>
      <c r="C3021" s="2">
        <v>41515</v>
      </c>
      <c r="D3021" s="1" t="s">
        <v>2005</v>
      </c>
      <c r="E3021" s="1">
        <v>101701</v>
      </c>
      <c r="F3021" s="6" t="s">
        <v>5023</v>
      </c>
      <c r="G3021" s="15" t="str">
        <f>VLOOKUP(A3021,Movie!A:D,4,FALSE)</f>
        <v>Lionsgate</v>
      </c>
      <c r="H3021" s="14">
        <f>VLOOKUP(E3021,'Rental Transaction'!A:B,2,FALSE)</f>
        <v>487346</v>
      </c>
      <c r="I3021">
        <f t="shared" si="47"/>
        <v>2013</v>
      </c>
    </row>
    <row r="3022" spans="1:9" ht="29.25">
      <c r="A3022" s="1">
        <v>10249</v>
      </c>
      <c r="B3022" s="1">
        <v>3</v>
      </c>
      <c r="C3022" s="2">
        <v>41516</v>
      </c>
      <c r="D3022" s="1" t="s">
        <v>2002</v>
      </c>
      <c r="E3022" s="1">
        <v>101702</v>
      </c>
      <c r="F3022" s="6" t="s">
        <v>5024</v>
      </c>
      <c r="G3022" s="15" t="str">
        <f>VLOOKUP(A3022,Movie!A:D,4,FALSE)</f>
        <v>Summit Entertainment</v>
      </c>
      <c r="H3022" s="14">
        <f>VLOOKUP(E3022,'Rental Transaction'!A:B,2,FALSE)</f>
        <v>891738</v>
      </c>
      <c r="I3022">
        <f t="shared" si="47"/>
        <v>2013</v>
      </c>
    </row>
    <row r="3023" spans="1:9">
      <c r="A3023" s="1">
        <v>10114</v>
      </c>
      <c r="B3023" s="1">
        <v>10</v>
      </c>
      <c r="C3023" s="2">
        <v>41515</v>
      </c>
      <c r="D3023" s="1" t="s">
        <v>2005</v>
      </c>
      <c r="E3023" s="1">
        <v>101703</v>
      </c>
      <c r="F3023" s="6" t="s">
        <v>5025</v>
      </c>
      <c r="G3023" s="15" t="str">
        <f>VLOOKUP(A3023,Movie!A:D,4,FALSE)</f>
        <v>Lionsgate</v>
      </c>
      <c r="H3023" s="14">
        <f>VLOOKUP(E3023,'Rental Transaction'!A:B,2,FALSE)</f>
        <v>586201</v>
      </c>
      <c r="I3023">
        <f t="shared" si="47"/>
        <v>2013</v>
      </c>
    </row>
    <row r="3024" spans="1:9">
      <c r="A3024" s="1">
        <v>10075</v>
      </c>
      <c r="B3024" s="1">
        <v>6</v>
      </c>
      <c r="C3024" s="2">
        <v>41516</v>
      </c>
      <c r="D3024" s="1" t="s">
        <v>2002</v>
      </c>
      <c r="E3024" s="1">
        <v>101703</v>
      </c>
      <c r="F3024" s="6" t="s">
        <v>5026</v>
      </c>
      <c r="G3024" s="15" t="str">
        <f>VLOOKUP(A3024,Movie!A:D,4,FALSE)</f>
        <v>Fox Searchlight</v>
      </c>
      <c r="H3024" s="14">
        <f>VLOOKUP(E3024,'Rental Transaction'!A:B,2,FALSE)</f>
        <v>586201</v>
      </c>
      <c r="I3024">
        <f t="shared" si="47"/>
        <v>2013</v>
      </c>
    </row>
    <row r="3025" spans="1:9">
      <c r="A3025" s="1">
        <v>10064</v>
      </c>
      <c r="B3025" s="1">
        <v>5</v>
      </c>
      <c r="C3025" s="2">
        <v>41515</v>
      </c>
      <c r="D3025" s="1" t="s">
        <v>2002</v>
      </c>
      <c r="E3025" s="1">
        <v>101704</v>
      </c>
      <c r="F3025" s="6" t="s">
        <v>5027</v>
      </c>
      <c r="G3025" s="15" t="str">
        <f>VLOOKUP(A3025,Movie!A:D,4,FALSE)</f>
        <v>Universal</v>
      </c>
      <c r="H3025" s="14">
        <f>VLOOKUP(E3025,'Rental Transaction'!A:B,2,FALSE)</f>
        <v>695276</v>
      </c>
      <c r="I3025">
        <f t="shared" si="47"/>
        <v>2013</v>
      </c>
    </row>
    <row r="3026" spans="1:9">
      <c r="A3026" s="1">
        <v>10203</v>
      </c>
      <c r="B3026" s="1">
        <v>4</v>
      </c>
      <c r="C3026" s="2">
        <v>41515</v>
      </c>
      <c r="D3026" s="1" t="s">
        <v>2002</v>
      </c>
      <c r="E3026" s="1">
        <v>101705</v>
      </c>
      <c r="F3026" s="6" t="s">
        <v>5028</v>
      </c>
      <c r="G3026" s="15" t="str">
        <f>VLOOKUP(A3026,Movie!A:D,4,FALSE)</f>
        <v>Buena Vista</v>
      </c>
      <c r="H3026" s="14">
        <f>VLOOKUP(E3026,'Rental Transaction'!A:B,2,FALSE)</f>
        <v>864896</v>
      </c>
      <c r="I3026">
        <f t="shared" si="47"/>
        <v>2013</v>
      </c>
    </row>
    <row r="3027" spans="1:9">
      <c r="A3027" s="1">
        <v>10019</v>
      </c>
      <c r="B3027" s="1">
        <v>5</v>
      </c>
      <c r="C3027" s="2">
        <v>41515</v>
      </c>
      <c r="D3027" s="1" t="s">
        <v>2002</v>
      </c>
      <c r="E3027" s="1">
        <v>101706</v>
      </c>
      <c r="F3027" s="6" t="s">
        <v>5029</v>
      </c>
      <c r="G3027" s="15" t="str">
        <f>VLOOKUP(A3027,Movie!A:D,4,FALSE)</f>
        <v>Fox</v>
      </c>
      <c r="H3027" s="14">
        <f>VLOOKUP(E3027,'Rental Transaction'!A:B,2,FALSE)</f>
        <v>964619</v>
      </c>
      <c r="I3027">
        <f t="shared" si="47"/>
        <v>2013</v>
      </c>
    </row>
    <row r="3028" spans="1:9">
      <c r="A3028" s="1">
        <v>10106</v>
      </c>
      <c r="B3028" s="1">
        <v>5</v>
      </c>
      <c r="C3028" s="2">
        <v>41516</v>
      </c>
      <c r="D3028" s="1" t="s">
        <v>2005</v>
      </c>
      <c r="E3028" s="1">
        <v>101707</v>
      </c>
      <c r="F3028" s="6" t="s">
        <v>5030</v>
      </c>
      <c r="G3028" s="15" t="str">
        <f>VLOOKUP(A3028,Movie!A:D,4,FALSE)</f>
        <v>Fox</v>
      </c>
      <c r="H3028" s="14">
        <f>VLOOKUP(E3028,'Rental Transaction'!A:B,2,FALSE)</f>
        <v>206078</v>
      </c>
      <c r="I3028">
        <f t="shared" si="47"/>
        <v>2013</v>
      </c>
    </row>
    <row r="3029" spans="1:9">
      <c r="A3029" s="1">
        <v>10088</v>
      </c>
      <c r="B3029" s="1">
        <v>8</v>
      </c>
      <c r="C3029" s="2">
        <v>41515</v>
      </c>
      <c r="D3029" s="1" t="s">
        <v>2005</v>
      </c>
      <c r="E3029" s="1">
        <v>101708</v>
      </c>
      <c r="F3029" s="6" t="s">
        <v>5031</v>
      </c>
      <c r="G3029" s="15" t="str">
        <f>VLOOKUP(A3029,Movie!A:D,4,FALSE)</f>
        <v>Warner Brothers</v>
      </c>
      <c r="H3029" s="14">
        <f>VLOOKUP(E3029,'Rental Transaction'!A:B,2,FALSE)</f>
        <v>575041</v>
      </c>
      <c r="I3029">
        <f t="shared" si="47"/>
        <v>2013</v>
      </c>
    </row>
    <row r="3030" spans="1:9">
      <c r="A3030" s="1">
        <v>10274</v>
      </c>
      <c r="B3030" s="1">
        <v>4</v>
      </c>
      <c r="C3030" s="2">
        <v>41517</v>
      </c>
      <c r="D3030" s="1" t="s">
        <v>2002</v>
      </c>
      <c r="E3030" s="1">
        <v>101709</v>
      </c>
      <c r="F3030" s="6" t="s">
        <v>5032</v>
      </c>
      <c r="G3030" s="15" t="str">
        <f>VLOOKUP(A3030,Movie!A:D,4,FALSE)</f>
        <v>Fox</v>
      </c>
      <c r="H3030" s="14">
        <f>VLOOKUP(E3030,'Rental Transaction'!A:B,2,FALSE)</f>
        <v>964619</v>
      </c>
      <c r="I3030">
        <f t="shared" si="47"/>
        <v>2013</v>
      </c>
    </row>
    <row r="3031" spans="1:9">
      <c r="A3031" s="1">
        <v>10016</v>
      </c>
      <c r="B3031" s="1">
        <v>8</v>
      </c>
      <c r="C3031" s="2">
        <v>41515</v>
      </c>
      <c r="D3031" s="1" t="s">
        <v>2002</v>
      </c>
      <c r="E3031" s="1">
        <v>101709</v>
      </c>
      <c r="F3031" s="6" t="s">
        <v>5033</v>
      </c>
      <c r="G3031" s="15" t="str">
        <f>VLOOKUP(A3031,Movie!A:D,4,FALSE)</f>
        <v>Universal</v>
      </c>
      <c r="H3031" s="14">
        <f>VLOOKUP(E3031,'Rental Transaction'!A:B,2,FALSE)</f>
        <v>964619</v>
      </c>
      <c r="I3031">
        <f t="shared" si="47"/>
        <v>2013</v>
      </c>
    </row>
    <row r="3032" spans="1:9">
      <c r="A3032" s="1">
        <v>10044</v>
      </c>
      <c r="B3032" s="1">
        <v>6</v>
      </c>
      <c r="C3032" s="2">
        <v>41515</v>
      </c>
      <c r="D3032" s="1" t="s">
        <v>2005</v>
      </c>
      <c r="E3032" s="1">
        <v>101710</v>
      </c>
      <c r="F3032" s="6" t="s">
        <v>5034</v>
      </c>
      <c r="G3032" s="15" t="str">
        <f>VLOOKUP(A3032,Movie!A:D,4,FALSE)</f>
        <v>Buena Vista</v>
      </c>
      <c r="H3032" s="14">
        <f>VLOOKUP(E3032,'Rental Transaction'!A:B,2,FALSE)</f>
        <v>565259</v>
      </c>
      <c r="I3032">
        <f t="shared" si="47"/>
        <v>2013</v>
      </c>
    </row>
    <row r="3033" spans="1:9">
      <c r="A3033" s="1">
        <v>10170</v>
      </c>
      <c r="B3033" s="1">
        <v>10</v>
      </c>
      <c r="C3033" s="2">
        <v>41519</v>
      </c>
      <c r="D3033" s="1" t="s">
        <v>2002</v>
      </c>
      <c r="E3033" s="1">
        <v>101711</v>
      </c>
      <c r="F3033" s="6" t="s">
        <v>5035</v>
      </c>
      <c r="G3033" s="15" t="str">
        <f>VLOOKUP(A3033,Movie!A:D,4,FALSE)</f>
        <v>Sony Classics</v>
      </c>
      <c r="H3033" s="14">
        <f>VLOOKUP(E3033,'Rental Transaction'!A:B,2,FALSE)</f>
        <v>616392</v>
      </c>
      <c r="I3033">
        <f t="shared" si="47"/>
        <v>2013</v>
      </c>
    </row>
    <row r="3034" spans="1:9">
      <c r="A3034" s="1">
        <v>10145</v>
      </c>
      <c r="B3034" s="1">
        <v>3</v>
      </c>
      <c r="C3034" s="2">
        <v>41517</v>
      </c>
      <c r="D3034" s="1" t="s">
        <v>2005</v>
      </c>
      <c r="E3034" s="1">
        <v>101712</v>
      </c>
      <c r="F3034" s="6" t="s">
        <v>5036</v>
      </c>
      <c r="G3034" s="15" t="str">
        <f>VLOOKUP(A3034,Movie!A:D,4,FALSE)</f>
        <v>TriStar</v>
      </c>
      <c r="H3034" s="14">
        <f>VLOOKUP(E3034,'Rental Transaction'!A:B,2,FALSE)</f>
        <v>464277</v>
      </c>
      <c r="I3034">
        <f t="shared" si="47"/>
        <v>2013</v>
      </c>
    </row>
    <row r="3035" spans="1:9">
      <c r="A3035" s="1">
        <v>10192</v>
      </c>
      <c r="B3035" s="1">
        <v>7</v>
      </c>
      <c r="C3035" s="2">
        <v>41516</v>
      </c>
      <c r="D3035" s="1" t="s">
        <v>2005</v>
      </c>
      <c r="E3035" s="1">
        <v>101712</v>
      </c>
      <c r="F3035" s="6" t="s">
        <v>5037</v>
      </c>
      <c r="G3035" s="15" t="str">
        <f>VLOOKUP(A3035,Movie!A:D,4,FALSE)</f>
        <v>Universal</v>
      </c>
      <c r="H3035" s="14">
        <f>VLOOKUP(E3035,'Rental Transaction'!A:B,2,FALSE)</f>
        <v>464277</v>
      </c>
      <c r="I3035">
        <f t="shared" si="47"/>
        <v>2013</v>
      </c>
    </row>
    <row r="3036" spans="1:9">
      <c r="A3036" s="1">
        <v>10230</v>
      </c>
      <c r="B3036" s="1">
        <v>9</v>
      </c>
      <c r="C3036" s="2">
        <v>41517</v>
      </c>
      <c r="D3036" s="1" t="s">
        <v>2005</v>
      </c>
      <c r="E3036" s="1">
        <v>101713</v>
      </c>
      <c r="F3036" s="6" t="s">
        <v>5038</v>
      </c>
      <c r="G3036" s="15" t="str">
        <f>VLOOKUP(A3036,Movie!A:D,4,FALSE)</f>
        <v>Focus</v>
      </c>
      <c r="H3036" s="14">
        <f>VLOOKUP(E3036,'Rental Transaction'!A:B,2,FALSE)</f>
        <v>657495</v>
      </c>
      <c r="I3036">
        <f t="shared" si="47"/>
        <v>2013</v>
      </c>
    </row>
    <row r="3037" spans="1:9">
      <c r="A3037" s="1">
        <v>10042</v>
      </c>
      <c r="B3037" s="1">
        <v>8</v>
      </c>
      <c r="C3037" s="2">
        <v>41516</v>
      </c>
      <c r="D3037" s="1" t="s">
        <v>2005</v>
      </c>
      <c r="E3037" s="1">
        <v>101713</v>
      </c>
      <c r="F3037" s="6" t="s">
        <v>5039</v>
      </c>
      <c r="G3037" s="15" t="str">
        <f>VLOOKUP(A3037,Movie!A:D,4,FALSE)</f>
        <v>Paramount</v>
      </c>
      <c r="H3037" s="14">
        <f>VLOOKUP(E3037,'Rental Transaction'!A:B,2,FALSE)</f>
        <v>657495</v>
      </c>
      <c r="I3037">
        <f t="shared" si="47"/>
        <v>2013</v>
      </c>
    </row>
    <row r="3038" spans="1:9">
      <c r="A3038" s="1">
        <v>10172</v>
      </c>
      <c r="B3038" s="1">
        <v>4</v>
      </c>
      <c r="C3038" s="2">
        <v>41517</v>
      </c>
      <c r="D3038" s="1" t="s">
        <v>2005</v>
      </c>
      <c r="E3038" s="1">
        <v>101714</v>
      </c>
      <c r="F3038" s="6" t="s">
        <v>5040</v>
      </c>
      <c r="G3038" s="15" t="str">
        <f>VLOOKUP(A3038,Movie!A:D,4,FALSE)</f>
        <v>Lionsgate</v>
      </c>
      <c r="H3038" s="14">
        <f>VLOOKUP(E3038,'Rental Transaction'!A:B,2,FALSE)</f>
        <v>166612</v>
      </c>
      <c r="I3038">
        <f t="shared" si="47"/>
        <v>2013</v>
      </c>
    </row>
    <row r="3039" spans="1:9" ht="29.25">
      <c r="A3039" s="1">
        <v>10164</v>
      </c>
      <c r="B3039" s="1">
        <v>4</v>
      </c>
      <c r="C3039" s="2">
        <v>41516</v>
      </c>
      <c r="D3039" s="1" t="s">
        <v>2005</v>
      </c>
      <c r="E3039" s="1">
        <v>101714</v>
      </c>
      <c r="F3039" s="6" t="s">
        <v>5041</v>
      </c>
      <c r="G3039" s="15" t="str">
        <f>VLOOKUP(A3039,Movie!A:D,4,FALSE)</f>
        <v>Weinstein Company</v>
      </c>
      <c r="H3039" s="14">
        <f>VLOOKUP(E3039,'Rental Transaction'!A:B,2,FALSE)</f>
        <v>166612</v>
      </c>
      <c r="I3039">
        <f t="shared" si="47"/>
        <v>2013</v>
      </c>
    </row>
    <row r="3040" spans="1:9">
      <c r="A3040" s="1">
        <v>10039</v>
      </c>
      <c r="B3040" s="1">
        <v>7</v>
      </c>
      <c r="C3040" s="2">
        <v>41516</v>
      </c>
      <c r="D3040" s="1" t="s">
        <v>2002</v>
      </c>
      <c r="E3040" s="1">
        <v>101714</v>
      </c>
      <c r="F3040" s="6" t="s">
        <v>5042</v>
      </c>
      <c r="G3040" s="15" t="str">
        <f>VLOOKUP(A3040,Movie!A:D,4,FALSE)</f>
        <v>Open Road Films</v>
      </c>
      <c r="H3040" s="14">
        <f>VLOOKUP(E3040,'Rental Transaction'!A:B,2,FALSE)</f>
        <v>166612</v>
      </c>
      <c r="I3040">
        <f t="shared" si="47"/>
        <v>2013</v>
      </c>
    </row>
    <row r="3041" spans="1:9">
      <c r="A3041" s="1">
        <v>10103</v>
      </c>
      <c r="B3041" s="1">
        <v>6</v>
      </c>
      <c r="C3041" s="2">
        <v>41517</v>
      </c>
      <c r="D3041" s="1" t="s">
        <v>2002</v>
      </c>
      <c r="E3041" s="1">
        <v>101714</v>
      </c>
      <c r="F3041" s="6" t="s">
        <v>5043</v>
      </c>
      <c r="G3041" s="15" t="str">
        <f>VLOOKUP(A3041,Movie!A:D,4,FALSE)</f>
        <v>Fox</v>
      </c>
      <c r="H3041" s="14">
        <f>VLOOKUP(E3041,'Rental Transaction'!A:B,2,FALSE)</f>
        <v>166612</v>
      </c>
      <c r="I3041">
        <f t="shared" si="47"/>
        <v>2013</v>
      </c>
    </row>
    <row r="3042" spans="1:9" ht="29.25">
      <c r="A3042" s="1">
        <v>10239</v>
      </c>
      <c r="B3042" s="1">
        <v>3</v>
      </c>
      <c r="C3042" s="2">
        <v>41517</v>
      </c>
      <c r="D3042" s="1" t="s">
        <v>2005</v>
      </c>
      <c r="E3042" s="1">
        <v>101714</v>
      </c>
      <c r="F3042" s="6" t="s">
        <v>5044</v>
      </c>
      <c r="G3042" s="15" t="str">
        <f>VLOOKUP(A3042,Movie!A:D,4,FALSE)</f>
        <v>Weinstein Company</v>
      </c>
      <c r="H3042" s="14">
        <f>VLOOKUP(E3042,'Rental Transaction'!A:B,2,FALSE)</f>
        <v>166612</v>
      </c>
      <c r="I3042">
        <f t="shared" si="47"/>
        <v>2013</v>
      </c>
    </row>
    <row r="3043" spans="1:9">
      <c r="A3043" s="1">
        <v>10096</v>
      </c>
      <c r="B3043" s="1">
        <v>3</v>
      </c>
      <c r="C3043" s="2">
        <v>41516</v>
      </c>
      <c r="D3043" s="1" t="s">
        <v>2005</v>
      </c>
      <c r="E3043" s="1">
        <v>101715</v>
      </c>
      <c r="F3043" s="6" t="s">
        <v>5045</v>
      </c>
      <c r="G3043" s="15" t="str">
        <f>VLOOKUP(A3043,Movie!A:D,4,FALSE)</f>
        <v>Universal</v>
      </c>
      <c r="H3043" s="14">
        <f>VLOOKUP(E3043,'Rental Transaction'!A:B,2,FALSE)</f>
        <v>404678</v>
      </c>
      <c r="I3043">
        <f t="shared" si="47"/>
        <v>2013</v>
      </c>
    </row>
    <row r="3044" spans="1:9">
      <c r="A3044" s="1">
        <v>10070</v>
      </c>
      <c r="B3044" s="1">
        <v>3</v>
      </c>
      <c r="C3044" s="2">
        <v>41516</v>
      </c>
      <c r="D3044" s="1" t="s">
        <v>2002</v>
      </c>
      <c r="E3044" s="1">
        <v>101715</v>
      </c>
      <c r="F3044" s="6" t="s">
        <v>5046</v>
      </c>
      <c r="G3044" s="15" t="str">
        <f>VLOOKUP(A3044,Movie!A:D,4,FALSE)</f>
        <v>Paramount</v>
      </c>
      <c r="H3044" s="14">
        <f>VLOOKUP(E3044,'Rental Transaction'!A:B,2,FALSE)</f>
        <v>404678</v>
      </c>
      <c r="I3044">
        <f t="shared" si="47"/>
        <v>2013</v>
      </c>
    </row>
    <row r="3045" spans="1:9">
      <c r="A3045" s="1">
        <v>10047</v>
      </c>
      <c r="B3045" s="1">
        <v>9</v>
      </c>
      <c r="C3045" s="2">
        <v>41517</v>
      </c>
      <c r="D3045" s="1" t="s">
        <v>2005</v>
      </c>
      <c r="E3045" s="1">
        <v>101715</v>
      </c>
      <c r="F3045" s="6" t="s">
        <v>5047</v>
      </c>
      <c r="G3045" s="15" t="str">
        <f>VLOOKUP(A3045,Movie!A:D,4,FALSE)</f>
        <v>Warner Brothers</v>
      </c>
      <c r="H3045" s="14">
        <f>VLOOKUP(E3045,'Rental Transaction'!A:B,2,FALSE)</f>
        <v>404678</v>
      </c>
      <c r="I3045">
        <f t="shared" si="47"/>
        <v>2013</v>
      </c>
    </row>
    <row r="3046" spans="1:9">
      <c r="A3046" s="1">
        <v>10223</v>
      </c>
      <c r="B3046" s="1">
        <v>2</v>
      </c>
      <c r="C3046" s="2">
        <v>41516</v>
      </c>
      <c r="D3046" s="1" t="s">
        <v>2002</v>
      </c>
      <c r="E3046" s="1">
        <v>101716</v>
      </c>
      <c r="F3046" s="6" t="s">
        <v>5048</v>
      </c>
      <c r="G3046" s="15" t="str">
        <f>VLOOKUP(A3046,Movie!A:D,4,FALSE)</f>
        <v>Universal</v>
      </c>
      <c r="H3046" s="14">
        <f>VLOOKUP(E3046,'Rental Transaction'!A:B,2,FALSE)</f>
        <v>396166</v>
      </c>
      <c r="I3046">
        <f t="shared" si="47"/>
        <v>2013</v>
      </c>
    </row>
    <row r="3047" spans="1:9">
      <c r="A3047" s="1">
        <v>10255</v>
      </c>
      <c r="B3047" s="1">
        <v>5</v>
      </c>
      <c r="C3047" s="2">
        <v>41516</v>
      </c>
      <c r="D3047" s="1" t="s">
        <v>2005</v>
      </c>
      <c r="E3047" s="1">
        <v>101717</v>
      </c>
      <c r="F3047" s="6" t="s">
        <v>5049</v>
      </c>
      <c r="G3047" s="15" t="str">
        <f>VLOOKUP(A3047,Movie!A:D,4,FALSE)</f>
        <v>Paramount</v>
      </c>
      <c r="H3047" s="14">
        <f>VLOOKUP(E3047,'Rental Transaction'!A:B,2,FALSE)</f>
        <v>838924</v>
      </c>
      <c r="I3047">
        <f t="shared" si="47"/>
        <v>2013</v>
      </c>
    </row>
    <row r="3048" spans="1:9">
      <c r="A3048" s="1">
        <v>10089</v>
      </c>
      <c r="B3048" s="1">
        <v>6</v>
      </c>
      <c r="C3048" s="2">
        <v>41517</v>
      </c>
      <c r="D3048" s="1" t="s">
        <v>2005</v>
      </c>
      <c r="E3048" s="1">
        <v>101717</v>
      </c>
      <c r="F3048" s="6" t="s">
        <v>5050</v>
      </c>
      <c r="G3048" s="15" t="str">
        <f>VLOOKUP(A3048,Movie!A:D,4,FALSE)</f>
        <v>Sony</v>
      </c>
      <c r="H3048" s="14">
        <f>VLOOKUP(E3048,'Rental Transaction'!A:B,2,FALSE)</f>
        <v>838924</v>
      </c>
      <c r="I3048">
        <f t="shared" si="47"/>
        <v>2013</v>
      </c>
    </row>
    <row r="3049" spans="1:9">
      <c r="A3049" s="1">
        <v>10030</v>
      </c>
      <c r="B3049" s="1">
        <v>5</v>
      </c>
      <c r="C3049" s="2">
        <v>41516</v>
      </c>
      <c r="D3049" s="1" t="s">
        <v>2005</v>
      </c>
      <c r="E3049" s="1">
        <v>101718</v>
      </c>
      <c r="F3049" s="6" t="s">
        <v>5051</v>
      </c>
      <c r="G3049" s="15" t="str">
        <f>VLOOKUP(A3049,Movie!A:D,4,FALSE)</f>
        <v>Warner Brothers</v>
      </c>
      <c r="H3049" s="14">
        <f>VLOOKUP(E3049,'Rental Transaction'!A:B,2,FALSE)</f>
        <v>274541</v>
      </c>
      <c r="I3049">
        <f t="shared" si="47"/>
        <v>2013</v>
      </c>
    </row>
    <row r="3050" spans="1:9">
      <c r="A3050" s="1">
        <v>10188</v>
      </c>
      <c r="B3050" s="1">
        <v>7</v>
      </c>
      <c r="C3050" s="2">
        <v>41516</v>
      </c>
      <c r="D3050" s="1" t="s">
        <v>2002</v>
      </c>
      <c r="E3050" s="1">
        <v>101719</v>
      </c>
      <c r="F3050" s="6" t="s">
        <v>5052</v>
      </c>
      <c r="G3050" s="15" t="str">
        <f>VLOOKUP(A3050,Movie!A:D,4,FALSE)</f>
        <v>Paramount</v>
      </c>
      <c r="H3050" s="14">
        <f>VLOOKUP(E3050,'Rental Transaction'!A:B,2,FALSE)</f>
        <v>235720</v>
      </c>
      <c r="I3050">
        <f t="shared" si="47"/>
        <v>2013</v>
      </c>
    </row>
    <row r="3051" spans="1:9">
      <c r="A3051" s="1">
        <v>10261</v>
      </c>
      <c r="B3051" s="1">
        <v>2</v>
      </c>
      <c r="C3051" s="2">
        <v>41516</v>
      </c>
      <c r="D3051" s="1" t="s">
        <v>2002</v>
      </c>
      <c r="E3051" s="1">
        <v>101719</v>
      </c>
      <c r="F3051" s="6" t="s">
        <v>5053</v>
      </c>
      <c r="G3051" s="15" t="str">
        <f>VLOOKUP(A3051,Movie!A:D,4,FALSE)</f>
        <v>Fox</v>
      </c>
      <c r="H3051" s="14">
        <f>VLOOKUP(E3051,'Rental Transaction'!A:B,2,FALSE)</f>
        <v>235720</v>
      </c>
      <c r="I3051">
        <f t="shared" si="47"/>
        <v>2013</v>
      </c>
    </row>
    <row r="3052" spans="1:9">
      <c r="A3052" s="1">
        <v>10128</v>
      </c>
      <c r="B3052" s="1">
        <v>9</v>
      </c>
      <c r="C3052" s="2">
        <v>41516</v>
      </c>
      <c r="D3052" s="1" t="s">
        <v>2005</v>
      </c>
      <c r="E3052" s="1">
        <v>101720</v>
      </c>
      <c r="F3052" s="6" t="s">
        <v>5054</v>
      </c>
      <c r="G3052" s="15" t="str">
        <f>VLOOKUP(A3052,Movie!A:D,4,FALSE)</f>
        <v>TriStar</v>
      </c>
      <c r="H3052" s="14">
        <f>VLOOKUP(E3052,'Rental Transaction'!A:B,2,FALSE)</f>
        <v>586201</v>
      </c>
      <c r="I3052">
        <f t="shared" si="47"/>
        <v>2013</v>
      </c>
    </row>
    <row r="3053" spans="1:9">
      <c r="A3053" s="1">
        <v>10272</v>
      </c>
      <c r="B3053" s="1">
        <v>7</v>
      </c>
      <c r="C3053" s="2">
        <v>41516</v>
      </c>
      <c r="D3053" s="1" t="s">
        <v>2005</v>
      </c>
      <c r="E3053" s="1">
        <v>101721</v>
      </c>
      <c r="F3053" s="6" t="s">
        <v>5055</v>
      </c>
      <c r="G3053" s="15" t="str">
        <f>VLOOKUP(A3053,Movie!A:D,4,FALSE)</f>
        <v>Sony</v>
      </c>
      <c r="H3053" s="14">
        <f>VLOOKUP(E3053,'Rental Transaction'!A:B,2,FALSE)</f>
        <v>789065</v>
      </c>
      <c r="I3053">
        <f t="shared" si="47"/>
        <v>2013</v>
      </c>
    </row>
    <row r="3054" spans="1:9">
      <c r="A3054" s="1">
        <v>10221</v>
      </c>
      <c r="B3054" s="1">
        <v>6</v>
      </c>
      <c r="C3054" s="2">
        <v>41516</v>
      </c>
      <c r="D3054" s="1" t="s">
        <v>2002</v>
      </c>
      <c r="E3054" s="1">
        <v>101721</v>
      </c>
      <c r="F3054" s="6" t="s">
        <v>5056</v>
      </c>
      <c r="G3054" s="15" t="str">
        <f>VLOOKUP(A3054,Movie!A:D,4,FALSE)</f>
        <v>Fox</v>
      </c>
      <c r="H3054" s="14">
        <f>VLOOKUP(E3054,'Rental Transaction'!A:B,2,FALSE)</f>
        <v>789065</v>
      </c>
      <c r="I3054">
        <f t="shared" si="47"/>
        <v>2013</v>
      </c>
    </row>
    <row r="3055" spans="1:9">
      <c r="A3055" s="1">
        <v>10174</v>
      </c>
      <c r="B3055" s="1">
        <v>10</v>
      </c>
      <c r="C3055" s="2">
        <v>41516</v>
      </c>
      <c r="D3055" s="1" t="s">
        <v>2002</v>
      </c>
      <c r="E3055" s="1">
        <v>101722</v>
      </c>
      <c r="F3055" s="6" t="s">
        <v>5057</v>
      </c>
      <c r="G3055" s="15" t="str">
        <f>VLOOKUP(A3055,Movie!A:D,4,FALSE)</f>
        <v>Universal</v>
      </c>
      <c r="H3055" s="14">
        <f>VLOOKUP(E3055,'Rental Transaction'!A:B,2,FALSE)</f>
        <v>116690</v>
      </c>
      <c r="I3055">
        <f t="shared" si="47"/>
        <v>2013</v>
      </c>
    </row>
    <row r="3056" spans="1:9">
      <c r="A3056" s="1">
        <v>10074</v>
      </c>
      <c r="B3056" s="1">
        <v>8</v>
      </c>
      <c r="C3056" s="2">
        <v>41517</v>
      </c>
      <c r="D3056" s="1" t="s">
        <v>2005</v>
      </c>
      <c r="E3056" s="1">
        <v>101722</v>
      </c>
      <c r="F3056" s="6" t="s">
        <v>5058</v>
      </c>
      <c r="G3056" s="15" t="str">
        <f>VLOOKUP(A3056,Movie!A:D,4,FALSE)</f>
        <v>Open Road Films</v>
      </c>
      <c r="H3056" s="14">
        <f>VLOOKUP(E3056,'Rental Transaction'!A:B,2,FALSE)</f>
        <v>116690</v>
      </c>
      <c r="I3056">
        <f t="shared" si="47"/>
        <v>2013</v>
      </c>
    </row>
    <row r="3057" spans="1:9">
      <c r="A3057" s="1">
        <v>10002</v>
      </c>
      <c r="B3057" s="1">
        <v>8</v>
      </c>
      <c r="C3057" s="2">
        <v>41516</v>
      </c>
      <c r="D3057" s="1" t="s">
        <v>2002</v>
      </c>
      <c r="E3057" s="1">
        <v>101723</v>
      </c>
      <c r="F3057" s="6" t="s">
        <v>5059</v>
      </c>
      <c r="G3057" s="15" t="str">
        <f>VLOOKUP(A3057,Movie!A:D,4,FALSE)</f>
        <v>Lionsgate</v>
      </c>
      <c r="H3057" s="14">
        <f>VLOOKUP(E3057,'Rental Transaction'!A:B,2,FALSE)</f>
        <v>420981</v>
      </c>
      <c r="I3057">
        <f t="shared" si="47"/>
        <v>2013</v>
      </c>
    </row>
    <row r="3058" spans="1:9">
      <c r="A3058" s="1">
        <v>10106</v>
      </c>
      <c r="B3058" s="1">
        <v>9</v>
      </c>
      <c r="C3058" s="2">
        <v>41516</v>
      </c>
      <c r="D3058" s="1" t="s">
        <v>2005</v>
      </c>
      <c r="E3058" s="1">
        <v>101723</v>
      </c>
      <c r="F3058" s="6" t="s">
        <v>5060</v>
      </c>
      <c r="G3058" s="15" t="str">
        <f>VLOOKUP(A3058,Movie!A:D,4,FALSE)</f>
        <v>Fox</v>
      </c>
      <c r="H3058" s="14">
        <f>VLOOKUP(E3058,'Rental Transaction'!A:B,2,FALSE)</f>
        <v>420981</v>
      </c>
      <c r="I3058">
        <f t="shared" si="47"/>
        <v>2013</v>
      </c>
    </row>
    <row r="3059" spans="1:9">
      <c r="A3059" s="1">
        <v>10040</v>
      </c>
      <c r="B3059" s="1">
        <v>6</v>
      </c>
      <c r="C3059" s="2">
        <v>41517</v>
      </c>
      <c r="D3059" s="1" t="s">
        <v>2002</v>
      </c>
      <c r="E3059" s="1">
        <v>101724</v>
      </c>
      <c r="F3059" s="6" t="s">
        <v>5061</v>
      </c>
      <c r="G3059" s="15" t="str">
        <f>VLOOKUP(A3059,Movie!A:D,4,FALSE)</f>
        <v>Universal</v>
      </c>
      <c r="H3059" s="14">
        <f>VLOOKUP(E3059,'Rental Transaction'!A:B,2,FALSE)</f>
        <v>250266</v>
      </c>
      <c r="I3059">
        <f t="shared" si="47"/>
        <v>2013</v>
      </c>
    </row>
    <row r="3060" spans="1:9">
      <c r="A3060" s="1">
        <v>10291</v>
      </c>
      <c r="B3060" s="1">
        <v>7</v>
      </c>
      <c r="C3060" s="2">
        <v>41516</v>
      </c>
      <c r="D3060" s="1" t="s">
        <v>2002</v>
      </c>
      <c r="E3060" s="1">
        <v>101725</v>
      </c>
      <c r="F3060" s="6" t="s">
        <v>5062</v>
      </c>
      <c r="G3060" s="15" t="str">
        <f>VLOOKUP(A3060,Movie!A:D,4,FALSE)</f>
        <v>Warner Brothers</v>
      </c>
      <c r="H3060" s="14">
        <f>VLOOKUP(E3060,'Rental Transaction'!A:B,2,FALSE)</f>
        <v>689877</v>
      </c>
      <c r="I3060">
        <f t="shared" si="47"/>
        <v>2013</v>
      </c>
    </row>
    <row r="3061" spans="1:9">
      <c r="A3061" s="1">
        <v>10128</v>
      </c>
      <c r="B3061" s="1">
        <v>10</v>
      </c>
      <c r="C3061" s="2">
        <v>41516</v>
      </c>
      <c r="D3061" s="1" t="s">
        <v>2002</v>
      </c>
      <c r="E3061" s="1">
        <v>101725</v>
      </c>
      <c r="F3061" s="6" t="s">
        <v>5063</v>
      </c>
      <c r="G3061" s="15" t="str">
        <f>VLOOKUP(A3061,Movie!A:D,4,FALSE)</f>
        <v>TriStar</v>
      </c>
      <c r="H3061" s="14">
        <f>VLOOKUP(E3061,'Rental Transaction'!A:B,2,FALSE)</f>
        <v>689877</v>
      </c>
      <c r="I3061">
        <f t="shared" si="47"/>
        <v>2013</v>
      </c>
    </row>
    <row r="3062" spans="1:9" ht="29.25">
      <c r="A3062" s="1">
        <v>10028</v>
      </c>
      <c r="B3062" s="1">
        <v>8</v>
      </c>
      <c r="C3062" s="2">
        <v>41516</v>
      </c>
      <c r="D3062" s="1" t="s">
        <v>2005</v>
      </c>
      <c r="E3062" s="1">
        <v>101725</v>
      </c>
      <c r="F3062" s="6" t="s">
        <v>5064</v>
      </c>
      <c r="G3062" s="15" t="str">
        <f>VLOOKUP(A3062,Movie!A:D,4,FALSE)</f>
        <v>Summit Entertainment</v>
      </c>
      <c r="H3062" s="14">
        <f>VLOOKUP(E3062,'Rental Transaction'!A:B,2,FALSE)</f>
        <v>689877</v>
      </c>
      <c r="I3062">
        <f t="shared" si="47"/>
        <v>2013</v>
      </c>
    </row>
    <row r="3063" spans="1:9">
      <c r="A3063" s="1">
        <v>10267</v>
      </c>
      <c r="B3063" s="1">
        <v>2</v>
      </c>
      <c r="C3063" s="2">
        <v>41518</v>
      </c>
      <c r="D3063" s="1" t="s">
        <v>2002</v>
      </c>
      <c r="E3063" s="1">
        <v>101726</v>
      </c>
      <c r="F3063" s="6" t="s">
        <v>5065</v>
      </c>
      <c r="G3063" s="15" t="str">
        <f>VLOOKUP(A3063,Movie!A:D,4,FALSE)</f>
        <v>TriStar</v>
      </c>
      <c r="H3063" s="14">
        <f>VLOOKUP(E3063,'Rental Transaction'!A:B,2,FALSE)</f>
        <v>230467</v>
      </c>
      <c r="I3063">
        <f t="shared" si="47"/>
        <v>2013</v>
      </c>
    </row>
    <row r="3064" spans="1:9" ht="29.25">
      <c r="A3064" s="1">
        <v>10136</v>
      </c>
      <c r="B3064" s="1">
        <v>9</v>
      </c>
      <c r="C3064" s="2">
        <v>41518</v>
      </c>
      <c r="D3064" s="1" t="s">
        <v>2002</v>
      </c>
      <c r="E3064" s="1">
        <v>101727</v>
      </c>
      <c r="F3064" s="6" t="s">
        <v>5066</v>
      </c>
      <c r="G3064" s="15" t="str">
        <f>VLOOKUP(A3064,Movie!A:D,4,FALSE)</f>
        <v>Weinstein Company</v>
      </c>
      <c r="H3064" s="14">
        <f>VLOOKUP(E3064,'Rental Transaction'!A:B,2,FALSE)</f>
        <v>678940</v>
      </c>
      <c r="I3064">
        <f t="shared" si="47"/>
        <v>2013</v>
      </c>
    </row>
    <row r="3065" spans="1:9">
      <c r="A3065" s="1">
        <v>10191</v>
      </c>
      <c r="B3065" s="1">
        <v>1</v>
      </c>
      <c r="C3065" s="2">
        <v>41517</v>
      </c>
      <c r="D3065" s="1" t="s">
        <v>2005</v>
      </c>
      <c r="E3065" s="1">
        <v>101727</v>
      </c>
      <c r="F3065" s="6" t="s">
        <v>5067</v>
      </c>
      <c r="G3065" s="15" t="str">
        <f>VLOOKUP(A3065,Movie!A:D,4,FALSE)</f>
        <v>Universal</v>
      </c>
      <c r="H3065" s="14">
        <f>VLOOKUP(E3065,'Rental Transaction'!A:B,2,FALSE)</f>
        <v>678940</v>
      </c>
      <c r="I3065">
        <f t="shared" si="47"/>
        <v>2013</v>
      </c>
    </row>
    <row r="3066" spans="1:9">
      <c r="A3066" s="1">
        <v>10280</v>
      </c>
      <c r="B3066" s="1">
        <v>6</v>
      </c>
      <c r="C3066" s="2">
        <v>41517</v>
      </c>
      <c r="D3066" s="1" t="s">
        <v>2005</v>
      </c>
      <c r="E3066" s="1">
        <v>101728</v>
      </c>
      <c r="F3066" s="6" t="s">
        <v>5068</v>
      </c>
      <c r="G3066" s="15" t="str">
        <f>VLOOKUP(A3066,Movie!A:D,4,FALSE)</f>
        <v>Universal</v>
      </c>
      <c r="H3066" s="14">
        <f>VLOOKUP(E3066,'Rental Transaction'!A:B,2,FALSE)</f>
        <v>608290</v>
      </c>
      <c r="I3066">
        <f t="shared" si="47"/>
        <v>2013</v>
      </c>
    </row>
    <row r="3067" spans="1:9">
      <c r="A3067" s="1">
        <v>10260</v>
      </c>
      <c r="B3067" s="1">
        <v>9</v>
      </c>
      <c r="C3067" s="2">
        <v>41517</v>
      </c>
      <c r="D3067" s="1" t="s">
        <v>2005</v>
      </c>
      <c r="E3067" s="1">
        <v>101729</v>
      </c>
      <c r="F3067" s="6" t="s">
        <v>5069</v>
      </c>
      <c r="G3067" s="15" t="str">
        <f>VLOOKUP(A3067,Movie!A:D,4,FALSE)</f>
        <v>Sony</v>
      </c>
      <c r="H3067" s="14">
        <f>VLOOKUP(E3067,'Rental Transaction'!A:B,2,FALSE)</f>
        <v>797968</v>
      </c>
      <c r="I3067">
        <f t="shared" si="47"/>
        <v>2013</v>
      </c>
    </row>
    <row r="3068" spans="1:9">
      <c r="A3068" s="1">
        <v>10049</v>
      </c>
      <c r="B3068" s="1">
        <v>2</v>
      </c>
      <c r="C3068" s="2">
        <v>41517</v>
      </c>
      <c r="D3068" s="1" t="s">
        <v>2005</v>
      </c>
      <c r="E3068" s="1">
        <v>101730</v>
      </c>
      <c r="F3068" s="6" t="s">
        <v>5070</v>
      </c>
      <c r="G3068" s="15" t="str">
        <f>VLOOKUP(A3068,Movie!A:D,4,FALSE)</f>
        <v>Universal</v>
      </c>
      <c r="H3068" s="14">
        <f>VLOOKUP(E3068,'Rental Transaction'!A:B,2,FALSE)</f>
        <v>941876</v>
      </c>
      <c r="I3068">
        <f t="shared" si="47"/>
        <v>2013</v>
      </c>
    </row>
    <row r="3069" spans="1:9">
      <c r="A3069" s="1">
        <v>10002</v>
      </c>
      <c r="B3069" s="1">
        <v>2</v>
      </c>
      <c r="C3069" s="2">
        <v>41517</v>
      </c>
      <c r="D3069" s="1" t="s">
        <v>2002</v>
      </c>
      <c r="E3069" s="1">
        <v>101730</v>
      </c>
      <c r="F3069" s="6" t="s">
        <v>5071</v>
      </c>
      <c r="G3069" s="15" t="str">
        <f>VLOOKUP(A3069,Movie!A:D,4,FALSE)</f>
        <v>Lionsgate</v>
      </c>
      <c r="H3069" s="14">
        <f>VLOOKUP(E3069,'Rental Transaction'!A:B,2,FALSE)</f>
        <v>941876</v>
      </c>
      <c r="I3069">
        <f t="shared" si="47"/>
        <v>2013</v>
      </c>
    </row>
    <row r="3070" spans="1:9">
      <c r="A3070" s="1">
        <v>10195</v>
      </c>
      <c r="B3070" s="1">
        <v>10</v>
      </c>
      <c r="C3070" s="2">
        <v>41517</v>
      </c>
      <c r="D3070" s="1" t="s">
        <v>2002</v>
      </c>
      <c r="E3070" s="1">
        <v>101731</v>
      </c>
      <c r="F3070" s="6" t="s">
        <v>5072</v>
      </c>
      <c r="G3070" s="15" t="str">
        <f>VLOOKUP(A3070,Movie!A:D,4,FALSE)</f>
        <v>Sony</v>
      </c>
      <c r="H3070" s="14">
        <f>VLOOKUP(E3070,'Rental Transaction'!A:B,2,FALSE)</f>
        <v>847289</v>
      </c>
      <c r="I3070">
        <f t="shared" si="47"/>
        <v>2013</v>
      </c>
    </row>
    <row r="3071" spans="1:9">
      <c r="A3071" s="1">
        <v>10092</v>
      </c>
      <c r="B3071" s="1">
        <v>5</v>
      </c>
      <c r="C3071" s="2">
        <v>41518</v>
      </c>
      <c r="D3071" s="1" t="s">
        <v>2005</v>
      </c>
      <c r="E3071" s="1">
        <v>101731</v>
      </c>
      <c r="F3071" s="6" t="s">
        <v>5073</v>
      </c>
      <c r="G3071" s="15" t="str">
        <f>VLOOKUP(A3071,Movie!A:D,4,FALSE)</f>
        <v>Warner Brothers</v>
      </c>
      <c r="H3071" s="14">
        <f>VLOOKUP(E3071,'Rental Transaction'!A:B,2,FALSE)</f>
        <v>847289</v>
      </c>
      <c r="I3071">
        <f t="shared" si="47"/>
        <v>2013</v>
      </c>
    </row>
    <row r="3072" spans="1:9">
      <c r="A3072" s="1">
        <v>10023</v>
      </c>
      <c r="B3072" s="1">
        <v>2</v>
      </c>
      <c r="C3072" s="2">
        <v>41519</v>
      </c>
      <c r="D3072" s="1" t="s">
        <v>2002</v>
      </c>
      <c r="E3072" s="1">
        <v>101731</v>
      </c>
      <c r="F3072" s="6" t="s">
        <v>5074</v>
      </c>
      <c r="G3072" s="15" t="str">
        <f>VLOOKUP(A3072,Movie!A:D,4,FALSE)</f>
        <v>Buena Vista</v>
      </c>
      <c r="H3072" s="14">
        <f>VLOOKUP(E3072,'Rental Transaction'!A:B,2,FALSE)</f>
        <v>847289</v>
      </c>
      <c r="I3072">
        <f t="shared" si="47"/>
        <v>2013</v>
      </c>
    </row>
    <row r="3073" spans="1:9">
      <c r="A3073" s="1">
        <v>10109</v>
      </c>
      <c r="B3073" s="1">
        <v>9</v>
      </c>
      <c r="C3073" s="2">
        <v>41517</v>
      </c>
      <c r="D3073" s="1" t="s">
        <v>2005</v>
      </c>
      <c r="E3073" s="1">
        <v>101732</v>
      </c>
      <c r="F3073" s="6" t="s">
        <v>5075</v>
      </c>
      <c r="G3073" s="15" t="str">
        <f>VLOOKUP(A3073,Movie!A:D,4,FALSE)</f>
        <v>Warner Brothers</v>
      </c>
      <c r="H3073" s="14">
        <f>VLOOKUP(E3073,'Rental Transaction'!A:B,2,FALSE)</f>
        <v>924947</v>
      </c>
      <c r="I3073">
        <f t="shared" si="47"/>
        <v>2013</v>
      </c>
    </row>
    <row r="3074" spans="1:9" ht="29.25">
      <c r="A3074" s="1">
        <v>10136</v>
      </c>
      <c r="B3074" s="1">
        <v>3</v>
      </c>
      <c r="C3074" s="2">
        <v>41518</v>
      </c>
      <c r="D3074" s="1" t="s">
        <v>2002</v>
      </c>
      <c r="E3074" s="1">
        <v>101733</v>
      </c>
      <c r="F3074" s="6" t="s">
        <v>5076</v>
      </c>
      <c r="G3074" s="15" t="str">
        <f>VLOOKUP(A3074,Movie!A:D,4,FALSE)</f>
        <v>Weinstein Company</v>
      </c>
      <c r="H3074" s="14">
        <f>VLOOKUP(E3074,'Rental Transaction'!A:B,2,FALSE)</f>
        <v>192738</v>
      </c>
      <c r="I3074">
        <f t="shared" si="47"/>
        <v>2013</v>
      </c>
    </row>
    <row r="3075" spans="1:9">
      <c r="A3075" s="1">
        <v>10202</v>
      </c>
      <c r="B3075" s="1">
        <v>10</v>
      </c>
      <c r="C3075" s="2">
        <v>41518</v>
      </c>
      <c r="D3075" s="1" t="s">
        <v>2002</v>
      </c>
      <c r="E3075" s="1">
        <v>101733</v>
      </c>
      <c r="F3075" s="6" t="s">
        <v>5077</v>
      </c>
      <c r="G3075" s="15" t="str">
        <f>VLOOKUP(A3075,Movie!A:D,4,FALSE)</f>
        <v>Warner Brothers</v>
      </c>
      <c r="H3075" s="14">
        <f>VLOOKUP(E3075,'Rental Transaction'!A:B,2,FALSE)</f>
        <v>192738</v>
      </c>
      <c r="I3075">
        <f t="shared" ref="I3075:I3138" si="48">YEAR(C3075)</f>
        <v>2013</v>
      </c>
    </row>
    <row r="3076" spans="1:9">
      <c r="A3076" s="1">
        <v>10222</v>
      </c>
      <c r="B3076" s="1">
        <v>3</v>
      </c>
      <c r="C3076" s="2">
        <v>41517</v>
      </c>
      <c r="D3076" s="1" t="s">
        <v>2002</v>
      </c>
      <c r="E3076" s="1">
        <v>101734</v>
      </c>
      <c r="F3076" s="6" t="s">
        <v>5078</v>
      </c>
      <c r="G3076" s="15" t="str">
        <f>VLOOKUP(A3076,Movie!A:D,4,FALSE)</f>
        <v>Sony</v>
      </c>
      <c r="H3076" s="14">
        <f>VLOOKUP(E3076,'Rental Transaction'!A:B,2,FALSE)</f>
        <v>145929</v>
      </c>
      <c r="I3076">
        <f t="shared" si="48"/>
        <v>2013</v>
      </c>
    </row>
    <row r="3077" spans="1:9">
      <c r="A3077" s="1">
        <v>10187</v>
      </c>
      <c r="B3077" s="1">
        <v>8</v>
      </c>
      <c r="C3077" s="2">
        <v>41517</v>
      </c>
      <c r="D3077" s="1" t="s">
        <v>2002</v>
      </c>
      <c r="E3077" s="1">
        <v>101735</v>
      </c>
      <c r="F3077" s="6" t="s">
        <v>5079</v>
      </c>
      <c r="G3077" s="15" t="str">
        <f>VLOOKUP(A3077,Movie!A:D,4,FALSE)</f>
        <v>Paramount</v>
      </c>
      <c r="H3077" s="14">
        <f>VLOOKUP(E3077,'Rental Transaction'!A:B,2,FALSE)</f>
        <v>772690</v>
      </c>
      <c r="I3077">
        <f t="shared" si="48"/>
        <v>2013</v>
      </c>
    </row>
    <row r="3078" spans="1:9">
      <c r="A3078" s="1">
        <v>10243</v>
      </c>
      <c r="B3078" s="1">
        <v>4</v>
      </c>
      <c r="C3078" s="2">
        <v>41517</v>
      </c>
      <c r="D3078" s="1" t="s">
        <v>2002</v>
      </c>
      <c r="E3078" s="1">
        <v>101736</v>
      </c>
      <c r="F3078" s="6" t="s">
        <v>5080</v>
      </c>
      <c r="G3078" s="15" t="str">
        <f>VLOOKUP(A3078,Movie!A:D,4,FALSE)</f>
        <v>Fox</v>
      </c>
      <c r="H3078" s="14">
        <f>VLOOKUP(E3078,'Rental Transaction'!A:B,2,FALSE)</f>
        <v>317807</v>
      </c>
      <c r="I3078">
        <f t="shared" si="48"/>
        <v>2013</v>
      </c>
    </row>
    <row r="3079" spans="1:9">
      <c r="A3079" s="1">
        <v>10233</v>
      </c>
      <c r="B3079" s="1">
        <v>9</v>
      </c>
      <c r="C3079" s="2">
        <v>41517</v>
      </c>
      <c r="D3079" s="1" t="s">
        <v>2005</v>
      </c>
      <c r="E3079" s="1">
        <v>101736</v>
      </c>
      <c r="F3079" s="6" t="s">
        <v>5081</v>
      </c>
      <c r="G3079" s="15" t="str">
        <f>VLOOKUP(A3079,Movie!A:D,4,FALSE)</f>
        <v>Screen Gems</v>
      </c>
      <c r="H3079" s="14">
        <f>VLOOKUP(E3079,'Rental Transaction'!A:B,2,FALSE)</f>
        <v>317807</v>
      </c>
      <c r="I3079">
        <f t="shared" si="48"/>
        <v>2013</v>
      </c>
    </row>
    <row r="3080" spans="1:9">
      <c r="A3080" s="1">
        <v>10237</v>
      </c>
      <c r="B3080" s="1">
        <v>4</v>
      </c>
      <c r="C3080" s="2">
        <v>41517</v>
      </c>
      <c r="D3080" s="1" t="s">
        <v>2005</v>
      </c>
      <c r="E3080" s="1">
        <v>101736</v>
      </c>
      <c r="F3080" s="6" t="s">
        <v>5082</v>
      </c>
      <c r="G3080" s="15" t="str">
        <f>VLOOKUP(A3080,Movie!A:D,4,FALSE)</f>
        <v>Warner Brothers</v>
      </c>
      <c r="H3080" s="14">
        <f>VLOOKUP(E3080,'Rental Transaction'!A:B,2,FALSE)</f>
        <v>317807</v>
      </c>
      <c r="I3080">
        <f t="shared" si="48"/>
        <v>2013</v>
      </c>
    </row>
    <row r="3081" spans="1:9">
      <c r="A3081" s="1">
        <v>10138</v>
      </c>
      <c r="B3081" s="1">
        <v>5</v>
      </c>
      <c r="C3081" s="2">
        <v>41517</v>
      </c>
      <c r="D3081" s="1" t="s">
        <v>2005</v>
      </c>
      <c r="E3081" s="1">
        <v>101737</v>
      </c>
      <c r="F3081" s="6" t="s">
        <v>5083</v>
      </c>
      <c r="G3081" s="15" t="str">
        <f>VLOOKUP(A3081,Movie!A:D,4,FALSE)</f>
        <v>Universal</v>
      </c>
      <c r="H3081" s="14">
        <f>VLOOKUP(E3081,'Rental Transaction'!A:B,2,FALSE)</f>
        <v>448993</v>
      </c>
      <c r="I3081">
        <f t="shared" si="48"/>
        <v>2013</v>
      </c>
    </row>
    <row r="3082" spans="1:9">
      <c r="A3082" s="1">
        <v>10168</v>
      </c>
      <c r="B3082" s="1">
        <v>7</v>
      </c>
      <c r="C3082" s="2">
        <v>41518</v>
      </c>
      <c r="D3082" s="1" t="s">
        <v>2005</v>
      </c>
      <c r="E3082" s="1">
        <v>101738</v>
      </c>
      <c r="F3082" s="6" t="s">
        <v>5084</v>
      </c>
      <c r="G3082" s="15" t="str">
        <f>VLOOKUP(A3082,Movie!A:D,4,FALSE)</f>
        <v>Paramount</v>
      </c>
      <c r="H3082" s="14">
        <f>VLOOKUP(E3082,'Rental Transaction'!A:B,2,FALSE)</f>
        <v>168607</v>
      </c>
      <c r="I3082">
        <f t="shared" si="48"/>
        <v>2013</v>
      </c>
    </row>
    <row r="3083" spans="1:9">
      <c r="A3083" s="1">
        <v>10157</v>
      </c>
      <c r="B3083" s="1">
        <v>9</v>
      </c>
      <c r="C3083" s="2">
        <v>41517</v>
      </c>
      <c r="D3083" s="1" t="s">
        <v>2002</v>
      </c>
      <c r="E3083" s="1">
        <v>101739</v>
      </c>
      <c r="F3083" s="6" t="s">
        <v>5085</v>
      </c>
      <c r="G3083" s="15" t="str">
        <f>VLOOKUP(A3083,Movie!A:D,4,FALSE)</f>
        <v>Paramount</v>
      </c>
      <c r="H3083" s="14">
        <f>VLOOKUP(E3083,'Rental Transaction'!A:B,2,FALSE)</f>
        <v>678940</v>
      </c>
      <c r="I3083">
        <f t="shared" si="48"/>
        <v>2013</v>
      </c>
    </row>
    <row r="3084" spans="1:9">
      <c r="A3084" s="1">
        <v>10179</v>
      </c>
      <c r="B3084" s="1">
        <v>7</v>
      </c>
      <c r="C3084" s="2">
        <v>41517</v>
      </c>
      <c r="D3084" s="1" t="s">
        <v>2005</v>
      </c>
      <c r="E3084" s="1">
        <v>101739</v>
      </c>
      <c r="F3084" s="6" t="s">
        <v>5086</v>
      </c>
      <c r="G3084" s="15" t="str">
        <f>VLOOKUP(A3084,Movie!A:D,4,FALSE)</f>
        <v>Warner Brothers</v>
      </c>
      <c r="H3084" s="14">
        <f>VLOOKUP(E3084,'Rental Transaction'!A:B,2,FALSE)</f>
        <v>678940</v>
      </c>
      <c r="I3084">
        <f t="shared" si="48"/>
        <v>2013</v>
      </c>
    </row>
    <row r="3085" spans="1:9">
      <c r="A3085" s="1">
        <v>10196</v>
      </c>
      <c r="B3085" s="1">
        <v>8</v>
      </c>
      <c r="C3085" s="2">
        <v>41518</v>
      </c>
      <c r="D3085" s="1" t="s">
        <v>2005</v>
      </c>
      <c r="E3085" s="1">
        <v>101740</v>
      </c>
      <c r="F3085" s="6" t="s">
        <v>5087</v>
      </c>
      <c r="G3085" s="15" t="str">
        <f>VLOOKUP(A3085,Movie!A:D,4,FALSE)</f>
        <v>Fox</v>
      </c>
      <c r="H3085" s="14">
        <f>VLOOKUP(E3085,'Rental Transaction'!A:B,2,FALSE)</f>
        <v>383684</v>
      </c>
      <c r="I3085">
        <f t="shared" si="48"/>
        <v>2013</v>
      </c>
    </row>
    <row r="3086" spans="1:9">
      <c r="A3086" s="1">
        <v>10032</v>
      </c>
      <c r="B3086" s="1">
        <v>4</v>
      </c>
      <c r="C3086" s="2">
        <v>41517</v>
      </c>
      <c r="D3086" s="1" t="s">
        <v>2002</v>
      </c>
      <c r="E3086" s="1">
        <v>101740</v>
      </c>
      <c r="F3086" s="6" t="s">
        <v>5088</v>
      </c>
      <c r="G3086" s="15" t="str">
        <f>VLOOKUP(A3086,Movie!A:D,4,FALSE)</f>
        <v>Sony</v>
      </c>
      <c r="H3086" s="14">
        <f>VLOOKUP(E3086,'Rental Transaction'!A:B,2,FALSE)</f>
        <v>383684</v>
      </c>
      <c r="I3086">
        <f t="shared" si="48"/>
        <v>2013</v>
      </c>
    </row>
    <row r="3087" spans="1:9">
      <c r="A3087" s="1">
        <v>10026</v>
      </c>
      <c r="B3087" s="1">
        <v>3</v>
      </c>
      <c r="C3087" s="2">
        <v>41519</v>
      </c>
      <c r="D3087" s="1" t="s">
        <v>2002</v>
      </c>
      <c r="E3087" s="1">
        <v>101741</v>
      </c>
      <c r="F3087" s="6" t="s">
        <v>5089</v>
      </c>
      <c r="G3087" s="15" t="str">
        <f>VLOOKUP(A3087,Movie!A:D,4,FALSE)</f>
        <v>Fox</v>
      </c>
      <c r="H3087" s="14">
        <f>VLOOKUP(E3087,'Rental Transaction'!A:B,2,FALSE)</f>
        <v>143878</v>
      </c>
      <c r="I3087">
        <f t="shared" si="48"/>
        <v>2013</v>
      </c>
    </row>
    <row r="3088" spans="1:9">
      <c r="A3088" s="1">
        <v>10274</v>
      </c>
      <c r="B3088" s="1">
        <v>9</v>
      </c>
      <c r="C3088" s="2">
        <v>41518</v>
      </c>
      <c r="D3088" s="1" t="s">
        <v>2002</v>
      </c>
      <c r="E3088" s="1">
        <v>101742</v>
      </c>
      <c r="F3088" s="6" t="s">
        <v>5090</v>
      </c>
      <c r="G3088" s="15" t="str">
        <f>VLOOKUP(A3088,Movie!A:D,4,FALSE)</f>
        <v>Fox</v>
      </c>
      <c r="H3088" s="14">
        <f>VLOOKUP(E3088,'Rental Transaction'!A:B,2,FALSE)</f>
        <v>622131</v>
      </c>
      <c r="I3088">
        <f t="shared" si="48"/>
        <v>2013</v>
      </c>
    </row>
    <row r="3089" spans="1:9">
      <c r="A3089" s="1">
        <v>10163</v>
      </c>
      <c r="B3089" s="1">
        <v>8</v>
      </c>
      <c r="C3089" s="2">
        <v>41517</v>
      </c>
      <c r="D3089" s="1" t="s">
        <v>2005</v>
      </c>
      <c r="E3089" s="1">
        <v>101743</v>
      </c>
      <c r="F3089" s="6" t="s">
        <v>5091</v>
      </c>
      <c r="G3089" s="15" t="str">
        <f>VLOOKUP(A3089,Movie!A:D,4,FALSE)</f>
        <v>Warner Brothers</v>
      </c>
      <c r="H3089" s="14">
        <f>VLOOKUP(E3089,'Rental Transaction'!A:B,2,FALSE)</f>
        <v>111486</v>
      </c>
      <c r="I3089">
        <f t="shared" si="48"/>
        <v>2013</v>
      </c>
    </row>
    <row r="3090" spans="1:9">
      <c r="A3090" s="1">
        <v>10088</v>
      </c>
      <c r="B3090" s="1">
        <v>9</v>
      </c>
      <c r="C3090" s="2">
        <v>41518</v>
      </c>
      <c r="D3090" s="1" t="s">
        <v>2002</v>
      </c>
      <c r="E3090" s="1">
        <v>101744</v>
      </c>
      <c r="F3090" s="6" t="s">
        <v>5092</v>
      </c>
      <c r="G3090" s="15" t="str">
        <f>VLOOKUP(A3090,Movie!A:D,4,FALSE)</f>
        <v>Warner Brothers</v>
      </c>
      <c r="H3090" s="14">
        <f>VLOOKUP(E3090,'Rental Transaction'!A:B,2,FALSE)</f>
        <v>565259</v>
      </c>
      <c r="I3090">
        <f t="shared" si="48"/>
        <v>2013</v>
      </c>
    </row>
    <row r="3091" spans="1:9">
      <c r="A3091" s="1">
        <v>10263</v>
      </c>
      <c r="B3091" s="1">
        <v>10</v>
      </c>
      <c r="C3091" s="2">
        <v>41518</v>
      </c>
      <c r="D3091" s="1" t="s">
        <v>2002</v>
      </c>
      <c r="E3091" s="1">
        <v>101745</v>
      </c>
      <c r="F3091" s="6" t="s">
        <v>5093</v>
      </c>
      <c r="G3091" s="15" t="str">
        <f>VLOOKUP(A3091,Movie!A:D,4,FALSE)</f>
        <v>Fox</v>
      </c>
      <c r="H3091" s="14">
        <f>VLOOKUP(E3091,'Rental Transaction'!A:B,2,FALSE)</f>
        <v>270853</v>
      </c>
      <c r="I3091">
        <f t="shared" si="48"/>
        <v>2013</v>
      </c>
    </row>
    <row r="3092" spans="1:9">
      <c r="A3092" s="1">
        <v>10160</v>
      </c>
      <c r="B3092" s="1">
        <v>10</v>
      </c>
      <c r="C3092" s="2">
        <v>41520</v>
      </c>
      <c r="D3092" s="1" t="s">
        <v>2002</v>
      </c>
      <c r="E3092" s="1">
        <v>101746</v>
      </c>
      <c r="F3092" s="6" t="s">
        <v>5094</v>
      </c>
      <c r="G3092" s="15" t="str">
        <f>VLOOKUP(A3092,Movie!A:D,4,FALSE)</f>
        <v>Lionsgate</v>
      </c>
      <c r="H3092" s="14">
        <f>VLOOKUP(E3092,'Rental Transaction'!A:B,2,FALSE)</f>
        <v>515790</v>
      </c>
      <c r="I3092">
        <f t="shared" si="48"/>
        <v>2013</v>
      </c>
    </row>
    <row r="3093" spans="1:9">
      <c r="A3093" s="1">
        <v>10186</v>
      </c>
      <c r="B3093" s="1">
        <v>6</v>
      </c>
      <c r="C3093" s="2">
        <v>41518</v>
      </c>
      <c r="D3093" s="1" t="s">
        <v>2002</v>
      </c>
      <c r="E3093" s="1">
        <v>101746</v>
      </c>
      <c r="F3093" s="6" t="s">
        <v>5095</v>
      </c>
      <c r="G3093" s="15" t="str">
        <f>VLOOKUP(A3093,Movie!A:D,4,FALSE)</f>
        <v>Lionsgate</v>
      </c>
      <c r="H3093" s="14">
        <f>VLOOKUP(E3093,'Rental Transaction'!A:B,2,FALSE)</f>
        <v>515790</v>
      </c>
      <c r="I3093">
        <f t="shared" si="48"/>
        <v>2013</v>
      </c>
    </row>
    <row r="3094" spans="1:9">
      <c r="A3094" s="1">
        <v>10009</v>
      </c>
      <c r="B3094" s="1">
        <v>1</v>
      </c>
      <c r="C3094" s="2">
        <v>41518</v>
      </c>
      <c r="D3094" s="1" t="s">
        <v>2005</v>
      </c>
      <c r="E3094" s="1">
        <v>101746</v>
      </c>
      <c r="F3094" s="6" t="s">
        <v>5096</v>
      </c>
      <c r="G3094" s="15" t="str">
        <f>VLOOKUP(A3094,Movie!A:D,4,FALSE)</f>
        <v>Warner Brothers</v>
      </c>
      <c r="H3094" s="14">
        <f>VLOOKUP(E3094,'Rental Transaction'!A:B,2,FALSE)</f>
        <v>515790</v>
      </c>
      <c r="I3094">
        <f t="shared" si="48"/>
        <v>2013</v>
      </c>
    </row>
    <row r="3095" spans="1:9">
      <c r="A3095" s="1">
        <v>10070</v>
      </c>
      <c r="B3095" s="1">
        <v>4</v>
      </c>
      <c r="C3095" s="2">
        <v>41518</v>
      </c>
      <c r="D3095" s="1" t="s">
        <v>2005</v>
      </c>
      <c r="E3095" s="1">
        <v>101747</v>
      </c>
      <c r="F3095" s="6" t="s">
        <v>5097</v>
      </c>
      <c r="G3095" s="15" t="str">
        <f>VLOOKUP(A3095,Movie!A:D,4,FALSE)</f>
        <v>Paramount</v>
      </c>
      <c r="H3095" s="14">
        <f>VLOOKUP(E3095,'Rental Transaction'!A:B,2,FALSE)</f>
        <v>924361</v>
      </c>
      <c r="I3095">
        <f t="shared" si="48"/>
        <v>2013</v>
      </c>
    </row>
    <row r="3096" spans="1:9">
      <c r="A3096" s="1">
        <v>10204</v>
      </c>
      <c r="B3096" s="1">
        <v>1</v>
      </c>
      <c r="C3096" s="2">
        <v>41518</v>
      </c>
      <c r="D3096" s="1" t="s">
        <v>2005</v>
      </c>
      <c r="E3096" s="1">
        <v>101748</v>
      </c>
      <c r="F3096" s="6" t="s">
        <v>5098</v>
      </c>
      <c r="G3096" s="15" t="str">
        <f>VLOOKUP(A3096,Movie!A:D,4,FALSE)</f>
        <v>Universal</v>
      </c>
      <c r="H3096" s="14">
        <f>VLOOKUP(E3096,'Rental Transaction'!A:B,2,FALSE)</f>
        <v>702197</v>
      </c>
      <c r="I3096">
        <f t="shared" si="48"/>
        <v>2013</v>
      </c>
    </row>
    <row r="3097" spans="1:9">
      <c r="A3097" s="1">
        <v>10090</v>
      </c>
      <c r="B3097" s="1">
        <v>10</v>
      </c>
      <c r="C3097" s="2">
        <v>41519</v>
      </c>
      <c r="D3097" s="1" t="s">
        <v>2002</v>
      </c>
      <c r="E3097" s="1">
        <v>101748</v>
      </c>
      <c r="F3097" s="6" t="s">
        <v>5099</v>
      </c>
      <c r="G3097" s="15" t="str">
        <f>VLOOKUP(A3097,Movie!A:D,4,FALSE)</f>
        <v>Paramount</v>
      </c>
      <c r="H3097" s="14">
        <f>VLOOKUP(E3097,'Rental Transaction'!A:B,2,FALSE)</f>
        <v>702197</v>
      </c>
      <c r="I3097">
        <f t="shared" si="48"/>
        <v>2013</v>
      </c>
    </row>
    <row r="3098" spans="1:9">
      <c r="A3098" s="1">
        <v>10224</v>
      </c>
      <c r="B3098" s="1">
        <v>6</v>
      </c>
      <c r="C3098" s="2">
        <v>41519</v>
      </c>
      <c r="D3098" s="1" t="s">
        <v>2005</v>
      </c>
      <c r="E3098" s="1">
        <v>101749</v>
      </c>
      <c r="F3098" s="6" t="s">
        <v>5100</v>
      </c>
      <c r="G3098" s="15" t="str">
        <f>VLOOKUP(A3098,Movie!A:D,4,FALSE)</f>
        <v>Fox Searchlight</v>
      </c>
      <c r="H3098" s="14">
        <f>VLOOKUP(E3098,'Rental Transaction'!A:B,2,FALSE)</f>
        <v>814512</v>
      </c>
      <c r="I3098">
        <f t="shared" si="48"/>
        <v>2013</v>
      </c>
    </row>
    <row r="3099" spans="1:9">
      <c r="A3099" s="1">
        <v>10200</v>
      </c>
      <c r="B3099" s="1">
        <v>2</v>
      </c>
      <c r="C3099" s="2">
        <v>41519</v>
      </c>
      <c r="D3099" s="1" t="s">
        <v>2002</v>
      </c>
      <c r="E3099" s="1">
        <v>101749</v>
      </c>
      <c r="F3099" s="6" t="s">
        <v>5101</v>
      </c>
      <c r="G3099" s="15" t="str">
        <f>VLOOKUP(A3099,Movie!A:D,4,FALSE)</f>
        <v>Fox</v>
      </c>
      <c r="H3099" s="14">
        <f>VLOOKUP(E3099,'Rental Transaction'!A:B,2,FALSE)</f>
        <v>814512</v>
      </c>
      <c r="I3099">
        <f t="shared" si="48"/>
        <v>2013</v>
      </c>
    </row>
    <row r="3100" spans="1:9">
      <c r="A3100" s="1">
        <v>10057</v>
      </c>
      <c r="B3100" s="1">
        <v>2</v>
      </c>
      <c r="C3100" s="2">
        <v>41518</v>
      </c>
      <c r="D3100" s="1" t="s">
        <v>2005</v>
      </c>
      <c r="E3100" s="1">
        <v>101749</v>
      </c>
      <c r="F3100" s="6" t="s">
        <v>5102</v>
      </c>
      <c r="G3100" s="15" t="str">
        <f>VLOOKUP(A3100,Movie!A:D,4,FALSE)</f>
        <v>Warner Brothers</v>
      </c>
      <c r="H3100" s="14">
        <f>VLOOKUP(E3100,'Rental Transaction'!A:B,2,FALSE)</f>
        <v>814512</v>
      </c>
      <c r="I3100">
        <f t="shared" si="48"/>
        <v>2013</v>
      </c>
    </row>
    <row r="3101" spans="1:9">
      <c r="A3101" s="1">
        <v>10151</v>
      </c>
      <c r="B3101" s="1">
        <v>6</v>
      </c>
      <c r="C3101" s="2">
        <v>41518</v>
      </c>
      <c r="D3101" s="1" t="s">
        <v>2002</v>
      </c>
      <c r="E3101" s="1">
        <v>101750</v>
      </c>
      <c r="F3101" s="6" t="s">
        <v>5103</v>
      </c>
      <c r="G3101" s="15" t="str">
        <f>VLOOKUP(A3101,Movie!A:D,4,FALSE)</f>
        <v>Screen Gems</v>
      </c>
      <c r="H3101" s="14">
        <f>VLOOKUP(E3101,'Rental Transaction'!A:B,2,FALSE)</f>
        <v>216475</v>
      </c>
      <c r="I3101">
        <f t="shared" si="48"/>
        <v>2013</v>
      </c>
    </row>
    <row r="3102" spans="1:9">
      <c r="A3102" s="1">
        <v>10147</v>
      </c>
      <c r="B3102" s="1">
        <v>10</v>
      </c>
      <c r="C3102" s="2">
        <v>41520</v>
      </c>
      <c r="D3102" s="1" t="s">
        <v>2002</v>
      </c>
      <c r="E3102" s="1">
        <v>101750</v>
      </c>
      <c r="F3102" s="6" t="s">
        <v>5104</v>
      </c>
      <c r="G3102" s="15" t="str">
        <f>VLOOKUP(A3102,Movie!A:D,4,FALSE)</f>
        <v>Lionsgate</v>
      </c>
      <c r="H3102" s="14">
        <f>VLOOKUP(E3102,'Rental Transaction'!A:B,2,FALSE)</f>
        <v>216475</v>
      </c>
      <c r="I3102">
        <f t="shared" si="48"/>
        <v>2013</v>
      </c>
    </row>
    <row r="3103" spans="1:9">
      <c r="A3103" s="1">
        <v>10280</v>
      </c>
      <c r="B3103" s="1">
        <v>4</v>
      </c>
      <c r="C3103" s="2">
        <v>41518</v>
      </c>
      <c r="D3103" s="1" t="s">
        <v>2002</v>
      </c>
      <c r="E3103" s="1">
        <v>101751</v>
      </c>
      <c r="F3103" s="6" t="s">
        <v>5105</v>
      </c>
      <c r="G3103" s="15" t="str">
        <f>VLOOKUP(A3103,Movie!A:D,4,FALSE)</f>
        <v>Universal</v>
      </c>
      <c r="H3103" s="14">
        <f>VLOOKUP(E3103,'Rental Transaction'!A:B,2,FALSE)</f>
        <v>270853</v>
      </c>
      <c r="I3103">
        <f t="shared" si="48"/>
        <v>2013</v>
      </c>
    </row>
    <row r="3104" spans="1:9">
      <c r="A3104" s="1">
        <v>10010</v>
      </c>
      <c r="B3104" s="1">
        <v>6</v>
      </c>
      <c r="C3104" s="2">
        <v>41518</v>
      </c>
      <c r="D3104" s="1" t="s">
        <v>2002</v>
      </c>
      <c r="E3104" s="1">
        <v>101751</v>
      </c>
      <c r="F3104" s="6" t="s">
        <v>5106</v>
      </c>
      <c r="G3104" s="15" t="str">
        <f>VLOOKUP(A3104,Movie!A:D,4,FALSE)</f>
        <v>Buena Vista</v>
      </c>
      <c r="H3104" s="14">
        <f>VLOOKUP(E3104,'Rental Transaction'!A:B,2,FALSE)</f>
        <v>270853</v>
      </c>
      <c r="I3104">
        <f t="shared" si="48"/>
        <v>2013</v>
      </c>
    </row>
    <row r="3105" spans="1:9">
      <c r="A3105" s="1">
        <v>10287</v>
      </c>
      <c r="B3105" s="1">
        <v>2</v>
      </c>
      <c r="C3105" s="2">
        <v>41519</v>
      </c>
      <c r="D3105" s="1" t="s">
        <v>2005</v>
      </c>
      <c r="E3105" s="1">
        <v>101752</v>
      </c>
      <c r="F3105" s="6" t="s">
        <v>5107</v>
      </c>
      <c r="G3105" s="15" t="str">
        <f>VLOOKUP(A3105,Movie!A:D,4,FALSE)</f>
        <v>Lionsgate</v>
      </c>
      <c r="H3105" s="14">
        <f>VLOOKUP(E3105,'Rental Transaction'!A:B,2,FALSE)</f>
        <v>857548</v>
      </c>
      <c r="I3105">
        <f t="shared" si="48"/>
        <v>2013</v>
      </c>
    </row>
    <row r="3106" spans="1:9">
      <c r="A3106" s="1">
        <v>10273</v>
      </c>
      <c r="B3106" s="1">
        <v>3</v>
      </c>
      <c r="C3106" s="2">
        <v>41518</v>
      </c>
      <c r="D3106" s="1" t="s">
        <v>2005</v>
      </c>
      <c r="E3106" s="1">
        <v>101752</v>
      </c>
      <c r="F3106" s="6" t="s">
        <v>5108</v>
      </c>
      <c r="G3106" s="15" t="str">
        <f>VLOOKUP(A3106,Movie!A:D,4,FALSE)</f>
        <v>Sony</v>
      </c>
      <c r="H3106" s="14">
        <f>VLOOKUP(E3106,'Rental Transaction'!A:B,2,FALSE)</f>
        <v>857548</v>
      </c>
      <c r="I3106">
        <f t="shared" si="48"/>
        <v>2013</v>
      </c>
    </row>
    <row r="3107" spans="1:9">
      <c r="A3107" s="1">
        <v>10226</v>
      </c>
      <c r="B3107" s="1">
        <v>7</v>
      </c>
      <c r="C3107" s="2">
        <v>41518</v>
      </c>
      <c r="D3107" s="1" t="s">
        <v>2002</v>
      </c>
      <c r="E3107" s="1">
        <v>101752</v>
      </c>
      <c r="F3107" s="6" t="s">
        <v>5109</v>
      </c>
      <c r="G3107" s="15" t="str">
        <f>VLOOKUP(A3107,Movie!A:D,4,FALSE)</f>
        <v>Sony</v>
      </c>
      <c r="H3107" s="14">
        <f>VLOOKUP(E3107,'Rental Transaction'!A:B,2,FALSE)</f>
        <v>857548</v>
      </c>
      <c r="I3107">
        <f t="shared" si="48"/>
        <v>2013</v>
      </c>
    </row>
    <row r="3108" spans="1:9">
      <c r="A3108" s="1">
        <v>10048</v>
      </c>
      <c r="B3108" s="1">
        <v>6</v>
      </c>
      <c r="C3108" s="2">
        <v>41518</v>
      </c>
      <c r="D3108" s="1" t="s">
        <v>2005</v>
      </c>
      <c r="E3108" s="1">
        <v>101752</v>
      </c>
      <c r="F3108" s="6" t="s">
        <v>5110</v>
      </c>
      <c r="G3108" s="15" t="str">
        <f>VLOOKUP(A3108,Movie!A:D,4,FALSE)</f>
        <v>Relativity</v>
      </c>
      <c r="H3108" s="14">
        <f>VLOOKUP(E3108,'Rental Transaction'!A:B,2,FALSE)</f>
        <v>857548</v>
      </c>
      <c r="I3108">
        <f t="shared" si="48"/>
        <v>2013</v>
      </c>
    </row>
    <row r="3109" spans="1:9">
      <c r="A3109" s="1">
        <v>10190</v>
      </c>
      <c r="B3109" s="1">
        <v>9</v>
      </c>
      <c r="C3109" s="2">
        <v>41519</v>
      </c>
      <c r="D3109" s="1" t="s">
        <v>2002</v>
      </c>
      <c r="E3109" s="1">
        <v>101752</v>
      </c>
      <c r="F3109" s="6" t="s">
        <v>5111</v>
      </c>
      <c r="G3109" s="15" t="str">
        <f>VLOOKUP(A3109,Movie!A:D,4,FALSE)</f>
        <v>Lionsgate</v>
      </c>
      <c r="H3109" s="14">
        <f>VLOOKUP(E3109,'Rental Transaction'!A:B,2,FALSE)</f>
        <v>857548</v>
      </c>
      <c r="I3109">
        <f t="shared" si="48"/>
        <v>2013</v>
      </c>
    </row>
    <row r="3110" spans="1:9">
      <c r="A3110" s="1">
        <v>10129</v>
      </c>
      <c r="B3110" s="1">
        <v>6</v>
      </c>
      <c r="C3110" s="2">
        <v>41518</v>
      </c>
      <c r="D3110" s="1" t="s">
        <v>2005</v>
      </c>
      <c r="E3110" s="1">
        <v>101753</v>
      </c>
      <c r="F3110" s="6" t="s">
        <v>5112</v>
      </c>
      <c r="G3110" s="15" t="str">
        <f>VLOOKUP(A3110,Movie!A:D,4,FALSE)</f>
        <v>Warner Brothers</v>
      </c>
      <c r="H3110" s="14">
        <f>VLOOKUP(E3110,'Rental Transaction'!A:B,2,FALSE)</f>
        <v>890651</v>
      </c>
      <c r="I3110">
        <f t="shared" si="48"/>
        <v>2013</v>
      </c>
    </row>
    <row r="3111" spans="1:9" ht="29.25">
      <c r="A3111" s="1">
        <v>10028</v>
      </c>
      <c r="B3111" s="1">
        <v>3</v>
      </c>
      <c r="C3111" s="2">
        <v>41518</v>
      </c>
      <c r="D3111" s="1" t="s">
        <v>2005</v>
      </c>
      <c r="E3111" s="1">
        <v>101754</v>
      </c>
      <c r="F3111" s="6" t="s">
        <v>5113</v>
      </c>
      <c r="G3111" s="15" t="str">
        <f>VLOOKUP(A3111,Movie!A:D,4,FALSE)</f>
        <v>Summit Entertainment</v>
      </c>
      <c r="H3111" s="14">
        <f>VLOOKUP(E3111,'Rental Transaction'!A:B,2,FALSE)</f>
        <v>972329</v>
      </c>
      <c r="I3111">
        <f t="shared" si="48"/>
        <v>2013</v>
      </c>
    </row>
    <row r="3112" spans="1:9">
      <c r="A3112" s="1">
        <v>10240</v>
      </c>
      <c r="B3112" s="1">
        <v>1</v>
      </c>
      <c r="C3112" s="2">
        <v>41518</v>
      </c>
      <c r="D3112" s="1" t="s">
        <v>2005</v>
      </c>
      <c r="E3112" s="1">
        <v>101755</v>
      </c>
      <c r="F3112" s="6" t="s">
        <v>5114</v>
      </c>
      <c r="G3112" s="15" t="str">
        <f>VLOOKUP(A3112,Movie!A:D,4,FALSE)</f>
        <v>Warner Brothers</v>
      </c>
      <c r="H3112" s="14">
        <f>VLOOKUP(E3112,'Rental Transaction'!A:B,2,FALSE)</f>
        <v>744416</v>
      </c>
      <c r="I3112">
        <f t="shared" si="48"/>
        <v>2013</v>
      </c>
    </row>
    <row r="3113" spans="1:9">
      <c r="A3113" s="1">
        <v>10010</v>
      </c>
      <c r="B3113" s="1">
        <v>10</v>
      </c>
      <c r="C3113" s="2">
        <v>41518</v>
      </c>
      <c r="D3113" s="1" t="s">
        <v>2002</v>
      </c>
      <c r="E3113" s="1">
        <v>101756</v>
      </c>
      <c r="F3113" s="6" t="s">
        <v>5115</v>
      </c>
      <c r="G3113" s="15" t="str">
        <f>VLOOKUP(A3113,Movie!A:D,4,FALSE)</f>
        <v>Buena Vista</v>
      </c>
      <c r="H3113" s="14">
        <f>VLOOKUP(E3113,'Rental Transaction'!A:B,2,FALSE)</f>
        <v>422717</v>
      </c>
      <c r="I3113">
        <f t="shared" si="48"/>
        <v>2013</v>
      </c>
    </row>
    <row r="3114" spans="1:9">
      <c r="A3114" s="1">
        <v>10080</v>
      </c>
      <c r="B3114" s="1">
        <v>4</v>
      </c>
      <c r="C3114" s="2">
        <v>41518</v>
      </c>
      <c r="D3114" s="1" t="s">
        <v>2002</v>
      </c>
      <c r="E3114" s="1">
        <v>101756</v>
      </c>
      <c r="F3114" s="6" t="s">
        <v>5116</v>
      </c>
      <c r="G3114" s="15" t="str">
        <f>VLOOKUP(A3114,Movie!A:D,4,FALSE)</f>
        <v>Buena Vista</v>
      </c>
      <c r="H3114" s="14">
        <f>VLOOKUP(E3114,'Rental Transaction'!A:B,2,FALSE)</f>
        <v>422717</v>
      </c>
      <c r="I3114">
        <f t="shared" si="48"/>
        <v>2013</v>
      </c>
    </row>
    <row r="3115" spans="1:9">
      <c r="A3115" s="1">
        <v>10038</v>
      </c>
      <c r="B3115" s="1">
        <v>3</v>
      </c>
      <c r="C3115" s="2">
        <v>41519</v>
      </c>
      <c r="D3115" s="1" t="s">
        <v>2005</v>
      </c>
      <c r="E3115" s="1">
        <v>101756</v>
      </c>
      <c r="F3115" s="6" t="s">
        <v>5117</v>
      </c>
      <c r="G3115" s="15" t="str">
        <f>VLOOKUP(A3115,Movie!A:D,4,FALSE)</f>
        <v>Paramount</v>
      </c>
      <c r="H3115" s="14">
        <f>VLOOKUP(E3115,'Rental Transaction'!A:B,2,FALSE)</f>
        <v>422717</v>
      </c>
      <c r="I3115">
        <f t="shared" si="48"/>
        <v>2013</v>
      </c>
    </row>
    <row r="3116" spans="1:9">
      <c r="A3116" s="1">
        <v>10141</v>
      </c>
      <c r="B3116" s="1">
        <v>8</v>
      </c>
      <c r="C3116" s="2">
        <v>41520</v>
      </c>
      <c r="D3116" s="1" t="s">
        <v>2005</v>
      </c>
      <c r="E3116" s="1">
        <v>101757</v>
      </c>
      <c r="F3116" s="6" t="s">
        <v>5118</v>
      </c>
      <c r="G3116" s="15" t="str">
        <f>VLOOKUP(A3116,Movie!A:D,4,FALSE)</f>
        <v>Warner Brothers</v>
      </c>
      <c r="H3116" s="14">
        <f>VLOOKUP(E3116,'Rental Transaction'!A:B,2,FALSE)</f>
        <v>618955</v>
      </c>
      <c r="I3116">
        <f t="shared" si="48"/>
        <v>2013</v>
      </c>
    </row>
    <row r="3117" spans="1:9">
      <c r="A3117" s="1">
        <v>10243</v>
      </c>
      <c r="B3117" s="1">
        <v>4</v>
      </c>
      <c r="C3117" s="2">
        <v>41518</v>
      </c>
      <c r="D3117" s="1" t="s">
        <v>2002</v>
      </c>
      <c r="E3117" s="1">
        <v>101758</v>
      </c>
      <c r="F3117" s="6" t="s">
        <v>5119</v>
      </c>
      <c r="G3117" s="15" t="str">
        <f>VLOOKUP(A3117,Movie!A:D,4,FALSE)</f>
        <v>Fox</v>
      </c>
      <c r="H3117" s="14">
        <f>VLOOKUP(E3117,'Rental Transaction'!A:B,2,FALSE)</f>
        <v>143878</v>
      </c>
      <c r="I3117">
        <f t="shared" si="48"/>
        <v>2013</v>
      </c>
    </row>
    <row r="3118" spans="1:9">
      <c r="A3118" s="1">
        <v>10029</v>
      </c>
      <c r="B3118" s="1">
        <v>9</v>
      </c>
      <c r="C3118" s="2">
        <v>41519</v>
      </c>
      <c r="D3118" s="1" t="s">
        <v>2005</v>
      </c>
      <c r="E3118" s="1">
        <v>101759</v>
      </c>
      <c r="F3118" s="6" t="s">
        <v>5120</v>
      </c>
      <c r="G3118" s="15" t="str">
        <f>VLOOKUP(A3118,Movie!A:D,4,FALSE)</f>
        <v>Relativity</v>
      </c>
      <c r="H3118" s="14">
        <f>VLOOKUP(E3118,'Rental Transaction'!A:B,2,FALSE)</f>
        <v>464782</v>
      </c>
      <c r="I3118">
        <f t="shared" si="48"/>
        <v>2013</v>
      </c>
    </row>
    <row r="3119" spans="1:9">
      <c r="A3119" s="1">
        <v>10252</v>
      </c>
      <c r="B3119" s="1">
        <v>3</v>
      </c>
      <c r="C3119" s="2">
        <v>41519</v>
      </c>
      <c r="D3119" s="1" t="s">
        <v>2002</v>
      </c>
      <c r="E3119" s="1">
        <v>101760</v>
      </c>
      <c r="F3119" s="6" t="s">
        <v>5121</v>
      </c>
      <c r="G3119" s="15" t="str">
        <f>VLOOKUP(A3119,Movie!A:D,4,FALSE)</f>
        <v>Warner Brothers</v>
      </c>
      <c r="H3119" s="14">
        <f>VLOOKUP(E3119,'Rental Transaction'!A:B,2,FALSE)</f>
        <v>710047</v>
      </c>
      <c r="I3119">
        <f t="shared" si="48"/>
        <v>2013</v>
      </c>
    </row>
    <row r="3120" spans="1:9">
      <c r="A3120" s="1">
        <v>10287</v>
      </c>
      <c r="B3120" s="1">
        <v>7</v>
      </c>
      <c r="C3120" s="2">
        <v>41519</v>
      </c>
      <c r="D3120" s="1" t="s">
        <v>2002</v>
      </c>
      <c r="E3120" s="1">
        <v>101761</v>
      </c>
      <c r="F3120" s="6" t="s">
        <v>5122</v>
      </c>
      <c r="G3120" s="15" t="str">
        <f>VLOOKUP(A3120,Movie!A:D,4,FALSE)</f>
        <v>Lionsgate</v>
      </c>
      <c r="H3120" s="14">
        <f>VLOOKUP(E3120,'Rental Transaction'!A:B,2,FALSE)</f>
        <v>465275</v>
      </c>
      <c r="I3120">
        <f t="shared" si="48"/>
        <v>2013</v>
      </c>
    </row>
    <row r="3121" spans="1:9" ht="29.25">
      <c r="A3121" s="1">
        <v>10249</v>
      </c>
      <c r="B3121" s="1">
        <v>3</v>
      </c>
      <c r="C3121" s="2">
        <v>41519</v>
      </c>
      <c r="D3121" s="1" t="s">
        <v>2002</v>
      </c>
      <c r="E3121" s="1">
        <v>101761</v>
      </c>
      <c r="F3121" s="6" t="s">
        <v>5123</v>
      </c>
      <c r="G3121" s="15" t="str">
        <f>VLOOKUP(A3121,Movie!A:D,4,FALSE)</f>
        <v>Summit Entertainment</v>
      </c>
      <c r="H3121" s="14">
        <f>VLOOKUP(E3121,'Rental Transaction'!A:B,2,FALSE)</f>
        <v>465275</v>
      </c>
      <c r="I3121">
        <f t="shared" si="48"/>
        <v>2013</v>
      </c>
    </row>
    <row r="3122" spans="1:9">
      <c r="A3122" s="1">
        <v>10023</v>
      </c>
      <c r="B3122" s="1">
        <v>5</v>
      </c>
      <c r="C3122" s="2">
        <v>41520</v>
      </c>
      <c r="D3122" s="1" t="s">
        <v>2002</v>
      </c>
      <c r="E3122" s="1">
        <v>101762</v>
      </c>
      <c r="F3122" s="6" t="s">
        <v>5124</v>
      </c>
      <c r="G3122" s="15" t="str">
        <f>VLOOKUP(A3122,Movie!A:D,4,FALSE)</f>
        <v>Buena Vista</v>
      </c>
      <c r="H3122" s="14">
        <f>VLOOKUP(E3122,'Rental Transaction'!A:B,2,FALSE)</f>
        <v>116690</v>
      </c>
      <c r="I3122">
        <f t="shared" si="48"/>
        <v>2013</v>
      </c>
    </row>
    <row r="3123" spans="1:9">
      <c r="A3123" s="1">
        <v>10070</v>
      </c>
      <c r="B3123" s="1">
        <v>9</v>
      </c>
      <c r="C3123" s="2">
        <v>41519</v>
      </c>
      <c r="D3123" s="1" t="s">
        <v>2005</v>
      </c>
      <c r="E3123" s="1">
        <v>101762</v>
      </c>
      <c r="F3123" s="6" t="s">
        <v>5125</v>
      </c>
      <c r="G3123" s="15" t="str">
        <f>VLOOKUP(A3123,Movie!A:D,4,FALSE)</f>
        <v>Paramount</v>
      </c>
      <c r="H3123" s="14">
        <f>VLOOKUP(E3123,'Rental Transaction'!A:B,2,FALSE)</f>
        <v>116690</v>
      </c>
      <c r="I3123">
        <f t="shared" si="48"/>
        <v>2013</v>
      </c>
    </row>
    <row r="3124" spans="1:9">
      <c r="A3124" s="1">
        <v>10262</v>
      </c>
      <c r="B3124" s="1">
        <v>10</v>
      </c>
      <c r="C3124" s="2">
        <v>41519</v>
      </c>
      <c r="D3124" s="1" t="s">
        <v>2005</v>
      </c>
      <c r="E3124" s="1">
        <v>101763</v>
      </c>
      <c r="F3124" s="6" t="s">
        <v>5126</v>
      </c>
      <c r="G3124" s="15" t="str">
        <f>VLOOKUP(A3124,Movie!A:D,4,FALSE)</f>
        <v>Lionsgate</v>
      </c>
      <c r="H3124" s="14">
        <f>VLOOKUP(E3124,'Rental Transaction'!A:B,2,FALSE)</f>
        <v>296353</v>
      </c>
      <c r="I3124">
        <f t="shared" si="48"/>
        <v>2013</v>
      </c>
    </row>
    <row r="3125" spans="1:9">
      <c r="A3125" s="1">
        <v>10254</v>
      </c>
      <c r="B3125" s="1">
        <v>3</v>
      </c>
      <c r="C3125" s="2">
        <v>41519</v>
      </c>
      <c r="D3125" s="1" t="s">
        <v>2002</v>
      </c>
      <c r="E3125" s="1">
        <v>101763</v>
      </c>
      <c r="F3125" s="6" t="s">
        <v>5127</v>
      </c>
      <c r="G3125" s="15" t="str">
        <f>VLOOKUP(A3125,Movie!A:D,4,FALSE)</f>
        <v>Paramount</v>
      </c>
      <c r="H3125" s="14">
        <f>VLOOKUP(E3125,'Rental Transaction'!A:B,2,FALSE)</f>
        <v>296353</v>
      </c>
      <c r="I3125">
        <f t="shared" si="48"/>
        <v>2013</v>
      </c>
    </row>
    <row r="3126" spans="1:9">
      <c r="A3126" s="1">
        <v>10135</v>
      </c>
      <c r="B3126" s="1">
        <v>9</v>
      </c>
      <c r="C3126" s="2">
        <v>41519</v>
      </c>
      <c r="D3126" s="1" t="s">
        <v>2002</v>
      </c>
      <c r="E3126" s="1">
        <v>101764</v>
      </c>
      <c r="F3126" s="6" t="s">
        <v>5128</v>
      </c>
      <c r="G3126" s="15" t="str">
        <f>VLOOKUP(A3126,Movie!A:D,4,FALSE)</f>
        <v>Universal</v>
      </c>
      <c r="H3126" s="14">
        <f>VLOOKUP(E3126,'Rental Transaction'!A:B,2,FALSE)</f>
        <v>296353</v>
      </c>
      <c r="I3126">
        <f t="shared" si="48"/>
        <v>2013</v>
      </c>
    </row>
    <row r="3127" spans="1:9">
      <c r="A3127" s="1">
        <v>10023</v>
      </c>
      <c r="B3127" s="1">
        <v>4</v>
      </c>
      <c r="C3127" s="2">
        <v>41520</v>
      </c>
      <c r="D3127" s="1" t="s">
        <v>2005</v>
      </c>
      <c r="E3127" s="1">
        <v>101764</v>
      </c>
      <c r="F3127" s="6" t="s">
        <v>5129</v>
      </c>
      <c r="G3127" s="15" t="str">
        <f>VLOOKUP(A3127,Movie!A:D,4,FALSE)</f>
        <v>Buena Vista</v>
      </c>
      <c r="H3127" s="14">
        <f>VLOOKUP(E3127,'Rental Transaction'!A:B,2,FALSE)</f>
        <v>296353</v>
      </c>
      <c r="I3127">
        <f t="shared" si="48"/>
        <v>2013</v>
      </c>
    </row>
    <row r="3128" spans="1:9">
      <c r="A3128" s="1">
        <v>10287</v>
      </c>
      <c r="B3128" s="1">
        <v>5</v>
      </c>
      <c r="C3128" s="2">
        <v>41519</v>
      </c>
      <c r="D3128" s="1" t="s">
        <v>2002</v>
      </c>
      <c r="E3128" s="1">
        <v>101765</v>
      </c>
      <c r="F3128" s="6" t="s">
        <v>5130</v>
      </c>
      <c r="G3128" s="15" t="str">
        <f>VLOOKUP(A3128,Movie!A:D,4,FALSE)</f>
        <v>Lionsgate</v>
      </c>
      <c r="H3128" s="14">
        <f>VLOOKUP(E3128,'Rental Transaction'!A:B,2,FALSE)</f>
        <v>976778</v>
      </c>
      <c r="I3128">
        <f t="shared" si="48"/>
        <v>2013</v>
      </c>
    </row>
    <row r="3129" spans="1:9">
      <c r="A3129" s="1">
        <v>10029</v>
      </c>
      <c r="B3129" s="1">
        <v>4</v>
      </c>
      <c r="C3129" s="2">
        <v>41519</v>
      </c>
      <c r="D3129" s="1" t="s">
        <v>2002</v>
      </c>
      <c r="E3129" s="1">
        <v>101766</v>
      </c>
      <c r="F3129" s="6" t="s">
        <v>5131</v>
      </c>
      <c r="G3129" s="15" t="str">
        <f>VLOOKUP(A3129,Movie!A:D,4,FALSE)</f>
        <v>Relativity</v>
      </c>
      <c r="H3129" s="14">
        <f>VLOOKUP(E3129,'Rental Transaction'!A:B,2,FALSE)</f>
        <v>592528</v>
      </c>
      <c r="I3129">
        <f t="shared" si="48"/>
        <v>2013</v>
      </c>
    </row>
    <row r="3130" spans="1:9">
      <c r="A3130" s="1">
        <v>10138</v>
      </c>
      <c r="B3130" s="1">
        <v>8</v>
      </c>
      <c r="C3130" s="2">
        <v>41519</v>
      </c>
      <c r="D3130" s="1" t="s">
        <v>2005</v>
      </c>
      <c r="E3130" s="1">
        <v>101767</v>
      </c>
      <c r="F3130" s="6" t="s">
        <v>5132</v>
      </c>
      <c r="G3130" s="15" t="str">
        <f>VLOOKUP(A3130,Movie!A:D,4,FALSE)</f>
        <v>Universal</v>
      </c>
      <c r="H3130" s="14">
        <f>VLOOKUP(E3130,'Rental Transaction'!A:B,2,FALSE)</f>
        <v>927518</v>
      </c>
      <c r="I3130">
        <f t="shared" si="48"/>
        <v>2013</v>
      </c>
    </row>
    <row r="3131" spans="1:9" ht="29.25">
      <c r="A3131" s="1">
        <v>10136</v>
      </c>
      <c r="B3131" s="1">
        <v>4</v>
      </c>
      <c r="C3131" s="2">
        <v>41519</v>
      </c>
      <c r="D3131" s="1" t="s">
        <v>2002</v>
      </c>
      <c r="E3131" s="1">
        <v>101768</v>
      </c>
      <c r="F3131" s="6" t="s">
        <v>5133</v>
      </c>
      <c r="G3131" s="15" t="str">
        <f>VLOOKUP(A3131,Movie!A:D,4,FALSE)</f>
        <v>Weinstein Company</v>
      </c>
      <c r="H3131" s="14">
        <f>VLOOKUP(E3131,'Rental Transaction'!A:B,2,FALSE)</f>
        <v>944523</v>
      </c>
      <c r="I3131">
        <f t="shared" si="48"/>
        <v>2013</v>
      </c>
    </row>
    <row r="3132" spans="1:9">
      <c r="A3132" s="1">
        <v>10276</v>
      </c>
      <c r="B3132" s="1">
        <v>2</v>
      </c>
      <c r="C3132" s="2">
        <v>41520</v>
      </c>
      <c r="D3132" s="1" t="s">
        <v>2002</v>
      </c>
      <c r="E3132" s="1">
        <v>101768</v>
      </c>
      <c r="F3132" s="6" t="s">
        <v>5134</v>
      </c>
      <c r="G3132" s="15" t="str">
        <f>VLOOKUP(A3132,Movie!A:D,4,FALSE)</f>
        <v>FilmDistrict</v>
      </c>
      <c r="H3132" s="14">
        <f>VLOOKUP(E3132,'Rental Transaction'!A:B,2,FALSE)</f>
        <v>944523</v>
      </c>
      <c r="I3132">
        <f t="shared" si="48"/>
        <v>2013</v>
      </c>
    </row>
    <row r="3133" spans="1:9" ht="29.25">
      <c r="A3133" s="1">
        <v>10249</v>
      </c>
      <c r="B3133" s="1">
        <v>3</v>
      </c>
      <c r="C3133" s="2">
        <v>41519</v>
      </c>
      <c r="D3133" s="1" t="s">
        <v>2002</v>
      </c>
      <c r="E3133" s="1">
        <v>101769</v>
      </c>
      <c r="F3133" s="6" t="s">
        <v>5135</v>
      </c>
      <c r="G3133" s="15" t="str">
        <f>VLOOKUP(A3133,Movie!A:D,4,FALSE)</f>
        <v>Summit Entertainment</v>
      </c>
      <c r="H3133" s="14">
        <f>VLOOKUP(E3133,'Rental Transaction'!A:B,2,FALSE)</f>
        <v>706101</v>
      </c>
      <c r="I3133">
        <f t="shared" si="48"/>
        <v>2013</v>
      </c>
    </row>
    <row r="3134" spans="1:9">
      <c r="A3134" s="1">
        <v>10160</v>
      </c>
      <c r="B3134" s="1">
        <v>3</v>
      </c>
      <c r="C3134" s="2">
        <v>41519</v>
      </c>
      <c r="D3134" s="1" t="s">
        <v>2002</v>
      </c>
      <c r="E3134" s="1">
        <v>101769</v>
      </c>
      <c r="F3134" s="6" t="s">
        <v>5136</v>
      </c>
      <c r="G3134" s="15" t="str">
        <f>VLOOKUP(A3134,Movie!A:D,4,FALSE)</f>
        <v>Lionsgate</v>
      </c>
      <c r="H3134" s="14">
        <f>VLOOKUP(E3134,'Rental Transaction'!A:B,2,FALSE)</f>
        <v>706101</v>
      </c>
      <c r="I3134">
        <f t="shared" si="48"/>
        <v>2013</v>
      </c>
    </row>
    <row r="3135" spans="1:9">
      <c r="A3135" s="1">
        <v>10025</v>
      </c>
      <c r="B3135" s="1">
        <v>6</v>
      </c>
      <c r="C3135" s="2">
        <v>41519</v>
      </c>
      <c r="D3135" s="1" t="s">
        <v>2002</v>
      </c>
      <c r="E3135" s="1">
        <v>101769</v>
      </c>
      <c r="F3135" s="6" t="s">
        <v>5137</v>
      </c>
      <c r="G3135" s="15" t="str">
        <f>VLOOKUP(A3135,Movie!A:D,4,FALSE)</f>
        <v>Sony</v>
      </c>
      <c r="H3135" s="14">
        <f>VLOOKUP(E3135,'Rental Transaction'!A:B,2,FALSE)</f>
        <v>706101</v>
      </c>
      <c r="I3135">
        <f t="shared" si="48"/>
        <v>2013</v>
      </c>
    </row>
    <row r="3136" spans="1:9">
      <c r="A3136" s="1">
        <v>10129</v>
      </c>
      <c r="B3136" s="1">
        <v>5</v>
      </c>
      <c r="C3136" s="2">
        <v>41519</v>
      </c>
      <c r="D3136" s="1" t="s">
        <v>2002</v>
      </c>
      <c r="E3136" s="1">
        <v>101769</v>
      </c>
      <c r="F3136" s="6" t="s">
        <v>5138</v>
      </c>
      <c r="G3136" s="15" t="str">
        <f>VLOOKUP(A3136,Movie!A:D,4,FALSE)</f>
        <v>Warner Brothers</v>
      </c>
      <c r="H3136" s="14">
        <f>VLOOKUP(E3136,'Rental Transaction'!A:B,2,FALSE)</f>
        <v>706101</v>
      </c>
      <c r="I3136">
        <f t="shared" si="48"/>
        <v>2013</v>
      </c>
    </row>
    <row r="3137" spans="1:9">
      <c r="A3137" s="1">
        <v>10269</v>
      </c>
      <c r="B3137" s="1">
        <v>1</v>
      </c>
      <c r="C3137" s="2">
        <v>41519</v>
      </c>
      <c r="D3137" s="1" t="s">
        <v>2002</v>
      </c>
      <c r="E3137" s="1">
        <v>101769</v>
      </c>
      <c r="F3137" s="6" t="s">
        <v>5139</v>
      </c>
      <c r="G3137" s="15" t="str">
        <f>VLOOKUP(A3137,Movie!A:D,4,FALSE)</f>
        <v>Buena Vista</v>
      </c>
      <c r="H3137" s="14">
        <f>VLOOKUP(E3137,'Rental Transaction'!A:B,2,FALSE)</f>
        <v>706101</v>
      </c>
      <c r="I3137">
        <f t="shared" si="48"/>
        <v>2013</v>
      </c>
    </row>
    <row r="3138" spans="1:9">
      <c r="A3138" s="1">
        <v>10203</v>
      </c>
      <c r="B3138" s="1">
        <v>4</v>
      </c>
      <c r="C3138" s="2">
        <v>41519</v>
      </c>
      <c r="D3138" s="1" t="s">
        <v>2005</v>
      </c>
      <c r="E3138" s="1">
        <v>101769</v>
      </c>
      <c r="F3138" s="6" t="s">
        <v>5140</v>
      </c>
      <c r="G3138" s="15" t="str">
        <f>VLOOKUP(A3138,Movie!A:D,4,FALSE)</f>
        <v>Buena Vista</v>
      </c>
      <c r="H3138" s="14">
        <f>VLOOKUP(E3138,'Rental Transaction'!A:B,2,FALSE)</f>
        <v>706101</v>
      </c>
      <c r="I3138">
        <f t="shared" si="48"/>
        <v>2013</v>
      </c>
    </row>
    <row r="3139" spans="1:9">
      <c r="A3139" s="1">
        <v>10004</v>
      </c>
      <c r="B3139" s="1">
        <v>2</v>
      </c>
      <c r="C3139" s="2">
        <v>41519</v>
      </c>
      <c r="D3139" s="1" t="s">
        <v>2002</v>
      </c>
      <c r="E3139" s="1">
        <v>101770</v>
      </c>
      <c r="F3139" s="6" t="s">
        <v>5141</v>
      </c>
      <c r="G3139" s="15" t="str">
        <f>VLOOKUP(A3139,Movie!A:D,4,FALSE)</f>
        <v>Paramount</v>
      </c>
      <c r="H3139" s="14">
        <f>VLOOKUP(E3139,'Rental Transaction'!A:B,2,FALSE)</f>
        <v>651462</v>
      </c>
      <c r="I3139">
        <f t="shared" ref="I3139:I3202" si="49">YEAR(C3139)</f>
        <v>2013</v>
      </c>
    </row>
    <row r="3140" spans="1:9">
      <c r="A3140" s="1">
        <v>10182</v>
      </c>
      <c r="B3140" s="1">
        <v>7</v>
      </c>
      <c r="C3140" s="2">
        <v>41519</v>
      </c>
      <c r="D3140" s="1" t="s">
        <v>2002</v>
      </c>
      <c r="E3140" s="1">
        <v>101770</v>
      </c>
      <c r="F3140" s="6" t="s">
        <v>5142</v>
      </c>
      <c r="G3140" s="15" t="str">
        <f>VLOOKUP(A3140,Movie!A:D,4,FALSE)</f>
        <v>Warner Brothers</v>
      </c>
      <c r="H3140" s="14">
        <f>VLOOKUP(E3140,'Rental Transaction'!A:B,2,FALSE)</f>
        <v>651462</v>
      </c>
      <c r="I3140">
        <f t="shared" si="49"/>
        <v>2013</v>
      </c>
    </row>
    <row r="3141" spans="1:9">
      <c r="A3141" s="1">
        <v>10242</v>
      </c>
      <c r="B3141" s="1">
        <v>4</v>
      </c>
      <c r="C3141" s="2">
        <v>41519</v>
      </c>
      <c r="D3141" s="1" t="s">
        <v>2005</v>
      </c>
      <c r="E3141" s="1">
        <v>101770</v>
      </c>
      <c r="F3141" s="6" t="s">
        <v>5143</v>
      </c>
      <c r="G3141" s="15" t="str">
        <f>VLOOKUP(A3141,Movie!A:D,4,FALSE)</f>
        <v>Buena Vista</v>
      </c>
      <c r="H3141" s="14">
        <f>VLOOKUP(E3141,'Rental Transaction'!A:B,2,FALSE)</f>
        <v>651462</v>
      </c>
      <c r="I3141">
        <f t="shared" si="49"/>
        <v>2013</v>
      </c>
    </row>
    <row r="3142" spans="1:9">
      <c r="A3142" s="1">
        <v>10117</v>
      </c>
      <c r="B3142" s="1">
        <v>4</v>
      </c>
      <c r="C3142" s="2">
        <v>41519</v>
      </c>
      <c r="D3142" s="1" t="s">
        <v>2005</v>
      </c>
      <c r="E3142" s="1">
        <v>101771</v>
      </c>
      <c r="F3142" s="6" t="s">
        <v>5144</v>
      </c>
      <c r="G3142" s="15" t="str">
        <f>VLOOKUP(A3142,Movie!A:D,4,FALSE)</f>
        <v>Sony</v>
      </c>
      <c r="H3142" s="14">
        <f>VLOOKUP(E3142,'Rental Transaction'!A:B,2,FALSE)</f>
        <v>278809</v>
      </c>
      <c r="I3142">
        <f t="shared" si="49"/>
        <v>2013</v>
      </c>
    </row>
    <row r="3143" spans="1:9">
      <c r="A3143" s="1">
        <v>10129</v>
      </c>
      <c r="B3143" s="1">
        <v>4</v>
      </c>
      <c r="C3143" s="2">
        <v>41520</v>
      </c>
      <c r="D3143" s="1" t="s">
        <v>2002</v>
      </c>
      <c r="E3143" s="1">
        <v>101771</v>
      </c>
      <c r="F3143" s="6" t="s">
        <v>5145</v>
      </c>
      <c r="G3143" s="15" t="str">
        <f>VLOOKUP(A3143,Movie!A:D,4,FALSE)</f>
        <v>Warner Brothers</v>
      </c>
      <c r="H3143" s="14">
        <f>VLOOKUP(E3143,'Rental Transaction'!A:B,2,FALSE)</f>
        <v>278809</v>
      </c>
      <c r="I3143">
        <f t="shared" si="49"/>
        <v>2013</v>
      </c>
    </row>
    <row r="3144" spans="1:9">
      <c r="A3144" s="1">
        <v>10282</v>
      </c>
      <c r="B3144" s="1">
        <v>6</v>
      </c>
      <c r="C3144" s="2">
        <v>41519</v>
      </c>
      <c r="D3144" s="1" t="s">
        <v>2005</v>
      </c>
      <c r="E3144" s="1">
        <v>101772</v>
      </c>
      <c r="F3144" s="6" t="s">
        <v>5146</v>
      </c>
      <c r="G3144" s="15" t="str">
        <f>VLOOKUP(A3144,Movie!A:D,4,FALSE)</f>
        <v>Sony Classics</v>
      </c>
      <c r="H3144" s="14">
        <f>VLOOKUP(E3144,'Rental Transaction'!A:B,2,FALSE)</f>
        <v>817159</v>
      </c>
      <c r="I3144">
        <f t="shared" si="49"/>
        <v>2013</v>
      </c>
    </row>
    <row r="3145" spans="1:9" ht="29.25">
      <c r="A3145" s="1">
        <v>10164</v>
      </c>
      <c r="B3145" s="1">
        <v>2</v>
      </c>
      <c r="C3145" s="2">
        <v>41519</v>
      </c>
      <c r="D3145" s="1" t="s">
        <v>2005</v>
      </c>
      <c r="E3145" s="1">
        <v>101773</v>
      </c>
      <c r="F3145" s="6" t="s">
        <v>5147</v>
      </c>
      <c r="G3145" s="15" t="str">
        <f>VLOOKUP(A3145,Movie!A:D,4,FALSE)</f>
        <v>Weinstein Company</v>
      </c>
      <c r="H3145" s="14">
        <f>VLOOKUP(E3145,'Rental Transaction'!A:B,2,FALSE)</f>
        <v>670707</v>
      </c>
      <c r="I3145">
        <f t="shared" si="49"/>
        <v>2013</v>
      </c>
    </row>
    <row r="3146" spans="1:9">
      <c r="A3146" s="1">
        <v>10238</v>
      </c>
      <c r="B3146" s="1">
        <v>1</v>
      </c>
      <c r="C3146" s="2">
        <v>41521</v>
      </c>
      <c r="D3146" s="1" t="s">
        <v>2002</v>
      </c>
      <c r="E3146" s="1">
        <v>101773</v>
      </c>
      <c r="F3146" s="6" t="s">
        <v>5148</v>
      </c>
      <c r="G3146" s="15" t="str">
        <f>VLOOKUP(A3146,Movie!A:D,4,FALSE)</f>
        <v>Warner Brothers</v>
      </c>
      <c r="H3146" s="14">
        <f>VLOOKUP(E3146,'Rental Transaction'!A:B,2,FALSE)</f>
        <v>670707</v>
      </c>
      <c r="I3146">
        <f t="shared" si="49"/>
        <v>2013</v>
      </c>
    </row>
    <row r="3147" spans="1:9">
      <c r="A3147" s="1">
        <v>10293</v>
      </c>
      <c r="B3147" s="1">
        <v>10</v>
      </c>
      <c r="C3147" s="2">
        <v>41519</v>
      </c>
      <c r="D3147" s="1" t="s">
        <v>2005</v>
      </c>
      <c r="E3147" s="1">
        <v>101774</v>
      </c>
      <c r="F3147" s="6" t="s">
        <v>5149</v>
      </c>
      <c r="G3147" s="15" t="str">
        <f>VLOOKUP(A3147,Movie!A:D,4,FALSE)</f>
        <v>Relativity</v>
      </c>
      <c r="H3147" s="14">
        <f>VLOOKUP(E3147,'Rental Transaction'!A:B,2,FALSE)</f>
        <v>772690</v>
      </c>
      <c r="I3147">
        <f t="shared" si="49"/>
        <v>2013</v>
      </c>
    </row>
    <row r="3148" spans="1:9">
      <c r="A3148" s="1">
        <v>10091</v>
      </c>
      <c r="B3148" s="1">
        <v>4</v>
      </c>
      <c r="C3148" s="2">
        <v>41519</v>
      </c>
      <c r="D3148" s="1" t="s">
        <v>2005</v>
      </c>
      <c r="E3148" s="1">
        <v>101774</v>
      </c>
      <c r="F3148" s="6" t="s">
        <v>5150</v>
      </c>
      <c r="G3148" s="15" t="str">
        <f>VLOOKUP(A3148,Movie!A:D,4,FALSE)</f>
        <v>Warner Brothers</v>
      </c>
      <c r="H3148" s="14">
        <f>VLOOKUP(E3148,'Rental Transaction'!A:B,2,FALSE)</f>
        <v>772690</v>
      </c>
      <c r="I3148">
        <f t="shared" si="49"/>
        <v>2013</v>
      </c>
    </row>
    <row r="3149" spans="1:9" ht="29.25">
      <c r="A3149" s="1">
        <v>10105</v>
      </c>
      <c r="B3149" s="1">
        <v>8</v>
      </c>
      <c r="C3149" s="2">
        <v>41520</v>
      </c>
      <c r="D3149" s="1" t="s">
        <v>2005</v>
      </c>
      <c r="E3149" s="1">
        <v>101775</v>
      </c>
      <c r="F3149" s="6" t="s">
        <v>5151</v>
      </c>
      <c r="G3149" s="15" t="str">
        <f>VLOOKUP(A3149,Movie!A:D,4,FALSE)</f>
        <v>Weinstein Company</v>
      </c>
      <c r="H3149" s="14">
        <f>VLOOKUP(E3149,'Rental Transaction'!A:B,2,FALSE)</f>
        <v>143878</v>
      </c>
      <c r="I3149">
        <f t="shared" si="49"/>
        <v>2013</v>
      </c>
    </row>
    <row r="3150" spans="1:9">
      <c r="A3150" s="1">
        <v>10186</v>
      </c>
      <c r="B3150" s="1">
        <v>8</v>
      </c>
      <c r="C3150" s="2">
        <v>41520</v>
      </c>
      <c r="D3150" s="1" t="s">
        <v>2005</v>
      </c>
      <c r="E3150" s="1">
        <v>101775</v>
      </c>
      <c r="F3150" s="6" t="s">
        <v>5152</v>
      </c>
      <c r="G3150" s="15" t="str">
        <f>VLOOKUP(A3150,Movie!A:D,4,FALSE)</f>
        <v>Lionsgate</v>
      </c>
      <c r="H3150" s="14">
        <f>VLOOKUP(E3150,'Rental Transaction'!A:B,2,FALSE)</f>
        <v>143878</v>
      </c>
      <c r="I3150">
        <f t="shared" si="49"/>
        <v>2013</v>
      </c>
    </row>
    <row r="3151" spans="1:9">
      <c r="A3151" s="1">
        <v>10181</v>
      </c>
      <c r="B3151" s="1">
        <v>9</v>
      </c>
      <c r="C3151" s="2">
        <v>41521</v>
      </c>
      <c r="D3151" s="1" t="s">
        <v>2002</v>
      </c>
      <c r="E3151" s="1">
        <v>101776</v>
      </c>
      <c r="F3151" s="6" t="s">
        <v>5153</v>
      </c>
      <c r="G3151" s="15" t="str">
        <f>VLOOKUP(A3151,Movie!A:D,4,FALSE)</f>
        <v>Fox</v>
      </c>
      <c r="H3151" s="14">
        <f>VLOOKUP(E3151,'Rental Transaction'!A:B,2,FALSE)</f>
        <v>464782</v>
      </c>
      <c r="I3151">
        <f t="shared" si="49"/>
        <v>2013</v>
      </c>
    </row>
    <row r="3152" spans="1:9">
      <c r="A3152" s="1">
        <v>10090</v>
      </c>
      <c r="B3152" s="1">
        <v>8</v>
      </c>
      <c r="C3152" s="2">
        <v>41523</v>
      </c>
      <c r="D3152" s="1" t="s">
        <v>2002</v>
      </c>
      <c r="E3152" s="1">
        <v>101776</v>
      </c>
      <c r="F3152" s="6" t="s">
        <v>5154</v>
      </c>
      <c r="G3152" s="15" t="str">
        <f>VLOOKUP(A3152,Movie!A:D,4,FALSE)</f>
        <v>Paramount</v>
      </c>
      <c r="H3152" s="14">
        <f>VLOOKUP(E3152,'Rental Transaction'!A:B,2,FALSE)</f>
        <v>464782</v>
      </c>
      <c r="I3152">
        <f t="shared" si="49"/>
        <v>2013</v>
      </c>
    </row>
    <row r="3153" spans="1:9">
      <c r="A3153" s="1">
        <v>10078</v>
      </c>
      <c r="B3153" s="1">
        <v>10</v>
      </c>
      <c r="C3153" s="2">
        <v>41520</v>
      </c>
      <c r="D3153" s="1" t="s">
        <v>2005</v>
      </c>
      <c r="E3153" s="1">
        <v>101777</v>
      </c>
      <c r="F3153" s="6" t="s">
        <v>5155</v>
      </c>
      <c r="G3153" s="15" t="str">
        <f>VLOOKUP(A3153,Movie!A:D,4,FALSE)</f>
        <v>Paramount</v>
      </c>
      <c r="H3153" s="14">
        <f>VLOOKUP(E3153,'Rental Transaction'!A:B,2,FALSE)</f>
        <v>297686</v>
      </c>
      <c r="I3153">
        <f t="shared" si="49"/>
        <v>2013</v>
      </c>
    </row>
    <row r="3154" spans="1:9">
      <c r="A3154" s="1">
        <v>10201</v>
      </c>
      <c r="B3154" s="1">
        <v>10</v>
      </c>
      <c r="C3154" s="2">
        <v>41520</v>
      </c>
      <c r="D3154" s="1" t="s">
        <v>2002</v>
      </c>
      <c r="E3154" s="1">
        <v>101778</v>
      </c>
      <c r="F3154" s="6" t="s">
        <v>5156</v>
      </c>
      <c r="G3154" s="15" t="str">
        <f>VLOOKUP(A3154,Movie!A:D,4,FALSE)</f>
        <v>Screen Gems</v>
      </c>
      <c r="H3154" s="14">
        <f>VLOOKUP(E3154,'Rental Transaction'!A:B,2,FALSE)</f>
        <v>815980</v>
      </c>
      <c r="I3154">
        <f t="shared" si="49"/>
        <v>2013</v>
      </c>
    </row>
    <row r="3155" spans="1:9">
      <c r="A3155" s="1">
        <v>10058</v>
      </c>
      <c r="B3155" s="1">
        <v>3</v>
      </c>
      <c r="C3155" s="2">
        <v>41520</v>
      </c>
      <c r="D3155" s="1" t="s">
        <v>2002</v>
      </c>
      <c r="E3155" s="1">
        <v>101778</v>
      </c>
      <c r="F3155" s="6" t="s">
        <v>5157</v>
      </c>
      <c r="G3155" s="15" t="str">
        <f>VLOOKUP(A3155,Movie!A:D,4,FALSE)</f>
        <v>Sony</v>
      </c>
      <c r="H3155" s="14">
        <f>VLOOKUP(E3155,'Rental Transaction'!A:B,2,FALSE)</f>
        <v>815980</v>
      </c>
      <c r="I3155">
        <f t="shared" si="49"/>
        <v>2013</v>
      </c>
    </row>
    <row r="3156" spans="1:9">
      <c r="A3156" s="1">
        <v>10133</v>
      </c>
      <c r="B3156" s="1">
        <v>2</v>
      </c>
      <c r="C3156" s="2">
        <v>41520</v>
      </c>
      <c r="D3156" s="1" t="s">
        <v>2005</v>
      </c>
      <c r="E3156" s="1">
        <v>101778</v>
      </c>
      <c r="F3156" s="6" t="s">
        <v>5158</v>
      </c>
      <c r="G3156" s="15" t="str">
        <f>VLOOKUP(A3156,Movie!A:D,4,FALSE)</f>
        <v>Fox</v>
      </c>
      <c r="H3156" s="14">
        <f>VLOOKUP(E3156,'Rental Transaction'!A:B,2,FALSE)</f>
        <v>815980</v>
      </c>
      <c r="I3156">
        <f t="shared" si="49"/>
        <v>2013</v>
      </c>
    </row>
    <row r="3157" spans="1:9">
      <c r="A3157" s="1">
        <v>10276</v>
      </c>
      <c r="B3157" s="1">
        <v>6</v>
      </c>
      <c r="C3157" s="2">
        <v>41520</v>
      </c>
      <c r="D3157" s="1" t="s">
        <v>2005</v>
      </c>
      <c r="E3157" s="1">
        <v>101779</v>
      </c>
      <c r="F3157" s="6" t="s">
        <v>5159</v>
      </c>
      <c r="G3157" s="15" t="str">
        <f>VLOOKUP(A3157,Movie!A:D,4,FALSE)</f>
        <v>FilmDistrict</v>
      </c>
      <c r="H3157" s="14">
        <f>VLOOKUP(E3157,'Rental Transaction'!A:B,2,FALSE)</f>
        <v>202612</v>
      </c>
      <c r="I3157">
        <f t="shared" si="49"/>
        <v>2013</v>
      </c>
    </row>
    <row r="3158" spans="1:9">
      <c r="A3158" s="1">
        <v>10085</v>
      </c>
      <c r="B3158" s="1">
        <v>10</v>
      </c>
      <c r="C3158" s="2">
        <v>41521</v>
      </c>
      <c r="D3158" s="1" t="s">
        <v>2002</v>
      </c>
      <c r="E3158" s="1">
        <v>101779</v>
      </c>
      <c r="F3158" s="6" t="s">
        <v>5160</v>
      </c>
      <c r="G3158" s="15" t="str">
        <f>VLOOKUP(A3158,Movie!A:D,4,FALSE)</f>
        <v>Buena Vista</v>
      </c>
      <c r="H3158" s="14">
        <f>VLOOKUP(E3158,'Rental Transaction'!A:B,2,FALSE)</f>
        <v>202612</v>
      </c>
      <c r="I3158">
        <f t="shared" si="49"/>
        <v>2013</v>
      </c>
    </row>
    <row r="3159" spans="1:9">
      <c r="A3159" s="1">
        <v>10004</v>
      </c>
      <c r="B3159" s="1">
        <v>1</v>
      </c>
      <c r="C3159" s="2">
        <v>41521</v>
      </c>
      <c r="D3159" s="1" t="s">
        <v>2002</v>
      </c>
      <c r="E3159" s="1">
        <v>101779</v>
      </c>
      <c r="F3159" s="6" t="s">
        <v>5161</v>
      </c>
      <c r="G3159" s="15" t="str">
        <f>VLOOKUP(A3159,Movie!A:D,4,FALSE)</f>
        <v>Paramount</v>
      </c>
      <c r="H3159" s="14">
        <f>VLOOKUP(E3159,'Rental Transaction'!A:B,2,FALSE)</f>
        <v>202612</v>
      </c>
      <c r="I3159">
        <f t="shared" si="49"/>
        <v>2013</v>
      </c>
    </row>
    <row r="3160" spans="1:9">
      <c r="A3160" s="1">
        <v>10212</v>
      </c>
      <c r="B3160" s="1">
        <v>7</v>
      </c>
      <c r="C3160" s="2">
        <v>41521</v>
      </c>
      <c r="D3160" s="1" t="s">
        <v>2002</v>
      </c>
      <c r="E3160" s="1">
        <v>101779</v>
      </c>
      <c r="F3160" s="6" t="s">
        <v>5162</v>
      </c>
      <c r="G3160" s="15" t="str">
        <f>VLOOKUP(A3160,Movie!A:D,4,FALSE)</f>
        <v>Lionsgate</v>
      </c>
      <c r="H3160" s="14">
        <f>VLOOKUP(E3160,'Rental Transaction'!A:B,2,FALSE)</f>
        <v>202612</v>
      </c>
      <c r="I3160">
        <f t="shared" si="49"/>
        <v>2013</v>
      </c>
    </row>
    <row r="3161" spans="1:9">
      <c r="A3161" s="1">
        <v>10147</v>
      </c>
      <c r="B3161" s="1">
        <v>4</v>
      </c>
      <c r="C3161" s="2">
        <v>41520</v>
      </c>
      <c r="D3161" s="1" t="s">
        <v>2002</v>
      </c>
      <c r="E3161" s="1">
        <v>101780</v>
      </c>
      <c r="F3161" s="6" t="s">
        <v>5163</v>
      </c>
      <c r="G3161" s="15" t="str">
        <f>VLOOKUP(A3161,Movie!A:D,4,FALSE)</f>
        <v>Lionsgate</v>
      </c>
      <c r="H3161" s="14">
        <f>VLOOKUP(E3161,'Rental Transaction'!A:B,2,FALSE)</f>
        <v>548546</v>
      </c>
      <c r="I3161">
        <f t="shared" si="49"/>
        <v>2013</v>
      </c>
    </row>
    <row r="3162" spans="1:9">
      <c r="A3162" s="1">
        <v>10102</v>
      </c>
      <c r="B3162" s="1">
        <v>8</v>
      </c>
      <c r="C3162" s="2">
        <v>41520</v>
      </c>
      <c r="D3162" s="1" t="s">
        <v>2002</v>
      </c>
      <c r="E3162" s="1">
        <v>101780</v>
      </c>
      <c r="F3162" s="6" t="s">
        <v>5164</v>
      </c>
      <c r="G3162" s="15" t="str">
        <f>VLOOKUP(A3162,Movie!A:D,4,FALSE)</f>
        <v>Universal</v>
      </c>
      <c r="H3162" s="14">
        <f>VLOOKUP(E3162,'Rental Transaction'!A:B,2,FALSE)</f>
        <v>548546</v>
      </c>
      <c r="I3162">
        <f t="shared" si="49"/>
        <v>2013</v>
      </c>
    </row>
    <row r="3163" spans="1:9">
      <c r="A3163" s="1">
        <v>10015</v>
      </c>
      <c r="B3163" s="1">
        <v>1</v>
      </c>
      <c r="C3163" s="2">
        <v>41521</v>
      </c>
      <c r="D3163" s="1" t="s">
        <v>2005</v>
      </c>
      <c r="E3163" s="1">
        <v>101781</v>
      </c>
      <c r="F3163" s="6" t="s">
        <v>5165</v>
      </c>
      <c r="G3163" s="15" t="str">
        <f>VLOOKUP(A3163,Movie!A:D,4,FALSE)</f>
        <v>TriStar</v>
      </c>
      <c r="H3163" s="14">
        <f>VLOOKUP(E3163,'Rental Transaction'!A:B,2,FALSE)</f>
        <v>611848</v>
      </c>
      <c r="I3163">
        <f t="shared" si="49"/>
        <v>2013</v>
      </c>
    </row>
    <row r="3164" spans="1:9">
      <c r="A3164" s="1">
        <v>10116</v>
      </c>
      <c r="B3164" s="1">
        <v>5</v>
      </c>
      <c r="C3164" s="2">
        <v>41521</v>
      </c>
      <c r="D3164" s="1" t="s">
        <v>2005</v>
      </c>
      <c r="E3164" s="1">
        <v>101782</v>
      </c>
      <c r="F3164" s="6" t="s">
        <v>5166</v>
      </c>
      <c r="G3164" s="15" t="str">
        <f>VLOOKUP(A3164,Movie!A:D,4,FALSE)</f>
        <v>Universal</v>
      </c>
      <c r="H3164" s="14">
        <f>VLOOKUP(E3164,'Rental Transaction'!A:B,2,FALSE)</f>
        <v>442254</v>
      </c>
      <c r="I3164">
        <f t="shared" si="49"/>
        <v>2013</v>
      </c>
    </row>
    <row r="3165" spans="1:9">
      <c r="A3165" s="1">
        <v>10231</v>
      </c>
      <c r="B3165" s="1">
        <v>10</v>
      </c>
      <c r="C3165" s="2">
        <v>41520</v>
      </c>
      <c r="D3165" s="1" t="s">
        <v>2005</v>
      </c>
      <c r="E3165" s="1">
        <v>101782</v>
      </c>
      <c r="F3165" s="6" t="s">
        <v>5167</v>
      </c>
      <c r="G3165" s="15" t="str">
        <f>VLOOKUP(A3165,Movie!A:D,4,FALSE)</f>
        <v>Universal</v>
      </c>
      <c r="H3165" s="14">
        <f>VLOOKUP(E3165,'Rental Transaction'!A:B,2,FALSE)</f>
        <v>442254</v>
      </c>
      <c r="I3165">
        <f t="shared" si="49"/>
        <v>2013</v>
      </c>
    </row>
    <row r="3166" spans="1:9">
      <c r="A3166" s="1">
        <v>10244</v>
      </c>
      <c r="B3166" s="1">
        <v>9</v>
      </c>
      <c r="C3166" s="2">
        <v>41520</v>
      </c>
      <c r="D3166" s="1" t="s">
        <v>2005</v>
      </c>
      <c r="E3166" s="1">
        <v>101783</v>
      </c>
      <c r="F3166" s="6" t="s">
        <v>5168</v>
      </c>
      <c r="G3166" s="15" t="str">
        <f>VLOOKUP(A3166,Movie!A:D,4,FALSE)</f>
        <v>Sony</v>
      </c>
      <c r="H3166" s="14">
        <f>VLOOKUP(E3166,'Rental Transaction'!A:B,2,FALSE)</f>
        <v>741514</v>
      </c>
      <c r="I3166">
        <f t="shared" si="49"/>
        <v>2013</v>
      </c>
    </row>
    <row r="3167" spans="1:9">
      <c r="A3167" s="1">
        <v>10207</v>
      </c>
      <c r="B3167" s="1">
        <v>3</v>
      </c>
      <c r="C3167" s="2">
        <v>41520</v>
      </c>
      <c r="D3167" s="1" t="s">
        <v>2005</v>
      </c>
      <c r="E3167" s="1">
        <v>101783</v>
      </c>
      <c r="F3167" s="6" t="s">
        <v>5169</v>
      </c>
      <c r="G3167" s="15" t="str">
        <f>VLOOKUP(A3167,Movie!A:D,4,FALSE)</f>
        <v>Paramount</v>
      </c>
      <c r="H3167" s="14">
        <f>VLOOKUP(E3167,'Rental Transaction'!A:B,2,FALSE)</f>
        <v>741514</v>
      </c>
      <c r="I3167">
        <f t="shared" si="49"/>
        <v>2013</v>
      </c>
    </row>
    <row r="3168" spans="1:9">
      <c r="A3168" s="1">
        <v>10118</v>
      </c>
      <c r="B3168" s="1">
        <v>10</v>
      </c>
      <c r="C3168" s="2">
        <v>41520</v>
      </c>
      <c r="D3168" s="1" t="s">
        <v>2002</v>
      </c>
      <c r="E3168" s="1">
        <v>101784</v>
      </c>
      <c r="F3168" s="6" t="s">
        <v>5170</v>
      </c>
      <c r="G3168" s="15" t="str">
        <f>VLOOKUP(A3168,Movie!A:D,4,FALSE)</f>
        <v>Buena Vista</v>
      </c>
      <c r="H3168" s="14">
        <f>VLOOKUP(E3168,'Rental Transaction'!A:B,2,FALSE)</f>
        <v>205927</v>
      </c>
      <c r="I3168">
        <f t="shared" si="49"/>
        <v>2013</v>
      </c>
    </row>
    <row r="3169" spans="1:9" ht="29.25">
      <c r="A3169" s="1">
        <v>10140</v>
      </c>
      <c r="B3169" s="1">
        <v>5</v>
      </c>
      <c r="C3169" s="2">
        <v>41520</v>
      </c>
      <c r="D3169" s="1" t="s">
        <v>2002</v>
      </c>
      <c r="E3169" s="1">
        <v>101784</v>
      </c>
      <c r="F3169" s="6" t="s">
        <v>5171</v>
      </c>
      <c r="G3169" s="15" t="str">
        <f>VLOOKUP(A3169,Movie!A:D,4,FALSE)</f>
        <v>Weinstein Company</v>
      </c>
      <c r="H3169" s="14">
        <f>VLOOKUP(E3169,'Rental Transaction'!A:B,2,FALSE)</f>
        <v>205927</v>
      </c>
      <c r="I3169">
        <f t="shared" si="49"/>
        <v>2013</v>
      </c>
    </row>
    <row r="3170" spans="1:9">
      <c r="A3170" s="1">
        <v>10044</v>
      </c>
      <c r="B3170" s="1">
        <v>8</v>
      </c>
      <c r="C3170" s="2">
        <v>41520</v>
      </c>
      <c r="D3170" s="1" t="s">
        <v>2002</v>
      </c>
      <c r="E3170" s="1">
        <v>101784</v>
      </c>
      <c r="F3170" s="6" t="s">
        <v>5172</v>
      </c>
      <c r="G3170" s="15" t="str">
        <f>VLOOKUP(A3170,Movie!A:D,4,FALSE)</f>
        <v>Buena Vista</v>
      </c>
      <c r="H3170" s="14">
        <f>VLOOKUP(E3170,'Rental Transaction'!A:B,2,FALSE)</f>
        <v>205927</v>
      </c>
      <c r="I3170">
        <f t="shared" si="49"/>
        <v>2013</v>
      </c>
    </row>
    <row r="3171" spans="1:9">
      <c r="A3171" s="1">
        <v>10240</v>
      </c>
      <c r="B3171" s="1">
        <v>10</v>
      </c>
      <c r="C3171" s="2">
        <v>41520</v>
      </c>
      <c r="D3171" s="1" t="s">
        <v>2005</v>
      </c>
      <c r="E3171" s="1">
        <v>101784</v>
      </c>
      <c r="F3171" s="6" t="s">
        <v>5173</v>
      </c>
      <c r="G3171" s="15" t="str">
        <f>VLOOKUP(A3171,Movie!A:D,4,FALSE)</f>
        <v>Warner Brothers</v>
      </c>
      <c r="H3171" s="14">
        <f>VLOOKUP(E3171,'Rental Transaction'!A:B,2,FALSE)</f>
        <v>205927</v>
      </c>
      <c r="I3171">
        <f t="shared" si="49"/>
        <v>2013</v>
      </c>
    </row>
    <row r="3172" spans="1:9" ht="29.25">
      <c r="A3172" s="1">
        <v>10164</v>
      </c>
      <c r="B3172" s="1">
        <v>8</v>
      </c>
      <c r="C3172" s="2">
        <v>41520</v>
      </c>
      <c r="D3172" s="1" t="s">
        <v>2002</v>
      </c>
      <c r="E3172" s="1">
        <v>101785</v>
      </c>
      <c r="F3172" s="6" t="s">
        <v>5174</v>
      </c>
      <c r="G3172" s="15" t="str">
        <f>VLOOKUP(A3172,Movie!A:D,4,FALSE)</f>
        <v>Weinstein Company</v>
      </c>
      <c r="H3172" s="14">
        <f>VLOOKUP(E3172,'Rental Transaction'!A:B,2,FALSE)</f>
        <v>901388</v>
      </c>
      <c r="I3172">
        <f t="shared" si="49"/>
        <v>2013</v>
      </c>
    </row>
    <row r="3173" spans="1:9">
      <c r="A3173" s="1">
        <v>10237</v>
      </c>
      <c r="B3173" s="1">
        <v>8</v>
      </c>
      <c r="C3173" s="2">
        <v>41520</v>
      </c>
      <c r="D3173" s="1" t="s">
        <v>2005</v>
      </c>
      <c r="E3173" s="1">
        <v>101785</v>
      </c>
      <c r="F3173" s="6" t="s">
        <v>5175</v>
      </c>
      <c r="G3173" s="15" t="str">
        <f>VLOOKUP(A3173,Movie!A:D,4,FALSE)</f>
        <v>Warner Brothers</v>
      </c>
      <c r="H3173" s="14">
        <f>VLOOKUP(E3173,'Rental Transaction'!A:B,2,FALSE)</f>
        <v>901388</v>
      </c>
      <c r="I3173">
        <f t="shared" si="49"/>
        <v>2013</v>
      </c>
    </row>
    <row r="3174" spans="1:9">
      <c r="A3174" s="1">
        <v>10137</v>
      </c>
      <c r="B3174" s="1">
        <v>7</v>
      </c>
      <c r="C3174" s="2">
        <v>41520</v>
      </c>
      <c r="D3174" s="1" t="s">
        <v>2002</v>
      </c>
      <c r="E3174" s="1">
        <v>101786</v>
      </c>
      <c r="F3174" s="6" t="s">
        <v>5176</v>
      </c>
      <c r="G3174" s="15" t="str">
        <f>VLOOKUP(A3174,Movie!A:D,4,FALSE)</f>
        <v>Buena Vista</v>
      </c>
      <c r="H3174" s="14">
        <f>VLOOKUP(E3174,'Rental Transaction'!A:B,2,FALSE)</f>
        <v>267632</v>
      </c>
      <c r="I3174">
        <f t="shared" si="49"/>
        <v>2013</v>
      </c>
    </row>
    <row r="3175" spans="1:9">
      <c r="A3175" s="1">
        <v>10122</v>
      </c>
      <c r="B3175" s="1">
        <v>7</v>
      </c>
      <c r="C3175" s="2">
        <v>41520</v>
      </c>
      <c r="D3175" s="1" t="s">
        <v>2005</v>
      </c>
      <c r="E3175" s="1">
        <v>101786</v>
      </c>
      <c r="F3175" s="6" t="s">
        <v>5177</v>
      </c>
      <c r="G3175" s="15" t="str">
        <f>VLOOKUP(A3175,Movie!A:D,4,FALSE)</f>
        <v>Relativity</v>
      </c>
      <c r="H3175" s="14">
        <f>VLOOKUP(E3175,'Rental Transaction'!A:B,2,FALSE)</f>
        <v>267632</v>
      </c>
      <c r="I3175">
        <f t="shared" si="49"/>
        <v>2013</v>
      </c>
    </row>
    <row r="3176" spans="1:9">
      <c r="A3176" s="1">
        <v>10260</v>
      </c>
      <c r="B3176" s="1">
        <v>7</v>
      </c>
      <c r="C3176" s="2">
        <v>41521</v>
      </c>
      <c r="D3176" s="1" t="s">
        <v>2005</v>
      </c>
      <c r="E3176" s="1">
        <v>101787</v>
      </c>
      <c r="F3176" s="6" t="s">
        <v>5178</v>
      </c>
      <c r="G3176" s="15" t="str">
        <f>VLOOKUP(A3176,Movie!A:D,4,FALSE)</f>
        <v>Sony</v>
      </c>
      <c r="H3176" s="14">
        <f>VLOOKUP(E3176,'Rental Transaction'!A:B,2,FALSE)</f>
        <v>494106</v>
      </c>
      <c r="I3176">
        <f t="shared" si="49"/>
        <v>2013</v>
      </c>
    </row>
    <row r="3177" spans="1:9">
      <c r="A3177" s="1">
        <v>10217</v>
      </c>
      <c r="B3177" s="1">
        <v>6</v>
      </c>
      <c r="C3177" s="2">
        <v>41521</v>
      </c>
      <c r="D3177" s="1" t="s">
        <v>2005</v>
      </c>
      <c r="E3177" s="1">
        <v>101787</v>
      </c>
      <c r="F3177" s="6" t="s">
        <v>5179</v>
      </c>
      <c r="G3177" s="15" t="str">
        <f>VLOOKUP(A3177,Movie!A:D,4,FALSE)</f>
        <v>Warner Brothers</v>
      </c>
      <c r="H3177" s="14">
        <f>VLOOKUP(E3177,'Rental Transaction'!A:B,2,FALSE)</f>
        <v>494106</v>
      </c>
      <c r="I3177">
        <f t="shared" si="49"/>
        <v>2013</v>
      </c>
    </row>
    <row r="3178" spans="1:9">
      <c r="A3178" s="1">
        <v>10169</v>
      </c>
      <c r="B3178" s="1">
        <v>4</v>
      </c>
      <c r="C3178" s="2">
        <v>41520</v>
      </c>
      <c r="D3178" s="1" t="s">
        <v>2002</v>
      </c>
      <c r="E3178" s="1">
        <v>101788</v>
      </c>
      <c r="F3178" s="6" t="s">
        <v>5180</v>
      </c>
      <c r="G3178" s="15" t="str">
        <f>VLOOKUP(A3178,Movie!A:D,4,FALSE)</f>
        <v>Warner Brothers</v>
      </c>
      <c r="H3178" s="14">
        <f>VLOOKUP(E3178,'Rental Transaction'!A:B,2,FALSE)</f>
        <v>664934</v>
      </c>
      <c r="I3178">
        <f t="shared" si="49"/>
        <v>2013</v>
      </c>
    </row>
    <row r="3179" spans="1:9">
      <c r="A3179" s="1">
        <v>10052</v>
      </c>
      <c r="B3179" s="1">
        <v>2</v>
      </c>
      <c r="C3179" s="2">
        <v>41521</v>
      </c>
      <c r="D3179" s="1" t="s">
        <v>2002</v>
      </c>
      <c r="E3179" s="1">
        <v>101788</v>
      </c>
      <c r="F3179" s="6" t="s">
        <v>5181</v>
      </c>
      <c r="G3179" s="15" t="str">
        <f>VLOOKUP(A3179,Movie!A:D,4,FALSE)</f>
        <v>Warner Brothers</v>
      </c>
      <c r="H3179" s="14">
        <f>VLOOKUP(E3179,'Rental Transaction'!A:B,2,FALSE)</f>
        <v>664934</v>
      </c>
      <c r="I3179">
        <f t="shared" si="49"/>
        <v>2013</v>
      </c>
    </row>
    <row r="3180" spans="1:9">
      <c r="A3180" s="1">
        <v>10053</v>
      </c>
      <c r="B3180" s="1">
        <v>10</v>
      </c>
      <c r="C3180" s="2">
        <v>41520</v>
      </c>
      <c r="D3180" s="1" t="s">
        <v>2002</v>
      </c>
      <c r="E3180" s="1">
        <v>101788</v>
      </c>
      <c r="F3180" s="6" t="s">
        <v>5182</v>
      </c>
      <c r="G3180" s="15" t="str">
        <f>VLOOKUP(A3180,Movie!A:D,4,FALSE)</f>
        <v>Sony</v>
      </c>
      <c r="H3180" s="14">
        <f>VLOOKUP(E3180,'Rental Transaction'!A:B,2,FALSE)</f>
        <v>664934</v>
      </c>
      <c r="I3180">
        <f t="shared" si="49"/>
        <v>2013</v>
      </c>
    </row>
    <row r="3181" spans="1:9">
      <c r="A3181" s="1">
        <v>10021</v>
      </c>
      <c r="B3181" s="1">
        <v>8</v>
      </c>
      <c r="C3181" s="2">
        <v>41520</v>
      </c>
      <c r="D3181" s="1" t="s">
        <v>2005</v>
      </c>
      <c r="E3181" s="1">
        <v>101789</v>
      </c>
      <c r="F3181" s="6" t="s">
        <v>5183</v>
      </c>
      <c r="G3181" s="15" t="str">
        <f>VLOOKUP(A3181,Movie!A:D,4,FALSE)</f>
        <v>Paramount</v>
      </c>
      <c r="H3181" s="14">
        <f>VLOOKUP(E3181,'Rental Transaction'!A:B,2,FALSE)</f>
        <v>395125</v>
      </c>
      <c r="I3181">
        <f t="shared" si="49"/>
        <v>2013</v>
      </c>
    </row>
    <row r="3182" spans="1:9">
      <c r="A3182" s="1">
        <v>10296</v>
      </c>
      <c r="B3182" s="1">
        <v>8</v>
      </c>
      <c r="C3182" s="2">
        <v>41521</v>
      </c>
      <c r="D3182" s="1" t="s">
        <v>2002</v>
      </c>
      <c r="E3182" s="1">
        <v>101790</v>
      </c>
      <c r="F3182" s="6" t="s">
        <v>5184</v>
      </c>
      <c r="G3182" s="15" t="str">
        <f>VLOOKUP(A3182,Movie!A:D,4,FALSE)</f>
        <v>A24</v>
      </c>
      <c r="H3182" s="14">
        <f>VLOOKUP(E3182,'Rental Transaction'!A:B,2,FALSE)</f>
        <v>954812</v>
      </c>
      <c r="I3182">
        <f t="shared" si="49"/>
        <v>2013</v>
      </c>
    </row>
    <row r="3183" spans="1:9">
      <c r="A3183" s="1">
        <v>10230</v>
      </c>
      <c r="B3183" s="1">
        <v>2</v>
      </c>
      <c r="C3183" s="2">
        <v>41521</v>
      </c>
      <c r="D3183" s="1" t="s">
        <v>2002</v>
      </c>
      <c r="E3183" s="1">
        <v>101790</v>
      </c>
      <c r="F3183" s="6" t="s">
        <v>5185</v>
      </c>
      <c r="G3183" s="15" t="str">
        <f>VLOOKUP(A3183,Movie!A:D,4,FALSE)</f>
        <v>Focus</v>
      </c>
      <c r="H3183" s="14">
        <f>VLOOKUP(E3183,'Rental Transaction'!A:B,2,FALSE)</f>
        <v>954812</v>
      </c>
      <c r="I3183">
        <f t="shared" si="49"/>
        <v>2013</v>
      </c>
    </row>
    <row r="3184" spans="1:9">
      <c r="A3184" s="1">
        <v>10271</v>
      </c>
      <c r="B3184" s="1">
        <v>5</v>
      </c>
      <c r="C3184" s="2">
        <v>41521</v>
      </c>
      <c r="D3184" s="1" t="s">
        <v>2002</v>
      </c>
      <c r="E3184" s="1">
        <v>101791</v>
      </c>
      <c r="F3184" s="6" t="s">
        <v>5186</v>
      </c>
      <c r="G3184" s="15" t="str">
        <f>VLOOKUP(A3184,Movie!A:D,4,FALSE)</f>
        <v>Universal</v>
      </c>
      <c r="H3184" s="14">
        <f>VLOOKUP(E3184,'Rental Transaction'!A:B,2,FALSE)</f>
        <v>766161</v>
      </c>
      <c r="I3184">
        <f t="shared" si="49"/>
        <v>2013</v>
      </c>
    </row>
    <row r="3185" spans="1:9">
      <c r="A3185" s="1">
        <v>10229</v>
      </c>
      <c r="B3185" s="1">
        <v>3</v>
      </c>
      <c r="C3185" s="2">
        <v>41521</v>
      </c>
      <c r="D3185" s="1" t="s">
        <v>2005</v>
      </c>
      <c r="E3185" s="1">
        <v>101791</v>
      </c>
      <c r="F3185" s="6" t="s">
        <v>5187</v>
      </c>
      <c r="G3185" s="15" t="str">
        <f>VLOOKUP(A3185,Movie!A:D,4,FALSE)</f>
        <v>TriStar</v>
      </c>
      <c r="H3185" s="14">
        <f>VLOOKUP(E3185,'Rental Transaction'!A:B,2,FALSE)</f>
        <v>766161</v>
      </c>
      <c r="I3185">
        <f t="shared" si="49"/>
        <v>2013</v>
      </c>
    </row>
    <row r="3186" spans="1:9">
      <c r="A3186" s="1">
        <v>10026</v>
      </c>
      <c r="B3186" s="1">
        <v>8</v>
      </c>
      <c r="C3186" s="2">
        <v>41522</v>
      </c>
      <c r="D3186" s="1" t="s">
        <v>2005</v>
      </c>
      <c r="E3186" s="1">
        <v>101792</v>
      </c>
      <c r="F3186" s="6" t="s">
        <v>5188</v>
      </c>
      <c r="G3186" s="15" t="str">
        <f>VLOOKUP(A3186,Movie!A:D,4,FALSE)</f>
        <v>Fox</v>
      </c>
      <c r="H3186" s="14">
        <f>VLOOKUP(E3186,'Rental Transaction'!A:B,2,FALSE)</f>
        <v>249779</v>
      </c>
      <c r="I3186">
        <f t="shared" si="49"/>
        <v>2013</v>
      </c>
    </row>
    <row r="3187" spans="1:9">
      <c r="A3187" s="1">
        <v>10272</v>
      </c>
      <c r="B3187" s="1">
        <v>6</v>
      </c>
      <c r="C3187" s="2">
        <v>41521</v>
      </c>
      <c r="D3187" s="1" t="s">
        <v>2005</v>
      </c>
      <c r="E3187" s="1">
        <v>101793</v>
      </c>
      <c r="F3187" s="6" t="s">
        <v>5189</v>
      </c>
      <c r="G3187" s="15" t="str">
        <f>VLOOKUP(A3187,Movie!A:D,4,FALSE)</f>
        <v>Sony</v>
      </c>
      <c r="H3187" s="14">
        <f>VLOOKUP(E3187,'Rental Transaction'!A:B,2,FALSE)</f>
        <v>612681</v>
      </c>
      <c r="I3187">
        <f t="shared" si="49"/>
        <v>2013</v>
      </c>
    </row>
    <row r="3188" spans="1:9" ht="29.25">
      <c r="A3188" s="1">
        <v>10165</v>
      </c>
      <c r="B3188" s="1">
        <v>7</v>
      </c>
      <c r="C3188" s="2">
        <v>41521</v>
      </c>
      <c r="D3188" s="1" t="s">
        <v>2002</v>
      </c>
      <c r="E3188" s="1">
        <v>101793</v>
      </c>
      <c r="F3188" s="6" t="s">
        <v>5190</v>
      </c>
      <c r="G3188" s="15" t="str">
        <f>VLOOKUP(A3188,Movie!A:D,4,FALSE)</f>
        <v>Weinstein Company</v>
      </c>
      <c r="H3188" s="14">
        <f>VLOOKUP(E3188,'Rental Transaction'!A:B,2,FALSE)</f>
        <v>612681</v>
      </c>
      <c r="I3188">
        <f t="shared" si="49"/>
        <v>2013</v>
      </c>
    </row>
    <row r="3189" spans="1:9">
      <c r="A3189" s="1">
        <v>10253</v>
      </c>
      <c r="B3189" s="1">
        <v>2</v>
      </c>
      <c r="C3189" s="2">
        <v>41523</v>
      </c>
      <c r="D3189" s="1" t="s">
        <v>2002</v>
      </c>
      <c r="E3189" s="1">
        <v>101794</v>
      </c>
      <c r="F3189" s="6" t="s">
        <v>5191</v>
      </c>
      <c r="G3189" s="15" t="str">
        <f>VLOOKUP(A3189,Movie!A:D,4,FALSE)</f>
        <v>Buena Vista</v>
      </c>
      <c r="H3189" s="14">
        <f>VLOOKUP(E3189,'Rental Transaction'!A:B,2,FALSE)</f>
        <v>734624</v>
      </c>
      <c r="I3189">
        <f t="shared" si="49"/>
        <v>2013</v>
      </c>
    </row>
    <row r="3190" spans="1:9">
      <c r="A3190" s="1">
        <v>10031</v>
      </c>
      <c r="B3190" s="1">
        <v>7</v>
      </c>
      <c r="C3190" s="2">
        <v>41521</v>
      </c>
      <c r="D3190" s="1" t="s">
        <v>2002</v>
      </c>
      <c r="E3190" s="1">
        <v>101795</v>
      </c>
      <c r="F3190" s="6" t="s">
        <v>5192</v>
      </c>
      <c r="G3190" s="15" t="str">
        <f>VLOOKUP(A3190,Movie!A:D,4,FALSE)</f>
        <v>Warner Brothers</v>
      </c>
      <c r="H3190" s="14">
        <f>VLOOKUP(E3190,'Rental Transaction'!A:B,2,FALSE)</f>
        <v>601753</v>
      </c>
      <c r="I3190">
        <f t="shared" si="49"/>
        <v>2013</v>
      </c>
    </row>
    <row r="3191" spans="1:9">
      <c r="A3191" s="1">
        <v>10161</v>
      </c>
      <c r="B3191" s="1">
        <v>4</v>
      </c>
      <c r="C3191" s="2">
        <v>41524</v>
      </c>
      <c r="D3191" s="1" t="s">
        <v>2002</v>
      </c>
      <c r="E3191" s="1">
        <v>101795</v>
      </c>
      <c r="F3191" s="6" t="s">
        <v>5193</v>
      </c>
      <c r="G3191" s="15" t="str">
        <f>VLOOKUP(A3191,Movie!A:D,4,FALSE)</f>
        <v>TriStar</v>
      </c>
      <c r="H3191" s="14">
        <f>VLOOKUP(E3191,'Rental Transaction'!A:B,2,FALSE)</f>
        <v>601753</v>
      </c>
      <c r="I3191">
        <f t="shared" si="49"/>
        <v>2013</v>
      </c>
    </row>
    <row r="3192" spans="1:9">
      <c r="A3192" s="1">
        <v>10177</v>
      </c>
      <c r="B3192" s="1">
        <v>3</v>
      </c>
      <c r="C3192" s="2">
        <v>41521</v>
      </c>
      <c r="D3192" s="1" t="s">
        <v>2005</v>
      </c>
      <c r="E3192" s="1">
        <v>101795</v>
      </c>
      <c r="F3192" s="6" t="s">
        <v>5194</v>
      </c>
      <c r="G3192" s="15" t="str">
        <f>VLOOKUP(A3192,Movie!A:D,4,FALSE)</f>
        <v>Fox</v>
      </c>
      <c r="H3192" s="14">
        <f>VLOOKUP(E3192,'Rental Transaction'!A:B,2,FALSE)</f>
        <v>601753</v>
      </c>
      <c r="I3192">
        <f t="shared" si="49"/>
        <v>2013</v>
      </c>
    </row>
    <row r="3193" spans="1:9">
      <c r="A3193" s="1">
        <v>10053</v>
      </c>
      <c r="B3193" s="1">
        <v>9</v>
      </c>
      <c r="C3193" s="2">
        <v>41521</v>
      </c>
      <c r="D3193" s="1" t="s">
        <v>2005</v>
      </c>
      <c r="E3193" s="1">
        <v>101796</v>
      </c>
      <c r="F3193" s="6" t="s">
        <v>5195</v>
      </c>
      <c r="G3193" s="15" t="str">
        <f>VLOOKUP(A3193,Movie!A:D,4,FALSE)</f>
        <v>Sony</v>
      </c>
      <c r="H3193" s="14">
        <f>VLOOKUP(E3193,'Rental Transaction'!A:B,2,FALSE)</f>
        <v>826590</v>
      </c>
      <c r="I3193">
        <f t="shared" si="49"/>
        <v>2013</v>
      </c>
    </row>
    <row r="3194" spans="1:9">
      <c r="A3194" s="1">
        <v>10059</v>
      </c>
      <c r="B3194" s="1">
        <v>4</v>
      </c>
      <c r="C3194" s="2">
        <v>41521</v>
      </c>
      <c r="D3194" s="1" t="s">
        <v>2005</v>
      </c>
      <c r="E3194" s="1">
        <v>101796</v>
      </c>
      <c r="F3194" s="6" t="s">
        <v>5196</v>
      </c>
      <c r="G3194" s="15" t="str">
        <f>VLOOKUP(A3194,Movie!A:D,4,FALSE)</f>
        <v>Universal</v>
      </c>
      <c r="H3194" s="14">
        <f>VLOOKUP(E3194,'Rental Transaction'!A:B,2,FALSE)</f>
        <v>826590</v>
      </c>
      <c r="I3194">
        <f t="shared" si="49"/>
        <v>2013</v>
      </c>
    </row>
    <row r="3195" spans="1:9">
      <c r="A3195" s="1">
        <v>10225</v>
      </c>
      <c r="B3195" s="1">
        <v>6</v>
      </c>
      <c r="C3195" s="2">
        <v>41521</v>
      </c>
      <c r="D3195" s="1" t="s">
        <v>2002</v>
      </c>
      <c r="E3195" s="1">
        <v>101797</v>
      </c>
      <c r="F3195" s="6" t="s">
        <v>5197</v>
      </c>
      <c r="G3195" s="15" t="str">
        <f>VLOOKUP(A3195,Movie!A:D,4,FALSE)</f>
        <v>Warner Brothers</v>
      </c>
      <c r="H3195" s="14">
        <f>VLOOKUP(E3195,'Rental Transaction'!A:B,2,FALSE)</f>
        <v>352644</v>
      </c>
      <c r="I3195">
        <f t="shared" si="49"/>
        <v>2013</v>
      </c>
    </row>
    <row r="3196" spans="1:9">
      <c r="A3196" s="1">
        <v>10184</v>
      </c>
      <c r="B3196" s="1">
        <v>1</v>
      </c>
      <c r="C3196" s="2">
        <v>41521</v>
      </c>
      <c r="D3196" s="1" t="s">
        <v>2002</v>
      </c>
      <c r="E3196" s="1">
        <v>101797</v>
      </c>
      <c r="F3196" s="6" t="s">
        <v>5198</v>
      </c>
      <c r="G3196" s="15" t="str">
        <f>VLOOKUP(A3196,Movie!A:D,4,FALSE)</f>
        <v>Universal</v>
      </c>
      <c r="H3196" s="14">
        <f>VLOOKUP(E3196,'Rental Transaction'!A:B,2,FALSE)</f>
        <v>352644</v>
      </c>
      <c r="I3196">
        <f t="shared" si="49"/>
        <v>2013</v>
      </c>
    </row>
    <row r="3197" spans="1:9" ht="29.25">
      <c r="A3197" s="1">
        <v>10165</v>
      </c>
      <c r="B3197" s="1">
        <v>5</v>
      </c>
      <c r="C3197" s="2">
        <v>41521</v>
      </c>
      <c r="D3197" s="1" t="s">
        <v>2002</v>
      </c>
      <c r="E3197" s="1">
        <v>101798</v>
      </c>
      <c r="F3197" s="6" t="s">
        <v>5199</v>
      </c>
      <c r="G3197" s="15" t="str">
        <f>VLOOKUP(A3197,Movie!A:D,4,FALSE)</f>
        <v>Weinstein Company</v>
      </c>
      <c r="H3197" s="14">
        <f>VLOOKUP(E3197,'Rental Transaction'!A:B,2,FALSE)</f>
        <v>817274</v>
      </c>
      <c r="I3197">
        <f t="shared" si="49"/>
        <v>2013</v>
      </c>
    </row>
    <row r="3198" spans="1:9">
      <c r="A3198" s="1">
        <v>10001</v>
      </c>
      <c r="B3198" s="1">
        <v>8</v>
      </c>
      <c r="C3198" s="2">
        <v>41521</v>
      </c>
      <c r="D3198" s="1" t="s">
        <v>2002</v>
      </c>
      <c r="E3198" s="1">
        <v>101799</v>
      </c>
      <c r="F3198" s="6" t="s">
        <v>5200</v>
      </c>
      <c r="G3198" s="15" t="str">
        <f>VLOOKUP(A3198,Movie!A:D,4,FALSE)</f>
        <v>Focus</v>
      </c>
      <c r="H3198" s="14">
        <f>VLOOKUP(E3198,'Rental Transaction'!A:B,2,FALSE)</f>
        <v>808177</v>
      </c>
      <c r="I3198">
        <f t="shared" si="49"/>
        <v>2013</v>
      </c>
    </row>
    <row r="3199" spans="1:9">
      <c r="A3199" s="1">
        <v>10185</v>
      </c>
      <c r="B3199" s="1">
        <v>6</v>
      </c>
      <c r="C3199" s="2">
        <v>41521</v>
      </c>
      <c r="D3199" s="1" t="s">
        <v>2002</v>
      </c>
      <c r="E3199" s="1">
        <v>101799</v>
      </c>
      <c r="F3199" s="6" t="s">
        <v>5201</v>
      </c>
      <c r="G3199" s="15" t="str">
        <f>VLOOKUP(A3199,Movie!A:D,4,FALSE)</f>
        <v>Warner Brothers</v>
      </c>
      <c r="H3199" s="14">
        <f>VLOOKUP(E3199,'Rental Transaction'!A:B,2,FALSE)</f>
        <v>808177</v>
      </c>
      <c r="I3199">
        <f t="shared" si="49"/>
        <v>2013</v>
      </c>
    </row>
    <row r="3200" spans="1:9">
      <c r="A3200" s="1">
        <v>10178</v>
      </c>
      <c r="B3200" s="1">
        <v>6</v>
      </c>
      <c r="C3200" s="2">
        <v>41522</v>
      </c>
      <c r="D3200" s="1" t="s">
        <v>2005</v>
      </c>
      <c r="E3200" s="1">
        <v>101799</v>
      </c>
      <c r="F3200" s="6" t="s">
        <v>5202</v>
      </c>
      <c r="G3200" s="15" t="str">
        <f>VLOOKUP(A3200,Movie!A:D,4,FALSE)</f>
        <v>Warner Brothers</v>
      </c>
      <c r="H3200" s="14">
        <f>VLOOKUP(E3200,'Rental Transaction'!A:B,2,FALSE)</f>
        <v>808177</v>
      </c>
      <c r="I3200">
        <f t="shared" si="49"/>
        <v>2013</v>
      </c>
    </row>
    <row r="3201" spans="1:9" ht="29.25">
      <c r="A3201" s="1">
        <v>10105</v>
      </c>
      <c r="B3201" s="1">
        <v>1</v>
      </c>
      <c r="C3201" s="2">
        <v>41522</v>
      </c>
      <c r="D3201" s="1" t="s">
        <v>2005</v>
      </c>
      <c r="E3201" s="1">
        <v>101799</v>
      </c>
      <c r="F3201" s="6" t="s">
        <v>5203</v>
      </c>
      <c r="G3201" s="15" t="str">
        <f>VLOOKUP(A3201,Movie!A:D,4,FALSE)</f>
        <v>Weinstein Company</v>
      </c>
      <c r="H3201" s="14">
        <f>VLOOKUP(E3201,'Rental Transaction'!A:B,2,FALSE)</f>
        <v>808177</v>
      </c>
      <c r="I3201">
        <f t="shared" si="49"/>
        <v>2013</v>
      </c>
    </row>
    <row r="3202" spans="1:9">
      <c r="A3202" s="1">
        <v>10147</v>
      </c>
      <c r="B3202" s="1">
        <v>10</v>
      </c>
      <c r="C3202" s="2">
        <v>41521</v>
      </c>
      <c r="D3202" s="1" t="s">
        <v>2002</v>
      </c>
      <c r="E3202" s="1">
        <v>101800</v>
      </c>
      <c r="F3202" s="6" t="s">
        <v>5204</v>
      </c>
      <c r="G3202" s="15" t="str">
        <f>VLOOKUP(A3202,Movie!A:D,4,FALSE)</f>
        <v>Lionsgate</v>
      </c>
      <c r="H3202" s="14">
        <f>VLOOKUP(E3202,'Rental Transaction'!A:B,2,FALSE)</f>
        <v>877877</v>
      </c>
      <c r="I3202">
        <f t="shared" si="49"/>
        <v>2013</v>
      </c>
    </row>
    <row r="3203" spans="1:9">
      <c r="A3203" s="1">
        <v>10018</v>
      </c>
      <c r="B3203" s="1">
        <v>8</v>
      </c>
      <c r="C3203" s="2">
        <v>41521</v>
      </c>
      <c r="D3203" s="1" t="s">
        <v>2002</v>
      </c>
      <c r="E3203" s="1">
        <v>101800</v>
      </c>
      <c r="F3203" s="6" t="s">
        <v>5205</v>
      </c>
      <c r="G3203" s="15" t="str">
        <f>VLOOKUP(A3203,Movie!A:D,4,FALSE)</f>
        <v>Fox</v>
      </c>
      <c r="H3203" s="14">
        <f>VLOOKUP(E3203,'Rental Transaction'!A:B,2,FALSE)</f>
        <v>877877</v>
      </c>
      <c r="I3203">
        <f t="shared" ref="I3203:I3266" si="50">YEAR(C3203)</f>
        <v>2013</v>
      </c>
    </row>
    <row r="3204" spans="1:9">
      <c r="A3204" s="1">
        <v>10244</v>
      </c>
      <c r="B3204" s="1">
        <v>6</v>
      </c>
      <c r="C3204" s="2">
        <v>41522</v>
      </c>
      <c r="D3204" s="1" t="s">
        <v>2002</v>
      </c>
      <c r="E3204" s="1">
        <v>101801</v>
      </c>
      <c r="F3204" s="6" t="s">
        <v>5206</v>
      </c>
      <c r="G3204" s="15" t="str">
        <f>VLOOKUP(A3204,Movie!A:D,4,FALSE)</f>
        <v>Sony</v>
      </c>
      <c r="H3204" s="14">
        <f>VLOOKUP(E3204,'Rental Transaction'!A:B,2,FALSE)</f>
        <v>891738</v>
      </c>
      <c r="I3204">
        <f t="shared" si="50"/>
        <v>2013</v>
      </c>
    </row>
    <row r="3205" spans="1:9">
      <c r="A3205" s="1">
        <v>10073</v>
      </c>
      <c r="B3205" s="1">
        <v>3</v>
      </c>
      <c r="C3205" s="2">
        <v>41521</v>
      </c>
      <c r="D3205" s="1" t="s">
        <v>2002</v>
      </c>
      <c r="E3205" s="1">
        <v>101801</v>
      </c>
      <c r="F3205" s="6" t="s">
        <v>5207</v>
      </c>
      <c r="G3205" s="15" t="str">
        <f>VLOOKUP(A3205,Movie!A:D,4,FALSE)</f>
        <v>FilmDistrict</v>
      </c>
      <c r="H3205" s="14">
        <f>VLOOKUP(E3205,'Rental Transaction'!A:B,2,FALSE)</f>
        <v>891738</v>
      </c>
      <c r="I3205">
        <f t="shared" si="50"/>
        <v>2013</v>
      </c>
    </row>
    <row r="3206" spans="1:9">
      <c r="A3206" s="1">
        <v>10185</v>
      </c>
      <c r="B3206" s="1">
        <v>1</v>
      </c>
      <c r="C3206" s="2">
        <v>41521</v>
      </c>
      <c r="D3206" s="1" t="s">
        <v>2002</v>
      </c>
      <c r="E3206" s="1">
        <v>101802</v>
      </c>
      <c r="F3206" s="6" t="s">
        <v>5208</v>
      </c>
      <c r="G3206" s="15" t="str">
        <f>VLOOKUP(A3206,Movie!A:D,4,FALSE)</f>
        <v>Warner Brothers</v>
      </c>
      <c r="H3206" s="14">
        <f>VLOOKUP(E3206,'Rental Transaction'!A:B,2,FALSE)</f>
        <v>882493</v>
      </c>
      <c r="I3206">
        <f t="shared" si="50"/>
        <v>2013</v>
      </c>
    </row>
    <row r="3207" spans="1:9">
      <c r="A3207" s="1">
        <v>10149</v>
      </c>
      <c r="B3207" s="1">
        <v>8</v>
      </c>
      <c r="C3207" s="2">
        <v>41521</v>
      </c>
      <c r="D3207" s="1" t="s">
        <v>2002</v>
      </c>
      <c r="E3207" s="1">
        <v>101803</v>
      </c>
      <c r="F3207" s="6" t="s">
        <v>5209</v>
      </c>
      <c r="G3207" s="15" t="str">
        <f>VLOOKUP(A3207,Movie!A:D,4,FALSE)</f>
        <v>Relativity</v>
      </c>
      <c r="H3207" s="14">
        <f>VLOOKUP(E3207,'Rental Transaction'!A:B,2,FALSE)</f>
        <v>231615</v>
      </c>
      <c r="I3207">
        <f t="shared" si="50"/>
        <v>2013</v>
      </c>
    </row>
    <row r="3208" spans="1:9">
      <c r="A3208" s="1">
        <v>10143</v>
      </c>
      <c r="B3208" s="1">
        <v>5</v>
      </c>
      <c r="C3208" s="2">
        <v>41522</v>
      </c>
      <c r="D3208" s="1" t="s">
        <v>2002</v>
      </c>
      <c r="E3208" s="1">
        <v>101804</v>
      </c>
      <c r="F3208" s="6" t="s">
        <v>5210</v>
      </c>
      <c r="G3208" s="15" t="str">
        <f>VLOOKUP(A3208,Movie!A:D,4,FALSE)</f>
        <v>Buena Vista</v>
      </c>
      <c r="H3208" s="14">
        <f>VLOOKUP(E3208,'Rental Transaction'!A:B,2,FALSE)</f>
        <v>330570</v>
      </c>
      <c r="I3208">
        <f t="shared" si="50"/>
        <v>2013</v>
      </c>
    </row>
    <row r="3209" spans="1:9">
      <c r="A3209" s="1">
        <v>10192</v>
      </c>
      <c r="B3209" s="1">
        <v>9</v>
      </c>
      <c r="C3209" s="2">
        <v>41522</v>
      </c>
      <c r="D3209" s="1" t="s">
        <v>2002</v>
      </c>
      <c r="E3209" s="1">
        <v>101804</v>
      </c>
      <c r="F3209" s="6" t="s">
        <v>5211</v>
      </c>
      <c r="G3209" s="15" t="str">
        <f>VLOOKUP(A3209,Movie!A:D,4,FALSE)</f>
        <v>Universal</v>
      </c>
      <c r="H3209" s="14">
        <f>VLOOKUP(E3209,'Rental Transaction'!A:B,2,FALSE)</f>
        <v>330570</v>
      </c>
      <c r="I3209">
        <f t="shared" si="50"/>
        <v>2013</v>
      </c>
    </row>
    <row r="3210" spans="1:9">
      <c r="A3210" s="1">
        <v>10231</v>
      </c>
      <c r="B3210" s="1">
        <v>9</v>
      </c>
      <c r="C3210" s="2">
        <v>41523</v>
      </c>
      <c r="D3210" s="1" t="s">
        <v>2005</v>
      </c>
      <c r="E3210" s="1">
        <v>101804</v>
      </c>
      <c r="F3210" s="6" t="s">
        <v>5212</v>
      </c>
      <c r="G3210" s="15" t="str">
        <f>VLOOKUP(A3210,Movie!A:D,4,FALSE)</f>
        <v>Universal</v>
      </c>
      <c r="H3210" s="14">
        <f>VLOOKUP(E3210,'Rental Transaction'!A:B,2,FALSE)</f>
        <v>330570</v>
      </c>
      <c r="I3210">
        <f t="shared" si="50"/>
        <v>2013</v>
      </c>
    </row>
    <row r="3211" spans="1:9">
      <c r="A3211" s="1">
        <v>10022</v>
      </c>
      <c r="B3211" s="1">
        <v>4</v>
      </c>
      <c r="C3211" s="2">
        <v>41523</v>
      </c>
      <c r="D3211" s="1" t="s">
        <v>2002</v>
      </c>
      <c r="E3211" s="1">
        <v>101805</v>
      </c>
      <c r="F3211" s="6" t="s">
        <v>5213</v>
      </c>
      <c r="G3211" s="15" t="str">
        <f>VLOOKUP(A3211,Movie!A:D,4,FALSE)</f>
        <v>Universal</v>
      </c>
      <c r="H3211" s="14">
        <f>VLOOKUP(E3211,'Rental Transaction'!A:B,2,FALSE)</f>
        <v>606155</v>
      </c>
      <c r="I3211">
        <f t="shared" si="50"/>
        <v>2013</v>
      </c>
    </row>
    <row r="3212" spans="1:9">
      <c r="A3212" s="1">
        <v>10279</v>
      </c>
      <c r="B3212" s="1">
        <v>8</v>
      </c>
      <c r="C3212" s="2">
        <v>41521</v>
      </c>
      <c r="D3212" s="1" t="s">
        <v>2002</v>
      </c>
      <c r="E3212" s="1">
        <v>101806</v>
      </c>
      <c r="F3212" s="6" t="s">
        <v>5214</v>
      </c>
      <c r="G3212" s="15" t="str">
        <f>VLOOKUP(A3212,Movie!A:D,4,FALSE)</f>
        <v>Screen Gems</v>
      </c>
      <c r="H3212" s="14">
        <f>VLOOKUP(E3212,'Rental Transaction'!A:B,2,FALSE)</f>
        <v>520377</v>
      </c>
      <c r="I3212">
        <f t="shared" si="50"/>
        <v>2013</v>
      </c>
    </row>
    <row r="3213" spans="1:9">
      <c r="A3213" s="1">
        <v>10190</v>
      </c>
      <c r="B3213" s="1">
        <v>8</v>
      </c>
      <c r="C3213" s="2">
        <v>41523</v>
      </c>
      <c r="D3213" s="1" t="s">
        <v>2002</v>
      </c>
      <c r="E3213" s="1">
        <v>101806</v>
      </c>
      <c r="F3213" s="6" t="s">
        <v>5215</v>
      </c>
      <c r="G3213" s="15" t="str">
        <f>VLOOKUP(A3213,Movie!A:D,4,FALSE)</f>
        <v>Lionsgate</v>
      </c>
      <c r="H3213" s="14">
        <f>VLOOKUP(E3213,'Rental Transaction'!A:B,2,FALSE)</f>
        <v>520377</v>
      </c>
      <c r="I3213">
        <f t="shared" si="50"/>
        <v>2013</v>
      </c>
    </row>
    <row r="3214" spans="1:9">
      <c r="A3214" s="1">
        <v>10292</v>
      </c>
      <c r="B3214" s="1">
        <v>10</v>
      </c>
      <c r="C3214" s="2">
        <v>41521</v>
      </c>
      <c r="D3214" s="1" t="s">
        <v>2002</v>
      </c>
      <c r="E3214" s="1">
        <v>101806</v>
      </c>
      <c r="F3214" s="6" t="s">
        <v>5216</v>
      </c>
      <c r="G3214" s="15" t="str">
        <f>VLOOKUP(A3214,Movie!A:D,4,FALSE)</f>
        <v>Sony Classics</v>
      </c>
      <c r="H3214" s="14">
        <f>VLOOKUP(E3214,'Rental Transaction'!A:B,2,FALSE)</f>
        <v>520377</v>
      </c>
      <c r="I3214">
        <f t="shared" si="50"/>
        <v>2013</v>
      </c>
    </row>
    <row r="3215" spans="1:9">
      <c r="A3215" s="1">
        <v>10166</v>
      </c>
      <c r="B3215" s="1">
        <v>3</v>
      </c>
      <c r="C3215" s="2">
        <v>41522</v>
      </c>
      <c r="D3215" s="1" t="s">
        <v>2005</v>
      </c>
      <c r="E3215" s="1">
        <v>101807</v>
      </c>
      <c r="F3215" s="6" t="s">
        <v>5217</v>
      </c>
      <c r="G3215" s="15" t="str">
        <f>VLOOKUP(A3215,Movie!A:D,4,FALSE)</f>
        <v>Fox</v>
      </c>
      <c r="H3215" s="14">
        <f>VLOOKUP(E3215,'Rental Transaction'!A:B,2,FALSE)</f>
        <v>189441</v>
      </c>
      <c r="I3215">
        <f t="shared" si="50"/>
        <v>2013</v>
      </c>
    </row>
    <row r="3216" spans="1:9">
      <c r="A3216" s="1">
        <v>10280</v>
      </c>
      <c r="B3216" s="1">
        <v>4</v>
      </c>
      <c r="C3216" s="2">
        <v>41522</v>
      </c>
      <c r="D3216" s="1" t="s">
        <v>2002</v>
      </c>
      <c r="E3216" s="1">
        <v>101808</v>
      </c>
      <c r="F3216" s="6" t="s">
        <v>5218</v>
      </c>
      <c r="G3216" s="15" t="str">
        <f>VLOOKUP(A3216,Movie!A:D,4,FALSE)</f>
        <v>Universal</v>
      </c>
      <c r="H3216" s="14">
        <f>VLOOKUP(E3216,'Rental Transaction'!A:B,2,FALSE)</f>
        <v>964619</v>
      </c>
      <c r="I3216">
        <f t="shared" si="50"/>
        <v>2013</v>
      </c>
    </row>
    <row r="3217" spans="1:9">
      <c r="A3217" s="1">
        <v>10126</v>
      </c>
      <c r="B3217" s="1">
        <v>9</v>
      </c>
      <c r="C3217" s="2">
        <v>41524</v>
      </c>
      <c r="D3217" s="1" t="s">
        <v>2005</v>
      </c>
      <c r="E3217" s="1">
        <v>101808</v>
      </c>
      <c r="F3217" s="6" t="s">
        <v>5219</v>
      </c>
      <c r="G3217" s="15" t="str">
        <f>VLOOKUP(A3217,Movie!A:D,4,FALSE)</f>
        <v>Fox</v>
      </c>
      <c r="H3217" s="14">
        <f>VLOOKUP(E3217,'Rental Transaction'!A:B,2,FALSE)</f>
        <v>964619</v>
      </c>
      <c r="I3217">
        <f t="shared" si="50"/>
        <v>2013</v>
      </c>
    </row>
    <row r="3218" spans="1:9">
      <c r="A3218" s="1">
        <v>10054</v>
      </c>
      <c r="B3218" s="1">
        <v>6</v>
      </c>
      <c r="C3218" s="2">
        <v>41523</v>
      </c>
      <c r="D3218" s="1" t="s">
        <v>2002</v>
      </c>
      <c r="E3218" s="1">
        <v>101809</v>
      </c>
      <c r="F3218" s="6" t="s">
        <v>5220</v>
      </c>
      <c r="G3218" s="15" t="str">
        <f>VLOOKUP(A3218,Movie!A:D,4,FALSE)</f>
        <v>Paramount</v>
      </c>
      <c r="H3218" s="14">
        <f>VLOOKUP(E3218,'Rental Transaction'!A:B,2,FALSE)</f>
        <v>262579</v>
      </c>
      <c r="I3218">
        <f t="shared" si="50"/>
        <v>2013</v>
      </c>
    </row>
    <row r="3219" spans="1:9">
      <c r="A3219" s="1">
        <v>10100</v>
      </c>
      <c r="B3219" s="1">
        <v>4</v>
      </c>
      <c r="C3219" s="2">
        <v>41522</v>
      </c>
      <c r="D3219" s="1" t="s">
        <v>2002</v>
      </c>
      <c r="E3219" s="1">
        <v>101810</v>
      </c>
      <c r="F3219" s="6" t="s">
        <v>5221</v>
      </c>
      <c r="G3219" s="15" t="str">
        <f>VLOOKUP(A3219,Movie!A:D,4,FALSE)</f>
        <v>Fox</v>
      </c>
      <c r="H3219" s="14">
        <f>VLOOKUP(E3219,'Rental Transaction'!A:B,2,FALSE)</f>
        <v>973766</v>
      </c>
      <c r="I3219">
        <f t="shared" si="50"/>
        <v>2013</v>
      </c>
    </row>
    <row r="3220" spans="1:9">
      <c r="A3220" s="1">
        <v>10191</v>
      </c>
      <c r="B3220" s="1">
        <v>7</v>
      </c>
      <c r="C3220" s="2">
        <v>41522</v>
      </c>
      <c r="D3220" s="1" t="s">
        <v>2002</v>
      </c>
      <c r="E3220" s="1">
        <v>101810</v>
      </c>
      <c r="F3220" s="6" t="s">
        <v>5222</v>
      </c>
      <c r="G3220" s="15" t="str">
        <f>VLOOKUP(A3220,Movie!A:D,4,FALSE)</f>
        <v>Universal</v>
      </c>
      <c r="H3220" s="14">
        <f>VLOOKUP(E3220,'Rental Transaction'!A:B,2,FALSE)</f>
        <v>973766</v>
      </c>
      <c r="I3220">
        <f t="shared" si="50"/>
        <v>2013</v>
      </c>
    </row>
    <row r="3221" spans="1:9">
      <c r="A3221" s="1">
        <v>10083</v>
      </c>
      <c r="B3221" s="1">
        <v>1</v>
      </c>
      <c r="C3221" s="2">
        <v>41523</v>
      </c>
      <c r="D3221" s="1" t="s">
        <v>2005</v>
      </c>
      <c r="E3221" s="1">
        <v>101811</v>
      </c>
      <c r="F3221" s="6" t="s">
        <v>5223</v>
      </c>
      <c r="G3221" s="15" t="str">
        <f>VLOOKUP(A3221,Movie!A:D,4,FALSE)</f>
        <v>Buena Vista</v>
      </c>
      <c r="H3221" s="14">
        <f>VLOOKUP(E3221,'Rental Transaction'!A:B,2,FALSE)</f>
        <v>464277</v>
      </c>
      <c r="I3221">
        <f t="shared" si="50"/>
        <v>2013</v>
      </c>
    </row>
    <row r="3222" spans="1:9">
      <c r="A3222" s="1">
        <v>10025</v>
      </c>
      <c r="B3222" s="1">
        <v>2</v>
      </c>
      <c r="C3222" s="2">
        <v>41522</v>
      </c>
      <c r="D3222" s="1" t="s">
        <v>2005</v>
      </c>
      <c r="E3222" s="1">
        <v>101812</v>
      </c>
      <c r="F3222" s="6" t="s">
        <v>5224</v>
      </c>
      <c r="G3222" s="15" t="str">
        <f>VLOOKUP(A3222,Movie!A:D,4,FALSE)</f>
        <v>Sony</v>
      </c>
      <c r="H3222" s="14">
        <f>VLOOKUP(E3222,'Rental Transaction'!A:B,2,FALSE)</f>
        <v>672834</v>
      </c>
      <c r="I3222">
        <f t="shared" si="50"/>
        <v>2013</v>
      </c>
    </row>
    <row r="3223" spans="1:9">
      <c r="A3223" s="1">
        <v>10271</v>
      </c>
      <c r="B3223" s="1">
        <v>4</v>
      </c>
      <c r="C3223" s="2">
        <v>41522</v>
      </c>
      <c r="D3223" s="1" t="s">
        <v>2005</v>
      </c>
      <c r="E3223" s="1">
        <v>101812</v>
      </c>
      <c r="F3223" s="6" t="s">
        <v>5225</v>
      </c>
      <c r="G3223" s="15" t="str">
        <f>VLOOKUP(A3223,Movie!A:D,4,FALSE)</f>
        <v>Universal</v>
      </c>
      <c r="H3223" s="14">
        <f>VLOOKUP(E3223,'Rental Transaction'!A:B,2,FALSE)</f>
        <v>672834</v>
      </c>
      <c r="I3223">
        <f t="shared" si="50"/>
        <v>2013</v>
      </c>
    </row>
    <row r="3224" spans="1:9">
      <c r="A3224" s="1">
        <v>10289</v>
      </c>
      <c r="B3224" s="1">
        <v>3</v>
      </c>
      <c r="C3224" s="2">
        <v>41522</v>
      </c>
      <c r="D3224" s="1" t="s">
        <v>2002</v>
      </c>
      <c r="E3224" s="1">
        <v>101813</v>
      </c>
      <c r="F3224" s="6" t="s">
        <v>5226</v>
      </c>
      <c r="G3224" s="15" t="str">
        <f>VLOOKUP(A3224,Movie!A:D,4,FALSE)</f>
        <v>Open Road Films</v>
      </c>
      <c r="H3224" s="14">
        <f>VLOOKUP(E3224,'Rental Transaction'!A:B,2,FALSE)</f>
        <v>549823</v>
      </c>
      <c r="I3224">
        <f t="shared" si="50"/>
        <v>2013</v>
      </c>
    </row>
    <row r="3225" spans="1:9">
      <c r="A3225" s="1">
        <v>10064</v>
      </c>
      <c r="B3225" s="1">
        <v>7</v>
      </c>
      <c r="C3225" s="2">
        <v>41522</v>
      </c>
      <c r="D3225" s="1" t="s">
        <v>2002</v>
      </c>
      <c r="E3225" s="1">
        <v>101813</v>
      </c>
      <c r="F3225" s="6" t="s">
        <v>5227</v>
      </c>
      <c r="G3225" s="15" t="str">
        <f>VLOOKUP(A3225,Movie!A:D,4,FALSE)</f>
        <v>Universal</v>
      </c>
      <c r="H3225" s="14">
        <f>VLOOKUP(E3225,'Rental Transaction'!A:B,2,FALSE)</f>
        <v>549823</v>
      </c>
      <c r="I3225">
        <f t="shared" si="50"/>
        <v>2013</v>
      </c>
    </row>
    <row r="3226" spans="1:9">
      <c r="A3226" s="1">
        <v>10175</v>
      </c>
      <c r="B3226" s="1">
        <v>7</v>
      </c>
      <c r="C3226" s="2">
        <v>41522</v>
      </c>
      <c r="D3226" s="1" t="s">
        <v>2002</v>
      </c>
      <c r="E3226" s="1">
        <v>101813</v>
      </c>
      <c r="F3226" s="6" t="s">
        <v>5228</v>
      </c>
      <c r="G3226" s="15" t="str">
        <f>VLOOKUP(A3226,Movie!A:D,4,FALSE)</f>
        <v>Buena Vista</v>
      </c>
      <c r="H3226" s="14">
        <f>VLOOKUP(E3226,'Rental Transaction'!A:B,2,FALSE)</f>
        <v>549823</v>
      </c>
      <c r="I3226">
        <f t="shared" si="50"/>
        <v>2013</v>
      </c>
    </row>
    <row r="3227" spans="1:9">
      <c r="A3227" s="1">
        <v>10196</v>
      </c>
      <c r="B3227" s="1">
        <v>10</v>
      </c>
      <c r="C3227" s="2">
        <v>41524</v>
      </c>
      <c r="D3227" s="1" t="s">
        <v>2002</v>
      </c>
      <c r="E3227" s="1">
        <v>101813</v>
      </c>
      <c r="F3227" s="6" t="s">
        <v>5229</v>
      </c>
      <c r="G3227" s="15" t="str">
        <f>VLOOKUP(A3227,Movie!A:D,4,FALSE)</f>
        <v>Fox</v>
      </c>
      <c r="H3227" s="14">
        <f>VLOOKUP(E3227,'Rental Transaction'!A:B,2,FALSE)</f>
        <v>549823</v>
      </c>
      <c r="I3227">
        <f t="shared" si="50"/>
        <v>2013</v>
      </c>
    </row>
    <row r="3228" spans="1:9">
      <c r="A3228" s="1">
        <v>10281</v>
      </c>
      <c r="B3228" s="1">
        <v>10</v>
      </c>
      <c r="C3228" s="2">
        <v>41523</v>
      </c>
      <c r="D3228" s="1" t="s">
        <v>2005</v>
      </c>
      <c r="E3228" s="1">
        <v>101813</v>
      </c>
      <c r="F3228" s="6" t="s">
        <v>5230</v>
      </c>
      <c r="G3228" s="15" t="str">
        <f>VLOOKUP(A3228,Movie!A:D,4,FALSE)</f>
        <v>Lionsgate</v>
      </c>
      <c r="H3228" s="14">
        <f>VLOOKUP(E3228,'Rental Transaction'!A:B,2,FALSE)</f>
        <v>549823</v>
      </c>
      <c r="I3228">
        <f t="shared" si="50"/>
        <v>2013</v>
      </c>
    </row>
    <row r="3229" spans="1:9">
      <c r="A3229" s="1">
        <v>10180</v>
      </c>
      <c r="B3229" s="1">
        <v>4</v>
      </c>
      <c r="C3229" s="2">
        <v>41523</v>
      </c>
      <c r="D3229" s="1" t="s">
        <v>2005</v>
      </c>
      <c r="E3229" s="1">
        <v>101814</v>
      </c>
      <c r="F3229" s="6" t="s">
        <v>5231</v>
      </c>
      <c r="G3229" s="15" t="str">
        <f>VLOOKUP(A3229,Movie!A:D,4,FALSE)</f>
        <v>Relativity</v>
      </c>
      <c r="H3229" s="14">
        <f>VLOOKUP(E3229,'Rental Transaction'!A:B,2,FALSE)</f>
        <v>216475</v>
      </c>
      <c r="I3229">
        <f t="shared" si="50"/>
        <v>2013</v>
      </c>
    </row>
    <row r="3230" spans="1:9">
      <c r="A3230" s="1">
        <v>10201</v>
      </c>
      <c r="B3230" s="1">
        <v>9</v>
      </c>
      <c r="C3230" s="2">
        <v>41523</v>
      </c>
      <c r="D3230" s="1" t="s">
        <v>2002</v>
      </c>
      <c r="E3230" s="1">
        <v>101815</v>
      </c>
      <c r="F3230" s="6" t="s">
        <v>5232</v>
      </c>
      <c r="G3230" s="15" t="str">
        <f>VLOOKUP(A3230,Movie!A:D,4,FALSE)</f>
        <v>Screen Gems</v>
      </c>
      <c r="H3230" s="14">
        <f>VLOOKUP(E3230,'Rental Transaction'!A:B,2,FALSE)</f>
        <v>771285</v>
      </c>
      <c r="I3230">
        <f t="shared" si="50"/>
        <v>2013</v>
      </c>
    </row>
    <row r="3231" spans="1:9">
      <c r="A3231" s="1">
        <v>10156</v>
      </c>
      <c r="B3231" s="1">
        <v>8</v>
      </c>
      <c r="C3231" s="2">
        <v>41523</v>
      </c>
      <c r="D3231" s="1" t="s">
        <v>2002</v>
      </c>
      <c r="E3231" s="1">
        <v>101816</v>
      </c>
      <c r="F3231" s="6" t="s">
        <v>5233</v>
      </c>
      <c r="G3231" s="15" t="str">
        <f>VLOOKUP(A3231,Movie!A:D,4,FALSE)</f>
        <v>Buena Vista</v>
      </c>
      <c r="H3231" s="14">
        <f>VLOOKUP(E3231,'Rental Transaction'!A:B,2,FALSE)</f>
        <v>900440</v>
      </c>
      <c r="I3231">
        <f t="shared" si="50"/>
        <v>2013</v>
      </c>
    </row>
    <row r="3232" spans="1:9">
      <c r="A3232" s="1">
        <v>10001</v>
      </c>
      <c r="B3232" s="1">
        <v>9</v>
      </c>
      <c r="C3232" s="2">
        <v>41523</v>
      </c>
      <c r="D3232" s="1" t="s">
        <v>2002</v>
      </c>
      <c r="E3232" s="1">
        <v>101816</v>
      </c>
      <c r="F3232" s="6" t="s">
        <v>5234</v>
      </c>
      <c r="G3232" s="15" t="str">
        <f>VLOOKUP(A3232,Movie!A:D,4,FALSE)</f>
        <v>Focus</v>
      </c>
      <c r="H3232" s="14">
        <f>VLOOKUP(E3232,'Rental Transaction'!A:B,2,FALSE)</f>
        <v>900440</v>
      </c>
      <c r="I3232">
        <f t="shared" si="50"/>
        <v>2013</v>
      </c>
    </row>
    <row r="3233" spans="1:9" ht="29.25">
      <c r="A3233" s="1">
        <v>10164</v>
      </c>
      <c r="B3233" s="1">
        <v>2</v>
      </c>
      <c r="C3233" s="2">
        <v>41523</v>
      </c>
      <c r="D3233" s="1" t="s">
        <v>2005</v>
      </c>
      <c r="E3233" s="1">
        <v>101817</v>
      </c>
      <c r="F3233" s="6" t="s">
        <v>5235</v>
      </c>
      <c r="G3233" s="15" t="str">
        <f>VLOOKUP(A3233,Movie!A:D,4,FALSE)</f>
        <v>Weinstein Company</v>
      </c>
      <c r="H3233" s="14">
        <f>VLOOKUP(E3233,'Rental Transaction'!A:B,2,FALSE)</f>
        <v>606155</v>
      </c>
      <c r="I3233">
        <f t="shared" si="50"/>
        <v>2013</v>
      </c>
    </row>
    <row r="3234" spans="1:9">
      <c r="A3234" s="1">
        <v>10011</v>
      </c>
      <c r="B3234" s="1">
        <v>8</v>
      </c>
      <c r="C3234" s="2">
        <v>41523</v>
      </c>
      <c r="D3234" s="1" t="s">
        <v>2005</v>
      </c>
      <c r="E3234" s="1">
        <v>101818</v>
      </c>
      <c r="F3234" s="6" t="s">
        <v>5236</v>
      </c>
      <c r="G3234" s="15" t="str">
        <f>VLOOKUP(A3234,Movie!A:D,4,FALSE)</f>
        <v>Buena Vista</v>
      </c>
      <c r="H3234" s="14">
        <f>VLOOKUP(E3234,'Rental Transaction'!A:B,2,FALSE)</f>
        <v>938393</v>
      </c>
      <c r="I3234">
        <f t="shared" si="50"/>
        <v>2013</v>
      </c>
    </row>
    <row r="3235" spans="1:9">
      <c r="A3235" s="1">
        <v>10073</v>
      </c>
      <c r="B3235" s="1">
        <v>3</v>
      </c>
      <c r="C3235" s="2">
        <v>41523</v>
      </c>
      <c r="D3235" s="1" t="s">
        <v>2002</v>
      </c>
      <c r="E3235" s="1">
        <v>101819</v>
      </c>
      <c r="F3235" s="6" t="s">
        <v>5237</v>
      </c>
      <c r="G3235" s="15" t="str">
        <f>VLOOKUP(A3235,Movie!A:D,4,FALSE)</f>
        <v>FilmDistrict</v>
      </c>
      <c r="H3235" s="14">
        <f>VLOOKUP(E3235,'Rental Transaction'!A:B,2,FALSE)</f>
        <v>664934</v>
      </c>
      <c r="I3235">
        <f t="shared" si="50"/>
        <v>2013</v>
      </c>
    </row>
    <row r="3236" spans="1:9">
      <c r="A3236" s="1">
        <v>10092</v>
      </c>
      <c r="B3236" s="1">
        <v>6</v>
      </c>
      <c r="C3236" s="2">
        <v>41524</v>
      </c>
      <c r="D3236" s="1" t="s">
        <v>2002</v>
      </c>
      <c r="E3236" s="1">
        <v>101819</v>
      </c>
      <c r="F3236" s="6" t="s">
        <v>5238</v>
      </c>
      <c r="G3236" s="15" t="str">
        <f>VLOOKUP(A3236,Movie!A:D,4,FALSE)</f>
        <v>Warner Brothers</v>
      </c>
      <c r="H3236" s="14">
        <f>VLOOKUP(E3236,'Rental Transaction'!A:B,2,FALSE)</f>
        <v>664934</v>
      </c>
      <c r="I3236">
        <f t="shared" si="50"/>
        <v>2013</v>
      </c>
    </row>
    <row r="3237" spans="1:9">
      <c r="A3237" s="1">
        <v>10003</v>
      </c>
      <c r="B3237" s="1">
        <v>3</v>
      </c>
      <c r="C3237" s="2">
        <v>41525</v>
      </c>
      <c r="D3237" s="1" t="s">
        <v>2005</v>
      </c>
      <c r="E3237" s="1">
        <v>101820</v>
      </c>
      <c r="F3237" s="6" t="s">
        <v>5239</v>
      </c>
      <c r="G3237" s="15" t="str">
        <f>VLOOKUP(A3237,Movie!A:D,4,FALSE)</f>
        <v>Paramount</v>
      </c>
      <c r="H3237" s="14">
        <f>VLOOKUP(E3237,'Rental Transaction'!A:B,2,FALSE)</f>
        <v>468100</v>
      </c>
      <c r="I3237">
        <f t="shared" si="50"/>
        <v>2013</v>
      </c>
    </row>
    <row r="3238" spans="1:9">
      <c r="A3238" s="1">
        <v>10266</v>
      </c>
      <c r="B3238" s="1">
        <v>1</v>
      </c>
      <c r="C3238" s="2">
        <v>41523</v>
      </c>
      <c r="D3238" s="1" t="s">
        <v>2005</v>
      </c>
      <c r="E3238" s="1">
        <v>101821</v>
      </c>
      <c r="F3238" s="6" t="s">
        <v>5240</v>
      </c>
      <c r="G3238" s="15" t="str">
        <f>VLOOKUP(A3238,Movie!A:D,4,FALSE)</f>
        <v>Sony</v>
      </c>
      <c r="H3238" s="14">
        <f>VLOOKUP(E3238,'Rental Transaction'!A:B,2,FALSE)</f>
        <v>265707</v>
      </c>
      <c r="I3238">
        <f t="shared" si="50"/>
        <v>2013</v>
      </c>
    </row>
    <row r="3239" spans="1:9">
      <c r="A3239" s="1">
        <v>10000</v>
      </c>
      <c r="B3239" s="1">
        <v>1</v>
      </c>
      <c r="C3239" s="2">
        <v>41523</v>
      </c>
      <c r="D3239" s="1" t="s">
        <v>2005</v>
      </c>
      <c r="E3239" s="1">
        <v>101821</v>
      </c>
      <c r="F3239" s="6" t="s">
        <v>5241</v>
      </c>
      <c r="G3239" s="15" t="str">
        <f>VLOOKUP(A3239,Movie!A:D,4,FALSE)</f>
        <v>TriStar</v>
      </c>
      <c r="H3239" s="14">
        <f>VLOOKUP(E3239,'Rental Transaction'!A:B,2,FALSE)</f>
        <v>265707</v>
      </c>
      <c r="I3239">
        <f t="shared" si="50"/>
        <v>2013</v>
      </c>
    </row>
    <row r="3240" spans="1:9">
      <c r="A3240" s="1">
        <v>10283</v>
      </c>
      <c r="B3240" s="1">
        <v>1</v>
      </c>
      <c r="C3240" s="2">
        <v>41523</v>
      </c>
      <c r="D3240" s="1" t="s">
        <v>2002</v>
      </c>
      <c r="E3240" s="1">
        <v>101822</v>
      </c>
      <c r="F3240" s="6" t="s">
        <v>5242</v>
      </c>
      <c r="G3240" s="15" t="str">
        <f>VLOOKUP(A3240,Movie!A:D,4,FALSE)</f>
        <v>TriStar</v>
      </c>
      <c r="H3240" s="14">
        <f>VLOOKUP(E3240,'Rental Transaction'!A:B,2,FALSE)</f>
        <v>927518</v>
      </c>
      <c r="I3240">
        <f t="shared" si="50"/>
        <v>2013</v>
      </c>
    </row>
    <row r="3241" spans="1:9">
      <c r="A3241" s="1">
        <v>10209</v>
      </c>
      <c r="B3241" s="1">
        <v>10</v>
      </c>
      <c r="C3241" s="2">
        <v>41523</v>
      </c>
      <c r="D3241" s="1" t="s">
        <v>2005</v>
      </c>
      <c r="E3241" s="1">
        <v>101822</v>
      </c>
      <c r="F3241" s="6" t="s">
        <v>5243</v>
      </c>
      <c r="G3241" s="15" t="str">
        <f>VLOOKUP(A3241,Movie!A:D,4,FALSE)</f>
        <v>Universal</v>
      </c>
      <c r="H3241" s="14">
        <f>VLOOKUP(E3241,'Rental Transaction'!A:B,2,FALSE)</f>
        <v>927518</v>
      </c>
      <c r="I3241">
        <f t="shared" si="50"/>
        <v>2013</v>
      </c>
    </row>
    <row r="3242" spans="1:9">
      <c r="A3242" s="1">
        <v>10218</v>
      </c>
      <c r="B3242" s="1">
        <v>6</v>
      </c>
      <c r="C3242" s="2">
        <v>41523</v>
      </c>
      <c r="D3242" s="1" t="s">
        <v>2002</v>
      </c>
      <c r="E3242" s="1">
        <v>101823</v>
      </c>
      <c r="F3242" s="6" t="s">
        <v>5244</v>
      </c>
      <c r="G3242" s="15" t="str">
        <f>VLOOKUP(A3242,Movie!A:D,4,FALSE)</f>
        <v>Sony</v>
      </c>
      <c r="H3242" s="14">
        <f>VLOOKUP(E3242,'Rental Transaction'!A:B,2,FALSE)</f>
        <v>755271</v>
      </c>
      <c r="I3242">
        <f t="shared" si="50"/>
        <v>2013</v>
      </c>
    </row>
    <row r="3243" spans="1:9">
      <c r="A3243" s="1">
        <v>10139</v>
      </c>
      <c r="B3243" s="1">
        <v>5</v>
      </c>
      <c r="C3243" s="2">
        <v>41524</v>
      </c>
      <c r="D3243" s="1" t="s">
        <v>2005</v>
      </c>
      <c r="E3243" s="1">
        <v>101824</v>
      </c>
      <c r="F3243" s="6" t="s">
        <v>5245</v>
      </c>
      <c r="G3243" s="15" t="str">
        <f>VLOOKUP(A3243,Movie!A:D,4,FALSE)</f>
        <v>Focus</v>
      </c>
      <c r="H3243" s="14">
        <f>VLOOKUP(E3243,'Rental Transaction'!A:B,2,FALSE)</f>
        <v>442254</v>
      </c>
      <c r="I3243">
        <f t="shared" si="50"/>
        <v>2013</v>
      </c>
    </row>
    <row r="3244" spans="1:9">
      <c r="A3244" s="1">
        <v>10016</v>
      </c>
      <c r="B3244" s="1">
        <v>3</v>
      </c>
      <c r="C3244" s="2">
        <v>41524</v>
      </c>
      <c r="D3244" s="1" t="s">
        <v>2005</v>
      </c>
      <c r="E3244" s="1">
        <v>101825</v>
      </c>
      <c r="F3244" s="6" t="s">
        <v>5246</v>
      </c>
      <c r="G3244" s="15" t="str">
        <f>VLOOKUP(A3244,Movie!A:D,4,FALSE)</f>
        <v>Universal</v>
      </c>
      <c r="H3244" s="14">
        <f>VLOOKUP(E3244,'Rental Transaction'!A:B,2,FALSE)</f>
        <v>200272</v>
      </c>
      <c r="I3244">
        <f t="shared" si="50"/>
        <v>2013</v>
      </c>
    </row>
    <row r="3245" spans="1:9">
      <c r="A3245" s="1">
        <v>10289</v>
      </c>
      <c r="B3245" s="1">
        <v>4</v>
      </c>
      <c r="C3245" s="2">
        <v>41523</v>
      </c>
      <c r="D3245" s="1" t="s">
        <v>2005</v>
      </c>
      <c r="E3245" s="1">
        <v>101825</v>
      </c>
      <c r="F3245" s="6" t="s">
        <v>5247</v>
      </c>
      <c r="G3245" s="15" t="str">
        <f>VLOOKUP(A3245,Movie!A:D,4,FALSE)</f>
        <v>Open Road Films</v>
      </c>
      <c r="H3245" s="14">
        <f>VLOOKUP(E3245,'Rental Transaction'!A:B,2,FALSE)</f>
        <v>200272</v>
      </c>
      <c r="I3245">
        <f t="shared" si="50"/>
        <v>2013</v>
      </c>
    </row>
    <row r="3246" spans="1:9">
      <c r="A3246" s="1">
        <v>10209</v>
      </c>
      <c r="B3246" s="1">
        <v>2</v>
      </c>
      <c r="C3246" s="2">
        <v>41524</v>
      </c>
      <c r="D3246" s="1" t="s">
        <v>2002</v>
      </c>
      <c r="E3246" s="1">
        <v>101826</v>
      </c>
      <c r="F3246" s="6" t="s">
        <v>5248</v>
      </c>
      <c r="G3246" s="15" t="str">
        <f>VLOOKUP(A3246,Movie!A:D,4,FALSE)</f>
        <v>Universal</v>
      </c>
      <c r="H3246" s="14">
        <f>VLOOKUP(E3246,'Rental Transaction'!A:B,2,FALSE)</f>
        <v>110363</v>
      </c>
      <c r="I3246">
        <f t="shared" si="50"/>
        <v>2013</v>
      </c>
    </row>
    <row r="3247" spans="1:9">
      <c r="A3247" s="1">
        <v>10032</v>
      </c>
      <c r="B3247" s="1">
        <v>8</v>
      </c>
      <c r="C3247" s="2">
        <v>41523</v>
      </c>
      <c r="D3247" s="1" t="s">
        <v>2002</v>
      </c>
      <c r="E3247" s="1">
        <v>101826</v>
      </c>
      <c r="F3247" s="6" t="s">
        <v>5249</v>
      </c>
      <c r="G3247" s="15" t="str">
        <f>VLOOKUP(A3247,Movie!A:D,4,FALSE)</f>
        <v>Sony</v>
      </c>
      <c r="H3247" s="14">
        <f>VLOOKUP(E3247,'Rental Transaction'!A:B,2,FALSE)</f>
        <v>110363</v>
      </c>
      <c r="I3247">
        <f t="shared" si="50"/>
        <v>2013</v>
      </c>
    </row>
    <row r="3248" spans="1:9">
      <c r="A3248" s="1">
        <v>10224</v>
      </c>
      <c r="B3248" s="1">
        <v>2</v>
      </c>
      <c r="C3248" s="2">
        <v>41524</v>
      </c>
      <c r="D3248" s="1" t="s">
        <v>2005</v>
      </c>
      <c r="E3248" s="1">
        <v>101827</v>
      </c>
      <c r="F3248" s="6" t="s">
        <v>5250</v>
      </c>
      <c r="G3248" s="15" t="str">
        <f>VLOOKUP(A3248,Movie!A:D,4,FALSE)</f>
        <v>Fox Searchlight</v>
      </c>
      <c r="H3248" s="14">
        <f>VLOOKUP(E3248,'Rental Transaction'!A:B,2,FALSE)</f>
        <v>395125</v>
      </c>
      <c r="I3248">
        <f t="shared" si="50"/>
        <v>2013</v>
      </c>
    </row>
    <row r="3249" spans="1:9">
      <c r="A3249" s="1">
        <v>10251</v>
      </c>
      <c r="B3249" s="1">
        <v>7</v>
      </c>
      <c r="C3249" s="2">
        <v>41524</v>
      </c>
      <c r="D3249" s="1" t="s">
        <v>2005</v>
      </c>
      <c r="E3249" s="1">
        <v>101827</v>
      </c>
      <c r="F3249" s="6" t="s">
        <v>5251</v>
      </c>
      <c r="G3249" s="15" t="str">
        <f>VLOOKUP(A3249,Movie!A:D,4,FALSE)</f>
        <v>Universal</v>
      </c>
      <c r="H3249" s="14">
        <f>VLOOKUP(E3249,'Rental Transaction'!A:B,2,FALSE)</f>
        <v>395125</v>
      </c>
      <c r="I3249">
        <f t="shared" si="50"/>
        <v>2013</v>
      </c>
    </row>
    <row r="3250" spans="1:9">
      <c r="A3250" s="1">
        <v>10132</v>
      </c>
      <c r="B3250" s="1">
        <v>5</v>
      </c>
      <c r="C3250" s="2">
        <v>41524</v>
      </c>
      <c r="D3250" s="1" t="s">
        <v>2005</v>
      </c>
      <c r="E3250" s="1">
        <v>101827</v>
      </c>
      <c r="F3250" s="6" t="s">
        <v>5252</v>
      </c>
      <c r="G3250" s="15" t="str">
        <f>VLOOKUP(A3250,Movie!A:D,4,FALSE)</f>
        <v>Lionsgate</v>
      </c>
      <c r="H3250" s="14">
        <f>VLOOKUP(E3250,'Rental Transaction'!A:B,2,FALSE)</f>
        <v>395125</v>
      </c>
      <c r="I3250">
        <f t="shared" si="50"/>
        <v>2013</v>
      </c>
    </row>
    <row r="3251" spans="1:9">
      <c r="A3251" s="1">
        <v>10128</v>
      </c>
      <c r="B3251" s="1">
        <v>6</v>
      </c>
      <c r="C3251" s="2">
        <v>41524</v>
      </c>
      <c r="D3251" s="1" t="s">
        <v>2005</v>
      </c>
      <c r="E3251" s="1">
        <v>101828</v>
      </c>
      <c r="F3251" s="6" t="s">
        <v>5253</v>
      </c>
      <c r="G3251" s="15" t="str">
        <f>VLOOKUP(A3251,Movie!A:D,4,FALSE)</f>
        <v>TriStar</v>
      </c>
      <c r="H3251" s="14">
        <f>VLOOKUP(E3251,'Rental Transaction'!A:B,2,FALSE)</f>
        <v>670707</v>
      </c>
      <c r="I3251">
        <f t="shared" si="50"/>
        <v>2013</v>
      </c>
    </row>
    <row r="3252" spans="1:9">
      <c r="A3252" s="1">
        <v>10035</v>
      </c>
      <c r="B3252" s="1">
        <v>10</v>
      </c>
      <c r="C3252" s="2">
        <v>41524</v>
      </c>
      <c r="D3252" s="1" t="s">
        <v>2005</v>
      </c>
      <c r="E3252" s="1">
        <v>101829</v>
      </c>
      <c r="F3252" s="6" t="s">
        <v>5254</v>
      </c>
      <c r="G3252" s="15" t="str">
        <f>VLOOKUP(A3252,Movie!A:D,4,FALSE)</f>
        <v>Sony</v>
      </c>
      <c r="H3252" s="14">
        <f>VLOOKUP(E3252,'Rental Transaction'!A:B,2,FALSE)</f>
        <v>485769</v>
      </c>
      <c r="I3252">
        <f t="shared" si="50"/>
        <v>2013</v>
      </c>
    </row>
    <row r="3253" spans="1:9">
      <c r="A3253" s="1">
        <v>10201</v>
      </c>
      <c r="B3253" s="1">
        <v>5</v>
      </c>
      <c r="C3253" s="2">
        <v>41524</v>
      </c>
      <c r="D3253" s="1" t="s">
        <v>2002</v>
      </c>
      <c r="E3253" s="1">
        <v>101830</v>
      </c>
      <c r="F3253" s="6" t="s">
        <v>5255</v>
      </c>
      <c r="G3253" s="15" t="str">
        <f>VLOOKUP(A3253,Movie!A:D,4,FALSE)</f>
        <v>Screen Gems</v>
      </c>
      <c r="H3253" s="14">
        <f>VLOOKUP(E3253,'Rental Transaction'!A:B,2,FALSE)</f>
        <v>796796</v>
      </c>
      <c r="I3253">
        <f t="shared" si="50"/>
        <v>2013</v>
      </c>
    </row>
    <row r="3254" spans="1:9">
      <c r="A3254" s="1">
        <v>10187</v>
      </c>
      <c r="B3254" s="1">
        <v>9</v>
      </c>
      <c r="C3254" s="2">
        <v>41524</v>
      </c>
      <c r="D3254" s="1" t="s">
        <v>2005</v>
      </c>
      <c r="E3254" s="1">
        <v>101830</v>
      </c>
      <c r="F3254" s="6" t="s">
        <v>5256</v>
      </c>
      <c r="G3254" s="15" t="str">
        <f>VLOOKUP(A3254,Movie!A:D,4,FALSE)</f>
        <v>Paramount</v>
      </c>
      <c r="H3254" s="14">
        <f>VLOOKUP(E3254,'Rental Transaction'!A:B,2,FALSE)</f>
        <v>796796</v>
      </c>
      <c r="I3254">
        <f t="shared" si="50"/>
        <v>2013</v>
      </c>
    </row>
    <row r="3255" spans="1:9">
      <c r="A3255" s="1">
        <v>10226</v>
      </c>
      <c r="B3255" s="1">
        <v>4</v>
      </c>
      <c r="C3255" s="2">
        <v>41524</v>
      </c>
      <c r="D3255" s="1" t="s">
        <v>2002</v>
      </c>
      <c r="E3255" s="1">
        <v>101830</v>
      </c>
      <c r="F3255" s="6" t="s">
        <v>5257</v>
      </c>
      <c r="G3255" s="15" t="str">
        <f>VLOOKUP(A3255,Movie!A:D,4,FALSE)</f>
        <v>Sony</v>
      </c>
      <c r="H3255" s="14">
        <f>VLOOKUP(E3255,'Rental Transaction'!A:B,2,FALSE)</f>
        <v>796796</v>
      </c>
      <c r="I3255">
        <f t="shared" si="50"/>
        <v>2013</v>
      </c>
    </row>
    <row r="3256" spans="1:9">
      <c r="A3256" s="1">
        <v>10004</v>
      </c>
      <c r="B3256" s="1">
        <v>8</v>
      </c>
      <c r="C3256" s="2">
        <v>41525</v>
      </c>
      <c r="D3256" s="1" t="s">
        <v>2002</v>
      </c>
      <c r="E3256" s="1">
        <v>101830</v>
      </c>
      <c r="F3256" s="6" t="s">
        <v>5258</v>
      </c>
      <c r="G3256" s="15" t="str">
        <f>VLOOKUP(A3256,Movie!A:D,4,FALSE)</f>
        <v>Paramount</v>
      </c>
      <c r="H3256" s="14">
        <f>VLOOKUP(E3256,'Rental Transaction'!A:B,2,FALSE)</f>
        <v>796796</v>
      </c>
      <c r="I3256">
        <f t="shared" si="50"/>
        <v>2013</v>
      </c>
    </row>
    <row r="3257" spans="1:9">
      <c r="A3257" s="1">
        <v>10234</v>
      </c>
      <c r="B3257" s="1">
        <v>6</v>
      </c>
      <c r="C3257" s="2">
        <v>41524</v>
      </c>
      <c r="D3257" s="1" t="s">
        <v>2002</v>
      </c>
      <c r="E3257" s="1">
        <v>101831</v>
      </c>
      <c r="F3257" s="6" t="s">
        <v>5259</v>
      </c>
      <c r="G3257" s="15" t="str">
        <f>VLOOKUP(A3257,Movie!A:D,4,FALSE)</f>
        <v>Warner Brothers</v>
      </c>
      <c r="H3257" s="14">
        <f>VLOOKUP(E3257,'Rental Transaction'!A:B,2,FALSE)</f>
        <v>722547</v>
      </c>
      <c r="I3257">
        <f t="shared" si="50"/>
        <v>2013</v>
      </c>
    </row>
    <row r="3258" spans="1:9">
      <c r="A3258" s="1">
        <v>10146</v>
      </c>
      <c r="B3258" s="1">
        <v>7</v>
      </c>
      <c r="C3258" s="2">
        <v>41524</v>
      </c>
      <c r="D3258" s="1" t="s">
        <v>2002</v>
      </c>
      <c r="E3258" s="1">
        <v>101832</v>
      </c>
      <c r="F3258" s="6" t="s">
        <v>5260</v>
      </c>
      <c r="G3258" s="15" t="str">
        <f>VLOOKUP(A3258,Movie!A:D,4,FALSE)</f>
        <v>Sony</v>
      </c>
      <c r="H3258" s="14">
        <f>VLOOKUP(E3258,'Rental Transaction'!A:B,2,FALSE)</f>
        <v>924361</v>
      </c>
      <c r="I3258">
        <f t="shared" si="50"/>
        <v>2013</v>
      </c>
    </row>
    <row r="3259" spans="1:9">
      <c r="A3259" s="1">
        <v>10135</v>
      </c>
      <c r="B3259" s="1">
        <v>9</v>
      </c>
      <c r="C3259" s="2">
        <v>41524</v>
      </c>
      <c r="D3259" s="1" t="s">
        <v>2002</v>
      </c>
      <c r="E3259" s="1">
        <v>101833</v>
      </c>
      <c r="F3259" s="6" t="s">
        <v>5261</v>
      </c>
      <c r="G3259" s="15" t="str">
        <f>VLOOKUP(A3259,Movie!A:D,4,FALSE)</f>
        <v>Universal</v>
      </c>
      <c r="H3259" s="14">
        <f>VLOOKUP(E3259,'Rental Transaction'!A:B,2,FALSE)</f>
        <v>216081</v>
      </c>
      <c r="I3259">
        <f t="shared" si="50"/>
        <v>2013</v>
      </c>
    </row>
    <row r="3260" spans="1:9">
      <c r="A3260" s="1">
        <v>10044</v>
      </c>
      <c r="B3260" s="1">
        <v>4</v>
      </c>
      <c r="C3260" s="2">
        <v>41524</v>
      </c>
      <c r="D3260" s="1" t="s">
        <v>2002</v>
      </c>
      <c r="E3260" s="1">
        <v>101833</v>
      </c>
      <c r="F3260" s="6" t="s">
        <v>5262</v>
      </c>
      <c r="G3260" s="15" t="str">
        <f>VLOOKUP(A3260,Movie!A:D,4,FALSE)</f>
        <v>Buena Vista</v>
      </c>
      <c r="H3260" s="14">
        <f>VLOOKUP(E3260,'Rental Transaction'!A:B,2,FALSE)</f>
        <v>216081</v>
      </c>
      <c r="I3260">
        <f t="shared" si="50"/>
        <v>2013</v>
      </c>
    </row>
    <row r="3261" spans="1:9" ht="29.25">
      <c r="A3261" s="1">
        <v>10285</v>
      </c>
      <c r="B3261" s="1">
        <v>9</v>
      </c>
      <c r="C3261" s="2">
        <v>41525</v>
      </c>
      <c r="D3261" s="1" t="s">
        <v>2002</v>
      </c>
      <c r="E3261" s="1">
        <v>101834</v>
      </c>
      <c r="F3261" s="6" t="s">
        <v>5263</v>
      </c>
      <c r="G3261" s="15" t="str">
        <f>VLOOKUP(A3261,Movie!A:D,4,FALSE)</f>
        <v>Roadside Attractions</v>
      </c>
      <c r="H3261" s="14">
        <f>VLOOKUP(E3261,'Rental Transaction'!A:B,2,FALSE)</f>
        <v>889686</v>
      </c>
      <c r="I3261">
        <f t="shared" si="50"/>
        <v>2013</v>
      </c>
    </row>
    <row r="3262" spans="1:9">
      <c r="A3262" s="1">
        <v>10181</v>
      </c>
      <c r="B3262" s="1">
        <v>3</v>
      </c>
      <c r="C3262" s="2">
        <v>41524</v>
      </c>
      <c r="D3262" s="1" t="s">
        <v>2002</v>
      </c>
      <c r="E3262" s="1">
        <v>101834</v>
      </c>
      <c r="F3262" s="6" t="s">
        <v>5264</v>
      </c>
      <c r="G3262" s="15" t="str">
        <f>VLOOKUP(A3262,Movie!A:D,4,FALSE)</f>
        <v>Fox</v>
      </c>
      <c r="H3262" s="14">
        <f>VLOOKUP(E3262,'Rental Transaction'!A:B,2,FALSE)</f>
        <v>889686</v>
      </c>
      <c r="I3262">
        <f t="shared" si="50"/>
        <v>2013</v>
      </c>
    </row>
    <row r="3263" spans="1:9">
      <c r="A3263" s="1">
        <v>10155</v>
      </c>
      <c r="B3263" s="1">
        <v>3</v>
      </c>
      <c r="C3263" s="2">
        <v>41524</v>
      </c>
      <c r="D3263" s="1" t="s">
        <v>2005</v>
      </c>
      <c r="E3263" s="1">
        <v>101835</v>
      </c>
      <c r="F3263" s="6" t="s">
        <v>5265</v>
      </c>
      <c r="G3263" s="15" t="str">
        <f>VLOOKUP(A3263,Movie!A:D,4,FALSE)</f>
        <v>Fox</v>
      </c>
      <c r="H3263" s="14">
        <f>VLOOKUP(E3263,'Rental Transaction'!A:B,2,FALSE)</f>
        <v>296353</v>
      </c>
      <c r="I3263">
        <f t="shared" si="50"/>
        <v>2013</v>
      </c>
    </row>
    <row r="3264" spans="1:9">
      <c r="A3264" s="1">
        <v>10109</v>
      </c>
      <c r="B3264" s="1">
        <v>5</v>
      </c>
      <c r="C3264" s="2">
        <v>41524</v>
      </c>
      <c r="D3264" s="1" t="s">
        <v>2002</v>
      </c>
      <c r="E3264" s="1">
        <v>101835</v>
      </c>
      <c r="F3264" s="6" t="s">
        <v>5266</v>
      </c>
      <c r="G3264" s="15" t="str">
        <f>VLOOKUP(A3264,Movie!A:D,4,FALSE)</f>
        <v>Warner Brothers</v>
      </c>
      <c r="H3264" s="14">
        <f>VLOOKUP(E3264,'Rental Transaction'!A:B,2,FALSE)</f>
        <v>296353</v>
      </c>
      <c r="I3264">
        <f t="shared" si="50"/>
        <v>2013</v>
      </c>
    </row>
    <row r="3265" spans="1:9">
      <c r="A3265" s="1">
        <v>10205</v>
      </c>
      <c r="B3265" s="1">
        <v>6</v>
      </c>
      <c r="C3265" s="2">
        <v>41524</v>
      </c>
      <c r="D3265" s="1" t="s">
        <v>2005</v>
      </c>
      <c r="E3265" s="1">
        <v>101836</v>
      </c>
      <c r="F3265" s="6" t="s">
        <v>5267</v>
      </c>
      <c r="G3265" s="15" t="str">
        <f>VLOOKUP(A3265,Movie!A:D,4,FALSE)</f>
        <v>Paramount</v>
      </c>
      <c r="H3265" s="14">
        <f>VLOOKUP(E3265,'Rental Transaction'!A:B,2,FALSE)</f>
        <v>143878</v>
      </c>
      <c r="I3265">
        <f t="shared" si="50"/>
        <v>2013</v>
      </c>
    </row>
    <row r="3266" spans="1:9">
      <c r="A3266" s="1">
        <v>10003</v>
      </c>
      <c r="B3266" s="1">
        <v>6</v>
      </c>
      <c r="C3266" s="2">
        <v>41525</v>
      </c>
      <c r="D3266" s="1" t="s">
        <v>2005</v>
      </c>
      <c r="E3266" s="1">
        <v>101837</v>
      </c>
      <c r="F3266" s="6" t="s">
        <v>5268</v>
      </c>
      <c r="G3266" s="15" t="str">
        <f>VLOOKUP(A3266,Movie!A:D,4,FALSE)</f>
        <v>Paramount</v>
      </c>
      <c r="H3266" s="14">
        <f>VLOOKUP(E3266,'Rental Transaction'!A:B,2,FALSE)</f>
        <v>190721</v>
      </c>
      <c r="I3266">
        <f t="shared" si="50"/>
        <v>2013</v>
      </c>
    </row>
    <row r="3267" spans="1:9">
      <c r="A3267" s="1">
        <v>10212</v>
      </c>
      <c r="B3267" s="1">
        <v>5</v>
      </c>
      <c r="C3267" s="2">
        <v>41524</v>
      </c>
      <c r="D3267" s="1" t="s">
        <v>2005</v>
      </c>
      <c r="E3267" s="1">
        <v>101837</v>
      </c>
      <c r="F3267" s="6" t="s">
        <v>5269</v>
      </c>
      <c r="G3267" s="15" t="str">
        <f>VLOOKUP(A3267,Movie!A:D,4,FALSE)</f>
        <v>Lionsgate</v>
      </c>
      <c r="H3267" s="14">
        <f>VLOOKUP(E3267,'Rental Transaction'!A:B,2,FALSE)</f>
        <v>190721</v>
      </c>
      <c r="I3267">
        <f t="shared" ref="I3267:I3330" si="51">YEAR(C3267)</f>
        <v>2013</v>
      </c>
    </row>
    <row r="3268" spans="1:9">
      <c r="A3268" s="1">
        <v>10299</v>
      </c>
      <c r="B3268" s="1">
        <v>5</v>
      </c>
      <c r="C3268" s="2">
        <v>41526</v>
      </c>
      <c r="D3268" s="1" t="s">
        <v>2002</v>
      </c>
      <c r="E3268" s="1">
        <v>101838</v>
      </c>
      <c r="F3268" s="6" t="s">
        <v>5270</v>
      </c>
      <c r="G3268" s="15" t="str">
        <f>VLOOKUP(A3268,Movie!A:D,4,FALSE)</f>
        <v>Radius-TWC</v>
      </c>
      <c r="H3268" s="14">
        <f>VLOOKUP(E3268,'Rental Transaction'!A:B,2,FALSE)</f>
        <v>235720</v>
      </c>
      <c r="I3268">
        <f t="shared" si="51"/>
        <v>2013</v>
      </c>
    </row>
    <row r="3269" spans="1:9">
      <c r="A3269" s="1">
        <v>10259</v>
      </c>
      <c r="B3269" s="1">
        <v>4</v>
      </c>
      <c r="C3269" s="2">
        <v>41525</v>
      </c>
      <c r="D3269" s="1" t="s">
        <v>2005</v>
      </c>
      <c r="E3269" s="1">
        <v>101838</v>
      </c>
      <c r="F3269" s="6" t="s">
        <v>5271</v>
      </c>
      <c r="G3269" s="15" t="str">
        <f>VLOOKUP(A3269,Movie!A:D,4,FALSE)</f>
        <v>Warner Brothers</v>
      </c>
      <c r="H3269" s="14">
        <f>VLOOKUP(E3269,'Rental Transaction'!A:B,2,FALSE)</f>
        <v>235720</v>
      </c>
      <c r="I3269">
        <f t="shared" si="51"/>
        <v>2013</v>
      </c>
    </row>
    <row r="3270" spans="1:9">
      <c r="A3270" s="1">
        <v>10225</v>
      </c>
      <c r="B3270" s="1">
        <v>1</v>
      </c>
      <c r="C3270" s="2">
        <v>41525</v>
      </c>
      <c r="D3270" s="1" t="s">
        <v>2002</v>
      </c>
      <c r="E3270" s="1">
        <v>101838</v>
      </c>
      <c r="F3270" s="6" t="s">
        <v>5272</v>
      </c>
      <c r="G3270" s="15" t="str">
        <f>VLOOKUP(A3270,Movie!A:D,4,FALSE)</f>
        <v>Warner Brothers</v>
      </c>
      <c r="H3270" s="14">
        <f>VLOOKUP(E3270,'Rental Transaction'!A:B,2,FALSE)</f>
        <v>235720</v>
      </c>
      <c r="I3270">
        <f t="shared" si="51"/>
        <v>2013</v>
      </c>
    </row>
    <row r="3271" spans="1:9">
      <c r="A3271" s="1">
        <v>10040</v>
      </c>
      <c r="B3271" s="1">
        <v>4</v>
      </c>
      <c r="C3271" s="2">
        <v>41525</v>
      </c>
      <c r="D3271" s="1" t="s">
        <v>2002</v>
      </c>
      <c r="E3271" s="1">
        <v>101839</v>
      </c>
      <c r="F3271" s="6" t="s">
        <v>5273</v>
      </c>
      <c r="G3271" s="15" t="str">
        <f>VLOOKUP(A3271,Movie!A:D,4,FALSE)</f>
        <v>Universal</v>
      </c>
      <c r="H3271" s="14">
        <f>VLOOKUP(E3271,'Rental Transaction'!A:B,2,FALSE)</f>
        <v>568217</v>
      </c>
      <c r="I3271">
        <f t="shared" si="51"/>
        <v>2013</v>
      </c>
    </row>
    <row r="3272" spans="1:9">
      <c r="A3272" s="1">
        <v>10284</v>
      </c>
      <c r="B3272" s="1">
        <v>2</v>
      </c>
      <c r="C3272" s="2">
        <v>41526</v>
      </c>
      <c r="D3272" s="1" t="s">
        <v>2005</v>
      </c>
      <c r="E3272" s="1">
        <v>101839</v>
      </c>
      <c r="F3272" s="6" t="s">
        <v>5274</v>
      </c>
      <c r="G3272" s="15" t="str">
        <f>VLOOKUP(A3272,Movie!A:D,4,FALSE)</f>
        <v>Focus</v>
      </c>
      <c r="H3272" s="14">
        <f>VLOOKUP(E3272,'Rental Transaction'!A:B,2,FALSE)</f>
        <v>568217</v>
      </c>
      <c r="I3272">
        <f t="shared" si="51"/>
        <v>2013</v>
      </c>
    </row>
    <row r="3273" spans="1:9">
      <c r="A3273" s="1">
        <v>10203</v>
      </c>
      <c r="B3273" s="1">
        <v>6</v>
      </c>
      <c r="C3273" s="2">
        <v>41527</v>
      </c>
      <c r="D3273" s="1" t="s">
        <v>2005</v>
      </c>
      <c r="E3273" s="1">
        <v>101840</v>
      </c>
      <c r="F3273" s="6" t="s">
        <v>5275</v>
      </c>
      <c r="G3273" s="15" t="str">
        <f>VLOOKUP(A3273,Movie!A:D,4,FALSE)</f>
        <v>Buena Vista</v>
      </c>
      <c r="H3273" s="14">
        <f>VLOOKUP(E3273,'Rental Transaction'!A:B,2,FALSE)</f>
        <v>659695</v>
      </c>
      <c r="I3273">
        <f t="shared" si="51"/>
        <v>2013</v>
      </c>
    </row>
    <row r="3274" spans="1:9">
      <c r="A3274" s="1">
        <v>10188</v>
      </c>
      <c r="B3274" s="1">
        <v>9</v>
      </c>
      <c r="C3274" s="2">
        <v>41525</v>
      </c>
      <c r="D3274" s="1" t="s">
        <v>2005</v>
      </c>
      <c r="E3274" s="1">
        <v>101841</v>
      </c>
      <c r="F3274" s="6" t="s">
        <v>5276</v>
      </c>
      <c r="G3274" s="15" t="str">
        <f>VLOOKUP(A3274,Movie!A:D,4,FALSE)</f>
        <v>Paramount</v>
      </c>
      <c r="H3274" s="14">
        <f>VLOOKUP(E3274,'Rental Transaction'!A:B,2,FALSE)</f>
        <v>403000</v>
      </c>
      <c r="I3274">
        <f t="shared" si="51"/>
        <v>2013</v>
      </c>
    </row>
    <row r="3275" spans="1:9">
      <c r="A3275" s="1">
        <v>10193</v>
      </c>
      <c r="B3275" s="1">
        <v>3</v>
      </c>
      <c r="C3275" s="2">
        <v>41526</v>
      </c>
      <c r="D3275" s="1" t="s">
        <v>2005</v>
      </c>
      <c r="E3275" s="1">
        <v>101842</v>
      </c>
      <c r="F3275" s="6" t="s">
        <v>5277</v>
      </c>
      <c r="G3275" s="15" t="str">
        <f>VLOOKUP(A3275,Movie!A:D,4,FALSE)</f>
        <v>Fox</v>
      </c>
      <c r="H3275" s="14">
        <f>VLOOKUP(E3275,'Rental Transaction'!A:B,2,FALSE)</f>
        <v>352644</v>
      </c>
      <c r="I3275">
        <f t="shared" si="51"/>
        <v>2013</v>
      </c>
    </row>
    <row r="3276" spans="1:9">
      <c r="A3276" s="1">
        <v>10085</v>
      </c>
      <c r="B3276" s="1">
        <v>1</v>
      </c>
      <c r="C3276" s="2">
        <v>41525</v>
      </c>
      <c r="D3276" s="1" t="s">
        <v>2002</v>
      </c>
      <c r="E3276" s="1">
        <v>101842</v>
      </c>
      <c r="F3276" s="6" t="s">
        <v>5278</v>
      </c>
      <c r="G3276" s="15" t="str">
        <f>VLOOKUP(A3276,Movie!A:D,4,FALSE)</f>
        <v>Buena Vista</v>
      </c>
      <c r="H3276" s="14">
        <f>VLOOKUP(E3276,'Rental Transaction'!A:B,2,FALSE)</f>
        <v>352644</v>
      </c>
      <c r="I3276">
        <f t="shared" si="51"/>
        <v>2013</v>
      </c>
    </row>
    <row r="3277" spans="1:9">
      <c r="A3277" s="1">
        <v>10065</v>
      </c>
      <c r="B3277" s="1">
        <v>3</v>
      </c>
      <c r="C3277" s="2">
        <v>41525</v>
      </c>
      <c r="D3277" s="1" t="s">
        <v>2002</v>
      </c>
      <c r="E3277" s="1">
        <v>101843</v>
      </c>
      <c r="F3277" s="6" t="s">
        <v>5279</v>
      </c>
      <c r="G3277" s="15" t="str">
        <f>VLOOKUP(A3277,Movie!A:D,4,FALSE)</f>
        <v>Warner Brothers</v>
      </c>
      <c r="H3277" s="14">
        <f>VLOOKUP(E3277,'Rental Transaction'!A:B,2,FALSE)</f>
        <v>944523</v>
      </c>
      <c r="I3277">
        <f t="shared" si="51"/>
        <v>2013</v>
      </c>
    </row>
    <row r="3278" spans="1:9">
      <c r="A3278" s="1">
        <v>10227</v>
      </c>
      <c r="B3278" s="1">
        <v>7</v>
      </c>
      <c r="C3278" s="2">
        <v>41526</v>
      </c>
      <c r="D3278" s="1" t="s">
        <v>2005</v>
      </c>
      <c r="E3278" s="1">
        <v>101843</v>
      </c>
      <c r="F3278" s="6" t="s">
        <v>5280</v>
      </c>
      <c r="G3278" s="15" t="str">
        <f>VLOOKUP(A3278,Movie!A:D,4,FALSE)</f>
        <v>Focus</v>
      </c>
      <c r="H3278" s="14">
        <f>VLOOKUP(E3278,'Rental Transaction'!A:B,2,FALSE)</f>
        <v>944523</v>
      </c>
      <c r="I3278">
        <f t="shared" si="51"/>
        <v>2013</v>
      </c>
    </row>
    <row r="3279" spans="1:9">
      <c r="A3279" s="1">
        <v>10291</v>
      </c>
      <c r="B3279" s="1">
        <v>3</v>
      </c>
      <c r="C3279" s="2">
        <v>41526</v>
      </c>
      <c r="D3279" s="1" t="s">
        <v>2005</v>
      </c>
      <c r="E3279" s="1">
        <v>101844</v>
      </c>
      <c r="F3279" s="6" t="s">
        <v>5281</v>
      </c>
      <c r="G3279" s="15" t="str">
        <f>VLOOKUP(A3279,Movie!A:D,4,FALSE)</f>
        <v>Warner Brothers</v>
      </c>
      <c r="H3279" s="14">
        <f>VLOOKUP(E3279,'Rental Transaction'!A:B,2,FALSE)</f>
        <v>161175</v>
      </c>
      <c r="I3279">
        <f t="shared" si="51"/>
        <v>2013</v>
      </c>
    </row>
    <row r="3280" spans="1:9">
      <c r="A3280" s="1">
        <v>10052</v>
      </c>
      <c r="B3280" s="1">
        <v>1</v>
      </c>
      <c r="C3280" s="2">
        <v>41525</v>
      </c>
      <c r="D3280" s="1" t="s">
        <v>2005</v>
      </c>
      <c r="E3280" s="1">
        <v>101844</v>
      </c>
      <c r="F3280" s="6" t="s">
        <v>5282</v>
      </c>
      <c r="G3280" s="15" t="str">
        <f>VLOOKUP(A3280,Movie!A:D,4,FALSE)</f>
        <v>Warner Brothers</v>
      </c>
      <c r="H3280" s="14">
        <f>VLOOKUP(E3280,'Rental Transaction'!A:B,2,FALSE)</f>
        <v>161175</v>
      </c>
      <c r="I3280">
        <f t="shared" si="51"/>
        <v>2013</v>
      </c>
    </row>
    <row r="3281" spans="1:9">
      <c r="A3281" s="1">
        <v>10207</v>
      </c>
      <c r="B3281" s="1">
        <v>6</v>
      </c>
      <c r="C3281" s="2">
        <v>41527</v>
      </c>
      <c r="D3281" s="1" t="s">
        <v>2002</v>
      </c>
      <c r="E3281" s="1">
        <v>101845</v>
      </c>
      <c r="F3281" s="6" t="s">
        <v>5283</v>
      </c>
      <c r="G3281" s="15" t="str">
        <f>VLOOKUP(A3281,Movie!A:D,4,FALSE)</f>
        <v>Paramount</v>
      </c>
      <c r="H3281" s="14">
        <f>VLOOKUP(E3281,'Rental Transaction'!A:B,2,FALSE)</f>
        <v>161942</v>
      </c>
      <c r="I3281">
        <f t="shared" si="51"/>
        <v>2013</v>
      </c>
    </row>
    <row r="3282" spans="1:9">
      <c r="A3282" s="1">
        <v>10059</v>
      </c>
      <c r="B3282" s="1">
        <v>7</v>
      </c>
      <c r="C3282" s="2">
        <v>41525</v>
      </c>
      <c r="D3282" s="1" t="s">
        <v>2002</v>
      </c>
      <c r="E3282" s="1">
        <v>101846</v>
      </c>
      <c r="F3282" s="6" t="s">
        <v>5284</v>
      </c>
      <c r="G3282" s="15" t="str">
        <f>VLOOKUP(A3282,Movie!A:D,4,FALSE)</f>
        <v>Universal</v>
      </c>
      <c r="H3282" s="14">
        <f>VLOOKUP(E3282,'Rental Transaction'!A:B,2,FALSE)</f>
        <v>888759</v>
      </c>
      <c r="I3282">
        <f t="shared" si="51"/>
        <v>2013</v>
      </c>
    </row>
    <row r="3283" spans="1:9">
      <c r="A3283" s="1">
        <v>10232</v>
      </c>
      <c r="B3283" s="1">
        <v>4</v>
      </c>
      <c r="C3283" s="2">
        <v>41525</v>
      </c>
      <c r="D3283" s="1" t="s">
        <v>2005</v>
      </c>
      <c r="E3283" s="1">
        <v>101847</v>
      </c>
      <c r="F3283" s="6" t="s">
        <v>5285</v>
      </c>
      <c r="G3283" s="15" t="str">
        <f>VLOOKUP(A3283,Movie!A:D,4,FALSE)</f>
        <v>Paramount</v>
      </c>
      <c r="H3283" s="14">
        <f>VLOOKUP(E3283,'Rental Transaction'!A:B,2,FALSE)</f>
        <v>468692</v>
      </c>
      <c r="I3283">
        <f t="shared" si="51"/>
        <v>2013</v>
      </c>
    </row>
    <row r="3284" spans="1:9">
      <c r="A3284" s="1">
        <v>10009</v>
      </c>
      <c r="B3284" s="1">
        <v>8</v>
      </c>
      <c r="C3284" s="2">
        <v>41525</v>
      </c>
      <c r="D3284" s="1" t="s">
        <v>2005</v>
      </c>
      <c r="E3284" s="1">
        <v>101847</v>
      </c>
      <c r="F3284" s="6" t="s">
        <v>5286</v>
      </c>
      <c r="G3284" s="15" t="str">
        <f>VLOOKUP(A3284,Movie!A:D,4,FALSE)</f>
        <v>Warner Brothers</v>
      </c>
      <c r="H3284" s="14">
        <f>VLOOKUP(E3284,'Rental Transaction'!A:B,2,FALSE)</f>
        <v>468692</v>
      </c>
      <c r="I3284">
        <f t="shared" si="51"/>
        <v>2013</v>
      </c>
    </row>
    <row r="3285" spans="1:9">
      <c r="A3285" s="1">
        <v>10275</v>
      </c>
      <c r="B3285" s="1">
        <v>2</v>
      </c>
      <c r="C3285" s="2">
        <v>41526</v>
      </c>
      <c r="D3285" s="1" t="s">
        <v>2005</v>
      </c>
      <c r="E3285" s="1">
        <v>101847</v>
      </c>
      <c r="F3285" s="6" t="s">
        <v>5287</v>
      </c>
      <c r="G3285" s="15" t="str">
        <f>VLOOKUP(A3285,Movie!A:D,4,FALSE)</f>
        <v>Lionsgate</v>
      </c>
      <c r="H3285" s="14">
        <f>VLOOKUP(E3285,'Rental Transaction'!A:B,2,FALSE)</f>
        <v>468692</v>
      </c>
      <c r="I3285">
        <f t="shared" si="51"/>
        <v>2013</v>
      </c>
    </row>
    <row r="3286" spans="1:9">
      <c r="A3286" s="1">
        <v>10278</v>
      </c>
      <c r="B3286" s="1">
        <v>6</v>
      </c>
      <c r="C3286" s="2">
        <v>41525</v>
      </c>
      <c r="D3286" s="1" t="s">
        <v>2005</v>
      </c>
      <c r="E3286" s="1">
        <v>101847</v>
      </c>
      <c r="F3286" s="6" t="s">
        <v>5288</v>
      </c>
      <c r="G3286" s="15" t="str">
        <f>VLOOKUP(A3286,Movie!A:D,4,FALSE)</f>
        <v>Universal</v>
      </c>
      <c r="H3286" s="14">
        <f>VLOOKUP(E3286,'Rental Transaction'!A:B,2,FALSE)</f>
        <v>468692</v>
      </c>
      <c r="I3286">
        <f t="shared" si="51"/>
        <v>2013</v>
      </c>
    </row>
    <row r="3287" spans="1:9">
      <c r="A3287" s="1">
        <v>10278</v>
      </c>
      <c r="B3287" s="1">
        <v>5</v>
      </c>
      <c r="C3287" s="2">
        <v>41527</v>
      </c>
      <c r="D3287" s="1" t="s">
        <v>2005</v>
      </c>
      <c r="E3287" s="1">
        <v>101848</v>
      </c>
      <c r="F3287" s="6" t="s">
        <v>5289</v>
      </c>
      <c r="G3287" s="15" t="str">
        <f>VLOOKUP(A3287,Movie!A:D,4,FALSE)</f>
        <v>Universal</v>
      </c>
      <c r="H3287" s="14">
        <f>VLOOKUP(E3287,'Rental Transaction'!A:B,2,FALSE)</f>
        <v>857548</v>
      </c>
      <c r="I3287">
        <f t="shared" si="51"/>
        <v>2013</v>
      </c>
    </row>
    <row r="3288" spans="1:9" ht="29.25">
      <c r="A3288" s="1">
        <v>10028</v>
      </c>
      <c r="B3288" s="1">
        <v>9</v>
      </c>
      <c r="C3288" s="2">
        <v>41525</v>
      </c>
      <c r="D3288" s="1" t="s">
        <v>2002</v>
      </c>
      <c r="E3288" s="1">
        <v>101849</v>
      </c>
      <c r="F3288" s="6" t="s">
        <v>5290</v>
      </c>
      <c r="G3288" s="15" t="str">
        <f>VLOOKUP(A3288,Movie!A:D,4,FALSE)</f>
        <v>Summit Entertainment</v>
      </c>
      <c r="H3288" s="14">
        <f>VLOOKUP(E3288,'Rental Transaction'!A:B,2,FALSE)</f>
        <v>412544</v>
      </c>
      <c r="I3288">
        <f t="shared" si="51"/>
        <v>2013</v>
      </c>
    </row>
    <row r="3289" spans="1:9">
      <c r="A3289" s="1">
        <v>10127</v>
      </c>
      <c r="B3289" s="1">
        <v>2</v>
      </c>
      <c r="C3289" s="2">
        <v>41526</v>
      </c>
      <c r="D3289" s="1" t="s">
        <v>2002</v>
      </c>
      <c r="E3289" s="1">
        <v>101850</v>
      </c>
      <c r="F3289" s="6" t="s">
        <v>5291</v>
      </c>
      <c r="G3289" s="15" t="str">
        <f>VLOOKUP(A3289,Movie!A:D,4,FALSE)</f>
        <v>TriStar</v>
      </c>
      <c r="H3289" s="14">
        <f>VLOOKUP(E3289,'Rental Transaction'!A:B,2,FALSE)</f>
        <v>882493</v>
      </c>
      <c r="I3289">
        <f t="shared" si="51"/>
        <v>2013</v>
      </c>
    </row>
    <row r="3290" spans="1:9">
      <c r="A3290" s="1">
        <v>10150</v>
      </c>
      <c r="B3290" s="1">
        <v>6</v>
      </c>
      <c r="C3290" s="2">
        <v>41525</v>
      </c>
      <c r="D3290" s="1" t="s">
        <v>2005</v>
      </c>
      <c r="E3290" s="1">
        <v>101850</v>
      </c>
      <c r="F3290" s="6" t="s">
        <v>5292</v>
      </c>
      <c r="G3290" s="15" t="str">
        <f>VLOOKUP(A3290,Movie!A:D,4,FALSE)</f>
        <v>Focus</v>
      </c>
      <c r="H3290" s="14">
        <f>VLOOKUP(E3290,'Rental Transaction'!A:B,2,FALSE)</f>
        <v>882493</v>
      </c>
      <c r="I3290">
        <f t="shared" si="51"/>
        <v>2013</v>
      </c>
    </row>
    <row r="3291" spans="1:9">
      <c r="A3291" s="1">
        <v>10052</v>
      </c>
      <c r="B3291" s="1">
        <v>5</v>
      </c>
      <c r="C3291" s="2">
        <v>41527</v>
      </c>
      <c r="D3291" s="1" t="s">
        <v>2005</v>
      </c>
      <c r="E3291" s="1">
        <v>101851</v>
      </c>
      <c r="F3291" s="6" t="s">
        <v>5293</v>
      </c>
      <c r="G3291" s="15" t="str">
        <f>VLOOKUP(A3291,Movie!A:D,4,FALSE)</f>
        <v>Warner Brothers</v>
      </c>
      <c r="H3291" s="14">
        <f>VLOOKUP(E3291,'Rental Transaction'!A:B,2,FALSE)</f>
        <v>433442</v>
      </c>
      <c r="I3291">
        <f t="shared" si="51"/>
        <v>2013</v>
      </c>
    </row>
    <row r="3292" spans="1:9">
      <c r="A3292" s="1">
        <v>10137</v>
      </c>
      <c r="B3292" s="1">
        <v>5</v>
      </c>
      <c r="C3292" s="2">
        <v>41526</v>
      </c>
      <c r="D3292" s="1" t="s">
        <v>2005</v>
      </c>
      <c r="E3292" s="1">
        <v>101852</v>
      </c>
      <c r="F3292" s="6" t="s">
        <v>5294</v>
      </c>
      <c r="G3292" s="15" t="str">
        <f>VLOOKUP(A3292,Movie!A:D,4,FALSE)</f>
        <v>Buena Vista</v>
      </c>
      <c r="H3292" s="14">
        <f>VLOOKUP(E3292,'Rental Transaction'!A:B,2,FALSE)</f>
        <v>730305</v>
      </c>
      <c r="I3292">
        <f t="shared" si="51"/>
        <v>2013</v>
      </c>
    </row>
    <row r="3293" spans="1:9" ht="29.25">
      <c r="A3293" s="1">
        <v>10249</v>
      </c>
      <c r="B3293" s="1">
        <v>3</v>
      </c>
      <c r="C3293" s="2">
        <v>41526</v>
      </c>
      <c r="D3293" s="1" t="s">
        <v>2002</v>
      </c>
      <c r="E3293" s="1">
        <v>101852</v>
      </c>
      <c r="F3293" s="6" t="s">
        <v>5295</v>
      </c>
      <c r="G3293" s="15" t="str">
        <f>VLOOKUP(A3293,Movie!A:D,4,FALSE)</f>
        <v>Summit Entertainment</v>
      </c>
      <c r="H3293" s="14">
        <f>VLOOKUP(E3293,'Rental Transaction'!A:B,2,FALSE)</f>
        <v>730305</v>
      </c>
      <c r="I3293">
        <f t="shared" si="51"/>
        <v>2013</v>
      </c>
    </row>
    <row r="3294" spans="1:9">
      <c r="A3294" s="1">
        <v>10238</v>
      </c>
      <c r="B3294" s="1">
        <v>7</v>
      </c>
      <c r="C3294" s="2">
        <v>41526</v>
      </c>
      <c r="D3294" s="1" t="s">
        <v>2002</v>
      </c>
      <c r="E3294" s="1">
        <v>101852</v>
      </c>
      <c r="F3294" s="6" t="s">
        <v>5296</v>
      </c>
      <c r="G3294" s="15" t="str">
        <f>VLOOKUP(A3294,Movie!A:D,4,FALSE)</f>
        <v>Warner Brothers</v>
      </c>
      <c r="H3294" s="14">
        <f>VLOOKUP(E3294,'Rental Transaction'!A:B,2,FALSE)</f>
        <v>730305</v>
      </c>
      <c r="I3294">
        <f t="shared" si="51"/>
        <v>2013</v>
      </c>
    </row>
    <row r="3295" spans="1:9" ht="29.25">
      <c r="A3295" s="1">
        <v>10246</v>
      </c>
      <c r="B3295" s="1">
        <v>6</v>
      </c>
      <c r="C3295" s="2">
        <v>41526</v>
      </c>
      <c r="D3295" s="1" t="s">
        <v>2002</v>
      </c>
      <c r="E3295" s="1">
        <v>101853</v>
      </c>
      <c r="F3295" s="6" t="s">
        <v>5297</v>
      </c>
      <c r="G3295" s="15" t="str">
        <f>VLOOKUP(A3295,Movie!A:D,4,FALSE)</f>
        <v>Weinstein Company</v>
      </c>
      <c r="H3295" s="14">
        <f>VLOOKUP(E3295,'Rental Transaction'!A:B,2,FALSE)</f>
        <v>884607</v>
      </c>
      <c r="I3295">
        <f t="shared" si="51"/>
        <v>2013</v>
      </c>
    </row>
    <row r="3296" spans="1:9">
      <c r="A3296" s="1">
        <v>10030</v>
      </c>
      <c r="B3296" s="1">
        <v>9</v>
      </c>
      <c r="C3296" s="2">
        <v>41527</v>
      </c>
      <c r="D3296" s="1" t="s">
        <v>2005</v>
      </c>
      <c r="E3296" s="1">
        <v>101854</v>
      </c>
      <c r="F3296" s="6" t="s">
        <v>5298</v>
      </c>
      <c r="G3296" s="15" t="str">
        <f>VLOOKUP(A3296,Movie!A:D,4,FALSE)</f>
        <v>Warner Brothers</v>
      </c>
      <c r="H3296" s="14">
        <f>VLOOKUP(E3296,'Rental Transaction'!A:B,2,FALSE)</f>
        <v>616392</v>
      </c>
      <c r="I3296">
        <f t="shared" si="51"/>
        <v>2013</v>
      </c>
    </row>
    <row r="3297" spans="1:9">
      <c r="A3297" s="1">
        <v>10284</v>
      </c>
      <c r="B3297" s="1">
        <v>7</v>
      </c>
      <c r="C3297" s="2">
        <v>41527</v>
      </c>
      <c r="D3297" s="1" t="s">
        <v>2002</v>
      </c>
      <c r="E3297" s="1">
        <v>101854</v>
      </c>
      <c r="F3297" s="6" t="s">
        <v>5299</v>
      </c>
      <c r="G3297" s="15" t="str">
        <f>VLOOKUP(A3297,Movie!A:D,4,FALSE)</f>
        <v>Focus</v>
      </c>
      <c r="H3297" s="14">
        <f>VLOOKUP(E3297,'Rental Transaction'!A:B,2,FALSE)</f>
        <v>616392</v>
      </c>
      <c r="I3297">
        <f t="shared" si="51"/>
        <v>2013</v>
      </c>
    </row>
    <row r="3298" spans="1:9">
      <c r="A3298" s="1">
        <v>10181</v>
      </c>
      <c r="B3298" s="1">
        <v>10</v>
      </c>
      <c r="C3298" s="2">
        <v>41526</v>
      </c>
      <c r="D3298" s="1" t="s">
        <v>2005</v>
      </c>
      <c r="E3298" s="1">
        <v>101855</v>
      </c>
      <c r="F3298" s="6" t="s">
        <v>5300</v>
      </c>
      <c r="G3298" s="15" t="str">
        <f>VLOOKUP(A3298,Movie!A:D,4,FALSE)</f>
        <v>Fox</v>
      </c>
      <c r="H3298" s="14">
        <f>VLOOKUP(E3298,'Rental Transaction'!A:B,2,FALSE)</f>
        <v>739393</v>
      </c>
      <c r="I3298">
        <f t="shared" si="51"/>
        <v>2013</v>
      </c>
    </row>
    <row r="3299" spans="1:9">
      <c r="A3299" s="1">
        <v>10098</v>
      </c>
      <c r="B3299" s="1">
        <v>7</v>
      </c>
      <c r="C3299" s="2">
        <v>41526</v>
      </c>
      <c r="D3299" s="1" t="s">
        <v>2005</v>
      </c>
      <c r="E3299" s="1">
        <v>101856</v>
      </c>
      <c r="F3299" s="6" t="s">
        <v>5301</v>
      </c>
      <c r="G3299" s="15" t="str">
        <f>VLOOKUP(A3299,Movie!A:D,4,FALSE)</f>
        <v>Warner Brothers</v>
      </c>
      <c r="H3299" s="14">
        <f>VLOOKUP(E3299,'Rental Transaction'!A:B,2,FALSE)</f>
        <v>762509</v>
      </c>
      <c r="I3299">
        <f t="shared" si="51"/>
        <v>2013</v>
      </c>
    </row>
    <row r="3300" spans="1:9">
      <c r="A3300" s="1">
        <v>10146</v>
      </c>
      <c r="B3300" s="1">
        <v>9</v>
      </c>
      <c r="C3300" s="2">
        <v>41526</v>
      </c>
      <c r="D3300" s="1" t="s">
        <v>2005</v>
      </c>
      <c r="E3300" s="1">
        <v>101856</v>
      </c>
      <c r="F3300" s="6" t="s">
        <v>5302</v>
      </c>
      <c r="G3300" s="15" t="str">
        <f>VLOOKUP(A3300,Movie!A:D,4,FALSE)</f>
        <v>Sony</v>
      </c>
      <c r="H3300" s="14">
        <f>VLOOKUP(E3300,'Rental Transaction'!A:B,2,FALSE)</f>
        <v>762509</v>
      </c>
      <c r="I3300">
        <f t="shared" si="51"/>
        <v>2013</v>
      </c>
    </row>
    <row r="3301" spans="1:9">
      <c r="A3301" s="1">
        <v>10054</v>
      </c>
      <c r="B3301" s="1">
        <v>7</v>
      </c>
      <c r="C3301" s="2">
        <v>41526</v>
      </c>
      <c r="D3301" s="1" t="s">
        <v>2005</v>
      </c>
      <c r="E3301" s="1">
        <v>101857</v>
      </c>
      <c r="F3301" s="6" t="s">
        <v>5303</v>
      </c>
      <c r="G3301" s="15" t="str">
        <f>VLOOKUP(A3301,Movie!A:D,4,FALSE)</f>
        <v>Paramount</v>
      </c>
      <c r="H3301" s="14">
        <f>VLOOKUP(E3301,'Rental Transaction'!A:B,2,FALSE)</f>
        <v>568217</v>
      </c>
      <c r="I3301">
        <f t="shared" si="51"/>
        <v>2013</v>
      </c>
    </row>
    <row r="3302" spans="1:9">
      <c r="A3302" s="1">
        <v>10151</v>
      </c>
      <c r="B3302" s="1">
        <v>1</v>
      </c>
      <c r="C3302" s="2">
        <v>41526</v>
      </c>
      <c r="D3302" s="1" t="s">
        <v>2002</v>
      </c>
      <c r="E3302" s="1">
        <v>101857</v>
      </c>
      <c r="F3302" s="6" t="s">
        <v>5304</v>
      </c>
      <c r="G3302" s="15" t="str">
        <f>VLOOKUP(A3302,Movie!A:D,4,FALSE)</f>
        <v>Screen Gems</v>
      </c>
      <c r="H3302" s="14">
        <f>VLOOKUP(E3302,'Rental Transaction'!A:B,2,FALSE)</f>
        <v>568217</v>
      </c>
      <c r="I3302">
        <f t="shared" si="51"/>
        <v>2013</v>
      </c>
    </row>
    <row r="3303" spans="1:9">
      <c r="A3303" s="1">
        <v>10054</v>
      </c>
      <c r="B3303" s="1">
        <v>4</v>
      </c>
      <c r="C3303" s="2">
        <v>41526</v>
      </c>
      <c r="D3303" s="1" t="s">
        <v>2002</v>
      </c>
      <c r="E3303" s="1">
        <v>101858</v>
      </c>
      <c r="F3303" s="6" t="s">
        <v>5305</v>
      </c>
      <c r="G3303" s="15" t="str">
        <f>VLOOKUP(A3303,Movie!A:D,4,FALSE)</f>
        <v>Paramount</v>
      </c>
      <c r="H3303" s="14">
        <f>VLOOKUP(E3303,'Rental Transaction'!A:B,2,FALSE)</f>
        <v>447601</v>
      </c>
      <c r="I3303">
        <f t="shared" si="51"/>
        <v>2013</v>
      </c>
    </row>
    <row r="3304" spans="1:9">
      <c r="A3304" s="1">
        <v>10116</v>
      </c>
      <c r="B3304" s="1">
        <v>9</v>
      </c>
      <c r="C3304" s="2">
        <v>41526</v>
      </c>
      <c r="D3304" s="1" t="s">
        <v>2005</v>
      </c>
      <c r="E3304" s="1">
        <v>101858</v>
      </c>
      <c r="F3304" s="6" t="s">
        <v>5306</v>
      </c>
      <c r="G3304" s="15" t="str">
        <f>VLOOKUP(A3304,Movie!A:D,4,FALSE)</f>
        <v>Universal</v>
      </c>
      <c r="H3304" s="14">
        <f>VLOOKUP(E3304,'Rental Transaction'!A:B,2,FALSE)</f>
        <v>447601</v>
      </c>
      <c r="I3304">
        <f t="shared" si="51"/>
        <v>2013</v>
      </c>
    </row>
    <row r="3305" spans="1:9">
      <c r="A3305" s="1">
        <v>10039</v>
      </c>
      <c r="B3305" s="1">
        <v>3</v>
      </c>
      <c r="C3305" s="2">
        <v>41526</v>
      </c>
      <c r="D3305" s="1" t="s">
        <v>2002</v>
      </c>
      <c r="E3305" s="1">
        <v>101858</v>
      </c>
      <c r="F3305" s="6" t="s">
        <v>5307</v>
      </c>
      <c r="G3305" s="15" t="str">
        <f>VLOOKUP(A3305,Movie!A:D,4,FALSE)</f>
        <v>Open Road Films</v>
      </c>
      <c r="H3305" s="14">
        <f>VLOOKUP(E3305,'Rental Transaction'!A:B,2,FALSE)</f>
        <v>447601</v>
      </c>
      <c r="I3305">
        <f t="shared" si="51"/>
        <v>2013</v>
      </c>
    </row>
    <row r="3306" spans="1:9">
      <c r="A3306" s="1">
        <v>10067</v>
      </c>
      <c r="B3306" s="1">
        <v>8</v>
      </c>
      <c r="C3306" s="2">
        <v>41528</v>
      </c>
      <c r="D3306" s="1" t="s">
        <v>2002</v>
      </c>
      <c r="E3306" s="1">
        <v>101858</v>
      </c>
      <c r="F3306" s="6" t="s">
        <v>5308</v>
      </c>
      <c r="G3306" s="15" t="str">
        <f>VLOOKUP(A3306,Movie!A:D,4,FALSE)</f>
        <v>Paramount</v>
      </c>
      <c r="H3306" s="14">
        <f>VLOOKUP(E3306,'Rental Transaction'!A:B,2,FALSE)</f>
        <v>447601</v>
      </c>
      <c r="I3306">
        <f t="shared" si="51"/>
        <v>2013</v>
      </c>
    </row>
    <row r="3307" spans="1:9">
      <c r="A3307" s="1">
        <v>10252</v>
      </c>
      <c r="B3307" s="1">
        <v>3</v>
      </c>
      <c r="C3307" s="2">
        <v>41526</v>
      </c>
      <c r="D3307" s="1" t="s">
        <v>2002</v>
      </c>
      <c r="E3307" s="1">
        <v>101858</v>
      </c>
      <c r="F3307" s="6" t="s">
        <v>5309</v>
      </c>
      <c r="G3307" s="15" t="str">
        <f>VLOOKUP(A3307,Movie!A:D,4,FALSE)</f>
        <v>Warner Brothers</v>
      </c>
      <c r="H3307" s="14">
        <f>VLOOKUP(E3307,'Rental Transaction'!A:B,2,FALSE)</f>
        <v>447601</v>
      </c>
      <c r="I3307">
        <f t="shared" si="51"/>
        <v>2013</v>
      </c>
    </row>
    <row r="3308" spans="1:9">
      <c r="A3308" s="1">
        <v>10071</v>
      </c>
      <c r="B3308" s="1">
        <v>7</v>
      </c>
      <c r="C3308" s="2">
        <v>41527</v>
      </c>
      <c r="D3308" s="1" t="s">
        <v>2002</v>
      </c>
      <c r="E3308" s="1">
        <v>101859</v>
      </c>
      <c r="F3308" s="6" t="s">
        <v>5310</v>
      </c>
      <c r="G3308" s="15" t="str">
        <f>VLOOKUP(A3308,Movie!A:D,4,FALSE)</f>
        <v>Paramount</v>
      </c>
      <c r="H3308" s="14">
        <f>VLOOKUP(E3308,'Rental Transaction'!A:B,2,FALSE)</f>
        <v>269687</v>
      </c>
      <c r="I3308">
        <f t="shared" si="51"/>
        <v>2013</v>
      </c>
    </row>
    <row r="3309" spans="1:9">
      <c r="A3309" s="1">
        <v>10251</v>
      </c>
      <c r="B3309" s="1">
        <v>10</v>
      </c>
      <c r="C3309" s="2">
        <v>41527</v>
      </c>
      <c r="D3309" s="1" t="s">
        <v>2005</v>
      </c>
      <c r="E3309" s="1">
        <v>101860</v>
      </c>
      <c r="F3309" s="6" t="s">
        <v>5311</v>
      </c>
      <c r="G3309" s="15" t="str">
        <f>VLOOKUP(A3309,Movie!A:D,4,FALSE)</f>
        <v>Universal</v>
      </c>
      <c r="H3309" s="14">
        <f>VLOOKUP(E3309,'Rental Transaction'!A:B,2,FALSE)</f>
        <v>796796</v>
      </c>
      <c r="I3309">
        <f t="shared" si="51"/>
        <v>2013</v>
      </c>
    </row>
    <row r="3310" spans="1:9">
      <c r="A3310" s="1">
        <v>10257</v>
      </c>
      <c r="B3310" s="1">
        <v>3</v>
      </c>
      <c r="C3310" s="2">
        <v>41526</v>
      </c>
      <c r="D3310" s="1" t="s">
        <v>2005</v>
      </c>
      <c r="E3310" s="1">
        <v>101860</v>
      </c>
      <c r="F3310" s="6" t="s">
        <v>5312</v>
      </c>
      <c r="G3310" s="15" t="str">
        <f>VLOOKUP(A3310,Movie!A:D,4,FALSE)</f>
        <v>Fox</v>
      </c>
      <c r="H3310" s="14">
        <f>VLOOKUP(E3310,'Rental Transaction'!A:B,2,FALSE)</f>
        <v>796796</v>
      </c>
      <c r="I3310">
        <f t="shared" si="51"/>
        <v>2013</v>
      </c>
    </row>
    <row r="3311" spans="1:9">
      <c r="A3311" s="1">
        <v>10074</v>
      </c>
      <c r="B3311" s="1">
        <v>2</v>
      </c>
      <c r="C3311" s="2">
        <v>41527</v>
      </c>
      <c r="D3311" s="1" t="s">
        <v>2002</v>
      </c>
      <c r="E3311" s="1">
        <v>101861</v>
      </c>
      <c r="F3311" s="6" t="s">
        <v>5313</v>
      </c>
      <c r="G3311" s="15" t="str">
        <f>VLOOKUP(A3311,Movie!A:D,4,FALSE)</f>
        <v>Open Road Films</v>
      </c>
      <c r="H3311" s="14">
        <f>VLOOKUP(E3311,'Rental Transaction'!A:B,2,FALSE)</f>
        <v>429748</v>
      </c>
      <c r="I3311">
        <f t="shared" si="51"/>
        <v>2013</v>
      </c>
    </row>
    <row r="3312" spans="1:9">
      <c r="A3312" s="1">
        <v>10052</v>
      </c>
      <c r="B3312" s="1">
        <v>8</v>
      </c>
      <c r="C3312" s="2">
        <v>41527</v>
      </c>
      <c r="D3312" s="1" t="s">
        <v>2002</v>
      </c>
      <c r="E3312" s="1">
        <v>101862</v>
      </c>
      <c r="F3312" s="6" t="s">
        <v>5314</v>
      </c>
      <c r="G3312" s="15" t="str">
        <f>VLOOKUP(A3312,Movie!A:D,4,FALSE)</f>
        <v>Warner Brothers</v>
      </c>
      <c r="H3312" s="14">
        <f>VLOOKUP(E3312,'Rental Transaction'!A:B,2,FALSE)</f>
        <v>785444</v>
      </c>
      <c r="I3312">
        <f t="shared" si="51"/>
        <v>2013</v>
      </c>
    </row>
    <row r="3313" spans="1:9">
      <c r="A3313" s="1">
        <v>10120</v>
      </c>
      <c r="B3313" s="1">
        <v>8</v>
      </c>
      <c r="C3313" s="2">
        <v>41527</v>
      </c>
      <c r="D3313" s="1" t="s">
        <v>2005</v>
      </c>
      <c r="E3313" s="1">
        <v>101862</v>
      </c>
      <c r="F3313" s="6" t="s">
        <v>5315</v>
      </c>
      <c r="G3313" s="15" t="str">
        <f>VLOOKUP(A3313,Movie!A:D,4,FALSE)</f>
        <v>Focus</v>
      </c>
      <c r="H3313" s="14">
        <f>VLOOKUP(E3313,'Rental Transaction'!A:B,2,FALSE)</f>
        <v>785444</v>
      </c>
      <c r="I3313">
        <f t="shared" si="51"/>
        <v>2013</v>
      </c>
    </row>
    <row r="3314" spans="1:9">
      <c r="A3314" s="1">
        <v>10097</v>
      </c>
      <c r="B3314" s="1">
        <v>7</v>
      </c>
      <c r="C3314" s="2">
        <v>41528</v>
      </c>
      <c r="D3314" s="1" t="s">
        <v>2005</v>
      </c>
      <c r="E3314" s="1">
        <v>101863</v>
      </c>
      <c r="F3314" s="6" t="s">
        <v>5316</v>
      </c>
      <c r="G3314" s="15" t="str">
        <f>VLOOKUP(A3314,Movie!A:D,4,FALSE)</f>
        <v>Screen Gems</v>
      </c>
      <c r="H3314" s="14">
        <f>VLOOKUP(E3314,'Rental Transaction'!A:B,2,FALSE)</f>
        <v>346006</v>
      </c>
      <c r="I3314">
        <f t="shared" si="51"/>
        <v>2013</v>
      </c>
    </row>
    <row r="3315" spans="1:9">
      <c r="A3315" s="1">
        <v>10204</v>
      </c>
      <c r="B3315" s="1">
        <v>8</v>
      </c>
      <c r="C3315" s="2">
        <v>41527</v>
      </c>
      <c r="D3315" s="1" t="s">
        <v>2005</v>
      </c>
      <c r="E3315" s="1">
        <v>101864</v>
      </c>
      <c r="F3315" s="6" t="s">
        <v>5317</v>
      </c>
      <c r="G3315" s="15" t="str">
        <f>VLOOKUP(A3315,Movie!A:D,4,FALSE)</f>
        <v>Universal</v>
      </c>
      <c r="H3315" s="14">
        <f>VLOOKUP(E3315,'Rental Transaction'!A:B,2,FALSE)</f>
        <v>646700</v>
      </c>
      <c r="I3315">
        <f t="shared" si="51"/>
        <v>2013</v>
      </c>
    </row>
    <row r="3316" spans="1:9">
      <c r="A3316" s="1">
        <v>10076</v>
      </c>
      <c r="B3316" s="1">
        <v>6</v>
      </c>
      <c r="C3316" s="2">
        <v>41529</v>
      </c>
      <c r="D3316" s="1" t="s">
        <v>2002</v>
      </c>
      <c r="E3316" s="1">
        <v>101865</v>
      </c>
      <c r="F3316" s="6" t="s">
        <v>5318</v>
      </c>
      <c r="G3316" s="15" t="str">
        <f>VLOOKUP(A3316,Movie!A:D,4,FALSE)</f>
        <v>Sony</v>
      </c>
      <c r="H3316" s="14">
        <f>VLOOKUP(E3316,'Rental Transaction'!A:B,2,FALSE)</f>
        <v>590616</v>
      </c>
      <c r="I3316">
        <f t="shared" si="51"/>
        <v>2013</v>
      </c>
    </row>
    <row r="3317" spans="1:9">
      <c r="A3317" s="1">
        <v>10159</v>
      </c>
      <c r="B3317" s="1">
        <v>4</v>
      </c>
      <c r="C3317" s="2">
        <v>41527</v>
      </c>
      <c r="D3317" s="1" t="s">
        <v>2005</v>
      </c>
      <c r="E3317" s="1">
        <v>101865</v>
      </c>
      <c r="F3317" s="6" t="s">
        <v>5319</v>
      </c>
      <c r="G3317" s="15" t="str">
        <f>VLOOKUP(A3317,Movie!A:D,4,FALSE)</f>
        <v>Lionsgate</v>
      </c>
      <c r="H3317" s="14">
        <f>VLOOKUP(E3317,'Rental Transaction'!A:B,2,FALSE)</f>
        <v>590616</v>
      </c>
      <c r="I3317">
        <f t="shared" si="51"/>
        <v>2013</v>
      </c>
    </row>
    <row r="3318" spans="1:9">
      <c r="A3318" s="1">
        <v>10096</v>
      </c>
      <c r="B3318" s="1">
        <v>8</v>
      </c>
      <c r="C3318" s="2">
        <v>41527</v>
      </c>
      <c r="D3318" s="1" t="s">
        <v>2002</v>
      </c>
      <c r="E3318" s="1">
        <v>101866</v>
      </c>
      <c r="F3318" s="6" t="s">
        <v>5320</v>
      </c>
      <c r="G3318" s="15" t="str">
        <f>VLOOKUP(A3318,Movie!A:D,4,FALSE)</f>
        <v>Universal</v>
      </c>
      <c r="H3318" s="14">
        <f>VLOOKUP(E3318,'Rental Transaction'!A:B,2,FALSE)</f>
        <v>157695</v>
      </c>
      <c r="I3318">
        <f t="shared" si="51"/>
        <v>2013</v>
      </c>
    </row>
    <row r="3319" spans="1:9">
      <c r="A3319" s="1">
        <v>10064</v>
      </c>
      <c r="B3319" s="1">
        <v>5</v>
      </c>
      <c r="C3319" s="2">
        <v>41527</v>
      </c>
      <c r="D3319" s="1" t="s">
        <v>2002</v>
      </c>
      <c r="E3319" s="1">
        <v>101867</v>
      </c>
      <c r="F3319" s="6" t="s">
        <v>5321</v>
      </c>
      <c r="G3319" s="15" t="str">
        <f>VLOOKUP(A3319,Movie!A:D,4,FALSE)</f>
        <v>Universal</v>
      </c>
      <c r="H3319" s="14">
        <f>VLOOKUP(E3319,'Rental Transaction'!A:B,2,FALSE)</f>
        <v>516619</v>
      </c>
      <c r="I3319">
        <f t="shared" si="51"/>
        <v>2013</v>
      </c>
    </row>
    <row r="3320" spans="1:9">
      <c r="A3320" s="1">
        <v>10245</v>
      </c>
      <c r="B3320" s="1">
        <v>7</v>
      </c>
      <c r="C3320" s="2">
        <v>41527</v>
      </c>
      <c r="D3320" s="1" t="s">
        <v>2002</v>
      </c>
      <c r="E3320" s="1">
        <v>101867</v>
      </c>
      <c r="F3320" s="6" t="s">
        <v>5322</v>
      </c>
      <c r="G3320" s="15" t="str">
        <f>VLOOKUP(A3320,Movie!A:D,4,FALSE)</f>
        <v>Warner Brothers</v>
      </c>
      <c r="H3320" s="14">
        <f>VLOOKUP(E3320,'Rental Transaction'!A:B,2,FALSE)</f>
        <v>516619</v>
      </c>
      <c r="I3320">
        <f t="shared" si="51"/>
        <v>2013</v>
      </c>
    </row>
    <row r="3321" spans="1:9">
      <c r="A3321" s="1">
        <v>10031</v>
      </c>
      <c r="B3321" s="1">
        <v>3</v>
      </c>
      <c r="C3321" s="2">
        <v>41528</v>
      </c>
      <c r="D3321" s="1" t="s">
        <v>2002</v>
      </c>
      <c r="E3321" s="1">
        <v>101867</v>
      </c>
      <c r="F3321" s="6" t="s">
        <v>5323</v>
      </c>
      <c r="G3321" s="15" t="str">
        <f>VLOOKUP(A3321,Movie!A:D,4,FALSE)</f>
        <v>Warner Brothers</v>
      </c>
      <c r="H3321" s="14">
        <f>VLOOKUP(E3321,'Rental Transaction'!A:B,2,FALSE)</f>
        <v>516619</v>
      </c>
      <c r="I3321">
        <f t="shared" si="51"/>
        <v>2013</v>
      </c>
    </row>
    <row r="3322" spans="1:9">
      <c r="A3322" s="1">
        <v>10208</v>
      </c>
      <c r="B3322" s="1">
        <v>10</v>
      </c>
      <c r="C3322" s="2">
        <v>41527</v>
      </c>
      <c r="D3322" s="1" t="s">
        <v>2005</v>
      </c>
      <c r="E3322" s="1">
        <v>101867</v>
      </c>
      <c r="F3322" s="6" t="s">
        <v>5324</v>
      </c>
      <c r="G3322" s="15" t="str">
        <f>VLOOKUP(A3322,Movie!A:D,4,FALSE)</f>
        <v>Warner Brothers</v>
      </c>
      <c r="H3322" s="14">
        <f>VLOOKUP(E3322,'Rental Transaction'!A:B,2,FALSE)</f>
        <v>516619</v>
      </c>
      <c r="I3322">
        <f t="shared" si="51"/>
        <v>2013</v>
      </c>
    </row>
    <row r="3323" spans="1:9">
      <c r="A3323" s="1">
        <v>10024</v>
      </c>
      <c r="B3323" s="1">
        <v>3</v>
      </c>
      <c r="C3323" s="2">
        <v>41528</v>
      </c>
      <c r="D3323" s="1" t="s">
        <v>2005</v>
      </c>
      <c r="E3323" s="1">
        <v>101868</v>
      </c>
      <c r="F3323" s="6" t="s">
        <v>5325</v>
      </c>
      <c r="G3323" s="15" t="str">
        <f>VLOOKUP(A3323,Movie!A:D,4,FALSE)</f>
        <v>Fox</v>
      </c>
      <c r="H3323" s="14">
        <f>VLOOKUP(E3323,'Rental Transaction'!A:B,2,FALSE)</f>
        <v>520377</v>
      </c>
      <c r="I3323">
        <f t="shared" si="51"/>
        <v>2013</v>
      </c>
    </row>
    <row r="3324" spans="1:9">
      <c r="A3324" s="1">
        <v>10007</v>
      </c>
      <c r="B3324" s="1">
        <v>3</v>
      </c>
      <c r="C3324" s="2">
        <v>41527</v>
      </c>
      <c r="D3324" s="1" t="s">
        <v>2005</v>
      </c>
      <c r="E3324" s="1">
        <v>101869</v>
      </c>
      <c r="F3324" s="6" t="s">
        <v>5326</v>
      </c>
      <c r="G3324" s="15" t="str">
        <f>VLOOKUP(A3324,Movie!A:D,4,FALSE)</f>
        <v>Sony</v>
      </c>
      <c r="H3324" s="14">
        <f>VLOOKUP(E3324,'Rental Transaction'!A:B,2,FALSE)</f>
        <v>915766</v>
      </c>
      <c r="I3324">
        <f t="shared" si="51"/>
        <v>2013</v>
      </c>
    </row>
    <row r="3325" spans="1:9">
      <c r="A3325" s="1">
        <v>10216</v>
      </c>
      <c r="B3325" s="1">
        <v>6</v>
      </c>
      <c r="C3325" s="2">
        <v>41527</v>
      </c>
      <c r="D3325" s="1" t="s">
        <v>2002</v>
      </c>
      <c r="E3325" s="1">
        <v>101870</v>
      </c>
      <c r="F3325" s="6" t="s">
        <v>5327</v>
      </c>
      <c r="G3325" s="15" t="str">
        <f>VLOOKUP(A3325,Movie!A:D,4,FALSE)</f>
        <v>Sony</v>
      </c>
      <c r="H3325" s="14">
        <f>VLOOKUP(E3325,'Rental Transaction'!A:B,2,FALSE)</f>
        <v>832914</v>
      </c>
      <c r="I3325">
        <f t="shared" si="51"/>
        <v>2013</v>
      </c>
    </row>
    <row r="3326" spans="1:9">
      <c r="A3326" s="1">
        <v>10096</v>
      </c>
      <c r="B3326" s="1">
        <v>10</v>
      </c>
      <c r="C3326" s="2">
        <v>41527</v>
      </c>
      <c r="D3326" s="1" t="s">
        <v>2005</v>
      </c>
      <c r="E3326" s="1">
        <v>101871</v>
      </c>
      <c r="F3326" s="6" t="s">
        <v>5328</v>
      </c>
      <c r="G3326" s="15" t="str">
        <f>VLOOKUP(A3326,Movie!A:D,4,FALSE)</f>
        <v>Universal</v>
      </c>
      <c r="H3326" s="14">
        <f>VLOOKUP(E3326,'Rental Transaction'!A:B,2,FALSE)</f>
        <v>175940</v>
      </c>
      <c r="I3326">
        <f t="shared" si="51"/>
        <v>2013</v>
      </c>
    </row>
    <row r="3327" spans="1:9" ht="29.25">
      <c r="A3327" s="1">
        <v>10294</v>
      </c>
      <c r="B3327" s="1">
        <v>1</v>
      </c>
      <c r="C3327" s="2">
        <v>41527</v>
      </c>
      <c r="D3327" s="1" t="s">
        <v>2002</v>
      </c>
      <c r="E3327" s="1">
        <v>101871</v>
      </c>
      <c r="F3327" s="6" t="s">
        <v>5329</v>
      </c>
      <c r="G3327" s="15" t="str">
        <f>VLOOKUP(A3327,Movie!A:D,4,FALSE)</f>
        <v>Weinstein Company</v>
      </c>
      <c r="H3327" s="14">
        <f>VLOOKUP(E3327,'Rental Transaction'!A:B,2,FALSE)</f>
        <v>175940</v>
      </c>
      <c r="I3327">
        <f t="shared" si="51"/>
        <v>2013</v>
      </c>
    </row>
    <row r="3328" spans="1:9">
      <c r="A3328" s="1">
        <v>10214</v>
      </c>
      <c r="B3328" s="1">
        <v>9</v>
      </c>
      <c r="C3328" s="2">
        <v>41527</v>
      </c>
      <c r="D3328" s="1" t="s">
        <v>2005</v>
      </c>
      <c r="E3328" s="1">
        <v>101871</v>
      </c>
      <c r="F3328" s="6" t="s">
        <v>5330</v>
      </c>
      <c r="G3328" s="15" t="str">
        <f>VLOOKUP(A3328,Movie!A:D,4,FALSE)</f>
        <v>RM</v>
      </c>
      <c r="H3328" s="14">
        <f>VLOOKUP(E3328,'Rental Transaction'!A:B,2,FALSE)</f>
        <v>175940</v>
      </c>
      <c r="I3328">
        <f t="shared" si="51"/>
        <v>2013</v>
      </c>
    </row>
    <row r="3329" spans="1:9">
      <c r="A3329" s="1">
        <v>10279</v>
      </c>
      <c r="B3329" s="1">
        <v>8</v>
      </c>
      <c r="C3329" s="2">
        <v>41527</v>
      </c>
      <c r="D3329" s="1" t="s">
        <v>2002</v>
      </c>
      <c r="E3329" s="1">
        <v>101871</v>
      </c>
      <c r="F3329" s="6" t="s">
        <v>5331</v>
      </c>
      <c r="G3329" s="15" t="str">
        <f>VLOOKUP(A3329,Movie!A:D,4,FALSE)</f>
        <v>Screen Gems</v>
      </c>
      <c r="H3329" s="14">
        <f>VLOOKUP(E3329,'Rental Transaction'!A:B,2,FALSE)</f>
        <v>175940</v>
      </c>
      <c r="I3329">
        <f t="shared" si="51"/>
        <v>2013</v>
      </c>
    </row>
    <row r="3330" spans="1:9">
      <c r="A3330" s="1">
        <v>10203</v>
      </c>
      <c r="B3330" s="1">
        <v>5</v>
      </c>
      <c r="C3330" s="2">
        <v>41527</v>
      </c>
      <c r="D3330" s="1" t="s">
        <v>2005</v>
      </c>
      <c r="E3330" s="1">
        <v>101872</v>
      </c>
      <c r="F3330" s="6" t="s">
        <v>5332</v>
      </c>
      <c r="G3330" s="15" t="str">
        <f>VLOOKUP(A3330,Movie!A:D,4,FALSE)</f>
        <v>Buena Vista</v>
      </c>
      <c r="H3330" s="14">
        <f>VLOOKUP(E3330,'Rental Transaction'!A:B,2,FALSE)</f>
        <v>941876</v>
      </c>
      <c r="I3330">
        <f t="shared" si="51"/>
        <v>2013</v>
      </c>
    </row>
    <row r="3331" spans="1:9">
      <c r="A3331" s="1">
        <v>10263</v>
      </c>
      <c r="B3331" s="1">
        <v>8</v>
      </c>
      <c r="C3331" s="2">
        <v>41527</v>
      </c>
      <c r="D3331" s="1" t="s">
        <v>2005</v>
      </c>
      <c r="E3331" s="1">
        <v>101873</v>
      </c>
      <c r="F3331" s="6" t="s">
        <v>5333</v>
      </c>
      <c r="G3331" s="15" t="str">
        <f>VLOOKUP(A3331,Movie!A:D,4,FALSE)</f>
        <v>Fox</v>
      </c>
      <c r="H3331" s="14">
        <f>VLOOKUP(E3331,'Rental Transaction'!A:B,2,FALSE)</f>
        <v>347659</v>
      </c>
      <c r="I3331">
        <f t="shared" ref="I3331:I3394" si="52">YEAR(C3331)</f>
        <v>2013</v>
      </c>
    </row>
    <row r="3332" spans="1:9" ht="29.25">
      <c r="A3332" s="1">
        <v>10154</v>
      </c>
      <c r="B3332" s="1">
        <v>10</v>
      </c>
      <c r="C3332" s="2">
        <v>41527</v>
      </c>
      <c r="D3332" s="1" t="s">
        <v>2005</v>
      </c>
      <c r="E3332" s="1">
        <v>101873</v>
      </c>
      <c r="F3332" s="6" t="s">
        <v>5334</v>
      </c>
      <c r="G3332" s="15" t="str">
        <f>VLOOKUP(A3332,Movie!A:D,4,FALSE)</f>
        <v>Summit Entertainment</v>
      </c>
      <c r="H3332" s="14">
        <f>VLOOKUP(E3332,'Rental Transaction'!A:B,2,FALSE)</f>
        <v>347659</v>
      </c>
      <c r="I3332">
        <f t="shared" si="52"/>
        <v>2013</v>
      </c>
    </row>
    <row r="3333" spans="1:9">
      <c r="A3333" s="1">
        <v>10037</v>
      </c>
      <c r="B3333" s="1">
        <v>1</v>
      </c>
      <c r="C3333" s="2">
        <v>41527</v>
      </c>
      <c r="D3333" s="1" t="s">
        <v>2002</v>
      </c>
      <c r="E3333" s="1">
        <v>101874</v>
      </c>
      <c r="F3333" s="6" t="s">
        <v>5335</v>
      </c>
      <c r="G3333" s="15" t="str">
        <f>VLOOKUP(A3333,Movie!A:D,4,FALSE)</f>
        <v>Buena Vista</v>
      </c>
      <c r="H3333" s="14">
        <f>VLOOKUP(E3333,'Rental Transaction'!A:B,2,FALSE)</f>
        <v>925565</v>
      </c>
      <c r="I3333">
        <f t="shared" si="52"/>
        <v>2013</v>
      </c>
    </row>
    <row r="3334" spans="1:9">
      <c r="A3334" s="1">
        <v>10023</v>
      </c>
      <c r="B3334" s="1">
        <v>1</v>
      </c>
      <c r="C3334" s="2">
        <v>41527</v>
      </c>
      <c r="D3334" s="1" t="s">
        <v>2002</v>
      </c>
      <c r="E3334" s="1">
        <v>101874</v>
      </c>
      <c r="F3334" s="6" t="s">
        <v>5336</v>
      </c>
      <c r="G3334" s="15" t="str">
        <f>VLOOKUP(A3334,Movie!A:D,4,FALSE)</f>
        <v>Buena Vista</v>
      </c>
      <c r="H3334" s="14">
        <f>VLOOKUP(E3334,'Rental Transaction'!A:B,2,FALSE)</f>
        <v>925565</v>
      </c>
      <c r="I3334">
        <f t="shared" si="52"/>
        <v>2013</v>
      </c>
    </row>
    <row r="3335" spans="1:9">
      <c r="A3335" s="1">
        <v>10070</v>
      </c>
      <c r="B3335" s="1">
        <v>2</v>
      </c>
      <c r="C3335" s="2">
        <v>41527</v>
      </c>
      <c r="D3335" s="1" t="s">
        <v>2002</v>
      </c>
      <c r="E3335" s="1">
        <v>101874</v>
      </c>
      <c r="F3335" s="6" t="s">
        <v>5337</v>
      </c>
      <c r="G3335" s="15" t="str">
        <f>VLOOKUP(A3335,Movie!A:D,4,FALSE)</f>
        <v>Paramount</v>
      </c>
      <c r="H3335" s="14">
        <f>VLOOKUP(E3335,'Rental Transaction'!A:B,2,FALSE)</f>
        <v>925565</v>
      </c>
      <c r="I3335">
        <f t="shared" si="52"/>
        <v>2013</v>
      </c>
    </row>
    <row r="3336" spans="1:9">
      <c r="A3336" s="1">
        <v>10162</v>
      </c>
      <c r="B3336" s="1">
        <v>1</v>
      </c>
      <c r="C3336" s="2">
        <v>41527</v>
      </c>
      <c r="D3336" s="1" t="s">
        <v>2002</v>
      </c>
      <c r="E3336" s="1">
        <v>101874</v>
      </c>
      <c r="F3336" s="6" t="s">
        <v>5338</v>
      </c>
      <c r="G3336" s="15" t="str">
        <f>VLOOKUP(A3336,Movie!A:D,4,FALSE)</f>
        <v>Sony</v>
      </c>
      <c r="H3336" s="14">
        <f>VLOOKUP(E3336,'Rental Transaction'!A:B,2,FALSE)</f>
        <v>925565</v>
      </c>
      <c r="I3336">
        <f t="shared" si="52"/>
        <v>2013</v>
      </c>
    </row>
    <row r="3337" spans="1:9">
      <c r="A3337" s="1">
        <v>10038</v>
      </c>
      <c r="B3337" s="1">
        <v>10</v>
      </c>
      <c r="C3337" s="2">
        <v>41527</v>
      </c>
      <c r="D3337" s="1" t="s">
        <v>2005</v>
      </c>
      <c r="E3337" s="1">
        <v>101875</v>
      </c>
      <c r="F3337" s="6" t="s">
        <v>5339</v>
      </c>
      <c r="G3337" s="15" t="str">
        <f>VLOOKUP(A3337,Movie!A:D,4,FALSE)</f>
        <v>Paramount</v>
      </c>
      <c r="H3337" s="14">
        <f>VLOOKUP(E3337,'Rental Transaction'!A:B,2,FALSE)</f>
        <v>822823</v>
      </c>
      <c r="I3337">
        <f t="shared" si="52"/>
        <v>2013</v>
      </c>
    </row>
    <row r="3338" spans="1:9">
      <c r="A3338" s="1">
        <v>10143</v>
      </c>
      <c r="B3338" s="1">
        <v>8</v>
      </c>
      <c r="C3338" s="2">
        <v>41528</v>
      </c>
      <c r="D3338" s="1" t="s">
        <v>2002</v>
      </c>
      <c r="E3338" s="1">
        <v>101875</v>
      </c>
      <c r="F3338" s="6" t="s">
        <v>5340</v>
      </c>
      <c r="G3338" s="15" t="str">
        <f>VLOOKUP(A3338,Movie!A:D,4,FALSE)</f>
        <v>Buena Vista</v>
      </c>
      <c r="H3338" s="14">
        <f>VLOOKUP(E3338,'Rental Transaction'!A:B,2,FALSE)</f>
        <v>822823</v>
      </c>
      <c r="I3338">
        <f t="shared" si="52"/>
        <v>2013</v>
      </c>
    </row>
    <row r="3339" spans="1:9">
      <c r="A3339" s="1">
        <v>10218</v>
      </c>
      <c r="B3339" s="1">
        <v>10</v>
      </c>
      <c r="C3339" s="2">
        <v>41528</v>
      </c>
      <c r="D3339" s="1" t="s">
        <v>2002</v>
      </c>
      <c r="E3339" s="1">
        <v>101876</v>
      </c>
      <c r="F3339" s="6" t="s">
        <v>5341</v>
      </c>
      <c r="G3339" s="15" t="str">
        <f>VLOOKUP(A3339,Movie!A:D,4,FALSE)</f>
        <v>Sony</v>
      </c>
      <c r="H3339" s="14">
        <f>VLOOKUP(E3339,'Rental Transaction'!A:B,2,FALSE)</f>
        <v>270853</v>
      </c>
      <c r="I3339">
        <f t="shared" si="52"/>
        <v>2013</v>
      </c>
    </row>
    <row r="3340" spans="1:9">
      <c r="A3340" s="1">
        <v>10078</v>
      </c>
      <c r="B3340" s="1">
        <v>9</v>
      </c>
      <c r="C3340" s="2">
        <v>41527</v>
      </c>
      <c r="D3340" s="1" t="s">
        <v>2005</v>
      </c>
      <c r="E3340" s="1">
        <v>101877</v>
      </c>
      <c r="F3340" s="6" t="s">
        <v>5342</v>
      </c>
      <c r="G3340" s="15" t="str">
        <f>VLOOKUP(A3340,Movie!A:D,4,FALSE)</f>
        <v>Paramount</v>
      </c>
      <c r="H3340" s="14">
        <f>VLOOKUP(E3340,'Rental Transaction'!A:B,2,FALSE)</f>
        <v>173125</v>
      </c>
      <c r="I3340">
        <f t="shared" si="52"/>
        <v>2013</v>
      </c>
    </row>
    <row r="3341" spans="1:9">
      <c r="A3341" s="1">
        <v>10182</v>
      </c>
      <c r="B3341" s="1">
        <v>10</v>
      </c>
      <c r="C3341" s="2">
        <v>41527</v>
      </c>
      <c r="D3341" s="1" t="s">
        <v>2005</v>
      </c>
      <c r="E3341" s="1">
        <v>101877</v>
      </c>
      <c r="F3341" s="6" t="s">
        <v>5343</v>
      </c>
      <c r="G3341" s="15" t="str">
        <f>VLOOKUP(A3341,Movie!A:D,4,FALSE)</f>
        <v>Warner Brothers</v>
      </c>
      <c r="H3341" s="14">
        <f>VLOOKUP(E3341,'Rental Transaction'!A:B,2,FALSE)</f>
        <v>173125</v>
      </c>
      <c r="I3341">
        <f t="shared" si="52"/>
        <v>2013</v>
      </c>
    </row>
    <row r="3342" spans="1:9">
      <c r="A3342" s="1">
        <v>10075</v>
      </c>
      <c r="B3342" s="1">
        <v>10</v>
      </c>
      <c r="C3342" s="2">
        <v>41527</v>
      </c>
      <c r="D3342" s="1" t="s">
        <v>2002</v>
      </c>
      <c r="E3342" s="1">
        <v>101878</v>
      </c>
      <c r="F3342" s="6" t="s">
        <v>5344</v>
      </c>
      <c r="G3342" s="15" t="str">
        <f>VLOOKUP(A3342,Movie!A:D,4,FALSE)</f>
        <v>Fox Searchlight</v>
      </c>
      <c r="H3342" s="14">
        <f>VLOOKUP(E3342,'Rental Transaction'!A:B,2,FALSE)</f>
        <v>454143</v>
      </c>
      <c r="I3342">
        <f t="shared" si="52"/>
        <v>2013</v>
      </c>
    </row>
    <row r="3343" spans="1:9">
      <c r="A3343" s="1">
        <v>10148</v>
      </c>
      <c r="B3343" s="1">
        <v>7</v>
      </c>
      <c r="C3343" s="2">
        <v>41529</v>
      </c>
      <c r="D3343" s="1" t="s">
        <v>2005</v>
      </c>
      <c r="E3343" s="1">
        <v>101878</v>
      </c>
      <c r="F3343" s="6" t="s">
        <v>5345</v>
      </c>
      <c r="G3343" s="15" t="str">
        <f>VLOOKUP(A3343,Movie!A:D,4,FALSE)</f>
        <v>Paramount</v>
      </c>
      <c r="H3343" s="14">
        <f>VLOOKUP(E3343,'Rental Transaction'!A:B,2,FALSE)</f>
        <v>454143</v>
      </c>
      <c r="I3343">
        <f t="shared" si="52"/>
        <v>2013</v>
      </c>
    </row>
    <row r="3344" spans="1:9">
      <c r="A3344" s="1">
        <v>10267</v>
      </c>
      <c r="B3344" s="1">
        <v>2</v>
      </c>
      <c r="C3344" s="2">
        <v>41527</v>
      </c>
      <c r="D3344" s="1" t="s">
        <v>2002</v>
      </c>
      <c r="E3344" s="1">
        <v>101879</v>
      </c>
      <c r="F3344" s="6" t="s">
        <v>5346</v>
      </c>
      <c r="G3344" s="15" t="str">
        <f>VLOOKUP(A3344,Movie!A:D,4,FALSE)</f>
        <v>TriStar</v>
      </c>
      <c r="H3344" s="14">
        <f>VLOOKUP(E3344,'Rental Transaction'!A:B,2,FALSE)</f>
        <v>994185</v>
      </c>
      <c r="I3344">
        <f t="shared" si="52"/>
        <v>2013</v>
      </c>
    </row>
    <row r="3345" spans="1:9">
      <c r="A3345" s="1">
        <v>10205</v>
      </c>
      <c r="B3345" s="1">
        <v>5</v>
      </c>
      <c r="C3345" s="2">
        <v>41528</v>
      </c>
      <c r="D3345" s="1" t="s">
        <v>2002</v>
      </c>
      <c r="E3345" s="1">
        <v>101880</v>
      </c>
      <c r="F3345" s="6" t="s">
        <v>5347</v>
      </c>
      <c r="G3345" s="15" t="str">
        <f>VLOOKUP(A3345,Movie!A:D,4,FALSE)</f>
        <v>Paramount</v>
      </c>
      <c r="H3345" s="14">
        <f>VLOOKUP(E3345,'Rental Transaction'!A:B,2,FALSE)</f>
        <v>143878</v>
      </c>
      <c r="I3345">
        <f t="shared" si="52"/>
        <v>2013</v>
      </c>
    </row>
    <row r="3346" spans="1:9">
      <c r="A3346" s="1">
        <v>10071</v>
      </c>
      <c r="B3346" s="1">
        <v>8</v>
      </c>
      <c r="C3346" s="2">
        <v>41528</v>
      </c>
      <c r="D3346" s="1" t="s">
        <v>2002</v>
      </c>
      <c r="E3346" s="1">
        <v>101881</v>
      </c>
      <c r="F3346" s="6" t="s">
        <v>5348</v>
      </c>
      <c r="G3346" s="15" t="str">
        <f>VLOOKUP(A3346,Movie!A:D,4,FALSE)</f>
        <v>Paramount</v>
      </c>
      <c r="H3346" s="14">
        <f>VLOOKUP(E3346,'Rental Transaction'!A:B,2,FALSE)</f>
        <v>999915</v>
      </c>
      <c r="I3346">
        <f t="shared" si="52"/>
        <v>2013</v>
      </c>
    </row>
    <row r="3347" spans="1:9">
      <c r="A3347" s="1">
        <v>10002</v>
      </c>
      <c r="B3347" s="1">
        <v>3</v>
      </c>
      <c r="C3347" s="2">
        <v>41528</v>
      </c>
      <c r="D3347" s="1" t="s">
        <v>2005</v>
      </c>
      <c r="E3347" s="1">
        <v>101882</v>
      </c>
      <c r="F3347" s="6" t="s">
        <v>5349</v>
      </c>
      <c r="G3347" s="15" t="str">
        <f>VLOOKUP(A3347,Movie!A:D,4,FALSE)</f>
        <v>Lionsgate</v>
      </c>
      <c r="H3347" s="14">
        <f>VLOOKUP(E3347,'Rental Transaction'!A:B,2,FALSE)</f>
        <v>730305</v>
      </c>
      <c r="I3347">
        <f t="shared" si="52"/>
        <v>2013</v>
      </c>
    </row>
    <row r="3348" spans="1:9">
      <c r="A3348" s="1">
        <v>10168</v>
      </c>
      <c r="B3348" s="1">
        <v>2</v>
      </c>
      <c r="C3348" s="2">
        <v>41528</v>
      </c>
      <c r="D3348" s="1" t="s">
        <v>2005</v>
      </c>
      <c r="E3348" s="1">
        <v>101883</v>
      </c>
      <c r="F3348" s="6" t="s">
        <v>5350</v>
      </c>
      <c r="G3348" s="15" t="str">
        <f>VLOOKUP(A3348,Movie!A:D,4,FALSE)</f>
        <v>Paramount</v>
      </c>
      <c r="H3348" s="14">
        <f>VLOOKUP(E3348,'Rental Transaction'!A:B,2,FALSE)</f>
        <v>671101</v>
      </c>
      <c r="I3348">
        <f t="shared" si="52"/>
        <v>2013</v>
      </c>
    </row>
    <row r="3349" spans="1:9">
      <c r="A3349" s="1">
        <v>10259</v>
      </c>
      <c r="B3349" s="1">
        <v>5</v>
      </c>
      <c r="C3349" s="2">
        <v>41528</v>
      </c>
      <c r="D3349" s="1" t="s">
        <v>2002</v>
      </c>
      <c r="E3349" s="1">
        <v>101884</v>
      </c>
      <c r="F3349" s="6" t="s">
        <v>5351</v>
      </c>
      <c r="G3349" s="15" t="str">
        <f>VLOOKUP(A3349,Movie!A:D,4,FALSE)</f>
        <v>Warner Brothers</v>
      </c>
      <c r="H3349" s="14">
        <f>VLOOKUP(E3349,'Rental Transaction'!A:B,2,FALSE)</f>
        <v>427826</v>
      </c>
      <c r="I3349">
        <f t="shared" si="52"/>
        <v>2013</v>
      </c>
    </row>
    <row r="3350" spans="1:9">
      <c r="A3350" s="1">
        <v>10243</v>
      </c>
      <c r="B3350" s="1">
        <v>4</v>
      </c>
      <c r="C3350" s="2">
        <v>41529</v>
      </c>
      <c r="D3350" s="1" t="s">
        <v>2005</v>
      </c>
      <c r="E3350" s="1">
        <v>101885</v>
      </c>
      <c r="F3350" s="6" t="s">
        <v>5352</v>
      </c>
      <c r="G3350" s="15" t="str">
        <f>VLOOKUP(A3350,Movie!A:D,4,FALSE)</f>
        <v>Fox</v>
      </c>
      <c r="H3350" s="14">
        <f>VLOOKUP(E3350,'Rental Transaction'!A:B,2,FALSE)</f>
        <v>412235</v>
      </c>
      <c r="I3350">
        <f t="shared" si="52"/>
        <v>2013</v>
      </c>
    </row>
    <row r="3351" spans="1:9">
      <c r="A3351" s="1">
        <v>10209</v>
      </c>
      <c r="B3351" s="1">
        <v>10</v>
      </c>
      <c r="C3351" s="2">
        <v>41530</v>
      </c>
      <c r="D3351" s="1" t="s">
        <v>2005</v>
      </c>
      <c r="E3351" s="1">
        <v>101886</v>
      </c>
      <c r="F3351" s="6" t="s">
        <v>5353</v>
      </c>
      <c r="G3351" s="15" t="str">
        <f>VLOOKUP(A3351,Movie!A:D,4,FALSE)</f>
        <v>Universal</v>
      </c>
      <c r="H3351" s="14">
        <f>VLOOKUP(E3351,'Rental Transaction'!A:B,2,FALSE)</f>
        <v>717234</v>
      </c>
      <c r="I3351">
        <f t="shared" si="52"/>
        <v>2013</v>
      </c>
    </row>
    <row r="3352" spans="1:9">
      <c r="A3352" s="1">
        <v>10274</v>
      </c>
      <c r="B3352" s="1">
        <v>9</v>
      </c>
      <c r="C3352" s="2">
        <v>41528</v>
      </c>
      <c r="D3352" s="1" t="s">
        <v>2002</v>
      </c>
      <c r="E3352" s="1">
        <v>101887</v>
      </c>
      <c r="F3352" s="6" t="s">
        <v>5354</v>
      </c>
      <c r="G3352" s="15" t="str">
        <f>VLOOKUP(A3352,Movie!A:D,4,FALSE)</f>
        <v>Fox</v>
      </c>
      <c r="H3352" s="14">
        <f>VLOOKUP(E3352,'Rental Transaction'!A:B,2,FALSE)</f>
        <v>345748</v>
      </c>
      <c r="I3352">
        <f t="shared" si="52"/>
        <v>2013</v>
      </c>
    </row>
    <row r="3353" spans="1:9">
      <c r="A3353" s="1">
        <v>10038</v>
      </c>
      <c r="B3353" s="1">
        <v>3</v>
      </c>
      <c r="C3353" s="2">
        <v>41530</v>
      </c>
      <c r="D3353" s="1" t="s">
        <v>2005</v>
      </c>
      <c r="E3353" s="1">
        <v>101887</v>
      </c>
      <c r="F3353" s="6" t="s">
        <v>5355</v>
      </c>
      <c r="G3353" s="15" t="str">
        <f>VLOOKUP(A3353,Movie!A:D,4,FALSE)</f>
        <v>Paramount</v>
      </c>
      <c r="H3353" s="14">
        <f>VLOOKUP(E3353,'Rental Transaction'!A:B,2,FALSE)</f>
        <v>345748</v>
      </c>
      <c r="I3353">
        <f t="shared" si="52"/>
        <v>2013</v>
      </c>
    </row>
    <row r="3354" spans="1:9">
      <c r="A3354" s="1">
        <v>10134</v>
      </c>
      <c r="B3354" s="1">
        <v>2</v>
      </c>
      <c r="C3354" s="2">
        <v>41529</v>
      </c>
      <c r="D3354" s="1" t="s">
        <v>2002</v>
      </c>
      <c r="E3354" s="1">
        <v>101888</v>
      </c>
      <c r="F3354" s="6" t="s">
        <v>5356</v>
      </c>
      <c r="G3354" s="15" t="str">
        <f>VLOOKUP(A3354,Movie!A:D,4,FALSE)</f>
        <v>Universal</v>
      </c>
      <c r="H3354" s="14">
        <f>VLOOKUP(E3354,'Rental Transaction'!A:B,2,FALSE)</f>
        <v>110363</v>
      </c>
      <c r="I3354">
        <f t="shared" si="52"/>
        <v>2013</v>
      </c>
    </row>
    <row r="3355" spans="1:9">
      <c r="A3355" s="1">
        <v>10117</v>
      </c>
      <c r="B3355" s="1">
        <v>5</v>
      </c>
      <c r="C3355" s="2">
        <v>41529</v>
      </c>
      <c r="D3355" s="1" t="s">
        <v>2005</v>
      </c>
      <c r="E3355" s="1">
        <v>101888</v>
      </c>
      <c r="F3355" s="6" t="s">
        <v>5357</v>
      </c>
      <c r="G3355" s="15" t="str">
        <f>VLOOKUP(A3355,Movie!A:D,4,FALSE)</f>
        <v>Sony</v>
      </c>
      <c r="H3355" s="14">
        <f>VLOOKUP(E3355,'Rental Transaction'!A:B,2,FALSE)</f>
        <v>110363</v>
      </c>
      <c r="I3355">
        <f t="shared" si="52"/>
        <v>2013</v>
      </c>
    </row>
    <row r="3356" spans="1:9">
      <c r="A3356" s="1">
        <v>10166</v>
      </c>
      <c r="B3356" s="1">
        <v>9</v>
      </c>
      <c r="C3356" s="2">
        <v>41529</v>
      </c>
      <c r="D3356" s="1" t="s">
        <v>2005</v>
      </c>
      <c r="E3356" s="1">
        <v>101889</v>
      </c>
      <c r="F3356" s="6" t="s">
        <v>5358</v>
      </c>
      <c r="G3356" s="15" t="str">
        <f>VLOOKUP(A3356,Movie!A:D,4,FALSE)</f>
        <v>Fox</v>
      </c>
      <c r="H3356" s="14">
        <f>VLOOKUP(E3356,'Rental Transaction'!A:B,2,FALSE)</f>
        <v>448739</v>
      </c>
      <c r="I3356">
        <f t="shared" si="52"/>
        <v>2013</v>
      </c>
    </row>
    <row r="3357" spans="1:9">
      <c r="A3357" s="1">
        <v>10293</v>
      </c>
      <c r="B3357" s="1">
        <v>10</v>
      </c>
      <c r="C3357" s="2">
        <v>41528</v>
      </c>
      <c r="D3357" s="1" t="s">
        <v>2005</v>
      </c>
      <c r="E3357" s="1">
        <v>101889</v>
      </c>
      <c r="F3357" s="6" t="s">
        <v>5359</v>
      </c>
      <c r="G3357" s="15" t="str">
        <f>VLOOKUP(A3357,Movie!A:D,4,FALSE)</f>
        <v>Relativity</v>
      </c>
      <c r="H3357" s="14">
        <f>VLOOKUP(E3357,'Rental Transaction'!A:B,2,FALSE)</f>
        <v>448739</v>
      </c>
      <c r="I3357">
        <f t="shared" si="52"/>
        <v>2013</v>
      </c>
    </row>
    <row r="3358" spans="1:9">
      <c r="A3358" s="1">
        <v>10076</v>
      </c>
      <c r="B3358" s="1">
        <v>7</v>
      </c>
      <c r="C3358" s="2">
        <v>41528</v>
      </c>
      <c r="D3358" s="1" t="s">
        <v>2002</v>
      </c>
      <c r="E3358" s="1">
        <v>101890</v>
      </c>
      <c r="F3358" s="6" t="s">
        <v>5360</v>
      </c>
      <c r="G3358" s="15" t="str">
        <f>VLOOKUP(A3358,Movie!A:D,4,FALSE)</f>
        <v>Sony</v>
      </c>
      <c r="H3358" s="14">
        <f>VLOOKUP(E3358,'Rental Transaction'!A:B,2,FALSE)</f>
        <v>772690</v>
      </c>
      <c r="I3358">
        <f t="shared" si="52"/>
        <v>2013</v>
      </c>
    </row>
    <row r="3359" spans="1:9">
      <c r="A3359" s="1">
        <v>10205</v>
      </c>
      <c r="B3359" s="1">
        <v>5</v>
      </c>
      <c r="C3359" s="2">
        <v>41530</v>
      </c>
      <c r="D3359" s="1" t="s">
        <v>2002</v>
      </c>
      <c r="E3359" s="1">
        <v>101891</v>
      </c>
      <c r="F3359" s="6" t="s">
        <v>5361</v>
      </c>
      <c r="G3359" s="15" t="str">
        <f>VLOOKUP(A3359,Movie!A:D,4,FALSE)</f>
        <v>Paramount</v>
      </c>
      <c r="H3359" s="14">
        <f>VLOOKUP(E3359,'Rental Transaction'!A:B,2,FALSE)</f>
        <v>485769</v>
      </c>
      <c r="I3359">
        <f t="shared" si="52"/>
        <v>2013</v>
      </c>
    </row>
    <row r="3360" spans="1:9">
      <c r="A3360" s="1">
        <v>10022</v>
      </c>
      <c r="B3360" s="1">
        <v>2</v>
      </c>
      <c r="C3360" s="2">
        <v>41528</v>
      </c>
      <c r="D3360" s="1" t="s">
        <v>2005</v>
      </c>
      <c r="E3360" s="1">
        <v>101891</v>
      </c>
      <c r="F3360" s="6" t="s">
        <v>5362</v>
      </c>
      <c r="G3360" s="15" t="str">
        <f>VLOOKUP(A3360,Movie!A:D,4,FALSE)</f>
        <v>Universal</v>
      </c>
      <c r="H3360" s="14">
        <f>VLOOKUP(E3360,'Rental Transaction'!A:B,2,FALSE)</f>
        <v>485769</v>
      </c>
      <c r="I3360">
        <f t="shared" si="52"/>
        <v>2013</v>
      </c>
    </row>
    <row r="3361" spans="1:9">
      <c r="A3361" s="1">
        <v>10142</v>
      </c>
      <c r="B3361" s="1">
        <v>8</v>
      </c>
      <c r="C3361" s="2">
        <v>41529</v>
      </c>
      <c r="D3361" s="1" t="s">
        <v>2002</v>
      </c>
      <c r="E3361" s="1">
        <v>101892</v>
      </c>
      <c r="F3361" s="6" t="s">
        <v>5363</v>
      </c>
      <c r="G3361" s="15" t="str">
        <f>VLOOKUP(A3361,Movie!A:D,4,FALSE)</f>
        <v>Warner Brothers</v>
      </c>
      <c r="H3361" s="14">
        <f>VLOOKUP(E3361,'Rental Transaction'!A:B,2,FALSE)</f>
        <v>744648</v>
      </c>
      <c r="I3361">
        <f t="shared" si="52"/>
        <v>2013</v>
      </c>
    </row>
    <row r="3362" spans="1:9" ht="29.25">
      <c r="A3362" s="1">
        <v>10264</v>
      </c>
      <c r="B3362" s="1">
        <v>9</v>
      </c>
      <c r="C3362" s="2">
        <v>41528</v>
      </c>
      <c r="D3362" s="1" t="s">
        <v>2002</v>
      </c>
      <c r="E3362" s="1">
        <v>101892</v>
      </c>
      <c r="F3362" s="6" t="s">
        <v>5364</v>
      </c>
      <c r="G3362" s="15" t="str">
        <f>VLOOKUP(A3362,Movie!A:D,4,FALSE)</f>
        <v>Weinstein Company</v>
      </c>
      <c r="H3362" s="14">
        <f>VLOOKUP(E3362,'Rental Transaction'!A:B,2,FALSE)</f>
        <v>744648</v>
      </c>
      <c r="I3362">
        <f t="shared" si="52"/>
        <v>2013</v>
      </c>
    </row>
    <row r="3363" spans="1:9">
      <c r="A3363" s="1">
        <v>10100</v>
      </c>
      <c r="B3363" s="1">
        <v>9</v>
      </c>
      <c r="C3363" s="2">
        <v>41529</v>
      </c>
      <c r="D3363" s="1" t="s">
        <v>2002</v>
      </c>
      <c r="E3363" s="1">
        <v>101893</v>
      </c>
      <c r="F3363" s="6" t="s">
        <v>5365</v>
      </c>
      <c r="G3363" s="15" t="str">
        <f>VLOOKUP(A3363,Movie!A:D,4,FALSE)</f>
        <v>Fox</v>
      </c>
      <c r="H3363" s="14">
        <f>VLOOKUP(E3363,'Rental Transaction'!A:B,2,FALSE)</f>
        <v>487346</v>
      </c>
      <c r="I3363">
        <f t="shared" si="52"/>
        <v>2013</v>
      </c>
    </row>
    <row r="3364" spans="1:9">
      <c r="A3364" s="1">
        <v>10229</v>
      </c>
      <c r="B3364" s="1">
        <v>5</v>
      </c>
      <c r="C3364" s="2">
        <v>41530</v>
      </c>
      <c r="D3364" s="1" t="s">
        <v>2002</v>
      </c>
      <c r="E3364" s="1">
        <v>101893</v>
      </c>
      <c r="F3364" s="6" t="s">
        <v>5366</v>
      </c>
      <c r="G3364" s="15" t="str">
        <f>VLOOKUP(A3364,Movie!A:D,4,FALSE)</f>
        <v>TriStar</v>
      </c>
      <c r="H3364" s="14">
        <f>VLOOKUP(E3364,'Rental Transaction'!A:B,2,FALSE)</f>
        <v>487346</v>
      </c>
      <c r="I3364">
        <f t="shared" si="52"/>
        <v>2013</v>
      </c>
    </row>
    <row r="3365" spans="1:9">
      <c r="A3365" s="1">
        <v>10075</v>
      </c>
      <c r="B3365" s="1">
        <v>4</v>
      </c>
      <c r="C3365" s="2">
        <v>41528</v>
      </c>
      <c r="D3365" s="1" t="s">
        <v>2002</v>
      </c>
      <c r="E3365" s="1">
        <v>101894</v>
      </c>
      <c r="F3365" s="6" t="s">
        <v>5367</v>
      </c>
      <c r="G3365" s="15" t="str">
        <f>VLOOKUP(A3365,Movie!A:D,4,FALSE)</f>
        <v>Fox Searchlight</v>
      </c>
      <c r="H3365" s="14">
        <f>VLOOKUP(E3365,'Rental Transaction'!A:B,2,FALSE)</f>
        <v>739393</v>
      </c>
      <c r="I3365">
        <f t="shared" si="52"/>
        <v>2013</v>
      </c>
    </row>
    <row r="3366" spans="1:9">
      <c r="A3366" s="1">
        <v>10188</v>
      </c>
      <c r="B3366" s="1">
        <v>3</v>
      </c>
      <c r="C3366" s="2">
        <v>41528</v>
      </c>
      <c r="D3366" s="1" t="s">
        <v>2002</v>
      </c>
      <c r="E3366" s="1">
        <v>101895</v>
      </c>
      <c r="F3366" s="6" t="s">
        <v>5368</v>
      </c>
      <c r="G3366" s="15" t="str">
        <f>VLOOKUP(A3366,Movie!A:D,4,FALSE)</f>
        <v>Paramount</v>
      </c>
      <c r="H3366" s="14">
        <f>VLOOKUP(E3366,'Rental Transaction'!A:B,2,FALSE)</f>
        <v>659695</v>
      </c>
      <c r="I3366">
        <f t="shared" si="52"/>
        <v>2013</v>
      </c>
    </row>
    <row r="3367" spans="1:9">
      <c r="A3367" s="1">
        <v>10110</v>
      </c>
      <c r="B3367" s="1">
        <v>4</v>
      </c>
      <c r="C3367" s="2">
        <v>41528</v>
      </c>
      <c r="D3367" s="1" t="s">
        <v>2002</v>
      </c>
      <c r="E3367" s="1">
        <v>101895</v>
      </c>
      <c r="F3367" s="6" t="s">
        <v>5369</v>
      </c>
      <c r="G3367" s="15" t="str">
        <f>VLOOKUP(A3367,Movie!A:D,4,FALSE)</f>
        <v>Warner Brothers</v>
      </c>
      <c r="H3367" s="14">
        <f>VLOOKUP(E3367,'Rental Transaction'!A:B,2,FALSE)</f>
        <v>659695</v>
      </c>
      <c r="I3367">
        <f t="shared" si="52"/>
        <v>2013</v>
      </c>
    </row>
    <row r="3368" spans="1:9" ht="29.25">
      <c r="A3368" s="1">
        <v>10140</v>
      </c>
      <c r="B3368" s="1">
        <v>9</v>
      </c>
      <c r="C3368" s="2">
        <v>41528</v>
      </c>
      <c r="D3368" s="1" t="s">
        <v>2005</v>
      </c>
      <c r="E3368" s="1">
        <v>101895</v>
      </c>
      <c r="F3368" s="6" t="s">
        <v>5370</v>
      </c>
      <c r="G3368" s="15" t="str">
        <f>VLOOKUP(A3368,Movie!A:D,4,FALSE)</f>
        <v>Weinstein Company</v>
      </c>
      <c r="H3368" s="14">
        <f>VLOOKUP(E3368,'Rental Transaction'!A:B,2,FALSE)</f>
        <v>659695</v>
      </c>
      <c r="I3368">
        <f t="shared" si="52"/>
        <v>2013</v>
      </c>
    </row>
    <row r="3369" spans="1:9" ht="29.25">
      <c r="A3369" s="1">
        <v>10294</v>
      </c>
      <c r="B3369" s="1">
        <v>6</v>
      </c>
      <c r="C3369" s="2">
        <v>41529</v>
      </c>
      <c r="D3369" s="1" t="s">
        <v>2002</v>
      </c>
      <c r="E3369" s="1">
        <v>101896</v>
      </c>
      <c r="F3369" s="6" t="s">
        <v>5371</v>
      </c>
      <c r="G3369" s="15" t="str">
        <f>VLOOKUP(A3369,Movie!A:D,4,FALSE)</f>
        <v>Weinstein Company</v>
      </c>
      <c r="H3369" s="14">
        <f>VLOOKUP(E3369,'Rental Transaction'!A:B,2,FALSE)</f>
        <v>226909</v>
      </c>
      <c r="I3369">
        <f t="shared" si="52"/>
        <v>2013</v>
      </c>
    </row>
    <row r="3370" spans="1:9">
      <c r="A3370" s="1">
        <v>10101</v>
      </c>
      <c r="B3370" s="1">
        <v>4</v>
      </c>
      <c r="C3370" s="2">
        <v>41528</v>
      </c>
      <c r="D3370" s="1" t="s">
        <v>2005</v>
      </c>
      <c r="E3370" s="1">
        <v>101896</v>
      </c>
      <c r="F3370" s="6" t="s">
        <v>5372</v>
      </c>
      <c r="G3370" s="15" t="str">
        <f>VLOOKUP(A3370,Movie!A:D,4,FALSE)</f>
        <v>Sony</v>
      </c>
      <c r="H3370" s="14">
        <f>VLOOKUP(E3370,'Rental Transaction'!A:B,2,FALSE)</f>
        <v>226909</v>
      </c>
      <c r="I3370">
        <f t="shared" si="52"/>
        <v>2013</v>
      </c>
    </row>
    <row r="3371" spans="1:9">
      <c r="A3371" s="1">
        <v>10203</v>
      </c>
      <c r="B3371" s="1">
        <v>9</v>
      </c>
      <c r="C3371" s="2">
        <v>41528</v>
      </c>
      <c r="D3371" s="1" t="s">
        <v>2002</v>
      </c>
      <c r="E3371" s="1">
        <v>101897</v>
      </c>
      <c r="F3371" s="6" t="s">
        <v>5373</v>
      </c>
      <c r="G3371" s="15" t="str">
        <f>VLOOKUP(A3371,Movie!A:D,4,FALSE)</f>
        <v>Buena Vista</v>
      </c>
      <c r="H3371" s="14">
        <f>VLOOKUP(E3371,'Rental Transaction'!A:B,2,FALSE)</f>
        <v>301793</v>
      </c>
      <c r="I3371">
        <f t="shared" si="52"/>
        <v>2013</v>
      </c>
    </row>
    <row r="3372" spans="1:9">
      <c r="A3372" s="1">
        <v>10297</v>
      </c>
      <c r="B3372" s="1">
        <v>5</v>
      </c>
      <c r="C3372" s="2">
        <v>41529</v>
      </c>
      <c r="D3372" s="1" t="s">
        <v>2005</v>
      </c>
      <c r="E3372" s="1">
        <v>101897</v>
      </c>
      <c r="F3372" s="6" t="s">
        <v>5374</v>
      </c>
      <c r="G3372" s="15" t="str">
        <f>VLOOKUP(A3372,Movie!A:D,4,FALSE)</f>
        <v>Focus</v>
      </c>
      <c r="H3372" s="14">
        <f>VLOOKUP(E3372,'Rental Transaction'!A:B,2,FALSE)</f>
        <v>301793</v>
      </c>
      <c r="I3372">
        <f t="shared" si="52"/>
        <v>2013</v>
      </c>
    </row>
    <row r="3373" spans="1:9" ht="29.25">
      <c r="A3373" s="1">
        <v>10154</v>
      </c>
      <c r="B3373" s="1">
        <v>9</v>
      </c>
      <c r="C3373" s="2">
        <v>41529</v>
      </c>
      <c r="D3373" s="1" t="s">
        <v>2002</v>
      </c>
      <c r="E3373" s="1">
        <v>101898</v>
      </c>
      <c r="F3373" s="6" t="s">
        <v>5375</v>
      </c>
      <c r="G3373" s="15" t="str">
        <f>VLOOKUP(A3373,Movie!A:D,4,FALSE)</f>
        <v>Summit Entertainment</v>
      </c>
      <c r="H3373" s="14">
        <f>VLOOKUP(E3373,'Rental Transaction'!A:B,2,FALSE)</f>
        <v>964619</v>
      </c>
      <c r="I3373">
        <f t="shared" si="52"/>
        <v>2013</v>
      </c>
    </row>
    <row r="3374" spans="1:9">
      <c r="A3374" s="1">
        <v>10100</v>
      </c>
      <c r="B3374" s="1">
        <v>4</v>
      </c>
      <c r="C3374" s="2">
        <v>41529</v>
      </c>
      <c r="D3374" s="1" t="s">
        <v>2002</v>
      </c>
      <c r="E3374" s="1">
        <v>101898</v>
      </c>
      <c r="F3374" s="6" t="s">
        <v>5376</v>
      </c>
      <c r="G3374" s="15" t="str">
        <f>VLOOKUP(A3374,Movie!A:D,4,FALSE)</f>
        <v>Fox</v>
      </c>
      <c r="H3374" s="14">
        <f>VLOOKUP(E3374,'Rental Transaction'!A:B,2,FALSE)</f>
        <v>964619</v>
      </c>
      <c r="I3374">
        <f t="shared" si="52"/>
        <v>2013</v>
      </c>
    </row>
    <row r="3375" spans="1:9">
      <c r="A3375" s="1">
        <v>10232</v>
      </c>
      <c r="B3375" s="1">
        <v>8</v>
      </c>
      <c r="C3375" s="2">
        <v>41529</v>
      </c>
      <c r="D3375" s="1" t="s">
        <v>2002</v>
      </c>
      <c r="E3375" s="1">
        <v>101899</v>
      </c>
      <c r="F3375" s="6" t="s">
        <v>5377</v>
      </c>
      <c r="G3375" s="15" t="str">
        <f>VLOOKUP(A3375,Movie!A:D,4,FALSE)</f>
        <v>Paramount</v>
      </c>
      <c r="H3375" s="14">
        <f>VLOOKUP(E3375,'Rental Transaction'!A:B,2,FALSE)</f>
        <v>817159</v>
      </c>
      <c r="I3375">
        <f t="shared" si="52"/>
        <v>2013</v>
      </c>
    </row>
    <row r="3376" spans="1:9">
      <c r="A3376" s="1">
        <v>10062</v>
      </c>
      <c r="B3376" s="1">
        <v>7</v>
      </c>
      <c r="C3376" s="2">
        <v>41529</v>
      </c>
      <c r="D3376" s="1" t="s">
        <v>2002</v>
      </c>
      <c r="E3376" s="1">
        <v>101900</v>
      </c>
      <c r="F3376" s="6" t="s">
        <v>5378</v>
      </c>
      <c r="G3376" s="15" t="str">
        <f>VLOOKUP(A3376,Movie!A:D,4,FALSE)</f>
        <v>FilmDistrict</v>
      </c>
      <c r="H3376" s="14">
        <f>VLOOKUP(E3376,'Rental Transaction'!A:B,2,FALSE)</f>
        <v>442254</v>
      </c>
      <c r="I3376">
        <f t="shared" si="52"/>
        <v>2013</v>
      </c>
    </row>
    <row r="3377" spans="1:9">
      <c r="A3377" s="1">
        <v>10238</v>
      </c>
      <c r="B3377" s="1">
        <v>2</v>
      </c>
      <c r="C3377" s="2">
        <v>41529</v>
      </c>
      <c r="D3377" s="1" t="s">
        <v>2002</v>
      </c>
      <c r="E3377" s="1">
        <v>101900</v>
      </c>
      <c r="F3377" s="6" t="s">
        <v>5379</v>
      </c>
      <c r="G3377" s="15" t="str">
        <f>VLOOKUP(A3377,Movie!A:D,4,FALSE)</f>
        <v>Warner Brothers</v>
      </c>
      <c r="H3377" s="14">
        <f>VLOOKUP(E3377,'Rental Transaction'!A:B,2,FALSE)</f>
        <v>442254</v>
      </c>
      <c r="I3377">
        <f t="shared" si="52"/>
        <v>2013</v>
      </c>
    </row>
    <row r="3378" spans="1:9">
      <c r="A3378" s="1">
        <v>10006</v>
      </c>
      <c r="B3378" s="1">
        <v>6</v>
      </c>
      <c r="C3378" s="2">
        <v>41529</v>
      </c>
      <c r="D3378" s="1" t="s">
        <v>2002</v>
      </c>
      <c r="E3378" s="1">
        <v>101900</v>
      </c>
      <c r="F3378" s="6" t="s">
        <v>5380</v>
      </c>
      <c r="G3378" s="15" t="str">
        <f>VLOOKUP(A3378,Movie!A:D,4,FALSE)</f>
        <v>Paramount</v>
      </c>
      <c r="H3378" s="14">
        <f>VLOOKUP(E3378,'Rental Transaction'!A:B,2,FALSE)</f>
        <v>442254</v>
      </c>
      <c r="I3378">
        <f t="shared" si="52"/>
        <v>2013</v>
      </c>
    </row>
    <row r="3379" spans="1:9">
      <c r="A3379" s="1">
        <v>10071</v>
      </c>
      <c r="B3379" s="1">
        <v>7</v>
      </c>
      <c r="C3379" s="2">
        <v>41529</v>
      </c>
      <c r="D3379" s="1" t="s">
        <v>2002</v>
      </c>
      <c r="E3379" s="1">
        <v>101901</v>
      </c>
      <c r="F3379" s="6" t="s">
        <v>5381</v>
      </c>
      <c r="G3379" s="15" t="str">
        <f>VLOOKUP(A3379,Movie!A:D,4,FALSE)</f>
        <v>Paramount</v>
      </c>
      <c r="H3379" s="14">
        <f>VLOOKUP(E3379,'Rental Transaction'!A:B,2,FALSE)</f>
        <v>147216</v>
      </c>
      <c r="I3379">
        <f t="shared" si="52"/>
        <v>2013</v>
      </c>
    </row>
    <row r="3380" spans="1:9">
      <c r="A3380" s="1">
        <v>10195</v>
      </c>
      <c r="B3380" s="1">
        <v>5</v>
      </c>
      <c r="C3380" s="2">
        <v>41530</v>
      </c>
      <c r="D3380" s="1" t="s">
        <v>2002</v>
      </c>
      <c r="E3380" s="1">
        <v>101901</v>
      </c>
      <c r="F3380" s="6" t="s">
        <v>5382</v>
      </c>
      <c r="G3380" s="15" t="str">
        <f>VLOOKUP(A3380,Movie!A:D,4,FALSE)</f>
        <v>Sony</v>
      </c>
      <c r="H3380" s="14">
        <f>VLOOKUP(E3380,'Rental Transaction'!A:B,2,FALSE)</f>
        <v>147216</v>
      </c>
      <c r="I3380">
        <f t="shared" si="52"/>
        <v>2013</v>
      </c>
    </row>
    <row r="3381" spans="1:9">
      <c r="A3381" s="1">
        <v>10141</v>
      </c>
      <c r="B3381" s="1">
        <v>9</v>
      </c>
      <c r="C3381" s="2">
        <v>41529</v>
      </c>
      <c r="D3381" s="1" t="s">
        <v>2002</v>
      </c>
      <c r="E3381" s="1">
        <v>101902</v>
      </c>
      <c r="F3381" s="6" t="s">
        <v>5383</v>
      </c>
      <c r="G3381" s="15" t="str">
        <f>VLOOKUP(A3381,Movie!A:D,4,FALSE)</f>
        <v>Warner Brothers</v>
      </c>
      <c r="H3381" s="14">
        <f>VLOOKUP(E3381,'Rental Transaction'!A:B,2,FALSE)</f>
        <v>884607</v>
      </c>
      <c r="I3381">
        <f t="shared" si="52"/>
        <v>2013</v>
      </c>
    </row>
    <row r="3382" spans="1:9" ht="29.25">
      <c r="A3382" s="1">
        <v>10136</v>
      </c>
      <c r="B3382" s="1">
        <v>4</v>
      </c>
      <c r="C3382" s="2">
        <v>41529</v>
      </c>
      <c r="D3382" s="1" t="s">
        <v>2005</v>
      </c>
      <c r="E3382" s="1">
        <v>101903</v>
      </c>
      <c r="F3382" s="6" t="s">
        <v>5384</v>
      </c>
      <c r="G3382" s="15" t="str">
        <f>VLOOKUP(A3382,Movie!A:D,4,FALSE)</f>
        <v>Weinstein Company</v>
      </c>
      <c r="H3382" s="14">
        <f>VLOOKUP(E3382,'Rental Transaction'!A:B,2,FALSE)</f>
        <v>739393</v>
      </c>
      <c r="I3382">
        <f t="shared" si="52"/>
        <v>2013</v>
      </c>
    </row>
    <row r="3383" spans="1:9">
      <c r="A3383" s="1">
        <v>10173</v>
      </c>
      <c r="B3383" s="1">
        <v>9</v>
      </c>
      <c r="C3383" s="2">
        <v>41529</v>
      </c>
      <c r="D3383" s="1" t="s">
        <v>2005</v>
      </c>
      <c r="E3383" s="1">
        <v>101903</v>
      </c>
      <c r="F3383" s="6" t="s">
        <v>5385</v>
      </c>
      <c r="G3383" s="15" t="str">
        <f>VLOOKUP(A3383,Movie!A:D,4,FALSE)</f>
        <v>Sony</v>
      </c>
      <c r="H3383" s="14">
        <f>VLOOKUP(E3383,'Rental Transaction'!A:B,2,FALSE)</f>
        <v>739393</v>
      </c>
      <c r="I3383">
        <f t="shared" si="52"/>
        <v>2013</v>
      </c>
    </row>
    <row r="3384" spans="1:9">
      <c r="A3384" s="1">
        <v>10139</v>
      </c>
      <c r="B3384" s="1">
        <v>7</v>
      </c>
      <c r="C3384" s="2">
        <v>41529</v>
      </c>
      <c r="D3384" s="1" t="s">
        <v>2002</v>
      </c>
      <c r="E3384" s="1">
        <v>101904</v>
      </c>
      <c r="F3384" s="6" t="s">
        <v>5386</v>
      </c>
      <c r="G3384" s="15" t="str">
        <f>VLOOKUP(A3384,Movie!A:D,4,FALSE)</f>
        <v>Focus</v>
      </c>
      <c r="H3384" s="14">
        <f>VLOOKUP(E3384,'Rental Transaction'!A:B,2,FALSE)</f>
        <v>929344</v>
      </c>
      <c r="I3384">
        <f t="shared" si="52"/>
        <v>2013</v>
      </c>
    </row>
    <row r="3385" spans="1:9">
      <c r="A3385" s="1">
        <v>10125</v>
      </c>
      <c r="B3385" s="1">
        <v>8</v>
      </c>
      <c r="C3385" s="2">
        <v>41530</v>
      </c>
      <c r="D3385" s="1" t="s">
        <v>2005</v>
      </c>
      <c r="E3385" s="1">
        <v>101904</v>
      </c>
      <c r="F3385" s="6" t="s">
        <v>5387</v>
      </c>
      <c r="G3385" s="15" t="str">
        <f>VLOOKUP(A3385,Movie!A:D,4,FALSE)</f>
        <v>Fox</v>
      </c>
      <c r="H3385" s="14">
        <f>VLOOKUP(E3385,'Rental Transaction'!A:B,2,FALSE)</f>
        <v>929344</v>
      </c>
      <c r="I3385">
        <f t="shared" si="52"/>
        <v>2013</v>
      </c>
    </row>
    <row r="3386" spans="1:9">
      <c r="A3386" s="1">
        <v>10263</v>
      </c>
      <c r="B3386" s="1">
        <v>9</v>
      </c>
      <c r="C3386" s="2">
        <v>41529</v>
      </c>
      <c r="D3386" s="1" t="s">
        <v>2005</v>
      </c>
      <c r="E3386" s="1">
        <v>101905</v>
      </c>
      <c r="F3386" s="6" t="s">
        <v>5388</v>
      </c>
      <c r="G3386" s="15" t="str">
        <f>VLOOKUP(A3386,Movie!A:D,4,FALSE)</f>
        <v>Fox</v>
      </c>
      <c r="H3386" s="14">
        <f>VLOOKUP(E3386,'Rental Transaction'!A:B,2,FALSE)</f>
        <v>826590</v>
      </c>
      <c r="I3386">
        <f t="shared" si="52"/>
        <v>2013</v>
      </c>
    </row>
    <row r="3387" spans="1:9">
      <c r="A3387" s="1">
        <v>10137</v>
      </c>
      <c r="B3387" s="1">
        <v>9</v>
      </c>
      <c r="C3387" s="2">
        <v>41529</v>
      </c>
      <c r="D3387" s="1" t="s">
        <v>2002</v>
      </c>
      <c r="E3387" s="1">
        <v>101906</v>
      </c>
      <c r="F3387" s="6" t="s">
        <v>5389</v>
      </c>
      <c r="G3387" s="15" t="str">
        <f>VLOOKUP(A3387,Movie!A:D,4,FALSE)</f>
        <v>Buena Vista</v>
      </c>
      <c r="H3387" s="14">
        <f>VLOOKUP(E3387,'Rental Transaction'!A:B,2,FALSE)</f>
        <v>744780</v>
      </c>
      <c r="I3387">
        <f t="shared" si="52"/>
        <v>2013</v>
      </c>
    </row>
    <row r="3388" spans="1:9">
      <c r="A3388" s="1">
        <v>10049</v>
      </c>
      <c r="B3388" s="1">
        <v>6</v>
      </c>
      <c r="C3388" s="2">
        <v>41529</v>
      </c>
      <c r="D3388" s="1" t="s">
        <v>2002</v>
      </c>
      <c r="E3388" s="1">
        <v>101906</v>
      </c>
      <c r="F3388" s="6" t="s">
        <v>5390</v>
      </c>
      <c r="G3388" s="15" t="str">
        <f>VLOOKUP(A3388,Movie!A:D,4,FALSE)</f>
        <v>Universal</v>
      </c>
      <c r="H3388" s="14">
        <f>VLOOKUP(E3388,'Rental Transaction'!A:B,2,FALSE)</f>
        <v>744780</v>
      </c>
      <c r="I3388">
        <f t="shared" si="52"/>
        <v>2013</v>
      </c>
    </row>
    <row r="3389" spans="1:9">
      <c r="A3389" s="1">
        <v>10200</v>
      </c>
      <c r="B3389" s="1">
        <v>4</v>
      </c>
      <c r="C3389" s="2">
        <v>41529</v>
      </c>
      <c r="D3389" s="1" t="s">
        <v>2005</v>
      </c>
      <c r="E3389" s="1">
        <v>101907</v>
      </c>
      <c r="F3389" s="6" t="s">
        <v>5391</v>
      </c>
      <c r="G3389" s="15" t="str">
        <f>VLOOKUP(A3389,Movie!A:D,4,FALSE)</f>
        <v>Fox</v>
      </c>
      <c r="H3389" s="14">
        <f>VLOOKUP(E3389,'Rental Transaction'!A:B,2,FALSE)</f>
        <v>622506</v>
      </c>
      <c r="I3389">
        <f t="shared" si="52"/>
        <v>2013</v>
      </c>
    </row>
    <row r="3390" spans="1:9">
      <c r="A3390" s="1">
        <v>10015</v>
      </c>
      <c r="B3390" s="1">
        <v>6</v>
      </c>
      <c r="C3390" s="2">
        <v>41530</v>
      </c>
      <c r="D3390" s="1" t="s">
        <v>2005</v>
      </c>
      <c r="E3390" s="1">
        <v>101908</v>
      </c>
      <c r="F3390" s="6" t="s">
        <v>5392</v>
      </c>
      <c r="G3390" s="15" t="str">
        <f>VLOOKUP(A3390,Movie!A:D,4,FALSE)</f>
        <v>TriStar</v>
      </c>
      <c r="H3390" s="14">
        <f>VLOOKUP(E3390,'Rental Transaction'!A:B,2,FALSE)</f>
        <v>507743</v>
      </c>
      <c r="I3390">
        <f t="shared" si="52"/>
        <v>2013</v>
      </c>
    </row>
    <row r="3391" spans="1:9">
      <c r="A3391" s="1">
        <v>10160</v>
      </c>
      <c r="B3391" s="1">
        <v>4</v>
      </c>
      <c r="C3391" s="2">
        <v>41530</v>
      </c>
      <c r="D3391" s="1" t="s">
        <v>2002</v>
      </c>
      <c r="E3391" s="1">
        <v>101908</v>
      </c>
      <c r="F3391" s="6" t="s">
        <v>5393</v>
      </c>
      <c r="G3391" s="15" t="str">
        <f>VLOOKUP(A3391,Movie!A:D,4,FALSE)</f>
        <v>Lionsgate</v>
      </c>
      <c r="H3391" s="14">
        <f>VLOOKUP(E3391,'Rental Transaction'!A:B,2,FALSE)</f>
        <v>507743</v>
      </c>
      <c r="I3391">
        <f t="shared" si="52"/>
        <v>2013</v>
      </c>
    </row>
    <row r="3392" spans="1:9">
      <c r="A3392" s="1">
        <v>10159</v>
      </c>
      <c r="B3392" s="1">
        <v>10</v>
      </c>
      <c r="C3392" s="2">
        <v>41529</v>
      </c>
      <c r="D3392" s="1" t="s">
        <v>2002</v>
      </c>
      <c r="E3392" s="1">
        <v>101909</v>
      </c>
      <c r="F3392" s="6" t="s">
        <v>5394</v>
      </c>
      <c r="G3392" s="15" t="str">
        <f>VLOOKUP(A3392,Movie!A:D,4,FALSE)</f>
        <v>Lionsgate</v>
      </c>
      <c r="H3392" s="14">
        <f>VLOOKUP(E3392,'Rental Transaction'!A:B,2,FALSE)</f>
        <v>554099</v>
      </c>
      <c r="I3392">
        <f t="shared" si="52"/>
        <v>2013</v>
      </c>
    </row>
    <row r="3393" spans="1:9">
      <c r="A3393" s="1">
        <v>10177</v>
      </c>
      <c r="B3393" s="1">
        <v>9</v>
      </c>
      <c r="C3393" s="2">
        <v>41529</v>
      </c>
      <c r="D3393" s="1" t="s">
        <v>2005</v>
      </c>
      <c r="E3393" s="1">
        <v>101910</v>
      </c>
      <c r="F3393" s="6" t="s">
        <v>5395</v>
      </c>
      <c r="G3393" s="15" t="str">
        <f>VLOOKUP(A3393,Movie!A:D,4,FALSE)</f>
        <v>Fox</v>
      </c>
      <c r="H3393" s="14">
        <f>VLOOKUP(E3393,'Rental Transaction'!A:B,2,FALSE)</f>
        <v>393893</v>
      </c>
      <c r="I3393">
        <f t="shared" si="52"/>
        <v>2013</v>
      </c>
    </row>
    <row r="3394" spans="1:9">
      <c r="A3394" s="1">
        <v>10059</v>
      </c>
      <c r="B3394" s="1">
        <v>5</v>
      </c>
      <c r="C3394" s="2">
        <v>41529</v>
      </c>
      <c r="D3394" s="1" t="s">
        <v>2002</v>
      </c>
      <c r="E3394" s="1">
        <v>101910</v>
      </c>
      <c r="F3394" s="6" t="s">
        <v>5396</v>
      </c>
      <c r="G3394" s="15" t="str">
        <f>VLOOKUP(A3394,Movie!A:D,4,FALSE)</f>
        <v>Universal</v>
      </c>
      <c r="H3394" s="14">
        <f>VLOOKUP(E3394,'Rental Transaction'!A:B,2,FALSE)</f>
        <v>393893</v>
      </c>
      <c r="I3394">
        <f t="shared" si="52"/>
        <v>2013</v>
      </c>
    </row>
    <row r="3395" spans="1:9">
      <c r="A3395" s="1">
        <v>10148</v>
      </c>
      <c r="B3395" s="1">
        <v>2</v>
      </c>
      <c r="C3395" s="2">
        <v>41530</v>
      </c>
      <c r="D3395" s="1" t="s">
        <v>2002</v>
      </c>
      <c r="E3395" s="1">
        <v>101911</v>
      </c>
      <c r="F3395" s="6" t="s">
        <v>5397</v>
      </c>
      <c r="G3395" s="15" t="str">
        <f>VLOOKUP(A3395,Movie!A:D,4,FALSE)</f>
        <v>Paramount</v>
      </c>
      <c r="H3395" s="14">
        <f>VLOOKUP(E3395,'Rental Transaction'!A:B,2,FALSE)</f>
        <v>110363</v>
      </c>
      <c r="I3395">
        <f t="shared" ref="I3395:I3458" si="53">YEAR(C3395)</f>
        <v>2013</v>
      </c>
    </row>
    <row r="3396" spans="1:9">
      <c r="A3396" s="1">
        <v>10180</v>
      </c>
      <c r="B3396" s="1">
        <v>10</v>
      </c>
      <c r="C3396" s="2">
        <v>41529</v>
      </c>
      <c r="D3396" s="1" t="s">
        <v>2002</v>
      </c>
      <c r="E3396" s="1">
        <v>101912</v>
      </c>
      <c r="F3396" s="6" t="s">
        <v>5398</v>
      </c>
      <c r="G3396" s="15" t="str">
        <f>VLOOKUP(A3396,Movie!A:D,4,FALSE)</f>
        <v>Relativity</v>
      </c>
      <c r="H3396" s="14">
        <f>VLOOKUP(E3396,'Rental Transaction'!A:B,2,FALSE)</f>
        <v>119406</v>
      </c>
      <c r="I3396">
        <f t="shared" si="53"/>
        <v>2013</v>
      </c>
    </row>
    <row r="3397" spans="1:9">
      <c r="A3397" s="1">
        <v>10017</v>
      </c>
      <c r="B3397" s="1">
        <v>5</v>
      </c>
      <c r="C3397" s="2">
        <v>41529</v>
      </c>
      <c r="D3397" s="1" t="s">
        <v>2005</v>
      </c>
      <c r="E3397" s="1">
        <v>101912</v>
      </c>
      <c r="F3397" s="6" t="s">
        <v>5399</v>
      </c>
      <c r="G3397" s="15" t="str">
        <f>VLOOKUP(A3397,Movie!A:D,4,FALSE)</f>
        <v>Sony</v>
      </c>
      <c r="H3397" s="14">
        <f>VLOOKUP(E3397,'Rental Transaction'!A:B,2,FALSE)</f>
        <v>119406</v>
      </c>
      <c r="I3397">
        <f t="shared" si="53"/>
        <v>2013</v>
      </c>
    </row>
    <row r="3398" spans="1:9">
      <c r="A3398" s="1">
        <v>10034</v>
      </c>
      <c r="B3398" s="1">
        <v>9</v>
      </c>
      <c r="C3398" s="2">
        <v>41529</v>
      </c>
      <c r="D3398" s="1" t="s">
        <v>2002</v>
      </c>
      <c r="E3398" s="1">
        <v>101913</v>
      </c>
      <c r="F3398" s="6" t="s">
        <v>5400</v>
      </c>
      <c r="G3398" s="15" t="str">
        <f>VLOOKUP(A3398,Movie!A:D,4,FALSE)</f>
        <v>Lionsgate</v>
      </c>
      <c r="H3398" s="14">
        <f>VLOOKUP(E3398,'Rental Transaction'!A:B,2,FALSE)</f>
        <v>393893</v>
      </c>
      <c r="I3398">
        <f t="shared" si="53"/>
        <v>2013</v>
      </c>
    </row>
    <row r="3399" spans="1:9">
      <c r="A3399" s="1">
        <v>10253</v>
      </c>
      <c r="B3399" s="1">
        <v>9</v>
      </c>
      <c r="C3399" s="2">
        <v>41529</v>
      </c>
      <c r="D3399" s="1" t="s">
        <v>2002</v>
      </c>
      <c r="E3399" s="1">
        <v>101913</v>
      </c>
      <c r="F3399" s="6" t="s">
        <v>5401</v>
      </c>
      <c r="G3399" s="15" t="str">
        <f>VLOOKUP(A3399,Movie!A:D,4,FALSE)</f>
        <v>Buena Vista</v>
      </c>
      <c r="H3399" s="14">
        <f>VLOOKUP(E3399,'Rental Transaction'!A:B,2,FALSE)</f>
        <v>393893</v>
      </c>
      <c r="I3399">
        <f t="shared" si="53"/>
        <v>2013</v>
      </c>
    </row>
    <row r="3400" spans="1:9">
      <c r="A3400" s="1">
        <v>10167</v>
      </c>
      <c r="B3400" s="1">
        <v>2</v>
      </c>
      <c r="C3400" s="2">
        <v>41529</v>
      </c>
      <c r="D3400" s="1" t="s">
        <v>2005</v>
      </c>
      <c r="E3400" s="1">
        <v>101913</v>
      </c>
      <c r="F3400" s="6" t="s">
        <v>5402</v>
      </c>
      <c r="G3400" s="15" t="str">
        <f>VLOOKUP(A3400,Movie!A:D,4,FALSE)</f>
        <v>Universal</v>
      </c>
      <c r="H3400" s="14">
        <f>VLOOKUP(E3400,'Rental Transaction'!A:B,2,FALSE)</f>
        <v>393893</v>
      </c>
      <c r="I3400">
        <f t="shared" si="53"/>
        <v>2013</v>
      </c>
    </row>
    <row r="3401" spans="1:9">
      <c r="A3401" s="1">
        <v>10146</v>
      </c>
      <c r="B3401" s="1">
        <v>6</v>
      </c>
      <c r="C3401" s="2">
        <v>41529</v>
      </c>
      <c r="D3401" s="1" t="s">
        <v>2005</v>
      </c>
      <c r="E3401" s="1">
        <v>101914</v>
      </c>
      <c r="F3401" s="6" t="s">
        <v>5403</v>
      </c>
      <c r="G3401" s="15" t="str">
        <f>VLOOKUP(A3401,Movie!A:D,4,FALSE)</f>
        <v>Sony</v>
      </c>
      <c r="H3401" s="14">
        <f>VLOOKUP(E3401,'Rental Transaction'!A:B,2,FALSE)</f>
        <v>395125</v>
      </c>
      <c r="I3401">
        <f t="shared" si="53"/>
        <v>2013</v>
      </c>
    </row>
    <row r="3402" spans="1:9">
      <c r="A3402" s="1">
        <v>10192</v>
      </c>
      <c r="B3402" s="1">
        <v>6</v>
      </c>
      <c r="C3402" s="2">
        <v>41530</v>
      </c>
      <c r="D3402" s="1" t="s">
        <v>2005</v>
      </c>
      <c r="E3402" s="1">
        <v>101914</v>
      </c>
      <c r="F3402" s="6" t="s">
        <v>5404</v>
      </c>
      <c r="G3402" s="15" t="str">
        <f>VLOOKUP(A3402,Movie!A:D,4,FALSE)</f>
        <v>Universal</v>
      </c>
      <c r="H3402" s="14">
        <f>VLOOKUP(E3402,'Rental Transaction'!A:B,2,FALSE)</f>
        <v>395125</v>
      </c>
      <c r="I3402">
        <f t="shared" si="53"/>
        <v>2013</v>
      </c>
    </row>
    <row r="3403" spans="1:9">
      <c r="A3403" s="1">
        <v>10162</v>
      </c>
      <c r="B3403" s="1">
        <v>6</v>
      </c>
      <c r="C3403" s="2">
        <v>41529</v>
      </c>
      <c r="D3403" s="1" t="s">
        <v>2005</v>
      </c>
      <c r="E3403" s="1">
        <v>101915</v>
      </c>
      <c r="F3403" s="6" t="s">
        <v>5405</v>
      </c>
      <c r="G3403" s="15" t="str">
        <f>VLOOKUP(A3403,Movie!A:D,4,FALSE)</f>
        <v>Sony</v>
      </c>
      <c r="H3403" s="14">
        <f>VLOOKUP(E3403,'Rental Transaction'!A:B,2,FALSE)</f>
        <v>161175</v>
      </c>
      <c r="I3403">
        <f t="shared" si="53"/>
        <v>2013</v>
      </c>
    </row>
    <row r="3404" spans="1:9">
      <c r="A3404" s="1">
        <v>10252</v>
      </c>
      <c r="B3404" s="1">
        <v>8</v>
      </c>
      <c r="C3404" s="2">
        <v>41531</v>
      </c>
      <c r="D3404" s="1" t="s">
        <v>2002</v>
      </c>
      <c r="E3404" s="1">
        <v>101916</v>
      </c>
      <c r="F3404" s="6" t="s">
        <v>5406</v>
      </c>
      <c r="G3404" s="15" t="str">
        <f>VLOOKUP(A3404,Movie!A:D,4,FALSE)</f>
        <v>Warner Brothers</v>
      </c>
      <c r="H3404" s="14">
        <f>VLOOKUP(E3404,'Rental Transaction'!A:B,2,FALSE)</f>
        <v>678940</v>
      </c>
      <c r="I3404">
        <f t="shared" si="53"/>
        <v>2013</v>
      </c>
    </row>
    <row r="3405" spans="1:9">
      <c r="A3405" s="1">
        <v>10281</v>
      </c>
      <c r="B3405" s="1">
        <v>8</v>
      </c>
      <c r="C3405" s="2">
        <v>41530</v>
      </c>
      <c r="D3405" s="1" t="s">
        <v>2005</v>
      </c>
      <c r="E3405" s="1">
        <v>101917</v>
      </c>
      <c r="F3405" s="6" t="s">
        <v>5407</v>
      </c>
      <c r="G3405" s="15" t="str">
        <f>VLOOKUP(A3405,Movie!A:D,4,FALSE)</f>
        <v>Lionsgate</v>
      </c>
      <c r="H3405" s="14">
        <f>VLOOKUP(E3405,'Rental Transaction'!A:B,2,FALSE)</f>
        <v>205927</v>
      </c>
      <c r="I3405">
        <f t="shared" si="53"/>
        <v>2013</v>
      </c>
    </row>
    <row r="3406" spans="1:9" ht="29.25">
      <c r="A3406" s="1">
        <v>10136</v>
      </c>
      <c r="B3406" s="1">
        <v>2</v>
      </c>
      <c r="C3406" s="2">
        <v>41530</v>
      </c>
      <c r="D3406" s="1" t="s">
        <v>2002</v>
      </c>
      <c r="E3406" s="1">
        <v>101918</v>
      </c>
      <c r="F3406" s="6" t="s">
        <v>5408</v>
      </c>
      <c r="G3406" s="15" t="str">
        <f>VLOOKUP(A3406,Movie!A:D,4,FALSE)</f>
        <v>Weinstein Company</v>
      </c>
      <c r="H3406" s="14">
        <f>VLOOKUP(E3406,'Rental Transaction'!A:B,2,FALSE)</f>
        <v>710047</v>
      </c>
      <c r="I3406">
        <f t="shared" si="53"/>
        <v>2013</v>
      </c>
    </row>
    <row r="3407" spans="1:9">
      <c r="A3407" s="1">
        <v>10288</v>
      </c>
      <c r="B3407" s="1">
        <v>5</v>
      </c>
      <c r="C3407" s="2">
        <v>41530</v>
      </c>
      <c r="D3407" s="1" t="s">
        <v>2002</v>
      </c>
      <c r="E3407" s="1">
        <v>101918</v>
      </c>
      <c r="F3407" s="6" t="s">
        <v>5409</v>
      </c>
      <c r="G3407" s="15" t="str">
        <f>VLOOKUP(A3407,Movie!A:D,4,FALSE)</f>
        <v>Relativity</v>
      </c>
      <c r="H3407" s="14">
        <f>VLOOKUP(E3407,'Rental Transaction'!A:B,2,FALSE)</f>
        <v>710047</v>
      </c>
      <c r="I3407">
        <f t="shared" si="53"/>
        <v>2013</v>
      </c>
    </row>
    <row r="3408" spans="1:9">
      <c r="A3408" s="1">
        <v>10272</v>
      </c>
      <c r="B3408" s="1">
        <v>4</v>
      </c>
      <c r="C3408" s="2">
        <v>41530</v>
      </c>
      <c r="D3408" s="1" t="s">
        <v>2005</v>
      </c>
      <c r="E3408" s="1">
        <v>101918</v>
      </c>
      <c r="F3408" s="6" t="s">
        <v>5410</v>
      </c>
      <c r="G3408" s="15" t="str">
        <f>VLOOKUP(A3408,Movie!A:D,4,FALSE)</f>
        <v>Sony</v>
      </c>
      <c r="H3408" s="14">
        <f>VLOOKUP(E3408,'Rental Transaction'!A:B,2,FALSE)</f>
        <v>710047</v>
      </c>
      <c r="I3408">
        <f t="shared" si="53"/>
        <v>2013</v>
      </c>
    </row>
    <row r="3409" spans="1:9">
      <c r="A3409" s="1">
        <v>10146</v>
      </c>
      <c r="B3409" s="1">
        <v>2</v>
      </c>
      <c r="C3409" s="2">
        <v>41530</v>
      </c>
      <c r="D3409" s="1" t="s">
        <v>2005</v>
      </c>
      <c r="E3409" s="1">
        <v>101919</v>
      </c>
      <c r="F3409" s="6" t="s">
        <v>5411</v>
      </c>
      <c r="G3409" s="15" t="str">
        <f>VLOOKUP(A3409,Movie!A:D,4,FALSE)</f>
        <v>Sony</v>
      </c>
      <c r="H3409" s="14">
        <f>VLOOKUP(E3409,'Rental Transaction'!A:B,2,FALSE)</f>
        <v>412235</v>
      </c>
      <c r="I3409">
        <f t="shared" si="53"/>
        <v>2013</v>
      </c>
    </row>
    <row r="3410" spans="1:9">
      <c r="A3410" s="1">
        <v>10247</v>
      </c>
      <c r="B3410" s="1">
        <v>4</v>
      </c>
      <c r="C3410" s="2">
        <v>41531</v>
      </c>
      <c r="D3410" s="1" t="s">
        <v>2002</v>
      </c>
      <c r="E3410" s="1">
        <v>101919</v>
      </c>
      <c r="F3410" s="6" t="s">
        <v>5412</v>
      </c>
      <c r="G3410" s="15" t="str">
        <f>VLOOKUP(A3410,Movie!A:D,4,FALSE)</f>
        <v>Fox</v>
      </c>
      <c r="H3410" s="14">
        <f>VLOOKUP(E3410,'Rental Transaction'!A:B,2,FALSE)</f>
        <v>412235</v>
      </c>
      <c r="I3410">
        <f t="shared" si="53"/>
        <v>2013</v>
      </c>
    </row>
    <row r="3411" spans="1:9">
      <c r="A3411" s="1">
        <v>10176</v>
      </c>
      <c r="B3411" s="1">
        <v>8</v>
      </c>
      <c r="C3411" s="2">
        <v>41530</v>
      </c>
      <c r="D3411" s="1" t="s">
        <v>2005</v>
      </c>
      <c r="E3411" s="1">
        <v>101920</v>
      </c>
      <c r="F3411" s="6" t="s">
        <v>5413</v>
      </c>
      <c r="G3411" s="15" t="str">
        <f>VLOOKUP(A3411,Movie!A:D,4,FALSE)</f>
        <v>Universal</v>
      </c>
      <c r="H3411" s="14">
        <f>VLOOKUP(E3411,'Rental Transaction'!A:B,2,FALSE)</f>
        <v>739393</v>
      </c>
      <c r="I3411">
        <f t="shared" si="53"/>
        <v>2013</v>
      </c>
    </row>
    <row r="3412" spans="1:9">
      <c r="A3412" s="1">
        <v>10168</v>
      </c>
      <c r="B3412" s="1">
        <v>1</v>
      </c>
      <c r="C3412" s="2">
        <v>41530</v>
      </c>
      <c r="D3412" s="1" t="s">
        <v>2002</v>
      </c>
      <c r="E3412" s="1">
        <v>101920</v>
      </c>
      <c r="F3412" s="6" t="s">
        <v>5414</v>
      </c>
      <c r="G3412" s="15" t="str">
        <f>VLOOKUP(A3412,Movie!A:D,4,FALSE)</f>
        <v>Paramount</v>
      </c>
      <c r="H3412" s="14">
        <f>VLOOKUP(E3412,'Rental Transaction'!A:B,2,FALSE)</f>
        <v>739393</v>
      </c>
      <c r="I3412">
        <f t="shared" si="53"/>
        <v>2013</v>
      </c>
    </row>
    <row r="3413" spans="1:9">
      <c r="A3413" s="1">
        <v>10070</v>
      </c>
      <c r="B3413" s="1">
        <v>1</v>
      </c>
      <c r="C3413" s="2">
        <v>41531</v>
      </c>
      <c r="D3413" s="1" t="s">
        <v>2005</v>
      </c>
      <c r="E3413" s="1">
        <v>101921</v>
      </c>
      <c r="F3413" s="6" t="s">
        <v>5415</v>
      </c>
      <c r="G3413" s="15" t="str">
        <f>VLOOKUP(A3413,Movie!A:D,4,FALSE)</f>
        <v>Paramount</v>
      </c>
      <c r="H3413" s="14">
        <f>VLOOKUP(E3413,'Rental Transaction'!A:B,2,FALSE)</f>
        <v>924649</v>
      </c>
      <c r="I3413">
        <f t="shared" si="53"/>
        <v>2013</v>
      </c>
    </row>
    <row r="3414" spans="1:9">
      <c r="A3414" s="1">
        <v>10288</v>
      </c>
      <c r="B3414" s="1">
        <v>7</v>
      </c>
      <c r="C3414" s="2">
        <v>41532</v>
      </c>
      <c r="D3414" s="1" t="s">
        <v>2005</v>
      </c>
      <c r="E3414" s="1">
        <v>101921</v>
      </c>
      <c r="F3414" s="6" t="s">
        <v>5416</v>
      </c>
      <c r="G3414" s="15" t="str">
        <f>VLOOKUP(A3414,Movie!A:D,4,FALSE)</f>
        <v>Relativity</v>
      </c>
      <c r="H3414" s="14">
        <f>VLOOKUP(E3414,'Rental Transaction'!A:B,2,FALSE)</f>
        <v>924649</v>
      </c>
      <c r="I3414">
        <f t="shared" si="53"/>
        <v>2013</v>
      </c>
    </row>
    <row r="3415" spans="1:9">
      <c r="A3415" s="1">
        <v>10241</v>
      </c>
      <c r="B3415" s="1">
        <v>3</v>
      </c>
      <c r="C3415" s="2">
        <v>41530</v>
      </c>
      <c r="D3415" s="1" t="s">
        <v>2002</v>
      </c>
      <c r="E3415" s="1">
        <v>101922</v>
      </c>
      <c r="F3415" s="6" t="s">
        <v>5417</v>
      </c>
      <c r="G3415" s="15" t="str">
        <f>VLOOKUP(A3415,Movie!A:D,4,FALSE)</f>
        <v>Warner Brothers</v>
      </c>
      <c r="H3415" s="14">
        <f>VLOOKUP(E3415,'Rental Transaction'!A:B,2,FALSE)</f>
        <v>808177</v>
      </c>
      <c r="I3415">
        <f t="shared" si="53"/>
        <v>2013</v>
      </c>
    </row>
    <row r="3416" spans="1:9" ht="29.25">
      <c r="A3416" s="1">
        <v>10081</v>
      </c>
      <c r="B3416" s="1">
        <v>10</v>
      </c>
      <c r="C3416" s="2">
        <v>41530</v>
      </c>
      <c r="D3416" s="1" t="s">
        <v>2002</v>
      </c>
      <c r="E3416" s="1">
        <v>101922</v>
      </c>
      <c r="F3416" s="6" t="s">
        <v>5418</v>
      </c>
      <c r="G3416" s="15" t="str">
        <f>VLOOKUP(A3416,Movie!A:D,4,FALSE)</f>
        <v>Weinstein Company</v>
      </c>
      <c r="H3416" s="14">
        <f>VLOOKUP(E3416,'Rental Transaction'!A:B,2,FALSE)</f>
        <v>808177</v>
      </c>
      <c r="I3416">
        <f t="shared" si="53"/>
        <v>2013</v>
      </c>
    </row>
    <row r="3417" spans="1:9">
      <c r="A3417" s="1">
        <v>10129</v>
      </c>
      <c r="B3417" s="1">
        <v>1</v>
      </c>
      <c r="C3417" s="2">
        <v>41531</v>
      </c>
      <c r="D3417" s="1" t="s">
        <v>2002</v>
      </c>
      <c r="E3417" s="1">
        <v>101923</v>
      </c>
      <c r="F3417" s="6" t="s">
        <v>5419</v>
      </c>
      <c r="G3417" s="15" t="str">
        <f>VLOOKUP(A3417,Movie!A:D,4,FALSE)</f>
        <v>Warner Brothers</v>
      </c>
      <c r="H3417" s="14">
        <f>VLOOKUP(E3417,'Rental Transaction'!A:B,2,FALSE)</f>
        <v>296886</v>
      </c>
      <c r="I3417">
        <f t="shared" si="53"/>
        <v>2013</v>
      </c>
    </row>
    <row r="3418" spans="1:9">
      <c r="A3418" s="1">
        <v>10044</v>
      </c>
      <c r="B3418" s="1">
        <v>1</v>
      </c>
      <c r="C3418" s="2">
        <v>41530</v>
      </c>
      <c r="D3418" s="1" t="s">
        <v>2005</v>
      </c>
      <c r="E3418" s="1">
        <v>101923</v>
      </c>
      <c r="F3418" s="6" t="s">
        <v>5420</v>
      </c>
      <c r="G3418" s="15" t="str">
        <f>VLOOKUP(A3418,Movie!A:D,4,FALSE)</f>
        <v>Buena Vista</v>
      </c>
      <c r="H3418" s="14">
        <f>VLOOKUP(E3418,'Rental Transaction'!A:B,2,FALSE)</f>
        <v>296886</v>
      </c>
      <c r="I3418">
        <f t="shared" si="53"/>
        <v>2013</v>
      </c>
    </row>
    <row r="3419" spans="1:9">
      <c r="A3419" s="1">
        <v>10176</v>
      </c>
      <c r="B3419" s="1">
        <v>5</v>
      </c>
      <c r="C3419" s="2">
        <v>41531</v>
      </c>
      <c r="D3419" s="1" t="s">
        <v>2005</v>
      </c>
      <c r="E3419" s="1">
        <v>101924</v>
      </c>
      <c r="F3419" s="6" t="s">
        <v>5421</v>
      </c>
      <c r="G3419" s="15" t="str">
        <f>VLOOKUP(A3419,Movie!A:D,4,FALSE)</f>
        <v>Universal</v>
      </c>
      <c r="H3419" s="14">
        <f>VLOOKUP(E3419,'Rental Transaction'!A:B,2,FALSE)</f>
        <v>395125</v>
      </c>
      <c r="I3419">
        <f t="shared" si="53"/>
        <v>2013</v>
      </c>
    </row>
    <row r="3420" spans="1:9">
      <c r="A3420" s="1">
        <v>10288</v>
      </c>
      <c r="B3420" s="1">
        <v>1</v>
      </c>
      <c r="C3420" s="2">
        <v>41530</v>
      </c>
      <c r="D3420" s="1" t="s">
        <v>2002</v>
      </c>
      <c r="E3420" s="1">
        <v>101924</v>
      </c>
      <c r="F3420" s="6" t="s">
        <v>5422</v>
      </c>
      <c r="G3420" s="15" t="str">
        <f>VLOOKUP(A3420,Movie!A:D,4,FALSE)</f>
        <v>Relativity</v>
      </c>
      <c r="H3420" s="14">
        <f>VLOOKUP(E3420,'Rental Transaction'!A:B,2,FALSE)</f>
        <v>395125</v>
      </c>
      <c r="I3420">
        <f t="shared" si="53"/>
        <v>2013</v>
      </c>
    </row>
    <row r="3421" spans="1:9">
      <c r="A3421" s="1">
        <v>10135</v>
      </c>
      <c r="B3421" s="1">
        <v>2</v>
      </c>
      <c r="C3421" s="2">
        <v>41531</v>
      </c>
      <c r="D3421" s="1" t="s">
        <v>2002</v>
      </c>
      <c r="E3421" s="1">
        <v>101925</v>
      </c>
      <c r="F3421" s="6" t="s">
        <v>5423</v>
      </c>
      <c r="G3421" s="15" t="str">
        <f>VLOOKUP(A3421,Movie!A:D,4,FALSE)</f>
        <v>Universal</v>
      </c>
      <c r="H3421" s="14">
        <f>VLOOKUP(E3421,'Rental Transaction'!A:B,2,FALSE)</f>
        <v>974503</v>
      </c>
      <c r="I3421">
        <f t="shared" si="53"/>
        <v>2013</v>
      </c>
    </row>
    <row r="3422" spans="1:9">
      <c r="A3422" s="1">
        <v>10063</v>
      </c>
      <c r="B3422" s="1">
        <v>2</v>
      </c>
      <c r="C3422" s="2">
        <v>41530</v>
      </c>
      <c r="D3422" s="1" t="s">
        <v>2002</v>
      </c>
      <c r="E3422" s="1">
        <v>101925</v>
      </c>
      <c r="F3422" s="6" t="s">
        <v>5424</v>
      </c>
      <c r="G3422" s="15" t="str">
        <f>VLOOKUP(A3422,Movie!A:D,4,FALSE)</f>
        <v>CBS Films</v>
      </c>
      <c r="H3422" s="14">
        <f>VLOOKUP(E3422,'Rental Transaction'!A:B,2,FALSE)</f>
        <v>974503</v>
      </c>
      <c r="I3422">
        <f t="shared" si="53"/>
        <v>2013</v>
      </c>
    </row>
    <row r="3423" spans="1:9">
      <c r="A3423" s="1">
        <v>10169</v>
      </c>
      <c r="B3423" s="1">
        <v>8</v>
      </c>
      <c r="C3423" s="2">
        <v>41530</v>
      </c>
      <c r="D3423" s="1" t="s">
        <v>2005</v>
      </c>
      <c r="E3423" s="1">
        <v>101926</v>
      </c>
      <c r="F3423" s="6" t="s">
        <v>5425</v>
      </c>
      <c r="G3423" s="15" t="str">
        <f>VLOOKUP(A3423,Movie!A:D,4,FALSE)</f>
        <v>Warner Brothers</v>
      </c>
      <c r="H3423" s="14">
        <f>VLOOKUP(E3423,'Rental Transaction'!A:B,2,FALSE)</f>
        <v>612681</v>
      </c>
      <c r="I3423">
        <f t="shared" si="53"/>
        <v>2013</v>
      </c>
    </row>
    <row r="3424" spans="1:9">
      <c r="A3424" s="1">
        <v>10108</v>
      </c>
      <c r="B3424" s="1">
        <v>4</v>
      </c>
      <c r="C3424" s="2">
        <v>41530</v>
      </c>
      <c r="D3424" s="1" t="s">
        <v>2005</v>
      </c>
      <c r="E3424" s="1">
        <v>101926</v>
      </c>
      <c r="F3424" s="6" t="s">
        <v>5426</v>
      </c>
      <c r="G3424" s="15" t="str">
        <f>VLOOKUP(A3424,Movie!A:D,4,FALSE)</f>
        <v>Fox</v>
      </c>
      <c r="H3424" s="14">
        <f>VLOOKUP(E3424,'Rental Transaction'!A:B,2,FALSE)</f>
        <v>612681</v>
      </c>
      <c r="I3424">
        <f t="shared" si="53"/>
        <v>2013</v>
      </c>
    </row>
    <row r="3425" spans="1:9">
      <c r="A3425" s="1">
        <v>10214</v>
      </c>
      <c r="B3425" s="1">
        <v>6</v>
      </c>
      <c r="C3425" s="2">
        <v>41531</v>
      </c>
      <c r="D3425" s="1" t="s">
        <v>2002</v>
      </c>
      <c r="E3425" s="1">
        <v>101927</v>
      </c>
      <c r="F3425" s="6" t="s">
        <v>5427</v>
      </c>
      <c r="G3425" s="15" t="str">
        <f>VLOOKUP(A3425,Movie!A:D,4,FALSE)</f>
        <v>RM</v>
      </c>
      <c r="H3425" s="14">
        <f>VLOOKUP(E3425,'Rental Transaction'!A:B,2,FALSE)</f>
        <v>679354</v>
      </c>
      <c r="I3425">
        <f t="shared" si="53"/>
        <v>2013</v>
      </c>
    </row>
    <row r="3426" spans="1:9">
      <c r="A3426" s="1">
        <v>10218</v>
      </c>
      <c r="B3426" s="1">
        <v>2</v>
      </c>
      <c r="C3426" s="2">
        <v>41531</v>
      </c>
      <c r="D3426" s="1" t="s">
        <v>2002</v>
      </c>
      <c r="E3426" s="1">
        <v>101927</v>
      </c>
      <c r="F3426" s="6" t="s">
        <v>5428</v>
      </c>
      <c r="G3426" s="15" t="str">
        <f>VLOOKUP(A3426,Movie!A:D,4,FALSE)</f>
        <v>Sony</v>
      </c>
      <c r="H3426" s="14">
        <f>VLOOKUP(E3426,'Rental Transaction'!A:B,2,FALSE)</f>
        <v>679354</v>
      </c>
      <c r="I3426">
        <f t="shared" si="53"/>
        <v>2013</v>
      </c>
    </row>
    <row r="3427" spans="1:9">
      <c r="A3427" s="1">
        <v>10282</v>
      </c>
      <c r="B3427" s="1">
        <v>5</v>
      </c>
      <c r="C3427" s="2">
        <v>41532</v>
      </c>
      <c r="D3427" s="1" t="s">
        <v>2005</v>
      </c>
      <c r="E3427" s="1">
        <v>101927</v>
      </c>
      <c r="F3427" s="6" t="s">
        <v>5429</v>
      </c>
      <c r="G3427" s="15" t="str">
        <f>VLOOKUP(A3427,Movie!A:D,4,FALSE)</f>
        <v>Sony Classics</v>
      </c>
      <c r="H3427" s="14">
        <f>VLOOKUP(E3427,'Rental Transaction'!A:B,2,FALSE)</f>
        <v>679354</v>
      </c>
      <c r="I3427">
        <f t="shared" si="53"/>
        <v>2013</v>
      </c>
    </row>
    <row r="3428" spans="1:9">
      <c r="A3428" s="1">
        <v>10173</v>
      </c>
      <c r="B3428" s="1">
        <v>6</v>
      </c>
      <c r="C3428" s="2">
        <v>41531</v>
      </c>
      <c r="D3428" s="1" t="s">
        <v>2005</v>
      </c>
      <c r="E3428" s="1">
        <v>101928</v>
      </c>
      <c r="F3428" s="6" t="s">
        <v>5430</v>
      </c>
      <c r="G3428" s="15" t="str">
        <f>VLOOKUP(A3428,Movie!A:D,4,FALSE)</f>
        <v>Sony</v>
      </c>
      <c r="H3428" s="14">
        <f>VLOOKUP(E3428,'Rental Transaction'!A:B,2,FALSE)</f>
        <v>427391</v>
      </c>
      <c r="I3428">
        <f t="shared" si="53"/>
        <v>2013</v>
      </c>
    </row>
    <row r="3429" spans="1:9">
      <c r="A3429" s="1">
        <v>10024</v>
      </c>
      <c r="B3429" s="1">
        <v>9</v>
      </c>
      <c r="C3429" s="2">
        <v>41532</v>
      </c>
      <c r="D3429" s="1" t="s">
        <v>2002</v>
      </c>
      <c r="E3429" s="1">
        <v>101928</v>
      </c>
      <c r="F3429" s="6" t="s">
        <v>5431</v>
      </c>
      <c r="G3429" s="15" t="str">
        <f>VLOOKUP(A3429,Movie!A:D,4,FALSE)</f>
        <v>Fox</v>
      </c>
      <c r="H3429" s="14">
        <f>VLOOKUP(E3429,'Rental Transaction'!A:B,2,FALSE)</f>
        <v>427391</v>
      </c>
      <c r="I3429">
        <f t="shared" si="53"/>
        <v>2013</v>
      </c>
    </row>
    <row r="3430" spans="1:9">
      <c r="A3430" s="1">
        <v>10204</v>
      </c>
      <c r="B3430" s="1">
        <v>3</v>
      </c>
      <c r="C3430" s="2">
        <v>41531</v>
      </c>
      <c r="D3430" s="1" t="s">
        <v>2002</v>
      </c>
      <c r="E3430" s="1">
        <v>101929</v>
      </c>
      <c r="F3430" s="6" t="s">
        <v>5432</v>
      </c>
      <c r="G3430" s="15" t="str">
        <f>VLOOKUP(A3430,Movie!A:D,4,FALSE)</f>
        <v>Universal</v>
      </c>
      <c r="H3430" s="14">
        <f>VLOOKUP(E3430,'Rental Transaction'!A:B,2,FALSE)</f>
        <v>226909</v>
      </c>
      <c r="I3430">
        <f t="shared" si="53"/>
        <v>2013</v>
      </c>
    </row>
    <row r="3431" spans="1:9">
      <c r="A3431" s="1">
        <v>10210</v>
      </c>
      <c r="B3431" s="1">
        <v>2</v>
      </c>
      <c r="C3431" s="2">
        <v>41531</v>
      </c>
      <c r="D3431" s="1" t="s">
        <v>2002</v>
      </c>
      <c r="E3431" s="1">
        <v>101930</v>
      </c>
      <c r="F3431" s="6" t="s">
        <v>5433</v>
      </c>
      <c r="G3431" s="15" t="str">
        <f>VLOOKUP(A3431,Movie!A:D,4,FALSE)</f>
        <v>Sony</v>
      </c>
      <c r="H3431" s="14">
        <f>VLOOKUP(E3431,'Rental Transaction'!A:B,2,FALSE)</f>
        <v>701211</v>
      </c>
      <c r="I3431">
        <f t="shared" si="53"/>
        <v>2013</v>
      </c>
    </row>
    <row r="3432" spans="1:9">
      <c r="A3432" s="1">
        <v>10135</v>
      </c>
      <c r="B3432" s="1">
        <v>4</v>
      </c>
      <c r="C3432" s="2">
        <v>41532</v>
      </c>
      <c r="D3432" s="1" t="s">
        <v>2005</v>
      </c>
      <c r="E3432" s="1">
        <v>101930</v>
      </c>
      <c r="F3432" s="6" t="s">
        <v>5434</v>
      </c>
      <c r="G3432" s="15" t="str">
        <f>VLOOKUP(A3432,Movie!A:D,4,FALSE)</f>
        <v>Universal</v>
      </c>
      <c r="H3432" s="14">
        <f>VLOOKUP(E3432,'Rental Transaction'!A:B,2,FALSE)</f>
        <v>701211</v>
      </c>
      <c r="I3432">
        <f t="shared" si="53"/>
        <v>2013</v>
      </c>
    </row>
    <row r="3433" spans="1:9">
      <c r="A3433" s="1">
        <v>10077</v>
      </c>
      <c r="B3433" s="1">
        <v>1</v>
      </c>
      <c r="C3433" s="2">
        <v>41531</v>
      </c>
      <c r="D3433" s="1" t="s">
        <v>2005</v>
      </c>
      <c r="E3433" s="1">
        <v>101931</v>
      </c>
      <c r="F3433" s="6" t="s">
        <v>5435</v>
      </c>
      <c r="G3433" s="15" t="str">
        <f>VLOOKUP(A3433,Movie!A:D,4,FALSE)</f>
        <v>Warner Brothers</v>
      </c>
      <c r="H3433" s="14">
        <f>VLOOKUP(E3433,'Rental Transaction'!A:B,2,FALSE)</f>
        <v>547890</v>
      </c>
      <c r="I3433">
        <f t="shared" si="53"/>
        <v>2013</v>
      </c>
    </row>
    <row r="3434" spans="1:9">
      <c r="A3434" s="1">
        <v>10138</v>
      </c>
      <c r="B3434" s="1">
        <v>3</v>
      </c>
      <c r="C3434" s="2">
        <v>41531</v>
      </c>
      <c r="D3434" s="1" t="s">
        <v>2002</v>
      </c>
      <c r="E3434" s="1">
        <v>101931</v>
      </c>
      <c r="F3434" s="6" t="s">
        <v>5436</v>
      </c>
      <c r="G3434" s="15" t="str">
        <f>VLOOKUP(A3434,Movie!A:D,4,FALSE)</f>
        <v>Universal</v>
      </c>
      <c r="H3434" s="14">
        <f>VLOOKUP(E3434,'Rental Transaction'!A:B,2,FALSE)</f>
        <v>547890</v>
      </c>
      <c r="I3434">
        <f t="shared" si="53"/>
        <v>2013</v>
      </c>
    </row>
    <row r="3435" spans="1:9">
      <c r="A3435" s="1">
        <v>10223</v>
      </c>
      <c r="B3435" s="1">
        <v>8</v>
      </c>
      <c r="C3435" s="2">
        <v>41532</v>
      </c>
      <c r="D3435" s="1" t="s">
        <v>2002</v>
      </c>
      <c r="E3435" s="1">
        <v>101932</v>
      </c>
      <c r="F3435" s="6" t="s">
        <v>5437</v>
      </c>
      <c r="G3435" s="15" t="str">
        <f>VLOOKUP(A3435,Movie!A:D,4,FALSE)</f>
        <v>Universal</v>
      </c>
      <c r="H3435" s="14">
        <f>VLOOKUP(E3435,'Rental Transaction'!A:B,2,FALSE)</f>
        <v>678940</v>
      </c>
      <c r="I3435">
        <f t="shared" si="53"/>
        <v>2013</v>
      </c>
    </row>
    <row r="3436" spans="1:9">
      <c r="A3436" s="1">
        <v>10023</v>
      </c>
      <c r="B3436" s="1">
        <v>1</v>
      </c>
      <c r="C3436" s="2">
        <v>41531</v>
      </c>
      <c r="D3436" s="1" t="s">
        <v>2002</v>
      </c>
      <c r="E3436" s="1">
        <v>101933</v>
      </c>
      <c r="F3436" s="6" t="s">
        <v>5438</v>
      </c>
      <c r="G3436" s="15" t="str">
        <f>VLOOKUP(A3436,Movie!A:D,4,FALSE)</f>
        <v>Buena Vista</v>
      </c>
      <c r="H3436" s="14">
        <f>VLOOKUP(E3436,'Rental Transaction'!A:B,2,FALSE)</f>
        <v>216081</v>
      </c>
      <c r="I3436">
        <f t="shared" si="53"/>
        <v>2013</v>
      </c>
    </row>
    <row r="3437" spans="1:9">
      <c r="A3437" s="1">
        <v>10176</v>
      </c>
      <c r="B3437" s="1">
        <v>8</v>
      </c>
      <c r="C3437" s="2">
        <v>41531</v>
      </c>
      <c r="D3437" s="1" t="s">
        <v>2002</v>
      </c>
      <c r="E3437" s="1">
        <v>101934</v>
      </c>
      <c r="F3437" s="6" t="s">
        <v>5439</v>
      </c>
      <c r="G3437" s="15" t="str">
        <f>VLOOKUP(A3437,Movie!A:D,4,FALSE)</f>
        <v>Universal</v>
      </c>
      <c r="H3437" s="14">
        <f>VLOOKUP(E3437,'Rental Transaction'!A:B,2,FALSE)</f>
        <v>762509</v>
      </c>
      <c r="I3437">
        <f t="shared" si="53"/>
        <v>2013</v>
      </c>
    </row>
    <row r="3438" spans="1:9">
      <c r="A3438" s="1">
        <v>10259</v>
      </c>
      <c r="B3438" s="1">
        <v>4</v>
      </c>
      <c r="C3438" s="2">
        <v>41531</v>
      </c>
      <c r="D3438" s="1" t="s">
        <v>2005</v>
      </c>
      <c r="E3438" s="1">
        <v>101934</v>
      </c>
      <c r="F3438" s="6" t="s">
        <v>5440</v>
      </c>
      <c r="G3438" s="15" t="str">
        <f>VLOOKUP(A3438,Movie!A:D,4,FALSE)</f>
        <v>Warner Brothers</v>
      </c>
      <c r="H3438" s="14">
        <f>VLOOKUP(E3438,'Rental Transaction'!A:B,2,FALSE)</f>
        <v>762509</v>
      </c>
      <c r="I3438">
        <f t="shared" si="53"/>
        <v>2013</v>
      </c>
    </row>
    <row r="3439" spans="1:9" ht="29.25">
      <c r="A3439" s="1">
        <v>10264</v>
      </c>
      <c r="B3439" s="1">
        <v>1</v>
      </c>
      <c r="C3439" s="2">
        <v>41532</v>
      </c>
      <c r="D3439" s="1" t="s">
        <v>2002</v>
      </c>
      <c r="E3439" s="1">
        <v>101935</v>
      </c>
      <c r="F3439" s="6" t="s">
        <v>5441</v>
      </c>
      <c r="G3439" s="15" t="str">
        <f>VLOOKUP(A3439,Movie!A:D,4,FALSE)</f>
        <v>Weinstein Company</v>
      </c>
      <c r="H3439" s="14">
        <f>VLOOKUP(E3439,'Rental Transaction'!A:B,2,FALSE)</f>
        <v>659695</v>
      </c>
      <c r="I3439">
        <f t="shared" si="53"/>
        <v>2013</v>
      </c>
    </row>
    <row r="3440" spans="1:9">
      <c r="A3440" s="1">
        <v>10100</v>
      </c>
      <c r="B3440" s="1">
        <v>5</v>
      </c>
      <c r="C3440" s="2">
        <v>41532</v>
      </c>
      <c r="D3440" s="1" t="s">
        <v>2005</v>
      </c>
      <c r="E3440" s="1">
        <v>101936</v>
      </c>
      <c r="F3440" s="6" t="s">
        <v>5442</v>
      </c>
      <c r="G3440" s="15" t="str">
        <f>VLOOKUP(A3440,Movie!A:D,4,FALSE)</f>
        <v>Fox</v>
      </c>
      <c r="H3440" s="14">
        <f>VLOOKUP(E3440,'Rental Transaction'!A:B,2,FALSE)</f>
        <v>954812</v>
      </c>
      <c r="I3440">
        <f t="shared" si="53"/>
        <v>2013</v>
      </c>
    </row>
    <row r="3441" spans="1:9">
      <c r="A3441" s="1">
        <v>10146</v>
      </c>
      <c r="B3441" s="1">
        <v>2</v>
      </c>
      <c r="C3441" s="2">
        <v>41531</v>
      </c>
      <c r="D3441" s="1" t="s">
        <v>2002</v>
      </c>
      <c r="E3441" s="1">
        <v>101936</v>
      </c>
      <c r="F3441" s="6" t="s">
        <v>5443</v>
      </c>
      <c r="G3441" s="15" t="str">
        <f>VLOOKUP(A3441,Movie!A:D,4,FALSE)</f>
        <v>Sony</v>
      </c>
      <c r="H3441" s="14">
        <f>VLOOKUP(E3441,'Rental Transaction'!A:B,2,FALSE)</f>
        <v>954812</v>
      </c>
      <c r="I3441">
        <f t="shared" si="53"/>
        <v>2013</v>
      </c>
    </row>
    <row r="3442" spans="1:9">
      <c r="A3442" s="1">
        <v>10218</v>
      </c>
      <c r="B3442" s="1">
        <v>7</v>
      </c>
      <c r="C3442" s="2">
        <v>41531</v>
      </c>
      <c r="D3442" s="1" t="s">
        <v>2005</v>
      </c>
      <c r="E3442" s="1">
        <v>101937</v>
      </c>
      <c r="F3442" s="6" t="s">
        <v>5444</v>
      </c>
      <c r="G3442" s="15" t="str">
        <f>VLOOKUP(A3442,Movie!A:D,4,FALSE)</f>
        <v>Sony</v>
      </c>
      <c r="H3442" s="14">
        <f>VLOOKUP(E3442,'Rental Transaction'!A:B,2,FALSE)</f>
        <v>817274</v>
      </c>
      <c r="I3442">
        <f t="shared" si="53"/>
        <v>2013</v>
      </c>
    </row>
    <row r="3443" spans="1:9">
      <c r="A3443" s="1">
        <v>10014</v>
      </c>
      <c r="B3443" s="1">
        <v>10</v>
      </c>
      <c r="C3443" s="2">
        <v>41531</v>
      </c>
      <c r="D3443" s="1" t="s">
        <v>2005</v>
      </c>
      <c r="E3443" s="1">
        <v>101938</v>
      </c>
      <c r="F3443" s="6" t="s">
        <v>5445</v>
      </c>
      <c r="G3443" s="15" t="str">
        <f>VLOOKUP(A3443,Movie!A:D,4,FALSE)</f>
        <v>Warner Brothers</v>
      </c>
      <c r="H3443" s="14">
        <f>VLOOKUP(E3443,'Rental Transaction'!A:B,2,FALSE)</f>
        <v>494106</v>
      </c>
      <c r="I3443">
        <f t="shared" si="53"/>
        <v>2013</v>
      </c>
    </row>
    <row r="3444" spans="1:9">
      <c r="A3444" s="1">
        <v>10200</v>
      </c>
      <c r="B3444" s="1">
        <v>3</v>
      </c>
      <c r="C3444" s="2">
        <v>41532</v>
      </c>
      <c r="D3444" s="1" t="s">
        <v>2005</v>
      </c>
      <c r="E3444" s="1">
        <v>101938</v>
      </c>
      <c r="F3444" s="6" t="s">
        <v>5446</v>
      </c>
      <c r="G3444" s="15" t="str">
        <f>VLOOKUP(A3444,Movie!A:D,4,FALSE)</f>
        <v>Fox</v>
      </c>
      <c r="H3444" s="14">
        <f>VLOOKUP(E3444,'Rental Transaction'!A:B,2,FALSE)</f>
        <v>494106</v>
      </c>
      <c r="I3444">
        <f t="shared" si="53"/>
        <v>2013</v>
      </c>
    </row>
    <row r="3445" spans="1:9">
      <c r="A3445" s="1">
        <v>10194</v>
      </c>
      <c r="B3445" s="1">
        <v>8</v>
      </c>
      <c r="C3445" s="2">
        <v>41532</v>
      </c>
      <c r="D3445" s="1" t="s">
        <v>2002</v>
      </c>
      <c r="E3445" s="1">
        <v>101939</v>
      </c>
      <c r="F3445" s="6" t="s">
        <v>5447</v>
      </c>
      <c r="G3445" s="15" t="str">
        <f>VLOOKUP(A3445,Movie!A:D,4,FALSE)</f>
        <v>FilmDistrict</v>
      </c>
      <c r="H3445" s="14">
        <f>VLOOKUP(E3445,'Rental Transaction'!A:B,2,FALSE)</f>
        <v>111991</v>
      </c>
      <c r="I3445">
        <f t="shared" si="53"/>
        <v>2013</v>
      </c>
    </row>
    <row r="3446" spans="1:9">
      <c r="A3446" s="1">
        <v>10008</v>
      </c>
      <c r="B3446" s="1">
        <v>1</v>
      </c>
      <c r="C3446" s="2">
        <v>41532</v>
      </c>
      <c r="D3446" s="1" t="s">
        <v>2002</v>
      </c>
      <c r="E3446" s="1">
        <v>101940</v>
      </c>
      <c r="F3446" s="6" t="s">
        <v>5448</v>
      </c>
      <c r="G3446" s="15" t="str">
        <f>VLOOKUP(A3446,Movie!A:D,4,FALSE)</f>
        <v>Sony</v>
      </c>
      <c r="H3446" s="14">
        <f>VLOOKUP(E3446,'Rental Transaction'!A:B,2,FALSE)</f>
        <v>267632</v>
      </c>
      <c r="I3446">
        <f t="shared" si="53"/>
        <v>2013</v>
      </c>
    </row>
    <row r="3447" spans="1:9">
      <c r="A3447" s="1">
        <v>10259</v>
      </c>
      <c r="B3447" s="1">
        <v>5</v>
      </c>
      <c r="C3447" s="2">
        <v>41531</v>
      </c>
      <c r="D3447" s="1" t="s">
        <v>2002</v>
      </c>
      <c r="E3447" s="1">
        <v>101941</v>
      </c>
      <c r="F3447" s="6" t="s">
        <v>5449</v>
      </c>
      <c r="G3447" s="15" t="str">
        <f>VLOOKUP(A3447,Movie!A:D,4,FALSE)</f>
        <v>Warner Brothers</v>
      </c>
      <c r="H3447" s="14">
        <f>VLOOKUP(E3447,'Rental Transaction'!A:B,2,FALSE)</f>
        <v>308688</v>
      </c>
      <c r="I3447">
        <f t="shared" si="53"/>
        <v>2013</v>
      </c>
    </row>
    <row r="3448" spans="1:9">
      <c r="A3448" s="1">
        <v>10130</v>
      </c>
      <c r="B3448" s="1">
        <v>1</v>
      </c>
      <c r="C3448" s="2">
        <v>41531</v>
      </c>
      <c r="D3448" s="1" t="s">
        <v>2002</v>
      </c>
      <c r="E3448" s="1">
        <v>101941</v>
      </c>
      <c r="F3448" s="6" t="s">
        <v>5450</v>
      </c>
      <c r="G3448" s="15" t="str">
        <f>VLOOKUP(A3448,Movie!A:D,4,FALSE)</f>
        <v>A24</v>
      </c>
      <c r="H3448" s="14">
        <f>VLOOKUP(E3448,'Rental Transaction'!A:B,2,FALSE)</f>
        <v>308688</v>
      </c>
      <c r="I3448">
        <f t="shared" si="53"/>
        <v>2013</v>
      </c>
    </row>
    <row r="3449" spans="1:9">
      <c r="A3449" s="1">
        <v>10122</v>
      </c>
      <c r="B3449" s="1">
        <v>3</v>
      </c>
      <c r="C3449" s="2">
        <v>41531</v>
      </c>
      <c r="D3449" s="1" t="s">
        <v>2005</v>
      </c>
      <c r="E3449" s="1">
        <v>101942</v>
      </c>
      <c r="F3449" s="6" t="s">
        <v>5451</v>
      </c>
      <c r="G3449" s="15" t="str">
        <f>VLOOKUP(A3449,Movie!A:D,4,FALSE)</f>
        <v>Relativity</v>
      </c>
      <c r="H3449" s="14">
        <f>VLOOKUP(E3449,'Rental Transaction'!A:B,2,FALSE)</f>
        <v>403000</v>
      </c>
      <c r="I3449">
        <f t="shared" si="53"/>
        <v>2013</v>
      </c>
    </row>
    <row r="3450" spans="1:9">
      <c r="A3450" s="1">
        <v>10161</v>
      </c>
      <c r="B3450" s="1">
        <v>9</v>
      </c>
      <c r="C3450" s="2">
        <v>41531</v>
      </c>
      <c r="D3450" s="1" t="s">
        <v>2002</v>
      </c>
      <c r="E3450" s="1">
        <v>101942</v>
      </c>
      <c r="F3450" s="6" t="s">
        <v>5452</v>
      </c>
      <c r="G3450" s="15" t="str">
        <f>VLOOKUP(A3450,Movie!A:D,4,FALSE)</f>
        <v>TriStar</v>
      </c>
      <c r="H3450" s="14">
        <f>VLOOKUP(E3450,'Rental Transaction'!A:B,2,FALSE)</f>
        <v>403000</v>
      </c>
      <c r="I3450">
        <f t="shared" si="53"/>
        <v>2013</v>
      </c>
    </row>
    <row r="3451" spans="1:9">
      <c r="A3451" s="1">
        <v>10194</v>
      </c>
      <c r="B3451" s="1">
        <v>7</v>
      </c>
      <c r="C3451" s="2">
        <v>41531</v>
      </c>
      <c r="D3451" s="1" t="s">
        <v>2002</v>
      </c>
      <c r="E3451" s="1">
        <v>101943</v>
      </c>
      <c r="F3451" s="6" t="s">
        <v>5453</v>
      </c>
      <c r="G3451" s="15" t="str">
        <f>VLOOKUP(A3451,Movie!A:D,4,FALSE)</f>
        <v>FilmDistrict</v>
      </c>
      <c r="H3451" s="14">
        <f>VLOOKUP(E3451,'Rental Transaction'!A:B,2,FALSE)</f>
        <v>226209</v>
      </c>
      <c r="I3451">
        <f t="shared" si="53"/>
        <v>2013</v>
      </c>
    </row>
    <row r="3452" spans="1:9">
      <c r="A3452" s="1">
        <v>10013</v>
      </c>
      <c r="B3452" s="1">
        <v>6</v>
      </c>
      <c r="C3452" s="2">
        <v>41531</v>
      </c>
      <c r="D3452" s="1" t="s">
        <v>2002</v>
      </c>
      <c r="E3452" s="1">
        <v>101943</v>
      </c>
      <c r="F3452" s="6" t="s">
        <v>5454</v>
      </c>
      <c r="G3452" s="15" t="str">
        <f>VLOOKUP(A3452,Movie!A:D,4,FALSE)</f>
        <v>Open Road Films</v>
      </c>
      <c r="H3452" s="14">
        <f>VLOOKUP(E3452,'Rental Transaction'!A:B,2,FALSE)</f>
        <v>226209</v>
      </c>
      <c r="I3452">
        <f t="shared" si="53"/>
        <v>2013</v>
      </c>
    </row>
    <row r="3453" spans="1:9">
      <c r="A3453" s="1">
        <v>10262</v>
      </c>
      <c r="B3453" s="1">
        <v>5</v>
      </c>
      <c r="C3453" s="2">
        <v>41533</v>
      </c>
      <c r="D3453" s="1" t="s">
        <v>2005</v>
      </c>
      <c r="E3453" s="1">
        <v>101944</v>
      </c>
      <c r="F3453" s="6" t="s">
        <v>5455</v>
      </c>
      <c r="G3453" s="15" t="str">
        <f>VLOOKUP(A3453,Movie!A:D,4,FALSE)</f>
        <v>Lionsgate</v>
      </c>
      <c r="H3453" s="14">
        <f>VLOOKUP(E3453,'Rental Transaction'!A:B,2,FALSE)</f>
        <v>331115</v>
      </c>
      <c r="I3453">
        <f t="shared" si="53"/>
        <v>2013</v>
      </c>
    </row>
    <row r="3454" spans="1:9">
      <c r="A3454" s="1">
        <v>10099</v>
      </c>
      <c r="B3454" s="1">
        <v>2</v>
      </c>
      <c r="C3454" s="2">
        <v>41531</v>
      </c>
      <c r="D3454" s="1" t="s">
        <v>2002</v>
      </c>
      <c r="E3454" s="1">
        <v>101944</v>
      </c>
      <c r="F3454" s="6" t="s">
        <v>5456</v>
      </c>
      <c r="G3454" s="15" t="str">
        <f>VLOOKUP(A3454,Movie!A:D,4,FALSE)</f>
        <v>Lionsgate</v>
      </c>
      <c r="H3454" s="14">
        <f>VLOOKUP(E3454,'Rental Transaction'!A:B,2,FALSE)</f>
        <v>331115</v>
      </c>
      <c r="I3454">
        <f t="shared" si="53"/>
        <v>2013</v>
      </c>
    </row>
    <row r="3455" spans="1:9">
      <c r="A3455" s="1">
        <v>10035</v>
      </c>
      <c r="B3455" s="1">
        <v>8</v>
      </c>
      <c r="C3455" s="2">
        <v>41531</v>
      </c>
      <c r="D3455" s="1" t="s">
        <v>2002</v>
      </c>
      <c r="E3455" s="1">
        <v>101944</v>
      </c>
      <c r="F3455" s="6" t="s">
        <v>5457</v>
      </c>
      <c r="G3455" s="15" t="str">
        <f>VLOOKUP(A3455,Movie!A:D,4,FALSE)</f>
        <v>Sony</v>
      </c>
      <c r="H3455" s="14">
        <f>VLOOKUP(E3455,'Rental Transaction'!A:B,2,FALSE)</f>
        <v>331115</v>
      </c>
      <c r="I3455">
        <f t="shared" si="53"/>
        <v>2013</v>
      </c>
    </row>
    <row r="3456" spans="1:9">
      <c r="A3456" s="1">
        <v>10087</v>
      </c>
      <c r="B3456" s="1">
        <v>4</v>
      </c>
      <c r="C3456" s="2">
        <v>41531</v>
      </c>
      <c r="D3456" s="1" t="s">
        <v>2002</v>
      </c>
      <c r="E3456" s="1">
        <v>101945</v>
      </c>
      <c r="F3456" s="6" t="s">
        <v>5458</v>
      </c>
      <c r="G3456" s="15" t="str">
        <f>VLOOKUP(A3456,Movie!A:D,4,FALSE)</f>
        <v>Lionsgate</v>
      </c>
      <c r="H3456" s="14">
        <f>VLOOKUP(E3456,'Rental Transaction'!A:B,2,FALSE)</f>
        <v>927518</v>
      </c>
      <c r="I3456">
        <f t="shared" si="53"/>
        <v>2013</v>
      </c>
    </row>
    <row r="3457" spans="1:9">
      <c r="A3457" s="1">
        <v>10259</v>
      </c>
      <c r="B3457" s="1">
        <v>3</v>
      </c>
      <c r="C3457" s="2">
        <v>41532</v>
      </c>
      <c r="D3457" s="1" t="s">
        <v>2005</v>
      </c>
      <c r="E3457" s="1">
        <v>101946</v>
      </c>
      <c r="F3457" s="6" t="s">
        <v>5459</v>
      </c>
      <c r="G3457" s="15" t="str">
        <f>VLOOKUP(A3457,Movie!A:D,4,FALSE)</f>
        <v>Warner Brothers</v>
      </c>
      <c r="H3457" s="14">
        <f>VLOOKUP(E3457,'Rental Transaction'!A:B,2,FALSE)</f>
        <v>157695</v>
      </c>
      <c r="I3457">
        <f t="shared" si="53"/>
        <v>2013</v>
      </c>
    </row>
    <row r="3458" spans="1:9" ht="29.25">
      <c r="A3458" s="1">
        <v>10290</v>
      </c>
      <c r="B3458" s="1">
        <v>9</v>
      </c>
      <c r="C3458" s="2">
        <v>41531</v>
      </c>
      <c r="D3458" s="1" t="s">
        <v>2005</v>
      </c>
      <c r="E3458" s="1">
        <v>101946</v>
      </c>
      <c r="F3458" s="6" t="s">
        <v>5460</v>
      </c>
      <c r="G3458" s="15" t="str">
        <f>VLOOKUP(A3458,Movie!A:D,4,FALSE)</f>
        <v>Weinstein Company</v>
      </c>
      <c r="H3458" s="14">
        <f>VLOOKUP(E3458,'Rental Transaction'!A:B,2,FALSE)</f>
        <v>157695</v>
      </c>
      <c r="I3458">
        <f t="shared" si="53"/>
        <v>2013</v>
      </c>
    </row>
    <row r="3459" spans="1:9">
      <c r="A3459" s="1">
        <v>10035</v>
      </c>
      <c r="B3459" s="1">
        <v>1</v>
      </c>
      <c r="C3459" s="2">
        <v>41531</v>
      </c>
      <c r="D3459" s="1" t="s">
        <v>2002</v>
      </c>
      <c r="E3459" s="1">
        <v>101946</v>
      </c>
      <c r="F3459" s="6" t="s">
        <v>5461</v>
      </c>
      <c r="G3459" s="15" t="str">
        <f>VLOOKUP(A3459,Movie!A:D,4,FALSE)</f>
        <v>Sony</v>
      </c>
      <c r="H3459" s="14">
        <f>VLOOKUP(E3459,'Rental Transaction'!A:B,2,FALSE)</f>
        <v>157695</v>
      </c>
      <c r="I3459">
        <f t="shared" ref="I3459:I3522" si="54">YEAR(C3459)</f>
        <v>2013</v>
      </c>
    </row>
    <row r="3460" spans="1:9">
      <c r="A3460" s="1">
        <v>10132</v>
      </c>
      <c r="B3460" s="1">
        <v>6</v>
      </c>
      <c r="C3460" s="2">
        <v>41531</v>
      </c>
      <c r="D3460" s="1" t="s">
        <v>2005</v>
      </c>
      <c r="E3460" s="1">
        <v>101946</v>
      </c>
      <c r="F3460" s="6" t="s">
        <v>5462</v>
      </c>
      <c r="G3460" s="15" t="str">
        <f>VLOOKUP(A3460,Movie!A:D,4,FALSE)</f>
        <v>Lionsgate</v>
      </c>
      <c r="H3460" s="14">
        <f>VLOOKUP(E3460,'Rental Transaction'!A:B,2,FALSE)</f>
        <v>157695</v>
      </c>
      <c r="I3460">
        <f t="shared" si="54"/>
        <v>2013</v>
      </c>
    </row>
    <row r="3461" spans="1:9">
      <c r="A3461" s="1">
        <v>10103</v>
      </c>
      <c r="B3461" s="1">
        <v>10</v>
      </c>
      <c r="C3461" s="2">
        <v>41531</v>
      </c>
      <c r="D3461" s="1" t="s">
        <v>2005</v>
      </c>
      <c r="E3461" s="1">
        <v>101947</v>
      </c>
      <c r="F3461" s="6" t="s">
        <v>5463</v>
      </c>
      <c r="G3461" s="15" t="str">
        <f>VLOOKUP(A3461,Movie!A:D,4,FALSE)</f>
        <v>Fox</v>
      </c>
      <c r="H3461" s="14">
        <f>VLOOKUP(E3461,'Rental Transaction'!A:B,2,FALSE)</f>
        <v>554099</v>
      </c>
      <c r="I3461">
        <f t="shared" si="54"/>
        <v>2013</v>
      </c>
    </row>
    <row r="3462" spans="1:9">
      <c r="A3462" s="1">
        <v>10120</v>
      </c>
      <c r="B3462" s="1">
        <v>7</v>
      </c>
      <c r="C3462" s="2">
        <v>41531</v>
      </c>
      <c r="D3462" s="1" t="s">
        <v>2002</v>
      </c>
      <c r="E3462" s="1">
        <v>101947</v>
      </c>
      <c r="F3462" s="6" t="s">
        <v>5464</v>
      </c>
      <c r="G3462" s="15" t="str">
        <f>VLOOKUP(A3462,Movie!A:D,4,FALSE)</f>
        <v>Focus</v>
      </c>
      <c r="H3462" s="14">
        <f>VLOOKUP(E3462,'Rental Transaction'!A:B,2,FALSE)</f>
        <v>554099</v>
      </c>
      <c r="I3462">
        <f t="shared" si="54"/>
        <v>2013</v>
      </c>
    </row>
    <row r="3463" spans="1:9">
      <c r="A3463" s="1">
        <v>10183</v>
      </c>
      <c r="B3463" s="1">
        <v>4</v>
      </c>
      <c r="C3463" s="2">
        <v>41533</v>
      </c>
      <c r="D3463" s="1" t="s">
        <v>2002</v>
      </c>
      <c r="E3463" s="1">
        <v>101948</v>
      </c>
      <c r="F3463" s="6" t="s">
        <v>5465</v>
      </c>
      <c r="G3463" s="15" t="str">
        <f>VLOOKUP(A3463,Movie!A:D,4,FALSE)</f>
        <v>Sony</v>
      </c>
      <c r="H3463" s="14">
        <f>VLOOKUP(E3463,'Rental Transaction'!A:B,2,FALSE)</f>
        <v>908328</v>
      </c>
      <c r="I3463">
        <f t="shared" si="54"/>
        <v>2013</v>
      </c>
    </row>
    <row r="3464" spans="1:9">
      <c r="A3464" s="1">
        <v>10034</v>
      </c>
      <c r="B3464" s="1">
        <v>5</v>
      </c>
      <c r="C3464" s="2">
        <v>41532</v>
      </c>
      <c r="D3464" s="1" t="s">
        <v>2005</v>
      </c>
      <c r="E3464" s="1">
        <v>101948</v>
      </c>
      <c r="F3464" s="6" t="s">
        <v>5466</v>
      </c>
      <c r="G3464" s="15" t="str">
        <f>VLOOKUP(A3464,Movie!A:D,4,FALSE)</f>
        <v>Lionsgate</v>
      </c>
      <c r="H3464" s="14">
        <f>VLOOKUP(E3464,'Rental Transaction'!A:B,2,FALSE)</f>
        <v>908328</v>
      </c>
      <c r="I3464">
        <f t="shared" si="54"/>
        <v>2013</v>
      </c>
    </row>
    <row r="3465" spans="1:9">
      <c r="A3465" s="1">
        <v>10147</v>
      </c>
      <c r="B3465" s="1">
        <v>8</v>
      </c>
      <c r="C3465" s="2">
        <v>41532</v>
      </c>
      <c r="D3465" s="1" t="s">
        <v>2002</v>
      </c>
      <c r="E3465" s="1">
        <v>101949</v>
      </c>
      <c r="F3465" s="6" t="s">
        <v>5467</v>
      </c>
      <c r="G3465" s="15" t="str">
        <f>VLOOKUP(A3465,Movie!A:D,4,FALSE)</f>
        <v>Lionsgate</v>
      </c>
      <c r="H3465" s="14">
        <f>VLOOKUP(E3465,'Rental Transaction'!A:B,2,FALSE)</f>
        <v>412544</v>
      </c>
      <c r="I3465">
        <f t="shared" si="54"/>
        <v>2013</v>
      </c>
    </row>
    <row r="3466" spans="1:9">
      <c r="A3466" s="1">
        <v>10092</v>
      </c>
      <c r="B3466" s="1">
        <v>1</v>
      </c>
      <c r="C3466" s="2">
        <v>41532</v>
      </c>
      <c r="D3466" s="1" t="s">
        <v>2002</v>
      </c>
      <c r="E3466" s="1">
        <v>101949</v>
      </c>
      <c r="F3466" s="6" t="s">
        <v>5468</v>
      </c>
      <c r="G3466" s="15" t="str">
        <f>VLOOKUP(A3466,Movie!A:D,4,FALSE)</f>
        <v>Warner Brothers</v>
      </c>
      <c r="H3466" s="14">
        <f>VLOOKUP(E3466,'Rental Transaction'!A:B,2,FALSE)</f>
        <v>412544</v>
      </c>
      <c r="I3466">
        <f t="shared" si="54"/>
        <v>2013</v>
      </c>
    </row>
    <row r="3467" spans="1:9">
      <c r="A3467" s="1">
        <v>10106</v>
      </c>
      <c r="B3467" s="1">
        <v>6</v>
      </c>
      <c r="C3467" s="2">
        <v>41533</v>
      </c>
      <c r="D3467" s="1" t="s">
        <v>2002</v>
      </c>
      <c r="E3467" s="1">
        <v>101950</v>
      </c>
      <c r="F3467" s="6" t="s">
        <v>5469</v>
      </c>
      <c r="G3467" s="15" t="str">
        <f>VLOOKUP(A3467,Movie!A:D,4,FALSE)</f>
        <v>Fox</v>
      </c>
      <c r="H3467" s="14">
        <f>VLOOKUP(E3467,'Rental Transaction'!A:B,2,FALSE)</f>
        <v>550661</v>
      </c>
      <c r="I3467">
        <f t="shared" si="54"/>
        <v>2013</v>
      </c>
    </row>
    <row r="3468" spans="1:9">
      <c r="A3468" s="1">
        <v>10076</v>
      </c>
      <c r="B3468" s="1">
        <v>5</v>
      </c>
      <c r="C3468" s="2">
        <v>41533</v>
      </c>
      <c r="D3468" s="1" t="s">
        <v>2005</v>
      </c>
      <c r="E3468" s="1">
        <v>101951</v>
      </c>
      <c r="F3468" s="6" t="s">
        <v>5470</v>
      </c>
      <c r="G3468" s="15" t="str">
        <f>VLOOKUP(A3468,Movie!A:D,4,FALSE)</f>
        <v>Sony</v>
      </c>
      <c r="H3468" s="14">
        <f>VLOOKUP(E3468,'Rental Transaction'!A:B,2,FALSE)</f>
        <v>105771</v>
      </c>
      <c r="I3468">
        <f t="shared" si="54"/>
        <v>2013</v>
      </c>
    </row>
    <row r="3469" spans="1:9">
      <c r="A3469" s="1">
        <v>10017</v>
      </c>
      <c r="B3469" s="1">
        <v>9</v>
      </c>
      <c r="C3469" s="2">
        <v>41534</v>
      </c>
      <c r="D3469" s="1" t="s">
        <v>2005</v>
      </c>
      <c r="E3469" s="1">
        <v>101952</v>
      </c>
      <c r="F3469" s="6" t="s">
        <v>5471</v>
      </c>
      <c r="G3469" s="15" t="str">
        <f>VLOOKUP(A3469,Movie!A:D,4,FALSE)</f>
        <v>Sony</v>
      </c>
      <c r="H3469" s="14">
        <f>VLOOKUP(E3469,'Rental Transaction'!A:B,2,FALSE)</f>
        <v>262638</v>
      </c>
      <c r="I3469">
        <f t="shared" si="54"/>
        <v>2013</v>
      </c>
    </row>
    <row r="3470" spans="1:9">
      <c r="A3470" s="1">
        <v>10106</v>
      </c>
      <c r="B3470" s="1">
        <v>2</v>
      </c>
      <c r="C3470" s="2">
        <v>41533</v>
      </c>
      <c r="D3470" s="1" t="s">
        <v>2005</v>
      </c>
      <c r="E3470" s="1">
        <v>101952</v>
      </c>
      <c r="F3470" s="6" t="s">
        <v>5472</v>
      </c>
      <c r="G3470" s="15" t="str">
        <f>VLOOKUP(A3470,Movie!A:D,4,FALSE)</f>
        <v>Fox</v>
      </c>
      <c r="H3470" s="14">
        <f>VLOOKUP(E3470,'Rental Transaction'!A:B,2,FALSE)</f>
        <v>262638</v>
      </c>
      <c r="I3470">
        <f t="shared" si="54"/>
        <v>2013</v>
      </c>
    </row>
    <row r="3471" spans="1:9">
      <c r="A3471" s="1">
        <v>10031</v>
      </c>
      <c r="B3471" s="1">
        <v>8</v>
      </c>
      <c r="C3471" s="2">
        <v>41532</v>
      </c>
      <c r="D3471" s="1" t="s">
        <v>2002</v>
      </c>
      <c r="E3471" s="1">
        <v>101953</v>
      </c>
      <c r="F3471" s="6" t="s">
        <v>5473</v>
      </c>
      <c r="G3471" s="15" t="str">
        <f>VLOOKUP(A3471,Movie!A:D,4,FALSE)</f>
        <v>Warner Brothers</v>
      </c>
      <c r="H3471" s="14">
        <f>VLOOKUP(E3471,'Rental Transaction'!A:B,2,FALSE)</f>
        <v>607810</v>
      </c>
      <c r="I3471">
        <f t="shared" si="54"/>
        <v>2013</v>
      </c>
    </row>
    <row r="3472" spans="1:9">
      <c r="A3472" s="1">
        <v>10117</v>
      </c>
      <c r="B3472" s="1">
        <v>6</v>
      </c>
      <c r="C3472" s="2">
        <v>41532</v>
      </c>
      <c r="D3472" s="1" t="s">
        <v>2002</v>
      </c>
      <c r="E3472" s="1">
        <v>101953</v>
      </c>
      <c r="F3472" s="6" t="s">
        <v>5474</v>
      </c>
      <c r="G3472" s="15" t="str">
        <f>VLOOKUP(A3472,Movie!A:D,4,FALSE)</f>
        <v>Sony</v>
      </c>
      <c r="H3472" s="14">
        <f>VLOOKUP(E3472,'Rental Transaction'!A:B,2,FALSE)</f>
        <v>607810</v>
      </c>
      <c r="I3472">
        <f t="shared" si="54"/>
        <v>2013</v>
      </c>
    </row>
    <row r="3473" spans="1:9">
      <c r="A3473" s="1">
        <v>10030</v>
      </c>
      <c r="B3473" s="1">
        <v>8</v>
      </c>
      <c r="C3473" s="2">
        <v>41532</v>
      </c>
      <c r="D3473" s="1" t="s">
        <v>2005</v>
      </c>
      <c r="E3473" s="1">
        <v>101954</v>
      </c>
      <c r="F3473" s="6" t="s">
        <v>5475</v>
      </c>
      <c r="G3473" s="15" t="str">
        <f>VLOOKUP(A3473,Movie!A:D,4,FALSE)</f>
        <v>Warner Brothers</v>
      </c>
      <c r="H3473" s="14">
        <f>VLOOKUP(E3473,'Rental Transaction'!A:B,2,FALSE)</f>
        <v>479497</v>
      </c>
      <c r="I3473">
        <f t="shared" si="54"/>
        <v>2013</v>
      </c>
    </row>
    <row r="3474" spans="1:9">
      <c r="A3474" s="1">
        <v>10071</v>
      </c>
      <c r="B3474" s="1">
        <v>9</v>
      </c>
      <c r="C3474" s="2">
        <v>41532</v>
      </c>
      <c r="D3474" s="1" t="s">
        <v>2002</v>
      </c>
      <c r="E3474" s="1">
        <v>101955</v>
      </c>
      <c r="F3474" s="6" t="s">
        <v>5476</v>
      </c>
      <c r="G3474" s="15" t="str">
        <f>VLOOKUP(A3474,Movie!A:D,4,FALSE)</f>
        <v>Paramount</v>
      </c>
      <c r="H3474" s="14">
        <f>VLOOKUP(E3474,'Rental Transaction'!A:B,2,FALSE)</f>
        <v>404678</v>
      </c>
      <c r="I3474">
        <f t="shared" si="54"/>
        <v>2013</v>
      </c>
    </row>
    <row r="3475" spans="1:9">
      <c r="A3475" s="1">
        <v>10185</v>
      </c>
      <c r="B3475" s="1">
        <v>5</v>
      </c>
      <c r="C3475" s="2">
        <v>41532</v>
      </c>
      <c r="D3475" s="1" t="s">
        <v>2005</v>
      </c>
      <c r="E3475" s="1">
        <v>101955</v>
      </c>
      <c r="F3475" s="6" t="s">
        <v>5477</v>
      </c>
      <c r="G3475" s="15" t="str">
        <f>VLOOKUP(A3475,Movie!A:D,4,FALSE)</f>
        <v>Warner Brothers</v>
      </c>
      <c r="H3475" s="14">
        <f>VLOOKUP(E3475,'Rental Transaction'!A:B,2,FALSE)</f>
        <v>404678</v>
      </c>
      <c r="I3475">
        <f t="shared" si="54"/>
        <v>2013</v>
      </c>
    </row>
    <row r="3476" spans="1:9">
      <c r="A3476" s="1">
        <v>10230</v>
      </c>
      <c r="B3476" s="1">
        <v>8</v>
      </c>
      <c r="C3476" s="2">
        <v>41532</v>
      </c>
      <c r="D3476" s="1" t="s">
        <v>2005</v>
      </c>
      <c r="E3476" s="1">
        <v>101956</v>
      </c>
      <c r="F3476" s="6" t="s">
        <v>5478</v>
      </c>
      <c r="G3476" s="15" t="str">
        <f>VLOOKUP(A3476,Movie!A:D,4,FALSE)</f>
        <v>Focus</v>
      </c>
      <c r="H3476" s="14">
        <f>VLOOKUP(E3476,'Rental Transaction'!A:B,2,FALSE)</f>
        <v>247216</v>
      </c>
      <c r="I3476">
        <f t="shared" si="54"/>
        <v>2013</v>
      </c>
    </row>
    <row r="3477" spans="1:9">
      <c r="A3477" s="1">
        <v>10151</v>
      </c>
      <c r="B3477" s="1">
        <v>3</v>
      </c>
      <c r="C3477" s="2">
        <v>41532</v>
      </c>
      <c r="D3477" s="1" t="s">
        <v>2005</v>
      </c>
      <c r="E3477" s="1">
        <v>101956</v>
      </c>
      <c r="F3477" s="6" t="s">
        <v>5479</v>
      </c>
      <c r="G3477" s="15" t="str">
        <f>VLOOKUP(A3477,Movie!A:D,4,FALSE)</f>
        <v>Screen Gems</v>
      </c>
      <c r="H3477" s="14">
        <f>VLOOKUP(E3477,'Rental Transaction'!A:B,2,FALSE)</f>
        <v>247216</v>
      </c>
      <c r="I3477">
        <f t="shared" si="54"/>
        <v>2013</v>
      </c>
    </row>
    <row r="3478" spans="1:9">
      <c r="A3478" s="1">
        <v>10026</v>
      </c>
      <c r="B3478" s="1">
        <v>1</v>
      </c>
      <c r="C3478" s="2">
        <v>41532</v>
      </c>
      <c r="D3478" s="1" t="s">
        <v>2002</v>
      </c>
      <c r="E3478" s="1">
        <v>101956</v>
      </c>
      <c r="F3478" s="6" t="s">
        <v>5480</v>
      </c>
      <c r="G3478" s="15" t="str">
        <f>VLOOKUP(A3478,Movie!A:D,4,FALSE)</f>
        <v>Fox</v>
      </c>
      <c r="H3478" s="14">
        <f>VLOOKUP(E3478,'Rental Transaction'!A:B,2,FALSE)</f>
        <v>247216</v>
      </c>
      <c r="I3478">
        <f t="shared" si="54"/>
        <v>2013</v>
      </c>
    </row>
    <row r="3479" spans="1:9">
      <c r="A3479" s="1">
        <v>10152</v>
      </c>
      <c r="B3479" s="1">
        <v>4</v>
      </c>
      <c r="C3479" s="2">
        <v>41532</v>
      </c>
      <c r="D3479" s="1" t="s">
        <v>2002</v>
      </c>
      <c r="E3479" s="1">
        <v>101957</v>
      </c>
      <c r="F3479" s="6" t="s">
        <v>5481</v>
      </c>
      <c r="G3479" s="15" t="str">
        <f>VLOOKUP(A3479,Movie!A:D,4,FALSE)</f>
        <v>FilmDistrict</v>
      </c>
      <c r="H3479" s="14">
        <f>VLOOKUP(E3479,'Rental Transaction'!A:B,2,FALSE)</f>
        <v>429748</v>
      </c>
      <c r="I3479">
        <f t="shared" si="54"/>
        <v>2013</v>
      </c>
    </row>
    <row r="3480" spans="1:9">
      <c r="A3480" s="1">
        <v>10275</v>
      </c>
      <c r="B3480" s="1">
        <v>9</v>
      </c>
      <c r="C3480" s="2">
        <v>41532</v>
      </c>
      <c r="D3480" s="1" t="s">
        <v>2002</v>
      </c>
      <c r="E3480" s="1">
        <v>101958</v>
      </c>
      <c r="F3480" s="6" t="s">
        <v>5482</v>
      </c>
      <c r="G3480" s="15" t="str">
        <f>VLOOKUP(A3480,Movie!A:D,4,FALSE)</f>
        <v>Lionsgate</v>
      </c>
      <c r="H3480" s="14">
        <f>VLOOKUP(E3480,'Rental Transaction'!A:B,2,FALSE)</f>
        <v>442254</v>
      </c>
      <c r="I3480">
        <f t="shared" si="54"/>
        <v>2013</v>
      </c>
    </row>
    <row r="3481" spans="1:9">
      <c r="A3481" s="1">
        <v>10044</v>
      </c>
      <c r="B3481" s="1">
        <v>7</v>
      </c>
      <c r="C3481" s="2">
        <v>41532</v>
      </c>
      <c r="D3481" s="1" t="s">
        <v>2005</v>
      </c>
      <c r="E3481" s="1">
        <v>101959</v>
      </c>
      <c r="F3481" s="6" t="s">
        <v>5483</v>
      </c>
      <c r="G3481" s="15" t="str">
        <f>VLOOKUP(A3481,Movie!A:D,4,FALSE)</f>
        <v>Buena Vista</v>
      </c>
      <c r="H3481" s="14">
        <f>VLOOKUP(E3481,'Rental Transaction'!A:B,2,FALSE)</f>
        <v>717234</v>
      </c>
      <c r="I3481">
        <f t="shared" si="54"/>
        <v>2013</v>
      </c>
    </row>
    <row r="3482" spans="1:9">
      <c r="A3482" s="1">
        <v>10005</v>
      </c>
      <c r="B3482" s="1">
        <v>4</v>
      </c>
      <c r="C3482" s="2">
        <v>41532</v>
      </c>
      <c r="D3482" s="1" t="s">
        <v>2005</v>
      </c>
      <c r="E3482" s="1">
        <v>101960</v>
      </c>
      <c r="F3482" s="6" t="s">
        <v>5484</v>
      </c>
      <c r="G3482" s="15" t="str">
        <f>VLOOKUP(A3482,Movie!A:D,4,FALSE)</f>
        <v>Buena Vista</v>
      </c>
      <c r="H3482" s="14">
        <f>VLOOKUP(E3482,'Rental Transaction'!A:B,2,FALSE)</f>
        <v>407605</v>
      </c>
      <c r="I3482">
        <f t="shared" si="54"/>
        <v>2013</v>
      </c>
    </row>
    <row r="3483" spans="1:9" ht="29.25">
      <c r="A3483" s="1">
        <v>10081</v>
      </c>
      <c r="B3483" s="1">
        <v>9</v>
      </c>
      <c r="C3483" s="2">
        <v>41532</v>
      </c>
      <c r="D3483" s="1" t="s">
        <v>2005</v>
      </c>
      <c r="E3483" s="1">
        <v>101960</v>
      </c>
      <c r="F3483" s="6" t="s">
        <v>5485</v>
      </c>
      <c r="G3483" s="15" t="str">
        <f>VLOOKUP(A3483,Movie!A:D,4,FALSE)</f>
        <v>Weinstein Company</v>
      </c>
      <c r="H3483" s="14">
        <f>VLOOKUP(E3483,'Rental Transaction'!A:B,2,FALSE)</f>
        <v>407605</v>
      </c>
      <c r="I3483">
        <f t="shared" si="54"/>
        <v>2013</v>
      </c>
    </row>
    <row r="3484" spans="1:9">
      <c r="A3484" s="1">
        <v>10137</v>
      </c>
      <c r="B3484" s="1">
        <v>5</v>
      </c>
      <c r="C3484" s="2">
        <v>41532</v>
      </c>
      <c r="D3484" s="1" t="s">
        <v>2002</v>
      </c>
      <c r="E3484" s="1">
        <v>101961</v>
      </c>
      <c r="F3484" s="6" t="s">
        <v>5486</v>
      </c>
      <c r="G3484" s="15" t="str">
        <f>VLOOKUP(A3484,Movie!A:D,4,FALSE)</f>
        <v>Buena Vista</v>
      </c>
      <c r="H3484" s="14">
        <f>VLOOKUP(E3484,'Rental Transaction'!A:B,2,FALSE)</f>
        <v>485769</v>
      </c>
      <c r="I3484">
        <f t="shared" si="54"/>
        <v>2013</v>
      </c>
    </row>
    <row r="3485" spans="1:9">
      <c r="A3485" s="1">
        <v>10195</v>
      </c>
      <c r="B3485" s="1">
        <v>6</v>
      </c>
      <c r="C3485" s="2">
        <v>41532</v>
      </c>
      <c r="D3485" s="1" t="s">
        <v>2002</v>
      </c>
      <c r="E3485" s="1">
        <v>101961</v>
      </c>
      <c r="F3485" s="6" t="s">
        <v>5487</v>
      </c>
      <c r="G3485" s="15" t="str">
        <f>VLOOKUP(A3485,Movie!A:D,4,FALSE)</f>
        <v>Sony</v>
      </c>
      <c r="H3485" s="14">
        <f>VLOOKUP(E3485,'Rental Transaction'!A:B,2,FALSE)</f>
        <v>485769</v>
      </c>
      <c r="I3485">
        <f t="shared" si="54"/>
        <v>2013</v>
      </c>
    </row>
    <row r="3486" spans="1:9">
      <c r="A3486" s="1">
        <v>10198</v>
      </c>
      <c r="B3486" s="1">
        <v>10</v>
      </c>
      <c r="C3486" s="2">
        <v>41532</v>
      </c>
      <c r="D3486" s="1" t="s">
        <v>2002</v>
      </c>
      <c r="E3486" s="1">
        <v>101962</v>
      </c>
      <c r="F3486" s="6" t="s">
        <v>5488</v>
      </c>
      <c r="G3486" s="15" t="str">
        <f>VLOOKUP(A3486,Movie!A:D,4,FALSE)</f>
        <v>Fox</v>
      </c>
      <c r="H3486" s="14">
        <f>VLOOKUP(E3486,'Rental Transaction'!A:B,2,FALSE)</f>
        <v>317461</v>
      </c>
      <c r="I3486">
        <f t="shared" si="54"/>
        <v>2013</v>
      </c>
    </row>
    <row r="3487" spans="1:9">
      <c r="A3487" s="1">
        <v>10171</v>
      </c>
      <c r="B3487" s="1">
        <v>9</v>
      </c>
      <c r="C3487" s="2">
        <v>41533</v>
      </c>
      <c r="D3487" s="1" t="s">
        <v>2002</v>
      </c>
      <c r="E3487" s="1">
        <v>101962</v>
      </c>
      <c r="F3487" s="6" t="s">
        <v>5489</v>
      </c>
      <c r="G3487" s="15" t="str">
        <f>VLOOKUP(A3487,Movie!A:D,4,FALSE)</f>
        <v>Universal</v>
      </c>
      <c r="H3487" s="14">
        <f>VLOOKUP(E3487,'Rental Transaction'!A:B,2,FALSE)</f>
        <v>317461</v>
      </c>
      <c r="I3487">
        <f t="shared" si="54"/>
        <v>2013</v>
      </c>
    </row>
    <row r="3488" spans="1:9">
      <c r="A3488" s="1">
        <v>10076</v>
      </c>
      <c r="B3488" s="1">
        <v>3</v>
      </c>
      <c r="C3488" s="2">
        <v>41533</v>
      </c>
      <c r="D3488" s="1" t="s">
        <v>2002</v>
      </c>
      <c r="E3488" s="1">
        <v>101963</v>
      </c>
      <c r="F3488" s="6" t="s">
        <v>5490</v>
      </c>
      <c r="G3488" s="15" t="str">
        <f>VLOOKUP(A3488,Movie!A:D,4,FALSE)</f>
        <v>Sony</v>
      </c>
      <c r="H3488" s="14">
        <f>VLOOKUP(E3488,'Rental Transaction'!A:B,2,FALSE)</f>
        <v>585972</v>
      </c>
      <c r="I3488">
        <f t="shared" si="54"/>
        <v>2013</v>
      </c>
    </row>
    <row r="3489" spans="1:9">
      <c r="A3489" s="1">
        <v>10215</v>
      </c>
      <c r="B3489" s="1">
        <v>1</v>
      </c>
      <c r="C3489" s="2">
        <v>41532</v>
      </c>
      <c r="D3489" s="1" t="s">
        <v>2005</v>
      </c>
      <c r="E3489" s="1">
        <v>101963</v>
      </c>
      <c r="F3489" s="6" t="s">
        <v>5491</v>
      </c>
      <c r="G3489" s="15" t="str">
        <f>VLOOKUP(A3489,Movie!A:D,4,FALSE)</f>
        <v>Paramount</v>
      </c>
      <c r="H3489" s="14">
        <f>VLOOKUP(E3489,'Rental Transaction'!A:B,2,FALSE)</f>
        <v>585972</v>
      </c>
      <c r="I3489">
        <f t="shared" si="54"/>
        <v>2013</v>
      </c>
    </row>
    <row r="3490" spans="1:9">
      <c r="A3490" s="1">
        <v>10092</v>
      </c>
      <c r="B3490" s="1">
        <v>9</v>
      </c>
      <c r="C3490" s="2">
        <v>41533</v>
      </c>
      <c r="D3490" s="1" t="s">
        <v>2005</v>
      </c>
      <c r="E3490" s="1">
        <v>101964</v>
      </c>
      <c r="F3490" s="6" t="s">
        <v>5492</v>
      </c>
      <c r="G3490" s="15" t="str">
        <f>VLOOKUP(A3490,Movie!A:D,4,FALSE)</f>
        <v>Warner Brothers</v>
      </c>
      <c r="H3490" s="14">
        <f>VLOOKUP(E3490,'Rental Transaction'!A:B,2,FALSE)</f>
        <v>110363</v>
      </c>
      <c r="I3490">
        <f t="shared" si="54"/>
        <v>2013</v>
      </c>
    </row>
    <row r="3491" spans="1:9">
      <c r="A3491" s="1">
        <v>10030</v>
      </c>
      <c r="B3491" s="1">
        <v>7</v>
      </c>
      <c r="C3491" s="2">
        <v>41534</v>
      </c>
      <c r="D3491" s="1" t="s">
        <v>2005</v>
      </c>
      <c r="E3491" s="1">
        <v>101965</v>
      </c>
      <c r="F3491" s="6" t="s">
        <v>5493</v>
      </c>
      <c r="G3491" s="15" t="str">
        <f>VLOOKUP(A3491,Movie!A:D,4,FALSE)</f>
        <v>Warner Brothers</v>
      </c>
      <c r="H3491" s="14">
        <f>VLOOKUP(E3491,'Rental Transaction'!A:B,2,FALSE)</f>
        <v>500350</v>
      </c>
      <c r="I3491">
        <f t="shared" si="54"/>
        <v>2013</v>
      </c>
    </row>
    <row r="3492" spans="1:9">
      <c r="A3492" s="1">
        <v>10208</v>
      </c>
      <c r="B3492" s="1">
        <v>7</v>
      </c>
      <c r="C3492" s="2">
        <v>41532</v>
      </c>
      <c r="D3492" s="1" t="s">
        <v>2005</v>
      </c>
      <c r="E3492" s="1">
        <v>101965</v>
      </c>
      <c r="F3492" s="6" t="s">
        <v>5494</v>
      </c>
      <c r="G3492" s="15" t="str">
        <f>VLOOKUP(A3492,Movie!A:D,4,FALSE)</f>
        <v>Warner Brothers</v>
      </c>
      <c r="H3492" s="14">
        <f>VLOOKUP(E3492,'Rental Transaction'!A:B,2,FALSE)</f>
        <v>500350</v>
      </c>
      <c r="I3492">
        <f t="shared" si="54"/>
        <v>2013</v>
      </c>
    </row>
    <row r="3493" spans="1:9" ht="29.25">
      <c r="A3493" s="1">
        <v>10105</v>
      </c>
      <c r="B3493" s="1">
        <v>2</v>
      </c>
      <c r="C3493" s="2">
        <v>41534</v>
      </c>
      <c r="D3493" s="1" t="s">
        <v>2002</v>
      </c>
      <c r="E3493" s="1">
        <v>101966</v>
      </c>
      <c r="F3493" s="6" t="s">
        <v>5495</v>
      </c>
      <c r="G3493" s="15" t="str">
        <f>VLOOKUP(A3493,Movie!A:D,4,FALSE)</f>
        <v>Weinstein Company</v>
      </c>
      <c r="H3493" s="14">
        <f>VLOOKUP(E3493,'Rental Transaction'!A:B,2,FALSE)</f>
        <v>110363</v>
      </c>
      <c r="I3493">
        <f t="shared" si="54"/>
        <v>2013</v>
      </c>
    </row>
    <row r="3494" spans="1:9">
      <c r="A3494" s="1">
        <v>10161</v>
      </c>
      <c r="B3494" s="1">
        <v>1</v>
      </c>
      <c r="C3494" s="2">
        <v>41532</v>
      </c>
      <c r="D3494" s="1" t="s">
        <v>2005</v>
      </c>
      <c r="E3494" s="1">
        <v>101966</v>
      </c>
      <c r="F3494" s="6" t="s">
        <v>5496</v>
      </c>
      <c r="G3494" s="15" t="str">
        <f>VLOOKUP(A3494,Movie!A:D,4,FALSE)</f>
        <v>TriStar</v>
      </c>
      <c r="H3494" s="14">
        <f>VLOOKUP(E3494,'Rental Transaction'!A:B,2,FALSE)</f>
        <v>110363</v>
      </c>
      <c r="I3494">
        <f t="shared" si="54"/>
        <v>2013</v>
      </c>
    </row>
    <row r="3495" spans="1:9">
      <c r="A3495" s="1">
        <v>10256</v>
      </c>
      <c r="B3495" s="1">
        <v>2</v>
      </c>
      <c r="C3495" s="2">
        <v>41533</v>
      </c>
      <c r="D3495" s="1" t="s">
        <v>2005</v>
      </c>
      <c r="E3495" s="1">
        <v>101966</v>
      </c>
      <c r="F3495" s="6" t="s">
        <v>5497</v>
      </c>
      <c r="G3495" s="15" t="str">
        <f>VLOOKUP(A3495,Movie!A:D,4,FALSE)</f>
        <v>Fox</v>
      </c>
      <c r="H3495" s="14">
        <f>VLOOKUP(E3495,'Rental Transaction'!A:B,2,FALSE)</f>
        <v>110363</v>
      </c>
      <c r="I3495">
        <f t="shared" si="54"/>
        <v>2013</v>
      </c>
    </row>
    <row r="3496" spans="1:9">
      <c r="A3496" s="1">
        <v>10234</v>
      </c>
      <c r="B3496" s="1">
        <v>10</v>
      </c>
      <c r="C3496" s="2">
        <v>41533</v>
      </c>
      <c r="D3496" s="1" t="s">
        <v>2002</v>
      </c>
      <c r="E3496" s="1">
        <v>101967</v>
      </c>
      <c r="F3496" s="6" t="s">
        <v>5498</v>
      </c>
      <c r="G3496" s="15" t="str">
        <f>VLOOKUP(A3496,Movie!A:D,4,FALSE)</f>
        <v>Warner Brothers</v>
      </c>
      <c r="H3496" s="14">
        <f>VLOOKUP(E3496,'Rental Transaction'!A:B,2,FALSE)</f>
        <v>559054</v>
      </c>
      <c r="I3496">
        <f t="shared" si="54"/>
        <v>2013</v>
      </c>
    </row>
    <row r="3497" spans="1:9">
      <c r="A3497" s="1">
        <v>10089</v>
      </c>
      <c r="B3497" s="1">
        <v>3</v>
      </c>
      <c r="C3497" s="2">
        <v>41533</v>
      </c>
      <c r="D3497" s="1" t="s">
        <v>2002</v>
      </c>
      <c r="E3497" s="1">
        <v>101968</v>
      </c>
      <c r="F3497" s="6" t="s">
        <v>5499</v>
      </c>
      <c r="G3497" s="15" t="str">
        <f>VLOOKUP(A3497,Movie!A:D,4,FALSE)</f>
        <v>Sony</v>
      </c>
      <c r="H3497" s="14">
        <f>VLOOKUP(E3497,'Rental Transaction'!A:B,2,FALSE)</f>
        <v>568217</v>
      </c>
      <c r="I3497">
        <f t="shared" si="54"/>
        <v>2013</v>
      </c>
    </row>
    <row r="3498" spans="1:9">
      <c r="A3498" s="1">
        <v>10192</v>
      </c>
      <c r="B3498" s="1">
        <v>2</v>
      </c>
      <c r="C3498" s="2">
        <v>41533</v>
      </c>
      <c r="D3498" s="1" t="s">
        <v>2005</v>
      </c>
      <c r="E3498" s="1">
        <v>101968</v>
      </c>
      <c r="F3498" s="6" t="s">
        <v>5500</v>
      </c>
      <c r="G3498" s="15" t="str">
        <f>VLOOKUP(A3498,Movie!A:D,4,FALSE)</f>
        <v>Universal</v>
      </c>
      <c r="H3498" s="14">
        <f>VLOOKUP(E3498,'Rental Transaction'!A:B,2,FALSE)</f>
        <v>568217</v>
      </c>
      <c r="I3498">
        <f t="shared" si="54"/>
        <v>2013</v>
      </c>
    </row>
    <row r="3499" spans="1:9">
      <c r="A3499" s="1">
        <v>10104</v>
      </c>
      <c r="B3499" s="1">
        <v>5</v>
      </c>
      <c r="C3499" s="2">
        <v>41535</v>
      </c>
      <c r="D3499" s="1" t="s">
        <v>2005</v>
      </c>
      <c r="E3499" s="1">
        <v>101969</v>
      </c>
      <c r="F3499" s="6" t="s">
        <v>5501</v>
      </c>
      <c r="G3499" s="15" t="str">
        <f>VLOOKUP(A3499,Movie!A:D,4,FALSE)</f>
        <v>Universal</v>
      </c>
      <c r="H3499" s="14">
        <f>VLOOKUP(E3499,'Rental Transaction'!A:B,2,FALSE)</f>
        <v>302774</v>
      </c>
      <c r="I3499">
        <f t="shared" si="54"/>
        <v>2013</v>
      </c>
    </row>
    <row r="3500" spans="1:9" ht="29.25">
      <c r="A3500" s="1">
        <v>10121</v>
      </c>
      <c r="B3500" s="1">
        <v>3</v>
      </c>
      <c r="C3500" s="2">
        <v>41534</v>
      </c>
      <c r="D3500" s="1" t="s">
        <v>2005</v>
      </c>
      <c r="E3500" s="1">
        <v>101969</v>
      </c>
      <c r="F3500" s="6" t="s">
        <v>5502</v>
      </c>
      <c r="G3500" s="15" t="str">
        <f>VLOOKUP(A3500,Movie!A:D,4,FALSE)</f>
        <v>Weinstein Company</v>
      </c>
      <c r="H3500" s="14">
        <f>VLOOKUP(E3500,'Rental Transaction'!A:B,2,FALSE)</f>
        <v>302774</v>
      </c>
      <c r="I3500">
        <f t="shared" si="54"/>
        <v>2013</v>
      </c>
    </row>
    <row r="3501" spans="1:9">
      <c r="A3501" s="1">
        <v>10184</v>
      </c>
      <c r="B3501" s="1">
        <v>4</v>
      </c>
      <c r="C3501" s="2">
        <v>41533</v>
      </c>
      <c r="D3501" s="1" t="s">
        <v>2002</v>
      </c>
      <c r="E3501" s="1">
        <v>101970</v>
      </c>
      <c r="F3501" s="6" t="s">
        <v>5503</v>
      </c>
      <c r="G3501" s="15" t="str">
        <f>VLOOKUP(A3501,Movie!A:D,4,FALSE)</f>
        <v>Universal</v>
      </c>
      <c r="H3501" s="14">
        <f>VLOOKUP(E3501,'Rental Transaction'!A:B,2,FALSE)</f>
        <v>806545</v>
      </c>
      <c r="I3501">
        <f t="shared" si="54"/>
        <v>2013</v>
      </c>
    </row>
    <row r="3502" spans="1:9">
      <c r="A3502" s="1">
        <v>10032</v>
      </c>
      <c r="B3502" s="1">
        <v>2</v>
      </c>
      <c r="C3502" s="2">
        <v>41533</v>
      </c>
      <c r="D3502" s="1" t="s">
        <v>2005</v>
      </c>
      <c r="E3502" s="1">
        <v>101971</v>
      </c>
      <c r="F3502" s="6" t="s">
        <v>5504</v>
      </c>
      <c r="G3502" s="15" t="str">
        <f>VLOOKUP(A3502,Movie!A:D,4,FALSE)</f>
        <v>Sony</v>
      </c>
      <c r="H3502" s="14">
        <f>VLOOKUP(E3502,'Rental Transaction'!A:B,2,FALSE)</f>
        <v>586201</v>
      </c>
      <c r="I3502">
        <f t="shared" si="54"/>
        <v>2013</v>
      </c>
    </row>
    <row r="3503" spans="1:9">
      <c r="A3503" s="1">
        <v>10053</v>
      </c>
      <c r="B3503" s="1">
        <v>9</v>
      </c>
      <c r="C3503" s="2">
        <v>41533</v>
      </c>
      <c r="D3503" s="1" t="s">
        <v>2005</v>
      </c>
      <c r="E3503" s="1">
        <v>101971</v>
      </c>
      <c r="F3503" s="6" t="s">
        <v>5505</v>
      </c>
      <c r="G3503" s="15" t="str">
        <f>VLOOKUP(A3503,Movie!A:D,4,FALSE)</f>
        <v>Sony</v>
      </c>
      <c r="H3503" s="14">
        <f>VLOOKUP(E3503,'Rental Transaction'!A:B,2,FALSE)</f>
        <v>586201</v>
      </c>
      <c r="I3503">
        <f t="shared" si="54"/>
        <v>2013</v>
      </c>
    </row>
    <row r="3504" spans="1:9">
      <c r="A3504" s="1">
        <v>10243</v>
      </c>
      <c r="B3504" s="1">
        <v>1</v>
      </c>
      <c r="C3504" s="2">
        <v>41533</v>
      </c>
      <c r="D3504" s="1" t="s">
        <v>2002</v>
      </c>
      <c r="E3504" s="1">
        <v>101971</v>
      </c>
      <c r="F3504" s="6" t="s">
        <v>5506</v>
      </c>
      <c r="G3504" s="15" t="str">
        <f>VLOOKUP(A3504,Movie!A:D,4,FALSE)</f>
        <v>Fox</v>
      </c>
      <c r="H3504" s="14">
        <f>VLOOKUP(E3504,'Rental Transaction'!A:B,2,FALSE)</f>
        <v>586201</v>
      </c>
      <c r="I3504">
        <f t="shared" si="54"/>
        <v>2013</v>
      </c>
    </row>
    <row r="3505" spans="1:9">
      <c r="A3505" s="1">
        <v>10061</v>
      </c>
      <c r="B3505" s="1">
        <v>1</v>
      </c>
      <c r="C3505" s="2">
        <v>41534</v>
      </c>
      <c r="D3505" s="1" t="s">
        <v>2005</v>
      </c>
      <c r="E3505" s="1">
        <v>101972</v>
      </c>
      <c r="F3505" s="6" t="s">
        <v>5507</v>
      </c>
      <c r="G3505" s="15" t="str">
        <f>VLOOKUP(A3505,Movie!A:D,4,FALSE)</f>
        <v>Fox</v>
      </c>
      <c r="H3505" s="14">
        <f>VLOOKUP(E3505,'Rental Transaction'!A:B,2,FALSE)</f>
        <v>517477</v>
      </c>
      <c r="I3505">
        <f t="shared" si="54"/>
        <v>2013</v>
      </c>
    </row>
    <row r="3506" spans="1:9">
      <c r="A3506" s="1">
        <v>10260</v>
      </c>
      <c r="B3506" s="1">
        <v>2</v>
      </c>
      <c r="C3506" s="2">
        <v>41533</v>
      </c>
      <c r="D3506" s="1" t="s">
        <v>2005</v>
      </c>
      <c r="E3506" s="1">
        <v>101972</v>
      </c>
      <c r="F3506" s="6" t="s">
        <v>5508</v>
      </c>
      <c r="G3506" s="15" t="str">
        <f>VLOOKUP(A3506,Movie!A:D,4,FALSE)</f>
        <v>Sony</v>
      </c>
      <c r="H3506" s="14">
        <f>VLOOKUP(E3506,'Rental Transaction'!A:B,2,FALSE)</f>
        <v>517477</v>
      </c>
      <c r="I3506">
        <f t="shared" si="54"/>
        <v>2013</v>
      </c>
    </row>
    <row r="3507" spans="1:9">
      <c r="A3507" s="1">
        <v>10113</v>
      </c>
      <c r="B3507" s="1">
        <v>4</v>
      </c>
      <c r="C3507" s="2">
        <v>41533</v>
      </c>
      <c r="D3507" s="1" t="s">
        <v>2002</v>
      </c>
      <c r="E3507" s="1">
        <v>101972</v>
      </c>
      <c r="F3507" s="6" t="s">
        <v>5509</v>
      </c>
      <c r="G3507" s="15" t="str">
        <f>VLOOKUP(A3507,Movie!A:D,4,FALSE)</f>
        <v>Lionsgate</v>
      </c>
      <c r="H3507" s="14">
        <f>VLOOKUP(E3507,'Rental Transaction'!A:B,2,FALSE)</f>
        <v>517477</v>
      </c>
      <c r="I3507">
        <f t="shared" si="54"/>
        <v>2013</v>
      </c>
    </row>
    <row r="3508" spans="1:9">
      <c r="A3508" s="1">
        <v>10192</v>
      </c>
      <c r="B3508" s="1">
        <v>6</v>
      </c>
      <c r="C3508" s="2">
        <v>41533</v>
      </c>
      <c r="D3508" s="1" t="s">
        <v>2002</v>
      </c>
      <c r="E3508" s="1">
        <v>101972</v>
      </c>
      <c r="F3508" s="6" t="s">
        <v>5510</v>
      </c>
      <c r="G3508" s="15" t="str">
        <f>VLOOKUP(A3508,Movie!A:D,4,FALSE)</f>
        <v>Universal</v>
      </c>
      <c r="H3508" s="14">
        <f>VLOOKUP(E3508,'Rental Transaction'!A:B,2,FALSE)</f>
        <v>517477</v>
      </c>
      <c r="I3508">
        <f t="shared" si="54"/>
        <v>2013</v>
      </c>
    </row>
    <row r="3509" spans="1:9">
      <c r="A3509" s="1">
        <v>10202</v>
      </c>
      <c r="B3509" s="1">
        <v>2</v>
      </c>
      <c r="C3509" s="2">
        <v>41533</v>
      </c>
      <c r="D3509" s="1" t="s">
        <v>2002</v>
      </c>
      <c r="E3509" s="1">
        <v>101973</v>
      </c>
      <c r="F3509" s="6" t="s">
        <v>5511</v>
      </c>
      <c r="G3509" s="15" t="str">
        <f>VLOOKUP(A3509,Movie!A:D,4,FALSE)</f>
        <v>Warner Brothers</v>
      </c>
      <c r="H3509" s="14">
        <f>VLOOKUP(E3509,'Rental Transaction'!A:B,2,FALSE)</f>
        <v>110363</v>
      </c>
      <c r="I3509">
        <f t="shared" si="54"/>
        <v>2013</v>
      </c>
    </row>
    <row r="3510" spans="1:9">
      <c r="A3510" s="1">
        <v>10236</v>
      </c>
      <c r="B3510" s="1">
        <v>6</v>
      </c>
      <c r="C3510" s="2">
        <v>41534</v>
      </c>
      <c r="D3510" s="1" t="s">
        <v>2005</v>
      </c>
      <c r="E3510" s="1">
        <v>101973</v>
      </c>
      <c r="F3510" s="6" t="s">
        <v>5512</v>
      </c>
      <c r="G3510" s="15" t="str">
        <f>VLOOKUP(A3510,Movie!A:D,4,FALSE)</f>
        <v>Lionsgate</v>
      </c>
      <c r="H3510" s="14">
        <f>VLOOKUP(E3510,'Rental Transaction'!A:B,2,FALSE)</f>
        <v>110363</v>
      </c>
      <c r="I3510">
        <f t="shared" si="54"/>
        <v>2013</v>
      </c>
    </row>
    <row r="3511" spans="1:9">
      <c r="A3511" s="1">
        <v>10219</v>
      </c>
      <c r="B3511" s="1">
        <v>8</v>
      </c>
      <c r="C3511" s="2">
        <v>41533</v>
      </c>
      <c r="D3511" s="1" t="s">
        <v>2005</v>
      </c>
      <c r="E3511" s="1">
        <v>101974</v>
      </c>
      <c r="F3511" s="6" t="s">
        <v>5513</v>
      </c>
      <c r="G3511" s="15" t="str">
        <f>VLOOKUP(A3511,Movie!A:D,4,FALSE)</f>
        <v>Paramount</v>
      </c>
      <c r="H3511" s="14">
        <f>VLOOKUP(E3511,'Rental Transaction'!A:B,2,FALSE)</f>
        <v>927518</v>
      </c>
      <c r="I3511">
        <f t="shared" si="54"/>
        <v>2013</v>
      </c>
    </row>
    <row r="3512" spans="1:9">
      <c r="A3512" s="1">
        <v>10179</v>
      </c>
      <c r="B3512" s="1">
        <v>6</v>
      </c>
      <c r="C3512" s="2">
        <v>41533</v>
      </c>
      <c r="D3512" s="1" t="s">
        <v>2005</v>
      </c>
      <c r="E3512" s="1">
        <v>101975</v>
      </c>
      <c r="F3512" s="6" t="s">
        <v>5514</v>
      </c>
      <c r="G3512" s="15" t="str">
        <f>VLOOKUP(A3512,Movie!A:D,4,FALSE)</f>
        <v>Warner Brothers</v>
      </c>
      <c r="H3512" s="14">
        <f>VLOOKUP(E3512,'Rental Transaction'!A:B,2,FALSE)</f>
        <v>815980</v>
      </c>
      <c r="I3512">
        <f t="shared" si="54"/>
        <v>2013</v>
      </c>
    </row>
    <row r="3513" spans="1:9">
      <c r="A3513" s="1">
        <v>10100</v>
      </c>
      <c r="B3513" s="1">
        <v>3</v>
      </c>
      <c r="C3513" s="2">
        <v>41533</v>
      </c>
      <c r="D3513" s="1" t="s">
        <v>2002</v>
      </c>
      <c r="E3513" s="1">
        <v>101975</v>
      </c>
      <c r="F3513" s="6" t="s">
        <v>5515</v>
      </c>
      <c r="G3513" s="15" t="str">
        <f>VLOOKUP(A3513,Movie!A:D,4,FALSE)</f>
        <v>Fox</v>
      </c>
      <c r="H3513" s="14">
        <f>VLOOKUP(E3513,'Rental Transaction'!A:B,2,FALSE)</f>
        <v>815980</v>
      </c>
      <c r="I3513">
        <f t="shared" si="54"/>
        <v>2013</v>
      </c>
    </row>
    <row r="3514" spans="1:9" ht="29.25">
      <c r="A3514" s="1">
        <v>10285</v>
      </c>
      <c r="B3514" s="1">
        <v>6</v>
      </c>
      <c r="C3514" s="2">
        <v>41533</v>
      </c>
      <c r="D3514" s="1" t="s">
        <v>2002</v>
      </c>
      <c r="E3514" s="1">
        <v>101976</v>
      </c>
      <c r="F3514" s="6" t="s">
        <v>5516</v>
      </c>
      <c r="G3514" s="15" t="str">
        <f>VLOOKUP(A3514,Movie!A:D,4,FALSE)</f>
        <v>Roadside Attractions</v>
      </c>
      <c r="H3514" s="14">
        <f>VLOOKUP(E3514,'Rental Transaction'!A:B,2,FALSE)</f>
        <v>736500</v>
      </c>
      <c r="I3514">
        <f t="shared" si="54"/>
        <v>2013</v>
      </c>
    </row>
    <row r="3515" spans="1:9" ht="29.25">
      <c r="A3515" s="1">
        <v>10095</v>
      </c>
      <c r="B3515" s="1">
        <v>4</v>
      </c>
      <c r="C3515" s="2">
        <v>41533</v>
      </c>
      <c r="D3515" s="1" t="s">
        <v>2005</v>
      </c>
      <c r="E3515" s="1">
        <v>101977</v>
      </c>
      <c r="F3515" s="6" t="s">
        <v>5517</v>
      </c>
      <c r="G3515" s="15" t="str">
        <f>VLOOKUP(A3515,Movie!A:D,4,FALSE)</f>
        <v>Weinstein Company</v>
      </c>
      <c r="H3515" s="14">
        <f>VLOOKUP(E3515,'Rental Transaction'!A:B,2,FALSE)</f>
        <v>296353</v>
      </c>
      <c r="I3515">
        <f t="shared" si="54"/>
        <v>2013</v>
      </c>
    </row>
    <row r="3516" spans="1:9">
      <c r="A3516" s="1">
        <v>10288</v>
      </c>
      <c r="B3516" s="1">
        <v>9</v>
      </c>
      <c r="C3516" s="2">
        <v>41533</v>
      </c>
      <c r="D3516" s="1" t="s">
        <v>2002</v>
      </c>
      <c r="E3516" s="1">
        <v>101978</v>
      </c>
      <c r="F3516" s="6" t="s">
        <v>5518</v>
      </c>
      <c r="G3516" s="15" t="str">
        <f>VLOOKUP(A3516,Movie!A:D,4,FALSE)</f>
        <v>Relativity</v>
      </c>
      <c r="H3516" s="14">
        <f>VLOOKUP(E3516,'Rental Transaction'!A:B,2,FALSE)</f>
        <v>378374</v>
      </c>
      <c r="I3516">
        <f t="shared" si="54"/>
        <v>2013</v>
      </c>
    </row>
    <row r="3517" spans="1:9">
      <c r="A3517" s="1">
        <v>10213</v>
      </c>
      <c r="B3517" s="1">
        <v>2</v>
      </c>
      <c r="C3517" s="2">
        <v>41533</v>
      </c>
      <c r="D3517" s="1" t="s">
        <v>2005</v>
      </c>
      <c r="E3517" s="1">
        <v>101978</v>
      </c>
      <c r="F3517" s="6" t="s">
        <v>5519</v>
      </c>
      <c r="G3517" s="15" t="str">
        <f>VLOOKUP(A3517,Movie!A:D,4,FALSE)</f>
        <v>Sony</v>
      </c>
      <c r="H3517" s="14">
        <f>VLOOKUP(E3517,'Rental Transaction'!A:B,2,FALSE)</f>
        <v>378374</v>
      </c>
      <c r="I3517">
        <f t="shared" si="54"/>
        <v>2013</v>
      </c>
    </row>
    <row r="3518" spans="1:9">
      <c r="A3518" s="1">
        <v>10270</v>
      </c>
      <c r="B3518" s="1">
        <v>2</v>
      </c>
      <c r="C3518" s="2">
        <v>41533</v>
      </c>
      <c r="D3518" s="1" t="s">
        <v>2002</v>
      </c>
      <c r="E3518" s="1">
        <v>101978</v>
      </c>
      <c r="F3518" s="6" t="s">
        <v>5520</v>
      </c>
      <c r="G3518" s="15" t="str">
        <f>VLOOKUP(A3518,Movie!A:D,4,FALSE)</f>
        <v>Fox</v>
      </c>
      <c r="H3518" s="14">
        <f>VLOOKUP(E3518,'Rental Transaction'!A:B,2,FALSE)</f>
        <v>378374</v>
      </c>
      <c r="I3518">
        <f t="shared" si="54"/>
        <v>2013</v>
      </c>
    </row>
    <row r="3519" spans="1:9">
      <c r="A3519" s="1">
        <v>10078</v>
      </c>
      <c r="B3519" s="1">
        <v>9</v>
      </c>
      <c r="C3519" s="2">
        <v>41534</v>
      </c>
      <c r="D3519" s="1" t="s">
        <v>2002</v>
      </c>
      <c r="E3519" s="1">
        <v>101979</v>
      </c>
      <c r="F3519" s="6" t="s">
        <v>5521</v>
      </c>
      <c r="G3519" s="15" t="str">
        <f>VLOOKUP(A3519,Movie!A:D,4,FALSE)</f>
        <v>Paramount</v>
      </c>
      <c r="H3519" s="14">
        <f>VLOOKUP(E3519,'Rental Transaction'!A:B,2,FALSE)</f>
        <v>442691</v>
      </c>
      <c r="I3519">
        <f t="shared" si="54"/>
        <v>2013</v>
      </c>
    </row>
    <row r="3520" spans="1:9">
      <c r="A3520" s="1">
        <v>10040</v>
      </c>
      <c r="B3520" s="1">
        <v>1</v>
      </c>
      <c r="C3520" s="2">
        <v>41534</v>
      </c>
      <c r="D3520" s="1" t="s">
        <v>2005</v>
      </c>
      <c r="E3520" s="1">
        <v>101979</v>
      </c>
      <c r="F3520" s="6" t="s">
        <v>5522</v>
      </c>
      <c r="G3520" s="15" t="str">
        <f>VLOOKUP(A3520,Movie!A:D,4,FALSE)</f>
        <v>Universal</v>
      </c>
      <c r="H3520" s="14">
        <f>VLOOKUP(E3520,'Rental Transaction'!A:B,2,FALSE)</f>
        <v>442691</v>
      </c>
      <c r="I3520">
        <f t="shared" si="54"/>
        <v>2013</v>
      </c>
    </row>
    <row r="3521" spans="1:9">
      <c r="A3521" s="1">
        <v>10111</v>
      </c>
      <c r="B3521" s="1">
        <v>6</v>
      </c>
      <c r="C3521" s="2">
        <v>41533</v>
      </c>
      <c r="D3521" s="1" t="s">
        <v>2002</v>
      </c>
      <c r="E3521" s="1">
        <v>101980</v>
      </c>
      <c r="F3521" s="6" t="s">
        <v>5523</v>
      </c>
      <c r="G3521" s="15" t="str">
        <f>VLOOKUP(A3521,Movie!A:D,4,FALSE)</f>
        <v>Fox</v>
      </c>
      <c r="H3521" s="14">
        <f>VLOOKUP(E3521,'Rental Transaction'!A:B,2,FALSE)</f>
        <v>191050</v>
      </c>
      <c r="I3521">
        <f t="shared" si="54"/>
        <v>2013</v>
      </c>
    </row>
    <row r="3522" spans="1:9">
      <c r="A3522" s="1">
        <v>10030</v>
      </c>
      <c r="B3522" s="1">
        <v>6</v>
      </c>
      <c r="C3522" s="2">
        <v>41535</v>
      </c>
      <c r="D3522" s="1" t="s">
        <v>2002</v>
      </c>
      <c r="E3522" s="1">
        <v>101981</v>
      </c>
      <c r="F3522" s="6" t="s">
        <v>5524</v>
      </c>
      <c r="G3522" s="15" t="str">
        <f>VLOOKUP(A3522,Movie!A:D,4,FALSE)</f>
        <v>Warner Brothers</v>
      </c>
      <c r="H3522" s="14">
        <f>VLOOKUP(E3522,'Rental Transaction'!A:B,2,FALSE)</f>
        <v>358901</v>
      </c>
      <c r="I3522">
        <f t="shared" si="54"/>
        <v>2013</v>
      </c>
    </row>
    <row r="3523" spans="1:9">
      <c r="A3523" s="1">
        <v>10244</v>
      </c>
      <c r="B3523" s="1">
        <v>4</v>
      </c>
      <c r="C3523" s="2">
        <v>41533</v>
      </c>
      <c r="D3523" s="1" t="s">
        <v>2002</v>
      </c>
      <c r="E3523" s="1">
        <v>101981</v>
      </c>
      <c r="F3523" s="6" t="s">
        <v>5525</v>
      </c>
      <c r="G3523" s="15" t="str">
        <f>VLOOKUP(A3523,Movie!A:D,4,FALSE)</f>
        <v>Sony</v>
      </c>
      <c r="H3523" s="14">
        <f>VLOOKUP(E3523,'Rental Transaction'!A:B,2,FALSE)</f>
        <v>358901</v>
      </c>
      <c r="I3523">
        <f t="shared" ref="I3523:I3586" si="55">YEAR(C3523)</f>
        <v>2013</v>
      </c>
    </row>
    <row r="3524" spans="1:9">
      <c r="A3524" s="1">
        <v>10018</v>
      </c>
      <c r="B3524" s="1">
        <v>8</v>
      </c>
      <c r="C3524" s="2">
        <v>41533</v>
      </c>
      <c r="D3524" s="1" t="s">
        <v>2005</v>
      </c>
      <c r="E3524" s="1">
        <v>101981</v>
      </c>
      <c r="F3524" s="6" t="s">
        <v>5526</v>
      </c>
      <c r="G3524" s="15" t="str">
        <f>VLOOKUP(A3524,Movie!A:D,4,FALSE)</f>
        <v>Fox</v>
      </c>
      <c r="H3524" s="14">
        <f>VLOOKUP(E3524,'Rental Transaction'!A:B,2,FALSE)</f>
        <v>358901</v>
      </c>
      <c r="I3524">
        <f t="shared" si="55"/>
        <v>2013</v>
      </c>
    </row>
    <row r="3525" spans="1:9">
      <c r="A3525" s="1">
        <v>10217</v>
      </c>
      <c r="B3525" s="1">
        <v>6</v>
      </c>
      <c r="C3525" s="2">
        <v>41533</v>
      </c>
      <c r="D3525" s="1" t="s">
        <v>2002</v>
      </c>
      <c r="E3525" s="1">
        <v>101981</v>
      </c>
      <c r="F3525" s="6" t="s">
        <v>5527</v>
      </c>
      <c r="G3525" s="15" t="str">
        <f>VLOOKUP(A3525,Movie!A:D,4,FALSE)</f>
        <v>Warner Brothers</v>
      </c>
      <c r="H3525" s="14">
        <f>VLOOKUP(E3525,'Rental Transaction'!A:B,2,FALSE)</f>
        <v>358901</v>
      </c>
      <c r="I3525">
        <f t="shared" si="55"/>
        <v>2013</v>
      </c>
    </row>
    <row r="3526" spans="1:9">
      <c r="A3526" s="1">
        <v>10089</v>
      </c>
      <c r="B3526" s="1">
        <v>2</v>
      </c>
      <c r="C3526" s="2">
        <v>41533</v>
      </c>
      <c r="D3526" s="1" t="s">
        <v>2002</v>
      </c>
      <c r="E3526" s="1">
        <v>101982</v>
      </c>
      <c r="F3526" s="6" t="s">
        <v>5528</v>
      </c>
      <c r="G3526" s="15" t="str">
        <f>VLOOKUP(A3526,Movie!A:D,4,FALSE)</f>
        <v>Sony</v>
      </c>
      <c r="H3526" s="14">
        <f>VLOOKUP(E3526,'Rental Transaction'!A:B,2,FALSE)</f>
        <v>226209</v>
      </c>
      <c r="I3526">
        <f t="shared" si="55"/>
        <v>2013</v>
      </c>
    </row>
    <row r="3527" spans="1:9">
      <c r="A3527" s="1">
        <v>10000</v>
      </c>
      <c r="B3527" s="1">
        <v>4</v>
      </c>
      <c r="C3527" s="2">
        <v>41533</v>
      </c>
      <c r="D3527" s="1" t="s">
        <v>2005</v>
      </c>
      <c r="E3527" s="1">
        <v>101982</v>
      </c>
      <c r="F3527" s="6" t="s">
        <v>5529</v>
      </c>
      <c r="G3527" s="15" t="str">
        <f>VLOOKUP(A3527,Movie!A:D,4,FALSE)</f>
        <v>TriStar</v>
      </c>
      <c r="H3527" s="14">
        <f>VLOOKUP(E3527,'Rental Transaction'!A:B,2,FALSE)</f>
        <v>226209</v>
      </c>
      <c r="I3527">
        <f t="shared" si="55"/>
        <v>2013</v>
      </c>
    </row>
    <row r="3528" spans="1:9">
      <c r="A3528" s="1">
        <v>10101</v>
      </c>
      <c r="B3528" s="1">
        <v>6</v>
      </c>
      <c r="C3528" s="2">
        <v>41533</v>
      </c>
      <c r="D3528" s="1" t="s">
        <v>2005</v>
      </c>
      <c r="E3528" s="1">
        <v>101983</v>
      </c>
      <c r="F3528" s="6" t="s">
        <v>5530</v>
      </c>
      <c r="G3528" s="15" t="str">
        <f>VLOOKUP(A3528,Movie!A:D,4,FALSE)</f>
        <v>Sony</v>
      </c>
      <c r="H3528" s="14">
        <f>VLOOKUP(E3528,'Rental Transaction'!A:B,2,FALSE)</f>
        <v>580783</v>
      </c>
      <c r="I3528">
        <f t="shared" si="55"/>
        <v>2013</v>
      </c>
    </row>
    <row r="3529" spans="1:9">
      <c r="A3529" s="1">
        <v>10030</v>
      </c>
      <c r="B3529" s="1">
        <v>2</v>
      </c>
      <c r="C3529" s="2">
        <v>41533</v>
      </c>
      <c r="D3529" s="1" t="s">
        <v>2005</v>
      </c>
      <c r="E3529" s="1">
        <v>101983</v>
      </c>
      <c r="F3529" s="6" t="s">
        <v>5531</v>
      </c>
      <c r="G3529" s="15" t="str">
        <f>VLOOKUP(A3529,Movie!A:D,4,FALSE)</f>
        <v>Warner Brothers</v>
      </c>
      <c r="H3529" s="14">
        <f>VLOOKUP(E3529,'Rental Transaction'!A:B,2,FALSE)</f>
        <v>580783</v>
      </c>
      <c r="I3529">
        <f t="shared" si="55"/>
        <v>2013</v>
      </c>
    </row>
    <row r="3530" spans="1:9">
      <c r="A3530" s="1">
        <v>10253</v>
      </c>
      <c r="B3530" s="1">
        <v>8</v>
      </c>
      <c r="C3530" s="2">
        <v>41533</v>
      </c>
      <c r="D3530" s="1" t="s">
        <v>2002</v>
      </c>
      <c r="E3530" s="1">
        <v>101984</v>
      </c>
      <c r="F3530" s="6" t="s">
        <v>5532</v>
      </c>
      <c r="G3530" s="15" t="str">
        <f>VLOOKUP(A3530,Movie!A:D,4,FALSE)</f>
        <v>Buena Vista</v>
      </c>
      <c r="H3530" s="14">
        <f>VLOOKUP(E3530,'Rental Transaction'!A:B,2,FALSE)</f>
        <v>448739</v>
      </c>
      <c r="I3530">
        <f t="shared" si="55"/>
        <v>2013</v>
      </c>
    </row>
    <row r="3531" spans="1:9">
      <c r="A3531" s="1">
        <v>10008</v>
      </c>
      <c r="B3531" s="1">
        <v>9</v>
      </c>
      <c r="C3531" s="2">
        <v>41533</v>
      </c>
      <c r="D3531" s="1" t="s">
        <v>2005</v>
      </c>
      <c r="E3531" s="1">
        <v>101984</v>
      </c>
      <c r="F3531" s="6" t="s">
        <v>5533</v>
      </c>
      <c r="G3531" s="15" t="str">
        <f>VLOOKUP(A3531,Movie!A:D,4,FALSE)</f>
        <v>Sony</v>
      </c>
      <c r="H3531" s="14">
        <f>VLOOKUP(E3531,'Rental Transaction'!A:B,2,FALSE)</f>
        <v>448739</v>
      </c>
      <c r="I3531">
        <f t="shared" si="55"/>
        <v>2013</v>
      </c>
    </row>
    <row r="3532" spans="1:9">
      <c r="A3532" s="1">
        <v>10299</v>
      </c>
      <c r="B3532" s="1">
        <v>8</v>
      </c>
      <c r="C3532" s="2">
        <v>41535</v>
      </c>
      <c r="D3532" s="1" t="s">
        <v>2002</v>
      </c>
      <c r="E3532" s="1">
        <v>101985</v>
      </c>
      <c r="F3532" s="6" t="s">
        <v>5534</v>
      </c>
      <c r="G3532" s="15" t="str">
        <f>VLOOKUP(A3532,Movie!A:D,4,FALSE)</f>
        <v>Radius-TWC</v>
      </c>
      <c r="H3532" s="14">
        <f>VLOOKUP(E3532,'Rental Transaction'!A:B,2,FALSE)</f>
        <v>585972</v>
      </c>
      <c r="I3532">
        <f t="shared" si="55"/>
        <v>2013</v>
      </c>
    </row>
    <row r="3533" spans="1:9">
      <c r="A3533" s="1">
        <v>10097</v>
      </c>
      <c r="B3533" s="1">
        <v>2</v>
      </c>
      <c r="C3533" s="2">
        <v>41534</v>
      </c>
      <c r="D3533" s="1" t="s">
        <v>2005</v>
      </c>
      <c r="E3533" s="1">
        <v>101985</v>
      </c>
      <c r="F3533" s="6" t="s">
        <v>5535</v>
      </c>
      <c r="G3533" s="15" t="str">
        <f>VLOOKUP(A3533,Movie!A:D,4,FALSE)</f>
        <v>Screen Gems</v>
      </c>
      <c r="H3533" s="14">
        <f>VLOOKUP(E3533,'Rental Transaction'!A:B,2,FALSE)</f>
        <v>585972</v>
      </c>
      <c r="I3533">
        <f t="shared" si="55"/>
        <v>2013</v>
      </c>
    </row>
    <row r="3534" spans="1:9">
      <c r="A3534" s="1">
        <v>10120</v>
      </c>
      <c r="B3534" s="1">
        <v>1</v>
      </c>
      <c r="C3534" s="2">
        <v>41534</v>
      </c>
      <c r="D3534" s="1" t="s">
        <v>2002</v>
      </c>
      <c r="E3534" s="1">
        <v>101986</v>
      </c>
      <c r="F3534" s="6" t="s">
        <v>5536</v>
      </c>
      <c r="G3534" s="15" t="str">
        <f>VLOOKUP(A3534,Movie!A:D,4,FALSE)</f>
        <v>Focus</v>
      </c>
      <c r="H3534" s="14">
        <f>VLOOKUP(E3534,'Rental Transaction'!A:B,2,FALSE)</f>
        <v>832914</v>
      </c>
      <c r="I3534">
        <f t="shared" si="55"/>
        <v>2013</v>
      </c>
    </row>
    <row r="3535" spans="1:9" ht="29.25">
      <c r="A3535" s="1">
        <v>10264</v>
      </c>
      <c r="B3535" s="1">
        <v>7</v>
      </c>
      <c r="C3535" s="2">
        <v>41534</v>
      </c>
      <c r="D3535" s="1" t="s">
        <v>2002</v>
      </c>
      <c r="E3535" s="1">
        <v>101986</v>
      </c>
      <c r="F3535" s="6" t="s">
        <v>5537</v>
      </c>
      <c r="G3535" s="15" t="str">
        <f>VLOOKUP(A3535,Movie!A:D,4,FALSE)</f>
        <v>Weinstein Company</v>
      </c>
      <c r="H3535" s="14">
        <f>VLOOKUP(E3535,'Rental Transaction'!A:B,2,FALSE)</f>
        <v>832914</v>
      </c>
      <c r="I3535">
        <f t="shared" si="55"/>
        <v>2013</v>
      </c>
    </row>
    <row r="3536" spans="1:9">
      <c r="A3536" s="1">
        <v>10066</v>
      </c>
      <c r="B3536" s="1">
        <v>4</v>
      </c>
      <c r="C3536" s="2">
        <v>41534</v>
      </c>
      <c r="D3536" s="1" t="s">
        <v>2002</v>
      </c>
      <c r="E3536" s="1">
        <v>101987</v>
      </c>
      <c r="F3536" s="6" t="s">
        <v>5538</v>
      </c>
      <c r="G3536" s="15" t="str">
        <f>VLOOKUP(A3536,Movie!A:D,4,FALSE)</f>
        <v>Buena Vista</v>
      </c>
      <c r="H3536" s="14">
        <f>VLOOKUP(E3536,'Rental Transaction'!A:B,2,FALSE)</f>
        <v>976778</v>
      </c>
      <c r="I3536">
        <f t="shared" si="55"/>
        <v>2013</v>
      </c>
    </row>
    <row r="3537" spans="1:9">
      <c r="A3537" s="1">
        <v>10063</v>
      </c>
      <c r="B3537" s="1">
        <v>1</v>
      </c>
      <c r="C3537" s="2">
        <v>41534</v>
      </c>
      <c r="D3537" s="1" t="s">
        <v>2005</v>
      </c>
      <c r="E3537" s="1">
        <v>101988</v>
      </c>
      <c r="F3537" s="6" t="s">
        <v>5539</v>
      </c>
      <c r="G3537" s="15" t="str">
        <f>VLOOKUP(A3537,Movie!A:D,4,FALSE)</f>
        <v>CBS Films</v>
      </c>
      <c r="H3537" s="14">
        <f>VLOOKUP(E3537,'Rental Transaction'!A:B,2,FALSE)</f>
        <v>663029</v>
      </c>
      <c r="I3537">
        <f t="shared" si="55"/>
        <v>2013</v>
      </c>
    </row>
    <row r="3538" spans="1:9">
      <c r="A3538" s="1">
        <v>10098</v>
      </c>
      <c r="B3538" s="1">
        <v>4</v>
      </c>
      <c r="C3538" s="2">
        <v>41534</v>
      </c>
      <c r="D3538" s="1" t="s">
        <v>2005</v>
      </c>
      <c r="E3538" s="1">
        <v>101989</v>
      </c>
      <c r="F3538" s="6" t="s">
        <v>5540</v>
      </c>
      <c r="G3538" s="15" t="str">
        <f>VLOOKUP(A3538,Movie!A:D,4,FALSE)</f>
        <v>Warner Brothers</v>
      </c>
      <c r="H3538" s="14">
        <f>VLOOKUP(E3538,'Rental Transaction'!A:B,2,FALSE)</f>
        <v>147216</v>
      </c>
      <c r="I3538">
        <f t="shared" si="55"/>
        <v>2013</v>
      </c>
    </row>
    <row r="3539" spans="1:9" ht="29.25">
      <c r="A3539" s="1">
        <v>10154</v>
      </c>
      <c r="B3539" s="1">
        <v>6</v>
      </c>
      <c r="C3539" s="2">
        <v>41535</v>
      </c>
      <c r="D3539" s="1" t="s">
        <v>2002</v>
      </c>
      <c r="E3539" s="1">
        <v>101989</v>
      </c>
      <c r="F3539" s="6" t="s">
        <v>5541</v>
      </c>
      <c r="G3539" s="15" t="str">
        <f>VLOOKUP(A3539,Movie!A:D,4,FALSE)</f>
        <v>Summit Entertainment</v>
      </c>
      <c r="H3539" s="14">
        <f>VLOOKUP(E3539,'Rental Transaction'!A:B,2,FALSE)</f>
        <v>147216</v>
      </c>
      <c r="I3539">
        <f t="shared" si="55"/>
        <v>2013</v>
      </c>
    </row>
    <row r="3540" spans="1:9">
      <c r="A3540" s="1">
        <v>10217</v>
      </c>
      <c r="B3540" s="1">
        <v>7</v>
      </c>
      <c r="C3540" s="2">
        <v>41535</v>
      </c>
      <c r="D3540" s="1" t="s">
        <v>2005</v>
      </c>
      <c r="E3540" s="1">
        <v>101990</v>
      </c>
      <c r="F3540" s="6" t="s">
        <v>5542</v>
      </c>
      <c r="G3540" s="15" t="str">
        <f>VLOOKUP(A3540,Movie!A:D,4,FALSE)</f>
        <v>Warner Brothers</v>
      </c>
      <c r="H3540" s="14">
        <f>VLOOKUP(E3540,'Rental Transaction'!A:B,2,FALSE)</f>
        <v>889686</v>
      </c>
      <c r="I3540">
        <f t="shared" si="55"/>
        <v>2013</v>
      </c>
    </row>
    <row r="3541" spans="1:9">
      <c r="A3541" s="1">
        <v>10262</v>
      </c>
      <c r="B3541" s="1">
        <v>9</v>
      </c>
      <c r="C3541" s="2">
        <v>41534</v>
      </c>
      <c r="D3541" s="1" t="s">
        <v>2005</v>
      </c>
      <c r="E3541" s="1">
        <v>101991</v>
      </c>
      <c r="F3541" s="6" t="s">
        <v>5543</v>
      </c>
      <c r="G3541" s="15" t="str">
        <f>VLOOKUP(A3541,Movie!A:D,4,FALSE)</f>
        <v>Lionsgate</v>
      </c>
      <c r="H3541" s="14">
        <f>VLOOKUP(E3541,'Rental Transaction'!A:B,2,FALSE)</f>
        <v>242720</v>
      </c>
      <c r="I3541">
        <f t="shared" si="55"/>
        <v>2013</v>
      </c>
    </row>
    <row r="3542" spans="1:9">
      <c r="A3542" s="1">
        <v>10133</v>
      </c>
      <c r="B3542" s="1">
        <v>6</v>
      </c>
      <c r="C3542" s="2">
        <v>41534</v>
      </c>
      <c r="D3542" s="1" t="s">
        <v>2005</v>
      </c>
      <c r="E3542" s="1">
        <v>101992</v>
      </c>
      <c r="F3542" s="6" t="s">
        <v>5544</v>
      </c>
      <c r="G3542" s="15" t="str">
        <f>VLOOKUP(A3542,Movie!A:D,4,FALSE)</f>
        <v>Fox</v>
      </c>
      <c r="H3542" s="14">
        <f>VLOOKUP(E3542,'Rental Transaction'!A:B,2,FALSE)</f>
        <v>230467</v>
      </c>
      <c r="I3542">
        <f t="shared" si="55"/>
        <v>2013</v>
      </c>
    </row>
    <row r="3543" spans="1:9" ht="29.25">
      <c r="A3543" s="1">
        <v>10028</v>
      </c>
      <c r="B3543" s="1">
        <v>6</v>
      </c>
      <c r="C3543" s="2">
        <v>41535</v>
      </c>
      <c r="D3543" s="1" t="s">
        <v>2002</v>
      </c>
      <c r="E3543" s="1">
        <v>101992</v>
      </c>
      <c r="F3543" s="6" t="s">
        <v>5545</v>
      </c>
      <c r="G3543" s="15" t="str">
        <f>VLOOKUP(A3543,Movie!A:D,4,FALSE)</f>
        <v>Summit Entertainment</v>
      </c>
      <c r="H3543" s="14">
        <f>VLOOKUP(E3543,'Rental Transaction'!A:B,2,FALSE)</f>
        <v>230467</v>
      </c>
      <c r="I3543">
        <f t="shared" si="55"/>
        <v>2013</v>
      </c>
    </row>
    <row r="3544" spans="1:9">
      <c r="A3544" s="1">
        <v>10117</v>
      </c>
      <c r="B3544" s="1">
        <v>1</v>
      </c>
      <c r="C3544" s="2">
        <v>41534</v>
      </c>
      <c r="D3544" s="1" t="s">
        <v>2002</v>
      </c>
      <c r="E3544" s="1">
        <v>101992</v>
      </c>
      <c r="F3544" s="6" t="s">
        <v>5546</v>
      </c>
      <c r="G3544" s="15" t="str">
        <f>VLOOKUP(A3544,Movie!A:D,4,FALSE)</f>
        <v>Sony</v>
      </c>
      <c r="H3544" s="14">
        <f>VLOOKUP(E3544,'Rental Transaction'!A:B,2,FALSE)</f>
        <v>230467</v>
      </c>
      <c r="I3544">
        <f t="shared" si="55"/>
        <v>2013</v>
      </c>
    </row>
    <row r="3545" spans="1:9">
      <c r="A3545" s="1">
        <v>10265</v>
      </c>
      <c r="B3545" s="1">
        <v>5</v>
      </c>
      <c r="C3545" s="2">
        <v>41534</v>
      </c>
      <c r="D3545" s="1" t="s">
        <v>2005</v>
      </c>
      <c r="E3545" s="1">
        <v>101992</v>
      </c>
      <c r="F3545" s="6" t="s">
        <v>5547</v>
      </c>
      <c r="G3545" s="15" t="str">
        <f>VLOOKUP(A3545,Movie!A:D,4,FALSE)</f>
        <v>Warner Brothers</v>
      </c>
      <c r="H3545" s="14">
        <f>VLOOKUP(E3545,'Rental Transaction'!A:B,2,FALSE)</f>
        <v>230467</v>
      </c>
      <c r="I3545">
        <f t="shared" si="55"/>
        <v>2013</v>
      </c>
    </row>
    <row r="3546" spans="1:9">
      <c r="A3546" s="1">
        <v>10181</v>
      </c>
      <c r="B3546" s="1">
        <v>10</v>
      </c>
      <c r="C3546" s="2">
        <v>41536</v>
      </c>
      <c r="D3546" s="1" t="s">
        <v>2002</v>
      </c>
      <c r="E3546" s="1">
        <v>101993</v>
      </c>
      <c r="F3546" s="6" t="s">
        <v>5548</v>
      </c>
      <c r="G3546" s="15" t="str">
        <f>VLOOKUP(A3546,Movie!A:D,4,FALSE)</f>
        <v>Fox</v>
      </c>
      <c r="H3546" s="14">
        <f>VLOOKUP(E3546,'Rental Transaction'!A:B,2,FALSE)</f>
        <v>549823</v>
      </c>
      <c r="I3546">
        <f t="shared" si="55"/>
        <v>2013</v>
      </c>
    </row>
    <row r="3547" spans="1:9">
      <c r="A3547" s="1">
        <v>10135</v>
      </c>
      <c r="B3547" s="1">
        <v>9</v>
      </c>
      <c r="C3547" s="2">
        <v>41534</v>
      </c>
      <c r="D3547" s="1" t="s">
        <v>2002</v>
      </c>
      <c r="E3547" s="1">
        <v>101994</v>
      </c>
      <c r="F3547" s="6" t="s">
        <v>5549</v>
      </c>
      <c r="G3547" s="15" t="str">
        <f>VLOOKUP(A3547,Movie!A:D,4,FALSE)</f>
        <v>Universal</v>
      </c>
      <c r="H3547" s="14">
        <f>VLOOKUP(E3547,'Rental Transaction'!A:B,2,FALSE)</f>
        <v>384899</v>
      </c>
      <c r="I3547">
        <f t="shared" si="55"/>
        <v>2013</v>
      </c>
    </row>
    <row r="3548" spans="1:9">
      <c r="A3548" s="1">
        <v>10181</v>
      </c>
      <c r="B3548" s="1">
        <v>6</v>
      </c>
      <c r="C3548" s="2">
        <v>41534</v>
      </c>
      <c r="D3548" s="1" t="s">
        <v>2002</v>
      </c>
      <c r="E3548" s="1">
        <v>101994</v>
      </c>
      <c r="F3548" s="6" t="s">
        <v>5550</v>
      </c>
      <c r="G3548" s="15" t="str">
        <f>VLOOKUP(A3548,Movie!A:D,4,FALSE)</f>
        <v>Fox</v>
      </c>
      <c r="H3548" s="14">
        <f>VLOOKUP(E3548,'Rental Transaction'!A:B,2,FALSE)</f>
        <v>384899</v>
      </c>
      <c r="I3548">
        <f t="shared" si="55"/>
        <v>2013</v>
      </c>
    </row>
    <row r="3549" spans="1:9">
      <c r="A3549" s="1">
        <v>10148</v>
      </c>
      <c r="B3549" s="1">
        <v>7</v>
      </c>
      <c r="C3549" s="2">
        <v>41534</v>
      </c>
      <c r="D3549" s="1" t="s">
        <v>2005</v>
      </c>
      <c r="E3549" s="1">
        <v>101994</v>
      </c>
      <c r="F3549" s="6" t="s">
        <v>5551</v>
      </c>
      <c r="G3549" s="15" t="str">
        <f>VLOOKUP(A3549,Movie!A:D,4,FALSE)</f>
        <v>Paramount</v>
      </c>
      <c r="H3549" s="14">
        <f>VLOOKUP(E3549,'Rental Transaction'!A:B,2,FALSE)</f>
        <v>384899</v>
      </c>
      <c r="I3549">
        <f t="shared" si="55"/>
        <v>2013</v>
      </c>
    </row>
    <row r="3550" spans="1:9">
      <c r="A3550" s="1">
        <v>10097</v>
      </c>
      <c r="B3550" s="1">
        <v>7</v>
      </c>
      <c r="C3550" s="2">
        <v>41534</v>
      </c>
      <c r="D3550" s="1" t="s">
        <v>2002</v>
      </c>
      <c r="E3550" s="1">
        <v>101995</v>
      </c>
      <c r="F3550" s="6" t="s">
        <v>5552</v>
      </c>
      <c r="G3550" s="15" t="str">
        <f>VLOOKUP(A3550,Movie!A:D,4,FALSE)</f>
        <v>Screen Gems</v>
      </c>
      <c r="H3550" s="14">
        <f>VLOOKUP(E3550,'Rental Transaction'!A:B,2,FALSE)</f>
        <v>224094</v>
      </c>
      <c r="I3550">
        <f t="shared" si="55"/>
        <v>2013</v>
      </c>
    </row>
    <row r="3551" spans="1:9">
      <c r="A3551" s="1">
        <v>10176</v>
      </c>
      <c r="B3551" s="1">
        <v>10</v>
      </c>
      <c r="C3551" s="2">
        <v>41535</v>
      </c>
      <c r="D3551" s="1" t="s">
        <v>2005</v>
      </c>
      <c r="E3551" s="1">
        <v>101996</v>
      </c>
      <c r="F3551" s="6" t="s">
        <v>5553</v>
      </c>
      <c r="G3551" s="15" t="str">
        <f>VLOOKUP(A3551,Movie!A:D,4,FALSE)</f>
        <v>Universal</v>
      </c>
      <c r="H3551" s="14">
        <f>VLOOKUP(E3551,'Rental Transaction'!A:B,2,FALSE)</f>
        <v>550824</v>
      </c>
      <c r="I3551">
        <f t="shared" si="55"/>
        <v>2013</v>
      </c>
    </row>
    <row r="3552" spans="1:9">
      <c r="A3552" s="1">
        <v>10020</v>
      </c>
      <c r="B3552" s="1">
        <v>3</v>
      </c>
      <c r="C3552" s="2">
        <v>41534</v>
      </c>
      <c r="D3552" s="1" t="s">
        <v>2005</v>
      </c>
      <c r="E3552" s="1">
        <v>101997</v>
      </c>
      <c r="F3552" s="6" t="s">
        <v>5554</v>
      </c>
      <c r="G3552" s="15" t="str">
        <f>VLOOKUP(A3552,Movie!A:D,4,FALSE)</f>
        <v>FilmDistrict</v>
      </c>
      <c r="H3552" s="14">
        <f>VLOOKUP(E3552,'Rental Transaction'!A:B,2,FALSE)</f>
        <v>203787</v>
      </c>
      <c r="I3552">
        <f t="shared" si="55"/>
        <v>2013</v>
      </c>
    </row>
    <row r="3553" spans="1:9" ht="29.25">
      <c r="A3553" s="1">
        <v>10246</v>
      </c>
      <c r="B3553" s="1">
        <v>10</v>
      </c>
      <c r="C3553" s="2">
        <v>41535</v>
      </c>
      <c r="D3553" s="1" t="s">
        <v>2005</v>
      </c>
      <c r="E3553" s="1">
        <v>101997</v>
      </c>
      <c r="F3553" s="6" t="s">
        <v>5555</v>
      </c>
      <c r="G3553" s="15" t="str">
        <f>VLOOKUP(A3553,Movie!A:D,4,FALSE)</f>
        <v>Weinstein Company</v>
      </c>
      <c r="H3553" s="14">
        <f>VLOOKUP(E3553,'Rental Transaction'!A:B,2,FALSE)</f>
        <v>203787</v>
      </c>
      <c r="I3553">
        <f t="shared" si="55"/>
        <v>2013</v>
      </c>
    </row>
    <row r="3554" spans="1:9">
      <c r="A3554" s="1">
        <v>10183</v>
      </c>
      <c r="B3554" s="1">
        <v>5</v>
      </c>
      <c r="C3554" s="2">
        <v>41535</v>
      </c>
      <c r="D3554" s="1" t="s">
        <v>2002</v>
      </c>
      <c r="E3554" s="1">
        <v>101997</v>
      </c>
      <c r="F3554" s="6" t="s">
        <v>5556</v>
      </c>
      <c r="G3554" s="15" t="str">
        <f>VLOOKUP(A3554,Movie!A:D,4,FALSE)</f>
        <v>Sony</v>
      </c>
      <c r="H3554" s="14">
        <f>VLOOKUP(E3554,'Rental Transaction'!A:B,2,FALSE)</f>
        <v>203787</v>
      </c>
      <c r="I3554">
        <f t="shared" si="55"/>
        <v>2013</v>
      </c>
    </row>
    <row r="3555" spans="1:9">
      <c r="A3555" s="1">
        <v>10158</v>
      </c>
      <c r="B3555" s="1">
        <v>1</v>
      </c>
      <c r="C3555" s="2">
        <v>41534</v>
      </c>
      <c r="D3555" s="1" t="s">
        <v>2002</v>
      </c>
      <c r="E3555" s="1">
        <v>101998</v>
      </c>
      <c r="F3555" s="6" t="s">
        <v>5557</v>
      </c>
      <c r="G3555" s="15" t="str">
        <f>VLOOKUP(A3555,Movie!A:D,4,FALSE)</f>
        <v>Warner Brothers</v>
      </c>
      <c r="H3555" s="14">
        <f>VLOOKUP(E3555,'Rental Transaction'!A:B,2,FALSE)</f>
        <v>651462</v>
      </c>
      <c r="I3555">
        <f t="shared" si="55"/>
        <v>2013</v>
      </c>
    </row>
    <row r="3556" spans="1:9">
      <c r="A3556" s="1">
        <v>10210</v>
      </c>
      <c r="B3556" s="1">
        <v>5</v>
      </c>
      <c r="C3556" s="2">
        <v>41534</v>
      </c>
      <c r="D3556" s="1" t="s">
        <v>2002</v>
      </c>
      <c r="E3556" s="1">
        <v>101998</v>
      </c>
      <c r="F3556" s="6" t="s">
        <v>5558</v>
      </c>
      <c r="G3556" s="15" t="str">
        <f>VLOOKUP(A3556,Movie!A:D,4,FALSE)</f>
        <v>Sony</v>
      </c>
      <c r="H3556" s="14">
        <f>VLOOKUP(E3556,'Rental Transaction'!A:B,2,FALSE)</f>
        <v>651462</v>
      </c>
      <c r="I3556">
        <f t="shared" si="55"/>
        <v>2013</v>
      </c>
    </row>
    <row r="3557" spans="1:9">
      <c r="A3557" s="1">
        <v>10255</v>
      </c>
      <c r="B3557" s="1">
        <v>9</v>
      </c>
      <c r="C3557" s="2">
        <v>41535</v>
      </c>
      <c r="D3557" s="1" t="s">
        <v>2002</v>
      </c>
      <c r="E3557" s="1">
        <v>101998</v>
      </c>
      <c r="F3557" s="6" t="s">
        <v>5559</v>
      </c>
      <c r="G3557" s="15" t="str">
        <f>VLOOKUP(A3557,Movie!A:D,4,FALSE)</f>
        <v>Paramount</v>
      </c>
      <c r="H3557" s="14">
        <f>VLOOKUP(E3557,'Rental Transaction'!A:B,2,FALSE)</f>
        <v>651462</v>
      </c>
      <c r="I3557">
        <f t="shared" si="55"/>
        <v>2013</v>
      </c>
    </row>
    <row r="3558" spans="1:9">
      <c r="A3558" s="1">
        <v>10004</v>
      </c>
      <c r="B3558" s="1">
        <v>5</v>
      </c>
      <c r="C3558" s="2">
        <v>41534</v>
      </c>
      <c r="D3558" s="1" t="s">
        <v>2002</v>
      </c>
      <c r="E3558" s="1">
        <v>101999</v>
      </c>
      <c r="F3558" s="6" t="s">
        <v>5560</v>
      </c>
      <c r="G3558" s="15" t="str">
        <f>VLOOKUP(A3558,Movie!A:D,4,FALSE)</f>
        <v>Paramount</v>
      </c>
      <c r="H3558" s="14">
        <f>VLOOKUP(E3558,'Rental Transaction'!A:B,2,FALSE)</f>
        <v>119406</v>
      </c>
      <c r="I3558">
        <f t="shared" si="55"/>
        <v>2013</v>
      </c>
    </row>
    <row r="3559" spans="1:9">
      <c r="A3559" s="1">
        <v>10176</v>
      </c>
      <c r="B3559" s="1">
        <v>3</v>
      </c>
      <c r="C3559" s="2">
        <v>41534</v>
      </c>
      <c r="D3559" s="1" t="s">
        <v>2005</v>
      </c>
      <c r="E3559" s="1">
        <v>102000</v>
      </c>
      <c r="F3559" s="6" t="s">
        <v>5561</v>
      </c>
      <c r="G3559" s="15" t="str">
        <f>VLOOKUP(A3559,Movie!A:D,4,FALSE)</f>
        <v>Universal</v>
      </c>
      <c r="H3559" s="14">
        <f>VLOOKUP(E3559,'Rental Transaction'!A:B,2,FALSE)</f>
        <v>739669</v>
      </c>
      <c r="I3559">
        <f t="shared" si="55"/>
        <v>2013</v>
      </c>
    </row>
    <row r="3560" spans="1:9">
      <c r="A3560" s="1">
        <v>10031</v>
      </c>
      <c r="B3560" s="1">
        <v>10</v>
      </c>
      <c r="C3560" s="2">
        <v>41535</v>
      </c>
      <c r="D3560" s="1" t="s">
        <v>2002</v>
      </c>
      <c r="E3560" s="1">
        <v>102001</v>
      </c>
      <c r="F3560" s="6" t="s">
        <v>5562</v>
      </c>
      <c r="G3560" s="15" t="str">
        <f>VLOOKUP(A3560,Movie!A:D,4,FALSE)</f>
        <v>Warner Brothers</v>
      </c>
      <c r="H3560" s="14">
        <f>VLOOKUP(E3560,'Rental Transaction'!A:B,2,FALSE)</f>
        <v>205927</v>
      </c>
      <c r="I3560">
        <f t="shared" si="55"/>
        <v>2013</v>
      </c>
    </row>
    <row r="3561" spans="1:9">
      <c r="A3561" s="1">
        <v>10131</v>
      </c>
      <c r="B3561" s="1">
        <v>3</v>
      </c>
      <c r="C3561" s="2">
        <v>41534</v>
      </c>
      <c r="D3561" s="1" t="s">
        <v>2002</v>
      </c>
      <c r="E3561" s="1">
        <v>102001</v>
      </c>
      <c r="F3561" s="6" t="s">
        <v>5563</v>
      </c>
      <c r="G3561" s="15" t="str">
        <f>VLOOKUP(A3561,Movie!A:D,4,FALSE)</f>
        <v>Warner Brothers</v>
      </c>
      <c r="H3561" s="14">
        <f>VLOOKUP(E3561,'Rental Transaction'!A:B,2,FALSE)</f>
        <v>205927</v>
      </c>
      <c r="I3561">
        <f t="shared" si="55"/>
        <v>2013</v>
      </c>
    </row>
    <row r="3562" spans="1:9">
      <c r="A3562" s="1">
        <v>10173</v>
      </c>
      <c r="B3562" s="1">
        <v>8</v>
      </c>
      <c r="C3562" s="2">
        <v>41534</v>
      </c>
      <c r="D3562" s="1" t="s">
        <v>2005</v>
      </c>
      <c r="E3562" s="1">
        <v>102002</v>
      </c>
      <c r="F3562" s="6" t="s">
        <v>5564</v>
      </c>
      <c r="G3562" s="15" t="str">
        <f>VLOOKUP(A3562,Movie!A:D,4,FALSE)</f>
        <v>Sony</v>
      </c>
      <c r="H3562" s="14">
        <f>VLOOKUP(E3562,'Rental Transaction'!A:B,2,FALSE)</f>
        <v>586201</v>
      </c>
      <c r="I3562">
        <f t="shared" si="55"/>
        <v>2013</v>
      </c>
    </row>
    <row r="3563" spans="1:9">
      <c r="A3563" s="1">
        <v>10005</v>
      </c>
      <c r="B3563" s="1">
        <v>7</v>
      </c>
      <c r="C3563" s="2">
        <v>41534</v>
      </c>
      <c r="D3563" s="1" t="s">
        <v>2005</v>
      </c>
      <c r="E3563" s="1">
        <v>102003</v>
      </c>
      <c r="F3563" s="6" t="s">
        <v>5565</v>
      </c>
      <c r="G3563" s="15" t="str">
        <f>VLOOKUP(A3563,Movie!A:D,4,FALSE)</f>
        <v>Buena Vista</v>
      </c>
      <c r="H3563" s="14">
        <f>VLOOKUP(E3563,'Rental Transaction'!A:B,2,FALSE)</f>
        <v>901388</v>
      </c>
      <c r="I3563">
        <f t="shared" si="55"/>
        <v>2013</v>
      </c>
    </row>
    <row r="3564" spans="1:9">
      <c r="A3564" s="1">
        <v>10097</v>
      </c>
      <c r="B3564" s="1">
        <v>8</v>
      </c>
      <c r="C3564" s="2">
        <v>41534</v>
      </c>
      <c r="D3564" s="1" t="s">
        <v>2005</v>
      </c>
      <c r="E3564" s="1">
        <v>102004</v>
      </c>
      <c r="F3564" s="6" t="s">
        <v>5566</v>
      </c>
      <c r="G3564" s="15" t="str">
        <f>VLOOKUP(A3564,Movie!A:D,4,FALSE)</f>
        <v>Screen Gems</v>
      </c>
      <c r="H3564" s="14">
        <f>VLOOKUP(E3564,'Rental Transaction'!A:B,2,FALSE)</f>
        <v>393893</v>
      </c>
      <c r="I3564">
        <f t="shared" si="55"/>
        <v>2013</v>
      </c>
    </row>
    <row r="3565" spans="1:9">
      <c r="A3565" s="1">
        <v>10008</v>
      </c>
      <c r="B3565" s="1">
        <v>8</v>
      </c>
      <c r="C3565" s="2">
        <v>41534</v>
      </c>
      <c r="D3565" s="1" t="s">
        <v>2005</v>
      </c>
      <c r="E3565" s="1">
        <v>102005</v>
      </c>
      <c r="F3565" s="6" t="s">
        <v>5567</v>
      </c>
      <c r="G3565" s="15" t="str">
        <f>VLOOKUP(A3565,Movie!A:D,4,FALSE)</f>
        <v>Sony</v>
      </c>
      <c r="H3565" s="14">
        <f>VLOOKUP(E3565,'Rental Transaction'!A:B,2,FALSE)</f>
        <v>580674</v>
      </c>
      <c r="I3565">
        <f t="shared" si="55"/>
        <v>2013</v>
      </c>
    </row>
    <row r="3566" spans="1:9">
      <c r="A3566" s="1">
        <v>10266</v>
      </c>
      <c r="B3566" s="1">
        <v>10</v>
      </c>
      <c r="C3566" s="2">
        <v>41535</v>
      </c>
      <c r="D3566" s="1" t="s">
        <v>2005</v>
      </c>
      <c r="E3566" s="1">
        <v>102006</v>
      </c>
      <c r="F3566" s="6" t="s">
        <v>5568</v>
      </c>
      <c r="G3566" s="15" t="str">
        <f>VLOOKUP(A3566,Movie!A:D,4,FALSE)</f>
        <v>Sony</v>
      </c>
      <c r="H3566" s="14">
        <f>VLOOKUP(E3566,'Rental Transaction'!A:B,2,FALSE)</f>
        <v>717234</v>
      </c>
      <c r="I3566">
        <f t="shared" si="55"/>
        <v>2013</v>
      </c>
    </row>
    <row r="3567" spans="1:9">
      <c r="A3567" s="1">
        <v>10022</v>
      </c>
      <c r="B3567" s="1">
        <v>7</v>
      </c>
      <c r="C3567" s="2">
        <v>41536</v>
      </c>
      <c r="D3567" s="1" t="s">
        <v>2002</v>
      </c>
      <c r="E3567" s="1">
        <v>102006</v>
      </c>
      <c r="F3567" s="6" t="s">
        <v>5569</v>
      </c>
      <c r="G3567" s="15" t="str">
        <f>VLOOKUP(A3567,Movie!A:D,4,FALSE)</f>
        <v>Universal</v>
      </c>
      <c r="H3567" s="14">
        <f>VLOOKUP(E3567,'Rental Transaction'!A:B,2,FALSE)</f>
        <v>717234</v>
      </c>
      <c r="I3567">
        <f t="shared" si="55"/>
        <v>2013</v>
      </c>
    </row>
    <row r="3568" spans="1:9">
      <c r="A3568" s="1">
        <v>10250</v>
      </c>
      <c r="B3568" s="1">
        <v>5</v>
      </c>
      <c r="C3568" s="2">
        <v>41536</v>
      </c>
      <c r="D3568" s="1" t="s">
        <v>2002</v>
      </c>
      <c r="E3568" s="1">
        <v>102007</v>
      </c>
      <c r="F3568" s="6" t="s">
        <v>5570</v>
      </c>
      <c r="G3568" s="15" t="str">
        <f>VLOOKUP(A3568,Movie!A:D,4,FALSE)</f>
        <v>Buena Vista</v>
      </c>
      <c r="H3568" s="14">
        <f>VLOOKUP(E3568,'Rental Transaction'!A:B,2,FALSE)</f>
        <v>520196</v>
      </c>
      <c r="I3568">
        <f t="shared" si="55"/>
        <v>2013</v>
      </c>
    </row>
    <row r="3569" spans="1:9">
      <c r="A3569" s="1">
        <v>10218</v>
      </c>
      <c r="B3569" s="1">
        <v>1</v>
      </c>
      <c r="C3569" s="2">
        <v>41536</v>
      </c>
      <c r="D3569" s="1" t="s">
        <v>2002</v>
      </c>
      <c r="E3569" s="1">
        <v>102008</v>
      </c>
      <c r="F3569" s="6" t="s">
        <v>5571</v>
      </c>
      <c r="G3569" s="15" t="str">
        <f>VLOOKUP(A3569,Movie!A:D,4,FALSE)</f>
        <v>Sony</v>
      </c>
      <c r="H3569" s="14">
        <f>VLOOKUP(E3569,'Rental Transaction'!A:B,2,FALSE)</f>
        <v>772690</v>
      </c>
      <c r="I3569">
        <f t="shared" si="55"/>
        <v>2013</v>
      </c>
    </row>
    <row r="3570" spans="1:9">
      <c r="A3570" s="1">
        <v>10183</v>
      </c>
      <c r="B3570" s="1">
        <v>9</v>
      </c>
      <c r="C3570" s="2">
        <v>41535</v>
      </c>
      <c r="D3570" s="1" t="s">
        <v>2002</v>
      </c>
      <c r="E3570" s="1">
        <v>102009</v>
      </c>
      <c r="F3570" s="6" t="s">
        <v>5572</v>
      </c>
      <c r="G3570" s="15" t="str">
        <f>VLOOKUP(A3570,Movie!A:D,4,FALSE)</f>
        <v>Sony</v>
      </c>
      <c r="H3570" s="14">
        <f>VLOOKUP(E3570,'Rental Transaction'!A:B,2,FALSE)</f>
        <v>329994</v>
      </c>
      <c r="I3570">
        <f t="shared" si="55"/>
        <v>2013</v>
      </c>
    </row>
    <row r="3571" spans="1:9">
      <c r="A3571" s="1">
        <v>10216</v>
      </c>
      <c r="B3571" s="1">
        <v>9</v>
      </c>
      <c r="C3571" s="2">
        <v>41535</v>
      </c>
      <c r="D3571" s="1" t="s">
        <v>2002</v>
      </c>
      <c r="E3571" s="1">
        <v>102009</v>
      </c>
      <c r="F3571" s="6" t="s">
        <v>5573</v>
      </c>
      <c r="G3571" s="15" t="str">
        <f>VLOOKUP(A3571,Movie!A:D,4,FALSE)</f>
        <v>Sony</v>
      </c>
      <c r="H3571" s="14">
        <f>VLOOKUP(E3571,'Rental Transaction'!A:B,2,FALSE)</f>
        <v>329994</v>
      </c>
      <c r="I3571">
        <f t="shared" si="55"/>
        <v>2013</v>
      </c>
    </row>
    <row r="3572" spans="1:9">
      <c r="A3572" s="1">
        <v>10126</v>
      </c>
      <c r="B3572" s="1">
        <v>8</v>
      </c>
      <c r="C3572" s="2">
        <v>41535</v>
      </c>
      <c r="D3572" s="1" t="s">
        <v>2002</v>
      </c>
      <c r="E3572" s="1">
        <v>102010</v>
      </c>
      <c r="F3572" s="6" t="s">
        <v>5574</v>
      </c>
      <c r="G3572" s="15" t="str">
        <f>VLOOKUP(A3572,Movie!A:D,4,FALSE)</f>
        <v>Fox</v>
      </c>
      <c r="H3572" s="14">
        <f>VLOOKUP(E3572,'Rental Transaction'!A:B,2,FALSE)</f>
        <v>744416</v>
      </c>
      <c r="I3572">
        <f t="shared" si="55"/>
        <v>2013</v>
      </c>
    </row>
    <row r="3573" spans="1:9">
      <c r="A3573" s="1">
        <v>10172</v>
      </c>
      <c r="B3573" s="1">
        <v>6</v>
      </c>
      <c r="C3573" s="2">
        <v>41535</v>
      </c>
      <c r="D3573" s="1" t="s">
        <v>2002</v>
      </c>
      <c r="E3573" s="1">
        <v>102011</v>
      </c>
      <c r="F3573" s="6" t="s">
        <v>5575</v>
      </c>
      <c r="G3573" s="15" t="str">
        <f>VLOOKUP(A3573,Movie!A:D,4,FALSE)</f>
        <v>Lionsgate</v>
      </c>
      <c r="H3573" s="14">
        <f>VLOOKUP(E3573,'Rental Transaction'!A:B,2,FALSE)</f>
        <v>448739</v>
      </c>
      <c r="I3573">
        <f t="shared" si="55"/>
        <v>2013</v>
      </c>
    </row>
    <row r="3574" spans="1:9">
      <c r="A3574" s="1">
        <v>10277</v>
      </c>
      <c r="B3574" s="1">
        <v>4</v>
      </c>
      <c r="C3574" s="2">
        <v>41535</v>
      </c>
      <c r="D3574" s="1" t="s">
        <v>2005</v>
      </c>
      <c r="E3574" s="1">
        <v>102011</v>
      </c>
      <c r="F3574" s="6" t="s">
        <v>5576</v>
      </c>
      <c r="G3574" s="15" t="str">
        <f>VLOOKUP(A3574,Movie!A:D,4,FALSE)</f>
        <v>Universal</v>
      </c>
      <c r="H3574" s="14">
        <f>VLOOKUP(E3574,'Rental Transaction'!A:B,2,FALSE)</f>
        <v>448739</v>
      </c>
      <c r="I3574">
        <f t="shared" si="55"/>
        <v>2013</v>
      </c>
    </row>
    <row r="3575" spans="1:9">
      <c r="A3575" s="1">
        <v>10129</v>
      </c>
      <c r="B3575" s="1">
        <v>7</v>
      </c>
      <c r="C3575" s="2">
        <v>41535</v>
      </c>
      <c r="D3575" s="1" t="s">
        <v>2002</v>
      </c>
      <c r="E3575" s="1">
        <v>102012</v>
      </c>
      <c r="F3575" s="6" t="s">
        <v>5577</v>
      </c>
      <c r="G3575" s="15" t="str">
        <f>VLOOKUP(A3575,Movie!A:D,4,FALSE)</f>
        <v>Warner Brothers</v>
      </c>
      <c r="H3575" s="14">
        <f>VLOOKUP(E3575,'Rental Transaction'!A:B,2,FALSE)</f>
        <v>944523</v>
      </c>
      <c r="I3575">
        <f t="shared" si="55"/>
        <v>2013</v>
      </c>
    </row>
    <row r="3576" spans="1:9">
      <c r="A3576" s="1">
        <v>10273</v>
      </c>
      <c r="B3576" s="1">
        <v>3</v>
      </c>
      <c r="C3576" s="2">
        <v>41535</v>
      </c>
      <c r="D3576" s="1" t="s">
        <v>2002</v>
      </c>
      <c r="E3576" s="1">
        <v>102012</v>
      </c>
      <c r="F3576" s="6" t="s">
        <v>5578</v>
      </c>
      <c r="G3576" s="15" t="str">
        <f>VLOOKUP(A3576,Movie!A:D,4,FALSE)</f>
        <v>Sony</v>
      </c>
      <c r="H3576" s="14">
        <f>VLOOKUP(E3576,'Rental Transaction'!A:B,2,FALSE)</f>
        <v>944523</v>
      </c>
      <c r="I3576">
        <f t="shared" si="55"/>
        <v>2013</v>
      </c>
    </row>
    <row r="3577" spans="1:9">
      <c r="A3577" s="1">
        <v>10257</v>
      </c>
      <c r="B3577" s="1">
        <v>3</v>
      </c>
      <c r="C3577" s="2">
        <v>41535</v>
      </c>
      <c r="D3577" s="1" t="s">
        <v>2002</v>
      </c>
      <c r="E3577" s="1">
        <v>102013</v>
      </c>
      <c r="F3577" s="6" t="s">
        <v>5579</v>
      </c>
      <c r="G3577" s="15" t="str">
        <f>VLOOKUP(A3577,Movie!A:D,4,FALSE)</f>
        <v>Fox</v>
      </c>
      <c r="H3577" s="14">
        <f>VLOOKUP(E3577,'Rental Transaction'!A:B,2,FALSE)</f>
        <v>452874</v>
      </c>
      <c r="I3577">
        <f t="shared" si="55"/>
        <v>2013</v>
      </c>
    </row>
    <row r="3578" spans="1:9">
      <c r="A3578" s="1">
        <v>10234</v>
      </c>
      <c r="B3578" s="1">
        <v>10</v>
      </c>
      <c r="C3578" s="2">
        <v>41535</v>
      </c>
      <c r="D3578" s="1" t="s">
        <v>2002</v>
      </c>
      <c r="E3578" s="1">
        <v>102013</v>
      </c>
      <c r="F3578" s="6" t="s">
        <v>5580</v>
      </c>
      <c r="G3578" s="15" t="str">
        <f>VLOOKUP(A3578,Movie!A:D,4,FALSE)</f>
        <v>Warner Brothers</v>
      </c>
      <c r="H3578" s="14">
        <f>VLOOKUP(E3578,'Rental Transaction'!A:B,2,FALSE)</f>
        <v>452874</v>
      </c>
      <c r="I3578">
        <f t="shared" si="55"/>
        <v>2013</v>
      </c>
    </row>
    <row r="3579" spans="1:9">
      <c r="A3579" s="1">
        <v>10184</v>
      </c>
      <c r="B3579" s="1">
        <v>9</v>
      </c>
      <c r="C3579" s="2">
        <v>41535</v>
      </c>
      <c r="D3579" s="1" t="s">
        <v>2002</v>
      </c>
      <c r="E3579" s="1">
        <v>102014</v>
      </c>
      <c r="F3579" s="6" t="s">
        <v>5581</v>
      </c>
      <c r="G3579" s="15" t="str">
        <f>VLOOKUP(A3579,Movie!A:D,4,FALSE)</f>
        <v>Universal</v>
      </c>
      <c r="H3579" s="14">
        <f>VLOOKUP(E3579,'Rental Transaction'!A:B,2,FALSE)</f>
        <v>814317</v>
      </c>
      <c r="I3579">
        <f t="shared" si="55"/>
        <v>2013</v>
      </c>
    </row>
    <row r="3580" spans="1:9">
      <c r="A3580" s="1">
        <v>10007</v>
      </c>
      <c r="B3580" s="1">
        <v>9</v>
      </c>
      <c r="C3580" s="2">
        <v>41535</v>
      </c>
      <c r="D3580" s="1" t="s">
        <v>2002</v>
      </c>
      <c r="E3580" s="1">
        <v>102014</v>
      </c>
      <c r="F3580" s="6" t="s">
        <v>5582</v>
      </c>
      <c r="G3580" s="15" t="str">
        <f>VLOOKUP(A3580,Movie!A:D,4,FALSE)</f>
        <v>Sony</v>
      </c>
      <c r="H3580" s="14">
        <f>VLOOKUP(E3580,'Rental Transaction'!A:B,2,FALSE)</f>
        <v>814317</v>
      </c>
      <c r="I3580">
        <f t="shared" si="55"/>
        <v>2013</v>
      </c>
    </row>
    <row r="3581" spans="1:9">
      <c r="A3581" s="1">
        <v>10041</v>
      </c>
      <c r="B3581" s="1">
        <v>9</v>
      </c>
      <c r="C3581" s="2">
        <v>41535</v>
      </c>
      <c r="D3581" s="1" t="s">
        <v>2002</v>
      </c>
      <c r="E3581" s="1">
        <v>102015</v>
      </c>
      <c r="F3581" s="6" t="s">
        <v>5583</v>
      </c>
      <c r="G3581" s="15" t="str">
        <f>VLOOKUP(A3581,Movie!A:D,4,FALSE)</f>
        <v>Lionsgate</v>
      </c>
      <c r="H3581" s="14">
        <f>VLOOKUP(E3581,'Rental Transaction'!A:B,2,FALSE)</f>
        <v>231615</v>
      </c>
      <c r="I3581">
        <f t="shared" si="55"/>
        <v>2013</v>
      </c>
    </row>
    <row r="3582" spans="1:9">
      <c r="A3582" s="1">
        <v>10216</v>
      </c>
      <c r="B3582" s="1">
        <v>6</v>
      </c>
      <c r="C3582" s="2">
        <v>41535</v>
      </c>
      <c r="D3582" s="1" t="s">
        <v>2002</v>
      </c>
      <c r="E3582" s="1">
        <v>102015</v>
      </c>
      <c r="F3582" s="6" t="s">
        <v>5584</v>
      </c>
      <c r="G3582" s="15" t="str">
        <f>VLOOKUP(A3582,Movie!A:D,4,FALSE)</f>
        <v>Sony</v>
      </c>
      <c r="H3582" s="14">
        <f>VLOOKUP(E3582,'Rental Transaction'!A:B,2,FALSE)</f>
        <v>231615</v>
      </c>
      <c r="I3582">
        <f t="shared" si="55"/>
        <v>2013</v>
      </c>
    </row>
    <row r="3583" spans="1:9">
      <c r="A3583" s="1">
        <v>10024</v>
      </c>
      <c r="B3583" s="1">
        <v>4</v>
      </c>
      <c r="C3583" s="2">
        <v>41535</v>
      </c>
      <c r="D3583" s="1" t="s">
        <v>2005</v>
      </c>
      <c r="E3583" s="1">
        <v>102016</v>
      </c>
      <c r="F3583" s="6" t="s">
        <v>5585</v>
      </c>
      <c r="G3583" s="15" t="str">
        <f>VLOOKUP(A3583,Movie!A:D,4,FALSE)</f>
        <v>Fox</v>
      </c>
      <c r="H3583" s="14">
        <f>VLOOKUP(E3583,'Rental Transaction'!A:B,2,FALSE)</f>
        <v>550824</v>
      </c>
      <c r="I3583">
        <f t="shared" si="55"/>
        <v>2013</v>
      </c>
    </row>
    <row r="3584" spans="1:9">
      <c r="A3584" s="1">
        <v>10114</v>
      </c>
      <c r="B3584" s="1">
        <v>10</v>
      </c>
      <c r="C3584" s="2">
        <v>41537</v>
      </c>
      <c r="D3584" s="1" t="s">
        <v>2002</v>
      </c>
      <c r="E3584" s="1">
        <v>102017</v>
      </c>
      <c r="F3584" s="6" t="s">
        <v>5586</v>
      </c>
      <c r="G3584" s="15" t="str">
        <f>VLOOKUP(A3584,Movie!A:D,4,FALSE)</f>
        <v>Lionsgate</v>
      </c>
      <c r="H3584" s="14">
        <f>VLOOKUP(E3584,'Rental Transaction'!A:B,2,FALSE)</f>
        <v>442691</v>
      </c>
      <c r="I3584">
        <f t="shared" si="55"/>
        <v>2013</v>
      </c>
    </row>
    <row r="3585" spans="1:9">
      <c r="A3585" s="1">
        <v>10157</v>
      </c>
      <c r="B3585" s="1">
        <v>3</v>
      </c>
      <c r="C3585" s="2">
        <v>41536</v>
      </c>
      <c r="D3585" s="1" t="s">
        <v>2002</v>
      </c>
      <c r="E3585" s="1">
        <v>102017</v>
      </c>
      <c r="F3585" s="6" t="s">
        <v>5587</v>
      </c>
      <c r="G3585" s="15" t="str">
        <f>VLOOKUP(A3585,Movie!A:D,4,FALSE)</f>
        <v>Paramount</v>
      </c>
      <c r="H3585" s="14">
        <f>VLOOKUP(E3585,'Rental Transaction'!A:B,2,FALSE)</f>
        <v>442691</v>
      </c>
      <c r="I3585">
        <f t="shared" si="55"/>
        <v>2013</v>
      </c>
    </row>
    <row r="3586" spans="1:9">
      <c r="A3586" s="1">
        <v>10012</v>
      </c>
      <c r="B3586" s="1">
        <v>6</v>
      </c>
      <c r="C3586" s="2">
        <v>41536</v>
      </c>
      <c r="D3586" s="1" t="s">
        <v>2005</v>
      </c>
      <c r="E3586" s="1">
        <v>102018</v>
      </c>
      <c r="F3586" s="6" t="s">
        <v>5588</v>
      </c>
      <c r="G3586" s="15" t="str">
        <f>VLOOKUP(A3586,Movie!A:D,4,FALSE)</f>
        <v>Buena Vista</v>
      </c>
      <c r="H3586" s="14">
        <f>VLOOKUP(E3586,'Rental Transaction'!A:B,2,FALSE)</f>
        <v>938006</v>
      </c>
      <c r="I3586">
        <f t="shared" si="55"/>
        <v>2013</v>
      </c>
    </row>
    <row r="3587" spans="1:9">
      <c r="A3587" s="1">
        <v>10273</v>
      </c>
      <c r="B3587" s="1">
        <v>1</v>
      </c>
      <c r="C3587" s="2">
        <v>41535</v>
      </c>
      <c r="D3587" s="1" t="s">
        <v>2002</v>
      </c>
      <c r="E3587" s="1">
        <v>102019</v>
      </c>
      <c r="F3587" s="6" t="s">
        <v>5589</v>
      </c>
      <c r="G3587" s="15" t="str">
        <f>VLOOKUP(A3587,Movie!A:D,4,FALSE)</f>
        <v>Sony</v>
      </c>
      <c r="H3587" s="14">
        <f>VLOOKUP(E3587,'Rental Transaction'!A:B,2,FALSE)</f>
        <v>173380</v>
      </c>
      <c r="I3587">
        <f t="shared" ref="I3587:I3650" si="56">YEAR(C3587)</f>
        <v>2013</v>
      </c>
    </row>
    <row r="3588" spans="1:9" ht="29.25">
      <c r="A3588" s="1">
        <v>10144</v>
      </c>
      <c r="B3588" s="1">
        <v>2</v>
      </c>
      <c r="C3588" s="2">
        <v>41538</v>
      </c>
      <c r="D3588" s="1" t="s">
        <v>2005</v>
      </c>
      <c r="E3588" s="1">
        <v>102019</v>
      </c>
      <c r="F3588" s="6" t="s">
        <v>5590</v>
      </c>
      <c r="G3588" s="15" t="str">
        <f>VLOOKUP(A3588,Movie!A:D,4,FALSE)</f>
        <v>Weinstein Company</v>
      </c>
      <c r="H3588" s="14">
        <f>VLOOKUP(E3588,'Rental Transaction'!A:B,2,FALSE)</f>
        <v>173380</v>
      </c>
      <c r="I3588">
        <f t="shared" si="56"/>
        <v>2013</v>
      </c>
    </row>
    <row r="3589" spans="1:9" ht="29.25">
      <c r="A3589" s="1">
        <v>10246</v>
      </c>
      <c r="B3589" s="1">
        <v>6</v>
      </c>
      <c r="C3589" s="2">
        <v>41535</v>
      </c>
      <c r="D3589" s="1" t="s">
        <v>2005</v>
      </c>
      <c r="E3589" s="1">
        <v>102020</v>
      </c>
      <c r="F3589" s="6" t="s">
        <v>5591</v>
      </c>
      <c r="G3589" s="15" t="str">
        <f>VLOOKUP(A3589,Movie!A:D,4,FALSE)</f>
        <v>Weinstein Company</v>
      </c>
      <c r="H3589" s="14">
        <f>VLOOKUP(E3589,'Rental Transaction'!A:B,2,FALSE)</f>
        <v>426830</v>
      </c>
      <c r="I3589">
        <f t="shared" si="56"/>
        <v>2013</v>
      </c>
    </row>
    <row r="3590" spans="1:9">
      <c r="A3590" s="1">
        <v>10024</v>
      </c>
      <c r="B3590" s="1">
        <v>1</v>
      </c>
      <c r="C3590" s="2">
        <v>41535</v>
      </c>
      <c r="D3590" s="1" t="s">
        <v>2002</v>
      </c>
      <c r="E3590" s="1">
        <v>102020</v>
      </c>
      <c r="F3590" s="6" t="s">
        <v>5592</v>
      </c>
      <c r="G3590" s="15" t="str">
        <f>VLOOKUP(A3590,Movie!A:D,4,FALSE)</f>
        <v>Fox</v>
      </c>
      <c r="H3590" s="14">
        <f>VLOOKUP(E3590,'Rental Transaction'!A:B,2,FALSE)</f>
        <v>426830</v>
      </c>
      <c r="I3590">
        <f t="shared" si="56"/>
        <v>2013</v>
      </c>
    </row>
    <row r="3591" spans="1:9">
      <c r="A3591" s="1">
        <v>10035</v>
      </c>
      <c r="B3591" s="1">
        <v>2</v>
      </c>
      <c r="C3591" s="2">
        <v>41536</v>
      </c>
      <c r="D3591" s="1" t="s">
        <v>2005</v>
      </c>
      <c r="E3591" s="1">
        <v>102021</v>
      </c>
      <c r="F3591" s="6" t="s">
        <v>5593</v>
      </c>
      <c r="G3591" s="15" t="str">
        <f>VLOOKUP(A3591,Movie!A:D,4,FALSE)</f>
        <v>Sony</v>
      </c>
      <c r="H3591" s="14">
        <f>VLOOKUP(E3591,'Rental Transaction'!A:B,2,FALSE)</f>
        <v>651462</v>
      </c>
      <c r="I3591">
        <f t="shared" si="56"/>
        <v>2013</v>
      </c>
    </row>
    <row r="3592" spans="1:9" ht="29.25">
      <c r="A3592" s="1">
        <v>10136</v>
      </c>
      <c r="B3592" s="1">
        <v>6</v>
      </c>
      <c r="C3592" s="2">
        <v>41535</v>
      </c>
      <c r="D3592" s="1" t="s">
        <v>2002</v>
      </c>
      <c r="E3592" s="1">
        <v>102021</v>
      </c>
      <c r="F3592" s="6" t="s">
        <v>5594</v>
      </c>
      <c r="G3592" s="15" t="str">
        <f>VLOOKUP(A3592,Movie!A:D,4,FALSE)</f>
        <v>Weinstein Company</v>
      </c>
      <c r="H3592" s="14">
        <f>VLOOKUP(E3592,'Rental Transaction'!A:B,2,FALSE)</f>
        <v>651462</v>
      </c>
      <c r="I3592">
        <f t="shared" si="56"/>
        <v>2013</v>
      </c>
    </row>
    <row r="3593" spans="1:9">
      <c r="A3593" s="1">
        <v>10100</v>
      </c>
      <c r="B3593" s="1">
        <v>7</v>
      </c>
      <c r="C3593" s="2">
        <v>41537</v>
      </c>
      <c r="D3593" s="1" t="s">
        <v>2002</v>
      </c>
      <c r="E3593" s="1">
        <v>102022</v>
      </c>
      <c r="F3593" s="6" t="s">
        <v>5595</v>
      </c>
      <c r="G3593" s="15" t="str">
        <f>VLOOKUP(A3593,Movie!A:D,4,FALSE)</f>
        <v>Fox</v>
      </c>
      <c r="H3593" s="14">
        <f>VLOOKUP(E3593,'Rental Transaction'!A:B,2,FALSE)</f>
        <v>193914</v>
      </c>
      <c r="I3593">
        <f t="shared" si="56"/>
        <v>2013</v>
      </c>
    </row>
    <row r="3594" spans="1:9">
      <c r="A3594" s="1">
        <v>10206</v>
      </c>
      <c r="B3594" s="1">
        <v>3</v>
      </c>
      <c r="C3594" s="2">
        <v>41536</v>
      </c>
      <c r="D3594" s="1" t="s">
        <v>2002</v>
      </c>
      <c r="E3594" s="1">
        <v>102022</v>
      </c>
      <c r="F3594" s="6" t="s">
        <v>5596</v>
      </c>
      <c r="G3594" s="15" t="str">
        <f>VLOOKUP(A3594,Movie!A:D,4,FALSE)</f>
        <v>Fox</v>
      </c>
      <c r="H3594" s="14">
        <f>VLOOKUP(E3594,'Rental Transaction'!A:B,2,FALSE)</f>
        <v>193914</v>
      </c>
      <c r="I3594">
        <f t="shared" si="56"/>
        <v>2013</v>
      </c>
    </row>
    <row r="3595" spans="1:9">
      <c r="A3595" s="1">
        <v>10075</v>
      </c>
      <c r="B3595" s="1">
        <v>10</v>
      </c>
      <c r="C3595" s="2">
        <v>41536</v>
      </c>
      <c r="D3595" s="1" t="s">
        <v>2002</v>
      </c>
      <c r="E3595" s="1">
        <v>102023</v>
      </c>
      <c r="F3595" s="6" t="s">
        <v>5597</v>
      </c>
      <c r="G3595" s="15" t="str">
        <f>VLOOKUP(A3595,Movie!A:D,4,FALSE)</f>
        <v>Fox Searchlight</v>
      </c>
      <c r="H3595" s="14">
        <f>VLOOKUP(E3595,'Rental Transaction'!A:B,2,FALSE)</f>
        <v>270853</v>
      </c>
      <c r="I3595">
        <f t="shared" si="56"/>
        <v>2013</v>
      </c>
    </row>
    <row r="3596" spans="1:9">
      <c r="A3596" s="1">
        <v>10203</v>
      </c>
      <c r="B3596" s="1">
        <v>7</v>
      </c>
      <c r="C3596" s="2">
        <v>41537</v>
      </c>
      <c r="D3596" s="1" t="s">
        <v>2002</v>
      </c>
      <c r="E3596" s="1">
        <v>102023</v>
      </c>
      <c r="F3596" s="6" t="s">
        <v>5598</v>
      </c>
      <c r="G3596" s="15" t="str">
        <f>VLOOKUP(A3596,Movie!A:D,4,FALSE)</f>
        <v>Buena Vista</v>
      </c>
      <c r="H3596" s="14">
        <f>VLOOKUP(E3596,'Rental Transaction'!A:B,2,FALSE)</f>
        <v>270853</v>
      </c>
      <c r="I3596">
        <f t="shared" si="56"/>
        <v>2013</v>
      </c>
    </row>
    <row r="3597" spans="1:9">
      <c r="A3597" s="1">
        <v>10198</v>
      </c>
      <c r="B3597" s="1">
        <v>9</v>
      </c>
      <c r="C3597" s="2">
        <v>41538</v>
      </c>
      <c r="D3597" s="1" t="s">
        <v>2002</v>
      </c>
      <c r="E3597" s="1">
        <v>102023</v>
      </c>
      <c r="F3597" s="6" t="s">
        <v>5599</v>
      </c>
      <c r="G3597" s="15" t="str">
        <f>VLOOKUP(A3597,Movie!A:D,4,FALSE)</f>
        <v>Fox</v>
      </c>
      <c r="H3597" s="14">
        <f>VLOOKUP(E3597,'Rental Transaction'!A:B,2,FALSE)</f>
        <v>270853</v>
      </c>
      <c r="I3597">
        <f t="shared" si="56"/>
        <v>2013</v>
      </c>
    </row>
    <row r="3598" spans="1:9">
      <c r="A3598" s="1">
        <v>10235</v>
      </c>
      <c r="B3598" s="1">
        <v>5</v>
      </c>
      <c r="C3598" s="2">
        <v>41537</v>
      </c>
      <c r="D3598" s="1" t="s">
        <v>2002</v>
      </c>
      <c r="E3598" s="1">
        <v>102024</v>
      </c>
      <c r="F3598" s="6" t="s">
        <v>5600</v>
      </c>
      <c r="G3598" s="15" t="str">
        <f>VLOOKUP(A3598,Movie!A:D,4,FALSE)</f>
        <v>Lionsgate</v>
      </c>
      <c r="H3598" s="14">
        <f>VLOOKUP(E3598,'Rental Transaction'!A:B,2,FALSE)</f>
        <v>999915</v>
      </c>
      <c r="I3598">
        <f t="shared" si="56"/>
        <v>2013</v>
      </c>
    </row>
    <row r="3599" spans="1:9">
      <c r="A3599" s="1">
        <v>10173</v>
      </c>
      <c r="B3599" s="1">
        <v>10</v>
      </c>
      <c r="C3599" s="2">
        <v>41536</v>
      </c>
      <c r="D3599" s="1" t="s">
        <v>2005</v>
      </c>
      <c r="E3599" s="1">
        <v>102025</v>
      </c>
      <c r="F3599" s="6" t="s">
        <v>5601</v>
      </c>
      <c r="G3599" s="15" t="str">
        <f>VLOOKUP(A3599,Movie!A:D,4,FALSE)</f>
        <v>Sony</v>
      </c>
      <c r="H3599" s="14">
        <f>VLOOKUP(E3599,'Rental Transaction'!A:B,2,FALSE)</f>
        <v>484909</v>
      </c>
      <c r="I3599">
        <f t="shared" si="56"/>
        <v>2013</v>
      </c>
    </row>
    <row r="3600" spans="1:9">
      <c r="A3600" s="1">
        <v>10000</v>
      </c>
      <c r="B3600" s="1">
        <v>4</v>
      </c>
      <c r="C3600" s="2">
        <v>41536</v>
      </c>
      <c r="D3600" s="1" t="s">
        <v>2002</v>
      </c>
      <c r="E3600" s="1">
        <v>102025</v>
      </c>
      <c r="F3600" s="6" t="s">
        <v>5602</v>
      </c>
      <c r="G3600" s="15" t="str">
        <f>VLOOKUP(A3600,Movie!A:D,4,FALSE)</f>
        <v>TriStar</v>
      </c>
      <c r="H3600" s="14">
        <f>VLOOKUP(E3600,'Rental Transaction'!A:B,2,FALSE)</f>
        <v>484909</v>
      </c>
      <c r="I3600">
        <f t="shared" si="56"/>
        <v>2013</v>
      </c>
    </row>
    <row r="3601" spans="1:9">
      <c r="A3601" s="1">
        <v>10274</v>
      </c>
      <c r="B3601" s="1">
        <v>3</v>
      </c>
      <c r="C3601" s="2">
        <v>41537</v>
      </c>
      <c r="D3601" s="1" t="s">
        <v>2002</v>
      </c>
      <c r="E3601" s="1">
        <v>102026</v>
      </c>
      <c r="F3601" s="6" t="s">
        <v>5603</v>
      </c>
      <c r="G3601" s="15" t="str">
        <f>VLOOKUP(A3601,Movie!A:D,4,FALSE)</f>
        <v>Fox</v>
      </c>
      <c r="H3601" s="14">
        <f>VLOOKUP(E3601,'Rental Transaction'!A:B,2,FALSE)</f>
        <v>559190</v>
      </c>
      <c r="I3601">
        <f t="shared" si="56"/>
        <v>2013</v>
      </c>
    </row>
    <row r="3602" spans="1:9">
      <c r="A3602" s="1">
        <v>10223</v>
      </c>
      <c r="B3602" s="1">
        <v>6</v>
      </c>
      <c r="C3602" s="2">
        <v>41537</v>
      </c>
      <c r="D3602" s="1" t="s">
        <v>2002</v>
      </c>
      <c r="E3602" s="1">
        <v>102026</v>
      </c>
      <c r="F3602" s="6" t="s">
        <v>5604</v>
      </c>
      <c r="G3602" s="15" t="str">
        <f>VLOOKUP(A3602,Movie!A:D,4,FALSE)</f>
        <v>Universal</v>
      </c>
      <c r="H3602" s="14">
        <f>VLOOKUP(E3602,'Rental Transaction'!A:B,2,FALSE)</f>
        <v>559190</v>
      </c>
      <c r="I3602">
        <f t="shared" si="56"/>
        <v>2013</v>
      </c>
    </row>
    <row r="3603" spans="1:9">
      <c r="A3603" s="1">
        <v>10052</v>
      </c>
      <c r="B3603" s="1">
        <v>8</v>
      </c>
      <c r="C3603" s="2">
        <v>41536</v>
      </c>
      <c r="D3603" s="1" t="s">
        <v>2002</v>
      </c>
      <c r="E3603" s="1">
        <v>102027</v>
      </c>
      <c r="F3603" s="6" t="s">
        <v>5605</v>
      </c>
      <c r="G3603" s="15" t="str">
        <f>VLOOKUP(A3603,Movie!A:D,4,FALSE)</f>
        <v>Warner Brothers</v>
      </c>
      <c r="H3603" s="14">
        <f>VLOOKUP(E3603,'Rental Transaction'!A:B,2,FALSE)</f>
        <v>405671</v>
      </c>
      <c r="I3603">
        <f t="shared" si="56"/>
        <v>2013</v>
      </c>
    </row>
    <row r="3604" spans="1:9">
      <c r="A3604" s="1">
        <v>10190</v>
      </c>
      <c r="B3604" s="1">
        <v>10</v>
      </c>
      <c r="C3604" s="2">
        <v>41536</v>
      </c>
      <c r="D3604" s="1" t="s">
        <v>2002</v>
      </c>
      <c r="E3604" s="1">
        <v>102028</v>
      </c>
      <c r="F3604" s="6" t="s">
        <v>5606</v>
      </c>
      <c r="G3604" s="15" t="str">
        <f>VLOOKUP(A3604,Movie!A:D,4,FALSE)</f>
        <v>Lionsgate</v>
      </c>
      <c r="H3604" s="14">
        <f>VLOOKUP(E3604,'Rental Transaction'!A:B,2,FALSE)</f>
        <v>158528</v>
      </c>
      <c r="I3604">
        <f t="shared" si="56"/>
        <v>2013</v>
      </c>
    </row>
    <row r="3605" spans="1:9">
      <c r="A3605" s="1">
        <v>10094</v>
      </c>
      <c r="B3605" s="1">
        <v>6</v>
      </c>
      <c r="C3605" s="2">
        <v>41537</v>
      </c>
      <c r="D3605" s="1" t="s">
        <v>2002</v>
      </c>
      <c r="E3605" s="1">
        <v>102028</v>
      </c>
      <c r="F3605" s="6" t="s">
        <v>5607</v>
      </c>
      <c r="G3605" s="15" t="str">
        <f>VLOOKUP(A3605,Movie!A:D,4,FALSE)</f>
        <v>Relativity</v>
      </c>
      <c r="H3605" s="14">
        <f>VLOOKUP(E3605,'Rental Transaction'!A:B,2,FALSE)</f>
        <v>158528</v>
      </c>
      <c r="I3605">
        <f t="shared" si="56"/>
        <v>2013</v>
      </c>
    </row>
    <row r="3606" spans="1:9">
      <c r="A3606" s="1">
        <v>10293</v>
      </c>
      <c r="B3606" s="1">
        <v>5</v>
      </c>
      <c r="C3606" s="2">
        <v>41537</v>
      </c>
      <c r="D3606" s="1" t="s">
        <v>2002</v>
      </c>
      <c r="E3606" s="1">
        <v>102028</v>
      </c>
      <c r="F3606" s="6" t="s">
        <v>5608</v>
      </c>
      <c r="G3606" s="15" t="str">
        <f>VLOOKUP(A3606,Movie!A:D,4,FALSE)</f>
        <v>Relativity</v>
      </c>
      <c r="H3606" s="14">
        <f>VLOOKUP(E3606,'Rental Transaction'!A:B,2,FALSE)</f>
        <v>158528</v>
      </c>
      <c r="I3606">
        <f t="shared" si="56"/>
        <v>2013</v>
      </c>
    </row>
    <row r="3607" spans="1:9">
      <c r="A3607" s="1">
        <v>10036</v>
      </c>
      <c r="B3607" s="1">
        <v>6</v>
      </c>
      <c r="C3607" s="2">
        <v>41538</v>
      </c>
      <c r="D3607" s="1" t="s">
        <v>2005</v>
      </c>
      <c r="E3607" s="1">
        <v>102028</v>
      </c>
      <c r="F3607" s="6" t="s">
        <v>5609</v>
      </c>
      <c r="G3607" s="15" t="str">
        <f>VLOOKUP(A3607,Movie!A:D,4,FALSE)</f>
        <v>Universal</v>
      </c>
      <c r="H3607" s="14">
        <f>VLOOKUP(E3607,'Rental Transaction'!A:B,2,FALSE)</f>
        <v>158528</v>
      </c>
      <c r="I3607">
        <f t="shared" si="56"/>
        <v>2013</v>
      </c>
    </row>
    <row r="3608" spans="1:9">
      <c r="A3608" s="1">
        <v>10166</v>
      </c>
      <c r="B3608" s="1">
        <v>8</v>
      </c>
      <c r="C3608" s="2">
        <v>41537</v>
      </c>
      <c r="D3608" s="1" t="s">
        <v>2005</v>
      </c>
      <c r="E3608" s="1">
        <v>102029</v>
      </c>
      <c r="F3608" s="6" t="s">
        <v>5610</v>
      </c>
      <c r="G3608" s="15" t="str">
        <f>VLOOKUP(A3608,Movie!A:D,4,FALSE)</f>
        <v>Fox</v>
      </c>
      <c r="H3608" s="14">
        <f>VLOOKUP(E3608,'Rental Transaction'!A:B,2,FALSE)</f>
        <v>205878</v>
      </c>
      <c r="I3608">
        <f t="shared" si="56"/>
        <v>2013</v>
      </c>
    </row>
    <row r="3609" spans="1:9">
      <c r="A3609" s="1">
        <v>10026</v>
      </c>
      <c r="B3609" s="1">
        <v>6</v>
      </c>
      <c r="C3609" s="2">
        <v>41536</v>
      </c>
      <c r="D3609" s="1" t="s">
        <v>2005</v>
      </c>
      <c r="E3609" s="1">
        <v>102030</v>
      </c>
      <c r="F3609" s="6" t="s">
        <v>5611</v>
      </c>
      <c r="G3609" s="15" t="str">
        <f>VLOOKUP(A3609,Movie!A:D,4,FALSE)</f>
        <v>Fox</v>
      </c>
      <c r="H3609" s="14">
        <f>VLOOKUP(E3609,'Rental Transaction'!A:B,2,FALSE)</f>
        <v>236554</v>
      </c>
      <c r="I3609">
        <f t="shared" si="56"/>
        <v>2013</v>
      </c>
    </row>
    <row r="3610" spans="1:9">
      <c r="A3610" s="1">
        <v>10018</v>
      </c>
      <c r="B3610" s="1">
        <v>4</v>
      </c>
      <c r="C3610" s="2">
        <v>41537</v>
      </c>
      <c r="D3610" s="1" t="s">
        <v>2002</v>
      </c>
      <c r="E3610" s="1">
        <v>102030</v>
      </c>
      <c r="F3610" s="6" t="s">
        <v>5612</v>
      </c>
      <c r="G3610" s="15" t="str">
        <f>VLOOKUP(A3610,Movie!A:D,4,FALSE)</f>
        <v>Fox</v>
      </c>
      <c r="H3610" s="14">
        <f>VLOOKUP(E3610,'Rental Transaction'!A:B,2,FALSE)</f>
        <v>236554</v>
      </c>
      <c r="I3610">
        <f t="shared" si="56"/>
        <v>2013</v>
      </c>
    </row>
    <row r="3611" spans="1:9">
      <c r="A3611" s="1">
        <v>10111</v>
      </c>
      <c r="B3611" s="1">
        <v>4</v>
      </c>
      <c r="C3611" s="2">
        <v>41538</v>
      </c>
      <c r="D3611" s="1" t="s">
        <v>2002</v>
      </c>
      <c r="E3611" s="1">
        <v>102030</v>
      </c>
      <c r="F3611" s="6" t="s">
        <v>5613</v>
      </c>
      <c r="G3611" s="15" t="str">
        <f>VLOOKUP(A3611,Movie!A:D,4,FALSE)</f>
        <v>Fox</v>
      </c>
      <c r="H3611" s="14">
        <f>VLOOKUP(E3611,'Rental Transaction'!A:B,2,FALSE)</f>
        <v>236554</v>
      </c>
      <c r="I3611">
        <f t="shared" si="56"/>
        <v>2013</v>
      </c>
    </row>
    <row r="3612" spans="1:9">
      <c r="A3612" s="1">
        <v>10129</v>
      </c>
      <c r="B3612" s="1">
        <v>8</v>
      </c>
      <c r="C3612" s="2">
        <v>41536</v>
      </c>
      <c r="D3612" s="1" t="s">
        <v>2005</v>
      </c>
      <c r="E3612" s="1">
        <v>102030</v>
      </c>
      <c r="F3612" s="6" t="s">
        <v>5614</v>
      </c>
      <c r="G3612" s="15" t="str">
        <f>VLOOKUP(A3612,Movie!A:D,4,FALSE)</f>
        <v>Warner Brothers</v>
      </c>
      <c r="H3612" s="14">
        <f>VLOOKUP(E3612,'Rental Transaction'!A:B,2,FALSE)</f>
        <v>236554</v>
      </c>
      <c r="I3612">
        <f t="shared" si="56"/>
        <v>2013</v>
      </c>
    </row>
    <row r="3613" spans="1:9">
      <c r="A3613" s="1">
        <v>10043</v>
      </c>
      <c r="B3613" s="1">
        <v>4</v>
      </c>
      <c r="C3613" s="2">
        <v>41536</v>
      </c>
      <c r="D3613" s="1" t="s">
        <v>2005</v>
      </c>
      <c r="E3613" s="1">
        <v>102031</v>
      </c>
      <c r="F3613" s="6" t="s">
        <v>5615</v>
      </c>
      <c r="G3613" s="15" t="str">
        <f>VLOOKUP(A3613,Movie!A:D,4,FALSE)</f>
        <v>Screen Gems</v>
      </c>
      <c r="H3613" s="14">
        <f>VLOOKUP(E3613,'Rental Transaction'!A:B,2,FALSE)</f>
        <v>390130</v>
      </c>
      <c r="I3613">
        <f t="shared" si="56"/>
        <v>2013</v>
      </c>
    </row>
    <row r="3614" spans="1:9">
      <c r="A3614" s="1">
        <v>10186</v>
      </c>
      <c r="B3614" s="1">
        <v>10</v>
      </c>
      <c r="C3614" s="2">
        <v>41538</v>
      </c>
      <c r="D3614" s="1" t="s">
        <v>2002</v>
      </c>
      <c r="E3614" s="1">
        <v>102032</v>
      </c>
      <c r="F3614" s="6" t="s">
        <v>5616</v>
      </c>
      <c r="G3614" s="15" t="str">
        <f>VLOOKUP(A3614,Movie!A:D,4,FALSE)</f>
        <v>Lionsgate</v>
      </c>
      <c r="H3614" s="14">
        <f>VLOOKUP(E3614,'Rental Transaction'!A:B,2,FALSE)</f>
        <v>537860</v>
      </c>
      <c r="I3614">
        <f t="shared" si="56"/>
        <v>2013</v>
      </c>
    </row>
    <row r="3615" spans="1:9">
      <c r="A3615" s="1">
        <v>10020</v>
      </c>
      <c r="B3615" s="1">
        <v>9</v>
      </c>
      <c r="C3615" s="2">
        <v>41537</v>
      </c>
      <c r="D3615" s="1" t="s">
        <v>2002</v>
      </c>
      <c r="E3615" s="1">
        <v>102033</v>
      </c>
      <c r="F3615" s="6" t="s">
        <v>5617</v>
      </c>
      <c r="G3615" s="15" t="str">
        <f>VLOOKUP(A3615,Movie!A:D,4,FALSE)</f>
        <v>FilmDistrict</v>
      </c>
      <c r="H3615" s="14">
        <f>VLOOKUP(E3615,'Rental Transaction'!A:B,2,FALSE)</f>
        <v>226909</v>
      </c>
      <c r="I3615">
        <f t="shared" si="56"/>
        <v>2013</v>
      </c>
    </row>
    <row r="3616" spans="1:9">
      <c r="A3616" s="1">
        <v>10119</v>
      </c>
      <c r="B3616" s="1">
        <v>1</v>
      </c>
      <c r="C3616" s="2">
        <v>41536</v>
      </c>
      <c r="D3616" s="1" t="s">
        <v>2002</v>
      </c>
      <c r="E3616" s="1">
        <v>102034</v>
      </c>
      <c r="F3616" s="6" t="s">
        <v>5618</v>
      </c>
      <c r="G3616" s="15" t="str">
        <f>VLOOKUP(A3616,Movie!A:D,4,FALSE)</f>
        <v>Universal</v>
      </c>
      <c r="H3616" s="14">
        <f>VLOOKUP(E3616,'Rental Transaction'!A:B,2,FALSE)</f>
        <v>143878</v>
      </c>
      <c r="I3616">
        <f t="shared" si="56"/>
        <v>2013</v>
      </c>
    </row>
    <row r="3617" spans="1:9" ht="29.25">
      <c r="A3617" s="1">
        <v>10165</v>
      </c>
      <c r="B3617" s="1">
        <v>4</v>
      </c>
      <c r="C3617" s="2">
        <v>41536</v>
      </c>
      <c r="D3617" s="1" t="s">
        <v>2005</v>
      </c>
      <c r="E3617" s="1">
        <v>102034</v>
      </c>
      <c r="F3617" s="6" t="s">
        <v>5619</v>
      </c>
      <c r="G3617" s="15" t="str">
        <f>VLOOKUP(A3617,Movie!A:D,4,FALSE)</f>
        <v>Weinstein Company</v>
      </c>
      <c r="H3617" s="14">
        <f>VLOOKUP(E3617,'Rental Transaction'!A:B,2,FALSE)</f>
        <v>143878</v>
      </c>
      <c r="I3617">
        <f t="shared" si="56"/>
        <v>2013</v>
      </c>
    </row>
    <row r="3618" spans="1:9">
      <c r="A3618" s="1">
        <v>10258</v>
      </c>
      <c r="B3618" s="1">
        <v>2</v>
      </c>
      <c r="C3618" s="2">
        <v>41536</v>
      </c>
      <c r="D3618" s="1" t="s">
        <v>2002</v>
      </c>
      <c r="E3618" s="1">
        <v>102035</v>
      </c>
      <c r="F3618" s="6" t="s">
        <v>5620</v>
      </c>
      <c r="G3618" s="15" t="str">
        <f>VLOOKUP(A3618,Movie!A:D,4,FALSE)</f>
        <v>Warner Brothers</v>
      </c>
      <c r="H3618" s="14">
        <f>VLOOKUP(E3618,'Rental Transaction'!A:B,2,FALSE)</f>
        <v>373200</v>
      </c>
      <c r="I3618">
        <f t="shared" si="56"/>
        <v>2013</v>
      </c>
    </row>
    <row r="3619" spans="1:9">
      <c r="A3619" s="1">
        <v>10122</v>
      </c>
      <c r="B3619" s="1">
        <v>9</v>
      </c>
      <c r="C3619" s="2">
        <v>41536</v>
      </c>
      <c r="D3619" s="1" t="s">
        <v>2005</v>
      </c>
      <c r="E3619" s="1">
        <v>102036</v>
      </c>
      <c r="F3619" s="6" t="s">
        <v>5621</v>
      </c>
      <c r="G3619" s="15" t="str">
        <f>VLOOKUP(A3619,Movie!A:D,4,FALSE)</f>
        <v>Relativity</v>
      </c>
      <c r="H3619" s="14">
        <f>VLOOKUP(E3619,'Rental Transaction'!A:B,2,FALSE)</f>
        <v>226909</v>
      </c>
      <c r="I3619">
        <f t="shared" si="56"/>
        <v>2013</v>
      </c>
    </row>
    <row r="3620" spans="1:9" ht="29.25">
      <c r="A3620" s="1">
        <v>10264</v>
      </c>
      <c r="B3620" s="1">
        <v>10</v>
      </c>
      <c r="C3620" s="2">
        <v>41538</v>
      </c>
      <c r="D3620" s="1" t="s">
        <v>2002</v>
      </c>
      <c r="E3620" s="1">
        <v>102036</v>
      </c>
      <c r="F3620" s="6" t="s">
        <v>5622</v>
      </c>
      <c r="G3620" s="15" t="str">
        <f>VLOOKUP(A3620,Movie!A:D,4,FALSE)</f>
        <v>Weinstein Company</v>
      </c>
      <c r="H3620" s="14">
        <f>VLOOKUP(E3620,'Rental Transaction'!A:B,2,FALSE)</f>
        <v>226909</v>
      </c>
      <c r="I3620">
        <f t="shared" si="56"/>
        <v>2013</v>
      </c>
    </row>
    <row r="3621" spans="1:9">
      <c r="A3621" s="1">
        <v>10168</v>
      </c>
      <c r="B3621" s="1">
        <v>10</v>
      </c>
      <c r="C3621" s="2">
        <v>41537</v>
      </c>
      <c r="D3621" s="1" t="s">
        <v>2005</v>
      </c>
      <c r="E3621" s="1">
        <v>102037</v>
      </c>
      <c r="F3621" s="6" t="s">
        <v>5623</v>
      </c>
      <c r="G3621" s="15" t="str">
        <f>VLOOKUP(A3621,Movie!A:D,4,FALSE)</f>
        <v>Paramount</v>
      </c>
      <c r="H3621" s="14">
        <f>VLOOKUP(E3621,'Rental Transaction'!A:B,2,FALSE)</f>
        <v>373200</v>
      </c>
      <c r="I3621">
        <f t="shared" si="56"/>
        <v>2013</v>
      </c>
    </row>
    <row r="3622" spans="1:9" ht="29.25">
      <c r="A3622" s="1">
        <v>10140</v>
      </c>
      <c r="B3622" s="1">
        <v>3</v>
      </c>
      <c r="C3622" s="2">
        <v>41536</v>
      </c>
      <c r="D3622" s="1" t="s">
        <v>2002</v>
      </c>
      <c r="E3622" s="1">
        <v>102037</v>
      </c>
      <c r="F3622" s="6" t="s">
        <v>5624</v>
      </c>
      <c r="G3622" s="15" t="str">
        <f>VLOOKUP(A3622,Movie!A:D,4,FALSE)</f>
        <v>Weinstein Company</v>
      </c>
      <c r="H3622" s="14">
        <f>VLOOKUP(E3622,'Rental Transaction'!A:B,2,FALSE)</f>
        <v>373200</v>
      </c>
      <c r="I3622">
        <f t="shared" si="56"/>
        <v>2013</v>
      </c>
    </row>
    <row r="3623" spans="1:9">
      <c r="A3623" s="1">
        <v>10228</v>
      </c>
      <c r="B3623" s="1">
        <v>7</v>
      </c>
      <c r="C3623" s="2">
        <v>41537</v>
      </c>
      <c r="D3623" s="1" t="s">
        <v>2005</v>
      </c>
      <c r="E3623" s="1">
        <v>102037</v>
      </c>
      <c r="F3623" s="6" t="s">
        <v>5625</v>
      </c>
      <c r="G3623" s="15" t="str">
        <f>VLOOKUP(A3623,Movie!A:D,4,FALSE)</f>
        <v>Universal</v>
      </c>
      <c r="H3623" s="14">
        <f>VLOOKUP(E3623,'Rental Transaction'!A:B,2,FALSE)</f>
        <v>373200</v>
      </c>
      <c r="I3623">
        <f t="shared" si="56"/>
        <v>2013</v>
      </c>
    </row>
    <row r="3624" spans="1:9">
      <c r="A3624" s="1">
        <v>10064</v>
      </c>
      <c r="B3624" s="1">
        <v>2</v>
      </c>
      <c r="C3624" s="2">
        <v>41536</v>
      </c>
      <c r="D3624" s="1" t="s">
        <v>2005</v>
      </c>
      <c r="E3624" s="1">
        <v>102038</v>
      </c>
      <c r="F3624" s="6" t="s">
        <v>5626</v>
      </c>
      <c r="G3624" s="15" t="str">
        <f>VLOOKUP(A3624,Movie!A:D,4,FALSE)</f>
        <v>Universal</v>
      </c>
      <c r="H3624" s="14">
        <f>VLOOKUP(E3624,'Rental Transaction'!A:B,2,FALSE)</f>
        <v>227372</v>
      </c>
      <c r="I3624">
        <f t="shared" si="56"/>
        <v>2013</v>
      </c>
    </row>
    <row r="3625" spans="1:9">
      <c r="A3625" s="1">
        <v>10014</v>
      </c>
      <c r="B3625" s="1">
        <v>5</v>
      </c>
      <c r="C3625" s="2">
        <v>41536</v>
      </c>
      <c r="D3625" s="1" t="s">
        <v>2002</v>
      </c>
      <c r="E3625" s="1">
        <v>102038</v>
      </c>
      <c r="F3625" s="6" t="s">
        <v>5627</v>
      </c>
      <c r="G3625" s="15" t="str">
        <f>VLOOKUP(A3625,Movie!A:D,4,FALSE)</f>
        <v>Warner Brothers</v>
      </c>
      <c r="H3625" s="14">
        <f>VLOOKUP(E3625,'Rental Transaction'!A:B,2,FALSE)</f>
        <v>227372</v>
      </c>
      <c r="I3625">
        <f t="shared" si="56"/>
        <v>2013</v>
      </c>
    </row>
    <row r="3626" spans="1:9">
      <c r="A3626" s="1">
        <v>10195</v>
      </c>
      <c r="B3626" s="1">
        <v>6</v>
      </c>
      <c r="C3626" s="2">
        <v>41537</v>
      </c>
      <c r="D3626" s="1" t="s">
        <v>2002</v>
      </c>
      <c r="E3626" s="1">
        <v>102039</v>
      </c>
      <c r="F3626" s="6" t="s">
        <v>5628</v>
      </c>
      <c r="G3626" s="15" t="str">
        <f>VLOOKUP(A3626,Movie!A:D,4,FALSE)</f>
        <v>Sony</v>
      </c>
      <c r="H3626" s="14">
        <f>VLOOKUP(E3626,'Rental Transaction'!A:B,2,FALSE)</f>
        <v>610766</v>
      </c>
      <c r="I3626">
        <f t="shared" si="56"/>
        <v>2013</v>
      </c>
    </row>
    <row r="3627" spans="1:9">
      <c r="A3627" s="1">
        <v>10242</v>
      </c>
      <c r="B3627" s="1">
        <v>4</v>
      </c>
      <c r="C3627" s="2">
        <v>41536</v>
      </c>
      <c r="D3627" s="1" t="s">
        <v>2005</v>
      </c>
      <c r="E3627" s="1">
        <v>102039</v>
      </c>
      <c r="F3627" s="6" t="s">
        <v>5629</v>
      </c>
      <c r="G3627" s="15" t="str">
        <f>VLOOKUP(A3627,Movie!A:D,4,FALSE)</f>
        <v>Buena Vista</v>
      </c>
      <c r="H3627" s="14">
        <f>VLOOKUP(E3627,'Rental Transaction'!A:B,2,FALSE)</f>
        <v>610766</v>
      </c>
      <c r="I3627">
        <f t="shared" si="56"/>
        <v>2013</v>
      </c>
    </row>
    <row r="3628" spans="1:9">
      <c r="A3628" s="1">
        <v>10066</v>
      </c>
      <c r="B3628" s="1">
        <v>8</v>
      </c>
      <c r="C3628" s="2">
        <v>41537</v>
      </c>
      <c r="D3628" s="1" t="s">
        <v>2005</v>
      </c>
      <c r="E3628" s="1">
        <v>102040</v>
      </c>
      <c r="F3628" s="6" t="s">
        <v>5630</v>
      </c>
      <c r="G3628" s="15" t="str">
        <f>VLOOKUP(A3628,Movie!A:D,4,FALSE)</f>
        <v>Buena Vista</v>
      </c>
      <c r="H3628" s="14">
        <f>VLOOKUP(E3628,'Rental Transaction'!A:B,2,FALSE)</f>
        <v>197102</v>
      </c>
      <c r="I3628">
        <f t="shared" si="56"/>
        <v>2013</v>
      </c>
    </row>
    <row r="3629" spans="1:9">
      <c r="A3629" s="1">
        <v>10044</v>
      </c>
      <c r="B3629" s="1">
        <v>9</v>
      </c>
      <c r="C3629" s="2">
        <v>41536</v>
      </c>
      <c r="D3629" s="1" t="s">
        <v>2005</v>
      </c>
      <c r="E3629" s="1">
        <v>102040</v>
      </c>
      <c r="F3629" s="6" t="s">
        <v>5631</v>
      </c>
      <c r="G3629" s="15" t="str">
        <f>VLOOKUP(A3629,Movie!A:D,4,FALSE)</f>
        <v>Buena Vista</v>
      </c>
      <c r="H3629" s="14">
        <f>VLOOKUP(E3629,'Rental Transaction'!A:B,2,FALSE)</f>
        <v>197102</v>
      </c>
      <c r="I3629">
        <f t="shared" si="56"/>
        <v>2013</v>
      </c>
    </row>
    <row r="3630" spans="1:9">
      <c r="A3630" s="1">
        <v>10245</v>
      </c>
      <c r="B3630" s="1">
        <v>7</v>
      </c>
      <c r="C3630" s="2">
        <v>41537</v>
      </c>
      <c r="D3630" s="1" t="s">
        <v>2002</v>
      </c>
      <c r="E3630" s="1">
        <v>102040</v>
      </c>
      <c r="F3630" s="6" t="s">
        <v>5632</v>
      </c>
      <c r="G3630" s="15" t="str">
        <f>VLOOKUP(A3630,Movie!A:D,4,FALSE)</f>
        <v>Warner Brothers</v>
      </c>
      <c r="H3630" s="14">
        <f>VLOOKUP(E3630,'Rental Transaction'!A:B,2,FALSE)</f>
        <v>197102</v>
      </c>
      <c r="I3630">
        <f t="shared" si="56"/>
        <v>2013</v>
      </c>
    </row>
    <row r="3631" spans="1:9">
      <c r="A3631" s="1">
        <v>10257</v>
      </c>
      <c r="B3631" s="1">
        <v>10</v>
      </c>
      <c r="C3631" s="2">
        <v>41537</v>
      </c>
      <c r="D3631" s="1" t="s">
        <v>2005</v>
      </c>
      <c r="E3631" s="1">
        <v>102041</v>
      </c>
      <c r="F3631" s="6" t="s">
        <v>5633</v>
      </c>
      <c r="G3631" s="15" t="str">
        <f>VLOOKUP(A3631,Movie!A:D,4,FALSE)</f>
        <v>Fox</v>
      </c>
      <c r="H3631" s="14">
        <f>VLOOKUP(E3631,'Rental Transaction'!A:B,2,FALSE)</f>
        <v>464277</v>
      </c>
      <c r="I3631">
        <f t="shared" si="56"/>
        <v>2013</v>
      </c>
    </row>
    <row r="3632" spans="1:9">
      <c r="A3632" s="1">
        <v>10197</v>
      </c>
      <c r="B3632" s="1">
        <v>10</v>
      </c>
      <c r="C3632" s="2">
        <v>41537</v>
      </c>
      <c r="D3632" s="1" t="s">
        <v>2005</v>
      </c>
      <c r="E3632" s="1">
        <v>102041</v>
      </c>
      <c r="F3632" s="6" t="s">
        <v>5634</v>
      </c>
      <c r="G3632" s="15" t="str">
        <f>VLOOKUP(A3632,Movie!A:D,4,FALSE)</f>
        <v>Warner Brothers</v>
      </c>
      <c r="H3632" s="14">
        <f>VLOOKUP(E3632,'Rental Transaction'!A:B,2,FALSE)</f>
        <v>464277</v>
      </c>
      <c r="I3632">
        <f t="shared" si="56"/>
        <v>2013</v>
      </c>
    </row>
    <row r="3633" spans="1:9">
      <c r="A3633" s="1">
        <v>10171</v>
      </c>
      <c r="B3633" s="1">
        <v>3</v>
      </c>
      <c r="C3633" s="2">
        <v>41537</v>
      </c>
      <c r="D3633" s="1" t="s">
        <v>2005</v>
      </c>
      <c r="E3633" s="1">
        <v>102042</v>
      </c>
      <c r="F3633" s="6" t="s">
        <v>5635</v>
      </c>
      <c r="G3633" s="15" t="str">
        <f>VLOOKUP(A3633,Movie!A:D,4,FALSE)</f>
        <v>Universal</v>
      </c>
      <c r="H3633" s="14">
        <f>VLOOKUP(E3633,'Rental Transaction'!A:B,2,FALSE)</f>
        <v>274541</v>
      </c>
      <c r="I3633">
        <f t="shared" si="56"/>
        <v>2013</v>
      </c>
    </row>
    <row r="3634" spans="1:9" ht="29.25">
      <c r="A3634" s="1">
        <v>10285</v>
      </c>
      <c r="B3634" s="1">
        <v>9</v>
      </c>
      <c r="C3634" s="2">
        <v>41537</v>
      </c>
      <c r="D3634" s="1" t="s">
        <v>2002</v>
      </c>
      <c r="E3634" s="1">
        <v>102042</v>
      </c>
      <c r="F3634" s="6" t="s">
        <v>5636</v>
      </c>
      <c r="G3634" s="15" t="str">
        <f>VLOOKUP(A3634,Movie!A:D,4,FALSE)</f>
        <v>Roadside Attractions</v>
      </c>
      <c r="H3634" s="14">
        <f>VLOOKUP(E3634,'Rental Transaction'!A:B,2,FALSE)</f>
        <v>274541</v>
      </c>
      <c r="I3634">
        <f t="shared" si="56"/>
        <v>2013</v>
      </c>
    </row>
    <row r="3635" spans="1:9">
      <c r="A3635" s="1">
        <v>10127</v>
      </c>
      <c r="B3635" s="1">
        <v>2</v>
      </c>
      <c r="C3635" s="2">
        <v>41538</v>
      </c>
      <c r="D3635" s="1" t="s">
        <v>2002</v>
      </c>
      <c r="E3635" s="1">
        <v>102043</v>
      </c>
      <c r="F3635" s="6" t="s">
        <v>5637</v>
      </c>
      <c r="G3635" s="15" t="str">
        <f>VLOOKUP(A3635,Movie!A:D,4,FALSE)</f>
        <v>TriStar</v>
      </c>
      <c r="H3635" s="14">
        <f>VLOOKUP(E3635,'Rental Transaction'!A:B,2,FALSE)</f>
        <v>494106</v>
      </c>
      <c r="I3635">
        <f t="shared" si="56"/>
        <v>2013</v>
      </c>
    </row>
    <row r="3636" spans="1:9">
      <c r="A3636" s="1">
        <v>10258</v>
      </c>
      <c r="B3636" s="1">
        <v>6</v>
      </c>
      <c r="C3636" s="2">
        <v>41537</v>
      </c>
      <c r="D3636" s="1" t="s">
        <v>2005</v>
      </c>
      <c r="E3636" s="1">
        <v>102044</v>
      </c>
      <c r="F3636" s="6" t="s">
        <v>5638</v>
      </c>
      <c r="G3636" s="15" t="str">
        <f>VLOOKUP(A3636,Movie!A:D,4,FALSE)</f>
        <v>Warner Brothers</v>
      </c>
      <c r="H3636" s="14">
        <f>VLOOKUP(E3636,'Rental Transaction'!A:B,2,FALSE)</f>
        <v>846722</v>
      </c>
      <c r="I3636">
        <f t="shared" si="56"/>
        <v>2013</v>
      </c>
    </row>
    <row r="3637" spans="1:9">
      <c r="A3637" s="1">
        <v>10228</v>
      </c>
      <c r="B3637" s="1">
        <v>7</v>
      </c>
      <c r="C3637" s="2">
        <v>41539</v>
      </c>
      <c r="D3637" s="1" t="s">
        <v>2002</v>
      </c>
      <c r="E3637" s="1">
        <v>102045</v>
      </c>
      <c r="F3637" s="6" t="s">
        <v>5639</v>
      </c>
      <c r="G3637" s="15" t="str">
        <f>VLOOKUP(A3637,Movie!A:D,4,FALSE)</f>
        <v>Universal</v>
      </c>
      <c r="H3637" s="14">
        <f>VLOOKUP(E3637,'Rental Transaction'!A:B,2,FALSE)</f>
        <v>370366</v>
      </c>
      <c r="I3637">
        <f t="shared" si="56"/>
        <v>2013</v>
      </c>
    </row>
    <row r="3638" spans="1:9">
      <c r="A3638" s="1">
        <v>10289</v>
      </c>
      <c r="B3638" s="1">
        <v>8</v>
      </c>
      <c r="C3638" s="2">
        <v>41537</v>
      </c>
      <c r="D3638" s="1" t="s">
        <v>2005</v>
      </c>
      <c r="E3638" s="1">
        <v>102046</v>
      </c>
      <c r="F3638" s="6" t="s">
        <v>5640</v>
      </c>
      <c r="G3638" s="15" t="str">
        <f>VLOOKUP(A3638,Movie!A:D,4,FALSE)</f>
        <v>Open Road Films</v>
      </c>
      <c r="H3638" s="14">
        <f>VLOOKUP(E3638,'Rental Transaction'!A:B,2,FALSE)</f>
        <v>370366</v>
      </c>
      <c r="I3638">
        <f t="shared" si="56"/>
        <v>2013</v>
      </c>
    </row>
    <row r="3639" spans="1:9">
      <c r="A3639" s="1">
        <v>10044</v>
      </c>
      <c r="B3639" s="1">
        <v>9</v>
      </c>
      <c r="C3639" s="2">
        <v>41538</v>
      </c>
      <c r="D3639" s="1" t="s">
        <v>2005</v>
      </c>
      <c r="E3639" s="1">
        <v>102047</v>
      </c>
      <c r="F3639" s="6" t="s">
        <v>5641</v>
      </c>
      <c r="G3639" s="15" t="str">
        <f>VLOOKUP(A3639,Movie!A:D,4,FALSE)</f>
        <v>Buena Vista</v>
      </c>
      <c r="H3639" s="14">
        <f>VLOOKUP(E3639,'Rental Transaction'!A:B,2,FALSE)</f>
        <v>710047</v>
      </c>
      <c r="I3639">
        <f t="shared" si="56"/>
        <v>2013</v>
      </c>
    </row>
    <row r="3640" spans="1:9">
      <c r="A3640" s="1">
        <v>10289</v>
      </c>
      <c r="B3640" s="1">
        <v>3</v>
      </c>
      <c r="C3640" s="2">
        <v>41537</v>
      </c>
      <c r="D3640" s="1" t="s">
        <v>2002</v>
      </c>
      <c r="E3640" s="1">
        <v>102048</v>
      </c>
      <c r="F3640" s="6" t="s">
        <v>5642</v>
      </c>
      <c r="G3640" s="15" t="str">
        <f>VLOOKUP(A3640,Movie!A:D,4,FALSE)</f>
        <v>Open Road Films</v>
      </c>
      <c r="H3640" s="14">
        <f>VLOOKUP(E3640,'Rental Transaction'!A:B,2,FALSE)</f>
        <v>593317</v>
      </c>
      <c r="I3640">
        <f t="shared" si="56"/>
        <v>2013</v>
      </c>
    </row>
    <row r="3641" spans="1:9">
      <c r="A3641" s="1">
        <v>10111</v>
      </c>
      <c r="B3641" s="1">
        <v>7</v>
      </c>
      <c r="C3641" s="2">
        <v>41538</v>
      </c>
      <c r="D3641" s="1" t="s">
        <v>2002</v>
      </c>
      <c r="E3641" s="1">
        <v>102048</v>
      </c>
      <c r="F3641" s="6" t="s">
        <v>5643</v>
      </c>
      <c r="G3641" s="15" t="str">
        <f>VLOOKUP(A3641,Movie!A:D,4,FALSE)</f>
        <v>Fox</v>
      </c>
      <c r="H3641" s="14">
        <f>VLOOKUP(E3641,'Rental Transaction'!A:B,2,FALSE)</f>
        <v>593317</v>
      </c>
      <c r="I3641">
        <f t="shared" si="56"/>
        <v>2013</v>
      </c>
    </row>
    <row r="3642" spans="1:9">
      <c r="A3642" s="1">
        <v>10159</v>
      </c>
      <c r="B3642" s="1">
        <v>8</v>
      </c>
      <c r="C3642" s="2">
        <v>41537</v>
      </c>
      <c r="D3642" s="1" t="s">
        <v>2005</v>
      </c>
      <c r="E3642" s="1">
        <v>102049</v>
      </c>
      <c r="F3642" s="6" t="s">
        <v>5644</v>
      </c>
      <c r="G3642" s="15" t="str">
        <f>VLOOKUP(A3642,Movie!A:D,4,FALSE)</f>
        <v>Lionsgate</v>
      </c>
      <c r="H3642" s="14">
        <f>VLOOKUP(E3642,'Rental Transaction'!A:B,2,FALSE)</f>
        <v>846722</v>
      </c>
      <c r="I3642">
        <f t="shared" si="56"/>
        <v>2013</v>
      </c>
    </row>
    <row r="3643" spans="1:9">
      <c r="A3643" s="1">
        <v>10280</v>
      </c>
      <c r="B3643" s="1">
        <v>9</v>
      </c>
      <c r="C3643" s="2">
        <v>41537</v>
      </c>
      <c r="D3643" s="1" t="s">
        <v>2002</v>
      </c>
      <c r="E3643" s="1">
        <v>102050</v>
      </c>
      <c r="F3643" s="6" t="s">
        <v>5645</v>
      </c>
      <c r="G3643" s="15" t="str">
        <f>VLOOKUP(A3643,Movie!A:D,4,FALSE)</f>
        <v>Universal</v>
      </c>
      <c r="H3643" s="14">
        <f>VLOOKUP(E3643,'Rental Transaction'!A:B,2,FALSE)</f>
        <v>850933</v>
      </c>
      <c r="I3643">
        <f t="shared" si="56"/>
        <v>2013</v>
      </c>
    </row>
    <row r="3644" spans="1:9">
      <c r="A3644" s="1">
        <v>10009</v>
      </c>
      <c r="B3644" s="1">
        <v>5</v>
      </c>
      <c r="C3644" s="2">
        <v>41537</v>
      </c>
      <c r="D3644" s="1" t="s">
        <v>2005</v>
      </c>
      <c r="E3644" s="1">
        <v>102050</v>
      </c>
      <c r="F3644" s="6" t="s">
        <v>5646</v>
      </c>
      <c r="G3644" s="15" t="str">
        <f>VLOOKUP(A3644,Movie!A:D,4,FALSE)</f>
        <v>Warner Brothers</v>
      </c>
      <c r="H3644" s="14">
        <f>VLOOKUP(E3644,'Rental Transaction'!A:B,2,FALSE)</f>
        <v>850933</v>
      </c>
      <c r="I3644">
        <f t="shared" si="56"/>
        <v>2013</v>
      </c>
    </row>
    <row r="3645" spans="1:9">
      <c r="A3645" s="1">
        <v>10149</v>
      </c>
      <c r="B3645" s="1">
        <v>7</v>
      </c>
      <c r="C3645" s="2">
        <v>41537</v>
      </c>
      <c r="D3645" s="1" t="s">
        <v>2002</v>
      </c>
      <c r="E3645" s="1">
        <v>102050</v>
      </c>
      <c r="F3645" s="6" t="s">
        <v>5647</v>
      </c>
      <c r="G3645" s="15" t="str">
        <f>VLOOKUP(A3645,Movie!A:D,4,FALSE)</f>
        <v>Relativity</v>
      </c>
      <c r="H3645" s="14">
        <f>VLOOKUP(E3645,'Rental Transaction'!A:B,2,FALSE)</f>
        <v>850933</v>
      </c>
      <c r="I3645">
        <f t="shared" si="56"/>
        <v>2013</v>
      </c>
    </row>
    <row r="3646" spans="1:9">
      <c r="A3646" s="1">
        <v>10006</v>
      </c>
      <c r="B3646" s="1">
        <v>2</v>
      </c>
      <c r="C3646" s="2">
        <v>41538</v>
      </c>
      <c r="D3646" s="1" t="s">
        <v>2002</v>
      </c>
      <c r="E3646" s="1">
        <v>102051</v>
      </c>
      <c r="F3646" s="6" t="s">
        <v>5648</v>
      </c>
      <c r="G3646" s="15" t="str">
        <f>VLOOKUP(A3646,Movie!A:D,4,FALSE)</f>
        <v>Paramount</v>
      </c>
      <c r="H3646" s="14">
        <f>VLOOKUP(E3646,'Rental Transaction'!A:B,2,FALSE)</f>
        <v>442254</v>
      </c>
      <c r="I3646">
        <f t="shared" si="56"/>
        <v>2013</v>
      </c>
    </row>
    <row r="3647" spans="1:9">
      <c r="A3647" s="1">
        <v>10182</v>
      </c>
      <c r="B3647" s="1">
        <v>2</v>
      </c>
      <c r="C3647" s="2">
        <v>41537</v>
      </c>
      <c r="D3647" s="1" t="s">
        <v>2005</v>
      </c>
      <c r="E3647" s="1">
        <v>102051</v>
      </c>
      <c r="F3647" s="6" t="s">
        <v>5649</v>
      </c>
      <c r="G3647" s="15" t="str">
        <f>VLOOKUP(A3647,Movie!A:D,4,FALSE)</f>
        <v>Warner Brothers</v>
      </c>
      <c r="H3647" s="14">
        <f>VLOOKUP(E3647,'Rental Transaction'!A:B,2,FALSE)</f>
        <v>442254</v>
      </c>
      <c r="I3647">
        <f t="shared" si="56"/>
        <v>2013</v>
      </c>
    </row>
    <row r="3648" spans="1:9">
      <c r="A3648" s="1">
        <v>10079</v>
      </c>
      <c r="B3648" s="1">
        <v>3</v>
      </c>
      <c r="C3648" s="2">
        <v>41537</v>
      </c>
      <c r="D3648" s="1" t="s">
        <v>2002</v>
      </c>
      <c r="E3648" s="1">
        <v>102052</v>
      </c>
      <c r="F3648" s="6" t="s">
        <v>5650</v>
      </c>
      <c r="G3648" s="15" t="str">
        <f>VLOOKUP(A3648,Movie!A:D,4,FALSE)</f>
        <v>Warner Brothers</v>
      </c>
      <c r="H3648" s="14">
        <f>VLOOKUP(E3648,'Rental Transaction'!A:B,2,FALSE)</f>
        <v>670707</v>
      </c>
      <c r="I3648">
        <f t="shared" si="56"/>
        <v>2013</v>
      </c>
    </row>
    <row r="3649" spans="1:9">
      <c r="A3649" s="1">
        <v>10023</v>
      </c>
      <c r="B3649" s="1">
        <v>9</v>
      </c>
      <c r="C3649" s="2">
        <v>41538</v>
      </c>
      <c r="D3649" s="1" t="s">
        <v>2005</v>
      </c>
      <c r="E3649" s="1">
        <v>102052</v>
      </c>
      <c r="F3649" s="6" t="s">
        <v>5651</v>
      </c>
      <c r="G3649" s="15" t="str">
        <f>VLOOKUP(A3649,Movie!A:D,4,FALSE)</f>
        <v>Buena Vista</v>
      </c>
      <c r="H3649" s="14">
        <f>VLOOKUP(E3649,'Rental Transaction'!A:B,2,FALSE)</f>
        <v>670707</v>
      </c>
      <c r="I3649">
        <f t="shared" si="56"/>
        <v>2013</v>
      </c>
    </row>
    <row r="3650" spans="1:9">
      <c r="A3650" s="1">
        <v>10135</v>
      </c>
      <c r="B3650" s="1">
        <v>8</v>
      </c>
      <c r="C3650" s="2">
        <v>41538</v>
      </c>
      <c r="D3650" s="1" t="s">
        <v>2005</v>
      </c>
      <c r="E3650" s="1">
        <v>102053</v>
      </c>
      <c r="F3650" s="6" t="s">
        <v>5652</v>
      </c>
      <c r="G3650" s="15" t="str">
        <f>VLOOKUP(A3650,Movie!A:D,4,FALSE)</f>
        <v>Universal</v>
      </c>
      <c r="H3650" s="14">
        <f>VLOOKUP(E3650,'Rental Transaction'!A:B,2,FALSE)</f>
        <v>412235</v>
      </c>
      <c r="I3650">
        <f t="shared" si="56"/>
        <v>2013</v>
      </c>
    </row>
    <row r="3651" spans="1:9">
      <c r="A3651" s="1">
        <v>10194</v>
      </c>
      <c r="B3651" s="1">
        <v>5</v>
      </c>
      <c r="C3651" s="2">
        <v>41538</v>
      </c>
      <c r="D3651" s="1" t="s">
        <v>2002</v>
      </c>
      <c r="E3651" s="1">
        <v>102054</v>
      </c>
      <c r="F3651" s="6" t="s">
        <v>5653</v>
      </c>
      <c r="G3651" s="15" t="str">
        <f>VLOOKUP(A3651,Movie!A:D,4,FALSE)</f>
        <v>FilmDistrict</v>
      </c>
      <c r="H3651" s="14">
        <f>VLOOKUP(E3651,'Rental Transaction'!A:B,2,FALSE)</f>
        <v>678940</v>
      </c>
      <c r="I3651">
        <f t="shared" ref="I3651:I3714" si="57">YEAR(C3651)</f>
        <v>2013</v>
      </c>
    </row>
    <row r="3652" spans="1:9">
      <c r="A3652" s="1">
        <v>10035</v>
      </c>
      <c r="B3652" s="1">
        <v>8</v>
      </c>
      <c r="C3652" s="2">
        <v>41537</v>
      </c>
      <c r="D3652" s="1" t="s">
        <v>2002</v>
      </c>
      <c r="E3652" s="1">
        <v>102054</v>
      </c>
      <c r="F3652" s="6" t="s">
        <v>5654</v>
      </c>
      <c r="G3652" s="15" t="str">
        <f>VLOOKUP(A3652,Movie!A:D,4,FALSE)</f>
        <v>Sony</v>
      </c>
      <c r="H3652" s="14">
        <f>VLOOKUP(E3652,'Rental Transaction'!A:B,2,FALSE)</f>
        <v>678940</v>
      </c>
      <c r="I3652">
        <f t="shared" si="57"/>
        <v>2013</v>
      </c>
    </row>
    <row r="3653" spans="1:9">
      <c r="A3653" s="1">
        <v>10106</v>
      </c>
      <c r="B3653" s="1">
        <v>4</v>
      </c>
      <c r="C3653" s="2">
        <v>41537</v>
      </c>
      <c r="D3653" s="1" t="s">
        <v>2005</v>
      </c>
      <c r="E3653" s="1">
        <v>102055</v>
      </c>
      <c r="F3653" s="6" t="s">
        <v>5655</v>
      </c>
      <c r="G3653" s="15" t="str">
        <f>VLOOKUP(A3653,Movie!A:D,4,FALSE)</f>
        <v>Fox</v>
      </c>
      <c r="H3653" s="14">
        <f>VLOOKUP(E3653,'Rental Transaction'!A:B,2,FALSE)</f>
        <v>739440</v>
      </c>
      <c r="I3653">
        <f t="shared" si="57"/>
        <v>2013</v>
      </c>
    </row>
    <row r="3654" spans="1:9">
      <c r="A3654" s="1">
        <v>10014</v>
      </c>
      <c r="B3654" s="1">
        <v>1</v>
      </c>
      <c r="C3654" s="2">
        <v>41538</v>
      </c>
      <c r="D3654" s="1" t="s">
        <v>2002</v>
      </c>
      <c r="E3654" s="1">
        <v>102056</v>
      </c>
      <c r="F3654" s="6" t="s">
        <v>5656</v>
      </c>
      <c r="G3654" s="15" t="str">
        <f>VLOOKUP(A3654,Movie!A:D,4,FALSE)</f>
        <v>Warner Brothers</v>
      </c>
      <c r="H3654" s="14">
        <f>VLOOKUP(E3654,'Rental Transaction'!A:B,2,FALSE)</f>
        <v>974503</v>
      </c>
      <c r="I3654">
        <f t="shared" si="57"/>
        <v>2013</v>
      </c>
    </row>
    <row r="3655" spans="1:9">
      <c r="A3655" s="1">
        <v>10032</v>
      </c>
      <c r="B3655" s="1">
        <v>10</v>
      </c>
      <c r="C3655" s="2">
        <v>41539</v>
      </c>
      <c r="D3655" s="1" t="s">
        <v>2005</v>
      </c>
      <c r="E3655" s="1">
        <v>102056</v>
      </c>
      <c r="F3655" s="6" t="s">
        <v>5657</v>
      </c>
      <c r="G3655" s="15" t="str">
        <f>VLOOKUP(A3655,Movie!A:D,4,FALSE)</f>
        <v>Sony</v>
      </c>
      <c r="H3655" s="14">
        <f>VLOOKUP(E3655,'Rental Transaction'!A:B,2,FALSE)</f>
        <v>974503</v>
      </c>
      <c r="I3655">
        <f t="shared" si="57"/>
        <v>2013</v>
      </c>
    </row>
    <row r="3656" spans="1:9">
      <c r="A3656" s="1">
        <v>10037</v>
      </c>
      <c r="B3656" s="1">
        <v>9</v>
      </c>
      <c r="C3656" s="2">
        <v>41538</v>
      </c>
      <c r="D3656" s="1" t="s">
        <v>2002</v>
      </c>
      <c r="E3656" s="1">
        <v>102056</v>
      </c>
      <c r="F3656" s="6" t="s">
        <v>5658</v>
      </c>
      <c r="G3656" s="15" t="str">
        <f>VLOOKUP(A3656,Movie!A:D,4,FALSE)</f>
        <v>Buena Vista</v>
      </c>
      <c r="H3656" s="14">
        <f>VLOOKUP(E3656,'Rental Transaction'!A:B,2,FALSE)</f>
        <v>974503</v>
      </c>
      <c r="I3656">
        <f t="shared" si="57"/>
        <v>2013</v>
      </c>
    </row>
    <row r="3657" spans="1:9">
      <c r="A3657" s="1">
        <v>10124</v>
      </c>
      <c r="B3657" s="1">
        <v>4</v>
      </c>
      <c r="C3657" s="2">
        <v>41540</v>
      </c>
      <c r="D3657" s="1" t="s">
        <v>2005</v>
      </c>
      <c r="E3657" s="1">
        <v>102057</v>
      </c>
      <c r="F3657" s="6" t="s">
        <v>5659</v>
      </c>
      <c r="G3657" s="15" t="str">
        <f>VLOOKUP(A3657,Movie!A:D,4,FALSE)</f>
        <v>Paramount</v>
      </c>
      <c r="H3657" s="14">
        <f>VLOOKUP(E3657,'Rental Transaction'!A:B,2,FALSE)</f>
        <v>470304</v>
      </c>
      <c r="I3657">
        <f t="shared" si="57"/>
        <v>2013</v>
      </c>
    </row>
    <row r="3658" spans="1:9">
      <c r="A3658" s="1">
        <v>10038</v>
      </c>
      <c r="B3658" s="1">
        <v>8</v>
      </c>
      <c r="C3658" s="2">
        <v>41538</v>
      </c>
      <c r="D3658" s="1" t="s">
        <v>2002</v>
      </c>
      <c r="E3658" s="1">
        <v>102058</v>
      </c>
      <c r="F3658" s="6" t="s">
        <v>5660</v>
      </c>
      <c r="G3658" s="15" t="str">
        <f>VLOOKUP(A3658,Movie!A:D,4,FALSE)</f>
        <v>Paramount</v>
      </c>
      <c r="H3658" s="14">
        <f>VLOOKUP(E3658,'Rental Transaction'!A:B,2,FALSE)</f>
        <v>977759</v>
      </c>
      <c r="I3658">
        <f t="shared" si="57"/>
        <v>2013</v>
      </c>
    </row>
    <row r="3659" spans="1:9">
      <c r="A3659" s="1">
        <v>10133</v>
      </c>
      <c r="B3659" s="1">
        <v>1</v>
      </c>
      <c r="C3659" s="2">
        <v>41538</v>
      </c>
      <c r="D3659" s="1" t="s">
        <v>2002</v>
      </c>
      <c r="E3659" s="1">
        <v>102059</v>
      </c>
      <c r="F3659" s="6" t="s">
        <v>5661</v>
      </c>
      <c r="G3659" s="15" t="str">
        <f>VLOOKUP(A3659,Movie!A:D,4,FALSE)</f>
        <v>Fox</v>
      </c>
      <c r="H3659" s="14">
        <f>VLOOKUP(E3659,'Rental Transaction'!A:B,2,FALSE)</f>
        <v>412544</v>
      </c>
      <c r="I3659">
        <f t="shared" si="57"/>
        <v>2013</v>
      </c>
    </row>
    <row r="3660" spans="1:9" ht="29.25">
      <c r="A3660" s="1">
        <v>10239</v>
      </c>
      <c r="B3660" s="1">
        <v>8</v>
      </c>
      <c r="C3660" s="2">
        <v>41540</v>
      </c>
      <c r="D3660" s="1" t="s">
        <v>2005</v>
      </c>
      <c r="E3660" s="1">
        <v>102060</v>
      </c>
      <c r="F3660" s="6" t="s">
        <v>5662</v>
      </c>
      <c r="G3660" s="15" t="str">
        <f>VLOOKUP(A3660,Movie!A:D,4,FALSE)</f>
        <v>Weinstein Company</v>
      </c>
      <c r="H3660" s="14">
        <f>VLOOKUP(E3660,'Rental Transaction'!A:B,2,FALSE)</f>
        <v>412544</v>
      </c>
      <c r="I3660">
        <f t="shared" si="57"/>
        <v>2013</v>
      </c>
    </row>
    <row r="3661" spans="1:9">
      <c r="A3661" s="1">
        <v>10291</v>
      </c>
      <c r="B3661" s="1">
        <v>9</v>
      </c>
      <c r="C3661" s="2">
        <v>41539</v>
      </c>
      <c r="D3661" s="1" t="s">
        <v>2005</v>
      </c>
      <c r="E3661" s="1">
        <v>102060</v>
      </c>
      <c r="F3661" s="6" t="s">
        <v>5663</v>
      </c>
      <c r="G3661" s="15" t="str">
        <f>VLOOKUP(A3661,Movie!A:D,4,FALSE)</f>
        <v>Warner Brothers</v>
      </c>
      <c r="H3661" s="14">
        <f>VLOOKUP(E3661,'Rental Transaction'!A:B,2,FALSE)</f>
        <v>412544</v>
      </c>
      <c r="I3661">
        <f t="shared" si="57"/>
        <v>2013</v>
      </c>
    </row>
    <row r="3662" spans="1:9">
      <c r="A3662" s="1">
        <v>10127</v>
      </c>
      <c r="B3662" s="1">
        <v>6</v>
      </c>
      <c r="C3662" s="2">
        <v>41538</v>
      </c>
      <c r="D3662" s="1" t="s">
        <v>2002</v>
      </c>
      <c r="E3662" s="1">
        <v>102061</v>
      </c>
      <c r="F3662" s="6" t="s">
        <v>5664</v>
      </c>
      <c r="G3662" s="15" t="str">
        <f>VLOOKUP(A3662,Movie!A:D,4,FALSE)</f>
        <v>TriStar</v>
      </c>
      <c r="H3662" s="14">
        <f>VLOOKUP(E3662,'Rental Transaction'!A:B,2,FALSE)</f>
        <v>744648</v>
      </c>
      <c r="I3662">
        <f t="shared" si="57"/>
        <v>2013</v>
      </c>
    </row>
    <row r="3663" spans="1:9">
      <c r="A3663" s="1">
        <v>10066</v>
      </c>
      <c r="B3663" s="1">
        <v>3</v>
      </c>
      <c r="C3663" s="2">
        <v>41539</v>
      </c>
      <c r="D3663" s="1" t="s">
        <v>2005</v>
      </c>
      <c r="E3663" s="1">
        <v>102061</v>
      </c>
      <c r="F3663" s="6" t="s">
        <v>5665</v>
      </c>
      <c r="G3663" s="15" t="str">
        <f>VLOOKUP(A3663,Movie!A:D,4,FALSE)</f>
        <v>Buena Vista</v>
      </c>
      <c r="H3663" s="14">
        <f>VLOOKUP(E3663,'Rental Transaction'!A:B,2,FALSE)</f>
        <v>744648</v>
      </c>
      <c r="I3663">
        <f t="shared" si="57"/>
        <v>2013</v>
      </c>
    </row>
    <row r="3664" spans="1:9">
      <c r="A3664" s="1">
        <v>10039</v>
      </c>
      <c r="B3664" s="1">
        <v>9</v>
      </c>
      <c r="C3664" s="2">
        <v>41538</v>
      </c>
      <c r="D3664" s="1" t="s">
        <v>2002</v>
      </c>
      <c r="E3664" s="1">
        <v>102061</v>
      </c>
      <c r="F3664" s="6" t="s">
        <v>5666</v>
      </c>
      <c r="G3664" s="15" t="str">
        <f>VLOOKUP(A3664,Movie!A:D,4,FALSE)</f>
        <v>Open Road Films</v>
      </c>
      <c r="H3664" s="14">
        <f>VLOOKUP(E3664,'Rental Transaction'!A:B,2,FALSE)</f>
        <v>744648</v>
      </c>
      <c r="I3664">
        <f t="shared" si="57"/>
        <v>2013</v>
      </c>
    </row>
    <row r="3665" spans="1:9">
      <c r="A3665" s="1">
        <v>10193</v>
      </c>
      <c r="B3665" s="1">
        <v>2</v>
      </c>
      <c r="C3665" s="2">
        <v>41538</v>
      </c>
      <c r="D3665" s="1" t="s">
        <v>2002</v>
      </c>
      <c r="E3665" s="1">
        <v>102062</v>
      </c>
      <c r="F3665" s="6" t="s">
        <v>5667</v>
      </c>
      <c r="G3665" s="15" t="str">
        <f>VLOOKUP(A3665,Movie!A:D,4,FALSE)</f>
        <v>Fox</v>
      </c>
      <c r="H3665" s="14">
        <f>VLOOKUP(E3665,'Rental Transaction'!A:B,2,FALSE)</f>
        <v>748326</v>
      </c>
      <c r="I3665">
        <f t="shared" si="57"/>
        <v>2013</v>
      </c>
    </row>
    <row r="3666" spans="1:9">
      <c r="A3666" s="1">
        <v>10240</v>
      </c>
      <c r="B3666" s="1">
        <v>3</v>
      </c>
      <c r="C3666" s="2">
        <v>41540</v>
      </c>
      <c r="D3666" s="1" t="s">
        <v>2002</v>
      </c>
      <c r="E3666" s="1">
        <v>102062</v>
      </c>
      <c r="F3666" s="6" t="s">
        <v>5668</v>
      </c>
      <c r="G3666" s="15" t="str">
        <f>VLOOKUP(A3666,Movie!A:D,4,FALSE)</f>
        <v>Warner Brothers</v>
      </c>
      <c r="H3666" s="14">
        <f>VLOOKUP(E3666,'Rental Transaction'!A:B,2,FALSE)</f>
        <v>748326</v>
      </c>
      <c r="I3666">
        <f t="shared" si="57"/>
        <v>2013</v>
      </c>
    </row>
    <row r="3667" spans="1:9">
      <c r="A3667" s="1">
        <v>10117</v>
      </c>
      <c r="B3667" s="1">
        <v>4</v>
      </c>
      <c r="C3667" s="2">
        <v>41539</v>
      </c>
      <c r="D3667" s="1" t="s">
        <v>2005</v>
      </c>
      <c r="E3667" s="1">
        <v>102063</v>
      </c>
      <c r="F3667" s="6" t="s">
        <v>5669</v>
      </c>
      <c r="G3667" s="15" t="str">
        <f>VLOOKUP(A3667,Movie!A:D,4,FALSE)</f>
        <v>Sony</v>
      </c>
      <c r="H3667" s="14">
        <f>VLOOKUP(E3667,'Rental Transaction'!A:B,2,FALSE)</f>
        <v>403000</v>
      </c>
      <c r="I3667">
        <f t="shared" si="57"/>
        <v>2013</v>
      </c>
    </row>
    <row r="3668" spans="1:9">
      <c r="A3668" s="1">
        <v>10169</v>
      </c>
      <c r="B3668" s="1">
        <v>5</v>
      </c>
      <c r="C3668" s="2">
        <v>41538</v>
      </c>
      <c r="D3668" s="1" t="s">
        <v>2005</v>
      </c>
      <c r="E3668" s="1">
        <v>102064</v>
      </c>
      <c r="F3668" s="6" t="s">
        <v>5670</v>
      </c>
      <c r="G3668" s="15" t="str">
        <f>VLOOKUP(A3668,Movie!A:D,4,FALSE)</f>
        <v>Warner Brothers</v>
      </c>
      <c r="H3668" s="14">
        <f>VLOOKUP(E3668,'Rental Transaction'!A:B,2,FALSE)</f>
        <v>972329</v>
      </c>
      <c r="I3668">
        <f t="shared" si="57"/>
        <v>2013</v>
      </c>
    </row>
    <row r="3669" spans="1:9">
      <c r="A3669" s="1">
        <v>10209</v>
      </c>
      <c r="B3669" s="1">
        <v>4</v>
      </c>
      <c r="C3669" s="2">
        <v>41538</v>
      </c>
      <c r="D3669" s="1" t="s">
        <v>2002</v>
      </c>
      <c r="E3669" s="1">
        <v>102065</v>
      </c>
      <c r="F3669" s="6" t="s">
        <v>5671</v>
      </c>
      <c r="G3669" s="15" t="str">
        <f>VLOOKUP(A3669,Movie!A:D,4,FALSE)</f>
        <v>Universal</v>
      </c>
      <c r="H3669" s="14">
        <f>VLOOKUP(E3669,'Rental Transaction'!A:B,2,FALSE)</f>
        <v>549823</v>
      </c>
      <c r="I3669">
        <f t="shared" si="57"/>
        <v>2013</v>
      </c>
    </row>
    <row r="3670" spans="1:9" ht="29.25">
      <c r="A3670" s="1">
        <v>10294</v>
      </c>
      <c r="B3670" s="1">
        <v>5</v>
      </c>
      <c r="C3670" s="2">
        <v>41538</v>
      </c>
      <c r="D3670" s="1" t="s">
        <v>2005</v>
      </c>
      <c r="E3670" s="1">
        <v>102065</v>
      </c>
      <c r="F3670" s="6" t="s">
        <v>5672</v>
      </c>
      <c r="G3670" s="15" t="str">
        <f>VLOOKUP(A3670,Movie!A:D,4,FALSE)</f>
        <v>Weinstein Company</v>
      </c>
      <c r="H3670" s="14">
        <f>VLOOKUP(E3670,'Rental Transaction'!A:B,2,FALSE)</f>
        <v>549823</v>
      </c>
      <c r="I3670">
        <f t="shared" si="57"/>
        <v>2013</v>
      </c>
    </row>
    <row r="3671" spans="1:9">
      <c r="A3671" s="1">
        <v>10142</v>
      </c>
      <c r="B3671" s="1">
        <v>9</v>
      </c>
      <c r="C3671" s="2">
        <v>41539</v>
      </c>
      <c r="D3671" s="1" t="s">
        <v>2005</v>
      </c>
      <c r="E3671" s="1">
        <v>102066</v>
      </c>
      <c r="F3671" s="6" t="s">
        <v>5673</v>
      </c>
      <c r="G3671" s="15" t="str">
        <f>VLOOKUP(A3671,Movie!A:D,4,FALSE)</f>
        <v>Warner Brothers</v>
      </c>
      <c r="H3671" s="14">
        <f>VLOOKUP(E3671,'Rental Transaction'!A:B,2,FALSE)</f>
        <v>384899</v>
      </c>
      <c r="I3671">
        <f t="shared" si="57"/>
        <v>2013</v>
      </c>
    </row>
    <row r="3672" spans="1:9">
      <c r="A3672" s="1">
        <v>10219</v>
      </c>
      <c r="B3672" s="1">
        <v>10</v>
      </c>
      <c r="C3672" s="2">
        <v>41538</v>
      </c>
      <c r="D3672" s="1" t="s">
        <v>2002</v>
      </c>
      <c r="E3672" s="1">
        <v>102066</v>
      </c>
      <c r="F3672" s="6" t="s">
        <v>5674</v>
      </c>
      <c r="G3672" s="15" t="str">
        <f>VLOOKUP(A3672,Movie!A:D,4,FALSE)</f>
        <v>Paramount</v>
      </c>
      <c r="H3672" s="14">
        <f>VLOOKUP(E3672,'Rental Transaction'!A:B,2,FALSE)</f>
        <v>384899</v>
      </c>
      <c r="I3672">
        <f t="shared" si="57"/>
        <v>2013</v>
      </c>
    </row>
    <row r="3673" spans="1:9">
      <c r="A3673" s="1">
        <v>10254</v>
      </c>
      <c r="B3673" s="1">
        <v>1</v>
      </c>
      <c r="C3673" s="2">
        <v>41538</v>
      </c>
      <c r="D3673" s="1" t="s">
        <v>2002</v>
      </c>
      <c r="E3673" s="1">
        <v>102067</v>
      </c>
      <c r="F3673" s="6" t="s">
        <v>5675</v>
      </c>
      <c r="G3673" s="15" t="str">
        <f>VLOOKUP(A3673,Movie!A:D,4,FALSE)</f>
        <v>Paramount</v>
      </c>
      <c r="H3673" s="14">
        <f>VLOOKUP(E3673,'Rental Transaction'!A:B,2,FALSE)</f>
        <v>442691</v>
      </c>
      <c r="I3673">
        <f t="shared" si="57"/>
        <v>2013</v>
      </c>
    </row>
    <row r="3674" spans="1:9">
      <c r="A3674" s="1">
        <v>10055</v>
      </c>
      <c r="B3674" s="1">
        <v>9</v>
      </c>
      <c r="C3674" s="2">
        <v>41538</v>
      </c>
      <c r="D3674" s="1" t="s">
        <v>2002</v>
      </c>
      <c r="E3674" s="1">
        <v>102068</v>
      </c>
      <c r="F3674" s="6" t="s">
        <v>5676</v>
      </c>
      <c r="G3674" s="15" t="str">
        <f>VLOOKUP(A3674,Movie!A:D,4,FALSE)</f>
        <v>Sony Classics</v>
      </c>
      <c r="H3674" s="14">
        <f>VLOOKUP(E3674,'Rental Transaction'!A:B,2,FALSE)</f>
        <v>205190</v>
      </c>
      <c r="I3674">
        <f t="shared" si="57"/>
        <v>2013</v>
      </c>
    </row>
    <row r="3675" spans="1:9">
      <c r="A3675" s="1">
        <v>10036</v>
      </c>
      <c r="B3675" s="1">
        <v>2</v>
      </c>
      <c r="C3675" s="2">
        <v>41538</v>
      </c>
      <c r="D3675" s="1" t="s">
        <v>2002</v>
      </c>
      <c r="E3675" s="1">
        <v>102068</v>
      </c>
      <c r="F3675" s="6" t="s">
        <v>5677</v>
      </c>
      <c r="G3675" s="15" t="str">
        <f>VLOOKUP(A3675,Movie!A:D,4,FALSE)</f>
        <v>Universal</v>
      </c>
      <c r="H3675" s="14">
        <f>VLOOKUP(E3675,'Rental Transaction'!A:B,2,FALSE)</f>
        <v>205190</v>
      </c>
      <c r="I3675">
        <f t="shared" si="57"/>
        <v>2013</v>
      </c>
    </row>
    <row r="3676" spans="1:9">
      <c r="A3676" s="1">
        <v>10060</v>
      </c>
      <c r="B3676" s="1">
        <v>9</v>
      </c>
      <c r="C3676" s="2">
        <v>41539</v>
      </c>
      <c r="D3676" s="1" t="s">
        <v>2005</v>
      </c>
      <c r="E3676" s="1">
        <v>102069</v>
      </c>
      <c r="F3676" s="6" t="s">
        <v>5678</v>
      </c>
      <c r="G3676" s="15" t="str">
        <f>VLOOKUP(A3676,Movie!A:D,4,FALSE)</f>
        <v>Warner Brothers</v>
      </c>
      <c r="H3676" s="14">
        <f>VLOOKUP(E3676,'Rental Transaction'!A:B,2,FALSE)</f>
        <v>196068</v>
      </c>
      <c r="I3676">
        <f t="shared" si="57"/>
        <v>2013</v>
      </c>
    </row>
    <row r="3677" spans="1:9">
      <c r="A3677" s="1">
        <v>10284</v>
      </c>
      <c r="B3677" s="1">
        <v>1</v>
      </c>
      <c r="C3677" s="2">
        <v>41538</v>
      </c>
      <c r="D3677" s="1" t="s">
        <v>2005</v>
      </c>
      <c r="E3677" s="1">
        <v>102070</v>
      </c>
      <c r="F3677" s="6" t="s">
        <v>5679</v>
      </c>
      <c r="G3677" s="15" t="str">
        <f>VLOOKUP(A3677,Movie!A:D,4,FALSE)</f>
        <v>Focus</v>
      </c>
      <c r="H3677" s="14">
        <f>VLOOKUP(E3677,'Rental Transaction'!A:B,2,FALSE)</f>
        <v>728908</v>
      </c>
      <c r="I3677">
        <f t="shared" si="57"/>
        <v>2013</v>
      </c>
    </row>
    <row r="3678" spans="1:9">
      <c r="A3678" s="1">
        <v>10188</v>
      </c>
      <c r="B3678" s="1">
        <v>1</v>
      </c>
      <c r="C3678" s="2">
        <v>41538</v>
      </c>
      <c r="D3678" s="1" t="s">
        <v>2005</v>
      </c>
      <c r="E3678" s="1">
        <v>102071</v>
      </c>
      <c r="F3678" s="6" t="s">
        <v>5680</v>
      </c>
      <c r="G3678" s="15" t="str">
        <f>VLOOKUP(A3678,Movie!A:D,4,FALSE)</f>
        <v>Paramount</v>
      </c>
      <c r="H3678" s="14">
        <f>VLOOKUP(E3678,'Rental Transaction'!A:B,2,FALSE)</f>
        <v>226209</v>
      </c>
      <c r="I3678">
        <f t="shared" si="57"/>
        <v>2013</v>
      </c>
    </row>
    <row r="3679" spans="1:9">
      <c r="A3679" s="1">
        <v>10276</v>
      </c>
      <c r="B3679" s="1">
        <v>7</v>
      </c>
      <c r="C3679" s="2">
        <v>41539</v>
      </c>
      <c r="D3679" s="1" t="s">
        <v>2002</v>
      </c>
      <c r="E3679" s="1">
        <v>102072</v>
      </c>
      <c r="F3679" s="6" t="s">
        <v>5681</v>
      </c>
      <c r="G3679" s="15" t="str">
        <f>VLOOKUP(A3679,Movie!A:D,4,FALSE)</f>
        <v>FilmDistrict</v>
      </c>
      <c r="H3679" s="14">
        <f>VLOOKUP(E3679,'Rental Transaction'!A:B,2,FALSE)</f>
        <v>296886</v>
      </c>
      <c r="I3679">
        <f t="shared" si="57"/>
        <v>2013</v>
      </c>
    </row>
    <row r="3680" spans="1:9">
      <c r="A3680" s="1">
        <v>10219</v>
      </c>
      <c r="B3680" s="1">
        <v>9</v>
      </c>
      <c r="C3680" s="2">
        <v>41538</v>
      </c>
      <c r="D3680" s="1" t="s">
        <v>2002</v>
      </c>
      <c r="E3680" s="1">
        <v>102072</v>
      </c>
      <c r="F3680" s="6" t="s">
        <v>5682</v>
      </c>
      <c r="G3680" s="15" t="str">
        <f>VLOOKUP(A3680,Movie!A:D,4,FALSE)</f>
        <v>Paramount</v>
      </c>
      <c r="H3680" s="14">
        <f>VLOOKUP(E3680,'Rental Transaction'!A:B,2,FALSE)</f>
        <v>296886</v>
      </c>
      <c r="I3680">
        <f t="shared" si="57"/>
        <v>2013</v>
      </c>
    </row>
    <row r="3681" spans="1:9">
      <c r="A3681" s="1">
        <v>10008</v>
      </c>
      <c r="B3681" s="1">
        <v>4</v>
      </c>
      <c r="C3681" s="2">
        <v>41539</v>
      </c>
      <c r="D3681" s="1" t="s">
        <v>2002</v>
      </c>
      <c r="E3681" s="1">
        <v>102072</v>
      </c>
      <c r="F3681" s="6" t="s">
        <v>5683</v>
      </c>
      <c r="G3681" s="15" t="str">
        <f>VLOOKUP(A3681,Movie!A:D,4,FALSE)</f>
        <v>Sony</v>
      </c>
      <c r="H3681" s="14">
        <f>VLOOKUP(E3681,'Rental Transaction'!A:B,2,FALSE)</f>
        <v>296886</v>
      </c>
      <c r="I3681">
        <f t="shared" si="57"/>
        <v>2013</v>
      </c>
    </row>
    <row r="3682" spans="1:9">
      <c r="A3682" s="1">
        <v>10108</v>
      </c>
      <c r="B3682" s="1">
        <v>7</v>
      </c>
      <c r="C3682" s="2">
        <v>41538</v>
      </c>
      <c r="D3682" s="1" t="s">
        <v>2005</v>
      </c>
      <c r="E3682" s="1">
        <v>102073</v>
      </c>
      <c r="F3682" s="6" t="s">
        <v>5684</v>
      </c>
      <c r="G3682" s="15" t="str">
        <f>VLOOKUP(A3682,Movie!A:D,4,FALSE)</f>
        <v>Fox</v>
      </c>
      <c r="H3682" s="14">
        <f>VLOOKUP(E3682,'Rental Transaction'!A:B,2,FALSE)</f>
        <v>616392</v>
      </c>
      <c r="I3682">
        <f t="shared" si="57"/>
        <v>2013</v>
      </c>
    </row>
    <row r="3683" spans="1:9">
      <c r="A3683" s="1">
        <v>10172</v>
      </c>
      <c r="B3683" s="1">
        <v>8</v>
      </c>
      <c r="C3683" s="2">
        <v>41538</v>
      </c>
      <c r="D3683" s="1" t="s">
        <v>2005</v>
      </c>
      <c r="E3683" s="1">
        <v>102074</v>
      </c>
      <c r="F3683" s="6" t="s">
        <v>5685</v>
      </c>
      <c r="G3683" s="15" t="str">
        <f>VLOOKUP(A3683,Movie!A:D,4,FALSE)</f>
        <v>Lionsgate</v>
      </c>
      <c r="H3683" s="14">
        <f>VLOOKUP(E3683,'Rental Transaction'!A:B,2,FALSE)</f>
        <v>191050</v>
      </c>
      <c r="I3683">
        <f t="shared" si="57"/>
        <v>2013</v>
      </c>
    </row>
    <row r="3684" spans="1:9">
      <c r="A3684" s="1">
        <v>10072</v>
      </c>
      <c r="B3684" s="1">
        <v>8</v>
      </c>
      <c r="C3684" s="2">
        <v>41539</v>
      </c>
      <c r="D3684" s="1" t="s">
        <v>2002</v>
      </c>
      <c r="E3684" s="1">
        <v>102075</v>
      </c>
      <c r="F3684" s="6" t="s">
        <v>5686</v>
      </c>
      <c r="G3684" s="15" t="str">
        <f>VLOOKUP(A3684,Movie!A:D,4,FALSE)</f>
        <v>Paramount</v>
      </c>
      <c r="H3684" s="14">
        <f>VLOOKUP(E3684,'Rental Transaction'!A:B,2,FALSE)</f>
        <v>494106</v>
      </c>
      <c r="I3684">
        <f t="shared" si="57"/>
        <v>2013</v>
      </c>
    </row>
    <row r="3685" spans="1:9">
      <c r="A3685" s="1">
        <v>10240</v>
      </c>
      <c r="B3685" s="1">
        <v>7</v>
      </c>
      <c r="C3685" s="2">
        <v>41538</v>
      </c>
      <c r="D3685" s="1" t="s">
        <v>2002</v>
      </c>
      <c r="E3685" s="1">
        <v>102075</v>
      </c>
      <c r="F3685" s="6" t="s">
        <v>5687</v>
      </c>
      <c r="G3685" s="15" t="str">
        <f>VLOOKUP(A3685,Movie!A:D,4,FALSE)</f>
        <v>Warner Brothers</v>
      </c>
      <c r="H3685" s="14">
        <f>VLOOKUP(E3685,'Rental Transaction'!A:B,2,FALSE)</f>
        <v>494106</v>
      </c>
      <c r="I3685">
        <f t="shared" si="57"/>
        <v>2013</v>
      </c>
    </row>
    <row r="3686" spans="1:9">
      <c r="A3686" s="1">
        <v>10261</v>
      </c>
      <c r="B3686" s="1">
        <v>10</v>
      </c>
      <c r="C3686" s="2">
        <v>41538</v>
      </c>
      <c r="D3686" s="1" t="s">
        <v>2005</v>
      </c>
      <c r="E3686" s="1">
        <v>102075</v>
      </c>
      <c r="F3686" s="6" t="s">
        <v>5688</v>
      </c>
      <c r="G3686" s="15" t="str">
        <f>VLOOKUP(A3686,Movie!A:D,4,FALSE)</f>
        <v>Fox</v>
      </c>
      <c r="H3686" s="14">
        <f>VLOOKUP(E3686,'Rental Transaction'!A:B,2,FALSE)</f>
        <v>494106</v>
      </c>
      <c r="I3686">
        <f t="shared" si="57"/>
        <v>2013</v>
      </c>
    </row>
    <row r="3687" spans="1:9">
      <c r="A3687" s="1">
        <v>10230</v>
      </c>
      <c r="B3687" s="1">
        <v>9</v>
      </c>
      <c r="C3687" s="2">
        <v>41542</v>
      </c>
      <c r="D3687" s="1" t="s">
        <v>2002</v>
      </c>
      <c r="E3687" s="1">
        <v>102076</v>
      </c>
      <c r="F3687" s="6" t="s">
        <v>5689</v>
      </c>
      <c r="G3687" s="15" t="str">
        <f>VLOOKUP(A3687,Movie!A:D,4,FALSE)</f>
        <v>Focus</v>
      </c>
      <c r="H3687" s="14">
        <f>VLOOKUP(E3687,'Rental Transaction'!A:B,2,FALSE)</f>
        <v>803700</v>
      </c>
      <c r="I3687">
        <f t="shared" si="57"/>
        <v>2013</v>
      </c>
    </row>
    <row r="3688" spans="1:9">
      <c r="A3688" s="1">
        <v>10013</v>
      </c>
      <c r="B3688" s="1">
        <v>4</v>
      </c>
      <c r="C3688" s="2">
        <v>41539</v>
      </c>
      <c r="D3688" s="1" t="s">
        <v>2002</v>
      </c>
      <c r="E3688" s="1">
        <v>102076</v>
      </c>
      <c r="F3688" s="6" t="s">
        <v>5690</v>
      </c>
      <c r="G3688" s="15" t="str">
        <f>VLOOKUP(A3688,Movie!A:D,4,FALSE)</f>
        <v>Open Road Films</v>
      </c>
      <c r="H3688" s="14">
        <f>VLOOKUP(E3688,'Rental Transaction'!A:B,2,FALSE)</f>
        <v>803700</v>
      </c>
      <c r="I3688">
        <f t="shared" si="57"/>
        <v>2013</v>
      </c>
    </row>
    <row r="3689" spans="1:9">
      <c r="A3689" s="1">
        <v>10175</v>
      </c>
      <c r="B3689" s="1">
        <v>4</v>
      </c>
      <c r="C3689" s="2">
        <v>41539</v>
      </c>
      <c r="D3689" s="1" t="s">
        <v>2002</v>
      </c>
      <c r="E3689" s="1">
        <v>102076</v>
      </c>
      <c r="F3689" s="6" t="s">
        <v>5691</v>
      </c>
      <c r="G3689" s="15" t="str">
        <f>VLOOKUP(A3689,Movie!A:D,4,FALSE)</f>
        <v>Buena Vista</v>
      </c>
      <c r="H3689" s="14">
        <f>VLOOKUP(E3689,'Rental Transaction'!A:B,2,FALSE)</f>
        <v>803700</v>
      </c>
      <c r="I3689">
        <f t="shared" si="57"/>
        <v>2013</v>
      </c>
    </row>
    <row r="3690" spans="1:9">
      <c r="A3690" s="1">
        <v>10022</v>
      </c>
      <c r="B3690" s="1">
        <v>4</v>
      </c>
      <c r="C3690" s="2">
        <v>41539</v>
      </c>
      <c r="D3690" s="1" t="s">
        <v>2002</v>
      </c>
      <c r="E3690" s="1">
        <v>102077</v>
      </c>
      <c r="F3690" s="6" t="s">
        <v>5692</v>
      </c>
      <c r="G3690" s="15" t="str">
        <f>VLOOKUP(A3690,Movie!A:D,4,FALSE)</f>
        <v>Universal</v>
      </c>
      <c r="H3690" s="14">
        <f>VLOOKUP(E3690,'Rental Transaction'!A:B,2,FALSE)</f>
        <v>559190</v>
      </c>
      <c r="I3690">
        <f t="shared" si="57"/>
        <v>2013</v>
      </c>
    </row>
    <row r="3691" spans="1:9">
      <c r="A3691" s="1">
        <v>10091</v>
      </c>
      <c r="B3691" s="1">
        <v>4</v>
      </c>
      <c r="C3691" s="2">
        <v>41539</v>
      </c>
      <c r="D3691" s="1" t="s">
        <v>2002</v>
      </c>
      <c r="E3691" s="1">
        <v>102078</v>
      </c>
      <c r="F3691" s="6" t="s">
        <v>5693</v>
      </c>
      <c r="G3691" s="15" t="str">
        <f>VLOOKUP(A3691,Movie!A:D,4,FALSE)</f>
        <v>Warner Brothers</v>
      </c>
      <c r="H3691" s="14">
        <f>VLOOKUP(E3691,'Rental Transaction'!A:B,2,FALSE)</f>
        <v>912671</v>
      </c>
      <c r="I3691">
        <f t="shared" si="57"/>
        <v>2013</v>
      </c>
    </row>
    <row r="3692" spans="1:9">
      <c r="A3692" s="1">
        <v>10075</v>
      </c>
      <c r="B3692" s="1">
        <v>4</v>
      </c>
      <c r="C3692" s="2">
        <v>41540</v>
      </c>
      <c r="D3692" s="1" t="s">
        <v>2002</v>
      </c>
      <c r="E3692" s="1">
        <v>102078</v>
      </c>
      <c r="F3692" s="6" t="s">
        <v>5694</v>
      </c>
      <c r="G3692" s="15" t="str">
        <f>VLOOKUP(A3692,Movie!A:D,4,FALSE)</f>
        <v>Fox Searchlight</v>
      </c>
      <c r="H3692" s="14">
        <f>VLOOKUP(E3692,'Rental Transaction'!A:B,2,FALSE)</f>
        <v>912671</v>
      </c>
      <c r="I3692">
        <f t="shared" si="57"/>
        <v>2013</v>
      </c>
    </row>
    <row r="3693" spans="1:9">
      <c r="A3693" s="1">
        <v>10064</v>
      </c>
      <c r="B3693" s="1">
        <v>5</v>
      </c>
      <c r="C3693" s="2">
        <v>41539</v>
      </c>
      <c r="D3693" s="1" t="s">
        <v>2002</v>
      </c>
      <c r="E3693" s="1">
        <v>102078</v>
      </c>
      <c r="F3693" s="6" t="s">
        <v>5695</v>
      </c>
      <c r="G3693" s="15" t="str">
        <f>VLOOKUP(A3693,Movie!A:D,4,FALSE)</f>
        <v>Universal</v>
      </c>
      <c r="H3693" s="14">
        <f>VLOOKUP(E3693,'Rental Transaction'!A:B,2,FALSE)</f>
        <v>912671</v>
      </c>
      <c r="I3693">
        <f t="shared" si="57"/>
        <v>2013</v>
      </c>
    </row>
    <row r="3694" spans="1:9" ht="29.25">
      <c r="A3694" s="1">
        <v>10028</v>
      </c>
      <c r="B3694" s="1">
        <v>9</v>
      </c>
      <c r="C3694" s="2">
        <v>41539</v>
      </c>
      <c r="D3694" s="1" t="s">
        <v>2005</v>
      </c>
      <c r="E3694" s="1">
        <v>102079</v>
      </c>
      <c r="F3694" s="6" t="s">
        <v>5696</v>
      </c>
      <c r="G3694" s="15" t="str">
        <f>VLOOKUP(A3694,Movie!A:D,4,FALSE)</f>
        <v>Summit Entertainment</v>
      </c>
      <c r="H3694" s="14">
        <f>VLOOKUP(E3694,'Rental Transaction'!A:B,2,FALSE)</f>
        <v>719921</v>
      </c>
      <c r="I3694">
        <f t="shared" si="57"/>
        <v>2013</v>
      </c>
    </row>
    <row r="3695" spans="1:9">
      <c r="A3695" s="1">
        <v>10033</v>
      </c>
      <c r="B3695" s="1">
        <v>3</v>
      </c>
      <c r="C3695" s="2">
        <v>41539</v>
      </c>
      <c r="D3695" s="1" t="s">
        <v>2005</v>
      </c>
      <c r="E3695" s="1">
        <v>102080</v>
      </c>
      <c r="F3695" s="6" t="s">
        <v>5697</v>
      </c>
      <c r="G3695" s="15" t="str">
        <f>VLOOKUP(A3695,Movie!A:D,4,FALSE)</f>
        <v>Lionsgate</v>
      </c>
      <c r="H3695" s="14">
        <f>VLOOKUP(E3695,'Rental Transaction'!A:B,2,FALSE)</f>
        <v>567719</v>
      </c>
      <c r="I3695">
        <f t="shared" si="57"/>
        <v>2013</v>
      </c>
    </row>
    <row r="3696" spans="1:9" ht="29.25">
      <c r="A3696" s="1">
        <v>10249</v>
      </c>
      <c r="B3696" s="1">
        <v>5</v>
      </c>
      <c r="C3696" s="2">
        <v>41539</v>
      </c>
      <c r="D3696" s="1" t="s">
        <v>2002</v>
      </c>
      <c r="E3696" s="1">
        <v>102080</v>
      </c>
      <c r="F3696" s="6" t="s">
        <v>5698</v>
      </c>
      <c r="G3696" s="15" t="str">
        <f>VLOOKUP(A3696,Movie!A:D,4,FALSE)</f>
        <v>Summit Entertainment</v>
      </c>
      <c r="H3696" s="14">
        <f>VLOOKUP(E3696,'Rental Transaction'!A:B,2,FALSE)</f>
        <v>567719</v>
      </c>
      <c r="I3696">
        <f t="shared" si="57"/>
        <v>2013</v>
      </c>
    </row>
    <row r="3697" spans="1:9">
      <c r="A3697" s="1">
        <v>10017</v>
      </c>
      <c r="B3697" s="1">
        <v>4</v>
      </c>
      <c r="C3697" s="2">
        <v>41539</v>
      </c>
      <c r="D3697" s="1" t="s">
        <v>2005</v>
      </c>
      <c r="E3697" s="1">
        <v>102081</v>
      </c>
      <c r="F3697" s="6" t="s">
        <v>5699</v>
      </c>
      <c r="G3697" s="15" t="str">
        <f>VLOOKUP(A3697,Movie!A:D,4,FALSE)</f>
        <v>Sony</v>
      </c>
      <c r="H3697" s="14">
        <f>VLOOKUP(E3697,'Rental Transaction'!A:B,2,FALSE)</f>
        <v>296353</v>
      </c>
      <c r="I3697">
        <f t="shared" si="57"/>
        <v>2013</v>
      </c>
    </row>
    <row r="3698" spans="1:9">
      <c r="A3698" s="1">
        <v>10069</v>
      </c>
      <c r="B3698" s="1">
        <v>1</v>
      </c>
      <c r="C3698" s="2">
        <v>41539</v>
      </c>
      <c r="D3698" s="1" t="s">
        <v>2005</v>
      </c>
      <c r="E3698" s="1">
        <v>102081</v>
      </c>
      <c r="F3698" s="6" t="s">
        <v>5700</v>
      </c>
      <c r="G3698" s="15" t="str">
        <f>VLOOKUP(A3698,Movie!A:D,4,FALSE)</f>
        <v>Warner Brothers</v>
      </c>
      <c r="H3698" s="14">
        <f>VLOOKUP(E3698,'Rental Transaction'!A:B,2,FALSE)</f>
        <v>296353</v>
      </c>
      <c r="I3698">
        <f t="shared" si="57"/>
        <v>2013</v>
      </c>
    </row>
    <row r="3699" spans="1:9">
      <c r="A3699" s="1">
        <v>10042</v>
      </c>
      <c r="B3699" s="1">
        <v>6</v>
      </c>
      <c r="C3699" s="2">
        <v>41539</v>
      </c>
      <c r="D3699" s="1" t="s">
        <v>2005</v>
      </c>
      <c r="E3699" s="1">
        <v>102082</v>
      </c>
      <c r="F3699" s="6" t="s">
        <v>5701</v>
      </c>
      <c r="G3699" s="15" t="str">
        <f>VLOOKUP(A3699,Movie!A:D,4,FALSE)</f>
        <v>Paramount</v>
      </c>
      <c r="H3699" s="14">
        <f>VLOOKUP(E3699,'Rental Transaction'!A:B,2,FALSE)</f>
        <v>762509</v>
      </c>
      <c r="I3699">
        <f t="shared" si="57"/>
        <v>2013</v>
      </c>
    </row>
    <row r="3700" spans="1:9">
      <c r="A3700" s="1">
        <v>10018</v>
      </c>
      <c r="B3700" s="1">
        <v>4</v>
      </c>
      <c r="C3700" s="2">
        <v>41540</v>
      </c>
      <c r="D3700" s="1" t="s">
        <v>2002</v>
      </c>
      <c r="E3700" s="1">
        <v>102082</v>
      </c>
      <c r="F3700" s="6" t="s">
        <v>5702</v>
      </c>
      <c r="G3700" s="15" t="str">
        <f>VLOOKUP(A3700,Movie!A:D,4,FALSE)</f>
        <v>Fox</v>
      </c>
      <c r="H3700" s="14">
        <f>VLOOKUP(E3700,'Rental Transaction'!A:B,2,FALSE)</f>
        <v>762509</v>
      </c>
      <c r="I3700">
        <f t="shared" si="57"/>
        <v>2013</v>
      </c>
    </row>
    <row r="3701" spans="1:9">
      <c r="A3701" s="1">
        <v>10206</v>
      </c>
      <c r="B3701" s="1">
        <v>4</v>
      </c>
      <c r="C3701" s="2">
        <v>41540</v>
      </c>
      <c r="D3701" s="1" t="s">
        <v>2005</v>
      </c>
      <c r="E3701" s="1">
        <v>102082</v>
      </c>
      <c r="F3701" s="6" t="s">
        <v>5703</v>
      </c>
      <c r="G3701" s="15" t="str">
        <f>VLOOKUP(A3701,Movie!A:D,4,FALSE)</f>
        <v>Fox</v>
      </c>
      <c r="H3701" s="14">
        <f>VLOOKUP(E3701,'Rental Transaction'!A:B,2,FALSE)</f>
        <v>762509</v>
      </c>
      <c r="I3701">
        <f t="shared" si="57"/>
        <v>2013</v>
      </c>
    </row>
    <row r="3702" spans="1:9">
      <c r="A3702" s="1">
        <v>10117</v>
      </c>
      <c r="B3702" s="1">
        <v>2</v>
      </c>
      <c r="C3702" s="2">
        <v>41539</v>
      </c>
      <c r="D3702" s="1" t="s">
        <v>2002</v>
      </c>
      <c r="E3702" s="1">
        <v>102083</v>
      </c>
      <c r="F3702" s="6" t="s">
        <v>5704</v>
      </c>
      <c r="G3702" s="15" t="str">
        <f>VLOOKUP(A3702,Movie!A:D,4,FALSE)</f>
        <v>Sony</v>
      </c>
      <c r="H3702" s="14">
        <f>VLOOKUP(E3702,'Rental Transaction'!A:B,2,FALSE)</f>
        <v>110363</v>
      </c>
      <c r="I3702">
        <f t="shared" si="57"/>
        <v>2013</v>
      </c>
    </row>
    <row r="3703" spans="1:9" ht="29.25">
      <c r="A3703" s="1">
        <v>10246</v>
      </c>
      <c r="B3703" s="1">
        <v>6</v>
      </c>
      <c r="C3703" s="2">
        <v>41539</v>
      </c>
      <c r="D3703" s="1" t="s">
        <v>2005</v>
      </c>
      <c r="E3703" s="1">
        <v>102083</v>
      </c>
      <c r="F3703" s="6" t="s">
        <v>5705</v>
      </c>
      <c r="G3703" s="15" t="str">
        <f>VLOOKUP(A3703,Movie!A:D,4,FALSE)</f>
        <v>Weinstein Company</v>
      </c>
      <c r="H3703" s="14">
        <f>VLOOKUP(E3703,'Rental Transaction'!A:B,2,FALSE)</f>
        <v>110363</v>
      </c>
      <c r="I3703">
        <f t="shared" si="57"/>
        <v>2013</v>
      </c>
    </row>
    <row r="3704" spans="1:9">
      <c r="A3704" s="1">
        <v>10176</v>
      </c>
      <c r="B3704" s="1">
        <v>3</v>
      </c>
      <c r="C3704" s="2">
        <v>41539</v>
      </c>
      <c r="D3704" s="1" t="s">
        <v>2005</v>
      </c>
      <c r="E3704" s="1">
        <v>102084</v>
      </c>
      <c r="F3704" s="6" t="s">
        <v>5706</v>
      </c>
      <c r="G3704" s="15" t="str">
        <f>VLOOKUP(A3704,Movie!A:D,4,FALSE)</f>
        <v>Universal</v>
      </c>
      <c r="H3704" s="14">
        <f>VLOOKUP(E3704,'Rental Transaction'!A:B,2,FALSE)</f>
        <v>403000</v>
      </c>
      <c r="I3704">
        <f t="shared" si="57"/>
        <v>2013</v>
      </c>
    </row>
    <row r="3705" spans="1:9">
      <c r="A3705" s="1">
        <v>10130</v>
      </c>
      <c r="B3705" s="1">
        <v>10</v>
      </c>
      <c r="C3705" s="2">
        <v>41540</v>
      </c>
      <c r="D3705" s="1" t="s">
        <v>2002</v>
      </c>
      <c r="E3705" s="1">
        <v>102084</v>
      </c>
      <c r="F3705" s="6" t="s">
        <v>5707</v>
      </c>
      <c r="G3705" s="15" t="str">
        <f>VLOOKUP(A3705,Movie!A:D,4,FALSE)</f>
        <v>A24</v>
      </c>
      <c r="H3705" s="14">
        <f>VLOOKUP(E3705,'Rental Transaction'!A:B,2,FALSE)</f>
        <v>403000</v>
      </c>
      <c r="I3705">
        <f t="shared" si="57"/>
        <v>2013</v>
      </c>
    </row>
    <row r="3706" spans="1:9" ht="29.25">
      <c r="A3706" s="1">
        <v>10028</v>
      </c>
      <c r="B3706" s="1">
        <v>9</v>
      </c>
      <c r="C3706" s="2">
        <v>41539</v>
      </c>
      <c r="D3706" s="1" t="s">
        <v>2005</v>
      </c>
      <c r="E3706" s="1">
        <v>102085</v>
      </c>
      <c r="F3706" s="6" t="s">
        <v>5708</v>
      </c>
      <c r="G3706" s="15" t="str">
        <f>VLOOKUP(A3706,Movie!A:D,4,FALSE)</f>
        <v>Summit Entertainment</v>
      </c>
      <c r="H3706" s="14">
        <f>VLOOKUP(E3706,'Rental Transaction'!A:B,2,FALSE)</f>
        <v>741514</v>
      </c>
      <c r="I3706">
        <f t="shared" si="57"/>
        <v>2013</v>
      </c>
    </row>
    <row r="3707" spans="1:9">
      <c r="A3707" s="1">
        <v>10253</v>
      </c>
      <c r="B3707" s="1">
        <v>8</v>
      </c>
      <c r="C3707" s="2">
        <v>41540</v>
      </c>
      <c r="D3707" s="1" t="s">
        <v>2002</v>
      </c>
      <c r="E3707" s="1">
        <v>102086</v>
      </c>
      <c r="F3707" s="6" t="s">
        <v>5709</v>
      </c>
      <c r="G3707" s="15" t="str">
        <f>VLOOKUP(A3707,Movie!A:D,4,FALSE)</f>
        <v>Buena Vista</v>
      </c>
      <c r="H3707" s="14">
        <f>VLOOKUP(E3707,'Rental Transaction'!A:B,2,FALSE)</f>
        <v>143878</v>
      </c>
      <c r="I3707">
        <f t="shared" si="57"/>
        <v>2013</v>
      </c>
    </row>
    <row r="3708" spans="1:9">
      <c r="A3708" s="1">
        <v>10276</v>
      </c>
      <c r="B3708" s="1">
        <v>9</v>
      </c>
      <c r="C3708" s="2">
        <v>41539</v>
      </c>
      <c r="D3708" s="1" t="s">
        <v>2005</v>
      </c>
      <c r="E3708" s="1">
        <v>102086</v>
      </c>
      <c r="F3708" s="6" t="s">
        <v>5710</v>
      </c>
      <c r="G3708" s="15" t="str">
        <f>VLOOKUP(A3708,Movie!A:D,4,FALSE)</f>
        <v>FilmDistrict</v>
      </c>
      <c r="H3708" s="14">
        <f>VLOOKUP(E3708,'Rental Transaction'!A:B,2,FALSE)</f>
        <v>143878</v>
      </c>
      <c r="I3708">
        <f t="shared" si="57"/>
        <v>2013</v>
      </c>
    </row>
    <row r="3709" spans="1:9">
      <c r="A3709" s="1">
        <v>10068</v>
      </c>
      <c r="B3709" s="1">
        <v>7</v>
      </c>
      <c r="C3709" s="2">
        <v>41541</v>
      </c>
      <c r="D3709" s="1" t="s">
        <v>2002</v>
      </c>
      <c r="E3709" s="1">
        <v>102087</v>
      </c>
      <c r="F3709" s="6" t="s">
        <v>5711</v>
      </c>
      <c r="G3709" s="15" t="str">
        <f>VLOOKUP(A3709,Movie!A:D,4,FALSE)</f>
        <v>Warner Brothers</v>
      </c>
      <c r="H3709" s="14">
        <f>VLOOKUP(E3709,'Rental Transaction'!A:B,2,FALSE)</f>
        <v>664411</v>
      </c>
      <c r="I3709">
        <f t="shared" si="57"/>
        <v>2013</v>
      </c>
    </row>
    <row r="3710" spans="1:9">
      <c r="A3710" s="1">
        <v>10131</v>
      </c>
      <c r="B3710" s="1">
        <v>9</v>
      </c>
      <c r="C3710" s="2">
        <v>41539</v>
      </c>
      <c r="D3710" s="1" t="s">
        <v>2005</v>
      </c>
      <c r="E3710" s="1">
        <v>102088</v>
      </c>
      <c r="F3710" s="6" t="s">
        <v>5712</v>
      </c>
      <c r="G3710" s="15" t="str">
        <f>VLOOKUP(A3710,Movie!A:D,4,FALSE)</f>
        <v>Warner Brothers</v>
      </c>
      <c r="H3710" s="14">
        <f>VLOOKUP(E3710,'Rental Transaction'!A:B,2,FALSE)</f>
        <v>145929</v>
      </c>
      <c r="I3710">
        <f t="shared" si="57"/>
        <v>2013</v>
      </c>
    </row>
    <row r="3711" spans="1:9">
      <c r="A3711" s="1">
        <v>10148</v>
      </c>
      <c r="B3711" s="1">
        <v>6</v>
      </c>
      <c r="C3711" s="2">
        <v>41539</v>
      </c>
      <c r="D3711" s="1" t="s">
        <v>2002</v>
      </c>
      <c r="E3711" s="1">
        <v>102088</v>
      </c>
      <c r="F3711" s="6" t="s">
        <v>5713</v>
      </c>
      <c r="G3711" s="15" t="str">
        <f>VLOOKUP(A3711,Movie!A:D,4,FALSE)</f>
        <v>Paramount</v>
      </c>
      <c r="H3711" s="14">
        <f>VLOOKUP(E3711,'Rental Transaction'!A:B,2,FALSE)</f>
        <v>145929</v>
      </c>
      <c r="I3711">
        <f t="shared" si="57"/>
        <v>2013</v>
      </c>
    </row>
    <row r="3712" spans="1:9">
      <c r="A3712" s="1">
        <v>10247</v>
      </c>
      <c r="B3712" s="1">
        <v>1</v>
      </c>
      <c r="C3712" s="2">
        <v>41539</v>
      </c>
      <c r="D3712" s="1" t="s">
        <v>2005</v>
      </c>
      <c r="E3712" s="1">
        <v>102089</v>
      </c>
      <c r="F3712" s="6" t="s">
        <v>5714</v>
      </c>
      <c r="G3712" s="15" t="str">
        <f>VLOOKUP(A3712,Movie!A:D,4,FALSE)</f>
        <v>Fox</v>
      </c>
      <c r="H3712" s="14">
        <f>VLOOKUP(E3712,'Rental Transaction'!A:B,2,FALSE)</f>
        <v>395125</v>
      </c>
      <c r="I3712">
        <f t="shared" si="57"/>
        <v>2013</v>
      </c>
    </row>
    <row r="3713" spans="1:9">
      <c r="A3713" s="1">
        <v>10210</v>
      </c>
      <c r="B3713" s="1">
        <v>6</v>
      </c>
      <c r="C3713" s="2">
        <v>41541</v>
      </c>
      <c r="D3713" s="1" t="s">
        <v>2002</v>
      </c>
      <c r="E3713" s="1">
        <v>102089</v>
      </c>
      <c r="F3713" s="6" t="s">
        <v>5715</v>
      </c>
      <c r="G3713" s="15" t="str">
        <f>VLOOKUP(A3713,Movie!A:D,4,FALSE)</f>
        <v>Sony</v>
      </c>
      <c r="H3713" s="14">
        <f>VLOOKUP(E3713,'Rental Transaction'!A:B,2,FALSE)</f>
        <v>395125</v>
      </c>
      <c r="I3713">
        <f t="shared" si="57"/>
        <v>2013</v>
      </c>
    </row>
    <row r="3714" spans="1:9">
      <c r="A3714" s="1">
        <v>10025</v>
      </c>
      <c r="B3714" s="1">
        <v>5</v>
      </c>
      <c r="C3714" s="2">
        <v>41539</v>
      </c>
      <c r="D3714" s="1" t="s">
        <v>2002</v>
      </c>
      <c r="E3714" s="1">
        <v>102089</v>
      </c>
      <c r="F3714" s="6" t="s">
        <v>5716</v>
      </c>
      <c r="G3714" s="15" t="str">
        <f>VLOOKUP(A3714,Movie!A:D,4,FALSE)</f>
        <v>Sony</v>
      </c>
      <c r="H3714" s="14">
        <f>VLOOKUP(E3714,'Rental Transaction'!A:B,2,FALSE)</f>
        <v>395125</v>
      </c>
      <c r="I3714">
        <f t="shared" si="57"/>
        <v>2013</v>
      </c>
    </row>
    <row r="3715" spans="1:9">
      <c r="A3715" s="1">
        <v>10149</v>
      </c>
      <c r="B3715" s="1">
        <v>5</v>
      </c>
      <c r="C3715" s="2">
        <v>41539</v>
      </c>
      <c r="D3715" s="1" t="s">
        <v>2005</v>
      </c>
      <c r="E3715" s="1">
        <v>102090</v>
      </c>
      <c r="F3715" s="6" t="s">
        <v>5717</v>
      </c>
      <c r="G3715" s="15" t="str">
        <f>VLOOKUP(A3715,Movie!A:D,4,FALSE)</f>
        <v>Relativity</v>
      </c>
      <c r="H3715" s="14">
        <f>VLOOKUP(E3715,'Rental Transaction'!A:B,2,FALSE)</f>
        <v>110363</v>
      </c>
      <c r="I3715">
        <f t="shared" ref="I3715:I3778" si="58">YEAR(C3715)</f>
        <v>2013</v>
      </c>
    </row>
    <row r="3716" spans="1:9" ht="29.25">
      <c r="A3716" s="1">
        <v>10105</v>
      </c>
      <c r="B3716" s="1">
        <v>2</v>
      </c>
      <c r="C3716" s="2">
        <v>41540</v>
      </c>
      <c r="D3716" s="1" t="s">
        <v>2005</v>
      </c>
      <c r="E3716" s="1">
        <v>102090</v>
      </c>
      <c r="F3716" s="6" t="s">
        <v>5718</v>
      </c>
      <c r="G3716" s="15" t="str">
        <f>VLOOKUP(A3716,Movie!A:D,4,FALSE)</f>
        <v>Weinstein Company</v>
      </c>
      <c r="H3716" s="14">
        <f>VLOOKUP(E3716,'Rental Transaction'!A:B,2,FALSE)</f>
        <v>110363</v>
      </c>
      <c r="I3716">
        <f t="shared" si="58"/>
        <v>2013</v>
      </c>
    </row>
    <row r="3717" spans="1:9">
      <c r="A3717" s="1">
        <v>10032</v>
      </c>
      <c r="B3717" s="1">
        <v>7</v>
      </c>
      <c r="C3717" s="2">
        <v>41539</v>
      </c>
      <c r="D3717" s="1" t="s">
        <v>2005</v>
      </c>
      <c r="E3717" s="1">
        <v>102090</v>
      </c>
      <c r="F3717" s="6" t="s">
        <v>5719</v>
      </c>
      <c r="G3717" s="15" t="str">
        <f>VLOOKUP(A3717,Movie!A:D,4,FALSE)</f>
        <v>Sony</v>
      </c>
      <c r="H3717" s="14">
        <f>VLOOKUP(E3717,'Rental Transaction'!A:B,2,FALSE)</f>
        <v>110363</v>
      </c>
      <c r="I3717">
        <f t="shared" si="58"/>
        <v>2013</v>
      </c>
    </row>
    <row r="3718" spans="1:9">
      <c r="A3718" s="1">
        <v>10268</v>
      </c>
      <c r="B3718" s="1">
        <v>5</v>
      </c>
      <c r="C3718" s="2">
        <v>41539</v>
      </c>
      <c r="D3718" s="1" t="s">
        <v>2002</v>
      </c>
      <c r="E3718" s="1">
        <v>102090</v>
      </c>
      <c r="F3718" s="6" t="s">
        <v>5720</v>
      </c>
      <c r="G3718" s="15" t="str">
        <f>VLOOKUP(A3718,Movie!A:D,4,FALSE)</f>
        <v>Buena Vista</v>
      </c>
      <c r="H3718" s="14">
        <f>VLOOKUP(E3718,'Rental Transaction'!A:B,2,FALSE)</f>
        <v>110363</v>
      </c>
      <c r="I3718">
        <f t="shared" si="58"/>
        <v>2013</v>
      </c>
    </row>
    <row r="3719" spans="1:9">
      <c r="A3719" s="1">
        <v>10000</v>
      </c>
      <c r="B3719" s="1">
        <v>9</v>
      </c>
      <c r="C3719" s="2">
        <v>41540</v>
      </c>
      <c r="D3719" s="1" t="s">
        <v>2005</v>
      </c>
      <c r="E3719" s="1">
        <v>102091</v>
      </c>
      <c r="F3719" s="6" t="s">
        <v>5721</v>
      </c>
      <c r="G3719" s="15" t="str">
        <f>VLOOKUP(A3719,Movie!A:D,4,FALSE)</f>
        <v>TriStar</v>
      </c>
      <c r="H3719" s="14">
        <f>VLOOKUP(E3719,'Rental Transaction'!A:B,2,FALSE)</f>
        <v>230602</v>
      </c>
      <c r="I3719">
        <f t="shared" si="58"/>
        <v>2013</v>
      </c>
    </row>
    <row r="3720" spans="1:9">
      <c r="A3720" s="1">
        <v>10210</v>
      </c>
      <c r="B3720" s="1">
        <v>7</v>
      </c>
      <c r="C3720" s="2">
        <v>41542</v>
      </c>
      <c r="D3720" s="1" t="s">
        <v>2002</v>
      </c>
      <c r="E3720" s="1">
        <v>102092</v>
      </c>
      <c r="F3720" s="6" t="s">
        <v>5722</v>
      </c>
      <c r="G3720" s="15" t="str">
        <f>VLOOKUP(A3720,Movie!A:D,4,FALSE)</f>
        <v>Sony</v>
      </c>
      <c r="H3720" s="14">
        <f>VLOOKUP(E3720,'Rental Transaction'!A:B,2,FALSE)</f>
        <v>679354</v>
      </c>
      <c r="I3720">
        <f t="shared" si="58"/>
        <v>2013</v>
      </c>
    </row>
    <row r="3721" spans="1:9">
      <c r="A3721" s="1">
        <v>10148</v>
      </c>
      <c r="B3721" s="1">
        <v>8</v>
      </c>
      <c r="C3721" s="2">
        <v>41540</v>
      </c>
      <c r="D3721" s="1" t="s">
        <v>2002</v>
      </c>
      <c r="E3721" s="1">
        <v>102092</v>
      </c>
      <c r="F3721" s="6" t="s">
        <v>5723</v>
      </c>
      <c r="G3721" s="15" t="str">
        <f>VLOOKUP(A3721,Movie!A:D,4,FALSE)</f>
        <v>Paramount</v>
      </c>
      <c r="H3721" s="14">
        <f>VLOOKUP(E3721,'Rental Transaction'!A:B,2,FALSE)</f>
        <v>679354</v>
      </c>
      <c r="I3721">
        <f t="shared" si="58"/>
        <v>2013</v>
      </c>
    </row>
    <row r="3722" spans="1:9">
      <c r="A3722" s="1">
        <v>10206</v>
      </c>
      <c r="B3722" s="1">
        <v>1</v>
      </c>
      <c r="C3722" s="2">
        <v>41540</v>
      </c>
      <c r="D3722" s="1" t="s">
        <v>2002</v>
      </c>
      <c r="E3722" s="1">
        <v>102093</v>
      </c>
      <c r="F3722" s="6" t="s">
        <v>5724</v>
      </c>
      <c r="G3722" s="15" t="str">
        <f>VLOOKUP(A3722,Movie!A:D,4,FALSE)</f>
        <v>Fox</v>
      </c>
      <c r="H3722" s="14">
        <f>VLOOKUP(E3722,'Rental Transaction'!A:B,2,FALSE)</f>
        <v>646700</v>
      </c>
      <c r="I3722">
        <f t="shared" si="58"/>
        <v>2013</v>
      </c>
    </row>
    <row r="3723" spans="1:9">
      <c r="A3723" s="1">
        <v>10256</v>
      </c>
      <c r="B3723" s="1">
        <v>5</v>
      </c>
      <c r="C3723" s="2">
        <v>41540</v>
      </c>
      <c r="D3723" s="1" t="s">
        <v>2005</v>
      </c>
      <c r="E3723" s="1">
        <v>102094</v>
      </c>
      <c r="F3723" s="6" t="s">
        <v>5725</v>
      </c>
      <c r="G3723" s="15" t="str">
        <f>VLOOKUP(A3723,Movie!A:D,4,FALSE)</f>
        <v>Fox</v>
      </c>
      <c r="H3723" s="14">
        <f>VLOOKUP(E3723,'Rental Transaction'!A:B,2,FALSE)</f>
        <v>612681</v>
      </c>
      <c r="I3723">
        <f t="shared" si="58"/>
        <v>2013</v>
      </c>
    </row>
    <row r="3724" spans="1:9">
      <c r="A3724" s="1">
        <v>10011</v>
      </c>
      <c r="B3724" s="1">
        <v>10</v>
      </c>
      <c r="C3724" s="2">
        <v>41541</v>
      </c>
      <c r="D3724" s="1" t="s">
        <v>2002</v>
      </c>
      <c r="E3724" s="1">
        <v>102095</v>
      </c>
      <c r="F3724" s="6" t="s">
        <v>5726</v>
      </c>
      <c r="G3724" s="15" t="str">
        <f>VLOOKUP(A3724,Movie!A:D,4,FALSE)</f>
        <v>Buena Vista</v>
      </c>
      <c r="H3724" s="14">
        <f>VLOOKUP(E3724,'Rental Transaction'!A:B,2,FALSE)</f>
        <v>191050</v>
      </c>
      <c r="I3724">
        <f t="shared" si="58"/>
        <v>2013</v>
      </c>
    </row>
    <row r="3725" spans="1:9">
      <c r="A3725" s="1">
        <v>10042</v>
      </c>
      <c r="B3725" s="1">
        <v>7</v>
      </c>
      <c r="C3725" s="2">
        <v>41540</v>
      </c>
      <c r="D3725" s="1" t="s">
        <v>2002</v>
      </c>
      <c r="E3725" s="1">
        <v>102096</v>
      </c>
      <c r="F3725" s="6" t="s">
        <v>5727</v>
      </c>
      <c r="G3725" s="15" t="str">
        <f>VLOOKUP(A3725,Movie!A:D,4,FALSE)</f>
        <v>Paramount</v>
      </c>
      <c r="H3725" s="14">
        <f>VLOOKUP(E3725,'Rental Transaction'!A:B,2,FALSE)</f>
        <v>283158</v>
      </c>
      <c r="I3725">
        <f t="shared" si="58"/>
        <v>2013</v>
      </c>
    </row>
    <row r="3726" spans="1:9">
      <c r="A3726" s="1">
        <v>10266</v>
      </c>
      <c r="B3726" s="1">
        <v>9</v>
      </c>
      <c r="C3726" s="2">
        <v>41542</v>
      </c>
      <c r="D3726" s="1" t="s">
        <v>2002</v>
      </c>
      <c r="E3726" s="1">
        <v>102097</v>
      </c>
      <c r="F3726" s="6" t="s">
        <v>5728</v>
      </c>
      <c r="G3726" s="15" t="str">
        <f>VLOOKUP(A3726,Movie!A:D,4,FALSE)</f>
        <v>Sony</v>
      </c>
      <c r="H3726" s="14">
        <f>VLOOKUP(E3726,'Rental Transaction'!A:B,2,FALSE)</f>
        <v>744780</v>
      </c>
      <c r="I3726">
        <f t="shared" si="58"/>
        <v>2013</v>
      </c>
    </row>
    <row r="3727" spans="1:9">
      <c r="A3727" s="1">
        <v>10093</v>
      </c>
      <c r="B3727" s="1">
        <v>2</v>
      </c>
      <c r="C3727" s="2">
        <v>41540</v>
      </c>
      <c r="D3727" s="1" t="s">
        <v>2005</v>
      </c>
      <c r="E3727" s="1">
        <v>102097</v>
      </c>
      <c r="F3727" s="6" t="s">
        <v>5729</v>
      </c>
      <c r="G3727" s="15" t="str">
        <f>VLOOKUP(A3727,Movie!A:D,4,FALSE)</f>
        <v>Open Road Films</v>
      </c>
      <c r="H3727" s="14">
        <f>VLOOKUP(E3727,'Rental Transaction'!A:B,2,FALSE)</f>
        <v>744780</v>
      </c>
      <c r="I3727">
        <f t="shared" si="58"/>
        <v>2013</v>
      </c>
    </row>
    <row r="3728" spans="1:9">
      <c r="A3728" s="1">
        <v>10220</v>
      </c>
      <c r="B3728" s="1">
        <v>7</v>
      </c>
      <c r="C3728" s="2">
        <v>41540</v>
      </c>
      <c r="D3728" s="1" t="s">
        <v>2005</v>
      </c>
      <c r="E3728" s="1">
        <v>102098</v>
      </c>
      <c r="F3728" s="6" t="s">
        <v>5730</v>
      </c>
      <c r="G3728" s="15" t="str">
        <f>VLOOKUP(A3728,Movie!A:D,4,FALSE)</f>
        <v>Fox</v>
      </c>
      <c r="H3728" s="14">
        <f>VLOOKUP(E3728,'Rental Transaction'!A:B,2,FALSE)</f>
        <v>191050</v>
      </c>
      <c r="I3728">
        <f t="shared" si="58"/>
        <v>2013</v>
      </c>
    </row>
    <row r="3729" spans="1:9">
      <c r="A3729" s="1">
        <v>10025</v>
      </c>
      <c r="B3729" s="1">
        <v>10</v>
      </c>
      <c r="C3729" s="2">
        <v>41540</v>
      </c>
      <c r="D3729" s="1" t="s">
        <v>2002</v>
      </c>
      <c r="E3729" s="1">
        <v>102098</v>
      </c>
      <c r="F3729" s="6" t="s">
        <v>5731</v>
      </c>
      <c r="G3729" s="15" t="str">
        <f>VLOOKUP(A3729,Movie!A:D,4,FALSE)</f>
        <v>Sony</v>
      </c>
      <c r="H3729" s="14">
        <f>VLOOKUP(E3729,'Rental Transaction'!A:B,2,FALSE)</f>
        <v>191050</v>
      </c>
      <c r="I3729">
        <f t="shared" si="58"/>
        <v>2013</v>
      </c>
    </row>
    <row r="3730" spans="1:9">
      <c r="A3730" s="1">
        <v>10198</v>
      </c>
      <c r="B3730" s="1">
        <v>9</v>
      </c>
      <c r="C3730" s="2">
        <v>41541</v>
      </c>
      <c r="D3730" s="1" t="s">
        <v>2002</v>
      </c>
      <c r="E3730" s="1">
        <v>102099</v>
      </c>
      <c r="F3730" s="6" t="s">
        <v>5732</v>
      </c>
      <c r="G3730" s="15" t="str">
        <f>VLOOKUP(A3730,Movie!A:D,4,FALSE)</f>
        <v>Fox</v>
      </c>
      <c r="H3730" s="14">
        <f>VLOOKUP(E3730,'Rental Transaction'!A:B,2,FALSE)</f>
        <v>327750</v>
      </c>
      <c r="I3730">
        <f t="shared" si="58"/>
        <v>2013</v>
      </c>
    </row>
    <row r="3731" spans="1:9">
      <c r="A3731" s="1">
        <v>10256</v>
      </c>
      <c r="B3731" s="1">
        <v>1</v>
      </c>
      <c r="C3731" s="2">
        <v>41540</v>
      </c>
      <c r="D3731" s="1" t="s">
        <v>2005</v>
      </c>
      <c r="E3731" s="1">
        <v>102100</v>
      </c>
      <c r="F3731" s="6" t="s">
        <v>5733</v>
      </c>
      <c r="G3731" s="15" t="str">
        <f>VLOOKUP(A3731,Movie!A:D,4,FALSE)</f>
        <v>Fox</v>
      </c>
      <c r="H3731" s="14">
        <f>VLOOKUP(E3731,'Rental Transaction'!A:B,2,FALSE)</f>
        <v>270853</v>
      </c>
      <c r="I3731">
        <f t="shared" si="58"/>
        <v>2013</v>
      </c>
    </row>
    <row r="3732" spans="1:9">
      <c r="A3732" s="1">
        <v>10051</v>
      </c>
      <c r="B3732" s="1">
        <v>9</v>
      </c>
      <c r="C3732" s="2">
        <v>41540</v>
      </c>
      <c r="D3732" s="1" t="s">
        <v>2005</v>
      </c>
      <c r="E3732" s="1">
        <v>102101</v>
      </c>
      <c r="F3732" s="6" t="s">
        <v>5734</v>
      </c>
      <c r="G3732" s="15" t="str">
        <f>VLOOKUP(A3732,Movie!A:D,4,FALSE)</f>
        <v>Paramount</v>
      </c>
      <c r="H3732" s="14">
        <f>VLOOKUP(E3732,'Rental Transaction'!A:B,2,FALSE)</f>
        <v>549823</v>
      </c>
      <c r="I3732">
        <f t="shared" si="58"/>
        <v>2013</v>
      </c>
    </row>
    <row r="3733" spans="1:9">
      <c r="A3733" s="1">
        <v>10212</v>
      </c>
      <c r="B3733" s="1">
        <v>10</v>
      </c>
      <c r="C3733" s="2">
        <v>41540</v>
      </c>
      <c r="D3733" s="1" t="s">
        <v>2005</v>
      </c>
      <c r="E3733" s="1">
        <v>102101</v>
      </c>
      <c r="F3733" s="6" t="s">
        <v>5735</v>
      </c>
      <c r="G3733" s="15" t="str">
        <f>VLOOKUP(A3733,Movie!A:D,4,FALSE)</f>
        <v>Lionsgate</v>
      </c>
      <c r="H3733" s="14">
        <f>VLOOKUP(E3733,'Rental Transaction'!A:B,2,FALSE)</f>
        <v>549823</v>
      </c>
      <c r="I3733">
        <f t="shared" si="58"/>
        <v>2013</v>
      </c>
    </row>
    <row r="3734" spans="1:9">
      <c r="A3734" s="1">
        <v>10151</v>
      </c>
      <c r="B3734" s="1">
        <v>9</v>
      </c>
      <c r="C3734" s="2">
        <v>41540</v>
      </c>
      <c r="D3734" s="1" t="s">
        <v>2002</v>
      </c>
      <c r="E3734" s="1">
        <v>102102</v>
      </c>
      <c r="F3734" s="6" t="s">
        <v>5736</v>
      </c>
      <c r="G3734" s="15" t="str">
        <f>VLOOKUP(A3734,Movie!A:D,4,FALSE)</f>
        <v>Screen Gems</v>
      </c>
      <c r="H3734" s="14">
        <f>VLOOKUP(E3734,'Rental Transaction'!A:B,2,FALSE)</f>
        <v>547890</v>
      </c>
      <c r="I3734">
        <f t="shared" si="58"/>
        <v>2013</v>
      </c>
    </row>
    <row r="3735" spans="1:9">
      <c r="A3735" s="1">
        <v>10193</v>
      </c>
      <c r="B3735" s="1">
        <v>9</v>
      </c>
      <c r="C3735" s="2">
        <v>41541</v>
      </c>
      <c r="D3735" s="1" t="s">
        <v>2005</v>
      </c>
      <c r="E3735" s="1">
        <v>102102</v>
      </c>
      <c r="F3735" s="6" t="s">
        <v>5737</v>
      </c>
      <c r="G3735" s="15" t="str">
        <f>VLOOKUP(A3735,Movie!A:D,4,FALSE)</f>
        <v>Fox</v>
      </c>
      <c r="H3735" s="14">
        <f>VLOOKUP(E3735,'Rental Transaction'!A:B,2,FALSE)</f>
        <v>547890</v>
      </c>
      <c r="I3735">
        <f t="shared" si="58"/>
        <v>2013</v>
      </c>
    </row>
    <row r="3736" spans="1:9">
      <c r="A3736" s="1">
        <v>10296</v>
      </c>
      <c r="B3736" s="1">
        <v>5</v>
      </c>
      <c r="C3736" s="2">
        <v>41540</v>
      </c>
      <c r="D3736" s="1" t="s">
        <v>2002</v>
      </c>
      <c r="E3736" s="1">
        <v>102103</v>
      </c>
      <c r="F3736" s="6" t="s">
        <v>5738</v>
      </c>
      <c r="G3736" s="15" t="str">
        <f>VLOOKUP(A3736,Movie!A:D,4,FALSE)</f>
        <v>A24</v>
      </c>
      <c r="H3736" s="14">
        <f>VLOOKUP(E3736,'Rental Transaction'!A:B,2,FALSE)</f>
        <v>373200</v>
      </c>
      <c r="I3736">
        <f t="shared" si="58"/>
        <v>2013</v>
      </c>
    </row>
    <row r="3737" spans="1:9">
      <c r="A3737" s="1">
        <v>10125</v>
      </c>
      <c r="B3737" s="1">
        <v>8</v>
      </c>
      <c r="C3737" s="2">
        <v>41540</v>
      </c>
      <c r="D3737" s="1" t="s">
        <v>2005</v>
      </c>
      <c r="E3737" s="1">
        <v>102104</v>
      </c>
      <c r="F3737" s="6" t="s">
        <v>5739</v>
      </c>
      <c r="G3737" s="15" t="str">
        <f>VLOOKUP(A3737,Movie!A:D,4,FALSE)</f>
        <v>Fox</v>
      </c>
      <c r="H3737" s="14">
        <f>VLOOKUP(E3737,'Rental Transaction'!A:B,2,FALSE)</f>
        <v>454143</v>
      </c>
      <c r="I3737">
        <f t="shared" si="58"/>
        <v>2013</v>
      </c>
    </row>
    <row r="3738" spans="1:9">
      <c r="A3738" s="1">
        <v>10297</v>
      </c>
      <c r="B3738" s="1">
        <v>10</v>
      </c>
      <c r="C3738" s="2">
        <v>41540</v>
      </c>
      <c r="D3738" s="1" t="s">
        <v>2002</v>
      </c>
      <c r="E3738" s="1">
        <v>102104</v>
      </c>
      <c r="F3738" s="6" t="s">
        <v>5740</v>
      </c>
      <c r="G3738" s="15" t="str">
        <f>VLOOKUP(A3738,Movie!A:D,4,FALSE)</f>
        <v>Focus</v>
      </c>
      <c r="H3738" s="14">
        <f>VLOOKUP(E3738,'Rental Transaction'!A:B,2,FALSE)</f>
        <v>454143</v>
      </c>
      <c r="I3738">
        <f t="shared" si="58"/>
        <v>2013</v>
      </c>
    </row>
    <row r="3739" spans="1:9">
      <c r="A3739" s="1">
        <v>10176</v>
      </c>
      <c r="B3739" s="1">
        <v>5</v>
      </c>
      <c r="C3739" s="2">
        <v>41542</v>
      </c>
      <c r="D3739" s="1" t="s">
        <v>2005</v>
      </c>
      <c r="E3739" s="1">
        <v>102105</v>
      </c>
      <c r="F3739" s="6" t="s">
        <v>5741</v>
      </c>
      <c r="G3739" s="15" t="str">
        <f>VLOOKUP(A3739,Movie!A:D,4,FALSE)</f>
        <v>Universal</v>
      </c>
      <c r="H3739" s="14">
        <f>VLOOKUP(E3739,'Rental Transaction'!A:B,2,FALSE)</f>
        <v>999915</v>
      </c>
      <c r="I3739">
        <f t="shared" si="58"/>
        <v>2013</v>
      </c>
    </row>
    <row r="3740" spans="1:9">
      <c r="A3740" s="1">
        <v>10228</v>
      </c>
      <c r="B3740" s="1">
        <v>2</v>
      </c>
      <c r="C3740" s="2">
        <v>41543</v>
      </c>
      <c r="D3740" s="1" t="s">
        <v>2002</v>
      </c>
      <c r="E3740" s="1">
        <v>102105</v>
      </c>
      <c r="F3740" s="6" t="s">
        <v>5742</v>
      </c>
      <c r="G3740" s="15" t="str">
        <f>VLOOKUP(A3740,Movie!A:D,4,FALSE)</f>
        <v>Universal</v>
      </c>
      <c r="H3740" s="14">
        <f>VLOOKUP(E3740,'Rental Transaction'!A:B,2,FALSE)</f>
        <v>999915</v>
      </c>
      <c r="I3740">
        <f t="shared" si="58"/>
        <v>2013</v>
      </c>
    </row>
    <row r="3741" spans="1:9">
      <c r="A3741" s="1">
        <v>10184</v>
      </c>
      <c r="B3741" s="1">
        <v>3</v>
      </c>
      <c r="C3741" s="2">
        <v>41541</v>
      </c>
      <c r="D3741" s="1" t="s">
        <v>2005</v>
      </c>
      <c r="E3741" s="1">
        <v>102106</v>
      </c>
      <c r="F3741" s="6" t="s">
        <v>5743</v>
      </c>
      <c r="G3741" s="15" t="str">
        <f>VLOOKUP(A3741,Movie!A:D,4,FALSE)</f>
        <v>Universal</v>
      </c>
      <c r="H3741" s="14">
        <f>VLOOKUP(E3741,'Rental Transaction'!A:B,2,FALSE)</f>
        <v>781523</v>
      </c>
      <c r="I3741">
        <f t="shared" si="58"/>
        <v>2013</v>
      </c>
    </row>
    <row r="3742" spans="1:9">
      <c r="A3742" s="1">
        <v>10232</v>
      </c>
      <c r="B3742" s="1">
        <v>6</v>
      </c>
      <c r="C3742" s="2">
        <v>41541</v>
      </c>
      <c r="D3742" s="1" t="s">
        <v>2002</v>
      </c>
      <c r="E3742" s="1">
        <v>102107</v>
      </c>
      <c r="F3742" s="6" t="s">
        <v>5744</v>
      </c>
      <c r="G3742" s="15" t="str">
        <f>VLOOKUP(A3742,Movie!A:D,4,FALSE)</f>
        <v>Paramount</v>
      </c>
      <c r="H3742" s="14">
        <f>VLOOKUP(E3742,'Rental Transaction'!A:B,2,FALSE)</f>
        <v>429748</v>
      </c>
      <c r="I3742">
        <f t="shared" si="58"/>
        <v>2013</v>
      </c>
    </row>
    <row r="3743" spans="1:9">
      <c r="A3743" s="1">
        <v>10125</v>
      </c>
      <c r="B3743" s="1">
        <v>9</v>
      </c>
      <c r="C3743" s="2">
        <v>41541</v>
      </c>
      <c r="D3743" s="1" t="s">
        <v>2005</v>
      </c>
      <c r="E3743" s="1">
        <v>102108</v>
      </c>
      <c r="F3743" s="6" t="s">
        <v>5745</v>
      </c>
      <c r="G3743" s="15" t="str">
        <f>VLOOKUP(A3743,Movie!A:D,4,FALSE)</f>
        <v>Fox</v>
      </c>
      <c r="H3743" s="14">
        <f>VLOOKUP(E3743,'Rental Transaction'!A:B,2,FALSE)</f>
        <v>766161</v>
      </c>
      <c r="I3743">
        <f t="shared" si="58"/>
        <v>2013</v>
      </c>
    </row>
    <row r="3744" spans="1:9">
      <c r="A3744" s="1">
        <v>10037</v>
      </c>
      <c r="B3744" s="1">
        <v>10</v>
      </c>
      <c r="C3744" s="2">
        <v>41542</v>
      </c>
      <c r="D3744" s="1" t="s">
        <v>2002</v>
      </c>
      <c r="E3744" s="1">
        <v>102108</v>
      </c>
      <c r="F3744" s="6" t="s">
        <v>5746</v>
      </c>
      <c r="G3744" s="15" t="str">
        <f>VLOOKUP(A3744,Movie!A:D,4,FALSE)</f>
        <v>Buena Vista</v>
      </c>
      <c r="H3744" s="14">
        <f>VLOOKUP(E3744,'Rental Transaction'!A:B,2,FALSE)</f>
        <v>766161</v>
      </c>
      <c r="I3744">
        <f t="shared" si="58"/>
        <v>2013</v>
      </c>
    </row>
    <row r="3745" spans="1:9">
      <c r="A3745" s="1">
        <v>10210</v>
      </c>
      <c r="B3745" s="1">
        <v>6</v>
      </c>
      <c r="C3745" s="2">
        <v>41543</v>
      </c>
      <c r="D3745" s="1" t="s">
        <v>2002</v>
      </c>
      <c r="E3745" s="1">
        <v>102109</v>
      </c>
      <c r="F3745" s="6" t="s">
        <v>5747</v>
      </c>
      <c r="G3745" s="15" t="str">
        <f>VLOOKUP(A3745,Movie!A:D,4,FALSE)</f>
        <v>Sony</v>
      </c>
      <c r="H3745" s="14">
        <f>VLOOKUP(E3745,'Rental Transaction'!A:B,2,FALSE)</f>
        <v>964619</v>
      </c>
      <c r="I3745">
        <f t="shared" si="58"/>
        <v>2013</v>
      </c>
    </row>
    <row r="3746" spans="1:9">
      <c r="A3746" s="1">
        <v>10147</v>
      </c>
      <c r="B3746" s="1">
        <v>10</v>
      </c>
      <c r="C3746" s="2">
        <v>41542</v>
      </c>
      <c r="D3746" s="1" t="s">
        <v>2005</v>
      </c>
      <c r="E3746" s="1">
        <v>102110</v>
      </c>
      <c r="F3746" s="6" t="s">
        <v>5748</v>
      </c>
      <c r="G3746" s="15" t="str">
        <f>VLOOKUP(A3746,Movie!A:D,4,FALSE)</f>
        <v>Lionsgate</v>
      </c>
      <c r="H3746" s="14">
        <f>VLOOKUP(E3746,'Rental Transaction'!A:B,2,FALSE)</f>
        <v>924361</v>
      </c>
      <c r="I3746">
        <f t="shared" si="58"/>
        <v>2013</v>
      </c>
    </row>
    <row r="3747" spans="1:9">
      <c r="A3747" s="1">
        <v>10021</v>
      </c>
      <c r="B3747" s="1">
        <v>10</v>
      </c>
      <c r="C3747" s="2">
        <v>41541</v>
      </c>
      <c r="D3747" s="1" t="s">
        <v>2002</v>
      </c>
      <c r="E3747" s="1">
        <v>102111</v>
      </c>
      <c r="F3747" s="6" t="s">
        <v>5749</v>
      </c>
      <c r="G3747" s="15" t="str">
        <f>VLOOKUP(A3747,Movie!A:D,4,FALSE)</f>
        <v>Paramount</v>
      </c>
      <c r="H3747" s="14">
        <f>VLOOKUP(E3747,'Rental Transaction'!A:B,2,FALSE)</f>
        <v>373200</v>
      </c>
      <c r="I3747">
        <f t="shared" si="58"/>
        <v>2013</v>
      </c>
    </row>
    <row r="3748" spans="1:9">
      <c r="A3748" s="1">
        <v>10065</v>
      </c>
      <c r="B3748" s="1">
        <v>5</v>
      </c>
      <c r="C3748" s="2">
        <v>41543</v>
      </c>
      <c r="D3748" s="1" t="s">
        <v>2002</v>
      </c>
      <c r="E3748" s="1">
        <v>102111</v>
      </c>
      <c r="F3748" s="6" t="s">
        <v>5750</v>
      </c>
      <c r="G3748" s="15" t="str">
        <f>VLOOKUP(A3748,Movie!A:D,4,FALSE)</f>
        <v>Warner Brothers</v>
      </c>
      <c r="H3748" s="14">
        <f>VLOOKUP(E3748,'Rental Transaction'!A:B,2,FALSE)</f>
        <v>373200</v>
      </c>
      <c r="I3748">
        <f t="shared" si="58"/>
        <v>2013</v>
      </c>
    </row>
    <row r="3749" spans="1:9">
      <c r="A3749" s="1">
        <v>10184</v>
      </c>
      <c r="B3749" s="1">
        <v>10</v>
      </c>
      <c r="C3749" s="2">
        <v>41541</v>
      </c>
      <c r="D3749" s="1" t="s">
        <v>2005</v>
      </c>
      <c r="E3749" s="1">
        <v>102111</v>
      </c>
      <c r="F3749" s="6" t="s">
        <v>5751</v>
      </c>
      <c r="G3749" s="15" t="str">
        <f>VLOOKUP(A3749,Movie!A:D,4,FALSE)</f>
        <v>Universal</v>
      </c>
      <c r="H3749" s="14">
        <f>VLOOKUP(E3749,'Rental Transaction'!A:B,2,FALSE)</f>
        <v>373200</v>
      </c>
      <c r="I3749">
        <f t="shared" si="58"/>
        <v>2013</v>
      </c>
    </row>
    <row r="3750" spans="1:9">
      <c r="A3750" s="1">
        <v>10257</v>
      </c>
      <c r="B3750" s="1">
        <v>10</v>
      </c>
      <c r="C3750" s="2">
        <v>41542</v>
      </c>
      <c r="D3750" s="1" t="s">
        <v>2002</v>
      </c>
      <c r="E3750" s="1">
        <v>102112</v>
      </c>
      <c r="F3750" s="6" t="s">
        <v>5752</v>
      </c>
      <c r="G3750" s="15" t="str">
        <f>VLOOKUP(A3750,Movie!A:D,4,FALSE)</f>
        <v>Fox</v>
      </c>
      <c r="H3750" s="14">
        <f>VLOOKUP(E3750,'Rental Transaction'!A:B,2,FALSE)</f>
        <v>275152</v>
      </c>
      <c r="I3750">
        <f t="shared" si="58"/>
        <v>2013</v>
      </c>
    </row>
    <row r="3751" spans="1:9">
      <c r="A3751" s="1">
        <v>10177</v>
      </c>
      <c r="B3751" s="1">
        <v>7</v>
      </c>
      <c r="C3751" s="2">
        <v>41542</v>
      </c>
      <c r="D3751" s="1" t="s">
        <v>2005</v>
      </c>
      <c r="E3751" s="1">
        <v>102112</v>
      </c>
      <c r="F3751" s="6" t="s">
        <v>5753</v>
      </c>
      <c r="G3751" s="15" t="str">
        <f>VLOOKUP(A3751,Movie!A:D,4,FALSE)</f>
        <v>Fox</v>
      </c>
      <c r="H3751" s="14">
        <f>VLOOKUP(E3751,'Rental Transaction'!A:B,2,FALSE)</f>
        <v>275152</v>
      </c>
      <c r="I3751">
        <f t="shared" si="58"/>
        <v>2013</v>
      </c>
    </row>
    <row r="3752" spans="1:9">
      <c r="A3752" s="1">
        <v>10253</v>
      </c>
      <c r="B3752" s="1">
        <v>1</v>
      </c>
      <c r="C3752" s="2">
        <v>41542</v>
      </c>
      <c r="D3752" s="1" t="s">
        <v>2005</v>
      </c>
      <c r="E3752" s="1">
        <v>102113</v>
      </c>
      <c r="F3752" s="6" t="s">
        <v>5754</v>
      </c>
      <c r="G3752" s="15" t="str">
        <f>VLOOKUP(A3752,Movie!A:D,4,FALSE)</f>
        <v>Buena Vista</v>
      </c>
      <c r="H3752" s="14">
        <f>VLOOKUP(E3752,'Rental Transaction'!A:B,2,FALSE)</f>
        <v>441628</v>
      </c>
      <c r="I3752">
        <f t="shared" si="58"/>
        <v>2013</v>
      </c>
    </row>
    <row r="3753" spans="1:9">
      <c r="A3753" s="1">
        <v>10280</v>
      </c>
      <c r="B3753" s="1">
        <v>9</v>
      </c>
      <c r="C3753" s="2">
        <v>41541</v>
      </c>
      <c r="D3753" s="1" t="s">
        <v>2002</v>
      </c>
      <c r="E3753" s="1">
        <v>102114</v>
      </c>
      <c r="F3753" s="6" t="s">
        <v>5755</v>
      </c>
      <c r="G3753" s="15" t="str">
        <f>VLOOKUP(A3753,Movie!A:D,4,FALSE)</f>
        <v>Universal</v>
      </c>
      <c r="H3753" s="14">
        <f>VLOOKUP(E3753,'Rental Transaction'!A:B,2,FALSE)</f>
        <v>393120</v>
      </c>
      <c r="I3753">
        <f t="shared" si="58"/>
        <v>2013</v>
      </c>
    </row>
    <row r="3754" spans="1:9">
      <c r="A3754" s="1">
        <v>10217</v>
      </c>
      <c r="B3754" s="1">
        <v>4</v>
      </c>
      <c r="C3754" s="2">
        <v>41541</v>
      </c>
      <c r="D3754" s="1" t="s">
        <v>2002</v>
      </c>
      <c r="E3754" s="1">
        <v>102114</v>
      </c>
      <c r="F3754" s="6" t="s">
        <v>5756</v>
      </c>
      <c r="G3754" s="15" t="str">
        <f>VLOOKUP(A3754,Movie!A:D,4,FALSE)</f>
        <v>Warner Brothers</v>
      </c>
      <c r="H3754" s="14">
        <f>VLOOKUP(E3754,'Rental Transaction'!A:B,2,FALSE)</f>
        <v>393120</v>
      </c>
      <c r="I3754">
        <f t="shared" si="58"/>
        <v>2013</v>
      </c>
    </row>
    <row r="3755" spans="1:9">
      <c r="A3755" s="1">
        <v>10272</v>
      </c>
      <c r="B3755" s="1">
        <v>10</v>
      </c>
      <c r="C3755" s="2">
        <v>41541</v>
      </c>
      <c r="D3755" s="1" t="s">
        <v>2005</v>
      </c>
      <c r="E3755" s="1">
        <v>102114</v>
      </c>
      <c r="F3755" s="6" t="s">
        <v>5757</v>
      </c>
      <c r="G3755" s="15" t="str">
        <f>VLOOKUP(A3755,Movie!A:D,4,FALSE)</f>
        <v>Sony</v>
      </c>
      <c r="H3755" s="14">
        <f>VLOOKUP(E3755,'Rental Transaction'!A:B,2,FALSE)</f>
        <v>393120</v>
      </c>
      <c r="I3755">
        <f t="shared" si="58"/>
        <v>2013</v>
      </c>
    </row>
    <row r="3756" spans="1:9">
      <c r="A3756" s="1">
        <v>10031</v>
      </c>
      <c r="B3756" s="1">
        <v>3</v>
      </c>
      <c r="C3756" s="2">
        <v>41541</v>
      </c>
      <c r="D3756" s="1" t="s">
        <v>2002</v>
      </c>
      <c r="E3756" s="1">
        <v>102115</v>
      </c>
      <c r="F3756" s="6" t="s">
        <v>5758</v>
      </c>
      <c r="G3756" s="15" t="str">
        <f>VLOOKUP(A3756,Movie!A:D,4,FALSE)</f>
        <v>Warner Brothers</v>
      </c>
      <c r="H3756" s="14">
        <f>VLOOKUP(E3756,'Rental Transaction'!A:B,2,FALSE)</f>
        <v>554099</v>
      </c>
      <c r="I3756">
        <f t="shared" si="58"/>
        <v>2013</v>
      </c>
    </row>
    <row r="3757" spans="1:9">
      <c r="A3757" s="1">
        <v>10036</v>
      </c>
      <c r="B3757" s="1">
        <v>2</v>
      </c>
      <c r="C3757" s="2">
        <v>41542</v>
      </c>
      <c r="D3757" s="1" t="s">
        <v>2005</v>
      </c>
      <c r="E3757" s="1">
        <v>102116</v>
      </c>
      <c r="F3757" s="6" t="s">
        <v>5759</v>
      </c>
      <c r="G3757" s="15" t="str">
        <f>VLOOKUP(A3757,Movie!A:D,4,FALSE)</f>
        <v>Universal</v>
      </c>
      <c r="H3757" s="14">
        <f>VLOOKUP(E3757,'Rental Transaction'!A:B,2,FALSE)</f>
        <v>425051</v>
      </c>
      <c r="I3757">
        <f t="shared" si="58"/>
        <v>2013</v>
      </c>
    </row>
    <row r="3758" spans="1:9">
      <c r="A3758" s="1">
        <v>10057</v>
      </c>
      <c r="B3758" s="1">
        <v>5</v>
      </c>
      <c r="C3758" s="2">
        <v>41541</v>
      </c>
      <c r="D3758" s="1" t="s">
        <v>2002</v>
      </c>
      <c r="E3758" s="1">
        <v>102117</v>
      </c>
      <c r="F3758" s="6" t="s">
        <v>5760</v>
      </c>
      <c r="G3758" s="15" t="str">
        <f>VLOOKUP(A3758,Movie!A:D,4,FALSE)</f>
        <v>Warner Brothers</v>
      </c>
      <c r="H3758" s="14">
        <f>VLOOKUP(E3758,'Rental Transaction'!A:B,2,FALSE)</f>
        <v>646953</v>
      </c>
      <c r="I3758">
        <f t="shared" si="58"/>
        <v>2013</v>
      </c>
    </row>
    <row r="3759" spans="1:9">
      <c r="A3759" s="1">
        <v>10031</v>
      </c>
      <c r="B3759" s="1">
        <v>4</v>
      </c>
      <c r="C3759" s="2">
        <v>41542</v>
      </c>
      <c r="D3759" s="1" t="s">
        <v>2002</v>
      </c>
      <c r="E3759" s="1">
        <v>102118</v>
      </c>
      <c r="F3759" s="6" t="s">
        <v>5761</v>
      </c>
      <c r="G3759" s="15" t="str">
        <f>VLOOKUP(A3759,Movie!A:D,4,FALSE)</f>
        <v>Warner Brothers</v>
      </c>
      <c r="H3759" s="14">
        <f>VLOOKUP(E3759,'Rental Transaction'!A:B,2,FALSE)</f>
        <v>852319</v>
      </c>
      <c r="I3759">
        <f t="shared" si="58"/>
        <v>2013</v>
      </c>
    </row>
    <row r="3760" spans="1:9" ht="29.25">
      <c r="A3760" s="1">
        <v>10165</v>
      </c>
      <c r="B3760" s="1">
        <v>5</v>
      </c>
      <c r="C3760" s="2">
        <v>41541</v>
      </c>
      <c r="D3760" s="1" t="s">
        <v>2005</v>
      </c>
      <c r="E3760" s="1">
        <v>102118</v>
      </c>
      <c r="F3760" s="6" t="s">
        <v>5762</v>
      </c>
      <c r="G3760" s="15" t="str">
        <f>VLOOKUP(A3760,Movie!A:D,4,FALSE)</f>
        <v>Weinstein Company</v>
      </c>
      <c r="H3760" s="14">
        <f>VLOOKUP(E3760,'Rental Transaction'!A:B,2,FALSE)</f>
        <v>852319</v>
      </c>
      <c r="I3760">
        <f t="shared" si="58"/>
        <v>2013</v>
      </c>
    </row>
    <row r="3761" spans="1:9">
      <c r="A3761" s="1">
        <v>10199</v>
      </c>
      <c r="B3761" s="1">
        <v>10</v>
      </c>
      <c r="C3761" s="2">
        <v>41541</v>
      </c>
      <c r="D3761" s="1" t="s">
        <v>2002</v>
      </c>
      <c r="E3761" s="1">
        <v>102119</v>
      </c>
      <c r="F3761" s="6" t="s">
        <v>5763</v>
      </c>
      <c r="G3761" s="15" t="str">
        <f>VLOOKUP(A3761,Movie!A:D,4,FALSE)</f>
        <v>Lionsgate</v>
      </c>
      <c r="H3761" s="14">
        <f>VLOOKUP(E3761,'Rental Transaction'!A:B,2,FALSE)</f>
        <v>694281</v>
      </c>
      <c r="I3761">
        <f t="shared" si="58"/>
        <v>2013</v>
      </c>
    </row>
    <row r="3762" spans="1:9">
      <c r="A3762" s="1">
        <v>10013</v>
      </c>
      <c r="B3762" s="1">
        <v>1</v>
      </c>
      <c r="C3762" s="2">
        <v>41542</v>
      </c>
      <c r="D3762" s="1" t="s">
        <v>2002</v>
      </c>
      <c r="E3762" s="1">
        <v>102119</v>
      </c>
      <c r="F3762" s="6" t="s">
        <v>5764</v>
      </c>
      <c r="G3762" s="15" t="str">
        <f>VLOOKUP(A3762,Movie!A:D,4,FALSE)</f>
        <v>Open Road Films</v>
      </c>
      <c r="H3762" s="14">
        <f>VLOOKUP(E3762,'Rental Transaction'!A:B,2,FALSE)</f>
        <v>694281</v>
      </c>
      <c r="I3762">
        <f t="shared" si="58"/>
        <v>2013</v>
      </c>
    </row>
    <row r="3763" spans="1:9">
      <c r="A3763" s="1">
        <v>10111</v>
      </c>
      <c r="B3763" s="1">
        <v>5</v>
      </c>
      <c r="C3763" s="2">
        <v>41542</v>
      </c>
      <c r="D3763" s="1" t="s">
        <v>2005</v>
      </c>
      <c r="E3763" s="1">
        <v>102120</v>
      </c>
      <c r="F3763" s="6" t="s">
        <v>5765</v>
      </c>
      <c r="G3763" s="15" t="str">
        <f>VLOOKUP(A3763,Movie!A:D,4,FALSE)</f>
        <v>Fox</v>
      </c>
      <c r="H3763" s="14">
        <f>VLOOKUP(E3763,'Rental Transaction'!A:B,2,FALSE)</f>
        <v>262638</v>
      </c>
      <c r="I3763">
        <f t="shared" si="58"/>
        <v>2013</v>
      </c>
    </row>
    <row r="3764" spans="1:9">
      <c r="A3764" s="1">
        <v>10078</v>
      </c>
      <c r="B3764" s="1">
        <v>8</v>
      </c>
      <c r="C3764" s="2">
        <v>41541</v>
      </c>
      <c r="D3764" s="1" t="s">
        <v>2002</v>
      </c>
      <c r="E3764" s="1">
        <v>102120</v>
      </c>
      <c r="F3764" s="6" t="s">
        <v>5766</v>
      </c>
      <c r="G3764" s="15" t="str">
        <f>VLOOKUP(A3764,Movie!A:D,4,FALSE)</f>
        <v>Paramount</v>
      </c>
      <c r="H3764" s="14">
        <f>VLOOKUP(E3764,'Rental Transaction'!A:B,2,FALSE)</f>
        <v>262638</v>
      </c>
      <c r="I3764">
        <f t="shared" si="58"/>
        <v>2013</v>
      </c>
    </row>
    <row r="3765" spans="1:9">
      <c r="A3765" s="1">
        <v>10040</v>
      </c>
      <c r="B3765" s="1">
        <v>7</v>
      </c>
      <c r="C3765" s="2">
        <v>41541</v>
      </c>
      <c r="D3765" s="1" t="s">
        <v>2002</v>
      </c>
      <c r="E3765" s="1">
        <v>102121</v>
      </c>
      <c r="F3765" s="6" t="s">
        <v>5767</v>
      </c>
      <c r="G3765" s="15" t="str">
        <f>VLOOKUP(A3765,Movie!A:D,4,FALSE)</f>
        <v>Universal</v>
      </c>
      <c r="H3765" s="14">
        <f>VLOOKUP(E3765,'Rental Transaction'!A:B,2,FALSE)</f>
        <v>437454</v>
      </c>
      <c r="I3765">
        <f t="shared" si="58"/>
        <v>2013</v>
      </c>
    </row>
    <row r="3766" spans="1:9">
      <c r="A3766" s="1">
        <v>10232</v>
      </c>
      <c r="B3766" s="1">
        <v>1</v>
      </c>
      <c r="C3766" s="2">
        <v>41541</v>
      </c>
      <c r="D3766" s="1" t="s">
        <v>2005</v>
      </c>
      <c r="E3766" s="1">
        <v>102122</v>
      </c>
      <c r="F3766" s="6" t="s">
        <v>5768</v>
      </c>
      <c r="G3766" s="15" t="str">
        <f>VLOOKUP(A3766,Movie!A:D,4,FALSE)</f>
        <v>Paramount</v>
      </c>
      <c r="H3766" s="14">
        <f>VLOOKUP(E3766,'Rental Transaction'!A:B,2,FALSE)</f>
        <v>173125</v>
      </c>
      <c r="I3766">
        <f t="shared" si="58"/>
        <v>2013</v>
      </c>
    </row>
    <row r="3767" spans="1:9">
      <c r="A3767" s="1">
        <v>10001</v>
      </c>
      <c r="B3767" s="1">
        <v>1</v>
      </c>
      <c r="C3767" s="2">
        <v>41543</v>
      </c>
      <c r="D3767" s="1" t="s">
        <v>2002</v>
      </c>
      <c r="E3767" s="1">
        <v>102123</v>
      </c>
      <c r="F3767" s="6" t="s">
        <v>5769</v>
      </c>
      <c r="G3767" s="15" t="str">
        <f>VLOOKUP(A3767,Movie!A:D,4,FALSE)</f>
        <v>Focus</v>
      </c>
      <c r="H3767" s="14">
        <f>VLOOKUP(E3767,'Rental Transaction'!A:B,2,FALSE)</f>
        <v>954812</v>
      </c>
      <c r="I3767">
        <f t="shared" si="58"/>
        <v>2013</v>
      </c>
    </row>
    <row r="3768" spans="1:9">
      <c r="A3768" s="1">
        <v>10113</v>
      </c>
      <c r="B3768" s="1">
        <v>2</v>
      </c>
      <c r="C3768" s="2">
        <v>41542</v>
      </c>
      <c r="D3768" s="1" t="s">
        <v>2002</v>
      </c>
      <c r="E3768" s="1">
        <v>102124</v>
      </c>
      <c r="F3768" s="6" t="s">
        <v>5770</v>
      </c>
      <c r="G3768" s="15" t="str">
        <f>VLOOKUP(A3768,Movie!A:D,4,FALSE)</f>
        <v>Lionsgate</v>
      </c>
      <c r="H3768" s="14">
        <f>VLOOKUP(E3768,'Rental Transaction'!A:B,2,FALSE)</f>
        <v>550661</v>
      </c>
      <c r="I3768">
        <f t="shared" si="58"/>
        <v>2013</v>
      </c>
    </row>
    <row r="3769" spans="1:9">
      <c r="A3769" s="1">
        <v>10211</v>
      </c>
      <c r="B3769" s="1">
        <v>8</v>
      </c>
      <c r="C3769" s="2">
        <v>41542</v>
      </c>
      <c r="D3769" s="1" t="s">
        <v>2002</v>
      </c>
      <c r="E3769" s="1">
        <v>102124</v>
      </c>
      <c r="F3769" s="6" t="s">
        <v>5771</v>
      </c>
      <c r="G3769" s="15" t="str">
        <f>VLOOKUP(A3769,Movie!A:D,4,FALSE)</f>
        <v>Buena Vista</v>
      </c>
      <c r="H3769" s="14">
        <f>VLOOKUP(E3769,'Rental Transaction'!A:B,2,FALSE)</f>
        <v>550661</v>
      </c>
      <c r="I3769">
        <f t="shared" si="58"/>
        <v>2013</v>
      </c>
    </row>
    <row r="3770" spans="1:9">
      <c r="A3770" s="1">
        <v>10115</v>
      </c>
      <c r="B3770" s="1">
        <v>3</v>
      </c>
      <c r="C3770" s="2">
        <v>41543</v>
      </c>
      <c r="D3770" s="1" t="s">
        <v>2002</v>
      </c>
      <c r="E3770" s="1">
        <v>102124</v>
      </c>
      <c r="F3770" s="6" t="s">
        <v>5772</v>
      </c>
      <c r="G3770" s="15" t="str">
        <f>VLOOKUP(A3770,Movie!A:D,4,FALSE)</f>
        <v>Open Road Films</v>
      </c>
      <c r="H3770" s="14">
        <f>VLOOKUP(E3770,'Rental Transaction'!A:B,2,FALSE)</f>
        <v>550661</v>
      </c>
      <c r="I3770">
        <f t="shared" si="58"/>
        <v>2013</v>
      </c>
    </row>
    <row r="3771" spans="1:9">
      <c r="A3771" s="1">
        <v>10161</v>
      </c>
      <c r="B3771" s="1">
        <v>6</v>
      </c>
      <c r="C3771" s="2">
        <v>41542</v>
      </c>
      <c r="D3771" s="1" t="s">
        <v>2002</v>
      </c>
      <c r="E3771" s="1">
        <v>102125</v>
      </c>
      <c r="F3771" s="6" t="s">
        <v>5773</v>
      </c>
      <c r="G3771" s="15" t="str">
        <f>VLOOKUP(A3771,Movie!A:D,4,FALSE)</f>
        <v>TriStar</v>
      </c>
      <c r="H3771" s="14">
        <f>VLOOKUP(E3771,'Rental Transaction'!A:B,2,FALSE)</f>
        <v>205878</v>
      </c>
      <c r="I3771">
        <f t="shared" si="58"/>
        <v>2013</v>
      </c>
    </row>
    <row r="3772" spans="1:9">
      <c r="A3772" s="1">
        <v>10078</v>
      </c>
      <c r="B3772" s="1">
        <v>1</v>
      </c>
      <c r="C3772" s="2">
        <v>41543</v>
      </c>
      <c r="D3772" s="1" t="s">
        <v>2005</v>
      </c>
      <c r="E3772" s="1">
        <v>102125</v>
      </c>
      <c r="F3772" s="6" t="s">
        <v>5774</v>
      </c>
      <c r="G3772" s="15" t="str">
        <f>VLOOKUP(A3772,Movie!A:D,4,FALSE)</f>
        <v>Paramount</v>
      </c>
      <c r="H3772" s="14">
        <f>VLOOKUP(E3772,'Rental Transaction'!A:B,2,FALSE)</f>
        <v>205878</v>
      </c>
      <c r="I3772">
        <f t="shared" si="58"/>
        <v>2013</v>
      </c>
    </row>
    <row r="3773" spans="1:9">
      <c r="A3773" s="1">
        <v>10298</v>
      </c>
      <c r="B3773" s="1">
        <v>8</v>
      </c>
      <c r="C3773" s="2">
        <v>41542</v>
      </c>
      <c r="D3773" s="1" t="s">
        <v>2005</v>
      </c>
      <c r="E3773" s="1">
        <v>102125</v>
      </c>
      <c r="F3773" s="6" t="s">
        <v>5775</v>
      </c>
      <c r="G3773" s="15" t="str">
        <f>VLOOKUP(A3773,Movie!A:D,4,FALSE)</f>
        <v>UTV</v>
      </c>
      <c r="H3773" s="14">
        <f>VLOOKUP(E3773,'Rental Transaction'!A:B,2,FALSE)</f>
        <v>205878</v>
      </c>
      <c r="I3773">
        <f t="shared" si="58"/>
        <v>2013</v>
      </c>
    </row>
    <row r="3774" spans="1:9">
      <c r="A3774" s="1">
        <v>10112</v>
      </c>
      <c r="B3774" s="1">
        <v>5</v>
      </c>
      <c r="C3774" s="2">
        <v>41542</v>
      </c>
      <c r="D3774" s="1" t="s">
        <v>2005</v>
      </c>
      <c r="E3774" s="1">
        <v>102125</v>
      </c>
      <c r="F3774" s="6" t="s">
        <v>5776</v>
      </c>
      <c r="G3774" s="15" t="str">
        <f>VLOOKUP(A3774,Movie!A:D,4,FALSE)</f>
        <v>Relativity</v>
      </c>
      <c r="H3774" s="14">
        <f>VLOOKUP(E3774,'Rental Transaction'!A:B,2,FALSE)</f>
        <v>205878</v>
      </c>
      <c r="I3774">
        <f t="shared" si="58"/>
        <v>2013</v>
      </c>
    </row>
    <row r="3775" spans="1:9">
      <c r="A3775" s="1">
        <v>10159</v>
      </c>
      <c r="B3775" s="1">
        <v>6</v>
      </c>
      <c r="C3775" s="2">
        <v>41542</v>
      </c>
      <c r="D3775" s="1" t="s">
        <v>2005</v>
      </c>
      <c r="E3775" s="1">
        <v>102126</v>
      </c>
      <c r="F3775" s="6" t="s">
        <v>5777</v>
      </c>
      <c r="G3775" s="15" t="str">
        <f>VLOOKUP(A3775,Movie!A:D,4,FALSE)</f>
        <v>Lionsgate</v>
      </c>
      <c r="H3775" s="14">
        <f>VLOOKUP(E3775,'Rental Transaction'!A:B,2,FALSE)</f>
        <v>385115</v>
      </c>
      <c r="I3775">
        <f t="shared" si="58"/>
        <v>2013</v>
      </c>
    </row>
    <row r="3776" spans="1:9">
      <c r="A3776" s="1">
        <v>10137</v>
      </c>
      <c r="B3776" s="1">
        <v>2</v>
      </c>
      <c r="C3776" s="2">
        <v>41542</v>
      </c>
      <c r="D3776" s="1" t="s">
        <v>2005</v>
      </c>
      <c r="E3776" s="1">
        <v>102126</v>
      </c>
      <c r="F3776" s="6" t="s">
        <v>5778</v>
      </c>
      <c r="G3776" s="15" t="str">
        <f>VLOOKUP(A3776,Movie!A:D,4,FALSE)</f>
        <v>Buena Vista</v>
      </c>
      <c r="H3776" s="14">
        <f>VLOOKUP(E3776,'Rental Transaction'!A:B,2,FALSE)</f>
        <v>385115</v>
      </c>
      <c r="I3776">
        <f t="shared" si="58"/>
        <v>2013</v>
      </c>
    </row>
    <row r="3777" spans="1:9">
      <c r="A3777" s="1">
        <v>10185</v>
      </c>
      <c r="B3777" s="1">
        <v>10</v>
      </c>
      <c r="C3777" s="2">
        <v>41543</v>
      </c>
      <c r="D3777" s="1" t="s">
        <v>2005</v>
      </c>
      <c r="E3777" s="1">
        <v>102127</v>
      </c>
      <c r="F3777" s="6" t="s">
        <v>5779</v>
      </c>
      <c r="G3777" s="15" t="str">
        <f>VLOOKUP(A3777,Movie!A:D,4,FALSE)</f>
        <v>Warner Brothers</v>
      </c>
      <c r="H3777" s="14">
        <f>VLOOKUP(E3777,'Rental Transaction'!A:B,2,FALSE)</f>
        <v>918682</v>
      </c>
      <c r="I3777">
        <f t="shared" si="58"/>
        <v>2013</v>
      </c>
    </row>
    <row r="3778" spans="1:9">
      <c r="A3778" s="1">
        <v>10087</v>
      </c>
      <c r="B3778" s="1">
        <v>1</v>
      </c>
      <c r="C3778" s="2">
        <v>41542</v>
      </c>
      <c r="D3778" s="1" t="s">
        <v>2005</v>
      </c>
      <c r="E3778" s="1">
        <v>102128</v>
      </c>
      <c r="F3778" s="6" t="s">
        <v>5780</v>
      </c>
      <c r="G3778" s="15" t="str">
        <f>VLOOKUP(A3778,Movie!A:D,4,FALSE)</f>
        <v>Lionsgate</v>
      </c>
      <c r="H3778" s="14">
        <f>VLOOKUP(E3778,'Rental Transaction'!A:B,2,FALSE)</f>
        <v>384899</v>
      </c>
      <c r="I3778">
        <f t="shared" si="58"/>
        <v>2013</v>
      </c>
    </row>
    <row r="3779" spans="1:9">
      <c r="A3779" s="1">
        <v>10123</v>
      </c>
      <c r="B3779" s="1">
        <v>5</v>
      </c>
      <c r="C3779" s="2">
        <v>41542</v>
      </c>
      <c r="D3779" s="1" t="s">
        <v>2002</v>
      </c>
      <c r="E3779" s="1">
        <v>102128</v>
      </c>
      <c r="F3779" s="6" t="s">
        <v>5781</v>
      </c>
      <c r="G3779" s="15" t="str">
        <f>VLOOKUP(A3779,Movie!A:D,4,FALSE)</f>
        <v>Fox</v>
      </c>
      <c r="H3779" s="14">
        <f>VLOOKUP(E3779,'Rental Transaction'!A:B,2,FALSE)</f>
        <v>384899</v>
      </c>
      <c r="I3779">
        <f t="shared" ref="I3779:I3842" si="59">YEAR(C3779)</f>
        <v>2013</v>
      </c>
    </row>
    <row r="3780" spans="1:9">
      <c r="A3780" s="1">
        <v>10251</v>
      </c>
      <c r="B3780" s="1">
        <v>10</v>
      </c>
      <c r="C3780" s="2">
        <v>41543</v>
      </c>
      <c r="D3780" s="1" t="s">
        <v>2002</v>
      </c>
      <c r="E3780" s="1">
        <v>102129</v>
      </c>
      <c r="F3780" s="6" t="s">
        <v>5782</v>
      </c>
      <c r="G3780" s="15" t="str">
        <f>VLOOKUP(A3780,Movie!A:D,4,FALSE)</f>
        <v>Universal</v>
      </c>
      <c r="H3780" s="14">
        <f>VLOOKUP(E3780,'Rental Transaction'!A:B,2,FALSE)</f>
        <v>944523</v>
      </c>
      <c r="I3780">
        <f t="shared" si="59"/>
        <v>2013</v>
      </c>
    </row>
    <row r="3781" spans="1:9">
      <c r="A3781" s="1">
        <v>10017</v>
      </c>
      <c r="B3781" s="1">
        <v>10</v>
      </c>
      <c r="C3781" s="2">
        <v>41543</v>
      </c>
      <c r="D3781" s="1" t="s">
        <v>2005</v>
      </c>
      <c r="E3781" s="1">
        <v>102129</v>
      </c>
      <c r="F3781" s="6" t="s">
        <v>5783</v>
      </c>
      <c r="G3781" s="15" t="str">
        <f>VLOOKUP(A3781,Movie!A:D,4,FALSE)</f>
        <v>Sony</v>
      </c>
      <c r="H3781" s="14">
        <f>VLOOKUP(E3781,'Rental Transaction'!A:B,2,FALSE)</f>
        <v>944523</v>
      </c>
      <c r="I3781">
        <f t="shared" si="59"/>
        <v>2013</v>
      </c>
    </row>
    <row r="3782" spans="1:9">
      <c r="A3782" s="1">
        <v>10270</v>
      </c>
      <c r="B3782" s="1">
        <v>3</v>
      </c>
      <c r="C3782" s="2">
        <v>41542</v>
      </c>
      <c r="D3782" s="1" t="s">
        <v>2002</v>
      </c>
      <c r="E3782" s="1">
        <v>102129</v>
      </c>
      <c r="F3782" s="6" t="s">
        <v>5784</v>
      </c>
      <c r="G3782" s="15" t="str">
        <f>VLOOKUP(A3782,Movie!A:D,4,FALSE)</f>
        <v>Fox</v>
      </c>
      <c r="H3782" s="14">
        <f>VLOOKUP(E3782,'Rental Transaction'!A:B,2,FALSE)</f>
        <v>944523</v>
      </c>
      <c r="I3782">
        <f t="shared" si="59"/>
        <v>2013</v>
      </c>
    </row>
    <row r="3783" spans="1:9" ht="29.25">
      <c r="A3783" s="1">
        <v>10285</v>
      </c>
      <c r="B3783" s="1">
        <v>7</v>
      </c>
      <c r="C3783" s="2">
        <v>41542</v>
      </c>
      <c r="D3783" s="1" t="s">
        <v>2002</v>
      </c>
      <c r="E3783" s="1">
        <v>102130</v>
      </c>
      <c r="F3783" s="6" t="s">
        <v>5785</v>
      </c>
      <c r="G3783" s="15" t="str">
        <f>VLOOKUP(A3783,Movie!A:D,4,FALSE)</f>
        <v>Roadside Attractions</v>
      </c>
      <c r="H3783" s="14">
        <f>VLOOKUP(E3783,'Rental Transaction'!A:B,2,FALSE)</f>
        <v>147216</v>
      </c>
      <c r="I3783">
        <f t="shared" si="59"/>
        <v>2013</v>
      </c>
    </row>
    <row r="3784" spans="1:9">
      <c r="A3784" s="1">
        <v>10139</v>
      </c>
      <c r="B3784" s="1">
        <v>1</v>
      </c>
      <c r="C3784" s="2">
        <v>41542</v>
      </c>
      <c r="D3784" s="1" t="s">
        <v>2002</v>
      </c>
      <c r="E3784" s="1">
        <v>102131</v>
      </c>
      <c r="F3784" s="6" t="s">
        <v>5786</v>
      </c>
      <c r="G3784" s="15" t="str">
        <f>VLOOKUP(A3784,Movie!A:D,4,FALSE)</f>
        <v>Focus</v>
      </c>
      <c r="H3784" s="14">
        <f>VLOOKUP(E3784,'Rental Transaction'!A:B,2,FALSE)</f>
        <v>659695</v>
      </c>
      <c r="I3784">
        <f t="shared" si="59"/>
        <v>2013</v>
      </c>
    </row>
    <row r="3785" spans="1:9">
      <c r="A3785" s="1">
        <v>10273</v>
      </c>
      <c r="B3785" s="1">
        <v>8</v>
      </c>
      <c r="C3785" s="2">
        <v>41542</v>
      </c>
      <c r="D3785" s="1" t="s">
        <v>2002</v>
      </c>
      <c r="E3785" s="1">
        <v>102132</v>
      </c>
      <c r="F3785" s="6" t="s">
        <v>5787</v>
      </c>
      <c r="G3785" s="15" t="str">
        <f>VLOOKUP(A3785,Movie!A:D,4,FALSE)</f>
        <v>Sony</v>
      </c>
      <c r="H3785" s="14">
        <f>VLOOKUP(E3785,'Rental Transaction'!A:B,2,FALSE)</f>
        <v>550824</v>
      </c>
      <c r="I3785">
        <f t="shared" si="59"/>
        <v>2013</v>
      </c>
    </row>
    <row r="3786" spans="1:9">
      <c r="A3786" s="1">
        <v>10229</v>
      </c>
      <c r="B3786" s="1">
        <v>4</v>
      </c>
      <c r="C3786" s="2">
        <v>41543</v>
      </c>
      <c r="D3786" s="1" t="s">
        <v>2002</v>
      </c>
      <c r="E3786" s="1">
        <v>102133</v>
      </c>
      <c r="F3786" s="6" t="s">
        <v>5788</v>
      </c>
      <c r="G3786" s="15" t="str">
        <f>VLOOKUP(A3786,Movie!A:D,4,FALSE)</f>
        <v>TriStar</v>
      </c>
      <c r="H3786" s="14">
        <f>VLOOKUP(E3786,'Rental Transaction'!A:B,2,FALSE)</f>
        <v>205878</v>
      </c>
      <c r="I3786">
        <f t="shared" si="59"/>
        <v>2013</v>
      </c>
    </row>
    <row r="3787" spans="1:9">
      <c r="A3787" s="1">
        <v>10259</v>
      </c>
      <c r="B3787" s="1">
        <v>1</v>
      </c>
      <c r="C3787" s="2">
        <v>41542</v>
      </c>
      <c r="D3787" s="1" t="s">
        <v>2002</v>
      </c>
      <c r="E3787" s="1">
        <v>102133</v>
      </c>
      <c r="F3787" s="6" t="s">
        <v>5789</v>
      </c>
      <c r="G3787" s="15" t="str">
        <f>VLOOKUP(A3787,Movie!A:D,4,FALSE)</f>
        <v>Warner Brothers</v>
      </c>
      <c r="H3787" s="14">
        <f>VLOOKUP(E3787,'Rental Transaction'!A:B,2,FALSE)</f>
        <v>205878</v>
      </c>
      <c r="I3787">
        <f t="shared" si="59"/>
        <v>2013</v>
      </c>
    </row>
    <row r="3788" spans="1:9">
      <c r="A3788" s="1">
        <v>10069</v>
      </c>
      <c r="B3788" s="1">
        <v>7</v>
      </c>
      <c r="C3788" s="2">
        <v>41544</v>
      </c>
      <c r="D3788" s="1" t="s">
        <v>2005</v>
      </c>
      <c r="E3788" s="1">
        <v>102134</v>
      </c>
      <c r="F3788" s="6" t="s">
        <v>5790</v>
      </c>
      <c r="G3788" s="15" t="str">
        <f>VLOOKUP(A3788,Movie!A:D,4,FALSE)</f>
        <v>Warner Brothers</v>
      </c>
      <c r="H3788" s="14">
        <f>VLOOKUP(E3788,'Rental Transaction'!A:B,2,FALSE)</f>
        <v>755271</v>
      </c>
      <c r="I3788">
        <f t="shared" si="59"/>
        <v>2013</v>
      </c>
    </row>
    <row r="3789" spans="1:9">
      <c r="A3789" s="1">
        <v>10297</v>
      </c>
      <c r="B3789" s="1">
        <v>10</v>
      </c>
      <c r="C3789" s="2">
        <v>41542</v>
      </c>
      <c r="D3789" s="1" t="s">
        <v>2002</v>
      </c>
      <c r="E3789" s="1">
        <v>102134</v>
      </c>
      <c r="F3789" s="6" t="s">
        <v>5791</v>
      </c>
      <c r="G3789" s="15" t="str">
        <f>VLOOKUP(A3789,Movie!A:D,4,FALSE)</f>
        <v>Focus</v>
      </c>
      <c r="H3789" s="14">
        <f>VLOOKUP(E3789,'Rental Transaction'!A:B,2,FALSE)</f>
        <v>755271</v>
      </c>
      <c r="I3789">
        <f t="shared" si="59"/>
        <v>2013</v>
      </c>
    </row>
    <row r="3790" spans="1:9">
      <c r="A3790" s="1">
        <v>10104</v>
      </c>
      <c r="B3790" s="1">
        <v>9</v>
      </c>
      <c r="C3790" s="2">
        <v>41542</v>
      </c>
      <c r="D3790" s="1" t="s">
        <v>2005</v>
      </c>
      <c r="E3790" s="1">
        <v>102135</v>
      </c>
      <c r="F3790" s="6" t="s">
        <v>5792</v>
      </c>
      <c r="G3790" s="15" t="str">
        <f>VLOOKUP(A3790,Movie!A:D,4,FALSE)</f>
        <v>Universal</v>
      </c>
      <c r="H3790" s="14">
        <f>VLOOKUP(E3790,'Rental Transaction'!A:B,2,FALSE)</f>
        <v>373200</v>
      </c>
      <c r="I3790">
        <f t="shared" si="59"/>
        <v>2013</v>
      </c>
    </row>
    <row r="3791" spans="1:9">
      <c r="A3791" s="1">
        <v>10142</v>
      </c>
      <c r="B3791" s="1">
        <v>10</v>
      </c>
      <c r="C3791" s="2">
        <v>41542</v>
      </c>
      <c r="D3791" s="1" t="s">
        <v>2005</v>
      </c>
      <c r="E3791" s="1">
        <v>102135</v>
      </c>
      <c r="F3791" s="6" t="s">
        <v>5793</v>
      </c>
      <c r="G3791" s="15" t="str">
        <f>VLOOKUP(A3791,Movie!A:D,4,FALSE)</f>
        <v>Warner Brothers</v>
      </c>
      <c r="H3791" s="14">
        <f>VLOOKUP(E3791,'Rental Transaction'!A:B,2,FALSE)</f>
        <v>373200</v>
      </c>
      <c r="I3791">
        <f t="shared" si="59"/>
        <v>2013</v>
      </c>
    </row>
    <row r="3792" spans="1:9">
      <c r="A3792" s="1">
        <v>10131</v>
      </c>
      <c r="B3792" s="1">
        <v>7</v>
      </c>
      <c r="C3792" s="2">
        <v>41542</v>
      </c>
      <c r="D3792" s="1" t="s">
        <v>2002</v>
      </c>
      <c r="E3792" s="1">
        <v>102135</v>
      </c>
      <c r="F3792" s="6" t="s">
        <v>5794</v>
      </c>
      <c r="G3792" s="15" t="str">
        <f>VLOOKUP(A3792,Movie!A:D,4,FALSE)</f>
        <v>Warner Brothers</v>
      </c>
      <c r="H3792" s="14">
        <f>VLOOKUP(E3792,'Rental Transaction'!A:B,2,FALSE)</f>
        <v>373200</v>
      </c>
      <c r="I3792">
        <f t="shared" si="59"/>
        <v>2013</v>
      </c>
    </row>
    <row r="3793" spans="1:9">
      <c r="A3793" s="1">
        <v>10199</v>
      </c>
      <c r="B3793" s="1">
        <v>8</v>
      </c>
      <c r="C3793" s="2">
        <v>41542</v>
      </c>
      <c r="D3793" s="1" t="s">
        <v>2005</v>
      </c>
      <c r="E3793" s="1">
        <v>102135</v>
      </c>
      <c r="F3793" s="6" t="s">
        <v>5795</v>
      </c>
      <c r="G3793" s="15" t="str">
        <f>VLOOKUP(A3793,Movie!A:D,4,FALSE)</f>
        <v>Lionsgate</v>
      </c>
      <c r="H3793" s="14">
        <f>VLOOKUP(E3793,'Rental Transaction'!A:B,2,FALSE)</f>
        <v>373200</v>
      </c>
      <c r="I3793">
        <f t="shared" si="59"/>
        <v>2013</v>
      </c>
    </row>
    <row r="3794" spans="1:9">
      <c r="A3794" s="1">
        <v>10220</v>
      </c>
      <c r="B3794" s="1">
        <v>8</v>
      </c>
      <c r="C3794" s="2">
        <v>41542</v>
      </c>
      <c r="D3794" s="1" t="s">
        <v>2002</v>
      </c>
      <c r="E3794" s="1">
        <v>102136</v>
      </c>
      <c r="F3794" s="6" t="s">
        <v>5796</v>
      </c>
      <c r="G3794" s="15" t="str">
        <f>VLOOKUP(A3794,Movie!A:D,4,FALSE)</f>
        <v>Fox</v>
      </c>
      <c r="H3794" s="14">
        <f>VLOOKUP(E3794,'Rental Transaction'!A:B,2,FALSE)</f>
        <v>143878</v>
      </c>
      <c r="I3794">
        <f t="shared" si="59"/>
        <v>2013</v>
      </c>
    </row>
    <row r="3795" spans="1:9">
      <c r="A3795" s="1">
        <v>10166</v>
      </c>
      <c r="B3795" s="1">
        <v>7</v>
      </c>
      <c r="C3795" s="2">
        <v>41542</v>
      </c>
      <c r="D3795" s="1" t="s">
        <v>2005</v>
      </c>
      <c r="E3795" s="1">
        <v>102137</v>
      </c>
      <c r="F3795" s="6" t="s">
        <v>5797</v>
      </c>
      <c r="G3795" s="15" t="str">
        <f>VLOOKUP(A3795,Movie!A:D,4,FALSE)</f>
        <v>Fox</v>
      </c>
      <c r="H3795" s="14">
        <f>VLOOKUP(E3795,'Rental Transaction'!A:B,2,FALSE)</f>
        <v>236554</v>
      </c>
      <c r="I3795">
        <f t="shared" si="59"/>
        <v>2013</v>
      </c>
    </row>
    <row r="3796" spans="1:9">
      <c r="A3796" s="1">
        <v>10276</v>
      </c>
      <c r="B3796" s="1">
        <v>10</v>
      </c>
      <c r="C3796" s="2">
        <v>41543</v>
      </c>
      <c r="D3796" s="1" t="s">
        <v>2005</v>
      </c>
      <c r="E3796" s="1">
        <v>102137</v>
      </c>
      <c r="F3796" s="6" t="s">
        <v>5798</v>
      </c>
      <c r="G3796" s="15" t="str">
        <f>VLOOKUP(A3796,Movie!A:D,4,FALSE)</f>
        <v>FilmDistrict</v>
      </c>
      <c r="H3796" s="14">
        <f>VLOOKUP(E3796,'Rental Transaction'!A:B,2,FALSE)</f>
        <v>236554</v>
      </c>
      <c r="I3796">
        <f t="shared" si="59"/>
        <v>2013</v>
      </c>
    </row>
    <row r="3797" spans="1:9">
      <c r="A3797" s="1">
        <v>10146</v>
      </c>
      <c r="B3797" s="1">
        <v>5</v>
      </c>
      <c r="C3797" s="2">
        <v>41542</v>
      </c>
      <c r="D3797" s="1" t="s">
        <v>2005</v>
      </c>
      <c r="E3797" s="1">
        <v>102137</v>
      </c>
      <c r="F3797" s="6" t="s">
        <v>5799</v>
      </c>
      <c r="G3797" s="15" t="str">
        <f>VLOOKUP(A3797,Movie!A:D,4,FALSE)</f>
        <v>Sony</v>
      </c>
      <c r="H3797" s="14">
        <f>VLOOKUP(E3797,'Rental Transaction'!A:B,2,FALSE)</f>
        <v>236554</v>
      </c>
      <c r="I3797">
        <f t="shared" si="59"/>
        <v>2013</v>
      </c>
    </row>
    <row r="3798" spans="1:9">
      <c r="A3798" s="1">
        <v>10247</v>
      </c>
      <c r="B3798" s="1">
        <v>4</v>
      </c>
      <c r="C3798" s="2">
        <v>41543</v>
      </c>
      <c r="D3798" s="1" t="s">
        <v>2002</v>
      </c>
      <c r="E3798" s="1">
        <v>102138</v>
      </c>
      <c r="F3798" s="6" t="s">
        <v>5800</v>
      </c>
      <c r="G3798" s="15" t="str">
        <f>VLOOKUP(A3798,Movie!A:D,4,FALSE)</f>
        <v>Fox</v>
      </c>
      <c r="H3798" s="14">
        <f>VLOOKUP(E3798,'Rental Transaction'!A:B,2,FALSE)</f>
        <v>186353</v>
      </c>
      <c r="I3798">
        <f t="shared" si="59"/>
        <v>2013</v>
      </c>
    </row>
    <row r="3799" spans="1:9">
      <c r="A3799" s="1">
        <v>10065</v>
      </c>
      <c r="B3799" s="1">
        <v>5</v>
      </c>
      <c r="C3799" s="2">
        <v>41543</v>
      </c>
      <c r="D3799" s="1" t="s">
        <v>2002</v>
      </c>
      <c r="E3799" s="1">
        <v>102138</v>
      </c>
      <c r="F3799" s="6" t="s">
        <v>5801</v>
      </c>
      <c r="G3799" s="15" t="str">
        <f>VLOOKUP(A3799,Movie!A:D,4,FALSE)</f>
        <v>Warner Brothers</v>
      </c>
      <c r="H3799" s="14">
        <f>VLOOKUP(E3799,'Rental Transaction'!A:B,2,FALSE)</f>
        <v>186353</v>
      </c>
      <c r="I3799">
        <f t="shared" si="59"/>
        <v>2013</v>
      </c>
    </row>
    <row r="3800" spans="1:9">
      <c r="A3800" s="1">
        <v>10292</v>
      </c>
      <c r="B3800" s="1">
        <v>1</v>
      </c>
      <c r="C3800" s="2">
        <v>41544</v>
      </c>
      <c r="D3800" s="1" t="s">
        <v>2002</v>
      </c>
      <c r="E3800" s="1">
        <v>102139</v>
      </c>
      <c r="F3800" s="6" t="s">
        <v>5802</v>
      </c>
      <c r="G3800" s="15" t="str">
        <f>VLOOKUP(A3800,Movie!A:D,4,FALSE)</f>
        <v>Sony Classics</v>
      </c>
      <c r="H3800" s="14">
        <f>VLOOKUP(E3800,'Rental Transaction'!A:B,2,FALSE)</f>
        <v>262579</v>
      </c>
      <c r="I3800">
        <f t="shared" si="59"/>
        <v>2013</v>
      </c>
    </row>
    <row r="3801" spans="1:9">
      <c r="A3801" s="1">
        <v>10004</v>
      </c>
      <c r="B3801" s="1">
        <v>1</v>
      </c>
      <c r="C3801" s="2">
        <v>41543</v>
      </c>
      <c r="D3801" s="1" t="s">
        <v>2002</v>
      </c>
      <c r="E3801" s="1">
        <v>102139</v>
      </c>
      <c r="F3801" s="6" t="s">
        <v>5803</v>
      </c>
      <c r="G3801" s="15" t="str">
        <f>VLOOKUP(A3801,Movie!A:D,4,FALSE)</f>
        <v>Paramount</v>
      </c>
      <c r="H3801" s="14">
        <f>VLOOKUP(E3801,'Rental Transaction'!A:B,2,FALSE)</f>
        <v>262579</v>
      </c>
      <c r="I3801">
        <f t="shared" si="59"/>
        <v>2013</v>
      </c>
    </row>
    <row r="3802" spans="1:9">
      <c r="A3802" s="1">
        <v>10031</v>
      </c>
      <c r="B3802" s="1">
        <v>9</v>
      </c>
      <c r="C3802" s="2">
        <v>41544</v>
      </c>
      <c r="D3802" s="1" t="s">
        <v>2002</v>
      </c>
      <c r="E3802" s="1">
        <v>102139</v>
      </c>
      <c r="F3802" s="6" t="s">
        <v>5804</v>
      </c>
      <c r="G3802" s="15" t="str">
        <f>VLOOKUP(A3802,Movie!A:D,4,FALSE)</f>
        <v>Warner Brothers</v>
      </c>
      <c r="H3802" s="14">
        <f>VLOOKUP(E3802,'Rental Transaction'!A:B,2,FALSE)</f>
        <v>262579</v>
      </c>
      <c r="I3802">
        <f t="shared" si="59"/>
        <v>2013</v>
      </c>
    </row>
    <row r="3803" spans="1:9">
      <c r="A3803" s="1">
        <v>10057</v>
      </c>
      <c r="B3803" s="1">
        <v>5</v>
      </c>
      <c r="C3803" s="2">
        <v>41544</v>
      </c>
      <c r="D3803" s="1" t="s">
        <v>2005</v>
      </c>
      <c r="E3803" s="1">
        <v>102140</v>
      </c>
      <c r="F3803" s="6" t="s">
        <v>5805</v>
      </c>
      <c r="G3803" s="15" t="str">
        <f>VLOOKUP(A3803,Movie!A:D,4,FALSE)</f>
        <v>Warner Brothers</v>
      </c>
      <c r="H3803" s="14">
        <f>VLOOKUP(E3803,'Rental Transaction'!A:B,2,FALSE)</f>
        <v>304344</v>
      </c>
      <c r="I3803">
        <f t="shared" si="59"/>
        <v>2013</v>
      </c>
    </row>
    <row r="3804" spans="1:9">
      <c r="A3804" s="1">
        <v>10107</v>
      </c>
      <c r="B3804" s="1">
        <v>5</v>
      </c>
      <c r="C3804" s="2">
        <v>41543</v>
      </c>
      <c r="D3804" s="1" t="s">
        <v>2002</v>
      </c>
      <c r="E3804" s="1">
        <v>102141</v>
      </c>
      <c r="F3804" s="6" t="s">
        <v>5806</v>
      </c>
      <c r="G3804" s="15" t="str">
        <f>VLOOKUP(A3804,Movie!A:D,4,FALSE)</f>
        <v>Universal</v>
      </c>
      <c r="H3804" s="14">
        <f>VLOOKUP(E3804,'Rental Transaction'!A:B,2,FALSE)</f>
        <v>478274</v>
      </c>
      <c r="I3804">
        <f t="shared" si="59"/>
        <v>2013</v>
      </c>
    </row>
    <row r="3805" spans="1:9">
      <c r="A3805" s="1">
        <v>10216</v>
      </c>
      <c r="B3805" s="1">
        <v>6</v>
      </c>
      <c r="C3805" s="2">
        <v>41543</v>
      </c>
      <c r="D3805" s="1" t="s">
        <v>2002</v>
      </c>
      <c r="E3805" s="1">
        <v>102141</v>
      </c>
      <c r="F3805" s="6" t="s">
        <v>5807</v>
      </c>
      <c r="G3805" s="15" t="str">
        <f>VLOOKUP(A3805,Movie!A:D,4,FALSE)</f>
        <v>Sony</v>
      </c>
      <c r="H3805" s="14">
        <f>VLOOKUP(E3805,'Rental Transaction'!A:B,2,FALSE)</f>
        <v>478274</v>
      </c>
      <c r="I3805">
        <f t="shared" si="59"/>
        <v>2013</v>
      </c>
    </row>
    <row r="3806" spans="1:9">
      <c r="A3806" s="1">
        <v>10155</v>
      </c>
      <c r="B3806" s="1">
        <v>1</v>
      </c>
      <c r="C3806" s="2">
        <v>41543</v>
      </c>
      <c r="D3806" s="1" t="s">
        <v>2002</v>
      </c>
      <c r="E3806" s="1">
        <v>102142</v>
      </c>
      <c r="F3806" s="6" t="s">
        <v>5808</v>
      </c>
      <c r="G3806" s="15" t="str">
        <f>VLOOKUP(A3806,Movie!A:D,4,FALSE)</f>
        <v>Fox</v>
      </c>
      <c r="H3806" s="14">
        <f>VLOOKUP(E3806,'Rental Transaction'!A:B,2,FALSE)</f>
        <v>323830</v>
      </c>
      <c r="I3806">
        <f t="shared" si="59"/>
        <v>2013</v>
      </c>
    </row>
    <row r="3807" spans="1:9">
      <c r="A3807" s="1">
        <v>10142</v>
      </c>
      <c r="B3807" s="1">
        <v>10</v>
      </c>
      <c r="C3807" s="2">
        <v>41543</v>
      </c>
      <c r="D3807" s="1" t="s">
        <v>2005</v>
      </c>
      <c r="E3807" s="1">
        <v>102143</v>
      </c>
      <c r="F3807" s="6" t="s">
        <v>5809</v>
      </c>
      <c r="G3807" s="15" t="str">
        <f>VLOOKUP(A3807,Movie!A:D,4,FALSE)</f>
        <v>Warner Brothers</v>
      </c>
      <c r="H3807" s="14">
        <f>VLOOKUP(E3807,'Rental Transaction'!A:B,2,FALSE)</f>
        <v>147216</v>
      </c>
      <c r="I3807">
        <f t="shared" si="59"/>
        <v>2013</v>
      </c>
    </row>
    <row r="3808" spans="1:9">
      <c r="A3808" s="1">
        <v>10261</v>
      </c>
      <c r="B3808" s="1">
        <v>5</v>
      </c>
      <c r="C3808" s="2">
        <v>41543</v>
      </c>
      <c r="D3808" s="1" t="s">
        <v>2005</v>
      </c>
      <c r="E3808" s="1">
        <v>102144</v>
      </c>
      <c r="F3808" s="6" t="s">
        <v>5810</v>
      </c>
      <c r="G3808" s="15" t="str">
        <f>VLOOKUP(A3808,Movie!A:D,4,FALSE)</f>
        <v>Fox</v>
      </c>
      <c r="H3808" s="14">
        <f>VLOOKUP(E3808,'Rental Transaction'!A:B,2,FALSE)</f>
        <v>373200</v>
      </c>
      <c r="I3808">
        <f t="shared" si="59"/>
        <v>2013</v>
      </c>
    </row>
    <row r="3809" spans="1:9">
      <c r="A3809" s="1">
        <v>10117</v>
      </c>
      <c r="B3809" s="1">
        <v>1</v>
      </c>
      <c r="C3809" s="2">
        <v>41543</v>
      </c>
      <c r="D3809" s="1" t="s">
        <v>2002</v>
      </c>
      <c r="E3809" s="1">
        <v>102144</v>
      </c>
      <c r="F3809" s="6" t="s">
        <v>5811</v>
      </c>
      <c r="G3809" s="15" t="str">
        <f>VLOOKUP(A3809,Movie!A:D,4,FALSE)</f>
        <v>Sony</v>
      </c>
      <c r="H3809" s="14">
        <f>VLOOKUP(E3809,'Rental Transaction'!A:B,2,FALSE)</f>
        <v>373200</v>
      </c>
      <c r="I3809">
        <f t="shared" si="59"/>
        <v>2013</v>
      </c>
    </row>
    <row r="3810" spans="1:9">
      <c r="A3810" s="1">
        <v>10060</v>
      </c>
      <c r="B3810" s="1">
        <v>2</v>
      </c>
      <c r="C3810" s="2">
        <v>41543</v>
      </c>
      <c r="D3810" s="1" t="s">
        <v>2002</v>
      </c>
      <c r="E3810" s="1">
        <v>102145</v>
      </c>
      <c r="F3810" s="6" t="s">
        <v>5812</v>
      </c>
      <c r="G3810" s="15" t="str">
        <f>VLOOKUP(A3810,Movie!A:D,4,FALSE)</f>
        <v>Warner Brothers</v>
      </c>
      <c r="H3810" s="14">
        <f>VLOOKUP(E3810,'Rental Transaction'!A:B,2,FALSE)</f>
        <v>852319</v>
      </c>
      <c r="I3810">
        <f t="shared" si="59"/>
        <v>2013</v>
      </c>
    </row>
    <row r="3811" spans="1:9">
      <c r="A3811" s="1">
        <v>10161</v>
      </c>
      <c r="B3811" s="1">
        <v>7</v>
      </c>
      <c r="C3811" s="2">
        <v>41544</v>
      </c>
      <c r="D3811" s="1" t="s">
        <v>2002</v>
      </c>
      <c r="E3811" s="1">
        <v>102145</v>
      </c>
      <c r="F3811" s="6" t="s">
        <v>5813</v>
      </c>
      <c r="G3811" s="15" t="str">
        <f>VLOOKUP(A3811,Movie!A:D,4,FALSE)</f>
        <v>TriStar</v>
      </c>
      <c r="H3811" s="14">
        <f>VLOOKUP(E3811,'Rental Transaction'!A:B,2,FALSE)</f>
        <v>852319</v>
      </c>
      <c r="I3811">
        <f t="shared" si="59"/>
        <v>2013</v>
      </c>
    </row>
    <row r="3812" spans="1:9">
      <c r="A3812" s="1">
        <v>10261</v>
      </c>
      <c r="B3812" s="1">
        <v>6</v>
      </c>
      <c r="C3812" s="2">
        <v>41544</v>
      </c>
      <c r="D3812" s="1" t="s">
        <v>2005</v>
      </c>
      <c r="E3812" s="1">
        <v>102146</v>
      </c>
      <c r="F3812" s="6" t="s">
        <v>5814</v>
      </c>
      <c r="G3812" s="15" t="str">
        <f>VLOOKUP(A3812,Movie!A:D,4,FALSE)</f>
        <v>Fox</v>
      </c>
      <c r="H3812" s="14">
        <f>VLOOKUP(E3812,'Rental Transaction'!A:B,2,FALSE)</f>
        <v>548800</v>
      </c>
      <c r="I3812">
        <f t="shared" si="59"/>
        <v>2013</v>
      </c>
    </row>
    <row r="3813" spans="1:9">
      <c r="A3813" s="1">
        <v>10252</v>
      </c>
      <c r="B3813" s="1">
        <v>5</v>
      </c>
      <c r="C3813" s="2">
        <v>41543</v>
      </c>
      <c r="D3813" s="1" t="s">
        <v>2002</v>
      </c>
      <c r="E3813" s="1">
        <v>102146</v>
      </c>
      <c r="F3813" s="6" t="s">
        <v>5815</v>
      </c>
      <c r="G3813" s="15" t="str">
        <f>VLOOKUP(A3813,Movie!A:D,4,FALSE)</f>
        <v>Warner Brothers</v>
      </c>
      <c r="H3813" s="14">
        <f>VLOOKUP(E3813,'Rental Transaction'!A:B,2,FALSE)</f>
        <v>548800</v>
      </c>
      <c r="I3813">
        <f t="shared" si="59"/>
        <v>2013</v>
      </c>
    </row>
    <row r="3814" spans="1:9">
      <c r="A3814" s="1">
        <v>10199</v>
      </c>
      <c r="B3814" s="1">
        <v>1</v>
      </c>
      <c r="C3814" s="2">
        <v>41543</v>
      </c>
      <c r="D3814" s="1" t="s">
        <v>2002</v>
      </c>
      <c r="E3814" s="1">
        <v>102147</v>
      </c>
      <c r="F3814" s="6" t="s">
        <v>5816</v>
      </c>
      <c r="G3814" s="15" t="str">
        <f>VLOOKUP(A3814,Movie!A:D,4,FALSE)</f>
        <v>Lionsgate</v>
      </c>
      <c r="H3814" s="14">
        <f>VLOOKUP(E3814,'Rental Transaction'!A:B,2,FALSE)</f>
        <v>714947</v>
      </c>
      <c r="I3814">
        <f t="shared" si="59"/>
        <v>2013</v>
      </c>
    </row>
    <row r="3815" spans="1:9">
      <c r="A3815" s="1">
        <v>10286</v>
      </c>
      <c r="B3815" s="1">
        <v>3</v>
      </c>
      <c r="C3815" s="2">
        <v>41543</v>
      </c>
      <c r="D3815" s="1" t="s">
        <v>2002</v>
      </c>
      <c r="E3815" s="1">
        <v>102147</v>
      </c>
      <c r="F3815" s="6" t="s">
        <v>5817</v>
      </c>
      <c r="G3815" s="15" t="str">
        <f>VLOOKUP(A3815,Movie!A:D,4,FALSE)</f>
        <v>Fox Searchlight</v>
      </c>
      <c r="H3815" s="14">
        <f>VLOOKUP(E3815,'Rental Transaction'!A:B,2,FALSE)</f>
        <v>714947</v>
      </c>
      <c r="I3815">
        <f t="shared" si="59"/>
        <v>2013</v>
      </c>
    </row>
    <row r="3816" spans="1:9">
      <c r="A3816" s="1">
        <v>10254</v>
      </c>
      <c r="B3816" s="1">
        <v>9</v>
      </c>
      <c r="C3816" s="2">
        <v>41543</v>
      </c>
      <c r="D3816" s="1" t="s">
        <v>2002</v>
      </c>
      <c r="E3816" s="1">
        <v>102148</v>
      </c>
      <c r="F3816" s="6" t="s">
        <v>5818</v>
      </c>
      <c r="G3816" s="15" t="str">
        <f>VLOOKUP(A3816,Movie!A:D,4,FALSE)</f>
        <v>Paramount</v>
      </c>
      <c r="H3816" s="14">
        <f>VLOOKUP(E3816,'Rental Transaction'!A:B,2,FALSE)</f>
        <v>659695</v>
      </c>
      <c r="I3816">
        <f t="shared" si="59"/>
        <v>2013</v>
      </c>
    </row>
    <row r="3817" spans="1:9">
      <c r="A3817" s="1">
        <v>10238</v>
      </c>
      <c r="B3817" s="1">
        <v>3</v>
      </c>
      <c r="C3817" s="2">
        <v>41543</v>
      </c>
      <c r="D3817" s="1" t="s">
        <v>2002</v>
      </c>
      <c r="E3817" s="1">
        <v>102149</v>
      </c>
      <c r="F3817" s="6" t="s">
        <v>5819</v>
      </c>
      <c r="G3817" s="15" t="str">
        <f>VLOOKUP(A3817,Movie!A:D,4,FALSE)</f>
        <v>Warner Brothers</v>
      </c>
      <c r="H3817" s="14">
        <f>VLOOKUP(E3817,'Rental Transaction'!A:B,2,FALSE)</f>
        <v>475216</v>
      </c>
      <c r="I3817">
        <f t="shared" si="59"/>
        <v>2013</v>
      </c>
    </row>
    <row r="3818" spans="1:9">
      <c r="A3818" s="1">
        <v>10123</v>
      </c>
      <c r="B3818" s="1">
        <v>8</v>
      </c>
      <c r="C3818" s="2">
        <v>41543</v>
      </c>
      <c r="D3818" s="1" t="s">
        <v>2005</v>
      </c>
      <c r="E3818" s="1">
        <v>102150</v>
      </c>
      <c r="F3818" s="6" t="s">
        <v>5820</v>
      </c>
      <c r="G3818" s="15" t="str">
        <f>VLOOKUP(A3818,Movie!A:D,4,FALSE)</f>
        <v>Fox</v>
      </c>
      <c r="H3818" s="14">
        <f>VLOOKUP(E3818,'Rental Transaction'!A:B,2,FALSE)</f>
        <v>723057</v>
      </c>
      <c r="I3818">
        <f t="shared" si="59"/>
        <v>2013</v>
      </c>
    </row>
    <row r="3819" spans="1:9">
      <c r="A3819" s="1">
        <v>10159</v>
      </c>
      <c r="B3819" s="1">
        <v>5</v>
      </c>
      <c r="C3819" s="2">
        <v>41543</v>
      </c>
      <c r="D3819" s="1" t="s">
        <v>2002</v>
      </c>
      <c r="E3819" s="1">
        <v>102151</v>
      </c>
      <c r="F3819" s="6" t="s">
        <v>5821</v>
      </c>
      <c r="G3819" s="15" t="str">
        <f>VLOOKUP(A3819,Movie!A:D,4,FALSE)</f>
        <v>Lionsgate</v>
      </c>
      <c r="H3819" s="14">
        <f>VLOOKUP(E3819,'Rental Transaction'!A:B,2,FALSE)</f>
        <v>458448</v>
      </c>
      <c r="I3819">
        <f t="shared" si="59"/>
        <v>2013</v>
      </c>
    </row>
    <row r="3820" spans="1:9">
      <c r="A3820" s="1">
        <v>10203</v>
      </c>
      <c r="B3820" s="1">
        <v>1</v>
      </c>
      <c r="C3820" s="2">
        <v>41543</v>
      </c>
      <c r="D3820" s="1" t="s">
        <v>2002</v>
      </c>
      <c r="E3820" s="1">
        <v>102151</v>
      </c>
      <c r="F3820" s="6" t="s">
        <v>5822</v>
      </c>
      <c r="G3820" s="15" t="str">
        <f>VLOOKUP(A3820,Movie!A:D,4,FALSE)</f>
        <v>Buena Vista</v>
      </c>
      <c r="H3820" s="14">
        <f>VLOOKUP(E3820,'Rental Transaction'!A:B,2,FALSE)</f>
        <v>458448</v>
      </c>
      <c r="I3820">
        <f t="shared" si="59"/>
        <v>2013</v>
      </c>
    </row>
    <row r="3821" spans="1:9" ht="29.25">
      <c r="A3821" s="1">
        <v>10105</v>
      </c>
      <c r="B3821" s="1">
        <v>5</v>
      </c>
      <c r="C3821" s="2">
        <v>41543</v>
      </c>
      <c r="D3821" s="1" t="s">
        <v>2005</v>
      </c>
      <c r="E3821" s="1">
        <v>102152</v>
      </c>
      <c r="F3821" s="6" t="s">
        <v>5823</v>
      </c>
      <c r="G3821" s="15" t="str">
        <f>VLOOKUP(A3821,Movie!A:D,4,FALSE)</f>
        <v>Weinstein Company</v>
      </c>
      <c r="H3821" s="14">
        <f>VLOOKUP(E3821,'Rental Transaction'!A:B,2,FALSE)</f>
        <v>205878</v>
      </c>
      <c r="I3821">
        <f t="shared" si="59"/>
        <v>2013</v>
      </c>
    </row>
    <row r="3822" spans="1:9">
      <c r="A3822" s="1">
        <v>10178</v>
      </c>
      <c r="B3822" s="1">
        <v>5</v>
      </c>
      <c r="C3822" s="2">
        <v>41543</v>
      </c>
      <c r="D3822" s="1" t="s">
        <v>2002</v>
      </c>
      <c r="E3822" s="1">
        <v>102152</v>
      </c>
      <c r="F3822" s="6" t="s">
        <v>5824</v>
      </c>
      <c r="G3822" s="15" t="str">
        <f>VLOOKUP(A3822,Movie!A:D,4,FALSE)</f>
        <v>Warner Brothers</v>
      </c>
      <c r="H3822" s="14">
        <f>VLOOKUP(E3822,'Rental Transaction'!A:B,2,FALSE)</f>
        <v>205878</v>
      </c>
      <c r="I3822">
        <f t="shared" si="59"/>
        <v>2013</v>
      </c>
    </row>
    <row r="3823" spans="1:9">
      <c r="A3823" s="1">
        <v>10008</v>
      </c>
      <c r="B3823" s="1">
        <v>2</v>
      </c>
      <c r="C3823" s="2">
        <v>41543</v>
      </c>
      <c r="D3823" s="1" t="s">
        <v>2002</v>
      </c>
      <c r="E3823" s="1">
        <v>102152</v>
      </c>
      <c r="F3823" s="6" t="s">
        <v>5825</v>
      </c>
      <c r="G3823" s="15" t="str">
        <f>VLOOKUP(A3823,Movie!A:D,4,FALSE)</f>
        <v>Sony</v>
      </c>
      <c r="H3823" s="14">
        <f>VLOOKUP(E3823,'Rental Transaction'!A:B,2,FALSE)</f>
        <v>205878</v>
      </c>
      <c r="I3823">
        <f t="shared" si="59"/>
        <v>2013</v>
      </c>
    </row>
    <row r="3824" spans="1:9">
      <c r="A3824" s="1">
        <v>10078</v>
      </c>
      <c r="B3824" s="1">
        <v>1</v>
      </c>
      <c r="C3824" s="2">
        <v>41544</v>
      </c>
      <c r="D3824" s="1" t="s">
        <v>2002</v>
      </c>
      <c r="E3824" s="1">
        <v>102153</v>
      </c>
      <c r="F3824" s="6" t="s">
        <v>5826</v>
      </c>
      <c r="G3824" s="15" t="str">
        <f>VLOOKUP(A3824,Movie!A:D,4,FALSE)</f>
        <v>Paramount</v>
      </c>
      <c r="H3824" s="14">
        <f>VLOOKUP(E3824,'Rental Transaction'!A:B,2,FALSE)</f>
        <v>327750</v>
      </c>
      <c r="I3824">
        <f t="shared" si="59"/>
        <v>2013</v>
      </c>
    </row>
    <row r="3825" spans="1:9">
      <c r="A3825" s="1">
        <v>10008</v>
      </c>
      <c r="B3825" s="1">
        <v>4</v>
      </c>
      <c r="C3825" s="2">
        <v>41543</v>
      </c>
      <c r="D3825" s="1" t="s">
        <v>2002</v>
      </c>
      <c r="E3825" s="1">
        <v>102154</v>
      </c>
      <c r="F3825" s="6" t="s">
        <v>5827</v>
      </c>
      <c r="G3825" s="15" t="str">
        <f>VLOOKUP(A3825,Movie!A:D,4,FALSE)</f>
        <v>Sony</v>
      </c>
      <c r="H3825" s="14">
        <f>VLOOKUP(E3825,'Rental Transaction'!A:B,2,FALSE)</f>
        <v>607810</v>
      </c>
      <c r="I3825">
        <f t="shared" si="59"/>
        <v>2013</v>
      </c>
    </row>
    <row r="3826" spans="1:9">
      <c r="A3826" s="1">
        <v>10065</v>
      </c>
      <c r="B3826" s="1">
        <v>10</v>
      </c>
      <c r="C3826" s="2">
        <v>41545</v>
      </c>
      <c r="D3826" s="1" t="s">
        <v>2005</v>
      </c>
      <c r="E3826" s="1">
        <v>102155</v>
      </c>
      <c r="F3826" s="6" t="s">
        <v>5828</v>
      </c>
      <c r="G3826" s="15" t="str">
        <f>VLOOKUP(A3826,Movie!A:D,4,FALSE)</f>
        <v>Warner Brothers</v>
      </c>
      <c r="H3826" s="14">
        <f>VLOOKUP(E3826,'Rental Transaction'!A:B,2,FALSE)</f>
        <v>840096</v>
      </c>
      <c r="I3826">
        <f t="shared" si="59"/>
        <v>2013</v>
      </c>
    </row>
    <row r="3827" spans="1:9">
      <c r="A3827" s="1">
        <v>10223</v>
      </c>
      <c r="B3827" s="1">
        <v>4</v>
      </c>
      <c r="C3827" s="2">
        <v>41544</v>
      </c>
      <c r="D3827" s="1" t="s">
        <v>2005</v>
      </c>
      <c r="E3827" s="1">
        <v>102156</v>
      </c>
      <c r="F3827" s="6" t="s">
        <v>5829</v>
      </c>
      <c r="G3827" s="15" t="str">
        <f>VLOOKUP(A3827,Movie!A:D,4,FALSE)</f>
        <v>Universal</v>
      </c>
      <c r="H3827" s="14">
        <f>VLOOKUP(E3827,'Rental Transaction'!A:B,2,FALSE)</f>
        <v>298508</v>
      </c>
      <c r="I3827">
        <f t="shared" si="59"/>
        <v>2013</v>
      </c>
    </row>
    <row r="3828" spans="1:9">
      <c r="A3828" s="1">
        <v>10093</v>
      </c>
      <c r="B3828" s="1">
        <v>2</v>
      </c>
      <c r="C3828" s="2">
        <v>41545</v>
      </c>
      <c r="D3828" s="1" t="s">
        <v>2005</v>
      </c>
      <c r="E3828" s="1">
        <v>102156</v>
      </c>
      <c r="F3828" s="6" t="s">
        <v>5830</v>
      </c>
      <c r="G3828" s="15" t="str">
        <f>VLOOKUP(A3828,Movie!A:D,4,FALSE)</f>
        <v>Open Road Films</v>
      </c>
      <c r="H3828" s="14">
        <f>VLOOKUP(E3828,'Rental Transaction'!A:B,2,FALSE)</f>
        <v>298508</v>
      </c>
      <c r="I3828">
        <f t="shared" si="59"/>
        <v>2013</v>
      </c>
    </row>
    <row r="3829" spans="1:9">
      <c r="A3829" s="1">
        <v>10127</v>
      </c>
      <c r="B3829" s="1">
        <v>1</v>
      </c>
      <c r="C3829" s="2">
        <v>41544</v>
      </c>
      <c r="D3829" s="1" t="s">
        <v>2005</v>
      </c>
      <c r="E3829" s="1">
        <v>102157</v>
      </c>
      <c r="F3829" s="6" t="s">
        <v>5831</v>
      </c>
      <c r="G3829" s="15" t="str">
        <f>VLOOKUP(A3829,Movie!A:D,4,FALSE)</f>
        <v>TriStar</v>
      </c>
      <c r="H3829" s="14">
        <f>VLOOKUP(E3829,'Rental Transaction'!A:B,2,FALSE)</f>
        <v>161175</v>
      </c>
      <c r="I3829">
        <f t="shared" si="59"/>
        <v>2013</v>
      </c>
    </row>
    <row r="3830" spans="1:9">
      <c r="A3830" s="1">
        <v>10201</v>
      </c>
      <c r="B3830" s="1">
        <v>3</v>
      </c>
      <c r="C3830" s="2">
        <v>41544</v>
      </c>
      <c r="D3830" s="1" t="s">
        <v>2005</v>
      </c>
      <c r="E3830" s="1">
        <v>102158</v>
      </c>
      <c r="F3830" s="6" t="s">
        <v>5832</v>
      </c>
      <c r="G3830" s="15" t="str">
        <f>VLOOKUP(A3830,Movie!A:D,4,FALSE)</f>
        <v>Screen Gems</v>
      </c>
      <c r="H3830" s="14">
        <f>VLOOKUP(E3830,'Rental Transaction'!A:B,2,FALSE)</f>
        <v>927518</v>
      </c>
      <c r="I3830">
        <f t="shared" si="59"/>
        <v>2013</v>
      </c>
    </row>
    <row r="3831" spans="1:9" ht="29.25">
      <c r="A3831" s="1">
        <v>10095</v>
      </c>
      <c r="B3831" s="1">
        <v>4</v>
      </c>
      <c r="C3831" s="2">
        <v>41545</v>
      </c>
      <c r="D3831" s="1" t="s">
        <v>2005</v>
      </c>
      <c r="E3831" s="1">
        <v>102158</v>
      </c>
      <c r="F3831" s="6" t="s">
        <v>5833</v>
      </c>
      <c r="G3831" s="15" t="str">
        <f>VLOOKUP(A3831,Movie!A:D,4,FALSE)</f>
        <v>Weinstein Company</v>
      </c>
      <c r="H3831" s="14">
        <f>VLOOKUP(E3831,'Rental Transaction'!A:B,2,FALSE)</f>
        <v>927518</v>
      </c>
      <c r="I3831">
        <f t="shared" si="59"/>
        <v>2013</v>
      </c>
    </row>
    <row r="3832" spans="1:9">
      <c r="A3832" s="1">
        <v>10017</v>
      </c>
      <c r="B3832" s="1">
        <v>1</v>
      </c>
      <c r="C3832" s="2">
        <v>41545</v>
      </c>
      <c r="D3832" s="1" t="s">
        <v>2002</v>
      </c>
      <c r="E3832" s="1">
        <v>102158</v>
      </c>
      <c r="F3832" s="6" t="s">
        <v>5834</v>
      </c>
      <c r="G3832" s="15" t="str">
        <f>VLOOKUP(A3832,Movie!A:D,4,FALSE)</f>
        <v>Sony</v>
      </c>
      <c r="H3832" s="14">
        <f>VLOOKUP(E3832,'Rental Transaction'!A:B,2,FALSE)</f>
        <v>927518</v>
      </c>
      <c r="I3832">
        <f t="shared" si="59"/>
        <v>2013</v>
      </c>
    </row>
    <row r="3833" spans="1:9">
      <c r="A3833" s="1">
        <v>10186</v>
      </c>
      <c r="B3833" s="1">
        <v>10</v>
      </c>
      <c r="C3833" s="2">
        <v>41544</v>
      </c>
      <c r="D3833" s="1" t="s">
        <v>2005</v>
      </c>
      <c r="E3833" s="1">
        <v>102158</v>
      </c>
      <c r="F3833" s="6" t="s">
        <v>5835</v>
      </c>
      <c r="G3833" s="15" t="str">
        <f>VLOOKUP(A3833,Movie!A:D,4,FALSE)</f>
        <v>Lionsgate</v>
      </c>
      <c r="H3833" s="14">
        <f>VLOOKUP(E3833,'Rental Transaction'!A:B,2,FALSE)</f>
        <v>927518</v>
      </c>
      <c r="I3833">
        <f t="shared" si="59"/>
        <v>2013</v>
      </c>
    </row>
    <row r="3834" spans="1:9">
      <c r="A3834" s="1">
        <v>10180</v>
      </c>
      <c r="B3834" s="1">
        <v>1</v>
      </c>
      <c r="C3834" s="2">
        <v>41544</v>
      </c>
      <c r="D3834" s="1" t="s">
        <v>2005</v>
      </c>
      <c r="E3834" s="1">
        <v>102159</v>
      </c>
      <c r="F3834" s="6" t="s">
        <v>5836</v>
      </c>
      <c r="G3834" s="15" t="str">
        <f>VLOOKUP(A3834,Movie!A:D,4,FALSE)</f>
        <v>Relativity</v>
      </c>
      <c r="H3834" s="14">
        <f>VLOOKUP(E3834,'Rental Transaction'!A:B,2,FALSE)</f>
        <v>814317</v>
      </c>
      <c r="I3834">
        <f t="shared" si="59"/>
        <v>2013</v>
      </c>
    </row>
    <row r="3835" spans="1:9">
      <c r="A3835" s="1">
        <v>10023</v>
      </c>
      <c r="B3835" s="1">
        <v>5</v>
      </c>
      <c r="C3835" s="2">
        <v>41545</v>
      </c>
      <c r="D3835" s="1" t="s">
        <v>2005</v>
      </c>
      <c r="E3835" s="1">
        <v>102159</v>
      </c>
      <c r="F3835" s="6" t="s">
        <v>5837</v>
      </c>
      <c r="G3835" s="15" t="str">
        <f>VLOOKUP(A3835,Movie!A:D,4,FALSE)</f>
        <v>Buena Vista</v>
      </c>
      <c r="H3835" s="14">
        <f>VLOOKUP(E3835,'Rental Transaction'!A:B,2,FALSE)</f>
        <v>814317</v>
      </c>
      <c r="I3835">
        <f t="shared" si="59"/>
        <v>2013</v>
      </c>
    </row>
    <row r="3836" spans="1:9">
      <c r="A3836" s="1">
        <v>10149</v>
      </c>
      <c r="B3836" s="1">
        <v>7</v>
      </c>
      <c r="C3836" s="2">
        <v>41544</v>
      </c>
      <c r="D3836" s="1" t="s">
        <v>2005</v>
      </c>
      <c r="E3836" s="1">
        <v>102160</v>
      </c>
      <c r="F3836" s="6" t="s">
        <v>5838</v>
      </c>
      <c r="G3836" s="15" t="str">
        <f>VLOOKUP(A3836,Movie!A:D,4,FALSE)</f>
        <v>Relativity</v>
      </c>
      <c r="H3836" s="14">
        <f>VLOOKUP(E3836,'Rental Transaction'!A:B,2,FALSE)</f>
        <v>915766</v>
      </c>
      <c r="I3836">
        <f t="shared" si="59"/>
        <v>2013</v>
      </c>
    </row>
    <row r="3837" spans="1:9">
      <c r="A3837" s="1">
        <v>10132</v>
      </c>
      <c r="B3837" s="1">
        <v>7</v>
      </c>
      <c r="C3837" s="2">
        <v>41545</v>
      </c>
      <c r="D3837" s="1" t="s">
        <v>2002</v>
      </c>
      <c r="E3837" s="1">
        <v>102160</v>
      </c>
      <c r="F3837" s="6" t="s">
        <v>5839</v>
      </c>
      <c r="G3837" s="15" t="str">
        <f>VLOOKUP(A3837,Movie!A:D,4,FALSE)</f>
        <v>Lionsgate</v>
      </c>
      <c r="H3837" s="14">
        <f>VLOOKUP(E3837,'Rental Transaction'!A:B,2,FALSE)</f>
        <v>915766</v>
      </c>
      <c r="I3837">
        <f t="shared" si="59"/>
        <v>2013</v>
      </c>
    </row>
    <row r="3838" spans="1:9">
      <c r="A3838" s="1">
        <v>10147</v>
      </c>
      <c r="B3838" s="1">
        <v>6</v>
      </c>
      <c r="C3838" s="2">
        <v>41546</v>
      </c>
      <c r="D3838" s="1" t="s">
        <v>2002</v>
      </c>
      <c r="E3838" s="1">
        <v>102161</v>
      </c>
      <c r="F3838" s="6" t="s">
        <v>5840</v>
      </c>
      <c r="G3838" s="15" t="str">
        <f>VLOOKUP(A3838,Movie!A:D,4,FALSE)</f>
        <v>Lionsgate</v>
      </c>
      <c r="H3838" s="14">
        <f>VLOOKUP(E3838,'Rental Transaction'!A:B,2,FALSE)</f>
        <v>393893</v>
      </c>
      <c r="I3838">
        <f t="shared" si="59"/>
        <v>2013</v>
      </c>
    </row>
    <row r="3839" spans="1:9">
      <c r="A3839" s="1">
        <v>10042</v>
      </c>
      <c r="B3839" s="1">
        <v>10</v>
      </c>
      <c r="C3839" s="2">
        <v>41544</v>
      </c>
      <c r="D3839" s="1" t="s">
        <v>2005</v>
      </c>
      <c r="E3839" s="1">
        <v>102161</v>
      </c>
      <c r="F3839" s="6" t="s">
        <v>5841</v>
      </c>
      <c r="G3839" s="15" t="str">
        <f>VLOOKUP(A3839,Movie!A:D,4,FALSE)</f>
        <v>Paramount</v>
      </c>
      <c r="H3839" s="14">
        <f>VLOOKUP(E3839,'Rental Transaction'!A:B,2,FALSE)</f>
        <v>393893</v>
      </c>
      <c r="I3839">
        <f t="shared" si="59"/>
        <v>2013</v>
      </c>
    </row>
    <row r="3840" spans="1:9">
      <c r="A3840" s="1">
        <v>10078</v>
      </c>
      <c r="B3840" s="1">
        <v>6</v>
      </c>
      <c r="C3840" s="2">
        <v>41544</v>
      </c>
      <c r="D3840" s="1" t="s">
        <v>2002</v>
      </c>
      <c r="E3840" s="1">
        <v>102162</v>
      </c>
      <c r="F3840" s="6" t="s">
        <v>5842</v>
      </c>
      <c r="G3840" s="15" t="str">
        <f>VLOOKUP(A3840,Movie!A:D,4,FALSE)</f>
        <v>Paramount</v>
      </c>
      <c r="H3840" s="14">
        <f>VLOOKUP(E3840,'Rental Transaction'!A:B,2,FALSE)</f>
        <v>226909</v>
      </c>
      <c r="I3840">
        <f t="shared" si="59"/>
        <v>2013</v>
      </c>
    </row>
    <row r="3841" spans="1:9">
      <c r="A3841" s="1">
        <v>10112</v>
      </c>
      <c r="B3841" s="1">
        <v>1</v>
      </c>
      <c r="C3841" s="2">
        <v>41544</v>
      </c>
      <c r="D3841" s="1" t="s">
        <v>2005</v>
      </c>
      <c r="E3841" s="1">
        <v>102162</v>
      </c>
      <c r="F3841" s="6" t="s">
        <v>5843</v>
      </c>
      <c r="G3841" s="15" t="str">
        <f>VLOOKUP(A3841,Movie!A:D,4,FALSE)</f>
        <v>Relativity</v>
      </c>
      <c r="H3841" s="14">
        <f>VLOOKUP(E3841,'Rental Transaction'!A:B,2,FALSE)</f>
        <v>226909</v>
      </c>
      <c r="I3841">
        <f t="shared" si="59"/>
        <v>2013</v>
      </c>
    </row>
    <row r="3842" spans="1:9">
      <c r="A3842" s="1">
        <v>10211</v>
      </c>
      <c r="B3842" s="1">
        <v>8</v>
      </c>
      <c r="C3842" s="2">
        <v>41544</v>
      </c>
      <c r="D3842" s="1" t="s">
        <v>2002</v>
      </c>
      <c r="E3842" s="1">
        <v>102162</v>
      </c>
      <c r="F3842" s="6" t="s">
        <v>5844</v>
      </c>
      <c r="G3842" s="15" t="str">
        <f>VLOOKUP(A3842,Movie!A:D,4,FALSE)</f>
        <v>Buena Vista</v>
      </c>
      <c r="H3842" s="14">
        <f>VLOOKUP(E3842,'Rental Transaction'!A:B,2,FALSE)</f>
        <v>226909</v>
      </c>
      <c r="I3842">
        <f t="shared" si="59"/>
        <v>2013</v>
      </c>
    </row>
    <row r="3843" spans="1:9">
      <c r="A3843" s="1">
        <v>10078</v>
      </c>
      <c r="B3843" s="1">
        <v>5</v>
      </c>
      <c r="C3843" s="2">
        <v>41545</v>
      </c>
      <c r="D3843" s="1" t="s">
        <v>2002</v>
      </c>
      <c r="E3843" s="1">
        <v>102162</v>
      </c>
      <c r="F3843" s="6" t="s">
        <v>5845</v>
      </c>
      <c r="G3843" s="15" t="str">
        <f>VLOOKUP(A3843,Movie!A:D,4,FALSE)</f>
        <v>Paramount</v>
      </c>
      <c r="H3843" s="14">
        <f>VLOOKUP(E3843,'Rental Transaction'!A:B,2,FALSE)</f>
        <v>226909</v>
      </c>
      <c r="I3843">
        <f t="shared" ref="I3843:I3906" si="60">YEAR(C3843)</f>
        <v>2013</v>
      </c>
    </row>
    <row r="3844" spans="1:9">
      <c r="A3844" s="1">
        <v>10065</v>
      </c>
      <c r="B3844" s="1">
        <v>2</v>
      </c>
      <c r="C3844" s="2">
        <v>41546</v>
      </c>
      <c r="D3844" s="1" t="s">
        <v>2002</v>
      </c>
      <c r="E3844" s="1">
        <v>102163</v>
      </c>
      <c r="F3844" s="6" t="s">
        <v>5846</v>
      </c>
      <c r="G3844" s="15" t="str">
        <f>VLOOKUP(A3844,Movie!A:D,4,FALSE)</f>
        <v>Warner Brothers</v>
      </c>
      <c r="H3844" s="14">
        <f>VLOOKUP(E3844,'Rental Transaction'!A:B,2,FALSE)</f>
        <v>524667</v>
      </c>
      <c r="I3844">
        <f t="shared" si="60"/>
        <v>2013</v>
      </c>
    </row>
    <row r="3845" spans="1:9">
      <c r="A3845" s="1">
        <v>10269</v>
      </c>
      <c r="B3845" s="1">
        <v>5</v>
      </c>
      <c r="C3845" s="2">
        <v>41544</v>
      </c>
      <c r="D3845" s="1" t="s">
        <v>2002</v>
      </c>
      <c r="E3845" s="1">
        <v>102164</v>
      </c>
      <c r="F3845" s="6" t="s">
        <v>5847</v>
      </c>
      <c r="G3845" s="15" t="str">
        <f>VLOOKUP(A3845,Movie!A:D,4,FALSE)</f>
        <v>Buena Vista</v>
      </c>
      <c r="H3845" s="14">
        <f>VLOOKUP(E3845,'Rental Transaction'!A:B,2,FALSE)</f>
        <v>803700</v>
      </c>
      <c r="I3845">
        <f t="shared" si="60"/>
        <v>2013</v>
      </c>
    </row>
    <row r="3846" spans="1:9">
      <c r="A3846" s="1">
        <v>10296</v>
      </c>
      <c r="B3846" s="1">
        <v>10</v>
      </c>
      <c r="C3846" s="2">
        <v>41544</v>
      </c>
      <c r="D3846" s="1" t="s">
        <v>2005</v>
      </c>
      <c r="E3846" s="1">
        <v>102165</v>
      </c>
      <c r="F3846" s="6" t="s">
        <v>5848</v>
      </c>
      <c r="G3846" s="15" t="str">
        <f>VLOOKUP(A3846,Movie!A:D,4,FALSE)</f>
        <v>A24</v>
      </c>
      <c r="H3846" s="14">
        <f>VLOOKUP(E3846,'Rental Transaction'!A:B,2,FALSE)</f>
        <v>292402</v>
      </c>
      <c r="I3846">
        <f t="shared" si="60"/>
        <v>2013</v>
      </c>
    </row>
    <row r="3847" spans="1:9">
      <c r="A3847" s="1">
        <v>10074</v>
      </c>
      <c r="B3847" s="1">
        <v>10</v>
      </c>
      <c r="C3847" s="2">
        <v>41544</v>
      </c>
      <c r="D3847" s="1" t="s">
        <v>2002</v>
      </c>
      <c r="E3847" s="1">
        <v>102165</v>
      </c>
      <c r="F3847" s="6" t="s">
        <v>5849</v>
      </c>
      <c r="G3847" s="15" t="str">
        <f>VLOOKUP(A3847,Movie!A:D,4,FALSE)</f>
        <v>Open Road Films</v>
      </c>
      <c r="H3847" s="14">
        <f>VLOOKUP(E3847,'Rental Transaction'!A:B,2,FALSE)</f>
        <v>292402</v>
      </c>
      <c r="I3847">
        <f t="shared" si="60"/>
        <v>2013</v>
      </c>
    </row>
    <row r="3848" spans="1:9">
      <c r="A3848" s="1">
        <v>10298</v>
      </c>
      <c r="B3848" s="1">
        <v>8</v>
      </c>
      <c r="C3848" s="2">
        <v>41544</v>
      </c>
      <c r="D3848" s="1" t="s">
        <v>2002</v>
      </c>
      <c r="E3848" s="1">
        <v>102166</v>
      </c>
      <c r="F3848" s="6" t="s">
        <v>5850</v>
      </c>
      <c r="G3848" s="15" t="str">
        <f>VLOOKUP(A3848,Movie!A:D,4,FALSE)</f>
        <v>UTV</v>
      </c>
      <c r="H3848" s="14">
        <f>VLOOKUP(E3848,'Rental Transaction'!A:B,2,FALSE)</f>
        <v>744416</v>
      </c>
      <c r="I3848">
        <f t="shared" si="60"/>
        <v>2013</v>
      </c>
    </row>
    <row r="3849" spans="1:9">
      <c r="A3849" s="1">
        <v>10240</v>
      </c>
      <c r="B3849" s="1">
        <v>10</v>
      </c>
      <c r="C3849" s="2">
        <v>41544</v>
      </c>
      <c r="D3849" s="1" t="s">
        <v>2002</v>
      </c>
      <c r="E3849" s="1">
        <v>102166</v>
      </c>
      <c r="F3849" s="6" t="s">
        <v>5851</v>
      </c>
      <c r="G3849" s="15" t="str">
        <f>VLOOKUP(A3849,Movie!A:D,4,FALSE)</f>
        <v>Warner Brothers</v>
      </c>
      <c r="H3849" s="14">
        <f>VLOOKUP(E3849,'Rental Transaction'!A:B,2,FALSE)</f>
        <v>744416</v>
      </c>
      <c r="I3849">
        <f t="shared" si="60"/>
        <v>2013</v>
      </c>
    </row>
    <row r="3850" spans="1:9" ht="29.25">
      <c r="A3850" s="1">
        <v>10081</v>
      </c>
      <c r="B3850" s="1">
        <v>1</v>
      </c>
      <c r="C3850" s="2">
        <v>41544</v>
      </c>
      <c r="D3850" s="1" t="s">
        <v>2002</v>
      </c>
      <c r="E3850" s="1">
        <v>102167</v>
      </c>
      <c r="F3850" s="6" t="s">
        <v>5852</v>
      </c>
      <c r="G3850" s="15" t="str">
        <f>VLOOKUP(A3850,Movie!A:D,4,FALSE)</f>
        <v>Weinstein Company</v>
      </c>
      <c r="H3850" s="14">
        <f>VLOOKUP(E3850,'Rental Transaction'!A:B,2,FALSE)</f>
        <v>344702</v>
      </c>
      <c r="I3850">
        <f t="shared" si="60"/>
        <v>2013</v>
      </c>
    </row>
    <row r="3851" spans="1:9">
      <c r="A3851" s="1">
        <v>10101</v>
      </c>
      <c r="B3851" s="1">
        <v>6</v>
      </c>
      <c r="C3851" s="2">
        <v>41544</v>
      </c>
      <c r="D3851" s="1" t="s">
        <v>2005</v>
      </c>
      <c r="E3851" s="1">
        <v>102168</v>
      </c>
      <c r="F3851" s="6" t="s">
        <v>5853</v>
      </c>
      <c r="G3851" s="15" t="str">
        <f>VLOOKUP(A3851,Movie!A:D,4,FALSE)</f>
        <v>Sony</v>
      </c>
      <c r="H3851" s="14">
        <f>VLOOKUP(E3851,'Rental Transaction'!A:B,2,FALSE)</f>
        <v>330570</v>
      </c>
      <c r="I3851">
        <f t="shared" si="60"/>
        <v>2013</v>
      </c>
    </row>
    <row r="3852" spans="1:9">
      <c r="A3852" s="1">
        <v>10269</v>
      </c>
      <c r="B3852" s="1">
        <v>4</v>
      </c>
      <c r="C3852" s="2">
        <v>41544</v>
      </c>
      <c r="D3852" s="1" t="s">
        <v>2002</v>
      </c>
      <c r="E3852" s="1">
        <v>102169</v>
      </c>
      <c r="F3852" s="6" t="s">
        <v>5854</v>
      </c>
      <c r="G3852" s="15" t="str">
        <f>VLOOKUP(A3852,Movie!A:D,4,FALSE)</f>
        <v>Buena Vista</v>
      </c>
      <c r="H3852" s="14">
        <f>VLOOKUP(E3852,'Rental Transaction'!A:B,2,FALSE)</f>
        <v>926144</v>
      </c>
      <c r="I3852">
        <f t="shared" si="60"/>
        <v>2013</v>
      </c>
    </row>
    <row r="3853" spans="1:9">
      <c r="A3853" s="1">
        <v>10032</v>
      </c>
      <c r="B3853" s="1">
        <v>4</v>
      </c>
      <c r="C3853" s="2">
        <v>41544</v>
      </c>
      <c r="D3853" s="1" t="s">
        <v>2002</v>
      </c>
      <c r="E3853" s="1">
        <v>102169</v>
      </c>
      <c r="F3853" s="6" t="s">
        <v>5855</v>
      </c>
      <c r="G3853" s="15" t="str">
        <f>VLOOKUP(A3853,Movie!A:D,4,FALSE)</f>
        <v>Sony</v>
      </c>
      <c r="H3853" s="14">
        <f>VLOOKUP(E3853,'Rental Transaction'!A:B,2,FALSE)</f>
        <v>926144</v>
      </c>
      <c r="I3853">
        <f t="shared" si="60"/>
        <v>2013</v>
      </c>
    </row>
    <row r="3854" spans="1:9">
      <c r="A3854" s="1">
        <v>10167</v>
      </c>
      <c r="B3854" s="1">
        <v>8</v>
      </c>
      <c r="C3854" s="2">
        <v>41544</v>
      </c>
      <c r="D3854" s="1" t="s">
        <v>2005</v>
      </c>
      <c r="E3854" s="1">
        <v>102169</v>
      </c>
      <c r="F3854" s="6" t="s">
        <v>5856</v>
      </c>
      <c r="G3854" s="15" t="str">
        <f>VLOOKUP(A3854,Movie!A:D,4,FALSE)</f>
        <v>Universal</v>
      </c>
      <c r="H3854" s="14">
        <f>VLOOKUP(E3854,'Rental Transaction'!A:B,2,FALSE)</f>
        <v>926144</v>
      </c>
      <c r="I3854">
        <f t="shared" si="60"/>
        <v>2013</v>
      </c>
    </row>
    <row r="3855" spans="1:9">
      <c r="A3855" s="1">
        <v>10134</v>
      </c>
      <c r="B3855" s="1">
        <v>4</v>
      </c>
      <c r="C3855" s="2">
        <v>41544</v>
      </c>
      <c r="D3855" s="1" t="s">
        <v>2005</v>
      </c>
      <c r="E3855" s="1">
        <v>102170</v>
      </c>
      <c r="F3855" s="6" t="s">
        <v>5857</v>
      </c>
      <c r="G3855" s="15" t="str">
        <f>VLOOKUP(A3855,Movie!A:D,4,FALSE)</f>
        <v>Universal</v>
      </c>
      <c r="H3855" s="14">
        <f>VLOOKUP(E3855,'Rental Transaction'!A:B,2,FALSE)</f>
        <v>327750</v>
      </c>
      <c r="I3855">
        <f t="shared" si="60"/>
        <v>2013</v>
      </c>
    </row>
    <row r="3856" spans="1:9">
      <c r="A3856" s="1">
        <v>10222</v>
      </c>
      <c r="B3856" s="1">
        <v>4</v>
      </c>
      <c r="C3856" s="2">
        <v>41546</v>
      </c>
      <c r="D3856" s="1" t="s">
        <v>2002</v>
      </c>
      <c r="E3856" s="1">
        <v>102170</v>
      </c>
      <c r="F3856" s="6" t="s">
        <v>5858</v>
      </c>
      <c r="G3856" s="15" t="str">
        <f>VLOOKUP(A3856,Movie!A:D,4,FALSE)</f>
        <v>Sony</v>
      </c>
      <c r="H3856" s="14">
        <f>VLOOKUP(E3856,'Rental Transaction'!A:B,2,FALSE)</f>
        <v>327750</v>
      </c>
      <c r="I3856">
        <f t="shared" si="60"/>
        <v>2013</v>
      </c>
    </row>
    <row r="3857" spans="1:9">
      <c r="A3857" s="1">
        <v>10227</v>
      </c>
      <c r="B3857" s="1">
        <v>4</v>
      </c>
      <c r="C3857" s="2">
        <v>41544</v>
      </c>
      <c r="D3857" s="1" t="s">
        <v>2002</v>
      </c>
      <c r="E3857" s="1">
        <v>102170</v>
      </c>
      <c r="F3857" s="6" t="s">
        <v>5859</v>
      </c>
      <c r="G3857" s="15" t="str">
        <f>VLOOKUP(A3857,Movie!A:D,4,FALSE)</f>
        <v>Focus</v>
      </c>
      <c r="H3857" s="14">
        <f>VLOOKUP(E3857,'Rental Transaction'!A:B,2,FALSE)</f>
        <v>327750</v>
      </c>
      <c r="I3857">
        <f t="shared" si="60"/>
        <v>2013</v>
      </c>
    </row>
    <row r="3858" spans="1:9">
      <c r="A3858" s="1">
        <v>10057</v>
      </c>
      <c r="B3858" s="1">
        <v>10</v>
      </c>
      <c r="C3858" s="2">
        <v>41545</v>
      </c>
      <c r="D3858" s="1" t="s">
        <v>2002</v>
      </c>
      <c r="E3858" s="1">
        <v>102171</v>
      </c>
      <c r="F3858" s="6" t="s">
        <v>5860</v>
      </c>
      <c r="G3858" s="15" t="str">
        <f>VLOOKUP(A3858,Movie!A:D,4,FALSE)</f>
        <v>Warner Brothers</v>
      </c>
      <c r="H3858" s="14">
        <f>VLOOKUP(E3858,'Rental Transaction'!A:B,2,FALSE)</f>
        <v>651462</v>
      </c>
      <c r="I3858">
        <f t="shared" si="60"/>
        <v>2013</v>
      </c>
    </row>
    <row r="3859" spans="1:9">
      <c r="A3859" s="1">
        <v>10133</v>
      </c>
      <c r="B3859" s="1">
        <v>4</v>
      </c>
      <c r="C3859" s="2">
        <v>41546</v>
      </c>
      <c r="D3859" s="1" t="s">
        <v>2005</v>
      </c>
      <c r="E3859" s="1">
        <v>102172</v>
      </c>
      <c r="F3859" s="6" t="s">
        <v>5861</v>
      </c>
      <c r="G3859" s="15" t="str">
        <f>VLOOKUP(A3859,Movie!A:D,4,FALSE)</f>
        <v>Fox</v>
      </c>
      <c r="H3859" s="14">
        <f>VLOOKUP(E3859,'Rental Transaction'!A:B,2,FALSE)</f>
        <v>599995</v>
      </c>
      <c r="I3859">
        <f t="shared" si="60"/>
        <v>2013</v>
      </c>
    </row>
    <row r="3860" spans="1:9">
      <c r="A3860" s="1">
        <v>10185</v>
      </c>
      <c r="B3860" s="1">
        <v>6</v>
      </c>
      <c r="C3860" s="2">
        <v>41544</v>
      </c>
      <c r="D3860" s="1" t="s">
        <v>2005</v>
      </c>
      <c r="E3860" s="1">
        <v>102172</v>
      </c>
      <c r="F3860" s="6" t="s">
        <v>5862</v>
      </c>
      <c r="G3860" s="15" t="str">
        <f>VLOOKUP(A3860,Movie!A:D,4,FALSE)</f>
        <v>Warner Brothers</v>
      </c>
      <c r="H3860" s="14">
        <f>VLOOKUP(E3860,'Rental Transaction'!A:B,2,FALSE)</f>
        <v>599995</v>
      </c>
      <c r="I3860">
        <f t="shared" si="60"/>
        <v>2013</v>
      </c>
    </row>
    <row r="3861" spans="1:9">
      <c r="A3861" s="1">
        <v>10203</v>
      </c>
      <c r="B3861" s="1">
        <v>2</v>
      </c>
      <c r="C3861" s="2">
        <v>41545</v>
      </c>
      <c r="D3861" s="1" t="s">
        <v>2002</v>
      </c>
      <c r="E3861" s="1">
        <v>102173</v>
      </c>
      <c r="F3861" s="6" t="s">
        <v>5863</v>
      </c>
      <c r="G3861" s="15" t="str">
        <f>VLOOKUP(A3861,Movie!A:D,4,FALSE)</f>
        <v>Buena Vista</v>
      </c>
      <c r="H3861" s="14">
        <f>VLOOKUP(E3861,'Rental Transaction'!A:B,2,FALSE)</f>
        <v>116690</v>
      </c>
      <c r="I3861">
        <f t="shared" si="60"/>
        <v>2013</v>
      </c>
    </row>
    <row r="3862" spans="1:9" ht="29.25">
      <c r="A3862" s="1">
        <v>10154</v>
      </c>
      <c r="B3862" s="1">
        <v>3</v>
      </c>
      <c r="C3862" s="2">
        <v>41545</v>
      </c>
      <c r="D3862" s="1" t="s">
        <v>2002</v>
      </c>
      <c r="E3862" s="1">
        <v>102173</v>
      </c>
      <c r="F3862" s="6" t="s">
        <v>5864</v>
      </c>
      <c r="G3862" s="15" t="str">
        <f>VLOOKUP(A3862,Movie!A:D,4,FALSE)</f>
        <v>Summit Entertainment</v>
      </c>
      <c r="H3862" s="14">
        <f>VLOOKUP(E3862,'Rental Transaction'!A:B,2,FALSE)</f>
        <v>116690</v>
      </c>
      <c r="I3862">
        <f t="shared" si="60"/>
        <v>2013</v>
      </c>
    </row>
    <row r="3863" spans="1:9">
      <c r="A3863" s="1">
        <v>10052</v>
      </c>
      <c r="B3863" s="1">
        <v>4</v>
      </c>
      <c r="C3863" s="2">
        <v>41544</v>
      </c>
      <c r="D3863" s="1" t="s">
        <v>2005</v>
      </c>
      <c r="E3863" s="1">
        <v>102174</v>
      </c>
      <c r="F3863" s="6" t="s">
        <v>5865</v>
      </c>
      <c r="G3863" s="15" t="str">
        <f>VLOOKUP(A3863,Movie!A:D,4,FALSE)</f>
        <v>Warner Brothers</v>
      </c>
      <c r="H3863" s="14">
        <f>VLOOKUP(E3863,'Rental Transaction'!A:B,2,FALSE)</f>
        <v>166612</v>
      </c>
      <c r="I3863">
        <f t="shared" si="60"/>
        <v>2013</v>
      </c>
    </row>
    <row r="3864" spans="1:9">
      <c r="A3864" s="1">
        <v>10200</v>
      </c>
      <c r="B3864" s="1">
        <v>6</v>
      </c>
      <c r="C3864" s="2">
        <v>41544</v>
      </c>
      <c r="D3864" s="1" t="s">
        <v>2005</v>
      </c>
      <c r="E3864" s="1">
        <v>102174</v>
      </c>
      <c r="F3864" s="6" t="s">
        <v>5866</v>
      </c>
      <c r="G3864" s="15" t="str">
        <f>VLOOKUP(A3864,Movie!A:D,4,FALSE)</f>
        <v>Fox</v>
      </c>
      <c r="H3864" s="14">
        <f>VLOOKUP(E3864,'Rental Transaction'!A:B,2,FALSE)</f>
        <v>166612</v>
      </c>
      <c r="I3864">
        <f t="shared" si="60"/>
        <v>2013</v>
      </c>
    </row>
    <row r="3865" spans="1:9">
      <c r="A3865" s="1">
        <v>10180</v>
      </c>
      <c r="B3865" s="1">
        <v>6</v>
      </c>
      <c r="C3865" s="2">
        <v>41545</v>
      </c>
      <c r="D3865" s="1" t="s">
        <v>2002</v>
      </c>
      <c r="E3865" s="1">
        <v>102175</v>
      </c>
      <c r="F3865" s="6" t="s">
        <v>5867</v>
      </c>
      <c r="G3865" s="15" t="str">
        <f>VLOOKUP(A3865,Movie!A:D,4,FALSE)</f>
        <v>Relativity</v>
      </c>
      <c r="H3865" s="14">
        <f>VLOOKUP(E3865,'Rental Transaction'!A:B,2,FALSE)</f>
        <v>882493</v>
      </c>
      <c r="I3865">
        <f t="shared" si="60"/>
        <v>2013</v>
      </c>
    </row>
    <row r="3866" spans="1:9">
      <c r="A3866" s="1">
        <v>10096</v>
      </c>
      <c r="B3866" s="1">
        <v>7</v>
      </c>
      <c r="C3866" s="2">
        <v>41545</v>
      </c>
      <c r="D3866" s="1" t="s">
        <v>2005</v>
      </c>
      <c r="E3866" s="1">
        <v>102176</v>
      </c>
      <c r="F3866" s="6" t="s">
        <v>5868</v>
      </c>
      <c r="G3866" s="15" t="str">
        <f>VLOOKUP(A3866,Movie!A:D,4,FALSE)</f>
        <v>Universal</v>
      </c>
      <c r="H3866" s="14">
        <f>VLOOKUP(E3866,'Rental Transaction'!A:B,2,FALSE)</f>
        <v>442691</v>
      </c>
      <c r="I3866">
        <f t="shared" si="60"/>
        <v>2013</v>
      </c>
    </row>
    <row r="3867" spans="1:9">
      <c r="A3867" s="1">
        <v>10181</v>
      </c>
      <c r="B3867" s="1">
        <v>6</v>
      </c>
      <c r="C3867" s="2">
        <v>41545</v>
      </c>
      <c r="D3867" s="1" t="s">
        <v>2002</v>
      </c>
      <c r="E3867" s="1">
        <v>102176</v>
      </c>
      <c r="F3867" s="6" t="s">
        <v>5869</v>
      </c>
      <c r="G3867" s="15" t="str">
        <f>VLOOKUP(A3867,Movie!A:D,4,FALSE)</f>
        <v>Fox</v>
      </c>
      <c r="H3867" s="14">
        <f>VLOOKUP(E3867,'Rental Transaction'!A:B,2,FALSE)</f>
        <v>442691</v>
      </c>
      <c r="I3867">
        <f t="shared" si="60"/>
        <v>2013</v>
      </c>
    </row>
    <row r="3868" spans="1:9">
      <c r="A3868" s="1">
        <v>10245</v>
      </c>
      <c r="B3868" s="1">
        <v>1</v>
      </c>
      <c r="C3868" s="2">
        <v>41546</v>
      </c>
      <c r="D3868" s="1" t="s">
        <v>2002</v>
      </c>
      <c r="E3868" s="1">
        <v>102177</v>
      </c>
      <c r="F3868" s="6" t="s">
        <v>5870</v>
      </c>
      <c r="G3868" s="15" t="str">
        <f>VLOOKUP(A3868,Movie!A:D,4,FALSE)</f>
        <v>Warner Brothers</v>
      </c>
      <c r="H3868" s="14">
        <f>VLOOKUP(E3868,'Rental Transaction'!A:B,2,FALSE)</f>
        <v>808869</v>
      </c>
      <c r="I3868">
        <f t="shared" si="60"/>
        <v>2013</v>
      </c>
    </row>
    <row r="3869" spans="1:9">
      <c r="A3869" s="1">
        <v>10244</v>
      </c>
      <c r="B3869" s="1">
        <v>8</v>
      </c>
      <c r="C3869" s="2">
        <v>41545</v>
      </c>
      <c r="D3869" s="1" t="s">
        <v>2002</v>
      </c>
      <c r="E3869" s="1">
        <v>102177</v>
      </c>
      <c r="F3869" s="6" t="s">
        <v>5871</v>
      </c>
      <c r="G3869" s="15" t="str">
        <f>VLOOKUP(A3869,Movie!A:D,4,FALSE)</f>
        <v>Sony</v>
      </c>
      <c r="H3869" s="14">
        <f>VLOOKUP(E3869,'Rental Transaction'!A:B,2,FALSE)</f>
        <v>808869</v>
      </c>
      <c r="I3869">
        <f t="shared" si="60"/>
        <v>2013</v>
      </c>
    </row>
    <row r="3870" spans="1:9">
      <c r="A3870" s="1">
        <v>10014</v>
      </c>
      <c r="B3870" s="1">
        <v>7</v>
      </c>
      <c r="C3870" s="2">
        <v>41545</v>
      </c>
      <c r="D3870" s="1" t="s">
        <v>2002</v>
      </c>
      <c r="E3870" s="1">
        <v>102178</v>
      </c>
      <c r="F3870" s="6" t="s">
        <v>5872</v>
      </c>
      <c r="G3870" s="15" t="str">
        <f>VLOOKUP(A3870,Movie!A:D,4,FALSE)</f>
        <v>Warner Brothers</v>
      </c>
      <c r="H3870" s="14">
        <f>VLOOKUP(E3870,'Rental Transaction'!A:B,2,FALSE)</f>
        <v>105771</v>
      </c>
      <c r="I3870">
        <f t="shared" si="60"/>
        <v>2013</v>
      </c>
    </row>
    <row r="3871" spans="1:9">
      <c r="A3871" s="1">
        <v>10103</v>
      </c>
      <c r="B3871" s="1">
        <v>7</v>
      </c>
      <c r="C3871" s="2">
        <v>41545</v>
      </c>
      <c r="D3871" s="1" t="s">
        <v>2002</v>
      </c>
      <c r="E3871" s="1">
        <v>102179</v>
      </c>
      <c r="F3871" s="6" t="s">
        <v>5873</v>
      </c>
      <c r="G3871" s="15" t="str">
        <f>VLOOKUP(A3871,Movie!A:D,4,FALSE)</f>
        <v>Fox</v>
      </c>
      <c r="H3871" s="14">
        <f>VLOOKUP(E3871,'Rental Transaction'!A:B,2,FALSE)</f>
        <v>323830</v>
      </c>
      <c r="I3871">
        <f t="shared" si="60"/>
        <v>2013</v>
      </c>
    </row>
    <row r="3872" spans="1:9">
      <c r="A3872" s="1">
        <v>10057</v>
      </c>
      <c r="B3872" s="1">
        <v>8</v>
      </c>
      <c r="C3872" s="2">
        <v>41545</v>
      </c>
      <c r="D3872" s="1" t="s">
        <v>2002</v>
      </c>
      <c r="E3872" s="1">
        <v>102179</v>
      </c>
      <c r="F3872" s="6" t="s">
        <v>5874</v>
      </c>
      <c r="G3872" s="15" t="str">
        <f>VLOOKUP(A3872,Movie!A:D,4,FALSE)</f>
        <v>Warner Brothers</v>
      </c>
      <c r="H3872" s="14">
        <f>VLOOKUP(E3872,'Rental Transaction'!A:B,2,FALSE)</f>
        <v>323830</v>
      </c>
      <c r="I3872">
        <f t="shared" si="60"/>
        <v>2013</v>
      </c>
    </row>
    <row r="3873" spans="1:9">
      <c r="A3873" s="1">
        <v>10067</v>
      </c>
      <c r="B3873" s="1">
        <v>7</v>
      </c>
      <c r="C3873" s="2">
        <v>41546</v>
      </c>
      <c r="D3873" s="1" t="s">
        <v>2002</v>
      </c>
      <c r="E3873" s="1">
        <v>102180</v>
      </c>
      <c r="F3873" s="6" t="s">
        <v>5875</v>
      </c>
      <c r="G3873" s="15" t="str">
        <f>VLOOKUP(A3873,Movie!A:D,4,FALSE)</f>
        <v>Paramount</v>
      </c>
      <c r="H3873" s="14">
        <f>VLOOKUP(E3873,'Rental Transaction'!A:B,2,FALSE)</f>
        <v>205878</v>
      </c>
      <c r="I3873">
        <f t="shared" si="60"/>
        <v>2013</v>
      </c>
    </row>
    <row r="3874" spans="1:9">
      <c r="A3874" s="1">
        <v>10009</v>
      </c>
      <c r="B3874" s="1">
        <v>1</v>
      </c>
      <c r="C3874" s="2">
        <v>41546</v>
      </c>
      <c r="D3874" s="1" t="s">
        <v>2002</v>
      </c>
      <c r="E3874" s="1">
        <v>102180</v>
      </c>
      <c r="F3874" s="6" t="s">
        <v>5876</v>
      </c>
      <c r="G3874" s="15" t="str">
        <f>VLOOKUP(A3874,Movie!A:D,4,FALSE)</f>
        <v>Warner Brothers</v>
      </c>
      <c r="H3874" s="14">
        <f>VLOOKUP(E3874,'Rental Transaction'!A:B,2,FALSE)</f>
        <v>205878</v>
      </c>
      <c r="I3874">
        <f t="shared" si="60"/>
        <v>2013</v>
      </c>
    </row>
    <row r="3875" spans="1:9">
      <c r="A3875" s="1">
        <v>10080</v>
      </c>
      <c r="B3875" s="1">
        <v>8</v>
      </c>
      <c r="C3875" s="2">
        <v>41545</v>
      </c>
      <c r="D3875" s="1" t="s">
        <v>2005</v>
      </c>
      <c r="E3875" s="1">
        <v>102181</v>
      </c>
      <c r="F3875" s="6" t="s">
        <v>5877</v>
      </c>
      <c r="G3875" s="15" t="str">
        <f>VLOOKUP(A3875,Movie!A:D,4,FALSE)</f>
        <v>Buena Vista</v>
      </c>
      <c r="H3875" s="14">
        <f>VLOOKUP(E3875,'Rental Transaction'!A:B,2,FALSE)</f>
        <v>659695</v>
      </c>
      <c r="I3875">
        <f t="shared" si="60"/>
        <v>2013</v>
      </c>
    </row>
    <row r="3876" spans="1:9">
      <c r="A3876" s="1">
        <v>10178</v>
      </c>
      <c r="B3876" s="1">
        <v>8</v>
      </c>
      <c r="C3876" s="2">
        <v>41545</v>
      </c>
      <c r="D3876" s="1" t="s">
        <v>2002</v>
      </c>
      <c r="E3876" s="1">
        <v>102182</v>
      </c>
      <c r="F3876" s="6" t="s">
        <v>5878</v>
      </c>
      <c r="G3876" s="15" t="str">
        <f>VLOOKUP(A3876,Movie!A:D,4,FALSE)</f>
        <v>Warner Brothers</v>
      </c>
      <c r="H3876" s="14">
        <f>VLOOKUP(E3876,'Rental Transaction'!A:B,2,FALSE)</f>
        <v>897980</v>
      </c>
      <c r="I3876">
        <f t="shared" si="60"/>
        <v>2013</v>
      </c>
    </row>
    <row r="3877" spans="1:9" ht="29.25">
      <c r="A3877" s="1">
        <v>10144</v>
      </c>
      <c r="B3877" s="1">
        <v>2</v>
      </c>
      <c r="C3877" s="2">
        <v>41546</v>
      </c>
      <c r="D3877" s="1" t="s">
        <v>2002</v>
      </c>
      <c r="E3877" s="1">
        <v>102182</v>
      </c>
      <c r="F3877" s="6" t="s">
        <v>5879</v>
      </c>
      <c r="G3877" s="15" t="str">
        <f>VLOOKUP(A3877,Movie!A:D,4,FALSE)</f>
        <v>Weinstein Company</v>
      </c>
      <c r="H3877" s="14">
        <f>VLOOKUP(E3877,'Rental Transaction'!A:B,2,FALSE)</f>
        <v>897980</v>
      </c>
      <c r="I3877">
        <f t="shared" si="60"/>
        <v>2013</v>
      </c>
    </row>
    <row r="3878" spans="1:9">
      <c r="A3878" s="1">
        <v>10287</v>
      </c>
      <c r="B3878" s="1">
        <v>1</v>
      </c>
      <c r="C3878" s="2">
        <v>41545</v>
      </c>
      <c r="D3878" s="1" t="s">
        <v>2002</v>
      </c>
      <c r="E3878" s="1">
        <v>102183</v>
      </c>
      <c r="F3878" s="6" t="s">
        <v>5880</v>
      </c>
      <c r="G3878" s="15" t="str">
        <f>VLOOKUP(A3878,Movie!A:D,4,FALSE)</f>
        <v>Lionsgate</v>
      </c>
      <c r="H3878" s="14">
        <f>VLOOKUP(E3878,'Rental Transaction'!A:B,2,FALSE)</f>
        <v>846722</v>
      </c>
      <c r="I3878">
        <f t="shared" si="60"/>
        <v>2013</v>
      </c>
    </row>
    <row r="3879" spans="1:9">
      <c r="A3879" s="1">
        <v>10268</v>
      </c>
      <c r="B3879" s="1">
        <v>10</v>
      </c>
      <c r="C3879" s="2">
        <v>41545</v>
      </c>
      <c r="D3879" s="1" t="s">
        <v>2002</v>
      </c>
      <c r="E3879" s="1">
        <v>102183</v>
      </c>
      <c r="F3879" s="6" t="s">
        <v>5881</v>
      </c>
      <c r="G3879" s="15" t="str">
        <f>VLOOKUP(A3879,Movie!A:D,4,FALSE)</f>
        <v>Buena Vista</v>
      </c>
      <c r="H3879" s="14">
        <f>VLOOKUP(E3879,'Rental Transaction'!A:B,2,FALSE)</f>
        <v>846722</v>
      </c>
      <c r="I3879">
        <f t="shared" si="60"/>
        <v>2013</v>
      </c>
    </row>
    <row r="3880" spans="1:9">
      <c r="A3880" s="1">
        <v>10227</v>
      </c>
      <c r="B3880" s="1">
        <v>9</v>
      </c>
      <c r="C3880" s="2">
        <v>41545</v>
      </c>
      <c r="D3880" s="1" t="s">
        <v>2002</v>
      </c>
      <c r="E3880" s="1">
        <v>102184</v>
      </c>
      <c r="F3880" s="6" t="s">
        <v>5882</v>
      </c>
      <c r="G3880" s="15" t="str">
        <f>VLOOKUP(A3880,Movie!A:D,4,FALSE)</f>
        <v>Focus</v>
      </c>
      <c r="H3880" s="14">
        <f>VLOOKUP(E3880,'Rental Transaction'!A:B,2,FALSE)</f>
        <v>143878</v>
      </c>
      <c r="I3880">
        <f t="shared" si="60"/>
        <v>2013</v>
      </c>
    </row>
    <row r="3881" spans="1:9">
      <c r="A3881" s="1">
        <v>10229</v>
      </c>
      <c r="B3881" s="1">
        <v>3</v>
      </c>
      <c r="C3881" s="2">
        <v>41545</v>
      </c>
      <c r="D3881" s="1" t="s">
        <v>2002</v>
      </c>
      <c r="E3881" s="1">
        <v>102185</v>
      </c>
      <c r="F3881" s="6" t="s">
        <v>5883</v>
      </c>
      <c r="G3881" s="15" t="str">
        <f>VLOOKUP(A3881,Movie!A:D,4,FALSE)</f>
        <v>TriStar</v>
      </c>
      <c r="H3881" s="14">
        <f>VLOOKUP(E3881,'Rental Transaction'!A:B,2,FALSE)</f>
        <v>817274</v>
      </c>
      <c r="I3881">
        <f t="shared" si="60"/>
        <v>2013</v>
      </c>
    </row>
    <row r="3882" spans="1:9">
      <c r="A3882" s="1">
        <v>10255</v>
      </c>
      <c r="B3882" s="1">
        <v>8</v>
      </c>
      <c r="C3882" s="2">
        <v>41545</v>
      </c>
      <c r="D3882" s="1" t="s">
        <v>2002</v>
      </c>
      <c r="E3882" s="1">
        <v>102185</v>
      </c>
      <c r="F3882" s="6" t="s">
        <v>5884</v>
      </c>
      <c r="G3882" s="15" t="str">
        <f>VLOOKUP(A3882,Movie!A:D,4,FALSE)</f>
        <v>Paramount</v>
      </c>
      <c r="H3882" s="14">
        <f>VLOOKUP(E3882,'Rental Transaction'!A:B,2,FALSE)</f>
        <v>817274</v>
      </c>
      <c r="I3882">
        <f t="shared" si="60"/>
        <v>2013</v>
      </c>
    </row>
    <row r="3883" spans="1:9">
      <c r="A3883" s="1">
        <v>10235</v>
      </c>
      <c r="B3883" s="1">
        <v>5</v>
      </c>
      <c r="C3883" s="2">
        <v>41545</v>
      </c>
      <c r="D3883" s="1" t="s">
        <v>2005</v>
      </c>
      <c r="E3883" s="1">
        <v>102186</v>
      </c>
      <c r="F3883" s="6" t="s">
        <v>5885</v>
      </c>
      <c r="G3883" s="15" t="str">
        <f>VLOOKUP(A3883,Movie!A:D,4,FALSE)</f>
        <v>Lionsgate</v>
      </c>
      <c r="H3883" s="14">
        <f>VLOOKUP(E3883,'Rental Transaction'!A:B,2,FALSE)</f>
        <v>407605</v>
      </c>
      <c r="I3883">
        <f t="shared" si="60"/>
        <v>2013</v>
      </c>
    </row>
    <row r="3884" spans="1:9">
      <c r="A3884" s="1">
        <v>10023</v>
      </c>
      <c r="B3884" s="1">
        <v>8</v>
      </c>
      <c r="C3884" s="2">
        <v>41545</v>
      </c>
      <c r="D3884" s="1" t="s">
        <v>2005</v>
      </c>
      <c r="E3884" s="1">
        <v>102186</v>
      </c>
      <c r="F3884" s="6" t="s">
        <v>5886</v>
      </c>
      <c r="G3884" s="15" t="str">
        <f>VLOOKUP(A3884,Movie!A:D,4,FALSE)</f>
        <v>Buena Vista</v>
      </c>
      <c r="H3884" s="14">
        <f>VLOOKUP(E3884,'Rental Transaction'!A:B,2,FALSE)</f>
        <v>407605</v>
      </c>
      <c r="I3884">
        <f t="shared" si="60"/>
        <v>2013</v>
      </c>
    </row>
    <row r="3885" spans="1:9">
      <c r="A3885" s="1">
        <v>10045</v>
      </c>
      <c r="B3885" s="1">
        <v>1</v>
      </c>
      <c r="C3885" s="2">
        <v>41547</v>
      </c>
      <c r="D3885" s="1" t="s">
        <v>2002</v>
      </c>
      <c r="E3885" s="1">
        <v>102187</v>
      </c>
      <c r="F3885" s="6" t="s">
        <v>5887</v>
      </c>
      <c r="G3885" s="15" t="str">
        <f>VLOOKUP(A3885,Movie!A:D,4,FALSE)</f>
        <v>Warner Brothers</v>
      </c>
      <c r="H3885" s="14">
        <f>VLOOKUP(E3885,'Rental Transaction'!A:B,2,FALSE)</f>
        <v>994269</v>
      </c>
      <c r="I3885">
        <f t="shared" si="60"/>
        <v>2013</v>
      </c>
    </row>
    <row r="3886" spans="1:9">
      <c r="A3886" s="1">
        <v>10244</v>
      </c>
      <c r="B3886" s="1">
        <v>1</v>
      </c>
      <c r="C3886" s="2">
        <v>41545</v>
      </c>
      <c r="D3886" s="1" t="s">
        <v>2002</v>
      </c>
      <c r="E3886" s="1">
        <v>102187</v>
      </c>
      <c r="F3886" s="6" t="s">
        <v>5888</v>
      </c>
      <c r="G3886" s="15" t="str">
        <f>VLOOKUP(A3886,Movie!A:D,4,FALSE)</f>
        <v>Sony</v>
      </c>
      <c r="H3886" s="14">
        <f>VLOOKUP(E3886,'Rental Transaction'!A:B,2,FALSE)</f>
        <v>994269</v>
      </c>
      <c r="I3886">
        <f t="shared" si="60"/>
        <v>2013</v>
      </c>
    </row>
    <row r="3887" spans="1:9">
      <c r="A3887" s="1">
        <v>10073</v>
      </c>
      <c r="B3887" s="1">
        <v>3</v>
      </c>
      <c r="C3887" s="2">
        <v>41545</v>
      </c>
      <c r="D3887" s="1" t="s">
        <v>2002</v>
      </c>
      <c r="E3887" s="1">
        <v>102187</v>
      </c>
      <c r="F3887" s="6" t="s">
        <v>5889</v>
      </c>
      <c r="G3887" s="15" t="str">
        <f>VLOOKUP(A3887,Movie!A:D,4,FALSE)</f>
        <v>FilmDistrict</v>
      </c>
      <c r="H3887" s="14">
        <f>VLOOKUP(E3887,'Rental Transaction'!A:B,2,FALSE)</f>
        <v>994269</v>
      </c>
      <c r="I3887">
        <f t="shared" si="60"/>
        <v>2013</v>
      </c>
    </row>
    <row r="3888" spans="1:9">
      <c r="A3888" s="1">
        <v>10139</v>
      </c>
      <c r="B3888" s="1">
        <v>8</v>
      </c>
      <c r="C3888" s="2">
        <v>41546</v>
      </c>
      <c r="D3888" s="1" t="s">
        <v>2002</v>
      </c>
      <c r="E3888" s="1">
        <v>102188</v>
      </c>
      <c r="F3888" s="6" t="s">
        <v>5890</v>
      </c>
      <c r="G3888" s="15" t="str">
        <f>VLOOKUP(A3888,Movie!A:D,4,FALSE)</f>
        <v>Focus</v>
      </c>
      <c r="H3888" s="14">
        <f>VLOOKUP(E3888,'Rental Transaction'!A:B,2,FALSE)</f>
        <v>678940</v>
      </c>
      <c r="I3888">
        <f t="shared" si="60"/>
        <v>2013</v>
      </c>
    </row>
    <row r="3889" spans="1:9">
      <c r="A3889" s="1">
        <v>10053</v>
      </c>
      <c r="B3889" s="1">
        <v>4</v>
      </c>
      <c r="C3889" s="2">
        <v>41547</v>
      </c>
      <c r="D3889" s="1" t="s">
        <v>2005</v>
      </c>
      <c r="E3889" s="1">
        <v>102188</v>
      </c>
      <c r="F3889" s="6" t="s">
        <v>5891</v>
      </c>
      <c r="G3889" s="15" t="str">
        <f>VLOOKUP(A3889,Movie!A:D,4,FALSE)</f>
        <v>Sony</v>
      </c>
      <c r="H3889" s="14">
        <f>VLOOKUP(E3889,'Rental Transaction'!A:B,2,FALSE)</f>
        <v>678940</v>
      </c>
      <c r="I3889">
        <f t="shared" si="60"/>
        <v>2013</v>
      </c>
    </row>
    <row r="3890" spans="1:9">
      <c r="A3890" s="1">
        <v>10235</v>
      </c>
      <c r="B3890" s="1">
        <v>9</v>
      </c>
      <c r="C3890" s="2">
        <v>41547</v>
      </c>
      <c r="D3890" s="1" t="s">
        <v>2005</v>
      </c>
      <c r="E3890" s="1">
        <v>102188</v>
      </c>
      <c r="F3890" s="6" t="s">
        <v>5892</v>
      </c>
      <c r="G3890" s="15" t="str">
        <f>VLOOKUP(A3890,Movie!A:D,4,FALSE)</f>
        <v>Lionsgate</v>
      </c>
      <c r="H3890" s="14">
        <f>VLOOKUP(E3890,'Rental Transaction'!A:B,2,FALSE)</f>
        <v>678940</v>
      </c>
      <c r="I3890">
        <f t="shared" si="60"/>
        <v>2013</v>
      </c>
    </row>
    <row r="3891" spans="1:9">
      <c r="A3891" s="1">
        <v>10272</v>
      </c>
      <c r="B3891" s="1">
        <v>1</v>
      </c>
      <c r="C3891" s="2">
        <v>41546</v>
      </c>
      <c r="D3891" s="1" t="s">
        <v>2005</v>
      </c>
      <c r="E3891" s="1">
        <v>102188</v>
      </c>
      <c r="F3891" s="6" t="s">
        <v>5893</v>
      </c>
      <c r="G3891" s="15" t="str">
        <f>VLOOKUP(A3891,Movie!A:D,4,FALSE)</f>
        <v>Sony</v>
      </c>
      <c r="H3891" s="14">
        <f>VLOOKUP(E3891,'Rental Transaction'!A:B,2,FALSE)</f>
        <v>678940</v>
      </c>
      <c r="I3891">
        <f t="shared" si="60"/>
        <v>2013</v>
      </c>
    </row>
    <row r="3892" spans="1:9" ht="29.25">
      <c r="A3892" s="1">
        <v>10140</v>
      </c>
      <c r="B3892" s="1">
        <v>6</v>
      </c>
      <c r="C3892" s="2">
        <v>41546</v>
      </c>
      <c r="D3892" s="1" t="s">
        <v>2005</v>
      </c>
      <c r="E3892" s="1">
        <v>102189</v>
      </c>
      <c r="F3892" s="6" t="s">
        <v>5894</v>
      </c>
      <c r="G3892" s="15" t="str">
        <f>VLOOKUP(A3892,Movie!A:D,4,FALSE)</f>
        <v>Weinstein Company</v>
      </c>
      <c r="H3892" s="14">
        <f>VLOOKUP(E3892,'Rental Transaction'!A:B,2,FALSE)</f>
        <v>734514</v>
      </c>
      <c r="I3892">
        <f t="shared" si="60"/>
        <v>2013</v>
      </c>
    </row>
    <row r="3893" spans="1:9">
      <c r="A3893" s="1">
        <v>10235</v>
      </c>
      <c r="B3893" s="1">
        <v>3</v>
      </c>
      <c r="C3893" s="2">
        <v>41547</v>
      </c>
      <c r="D3893" s="1" t="s">
        <v>2005</v>
      </c>
      <c r="E3893" s="1">
        <v>102190</v>
      </c>
      <c r="F3893" s="6" t="s">
        <v>5895</v>
      </c>
      <c r="G3893" s="15" t="str">
        <f>VLOOKUP(A3893,Movie!A:D,4,FALSE)</f>
        <v>Lionsgate</v>
      </c>
      <c r="H3893" s="14">
        <f>VLOOKUP(E3893,'Rental Transaction'!A:B,2,FALSE)</f>
        <v>911171</v>
      </c>
      <c r="I3893">
        <f t="shared" si="60"/>
        <v>2013</v>
      </c>
    </row>
    <row r="3894" spans="1:9">
      <c r="A3894" s="1">
        <v>10203</v>
      </c>
      <c r="B3894" s="1">
        <v>1</v>
      </c>
      <c r="C3894" s="2">
        <v>41546</v>
      </c>
      <c r="D3894" s="1" t="s">
        <v>2005</v>
      </c>
      <c r="E3894" s="1">
        <v>102190</v>
      </c>
      <c r="F3894" s="6" t="s">
        <v>5896</v>
      </c>
      <c r="G3894" s="15" t="str">
        <f>VLOOKUP(A3894,Movie!A:D,4,FALSE)</f>
        <v>Buena Vista</v>
      </c>
      <c r="H3894" s="14">
        <f>VLOOKUP(E3894,'Rental Transaction'!A:B,2,FALSE)</f>
        <v>911171</v>
      </c>
      <c r="I3894">
        <f t="shared" si="60"/>
        <v>2013</v>
      </c>
    </row>
    <row r="3895" spans="1:9">
      <c r="A3895" s="1">
        <v>10171</v>
      </c>
      <c r="B3895" s="1">
        <v>6</v>
      </c>
      <c r="C3895" s="2">
        <v>41546</v>
      </c>
      <c r="D3895" s="1" t="s">
        <v>2002</v>
      </c>
      <c r="E3895" s="1">
        <v>102191</v>
      </c>
      <c r="F3895" s="6" t="s">
        <v>5897</v>
      </c>
      <c r="G3895" s="15" t="str">
        <f>VLOOKUP(A3895,Movie!A:D,4,FALSE)</f>
        <v>Universal</v>
      </c>
      <c r="H3895" s="14">
        <f>VLOOKUP(E3895,'Rental Transaction'!A:B,2,FALSE)</f>
        <v>442254</v>
      </c>
      <c r="I3895">
        <f t="shared" si="60"/>
        <v>2013</v>
      </c>
    </row>
    <row r="3896" spans="1:9">
      <c r="A3896" s="1">
        <v>10007</v>
      </c>
      <c r="B3896" s="1">
        <v>10</v>
      </c>
      <c r="C3896" s="2">
        <v>41548</v>
      </c>
      <c r="D3896" s="1" t="s">
        <v>2002</v>
      </c>
      <c r="E3896" s="1">
        <v>102191</v>
      </c>
      <c r="F3896" s="6" t="s">
        <v>5898</v>
      </c>
      <c r="G3896" s="15" t="str">
        <f>VLOOKUP(A3896,Movie!A:D,4,FALSE)</f>
        <v>Sony</v>
      </c>
      <c r="H3896" s="14">
        <f>VLOOKUP(E3896,'Rental Transaction'!A:B,2,FALSE)</f>
        <v>442254</v>
      </c>
      <c r="I3896">
        <f t="shared" si="60"/>
        <v>2013</v>
      </c>
    </row>
    <row r="3897" spans="1:9" ht="29.25">
      <c r="A3897" s="1">
        <v>10136</v>
      </c>
      <c r="B3897" s="1">
        <v>10</v>
      </c>
      <c r="C3897" s="2">
        <v>41547</v>
      </c>
      <c r="D3897" s="1" t="s">
        <v>2002</v>
      </c>
      <c r="E3897" s="1">
        <v>102192</v>
      </c>
      <c r="F3897" s="6" t="s">
        <v>5899</v>
      </c>
      <c r="G3897" s="15" t="str">
        <f>VLOOKUP(A3897,Movie!A:D,4,FALSE)</f>
        <v>Weinstein Company</v>
      </c>
      <c r="H3897" s="14">
        <f>VLOOKUP(E3897,'Rental Transaction'!A:B,2,FALSE)</f>
        <v>270853</v>
      </c>
      <c r="I3897">
        <f t="shared" si="60"/>
        <v>2013</v>
      </c>
    </row>
    <row r="3898" spans="1:9">
      <c r="A3898" s="1">
        <v>10109</v>
      </c>
      <c r="B3898" s="1">
        <v>2</v>
      </c>
      <c r="C3898" s="2">
        <v>41548</v>
      </c>
      <c r="D3898" s="1" t="s">
        <v>2002</v>
      </c>
      <c r="E3898" s="1">
        <v>102192</v>
      </c>
      <c r="F3898" s="6" t="s">
        <v>5900</v>
      </c>
      <c r="G3898" s="15" t="str">
        <f>VLOOKUP(A3898,Movie!A:D,4,FALSE)</f>
        <v>Warner Brothers</v>
      </c>
      <c r="H3898" s="14">
        <f>VLOOKUP(E3898,'Rental Transaction'!A:B,2,FALSE)</f>
        <v>270853</v>
      </c>
      <c r="I3898">
        <f t="shared" si="60"/>
        <v>2013</v>
      </c>
    </row>
    <row r="3899" spans="1:9">
      <c r="A3899" s="1">
        <v>10203</v>
      </c>
      <c r="B3899" s="1">
        <v>8</v>
      </c>
      <c r="C3899" s="2">
        <v>41546</v>
      </c>
      <c r="D3899" s="1" t="s">
        <v>2002</v>
      </c>
      <c r="E3899" s="1">
        <v>102193</v>
      </c>
      <c r="F3899" s="6" t="s">
        <v>5901</v>
      </c>
      <c r="G3899" s="15" t="str">
        <f>VLOOKUP(A3899,Movie!A:D,4,FALSE)</f>
        <v>Buena Vista</v>
      </c>
      <c r="H3899" s="14">
        <f>VLOOKUP(E3899,'Rental Transaction'!A:B,2,FALSE)</f>
        <v>186353</v>
      </c>
      <c r="I3899">
        <f t="shared" si="60"/>
        <v>2013</v>
      </c>
    </row>
    <row r="3900" spans="1:9">
      <c r="A3900" s="1">
        <v>10271</v>
      </c>
      <c r="B3900" s="1">
        <v>6</v>
      </c>
      <c r="C3900" s="2">
        <v>41546</v>
      </c>
      <c r="D3900" s="1" t="s">
        <v>2002</v>
      </c>
      <c r="E3900" s="1">
        <v>102194</v>
      </c>
      <c r="F3900" s="6" t="s">
        <v>5902</v>
      </c>
      <c r="G3900" s="15" t="str">
        <f>VLOOKUP(A3900,Movie!A:D,4,FALSE)</f>
        <v>Universal</v>
      </c>
      <c r="H3900" s="14">
        <f>VLOOKUP(E3900,'Rental Transaction'!A:B,2,FALSE)</f>
        <v>977759</v>
      </c>
      <c r="I3900">
        <f t="shared" si="60"/>
        <v>2013</v>
      </c>
    </row>
    <row r="3901" spans="1:9">
      <c r="A3901" s="1">
        <v>10116</v>
      </c>
      <c r="B3901" s="1">
        <v>10</v>
      </c>
      <c r="C3901" s="2">
        <v>41546</v>
      </c>
      <c r="D3901" s="1" t="s">
        <v>2002</v>
      </c>
      <c r="E3901" s="1">
        <v>102195</v>
      </c>
      <c r="F3901" s="6" t="s">
        <v>5903</v>
      </c>
      <c r="G3901" s="15" t="str">
        <f>VLOOKUP(A3901,Movie!A:D,4,FALSE)</f>
        <v>Universal</v>
      </c>
      <c r="H3901" s="14">
        <f>VLOOKUP(E3901,'Rental Transaction'!A:B,2,FALSE)</f>
        <v>665313</v>
      </c>
      <c r="I3901">
        <f t="shared" si="60"/>
        <v>2013</v>
      </c>
    </row>
    <row r="3902" spans="1:9">
      <c r="A3902" s="1">
        <v>10057</v>
      </c>
      <c r="B3902" s="1">
        <v>7</v>
      </c>
      <c r="C3902" s="2">
        <v>41546</v>
      </c>
      <c r="D3902" s="1" t="s">
        <v>2005</v>
      </c>
      <c r="E3902" s="1">
        <v>102195</v>
      </c>
      <c r="F3902" s="6" t="s">
        <v>5904</v>
      </c>
      <c r="G3902" s="15" t="str">
        <f>VLOOKUP(A3902,Movie!A:D,4,FALSE)</f>
        <v>Warner Brothers</v>
      </c>
      <c r="H3902" s="14">
        <f>VLOOKUP(E3902,'Rental Transaction'!A:B,2,FALSE)</f>
        <v>665313</v>
      </c>
      <c r="I3902">
        <f t="shared" si="60"/>
        <v>2013</v>
      </c>
    </row>
    <row r="3903" spans="1:9">
      <c r="A3903" s="1">
        <v>10206</v>
      </c>
      <c r="B3903" s="1">
        <v>7</v>
      </c>
      <c r="C3903" s="2">
        <v>41546</v>
      </c>
      <c r="D3903" s="1" t="s">
        <v>2005</v>
      </c>
      <c r="E3903" s="1">
        <v>102195</v>
      </c>
      <c r="F3903" s="6" t="s">
        <v>5905</v>
      </c>
      <c r="G3903" s="15" t="str">
        <f>VLOOKUP(A3903,Movie!A:D,4,FALSE)</f>
        <v>Fox</v>
      </c>
      <c r="H3903" s="14">
        <f>VLOOKUP(E3903,'Rental Transaction'!A:B,2,FALSE)</f>
        <v>665313</v>
      </c>
      <c r="I3903">
        <f t="shared" si="60"/>
        <v>2013</v>
      </c>
    </row>
    <row r="3904" spans="1:9">
      <c r="A3904" s="1">
        <v>10135</v>
      </c>
      <c r="B3904" s="1">
        <v>7</v>
      </c>
      <c r="C3904" s="2">
        <v>41546</v>
      </c>
      <c r="D3904" s="1" t="s">
        <v>2002</v>
      </c>
      <c r="E3904" s="1">
        <v>102196</v>
      </c>
      <c r="F3904" s="6" t="s">
        <v>5906</v>
      </c>
      <c r="G3904" s="15" t="str">
        <f>VLOOKUP(A3904,Movie!A:D,4,FALSE)</f>
        <v>Universal</v>
      </c>
      <c r="H3904" s="14">
        <f>VLOOKUP(E3904,'Rental Transaction'!A:B,2,FALSE)</f>
        <v>487346</v>
      </c>
      <c r="I3904">
        <f t="shared" si="60"/>
        <v>2013</v>
      </c>
    </row>
    <row r="3905" spans="1:9">
      <c r="A3905" s="1">
        <v>10214</v>
      </c>
      <c r="B3905" s="1">
        <v>9</v>
      </c>
      <c r="C3905" s="2">
        <v>41548</v>
      </c>
      <c r="D3905" s="1" t="s">
        <v>2005</v>
      </c>
      <c r="E3905" s="1">
        <v>102196</v>
      </c>
      <c r="F3905" s="6" t="s">
        <v>5907</v>
      </c>
      <c r="G3905" s="15" t="str">
        <f>VLOOKUP(A3905,Movie!A:D,4,FALSE)</f>
        <v>RM</v>
      </c>
      <c r="H3905" s="14">
        <f>VLOOKUP(E3905,'Rental Transaction'!A:B,2,FALSE)</f>
        <v>487346</v>
      </c>
      <c r="I3905">
        <f t="shared" si="60"/>
        <v>2013</v>
      </c>
    </row>
    <row r="3906" spans="1:9">
      <c r="A3906" s="1">
        <v>10115</v>
      </c>
      <c r="B3906" s="1">
        <v>4</v>
      </c>
      <c r="C3906" s="2">
        <v>41546</v>
      </c>
      <c r="D3906" s="1" t="s">
        <v>2005</v>
      </c>
      <c r="E3906" s="1">
        <v>102196</v>
      </c>
      <c r="F3906" s="6" t="s">
        <v>5908</v>
      </c>
      <c r="G3906" s="15" t="str">
        <f>VLOOKUP(A3906,Movie!A:D,4,FALSE)</f>
        <v>Open Road Films</v>
      </c>
      <c r="H3906" s="14">
        <f>VLOOKUP(E3906,'Rental Transaction'!A:B,2,FALSE)</f>
        <v>487346</v>
      </c>
      <c r="I3906">
        <f t="shared" si="60"/>
        <v>2013</v>
      </c>
    </row>
    <row r="3907" spans="1:9">
      <c r="A3907" s="1">
        <v>10241</v>
      </c>
      <c r="B3907" s="1">
        <v>10</v>
      </c>
      <c r="C3907" s="2">
        <v>41546</v>
      </c>
      <c r="D3907" s="1" t="s">
        <v>2002</v>
      </c>
      <c r="E3907" s="1">
        <v>102197</v>
      </c>
      <c r="F3907" s="6" t="s">
        <v>5909</v>
      </c>
      <c r="G3907" s="15" t="str">
        <f>VLOOKUP(A3907,Movie!A:D,4,FALSE)</f>
        <v>Warner Brothers</v>
      </c>
      <c r="H3907" s="14">
        <f>VLOOKUP(E3907,'Rental Transaction'!A:B,2,FALSE)</f>
        <v>694281</v>
      </c>
      <c r="I3907">
        <f t="shared" ref="I3907:I3970" si="61">YEAR(C3907)</f>
        <v>2013</v>
      </c>
    </row>
    <row r="3908" spans="1:9">
      <c r="A3908" s="1">
        <v>10257</v>
      </c>
      <c r="B3908" s="1">
        <v>8</v>
      </c>
      <c r="C3908" s="2">
        <v>41546</v>
      </c>
      <c r="D3908" s="1" t="s">
        <v>2005</v>
      </c>
      <c r="E3908" s="1">
        <v>102197</v>
      </c>
      <c r="F3908" s="6" t="s">
        <v>5910</v>
      </c>
      <c r="G3908" s="15" t="str">
        <f>VLOOKUP(A3908,Movie!A:D,4,FALSE)</f>
        <v>Fox</v>
      </c>
      <c r="H3908" s="14">
        <f>VLOOKUP(E3908,'Rental Transaction'!A:B,2,FALSE)</f>
        <v>694281</v>
      </c>
      <c r="I3908">
        <f t="shared" si="61"/>
        <v>2013</v>
      </c>
    </row>
    <row r="3909" spans="1:9">
      <c r="A3909" s="1">
        <v>10202</v>
      </c>
      <c r="B3909" s="1">
        <v>6</v>
      </c>
      <c r="C3909" s="2">
        <v>41546</v>
      </c>
      <c r="D3909" s="1" t="s">
        <v>2002</v>
      </c>
      <c r="E3909" s="1">
        <v>102198</v>
      </c>
      <c r="F3909" s="6" t="s">
        <v>5911</v>
      </c>
      <c r="G3909" s="15" t="str">
        <f>VLOOKUP(A3909,Movie!A:D,4,FALSE)</f>
        <v>Warner Brothers</v>
      </c>
      <c r="H3909" s="14">
        <f>VLOOKUP(E3909,'Rental Transaction'!A:B,2,FALSE)</f>
        <v>918682</v>
      </c>
      <c r="I3909">
        <f t="shared" si="61"/>
        <v>2013</v>
      </c>
    </row>
    <row r="3910" spans="1:9">
      <c r="A3910" s="1">
        <v>10187</v>
      </c>
      <c r="B3910" s="1">
        <v>4</v>
      </c>
      <c r="C3910" s="2">
        <v>41546</v>
      </c>
      <c r="D3910" s="1" t="s">
        <v>2002</v>
      </c>
      <c r="E3910" s="1">
        <v>102198</v>
      </c>
      <c r="F3910" s="6" t="s">
        <v>5912</v>
      </c>
      <c r="G3910" s="15" t="str">
        <f>VLOOKUP(A3910,Movie!A:D,4,FALSE)</f>
        <v>Paramount</v>
      </c>
      <c r="H3910" s="14">
        <f>VLOOKUP(E3910,'Rental Transaction'!A:B,2,FALSE)</f>
        <v>918682</v>
      </c>
      <c r="I3910">
        <f t="shared" si="61"/>
        <v>2013</v>
      </c>
    </row>
    <row r="3911" spans="1:9">
      <c r="A3911" s="1">
        <v>10123</v>
      </c>
      <c r="B3911" s="1">
        <v>6</v>
      </c>
      <c r="C3911" s="2">
        <v>41546</v>
      </c>
      <c r="D3911" s="1" t="s">
        <v>2002</v>
      </c>
      <c r="E3911" s="1">
        <v>102198</v>
      </c>
      <c r="F3911" s="6" t="s">
        <v>5913</v>
      </c>
      <c r="G3911" s="15" t="str">
        <f>VLOOKUP(A3911,Movie!A:D,4,FALSE)</f>
        <v>Fox</v>
      </c>
      <c r="H3911" s="14">
        <f>VLOOKUP(E3911,'Rental Transaction'!A:B,2,FALSE)</f>
        <v>918682</v>
      </c>
      <c r="I3911">
        <f t="shared" si="61"/>
        <v>2013</v>
      </c>
    </row>
    <row r="3912" spans="1:9">
      <c r="A3912" s="1">
        <v>10270</v>
      </c>
      <c r="B3912" s="1">
        <v>2</v>
      </c>
      <c r="C3912" s="2">
        <v>41546</v>
      </c>
      <c r="D3912" s="1" t="s">
        <v>2002</v>
      </c>
      <c r="E3912" s="1">
        <v>102199</v>
      </c>
      <c r="F3912" s="6" t="s">
        <v>5914</v>
      </c>
      <c r="G3912" s="15" t="str">
        <f>VLOOKUP(A3912,Movie!A:D,4,FALSE)</f>
        <v>Fox</v>
      </c>
      <c r="H3912" s="14">
        <f>VLOOKUP(E3912,'Rental Transaction'!A:B,2,FALSE)</f>
        <v>741514</v>
      </c>
      <c r="I3912">
        <f t="shared" si="61"/>
        <v>2013</v>
      </c>
    </row>
    <row r="3913" spans="1:9">
      <c r="A3913" s="1">
        <v>10104</v>
      </c>
      <c r="B3913" s="1">
        <v>2</v>
      </c>
      <c r="C3913" s="2">
        <v>41546</v>
      </c>
      <c r="D3913" s="1" t="s">
        <v>2005</v>
      </c>
      <c r="E3913" s="1">
        <v>102200</v>
      </c>
      <c r="F3913" s="6" t="s">
        <v>5915</v>
      </c>
      <c r="G3913" s="15" t="str">
        <f>VLOOKUP(A3913,Movie!A:D,4,FALSE)</f>
        <v>Universal</v>
      </c>
      <c r="H3913" s="14">
        <f>VLOOKUP(E3913,'Rental Transaction'!A:B,2,FALSE)</f>
        <v>230467</v>
      </c>
      <c r="I3913">
        <f t="shared" si="61"/>
        <v>2013</v>
      </c>
    </row>
    <row r="3914" spans="1:9">
      <c r="A3914" s="1">
        <v>10014</v>
      </c>
      <c r="B3914" s="1">
        <v>3</v>
      </c>
      <c r="C3914" s="2">
        <v>41546</v>
      </c>
      <c r="D3914" s="1" t="s">
        <v>2005</v>
      </c>
      <c r="E3914" s="1">
        <v>102200</v>
      </c>
      <c r="F3914" s="6" t="s">
        <v>5916</v>
      </c>
      <c r="G3914" s="15" t="str">
        <f>VLOOKUP(A3914,Movie!A:D,4,FALSE)</f>
        <v>Warner Brothers</v>
      </c>
      <c r="H3914" s="14">
        <f>VLOOKUP(E3914,'Rental Transaction'!A:B,2,FALSE)</f>
        <v>230467</v>
      </c>
      <c r="I3914">
        <f t="shared" si="61"/>
        <v>2013</v>
      </c>
    </row>
    <row r="3915" spans="1:9">
      <c r="A3915" s="1">
        <v>10177</v>
      </c>
      <c r="B3915" s="1">
        <v>5</v>
      </c>
      <c r="C3915" s="2">
        <v>41546</v>
      </c>
      <c r="D3915" s="1" t="s">
        <v>2005</v>
      </c>
      <c r="E3915" s="1">
        <v>102201</v>
      </c>
      <c r="F3915" s="6" t="s">
        <v>5917</v>
      </c>
      <c r="G3915" s="15" t="str">
        <f>VLOOKUP(A3915,Movie!A:D,4,FALSE)</f>
        <v>Fox</v>
      </c>
      <c r="H3915" s="14">
        <f>VLOOKUP(E3915,'Rental Transaction'!A:B,2,FALSE)</f>
        <v>315634</v>
      </c>
      <c r="I3915">
        <f t="shared" si="61"/>
        <v>2013</v>
      </c>
    </row>
    <row r="3916" spans="1:9">
      <c r="A3916" s="1">
        <v>10206</v>
      </c>
      <c r="B3916" s="1">
        <v>9</v>
      </c>
      <c r="C3916" s="2">
        <v>41547</v>
      </c>
      <c r="D3916" s="1" t="s">
        <v>2002</v>
      </c>
      <c r="E3916" s="1">
        <v>102202</v>
      </c>
      <c r="F3916" s="6" t="s">
        <v>5918</v>
      </c>
      <c r="G3916" s="15" t="str">
        <f>VLOOKUP(A3916,Movie!A:D,4,FALSE)</f>
        <v>Fox</v>
      </c>
      <c r="H3916" s="14">
        <f>VLOOKUP(E3916,'Rental Transaction'!A:B,2,FALSE)</f>
        <v>116690</v>
      </c>
      <c r="I3916">
        <f t="shared" si="61"/>
        <v>2013</v>
      </c>
    </row>
    <row r="3917" spans="1:9">
      <c r="A3917" s="1">
        <v>10148</v>
      </c>
      <c r="B3917" s="1">
        <v>10</v>
      </c>
      <c r="C3917" s="2">
        <v>41546</v>
      </c>
      <c r="D3917" s="1" t="s">
        <v>2005</v>
      </c>
      <c r="E3917" s="1">
        <v>102203</v>
      </c>
      <c r="F3917" s="6" t="s">
        <v>5919</v>
      </c>
      <c r="G3917" s="15" t="str">
        <f>VLOOKUP(A3917,Movie!A:D,4,FALSE)</f>
        <v>Paramount</v>
      </c>
      <c r="H3917" s="14">
        <f>VLOOKUP(E3917,'Rental Transaction'!A:B,2,FALSE)</f>
        <v>475216</v>
      </c>
      <c r="I3917">
        <f t="shared" si="61"/>
        <v>2013</v>
      </c>
    </row>
    <row r="3918" spans="1:9">
      <c r="A3918" s="1">
        <v>10204</v>
      </c>
      <c r="B3918" s="1">
        <v>3</v>
      </c>
      <c r="C3918" s="2">
        <v>41546</v>
      </c>
      <c r="D3918" s="1" t="s">
        <v>2002</v>
      </c>
      <c r="E3918" s="1">
        <v>102204</v>
      </c>
      <c r="F3918" s="6" t="s">
        <v>5920</v>
      </c>
      <c r="G3918" s="15" t="str">
        <f>VLOOKUP(A3918,Movie!A:D,4,FALSE)</f>
        <v>Universal</v>
      </c>
      <c r="H3918" s="14">
        <f>VLOOKUP(E3918,'Rental Transaction'!A:B,2,FALSE)</f>
        <v>891738</v>
      </c>
      <c r="I3918">
        <f t="shared" si="61"/>
        <v>2013</v>
      </c>
    </row>
    <row r="3919" spans="1:9">
      <c r="A3919" s="1">
        <v>10013</v>
      </c>
      <c r="B3919" s="1">
        <v>7</v>
      </c>
      <c r="C3919" s="2">
        <v>41546</v>
      </c>
      <c r="D3919" s="1" t="s">
        <v>2005</v>
      </c>
      <c r="E3919" s="1">
        <v>102204</v>
      </c>
      <c r="F3919" s="6" t="s">
        <v>5921</v>
      </c>
      <c r="G3919" s="15" t="str">
        <f>VLOOKUP(A3919,Movie!A:D,4,FALSE)</f>
        <v>Open Road Films</v>
      </c>
      <c r="H3919" s="14">
        <f>VLOOKUP(E3919,'Rental Transaction'!A:B,2,FALSE)</f>
        <v>891738</v>
      </c>
      <c r="I3919">
        <f t="shared" si="61"/>
        <v>2013</v>
      </c>
    </row>
    <row r="3920" spans="1:9">
      <c r="A3920" s="1">
        <v>10262</v>
      </c>
      <c r="B3920" s="1">
        <v>3</v>
      </c>
      <c r="C3920" s="2">
        <v>41546</v>
      </c>
      <c r="D3920" s="1" t="s">
        <v>2005</v>
      </c>
      <c r="E3920" s="1">
        <v>102204</v>
      </c>
      <c r="F3920" s="6" t="s">
        <v>5922</v>
      </c>
      <c r="G3920" s="15" t="str">
        <f>VLOOKUP(A3920,Movie!A:D,4,FALSE)</f>
        <v>Lionsgate</v>
      </c>
      <c r="H3920" s="14">
        <f>VLOOKUP(E3920,'Rental Transaction'!A:B,2,FALSE)</f>
        <v>891738</v>
      </c>
      <c r="I3920">
        <f t="shared" si="61"/>
        <v>2013</v>
      </c>
    </row>
    <row r="3921" spans="1:9">
      <c r="A3921" s="1">
        <v>10077</v>
      </c>
      <c r="B3921" s="1">
        <v>8</v>
      </c>
      <c r="C3921" s="2">
        <v>41547</v>
      </c>
      <c r="D3921" s="1" t="s">
        <v>2005</v>
      </c>
      <c r="E3921" s="1">
        <v>102205</v>
      </c>
      <c r="F3921" s="6" t="s">
        <v>5923</v>
      </c>
      <c r="G3921" s="15" t="str">
        <f>VLOOKUP(A3921,Movie!A:D,4,FALSE)</f>
        <v>Warner Brothers</v>
      </c>
      <c r="H3921" s="14">
        <f>VLOOKUP(E3921,'Rental Transaction'!A:B,2,FALSE)</f>
        <v>390130</v>
      </c>
      <c r="I3921">
        <f t="shared" si="61"/>
        <v>2013</v>
      </c>
    </row>
    <row r="3922" spans="1:9">
      <c r="A3922" s="1">
        <v>10224</v>
      </c>
      <c r="B3922" s="1">
        <v>2</v>
      </c>
      <c r="C3922" s="2">
        <v>41546</v>
      </c>
      <c r="D3922" s="1" t="s">
        <v>2002</v>
      </c>
      <c r="E3922" s="1">
        <v>102206</v>
      </c>
      <c r="F3922" s="6" t="s">
        <v>5924</v>
      </c>
      <c r="G3922" s="15" t="str">
        <f>VLOOKUP(A3922,Movie!A:D,4,FALSE)</f>
        <v>Fox Searchlight</v>
      </c>
      <c r="H3922" s="14">
        <f>VLOOKUP(E3922,'Rental Transaction'!A:B,2,FALSE)</f>
        <v>205878</v>
      </c>
      <c r="I3922">
        <f t="shared" si="61"/>
        <v>2013</v>
      </c>
    </row>
    <row r="3923" spans="1:9">
      <c r="A3923" s="1">
        <v>10009</v>
      </c>
      <c r="B3923" s="1">
        <v>4</v>
      </c>
      <c r="C3923" s="2">
        <v>41547</v>
      </c>
      <c r="D3923" s="1" t="s">
        <v>2005</v>
      </c>
      <c r="E3923" s="1">
        <v>102207</v>
      </c>
      <c r="F3923" s="6" t="s">
        <v>5925</v>
      </c>
      <c r="G3923" s="15" t="str">
        <f>VLOOKUP(A3923,Movie!A:D,4,FALSE)</f>
        <v>Warner Brothers</v>
      </c>
      <c r="H3923" s="14">
        <f>VLOOKUP(E3923,'Rental Transaction'!A:B,2,FALSE)</f>
        <v>500828</v>
      </c>
      <c r="I3923">
        <f t="shared" si="61"/>
        <v>2013</v>
      </c>
    </row>
    <row r="3924" spans="1:9">
      <c r="A3924" s="1">
        <v>10171</v>
      </c>
      <c r="B3924" s="1">
        <v>2</v>
      </c>
      <c r="C3924" s="2">
        <v>41548</v>
      </c>
      <c r="D3924" s="1" t="s">
        <v>2002</v>
      </c>
      <c r="E3924" s="1">
        <v>102207</v>
      </c>
      <c r="F3924" s="6" t="s">
        <v>5926</v>
      </c>
      <c r="G3924" s="15" t="str">
        <f>VLOOKUP(A3924,Movie!A:D,4,FALSE)</f>
        <v>Universal</v>
      </c>
      <c r="H3924" s="14">
        <f>VLOOKUP(E3924,'Rental Transaction'!A:B,2,FALSE)</f>
        <v>500828</v>
      </c>
      <c r="I3924">
        <f t="shared" si="61"/>
        <v>2013</v>
      </c>
    </row>
    <row r="3925" spans="1:9">
      <c r="A3925" s="1">
        <v>10280</v>
      </c>
      <c r="B3925" s="1">
        <v>5</v>
      </c>
      <c r="C3925" s="2">
        <v>41547</v>
      </c>
      <c r="D3925" s="1" t="s">
        <v>2002</v>
      </c>
      <c r="E3925" s="1">
        <v>102207</v>
      </c>
      <c r="F3925" s="6" t="s">
        <v>5927</v>
      </c>
      <c r="G3925" s="15" t="str">
        <f>VLOOKUP(A3925,Movie!A:D,4,FALSE)</f>
        <v>Universal</v>
      </c>
      <c r="H3925" s="14">
        <f>VLOOKUP(E3925,'Rental Transaction'!A:B,2,FALSE)</f>
        <v>500828</v>
      </c>
      <c r="I3925">
        <f t="shared" si="61"/>
        <v>2013</v>
      </c>
    </row>
    <row r="3926" spans="1:9">
      <c r="A3926" s="1">
        <v>10265</v>
      </c>
      <c r="B3926" s="1">
        <v>1</v>
      </c>
      <c r="C3926" s="2">
        <v>41547</v>
      </c>
      <c r="D3926" s="1" t="s">
        <v>2005</v>
      </c>
      <c r="E3926" s="1">
        <v>102208</v>
      </c>
      <c r="F3926" s="6" t="s">
        <v>5928</v>
      </c>
      <c r="G3926" s="15" t="str">
        <f>VLOOKUP(A3926,Movie!A:D,4,FALSE)</f>
        <v>Warner Brothers</v>
      </c>
      <c r="H3926" s="14">
        <f>VLOOKUP(E3926,'Rental Transaction'!A:B,2,FALSE)</f>
        <v>267632</v>
      </c>
      <c r="I3926">
        <f t="shared" si="61"/>
        <v>2013</v>
      </c>
    </row>
    <row r="3927" spans="1:9">
      <c r="A3927" s="1">
        <v>10192</v>
      </c>
      <c r="B3927" s="1">
        <v>1</v>
      </c>
      <c r="C3927" s="2">
        <v>41547</v>
      </c>
      <c r="D3927" s="1" t="s">
        <v>2002</v>
      </c>
      <c r="E3927" s="1">
        <v>102209</v>
      </c>
      <c r="F3927" s="6" t="s">
        <v>5929</v>
      </c>
      <c r="G3927" s="15" t="str">
        <f>VLOOKUP(A3927,Movie!A:D,4,FALSE)</f>
        <v>Universal</v>
      </c>
      <c r="H3927" s="14">
        <f>VLOOKUP(E3927,'Rental Transaction'!A:B,2,FALSE)</f>
        <v>147218</v>
      </c>
      <c r="I3927">
        <f t="shared" si="61"/>
        <v>2013</v>
      </c>
    </row>
    <row r="3928" spans="1:9">
      <c r="A3928" s="1">
        <v>10150</v>
      </c>
      <c r="B3928" s="1">
        <v>10</v>
      </c>
      <c r="C3928" s="2">
        <v>41547</v>
      </c>
      <c r="D3928" s="1" t="s">
        <v>2002</v>
      </c>
      <c r="E3928" s="1">
        <v>102209</v>
      </c>
      <c r="F3928" s="6" t="s">
        <v>5930</v>
      </c>
      <c r="G3928" s="15" t="str">
        <f>VLOOKUP(A3928,Movie!A:D,4,FALSE)</f>
        <v>Focus</v>
      </c>
      <c r="H3928" s="14">
        <f>VLOOKUP(E3928,'Rental Transaction'!A:B,2,FALSE)</f>
        <v>147218</v>
      </c>
      <c r="I3928">
        <f t="shared" si="61"/>
        <v>2013</v>
      </c>
    </row>
    <row r="3929" spans="1:9">
      <c r="A3929" s="1">
        <v>10197</v>
      </c>
      <c r="B3929" s="1">
        <v>5</v>
      </c>
      <c r="C3929" s="2">
        <v>41547</v>
      </c>
      <c r="D3929" s="1" t="s">
        <v>2005</v>
      </c>
      <c r="E3929" s="1">
        <v>102210</v>
      </c>
      <c r="F3929" s="6" t="s">
        <v>5931</v>
      </c>
      <c r="G3929" s="15" t="str">
        <f>VLOOKUP(A3929,Movie!A:D,4,FALSE)</f>
        <v>Warner Brothers</v>
      </c>
      <c r="H3929" s="14">
        <f>VLOOKUP(E3929,'Rental Transaction'!A:B,2,FALSE)</f>
        <v>744780</v>
      </c>
      <c r="I3929">
        <f t="shared" si="61"/>
        <v>2013</v>
      </c>
    </row>
    <row r="3930" spans="1:9">
      <c r="A3930" s="1">
        <v>10029</v>
      </c>
      <c r="B3930" s="1">
        <v>6</v>
      </c>
      <c r="C3930" s="2">
        <v>41549</v>
      </c>
      <c r="D3930" s="1" t="s">
        <v>2002</v>
      </c>
      <c r="E3930" s="1">
        <v>102210</v>
      </c>
      <c r="F3930" s="6" t="s">
        <v>5932</v>
      </c>
      <c r="G3930" s="15" t="str">
        <f>VLOOKUP(A3930,Movie!A:D,4,FALSE)</f>
        <v>Relativity</v>
      </c>
      <c r="H3930" s="14">
        <f>VLOOKUP(E3930,'Rental Transaction'!A:B,2,FALSE)</f>
        <v>744780</v>
      </c>
      <c r="I3930">
        <f t="shared" si="61"/>
        <v>2013</v>
      </c>
    </row>
    <row r="3931" spans="1:9">
      <c r="A3931" s="1">
        <v>10228</v>
      </c>
      <c r="B3931" s="1">
        <v>8</v>
      </c>
      <c r="C3931" s="2">
        <v>41547</v>
      </c>
      <c r="D3931" s="1" t="s">
        <v>2002</v>
      </c>
      <c r="E3931" s="1">
        <v>102210</v>
      </c>
      <c r="F3931" s="6" t="s">
        <v>5933</v>
      </c>
      <c r="G3931" s="15" t="str">
        <f>VLOOKUP(A3931,Movie!A:D,4,FALSE)</f>
        <v>Universal</v>
      </c>
      <c r="H3931" s="14">
        <f>VLOOKUP(E3931,'Rental Transaction'!A:B,2,FALSE)</f>
        <v>744780</v>
      </c>
      <c r="I3931">
        <f t="shared" si="61"/>
        <v>2013</v>
      </c>
    </row>
    <row r="3932" spans="1:9">
      <c r="A3932" s="1">
        <v>10111</v>
      </c>
      <c r="B3932" s="1">
        <v>10</v>
      </c>
      <c r="C3932" s="2">
        <v>41547</v>
      </c>
      <c r="D3932" s="1" t="s">
        <v>2002</v>
      </c>
      <c r="E3932" s="1">
        <v>102211</v>
      </c>
      <c r="F3932" s="6" t="s">
        <v>5934</v>
      </c>
      <c r="G3932" s="15" t="str">
        <f>VLOOKUP(A3932,Movie!A:D,4,FALSE)</f>
        <v>Fox</v>
      </c>
      <c r="H3932" s="14">
        <f>VLOOKUP(E3932,'Rental Transaction'!A:B,2,FALSE)</f>
        <v>464277</v>
      </c>
      <c r="I3932">
        <f t="shared" si="61"/>
        <v>2013</v>
      </c>
    </row>
    <row r="3933" spans="1:9">
      <c r="A3933" s="1">
        <v>10143</v>
      </c>
      <c r="B3933" s="1">
        <v>1</v>
      </c>
      <c r="C3933" s="2">
        <v>41548</v>
      </c>
      <c r="D3933" s="1" t="s">
        <v>2002</v>
      </c>
      <c r="E3933" s="1">
        <v>102212</v>
      </c>
      <c r="F3933" s="6" t="s">
        <v>5935</v>
      </c>
      <c r="G3933" s="15" t="str">
        <f>VLOOKUP(A3933,Movie!A:D,4,FALSE)</f>
        <v>Buena Vista</v>
      </c>
      <c r="H3933" s="14">
        <f>VLOOKUP(E3933,'Rental Transaction'!A:B,2,FALSE)</f>
        <v>524667</v>
      </c>
      <c r="I3933">
        <f t="shared" si="61"/>
        <v>2013</v>
      </c>
    </row>
    <row r="3934" spans="1:9">
      <c r="A3934" s="1">
        <v>10024</v>
      </c>
      <c r="B3934" s="1">
        <v>10</v>
      </c>
      <c r="C3934" s="2">
        <v>41548</v>
      </c>
      <c r="D3934" s="1" t="s">
        <v>2002</v>
      </c>
      <c r="E3934" s="1">
        <v>102213</v>
      </c>
      <c r="F3934" s="6" t="s">
        <v>5936</v>
      </c>
      <c r="G3934" s="15" t="str">
        <f>VLOOKUP(A3934,Movie!A:D,4,FALSE)</f>
        <v>Fox</v>
      </c>
      <c r="H3934" s="14">
        <f>VLOOKUP(E3934,'Rental Transaction'!A:B,2,FALSE)</f>
        <v>784218</v>
      </c>
      <c r="I3934">
        <f t="shared" si="61"/>
        <v>2013</v>
      </c>
    </row>
    <row r="3935" spans="1:9">
      <c r="A3935" s="1">
        <v>10010</v>
      </c>
      <c r="B3935" s="1">
        <v>7</v>
      </c>
      <c r="C3935" s="2">
        <v>41547</v>
      </c>
      <c r="D3935" s="1" t="s">
        <v>2005</v>
      </c>
      <c r="E3935" s="1">
        <v>102213</v>
      </c>
      <c r="F3935" s="6" t="s">
        <v>5937</v>
      </c>
      <c r="G3935" s="15" t="str">
        <f>VLOOKUP(A3935,Movie!A:D,4,FALSE)</f>
        <v>Buena Vista</v>
      </c>
      <c r="H3935" s="14">
        <f>VLOOKUP(E3935,'Rental Transaction'!A:B,2,FALSE)</f>
        <v>784218</v>
      </c>
      <c r="I3935">
        <f t="shared" si="61"/>
        <v>2013</v>
      </c>
    </row>
    <row r="3936" spans="1:9">
      <c r="A3936" s="1">
        <v>10142</v>
      </c>
      <c r="B3936" s="1">
        <v>1</v>
      </c>
      <c r="C3936" s="2">
        <v>41548</v>
      </c>
      <c r="D3936" s="1" t="s">
        <v>2005</v>
      </c>
      <c r="E3936" s="1">
        <v>102214</v>
      </c>
      <c r="F3936" s="6" t="s">
        <v>5938</v>
      </c>
      <c r="G3936" s="15" t="str">
        <f>VLOOKUP(A3936,Movie!A:D,4,FALSE)</f>
        <v>Warner Brothers</v>
      </c>
      <c r="H3936" s="14">
        <f>VLOOKUP(E3936,'Rental Transaction'!A:B,2,FALSE)</f>
        <v>918682</v>
      </c>
      <c r="I3936">
        <f t="shared" si="61"/>
        <v>2013</v>
      </c>
    </row>
    <row r="3937" spans="1:9">
      <c r="A3937" s="1">
        <v>10265</v>
      </c>
      <c r="B3937" s="1">
        <v>2</v>
      </c>
      <c r="C3937" s="2">
        <v>41547</v>
      </c>
      <c r="D3937" s="1" t="s">
        <v>2005</v>
      </c>
      <c r="E3937" s="1">
        <v>102215</v>
      </c>
      <c r="F3937" s="6" t="s">
        <v>5939</v>
      </c>
      <c r="G3937" s="15" t="str">
        <f>VLOOKUP(A3937,Movie!A:D,4,FALSE)</f>
        <v>Warner Brothers</v>
      </c>
      <c r="H3937" s="14">
        <f>VLOOKUP(E3937,'Rental Transaction'!A:B,2,FALSE)</f>
        <v>373200</v>
      </c>
      <c r="I3937">
        <f t="shared" si="61"/>
        <v>2013</v>
      </c>
    </row>
    <row r="3938" spans="1:9">
      <c r="A3938" s="1">
        <v>10181</v>
      </c>
      <c r="B3938" s="1">
        <v>2</v>
      </c>
      <c r="C3938" s="2">
        <v>41548</v>
      </c>
      <c r="D3938" s="1" t="s">
        <v>2002</v>
      </c>
      <c r="E3938" s="1">
        <v>102216</v>
      </c>
      <c r="F3938" s="6" t="s">
        <v>5940</v>
      </c>
      <c r="G3938" s="15" t="str">
        <f>VLOOKUP(A3938,Movie!A:D,4,FALSE)</f>
        <v>Fox</v>
      </c>
      <c r="H3938" s="14">
        <f>VLOOKUP(E3938,'Rental Transaction'!A:B,2,FALSE)</f>
        <v>298508</v>
      </c>
      <c r="I3938">
        <f t="shared" si="61"/>
        <v>2013</v>
      </c>
    </row>
    <row r="3939" spans="1:9">
      <c r="A3939" s="1">
        <v>10240</v>
      </c>
      <c r="B3939" s="1">
        <v>3</v>
      </c>
      <c r="C3939" s="2">
        <v>41548</v>
      </c>
      <c r="D3939" s="1" t="s">
        <v>2002</v>
      </c>
      <c r="E3939" s="1">
        <v>102216</v>
      </c>
      <c r="F3939" s="6" t="s">
        <v>5941</v>
      </c>
      <c r="G3939" s="15" t="str">
        <f>VLOOKUP(A3939,Movie!A:D,4,FALSE)</f>
        <v>Warner Brothers</v>
      </c>
      <c r="H3939" s="14">
        <f>VLOOKUP(E3939,'Rental Transaction'!A:B,2,FALSE)</f>
        <v>298508</v>
      </c>
      <c r="I3939">
        <f t="shared" si="61"/>
        <v>2013</v>
      </c>
    </row>
    <row r="3940" spans="1:9">
      <c r="A3940" s="1">
        <v>10040</v>
      </c>
      <c r="B3940" s="1">
        <v>4</v>
      </c>
      <c r="C3940" s="2">
        <v>41547</v>
      </c>
      <c r="D3940" s="1" t="s">
        <v>2005</v>
      </c>
      <c r="E3940" s="1">
        <v>102216</v>
      </c>
      <c r="F3940" s="6" t="s">
        <v>5942</v>
      </c>
      <c r="G3940" s="15" t="str">
        <f>VLOOKUP(A3940,Movie!A:D,4,FALSE)</f>
        <v>Universal</v>
      </c>
      <c r="H3940" s="14">
        <f>VLOOKUP(E3940,'Rental Transaction'!A:B,2,FALSE)</f>
        <v>298508</v>
      </c>
      <c r="I3940">
        <f t="shared" si="61"/>
        <v>2013</v>
      </c>
    </row>
    <row r="3941" spans="1:9">
      <c r="A3941" s="1">
        <v>10280</v>
      </c>
      <c r="B3941" s="1">
        <v>3</v>
      </c>
      <c r="C3941" s="2">
        <v>41548</v>
      </c>
      <c r="D3941" s="1" t="s">
        <v>2002</v>
      </c>
      <c r="E3941" s="1">
        <v>102217</v>
      </c>
      <c r="F3941" s="6" t="s">
        <v>5943</v>
      </c>
      <c r="G3941" s="15" t="str">
        <f>VLOOKUP(A3941,Movie!A:D,4,FALSE)</f>
        <v>Universal</v>
      </c>
      <c r="H3941" s="14">
        <f>VLOOKUP(E3941,'Rental Transaction'!A:B,2,FALSE)</f>
        <v>225489</v>
      </c>
      <c r="I3941">
        <f t="shared" si="61"/>
        <v>2013</v>
      </c>
    </row>
    <row r="3942" spans="1:9">
      <c r="A3942" s="1">
        <v>10262</v>
      </c>
      <c r="B3942" s="1">
        <v>1</v>
      </c>
      <c r="C3942" s="2">
        <v>41549</v>
      </c>
      <c r="D3942" s="1" t="s">
        <v>2005</v>
      </c>
      <c r="E3942" s="1">
        <v>102218</v>
      </c>
      <c r="F3942" s="6" t="s">
        <v>5944</v>
      </c>
      <c r="G3942" s="15" t="str">
        <f>VLOOKUP(A3942,Movie!A:D,4,FALSE)</f>
        <v>Lionsgate</v>
      </c>
      <c r="H3942" s="14">
        <f>VLOOKUP(E3942,'Rental Transaction'!A:B,2,FALSE)</f>
        <v>628132</v>
      </c>
      <c r="I3942">
        <f t="shared" si="61"/>
        <v>2013</v>
      </c>
    </row>
    <row r="3943" spans="1:9">
      <c r="A3943" s="1">
        <v>10216</v>
      </c>
      <c r="B3943" s="1">
        <v>6</v>
      </c>
      <c r="C3943" s="2">
        <v>41547</v>
      </c>
      <c r="D3943" s="1" t="s">
        <v>2002</v>
      </c>
      <c r="E3943" s="1">
        <v>102218</v>
      </c>
      <c r="F3943" s="6" t="s">
        <v>5945</v>
      </c>
      <c r="G3943" s="15" t="str">
        <f>VLOOKUP(A3943,Movie!A:D,4,FALSE)</f>
        <v>Sony</v>
      </c>
      <c r="H3943" s="14">
        <f>VLOOKUP(E3943,'Rental Transaction'!A:B,2,FALSE)</f>
        <v>628132</v>
      </c>
      <c r="I3943">
        <f t="shared" si="61"/>
        <v>2013</v>
      </c>
    </row>
    <row r="3944" spans="1:9">
      <c r="A3944" s="1">
        <v>10017</v>
      </c>
      <c r="B3944" s="1">
        <v>8</v>
      </c>
      <c r="C3944" s="2">
        <v>41547</v>
      </c>
      <c r="D3944" s="1" t="s">
        <v>2005</v>
      </c>
      <c r="E3944" s="1">
        <v>102219</v>
      </c>
      <c r="F3944" s="6" t="s">
        <v>5946</v>
      </c>
      <c r="G3944" s="15" t="str">
        <f>VLOOKUP(A3944,Movie!A:D,4,FALSE)</f>
        <v>Sony</v>
      </c>
      <c r="H3944" s="14">
        <f>VLOOKUP(E3944,'Rental Transaction'!A:B,2,FALSE)</f>
        <v>332324</v>
      </c>
      <c r="I3944">
        <f t="shared" si="61"/>
        <v>2013</v>
      </c>
    </row>
    <row r="3945" spans="1:9">
      <c r="A3945" s="1">
        <v>10061</v>
      </c>
      <c r="B3945" s="1">
        <v>2</v>
      </c>
      <c r="C3945" s="2">
        <v>41547</v>
      </c>
      <c r="D3945" s="1" t="s">
        <v>2002</v>
      </c>
      <c r="E3945" s="1">
        <v>102220</v>
      </c>
      <c r="F3945" s="6" t="s">
        <v>5947</v>
      </c>
      <c r="G3945" s="15" t="str">
        <f>VLOOKUP(A3945,Movie!A:D,4,FALSE)</f>
        <v>Fox</v>
      </c>
      <c r="H3945" s="14">
        <f>VLOOKUP(E3945,'Rental Transaction'!A:B,2,FALSE)</f>
        <v>143878</v>
      </c>
      <c r="I3945">
        <f t="shared" si="61"/>
        <v>2013</v>
      </c>
    </row>
    <row r="3946" spans="1:9">
      <c r="A3946" s="1">
        <v>10131</v>
      </c>
      <c r="B3946" s="1">
        <v>10</v>
      </c>
      <c r="C3946" s="2">
        <v>41547</v>
      </c>
      <c r="D3946" s="1" t="s">
        <v>2002</v>
      </c>
      <c r="E3946" s="1">
        <v>102221</v>
      </c>
      <c r="F3946" s="6" t="s">
        <v>5948</v>
      </c>
      <c r="G3946" s="15" t="str">
        <f>VLOOKUP(A3946,Movie!A:D,4,FALSE)</f>
        <v>Warner Brothers</v>
      </c>
      <c r="H3946" s="14">
        <f>VLOOKUP(E3946,'Rental Transaction'!A:B,2,FALSE)</f>
        <v>739669</v>
      </c>
      <c r="I3946">
        <f t="shared" si="61"/>
        <v>2013</v>
      </c>
    </row>
    <row r="3947" spans="1:9">
      <c r="A3947" s="1">
        <v>10229</v>
      </c>
      <c r="B3947" s="1">
        <v>8</v>
      </c>
      <c r="C3947" s="2">
        <v>41547</v>
      </c>
      <c r="D3947" s="1" t="s">
        <v>2005</v>
      </c>
      <c r="E3947" s="1">
        <v>102222</v>
      </c>
      <c r="F3947" s="6" t="s">
        <v>5949</v>
      </c>
      <c r="G3947" s="15" t="str">
        <f>VLOOKUP(A3947,Movie!A:D,4,FALSE)</f>
        <v>TriStar</v>
      </c>
      <c r="H3947" s="14">
        <f>VLOOKUP(E3947,'Rental Transaction'!A:B,2,FALSE)</f>
        <v>147218</v>
      </c>
      <c r="I3947">
        <f t="shared" si="61"/>
        <v>2013</v>
      </c>
    </row>
    <row r="3948" spans="1:9">
      <c r="A3948" s="1">
        <v>10089</v>
      </c>
      <c r="B3948" s="1">
        <v>1</v>
      </c>
      <c r="C3948" s="2">
        <v>41547</v>
      </c>
      <c r="D3948" s="1" t="s">
        <v>2002</v>
      </c>
      <c r="E3948" s="1">
        <v>102222</v>
      </c>
      <c r="F3948" s="6" t="s">
        <v>5950</v>
      </c>
      <c r="G3948" s="15" t="str">
        <f>VLOOKUP(A3948,Movie!A:D,4,FALSE)</f>
        <v>Sony</v>
      </c>
      <c r="H3948" s="14">
        <f>VLOOKUP(E3948,'Rental Transaction'!A:B,2,FALSE)</f>
        <v>147218</v>
      </c>
      <c r="I3948">
        <f t="shared" si="61"/>
        <v>2013</v>
      </c>
    </row>
    <row r="3949" spans="1:9">
      <c r="A3949" s="1">
        <v>10216</v>
      </c>
      <c r="B3949" s="1">
        <v>9</v>
      </c>
      <c r="C3949" s="2">
        <v>41548</v>
      </c>
      <c r="D3949" s="1" t="s">
        <v>2002</v>
      </c>
      <c r="E3949" s="1">
        <v>102223</v>
      </c>
      <c r="F3949" s="6" t="s">
        <v>5951</v>
      </c>
      <c r="G3949" s="15" t="str">
        <f>VLOOKUP(A3949,Movie!A:D,4,FALSE)</f>
        <v>Sony</v>
      </c>
      <c r="H3949" s="14">
        <f>VLOOKUP(E3949,'Rental Transaction'!A:B,2,FALSE)</f>
        <v>951702</v>
      </c>
      <c r="I3949">
        <f t="shared" si="61"/>
        <v>2013</v>
      </c>
    </row>
    <row r="3950" spans="1:9">
      <c r="A3950" s="1">
        <v>10030</v>
      </c>
      <c r="B3950" s="1">
        <v>10</v>
      </c>
      <c r="C3950" s="2">
        <v>41547</v>
      </c>
      <c r="D3950" s="1" t="s">
        <v>2005</v>
      </c>
      <c r="E3950" s="1">
        <v>102224</v>
      </c>
      <c r="F3950" s="6" t="s">
        <v>5952</v>
      </c>
      <c r="G3950" s="15" t="str">
        <f>VLOOKUP(A3950,Movie!A:D,4,FALSE)</f>
        <v>Warner Brothers</v>
      </c>
      <c r="H3950" s="14">
        <f>VLOOKUP(E3950,'Rental Transaction'!A:B,2,FALSE)</f>
        <v>205878</v>
      </c>
      <c r="I3950">
        <f t="shared" si="61"/>
        <v>2013</v>
      </c>
    </row>
    <row r="3951" spans="1:9">
      <c r="A3951" s="1">
        <v>10137</v>
      </c>
      <c r="B3951" s="1">
        <v>10</v>
      </c>
      <c r="C3951" s="2">
        <v>41547</v>
      </c>
      <c r="D3951" s="1" t="s">
        <v>2005</v>
      </c>
      <c r="E3951" s="1">
        <v>102224</v>
      </c>
      <c r="F3951" s="6" t="s">
        <v>5953</v>
      </c>
      <c r="G3951" s="15" t="str">
        <f>VLOOKUP(A3951,Movie!A:D,4,FALSE)</f>
        <v>Buena Vista</v>
      </c>
      <c r="H3951" s="14">
        <f>VLOOKUP(E3951,'Rental Transaction'!A:B,2,FALSE)</f>
        <v>205878</v>
      </c>
      <c r="I3951">
        <f t="shared" si="61"/>
        <v>2013</v>
      </c>
    </row>
    <row r="3952" spans="1:9">
      <c r="A3952" s="1">
        <v>10299</v>
      </c>
      <c r="B3952" s="1">
        <v>6</v>
      </c>
      <c r="C3952" s="2">
        <v>41547</v>
      </c>
      <c r="D3952" s="1" t="s">
        <v>2005</v>
      </c>
      <c r="E3952" s="1">
        <v>102225</v>
      </c>
      <c r="F3952" s="6" t="s">
        <v>5954</v>
      </c>
      <c r="G3952" s="15" t="str">
        <f>VLOOKUP(A3952,Movie!A:D,4,FALSE)</f>
        <v>Radius-TWC</v>
      </c>
      <c r="H3952" s="14">
        <f>VLOOKUP(E3952,'Rental Transaction'!A:B,2,FALSE)</f>
        <v>627324</v>
      </c>
      <c r="I3952">
        <f t="shared" si="61"/>
        <v>2013</v>
      </c>
    </row>
    <row r="3953" spans="1:9">
      <c r="A3953" s="1">
        <v>10024</v>
      </c>
      <c r="B3953" s="1">
        <v>5</v>
      </c>
      <c r="C3953" s="2">
        <v>41547</v>
      </c>
      <c r="D3953" s="1" t="s">
        <v>2005</v>
      </c>
      <c r="E3953" s="1">
        <v>102226</v>
      </c>
      <c r="F3953" s="6" t="s">
        <v>5955</v>
      </c>
      <c r="G3953" s="15" t="str">
        <f>VLOOKUP(A3953,Movie!A:D,4,FALSE)</f>
        <v>Fox</v>
      </c>
      <c r="H3953" s="14">
        <f>VLOOKUP(E3953,'Rental Transaction'!A:B,2,FALSE)</f>
        <v>166735</v>
      </c>
      <c r="I3953">
        <f t="shared" si="61"/>
        <v>2013</v>
      </c>
    </row>
    <row r="3954" spans="1:9">
      <c r="A3954" s="1">
        <v>10130</v>
      </c>
      <c r="B3954" s="1">
        <v>9</v>
      </c>
      <c r="C3954" s="2">
        <v>41548</v>
      </c>
      <c r="D3954" s="1" t="s">
        <v>2002</v>
      </c>
      <c r="E3954" s="1">
        <v>102226</v>
      </c>
      <c r="F3954" s="6" t="s">
        <v>5956</v>
      </c>
      <c r="G3954" s="15" t="str">
        <f>VLOOKUP(A3954,Movie!A:D,4,FALSE)</f>
        <v>A24</v>
      </c>
      <c r="H3954" s="14">
        <f>VLOOKUP(E3954,'Rental Transaction'!A:B,2,FALSE)</f>
        <v>166735</v>
      </c>
      <c r="I3954">
        <f t="shared" si="61"/>
        <v>2013</v>
      </c>
    </row>
    <row r="3955" spans="1:9">
      <c r="A3955" s="1">
        <v>10032</v>
      </c>
      <c r="B3955" s="1">
        <v>7</v>
      </c>
      <c r="C3955" s="2">
        <v>41547</v>
      </c>
      <c r="D3955" s="1" t="s">
        <v>2002</v>
      </c>
      <c r="E3955" s="1">
        <v>102226</v>
      </c>
      <c r="F3955" s="6" t="s">
        <v>5957</v>
      </c>
      <c r="G3955" s="15" t="str">
        <f>VLOOKUP(A3955,Movie!A:D,4,FALSE)</f>
        <v>Sony</v>
      </c>
      <c r="H3955" s="14">
        <f>VLOOKUP(E3955,'Rental Transaction'!A:B,2,FALSE)</f>
        <v>166735</v>
      </c>
      <c r="I3955">
        <f t="shared" si="61"/>
        <v>2013</v>
      </c>
    </row>
    <row r="3956" spans="1:9">
      <c r="A3956" s="1">
        <v>10175</v>
      </c>
      <c r="B3956" s="1">
        <v>8</v>
      </c>
      <c r="C3956" s="2">
        <v>41548</v>
      </c>
      <c r="D3956" s="1" t="s">
        <v>2002</v>
      </c>
      <c r="E3956" s="1">
        <v>102226</v>
      </c>
      <c r="F3956" s="6" t="s">
        <v>5958</v>
      </c>
      <c r="G3956" s="15" t="str">
        <f>VLOOKUP(A3956,Movie!A:D,4,FALSE)</f>
        <v>Buena Vista</v>
      </c>
      <c r="H3956" s="14">
        <f>VLOOKUP(E3956,'Rental Transaction'!A:B,2,FALSE)</f>
        <v>166735</v>
      </c>
      <c r="I3956">
        <f t="shared" si="61"/>
        <v>2013</v>
      </c>
    </row>
    <row r="3957" spans="1:9">
      <c r="A3957" s="1">
        <v>10234</v>
      </c>
      <c r="B3957" s="1">
        <v>7</v>
      </c>
      <c r="C3957" s="2">
        <v>41547</v>
      </c>
      <c r="D3957" s="1" t="s">
        <v>2005</v>
      </c>
      <c r="E3957" s="1">
        <v>102227</v>
      </c>
      <c r="F3957" s="6" t="s">
        <v>5959</v>
      </c>
      <c r="G3957" s="15" t="str">
        <f>VLOOKUP(A3957,Movie!A:D,4,FALSE)</f>
        <v>Warner Brothers</v>
      </c>
      <c r="H3957" s="14">
        <f>VLOOKUP(E3957,'Rental Transaction'!A:B,2,FALSE)</f>
        <v>147218</v>
      </c>
      <c r="I3957">
        <f t="shared" si="61"/>
        <v>2013</v>
      </c>
    </row>
    <row r="3958" spans="1:9">
      <c r="A3958" s="1">
        <v>10199</v>
      </c>
      <c r="B3958" s="1">
        <v>9</v>
      </c>
      <c r="C3958" s="2">
        <v>41547</v>
      </c>
      <c r="D3958" s="1" t="s">
        <v>2002</v>
      </c>
      <c r="E3958" s="1">
        <v>102228</v>
      </c>
      <c r="F3958" s="6" t="s">
        <v>5960</v>
      </c>
      <c r="G3958" s="15" t="str">
        <f>VLOOKUP(A3958,Movie!A:D,4,FALSE)</f>
        <v>Lionsgate</v>
      </c>
      <c r="H3958" s="14">
        <f>VLOOKUP(E3958,'Rental Transaction'!A:B,2,FALSE)</f>
        <v>157695</v>
      </c>
      <c r="I3958">
        <f t="shared" si="61"/>
        <v>2013</v>
      </c>
    </row>
    <row r="3959" spans="1:9">
      <c r="A3959" s="1">
        <v>10242</v>
      </c>
      <c r="B3959" s="1">
        <v>2</v>
      </c>
      <c r="C3959" s="2">
        <v>41549</v>
      </c>
      <c r="D3959" s="1" t="s">
        <v>2002</v>
      </c>
      <c r="E3959" s="1">
        <v>102228</v>
      </c>
      <c r="F3959" s="6" t="s">
        <v>5961</v>
      </c>
      <c r="G3959" s="15" t="str">
        <f>VLOOKUP(A3959,Movie!A:D,4,FALSE)</f>
        <v>Buena Vista</v>
      </c>
      <c r="H3959" s="14">
        <f>VLOOKUP(E3959,'Rental Transaction'!A:B,2,FALSE)</f>
        <v>157695</v>
      </c>
      <c r="I3959">
        <f t="shared" si="61"/>
        <v>2013</v>
      </c>
    </row>
    <row r="3960" spans="1:9">
      <c r="A3960" s="1">
        <v>10228</v>
      </c>
      <c r="B3960" s="1">
        <v>8</v>
      </c>
      <c r="C3960" s="2">
        <v>41547</v>
      </c>
      <c r="D3960" s="1" t="s">
        <v>2002</v>
      </c>
      <c r="E3960" s="1">
        <v>102229</v>
      </c>
      <c r="F3960" s="6" t="s">
        <v>5962</v>
      </c>
      <c r="G3960" s="15" t="str">
        <f>VLOOKUP(A3960,Movie!A:D,4,FALSE)</f>
        <v>Universal</v>
      </c>
      <c r="H3960" s="14">
        <f>VLOOKUP(E3960,'Rental Transaction'!A:B,2,FALSE)</f>
        <v>373200</v>
      </c>
      <c r="I3960">
        <f t="shared" si="61"/>
        <v>2013</v>
      </c>
    </row>
    <row r="3961" spans="1:9" ht="29.25">
      <c r="A3961" s="1">
        <v>10121</v>
      </c>
      <c r="B3961" s="1">
        <v>1</v>
      </c>
      <c r="C3961" s="2">
        <v>41548</v>
      </c>
      <c r="D3961" s="1" t="s">
        <v>2002</v>
      </c>
      <c r="E3961" s="1">
        <v>102229</v>
      </c>
      <c r="F3961" s="6" t="s">
        <v>5963</v>
      </c>
      <c r="G3961" s="15" t="str">
        <f>VLOOKUP(A3961,Movie!A:D,4,FALSE)</f>
        <v>Weinstein Company</v>
      </c>
      <c r="H3961" s="14">
        <f>VLOOKUP(E3961,'Rental Transaction'!A:B,2,FALSE)</f>
        <v>373200</v>
      </c>
      <c r="I3961">
        <f t="shared" si="61"/>
        <v>2013</v>
      </c>
    </row>
    <row r="3962" spans="1:9">
      <c r="A3962" s="1">
        <v>10147</v>
      </c>
      <c r="B3962" s="1">
        <v>3</v>
      </c>
      <c r="C3962" s="2">
        <v>41547</v>
      </c>
      <c r="D3962" s="1" t="s">
        <v>2002</v>
      </c>
      <c r="E3962" s="1">
        <v>102229</v>
      </c>
      <c r="F3962" s="6" t="s">
        <v>5964</v>
      </c>
      <c r="G3962" s="15" t="str">
        <f>VLOOKUP(A3962,Movie!A:D,4,FALSE)</f>
        <v>Lionsgate</v>
      </c>
      <c r="H3962" s="14">
        <f>VLOOKUP(E3962,'Rental Transaction'!A:B,2,FALSE)</f>
        <v>373200</v>
      </c>
      <c r="I3962">
        <f t="shared" si="61"/>
        <v>2013</v>
      </c>
    </row>
    <row r="3963" spans="1:9">
      <c r="A3963" s="1">
        <v>10292</v>
      </c>
      <c r="B3963" s="1">
        <v>6</v>
      </c>
      <c r="C3963" s="2">
        <v>41547</v>
      </c>
      <c r="D3963" s="1" t="s">
        <v>2005</v>
      </c>
      <c r="E3963" s="1">
        <v>102229</v>
      </c>
      <c r="F3963" s="6" t="s">
        <v>5965</v>
      </c>
      <c r="G3963" s="15" t="str">
        <f>VLOOKUP(A3963,Movie!A:D,4,FALSE)</f>
        <v>Sony Classics</v>
      </c>
      <c r="H3963" s="14">
        <f>VLOOKUP(E3963,'Rental Transaction'!A:B,2,FALSE)</f>
        <v>373200</v>
      </c>
      <c r="I3963">
        <f t="shared" si="61"/>
        <v>2013</v>
      </c>
    </row>
    <row r="3964" spans="1:9">
      <c r="A3964" s="1">
        <v>10170</v>
      </c>
      <c r="B3964" s="1">
        <v>7</v>
      </c>
      <c r="C3964" s="2">
        <v>41547</v>
      </c>
      <c r="D3964" s="1" t="s">
        <v>2005</v>
      </c>
      <c r="E3964" s="1">
        <v>102230</v>
      </c>
      <c r="F3964" s="6" t="s">
        <v>5966</v>
      </c>
      <c r="G3964" s="15" t="str">
        <f>VLOOKUP(A3964,Movie!A:D,4,FALSE)</f>
        <v>Sony Classics</v>
      </c>
      <c r="H3964" s="14">
        <f>VLOOKUP(E3964,'Rental Transaction'!A:B,2,FALSE)</f>
        <v>200272</v>
      </c>
      <c r="I3964">
        <f t="shared" si="61"/>
        <v>2013</v>
      </c>
    </row>
    <row r="3965" spans="1:9" ht="29.25">
      <c r="A3965" s="1">
        <v>10285</v>
      </c>
      <c r="B3965" s="1">
        <v>2</v>
      </c>
      <c r="C3965" s="2">
        <v>41547</v>
      </c>
      <c r="D3965" s="1" t="s">
        <v>2002</v>
      </c>
      <c r="E3965" s="1">
        <v>102230</v>
      </c>
      <c r="F3965" s="6" t="s">
        <v>5967</v>
      </c>
      <c r="G3965" s="15" t="str">
        <f>VLOOKUP(A3965,Movie!A:D,4,FALSE)</f>
        <v>Roadside Attractions</v>
      </c>
      <c r="H3965" s="14">
        <f>VLOOKUP(E3965,'Rental Transaction'!A:B,2,FALSE)</f>
        <v>200272</v>
      </c>
      <c r="I3965">
        <f t="shared" si="61"/>
        <v>2013</v>
      </c>
    </row>
    <row r="3966" spans="1:9">
      <c r="A3966" s="1">
        <v>10201</v>
      </c>
      <c r="B3966" s="1">
        <v>1</v>
      </c>
      <c r="C3966" s="2">
        <v>41550</v>
      </c>
      <c r="D3966" s="1" t="s">
        <v>2005</v>
      </c>
      <c r="E3966" s="1">
        <v>102231</v>
      </c>
      <c r="F3966" s="6" t="s">
        <v>5968</v>
      </c>
      <c r="G3966" s="15" t="str">
        <f>VLOOKUP(A3966,Movie!A:D,4,FALSE)</f>
        <v>Screen Gems</v>
      </c>
      <c r="H3966" s="14">
        <f>VLOOKUP(E3966,'Rental Transaction'!A:B,2,FALSE)</f>
        <v>373200</v>
      </c>
      <c r="I3966">
        <f t="shared" si="61"/>
        <v>2013</v>
      </c>
    </row>
    <row r="3967" spans="1:9">
      <c r="A3967" s="1">
        <v>10275</v>
      </c>
      <c r="B3967" s="1">
        <v>7</v>
      </c>
      <c r="C3967" s="2">
        <v>41548</v>
      </c>
      <c r="D3967" s="1" t="s">
        <v>2002</v>
      </c>
      <c r="E3967" s="1">
        <v>102231</v>
      </c>
      <c r="F3967" s="6" t="s">
        <v>5969</v>
      </c>
      <c r="G3967" s="15" t="str">
        <f>VLOOKUP(A3967,Movie!A:D,4,FALSE)</f>
        <v>Lionsgate</v>
      </c>
      <c r="H3967" s="14">
        <f>VLOOKUP(E3967,'Rental Transaction'!A:B,2,FALSE)</f>
        <v>373200</v>
      </c>
      <c r="I3967">
        <f t="shared" si="61"/>
        <v>2013</v>
      </c>
    </row>
    <row r="3968" spans="1:9">
      <c r="A3968" s="1">
        <v>10058</v>
      </c>
      <c r="B3968" s="1">
        <v>10</v>
      </c>
      <c r="C3968" s="2">
        <v>41548</v>
      </c>
      <c r="D3968" s="1" t="s">
        <v>2002</v>
      </c>
      <c r="E3968" s="1">
        <v>102232</v>
      </c>
      <c r="F3968" s="6" t="s">
        <v>5970</v>
      </c>
      <c r="G3968" s="15" t="str">
        <f>VLOOKUP(A3968,Movie!A:D,4,FALSE)</f>
        <v>Sony</v>
      </c>
      <c r="H3968" s="14">
        <f>VLOOKUP(E3968,'Rental Transaction'!A:B,2,FALSE)</f>
        <v>242720</v>
      </c>
      <c r="I3968">
        <f t="shared" si="61"/>
        <v>2013</v>
      </c>
    </row>
    <row r="3969" spans="1:9">
      <c r="A3969" s="1">
        <v>10150</v>
      </c>
      <c r="B3969" s="1">
        <v>10</v>
      </c>
      <c r="C3969" s="2">
        <v>41548</v>
      </c>
      <c r="D3969" s="1" t="s">
        <v>2002</v>
      </c>
      <c r="E3969" s="1">
        <v>102233</v>
      </c>
      <c r="F3969" s="6" t="s">
        <v>5971</v>
      </c>
      <c r="G3969" s="15" t="str">
        <f>VLOOKUP(A3969,Movie!A:D,4,FALSE)</f>
        <v>Focus</v>
      </c>
      <c r="H3969" s="14">
        <f>VLOOKUP(E3969,'Rental Transaction'!A:B,2,FALSE)</f>
        <v>550824</v>
      </c>
      <c r="I3969">
        <f t="shared" si="61"/>
        <v>2013</v>
      </c>
    </row>
    <row r="3970" spans="1:9">
      <c r="A3970" s="1">
        <v>10012</v>
      </c>
      <c r="B3970" s="1">
        <v>10</v>
      </c>
      <c r="C3970" s="2">
        <v>41548</v>
      </c>
      <c r="D3970" s="1" t="s">
        <v>2005</v>
      </c>
      <c r="E3970" s="1">
        <v>102233</v>
      </c>
      <c r="F3970" s="6" t="s">
        <v>5972</v>
      </c>
      <c r="G3970" s="15" t="str">
        <f>VLOOKUP(A3970,Movie!A:D,4,FALSE)</f>
        <v>Buena Vista</v>
      </c>
      <c r="H3970" s="14">
        <f>VLOOKUP(E3970,'Rental Transaction'!A:B,2,FALSE)</f>
        <v>550824</v>
      </c>
      <c r="I3970">
        <f t="shared" si="61"/>
        <v>2013</v>
      </c>
    </row>
    <row r="3971" spans="1:9">
      <c r="A3971" s="1">
        <v>10191</v>
      </c>
      <c r="B3971" s="1">
        <v>8</v>
      </c>
      <c r="C3971" s="2">
        <v>41549</v>
      </c>
      <c r="D3971" s="1" t="s">
        <v>2002</v>
      </c>
      <c r="E3971" s="1">
        <v>102234</v>
      </c>
      <c r="F3971" s="6" t="s">
        <v>5973</v>
      </c>
      <c r="G3971" s="15" t="str">
        <f>VLOOKUP(A3971,Movie!A:D,4,FALSE)</f>
        <v>Universal</v>
      </c>
      <c r="H3971" s="14">
        <f>VLOOKUP(E3971,'Rental Transaction'!A:B,2,FALSE)</f>
        <v>442691</v>
      </c>
      <c r="I3971">
        <f t="shared" ref="I3971:I4034" si="62">YEAR(C3971)</f>
        <v>2013</v>
      </c>
    </row>
    <row r="3972" spans="1:9">
      <c r="A3972" s="1">
        <v>10079</v>
      </c>
      <c r="B3972" s="1">
        <v>5</v>
      </c>
      <c r="C3972" s="2">
        <v>41549</v>
      </c>
      <c r="D3972" s="1" t="s">
        <v>2002</v>
      </c>
      <c r="E3972" s="1">
        <v>102235</v>
      </c>
      <c r="F3972" s="6" t="s">
        <v>5974</v>
      </c>
      <c r="G3972" s="15" t="str">
        <f>VLOOKUP(A3972,Movie!A:D,4,FALSE)</f>
        <v>Warner Brothers</v>
      </c>
      <c r="H3972" s="14">
        <f>VLOOKUP(E3972,'Rental Transaction'!A:B,2,FALSE)</f>
        <v>327750</v>
      </c>
      <c r="I3972">
        <f t="shared" si="62"/>
        <v>2013</v>
      </c>
    </row>
    <row r="3973" spans="1:9" ht="29.25">
      <c r="A3973" s="1">
        <v>10154</v>
      </c>
      <c r="B3973" s="1">
        <v>1</v>
      </c>
      <c r="C3973" s="2">
        <v>41548</v>
      </c>
      <c r="D3973" s="1" t="s">
        <v>2002</v>
      </c>
      <c r="E3973" s="1">
        <v>102236</v>
      </c>
      <c r="F3973" s="6" t="s">
        <v>5975</v>
      </c>
      <c r="G3973" s="15" t="str">
        <f>VLOOKUP(A3973,Movie!A:D,4,FALSE)</f>
        <v>Summit Entertainment</v>
      </c>
      <c r="H3973" s="14">
        <f>VLOOKUP(E3973,'Rental Transaction'!A:B,2,FALSE)</f>
        <v>659695</v>
      </c>
      <c r="I3973">
        <f t="shared" si="62"/>
        <v>2013</v>
      </c>
    </row>
    <row r="3974" spans="1:9">
      <c r="A3974" s="1">
        <v>10275</v>
      </c>
      <c r="B3974" s="1">
        <v>5</v>
      </c>
      <c r="C3974" s="2">
        <v>41550</v>
      </c>
      <c r="D3974" s="1" t="s">
        <v>2005</v>
      </c>
      <c r="E3974" s="1">
        <v>102236</v>
      </c>
      <c r="F3974" s="6" t="s">
        <v>5976</v>
      </c>
      <c r="G3974" s="15" t="str">
        <f>VLOOKUP(A3974,Movie!A:D,4,FALSE)</f>
        <v>Lionsgate</v>
      </c>
      <c r="H3974" s="14">
        <f>VLOOKUP(E3974,'Rental Transaction'!A:B,2,FALSE)</f>
        <v>659695</v>
      </c>
      <c r="I3974">
        <f t="shared" si="62"/>
        <v>2013</v>
      </c>
    </row>
    <row r="3975" spans="1:9" ht="29.25">
      <c r="A3975" s="1">
        <v>10249</v>
      </c>
      <c r="B3975" s="1">
        <v>10</v>
      </c>
      <c r="C3975" s="2">
        <v>41548</v>
      </c>
      <c r="D3975" s="1" t="s">
        <v>2002</v>
      </c>
      <c r="E3975" s="1">
        <v>102236</v>
      </c>
      <c r="F3975" s="6" t="s">
        <v>5977</v>
      </c>
      <c r="G3975" s="15" t="str">
        <f>VLOOKUP(A3975,Movie!A:D,4,FALSE)</f>
        <v>Summit Entertainment</v>
      </c>
      <c r="H3975" s="14">
        <f>VLOOKUP(E3975,'Rental Transaction'!A:B,2,FALSE)</f>
        <v>659695</v>
      </c>
      <c r="I3975">
        <f t="shared" si="62"/>
        <v>2013</v>
      </c>
    </row>
    <row r="3976" spans="1:9">
      <c r="A3976" s="1">
        <v>10124</v>
      </c>
      <c r="B3976" s="1">
        <v>5</v>
      </c>
      <c r="C3976" s="2">
        <v>41550</v>
      </c>
      <c r="D3976" s="1" t="s">
        <v>2002</v>
      </c>
      <c r="E3976" s="1">
        <v>102237</v>
      </c>
      <c r="F3976" s="6" t="s">
        <v>5978</v>
      </c>
      <c r="G3976" s="15" t="str">
        <f>VLOOKUP(A3976,Movie!A:D,4,FALSE)</f>
        <v>Paramount</v>
      </c>
      <c r="H3976" s="14">
        <f>VLOOKUP(E3976,'Rental Transaction'!A:B,2,FALSE)</f>
        <v>941876</v>
      </c>
      <c r="I3976">
        <f t="shared" si="62"/>
        <v>2013</v>
      </c>
    </row>
    <row r="3977" spans="1:9">
      <c r="A3977" s="1">
        <v>10007</v>
      </c>
      <c r="B3977" s="1">
        <v>5</v>
      </c>
      <c r="C3977" s="2">
        <v>41548</v>
      </c>
      <c r="D3977" s="1" t="s">
        <v>2002</v>
      </c>
      <c r="E3977" s="1">
        <v>102237</v>
      </c>
      <c r="F3977" s="6" t="s">
        <v>5979</v>
      </c>
      <c r="G3977" s="15" t="str">
        <f>VLOOKUP(A3977,Movie!A:D,4,FALSE)</f>
        <v>Sony</v>
      </c>
      <c r="H3977" s="14">
        <f>VLOOKUP(E3977,'Rental Transaction'!A:B,2,FALSE)</f>
        <v>941876</v>
      </c>
      <c r="I3977">
        <f t="shared" si="62"/>
        <v>2013</v>
      </c>
    </row>
    <row r="3978" spans="1:9">
      <c r="A3978" s="1">
        <v>10039</v>
      </c>
      <c r="B3978" s="1">
        <v>2</v>
      </c>
      <c r="C3978" s="2">
        <v>41548</v>
      </c>
      <c r="D3978" s="1" t="s">
        <v>2005</v>
      </c>
      <c r="E3978" s="1">
        <v>102237</v>
      </c>
      <c r="F3978" s="6" t="s">
        <v>5980</v>
      </c>
      <c r="G3978" s="15" t="str">
        <f>VLOOKUP(A3978,Movie!A:D,4,FALSE)</f>
        <v>Open Road Films</v>
      </c>
      <c r="H3978" s="14">
        <f>VLOOKUP(E3978,'Rental Transaction'!A:B,2,FALSE)</f>
        <v>941876</v>
      </c>
      <c r="I3978">
        <f t="shared" si="62"/>
        <v>2013</v>
      </c>
    </row>
    <row r="3979" spans="1:9">
      <c r="A3979" s="1">
        <v>10277</v>
      </c>
      <c r="B3979" s="1">
        <v>9</v>
      </c>
      <c r="C3979" s="2">
        <v>41548</v>
      </c>
      <c r="D3979" s="1" t="s">
        <v>2005</v>
      </c>
      <c r="E3979" s="1">
        <v>102238</v>
      </c>
      <c r="F3979" s="6" t="s">
        <v>5981</v>
      </c>
      <c r="G3979" s="15" t="str">
        <f>VLOOKUP(A3979,Movie!A:D,4,FALSE)</f>
        <v>Universal</v>
      </c>
      <c r="H3979" s="14">
        <f>VLOOKUP(E3979,'Rental Transaction'!A:B,2,FALSE)</f>
        <v>994269</v>
      </c>
      <c r="I3979">
        <f t="shared" si="62"/>
        <v>2013</v>
      </c>
    </row>
    <row r="3980" spans="1:9">
      <c r="A3980" s="1">
        <v>10068</v>
      </c>
      <c r="B3980" s="1">
        <v>7</v>
      </c>
      <c r="C3980" s="2">
        <v>41548</v>
      </c>
      <c r="D3980" s="1" t="s">
        <v>2002</v>
      </c>
      <c r="E3980" s="1">
        <v>102238</v>
      </c>
      <c r="F3980" s="6" t="s">
        <v>5982</v>
      </c>
      <c r="G3980" s="15" t="str">
        <f>VLOOKUP(A3980,Movie!A:D,4,FALSE)</f>
        <v>Warner Brothers</v>
      </c>
      <c r="H3980" s="14">
        <f>VLOOKUP(E3980,'Rental Transaction'!A:B,2,FALSE)</f>
        <v>994269</v>
      </c>
      <c r="I3980">
        <f t="shared" si="62"/>
        <v>2013</v>
      </c>
    </row>
    <row r="3981" spans="1:9">
      <c r="A3981" s="1">
        <v>10072</v>
      </c>
      <c r="B3981" s="1">
        <v>1</v>
      </c>
      <c r="C3981" s="2">
        <v>41548</v>
      </c>
      <c r="D3981" s="1" t="s">
        <v>2005</v>
      </c>
      <c r="E3981" s="1">
        <v>102239</v>
      </c>
      <c r="F3981" s="6" t="s">
        <v>5983</v>
      </c>
      <c r="G3981" s="15" t="str">
        <f>VLOOKUP(A3981,Movie!A:D,4,FALSE)</f>
        <v>Paramount</v>
      </c>
      <c r="H3981" s="14">
        <f>VLOOKUP(E3981,'Rental Transaction'!A:B,2,FALSE)</f>
        <v>568217</v>
      </c>
      <c r="I3981">
        <f t="shared" si="62"/>
        <v>2013</v>
      </c>
    </row>
    <row r="3982" spans="1:9">
      <c r="A3982" s="1">
        <v>10056</v>
      </c>
      <c r="B3982" s="1">
        <v>7</v>
      </c>
      <c r="C3982" s="2">
        <v>41548</v>
      </c>
      <c r="D3982" s="1" t="s">
        <v>2005</v>
      </c>
      <c r="E3982" s="1">
        <v>102240</v>
      </c>
      <c r="F3982" s="6" t="s">
        <v>5984</v>
      </c>
      <c r="G3982" s="15" t="str">
        <f>VLOOKUP(A3982,Movie!A:D,4,FALSE)</f>
        <v>Screen Gems</v>
      </c>
      <c r="H3982" s="14">
        <f>VLOOKUP(E3982,'Rental Transaction'!A:B,2,FALSE)</f>
        <v>941876</v>
      </c>
      <c r="I3982">
        <f t="shared" si="62"/>
        <v>2013</v>
      </c>
    </row>
    <row r="3983" spans="1:9">
      <c r="A3983" s="1">
        <v>10159</v>
      </c>
      <c r="B3983" s="1">
        <v>4</v>
      </c>
      <c r="C3983" s="2">
        <v>41549</v>
      </c>
      <c r="D3983" s="1" t="s">
        <v>2005</v>
      </c>
      <c r="E3983" s="1">
        <v>102240</v>
      </c>
      <c r="F3983" s="6" t="s">
        <v>5985</v>
      </c>
      <c r="G3983" s="15" t="str">
        <f>VLOOKUP(A3983,Movie!A:D,4,FALSE)</f>
        <v>Lionsgate</v>
      </c>
      <c r="H3983" s="14">
        <f>VLOOKUP(E3983,'Rental Transaction'!A:B,2,FALSE)</f>
        <v>941876</v>
      </c>
      <c r="I3983">
        <f t="shared" si="62"/>
        <v>2013</v>
      </c>
    </row>
    <row r="3984" spans="1:9">
      <c r="A3984" s="1">
        <v>10166</v>
      </c>
      <c r="B3984" s="1">
        <v>6</v>
      </c>
      <c r="C3984" s="2">
        <v>41549</v>
      </c>
      <c r="D3984" s="1" t="s">
        <v>2005</v>
      </c>
      <c r="E3984" s="1">
        <v>102241</v>
      </c>
      <c r="F3984" s="6" t="s">
        <v>5986</v>
      </c>
      <c r="G3984" s="15" t="str">
        <f>VLOOKUP(A3984,Movie!A:D,4,FALSE)</f>
        <v>Fox</v>
      </c>
      <c r="H3984" s="14">
        <f>VLOOKUP(E3984,'Rental Transaction'!A:B,2,FALSE)</f>
        <v>227456</v>
      </c>
      <c r="I3984">
        <f t="shared" si="62"/>
        <v>2013</v>
      </c>
    </row>
    <row r="3985" spans="1:9">
      <c r="A3985" s="1">
        <v>10097</v>
      </c>
      <c r="B3985" s="1">
        <v>1</v>
      </c>
      <c r="C3985" s="2">
        <v>41548</v>
      </c>
      <c r="D3985" s="1" t="s">
        <v>2005</v>
      </c>
      <c r="E3985" s="1">
        <v>102242</v>
      </c>
      <c r="F3985" s="6" t="s">
        <v>5987</v>
      </c>
      <c r="G3985" s="15" t="str">
        <f>VLOOKUP(A3985,Movie!A:D,4,FALSE)</f>
        <v>Screen Gems</v>
      </c>
      <c r="H3985" s="14">
        <f>VLOOKUP(E3985,'Rental Transaction'!A:B,2,FALSE)</f>
        <v>421074</v>
      </c>
      <c r="I3985">
        <f t="shared" si="62"/>
        <v>2013</v>
      </c>
    </row>
    <row r="3986" spans="1:9">
      <c r="A3986" s="1">
        <v>10051</v>
      </c>
      <c r="B3986" s="1">
        <v>7</v>
      </c>
      <c r="C3986" s="2">
        <v>41548</v>
      </c>
      <c r="D3986" s="1" t="s">
        <v>2005</v>
      </c>
      <c r="E3986" s="1">
        <v>102242</v>
      </c>
      <c r="F3986" s="6" t="s">
        <v>5988</v>
      </c>
      <c r="G3986" s="15" t="str">
        <f>VLOOKUP(A3986,Movie!A:D,4,FALSE)</f>
        <v>Paramount</v>
      </c>
      <c r="H3986" s="14">
        <f>VLOOKUP(E3986,'Rental Transaction'!A:B,2,FALSE)</f>
        <v>421074</v>
      </c>
      <c r="I3986">
        <f t="shared" si="62"/>
        <v>2013</v>
      </c>
    </row>
    <row r="3987" spans="1:9">
      <c r="A3987" s="1">
        <v>10260</v>
      </c>
      <c r="B3987" s="1">
        <v>1</v>
      </c>
      <c r="C3987" s="2">
        <v>41548</v>
      </c>
      <c r="D3987" s="1" t="s">
        <v>2002</v>
      </c>
      <c r="E3987" s="1">
        <v>102243</v>
      </c>
      <c r="F3987" s="6" t="s">
        <v>5989</v>
      </c>
      <c r="G3987" s="15" t="str">
        <f>VLOOKUP(A3987,Movie!A:D,4,FALSE)</f>
        <v>Sony</v>
      </c>
      <c r="H3987" s="14">
        <f>VLOOKUP(E3987,'Rental Transaction'!A:B,2,FALSE)</f>
        <v>327750</v>
      </c>
      <c r="I3987">
        <f t="shared" si="62"/>
        <v>2013</v>
      </c>
    </row>
    <row r="3988" spans="1:9">
      <c r="A3988" s="1">
        <v>10131</v>
      </c>
      <c r="B3988" s="1">
        <v>2</v>
      </c>
      <c r="C3988" s="2">
        <v>41548</v>
      </c>
      <c r="D3988" s="1" t="s">
        <v>2002</v>
      </c>
      <c r="E3988" s="1">
        <v>102243</v>
      </c>
      <c r="F3988" s="6" t="s">
        <v>5990</v>
      </c>
      <c r="G3988" s="15" t="str">
        <f>VLOOKUP(A3988,Movie!A:D,4,FALSE)</f>
        <v>Warner Brothers</v>
      </c>
      <c r="H3988" s="14">
        <f>VLOOKUP(E3988,'Rental Transaction'!A:B,2,FALSE)</f>
        <v>327750</v>
      </c>
      <c r="I3988">
        <f t="shared" si="62"/>
        <v>2013</v>
      </c>
    </row>
    <row r="3989" spans="1:9">
      <c r="A3989" s="1">
        <v>10247</v>
      </c>
      <c r="B3989" s="1">
        <v>7</v>
      </c>
      <c r="C3989" s="2">
        <v>41548</v>
      </c>
      <c r="D3989" s="1" t="s">
        <v>2002</v>
      </c>
      <c r="E3989" s="1">
        <v>102244</v>
      </c>
      <c r="F3989" s="6" t="s">
        <v>5991</v>
      </c>
      <c r="G3989" s="15" t="str">
        <f>VLOOKUP(A3989,Movie!A:D,4,FALSE)</f>
        <v>Fox</v>
      </c>
      <c r="H3989" s="14">
        <f>VLOOKUP(E3989,'Rental Transaction'!A:B,2,FALSE)</f>
        <v>806545</v>
      </c>
      <c r="I3989">
        <f t="shared" si="62"/>
        <v>2013</v>
      </c>
    </row>
    <row r="3990" spans="1:9" ht="29.25">
      <c r="A3990" s="1">
        <v>10164</v>
      </c>
      <c r="B3990" s="1">
        <v>10</v>
      </c>
      <c r="C3990" s="2">
        <v>41549</v>
      </c>
      <c r="D3990" s="1" t="s">
        <v>2002</v>
      </c>
      <c r="E3990" s="1">
        <v>102244</v>
      </c>
      <c r="F3990" s="6" t="s">
        <v>5992</v>
      </c>
      <c r="G3990" s="15" t="str">
        <f>VLOOKUP(A3990,Movie!A:D,4,FALSE)</f>
        <v>Weinstein Company</v>
      </c>
      <c r="H3990" s="14">
        <f>VLOOKUP(E3990,'Rental Transaction'!A:B,2,FALSE)</f>
        <v>806545</v>
      </c>
      <c r="I3990">
        <f t="shared" si="62"/>
        <v>2013</v>
      </c>
    </row>
    <row r="3991" spans="1:9">
      <c r="A3991" s="1">
        <v>10097</v>
      </c>
      <c r="B3991" s="1">
        <v>9</v>
      </c>
      <c r="C3991" s="2">
        <v>41548</v>
      </c>
      <c r="D3991" s="1" t="s">
        <v>2005</v>
      </c>
      <c r="E3991" s="1">
        <v>102245</v>
      </c>
      <c r="F3991" s="6" t="s">
        <v>5993</v>
      </c>
      <c r="G3991" s="15" t="str">
        <f>VLOOKUP(A3991,Movie!A:D,4,FALSE)</f>
        <v>Screen Gems</v>
      </c>
      <c r="H3991" s="14">
        <f>VLOOKUP(E3991,'Rental Transaction'!A:B,2,FALSE)</f>
        <v>191050</v>
      </c>
      <c r="I3991">
        <f t="shared" si="62"/>
        <v>2013</v>
      </c>
    </row>
    <row r="3992" spans="1:9">
      <c r="A3992" s="1">
        <v>10194</v>
      </c>
      <c r="B3992" s="1">
        <v>4</v>
      </c>
      <c r="C3992" s="2">
        <v>41548</v>
      </c>
      <c r="D3992" s="1" t="s">
        <v>2002</v>
      </c>
      <c r="E3992" s="1">
        <v>102246</v>
      </c>
      <c r="F3992" s="6" t="s">
        <v>5994</v>
      </c>
      <c r="G3992" s="15" t="str">
        <f>VLOOKUP(A3992,Movie!A:D,4,FALSE)</f>
        <v>FilmDistrict</v>
      </c>
      <c r="H3992" s="14">
        <f>VLOOKUP(E3992,'Rental Transaction'!A:B,2,FALSE)</f>
        <v>730305</v>
      </c>
      <c r="I3992">
        <f t="shared" si="62"/>
        <v>2013</v>
      </c>
    </row>
    <row r="3993" spans="1:9">
      <c r="A3993" s="1">
        <v>10265</v>
      </c>
      <c r="B3993" s="1">
        <v>5</v>
      </c>
      <c r="C3993" s="2">
        <v>41548</v>
      </c>
      <c r="D3993" s="1" t="s">
        <v>2002</v>
      </c>
      <c r="E3993" s="1">
        <v>102247</v>
      </c>
      <c r="F3993" s="6" t="s">
        <v>5995</v>
      </c>
      <c r="G3993" s="15" t="str">
        <f>VLOOKUP(A3993,Movie!A:D,4,FALSE)</f>
        <v>Warner Brothers</v>
      </c>
      <c r="H3993" s="14">
        <f>VLOOKUP(E3993,'Rental Transaction'!A:B,2,FALSE)</f>
        <v>730305</v>
      </c>
      <c r="I3993">
        <f t="shared" si="62"/>
        <v>2013</v>
      </c>
    </row>
    <row r="3994" spans="1:9">
      <c r="A3994" s="1">
        <v>10057</v>
      </c>
      <c r="B3994" s="1">
        <v>3</v>
      </c>
      <c r="C3994" s="2">
        <v>41549</v>
      </c>
      <c r="D3994" s="1" t="s">
        <v>2005</v>
      </c>
      <c r="E3994" s="1">
        <v>102247</v>
      </c>
      <c r="F3994" s="6" t="s">
        <v>5996</v>
      </c>
      <c r="G3994" s="15" t="str">
        <f>VLOOKUP(A3994,Movie!A:D,4,FALSE)</f>
        <v>Warner Brothers</v>
      </c>
      <c r="H3994" s="14">
        <f>VLOOKUP(E3994,'Rental Transaction'!A:B,2,FALSE)</f>
        <v>730305</v>
      </c>
      <c r="I3994">
        <f t="shared" si="62"/>
        <v>2013</v>
      </c>
    </row>
    <row r="3995" spans="1:9">
      <c r="A3995" s="1">
        <v>10107</v>
      </c>
      <c r="B3995" s="1">
        <v>10</v>
      </c>
      <c r="C3995" s="2">
        <v>41549</v>
      </c>
      <c r="D3995" s="1" t="s">
        <v>2005</v>
      </c>
      <c r="E3995" s="1">
        <v>102248</v>
      </c>
      <c r="F3995" s="6" t="s">
        <v>5997</v>
      </c>
      <c r="G3995" s="15" t="str">
        <f>VLOOKUP(A3995,Movie!A:D,4,FALSE)</f>
        <v>Universal</v>
      </c>
      <c r="H3995" s="14">
        <f>VLOOKUP(E3995,'Rental Transaction'!A:B,2,FALSE)</f>
        <v>235720</v>
      </c>
      <c r="I3995">
        <f t="shared" si="62"/>
        <v>2013</v>
      </c>
    </row>
    <row r="3996" spans="1:9">
      <c r="A3996" s="1">
        <v>10097</v>
      </c>
      <c r="B3996" s="1">
        <v>3</v>
      </c>
      <c r="C3996" s="2">
        <v>41548</v>
      </c>
      <c r="D3996" s="1" t="s">
        <v>2005</v>
      </c>
      <c r="E3996" s="1">
        <v>102249</v>
      </c>
      <c r="F3996" s="6" t="s">
        <v>5998</v>
      </c>
      <c r="G3996" s="15" t="str">
        <f>VLOOKUP(A3996,Movie!A:D,4,FALSE)</f>
        <v>Screen Gems</v>
      </c>
      <c r="H3996" s="14">
        <f>VLOOKUP(E3996,'Rental Transaction'!A:B,2,FALSE)</f>
        <v>353846</v>
      </c>
      <c r="I3996">
        <f t="shared" si="62"/>
        <v>2013</v>
      </c>
    </row>
    <row r="3997" spans="1:9">
      <c r="A3997" s="1">
        <v>10117</v>
      </c>
      <c r="B3997" s="1">
        <v>1</v>
      </c>
      <c r="C3997" s="2">
        <v>41548</v>
      </c>
      <c r="D3997" s="1" t="s">
        <v>2002</v>
      </c>
      <c r="E3997" s="1">
        <v>102249</v>
      </c>
      <c r="F3997" s="6" t="s">
        <v>5999</v>
      </c>
      <c r="G3997" s="15" t="str">
        <f>VLOOKUP(A3997,Movie!A:D,4,FALSE)</f>
        <v>Sony</v>
      </c>
      <c r="H3997" s="14">
        <f>VLOOKUP(E3997,'Rental Transaction'!A:B,2,FALSE)</f>
        <v>353846</v>
      </c>
      <c r="I3997">
        <f t="shared" si="62"/>
        <v>2013</v>
      </c>
    </row>
    <row r="3998" spans="1:9">
      <c r="A3998" s="1">
        <v>10265</v>
      </c>
      <c r="B3998" s="1">
        <v>5</v>
      </c>
      <c r="C3998" s="2">
        <v>41548</v>
      </c>
      <c r="D3998" s="1" t="s">
        <v>2002</v>
      </c>
      <c r="E3998" s="1">
        <v>102249</v>
      </c>
      <c r="F3998" s="6" t="s">
        <v>6000</v>
      </c>
      <c r="G3998" s="15" t="str">
        <f>VLOOKUP(A3998,Movie!A:D,4,FALSE)</f>
        <v>Warner Brothers</v>
      </c>
      <c r="H3998" s="14">
        <f>VLOOKUP(E3998,'Rental Transaction'!A:B,2,FALSE)</f>
        <v>353846</v>
      </c>
      <c r="I3998">
        <f t="shared" si="62"/>
        <v>2013</v>
      </c>
    </row>
    <row r="3999" spans="1:9">
      <c r="A3999" s="1">
        <v>10119</v>
      </c>
      <c r="B3999" s="1">
        <v>9</v>
      </c>
      <c r="C3999" s="2">
        <v>41548</v>
      </c>
      <c r="D3999" s="1" t="s">
        <v>2002</v>
      </c>
      <c r="E3999" s="1">
        <v>102250</v>
      </c>
      <c r="F3999" s="6" t="s">
        <v>6001</v>
      </c>
      <c r="G3999" s="15" t="str">
        <f>VLOOKUP(A3999,Movie!A:D,4,FALSE)</f>
        <v>Universal</v>
      </c>
      <c r="H3999" s="14">
        <f>VLOOKUP(E3999,'Rental Transaction'!A:B,2,FALSE)</f>
        <v>671101</v>
      </c>
      <c r="I3999">
        <f t="shared" si="62"/>
        <v>2013</v>
      </c>
    </row>
    <row r="4000" spans="1:9" ht="29.25">
      <c r="A4000" s="1">
        <v>10165</v>
      </c>
      <c r="B4000" s="1">
        <v>8</v>
      </c>
      <c r="C4000" s="2">
        <v>41548</v>
      </c>
      <c r="D4000" s="1" t="s">
        <v>2002</v>
      </c>
      <c r="E4000" s="1">
        <v>102250</v>
      </c>
      <c r="F4000" s="6" t="s">
        <v>6002</v>
      </c>
      <c r="G4000" s="15" t="str">
        <f>VLOOKUP(A4000,Movie!A:D,4,FALSE)</f>
        <v>Weinstein Company</v>
      </c>
      <c r="H4000" s="14">
        <f>VLOOKUP(E4000,'Rental Transaction'!A:B,2,FALSE)</f>
        <v>671101</v>
      </c>
      <c r="I4000">
        <f t="shared" si="62"/>
        <v>2013</v>
      </c>
    </row>
    <row r="4001" spans="1:9">
      <c r="A4001" s="1">
        <v>10091</v>
      </c>
      <c r="B4001" s="1">
        <v>7</v>
      </c>
      <c r="C4001" s="2">
        <v>41548</v>
      </c>
      <c r="D4001" s="1" t="s">
        <v>2005</v>
      </c>
      <c r="E4001" s="1">
        <v>102251</v>
      </c>
      <c r="F4001" s="6" t="s">
        <v>6003</v>
      </c>
      <c r="G4001" s="15" t="str">
        <f>VLOOKUP(A4001,Movie!A:D,4,FALSE)</f>
        <v>Warner Brothers</v>
      </c>
      <c r="H4001" s="14">
        <f>VLOOKUP(E4001,'Rental Transaction'!A:B,2,FALSE)</f>
        <v>866556</v>
      </c>
      <c r="I4001">
        <f t="shared" si="62"/>
        <v>2013</v>
      </c>
    </row>
    <row r="4002" spans="1:9">
      <c r="A4002" s="1">
        <v>10019</v>
      </c>
      <c r="B4002" s="1">
        <v>10</v>
      </c>
      <c r="C4002" s="2">
        <v>41548</v>
      </c>
      <c r="D4002" s="1" t="s">
        <v>2005</v>
      </c>
      <c r="E4002" s="1">
        <v>102251</v>
      </c>
      <c r="F4002" s="6" t="s">
        <v>6004</v>
      </c>
      <c r="G4002" s="15" t="str">
        <f>VLOOKUP(A4002,Movie!A:D,4,FALSE)</f>
        <v>Fox</v>
      </c>
      <c r="H4002" s="14">
        <f>VLOOKUP(E4002,'Rental Transaction'!A:B,2,FALSE)</f>
        <v>866556</v>
      </c>
      <c r="I4002">
        <f t="shared" si="62"/>
        <v>2013</v>
      </c>
    </row>
    <row r="4003" spans="1:9">
      <c r="A4003" s="1">
        <v>10225</v>
      </c>
      <c r="B4003" s="1">
        <v>5</v>
      </c>
      <c r="C4003" s="2">
        <v>41548</v>
      </c>
      <c r="D4003" s="1" t="s">
        <v>2005</v>
      </c>
      <c r="E4003" s="1">
        <v>102251</v>
      </c>
      <c r="F4003" s="6" t="s">
        <v>6005</v>
      </c>
      <c r="G4003" s="15" t="str">
        <f>VLOOKUP(A4003,Movie!A:D,4,FALSE)</f>
        <v>Warner Brothers</v>
      </c>
      <c r="H4003" s="14">
        <f>VLOOKUP(E4003,'Rental Transaction'!A:B,2,FALSE)</f>
        <v>866556</v>
      </c>
      <c r="I4003">
        <f t="shared" si="62"/>
        <v>2013</v>
      </c>
    </row>
    <row r="4004" spans="1:9">
      <c r="A4004" s="1">
        <v>10135</v>
      </c>
      <c r="B4004" s="1">
        <v>2</v>
      </c>
      <c r="C4004" s="2">
        <v>41549</v>
      </c>
      <c r="D4004" s="1" t="s">
        <v>2002</v>
      </c>
      <c r="E4004" s="1">
        <v>102252</v>
      </c>
      <c r="F4004" s="6" t="s">
        <v>6006</v>
      </c>
      <c r="G4004" s="15" t="str">
        <f>VLOOKUP(A4004,Movie!A:D,4,FALSE)</f>
        <v>Universal</v>
      </c>
      <c r="H4004" s="14">
        <f>VLOOKUP(E4004,'Rental Transaction'!A:B,2,FALSE)</f>
        <v>226909</v>
      </c>
      <c r="I4004">
        <f t="shared" si="62"/>
        <v>2013</v>
      </c>
    </row>
    <row r="4005" spans="1:9">
      <c r="A4005" s="1">
        <v>10181</v>
      </c>
      <c r="B4005" s="1">
        <v>4</v>
      </c>
      <c r="C4005" s="2">
        <v>41549</v>
      </c>
      <c r="D4005" s="1" t="s">
        <v>2002</v>
      </c>
      <c r="E4005" s="1">
        <v>102253</v>
      </c>
      <c r="F4005" s="6" t="s">
        <v>6007</v>
      </c>
      <c r="G4005" s="15" t="str">
        <f>VLOOKUP(A4005,Movie!A:D,4,FALSE)</f>
        <v>Fox</v>
      </c>
      <c r="H4005" s="14">
        <f>VLOOKUP(E4005,'Rental Transaction'!A:B,2,FALSE)</f>
        <v>739393</v>
      </c>
      <c r="I4005">
        <f t="shared" si="62"/>
        <v>2013</v>
      </c>
    </row>
    <row r="4006" spans="1:9" ht="29.25">
      <c r="A4006" s="1">
        <v>10246</v>
      </c>
      <c r="B4006" s="1">
        <v>9</v>
      </c>
      <c r="C4006" s="2">
        <v>41550</v>
      </c>
      <c r="D4006" s="1" t="s">
        <v>2002</v>
      </c>
      <c r="E4006" s="1">
        <v>102253</v>
      </c>
      <c r="F4006" s="6" t="s">
        <v>6008</v>
      </c>
      <c r="G4006" s="15" t="str">
        <f>VLOOKUP(A4006,Movie!A:D,4,FALSE)</f>
        <v>Weinstein Company</v>
      </c>
      <c r="H4006" s="14">
        <f>VLOOKUP(E4006,'Rental Transaction'!A:B,2,FALSE)</f>
        <v>739393</v>
      </c>
      <c r="I4006">
        <f t="shared" si="62"/>
        <v>2013</v>
      </c>
    </row>
    <row r="4007" spans="1:9">
      <c r="A4007" s="1">
        <v>10005</v>
      </c>
      <c r="B4007" s="1">
        <v>4</v>
      </c>
      <c r="C4007" s="2">
        <v>41549</v>
      </c>
      <c r="D4007" s="1" t="s">
        <v>2005</v>
      </c>
      <c r="E4007" s="1">
        <v>102253</v>
      </c>
      <c r="F4007" s="6" t="s">
        <v>6009</v>
      </c>
      <c r="G4007" s="15" t="str">
        <f>VLOOKUP(A4007,Movie!A:D,4,FALSE)</f>
        <v>Buena Vista</v>
      </c>
      <c r="H4007" s="14">
        <f>VLOOKUP(E4007,'Rental Transaction'!A:B,2,FALSE)</f>
        <v>739393</v>
      </c>
      <c r="I4007">
        <f t="shared" si="62"/>
        <v>2013</v>
      </c>
    </row>
    <row r="4008" spans="1:9">
      <c r="A4008" s="1">
        <v>10068</v>
      </c>
      <c r="B4008" s="1">
        <v>6</v>
      </c>
      <c r="C4008" s="2">
        <v>41549</v>
      </c>
      <c r="D4008" s="1" t="s">
        <v>2002</v>
      </c>
      <c r="E4008" s="1">
        <v>102254</v>
      </c>
      <c r="F4008" s="6" t="s">
        <v>6010</v>
      </c>
      <c r="G4008" s="15" t="str">
        <f>VLOOKUP(A4008,Movie!A:D,4,FALSE)</f>
        <v>Warner Brothers</v>
      </c>
      <c r="H4008" s="14">
        <f>VLOOKUP(E4008,'Rental Transaction'!A:B,2,FALSE)</f>
        <v>448739</v>
      </c>
      <c r="I4008">
        <f t="shared" si="62"/>
        <v>2013</v>
      </c>
    </row>
    <row r="4009" spans="1:9">
      <c r="A4009" s="1">
        <v>10004</v>
      </c>
      <c r="B4009" s="1">
        <v>6</v>
      </c>
      <c r="C4009" s="2">
        <v>41549</v>
      </c>
      <c r="D4009" s="1" t="s">
        <v>2002</v>
      </c>
      <c r="E4009" s="1">
        <v>102254</v>
      </c>
      <c r="F4009" s="6" t="s">
        <v>6011</v>
      </c>
      <c r="G4009" s="15" t="str">
        <f>VLOOKUP(A4009,Movie!A:D,4,FALSE)</f>
        <v>Paramount</v>
      </c>
      <c r="H4009" s="14">
        <f>VLOOKUP(E4009,'Rental Transaction'!A:B,2,FALSE)</f>
        <v>448739</v>
      </c>
      <c r="I4009">
        <f t="shared" si="62"/>
        <v>2013</v>
      </c>
    </row>
    <row r="4010" spans="1:9">
      <c r="A4010" s="1">
        <v>10215</v>
      </c>
      <c r="B4010" s="1">
        <v>4</v>
      </c>
      <c r="C4010" s="2">
        <v>41549</v>
      </c>
      <c r="D4010" s="1" t="s">
        <v>2002</v>
      </c>
      <c r="E4010" s="1">
        <v>102254</v>
      </c>
      <c r="F4010" s="6" t="s">
        <v>6012</v>
      </c>
      <c r="G4010" s="15" t="str">
        <f>VLOOKUP(A4010,Movie!A:D,4,FALSE)</f>
        <v>Paramount</v>
      </c>
      <c r="H4010" s="14">
        <f>VLOOKUP(E4010,'Rental Transaction'!A:B,2,FALSE)</f>
        <v>448739</v>
      </c>
      <c r="I4010">
        <f t="shared" si="62"/>
        <v>2013</v>
      </c>
    </row>
    <row r="4011" spans="1:9">
      <c r="A4011" s="1">
        <v>10178</v>
      </c>
      <c r="B4011" s="1">
        <v>10</v>
      </c>
      <c r="C4011" s="2">
        <v>41549</v>
      </c>
      <c r="D4011" s="1" t="s">
        <v>2005</v>
      </c>
      <c r="E4011" s="1">
        <v>102254</v>
      </c>
      <c r="F4011" s="6" t="s">
        <v>6013</v>
      </c>
      <c r="G4011" s="15" t="str">
        <f>VLOOKUP(A4011,Movie!A:D,4,FALSE)</f>
        <v>Warner Brothers</v>
      </c>
      <c r="H4011" s="14">
        <f>VLOOKUP(E4011,'Rental Transaction'!A:B,2,FALSE)</f>
        <v>448739</v>
      </c>
      <c r="I4011">
        <f t="shared" si="62"/>
        <v>2013</v>
      </c>
    </row>
    <row r="4012" spans="1:9">
      <c r="A4012" s="1">
        <v>10178</v>
      </c>
      <c r="B4012" s="1">
        <v>5</v>
      </c>
      <c r="C4012" s="2">
        <v>41549</v>
      </c>
      <c r="D4012" s="1" t="s">
        <v>2002</v>
      </c>
      <c r="E4012" s="1">
        <v>102254</v>
      </c>
      <c r="F4012" s="6" t="s">
        <v>6014</v>
      </c>
      <c r="G4012" s="15" t="str">
        <f>VLOOKUP(A4012,Movie!A:D,4,FALSE)</f>
        <v>Warner Brothers</v>
      </c>
      <c r="H4012" s="14">
        <f>VLOOKUP(E4012,'Rental Transaction'!A:B,2,FALSE)</f>
        <v>448739</v>
      </c>
      <c r="I4012">
        <f t="shared" si="62"/>
        <v>2013</v>
      </c>
    </row>
    <row r="4013" spans="1:9">
      <c r="A4013" s="1">
        <v>10113</v>
      </c>
      <c r="B4013" s="1">
        <v>9</v>
      </c>
      <c r="C4013" s="2">
        <v>41549</v>
      </c>
      <c r="D4013" s="1" t="s">
        <v>2002</v>
      </c>
      <c r="E4013" s="1">
        <v>102255</v>
      </c>
      <c r="F4013" s="6" t="s">
        <v>6015</v>
      </c>
      <c r="G4013" s="15" t="str">
        <f>VLOOKUP(A4013,Movie!A:D,4,FALSE)</f>
        <v>Lionsgate</v>
      </c>
      <c r="H4013" s="14">
        <f>VLOOKUP(E4013,'Rental Transaction'!A:B,2,FALSE)</f>
        <v>657495</v>
      </c>
      <c r="I4013">
        <f t="shared" si="62"/>
        <v>2013</v>
      </c>
    </row>
    <row r="4014" spans="1:9">
      <c r="A4014" s="1">
        <v>10238</v>
      </c>
      <c r="B4014" s="1">
        <v>2</v>
      </c>
      <c r="C4014" s="2">
        <v>41549</v>
      </c>
      <c r="D4014" s="1" t="s">
        <v>2002</v>
      </c>
      <c r="E4014" s="1">
        <v>102256</v>
      </c>
      <c r="F4014" s="6" t="s">
        <v>6016</v>
      </c>
      <c r="G4014" s="15" t="str">
        <f>VLOOKUP(A4014,Movie!A:D,4,FALSE)</f>
        <v>Warner Brothers</v>
      </c>
      <c r="H4014" s="14">
        <f>VLOOKUP(E4014,'Rental Transaction'!A:B,2,FALSE)</f>
        <v>915766</v>
      </c>
      <c r="I4014">
        <f t="shared" si="62"/>
        <v>2013</v>
      </c>
    </row>
    <row r="4015" spans="1:9">
      <c r="A4015" s="1">
        <v>10036</v>
      </c>
      <c r="B4015" s="1">
        <v>8</v>
      </c>
      <c r="C4015" s="2">
        <v>41549</v>
      </c>
      <c r="D4015" s="1" t="s">
        <v>2002</v>
      </c>
      <c r="E4015" s="1">
        <v>102257</v>
      </c>
      <c r="F4015" s="6" t="s">
        <v>6017</v>
      </c>
      <c r="G4015" s="15" t="str">
        <f>VLOOKUP(A4015,Movie!A:D,4,FALSE)</f>
        <v>Universal</v>
      </c>
      <c r="H4015" s="14">
        <f>VLOOKUP(E4015,'Rental Transaction'!A:B,2,FALSE)</f>
        <v>468692</v>
      </c>
      <c r="I4015">
        <f t="shared" si="62"/>
        <v>2013</v>
      </c>
    </row>
    <row r="4016" spans="1:9">
      <c r="A4016" s="1">
        <v>10034</v>
      </c>
      <c r="B4016" s="1">
        <v>5</v>
      </c>
      <c r="C4016" s="2">
        <v>41549</v>
      </c>
      <c r="D4016" s="1" t="s">
        <v>2002</v>
      </c>
      <c r="E4016" s="1">
        <v>102257</v>
      </c>
      <c r="F4016" s="6" t="s">
        <v>6018</v>
      </c>
      <c r="G4016" s="15" t="str">
        <f>VLOOKUP(A4016,Movie!A:D,4,FALSE)</f>
        <v>Lionsgate</v>
      </c>
      <c r="H4016" s="14">
        <f>VLOOKUP(E4016,'Rental Transaction'!A:B,2,FALSE)</f>
        <v>468692</v>
      </c>
      <c r="I4016">
        <f t="shared" si="62"/>
        <v>2013</v>
      </c>
    </row>
    <row r="4017" spans="1:9">
      <c r="A4017" s="1">
        <v>10103</v>
      </c>
      <c r="B4017" s="1">
        <v>3</v>
      </c>
      <c r="C4017" s="2">
        <v>41549</v>
      </c>
      <c r="D4017" s="1" t="s">
        <v>2002</v>
      </c>
      <c r="E4017" s="1">
        <v>102258</v>
      </c>
      <c r="F4017" s="6" t="s">
        <v>6019</v>
      </c>
      <c r="G4017" s="15" t="str">
        <f>VLOOKUP(A4017,Movie!A:D,4,FALSE)</f>
        <v>Fox</v>
      </c>
      <c r="H4017" s="14">
        <f>VLOOKUP(E4017,'Rental Transaction'!A:B,2,FALSE)</f>
        <v>345748</v>
      </c>
      <c r="I4017">
        <f t="shared" si="62"/>
        <v>2013</v>
      </c>
    </row>
    <row r="4018" spans="1:9">
      <c r="A4018" s="1">
        <v>10188</v>
      </c>
      <c r="B4018" s="1">
        <v>9</v>
      </c>
      <c r="C4018" s="2">
        <v>41549</v>
      </c>
      <c r="D4018" s="1" t="s">
        <v>2005</v>
      </c>
      <c r="E4018" s="1">
        <v>102259</v>
      </c>
      <c r="F4018" s="6" t="s">
        <v>6020</v>
      </c>
      <c r="G4018" s="15" t="str">
        <f>VLOOKUP(A4018,Movie!A:D,4,FALSE)</f>
        <v>Paramount</v>
      </c>
      <c r="H4018" s="14">
        <f>VLOOKUP(E4018,'Rental Transaction'!A:B,2,FALSE)</f>
        <v>276549</v>
      </c>
      <c r="I4018">
        <f t="shared" si="62"/>
        <v>2013</v>
      </c>
    </row>
    <row r="4019" spans="1:9">
      <c r="A4019" s="1">
        <v>10171</v>
      </c>
      <c r="B4019" s="1">
        <v>8</v>
      </c>
      <c r="C4019" s="2">
        <v>41549</v>
      </c>
      <c r="D4019" s="1" t="s">
        <v>2002</v>
      </c>
      <c r="E4019" s="1">
        <v>102260</v>
      </c>
      <c r="F4019" s="6" t="s">
        <v>6021</v>
      </c>
      <c r="G4019" s="15" t="str">
        <f>VLOOKUP(A4019,Movie!A:D,4,FALSE)</f>
        <v>Universal</v>
      </c>
      <c r="H4019" s="14">
        <f>VLOOKUP(E4019,'Rental Transaction'!A:B,2,FALSE)</f>
        <v>897980</v>
      </c>
      <c r="I4019">
        <f t="shared" si="62"/>
        <v>2013</v>
      </c>
    </row>
    <row r="4020" spans="1:9">
      <c r="A4020" s="1">
        <v>10208</v>
      </c>
      <c r="B4020" s="1">
        <v>7</v>
      </c>
      <c r="C4020" s="2">
        <v>41549</v>
      </c>
      <c r="D4020" s="1" t="s">
        <v>2002</v>
      </c>
      <c r="E4020" s="1">
        <v>102260</v>
      </c>
      <c r="F4020" s="6" t="s">
        <v>6022</v>
      </c>
      <c r="G4020" s="15" t="str">
        <f>VLOOKUP(A4020,Movie!A:D,4,FALSE)</f>
        <v>Warner Brothers</v>
      </c>
      <c r="H4020" s="14">
        <f>VLOOKUP(E4020,'Rental Transaction'!A:B,2,FALSE)</f>
        <v>897980</v>
      </c>
      <c r="I4020">
        <f t="shared" si="62"/>
        <v>2013</v>
      </c>
    </row>
    <row r="4021" spans="1:9">
      <c r="A4021" s="1">
        <v>10131</v>
      </c>
      <c r="B4021" s="1">
        <v>10</v>
      </c>
      <c r="C4021" s="2">
        <v>41549</v>
      </c>
      <c r="D4021" s="1" t="s">
        <v>2005</v>
      </c>
      <c r="E4021" s="1">
        <v>102261</v>
      </c>
      <c r="F4021" s="6" t="s">
        <v>6023</v>
      </c>
      <c r="G4021" s="15" t="str">
        <f>VLOOKUP(A4021,Movie!A:D,4,FALSE)</f>
        <v>Warner Brothers</v>
      </c>
      <c r="H4021" s="14">
        <f>VLOOKUP(E4021,'Rental Transaction'!A:B,2,FALSE)</f>
        <v>728908</v>
      </c>
      <c r="I4021">
        <f t="shared" si="62"/>
        <v>2013</v>
      </c>
    </row>
    <row r="4022" spans="1:9">
      <c r="A4022" s="1">
        <v>10143</v>
      </c>
      <c r="B4022" s="1">
        <v>7</v>
      </c>
      <c r="C4022" s="2">
        <v>41549</v>
      </c>
      <c r="D4022" s="1" t="s">
        <v>2005</v>
      </c>
      <c r="E4022" s="1">
        <v>102262</v>
      </c>
      <c r="F4022" s="6" t="s">
        <v>6024</v>
      </c>
      <c r="G4022" s="15" t="str">
        <f>VLOOKUP(A4022,Movie!A:D,4,FALSE)</f>
        <v>Buena Vista</v>
      </c>
      <c r="H4022" s="14">
        <f>VLOOKUP(E4022,'Rental Transaction'!A:B,2,FALSE)</f>
        <v>253106</v>
      </c>
      <c r="I4022">
        <f t="shared" si="62"/>
        <v>2013</v>
      </c>
    </row>
    <row r="4023" spans="1:9">
      <c r="A4023" s="1">
        <v>10106</v>
      </c>
      <c r="B4023" s="1">
        <v>6</v>
      </c>
      <c r="C4023" s="2">
        <v>41550</v>
      </c>
      <c r="D4023" s="1" t="s">
        <v>2005</v>
      </c>
      <c r="E4023" s="1">
        <v>102263</v>
      </c>
      <c r="F4023" s="6" t="s">
        <v>6025</v>
      </c>
      <c r="G4023" s="15" t="str">
        <f>VLOOKUP(A4023,Movie!A:D,4,FALSE)</f>
        <v>Fox</v>
      </c>
      <c r="H4023" s="14">
        <f>VLOOKUP(E4023,'Rental Transaction'!A:B,2,FALSE)</f>
        <v>233813</v>
      </c>
      <c r="I4023">
        <f t="shared" si="62"/>
        <v>2013</v>
      </c>
    </row>
    <row r="4024" spans="1:9">
      <c r="A4024" s="1">
        <v>10066</v>
      </c>
      <c r="B4024" s="1">
        <v>6</v>
      </c>
      <c r="C4024" s="2">
        <v>41549</v>
      </c>
      <c r="D4024" s="1" t="s">
        <v>2002</v>
      </c>
      <c r="E4024" s="1">
        <v>102263</v>
      </c>
      <c r="F4024" s="6" t="s">
        <v>6026</v>
      </c>
      <c r="G4024" s="15" t="str">
        <f>VLOOKUP(A4024,Movie!A:D,4,FALSE)</f>
        <v>Buena Vista</v>
      </c>
      <c r="H4024" s="14">
        <f>VLOOKUP(E4024,'Rental Transaction'!A:B,2,FALSE)</f>
        <v>233813</v>
      </c>
      <c r="I4024">
        <f t="shared" si="62"/>
        <v>2013</v>
      </c>
    </row>
    <row r="4025" spans="1:9">
      <c r="A4025" s="1">
        <v>10044</v>
      </c>
      <c r="B4025" s="1">
        <v>3</v>
      </c>
      <c r="C4025" s="2">
        <v>41549</v>
      </c>
      <c r="D4025" s="1" t="s">
        <v>2002</v>
      </c>
      <c r="E4025" s="1">
        <v>102264</v>
      </c>
      <c r="F4025" s="6" t="s">
        <v>6027</v>
      </c>
      <c r="G4025" s="15" t="str">
        <f>VLOOKUP(A4025,Movie!A:D,4,FALSE)</f>
        <v>Buena Vista</v>
      </c>
      <c r="H4025" s="14">
        <f>VLOOKUP(E4025,'Rental Transaction'!A:B,2,FALSE)</f>
        <v>262638</v>
      </c>
      <c r="I4025">
        <f t="shared" si="62"/>
        <v>2013</v>
      </c>
    </row>
    <row r="4026" spans="1:9">
      <c r="A4026" s="1">
        <v>10001</v>
      </c>
      <c r="B4026" s="1">
        <v>10</v>
      </c>
      <c r="C4026" s="2">
        <v>41549</v>
      </c>
      <c r="D4026" s="1" t="s">
        <v>2002</v>
      </c>
      <c r="E4026" s="1">
        <v>102264</v>
      </c>
      <c r="F4026" s="6" t="s">
        <v>6028</v>
      </c>
      <c r="G4026" s="15" t="str">
        <f>VLOOKUP(A4026,Movie!A:D,4,FALSE)</f>
        <v>Focus</v>
      </c>
      <c r="H4026" s="14">
        <f>VLOOKUP(E4026,'Rental Transaction'!A:B,2,FALSE)</f>
        <v>262638</v>
      </c>
      <c r="I4026">
        <f t="shared" si="62"/>
        <v>2013</v>
      </c>
    </row>
    <row r="4027" spans="1:9">
      <c r="A4027" s="1">
        <v>10130</v>
      </c>
      <c r="B4027" s="1">
        <v>3</v>
      </c>
      <c r="C4027" s="2">
        <v>41549</v>
      </c>
      <c r="D4027" s="1" t="s">
        <v>2002</v>
      </c>
      <c r="E4027" s="1">
        <v>102264</v>
      </c>
      <c r="F4027" s="6" t="s">
        <v>6029</v>
      </c>
      <c r="G4027" s="15" t="str">
        <f>VLOOKUP(A4027,Movie!A:D,4,FALSE)</f>
        <v>A24</v>
      </c>
      <c r="H4027" s="14">
        <f>VLOOKUP(E4027,'Rental Transaction'!A:B,2,FALSE)</f>
        <v>262638</v>
      </c>
      <c r="I4027">
        <f t="shared" si="62"/>
        <v>2013</v>
      </c>
    </row>
    <row r="4028" spans="1:9">
      <c r="A4028" s="1">
        <v>10179</v>
      </c>
      <c r="B4028" s="1">
        <v>9</v>
      </c>
      <c r="C4028" s="2">
        <v>41549</v>
      </c>
      <c r="D4028" s="1" t="s">
        <v>2005</v>
      </c>
      <c r="E4028" s="1">
        <v>102265</v>
      </c>
      <c r="F4028" s="6" t="s">
        <v>6030</v>
      </c>
      <c r="G4028" s="15" t="str">
        <f>VLOOKUP(A4028,Movie!A:D,4,FALSE)</f>
        <v>Warner Brothers</v>
      </c>
      <c r="H4028" s="14">
        <f>VLOOKUP(E4028,'Rental Transaction'!A:B,2,FALSE)</f>
        <v>842028</v>
      </c>
      <c r="I4028">
        <f t="shared" si="62"/>
        <v>2013</v>
      </c>
    </row>
    <row r="4029" spans="1:9">
      <c r="A4029" s="1">
        <v>10082</v>
      </c>
      <c r="B4029" s="1">
        <v>3</v>
      </c>
      <c r="C4029" s="2">
        <v>41550</v>
      </c>
      <c r="D4029" s="1" t="s">
        <v>2002</v>
      </c>
      <c r="E4029" s="1">
        <v>102265</v>
      </c>
      <c r="F4029" s="6" t="s">
        <v>6031</v>
      </c>
      <c r="G4029" s="15" t="str">
        <f>VLOOKUP(A4029,Movie!A:D,4,FALSE)</f>
        <v>Buena Vista</v>
      </c>
      <c r="H4029" s="14">
        <f>VLOOKUP(E4029,'Rental Transaction'!A:B,2,FALSE)</f>
        <v>842028</v>
      </c>
      <c r="I4029">
        <f t="shared" si="62"/>
        <v>2013</v>
      </c>
    </row>
    <row r="4030" spans="1:9">
      <c r="A4030" s="1">
        <v>10269</v>
      </c>
      <c r="B4030" s="1">
        <v>6</v>
      </c>
      <c r="C4030" s="2">
        <v>41550</v>
      </c>
      <c r="D4030" s="1" t="s">
        <v>2005</v>
      </c>
      <c r="E4030" s="1">
        <v>102266</v>
      </c>
      <c r="F4030" s="6" t="s">
        <v>6032</v>
      </c>
      <c r="G4030" s="15" t="str">
        <f>VLOOKUP(A4030,Movie!A:D,4,FALSE)</f>
        <v>Buena Vista</v>
      </c>
      <c r="H4030" s="14">
        <f>VLOOKUP(E4030,'Rental Transaction'!A:B,2,FALSE)</f>
        <v>104939</v>
      </c>
      <c r="I4030">
        <f t="shared" si="62"/>
        <v>2013</v>
      </c>
    </row>
    <row r="4031" spans="1:9">
      <c r="A4031" s="1">
        <v>10055</v>
      </c>
      <c r="B4031" s="1">
        <v>10</v>
      </c>
      <c r="C4031" s="2">
        <v>41551</v>
      </c>
      <c r="D4031" s="1" t="s">
        <v>2005</v>
      </c>
      <c r="E4031" s="1">
        <v>102266</v>
      </c>
      <c r="F4031" s="6" t="s">
        <v>6033</v>
      </c>
      <c r="G4031" s="15" t="str">
        <f>VLOOKUP(A4031,Movie!A:D,4,FALSE)</f>
        <v>Sony Classics</v>
      </c>
      <c r="H4031" s="14">
        <f>VLOOKUP(E4031,'Rental Transaction'!A:B,2,FALSE)</f>
        <v>104939</v>
      </c>
      <c r="I4031">
        <f t="shared" si="62"/>
        <v>2013</v>
      </c>
    </row>
    <row r="4032" spans="1:9">
      <c r="A4032" s="1">
        <v>10279</v>
      </c>
      <c r="B4032" s="1">
        <v>3</v>
      </c>
      <c r="C4032" s="2">
        <v>41549</v>
      </c>
      <c r="D4032" s="1" t="s">
        <v>2005</v>
      </c>
      <c r="E4032" s="1">
        <v>102267</v>
      </c>
      <c r="F4032" s="6" t="s">
        <v>6034</v>
      </c>
      <c r="G4032" s="15" t="str">
        <f>VLOOKUP(A4032,Movie!A:D,4,FALSE)</f>
        <v>Screen Gems</v>
      </c>
      <c r="H4032" s="14">
        <f>VLOOKUP(E4032,'Rental Transaction'!A:B,2,FALSE)</f>
        <v>404678</v>
      </c>
      <c r="I4032">
        <f t="shared" si="62"/>
        <v>2013</v>
      </c>
    </row>
    <row r="4033" spans="1:9">
      <c r="A4033" s="1">
        <v>10274</v>
      </c>
      <c r="B4033" s="1">
        <v>1</v>
      </c>
      <c r="C4033" s="2">
        <v>41550</v>
      </c>
      <c r="D4033" s="1" t="s">
        <v>2005</v>
      </c>
      <c r="E4033" s="1">
        <v>102268</v>
      </c>
      <c r="F4033" s="6" t="s">
        <v>6035</v>
      </c>
      <c r="G4033" s="15" t="str">
        <f>VLOOKUP(A4033,Movie!A:D,4,FALSE)</f>
        <v>Fox</v>
      </c>
      <c r="H4033" s="14">
        <f>VLOOKUP(E4033,'Rental Transaction'!A:B,2,FALSE)</f>
        <v>249779</v>
      </c>
      <c r="I4033">
        <f t="shared" si="62"/>
        <v>2013</v>
      </c>
    </row>
    <row r="4034" spans="1:9">
      <c r="A4034" s="1">
        <v>10110</v>
      </c>
      <c r="B4034" s="1">
        <v>10</v>
      </c>
      <c r="C4034" s="2">
        <v>41549</v>
      </c>
      <c r="D4034" s="1" t="s">
        <v>2002</v>
      </c>
      <c r="E4034" s="1">
        <v>102269</v>
      </c>
      <c r="F4034" s="6" t="s">
        <v>6036</v>
      </c>
      <c r="G4034" s="15" t="str">
        <f>VLOOKUP(A4034,Movie!A:D,4,FALSE)</f>
        <v>Warner Brothers</v>
      </c>
      <c r="H4034" s="14">
        <f>VLOOKUP(E4034,'Rental Transaction'!A:B,2,FALSE)</f>
        <v>370366</v>
      </c>
      <c r="I4034">
        <f t="shared" si="62"/>
        <v>2013</v>
      </c>
    </row>
    <row r="4035" spans="1:9">
      <c r="A4035" s="1">
        <v>10147</v>
      </c>
      <c r="B4035" s="1">
        <v>3</v>
      </c>
      <c r="C4035" s="2">
        <v>41550</v>
      </c>
      <c r="D4035" s="1" t="s">
        <v>2002</v>
      </c>
      <c r="E4035" s="1">
        <v>102269</v>
      </c>
      <c r="F4035" s="6" t="s">
        <v>6037</v>
      </c>
      <c r="G4035" s="15" t="str">
        <f>VLOOKUP(A4035,Movie!A:D,4,FALSE)</f>
        <v>Lionsgate</v>
      </c>
      <c r="H4035" s="14">
        <f>VLOOKUP(E4035,'Rental Transaction'!A:B,2,FALSE)</f>
        <v>370366</v>
      </c>
      <c r="I4035">
        <f t="shared" ref="I4035:I4098" si="63">YEAR(C4035)</f>
        <v>2013</v>
      </c>
    </row>
    <row r="4036" spans="1:9">
      <c r="A4036" s="1">
        <v>10266</v>
      </c>
      <c r="B4036" s="1">
        <v>1</v>
      </c>
      <c r="C4036" s="2">
        <v>41550</v>
      </c>
      <c r="D4036" s="1" t="s">
        <v>2005</v>
      </c>
      <c r="E4036" s="1">
        <v>102270</v>
      </c>
      <c r="F4036" s="6" t="s">
        <v>6038</v>
      </c>
      <c r="G4036" s="15" t="str">
        <f>VLOOKUP(A4036,Movie!A:D,4,FALSE)</f>
        <v>Sony</v>
      </c>
      <c r="H4036" s="14">
        <f>VLOOKUP(E4036,'Rental Transaction'!A:B,2,FALSE)</f>
        <v>493552</v>
      </c>
      <c r="I4036">
        <f t="shared" si="63"/>
        <v>2013</v>
      </c>
    </row>
    <row r="4037" spans="1:9">
      <c r="A4037" s="1">
        <v>10296</v>
      </c>
      <c r="B4037" s="1">
        <v>7</v>
      </c>
      <c r="C4037" s="2">
        <v>41549</v>
      </c>
      <c r="D4037" s="1" t="s">
        <v>2002</v>
      </c>
      <c r="E4037" s="1">
        <v>102271</v>
      </c>
      <c r="F4037" s="6" t="s">
        <v>6039</v>
      </c>
      <c r="G4037" s="15" t="str">
        <f>VLOOKUP(A4037,Movie!A:D,4,FALSE)</f>
        <v>A24</v>
      </c>
      <c r="H4037" s="14">
        <f>VLOOKUP(E4037,'Rental Transaction'!A:B,2,FALSE)</f>
        <v>729740</v>
      </c>
      <c r="I4037">
        <f t="shared" si="63"/>
        <v>2013</v>
      </c>
    </row>
    <row r="4038" spans="1:9">
      <c r="A4038" s="1">
        <v>10166</v>
      </c>
      <c r="B4038" s="1">
        <v>9</v>
      </c>
      <c r="C4038" s="2">
        <v>41549</v>
      </c>
      <c r="D4038" s="1" t="s">
        <v>2005</v>
      </c>
      <c r="E4038" s="1">
        <v>102272</v>
      </c>
      <c r="F4038" s="6" t="s">
        <v>6040</v>
      </c>
      <c r="G4038" s="15" t="str">
        <f>VLOOKUP(A4038,Movie!A:D,4,FALSE)</f>
        <v>Fox</v>
      </c>
      <c r="H4038" s="14">
        <f>VLOOKUP(E4038,'Rental Transaction'!A:B,2,FALSE)</f>
        <v>826590</v>
      </c>
      <c r="I4038">
        <f t="shared" si="63"/>
        <v>2013</v>
      </c>
    </row>
    <row r="4039" spans="1:9">
      <c r="A4039" s="1">
        <v>10232</v>
      </c>
      <c r="B4039" s="1">
        <v>7</v>
      </c>
      <c r="C4039" s="2">
        <v>41549</v>
      </c>
      <c r="D4039" s="1" t="s">
        <v>2002</v>
      </c>
      <c r="E4039" s="1">
        <v>102274</v>
      </c>
      <c r="F4039" s="6" t="s">
        <v>6041</v>
      </c>
      <c r="G4039" s="15" t="str">
        <f>VLOOKUP(A4039,Movie!A:D,4,FALSE)</f>
        <v>Paramount</v>
      </c>
      <c r="H4039" s="14">
        <f>VLOOKUP(E4039,'Rental Transaction'!A:B,2,FALSE)</f>
        <v>168607</v>
      </c>
      <c r="I4039">
        <f t="shared" si="63"/>
        <v>2013</v>
      </c>
    </row>
    <row r="4040" spans="1:9">
      <c r="A4040" s="1">
        <v>10088</v>
      </c>
      <c r="B4040" s="1">
        <v>4</v>
      </c>
      <c r="C4040" s="2">
        <v>41549</v>
      </c>
      <c r="D4040" s="1" t="s">
        <v>2005</v>
      </c>
      <c r="E4040" s="1">
        <v>102275</v>
      </c>
      <c r="F4040" s="6" t="s">
        <v>6042</v>
      </c>
      <c r="G4040" s="15" t="str">
        <f>VLOOKUP(A4040,Movie!A:D,4,FALSE)</f>
        <v>Warner Brothers</v>
      </c>
      <c r="H4040" s="14">
        <f>VLOOKUP(E4040,'Rental Transaction'!A:B,2,FALSE)</f>
        <v>813719</v>
      </c>
      <c r="I4040">
        <f t="shared" si="63"/>
        <v>2013</v>
      </c>
    </row>
    <row r="4041" spans="1:9">
      <c r="A4041" s="1">
        <v>10266</v>
      </c>
      <c r="B4041" s="1">
        <v>5</v>
      </c>
      <c r="C4041" s="2">
        <v>41549</v>
      </c>
      <c r="D4041" s="1" t="s">
        <v>2002</v>
      </c>
      <c r="E4041" s="1">
        <v>102275</v>
      </c>
      <c r="F4041" s="6" t="s">
        <v>6043</v>
      </c>
      <c r="G4041" s="15" t="str">
        <f>VLOOKUP(A4041,Movie!A:D,4,FALSE)</f>
        <v>Sony</v>
      </c>
      <c r="H4041" s="14">
        <f>VLOOKUP(E4041,'Rental Transaction'!A:B,2,FALSE)</f>
        <v>813719</v>
      </c>
      <c r="I4041">
        <f t="shared" si="63"/>
        <v>2013</v>
      </c>
    </row>
    <row r="4042" spans="1:9">
      <c r="A4042" s="1">
        <v>10035</v>
      </c>
      <c r="B4042" s="1">
        <v>10</v>
      </c>
      <c r="C4042" s="2">
        <v>41549</v>
      </c>
      <c r="D4042" s="1" t="s">
        <v>2002</v>
      </c>
      <c r="E4042" s="1">
        <v>102276</v>
      </c>
      <c r="F4042" s="6" t="s">
        <v>6044</v>
      </c>
      <c r="G4042" s="15" t="str">
        <f>VLOOKUP(A4042,Movie!A:D,4,FALSE)</f>
        <v>Sony</v>
      </c>
      <c r="H4042" s="14">
        <f>VLOOKUP(E4042,'Rental Transaction'!A:B,2,FALSE)</f>
        <v>327750</v>
      </c>
      <c r="I4042">
        <f t="shared" si="63"/>
        <v>2013</v>
      </c>
    </row>
    <row r="4043" spans="1:9" ht="29.25">
      <c r="A4043" s="1">
        <v>10264</v>
      </c>
      <c r="B4043" s="1">
        <v>1</v>
      </c>
      <c r="C4043" s="2">
        <v>41549</v>
      </c>
      <c r="D4043" s="1" t="s">
        <v>2005</v>
      </c>
      <c r="E4043" s="1">
        <v>102277</v>
      </c>
      <c r="F4043" s="6" t="s">
        <v>6045</v>
      </c>
      <c r="G4043" s="15" t="str">
        <f>VLOOKUP(A4043,Movie!A:D,4,FALSE)</f>
        <v>Weinstein Company</v>
      </c>
      <c r="H4043" s="14">
        <f>VLOOKUP(E4043,'Rental Transaction'!A:B,2,FALSE)</f>
        <v>175871</v>
      </c>
      <c r="I4043">
        <f t="shared" si="63"/>
        <v>2013</v>
      </c>
    </row>
    <row r="4044" spans="1:9">
      <c r="A4044" s="1">
        <v>10031</v>
      </c>
      <c r="B4044" s="1">
        <v>4</v>
      </c>
      <c r="C4044" s="2">
        <v>41550</v>
      </c>
      <c r="D4044" s="1" t="s">
        <v>2002</v>
      </c>
      <c r="E4044" s="1">
        <v>102277</v>
      </c>
      <c r="F4044" s="6" t="s">
        <v>6046</v>
      </c>
      <c r="G4044" s="15" t="str">
        <f>VLOOKUP(A4044,Movie!A:D,4,FALSE)</f>
        <v>Warner Brothers</v>
      </c>
      <c r="H4044" s="14">
        <f>VLOOKUP(E4044,'Rental Transaction'!A:B,2,FALSE)</f>
        <v>175871</v>
      </c>
      <c r="I4044">
        <f t="shared" si="63"/>
        <v>2013</v>
      </c>
    </row>
    <row r="4045" spans="1:9">
      <c r="A4045" s="1">
        <v>10279</v>
      </c>
      <c r="B4045" s="1">
        <v>5</v>
      </c>
      <c r="C4045" s="2">
        <v>41550</v>
      </c>
      <c r="D4045" s="1" t="s">
        <v>2005</v>
      </c>
      <c r="E4045" s="1">
        <v>102278</v>
      </c>
      <c r="F4045" s="6" t="s">
        <v>6047</v>
      </c>
      <c r="G4045" s="15" t="str">
        <f>VLOOKUP(A4045,Movie!A:D,4,FALSE)</f>
        <v>Screen Gems</v>
      </c>
      <c r="H4045" s="14">
        <f>VLOOKUP(E4045,'Rental Transaction'!A:B,2,FALSE)</f>
        <v>427391</v>
      </c>
      <c r="I4045">
        <f t="shared" si="63"/>
        <v>2013</v>
      </c>
    </row>
    <row r="4046" spans="1:9">
      <c r="A4046" s="1">
        <v>10120</v>
      </c>
      <c r="B4046" s="1">
        <v>7</v>
      </c>
      <c r="C4046" s="2">
        <v>41549</v>
      </c>
      <c r="D4046" s="1" t="s">
        <v>2005</v>
      </c>
      <c r="E4046" s="1">
        <v>102278</v>
      </c>
      <c r="F4046" s="6" t="s">
        <v>6048</v>
      </c>
      <c r="G4046" s="15" t="str">
        <f>VLOOKUP(A4046,Movie!A:D,4,FALSE)</f>
        <v>Focus</v>
      </c>
      <c r="H4046" s="14">
        <f>VLOOKUP(E4046,'Rental Transaction'!A:B,2,FALSE)</f>
        <v>427391</v>
      </c>
      <c r="I4046">
        <f t="shared" si="63"/>
        <v>2013</v>
      </c>
    </row>
    <row r="4047" spans="1:9">
      <c r="A4047" s="1">
        <v>10177</v>
      </c>
      <c r="B4047" s="1">
        <v>8</v>
      </c>
      <c r="C4047" s="2">
        <v>41555</v>
      </c>
      <c r="D4047" s="1" t="s">
        <v>2005</v>
      </c>
      <c r="E4047" s="1">
        <v>102280</v>
      </c>
      <c r="F4047" s="6" t="s">
        <v>6049</v>
      </c>
      <c r="G4047" s="15" t="str">
        <f>VLOOKUP(A4047,Movie!A:D,4,FALSE)</f>
        <v>Fox</v>
      </c>
      <c r="H4047" s="14">
        <f>VLOOKUP(E4047,'Rental Transaction'!A:B,2,FALSE)</f>
        <v>590517</v>
      </c>
      <c r="I4047">
        <f t="shared" si="63"/>
        <v>2013</v>
      </c>
    </row>
    <row r="4048" spans="1:9">
      <c r="A4048" s="1">
        <v>10288</v>
      </c>
      <c r="B4048" s="1">
        <v>6</v>
      </c>
      <c r="C4048" s="2">
        <v>41550</v>
      </c>
      <c r="D4048" s="1" t="s">
        <v>2002</v>
      </c>
      <c r="E4048" s="1">
        <v>102280</v>
      </c>
      <c r="F4048" s="6" t="s">
        <v>6050</v>
      </c>
      <c r="G4048" s="15" t="str">
        <f>VLOOKUP(A4048,Movie!A:D,4,FALSE)</f>
        <v>Relativity</v>
      </c>
      <c r="H4048" s="14">
        <f>VLOOKUP(E4048,'Rental Transaction'!A:B,2,FALSE)</f>
        <v>590517</v>
      </c>
      <c r="I4048">
        <f t="shared" si="63"/>
        <v>2013</v>
      </c>
    </row>
    <row r="4049" spans="1:9">
      <c r="A4049" s="1">
        <v>10299</v>
      </c>
      <c r="B4049" s="1">
        <v>5</v>
      </c>
      <c r="C4049" s="2">
        <v>41550</v>
      </c>
      <c r="D4049" s="1" t="s">
        <v>2002</v>
      </c>
      <c r="E4049" s="1">
        <v>102281</v>
      </c>
      <c r="F4049" s="6" t="s">
        <v>6051</v>
      </c>
      <c r="G4049" s="15" t="str">
        <f>VLOOKUP(A4049,Movie!A:D,4,FALSE)</f>
        <v>Radius-TWC</v>
      </c>
      <c r="H4049" s="14">
        <f>VLOOKUP(E4049,'Rental Transaction'!A:B,2,FALSE)</f>
        <v>396166</v>
      </c>
      <c r="I4049">
        <f t="shared" si="63"/>
        <v>2013</v>
      </c>
    </row>
    <row r="4050" spans="1:9">
      <c r="A4050" s="1">
        <v>10022</v>
      </c>
      <c r="B4050" s="1">
        <v>7</v>
      </c>
      <c r="C4050" s="2">
        <v>41557</v>
      </c>
      <c r="D4050" s="1" t="s">
        <v>2002</v>
      </c>
      <c r="E4050" s="1">
        <v>102282</v>
      </c>
      <c r="F4050" s="6" t="s">
        <v>6052</v>
      </c>
      <c r="G4050" s="15" t="str">
        <f>VLOOKUP(A4050,Movie!A:D,4,FALSE)</f>
        <v>Universal</v>
      </c>
      <c r="H4050" s="14">
        <f>VLOOKUP(E4050,'Rental Transaction'!A:B,2,FALSE)</f>
        <v>296886</v>
      </c>
      <c r="I4050">
        <f t="shared" si="63"/>
        <v>2013</v>
      </c>
    </row>
    <row r="4051" spans="1:9">
      <c r="A4051" s="1">
        <v>10132</v>
      </c>
      <c r="B4051" s="1">
        <v>3</v>
      </c>
      <c r="C4051" s="2">
        <v>41551</v>
      </c>
      <c r="D4051" s="1" t="s">
        <v>2002</v>
      </c>
      <c r="E4051" s="1">
        <v>102284</v>
      </c>
      <c r="F4051" s="6" t="s">
        <v>6053</v>
      </c>
      <c r="G4051" s="15" t="str">
        <f>VLOOKUP(A4051,Movie!A:D,4,FALSE)</f>
        <v>Lionsgate</v>
      </c>
      <c r="H4051" s="14">
        <f>VLOOKUP(E4051,'Rental Transaction'!A:B,2,FALSE)</f>
        <v>407605</v>
      </c>
      <c r="I4051">
        <f t="shared" si="63"/>
        <v>2013</v>
      </c>
    </row>
    <row r="4052" spans="1:9">
      <c r="A4052" s="1">
        <v>10199</v>
      </c>
      <c r="B4052" s="1">
        <v>3</v>
      </c>
      <c r="C4052" s="2">
        <v>41554</v>
      </c>
      <c r="D4052" s="1" t="s">
        <v>2002</v>
      </c>
      <c r="E4052" s="1">
        <v>102287</v>
      </c>
      <c r="F4052" s="6" t="s">
        <v>6054</v>
      </c>
      <c r="G4052" s="15" t="str">
        <f>VLOOKUP(A4052,Movie!A:D,4,FALSE)</f>
        <v>Lionsgate</v>
      </c>
      <c r="H4052" s="14">
        <f>VLOOKUP(E4052,'Rental Transaction'!A:B,2,FALSE)</f>
        <v>756928</v>
      </c>
      <c r="I4052">
        <f t="shared" si="63"/>
        <v>2013</v>
      </c>
    </row>
    <row r="4053" spans="1:9">
      <c r="A4053" s="1">
        <v>10074</v>
      </c>
      <c r="B4053" s="1">
        <v>1</v>
      </c>
      <c r="C4053" s="2">
        <v>41551</v>
      </c>
      <c r="D4053" s="1" t="s">
        <v>2002</v>
      </c>
      <c r="E4053" s="1">
        <v>102288</v>
      </c>
      <c r="F4053" s="6" t="s">
        <v>6055</v>
      </c>
      <c r="G4053" s="15" t="str">
        <f>VLOOKUP(A4053,Movie!A:D,4,FALSE)</f>
        <v>Open Road Films</v>
      </c>
      <c r="H4053" s="14">
        <f>VLOOKUP(E4053,'Rental Transaction'!A:B,2,FALSE)</f>
        <v>332324</v>
      </c>
      <c r="I4053">
        <f t="shared" si="63"/>
        <v>2013</v>
      </c>
    </row>
    <row r="4054" spans="1:9">
      <c r="A4054" s="1">
        <v>10212</v>
      </c>
      <c r="B4054" s="1">
        <v>1</v>
      </c>
      <c r="C4054" s="2">
        <v>41555</v>
      </c>
      <c r="D4054" s="1" t="s">
        <v>2002</v>
      </c>
      <c r="E4054" s="1">
        <v>102289</v>
      </c>
      <c r="F4054" s="6" t="s">
        <v>6056</v>
      </c>
      <c r="G4054" s="15" t="str">
        <f>VLOOKUP(A4054,Movie!A:D,4,FALSE)</f>
        <v>Lionsgate</v>
      </c>
      <c r="H4054" s="14">
        <f>VLOOKUP(E4054,'Rental Transaction'!A:B,2,FALSE)</f>
        <v>270853</v>
      </c>
      <c r="I4054">
        <f t="shared" si="63"/>
        <v>2013</v>
      </c>
    </row>
    <row r="4055" spans="1:9">
      <c r="A4055" s="1">
        <v>10194</v>
      </c>
      <c r="B4055" s="1">
        <v>4</v>
      </c>
      <c r="C4055" s="2">
        <v>41551</v>
      </c>
      <c r="D4055" s="1" t="s">
        <v>2002</v>
      </c>
      <c r="E4055" s="1">
        <v>102289</v>
      </c>
      <c r="F4055" s="6" t="s">
        <v>6057</v>
      </c>
      <c r="G4055" s="15" t="str">
        <f>VLOOKUP(A4055,Movie!A:D,4,FALSE)</f>
        <v>FilmDistrict</v>
      </c>
      <c r="H4055" s="14">
        <f>VLOOKUP(E4055,'Rental Transaction'!A:B,2,FALSE)</f>
        <v>270853</v>
      </c>
      <c r="I4055">
        <f t="shared" si="63"/>
        <v>2013</v>
      </c>
    </row>
    <row r="4056" spans="1:9">
      <c r="A4056" s="1">
        <v>10128</v>
      </c>
      <c r="B4056" s="1">
        <v>3</v>
      </c>
      <c r="C4056" s="2">
        <v>41553</v>
      </c>
      <c r="D4056" s="1" t="s">
        <v>2002</v>
      </c>
      <c r="E4056" s="1">
        <v>102289</v>
      </c>
      <c r="F4056" s="6" t="s">
        <v>6058</v>
      </c>
      <c r="G4056" s="15" t="str">
        <f>VLOOKUP(A4056,Movie!A:D,4,FALSE)</f>
        <v>TriStar</v>
      </c>
      <c r="H4056" s="14">
        <f>VLOOKUP(E4056,'Rental Transaction'!A:B,2,FALSE)</f>
        <v>270853</v>
      </c>
      <c r="I4056">
        <f t="shared" si="63"/>
        <v>2013</v>
      </c>
    </row>
    <row r="4057" spans="1:9">
      <c r="A4057" s="1">
        <v>10261</v>
      </c>
      <c r="B4057" s="1">
        <v>5</v>
      </c>
      <c r="C4057" s="2">
        <v>41551</v>
      </c>
      <c r="D4057" s="1" t="s">
        <v>2002</v>
      </c>
      <c r="E4057" s="1">
        <v>102290</v>
      </c>
      <c r="F4057" s="6" t="s">
        <v>6059</v>
      </c>
      <c r="G4057" s="15" t="str">
        <f>VLOOKUP(A4057,Movie!A:D,4,FALSE)</f>
        <v>Fox</v>
      </c>
      <c r="H4057" s="14">
        <f>VLOOKUP(E4057,'Rental Transaction'!A:B,2,FALSE)</f>
        <v>566192</v>
      </c>
      <c r="I4057">
        <f t="shared" si="63"/>
        <v>2013</v>
      </c>
    </row>
    <row r="4058" spans="1:9">
      <c r="A4058" s="1">
        <v>10349</v>
      </c>
      <c r="B4058" s="1">
        <v>3</v>
      </c>
      <c r="C4058" s="2">
        <v>41551</v>
      </c>
      <c r="D4058" s="1" t="s">
        <v>2002</v>
      </c>
      <c r="E4058" s="1">
        <v>102292</v>
      </c>
      <c r="F4058" s="6" t="s">
        <v>6060</v>
      </c>
      <c r="G4058" s="15" t="str">
        <f>VLOOKUP(A4058,Movie!A:D,4,FALSE)</f>
        <v>Screen Gems</v>
      </c>
      <c r="H4058" s="14">
        <f>VLOOKUP(E4058,'Rental Transaction'!A:B,2,FALSE)</f>
        <v>226909</v>
      </c>
      <c r="I4058">
        <f t="shared" si="63"/>
        <v>2013</v>
      </c>
    </row>
    <row r="4059" spans="1:9">
      <c r="A4059" s="1">
        <v>10074</v>
      </c>
      <c r="B4059" s="1">
        <v>3</v>
      </c>
      <c r="C4059" s="2">
        <v>41553</v>
      </c>
      <c r="D4059" s="1" t="s">
        <v>2002</v>
      </c>
      <c r="E4059" s="1">
        <v>102293</v>
      </c>
      <c r="F4059" s="6" t="s">
        <v>6061</v>
      </c>
      <c r="G4059" s="15" t="str">
        <f>VLOOKUP(A4059,Movie!A:D,4,FALSE)</f>
        <v>Open Road Films</v>
      </c>
      <c r="H4059" s="14">
        <f>VLOOKUP(E4059,'Rental Transaction'!A:B,2,FALSE)</f>
        <v>189953</v>
      </c>
      <c r="I4059">
        <f t="shared" si="63"/>
        <v>2013</v>
      </c>
    </row>
    <row r="4060" spans="1:9">
      <c r="A4060" s="1">
        <v>10252</v>
      </c>
      <c r="B4060" s="1">
        <v>4</v>
      </c>
      <c r="C4060" s="2">
        <v>41552</v>
      </c>
      <c r="D4060" s="1" t="s">
        <v>2002</v>
      </c>
      <c r="E4060" s="1">
        <v>102293</v>
      </c>
      <c r="F4060" s="6" t="s">
        <v>6062</v>
      </c>
      <c r="G4060" s="15" t="str">
        <f>VLOOKUP(A4060,Movie!A:D,4,FALSE)</f>
        <v>Warner Brothers</v>
      </c>
      <c r="H4060" s="14">
        <f>VLOOKUP(E4060,'Rental Transaction'!A:B,2,FALSE)</f>
        <v>189953</v>
      </c>
      <c r="I4060">
        <f t="shared" si="63"/>
        <v>2013</v>
      </c>
    </row>
    <row r="4061" spans="1:9">
      <c r="A4061" s="1">
        <v>10237</v>
      </c>
      <c r="B4061" s="1">
        <v>9</v>
      </c>
      <c r="C4061" s="2">
        <v>41551</v>
      </c>
      <c r="D4061" s="1" t="s">
        <v>2002</v>
      </c>
      <c r="E4061" s="1">
        <v>102293</v>
      </c>
      <c r="F4061" s="6" t="s">
        <v>6063</v>
      </c>
      <c r="G4061" s="15" t="str">
        <f>VLOOKUP(A4061,Movie!A:D,4,FALSE)</f>
        <v>Warner Brothers</v>
      </c>
      <c r="H4061" s="14">
        <f>VLOOKUP(E4061,'Rental Transaction'!A:B,2,FALSE)</f>
        <v>189953</v>
      </c>
      <c r="I4061">
        <f t="shared" si="63"/>
        <v>2013</v>
      </c>
    </row>
    <row r="4062" spans="1:9">
      <c r="A4062" s="1">
        <v>10186</v>
      </c>
      <c r="B4062" s="1">
        <v>3</v>
      </c>
      <c r="C4062" s="2">
        <v>41554</v>
      </c>
      <c r="D4062" s="1" t="s">
        <v>2002</v>
      </c>
      <c r="E4062" s="1">
        <v>102294</v>
      </c>
      <c r="F4062" s="6" t="s">
        <v>6064</v>
      </c>
      <c r="G4062" s="15" t="str">
        <f>VLOOKUP(A4062,Movie!A:D,4,FALSE)</f>
        <v>Lionsgate</v>
      </c>
      <c r="H4062" s="14">
        <f>VLOOKUP(E4062,'Rental Transaction'!A:B,2,FALSE)</f>
        <v>324435</v>
      </c>
      <c r="I4062">
        <f t="shared" si="63"/>
        <v>2013</v>
      </c>
    </row>
    <row r="4063" spans="1:9">
      <c r="A4063" s="1">
        <v>10291</v>
      </c>
      <c r="B4063" s="1">
        <v>8</v>
      </c>
      <c r="C4063" s="2">
        <v>41552</v>
      </c>
      <c r="D4063" s="1" t="s">
        <v>2005</v>
      </c>
      <c r="E4063" s="1">
        <v>102295</v>
      </c>
      <c r="F4063" s="6" t="s">
        <v>6065</v>
      </c>
      <c r="G4063" s="15" t="str">
        <f>VLOOKUP(A4063,Movie!A:D,4,FALSE)</f>
        <v>Warner Brothers</v>
      </c>
      <c r="H4063" s="14">
        <f>VLOOKUP(E4063,'Rental Transaction'!A:B,2,FALSE)</f>
        <v>537796</v>
      </c>
      <c r="I4063">
        <f t="shared" si="63"/>
        <v>2013</v>
      </c>
    </row>
    <row r="4064" spans="1:9">
      <c r="A4064" s="1">
        <v>10271</v>
      </c>
      <c r="B4064" s="1">
        <v>9</v>
      </c>
      <c r="C4064" s="2">
        <v>41554</v>
      </c>
      <c r="D4064" s="1" t="s">
        <v>2002</v>
      </c>
      <c r="E4064" s="1">
        <v>102295</v>
      </c>
      <c r="F4064" s="6" t="s">
        <v>6066</v>
      </c>
      <c r="G4064" s="15" t="str">
        <f>VLOOKUP(A4064,Movie!A:D,4,FALSE)</f>
        <v>Universal</v>
      </c>
      <c r="H4064" s="14">
        <f>VLOOKUP(E4064,'Rental Transaction'!A:B,2,FALSE)</f>
        <v>537796</v>
      </c>
      <c r="I4064">
        <f t="shared" si="63"/>
        <v>2013</v>
      </c>
    </row>
    <row r="4065" spans="1:9">
      <c r="A4065" s="1">
        <v>10074</v>
      </c>
      <c r="B4065" s="1">
        <v>9</v>
      </c>
      <c r="C4065" s="2">
        <v>41552</v>
      </c>
      <c r="D4065" s="1" t="s">
        <v>2002</v>
      </c>
      <c r="E4065" s="1">
        <v>102296</v>
      </c>
      <c r="F4065" s="6" t="s">
        <v>6067</v>
      </c>
      <c r="G4065" s="15" t="str">
        <f>VLOOKUP(A4065,Movie!A:D,4,FALSE)</f>
        <v>Open Road Films</v>
      </c>
      <c r="H4065" s="14">
        <f>VLOOKUP(E4065,'Rental Transaction'!A:B,2,FALSE)</f>
        <v>418506</v>
      </c>
      <c r="I4065">
        <f t="shared" si="63"/>
        <v>2013</v>
      </c>
    </row>
    <row r="4066" spans="1:9">
      <c r="A4066" s="1">
        <v>10166</v>
      </c>
      <c r="B4066" s="1">
        <v>5</v>
      </c>
      <c r="C4066" s="2">
        <v>41555</v>
      </c>
      <c r="D4066" s="1" t="s">
        <v>2002</v>
      </c>
      <c r="E4066" s="1">
        <v>102296</v>
      </c>
      <c r="F4066" s="6" t="s">
        <v>6068</v>
      </c>
      <c r="G4066" s="15" t="str">
        <f>VLOOKUP(A4066,Movie!A:D,4,FALSE)</f>
        <v>Fox</v>
      </c>
      <c r="H4066" s="14">
        <f>VLOOKUP(E4066,'Rental Transaction'!A:B,2,FALSE)</f>
        <v>418506</v>
      </c>
      <c r="I4066">
        <f t="shared" si="63"/>
        <v>2013</v>
      </c>
    </row>
    <row r="4067" spans="1:9">
      <c r="A4067" s="1">
        <v>10166</v>
      </c>
      <c r="B4067" s="1">
        <v>4</v>
      </c>
      <c r="C4067" s="2">
        <v>41552</v>
      </c>
      <c r="D4067" s="1" t="s">
        <v>2002</v>
      </c>
      <c r="E4067" s="1">
        <v>102297</v>
      </c>
      <c r="F4067" s="6" t="s">
        <v>6069</v>
      </c>
      <c r="G4067" s="15" t="str">
        <f>VLOOKUP(A4067,Movie!A:D,4,FALSE)</f>
        <v>Fox</v>
      </c>
      <c r="H4067" s="14">
        <f>VLOOKUP(E4067,'Rental Transaction'!A:B,2,FALSE)</f>
        <v>701211</v>
      </c>
      <c r="I4067">
        <f t="shared" si="63"/>
        <v>2013</v>
      </c>
    </row>
    <row r="4068" spans="1:9">
      <c r="A4068" s="1">
        <v>10270</v>
      </c>
      <c r="B4068" s="1">
        <v>8</v>
      </c>
      <c r="C4068" s="2">
        <v>41555</v>
      </c>
      <c r="D4068" s="1" t="s">
        <v>2005</v>
      </c>
      <c r="E4068" s="1">
        <v>102302</v>
      </c>
      <c r="F4068" s="6" t="s">
        <v>6070</v>
      </c>
      <c r="G4068" s="15" t="str">
        <f>VLOOKUP(A4068,Movie!A:D,4,FALSE)</f>
        <v>Fox</v>
      </c>
      <c r="H4068" s="14">
        <f>VLOOKUP(E4068,'Rental Transaction'!A:B,2,FALSE)</f>
        <v>110363</v>
      </c>
      <c r="I4068">
        <f t="shared" si="63"/>
        <v>2013</v>
      </c>
    </row>
    <row r="4069" spans="1:9">
      <c r="A4069" s="1">
        <v>10277</v>
      </c>
      <c r="B4069" s="1">
        <v>6</v>
      </c>
      <c r="C4069" s="2">
        <v>41557</v>
      </c>
      <c r="D4069" s="1" t="s">
        <v>2002</v>
      </c>
      <c r="E4069" s="1">
        <v>102303</v>
      </c>
      <c r="F4069" s="6" t="s">
        <v>6071</v>
      </c>
      <c r="G4069" s="15" t="str">
        <f>VLOOKUP(A4069,Movie!A:D,4,FALSE)</f>
        <v>Universal</v>
      </c>
      <c r="H4069" s="14">
        <f>VLOOKUP(E4069,'Rental Transaction'!A:B,2,FALSE)</f>
        <v>592528</v>
      </c>
      <c r="I4069">
        <f t="shared" si="63"/>
        <v>2013</v>
      </c>
    </row>
    <row r="4070" spans="1:9">
      <c r="A4070" s="1">
        <v>10238</v>
      </c>
      <c r="B4070" s="1">
        <v>9</v>
      </c>
      <c r="C4070" s="2">
        <v>41555</v>
      </c>
      <c r="D4070" s="1" t="s">
        <v>2005</v>
      </c>
      <c r="E4070" s="1">
        <v>102304</v>
      </c>
      <c r="F4070" s="6" t="s">
        <v>6072</v>
      </c>
      <c r="G4070" s="15" t="str">
        <f>VLOOKUP(A4070,Movie!A:D,4,FALSE)</f>
        <v>Warner Brothers</v>
      </c>
      <c r="H4070" s="14">
        <f>VLOOKUP(E4070,'Rental Transaction'!A:B,2,FALSE)</f>
        <v>274541</v>
      </c>
      <c r="I4070">
        <f t="shared" si="63"/>
        <v>2013</v>
      </c>
    </row>
    <row r="4071" spans="1:9">
      <c r="A4071" s="1">
        <v>10297</v>
      </c>
      <c r="B4071" s="1">
        <v>10</v>
      </c>
      <c r="C4071" s="2">
        <v>41554</v>
      </c>
      <c r="D4071" s="1" t="s">
        <v>2005</v>
      </c>
      <c r="E4071" s="1">
        <v>102306</v>
      </c>
      <c r="F4071" s="6" t="s">
        <v>6073</v>
      </c>
      <c r="G4071" s="15" t="str">
        <f>VLOOKUP(A4071,Movie!A:D,4,FALSE)</f>
        <v>Focus</v>
      </c>
      <c r="H4071" s="14">
        <f>VLOOKUP(E4071,'Rental Transaction'!A:B,2,FALSE)</f>
        <v>111486</v>
      </c>
      <c r="I4071">
        <f t="shared" si="63"/>
        <v>2013</v>
      </c>
    </row>
    <row r="4072" spans="1:9">
      <c r="A4072" s="1">
        <v>10155</v>
      </c>
      <c r="B4072" s="1">
        <v>1</v>
      </c>
      <c r="C4072" s="2">
        <v>41556</v>
      </c>
      <c r="D4072" s="1" t="s">
        <v>2002</v>
      </c>
      <c r="E4072" s="1">
        <v>102307</v>
      </c>
      <c r="F4072" s="6" t="s">
        <v>6074</v>
      </c>
      <c r="G4072" s="15" t="str">
        <f>VLOOKUP(A4072,Movie!A:D,4,FALSE)</f>
        <v>Fox</v>
      </c>
      <c r="H4072" s="14">
        <f>VLOOKUP(E4072,'Rental Transaction'!A:B,2,FALSE)</f>
        <v>651462</v>
      </c>
      <c r="I4072">
        <f t="shared" si="63"/>
        <v>2013</v>
      </c>
    </row>
    <row r="4073" spans="1:9">
      <c r="A4073" s="1">
        <v>10282</v>
      </c>
      <c r="B4073" s="1">
        <v>8</v>
      </c>
      <c r="C4073" s="2">
        <v>41554</v>
      </c>
      <c r="D4073" s="1" t="s">
        <v>2002</v>
      </c>
      <c r="E4073" s="1">
        <v>102307</v>
      </c>
      <c r="F4073" s="6" t="s">
        <v>6075</v>
      </c>
      <c r="G4073" s="15" t="str">
        <f>VLOOKUP(A4073,Movie!A:D,4,FALSE)</f>
        <v>Sony Classics</v>
      </c>
      <c r="H4073" s="14">
        <f>VLOOKUP(E4073,'Rental Transaction'!A:B,2,FALSE)</f>
        <v>651462</v>
      </c>
      <c r="I4073">
        <f t="shared" si="63"/>
        <v>2013</v>
      </c>
    </row>
    <row r="4074" spans="1:9">
      <c r="A4074" s="1">
        <v>10080</v>
      </c>
      <c r="B4074" s="1">
        <v>3</v>
      </c>
      <c r="C4074" s="2">
        <v>41556</v>
      </c>
      <c r="D4074" s="1" t="s">
        <v>2002</v>
      </c>
      <c r="E4074" s="1">
        <v>102311</v>
      </c>
      <c r="F4074" s="6" t="s">
        <v>6076</v>
      </c>
      <c r="G4074" s="15" t="str">
        <f>VLOOKUP(A4074,Movie!A:D,4,FALSE)</f>
        <v>Buena Vista</v>
      </c>
      <c r="H4074" s="14">
        <f>VLOOKUP(E4074,'Rental Transaction'!A:B,2,FALSE)</f>
        <v>161175</v>
      </c>
      <c r="I4074">
        <f t="shared" si="63"/>
        <v>2013</v>
      </c>
    </row>
    <row r="4075" spans="1:9">
      <c r="A4075" s="1">
        <v>10185</v>
      </c>
      <c r="B4075" s="1">
        <v>2</v>
      </c>
      <c r="C4075" s="2">
        <v>41555</v>
      </c>
      <c r="D4075" s="1" t="s">
        <v>2002</v>
      </c>
      <c r="E4075" s="1">
        <v>102312</v>
      </c>
      <c r="F4075" s="6" t="s">
        <v>6077</v>
      </c>
      <c r="G4075" s="15" t="str">
        <f>VLOOKUP(A4075,Movie!A:D,4,FALSE)</f>
        <v>Warner Brothers</v>
      </c>
      <c r="H4075" s="14">
        <f>VLOOKUP(E4075,'Rental Transaction'!A:B,2,FALSE)</f>
        <v>765237</v>
      </c>
      <c r="I4075">
        <f t="shared" si="63"/>
        <v>2013</v>
      </c>
    </row>
    <row r="4076" spans="1:9">
      <c r="A4076" s="1">
        <v>10203</v>
      </c>
      <c r="B4076" s="1">
        <v>9</v>
      </c>
      <c r="C4076" s="2">
        <v>41559</v>
      </c>
      <c r="D4076" s="1" t="s">
        <v>2005</v>
      </c>
      <c r="E4076" s="1">
        <v>102313</v>
      </c>
      <c r="F4076" s="6" t="s">
        <v>6078</v>
      </c>
      <c r="G4076" s="15" t="str">
        <f>VLOOKUP(A4076,Movie!A:D,4,FALSE)</f>
        <v>Buena Vista</v>
      </c>
      <c r="H4076" s="14">
        <f>VLOOKUP(E4076,'Rental Transaction'!A:B,2,FALSE)</f>
        <v>958321</v>
      </c>
      <c r="I4076">
        <f t="shared" si="63"/>
        <v>2013</v>
      </c>
    </row>
    <row r="4077" spans="1:9">
      <c r="A4077" s="1">
        <v>10038</v>
      </c>
      <c r="B4077" s="1">
        <v>9</v>
      </c>
      <c r="C4077" s="2">
        <v>41555</v>
      </c>
      <c r="D4077" s="1" t="s">
        <v>2002</v>
      </c>
      <c r="E4077" s="1">
        <v>102318</v>
      </c>
      <c r="F4077" s="6" t="s">
        <v>6079</v>
      </c>
      <c r="G4077" s="15" t="str">
        <f>VLOOKUP(A4077,Movie!A:D,4,FALSE)</f>
        <v>Paramount</v>
      </c>
      <c r="H4077" s="14">
        <f>VLOOKUP(E4077,'Rental Transaction'!A:B,2,FALSE)</f>
        <v>325263</v>
      </c>
      <c r="I4077">
        <f t="shared" si="63"/>
        <v>2013</v>
      </c>
    </row>
    <row r="4078" spans="1:9">
      <c r="A4078" s="1">
        <v>10236</v>
      </c>
      <c r="B4078" s="1">
        <v>10</v>
      </c>
      <c r="C4078" s="2">
        <v>41555</v>
      </c>
      <c r="D4078" s="1" t="s">
        <v>2002</v>
      </c>
      <c r="E4078" s="1">
        <v>102318</v>
      </c>
      <c r="F4078" s="6" t="s">
        <v>6080</v>
      </c>
      <c r="G4078" s="15" t="str">
        <f>VLOOKUP(A4078,Movie!A:D,4,FALSE)</f>
        <v>Lionsgate</v>
      </c>
      <c r="H4078" s="14">
        <f>VLOOKUP(E4078,'Rental Transaction'!A:B,2,FALSE)</f>
        <v>325263</v>
      </c>
      <c r="I4078">
        <f t="shared" si="63"/>
        <v>2013</v>
      </c>
    </row>
    <row r="4079" spans="1:9">
      <c r="A4079" s="1">
        <v>10289</v>
      </c>
      <c r="B4079" s="1">
        <v>8</v>
      </c>
      <c r="C4079" s="2">
        <v>41555</v>
      </c>
      <c r="D4079" s="1" t="s">
        <v>2002</v>
      </c>
      <c r="E4079" s="1">
        <v>102318</v>
      </c>
      <c r="F4079" s="6" t="s">
        <v>6081</v>
      </c>
      <c r="G4079" s="15" t="str">
        <f>VLOOKUP(A4079,Movie!A:D,4,FALSE)</f>
        <v>Open Road Films</v>
      </c>
      <c r="H4079" s="14">
        <f>VLOOKUP(E4079,'Rental Transaction'!A:B,2,FALSE)</f>
        <v>325263</v>
      </c>
      <c r="I4079">
        <f t="shared" si="63"/>
        <v>2013</v>
      </c>
    </row>
    <row r="4080" spans="1:9">
      <c r="A4080" s="1">
        <v>10009</v>
      </c>
      <c r="B4080" s="1">
        <v>3</v>
      </c>
      <c r="C4080" s="2">
        <v>41555</v>
      </c>
      <c r="D4080" s="1" t="s">
        <v>2005</v>
      </c>
      <c r="E4080" s="1">
        <v>102321</v>
      </c>
      <c r="F4080" s="6" t="s">
        <v>6082</v>
      </c>
      <c r="G4080" s="15" t="str">
        <f>VLOOKUP(A4080,Movie!A:D,4,FALSE)</f>
        <v>Warner Brothers</v>
      </c>
      <c r="H4080" s="14">
        <f>VLOOKUP(E4080,'Rental Transaction'!A:B,2,FALSE)</f>
        <v>551950</v>
      </c>
      <c r="I4080">
        <f t="shared" si="63"/>
        <v>2013</v>
      </c>
    </row>
    <row r="4081" spans="1:9">
      <c r="A4081" s="1">
        <v>10101</v>
      </c>
      <c r="B4081" s="1">
        <v>8</v>
      </c>
      <c r="C4081" s="2">
        <v>41555</v>
      </c>
      <c r="D4081" s="1" t="s">
        <v>2005</v>
      </c>
      <c r="E4081" s="1">
        <v>102322</v>
      </c>
      <c r="F4081" s="6" t="s">
        <v>6083</v>
      </c>
      <c r="G4081" s="15" t="str">
        <f>VLOOKUP(A4081,Movie!A:D,4,FALSE)</f>
        <v>Sony</v>
      </c>
      <c r="H4081" s="14">
        <f>VLOOKUP(E4081,'Rental Transaction'!A:B,2,FALSE)</f>
        <v>105549</v>
      </c>
      <c r="I4081">
        <f t="shared" si="63"/>
        <v>2013</v>
      </c>
    </row>
    <row r="4082" spans="1:9">
      <c r="A4082" s="1">
        <v>10231</v>
      </c>
      <c r="B4082" s="1">
        <v>10</v>
      </c>
      <c r="C4082" s="2">
        <v>41559</v>
      </c>
      <c r="D4082" s="1" t="s">
        <v>2005</v>
      </c>
      <c r="E4082" s="1">
        <v>102322</v>
      </c>
      <c r="F4082" s="6" t="s">
        <v>6084</v>
      </c>
      <c r="G4082" s="15" t="str">
        <f>VLOOKUP(A4082,Movie!A:D,4,FALSE)</f>
        <v>Universal</v>
      </c>
      <c r="H4082" s="14">
        <f>VLOOKUP(E4082,'Rental Transaction'!A:B,2,FALSE)</f>
        <v>105549</v>
      </c>
      <c r="I4082">
        <f t="shared" si="63"/>
        <v>2013</v>
      </c>
    </row>
    <row r="4083" spans="1:9">
      <c r="A4083" s="1">
        <v>10235</v>
      </c>
      <c r="B4083" s="1">
        <v>7</v>
      </c>
      <c r="C4083" s="2">
        <v>41557</v>
      </c>
      <c r="D4083" s="1" t="s">
        <v>2005</v>
      </c>
      <c r="E4083" s="1">
        <v>102324</v>
      </c>
      <c r="F4083" s="6" t="s">
        <v>6085</v>
      </c>
      <c r="G4083" s="15" t="str">
        <f>VLOOKUP(A4083,Movie!A:D,4,FALSE)</f>
        <v>Lionsgate</v>
      </c>
      <c r="H4083" s="14">
        <f>VLOOKUP(E4083,'Rental Transaction'!A:B,2,FALSE)</f>
        <v>157388</v>
      </c>
      <c r="I4083">
        <f t="shared" si="63"/>
        <v>2013</v>
      </c>
    </row>
    <row r="4084" spans="1:9">
      <c r="A4084" s="1">
        <v>10236</v>
      </c>
      <c r="B4084" s="1">
        <v>9</v>
      </c>
      <c r="C4084" s="2">
        <v>41556</v>
      </c>
      <c r="D4084" s="1" t="s">
        <v>2002</v>
      </c>
      <c r="E4084" s="1">
        <v>102324</v>
      </c>
      <c r="F4084" s="6" t="s">
        <v>6086</v>
      </c>
      <c r="G4084" s="15" t="str">
        <f>VLOOKUP(A4084,Movie!A:D,4,FALSE)</f>
        <v>Lionsgate</v>
      </c>
      <c r="H4084" s="14">
        <f>VLOOKUP(E4084,'Rental Transaction'!A:B,2,FALSE)</f>
        <v>157388</v>
      </c>
      <c r="I4084">
        <f t="shared" si="63"/>
        <v>2013</v>
      </c>
    </row>
    <row r="4085" spans="1:9">
      <c r="A4085" s="1">
        <v>10276</v>
      </c>
      <c r="B4085" s="1">
        <v>7</v>
      </c>
      <c r="C4085" s="2">
        <v>41556</v>
      </c>
      <c r="D4085" s="1" t="s">
        <v>2002</v>
      </c>
      <c r="E4085" s="1">
        <v>102324</v>
      </c>
      <c r="F4085" s="6" t="s">
        <v>6087</v>
      </c>
      <c r="G4085" s="15" t="str">
        <f>VLOOKUP(A4085,Movie!A:D,4,FALSE)</f>
        <v>FilmDistrict</v>
      </c>
      <c r="H4085" s="14">
        <f>VLOOKUP(E4085,'Rental Transaction'!A:B,2,FALSE)</f>
        <v>157388</v>
      </c>
      <c r="I4085">
        <f t="shared" si="63"/>
        <v>2013</v>
      </c>
    </row>
    <row r="4086" spans="1:9">
      <c r="A4086" s="1">
        <v>10148</v>
      </c>
      <c r="B4086" s="1">
        <v>9</v>
      </c>
      <c r="C4086" s="2">
        <v>41559</v>
      </c>
      <c r="D4086" s="1" t="s">
        <v>2002</v>
      </c>
      <c r="E4086" s="1">
        <v>102326</v>
      </c>
      <c r="F4086" s="6" t="s">
        <v>6088</v>
      </c>
      <c r="G4086" s="15" t="str">
        <f>VLOOKUP(A4086,Movie!A:D,4,FALSE)</f>
        <v>Paramount</v>
      </c>
      <c r="H4086" s="14">
        <f>VLOOKUP(E4086,'Rental Transaction'!A:B,2,FALSE)</f>
        <v>116934</v>
      </c>
      <c r="I4086">
        <f t="shared" si="63"/>
        <v>2013</v>
      </c>
    </row>
    <row r="4087" spans="1:9">
      <c r="A4087" s="1">
        <v>10125</v>
      </c>
      <c r="B4087" s="1">
        <v>7</v>
      </c>
      <c r="C4087" s="2">
        <v>41556</v>
      </c>
      <c r="D4087" s="1" t="s">
        <v>2002</v>
      </c>
      <c r="E4087" s="1">
        <v>102327</v>
      </c>
      <c r="F4087" s="6" t="s">
        <v>6089</v>
      </c>
      <c r="G4087" s="15" t="str">
        <f>VLOOKUP(A4087,Movie!A:D,4,FALSE)</f>
        <v>Fox</v>
      </c>
      <c r="H4087" s="14">
        <f>VLOOKUP(E4087,'Rental Transaction'!A:B,2,FALSE)</f>
        <v>734514</v>
      </c>
      <c r="I4087">
        <f t="shared" si="63"/>
        <v>2013</v>
      </c>
    </row>
    <row r="4088" spans="1:9">
      <c r="A4088" s="1">
        <v>10207</v>
      </c>
      <c r="B4088" s="1">
        <v>3</v>
      </c>
      <c r="C4088" s="2">
        <v>41557</v>
      </c>
      <c r="D4088" s="1" t="s">
        <v>2002</v>
      </c>
      <c r="E4088" s="1">
        <v>102328</v>
      </c>
      <c r="F4088" s="6" t="s">
        <v>6090</v>
      </c>
      <c r="G4088" s="15" t="str">
        <f>VLOOKUP(A4088,Movie!A:D,4,FALSE)</f>
        <v>Paramount</v>
      </c>
      <c r="H4088" s="14">
        <f>VLOOKUP(E4088,'Rental Transaction'!A:B,2,FALSE)</f>
        <v>520196</v>
      </c>
      <c r="I4088">
        <f t="shared" si="63"/>
        <v>2013</v>
      </c>
    </row>
    <row r="4089" spans="1:9">
      <c r="A4089" s="1">
        <v>10288</v>
      </c>
      <c r="B4089" s="1">
        <v>10</v>
      </c>
      <c r="C4089" s="2">
        <v>41558</v>
      </c>
      <c r="D4089" s="1" t="s">
        <v>2002</v>
      </c>
      <c r="E4089" s="1">
        <v>102328</v>
      </c>
      <c r="F4089" s="6" t="s">
        <v>6091</v>
      </c>
      <c r="G4089" s="15" t="str">
        <f>VLOOKUP(A4089,Movie!A:D,4,FALSE)</f>
        <v>Relativity</v>
      </c>
      <c r="H4089" s="14">
        <f>VLOOKUP(E4089,'Rental Transaction'!A:B,2,FALSE)</f>
        <v>520196</v>
      </c>
      <c r="I4089">
        <f t="shared" si="63"/>
        <v>2013</v>
      </c>
    </row>
    <row r="4090" spans="1:9">
      <c r="A4090" s="1">
        <v>10152</v>
      </c>
      <c r="B4090" s="1">
        <v>5</v>
      </c>
      <c r="C4090" s="2">
        <v>41558</v>
      </c>
      <c r="D4090" s="1" t="s">
        <v>2002</v>
      </c>
      <c r="E4090" s="1">
        <v>102330</v>
      </c>
      <c r="F4090" s="6" t="s">
        <v>6092</v>
      </c>
      <c r="G4090" s="15" t="str">
        <f>VLOOKUP(A4090,Movie!A:D,4,FALSE)</f>
        <v>FilmDistrict</v>
      </c>
      <c r="H4090" s="14">
        <f>VLOOKUP(E4090,'Rental Transaction'!A:B,2,FALSE)</f>
        <v>884729</v>
      </c>
      <c r="I4090">
        <f t="shared" si="63"/>
        <v>2013</v>
      </c>
    </row>
    <row r="4091" spans="1:9">
      <c r="A4091" s="1">
        <v>10288</v>
      </c>
      <c r="B4091" s="1">
        <v>9</v>
      </c>
      <c r="C4091" s="2">
        <v>41557</v>
      </c>
      <c r="D4091" s="1" t="s">
        <v>2002</v>
      </c>
      <c r="E4091" s="1">
        <v>102330</v>
      </c>
      <c r="F4091" s="6" t="s">
        <v>6093</v>
      </c>
      <c r="G4091" s="15" t="str">
        <f>VLOOKUP(A4091,Movie!A:D,4,FALSE)</f>
        <v>Relativity</v>
      </c>
      <c r="H4091" s="14">
        <f>VLOOKUP(E4091,'Rental Transaction'!A:B,2,FALSE)</f>
        <v>884729</v>
      </c>
      <c r="I4091">
        <f t="shared" si="63"/>
        <v>2013</v>
      </c>
    </row>
    <row r="4092" spans="1:9">
      <c r="A4092" s="1">
        <v>10155</v>
      </c>
      <c r="B4092" s="1">
        <v>7</v>
      </c>
      <c r="C4092" s="2">
        <v>41557</v>
      </c>
      <c r="D4092" s="1" t="s">
        <v>2005</v>
      </c>
      <c r="E4092" s="1">
        <v>102331</v>
      </c>
      <c r="F4092" s="6" t="s">
        <v>6094</v>
      </c>
      <c r="G4092" s="15" t="str">
        <f>VLOOKUP(A4092,Movie!A:D,4,FALSE)</f>
        <v>Fox</v>
      </c>
      <c r="H4092" s="14">
        <f>VLOOKUP(E4092,'Rental Transaction'!A:B,2,FALSE)</f>
        <v>689877</v>
      </c>
      <c r="I4092">
        <f t="shared" si="63"/>
        <v>2013</v>
      </c>
    </row>
    <row r="4093" spans="1:9">
      <c r="A4093" s="1">
        <v>10122</v>
      </c>
      <c r="B4093" s="1">
        <v>2</v>
      </c>
      <c r="C4093" s="2">
        <v>41557</v>
      </c>
      <c r="D4093" s="1" t="s">
        <v>2002</v>
      </c>
      <c r="E4093" s="1">
        <v>102333</v>
      </c>
      <c r="F4093" s="6" t="s">
        <v>6095</v>
      </c>
      <c r="G4093" s="15" t="str">
        <f>VLOOKUP(A4093,Movie!A:D,4,FALSE)</f>
        <v>Relativity</v>
      </c>
      <c r="H4093" s="14">
        <f>VLOOKUP(E4093,'Rental Transaction'!A:B,2,FALSE)</f>
        <v>315634</v>
      </c>
      <c r="I4093">
        <f t="shared" si="63"/>
        <v>2013</v>
      </c>
    </row>
    <row r="4094" spans="1:9">
      <c r="A4094" s="1">
        <v>10185</v>
      </c>
      <c r="B4094" s="1">
        <v>5</v>
      </c>
      <c r="C4094" s="2">
        <v>41558</v>
      </c>
      <c r="D4094" s="1" t="s">
        <v>2002</v>
      </c>
      <c r="E4094" s="1">
        <v>102334</v>
      </c>
      <c r="F4094" s="6" t="s">
        <v>6096</v>
      </c>
      <c r="G4094" s="15" t="str">
        <f>VLOOKUP(A4094,Movie!A:D,4,FALSE)</f>
        <v>Warner Brothers</v>
      </c>
      <c r="H4094" s="14">
        <f>VLOOKUP(E4094,'Rental Transaction'!A:B,2,FALSE)</f>
        <v>433442</v>
      </c>
      <c r="I4094">
        <f t="shared" si="63"/>
        <v>2013</v>
      </c>
    </row>
    <row r="4095" spans="1:9">
      <c r="A4095" s="1">
        <v>10268</v>
      </c>
      <c r="B4095" s="1">
        <v>1</v>
      </c>
      <c r="C4095" s="2">
        <v>41557</v>
      </c>
      <c r="D4095" s="1" t="s">
        <v>2002</v>
      </c>
      <c r="E4095" s="1">
        <v>102334</v>
      </c>
      <c r="F4095" s="6" t="s">
        <v>6097</v>
      </c>
      <c r="G4095" s="15" t="str">
        <f>VLOOKUP(A4095,Movie!A:D,4,FALSE)</f>
        <v>Buena Vista</v>
      </c>
      <c r="H4095" s="14">
        <f>VLOOKUP(E4095,'Rental Transaction'!A:B,2,FALSE)</f>
        <v>433442</v>
      </c>
      <c r="I4095">
        <f t="shared" si="63"/>
        <v>2013</v>
      </c>
    </row>
    <row r="4096" spans="1:9">
      <c r="A4096" s="1">
        <v>10198</v>
      </c>
      <c r="B4096" s="1">
        <v>10</v>
      </c>
      <c r="C4096" s="2">
        <v>41558</v>
      </c>
      <c r="D4096" s="1" t="s">
        <v>2005</v>
      </c>
      <c r="E4096" s="1">
        <v>102335</v>
      </c>
      <c r="F4096" s="6" t="s">
        <v>6098</v>
      </c>
      <c r="G4096" s="15" t="str">
        <f>VLOOKUP(A4096,Movie!A:D,4,FALSE)</f>
        <v>Fox</v>
      </c>
      <c r="H4096" s="14">
        <f>VLOOKUP(E4096,'Rental Transaction'!A:B,2,FALSE)</f>
        <v>884607</v>
      </c>
      <c r="I4096">
        <f t="shared" si="63"/>
        <v>2013</v>
      </c>
    </row>
    <row r="4097" spans="1:9">
      <c r="A4097" s="1">
        <v>10269</v>
      </c>
      <c r="B4097" s="1">
        <v>7</v>
      </c>
      <c r="C4097" s="2">
        <v>41558</v>
      </c>
      <c r="D4097" s="1" t="s">
        <v>2002</v>
      </c>
      <c r="E4097" s="1">
        <v>102336</v>
      </c>
      <c r="F4097" s="6" t="s">
        <v>6099</v>
      </c>
      <c r="G4097" s="15" t="str">
        <f>VLOOKUP(A4097,Movie!A:D,4,FALSE)</f>
        <v>Buena Vista</v>
      </c>
      <c r="H4097" s="14">
        <f>VLOOKUP(E4097,'Rental Transaction'!A:B,2,FALSE)</f>
        <v>739669</v>
      </c>
      <c r="I4097">
        <f t="shared" si="63"/>
        <v>2013</v>
      </c>
    </row>
    <row r="4098" spans="1:9">
      <c r="A4098" s="1">
        <v>10119</v>
      </c>
      <c r="B4098" s="1">
        <v>8</v>
      </c>
      <c r="C4098" s="2">
        <v>41559</v>
      </c>
      <c r="D4098" s="1" t="s">
        <v>2002</v>
      </c>
      <c r="E4098" s="1">
        <v>102336</v>
      </c>
      <c r="F4098" s="6" t="s">
        <v>6100</v>
      </c>
      <c r="G4098" s="15" t="str">
        <f>VLOOKUP(A4098,Movie!A:D,4,FALSE)</f>
        <v>Universal</v>
      </c>
      <c r="H4098" s="14">
        <f>VLOOKUP(E4098,'Rental Transaction'!A:B,2,FALSE)</f>
        <v>739669</v>
      </c>
      <c r="I4098">
        <f t="shared" si="63"/>
        <v>2013</v>
      </c>
    </row>
    <row r="4099" spans="1:9">
      <c r="A4099" s="1">
        <v>10201</v>
      </c>
      <c r="B4099" s="1">
        <v>8</v>
      </c>
      <c r="C4099" s="2">
        <v>41558</v>
      </c>
      <c r="D4099" s="1" t="s">
        <v>2002</v>
      </c>
      <c r="E4099" s="1">
        <v>102338</v>
      </c>
      <c r="F4099" s="6" t="s">
        <v>6101</v>
      </c>
      <c r="G4099" s="15" t="str">
        <f>VLOOKUP(A4099,Movie!A:D,4,FALSE)</f>
        <v>Screen Gems</v>
      </c>
      <c r="H4099" s="14">
        <f>VLOOKUP(E4099,'Rental Transaction'!A:B,2,FALSE)</f>
        <v>190721</v>
      </c>
      <c r="I4099">
        <f t="shared" ref="I4099:I4162" si="64">YEAR(C4099)</f>
        <v>2013</v>
      </c>
    </row>
    <row r="4100" spans="1:9">
      <c r="A4100" s="1">
        <v>10217</v>
      </c>
      <c r="B4100" s="1">
        <v>4</v>
      </c>
      <c r="C4100" s="2">
        <v>41559</v>
      </c>
      <c r="D4100" s="1" t="s">
        <v>2002</v>
      </c>
      <c r="E4100" s="1">
        <v>102339</v>
      </c>
      <c r="F4100" s="6" t="s">
        <v>6102</v>
      </c>
      <c r="G4100" s="15" t="str">
        <f>VLOOKUP(A4100,Movie!A:D,4,FALSE)</f>
        <v>Warner Brothers</v>
      </c>
      <c r="H4100" s="14">
        <f>VLOOKUP(E4100,'Rental Transaction'!A:B,2,FALSE)</f>
        <v>667170</v>
      </c>
      <c r="I4100">
        <f t="shared" si="64"/>
        <v>2013</v>
      </c>
    </row>
    <row r="4101" spans="1:9">
      <c r="A4101" s="1">
        <v>10109</v>
      </c>
      <c r="B4101" s="1">
        <v>6</v>
      </c>
      <c r="C4101" s="2">
        <v>41562</v>
      </c>
      <c r="D4101" s="1" t="s">
        <v>2002</v>
      </c>
      <c r="E4101" s="1">
        <v>102339</v>
      </c>
      <c r="F4101" s="6" t="s">
        <v>6103</v>
      </c>
      <c r="G4101" s="15" t="str">
        <f>VLOOKUP(A4101,Movie!A:D,4,FALSE)</f>
        <v>Warner Brothers</v>
      </c>
      <c r="H4101" s="14">
        <f>VLOOKUP(E4101,'Rental Transaction'!A:B,2,FALSE)</f>
        <v>667170</v>
      </c>
      <c r="I4101">
        <f t="shared" si="64"/>
        <v>2013</v>
      </c>
    </row>
    <row r="4102" spans="1:9">
      <c r="A4102" s="1">
        <v>10143</v>
      </c>
      <c r="B4102" s="1">
        <v>8</v>
      </c>
      <c r="C4102" s="2">
        <v>41561</v>
      </c>
      <c r="D4102" s="1" t="s">
        <v>2002</v>
      </c>
      <c r="E4102" s="1">
        <v>102341</v>
      </c>
      <c r="F4102" s="6" t="s">
        <v>6104</v>
      </c>
      <c r="G4102" s="15" t="str">
        <f>VLOOKUP(A4102,Movie!A:D,4,FALSE)</f>
        <v>Buena Vista</v>
      </c>
      <c r="H4102" s="14">
        <f>VLOOKUP(E4102,'Rental Transaction'!A:B,2,FALSE)</f>
        <v>592726</v>
      </c>
      <c r="I4102">
        <f t="shared" si="64"/>
        <v>2013</v>
      </c>
    </row>
    <row r="4103" spans="1:9">
      <c r="A4103" s="1">
        <v>10209</v>
      </c>
      <c r="B4103" s="1">
        <v>3</v>
      </c>
      <c r="C4103" s="2">
        <v>41559</v>
      </c>
      <c r="D4103" s="1" t="s">
        <v>2002</v>
      </c>
      <c r="E4103" s="1">
        <v>102341</v>
      </c>
      <c r="F4103" s="6" t="s">
        <v>6105</v>
      </c>
      <c r="G4103" s="15" t="str">
        <f>VLOOKUP(A4103,Movie!A:D,4,FALSE)</f>
        <v>Universal</v>
      </c>
      <c r="H4103" s="14">
        <f>VLOOKUP(E4103,'Rental Transaction'!A:B,2,FALSE)</f>
        <v>592726</v>
      </c>
      <c r="I4103">
        <f t="shared" si="64"/>
        <v>2013</v>
      </c>
    </row>
    <row r="4104" spans="1:9">
      <c r="A4104" s="1">
        <v>10288</v>
      </c>
      <c r="B4104" s="1">
        <v>9</v>
      </c>
      <c r="C4104" s="2">
        <v>41558</v>
      </c>
      <c r="D4104" s="1" t="s">
        <v>2002</v>
      </c>
      <c r="E4104" s="1">
        <v>102342</v>
      </c>
      <c r="F4104" s="6" t="s">
        <v>6106</v>
      </c>
      <c r="G4104" s="15" t="str">
        <f>VLOOKUP(A4104,Movie!A:D,4,FALSE)</f>
        <v>Relativity</v>
      </c>
      <c r="H4104" s="14">
        <f>VLOOKUP(E4104,'Rental Transaction'!A:B,2,FALSE)</f>
        <v>720602</v>
      </c>
      <c r="I4104">
        <f t="shared" si="64"/>
        <v>2013</v>
      </c>
    </row>
    <row r="4105" spans="1:9">
      <c r="A4105" s="1">
        <v>10194</v>
      </c>
      <c r="B4105" s="1">
        <v>2</v>
      </c>
      <c r="C4105" s="2">
        <v>41558</v>
      </c>
      <c r="D4105" s="1" t="s">
        <v>2002</v>
      </c>
      <c r="E4105" s="1">
        <v>102342</v>
      </c>
      <c r="F4105" s="6" t="s">
        <v>6107</v>
      </c>
      <c r="G4105" s="15" t="str">
        <f>VLOOKUP(A4105,Movie!A:D,4,FALSE)</f>
        <v>FilmDistrict</v>
      </c>
      <c r="H4105" s="14">
        <f>VLOOKUP(E4105,'Rental Transaction'!A:B,2,FALSE)</f>
        <v>720602</v>
      </c>
      <c r="I4105">
        <f t="shared" si="64"/>
        <v>2013</v>
      </c>
    </row>
    <row r="4106" spans="1:9">
      <c r="A4106" s="1">
        <v>10260</v>
      </c>
      <c r="B4106" s="1">
        <v>4</v>
      </c>
      <c r="C4106" s="2">
        <v>41564</v>
      </c>
      <c r="D4106" s="1" t="s">
        <v>2002</v>
      </c>
      <c r="E4106" s="1">
        <v>102343</v>
      </c>
      <c r="F4106" s="6" t="s">
        <v>6108</v>
      </c>
      <c r="G4106" s="15" t="str">
        <f>VLOOKUP(A4106,Movie!A:D,4,FALSE)</f>
        <v>Sony</v>
      </c>
      <c r="H4106" s="14">
        <f>VLOOKUP(E4106,'Rental Transaction'!A:B,2,FALSE)</f>
        <v>932618</v>
      </c>
      <c r="I4106">
        <f t="shared" si="64"/>
        <v>2013</v>
      </c>
    </row>
    <row r="4107" spans="1:9">
      <c r="A4107" s="1">
        <v>10295</v>
      </c>
      <c r="B4107" s="1">
        <v>10</v>
      </c>
      <c r="C4107" s="2">
        <v>41559</v>
      </c>
      <c r="D4107" s="1" t="s">
        <v>2002</v>
      </c>
      <c r="E4107" s="1">
        <v>102344</v>
      </c>
      <c r="F4107" s="6" t="s">
        <v>6109</v>
      </c>
      <c r="G4107" s="15" t="str">
        <f>VLOOKUP(A4107,Movie!A:D,4,FALSE)</f>
        <v>A24</v>
      </c>
      <c r="H4107" s="14">
        <f>VLOOKUP(E4107,'Rental Transaction'!A:B,2,FALSE)</f>
        <v>427391</v>
      </c>
      <c r="I4107">
        <f t="shared" si="64"/>
        <v>2013</v>
      </c>
    </row>
    <row r="4108" spans="1:9">
      <c r="A4108" s="1">
        <v>10270</v>
      </c>
      <c r="B4108" s="1">
        <v>10</v>
      </c>
      <c r="C4108" s="2">
        <v>41561</v>
      </c>
      <c r="D4108" s="1" t="s">
        <v>2002</v>
      </c>
      <c r="E4108" s="1">
        <v>102346</v>
      </c>
      <c r="F4108" s="6" t="s">
        <v>6110</v>
      </c>
      <c r="G4108" s="15" t="str">
        <f>VLOOKUP(A4108,Movie!A:D,4,FALSE)</f>
        <v>Fox</v>
      </c>
      <c r="H4108" s="14">
        <f>VLOOKUP(E4108,'Rental Transaction'!A:B,2,FALSE)</f>
        <v>567719</v>
      </c>
      <c r="I4108">
        <f t="shared" si="64"/>
        <v>2013</v>
      </c>
    </row>
    <row r="4109" spans="1:9">
      <c r="A4109" s="1">
        <v>10270</v>
      </c>
      <c r="B4109" s="1">
        <v>7</v>
      </c>
      <c r="C4109" s="2">
        <v>41559</v>
      </c>
      <c r="D4109" s="1" t="s">
        <v>2005</v>
      </c>
      <c r="E4109" s="1">
        <v>102347</v>
      </c>
      <c r="F4109" s="6" t="s">
        <v>6111</v>
      </c>
      <c r="G4109" s="15" t="str">
        <f>VLOOKUP(A4109,Movie!A:D,4,FALSE)</f>
        <v>Fox</v>
      </c>
      <c r="H4109" s="14">
        <f>VLOOKUP(E4109,'Rental Transaction'!A:B,2,FALSE)</f>
        <v>607810</v>
      </c>
      <c r="I4109">
        <f t="shared" si="64"/>
        <v>2013</v>
      </c>
    </row>
    <row r="4110" spans="1:9">
      <c r="A4110" s="1">
        <v>10295</v>
      </c>
      <c r="B4110" s="1">
        <v>6</v>
      </c>
      <c r="C4110" s="2">
        <v>41561</v>
      </c>
      <c r="D4110" s="1" t="s">
        <v>2002</v>
      </c>
      <c r="E4110" s="1">
        <v>102350</v>
      </c>
      <c r="F4110" s="6" t="s">
        <v>6112</v>
      </c>
      <c r="G4110" s="15" t="str">
        <f>VLOOKUP(A4110,Movie!A:D,4,FALSE)</f>
        <v>A24</v>
      </c>
      <c r="H4110" s="14">
        <f>VLOOKUP(E4110,'Rental Transaction'!A:B,2,FALSE)</f>
        <v>884729</v>
      </c>
      <c r="I4110">
        <f t="shared" si="64"/>
        <v>2013</v>
      </c>
    </row>
    <row r="4111" spans="1:9">
      <c r="A4111" s="1">
        <v>10178</v>
      </c>
      <c r="B4111" s="1">
        <v>5</v>
      </c>
      <c r="C4111" s="2">
        <v>41560</v>
      </c>
      <c r="D4111" s="1" t="s">
        <v>2002</v>
      </c>
      <c r="E4111" s="1">
        <v>102351</v>
      </c>
      <c r="F4111" s="6" t="s">
        <v>6113</v>
      </c>
      <c r="G4111" s="15" t="str">
        <f>VLOOKUP(A4111,Movie!A:D,4,FALSE)</f>
        <v>Warner Brothers</v>
      </c>
      <c r="H4111" s="14">
        <f>VLOOKUP(E4111,'Rental Transaction'!A:B,2,FALSE)</f>
        <v>900440</v>
      </c>
      <c r="I4111">
        <f t="shared" si="64"/>
        <v>2013</v>
      </c>
    </row>
    <row r="4112" spans="1:9">
      <c r="A4112" s="1">
        <v>10299</v>
      </c>
      <c r="B4112" s="1">
        <v>4</v>
      </c>
      <c r="C4112" s="2">
        <v>41560</v>
      </c>
      <c r="D4112" s="1" t="s">
        <v>2005</v>
      </c>
      <c r="E4112" s="1">
        <v>102352</v>
      </c>
      <c r="F4112" s="6" t="s">
        <v>6114</v>
      </c>
      <c r="G4112" s="15" t="str">
        <f>VLOOKUP(A4112,Movie!A:D,4,FALSE)</f>
        <v>Radius-TWC</v>
      </c>
      <c r="H4112" s="14">
        <f>VLOOKUP(E4112,'Rental Transaction'!A:B,2,FALSE)</f>
        <v>549823</v>
      </c>
      <c r="I4112">
        <f t="shared" si="64"/>
        <v>2013</v>
      </c>
    </row>
    <row r="4113" spans="1:9">
      <c r="A4113" s="1">
        <v>10167</v>
      </c>
      <c r="B4113" s="1">
        <v>5</v>
      </c>
      <c r="C4113" s="2">
        <v>41560</v>
      </c>
      <c r="D4113" s="1" t="s">
        <v>2005</v>
      </c>
      <c r="E4113" s="1">
        <v>102353</v>
      </c>
      <c r="F4113" s="6" t="s">
        <v>6115</v>
      </c>
      <c r="G4113" s="15" t="str">
        <f>VLOOKUP(A4113,Movie!A:D,4,FALSE)</f>
        <v>Universal</v>
      </c>
      <c r="H4113" s="14">
        <f>VLOOKUP(E4113,'Rental Transaction'!A:B,2,FALSE)</f>
        <v>575903</v>
      </c>
      <c r="I4113">
        <f t="shared" si="64"/>
        <v>2013</v>
      </c>
    </row>
    <row r="4114" spans="1:9">
      <c r="A4114" s="1">
        <v>10286</v>
      </c>
      <c r="B4114" s="1">
        <v>6</v>
      </c>
      <c r="C4114" s="2">
        <v>41560</v>
      </c>
      <c r="D4114" s="1" t="s">
        <v>2002</v>
      </c>
      <c r="E4114" s="1">
        <v>102354</v>
      </c>
      <c r="F4114" s="6" t="s">
        <v>6116</v>
      </c>
      <c r="G4114" s="15" t="str">
        <f>VLOOKUP(A4114,Movie!A:D,4,FALSE)</f>
        <v>Fox Searchlight</v>
      </c>
      <c r="H4114" s="14">
        <f>VLOOKUP(E4114,'Rental Transaction'!A:B,2,FALSE)</f>
        <v>926144</v>
      </c>
      <c r="I4114">
        <f t="shared" si="64"/>
        <v>2013</v>
      </c>
    </row>
    <row r="4115" spans="1:9">
      <c r="A4115" s="1">
        <v>10238</v>
      </c>
      <c r="B4115" s="1">
        <v>4</v>
      </c>
      <c r="C4115" s="2">
        <v>41564</v>
      </c>
      <c r="D4115" s="1" t="s">
        <v>2002</v>
      </c>
      <c r="E4115" s="1">
        <v>102355</v>
      </c>
      <c r="F4115" s="6" t="s">
        <v>6117</v>
      </c>
      <c r="G4115" s="15" t="str">
        <f>VLOOKUP(A4115,Movie!A:D,4,FALSE)</f>
        <v>Warner Brothers</v>
      </c>
      <c r="H4115" s="14">
        <f>VLOOKUP(E4115,'Rental Transaction'!A:B,2,FALSE)</f>
        <v>808421</v>
      </c>
      <c r="I4115">
        <f t="shared" si="64"/>
        <v>2013</v>
      </c>
    </row>
    <row r="4116" spans="1:9">
      <c r="A4116" s="1">
        <v>10085</v>
      </c>
      <c r="B4116" s="1">
        <v>1</v>
      </c>
      <c r="C4116" s="2">
        <v>41560</v>
      </c>
      <c r="D4116" s="1" t="s">
        <v>2002</v>
      </c>
      <c r="E4116" s="1">
        <v>102357</v>
      </c>
      <c r="F4116" s="6" t="s">
        <v>6118</v>
      </c>
      <c r="G4116" s="15" t="str">
        <f>VLOOKUP(A4116,Movie!A:D,4,FALSE)</f>
        <v>Buena Vista</v>
      </c>
      <c r="H4116" s="14">
        <f>VLOOKUP(E4116,'Rental Transaction'!A:B,2,FALSE)</f>
        <v>657736</v>
      </c>
      <c r="I4116">
        <f t="shared" si="64"/>
        <v>2013</v>
      </c>
    </row>
    <row r="4117" spans="1:9">
      <c r="A4117" s="1">
        <v>10216</v>
      </c>
      <c r="B4117" s="1">
        <v>8</v>
      </c>
      <c r="C4117" s="2">
        <v>41560</v>
      </c>
      <c r="D4117" s="1" t="s">
        <v>2002</v>
      </c>
      <c r="E4117" s="1">
        <v>102357</v>
      </c>
      <c r="F4117" s="6" t="s">
        <v>6119</v>
      </c>
      <c r="G4117" s="15" t="str">
        <f>VLOOKUP(A4117,Movie!A:D,4,FALSE)</f>
        <v>Sony</v>
      </c>
      <c r="H4117" s="14">
        <f>VLOOKUP(E4117,'Rental Transaction'!A:B,2,FALSE)</f>
        <v>657736</v>
      </c>
      <c r="I4117">
        <f t="shared" si="64"/>
        <v>2013</v>
      </c>
    </row>
    <row r="4118" spans="1:9">
      <c r="A4118" s="1">
        <v>10248</v>
      </c>
      <c r="B4118" s="1">
        <v>5</v>
      </c>
      <c r="C4118" s="2">
        <v>41562</v>
      </c>
      <c r="D4118" s="1" t="s">
        <v>2002</v>
      </c>
      <c r="E4118" s="1">
        <v>102358</v>
      </c>
      <c r="F4118" s="6" t="s">
        <v>6120</v>
      </c>
      <c r="G4118" s="15" t="str">
        <f>VLOOKUP(A4118,Movie!A:D,4,FALSE)</f>
        <v>Relativity</v>
      </c>
      <c r="H4118" s="14">
        <f>VLOOKUP(E4118,'Rental Transaction'!A:B,2,FALSE)</f>
        <v>207846</v>
      </c>
      <c r="I4118">
        <f t="shared" si="64"/>
        <v>2013</v>
      </c>
    </row>
    <row r="4119" spans="1:9">
      <c r="A4119" s="1">
        <v>10107</v>
      </c>
      <c r="B4119" s="1">
        <v>5</v>
      </c>
      <c r="C4119" s="2">
        <v>41561</v>
      </c>
      <c r="D4119" s="1" t="s">
        <v>2005</v>
      </c>
      <c r="E4119" s="1">
        <v>102360</v>
      </c>
      <c r="F4119" s="6" t="s">
        <v>6121</v>
      </c>
      <c r="G4119" s="15" t="str">
        <f>VLOOKUP(A4119,Movie!A:D,4,FALSE)</f>
        <v>Universal</v>
      </c>
      <c r="H4119" s="14">
        <f>VLOOKUP(E4119,'Rental Transaction'!A:B,2,FALSE)</f>
        <v>897980</v>
      </c>
      <c r="I4119">
        <f t="shared" si="64"/>
        <v>2013</v>
      </c>
    </row>
    <row r="4120" spans="1:9">
      <c r="A4120" s="1">
        <v>10074</v>
      </c>
      <c r="B4120" s="1">
        <v>4</v>
      </c>
      <c r="C4120" s="2">
        <v>41562</v>
      </c>
      <c r="D4120" s="1" t="s">
        <v>2002</v>
      </c>
      <c r="E4120" s="1">
        <v>102361</v>
      </c>
      <c r="F4120" s="6" t="s">
        <v>6122</v>
      </c>
      <c r="G4120" s="15" t="str">
        <f>VLOOKUP(A4120,Movie!A:D,4,FALSE)</f>
        <v>Open Road Films</v>
      </c>
      <c r="H4120" s="14">
        <f>VLOOKUP(E4120,'Rental Transaction'!A:B,2,FALSE)</f>
        <v>308505</v>
      </c>
      <c r="I4120">
        <f t="shared" si="64"/>
        <v>2013</v>
      </c>
    </row>
    <row r="4121" spans="1:9">
      <c r="A4121" s="1">
        <v>10175</v>
      </c>
      <c r="B4121" s="1">
        <v>7</v>
      </c>
      <c r="C4121" s="2">
        <v>41561</v>
      </c>
      <c r="D4121" s="1" t="s">
        <v>2002</v>
      </c>
      <c r="E4121" s="1">
        <v>102362</v>
      </c>
      <c r="F4121" s="6" t="s">
        <v>6123</v>
      </c>
      <c r="G4121" s="15" t="str">
        <f>VLOOKUP(A4121,Movie!A:D,4,FALSE)</f>
        <v>Buena Vista</v>
      </c>
      <c r="H4121" s="14">
        <f>VLOOKUP(E4121,'Rental Transaction'!A:B,2,FALSE)</f>
        <v>893039</v>
      </c>
      <c r="I4121">
        <f t="shared" si="64"/>
        <v>2013</v>
      </c>
    </row>
    <row r="4122" spans="1:9">
      <c r="A4122" s="1">
        <v>10275</v>
      </c>
      <c r="B4122" s="1">
        <v>3</v>
      </c>
      <c r="C4122" s="2">
        <v>41562</v>
      </c>
      <c r="D4122" s="1" t="s">
        <v>2002</v>
      </c>
      <c r="E4122" s="1">
        <v>102363</v>
      </c>
      <c r="F4122" s="6" t="s">
        <v>6124</v>
      </c>
      <c r="G4122" s="15" t="str">
        <f>VLOOKUP(A4122,Movie!A:D,4,FALSE)</f>
        <v>Lionsgate</v>
      </c>
      <c r="H4122" s="14">
        <f>VLOOKUP(E4122,'Rental Transaction'!A:B,2,FALSE)</f>
        <v>116934</v>
      </c>
      <c r="I4122">
        <f t="shared" si="64"/>
        <v>2013</v>
      </c>
    </row>
    <row r="4123" spans="1:9">
      <c r="A4123" s="1">
        <v>10265</v>
      </c>
      <c r="B4123" s="1">
        <v>9</v>
      </c>
      <c r="C4123" s="2">
        <v>41564</v>
      </c>
      <c r="D4123" s="1" t="s">
        <v>2005</v>
      </c>
      <c r="E4123" s="1">
        <v>102365</v>
      </c>
      <c r="F4123" s="6" t="s">
        <v>6125</v>
      </c>
      <c r="G4123" s="15" t="str">
        <f>VLOOKUP(A4123,Movie!A:D,4,FALSE)</f>
        <v>Warner Brothers</v>
      </c>
      <c r="H4123" s="14">
        <f>VLOOKUP(E4123,'Rental Transaction'!A:B,2,FALSE)</f>
        <v>498970</v>
      </c>
      <c r="I4123">
        <f t="shared" si="64"/>
        <v>2013</v>
      </c>
    </row>
    <row r="4124" spans="1:9" ht="29.25">
      <c r="A4124" s="1">
        <v>10285</v>
      </c>
      <c r="B4124" s="1">
        <v>8</v>
      </c>
      <c r="C4124" s="2">
        <v>41563</v>
      </c>
      <c r="D4124" s="1" t="s">
        <v>2002</v>
      </c>
      <c r="E4124" s="1">
        <v>102365</v>
      </c>
      <c r="F4124" s="6" t="s">
        <v>6126</v>
      </c>
      <c r="G4124" s="15" t="str">
        <f>VLOOKUP(A4124,Movie!A:D,4,FALSE)</f>
        <v>Roadside Attractions</v>
      </c>
      <c r="H4124" s="14">
        <f>VLOOKUP(E4124,'Rental Transaction'!A:B,2,FALSE)</f>
        <v>498970</v>
      </c>
      <c r="I4124">
        <f t="shared" si="64"/>
        <v>2013</v>
      </c>
    </row>
    <row r="4125" spans="1:9">
      <c r="A4125" s="1">
        <v>10253</v>
      </c>
      <c r="B4125" s="1">
        <v>6</v>
      </c>
      <c r="C4125" s="2">
        <v>41562</v>
      </c>
      <c r="D4125" s="1" t="s">
        <v>2002</v>
      </c>
      <c r="E4125" s="1">
        <v>102365</v>
      </c>
      <c r="F4125" s="6" t="s">
        <v>6127</v>
      </c>
      <c r="G4125" s="15" t="str">
        <f>VLOOKUP(A4125,Movie!A:D,4,FALSE)</f>
        <v>Buena Vista</v>
      </c>
      <c r="H4125" s="14">
        <f>VLOOKUP(E4125,'Rental Transaction'!A:B,2,FALSE)</f>
        <v>498970</v>
      </c>
      <c r="I4125">
        <f t="shared" si="64"/>
        <v>2013</v>
      </c>
    </row>
    <row r="4126" spans="1:9">
      <c r="A4126" s="1">
        <v>10250</v>
      </c>
      <c r="B4126" s="1">
        <v>6</v>
      </c>
      <c r="C4126" s="2">
        <v>41564</v>
      </c>
      <c r="D4126" s="1" t="s">
        <v>2002</v>
      </c>
      <c r="E4126" s="1">
        <v>102366</v>
      </c>
      <c r="F4126" s="6" t="s">
        <v>6128</v>
      </c>
      <c r="G4126" s="15" t="str">
        <f>VLOOKUP(A4126,Movie!A:D,4,FALSE)</f>
        <v>Buena Vista</v>
      </c>
      <c r="H4126" s="14">
        <f>VLOOKUP(E4126,'Rental Transaction'!A:B,2,FALSE)</f>
        <v>160392</v>
      </c>
      <c r="I4126">
        <f t="shared" si="64"/>
        <v>2013</v>
      </c>
    </row>
    <row r="4127" spans="1:9" ht="29.25">
      <c r="A4127" s="1">
        <v>10285</v>
      </c>
      <c r="B4127" s="1">
        <v>9</v>
      </c>
      <c r="C4127" s="2">
        <v>41562</v>
      </c>
      <c r="D4127" s="1" t="s">
        <v>2005</v>
      </c>
      <c r="E4127" s="1">
        <v>102366</v>
      </c>
      <c r="F4127" s="6" t="s">
        <v>6129</v>
      </c>
      <c r="G4127" s="15" t="str">
        <f>VLOOKUP(A4127,Movie!A:D,4,FALSE)</f>
        <v>Roadside Attractions</v>
      </c>
      <c r="H4127" s="14">
        <f>VLOOKUP(E4127,'Rental Transaction'!A:B,2,FALSE)</f>
        <v>160392</v>
      </c>
      <c r="I4127">
        <f t="shared" si="64"/>
        <v>2013</v>
      </c>
    </row>
    <row r="4128" spans="1:9">
      <c r="A4128" s="1">
        <v>10223</v>
      </c>
      <c r="B4128" s="1">
        <v>3</v>
      </c>
      <c r="C4128" s="2">
        <v>41562</v>
      </c>
      <c r="D4128" s="1" t="s">
        <v>2005</v>
      </c>
      <c r="E4128" s="1">
        <v>102369</v>
      </c>
      <c r="F4128" s="6" t="s">
        <v>6130</v>
      </c>
      <c r="G4128" s="15" t="str">
        <f>VLOOKUP(A4128,Movie!A:D,4,FALSE)</f>
        <v>Universal</v>
      </c>
      <c r="H4128" s="14">
        <f>VLOOKUP(E4128,'Rental Transaction'!A:B,2,FALSE)</f>
        <v>296208</v>
      </c>
      <c r="I4128">
        <f t="shared" si="64"/>
        <v>2013</v>
      </c>
    </row>
    <row r="4129" spans="1:9">
      <c r="A4129" s="1">
        <v>10166</v>
      </c>
      <c r="B4129" s="1">
        <v>6</v>
      </c>
      <c r="C4129" s="2">
        <v>41562</v>
      </c>
      <c r="D4129" s="1" t="s">
        <v>2002</v>
      </c>
      <c r="E4129" s="1">
        <v>102369</v>
      </c>
      <c r="F4129" s="6" t="s">
        <v>6131</v>
      </c>
      <c r="G4129" s="15" t="str">
        <f>VLOOKUP(A4129,Movie!A:D,4,FALSE)</f>
        <v>Fox</v>
      </c>
      <c r="H4129" s="14">
        <f>VLOOKUP(E4129,'Rental Transaction'!A:B,2,FALSE)</f>
        <v>296208</v>
      </c>
      <c r="I4129">
        <f t="shared" si="64"/>
        <v>2013</v>
      </c>
    </row>
    <row r="4130" spans="1:9">
      <c r="A4130" s="1">
        <v>10110</v>
      </c>
      <c r="B4130" s="1">
        <v>2</v>
      </c>
      <c r="C4130" s="2">
        <v>41563</v>
      </c>
      <c r="D4130" s="1" t="s">
        <v>2002</v>
      </c>
      <c r="E4130" s="1">
        <v>102369</v>
      </c>
      <c r="F4130" s="6" t="s">
        <v>6132</v>
      </c>
      <c r="G4130" s="15" t="str">
        <f>VLOOKUP(A4130,Movie!A:D,4,FALSE)</f>
        <v>Warner Brothers</v>
      </c>
      <c r="H4130" s="14">
        <f>VLOOKUP(E4130,'Rental Transaction'!A:B,2,FALSE)</f>
        <v>296208</v>
      </c>
      <c r="I4130">
        <f t="shared" si="64"/>
        <v>2013</v>
      </c>
    </row>
    <row r="4131" spans="1:9">
      <c r="A4131" s="1">
        <v>10204</v>
      </c>
      <c r="B4131" s="1">
        <v>2</v>
      </c>
      <c r="C4131" s="2">
        <v>41563</v>
      </c>
      <c r="D4131" s="1" t="s">
        <v>2002</v>
      </c>
      <c r="E4131" s="1">
        <v>102370</v>
      </c>
      <c r="F4131" s="6" t="s">
        <v>6133</v>
      </c>
      <c r="G4131" s="15" t="str">
        <f>VLOOKUP(A4131,Movie!A:D,4,FALSE)</f>
        <v>Universal</v>
      </c>
      <c r="H4131" s="14">
        <f>VLOOKUP(E4131,'Rental Transaction'!A:B,2,FALSE)</f>
        <v>283158</v>
      </c>
      <c r="I4131">
        <f t="shared" si="64"/>
        <v>2013</v>
      </c>
    </row>
    <row r="4132" spans="1:9">
      <c r="A4132" s="1">
        <v>10178</v>
      </c>
      <c r="B4132" s="1">
        <v>6</v>
      </c>
      <c r="C4132" s="2">
        <v>41564</v>
      </c>
      <c r="D4132" s="1" t="s">
        <v>2002</v>
      </c>
      <c r="E4132" s="1">
        <v>102371</v>
      </c>
      <c r="F4132" s="6" t="s">
        <v>6134</v>
      </c>
      <c r="G4132" s="15" t="str">
        <f>VLOOKUP(A4132,Movie!A:D,4,FALSE)</f>
        <v>Warner Brothers</v>
      </c>
      <c r="H4132" s="14">
        <f>VLOOKUP(E4132,'Rental Transaction'!A:B,2,FALSE)</f>
        <v>426984</v>
      </c>
      <c r="I4132">
        <f t="shared" si="64"/>
        <v>2013</v>
      </c>
    </row>
    <row r="4133" spans="1:9">
      <c r="A4133" s="1">
        <v>10219</v>
      </c>
      <c r="B4133" s="1">
        <v>6</v>
      </c>
      <c r="C4133" s="2">
        <v>41563</v>
      </c>
      <c r="D4133" s="1" t="s">
        <v>2005</v>
      </c>
      <c r="E4133" s="1">
        <v>102372</v>
      </c>
      <c r="F4133" s="6" t="s">
        <v>6135</v>
      </c>
      <c r="G4133" s="15" t="str">
        <f>VLOOKUP(A4133,Movie!A:D,4,FALSE)</f>
        <v>Paramount</v>
      </c>
      <c r="H4133" s="14">
        <f>VLOOKUP(E4133,'Rental Transaction'!A:B,2,FALSE)</f>
        <v>193968</v>
      </c>
      <c r="I4133">
        <f t="shared" si="64"/>
        <v>2013</v>
      </c>
    </row>
    <row r="4134" spans="1:9">
      <c r="A4134" s="1">
        <v>10128</v>
      </c>
      <c r="B4134" s="1">
        <v>8</v>
      </c>
      <c r="C4134" s="2">
        <v>41570</v>
      </c>
      <c r="D4134" s="1" t="s">
        <v>2002</v>
      </c>
      <c r="E4134" s="1">
        <v>102373</v>
      </c>
      <c r="F4134" s="6" t="s">
        <v>6136</v>
      </c>
      <c r="G4134" s="15" t="str">
        <f>VLOOKUP(A4134,Movie!A:D,4,FALSE)</f>
        <v>TriStar</v>
      </c>
      <c r="H4134" s="14">
        <f>VLOOKUP(E4134,'Rental Transaction'!A:B,2,FALSE)</f>
        <v>310195</v>
      </c>
      <c r="I4134">
        <f t="shared" si="64"/>
        <v>2013</v>
      </c>
    </row>
    <row r="4135" spans="1:9">
      <c r="A4135" s="1">
        <v>10181</v>
      </c>
      <c r="B4135" s="1">
        <v>10</v>
      </c>
      <c r="C4135" s="2">
        <v>41564</v>
      </c>
      <c r="D4135" s="1" t="s">
        <v>2002</v>
      </c>
      <c r="E4135" s="1">
        <v>102377</v>
      </c>
      <c r="F4135" s="6" t="s">
        <v>6137</v>
      </c>
      <c r="G4135" s="15" t="str">
        <f>VLOOKUP(A4135,Movie!A:D,4,FALSE)</f>
        <v>Fox</v>
      </c>
      <c r="H4135" s="14">
        <f>VLOOKUP(E4135,'Rental Transaction'!A:B,2,FALSE)</f>
        <v>585972</v>
      </c>
      <c r="I4135">
        <f t="shared" si="64"/>
        <v>2013</v>
      </c>
    </row>
    <row r="4136" spans="1:9">
      <c r="A4136" s="1">
        <v>10296</v>
      </c>
      <c r="B4136" s="1">
        <v>6</v>
      </c>
      <c r="C4136" s="2">
        <v>41564</v>
      </c>
      <c r="D4136" s="1" t="s">
        <v>2002</v>
      </c>
      <c r="E4136" s="1">
        <v>102378</v>
      </c>
      <c r="F4136" s="6" t="s">
        <v>6138</v>
      </c>
      <c r="G4136" s="15" t="str">
        <f>VLOOKUP(A4136,Movie!A:D,4,FALSE)</f>
        <v>A24</v>
      </c>
      <c r="H4136" s="14">
        <f>VLOOKUP(E4136,'Rental Transaction'!A:B,2,FALSE)</f>
        <v>464984</v>
      </c>
      <c r="I4136">
        <f t="shared" si="64"/>
        <v>2013</v>
      </c>
    </row>
    <row r="4137" spans="1:9">
      <c r="A4137" s="1">
        <v>10146</v>
      </c>
      <c r="B4137" s="1">
        <v>1</v>
      </c>
      <c r="C4137" s="2">
        <v>41564</v>
      </c>
      <c r="D4137" s="1" t="s">
        <v>2002</v>
      </c>
      <c r="E4137" s="1">
        <v>102379</v>
      </c>
      <c r="F4137" s="6" t="s">
        <v>6139</v>
      </c>
      <c r="G4137" s="15" t="str">
        <f>VLOOKUP(A4137,Movie!A:D,4,FALSE)</f>
        <v>Sony</v>
      </c>
      <c r="H4137" s="14">
        <f>VLOOKUP(E4137,'Rental Transaction'!A:B,2,FALSE)</f>
        <v>479497</v>
      </c>
      <c r="I4137">
        <f t="shared" si="64"/>
        <v>2013</v>
      </c>
    </row>
    <row r="4138" spans="1:9">
      <c r="A4138" s="1">
        <v>10259</v>
      </c>
      <c r="B4138" s="1">
        <v>2</v>
      </c>
      <c r="C4138" s="2">
        <v>41570</v>
      </c>
      <c r="D4138" s="1" t="s">
        <v>2002</v>
      </c>
      <c r="E4138" s="1">
        <v>102379</v>
      </c>
      <c r="F4138" s="6" t="s">
        <v>6140</v>
      </c>
      <c r="G4138" s="15" t="str">
        <f>VLOOKUP(A4138,Movie!A:D,4,FALSE)</f>
        <v>Warner Brothers</v>
      </c>
      <c r="H4138" s="14">
        <f>VLOOKUP(E4138,'Rental Transaction'!A:B,2,FALSE)</f>
        <v>479497</v>
      </c>
      <c r="I4138">
        <f t="shared" si="64"/>
        <v>2013</v>
      </c>
    </row>
    <row r="4139" spans="1:9">
      <c r="A4139" s="1">
        <v>10258</v>
      </c>
      <c r="B4139" s="1">
        <v>1</v>
      </c>
      <c r="C4139" s="2">
        <v>41564</v>
      </c>
      <c r="D4139" s="1" t="s">
        <v>2002</v>
      </c>
      <c r="E4139" s="1">
        <v>102379</v>
      </c>
      <c r="F4139" s="6" t="s">
        <v>6141</v>
      </c>
      <c r="G4139" s="15" t="str">
        <f>VLOOKUP(A4139,Movie!A:D,4,FALSE)</f>
        <v>Warner Brothers</v>
      </c>
      <c r="H4139" s="14">
        <f>VLOOKUP(E4139,'Rental Transaction'!A:B,2,FALSE)</f>
        <v>479497</v>
      </c>
      <c r="I4139">
        <f t="shared" si="64"/>
        <v>2013</v>
      </c>
    </row>
    <row r="4140" spans="1:9">
      <c r="A4140" s="1">
        <v>10037</v>
      </c>
      <c r="B4140" s="1">
        <v>6</v>
      </c>
      <c r="C4140" s="2">
        <v>41566</v>
      </c>
      <c r="D4140" s="1" t="s">
        <v>2002</v>
      </c>
      <c r="E4140" s="1">
        <v>102382</v>
      </c>
      <c r="F4140" s="6" t="s">
        <v>6142</v>
      </c>
      <c r="G4140" s="15" t="str">
        <f>VLOOKUP(A4140,Movie!A:D,4,FALSE)</f>
        <v>Buena Vista</v>
      </c>
      <c r="H4140" s="14">
        <f>VLOOKUP(E4140,'Rental Transaction'!A:B,2,FALSE)</f>
        <v>719921</v>
      </c>
      <c r="I4140">
        <f t="shared" si="64"/>
        <v>2013</v>
      </c>
    </row>
    <row r="4141" spans="1:9">
      <c r="A4141" s="1">
        <v>10202</v>
      </c>
      <c r="B4141" s="1">
        <v>4</v>
      </c>
      <c r="C4141" s="2">
        <v>41565</v>
      </c>
      <c r="D4141" s="1" t="s">
        <v>2002</v>
      </c>
      <c r="E4141" s="1">
        <v>102382</v>
      </c>
      <c r="F4141" s="6" t="s">
        <v>6143</v>
      </c>
      <c r="G4141" s="15" t="str">
        <f>VLOOKUP(A4141,Movie!A:D,4,FALSE)</f>
        <v>Warner Brothers</v>
      </c>
      <c r="H4141" s="14">
        <f>VLOOKUP(E4141,'Rental Transaction'!A:B,2,FALSE)</f>
        <v>719921</v>
      </c>
      <c r="I4141">
        <f t="shared" si="64"/>
        <v>2013</v>
      </c>
    </row>
    <row r="4142" spans="1:9">
      <c r="A4142" s="1">
        <v>10236</v>
      </c>
      <c r="B4142" s="1">
        <v>1</v>
      </c>
      <c r="C4142" s="2">
        <v>41564</v>
      </c>
      <c r="D4142" s="1" t="s">
        <v>2002</v>
      </c>
      <c r="E4142" s="1">
        <v>102383</v>
      </c>
      <c r="F4142" s="6" t="s">
        <v>6144</v>
      </c>
      <c r="G4142" s="15" t="str">
        <f>VLOOKUP(A4142,Movie!A:D,4,FALSE)</f>
        <v>Lionsgate</v>
      </c>
      <c r="H4142" s="14">
        <f>VLOOKUP(E4142,'Rental Transaction'!A:B,2,FALSE)</f>
        <v>806545</v>
      </c>
      <c r="I4142">
        <f t="shared" si="64"/>
        <v>2013</v>
      </c>
    </row>
    <row r="4143" spans="1:9">
      <c r="A4143" s="1">
        <v>10235</v>
      </c>
      <c r="B4143" s="1">
        <v>1</v>
      </c>
      <c r="C4143" s="2">
        <v>41567</v>
      </c>
      <c r="D4143" s="1" t="s">
        <v>2002</v>
      </c>
      <c r="E4143" s="1">
        <v>102384</v>
      </c>
      <c r="F4143" s="6" t="s">
        <v>6145</v>
      </c>
      <c r="G4143" s="15" t="str">
        <f>VLOOKUP(A4143,Movie!A:D,4,FALSE)</f>
        <v>Lionsgate</v>
      </c>
      <c r="H4143" s="14">
        <f>VLOOKUP(E4143,'Rental Transaction'!A:B,2,FALSE)</f>
        <v>850933</v>
      </c>
      <c r="I4143">
        <f t="shared" si="64"/>
        <v>2013</v>
      </c>
    </row>
    <row r="4144" spans="1:9">
      <c r="A4144" s="1">
        <v>10288</v>
      </c>
      <c r="B4144" s="1">
        <v>10</v>
      </c>
      <c r="C4144" s="2">
        <v>41565</v>
      </c>
      <c r="D4144" s="1" t="s">
        <v>2002</v>
      </c>
      <c r="E4144" s="1">
        <v>102385</v>
      </c>
      <c r="F4144" s="6" t="s">
        <v>6146</v>
      </c>
      <c r="G4144" s="15" t="str">
        <f>VLOOKUP(A4144,Movie!A:D,4,FALSE)</f>
        <v>Relativity</v>
      </c>
      <c r="H4144" s="14">
        <f>VLOOKUP(E4144,'Rental Transaction'!A:B,2,FALSE)</f>
        <v>739669</v>
      </c>
      <c r="I4144">
        <f t="shared" si="64"/>
        <v>2013</v>
      </c>
    </row>
    <row r="4145" spans="1:9">
      <c r="A4145" s="1">
        <v>10283</v>
      </c>
      <c r="B4145" s="1">
        <v>2</v>
      </c>
      <c r="C4145" s="2">
        <v>41566</v>
      </c>
      <c r="D4145" s="1" t="s">
        <v>2002</v>
      </c>
      <c r="E4145" s="1">
        <v>102386</v>
      </c>
      <c r="F4145" s="6" t="s">
        <v>6147</v>
      </c>
      <c r="G4145" s="15" t="str">
        <f>VLOOKUP(A4145,Movie!A:D,4,FALSE)</f>
        <v>TriStar</v>
      </c>
      <c r="H4145" s="14">
        <f>VLOOKUP(E4145,'Rental Transaction'!A:B,2,FALSE)</f>
        <v>884368</v>
      </c>
      <c r="I4145">
        <f t="shared" si="64"/>
        <v>2013</v>
      </c>
    </row>
    <row r="4146" spans="1:9">
      <c r="A4146" s="1">
        <v>10204</v>
      </c>
      <c r="B4146" s="1">
        <v>7</v>
      </c>
      <c r="C4146" s="2">
        <v>41567</v>
      </c>
      <c r="D4146" s="1" t="s">
        <v>2002</v>
      </c>
      <c r="E4146" s="1">
        <v>102391</v>
      </c>
      <c r="F4146" s="6" t="s">
        <v>6148</v>
      </c>
      <c r="G4146" s="15" t="str">
        <f>VLOOKUP(A4146,Movie!A:D,4,FALSE)</f>
        <v>Universal</v>
      </c>
      <c r="H4146" s="14">
        <f>VLOOKUP(E4146,'Rental Transaction'!A:B,2,FALSE)</f>
        <v>616028</v>
      </c>
      <c r="I4146">
        <f t="shared" si="64"/>
        <v>2013</v>
      </c>
    </row>
    <row r="4147" spans="1:9">
      <c r="A4147" s="1">
        <v>10066</v>
      </c>
      <c r="B4147" s="1">
        <v>4</v>
      </c>
      <c r="C4147" s="2">
        <v>41566</v>
      </c>
      <c r="D4147" s="1" t="s">
        <v>2002</v>
      </c>
      <c r="E4147" s="1">
        <v>102392</v>
      </c>
      <c r="F4147" s="6" t="s">
        <v>6149</v>
      </c>
      <c r="G4147" s="15" t="str">
        <f>VLOOKUP(A4147,Movie!A:D,4,FALSE)</f>
        <v>Buena Vista</v>
      </c>
      <c r="H4147" s="14">
        <f>VLOOKUP(E4147,'Rental Transaction'!A:B,2,FALSE)</f>
        <v>970794</v>
      </c>
      <c r="I4147">
        <f t="shared" si="64"/>
        <v>2013</v>
      </c>
    </row>
    <row r="4148" spans="1:9">
      <c r="A4148" s="1">
        <v>10042</v>
      </c>
      <c r="B4148" s="1">
        <v>7</v>
      </c>
      <c r="C4148" s="2">
        <v>41567</v>
      </c>
      <c r="D4148" s="1" t="s">
        <v>2002</v>
      </c>
      <c r="E4148" s="1">
        <v>102393</v>
      </c>
      <c r="F4148" s="6" t="s">
        <v>6150</v>
      </c>
      <c r="G4148" s="15" t="str">
        <f>VLOOKUP(A4148,Movie!A:D,4,FALSE)</f>
        <v>Paramount</v>
      </c>
      <c r="H4148" s="14">
        <f>VLOOKUP(E4148,'Rental Transaction'!A:B,2,FALSE)</f>
        <v>970794</v>
      </c>
      <c r="I4148">
        <f t="shared" si="64"/>
        <v>2013</v>
      </c>
    </row>
    <row r="4149" spans="1:9">
      <c r="A4149" s="1">
        <v>10252</v>
      </c>
      <c r="B4149" s="1">
        <v>3</v>
      </c>
      <c r="C4149" s="2">
        <v>41567</v>
      </c>
      <c r="D4149" s="1" t="s">
        <v>2002</v>
      </c>
      <c r="E4149" s="1">
        <v>102394</v>
      </c>
      <c r="F4149" s="6" t="s">
        <v>6151</v>
      </c>
      <c r="G4149" s="15" t="str">
        <f>VLOOKUP(A4149,Movie!A:D,4,FALSE)</f>
        <v>Warner Brothers</v>
      </c>
      <c r="H4149" s="14">
        <f>VLOOKUP(E4149,'Rental Transaction'!A:B,2,FALSE)</f>
        <v>657736</v>
      </c>
      <c r="I4149">
        <f t="shared" si="64"/>
        <v>2013</v>
      </c>
    </row>
    <row r="4150" spans="1:9">
      <c r="A4150" s="1">
        <v>10235</v>
      </c>
      <c r="B4150" s="1">
        <v>2</v>
      </c>
      <c r="C4150" s="2">
        <v>41567</v>
      </c>
      <c r="D4150" s="1" t="s">
        <v>2002</v>
      </c>
      <c r="E4150" s="1">
        <v>102394</v>
      </c>
      <c r="F4150" s="6" t="s">
        <v>6152</v>
      </c>
      <c r="G4150" s="15" t="str">
        <f>VLOOKUP(A4150,Movie!A:D,4,FALSE)</f>
        <v>Lionsgate</v>
      </c>
      <c r="H4150" s="14">
        <f>VLOOKUP(E4150,'Rental Transaction'!A:B,2,FALSE)</f>
        <v>657736</v>
      </c>
      <c r="I4150">
        <f t="shared" si="64"/>
        <v>2013</v>
      </c>
    </row>
    <row r="4151" spans="1:9">
      <c r="A4151" s="1">
        <v>10106</v>
      </c>
      <c r="B4151" s="1">
        <v>9</v>
      </c>
      <c r="C4151" s="2">
        <v>41569</v>
      </c>
      <c r="D4151" s="1" t="s">
        <v>2002</v>
      </c>
      <c r="E4151" s="1">
        <v>102395</v>
      </c>
      <c r="F4151" s="6" t="s">
        <v>6153</v>
      </c>
      <c r="G4151" s="15" t="str">
        <f>VLOOKUP(A4151,Movie!A:D,4,FALSE)</f>
        <v>Fox</v>
      </c>
      <c r="H4151" s="14">
        <f>VLOOKUP(E4151,'Rental Transaction'!A:B,2,FALSE)</f>
        <v>580783</v>
      </c>
      <c r="I4151">
        <f t="shared" si="64"/>
        <v>2013</v>
      </c>
    </row>
    <row r="4152" spans="1:9">
      <c r="A4152" s="1">
        <v>10193</v>
      </c>
      <c r="B4152" s="1">
        <v>5</v>
      </c>
      <c r="C4152" s="2">
        <v>41566</v>
      </c>
      <c r="D4152" s="1" t="s">
        <v>2005</v>
      </c>
      <c r="E4152" s="1">
        <v>102395</v>
      </c>
      <c r="F4152" s="6" t="s">
        <v>6154</v>
      </c>
      <c r="G4152" s="15" t="str">
        <f>VLOOKUP(A4152,Movie!A:D,4,FALSE)</f>
        <v>Fox</v>
      </c>
      <c r="H4152" s="14">
        <f>VLOOKUP(E4152,'Rental Transaction'!A:B,2,FALSE)</f>
        <v>580783</v>
      </c>
      <c r="I4152">
        <f t="shared" si="64"/>
        <v>2013</v>
      </c>
    </row>
    <row r="4153" spans="1:9">
      <c r="A4153" s="1">
        <v>10226</v>
      </c>
      <c r="B4153" s="1">
        <v>5</v>
      </c>
      <c r="C4153" s="2">
        <v>41566</v>
      </c>
      <c r="D4153" s="1" t="s">
        <v>2005</v>
      </c>
      <c r="E4153" s="1">
        <v>102396</v>
      </c>
      <c r="F4153" s="6" t="s">
        <v>6155</v>
      </c>
      <c r="G4153" s="15" t="str">
        <f>VLOOKUP(A4153,Movie!A:D,4,FALSE)</f>
        <v>Sony</v>
      </c>
      <c r="H4153" s="14">
        <f>VLOOKUP(E4153,'Rental Transaction'!A:B,2,FALSE)</f>
        <v>137696</v>
      </c>
      <c r="I4153">
        <f t="shared" si="64"/>
        <v>2013</v>
      </c>
    </row>
    <row r="4154" spans="1:9">
      <c r="A4154" s="1">
        <v>10275</v>
      </c>
      <c r="B4154" s="1">
        <v>5</v>
      </c>
      <c r="C4154" s="2">
        <v>41567</v>
      </c>
      <c r="D4154" s="1" t="s">
        <v>2005</v>
      </c>
      <c r="E4154" s="1">
        <v>102396</v>
      </c>
      <c r="F4154" s="6" t="s">
        <v>6156</v>
      </c>
      <c r="G4154" s="15" t="str">
        <f>VLOOKUP(A4154,Movie!A:D,4,FALSE)</f>
        <v>Lionsgate</v>
      </c>
      <c r="H4154" s="14">
        <f>VLOOKUP(E4154,'Rental Transaction'!A:B,2,FALSE)</f>
        <v>137696</v>
      </c>
      <c r="I4154">
        <f t="shared" si="64"/>
        <v>2013</v>
      </c>
    </row>
    <row r="4155" spans="1:9">
      <c r="A4155" s="1">
        <v>10212</v>
      </c>
      <c r="B4155" s="1">
        <v>6</v>
      </c>
      <c r="C4155" s="2">
        <v>41566</v>
      </c>
      <c r="D4155" s="1" t="s">
        <v>2002</v>
      </c>
      <c r="E4155" s="1">
        <v>102398</v>
      </c>
      <c r="F4155" s="6" t="s">
        <v>6157</v>
      </c>
      <c r="G4155" s="15" t="str">
        <f>VLOOKUP(A4155,Movie!A:D,4,FALSE)</f>
        <v>Lionsgate</v>
      </c>
      <c r="H4155" s="14">
        <f>VLOOKUP(E4155,'Rental Transaction'!A:B,2,FALSE)</f>
        <v>610766</v>
      </c>
      <c r="I4155">
        <f t="shared" si="64"/>
        <v>2013</v>
      </c>
    </row>
    <row r="4156" spans="1:9">
      <c r="A4156" s="1">
        <v>10184</v>
      </c>
      <c r="B4156" s="1">
        <v>10</v>
      </c>
      <c r="C4156" s="2">
        <v>41567</v>
      </c>
      <c r="D4156" s="1" t="s">
        <v>2002</v>
      </c>
      <c r="E4156" s="1">
        <v>102399</v>
      </c>
      <c r="F4156" s="6" t="s">
        <v>6158</v>
      </c>
      <c r="G4156" s="15" t="str">
        <f>VLOOKUP(A4156,Movie!A:D,4,FALSE)</f>
        <v>Universal</v>
      </c>
      <c r="H4156" s="14">
        <f>VLOOKUP(E4156,'Rental Transaction'!A:B,2,FALSE)</f>
        <v>566192</v>
      </c>
      <c r="I4156">
        <f t="shared" si="64"/>
        <v>2013</v>
      </c>
    </row>
    <row r="4157" spans="1:9">
      <c r="A4157" s="1">
        <v>10245</v>
      </c>
      <c r="B4157" s="1">
        <v>5</v>
      </c>
      <c r="C4157" s="2">
        <v>41567</v>
      </c>
      <c r="D4157" s="1" t="s">
        <v>2005</v>
      </c>
      <c r="E4157" s="1">
        <v>102400</v>
      </c>
      <c r="F4157" s="6" t="s">
        <v>6159</v>
      </c>
      <c r="G4157" s="15" t="str">
        <f>VLOOKUP(A4157,Movie!A:D,4,FALSE)</f>
        <v>Warner Brothers</v>
      </c>
      <c r="H4157" s="14">
        <f>VLOOKUP(E4157,'Rental Transaction'!A:B,2,FALSE)</f>
        <v>175871</v>
      </c>
      <c r="I4157">
        <f t="shared" si="64"/>
        <v>2013</v>
      </c>
    </row>
    <row r="4158" spans="1:9">
      <c r="A4158" s="1">
        <v>10215</v>
      </c>
      <c r="B4158" s="1">
        <v>9</v>
      </c>
      <c r="C4158" s="2">
        <v>41570</v>
      </c>
      <c r="D4158" s="1" t="s">
        <v>2002</v>
      </c>
      <c r="E4158" s="1">
        <v>102402</v>
      </c>
      <c r="F4158" s="6" t="s">
        <v>6160</v>
      </c>
      <c r="G4158" s="15" t="str">
        <f>VLOOKUP(A4158,Movie!A:D,4,FALSE)</f>
        <v>Paramount</v>
      </c>
      <c r="H4158" s="14">
        <f>VLOOKUP(E4158,'Rental Transaction'!A:B,2,FALSE)</f>
        <v>548800</v>
      </c>
      <c r="I4158">
        <f t="shared" si="64"/>
        <v>2013</v>
      </c>
    </row>
    <row r="4159" spans="1:9">
      <c r="A4159" s="1">
        <v>10271</v>
      </c>
      <c r="B4159" s="1">
        <v>8</v>
      </c>
      <c r="C4159" s="2">
        <v>41568</v>
      </c>
      <c r="D4159" s="1" t="s">
        <v>2002</v>
      </c>
      <c r="E4159" s="1">
        <v>102402</v>
      </c>
      <c r="F4159" s="6" t="s">
        <v>6161</v>
      </c>
      <c r="G4159" s="15" t="str">
        <f>VLOOKUP(A4159,Movie!A:D,4,FALSE)</f>
        <v>Universal</v>
      </c>
      <c r="H4159" s="14">
        <f>VLOOKUP(E4159,'Rental Transaction'!A:B,2,FALSE)</f>
        <v>548800</v>
      </c>
      <c r="I4159">
        <f t="shared" si="64"/>
        <v>2013</v>
      </c>
    </row>
    <row r="4160" spans="1:9">
      <c r="A4160" s="1">
        <v>10103</v>
      </c>
      <c r="B4160" s="1">
        <v>7</v>
      </c>
      <c r="C4160" s="2">
        <v>41567</v>
      </c>
      <c r="D4160" s="1" t="s">
        <v>2002</v>
      </c>
      <c r="E4160" s="1">
        <v>102403</v>
      </c>
      <c r="F4160" s="6" t="s">
        <v>6162</v>
      </c>
      <c r="G4160" s="15" t="str">
        <f>VLOOKUP(A4160,Movie!A:D,4,FALSE)</f>
        <v>Fox</v>
      </c>
      <c r="H4160" s="14">
        <f>VLOOKUP(E4160,'Rental Transaction'!A:B,2,FALSE)</f>
        <v>559486</v>
      </c>
      <c r="I4160">
        <f t="shared" si="64"/>
        <v>2013</v>
      </c>
    </row>
    <row r="4161" spans="1:9">
      <c r="A4161" s="1">
        <v>10283</v>
      </c>
      <c r="B4161" s="1">
        <v>8</v>
      </c>
      <c r="C4161" s="2">
        <v>41569</v>
      </c>
      <c r="D4161" s="1" t="s">
        <v>2002</v>
      </c>
      <c r="E4161" s="1">
        <v>102403</v>
      </c>
      <c r="F4161" s="6" t="s">
        <v>6163</v>
      </c>
      <c r="G4161" s="15" t="str">
        <f>VLOOKUP(A4161,Movie!A:D,4,FALSE)</f>
        <v>TriStar</v>
      </c>
      <c r="H4161" s="14">
        <f>VLOOKUP(E4161,'Rental Transaction'!A:B,2,FALSE)</f>
        <v>559486</v>
      </c>
      <c r="I4161">
        <f t="shared" si="64"/>
        <v>2013</v>
      </c>
    </row>
    <row r="4162" spans="1:9">
      <c r="A4162" s="1">
        <v>10187</v>
      </c>
      <c r="B4162" s="1">
        <v>8</v>
      </c>
      <c r="C4162" s="2">
        <v>41569</v>
      </c>
      <c r="D4162" s="1" t="s">
        <v>2002</v>
      </c>
      <c r="E4162" s="1">
        <v>102404</v>
      </c>
      <c r="F4162" s="6" t="s">
        <v>6164</v>
      </c>
      <c r="G4162" s="15" t="str">
        <f>VLOOKUP(A4162,Movie!A:D,4,FALSE)</f>
        <v>Paramount</v>
      </c>
      <c r="H4162" s="14">
        <f>VLOOKUP(E4162,'Rental Transaction'!A:B,2,FALSE)</f>
        <v>332324</v>
      </c>
      <c r="I4162">
        <f t="shared" si="64"/>
        <v>2013</v>
      </c>
    </row>
    <row r="4163" spans="1:9">
      <c r="A4163" s="1">
        <v>10112</v>
      </c>
      <c r="B4163" s="1">
        <v>4</v>
      </c>
      <c r="C4163" s="2">
        <v>41568</v>
      </c>
      <c r="D4163" s="1" t="s">
        <v>2005</v>
      </c>
      <c r="E4163" s="1">
        <v>102404</v>
      </c>
      <c r="F4163" s="6" t="s">
        <v>6165</v>
      </c>
      <c r="G4163" s="15" t="str">
        <f>VLOOKUP(A4163,Movie!A:D,4,FALSE)</f>
        <v>Relativity</v>
      </c>
      <c r="H4163" s="14">
        <f>VLOOKUP(E4163,'Rental Transaction'!A:B,2,FALSE)</f>
        <v>332324</v>
      </c>
      <c r="I4163">
        <f t="shared" ref="I4163:I4226" si="65">YEAR(C4163)</f>
        <v>2013</v>
      </c>
    </row>
    <row r="4164" spans="1:9">
      <c r="A4164" s="1">
        <v>10235</v>
      </c>
      <c r="B4164" s="1">
        <v>4</v>
      </c>
      <c r="C4164" s="2">
        <v>41568</v>
      </c>
      <c r="D4164" s="1" t="s">
        <v>2002</v>
      </c>
      <c r="E4164" s="1">
        <v>102405</v>
      </c>
      <c r="F4164" s="6" t="s">
        <v>6166</v>
      </c>
      <c r="G4164" s="15" t="str">
        <f>VLOOKUP(A4164,Movie!A:D,4,FALSE)</f>
        <v>Lionsgate</v>
      </c>
      <c r="H4164" s="14">
        <f>VLOOKUP(E4164,'Rental Transaction'!A:B,2,FALSE)</f>
        <v>484909</v>
      </c>
      <c r="I4164">
        <f t="shared" si="65"/>
        <v>2013</v>
      </c>
    </row>
    <row r="4165" spans="1:9">
      <c r="A4165" s="1">
        <v>10125</v>
      </c>
      <c r="B4165" s="1">
        <v>8</v>
      </c>
      <c r="C4165" s="2">
        <v>41568</v>
      </c>
      <c r="D4165" s="1" t="s">
        <v>2002</v>
      </c>
      <c r="E4165" s="1">
        <v>102405</v>
      </c>
      <c r="F4165" s="6" t="s">
        <v>6167</v>
      </c>
      <c r="G4165" s="15" t="str">
        <f>VLOOKUP(A4165,Movie!A:D,4,FALSE)</f>
        <v>Fox</v>
      </c>
      <c r="H4165" s="14">
        <f>VLOOKUP(E4165,'Rental Transaction'!A:B,2,FALSE)</f>
        <v>484909</v>
      </c>
      <c r="I4165">
        <f t="shared" si="65"/>
        <v>2013</v>
      </c>
    </row>
    <row r="4166" spans="1:9">
      <c r="A4166" s="1">
        <v>10223</v>
      </c>
      <c r="B4166" s="1">
        <v>8</v>
      </c>
      <c r="C4166" s="2">
        <v>41570</v>
      </c>
      <c r="D4166" s="1" t="s">
        <v>2002</v>
      </c>
      <c r="E4166" s="1">
        <v>102407</v>
      </c>
      <c r="F4166" s="6" t="s">
        <v>6168</v>
      </c>
      <c r="G4166" s="15" t="str">
        <f>VLOOKUP(A4166,Movie!A:D,4,FALSE)</f>
        <v>Universal</v>
      </c>
      <c r="H4166" s="14">
        <f>VLOOKUP(E4166,'Rental Transaction'!A:B,2,FALSE)</f>
        <v>470304</v>
      </c>
      <c r="I4166">
        <f t="shared" si="65"/>
        <v>2013</v>
      </c>
    </row>
    <row r="4167" spans="1:9">
      <c r="A4167" s="1">
        <v>10066</v>
      </c>
      <c r="B4167" s="1">
        <v>3</v>
      </c>
      <c r="C4167" s="2">
        <v>41568</v>
      </c>
      <c r="D4167" s="1" t="s">
        <v>2002</v>
      </c>
      <c r="E4167" s="1">
        <v>102407</v>
      </c>
      <c r="F4167" s="6" t="s">
        <v>6169</v>
      </c>
      <c r="G4167" s="15" t="str">
        <f>VLOOKUP(A4167,Movie!A:D,4,FALSE)</f>
        <v>Buena Vista</v>
      </c>
      <c r="H4167" s="14">
        <f>VLOOKUP(E4167,'Rental Transaction'!A:B,2,FALSE)</f>
        <v>470304</v>
      </c>
      <c r="I4167">
        <f t="shared" si="65"/>
        <v>2013</v>
      </c>
    </row>
    <row r="4168" spans="1:9">
      <c r="A4168" s="1">
        <v>10177</v>
      </c>
      <c r="B4168" s="1">
        <v>2</v>
      </c>
      <c r="C4168" s="2">
        <v>41569</v>
      </c>
      <c r="D4168" s="1" t="s">
        <v>2002</v>
      </c>
      <c r="E4168" s="1">
        <v>102411</v>
      </c>
      <c r="F4168" s="6" t="s">
        <v>6170</v>
      </c>
      <c r="G4168" s="15" t="str">
        <f>VLOOKUP(A4168,Movie!A:D,4,FALSE)</f>
        <v>Fox</v>
      </c>
      <c r="H4168" s="14">
        <f>VLOOKUP(E4168,'Rental Transaction'!A:B,2,FALSE)</f>
        <v>186353</v>
      </c>
      <c r="I4168">
        <f t="shared" si="65"/>
        <v>2013</v>
      </c>
    </row>
    <row r="4169" spans="1:9">
      <c r="A4169" s="1">
        <v>10097</v>
      </c>
      <c r="B4169" s="1">
        <v>2</v>
      </c>
      <c r="C4169" s="2">
        <v>41569</v>
      </c>
      <c r="D4169" s="1" t="s">
        <v>2005</v>
      </c>
      <c r="E4169" s="1">
        <v>102413</v>
      </c>
      <c r="F4169" s="6" t="s">
        <v>6171</v>
      </c>
      <c r="G4169" s="15" t="str">
        <f>VLOOKUP(A4169,Movie!A:D,4,FALSE)</f>
        <v>Screen Gems</v>
      </c>
      <c r="H4169" s="14">
        <f>VLOOKUP(E4169,'Rental Transaction'!A:B,2,FALSE)</f>
        <v>454143</v>
      </c>
      <c r="I4169">
        <f t="shared" si="65"/>
        <v>2013</v>
      </c>
    </row>
    <row r="4170" spans="1:9">
      <c r="A4170" s="1">
        <v>10099</v>
      </c>
      <c r="B4170" s="1">
        <v>6</v>
      </c>
      <c r="C4170" s="2">
        <v>41569</v>
      </c>
      <c r="D4170" s="1" t="s">
        <v>2002</v>
      </c>
      <c r="E4170" s="1">
        <v>102414</v>
      </c>
      <c r="F4170" s="6" t="s">
        <v>6172</v>
      </c>
      <c r="G4170" s="15" t="str">
        <f>VLOOKUP(A4170,Movie!A:D,4,FALSE)</f>
        <v>Lionsgate</v>
      </c>
      <c r="H4170" s="14">
        <f>VLOOKUP(E4170,'Rental Transaction'!A:B,2,FALSE)</f>
        <v>464984</v>
      </c>
      <c r="I4170">
        <f t="shared" si="65"/>
        <v>2013</v>
      </c>
    </row>
    <row r="4171" spans="1:9">
      <c r="A4171" s="1">
        <v>10071</v>
      </c>
      <c r="B4171" s="1">
        <v>5</v>
      </c>
      <c r="C4171" s="2">
        <v>41570</v>
      </c>
      <c r="D4171" s="1" t="s">
        <v>2002</v>
      </c>
      <c r="E4171" s="1">
        <v>102415</v>
      </c>
      <c r="F4171" s="6" t="s">
        <v>6173</v>
      </c>
      <c r="G4171" s="15" t="str">
        <f>VLOOKUP(A4171,Movie!A:D,4,FALSE)</f>
        <v>Paramount</v>
      </c>
      <c r="H4171" s="14">
        <f>VLOOKUP(E4171,'Rental Transaction'!A:B,2,FALSE)</f>
        <v>888952</v>
      </c>
      <c r="I4171">
        <f t="shared" si="65"/>
        <v>2013</v>
      </c>
    </row>
    <row r="4172" spans="1:9">
      <c r="A4172" s="1">
        <v>10248</v>
      </c>
      <c r="B4172" s="1">
        <v>10</v>
      </c>
      <c r="C4172" s="2">
        <v>41570</v>
      </c>
      <c r="D4172" s="1" t="s">
        <v>2002</v>
      </c>
      <c r="E4172" s="1">
        <v>102416</v>
      </c>
      <c r="F4172" s="6" t="s">
        <v>6174</v>
      </c>
      <c r="G4172" s="15" t="str">
        <f>VLOOKUP(A4172,Movie!A:D,4,FALSE)</f>
        <v>Relativity</v>
      </c>
      <c r="H4172" s="14">
        <f>VLOOKUP(E4172,'Rental Transaction'!A:B,2,FALSE)</f>
        <v>817500</v>
      </c>
      <c r="I4172">
        <f t="shared" si="65"/>
        <v>2013</v>
      </c>
    </row>
    <row r="4173" spans="1:9">
      <c r="A4173" s="1">
        <v>10207</v>
      </c>
      <c r="B4173" s="1">
        <v>3</v>
      </c>
      <c r="C4173" s="2">
        <v>41572</v>
      </c>
      <c r="D4173" s="1" t="s">
        <v>2005</v>
      </c>
      <c r="E4173" s="1">
        <v>102417</v>
      </c>
      <c r="F4173" s="6" t="s">
        <v>6175</v>
      </c>
      <c r="G4173" s="15" t="str">
        <f>VLOOKUP(A4173,Movie!A:D,4,FALSE)</f>
        <v>Paramount</v>
      </c>
      <c r="H4173" s="14">
        <f>VLOOKUP(E4173,'Rental Transaction'!A:B,2,FALSE)</f>
        <v>723057</v>
      </c>
      <c r="I4173">
        <f t="shared" si="65"/>
        <v>2013</v>
      </c>
    </row>
    <row r="4174" spans="1:9">
      <c r="A4174" s="1">
        <v>10156</v>
      </c>
      <c r="B4174" s="1">
        <v>10</v>
      </c>
      <c r="C4174" s="2">
        <v>41571</v>
      </c>
      <c r="D4174" s="1" t="s">
        <v>2002</v>
      </c>
      <c r="E4174" s="1">
        <v>102417</v>
      </c>
      <c r="F4174" s="6" t="s">
        <v>6176</v>
      </c>
      <c r="G4174" s="15" t="str">
        <f>VLOOKUP(A4174,Movie!A:D,4,FALSE)</f>
        <v>Buena Vista</v>
      </c>
      <c r="H4174" s="14">
        <f>VLOOKUP(E4174,'Rental Transaction'!A:B,2,FALSE)</f>
        <v>723057</v>
      </c>
      <c r="I4174">
        <f t="shared" si="65"/>
        <v>2013</v>
      </c>
    </row>
    <row r="4175" spans="1:9">
      <c r="A4175" s="1">
        <v>10252</v>
      </c>
      <c r="B4175" s="1">
        <v>3</v>
      </c>
      <c r="C4175" s="2">
        <v>41571</v>
      </c>
      <c r="D4175" s="1" t="s">
        <v>2002</v>
      </c>
      <c r="E4175" s="1">
        <v>102419</v>
      </c>
      <c r="F4175" s="6" t="s">
        <v>6177</v>
      </c>
      <c r="G4175" s="15" t="str">
        <f>VLOOKUP(A4175,Movie!A:D,4,FALSE)</f>
        <v>Warner Brothers</v>
      </c>
      <c r="H4175" s="14">
        <f>VLOOKUP(E4175,'Rental Transaction'!A:B,2,FALSE)</f>
        <v>616028</v>
      </c>
      <c r="I4175">
        <f t="shared" si="65"/>
        <v>2013</v>
      </c>
    </row>
    <row r="4176" spans="1:9">
      <c r="A4176" s="1">
        <v>10148</v>
      </c>
      <c r="B4176" s="1">
        <v>9</v>
      </c>
      <c r="C4176" s="2">
        <v>41574</v>
      </c>
      <c r="D4176" s="1" t="s">
        <v>2002</v>
      </c>
      <c r="E4176" s="1">
        <v>102419</v>
      </c>
      <c r="F4176" s="6" t="s">
        <v>6178</v>
      </c>
      <c r="G4176" s="15" t="str">
        <f>VLOOKUP(A4176,Movie!A:D,4,FALSE)</f>
        <v>Paramount</v>
      </c>
      <c r="H4176" s="14">
        <f>VLOOKUP(E4176,'Rental Transaction'!A:B,2,FALSE)</f>
        <v>616028</v>
      </c>
      <c r="I4176">
        <f t="shared" si="65"/>
        <v>2013</v>
      </c>
    </row>
    <row r="4177" spans="1:9">
      <c r="A4177" s="1">
        <v>10275</v>
      </c>
      <c r="B4177" s="1">
        <v>2</v>
      </c>
      <c r="C4177" s="2">
        <v>41570</v>
      </c>
      <c r="D4177" s="1" t="s">
        <v>2002</v>
      </c>
      <c r="E4177" s="1">
        <v>102419</v>
      </c>
      <c r="F4177" s="6" t="s">
        <v>6179</v>
      </c>
      <c r="G4177" s="15" t="str">
        <f>VLOOKUP(A4177,Movie!A:D,4,FALSE)</f>
        <v>Lionsgate</v>
      </c>
      <c r="H4177" s="14">
        <f>VLOOKUP(E4177,'Rental Transaction'!A:B,2,FALSE)</f>
        <v>616028</v>
      </c>
      <c r="I4177">
        <f t="shared" si="65"/>
        <v>2013</v>
      </c>
    </row>
    <row r="4178" spans="1:9" ht="29.25">
      <c r="A4178" s="1">
        <v>10290</v>
      </c>
      <c r="B4178" s="1">
        <v>2</v>
      </c>
      <c r="C4178" s="2">
        <v>41570</v>
      </c>
      <c r="D4178" s="1" t="s">
        <v>2002</v>
      </c>
      <c r="E4178" s="1">
        <v>102420</v>
      </c>
      <c r="F4178" s="6" t="s">
        <v>6180</v>
      </c>
      <c r="G4178" s="15" t="str">
        <f>VLOOKUP(A4178,Movie!A:D,4,FALSE)</f>
        <v>Weinstein Company</v>
      </c>
      <c r="H4178" s="14">
        <f>VLOOKUP(E4178,'Rental Transaction'!A:B,2,FALSE)</f>
        <v>442254</v>
      </c>
      <c r="I4178">
        <f t="shared" si="65"/>
        <v>2013</v>
      </c>
    </row>
    <row r="4179" spans="1:9">
      <c r="A4179" s="1">
        <v>10146</v>
      </c>
      <c r="B4179" s="1">
        <v>9</v>
      </c>
      <c r="C4179" s="2">
        <v>41570</v>
      </c>
      <c r="D4179" s="1" t="s">
        <v>2002</v>
      </c>
      <c r="E4179" s="1">
        <v>102420</v>
      </c>
      <c r="F4179" s="6" t="s">
        <v>6181</v>
      </c>
      <c r="G4179" s="15" t="str">
        <f>VLOOKUP(A4179,Movie!A:D,4,FALSE)</f>
        <v>Sony</v>
      </c>
      <c r="H4179" s="14">
        <f>VLOOKUP(E4179,'Rental Transaction'!A:B,2,FALSE)</f>
        <v>442254</v>
      </c>
      <c r="I4179">
        <f t="shared" si="65"/>
        <v>2013</v>
      </c>
    </row>
    <row r="4180" spans="1:9">
      <c r="A4180" s="1">
        <v>10274</v>
      </c>
      <c r="B4180" s="1">
        <v>6</v>
      </c>
      <c r="C4180" s="2">
        <v>41570</v>
      </c>
      <c r="D4180" s="1" t="s">
        <v>2005</v>
      </c>
      <c r="E4180" s="1">
        <v>102421</v>
      </c>
      <c r="F4180" s="6" t="s">
        <v>6182</v>
      </c>
      <c r="G4180" s="15" t="str">
        <f>VLOOKUP(A4180,Movie!A:D,4,FALSE)</f>
        <v>Fox</v>
      </c>
      <c r="H4180" s="14">
        <f>VLOOKUP(E4180,'Rental Transaction'!A:B,2,FALSE)</f>
        <v>517477</v>
      </c>
      <c r="I4180">
        <f t="shared" si="65"/>
        <v>2013</v>
      </c>
    </row>
    <row r="4181" spans="1:9">
      <c r="A4181" s="1">
        <v>10211</v>
      </c>
      <c r="B4181" s="1">
        <v>1</v>
      </c>
      <c r="C4181" s="2">
        <v>41570</v>
      </c>
      <c r="D4181" s="1" t="s">
        <v>2002</v>
      </c>
      <c r="E4181" s="1">
        <v>102422</v>
      </c>
      <c r="F4181" s="6" t="s">
        <v>6183</v>
      </c>
      <c r="G4181" s="15" t="str">
        <f>VLOOKUP(A4181,Movie!A:D,4,FALSE)</f>
        <v>Buena Vista</v>
      </c>
      <c r="H4181" s="14">
        <f>VLOOKUP(E4181,'Rental Transaction'!A:B,2,FALSE)</f>
        <v>442254</v>
      </c>
      <c r="I4181">
        <f t="shared" si="65"/>
        <v>2013</v>
      </c>
    </row>
    <row r="4182" spans="1:9">
      <c r="A4182" s="1">
        <v>10005</v>
      </c>
      <c r="B4182" s="1">
        <v>5</v>
      </c>
      <c r="C4182" s="2">
        <v>41572</v>
      </c>
      <c r="D4182" s="1" t="s">
        <v>2002</v>
      </c>
      <c r="E4182" s="1">
        <v>102423</v>
      </c>
      <c r="F4182" s="6" t="s">
        <v>6184</v>
      </c>
      <c r="G4182" s="15" t="str">
        <f>VLOOKUP(A4182,Movie!A:D,4,FALSE)</f>
        <v>Buena Vista</v>
      </c>
      <c r="H4182" s="14">
        <f>VLOOKUP(E4182,'Rental Transaction'!A:B,2,FALSE)</f>
        <v>435907</v>
      </c>
      <c r="I4182">
        <f t="shared" si="65"/>
        <v>2013</v>
      </c>
    </row>
    <row r="4183" spans="1:9">
      <c r="A4183" s="1">
        <v>10213</v>
      </c>
      <c r="B4183" s="1">
        <v>1</v>
      </c>
      <c r="C4183" s="2">
        <v>41571</v>
      </c>
      <c r="D4183" s="1" t="s">
        <v>2002</v>
      </c>
      <c r="E4183" s="1">
        <v>102424</v>
      </c>
      <c r="F4183" s="6" t="s">
        <v>6185</v>
      </c>
      <c r="G4183" s="15" t="str">
        <f>VLOOKUP(A4183,Movie!A:D,4,FALSE)</f>
        <v>Sony</v>
      </c>
      <c r="H4183" s="14">
        <f>VLOOKUP(E4183,'Rental Transaction'!A:B,2,FALSE)</f>
        <v>766737</v>
      </c>
      <c r="I4183">
        <f t="shared" si="65"/>
        <v>2013</v>
      </c>
    </row>
    <row r="4184" spans="1:9">
      <c r="A4184" s="1">
        <v>10104</v>
      </c>
      <c r="B4184" s="1">
        <v>7</v>
      </c>
      <c r="C4184" s="2">
        <v>41573</v>
      </c>
      <c r="D4184" s="1" t="s">
        <v>2002</v>
      </c>
      <c r="E4184" s="1">
        <v>102424</v>
      </c>
      <c r="F4184" s="6" t="s">
        <v>6186</v>
      </c>
      <c r="G4184" s="15" t="str">
        <f>VLOOKUP(A4184,Movie!A:D,4,FALSE)</f>
        <v>Universal</v>
      </c>
      <c r="H4184" s="14">
        <f>VLOOKUP(E4184,'Rental Transaction'!A:B,2,FALSE)</f>
        <v>766737</v>
      </c>
      <c r="I4184">
        <f t="shared" si="65"/>
        <v>2013</v>
      </c>
    </row>
    <row r="4185" spans="1:9">
      <c r="A4185" s="1">
        <v>10052</v>
      </c>
      <c r="B4185" s="1">
        <v>1</v>
      </c>
      <c r="C4185" s="2">
        <v>41571</v>
      </c>
      <c r="D4185" s="1" t="s">
        <v>2005</v>
      </c>
      <c r="E4185" s="1">
        <v>102426</v>
      </c>
      <c r="F4185" s="6" t="s">
        <v>6187</v>
      </c>
      <c r="G4185" s="15" t="str">
        <f>VLOOKUP(A4185,Movie!A:D,4,FALSE)</f>
        <v>Warner Brothers</v>
      </c>
      <c r="H4185" s="14">
        <f>VLOOKUP(E4185,'Rental Transaction'!A:B,2,FALSE)</f>
        <v>840096</v>
      </c>
      <c r="I4185">
        <f t="shared" si="65"/>
        <v>2013</v>
      </c>
    </row>
    <row r="4186" spans="1:9">
      <c r="A4186" s="1">
        <v>10185</v>
      </c>
      <c r="B4186" s="1">
        <v>10</v>
      </c>
      <c r="C4186" s="2">
        <v>41573</v>
      </c>
      <c r="D4186" s="1" t="s">
        <v>2002</v>
      </c>
      <c r="E4186" s="1">
        <v>102426</v>
      </c>
      <c r="F4186" s="6" t="s">
        <v>6188</v>
      </c>
      <c r="G4186" s="15" t="str">
        <f>VLOOKUP(A4186,Movie!A:D,4,FALSE)</f>
        <v>Warner Brothers</v>
      </c>
      <c r="H4186" s="14">
        <f>VLOOKUP(E4186,'Rental Transaction'!A:B,2,FALSE)</f>
        <v>840096</v>
      </c>
      <c r="I4186">
        <f t="shared" si="65"/>
        <v>2013</v>
      </c>
    </row>
    <row r="4187" spans="1:9" ht="29.25">
      <c r="A4187" s="1">
        <v>10249</v>
      </c>
      <c r="B4187" s="1">
        <v>7</v>
      </c>
      <c r="C4187" s="2">
        <v>41575</v>
      </c>
      <c r="D4187" s="1" t="s">
        <v>2002</v>
      </c>
      <c r="E4187" s="1">
        <v>102428</v>
      </c>
      <c r="F4187" s="6" t="s">
        <v>6189</v>
      </c>
      <c r="G4187" s="15" t="str">
        <f>VLOOKUP(A4187,Movie!A:D,4,FALSE)</f>
        <v>Summit Entertainment</v>
      </c>
      <c r="H4187" s="14">
        <f>VLOOKUP(E4187,'Rental Transaction'!A:B,2,FALSE)</f>
        <v>403000</v>
      </c>
      <c r="I4187">
        <f t="shared" si="65"/>
        <v>2013</v>
      </c>
    </row>
    <row r="4188" spans="1:9">
      <c r="A4188" s="1">
        <v>10052</v>
      </c>
      <c r="B4188" s="1">
        <v>9</v>
      </c>
      <c r="C4188" s="2">
        <v>41571</v>
      </c>
      <c r="D4188" s="1" t="s">
        <v>2002</v>
      </c>
      <c r="E4188" s="1">
        <v>102428</v>
      </c>
      <c r="F4188" s="6" t="s">
        <v>6190</v>
      </c>
      <c r="G4188" s="15" t="str">
        <f>VLOOKUP(A4188,Movie!A:D,4,FALSE)</f>
        <v>Warner Brothers</v>
      </c>
      <c r="H4188" s="14">
        <f>VLOOKUP(E4188,'Rental Transaction'!A:B,2,FALSE)</f>
        <v>403000</v>
      </c>
      <c r="I4188">
        <f t="shared" si="65"/>
        <v>2013</v>
      </c>
    </row>
    <row r="4189" spans="1:9">
      <c r="A4189" s="1">
        <v>10092</v>
      </c>
      <c r="B4189" s="1">
        <v>5</v>
      </c>
      <c r="C4189" s="2">
        <v>41573</v>
      </c>
      <c r="D4189" s="1" t="s">
        <v>2002</v>
      </c>
      <c r="E4189" s="1">
        <v>102429</v>
      </c>
      <c r="F4189" s="6" t="s">
        <v>6191</v>
      </c>
      <c r="G4189" s="15" t="str">
        <f>VLOOKUP(A4189,Movie!A:D,4,FALSE)</f>
        <v>Warner Brothers</v>
      </c>
      <c r="H4189" s="14">
        <f>VLOOKUP(E4189,'Rental Transaction'!A:B,2,FALSE)</f>
        <v>814317</v>
      </c>
      <c r="I4189">
        <f t="shared" si="65"/>
        <v>2013</v>
      </c>
    </row>
    <row r="4190" spans="1:9">
      <c r="A4190" s="1">
        <v>10245</v>
      </c>
      <c r="B4190" s="1">
        <v>10</v>
      </c>
      <c r="C4190" s="2">
        <v>41575</v>
      </c>
      <c r="D4190" s="1" t="s">
        <v>2002</v>
      </c>
      <c r="E4190" s="1">
        <v>102429</v>
      </c>
      <c r="F4190" s="6" t="s">
        <v>6192</v>
      </c>
      <c r="G4190" s="15" t="str">
        <f>VLOOKUP(A4190,Movie!A:D,4,FALSE)</f>
        <v>Warner Brothers</v>
      </c>
      <c r="H4190" s="14">
        <f>VLOOKUP(E4190,'Rental Transaction'!A:B,2,FALSE)</f>
        <v>814317</v>
      </c>
      <c r="I4190">
        <f t="shared" si="65"/>
        <v>2013</v>
      </c>
    </row>
    <row r="4191" spans="1:9">
      <c r="A4191" s="1">
        <v>10183</v>
      </c>
      <c r="B4191" s="1">
        <v>1</v>
      </c>
      <c r="C4191" s="2">
        <v>41575</v>
      </c>
      <c r="D4191" s="1" t="s">
        <v>2002</v>
      </c>
      <c r="E4191" s="1">
        <v>102430</v>
      </c>
      <c r="F4191" s="6" t="s">
        <v>6193</v>
      </c>
      <c r="G4191" s="15" t="str">
        <f>VLOOKUP(A4191,Movie!A:D,4,FALSE)</f>
        <v>Sony</v>
      </c>
      <c r="H4191" s="14">
        <f>VLOOKUP(E4191,'Rental Transaction'!A:B,2,FALSE)</f>
        <v>366695</v>
      </c>
      <c r="I4191">
        <f t="shared" si="65"/>
        <v>2013</v>
      </c>
    </row>
    <row r="4192" spans="1:9">
      <c r="A4192" s="1">
        <v>10155</v>
      </c>
      <c r="B4192" s="1">
        <v>7</v>
      </c>
      <c r="C4192" s="2">
        <v>41576</v>
      </c>
      <c r="D4192" s="1" t="s">
        <v>2005</v>
      </c>
      <c r="E4192" s="1">
        <v>102431</v>
      </c>
      <c r="F4192" s="6" t="s">
        <v>6194</v>
      </c>
      <c r="G4192" s="15" t="str">
        <f>VLOOKUP(A4192,Movie!A:D,4,FALSE)</f>
        <v>Fox</v>
      </c>
      <c r="H4192" s="14">
        <f>VLOOKUP(E4192,'Rental Transaction'!A:B,2,FALSE)</f>
        <v>817274</v>
      </c>
      <c r="I4192">
        <f t="shared" si="65"/>
        <v>2013</v>
      </c>
    </row>
    <row r="4193" spans="1:9">
      <c r="A4193" s="1">
        <v>10192</v>
      </c>
      <c r="B4193" s="1">
        <v>3</v>
      </c>
      <c r="C4193" s="2">
        <v>41572</v>
      </c>
      <c r="D4193" s="1" t="s">
        <v>2002</v>
      </c>
      <c r="E4193" s="1">
        <v>102432</v>
      </c>
      <c r="F4193" s="6" t="s">
        <v>6195</v>
      </c>
      <c r="G4193" s="15" t="str">
        <f>VLOOKUP(A4193,Movie!A:D,4,FALSE)</f>
        <v>Universal</v>
      </c>
      <c r="H4193" s="14">
        <f>VLOOKUP(E4193,'Rental Transaction'!A:B,2,FALSE)</f>
        <v>714947</v>
      </c>
      <c r="I4193">
        <f t="shared" si="65"/>
        <v>2013</v>
      </c>
    </row>
    <row r="4194" spans="1:9">
      <c r="A4194" s="1">
        <v>10256</v>
      </c>
      <c r="B4194" s="1">
        <v>7</v>
      </c>
      <c r="C4194" s="2">
        <v>41574</v>
      </c>
      <c r="D4194" s="1" t="s">
        <v>2002</v>
      </c>
      <c r="E4194" s="1">
        <v>102434</v>
      </c>
      <c r="F4194" s="6" t="s">
        <v>6196</v>
      </c>
      <c r="G4194" s="15" t="str">
        <f>VLOOKUP(A4194,Movie!A:D,4,FALSE)</f>
        <v>Fox</v>
      </c>
      <c r="H4194" s="14">
        <f>VLOOKUP(E4194,'Rental Transaction'!A:B,2,FALSE)</f>
        <v>646700</v>
      </c>
      <c r="I4194">
        <f t="shared" si="65"/>
        <v>2013</v>
      </c>
    </row>
    <row r="4195" spans="1:9">
      <c r="A4195" s="1">
        <v>10275</v>
      </c>
      <c r="B4195" s="1">
        <v>3</v>
      </c>
      <c r="C4195" s="2">
        <v>41572</v>
      </c>
      <c r="D4195" s="1" t="s">
        <v>2005</v>
      </c>
      <c r="E4195" s="1">
        <v>102435</v>
      </c>
      <c r="F4195" s="6" t="s">
        <v>6197</v>
      </c>
      <c r="G4195" s="15" t="str">
        <f>VLOOKUP(A4195,Movie!A:D,4,FALSE)</f>
        <v>Lionsgate</v>
      </c>
      <c r="H4195" s="14">
        <f>VLOOKUP(E4195,'Rental Transaction'!A:B,2,FALSE)</f>
        <v>515753</v>
      </c>
      <c r="I4195">
        <f t="shared" si="65"/>
        <v>2013</v>
      </c>
    </row>
    <row r="4196" spans="1:9">
      <c r="A4196" s="1">
        <v>10222</v>
      </c>
      <c r="B4196" s="1">
        <v>6</v>
      </c>
      <c r="C4196" s="2">
        <v>41574</v>
      </c>
      <c r="D4196" s="1" t="s">
        <v>2002</v>
      </c>
      <c r="E4196" s="1">
        <v>102436</v>
      </c>
      <c r="F4196" s="6" t="s">
        <v>6198</v>
      </c>
      <c r="G4196" s="15" t="str">
        <f>VLOOKUP(A4196,Movie!A:D,4,FALSE)</f>
        <v>Sony</v>
      </c>
      <c r="H4196" s="14">
        <f>VLOOKUP(E4196,'Rental Transaction'!A:B,2,FALSE)</f>
        <v>468692</v>
      </c>
      <c r="I4196">
        <f t="shared" si="65"/>
        <v>2013</v>
      </c>
    </row>
    <row r="4197" spans="1:9">
      <c r="A4197" s="1">
        <v>10171</v>
      </c>
      <c r="B4197" s="1">
        <v>1</v>
      </c>
      <c r="C4197" s="2">
        <v>41573</v>
      </c>
      <c r="D4197" s="1" t="s">
        <v>2002</v>
      </c>
      <c r="E4197" s="1">
        <v>102437</v>
      </c>
      <c r="F4197" s="6" t="s">
        <v>6199</v>
      </c>
      <c r="G4197" s="15" t="str">
        <f>VLOOKUP(A4197,Movie!A:D,4,FALSE)</f>
        <v>Universal</v>
      </c>
      <c r="H4197" s="14">
        <f>VLOOKUP(E4197,'Rental Transaction'!A:B,2,FALSE)</f>
        <v>317461</v>
      </c>
      <c r="I4197">
        <f t="shared" si="65"/>
        <v>2013</v>
      </c>
    </row>
    <row r="4198" spans="1:9">
      <c r="A4198" s="1">
        <v>10200</v>
      </c>
      <c r="B4198" s="1">
        <v>7</v>
      </c>
      <c r="C4198" s="2">
        <v>41573</v>
      </c>
      <c r="D4198" s="1" t="s">
        <v>2002</v>
      </c>
      <c r="E4198" s="1">
        <v>102439</v>
      </c>
      <c r="F4198" s="6" t="s">
        <v>6200</v>
      </c>
      <c r="G4198" s="15" t="str">
        <f>VLOOKUP(A4198,Movie!A:D,4,FALSE)</f>
        <v>Fox</v>
      </c>
      <c r="H4198" s="14">
        <f>VLOOKUP(E4198,'Rental Transaction'!A:B,2,FALSE)</f>
        <v>229742</v>
      </c>
      <c r="I4198">
        <f t="shared" si="65"/>
        <v>2013</v>
      </c>
    </row>
    <row r="4199" spans="1:9" ht="29.25">
      <c r="A4199" s="1">
        <v>10246</v>
      </c>
      <c r="B4199" s="1">
        <v>10</v>
      </c>
      <c r="C4199" s="2">
        <v>41576</v>
      </c>
      <c r="D4199" s="1" t="s">
        <v>2005</v>
      </c>
      <c r="E4199" s="1">
        <v>102439</v>
      </c>
      <c r="F4199" s="6" t="s">
        <v>6201</v>
      </c>
      <c r="G4199" s="15" t="str">
        <f>VLOOKUP(A4199,Movie!A:D,4,FALSE)</f>
        <v>Weinstein Company</v>
      </c>
      <c r="H4199" s="14">
        <f>VLOOKUP(E4199,'Rental Transaction'!A:B,2,FALSE)</f>
        <v>229742</v>
      </c>
      <c r="I4199">
        <f t="shared" si="65"/>
        <v>2013</v>
      </c>
    </row>
    <row r="4200" spans="1:9">
      <c r="A4200" s="1">
        <v>10241</v>
      </c>
      <c r="B4200" s="1">
        <v>8</v>
      </c>
      <c r="C4200" s="2">
        <v>41573</v>
      </c>
      <c r="D4200" s="1" t="s">
        <v>2002</v>
      </c>
      <c r="E4200" s="1">
        <v>102440</v>
      </c>
      <c r="F4200" s="6" t="s">
        <v>6202</v>
      </c>
      <c r="G4200" s="15" t="str">
        <f>VLOOKUP(A4200,Movie!A:D,4,FALSE)</f>
        <v>Warner Brothers</v>
      </c>
      <c r="H4200" s="14">
        <f>VLOOKUP(E4200,'Rental Transaction'!A:B,2,FALSE)</f>
        <v>622506</v>
      </c>
      <c r="I4200">
        <f t="shared" si="65"/>
        <v>2013</v>
      </c>
    </row>
    <row r="4201" spans="1:9">
      <c r="A4201" s="1">
        <v>10259</v>
      </c>
      <c r="B4201" s="1">
        <v>4</v>
      </c>
      <c r="C4201" s="2">
        <v>41576</v>
      </c>
      <c r="D4201" s="1" t="s">
        <v>2002</v>
      </c>
      <c r="E4201" s="1">
        <v>102443</v>
      </c>
      <c r="F4201" s="6" t="s">
        <v>6203</v>
      </c>
      <c r="G4201" s="15" t="str">
        <f>VLOOKUP(A4201,Movie!A:D,4,FALSE)</f>
        <v>Warner Brothers</v>
      </c>
      <c r="H4201" s="14">
        <f>VLOOKUP(E4201,'Rental Transaction'!A:B,2,FALSE)</f>
        <v>619910</v>
      </c>
      <c r="I4201">
        <f t="shared" si="65"/>
        <v>2013</v>
      </c>
    </row>
    <row r="4202" spans="1:9">
      <c r="A4202" s="1">
        <v>10210</v>
      </c>
      <c r="B4202" s="1">
        <v>6</v>
      </c>
      <c r="C4202" s="2">
        <v>41574</v>
      </c>
      <c r="D4202" s="1" t="s">
        <v>2002</v>
      </c>
      <c r="E4202" s="1">
        <v>102444</v>
      </c>
      <c r="F4202" s="6" t="s">
        <v>6204</v>
      </c>
      <c r="G4202" s="15" t="str">
        <f>VLOOKUP(A4202,Movie!A:D,4,FALSE)</f>
        <v>Sony</v>
      </c>
      <c r="H4202" s="14">
        <f>VLOOKUP(E4202,'Rental Transaction'!A:B,2,FALSE)</f>
        <v>494106</v>
      </c>
      <c r="I4202">
        <f t="shared" si="65"/>
        <v>2013</v>
      </c>
    </row>
    <row r="4203" spans="1:9">
      <c r="A4203" s="1">
        <v>10043</v>
      </c>
      <c r="B4203" s="1">
        <v>10</v>
      </c>
      <c r="C4203" s="2">
        <v>41574</v>
      </c>
      <c r="D4203" s="1" t="s">
        <v>2002</v>
      </c>
      <c r="E4203" s="1">
        <v>102445</v>
      </c>
      <c r="F4203" s="6" t="s">
        <v>6205</v>
      </c>
      <c r="G4203" s="15" t="str">
        <f>VLOOKUP(A4203,Movie!A:D,4,FALSE)</f>
        <v>Screen Gems</v>
      </c>
      <c r="H4203" s="14">
        <f>VLOOKUP(E4203,'Rental Transaction'!A:B,2,FALSE)</f>
        <v>524667</v>
      </c>
      <c r="I4203">
        <f t="shared" si="65"/>
        <v>2013</v>
      </c>
    </row>
    <row r="4204" spans="1:9">
      <c r="A4204" s="1">
        <v>10212</v>
      </c>
      <c r="B4204" s="1">
        <v>10</v>
      </c>
      <c r="C4204" s="2">
        <v>41574</v>
      </c>
      <c r="D4204" s="1" t="s">
        <v>2002</v>
      </c>
      <c r="E4204" s="1">
        <v>102446</v>
      </c>
      <c r="F4204" s="6" t="s">
        <v>6206</v>
      </c>
      <c r="G4204" s="15" t="str">
        <f>VLOOKUP(A4204,Movie!A:D,4,FALSE)</f>
        <v>Lionsgate</v>
      </c>
      <c r="H4204" s="14">
        <f>VLOOKUP(E4204,'Rental Transaction'!A:B,2,FALSE)</f>
        <v>442254</v>
      </c>
      <c r="I4204">
        <f t="shared" si="65"/>
        <v>2013</v>
      </c>
    </row>
    <row r="4205" spans="1:9">
      <c r="A4205" s="1">
        <v>10115</v>
      </c>
      <c r="B4205" s="1">
        <v>8</v>
      </c>
      <c r="C4205" s="2">
        <v>41576</v>
      </c>
      <c r="D4205" s="1" t="s">
        <v>2002</v>
      </c>
      <c r="E4205" s="1">
        <v>102447</v>
      </c>
      <c r="F4205" s="6" t="s">
        <v>6207</v>
      </c>
      <c r="G4205" s="15" t="str">
        <f>VLOOKUP(A4205,Movie!A:D,4,FALSE)</f>
        <v>Open Road Films</v>
      </c>
      <c r="H4205" s="14">
        <f>VLOOKUP(E4205,'Rental Transaction'!A:B,2,FALSE)</f>
        <v>498153</v>
      </c>
      <c r="I4205">
        <f t="shared" si="65"/>
        <v>2013</v>
      </c>
    </row>
    <row r="4206" spans="1:9">
      <c r="A4206" s="1">
        <v>10274</v>
      </c>
      <c r="B4206" s="1">
        <v>8</v>
      </c>
      <c r="C4206" s="2">
        <v>41576</v>
      </c>
      <c r="D4206" s="1" t="s">
        <v>2002</v>
      </c>
      <c r="E4206" s="1">
        <v>102449</v>
      </c>
      <c r="F4206" s="6" t="s">
        <v>6208</v>
      </c>
      <c r="G4206" s="15" t="str">
        <f>VLOOKUP(A4206,Movie!A:D,4,FALSE)</f>
        <v>Fox</v>
      </c>
      <c r="H4206" s="14">
        <f>VLOOKUP(E4206,'Rental Transaction'!A:B,2,FALSE)</f>
        <v>191951</v>
      </c>
      <c r="I4206">
        <f t="shared" si="65"/>
        <v>2013</v>
      </c>
    </row>
    <row r="4207" spans="1:9">
      <c r="A4207" s="1">
        <v>10282</v>
      </c>
      <c r="B4207" s="1">
        <v>10</v>
      </c>
      <c r="C4207" s="2">
        <v>41577</v>
      </c>
      <c r="D4207" s="1" t="s">
        <v>2002</v>
      </c>
      <c r="E4207" s="1">
        <v>102450</v>
      </c>
      <c r="F4207" s="6" t="s">
        <v>6209</v>
      </c>
      <c r="G4207" s="15" t="str">
        <f>VLOOKUP(A4207,Movie!A:D,4,FALSE)</f>
        <v>Sony Classics</v>
      </c>
      <c r="H4207" s="14">
        <f>VLOOKUP(E4207,'Rental Transaction'!A:B,2,FALSE)</f>
        <v>762509</v>
      </c>
      <c r="I4207">
        <f t="shared" si="65"/>
        <v>2013</v>
      </c>
    </row>
    <row r="4208" spans="1:9">
      <c r="A4208" s="1">
        <v>10274</v>
      </c>
      <c r="B4208" s="1">
        <v>8</v>
      </c>
      <c r="C4208" s="2">
        <v>41574</v>
      </c>
      <c r="D4208" s="1" t="s">
        <v>2002</v>
      </c>
      <c r="E4208" s="1">
        <v>102450</v>
      </c>
      <c r="F4208" s="6" t="s">
        <v>6210</v>
      </c>
      <c r="G4208" s="15" t="str">
        <f>VLOOKUP(A4208,Movie!A:D,4,FALSE)</f>
        <v>Fox</v>
      </c>
      <c r="H4208" s="14">
        <f>VLOOKUP(E4208,'Rental Transaction'!A:B,2,FALSE)</f>
        <v>762509</v>
      </c>
      <c r="I4208">
        <f t="shared" si="65"/>
        <v>2013</v>
      </c>
    </row>
    <row r="4209" spans="1:9">
      <c r="A4209" s="1">
        <v>10269</v>
      </c>
      <c r="B4209" s="1">
        <v>10</v>
      </c>
      <c r="C4209" s="2">
        <v>41577</v>
      </c>
      <c r="D4209" s="1" t="s">
        <v>2002</v>
      </c>
      <c r="E4209" s="1">
        <v>102451</v>
      </c>
      <c r="F4209" s="6" t="s">
        <v>6211</v>
      </c>
      <c r="G4209" s="15" t="str">
        <f>VLOOKUP(A4209,Movie!A:D,4,FALSE)</f>
        <v>Buena Vista</v>
      </c>
      <c r="H4209" s="14">
        <f>VLOOKUP(E4209,'Rental Transaction'!A:B,2,FALSE)</f>
        <v>926289</v>
      </c>
      <c r="I4209">
        <f t="shared" si="65"/>
        <v>2013</v>
      </c>
    </row>
    <row r="4210" spans="1:9">
      <c r="A4210" s="1">
        <v>10203</v>
      </c>
      <c r="B4210" s="1">
        <v>7</v>
      </c>
      <c r="C4210" s="2">
        <v>41575</v>
      </c>
      <c r="D4210" s="1" t="s">
        <v>2002</v>
      </c>
      <c r="E4210" s="1">
        <v>102453</v>
      </c>
      <c r="F4210" s="6" t="s">
        <v>6212</v>
      </c>
      <c r="G4210" s="15" t="str">
        <f>VLOOKUP(A4210,Movie!A:D,4,FALSE)</f>
        <v>Buena Vista</v>
      </c>
      <c r="H4210" s="14">
        <f>VLOOKUP(E4210,'Rental Transaction'!A:B,2,FALSE)</f>
        <v>370366</v>
      </c>
      <c r="I4210">
        <f t="shared" si="65"/>
        <v>2013</v>
      </c>
    </row>
    <row r="4211" spans="1:9" ht="29.25">
      <c r="A4211" s="1">
        <v>10239</v>
      </c>
      <c r="B4211" s="1">
        <v>8</v>
      </c>
      <c r="C4211" s="2">
        <v>41576</v>
      </c>
      <c r="D4211" s="1" t="s">
        <v>2002</v>
      </c>
      <c r="E4211" s="1">
        <v>102454</v>
      </c>
      <c r="F4211" s="6" t="s">
        <v>6213</v>
      </c>
      <c r="G4211" s="15" t="str">
        <f>VLOOKUP(A4211,Movie!A:D,4,FALSE)</f>
        <v>Weinstein Company</v>
      </c>
      <c r="H4211" s="14">
        <f>VLOOKUP(E4211,'Rental Transaction'!A:B,2,FALSE)</f>
        <v>944523</v>
      </c>
      <c r="I4211">
        <f t="shared" si="65"/>
        <v>2013</v>
      </c>
    </row>
    <row r="4212" spans="1:9">
      <c r="A4212" s="1">
        <v>10189</v>
      </c>
      <c r="B4212" s="1">
        <v>1</v>
      </c>
      <c r="C4212" s="2">
        <v>41578</v>
      </c>
      <c r="D4212" s="1" t="s">
        <v>2002</v>
      </c>
      <c r="E4212" s="1">
        <v>102456</v>
      </c>
      <c r="F4212" s="6" t="s">
        <v>6214</v>
      </c>
      <c r="G4212" s="15" t="str">
        <f>VLOOKUP(A4212,Movie!A:D,4,FALSE)</f>
        <v>Universal</v>
      </c>
      <c r="H4212" s="14">
        <f>VLOOKUP(E4212,'Rental Transaction'!A:B,2,FALSE)</f>
        <v>586201</v>
      </c>
      <c r="I4212">
        <f t="shared" si="65"/>
        <v>2013</v>
      </c>
    </row>
    <row r="4213" spans="1:9">
      <c r="A4213" s="1">
        <v>10124</v>
      </c>
      <c r="B4213" s="1">
        <v>2</v>
      </c>
      <c r="C4213" s="2">
        <v>41575</v>
      </c>
      <c r="D4213" s="1" t="s">
        <v>2002</v>
      </c>
      <c r="E4213" s="1">
        <v>102457</v>
      </c>
      <c r="F4213" s="6" t="s">
        <v>6215</v>
      </c>
      <c r="G4213" s="15" t="str">
        <f>VLOOKUP(A4213,Movie!A:D,4,FALSE)</f>
        <v>Paramount</v>
      </c>
      <c r="H4213" s="14">
        <f>VLOOKUP(E4213,'Rental Transaction'!A:B,2,FALSE)</f>
        <v>657736</v>
      </c>
      <c r="I4213">
        <f t="shared" si="65"/>
        <v>2013</v>
      </c>
    </row>
    <row r="4214" spans="1:9" ht="29.25">
      <c r="A4214" s="1">
        <v>10239</v>
      </c>
      <c r="B4214" s="1">
        <v>4</v>
      </c>
      <c r="C4214" s="2">
        <v>41575</v>
      </c>
      <c r="D4214" s="1" t="s">
        <v>2002</v>
      </c>
      <c r="E4214" s="1">
        <v>102457</v>
      </c>
      <c r="F4214" s="6" t="s">
        <v>6216</v>
      </c>
      <c r="G4214" s="15" t="str">
        <f>VLOOKUP(A4214,Movie!A:D,4,FALSE)</f>
        <v>Weinstein Company</v>
      </c>
      <c r="H4214" s="14">
        <f>VLOOKUP(E4214,'Rental Transaction'!A:B,2,FALSE)</f>
        <v>657736</v>
      </c>
      <c r="I4214">
        <f t="shared" si="65"/>
        <v>2013</v>
      </c>
    </row>
    <row r="4215" spans="1:9">
      <c r="A4215" s="1">
        <v>10219</v>
      </c>
      <c r="B4215" s="1">
        <v>1</v>
      </c>
      <c r="C4215" s="2">
        <v>41575</v>
      </c>
      <c r="D4215" s="1" t="s">
        <v>2005</v>
      </c>
      <c r="E4215" s="1">
        <v>102458</v>
      </c>
      <c r="F4215" s="6" t="s">
        <v>6217</v>
      </c>
      <c r="G4215" s="15" t="str">
        <f>VLOOKUP(A4215,Movie!A:D,4,FALSE)</f>
        <v>Paramount</v>
      </c>
      <c r="H4215" s="14">
        <f>VLOOKUP(E4215,'Rental Transaction'!A:B,2,FALSE)</f>
        <v>170500</v>
      </c>
      <c r="I4215">
        <f t="shared" si="65"/>
        <v>2013</v>
      </c>
    </row>
    <row r="4216" spans="1:9">
      <c r="A4216" s="1">
        <v>10097</v>
      </c>
      <c r="B4216" s="1">
        <v>1</v>
      </c>
      <c r="C4216" s="2">
        <v>41577</v>
      </c>
      <c r="D4216" s="1" t="s">
        <v>2002</v>
      </c>
      <c r="E4216" s="1">
        <v>102459</v>
      </c>
      <c r="F4216" s="6" t="s">
        <v>6218</v>
      </c>
      <c r="G4216" s="15" t="str">
        <f>VLOOKUP(A4216,Movie!A:D,4,FALSE)</f>
        <v>Screen Gems</v>
      </c>
      <c r="H4216" s="14">
        <f>VLOOKUP(E4216,'Rental Transaction'!A:B,2,FALSE)</f>
        <v>324435</v>
      </c>
      <c r="I4216">
        <f t="shared" si="65"/>
        <v>2013</v>
      </c>
    </row>
    <row r="4217" spans="1:9">
      <c r="A4217" s="1">
        <v>10229</v>
      </c>
      <c r="B4217" s="1">
        <v>8</v>
      </c>
      <c r="C4217" s="2">
        <v>41578</v>
      </c>
      <c r="D4217" s="1" t="s">
        <v>2002</v>
      </c>
      <c r="E4217" s="1">
        <v>102461</v>
      </c>
      <c r="F4217" s="6" t="s">
        <v>6219</v>
      </c>
      <c r="G4217" s="15" t="str">
        <f>VLOOKUP(A4217,Movie!A:D,4,FALSE)</f>
        <v>TriStar</v>
      </c>
      <c r="H4217" s="14">
        <f>VLOOKUP(E4217,'Rental Transaction'!A:B,2,FALSE)</f>
        <v>755271</v>
      </c>
      <c r="I4217">
        <f t="shared" si="65"/>
        <v>2013</v>
      </c>
    </row>
    <row r="4218" spans="1:9">
      <c r="A4218" s="1">
        <v>10199</v>
      </c>
      <c r="B4218" s="1">
        <v>8</v>
      </c>
      <c r="C4218" s="2">
        <v>41577</v>
      </c>
      <c r="D4218" s="1" t="s">
        <v>2002</v>
      </c>
      <c r="E4218" s="1">
        <v>102464</v>
      </c>
      <c r="F4218" s="6" t="s">
        <v>6220</v>
      </c>
      <c r="G4218" s="15" t="str">
        <f>VLOOKUP(A4218,Movie!A:D,4,FALSE)</f>
        <v>Lionsgate</v>
      </c>
      <c r="H4218" s="14">
        <f>VLOOKUP(E4218,'Rental Transaction'!A:B,2,FALSE)</f>
        <v>478274</v>
      </c>
      <c r="I4218">
        <f t="shared" si="65"/>
        <v>2013</v>
      </c>
    </row>
    <row r="4219" spans="1:9">
      <c r="A4219" s="1">
        <v>10196</v>
      </c>
      <c r="B4219" s="1">
        <v>7</v>
      </c>
      <c r="C4219" s="2">
        <v>41577</v>
      </c>
      <c r="D4219" s="1" t="s">
        <v>2002</v>
      </c>
      <c r="E4219" s="1">
        <v>102466</v>
      </c>
      <c r="F4219" s="6" t="s">
        <v>6221</v>
      </c>
      <c r="G4219" s="15" t="str">
        <f>VLOOKUP(A4219,Movie!A:D,4,FALSE)</f>
        <v>Fox</v>
      </c>
      <c r="H4219" s="14">
        <f>VLOOKUP(E4219,'Rental Transaction'!A:B,2,FALSE)</f>
        <v>332324</v>
      </c>
      <c r="I4219">
        <f t="shared" si="65"/>
        <v>2013</v>
      </c>
    </row>
    <row r="4220" spans="1:9">
      <c r="A4220" s="1">
        <v>10231</v>
      </c>
      <c r="B4220" s="1">
        <v>5</v>
      </c>
      <c r="C4220" s="2">
        <v>41579</v>
      </c>
      <c r="D4220" s="1" t="s">
        <v>2002</v>
      </c>
      <c r="E4220" s="1">
        <v>102468</v>
      </c>
      <c r="F4220" s="6" t="s">
        <v>6222</v>
      </c>
      <c r="G4220" s="15" t="str">
        <f>VLOOKUP(A4220,Movie!A:D,4,FALSE)</f>
        <v>Universal</v>
      </c>
      <c r="H4220" s="14">
        <f>VLOOKUP(E4220,'Rental Transaction'!A:B,2,FALSE)</f>
        <v>810369</v>
      </c>
      <c r="I4220">
        <f t="shared" si="65"/>
        <v>2013</v>
      </c>
    </row>
    <row r="4221" spans="1:9">
      <c r="A4221" s="1">
        <v>10291</v>
      </c>
      <c r="B4221" s="1">
        <v>4</v>
      </c>
      <c r="C4221" s="2">
        <v>41578</v>
      </c>
      <c r="D4221" s="1" t="s">
        <v>2002</v>
      </c>
      <c r="E4221" s="1">
        <v>102468</v>
      </c>
      <c r="F4221" s="6" t="s">
        <v>6223</v>
      </c>
      <c r="G4221" s="15" t="str">
        <f>VLOOKUP(A4221,Movie!A:D,4,FALSE)</f>
        <v>Warner Brothers</v>
      </c>
      <c r="H4221" s="14">
        <f>VLOOKUP(E4221,'Rental Transaction'!A:B,2,FALSE)</f>
        <v>810369</v>
      </c>
      <c r="I4221">
        <f t="shared" si="65"/>
        <v>2013</v>
      </c>
    </row>
    <row r="4222" spans="1:9">
      <c r="A4222" s="1">
        <v>10113</v>
      </c>
      <c r="B4222" s="1">
        <v>5</v>
      </c>
      <c r="C4222" s="2">
        <v>41577</v>
      </c>
      <c r="D4222" s="1" t="s">
        <v>2002</v>
      </c>
      <c r="E4222" s="1">
        <v>102470</v>
      </c>
      <c r="F4222" s="6" t="s">
        <v>6224</v>
      </c>
      <c r="G4222" s="15" t="str">
        <f>VLOOKUP(A4222,Movie!A:D,4,FALSE)</f>
        <v>Lionsgate</v>
      </c>
      <c r="H4222" s="14">
        <f>VLOOKUP(E4222,'Rental Transaction'!A:B,2,FALSE)</f>
        <v>743517</v>
      </c>
      <c r="I4222">
        <f t="shared" si="65"/>
        <v>2013</v>
      </c>
    </row>
    <row r="4223" spans="1:9" ht="29.25">
      <c r="A4223" s="1">
        <v>10140</v>
      </c>
      <c r="B4223" s="1">
        <v>3</v>
      </c>
      <c r="C4223" s="2">
        <v>41577</v>
      </c>
      <c r="D4223" s="1" t="s">
        <v>2002</v>
      </c>
      <c r="E4223" s="1">
        <v>102471</v>
      </c>
      <c r="F4223" s="6" t="s">
        <v>6225</v>
      </c>
      <c r="G4223" s="15" t="str">
        <f>VLOOKUP(A4223,Movie!A:D,4,FALSE)</f>
        <v>Weinstein Company</v>
      </c>
      <c r="H4223" s="14">
        <f>VLOOKUP(E4223,'Rental Transaction'!A:B,2,FALSE)</f>
        <v>707458</v>
      </c>
      <c r="I4223">
        <f t="shared" si="65"/>
        <v>2013</v>
      </c>
    </row>
    <row r="4224" spans="1:9">
      <c r="A4224" s="1">
        <v>10117</v>
      </c>
      <c r="B4224" s="1">
        <v>6</v>
      </c>
      <c r="C4224" s="2">
        <v>41577</v>
      </c>
      <c r="D4224" s="1" t="s">
        <v>2002</v>
      </c>
      <c r="E4224" s="1">
        <v>102471</v>
      </c>
      <c r="F4224" s="6" t="s">
        <v>6226</v>
      </c>
      <c r="G4224" s="15" t="str">
        <f>VLOOKUP(A4224,Movie!A:D,4,FALSE)</f>
        <v>Sony</v>
      </c>
      <c r="H4224" s="14">
        <f>VLOOKUP(E4224,'Rental Transaction'!A:B,2,FALSE)</f>
        <v>707458</v>
      </c>
      <c r="I4224">
        <f t="shared" si="65"/>
        <v>2013</v>
      </c>
    </row>
    <row r="4225" spans="1:9">
      <c r="A4225" s="1">
        <v>10255</v>
      </c>
      <c r="B4225" s="1">
        <v>7</v>
      </c>
      <c r="C4225" s="2">
        <v>41578</v>
      </c>
      <c r="D4225" s="1" t="s">
        <v>2002</v>
      </c>
      <c r="E4225" s="1">
        <v>102471</v>
      </c>
      <c r="F4225" s="6" t="s">
        <v>6227</v>
      </c>
      <c r="G4225" s="15" t="str">
        <f>VLOOKUP(A4225,Movie!A:D,4,FALSE)</f>
        <v>Paramount</v>
      </c>
      <c r="H4225" s="14">
        <f>VLOOKUP(E4225,'Rental Transaction'!A:B,2,FALSE)</f>
        <v>707458</v>
      </c>
      <c r="I4225">
        <f t="shared" si="65"/>
        <v>2013</v>
      </c>
    </row>
    <row r="4226" spans="1:9">
      <c r="A4226" s="1">
        <v>10213</v>
      </c>
      <c r="B4226" s="1">
        <v>5</v>
      </c>
      <c r="C4226" s="2">
        <v>41577</v>
      </c>
      <c r="D4226" s="1" t="s">
        <v>2002</v>
      </c>
      <c r="E4226" s="1">
        <v>102472</v>
      </c>
      <c r="F4226" s="6" t="s">
        <v>6228</v>
      </c>
      <c r="G4226" s="15" t="str">
        <f>VLOOKUP(A4226,Movie!A:D,4,FALSE)</f>
        <v>Sony</v>
      </c>
      <c r="H4226" s="14">
        <f>VLOOKUP(E4226,'Rental Transaction'!A:B,2,FALSE)</f>
        <v>344702</v>
      </c>
      <c r="I4226">
        <f t="shared" si="65"/>
        <v>2013</v>
      </c>
    </row>
    <row r="4227" spans="1:9">
      <c r="A4227" s="1">
        <v>10272</v>
      </c>
      <c r="B4227" s="1">
        <v>1</v>
      </c>
      <c r="C4227" s="2">
        <v>41577</v>
      </c>
      <c r="D4227" s="1" t="s">
        <v>2002</v>
      </c>
      <c r="E4227" s="1">
        <v>102472</v>
      </c>
      <c r="F4227" s="6" t="s">
        <v>6229</v>
      </c>
      <c r="G4227" s="15" t="str">
        <f>VLOOKUP(A4227,Movie!A:D,4,FALSE)</f>
        <v>Sony</v>
      </c>
      <c r="H4227" s="14">
        <f>VLOOKUP(E4227,'Rental Transaction'!A:B,2,FALSE)</f>
        <v>344702</v>
      </c>
      <c r="I4227">
        <f t="shared" ref="I4227:I4290" si="66">YEAR(C4227)</f>
        <v>2013</v>
      </c>
    </row>
    <row r="4228" spans="1:9">
      <c r="A4228" s="1">
        <v>10265</v>
      </c>
      <c r="B4228" s="1">
        <v>9</v>
      </c>
      <c r="C4228" s="2">
        <v>41578</v>
      </c>
      <c r="D4228" s="1" t="s">
        <v>2002</v>
      </c>
      <c r="E4228" s="1">
        <v>102473</v>
      </c>
      <c r="F4228" s="6" t="s">
        <v>6230</v>
      </c>
      <c r="G4228" s="15" t="str">
        <f>VLOOKUP(A4228,Movie!A:D,4,FALSE)</f>
        <v>Warner Brothers</v>
      </c>
      <c r="H4228" s="14">
        <f>VLOOKUP(E4228,'Rental Transaction'!A:B,2,FALSE)</f>
        <v>464782</v>
      </c>
      <c r="I4228">
        <f t="shared" si="66"/>
        <v>2013</v>
      </c>
    </row>
    <row r="4229" spans="1:9">
      <c r="A4229" s="1">
        <v>10265</v>
      </c>
      <c r="B4229" s="1">
        <v>6</v>
      </c>
      <c r="C4229" s="2">
        <v>41580</v>
      </c>
      <c r="D4229" s="1" t="s">
        <v>2002</v>
      </c>
      <c r="E4229" s="1">
        <v>102474</v>
      </c>
      <c r="F4229" s="6" t="s">
        <v>6231</v>
      </c>
      <c r="G4229" s="15" t="str">
        <f>VLOOKUP(A4229,Movie!A:D,4,FALSE)</f>
        <v>Warner Brothers</v>
      </c>
      <c r="H4229" s="14">
        <f>VLOOKUP(E4229,'Rental Transaction'!A:B,2,FALSE)</f>
        <v>516619</v>
      </c>
      <c r="I4229">
        <f t="shared" si="66"/>
        <v>2013</v>
      </c>
    </row>
    <row r="4230" spans="1:9">
      <c r="A4230" s="1">
        <v>10051</v>
      </c>
      <c r="B4230" s="1">
        <v>10</v>
      </c>
      <c r="C4230" s="2">
        <v>41578</v>
      </c>
      <c r="D4230" s="1" t="s">
        <v>2005</v>
      </c>
      <c r="E4230" s="1">
        <v>102474</v>
      </c>
      <c r="F4230" s="6" t="s">
        <v>6232</v>
      </c>
      <c r="G4230" s="15" t="str">
        <f>VLOOKUP(A4230,Movie!A:D,4,FALSE)</f>
        <v>Paramount</v>
      </c>
      <c r="H4230" s="14">
        <f>VLOOKUP(E4230,'Rental Transaction'!A:B,2,FALSE)</f>
        <v>516619</v>
      </c>
      <c r="I4230">
        <f t="shared" si="66"/>
        <v>2013</v>
      </c>
    </row>
    <row r="4231" spans="1:9">
      <c r="A4231" s="1">
        <v>10169</v>
      </c>
      <c r="B4231" s="1">
        <v>4</v>
      </c>
      <c r="C4231" s="2">
        <v>41577</v>
      </c>
      <c r="D4231" s="1" t="s">
        <v>2002</v>
      </c>
      <c r="E4231" s="1">
        <v>102474</v>
      </c>
      <c r="F4231" s="6" t="s">
        <v>6233</v>
      </c>
      <c r="G4231" s="15" t="str">
        <f>VLOOKUP(A4231,Movie!A:D,4,FALSE)</f>
        <v>Warner Brothers</v>
      </c>
      <c r="H4231" s="14">
        <f>VLOOKUP(E4231,'Rental Transaction'!A:B,2,FALSE)</f>
        <v>516619</v>
      </c>
      <c r="I4231">
        <f t="shared" si="66"/>
        <v>2013</v>
      </c>
    </row>
    <row r="4232" spans="1:9">
      <c r="A4232" s="1">
        <v>10235</v>
      </c>
      <c r="B4232" s="1">
        <v>9</v>
      </c>
      <c r="C4232" s="2">
        <v>41580</v>
      </c>
      <c r="D4232" s="1" t="s">
        <v>2005</v>
      </c>
      <c r="E4232" s="1">
        <v>102474</v>
      </c>
      <c r="F4232" s="6" t="s">
        <v>6234</v>
      </c>
      <c r="G4232" s="15" t="str">
        <f>VLOOKUP(A4232,Movie!A:D,4,FALSE)</f>
        <v>Lionsgate</v>
      </c>
      <c r="H4232" s="14">
        <f>VLOOKUP(E4232,'Rental Transaction'!A:B,2,FALSE)</f>
        <v>516619</v>
      </c>
      <c r="I4232">
        <f t="shared" si="66"/>
        <v>2013</v>
      </c>
    </row>
    <row r="4233" spans="1:9">
      <c r="A4233" s="1">
        <v>10224</v>
      </c>
      <c r="B4233" s="1">
        <v>3</v>
      </c>
      <c r="C4233" s="2">
        <v>41578</v>
      </c>
      <c r="D4233" s="1" t="s">
        <v>2002</v>
      </c>
      <c r="E4233" s="1">
        <v>102477</v>
      </c>
      <c r="F4233" s="6" t="s">
        <v>6235</v>
      </c>
      <c r="G4233" s="15" t="str">
        <f>VLOOKUP(A4233,Movie!A:D,4,FALSE)</f>
        <v>Fox Searchlight</v>
      </c>
      <c r="H4233" s="14">
        <f>VLOOKUP(E4233,'Rental Transaction'!A:B,2,FALSE)</f>
        <v>269687</v>
      </c>
      <c r="I4233">
        <f t="shared" si="66"/>
        <v>2013</v>
      </c>
    </row>
    <row r="4234" spans="1:9">
      <c r="A4234" s="1">
        <v>10177</v>
      </c>
      <c r="B4234" s="1">
        <v>2</v>
      </c>
      <c r="C4234" s="2">
        <v>41578</v>
      </c>
      <c r="D4234" s="1" t="s">
        <v>2005</v>
      </c>
      <c r="E4234" s="1">
        <v>102478</v>
      </c>
      <c r="F4234" s="6" t="s">
        <v>6236</v>
      </c>
      <c r="G4234" s="15" t="str">
        <f>VLOOKUP(A4234,Movie!A:D,4,FALSE)</f>
        <v>Fox</v>
      </c>
      <c r="H4234" s="14">
        <f>VLOOKUP(E4234,'Rental Transaction'!A:B,2,FALSE)</f>
        <v>734514</v>
      </c>
      <c r="I4234">
        <f t="shared" si="66"/>
        <v>2013</v>
      </c>
    </row>
    <row r="4235" spans="1:9" ht="29.25">
      <c r="A4235" s="1">
        <v>10121</v>
      </c>
      <c r="B4235" s="1">
        <v>6</v>
      </c>
      <c r="C4235" s="2">
        <v>41578</v>
      </c>
      <c r="D4235" s="1" t="s">
        <v>2005</v>
      </c>
      <c r="E4235" s="1">
        <v>102479</v>
      </c>
      <c r="F4235" s="6" t="s">
        <v>6237</v>
      </c>
      <c r="G4235" s="15" t="str">
        <f>VLOOKUP(A4235,Movie!A:D,4,FALSE)</f>
        <v>Weinstein Company</v>
      </c>
      <c r="H4235" s="14">
        <f>VLOOKUP(E4235,'Rental Transaction'!A:B,2,FALSE)</f>
        <v>205927</v>
      </c>
      <c r="I4235">
        <f t="shared" si="66"/>
        <v>2013</v>
      </c>
    </row>
    <row r="4236" spans="1:9">
      <c r="A4236" s="1">
        <v>10289</v>
      </c>
      <c r="B4236" s="1">
        <v>7</v>
      </c>
      <c r="C4236" s="2">
        <v>41579</v>
      </c>
      <c r="D4236" s="1" t="s">
        <v>2005</v>
      </c>
      <c r="E4236" s="1">
        <v>102481</v>
      </c>
      <c r="F4236" s="6" t="s">
        <v>6238</v>
      </c>
      <c r="G4236" s="15" t="str">
        <f>VLOOKUP(A4236,Movie!A:D,4,FALSE)</f>
        <v>Open Road Films</v>
      </c>
      <c r="H4236" s="14">
        <f>VLOOKUP(E4236,'Rental Transaction'!A:B,2,FALSE)</f>
        <v>833180</v>
      </c>
      <c r="I4236">
        <f t="shared" si="66"/>
        <v>2013</v>
      </c>
    </row>
    <row r="4237" spans="1:9">
      <c r="A4237" s="1">
        <v>10229</v>
      </c>
      <c r="B4237" s="1">
        <v>5</v>
      </c>
      <c r="C4237" s="2">
        <v>41578</v>
      </c>
      <c r="D4237" s="1" t="s">
        <v>2002</v>
      </c>
      <c r="E4237" s="1">
        <v>102481</v>
      </c>
      <c r="F4237" s="6" t="s">
        <v>6239</v>
      </c>
      <c r="G4237" s="15" t="str">
        <f>VLOOKUP(A4237,Movie!A:D,4,FALSE)</f>
        <v>TriStar</v>
      </c>
      <c r="H4237" s="14">
        <f>VLOOKUP(E4237,'Rental Transaction'!A:B,2,FALSE)</f>
        <v>833180</v>
      </c>
      <c r="I4237">
        <f t="shared" si="66"/>
        <v>2013</v>
      </c>
    </row>
    <row r="4238" spans="1:9">
      <c r="A4238" s="1">
        <v>10153</v>
      </c>
      <c r="B4238" s="1">
        <v>3</v>
      </c>
      <c r="C4238" s="2">
        <v>41578</v>
      </c>
      <c r="D4238" s="1" t="s">
        <v>2002</v>
      </c>
      <c r="E4238" s="1">
        <v>102482</v>
      </c>
      <c r="F4238" s="6" t="s">
        <v>6240</v>
      </c>
      <c r="G4238" s="15" t="str">
        <f>VLOOKUP(A4238,Movie!A:D,4,FALSE)</f>
        <v>Lionsgate</v>
      </c>
      <c r="H4238" s="14">
        <f>VLOOKUP(E4238,'Rental Transaction'!A:B,2,FALSE)</f>
        <v>247216</v>
      </c>
      <c r="I4238">
        <f t="shared" si="66"/>
        <v>2013</v>
      </c>
    </row>
    <row r="4239" spans="1:9">
      <c r="A4239" s="1">
        <v>10266</v>
      </c>
      <c r="B4239" s="1">
        <v>8</v>
      </c>
      <c r="C4239" s="2">
        <v>41579</v>
      </c>
      <c r="D4239" s="1" t="s">
        <v>2002</v>
      </c>
      <c r="E4239" s="1">
        <v>102483</v>
      </c>
      <c r="F4239" s="6" t="s">
        <v>6241</v>
      </c>
      <c r="G4239" s="15" t="str">
        <f>VLOOKUP(A4239,Movie!A:D,4,FALSE)</f>
        <v>Sony</v>
      </c>
      <c r="H4239" s="14">
        <f>VLOOKUP(E4239,'Rental Transaction'!A:B,2,FALSE)</f>
        <v>723819</v>
      </c>
      <c r="I4239">
        <f t="shared" si="66"/>
        <v>2013</v>
      </c>
    </row>
    <row r="4240" spans="1:9">
      <c r="A4240" s="1">
        <v>10065</v>
      </c>
      <c r="B4240" s="1">
        <v>1</v>
      </c>
      <c r="C4240" s="2">
        <v>41579</v>
      </c>
      <c r="D4240" s="1" t="s">
        <v>2002</v>
      </c>
      <c r="E4240" s="1">
        <v>102484</v>
      </c>
      <c r="F4240" s="6" t="s">
        <v>6242</v>
      </c>
      <c r="G4240" s="15" t="str">
        <f>VLOOKUP(A4240,Movie!A:D,4,FALSE)</f>
        <v>Warner Brothers</v>
      </c>
      <c r="H4240" s="14">
        <f>VLOOKUP(E4240,'Rental Transaction'!A:B,2,FALSE)</f>
        <v>253106</v>
      </c>
      <c r="I4240">
        <f t="shared" si="66"/>
        <v>2013</v>
      </c>
    </row>
    <row r="4241" spans="1:9">
      <c r="A4241" s="1">
        <v>10178</v>
      </c>
      <c r="B4241" s="1">
        <v>9</v>
      </c>
      <c r="C4241" s="2">
        <v>41579</v>
      </c>
      <c r="D4241" s="1" t="s">
        <v>2002</v>
      </c>
      <c r="E4241" s="1">
        <v>102486</v>
      </c>
      <c r="F4241" s="6" t="s">
        <v>6243</v>
      </c>
      <c r="G4241" s="15" t="str">
        <f>VLOOKUP(A4241,Movie!A:D,4,FALSE)</f>
        <v>Warner Brothers</v>
      </c>
      <c r="H4241" s="14">
        <f>VLOOKUP(E4241,'Rental Transaction'!A:B,2,FALSE)</f>
        <v>250266</v>
      </c>
      <c r="I4241">
        <f t="shared" si="66"/>
        <v>2013</v>
      </c>
    </row>
    <row r="4242" spans="1:9">
      <c r="A4242" s="1">
        <v>10057</v>
      </c>
      <c r="B4242" s="1">
        <v>4</v>
      </c>
      <c r="C4242" s="2">
        <v>41586</v>
      </c>
      <c r="D4242" s="1" t="s">
        <v>2005</v>
      </c>
      <c r="E4242" s="1">
        <v>102487</v>
      </c>
      <c r="F4242" s="6" t="s">
        <v>6244</v>
      </c>
      <c r="G4242" s="15" t="str">
        <f>VLOOKUP(A4242,Movie!A:D,4,FALSE)</f>
        <v>Warner Brothers</v>
      </c>
      <c r="H4242" s="14">
        <f>VLOOKUP(E4242,'Rental Transaction'!A:B,2,FALSE)</f>
        <v>298508</v>
      </c>
      <c r="I4242">
        <f t="shared" si="66"/>
        <v>2013</v>
      </c>
    </row>
    <row r="4243" spans="1:9">
      <c r="A4243" s="1">
        <v>10276</v>
      </c>
      <c r="B4243" s="1">
        <v>6</v>
      </c>
      <c r="C4243" s="2">
        <v>41579</v>
      </c>
      <c r="D4243" s="1" t="s">
        <v>2002</v>
      </c>
      <c r="E4243" s="1">
        <v>102488</v>
      </c>
      <c r="F4243" s="6" t="s">
        <v>6245</v>
      </c>
      <c r="G4243" s="15" t="str">
        <f>VLOOKUP(A4243,Movie!A:D,4,FALSE)</f>
        <v>FilmDistrict</v>
      </c>
      <c r="H4243" s="14">
        <f>VLOOKUP(E4243,'Rental Transaction'!A:B,2,FALSE)</f>
        <v>386950</v>
      </c>
      <c r="I4243">
        <f t="shared" si="66"/>
        <v>2013</v>
      </c>
    </row>
    <row r="4244" spans="1:9">
      <c r="A4244" s="1">
        <v>10167</v>
      </c>
      <c r="B4244" s="1">
        <v>5</v>
      </c>
      <c r="C4244" s="2">
        <v>41580</v>
      </c>
      <c r="D4244" s="1" t="s">
        <v>2005</v>
      </c>
      <c r="E4244" s="1">
        <v>102490</v>
      </c>
      <c r="F4244" s="6" t="s">
        <v>6246</v>
      </c>
      <c r="G4244" s="15" t="str">
        <f>VLOOKUP(A4244,Movie!A:D,4,FALSE)</f>
        <v>Universal</v>
      </c>
      <c r="H4244" s="14">
        <f>VLOOKUP(E4244,'Rental Transaction'!A:B,2,FALSE)</f>
        <v>747066</v>
      </c>
      <c r="I4244">
        <f t="shared" si="66"/>
        <v>2013</v>
      </c>
    </row>
    <row r="4245" spans="1:9">
      <c r="A4245" s="1">
        <v>10217</v>
      </c>
      <c r="B4245" s="1">
        <v>3</v>
      </c>
      <c r="C4245" s="2">
        <v>41579</v>
      </c>
      <c r="D4245" s="1" t="s">
        <v>2002</v>
      </c>
      <c r="E4245" s="1">
        <v>102490</v>
      </c>
      <c r="F4245" s="6" t="s">
        <v>6247</v>
      </c>
      <c r="G4245" s="15" t="str">
        <f>VLOOKUP(A4245,Movie!A:D,4,FALSE)</f>
        <v>Warner Brothers</v>
      </c>
      <c r="H4245" s="14">
        <f>VLOOKUP(E4245,'Rental Transaction'!A:B,2,FALSE)</f>
        <v>747066</v>
      </c>
      <c r="I4245">
        <f t="shared" si="66"/>
        <v>2013</v>
      </c>
    </row>
    <row r="4246" spans="1:9">
      <c r="A4246" s="1">
        <v>10265</v>
      </c>
      <c r="B4246" s="1">
        <v>8</v>
      </c>
      <c r="C4246" s="2">
        <v>41581</v>
      </c>
      <c r="D4246" s="1" t="s">
        <v>2002</v>
      </c>
      <c r="E4246" s="1">
        <v>102494</v>
      </c>
      <c r="F4246" s="6" t="s">
        <v>6248</v>
      </c>
      <c r="G4246" s="15" t="str">
        <f>VLOOKUP(A4246,Movie!A:D,4,FALSE)</f>
        <v>Warner Brothers</v>
      </c>
      <c r="H4246" s="14">
        <f>VLOOKUP(E4246,'Rental Transaction'!A:B,2,FALSE)</f>
        <v>185863</v>
      </c>
      <c r="I4246">
        <f t="shared" si="66"/>
        <v>2013</v>
      </c>
    </row>
    <row r="4247" spans="1:9">
      <c r="A4247" s="1">
        <v>10230</v>
      </c>
      <c r="B4247" s="1">
        <v>1</v>
      </c>
      <c r="C4247" s="2">
        <v>41583</v>
      </c>
      <c r="D4247" s="1" t="s">
        <v>2002</v>
      </c>
      <c r="E4247" s="1">
        <v>102494</v>
      </c>
      <c r="F4247" s="6" t="s">
        <v>6249</v>
      </c>
      <c r="G4247" s="15" t="str">
        <f>VLOOKUP(A4247,Movie!A:D,4,FALSE)</f>
        <v>Focus</v>
      </c>
      <c r="H4247" s="14">
        <f>VLOOKUP(E4247,'Rental Transaction'!A:B,2,FALSE)</f>
        <v>185863</v>
      </c>
      <c r="I4247">
        <f t="shared" si="66"/>
        <v>2013</v>
      </c>
    </row>
    <row r="4248" spans="1:9">
      <c r="A4248" s="1">
        <v>10198</v>
      </c>
      <c r="B4248" s="1">
        <v>10</v>
      </c>
      <c r="C4248" s="2">
        <v>41580</v>
      </c>
      <c r="D4248" s="1" t="s">
        <v>2002</v>
      </c>
      <c r="E4248" s="1">
        <v>102494</v>
      </c>
      <c r="F4248" s="6" t="s">
        <v>6250</v>
      </c>
      <c r="G4248" s="15" t="str">
        <f>VLOOKUP(A4248,Movie!A:D,4,FALSE)</f>
        <v>Fox</v>
      </c>
      <c r="H4248" s="14">
        <f>VLOOKUP(E4248,'Rental Transaction'!A:B,2,FALSE)</f>
        <v>185863</v>
      </c>
      <c r="I4248">
        <f t="shared" si="66"/>
        <v>2013</v>
      </c>
    </row>
    <row r="4249" spans="1:9">
      <c r="A4249" s="1">
        <v>10124</v>
      </c>
      <c r="B4249" s="1">
        <v>10</v>
      </c>
      <c r="C4249" s="2">
        <v>41582</v>
      </c>
      <c r="D4249" s="1" t="s">
        <v>2002</v>
      </c>
      <c r="E4249" s="1">
        <v>102496</v>
      </c>
      <c r="F4249" s="6" t="s">
        <v>6251</v>
      </c>
      <c r="G4249" s="15" t="str">
        <f>VLOOKUP(A4249,Movie!A:D,4,FALSE)</f>
        <v>Paramount</v>
      </c>
      <c r="H4249" s="14">
        <f>VLOOKUP(E4249,'Rental Transaction'!A:B,2,FALSE)</f>
        <v>927518</v>
      </c>
      <c r="I4249">
        <f t="shared" si="66"/>
        <v>2013</v>
      </c>
    </row>
    <row r="4250" spans="1:9">
      <c r="A4250" s="1">
        <v>10238</v>
      </c>
      <c r="B4250" s="1">
        <v>6</v>
      </c>
      <c r="C4250" s="2">
        <v>41580</v>
      </c>
      <c r="D4250" s="1" t="s">
        <v>2002</v>
      </c>
      <c r="E4250" s="1">
        <v>102496</v>
      </c>
      <c r="F4250" s="6" t="s">
        <v>6252</v>
      </c>
      <c r="G4250" s="15" t="str">
        <f>VLOOKUP(A4250,Movie!A:D,4,FALSE)</f>
        <v>Warner Brothers</v>
      </c>
      <c r="H4250" s="14">
        <f>VLOOKUP(E4250,'Rental Transaction'!A:B,2,FALSE)</f>
        <v>927518</v>
      </c>
      <c r="I4250">
        <f t="shared" si="66"/>
        <v>2013</v>
      </c>
    </row>
    <row r="4251" spans="1:9">
      <c r="A4251" s="1">
        <v>10256</v>
      </c>
      <c r="B4251" s="1">
        <v>3</v>
      </c>
      <c r="C4251" s="2">
        <v>41586</v>
      </c>
      <c r="D4251" s="1" t="s">
        <v>2002</v>
      </c>
      <c r="E4251" s="1">
        <v>102497</v>
      </c>
      <c r="F4251" s="6" t="s">
        <v>6253</v>
      </c>
      <c r="G4251" s="15" t="str">
        <f>VLOOKUP(A4251,Movie!A:D,4,FALSE)</f>
        <v>Fox</v>
      </c>
      <c r="H4251" s="14">
        <f>VLOOKUP(E4251,'Rental Transaction'!A:B,2,FALSE)</f>
        <v>622506</v>
      </c>
      <c r="I4251">
        <f t="shared" si="66"/>
        <v>2013</v>
      </c>
    </row>
    <row r="4252" spans="1:9">
      <c r="A4252" s="1">
        <v>10175</v>
      </c>
      <c r="B4252" s="1">
        <v>9</v>
      </c>
      <c r="C4252" s="2">
        <v>41580</v>
      </c>
      <c r="D4252" s="1" t="s">
        <v>2002</v>
      </c>
      <c r="E4252" s="1">
        <v>102497</v>
      </c>
      <c r="F4252" s="6" t="s">
        <v>6254</v>
      </c>
      <c r="G4252" s="15" t="str">
        <f>VLOOKUP(A4252,Movie!A:D,4,FALSE)</f>
        <v>Buena Vista</v>
      </c>
      <c r="H4252" s="14">
        <f>VLOOKUP(E4252,'Rental Transaction'!A:B,2,FALSE)</f>
        <v>622506</v>
      </c>
      <c r="I4252">
        <f t="shared" si="66"/>
        <v>2013</v>
      </c>
    </row>
    <row r="4253" spans="1:9">
      <c r="A4253" s="1">
        <v>10227</v>
      </c>
      <c r="B4253" s="1">
        <v>3</v>
      </c>
      <c r="C4253" s="2">
        <v>41581</v>
      </c>
      <c r="D4253" s="1" t="s">
        <v>2002</v>
      </c>
      <c r="E4253" s="1">
        <v>102499</v>
      </c>
      <c r="F4253" s="6" t="s">
        <v>6255</v>
      </c>
      <c r="G4253" s="15" t="str">
        <f>VLOOKUP(A4253,Movie!A:D,4,FALSE)</f>
        <v>Focus</v>
      </c>
      <c r="H4253" s="14">
        <f>VLOOKUP(E4253,'Rental Transaction'!A:B,2,FALSE)</f>
        <v>649551</v>
      </c>
      <c r="I4253">
        <f t="shared" si="66"/>
        <v>2013</v>
      </c>
    </row>
    <row r="4254" spans="1:9">
      <c r="A4254" s="1">
        <v>10237</v>
      </c>
      <c r="B4254" s="1">
        <v>3</v>
      </c>
      <c r="C4254" s="2">
        <v>41584</v>
      </c>
      <c r="D4254" s="1" t="s">
        <v>2005</v>
      </c>
      <c r="E4254" s="1">
        <v>102501</v>
      </c>
      <c r="F4254" s="6" t="s">
        <v>6256</v>
      </c>
      <c r="G4254" s="15" t="str">
        <f>VLOOKUP(A4254,Movie!A:D,4,FALSE)</f>
        <v>Warner Brothers</v>
      </c>
      <c r="H4254" s="14">
        <f>VLOOKUP(E4254,'Rental Transaction'!A:B,2,FALSE)</f>
        <v>893039</v>
      </c>
      <c r="I4254">
        <f t="shared" si="66"/>
        <v>2013</v>
      </c>
    </row>
    <row r="4255" spans="1:9">
      <c r="A4255" s="1">
        <v>10224</v>
      </c>
      <c r="B4255" s="1">
        <v>8</v>
      </c>
      <c r="C4255" s="2">
        <v>41582</v>
      </c>
      <c r="D4255" s="1" t="s">
        <v>2002</v>
      </c>
      <c r="E4255" s="1">
        <v>102502</v>
      </c>
      <c r="F4255" s="6" t="s">
        <v>6257</v>
      </c>
      <c r="G4255" s="15" t="str">
        <f>VLOOKUP(A4255,Movie!A:D,4,FALSE)</f>
        <v>Fox Searchlight</v>
      </c>
      <c r="H4255" s="14">
        <f>VLOOKUP(E4255,'Rental Transaction'!A:B,2,FALSE)</f>
        <v>421074</v>
      </c>
      <c r="I4255">
        <f t="shared" si="66"/>
        <v>2013</v>
      </c>
    </row>
    <row r="4256" spans="1:9">
      <c r="A4256" s="1">
        <v>10169</v>
      </c>
      <c r="B4256" s="1">
        <v>4</v>
      </c>
      <c r="C4256" s="2">
        <v>41582</v>
      </c>
      <c r="D4256" s="1" t="s">
        <v>2005</v>
      </c>
      <c r="E4256" s="1">
        <v>102503</v>
      </c>
      <c r="F4256" s="6" t="s">
        <v>6258</v>
      </c>
      <c r="G4256" s="15" t="str">
        <f>VLOOKUP(A4256,Movie!A:D,4,FALSE)</f>
        <v>Warner Brothers</v>
      </c>
      <c r="H4256" s="14">
        <f>VLOOKUP(E4256,'Rental Transaction'!A:B,2,FALSE)</f>
        <v>418506</v>
      </c>
      <c r="I4256">
        <f t="shared" si="66"/>
        <v>2013</v>
      </c>
    </row>
    <row r="4257" spans="1:9">
      <c r="A4257" s="1">
        <v>10108</v>
      </c>
      <c r="B4257" s="1">
        <v>4</v>
      </c>
      <c r="C4257" s="2">
        <v>41581</v>
      </c>
      <c r="D4257" s="1" t="s">
        <v>2005</v>
      </c>
      <c r="E4257" s="1">
        <v>102504</v>
      </c>
      <c r="F4257" s="6" t="s">
        <v>6259</v>
      </c>
      <c r="G4257" s="15" t="str">
        <f>VLOOKUP(A4257,Movie!A:D,4,FALSE)</f>
        <v>Fox</v>
      </c>
      <c r="H4257" s="14">
        <f>VLOOKUP(E4257,'Rental Transaction'!A:B,2,FALSE)</f>
        <v>893039</v>
      </c>
      <c r="I4257">
        <f t="shared" si="66"/>
        <v>2013</v>
      </c>
    </row>
    <row r="4258" spans="1:9">
      <c r="A4258" s="1">
        <v>10185</v>
      </c>
      <c r="B4258" s="1">
        <v>6</v>
      </c>
      <c r="C4258" s="2">
        <v>41581</v>
      </c>
      <c r="D4258" s="1" t="s">
        <v>2005</v>
      </c>
      <c r="E4258" s="1">
        <v>102505</v>
      </c>
      <c r="F4258" s="6" t="s">
        <v>6260</v>
      </c>
      <c r="G4258" s="15" t="str">
        <f>VLOOKUP(A4258,Movie!A:D,4,FALSE)</f>
        <v>Warner Brothers</v>
      </c>
      <c r="H4258" s="14">
        <f>VLOOKUP(E4258,'Rental Transaction'!A:B,2,FALSE)</f>
        <v>549823</v>
      </c>
      <c r="I4258">
        <f t="shared" si="66"/>
        <v>2013</v>
      </c>
    </row>
    <row r="4259" spans="1:9">
      <c r="A4259" s="1">
        <v>10203</v>
      </c>
      <c r="B4259" s="1">
        <v>5</v>
      </c>
      <c r="C4259" s="2">
        <v>41586</v>
      </c>
      <c r="D4259" s="1" t="s">
        <v>2002</v>
      </c>
      <c r="E4259" s="1">
        <v>102506</v>
      </c>
      <c r="F4259" s="6" t="s">
        <v>6261</v>
      </c>
      <c r="G4259" s="15" t="str">
        <f>VLOOKUP(A4259,Movie!A:D,4,FALSE)</f>
        <v>Buena Vista</v>
      </c>
      <c r="H4259" s="14">
        <f>VLOOKUP(E4259,'Rental Transaction'!A:B,2,FALSE)</f>
        <v>936214</v>
      </c>
      <c r="I4259">
        <f t="shared" si="66"/>
        <v>2013</v>
      </c>
    </row>
    <row r="4260" spans="1:9">
      <c r="A4260" s="1">
        <v>10256</v>
      </c>
      <c r="B4260" s="1">
        <v>4</v>
      </c>
      <c r="C4260" s="2">
        <v>41583</v>
      </c>
      <c r="D4260" s="1" t="s">
        <v>2002</v>
      </c>
      <c r="E4260" s="1">
        <v>102506</v>
      </c>
      <c r="F4260" s="6" t="s">
        <v>6262</v>
      </c>
      <c r="G4260" s="15" t="str">
        <f>VLOOKUP(A4260,Movie!A:D,4,FALSE)</f>
        <v>Fox</v>
      </c>
      <c r="H4260" s="14">
        <f>VLOOKUP(E4260,'Rental Transaction'!A:B,2,FALSE)</f>
        <v>936214</v>
      </c>
      <c r="I4260">
        <f t="shared" si="66"/>
        <v>2013</v>
      </c>
    </row>
    <row r="4261" spans="1:9">
      <c r="A4261" s="1">
        <v>10248</v>
      </c>
      <c r="B4261" s="1">
        <v>10</v>
      </c>
      <c r="C4261" s="2">
        <v>41587</v>
      </c>
      <c r="D4261" s="1" t="s">
        <v>2002</v>
      </c>
      <c r="E4261" s="1">
        <v>102508</v>
      </c>
      <c r="F4261" s="6" t="s">
        <v>6263</v>
      </c>
      <c r="G4261" s="15" t="str">
        <f>VLOOKUP(A4261,Movie!A:D,4,FALSE)</f>
        <v>Relativity</v>
      </c>
      <c r="H4261" s="14">
        <f>VLOOKUP(E4261,'Rental Transaction'!A:B,2,FALSE)</f>
        <v>892883</v>
      </c>
      <c r="I4261">
        <f t="shared" si="66"/>
        <v>2013</v>
      </c>
    </row>
    <row r="4262" spans="1:9">
      <c r="A4262" s="1">
        <v>10038</v>
      </c>
      <c r="B4262" s="1">
        <v>8</v>
      </c>
      <c r="C4262" s="2">
        <v>41582</v>
      </c>
      <c r="D4262" s="1" t="s">
        <v>2005</v>
      </c>
      <c r="E4262" s="1">
        <v>102508</v>
      </c>
      <c r="F4262" s="6" t="s">
        <v>6264</v>
      </c>
      <c r="G4262" s="15" t="str">
        <f>VLOOKUP(A4262,Movie!A:D,4,FALSE)</f>
        <v>Paramount</v>
      </c>
      <c r="H4262" s="14">
        <f>VLOOKUP(E4262,'Rental Transaction'!A:B,2,FALSE)</f>
        <v>892883</v>
      </c>
      <c r="I4262">
        <f t="shared" si="66"/>
        <v>2013</v>
      </c>
    </row>
    <row r="4263" spans="1:9">
      <c r="A4263" s="1">
        <v>10129</v>
      </c>
      <c r="B4263" s="1">
        <v>7</v>
      </c>
      <c r="C4263" s="2">
        <v>41585</v>
      </c>
      <c r="D4263" s="1" t="s">
        <v>2002</v>
      </c>
      <c r="E4263" s="1">
        <v>102509</v>
      </c>
      <c r="F4263" s="6" t="s">
        <v>6265</v>
      </c>
      <c r="G4263" s="15" t="str">
        <f>VLOOKUP(A4263,Movie!A:D,4,FALSE)</f>
        <v>Warner Brothers</v>
      </c>
      <c r="H4263" s="14">
        <f>VLOOKUP(E4263,'Rental Transaction'!A:B,2,FALSE)</f>
        <v>926144</v>
      </c>
      <c r="I4263">
        <f t="shared" si="66"/>
        <v>2013</v>
      </c>
    </row>
    <row r="4264" spans="1:9">
      <c r="A4264" s="1">
        <v>10163</v>
      </c>
      <c r="B4264" s="1">
        <v>9</v>
      </c>
      <c r="C4264" s="2">
        <v>41583</v>
      </c>
      <c r="D4264" s="1" t="s">
        <v>2002</v>
      </c>
      <c r="E4264" s="1">
        <v>102509</v>
      </c>
      <c r="F4264" s="6" t="s">
        <v>6266</v>
      </c>
      <c r="G4264" s="15" t="str">
        <f>VLOOKUP(A4264,Movie!A:D,4,FALSE)</f>
        <v>Warner Brothers</v>
      </c>
      <c r="H4264" s="14">
        <f>VLOOKUP(E4264,'Rental Transaction'!A:B,2,FALSE)</f>
        <v>926144</v>
      </c>
      <c r="I4264">
        <f t="shared" si="66"/>
        <v>2013</v>
      </c>
    </row>
    <row r="4265" spans="1:9">
      <c r="A4265" s="1">
        <v>10284</v>
      </c>
      <c r="B4265" s="1">
        <v>2</v>
      </c>
      <c r="C4265" s="2">
        <v>41582</v>
      </c>
      <c r="D4265" s="1" t="s">
        <v>2002</v>
      </c>
      <c r="E4265" s="1">
        <v>102509</v>
      </c>
      <c r="F4265" s="6" t="s">
        <v>6267</v>
      </c>
      <c r="G4265" s="15" t="str">
        <f>VLOOKUP(A4265,Movie!A:D,4,FALSE)</f>
        <v>Focus</v>
      </c>
      <c r="H4265" s="14">
        <f>VLOOKUP(E4265,'Rental Transaction'!A:B,2,FALSE)</f>
        <v>926144</v>
      </c>
      <c r="I4265">
        <f t="shared" si="66"/>
        <v>2013</v>
      </c>
    </row>
    <row r="4266" spans="1:9">
      <c r="A4266" s="1">
        <v>10071</v>
      </c>
      <c r="B4266" s="1">
        <v>10</v>
      </c>
      <c r="C4266" s="2">
        <v>41582</v>
      </c>
      <c r="D4266" s="1" t="s">
        <v>2002</v>
      </c>
      <c r="E4266" s="1">
        <v>102510</v>
      </c>
      <c r="F4266" s="6" t="s">
        <v>6268</v>
      </c>
      <c r="G4266" s="15" t="str">
        <f>VLOOKUP(A4266,Movie!A:D,4,FALSE)</f>
        <v>Paramount</v>
      </c>
      <c r="H4266" s="14">
        <f>VLOOKUP(E4266,'Rental Transaction'!A:B,2,FALSE)</f>
        <v>468692</v>
      </c>
      <c r="I4266">
        <f t="shared" si="66"/>
        <v>2013</v>
      </c>
    </row>
    <row r="4267" spans="1:9">
      <c r="A4267" s="1">
        <v>10170</v>
      </c>
      <c r="B4267" s="1">
        <v>6</v>
      </c>
      <c r="C4267" s="2">
        <v>41582</v>
      </c>
      <c r="D4267" s="1" t="s">
        <v>2002</v>
      </c>
      <c r="E4267" s="1">
        <v>102511</v>
      </c>
      <c r="F4267" s="6" t="s">
        <v>6269</v>
      </c>
      <c r="G4267" s="15" t="str">
        <f>VLOOKUP(A4267,Movie!A:D,4,FALSE)</f>
        <v>Sony Classics</v>
      </c>
      <c r="H4267" s="14">
        <f>VLOOKUP(E4267,'Rental Transaction'!A:B,2,FALSE)</f>
        <v>610766</v>
      </c>
      <c r="I4267">
        <f t="shared" si="66"/>
        <v>2013</v>
      </c>
    </row>
    <row r="4268" spans="1:9">
      <c r="A4268" s="1">
        <v>10194</v>
      </c>
      <c r="B4268" s="1">
        <v>9</v>
      </c>
      <c r="C4268" s="2">
        <v>41582</v>
      </c>
      <c r="D4268" s="1" t="s">
        <v>2002</v>
      </c>
      <c r="E4268" s="1">
        <v>102512</v>
      </c>
      <c r="F4268" s="6" t="s">
        <v>6270</v>
      </c>
      <c r="G4268" s="15" t="str">
        <f>VLOOKUP(A4268,Movie!A:D,4,FALSE)</f>
        <v>FilmDistrict</v>
      </c>
      <c r="H4268" s="14">
        <f>VLOOKUP(E4268,'Rental Transaction'!A:B,2,FALSE)</f>
        <v>992956</v>
      </c>
      <c r="I4268">
        <f t="shared" si="66"/>
        <v>2013</v>
      </c>
    </row>
    <row r="4269" spans="1:9">
      <c r="A4269" s="1">
        <v>10280</v>
      </c>
      <c r="B4269" s="1">
        <v>9</v>
      </c>
      <c r="C4269" s="2">
        <v>41584</v>
      </c>
      <c r="D4269" s="1" t="s">
        <v>2002</v>
      </c>
      <c r="E4269" s="1">
        <v>102513</v>
      </c>
      <c r="F4269" s="6" t="s">
        <v>6271</v>
      </c>
      <c r="G4269" s="15" t="str">
        <f>VLOOKUP(A4269,Movie!A:D,4,FALSE)</f>
        <v>Universal</v>
      </c>
      <c r="H4269" s="14">
        <f>VLOOKUP(E4269,'Rental Transaction'!A:B,2,FALSE)</f>
        <v>590616</v>
      </c>
      <c r="I4269">
        <f t="shared" si="66"/>
        <v>2013</v>
      </c>
    </row>
    <row r="4270" spans="1:9">
      <c r="A4270" s="1">
        <v>10155</v>
      </c>
      <c r="B4270" s="1">
        <v>7</v>
      </c>
      <c r="C4270" s="2">
        <v>41583</v>
      </c>
      <c r="D4270" s="1" t="s">
        <v>2005</v>
      </c>
      <c r="E4270" s="1">
        <v>102515</v>
      </c>
      <c r="F4270" s="6" t="s">
        <v>6272</v>
      </c>
      <c r="G4270" s="15" t="str">
        <f>VLOOKUP(A4270,Movie!A:D,4,FALSE)</f>
        <v>Fox</v>
      </c>
      <c r="H4270" s="14">
        <f>VLOOKUP(E4270,'Rental Transaction'!A:B,2,FALSE)</f>
        <v>277373</v>
      </c>
      <c r="I4270">
        <f t="shared" si="66"/>
        <v>2013</v>
      </c>
    </row>
    <row r="4271" spans="1:9">
      <c r="A4271" s="1">
        <v>10288</v>
      </c>
      <c r="B4271" s="1">
        <v>5</v>
      </c>
      <c r="C4271" s="2">
        <v>41584</v>
      </c>
      <c r="D4271" s="1" t="s">
        <v>2002</v>
      </c>
      <c r="E4271" s="1">
        <v>102516</v>
      </c>
      <c r="F4271" s="6" t="s">
        <v>6273</v>
      </c>
      <c r="G4271" s="15" t="str">
        <f>VLOOKUP(A4271,Movie!A:D,4,FALSE)</f>
        <v>Relativity</v>
      </c>
      <c r="H4271" s="14">
        <f>VLOOKUP(E4271,'Rental Transaction'!A:B,2,FALSE)</f>
        <v>433442</v>
      </c>
      <c r="I4271">
        <f t="shared" si="66"/>
        <v>2013</v>
      </c>
    </row>
    <row r="4272" spans="1:9">
      <c r="A4272" s="1">
        <v>10155</v>
      </c>
      <c r="B4272" s="1">
        <v>4</v>
      </c>
      <c r="C4272" s="2">
        <v>41584</v>
      </c>
      <c r="D4272" s="1" t="s">
        <v>2002</v>
      </c>
      <c r="E4272" s="1">
        <v>102517</v>
      </c>
      <c r="F4272" s="6" t="s">
        <v>6274</v>
      </c>
      <c r="G4272" s="15" t="str">
        <f>VLOOKUP(A4272,Movie!A:D,4,FALSE)</f>
        <v>Fox</v>
      </c>
      <c r="H4272" s="14">
        <f>VLOOKUP(E4272,'Rental Transaction'!A:B,2,FALSE)</f>
        <v>762509</v>
      </c>
      <c r="I4272">
        <f t="shared" si="66"/>
        <v>2013</v>
      </c>
    </row>
    <row r="4273" spans="1:9">
      <c r="A4273" s="1">
        <v>10262</v>
      </c>
      <c r="B4273" s="1">
        <v>10</v>
      </c>
      <c r="C4273" s="2">
        <v>41583</v>
      </c>
      <c r="D4273" s="1" t="s">
        <v>2002</v>
      </c>
      <c r="E4273" s="1">
        <v>102518</v>
      </c>
      <c r="F4273" s="6" t="s">
        <v>6275</v>
      </c>
      <c r="G4273" s="15" t="str">
        <f>VLOOKUP(A4273,Movie!A:D,4,FALSE)</f>
        <v>Lionsgate</v>
      </c>
      <c r="H4273" s="14">
        <f>VLOOKUP(E4273,'Rental Transaction'!A:B,2,FALSE)</f>
        <v>427391</v>
      </c>
      <c r="I4273">
        <f t="shared" si="66"/>
        <v>2013</v>
      </c>
    </row>
    <row r="4274" spans="1:9">
      <c r="A4274" s="1">
        <v>10211</v>
      </c>
      <c r="B4274" s="1">
        <v>4</v>
      </c>
      <c r="C4274" s="2">
        <v>41584</v>
      </c>
      <c r="D4274" s="1" t="s">
        <v>2002</v>
      </c>
      <c r="E4274" s="1">
        <v>102518</v>
      </c>
      <c r="F4274" s="6" t="s">
        <v>6276</v>
      </c>
      <c r="G4274" s="15" t="str">
        <f>VLOOKUP(A4274,Movie!A:D,4,FALSE)</f>
        <v>Buena Vista</v>
      </c>
      <c r="H4274" s="14">
        <f>VLOOKUP(E4274,'Rental Transaction'!A:B,2,FALSE)</f>
        <v>427391</v>
      </c>
      <c r="I4274">
        <f t="shared" si="66"/>
        <v>2013</v>
      </c>
    </row>
    <row r="4275" spans="1:9">
      <c r="A4275" s="1">
        <v>10183</v>
      </c>
      <c r="B4275" s="1">
        <v>8</v>
      </c>
      <c r="C4275" s="2">
        <v>41583</v>
      </c>
      <c r="D4275" s="1" t="s">
        <v>2002</v>
      </c>
      <c r="E4275" s="1">
        <v>102520</v>
      </c>
      <c r="F4275" s="6" t="s">
        <v>6277</v>
      </c>
      <c r="G4275" s="15" t="str">
        <f>VLOOKUP(A4275,Movie!A:D,4,FALSE)</f>
        <v>Sony</v>
      </c>
      <c r="H4275" s="14">
        <f>VLOOKUP(E4275,'Rental Transaction'!A:B,2,FALSE)</f>
        <v>999915</v>
      </c>
      <c r="I4275">
        <f t="shared" si="66"/>
        <v>2013</v>
      </c>
    </row>
    <row r="4276" spans="1:9">
      <c r="A4276" s="1">
        <v>10286</v>
      </c>
      <c r="B4276" s="1">
        <v>10</v>
      </c>
      <c r="C4276" s="2">
        <v>41584</v>
      </c>
      <c r="D4276" s="1" t="s">
        <v>2002</v>
      </c>
      <c r="E4276" s="1">
        <v>102520</v>
      </c>
      <c r="F4276" s="6" t="s">
        <v>6278</v>
      </c>
      <c r="G4276" s="15" t="str">
        <f>VLOOKUP(A4276,Movie!A:D,4,FALSE)</f>
        <v>Fox Searchlight</v>
      </c>
      <c r="H4276" s="14">
        <f>VLOOKUP(E4276,'Rental Transaction'!A:B,2,FALSE)</f>
        <v>999915</v>
      </c>
      <c r="I4276">
        <f t="shared" si="66"/>
        <v>2013</v>
      </c>
    </row>
    <row r="4277" spans="1:9">
      <c r="A4277" s="1">
        <v>10168</v>
      </c>
      <c r="B4277" s="1">
        <v>10</v>
      </c>
      <c r="C4277" s="2">
        <v>41584</v>
      </c>
      <c r="D4277" s="1" t="s">
        <v>2002</v>
      </c>
      <c r="E4277" s="1">
        <v>102522</v>
      </c>
      <c r="F4277" s="6" t="s">
        <v>6279</v>
      </c>
      <c r="G4277" s="15" t="str">
        <f>VLOOKUP(A4277,Movie!A:D,4,FALSE)</f>
        <v>Paramount</v>
      </c>
      <c r="H4277" s="14">
        <f>VLOOKUP(E4277,'Rental Transaction'!A:B,2,FALSE)</f>
        <v>515790</v>
      </c>
      <c r="I4277">
        <f t="shared" si="66"/>
        <v>2013</v>
      </c>
    </row>
    <row r="4278" spans="1:9">
      <c r="A4278" s="1">
        <v>10084</v>
      </c>
      <c r="B4278" s="1">
        <v>5</v>
      </c>
      <c r="C4278" s="2">
        <v>41584</v>
      </c>
      <c r="D4278" s="1" t="s">
        <v>2002</v>
      </c>
      <c r="E4278" s="1">
        <v>102524</v>
      </c>
      <c r="F4278" s="6" t="s">
        <v>6280</v>
      </c>
      <c r="G4278" s="15" t="str">
        <f>VLOOKUP(A4278,Movie!A:D,4,FALSE)</f>
        <v>CBS Films</v>
      </c>
      <c r="H4278" s="14">
        <f>VLOOKUP(E4278,'Rental Transaction'!A:B,2,FALSE)</f>
        <v>994269</v>
      </c>
      <c r="I4278">
        <f t="shared" si="66"/>
        <v>2013</v>
      </c>
    </row>
    <row r="4279" spans="1:9">
      <c r="A4279" s="1">
        <v>10073</v>
      </c>
      <c r="B4279" s="1">
        <v>3</v>
      </c>
      <c r="C4279" s="2">
        <v>41587</v>
      </c>
      <c r="D4279" s="1" t="s">
        <v>2002</v>
      </c>
      <c r="E4279" s="1">
        <v>102527</v>
      </c>
      <c r="F4279" s="6" t="s">
        <v>6281</v>
      </c>
      <c r="G4279" s="15" t="str">
        <f>VLOOKUP(A4279,Movie!A:D,4,FALSE)</f>
        <v>FilmDistrict</v>
      </c>
      <c r="H4279" s="14">
        <f>VLOOKUP(E4279,'Rental Transaction'!A:B,2,FALSE)</f>
        <v>646700</v>
      </c>
      <c r="I4279">
        <f t="shared" si="66"/>
        <v>2013</v>
      </c>
    </row>
    <row r="4280" spans="1:9">
      <c r="A4280" s="1">
        <v>10211</v>
      </c>
      <c r="B4280" s="1">
        <v>1</v>
      </c>
      <c r="C4280" s="2">
        <v>41586</v>
      </c>
      <c r="D4280" s="1" t="s">
        <v>2005</v>
      </c>
      <c r="E4280" s="1">
        <v>102527</v>
      </c>
      <c r="F4280" s="6" t="s">
        <v>6282</v>
      </c>
      <c r="G4280" s="15" t="str">
        <f>VLOOKUP(A4280,Movie!A:D,4,FALSE)</f>
        <v>Buena Vista</v>
      </c>
      <c r="H4280" s="14">
        <f>VLOOKUP(E4280,'Rental Transaction'!A:B,2,FALSE)</f>
        <v>646700</v>
      </c>
      <c r="I4280">
        <f t="shared" si="66"/>
        <v>2013</v>
      </c>
    </row>
    <row r="4281" spans="1:9">
      <c r="A4281" s="1">
        <v>10217</v>
      </c>
      <c r="B4281" s="1">
        <v>10</v>
      </c>
      <c r="C4281" s="2">
        <v>41586</v>
      </c>
      <c r="D4281" s="1" t="s">
        <v>2002</v>
      </c>
      <c r="E4281" s="1">
        <v>102530</v>
      </c>
      <c r="F4281" s="6" t="s">
        <v>6283</v>
      </c>
      <c r="G4281" s="15" t="str">
        <f>VLOOKUP(A4281,Movie!A:D,4,FALSE)</f>
        <v>Warner Brothers</v>
      </c>
      <c r="H4281" s="14">
        <f>VLOOKUP(E4281,'Rental Transaction'!A:B,2,FALSE)</f>
        <v>561305</v>
      </c>
      <c r="I4281">
        <f t="shared" si="66"/>
        <v>2013</v>
      </c>
    </row>
    <row r="4282" spans="1:9">
      <c r="A4282" s="1">
        <v>10292</v>
      </c>
      <c r="B4282" s="1">
        <v>6</v>
      </c>
      <c r="C4282" s="2">
        <v>41586</v>
      </c>
      <c r="D4282" s="1" t="s">
        <v>2002</v>
      </c>
      <c r="E4282" s="1">
        <v>102531</v>
      </c>
      <c r="F4282" s="6" t="s">
        <v>6284</v>
      </c>
      <c r="G4282" s="15" t="str">
        <f>VLOOKUP(A4282,Movie!A:D,4,FALSE)</f>
        <v>Sony Classics</v>
      </c>
      <c r="H4282" s="14">
        <f>VLOOKUP(E4282,'Rental Transaction'!A:B,2,FALSE)</f>
        <v>226909</v>
      </c>
      <c r="I4282">
        <f t="shared" si="66"/>
        <v>2013</v>
      </c>
    </row>
    <row r="4283" spans="1:9">
      <c r="A4283" s="1">
        <v>10113</v>
      </c>
      <c r="B4283" s="1">
        <v>3</v>
      </c>
      <c r="C4283" s="2">
        <v>41586</v>
      </c>
      <c r="D4283" s="1" t="s">
        <v>2002</v>
      </c>
      <c r="E4283" s="1">
        <v>102532</v>
      </c>
      <c r="F4283" s="6" t="s">
        <v>6285</v>
      </c>
      <c r="G4283" s="15" t="str">
        <f>VLOOKUP(A4283,Movie!A:D,4,FALSE)</f>
        <v>Lionsgate</v>
      </c>
      <c r="H4283" s="14">
        <f>VLOOKUP(E4283,'Rental Transaction'!A:B,2,FALSE)</f>
        <v>590616</v>
      </c>
      <c r="I4283">
        <f t="shared" si="66"/>
        <v>2013</v>
      </c>
    </row>
    <row r="4284" spans="1:9">
      <c r="A4284" s="1">
        <v>10271</v>
      </c>
      <c r="B4284" s="1">
        <v>7</v>
      </c>
      <c r="C4284" s="2">
        <v>41585</v>
      </c>
      <c r="D4284" s="1" t="s">
        <v>2002</v>
      </c>
      <c r="E4284" s="1">
        <v>102533</v>
      </c>
      <c r="F4284" s="6" t="s">
        <v>6286</v>
      </c>
      <c r="G4284" s="15" t="str">
        <f>VLOOKUP(A4284,Movie!A:D,4,FALSE)</f>
        <v>Universal</v>
      </c>
      <c r="H4284" s="14">
        <f>VLOOKUP(E4284,'Rental Transaction'!A:B,2,FALSE)</f>
        <v>852925</v>
      </c>
      <c r="I4284">
        <f t="shared" si="66"/>
        <v>2013</v>
      </c>
    </row>
    <row r="4285" spans="1:9">
      <c r="A4285" s="1">
        <v>10193</v>
      </c>
      <c r="B4285" s="1">
        <v>4</v>
      </c>
      <c r="C4285" s="2">
        <v>41593</v>
      </c>
      <c r="D4285" s="1" t="s">
        <v>2002</v>
      </c>
      <c r="E4285" s="1">
        <v>102534</v>
      </c>
      <c r="F4285" s="6" t="s">
        <v>6287</v>
      </c>
      <c r="G4285" s="15" t="str">
        <f>VLOOKUP(A4285,Movie!A:D,4,FALSE)</f>
        <v>Fox</v>
      </c>
      <c r="H4285" s="14">
        <f>VLOOKUP(E4285,'Rental Transaction'!A:B,2,FALSE)</f>
        <v>840096</v>
      </c>
      <c r="I4285">
        <f t="shared" si="66"/>
        <v>2013</v>
      </c>
    </row>
    <row r="4286" spans="1:9">
      <c r="A4286" s="1">
        <v>10274</v>
      </c>
      <c r="B4286" s="1">
        <v>10</v>
      </c>
      <c r="C4286" s="2">
        <v>41586</v>
      </c>
      <c r="D4286" s="1" t="s">
        <v>2002</v>
      </c>
      <c r="E4286" s="1">
        <v>102535</v>
      </c>
      <c r="F4286" s="6" t="s">
        <v>6288</v>
      </c>
      <c r="G4286" s="15" t="str">
        <f>VLOOKUP(A4286,Movie!A:D,4,FALSE)</f>
        <v>Fox</v>
      </c>
      <c r="H4286" s="14">
        <f>VLOOKUP(E4286,'Rental Transaction'!A:B,2,FALSE)</f>
        <v>352644</v>
      </c>
      <c r="I4286">
        <f t="shared" si="66"/>
        <v>2013</v>
      </c>
    </row>
    <row r="4287" spans="1:9">
      <c r="A4287" s="1">
        <v>10155</v>
      </c>
      <c r="B4287" s="1">
        <v>7</v>
      </c>
      <c r="C4287" s="2">
        <v>41586</v>
      </c>
      <c r="D4287" s="1" t="s">
        <v>2005</v>
      </c>
      <c r="E4287" s="1">
        <v>102535</v>
      </c>
      <c r="F4287" s="6" t="s">
        <v>6289</v>
      </c>
      <c r="G4287" s="15" t="str">
        <f>VLOOKUP(A4287,Movie!A:D,4,FALSE)</f>
        <v>Fox</v>
      </c>
      <c r="H4287" s="14">
        <f>VLOOKUP(E4287,'Rental Transaction'!A:B,2,FALSE)</f>
        <v>352644</v>
      </c>
      <c r="I4287">
        <f t="shared" si="66"/>
        <v>2013</v>
      </c>
    </row>
    <row r="4288" spans="1:9">
      <c r="A4288" s="1">
        <v>10219</v>
      </c>
      <c r="B4288" s="1">
        <v>10</v>
      </c>
      <c r="C4288" s="2">
        <v>41587</v>
      </c>
      <c r="D4288" s="1" t="s">
        <v>2002</v>
      </c>
      <c r="E4288" s="1">
        <v>102537</v>
      </c>
      <c r="F4288" s="6" t="s">
        <v>6290</v>
      </c>
      <c r="G4288" s="15" t="str">
        <f>VLOOKUP(A4288,Movie!A:D,4,FALSE)</f>
        <v>Paramount</v>
      </c>
      <c r="H4288" s="14">
        <f>VLOOKUP(E4288,'Rental Transaction'!A:B,2,FALSE)</f>
        <v>127472</v>
      </c>
      <c r="I4288">
        <f t="shared" si="66"/>
        <v>2013</v>
      </c>
    </row>
    <row r="4289" spans="1:9">
      <c r="A4289" s="1">
        <v>10292</v>
      </c>
      <c r="B4289" s="1">
        <v>5</v>
      </c>
      <c r="C4289" s="2">
        <v>41587</v>
      </c>
      <c r="D4289" s="1" t="s">
        <v>2002</v>
      </c>
      <c r="E4289" s="1">
        <v>102537</v>
      </c>
      <c r="F4289" s="6" t="s">
        <v>6291</v>
      </c>
      <c r="G4289" s="15" t="str">
        <f>VLOOKUP(A4289,Movie!A:D,4,FALSE)</f>
        <v>Sony Classics</v>
      </c>
      <c r="H4289" s="14">
        <f>VLOOKUP(E4289,'Rental Transaction'!A:B,2,FALSE)</f>
        <v>127472</v>
      </c>
      <c r="I4289">
        <f t="shared" si="66"/>
        <v>2013</v>
      </c>
    </row>
    <row r="4290" spans="1:9">
      <c r="A4290" s="1">
        <v>10090</v>
      </c>
      <c r="B4290" s="1">
        <v>2</v>
      </c>
      <c r="C4290" s="2">
        <v>41589</v>
      </c>
      <c r="D4290" s="1" t="s">
        <v>2002</v>
      </c>
      <c r="E4290" s="1">
        <v>102539</v>
      </c>
      <c r="F4290" s="6" t="s">
        <v>6292</v>
      </c>
      <c r="G4290" s="15" t="str">
        <f>VLOOKUP(A4290,Movie!A:D,4,FALSE)</f>
        <v>Paramount</v>
      </c>
      <c r="H4290" s="14">
        <f>VLOOKUP(E4290,'Rental Transaction'!A:B,2,FALSE)</f>
        <v>696852</v>
      </c>
      <c r="I4290">
        <f t="shared" si="66"/>
        <v>2013</v>
      </c>
    </row>
    <row r="4291" spans="1:9">
      <c r="A4291" s="1">
        <v>10254</v>
      </c>
      <c r="B4291" s="1">
        <v>5</v>
      </c>
      <c r="C4291" s="2">
        <v>41587</v>
      </c>
      <c r="D4291" s="1" t="s">
        <v>2002</v>
      </c>
      <c r="E4291" s="1">
        <v>102542</v>
      </c>
      <c r="F4291" s="6" t="s">
        <v>6293</v>
      </c>
      <c r="G4291" s="15" t="str">
        <f>VLOOKUP(A4291,Movie!A:D,4,FALSE)</f>
        <v>Paramount</v>
      </c>
      <c r="H4291" s="14">
        <f>VLOOKUP(E4291,'Rental Transaction'!A:B,2,FALSE)</f>
        <v>216475</v>
      </c>
      <c r="I4291">
        <f t="shared" ref="I4291:I4354" si="67">YEAR(C4291)</f>
        <v>2013</v>
      </c>
    </row>
    <row r="4292" spans="1:9">
      <c r="A4292" s="1">
        <v>10219</v>
      </c>
      <c r="B4292" s="1">
        <v>3</v>
      </c>
      <c r="C4292" s="2">
        <v>41587</v>
      </c>
      <c r="D4292" s="1" t="s">
        <v>2002</v>
      </c>
      <c r="E4292" s="1">
        <v>102542</v>
      </c>
      <c r="F4292" s="6" t="s">
        <v>6294</v>
      </c>
      <c r="G4292" s="15" t="str">
        <f>VLOOKUP(A4292,Movie!A:D,4,FALSE)</f>
        <v>Paramount</v>
      </c>
      <c r="H4292" s="14">
        <f>VLOOKUP(E4292,'Rental Transaction'!A:B,2,FALSE)</f>
        <v>216475</v>
      </c>
      <c r="I4292">
        <f t="shared" si="67"/>
        <v>2013</v>
      </c>
    </row>
    <row r="4293" spans="1:9">
      <c r="A4293" s="1">
        <v>10057</v>
      </c>
      <c r="B4293" s="1">
        <v>9</v>
      </c>
      <c r="C4293" s="2">
        <v>41590</v>
      </c>
      <c r="D4293" s="1" t="s">
        <v>2002</v>
      </c>
      <c r="E4293" s="1">
        <v>102543</v>
      </c>
      <c r="F4293" s="6" t="s">
        <v>6295</v>
      </c>
      <c r="G4293" s="15" t="str">
        <f>VLOOKUP(A4293,Movie!A:D,4,FALSE)</f>
        <v>Warner Brothers</v>
      </c>
      <c r="H4293" s="14">
        <f>VLOOKUP(E4293,'Rental Transaction'!A:B,2,FALSE)</f>
        <v>706101</v>
      </c>
      <c r="I4293">
        <f t="shared" si="67"/>
        <v>2013</v>
      </c>
    </row>
    <row r="4294" spans="1:9">
      <c r="A4294" s="1">
        <v>10267</v>
      </c>
      <c r="B4294" s="1">
        <v>5</v>
      </c>
      <c r="C4294" s="2">
        <v>41590</v>
      </c>
      <c r="D4294" s="1" t="s">
        <v>2002</v>
      </c>
      <c r="E4294" s="1">
        <v>102544</v>
      </c>
      <c r="F4294" s="6" t="s">
        <v>6296</v>
      </c>
      <c r="G4294" s="15" t="str">
        <f>VLOOKUP(A4294,Movie!A:D,4,FALSE)</f>
        <v>TriStar</v>
      </c>
      <c r="H4294" s="14">
        <f>VLOOKUP(E4294,'Rental Transaction'!A:B,2,FALSE)</f>
        <v>347189</v>
      </c>
      <c r="I4294">
        <f t="shared" si="67"/>
        <v>2013</v>
      </c>
    </row>
    <row r="4295" spans="1:9">
      <c r="A4295" s="1">
        <v>10233</v>
      </c>
      <c r="B4295" s="1">
        <v>4</v>
      </c>
      <c r="C4295" s="2">
        <v>41587</v>
      </c>
      <c r="D4295" s="1" t="s">
        <v>2002</v>
      </c>
      <c r="E4295" s="1">
        <v>102545</v>
      </c>
      <c r="F4295" s="6" t="s">
        <v>6297</v>
      </c>
      <c r="G4295" s="15" t="str">
        <f>VLOOKUP(A4295,Movie!A:D,4,FALSE)</f>
        <v>Screen Gems</v>
      </c>
      <c r="H4295" s="14">
        <f>VLOOKUP(E4295,'Rental Transaction'!A:B,2,FALSE)</f>
        <v>412929</v>
      </c>
      <c r="I4295">
        <f t="shared" si="67"/>
        <v>2013</v>
      </c>
    </row>
    <row r="4296" spans="1:9">
      <c r="A4296" s="1">
        <v>10206</v>
      </c>
      <c r="B4296" s="1">
        <v>8</v>
      </c>
      <c r="C4296" s="2">
        <v>41589</v>
      </c>
      <c r="D4296" s="1" t="s">
        <v>2002</v>
      </c>
      <c r="E4296" s="1">
        <v>102546</v>
      </c>
      <c r="F4296" s="6" t="s">
        <v>6298</v>
      </c>
      <c r="G4296" s="15" t="str">
        <f>VLOOKUP(A4296,Movie!A:D,4,FALSE)</f>
        <v>Fox</v>
      </c>
      <c r="H4296" s="14">
        <f>VLOOKUP(E4296,'Rental Transaction'!A:B,2,FALSE)</f>
        <v>665282</v>
      </c>
      <c r="I4296">
        <f t="shared" si="67"/>
        <v>2013</v>
      </c>
    </row>
    <row r="4297" spans="1:9" ht="29.25">
      <c r="A4297" s="1">
        <v>10290</v>
      </c>
      <c r="B4297" s="1">
        <v>5</v>
      </c>
      <c r="C4297" s="2">
        <v>41588</v>
      </c>
      <c r="D4297" s="1" t="s">
        <v>2002</v>
      </c>
      <c r="E4297" s="1">
        <v>102546</v>
      </c>
      <c r="F4297" s="6" t="s">
        <v>6299</v>
      </c>
      <c r="G4297" s="15" t="str">
        <f>VLOOKUP(A4297,Movie!A:D,4,FALSE)</f>
        <v>Weinstein Company</v>
      </c>
      <c r="H4297" s="14">
        <f>VLOOKUP(E4297,'Rental Transaction'!A:B,2,FALSE)</f>
        <v>665282</v>
      </c>
      <c r="I4297">
        <f t="shared" si="67"/>
        <v>2013</v>
      </c>
    </row>
    <row r="4298" spans="1:9">
      <c r="A4298" s="1">
        <v>10137</v>
      </c>
      <c r="B4298" s="1">
        <v>4</v>
      </c>
      <c r="C4298" s="2">
        <v>41589</v>
      </c>
      <c r="D4298" s="1" t="s">
        <v>2002</v>
      </c>
      <c r="E4298" s="1">
        <v>102547</v>
      </c>
      <c r="F4298" s="6" t="s">
        <v>6300</v>
      </c>
      <c r="G4298" s="15" t="str">
        <f>VLOOKUP(A4298,Movie!A:D,4,FALSE)</f>
        <v>Buena Vista</v>
      </c>
      <c r="H4298" s="14">
        <f>VLOOKUP(E4298,'Rental Transaction'!A:B,2,FALSE)</f>
        <v>781523</v>
      </c>
      <c r="I4298">
        <f t="shared" si="67"/>
        <v>2013</v>
      </c>
    </row>
    <row r="4299" spans="1:9">
      <c r="A4299" s="1">
        <v>10196</v>
      </c>
      <c r="B4299" s="1">
        <v>9</v>
      </c>
      <c r="C4299" s="2">
        <v>41588</v>
      </c>
      <c r="D4299" s="1" t="s">
        <v>2005</v>
      </c>
      <c r="E4299" s="1">
        <v>102547</v>
      </c>
      <c r="F4299" s="6" t="s">
        <v>6301</v>
      </c>
      <c r="G4299" s="15" t="str">
        <f>VLOOKUP(A4299,Movie!A:D,4,FALSE)</f>
        <v>Fox</v>
      </c>
      <c r="H4299" s="14">
        <f>VLOOKUP(E4299,'Rental Transaction'!A:B,2,FALSE)</f>
        <v>781523</v>
      </c>
      <c r="I4299">
        <f t="shared" si="67"/>
        <v>2013</v>
      </c>
    </row>
    <row r="4300" spans="1:9">
      <c r="A4300" s="1">
        <v>10230</v>
      </c>
      <c r="B4300" s="1">
        <v>1</v>
      </c>
      <c r="C4300" s="2">
        <v>41588</v>
      </c>
      <c r="D4300" s="1" t="s">
        <v>2005</v>
      </c>
      <c r="E4300" s="1">
        <v>102548</v>
      </c>
      <c r="F4300" s="6" t="s">
        <v>6302</v>
      </c>
      <c r="G4300" s="15" t="str">
        <f>VLOOKUP(A4300,Movie!A:D,4,FALSE)</f>
        <v>Focus</v>
      </c>
      <c r="H4300" s="14">
        <f>VLOOKUP(E4300,'Rental Transaction'!A:B,2,FALSE)</f>
        <v>353846</v>
      </c>
      <c r="I4300">
        <f t="shared" si="67"/>
        <v>2013</v>
      </c>
    </row>
    <row r="4301" spans="1:9">
      <c r="A4301" s="1">
        <v>10234</v>
      </c>
      <c r="B4301" s="1">
        <v>2</v>
      </c>
      <c r="C4301" s="2">
        <v>41588</v>
      </c>
      <c r="D4301" s="1" t="s">
        <v>2002</v>
      </c>
      <c r="E4301" s="1">
        <v>102548</v>
      </c>
      <c r="F4301" s="6" t="s">
        <v>6303</v>
      </c>
      <c r="G4301" s="15" t="str">
        <f>VLOOKUP(A4301,Movie!A:D,4,FALSE)</f>
        <v>Warner Brothers</v>
      </c>
      <c r="H4301" s="14">
        <f>VLOOKUP(E4301,'Rental Transaction'!A:B,2,FALSE)</f>
        <v>353846</v>
      </c>
      <c r="I4301">
        <f t="shared" si="67"/>
        <v>2013</v>
      </c>
    </row>
    <row r="4302" spans="1:9">
      <c r="A4302" s="1">
        <v>10072</v>
      </c>
      <c r="B4302" s="1">
        <v>10</v>
      </c>
      <c r="C4302" s="2">
        <v>41591</v>
      </c>
      <c r="D4302" s="1" t="s">
        <v>2005</v>
      </c>
      <c r="E4302" s="1">
        <v>102549</v>
      </c>
      <c r="F4302" s="6" t="s">
        <v>6304</v>
      </c>
      <c r="G4302" s="15" t="str">
        <f>VLOOKUP(A4302,Movie!A:D,4,FALSE)</f>
        <v>Paramount</v>
      </c>
      <c r="H4302" s="14">
        <f>VLOOKUP(E4302,'Rental Transaction'!A:B,2,FALSE)</f>
        <v>592592</v>
      </c>
      <c r="I4302">
        <f t="shared" si="67"/>
        <v>2013</v>
      </c>
    </row>
    <row r="4303" spans="1:9">
      <c r="A4303" s="1">
        <v>10241</v>
      </c>
      <c r="B4303" s="1">
        <v>10</v>
      </c>
      <c r="C4303" s="2">
        <v>41588</v>
      </c>
      <c r="D4303" s="1" t="s">
        <v>2002</v>
      </c>
      <c r="E4303" s="1">
        <v>102549</v>
      </c>
      <c r="F4303" s="6" t="s">
        <v>6305</v>
      </c>
      <c r="G4303" s="15" t="str">
        <f>VLOOKUP(A4303,Movie!A:D,4,FALSE)</f>
        <v>Warner Brothers</v>
      </c>
      <c r="H4303" s="14">
        <f>VLOOKUP(E4303,'Rental Transaction'!A:B,2,FALSE)</f>
        <v>592592</v>
      </c>
      <c r="I4303">
        <f t="shared" si="67"/>
        <v>2013</v>
      </c>
    </row>
    <row r="4304" spans="1:9">
      <c r="A4304" s="1">
        <v>10255</v>
      </c>
      <c r="B4304" s="1">
        <v>7</v>
      </c>
      <c r="C4304" s="2">
        <v>41588</v>
      </c>
      <c r="D4304" s="1" t="s">
        <v>2002</v>
      </c>
      <c r="E4304" s="1">
        <v>102550</v>
      </c>
      <c r="F4304" s="6" t="s">
        <v>6306</v>
      </c>
      <c r="G4304" s="15" t="str">
        <f>VLOOKUP(A4304,Movie!A:D,4,FALSE)</f>
        <v>Paramount</v>
      </c>
      <c r="H4304" s="14">
        <f>VLOOKUP(E4304,'Rental Transaction'!A:B,2,FALSE)</f>
        <v>418521</v>
      </c>
      <c r="I4304">
        <f t="shared" si="67"/>
        <v>2013</v>
      </c>
    </row>
    <row r="4305" spans="1:9">
      <c r="A4305" s="1">
        <v>10089</v>
      </c>
      <c r="B4305" s="1">
        <v>6</v>
      </c>
      <c r="C4305" s="2">
        <v>41589</v>
      </c>
      <c r="D4305" s="1" t="s">
        <v>2002</v>
      </c>
      <c r="E4305" s="1">
        <v>102551</v>
      </c>
      <c r="F4305" s="6" t="s">
        <v>6307</v>
      </c>
      <c r="G4305" s="15" t="str">
        <f>VLOOKUP(A4305,Movie!A:D,4,FALSE)</f>
        <v>Sony</v>
      </c>
      <c r="H4305" s="14">
        <f>VLOOKUP(E4305,'Rental Transaction'!A:B,2,FALSE)</f>
        <v>137696</v>
      </c>
      <c r="I4305">
        <f t="shared" si="67"/>
        <v>2013</v>
      </c>
    </row>
    <row r="4306" spans="1:9">
      <c r="A4306" s="1">
        <v>10069</v>
      </c>
      <c r="B4306" s="1">
        <v>6</v>
      </c>
      <c r="C4306" s="2">
        <v>41588</v>
      </c>
      <c r="D4306" s="1" t="s">
        <v>2002</v>
      </c>
      <c r="E4306" s="1">
        <v>102551</v>
      </c>
      <c r="F4306" s="6" t="s">
        <v>6308</v>
      </c>
      <c r="G4306" s="15" t="str">
        <f>VLOOKUP(A4306,Movie!A:D,4,FALSE)</f>
        <v>Warner Brothers</v>
      </c>
      <c r="H4306" s="14">
        <f>VLOOKUP(E4306,'Rental Transaction'!A:B,2,FALSE)</f>
        <v>137696</v>
      </c>
      <c r="I4306">
        <f t="shared" si="67"/>
        <v>2013</v>
      </c>
    </row>
    <row r="4307" spans="1:9">
      <c r="A4307" s="1">
        <v>10079</v>
      </c>
      <c r="B4307" s="1">
        <v>9</v>
      </c>
      <c r="C4307" s="2">
        <v>41589</v>
      </c>
      <c r="D4307" s="1" t="s">
        <v>2002</v>
      </c>
      <c r="E4307" s="1">
        <v>102551</v>
      </c>
      <c r="F4307" s="6" t="s">
        <v>6309</v>
      </c>
      <c r="G4307" s="15" t="str">
        <f>VLOOKUP(A4307,Movie!A:D,4,FALSE)</f>
        <v>Warner Brothers</v>
      </c>
      <c r="H4307" s="14">
        <f>VLOOKUP(E4307,'Rental Transaction'!A:B,2,FALSE)</f>
        <v>137696</v>
      </c>
      <c r="I4307">
        <f t="shared" si="67"/>
        <v>2013</v>
      </c>
    </row>
    <row r="4308" spans="1:9">
      <c r="A4308" s="1">
        <v>10215</v>
      </c>
      <c r="B4308" s="1">
        <v>8</v>
      </c>
      <c r="C4308" s="2">
        <v>41591</v>
      </c>
      <c r="D4308" s="1" t="s">
        <v>2005</v>
      </c>
      <c r="E4308" s="1">
        <v>102552</v>
      </c>
      <c r="F4308" s="6" t="s">
        <v>6310</v>
      </c>
      <c r="G4308" s="15" t="str">
        <f>VLOOKUP(A4308,Movie!A:D,4,FALSE)</f>
        <v>Paramount</v>
      </c>
      <c r="H4308" s="14">
        <f>VLOOKUP(E4308,'Rental Transaction'!A:B,2,FALSE)</f>
        <v>500350</v>
      </c>
      <c r="I4308">
        <f t="shared" si="67"/>
        <v>2013</v>
      </c>
    </row>
    <row r="4309" spans="1:9">
      <c r="A4309" s="1">
        <v>10102</v>
      </c>
      <c r="B4309" s="1">
        <v>8</v>
      </c>
      <c r="C4309" s="2">
        <v>41588</v>
      </c>
      <c r="D4309" s="1" t="s">
        <v>2002</v>
      </c>
      <c r="E4309" s="1">
        <v>102552</v>
      </c>
      <c r="F4309" s="6" t="s">
        <v>6311</v>
      </c>
      <c r="G4309" s="15" t="str">
        <f>VLOOKUP(A4309,Movie!A:D,4,FALSE)</f>
        <v>Universal</v>
      </c>
      <c r="H4309" s="14">
        <f>VLOOKUP(E4309,'Rental Transaction'!A:B,2,FALSE)</f>
        <v>500350</v>
      </c>
      <c r="I4309">
        <f t="shared" si="67"/>
        <v>2013</v>
      </c>
    </row>
    <row r="4310" spans="1:9">
      <c r="A4310" s="1">
        <v>10286</v>
      </c>
      <c r="B4310" s="1">
        <v>3</v>
      </c>
      <c r="C4310" s="2">
        <v>41590</v>
      </c>
      <c r="D4310" s="1" t="s">
        <v>2002</v>
      </c>
      <c r="E4310" s="1">
        <v>102558</v>
      </c>
      <c r="F4310" s="6" t="s">
        <v>6312</v>
      </c>
      <c r="G4310" s="15" t="str">
        <f>VLOOKUP(A4310,Movie!A:D,4,FALSE)</f>
        <v>Fox Searchlight</v>
      </c>
      <c r="H4310" s="14">
        <f>VLOOKUP(E4310,'Rental Transaction'!A:B,2,FALSE)</f>
        <v>961080</v>
      </c>
      <c r="I4310">
        <f t="shared" si="67"/>
        <v>2013</v>
      </c>
    </row>
    <row r="4311" spans="1:9">
      <c r="A4311" s="1">
        <v>10077</v>
      </c>
      <c r="B4311" s="1">
        <v>1</v>
      </c>
      <c r="C4311" s="2">
        <v>41590</v>
      </c>
      <c r="D4311" s="1" t="s">
        <v>2002</v>
      </c>
      <c r="E4311" s="1">
        <v>102559</v>
      </c>
      <c r="F4311" s="6" t="s">
        <v>6313</v>
      </c>
      <c r="G4311" s="15" t="str">
        <f>VLOOKUP(A4311,Movie!A:D,4,FALSE)</f>
        <v>Warner Brothers</v>
      </c>
      <c r="H4311" s="14">
        <f>VLOOKUP(E4311,'Rental Transaction'!A:B,2,FALSE)</f>
        <v>175940</v>
      </c>
      <c r="I4311">
        <f t="shared" si="67"/>
        <v>2013</v>
      </c>
    </row>
    <row r="4312" spans="1:9">
      <c r="A4312" s="1">
        <v>10133</v>
      </c>
      <c r="B4312" s="1">
        <v>1</v>
      </c>
      <c r="C4312" s="2">
        <v>41590</v>
      </c>
      <c r="D4312" s="1" t="s">
        <v>2002</v>
      </c>
      <c r="E4312" s="1">
        <v>102561</v>
      </c>
      <c r="F4312" s="6" t="s">
        <v>6314</v>
      </c>
      <c r="G4312" s="15" t="str">
        <f>VLOOKUP(A4312,Movie!A:D,4,FALSE)</f>
        <v>Fox</v>
      </c>
      <c r="H4312" s="14">
        <f>VLOOKUP(E4312,'Rental Transaction'!A:B,2,FALSE)</f>
        <v>676155</v>
      </c>
      <c r="I4312">
        <f t="shared" si="67"/>
        <v>2013</v>
      </c>
    </row>
    <row r="4313" spans="1:9">
      <c r="A4313" s="1">
        <v>10090</v>
      </c>
      <c r="B4313" s="1">
        <v>5</v>
      </c>
      <c r="C4313" s="2">
        <v>41589</v>
      </c>
      <c r="D4313" s="1" t="s">
        <v>2002</v>
      </c>
      <c r="E4313" s="1">
        <v>102561</v>
      </c>
      <c r="F4313" s="6" t="s">
        <v>6315</v>
      </c>
      <c r="G4313" s="15" t="str">
        <f>VLOOKUP(A4313,Movie!A:D,4,FALSE)</f>
        <v>Paramount</v>
      </c>
      <c r="H4313" s="14">
        <f>VLOOKUP(E4313,'Rental Transaction'!A:B,2,FALSE)</f>
        <v>676155</v>
      </c>
      <c r="I4313">
        <f t="shared" si="67"/>
        <v>2013</v>
      </c>
    </row>
    <row r="4314" spans="1:9">
      <c r="A4314" s="1">
        <v>10201</v>
      </c>
      <c r="B4314" s="1">
        <v>4</v>
      </c>
      <c r="C4314" s="2">
        <v>41591</v>
      </c>
      <c r="D4314" s="1" t="s">
        <v>2002</v>
      </c>
      <c r="E4314" s="1">
        <v>102562</v>
      </c>
      <c r="F4314" s="6" t="s">
        <v>6316</v>
      </c>
      <c r="G4314" s="15" t="str">
        <f>VLOOKUP(A4314,Movie!A:D,4,FALSE)</f>
        <v>Screen Gems</v>
      </c>
      <c r="H4314" s="14">
        <f>VLOOKUP(E4314,'Rental Transaction'!A:B,2,FALSE)</f>
        <v>924649</v>
      </c>
      <c r="I4314">
        <f t="shared" si="67"/>
        <v>2013</v>
      </c>
    </row>
    <row r="4315" spans="1:9">
      <c r="A4315" s="1">
        <v>10197</v>
      </c>
      <c r="B4315" s="1">
        <v>9</v>
      </c>
      <c r="C4315" s="2">
        <v>41591</v>
      </c>
      <c r="D4315" s="1" t="s">
        <v>2002</v>
      </c>
      <c r="E4315" s="1">
        <v>102563</v>
      </c>
      <c r="F4315" s="6" t="s">
        <v>6317</v>
      </c>
      <c r="G4315" s="15" t="str">
        <f>VLOOKUP(A4315,Movie!A:D,4,FALSE)</f>
        <v>Warner Brothers</v>
      </c>
      <c r="H4315" s="14">
        <f>VLOOKUP(E4315,'Rental Transaction'!A:B,2,FALSE)</f>
        <v>134457</v>
      </c>
      <c r="I4315">
        <f t="shared" si="67"/>
        <v>2013</v>
      </c>
    </row>
    <row r="4316" spans="1:9">
      <c r="A4316" s="1">
        <v>10160</v>
      </c>
      <c r="B4316" s="1">
        <v>6</v>
      </c>
      <c r="C4316" s="2">
        <v>41590</v>
      </c>
      <c r="D4316" s="1" t="s">
        <v>2002</v>
      </c>
      <c r="E4316" s="1">
        <v>102567</v>
      </c>
      <c r="F4316" s="6" t="s">
        <v>6318</v>
      </c>
      <c r="G4316" s="15" t="str">
        <f>VLOOKUP(A4316,Movie!A:D,4,FALSE)</f>
        <v>Lionsgate</v>
      </c>
      <c r="H4316" s="14">
        <f>VLOOKUP(E4316,'Rental Transaction'!A:B,2,FALSE)</f>
        <v>734624</v>
      </c>
      <c r="I4316">
        <f t="shared" si="67"/>
        <v>2013</v>
      </c>
    </row>
    <row r="4317" spans="1:9">
      <c r="A4317" s="1">
        <v>10228</v>
      </c>
      <c r="B4317" s="1">
        <v>5</v>
      </c>
      <c r="C4317" s="2">
        <v>41591</v>
      </c>
      <c r="D4317" s="1" t="s">
        <v>2002</v>
      </c>
      <c r="E4317" s="1">
        <v>102568</v>
      </c>
      <c r="F4317" s="6" t="s">
        <v>6319</v>
      </c>
      <c r="G4317" s="15" t="str">
        <f>VLOOKUP(A4317,Movie!A:D,4,FALSE)</f>
        <v>Universal</v>
      </c>
      <c r="H4317" s="14">
        <f>VLOOKUP(E4317,'Rental Transaction'!A:B,2,FALSE)</f>
        <v>534481</v>
      </c>
      <c r="I4317">
        <f t="shared" si="67"/>
        <v>2013</v>
      </c>
    </row>
    <row r="4318" spans="1:9">
      <c r="A4318" s="1">
        <v>10187</v>
      </c>
      <c r="B4318" s="1">
        <v>9</v>
      </c>
      <c r="C4318" s="2">
        <v>41591</v>
      </c>
      <c r="D4318" s="1" t="s">
        <v>2002</v>
      </c>
      <c r="E4318" s="1">
        <v>102569</v>
      </c>
      <c r="F4318" s="6" t="s">
        <v>6320</v>
      </c>
      <c r="G4318" s="15" t="str">
        <f>VLOOKUP(A4318,Movie!A:D,4,FALSE)</f>
        <v>Paramount</v>
      </c>
      <c r="H4318" s="14">
        <f>VLOOKUP(E4318,'Rental Transaction'!A:B,2,FALSE)</f>
        <v>513968</v>
      </c>
      <c r="I4318">
        <f t="shared" si="67"/>
        <v>2013</v>
      </c>
    </row>
    <row r="4319" spans="1:9">
      <c r="A4319" s="1">
        <v>10295</v>
      </c>
      <c r="B4319" s="1">
        <v>9</v>
      </c>
      <c r="C4319" s="2">
        <v>41590</v>
      </c>
      <c r="D4319" s="1" t="s">
        <v>2002</v>
      </c>
      <c r="E4319" s="1">
        <v>102569</v>
      </c>
      <c r="F4319" s="6" t="s">
        <v>6321</v>
      </c>
      <c r="G4319" s="15" t="str">
        <f>VLOOKUP(A4319,Movie!A:D,4,FALSE)</f>
        <v>A24</v>
      </c>
      <c r="H4319" s="14">
        <f>VLOOKUP(E4319,'Rental Transaction'!A:B,2,FALSE)</f>
        <v>513968</v>
      </c>
      <c r="I4319">
        <f t="shared" si="67"/>
        <v>2013</v>
      </c>
    </row>
    <row r="4320" spans="1:9">
      <c r="A4320" s="1">
        <v>10182</v>
      </c>
      <c r="B4320" s="1">
        <v>2</v>
      </c>
      <c r="C4320" s="2">
        <v>41591</v>
      </c>
      <c r="D4320" s="1" t="s">
        <v>2005</v>
      </c>
      <c r="E4320" s="1">
        <v>102571</v>
      </c>
      <c r="F4320" s="6" t="s">
        <v>6322</v>
      </c>
      <c r="G4320" s="15" t="str">
        <f>VLOOKUP(A4320,Movie!A:D,4,FALSE)</f>
        <v>Warner Brothers</v>
      </c>
      <c r="H4320" s="14">
        <f>VLOOKUP(E4320,'Rental Transaction'!A:B,2,FALSE)</f>
        <v>926289</v>
      </c>
      <c r="I4320">
        <f t="shared" si="67"/>
        <v>2013</v>
      </c>
    </row>
    <row r="4321" spans="1:9">
      <c r="A4321" s="1">
        <v>10066</v>
      </c>
      <c r="B4321" s="1">
        <v>7</v>
      </c>
      <c r="C4321" s="2">
        <v>41592</v>
      </c>
      <c r="D4321" s="1" t="s">
        <v>2002</v>
      </c>
      <c r="E4321" s="1">
        <v>102573</v>
      </c>
      <c r="F4321" s="6" t="s">
        <v>6323</v>
      </c>
      <c r="G4321" s="15" t="str">
        <f>VLOOKUP(A4321,Movie!A:D,4,FALSE)</f>
        <v>Buena Vista</v>
      </c>
      <c r="H4321" s="14">
        <f>VLOOKUP(E4321,'Rental Transaction'!A:B,2,FALSE)</f>
        <v>249779</v>
      </c>
      <c r="I4321">
        <f t="shared" si="67"/>
        <v>2013</v>
      </c>
    </row>
    <row r="4322" spans="1:9">
      <c r="A4322" s="1">
        <v>10258</v>
      </c>
      <c r="B4322" s="1">
        <v>9</v>
      </c>
      <c r="C4322" s="2">
        <v>41591</v>
      </c>
      <c r="D4322" s="1" t="s">
        <v>2005</v>
      </c>
      <c r="E4322" s="1">
        <v>102573</v>
      </c>
      <c r="F4322" s="6" t="s">
        <v>6324</v>
      </c>
      <c r="G4322" s="15" t="str">
        <f>VLOOKUP(A4322,Movie!A:D,4,FALSE)</f>
        <v>Warner Brothers</v>
      </c>
      <c r="H4322" s="14">
        <f>VLOOKUP(E4322,'Rental Transaction'!A:B,2,FALSE)</f>
        <v>249779</v>
      </c>
      <c r="I4322">
        <f t="shared" si="67"/>
        <v>2013</v>
      </c>
    </row>
    <row r="4323" spans="1:9">
      <c r="A4323" s="1">
        <v>10281</v>
      </c>
      <c r="B4323" s="1">
        <v>1</v>
      </c>
      <c r="C4323" s="2">
        <v>41594</v>
      </c>
      <c r="D4323" s="1" t="s">
        <v>2002</v>
      </c>
      <c r="E4323" s="1">
        <v>102575</v>
      </c>
      <c r="F4323" s="6" t="s">
        <v>6325</v>
      </c>
      <c r="G4323" s="15" t="str">
        <f>VLOOKUP(A4323,Movie!A:D,4,FALSE)</f>
        <v>Lionsgate</v>
      </c>
      <c r="H4323" s="14">
        <f>VLOOKUP(E4323,'Rental Transaction'!A:B,2,FALSE)</f>
        <v>494106</v>
      </c>
      <c r="I4323">
        <f t="shared" si="67"/>
        <v>2013</v>
      </c>
    </row>
    <row r="4324" spans="1:9">
      <c r="A4324" s="1">
        <v>10253</v>
      </c>
      <c r="B4324" s="1">
        <v>5</v>
      </c>
      <c r="C4324" s="2">
        <v>41591</v>
      </c>
      <c r="D4324" s="1" t="s">
        <v>2002</v>
      </c>
      <c r="E4324" s="1">
        <v>102575</v>
      </c>
      <c r="F4324" s="6" t="s">
        <v>6326</v>
      </c>
      <c r="G4324" s="15" t="str">
        <f>VLOOKUP(A4324,Movie!A:D,4,FALSE)</f>
        <v>Buena Vista</v>
      </c>
      <c r="H4324" s="14">
        <f>VLOOKUP(E4324,'Rental Transaction'!A:B,2,FALSE)</f>
        <v>494106</v>
      </c>
      <c r="I4324">
        <f t="shared" si="67"/>
        <v>2013</v>
      </c>
    </row>
    <row r="4325" spans="1:9">
      <c r="A4325" s="1">
        <v>10152</v>
      </c>
      <c r="B4325" s="1">
        <v>1</v>
      </c>
      <c r="C4325" s="2">
        <v>41591</v>
      </c>
      <c r="D4325" s="1" t="s">
        <v>2002</v>
      </c>
      <c r="E4325" s="1">
        <v>102576</v>
      </c>
      <c r="F4325" s="6" t="s">
        <v>6327</v>
      </c>
      <c r="G4325" s="15" t="str">
        <f>VLOOKUP(A4325,Movie!A:D,4,FALSE)</f>
        <v>FilmDistrict</v>
      </c>
      <c r="H4325" s="14">
        <f>VLOOKUP(E4325,'Rental Transaction'!A:B,2,FALSE)</f>
        <v>274541</v>
      </c>
      <c r="I4325">
        <f t="shared" si="67"/>
        <v>2013</v>
      </c>
    </row>
    <row r="4326" spans="1:9">
      <c r="A4326" s="1">
        <v>10215</v>
      </c>
      <c r="B4326" s="1">
        <v>2</v>
      </c>
      <c r="C4326" s="2">
        <v>41591</v>
      </c>
      <c r="D4326" s="1" t="s">
        <v>2002</v>
      </c>
      <c r="E4326" s="1">
        <v>102577</v>
      </c>
      <c r="F4326" s="6" t="s">
        <v>6328</v>
      </c>
      <c r="G4326" s="15" t="str">
        <f>VLOOKUP(A4326,Movie!A:D,4,FALSE)</f>
        <v>Paramount</v>
      </c>
      <c r="H4326" s="14">
        <f>VLOOKUP(E4326,'Rental Transaction'!A:B,2,FALSE)</f>
        <v>550824</v>
      </c>
      <c r="I4326">
        <f t="shared" si="67"/>
        <v>2013</v>
      </c>
    </row>
    <row r="4327" spans="1:9">
      <c r="A4327" s="1">
        <v>10168</v>
      </c>
      <c r="B4327" s="1">
        <v>7</v>
      </c>
      <c r="C4327" s="2">
        <v>41592</v>
      </c>
      <c r="D4327" s="1" t="s">
        <v>2002</v>
      </c>
      <c r="E4327" s="1">
        <v>102578</v>
      </c>
      <c r="F4327" s="6" t="s">
        <v>6329</v>
      </c>
      <c r="G4327" s="15" t="str">
        <f>VLOOKUP(A4327,Movie!A:D,4,FALSE)</f>
        <v>Paramount</v>
      </c>
      <c r="H4327" s="14">
        <f>VLOOKUP(E4327,'Rental Transaction'!A:B,2,FALSE)</f>
        <v>405671</v>
      </c>
      <c r="I4327">
        <f t="shared" si="67"/>
        <v>2013</v>
      </c>
    </row>
    <row r="4328" spans="1:9">
      <c r="A4328" s="1">
        <v>10287</v>
      </c>
      <c r="B4328" s="1">
        <v>5</v>
      </c>
      <c r="C4328" s="2">
        <v>41592</v>
      </c>
      <c r="D4328" s="1" t="s">
        <v>2005</v>
      </c>
      <c r="E4328" s="1">
        <v>102581</v>
      </c>
      <c r="F4328" s="6" t="s">
        <v>6330</v>
      </c>
      <c r="G4328" s="15" t="str">
        <f>VLOOKUP(A4328,Movie!A:D,4,FALSE)</f>
        <v>Lionsgate</v>
      </c>
      <c r="H4328" s="14">
        <f>VLOOKUP(E4328,'Rental Transaction'!A:B,2,FALSE)</f>
        <v>561305</v>
      </c>
      <c r="I4328">
        <f t="shared" si="67"/>
        <v>2013</v>
      </c>
    </row>
    <row r="4329" spans="1:9">
      <c r="A4329" s="1">
        <v>10273</v>
      </c>
      <c r="B4329" s="1">
        <v>10</v>
      </c>
      <c r="C4329" s="2">
        <v>41592</v>
      </c>
      <c r="D4329" s="1" t="s">
        <v>2002</v>
      </c>
      <c r="E4329" s="1">
        <v>102582</v>
      </c>
      <c r="F4329" s="6" t="s">
        <v>6331</v>
      </c>
      <c r="G4329" s="15" t="str">
        <f>VLOOKUP(A4329,Movie!A:D,4,FALSE)</f>
        <v>Sony</v>
      </c>
      <c r="H4329" s="14">
        <f>VLOOKUP(E4329,'Rental Transaction'!A:B,2,FALSE)</f>
        <v>301793</v>
      </c>
      <c r="I4329">
        <f t="shared" si="67"/>
        <v>2013</v>
      </c>
    </row>
    <row r="4330" spans="1:9" ht="29.25">
      <c r="A4330" s="1">
        <v>10136</v>
      </c>
      <c r="B4330" s="1">
        <v>10</v>
      </c>
      <c r="C4330" s="2">
        <v>41592</v>
      </c>
      <c r="D4330" s="1" t="s">
        <v>2002</v>
      </c>
      <c r="E4330" s="1">
        <v>102584</v>
      </c>
      <c r="F4330" s="6" t="s">
        <v>6332</v>
      </c>
      <c r="G4330" s="15" t="str">
        <f>VLOOKUP(A4330,Movie!A:D,4,FALSE)</f>
        <v>Weinstein Company</v>
      </c>
      <c r="H4330" s="14">
        <f>VLOOKUP(E4330,'Rental Transaction'!A:B,2,FALSE)</f>
        <v>994185</v>
      </c>
      <c r="I4330">
        <f t="shared" si="67"/>
        <v>2013</v>
      </c>
    </row>
    <row r="4331" spans="1:9">
      <c r="A4331" s="1">
        <v>10158</v>
      </c>
      <c r="B4331" s="1">
        <v>3</v>
      </c>
      <c r="C4331" s="2">
        <v>41595</v>
      </c>
      <c r="D4331" s="1" t="s">
        <v>2002</v>
      </c>
      <c r="E4331" s="1">
        <v>102586</v>
      </c>
      <c r="F4331" s="6" t="s">
        <v>6333</v>
      </c>
      <c r="G4331" s="15" t="str">
        <f>VLOOKUP(A4331,Movie!A:D,4,FALSE)</f>
        <v>Warner Brothers</v>
      </c>
      <c r="H4331" s="14">
        <f>VLOOKUP(E4331,'Rental Transaction'!A:B,2,FALSE)</f>
        <v>803700</v>
      </c>
      <c r="I4331">
        <f t="shared" si="67"/>
        <v>2013</v>
      </c>
    </row>
    <row r="4332" spans="1:9">
      <c r="A4332" s="1">
        <v>10195</v>
      </c>
      <c r="B4332" s="1">
        <v>5</v>
      </c>
      <c r="C4332" s="2">
        <v>41594</v>
      </c>
      <c r="D4332" s="1" t="s">
        <v>2005</v>
      </c>
      <c r="E4332" s="1">
        <v>102587</v>
      </c>
      <c r="F4332" s="6" t="s">
        <v>6334</v>
      </c>
      <c r="G4332" s="15" t="str">
        <f>VLOOKUP(A4332,Movie!A:D,4,FALSE)</f>
        <v>Sony</v>
      </c>
      <c r="H4332" s="14">
        <f>VLOOKUP(E4332,'Rental Transaction'!A:B,2,FALSE)</f>
        <v>744416</v>
      </c>
      <c r="I4332">
        <f t="shared" si="67"/>
        <v>2013</v>
      </c>
    </row>
    <row r="4333" spans="1:9">
      <c r="A4333" s="1">
        <v>10005</v>
      </c>
      <c r="B4333" s="1">
        <v>1</v>
      </c>
      <c r="C4333" s="2">
        <v>41599</v>
      </c>
      <c r="D4333" s="1" t="s">
        <v>2005</v>
      </c>
      <c r="E4333" s="1">
        <v>102590</v>
      </c>
      <c r="F4333" s="6" t="s">
        <v>6335</v>
      </c>
      <c r="G4333" s="15" t="str">
        <f>VLOOKUP(A4333,Movie!A:D,4,FALSE)</f>
        <v>Buena Vista</v>
      </c>
      <c r="H4333" s="14">
        <f>VLOOKUP(E4333,'Rental Transaction'!A:B,2,FALSE)</f>
        <v>781968</v>
      </c>
      <c r="I4333">
        <f t="shared" si="67"/>
        <v>2013</v>
      </c>
    </row>
    <row r="4334" spans="1:9">
      <c r="A4334" s="1">
        <v>10088</v>
      </c>
      <c r="B4334" s="1">
        <v>8</v>
      </c>
      <c r="C4334" s="2">
        <v>41594</v>
      </c>
      <c r="D4334" s="1" t="s">
        <v>2002</v>
      </c>
      <c r="E4334" s="1">
        <v>102590</v>
      </c>
      <c r="F4334" s="6" t="s">
        <v>6336</v>
      </c>
      <c r="G4334" s="15" t="str">
        <f>VLOOKUP(A4334,Movie!A:D,4,FALSE)</f>
        <v>Warner Brothers</v>
      </c>
      <c r="H4334" s="14">
        <f>VLOOKUP(E4334,'Rental Transaction'!A:B,2,FALSE)</f>
        <v>781968</v>
      </c>
      <c r="I4334">
        <f t="shared" si="67"/>
        <v>2013</v>
      </c>
    </row>
    <row r="4335" spans="1:9" ht="29.25">
      <c r="A4335" s="1">
        <v>10239</v>
      </c>
      <c r="B4335" s="1">
        <v>9</v>
      </c>
      <c r="C4335" s="2">
        <v>41598</v>
      </c>
      <c r="D4335" s="1" t="s">
        <v>2002</v>
      </c>
      <c r="E4335" s="1">
        <v>102591</v>
      </c>
      <c r="F4335" s="6" t="s">
        <v>6337</v>
      </c>
      <c r="G4335" s="15" t="str">
        <f>VLOOKUP(A4335,Movie!A:D,4,FALSE)</f>
        <v>Weinstein Company</v>
      </c>
      <c r="H4335" s="14">
        <f>VLOOKUP(E4335,'Rental Transaction'!A:B,2,FALSE)</f>
        <v>216081</v>
      </c>
      <c r="I4335">
        <f t="shared" si="67"/>
        <v>2013</v>
      </c>
    </row>
    <row r="4336" spans="1:9">
      <c r="A4336" s="1">
        <v>10055</v>
      </c>
      <c r="B4336" s="1">
        <v>7</v>
      </c>
      <c r="C4336" s="2">
        <v>41598</v>
      </c>
      <c r="D4336" s="1" t="s">
        <v>2002</v>
      </c>
      <c r="E4336" s="1">
        <v>102591</v>
      </c>
      <c r="F4336" s="6" t="s">
        <v>6338</v>
      </c>
      <c r="G4336" s="15" t="str">
        <f>VLOOKUP(A4336,Movie!A:D,4,FALSE)</f>
        <v>Sony Classics</v>
      </c>
      <c r="H4336" s="14">
        <f>VLOOKUP(E4336,'Rental Transaction'!A:B,2,FALSE)</f>
        <v>216081</v>
      </c>
      <c r="I4336">
        <f t="shared" si="67"/>
        <v>2013</v>
      </c>
    </row>
    <row r="4337" spans="1:9">
      <c r="A4337" s="1">
        <v>10224</v>
      </c>
      <c r="B4337" s="1">
        <v>3</v>
      </c>
      <c r="C4337" s="2">
        <v>41594</v>
      </c>
      <c r="D4337" s="1" t="s">
        <v>2002</v>
      </c>
      <c r="E4337" s="1">
        <v>102592</v>
      </c>
      <c r="F4337" s="6" t="s">
        <v>6339</v>
      </c>
      <c r="G4337" s="15" t="str">
        <f>VLOOKUP(A4337,Movie!A:D,4,FALSE)</f>
        <v>Fox Searchlight</v>
      </c>
      <c r="H4337" s="14">
        <f>VLOOKUP(E4337,'Rental Transaction'!A:B,2,FALSE)</f>
        <v>657495</v>
      </c>
      <c r="I4337">
        <f t="shared" si="67"/>
        <v>2013</v>
      </c>
    </row>
    <row r="4338" spans="1:9">
      <c r="A4338" s="1">
        <v>10133</v>
      </c>
      <c r="B4338" s="1">
        <v>7</v>
      </c>
      <c r="C4338" s="2">
        <v>41597</v>
      </c>
      <c r="D4338" s="1" t="s">
        <v>2002</v>
      </c>
      <c r="E4338" s="1">
        <v>102594</v>
      </c>
      <c r="F4338" s="6" t="s">
        <v>6340</v>
      </c>
      <c r="G4338" s="15" t="str">
        <f>VLOOKUP(A4338,Movie!A:D,4,FALSE)</f>
        <v>Fox</v>
      </c>
      <c r="H4338" s="14">
        <f>VLOOKUP(E4338,'Rental Transaction'!A:B,2,FALSE)</f>
        <v>885548</v>
      </c>
      <c r="I4338">
        <f t="shared" si="67"/>
        <v>2013</v>
      </c>
    </row>
    <row r="4339" spans="1:9">
      <c r="A4339" s="1">
        <v>10270</v>
      </c>
      <c r="B4339" s="1">
        <v>2</v>
      </c>
      <c r="C4339" s="2">
        <v>41595</v>
      </c>
      <c r="D4339" s="1" t="s">
        <v>2002</v>
      </c>
      <c r="E4339" s="1">
        <v>102594</v>
      </c>
      <c r="F4339" s="6" t="s">
        <v>6341</v>
      </c>
      <c r="G4339" s="15" t="str">
        <f>VLOOKUP(A4339,Movie!A:D,4,FALSE)</f>
        <v>Fox</v>
      </c>
      <c r="H4339" s="14">
        <f>VLOOKUP(E4339,'Rental Transaction'!A:B,2,FALSE)</f>
        <v>885548</v>
      </c>
      <c r="I4339">
        <f t="shared" si="67"/>
        <v>2013</v>
      </c>
    </row>
    <row r="4340" spans="1:9">
      <c r="A4340" s="1">
        <v>10257</v>
      </c>
      <c r="B4340" s="1">
        <v>3</v>
      </c>
      <c r="C4340" s="2">
        <v>41595</v>
      </c>
      <c r="D4340" s="1" t="s">
        <v>2002</v>
      </c>
      <c r="E4340" s="1">
        <v>102595</v>
      </c>
      <c r="F4340" s="6" t="s">
        <v>6342</v>
      </c>
      <c r="G4340" s="15" t="str">
        <f>VLOOKUP(A4340,Movie!A:D,4,FALSE)</f>
        <v>Fox</v>
      </c>
      <c r="H4340" s="14">
        <f>VLOOKUP(E4340,'Rental Transaction'!A:B,2,FALSE)</f>
        <v>464984</v>
      </c>
      <c r="I4340">
        <f t="shared" si="67"/>
        <v>2013</v>
      </c>
    </row>
    <row r="4341" spans="1:9">
      <c r="A4341" s="1">
        <v>10299</v>
      </c>
      <c r="B4341" s="1">
        <v>5</v>
      </c>
      <c r="C4341" s="2">
        <v>41595</v>
      </c>
      <c r="D4341" s="1" t="s">
        <v>2002</v>
      </c>
      <c r="E4341" s="1">
        <v>102596</v>
      </c>
      <c r="F4341" s="6" t="s">
        <v>6343</v>
      </c>
      <c r="G4341" s="15" t="str">
        <f>VLOOKUP(A4341,Movie!A:D,4,FALSE)</f>
        <v>Radius-TWC</v>
      </c>
      <c r="H4341" s="14">
        <f>VLOOKUP(E4341,'Rental Transaction'!A:B,2,FALSE)</f>
        <v>317807</v>
      </c>
      <c r="I4341">
        <f t="shared" si="67"/>
        <v>2013</v>
      </c>
    </row>
    <row r="4342" spans="1:9">
      <c r="A4342" s="1">
        <v>10146</v>
      </c>
      <c r="B4342" s="1">
        <v>1</v>
      </c>
      <c r="C4342" s="2">
        <v>41595</v>
      </c>
      <c r="D4342" s="1" t="s">
        <v>2002</v>
      </c>
      <c r="E4342" s="1">
        <v>102597</v>
      </c>
      <c r="F4342" s="6" t="s">
        <v>6344</v>
      </c>
      <c r="G4342" s="15" t="str">
        <f>VLOOKUP(A4342,Movie!A:D,4,FALSE)</f>
        <v>Sony</v>
      </c>
      <c r="H4342" s="14">
        <f>VLOOKUP(E4342,'Rental Transaction'!A:B,2,FALSE)</f>
        <v>409910</v>
      </c>
      <c r="I4342">
        <f t="shared" si="67"/>
        <v>2013</v>
      </c>
    </row>
    <row r="4343" spans="1:9">
      <c r="A4343" s="1">
        <v>10137</v>
      </c>
      <c r="B4343" s="1">
        <v>6</v>
      </c>
      <c r="C4343" s="2">
        <v>41598</v>
      </c>
      <c r="D4343" s="1" t="s">
        <v>2002</v>
      </c>
      <c r="E4343" s="1">
        <v>102598</v>
      </c>
      <c r="F4343" s="6" t="s">
        <v>6345</v>
      </c>
      <c r="G4343" s="15" t="str">
        <f>VLOOKUP(A4343,Movie!A:D,4,FALSE)</f>
        <v>Buena Vista</v>
      </c>
      <c r="H4343" s="14">
        <f>VLOOKUP(E4343,'Rental Transaction'!A:B,2,FALSE)</f>
        <v>459243</v>
      </c>
      <c r="I4343">
        <f t="shared" si="67"/>
        <v>2013</v>
      </c>
    </row>
    <row r="4344" spans="1:9">
      <c r="A4344" s="1">
        <v>10281</v>
      </c>
      <c r="B4344" s="1">
        <v>8</v>
      </c>
      <c r="C4344" s="2">
        <v>41596</v>
      </c>
      <c r="D4344" s="1" t="s">
        <v>2005</v>
      </c>
      <c r="E4344" s="1">
        <v>102599</v>
      </c>
      <c r="F4344" s="6" t="s">
        <v>6346</v>
      </c>
      <c r="G4344" s="15" t="str">
        <f>VLOOKUP(A4344,Movie!A:D,4,FALSE)</f>
        <v>Lionsgate</v>
      </c>
      <c r="H4344" s="14">
        <f>VLOOKUP(E4344,'Rental Transaction'!A:B,2,FALSE)</f>
        <v>791559</v>
      </c>
      <c r="I4344">
        <f t="shared" si="67"/>
        <v>2013</v>
      </c>
    </row>
    <row r="4345" spans="1:9">
      <c r="A4345" s="1">
        <v>10282</v>
      </c>
      <c r="B4345" s="1">
        <v>10</v>
      </c>
      <c r="C4345" s="2">
        <v>41598</v>
      </c>
      <c r="D4345" s="1" t="s">
        <v>2002</v>
      </c>
      <c r="E4345" s="1">
        <v>102602</v>
      </c>
      <c r="F4345" s="6" t="s">
        <v>6347</v>
      </c>
      <c r="G4345" s="15" t="str">
        <f>VLOOKUP(A4345,Movie!A:D,4,FALSE)</f>
        <v>Sony Classics</v>
      </c>
      <c r="H4345" s="14">
        <f>VLOOKUP(E4345,'Rental Transaction'!A:B,2,FALSE)</f>
        <v>547890</v>
      </c>
      <c r="I4345">
        <f t="shared" si="67"/>
        <v>2013</v>
      </c>
    </row>
    <row r="4346" spans="1:9">
      <c r="A4346" s="1">
        <v>10166</v>
      </c>
      <c r="B4346" s="1">
        <v>9</v>
      </c>
      <c r="C4346" s="2">
        <v>41597</v>
      </c>
      <c r="D4346" s="1" t="s">
        <v>2002</v>
      </c>
      <c r="E4346" s="1">
        <v>102604</v>
      </c>
      <c r="F4346" s="6" t="s">
        <v>6348</v>
      </c>
      <c r="G4346" s="15" t="str">
        <f>VLOOKUP(A4346,Movie!A:D,4,FALSE)</f>
        <v>Fox</v>
      </c>
      <c r="H4346" s="14">
        <f>VLOOKUP(E4346,'Rental Transaction'!A:B,2,FALSE)</f>
        <v>624668</v>
      </c>
      <c r="I4346">
        <f t="shared" si="67"/>
        <v>2013</v>
      </c>
    </row>
    <row r="4347" spans="1:9">
      <c r="A4347" s="1">
        <v>10220</v>
      </c>
      <c r="B4347" s="1">
        <v>9</v>
      </c>
      <c r="C4347" s="2">
        <v>41596</v>
      </c>
      <c r="D4347" s="1" t="s">
        <v>2002</v>
      </c>
      <c r="E4347" s="1">
        <v>102607</v>
      </c>
      <c r="F4347" s="6" t="s">
        <v>6349</v>
      </c>
      <c r="G4347" s="15" t="str">
        <f>VLOOKUP(A4347,Movie!A:D,4,FALSE)</f>
        <v>Fox</v>
      </c>
      <c r="H4347" s="14">
        <f>VLOOKUP(E4347,'Rental Transaction'!A:B,2,FALSE)</f>
        <v>657495</v>
      </c>
      <c r="I4347">
        <f t="shared" si="67"/>
        <v>2013</v>
      </c>
    </row>
    <row r="4348" spans="1:9">
      <c r="A4348" s="1">
        <v>10045</v>
      </c>
      <c r="B4348" s="1">
        <v>7</v>
      </c>
      <c r="C4348" s="2">
        <v>41596</v>
      </c>
      <c r="D4348" s="1" t="s">
        <v>2002</v>
      </c>
      <c r="E4348" s="1">
        <v>102607</v>
      </c>
      <c r="F4348" s="6" t="s">
        <v>6350</v>
      </c>
      <c r="G4348" s="15" t="str">
        <f>VLOOKUP(A4348,Movie!A:D,4,FALSE)</f>
        <v>Warner Brothers</v>
      </c>
      <c r="H4348" s="14">
        <f>VLOOKUP(E4348,'Rental Transaction'!A:B,2,FALSE)</f>
        <v>657495</v>
      </c>
      <c r="I4348">
        <f t="shared" si="67"/>
        <v>2013</v>
      </c>
    </row>
    <row r="4349" spans="1:9">
      <c r="A4349" s="1">
        <v>10210</v>
      </c>
      <c r="B4349" s="1">
        <v>2</v>
      </c>
      <c r="C4349" s="2">
        <v>41597</v>
      </c>
      <c r="D4349" s="1" t="s">
        <v>2002</v>
      </c>
      <c r="E4349" s="1">
        <v>102609</v>
      </c>
      <c r="F4349" s="6" t="s">
        <v>6351</v>
      </c>
      <c r="G4349" s="15" t="str">
        <f>VLOOKUP(A4349,Movie!A:D,4,FALSE)</f>
        <v>Sony</v>
      </c>
      <c r="H4349" s="14">
        <f>VLOOKUP(E4349,'Rental Transaction'!A:B,2,FALSE)</f>
        <v>487346</v>
      </c>
      <c r="I4349">
        <f t="shared" si="67"/>
        <v>2013</v>
      </c>
    </row>
    <row r="4350" spans="1:9">
      <c r="A4350" s="1">
        <v>10282</v>
      </c>
      <c r="B4350" s="1">
        <v>9</v>
      </c>
      <c r="C4350" s="2">
        <v>41600</v>
      </c>
      <c r="D4350" s="1" t="s">
        <v>2002</v>
      </c>
      <c r="E4350" s="1">
        <v>102610</v>
      </c>
      <c r="F4350" s="6" t="s">
        <v>6352</v>
      </c>
      <c r="G4350" s="15" t="str">
        <f>VLOOKUP(A4350,Movie!A:D,4,FALSE)</f>
        <v>Sony Classics</v>
      </c>
      <c r="H4350" s="14">
        <f>VLOOKUP(E4350,'Rental Transaction'!A:B,2,FALSE)</f>
        <v>330223</v>
      </c>
      <c r="I4350">
        <f t="shared" si="67"/>
        <v>2013</v>
      </c>
    </row>
    <row r="4351" spans="1:9">
      <c r="A4351" s="1">
        <v>10217</v>
      </c>
      <c r="B4351" s="1">
        <v>1</v>
      </c>
      <c r="C4351" s="2">
        <v>41599</v>
      </c>
      <c r="D4351" s="1" t="s">
        <v>2002</v>
      </c>
      <c r="E4351" s="1">
        <v>102613</v>
      </c>
      <c r="F4351" s="6" t="s">
        <v>6353</v>
      </c>
      <c r="G4351" s="15" t="str">
        <f>VLOOKUP(A4351,Movie!A:D,4,FALSE)</f>
        <v>Warner Brothers</v>
      </c>
      <c r="H4351" s="14">
        <f>VLOOKUP(E4351,'Rental Transaction'!A:B,2,FALSE)</f>
        <v>781968</v>
      </c>
      <c r="I4351">
        <f t="shared" si="67"/>
        <v>2013</v>
      </c>
    </row>
    <row r="4352" spans="1:9">
      <c r="A4352" s="1">
        <v>10019</v>
      </c>
      <c r="B4352" s="1">
        <v>4</v>
      </c>
      <c r="C4352" s="2">
        <v>41598</v>
      </c>
      <c r="D4352" s="1" t="s">
        <v>2002</v>
      </c>
      <c r="E4352" s="1">
        <v>102614</v>
      </c>
      <c r="F4352" s="6" t="s">
        <v>6354</v>
      </c>
      <c r="G4352" s="15" t="str">
        <f>VLOOKUP(A4352,Movie!A:D,4,FALSE)</f>
        <v>Fox</v>
      </c>
      <c r="H4352" s="14">
        <f>VLOOKUP(E4352,'Rental Transaction'!A:B,2,FALSE)</f>
        <v>893039</v>
      </c>
      <c r="I4352">
        <f t="shared" si="67"/>
        <v>2013</v>
      </c>
    </row>
    <row r="4353" spans="1:9">
      <c r="A4353" s="1">
        <v>10188</v>
      </c>
      <c r="B4353" s="1">
        <v>4</v>
      </c>
      <c r="C4353" s="2">
        <v>41599</v>
      </c>
      <c r="D4353" s="1" t="s">
        <v>2002</v>
      </c>
      <c r="E4353" s="1">
        <v>102618</v>
      </c>
      <c r="F4353" s="6" t="s">
        <v>6355</v>
      </c>
      <c r="G4353" s="15" t="str">
        <f>VLOOKUP(A4353,Movie!A:D,4,FALSE)</f>
        <v>Paramount</v>
      </c>
      <c r="H4353" s="14">
        <f>VLOOKUP(E4353,'Rental Transaction'!A:B,2,FALSE)</f>
        <v>880238</v>
      </c>
      <c r="I4353">
        <f t="shared" si="67"/>
        <v>2013</v>
      </c>
    </row>
    <row r="4354" spans="1:9">
      <c r="A4354" s="1">
        <v>10230</v>
      </c>
      <c r="B4354" s="1">
        <v>10</v>
      </c>
      <c r="C4354" s="2">
        <v>41598</v>
      </c>
      <c r="D4354" s="1" t="s">
        <v>2002</v>
      </c>
      <c r="E4354" s="1">
        <v>102620</v>
      </c>
      <c r="F4354" s="6" t="s">
        <v>6356</v>
      </c>
      <c r="G4354" s="15" t="str">
        <f>VLOOKUP(A4354,Movie!A:D,4,FALSE)</f>
        <v>Focus</v>
      </c>
      <c r="H4354" s="14">
        <f>VLOOKUP(E4354,'Rental Transaction'!A:B,2,FALSE)</f>
        <v>182040</v>
      </c>
      <c r="I4354">
        <f t="shared" si="67"/>
        <v>2013</v>
      </c>
    </row>
    <row r="4355" spans="1:9">
      <c r="A4355" s="1">
        <v>10137</v>
      </c>
      <c r="B4355" s="1">
        <v>9</v>
      </c>
      <c r="C4355" s="2">
        <v>41598</v>
      </c>
      <c r="D4355" s="1" t="s">
        <v>2005</v>
      </c>
      <c r="E4355" s="1">
        <v>102620</v>
      </c>
      <c r="F4355" s="6" t="s">
        <v>6357</v>
      </c>
      <c r="G4355" s="15" t="str">
        <f>VLOOKUP(A4355,Movie!A:D,4,FALSE)</f>
        <v>Buena Vista</v>
      </c>
      <c r="H4355" s="14">
        <f>VLOOKUP(E4355,'Rental Transaction'!A:B,2,FALSE)</f>
        <v>182040</v>
      </c>
      <c r="I4355">
        <f t="shared" ref="I4355:I4418" si="68">YEAR(C4355)</f>
        <v>2013</v>
      </c>
    </row>
    <row r="4356" spans="1:9">
      <c r="A4356" s="1">
        <v>10088</v>
      </c>
      <c r="B4356" s="1">
        <v>10</v>
      </c>
      <c r="C4356" s="2">
        <v>41599</v>
      </c>
      <c r="D4356" s="1" t="s">
        <v>2002</v>
      </c>
      <c r="E4356" s="1">
        <v>102621</v>
      </c>
      <c r="F4356" s="6" t="s">
        <v>6358</v>
      </c>
      <c r="G4356" s="15" t="str">
        <f>VLOOKUP(A4356,Movie!A:D,4,FALSE)</f>
        <v>Warner Brothers</v>
      </c>
      <c r="H4356" s="14">
        <f>VLOOKUP(E4356,'Rental Transaction'!A:B,2,FALSE)</f>
        <v>999915</v>
      </c>
      <c r="I4356">
        <f t="shared" si="68"/>
        <v>2013</v>
      </c>
    </row>
    <row r="4357" spans="1:9">
      <c r="A4357" s="1">
        <v>10282</v>
      </c>
      <c r="B4357" s="1">
        <v>5</v>
      </c>
      <c r="C4357" s="2">
        <v>41599</v>
      </c>
      <c r="D4357" s="1" t="s">
        <v>2005</v>
      </c>
      <c r="E4357" s="1">
        <v>102622</v>
      </c>
      <c r="F4357" s="6" t="s">
        <v>6359</v>
      </c>
      <c r="G4357" s="15" t="str">
        <f>VLOOKUP(A4357,Movie!A:D,4,FALSE)</f>
        <v>Sony Classics</v>
      </c>
      <c r="H4357" s="14">
        <f>VLOOKUP(E4357,'Rental Transaction'!A:B,2,FALSE)</f>
        <v>671363</v>
      </c>
      <c r="I4357">
        <f t="shared" si="68"/>
        <v>2013</v>
      </c>
    </row>
    <row r="4358" spans="1:9">
      <c r="A4358" s="1">
        <v>10176</v>
      </c>
      <c r="B4358" s="1">
        <v>4</v>
      </c>
      <c r="C4358" s="2">
        <v>41598</v>
      </c>
      <c r="D4358" s="1" t="s">
        <v>2002</v>
      </c>
      <c r="E4358" s="1">
        <v>102623</v>
      </c>
      <c r="F4358" s="6" t="s">
        <v>6360</v>
      </c>
      <c r="G4358" s="15" t="str">
        <f>VLOOKUP(A4358,Movie!A:D,4,FALSE)</f>
        <v>Universal</v>
      </c>
      <c r="H4358" s="14">
        <f>VLOOKUP(E4358,'Rental Transaction'!A:B,2,FALSE)</f>
        <v>158528</v>
      </c>
      <c r="I4358">
        <f t="shared" si="68"/>
        <v>2013</v>
      </c>
    </row>
    <row r="4359" spans="1:9">
      <c r="A4359" s="1">
        <v>10275</v>
      </c>
      <c r="B4359" s="1">
        <v>2</v>
      </c>
      <c r="C4359" s="2">
        <v>41598</v>
      </c>
      <c r="D4359" s="1" t="s">
        <v>2002</v>
      </c>
      <c r="E4359" s="1">
        <v>102623</v>
      </c>
      <c r="F4359" s="6" t="s">
        <v>6361</v>
      </c>
      <c r="G4359" s="15" t="str">
        <f>VLOOKUP(A4359,Movie!A:D,4,FALSE)</f>
        <v>Lionsgate</v>
      </c>
      <c r="H4359" s="14">
        <f>VLOOKUP(E4359,'Rental Transaction'!A:B,2,FALSE)</f>
        <v>158528</v>
      </c>
      <c r="I4359">
        <f t="shared" si="68"/>
        <v>2013</v>
      </c>
    </row>
    <row r="4360" spans="1:9">
      <c r="A4360" s="1">
        <v>10068</v>
      </c>
      <c r="B4360" s="1">
        <v>5</v>
      </c>
      <c r="C4360" s="2">
        <v>41601</v>
      </c>
      <c r="D4360" s="1" t="s">
        <v>2005</v>
      </c>
      <c r="E4360" s="1">
        <v>102627</v>
      </c>
      <c r="F4360" s="6" t="s">
        <v>6362</v>
      </c>
      <c r="G4360" s="15" t="str">
        <f>VLOOKUP(A4360,Movie!A:D,4,FALSE)</f>
        <v>Warner Brothers</v>
      </c>
      <c r="H4360" s="14">
        <f>VLOOKUP(E4360,'Rental Transaction'!A:B,2,FALSE)</f>
        <v>448993</v>
      </c>
      <c r="I4360">
        <f t="shared" si="68"/>
        <v>2013</v>
      </c>
    </row>
    <row r="4361" spans="1:9">
      <c r="A4361" s="1">
        <v>10167</v>
      </c>
      <c r="B4361" s="1">
        <v>1</v>
      </c>
      <c r="C4361" s="2">
        <v>41600</v>
      </c>
      <c r="D4361" s="1" t="s">
        <v>2002</v>
      </c>
      <c r="E4361" s="1">
        <v>102630</v>
      </c>
      <c r="F4361" s="6" t="s">
        <v>6363</v>
      </c>
      <c r="G4361" s="15" t="str">
        <f>VLOOKUP(A4361,Movie!A:D,4,FALSE)</f>
        <v>Universal</v>
      </c>
      <c r="H4361" s="14">
        <f>VLOOKUP(E4361,'Rental Transaction'!A:B,2,FALSE)</f>
        <v>414509</v>
      </c>
      <c r="I4361">
        <f t="shared" si="68"/>
        <v>2013</v>
      </c>
    </row>
    <row r="4362" spans="1:9">
      <c r="A4362" s="1">
        <v>10265</v>
      </c>
      <c r="B4362" s="1">
        <v>7</v>
      </c>
      <c r="C4362" s="2">
        <v>41599</v>
      </c>
      <c r="D4362" s="1" t="s">
        <v>2005</v>
      </c>
      <c r="E4362" s="1">
        <v>102630</v>
      </c>
      <c r="F4362" s="6" t="s">
        <v>6364</v>
      </c>
      <c r="G4362" s="15" t="str">
        <f>VLOOKUP(A4362,Movie!A:D,4,FALSE)</f>
        <v>Warner Brothers</v>
      </c>
      <c r="H4362" s="14">
        <f>VLOOKUP(E4362,'Rental Transaction'!A:B,2,FALSE)</f>
        <v>414509</v>
      </c>
      <c r="I4362">
        <f t="shared" si="68"/>
        <v>2013</v>
      </c>
    </row>
    <row r="4363" spans="1:9">
      <c r="A4363" s="1">
        <v>10033</v>
      </c>
      <c r="B4363" s="1">
        <v>7</v>
      </c>
      <c r="C4363" s="2">
        <v>41599</v>
      </c>
      <c r="D4363" s="1" t="s">
        <v>2002</v>
      </c>
      <c r="E4363" s="1">
        <v>102631</v>
      </c>
      <c r="F4363" s="6" t="s">
        <v>6365</v>
      </c>
      <c r="G4363" s="15" t="str">
        <f>VLOOKUP(A4363,Movie!A:D,4,FALSE)</f>
        <v>Lionsgate</v>
      </c>
      <c r="H4363" s="14">
        <f>VLOOKUP(E4363,'Rental Transaction'!A:B,2,FALSE)</f>
        <v>111486</v>
      </c>
      <c r="I4363">
        <f t="shared" si="68"/>
        <v>2013</v>
      </c>
    </row>
    <row r="4364" spans="1:9">
      <c r="A4364" s="1">
        <v>10288</v>
      </c>
      <c r="B4364" s="1">
        <v>6</v>
      </c>
      <c r="C4364" s="2">
        <v>41600</v>
      </c>
      <c r="D4364" s="1" t="s">
        <v>2002</v>
      </c>
      <c r="E4364" s="1">
        <v>102634</v>
      </c>
      <c r="F4364" s="6" t="s">
        <v>6366</v>
      </c>
      <c r="G4364" s="15" t="str">
        <f>VLOOKUP(A4364,Movie!A:D,4,FALSE)</f>
        <v>Relativity</v>
      </c>
      <c r="H4364" s="14">
        <f>VLOOKUP(E4364,'Rental Transaction'!A:B,2,FALSE)</f>
        <v>447601</v>
      </c>
      <c r="I4364">
        <f t="shared" si="68"/>
        <v>2013</v>
      </c>
    </row>
    <row r="4365" spans="1:9">
      <c r="A4365" s="1">
        <v>10297</v>
      </c>
      <c r="B4365" s="1">
        <v>2</v>
      </c>
      <c r="C4365" s="2">
        <v>41603</v>
      </c>
      <c r="D4365" s="1" t="s">
        <v>2002</v>
      </c>
      <c r="E4365" s="1">
        <v>102635</v>
      </c>
      <c r="F4365" s="6" t="s">
        <v>6367</v>
      </c>
      <c r="G4365" s="15" t="str">
        <f>VLOOKUP(A4365,Movie!A:D,4,FALSE)</f>
        <v>Focus</v>
      </c>
      <c r="H4365" s="14">
        <f>VLOOKUP(E4365,'Rental Transaction'!A:B,2,FALSE)</f>
        <v>995599</v>
      </c>
      <c r="I4365">
        <f t="shared" si="68"/>
        <v>2013</v>
      </c>
    </row>
    <row r="4366" spans="1:9">
      <c r="A4366" s="1">
        <v>10224</v>
      </c>
      <c r="B4366" s="1">
        <v>8</v>
      </c>
      <c r="C4366" s="2">
        <v>41600</v>
      </c>
      <c r="D4366" s="1" t="s">
        <v>2005</v>
      </c>
      <c r="E4366" s="1">
        <v>102635</v>
      </c>
      <c r="F4366" s="6" t="s">
        <v>6368</v>
      </c>
      <c r="G4366" s="15" t="str">
        <f>VLOOKUP(A4366,Movie!A:D,4,FALSE)</f>
        <v>Fox Searchlight</v>
      </c>
      <c r="H4366" s="14">
        <f>VLOOKUP(E4366,'Rental Transaction'!A:B,2,FALSE)</f>
        <v>995599</v>
      </c>
      <c r="I4366">
        <f t="shared" si="68"/>
        <v>2013</v>
      </c>
    </row>
    <row r="4367" spans="1:9">
      <c r="A4367" s="1">
        <v>10002</v>
      </c>
      <c r="B4367" s="1">
        <v>1</v>
      </c>
      <c r="C4367" s="2">
        <v>41603</v>
      </c>
      <c r="D4367" s="1" t="s">
        <v>2002</v>
      </c>
      <c r="E4367" s="1">
        <v>102636</v>
      </c>
      <c r="F4367" s="6" t="s">
        <v>6369</v>
      </c>
      <c r="G4367" s="15" t="str">
        <f>VLOOKUP(A4367,Movie!A:D,4,FALSE)</f>
        <v>Lionsgate</v>
      </c>
      <c r="H4367" s="14">
        <f>VLOOKUP(E4367,'Rental Transaction'!A:B,2,FALSE)</f>
        <v>390130</v>
      </c>
      <c r="I4367">
        <f t="shared" si="68"/>
        <v>2013</v>
      </c>
    </row>
    <row r="4368" spans="1:9">
      <c r="A4368" s="1">
        <v>10175</v>
      </c>
      <c r="B4368" s="1">
        <v>9</v>
      </c>
      <c r="C4368" s="2">
        <v>41600</v>
      </c>
      <c r="D4368" s="1" t="s">
        <v>2002</v>
      </c>
      <c r="E4368" s="1">
        <v>102637</v>
      </c>
      <c r="F4368" s="6" t="s">
        <v>6370</v>
      </c>
      <c r="G4368" s="15" t="str">
        <f>VLOOKUP(A4368,Movie!A:D,4,FALSE)</f>
        <v>Buena Vista</v>
      </c>
      <c r="H4368" s="14">
        <f>VLOOKUP(E4368,'Rental Transaction'!A:B,2,FALSE)</f>
        <v>554099</v>
      </c>
      <c r="I4368">
        <f t="shared" si="68"/>
        <v>2013</v>
      </c>
    </row>
    <row r="4369" spans="1:9">
      <c r="A4369" s="1">
        <v>10119</v>
      </c>
      <c r="B4369" s="1">
        <v>4</v>
      </c>
      <c r="C4369" s="2">
        <v>41601</v>
      </c>
      <c r="D4369" s="1" t="s">
        <v>2002</v>
      </c>
      <c r="E4369" s="1">
        <v>102638</v>
      </c>
      <c r="F4369" s="6" t="s">
        <v>6371</v>
      </c>
      <c r="G4369" s="15" t="str">
        <f>VLOOKUP(A4369,Movie!A:D,4,FALSE)</f>
        <v>Universal</v>
      </c>
      <c r="H4369" s="14">
        <f>VLOOKUP(E4369,'Rental Transaction'!A:B,2,FALSE)</f>
        <v>992956</v>
      </c>
      <c r="I4369">
        <f t="shared" si="68"/>
        <v>2013</v>
      </c>
    </row>
    <row r="4370" spans="1:9">
      <c r="A4370" s="1">
        <v>10288</v>
      </c>
      <c r="B4370" s="1">
        <v>10</v>
      </c>
      <c r="C4370" s="2">
        <v>41601</v>
      </c>
      <c r="D4370" s="1" t="s">
        <v>2002</v>
      </c>
      <c r="E4370" s="1">
        <v>102639</v>
      </c>
      <c r="F4370" s="6" t="s">
        <v>6372</v>
      </c>
      <c r="G4370" s="15" t="str">
        <f>VLOOKUP(A4370,Movie!A:D,4,FALSE)</f>
        <v>Relativity</v>
      </c>
      <c r="H4370" s="14">
        <f>VLOOKUP(E4370,'Rental Transaction'!A:B,2,FALSE)</f>
        <v>498153</v>
      </c>
      <c r="I4370">
        <f t="shared" si="68"/>
        <v>2013</v>
      </c>
    </row>
    <row r="4371" spans="1:9" ht="29.25">
      <c r="A4371" s="1">
        <v>10294</v>
      </c>
      <c r="B4371" s="1">
        <v>10</v>
      </c>
      <c r="C4371" s="2">
        <v>41601</v>
      </c>
      <c r="D4371" s="1" t="s">
        <v>2002</v>
      </c>
      <c r="E4371" s="1">
        <v>102641</v>
      </c>
      <c r="F4371" s="6" t="s">
        <v>6373</v>
      </c>
      <c r="G4371" s="15" t="str">
        <f>VLOOKUP(A4371,Movie!A:D,4,FALSE)</f>
        <v>Weinstein Company</v>
      </c>
      <c r="H4371" s="14">
        <f>VLOOKUP(E4371,'Rental Transaction'!A:B,2,FALSE)</f>
        <v>565259</v>
      </c>
      <c r="I4371">
        <f t="shared" si="68"/>
        <v>2013</v>
      </c>
    </row>
    <row r="4372" spans="1:9" ht="29.25">
      <c r="A4372" s="1">
        <v>10239</v>
      </c>
      <c r="B4372" s="1">
        <v>2</v>
      </c>
      <c r="C4372" s="2">
        <v>41603</v>
      </c>
      <c r="D4372" s="1" t="s">
        <v>2005</v>
      </c>
      <c r="E4372" s="1">
        <v>102644</v>
      </c>
      <c r="F4372" s="6" t="s">
        <v>6374</v>
      </c>
      <c r="G4372" s="15" t="str">
        <f>VLOOKUP(A4372,Movie!A:D,4,FALSE)</f>
        <v>Weinstein Company</v>
      </c>
      <c r="H4372" s="14">
        <f>VLOOKUP(E4372,'Rental Transaction'!A:B,2,FALSE)</f>
        <v>921901</v>
      </c>
      <c r="I4372">
        <f t="shared" si="68"/>
        <v>2013</v>
      </c>
    </row>
    <row r="4373" spans="1:9">
      <c r="A4373" s="1">
        <v>10112</v>
      </c>
      <c r="B4373" s="1">
        <v>2</v>
      </c>
      <c r="C4373" s="2">
        <v>41601</v>
      </c>
      <c r="D4373" s="1" t="s">
        <v>2002</v>
      </c>
      <c r="E4373" s="1">
        <v>102645</v>
      </c>
      <c r="F4373" s="6" t="s">
        <v>6375</v>
      </c>
      <c r="G4373" s="15" t="str">
        <f>VLOOKUP(A4373,Movie!A:D,4,FALSE)</f>
        <v>Relativity</v>
      </c>
      <c r="H4373" s="14">
        <f>VLOOKUP(E4373,'Rental Transaction'!A:B,2,FALSE)</f>
        <v>741514</v>
      </c>
      <c r="I4373">
        <f t="shared" si="68"/>
        <v>2013</v>
      </c>
    </row>
    <row r="4374" spans="1:9">
      <c r="A4374" s="1">
        <v>10261</v>
      </c>
      <c r="B4374" s="1">
        <v>3</v>
      </c>
      <c r="C4374" s="2">
        <v>41601</v>
      </c>
      <c r="D4374" s="1" t="s">
        <v>2002</v>
      </c>
      <c r="E4374" s="1">
        <v>102645</v>
      </c>
      <c r="F4374" s="6" t="s">
        <v>6376</v>
      </c>
      <c r="G4374" s="15" t="str">
        <f>VLOOKUP(A4374,Movie!A:D,4,FALSE)</f>
        <v>Fox</v>
      </c>
      <c r="H4374" s="14">
        <f>VLOOKUP(E4374,'Rental Transaction'!A:B,2,FALSE)</f>
        <v>741514</v>
      </c>
      <c r="I4374">
        <f t="shared" si="68"/>
        <v>2013</v>
      </c>
    </row>
    <row r="4375" spans="1:9">
      <c r="A4375" s="1">
        <v>10119</v>
      </c>
      <c r="B4375" s="1">
        <v>8</v>
      </c>
      <c r="C4375" s="2">
        <v>41605</v>
      </c>
      <c r="D4375" s="1" t="s">
        <v>2005</v>
      </c>
      <c r="E4375" s="1">
        <v>102646</v>
      </c>
      <c r="F4375" s="6" t="s">
        <v>6377</v>
      </c>
      <c r="G4375" s="15" t="str">
        <f>VLOOKUP(A4375,Movie!A:D,4,FALSE)</f>
        <v>Universal</v>
      </c>
      <c r="H4375" s="14">
        <f>VLOOKUP(E4375,'Rental Transaction'!A:B,2,FALSE)</f>
        <v>693531</v>
      </c>
      <c r="I4375">
        <f t="shared" si="68"/>
        <v>2013</v>
      </c>
    </row>
    <row r="4376" spans="1:9">
      <c r="A4376" s="1">
        <v>10204</v>
      </c>
      <c r="B4376" s="1">
        <v>9</v>
      </c>
      <c r="C4376" s="2">
        <v>41601</v>
      </c>
      <c r="D4376" s="1" t="s">
        <v>2005</v>
      </c>
      <c r="E4376" s="1">
        <v>102646</v>
      </c>
      <c r="F4376" s="6" t="s">
        <v>6378</v>
      </c>
      <c r="G4376" s="15" t="str">
        <f>VLOOKUP(A4376,Movie!A:D,4,FALSE)</f>
        <v>Universal</v>
      </c>
      <c r="H4376" s="14">
        <f>VLOOKUP(E4376,'Rental Transaction'!A:B,2,FALSE)</f>
        <v>693531</v>
      </c>
      <c r="I4376">
        <f t="shared" si="68"/>
        <v>2013</v>
      </c>
    </row>
    <row r="4377" spans="1:9">
      <c r="A4377" s="1">
        <v>10247</v>
      </c>
      <c r="B4377" s="1">
        <v>6</v>
      </c>
      <c r="C4377" s="2">
        <v>41606</v>
      </c>
      <c r="D4377" s="1" t="s">
        <v>2002</v>
      </c>
      <c r="E4377" s="1">
        <v>102647</v>
      </c>
      <c r="F4377" s="6" t="s">
        <v>6379</v>
      </c>
      <c r="G4377" s="15" t="str">
        <f>VLOOKUP(A4377,Movie!A:D,4,FALSE)</f>
        <v>Fox</v>
      </c>
      <c r="H4377" s="14">
        <f>VLOOKUP(E4377,'Rental Transaction'!A:B,2,FALSE)</f>
        <v>958321</v>
      </c>
      <c r="I4377">
        <f t="shared" si="68"/>
        <v>2013</v>
      </c>
    </row>
    <row r="4378" spans="1:9">
      <c r="A4378" s="1">
        <v>10016</v>
      </c>
      <c r="B4378" s="1">
        <v>6</v>
      </c>
      <c r="C4378" s="2">
        <v>41606</v>
      </c>
      <c r="D4378" s="1" t="s">
        <v>2002</v>
      </c>
      <c r="E4378" s="1">
        <v>102649</v>
      </c>
      <c r="F4378" s="6" t="s">
        <v>6380</v>
      </c>
      <c r="G4378" s="15" t="str">
        <f>VLOOKUP(A4378,Movie!A:D,4,FALSE)</f>
        <v>Universal</v>
      </c>
      <c r="H4378" s="14">
        <f>VLOOKUP(E4378,'Rental Transaction'!A:B,2,FALSE)</f>
        <v>717234</v>
      </c>
      <c r="I4378">
        <f t="shared" si="68"/>
        <v>2013</v>
      </c>
    </row>
    <row r="4379" spans="1:9">
      <c r="A4379" s="1">
        <v>10138</v>
      </c>
      <c r="B4379" s="1">
        <v>1</v>
      </c>
      <c r="C4379" s="2">
        <v>41602</v>
      </c>
      <c r="D4379" s="1" t="s">
        <v>2005</v>
      </c>
      <c r="E4379" s="1">
        <v>102650</v>
      </c>
      <c r="F4379" s="6" t="s">
        <v>6381</v>
      </c>
      <c r="G4379" s="15" t="str">
        <f>VLOOKUP(A4379,Movie!A:D,4,FALSE)</f>
        <v>Universal</v>
      </c>
      <c r="H4379" s="14">
        <f>VLOOKUP(E4379,'Rental Transaction'!A:B,2,FALSE)</f>
        <v>147543</v>
      </c>
      <c r="I4379">
        <f t="shared" si="68"/>
        <v>2013</v>
      </c>
    </row>
    <row r="4380" spans="1:9">
      <c r="A4380" s="1">
        <v>10167</v>
      </c>
      <c r="B4380" s="1">
        <v>8</v>
      </c>
      <c r="C4380" s="2">
        <v>41607</v>
      </c>
      <c r="D4380" s="1" t="s">
        <v>2005</v>
      </c>
      <c r="E4380" s="1">
        <v>102650</v>
      </c>
      <c r="F4380" s="6" t="s">
        <v>6382</v>
      </c>
      <c r="G4380" s="15" t="str">
        <f>VLOOKUP(A4380,Movie!A:D,4,FALSE)</f>
        <v>Universal</v>
      </c>
      <c r="H4380" s="14">
        <f>VLOOKUP(E4380,'Rental Transaction'!A:B,2,FALSE)</f>
        <v>147543</v>
      </c>
      <c r="I4380">
        <f t="shared" si="68"/>
        <v>2013</v>
      </c>
    </row>
    <row r="4381" spans="1:9">
      <c r="A4381" s="1">
        <v>10171</v>
      </c>
      <c r="B4381" s="1">
        <v>3</v>
      </c>
      <c r="C4381" s="2">
        <v>41607</v>
      </c>
      <c r="D4381" s="1" t="s">
        <v>2002</v>
      </c>
      <c r="E4381" s="1">
        <v>102652</v>
      </c>
      <c r="F4381" s="6" t="s">
        <v>6383</v>
      </c>
      <c r="G4381" s="15" t="str">
        <f>VLOOKUP(A4381,Movie!A:D,4,FALSE)</f>
        <v>Universal</v>
      </c>
      <c r="H4381" s="14">
        <f>VLOOKUP(E4381,'Rental Transaction'!A:B,2,FALSE)</f>
        <v>888952</v>
      </c>
      <c r="I4381">
        <f t="shared" si="68"/>
        <v>2013</v>
      </c>
    </row>
    <row r="4382" spans="1:9">
      <c r="A4382" s="1">
        <v>10076</v>
      </c>
      <c r="B4382" s="1">
        <v>3</v>
      </c>
      <c r="C4382" s="2">
        <v>41603</v>
      </c>
      <c r="D4382" s="1" t="s">
        <v>2002</v>
      </c>
      <c r="E4382" s="1">
        <v>102652</v>
      </c>
      <c r="F4382" s="6" t="s">
        <v>6384</v>
      </c>
      <c r="G4382" s="15" t="str">
        <f>VLOOKUP(A4382,Movie!A:D,4,FALSE)</f>
        <v>Sony</v>
      </c>
      <c r="H4382" s="14">
        <f>VLOOKUP(E4382,'Rental Transaction'!A:B,2,FALSE)</f>
        <v>888952</v>
      </c>
      <c r="I4382">
        <f t="shared" si="68"/>
        <v>2013</v>
      </c>
    </row>
    <row r="4383" spans="1:9">
      <c r="A4383" s="1">
        <v>10282</v>
      </c>
      <c r="B4383" s="1">
        <v>7</v>
      </c>
      <c r="C4383" s="2">
        <v>41602</v>
      </c>
      <c r="D4383" s="1" t="s">
        <v>2002</v>
      </c>
      <c r="E4383" s="1">
        <v>102653</v>
      </c>
      <c r="F4383" s="6" t="s">
        <v>6385</v>
      </c>
      <c r="G4383" s="15" t="str">
        <f>VLOOKUP(A4383,Movie!A:D,4,FALSE)</f>
        <v>Sony Classics</v>
      </c>
      <c r="H4383" s="14">
        <f>VLOOKUP(E4383,'Rental Transaction'!A:B,2,FALSE)</f>
        <v>761615</v>
      </c>
      <c r="I4383">
        <f t="shared" si="68"/>
        <v>2013</v>
      </c>
    </row>
    <row r="4384" spans="1:9">
      <c r="A4384" s="1">
        <v>10187</v>
      </c>
      <c r="B4384" s="1">
        <v>10</v>
      </c>
      <c r="C4384" s="2">
        <v>41607</v>
      </c>
      <c r="D4384" s="1" t="s">
        <v>2002</v>
      </c>
      <c r="E4384" s="1">
        <v>102653</v>
      </c>
      <c r="F4384" s="6" t="s">
        <v>6386</v>
      </c>
      <c r="G4384" s="15" t="str">
        <f>VLOOKUP(A4384,Movie!A:D,4,FALSE)</f>
        <v>Paramount</v>
      </c>
      <c r="H4384" s="14">
        <f>VLOOKUP(E4384,'Rental Transaction'!A:B,2,FALSE)</f>
        <v>761615</v>
      </c>
      <c r="I4384">
        <f t="shared" si="68"/>
        <v>2013</v>
      </c>
    </row>
    <row r="4385" spans="1:9">
      <c r="A4385" s="1">
        <v>10162</v>
      </c>
      <c r="B4385" s="1">
        <v>6</v>
      </c>
      <c r="C4385" s="2">
        <v>41602</v>
      </c>
      <c r="D4385" s="1" t="s">
        <v>2002</v>
      </c>
      <c r="E4385" s="1">
        <v>102654</v>
      </c>
      <c r="F4385" s="6" t="s">
        <v>6387</v>
      </c>
      <c r="G4385" s="15" t="str">
        <f>VLOOKUP(A4385,Movie!A:D,4,FALSE)</f>
        <v>Sony</v>
      </c>
      <c r="H4385" s="14">
        <f>VLOOKUP(E4385,'Rental Transaction'!A:B,2,FALSE)</f>
        <v>734514</v>
      </c>
      <c r="I4385">
        <f t="shared" si="68"/>
        <v>2013</v>
      </c>
    </row>
    <row r="4386" spans="1:9">
      <c r="A4386" s="1">
        <v>10251</v>
      </c>
      <c r="B4386" s="1">
        <v>2</v>
      </c>
      <c r="C4386" s="2">
        <v>41604</v>
      </c>
      <c r="D4386" s="1" t="s">
        <v>2002</v>
      </c>
      <c r="E4386" s="1">
        <v>102654</v>
      </c>
      <c r="F4386" s="6" t="s">
        <v>6388</v>
      </c>
      <c r="G4386" s="15" t="str">
        <f>VLOOKUP(A4386,Movie!A:D,4,FALSE)</f>
        <v>Universal</v>
      </c>
      <c r="H4386" s="14">
        <f>VLOOKUP(E4386,'Rental Transaction'!A:B,2,FALSE)</f>
        <v>734514</v>
      </c>
      <c r="I4386">
        <f t="shared" si="68"/>
        <v>2013</v>
      </c>
    </row>
    <row r="4387" spans="1:9">
      <c r="A4387" s="1">
        <v>10186</v>
      </c>
      <c r="B4387" s="1">
        <v>7</v>
      </c>
      <c r="C4387" s="2">
        <v>41610</v>
      </c>
      <c r="D4387" s="1" t="s">
        <v>2002</v>
      </c>
      <c r="E4387" s="1">
        <v>102656</v>
      </c>
      <c r="F4387" s="6" t="s">
        <v>6389</v>
      </c>
      <c r="G4387" s="15" t="str">
        <f>VLOOKUP(A4387,Movie!A:D,4,FALSE)</f>
        <v>Lionsgate</v>
      </c>
      <c r="H4387" s="14">
        <f>VLOOKUP(E4387,'Rental Transaction'!A:B,2,FALSE)</f>
        <v>286196</v>
      </c>
      <c r="I4387">
        <f t="shared" si="68"/>
        <v>2013</v>
      </c>
    </row>
    <row r="4388" spans="1:9">
      <c r="A4388" s="1">
        <v>10238</v>
      </c>
      <c r="B4388" s="1">
        <v>10</v>
      </c>
      <c r="C4388" s="2">
        <v>41603</v>
      </c>
      <c r="D4388" s="1" t="s">
        <v>2005</v>
      </c>
      <c r="E4388" s="1">
        <v>102658</v>
      </c>
      <c r="F4388" s="6" t="s">
        <v>6390</v>
      </c>
      <c r="G4388" s="15" t="str">
        <f>VLOOKUP(A4388,Movie!A:D,4,FALSE)</f>
        <v>Warner Brothers</v>
      </c>
      <c r="H4388" s="14">
        <f>VLOOKUP(E4388,'Rental Transaction'!A:B,2,FALSE)</f>
        <v>343021</v>
      </c>
      <c r="I4388">
        <f t="shared" si="68"/>
        <v>2013</v>
      </c>
    </row>
    <row r="4389" spans="1:9">
      <c r="A4389" s="1">
        <v>10166</v>
      </c>
      <c r="B4389" s="1">
        <v>1</v>
      </c>
      <c r="C4389" s="2">
        <v>41603</v>
      </c>
      <c r="D4389" s="1" t="s">
        <v>2002</v>
      </c>
      <c r="E4389" s="1">
        <v>102659</v>
      </c>
      <c r="F4389" s="6" t="s">
        <v>6391</v>
      </c>
      <c r="G4389" s="15" t="str">
        <f>VLOOKUP(A4389,Movie!A:D,4,FALSE)</f>
        <v>Fox</v>
      </c>
      <c r="H4389" s="14">
        <f>VLOOKUP(E4389,'Rental Transaction'!A:B,2,FALSE)</f>
        <v>924361</v>
      </c>
      <c r="I4389">
        <f t="shared" si="68"/>
        <v>2013</v>
      </c>
    </row>
    <row r="4390" spans="1:9">
      <c r="A4390" s="1">
        <v>10197</v>
      </c>
      <c r="B4390" s="1">
        <v>7</v>
      </c>
      <c r="C4390" s="2">
        <v>41603</v>
      </c>
      <c r="D4390" s="1" t="s">
        <v>2002</v>
      </c>
      <c r="E4390" s="1">
        <v>102659</v>
      </c>
      <c r="F4390" s="6" t="s">
        <v>6392</v>
      </c>
      <c r="G4390" s="15" t="str">
        <f>VLOOKUP(A4390,Movie!A:D,4,FALSE)</f>
        <v>Warner Brothers</v>
      </c>
      <c r="H4390" s="14">
        <f>VLOOKUP(E4390,'Rental Transaction'!A:B,2,FALSE)</f>
        <v>924361</v>
      </c>
      <c r="I4390">
        <f t="shared" si="68"/>
        <v>2013</v>
      </c>
    </row>
    <row r="4391" spans="1:9">
      <c r="A4391" s="1">
        <v>10228</v>
      </c>
      <c r="B4391" s="1">
        <v>2</v>
      </c>
      <c r="C4391" s="2">
        <v>41603</v>
      </c>
      <c r="D4391" s="1" t="s">
        <v>2002</v>
      </c>
      <c r="E4391" s="1">
        <v>102659</v>
      </c>
      <c r="F4391" s="6" t="s">
        <v>6393</v>
      </c>
      <c r="G4391" s="15" t="str">
        <f>VLOOKUP(A4391,Movie!A:D,4,FALSE)</f>
        <v>Universal</v>
      </c>
      <c r="H4391" s="14">
        <f>VLOOKUP(E4391,'Rental Transaction'!A:B,2,FALSE)</f>
        <v>924361</v>
      </c>
      <c r="I4391">
        <f t="shared" si="68"/>
        <v>2013</v>
      </c>
    </row>
    <row r="4392" spans="1:9">
      <c r="A4392" s="1">
        <v>10046</v>
      </c>
      <c r="B4392" s="1">
        <v>6</v>
      </c>
      <c r="C4392" s="2">
        <v>41607</v>
      </c>
      <c r="D4392" s="1" t="s">
        <v>2002</v>
      </c>
      <c r="E4392" s="1">
        <v>102660</v>
      </c>
      <c r="F4392" s="6" t="s">
        <v>6394</v>
      </c>
      <c r="G4392" s="15" t="str">
        <f>VLOOKUP(A4392,Movie!A:D,4,FALSE)</f>
        <v>Sony</v>
      </c>
      <c r="H4392" s="14">
        <f>VLOOKUP(E4392,'Rental Transaction'!A:B,2,FALSE)</f>
        <v>145929</v>
      </c>
      <c r="I4392">
        <f t="shared" si="68"/>
        <v>2013</v>
      </c>
    </row>
    <row r="4393" spans="1:9">
      <c r="A4393" s="1">
        <v>10288</v>
      </c>
      <c r="B4393" s="1">
        <v>8</v>
      </c>
      <c r="C4393" s="2">
        <v>41603</v>
      </c>
      <c r="D4393" s="1" t="s">
        <v>2002</v>
      </c>
      <c r="E4393" s="1">
        <v>102660</v>
      </c>
      <c r="F4393" s="6" t="s">
        <v>6395</v>
      </c>
      <c r="G4393" s="15" t="str">
        <f>VLOOKUP(A4393,Movie!A:D,4,FALSE)</f>
        <v>Relativity</v>
      </c>
      <c r="H4393" s="14">
        <f>VLOOKUP(E4393,'Rental Transaction'!A:B,2,FALSE)</f>
        <v>145929</v>
      </c>
      <c r="I4393">
        <f t="shared" si="68"/>
        <v>2013</v>
      </c>
    </row>
    <row r="4394" spans="1:9">
      <c r="A4394" s="1">
        <v>10149</v>
      </c>
      <c r="B4394" s="1">
        <v>1</v>
      </c>
      <c r="C4394" s="2">
        <v>41603</v>
      </c>
      <c r="D4394" s="1" t="s">
        <v>2002</v>
      </c>
      <c r="E4394" s="1">
        <v>102660</v>
      </c>
      <c r="F4394" s="6" t="s">
        <v>6396</v>
      </c>
      <c r="G4394" s="15" t="str">
        <f>VLOOKUP(A4394,Movie!A:D,4,FALSE)</f>
        <v>Relativity</v>
      </c>
      <c r="H4394" s="14">
        <f>VLOOKUP(E4394,'Rental Transaction'!A:B,2,FALSE)</f>
        <v>145929</v>
      </c>
      <c r="I4394">
        <f t="shared" si="68"/>
        <v>2013</v>
      </c>
    </row>
    <row r="4395" spans="1:9">
      <c r="A4395" s="1">
        <v>10228</v>
      </c>
      <c r="B4395" s="1">
        <v>5</v>
      </c>
      <c r="C4395" s="2">
        <v>41607</v>
      </c>
      <c r="D4395" s="1" t="s">
        <v>2002</v>
      </c>
      <c r="E4395" s="1">
        <v>102665</v>
      </c>
      <c r="F4395" s="6" t="s">
        <v>6397</v>
      </c>
      <c r="G4395" s="15" t="str">
        <f>VLOOKUP(A4395,Movie!A:D,4,FALSE)</f>
        <v>Universal</v>
      </c>
      <c r="H4395" s="14">
        <f>VLOOKUP(E4395,'Rental Transaction'!A:B,2,FALSE)</f>
        <v>775449</v>
      </c>
      <c r="I4395">
        <f t="shared" si="68"/>
        <v>2013</v>
      </c>
    </row>
    <row r="4396" spans="1:9">
      <c r="A4396" s="1">
        <v>10265</v>
      </c>
      <c r="B4396" s="1">
        <v>7</v>
      </c>
      <c r="C4396" s="2">
        <v>41609</v>
      </c>
      <c r="D4396" s="1" t="s">
        <v>2005</v>
      </c>
      <c r="E4396" s="1">
        <v>102666</v>
      </c>
      <c r="F4396" s="6" t="s">
        <v>6398</v>
      </c>
      <c r="G4396" s="15" t="str">
        <f>VLOOKUP(A4396,Movie!A:D,4,FALSE)</f>
        <v>Warner Brothers</v>
      </c>
      <c r="H4396" s="14">
        <f>VLOOKUP(E4396,'Rental Transaction'!A:B,2,FALSE)</f>
        <v>433442</v>
      </c>
      <c r="I4396">
        <f t="shared" si="68"/>
        <v>2013</v>
      </c>
    </row>
    <row r="4397" spans="1:9">
      <c r="A4397" s="1">
        <v>10107</v>
      </c>
      <c r="B4397" s="1">
        <v>4</v>
      </c>
      <c r="C4397" s="2">
        <v>41605</v>
      </c>
      <c r="D4397" s="1" t="s">
        <v>2005</v>
      </c>
      <c r="E4397" s="1">
        <v>102666</v>
      </c>
      <c r="F4397" s="6" t="s">
        <v>6399</v>
      </c>
      <c r="G4397" s="15" t="str">
        <f>VLOOKUP(A4397,Movie!A:D,4,FALSE)</f>
        <v>Universal</v>
      </c>
      <c r="H4397" s="14">
        <f>VLOOKUP(E4397,'Rental Transaction'!A:B,2,FALSE)</f>
        <v>433442</v>
      </c>
      <c r="I4397">
        <f t="shared" si="68"/>
        <v>2013</v>
      </c>
    </row>
    <row r="4398" spans="1:9">
      <c r="A4398" s="1">
        <v>10212</v>
      </c>
      <c r="B4398" s="1">
        <v>3</v>
      </c>
      <c r="C4398" s="2">
        <v>41604</v>
      </c>
      <c r="D4398" s="1" t="s">
        <v>2002</v>
      </c>
      <c r="E4398" s="1">
        <v>102666</v>
      </c>
      <c r="F4398" s="6" t="s">
        <v>6400</v>
      </c>
      <c r="G4398" s="15" t="str">
        <f>VLOOKUP(A4398,Movie!A:D,4,FALSE)</f>
        <v>Lionsgate</v>
      </c>
      <c r="H4398" s="14">
        <f>VLOOKUP(E4398,'Rental Transaction'!A:B,2,FALSE)</f>
        <v>433442</v>
      </c>
      <c r="I4398">
        <f t="shared" si="68"/>
        <v>2013</v>
      </c>
    </row>
    <row r="4399" spans="1:9">
      <c r="A4399" s="1">
        <v>10273</v>
      </c>
      <c r="B4399" s="1">
        <v>5</v>
      </c>
      <c r="C4399" s="2">
        <v>41605</v>
      </c>
      <c r="D4399" s="1" t="s">
        <v>2002</v>
      </c>
      <c r="E4399" s="1">
        <v>102669</v>
      </c>
      <c r="F4399" s="6" t="s">
        <v>6401</v>
      </c>
      <c r="G4399" s="15" t="str">
        <f>VLOOKUP(A4399,Movie!A:D,4,FALSE)</f>
        <v>Sony</v>
      </c>
      <c r="H4399" s="14">
        <f>VLOOKUP(E4399,'Rental Transaction'!A:B,2,FALSE)</f>
        <v>194680</v>
      </c>
      <c r="I4399">
        <f t="shared" si="68"/>
        <v>2013</v>
      </c>
    </row>
    <row r="4400" spans="1:9">
      <c r="A4400" s="1">
        <v>10079</v>
      </c>
      <c r="B4400" s="1">
        <v>6</v>
      </c>
      <c r="C4400" s="2">
        <v>41604</v>
      </c>
      <c r="D4400" s="1" t="s">
        <v>2005</v>
      </c>
      <c r="E4400" s="1">
        <v>102670</v>
      </c>
      <c r="F4400" s="6" t="s">
        <v>6402</v>
      </c>
      <c r="G4400" s="15" t="str">
        <f>VLOOKUP(A4400,Movie!A:D,4,FALSE)</f>
        <v>Warner Brothers</v>
      </c>
      <c r="H4400" s="14">
        <f>VLOOKUP(E4400,'Rental Transaction'!A:B,2,FALSE)</f>
        <v>941876</v>
      </c>
      <c r="I4400">
        <f t="shared" si="68"/>
        <v>2013</v>
      </c>
    </row>
    <row r="4401" spans="1:9">
      <c r="A4401" s="1">
        <v>10148</v>
      </c>
      <c r="B4401" s="1">
        <v>9</v>
      </c>
      <c r="C4401" s="2">
        <v>41605</v>
      </c>
      <c r="D4401" s="1" t="s">
        <v>2002</v>
      </c>
      <c r="E4401" s="1">
        <v>102670</v>
      </c>
      <c r="F4401" s="6" t="s">
        <v>6403</v>
      </c>
      <c r="G4401" s="15" t="str">
        <f>VLOOKUP(A4401,Movie!A:D,4,FALSE)</f>
        <v>Paramount</v>
      </c>
      <c r="H4401" s="14">
        <f>VLOOKUP(E4401,'Rental Transaction'!A:B,2,FALSE)</f>
        <v>941876</v>
      </c>
      <c r="I4401">
        <f t="shared" si="68"/>
        <v>2013</v>
      </c>
    </row>
    <row r="4402" spans="1:9">
      <c r="A4402" s="1">
        <v>10099</v>
      </c>
      <c r="B4402" s="1">
        <v>8</v>
      </c>
      <c r="C4402" s="2">
        <v>41606</v>
      </c>
      <c r="D4402" s="1" t="s">
        <v>2002</v>
      </c>
      <c r="E4402" s="1">
        <v>102671</v>
      </c>
      <c r="F4402" s="6" t="s">
        <v>6404</v>
      </c>
      <c r="G4402" s="15" t="str">
        <f>VLOOKUP(A4402,Movie!A:D,4,FALSE)</f>
        <v>Lionsgate</v>
      </c>
      <c r="H4402" s="14">
        <f>VLOOKUP(E4402,'Rental Transaction'!A:B,2,FALSE)</f>
        <v>575041</v>
      </c>
      <c r="I4402">
        <f t="shared" si="68"/>
        <v>2013</v>
      </c>
    </row>
    <row r="4403" spans="1:9">
      <c r="A4403" s="1">
        <v>10054</v>
      </c>
      <c r="B4403" s="1">
        <v>3</v>
      </c>
      <c r="C4403" s="2">
        <v>41605</v>
      </c>
      <c r="D4403" s="1" t="s">
        <v>2005</v>
      </c>
      <c r="E4403" s="1">
        <v>102671</v>
      </c>
      <c r="F4403" s="6" t="s">
        <v>6405</v>
      </c>
      <c r="G4403" s="15" t="str">
        <f>VLOOKUP(A4403,Movie!A:D,4,FALSE)</f>
        <v>Paramount</v>
      </c>
      <c r="H4403" s="14">
        <f>VLOOKUP(E4403,'Rental Transaction'!A:B,2,FALSE)</f>
        <v>575041</v>
      </c>
      <c r="I4403">
        <f t="shared" si="68"/>
        <v>2013</v>
      </c>
    </row>
    <row r="4404" spans="1:9">
      <c r="A4404" s="1">
        <v>10039</v>
      </c>
      <c r="B4404" s="1">
        <v>8</v>
      </c>
      <c r="C4404" s="2">
        <v>41605</v>
      </c>
      <c r="D4404" s="1" t="s">
        <v>2002</v>
      </c>
      <c r="E4404" s="1">
        <v>102672</v>
      </c>
      <c r="F4404" s="6" t="s">
        <v>6406</v>
      </c>
      <c r="G4404" s="15" t="str">
        <f>VLOOKUP(A4404,Movie!A:D,4,FALSE)</f>
        <v>Open Road Films</v>
      </c>
      <c r="H4404" s="14">
        <f>VLOOKUP(E4404,'Rental Transaction'!A:B,2,FALSE)</f>
        <v>628132</v>
      </c>
      <c r="I4404">
        <f t="shared" si="68"/>
        <v>2013</v>
      </c>
    </row>
    <row r="4405" spans="1:9">
      <c r="A4405" s="1">
        <v>10097</v>
      </c>
      <c r="B4405" s="1">
        <v>2</v>
      </c>
      <c r="C4405" s="2">
        <v>41606</v>
      </c>
      <c r="D4405" s="1" t="s">
        <v>2002</v>
      </c>
      <c r="E4405" s="1">
        <v>102674</v>
      </c>
      <c r="F4405" s="6" t="s">
        <v>6407</v>
      </c>
      <c r="G4405" s="15" t="str">
        <f>VLOOKUP(A4405,Movie!A:D,4,FALSE)</f>
        <v>Screen Gems</v>
      </c>
      <c r="H4405" s="14">
        <f>VLOOKUP(E4405,'Rental Transaction'!A:B,2,FALSE)</f>
        <v>426984</v>
      </c>
      <c r="I4405">
        <f t="shared" si="68"/>
        <v>2013</v>
      </c>
    </row>
    <row r="4406" spans="1:9">
      <c r="A4406" s="1">
        <v>10160</v>
      </c>
      <c r="B4406" s="1">
        <v>8</v>
      </c>
      <c r="C4406" s="2">
        <v>41606</v>
      </c>
      <c r="D4406" s="1" t="s">
        <v>2002</v>
      </c>
      <c r="E4406" s="1">
        <v>102677</v>
      </c>
      <c r="F4406" s="6" t="s">
        <v>6408</v>
      </c>
      <c r="G4406" s="15" t="str">
        <f>VLOOKUP(A4406,Movie!A:D,4,FALSE)</f>
        <v>Lionsgate</v>
      </c>
      <c r="H4406" s="14">
        <f>VLOOKUP(E4406,'Rental Transaction'!A:B,2,FALSE)</f>
        <v>464277</v>
      </c>
      <c r="I4406">
        <f t="shared" si="68"/>
        <v>2013</v>
      </c>
    </row>
    <row r="4407" spans="1:9">
      <c r="A4407" s="1">
        <v>10211</v>
      </c>
      <c r="B4407" s="1">
        <v>1</v>
      </c>
      <c r="C4407" s="2">
        <v>41607</v>
      </c>
      <c r="D4407" s="1" t="s">
        <v>2002</v>
      </c>
      <c r="E4407" s="1">
        <v>102679</v>
      </c>
      <c r="F4407" s="6" t="s">
        <v>6409</v>
      </c>
      <c r="G4407" s="15" t="str">
        <f>VLOOKUP(A4407,Movie!A:D,4,FALSE)</f>
        <v>Buena Vista</v>
      </c>
      <c r="H4407" s="14">
        <f>VLOOKUP(E4407,'Rental Transaction'!A:B,2,FALSE)</f>
        <v>241144</v>
      </c>
      <c r="I4407">
        <f t="shared" si="68"/>
        <v>2013</v>
      </c>
    </row>
    <row r="4408" spans="1:9">
      <c r="A4408" s="1">
        <v>10376</v>
      </c>
      <c r="B4408" s="1">
        <v>5</v>
      </c>
      <c r="C4408" s="2">
        <v>41607</v>
      </c>
      <c r="D4408" s="1" t="s">
        <v>2002</v>
      </c>
      <c r="E4408" s="1">
        <v>102680</v>
      </c>
      <c r="F4408" s="6" t="s">
        <v>6410</v>
      </c>
      <c r="G4408" s="15" t="str">
        <f>VLOOKUP(A4408,Movie!A:D,4,FALSE)</f>
        <v>Relativity</v>
      </c>
      <c r="H4408" s="14">
        <f>VLOOKUP(E4408,'Rental Transaction'!A:B,2,FALSE)</f>
        <v>345348</v>
      </c>
      <c r="I4408">
        <f t="shared" si="68"/>
        <v>2013</v>
      </c>
    </row>
    <row r="4409" spans="1:9">
      <c r="A4409" s="1">
        <v>10269</v>
      </c>
      <c r="B4409" s="1">
        <v>6</v>
      </c>
      <c r="C4409" s="2">
        <v>41609</v>
      </c>
      <c r="D4409" s="1" t="s">
        <v>2002</v>
      </c>
      <c r="E4409" s="1">
        <v>102681</v>
      </c>
      <c r="F4409" s="6" t="s">
        <v>6411</v>
      </c>
      <c r="G4409" s="15" t="str">
        <f>VLOOKUP(A4409,Movie!A:D,4,FALSE)</f>
        <v>Buena Vista</v>
      </c>
      <c r="H4409" s="14">
        <f>VLOOKUP(E4409,'Rental Transaction'!A:B,2,FALSE)</f>
        <v>693531</v>
      </c>
      <c r="I4409">
        <f t="shared" si="68"/>
        <v>2013</v>
      </c>
    </row>
    <row r="4410" spans="1:9">
      <c r="A4410" s="1">
        <v>10064</v>
      </c>
      <c r="B4410" s="1">
        <v>4</v>
      </c>
      <c r="C4410" s="2">
        <v>41608</v>
      </c>
      <c r="D4410" s="1" t="s">
        <v>2002</v>
      </c>
      <c r="E4410" s="1">
        <v>102683</v>
      </c>
      <c r="F4410" s="6" t="s">
        <v>6412</v>
      </c>
      <c r="G4410" s="15" t="str">
        <f>VLOOKUP(A4410,Movie!A:D,4,FALSE)</f>
        <v>Universal</v>
      </c>
      <c r="H4410" s="14">
        <f>VLOOKUP(E4410,'Rental Transaction'!A:B,2,FALSE)</f>
        <v>607810</v>
      </c>
      <c r="I4410">
        <f t="shared" si="68"/>
        <v>2013</v>
      </c>
    </row>
    <row r="4411" spans="1:9">
      <c r="A4411" s="1">
        <v>10166</v>
      </c>
      <c r="B4411" s="1">
        <v>8</v>
      </c>
      <c r="C4411" s="2">
        <v>41606</v>
      </c>
      <c r="D4411" s="1" t="s">
        <v>2002</v>
      </c>
      <c r="E4411" s="1">
        <v>102683</v>
      </c>
      <c r="F4411" s="6" t="s">
        <v>6413</v>
      </c>
      <c r="G4411" s="15" t="str">
        <f>VLOOKUP(A4411,Movie!A:D,4,FALSE)</f>
        <v>Fox</v>
      </c>
      <c r="H4411" s="14">
        <f>VLOOKUP(E4411,'Rental Transaction'!A:B,2,FALSE)</f>
        <v>607810</v>
      </c>
      <c r="I4411">
        <f t="shared" si="68"/>
        <v>2013</v>
      </c>
    </row>
    <row r="4412" spans="1:9">
      <c r="A4412" s="1">
        <v>10298</v>
      </c>
      <c r="B4412" s="1">
        <v>9</v>
      </c>
      <c r="C4412" s="2">
        <v>41609</v>
      </c>
      <c r="D4412" s="1" t="s">
        <v>2002</v>
      </c>
      <c r="E4412" s="1">
        <v>102684</v>
      </c>
      <c r="F4412" s="6" t="s">
        <v>6414</v>
      </c>
      <c r="G4412" s="15" t="str">
        <f>VLOOKUP(A4412,Movie!A:D,4,FALSE)</f>
        <v>UTV</v>
      </c>
      <c r="H4412" s="14">
        <f>VLOOKUP(E4412,'Rental Transaction'!A:B,2,FALSE)</f>
        <v>917728</v>
      </c>
      <c r="I4412">
        <f t="shared" si="68"/>
        <v>2013</v>
      </c>
    </row>
    <row r="4413" spans="1:9">
      <c r="A4413" s="1">
        <v>10160</v>
      </c>
      <c r="B4413" s="1">
        <v>6</v>
      </c>
      <c r="C4413" s="2">
        <v>41613</v>
      </c>
      <c r="D4413" s="1" t="s">
        <v>2002</v>
      </c>
      <c r="E4413" s="1">
        <v>102684</v>
      </c>
      <c r="F4413" s="6" t="s">
        <v>6415</v>
      </c>
      <c r="G4413" s="15" t="str">
        <f>VLOOKUP(A4413,Movie!A:D,4,FALSE)</f>
        <v>Lionsgate</v>
      </c>
      <c r="H4413" s="14">
        <f>VLOOKUP(E4413,'Rental Transaction'!A:B,2,FALSE)</f>
        <v>917728</v>
      </c>
      <c r="I4413">
        <f t="shared" si="68"/>
        <v>2013</v>
      </c>
    </row>
    <row r="4414" spans="1:9">
      <c r="A4414" s="1">
        <v>10152</v>
      </c>
      <c r="B4414" s="1">
        <v>5</v>
      </c>
      <c r="C4414" s="2">
        <v>41607</v>
      </c>
      <c r="D4414" s="1" t="s">
        <v>2002</v>
      </c>
      <c r="E4414" s="1">
        <v>102686</v>
      </c>
      <c r="F4414" s="6" t="s">
        <v>6416</v>
      </c>
      <c r="G4414" s="15" t="str">
        <f>VLOOKUP(A4414,Movie!A:D,4,FALSE)</f>
        <v>FilmDistrict</v>
      </c>
      <c r="H4414" s="14">
        <f>VLOOKUP(E4414,'Rental Transaction'!A:B,2,FALSE)</f>
        <v>850952</v>
      </c>
      <c r="I4414">
        <f t="shared" si="68"/>
        <v>2013</v>
      </c>
    </row>
    <row r="4415" spans="1:9">
      <c r="A4415" s="1">
        <v>10148</v>
      </c>
      <c r="B4415" s="1">
        <v>6</v>
      </c>
      <c r="C4415" s="2">
        <v>41607</v>
      </c>
      <c r="D4415" s="1" t="s">
        <v>2005</v>
      </c>
      <c r="E4415" s="1">
        <v>102688</v>
      </c>
      <c r="F4415" s="6" t="s">
        <v>6417</v>
      </c>
      <c r="G4415" s="15" t="str">
        <f>VLOOKUP(A4415,Movie!A:D,4,FALSE)</f>
        <v>Paramount</v>
      </c>
      <c r="H4415" s="14">
        <f>VLOOKUP(E4415,'Rental Transaction'!A:B,2,FALSE)</f>
        <v>515790</v>
      </c>
      <c r="I4415">
        <f t="shared" si="68"/>
        <v>2013</v>
      </c>
    </row>
    <row r="4416" spans="1:9">
      <c r="A4416" s="1">
        <v>10181</v>
      </c>
      <c r="B4416" s="1">
        <v>9</v>
      </c>
      <c r="C4416" s="2">
        <v>41610</v>
      </c>
      <c r="D4416" s="1" t="s">
        <v>2005</v>
      </c>
      <c r="E4416" s="1">
        <v>102689</v>
      </c>
      <c r="F4416" s="6" t="s">
        <v>6418</v>
      </c>
      <c r="G4416" s="15" t="str">
        <f>VLOOKUP(A4416,Movie!A:D,4,FALSE)</f>
        <v>Fox</v>
      </c>
      <c r="H4416" s="14">
        <f>VLOOKUP(E4416,'Rental Transaction'!A:B,2,FALSE)</f>
        <v>415869</v>
      </c>
      <c r="I4416">
        <f t="shared" si="68"/>
        <v>2013</v>
      </c>
    </row>
    <row r="4417" spans="1:9" ht="29.25">
      <c r="A4417" s="1">
        <v>10285</v>
      </c>
      <c r="B4417" s="1">
        <v>2</v>
      </c>
      <c r="C4417" s="2">
        <v>41607</v>
      </c>
      <c r="D4417" s="1" t="s">
        <v>2005</v>
      </c>
      <c r="E4417" s="1">
        <v>102689</v>
      </c>
      <c r="F4417" s="6" t="s">
        <v>6419</v>
      </c>
      <c r="G4417" s="15" t="str">
        <f>VLOOKUP(A4417,Movie!A:D,4,FALSE)</f>
        <v>Roadside Attractions</v>
      </c>
      <c r="H4417" s="14">
        <f>VLOOKUP(E4417,'Rental Transaction'!A:B,2,FALSE)</f>
        <v>415869</v>
      </c>
      <c r="I4417">
        <f t="shared" si="68"/>
        <v>2013</v>
      </c>
    </row>
    <row r="4418" spans="1:9">
      <c r="A4418" s="1">
        <v>10276</v>
      </c>
      <c r="B4418" s="1">
        <v>5</v>
      </c>
      <c r="C4418" s="2">
        <v>41607</v>
      </c>
      <c r="D4418" s="1" t="s">
        <v>2005</v>
      </c>
      <c r="E4418" s="1">
        <v>102691</v>
      </c>
      <c r="F4418" s="6" t="s">
        <v>6420</v>
      </c>
      <c r="G4418" s="15" t="str">
        <f>VLOOKUP(A4418,Movie!A:D,4,FALSE)</f>
        <v>FilmDistrict</v>
      </c>
      <c r="H4418" s="14">
        <f>VLOOKUP(E4418,'Rental Transaction'!A:B,2,FALSE)</f>
        <v>147218</v>
      </c>
      <c r="I4418">
        <f t="shared" si="68"/>
        <v>2013</v>
      </c>
    </row>
    <row r="4419" spans="1:9">
      <c r="A4419" s="1">
        <v>10245</v>
      </c>
      <c r="B4419" s="1">
        <v>8</v>
      </c>
      <c r="C4419" s="2">
        <v>41607</v>
      </c>
      <c r="D4419" s="1" t="s">
        <v>2005</v>
      </c>
      <c r="E4419" s="1">
        <v>102692</v>
      </c>
      <c r="F4419" s="6" t="s">
        <v>6421</v>
      </c>
      <c r="G4419" s="15" t="str">
        <f>VLOOKUP(A4419,Movie!A:D,4,FALSE)</f>
        <v>Warner Brothers</v>
      </c>
      <c r="H4419" s="14">
        <f>VLOOKUP(E4419,'Rental Transaction'!A:B,2,FALSE)</f>
        <v>468100</v>
      </c>
      <c r="I4419">
        <f t="shared" ref="I4419:I4482" si="69">YEAR(C4419)</f>
        <v>2013</v>
      </c>
    </row>
    <row r="4420" spans="1:9">
      <c r="A4420" s="1">
        <v>10216</v>
      </c>
      <c r="B4420" s="1">
        <v>4</v>
      </c>
      <c r="C4420" s="2">
        <v>41609</v>
      </c>
      <c r="D4420" s="1" t="s">
        <v>2002</v>
      </c>
      <c r="E4420" s="1">
        <v>102693</v>
      </c>
      <c r="F4420" s="6" t="s">
        <v>6422</v>
      </c>
      <c r="G4420" s="15" t="str">
        <f>VLOOKUP(A4420,Movie!A:D,4,FALSE)</f>
        <v>Sony</v>
      </c>
      <c r="H4420" s="14">
        <f>VLOOKUP(E4420,'Rental Transaction'!A:B,2,FALSE)</f>
        <v>558749</v>
      </c>
      <c r="I4420">
        <f t="shared" si="69"/>
        <v>2013</v>
      </c>
    </row>
    <row r="4421" spans="1:9">
      <c r="A4421" s="1">
        <v>10207</v>
      </c>
      <c r="B4421" s="1">
        <v>2</v>
      </c>
      <c r="C4421" s="2">
        <v>41609</v>
      </c>
      <c r="D4421" s="1" t="s">
        <v>2005</v>
      </c>
      <c r="E4421" s="1">
        <v>102693</v>
      </c>
      <c r="F4421" s="6" t="s">
        <v>6423</v>
      </c>
      <c r="G4421" s="15" t="str">
        <f>VLOOKUP(A4421,Movie!A:D,4,FALSE)</f>
        <v>Paramount</v>
      </c>
      <c r="H4421" s="14">
        <f>VLOOKUP(E4421,'Rental Transaction'!A:B,2,FALSE)</f>
        <v>558749</v>
      </c>
      <c r="I4421">
        <f t="shared" si="69"/>
        <v>2013</v>
      </c>
    </row>
    <row r="4422" spans="1:9">
      <c r="A4422" s="1">
        <v>10289</v>
      </c>
      <c r="B4422" s="1">
        <v>8</v>
      </c>
      <c r="C4422" s="2">
        <v>41611</v>
      </c>
      <c r="D4422" s="1" t="s">
        <v>2002</v>
      </c>
      <c r="E4422" s="1">
        <v>102694</v>
      </c>
      <c r="F4422" s="6" t="s">
        <v>6424</v>
      </c>
      <c r="G4422" s="15" t="str">
        <f>VLOOKUP(A4422,Movie!A:D,4,FALSE)</f>
        <v>Open Road Films</v>
      </c>
      <c r="H4422" s="14">
        <f>VLOOKUP(E4422,'Rental Transaction'!A:B,2,FALSE)</f>
        <v>415869</v>
      </c>
      <c r="I4422">
        <f t="shared" si="69"/>
        <v>2013</v>
      </c>
    </row>
    <row r="4423" spans="1:9">
      <c r="A4423" s="1">
        <v>10237</v>
      </c>
      <c r="B4423" s="1">
        <v>6</v>
      </c>
      <c r="C4423" s="2">
        <v>41609</v>
      </c>
      <c r="D4423" s="1" t="s">
        <v>2002</v>
      </c>
      <c r="E4423" s="1">
        <v>102694</v>
      </c>
      <c r="F4423" s="6" t="s">
        <v>6425</v>
      </c>
      <c r="G4423" s="15" t="str">
        <f>VLOOKUP(A4423,Movie!A:D,4,FALSE)</f>
        <v>Warner Brothers</v>
      </c>
      <c r="H4423" s="14">
        <f>VLOOKUP(E4423,'Rental Transaction'!A:B,2,FALSE)</f>
        <v>415869</v>
      </c>
      <c r="I4423">
        <f t="shared" si="69"/>
        <v>2013</v>
      </c>
    </row>
    <row r="4424" spans="1:9">
      <c r="A4424" s="1">
        <v>10253</v>
      </c>
      <c r="B4424" s="1">
        <v>7</v>
      </c>
      <c r="C4424" s="2">
        <v>41608</v>
      </c>
      <c r="D4424" s="1" t="s">
        <v>2005</v>
      </c>
      <c r="E4424" s="1">
        <v>102697</v>
      </c>
      <c r="F4424" s="6" t="s">
        <v>6426</v>
      </c>
      <c r="G4424" s="15" t="str">
        <f>VLOOKUP(A4424,Movie!A:D,4,FALSE)</f>
        <v>Buena Vista</v>
      </c>
      <c r="H4424" s="14">
        <f>VLOOKUP(E4424,'Rental Transaction'!A:B,2,FALSE)</f>
        <v>192738</v>
      </c>
      <c r="I4424">
        <f t="shared" si="69"/>
        <v>2013</v>
      </c>
    </row>
    <row r="4425" spans="1:9">
      <c r="A4425" s="1">
        <v>10162</v>
      </c>
      <c r="B4425" s="1">
        <v>8</v>
      </c>
      <c r="C4425" s="2">
        <v>41608</v>
      </c>
      <c r="D4425" s="1" t="s">
        <v>2005</v>
      </c>
      <c r="E4425" s="1">
        <v>102697</v>
      </c>
      <c r="F4425" s="6" t="s">
        <v>6427</v>
      </c>
      <c r="G4425" s="15" t="str">
        <f>VLOOKUP(A4425,Movie!A:D,4,FALSE)</f>
        <v>Sony</v>
      </c>
      <c r="H4425" s="14">
        <f>VLOOKUP(E4425,'Rental Transaction'!A:B,2,FALSE)</f>
        <v>192738</v>
      </c>
      <c r="I4425">
        <f t="shared" si="69"/>
        <v>2013</v>
      </c>
    </row>
    <row r="4426" spans="1:9">
      <c r="A4426" s="1">
        <v>10082</v>
      </c>
      <c r="B4426" s="1">
        <v>4</v>
      </c>
      <c r="C4426" s="2">
        <v>41609</v>
      </c>
      <c r="D4426" s="1" t="s">
        <v>2002</v>
      </c>
      <c r="E4426" s="1">
        <v>102698</v>
      </c>
      <c r="F4426" s="6" t="s">
        <v>6428</v>
      </c>
      <c r="G4426" s="15" t="str">
        <f>VLOOKUP(A4426,Movie!A:D,4,FALSE)</f>
        <v>Buena Vista</v>
      </c>
      <c r="H4426" s="14">
        <f>VLOOKUP(E4426,'Rental Transaction'!A:B,2,FALSE)</f>
        <v>888952</v>
      </c>
      <c r="I4426">
        <f t="shared" si="69"/>
        <v>2013</v>
      </c>
    </row>
    <row r="4427" spans="1:9">
      <c r="A4427" s="1">
        <v>10275</v>
      </c>
      <c r="B4427" s="1">
        <v>8</v>
      </c>
      <c r="C4427" s="2">
        <v>41609</v>
      </c>
      <c r="D4427" s="1" t="s">
        <v>2002</v>
      </c>
      <c r="E4427" s="1">
        <v>102699</v>
      </c>
      <c r="F4427" s="6" t="s">
        <v>6429</v>
      </c>
      <c r="G4427" s="15" t="str">
        <f>VLOOKUP(A4427,Movie!A:D,4,FALSE)</f>
        <v>Lionsgate</v>
      </c>
      <c r="H4427" s="14">
        <f>VLOOKUP(E4427,'Rental Transaction'!A:B,2,FALSE)</f>
        <v>371731</v>
      </c>
      <c r="I4427">
        <f t="shared" si="69"/>
        <v>2013</v>
      </c>
    </row>
    <row r="4428" spans="1:9">
      <c r="A4428" s="1">
        <v>10289</v>
      </c>
      <c r="B4428" s="1">
        <v>4</v>
      </c>
      <c r="C4428" s="2">
        <v>41609</v>
      </c>
      <c r="D4428" s="1" t="s">
        <v>2002</v>
      </c>
      <c r="E4428" s="1">
        <v>102699</v>
      </c>
      <c r="F4428" s="6" t="s">
        <v>6430</v>
      </c>
      <c r="G4428" s="15" t="str">
        <f>VLOOKUP(A4428,Movie!A:D,4,FALSE)</f>
        <v>Open Road Films</v>
      </c>
      <c r="H4428" s="14">
        <f>VLOOKUP(E4428,'Rental Transaction'!A:B,2,FALSE)</f>
        <v>371731</v>
      </c>
      <c r="I4428">
        <f t="shared" si="69"/>
        <v>2013</v>
      </c>
    </row>
    <row r="4429" spans="1:9">
      <c r="A4429" s="1">
        <v>10186</v>
      </c>
      <c r="B4429" s="1">
        <v>10</v>
      </c>
      <c r="C4429" s="2">
        <v>41609</v>
      </c>
      <c r="D4429" s="1" t="s">
        <v>2002</v>
      </c>
      <c r="E4429" s="1">
        <v>102700</v>
      </c>
      <c r="F4429" s="6" t="s">
        <v>6431</v>
      </c>
      <c r="G4429" s="15" t="str">
        <f>VLOOKUP(A4429,Movie!A:D,4,FALSE)</f>
        <v>Lionsgate</v>
      </c>
      <c r="H4429" s="14">
        <f>VLOOKUP(E4429,'Rental Transaction'!A:B,2,FALSE)</f>
        <v>701816</v>
      </c>
      <c r="I4429">
        <f t="shared" si="69"/>
        <v>2013</v>
      </c>
    </row>
    <row r="4430" spans="1:9">
      <c r="A4430" s="1">
        <v>10263</v>
      </c>
      <c r="B4430" s="1">
        <v>6</v>
      </c>
      <c r="C4430" s="2">
        <v>41611</v>
      </c>
      <c r="D4430" s="1" t="s">
        <v>2002</v>
      </c>
      <c r="E4430" s="1">
        <v>102701</v>
      </c>
      <c r="F4430" s="6" t="s">
        <v>6432</v>
      </c>
      <c r="G4430" s="15" t="str">
        <f>VLOOKUP(A4430,Movie!A:D,4,FALSE)</f>
        <v>Fox</v>
      </c>
      <c r="H4430" s="14">
        <f>VLOOKUP(E4430,'Rental Transaction'!A:B,2,FALSE)</f>
        <v>996970</v>
      </c>
      <c r="I4430">
        <f t="shared" si="69"/>
        <v>2013</v>
      </c>
    </row>
    <row r="4431" spans="1:9">
      <c r="A4431" s="1">
        <v>10269</v>
      </c>
      <c r="B4431" s="1">
        <v>10</v>
      </c>
      <c r="C4431" s="2">
        <v>41609</v>
      </c>
      <c r="D4431" s="1" t="s">
        <v>2002</v>
      </c>
      <c r="E4431" s="1">
        <v>102701</v>
      </c>
      <c r="F4431" s="6" t="s">
        <v>6433</v>
      </c>
      <c r="G4431" s="15" t="str">
        <f>VLOOKUP(A4431,Movie!A:D,4,FALSE)</f>
        <v>Buena Vista</v>
      </c>
      <c r="H4431" s="14">
        <f>VLOOKUP(E4431,'Rental Transaction'!A:B,2,FALSE)</f>
        <v>996970</v>
      </c>
      <c r="I4431">
        <f t="shared" si="69"/>
        <v>2013</v>
      </c>
    </row>
    <row r="4432" spans="1:9">
      <c r="A4432" s="1">
        <v>10197</v>
      </c>
      <c r="B4432" s="1">
        <v>4</v>
      </c>
      <c r="C4432" s="2">
        <v>41610</v>
      </c>
      <c r="D4432" s="1" t="s">
        <v>2002</v>
      </c>
      <c r="E4432" s="1">
        <v>102703</v>
      </c>
      <c r="F4432" s="6" t="s">
        <v>6434</v>
      </c>
      <c r="G4432" s="15" t="str">
        <f>VLOOKUP(A4432,Movie!A:D,4,FALSE)</f>
        <v>Warner Brothers</v>
      </c>
      <c r="H4432" s="14">
        <f>VLOOKUP(E4432,'Rental Transaction'!A:B,2,FALSE)</f>
        <v>128131</v>
      </c>
      <c r="I4432">
        <f t="shared" si="69"/>
        <v>2013</v>
      </c>
    </row>
    <row r="4433" spans="1:9">
      <c r="A4433" s="1">
        <v>10141</v>
      </c>
      <c r="B4433" s="1">
        <v>7</v>
      </c>
      <c r="C4433" s="2">
        <v>41609</v>
      </c>
      <c r="D4433" s="1" t="s">
        <v>2002</v>
      </c>
      <c r="E4433" s="1">
        <v>102706</v>
      </c>
      <c r="F4433" s="6" t="s">
        <v>6435</v>
      </c>
      <c r="G4433" s="15" t="str">
        <f>VLOOKUP(A4433,Movie!A:D,4,FALSE)</f>
        <v>Warner Brothers</v>
      </c>
      <c r="H4433" s="14">
        <f>VLOOKUP(E4433,'Rental Transaction'!A:B,2,FALSE)</f>
        <v>245577</v>
      </c>
      <c r="I4433">
        <f t="shared" si="69"/>
        <v>2013</v>
      </c>
    </row>
    <row r="4434" spans="1:9">
      <c r="A4434" s="1">
        <v>10253</v>
      </c>
      <c r="B4434" s="1">
        <v>3</v>
      </c>
      <c r="C4434" s="2">
        <v>41610</v>
      </c>
      <c r="D4434" s="1" t="s">
        <v>2005</v>
      </c>
      <c r="E4434" s="1">
        <v>102709</v>
      </c>
      <c r="F4434" s="6" t="s">
        <v>6436</v>
      </c>
      <c r="G4434" s="15" t="str">
        <f>VLOOKUP(A4434,Movie!A:D,4,FALSE)</f>
        <v>Buena Vista</v>
      </c>
      <c r="H4434" s="14">
        <f>VLOOKUP(E4434,'Rental Transaction'!A:B,2,FALSE)</f>
        <v>175940</v>
      </c>
      <c r="I4434">
        <f t="shared" si="69"/>
        <v>2013</v>
      </c>
    </row>
    <row r="4435" spans="1:9">
      <c r="A4435" s="1">
        <v>10268</v>
      </c>
      <c r="B4435" s="1">
        <v>8</v>
      </c>
      <c r="C4435" s="2">
        <v>41610</v>
      </c>
      <c r="D4435" s="1" t="s">
        <v>2002</v>
      </c>
      <c r="E4435" s="1">
        <v>102709</v>
      </c>
      <c r="F4435" s="6" t="s">
        <v>6437</v>
      </c>
      <c r="G4435" s="15" t="str">
        <f>VLOOKUP(A4435,Movie!A:D,4,FALSE)</f>
        <v>Buena Vista</v>
      </c>
      <c r="H4435" s="14">
        <f>VLOOKUP(E4435,'Rental Transaction'!A:B,2,FALSE)</f>
        <v>175940</v>
      </c>
      <c r="I4435">
        <f t="shared" si="69"/>
        <v>2013</v>
      </c>
    </row>
    <row r="4436" spans="1:9">
      <c r="A4436" s="1">
        <v>10275</v>
      </c>
      <c r="B4436" s="1">
        <v>5</v>
      </c>
      <c r="C4436" s="2">
        <v>41611</v>
      </c>
      <c r="D4436" s="1" t="s">
        <v>2002</v>
      </c>
      <c r="E4436" s="1">
        <v>102709</v>
      </c>
      <c r="F4436" s="6" t="s">
        <v>6438</v>
      </c>
      <c r="G4436" s="15" t="str">
        <f>VLOOKUP(A4436,Movie!A:D,4,FALSE)</f>
        <v>Lionsgate</v>
      </c>
      <c r="H4436" s="14">
        <f>VLOOKUP(E4436,'Rental Transaction'!A:B,2,FALSE)</f>
        <v>175940</v>
      </c>
      <c r="I4436">
        <f t="shared" si="69"/>
        <v>2013</v>
      </c>
    </row>
    <row r="4437" spans="1:9" ht="29.25">
      <c r="A4437" s="1">
        <v>10249</v>
      </c>
      <c r="B4437" s="1">
        <v>5</v>
      </c>
      <c r="C4437" s="2">
        <v>41610</v>
      </c>
      <c r="D4437" s="1" t="s">
        <v>2002</v>
      </c>
      <c r="E4437" s="1">
        <v>102710</v>
      </c>
      <c r="F4437" s="6" t="s">
        <v>6439</v>
      </c>
      <c r="G4437" s="15" t="str">
        <f>VLOOKUP(A4437,Movie!A:D,4,FALSE)</f>
        <v>Summit Entertainment</v>
      </c>
      <c r="H4437" s="14">
        <f>VLOOKUP(E4437,'Rental Transaction'!A:B,2,FALSE)</f>
        <v>238347</v>
      </c>
      <c r="I4437">
        <f t="shared" si="69"/>
        <v>2013</v>
      </c>
    </row>
    <row r="4438" spans="1:9">
      <c r="A4438" s="1">
        <v>10248</v>
      </c>
      <c r="B4438" s="1">
        <v>4</v>
      </c>
      <c r="C4438" s="2">
        <v>41611</v>
      </c>
      <c r="D4438" s="1" t="s">
        <v>2002</v>
      </c>
      <c r="E4438" s="1">
        <v>102710</v>
      </c>
      <c r="F4438" s="6" t="s">
        <v>6440</v>
      </c>
      <c r="G4438" s="15" t="str">
        <f>VLOOKUP(A4438,Movie!A:D,4,FALSE)</f>
        <v>Relativity</v>
      </c>
      <c r="H4438" s="14">
        <f>VLOOKUP(E4438,'Rental Transaction'!A:B,2,FALSE)</f>
        <v>238347</v>
      </c>
      <c r="I4438">
        <f t="shared" si="69"/>
        <v>2013</v>
      </c>
    </row>
    <row r="4439" spans="1:9">
      <c r="A4439" s="1">
        <v>10242</v>
      </c>
      <c r="B4439" s="1">
        <v>1</v>
      </c>
      <c r="C4439" s="2">
        <v>41611</v>
      </c>
      <c r="D4439" s="1" t="s">
        <v>2002</v>
      </c>
      <c r="E4439" s="1">
        <v>102710</v>
      </c>
      <c r="F4439" s="6" t="s">
        <v>6441</v>
      </c>
      <c r="G4439" s="15" t="str">
        <f>VLOOKUP(A4439,Movie!A:D,4,FALSE)</f>
        <v>Buena Vista</v>
      </c>
      <c r="H4439" s="14">
        <f>VLOOKUP(E4439,'Rental Transaction'!A:B,2,FALSE)</f>
        <v>238347</v>
      </c>
      <c r="I4439">
        <f t="shared" si="69"/>
        <v>2013</v>
      </c>
    </row>
    <row r="4440" spans="1:9">
      <c r="A4440" s="1">
        <v>10197</v>
      </c>
      <c r="B4440" s="1">
        <v>3</v>
      </c>
      <c r="C4440" s="2">
        <v>41613</v>
      </c>
      <c r="D4440" s="1" t="s">
        <v>2005</v>
      </c>
      <c r="E4440" s="1">
        <v>102712</v>
      </c>
      <c r="F4440" s="6" t="s">
        <v>6442</v>
      </c>
      <c r="G4440" s="15" t="str">
        <f>VLOOKUP(A4440,Movie!A:D,4,FALSE)</f>
        <v>Warner Brothers</v>
      </c>
      <c r="H4440" s="14">
        <f>VLOOKUP(E4440,'Rental Transaction'!A:B,2,FALSE)</f>
        <v>475216</v>
      </c>
      <c r="I4440">
        <f t="shared" si="69"/>
        <v>2013</v>
      </c>
    </row>
    <row r="4441" spans="1:9" ht="29.25">
      <c r="A4441" s="1">
        <v>10136</v>
      </c>
      <c r="B4441" s="1">
        <v>8</v>
      </c>
      <c r="C4441" s="2">
        <v>41613</v>
      </c>
      <c r="D4441" s="1" t="s">
        <v>2002</v>
      </c>
      <c r="E4441" s="1">
        <v>102712</v>
      </c>
      <c r="F4441" s="6" t="s">
        <v>6443</v>
      </c>
      <c r="G4441" s="15" t="str">
        <f>VLOOKUP(A4441,Movie!A:D,4,FALSE)</f>
        <v>Weinstein Company</v>
      </c>
      <c r="H4441" s="14">
        <f>VLOOKUP(E4441,'Rental Transaction'!A:B,2,FALSE)</f>
        <v>475216</v>
      </c>
      <c r="I4441">
        <f t="shared" si="69"/>
        <v>2013</v>
      </c>
    </row>
    <row r="4442" spans="1:9">
      <c r="A4442" s="1">
        <v>10123</v>
      </c>
      <c r="B4442" s="1">
        <v>6</v>
      </c>
      <c r="C4442" s="2">
        <v>41611</v>
      </c>
      <c r="D4442" s="1" t="s">
        <v>2002</v>
      </c>
      <c r="E4442" s="1">
        <v>102716</v>
      </c>
      <c r="F4442" s="6" t="s">
        <v>6444</v>
      </c>
      <c r="G4442" s="15" t="str">
        <f>VLOOKUP(A4442,Movie!A:D,4,FALSE)</f>
        <v>Fox</v>
      </c>
      <c r="H4442" s="14">
        <f>VLOOKUP(E4442,'Rental Transaction'!A:B,2,FALSE)</f>
        <v>717234</v>
      </c>
      <c r="I4442">
        <f t="shared" si="69"/>
        <v>2013</v>
      </c>
    </row>
    <row r="4443" spans="1:9">
      <c r="A4443" s="1">
        <v>10200</v>
      </c>
      <c r="B4443" s="1">
        <v>6</v>
      </c>
      <c r="C4443" s="2">
        <v>41613</v>
      </c>
      <c r="D4443" s="1" t="s">
        <v>2005</v>
      </c>
      <c r="E4443" s="1">
        <v>102717</v>
      </c>
      <c r="F4443" s="6" t="s">
        <v>6445</v>
      </c>
      <c r="G4443" s="15" t="str">
        <f>VLOOKUP(A4443,Movie!A:D,4,FALSE)</f>
        <v>Fox</v>
      </c>
      <c r="H4443" s="14">
        <f>VLOOKUP(E4443,'Rental Transaction'!A:B,2,FALSE)</f>
        <v>784218</v>
      </c>
      <c r="I4443">
        <f t="shared" si="69"/>
        <v>2013</v>
      </c>
    </row>
    <row r="4444" spans="1:9">
      <c r="A4444" s="1">
        <v>10283</v>
      </c>
      <c r="B4444" s="1">
        <v>1</v>
      </c>
      <c r="C4444" s="2">
        <v>41612</v>
      </c>
      <c r="D4444" s="1" t="s">
        <v>2002</v>
      </c>
      <c r="E4444" s="1">
        <v>102718</v>
      </c>
      <c r="F4444" s="6" t="s">
        <v>6446</v>
      </c>
      <c r="G4444" s="15" t="str">
        <f>VLOOKUP(A4444,Movie!A:D,4,FALSE)</f>
        <v>TriStar</v>
      </c>
      <c r="H4444" s="14">
        <f>VLOOKUP(E4444,'Rental Transaction'!A:B,2,FALSE)</f>
        <v>417823</v>
      </c>
      <c r="I4444">
        <f t="shared" si="69"/>
        <v>2013</v>
      </c>
    </row>
    <row r="4445" spans="1:9">
      <c r="A4445" s="1">
        <v>10289</v>
      </c>
      <c r="B4445" s="1">
        <v>4</v>
      </c>
      <c r="C4445" s="2">
        <v>41612</v>
      </c>
      <c r="D4445" s="1" t="s">
        <v>2002</v>
      </c>
      <c r="E4445" s="1">
        <v>102719</v>
      </c>
      <c r="F4445" s="6" t="s">
        <v>6447</v>
      </c>
      <c r="G4445" s="15" t="str">
        <f>VLOOKUP(A4445,Movie!A:D,4,FALSE)</f>
        <v>Open Road Films</v>
      </c>
      <c r="H4445" s="14">
        <f>VLOOKUP(E4445,'Rental Transaction'!A:B,2,FALSE)</f>
        <v>157388</v>
      </c>
      <c r="I4445">
        <f t="shared" si="69"/>
        <v>2013</v>
      </c>
    </row>
    <row r="4446" spans="1:9">
      <c r="A4446" s="1">
        <v>10278</v>
      </c>
      <c r="B4446" s="1">
        <v>4</v>
      </c>
      <c r="C4446" s="2">
        <v>41611</v>
      </c>
      <c r="D4446" s="1" t="s">
        <v>2002</v>
      </c>
      <c r="E4446" s="1">
        <v>102721</v>
      </c>
      <c r="F4446" s="6" t="s">
        <v>6448</v>
      </c>
      <c r="G4446" s="15" t="str">
        <f>VLOOKUP(A4446,Movie!A:D,4,FALSE)</f>
        <v>Universal</v>
      </c>
      <c r="H4446" s="14">
        <f>VLOOKUP(E4446,'Rental Transaction'!A:B,2,FALSE)</f>
        <v>672834</v>
      </c>
      <c r="I4446">
        <f t="shared" si="69"/>
        <v>2013</v>
      </c>
    </row>
    <row r="4447" spans="1:9">
      <c r="A4447" s="1">
        <v>10222</v>
      </c>
      <c r="B4447" s="1">
        <v>7</v>
      </c>
      <c r="C4447" s="2">
        <v>41612</v>
      </c>
      <c r="D4447" s="1" t="s">
        <v>2002</v>
      </c>
      <c r="E4447" s="1">
        <v>102721</v>
      </c>
      <c r="F4447" s="6" t="s">
        <v>6449</v>
      </c>
      <c r="G4447" s="15" t="str">
        <f>VLOOKUP(A4447,Movie!A:D,4,FALSE)</f>
        <v>Sony</v>
      </c>
      <c r="H4447" s="14">
        <f>VLOOKUP(E4447,'Rental Transaction'!A:B,2,FALSE)</f>
        <v>672834</v>
      </c>
      <c r="I4447">
        <f t="shared" si="69"/>
        <v>2013</v>
      </c>
    </row>
    <row r="4448" spans="1:9">
      <c r="A4448" s="1">
        <v>10137</v>
      </c>
      <c r="B4448" s="1">
        <v>10</v>
      </c>
      <c r="C4448" s="2">
        <v>41614</v>
      </c>
      <c r="D4448" s="1" t="s">
        <v>2002</v>
      </c>
      <c r="E4448" s="1">
        <v>102725</v>
      </c>
      <c r="F4448" s="6" t="s">
        <v>6450</v>
      </c>
      <c r="G4448" s="15" t="str">
        <f>VLOOKUP(A4448,Movie!A:D,4,FALSE)</f>
        <v>Buena Vista</v>
      </c>
      <c r="H4448" s="14">
        <f>VLOOKUP(E4448,'Rental Transaction'!A:B,2,FALSE)</f>
        <v>889686</v>
      </c>
      <c r="I4448">
        <f t="shared" si="69"/>
        <v>2013</v>
      </c>
    </row>
    <row r="4449" spans="1:9">
      <c r="A4449" s="1">
        <v>10237</v>
      </c>
      <c r="B4449" s="1">
        <v>4</v>
      </c>
      <c r="C4449" s="2">
        <v>41614</v>
      </c>
      <c r="D4449" s="1" t="s">
        <v>2002</v>
      </c>
      <c r="E4449" s="1">
        <v>102726</v>
      </c>
      <c r="F4449" s="6" t="s">
        <v>6451</v>
      </c>
      <c r="G4449" s="15" t="str">
        <f>VLOOKUP(A4449,Movie!A:D,4,FALSE)</f>
        <v>Warner Brothers</v>
      </c>
      <c r="H4449" s="14">
        <f>VLOOKUP(E4449,'Rental Transaction'!A:B,2,FALSE)</f>
        <v>994056</v>
      </c>
      <c r="I4449">
        <f t="shared" si="69"/>
        <v>2013</v>
      </c>
    </row>
    <row r="4450" spans="1:9">
      <c r="A4450" s="1">
        <v>10267</v>
      </c>
      <c r="B4450" s="1">
        <v>9</v>
      </c>
      <c r="C4450" s="2">
        <v>41614</v>
      </c>
      <c r="D4450" s="1" t="s">
        <v>2002</v>
      </c>
      <c r="E4450" s="1">
        <v>102729</v>
      </c>
      <c r="F4450" s="6" t="s">
        <v>6452</v>
      </c>
      <c r="G4450" s="15" t="str">
        <f>VLOOKUP(A4450,Movie!A:D,4,FALSE)</f>
        <v>TriStar</v>
      </c>
      <c r="H4450" s="14">
        <f>VLOOKUP(E4450,'Rental Transaction'!A:B,2,FALSE)</f>
        <v>665282</v>
      </c>
      <c r="I4450">
        <f t="shared" si="69"/>
        <v>2013</v>
      </c>
    </row>
    <row r="4451" spans="1:9">
      <c r="A4451" s="1">
        <v>10137</v>
      </c>
      <c r="B4451" s="1">
        <v>6</v>
      </c>
      <c r="C4451" s="2">
        <v>41613</v>
      </c>
      <c r="D4451" s="1" t="s">
        <v>2002</v>
      </c>
      <c r="E4451" s="1">
        <v>102731</v>
      </c>
      <c r="F4451" s="6" t="s">
        <v>6453</v>
      </c>
      <c r="G4451" s="15" t="str">
        <f>VLOOKUP(A4451,Movie!A:D,4,FALSE)</f>
        <v>Buena Vista</v>
      </c>
      <c r="H4451" s="14">
        <f>VLOOKUP(E4451,'Rental Transaction'!A:B,2,FALSE)</f>
        <v>850933</v>
      </c>
      <c r="I4451">
        <f t="shared" si="69"/>
        <v>2013</v>
      </c>
    </row>
    <row r="4452" spans="1:9">
      <c r="A4452" s="1">
        <v>10169</v>
      </c>
      <c r="B4452" s="1">
        <v>6</v>
      </c>
      <c r="C4452" s="2">
        <v>41618</v>
      </c>
      <c r="D4452" s="1" t="s">
        <v>2002</v>
      </c>
      <c r="E4452" s="1">
        <v>102732</v>
      </c>
      <c r="F4452" s="6" t="s">
        <v>6454</v>
      </c>
      <c r="G4452" s="15" t="str">
        <f>VLOOKUP(A4452,Movie!A:D,4,FALSE)</f>
        <v>Warner Brothers</v>
      </c>
      <c r="H4452" s="14">
        <f>VLOOKUP(E4452,'Rental Transaction'!A:B,2,FALSE)</f>
        <v>730305</v>
      </c>
      <c r="I4452">
        <f t="shared" si="69"/>
        <v>2013</v>
      </c>
    </row>
    <row r="4453" spans="1:9">
      <c r="A4453" s="1">
        <v>10021</v>
      </c>
      <c r="B4453" s="1">
        <v>3</v>
      </c>
      <c r="C4453" s="2">
        <v>41613</v>
      </c>
      <c r="D4453" s="1" t="s">
        <v>2002</v>
      </c>
      <c r="E4453" s="1">
        <v>102732</v>
      </c>
      <c r="F4453" s="6" t="s">
        <v>6455</v>
      </c>
      <c r="G4453" s="15" t="str">
        <f>VLOOKUP(A4453,Movie!A:D,4,FALSE)</f>
        <v>Paramount</v>
      </c>
      <c r="H4453" s="14">
        <f>VLOOKUP(E4453,'Rental Transaction'!A:B,2,FALSE)</f>
        <v>730305</v>
      </c>
      <c r="I4453">
        <f t="shared" si="69"/>
        <v>2013</v>
      </c>
    </row>
    <row r="4454" spans="1:9">
      <c r="A4454" s="1">
        <v>10247</v>
      </c>
      <c r="B4454" s="1">
        <v>3</v>
      </c>
      <c r="C4454" s="2">
        <v>41615</v>
      </c>
      <c r="D4454" s="1" t="s">
        <v>2002</v>
      </c>
      <c r="E4454" s="1">
        <v>102732</v>
      </c>
      <c r="F4454" s="6" t="s">
        <v>6456</v>
      </c>
      <c r="G4454" s="15" t="str">
        <f>VLOOKUP(A4454,Movie!A:D,4,FALSE)</f>
        <v>Fox</v>
      </c>
      <c r="H4454" s="14">
        <f>VLOOKUP(E4454,'Rental Transaction'!A:B,2,FALSE)</f>
        <v>730305</v>
      </c>
      <c r="I4454">
        <f t="shared" si="69"/>
        <v>2013</v>
      </c>
    </row>
    <row r="4455" spans="1:9">
      <c r="A4455" s="1">
        <v>10265</v>
      </c>
      <c r="B4455" s="1">
        <v>4</v>
      </c>
      <c r="C4455" s="2">
        <v>41614</v>
      </c>
      <c r="D4455" s="1" t="s">
        <v>2002</v>
      </c>
      <c r="E4455" s="1">
        <v>102733</v>
      </c>
      <c r="F4455" s="6" t="s">
        <v>6457</v>
      </c>
      <c r="G4455" s="15" t="str">
        <f>VLOOKUP(A4455,Movie!A:D,4,FALSE)</f>
        <v>Warner Brothers</v>
      </c>
      <c r="H4455" s="14">
        <f>VLOOKUP(E4455,'Rental Transaction'!A:B,2,FALSE)</f>
        <v>860057</v>
      </c>
      <c r="I4455">
        <f t="shared" si="69"/>
        <v>2013</v>
      </c>
    </row>
    <row r="4456" spans="1:9">
      <c r="A4456" s="1">
        <v>10072</v>
      </c>
      <c r="B4456" s="1">
        <v>2</v>
      </c>
      <c r="C4456" s="2">
        <v>41616</v>
      </c>
      <c r="D4456" s="1" t="s">
        <v>2002</v>
      </c>
      <c r="E4456" s="1">
        <v>102734</v>
      </c>
      <c r="F4456" s="6" t="s">
        <v>6458</v>
      </c>
      <c r="G4456" s="15" t="str">
        <f>VLOOKUP(A4456,Movie!A:D,4,FALSE)</f>
        <v>Paramount</v>
      </c>
      <c r="H4456" s="14">
        <f>VLOOKUP(E4456,'Rental Transaction'!A:B,2,FALSE)</f>
        <v>744780</v>
      </c>
      <c r="I4456">
        <f t="shared" si="69"/>
        <v>2013</v>
      </c>
    </row>
    <row r="4457" spans="1:9">
      <c r="A4457" s="1">
        <v>10188</v>
      </c>
      <c r="B4457" s="1">
        <v>9</v>
      </c>
      <c r="C4457" s="2">
        <v>41613</v>
      </c>
      <c r="D4457" s="1" t="s">
        <v>2002</v>
      </c>
      <c r="E4457" s="1">
        <v>102737</v>
      </c>
      <c r="F4457" s="6" t="s">
        <v>6459</v>
      </c>
      <c r="G4457" s="15" t="str">
        <f>VLOOKUP(A4457,Movie!A:D,4,FALSE)</f>
        <v>Paramount</v>
      </c>
      <c r="H4457" s="14">
        <f>VLOOKUP(E4457,'Rental Transaction'!A:B,2,FALSE)</f>
        <v>305005</v>
      </c>
      <c r="I4457">
        <f t="shared" si="69"/>
        <v>2013</v>
      </c>
    </row>
    <row r="4458" spans="1:9">
      <c r="A4458" s="1">
        <v>10293</v>
      </c>
      <c r="B4458" s="1">
        <v>6</v>
      </c>
      <c r="C4458" s="2">
        <v>41614</v>
      </c>
      <c r="D4458" s="1" t="s">
        <v>2002</v>
      </c>
      <c r="E4458" s="1">
        <v>102738</v>
      </c>
      <c r="F4458" s="6" t="s">
        <v>6460</v>
      </c>
      <c r="G4458" s="15" t="str">
        <f>VLOOKUP(A4458,Movie!A:D,4,FALSE)</f>
        <v>Relativity</v>
      </c>
      <c r="H4458" s="14">
        <f>VLOOKUP(E4458,'Rental Transaction'!A:B,2,FALSE)</f>
        <v>412544</v>
      </c>
      <c r="I4458">
        <f t="shared" si="69"/>
        <v>2013</v>
      </c>
    </row>
    <row r="4459" spans="1:9">
      <c r="A4459" s="1">
        <v>10241</v>
      </c>
      <c r="B4459" s="1">
        <v>5</v>
      </c>
      <c r="C4459" s="2">
        <v>41614</v>
      </c>
      <c r="D4459" s="1" t="s">
        <v>2002</v>
      </c>
      <c r="E4459" s="1">
        <v>102738</v>
      </c>
      <c r="F4459" s="6" t="s">
        <v>6461</v>
      </c>
      <c r="G4459" s="15" t="str">
        <f>VLOOKUP(A4459,Movie!A:D,4,FALSE)</f>
        <v>Warner Brothers</v>
      </c>
      <c r="H4459" s="14">
        <f>VLOOKUP(E4459,'Rental Transaction'!A:B,2,FALSE)</f>
        <v>412544</v>
      </c>
      <c r="I4459">
        <f t="shared" si="69"/>
        <v>2013</v>
      </c>
    </row>
    <row r="4460" spans="1:9">
      <c r="A4460" s="1">
        <v>10120</v>
      </c>
      <c r="B4460" s="1">
        <v>6</v>
      </c>
      <c r="C4460" s="2">
        <v>41614</v>
      </c>
      <c r="D4460" s="1" t="s">
        <v>2002</v>
      </c>
      <c r="E4460" s="1">
        <v>102739</v>
      </c>
      <c r="F4460" s="6" t="s">
        <v>6462</v>
      </c>
      <c r="G4460" s="15" t="str">
        <f>VLOOKUP(A4460,Movie!A:D,4,FALSE)</f>
        <v>Focus</v>
      </c>
      <c r="H4460" s="14">
        <f>VLOOKUP(E4460,'Rental Transaction'!A:B,2,FALSE)</f>
        <v>236554</v>
      </c>
      <c r="I4460">
        <f t="shared" si="69"/>
        <v>2013</v>
      </c>
    </row>
    <row r="4461" spans="1:9">
      <c r="A4461" s="1">
        <v>10188</v>
      </c>
      <c r="B4461" s="1">
        <v>2</v>
      </c>
      <c r="C4461" s="2">
        <v>41615</v>
      </c>
      <c r="D4461" s="1" t="s">
        <v>2002</v>
      </c>
      <c r="E4461" s="1">
        <v>102740</v>
      </c>
      <c r="F4461" s="6" t="s">
        <v>6463</v>
      </c>
      <c r="G4461" s="15" t="str">
        <f>VLOOKUP(A4461,Movie!A:D,4,FALSE)</f>
        <v>Paramount</v>
      </c>
      <c r="H4461" s="14">
        <f>VLOOKUP(E4461,'Rental Transaction'!A:B,2,FALSE)</f>
        <v>717234</v>
      </c>
      <c r="I4461">
        <f t="shared" si="69"/>
        <v>2013</v>
      </c>
    </row>
    <row r="4462" spans="1:9">
      <c r="A4462" s="1">
        <v>10103</v>
      </c>
      <c r="B4462" s="1">
        <v>3</v>
      </c>
      <c r="C4462" s="2">
        <v>41617</v>
      </c>
      <c r="D4462" s="1" t="s">
        <v>2002</v>
      </c>
      <c r="E4462" s="1">
        <v>102741</v>
      </c>
      <c r="F4462" s="6" t="s">
        <v>6464</v>
      </c>
      <c r="G4462" s="15" t="str">
        <f>VLOOKUP(A4462,Movie!A:D,4,FALSE)</f>
        <v>Fox</v>
      </c>
      <c r="H4462" s="14">
        <f>VLOOKUP(E4462,'Rental Transaction'!A:B,2,FALSE)</f>
        <v>317461</v>
      </c>
      <c r="I4462">
        <f t="shared" si="69"/>
        <v>2013</v>
      </c>
    </row>
    <row r="4463" spans="1:9" ht="29.25">
      <c r="A4463" s="1">
        <v>10164</v>
      </c>
      <c r="B4463" s="1">
        <v>8</v>
      </c>
      <c r="C4463" s="2">
        <v>41615</v>
      </c>
      <c r="D4463" s="1" t="s">
        <v>2002</v>
      </c>
      <c r="E4463" s="1">
        <v>102742</v>
      </c>
      <c r="F4463" s="6" t="s">
        <v>6465</v>
      </c>
      <c r="G4463" s="15" t="str">
        <f>VLOOKUP(A4463,Movie!A:D,4,FALSE)</f>
        <v>Weinstein Company</v>
      </c>
      <c r="H4463" s="14">
        <f>VLOOKUP(E4463,'Rental Transaction'!A:B,2,FALSE)</f>
        <v>158528</v>
      </c>
      <c r="I4463">
        <f t="shared" si="69"/>
        <v>2013</v>
      </c>
    </row>
    <row r="4464" spans="1:9">
      <c r="A4464" s="1">
        <v>10248</v>
      </c>
      <c r="B4464" s="1">
        <v>9</v>
      </c>
      <c r="C4464" s="2">
        <v>41615</v>
      </c>
      <c r="D4464" s="1" t="s">
        <v>2002</v>
      </c>
      <c r="E4464" s="1">
        <v>102743</v>
      </c>
      <c r="F4464" s="6" t="s">
        <v>6466</v>
      </c>
      <c r="G4464" s="15" t="str">
        <f>VLOOKUP(A4464,Movie!A:D,4,FALSE)</f>
        <v>Relativity</v>
      </c>
      <c r="H4464" s="14">
        <f>VLOOKUP(E4464,'Rental Transaction'!A:B,2,FALSE)</f>
        <v>207846</v>
      </c>
      <c r="I4464">
        <f t="shared" si="69"/>
        <v>2013</v>
      </c>
    </row>
    <row r="4465" spans="1:9" ht="29.25">
      <c r="A4465" s="1">
        <v>10239</v>
      </c>
      <c r="B4465" s="1">
        <v>1</v>
      </c>
      <c r="C4465" s="2">
        <v>41614</v>
      </c>
      <c r="D4465" s="1" t="s">
        <v>2002</v>
      </c>
      <c r="E4465" s="1">
        <v>102743</v>
      </c>
      <c r="F4465" s="6" t="s">
        <v>6467</v>
      </c>
      <c r="G4465" s="15" t="str">
        <f>VLOOKUP(A4465,Movie!A:D,4,FALSE)</f>
        <v>Weinstein Company</v>
      </c>
      <c r="H4465" s="14">
        <f>VLOOKUP(E4465,'Rental Transaction'!A:B,2,FALSE)</f>
        <v>207846</v>
      </c>
      <c r="I4465">
        <f t="shared" si="69"/>
        <v>2013</v>
      </c>
    </row>
    <row r="4466" spans="1:9">
      <c r="A4466" s="1">
        <v>10066</v>
      </c>
      <c r="B4466" s="1">
        <v>1</v>
      </c>
      <c r="C4466" s="2">
        <v>41615</v>
      </c>
      <c r="D4466" s="1" t="s">
        <v>2002</v>
      </c>
      <c r="E4466" s="1">
        <v>102744</v>
      </c>
      <c r="F4466" s="6" t="s">
        <v>6468</v>
      </c>
      <c r="G4466" s="15" t="str">
        <f>VLOOKUP(A4466,Movie!A:D,4,FALSE)</f>
        <v>Buena Vista</v>
      </c>
      <c r="H4466" s="14">
        <f>VLOOKUP(E4466,'Rental Transaction'!A:B,2,FALSE)</f>
        <v>306853</v>
      </c>
      <c r="I4466">
        <f t="shared" si="69"/>
        <v>2013</v>
      </c>
    </row>
    <row r="4467" spans="1:9">
      <c r="A4467" s="1">
        <v>10151</v>
      </c>
      <c r="B4467" s="1">
        <v>10</v>
      </c>
      <c r="C4467" s="2">
        <v>41615</v>
      </c>
      <c r="D4467" s="1" t="s">
        <v>2002</v>
      </c>
      <c r="E4467" s="1">
        <v>102745</v>
      </c>
      <c r="F4467" s="6" t="s">
        <v>6469</v>
      </c>
      <c r="G4467" s="15" t="str">
        <f>VLOOKUP(A4467,Movie!A:D,4,FALSE)</f>
        <v>Screen Gems</v>
      </c>
      <c r="H4467" s="14">
        <f>VLOOKUP(E4467,'Rental Transaction'!A:B,2,FALSE)</f>
        <v>149240</v>
      </c>
      <c r="I4467">
        <f t="shared" si="69"/>
        <v>2013</v>
      </c>
    </row>
    <row r="4468" spans="1:9">
      <c r="A4468" s="1">
        <v>10289</v>
      </c>
      <c r="B4468" s="1">
        <v>3</v>
      </c>
      <c r="C4468" s="2">
        <v>41618</v>
      </c>
      <c r="D4468" s="1" t="s">
        <v>2002</v>
      </c>
      <c r="E4468" s="1">
        <v>102746</v>
      </c>
      <c r="F4468" s="6" t="s">
        <v>6470</v>
      </c>
      <c r="G4468" s="15" t="str">
        <f>VLOOKUP(A4468,Movie!A:D,4,FALSE)</f>
        <v>Open Road Films</v>
      </c>
      <c r="H4468" s="14">
        <f>VLOOKUP(E4468,'Rental Transaction'!A:B,2,FALSE)</f>
        <v>756928</v>
      </c>
      <c r="I4468">
        <f t="shared" si="69"/>
        <v>2013</v>
      </c>
    </row>
    <row r="4469" spans="1:9">
      <c r="A4469" s="1">
        <v>10099</v>
      </c>
      <c r="B4469" s="1">
        <v>2</v>
      </c>
      <c r="C4469" s="2">
        <v>41615</v>
      </c>
      <c r="D4469" s="1" t="s">
        <v>2002</v>
      </c>
      <c r="E4469" s="1">
        <v>102746</v>
      </c>
      <c r="F4469" s="6" t="s">
        <v>6471</v>
      </c>
      <c r="G4469" s="15" t="str">
        <f>VLOOKUP(A4469,Movie!A:D,4,FALSE)</f>
        <v>Lionsgate</v>
      </c>
      <c r="H4469" s="14">
        <f>VLOOKUP(E4469,'Rental Transaction'!A:B,2,FALSE)</f>
        <v>756928</v>
      </c>
      <c r="I4469">
        <f t="shared" si="69"/>
        <v>2013</v>
      </c>
    </row>
    <row r="4470" spans="1:9">
      <c r="A4470" s="1">
        <v>10184</v>
      </c>
      <c r="B4470" s="1">
        <v>4</v>
      </c>
      <c r="C4470" s="2">
        <v>41616</v>
      </c>
      <c r="D4470" s="1" t="s">
        <v>2002</v>
      </c>
      <c r="E4470" s="1">
        <v>102748</v>
      </c>
      <c r="F4470" s="6" t="s">
        <v>6472</v>
      </c>
      <c r="G4470" s="15" t="str">
        <f>VLOOKUP(A4470,Movie!A:D,4,FALSE)</f>
        <v>Universal</v>
      </c>
      <c r="H4470" s="14">
        <f>VLOOKUP(E4470,'Rental Transaction'!A:B,2,FALSE)</f>
        <v>412235</v>
      </c>
      <c r="I4470">
        <f t="shared" si="69"/>
        <v>2013</v>
      </c>
    </row>
    <row r="4471" spans="1:9">
      <c r="A4471" s="1">
        <v>10052</v>
      </c>
      <c r="B4471" s="1">
        <v>1</v>
      </c>
      <c r="C4471" s="2">
        <v>41617</v>
      </c>
      <c r="D4471" s="1" t="s">
        <v>2002</v>
      </c>
      <c r="E4471" s="1">
        <v>102749</v>
      </c>
      <c r="F4471" s="6" t="s">
        <v>6473</v>
      </c>
      <c r="G4471" s="15" t="str">
        <f>VLOOKUP(A4471,Movie!A:D,4,FALSE)</f>
        <v>Warner Brothers</v>
      </c>
      <c r="H4471" s="14">
        <f>VLOOKUP(E4471,'Rental Transaction'!A:B,2,FALSE)</f>
        <v>193914</v>
      </c>
      <c r="I4471">
        <f t="shared" si="69"/>
        <v>2013</v>
      </c>
    </row>
    <row r="4472" spans="1:9">
      <c r="A4472" s="1">
        <v>10221</v>
      </c>
      <c r="B4472" s="1">
        <v>9</v>
      </c>
      <c r="C4472" s="2">
        <v>41616</v>
      </c>
      <c r="D4472" s="1" t="s">
        <v>2002</v>
      </c>
      <c r="E4472" s="1">
        <v>102749</v>
      </c>
      <c r="F4472" s="6" t="s">
        <v>6474</v>
      </c>
      <c r="G4472" s="15" t="str">
        <f>VLOOKUP(A4472,Movie!A:D,4,FALSE)</f>
        <v>Fox</v>
      </c>
      <c r="H4472" s="14">
        <f>VLOOKUP(E4472,'Rental Transaction'!A:B,2,FALSE)</f>
        <v>193914</v>
      </c>
      <c r="I4472">
        <f t="shared" si="69"/>
        <v>2013</v>
      </c>
    </row>
    <row r="4473" spans="1:9">
      <c r="A4473" s="1">
        <v>10238</v>
      </c>
      <c r="B4473" s="1">
        <v>7</v>
      </c>
      <c r="C4473" s="2">
        <v>41616</v>
      </c>
      <c r="D4473" s="1" t="s">
        <v>2005</v>
      </c>
      <c r="E4473" s="1">
        <v>102750</v>
      </c>
      <c r="F4473" s="6" t="s">
        <v>6475</v>
      </c>
      <c r="G4473" s="15" t="str">
        <f>VLOOKUP(A4473,Movie!A:D,4,FALSE)</f>
        <v>Warner Brothers</v>
      </c>
      <c r="H4473" s="14">
        <f>VLOOKUP(E4473,'Rental Transaction'!A:B,2,FALSE)</f>
        <v>722547</v>
      </c>
      <c r="I4473">
        <f t="shared" si="69"/>
        <v>2013</v>
      </c>
    </row>
    <row r="4474" spans="1:9">
      <c r="A4474" s="1">
        <v>10096</v>
      </c>
      <c r="B4474" s="1">
        <v>5</v>
      </c>
      <c r="C4474" s="2">
        <v>41616</v>
      </c>
      <c r="D4474" s="1" t="s">
        <v>2002</v>
      </c>
      <c r="E4474" s="1">
        <v>102752</v>
      </c>
      <c r="F4474" s="6" t="s">
        <v>6476</v>
      </c>
      <c r="G4474" s="15" t="str">
        <f>VLOOKUP(A4474,Movie!A:D,4,FALSE)</f>
        <v>Universal</v>
      </c>
      <c r="H4474" s="14">
        <f>VLOOKUP(E4474,'Rental Transaction'!A:B,2,FALSE)</f>
        <v>427391</v>
      </c>
      <c r="I4474">
        <f t="shared" si="69"/>
        <v>2013</v>
      </c>
    </row>
    <row r="4475" spans="1:9">
      <c r="A4475" s="1">
        <v>10224</v>
      </c>
      <c r="B4475" s="1">
        <v>5</v>
      </c>
      <c r="C4475" s="2">
        <v>41617</v>
      </c>
      <c r="D4475" s="1" t="s">
        <v>2005</v>
      </c>
      <c r="E4475" s="1">
        <v>102754</v>
      </c>
      <c r="F4475" s="6" t="s">
        <v>6477</v>
      </c>
      <c r="G4475" s="15" t="str">
        <f>VLOOKUP(A4475,Movie!A:D,4,FALSE)</f>
        <v>Fox Searchlight</v>
      </c>
      <c r="H4475" s="14">
        <f>VLOOKUP(E4475,'Rental Transaction'!A:B,2,FALSE)</f>
        <v>877877</v>
      </c>
      <c r="I4475">
        <f t="shared" si="69"/>
        <v>2013</v>
      </c>
    </row>
    <row r="4476" spans="1:9">
      <c r="A4476" s="1">
        <v>10284</v>
      </c>
      <c r="B4476" s="1">
        <v>5</v>
      </c>
      <c r="C4476" s="2">
        <v>41616</v>
      </c>
      <c r="D4476" s="1" t="s">
        <v>2002</v>
      </c>
      <c r="E4476" s="1">
        <v>102755</v>
      </c>
      <c r="F4476" s="6" t="s">
        <v>6478</v>
      </c>
      <c r="G4476" s="15" t="str">
        <f>VLOOKUP(A4476,Movie!A:D,4,FALSE)</f>
        <v>Focus</v>
      </c>
      <c r="H4476" s="14">
        <f>VLOOKUP(E4476,'Rental Transaction'!A:B,2,FALSE)</f>
        <v>880238</v>
      </c>
      <c r="I4476">
        <f t="shared" si="69"/>
        <v>2013</v>
      </c>
    </row>
    <row r="4477" spans="1:9">
      <c r="A4477" s="1">
        <v>10080</v>
      </c>
      <c r="B4477" s="1">
        <v>1</v>
      </c>
      <c r="C4477" s="2">
        <v>41617</v>
      </c>
      <c r="D4477" s="1" t="s">
        <v>2002</v>
      </c>
      <c r="E4477" s="1">
        <v>102757</v>
      </c>
      <c r="F4477" s="6" t="s">
        <v>6479</v>
      </c>
      <c r="G4477" s="15" t="str">
        <f>VLOOKUP(A4477,Movie!A:D,4,FALSE)</f>
        <v>Buena Vista</v>
      </c>
      <c r="H4477" s="14">
        <f>VLOOKUP(E4477,'Rental Transaction'!A:B,2,FALSE)</f>
        <v>278809</v>
      </c>
      <c r="I4477">
        <f t="shared" si="69"/>
        <v>2013</v>
      </c>
    </row>
    <row r="4478" spans="1:9">
      <c r="A4478" s="1">
        <v>10204</v>
      </c>
      <c r="B4478" s="1">
        <v>2</v>
      </c>
      <c r="C4478" s="2">
        <v>41617</v>
      </c>
      <c r="D4478" s="1" t="s">
        <v>2005</v>
      </c>
      <c r="E4478" s="1">
        <v>102760</v>
      </c>
      <c r="F4478" s="6" t="s">
        <v>6480</v>
      </c>
      <c r="G4478" s="15" t="str">
        <f>VLOOKUP(A4478,Movie!A:D,4,FALSE)</f>
        <v>Universal</v>
      </c>
      <c r="H4478" s="14">
        <f>VLOOKUP(E4478,'Rental Transaction'!A:B,2,FALSE)</f>
        <v>556619</v>
      </c>
      <c r="I4478">
        <f t="shared" si="69"/>
        <v>2013</v>
      </c>
    </row>
    <row r="4479" spans="1:9">
      <c r="A4479" s="1">
        <v>10260</v>
      </c>
      <c r="B4479" s="1">
        <v>3</v>
      </c>
      <c r="C4479" s="2">
        <v>41618</v>
      </c>
      <c r="D4479" s="1" t="s">
        <v>2002</v>
      </c>
      <c r="E4479" s="1">
        <v>102760</v>
      </c>
      <c r="F4479" s="6" t="s">
        <v>6481</v>
      </c>
      <c r="G4479" s="15" t="str">
        <f>VLOOKUP(A4479,Movie!A:D,4,FALSE)</f>
        <v>Sony</v>
      </c>
      <c r="H4479" s="14">
        <f>VLOOKUP(E4479,'Rental Transaction'!A:B,2,FALSE)</f>
        <v>556619</v>
      </c>
      <c r="I4479">
        <f t="shared" si="69"/>
        <v>2013</v>
      </c>
    </row>
    <row r="4480" spans="1:9">
      <c r="A4480" s="1">
        <v>10088</v>
      </c>
      <c r="B4480" s="1">
        <v>7</v>
      </c>
      <c r="C4480" s="2">
        <v>41618</v>
      </c>
      <c r="D4480" s="1" t="s">
        <v>2002</v>
      </c>
      <c r="E4480" s="1">
        <v>102761</v>
      </c>
      <c r="F4480" s="6" t="s">
        <v>6482</v>
      </c>
      <c r="G4480" s="15" t="str">
        <f>VLOOKUP(A4480,Movie!A:D,4,FALSE)</f>
        <v>Warner Brothers</v>
      </c>
      <c r="H4480" s="14">
        <f>VLOOKUP(E4480,'Rental Transaction'!A:B,2,FALSE)</f>
        <v>755271</v>
      </c>
      <c r="I4480">
        <f t="shared" si="69"/>
        <v>2013</v>
      </c>
    </row>
    <row r="4481" spans="1:9">
      <c r="A4481" s="1">
        <v>10099</v>
      </c>
      <c r="B4481" s="1">
        <v>5</v>
      </c>
      <c r="C4481" s="2">
        <v>41617</v>
      </c>
      <c r="D4481" s="1" t="s">
        <v>2002</v>
      </c>
      <c r="E4481" s="1">
        <v>102762</v>
      </c>
      <c r="F4481" s="6" t="s">
        <v>6483</v>
      </c>
      <c r="G4481" s="15" t="str">
        <f>VLOOKUP(A4481,Movie!A:D,4,FALSE)</f>
        <v>Lionsgate</v>
      </c>
      <c r="H4481" s="14">
        <f>VLOOKUP(E4481,'Rental Transaction'!A:B,2,FALSE)</f>
        <v>469564</v>
      </c>
      <c r="I4481">
        <f t="shared" si="69"/>
        <v>2013</v>
      </c>
    </row>
    <row r="4482" spans="1:9">
      <c r="A4482" s="1">
        <v>10271</v>
      </c>
      <c r="B4482" s="1">
        <v>10</v>
      </c>
      <c r="C4482" s="2">
        <v>41619</v>
      </c>
      <c r="D4482" s="1" t="s">
        <v>2002</v>
      </c>
      <c r="E4482" s="1">
        <v>102763</v>
      </c>
      <c r="F4482" s="6" t="s">
        <v>6484</v>
      </c>
      <c r="G4482" s="15" t="str">
        <f>VLOOKUP(A4482,Movie!A:D,4,FALSE)</f>
        <v>Universal</v>
      </c>
      <c r="H4482" s="14">
        <f>VLOOKUP(E4482,'Rental Transaction'!A:B,2,FALSE)</f>
        <v>679354</v>
      </c>
      <c r="I4482">
        <f t="shared" si="69"/>
        <v>2013</v>
      </c>
    </row>
    <row r="4483" spans="1:9">
      <c r="A4483" s="1">
        <v>10258</v>
      </c>
      <c r="B4483" s="1">
        <v>9</v>
      </c>
      <c r="C4483" s="2">
        <v>41618</v>
      </c>
      <c r="D4483" s="1" t="s">
        <v>2002</v>
      </c>
      <c r="E4483" s="1">
        <v>102764</v>
      </c>
      <c r="F4483" s="6" t="s">
        <v>6485</v>
      </c>
      <c r="G4483" s="15" t="str">
        <f>VLOOKUP(A4483,Movie!A:D,4,FALSE)</f>
        <v>Warner Brothers</v>
      </c>
      <c r="H4483" s="14">
        <f>VLOOKUP(E4483,'Rental Transaction'!A:B,2,FALSE)</f>
        <v>746134</v>
      </c>
      <c r="I4483">
        <f t="shared" ref="I4483:I4546" si="70">YEAR(C4483)</f>
        <v>2013</v>
      </c>
    </row>
    <row r="4484" spans="1:9">
      <c r="A4484" s="1">
        <v>10215</v>
      </c>
      <c r="B4484" s="1">
        <v>5</v>
      </c>
      <c r="C4484" s="2">
        <v>41621</v>
      </c>
      <c r="D4484" s="1" t="s">
        <v>2005</v>
      </c>
      <c r="E4484" s="1">
        <v>102765</v>
      </c>
      <c r="F4484" s="6" t="s">
        <v>6486</v>
      </c>
      <c r="G4484" s="15" t="str">
        <f>VLOOKUP(A4484,Movie!A:D,4,FALSE)</f>
        <v>Paramount</v>
      </c>
      <c r="H4484" s="14">
        <f>VLOOKUP(E4484,'Rental Transaction'!A:B,2,FALSE)</f>
        <v>220206</v>
      </c>
      <c r="I4484">
        <f t="shared" si="70"/>
        <v>2013</v>
      </c>
    </row>
    <row r="4485" spans="1:9">
      <c r="A4485" s="1">
        <v>10289</v>
      </c>
      <c r="B4485" s="1">
        <v>9</v>
      </c>
      <c r="C4485" s="2">
        <v>41618</v>
      </c>
      <c r="D4485" s="1" t="s">
        <v>2002</v>
      </c>
      <c r="E4485" s="1">
        <v>102765</v>
      </c>
      <c r="F4485" s="6" t="s">
        <v>6487</v>
      </c>
      <c r="G4485" s="15" t="str">
        <f>VLOOKUP(A4485,Movie!A:D,4,FALSE)</f>
        <v>Open Road Films</v>
      </c>
      <c r="H4485" s="14">
        <f>VLOOKUP(E4485,'Rental Transaction'!A:B,2,FALSE)</f>
        <v>220206</v>
      </c>
      <c r="I4485">
        <f t="shared" si="70"/>
        <v>2013</v>
      </c>
    </row>
    <row r="4486" spans="1:9">
      <c r="A4486" s="1">
        <v>10203</v>
      </c>
      <c r="B4486" s="1">
        <v>8</v>
      </c>
      <c r="C4486" s="2">
        <v>41618</v>
      </c>
      <c r="D4486" s="1" t="s">
        <v>2005</v>
      </c>
      <c r="E4486" s="1">
        <v>102765</v>
      </c>
      <c r="F4486" s="6" t="s">
        <v>6488</v>
      </c>
      <c r="G4486" s="15" t="str">
        <f>VLOOKUP(A4486,Movie!A:D,4,FALSE)</f>
        <v>Buena Vista</v>
      </c>
      <c r="H4486" s="14">
        <f>VLOOKUP(E4486,'Rental Transaction'!A:B,2,FALSE)</f>
        <v>220206</v>
      </c>
      <c r="I4486">
        <f t="shared" si="70"/>
        <v>2013</v>
      </c>
    </row>
    <row r="4487" spans="1:9">
      <c r="A4487" s="1">
        <v>10232</v>
      </c>
      <c r="B4487" s="1">
        <v>10</v>
      </c>
      <c r="C4487" s="2">
        <v>41618</v>
      </c>
      <c r="D4487" s="1" t="s">
        <v>2002</v>
      </c>
      <c r="E4487" s="1">
        <v>102765</v>
      </c>
      <c r="F4487" s="6" t="s">
        <v>6489</v>
      </c>
      <c r="G4487" s="15" t="str">
        <f>VLOOKUP(A4487,Movie!A:D,4,FALSE)</f>
        <v>Paramount</v>
      </c>
      <c r="H4487" s="14">
        <f>VLOOKUP(E4487,'Rental Transaction'!A:B,2,FALSE)</f>
        <v>220206</v>
      </c>
      <c r="I4487">
        <f t="shared" si="70"/>
        <v>2013</v>
      </c>
    </row>
    <row r="4488" spans="1:9">
      <c r="A4488" s="1">
        <v>10048</v>
      </c>
      <c r="B4488" s="1">
        <v>2</v>
      </c>
      <c r="C4488" s="2">
        <v>41620</v>
      </c>
      <c r="D4488" s="1" t="s">
        <v>2002</v>
      </c>
      <c r="E4488" s="1">
        <v>102766</v>
      </c>
      <c r="F4488" s="6" t="s">
        <v>6490</v>
      </c>
      <c r="G4488" s="15" t="str">
        <f>VLOOKUP(A4488,Movie!A:D,4,FALSE)</f>
        <v>Relativity</v>
      </c>
      <c r="H4488" s="14">
        <f>VLOOKUP(E4488,'Rental Transaction'!A:B,2,FALSE)</f>
        <v>731346</v>
      </c>
      <c r="I4488">
        <f t="shared" si="70"/>
        <v>2013</v>
      </c>
    </row>
    <row r="4489" spans="1:9" ht="29.25">
      <c r="A4489" s="1">
        <v>10028</v>
      </c>
      <c r="B4489" s="1">
        <v>7</v>
      </c>
      <c r="C4489" s="2">
        <v>41624</v>
      </c>
      <c r="D4489" s="1" t="s">
        <v>2002</v>
      </c>
      <c r="E4489" s="1">
        <v>102766</v>
      </c>
      <c r="F4489" s="6" t="s">
        <v>6491</v>
      </c>
      <c r="G4489" s="15" t="str">
        <f>VLOOKUP(A4489,Movie!A:D,4,FALSE)</f>
        <v>Summit Entertainment</v>
      </c>
      <c r="H4489" s="14">
        <f>VLOOKUP(E4489,'Rental Transaction'!A:B,2,FALSE)</f>
        <v>731346</v>
      </c>
      <c r="I4489">
        <f t="shared" si="70"/>
        <v>2013</v>
      </c>
    </row>
    <row r="4490" spans="1:9">
      <c r="A4490" s="1">
        <v>10065</v>
      </c>
      <c r="B4490" s="1">
        <v>5</v>
      </c>
      <c r="C4490" s="2">
        <v>41619</v>
      </c>
      <c r="D4490" s="1" t="s">
        <v>2005</v>
      </c>
      <c r="E4490" s="1">
        <v>102767</v>
      </c>
      <c r="F4490" s="6" t="s">
        <v>6492</v>
      </c>
      <c r="G4490" s="15" t="str">
        <f>VLOOKUP(A4490,Movie!A:D,4,FALSE)</f>
        <v>Warner Brothers</v>
      </c>
      <c r="H4490" s="14">
        <f>VLOOKUP(E4490,'Rental Transaction'!A:B,2,FALSE)</f>
        <v>378374</v>
      </c>
      <c r="I4490">
        <f t="shared" si="70"/>
        <v>2013</v>
      </c>
    </row>
    <row r="4491" spans="1:9">
      <c r="A4491" s="1">
        <v>10222</v>
      </c>
      <c r="B4491" s="1">
        <v>4</v>
      </c>
      <c r="C4491" s="2">
        <v>41618</v>
      </c>
      <c r="D4491" s="1" t="s">
        <v>2002</v>
      </c>
      <c r="E4491" s="1">
        <v>102768</v>
      </c>
      <c r="F4491" s="6" t="s">
        <v>6493</v>
      </c>
      <c r="G4491" s="15" t="str">
        <f>VLOOKUP(A4491,Movie!A:D,4,FALSE)</f>
        <v>Sony</v>
      </c>
      <c r="H4491" s="14">
        <f>VLOOKUP(E4491,'Rental Transaction'!A:B,2,FALSE)</f>
        <v>226209</v>
      </c>
      <c r="I4491">
        <f t="shared" si="70"/>
        <v>2013</v>
      </c>
    </row>
    <row r="4492" spans="1:9">
      <c r="A4492" s="1">
        <v>10253</v>
      </c>
      <c r="B4492" s="1">
        <v>6</v>
      </c>
      <c r="C4492" s="2">
        <v>41618</v>
      </c>
      <c r="D4492" s="1" t="s">
        <v>2002</v>
      </c>
      <c r="E4492" s="1">
        <v>102768</v>
      </c>
      <c r="F4492" s="6" t="s">
        <v>6494</v>
      </c>
      <c r="G4492" s="15" t="str">
        <f>VLOOKUP(A4492,Movie!A:D,4,FALSE)</f>
        <v>Buena Vista</v>
      </c>
      <c r="H4492" s="14">
        <f>VLOOKUP(E4492,'Rental Transaction'!A:B,2,FALSE)</f>
        <v>226209</v>
      </c>
      <c r="I4492">
        <f t="shared" si="70"/>
        <v>2013</v>
      </c>
    </row>
    <row r="4493" spans="1:9">
      <c r="A4493" s="1">
        <v>10258</v>
      </c>
      <c r="B4493" s="1">
        <v>5</v>
      </c>
      <c r="C4493" s="2">
        <v>41620</v>
      </c>
      <c r="D4493" s="1" t="s">
        <v>2002</v>
      </c>
      <c r="E4493" s="1">
        <v>102771</v>
      </c>
      <c r="F4493" s="6" t="s">
        <v>6495</v>
      </c>
      <c r="G4493" s="15" t="str">
        <f>VLOOKUP(A4493,Movie!A:D,4,FALSE)</f>
        <v>Warner Brothers</v>
      </c>
      <c r="H4493" s="14">
        <f>VLOOKUP(E4493,'Rental Transaction'!A:B,2,FALSE)</f>
        <v>412235</v>
      </c>
      <c r="I4493">
        <f t="shared" si="70"/>
        <v>2013</v>
      </c>
    </row>
    <row r="4494" spans="1:9">
      <c r="A4494" s="1">
        <v>10261</v>
      </c>
      <c r="B4494" s="1">
        <v>1</v>
      </c>
      <c r="C4494" s="2">
        <v>41619</v>
      </c>
      <c r="D4494" s="1" t="s">
        <v>2002</v>
      </c>
      <c r="E4494" s="1">
        <v>102772</v>
      </c>
      <c r="F4494" s="6" t="s">
        <v>6496</v>
      </c>
      <c r="G4494" s="15" t="str">
        <f>VLOOKUP(A4494,Movie!A:D,4,FALSE)</f>
        <v>Fox</v>
      </c>
      <c r="H4494" s="14">
        <f>VLOOKUP(E4494,'Rental Transaction'!A:B,2,FALSE)</f>
        <v>185863</v>
      </c>
      <c r="I4494">
        <f t="shared" si="70"/>
        <v>2013</v>
      </c>
    </row>
    <row r="4495" spans="1:9">
      <c r="A4495" s="1">
        <v>10184</v>
      </c>
      <c r="B4495" s="1">
        <v>3</v>
      </c>
      <c r="C4495" s="2">
        <v>41623</v>
      </c>
      <c r="D4495" s="1" t="s">
        <v>2002</v>
      </c>
      <c r="E4495" s="1">
        <v>102772</v>
      </c>
      <c r="F4495" s="6" t="s">
        <v>6497</v>
      </c>
      <c r="G4495" s="15" t="str">
        <f>VLOOKUP(A4495,Movie!A:D,4,FALSE)</f>
        <v>Universal</v>
      </c>
      <c r="H4495" s="14">
        <f>VLOOKUP(E4495,'Rental Transaction'!A:B,2,FALSE)</f>
        <v>185863</v>
      </c>
      <c r="I4495">
        <f t="shared" si="70"/>
        <v>2013</v>
      </c>
    </row>
    <row r="4496" spans="1:9">
      <c r="A4496" s="1">
        <v>10208</v>
      </c>
      <c r="B4496" s="1">
        <v>7</v>
      </c>
      <c r="C4496" s="2">
        <v>41619</v>
      </c>
      <c r="D4496" s="1" t="s">
        <v>2002</v>
      </c>
      <c r="E4496" s="1">
        <v>102773</v>
      </c>
      <c r="F4496" s="6" t="s">
        <v>6498</v>
      </c>
      <c r="G4496" s="15" t="str">
        <f>VLOOKUP(A4496,Movie!A:D,4,FALSE)</f>
        <v>Warner Brothers</v>
      </c>
      <c r="H4496" s="14">
        <f>VLOOKUP(E4496,'Rental Transaction'!A:B,2,FALSE)</f>
        <v>101811</v>
      </c>
      <c r="I4496">
        <f t="shared" si="70"/>
        <v>2013</v>
      </c>
    </row>
    <row r="4497" spans="1:9" ht="29.25">
      <c r="A4497" s="1">
        <v>10246</v>
      </c>
      <c r="B4497" s="1">
        <v>9</v>
      </c>
      <c r="C4497" s="2">
        <v>41622</v>
      </c>
      <c r="D4497" s="1" t="s">
        <v>2005</v>
      </c>
      <c r="E4497" s="1">
        <v>102774</v>
      </c>
      <c r="F4497" s="6" t="s">
        <v>6499</v>
      </c>
      <c r="G4497" s="15" t="str">
        <f>VLOOKUP(A4497,Movie!A:D,4,FALSE)</f>
        <v>Weinstein Company</v>
      </c>
      <c r="H4497" s="14">
        <f>VLOOKUP(E4497,'Rental Transaction'!A:B,2,FALSE)</f>
        <v>247216</v>
      </c>
      <c r="I4497">
        <f t="shared" si="70"/>
        <v>2013</v>
      </c>
    </row>
    <row r="4498" spans="1:9">
      <c r="A4498" s="1">
        <v>10274</v>
      </c>
      <c r="B4498" s="1">
        <v>2</v>
      </c>
      <c r="C4498" s="2">
        <v>41622</v>
      </c>
      <c r="D4498" s="1" t="s">
        <v>2002</v>
      </c>
      <c r="E4498" s="1">
        <v>102774</v>
      </c>
      <c r="F4498" s="6" t="s">
        <v>6500</v>
      </c>
      <c r="G4498" s="15" t="str">
        <f>VLOOKUP(A4498,Movie!A:D,4,FALSE)</f>
        <v>Fox</v>
      </c>
      <c r="H4498" s="14">
        <f>VLOOKUP(E4498,'Rental Transaction'!A:B,2,FALSE)</f>
        <v>247216</v>
      </c>
      <c r="I4498">
        <f t="shared" si="70"/>
        <v>2013</v>
      </c>
    </row>
    <row r="4499" spans="1:9">
      <c r="A4499" s="1">
        <v>10258</v>
      </c>
      <c r="B4499" s="1">
        <v>9</v>
      </c>
      <c r="C4499" s="2">
        <v>41620</v>
      </c>
      <c r="D4499" s="1" t="s">
        <v>2005</v>
      </c>
      <c r="E4499" s="1">
        <v>102775</v>
      </c>
      <c r="F4499" s="6" t="s">
        <v>6501</v>
      </c>
      <c r="G4499" s="15" t="str">
        <f>VLOOKUP(A4499,Movie!A:D,4,FALSE)</f>
        <v>Warner Brothers</v>
      </c>
      <c r="H4499" s="14">
        <f>VLOOKUP(E4499,'Rental Transaction'!A:B,2,FALSE)</f>
        <v>347189</v>
      </c>
      <c r="I4499">
        <f t="shared" si="70"/>
        <v>2013</v>
      </c>
    </row>
    <row r="4500" spans="1:9">
      <c r="A4500" s="1">
        <v>10271</v>
      </c>
      <c r="B4500" s="1">
        <v>3</v>
      </c>
      <c r="C4500" s="2">
        <v>41619</v>
      </c>
      <c r="D4500" s="1" t="s">
        <v>2002</v>
      </c>
      <c r="E4500" s="1">
        <v>102776</v>
      </c>
      <c r="F4500" s="6" t="s">
        <v>6502</v>
      </c>
      <c r="G4500" s="15" t="str">
        <f>VLOOKUP(A4500,Movie!A:D,4,FALSE)</f>
        <v>Universal</v>
      </c>
      <c r="H4500" s="14">
        <f>VLOOKUP(E4500,'Rental Transaction'!A:B,2,FALSE)</f>
        <v>601753</v>
      </c>
      <c r="I4500">
        <f t="shared" si="70"/>
        <v>2013</v>
      </c>
    </row>
    <row r="4501" spans="1:9">
      <c r="A4501" s="1">
        <v>10260</v>
      </c>
      <c r="B4501" s="1">
        <v>2</v>
      </c>
      <c r="C4501" s="2">
        <v>41620</v>
      </c>
      <c r="D4501" s="1" t="s">
        <v>2002</v>
      </c>
      <c r="E4501" s="1">
        <v>102777</v>
      </c>
      <c r="F4501" s="6" t="s">
        <v>6503</v>
      </c>
      <c r="G4501" s="15" t="str">
        <f>VLOOKUP(A4501,Movie!A:D,4,FALSE)</f>
        <v>Sony</v>
      </c>
      <c r="H4501" s="14">
        <f>VLOOKUP(E4501,'Rental Transaction'!A:B,2,FALSE)</f>
        <v>437454</v>
      </c>
      <c r="I4501">
        <f t="shared" si="70"/>
        <v>2013</v>
      </c>
    </row>
    <row r="4502" spans="1:9">
      <c r="A4502" s="1">
        <v>10293</v>
      </c>
      <c r="B4502" s="1">
        <v>2</v>
      </c>
      <c r="C4502" s="2">
        <v>41620</v>
      </c>
      <c r="D4502" s="1" t="s">
        <v>2002</v>
      </c>
      <c r="E4502" s="1">
        <v>102777</v>
      </c>
      <c r="F4502" s="6" t="s">
        <v>6504</v>
      </c>
      <c r="G4502" s="15" t="str">
        <f>VLOOKUP(A4502,Movie!A:D,4,FALSE)</f>
        <v>Relativity</v>
      </c>
      <c r="H4502" s="14">
        <f>VLOOKUP(E4502,'Rental Transaction'!A:B,2,FALSE)</f>
        <v>437454</v>
      </c>
      <c r="I4502">
        <f t="shared" si="70"/>
        <v>2013</v>
      </c>
    </row>
    <row r="4503" spans="1:9">
      <c r="A4503" s="1">
        <v>10065</v>
      </c>
      <c r="B4503" s="1">
        <v>9</v>
      </c>
      <c r="C4503" s="2">
        <v>41626</v>
      </c>
      <c r="D4503" s="1" t="s">
        <v>2002</v>
      </c>
      <c r="E4503" s="1">
        <v>102778</v>
      </c>
      <c r="F4503" s="6" t="s">
        <v>6505</v>
      </c>
      <c r="G4503" s="15" t="str">
        <f>VLOOKUP(A4503,Movie!A:D,4,FALSE)</f>
        <v>Warner Brothers</v>
      </c>
      <c r="H4503" s="14">
        <f>VLOOKUP(E4503,'Rental Transaction'!A:B,2,FALSE)</f>
        <v>182040</v>
      </c>
      <c r="I4503">
        <f t="shared" si="70"/>
        <v>2013</v>
      </c>
    </row>
    <row r="4504" spans="1:9">
      <c r="A4504" s="1">
        <v>10041</v>
      </c>
      <c r="B4504" s="1">
        <v>6</v>
      </c>
      <c r="C4504" s="2">
        <v>41619</v>
      </c>
      <c r="D4504" s="1" t="s">
        <v>2002</v>
      </c>
      <c r="E4504" s="1">
        <v>102778</v>
      </c>
      <c r="F4504" s="6" t="s">
        <v>6506</v>
      </c>
      <c r="G4504" s="15" t="str">
        <f>VLOOKUP(A4504,Movie!A:D,4,FALSE)</f>
        <v>Lionsgate</v>
      </c>
      <c r="H4504" s="14">
        <f>VLOOKUP(E4504,'Rental Transaction'!A:B,2,FALSE)</f>
        <v>182040</v>
      </c>
      <c r="I4504">
        <f t="shared" si="70"/>
        <v>2013</v>
      </c>
    </row>
    <row r="4505" spans="1:9">
      <c r="A4505" s="1">
        <v>10143</v>
      </c>
      <c r="B4505" s="1">
        <v>6</v>
      </c>
      <c r="C4505" s="2">
        <v>41621</v>
      </c>
      <c r="D4505" s="1" t="s">
        <v>2005</v>
      </c>
      <c r="E4505" s="1">
        <v>102779</v>
      </c>
      <c r="F4505" s="6" t="s">
        <v>6507</v>
      </c>
      <c r="G4505" s="15" t="str">
        <f>VLOOKUP(A4505,Movie!A:D,4,FALSE)</f>
        <v>Buena Vista</v>
      </c>
      <c r="H4505" s="14">
        <f>VLOOKUP(E4505,'Rental Transaction'!A:B,2,FALSE)</f>
        <v>884729</v>
      </c>
      <c r="I4505">
        <f t="shared" si="70"/>
        <v>2013</v>
      </c>
    </row>
    <row r="4506" spans="1:9">
      <c r="A4506" s="1">
        <v>10211</v>
      </c>
      <c r="B4506" s="1">
        <v>4</v>
      </c>
      <c r="C4506" s="2">
        <v>41621</v>
      </c>
      <c r="D4506" s="1" t="s">
        <v>2002</v>
      </c>
      <c r="E4506" s="1">
        <v>102780</v>
      </c>
      <c r="F4506" s="6" t="s">
        <v>6508</v>
      </c>
      <c r="G4506" s="15" t="str">
        <f>VLOOKUP(A4506,Movie!A:D,4,FALSE)</f>
        <v>Buena Vista</v>
      </c>
      <c r="H4506" s="14">
        <f>VLOOKUP(E4506,'Rental Transaction'!A:B,2,FALSE)</f>
        <v>278204</v>
      </c>
      <c r="I4506">
        <f t="shared" si="70"/>
        <v>2013</v>
      </c>
    </row>
    <row r="4507" spans="1:9">
      <c r="A4507" s="1">
        <v>10234</v>
      </c>
      <c r="B4507" s="1">
        <v>8</v>
      </c>
      <c r="C4507" s="2">
        <v>41621</v>
      </c>
      <c r="D4507" s="1" t="s">
        <v>2002</v>
      </c>
      <c r="E4507" s="1">
        <v>102781</v>
      </c>
      <c r="F4507" s="6" t="s">
        <v>6509</v>
      </c>
      <c r="G4507" s="15" t="str">
        <f>VLOOKUP(A4507,Movie!A:D,4,FALSE)</f>
        <v>Warner Brothers</v>
      </c>
      <c r="H4507" s="14">
        <f>VLOOKUP(E4507,'Rental Transaction'!A:B,2,FALSE)</f>
        <v>498153</v>
      </c>
      <c r="I4507">
        <f t="shared" si="70"/>
        <v>2013</v>
      </c>
    </row>
    <row r="4508" spans="1:9">
      <c r="A4508" s="1">
        <v>10287</v>
      </c>
      <c r="B4508" s="1">
        <v>5</v>
      </c>
      <c r="C4508" s="2">
        <v>41621</v>
      </c>
      <c r="D4508" s="1" t="s">
        <v>2002</v>
      </c>
      <c r="E4508" s="1">
        <v>102781</v>
      </c>
      <c r="F4508" s="6" t="s">
        <v>6510</v>
      </c>
      <c r="G4508" s="15" t="str">
        <f>VLOOKUP(A4508,Movie!A:D,4,FALSE)</f>
        <v>Lionsgate</v>
      </c>
      <c r="H4508" s="14">
        <f>VLOOKUP(E4508,'Rental Transaction'!A:B,2,FALSE)</f>
        <v>498153</v>
      </c>
      <c r="I4508">
        <f t="shared" si="70"/>
        <v>2013</v>
      </c>
    </row>
    <row r="4509" spans="1:9">
      <c r="A4509" s="1">
        <v>10297</v>
      </c>
      <c r="B4509" s="1">
        <v>2</v>
      </c>
      <c r="C4509" s="2">
        <v>41621</v>
      </c>
      <c r="D4509" s="1" t="s">
        <v>2002</v>
      </c>
      <c r="E4509" s="1">
        <v>102782</v>
      </c>
      <c r="F4509" s="6" t="s">
        <v>6511</v>
      </c>
      <c r="G4509" s="15" t="str">
        <f>VLOOKUP(A4509,Movie!A:D,4,FALSE)</f>
        <v>Focus</v>
      </c>
      <c r="H4509" s="14">
        <f>VLOOKUP(E4509,'Rental Transaction'!A:B,2,FALSE)</f>
        <v>247216</v>
      </c>
      <c r="I4509">
        <f t="shared" si="70"/>
        <v>2013</v>
      </c>
    </row>
    <row r="4510" spans="1:9">
      <c r="A4510" s="1">
        <v>10238</v>
      </c>
      <c r="B4510" s="1">
        <v>1</v>
      </c>
      <c r="C4510" s="2">
        <v>41620</v>
      </c>
      <c r="D4510" s="1" t="s">
        <v>2002</v>
      </c>
      <c r="E4510" s="1">
        <v>102784</v>
      </c>
      <c r="F4510" s="6" t="s">
        <v>6512</v>
      </c>
      <c r="G4510" s="15" t="str">
        <f>VLOOKUP(A4510,Movie!A:D,4,FALSE)</f>
        <v>Warner Brothers</v>
      </c>
      <c r="H4510" s="14">
        <f>VLOOKUP(E4510,'Rental Transaction'!A:B,2,FALSE)</f>
        <v>762509</v>
      </c>
      <c r="I4510">
        <f t="shared" si="70"/>
        <v>2013</v>
      </c>
    </row>
    <row r="4511" spans="1:9">
      <c r="A4511" s="1">
        <v>10171</v>
      </c>
      <c r="B4511" s="1">
        <v>7</v>
      </c>
      <c r="C4511" s="2">
        <v>41624</v>
      </c>
      <c r="D4511" s="1" t="s">
        <v>2002</v>
      </c>
      <c r="E4511" s="1">
        <v>102786</v>
      </c>
      <c r="F4511" s="6" t="s">
        <v>6513</v>
      </c>
      <c r="G4511" s="15" t="str">
        <f>VLOOKUP(A4511,Movie!A:D,4,FALSE)</f>
        <v>Universal</v>
      </c>
      <c r="H4511" s="14">
        <f>VLOOKUP(E4511,'Rental Transaction'!A:B,2,FALSE)</f>
        <v>624668</v>
      </c>
      <c r="I4511">
        <f t="shared" si="70"/>
        <v>2013</v>
      </c>
    </row>
    <row r="4512" spans="1:9">
      <c r="A4512" s="1">
        <v>10098</v>
      </c>
      <c r="B4512" s="1">
        <v>1</v>
      </c>
      <c r="C4512" s="2">
        <v>41625</v>
      </c>
      <c r="D4512" s="1" t="s">
        <v>2005</v>
      </c>
      <c r="E4512" s="1">
        <v>102787</v>
      </c>
      <c r="F4512" s="6" t="s">
        <v>6514</v>
      </c>
      <c r="G4512" s="15" t="str">
        <f>VLOOKUP(A4512,Movie!A:D,4,FALSE)</f>
        <v>Warner Brothers</v>
      </c>
      <c r="H4512" s="14">
        <f>VLOOKUP(E4512,'Rental Transaction'!A:B,2,FALSE)</f>
        <v>154427</v>
      </c>
      <c r="I4512">
        <f t="shared" si="70"/>
        <v>2013</v>
      </c>
    </row>
    <row r="4513" spans="1:9">
      <c r="A4513" s="1">
        <v>10064</v>
      </c>
      <c r="B4513" s="1">
        <v>1</v>
      </c>
      <c r="C4513" s="2">
        <v>41622</v>
      </c>
      <c r="D4513" s="1" t="s">
        <v>2002</v>
      </c>
      <c r="E4513" s="1">
        <v>102788</v>
      </c>
      <c r="F4513" s="6" t="s">
        <v>6515</v>
      </c>
      <c r="G4513" s="15" t="str">
        <f>VLOOKUP(A4513,Movie!A:D,4,FALSE)</f>
        <v>Universal</v>
      </c>
      <c r="H4513" s="14">
        <f>VLOOKUP(E4513,'Rental Transaction'!A:B,2,FALSE)</f>
        <v>970794</v>
      </c>
      <c r="I4513">
        <f t="shared" si="70"/>
        <v>2013</v>
      </c>
    </row>
    <row r="4514" spans="1:9">
      <c r="A4514" s="1">
        <v>10282</v>
      </c>
      <c r="B4514" s="1">
        <v>4</v>
      </c>
      <c r="C4514" s="2">
        <v>41625</v>
      </c>
      <c r="D4514" s="1" t="s">
        <v>2002</v>
      </c>
      <c r="E4514" s="1">
        <v>102789</v>
      </c>
      <c r="F4514" s="6" t="s">
        <v>6516</v>
      </c>
      <c r="G4514" s="15" t="str">
        <f>VLOOKUP(A4514,Movie!A:D,4,FALSE)</f>
        <v>Sony Classics</v>
      </c>
      <c r="H4514" s="14">
        <f>VLOOKUP(E4514,'Rental Transaction'!A:B,2,FALSE)</f>
        <v>448993</v>
      </c>
      <c r="I4514">
        <f t="shared" si="70"/>
        <v>2013</v>
      </c>
    </row>
    <row r="4515" spans="1:9">
      <c r="A4515" s="1">
        <v>10198</v>
      </c>
      <c r="B4515" s="1">
        <v>7</v>
      </c>
      <c r="C4515" s="2">
        <v>41622</v>
      </c>
      <c r="D4515" s="1" t="s">
        <v>2002</v>
      </c>
      <c r="E4515" s="1">
        <v>102790</v>
      </c>
      <c r="F4515" s="6" t="s">
        <v>6517</v>
      </c>
      <c r="G4515" s="15" t="str">
        <f>VLOOKUP(A4515,Movie!A:D,4,FALSE)</f>
        <v>Fox</v>
      </c>
      <c r="H4515" s="14">
        <f>VLOOKUP(E4515,'Rental Transaction'!A:B,2,FALSE)</f>
        <v>173380</v>
      </c>
      <c r="I4515">
        <f t="shared" si="70"/>
        <v>2013</v>
      </c>
    </row>
    <row r="4516" spans="1:9">
      <c r="A4516" s="1">
        <v>10065</v>
      </c>
      <c r="B4516" s="1">
        <v>6</v>
      </c>
      <c r="C4516" s="2">
        <v>41621</v>
      </c>
      <c r="D4516" s="1" t="s">
        <v>2002</v>
      </c>
      <c r="E4516" s="1">
        <v>102791</v>
      </c>
      <c r="F4516" s="6" t="s">
        <v>6518</v>
      </c>
      <c r="G4516" s="15" t="str">
        <f>VLOOKUP(A4516,Movie!A:D,4,FALSE)</f>
        <v>Warner Brothers</v>
      </c>
      <c r="H4516" s="14">
        <f>VLOOKUP(E4516,'Rental Transaction'!A:B,2,FALSE)</f>
        <v>162236</v>
      </c>
      <c r="I4516">
        <f t="shared" si="70"/>
        <v>2013</v>
      </c>
    </row>
    <row r="4517" spans="1:9">
      <c r="A4517" s="1">
        <v>10098</v>
      </c>
      <c r="B4517" s="1">
        <v>2</v>
      </c>
      <c r="C4517" s="2">
        <v>41622</v>
      </c>
      <c r="D4517" s="1" t="s">
        <v>2005</v>
      </c>
      <c r="E4517" s="1">
        <v>102791</v>
      </c>
      <c r="F4517" s="6" t="s">
        <v>6519</v>
      </c>
      <c r="G4517" s="15" t="str">
        <f>VLOOKUP(A4517,Movie!A:D,4,FALSE)</f>
        <v>Warner Brothers</v>
      </c>
      <c r="H4517" s="14">
        <f>VLOOKUP(E4517,'Rental Transaction'!A:B,2,FALSE)</f>
        <v>162236</v>
      </c>
      <c r="I4517">
        <f t="shared" si="70"/>
        <v>2013</v>
      </c>
    </row>
    <row r="4518" spans="1:9" ht="29.25">
      <c r="A4518" s="1">
        <v>10249</v>
      </c>
      <c r="B4518" s="1">
        <v>3</v>
      </c>
      <c r="C4518" s="2">
        <v>41621</v>
      </c>
      <c r="D4518" s="1" t="s">
        <v>2002</v>
      </c>
      <c r="E4518" s="1">
        <v>102793</v>
      </c>
      <c r="F4518" s="6" t="s">
        <v>6520</v>
      </c>
      <c r="G4518" s="15" t="str">
        <f>VLOOKUP(A4518,Movie!A:D,4,FALSE)</f>
        <v>Summit Entertainment</v>
      </c>
      <c r="H4518" s="14">
        <f>VLOOKUP(E4518,'Rental Transaction'!A:B,2,FALSE)</f>
        <v>818287</v>
      </c>
      <c r="I4518">
        <f t="shared" si="70"/>
        <v>2013</v>
      </c>
    </row>
    <row r="4519" spans="1:9" ht="29.25">
      <c r="A4519" s="1">
        <v>10264</v>
      </c>
      <c r="B4519" s="1">
        <v>8</v>
      </c>
      <c r="C4519" s="2">
        <v>41625</v>
      </c>
      <c r="D4519" s="1" t="s">
        <v>2002</v>
      </c>
      <c r="E4519" s="1">
        <v>102794</v>
      </c>
      <c r="F4519" s="6" t="s">
        <v>6521</v>
      </c>
      <c r="G4519" s="15" t="str">
        <f>VLOOKUP(A4519,Movie!A:D,4,FALSE)</f>
        <v>Weinstein Company</v>
      </c>
      <c r="H4519" s="14">
        <f>VLOOKUP(E4519,'Rental Transaction'!A:B,2,FALSE)</f>
        <v>238347</v>
      </c>
      <c r="I4519">
        <f t="shared" si="70"/>
        <v>2013</v>
      </c>
    </row>
    <row r="4520" spans="1:9">
      <c r="A4520" s="1">
        <v>10272</v>
      </c>
      <c r="B4520" s="1">
        <v>9</v>
      </c>
      <c r="C4520" s="2">
        <v>41622</v>
      </c>
      <c r="D4520" s="1" t="s">
        <v>2002</v>
      </c>
      <c r="E4520" s="1">
        <v>102794</v>
      </c>
      <c r="F4520" s="6" t="s">
        <v>6522</v>
      </c>
      <c r="G4520" s="15" t="str">
        <f>VLOOKUP(A4520,Movie!A:D,4,FALSE)</f>
        <v>Sony</v>
      </c>
      <c r="H4520" s="14">
        <f>VLOOKUP(E4520,'Rental Transaction'!A:B,2,FALSE)</f>
        <v>238347</v>
      </c>
      <c r="I4520">
        <f t="shared" si="70"/>
        <v>2013</v>
      </c>
    </row>
    <row r="4521" spans="1:9">
      <c r="A4521" s="1">
        <v>10212</v>
      </c>
      <c r="B4521" s="1">
        <v>3</v>
      </c>
      <c r="C4521" s="2">
        <v>41622</v>
      </c>
      <c r="D4521" s="1" t="s">
        <v>2002</v>
      </c>
      <c r="E4521" s="1">
        <v>102794</v>
      </c>
      <c r="F4521" s="6" t="s">
        <v>6523</v>
      </c>
      <c r="G4521" s="15" t="str">
        <f>VLOOKUP(A4521,Movie!A:D,4,FALSE)</f>
        <v>Lionsgate</v>
      </c>
      <c r="H4521" s="14">
        <f>VLOOKUP(E4521,'Rental Transaction'!A:B,2,FALSE)</f>
        <v>238347</v>
      </c>
      <c r="I4521">
        <f t="shared" si="70"/>
        <v>2013</v>
      </c>
    </row>
    <row r="4522" spans="1:9">
      <c r="A4522" s="1">
        <v>10107</v>
      </c>
      <c r="B4522" s="1">
        <v>1</v>
      </c>
      <c r="C4522" s="2">
        <v>41623</v>
      </c>
      <c r="D4522" s="1" t="s">
        <v>2002</v>
      </c>
      <c r="E4522" s="1">
        <v>102795</v>
      </c>
      <c r="F4522" s="6" t="s">
        <v>6524</v>
      </c>
      <c r="G4522" s="15" t="str">
        <f>VLOOKUP(A4522,Movie!A:D,4,FALSE)</f>
        <v>Universal</v>
      </c>
      <c r="H4522" s="14">
        <f>VLOOKUP(E4522,'Rental Transaction'!A:B,2,FALSE)</f>
        <v>586201</v>
      </c>
      <c r="I4522">
        <f t="shared" si="70"/>
        <v>2013</v>
      </c>
    </row>
    <row r="4523" spans="1:9">
      <c r="A4523" s="1">
        <v>10205</v>
      </c>
      <c r="B4523" s="1">
        <v>1</v>
      </c>
      <c r="C4523" s="2">
        <v>41627</v>
      </c>
      <c r="D4523" s="1" t="s">
        <v>2002</v>
      </c>
      <c r="E4523" s="1">
        <v>102797</v>
      </c>
      <c r="F4523" s="6" t="s">
        <v>6525</v>
      </c>
      <c r="G4523" s="15" t="str">
        <f>VLOOKUP(A4523,Movie!A:D,4,FALSE)</f>
        <v>Paramount</v>
      </c>
      <c r="H4523" s="14">
        <f>VLOOKUP(E4523,'Rental Transaction'!A:B,2,FALSE)</f>
        <v>992895</v>
      </c>
      <c r="I4523">
        <f t="shared" si="70"/>
        <v>2013</v>
      </c>
    </row>
    <row r="4524" spans="1:9">
      <c r="A4524" s="1">
        <v>10253</v>
      </c>
      <c r="B4524" s="1">
        <v>9</v>
      </c>
      <c r="C4524" s="2">
        <v>41622</v>
      </c>
      <c r="D4524" s="1" t="s">
        <v>2002</v>
      </c>
      <c r="E4524" s="1">
        <v>102798</v>
      </c>
      <c r="F4524" s="6" t="s">
        <v>6526</v>
      </c>
      <c r="G4524" s="15" t="str">
        <f>VLOOKUP(A4524,Movie!A:D,4,FALSE)</f>
        <v>Buena Vista</v>
      </c>
      <c r="H4524" s="14">
        <f>VLOOKUP(E4524,'Rental Transaction'!A:B,2,FALSE)</f>
        <v>994199</v>
      </c>
      <c r="I4524">
        <f t="shared" si="70"/>
        <v>2013</v>
      </c>
    </row>
    <row r="4525" spans="1:9">
      <c r="A4525" s="1">
        <v>10110</v>
      </c>
      <c r="B4525" s="1">
        <v>1</v>
      </c>
      <c r="C4525" s="2">
        <v>41622</v>
      </c>
      <c r="D4525" s="1" t="s">
        <v>2002</v>
      </c>
      <c r="E4525" s="1">
        <v>102799</v>
      </c>
      <c r="F4525" s="6" t="s">
        <v>6527</v>
      </c>
      <c r="G4525" s="15" t="str">
        <f>VLOOKUP(A4525,Movie!A:D,4,FALSE)</f>
        <v>Warner Brothers</v>
      </c>
      <c r="H4525" s="14">
        <f>VLOOKUP(E4525,'Rental Transaction'!A:B,2,FALSE)</f>
        <v>608290</v>
      </c>
      <c r="I4525">
        <f t="shared" si="70"/>
        <v>2013</v>
      </c>
    </row>
    <row r="4526" spans="1:9">
      <c r="A4526" s="1">
        <v>10149</v>
      </c>
      <c r="B4526" s="1">
        <v>8</v>
      </c>
      <c r="C4526" s="2">
        <v>41622</v>
      </c>
      <c r="D4526" s="1" t="s">
        <v>2005</v>
      </c>
      <c r="E4526" s="1">
        <v>102799</v>
      </c>
      <c r="F4526" s="6" t="s">
        <v>6528</v>
      </c>
      <c r="G4526" s="15" t="str">
        <f>VLOOKUP(A4526,Movie!A:D,4,FALSE)</f>
        <v>Relativity</v>
      </c>
      <c r="H4526" s="14">
        <f>VLOOKUP(E4526,'Rental Transaction'!A:B,2,FALSE)</f>
        <v>608290</v>
      </c>
      <c r="I4526">
        <f t="shared" si="70"/>
        <v>2013</v>
      </c>
    </row>
    <row r="4527" spans="1:9" ht="29.25">
      <c r="A4527" s="1">
        <v>10095</v>
      </c>
      <c r="B4527" s="1">
        <v>8</v>
      </c>
      <c r="C4527" s="2">
        <v>41625</v>
      </c>
      <c r="D4527" s="1" t="s">
        <v>2002</v>
      </c>
      <c r="E4527" s="1">
        <v>102800</v>
      </c>
      <c r="F4527" s="6" t="s">
        <v>6529</v>
      </c>
      <c r="G4527" s="15" t="str">
        <f>VLOOKUP(A4527,Movie!A:D,4,FALSE)</f>
        <v>Weinstein Company</v>
      </c>
      <c r="H4527" s="14">
        <f>VLOOKUP(E4527,'Rental Transaction'!A:B,2,FALSE)</f>
        <v>528475</v>
      </c>
      <c r="I4527">
        <f t="shared" si="70"/>
        <v>2013</v>
      </c>
    </row>
    <row r="4528" spans="1:9">
      <c r="A4528" s="1">
        <v>10112</v>
      </c>
      <c r="B4528" s="1">
        <v>5</v>
      </c>
      <c r="C4528" s="2">
        <v>41625</v>
      </c>
      <c r="D4528" s="1" t="s">
        <v>2005</v>
      </c>
      <c r="E4528" s="1">
        <v>102802</v>
      </c>
      <c r="F4528" s="6" t="s">
        <v>6530</v>
      </c>
      <c r="G4528" s="15" t="str">
        <f>VLOOKUP(A4528,Movie!A:D,4,FALSE)</f>
        <v>Relativity</v>
      </c>
      <c r="H4528" s="14">
        <f>VLOOKUP(E4528,'Rental Transaction'!A:B,2,FALSE)</f>
        <v>612681</v>
      </c>
      <c r="I4528">
        <f t="shared" si="70"/>
        <v>2013</v>
      </c>
    </row>
    <row r="4529" spans="1:9" ht="29.25">
      <c r="A4529" s="1">
        <v>10239</v>
      </c>
      <c r="B4529" s="1">
        <v>2</v>
      </c>
      <c r="C4529" s="2">
        <v>41623</v>
      </c>
      <c r="D4529" s="1" t="s">
        <v>2002</v>
      </c>
      <c r="E4529" s="1">
        <v>102804</v>
      </c>
      <c r="F4529" s="6" t="s">
        <v>6531</v>
      </c>
      <c r="G4529" s="15" t="str">
        <f>VLOOKUP(A4529,Movie!A:D,4,FALSE)</f>
        <v>Weinstein Company</v>
      </c>
      <c r="H4529" s="14">
        <f>VLOOKUP(E4529,'Rental Transaction'!A:B,2,FALSE)</f>
        <v>484909</v>
      </c>
      <c r="I4529">
        <f t="shared" si="70"/>
        <v>2013</v>
      </c>
    </row>
    <row r="4530" spans="1:9">
      <c r="A4530" s="1">
        <v>10006</v>
      </c>
      <c r="B4530" s="1">
        <v>2</v>
      </c>
      <c r="C4530" s="2">
        <v>41625</v>
      </c>
      <c r="D4530" s="1" t="s">
        <v>2002</v>
      </c>
      <c r="E4530" s="1">
        <v>102805</v>
      </c>
      <c r="F4530" s="6" t="s">
        <v>6532</v>
      </c>
      <c r="G4530" s="15" t="str">
        <f>VLOOKUP(A4530,Movie!A:D,4,FALSE)</f>
        <v>Paramount</v>
      </c>
      <c r="H4530" s="14">
        <f>VLOOKUP(E4530,'Rental Transaction'!A:B,2,FALSE)</f>
        <v>343021</v>
      </c>
      <c r="I4530">
        <f t="shared" si="70"/>
        <v>2013</v>
      </c>
    </row>
    <row r="4531" spans="1:9">
      <c r="A4531" s="1">
        <v>10271</v>
      </c>
      <c r="B4531" s="1">
        <v>5</v>
      </c>
      <c r="C4531" s="2">
        <v>41624</v>
      </c>
      <c r="D4531" s="1" t="s">
        <v>2005</v>
      </c>
      <c r="E4531" s="1">
        <v>102805</v>
      </c>
      <c r="F4531" s="6" t="s">
        <v>6533</v>
      </c>
      <c r="G4531" s="15" t="str">
        <f>VLOOKUP(A4531,Movie!A:D,4,FALSE)</f>
        <v>Universal</v>
      </c>
      <c r="H4531" s="14">
        <f>VLOOKUP(E4531,'Rental Transaction'!A:B,2,FALSE)</f>
        <v>343021</v>
      </c>
      <c r="I4531">
        <f t="shared" si="70"/>
        <v>2013</v>
      </c>
    </row>
    <row r="4532" spans="1:9">
      <c r="A4532" s="1">
        <v>10172</v>
      </c>
      <c r="B4532" s="1">
        <v>1</v>
      </c>
      <c r="C4532" s="2">
        <v>41625</v>
      </c>
      <c r="D4532" s="1" t="s">
        <v>2002</v>
      </c>
      <c r="E4532" s="1">
        <v>102807</v>
      </c>
      <c r="F4532" s="6" t="s">
        <v>6534</v>
      </c>
      <c r="G4532" s="15" t="str">
        <f>VLOOKUP(A4532,Movie!A:D,4,FALSE)</f>
        <v>Lionsgate</v>
      </c>
      <c r="H4532" s="14">
        <f>VLOOKUP(E4532,'Rental Transaction'!A:B,2,FALSE)</f>
        <v>676018</v>
      </c>
      <c r="I4532">
        <f t="shared" si="70"/>
        <v>2013</v>
      </c>
    </row>
    <row r="4533" spans="1:9">
      <c r="A4533" s="1">
        <v>10265</v>
      </c>
      <c r="B4533" s="1">
        <v>4</v>
      </c>
      <c r="C4533" s="2">
        <v>41625</v>
      </c>
      <c r="D4533" s="1" t="s">
        <v>2002</v>
      </c>
      <c r="E4533" s="1">
        <v>102809</v>
      </c>
      <c r="F4533" s="6" t="s">
        <v>6535</v>
      </c>
      <c r="G4533" s="15" t="str">
        <f>VLOOKUP(A4533,Movie!A:D,4,FALSE)</f>
        <v>Warner Brothers</v>
      </c>
      <c r="H4533" s="14">
        <f>VLOOKUP(E4533,'Rental Transaction'!A:B,2,FALSE)</f>
        <v>880238</v>
      </c>
      <c r="I4533">
        <f t="shared" si="70"/>
        <v>2013</v>
      </c>
    </row>
    <row r="4534" spans="1:9">
      <c r="A4534" s="1">
        <v>10209</v>
      </c>
      <c r="B4534" s="1">
        <v>1</v>
      </c>
      <c r="C4534" s="2">
        <v>41625</v>
      </c>
      <c r="D4534" s="1" t="s">
        <v>2005</v>
      </c>
      <c r="E4534" s="1">
        <v>102810</v>
      </c>
      <c r="F4534" s="6" t="s">
        <v>6536</v>
      </c>
      <c r="G4534" s="15" t="str">
        <f>VLOOKUP(A4534,Movie!A:D,4,FALSE)</f>
        <v>Universal</v>
      </c>
      <c r="H4534" s="14">
        <f>VLOOKUP(E4534,'Rental Transaction'!A:B,2,FALSE)</f>
        <v>696852</v>
      </c>
      <c r="I4534">
        <f t="shared" si="70"/>
        <v>2013</v>
      </c>
    </row>
    <row r="4535" spans="1:9">
      <c r="A4535" s="1">
        <v>10235</v>
      </c>
      <c r="B4535" s="1">
        <v>1</v>
      </c>
      <c r="C4535" s="2">
        <v>41625</v>
      </c>
      <c r="D4535" s="1" t="s">
        <v>2005</v>
      </c>
      <c r="E4535" s="1">
        <v>102810</v>
      </c>
      <c r="F4535" s="6" t="s">
        <v>6537</v>
      </c>
      <c r="G4535" s="15" t="str">
        <f>VLOOKUP(A4535,Movie!A:D,4,FALSE)</f>
        <v>Lionsgate</v>
      </c>
      <c r="H4535" s="14">
        <f>VLOOKUP(E4535,'Rental Transaction'!A:B,2,FALSE)</f>
        <v>696852</v>
      </c>
      <c r="I4535">
        <f t="shared" si="70"/>
        <v>2013</v>
      </c>
    </row>
    <row r="4536" spans="1:9">
      <c r="A4536" s="1">
        <v>10261</v>
      </c>
      <c r="B4536" s="1">
        <v>9</v>
      </c>
      <c r="C4536" s="2">
        <v>41625</v>
      </c>
      <c r="D4536" s="1" t="s">
        <v>2002</v>
      </c>
      <c r="E4536" s="1">
        <v>102811</v>
      </c>
      <c r="F4536" s="6" t="s">
        <v>6538</v>
      </c>
      <c r="G4536" s="15" t="str">
        <f>VLOOKUP(A4536,Movie!A:D,4,FALSE)</f>
        <v>Fox</v>
      </c>
      <c r="H4536" s="14">
        <f>VLOOKUP(E4536,'Rental Transaction'!A:B,2,FALSE)</f>
        <v>426830</v>
      </c>
      <c r="I4536">
        <f t="shared" si="70"/>
        <v>2013</v>
      </c>
    </row>
    <row r="4537" spans="1:9">
      <c r="A4537" s="1">
        <v>10260</v>
      </c>
      <c r="B4537" s="1">
        <v>3</v>
      </c>
      <c r="C4537" s="2">
        <v>41624</v>
      </c>
      <c r="D4537" s="1" t="s">
        <v>2002</v>
      </c>
      <c r="E4537" s="1">
        <v>102811</v>
      </c>
      <c r="F4537" s="6" t="s">
        <v>6539</v>
      </c>
      <c r="G4537" s="15" t="str">
        <f>VLOOKUP(A4537,Movie!A:D,4,FALSE)</f>
        <v>Sony</v>
      </c>
      <c r="H4537" s="14">
        <f>VLOOKUP(E4537,'Rental Transaction'!A:B,2,FALSE)</f>
        <v>426830</v>
      </c>
      <c r="I4537">
        <f t="shared" si="70"/>
        <v>2013</v>
      </c>
    </row>
    <row r="4538" spans="1:9">
      <c r="A4538" s="1">
        <v>10218</v>
      </c>
      <c r="B4538" s="1">
        <v>8</v>
      </c>
      <c r="C4538" s="2">
        <v>41624</v>
      </c>
      <c r="D4538" s="1" t="s">
        <v>2002</v>
      </c>
      <c r="E4538" s="1">
        <v>102811</v>
      </c>
      <c r="F4538" s="6" t="s">
        <v>6540</v>
      </c>
      <c r="G4538" s="15" t="str">
        <f>VLOOKUP(A4538,Movie!A:D,4,FALSE)</f>
        <v>Sony</v>
      </c>
      <c r="H4538" s="14">
        <f>VLOOKUP(E4538,'Rental Transaction'!A:B,2,FALSE)</f>
        <v>426830</v>
      </c>
      <c r="I4538">
        <f t="shared" si="70"/>
        <v>2013</v>
      </c>
    </row>
    <row r="4539" spans="1:9">
      <c r="A4539" s="1">
        <v>10277</v>
      </c>
      <c r="B4539" s="1">
        <v>1</v>
      </c>
      <c r="C4539" s="2">
        <v>41624</v>
      </c>
      <c r="D4539" s="1" t="s">
        <v>2002</v>
      </c>
      <c r="E4539" s="1">
        <v>102812</v>
      </c>
      <c r="F4539" s="6" t="s">
        <v>6541</v>
      </c>
      <c r="G4539" s="15" t="str">
        <f>VLOOKUP(A4539,Movie!A:D,4,FALSE)</f>
        <v>Universal</v>
      </c>
      <c r="H4539" s="14">
        <f>VLOOKUP(E4539,'Rental Transaction'!A:B,2,FALSE)</f>
        <v>147216</v>
      </c>
      <c r="I4539">
        <f t="shared" si="70"/>
        <v>2013</v>
      </c>
    </row>
    <row r="4540" spans="1:9">
      <c r="A4540" s="1">
        <v>10139</v>
      </c>
      <c r="B4540" s="1">
        <v>2</v>
      </c>
      <c r="C4540" s="2">
        <v>41625</v>
      </c>
      <c r="D4540" s="1" t="s">
        <v>2002</v>
      </c>
      <c r="E4540" s="1">
        <v>102813</v>
      </c>
      <c r="F4540" s="6" t="s">
        <v>6542</v>
      </c>
      <c r="G4540" s="15" t="str">
        <f>VLOOKUP(A4540,Movie!A:D,4,FALSE)</f>
        <v>Focus</v>
      </c>
      <c r="H4540" s="14">
        <f>VLOOKUP(E4540,'Rental Transaction'!A:B,2,FALSE)</f>
        <v>310195</v>
      </c>
      <c r="I4540">
        <f t="shared" si="70"/>
        <v>2013</v>
      </c>
    </row>
    <row r="4541" spans="1:9">
      <c r="A4541" s="1">
        <v>10181</v>
      </c>
      <c r="B4541" s="1">
        <v>5</v>
      </c>
      <c r="C4541" s="2">
        <v>41624</v>
      </c>
      <c r="D4541" s="1" t="s">
        <v>2005</v>
      </c>
      <c r="E4541" s="1">
        <v>102813</v>
      </c>
      <c r="F4541" s="6" t="s">
        <v>6543</v>
      </c>
      <c r="G4541" s="15" t="str">
        <f>VLOOKUP(A4541,Movie!A:D,4,FALSE)</f>
        <v>Fox</v>
      </c>
      <c r="H4541" s="14">
        <f>VLOOKUP(E4541,'Rental Transaction'!A:B,2,FALSE)</f>
        <v>310195</v>
      </c>
      <c r="I4541">
        <f t="shared" si="70"/>
        <v>2013</v>
      </c>
    </row>
    <row r="4542" spans="1:9">
      <c r="A4542" s="1">
        <v>10349</v>
      </c>
      <c r="B4542" s="1">
        <v>4</v>
      </c>
      <c r="C4542" s="2">
        <v>41626</v>
      </c>
      <c r="D4542" s="1" t="s">
        <v>2002</v>
      </c>
      <c r="E4542" s="1">
        <v>102814</v>
      </c>
      <c r="F4542" s="6" t="s">
        <v>6544</v>
      </c>
      <c r="G4542" s="15" t="str">
        <f>VLOOKUP(A4542,Movie!A:D,4,FALSE)</f>
        <v>Screen Gems</v>
      </c>
      <c r="H4542" s="14">
        <f>VLOOKUP(E4542,'Rental Transaction'!A:B,2,FALSE)</f>
        <v>671363</v>
      </c>
      <c r="I4542">
        <f t="shared" si="70"/>
        <v>2013</v>
      </c>
    </row>
    <row r="4543" spans="1:9">
      <c r="A4543" s="1">
        <v>10275</v>
      </c>
      <c r="B4543" s="1">
        <v>6</v>
      </c>
      <c r="C4543" s="2">
        <v>41630</v>
      </c>
      <c r="D4543" s="1" t="s">
        <v>2005</v>
      </c>
      <c r="E4543" s="1">
        <v>102816</v>
      </c>
      <c r="F4543" s="6" t="s">
        <v>6545</v>
      </c>
      <c r="G4543" s="15" t="str">
        <f>VLOOKUP(A4543,Movie!A:D,4,FALSE)</f>
        <v>Lionsgate</v>
      </c>
      <c r="H4543" s="14">
        <f>VLOOKUP(E4543,'Rental Transaction'!A:B,2,FALSE)</f>
        <v>329994</v>
      </c>
      <c r="I4543">
        <f t="shared" si="70"/>
        <v>2013</v>
      </c>
    </row>
    <row r="4544" spans="1:9">
      <c r="A4544" s="1">
        <v>10273</v>
      </c>
      <c r="B4544" s="1">
        <v>6</v>
      </c>
      <c r="C4544" s="2">
        <v>41625</v>
      </c>
      <c r="D4544" s="1" t="s">
        <v>2005</v>
      </c>
      <c r="E4544" s="1">
        <v>102816</v>
      </c>
      <c r="F4544" s="6" t="s">
        <v>6546</v>
      </c>
      <c r="G4544" s="15" t="str">
        <f>VLOOKUP(A4544,Movie!A:D,4,FALSE)</f>
        <v>Sony</v>
      </c>
      <c r="H4544" s="14">
        <f>VLOOKUP(E4544,'Rental Transaction'!A:B,2,FALSE)</f>
        <v>329994</v>
      </c>
      <c r="I4544">
        <f t="shared" si="70"/>
        <v>2013</v>
      </c>
    </row>
    <row r="4545" spans="1:9">
      <c r="A4545" s="1">
        <v>10150</v>
      </c>
      <c r="B4545" s="1">
        <v>5</v>
      </c>
      <c r="C4545" s="2">
        <v>41625</v>
      </c>
      <c r="D4545" s="1" t="s">
        <v>2002</v>
      </c>
      <c r="E4545" s="1">
        <v>102817</v>
      </c>
      <c r="F4545" s="6" t="s">
        <v>6547</v>
      </c>
      <c r="G4545" s="15" t="str">
        <f>VLOOKUP(A4545,Movie!A:D,4,FALSE)</f>
        <v>Focus</v>
      </c>
      <c r="H4545" s="14">
        <f>VLOOKUP(E4545,'Rental Transaction'!A:B,2,FALSE)</f>
        <v>643214</v>
      </c>
      <c r="I4545">
        <f t="shared" si="70"/>
        <v>2013</v>
      </c>
    </row>
    <row r="4546" spans="1:9">
      <c r="A4546" s="1">
        <v>10089</v>
      </c>
      <c r="B4546" s="1">
        <v>9</v>
      </c>
      <c r="C4546" s="2">
        <v>41625</v>
      </c>
      <c r="D4546" s="1" t="s">
        <v>2002</v>
      </c>
      <c r="E4546" s="1">
        <v>102817</v>
      </c>
      <c r="F4546" s="6" t="s">
        <v>6548</v>
      </c>
      <c r="G4546" s="15" t="str">
        <f>VLOOKUP(A4546,Movie!A:D,4,FALSE)</f>
        <v>Sony</v>
      </c>
      <c r="H4546" s="14">
        <f>VLOOKUP(E4546,'Rental Transaction'!A:B,2,FALSE)</f>
        <v>643214</v>
      </c>
      <c r="I4546">
        <f t="shared" si="70"/>
        <v>2013</v>
      </c>
    </row>
    <row r="4547" spans="1:9">
      <c r="A4547" s="1">
        <v>10234</v>
      </c>
      <c r="B4547" s="1">
        <v>9</v>
      </c>
      <c r="C4547" s="2">
        <v>41625</v>
      </c>
      <c r="D4547" s="1" t="s">
        <v>2002</v>
      </c>
      <c r="E4547" s="1">
        <v>102818</v>
      </c>
      <c r="F4547" s="6" t="s">
        <v>6549</v>
      </c>
      <c r="G4547" s="15" t="str">
        <f>VLOOKUP(A4547,Movie!A:D,4,FALSE)</f>
        <v>Warner Brothers</v>
      </c>
      <c r="H4547" s="14">
        <f>VLOOKUP(E4547,'Rental Transaction'!A:B,2,FALSE)</f>
        <v>766161</v>
      </c>
      <c r="I4547">
        <f t="shared" ref="I4547:I4610" si="71">YEAR(C4547)</f>
        <v>2013</v>
      </c>
    </row>
    <row r="4548" spans="1:9">
      <c r="A4548" s="1">
        <v>10207</v>
      </c>
      <c r="B4548" s="1">
        <v>8</v>
      </c>
      <c r="C4548" s="2">
        <v>41625</v>
      </c>
      <c r="D4548" s="1" t="s">
        <v>2002</v>
      </c>
      <c r="E4548" s="1">
        <v>102818</v>
      </c>
      <c r="F4548" s="6" t="s">
        <v>6550</v>
      </c>
      <c r="G4548" s="15" t="str">
        <f>VLOOKUP(A4548,Movie!A:D,4,FALSE)</f>
        <v>Paramount</v>
      </c>
      <c r="H4548" s="14">
        <f>VLOOKUP(E4548,'Rental Transaction'!A:B,2,FALSE)</f>
        <v>766161</v>
      </c>
      <c r="I4548">
        <f t="shared" si="71"/>
        <v>2013</v>
      </c>
    </row>
    <row r="4549" spans="1:9">
      <c r="A4549" s="1">
        <v>10145</v>
      </c>
      <c r="B4549" s="1">
        <v>8</v>
      </c>
      <c r="C4549" s="2">
        <v>41628</v>
      </c>
      <c r="D4549" s="1" t="s">
        <v>2002</v>
      </c>
      <c r="E4549" s="1">
        <v>102819</v>
      </c>
      <c r="F4549" s="6" t="s">
        <v>6551</v>
      </c>
      <c r="G4549" s="15" t="str">
        <f>VLOOKUP(A4549,Movie!A:D,4,FALSE)</f>
        <v>TriStar</v>
      </c>
      <c r="H4549" s="14">
        <f>VLOOKUP(E4549,'Rental Transaction'!A:B,2,FALSE)</f>
        <v>244282</v>
      </c>
      <c r="I4549">
        <f t="shared" si="71"/>
        <v>2013</v>
      </c>
    </row>
    <row r="4550" spans="1:9">
      <c r="A4550" s="1">
        <v>10278</v>
      </c>
      <c r="B4550" s="1">
        <v>8</v>
      </c>
      <c r="C4550" s="2">
        <v>41625</v>
      </c>
      <c r="D4550" s="1" t="s">
        <v>2005</v>
      </c>
      <c r="E4550" s="1">
        <v>102820</v>
      </c>
      <c r="F4550" s="6" t="s">
        <v>6552</v>
      </c>
      <c r="G4550" s="15" t="str">
        <f>VLOOKUP(A4550,Movie!A:D,4,FALSE)</f>
        <v>Universal</v>
      </c>
      <c r="H4550" s="14">
        <f>VLOOKUP(E4550,'Rental Transaction'!A:B,2,FALSE)</f>
        <v>418635</v>
      </c>
      <c r="I4550">
        <f t="shared" si="71"/>
        <v>2013</v>
      </c>
    </row>
    <row r="4551" spans="1:9">
      <c r="A4551" s="1">
        <v>10275</v>
      </c>
      <c r="B4551" s="1">
        <v>5</v>
      </c>
      <c r="C4551" s="2">
        <v>41627</v>
      </c>
      <c r="D4551" s="1" t="s">
        <v>2005</v>
      </c>
      <c r="E4551" s="1">
        <v>102820</v>
      </c>
      <c r="F4551" s="6" t="s">
        <v>6553</v>
      </c>
      <c r="G4551" s="15" t="str">
        <f>VLOOKUP(A4551,Movie!A:D,4,FALSE)</f>
        <v>Lionsgate</v>
      </c>
      <c r="H4551" s="14">
        <f>VLOOKUP(E4551,'Rental Transaction'!A:B,2,FALSE)</f>
        <v>418635</v>
      </c>
      <c r="I4551">
        <f t="shared" si="71"/>
        <v>2013</v>
      </c>
    </row>
    <row r="4552" spans="1:9">
      <c r="A4552" s="1">
        <v>10259</v>
      </c>
      <c r="B4552" s="1">
        <v>7</v>
      </c>
      <c r="C4552" s="2">
        <v>41626</v>
      </c>
      <c r="D4552" s="1" t="s">
        <v>2002</v>
      </c>
      <c r="E4552" s="1">
        <v>102820</v>
      </c>
      <c r="F4552" s="6" t="s">
        <v>6554</v>
      </c>
      <c r="G4552" s="15" t="str">
        <f>VLOOKUP(A4552,Movie!A:D,4,FALSE)</f>
        <v>Warner Brothers</v>
      </c>
      <c r="H4552" s="14">
        <f>VLOOKUP(E4552,'Rental Transaction'!A:B,2,FALSE)</f>
        <v>418635</v>
      </c>
      <c r="I4552">
        <f t="shared" si="71"/>
        <v>2013</v>
      </c>
    </row>
    <row r="4553" spans="1:9">
      <c r="A4553" s="1">
        <v>10181</v>
      </c>
      <c r="B4553" s="1">
        <v>9</v>
      </c>
      <c r="C4553" s="2">
        <v>41625</v>
      </c>
      <c r="D4553" s="1" t="s">
        <v>2002</v>
      </c>
      <c r="E4553" s="1">
        <v>102821</v>
      </c>
      <c r="F4553" s="6" t="s">
        <v>6555</v>
      </c>
      <c r="G4553" s="15" t="str">
        <f>VLOOKUP(A4553,Movie!A:D,4,FALSE)</f>
        <v>Fox</v>
      </c>
      <c r="H4553" s="14">
        <f>VLOOKUP(E4553,'Rental Transaction'!A:B,2,FALSE)</f>
        <v>175871</v>
      </c>
      <c r="I4553">
        <f t="shared" si="71"/>
        <v>2013</v>
      </c>
    </row>
    <row r="4554" spans="1:9">
      <c r="A4554" s="1">
        <v>10261</v>
      </c>
      <c r="B4554" s="1">
        <v>1</v>
      </c>
      <c r="C4554" s="2">
        <v>41628</v>
      </c>
      <c r="D4554" s="1" t="s">
        <v>2002</v>
      </c>
      <c r="E4554" s="1">
        <v>102821</v>
      </c>
      <c r="F4554" s="6" t="s">
        <v>6556</v>
      </c>
      <c r="G4554" s="15" t="str">
        <f>VLOOKUP(A4554,Movie!A:D,4,FALSE)</f>
        <v>Fox</v>
      </c>
      <c r="H4554" s="14">
        <f>VLOOKUP(E4554,'Rental Transaction'!A:B,2,FALSE)</f>
        <v>175871</v>
      </c>
      <c r="I4554">
        <f t="shared" si="71"/>
        <v>2013</v>
      </c>
    </row>
    <row r="4555" spans="1:9">
      <c r="A4555" s="1">
        <v>10243</v>
      </c>
      <c r="B4555" s="1">
        <v>7</v>
      </c>
      <c r="C4555" s="2">
        <v>41626</v>
      </c>
      <c r="D4555" s="1" t="s">
        <v>2002</v>
      </c>
      <c r="E4555" s="1">
        <v>102822</v>
      </c>
      <c r="F4555" s="6" t="s">
        <v>6557</v>
      </c>
      <c r="G4555" s="15" t="str">
        <f>VLOOKUP(A4555,Movie!A:D,4,FALSE)</f>
        <v>Fox</v>
      </c>
      <c r="H4555" s="14">
        <f>VLOOKUP(E4555,'Rental Transaction'!A:B,2,FALSE)</f>
        <v>741514</v>
      </c>
      <c r="I4555">
        <f t="shared" si="71"/>
        <v>2013</v>
      </c>
    </row>
    <row r="4556" spans="1:9">
      <c r="A4556" s="1">
        <v>10053</v>
      </c>
      <c r="B4556" s="1">
        <v>2</v>
      </c>
      <c r="C4556" s="2">
        <v>41626</v>
      </c>
      <c r="D4556" s="1" t="s">
        <v>2005</v>
      </c>
      <c r="E4556" s="1">
        <v>102823</v>
      </c>
      <c r="F4556" s="6" t="s">
        <v>6558</v>
      </c>
      <c r="G4556" s="15" t="str">
        <f>VLOOKUP(A4556,Movie!A:D,4,FALSE)</f>
        <v>Sony</v>
      </c>
      <c r="H4556" s="14">
        <f>VLOOKUP(E4556,'Rental Transaction'!A:B,2,FALSE)</f>
        <v>938417</v>
      </c>
      <c r="I4556">
        <f t="shared" si="71"/>
        <v>2013</v>
      </c>
    </row>
    <row r="4557" spans="1:9">
      <c r="A4557" s="1">
        <v>10045</v>
      </c>
      <c r="B4557" s="1">
        <v>1</v>
      </c>
      <c r="C4557" s="2">
        <v>41627</v>
      </c>
      <c r="D4557" s="1" t="s">
        <v>2002</v>
      </c>
      <c r="E4557" s="1">
        <v>102824</v>
      </c>
      <c r="F4557" s="6" t="s">
        <v>6559</v>
      </c>
      <c r="G4557" s="15" t="str">
        <f>VLOOKUP(A4557,Movie!A:D,4,FALSE)</f>
        <v>Warner Brothers</v>
      </c>
      <c r="H4557" s="14">
        <f>VLOOKUP(E4557,'Rental Transaction'!A:B,2,FALSE)</f>
        <v>441628</v>
      </c>
      <c r="I4557">
        <f t="shared" si="71"/>
        <v>2013</v>
      </c>
    </row>
    <row r="4558" spans="1:9">
      <c r="A4558" s="1">
        <v>10178</v>
      </c>
      <c r="B4558" s="1">
        <v>1</v>
      </c>
      <c r="C4558" s="2">
        <v>41626</v>
      </c>
      <c r="D4558" s="1" t="s">
        <v>2002</v>
      </c>
      <c r="E4558" s="1">
        <v>102825</v>
      </c>
      <c r="F4558" s="6" t="s">
        <v>6560</v>
      </c>
      <c r="G4558" s="15" t="str">
        <f>VLOOKUP(A4558,Movie!A:D,4,FALSE)</f>
        <v>Warner Brothers</v>
      </c>
      <c r="H4558" s="14">
        <f>VLOOKUP(E4558,'Rental Transaction'!A:B,2,FALSE)</f>
        <v>723819</v>
      </c>
      <c r="I4558">
        <f t="shared" si="71"/>
        <v>2013</v>
      </c>
    </row>
    <row r="4559" spans="1:9">
      <c r="A4559" s="1">
        <v>10138</v>
      </c>
      <c r="B4559" s="1">
        <v>3</v>
      </c>
      <c r="C4559" s="2">
        <v>41627</v>
      </c>
      <c r="D4559" s="1" t="s">
        <v>2002</v>
      </c>
      <c r="E4559" s="1">
        <v>102825</v>
      </c>
      <c r="F4559" s="6" t="s">
        <v>6561</v>
      </c>
      <c r="G4559" s="15" t="str">
        <f>VLOOKUP(A4559,Movie!A:D,4,FALSE)</f>
        <v>Universal</v>
      </c>
      <c r="H4559" s="14">
        <f>VLOOKUP(E4559,'Rental Transaction'!A:B,2,FALSE)</f>
        <v>723819</v>
      </c>
      <c r="I4559">
        <f t="shared" si="71"/>
        <v>2013</v>
      </c>
    </row>
    <row r="4560" spans="1:9">
      <c r="A4560" s="1">
        <v>10199</v>
      </c>
      <c r="B4560" s="1">
        <v>2</v>
      </c>
      <c r="C4560" s="2">
        <v>41627</v>
      </c>
      <c r="D4560" s="1" t="s">
        <v>2002</v>
      </c>
      <c r="E4560" s="1">
        <v>102826</v>
      </c>
      <c r="F4560" s="6" t="s">
        <v>6562</v>
      </c>
      <c r="G4560" s="15" t="str">
        <f>VLOOKUP(A4560,Movie!A:D,4,FALSE)</f>
        <v>Lionsgate</v>
      </c>
      <c r="H4560" s="14">
        <f>VLOOKUP(E4560,'Rental Transaction'!A:B,2,FALSE)</f>
        <v>889686</v>
      </c>
      <c r="I4560">
        <f t="shared" si="71"/>
        <v>2013</v>
      </c>
    </row>
    <row r="4561" spans="1:9">
      <c r="A4561" s="1">
        <v>10278</v>
      </c>
      <c r="B4561" s="1">
        <v>10</v>
      </c>
      <c r="C4561" s="2">
        <v>41629</v>
      </c>
      <c r="D4561" s="1" t="s">
        <v>2002</v>
      </c>
      <c r="E4561" s="1">
        <v>102827</v>
      </c>
      <c r="F4561" s="6" t="s">
        <v>6563</v>
      </c>
      <c r="G4561" s="15" t="str">
        <f>VLOOKUP(A4561,Movie!A:D,4,FALSE)</f>
        <v>Universal</v>
      </c>
      <c r="H4561" s="14">
        <f>VLOOKUP(E4561,'Rental Transaction'!A:B,2,FALSE)</f>
        <v>612681</v>
      </c>
      <c r="I4561">
        <f t="shared" si="71"/>
        <v>2013</v>
      </c>
    </row>
    <row r="4562" spans="1:9">
      <c r="A4562" s="1">
        <v>10252</v>
      </c>
      <c r="B4562" s="1">
        <v>1</v>
      </c>
      <c r="C4562" s="2">
        <v>41626</v>
      </c>
      <c r="D4562" s="1" t="s">
        <v>2002</v>
      </c>
      <c r="E4562" s="1">
        <v>102827</v>
      </c>
      <c r="F4562" s="6" t="s">
        <v>6564</v>
      </c>
      <c r="G4562" s="15" t="str">
        <f>VLOOKUP(A4562,Movie!A:D,4,FALSE)</f>
        <v>Warner Brothers</v>
      </c>
      <c r="H4562" s="14">
        <f>VLOOKUP(E4562,'Rental Transaction'!A:B,2,FALSE)</f>
        <v>612681</v>
      </c>
      <c r="I4562">
        <f t="shared" si="71"/>
        <v>2013</v>
      </c>
    </row>
    <row r="4563" spans="1:9">
      <c r="A4563" s="1">
        <v>10185</v>
      </c>
      <c r="B4563" s="1">
        <v>6</v>
      </c>
      <c r="C4563" s="2">
        <v>41626</v>
      </c>
      <c r="D4563" s="1" t="s">
        <v>2002</v>
      </c>
      <c r="E4563" s="1">
        <v>102828</v>
      </c>
      <c r="F4563" s="6" t="s">
        <v>6565</v>
      </c>
      <c r="G4563" s="15" t="str">
        <f>VLOOKUP(A4563,Movie!A:D,4,FALSE)</f>
        <v>Warner Brothers</v>
      </c>
      <c r="H4563" s="14">
        <f>VLOOKUP(E4563,'Rental Transaction'!A:B,2,FALSE)</f>
        <v>253106</v>
      </c>
      <c r="I4563">
        <f t="shared" si="71"/>
        <v>2013</v>
      </c>
    </row>
    <row r="4564" spans="1:9">
      <c r="A4564" s="1">
        <v>10245</v>
      </c>
      <c r="B4564" s="1">
        <v>6</v>
      </c>
      <c r="C4564" s="2">
        <v>41626</v>
      </c>
      <c r="D4564" s="1" t="s">
        <v>2005</v>
      </c>
      <c r="E4564" s="1">
        <v>102829</v>
      </c>
      <c r="F4564" s="6" t="s">
        <v>6566</v>
      </c>
      <c r="G4564" s="15" t="str">
        <f>VLOOKUP(A4564,Movie!A:D,4,FALSE)</f>
        <v>Warner Brothers</v>
      </c>
      <c r="H4564" s="14">
        <f>VLOOKUP(E4564,'Rental Transaction'!A:B,2,FALSE)</f>
        <v>170500</v>
      </c>
      <c r="I4564">
        <f t="shared" si="71"/>
        <v>2013</v>
      </c>
    </row>
    <row r="4565" spans="1:9">
      <c r="A4565" s="1">
        <v>10252</v>
      </c>
      <c r="B4565" s="1">
        <v>6</v>
      </c>
      <c r="C4565" s="2">
        <v>41629</v>
      </c>
      <c r="D4565" s="1" t="s">
        <v>2002</v>
      </c>
      <c r="E4565" s="1">
        <v>102829</v>
      </c>
      <c r="F4565" s="6" t="s">
        <v>6567</v>
      </c>
      <c r="G4565" s="15" t="str">
        <f>VLOOKUP(A4565,Movie!A:D,4,FALSE)</f>
        <v>Warner Brothers</v>
      </c>
      <c r="H4565" s="14">
        <f>VLOOKUP(E4565,'Rental Transaction'!A:B,2,FALSE)</f>
        <v>170500</v>
      </c>
      <c r="I4565">
        <f t="shared" si="71"/>
        <v>2013</v>
      </c>
    </row>
    <row r="4566" spans="1:9">
      <c r="A4566" s="1">
        <v>10245</v>
      </c>
      <c r="B4566" s="1">
        <v>8</v>
      </c>
      <c r="C4566" s="2">
        <v>41626</v>
      </c>
      <c r="D4566" s="1" t="s">
        <v>2005</v>
      </c>
      <c r="E4566" s="1">
        <v>102830</v>
      </c>
      <c r="F4566" s="6" t="s">
        <v>6568</v>
      </c>
      <c r="G4566" s="15" t="str">
        <f>VLOOKUP(A4566,Movie!A:D,4,FALSE)</f>
        <v>Warner Brothers</v>
      </c>
      <c r="H4566" s="14">
        <f>VLOOKUP(E4566,'Rental Transaction'!A:B,2,FALSE)</f>
        <v>550824</v>
      </c>
      <c r="I4566">
        <f t="shared" si="71"/>
        <v>2013</v>
      </c>
    </row>
    <row r="4567" spans="1:9">
      <c r="A4567" s="1">
        <v>10238</v>
      </c>
      <c r="B4567" s="1">
        <v>8</v>
      </c>
      <c r="C4567" s="2">
        <v>41631</v>
      </c>
      <c r="D4567" s="1" t="s">
        <v>2002</v>
      </c>
      <c r="E4567" s="1">
        <v>102831</v>
      </c>
      <c r="F4567" s="6" t="s">
        <v>6569</v>
      </c>
      <c r="G4567" s="15" t="str">
        <f>VLOOKUP(A4567,Movie!A:D,4,FALSE)</f>
        <v>Warner Brothers</v>
      </c>
      <c r="H4567" s="14">
        <f>VLOOKUP(E4567,'Rental Transaction'!A:B,2,FALSE)</f>
        <v>442691</v>
      </c>
      <c r="I4567">
        <f t="shared" si="71"/>
        <v>2013</v>
      </c>
    </row>
    <row r="4568" spans="1:9">
      <c r="A4568" s="1">
        <v>10112</v>
      </c>
      <c r="B4568" s="1">
        <v>7</v>
      </c>
      <c r="C4568" s="2">
        <v>41627</v>
      </c>
      <c r="D4568" s="1" t="s">
        <v>2002</v>
      </c>
      <c r="E4568" s="1">
        <v>102834</v>
      </c>
      <c r="F4568" s="6" t="s">
        <v>6570</v>
      </c>
      <c r="G4568" s="15" t="str">
        <f>VLOOKUP(A4568,Movie!A:D,4,FALSE)</f>
        <v>Relativity</v>
      </c>
      <c r="H4568" s="14">
        <f>VLOOKUP(E4568,'Rental Transaction'!A:B,2,FALSE)</f>
        <v>955591</v>
      </c>
      <c r="I4568">
        <f t="shared" si="71"/>
        <v>2013</v>
      </c>
    </row>
    <row r="4569" spans="1:9">
      <c r="A4569" s="1">
        <v>10177</v>
      </c>
      <c r="B4569" s="1">
        <v>2</v>
      </c>
      <c r="C4569" s="2">
        <v>41628</v>
      </c>
      <c r="D4569" s="1" t="s">
        <v>2002</v>
      </c>
      <c r="E4569" s="1">
        <v>102835</v>
      </c>
      <c r="F4569" s="6" t="s">
        <v>6571</v>
      </c>
      <c r="G4569" s="15" t="str">
        <f>VLOOKUP(A4569,Movie!A:D,4,FALSE)</f>
        <v>Fox</v>
      </c>
      <c r="H4569" s="14">
        <f>VLOOKUP(E4569,'Rental Transaction'!A:B,2,FALSE)</f>
        <v>925565</v>
      </c>
      <c r="I4569">
        <f t="shared" si="71"/>
        <v>2013</v>
      </c>
    </row>
    <row r="4570" spans="1:9">
      <c r="A4570" s="1">
        <v>10218</v>
      </c>
      <c r="B4570" s="1">
        <v>10</v>
      </c>
      <c r="C4570" s="2">
        <v>41628</v>
      </c>
      <c r="D4570" s="1" t="s">
        <v>2002</v>
      </c>
      <c r="E4570" s="1">
        <v>102838</v>
      </c>
      <c r="F4570" s="6" t="s">
        <v>6572</v>
      </c>
      <c r="G4570" s="15" t="str">
        <f>VLOOKUP(A4570,Movie!A:D,4,FALSE)</f>
        <v>Sony</v>
      </c>
      <c r="H4570" s="14">
        <f>VLOOKUP(E4570,'Rental Transaction'!A:B,2,FALSE)</f>
        <v>166612</v>
      </c>
      <c r="I4570">
        <f t="shared" si="71"/>
        <v>2013</v>
      </c>
    </row>
    <row r="4571" spans="1:9">
      <c r="A4571" s="1">
        <v>10254</v>
      </c>
      <c r="B4571" s="1">
        <v>10</v>
      </c>
      <c r="C4571" s="2">
        <v>41628</v>
      </c>
      <c r="D4571" s="1" t="s">
        <v>2002</v>
      </c>
      <c r="E4571" s="1">
        <v>102839</v>
      </c>
      <c r="F4571" s="6" t="s">
        <v>6573</v>
      </c>
      <c r="G4571" s="15" t="str">
        <f>VLOOKUP(A4571,Movie!A:D,4,FALSE)</f>
        <v>Paramount</v>
      </c>
      <c r="H4571" s="14">
        <f>VLOOKUP(E4571,'Rental Transaction'!A:B,2,FALSE)</f>
        <v>781523</v>
      </c>
      <c r="I4571">
        <f t="shared" si="71"/>
        <v>2013</v>
      </c>
    </row>
    <row r="4572" spans="1:9">
      <c r="A4572" s="1">
        <v>10127</v>
      </c>
      <c r="B4572" s="1">
        <v>7</v>
      </c>
      <c r="C4572" s="2">
        <v>41628</v>
      </c>
      <c r="D4572" s="1" t="s">
        <v>2002</v>
      </c>
      <c r="E4572" s="1">
        <v>102839</v>
      </c>
      <c r="F4572" s="6" t="s">
        <v>6574</v>
      </c>
      <c r="G4572" s="15" t="str">
        <f>VLOOKUP(A4572,Movie!A:D,4,FALSE)</f>
        <v>TriStar</v>
      </c>
      <c r="H4572" s="14">
        <f>VLOOKUP(E4572,'Rental Transaction'!A:B,2,FALSE)</f>
        <v>781523</v>
      </c>
      <c r="I4572">
        <f t="shared" si="71"/>
        <v>2013</v>
      </c>
    </row>
    <row r="4573" spans="1:9">
      <c r="A4573" s="1">
        <v>10227</v>
      </c>
      <c r="B4573" s="1">
        <v>7</v>
      </c>
      <c r="C4573" s="2">
        <v>41631</v>
      </c>
      <c r="D4573" s="1" t="s">
        <v>2005</v>
      </c>
      <c r="E4573" s="1">
        <v>102840</v>
      </c>
      <c r="F4573" s="6" t="s">
        <v>6575</v>
      </c>
      <c r="G4573" s="15" t="str">
        <f>VLOOKUP(A4573,Movie!A:D,4,FALSE)</f>
        <v>Focus</v>
      </c>
      <c r="H4573" s="14">
        <f>VLOOKUP(E4573,'Rental Transaction'!A:B,2,FALSE)</f>
        <v>534481</v>
      </c>
      <c r="I4573">
        <f t="shared" si="71"/>
        <v>2013</v>
      </c>
    </row>
    <row r="4574" spans="1:9">
      <c r="A4574" s="1">
        <v>10228</v>
      </c>
      <c r="B4574" s="1">
        <v>3</v>
      </c>
      <c r="C4574" s="2">
        <v>41628</v>
      </c>
      <c r="D4574" s="1" t="s">
        <v>2002</v>
      </c>
      <c r="E4574" s="1">
        <v>102841</v>
      </c>
      <c r="F4574" s="6" t="s">
        <v>6576</v>
      </c>
      <c r="G4574" s="15" t="str">
        <f>VLOOKUP(A4574,Movie!A:D,4,FALSE)</f>
        <v>Universal</v>
      </c>
      <c r="H4574" s="14">
        <f>VLOOKUP(E4574,'Rental Transaction'!A:B,2,FALSE)</f>
        <v>745543</v>
      </c>
      <c r="I4574">
        <f t="shared" si="71"/>
        <v>2013</v>
      </c>
    </row>
    <row r="4575" spans="1:9">
      <c r="A4575" s="1">
        <v>10217</v>
      </c>
      <c r="B4575" s="1">
        <v>1</v>
      </c>
      <c r="C4575" s="2">
        <v>41628</v>
      </c>
      <c r="D4575" s="1" t="s">
        <v>2002</v>
      </c>
      <c r="E4575" s="1">
        <v>102842</v>
      </c>
      <c r="F4575" s="6" t="s">
        <v>6577</v>
      </c>
      <c r="G4575" s="15" t="str">
        <f>VLOOKUP(A4575,Movie!A:D,4,FALSE)</f>
        <v>Warner Brothers</v>
      </c>
      <c r="H4575" s="14">
        <f>VLOOKUP(E4575,'Rental Transaction'!A:B,2,FALSE)</f>
        <v>932618</v>
      </c>
      <c r="I4575">
        <f t="shared" si="71"/>
        <v>2013</v>
      </c>
    </row>
    <row r="4576" spans="1:9">
      <c r="A4576" s="1">
        <v>10237</v>
      </c>
      <c r="B4576" s="1">
        <v>7</v>
      </c>
      <c r="C4576" s="2">
        <v>41628</v>
      </c>
      <c r="D4576" s="1" t="s">
        <v>2002</v>
      </c>
      <c r="E4576" s="1">
        <v>102842</v>
      </c>
      <c r="F4576" s="6" t="s">
        <v>6578</v>
      </c>
      <c r="G4576" s="15" t="str">
        <f>VLOOKUP(A4576,Movie!A:D,4,FALSE)</f>
        <v>Warner Brothers</v>
      </c>
      <c r="H4576" s="14">
        <f>VLOOKUP(E4576,'Rental Transaction'!A:B,2,FALSE)</f>
        <v>932618</v>
      </c>
      <c r="I4576">
        <f t="shared" si="71"/>
        <v>2013</v>
      </c>
    </row>
    <row r="4577" spans="1:9">
      <c r="A4577" s="1">
        <v>10189</v>
      </c>
      <c r="B4577" s="1">
        <v>6</v>
      </c>
      <c r="C4577" s="2">
        <v>41633</v>
      </c>
      <c r="D4577" s="1" t="s">
        <v>2002</v>
      </c>
      <c r="E4577" s="1">
        <v>102843</v>
      </c>
      <c r="F4577" s="6" t="s">
        <v>6579</v>
      </c>
      <c r="G4577" s="15" t="str">
        <f>VLOOKUP(A4577,Movie!A:D,4,FALSE)</f>
        <v>Universal</v>
      </c>
      <c r="H4577" s="14">
        <f>VLOOKUP(E4577,'Rental Transaction'!A:B,2,FALSE)</f>
        <v>422717</v>
      </c>
      <c r="I4577">
        <f t="shared" si="71"/>
        <v>2013</v>
      </c>
    </row>
    <row r="4578" spans="1:9">
      <c r="A4578" s="1">
        <v>10115</v>
      </c>
      <c r="B4578" s="1">
        <v>9</v>
      </c>
      <c r="C4578" s="2">
        <v>41628</v>
      </c>
      <c r="D4578" s="1" t="s">
        <v>2002</v>
      </c>
      <c r="E4578" s="1">
        <v>102843</v>
      </c>
      <c r="F4578" s="6" t="s">
        <v>6580</v>
      </c>
      <c r="G4578" s="15" t="str">
        <f>VLOOKUP(A4578,Movie!A:D,4,FALSE)</f>
        <v>Open Road Films</v>
      </c>
      <c r="H4578" s="14">
        <f>VLOOKUP(E4578,'Rental Transaction'!A:B,2,FALSE)</f>
        <v>422717</v>
      </c>
      <c r="I4578">
        <f t="shared" si="71"/>
        <v>2013</v>
      </c>
    </row>
    <row r="4579" spans="1:9">
      <c r="A4579" s="1">
        <v>10199</v>
      </c>
      <c r="B4579" s="1">
        <v>9</v>
      </c>
      <c r="C4579" s="2">
        <v>41629</v>
      </c>
      <c r="D4579" s="1" t="s">
        <v>2002</v>
      </c>
      <c r="E4579" s="1">
        <v>102845</v>
      </c>
      <c r="F4579" s="6" t="s">
        <v>6581</v>
      </c>
      <c r="G4579" s="15" t="str">
        <f>VLOOKUP(A4579,Movie!A:D,4,FALSE)</f>
        <v>Lionsgate</v>
      </c>
      <c r="H4579" s="14">
        <f>VLOOKUP(E4579,'Rental Transaction'!A:B,2,FALSE)</f>
        <v>724700</v>
      </c>
      <c r="I4579">
        <f t="shared" si="71"/>
        <v>2013</v>
      </c>
    </row>
    <row r="4580" spans="1:9">
      <c r="A4580" s="1">
        <v>10298</v>
      </c>
      <c r="B4580" s="1">
        <v>3</v>
      </c>
      <c r="C4580" s="2">
        <v>41629</v>
      </c>
      <c r="D4580" s="1" t="s">
        <v>2002</v>
      </c>
      <c r="E4580" s="1">
        <v>102845</v>
      </c>
      <c r="F4580" s="6" t="s">
        <v>6582</v>
      </c>
      <c r="G4580" s="15" t="str">
        <f>VLOOKUP(A4580,Movie!A:D,4,FALSE)</f>
        <v>UTV</v>
      </c>
      <c r="H4580" s="14">
        <f>VLOOKUP(E4580,'Rental Transaction'!A:B,2,FALSE)</f>
        <v>724700</v>
      </c>
      <c r="I4580">
        <f t="shared" si="71"/>
        <v>2013</v>
      </c>
    </row>
    <row r="4581" spans="1:9">
      <c r="A4581" s="1">
        <v>10181</v>
      </c>
      <c r="B4581" s="1">
        <v>3</v>
      </c>
      <c r="C4581" s="2">
        <v>41629</v>
      </c>
      <c r="D4581" s="1" t="s">
        <v>2005</v>
      </c>
      <c r="E4581" s="1">
        <v>102846</v>
      </c>
      <c r="F4581" s="6" t="s">
        <v>6583</v>
      </c>
      <c r="G4581" s="15" t="str">
        <f>VLOOKUP(A4581,Movie!A:D,4,FALSE)</f>
        <v>Fox</v>
      </c>
      <c r="H4581" s="14">
        <f>VLOOKUP(E4581,'Rental Transaction'!A:B,2,FALSE)</f>
        <v>657495</v>
      </c>
      <c r="I4581">
        <f t="shared" si="71"/>
        <v>2013</v>
      </c>
    </row>
    <row r="4582" spans="1:9">
      <c r="A4582" s="1">
        <v>10193</v>
      </c>
      <c r="B4582" s="1">
        <v>2</v>
      </c>
      <c r="C4582" s="2">
        <v>41629</v>
      </c>
      <c r="D4582" s="1" t="s">
        <v>2002</v>
      </c>
      <c r="E4582" s="1">
        <v>102850</v>
      </c>
      <c r="F4582" s="6" t="s">
        <v>6584</v>
      </c>
      <c r="G4582" s="15" t="str">
        <f>VLOOKUP(A4582,Movie!A:D,4,FALSE)</f>
        <v>Fox</v>
      </c>
      <c r="H4582" s="14">
        <f>VLOOKUP(E4582,'Rental Transaction'!A:B,2,FALSE)</f>
        <v>404678</v>
      </c>
      <c r="I4582">
        <f t="shared" si="71"/>
        <v>2013</v>
      </c>
    </row>
    <row r="4583" spans="1:9">
      <c r="A4583" s="1">
        <v>10137</v>
      </c>
      <c r="B4583" s="1">
        <v>1</v>
      </c>
      <c r="C4583" s="2">
        <v>41632</v>
      </c>
      <c r="D4583" s="1" t="s">
        <v>2002</v>
      </c>
      <c r="E4583" s="1">
        <v>102850</v>
      </c>
      <c r="F4583" s="6" t="s">
        <v>6585</v>
      </c>
      <c r="G4583" s="15" t="str">
        <f>VLOOKUP(A4583,Movie!A:D,4,FALSE)</f>
        <v>Buena Vista</v>
      </c>
      <c r="H4583" s="14">
        <f>VLOOKUP(E4583,'Rental Transaction'!A:B,2,FALSE)</f>
        <v>404678</v>
      </c>
      <c r="I4583">
        <f t="shared" si="71"/>
        <v>2013</v>
      </c>
    </row>
    <row r="4584" spans="1:9" ht="29.25">
      <c r="A4584" s="1">
        <v>10164</v>
      </c>
      <c r="B4584" s="1">
        <v>1</v>
      </c>
      <c r="C4584" s="2">
        <v>41629</v>
      </c>
      <c r="D4584" s="1" t="s">
        <v>2002</v>
      </c>
      <c r="E4584" s="1">
        <v>102851</v>
      </c>
      <c r="F4584" s="6" t="s">
        <v>6586</v>
      </c>
      <c r="G4584" s="15" t="str">
        <f>VLOOKUP(A4584,Movie!A:D,4,FALSE)</f>
        <v>Weinstein Company</v>
      </c>
      <c r="H4584" s="14">
        <f>VLOOKUP(E4584,'Rental Transaction'!A:B,2,FALSE)</f>
        <v>245577</v>
      </c>
      <c r="I4584">
        <f t="shared" si="71"/>
        <v>2013</v>
      </c>
    </row>
    <row r="4585" spans="1:9">
      <c r="A4585" s="1">
        <v>10097</v>
      </c>
      <c r="B4585" s="1">
        <v>5</v>
      </c>
      <c r="C4585" s="2">
        <v>41633</v>
      </c>
      <c r="D4585" s="1" t="s">
        <v>2002</v>
      </c>
      <c r="E4585" s="1">
        <v>102852</v>
      </c>
      <c r="F4585" s="6" t="s">
        <v>6587</v>
      </c>
      <c r="G4585" s="15" t="str">
        <f>VLOOKUP(A4585,Movie!A:D,4,FALSE)</f>
        <v>Screen Gems</v>
      </c>
      <c r="H4585" s="14">
        <f>VLOOKUP(E4585,'Rental Transaction'!A:B,2,FALSE)</f>
        <v>166612</v>
      </c>
      <c r="I4585">
        <f t="shared" si="71"/>
        <v>2013</v>
      </c>
    </row>
    <row r="4586" spans="1:9">
      <c r="A4586" s="1">
        <v>10209</v>
      </c>
      <c r="B4586" s="1">
        <v>8</v>
      </c>
      <c r="C4586" s="2">
        <v>41630</v>
      </c>
      <c r="D4586" s="1" t="s">
        <v>2002</v>
      </c>
      <c r="E4586" s="1">
        <v>102854</v>
      </c>
      <c r="F4586" s="6" t="s">
        <v>6588</v>
      </c>
      <c r="G4586" s="15" t="str">
        <f>VLOOKUP(A4586,Movie!A:D,4,FALSE)</f>
        <v>Universal</v>
      </c>
      <c r="H4586" s="14">
        <f>VLOOKUP(E4586,'Rental Transaction'!A:B,2,FALSE)</f>
        <v>447601</v>
      </c>
      <c r="I4586">
        <f t="shared" si="71"/>
        <v>2013</v>
      </c>
    </row>
    <row r="4587" spans="1:9">
      <c r="A4587" s="1">
        <v>10131</v>
      </c>
      <c r="B4587" s="1">
        <v>8</v>
      </c>
      <c r="C4587" s="2">
        <v>41633</v>
      </c>
      <c r="D4587" s="1" t="s">
        <v>2002</v>
      </c>
      <c r="E4587" s="1">
        <v>102854</v>
      </c>
      <c r="F4587" s="6" t="s">
        <v>6589</v>
      </c>
      <c r="G4587" s="15" t="str">
        <f>VLOOKUP(A4587,Movie!A:D,4,FALSE)</f>
        <v>Warner Brothers</v>
      </c>
      <c r="H4587" s="14">
        <f>VLOOKUP(E4587,'Rental Transaction'!A:B,2,FALSE)</f>
        <v>447601</v>
      </c>
      <c r="I4587">
        <f t="shared" si="71"/>
        <v>2013</v>
      </c>
    </row>
    <row r="4588" spans="1:9">
      <c r="A4588" s="1">
        <v>10189</v>
      </c>
      <c r="B4588" s="1">
        <v>1</v>
      </c>
      <c r="C4588" s="2">
        <v>41631</v>
      </c>
      <c r="D4588" s="1" t="s">
        <v>2002</v>
      </c>
      <c r="E4588" s="1">
        <v>102855</v>
      </c>
      <c r="F4588" s="6" t="s">
        <v>6590</v>
      </c>
      <c r="G4588" s="15" t="str">
        <f>VLOOKUP(A4588,Movie!A:D,4,FALSE)</f>
        <v>Universal</v>
      </c>
      <c r="H4588" s="14">
        <f>VLOOKUP(E4588,'Rental Transaction'!A:B,2,FALSE)</f>
        <v>325263</v>
      </c>
      <c r="I4588">
        <f t="shared" si="71"/>
        <v>2013</v>
      </c>
    </row>
    <row r="4589" spans="1:9">
      <c r="A4589" s="1">
        <v>10256</v>
      </c>
      <c r="B4589" s="1">
        <v>1</v>
      </c>
      <c r="C4589" s="2">
        <v>41631</v>
      </c>
      <c r="D4589" s="1" t="s">
        <v>2002</v>
      </c>
      <c r="E4589" s="1">
        <v>102856</v>
      </c>
      <c r="F4589" s="6" t="s">
        <v>6591</v>
      </c>
      <c r="G4589" s="15" t="str">
        <f>VLOOKUP(A4589,Movie!A:D,4,FALSE)</f>
        <v>Fox</v>
      </c>
      <c r="H4589" s="14">
        <f>VLOOKUP(E4589,'Rental Transaction'!A:B,2,FALSE)</f>
        <v>491380</v>
      </c>
      <c r="I4589">
        <f t="shared" si="71"/>
        <v>2013</v>
      </c>
    </row>
    <row r="4590" spans="1:9">
      <c r="A4590" s="1">
        <v>10200</v>
      </c>
      <c r="B4590" s="1">
        <v>1</v>
      </c>
      <c r="C4590" s="2">
        <v>41631</v>
      </c>
      <c r="D4590" s="1" t="s">
        <v>2002</v>
      </c>
      <c r="E4590" s="1">
        <v>102856</v>
      </c>
      <c r="F4590" s="6" t="s">
        <v>6592</v>
      </c>
      <c r="G4590" s="15" t="str">
        <f>VLOOKUP(A4590,Movie!A:D,4,FALSE)</f>
        <v>Fox</v>
      </c>
      <c r="H4590" s="14">
        <f>VLOOKUP(E4590,'Rental Transaction'!A:B,2,FALSE)</f>
        <v>491380</v>
      </c>
      <c r="I4590">
        <f t="shared" si="71"/>
        <v>2013</v>
      </c>
    </row>
    <row r="4591" spans="1:9">
      <c r="A4591" s="1">
        <v>10223</v>
      </c>
      <c r="B4591" s="1">
        <v>7</v>
      </c>
      <c r="C4591" s="2">
        <v>41634</v>
      </c>
      <c r="D4591" s="1" t="s">
        <v>2002</v>
      </c>
      <c r="E4591" s="1">
        <v>102858</v>
      </c>
      <c r="F4591" s="6" t="s">
        <v>6593</v>
      </c>
      <c r="G4591" s="15" t="str">
        <f>VLOOKUP(A4591,Movie!A:D,4,FALSE)</f>
        <v>Universal</v>
      </c>
      <c r="H4591" s="14">
        <f>VLOOKUP(E4591,'Rental Transaction'!A:B,2,FALSE)</f>
        <v>590517</v>
      </c>
      <c r="I4591">
        <f t="shared" si="71"/>
        <v>2013</v>
      </c>
    </row>
    <row r="4592" spans="1:9">
      <c r="A4592" s="1">
        <v>10112</v>
      </c>
      <c r="B4592" s="1">
        <v>4</v>
      </c>
      <c r="C4592" s="2">
        <v>41632</v>
      </c>
      <c r="D4592" s="1" t="s">
        <v>2005</v>
      </c>
      <c r="E4592" s="1">
        <v>102858</v>
      </c>
      <c r="F4592" s="6" t="s">
        <v>6594</v>
      </c>
      <c r="G4592" s="15" t="str">
        <f>VLOOKUP(A4592,Movie!A:D,4,FALSE)</f>
        <v>Relativity</v>
      </c>
      <c r="H4592" s="14">
        <f>VLOOKUP(E4592,'Rental Transaction'!A:B,2,FALSE)</f>
        <v>590517</v>
      </c>
      <c r="I4592">
        <f t="shared" si="71"/>
        <v>2013</v>
      </c>
    </row>
    <row r="4593" spans="1:9">
      <c r="A4593" s="1">
        <v>10199</v>
      </c>
      <c r="B4593" s="1">
        <v>8</v>
      </c>
      <c r="C4593" s="2">
        <v>41631</v>
      </c>
      <c r="D4593" s="1" t="s">
        <v>2002</v>
      </c>
      <c r="E4593" s="1">
        <v>102859</v>
      </c>
      <c r="F4593" s="6" t="s">
        <v>6595</v>
      </c>
      <c r="G4593" s="15" t="str">
        <f>VLOOKUP(A4593,Movie!A:D,4,FALSE)</f>
        <v>Lionsgate</v>
      </c>
      <c r="H4593" s="14">
        <f>VLOOKUP(E4593,'Rental Transaction'!A:B,2,FALSE)</f>
        <v>459243</v>
      </c>
      <c r="I4593">
        <f t="shared" si="71"/>
        <v>2013</v>
      </c>
    </row>
    <row r="4594" spans="1:9">
      <c r="A4594" s="1">
        <v>10256</v>
      </c>
      <c r="B4594" s="1">
        <v>4</v>
      </c>
      <c r="C4594" s="2">
        <v>41631</v>
      </c>
      <c r="D4594" s="1" t="s">
        <v>2002</v>
      </c>
      <c r="E4594" s="1">
        <v>102861</v>
      </c>
      <c r="F4594" s="6" t="s">
        <v>6596</v>
      </c>
      <c r="G4594" s="15" t="str">
        <f>VLOOKUP(A4594,Movie!A:D,4,FALSE)</f>
        <v>Fox</v>
      </c>
      <c r="H4594" s="14">
        <f>VLOOKUP(E4594,'Rental Transaction'!A:B,2,FALSE)</f>
        <v>225489</v>
      </c>
      <c r="I4594">
        <f t="shared" si="71"/>
        <v>2013</v>
      </c>
    </row>
    <row r="4595" spans="1:9">
      <c r="A4595" s="1">
        <v>10172</v>
      </c>
      <c r="B4595" s="1">
        <v>3</v>
      </c>
      <c r="C4595" s="2">
        <v>41633</v>
      </c>
      <c r="D4595" s="1" t="s">
        <v>2002</v>
      </c>
      <c r="E4595" s="1">
        <v>102863</v>
      </c>
      <c r="F4595" s="6" t="s">
        <v>6597</v>
      </c>
      <c r="G4595" s="15" t="str">
        <f>VLOOKUP(A4595,Movie!A:D,4,FALSE)</f>
        <v>Lionsgate</v>
      </c>
      <c r="H4595" s="14">
        <f>VLOOKUP(E4595,'Rental Transaction'!A:B,2,FALSE)</f>
        <v>690100</v>
      </c>
      <c r="I4595">
        <f t="shared" si="71"/>
        <v>2013</v>
      </c>
    </row>
    <row r="4596" spans="1:9">
      <c r="A4596" s="1">
        <v>10238</v>
      </c>
      <c r="B4596" s="1">
        <v>8</v>
      </c>
      <c r="C4596" s="2">
        <v>41631</v>
      </c>
      <c r="D4596" s="1" t="s">
        <v>2002</v>
      </c>
      <c r="E4596" s="1">
        <v>102865</v>
      </c>
      <c r="F4596" s="6" t="s">
        <v>6598</v>
      </c>
      <c r="G4596" s="15" t="str">
        <f>VLOOKUP(A4596,Movie!A:D,4,FALSE)</f>
        <v>Warner Brothers</v>
      </c>
      <c r="H4596" s="14">
        <f>VLOOKUP(E4596,'Rental Transaction'!A:B,2,FALSE)</f>
        <v>847289</v>
      </c>
      <c r="I4596">
        <f t="shared" si="71"/>
        <v>2013</v>
      </c>
    </row>
    <row r="4597" spans="1:9">
      <c r="A4597" s="1">
        <v>10188</v>
      </c>
      <c r="B4597" s="1">
        <v>1</v>
      </c>
      <c r="C4597" s="2">
        <v>41634</v>
      </c>
      <c r="D4597" s="1" t="s">
        <v>2002</v>
      </c>
      <c r="E4597" s="1">
        <v>102868</v>
      </c>
      <c r="F4597" s="6" t="s">
        <v>6599</v>
      </c>
      <c r="G4597" s="15" t="str">
        <f>VLOOKUP(A4597,Movie!A:D,4,FALSE)</f>
        <v>Paramount</v>
      </c>
      <c r="H4597" s="14">
        <f>VLOOKUP(E4597,'Rental Transaction'!A:B,2,FALSE)</f>
        <v>585972</v>
      </c>
      <c r="I4597">
        <f t="shared" si="71"/>
        <v>2013</v>
      </c>
    </row>
    <row r="4598" spans="1:9">
      <c r="A4598" s="1">
        <v>10058</v>
      </c>
      <c r="B4598" s="1">
        <v>2</v>
      </c>
      <c r="C4598" s="2">
        <v>41632</v>
      </c>
      <c r="D4598" s="1" t="s">
        <v>2002</v>
      </c>
      <c r="E4598" s="1">
        <v>102868</v>
      </c>
      <c r="F4598" s="6" t="s">
        <v>6600</v>
      </c>
      <c r="G4598" s="15" t="str">
        <f>VLOOKUP(A4598,Movie!A:D,4,FALSE)</f>
        <v>Sony</v>
      </c>
      <c r="H4598" s="14">
        <f>VLOOKUP(E4598,'Rental Transaction'!A:B,2,FALSE)</f>
        <v>585972</v>
      </c>
      <c r="I4598">
        <f t="shared" si="71"/>
        <v>2013</v>
      </c>
    </row>
    <row r="4599" spans="1:9">
      <c r="A4599" s="1">
        <v>10193</v>
      </c>
      <c r="B4599" s="1">
        <v>7</v>
      </c>
      <c r="C4599" s="2">
        <v>41633</v>
      </c>
      <c r="D4599" s="1" t="s">
        <v>2002</v>
      </c>
      <c r="E4599" s="1">
        <v>102868</v>
      </c>
      <c r="F4599" s="6" t="s">
        <v>6601</v>
      </c>
      <c r="G4599" s="15" t="str">
        <f>VLOOKUP(A4599,Movie!A:D,4,FALSE)</f>
        <v>Fox</v>
      </c>
      <c r="H4599" s="14">
        <f>VLOOKUP(E4599,'Rental Transaction'!A:B,2,FALSE)</f>
        <v>585972</v>
      </c>
      <c r="I4599">
        <f t="shared" si="71"/>
        <v>2013</v>
      </c>
    </row>
    <row r="4600" spans="1:9">
      <c r="A4600" s="1">
        <v>10131</v>
      </c>
      <c r="B4600" s="1">
        <v>9</v>
      </c>
      <c r="C4600" s="2">
        <v>41634</v>
      </c>
      <c r="D4600" s="1" t="s">
        <v>2002</v>
      </c>
      <c r="E4600" s="1">
        <v>102869</v>
      </c>
      <c r="F4600" s="6" t="s">
        <v>6602</v>
      </c>
      <c r="G4600" s="15" t="str">
        <f>VLOOKUP(A4600,Movie!A:D,4,FALSE)</f>
        <v>Warner Brothers</v>
      </c>
      <c r="H4600" s="14">
        <f>VLOOKUP(E4600,'Rental Transaction'!A:B,2,FALSE)</f>
        <v>262579</v>
      </c>
      <c r="I4600">
        <f t="shared" si="71"/>
        <v>2013</v>
      </c>
    </row>
    <row r="4601" spans="1:9">
      <c r="A4601" s="1">
        <v>10172</v>
      </c>
      <c r="B4601" s="1">
        <v>3</v>
      </c>
      <c r="C4601" s="2">
        <v>41634</v>
      </c>
      <c r="D4601" s="1" t="s">
        <v>2005</v>
      </c>
      <c r="E4601" s="1">
        <v>102875</v>
      </c>
      <c r="F4601" s="6" t="s">
        <v>6603</v>
      </c>
      <c r="G4601" s="15" t="str">
        <f>VLOOKUP(A4601,Movie!A:D,4,FALSE)</f>
        <v>Lionsgate</v>
      </c>
      <c r="H4601" s="14">
        <f>VLOOKUP(E4601,'Rental Transaction'!A:B,2,FALSE)</f>
        <v>196068</v>
      </c>
      <c r="I4601">
        <f t="shared" si="71"/>
        <v>2013</v>
      </c>
    </row>
    <row r="4602" spans="1:9">
      <c r="A4602" s="1">
        <v>10159</v>
      </c>
      <c r="B4602" s="1">
        <v>8</v>
      </c>
      <c r="C4602" s="2">
        <v>41633</v>
      </c>
      <c r="D4602" s="1" t="s">
        <v>2002</v>
      </c>
      <c r="E4602" s="1">
        <v>102875</v>
      </c>
      <c r="F4602" s="6" t="s">
        <v>6604</v>
      </c>
      <c r="G4602" s="15" t="str">
        <f>VLOOKUP(A4602,Movie!A:D,4,FALSE)</f>
        <v>Lionsgate</v>
      </c>
      <c r="H4602" s="14">
        <f>VLOOKUP(E4602,'Rental Transaction'!A:B,2,FALSE)</f>
        <v>196068</v>
      </c>
      <c r="I4602">
        <f t="shared" si="71"/>
        <v>2013</v>
      </c>
    </row>
    <row r="4603" spans="1:9">
      <c r="A4603" s="1">
        <v>10181</v>
      </c>
      <c r="B4603" s="1">
        <v>2</v>
      </c>
      <c r="C4603" s="2">
        <v>41634</v>
      </c>
      <c r="D4603" s="1" t="s">
        <v>2002</v>
      </c>
      <c r="E4603" s="1">
        <v>102876</v>
      </c>
      <c r="F4603" s="6" t="s">
        <v>6605</v>
      </c>
      <c r="G4603" s="15" t="str">
        <f>VLOOKUP(A4603,Movie!A:D,4,FALSE)</f>
        <v>Fox</v>
      </c>
      <c r="H4603" s="14">
        <f>VLOOKUP(E4603,'Rental Transaction'!A:B,2,FALSE)</f>
        <v>405322</v>
      </c>
      <c r="I4603">
        <f t="shared" si="71"/>
        <v>2013</v>
      </c>
    </row>
    <row r="4604" spans="1:9">
      <c r="A4604" s="1">
        <v>10115</v>
      </c>
      <c r="B4604" s="1">
        <v>4</v>
      </c>
      <c r="C4604" s="2">
        <v>41633</v>
      </c>
      <c r="D4604" s="1" t="s">
        <v>2002</v>
      </c>
      <c r="E4604" s="1">
        <v>102878</v>
      </c>
      <c r="F4604" s="6" t="s">
        <v>6606</v>
      </c>
      <c r="G4604" s="15" t="str">
        <f>VLOOKUP(A4604,Movie!A:D,4,FALSE)</f>
        <v>Open Road Films</v>
      </c>
      <c r="H4604" s="14">
        <f>VLOOKUP(E4604,'Rental Transaction'!A:B,2,FALSE)</f>
        <v>706101</v>
      </c>
      <c r="I4604">
        <f t="shared" si="71"/>
        <v>2013</v>
      </c>
    </row>
    <row r="4605" spans="1:9">
      <c r="A4605" s="1">
        <v>10206</v>
      </c>
      <c r="B4605" s="1">
        <v>8</v>
      </c>
      <c r="C4605" s="2">
        <v>41634</v>
      </c>
      <c r="D4605" s="1" t="s">
        <v>2002</v>
      </c>
      <c r="E4605" s="1">
        <v>102881</v>
      </c>
      <c r="F4605" s="6" t="s">
        <v>6607</v>
      </c>
      <c r="G4605" s="15" t="str">
        <f>VLOOKUP(A4605,Movie!A:D,4,FALSE)</f>
        <v>Fox</v>
      </c>
      <c r="H4605" s="14">
        <f>VLOOKUP(E4605,'Rental Transaction'!A:B,2,FALSE)</f>
        <v>267632</v>
      </c>
      <c r="I4605">
        <f t="shared" si="71"/>
        <v>2013</v>
      </c>
    </row>
    <row r="4606" spans="1:9">
      <c r="A4606" s="1">
        <v>10101</v>
      </c>
      <c r="B4606" s="1">
        <v>10</v>
      </c>
      <c r="C4606" s="2">
        <v>41637</v>
      </c>
      <c r="D4606" s="1" t="s">
        <v>2002</v>
      </c>
      <c r="E4606" s="1">
        <v>102881</v>
      </c>
      <c r="F4606" s="6" t="s">
        <v>6608</v>
      </c>
      <c r="G4606" s="15" t="str">
        <f>VLOOKUP(A4606,Movie!A:D,4,FALSE)</f>
        <v>Sony</v>
      </c>
      <c r="H4606" s="14">
        <f>VLOOKUP(E4606,'Rental Transaction'!A:B,2,FALSE)</f>
        <v>267632</v>
      </c>
      <c r="I4606">
        <f t="shared" si="71"/>
        <v>2013</v>
      </c>
    </row>
    <row r="4607" spans="1:9">
      <c r="A4607" s="1">
        <v>10271</v>
      </c>
      <c r="B4607" s="1">
        <v>6</v>
      </c>
      <c r="C4607" s="2">
        <v>41636</v>
      </c>
      <c r="D4607" s="1" t="s">
        <v>2005</v>
      </c>
      <c r="E4607" s="1">
        <v>102882</v>
      </c>
      <c r="F4607" s="6" t="s">
        <v>6609</v>
      </c>
      <c r="G4607" s="15" t="str">
        <f>VLOOKUP(A4607,Movie!A:D,4,FALSE)</f>
        <v>Universal</v>
      </c>
      <c r="H4607" s="14">
        <f>VLOOKUP(E4607,'Rental Transaction'!A:B,2,FALSE)</f>
        <v>559688</v>
      </c>
      <c r="I4607">
        <f t="shared" si="71"/>
        <v>2013</v>
      </c>
    </row>
    <row r="4608" spans="1:9">
      <c r="A4608" s="1">
        <v>10270</v>
      </c>
      <c r="B4608" s="1">
        <v>4</v>
      </c>
      <c r="C4608" s="2">
        <v>41633</v>
      </c>
      <c r="D4608" s="1" t="s">
        <v>2005</v>
      </c>
      <c r="E4608" s="1">
        <v>102882</v>
      </c>
      <c r="F4608" s="6" t="s">
        <v>6610</v>
      </c>
      <c r="G4608" s="15" t="str">
        <f>VLOOKUP(A4608,Movie!A:D,4,FALSE)</f>
        <v>Fox</v>
      </c>
      <c r="H4608" s="14">
        <f>VLOOKUP(E4608,'Rental Transaction'!A:B,2,FALSE)</f>
        <v>559688</v>
      </c>
      <c r="I4608">
        <f t="shared" si="71"/>
        <v>2013</v>
      </c>
    </row>
    <row r="4609" spans="1:9">
      <c r="A4609" s="1">
        <v>10349</v>
      </c>
      <c r="B4609" s="1">
        <v>2</v>
      </c>
      <c r="C4609" s="2">
        <v>41634</v>
      </c>
      <c r="D4609" s="1" t="s">
        <v>2002</v>
      </c>
      <c r="E4609" s="1">
        <v>102883</v>
      </c>
      <c r="F4609" s="6" t="s">
        <v>6611</v>
      </c>
      <c r="G4609" s="15" t="str">
        <f>VLOOKUP(A4609,Movie!A:D,4,FALSE)</f>
        <v>Screen Gems</v>
      </c>
      <c r="H4609" s="14">
        <f>VLOOKUP(E4609,'Rental Transaction'!A:B,2,FALSE)</f>
        <v>493552</v>
      </c>
      <c r="I4609">
        <f t="shared" si="71"/>
        <v>2013</v>
      </c>
    </row>
    <row r="4610" spans="1:9">
      <c r="A4610" s="1">
        <v>10194</v>
      </c>
      <c r="B4610" s="1">
        <v>7</v>
      </c>
      <c r="C4610" s="2">
        <v>41635</v>
      </c>
      <c r="D4610" s="1" t="s">
        <v>2002</v>
      </c>
      <c r="E4610" s="1">
        <v>102883</v>
      </c>
      <c r="F4610" s="6" t="s">
        <v>6612</v>
      </c>
      <c r="G4610" s="15" t="str">
        <f>VLOOKUP(A4610,Movie!A:D,4,FALSE)</f>
        <v>FilmDistrict</v>
      </c>
      <c r="H4610" s="14">
        <f>VLOOKUP(E4610,'Rental Transaction'!A:B,2,FALSE)</f>
        <v>493552</v>
      </c>
      <c r="I4610">
        <f t="shared" si="71"/>
        <v>2013</v>
      </c>
    </row>
    <row r="4611" spans="1:9">
      <c r="A4611" s="1">
        <v>10286</v>
      </c>
      <c r="B4611" s="1">
        <v>2</v>
      </c>
      <c r="C4611" s="2">
        <v>41636</v>
      </c>
      <c r="D4611" s="1" t="s">
        <v>2002</v>
      </c>
      <c r="E4611" s="1">
        <v>102884</v>
      </c>
      <c r="F4611" s="6" t="s">
        <v>6613</v>
      </c>
      <c r="G4611" s="15" t="str">
        <f>VLOOKUP(A4611,Movie!A:D,4,FALSE)</f>
        <v>Fox Searchlight</v>
      </c>
      <c r="H4611" s="14">
        <f>VLOOKUP(E4611,'Rental Transaction'!A:B,2,FALSE)</f>
        <v>580783</v>
      </c>
      <c r="I4611">
        <f t="shared" ref="I4611:I4674" si="72">YEAR(C4611)</f>
        <v>2013</v>
      </c>
    </row>
    <row r="4612" spans="1:9">
      <c r="A4612" s="1">
        <v>10088</v>
      </c>
      <c r="B4612" s="1">
        <v>2</v>
      </c>
      <c r="C4612" s="2">
        <v>41635</v>
      </c>
      <c r="D4612" s="1" t="s">
        <v>2002</v>
      </c>
      <c r="E4612" s="1">
        <v>102885</v>
      </c>
      <c r="F4612" s="6" t="s">
        <v>6614</v>
      </c>
      <c r="G4612" s="15" t="str">
        <f>VLOOKUP(A4612,Movie!A:D,4,FALSE)</f>
        <v>Warner Brothers</v>
      </c>
      <c r="H4612" s="14">
        <f>VLOOKUP(E4612,'Rental Transaction'!A:B,2,FALSE)</f>
        <v>994199</v>
      </c>
      <c r="I4612">
        <f t="shared" si="72"/>
        <v>2013</v>
      </c>
    </row>
    <row r="4613" spans="1:9">
      <c r="A4613" s="1">
        <v>10261</v>
      </c>
      <c r="B4613" s="1">
        <v>2</v>
      </c>
      <c r="C4613" s="2">
        <v>41636</v>
      </c>
      <c r="D4613" s="1" t="s">
        <v>2002</v>
      </c>
      <c r="E4613" s="1">
        <v>102885</v>
      </c>
      <c r="F4613" s="6" t="s">
        <v>6615</v>
      </c>
      <c r="G4613" s="15" t="str">
        <f>VLOOKUP(A4613,Movie!A:D,4,FALSE)</f>
        <v>Fox</v>
      </c>
      <c r="H4613" s="14">
        <f>VLOOKUP(E4613,'Rental Transaction'!A:B,2,FALSE)</f>
        <v>994199</v>
      </c>
      <c r="I4613">
        <f t="shared" si="72"/>
        <v>2013</v>
      </c>
    </row>
    <row r="4614" spans="1:9">
      <c r="A4614" s="1">
        <v>10145</v>
      </c>
      <c r="B4614" s="1">
        <v>6</v>
      </c>
      <c r="C4614" s="2">
        <v>41635</v>
      </c>
      <c r="D4614" s="1" t="s">
        <v>2005</v>
      </c>
      <c r="E4614" s="1">
        <v>102887</v>
      </c>
      <c r="F4614" s="6" t="s">
        <v>6616</v>
      </c>
      <c r="G4614" s="15" t="str">
        <f>VLOOKUP(A4614,Movie!A:D,4,FALSE)</f>
        <v>TriStar</v>
      </c>
      <c r="H4614" s="14">
        <f>VLOOKUP(E4614,'Rental Transaction'!A:B,2,FALSE)</f>
        <v>357579</v>
      </c>
      <c r="I4614">
        <f t="shared" si="72"/>
        <v>2013</v>
      </c>
    </row>
    <row r="4615" spans="1:9">
      <c r="A4615" s="1">
        <v>10012</v>
      </c>
      <c r="B4615" s="1">
        <v>6</v>
      </c>
      <c r="C4615" s="2">
        <v>41634</v>
      </c>
      <c r="D4615" s="1" t="s">
        <v>2002</v>
      </c>
      <c r="E4615" s="1">
        <v>102888</v>
      </c>
      <c r="F4615" s="6" t="s">
        <v>6617</v>
      </c>
      <c r="G4615" s="15" t="str">
        <f>VLOOKUP(A4615,Movie!A:D,4,FALSE)</f>
        <v>Buena Vista</v>
      </c>
      <c r="H4615" s="14">
        <f>VLOOKUP(E4615,'Rental Transaction'!A:B,2,FALSE)</f>
        <v>304344</v>
      </c>
      <c r="I4615">
        <f t="shared" si="72"/>
        <v>2013</v>
      </c>
    </row>
    <row r="4616" spans="1:9">
      <c r="A4616" s="1">
        <v>10289</v>
      </c>
      <c r="B4616" s="1">
        <v>1</v>
      </c>
      <c r="C4616" s="2">
        <v>41634</v>
      </c>
      <c r="D4616" s="1" t="s">
        <v>2002</v>
      </c>
      <c r="E4616" s="1">
        <v>102890</v>
      </c>
      <c r="F4616" s="6" t="s">
        <v>6618</v>
      </c>
      <c r="G4616" s="15" t="str">
        <f>VLOOKUP(A4616,Movie!A:D,4,FALSE)</f>
        <v>Open Road Films</v>
      </c>
      <c r="H4616" s="14">
        <f>VLOOKUP(E4616,'Rental Transaction'!A:B,2,FALSE)</f>
        <v>761615</v>
      </c>
      <c r="I4616">
        <f t="shared" si="72"/>
        <v>2013</v>
      </c>
    </row>
    <row r="4617" spans="1:9">
      <c r="A4617" s="1">
        <v>10153</v>
      </c>
      <c r="B4617" s="1">
        <v>8</v>
      </c>
      <c r="C4617" s="2">
        <v>41635</v>
      </c>
      <c r="D4617" s="1" t="s">
        <v>2002</v>
      </c>
      <c r="E4617" s="1">
        <v>102892</v>
      </c>
      <c r="F4617" s="6" t="s">
        <v>6619</v>
      </c>
      <c r="G4617" s="15" t="str">
        <f>VLOOKUP(A4617,Movie!A:D,4,FALSE)</f>
        <v>Lionsgate</v>
      </c>
      <c r="H4617" s="14">
        <f>VLOOKUP(E4617,'Rental Transaction'!A:B,2,FALSE)</f>
        <v>676155</v>
      </c>
      <c r="I4617">
        <f t="shared" si="72"/>
        <v>2013</v>
      </c>
    </row>
    <row r="4618" spans="1:9">
      <c r="A4618" s="1">
        <v>10089</v>
      </c>
      <c r="B4618" s="1">
        <v>4</v>
      </c>
      <c r="C4618" s="2">
        <v>41639</v>
      </c>
      <c r="D4618" s="1" t="s">
        <v>2002</v>
      </c>
      <c r="E4618" s="1">
        <v>102892</v>
      </c>
      <c r="F4618" s="6" t="s">
        <v>6620</v>
      </c>
      <c r="G4618" s="15" t="str">
        <f>VLOOKUP(A4618,Movie!A:D,4,FALSE)</f>
        <v>Sony</v>
      </c>
      <c r="H4618" s="14">
        <f>VLOOKUP(E4618,'Rental Transaction'!A:B,2,FALSE)</f>
        <v>676155</v>
      </c>
      <c r="I4618">
        <f t="shared" si="72"/>
        <v>2013</v>
      </c>
    </row>
    <row r="4619" spans="1:9">
      <c r="A4619" s="1">
        <v>10054</v>
      </c>
      <c r="B4619" s="1">
        <v>5</v>
      </c>
      <c r="C4619" s="2">
        <v>41636</v>
      </c>
      <c r="D4619" s="1" t="s">
        <v>2002</v>
      </c>
      <c r="E4619" s="1">
        <v>102895</v>
      </c>
      <c r="F4619" s="6" t="s">
        <v>6621</v>
      </c>
      <c r="G4619" s="15" t="str">
        <f>VLOOKUP(A4619,Movie!A:D,4,FALSE)</f>
        <v>Paramount</v>
      </c>
      <c r="H4619" s="14">
        <f>VLOOKUP(E4619,'Rental Transaction'!A:B,2,FALSE)</f>
        <v>884729</v>
      </c>
      <c r="I4619">
        <f t="shared" si="72"/>
        <v>2013</v>
      </c>
    </row>
    <row r="4620" spans="1:9">
      <c r="A4620" s="1">
        <v>10376</v>
      </c>
      <c r="B4620" s="1">
        <v>10</v>
      </c>
      <c r="C4620" s="2">
        <v>41635</v>
      </c>
      <c r="D4620" s="1" t="s">
        <v>2002</v>
      </c>
      <c r="E4620" s="1">
        <v>102896</v>
      </c>
      <c r="F4620" s="6" t="s">
        <v>6622</v>
      </c>
      <c r="G4620" s="15" t="str">
        <f>VLOOKUP(A4620,Movie!A:D,4,FALSE)</f>
        <v>Relativity</v>
      </c>
      <c r="H4620" s="14">
        <f>VLOOKUP(E4620,'Rental Transaction'!A:B,2,FALSE)</f>
        <v>567388</v>
      </c>
      <c r="I4620">
        <f t="shared" si="72"/>
        <v>2013</v>
      </c>
    </row>
    <row r="4621" spans="1:9">
      <c r="A4621" s="1">
        <v>10260</v>
      </c>
      <c r="B4621" s="1">
        <v>10</v>
      </c>
      <c r="C4621" s="2">
        <v>41637</v>
      </c>
      <c r="D4621" s="1" t="s">
        <v>2002</v>
      </c>
      <c r="E4621" s="1">
        <v>102900</v>
      </c>
      <c r="F4621" s="6" t="s">
        <v>6623</v>
      </c>
      <c r="G4621" s="15" t="str">
        <f>VLOOKUP(A4621,Movie!A:D,4,FALSE)</f>
        <v>Sony</v>
      </c>
      <c r="H4621" s="14">
        <f>VLOOKUP(E4621,'Rental Transaction'!A:B,2,FALSE)</f>
        <v>889686</v>
      </c>
      <c r="I4621">
        <f t="shared" si="72"/>
        <v>2013</v>
      </c>
    </row>
    <row r="4622" spans="1:9">
      <c r="A4622" s="1">
        <v>10231</v>
      </c>
      <c r="B4622" s="1">
        <v>7</v>
      </c>
      <c r="C4622" s="2">
        <v>41636</v>
      </c>
      <c r="D4622" s="1" t="s">
        <v>2002</v>
      </c>
      <c r="E4622" s="1">
        <v>102901</v>
      </c>
      <c r="F4622" s="6" t="s">
        <v>6624</v>
      </c>
      <c r="G4622" s="15" t="str">
        <f>VLOOKUP(A4622,Movie!A:D,4,FALSE)</f>
        <v>Universal</v>
      </c>
      <c r="H4622" s="14">
        <f>VLOOKUP(E4622,'Rental Transaction'!A:B,2,FALSE)</f>
        <v>730305</v>
      </c>
      <c r="I4622">
        <f t="shared" si="72"/>
        <v>2013</v>
      </c>
    </row>
    <row r="4623" spans="1:9">
      <c r="A4623" s="1">
        <v>10185</v>
      </c>
      <c r="B4623" s="1">
        <v>6</v>
      </c>
      <c r="C4623" s="2">
        <v>41640</v>
      </c>
      <c r="D4623" s="1" t="s">
        <v>2002</v>
      </c>
      <c r="E4623" s="1">
        <v>102902</v>
      </c>
      <c r="F4623" s="6" t="s">
        <v>6625</v>
      </c>
      <c r="G4623" s="15" t="str">
        <f>VLOOKUP(A4623,Movie!A:D,4,FALSE)</f>
        <v>Warner Brothers</v>
      </c>
      <c r="H4623" s="14">
        <f>VLOOKUP(E4623,'Rental Transaction'!A:B,2,FALSE)</f>
        <v>592726</v>
      </c>
      <c r="I4623">
        <f t="shared" si="72"/>
        <v>2014</v>
      </c>
    </row>
    <row r="4624" spans="1:9">
      <c r="A4624" s="1">
        <v>10167</v>
      </c>
      <c r="B4624" s="1">
        <v>8</v>
      </c>
      <c r="C4624" s="2">
        <v>41638</v>
      </c>
      <c r="D4624" s="1" t="s">
        <v>2005</v>
      </c>
      <c r="E4624" s="1">
        <v>102904</v>
      </c>
      <c r="F4624" s="6" t="s">
        <v>6626</v>
      </c>
      <c r="G4624" s="15" t="str">
        <f>VLOOKUP(A4624,Movie!A:D,4,FALSE)</f>
        <v>Universal</v>
      </c>
      <c r="H4624" s="14">
        <f>VLOOKUP(E4624,'Rental Transaction'!A:B,2,FALSE)</f>
        <v>408341</v>
      </c>
      <c r="I4624">
        <f t="shared" si="72"/>
        <v>2013</v>
      </c>
    </row>
    <row r="4625" spans="1:9">
      <c r="A4625" s="1">
        <v>10217</v>
      </c>
      <c r="B4625" s="1">
        <v>6</v>
      </c>
      <c r="C4625" s="2">
        <v>41642</v>
      </c>
      <c r="D4625" s="1" t="s">
        <v>2002</v>
      </c>
      <c r="E4625" s="1">
        <v>102906</v>
      </c>
      <c r="F4625" s="6" t="s">
        <v>6627</v>
      </c>
      <c r="G4625" s="15" t="str">
        <f>VLOOKUP(A4625,Movie!A:D,4,FALSE)</f>
        <v>Warner Brothers</v>
      </c>
      <c r="H4625" s="14">
        <f>VLOOKUP(E4625,'Rental Transaction'!A:B,2,FALSE)</f>
        <v>412876</v>
      </c>
      <c r="I4625">
        <f t="shared" si="72"/>
        <v>2014</v>
      </c>
    </row>
    <row r="4626" spans="1:9">
      <c r="A4626" s="1">
        <v>10253</v>
      </c>
      <c r="B4626" s="1">
        <v>10</v>
      </c>
      <c r="C4626" s="2">
        <v>41637</v>
      </c>
      <c r="D4626" s="1" t="s">
        <v>2002</v>
      </c>
      <c r="E4626" s="1">
        <v>102906</v>
      </c>
      <c r="F4626" s="6" t="s">
        <v>6628</v>
      </c>
      <c r="G4626" s="15" t="str">
        <f>VLOOKUP(A4626,Movie!A:D,4,FALSE)</f>
        <v>Buena Vista</v>
      </c>
      <c r="H4626" s="14">
        <f>VLOOKUP(E4626,'Rental Transaction'!A:B,2,FALSE)</f>
        <v>412876</v>
      </c>
      <c r="I4626">
        <f t="shared" si="72"/>
        <v>2013</v>
      </c>
    </row>
    <row r="4627" spans="1:9" ht="29.25">
      <c r="A4627" s="1">
        <v>10285</v>
      </c>
      <c r="B4627" s="1">
        <v>10</v>
      </c>
      <c r="C4627" s="2">
        <v>41637</v>
      </c>
      <c r="D4627" s="1" t="s">
        <v>2002</v>
      </c>
      <c r="E4627" s="1">
        <v>102907</v>
      </c>
      <c r="F4627" s="6" t="s">
        <v>6629</v>
      </c>
      <c r="G4627" s="15" t="str">
        <f>VLOOKUP(A4627,Movie!A:D,4,FALSE)</f>
        <v>Roadside Attractions</v>
      </c>
      <c r="H4627" s="14">
        <f>VLOOKUP(E4627,'Rental Transaction'!A:B,2,FALSE)</f>
        <v>761615</v>
      </c>
      <c r="I4627">
        <f t="shared" si="72"/>
        <v>2013</v>
      </c>
    </row>
    <row r="4628" spans="1:9">
      <c r="A4628" s="1">
        <v>10279</v>
      </c>
      <c r="B4628" s="1">
        <v>7</v>
      </c>
      <c r="C4628" s="2">
        <v>41637</v>
      </c>
      <c r="D4628" s="1" t="s">
        <v>2002</v>
      </c>
      <c r="E4628" s="1">
        <v>102908</v>
      </c>
      <c r="F4628" s="6" t="s">
        <v>6630</v>
      </c>
      <c r="G4628" s="15" t="str">
        <f>VLOOKUP(A4628,Movie!A:D,4,FALSE)</f>
        <v>Screen Gems</v>
      </c>
      <c r="H4628" s="14">
        <f>VLOOKUP(E4628,'Rental Transaction'!A:B,2,FALSE)</f>
        <v>459243</v>
      </c>
      <c r="I4628">
        <f t="shared" si="72"/>
        <v>2013</v>
      </c>
    </row>
    <row r="4629" spans="1:9">
      <c r="A4629" s="1">
        <v>10182</v>
      </c>
      <c r="B4629" s="1">
        <v>9</v>
      </c>
      <c r="C4629" s="2">
        <v>41640</v>
      </c>
      <c r="D4629" s="1" t="s">
        <v>2002</v>
      </c>
      <c r="E4629" s="1">
        <v>102908</v>
      </c>
      <c r="F4629" s="6" t="s">
        <v>6631</v>
      </c>
      <c r="G4629" s="15" t="str">
        <f>VLOOKUP(A4629,Movie!A:D,4,FALSE)</f>
        <v>Warner Brothers</v>
      </c>
      <c r="H4629" s="14">
        <f>VLOOKUP(E4629,'Rental Transaction'!A:B,2,FALSE)</f>
        <v>459243</v>
      </c>
      <c r="I4629">
        <f t="shared" si="72"/>
        <v>2014</v>
      </c>
    </row>
    <row r="4630" spans="1:9">
      <c r="A4630" s="1">
        <v>10277</v>
      </c>
      <c r="B4630" s="1">
        <v>9</v>
      </c>
      <c r="C4630" s="2">
        <v>41639</v>
      </c>
      <c r="D4630" s="1" t="s">
        <v>2002</v>
      </c>
      <c r="E4630" s="1">
        <v>102911</v>
      </c>
      <c r="F4630" s="6" t="s">
        <v>6632</v>
      </c>
      <c r="G4630" s="15" t="str">
        <f>VLOOKUP(A4630,Movie!A:D,4,FALSE)</f>
        <v>Universal</v>
      </c>
      <c r="H4630" s="14">
        <f>VLOOKUP(E4630,'Rental Transaction'!A:B,2,FALSE)</f>
        <v>183797</v>
      </c>
      <c r="I4630">
        <f t="shared" si="72"/>
        <v>2013</v>
      </c>
    </row>
    <row r="4631" spans="1:9">
      <c r="A4631" s="1">
        <v>10277</v>
      </c>
      <c r="B4631" s="1">
        <v>6</v>
      </c>
      <c r="C4631" s="2">
        <v>41639</v>
      </c>
      <c r="D4631" s="1" t="s">
        <v>2002</v>
      </c>
      <c r="E4631" s="1">
        <v>102912</v>
      </c>
      <c r="F4631" s="6" t="s">
        <v>6633</v>
      </c>
      <c r="G4631" s="15" t="str">
        <f>VLOOKUP(A4631,Movie!A:D,4,FALSE)</f>
        <v>Universal</v>
      </c>
      <c r="H4631" s="14">
        <f>VLOOKUP(E4631,'Rental Transaction'!A:B,2,FALSE)</f>
        <v>765237</v>
      </c>
      <c r="I4631">
        <f t="shared" si="72"/>
        <v>2013</v>
      </c>
    </row>
    <row r="4632" spans="1:9">
      <c r="A4632" s="1">
        <v>10092</v>
      </c>
      <c r="B4632" s="1">
        <v>10</v>
      </c>
      <c r="C4632" s="2">
        <v>41638</v>
      </c>
      <c r="D4632" s="1" t="s">
        <v>2002</v>
      </c>
      <c r="E4632" s="1">
        <v>102914</v>
      </c>
      <c r="F4632" s="6" t="s">
        <v>6634</v>
      </c>
      <c r="G4632" s="15" t="str">
        <f>VLOOKUP(A4632,Movie!A:D,4,FALSE)</f>
        <v>Warner Brothers</v>
      </c>
      <c r="H4632" s="14">
        <f>VLOOKUP(E4632,'Rental Transaction'!A:B,2,FALSE)</f>
        <v>306475</v>
      </c>
      <c r="I4632">
        <f t="shared" si="72"/>
        <v>2013</v>
      </c>
    </row>
    <row r="4633" spans="1:9">
      <c r="A4633" s="1">
        <v>10266</v>
      </c>
      <c r="B4633" s="1">
        <v>9</v>
      </c>
      <c r="C4633" s="2">
        <v>41643</v>
      </c>
      <c r="D4633" s="1" t="s">
        <v>2002</v>
      </c>
      <c r="E4633" s="1">
        <v>102915</v>
      </c>
      <c r="F4633" s="6" t="s">
        <v>6635</v>
      </c>
      <c r="G4633" s="15" t="str">
        <f>VLOOKUP(A4633,Movie!A:D,4,FALSE)</f>
        <v>Sony</v>
      </c>
      <c r="H4633" s="14">
        <f>VLOOKUP(E4633,'Rental Transaction'!A:B,2,FALSE)</f>
        <v>936214</v>
      </c>
      <c r="I4633">
        <f t="shared" si="72"/>
        <v>2014</v>
      </c>
    </row>
    <row r="4634" spans="1:9">
      <c r="A4634" s="1">
        <v>10207</v>
      </c>
      <c r="B4634" s="1">
        <v>7</v>
      </c>
      <c r="C4634" s="2">
        <v>41641</v>
      </c>
      <c r="D4634" s="1" t="s">
        <v>2002</v>
      </c>
      <c r="E4634" s="1">
        <v>102916</v>
      </c>
      <c r="F4634" s="6" t="s">
        <v>6636</v>
      </c>
      <c r="G4634" s="15" t="str">
        <f>VLOOKUP(A4634,Movie!A:D,4,FALSE)</f>
        <v>Paramount</v>
      </c>
      <c r="H4634" s="14">
        <f>VLOOKUP(E4634,'Rental Transaction'!A:B,2,FALSE)</f>
        <v>950299</v>
      </c>
      <c r="I4634">
        <f t="shared" si="72"/>
        <v>2014</v>
      </c>
    </row>
    <row r="4635" spans="1:9">
      <c r="A4635" s="1">
        <v>10223</v>
      </c>
      <c r="B4635" s="1">
        <v>6</v>
      </c>
      <c r="C4635" s="2">
        <v>41638</v>
      </c>
      <c r="D4635" s="1" t="s">
        <v>2002</v>
      </c>
      <c r="E4635" s="1">
        <v>102916</v>
      </c>
      <c r="F4635" s="6" t="s">
        <v>6637</v>
      </c>
      <c r="G4635" s="15" t="str">
        <f>VLOOKUP(A4635,Movie!A:D,4,FALSE)</f>
        <v>Universal</v>
      </c>
      <c r="H4635" s="14">
        <f>VLOOKUP(E4635,'Rental Transaction'!A:B,2,FALSE)</f>
        <v>950299</v>
      </c>
      <c r="I4635">
        <f t="shared" si="72"/>
        <v>2013</v>
      </c>
    </row>
    <row r="4636" spans="1:9">
      <c r="A4636" s="1">
        <v>10169</v>
      </c>
      <c r="B4636" s="1">
        <v>5</v>
      </c>
      <c r="C4636" s="2">
        <v>41640</v>
      </c>
      <c r="D4636" s="1" t="s">
        <v>2002</v>
      </c>
      <c r="E4636" s="1">
        <v>102917</v>
      </c>
      <c r="F4636" s="6" t="s">
        <v>6638</v>
      </c>
      <c r="G4636" s="15" t="str">
        <f>VLOOKUP(A4636,Movie!A:D,4,FALSE)</f>
        <v>Warner Brothers</v>
      </c>
      <c r="H4636" s="14">
        <f>VLOOKUP(E4636,'Rental Transaction'!A:B,2,FALSE)</f>
        <v>132454</v>
      </c>
      <c r="I4636">
        <f t="shared" si="72"/>
        <v>2014</v>
      </c>
    </row>
    <row r="4637" spans="1:9">
      <c r="A4637" s="1">
        <v>10217</v>
      </c>
      <c r="B4637" s="1">
        <v>7</v>
      </c>
      <c r="C4637" s="2">
        <v>41642</v>
      </c>
      <c r="D4637" s="1" t="s">
        <v>2002</v>
      </c>
      <c r="E4637" s="1">
        <v>102917</v>
      </c>
      <c r="F4637" s="6" t="s">
        <v>6639</v>
      </c>
      <c r="G4637" s="15" t="str">
        <f>VLOOKUP(A4637,Movie!A:D,4,FALSE)</f>
        <v>Warner Brothers</v>
      </c>
      <c r="H4637" s="14">
        <f>VLOOKUP(E4637,'Rental Transaction'!A:B,2,FALSE)</f>
        <v>132454</v>
      </c>
      <c r="I4637">
        <f t="shared" si="72"/>
        <v>2014</v>
      </c>
    </row>
    <row r="4638" spans="1:9" ht="29.25">
      <c r="A4638" s="1">
        <v>10239</v>
      </c>
      <c r="B4638" s="1">
        <v>7</v>
      </c>
      <c r="C4638" s="2">
        <v>41639</v>
      </c>
      <c r="D4638" s="1" t="s">
        <v>2002</v>
      </c>
      <c r="E4638" s="1">
        <v>102918</v>
      </c>
      <c r="F4638" s="6" t="s">
        <v>6640</v>
      </c>
      <c r="G4638" s="15" t="str">
        <f>VLOOKUP(A4638,Movie!A:D,4,FALSE)</f>
        <v>Weinstein Company</v>
      </c>
      <c r="H4638" s="14">
        <f>VLOOKUP(E4638,'Rental Transaction'!A:B,2,FALSE)</f>
        <v>817159</v>
      </c>
      <c r="I4638">
        <f t="shared" si="72"/>
        <v>2013</v>
      </c>
    </row>
    <row r="4639" spans="1:9">
      <c r="A4639" s="1">
        <v>10069</v>
      </c>
      <c r="B4639" s="1">
        <v>3</v>
      </c>
      <c r="C4639" s="2">
        <v>41639</v>
      </c>
      <c r="D4639" s="1" t="s">
        <v>2005</v>
      </c>
      <c r="E4639" s="1">
        <v>102919</v>
      </c>
      <c r="F4639" s="6" t="s">
        <v>6641</v>
      </c>
      <c r="G4639" s="15" t="str">
        <f>VLOOKUP(A4639,Movie!A:D,4,FALSE)</f>
        <v>Warner Brothers</v>
      </c>
      <c r="H4639" s="14">
        <f>VLOOKUP(E4639,'Rental Transaction'!A:B,2,FALSE)</f>
        <v>551950</v>
      </c>
      <c r="I4639">
        <f t="shared" si="72"/>
        <v>2013</v>
      </c>
    </row>
    <row r="4640" spans="1:9">
      <c r="A4640" s="1">
        <v>10240</v>
      </c>
      <c r="B4640" s="1">
        <v>10</v>
      </c>
      <c r="C4640" s="2">
        <v>41643</v>
      </c>
      <c r="D4640" s="1" t="s">
        <v>2002</v>
      </c>
      <c r="E4640" s="1">
        <v>102920</v>
      </c>
      <c r="F4640" s="6" t="s">
        <v>6642</v>
      </c>
      <c r="G4640" s="15" t="str">
        <f>VLOOKUP(A4640,Movie!A:D,4,FALSE)</f>
        <v>Warner Brothers</v>
      </c>
      <c r="H4640" s="14">
        <f>VLOOKUP(E4640,'Rental Transaction'!A:B,2,FALSE)</f>
        <v>955591</v>
      </c>
      <c r="I4640">
        <f t="shared" si="72"/>
        <v>2014</v>
      </c>
    </row>
    <row r="4641" spans="1:9">
      <c r="A4641" s="1">
        <v>10222</v>
      </c>
      <c r="B4641" s="1">
        <v>1</v>
      </c>
      <c r="C4641" s="2">
        <v>41639</v>
      </c>
      <c r="D4641" s="1" t="s">
        <v>2002</v>
      </c>
      <c r="E4641" s="1">
        <v>102920</v>
      </c>
      <c r="F4641" s="6" t="s">
        <v>6643</v>
      </c>
      <c r="G4641" s="15" t="str">
        <f>VLOOKUP(A4641,Movie!A:D,4,FALSE)</f>
        <v>Sony</v>
      </c>
      <c r="H4641" s="14">
        <f>VLOOKUP(E4641,'Rental Transaction'!A:B,2,FALSE)</f>
        <v>955591</v>
      </c>
      <c r="I4641">
        <f t="shared" si="72"/>
        <v>2013</v>
      </c>
    </row>
    <row r="4642" spans="1:9">
      <c r="A4642" s="1">
        <v>10110</v>
      </c>
      <c r="B4642" s="1">
        <v>1</v>
      </c>
      <c r="C4642" s="2">
        <v>41639</v>
      </c>
      <c r="D4642" s="1" t="s">
        <v>2002</v>
      </c>
      <c r="E4642" s="1">
        <v>102921</v>
      </c>
      <c r="F4642" s="6" t="s">
        <v>6644</v>
      </c>
      <c r="G4642" s="15" t="str">
        <f>VLOOKUP(A4642,Movie!A:D,4,FALSE)</f>
        <v>Warner Brothers</v>
      </c>
      <c r="H4642" s="14">
        <f>VLOOKUP(E4642,'Rental Transaction'!A:B,2,FALSE)</f>
        <v>233813</v>
      </c>
      <c r="I4642">
        <f t="shared" si="72"/>
        <v>2013</v>
      </c>
    </row>
    <row r="4643" spans="1:9">
      <c r="A4643" s="1">
        <v>10180</v>
      </c>
      <c r="B4643" s="1">
        <v>4</v>
      </c>
      <c r="C4643" s="2">
        <v>41640</v>
      </c>
      <c r="D4643" s="1" t="s">
        <v>2002</v>
      </c>
      <c r="E4643" s="1">
        <v>102922</v>
      </c>
      <c r="F4643" s="6" t="s">
        <v>6645</v>
      </c>
      <c r="G4643" s="15" t="str">
        <f>VLOOKUP(A4643,Movie!A:D,4,FALSE)</f>
        <v>Relativity</v>
      </c>
      <c r="H4643" s="14">
        <f>VLOOKUP(E4643,'Rental Transaction'!A:B,2,FALSE)</f>
        <v>762509</v>
      </c>
      <c r="I4643">
        <f t="shared" si="72"/>
        <v>2014</v>
      </c>
    </row>
    <row r="4644" spans="1:9">
      <c r="A4644" s="1">
        <v>10097</v>
      </c>
      <c r="B4644" s="1">
        <v>4</v>
      </c>
      <c r="C4644" s="2">
        <v>41639</v>
      </c>
      <c r="D4644" s="1" t="s">
        <v>2005</v>
      </c>
      <c r="E4644" s="1">
        <v>102923</v>
      </c>
      <c r="F4644" s="6" t="s">
        <v>6646</v>
      </c>
      <c r="G4644" s="15" t="str">
        <f>VLOOKUP(A4644,Movie!A:D,4,FALSE)</f>
        <v>Screen Gems</v>
      </c>
      <c r="H4644" s="14">
        <f>VLOOKUP(E4644,'Rental Transaction'!A:B,2,FALSE)</f>
        <v>435907</v>
      </c>
      <c r="I4644">
        <f t="shared" si="72"/>
        <v>2013</v>
      </c>
    </row>
    <row r="4645" spans="1:9">
      <c r="A4645" s="1">
        <v>10245</v>
      </c>
      <c r="B4645" s="1">
        <v>3</v>
      </c>
      <c r="C4645" s="2">
        <v>41641</v>
      </c>
      <c r="D4645" s="1" t="s">
        <v>2005</v>
      </c>
      <c r="E4645" s="1">
        <v>102923</v>
      </c>
      <c r="F4645" s="6" t="s">
        <v>6647</v>
      </c>
      <c r="G4645" s="15" t="str">
        <f>VLOOKUP(A4645,Movie!A:D,4,FALSE)</f>
        <v>Warner Brothers</v>
      </c>
      <c r="H4645" s="14">
        <f>VLOOKUP(E4645,'Rental Transaction'!A:B,2,FALSE)</f>
        <v>435907</v>
      </c>
      <c r="I4645">
        <f t="shared" si="72"/>
        <v>2014</v>
      </c>
    </row>
    <row r="4646" spans="1:9">
      <c r="A4646" s="1">
        <v>10204</v>
      </c>
      <c r="B4646" s="1">
        <v>2</v>
      </c>
      <c r="C4646" s="2">
        <v>41640</v>
      </c>
      <c r="D4646" s="1" t="s">
        <v>2002</v>
      </c>
      <c r="E4646" s="1">
        <v>102924</v>
      </c>
      <c r="F4646" s="6" t="s">
        <v>6648</v>
      </c>
      <c r="G4646" s="15" t="str">
        <f>VLOOKUP(A4646,Movie!A:D,4,FALSE)</f>
        <v>Universal</v>
      </c>
      <c r="H4646" s="14">
        <f>VLOOKUP(E4646,'Rental Transaction'!A:B,2,FALSE)</f>
        <v>442254</v>
      </c>
      <c r="I4646">
        <f t="shared" si="72"/>
        <v>2014</v>
      </c>
    </row>
    <row r="4647" spans="1:9">
      <c r="A4647" s="1">
        <v>10265</v>
      </c>
      <c r="B4647" s="1">
        <v>6</v>
      </c>
      <c r="C4647" s="2">
        <v>41640</v>
      </c>
      <c r="D4647" s="1" t="s">
        <v>2005</v>
      </c>
      <c r="E4647" s="1">
        <v>102924</v>
      </c>
      <c r="F4647" s="6" t="s">
        <v>6649</v>
      </c>
      <c r="G4647" s="15" t="str">
        <f>VLOOKUP(A4647,Movie!A:D,4,FALSE)</f>
        <v>Warner Brothers</v>
      </c>
      <c r="H4647" s="14">
        <f>VLOOKUP(E4647,'Rental Transaction'!A:B,2,FALSE)</f>
        <v>442254</v>
      </c>
      <c r="I4647">
        <f t="shared" si="72"/>
        <v>2014</v>
      </c>
    </row>
    <row r="4648" spans="1:9">
      <c r="A4648" s="1">
        <v>10256</v>
      </c>
      <c r="B4648" s="1">
        <v>1</v>
      </c>
      <c r="C4648" s="2">
        <v>41642</v>
      </c>
      <c r="D4648" s="1" t="s">
        <v>2002</v>
      </c>
      <c r="E4648" s="1">
        <v>102928</v>
      </c>
      <c r="F4648" s="6" t="s">
        <v>6650</v>
      </c>
      <c r="G4648" s="15" t="str">
        <f>VLOOKUP(A4648,Movie!A:D,4,FALSE)</f>
        <v>Fox</v>
      </c>
      <c r="H4648" s="14">
        <f>VLOOKUP(E4648,'Rental Transaction'!A:B,2,FALSE)</f>
        <v>416523</v>
      </c>
      <c r="I4648">
        <f t="shared" si="72"/>
        <v>2014</v>
      </c>
    </row>
    <row r="4649" spans="1:9">
      <c r="A4649" s="1">
        <v>10066</v>
      </c>
      <c r="B4649" s="1">
        <v>2</v>
      </c>
      <c r="C4649" s="2">
        <v>41640</v>
      </c>
      <c r="D4649" s="1" t="s">
        <v>2002</v>
      </c>
      <c r="E4649" s="1">
        <v>102928</v>
      </c>
      <c r="F4649" s="6" t="s">
        <v>6651</v>
      </c>
      <c r="G4649" s="15" t="str">
        <f>VLOOKUP(A4649,Movie!A:D,4,FALSE)</f>
        <v>Buena Vista</v>
      </c>
      <c r="H4649" s="14">
        <f>VLOOKUP(E4649,'Rental Transaction'!A:B,2,FALSE)</f>
        <v>416523</v>
      </c>
      <c r="I4649">
        <f t="shared" si="72"/>
        <v>2014</v>
      </c>
    </row>
    <row r="4650" spans="1:9">
      <c r="A4650" s="1">
        <v>10220</v>
      </c>
      <c r="B4650" s="1">
        <v>1</v>
      </c>
      <c r="C4650" s="2">
        <v>41643</v>
      </c>
      <c r="D4650" s="1" t="s">
        <v>2005</v>
      </c>
      <c r="E4650" s="1">
        <v>102931</v>
      </c>
      <c r="F4650" s="6" t="s">
        <v>6652</v>
      </c>
      <c r="G4650" s="15" t="str">
        <f>VLOOKUP(A4650,Movie!A:D,4,FALSE)</f>
        <v>Fox</v>
      </c>
      <c r="H4650" s="14">
        <f>VLOOKUP(E4650,'Rental Transaction'!A:B,2,FALSE)</f>
        <v>173125</v>
      </c>
      <c r="I4650">
        <f t="shared" si="72"/>
        <v>2014</v>
      </c>
    </row>
    <row r="4651" spans="1:9">
      <c r="A4651" s="1">
        <v>10281</v>
      </c>
      <c r="B4651" s="1">
        <v>1</v>
      </c>
      <c r="C4651" s="2">
        <v>41645</v>
      </c>
      <c r="D4651" s="1" t="s">
        <v>2002</v>
      </c>
      <c r="E4651" s="1">
        <v>102932</v>
      </c>
      <c r="F4651" s="6" t="s">
        <v>6653</v>
      </c>
      <c r="G4651" s="15" t="str">
        <f>VLOOKUP(A4651,Movie!A:D,4,FALSE)</f>
        <v>Lionsgate</v>
      </c>
      <c r="H4651" s="14">
        <f>VLOOKUP(E4651,'Rental Transaction'!A:B,2,FALSE)</f>
        <v>850933</v>
      </c>
      <c r="I4651">
        <f t="shared" si="72"/>
        <v>2014</v>
      </c>
    </row>
    <row r="4652" spans="1:9">
      <c r="A4652" s="1">
        <v>10241</v>
      </c>
      <c r="B4652" s="1">
        <v>9</v>
      </c>
      <c r="C4652" s="2">
        <v>41642</v>
      </c>
      <c r="D4652" s="1" t="s">
        <v>2002</v>
      </c>
      <c r="E4652" s="1">
        <v>102934</v>
      </c>
      <c r="F4652" s="6" t="s">
        <v>6654</v>
      </c>
      <c r="G4652" s="15" t="str">
        <f>VLOOKUP(A4652,Movie!A:D,4,FALSE)</f>
        <v>Warner Brothers</v>
      </c>
      <c r="H4652" s="14">
        <f>VLOOKUP(E4652,'Rental Transaction'!A:B,2,FALSE)</f>
        <v>308662</v>
      </c>
      <c r="I4652">
        <f t="shared" si="72"/>
        <v>2014</v>
      </c>
    </row>
    <row r="4653" spans="1:9">
      <c r="A4653" s="1">
        <v>10171</v>
      </c>
      <c r="B4653" s="1">
        <v>2</v>
      </c>
      <c r="C4653" s="2">
        <v>41641</v>
      </c>
      <c r="D4653" s="1" t="s">
        <v>2002</v>
      </c>
      <c r="E4653" s="1">
        <v>102934</v>
      </c>
      <c r="F4653" s="6" t="s">
        <v>6655</v>
      </c>
      <c r="G4653" s="15" t="str">
        <f>VLOOKUP(A4653,Movie!A:D,4,FALSE)</f>
        <v>Universal</v>
      </c>
      <c r="H4653" s="14">
        <f>VLOOKUP(E4653,'Rental Transaction'!A:B,2,FALSE)</f>
        <v>308662</v>
      </c>
      <c r="I4653">
        <f t="shared" si="72"/>
        <v>2014</v>
      </c>
    </row>
    <row r="4654" spans="1:9">
      <c r="A4654" s="1">
        <v>10288</v>
      </c>
      <c r="B4654" s="1">
        <v>6</v>
      </c>
      <c r="C4654" s="2">
        <v>41644</v>
      </c>
      <c r="D4654" s="1" t="s">
        <v>2002</v>
      </c>
      <c r="E4654" s="1">
        <v>102937</v>
      </c>
      <c r="F4654" s="6" t="s">
        <v>6656</v>
      </c>
      <c r="G4654" s="15" t="str">
        <f>VLOOKUP(A4654,Movie!A:D,4,FALSE)</f>
        <v>Relativity</v>
      </c>
      <c r="H4654" s="14">
        <f>VLOOKUP(E4654,'Rental Transaction'!A:B,2,FALSE)</f>
        <v>345348</v>
      </c>
      <c r="I4654">
        <f t="shared" si="72"/>
        <v>2014</v>
      </c>
    </row>
    <row r="4655" spans="1:9">
      <c r="A4655" s="1">
        <v>10198</v>
      </c>
      <c r="B4655" s="1">
        <v>1</v>
      </c>
      <c r="C4655" s="2">
        <v>41641</v>
      </c>
      <c r="D4655" s="1" t="s">
        <v>2005</v>
      </c>
      <c r="E4655" s="1">
        <v>102937</v>
      </c>
      <c r="F4655" s="6" t="s">
        <v>6657</v>
      </c>
      <c r="G4655" s="15" t="str">
        <f>VLOOKUP(A4655,Movie!A:D,4,FALSE)</f>
        <v>Fox</v>
      </c>
      <c r="H4655" s="14">
        <f>VLOOKUP(E4655,'Rental Transaction'!A:B,2,FALSE)</f>
        <v>345348</v>
      </c>
      <c r="I4655">
        <f t="shared" si="72"/>
        <v>2014</v>
      </c>
    </row>
    <row r="4656" spans="1:9">
      <c r="A4656" s="1">
        <v>10279</v>
      </c>
      <c r="B4656" s="1">
        <v>9</v>
      </c>
      <c r="C4656" s="2">
        <v>41641</v>
      </c>
      <c r="D4656" s="1" t="s">
        <v>2002</v>
      </c>
      <c r="E4656" s="1">
        <v>102938</v>
      </c>
      <c r="F4656" s="6" t="s">
        <v>6658</v>
      </c>
      <c r="G4656" s="15" t="str">
        <f>VLOOKUP(A4656,Movie!A:D,4,FALSE)</f>
        <v>Screen Gems</v>
      </c>
      <c r="H4656" s="14">
        <f>VLOOKUP(E4656,'Rental Transaction'!A:B,2,FALSE)</f>
        <v>105771</v>
      </c>
      <c r="I4656">
        <f t="shared" si="72"/>
        <v>2014</v>
      </c>
    </row>
    <row r="4657" spans="1:9">
      <c r="A4657" s="1">
        <v>10185</v>
      </c>
      <c r="B4657" s="1">
        <v>5</v>
      </c>
      <c r="C4657" s="2">
        <v>41642</v>
      </c>
      <c r="D4657" s="1" t="s">
        <v>2005</v>
      </c>
      <c r="E4657" s="1">
        <v>102939</v>
      </c>
      <c r="F4657" s="6" t="s">
        <v>6659</v>
      </c>
      <c r="G4657" s="15" t="str">
        <f>VLOOKUP(A4657,Movie!A:D,4,FALSE)</f>
        <v>Warner Brothers</v>
      </c>
      <c r="H4657" s="14">
        <f>VLOOKUP(E4657,'Rental Transaction'!A:B,2,FALSE)</f>
        <v>371731</v>
      </c>
      <c r="I4657">
        <f t="shared" si="72"/>
        <v>2014</v>
      </c>
    </row>
    <row r="4658" spans="1:9">
      <c r="A4658" s="1">
        <v>10212</v>
      </c>
      <c r="B4658" s="1">
        <v>6</v>
      </c>
      <c r="C4658" s="2">
        <v>41646</v>
      </c>
      <c r="D4658" s="1" t="s">
        <v>2002</v>
      </c>
      <c r="E4658" s="1">
        <v>102941</v>
      </c>
      <c r="F4658" s="6" t="s">
        <v>6660</v>
      </c>
      <c r="G4658" s="15" t="str">
        <f>VLOOKUP(A4658,Movie!A:D,4,FALSE)</f>
        <v>Lionsgate</v>
      </c>
      <c r="H4658" s="14">
        <f>VLOOKUP(E4658,'Rental Transaction'!A:B,2,FALSE)</f>
        <v>927518</v>
      </c>
      <c r="I4658">
        <f t="shared" si="72"/>
        <v>2014</v>
      </c>
    </row>
    <row r="4659" spans="1:9" ht="29.25">
      <c r="A4659" s="1">
        <v>10290</v>
      </c>
      <c r="B4659" s="1">
        <v>7</v>
      </c>
      <c r="C4659" s="2">
        <v>41644</v>
      </c>
      <c r="D4659" s="1" t="s">
        <v>2002</v>
      </c>
      <c r="E4659" s="1">
        <v>102942</v>
      </c>
      <c r="F4659" s="6" t="s">
        <v>6661</v>
      </c>
      <c r="G4659" s="15" t="str">
        <f>VLOOKUP(A4659,Movie!A:D,4,FALSE)</f>
        <v>Weinstein Company</v>
      </c>
      <c r="H4659" s="14">
        <f>VLOOKUP(E4659,'Rental Transaction'!A:B,2,FALSE)</f>
        <v>468692</v>
      </c>
      <c r="I4659">
        <f t="shared" si="72"/>
        <v>2014</v>
      </c>
    </row>
    <row r="4660" spans="1:9">
      <c r="A4660" s="1">
        <v>10179</v>
      </c>
      <c r="B4660" s="1">
        <v>5</v>
      </c>
      <c r="C4660" s="2">
        <v>41642</v>
      </c>
      <c r="D4660" s="1" t="s">
        <v>2002</v>
      </c>
      <c r="E4660" s="1">
        <v>102943</v>
      </c>
      <c r="F4660" s="6" t="s">
        <v>6662</v>
      </c>
      <c r="G4660" s="15" t="str">
        <f>VLOOKUP(A4660,Movie!A:D,4,FALSE)</f>
        <v>Warner Brothers</v>
      </c>
      <c r="H4660" s="14">
        <f>VLOOKUP(E4660,'Rental Transaction'!A:B,2,FALSE)</f>
        <v>912671</v>
      </c>
      <c r="I4660">
        <f t="shared" si="72"/>
        <v>2014</v>
      </c>
    </row>
    <row r="4661" spans="1:9">
      <c r="A4661" s="1">
        <v>10141</v>
      </c>
      <c r="B4661" s="1">
        <v>9</v>
      </c>
      <c r="C4661" s="2">
        <v>41642</v>
      </c>
      <c r="D4661" s="1" t="s">
        <v>2002</v>
      </c>
      <c r="E4661" s="1">
        <v>102946</v>
      </c>
      <c r="F4661" s="6" t="s">
        <v>6663</v>
      </c>
      <c r="G4661" s="15" t="str">
        <f>VLOOKUP(A4661,Movie!A:D,4,FALSE)</f>
        <v>Warner Brothers</v>
      </c>
      <c r="H4661" s="14">
        <f>VLOOKUP(E4661,'Rental Transaction'!A:B,2,FALSE)</f>
        <v>244282</v>
      </c>
      <c r="I4661">
        <f t="shared" si="72"/>
        <v>2014</v>
      </c>
    </row>
    <row r="4662" spans="1:9" ht="29.25">
      <c r="A4662" s="1">
        <v>10095</v>
      </c>
      <c r="B4662" s="1">
        <v>10</v>
      </c>
      <c r="C4662" s="2">
        <v>41643</v>
      </c>
      <c r="D4662" s="1" t="s">
        <v>2002</v>
      </c>
      <c r="E4662" s="1">
        <v>102950</v>
      </c>
      <c r="F4662" s="6" t="s">
        <v>6664</v>
      </c>
      <c r="G4662" s="15" t="str">
        <f>VLOOKUP(A4662,Movie!A:D,4,FALSE)</f>
        <v>Weinstein Company</v>
      </c>
      <c r="H4662" s="14">
        <f>VLOOKUP(E4662,'Rental Transaction'!A:B,2,FALSE)</f>
        <v>166735</v>
      </c>
      <c r="I4662">
        <f t="shared" si="72"/>
        <v>2014</v>
      </c>
    </row>
    <row r="4663" spans="1:9" ht="29.25">
      <c r="A4663" s="1">
        <v>10290</v>
      </c>
      <c r="B4663" s="1">
        <v>10</v>
      </c>
      <c r="C4663" s="2">
        <v>41644</v>
      </c>
      <c r="D4663" s="1" t="s">
        <v>2002</v>
      </c>
      <c r="E4663" s="1">
        <v>102950</v>
      </c>
      <c r="F4663" s="6" t="s">
        <v>6665</v>
      </c>
      <c r="G4663" s="15" t="str">
        <f>VLOOKUP(A4663,Movie!A:D,4,FALSE)</f>
        <v>Weinstein Company</v>
      </c>
      <c r="H4663" s="14">
        <f>VLOOKUP(E4663,'Rental Transaction'!A:B,2,FALSE)</f>
        <v>166735</v>
      </c>
      <c r="I4663">
        <f t="shared" si="72"/>
        <v>2014</v>
      </c>
    </row>
    <row r="4664" spans="1:9">
      <c r="A4664" s="1">
        <v>10048</v>
      </c>
      <c r="B4664" s="1">
        <v>6</v>
      </c>
      <c r="C4664" s="2">
        <v>41645</v>
      </c>
      <c r="D4664" s="1" t="s">
        <v>2005</v>
      </c>
      <c r="E4664" s="1">
        <v>102951</v>
      </c>
      <c r="F4664" s="6" t="s">
        <v>6666</v>
      </c>
      <c r="G4664" s="15" t="str">
        <f>VLOOKUP(A4664,Movie!A:D,4,FALSE)</f>
        <v>Relativity</v>
      </c>
      <c r="H4664" s="14">
        <f>VLOOKUP(E4664,'Rental Transaction'!A:B,2,FALSE)</f>
        <v>355107</v>
      </c>
      <c r="I4664">
        <f t="shared" si="72"/>
        <v>2014</v>
      </c>
    </row>
    <row r="4665" spans="1:9">
      <c r="A4665" s="1">
        <v>10173</v>
      </c>
      <c r="B4665" s="1">
        <v>7</v>
      </c>
      <c r="C4665" s="2">
        <v>41645</v>
      </c>
      <c r="D4665" s="1" t="s">
        <v>2002</v>
      </c>
      <c r="E4665" s="1">
        <v>102952</v>
      </c>
      <c r="F4665" s="6" t="s">
        <v>6667</v>
      </c>
      <c r="G4665" s="15" t="str">
        <f>VLOOKUP(A4665,Movie!A:D,4,FALSE)</f>
        <v>Sony</v>
      </c>
      <c r="H4665" s="14">
        <f>VLOOKUP(E4665,'Rental Transaction'!A:B,2,FALSE)</f>
        <v>366695</v>
      </c>
      <c r="I4665">
        <f t="shared" si="72"/>
        <v>2014</v>
      </c>
    </row>
    <row r="4666" spans="1:9">
      <c r="A4666" s="1">
        <v>10112</v>
      </c>
      <c r="B4666" s="1">
        <v>9</v>
      </c>
      <c r="C4666" s="2">
        <v>41644</v>
      </c>
      <c r="D4666" s="1" t="s">
        <v>2002</v>
      </c>
      <c r="E4666" s="1">
        <v>102954</v>
      </c>
      <c r="F4666" s="6" t="s">
        <v>6668</v>
      </c>
      <c r="G4666" s="15" t="str">
        <f>VLOOKUP(A4666,Movie!A:D,4,FALSE)</f>
        <v>Relativity</v>
      </c>
      <c r="H4666" s="14">
        <f>VLOOKUP(E4666,'Rental Transaction'!A:B,2,FALSE)</f>
        <v>840096</v>
      </c>
      <c r="I4666">
        <f t="shared" si="72"/>
        <v>2014</v>
      </c>
    </row>
    <row r="4667" spans="1:9">
      <c r="A4667" s="1">
        <v>10187</v>
      </c>
      <c r="B4667" s="1">
        <v>1</v>
      </c>
      <c r="C4667" s="2">
        <v>41645</v>
      </c>
      <c r="D4667" s="1" t="s">
        <v>2002</v>
      </c>
      <c r="E4667" s="1">
        <v>102957</v>
      </c>
      <c r="F4667" s="6" t="s">
        <v>6669</v>
      </c>
      <c r="G4667" s="15" t="str">
        <f>VLOOKUP(A4667,Movie!A:D,4,FALSE)</f>
        <v>Paramount</v>
      </c>
      <c r="H4667" s="14">
        <f>VLOOKUP(E4667,'Rental Transaction'!A:B,2,FALSE)</f>
        <v>488803</v>
      </c>
      <c r="I4667">
        <f t="shared" si="72"/>
        <v>2014</v>
      </c>
    </row>
    <row r="4668" spans="1:9">
      <c r="A4668" s="1">
        <v>10230</v>
      </c>
      <c r="B4668" s="1">
        <v>3</v>
      </c>
      <c r="C4668" s="2">
        <v>41646</v>
      </c>
      <c r="D4668" s="1" t="s">
        <v>2005</v>
      </c>
      <c r="E4668" s="1">
        <v>102957</v>
      </c>
      <c r="F4668" s="6" t="s">
        <v>6670</v>
      </c>
      <c r="G4668" s="15" t="str">
        <f>VLOOKUP(A4668,Movie!A:D,4,FALSE)</f>
        <v>Focus</v>
      </c>
      <c r="H4668" s="14">
        <f>VLOOKUP(E4668,'Rental Transaction'!A:B,2,FALSE)</f>
        <v>488803</v>
      </c>
      <c r="I4668">
        <f t="shared" si="72"/>
        <v>2014</v>
      </c>
    </row>
    <row r="4669" spans="1:9">
      <c r="A4669" s="1">
        <v>10238</v>
      </c>
      <c r="B4669" s="1">
        <v>9</v>
      </c>
      <c r="C4669" s="2">
        <v>41645</v>
      </c>
      <c r="D4669" s="1" t="s">
        <v>2005</v>
      </c>
      <c r="E4669" s="1">
        <v>102957</v>
      </c>
      <c r="F4669" s="6" t="s">
        <v>6671</v>
      </c>
      <c r="G4669" s="15" t="str">
        <f>VLOOKUP(A4669,Movie!A:D,4,FALSE)</f>
        <v>Warner Brothers</v>
      </c>
      <c r="H4669" s="14">
        <f>VLOOKUP(E4669,'Rental Transaction'!A:B,2,FALSE)</f>
        <v>488803</v>
      </c>
      <c r="I4669">
        <f t="shared" si="72"/>
        <v>2014</v>
      </c>
    </row>
    <row r="4670" spans="1:9">
      <c r="A4670" s="1">
        <v>10233</v>
      </c>
      <c r="B4670" s="1">
        <v>9</v>
      </c>
      <c r="C4670" s="2">
        <v>41644</v>
      </c>
      <c r="D4670" s="1" t="s">
        <v>2005</v>
      </c>
      <c r="E4670" s="1">
        <v>102960</v>
      </c>
      <c r="F4670" s="6" t="s">
        <v>6672</v>
      </c>
      <c r="G4670" s="15" t="str">
        <f>VLOOKUP(A4670,Movie!A:D,4,FALSE)</f>
        <v>Screen Gems</v>
      </c>
      <c r="H4670" s="14">
        <f>VLOOKUP(E4670,'Rental Transaction'!A:B,2,FALSE)</f>
        <v>216081</v>
      </c>
      <c r="I4670">
        <f t="shared" si="72"/>
        <v>2014</v>
      </c>
    </row>
    <row r="4671" spans="1:9">
      <c r="A4671" s="1">
        <v>10187</v>
      </c>
      <c r="B4671" s="1">
        <v>1</v>
      </c>
      <c r="C4671" s="2">
        <v>41647</v>
      </c>
      <c r="D4671" s="1" t="s">
        <v>2002</v>
      </c>
      <c r="E4671" s="1">
        <v>102961</v>
      </c>
      <c r="F4671" s="6" t="s">
        <v>6673</v>
      </c>
      <c r="G4671" s="15" t="str">
        <f>VLOOKUP(A4671,Movie!A:D,4,FALSE)</f>
        <v>Paramount</v>
      </c>
      <c r="H4671" s="14">
        <f>VLOOKUP(E4671,'Rental Transaction'!A:B,2,FALSE)</f>
        <v>278809</v>
      </c>
      <c r="I4671">
        <f t="shared" si="72"/>
        <v>2014</v>
      </c>
    </row>
    <row r="4672" spans="1:9">
      <c r="A4672" s="1">
        <v>10082</v>
      </c>
      <c r="B4672" s="1">
        <v>7</v>
      </c>
      <c r="C4672" s="2">
        <v>41646</v>
      </c>
      <c r="D4672" s="1" t="s">
        <v>2002</v>
      </c>
      <c r="E4672" s="1">
        <v>102962</v>
      </c>
      <c r="F4672" s="6" t="s">
        <v>6674</v>
      </c>
      <c r="G4672" s="15" t="str">
        <f>VLOOKUP(A4672,Movie!A:D,4,FALSE)</f>
        <v>Buena Vista</v>
      </c>
      <c r="H4672" s="14">
        <f>VLOOKUP(E4672,'Rental Transaction'!A:B,2,FALSE)</f>
        <v>714277</v>
      </c>
      <c r="I4672">
        <f t="shared" si="72"/>
        <v>2014</v>
      </c>
    </row>
    <row r="4673" spans="1:9">
      <c r="A4673" s="1">
        <v>10220</v>
      </c>
      <c r="B4673" s="1">
        <v>7</v>
      </c>
      <c r="C4673" s="2">
        <v>41645</v>
      </c>
      <c r="D4673" s="1" t="s">
        <v>2005</v>
      </c>
      <c r="E4673" s="1">
        <v>102962</v>
      </c>
      <c r="F4673" s="6" t="s">
        <v>6675</v>
      </c>
      <c r="G4673" s="15" t="str">
        <f>VLOOKUP(A4673,Movie!A:D,4,FALSE)</f>
        <v>Fox</v>
      </c>
      <c r="H4673" s="14">
        <f>VLOOKUP(E4673,'Rental Transaction'!A:B,2,FALSE)</f>
        <v>714277</v>
      </c>
      <c r="I4673">
        <f t="shared" si="72"/>
        <v>2014</v>
      </c>
    </row>
    <row r="4674" spans="1:9" ht="29.25">
      <c r="A4674" s="1">
        <v>10294</v>
      </c>
      <c r="B4674" s="1">
        <v>8</v>
      </c>
      <c r="C4674" s="2">
        <v>41645</v>
      </c>
      <c r="D4674" s="1" t="s">
        <v>2002</v>
      </c>
      <c r="E4674" s="1">
        <v>102962</v>
      </c>
      <c r="F4674" s="6" t="s">
        <v>6676</v>
      </c>
      <c r="G4674" s="15" t="str">
        <f>VLOOKUP(A4674,Movie!A:D,4,FALSE)</f>
        <v>Weinstein Company</v>
      </c>
      <c r="H4674" s="14">
        <f>VLOOKUP(E4674,'Rental Transaction'!A:B,2,FALSE)</f>
        <v>714277</v>
      </c>
      <c r="I4674">
        <f t="shared" si="72"/>
        <v>2014</v>
      </c>
    </row>
    <row r="4675" spans="1:9">
      <c r="A4675" s="1">
        <v>10265</v>
      </c>
      <c r="B4675" s="1">
        <v>10</v>
      </c>
      <c r="C4675" s="2">
        <v>41645</v>
      </c>
      <c r="D4675" s="1" t="s">
        <v>2002</v>
      </c>
      <c r="E4675" s="1">
        <v>102963</v>
      </c>
      <c r="F4675" s="6" t="s">
        <v>6677</v>
      </c>
      <c r="G4675" s="15" t="str">
        <f>VLOOKUP(A4675,Movie!A:D,4,FALSE)</f>
        <v>Warner Brothers</v>
      </c>
      <c r="H4675" s="14">
        <f>VLOOKUP(E4675,'Rental Transaction'!A:B,2,FALSE)</f>
        <v>304344</v>
      </c>
      <c r="I4675">
        <f t="shared" ref="I4675:I4738" si="73">YEAR(C4675)</f>
        <v>2014</v>
      </c>
    </row>
    <row r="4676" spans="1:9">
      <c r="A4676" s="1">
        <v>10299</v>
      </c>
      <c r="B4676" s="1">
        <v>8</v>
      </c>
      <c r="C4676" s="2">
        <v>41645</v>
      </c>
      <c r="D4676" s="1" t="s">
        <v>2002</v>
      </c>
      <c r="E4676" s="1">
        <v>102963</v>
      </c>
      <c r="F4676" s="6" t="s">
        <v>6678</v>
      </c>
      <c r="G4676" s="15" t="str">
        <f>VLOOKUP(A4676,Movie!A:D,4,FALSE)</f>
        <v>Radius-TWC</v>
      </c>
      <c r="H4676" s="14">
        <f>VLOOKUP(E4676,'Rental Transaction'!A:B,2,FALSE)</f>
        <v>304344</v>
      </c>
      <c r="I4676">
        <f t="shared" si="73"/>
        <v>2014</v>
      </c>
    </row>
    <row r="4677" spans="1:9">
      <c r="A4677" s="1">
        <v>10199</v>
      </c>
      <c r="B4677" s="1">
        <v>5</v>
      </c>
      <c r="C4677" s="2">
        <v>41647</v>
      </c>
      <c r="D4677" s="1" t="s">
        <v>2002</v>
      </c>
      <c r="E4677" s="1">
        <v>102966</v>
      </c>
      <c r="F4677" s="6" t="s">
        <v>6679</v>
      </c>
      <c r="G4677" s="15" t="str">
        <f>VLOOKUP(A4677,Movie!A:D,4,FALSE)</f>
        <v>Lionsgate</v>
      </c>
      <c r="H4677" s="14">
        <f>VLOOKUP(E4677,'Rental Transaction'!A:B,2,FALSE)</f>
        <v>202612</v>
      </c>
      <c r="I4677">
        <f t="shared" si="73"/>
        <v>2014</v>
      </c>
    </row>
    <row r="4678" spans="1:9">
      <c r="A4678" s="1">
        <v>10071</v>
      </c>
      <c r="B4678" s="1">
        <v>6</v>
      </c>
      <c r="C4678" s="2">
        <v>41646</v>
      </c>
      <c r="D4678" s="1" t="s">
        <v>2002</v>
      </c>
      <c r="E4678" s="1">
        <v>102967</v>
      </c>
      <c r="F4678" s="6" t="s">
        <v>6680</v>
      </c>
      <c r="G4678" s="15" t="str">
        <f>VLOOKUP(A4678,Movie!A:D,4,FALSE)</f>
        <v>Paramount</v>
      </c>
      <c r="H4678" s="14">
        <f>VLOOKUP(E4678,'Rental Transaction'!A:B,2,FALSE)</f>
        <v>575041</v>
      </c>
      <c r="I4678">
        <f t="shared" si="73"/>
        <v>2014</v>
      </c>
    </row>
    <row r="4679" spans="1:9">
      <c r="A4679" s="1">
        <v>10134</v>
      </c>
      <c r="B4679" s="1">
        <v>7</v>
      </c>
      <c r="C4679" s="2">
        <v>41648</v>
      </c>
      <c r="D4679" s="1" t="s">
        <v>2005</v>
      </c>
      <c r="E4679" s="1">
        <v>102967</v>
      </c>
      <c r="F4679" s="6" t="s">
        <v>6681</v>
      </c>
      <c r="G4679" s="15" t="str">
        <f>VLOOKUP(A4679,Movie!A:D,4,FALSE)</f>
        <v>Universal</v>
      </c>
      <c r="H4679" s="14">
        <f>VLOOKUP(E4679,'Rental Transaction'!A:B,2,FALSE)</f>
        <v>575041</v>
      </c>
      <c r="I4679">
        <f t="shared" si="73"/>
        <v>2014</v>
      </c>
    </row>
    <row r="4680" spans="1:9">
      <c r="A4680" s="1">
        <v>10054</v>
      </c>
      <c r="B4680" s="1">
        <v>2</v>
      </c>
      <c r="C4680" s="2">
        <v>41645</v>
      </c>
      <c r="D4680" s="1" t="s">
        <v>2002</v>
      </c>
      <c r="E4680" s="1">
        <v>102967</v>
      </c>
      <c r="F4680" s="6" t="s">
        <v>6682</v>
      </c>
      <c r="G4680" s="15" t="str">
        <f>VLOOKUP(A4680,Movie!A:D,4,FALSE)</f>
        <v>Paramount</v>
      </c>
      <c r="H4680" s="14">
        <f>VLOOKUP(E4680,'Rental Transaction'!A:B,2,FALSE)</f>
        <v>575041</v>
      </c>
      <c r="I4680">
        <f t="shared" si="73"/>
        <v>2014</v>
      </c>
    </row>
    <row r="4681" spans="1:9">
      <c r="A4681" s="1">
        <v>10204</v>
      </c>
      <c r="B4681" s="1">
        <v>9</v>
      </c>
      <c r="C4681" s="2">
        <v>41646</v>
      </c>
      <c r="D4681" s="1" t="s">
        <v>2005</v>
      </c>
      <c r="E4681" s="1">
        <v>102968</v>
      </c>
      <c r="F4681" s="6" t="s">
        <v>6683</v>
      </c>
      <c r="G4681" s="15" t="str">
        <f>VLOOKUP(A4681,Movie!A:D,4,FALSE)</f>
        <v>Universal</v>
      </c>
      <c r="H4681" s="14">
        <f>VLOOKUP(E4681,'Rental Transaction'!A:B,2,FALSE)</f>
        <v>242720</v>
      </c>
      <c r="I4681">
        <f t="shared" si="73"/>
        <v>2014</v>
      </c>
    </row>
    <row r="4682" spans="1:9">
      <c r="A4682" s="1">
        <v>10235</v>
      </c>
      <c r="B4682" s="1">
        <v>1</v>
      </c>
      <c r="C4682" s="2">
        <v>41646</v>
      </c>
      <c r="D4682" s="1" t="s">
        <v>2005</v>
      </c>
      <c r="E4682" s="1">
        <v>102971</v>
      </c>
      <c r="F4682" s="6" t="s">
        <v>6684</v>
      </c>
      <c r="G4682" s="15" t="str">
        <f>VLOOKUP(A4682,Movie!A:D,4,FALSE)</f>
        <v>Lionsgate</v>
      </c>
      <c r="H4682" s="14">
        <f>VLOOKUP(E4682,'Rental Transaction'!A:B,2,FALSE)</f>
        <v>298508</v>
      </c>
      <c r="I4682">
        <f t="shared" si="73"/>
        <v>2014</v>
      </c>
    </row>
    <row r="4683" spans="1:9" ht="29.25">
      <c r="A4683" s="1">
        <v>10264</v>
      </c>
      <c r="B4683" s="1">
        <v>7</v>
      </c>
      <c r="C4683" s="2">
        <v>41646</v>
      </c>
      <c r="D4683" s="1" t="s">
        <v>2002</v>
      </c>
      <c r="E4683" s="1">
        <v>102972</v>
      </c>
      <c r="F4683" s="6" t="s">
        <v>6685</v>
      </c>
      <c r="G4683" s="15" t="str">
        <f>VLOOKUP(A4683,Movie!A:D,4,FALSE)</f>
        <v>Weinstein Company</v>
      </c>
      <c r="H4683" s="14">
        <f>VLOOKUP(E4683,'Rental Transaction'!A:B,2,FALSE)</f>
        <v>559688</v>
      </c>
      <c r="I4683">
        <f t="shared" si="73"/>
        <v>2014</v>
      </c>
    </row>
    <row r="4684" spans="1:9">
      <c r="A4684" s="1">
        <v>10235</v>
      </c>
      <c r="B4684" s="1">
        <v>2</v>
      </c>
      <c r="C4684" s="2">
        <v>41646</v>
      </c>
      <c r="D4684" s="1" t="s">
        <v>2002</v>
      </c>
      <c r="E4684" s="1">
        <v>102972</v>
      </c>
      <c r="F4684" s="6" t="s">
        <v>6686</v>
      </c>
      <c r="G4684" s="15" t="str">
        <f>VLOOKUP(A4684,Movie!A:D,4,FALSE)</f>
        <v>Lionsgate</v>
      </c>
      <c r="H4684" s="14">
        <f>VLOOKUP(E4684,'Rental Transaction'!A:B,2,FALSE)</f>
        <v>559688</v>
      </c>
      <c r="I4684">
        <f t="shared" si="73"/>
        <v>2014</v>
      </c>
    </row>
    <row r="4685" spans="1:9">
      <c r="A4685" s="1">
        <v>10265</v>
      </c>
      <c r="B4685" s="1">
        <v>2</v>
      </c>
      <c r="C4685" s="2">
        <v>41647</v>
      </c>
      <c r="D4685" s="1" t="s">
        <v>2002</v>
      </c>
      <c r="E4685" s="1">
        <v>102973</v>
      </c>
      <c r="F4685" s="6" t="s">
        <v>6687</v>
      </c>
      <c r="G4685" s="15" t="str">
        <f>VLOOKUP(A4685,Movie!A:D,4,FALSE)</f>
        <v>Warner Brothers</v>
      </c>
      <c r="H4685" s="14">
        <f>VLOOKUP(E4685,'Rental Transaction'!A:B,2,FALSE)</f>
        <v>358901</v>
      </c>
      <c r="I4685">
        <f t="shared" si="73"/>
        <v>2014</v>
      </c>
    </row>
    <row r="4686" spans="1:9">
      <c r="A4686" s="1">
        <v>10116</v>
      </c>
      <c r="B4686" s="1">
        <v>3</v>
      </c>
      <c r="C4686" s="2">
        <v>41648</v>
      </c>
      <c r="D4686" s="1" t="s">
        <v>2002</v>
      </c>
      <c r="E4686" s="1">
        <v>102975</v>
      </c>
      <c r="F4686" s="6" t="s">
        <v>6688</v>
      </c>
      <c r="G4686" s="15" t="str">
        <f>VLOOKUP(A4686,Movie!A:D,4,FALSE)</f>
        <v>Universal</v>
      </c>
      <c r="H4686" s="14">
        <f>VLOOKUP(E4686,'Rental Transaction'!A:B,2,FALSE)</f>
        <v>847289</v>
      </c>
      <c r="I4686">
        <f t="shared" si="73"/>
        <v>2014</v>
      </c>
    </row>
    <row r="4687" spans="1:9">
      <c r="A4687" s="1">
        <v>10208</v>
      </c>
      <c r="B4687" s="1">
        <v>8</v>
      </c>
      <c r="C4687" s="2">
        <v>41647</v>
      </c>
      <c r="D4687" s="1" t="s">
        <v>2002</v>
      </c>
      <c r="E4687" s="1">
        <v>102976</v>
      </c>
      <c r="F4687" s="6" t="s">
        <v>6689</v>
      </c>
      <c r="G4687" s="15" t="str">
        <f>VLOOKUP(A4687,Movie!A:D,4,FALSE)</f>
        <v>Warner Brothers</v>
      </c>
      <c r="H4687" s="14">
        <f>VLOOKUP(E4687,'Rental Transaction'!A:B,2,FALSE)</f>
        <v>206078</v>
      </c>
      <c r="I4687">
        <f t="shared" si="73"/>
        <v>2014</v>
      </c>
    </row>
    <row r="4688" spans="1:9">
      <c r="A4688" s="1">
        <v>10064</v>
      </c>
      <c r="B4688" s="1">
        <v>8</v>
      </c>
      <c r="C4688" s="2">
        <v>41650</v>
      </c>
      <c r="D4688" s="1" t="s">
        <v>2002</v>
      </c>
      <c r="E4688" s="1">
        <v>102977</v>
      </c>
      <c r="F4688" s="6" t="s">
        <v>6690</v>
      </c>
      <c r="G4688" s="15" t="str">
        <f>VLOOKUP(A4688,Movie!A:D,4,FALSE)</f>
        <v>Universal</v>
      </c>
      <c r="H4688" s="14">
        <f>VLOOKUP(E4688,'Rental Transaction'!A:B,2,FALSE)</f>
        <v>808177</v>
      </c>
      <c r="I4688">
        <f t="shared" si="73"/>
        <v>2014</v>
      </c>
    </row>
    <row r="4689" spans="1:9">
      <c r="A4689" s="1">
        <v>10256</v>
      </c>
      <c r="B4689" s="1">
        <v>5</v>
      </c>
      <c r="C4689" s="2">
        <v>41647</v>
      </c>
      <c r="D4689" s="1" t="s">
        <v>2005</v>
      </c>
      <c r="E4689" s="1">
        <v>102978</v>
      </c>
      <c r="F4689" s="6" t="s">
        <v>6691</v>
      </c>
      <c r="G4689" s="15" t="str">
        <f>VLOOKUP(A4689,Movie!A:D,4,FALSE)</f>
        <v>Fox</v>
      </c>
      <c r="H4689" s="14">
        <f>VLOOKUP(E4689,'Rental Transaction'!A:B,2,FALSE)</f>
        <v>319387</v>
      </c>
      <c r="I4689">
        <f t="shared" si="73"/>
        <v>2014</v>
      </c>
    </row>
    <row r="4690" spans="1:9">
      <c r="A4690" s="1">
        <v>10127</v>
      </c>
      <c r="B4690" s="1">
        <v>7</v>
      </c>
      <c r="C4690" s="2">
        <v>41647</v>
      </c>
      <c r="D4690" s="1" t="s">
        <v>2002</v>
      </c>
      <c r="E4690" s="1">
        <v>102978</v>
      </c>
      <c r="F4690" s="6" t="s">
        <v>6692</v>
      </c>
      <c r="G4690" s="15" t="str">
        <f>VLOOKUP(A4690,Movie!A:D,4,FALSE)</f>
        <v>TriStar</v>
      </c>
      <c r="H4690" s="14">
        <f>VLOOKUP(E4690,'Rental Transaction'!A:B,2,FALSE)</f>
        <v>319387</v>
      </c>
      <c r="I4690">
        <f t="shared" si="73"/>
        <v>2014</v>
      </c>
    </row>
    <row r="4691" spans="1:9">
      <c r="A4691" s="1">
        <v>10292</v>
      </c>
      <c r="B4691" s="1">
        <v>5</v>
      </c>
      <c r="C4691" s="2">
        <v>41649</v>
      </c>
      <c r="D4691" s="1" t="s">
        <v>2002</v>
      </c>
      <c r="E4691" s="1">
        <v>102979</v>
      </c>
      <c r="F4691" s="6" t="s">
        <v>6693</v>
      </c>
      <c r="G4691" s="15" t="str">
        <f>VLOOKUP(A4691,Movie!A:D,4,FALSE)</f>
        <v>Sony Classics</v>
      </c>
      <c r="H4691" s="14">
        <f>VLOOKUP(E4691,'Rental Transaction'!A:B,2,FALSE)</f>
        <v>358901</v>
      </c>
      <c r="I4691">
        <f t="shared" si="73"/>
        <v>2014</v>
      </c>
    </row>
    <row r="4692" spans="1:9">
      <c r="A4692" s="1">
        <v>10175</v>
      </c>
      <c r="B4692" s="1">
        <v>10</v>
      </c>
      <c r="C4692" s="2">
        <v>41647</v>
      </c>
      <c r="D4692" s="1" t="s">
        <v>2002</v>
      </c>
      <c r="E4692" s="1">
        <v>102980</v>
      </c>
      <c r="F4692" s="6" t="s">
        <v>6694</v>
      </c>
      <c r="G4692" s="15" t="str">
        <f>VLOOKUP(A4692,Movie!A:D,4,FALSE)</f>
        <v>Buena Vista</v>
      </c>
      <c r="H4692" s="14">
        <f>VLOOKUP(E4692,'Rental Transaction'!A:B,2,FALSE)</f>
        <v>116934</v>
      </c>
      <c r="I4692">
        <f t="shared" si="73"/>
        <v>2014</v>
      </c>
    </row>
    <row r="4693" spans="1:9" ht="29.25">
      <c r="A4693" s="1">
        <v>10285</v>
      </c>
      <c r="B4693" s="1">
        <v>2</v>
      </c>
      <c r="C4693" s="2">
        <v>41647</v>
      </c>
      <c r="D4693" s="1" t="s">
        <v>2002</v>
      </c>
      <c r="E4693" s="1">
        <v>102981</v>
      </c>
      <c r="F4693" s="6" t="s">
        <v>6695</v>
      </c>
      <c r="G4693" s="15" t="str">
        <f>VLOOKUP(A4693,Movie!A:D,4,FALSE)</f>
        <v>Roadside Attractions</v>
      </c>
      <c r="H4693" s="14">
        <f>VLOOKUP(E4693,'Rental Transaction'!A:B,2,FALSE)</f>
        <v>296353</v>
      </c>
      <c r="I4693">
        <f t="shared" si="73"/>
        <v>2014</v>
      </c>
    </row>
    <row r="4694" spans="1:9">
      <c r="A4694" s="1">
        <v>10222</v>
      </c>
      <c r="B4694" s="1">
        <v>2</v>
      </c>
      <c r="C4694" s="2">
        <v>41651</v>
      </c>
      <c r="D4694" s="1" t="s">
        <v>2002</v>
      </c>
      <c r="E4694" s="1">
        <v>102981</v>
      </c>
      <c r="F4694" s="6" t="s">
        <v>6696</v>
      </c>
      <c r="G4694" s="15" t="str">
        <f>VLOOKUP(A4694,Movie!A:D,4,FALSE)</f>
        <v>Sony</v>
      </c>
      <c r="H4694" s="14">
        <f>VLOOKUP(E4694,'Rental Transaction'!A:B,2,FALSE)</f>
        <v>296353</v>
      </c>
      <c r="I4694">
        <f t="shared" si="73"/>
        <v>2014</v>
      </c>
    </row>
    <row r="4695" spans="1:9">
      <c r="A4695" s="1">
        <v>10197</v>
      </c>
      <c r="B4695" s="1">
        <v>8</v>
      </c>
      <c r="C4695" s="2">
        <v>41653</v>
      </c>
      <c r="D4695" s="1" t="s">
        <v>2002</v>
      </c>
      <c r="E4695" s="1">
        <v>102984</v>
      </c>
      <c r="F4695" s="6" t="s">
        <v>6697</v>
      </c>
      <c r="G4695" s="15" t="str">
        <f>VLOOKUP(A4695,Movie!A:D,4,FALSE)</f>
        <v>Warner Brothers</v>
      </c>
      <c r="H4695" s="14">
        <f>VLOOKUP(E4695,'Rental Transaction'!A:B,2,FALSE)</f>
        <v>353846</v>
      </c>
      <c r="I4695">
        <f t="shared" si="73"/>
        <v>2014</v>
      </c>
    </row>
    <row r="4696" spans="1:9">
      <c r="A4696" s="1">
        <v>10071</v>
      </c>
      <c r="B4696" s="1">
        <v>4</v>
      </c>
      <c r="C4696" s="2">
        <v>41648</v>
      </c>
      <c r="D4696" s="1" t="s">
        <v>2002</v>
      </c>
      <c r="E4696" s="1">
        <v>102985</v>
      </c>
      <c r="F4696" s="6" t="s">
        <v>6698</v>
      </c>
      <c r="G4696" s="15" t="str">
        <f>VLOOKUP(A4696,Movie!A:D,4,FALSE)</f>
        <v>Paramount</v>
      </c>
      <c r="H4696" s="14">
        <f>VLOOKUP(E4696,'Rental Transaction'!A:B,2,FALSE)</f>
        <v>404678</v>
      </c>
      <c r="I4696">
        <f t="shared" si="73"/>
        <v>2014</v>
      </c>
    </row>
    <row r="4697" spans="1:9">
      <c r="A4697" s="1">
        <v>10134</v>
      </c>
      <c r="B4697" s="1">
        <v>8</v>
      </c>
      <c r="C4697" s="2">
        <v>41649</v>
      </c>
      <c r="D4697" s="1" t="s">
        <v>2002</v>
      </c>
      <c r="E4697" s="1">
        <v>102985</v>
      </c>
      <c r="F4697" s="6" t="s">
        <v>6699</v>
      </c>
      <c r="G4697" s="15" t="str">
        <f>VLOOKUP(A4697,Movie!A:D,4,FALSE)</f>
        <v>Universal</v>
      </c>
      <c r="H4697" s="14">
        <f>VLOOKUP(E4697,'Rental Transaction'!A:B,2,FALSE)</f>
        <v>404678</v>
      </c>
      <c r="I4697">
        <f t="shared" si="73"/>
        <v>2014</v>
      </c>
    </row>
    <row r="4698" spans="1:9">
      <c r="A4698" s="1">
        <v>10167</v>
      </c>
      <c r="B4698" s="1">
        <v>10</v>
      </c>
      <c r="C4698" s="2">
        <v>41650</v>
      </c>
      <c r="D4698" s="1" t="s">
        <v>2002</v>
      </c>
      <c r="E4698" s="1">
        <v>102987</v>
      </c>
      <c r="F4698" s="6" t="s">
        <v>6700</v>
      </c>
      <c r="G4698" s="15" t="str">
        <f>VLOOKUP(A4698,Movie!A:D,4,FALSE)</f>
        <v>Universal</v>
      </c>
      <c r="H4698" s="14">
        <f>VLOOKUP(E4698,'Rental Transaction'!A:B,2,FALSE)</f>
        <v>862302</v>
      </c>
      <c r="I4698">
        <f t="shared" si="73"/>
        <v>2014</v>
      </c>
    </row>
    <row r="4699" spans="1:9">
      <c r="A4699" s="1">
        <v>10245</v>
      </c>
      <c r="B4699" s="1">
        <v>2</v>
      </c>
      <c r="C4699" s="2">
        <v>41649</v>
      </c>
      <c r="D4699" s="1" t="s">
        <v>2002</v>
      </c>
      <c r="E4699" s="1">
        <v>102987</v>
      </c>
      <c r="F4699" s="6" t="s">
        <v>6701</v>
      </c>
      <c r="G4699" s="15" t="str">
        <f>VLOOKUP(A4699,Movie!A:D,4,FALSE)</f>
        <v>Warner Brothers</v>
      </c>
      <c r="H4699" s="14">
        <f>VLOOKUP(E4699,'Rental Transaction'!A:B,2,FALSE)</f>
        <v>862302</v>
      </c>
      <c r="I4699">
        <f t="shared" si="73"/>
        <v>2014</v>
      </c>
    </row>
    <row r="4700" spans="1:9">
      <c r="A4700" s="1">
        <v>10267</v>
      </c>
      <c r="B4700" s="1">
        <v>9</v>
      </c>
      <c r="C4700" s="2">
        <v>41649</v>
      </c>
      <c r="D4700" s="1" t="s">
        <v>2002</v>
      </c>
      <c r="E4700" s="1">
        <v>102988</v>
      </c>
      <c r="F4700" s="6" t="s">
        <v>6702</v>
      </c>
      <c r="G4700" s="15" t="str">
        <f>VLOOKUP(A4700,Movie!A:D,4,FALSE)</f>
        <v>TriStar</v>
      </c>
      <c r="H4700" s="14">
        <f>VLOOKUP(E4700,'Rental Transaction'!A:B,2,FALSE)</f>
        <v>877877</v>
      </c>
      <c r="I4700">
        <f t="shared" si="73"/>
        <v>2014</v>
      </c>
    </row>
    <row r="4701" spans="1:9">
      <c r="A4701" s="1">
        <v>10286</v>
      </c>
      <c r="B4701" s="1">
        <v>1</v>
      </c>
      <c r="C4701" s="2">
        <v>41648</v>
      </c>
      <c r="D4701" s="1" t="s">
        <v>2002</v>
      </c>
      <c r="E4701" s="1">
        <v>102988</v>
      </c>
      <c r="F4701" s="6" t="s">
        <v>6703</v>
      </c>
      <c r="G4701" s="15" t="str">
        <f>VLOOKUP(A4701,Movie!A:D,4,FALSE)</f>
        <v>Fox Searchlight</v>
      </c>
      <c r="H4701" s="14">
        <f>VLOOKUP(E4701,'Rental Transaction'!A:B,2,FALSE)</f>
        <v>877877</v>
      </c>
      <c r="I4701">
        <f t="shared" si="73"/>
        <v>2014</v>
      </c>
    </row>
    <row r="4702" spans="1:9">
      <c r="A4702" s="1">
        <v>10299</v>
      </c>
      <c r="B4702" s="1">
        <v>8</v>
      </c>
      <c r="C4702" s="2">
        <v>41650</v>
      </c>
      <c r="D4702" s="1" t="s">
        <v>2002</v>
      </c>
      <c r="E4702" s="1">
        <v>102989</v>
      </c>
      <c r="F4702" s="6" t="s">
        <v>6704</v>
      </c>
      <c r="G4702" s="15" t="str">
        <f>VLOOKUP(A4702,Movie!A:D,4,FALSE)</f>
        <v>Radius-TWC</v>
      </c>
      <c r="H4702" s="14">
        <f>VLOOKUP(E4702,'Rental Transaction'!A:B,2,FALSE)</f>
        <v>157388</v>
      </c>
      <c r="I4702">
        <f t="shared" si="73"/>
        <v>2014</v>
      </c>
    </row>
    <row r="4703" spans="1:9">
      <c r="A4703" s="1">
        <v>10122</v>
      </c>
      <c r="B4703" s="1">
        <v>7</v>
      </c>
      <c r="C4703" s="2">
        <v>41649</v>
      </c>
      <c r="D4703" s="1" t="s">
        <v>2002</v>
      </c>
      <c r="E4703" s="1">
        <v>102989</v>
      </c>
      <c r="F4703" s="6" t="s">
        <v>6705</v>
      </c>
      <c r="G4703" s="15" t="str">
        <f>VLOOKUP(A4703,Movie!A:D,4,FALSE)</f>
        <v>Relativity</v>
      </c>
      <c r="H4703" s="14">
        <f>VLOOKUP(E4703,'Rental Transaction'!A:B,2,FALSE)</f>
        <v>157388</v>
      </c>
      <c r="I4703">
        <f t="shared" si="73"/>
        <v>2014</v>
      </c>
    </row>
    <row r="4704" spans="1:9">
      <c r="A4704" s="1">
        <v>10283</v>
      </c>
      <c r="B4704" s="1">
        <v>5</v>
      </c>
      <c r="C4704" s="2">
        <v>41649</v>
      </c>
      <c r="D4704" s="1" t="s">
        <v>2002</v>
      </c>
      <c r="E4704" s="1">
        <v>102991</v>
      </c>
      <c r="F4704" s="6" t="s">
        <v>6706</v>
      </c>
      <c r="G4704" s="15" t="str">
        <f>VLOOKUP(A4704,Movie!A:D,4,FALSE)</f>
        <v>TriStar</v>
      </c>
      <c r="H4704" s="14">
        <f>VLOOKUP(E4704,'Rental Transaction'!A:B,2,FALSE)</f>
        <v>578275</v>
      </c>
      <c r="I4704">
        <f t="shared" si="73"/>
        <v>2014</v>
      </c>
    </row>
    <row r="4705" spans="1:9" ht="29.25">
      <c r="A4705" s="1">
        <v>10140</v>
      </c>
      <c r="B4705" s="1">
        <v>8</v>
      </c>
      <c r="C4705" s="2">
        <v>41652</v>
      </c>
      <c r="D4705" s="1" t="s">
        <v>2005</v>
      </c>
      <c r="E4705" s="1">
        <v>102991</v>
      </c>
      <c r="F4705" s="6" t="s">
        <v>6707</v>
      </c>
      <c r="G4705" s="15" t="str">
        <f>VLOOKUP(A4705,Movie!A:D,4,FALSE)</f>
        <v>Weinstein Company</v>
      </c>
      <c r="H4705" s="14">
        <f>VLOOKUP(E4705,'Rental Transaction'!A:B,2,FALSE)</f>
        <v>578275</v>
      </c>
      <c r="I4705">
        <f t="shared" si="73"/>
        <v>2014</v>
      </c>
    </row>
    <row r="4706" spans="1:9">
      <c r="A4706" s="1">
        <v>10073</v>
      </c>
      <c r="B4706" s="1">
        <v>6</v>
      </c>
      <c r="C4706" s="2">
        <v>41649</v>
      </c>
      <c r="D4706" s="1" t="s">
        <v>2002</v>
      </c>
      <c r="E4706" s="1">
        <v>102993</v>
      </c>
      <c r="F4706" s="6" t="s">
        <v>6708</v>
      </c>
      <c r="G4706" s="15" t="str">
        <f>VLOOKUP(A4706,Movie!A:D,4,FALSE)</f>
        <v>FilmDistrict</v>
      </c>
      <c r="H4706" s="14">
        <f>VLOOKUP(E4706,'Rental Transaction'!A:B,2,FALSE)</f>
        <v>175871</v>
      </c>
      <c r="I4706">
        <f t="shared" si="73"/>
        <v>2014</v>
      </c>
    </row>
    <row r="4707" spans="1:9">
      <c r="A4707" s="1">
        <v>10188</v>
      </c>
      <c r="B4707" s="1">
        <v>3</v>
      </c>
      <c r="C4707" s="2">
        <v>41650</v>
      </c>
      <c r="D4707" s="1" t="s">
        <v>2002</v>
      </c>
      <c r="E4707" s="1">
        <v>102999</v>
      </c>
      <c r="F4707" s="6" t="s">
        <v>6709</v>
      </c>
      <c r="G4707" s="15" t="str">
        <f>VLOOKUP(A4707,Movie!A:D,4,FALSE)</f>
        <v>Paramount</v>
      </c>
      <c r="H4707" s="14">
        <f>VLOOKUP(E4707,'Rental Transaction'!A:B,2,FALSE)</f>
        <v>548546</v>
      </c>
      <c r="I4707">
        <f t="shared" si="73"/>
        <v>2014</v>
      </c>
    </row>
    <row r="4708" spans="1:9" ht="29.25">
      <c r="A4708" s="1">
        <v>10144</v>
      </c>
      <c r="B4708" s="1">
        <v>3</v>
      </c>
      <c r="C4708" s="2">
        <v>41649</v>
      </c>
      <c r="D4708" s="1" t="s">
        <v>2002</v>
      </c>
      <c r="E4708" s="1">
        <v>102999</v>
      </c>
      <c r="F4708" s="6" t="s">
        <v>6710</v>
      </c>
      <c r="G4708" s="15" t="str">
        <f>VLOOKUP(A4708,Movie!A:D,4,FALSE)</f>
        <v>Weinstein Company</v>
      </c>
      <c r="H4708" s="14">
        <f>VLOOKUP(E4708,'Rental Transaction'!A:B,2,FALSE)</f>
        <v>548546</v>
      </c>
      <c r="I4708">
        <f t="shared" si="73"/>
        <v>2014</v>
      </c>
    </row>
    <row r="4709" spans="1:9">
      <c r="A4709" s="1">
        <v>10230</v>
      </c>
      <c r="B4709" s="1">
        <v>2</v>
      </c>
      <c r="C4709" s="2">
        <v>41650</v>
      </c>
      <c r="D4709" s="1" t="s">
        <v>2005</v>
      </c>
      <c r="E4709" s="1">
        <v>103000</v>
      </c>
      <c r="F4709" s="6" t="s">
        <v>6711</v>
      </c>
      <c r="G4709" s="15" t="str">
        <f>VLOOKUP(A4709,Movie!A:D,4,FALSE)</f>
        <v>Focus</v>
      </c>
      <c r="H4709" s="14">
        <f>VLOOKUP(E4709,'Rental Transaction'!A:B,2,FALSE)</f>
        <v>884729</v>
      </c>
      <c r="I4709">
        <f t="shared" si="73"/>
        <v>2014</v>
      </c>
    </row>
    <row r="4710" spans="1:9">
      <c r="A4710" s="1">
        <v>10215</v>
      </c>
      <c r="B4710" s="1">
        <v>2</v>
      </c>
      <c r="C4710" s="2">
        <v>41651</v>
      </c>
      <c r="D4710" s="1" t="s">
        <v>2002</v>
      </c>
      <c r="E4710" s="1">
        <v>103001</v>
      </c>
      <c r="F4710" s="6" t="s">
        <v>6712</v>
      </c>
      <c r="G4710" s="15" t="str">
        <f>VLOOKUP(A4710,Movie!A:D,4,FALSE)</f>
        <v>Paramount</v>
      </c>
      <c r="H4710" s="14">
        <f>VLOOKUP(E4710,'Rental Transaction'!A:B,2,FALSE)</f>
        <v>559688</v>
      </c>
      <c r="I4710">
        <f t="shared" si="73"/>
        <v>2014</v>
      </c>
    </row>
    <row r="4711" spans="1:9">
      <c r="A4711" s="1">
        <v>10152</v>
      </c>
      <c r="B4711" s="1">
        <v>3</v>
      </c>
      <c r="C4711" s="2">
        <v>41651</v>
      </c>
      <c r="D4711" s="1" t="s">
        <v>2002</v>
      </c>
      <c r="E4711" s="1">
        <v>103002</v>
      </c>
      <c r="F4711" s="6" t="s">
        <v>6713</v>
      </c>
      <c r="G4711" s="15" t="str">
        <f>VLOOKUP(A4711,Movie!A:D,4,FALSE)</f>
        <v>FilmDistrict</v>
      </c>
      <c r="H4711" s="14">
        <f>VLOOKUP(E4711,'Rental Transaction'!A:B,2,FALSE)</f>
        <v>105549</v>
      </c>
      <c r="I4711">
        <f t="shared" si="73"/>
        <v>2014</v>
      </c>
    </row>
    <row r="4712" spans="1:9">
      <c r="A4712" s="1">
        <v>10177</v>
      </c>
      <c r="B4712" s="1">
        <v>7</v>
      </c>
      <c r="C4712" s="2">
        <v>41652</v>
      </c>
      <c r="D4712" s="1" t="s">
        <v>2002</v>
      </c>
      <c r="E4712" s="1">
        <v>103003</v>
      </c>
      <c r="F4712" s="6" t="s">
        <v>6714</v>
      </c>
      <c r="G4712" s="15" t="str">
        <f>VLOOKUP(A4712,Movie!A:D,4,FALSE)</f>
        <v>Fox</v>
      </c>
      <c r="H4712" s="14">
        <f>VLOOKUP(E4712,'Rental Transaction'!A:B,2,FALSE)</f>
        <v>908768</v>
      </c>
      <c r="I4712">
        <f t="shared" si="73"/>
        <v>2014</v>
      </c>
    </row>
    <row r="4713" spans="1:9">
      <c r="A4713" s="1">
        <v>10235</v>
      </c>
      <c r="B4713" s="1">
        <v>9</v>
      </c>
      <c r="C4713" s="2">
        <v>41653</v>
      </c>
      <c r="D4713" s="1" t="s">
        <v>2005</v>
      </c>
      <c r="E4713" s="1">
        <v>103004</v>
      </c>
      <c r="F4713" s="6" t="s">
        <v>6715</v>
      </c>
      <c r="G4713" s="15" t="str">
        <f>VLOOKUP(A4713,Movie!A:D,4,FALSE)</f>
        <v>Lionsgate</v>
      </c>
      <c r="H4713" s="14">
        <f>VLOOKUP(E4713,'Rental Transaction'!A:B,2,FALSE)</f>
        <v>741398</v>
      </c>
      <c r="I4713">
        <f t="shared" si="73"/>
        <v>2014</v>
      </c>
    </row>
    <row r="4714" spans="1:9">
      <c r="A4714" s="1">
        <v>10288</v>
      </c>
      <c r="B4714" s="1">
        <v>5</v>
      </c>
      <c r="C4714" s="2">
        <v>41652</v>
      </c>
      <c r="D4714" s="1" t="s">
        <v>2002</v>
      </c>
      <c r="E4714" s="1">
        <v>103007</v>
      </c>
      <c r="F4714" s="6" t="s">
        <v>6716</v>
      </c>
      <c r="G4714" s="15" t="str">
        <f>VLOOKUP(A4714,Movie!A:D,4,FALSE)</f>
        <v>Relativity</v>
      </c>
      <c r="H4714" s="14">
        <f>VLOOKUP(E4714,'Rental Transaction'!A:B,2,FALSE)</f>
        <v>616028</v>
      </c>
      <c r="I4714">
        <f t="shared" si="73"/>
        <v>2014</v>
      </c>
    </row>
    <row r="4715" spans="1:9">
      <c r="A4715" s="1">
        <v>10086</v>
      </c>
      <c r="B4715" s="1">
        <v>3</v>
      </c>
      <c r="C4715" s="2">
        <v>41651</v>
      </c>
      <c r="D4715" s="1" t="s">
        <v>2005</v>
      </c>
      <c r="E4715" s="1">
        <v>103011</v>
      </c>
      <c r="F4715" s="6" t="s">
        <v>6717</v>
      </c>
      <c r="G4715" s="15" t="str">
        <f>VLOOKUP(A4715,Movie!A:D,4,FALSE)</f>
        <v>Buena Vista</v>
      </c>
      <c r="H4715" s="14">
        <f>VLOOKUP(E4715,'Rental Transaction'!A:B,2,FALSE)</f>
        <v>161175</v>
      </c>
      <c r="I4715">
        <f t="shared" si="73"/>
        <v>2014</v>
      </c>
    </row>
    <row r="4716" spans="1:9">
      <c r="A4716" s="1">
        <v>10020</v>
      </c>
      <c r="B4716" s="1">
        <v>1</v>
      </c>
      <c r="C4716" s="2">
        <v>41651</v>
      </c>
      <c r="D4716" s="1" t="s">
        <v>2002</v>
      </c>
      <c r="E4716" s="1">
        <v>103012</v>
      </c>
      <c r="F4716" s="6" t="s">
        <v>6718</v>
      </c>
      <c r="G4716" s="15" t="str">
        <f>VLOOKUP(A4716,Movie!A:D,4,FALSE)</f>
        <v>FilmDistrict</v>
      </c>
      <c r="H4716" s="14">
        <f>VLOOKUP(E4716,'Rental Transaction'!A:B,2,FALSE)</f>
        <v>418521</v>
      </c>
      <c r="I4716">
        <f t="shared" si="73"/>
        <v>2014</v>
      </c>
    </row>
    <row r="4717" spans="1:9">
      <c r="A4717" s="1">
        <v>10226</v>
      </c>
      <c r="B4717" s="1">
        <v>10</v>
      </c>
      <c r="C4717" s="2">
        <v>41651</v>
      </c>
      <c r="D4717" s="1" t="s">
        <v>2002</v>
      </c>
      <c r="E4717" s="1">
        <v>103013</v>
      </c>
      <c r="F4717" s="6" t="s">
        <v>6719</v>
      </c>
      <c r="G4717" s="15" t="str">
        <f>VLOOKUP(A4717,Movie!A:D,4,FALSE)</f>
        <v>Sony</v>
      </c>
      <c r="H4717" s="14">
        <f>VLOOKUP(E4717,'Rental Transaction'!A:B,2,FALSE)</f>
        <v>800121</v>
      </c>
      <c r="I4717">
        <f t="shared" si="73"/>
        <v>2014</v>
      </c>
    </row>
    <row r="4718" spans="1:9" ht="29.25">
      <c r="A4718" s="1">
        <v>10105</v>
      </c>
      <c r="B4718" s="1">
        <v>8</v>
      </c>
      <c r="C4718" s="2">
        <v>41652</v>
      </c>
      <c r="D4718" s="1" t="s">
        <v>2002</v>
      </c>
      <c r="E4718" s="1">
        <v>103014</v>
      </c>
      <c r="F4718" s="6" t="s">
        <v>6720</v>
      </c>
      <c r="G4718" s="15" t="str">
        <f>VLOOKUP(A4718,Movie!A:D,4,FALSE)</f>
        <v>Weinstein Company</v>
      </c>
      <c r="H4718" s="14">
        <f>VLOOKUP(E4718,'Rental Transaction'!A:B,2,FALSE)</f>
        <v>346006</v>
      </c>
      <c r="I4718">
        <f t="shared" si="73"/>
        <v>2014</v>
      </c>
    </row>
    <row r="4719" spans="1:9">
      <c r="A4719" s="1">
        <v>10186</v>
      </c>
      <c r="B4719" s="1">
        <v>5</v>
      </c>
      <c r="C4719" s="2">
        <v>41653</v>
      </c>
      <c r="D4719" s="1" t="s">
        <v>2002</v>
      </c>
      <c r="E4719" s="1">
        <v>103015</v>
      </c>
      <c r="F4719" s="6" t="s">
        <v>6721</v>
      </c>
      <c r="G4719" s="15" t="str">
        <f>VLOOKUP(A4719,Movie!A:D,4,FALSE)</f>
        <v>Lionsgate</v>
      </c>
      <c r="H4719" s="14">
        <f>VLOOKUP(E4719,'Rental Transaction'!A:B,2,FALSE)</f>
        <v>994056</v>
      </c>
      <c r="I4719">
        <f t="shared" si="73"/>
        <v>2014</v>
      </c>
    </row>
    <row r="4720" spans="1:9">
      <c r="A4720" s="1">
        <v>10263</v>
      </c>
      <c r="B4720" s="1">
        <v>10</v>
      </c>
      <c r="C4720" s="2">
        <v>41652</v>
      </c>
      <c r="D4720" s="1" t="s">
        <v>2002</v>
      </c>
      <c r="E4720" s="1">
        <v>103015</v>
      </c>
      <c r="F4720" s="6" t="s">
        <v>6722</v>
      </c>
      <c r="G4720" s="15" t="str">
        <f>VLOOKUP(A4720,Movie!A:D,4,FALSE)</f>
        <v>Fox</v>
      </c>
      <c r="H4720" s="14">
        <f>VLOOKUP(E4720,'Rental Transaction'!A:B,2,FALSE)</f>
        <v>994056</v>
      </c>
      <c r="I4720">
        <f t="shared" si="73"/>
        <v>2014</v>
      </c>
    </row>
    <row r="4721" spans="1:9">
      <c r="A4721" s="1">
        <v>10177</v>
      </c>
      <c r="B4721" s="1">
        <v>9</v>
      </c>
      <c r="C4721" s="2">
        <v>41653</v>
      </c>
      <c r="D4721" s="1" t="s">
        <v>2005</v>
      </c>
      <c r="E4721" s="1">
        <v>103016</v>
      </c>
      <c r="F4721" s="6" t="s">
        <v>6723</v>
      </c>
      <c r="G4721" s="15" t="str">
        <f>VLOOKUP(A4721,Movie!A:D,4,FALSE)</f>
        <v>Fox</v>
      </c>
      <c r="H4721" s="14">
        <f>VLOOKUP(E4721,'Rental Transaction'!A:B,2,FALSE)</f>
        <v>901388</v>
      </c>
      <c r="I4721">
        <f t="shared" si="73"/>
        <v>2014</v>
      </c>
    </row>
    <row r="4722" spans="1:9">
      <c r="A4722" s="1">
        <v>10227</v>
      </c>
      <c r="B4722" s="1">
        <v>1</v>
      </c>
      <c r="C4722" s="2">
        <v>41652</v>
      </c>
      <c r="D4722" s="1" t="s">
        <v>2002</v>
      </c>
      <c r="E4722" s="1">
        <v>103017</v>
      </c>
      <c r="F4722" s="6" t="s">
        <v>6724</v>
      </c>
      <c r="G4722" s="15" t="str">
        <f>VLOOKUP(A4722,Movie!A:D,4,FALSE)</f>
        <v>Focus</v>
      </c>
      <c r="H4722" s="14">
        <f>VLOOKUP(E4722,'Rental Transaction'!A:B,2,FALSE)</f>
        <v>435907</v>
      </c>
      <c r="I4722">
        <f t="shared" si="73"/>
        <v>2014</v>
      </c>
    </row>
    <row r="4723" spans="1:9">
      <c r="A4723" s="1">
        <v>10266</v>
      </c>
      <c r="B4723" s="1">
        <v>10</v>
      </c>
      <c r="C4723" s="2">
        <v>41653</v>
      </c>
      <c r="D4723" s="1" t="s">
        <v>2002</v>
      </c>
      <c r="E4723" s="1">
        <v>103019</v>
      </c>
      <c r="F4723" s="6" t="s">
        <v>6725</v>
      </c>
      <c r="G4723" s="15" t="str">
        <f>VLOOKUP(A4723,Movie!A:D,4,FALSE)</f>
        <v>Sony</v>
      </c>
      <c r="H4723" s="14">
        <f>VLOOKUP(E4723,'Rental Transaction'!A:B,2,FALSE)</f>
        <v>703083</v>
      </c>
      <c r="I4723">
        <f t="shared" si="73"/>
        <v>2014</v>
      </c>
    </row>
    <row r="4724" spans="1:9">
      <c r="A4724" s="1">
        <v>10211</v>
      </c>
      <c r="B4724" s="1">
        <v>6</v>
      </c>
      <c r="C4724" s="2">
        <v>41652</v>
      </c>
      <c r="D4724" s="1" t="s">
        <v>2002</v>
      </c>
      <c r="E4724" s="1">
        <v>103020</v>
      </c>
      <c r="F4724" s="6" t="s">
        <v>6726</v>
      </c>
      <c r="G4724" s="15" t="str">
        <f>VLOOKUP(A4724,Movie!A:D,4,FALSE)</f>
        <v>Buena Vista</v>
      </c>
      <c r="H4724" s="14">
        <f>VLOOKUP(E4724,'Rental Transaction'!A:B,2,FALSE)</f>
        <v>781968</v>
      </c>
      <c r="I4724">
        <f t="shared" si="73"/>
        <v>2014</v>
      </c>
    </row>
    <row r="4725" spans="1:9">
      <c r="A4725" s="1">
        <v>10245</v>
      </c>
      <c r="B4725" s="1">
        <v>6</v>
      </c>
      <c r="C4725" s="2">
        <v>41654</v>
      </c>
      <c r="D4725" s="1" t="s">
        <v>2002</v>
      </c>
      <c r="E4725" s="1">
        <v>103021</v>
      </c>
      <c r="F4725" s="6" t="s">
        <v>6727</v>
      </c>
      <c r="G4725" s="15" t="str">
        <f>VLOOKUP(A4725,Movie!A:D,4,FALSE)</f>
        <v>Warner Brothers</v>
      </c>
      <c r="H4725" s="14">
        <f>VLOOKUP(E4725,'Rental Transaction'!A:B,2,FALSE)</f>
        <v>154427</v>
      </c>
      <c r="I4725">
        <f t="shared" si="73"/>
        <v>2014</v>
      </c>
    </row>
    <row r="4726" spans="1:9">
      <c r="A4726" s="1">
        <v>10208</v>
      </c>
      <c r="B4726" s="1">
        <v>3</v>
      </c>
      <c r="C4726" s="2">
        <v>41653</v>
      </c>
      <c r="D4726" s="1" t="s">
        <v>2002</v>
      </c>
      <c r="E4726" s="1">
        <v>103021</v>
      </c>
      <c r="F4726" s="6" t="s">
        <v>6728</v>
      </c>
      <c r="G4726" s="15" t="str">
        <f>VLOOKUP(A4726,Movie!A:D,4,FALSE)</f>
        <v>Warner Brothers</v>
      </c>
      <c r="H4726" s="14">
        <f>VLOOKUP(E4726,'Rental Transaction'!A:B,2,FALSE)</f>
        <v>154427</v>
      </c>
      <c r="I4726">
        <f t="shared" si="73"/>
        <v>2014</v>
      </c>
    </row>
    <row r="4727" spans="1:9">
      <c r="A4727" s="1">
        <v>10014</v>
      </c>
      <c r="B4727" s="1">
        <v>4</v>
      </c>
      <c r="C4727" s="2">
        <v>41652</v>
      </c>
      <c r="D4727" s="1" t="s">
        <v>2002</v>
      </c>
      <c r="E4727" s="1">
        <v>103022</v>
      </c>
      <c r="F4727" s="6" t="s">
        <v>6729</v>
      </c>
      <c r="G4727" s="15" t="str">
        <f>VLOOKUP(A4727,Movie!A:D,4,FALSE)</f>
        <v>Warner Brothers</v>
      </c>
      <c r="H4727" s="14">
        <f>VLOOKUP(E4727,'Rental Transaction'!A:B,2,FALSE)</f>
        <v>924649</v>
      </c>
      <c r="I4727">
        <f t="shared" si="73"/>
        <v>2014</v>
      </c>
    </row>
    <row r="4728" spans="1:9">
      <c r="A4728" s="1">
        <v>10086</v>
      </c>
      <c r="B4728" s="1">
        <v>6</v>
      </c>
      <c r="C4728" s="2">
        <v>41653</v>
      </c>
      <c r="D4728" s="1" t="s">
        <v>2002</v>
      </c>
      <c r="E4728" s="1">
        <v>103023</v>
      </c>
      <c r="F4728" s="6" t="s">
        <v>6730</v>
      </c>
      <c r="G4728" s="15" t="str">
        <f>VLOOKUP(A4728,Movie!A:D,4,FALSE)</f>
        <v>Buena Vista</v>
      </c>
      <c r="H4728" s="14">
        <f>VLOOKUP(E4728,'Rental Transaction'!A:B,2,FALSE)</f>
        <v>741514</v>
      </c>
      <c r="I4728">
        <f t="shared" si="73"/>
        <v>2014</v>
      </c>
    </row>
    <row r="4729" spans="1:9">
      <c r="A4729" s="1">
        <v>10272</v>
      </c>
      <c r="B4729" s="1">
        <v>7</v>
      </c>
      <c r="C4729" s="2">
        <v>41654</v>
      </c>
      <c r="D4729" s="1" t="s">
        <v>2005</v>
      </c>
      <c r="E4729" s="1">
        <v>103024</v>
      </c>
      <c r="F4729" s="6" t="s">
        <v>6731</v>
      </c>
      <c r="G4729" s="15" t="str">
        <f>VLOOKUP(A4729,Movie!A:D,4,FALSE)</f>
        <v>Sony</v>
      </c>
      <c r="H4729" s="14">
        <f>VLOOKUP(E4729,'Rental Transaction'!A:B,2,FALSE)</f>
        <v>468692</v>
      </c>
      <c r="I4729">
        <f t="shared" si="73"/>
        <v>2014</v>
      </c>
    </row>
    <row r="4730" spans="1:9">
      <c r="A4730" s="1">
        <v>10252</v>
      </c>
      <c r="B4730" s="1">
        <v>3</v>
      </c>
      <c r="C4730" s="2">
        <v>41659</v>
      </c>
      <c r="D4730" s="1" t="s">
        <v>2002</v>
      </c>
      <c r="E4730" s="1">
        <v>103025</v>
      </c>
      <c r="F4730" s="6" t="s">
        <v>6732</v>
      </c>
      <c r="G4730" s="15" t="str">
        <f>VLOOKUP(A4730,Movie!A:D,4,FALSE)</f>
        <v>Warner Brothers</v>
      </c>
      <c r="H4730" s="14">
        <f>VLOOKUP(E4730,'Rental Transaction'!A:B,2,FALSE)</f>
        <v>121639</v>
      </c>
      <c r="I4730">
        <f t="shared" si="73"/>
        <v>2014</v>
      </c>
    </row>
    <row r="4731" spans="1:9">
      <c r="A4731" s="1">
        <v>10226</v>
      </c>
      <c r="B4731" s="1">
        <v>1</v>
      </c>
      <c r="C4731" s="2">
        <v>41655</v>
      </c>
      <c r="D4731" s="1" t="s">
        <v>2005</v>
      </c>
      <c r="E4731" s="1">
        <v>103025</v>
      </c>
      <c r="F4731" s="6" t="s">
        <v>6733</v>
      </c>
      <c r="G4731" s="15" t="str">
        <f>VLOOKUP(A4731,Movie!A:D,4,FALSE)</f>
        <v>Sony</v>
      </c>
      <c r="H4731" s="14">
        <f>VLOOKUP(E4731,'Rental Transaction'!A:B,2,FALSE)</f>
        <v>121639</v>
      </c>
      <c r="I4731">
        <f t="shared" si="73"/>
        <v>2014</v>
      </c>
    </row>
    <row r="4732" spans="1:9">
      <c r="A4732" s="1">
        <v>10157</v>
      </c>
      <c r="B4732" s="1">
        <v>6</v>
      </c>
      <c r="C4732" s="2">
        <v>41653</v>
      </c>
      <c r="D4732" s="1" t="s">
        <v>2005</v>
      </c>
      <c r="E4732" s="1">
        <v>103027</v>
      </c>
      <c r="F4732" s="6" t="s">
        <v>6734</v>
      </c>
      <c r="G4732" s="15" t="str">
        <f>VLOOKUP(A4732,Movie!A:D,4,FALSE)</f>
        <v>Paramount</v>
      </c>
      <c r="H4732" s="14">
        <f>VLOOKUP(E4732,'Rental Transaction'!A:B,2,FALSE)</f>
        <v>994185</v>
      </c>
      <c r="I4732">
        <f t="shared" si="73"/>
        <v>2014</v>
      </c>
    </row>
    <row r="4733" spans="1:9">
      <c r="A4733" s="1">
        <v>10148</v>
      </c>
      <c r="B4733" s="1">
        <v>4</v>
      </c>
      <c r="C4733" s="2">
        <v>41655</v>
      </c>
      <c r="D4733" s="1" t="s">
        <v>2002</v>
      </c>
      <c r="E4733" s="1">
        <v>103028</v>
      </c>
      <c r="F4733" s="6" t="s">
        <v>6735</v>
      </c>
      <c r="G4733" s="15" t="str">
        <f>VLOOKUP(A4733,Movie!A:D,4,FALSE)</f>
        <v>Paramount</v>
      </c>
      <c r="H4733" s="14">
        <f>VLOOKUP(E4733,'Rental Transaction'!A:B,2,FALSE)</f>
        <v>624668</v>
      </c>
      <c r="I4733">
        <f t="shared" si="73"/>
        <v>2014</v>
      </c>
    </row>
    <row r="4734" spans="1:9">
      <c r="A4734" s="1">
        <v>10274</v>
      </c>
      <c r="B4734" s="1">
        <v>1</v>
      </c>
      <c r="C4734" s="2">
        <v>41653</v>
      </c>
      <c r="D4734" s="1" t="s">
        <v>2002</v>
      </c>
      <c r="E4734" s="1">
        <v>103028</v>
      </c>
      <c r="F4734" s="6" t="s">
        <v>6736</v>
      </c>
      <c r="G4734" s="15" t="str">
        <f>VLOOKUP(A4734,Movie!A:D,4,FALSE)</f>
        <v>Fox</v>
      </c>
      <c r="H4734" s="14">
        <f>VLOOKUP(E4734,'Rental Transaction'!A:B,2,FALSE)</f>
        <v>624668</v>
      </c>
      <c r="I4734">
        <f t="shared" si="73"/>
        <v>2014</v>
      </c>
    </row>
    <row r="4735" spans="1:9">
      <c r="A4735" s="1">
        <v>10128</v>
      </c>
      <c r="B4735" s="1">
        <v>6</v>
      </c>
      <c r="C4735" s="2">
        <v>41653</v>
      </c>
      <c r="D4735" s="1" t="s">
        <v>2002</v>
      </c>
      <c r="E4735" s="1">
        <v>103030</v>
      </c>
      <c r="F4735" s="6" t="s">
        <v>6737</v>
      </c>
      <c r="G4735" s="15" t="str">
        <f>VLOOKUP(A4735,Movie!A:D,4,FALSE)</f>
        <v>TriStar</v>
      </c>
      <c r="H4735" s="14">
        <f>VLOOKUP(E4735,'Rental Transaction'!A:B,2,FALSE)</f>
        <v>191050</v>
      </c>
      <c r="I4735">
        <f t="shared" si="73"/>
        <v>2014</v>
      </c>
    </row>
    <row r="4736" spans="1:9">
      <c r="A4736" s="1">
        <v>10281</v>
      </c>
      <c r="B4736" s="1">
        <v>6</v>
      </c>
      <c r="C4736" s="2">
        <v>41654</v>
      </c>
      <c r="D4736" s="1" t="s">
        <v>2005</v>
      </c>
      <c r="E4736" s="1">
        <v>103031</v>
      </c>
      <c r="F4736" s="6" t="s">
        <v>6738</v>
      </c>
      <c r="G4736" s="15" t="str">
        <f>VLOOKUP(A4736,Movie!A:D,4,FALSE)</f>
        <v>Lionsgate</v>
      </c>
      <c r="H4736" s="14">
        <f>VLOOKUP(E4736,'Rental Transaction'!A:B,2,FALSE)</f>
        <v>192738</v>
      </c>
      <c r="I4736">
        <f t="shared" si="73"/>
        <v>2014</v>
      </c>
    </row>
    <row r="4737" spans="1:9">
      <c r="A4737" s="1">
        <v>10233</v>
      </c>
      <c r="B4737" s="1">
        <v>8</v>
      </c>
      <c r="C4737" s="2">
        <v>41654</v>
      </c>
      <c r="D4737" s="1" t="s">
        <v>2002</v>
      </c>
      <c r="E4737" s="1">
        <v>103032</v>
      </c>
      <c r="F4737" s="6" t="s">
        <v>6739</v>
      </c>
      <c r="G4737" s="15" t="str">
        <f>VLOOKUP(A4737,Movie!A:D,4,FALSE)</f>
        <v>Screen Gems</v>
      </c>
      <c r="H4737" s="14">
        <f>VLOOKUP(E4737,'Rental Transaction'!A:B,2,FALSE)</f>
        <v>265339</v>
      </c>
      <c r="I4737">
        <f t="shared" si="73"/>
        <v>2014</v>
      </c>
    </row>
    <row r="4738" spans="1:9">
      <c r="A4738" s="1">
        <v>10137</v>
      </c>
      <c r="B4738" s="1">
        <v>4</v>
      </c>
      <c r="C4738" s="2">
        <v>41655</v>
      </c>
      <c r="D4738" s="1" t="s">
        <v>2005</v>
      </c>
      <c r="E4738" s="1">
        <v>103033</v>
      </c>
      <c r="F4738" s="6" t="s">
        <v>6740</v>
      </c>
      <c r="G4738" s="15" t="str">
        <f>VLOOKUP(A4738,Movie!A:D,4,FALSE)</f>
        <v>Buena Vista</v>
      </c>
      <c r="H4738" s="14">
        <f>VLOOKUP(E4738,'Rental Transaction'!A:B,2,FALSE)</f>
        <v>938417</v>
      </c>
      <c r="I4738">
        <f t="shared" si="73"/>
        <v>2014</v>
      </c>
    </row>
    <row r="4739" spans="1:9">
      <c r="A4739" s="1">
        <v>10280</v>
      </c>
      <c r="B4739" s="1">
        <v>2</v>
      </c>
      <c r="C4739" s="2">
        <v>41654</v>
      </c>
      <c r="D4739" s="1" t="s">
        <v>2002</v>
      </c>
      <c r="E4739" s="1">
        <v>103035</v>
      </c>
      <c r="F4739" s="6" t="s">
        <v>6741</v>
      </c>
      <c r="G4739" s="15" t="str">
        <f>VLOOKUP(A4739,Movie!A:D,4,FALSE)</f>
        <v>Universal</v>
      </c>
      <c r="H4739" s="14">
        <f>VLOOKUP(E4739,'Rental Transaction'!A:B,2,FALSE)</f>
        <v>241144</v>
      </c>
      <c r="I4739">
        <f t="shared" ref="I4739:I4802" si="74">YEAR(C4739)</f>
        <v>2014</v>
      </c>
    </row>
    <row r="4740" spans="1:9" ht="29.25">
      <c r="A4740" s="1">
        <v>10246</v>
      </c>
      <c r="B4740" s="1">
        <v>3</v>
      </c>
      <c r="C4740" s="2">
        <v>41661</v>
      </c>
      <c r="D4740" s="1" t="s">
        <v>2002</v>
      </c>
      <c r="E4740" s="1">
        <v>103035</v>
      </c>
      <c r="F4740" s="6" t="s">
        <v>6742</v>
      </c>
      <c r="G4740" s="15" t="str">
        <f>VLOOKUP(A4740,Movie!A:D,4,FALSE)</f>
        <v>Weinstein Company</v>
      </c>
      <c r="H4740" s="14">
        <f>VLOOKUP(E4740,'Rental Transaction'!A:B,2,FALSE)</f>
        <v>241144</v>
      </c>
      <c r="I4740">
        <f t="shared" si="74"/>
        <v>2014</v>
      </c>
    </row>
    <row r="4741" spans="1:9">
      <c r="A4741" s="1">
        <v>10217</v>
      </c>
      <c r="B4741" s="1">
        <v>4</v>
      </c>
      <c r="C4741" s="2">
        <v>41654</v>
      </c>
      <c r="D4741" s="1" t="s">
        <v>2002</v>
      </c>
      <c r="E4741" s="1">
        <v>103035</v>
      </c>
      <c r="F4741" s="6" t="s">
        <v>6743</v>
      </c>
      <c r="G4741" s="15" t="str">
        <f>VLOOKUP(A4741,Movie!A:D,4,FALSE)</f>
        <v>Warner Brothers</v>
      </c>
      <c r="H4741" s="14">
        <f>VLOOKUP(E4741,'Rental Transaction'!A:B,2,FALSE)</f>
        <v>241144</v>
      </c>
      <c r="I4741">
        <f t="shared" si="74"/>
        <v>2014</v>
      </c>
    </row>
    <row r="4742" spans="1:9">
      <c r="A4742" s="1">
        <v>10169</v>
      </c>
      <c r="B4742" s="1">
        <v>8</v>
      </c>
      <c r="C4742" s="2">
        <v>41654</v>
      </c>
      <c r="D4742" s="1" t="s">
        <v>2005</v>
      </c>
      <c r="E4742" s="1">
        <v>103036</v>
      </c>
      <c r="F4742" s="6" t="s">
        <v>6744</v>
      </c>
      <c r="G4742" s="15" t="str">
        <f>VLOOKUP(A4742,Movie!A:D,4,FALSE)</f>
        <v>Warner Brothers</v>
      </c>
      <c r="H4742" s="14">
        <f>VLOOKUP(E4742,'Rental Transaction'!A:B,2,FALSE)</f>
        <v>317461</v>
      </c>
      <c r="I4742">
        <f t="shared" si="74"/>
        <v>2014</v>
      </c>
    </row>
    <row r="4743" spans="1:9">
      <c r="A4743" s="1">
        <v>10038</v>
      </c>
      <c r="B4743" s="1">
        <v>5</v>
      </c>
      <c r="C4743" s="2">
        <v>41656</v>
      </c>
      <c r="D4743" s="1" t="s">
        <v>2002</v>
      </c>
      <c r="E4743" s="1">
        <v>103036</v>
      </c>
      <c r="F4743" s="6" t="s">
        <v>6745</v>
      </c>
      <c r="G4743" s="15" t="str">
        <f>VLOOKUP(A4743,Movie!A:D,4,FALSE)</f>
        <v>Paramount</v>
      </c>
      <c r="H4743" s="14">
        <f>VLOOKUP(E4743,'Rental Transaction'!A:B,2,FALSE)</f>
        <v>317461</v>
      </c>
      <c r="I4743">
        <f t="shared" si="74"/>
        <v>2014</v>
      </c>
    </row>
    <row r="4744" spans="1:9" ht="29.25">
      <c r="A4744" s="1">
        <v>10285</v>
      </c>
      <c r="B4744" s="1">
        <v>8</v>
      </c>
      <c r="C4744" s="2">
        <v>41656</v>
      </c>
      <c r="D4744" s="1" t="s">
        <v>2002</v>
      </c>
      <c r="E4744" s="1">
        <v>103036</v>
      </c>
      <c r="F4744" s="6" t="s">
        <v>6746</v>
      </c>
      <c r="G4744" s="15" t="str">
        <f>VLOOKUP(A4744,Movie!A:D,4,FALSE)</f>
        <v>Roadside Attractions</v>
      </c>
      <c r="H4744" s="14">
        <f>VLOOKUP(E4744,'Rental Transaction'!A:B,2,FALSE)</f>
        <v>317461</v>
      </c>
      <c r="I4744">
        <f t="shared" si="74"/>
        <v>2014</v>
      </c>
    </row>
    <row r="4745" spans="1:9">
      <c r="A4745" s="1">
        <v>10131</v>
      </c>
      <c r="B4745" s="1">
        <v>5</v>
      </c>
      <c r="C4745" s="2">
        <v>41656</v>
      </c>
      <c r="D4745" s="1" t="s">
        <v>2002</v>
      </c>
      <c r="E4745" s="1">
        <v>103037</v>
      </c>
      <c r="F4745" s="6" t="s">
        <v>6747</v>
      </c>
      <c r="G4745" s="15" t="str">
        <f>VLOOKUP(A4745,Movie!A:D,4,FALSE)</f>
        <v>Warner Brothers</v>
      </c>
      <c r="H4745" s="14">
        <f>VLOOKUP(E4745,'Rental Transaction'!A:B,2,FALSE)</f>
        <v>734624</v>
      </c>
      <c r="I4745">
        <f t="shared" si="74"/>
        <v>2014</v>
      </c>
    </row>
    <row r="4746" spans="1:9">
      <c r="A4746" s="1">
        <v>10248</v>
      </c>
      <c r="B4746" s="1">
        <v>8</v>
      </c>
      <c r="C4746" s="2">
        <v>41654</v>
      </c>
      <c r="D4746" s="1" t="s">
        <v>2002</v>
      </c>
      <c r="E4746" s="1">
        <v>103037</v>
      </c>
      <c r="F4746" s="6" t="s">
        <v>6748</v>
      </c>
      <c r="G4746" s="15" t="str">
        <f>VLOOKUP(A4746,Movie!A:D,4,FALSE)</f>
        <v>Relativity</v>
      </c>
      <c r="H4746" s="14">
        <f>VLOOKUP(E4746,'Rental Transaction'!A:B,2,FALSE)</f>
        <v>734624</v>
      </c>
      <c r="I4746">
        <f t="shared" si="74"/>
        <v>2014</v>
      </c>
    </row>
    <row r="4747" spans="1:9">
      <c r="A4747" s="1">
        <v>10284</v>
      </c>
      <c r="B4747" s="1">
        <v>8</v>
      </c>
      <c r="C4747" s="2">
        <v>41654</v>
      </c>
      <c r="D4747" s="1" t="s">
        <v>2002</v>
      </c>
      <c r="E4747" s="1">
        <v>103038</v>
      </c>
      <c r="F4747" s="6" t="s">
        <v>6749</v>
      </c>
      <c r="G4747" s="15" t="str">
        <f>VLOOKUP(A4747,Movie!A:D,4,FALSE)</f>
        <v>Focus</v>
      </c>
      <c r="H4747" s="14">
        <f>VLOOKUP(E4747,'Rental Transaction'!A:B,2,FALSE)</f>
        <v>405322</v>
      </c>
      <c r="I4747">
        <f t="shared" si="74"/>
        <v>2014</v>
      </c>
    </row>
    <row r="4748" spans="1:9">
      <c r="A4748" s="1">
        <v>10296</v>
      </c>
      <c r="B4748" s="1">
        <v>9</v>
      </c>
      <c r="C4748" s="2">
        <v>41655</v>
      </c>
      <c r="D4748" s="1" t="s">
        <v>2002</v>
      </c>
      <c r="E4748" s="1">
        <v>103039</v>
      </c>
      <c r="F4748" s="6" t="s">
        <v>6750</v>
      </c>
      <c r="G4748" s="15" t="str">
        <f>VLOOKUP(A4748,Movie!A:D,4,FALSE)</f>
        <v>A24</v>
      </c>
      <c r="H4748" s="14">
        <f>VLOOKUP(E4748,'Rental Transaction'!A:B,2,FALSE)</f>
        <v>233956</v>
      </c>
      <c r="I4748">
        <f t="shared" si="74"/>
        <v>2014</v>
      </c>
    </row>
    <row r="4749" spans="1:9">
      <c r="A4749" s="1">
        <v>10210</v>
      </c>
      <c r="B4749" s="1">
        <v>3</v>
      </c>
      <c r="C4749" s="2">
        <v>41656</v>
      </c>
      <c r="D4749" s="1" t="s">
        <v>2002</v>
      </c>
      <c r="E4749" s="1">
        <v>103040</v>
      </c>
      <c r="F4749" s="6" t="s">
        <v>6751</v>
      </c>
      <c r="G4749" s="15" t="str">
        <f>VLOOKUP(A4749,Movie!A:D,4,FALSE)</f>
        <v>Sony</v>
      </c>
      <c r="H4749" s="14">
        <f>VLOOKUP(E4749,'Rental Transaction'!A:B,2,FALSE)</f>
        <v>121639</v>
      </c>
      <c r="I4749">
        <f t="shared" si="74"/>
        <v>2014</v>
      </c>
    </row>
    <row r="4750" spans="1:9">
      <c r="A4750" s="1">
        <v>10250</v>
      </c>
      <c r="B4750" s="1">
        <v>5</v>
      </c>
      <c r="C4750" s="2">
        <v>41657</v>
      </c>
      <c r="D4750" s="1" t="s">
        <v>2002</v>
      </c>
      <c r="E4750" s="1">
        <v>103042</v>
      </c>
      <c r="F4750" s="6" t="s">
        <v>6752</v>
      </c>
      <c r="G4750" s="15" t="str">
        <f>VLOOKUP(A4750,Movie!A:D,4,FALSE)</f>
        <v>Buena Vista</v>
      </c>
      <c r="H4750" s="14">
        <f>VLOOKUP(E4750,'Rental Transaction'!A:B,2,FALSE)</f>
        <v>606155</v>
      </c>
      <c r="I4750">
        <f t="shared" si="74"/>
        <v>2014</v>
      </c>
    </row>
    <row r="4751" spans="1:9">
      <c r="A4751" s="1">
        <v>10261</v>
      </c>
      <c r="B4751" s="1">
        <v>1</v>
      </c>
      <c r="C4751" s="2">
        <v>41655</v>
      </c>
      <c r="D4751" s="1" t="s">
        <v>2002</v>
      </c>
      <c r="E4751" s="1">
        <v>103042</v>
      </c>
      <c r="F4751" s="6" t="s">
        <v>6753</v>
      </c>
      <c r="G4751" s="15" t="str">
        <f>VLOOKUP(A4751,Movie!A:D,4,FALSE)</f>
        <v>Fox</v>
      </c>
      <c r="H4751" s="14">
        <f>VLOOKUP(E4751,'Rental Transaction'!A:B,2,FALSE)</f>
        <v>606155</v>
      </c>
      <c r="I4751">
        <f t="shared" si="74"/>
        <v>2014</v>
      </c>
    </row>
    <row r="4752" spans="1:9">
      <c r="A4752" s="1">
        <v>10233</v>
      </c>
      <c r="B4752" s="1">
        <v>9</v>
      </c>
      <c r="C4752" s="2">
        <v>41657</v>
      </c>
      <c r="D4752" s="1" t="s">
        <v>2005</v>
      </c>
      <c r="E4752" s="1">
        <v>103044</v>
      </c>
      <c r="F4752" s="6" t="s">
        <v>6754</v>
      </c>
      <c r="G4752" s="15" t="str">
        <f>VLOOKUP(A4752,Movie!A:D,4,FALSE)</f>
        <v>Screen Gems</v>
      </c>
      <c r="H4752" s="14">
        <f>VLOOKUP(E4752,'Rental Transaction'!A:B,2,FALSE)</f>
        <v>605188</v>
      </c>
      <c r="I4752">
        <f t="shared" si="74"/>
        <v>2014</v>
      </c>
    </row>
    <row r="4753" spans="1:9">
      <c r="A4753" s="1">
        <v>10281</v>
      </c>
      <c r="B4753" s="1">
        <v>5</v>
      </c>
      <c r="C4753" s="2">
        <v>41655</v>
      </c>
      <c r="D4753" s="1" t="s">
        <v>2002</v>
      </c>
      <c r="E4753" s="1">
        <v>103044</v>
      </c>
      <c r="F4753" s="6" t="s">
        <v>6755</v>
      </c>
      <c r="G4753" s="15" t="str">
        <f>VLOOKUP(A4753,Movie!A:D,4,FALSE)</f>
        <v>Lionsgate</v>
      </c>
      <c r="H4753" s="14">
        <f>VLOOKUP(E4753,'Rental Transaction'!A:B,2,FALSE)</f>
        <v>605188</v>
      </c>
      <c r="I4753">
        <f t="shared" si="74"/>
        <v>2014</v>
      </c>
    </row>
    <row r="4754" spans="1:9">
      <c r="A4754" s="1">
        <v>10182</v>
      </c>
      <c r="B4754" s="1">
        <v>6</v>
      </c>
      <c r="C4754" s="2">
        <v>41656</v>
      </c>
      <c r="D4754" s="1" t="s">
        <v>2002</v>
      </c>
      <c r="E4754" s="1">
        <v>103045</v>
      </c>
      <c r="F4754" s="6" t="s">
        <v>6756</v>
      </c>
      <c r="G4754" s="15" t="str">
        <f>VLOOKUP(A4754,Movie!A:D,4,FALSE)</f>
        <v>Warner Brothers</v>
      </c>
      <c r="H4754" s="14">
        <f>VLOOKUP(E4754,'Rental Transaction'!A:B,2,FALSE)</f>
        <v>781523</v>
      </c>
      <c r="I4754">
        <f t="shared" si="74"/>
        <v>2014</v>
      </c>
    </row>
    <row r="4755" spans="1:9">
      <c r="A4755" s="1">
        <v>10130</v>
      </c>
      <c r="B4755" s="1">
        <v>4</v>
      </c>
      <c r="C4755" s="2">
        <v>41659</v>
      </c>
      <c r="D4755" s="1" t="s">
        <v>2002</v>
      </c>
      <c r="E4755" s="1">
        <v>103048</v>
      </c>
      <c r="F4755" s="6" t="s">
        <v>6757</v>
      </c>
      <c r="G4755" s="15" t="str">
        <f>VLOOKUP(A4755,Movie!A:D,4,FALSE)</f>
        <v>A24</v>
      </c>
      <c r="H4755" s="14">
        <f>VLOOKUP(E4755,'Rental Transaction'!A:B,2,FALSE)</f>
        <v>964619</v>
      </c>
      <c r="I4755">
        <f t="shared" si="74"/>
        <v>2014</v>
      </c>
    </row>
    <row r="4756" spans="1:9">
      <c r="A4756" s="1">
        <v>10190</v>
      </c>
      <c r="B4756" s="1">
        <v>2</v>
      </c>
      <c r="C4756" s="2">
        <v>41658</v>
      </c>
      <c r="D4756" s="1" t="s">
        <v>2002</v>
      </c>
      <c r="E4756" s="1">
        <v>103049</v>
      </c>
      <c r="F4756" s="6" t="s">
        <v>6758</v>
      </c>
      <c r="G4756" s="15" t="str">
        <f>VLOOKUP(A4756,Movie!A:D,4,FALSE)</f>
        <v>Lionsgate</v>
      </c>
      <c r="H4756" s="14">
        <f>VLOOKUP(E4756,'Rental Transaction'!A:B,2,FALSE)</f>
        <v>590616</v>
      </c>
      <c r="I4756">
        <f t="shared" si="74"/>
        <v>2014</v>
      </c>
    </row>
    <row r="4757" spans="1:9">
      <c r="A4757" s="1">
        <v>10277</v>
      </c>
      <c r="B4757" s="1">
        <v>9</v>
      </c>
      <c r="C4757" s="2">
        <v>41656</v>
      </c>
      <c r="D4757" s="1" t="s">
        <v>2002</v>
      </c>
      <c r="E4757" s="1">
        <v>103049</v>
      </c>
      <c r="F4757" s="6" t="s">
        <v>6759</v>
      </c>
      <c r="G4757" s="15" t="str">
        <f>VLOOKUP(A4757,Movie!A:D,4,FALSE)</f>
        <v>Universal</v>
      </c>
      <c r="H4757" s="14">
        <f>VLOOKUP(E4757,'Rental Transaction'!A:B,2,FALSE)</f>
        <v>590616</v>
      </c>
      <c r="I4757">
        <f t="shared" si="74"/>
        <v>2014</v>
      </c>
    </row>
    <row r="4758" spans="1:9">
      <c r="A4758" s="1">
        <v>10158</v>
      </c>
      <c r="B4758" s="1">
        <v>8</v>
      </c>
      <c r="C4758" s="2">
        <v>41658</v>
      </c>
      <c r="D4758" s="1" t="s">
        <v>2002</v>
      </c>
      <c r="E4758" s="1">
        <v>103050</v>
      </c>
      <c r="F4758" s="6" t="s">
        <v>6760</v>
      </c>
      <c r="G4758" s="15" t="str">
        <f>VLOOKUP(A4758,Movie!A:D,4,FALSE)</f>
        <v>Warner Brothers</v>
      </c>
      <c r="H4758" s="14">
        <f>VLOOKUP(E4758,'Rental Transaction'!A:B,2,FALSE)</f>
        <v>426984</v>
      </c>
      <c r="I4758">
        <f t="shared" si="74"/>
        <v>2014</v>
      </c>
    </row>
    <row r="4759" spans="1:9">
      <c r="A4759" s="1">
        <v>10172</v>
      </c>
      <c r="B4759" s="1">
        <v>3</v>
      </c>
      <c r="C4759" s="2">
        <v>41656</v>
      </c>
      <c r="D4759" s="1" t="s">
        <v>2002</v>
      </c>
      <c r="E4759" s="1">
        <v>103052</v>
      </c>
      <c r="F4759" s="6" t="s">
        <v>6761</v>
      </c>
      <c r="G4759" s="15" t="str">
        <f>VLOOKUP(A4759,Movie!A:D,4,FALSE)</f>
        <v>Lionsgate</v>
      </c>
      <c r="H4759" s="14">
        <f>VLOOKUP(E4759,'Rental Transaction'!A:B,2,FALSE)</f>
        <v>346006</v>
      </c>
      <c r="I4759">
        <f t="shared" si="74"/>
        <v>2014</v>
      </c>
    </row>
    <row r="4760" spans="1:9">
      <c r="A4760" s="1">
        <v>10041</v>
      </c>
      <c r="B4760" s="1">
        <v>9</v>
      </c>
      <c r="C4760" s="2">
        <v>41657</v>
      </c>
      <c r="D4760" s="1" t="s">
        <v>2005</v>
      </c>
      <c r="E4760" s="1">
        <v>103055</v>
      </c>
      <c r="F4760" s="6" t="s">
        <v>6762</v>
      </c>
      <c r="G4760" s="15" t="str">
        <f>VLOOKUP(A4760,Movie!A:D,4,FALSE)</f>
        <v>Lionsgate</v>
      </c>
      <c r="H4760" s="14">
        <f>VLOOKUP(E4760,'Rental Transaction'!A:B,2,FALSE)</f>
        <v>782947</v>
      </c>
      <c r="I4760">
        <f t="shared" si="74"/>
        <v>2014</v>
      </c>
    </row>
    <row r="4761" spans="1:9">
      <c r="A4761" s="1">
        <v>10199</v>
      </c>
      <c r="B4761" s="1">
        <v>4</v>
      </c>
      <c r="C4761" s="2">
        <v>41657</v>
      </c>
      <c r="D4761" s="1" t="s">
        <v>2002</v>
      </c>
      <c r="E4761" s="1">
        <v>103055</v>
      </c>
      <c r="F4761" s="6" t="s">
        <v>6763</v>
      </c>
      <c r="G4761" s="15" t="str">
        <f>VLOOKUP(A4761,Movie!A:D,4,FALSE)</f>
        <v>Lionsgate</v>
      </c>
      <c r="H4761" s="14">
        <f>VLOOKUP(E4761,'Rental Transaction'!A:B,2,FALSE)</f>
        <v>782947</v>
      </c>
      <c r="I4761">
        <f t="shared" si="74"/>
        <v>2014</v>
      </c>
    </row>
    <row r="4762" spans="1:9">
      <c r="A4762" s="1">
        <v>10297</v>
      </c>
      <c r="B4762" s="1">
        <v>10</v>
      </c>
      <c r="C4762" s="2">
        <v>41658</v>
      </c>
      <c r="D4762" s="1" t="s">
        <v>2002</v>
      </c>
      <c r="E4762" s="1">
        <v>103056</v>
      </c>
      <c r="F4762" s="6" t="s">
        <v>6764</v>
      </c>
      <c r="G4762" s="15" t="str">
        <f>VLOOKUP(A4762,Movie!A:D,4,FALSE)</f>
        <v>Focus</v>
      </c>
      <c r="H4762" s="14">
        <f>VLOOKUP(E4762,'Rental Transaction'!A:B,2,FALSE)</f>
        <v>746134</v>
      </c>
      <c r="I4762">
        <f t="shared" si="74"/>
        <v>2014</v>
      </c>
    </row>
    <row r="4763" spans="1:9">
      <c r="A4763" s="1">
        <v>10209</v>
      </c>
      <c r="B4763" s="1">
        <v>1</v>
      </c>
      <c r="C4763" s="2">
        <v>41657</v>
      </c>
      <c r="D4763" s="1" t="s">
        <v>2002</v>
      </c>
      <c r="E4763" s="1">
        <v>103058</v>
      </c>
      <c r="F4763" s="6" t="s">
        <v>6765</v>
      </c>
      <c r="G4763" s="15" t="str">
        <f>VLOOKUP(A4763,Movie!A:D,4,FALSE)</f>
        <v>Universal</v>
      </c>
      <c r="H4763" s="14">
        <f>VLOOKUP(E4763,'Rental Transaction'!A:B,2,FALSE)</f>
        <v>890651</v>
      </c>
      <c r="I4763">
        <f t="shared" si="74"/>
        <v>2014</v>
      </c>
    </row>
    <row r="4764" spans="1:9">
      <c r="A4764" s="1">
        <v>10224</v>
      </c>
      <c r="B4764" s="1">
        <v>9</v>
      </c>
      <c r="C4764" s="2">
        <v>41660</v>
      </c>
      <c r="D4764" s="1" t="s">
        <v>2002</v>
      </c>
      <c r="E4764" s="1">
        <v>103058</v>
      </c>
      <c r="F4764" s="6" t="s">
        <v>6766</v>
      </c>
      <c r="G4764" s="15" t="str">
        <f>VLOOKUP(A4764,Movie!A:D,4,FALSE)</f>
        <v>Fox Searchlight</v>
      </c>
      <c r="H4764" s="14">
        <f>VLOOKUP(E4764,'Rental Transaction'!A:B,2,FALSE)</f>
        <v>890651</v>
      </c>
      <c r="I4764">
        <f t="shared" si="74"/>
        <v>2014</v>
      </c>
    </row>
    <row r="4765" spans="1:9">
      <c r="A4765" s="1">
        <v>10245</v>
      </c>
      <c r="B4765" s="1">
        <v>5</v>
      </c>
      <c r="C4765" s="2">
        <v>41662</v>
      </c>
      <c r="D4765" s="1" t="s">
        <v>2002</v>
      </c>
      <c r="E4765" s="1">
        <v>103059</v>
      </c>
      <c r="F4765" s="6" t="s">
        <v>6767</v>
      </c>
      <c r="G4765" s="15" t="str">
        <f>VLOOKUP(A4765,Movie!A:D,4,FALSE)</f>
        <v>Warner Brothers</v>
      </c>
      <c r="H4765" s="14">
        <f>VLOOKUP(E4765,'Rental Transaction'!A:B,2,FALSE)</f>
        <v>817159</v>
      </c>
      <c r="I4765">
        <f t="shared" si="74"/>
        <v>2014</v>
      </c>
    </row>
    <row r="4766" spans="1:9">
      <c r="A4766" s="1">
        <v>10185</v>
      </c>
      <c r="B4766" s="1">
        <v>4</v>
      </c>
      <c r="C4766" s="2">
        <v>41661</v>
      </c>
      <c r="D4766" s="1" t="s">
        <v>2005</v>
      </c>
      <c r="E4766" s="1">
        <v>103059</v>
      </c>
      <c r="F4766" s="6" t="s">
        <v>6768</v>
      </c>
      <c r="G4766" s="15" t="str">
        <f>VLOOKUP(A4766,Movie!A:D,4,FALSE)</f>
        <v>Warner Brothers</v>
      </c>
      <c r="H4766" s="14">
        <f>VLOOKUP(E4766,'Rental Transaction'!A:B,2,FALSE)</f>
        <v>817159</v>
      </c>
      <c r="I4766">
        <f t="shared" si="74"/>
        <v>2014</v>
      </c>
    </row>
    <row r="4767" spans="1:9">
      <c r="A4767" s="1">
        <v>10216</v>
      </c>
      <c r="B4767" s="1">
        <v>2</v>
      </c>
      <c r="C4767" s="2">
        <v>41657</v>
      </c>
      <c r="D4767" s="1" t="s">
        <v>2002</v>
      </c>
      <c r="E4767" s="1">
        <v>103060</v>
      </c>
      <c r="F4767" s="6" t="s">
        <v>6769</v>
      </c>
      <c r="G4767" s="15" t="str">
        <f>VLOOKUP(A4767,Movie!A:D,4,FALSE)</f>
        <v>Sony</v>
      </c>
      <c r="H4767" s="14">
        <f>VLOOKUP(E4767,'Rental Transaction'!A:B,2,FALSE)</f>
        <v>689877</v>
      </c>
      <c r="I4767">
        <f t="shared" si="74"/>
        <v>2014</v>
      </c>
    </row>
    <row r="4768" spans="1:9">
      <c r="A4768" s="1">
        <v>10123</v>
      </c>
      <c r="B4768" s="1">
        <v>1</v>
      </c>
      <c r="C4768" s="2">
        <v>41658</v>
      </c>
      <c r="D4768" s="1" t="s">
        <v>2005</v>
      </c>
      <c r="E4768" s="1">
        <v>103061</v>
      </c>
      <c r="F4768" s="6" t="s">
        <v>6770</v>
      </c>
      <c r="G4768" s="15" t="str">
        <f>VLOOKUP(A4768,Movie!A:D,4,FALSE)</f>
        <v>Fox</v>
      </c>
      <c r="H4768" s="14">
        <f>VLOOKUP(E4768,'Rental Transaction'!A:B,2,FALSE)</f>
        <v>994056</v>
      </c>
      <c r="I4768">
        <f t="shared" si="74"/>
        <v>2014</v>
      </c>
    </row>
    <row r="4769" spans="1:9" ht="29.25">
      <c r="A4769" s="1">
        <v>10285</v>
      </c>
      <c r="B4769" s="1">
        <v>2</v>
      </c>
      <c r="C4769" s="2">
        <v>41658</v>
      </c>
      <c r="D4769" s="1" t="s">
        <v>2005</v>
      </c>
      <c r="E4769" s="1">
        <v>103065</v>
      </c>
      <c r="F4769" s="6" t="s">
        <v>6771</v>
      </c>
      <c r="G4769" s="15" t="str">
        <f>VLOOKUP(A4769,Movie!A:D,4,FALSE)</f>
        <v>Roadside Attractions</v>
      </c>
      <c r="H4769" s="14">
        <f>VLOOKUP(E4769,'Rental Transaction'!A:B,2,FALSE)</f>
        <v>912671</v>
      </c>
      <c r="I4769">
        <f t="shared" si="74"/>
        <v>2014</v>
      </c>
    </row>
    <row r="4770" spans="1:9">
      <c r="A4770" s="1">
        <v>10280</v>
      </c>
      <c r="B4770" s="1">
        <v>6</v>
      </c>
      <c r="C4770" s="2">
        <v>41661</v>
      </c>
      <c r="D4770" s="1" t="s">
        <v>2002</v>
      </c>
      <c r="E4770" s="1">
        <v>103065</v>
      </c>
      <c r="F4770" s="6" t="s">
        <v>6772</v>
      </c>
      <c r="G4770" s="15" t="str">
        <f>VLOOKUP(A4770,Movie!A:D,4,FALSE)</f>
        <v>Universal</v>
      </c>
      <c r="H4770" s="14">
        <f>VLOOKUP(E4770,'Rental Transaction'!A:B,2,FALSE)</f>
        <v>912671</v>
      </c>
      <c r="I4770">
        <f t="shared" si="74"/>
        <v>2014</v>
      </c>
    </row>
    <row r="4771" spans="1:9">
      <c r="A4771" s="1">
        <v>10174</v>
      </c>
      <c r="B4771" s="1">
        <v>2</v>
      </c>
      <c r="C4771" s="2">
        <v>41661</v>
      </c>
      <c r="D4771" s="1" t="s">
        <v>2002</v>
      </c>
      <c r="E4771" s="1">
        <v>103068</v>
      </c>
      <c r="F4771" s="6" t="s">
        <v>6773</v>
      </c>
      <c r="G4771" s="15" t="str">
        <f>VLOOKUP(A4771,Movie!A:D,4,FALSE)</f>
        <v>Universal</v>
      </c>
      <c r="H4771" s="14">
        <f>VLOOKUP(E4771,'Rental Transaction'!A:B,2,FALSE)</f>
        <v>220206</v>
      </c>
      <c r="I4771">
        <f t="shared" si="74"/>
        <v>2014</v>
      </c>
    </row>
    <row r="4772" spans="1:9">
      <c r="A4772" s="1">
        <v>10181</v>
      </c>
      <c r="B4772" s="1">
        <v>10</v>
      </c>
      <c r="C4772" s="2">
        <v>41659</v>
      </c>
      <c r="D4772" s="1" t="s">
        <v>2002</v>
      </c>
      <c r="E4772" s="1">
        <v>103068</v>
      </c>
      <c r="F4772" s="6" t="s">
        <v>6774</v>
      </c>
      <c r="G4772" s="15" t="str">
        <f>VLOOKUP(A4772,Movie!A:D,4,FALSE)</f>
        <v>Fox</v>
      </c>
      <c r="H4772" s="14">
        <f>VLOOKUP(E4772,'Rental Transaction'!A:B,2,FALSE)</f>
        <v>220206</v>
      </c>
      <c r="I4772">
        <f t="shared" si="74"/>
        <v>2014</v>
      </c>
    </row>
    <row r="4773" spans="1:9">
      <c r="A4773" s="1">
        <v>10184</v>
      </c>
      <c r="B4773" s="1">
        <v>4</v>
      </c>
      <c r="C4773" s="2">
        <v>41659</v>
      </c>
      <c r="D4773" s="1" t="s">
        <v>2002</v>
      </c>
      <c r="E4773" s="1">
        <v>103069</v>
      </c>
      <c r="F4773" s="6" t="s">
        <v>6775</v>
      </c>
      <c r="G4773" s="15" t="str">
        <f>VLOOKUP(A4773,Movie!A:D,4,FALSE)</f>
        <v>Universal</v>
      </c>
      <c r="H4773" s="14">
        <f>VLOOKUP(E4773,'Rental Transaction'!A:B,2,FALSE)</f>
        <v>739669</v>
      </c>
      <c r="I4773">
        <f t="shared" si="74"/>
        <v>2014</v>
      </c>
    </row>
    <row r="4774" spans="1:9">
      <c r="A4774" s="1">
        <v>10182</v>
      </c>
      <c r="B4774" s="1">
        <v>5</v>
      </c>
      <c r="C4774" s="2">
        <v>41661</v>
      </c>
      <c r="D4774" s="1" t="s">
        <v>2005</v>
      </c>
      <c r="E4774" s="1">
        <v>103071</v>
      </c>
      <c r="F4774" s="6" t="s">
        <v>6776</v>
      </c>
      <c r="G4774" s="15" t="str">
        <f>VLOOKUP(A4774,Movie!A:D,4,FALSE)</f>
        <v>Warner Brothers</v>
      </c>
      <c r="H4774" s="14">
        <f>VLOOKUP(E4774,'Rental Transaction'!A:B,2,FALSE)</f>
        <v>414509</v>
      </c>
      <c r="I4774">
        <f t="shared" si="74"/>
        <v>2014</v>
      </c>
    </row>
    <row r="4775" spans="1:9">
      <c r="A4775" s="1">
        <v>10222</v>
      </c>
      <c r="B4775" s="1">
        <v>4</v>
      </c>
      <c r="C4775" s="2">
        <v>41659</v>
      </c>
      <c r="D4775" s="1" t="s">
        <v>2002</v>
      </c>
      <c r="E4775" s="1">
        <v>103073</v>
      </c>
      <c r="F4775" s="6" t="s">
        <v>6777</v>
      </c>
      <c r="G4775" s="15" t="str">
        <f>VLOOKUP(A4775,Movie!A:D,4,FALSE)</f>
        <v>Sony</v>
      </c>
      <c r="H4775" s="14">
        <f>VLOOKUP(E4775,'Rental Transaction'!A:B,2,FALSE)</f>
        <v>235720</v>
      </c>
      <c r="I4775">
        <f t="shared" si="74"/>
        <v>2014</v>
      </c>
    </row>
    <row r="4776" spans="1:9" ht="29.25">
      <c r="A4776" s="1">
        <v>10140</v>
      </c>
      <c r="B4776" s="1">
        <v>2</v>
      </c>
      <c r="C4776" s="2">
        <v>41660</v>
      </c>
      <c r="D4776" s="1" t="s">
        <v>2002</v>
      </c>
      <c r="E4776" s="1">
        <v>103075</v>
      </c>
      <c r="F4776" s="6" t="s">
        <v>6778</v>
      </c>
      <c r="G4776" s="15" t="str">
        <f>VLOOKUP(A4776,Movie!A:D,4,FALSE)</f>
        <v>Weinstein Company</v>
      </c>
      <c r="H4776" s="14">
        <f>VLOOKUP(E4776,'Rental Transaction'!A:B,2,FALSE)</f>
        <v>994056</v>
      </c>
      <c r="I4776">
        <f t="shared" si="74"/>
        <v>2014</v>
      </c>
    </row>
    <row r="4777" spans="1:9">
      <c r="A4777" s="1">
        <v>10100</v>
      </c>
      <c r="B4777" s="1">
        <v>8</v>
      </c>
      <c r="C4777" s="2">
        <v>41660</v>
      </c>
      <c r="D4777" s="1" t="s">
        <v>2002</v>
      </c>
      <c r="E4777" s="1">
        <v>103076</v>
      </c>
      <c r="F4777" s="6" t="s">
        <v>6779</v>
      </c>
      <c r="G4777" s="15" t="str">
        <f>VLOOKUP(A4777,Movie!A:D,4,FALSE)</f>
        <v>Fox</v>
      </c>
      <c r="H4777" s="14">
        <f>VLOOKUP(E4777,'Rental Transaction'!A:B,2,FALSE)</f>
        <v>520196</v>
      </c>
      <c r="I4777">
        <f t="shared" si="74"/>
        <v>2014</v>
      </c>
    </row>
    <row r="4778" spans="1:9">
      <c r="A4778" s="1">
        <v>10171</v>
      </c>
      <c r="B4778" s="1">
        <v>8</v>
      </c>
      <c r="C4778" s="2">
        <v>41660</v>
      </c>
      <c r="D4778" s="1" t="s">
        <v>2002</v>
      </c>
      <c r="E4778" s="1">
        <v>103077</v>
      </c>
      <c r="F4778" s="6" t="s">
        <v>6780</v>
      </c>
      <c r="G4778" s="15" t="str">
        <f>VLOOKUP(A4778,Movie!A:D,4,FALSE)</f>
        <v>Universal</v>
      </c>
      <c r="H4778" s="14">
        <f>VLOOKUP(E4778,'Rental Transaction'!A:B,2,FALSE)</f>
        <v>454143</v>
      </c>
      <c r="I4778">
        <f t="shared" si="74"/>
        <v>2014</v>
      </c>
    </row>
    <row r="4779" spans="1:9">
      <c r="A4779" s="1">
        <v>10103</v>
      </c>
      <c r="B4779" s="1">
        <v>4</v>
      </c>
      <c r="C4779" s="2">
        <v>41661</v>
      </c>
      <c r="D4779" s="1" t="s">
        <v>2005</v>
      </c>
      <c r="E4779" s="1">
        <v>103079</v>
      </c>
      <c r="F4779" s="6" t="s">
        <v>6781</v>
      </c>
      <c r="G4779" s="15" t="str">
        <f>VLOOKUP(A4779,Movie!A:D,4,FALSE)</f>
        <v>Fox</v>
      </c>
      <c r="H4779" s="14">
        <f>VLOOKUP(E4779,'Rental Transaction'!A:B,2,FALSE)</f>
        <v>278204</v>
      </c>
      <c r="I4779">
        <f t="shared" si="74"/>
        <v>2014</v>
      </c>
    </row>
    <row r="4780" spans="1:9">
      <c r="A4780" s="1">
        <v>10210</v>
      </c>
      <c r="B4780" s="1">
        <v>6</v>
      </c>
      <c r="C4780" s="2">
        <v>41663</v>
      </c>
      <c r="D4780" s="1" t="s">
        <v>2002</v>
      </c>
      <c r="E4780" s="1">
        <v>103084</v>
      </c>
      <c r="F4780" s="6" t="s">
        <v>6782</v>
      </c>
      <c r="G4780" s="15" t="str">
        <f>VLOOKUP(A4780,Movie!A:D,4,FALSE)</f>
        <v>Sony</v>
      </c>
      <c r="H4780" s="14">
        <f>VLOOKUP(E4780,'Rental Transaction'!A:B,2,FALSE)</f>
        <v>249779</v>
      </c>
      <c r="I4780">
        <f t="shared" si="74"/>
        <v>2014</v>
      </c>
    </row>
    <row r="4781" spans="1:9">
      <c r="A4781" s="1">
        <v>10209</v>
      </c>
      <c r="B4781" s="1">
        <v>3</v>
      </c>
      <c r="C4781" s="2">
        <v>41661</v>
      </c>
      <c r="D4781" s="1" t="s">
        <v>2002</v>
      </c>
      <c r="E4781" s="1">
        <v>103084</v>
      </c>
      <c r="F4781" s="6" t="s">
        <v>6783</v>
      </c>
      <c r="G4781" s="15" t="str">
        <f>VLOOKUP(A4781,Movie!A:D,4,FALSE)</f>
        <v>Universal</v>
      </c>
      <c r="H4781" s="14">
        <f>VLOOKUP(E4781,'Rental Transaction'!A:B,2,FALSE)</f>
        <v>249779</v>
      </c>
      <c r="I4781">
        <f t="shared" si="74"/>
        <v>2014</v>
      </c>
    </row>
    <row r="4782" spans="1:9">
      <c r="A4782" s="1">
        <v>10265</v>
      </c>
      <c r="B4782" s="1">
        <v>4</v>
      </c>
      <c r="C4782" s="2">
        <v>41661</v>
      </c>
      <c r="D4782" s="1" t="s">
        <v>2002</v>
      </c>
      <c r="E4782" s="1">
        <v>103085</v>
      </c>
      <c r="F4782" s="6" t="s">
        <v>6784</v>
      </c>
      <c r="G4782" s="15" t="str">
        <f>VLOOKUP(A4782,Movie!A:D,4,FALSE)</f>
        <v>Warner Brothers</v>
      </c>
      <c r="H4782" s="14">
        <f>VLOOKUP(E4782,'Rental Transaction'!A:B,2,FALSE)</f>
        <v>748326</v>
      </c>
      <c r="I4782">
        <f t="shared" si="74"/>
        <v>2014</v>
      </c>
    </row>
    <row r="4783" spans="1:9">
      <c r="A4783" s="1">
        <v>10045</v>
      </c>
      <c r="B4783" s="1">
        <v>9</v>
      </c>
      <c r="C4783" s="2">
        <v>41662</v>
      </c>
      <c r="D4783" s="1" t="s">
        <v>2005</v>
      </c>
      <c r="E4783" s="1">
        <v>103086</v>
      </c>
      <c r="F4783" s="6" t="s">
        <v>6785</v>
      </c>
      <c r="G4783" s="15" t="str">
        <f>VLOOKUP(A4783,Movie!A:D,4,FALSE)</f>
        <v>Warner Brothers</v>
      </c>
      <c r="H4783" s="14">
        <f>VLOOKUP(E4783,'Rental Transaction'!A:B,2,FALSE)</f>
        <v>331115</v>
      </c>
      <c r="I4783">
        <f t="shared" si="74"/>
        <v>2014</v>
      </c>
    </row>
    <row r="4784" spans="1:9">
      <c r="A4784" s="1">
        <v>10079</v>
      </c>
      <c r="B4784" s="1">
        <v>9</v>
      </c>
      <c r="C4784" s="2">
        <v>41661</v>
      </c>
      <c r="D4784" s="1" t="s">
        <v>2002</v>
      </c>
      <c r="E4784" s="1">
        <v>103087</v>
      </c>
      <c r="F4784" s="6" t="s">
        <v>6786</v>
      </c>
      <c r="G4784" s="15" t="str">
        <f>VLOOKUP(A4784,Movie!A:D,4,FALSE)</f>
        <v>Warner Brothers</v>
      </c>
      <c r="H4784" s="14">
        <f>VLOOKUP(E4784,'Rental Transaction'!A:B,2,FALSE)</f>
        <v>659695</v>
      </c>
      <c r="I4784">
        <f t="shared" si="74"/>
        <v>2014</v>
      </c>
    </row>
    <row r="4785" spans="1:9" ht="29.25">
      <c r="A4785" s="1">
        <v>10081</v>
      </c>
      <c r="B4785" s="1">
        <v>2</v>
      </c>
      <c r="C4785" s="2">
        <v>41661</v>
      </c>
      <c r="D4785" s="1" t="s">
        <v>2005</v>
      </c>
      <c r="E4785" s="1">
        <v>103088</v>
      </c>
      <c r="F4785" s="6" t="s">
        <v>6787</v>
      </c>
      <c r="G4785" s="15" t="str">
        <f>VLOOKUP(A4785,Movie!A:D,4,FALSE)</f>
        <v>Weinstein Company</v>
      </c>
      <c r="H4785" s="14">
        <f>VLOOKUP(E4785,'Rental Transaction'!A:B,2,FALSE)</f>
        <v>656728</v>
      </c>
      <c r="I4785">
        <f t="shared" si="74"/>
        <v>2014</v>
      </c>
    </row>
    <row r="4786" spans="1:9">
      <c r="A4786" s="1">
        <v>10128</v>
      </c>
      <c r="B4786" s="1">
        <v>9</v>
      </c>
      <c r="C4786" s="2">
        <v>41661</v>
      </c>
      <c r="D4786" s="1" t="s">
        <v>2002</v>
      </c>
      <c r="E4786" s="1">
        <v>103089</v>
      </c>
      <c r="F4786" s="6" t="s">
        <v>6788</v>
      </c>
      <c r="G4786" s="15" t="str">
        <f>VLOOKUP(A4786,Movie!A:D,4,FALSE)</f>
        <v>TriStar</v>
      </c>
      <c r="H4786" s="14">
        <f>VLOOKUP(E4786,'Rental Transaction'!A:B,2,FALSE)</f>
        <v>358901</v>
      </c>
      <c r="I4786">
        <f t="shared" si="74"/>
        <v>2014</v>
      </c>
    </row>
    <row r="4787" spans="1:9">
      <c r="A4787" s="1">
        <v>10148</v>
      </c>
      <c r="B4787" s="1">
        <v>5</v>
      </c>
      <c r="C4787" s="2">
        <v>41663</v>
      </c>
      <c r="D4787" s="1" t="s">
        <v>2002</v>
      </c>
      <c r="E4787" s="1">
        <v>103090</v>
      </c>
      <c r="F4787" s="6" t="s">
        <v>6789</v>
      </c>
      <c r="G4787" s="15" t="str">
        <f>VLOOKUP(A4787,Movie!A:D,4,FALSE)</f>
        <v>Paramount</v>
      </c>
      <c r="H4787" s="14">
        <f>VLOOKUP(E4787,'Rental Transaction'!A:B,2,FALSE)</f>
        <v>308505</v>
      </c>
      <c r="I4787">
        <f t="shared" si="74"/>
        <v>2014</v>
      </c>
    </row>
    <row r="4788" spans="1:9">
      <c r="A4788" s="1">
        <v>10152</v>
      </c>
      <c r="B4788" s="1">
        <v>9</v>
      </c>
      <c r="C4788" s="2">
        <v>41667</v>
      </c>
      <c r="D4788" s="1" t="s">
        <v>2005</v>
      </c>
      <c r="E4788" s="1">
        <v>103092</v>
      </c>
      <c r="F4788" s="6" t="s">
        <v>6790</v>
      </c>
      <c r="G4788" s="15" t="str">
        <f>VLOOKUP(A4788,Movie!A:D,4,FALSE)</f>
        <v>FilmDistrict</v>
      </c>
      <c r="H4788" s="14">
        <f>VLOOKUP(E4788,'Rental Transaction'!A:B,2,FALSE)</f>
        <v>308505</v>
      </c>
      <c r="I4788">
        <f t="shared" si="74"/>
        <v>2014</v>
      </c>
    </row>
    <row r="4789" spans="1:9">
      <c r="A4789" s="1">
        <v>10126</v>
      </c>
      <c r="B4789" s="1">
        <v>5</v>
      </c>
      <c r="C4789" s="2">
        <v>41665</v>
      </c>
      <c r="D4789" s="1" t="s">
        <v>2002</v>
      </c>
      <c r="E4789" s="1">
        <v>103093</v>
      </c>
      <c r="F4789" s="6" t="s">
        <v>6791</v>
      </c>
      <c r="G4789" s="15" t="str">
        <f>VLOOKUP(A4789,Movie!A:D,4,FALSE)</f>
        <v>Fox</v>
      </c>
      <c r="H4789" s="14">
        <f>VLOOKUP(E4789,'Rental Transaction'!A:B,2,FALSE)</f>
        <v>741514</v>
      </c>
      <c r="I4789">
        <f t="shared" si="74"/>
        <v>2014</v>
      </c>
    </row>
    <row r="4790" spans="1:9">
      <c r="A4790" s="1">
        <v>10260</v>
      </c>
      <c r="B4790" s="1">
        <v>1</v>
      </c>
      <c r="C4790" s="2">
        <v>41662</v>
      </c>
      <c r="D4790" s="1" t="s">
        <v>2002</v>
      </c>
      <c r="E4790" s="1">
        <v>103094</v>
      </c>
      <c r="F4790" s="6" t="s">
        <v>6792</v>
      </c>
      <c r="G4790" s="15" t="str">
        <f>VLOOKUP(A4790,Movie!A:D,4,FALSE)</f>
        <v>Sony</v>
      </c>
      <c r="H4790" s="14">
        <f>VLOOKUP(E4790,'Rental Transaction'!A:B,2,FALSE)</f>
        <v>766737</v>
      </c>
      <c r="I4790">
        <f t="shared" si="74"/>
        <v>2014</v>
      </c>
    </row>
    <row r="4791" spans="1:9">
      <c r="A4791" s="1">
        <v>10162</v>
      </c>
      <c r="B4791" s="1">
        <v>5</v>
      </c>
      <c r="C4791" s="2">
        <v>41663</v>
      </c>
      <c r="D4791" s="1" t="s">
        <v>2005</v>
      </c>
      <c r="E4791" s="1">
        <v>103096</v>
      </c>
      <c r="F4791" s="6" t="s">
        <v>6793</v>
      </c>
      <c r="G4791" s="15" t="str">
        <f>VLOOKUP(A4791,Movie!A:D,4,FALSE)</f>
        <v>Sony</v>
      </c>
      <c r="H4791" s="14">
        <f>VLOOKUP(E4791,'Rental Transaction'!A:B,2,FALSE)</f>
        <v>137696</v>
      </c>
      <c r="I4791">
        <f t="shared" si="74"/>
        <v>2014</v>
      </c>
    </row>
    <row r="4792" spans="1:9">
      <c r="A4792" s="1">
        <v>10221</v>
      </c>
      <c r="B4792" s="1">
        <v>3</v>
      </c>
      <c r="C4792" s="2">
        <v>41663</v>
      </c>
      <c r="D4792" s="1" t="s">
        <v>2002</v>
      </c>
      <c r="E4792" s="1">
        <v>103097</v>
      </c>
      <c r="F4792" s="6" t="s">
        <v>6794</v>
      </c>
      <c r="G4792" s="15" t="str">
        <f>VLOOKUP(A4792,Movie!A:D,4,FALSE)</f>
        <v>Fox</v>
      </c>
      <c r="H4792" s="14">
        <f>VLOOKUP(E4792,'Rental Transaction'!A:B,2,FALSE)</f>
        <v>771285</v>
      </c>
      <c r="I4792">
        <f t="shared" si="74"/>
        <v>2014</v>
      </c>
    </row>
    <row r="4793" spans="1:9">
      <c r="A4793" s="1">
        <v>10287</v>
      </c>
      <c r="B4793" s="1">
        <v>4</v>
      </c>
      <c r="C4793" s="2">
        <v>41666</v>
      </c>
      <c r="D4793" s="1" t="s">
        <v>2005</v>
      </c>
      <c r="E4793" s="1">
        <v>103098</v>
      </c>
      <c r="F4793" s="6" t="s">
        <v>6795</v>
      </c>
      <c r="G4793" s="15" t="str">
        <f>VLOOKUP(A4793,Movie!A:D,4,FALSE)</f>
        <v>Lionsgate</v>
      </c>
      <c r="H4793" s="14">
        <f>VLOOKUP(E4793,'Rental Transaction'!A:B,2,FALSE)</f>
        <v>143878</v>
      </c>
      <c r="I4793">
        <f t="shared" si="74"/>
        <v>2014</v>
      </c>
    </row>
    <row r="4794" spans="1:9">
      <c r="A4794" s="1">
        <v>10216</v>
      </c>
      <c r="B4794" s="1">
        <v>5</v>
      </c>
      <c r="C4794" s="2">
        <v>41668</v>
      </c>
      <c r="D4794" s="1" t="s">
        <v>2002</v>
      </c>
      <c r="E4794" s="1">
        <v>103099</v>
      </c>
      <c r="F4794" s="6" t="s">
        <v>6796</v>
      </c>
      <c r="G4794" s="15" t="str">
        <f>VLOOKUP(A4794,Movie!A:D,4,FALSE)</f>
        <v>Sony</v>
      </c>
      <c r="H4794" s="14">
        <f>VLOOKUP(E4794,'Rental Transaction'!A:B,2,FALSE)</f>
        <v>500828</v>
      </c>
      <c r="I4794">
        <f t="shared" si="74"/>
        <v>2014</v>
      </c>
    </row>
    <row r="4795" spans="1:9">
      <c r="A4795" s="1">
        <v>10146</v>
      </c>
      <c r="B4795" s="1">
        <v>10</v>
      </c>
      <c r="C4795" s="2">
        <v>41663</v>
      </c>
      <c r="D4795" s="1" t="s">
        <v>2002</v>
      </c>
      <c r="E4795" s="1">
        <v>103100</v>
      </c>
      <c r="F4795" s="6" t="s">
        <v>6797</v>
      </c>
      <c r="G4795" s="15" t="str">
        <f>VLOOKUP(A4795,Movie!A:D,4,FALSE)</f>
        <v>Sony</v>
      </c>
      <c r="H4795" s="14">
        <f>VLOOKUP(E4795,'Rental Transaction'!A:B,2,FALSE)</f>
        <v>958321</v>
      </c>
      <c r="I4795">
        <f t="shared" si="74"/>
        <v>2014</v>
      </c>
    </row>
    <row r="4796" spans="1:9">
      <c r="A4796" s="1">
        <v>10227</v>
      </c>
      <c r="B4796" s="1">
        <v>3</v>
      </c>
      <c r="C4796" s="2">
        <v>41665</v>
      </c>
      <c r="D4796" s="1" t="s">
        <v>2002</v>
      </c>
      <c r="E4796" s="1">
        <v>103106</v>
      </c>
      <c r="F4796" s="6" t="s">
        <v>6798</v>
      </c>
      <c r="G4796" s="15" t="str">
        <f>VLOOKUP(A4796,Movie!A:D,4,FALSE)</f>
        <v>Focus</v>
      </c>
      <c r="H4796" s="14">
        <f>VLOOKUP(E4796,'Rental Transaction'!A:B,2,FALSE)</f>
        <v>608290</v>
      </c>
      <c r="I4796">
        <f t="shared" si="74"/>
        <v>2014</v>
      </c>
    </row>
    <row r="4797" spans="1:9">
      <c r="A4797" s="1">
        <v>10288</v>
      </c>
      <c r="B4797" s="1">
        <v>8</v>
      </c>
      <c r="C4797" s="2">
        <v>41664</v>
      </c>
      <c r="D4797" s="1" t="s">
        <v>2002</v>
      </c>
      <c r="E4797" s="1">
        <v>103106</v>
      </c>
      <c r="F4797" s="6" t="s">
        <v>6799</v>
      </c>
      <c r="G4797" s="15" t="str">
        <f>VLOOKUP(A4797,Movie!A:D,4,FALSE)</f>
        <v>Relativity</v>
      </c>
      <c r="H4797" s="14">
        <f>VLOOKUP(E4797,'Rental Transaction'!A:B,2,FALSE)</f>
        <v>608290</v>
      </c>
      <c r="I4797">
        <f t="shared" si="74"/>
        <v>2014</v>
      </c>
    </row>
    <row r="4798" spans="1:9">
      <c r="A4798" s="1">
        <v>10204</v>
      </c>
      <c r="B4798" s="1">
        <v>1</v>
      </c>
      <c r="C4798" s="2">
        <v>41665</v>
      </c>
      <c r="D4798" s="1" t="s">
        <v>2002</v>
      </c>
      <c r="E4798" s="1">
        <v>103107</v>
      </c>
      <c r="F4798" s="6" t="s">
        <v>6800</v>
      </c>
      <c r="G4798" s="15" t="str">
        <f>VLOOKUP(A4798,Movie!A:D,4,FALSE)</f>
        <v>Universal</v>
      </c>
      <c r="H4798" s="14">
        <f>VLOOKUP(E4798,'Rental Transaction'!A:B,2,FALSE)</f>
        <v>781968</v>
      </c>
      <c r="I4798">
        <f t="shared" si="74"/>
        <v>2014</v>
      </c>
    </row>
    <row r="4799" spans="1:9">
      <c r="A4799" s="1">
        <v>10044</v>
      </c>
      <c r="B4799" s="1">
        <v>10</v>
      </c>
      <c r="C4799" s="2">
        <v>41667</v>
      </c>
      <c r="D4799" s="1" t="s">
        <v>2002</v>
      </c>
      <c r="E4799" s="1">
        <v>103107</v>
      </c>
      <c r="F4799" s="6" t="s">
        <v>6801</v>
      </c>
      <c r="G4799" s="15" t="str">
        <f>VLOOKUP(A4799,Movie!A:D,4,FALSE)</f>
        <v>Buena Vista</v>
      </c>
      <c r="H4799" s="14">
        <f>VLOOKUP(E4799,'Rental Transaction'!A:B,2,FALSE)</f>
        <v>781968</v>
      </c>
      <c r="I4799">
        <f t="shared" si="74"/>
        <v>2014</v>
      </c>
    </row>
    <row r="4800" spans="1:9">
      <c r="A4800" s="1">
        <v>10162</v>
      </c>
      <c r="B4800" s="1">
        <v>5</v>
      </c>
      <c r="C4800" s="2">
        <v>41665</v>
      </c>
      <c r="D4800" s="1" t="s">
        <v>2002</v>
      </c>
      <c r="E4800" s="1">
        <v>103108</v>
      </c>
      <c r="F4800" s="6" t="s">
        <v>6802</v>
      </c>
      <c r="G4800" s="15" t="str">
        <f>VLOOKUP(A4800,Movie!A:D,4,FALSE)</f>
        <v>Sony</v>
      </c>
      <c r="H4800" s="14">
        <f>VLOOKUP(E4800,'Rental Transaction'!A:B,2,FALSE)</f>
        <v>432113</v>
      </c>
      <c r="I4800">
        <f t="shared" si="74"/>
        <v>2014</v>
      </c>
    </row>
    <row r="4801" spans="1:9">
      <c r="A4801" s="1">
        <v>10248</v>
      </c>
      <c r="B4801" s="1">
        <v>8</v>
      </c>
      <c r="C4801" s="2">
        <v>41664</v>
      </c>
      <c r="D4801" s="1" t="s">
        <v>2002</v>
      </c>
      <c r="E4801" s="1">
        <v>103109</v>
      </c>
      <c r="F4801" s="6" t="s">
        <v>6803</v>
      </c>
      <c r="G4801" s="15" t="str">
        <f>VLOOKUP(A4801,Movie!A:D,4,FALSE)</f>
        <v>Relativity</v>
      </c>
      <c r="H4801" s="14">
        <f>VLOOKUP(E4801,'Rental Transaction'!A:B,2,FALSE)</f>
        <v>825249</v>
      </c>
      <c r="I4801">
        <f t="shared" si="74"/>
        <v>2014</v>
      </c>
    </row>
    <row r="4802" spans="1:9">
      <c r="A4802" s="1">
        <v>10196</v>
      </c>
      <c r="B4802" s="1">
        <v>3</v>
      </c>
      <c r="C4802" s="2">
        <v>41664</v>
      </c>
      <c r="D4802" s="1" t="s">
        <v>2002</v>
      </c>
      <c r="E4802" s="1">
        <v>103109</v>
      </c>
      <c r="F4802" s="6" t="s">
        <v>6804</v>
      </c>
      <c r="G4802" s="15" t="str">
        <f>VLOOKUP(A4802,Movie!A:D,4,FALSE)</f>
        <v>Fox</v>
      </c>
      <c r="H4802" s="14">
        <f>VLOOKUP(E4802,'Rental Transaction'!A:B,2,FALSE)</f>
        <v>825249</v>
      </c>
      <c r="I4802">
        <f t="shared" si="74"/>
        <v>2014</v>
      </c>
    </row>
    <row r="4803" spans="1:9">
      <c r="A4803" s="1">
        <v>10155</v>
      </c>
      <c r="B4803" s="1">
        <v>1</v>
      </c>
      <c r="C4803" s="2">
        <v>41664</v>
      </c>
      <c r="D4803" s="1" t="s">
        <v>2002</v>
      </c>
      <c r="E4803" s="1">
        <v>103110</v>
      </c>
      <c r="F4803" s="6" t="s">
        <v>6805</v>
      </c>
      <c r="G4803" s="15" t="str">
        <f>VLOOKUP(A4803,Movie!A:D,4,FALSE)</f>
        <v>Fox</v>
      </c>
      <c r="H4803" s="14">
        <f>VLOOKUP(E4803,'Rental Transaction'!A:B,2,FALSE)</f>
        <v>418521</v>
      </c>
      <c r="I4803">
        <f t="shared" ref="I4803:I4866" si="75">YEAR(C4803)</f>
        <v>2014</v>
      </c>
    </row>
    <row r="4804" spans="1:9">
      <c r="A4804" s="1">
        <v>10233</v>
      </c>
      <c r="B4804" s="1">
        <v>5</v>
      </c>
      <c r="C4804" s="2">
        <v>41664</v>
      </c>
      <c r="D4804" s="1" t="s">
        <v>2002</v>
      </c>
      <c r="E4804" s="1">
        <v>103112</v>
      </c>
      <c r="F4804" s="6" t="s">
        <v>6806</v>
      </c>
      <c r="G4804" s="15" t="str">
        <f>VLOOKUP(A4804,Movie!A:D,4,FALSE)</f>
        <v>Screen Gems</v>
      </c>
      <c r="H4804" s="14">
        <f>VLOOKUP(E4804,'Rental Transaction'!A:B,2,FALSE)</f>
        <v>491380</v>
      </c>
      <c r="I4804">
        <f t="shared" si="75"/>
        <v>2014</v>
      </c>
    </row>
    <row r="4805" spans="1:9">
      <c r="A4805" s="1">
        <v>10293</v>
      </c>
      <c r="B4805" s="1">
        <v>9</v>
      </c>
      <c r="C4805" s="2">
        <v>41664</v>
      </c>
      <c r="D4805" s="1" t="s">
        <v>2002</v>
      </c>
      <c r="E4805" s="1">
        <v>103113</v>
      </c>
      <c r="F4805" s="6" t="s">
        <v>6807</v>
      </c>
      <c r="G4805" s="15" t="str">
        <f>VLOOKUP(A4805,Movie!A:D,4,FALSE)</f>
        <v>Relativity</v>
      </c>
      <c r="H4805" s="14">
        <f>VLOOKUP(E4805,'Rental Transaction'!A:B,2,FALSE)</f>
        <v>426830</v>
      </c>
      <c r="I4805">
        <f t="shared" si="75"/>
        <v>2014</v>
      </c>
    </row>
    <row r="4806" spans="1:9" ht="29.25">
      <c r="A4806" s="1">
        <v>10121</v>
      </c>
      <c r="B4806" s="1">
        <v>6</v>
      </c>
      <c r="C4806" s="2">
        <v>41666</v>
      </c>
      <c r="D4806" s="1" t="s">
        <v>2002</v>
      </c>
      <c r="E4806" s="1">
        <v>103114</v>
      </c>
      <c r="F4806" s="6" t="s">
        <v>6808</v>
      </c>
      <c r="G4806" s="15" t="str">
        <f>VLOOKUP(A4806,Movie!A:D,4,FALSE)</f>
        <v>Weinstein Company</v>
      </c>
      <c r="H4806" s="14">
        <f>VLOOKUP(E4806,'Rental Transaction'!A:B,2,FALSE)</f>
        <v>230602</v>
      </c>
      <c r="I4806">
        <f t="shared" si="75"/>
        <v>2014</v>
      </c>
    </row>
    <row r="4807" spans="1:9">
      <c r="A4807" s="1">
        <v>10177</v>
      </c>
      <c r="B4807" s="1">
        <v>2</v>
      </c>
      <c r="C4807" s="2">
        <v>41667</v>
      </c>
      <c r="D4807" s="1" t="s">
        <v>2002</v>
      </c>
      <c r="E4807" s="1">
        <v>103114</v>
      </c>
      <c r="F4807" s="6" t="s">
        <v>6809</v>
      </c>
      <c r="G4807" s="15" t="str">
        <f>VLOOKUP(A4807,Movie!A:D,4,FALSE)</f>
        <v>Fox</v>
      </c>
      <c r="H4807" s="14">
        <f>VLOOKUP(E4807,'Rental Transaction'!A:B,2,FALSE)</f>
        <v>230602</v>
      </c>
      <c r="I4807">
        <f t="shared" si="75"/>
        <v>2014</v>
      </c>
    </row>
    <row r="4808" spans="1:9">
      <c r="A4808" s="1">
        <v>10087</v>
      </c>
      <c r="B4808" s="1">
        <v>1</v>
      </c>
      <c r="C4808" s="2">
        <v>41665</v>
      </c>
      <c r="D4808" s="1" t="s">
        <v>2002</v>
      </c>
      <c r="E4808" s="1">
        <v>103117</v>
      </c>
      <c r="F4808" s="6" t="s">
        <v>6810</v>
      </c>
      <c r="G4808" s="15" t="str">
        <f>VLOOKUP(A4808,Movie!A:D,4,FALSE)</f>
        <v>Lionsgate</v>
      </c>
      <c r="H4808" s="14">
        <f>VLOOKUP(E4808,'Rental Transaction'!A:B,2,FALSE)</f>
        <v>190721</v>
      </c>
      <c r="I4808">
        <f t="shared" si="75"/>
        <v>2014</v>
      </c>
    </row>
    <row r="4809" spans="1:9">
      <c r="A4809" s="1">
        <v>10135</v>
      </c>
      <c r="B4809" s="1">
        <v>8</v>
      </c>
      <c r="C4809" s="2">
        <v>41666</v>
      </c>
      <c r="D4809" s="1" t="s">
        <v>2002</v>
      </c>
      <c r="E4809" s="1">
        <v>103118</v>
      </c>
      <c r="F4809" s="6" t="s">
        <v>6811</v>
      </c>
      <c r="G4809" s="15" t="str">
        <f>VLOOKUP(A4809,Movie!A:D,4,FALSE)</f>
        <v>Universal</v>
      </c>
      <c r="H4809" s="14">
        <f>VLOOKUP(E4809,'Rental Transaction'!A:B,2,FALSE)</f>
        <v>240205</v>
      </c>
      <c r="I4809">
        <f t="shared" si="75"/>
        <v>2014</v>
      </c>
    </row>
    <row r="4810" spans="1:9">
      <c r="A4810" s="1">
        <v>10321</v>
      </c>
      <c r="B4810" s="1">
        <v>10</v>
      </c>
      <c r="C4810" s="2">
        <v>41666</v>
      </c>
      <c r="D4810" s="1" t="s">
        <v>2002</v>
      </c>
      <c r="E4810" s="1">
        <v>103119</v>
      </c>
      <c r="F4810" s="6" t="s">
        <v>6812</v>
      </c>
      <c r="G4810" s="15" t="str">
        <f>VLOOKUP(A4810,Movie!A:D,4,FALSE)</f>
        <v>Lionsgate</v>
      </c>
      <c r="H4810" s="14">
        <f>VLOOKUP(E4810,'Rental Transaction'!A:B,2,FALSE)</f>
        <v>756769</v>
      </c>
      <c r="I4810">
        <f t="shared" si="75"/>
        <v>2014</v>
      </c>
    </row>
    <row r="4811" spans="1:9">
      <c r="A4811" s="1">
        <v>10210</v>
      </c>
      <c r="B4811" s="1">
        <v>2</v>
      </c>
      <c r="C4811" s="2">
        <v>41666</v>
      </c>
      <c r="D4811" s="1" t="s">
        <v>2002</v>
      </c>
      <c r="E4811" s="1">
        <v>103119</v>
      </c>
      <c r="F4811" s="6" t="s">
        <v>6813</v>
      </c>
      <c r="G4811" s="15" t="str">
        <f>VLOOKUP(A4811,Movie!A:D,4,FALSE)</f>
        <v>Sony</v>
      </c>
      <c r="H4811" s="14">
        <f>VLOOKUP(E4811,'Rental Transaction'!A:B,2,FALSE)</f>
        <v>756769</v>
      </c>
      <c r="I4811">
        <f t="shared" si="75"/>
        <v>2014</v>
      </c>
    </row>
    <row r="4812" spans="1:9" ht="29.25">
      <c r="A4812" s="1">
        <v>10290</v>
      </c>
      <c r="B4812" s="1">
        <v>1</v>
      </c>
      <c r="C4812" s="2">
        <v>41667</v>
      </c>
      <c r="D4812" s="1" t="s">
        <v>2002</v>
      </c>
      <c r="E4812" s="1">
        <v>103120</v>
      </c>
      <c r="F4812" s="6" t="s">
        <v>6814</v>
      </c>
      <c r="G4812" s="15" t="str">
        <f>VLOOKUP(A4812,Movie!A:D,4,FALSE)</f>
        <v>Weinstein Company</v>
      </c>
      <c r="H4812" s="14">
        <f>VLOOKUP(E4812,'Rental Transaction'!A:B,2,FALSE)</f>
        <v>202612</v>
      </c>
      <c r="I4812">
        <f t="shared" si="75"/>
        <v>2014</v>
      </c>
    </row>
    <row r="4813" spans="1:9">
      <c r="A4813" s="1">
        <v>10162</v>
      </c>
      <c r="B4813" s="1">
        <v>10</v>
      </c>
      <c r="C4813" s="2">
        <v>41667</v>
      </c>
      <c r="D4813" s="1" t="s">
        <v>2005</v>
      </c>
      <c r="E4813" s="1">
        <v>103120</v>
      </c>
      <c r="F4813" s="6" t="s">
        <v>6815</v>
      </c>
      <c r="G4813" s="15" t="str">
        <f>VLOOKUP(A4813,Movie!A:D,4,FALSE)</f>
        <v>Sony</v>
      </c>
      <c r="H4813" s="14">
        <f>VLOOKUP(E4813,'Rental Transaction'!A:B,2,FALSE)</f>
        <v>202612</v>
      </c>
      <c r="I4813">
        <f t="shared" si="75"/>
        <v>2014</v>
      </c>
    </row>
    <row r="4814" spans="1:9">
      <c r="A4814" s="1">
        <v>10213</v>
      </c>
      <c r="B4814" s="1">
        <v>3</v>
      </c>
      <c r="C4814" s="2">
        <v>41666</v>
      </c>
      <c r="D4814" s="1" t="s">
        <v>2002</v>
      </c>
      <c r="E4814" s="1">
        <v>103120</v>
      </c>
      <c r="F4814" s="6" t="s">
        <v>6816</v>
      </c>
      <c r="G4814" s="15" t="str">
        <f>VLOOKUP(A4814,Movie!A:D,4,FALSE)</f>
        <v>Sony</v>
      </c>
      <c r="H4814" s="14">
        <f>VLOOKUP(E4814,'Rental Transaction'!A:B,2,FALSE)</f>
        <v>202612</v>
      </c>
      <c r="I4814">
        <f t="shared" si="75"/>
        <v>2014</v>
      </c>
    </row>
    <row r="4815" spans="1:9">
      <c r="A4815" s="1">
        <v>10292</v>
      </c>
      <c r="B4815" s="1">
        <v>8</v>
      </c>
      <c r="C4815" s="2">
        <v>41666</v>
      </c>
      <c r="D4815" s="1" t="s">
        <v>2002</v>
      </c>
      <c r="E4815" s="1">
        <v>103122</v>
      </c>
      <c r="F4815" s="6" t="s">
        <v>6817</v>
      </c>
      <c r="G4815" s="15" t="str">
        <f>VLOOKUP(A4815,Movie!A:D,4,FALSE)</f>
        <v>Sony Classics</v>
      </c>
      <c r="H4815" s="14">
        <f>VLOOKUP(E4815,'Rental Transaction'!A:B,2,FALSE)</f>
        <v>924649</v>
      </c>
      <c r="I4815">
        <f t="shared" si="75"/>
        <v>2014</v>
      </c>
    </row>
    <row r="4816" spans="1:9">
      <c r="A4816" s="1">
        <v>10167</v>
      </c>
      <c r="B4816" s="1">
        <v>10</v>
      </c>
      <c r="C4816" s="2">
        <v>41666</v>
      </c>
      <c r="D4816" s="1" t="s">
        <v>2005</v>
      </c>
      <c r="E4816" s="1">
        <v>103123</v>
      </c>
      <c r="F4816" s="6" t="s">
        <v>6818</v>
      </c>
      <c r="G4816" s="15" t="str">
        <f>VLOOKUP(A4816,Movie!A:D,4,FALSE)</f>
        <v>Universal</v>
      </c>
      <c r="H4816" s="14">
        <f>VLOOKUP(E4816,'Rental Transaction'!A:B,2,FALSE)</f>
        <v>818287</v>
      </c>
      <c r="I4816">
        <f t="shared" si="75"/>
        <v>2014</v>
      </c>
    </row>
    <row r="4817" spans="1:9">
      <c r="A4817" s="1">
        <v>10286</v>
      </c>
      <c r="B4817" s="1">
        <v>10</v>
      </c>
      <c r="C4817" s="2">
        <v>41667</v>
      </c>
      <c r="D4817" s="1" t="s">
        <v>2002</v>
      </c>
      <c r="E4817" s="1">
        <v>103123</v>
      </c>
      <c r="F4817" s="6" t="s">
        <v>6819</v>
      </c>
      <c r="G4817" s="15" t="str">
        <f>VLOOKUP(A4817,Movie!A:D,4,FALSE)</f>
        <v>Fox Searchlight</v>
      </c>
      <c r="H4817" s="14">
        <f>VLOOKUP(E4817,'Rental Transaction'!A:B,2,FALSE)</f>
        <v>818287</v>
      </c>
      <c r="I4817">
        <f t="shared" si="75"/>
        <v>2014</v>
      </c>
    </row>
    <row r="4818" spans="1:9">
      <c r="A4818" s="1">
        <v>10171</v>
      </c>
      <c r="B4818" s="1">
        <v>9</v>
      </c>
      <c r="C4818" s="2">
        <v>41666</v>
      </c>
      <c r="D4818" s="1" t="s">
        <v>2002</v>
      </c>
      <c r="E4818" s="1">
        <v>103124</v>
      </c>
      <c r="F4818" s="6" t="s">
        <v>6820</v>
      </c>
      <c r="G4818" s="15" t="str">
        <f>VLOOKUP(A4818,Movie!A:D,4,FALSE)</f>
        <v>Universal</v>
      </c>
      <c r="H4818" s="14">
        <f>VLOOKUP(E4818,'Rental Transaction'!A:B,2,FALSE)</f>
        <v>607810</v>
      </c>
      <c r="I4818">
        <f t="shared" si="75"/>
        <v>2014</v>
      </c>
    </row>
    <row r="4819" spans="1:9">
      <c r="A4819" s="1">
        <v>10074</v>
      </c>
      <c r="B4819" s="1">
        <v>9</v>
      </c>
      <c r="C4819" s="2">
        <v>41667</v>
      </c>
      <c r="D4819" s="1" t="s">
        <v>2002</v>
      </c>
      <c r="E4819" s="1">
        <v>103124</v>
      </c>
      <c r="F4819" s="6" t="s">
        <v>6821</v>
      </c>
      <c r="G4819" s="15" t="str">
        <f>VLOOKUP(A4819,Movie!A:D,4,FALSE)</f>
        <v>Open Road Films</v>
      </c>
      <c r="H4819" s="14">
        <f>VLOOKUP(E4819,'Rental Transaction'!A:B,2,FALSE)</f>
        <v>607810</v>
      </c>
      <c r="I4819">
        <f t="shared" si="75"/>
        <v>2014</v>
      </c>
    </row>
    <row r="4820" spans="1:9">
      <c r="A4820" s="1">
        <v>10215</v>
      </c>
      <c r="B4820" s="1">
        <v>3</v>
      </c>
      <c r="C4820" s="2">
        <v>41669</v>
      </c>
      <c r="D4820" s="1" t="s">
        <v>2002</v>
      </c>
      <c r="E4820" s="1">
        <v>103125</v>
      </c>
      <c r="F4820" s="6" t="s">
        <v>6822</v>
      </c>
      <c r="G4820" s="15" t="str">
        <f>VLOOKUP(A4820,Movie!A:D,4,FALSE)</f>
        <v>Paramount</v>
      </c>
      <c r="H4820" s="14">
        <f>VLOOKUP(E4820,'Rental Transaction'!A:B,2,FALSE)</f>
        <v>747066</v>
      </c>
      <c r="I4820">
        <f t="shared" si="75"/>
        <v>2014</v>
      </c>
    </row>
    <row r="4821" spans="1:9">
      <c r="A4821" s="1">
        <v>10195</v>
      </c>
      <c r="B4821" s="1">
        <v>3</v>
      </c>
      <c r="C4821" s="2">
        <v>41666</v>
      </c>
      <c r="D4821" s="1" t="s">
        <v>2002</v>
      </c>
      <c r="E4821" s="1">
        <v>103126</v>
      </c>
      <c r="F4821" s="6" t="s">
        <v>6823</v>
      </c>
      <c r="G4821" s="15" t="str">
        <f>VLOOKUP(A4821,Movie!A:D,4,FALSE)</f>
        <v>Sony</v>
      </c>
      <c r="H4821" s="14">
        <f>VLOOKUP(E4821,'Rental Transaction'!A:B,2,FALSE)</f>
        <v>346006</v>
      </c>
      <c r="I4821">
        <f t="shared" si="75"/>
        <v>2014</v>
      </c>
    </row>
    <row r="4822" spans="1:9">
      <c r="A4822" s="1">
        <v>10274</v>
      </c>
      <c r="B4822" s="1">
        <v>4</v>
      </c>
      <c r="C4822" s="2">
        <v>41669</v>
      </c>
      <c r="D4822" s="1" t="s">
        <v>2002</v>
      </c>
      <c r="E4822" s="1">
        <v>103127</v>
      </c>
      <c r="F4822" s="6" t="s">
        <v>6824</v>
      </c>
      <c r="G4822" s="15" t="str">
        <f>VLOOKUP(A4822,Movie!A:D,4,FALSE)</f>
        <v>Fox</v>
      </c>
      <c r="H4822" s="14">
        <f>VLOOKUP(E4822,'Rental Transaction'!A:B,2,FALSE)</f>
        <v>723819</v>
      </c>
      <c r="I4822">
        <f t="shared" si="75"/>
        <v>2014</v>
      </c>
    </row>
    <row r="4823" spans="1:9">
      <c r="A4823" s="1">
        <v>10262</v>
      </c>
      <c r="B4823" s="1">
        <v>5</v>
      </c>
      <c r="C4823" s="2">
        <v>41666</v>
      </c>
      <c r="D4823" s="1" t="s">
        <v>2005</v>
      </c>
      <c r="E4823" s="1">
        <v>103128</v>
      </c>
      <c r="F4823" s="6" t="s">
        <v>6825</v>
      </c>
      <c r="G4823" s="15" t="str">
        <f>VLOOKUP(A4823,Movie!A:D,4,FALSE)</f>
        <v>Lionsgate</v>
      </c>
      <c r="H4823" s="14">
        <f>VLOOKUP(E4823,'Rental Transaction'!A:B,2,FALSE)</f>
        <v>265707</v>
      </c>
      <c r="I4823">
        <f t="shared" si="75"/>
        <v>2014</v>
      </c>
    </row>
    <row r="4824" spans="1:9">
      <c r="A4824" s="1">
        <v>10209</v>
      </c>
      <c r="B4824" s="1">
        <v>3</v>
      </c>
      <c r="C4824" s="2">
        <v>41670</v>
      </c>
      <c r="D4824" s="1" t="s">
        <v>2002</v>
      </c>
      <c r="E4824" s="1">
        <v>103130</v>
      </c>
      <c r="F4824" s="6" t="s">
        <v>6826</v>
      </c>
      <c r="G4824" s="15" t="str">
        <f>VLOOKUP(A4824,Movie!A:D,4,FALSE)</f>
        <v>Universal</v>
      </c>
      <c r="H4824" s="14">
        <f>VLOOKUP(E4824,'Rental Transaction'!A:B,2,FALSE)</f>
        <v>454015</v>
      </c>
      <c r="I4824">
        <f t="shared" si="75"/>
        <v>2014</v>
      </c>
    </row>
    <row r="4825" spans="1:9">
      <c r="A4825" s="1">
        <v>10152</v>
      </c>
      <c r="B4825" s="1">
        <v>1</v>
      </c>
      <c r="C4825" s="2">
        <v>41668</v>
      </c>
      <c r="D4825" s="1" t="s">
        <v>2005</v>
      </c>
      <c r="E4825" s="1">
        <v>103130</v>
      </c>
      <c r="F4825" s="6" t="s">
        <v>6827</v>
      </c>
      <c r="G4825" s="15" t="str">
        <f>VLOOKUP(A4825,Movie!A:D,4,FALSE)</f>
        <v>FilmDistrict</v>
      </c>
      <c r="H4825" s="14">
        <f>VLOOKUP(E4825,'Rental Transaction'!A:B,2,FALSE)</f>
        <v>454015</v>
      </c>
      <c r="I4825">
        <f t="shared" si="75"/>
        <v>2014</v>
      </c>
    </row>
    <row r="4826" spans="1:9">
      <c r="A4826" s="1">
        <v>10280</v>
      </c>
      <c r="B4826" s="1">
        <v>3</v>
      </c>
      <c r="C4826" s="2">
        <v>41667</v>
      </c>
      <c r="D4826" s="1" t="s">
        <v>2002</v>
      </c>
      <c r="E4826" s="1">
        <v>103131</v>
      </c>
      <c r="F4826" s="6" t="s">
        <v>6828</v>
      </c>
      <c r="G4826" s="15" t="str">
        <f>VLOOKUP(A4826,Movie!A:D,4,FALSE)</f>
        <v>Universal</v>
      </c>
      <c r="H4826" s="14">
        <f>VLOOKUP(E4826,'Rental Transaction'!A:B,2,FALSE)</f>
        <v>363931</v>
      </c>
      <c r="I4826">
        <f t="shared" si="75"/>
        <v>2014</v>
      </c>
    </row>
    <row r="4827" spans="1:9">
      <c r="A4827" s="1">
        <v>10178</v>
      </c>
      <c r="B4827" s="1">
        <v>10</v>
      </c>
      <c r="C4827" s="2">
        <v>41667</v>
      </c>
      <c r="D4827" s="1" t="s">
        <v>2002</v>
      </c>
      <c r="E4827" s="1">
        <v>103134</v>
      </c>
      <c r="F4827" s="6" t="s">
        <v>6829</v>
      </c>
      <c r="G4827" s="15" t="str">
        <f>VLOOKUP(A4827,Movie!A:D,4,FALSE)</f>
        <v>Warner Brothers</v>
      </c>
      <c r="H4827" s="14">
        <f>VLOOKUP(E4827,'Rental Transaction'!A:B,2,FALSE)</f>
        <v>207846</v>
      </c>
      <c r="I4827">
        <f t="shared" si="75"/>
        <v>2014</v>
      </c>
    </row>
    <row r="4828" spans="1:9">
      <c r="A4828" s="1">
        <v>10137</v>
      </c>
      <c r="B4828" s="1">
        <v>7</v>
      </c>
      <c r="C4828" s="2">
        <v>41667</v>
      </c>
      <c r="D4828" s="1" t="s">
        <v>2002</v>
      </c>
      <c r="E4828" s="1">
        <v>103135</v>
      </c>
      <c r="F4828" s="6" t="s">
        <v>6830</v>
      </c>
      <c r="G4828" s="15" t="str">
        <f>VLOOKUP(A4828,Movie!A:D,4,FALSE)</f>
        <v>Buena Vista</v>
      </c>
      <c r="H4828" s="14">
        <f>VLOOKUP(E4828,'Rental Transaction'!A:B,2,FALSE)</f>
        <v>269687</v>
      </c>
      <c r="I4828">
        <f t="shared" si="75"/>
        <v>2014</v>
      </c>
    </row>
    <row r="4829" spans="1:9">
      <c r="A4829" s="1">
        <v>10111</v>
      </c>
      <c r="B4829" s="1">
        <v>6</v>
      </c>
      <c r="C4829" s="2">
        <v>41670</v>
      </c>
      <c r="D4829" s="1" t="s">
        <v>2002</v>
      </c>
      <c r="E4829" s="1">
        <v>103137</v>
      </c>
      <c r="F4829" s="6" t="s">
        <v>6831</v>
      </c>
      <c r="G4829" s="15" t="str">
        <f>VLOOKUP(A4829,Movie!A:D,4,FALSE)</f>
        <v>Fox</v>
      </c>
      <c r="H4829" s="14">
        <f>VLOOKUP(E4829,'Rental Transaction'!A:B,2,FALSE)</f>
        <v>528475</v>
      </c>
      <c r="I4829">
        <f t="shared" si="75"/>
        <v>2014</v>
      </c>
    </row>
    <row r="4830" spans="1:9">
      <c r="A4830" s="1">
        <v>10284</v>
      </c>
      <c r="B4830" s="1">
        <v>7</v>
      </c>
      <c r="C4830" s="2">
        <v>41668</v>
      </c>
      <c r="D4830" s="1" t="s">
        <v>2002</v>
      </c>
      <c r="E4830" s="1">
        <v>103137</v>
      </c>
      <c r="F4830" s="6" t="s">
        <v>6832</v>
      </c>
      <c r="G4830" s="15" t="str">
        <f>VLOOKUP(A4830,Movie!A:D,4,FALSE)</f>
        <v>Focus</v>
      </c>
      <c r="H4830" s="14">
        <f>VLOOKUP(E4830,'Rental Transaction'!A:B,2,FALSE)</f>
        <v>528475</v>
      </c>
      <c r="I4830">
        <f t="shared" si="75"/>
        <v>2014</v>
      </c>
    </row>
    <row r="4831" spans="1:9">
      <c r="A4831" s="1">
        <v>10078</v>
      </c>
      <c r="B4831" s="1">
        <v>4</v>
      </c>
      <c r="C4831" s="2">
        <v>41668</v>
      </c>
      <c r="D4831" s="1" t="s">
        <v>2005</v>
      </c>
      <c r="E4831" s="1">
        <v>103140</v>
      </c>
      <c r="F4831" s="6" t="s">
        <v>6833</v>
      </c>
      <c r="G4831" s="15" t="str">
        <f>VLOOKUP(A4831,Movie!A:D,4,FALSE)</f>
        <v>Paramount</v>
      </c>
      <c r="H4831" s="14">
        <f>VLOOKUP(E4831,'Rental Transaction'!A:B,2,FALSE)</f>
        <v>393893</v>
      </c>
      <c r="I4831">
        <f t="shared" si="75"/>
        <v>2014</v>
      </c>
    </row>
    <row r="4832" spans="1:9">
      <c r="A4832" s="1">
        <v>10206</v>
      </c>
      <c r="B4832" s="1">
        <v>1</v>
      </c>
      <c r="C4832" s="2">
        <v>41669</v>
      </c>
      <c r="D4832" s="1" t="s">
        <v>2002</v>
      </c>
      <c r="E4832" s="1">
        <v>103141</v>
      </c>
      <c r="F4832" s="6" t="s">
        <v>6834</v>
      </c>
      <c r="G4832" s="15" t="str">
        <f>VLOOKUP(A4832,Movie!A:D,4,FALSE)</f>
        <v>Fox</v>
      </c>
      <c r="H4832" s="14">
        <f>VLOOKUP(E4832,'Rental Transaction'!A:B,2,FALSE)</f>
        <v>109251</v>
      </c>
      <c r="I4832">
        <f t="shared" si="75"/>
        <v>2014</v>
      </c>
    </row>
    <row r="4833" spans="1:9">
      <c r="A4833" s="1">
        <v>10149</v>
      </c>
      <c r="B4833" s="1">
        <v>10</v>
      </c>
      <c r="C4833" s="2">
        <v>41669</v>
      </c>
      <c r="D4833" s="1" t="s">
        <v>2005</v>
      </c>
      <c r="E4833" s="1">
        <v>103142</v>
      </c>
      <c r="F4833" s="6" t="s">
        <v>6835</v>
      </c>
      <c r="G4833" s="15" t="str">
        <f>VLOOKUP(A4833,Movie!A:D,4,FALSE)</f>
        <v>Relativity</v>
      </c>
      <c r="H4833" s="14">
        <f>VLOOKUP(E4833,'Rental Transaction'!A:B,2,FALSE)</f>
        <v>416523</v>
      </c>
      <c r="I4833">
        <f t="shared" si="75"/>
        <v>2014</v>
      </c>
    </row>
    <row r="4834" spans="1:9">
      <c r="A4834" s="1">
        <v>10117</v>
      </c>
      <c r="B4834" s="1">
        <v>1</v>
      </c>
      <c r="C4834" s="2">
        <v>41673</v>
      </c>
      <c r="D4834" s="1" t="s">
        <v>2002</v>
      </c>
      <c r="E4834" s="1">
        <v>103144</v>
      </c>
      <c r="F4834" s="6" t="s">
        <v>6836</v>
      </c>
      <c r="G4834" s="15" t="str">
        <f>VLOOKUP(A4834,Movie!A:D,4,FALSE)</f>
        <v>Sony</v>
      </c>
      <c r="H4834" s="14">
        <f>VLOOKUP(E4834,'Rental Transaction'!A:B,2,FALSE)</f>
        <v>480298</v>
      </c>
      <c r="I4834">
        <f t="shared" si="75"/>
        <v>2014</v>
      </c>
    </row>
    <row r="4835" spans="1:9">
      <c r="A4835" s="1">
        <v>10253</v>
      </c>
      <c r="B4835" s="1">
        <v>10</v>
      </c>
      <c r="C4835" s="2">
        <v>41674</v>
      </c>
      <c r="D4835" s="1" t="s">
        <v>2002</v>
      </c>
      <c r="E4835" s="1">
        <v>103146</v>
      </c>
      <c r="F4835" s="6" t="s">
        <v>6837</v>
      </c>
      <c r="G4835" s="15" t="str">
        <f>VLOOKUP(A4835,Movie!A:D,4,FALSE)</f>
        <v>Buena Vista</v>
      </c>
      <c r="H4835" s="14">
        <f>VLOOKUP(E4835,'Rental Transaction'!A:B,2,FALSE)</f>
        <v>161942</v>
      </c>
      <c r="I4835">
        <f t="shared" si="75"/>
        <v>2014</v>
      </c>
    </row>
    <row r="4836" spans="1:9">
      <c r="A4836" s="1">
        <v>10267</v>
      </c>
      <c r="B4836" s="1">
        <v>6</v>
      </c>
      <c r="C4836" s="2">
        <v>41669</v>
      </c>
      <c r="D4836" s="1" t="s">
        <v>2002</v>
      </c>
      <c r="E4836" s="1">
        <v>103146</v>
      </c>
      <c r="F4836" s="6" t="s">
        <v>6838</v>
      </c>
      <c r="G4836" s="15" t="str">
        <f>VLOOKUP(A4836,Movie!A:D,4,FALSE)</f>
        <v>TriStar</v>
      </c>
      <c r="H4836" s="14">
        <f>VLOOKUP(E4836,'Rental Transaction'!A:B,2,FALSE)</f>
        <v>161942</v>
      </c>
      <c r="I4836">
        <f t="shared" si="75"/>
        <v>2014</v>
      </c>
    </row>
    <row r="4837" spans="1:9">
      <c r="A4837" s="1">
        <v>10259</v>
      </c>
      <c r="B4837" s="1">
        <v>1</v>
      </c>
      <c r="C4837" s="2">
        <v>41669</v>
      </c>
      <c r="D4837" s="1" t="s">
        <v>2002</v>
      </c>
      <c r="E4837" s="1">
        <v>103146</v>
      </c>
      <c r="F4837" s="6" t="s">
        <v>6839</v>
      </c>
      <c r="G4837" s="15" t="str">
        <f>VLOOKUP(A4837,Movie!A:D,4,FALSE)</f>
        <v>Warner Brothers</v>
      </c>
      <c r="H4837" s="14">
        <f>VLOOKUP(E4837,'Rental Transaction'!A:B,2,FALSE)</f>
        <v>161942</v>
      </c>
      <c r="I4837">
        <f t="shared" si="75"/>
        <v>2014</v>
      </c>
    </row>
    <row r="4838" spans="1:9">
      <c r="A4838" s="1">
        <v>10275</v>
      </c>
      <c r="B4838" s="1">
        <v>3</v>
      </c>
      <c r="C4838" s="2">
        <v>41672</v>
      </c>
      <c r="D4838" s="1" t="s">
        <v>2002</v>
      </c>
      <c r="E4838" s="1">
        <v>103148</v>
      </c>
      <c r="F4838" s="6" t="s">
        <v>6840</v>
      </c>
      <c r="G4838" s="15" t="str">
        <f>VLOOKUP(A4838,Movie!A:D,4,FALSE)</f>
        <v>Lionsgate</v>
      </c>
      <c r="H4838" s="14">
        <f>VLOOKUP(E4838,'Rental Transaction'!A:B,2,FALSE)</f>
        <v>420981</v>
      </c>
      <c r="I4838">
        <f t="shared" si="75"/>
        <v>2014</v>
      </c>
    </row>
    <row r="4839" spans="1:9">
      <c r="A4839" s="1">
        <v>10141</v>
      </c>
      <c r="B4839" s="1">
        <v>6</v>
      </c>
      <c r="C4839" s="2">
        <v>41672</v>
      </c>
      <c r="D4839" s="1" t="s">
        <v>2002</v>
      </c>
      <c r="E4839" s="1">
        <v>103149</v>
      </c>
      <c r="F4839" s="6" t="s">
        <v>6841</v>
      </c>
      <c r="G4839" s="15" t="str">
        <f>VLOOKUP(A4839,Movie!A:D,4,FALSE)</f>
        <v>Warner Brothers</v>
      </c>
      <c r="H4839" s="14">
        <f>VLOOKUP(E4839,'Rental Transaction'!A:B,2,FALSE)</f>
        <v>879173</v>
      </c>
      <c r="I4839">
        <f t="shared" si="75"/>
        <v>2014</v>
      </c>
    </row>
    <row r="4840" spans="1:9">
      <c r="A4840" s="1">
        <v>10206</v>
      </c>
      <c r="B4840" s="1">
        <v>6</v>
      </c>
      <c r="C4840" s="2">
        <v>41670</v>
      </c>
      <c r="D4840" s="1" t="s">
        <v>2005</v>
      </c>
      <c r="E4840" s="1">
        <v>103149</v>
      </c>
      <c r="F4840" s="6" t="s">
        <v>6842</v>
      </c>
      <c r="G4840" s="15" t="str">
        <f>VLOOKUP(A4840,Movie!A:D,4,FALSE)</f>
        <v>Fox</v>
      </c>
      <c r="H4840" s="14">
        <f>VLOOKUP(E4840,'Rental Transaction'!A:B,2,FALSE)</f>
        <v>879173</v>
      </c>
      <c r="I4840">
        <f t="shared" si="75"/>
        <v>2014</v>
      </c>
    </row>
    <row r="4841" spans="1:9">
      <c r="A4841" s="1">
        <v>10284</v>
      </c>
      <c r="B4841" s="1">
        <v>10</v>
      </c>
      <c r="C4841" s="2">
        <v>41669</v>
      </c>
      <c r="D4841" s="1" t="s">
        <v>2002</v>
      </c>
      <c r="E4841" s="1">
        <v>103149</v>
      </c>
      <c r="F4841" s="6" t="s">
        <v>6843</v>
      </c>
      <c r="G4841" s="15" t="str">
        <f>VLOOKUP(A4841,Movie!A:D,4,FALSE)</f>
        <v>Focus</v>
      </c>
      <c r="H4841" s="14">
        <f>VLOOKUP(E4841,'Rental Transaction'!A:B,2,FALSE)</f>
        <v>879173</v>
      </c>
      <c r="I4841">
        <f t="shared" si="75"/>
        <v>2014</v>
      </c>
    </row>
    <row r="4842" spans="1:9" ht="29.25">
      <c r="A4842" s="1">
        <v>10249</v>
      </c>
      <c r="B4842" s="1">
        <v>10</v>
      </c>
      <c r="C4842" s="2">
        <v>41671</v>
      </c>
      <c r="D4842" s="1" t="s">
        <v>2002</v>
      </c>
      <c r="E4842" s="1">
        <v>103150</v>
      </c>
      <c r="F4842" s="6" t="s">
        <v>6844</v>
      </c>
      <c r="G4842" s="15" t="str">
        <f>VLOOKUP(A4842,Movie!A:D,4,FALSE)</f>
        <v>Summit Entertainment</v>
      </c>
      <c r="H4842" s="14">
        <f>VLOOKUP(E4842,'Rental Transaction'!A:B,2,FALSE)</f>
        <v>418635</v>
      </c>
      <c r="I4842">
        <f t="shared" si="75"/>
        <v>2014</v>
      </c>
    </row>
    <row r="4843" spans="1:9">
      <c r="A4843" s="1">
        <v>10193</v>
      </c>
      <c r="B4843" s="1">
        <v>10</v>
      </c>
      <c r="C4843" s="2">
        <v>41670</v>
      </c>
      <c r="D4843" s="1" t="s">
        <v>2002</v>
      </c>
      <c r="E4843" s="1">
        <v>103150</v>
      </c>
      <c r="F4843" s="6" t="s">
        <v>6845</v>
      </c>
      <c r="G4843" s="15" t="str">
        <f>VLOOKUP(A4843,Movie!A:D,4,FALSE)</f>
        <v>Fox</v>
      </c>
      <c r="H4843" s="14">
        <f>VLOOKUP(E4843,'Rental Transaction'!A:B,2,FALSE)</f>
        <v>418635</v>
      </c>
      <c r="I4843">
        <f t="shared" si="75"/>
        <v>2014</v>
      </c>
    </row>
    <row r="4844" spans="1:9">
      <c r="A4844" s="1">
        <v>10216</v>
      </c>
      <c r="B4844" s="1">
        <v>3</v>
      </c>
      <c r="C4844" s="2">
        <v>41671</v>
      </c>
      <c r="D4844" s="1" t="s">
        <v>2002</v>
      </c>
      <c r="E4844" s="1">
        <v>103151</v>
      </c>
      <c r="F4844" s="6" t="s">
        <v>6846</v>
      </c>
      <c r="G4844" s="15" t="str">
        <f>VLOOKUP(A4844,Movie!A:D,4,FALSE)</f>
        <v>Sony</v>
      </c>
      <c r="H4844" s="14">
        <f>VLOOKUP(E4844,'Rental Transaction'!A:B,2,FALSE)</f>
        <v>197102</v>
      </c>
      <c r="I4844">
        <f t="shared" si="75"/>
        <v>2014</v>
      </c>
    </row>
    <row r="4845" spans="1:9" ht="29.25">
      <c r="A4845" s="1">
        <v>10264</v>
      </c>
      <c r="B4845" s="1">
        <v>3</v>
      </c>
      <c r="C4845" s="2">
        <v>41670</v>
      </c>
      <c r="D4845" s="1" t="s">
        <v>2005</v>
      </c>
      <c r="E4845" s="1">
        <v>103152</v>
      </c>
      <c r="F4845" s="6" t="s">
        <v>6847</v>
      </c>
      <c r="G4845" s="15" t="str">
        <f>VLOOKUP(A4845,Movie!A:D,4,FALSE)</f>
        <v>Weinstein Company</v>
      </c>
      <c r="H4845" s="14">
        <f>VLOOKUP(E4845,'Rental Transaction'!A:B,2,FALSE)</f>
        <v>230602</v>
      </c>
      <c r="I4845">
        <f t="shared" si="75"/>
        <v>2014</v>
      </c>
    </row>
    <row r="4846" spans="1:9">
      <c r="A4846" s="1">
        <v>10281</v>
      </c>
      <c r="B4846" s="1">
        <v>1</v>
      </c>
      <c r="C4846" s="2">
        <v>41672</v>
      </c>
      <c r="D4846" s="1" t="s">
        <v>2002</v>
      </c>
      <c r="E4846" s="1">
        <v>103152</v>
      </c>
      <c r="F4846" s="6" t="s">
        <v>6848</v>
      </c>
      <c r="G4846" s="15" t="str">
        <f>VLOOKUP(A4846,Movie!A:D,4,FALSE)</f>
        <v>Lionsgate</v>
      </c>
      <c r="H4846" s="14">
        <f>VLOOKUP(E4846,'Rental Transaction'!A:B,2,FALSE)</f>
        <v>230602</v>
      </c>
      <c r="I4846">
        <f t="shared" si="75"/>
        <v>2014</v>
      </c>
    </row>
    <row r="4847" spans="1:9">
      <c r="A4847" s="1">
        <v>10123</v>
      </c>
      <c r="B4847" s="1">
        <v>4</v>
      </c>
      <c r="C4847" s="2">
        <v>41671</v>
      </c>
      <c r="D4847" s="1" t="s">
        <v>2002</v>
      </c>
      <c r="E4847" s="1">
        <v>103154</v>
      </c>
      <c r="F4847" s="6" t="s">
        <v>6849</v>
      </c>
      <c r="G4847" s="15" t="str">
        <f>VLOOKUP(A4847,Movie!A:D,4,FALSE)</f>
        <v>Fox</v>
      </c>
      <c r="H4847" s="14">
        <f>VLOOKUP(E4847,'Rental Transaction'!A:B,2,FALSE)</f>
        <v>378374</v>
      </c>
      <c r="I4847">
        <f t="shared" si="75"/>
        <v>2014</v>
      </c>
    </row>
    <row r="4848" spans="1:9">
      <c r="A4848" s="1">
        <v>10187</v>
      </c>
      <c r="B4848" s="1">
        <v>1</v>
      </c>
      <c r="C4848" s="2">
        <v>41671</v>
      </c>
      <c r="D4848" s="1" t="s">
        <v>2002</v>
      </c>
      <c r="E4848" s="1">
        <v>103154</v>
      </c>
      <c r="F4848" s="6" t="s">
        <v>6850</v>
      </c>
      <c r="G4848" s="15" t="str">
        <f>VLOOKUP(A4848,Movie!A:D,4,FALSE)</f>
        <v>Paramount</v>
      </c>
      <c r="H4848" s="14">
        <f>VLOOKUP(E4848,'Rental Transaction'!A:B,2,FALSE)</f>
        <v>378374</v>
      </c>
      <c r="I4848">
        <f t="shared" si="75"/>
        <v>2014</v>
      </c>
    </row>
    <row r="4849" spans="1:9">
      <c r="A4849" s="1">
        <v>10217</v>
      </c>
      <c r="B4849" s="1">
        <v>9</v>
      </c>
      <c r="C4849" s="2">
        <v>41672</v>
      </c>
      <c r="D4849" s="1" t="s">
        <v>2005</v>
      </c>
      <c r="E4849" s="1">
        <v>103155</v>
      </c>
      <c r="F4849" s="6" t="s">
        <v>6851</v>
      </c>
      <c r="G4849" s="15" t="str">
        <f>VLOOKUP(A4849,Movie!A:D,4,FALSE)</f>
        <v>Warner Brothers</v>
      </c>
      <c r="H4849" s="14">
        <f>VLOOKUP(E4849,'Rental Transaction'!A:B,2,FALSE)</f>
        <v>838924</v>
      </c>
      <c r="I4849">
        <f t="shared" si="75"/>
        <v>2014</v>
      </c>
    </row>
    <row r="4850" spans="1:9">
      <c r="A4850" s="1">
        <v>10238</v>
      </c>
      <c r="B4850" s="1">
        <v>10</v>
      </c>
      <c r="C4850" s="2">
        <v>41670</v>
      </c>
      <c r="D4850" s="1" t="s">
        <v>2002</v>
      </c>
      <c r="E4850" s="1">
        <v>103155</v>
      </c>
      <c r="F4850" s="6" t="s">
        <v>6852</v>
      </c>
      <c r="G4850" s="15" t="str">
        <f>VLOOKUP(A4850,Movie!A:D,4,FALSE)</f>
        <v>Warner Brothers</v>
      </c>
      <c r="H4850" s="14">
        <f>VLOOKUP(E4850,'Rental Transaction'!A:B,2,FALSE)</f>
        <v>838924</v>
      </c>
      <c r="I4850">
        <f t="shared" si="75"/>
        <v>2014</v>
      </c>
    </row>
    <row r="4851" spans="1:9">
      <c r="A4851" s="1">
        <v>10098</v>
      </c>
      <c r="B4851" s="1">
        <v>6</v>
      </c>
      <c r="C4851" s="2">
        <v>41670</v>
      </c>
      <c r="D4851" s="1" t="s">
        <v>2002</v>
      </c>
      <c r="E4851" s="1">
        <v>103157</v>
      </c>
      <c r="F4851" s="6" t="s">
        <v>6853</v>
      </c>
      <c r="G4851" s="15" t="str">
        <f>VLOOKUP(A4851,Movie!A:D,4,FALSE)</f>
        <v>Warner Brothers</v>
      </c>
      <c r="H4851" s="14">
        <f>VLOOKUP(E4851,'Rental Transaction'!A:B,2,FALSE)</f>
        <v>262638</v>
      </c>
      <c r="I4851">
        <f t="shared" si="75"/>
        <v>2014</v>
      </c>
    </row>
    <row r="4852" spans="1:9">
      <c r="A4852" s="1">
        <v>10286</v>
      </c>
      <c r="B4852" s="1">
        <v>10</v>
      </c>
      <c r="C4852" s="2">
        <v>41670</v>
      </c>
      <c r="D4852" s="1" t="s">
        <v>2002</v>
      </c>
      <c r="E4852" s="1">
        <v>103158</v>
      </c>
      <c r="F4852" s="6" t="s">
        <v>6854</v>
      </c>
      <c r="G4852" s="15" t="str">
        <f>VLOOKUP(A4852,Movie!A:D,4,FALSE)</f>
        <v>Fox Searchlight</v>
      </c>
      <c r="H4852" s="14">
        <f>VLOOKUP(E4852,'Rental Transaction'!A:B,2,FALSE)</f>
        <v>416523</v>
      </c>
      <c r="I4852">
        <f t="shared" si="75"/>
        <v>2014</v>
      </c>
    </row>
    <row r="4853" spans="1:9">
      <c r="A4853" s="1">
        <v>10138</v>
      </c>
      <c r="B4853" s="1">
        <v>3</v>
      </c>
      <c r="C4853" s="2">
        <v>41672</v>
      </c>
      <c r="D4853" s="1" t="s">
        <v>2002</v>
      </c>
      <c r="E4853" s="1">
        <v>103160</v>
      </c>
      <c r="F4853" s="6" t="s">
        <v>6855</v>
      </c>
      <c r="G4853" s="15" t="str">
        <f>VLOOKUP(A4853,Movie!A:D,4,FALSE)</f>
        <v>Universal</v>
      </c>
      <c r="H4853" s="14">
        <f>VLOOKUP(E4853,'Rental Transaction'!A:B,2,FALSE)</f>
        <v>344702</v>
      </c>
      <c r="I4853">
        <f t="shared" si="75"/>
        <v>2014</v>
      </c>
    </row>
    <row r="4854" spans="1:9">
      <c r="A4854" s="1">
        <v>10221</v>
      </c>
      <c r="B4854" s="1">
        <v>4</v>
      </c>
      <c r="C4854" s="2">
        <v>41671</v>
      </c>
      <c r="D4854" s="1" t="s">
        <v>2002</v>
      </c>
      <c r="E4854" s="1">
        <v>103161</v>
      </c>
      <c r="F4854" s="6" t="s">
        <v>6856</v>
      </c>
      <c r="G4854" s="15" t="str">
        <f>VLOOKUP(A4854,Movie!A:D,4,FALSE)</f>
        <v>Fox</v>
      </c>
      <c r="H4854" s="14">
        <f>VLOOKUP(E4854,'Rental Transaction'!A:B,2,FALSE)</f>
        <v>817500</v>
      </c>
      <c r="I4854">
        <f t="shared" si="75"/>
        <v>2014</v>
      </c>
    </row>
    <row r="4855" spans="1:9">
      <c r="A4855" s="1">
        <v>10234</v>
      </c>
      <c r="B4855" s="1">
        <v>1</v>
      </c>
      <c r="C4855" s="2">
        <v>41678</v>
      </c>
      <c r="D4855" s="1" t="s">
        <v>2002</v>
      </c>
      <c r="E4855" s="1">
        <v>103161</v>
      </c>
      <c r="F4855" s="6" t="s">
        <v>6857</v>
      </c>
      <c r="G4855" s="15" t="str">
        <f>VLOOKUP(A4855,Movie!A:D,4,FALSE)</f>
        <v>Warner Brothers</v>
      </c>
      <c r="H4855" s="14">
        <f>VLOOKUP(E4855,'Rental Transaction'!A:B,2,FALSE)</f>
        <v>817500</v>
      </c>
      <c r="I4855">
        <f t="shared" si="75"/>
        <v>2014</v>
      </c>
    </row>
    <row r="4856" spans="1:9">
      <c r="A4856" s="1">
        <v>10274</v>
      </c>
      <c r="B4856" s="1">
        <v>6</v>
      </c>
      <c r="C4856" s="2">
        <v>41671</v>
      </c>
      <c r="D4856" s="1" t="s">
        <v>2002</v>
      </c>
      <c r="E4856" s="1">
        <v>103162</v>
      </c>
      <c r="F4856" s="6" t="s">
        <v>6858</v>
      </c>
      <c r="G4856" s="15" t="str">
        <f>VLOOKUP(A4856,Movie!A:D,4,FALSE)</f>
        <v>Fox</v>
      </c>
      <c r="H4856" s="14">
        <f>VLOOKUP(E4856,'Rental Transaction'!A:B,2,FALSE)</f>
        <v>386336</v>
      </c>
      <c r="I4856">
        <f t="shared" si="75"/>
        <v>2014</v>
      </c>
    </row>
    <row r="4857" spans="1:9">
      <c r="A4857" s="1">
        <v>10071</v>
      </c>
      <c r="B4857" s="1">
        <v>1</v>
      </c>
      <c r="C4857" s="2">
        <v>41672</v>
      </c>
      <c r="D4857" s="1" t="s">
        <v>2005</v>
      </c>
      <c r="E4857" s="1">
        <v>103164</v>
      </c>
      <c r="F4857" s="6" t="s">
        <v>6859</v>
      </c>
      <c r="G4857" s="15" t="str">
        <f>VLOOKUP(A4857,Movie!A:D,4,FALSE)</f>
        <v>Paramount</v>
      </c>
      <c r="H4857" s="14">
        <f>VLOOKUP(E4857,'Rental Transaction'!A:B,2,FALSE)</f>
        <v>296886</v>
      </c>
      <c r="I4857">
        <f t="shared" si="75"/>
        <v>2014</v>
      </c>
    </row>
    <row r="4858" spans="1:9">
      <c r="A4858" s="1">
        <v>10268</v>
      </c>
      <c r="B4858" s="1">
        <v>5</v>
      </c>
      <c r="C4858" s="2">
        <v>41671</v>
      </c>
      <c r="D4858" s="1" t="s">
        <v>2002</v>
      </c>
      <c r="E4858" s="1">
        <v>103164</v>
      </c>
      <c r="F4858" s="6" t="s">
        <v>6860</v>
      </c>
      <c r="G4858" s="15" t="str">
        <f>VLOOKUP(A4858,Movie!A:D,4,FALSE)</f>
        <v>Buena Vista</v>
      </c>
      <c r="H4858" s="14">
        <f>VLOOKUP(E4858,'Rental Transaction'!A:B,2,FALSE)</f>
        <v>296886</v>
      </c>
      <c r="I4858">
        <f t="shared" si="75"/>
        <v>2014</v>
      </c>
    </row>
    <row r="4859" spans="1:9">
      <c r="A4859" s="1">
        <v>10195</v>
      </c>
      <c r="B4859" s="1">
        <v>1</v>
      </c>
      <c r="C4859" s="2">
        <v>41672</v>
      </c>
      <c r="D4859" s="1" t="s">
        <v>2002</v>
      </c>
      <c r="E4859" s="1">
        <v>103167</v>
      </c>
      <c r="F4859" s="6" t="s">
        <v>6861</v>
      </c>
      <c r="G4859" s="15" t="str">
        <f>VLOOKUP(A4859,Movie!A:D,4,FALSE)</f>
        <v>Sony</v>
      </c>
      <c r="H4859" s="14">
        <f>VLOOKUP(E4859,'Rental Transaction'!A:B,2,FALSE)</f>
        <v>590517</v>
      </c>
      <c r="I4859">
        <f t="shared" si="75"/>
        <v>2014</v>
      </c>
    </row>
    <row r="4860" spans="1:9">
      <c r="A4860" s="1">
        <v>10150</v>
      </c>
      <c r="B4860" s="1">
        <v>10</v>
      </c>
      <c r="C4860" s="2">
        <v>41673</v>
      </c>
      <c r="D4860" s="1" t="s">
        <v>2002</v>
      </c>
      <c r="E4860" s="1">
        <v>103169</v>
      </c>
      <c r="F4860" s="6" t="s">
        <v>6862</v>
      </c>
      <c r="G4860" s="15" t="str">
        <f>VLOOKUP(A4860,Movie!A:D,4,FALSE)</f>
        <v>Focus</v>
      </c>
      <c r="H4860" s="14">
        <f>VLOOKUP(E4860,'Rental Transaction'!A:B,2,FALSE)</f>
        <v>297686</v>
      </c>
      <c r="I4860">
        <f t="shared" si="75"/>
        <v>2014</v>
      </c>
    </row>
    <row r="4861" spans="1:9">
      <c r="A4861" s="1">
        <v>10352</v>
      </c>
      <c r="B4861" s="1">
        <v>3</v>
      </c>
      <c r="C4861" s="2">
        <v>41674</v>
      </c>
      <c r="D4861" s="1" t="s">
        <v>2002</v>
      </c>
      <c r="E4861" s="1">
        <v>103170</v>
      </c>
      <c r="F4861" s="6" t="s">
        <v>6863</v>
      </c>
      <c r="G4861" s="15" t="str">
        <f>VLOOKUP(A4861,Movie!A:D,4,FALSE)</f>
        <v>Warner Brothers</v>
      </c>
      <c r="H4861" s="14">
        <f>VLOOKUP(E4861,'Rental Transaction'!A:B,2,FALSE)</f>
        <v>158310</v>
      </c>
      <c r="I4861">
        <f t="shared" si="75"/>
        <v>2014</v>
      </c>
    </row>
    <row r="4862" spans="1:9" ht="29.25">
      <c r="A4862" s="1">
        <v>10144</v>
      </c>
      <c r="B4862" s="1">
        <v>8</v>
      </c>
      <c r="C4862" s="2">
        <v>41675</v>
      </c>
      <c r="D4862" s="1" t="s">
        <v>2002</v>
      </c>
      <c r="E4862" s="1">
        <v>103171</v>
      </c>
      <c r="F4862" s="6" t="s">
        <v>6864</v>
      </c>
      <c r="G4862" s="15" t="str">
        <f>VLOOKUP(A4862,Movie!A:D,4,FALSE)</f>
        <v>Weinstein Company</v>
      </c>
      <c r="H4862" s="14">
        <f>VLOOKUP(E4862,'Rental Transaction'!A:B,2,FALSE)</f>
        <v>487346</v>
      </c>
      <c r="I4862">
        <f t="shared" si="75"/>
        <v>2014</v>
      </c>
    </row>
    <row r="4863" spans="1:9">
      <c r="A4863" s="1">
        <v>10010</v>
      </c>
      <c r="B4863" s="1">
        <v>4</v>
      </c>
      <c r="C4863" s="2">
        <v>41672</v>
      </c>
      <c r="D4863" s="1" t="s">
        <v>2002</v>
      </c>
      <c r="E4863" s="1">
        <v>103172</v>
      </c>
      <c r="F4863" s="6" t="s">
        <v>6865</v>
      </c>
      <c r="G4863" s="15" t="str">
        <f>VLOOKUP(A4863,Movie!A:D,4,FALSE)</f>
        <v>Buena Vista</v>
      </c>
      <c r="H4863" s="14">
        <f>VLOOKUP(E4863,'Rental Transaction'!A:B,2,FALSE)</f>
        <v>137696</v>
      </c>
      <c r="I4863">
        <f t="shared" si="75"/>
        <v>2014</v>
      </c>
    </row>
    <row r="4864" spans="1:9">
      <c r="A4864" s="1">
        <v>10176</v>
      </c>
      <c r="B4864" s="1">
        <v>8</v>
      </c>
      <c r="C4864" s="2">
        <v>41673</v>
      </c>
      <c r="D4864" s="1" t="s">
        <v>2005</v>
      </c>
      <c r="E4864" s="1">
        <v>103172</v>
      </c>
      <c r="F4864" s="6" t="s">
        <v>6866</v>
      </c>
      <c r="G4864" s="15" t="str">
        <f>VLOOKUP(A4864,Movie!A:D,4,FALSE)</f>
        <v>Universal</v>
      </c>
      <c r="H4864" s="14">
        <f>VLOOKUP(E4864,'Rental Transaction'!A:B,2,FALSE)</f>
        <v>137696</v>
      </c>
      <c r="I4864">
        <f t="shared" si="75"/>
        <v>2014</v>
      </c>
    </row>
    <row r="4865" spans="1:9">
      <c r="A4865" s="1">
        <v>10271</v>
      </c>
      <c r="B4865" s="1">
        <v>4</v>
      </c>
      <c r="C4865" s="2">
        <v>41672</v>
      </c>
      <c r="D4865" s="1" t="s">
        <v>2002</v>
      </c>
      <c r="E4865" s="1">
        <v>103173</v>
      </c>
      <c r="F4865" s="6" t="s">
        <v>6867</v>
      </c>
      <c r="G4865" s="15" t="str">
        <f>VLOOKUP(A4865,Movie!A:D,4,FALSE)</f>
        <v>Universal</v>
      </c>
      <c r="H4865" s="14">
        <f>VLOOKUP(E4865,'Rental Transaction'!A:B,2,FALSE)</f>
        <v>879173</v>
      </c>
      <c r="I4865">
        <f t="shared" si="75"/>
        <v>2014</v>
      </c>
    </row>
    <row r="4866" spans="1:9">
      <c r="A4866" s="1">
        <v>10115</v>
      </c>
      <c r="B4866" s="1">
        <v>5</v>
      </c>
      <c r="C4866" s="2">
        <v>41677</v>
      </c>
      <c r="D4866" s="1" t="s">
        <v>2002</v>
      </c>
      <c r="E4866" s="1">
        <v>103174</v>
      </c>
      <c r="F4866" s="6" t="s">
        <v>6868</v>
      </c>
      <c r="G4866" s="15" t="str">
        <f>VLOOKUP(A4866,Movie!A:D,4,FALSE)</f>
        <v>Open Road Films</v>
      </c>
      <c r="H4866" s="14">
        <f>VLOOKUP(E4866,'Rental Transaction'!A:B,2,FALSE)</f>
        <v>679354</v>
      </c>
      <c r="I4866">
        <f t="shared" si="75"/>
        <v>2014</v>
      </c>
    </row>
    <row r="4867" spans="1:9">
      <c r="A4867" s="1">
        <v>10054</v>
      </c>
      <c r="B4867" s="1">
        <v>6</v>
      </c>
      <c r="C4867" s="2">
        <v>41674</v>
      </c>
      <c r="D4867" s="1" t="s">
        <v>2002</v>
      </c>
      <c r="E4867" s="1">
        <v>103176</v>
      </c>
      <c r="F4867" s="6" t="s">
        <v>6869</v>
      </c>
      <c r="G4867" s="15" t="str">
        <f>VLOOKUP(A4867,Movie!A:D,4,FALSE)</f>
        <v>Paramount</v>
      </c>
      <c r="H4867" s="14">
        <f>VLOOKUP(E4867,'Rental Transaction'!A:B,2,FALSE)</f>
        <v>742620</v>
      </c>
      <c r="I4867">
        <f t="shared" ref="I4867:I4930" si="76">YEAR(C4867)</f>
        <v>2014</v>
      </c>
    </row>
    <row r="4868" spans="1:9" ht="29.25">
      <c r="A4868" s="1">
        <v>10285</v>
      </c>
      <c r="B4868" s="1">
        <v>10</v>
      </c>
      <c r="C4868" s="2">
        <v>41677</v>
      </c>
      <c r="D4868" s="1" t="s">
        <v>2002</v>
      </c>
      <c r="E4868" s="1">
        <v>103176</v>
      </c>
      <c r="F4868" s="6" t="s">
        <v>6870</v>
      </c>
      <c r="G4868" s="15" t="str">
        <f>VLOOKUP(A4868,Movie!A:D,4,FALSE)</f>
        <v>Roadside Attractions</v>
      </c>
      <c r="H4868" s="14">
        <f>VLOOKUP(E4868,'Rental Transaction'!A:B,2,FALSE)</f>
        <v>742620</v>
      </c>
      <c r="I4868">
        <f t="shared" si="76"/>
        <v>2014</v>
      </c>
    </row>
    <row r="4869" spans="1:9">
      <c r="A4869" s="1">
        <v>10197</v>
      </c>
      <c r="B4869" s="1">
        <v>7</v>
      </c>
      <c r="C4869" s="2">
        <v>41675</v>
      </c>
      <c r="D4869" s="1" t="s">
        <v>2002</v>
      </c>
      <c r="E4869" s="1">
        <v>103177</v>
      </c>
      <c r="F4869" s="6" t="s">
        <v>6871</v>
      </c>
      <c r="G4869" s="15" t="str">
        <f>VLOOKUP(A4869,Movie!A:D,4,FALSE)</f>
        <v>Warner Brothers</v>
      </c>
      <c r="H4869" s="14">
        <f>VLOOKUP(E4869,'Rental Transaction'!A:B,2,FALSE)</f>
        <v>435907</v>
      </c>
      <c r="I4869">
        <f t="shared" si="76"/>
        <v>2014</v>
      </c>
    </row>
    <row r="4870" spans="1:9">
      <c r="A4870" s="1">
        <v>10243</v>
      </c>
      <c r="B4870" s="1">
        <v>7</v>
      </c>
      <c r="C4870" s="2">
        <v>41674</v>
      </c>
      <c r="D4870" s="1" t="s">
        <v>2002</v>
      </c>
      <c r="E4870" s="1">
        <v>103178</v>
      </c>
      <c r="F4870" s="6" t="s">
        <v>6872</v>
      </c>
      <c r="G4870" s="15" t="str">
        <f>VLOOKUP(A4870,Movie!A:D,4,FALSE)</f>
        <v>Fox</v>
      </c>
      <c r="H4870" s="14">
        <f>VLOOKUP(E4870,'Rental Transaction'!A:B,2,FALSE)</f>
        <v>227372</v>
      </c>
      <c r="I4870">
        <f t="shared" si="76"/>
        <v>2014</v>
      </c>
    </row>
    <row r="4871" spans="1:9">
      <c r="A4871" s="1">
        <v>10231</v>
      </c>
      <c r="B4871" s="1">
        <v>10</v>
      </c>
      <c r="C4871" s="2">
        <v>41673</v>
      </c>
      <c r="D4871" s="1" t="s">
        <v>2002</v>
      </c>
      <c r="E4871" s="1">
        <v>103179</v>
      </c>
      <c r="F4871" s="6" t="s">
        <v>6873</v>
      </c>
      <c r="G4871" s="15" t="str">
        <f>VLOOKUP(A4871,Movie!A:D,4,FALSE)</f>
        <v>Universal</v>
      </c>
      <c r="H4871" s="14">
        <f>VLOOKUP(E4871,'Rental Transaction'!A:B,2,FALSE)</f>
        <v>190721</v>
      </c>
      <c r="I4871">
        <f t="shared" si="76"/>
        <v>2014</v>
      </c>
    </row>
    <row r="4872" spans="1:9">
      <c r="A4872" s="1">
        <v>10234</v>
      </c>
      <c r="B4872" s="1">
        <v>3</v>
      </c>
      <c r="C4872" s="2">
        <v>41678</v>
      </c>
      <c r="D4872" s="1" t="s">
        <v>2002</v>
      </c>
      <c r="E4872" s="1">
        <v>103181</v>
      </c>
      <c r="F4872" s="6" t="s">
        <v>6874</v>
      </c>
      <c r="G4872" s="15" t="str">
        <f>VLOOKUP(A4872,Movie!A:D,4,FALSE)</f>
        <v>Warner Brothers</v>
      </c>
      <c r="H4872" s="14">
        <f>VLOOKUP(E4872,'Rental Transaction'!A:B,2,FALSE)</f>
        <v>815980</v>
      </c>
      <c r="I4872">
        <f t="shared" si="76"/>
        <v>2014</v>
      </c>
    </row>
    <row r="4873" spans="1:9">
      <c r="A4873" s="1">
        <v>10291</v>
      </c>
      <c r="B4873" s="1">
        <v>10</v>
      </c>
      <c r="C4873" s="2">
        <v>41673</v>
      </c>
      <c r="D4873" s="1" t="s">
        <v>2002</v>
      </c>
      <c r="E4873" s="1">
        <v>103181</v>
      </c>
      <c r="F4873" s="6" t="s">
        <v>6875</v>
      </c>
      <c r="G4873" s="15" t="str">
        <f>VLOOKUP(A4873,Movie!A:D,4,FALSE)</f>
        <v>Warner Brothers</v>
      </c>
      <c r="H4873" s="14">
        <f>VLOOKUP(E4873,'Rental Transaction'!A:B,2,FALSE)</f>
        <v>815980</v>
      </c>
      <c r="I4873">
        <f t="shared" si="76"/>
        <v>2014</v>
      </c>
    </row>
    <row r="4874" spans="1:9">
      <c r="A4874" s="1">
        <v>10266</v>
      </c>
      <c r="B4874" s="1">
        <v>8</v>
      </c>
      <c r="C4874" s="2">
        <v>41677</v>
      </c>
      <c r="D4874" s="1" t="s">
        <v>2005</v>
      </c>
      <c r="E4874" s="1">
        <v>103182</v>
      </c>
      <c r="F4874" s="6" t="s">
        <v>6876</v>
      </c>
      <c r="G4874" s="15" t="str">
        <f>VLOOKUP(A4874,Movie!A:D,4,FALSE)</f>
        <v>Sony</v>
      </c>
      <c r="H4874" s="14">
        <f>VLOOKUP(E4874,'Rental Transaction'!A:B,2,FALSE)</f>
        <v>202612</v>
      </c>
      <c r="I4874">
        <f t="shared" si="76"/>
        <v>2014</v>
      </c>
    </row>
    <row r="4875" spans="1:9">
      <c r="A4875" s="1">
        <v>10116</v>
      </c>
      <c r="B4875" s="1">
        <v>10</v>
      </c>
      <c r="C4875" s="2">
        <v>41673</v>
      </c>
      <c r="D4875" s="1" t="s">
        <v>2002</v>
      </c>
      <c r="E4875" s="1">
        <v>103182</v>
      </c>
      <c r="F4875" s="6" t="s">
        <v>6877</v>
      </c>
      <c r="G4875" s="15" t="str">
        <f>VLOOKUP(A4875,Movie!A:D,4,FALSE)</f>
        <v>Universal</v>
      </c>
      <c r="H4875" s="14">
        <f>VLOOKUP(E4875,'Rental Transaction'!A:B,2,FALSE)</f>
        <v>202612</v>
      </c>
      <c r="I4875">
        <f t="shared" si="76"/>
        <v>2014</v>
      </c>
    </row>
    <row r="4876" spans="1:9" ht="29.25">
      <c r="A4876" s="1">
        <v>10285</v>
      </c>
      <c r="B4876" s="1">
        <v>5</v>
      </c>
      <c r="C4876" s="2">
        <v>41674</v>
      </c>
      <c r="D4876" s="1" t="s">
        <v>2005</v>
      </c>
      <c r="E4876" s="1">
        <v>103182</v>
      </c>
      <c r="F4876" s="6" t="s">
        <v>6878</v>
      </c>
      <c r="G4876" s="15" t="str">
        <f>VLOOKUP(A4876,Movie!A:D,4,FALSE)</f>
        <v>Roadside Attractions</v>
      </c>
      <c r="H4876" s="14">
        <f>VLOOKUP(E4876,'Rental Transaction'!A:B,2,FALSE)</f>
        <v>202612</v>
      </c>
      <c r="I4876">
        <f t="shared" si="76"/>
        <v>2014</v>
      </c>
    </row>
    <row r="4877" spans="1:9">
      <c r="A4877" s="1">
        <v>10079</v>
      </c>
      <c r="B4877" s="1">
        <v>7</v>
      </c>
      <c r="C4877" s="2">
        <v>41674</v>
      </c>
      <c r="D4877" s="1" t="s">
        <v>2005</v>
      </c>
      <c r="E4877" s="1">
        <v>103185</v>
      </c>
      <c r="F4877" s="6" t="s">
        <v>6879</v>
      </c>
      <c r="G4877" s="15" t="str">
        <f>VLOOKUP(A4877,Movie!A:D,4,FALSE)</f>
        <v>Warner Brothers</v>
      </c>
      <c r="H4877" s="14">
        <f>VLOOKUP(E4877,'Rental Transaction'!A:B,2,FALSE)</f>
        <v>147216</v>
      </c>
      <c r="I4877">
        <f t="shared" si="76"/>
        <v>2014</v>
      </c>
    </row>
    <row r="4878" spans="1:9">
      <c r="A4878" s="1">
        <v>10138</v>
      </c>
      <c r="B4878" s="1">
        <v>1</v>
      </c>
      <c r="C4878" s="2">
        <v>41674</v>
      </c>
      <c r="D4878" s="1" t="s">
        <v>2002</v>
      </c>
      <c r="E4878" s="1">
        <v>103186</v>
      </c>
      <c r="F4878" s="6" t="s">
        <v>6880</v>
      </c>
      <c r="G4878" s="15" t="str">
        <f>VLOOKUP(A4878,Movie!A:D,4,FALSE)</f>
        <v>Universal</v>
      </c>
      <c r="H4878" s="14">
        <f>VLOOKUP(E4878,'Rental Transaction'!A:B,2,FALSE)</f>
        <v>884607</v>
      </c>
      <c r="I4878">
        <f t="shared" si="76"/>
        <v>2014</v>
      </c>
    </row>
    <row r="4879" spans="1:9">
      <c r="A4879" s="1">
        <v>10274</v>
      </c>
      <c r="B4879" s="1">
        <v>4</v>
      </c>
      <c r="C4879" s="2">
        <v>41674</v>
      </c>
      <c r="D4879" s="1" t="s">
        <v>2002</v>
      </c>
      <c r="E4879" s="1">
        <v>103186</v>
      </c>
      <c r="F4879" s="6" t="s">
        <v>6881</v>
      </c>
      <c r="G4879" s="15" t="str">
        <f>VLOOKUP(A4879,Movie!A:D,4,FALSE)</f>
        <v>Fox</v>
      </c>
      <c r="H4879" s="14">
        <f>VLOOKUP(E4879,'Rental Transaction'!A:B,2,FALSE)</f>
        <v>884607</v>
      </c>
      <c r="I4879">
        <f t="shared" si="76"/>
        <v>2014</v>
      </c>
    </row>
    <row r="4880" spans="1:9">
      <c r="A4880" s="1">
        <v>10247</v>
      </c>
      <c r="B4880" s="1">
        <v>7</v>
      </c>
      <c r="C4880" s="2">
        <v>41674</v>
      </c>
      <c r="D4880" s="1" t="s">
        <v>2002</v>
      </c>
      <c r="E4880" s="1">
        <v>103187</v>
      </c>
      <c r="F4880" s="6" t="s">
        <v>6882</v>
      </c>
      <c r="G4880" s="15" t="str">
        <f>VLOOKUP(A4880,Movie!A:D,4,FALSE)</f>
        <v>Fox</v>
      </c>
      <c r="H4880" s="14">
        <f>VLOOKUP(E4880,'Rental Transaction'!A:B,2,FALSE)</f>
        <v>301793</v>
      </c>
      <c r="I4880">
        <f t="shared" si="76"/>
        <v>2014</v>
      </c>
    </row>
    <row r="4881" spans="1:9">
      <c r="A4881" s="1">
        <v>10175</v>
      </c>
      <c r="B4881" s="1">
        <v>3</v>
      </c>
      <c r="C4881" s="2">
        <v>41674</v>
      </c>
      <c r="D4881" s="1" t="s">
        <v>2005</v>
      </c>
      <c r="E4881" s="1">
        <v>103189</v>
      </c>
      <c r="F4881" s="6" t="s">
        <v>6883</v>
      </c>
      <c r="G4881" s="15" t="str">
        <f>VLOOKUP(A4881,Movie!A:D,4,FALSE)</f>
        <v>Buena Vista</v>
      </c>
      <c r="H4881" s="14">
        <f>VLOOKUP(E4881,'Rental Transaction'!A:B,2,FALSE)</f>
        <v>429748</v>
      </c>
      <c r="I4881">
        <f t="shared" si="76"/>
        <v>2014</v>
      </c>
    </row>
    <row r="4882" spans="1:9">
      <c r="A4882" s="1">
        <v>10198</v>
      </c>
      <c r="B4882" s="1">
        <v>10</v>
      </c>
      <c r="C4882" s="2">
        <v>41675</v>
      </c>
      <c r="D4882" s="1" t="s">
        <v>2002</v>
      </c>
      <c r="E4882" s="1">
        <v>103189</v>
      </c>
      <c r="F4882" s="6" t="s">
        <v>6884</v>
      </c>
      <c r="G4882" s="15" t="str">
        <f>VLOOKUP(A4882,Movie!A:D,4,FALSE)</f>
        <v>Fox</v>
      </c>
      <c r="H4882" s="14">
        <f>VLOOKUP(E4882,'Rental Transaction'!A:B,2,FALSE)</f>
        <v>429748</v>
      </c>
      <c r="I4882">
        <f t="shared" si="76"/>
        <v>2014</v>
      </c>
    </row>
    <row r="4883" spans="1:9">
      <c r="A4883" s="1">
        <v>10177</v>
      </c>
      <c r="B4883" s="1">
        <v>1</v>
      </c>
      <c r="C4883" s="2">
        <v>41675</v>
      </c>
      <c r="D4883" s="1" t="s">
        <v>2002</v>
      </c>
      <c r="E4883" s="1">
        <v>103189</v>
      </c>
      <c r="F4883" s="6" t="s">
        <v>6885</v>
      </c>
      <c r="G4883" s="15" t="str">
        <f>VLOOKUP(A4883,Movie!A:D,4,FALSE)</f>
        <v>Fox</v>
      </c>
      <c r="H4883" s="14">
        <f>VLOOKUP(E4883,'Rental Transaction'!A:B,2,FALSE)</f>
        <v>429748</v>
      </c>
      <c r="I4883">
        <f t="shared" si="76"/>
        <v>2014</v>
      </c>
    </row>
    <row r="4884" spans="1:9">
      <c r="A4884" s="1">
        <v>10288</v>
      </c>
      <c r="B4884" s="1">
        <v>1</v>
      </c>
      <c r="C4884" s="2">
        <v>41677</v>
      </c>
      <c r="D4884" s="1" t="s">
        <v>2002</v>
      </c>
      <c r="E4884" s="1">
        <v>103195</v>
      </c>
      <c r="F4884" s="6" t="s">
        <v>6886</v>
      </c>
      <c r="G4884" s="15" t="str">
        <f>VLOOKUP(A4884,Movie!A:D,4,FALSE)</f>
        <v>Relativity</v>
      </c>
      <c r="H4884" s="14">
        <f>VLOOKUP(E4884,'Rental Transaction'!A:B,2,FALSE)</f>
        <v>563500</v>
      </c>
      <c r="I4884">
        <f t="shared" si="76"/>
        <v>2014</v>
      </c>
    </row>
    <row r="4885" spans="1:9">
      <c r="A4885" s="1">
        <v>10265</v>
      </c>
      <c r="B4885" s="1">
        <v>8</v>
      </c>
      <c r="C4885" s="2">
        <v>41679</v>
      </c>
      <c r="D4885" s="1" t="s">
        <v>2002</v>
      </c>
      <c r="E4885" s="1">
        <v>103195</v>
      </c>
      <c r="F4885" s="6" t="s">
        <v>6887</v>
      </c>
      <c r="G4885" s="15" t="str">
        <f>VLOOKUP(A4885,Movie!A:D,4,FALSE)</f>
        <v>Warner Brothers</v>
      </c>
      <c r="H4885" s="14">
        <f>VLOOKUP(E4885,'Rental Transaction'!A:B,2,FALSE)</f>
        <v>563500</v>
      </c>
      <c r="I4885">
        <f t="shared" si="76"/>
        <v>2014</v>
      </c>
    </row>
    <row r="4886" spans="1:9">
      <c r="A4886" s="1">
        <v>10131</v>
      </c>
      <c r="B4886" s="1">
        <v>9</v>
      </c>
      <c r="C4886" s="2">
        <v>41676</v>
      </c>
      <c r="D4886" s="1" t="s">
        <v>2002</v>
      </c>
      <c r="E4886" s="1">
        <v>103200</v>
      </c>
      <c r="F4886" s="6" t="s">
        <v>6888</v>
      </c>
      <c r="G4886" s="15" t="str">
        <f>VLOOKUP(A4886,Movie!A:D,4,FALSE)</f>
        <v>Warner Brothers</v>
      </c>
      <c r="H4886" s="14">
        <f>VLOOKUP(E4886,'Rental Transaction'!A:B,2,FALSE)</f>
        <v>938417</v>
      </c>
      <c r="I4886">
        <f t="shared" si="76"/>
        <v>2014</v>
      </c>
    </row>
    <row r="4887" spans="1:9">
      <c r="A4887" s="1">
        <v>10274</v>
      </c>
      <c r="B4887" s="1">
        <v>7</v>
      </c>
      <c r="C4887" s="2">
        <v>41678</v>
      </c>
      <c r="D4887" s="1" t="s">
        <v>2005</v>
      </c>
      <c r="E4887" s="1">
        <v>103201</v>
      </c>
      <c r="F4887" s="6" t="s">
        <v>6889</v>
      </c>
      <c r="G4887" s="15" t="str">
        <f>VLOOKUP(A4887,Movie!A:D,4,FALSE)</f>
        <v>Fox</v>
      </c>
      <c r="H4887" s="14">
        <f>VLOOKUP(E4887,'Rental Transaction'!A:B,2,FALSE)</f>
        <v>426830</v>
      </c>
      <c r="I4887">
        <f t="shared" si="76"/>
        <v>2014</v>
      </c>
    </row>
    <row r="4888" spans="1:9">
      <c r="A4888" s="1">
        <v>10182</v>
      </c>
      <c r="B4888" s="1">
        <v>8</v>
      </c>
      <c r="C4888" s="2">
        <v>41676</v>
      </c>
      <c r="D4888" s="1" t="s">
        <v>2002</v>
      </c>
      <c r="E4888" s="1">
        <v>103201</v>
      </c>
      <c r="F4888" s="6" t="s">
        <v>6890</v>
      </c>
      <c r="G4888" s="15" t="str">
        <f>VLOOKUP(A4888,Movie!A:D,4,FALSE)</f>
        <v>Warner Brothers</v>
      </c>
      <c r="H4888" s="14">
        <f>VLOOKUP(E4888,'Rental Transaction'!A:B,2,FALSE)</f>
        <v>426830</v>
      </c>
      <c r="I4888">
        <f t="shared" si="76"/>
        <v>2014</v>
      </c>
    </row>
    <row r="4889" spans="1:9">
      <c r="A4889" s="1">
        <v>10297</v>
      </c>
      <c r="B4889" s="1">
        <v>8</v>
      </c>
      <c r="C4889" s="2">
        <v>41676</v>
      </c>
      <c r="D4889" s="1" t="s">
        <v>2002</v>
      </c>
      <c r="E4889" s="1">
        <v>103201</v>
      </c>
      <c r="F4889" s="6" t="s">
        <v>6891</v>
      </c>
      <c r="G4889" s="15" t="str">
        <f>VLOOKUP(A4889,Movie!A:D,4,FALSE)</f>
        <v>Focus</v>
      </c>
      <c r="H4889" s="14">
        <f>VLOOKUP(E4889,'Rental Transaction'!A:B,2,FALSE)</f>
        <v>426830</v>
      </c>
      <c r="I4889">
        <f t="shared" si="76"/>
        <v>2014</v>
      </c>
    </row>
    <row r="4890" spans="1:9">
      <c r="A4890" s="1">
        <v>10272</v>
      </c>
      <c r="B4890" s="1">
        <v>1</v>
      </c>
      <c r="C4890" s="2">
        <v>41676</v>
      </c>
      <c r="D4890" s="1" t="s">
        <v>2002</v>
      </c>
      <c r="E4890" s="1">
        <v>103201</v>
      </c>
      <c r="F4890" s="6" t="s">
        <v>6892</v>
      </c>
      <c r="G4890" s="15" t="str">
        <f>VLOOKUP(A4890,Movie!A:D,4,FALSE)</f>
        <v>Sony</v>
      </c>
      <c r="H4890" s="14">
        <f>VLOOKUP(E4890,'Rental Transaction'!A:B,2,FALSE)</f>
        <v>426830</v>
      </c>
      <c r="I4890">
        <f t="shared" si="76"/>
        <v>2014</v>
      </c>
    </row>
    <row r="4891" spans="1:9">
      <c r="A4891" s="1">
        <v>10275</v>
      </c>
      <c r="B4891" s="1">
        <v>3</v>
      </c>
      <c r="C4891" s="2">
        <v>41677</v>
      </c>
      <c r="D4891" s="1" t="s">
        <v>2002</v>
      </c>
      <c r="E4891" s="1">
        <v>103203</v>
      </c>
      <c r="F4891" s="6" t="s">
        <v>6893</v>
      </c>
      <c r="G4891" s="15" t="str">
        <f>VLOOKUP(A4891,Movie!A:D,4,FALSE)</f>
        <v>Lionsgate</v>
      </c>
      <c r="H4891" s="14">
        <f>VLOOKUP(E4891,'Rental Transaction'!A:B,2,FALSE)</f>
        <v>905670</v>
      </c>
      <c r="I4891">
        <f t="shared" si="76"/>
        <v>2014</v>
      </c>
    </row>
    <row r="4892" spans="1:9">
      <c r="A4892" s="1">
        <v>10147</v>
      </c>
      <c r="B4892" s="1">
        <v>8</v>
      </c>
      <c r="C4892" s="2">
        <v>41676</v>
      </c>
      <c r="D4892" s="1" t="s">
        <v>2002</v>
      </c>
      <c r="E4892" s="1">
        <v>103204</v>
      </c>
      <c r="F4892" s="6" t="s">
        <v>6894</v>
      </c>
      <c r="G4892" s="15" t="str">
        <f>VLOOKUP(A4892,Movie!A:D,4,FALSE)</f>
        <v>Lionsgate</v>
      </c>
      <c r="H4892" s="14">
        <f>VLOOKUP(E4892,'Rental Transaction'!A:B,2,FALSE)</f>
        <v>441628</v>
      </c>
      <c r="I4892">
        <f t="shared" si="76"/>
        <v>2014</v>
      </c>
    </row>
    <row r="4893" spans="1:9">
      <c r="A4893" s="1">
        <v>10166</v>
      </c>
      <c r="B4893" s="1">
        <v>10</v>
      </c>
      <c r="C4893" s="2">
        <v>41677</v>
      </c>
      <c r="D4893" s="1" t="s">
        <v>2002</v>
      </c>
      <c r="E4893" s="1">
        <v>103206</v>
      </c>
      <c r="F4893" s="6" t="s">
        <v>6895</v>
      </c>
      <c r="G4893" s="15" t="str">
        <f>VLOOKUP(A4893,Movie!A:D,4,FALSE)</f>
        <v>Fox</v>
      </c>
      <c r="H4893" s="14">
        <f>VLOOKUP(E4893,'Rental Transaction'!A:B,2,FALSE)</f>
        <v>826590</v>
      </c>
      <c r="I4893">
        <f t="shared" si="76"/>
        <v>2014</v>
      </c>
    </row>
    <row r="4894" spans="1:9">
      <c r="A4894" s="1">
        <v>10233</v>
      </c>
      <c r="B4894" s="1">
        <v>3</v>
      </c>
      <c r="C4894" s="2">
        <v>41678</v>
      </c>
      <c r="D4894" s="1" t="s">
        <v>2002</v>
      </c>
      <c r="E4894" s="1">
        <v>103209</v>
      </c>
      <c r="F4894" s="6" t="s">
        <v>6896</v>
      </c>
      <c r="G4894" s="15" t="str">
        <f>VLOOKUP(A4894,Movie!A:D,4,FALSE)</f>
        <v>Screen Gems</v>
      </c>
      <c r="H4894" s="14">
        <f>VLOOKUP(E4894,'Rental Transaction'!A:B,2,FALSE)</f>
        <v>245577</v>
      </c>
      <c r="I4894">
        <f t="shared" si="76"/>
        <v>2014</v>
      </c>
    </row>
    <row r="4895" spans="1:9">
      <c r="A4895" s="1">
        <v>10270</v>
      </c>
      <c r="B4895" s="1">
        <v>1</v>
      </c>
      <c r="C4895" s="2">
        <v>41677</v>
      </c>
      <c r="D4895" s="1" t="s">
        <v>2002</v>
      </c>
      <c r="E4895" s="1">
        <v>103211</v>
      </c>
      <c r="F4895" s="6" t="s">
        <v>6897</v>
      </c>
      <c r="G4895" s="15" t="str">
        <f>VLOOKUP(A4895,Movie!A:D,4,FALSE)</f>
        <v>Fox</v>
      </c>
      <c r="H4895" s="14">
        <f>VLOOKUP(E4895,'Rental Transaction'!A:B,2,FALSE)</f>
        <v>498970</v>
      </c>
      <c r="I4895">
        <f t="shared" si="76"/>
        <v>2014</v>
      </c>
    </row>
    <row r="4896" spans="1:9">
      <c r="A4896" s="1">
        <v>10201</v>
      </c>
      <c r="B4896" s="1">
        <v>7</v>
      </c>
      <c r="C4896" s="2">
        <v>41678</v>
      </c>
      <c r="D4896" s="1" t="s">
        <v>2002</v>
      </c>
      <c r="E4896" s="1">
        <v>103212</v>
      </c>
      <c r="F4896" s="6" t="s">
        <v>6898</v>
      </c>
      <c r="G4896" s="15" t="str">
        <f>VLOOKUP(A4896,Movie!A:D,4,FALSE)</f>
        <v>Screen Gems</v>
      </c>
      <c r="H4896" s="14">
        <f>VLOOKUP(E4896,'Rental Transaction'!A:B,2,FALSE)</f>
        <v>738357</v>
      </c>
      <c r="I4896">
        <f t="shared" si="76"/>
        <v>2014</v>
      </c>
    </row>
    <row r="4897" spans="1:9">
      <c r="A4897" s="1">
        <v>10157</v>
      </c>
      <c r="B4897" s="1">
        <v>1</v>
      </c>
      <c r="C4897" s="2">
        <v>41679</v>
      </c>
      <c r="D4897" s="1" t="s">
        <v>2005</v>
      </c>
      <c r="E4897" s="1">
        <v>103212</v>
      </c>
      <c r="F4897" s="6" t="s">
        <v>6899</v>
      </c>
      <c r="G4897" s="15" t="str">
        <f>VLOOKUP(A4897,Movie!A:D,4,FALSE)</f>
        <v>Paramount</v>
      </c>
      <c r="H4897" s="14">
        <f>VLOOKUP(E4897,'Rental Transaction'!A:B,2,FALSE)</f>
        <v>738357</v>
      </c>
      <c r="I4897">
        <f t="shared" si="76"/>
        <v>2014</v>
      </c>
    </row>
    <row r="4898" spans="1:9">
      <c r="A4898" s="1">
        <v>10289</v>
      </c>
      <c r="B4898" s="1">
        <v>5</v>
      </c>
      <c r="C4898" s="2">
        <v>41678</v>
      </c>
      <c r="D4898" s="1" t="s">
        <v>2002</v>
      </c>
      <c r="E4898" s="1">
        <v>103212</v>
      </c>
      <c r="F4898" s="6" t="s">
        <v>6900</v>
      </c>
      <c r="G4898" s="15" t="str">
        <f>VLOOKUP(A4898,Movie!A:D,4,FALSE)</f>
        <v>Open Road Films</v>
      </c>
      <c r="H4898" s="14">
        <f>VLOOKUP(E4898,'Rental Transaction'!A:B,2,FALSE)</f>
        <v>738357</v>
      </c>
      <c r="I4898">
        <f t="shared" si="76"/>
        <v>2014</v>
      </c>
    </row>
    <row r="4899" spans="1:9">
      <c r="A4899" s="1">
        <v>10299</v>
      </c>
      <c r="B4899" s="1">
        <v>5</v>
      </c>
      <c r="C4899" s="2">
        <v>41681</v>
      </c>
      <c r="D4899" s="1" t="s">
        <v>2002</v>
      </c>
      <c r="E4899" s="1">
        <v>103214</v>
      </c>
      <c r="F4899" s="6" t="s">
        <v>6901</v>
      </c>
      <c r="G4899" s="15" t="str">
        <f>VLOOKUP(A4899,Movie!A:D,4,FALSE)</f>
        <v>Radius-TWC</v>
      </c>
      <c r="H4899" s="14">
        <f>VLOOKUP(E4899,'Rental Transaction'!A:B,2,FALSE)</f>
        <v>549823</v>
      </c>
      <c r="I4899">
        <f t="shared" si="76"/>
        <v>2014</v>
      </c>
    </row>
    <row r="4900" spans="1:9" ht="29.25">
      <c r="A4900" s="1">
        <v>10136</v>
      </c>
      <c r="B4900" s="1">
        <v>8</v>
      </c>
      <c r="C4900" s="2">
        <v>41681</v>
      </c>
      <c r="D4900" s="1" t="s">
        <v>2002</v>
      </c>
      <c r="E4900" s="1">
        <v>103214</v>
      </c>
      <c r="F4900" s="6" t="s">
        <v>6902</v>
      </c>
      <c r="G4900" s="15" t="str">
        <f>VLOOKUP(A4900,Movie!A:D,4,FALSE)</f>
        <v>Weinstein Company</v>
      </c>
      <c r="H4900" s="14">
        <f>VLOOKUP(E4900,'Rental Transaction'!A:B,2,FALSE)</f>
        <v>549823</v>
      </c>
      <c r="I4900">
        <f t="shared" si="76"/>
        <v>2014</v>
      </c>
    </row>
    <row r="4901" spans="1:9">
      <c r="A4901" s="1">
        <v>10243</v>
      </c>
      <c r="B4901" s="1">
        <v>2</v>
      </c>
      <c r="C4901" s="2">
        <v>41678</v>
      </c>
      <c r="D4901" s="1" t="s">
        <v>2002</v>
      </c>
      <c r="E4901" s="1">
        <v>103215</v>
      </c>
      <c r="F4901" s="6" t="s">
        <v>6903</v>
      </c>
      <c r="G4901" s="15" t="str">
        <f>VLOOKUP(A4901,Movie!A:D,4,FALSE)</f>
        <v>Fox</v>
      </c>
      <c r="H4901" s="14">
        <f>VLOOKUP(E4901,'Rental Transaction'!A:B,2,FALSE)</f>
        <v>759995</v>
      </c>
      <c r="I4901">
        <f t="shared" si="76"/>
        <v>2014</v>
      </c>
    </row>
    <row r="4902" spans="1:9">
      <c r="A4902" s="1">
        <v>10071</v>
      </c>
      <c r="B4902" s="1">
        <v>8</v>
      </c>
      <c r="C4902" s="2">
        <v>41680</v>
      </c>
      <c r="D4902" s="1" t="s">
        <v>2005</v>
      </c>
      <c r="E4902" s="1">
        <v>103216</v>
      </c>
      <c r="F4902" s="6" t="s">
        <v>6904</v>
      </c>
      <c r="G4902" s="15" t="str">
        <f>VLOOKUP(A4902,Movie!A:D,4,FALSE)</f>
        <v>Paramount</v>
      </c>
      <c r="H4902" s="14">
        <f>VLOOKUP(E4902,'Rental Transaction'!A:B,2,FALSE)</f>
        <v>747066</v>
      </c>
      <c r="I4902">
        <f t="shared" si="76"/>
        <v>2014</v>
      </c>
    </row>
    <row r="4903" spans="1:9">
      <c r="A4903" s="1">
        <v>10250</v>
      </c>
      <c r="B4903" s="1">
        <v>4</v>
      </c>
      <c r="C4903" s="2">
        <v>41678</v>
      </c>
      <c r="D4903" s="1" t="s">
        <v>2002</v>
      </c>
      <c r="E4903" s="1">
        <v>103218</v>
      </c>
      <c r="F4903" s="6" t="s">
        <v>6905</v>
      </c>
      <c r="G4903" s="15" t="str">
        <f>VLOOKUP(A4903,Movie!A:D,4,FALSE)</f>
        <v>Buena Vista</v>
      </c>
      <c r="H4903" s="14">
        <f>VLOOKUP(E4903,'Rental Transaction'!A:B,2,FALSE)</f>
        <v>695276</v>
      </c>
      <c r="I4903">
        <f t="shared" si="76"/>
        <v>2014</v>
      </c>
    </row>
    <row r="4904" spans="1:9">
      <c r="A4904" s="1">
        <v>10203</v>
      </c>
      <c r="B4904" s="1">
        <v>1</v>
      </c>
      <c r="C4904" s="2">
        <v>41679</v>
      </c>
      <c r="D4904" s="1" t="s">
        <v>2002</v>
      </c>
      <c r="E4904" s="1">
        <v>103222</v>
      </c>
      <c r="F4904" s="6" t="s">
        <v>6906</v>
      </c>
      <c r="G4904" s="15" t="str">
        <f>VLOOKUP(A4904,Movie!A:D,4,FALSE)</f>
        <v>Buena Vista</v>
      </c>
      <c r="H4904" s="14">
        <f>VLOOKUP(E4904,'Rental Transaction'!A:B,2,FALSE)</f>
        <v>478274</v>
      </c>
      <c r="I4904">
        <f t="shared" si="76"/>
        <v>2014</v>
      </c>
    </row>
    <row r="4905" spans="1:9">
      <c r="A4905" s="1">
        <v>10262</v>
      </c>
      <c r="B4905" s="1">
        <v>1</v>
      </c>
      <c r="C4905" s="2">
        <v>41679</v>
      </c>
      <c r="D4905" s="1" t="s">
        <v>2002</v>
      </c>
      <c r="E4905" s="1">
        <v>103223</v>
      </c>
      <c r="F4905" s="6" t="s">
        <v>6907</v>
      </c>
      <c r="G4905" s="15" t="str">
        <f>VLOOKUP(A4905,Movie!A:D,4,FALSE)</f>
        <v>Lionsgate</v>
      </c>
      <c r="H4905" s="14">
        <f>VLOOKUP(E4905,'Rental Transaction'!A:B,2,FALSE)</f>
        <v>860057</v>
      </c>
      <c r="I4905">
        <f t="shared" si="76"/>
        <v>2014</v>
      </c>
    </row>
    <row r="4906" spans="1:9">
      <c r="A4906" s="1">
        <v>10193</v>
      </c>
      <c r="B4906" s="1">
        <v>4</v>
      </c>
      <c r="C4906" s="2">
        <v>41680</v>
      </c>
      <c r="D4906" s="1" t="s">
        <v>2002</v>
      </c>
      <c r="E4906" s="1">
        <v>103225</v>
      </c>
      <c r="F4906" s="6" t="s">
        <v>6908</v>
      </c>
      <c r="G4906" s="15" t="str">
        <f>VLOOKUP(A4906,Movie!A:D,4,FALSE)</f>
        <v>Fox</v>
      </c>
      <c r="H4906" s="14">
        <f>VLOOKUP(E4906,'Rental Transaction'!A:B,2,FALSE)</f>
        <v>515753</v>
      </c>
      <c r="I4906">
        <f t="shared" si="76"/>
        <v>2014</v>
      </c>
    </row>
    <row r="4907" spans="1:9">
      <c r="A4907" s="1">
        <v>10119</v>
      </c>
      <c r="B4907" s="1">
        <v>7</v>
      </c>
      <c r="C4907" s="2">
        <v>41679</v>
      </c>
      <c r="D4907" s="1" t="s">
        <v>2005</v>
      </c>
      <c r="E4907" s="1">
        <v>103225</v>
      </c>
      <c r="F4907" s="6" t="s">
        <v>6909</v>
      </c>
      <c r="G4907" s="15" t="str">
        <f>VLOOKUP(A4907,Movie!A:D,4,FALSE)</f>
        <v>Universal</v>
      </c>
      <c r="H4907" s="14">
        <f>VLOOKUP(E4907,'Rental Transaction'!A:B,2,FALSE)</f>
        <v>515753</v>
      </c>
      <c r="I4907">
        <f t="shared" si="76"/>
        <v>2014</v>
      </c>
    </row>
    <row r="4908" spans="1:9">
      <c r="A4908" s="1">
        <v>10268</v>
      </c>
      <c r="B4908" s="1">
        <v>10</v>
      </c>
      <c r="C4908" s="2">
        <v>41682</v>
      </c>
      <c r="D4908" s="1" t="s">
        <v>2002</v>
      </c>
      <c r="E4908" s="1">
        <v>103227</v>
      </c>
      <c r="F4908" s="6" t="s">
        <v>6910</v>
      </c>
      <c r="G4908" s="15" t="str">
        <f>VLOOKUP(A4908,Movie!A:D,4,FALSE)</f>
        <v>Buena Vista</v>
      </c>
      <c r="H4908" s="14">
        <f>VLOOKUP(E4908,'Rental Transaction'!A:B,2,FALSE)</f>
        <v>433442</v>
      </c>
      <c r="I4908">
        <f t="shared" si="76"/>
        <v>2014</v>
      </c>
    </row>
    <row r="4909" spans="1:9">
      <c r="A4909" s="1">
        <v>10248</v>
      </c>
      <c r="B4909" s="1">
        <v>1</v>
      </c>
      <c r="C4909" s="2">
        <v>41680</v>
      </c>
      <c r="D4909" s="1" t="s">
        <v>2002</v>
      </c>
      <c r="E4909" s="1">
        <v>103231</v>
      </c>
      <c r="F4909" s="6" t="s">
        <v>6911</v>
      </c>
      <c r="G4909" s="15" t="str">
        <f>VLOOKUP(A4909,Movie!A:D,4,FALSE)</f>
        <v>Relativity</v>
      </c>
      <c r="H4909" s="14">
        <f>VLOOKUP(E4909,'Rental Transaction'!A:B,2,FALSE)</f>
        <v>265707</v>
      </c>
      <c r="I4909">
        <f t="shared" si="76"/>
        <v>2014</v>
      </c>
    </row>
    <row r="4910" spans="1:9">
      <c r="A4910" s="1">
        <v>10223</v>
      </c>
      <c r="B4910" s="1">
        <v>4</v>
      </c>
      <c r="C4910" s="2">
        <v>41681</v>
      </c>
      <c r="D4910" s="1" t="s">
        <v>2002</v>
      </c>
      <c r="E4910" s="1">
        <v>103232</v>
      </c>
      <c r="F4910" s="6" t="s">
        <v>6912</v>
      </c>
      <c r="G4910" s="15" t="str">
        <f>VLOOKUP(A4910,Movie!A:D,4,FALSE)</f>
        <v>Universal</v>
      </c>
      <c r="H4910" s="14">
        <f>VLOOKUP(E4910,'Rental Transaction'!A:B,2,FALSE)</f>
        <v>846722</v>
      </c>
      <c r="I4910">
        <f t="shared" si="76"/>
        <v>2014</v>
      </c>
    </row>
    <row r="4911" spans="1:9">
      <c r="A4911" s="1">
        <v>10011</v>
      </c>
      <c r="B4911" s="1">
        <v>10</v>
      </c>
      <c r="C4911" s="2">
        <v>41686</v>
      </c>
      <c r="D4911" s="1" t="s">
        <v>2002</v>
      </c>
      <c r="E4911" s="1">
        <v>103232</v>
      </c>
      <c r="F4911" s="6" t="s">
        <v>6913</v>
      </c>
      <c r="G4911" s="15" t="str">
        <f>VLOOKUP(A4911,Movie!A:D,4,FALSE)</f>
        <v>Buena Vista</v>
      </c>
      <c r="H4911" s="14">
        <f>VLOOKUP(E4911,'Rental Transaction'!A:B,2,FALSE)</f>
        <v>846722</v>
      </c>
      <c r="I4911">
        <f t="shared" si="76"/>
        <v>2014</v>
      </c>
    </row>
    <row r="4912" spans="1:9">
      <c r="A4912" s="1">
        <v>10242</v>
      </c>
      <c r="B4912" s="1">
        <v>10</v>
      </c>
      <c r="C4912" s="2">
        <v>41681</v>
      </c>
      <c r="D4912" s="1" t="s">
        <v>2002</v>
      </c>
      <c r="E4912" s="1">
        <v>103233</v>
      </c>
      <c r="F4912" s="6" t="s">
        <v>6914</v>
      </c>
      <c r="G4912" s="15" t="str">
        <f>VLOOKUP(A4912,Movie!A:D,4,FALSE)</f>
        <v>Buena Vista</v>
      </c>
      <c r="H4912" s="14">
        <f>VLOOKUP(E4912,'Rental Transaction'!A:B,2,FALSE)</f>
        <v>235720</v>
      </c>
      <c r="I4912">
        <f t="shared" si="76"/>
        <v>2014</v>
      </c>
    </row>
    <row r="4913" spans="1:9">
      <c r="A4913" s="1">
        <v>10158</v>
      </c>
      <c r="B4913" s="1">
        <v>5</v>
      </c>
      <c r="C4913" s="2">
        <v>41681</v>
      </c>
      <c r="D4913" s="1" t="s">
        <v>2002</v>
      </c>
      <c r="E4913" s="1">
        <v>103234</v>
      </c>
      <c r="F4913" s="6" t="s">
        <v>6915</v>
      </c>
      <c r="G4913" s="15" t="str">
        <f>VLOOKUP(A4913,Movie!A:D,4,FALSE)</f>
        <v>Warner Brothers</v>
      </c>
      <c r="H4913" s="14">
        <f>VLOOKUP(E4913,'Rental Transaction'!A:B,2,FALSE)</f>
        <v>408341</v>
      </c>
      <c r="I4913">
        <f t="shared" si="76"/>
        <v>2014</v>
      </c>
    </row>
    <row r="4914" spans="1:9">
      <c r="A4914" s="1">
        <v>10238</v>
      </c>
      <c r="B4914" s="1">
        <v>1</v>
      </c>
      <c r="C4914" s="2">
        <v>41681</v>
      </c>
      <c r="D4914" s="1" t="s">
        <v>2002</v>
      </c>
      <c r="E4914" s="1">
        <v>103235</v>
      </c>
      <c r="F4914" s="6" t="s">
        <v>6916</v>
      </c>
      <c r="G4914" s="15" t="str">
        <f>VLOOKUP(A4914,Movie!A:D,4,FALSE)</f>
        <v>Warner Brothers</v>
      </c>
      <c r="H4914" s="14">
        <f>VLOOKUP(E4914,'Rental Transaction'!A:B,2,FALSE)</f>
        <v>515790</v>
      </c>
      <c r="I4914">
        <f t="shared" si="76"/>
        <v>2014</v>
      </c>
    </row>
    <row r="4915" spans="1:9">
      <c r="A4915" s="1">
        <v>10271</v>
      </c>
      <c r="B4915" s="1">
        <v>6</v>
      </c>
      <c r="C4915" s="2">
        <v>41685</v>
      </c>
      <c r="D4915" s="1" t="s">
        <v>2002</v>
      </c>
      <c r="E4915" s="1">
        <v>103235</v>
      </c>
      <c r="F4915" s="6" t="s">
        <v>6917</v>
      </c>
      <c r="G4915" s="15" t="str">
        <f>VLOOKUP(A4915,Movie!A:D,4,FALSE)</f>
        <v>Universal</v>
      </c>
      <c r="H4915" s="14">
        <f>VLOOKUP(E4915,'Rental Transaction'!A:B,2,FALSE)</f>
        <v>515790</v>
      </c>
      <c r="I4915">
        <f t="shared" si="76"/>
        <v>2014</v>
      </c>
    </row>
    <row r="4916" spans="1:9" ht="29.25">
      <c r="A4916" s="1">
        <v>10285</v>
      </c>
      <c r="B4916" s="1">
        <v>8</v>
      </c>
      <c r="C4916" s="2">
        <v>41681</v>
      </c>
      <c r="D4916" s="1" t="s">
        <v>2002</v>
      </c>
      <c r="E4916" s="1">
        <v>103237</v>
      </c>
      <c r="F4916" s="6" t="s">
        <v>6918</v>
      </c>
      <c r="G4916" s="15" t="str">
        <f>VLOOKUP(A4916,Movie!A:D,4,FALSE)</f>
        <v>Roadside Attractions</v>
      </c>
      <c r="H4916" s="14">
        <f>VLOOKUP(E4916,'Rental Transaction'!A:B,2,FALSE)</f>
        <v>158528</v>
      </c>
      <c r="I4916">
        <f t="shared" si="76"/>
        <v>2014</v>
      </c>
    </row>
    <row r="4917" spans="1:9">
      <c r="A4917" s="1">
        <v>10069</v>
      </c>
      <c r="B4917" s="1">
        <v>6</v>
      </c>
      <c r="C4917" s="2">
        <v>41682</v>
      </c>
      <c r="D4917" s="1" t="s">
        <v>2005</v>
      </c>
      <c r="E4917" s="1">
        <v>103239</v>
      </c>
      <c r="F4917" s="6" t="s">
        <v>6919</v>
      </c>
      <c r="G4917" s="15" t="str">
        <f>VLOOKUP(A4917,Movie!A:D,4,FALSE)</f>
        <v>Warner Brothers</v>
      </c>
      <c r="H4917" s="14">
        <f>VLOOKUP(E4917,'Rental Transaction'!A:B,2,FALSE)</f>
        <v>977759</v>
      </c>
      <c r="I4917">
        <f t="shared" si="76"/>
        <v>2014</v>
      </c>
    </row>
    <row r="4918" spans="1:9">
      <c r="A4918" s="1">
        <v>10082</v>
      </c>
      <c r="B4918" s="1">
        <v>8</v>
      </c>
      <c r="C4918" s="2">
        <v>41682</v>
      </c>
      <c r="D4918" s="1" t="s">
        <v>2002</v>
      </c>
      <c r="E4918" s="1">
        <v>103239</v>
      </c>
      <c r="F4918" s="6" t="s">
        <v>6920</v>
      </c>
      <c r="G4918" s="15" t="str">
        <f>VLOOKUP(A4918,Movie!A:D,4,FALSE)</f>
        <v>Buena Vista</v>
      </c>
      <c r="H4918" s="14">
        <f>VLOOKUP(E4918,'Rental Transaction'!A:B,2,FALSE)</f>
        <v>977759</v>
      </c>
      <c r="I4918">
        <f t="shared" si="76"/>
        <v>2014</v>
      </c>
    </row>
    <row r="4919" spans="1:9">
      <c r="A4919" s="1">
        <v>10178</v>
      </c>
      <c r="B4919" s="1">
        <v>3</v>
      </c>
      <c r="C4919" s="2">
        <v>41682</v>
      </c>
      <c r="D4919" s="1" t="s">
        <v>2002</v>
      </c>
      <c r="E4919" s="1">
        <v>103241</v>
      </c>
      <c r="F4919" s="6" t="s">
        <v>6921</v>
      </c>
      <c r="G4919" s="15" t="str">
        <f>VLOOKUP(A4919,Movie!A:D,4,FALSE)</f>
        <v>Warner Brothers</v>
      </c>
      <c r="H4919" s="14">
        <f>VLOOKUP(E4919,'Rental Transaction'!A:B,2,FALSE)</f>
        <v>189953</v>
      </c>
      <c r="I4919">
        <f t="shared" si="76"/>
        <v>2014</v>
      </c>
    </row>
    <row r="4920" spans="1:9">
      <c r="A4920" s="1">
        <v>10245</v>
      </c>
      <c r="B4920" s="1">
        <v>10</v>
      </c>
      <c r="C4920" s="2">
        <v>41683</v>
      </c>
      <c r="D4920" s="1" t="s">
        <v>2002</v>
      </c>
      <c r="E4920" s="1">
        <v>103242</v>
      </c>
      <c r="F4920" s="6" t="s">
        <v>6922</v>
      </c>
      <c r="G4920" s="15" t="str">
        <f>VLOOKUP(A4920,Movie!A:D,4,FALSE)</f>
        <v>Warner Brothers</v>
      </c>
      <c r="H4920" s="14">
        <f>VLOOKUP(E4920,'Rental Transaction'!A:B,2,FALSE)</f>
        <v>892883</v>
      </c>
      <c r="I4920">
        <f t="shared" si="76"/>
        <v>2014</v>
      </c>
    </row>
    <row r="4921" spans="1:9">
      <c r="A4921" s="1">
        <v>10228</v>
      </c>
      <c r="B4921" s="1">
        <v>7</v>
      </c>
      <c r="C4921" s="2">
        <v>41683</v>
      </c>
      <c r="D4921" s="1" t="s">
        <v>2002</v>
      </c>
      <c r="E4921" s="1">
        <v>103243</v>
      </c>
      <c r="F4921" s="6" t="s">
        <v>6923</v>
      </c>
      <c r="G4921" s="15" t="str">
        <f>VLOOKUP(A4921,Movie!A:D,4,FALSE)</f>
        <v>Universal</v>
      </c>
      <c r="H4921" s="14">
        <f>VLOOKUP(E4921,'Rental Transaction'!A:B,2,FALSE)</f>
        <v>575041</v>
      </c>
      <c r="I4921">
        <f t="shared" si="76"/>
        <v>2014</v>
      </c>
    </row>
    <row r="4922" spans="1:9">
      <c r="A4922" s="1">
        <v>10217</v>
      </c>
      <c r="B4922" s="1">
        <v>8</v>
      </c>
      <c r="C4922" s="2">
        <v>41682</v>
      </c>
      <c r="D4922" s="1" t="s">
        <v>2005</v>
      </c>
      <c r="E4922" s="1">
        <v>103243</v>
      </c>
      <c r="F4922" s="6" t="s">
        <v>6924</v>
      </c>
      <c r="G4922" s="15" t="str">
        <f>VLOOKUP(A4922,Movie!A:D,4,FALSE)</f>
        <v>Warner Brothers</v>
      </c>
      <c r="H4922" s="14">
        <f>VLOOKUP(E4922,'Rental Transaction'!A:B,2,FALSE)</f>
        <v>575041</v>
      </c>
      <c r="I4922">
        <f t="shared" si="76"/>
        <v>2014</v>
      </c>
    </row>
    <row r="4923" spans="1:9">
      <c r="A4923" s="1">
        <v>10288</v>
      </c>
      <c r="B4923" s="1">
        <v>6</v>
      </c>
      <c r="C4923" s="2">
        <v>41683</v>
      </c>
      <c r="D4923" s="1" t="s">
        <v>2002</v>
      </c>
      <c r="E4923" s="1">
        <v>103244</v>
      </c>
      <c r="F4923" s="6" t="s">
        <v>6925</v>
      </c>
      <c r="G4923" s="15" t="str">
        <f>VLOOKUP(A4923,Movie!A:D,4,FALSE)</f>
        <v>Relativity</v>
      </c>
      <c r="H4923" s="14">
        <f>VLOOKUP(E4923,'Rental Transaction'!A:B,2,FALSE)</f>
        <v>160392</v>
      </c>
      <c r="I4923">
        <f t="shared" si="76"/>
        <v>2014</v>
      </c>
    </row>
    <row r="4924" spans="1:9" ht="29.25">
      <c r="A4924" s="1">
        <v>10285</v>
      </c>
      <c r="B4924" s="1">
        <v>6</v>
      </c>
      <c r="C4924" s="2">
        <v>41683</v>
      </c>
      <c r="D4924" s="1" t="s">
        <v>2002</v>
      </c>
      <c r="E4924" s="1">
        <v>103248</v>
      </c>
      <c r="F4924" s="6" t="s">
        <v>6926</v>
      </c>
      <c r="G4924" s="15" t="str">
        <f>VLOOKUP(A4924,Movie!A:D,4,FALSE)</f>
        <v>Roadside Attractions</v>
      </c>
      <c r="H4924" s="14">
        <f>VLOOKUP(E4924,'Rental Transaction'!A:B,2,FALSE)</f>
        <v>193968</v>
      </c>
      <c r="I4924">
        <f t="shared" si="76"/>
        <v>2014</v>
      </c>
    </row>
    <row r="4925" spans="1:9">
      <c r="A4925" s="1">
        <v>10108</v>
      </c>
      <c r="B4925" s="1">
        <v>5</v>
      </c>
      <c r="C4925" s="2">
        <v>41684</v>
      </c>
      <c r="D4925" s="1" t="s">
        <v>2002</v>
      </c>
      <c r="E4925" s="1">
        <v>103249</v>
      </c>
      <c r="F4925" s="6" t="s">
        <v>6927</v>
      </c>
      <c r="G4925" s="15" t="str">
        <f>VLOOKUP(A4925,Movie!A:D,4,FALSE)</f>
        <v>Fox</v>
      </c>
      <c r="H4925" s="14">
        <f>VLOOKUP(E4925,'Rental Transaction'!A:B,2,FALSE)</f>
        <v>498970</v>
      </c>
      <c r="I4925">
        <f t="shared" si="76"/>
        <v>2014</v>
      </c>
    </row>
    <row r="4926" spans="1:9">
      <c r="A4926" s="1">
        <v>10236</v>
      </c>
      <c r="B4926" s="1">
        <v>10</v>
      </c>
      <c r="C4926" s="2">
        <v>41683</v>
      </c>
      <c r="D4926" s="1" t="s">
        <v>2002</v>
      </c>
      <c r="E4926" s="1">
        <v>103250</v>
      </c>
      <c r="F4926" s="6" t="s">
        <v>6928</v>
      </c>
      <c r="G4926" s="15" t="str">
        <f>VLOOKUP(A4926,Movie!A:D,4,FALSE)</f>
        <v>Lionsgate</v>
      </c>
      <c r="H4926" s="14">
        <f>VLOOKUP(E4926,'Rental Transaction'!A:B,2,FALSE)</f>
        <v>781523</v>
      </c>
      <c r="I4926">
        <f t="shared" si="76"/>
        <v>2014</v>
      </c>
    </row>
    <row r="4927" spans="1:9">
      <c r="A4927" s="1">
        <v>10074</v>
      </c>
      <c r="B4927" s="1">
        <v>2</v>
      </c>
      <c r="C4927" s="2">
        <v>41684</v>
      </c>
      <c r="D4927" s="1" t="s">
        <v>2002</v>
      </c>
      <c r="E4927" s="1">
        <v>103251</v>
      </c>
      <c r="F4927" s="6" t="s">
        <v>6929</v>
      </c>
      <c r="G4927" s="15" t="str">
        <f>VLOOKUP(A4927,Movie!A:D,4,FALSE)</f>
        <v>Open Road Films</v>
      </c>
      <c r="H4927" s="14">
        <f>VLOOKUP(E4927,'Rental Transaction'!A:B,2,FALSE)</f>
        <v>418506</v>
      </c>
      <c r="I4927">
        <f t="shared" si="76"/>
        <v>2014</v>
      </c>
    </row>
    <row r="4928" spans="1:9">
      <c r="A4928" s="1">
        <v>10196</v>
      </c>
      <c r="B4928" s="1">
        <v>4</v>
      </c>
      <c r="C4928" s="2">
        <v>41683</v>
      </c>
      <c r="D4928" s="1" t="s">
        <v>2002</v>
      </c>
      <c r="E4928" s="1">
        <v>103251</v>
      </c>
      <c r="F4928" s="6" t="s">
        <v>6930</v>
      </c>
      <c r="G4928" s="15" t="str">
        <f>VLOOKUP(A4928,Movie!A:D,4,FALSE)</f>
        <v>Fox</v>
      </c>
      <c r="H4928" s="14">
        <f>VLOOKUP(E4928,'Rental Transaction'!A:B,2,FALSE)</f>
        <v>418506</v>
      </c>
      <c r="I4928">
        <f t="shared" si="76"/>
        <v>2014</v>
      </c>
    </row>
    <row r="4929" spans="1:9">
      <c r="A4929" s="1">
        <v>10060</v>
      </c>
      <c r="B4929" s="1">
        <v>7</v>
      </c>
      <c r="C4929" s="2">
        <v>41683</v>
      </c>
      <c r="D4929" s="1" t="s">
        <v>2002</v>
      </c>
      <c r="E4929" s="1">
        <v>103251</v>
      </c>
      <c r="F4929" s="6" t="s">
        <v>6931</v>
      </c>
      <c r="G4929" s="15" t="str">
        <f>VLOOKUP(A4929,Movie!A:D,4,FALSE)</f>
        <v>Warner Brothers</v>
      </c>
      <c r="H4929" s="14">
        <f>VLOOKUP(E4929,'Rental Transaction'!A:B,2,FALSE)</f>
        <v>418506</v>
      </c>
      <c r="I4929">
        <f t="shared" si="76"/>
        <v>2014</v>
      </c>
    </row>
    <row r="4930" spans="1:9">
      <c r="A4930" s="1">
        <v>10124</v>
      </c>
      <c r="B4930" s="1">
        <v>10</v>
      </c>
      <c r="C4930" s="2">
        <v>41684</v>
      </c>
      <c r="D4930" s="1" t="s">
        <v>2002</v>
      </c>
      <c r="E4930" s="1">
        <v>103251</v>
      </c>
      <c r="F4930" s="6" t="s">
        <v>6932</v>
      </c>
      <c r="G4930" s="15" t="str">
        <f>VLOOKUP(A4930,Movie!A:D,4,FALSE)</f>
        <v>Paramount</v>
      </c>
      <c r="H4930" s="14">
        <f>VLOOKUP(E4930,'Rental Transaction'!A:B,2,FALSE)</f>
        <v>418506</v>
      </c>
      <c r="I4930">
        <f t="shared" si="76"/>
        <v>2014</v>
      </c>
    </row>
    <row r="4931" spans="1:9">
      <c r="A4931" s="1">
        <v>10182</v>
      </c>
      <c r="B4931" s="1">
        <v>10</v>
      </c>
      <c r="C4931" s="2">
        <v>41686</v>
      </c>
      <c r="D4931" s="1" t="s">
        <v>2002</v>
      </c>
      <c r="E4931" s="1">
        <v>103252</v>
      </c>
      <c r="F4931" s="6" t="s">
        <v>6933</v>
      </c>
      <c r="G4931" s="15" t="str">
        <f>VLOOKUP(A4931,Movie!A:D,4,FALSE)</f>
        <v>Warner Brothers</v>
      </c>
      <c r="H4931" s="14">
        <f>VLOOKUP(E4931,'Rental Transaction'!A:B,2,FALSE)</f>
        <v>241144</v>
      </c>
      <c r="I4931">
        <f t="shared" ref="I4931:I4994" si="77">YEAR(C4931)</f>
        <v>2014</v>
      </c>
    </row>
    <row r="4932" spans="1:9">
      <c r="A4932" s="1">
        <v>10228</v>
      </c>
      <c r="B4932" s="1">
        <v>7</v>
      </c>
      <c r="C4932" s="2">
        <v>41685</v>
      </c>
      <c r="D4932" s="1" t="s">
        <v>2002</v>
      </c>
      <c r="E4932" s="1">
        <v>103253</v>
      </c>
      <c r="F4932" s="6" t="s">
        <v>6934</v>
      </c>
      <c r="G4932" s="15" t="str">
        <f>VLOOKUP(A4932,Movie!A:D,4,FALSE)</f>
        <v>Universal</v>
      </c>
      <c r="H4932" s="14">
        <f>VLOOKUP(E4932,'Rental Transaction'!A:B,2,FALSE)</f>
        <v>147543</v>
      </c>
      <c r="I4932">
        <f t="shared" si="77"/>
        <v>2014</v>
      </c>
    </row>
    <row r="4933" spans="1:9">
      <c r="A4933" s="1">
        <v>10281</v>
      </c>
      <c r="B4933" s="1">
        <v>5</v>
      </c>
      <c r="C4933" s="2">
        <v>41685</v>
      </c>
      <c r="D4933" s="1" t="s">
        <v>2002</v>
      </c>
      <c r="E4933" s="1">
        <v>103256</v>
      </c>
      <c r="F4933" s="6" t="s">
        <v>6935</v>
      </c>
      <c r="G4933" s="15" t="str">
        <f>VLOOKUP(A4933,Movie!A:D,4,FALSE)</f>
        <v>Lionsgate</v>
      </c>
      <c r="H4933" s="14">
        <f>VLOOKUP(E4933,'Rental Transaction'!A:B,2,FALSE)</f>
        <v>253106</v>
      </c>
      <c r="I4933">
        <f t="shared" si="77"/>
        <v>2014</v>
      </c>
    </row>
    <row r="4934" spans="1:9">
      <c r="A4934" s="1">
        <v>10275</v>
      </c>
      <c r="B4934" s="1">
        <v>8</v>
      </c>
      <c r="C4934" s="2">
        <v>41684</v>
      </c>
      <c r="D4934" s="1" t="s">
        <v>2002</v>
      </c>
      <c r="E4934" s="1">
        <v>103257</v>
      </c>
      <c r="F4934" s="6" t="s">
        <v>6936</v>
      </c>
      <c r="G4934" s="15" t="str">
        <f>VLOOKUP(A4934,Movie!A:D,4,FALSE)</f>
        <v>Lionsgate</v>
      </c>
      <c r="H4934" s="14">
        <f>VLOOKUP(E4934,'Rental Transaction'!A:B,2,FALSE)</f>
        <v>166735</v>
      </c>
      <c r="I4934">
        <f t="shared" si="77"/>
        <v>2014</v>
      </c>
    </row>
    <row r="4935" spans="1:9">
      <c r="A4935" s="1">
        <v>10283</v>
      </c>
      <c r="B4935" s="1">
        <v>1</v>
      </c>
      <c r="C4935" s="2">
        <v>41685</v>
      </c>
      <c r="D4935" s="1" t="s">
        <v>2002</v>
      </c>
      <c r="E4935" s="1">
        <v>103258</v>
      </c>
      <c r="F4935" s="6" t="s">
        <v>6937</v>
      </c>
      <c r="G4935" s="15" t="str">
        <f>VLOOKUP(A4935,Movie!A:D,4,FALSE)</f>
        <v>TriStar</v>
      </c>
      <c r="H4935" s="14">
        <f>VLOOKUP(E4935,'Rental Transaction'!A:B,2,FALSE)</f>
        <v>143878</v>
      </c>
      <c r="I4935">
        <f t="shared" si="77"/>
        <v>2014</v>
      </c>
    </row>
    <row r="4936" spans="1:9">
      <c r="A4936" s="1">
        <v>10260</v>
      </c>
      <c r="B4936" s="1">
        <v>8</v>
      </c>
      <c r="C4936" s="2">
        <v>41684</v>
      </c>
      <c r="D4936" s="1" t="s">
        <v>2002</v>
      </c>
      <c r="E4936" s="1">
        <v>103259</v>
      </c>
      <c r="F4936" s="6" t="s">
        <v>6938</v>
      </c>
      <c r="G4936" s="15" t="str">
        <f>VLOOKUP(A4936,Movie!A:D,4,FALSE)</f>
        <v>Sony</v>
      </c>
      <c r="H4936" s="14">
        <f>VLOOKUP(E4936,'Rental Transaction'!A:B,2,FALSE)</f>
        <v>890497</v>
      </c>
      <c r="I4936">
        <f t="shared" si="77"/>
        <v>2014</v>
      </c>
    </row>
    <row r="4937" spans="1:9">
      <c r="A4937" s="1">
        <v>10075</v>
      </c>
      <c r="B4937" s="1">
        <v>9</v>
      </c>
      <c r="C4937" s="2">
        <v>41684</v>
      </c>
      <c r="D4937" s="1" t="s">
        <v>2002</v>
      </c>
      <c r="E4937" s="1">
        <v>103260</v>
      </c>
      <c r="F4937" s="6" t="s">
        <v>6939</v>
      </c>
      <c r="G4937" s="15" t="str">
        <f>VLOOKUP(A4937,Movie!A:D,4,FALSE)</f>
        <v>Fox Searchlight</v>
      </c>
      <c r="H4937" s="14">
        <f>VLOOKUP(E4937,'Rental Transaction'!A:B,2,FALSE)</f>
        <v>822823</v>
      </c>
      <c r="I4937">
        <f t="shared" si="77"/>
        <v>2014</v>
      </c>
    </row>
    <row r="4938" spans="1:9">
      <c r="A4938" s="1">
        <v>10233</v>
      </c>
      <c r="B4938" s="1">
        <v>10</v>
      </c>
      <c r="C4938" s="2">
        <v>41684</v>
      </c>
      <c r="D4938" s="1" t="s">
        <v>2002</v>
      </c>
      <c r="E4938" s="1">
        <v>103260</v>
      </c>
      <c r="F4938" s="6" t="s">
        <v>6940</v>
      </c>
      <c r="G4938" s="15" t="str">
        <f>VLOOKUP(A4938,Movie!A:D,4,FALSE)</f>
        <v>Screen Gems</v>
      </c>
      <c r="H4938" s="14">
        <f>VLOOKUP(E4938,'Rental Transaction'!A:B,2,FALSE)</f>
        <v>822823</v>
      </c>
      <c r="I4938">
        <f t="shared" si="77"/>
        <v>2014</v>
      </c>
    </row>
    <row r="4939" spans="1:9">
      <c r="A4939" s="1">
        <v>10123</v>
      </c>
      <c r="B4939" s="1">
        <v>6</v>
      </c>
      <c r="C4939" s="2">
        <v>41687</v>
      </c>
      <c r="D4939" s="1" t="s">
        <v>2002</v>
      </c>
      <c r="E4939" s="1">
        <v>103263</v>
      </c>
      <c r="F4939" s="6" t="s">
        <v>6941</v>
      </c>
      <c r="G4939" s="15" t="str">
        <f>VLOOKUP(A4939,Movie!A:D,4,FALSE)</f>
        <v>Fox</v>
      </c>
      <c r="H4939" s="14">
        <f>VLOOKUP(E4939,'Rental Transaction'!A:B,2,FALSE)</f>
        <v>838924</v>
      </c>
      <c r="I4939">
        <f t="shared" si="77"/>
        <v>2014</v>
      </c>
    </row>
    <row r="4940" spans="1:9">
      <c r="A4940" s="1">
        <v>10193</v>
      </c>
      <c r="B4940" s="1">
        <v>8</v>
      </c>
      <c r="C4940" s="2">
        <v>41685</v>
      </c>
      <c r="D4940" s="1" t="s">
        <v>2002</v>
      </c>
      <c r="E4940" s="1">
        <v>103264</v>
      </c>
      <c r="F4940" s="6" t="s">
        <v>6942</v>
      </c>
      <c r="G4940" s="15" t="str">
        <f>VLOOKUP(A4940,Movie!A:D,4,FALSE)</f>
        <v>Fox</v>
      </c>
      <c r="H4940" s="14">
        <f>VLOOKUP(E4940,'Rental Transaction'!A:B,2,FALSE)</f>
        <v>441628</v>
      </c>
      <c r="I4940">
        <f t="shared" si="77"/>
        <v>2014</v>
      </c>
    </row>
    <row r="4941" spans="1:9">
      <c r="A4941" s="1">
        <v>10176</v>
      </c>
      <c r="B4941" s="1">
        <v>4</v>
      </c>
      <c r="C4941" s="2">
        <v>41685</v>
      </c>
      <c r="D4941" s="1" t="s">
        <v>2002</v>
      </c>
      <c r="E4941" s="1">
        <v>103264</v>
      </c>
      <c r="F4941" s="6" t="s">
        <v>6943</v>
      </c>
      <c r="G4941" s="15" t="str">
        <f>VLOOKUP(A4941,Movie!A:D,4,FALSE)</f>
        <v>Universal</v>
      </c>
      <c r="H4941" s="14">
        <f>VLOOKUP(E4941,'Rental Transaction'!A:B,2,FALSE)</f>
        <v>441628</v>
      </c>
      <c r="I4941">
        <f t="shared" si="77"/>
        <v>2014</v>
      </c>
    </row>
    <row r="4942" spans="1:9">
      <c r="A4942" s="1">
        <v>10207</v>
      </c>
      <c r="B4942" s="1">
        <v>1</v>
      </c>
      <c r="C4942" s="2">
        <v>41687</v>
      </c>
      <c r="D4942" s="1" t="s">
        <v>2002</v>
      </c>
      <c r="E4942" s="1">
        <v>103265</v>
      </c>
      <c r="F4942" s="6" t="s">
        <v>6944</v>
      </c>
      <c r="G4942" s="15" t="str">
        <f>VLOOKUP(A4942,Movie!A:D,4,FALSE)</f>
        <v>Paramount</v>
      </c>
      <c r="H4942" s="14">
        <f>VLOOKUP(E4942,'Rental Transaction'!A:B,2,FALSE)</f>
        <v>850952</v>
      </c>
      <c r="I4942">
        <f t="shared" si="77"/>
        <v>2014</v>
      </c>
    </row>
    <row r="4943" spans="1:9" ht="29.25">
      <c r="A4943" s="1">
        <v>10264</v>
      </c>
      <c r="B4943" s="1">
        <v>4</v>
      </c>
      <c r="C4943" s="2">
        <v>41686</v>
      </c>
      <c r="D4943" s="1" t="s">
        <v>2002</v>
      </c>
      <c r="E4943" s="1">
        <v>103267</v>
      </c>
      <c r="F4943" s="6" t="s">
        <v>6945</v>
      </c>
      <c r="G4943" s="15" t="str">
        <f>VLOOKUP(A4943,Movie!A:D,4,FALSE)</f>
        <v>Weinstein Company</v>
      </c>
      <c r="H4943" s="14">
        <f>VLOOKUP(E4943,'Rental Transaction'!A:B,2,FALSE)</f>
        <v>994199</v>
      </c>
      <c r="I4943">
        <f t="shared" si="77"/>
        <v>2014</v>
      </c>
    </row>
    <row r="4944" spans="1:9">
      <c r="A4944" s="1">
        <v>10092</v>
      </c>
      <c r="B4944" s="1">
        <v>3</v>
      </c>
      <c r="C4944" s="2">
        <v>41686</v>
      </c>
      <c r="D4944" s="1" t="s">
        <v>2002</v>
      </c>
      <c r="E4944" s="1">
        <v>103269</v>
      </c>
      <c r="F4944" s="6" t="s">
        <v>6946</v>
      </c>
      <c r="G4944" s="15" t="str">
        <f>VLOOKUP(A4944,Movie!A:D,4,FALSE)</f>
        <v>Warner Brothers</v>
      </c>
      <c r="H4944" s="14">
        <f>VLOOKUP(E4944,'Rental Transaction'!A:B,2,FALSE)</f>
        <v>395125</v>
      </c>
      <c r="I4944">
        <f t="shared" si="77"/>
        <v>2014</v>
      </c>
    </row>
    <row r="4945" spans="1:9">
      <c r="A4945" s="1">
        <v>10295</v>
      </c>
      <c r="B4945" s="1">
        <v>6</v>
      </c>
      <c r="C4945" s="2">
        <v>41688</v>
      </c>
      <c r="D4945" s="1" t="s">
        <v>2002</v>
      </c>
      <c r="E4945" s="1">
        <v>103271</v>
      </c>
      <c r="F4945" s="6" t="s">
        <v>6947</v>
      </c>
      <c r="G4945" s="15" t="str">
        <f>VLOOKUP(A4945,Movie!A:D,4,FALSE)</f>
        <v>A24</v>
      </c>
      <c r="H4945" s="14">
        <f>VLOOKUP(E4945,'Rental Transaction'!A:B,2,FALSE)</f>
        <v>412544</v>
      </c>
      <c r="I4945">
        <f t="shared" si="77"/>
        <v>2014</v>
      </c>
    </row>
    <row r="4946" spans="1:9">
      <c r="A4946" s="1">
        <v>10242</v>
      </c>
      <c r="B4946" s="1">
        <v>8</v>
      </c>
      <c r="C4946" s="2">
        <v>41686</v>
      </c>
      <c r="D4946" s="1" t="s">
        <v>2002</v>
      </c>
      <c r="E4946" s="1">
        <v>103272</v>
      </c>
      <c r="F4946" s="6" t="s">
        <v>6948</v>
      </c>
      <c r="G4946" s="15" t="str">
        <f>VLOOKUP(A4946,Movie!A:D,4,FALSE)</f>
        <v>Buena Vista</v>
      </c>
      <c r="H4946" s="14">
        <f>VLOOKUP(E4946,'Rental Transaction'!A:B,2,FALSE)</f>
        <v>247216</v>
      </c>
      <c r="I4946">
        <f t="shared" si="77"/>
        <v>2014</v>
      </c>
    </row>
    <row r="4947" spans="1:9">
      <c r="A4947" s="1">
        <v>10172</v>
      </c>
      <c r="B4947" s="1">
        <v>3</v>
      </c>
      <c r="C4947" s="2">
        <v>41687</v>
      </c>
      <c r="D4947" s="1" t="s">
        <v>2002</v>
      </c>
      <c r="E4947" s="1">
        <v>103273</v>
      </c>
      <c r="F4947" s="6" t="s">
        <v>6949</v>
      </c>
      <c r="G4947" s="15" t="str">
        <f>VLOOKUP(A4947,Movie!A:D,4,FALSE)</f>
        <v>Lionsgate</v>
      </c>
      <c r="H4947" s="14">
        <f>VLOOKUP(E4947,'Rental Transaction'!A:B,2,FALSE)</f>
        <v>383684</v>
      </c>
      <c r="I4947">
        <f t="shared" si="77"/>
        <v>2014</v>
      </c>
    </row>
    <row r="4948" spans="1:9">
      <c r="A4948" s="1">
        <v>10267</v>
      </c>
      <c r="B4948" s="1">
        <v>4</v>
      </c>
      <c r="C4948" s="2">
        <v>41687</v>
      </c>
      <c r="D4948" s="1" t="s">
        <v>2002</v>
      </c>
      <c r="E4948" s="1">
        <v>103275</v>
      </c>
      <c r="F4948" s="6" t="s">
        <v>6950</v>
      </c>
      <c r="G4948" s="15" t="str">
        <f>VLOOKUP(A4948,Movie!A:D,4,FALSE)</f>
        <v>TriStar</v>
      </c>
      <c r="H4948" s="14">
        <f>VLOOKUP(E4948,'Rental Transaction'!A:B,2,FALSE)</f>
        <v>689877</v>
      </c>
      <c r="I4948">
        <f t="shared" si="77"/>
        <v>2014</v>
      </c>
    </row>
    <row r="4949" spans="1:9" ht="29.25">
      <c r="A4949" s="1">
        <v>10285</v>
      </c>
      <c r="B4949" s="1">
        <v>5</v>
      </c>
      <c r="C4949" s="2">
        <v>41691</v>
      </c>
      <c r="D4949" s="1" t="s">
        <v>2002</v>
      </c>
      <c r="E4949" s="1">
        <v>103276</v>
      </c>
      <c r="F4949" s="6" t="s">
        <v>6951</v>
      </c>
      <c r="G4949" s="15" t="str">
        <f>VLOOKUP(A4949,Movie!A:D,4,FALSE)</f>
        <v>Roadside Attractions</v>
      </c>
      <c r="H4949" s="14">
        <f>VLOOKUP(E4949,'Rental Transaction'!A:B,2,FALSE)</f>
        <v>840096</v>
      </c>
      <c r="I4949">
        <f t="shared" si="77"/>
        <v>2014</v>
      </c>
    </row>
    <row r="4950" spans="1:9">
      <c r="A4950" s="1">
        <v>10258</v>
      </c>
      <c r="B4950" s="1">
        <v>5</v>
      </c>
      <c r="C4950" s="2">
        <v>41688</v>
      </c>
      <c r="D4950" s="1" t="s">
        <v>2002</v>
      </c>
      <c r="E4950" s="1">
        <v>103280</v>
      </c>
      <c r="F4950" s="6" t="s">
        <v>6952</v>
      </c>
      <c r="G4950" s="15" t="str">
        <f>VLOOKUP(A4950,Movie!A:D,4,FALSE)</f>
        <v>Warner Brothers</v>
      </c>
      <c r="H4950" s="14">
        <f>VLOOKUP(E4950,'Rental Transaction'!A:B,2,FALSE)</f>
        <v>267632</v>
      </c>
      <c r="I4950">
        <f t="shared" si="77"/>
        <v>2014</v>
      </c>
    </row>
    <row r="4951" spans="1:9">
      <c r="A4951" s="1">
        <v>10247</v>
      </c>
      <c r="B4951" s="1">
        <v>4</v>
      </c>
      <c r="C4951" s="2">
        <v>41687</v>
      </c>
      <c r="D4951" s="1" t="s">
        <v>2005</v>
      </c>
      <c r="E4951" s="1">
        <v>103281</v>
      </c>
      <c r="F4951" s="6" t="s">
        <v>6953</v>
      </c>
      <c r="G4951" s="15" t="str">
        <f>VLOOKUP(A4951,Movie!A:D,4,FALSE)</f>
        <v>Fox</v>
      </c>
      <c r="H4951" s="14">
        <f>VLOOKUP(E4951,'Rental Transaction'!A:B,2,FALSE)</f>
        <v>226909</v>
      </c>
      <c r="I4951">
        <f t="shared" si="77"/>
        <v>2014</v>
      </c>
    </row>
    <row r="4952" spans="1:9">
      <c r="A4952" s="1">
        <v>10216</v>
      </c>
      <c r="B4952" s="1">
        <v>10</v>
      </c>
      <c r="C4952" s="2">
        <v>41688</v>
      </c>
      <c r="D4952" s="1" t="s">
        <v>2002</v>
      </c>
      <c r="E4952" s="1">
        <v>103281</v>
      </c>
      <c r="F4952" s="6" t="s">
        <v>6954</v>
      </c>
      <c r="G4952" s="15" t="str">
        <f>VLOOKUP(A4952,Movie!A:D,4,FALSE)</f>
        <v>Sony</v>
      </c>
      <c r="H4952" s="14">
        <f>VLOOKUP(E4952,'Rental Transaction'!A:B,2,FALSE)</f>
        <v>226909</v>
      </c>
      <c r="I4952">
        <f t="shared" si="77"/>
        <v>2014</v>
      </c>
    </row>
    <row r="4953" spans="1:9">
      <c r="A4953" s="1">
        <v>10200</v>
      </c>
      <c r="B4953" s="1">
        <v>7</v>
      </c>
      <c r="C4953" s="2">
        <v>41688</v>
      </c>
      <c r="D4953" s="1" t="s">
        <v>2002</v>
      </c>
      <c r="E4953" s="1">
        <v>103284</v>
      </c>
      <c r="F4953" s="6" t="s">
        <v>6955</v>
      </c>
      <c r="G4953" s="15" t="str">
        <f>VLOOKUP(A4953,Movie!A:D,4,FALSE)</f>
        <v>Fox</v>
      </c>
      <c r="H4953" s="14">
        <f>VLOOKUP(E4953,'Rental Transaction'!A:B,2,FALSE)</f>
        <v>929344</v>
      </c>
      <c r="I4953">
        <f t="shared" si="77"/>
        <v>2014</v>
      </c>
    </row>
    <row r="4954" spans="1:9">
      <c r="A4954" s="1">
        <v>10349</v>
      </c>
      <c r="B4954" s="1">
        <v>2</v>
      </c>
      <c r="C4954" s="2">
        <v>41689</v>
      </c>
      <c r="D4954" s="1" t="s">
        <v>2002</v>
      </c>
      <c r="E4954" s="1">
        <v>103285</v>
      </c>
      <c r="F4954" s="6" t="s">
        <v>6956</v>
      </c>
      <c r="G4954" s="15" t="str">
        <f>VLOOKUP(A4954,Movie!A:D,4,FALSE)</f>
        <v>Screen Gems</v>
      </c>
      <c r="H4954" s="14">
        <f>VLOOKUP(E4954,'Rental Transaction'!A:B,2,FALSE)</f>
        <v>528475</v>
      </c>
      <c r="I4954">
        <f t="shared" si="77"/>
        <v>2014</v>
      </c>
    </row>
    <row r="4955" spans="1:9">
      <c r="A4955" s="1">
        <v>10240</v>
      </c>
      <c r="B4955" s="1">
        <v>10</v>
      </c>
      <c r="C4955" s="2">
        <v>41689</v>
      </c>
      <c r="D4955" s="1" t="s">
        <v>2002</v>
      </c>
      <c r="E4955" s="1">
        <v>103287</v>
      </c>
      <c r="F4955" s="6" t="s">
        <v>6957</v>
      </c>
      <c r="G4955" s="15" t="str">
        <f>VLOOKUP(A4955,Movie!A:D,4,FALSE)</f>
        <v>Warner Brothers</v>
      </c>
      <c r="H4955" s="14">
        <f>VLOOKUP(E4955,'Rental Transaction'!A:B,2,FALSE)</f>
        <v>627324</v>
      </c>
      <c r="I4955">
        <f t="shared" si="77"/>
        <v>2014</v>
      </c>
    </row>
    <row r="4956" spans="1:9">
      <c r="A4956" s="1">
        <v>10097</v>
      </c>
      <c r="B4956" s="1">
        <v>5</v>
      </c>
      <c r="C4956" s="2">
        <v>41688</v>
      </c>
      <c r="D4956" s="1" t="s">
        <v>2002</v>
      </c>
      <c r="E4956" s="1">
        <v>103287</v>
      </c>
      <c r="F4956" s="6" t="s">
        <v>6958</v>
      </c>
      <c r="G4956" s="15" t="str">
        <f>VLOOKUP(A4956,Movie!A:D,4,FALSE)</f>
        <v>Screen Gems</v>
      </c>
      <c r="H4956" s="14">
        <f>VLOOKUP(E4956,'Rental Transaction'!A:B,2,FALSE)</f>
        <v>627324</v>
      </c>
      <c r="I4956">
        <f t="shared" si="77"/>
        <v>2014</v>
      </c>
    </row>
    <row r="4957" spans="1:9">
      <c r="A4957" s="1">
        <v>10219</v>
      </c>
      <c r="B4957" s="1">
        <v>10</v>
      </c>
      <c r="C4957" s="2">
        <v>41689</v>
      </c>
      <c r="D4957" s="1" t="s">
        <v>2002</v>
      </c>
      <c r="E4957" s="1">
        <v>103287</v>
      </c>
      <c r="F4957" s="6" t="s">
        <v>6959</v>
      </c>
      <c r="G4957" s="15" t="str">
        <f>VLOOKUP(A4957,Movie!A:D,4,FALSE)</f>
        <v>Paramount</v>
      </c>
      <c r="H4957" s="14">
        <f>VLOOKUP(E4957,'Rental Transaction'!A:B,2,FALSE)</f>
        <v>627324</v>
      </c>
      <c r="I4957">
        <f t="shared" si="77"/>
        <v>2014</v>
      </c>
    </row>
    <row r="4958" spans="1:9">
      <c r="A4958" s="1">
        <v>10075</v>
      </c>
      <c r="B4958" s="1">
        <v>8</v>
      </c>
      <c r="C4958" s="2">
        <v>41690</v>
      </c>
      <c r="D4958" s="1" t="s">
        <v>2002</v>
      </c>
      <c r="E4958" s="1">
        <v>103289</v>
      </c>
      <c r="F4958" s="6" t="s">
        <v>6960</v>
      </c>
      <c r="G4958" s="15" t="str">
        <f>VLOOKUP(A4958,Movie!A:D,4,FALSE)</f>
        <v>Fox Searchlight</v>
      </c>
      <c r="H4958" s="14">
        <f>VLOOKUP(E4958,'Rental Transaction'!A:B,2,FALSE)</f>
        <v>958321</v>
      </c>
      <c r="I4958">
        <f t="shared" si="77"/>
        <v>2014</v>
      </c>
    </row>
    <row r="4959" spans="1:9">
      <c r="A4959" s="1">
        <v>10207</v>
      </c>
      <c r="B4959" s="1">
        <v>10</v>
      </c>
      <c r="C4959" s="2">
        <v>41688</v>
      </c>
      <c r="D4959" s="1" t="s">
        <v>2002</v>
      </c>
      <c r="E4959" s="1">
        <v>103290</v>
      </c>
      <c r="F4959" s="6" t="s">
        <v>6961</v>
      </c>
      <c r="G4959" s="15" t="str">
        <f>VLOOKUP(A4959,Movie!A:D,4,FALSE)</f>
        <v>Paramount</v>
      </c>
      <c r="H4959" s="14">
        <f>VLOOKUP(E4959,'Rental Transaction'!A:B,2,FALSE)</f>
        <v>897614</v>
      </c>
      <c r="I4959">
        <f t="shared" si="77"/>
        <v>2014</v>
      </c>
    </row>
    <row r="4960" spans="1:9">
      <c r="A4960" s="1">
        <v>10265</v>
      </c>
      <c r="B4960" s="1">
        <v>2</v>
      </c>
      <c r="C4960" s="2">
        <v>41693</v>
      </c>
      <c r="D4960" s="1" t="s">
        <v>2002</v>
      </c>
      <c r="E4960" s="1">
        <v>103290</v>
      </c>
      <c r="F4960" s="6" t="s">
        <v>6962</v>
      </c>
      <c r="G4960" s="15" t="str">
        <f>VLOOKUP(A4960,Movie!A:D,4,FALSE)</f>
        <v>Warner Brothers</v>
      </c>
      <c r="H4960" s="14">
        <f>VLOOKUP(E4960,'Rental Transaction'!A:B,2,FALSE)</f>
        <v>897614</v>
      </c>
      <c r="I4960">
        <f t="shared" si="77"/>
        <v>2014</v>
      </c>
    </row>
    <row r="4961" spans="1:9">
      <c r="A4961" s="1">
        <v>10147</v>
      </c>
      <c r="B4961" s="1">
        <v>3</v>
      </c>
      <c r="C4961" s="2">
        <v>41689</v>
      </c>
      <c r="D4961" s="1" t="s">
        <v>2002</v>
      </c>
      <c r="E4961" s="1">
        <v>103293</v>
      </c>
      <c r="F4961" s="6" t="s">
        <v>6963</v>
      </c>
      <c r="G4961" s="15" t="str">
        <f>VLOOKUP(A4961,Movie!A:D,4,FALSE)</f>
        <v>Lionsgate</v>
      </c>
      <c r="H4961" s="14">
        <f>VLOOKUP(E4961,'Rental Transaction'!A:B,2,FALSE)</f>
        <v>730305</v>
      </c>
      <c r="I4961">
        <f t="shared" si="77"/>
        <v>2014</v>
      </c>
    </row>
    <row r="4962" spans="1:9">
      <c r="A4962" s="1">
        <v>10054</v>
      </c>
      <c r="B4962" s="1">
        <v>9</v>
      </c>
      <c r="C4962" s="2">
        <v>41689</v>
      </c>
      <c r="D4962" s="1" t="s">
        <v>2005</v>
      </c>
      <c r="E4962" s="1">
        <v>103294</v>
      </c>
      <c r="F4962" s="6" t="s">
        <v>6964</v>
      </c>
      <c r="G4962" s="15" t="str">
        <f>VLOOKUP(A4962,Movie!A:D,4,FALSE)</f>
        <v>Paramount</v>
      </c>
      <c r="H4962" s="14">
        <f>VLOOKUP(E4962,'Rental Transaction'!A:B,2,FALSE)</f>
        <v>932618</v>
      </c>
      <c r="I4962">
        <f t="shared" si="77"/>
        <v>2014</v>
      </c>
    </row>
    <row r="4963" spans="1:9">
      <c r="A4963" s="1">
        <v>10272</v>
      </c>
      <c r="B4963" s="1">
        <v>2</v>
      </c>
      <c r="C4963" s="2">
        <v>41689</v>
      </c>
      <c r="D4963" s="1" t="s">
        <v>2002</v>
      </c>
      <c r="E4963" s="1">
        <v>103296</v>
      </c>
      <c r="F4963" s="6" t="s">
        <v>6965</v>
      </c>
      <c r="G4963" s="15" t="str">
        <f>VLOOKUP(A4963,Movie!A:D,4,FALSE)</f>
        <v>Sony</v>
      </c>
      <c r="H4963" s="14">
        <f>VLOOKUP(E4963,'Rental Transaction'!A:B,2,FALSE)</f>
        <v>696852</v>
      </c>
      <c r="I4963">
        <f t="shared" si="77"/>
        <v>2014</v>
      </c>
    </row>
    <row r="4964" spans="1:9">
      <c r="A4964" s="1">
        <v>10201</v>
      </c>
      <c r="B4964" s="1">
        <v>2</v>
      </c>
      <c r="C4964" s="2">
        <v>41689</v>
      </c>
      <c r="D4964" s="1" t="s">
        <v>2002</v>
      </c>
      <c r="E4964" s="1">
        <v>103296</v>
      </c>
      <c r="F4964" s="6" t="s">
        <v>6966</v>
      </c>
      <c r="G4964" s="15" t="str">
        <f>VLOOKUP(A4964,Movie!A:D,4,FALSE)</f>
        <v>Screen Gems</v>
      </c>
      <c r="H4964" s="14">
        <f>VLOOKUP(E4964,'Rental Transaction'!A:B,2,FALSE)</f>
        <v>696852</v>
      </c>
      <c r="I4964">
        <f t="shared" si="77"/>
        <v>2014</v>
      </c>
    </row>
    <row r="4965" spans="1:9">
      <c r="A4965" s="1">
        <v>10137</v>
      </c>
      <c r="B4965" s="1">
        <v>7</v>
      </c>
      <c r="C4965" s="2">
        <v>41690</v>
      </c>
      <c r="D4965" s="1" t="s">
        <v>2002</v>
      </c>
      <c r="E4965" s="1">
        <v>103297</v>
      </c>
      <c r="F4965" s="6" t="s">
        <v>6967</v>
      </c>
      <c r="G4965" s="15" t="str">
        <f>VLOOKUP(A4965,Movie!A:D,4,FALSE)</f>
        <v>Buena Vista</v>
      </c>
      <c r="H4965" s="14">
        <f>VLOOKUP(E4965,'Rental Transaction'!A:B,2,FALSE)</f>
        <v>663029</v>
      </c>
      <c r="I4965">
        <f t="shared" si="77"/>
        <v>2014</v>
      </c>
    </row>
    <row r="4966" spans="1:9">
      <c r="A4966" s="1">
        <v>10180</v>
      </c>
      <c r="B4966" s="1">
        <v>10</v>
      </c>
      <c r="C4966" s="2">
        <v>41689</v>
      </c>
      <c r="D4966" s="1" t="s">
        <v>2002</v>
      </c>
      <c r="E4966" s="1">
        <v>103298</v>
      </c>
      <c r="F4966" s="6" t="s">
        <v>6968</v>
      </c>
      <c r="G4966" s="15" t="str">
        <f>VLOOKUP(A4966,Movie!A:D,4,FALSE)</f>
        <v>Relativity</v>
      </c>
      <c r="H4966" s="14">
        <f>VLOOKUP(E4966,'Rental Transaction'!A:B,2,FALSE)</f>
        <v>668931</v>
      </c>
      <c r="I4966">
        <f t="shared" si="77"/>
        <v>2014</v>
      </c>
    </row>
    <row r="4967" spans="1:9">
      <c r="A4967" s="1">
        <v>10200</v>
      </c>
      <c r="B4967" s="1">
        <v>10</v>
      </c>
      <c r="C4967" s="2">
        <v>41691</v>
      </c>
      <c r="D4967" s="1" t="s">
        <v>2005</v>
      </c>
      <c r="E4967" s="1">
        <v>103298</v>
      </c>
      <c r="F4967" s="6" t="s">
        <v>6969</v>
      </c>
      <c r="G4967" s="15" t="str">
        <f>VLOOKUP(A4967,Movie!A:D,4,FALSE)</f>
        <v>Fox</v>
      </c>
      <c r="H4967" s="14">
        <f>VLOOKUP(E4967,'Rental Transaction'!A:B,2,FALSE)</f>
        <v>668931</v>
      </c>
      <c r="I4967">
        <f t="shared" si="77"/>
        <v>2014</v>
      </c>
    </row>
    <row r="4968" spans="1:9" ht="29.25">
      <c r="A4968" s="1">
        <v>10290</v>
      </c>
      <c r="B4968" s="1">
        <v>1</v>
      </c>
      <c r="C4968" s="2">
        <v>41690</v>
      </c>
      <c r="D4968" s="1" t="s">
        <v>2005</v>
      </c>
      <c r="E4968" s="1">
        <v>103300</v>
      </c>
      <c r="F4968" s="6" t="s">
        <v>6970</v>
      </c>
      <c r="G4968" s="15" t="str">
        <f>VLOOKUP(A4968,Movie!A:D,4,FALSE)</f>
        <v>Weinstein Company</v>
      </c>
      <c r="H4968" s="14">
        <f>VLOOKUP(E4968,'Rental Transaction'!A:B,2,FALSE)</f>
        <v>808177</v>
      </c>
      <c r="I4968">
        <f t="shared" si="77"/>
        <v>2014</v>
      </c>
    </row>
    <row r="4969" spans="1:9">
      <c r="A4969" s="1">
        <v>10133</v>
      </c>
      <c r="B4969" s="1">
        <v>8</v>
      </c>
      <c r="C4969" s="2">
        <v>41690</v>
      </c>
      <c r="D4969" s="1" t="s">
        <v>2002</v>
      </c>
      <c r="E4969" s="1">
        <v>103300</v>
      </c>
      <c r="F4969" s="6" t="s">
        <v>6971</v>
      </c>
      <c r="G4969" s="15" t="str">
        <f>VLOOKUP(A4969,Movie!A:D,4,FALSE)</f>
        <v>Fox</v>
      </c>
      <c r="H4969" s="14">
        <f>VLOOKUP(E4969,'Rental Transaction'!A:B,2,FALSE)</f>
        <v>808177</v>
      </c>
      <c r="I4969">
        <f t="shared" si="77"/>
        <v>2014</v>
      </c>
    </row>
    <row r="4970" spans="1:9">
      <c r="A4970" s="1">
        <v>10176</v>
      </c>
      <c r="B4970" s="1">
        <v>2</v>
      </c>
      <c r="C4970" s="2">
        <v>41690</v>
      </c>
      <c r="D4970" s="1" t="s">
        <v>2002</v>
      </c>
      <c r="E4970" s="1">
        <v>103301</v>
      </c>
      <c r="F4970" s="6" t="s">
        <v>6972</v>
      </c>
      <c r="G4970" s="15" t="str">
        <f>VLOOKUP(A4970,Movie!A:D,4,FALSE)</f>
        <v>Universal</v>
      </c>
      <c r="H4970" s="14">
        <f>VLOOKUP(E4970,'Rental Transaction'!A:B,2,FALSE)</f>
        <v>872851</v>
      </c>
      <c r="I4970">
        <f t="shared" si="77"/>
        <v>2014</v>
      </c>
    </row>
    <row r="4971" spans="1:9">
      <c r="A4971" s="1">
        <v>10203</v>
      </c>
      <c r="B4971" s="1">
        <v>6</v>
      </c>
      <c r="C4971" s="2">
        <v>41691</v>
      </c>
      <c r="D4971" s="1" t="s">
        <v>2002</v>
      </c>
      <c r="E4971" s="1">
        <v>103303</v>
      </c>
      <c r="F4971" s="6" t="s">
        <v>6973</v>
      </c>
      <c r="G4971" s="15" t="str">
        <f>VLOOKUP(A4971,Movie!A:D,4,FALSE)</f>
        <v>Buena Vista</v>
      </c>
      <c r="H4971" s="14">
        <f>VLOOKUP(E4971,'Rental Transaction'!A:B,2,FALSE)</f>
        <v>233813</v>
      </c>
      <c r="I4971">
        <f t="shared" si="77"/>
        <v>2014</v>
      </c>
    </row>
    <row r="4972" spans="1:9">
      <c r="A4972" s="1">
        <v>10254</v>
      </c>
      <c r="B4972" s="1">
        <v>7</v>
      </c>
      <c r="C4972" s="2">
        <v>41691</v>
      </c>
      <c r="D4972" s="1" t="s">
        <v>2002</v>
      </c>
      <c r="E4972" s="1">
        <v>103304</v>
      </c>
      <c r="F4972" s="6" t="s">
        <v>6974</v>
      </c>
      <c r="G4972" s="15" t="str">
        <f>VLOOKUP(A4972,Movie!A:D,4,FALSE)</f>
        <v>Paramount</v>
      </c>
      <c r="H4972" s="14">
        <f>VLOOKUP(E4972,'Rental Transaction'!A:B,2,FALSE)</f>
        <v>224094</v>
      </c>
      <c r="I4972">
        <f t="shared" si="77"/>
        <v>2014</v>
      </c>
    </row>
    <row r="4973" spans="1:9">
      <c r="A4973" s="1">
        <v>10197</v>
      </c>
      <c r="B4973" s="1">
        <v>8</v>
      </c>
      <c r="C4973" s="2">
        <v>41692</v>
      </c>
      <c r="D4973" s="1" t="s">
        <v>2002</v>
      </c>
      <c r="E4973" s="1">
        <v>103307</v>
      </c>
      <c r="F4973" s="6" t="s">
        <v>6975</v>
      </c>
      <c r="G4973" s="15" t="str">
        <f>VLOOKUP(A4973,Movie!A:D,4,FALSE)</f>
        <v>Warner Brothers</v>
      </c>
      <c r="H4973" s="14">
        <f>VLOOKUP(E4973,'Rental Transaction'!A:B,2,FALSE)</f>
        <v>332324</v>
      </c>
      <c r="I4973">
        <f t="shared" si="77"/>
        <v>2014</v>
      </c>
    </row>
    <row r="4974" spans="1:9">
      <c r="A4974" s="1">
        <v>10210</v>
      </c>
      <c r="B4974" s="1">
        <v>1</v>
      </c>
      <c r="C4974" s="2">
        <v>41691</v>
      </c>
      <c r="D4974" s="1" t="s">
        <v>2002</v>
      </c>
      <c r="E4974" s="1">
        <v>103307</v>
      </c>
      <c r="F4974" s="6" t="s">
        <v>6976</v>
      </c>
      <c r="G4974" s="15" t="str">
        <f>VLOOKUP(A4974,Movie!A:D,4,FALSE)</f>
        <v>Sony</v>
      </c>
      <c r="H4974" s="14">
        <f>VLOOKUP(E4974,'Rental Transaction'!A:B,2,FALSE)</f>
        <v>332324</v>
      </c>
      <c r="I4974">
        <f t="shared" si="77"/>
        <v>2014</v>
      </c>
    </row>
    <row r="4975" spans="1:9">
      <c r="A4975" s="1">
        <v>10182</v>
      </c>
      <c r="B4975" s="1">
        <v>8</v>
      </c>
      <c r="C4975" s="2">
        <v>41691</v>
      </c>
      <c r="D4975" s="1" t="s">
        <v>2002</v>
      </c>
      <c r="E4975" s="1">
        <v>103308</v>
      </c>
      <c r="F4975" s="6" t="s">
        <v>6977</v>
      </c>
      <c r="G4975" s="15" t="str">
        <f>VLOOKUP(A4975,Movie!A:D,4,FALSE)</f>
        <v>Warner Brothers</v>
      </c>
      <c r="H4975" s="14">
        <f>VLOOKUP(E4975,'Rental Transaction'!A:B,2,FALSE)</f>
        <v>194680</v>
      </c>
      <c r="I4975">
        <f t="shared" si="77"/>
        <v>2014</v>
      </c>
    </row>
    <row r="4976" spans="1:9">
      <c r="A4976" s="1">
        <v>10158</v>
      </c>
      <c r="B4976" s="1">
        <v>5</v>
      </c>
      <c r="C4976" s="2">
        <v>41692</v>
      </c>
      <c r="D4976" s="1" t="s">
        <v>2002</v>
      </c>
      <c r="E4976" s="1">
        <v>103308</v>
      </c>
      <c r="F4976" s="6" t="s">
        <v>6978</v>
      </c>
      <c r="G4976" s="15" t="str">
        <f>VLOOKUP(A4976,Movie!A:D,4,FALSE)</f>
        <v>Warner Brothers</v>
      </c>
      <c r="H4976" s="14">
        <f>VLOOKUP(E4976,'Rental Transaction'!A:B,2,FALSE)</f>
        <v>194680</v>
      </c>
      <c r="I4976">
        <f t="shared" si="77"/>
        <v>2014</v>
      </c>
    </row>
    <row r="4977" spans="1:9">
      <c r="A4977" s="1">
        <v>10269</v>
      </c>
      <c r="B4977" s="1">
        <v>1</v>
      </c>
      <c r="C4977" s="2">
        <v>41691</v>
      </c>
      <c r="D4977" s="1" t="s">
        <v>2002</v>
      </c>
      <c r="E4977" s="1">
        <v>103309</v>
      </c>
      <c r="F4977" s="6" t="s">
        <v>6979</v>
      </c>
      <c r="G4977" s="15" t="str">
        <f>VLOOKUP(A4977,Movie!A:D,4,FALSE)</f>
        <v>Buena Vista</v>
      </c>
      <c r="H4977" s="14">
        <f>VLOOKUP(E4977,'Rental Transaction'!A:B,2,FALSE)</f>
        <v>262638</v>
      </c>
      <c r="I4977">
        <f t="shared" si="77"/>
        <v>2014</v>
      </c>
    </row>
    <row r="4978" spans="1:9">
      <c r="A4978" s="1">
        <v>10137</v>
      </c>
      <c r="B4978" s="1">
        <v>8</v>
      </c>
      <c r="C4978" s="2">
        <v>41691</v>
      </c>
      <c r="D4978" s="1" t="s">
        <v>2002</v>
      </c>
      <c r="E4978" s="1">
        <v>103311</v>
      </c>
      <c r="F4978" s="6" t="s">
        <v>6980</v>
      </c>
      <c r="G4978" s="15" t="str">
        <f>VLOOKUP(A4978,Movie!A:D,4,FALSE)</f>
        <v>Buena Vista</v>
      </c>
      <c r="H4978" s="14">
        <f>VLOOKUP(E4978,'Rental Transaction'!A:B,2,FALSE)</f>
        <v>500350</v>
      </c>
      <c r="I4978">
        <f t="shared" si="77"/>
        <v>2014</v>
      </c>
    </row>
    <row r="4979" spans="1:9">
      <c r="A4979" s="1">
        <v>10193</v>
      </c>
      <c r="B4979" s="1">
        <v>3</v>
      </c>
      <c r="C4979" s="2">
        <v>41694</v>
      </c>
      <c r="D4979" s="1" t="s">
        <v>2002</v>
      </c>
      <c r="E4979" s="1">
        <v>103312</v>
      </c>
      <c r="F4979" s="6" t="s">
        <v>6981</v>
      </c>
      <c r="G4979" s="15" t="str">
        <f>VLOOKUP(A4979,Movie!A:D,4,FALSE)</f>
        <v>Fox</v>
      </c>
      <c r="H4979" s="14">
        <f>VLOOKUP(E4979,'Rental Transaction'!A:B,2,FALSE)</f>
        <v>161942</v>
      </c>
      <c r="I4979">
        <f t="shared" si="77"/>
        <v>2014</v>
      </c>
    </row>
    <row r="4980" spans="1:9">
      <c r="A4980" s="1">
        <v>10193</v>
      </c>
      <c r="B4980" s="1">
        <v>5</v>
      </c>
      <c r="C4980" s="2">
        <v>41693</v>
      </c>
      <c r="D4980" s="1" t="s">
        <v>2002</v>
      </c>
      <c r="E4980" s="1">
        <v>103313</v>
      </c>
      <c r="F4980" s="6" t="s">
        <v>6982</v>
      </c>
      <c r="G4980" s="15" t="str">
        <f>VLOOKUP(A4980,Movie!A:D,4,FALSE)</f>
        <v>Fox</v>
      </c>
      <c r="H4980" s="14">
        <f>VLOOKUP(E4980,'Rental Transaction'!A:B,2,FALSE)</f>
        <v>304344</v>
      </c>
      <c r="I4980">
        <f t="shared" si="77"/>
        <v>2014</v>
      </c>
    </row>
    <row r="4981" spans="1:9">
      <c r="A4981" s="1">
        <v>10169</v>
      </c>
      <c r="B4981" s="1">
        <v>8</v>
      </c>
      <c r="C4981" s="2">
        <v>41693</v>
      </c>
      <c r="D4981" s="1" t="s">
        <v>2005</v>
      </c>
      <c r="E4981" s="1">
        <v>103313</v>
      </c>
      <c r="F4981" s="6" t="s">
        <v>6983</v>
      </c>
      <c r="G4981" s="15" t="str">
        <f>VLOOKUP(A4981,Movie!A:D,4,FALSE)</f>
        <v>Warner Brothers</v>
      </c>
      <c r="H4981" s="14">
        <f>VLOOKUP(E4981,'Rental Transaction'!A:B,2,FALSE)</f>
        <v>304344</v>
      </c>
      <c r="I4981">
        <f t="shared" si="77"/>
        <v>2014</v>
      </c>
    </row>
    <row r="4982" spans="1:9">
      <c r="A4982" s="1">
        <v>10219</v>
      </c>
      <c r="B4982" s="1">
        <v>3</v>
      </c>
      <c r="C4982" s="2">
        <v>41693</v>
      </c>
      <c r="D4982" s="1" t="s">
        <v>2002</v>
      </c>
      <c r="E4982" s="1">
        <v>103314</v>
      </c>
      <c r="F4982" s="6" t="s">
        <v>6984</v>
      </c>
      <c r="G4982" s="15" t="str">
        <f>VLOOKUP(A4982,Movie!A:D,4,FALSE)</f>
        <v>Paramount</v>
      </c>
      <c r="H4982" s="14">
        <f>VLOOKUP(E4982,'Rental Transaction'!A:B,2,FALSE)</f>
        <v>325263</v>
      </c>
      <c r="I4982">
        <f t="shared" si="77"/>
        <v>2014</v>
      </c>
    </row>
    <row r="4983" spans="1:9">
      <c r="A4983" s="1">
        <v>10245</v>
      </c>
      <c r="B4983" s="1">
        <v>9</v>
      </c>
      <c r="C4983" s="2">
        <v>41693</v>
      </c>
      <c r="D4983" s="1" t="s">
        <v>2002</v>
      </c>
      <c r="E4983" s="1">
        <v>103314</v>
      </c>
      <c r="F4983" s="6" t="s">
        <v>6985</v>
      </c>
      <c r="G4983" s="15" t="str">
        <f>VLOOKUP(A4983,Movie!A:D,4,FALSE)</f>
        <v>Warner Brothers</v>
      </c>
      <c r="H4983" s="14">
        <f>VLOOKUP(E4983,'Rental Transaction'!A:B,2,FALSE)</f>
        <v>325263</v>
      </c>
      <c r="I4983">
        <f t="shared" si="77"/>
        <v>2014</v>
      </c>
    </row>
    <row r="4984" spans="1:9">
      <c r="A4984" s="1">
        <v>10217</v>
      </c>
      <c r="B4984" s="1">
        <v>1</v>
      </c>
      <c r="C4984" s="2">
        <v>41694</v>
      </c>
      <c r="D4984" s="1" t="s">
        <v>2002</v>
      </c>
      <c r="E4984" s="1">
        <v>103314</v>
      </c>
      <c r="F4984" s="6" t="s">
        <v>6986</v>
      </c>
      <c r="G4984" s="15" t="str">
        <f>VLOOKUP(A4984,Movie!A:D,4,FALSE)</f>
        <v>Warner Brothers</v>
      </c>
      <c r="H4984" s="14">
        <f>VLOOKUP(E4984,'Rental Transaction'!A:B,2,FALSE)</f>
        <v>325263</v>
      </c>
      <c r="I4984">
        <f t="shared" si="77"/>
        <v>2014</v>
      </c>
    </row>
    <row r="4985" spans="1:9">
      <c r="A4985" s="1">
        <v>10297</v>
      </c>
      <c r="B4985" s="1">
        <v>1</v>
      </c>
      <c r="C4985" s="2">
        <v>41692</v>
      </c>
      <c r="D4985" s="1" t="s">
        <v>2002</v>
      </c>
      <c r="E4985" s="1">
        <v>103315</v>
      </c>
      <c r="F4985" s="6" t="s">
        <v>6987</v>
      </c>
      <c r="G4985" s="15" t="str">
        <f>VLOOKUP(A4985,Movie!A:D,4,FALSE)</f>
        <v>Focus</v>
      </c>
      <c r="H4985" s="14">
        <f>VLOOKUP(E4985,'Rental Transaction'!A:B,2,FALSE)</f>
        <v>578275</v>
      </c>
      <c r="I4985">
        <f t="shared" si="77"/>
        <v>2014</v>
      </c>
    </row>
    <row r="4986" spans="1:9">
      <c r="A4986" s="1">
        <v>10256</v>
      </c>
      <c r="B4986" s="1">
        <v>9</v>
      </c>
      <c r="C4986" s="2">
        <v>41692</v>
      </c>
      <c r="D4986" s="1" t="s">
        <v>2002</v>
      </c>
      <c r="E4986" s="1">
        <v>103315</v>
      </c>
      <c r="F4986" s="6" t="s">
        <v>6988</v>
      </c>
      <c r="G4986" s="15" t="str">
        <f>VLOOKUP(A4986,Movie!A:D,4,FALSE)</f>
        <v>Fox</v>
      </c>
      <c r="H4986" s="14">
        <f>VLOOKUP(E4986,'Rental Transaction'!A:B,2,FALSE)</f>
        <v>578275</v>
      </c>
      <c r="I4986">
        <f t="shared" si="77"/>
        <v>2014</v>
      </c>
    </row>
    <row r="4987" spans="1:9">
      <c r="A4987" s="1">
        <v>10245</v>
      </c>
      <c r="B4987" s="1">
        <v>1</v>
      </c>
      <c r="C4987" s="2">
        <v>41692</v>
      </c>
      <c r="D4987" s="1" t="s">
        <v>2002</v>
      </c>
      <c r="E4987" s="1">
        <v>103316</v>
      </c>
      <c r="F4987" s="6" t="s">
        <v>6989</v>
      </c>
      <c r="G4987" s="15" t="str">
        <f>VLOOKUP(A4987,Movie!A:D,4,FALSE)</f>
        <v>Warner Brothers</v>
      </c>
      <c r="H4987" s="14">
        <f>VLOOKUP(E4987,'Rental Transaction'!A:B,2,FALSE)</f>
        <v>383684</v>
      </c>
      <c r="I4987">
        <f t="shared" si="77"/>
        <v>2014</v>
      </c>
    </row>
    <row r="4988" spans="1:9">
      <c r="A4988" s="1">
        <v>10162</v>
      </c>
      <c r="B4988" s="1">
        <v>4</v>
      </c>
      <c r="C4988" s="2">
        <v>41693</v>
      </c>
      <c r="D4988" s="1" t="s">
        <v>2005</v>
      </c>
      <c r="E4988" s="1">
        <v>103317</v>
      </c>
      <c r="F4988" s="6" t="s">
        <v>6990</v>
      </c>
      <c r="G4988" s="15" t="str">
        <f>VLOOKUP(A4988,Movie!A:D,4,FALSE)</f>
        <v>Sony</v>
      </c>
      <c r="H4988" s="14">
        <f>VLOOKUP(E4988,'Rental Transaction'!A:B,2,FALSE)</f>
        <v>330570</v>
      </c>
      <c r="I4988">
        <f t="shared" si="77"/>
        <v>2014</v>
      </c>
    </row>
    <row r="4989" spans="1:9">
      <c r="A4989" s="1">
        <v>10181</v>
      </c>
      <c r="B4989" s="1">
        <v>6</v>
      </c>
      <c r="C4989" s="2">
        <v>41693</v>
      </c>
      <c r="D4989" s="1" t="s">
        <v>2002</v>
      </c>
      <c r="E4989" s="1">
        <v>103320</v>
      </c>
      <c r="F4989" s="6" t="s">
        <v>6991</v>
      </c>
      <c r="G4989" s="15" t="str">
        <f>VLOOKUP(A4989,Movie!A:D,4,FALSE)</f>
        <v>Fox</v>
      </c>
      <c r="H4989" s="14">
        <f>VLOOKUP(E4989,'Rental Transaction'!A:B,2,FALSE)</f>
        <v>464782</v>
      </c>
      <c r="I4989">
        <f t="shared" si="77"/>
        <v>2014</v>
      </c>
    </row>
    <row r="4990" spans="1:9">
      <c r="A4990" s="1">
        <v>10078</v>
      </c>
      <c r="B4990" s="1">
        <v>4</v>
      </c>
      <c r="C4990" s="2">
        <v>41694</v>
      </c>
      <c r="D4990" s="1" t="s">
        <v>2002</v>
      </c>
      <c r="E4990" s="1">
        <v>103322</v>
      </c>
      <c r="F4990" s="6" t="s">
        <v>6992</v>
      </c>
      <c r="G4990" s="15" t="str">
        <f>VLOOKUP(A4990,Movie!A:D,4,FALSE)</f>
        <v>Paramount</v>
      </c>
      <c r="H4990" s="14">
        <f>VLOOKUP(E4990,'Rental Transaction'!A:B,2,FALSE)</f>
        <v>116934</v>
      </c>
      <c r="I4990">
        <f t="shared" si="77"/>
        <v>2014</v>
      </c>
    </row>
    <row r="4991" spans="1:9">
      <c r="A4991" s="1">
        <v>10298</v>
      </c>
      <c r="B4991" s="1">
        <v>8</v>
      </c>
      <c r="C4991" s="2">
        <v>41695</v>
      </c>
      <c r="D4991" s="1" t="s">
        <v>2002</v>
      </c>
      <c r="E4991" s="1">
        <v>103322</v>
      </c>
      <c r="F4991" s="6" t="s">
        <v>6993</v>
      </c>
      <c r="G4991" s="15" t="str">
        <f>VLOOKUP(A4991,Movie!A:D,4,FALSE)</f>
        <v>UTV</v>
      </c>
      <c r="H4991" s="14">
        <f>VLOOKUP(E4991,'Rental Transaction'!A:B,2,FALSE)</f>
        <v>116934</v>
      </c>
      <c r="I4991">
        <f t="shared" si="77"/>
        <v>2014</v>
      </c>
    </row>
    <row r="4992" spans="1:9">
      <c r="A4992" s="1">
        <v>10011</v>
      </c>
      <c r="B4992" s="1">
        <v>6</v>
      </c>
      <c r="C4992" s="2">
        <v>41696</v>
      </c>
      <c r="D4992" s="1" t="s">
        <v>2002</v>
      </c>
      <c r="E4992" s="1">
        <v>103333</v>
      </c>
      <c r="F4992" s="6" t="s">
        <v>6994</v>
      </c>
      <c r="G4992" s="15" t="str">
        <f>VLOOKUP(A4992,Movie!A:D,4,FALSE)</f>
        <v>Buena Vista</v>
      </c>
      <c r="H4992" s="14">
        <f>VLOOKUP(E4992,'Rental Transaction'!A:B,2,FALSE)</f>
        <v>592592</v>
      </c>
      <c r="I4992">
        <f t="shared" si="77"/>
        <v>2014</v>
      </c>
    </row>
    <row r="4993" spans="1:9">
      <c r="A4993" s="1">
        <v>10201</v>
      </c>
      <c r="B4993" s="1">
        <v>4</v>
      </c>
      <c r="C4993" s="2">
        <v>41694</v>
      </c>
      <c r="D4993" s="1" t="s">
        <v>2002</v>
      </c>
      <c r="E4993" s="1">
        <v>103334</v>
      </c>
      <c r="F4993" s="6" t="s">
        <v>6995</v>
      </c>
      <c r="G4993" s="15" t="str">
        <f>VLOOKUP(A4993,Movie!A:D,4,FALSE)</f>
        <v>Screen Gems</v>
      </c>
      <c r="H4993" s="14">
        <f>VLOOKUP(E4993,'Rental Transaction'!A:B,2,FALSE)</f>
        <v>695276</v>
      </c>
      <c r="I4993">
        <f t="shared" si="77"/>
        <v>2014</v>
      </c>
    </row>
    <row r="4994" spans="1:9">
      <c r="A4994" s="1">
        <v>10166</v>
      </c>
      <c r="B4994" s="1">
        <v>2</v>
      </c>
      <c r="C4994" s="2">
        <v>41696</v>
      </c>
      <c r="D4994" s="1" t="s">
        <v>2002</v>
      </c>
      <c r="E4994" s="1">
        <v>103334</v>
      </c>
      <c r="F4994" s="6" t="s">
        <v>6996</v>
      </c>
      <c r="G4994" s="15" t="str">
        <f>VLOOKUP(A4994,Movie!A:D,4,FALSE)</f>
        <v>Fox</v>
      </c>
      <c r="H4994" s="14">
        <f>VLOOKUP(E4994,'Rental Transaction'!A:B,2,FALSE)</f>
        <v>695276</v>
      </c>
      <c r="I4994">
        <f t="shared" si="77"/>
        <v>2014</v>
      </c>
    </row>
    <row r="4995" spans="1:9">
      <c r="A4995" s="1">
        <v>10286</v>
      </c>
      <c r="B4995" s="1">
        <v>3</v>
      </c>
      <c r="C4995" s="2">
        <v>41696</v>
      </c>
      <c r="D4995" s="1" t="s">
        <v>2002</v>
      </c>
      <c r="E4995" s="1">
        <v>103338</v>
      </c>
      <c r="F4995" s="6" t="s">
        <v>6997</v>
      </c>
      <c r="G4995" s="15" t="str">
        <f>VLOOKUP(A4995,Movie!A:D,4,FALSE)</f>
        <v>Fox Searchlight</v>
      </c>
      <c r="H4995" s="14">
        <f>VLOOKUP(E4995,'Rental Transaction'!A:B,2,FALSE)</f>
        <v>111991</v>
      </c>
      <c r="I4995">
        <f t="shared" ref="I4995:I5058" si="78">YEAR(C4995)</f>
        <v>2014</v>
      </c>
    </row>
    <row r="4996" spans="1:9">
      <c r="A4996" s="1">
        <v>10112</v>
      </c>
      <c r="B4996" s="1">
        <v>2</v>
      </c>
      <c r="C4996" s="2">
        <v>41696</v>
      </c>
      <c r="D4996" s="1" t="s">
        <v>2005</v>
      </c>
      <c r="E4996" s="1">
        <v>103343</v>
      </c>
      <c r="F4996" s="6" t="s">
        <v>6998</v>
      </c>
      <c r="G4996" s="15" t="str">
        <f>VLOOKUP(A4996,Movie!A:D,4,FALSE)</f>
        <v>Relativity</v>
      </c>
      <c r="H4996" s="14">
        <f>VLOOKUP(E4996,'Rental Transaction'!A:B,2,FALSE)</f>
        <v>417823</v>
      </c>
      <c r="I4996">
        <f t="shared" si="78"/>
        <v>2014</v>
      </c>
    </row>
    <row r="4997" spans="1:9" ht="29.25">
      <c r="A4997" s="1">
        <v>10285</v>
      </c>
      <c r="B4997" s="1">
        <v>8</v>
      </c>
      <c r="C4997" s="2">
        <v>41698</v>
      </c>
      <c r="D4997" s="1" t="s">
        <v>2005</v>
      </c>
      <c r="E4997" s="1">
        <v>103344</v>
      </c>
      <c r="F4997" s="6" t="s">
        <v>6999</v>
      </c>
      <c r="G4997" s="15" t="str">
        <f>VLOOKUP(A4997,Movie!A:D,4,FALSE)</f>
        <v>Roadside Attractions</v>
      </c>
      <c r="H4997" s="14">
        <f>VLOOKUP(E4997,'Rental Transaction'!A:B,2,FALSE)</f>
        <v>879173</v>
      </c>
      <c r="I4997">
        <f t="shared" si="78"/>
        <v>2014</v>
      </c>
    </row>
    <row r="4998" spans="1:9" ht="29.25">
      <c r="A4998" s="1">
        <v>10264</v>
      </c>
      <c r="B4998" s="1">
        <v>9</v>
      </c>
      <c r="C4998" s="2">
        <v>41698</v>
      </c>
      <c r="D4998" s="1" t="s">
        <v>2002</v>
      </c>
      <c r="E4998" s="1">
        <v>103348</v>
      </c>
      <c r="F4998" s="6" t="s">
        <v>7000</v>
      </c>
      <c r="G4998" s="15" t="str">
        <f>VLOOKUP(A4998,Movie!A:D,4,FALSE)</f>
        <v>Weinstein Company</v>
      </c>
      <c r="H4998" s="14">
        <f>VLOOKUP(E4998,'Rental Transaction'!A:B,2,FALSE)</f>
        <v>955591</v>
      </c>
      <c r="I4998">
        <f t="shared" si="78"/>
        <v>2014</v>
      </c>
    </row>
    <row r="4999" spans="1:9">
      <c r="A4999" s="1">
        <v>10194</v>
      </c>
      <c r="B4999" s="1">
        <v>9</v>
      </c>
      <c r="C4999" s="2">
        <v>41703</v>
      </c>
      <c r="D4999" s="1" t="s">
        <v>2002</v>
      </c>
      <c r="E4999" s="1">
        <v>103348</v>
      </c>
      <c r="F4999" s="6" t="s">
        <v>7001</v>
      </c>
      <c r="G4999" s="15" t="str">
        <f>VLOOKUP(A4999,Movie!A:D,4,FALSE)</f>
        <v>FilmDistrict</v>
      </c>
      <c r="H4999" s="14">
        <f>VLOOKUP(E4999,'Rental Transaction'!A:B,2,FALSE)</f>
        <v>955591</v>
      </c>
      <c r="I4999">
        <f t="shared" si="78"/>
        <v>2014</v>
      </c>
    </row>
    <row r="5000" spans="1:9">
      <c r="A5000" s="1">
        <v>10071</v>
      </c>
      <c r="B5000" s="1">
        <v>7</v>
      </c>
      <c r="C5000" s="2">
        <v>41702</v>
      </c>
      <c r="D5000" s="1" t="s">
        <v>2005</v>
      </c>
      <c r="E5000" s="1">
        <v>103351</v>
      </c>
      <c r="F5000" s="6" t="s">
        <v>7002</v>
      </c>
      <c r="G5000" s="15" t="str">
        <f>VLOOKUP(A5000,Movie!A:D,4,FALSE)</f>
        <v>Paramount</v>
      </c>
      <c r="H5000" s="14">
        <f>VLOOKUP(E5000,'Rental Transaction'!A:B,2,FALSE)</f>
        <v>478274</v>
      </c>
      <c r="I5000">
        <f t="shared" si="78"/>
        <v>2014</v>
      </c>
    </row>
    <row r="5001" spans="1:9">
      <c r="A5001" s="1">
        <v>10296</v>
      </c>
      <c r="B5001" s="1">
        <v>5</v>
      </c>
      <c r="C5001" s="2">
        <v>41697</v>
      </c>
      <c r="D5001" s="1" t="s">
        <v>2002</v>
      </c>
      <c r="E5001" s="1">
        <v>103351</v>
      </c>
      <c r="F5001" s="6" t="s">
        <v>7003</v>
      </c>
      <c r="G5001" s="15" t="str">
        <f>VLOOKUP(A5001,Movie!A:D,4,FALSE)</f>
        <v>A24</v>
      </c>
      <c r="H5001" s="14">
        <f>VLOOKUP(E5001,'Rental Transaction'!A:B,2,FALSE)</f>
        <v>478274</v>
      </c>
      <c r="I5001">
        <f t="shared" si="78"/>
        <v>2014</v>
      </c>
    </row>
    <row r="5002" spans="1:9">
      <c r="A5002" s="1">
        <v>10238</v>
      </c>
      <c r="B5002" s="1">
        <v>10</v>
      </c>
      <c r="C5002" s="2">
        <v>41698</v>
      </c>
      <c r="D5002" s="1" t="s">
        <v>2002</v>
      </c>
      <c r="E5002" s="1">
        <v>103355</v>
      </c>
      <c r="F5002" s="6" t="s">
        <v>7004</v>
      </c>
      <c r="G5002" s="15" t="str">
        <f>VLOOKUP(A5002,Movie!A:D,4,FALSE)</f>
        <v>Warner Brothers</v>
      </c>
      <c r="H5002" s="14">
        <f>VLOOKUP(E5002,'Rental Transaction'!A:B,2,FALSE)</f>
        <v>559688</v>
      </c>
      <c r="I5002">
        <f t="shared" si="78"/>
        <v>2014</v>
      </c>
    </row>
    <row r="5003" spans="1:9">
      <c r="A5003" s="1">
        <v>10083</v>
      </c>
      <c r="B5003" s="1">
        <v>9</v>
      </c>
      <c r="C5003" s="2">
        <v>41699</v>
      </c>
      <c r="D5003" s="1" t="s">
        <v>2002</v>
      </c>
      <c r="E5003" s="1">
        <v>103357</v>
      </c>
      <c r="F5003" s="6" t="s">
        <v>7005</v>
      </c>
      <c r="G5003" s="15" t="str">
        <f>VLOOKUP(A5003,Movie!A:D,4,FALSE)</f>
        <v>Buena Vista</v>
      </c>
      <c r="H5003" s="14">
        <f>VLOOKUP(E5003,'Rental Transaction'!A:B,2,FALSE)</f>
        <v>331115</v>
      </c>
      <c r="I5003">
        <f t="shared" si="78"/>
        <v>2014</v>
      </c>
    </row>
    <row r="5004" spans="1:9">
      <c r="A5004" s="1">
        <v>10083</v>
      </c>
      <c r="B5004" s="1">
        <v>9</v>
      </c>
      <c r="C5004" s="2">
        <v>41698</v>
      </c>
      <c r="D5004" s="1" t="s">
        <v>2002</v>
      </c>
      <c r="E5004" s="1">
        <v>103359</v>
      </c>
      <c r="F5004" s="6" t="s">
        <v>7006</v>
      </c>
      <c r="G5004" s="15" t="str">
        <f>VLOOKUP(A5004,Movie!A:D,4,FALSE)</f>
        <v>Buena Vista</v>
      </c>
      <c r="H5004" s="14">
        <f>VLOOKUP(E5004,'Rental Transaction'!A:B,2,FALSE)</f>
        <v>611848</v>
      </c>
      <c r="I5004">
        <f t="shared" si="78"/>
        <v>2014</v>
      </c>
    </row>
    <row r="5005" spans="1:9">
      <c r="A5005" s="1">
        <v>10097</v>
      </c>
      <c r="B5005" s="1">
        <v>10</v>
      </c>
      <c r="C5005" s="2">
        <v>41700</v>
      </c>
      <c r="D5005" s="1" t="s">
        <v>2002</v>
      </c>
      <c r="E5005" s="1">
        <v>103359</v>
      </c>
      <c r="F5005" s="6" t="s">
        <v>7007</v>
      </c>
      <c r="G5005" s="15" t="str">
        <f>VLOOKUP(A5005,Movie!A:D,4,FALSE)</f>
        <v>Screen Gems</v>
      </c>
      <c r="H5005" s="14">
        <f>VLOOKUP(E5005,'Rental Transaction'!A:B,2,FALSE)</f>
        <v>611848</v>
      </c>
      <c r="I5005">
        <f t="shared" si="78"/>
        <v>2014</v>
      </c>
    </row>
    <row r="5006" spans="1:9">
      <c r="A5006" s="1">
        <v>10222</v>
      </c>
      <c r="B5006" s="1">
        <v>5</v>
      </c>
      <c r="C5006" s="2">
        <v>41699</v>
      </c>
      <c r="D5006" s="1" t="s">
        <v>2002</v>
      </c>
      <c r="E5006" s="1">
        <v>103360</v>
      </c>
      <c r="F5006" s="6" t="s">
        <v>7008</v>
      </c>
      <c r="G5006" s="15" t="str">
        <f>VLOOKUP(A5006,Movie!A:D,4,FALSE)</f>
        <v>Sony</v>
      </c>
      <c r="H5006" s="14">
        <f>VLOOKUP(E5006,'Rental Transaction'!A:B,2,FALSE)</f>
        <v>442254</v>
      </c>
      <c r="I5006">
        <f t="shared" si="78"/>
        <v>2014</v>
      </c>
    </row>
    <row r="5007" spans="1:9">
      <c r="A5007" s="1">
        <v>10250</v>
      </c>
      <c r="B5007" s="1">
        <v>1</v>
      </c>
      <c r="C5007" s="2">
        <v>41698</v>
      </c>
      <c r="D5007" s="1" t="s">
        <v>2005</v>
      </c>
      <c r="E5007" s="1">
        <v>103361</v>
      </c>
      <c r="F5007" s="6" t="s">
        <v>7009</v>
      </c>
      <c r="G5007" s="15" t="str">
        <f>VLOOKUP(A5007,Movie!A:D,4,FALSE)</f>
        <v>Buena Vista</v>
      </c>
      <c r="H5007" s="14">
        <f>VLOOKUP(E5007,'Rental Transaction'!A:B,2,FALSE)</f>
        <v>427826</v>
      </c>
      <c r="I5007">
        <f t="shared" si="78"/>
        <v>2014</v>
      </c>
    </row>
    <row r="5008" spans="1:9">
      <c r="A5008" s="1">
        <v>10188</v>
      </c>
      <c r="B5008" s="1">
        <v>6</v>
      </c>
      <c r="C5008" s="2">
        <v>41700</v>
      </c>
      <c r="D5008" s="1" t="s">
        <v>2002</v>
      </c>
      <c r="E5008" s="1">
        <v>103362</v>
      </c>
      <c r="F5008" s="6" t="s">
        <v>7010</v>
      </c>
      <c r="G5008" s="15" t="str">
        <f>VLOOKUP(A5008,Movie!A:D,4,FALSE)</f>
        <v>Paramount</v>
      </c>
      <c r="H5008" s="14">
        <f>VLOOKUP(E5008,'Rental Transaction'!A:B,2,FALSE)</f>
        <v>459243</v>
      </c>
      <c r="I5008">
        <f t="shared" si="78"/>
        <v>2014</v>
      </c>
    </row>
    <row r="5009" spans="1:9">
      <c r="A5009" s="1">
        <v>10238</v>
      </c>
      <c r="B5009" s="1">
        <v>2</v>
      </c>
      <c r="C5009" s="2">
        <v>41698</v>
      </c>
      <c r="D5009" s="1" t="s">
        <v>2005</v>
      </c>
      <c r="E5009" s="1">
        <v>103363</v>
      </c>
      <c r="F5009" s="6" t="s">
        <v>7011</v>
      </c>
      <c r="G5009" s="15" t="str">
        <f>VLOOKUP(A5009,Movie!A:D,4,FALSE)</f>
        <v>Warner Brothers</v>
      </c>
      <c r="H5009" s="14">
        <f>VLOOKUP(E5009,'Rental Transaction'!A:B,2,FALSE)</f>
        <v>730305</v>
      </c>
      <c r="I5009">
        <f t="shared" si="78"/>
        <v>2014</v>
      </c>
    </row>
    <row r="5010" spans="1:9">
      <c r="A5010" s="1">
        <v>10269</v>
      </c>
      <c r="B5010" s="1">
        <v>1</v>
      </c>
      <c r="C5010" s="2">
        <v>41698</v>
      </c>
      <c r="D5010" s="1" t="s">
        <v>2002</v>
      </c>
      <c r="E5010" s="1">
        <v>103363</v>
      </c>
      <c r="F5010" s="6" t="s">
        <v>7012</v>
      </c>
      <c r="G5010" s="15" t="str">
        <f>VLOOKUP(A5010,Movie!A:D,4,FALSE)</f>
        <v>Buena Vista</v>
      </c>
      <c r="H5010" s="14">
        <f>VLOOKUP(E5010,'Rental Transaction'!A:B,2,FALSE)</f>
        <v>730305</v>
      </c>
      <c r="I5010">
        <f t="shared" si="78"/>
        <v>2014</v>
      </c>
    </row>
    <row r="5011" spans="1:9">
      <c r="A5011" s="1">
        <v>10271</v>
      </c>
      <c r="B5011" s="1">
        <v>6</v>
      </c>
      <c r="C5011" s="2">
        <v>41698</v>
      </c>
      <c r="D5011" s="1" t="s">
        <v>2002</v>
      </c>
      <c r="E5011" s="1">
        <v>103363</v>
      </c>
      <c r="F5011" s="6" t="s">
        <v>7013</v>
      </c>
      <c r="G5011" s="15" t="str">
        <f>VLOOKUP(A5011,Movie!A:D,4,FALSE)</f>
        <v>Universal</v>
      </c>
      <c r="H5011" s="14">
        <f>VLOOKUP(E5011,'Rental Transaction'!A:B,2,FALSE)</f>
        <v>730305</v>
      </c>
      <c r="I5011">
        <f t="shared" si="78"/>
        <v>2014</v>
      </c>
    </row>
    <row r="5012" spans="1:9">
      <c r="A5012" s="1">
        <v>10247</v>
      </c>
      <c r="B5012" s="1">
        <v>3</v>
      </c>
      <c r="C5012" s="2">
        <v>41699</v>
      </c>
      <c r="D5012" s="1" t="s">
        <v>2002</v>
      </c>
      <c r="E5012" s="1">
        <v>103364</v>
      </c>
      <c r="F5012" s="6" t="s">
        <v>7014</v>
      </c>
      <c r="G5012" s="15" t="str">
        <f>VLOOKUP(A5012,Movie!A:D,4,FALSE)</f>
        <v>Fox</v>
      </c>
      <c r="H5012" s="14">
        <f>VLOOKUP(E5012,'Rental Transaction'!A:B,2,FALSE)</f>
        <v>421074</v>
      </c>
      <c r="I5012">
        <f t="shared" si="78"/>
        <v>2014</v>
      </c>
    </row>
    <row r="5013" spans="1:9">
      <c r="A5013" s="1">
        <v>10128</v>
      </c>
      <c r="B5013" s="1">
        <v>6</v>
      </c>
      <c r="C5013" s="2">
        <v>41700</v>
      </c>
      <c r="D5013" s="1" t="s">
        <v>2002</v>
      </c>
      <c r="E5013" s="1">
        <v>103366</v>
      </c>
      <c r="F5013" s="6" t="s">
        <v>7015</v>
      </c>
      <c r="G5013" s="15" t="str">
        <f>VLOOKUP(A5013,Movie!A:D,4,FALSE)</f>
        <v>TriStar</v>
      </c>
      <c r="H5013" s="14">
        <f>VLOOKUP(E5013,'Rental Transaction'!A:B,2,FALSE)</f>
        <v>250266</v>
      </c>
      <c r="I5013">
        <f t="shared" si="78"/>
        <v>2014</v>
      </c>
    </row>
    <row r="5014" spans="1:9">
      <c r="A5014" s="1">
        <v>10352</v>
      </c>
      <c r="B5014" s="1">
        <v>7</v>
      </c>
      <c r="C5014" s="2">
        <v>41700</v>
      </c>
      <c r="D5014" s="1" t="s">
        <v>2002</v>
      </c>
      <c r="E5014" s="1">
        <v>103367</v>
      </c>
      <c r="F5014" s="6" t="s">
        <v>7016</v>
      </c>
      <c r="G5014" s="15" t="str">
        <f>VLOOKUP(A5014,Movie!A:D,4,FALSE)</f>
        <v>Warner Brothers</v>
      </c>
      <c r="H5014" s="14">
        <f>VLOOKUP(E5014,'Rental Transaction'!A:B,2,FALSE)</f>
        <v>537860</v>
      </c>
      <c r="I5014">
        <f t="shared" si="78"/>
        <v>2014</v>
      </c>
    </row>
    <row r="5015" spans="1:9" ht="29.25">
      <c r="A5015" s="1">
        <v>10249</v>
      </c>
      <c r="B5015" s="1">
        <v>2</v>
      </c>
      <c r="C5015" s="2">
        <v>41700</v>
      </c>
      <c r="D5015" s="1" t="s">
        <v>2002</v>
      </c>
      <c r="E5015" s="1">
        <v>103369</v>
      </c>
      <c r="F5015" s="6" t="s">
        <v>7017</v>
      </c>
      <c r="G5015" s="15" t="str">
        <f>VLOOKUP(A5015,Movie!A:D,4,FALSE)</f>
        <v>Summit Entertainment</v>
      </c>
      <c r="H5015" s="14">
        <f>VLOOKUP(E5015,'Rental Transaction'!A:B,2,FALSE)</f>
        <v>196068</v>
      </c>
      <c r="I5015">
        <f t="shared" si="78"/>
        <v>2014</v>
      </c>
    </row>
    <row r="5016" spans="1:9">
      <c r="A5016" s="1">
        <v>10160</v>
      </c>
      <c r="B5016" s="1">
        <v>8</v>
      </c>
      <c r="C5016" s="2">
        <v>41699</v>
      </c>
      <c r="D5016" s="1" t="s">
        <v>2002</v>
      </c>
      <c r="E5016" s="1">
        <v>103370</v>
      </c>
      <c r="F5016" s="6" t="s">
        <v>7018</v>
      </c>
      <c r="G5016" s="15" t="str">
        <f>VLOOKUP(A5016,Movie!A:D,4,FALSE)</f>
        <v>Lionsgate</v>
      </c>
      <c r="H5016" s="14">
        <f>VLOOKUP(E5016,'Rental Transaction'!A:B,2,FALSE)</f>
        <v>384899</v>
      </c>
      <c r="I5016">
        <f t="shared" si="78"/>
        <v>2014</v>
      </c>
    </row>
    <row r="5017" spans="1:9">
      <c r="A5017" s="1">
        <v>10135</v>
      </c>
      <c r="B5017" s="1">
        <v>7</v>
      </c>
      <c r="C5017" s="2">
        <v>41701</v>
      </c>
      <c r="D5017" s="1" t="s">
        <v>2002</v>
      </c>
      <c r="E5017" s="1">
        <v>103371</v>
      </c>
      <c r="F5017" s="6" t="s">
        <v>7019</v>
      </c>
      <c r="G5017" s="15" t="str">
        <f>VLOOKUP(A5017,Movie!A:D,4,FALSE)</f>
        <v>Universal</v>
      </c>
      <c r="H5017" s="14">
        <f>VLOOKUP(E5017,'Rental Transaction'!A:B,2,FALSE)</f>
        <v>412929</v>
      </c>
      <c r="I5017">
        <f t="shared" si="78"/>
        <v>2014</v>
      </c>
    </row>
    <row r="5018" spans="1:9">
      <c r="A5018" s="1">
        <v>10182</v>
      </c>
      <c r="B5018" s="1">
        <v>10</v>
      </c>
      <c r="C5018" s="2">
        <v>41701</v>
      </c>
      <c r="D5018" s="1" t="s">
        <v>2002</v>
      </c>
      <c r="E5018" s="1">
        <v>103371</v>
      </c>
      <c r="F5018" s="6" t="s">
        <v>7020</v>
      </c>
      <c r="G5018" s="15" t="str">
        <f>VLOOKUP(A5018,Movie!A:D,4,FALSE)</f>
        <v>Warner Brothers</v>
      </c>
      <c r="H5018" s="14">
        <f>VLOOKUP(E5018,'Rental Transaction'!A:B,2,FALSE)</f>
        <v>412929</v>
      </c>
      <c r="I5018">
        <f t="shared" si="78"/>
        <v>2014</v>
      </c>
    </row>
    <row r="5019" spans="1:9">
      <c r="A5019" s="1">
        <v>10061</v>
      </c>
      <c r="B5019" s="1">
        <v>6</v>
      </c>
      <c r="C5019" s="2">
        <v>41700</v>
      </c>
      <c r="D5019" s="1" t="s">
        <v>2002</v>
      </c>
      <c r="E5019" s="1">
        <v>103375</v>
      </c>
      <c r="F5019" s="6" t="s">
        <v>7021</v>
      </c>
      <c r="G5019" s="15" t="str">
        <f>VLOOKUP(A5019,Movie!A:D,4,FALSE)</f>
        <v>Fox</v>
      </c>
      <c r="H5019" s="14">
        <f>VLOOKUP(E5019,'Rental Transaction'!A:B,2,FALSE)</f>
        <v>808177</v>
      </c>
      <c r="I5019">
        <f t="shared" si="78"/>
        <v>2014</v>
      </c>
    </row>
    <row r="5020" spans="1:9">
      <c r="A5020" s="1">
        <v>10289</v>
      </c>
      <c r="B5020" s="1">
        <v>2</v>
      </c>
      <c r="C5020" s="2">
        <v>41701</v>
      </c>
      <c r="D5020" s="1" t="s">
        <v>2002</v>
      </c>
      <c r="E5020" s="1">
        <v>103376</v>
      </c>
      <c r="F5020" s="6" t="s">
        <v>7022</v>
      </c>
      <c r="G5020" s="15" t="str">
        <f>VLOOKUP(A5020,Movie!A:D,4,FALSE)</f>
        <v>Open Road Films</v>
      </c>
      <c r="H5020" s="14">
        <f>VLOOKUP(E5020,'Rental Transaction'!A:B,2,FALSE)</f>
        <v>599995</v>
      </c>
      <c r="I5020">
        <f t="shared" si="78"/>
        <v>2014</v>
      </c>
    </row>
    <row r="5021" spans="1:9">
      <c r="A5021" s="1">
        <v>10163</v>
      </c>
      <c r="B5021" s="1">
        <v>5</v>
      </c>
      <c r="C5021" s="2">
        <v>41701</v>
      </c>
      <c r="D5021" s="1" t="s">
        <v>2005</v>
      </c>
      <c r="E5021" s="1">
        <v>103378</v>
      </c>
      <c r="F5021" s="6" t="s">
        <v>7023</v>
      </c>
      <c r="G5021" s="15" t="str">
        <f>VLOOKUP(A5021,Movie!A:D,4,FALSE)</f>
        <v>Warner Brothers</v>
      </c>
      <c r="H5021" s="14">
        <f>VLOOKUP(E5021,'Rental Transaction'!A:B,2,FALSE)</f>
        <v>782947</v>
      </c>
      <c r="I5021">
        <f t="shared" si="78"/>
        <v>2014</v>
      </c>
    </row>
    <row r="5022" spans="1:9" ht="29.25">
      <c r="A5022" s="1">
        <v>10095</v>
      </c>
      <c r="B5022" s="1">
        <v>3</v>
      </c>
      <c r="C5022" s="2">
        <v>41705</v>
      </c>
      <c r="D5022" s="1" t="s">
        <v>2002</v>
      </c>
      <c r="E5022" s="1">
        <v>103378</v>
      </c>
      <c r="F5022" s="6" t="s">
        <v>7024</v>
      </c>
      <c r="G5022" s="15" t="str">
        <f>VLOOKUP(A5022,Movie!A:D,4,FALSE)</f>
        <v>Weinstein Company</v>
      </c>
      <c r="H5022" s="14">
        <f>VLOOKUP(E5022,'Rental Transaction'!A:B,2,FALSE)</f>
        <v>782947</v>
      </c>
      <c r="I5022">
        <f t="shared" si="78"/>
        <v>2014</v>
      </c>
    </row>
    <row r="5023" spans="1:9">
      <c r="A5023" s="1">
        <v>10193</v>
      </c>
      <c r="B5023" s="1">
        <v>5</v>
      </c>
      <c r="C5023" s="2">
        <v>41701</v>
      </c>
      <c r="D5023" s="1" t="s">
        <v>2002</v>
      </c>
      <c r="E5023" s="1">
        <v>103378</v>
      </c>
      <c r="F5023" s="6" t="s">
        <v>7025</v>
      </c>
      <c r="G5023" s="15" t="str">
        <f>VLOOKUP(A5023,Movie!A:D,4,FALSE)</f>
        <v>Fox</v>
      </c>
      <c r="H5023" s="14">
        <f>VLOOKUP(E5023,'Rental Transaction'!A:B,2,FALSE)</f>
        <v>782947</v>
      </c>
      <c r="I5023">
        <f t="shared" si="78"/>
        <v>2014</v>
      </c>
    </row>
    <row r="5024" spans="1:9">
      <c r="A5024" s="1">
        <v>10110</v>
      </c>
      <c r="B5024" s="1">
        <v>10</v>
      </c>
      <c r="C5024" s="2">
        <v>41702</v>
      </c>
      <c r="D5024" s="1" t="s">
        <v>2002</v>
      </c>
      <c r="E5024" s="1">
        <v>103379</v>
      </c>
      <c r="F5024" s="6" t="s">
        <v>7026</v>
      </c>
      <c r="G5024" s="15" t="str">
        <f>VLOOKUP(A5024,Movie!A:D,4,FALSE)</f>
        <v>Warner Brothers</v>
      </c>
      <c r="H5024" s="14">
        <f>VLOOKUP(E5024,'Rental Transaction'!A:B,2,FALSE)</f>
        <v>205927</v>
      </c>
      <c r="I5024">
        <f t="shared" si="78"/>
        <v>2014</v>
      </c>
    </row>
    <row r="5025" spans="1:9">
      <c r="A5025" s="1">
        <v>10275</v>
      </c>
      <c r="B5025" s="1">
        <v>7</v>
      </c>
      <c r="C5025" s="2">
        <v>41701</v>
      </c>
      <c r="D5025" s="1" t="s">
        <v>2005</v>
      </c>
      <c r="E5025" s="1">
        <v>103379</v>
      </c>
      <c r="F5025" s="6" t="s">
        <v>7027</v>
      </c>
      <c r="G5025" s="15" t="str">
        <f>VLOOKUP(A5025,Movie!A:D,4,FALSE)</f>
        <v>Lionsgate</v>
      </c>
      <c r="H5025" s="14">
        <f>VLOOKUP(E5025,'Rental Transaction'!A:B,2,FALSE)</f>
        <v>205927</v>
      </c>
      <c r="I5025">
        <f t="shared" si="78"/>
        <v>2014</v>
      </c>
    </row>
    <row r="5026" spans="1:9">
      <c r="A5026" s="1">
        <v>10349</v>
      </c>
      <c r="B5026" s="1">
        <v>2</v>
      </c>
      <c r="C5026" s="2">
        <v>41701</v>
      </c>
      <c r="D5026" s="1" t="s">
        <v>2002</v>
      </c>
      <c r="E5026" s="1">
        <v>103380</v>
      </c>
      <c r="F5026" s="6" t="s">
        <v>7028</v>
      </c>
      <c r="G5026" s="15" t="str">
        <f>VLOOKUP(A5026,Movie!A:D,4,FALSE)</f>
        <v>Screen Gems</v>
      </c>
      <c r="H5026" s="14">
        <f>VLOOKUP(E5026,'Rental Transaction'!A:B,2,FALSE)</f>
        <v>408341</v>
      </c>
      <c r="I5026">
        <f t="shared" si="78"/>
        <v>2014</v>
      </c>
    </row>
    <row r="5027" spans="1:9" ht="29.25">
      <c r="A5027" s="1">
        <v>10249</v>
      </c>
      <c r="B5027" s="1">
        <v>3</v>
      </c>
      <c r="C5027" s="2">
        <v>41701</v>
      </c>
      <c r="D5027" s="1" t="s">
        <v>2005</v>
      </c>
      <c r="E5027" s="1">
        <v>103381</v>
      </c>
      <c r="F5027" s="6" t="s">
        <v>7029</v>
      </c>
      <c r="G5027" s="15" t="str">
        <f>VLOOKUP(A5027,Movie!A:D,4,FALSE)</f>
        <v>Summit Entertainment</v>
      </c>
      <c r="H5027" s="14">
        <f>VLOOKUP(E5027,'Rental Transaction'!A:B,2,FALSE)</f>
        <v>111991</v>
      </c>
      <c r="I5027">
        <f t="shared" si="78"/>
        <v>2014</v>
      </c>
    </row>
    <row r="5028" spans="1:9">
      <c r="A5028" s="1">
        <v>10020</v>
      </c>
      <c r="B5028" s="1">
        <v>4</v>
      </c>
      <c r="C5028" s="2">
        <v>41702</v>
      </c>
      <c r="D5028" s="1" t="s">
        <v>2002</v>
      </c>
      <c r="E5028" s="1">
        <v>103381</v>
      </c>
      <c r="F5028" s="6" t="s">
        <v>7030</v>
      </c>
      <c r="G5028" s="15" t="str">
        <f>VLOOKUP(A5028,Movie!A:D,4,FALSE)</f>
        <v>FilmDistrict</v>
      </c>
      <c r="H5028" s="14">
        <f>VLOOKUP(E5028,'Rental Transaction'!A:B,2,FALSE)</f>
        <v>111991</v>
      </c>
      <c r="I5028">
        <f t="shared" si="78"/>
        <v>2014</v>
      </c>
    </row>
    <row r="5029" spans="1:9">
      <c r="A5029" s="1">
        <v>10197</v>
      </c>
      <c r="B5029" s="1">
        <v>6</v>
      </c>
      <c r="C5029" s="2">
        <v>41701</v>
      </c>
      <c r="D5029" s="1" t="s">
        <v>2002</v>
      </c>
      <c r="E5029" s="1">
        <v>103382</v>
      </c>
      <c r="F5029" s="6" t="s">
        <v>7031</v>
      </c>
      <c r="G5029" s="15" t="str">
        <f>VLOOKUP(A5029,Movie!A:D,4,FALSE)</f>
        <v>Warner Brothers</v>
      </c>
      <c r="H5029" s="14">
        <f>VLOOKUP(E5029,'Rental Transaction'!A:B,2,FALSE)</f>
        <v>724813</v>
      </c>
      <c r="I5029">
        <f t="shared" si="78"/>
        <v>2014</v>
      </c>
    </row>
    <row r="5030" spans="1:9">
      <c r="A5030" s="1">
        <v>10106</v>
      </c>
      <c r="B5030" s="1">
        <v>3</v>
      </c>
      <c r="C5030" s="2">
        <v>41703</v>
      </c>
      <c r="D5030" s="1" t="s">
        <v>2002</v>
      </c>
      <c r="E5030" s="1">
        <v>103382</v>
      </c>
      <c r="F5030" s="6" t="s">
        <v>7032</v>
      </c>
      <c r="G5030" s="15" t="str">
        <f>VLOOKUP(A5030,Movie!A:D,4,FALSE)</f>
        <v>Fox</v>
      </c>
      <c r="H5030" s="14">
        <f>VLOOKUP(E5030,'Rental Transaction'!A:B,2,FALSE)</f>
        <v>724813</v>
      </c>
      <c r="I5030">
        <f t="shared" si="78"/>
        <v>2014</v>
      </c>
    </row>
    <row r="5031" spans="1:9">
      <c r="A5031" s="1">
        <v>10200</v>
      </c>
      <c r="B5031" s="1">
        <v>9</v>
      </c>
      <c r="C5031" s="2">
        <v>41702</v>
      </c>
      <c r="D5031" s="1" t="s">
        <v>2005</v>
      </c>
      <c r="E5031" s="1">
        <v>103384</v>
      </c>
      <c r="F5031" s="6" t="s">
        <v>7033</v>
      </c>
      <c r="G5031" s="15" t="str">
        <f>VLOOKUP(A5031,Movie!A:D,4,FALSE)</f>
        <v>Fox</v>
      </c>
      <c r="H5031" s="14">
        <f>VLOOKUP(E5031,'Rental Transaction'!A:B,2,FALSE)</f>
        <v>426830</v>
      </c>
      <c r="I5031">
        <f t="shared" si="78"/>
        <v>2014</v>
      </c>
    </row>
    <row r="5032" spans="1:9">
      <c r="A5032" s="1">
        <v>10273</v>
      </c>
      <c r="B5032" s="1">
        <v>10</v>
      </c>
      <c r="C5032" s="2">
        <v>41702</v>
      </c>
      <c r="D5032" s="1" t="s">
        <v>2002</v>
      </c>
      <c r="E5032" s="1">
        <v>103386</v>
      </c>
      <c r="F5032" s="6" t="s">
        <v>7034</v>
      </c>
      <c r="G5032" s="15" t="str">
        <f>VLOOKUP(A5032,Movie!A:D,4,FALSE)</f>
        <v>Sony</v>
      </c>
      <c r="H5032" s="14">
        <f>VLOOKUP(E5032,'Rental Transaction'!A:B,2,FALSE)</f>
        <v>880238</v>
      </c>
      <c r="I5032">
        <f t="shared" si="78"/>
        <v>2014</v>
      </c>
    </row>
    <row r="5033" spans="1:9">
      <c r="A5033" s="1">
        <v>10235</v>
      </c>
      <c r="B5033" s="1">
        <v>10</v>
      </c>
      <c r="C5033" s="2">
        <v>41702</v>
      </c>
      <c r="D5033" s="1" t="s">
        <v>2002</v>
      </c>
      <c r="E5033" s="1">
        <v>103387</v>
      </c>
      <c r="F5033" s="6" t="s">
        <v>7035</v>
      </c>
      <c r="G5033" s="15" t="str">
        <f>VLOOKUP(A5033,Movie!A:D,4,FALSE)</f>
        <v>Lionsgate</v>
      </c>
      <c r="H5033" s="14">
        <f>VLOOKUP(E5033,'Rental Transaction'!A:B,2,FALSE)</f>
        <v>329994</v>
      </c>
      <c r="I5033">
        <f t="shared" si="78"/>
        <v>2014</v>
      </c>
    </row>
    <row r="5034" spans="1:9" ht="29.25">
      <c r="A5034" s="1">
        <v>10285</v>
      </c>
      <c r="B5034" s="1">
        <v>8</v>
      </c>
      <c r="C5034" s="2">
        <v>41702</v>
      </c>
      <c r="D5034" s="1" t="s">
        <v>2002</v>
      </c>
      <c r="E5034" s="1">
        <v>103388</v>
      </c>
      <c r="F5034" s="6" t="s">
        <v>7036</v>
      </c>
      <c r="G5034" s="15" t="str">
        <f>VLOOKUP(A5034,Movie!A:D,4,FALSE)</f>
        <v>Roadside Attractions</v>
      </c>
      <c r="H5034" s="14">
        <f>VLOOKUP(E5034,'Rental Transaction'!A:B,2,FALSE)</f>
        <v>608290</v>
      </c>
      <c r="I5034">
        <f t="shared" si="78"/>
        <v>2014</v>
      </c>
    </row>
    <row r="5035" spans="1:9">
      <c r="A5035" s="1">
        <v>10287</v>
      </c>
      <c r="B5035" s="1">
        <v>7</v>
      </c>
      <c r="C5035" s="2">
        <v>41703</v>
      </c>
      <c r="D5035" s="1" t="s">
        <v>2002</v>
      </c>
      <c r="E5035" s="1">
        <v>103389</v>
      </c>
      <c r="F5035" s="6" t="s">
        <v>7037</v>
      </c>
      <c r="G5035" s="15" t="str">
        <f>VLOOKUP(A5035,Movie!A:D,4,FALSE)</f>
        <v>Lionsgate</v>
      </c>
      <c r="H5035" s="14">
        <f>VLOOKUP(E5035,'Rental Transaction'!A:B,2,FALSE)</f>
        <v>292402</v>
      </c>
      <c r="I5035">
        <f t="shared" si="78"/>
        <v>2014</v>
      </c>
    </row>
    <row r="5036" spans="1:9">
      <c r="A5036" s="1">
        <v>10233</v>
      </c>
      <c r="B5036" s="1">
        <v>8</v>
      </c>
      <c r="C5036" s="2">
        <v>41703</v>
      </c>
      <c r="D5036" s="1" t="s">
        <v>2002</v>
      </c>
      <c r="E5036" s="1">
        <v>103390</v>
      </c>
      <c r="F5036" s="6" t="s">
        <v>7038</v>
      </c>
      <c r="G5036" s="15" t="str">
        <f>VLOOKUP(A5036,Movie!A:D,4,FALSE)</f>
        <v>Screen Gems</v>
      </c>
      <c r="H5036" s="14">
        <f>VLOOKUP(E5036,'Rental Transaction'!A:B,2,FALSE)</f>
        <v>808421</v>
      </c>
      <c r="I5036">
        <f t="shared" si="78"/>
        <v>2014</v>
      </c>
    </row>
    <row r="5037" spans="1:9">
      <c r="A5037" s="1">
        <v>10162</v>
      </c>
      <c r="B5037" s="1">
        <v>1</v>
      </c>
      <c r="C5037" s="2">
        <v>41709</v>
      </c>
      <c r="D5037" s="1" t="s">
        <v>2002</v>
      </c>
      <c r="E5037" s="1">
        <v>103390</v>
      </c>
      <c r="F5037" s="6" t="s">
        <v>7039</v>
      </c>
      <c r="G5037" s="15" t="str">
        <f>VLOOKUP(A5037,Movie!A:D,4,FALSE)</f>
        <v>Sony</v>
      </c>
      <c r="H5037" s="14">
        <f>VLOOKUP(E5037,'Rental Transaction'!A:B,2,FALSE)</f>
        <v>808421</v>
      </c>
      <c r="I5037">
        <f t="shared" si="78"/>
        <v>2014</v>
      </c>
    </row>
    <row r="5038" spans="1:9">
      <c r="A5038" s="1">
        <v>10108</v>
      </c>
      <c r="B5038" s="1">
        <v>2</v>
      </c>
      <c r="C5038" s="2">
        <v>41702</v>
      </c>
      <c r="D5038" s="1" t="s">
        <v>2002</v>
      </c>
      <c r="E5038" s="1">
        <v>103390</v>
      </c>
      <c r="F5038" s="6" t="s">
        <v>7040</v>
      </c>
      <c r="G5038" s="15" t="str">
        <f>VLOOKUP(A5038,Movie!A:D,4,FALSE)</f>
        <v>Fox</v>
      </c>
      <c r="H5038" s="14">
        <f>VLOOKUP(E5038,'Rental Transaction'!A:B,2,FALSE)</f>
        <v>808421</v>
      </c>
      <c r="I5038">
        <f t="shared" si="78"/>
        <v>2014</v>
      </c>
    </row>
    <row r="5039" spans="1:9">
      <c r="A5039" s="1">
        <v>10224</v>
      </c>
      <c r="B5039" s="1">
        <v>10</v>
      </c>
      <c r="C5039" s="2">
        <v>41705</v>
      </c>
      <c r="D5039" s="1" t="s">
        <v>2002</v>
      </c>
      <c r="E5039" s="1">
        <v>103391</v>
      </c>
      <c r="F5039" s="6" t="s">
        <v>7041</v>
      </c>
      <c r="G5039" s="15" t="str">
        <f>VLOOKUP(A5039,Movie!A:D,4,FALSE)</f>
        <v>Fox Searchlight</v>
      </c>
      <c r="H5039" s="14">
        <f>VLOOKUP(E5039,'Rental Transaction'!A:B,2,FALSE)</f>
        <v>524667</v>
      </c>
      <c r="I5039">
        <f t="shared" si="78"/>
        <v>2014</v>
      </c>
    </row>
    <row r="5040" spans="1:9">
      <c r="A5040" s="1">
        <v>10298</v>
      </c>
      <c r="B5040" s="1">
        <v>3</v>
      </c>
      <c r="C5040" s="2">
        <v>41703</v>
      </c>
      <c r="D5040" s="1" t="s">
        <v>2002</v>
      </c>
      <c r="E5040" s="1">
        <v>103393</v>
      </c>
      <c r="F5040" s="6" t="s">
        <v>7042</v>
      </c>
      <c r="G5040" s="15" t="str">
        <f>VLOOKUP(A5040,Movie!A:D,4,FALSE)</f>
        <v>UTV</v>
      </c>
      <c r="H5040" s="14">
        <f>VLOOKUP(E5040,'Rental Transaction'!A:B,2,FALSE)</f>
        <v>731346</v>
      </c>
      <c r="I5040">
        <f t="shared" si="78"/>
        <v>2014</v>
      </c>
    </row>
    <row r="5041" spans="1:9">
      <c r="A5041" s="1">
        <v>10045</v>
      </c>
      <c r="B5041" s="1">
        <v>4</v>
      </c>
      <c r="C5041" s="2">
        <v>41703</v>
      </c>
      <c r="D5041" s="1" t="s">
        <v>2005</v>
      </c>
      <c r="E5041" s="1">
        <v>103393</v>
      </c>
      <c r="F5041" s="6" t="s">
        <v>7043</v>
      </c>
      <c r="G5041" s="15" t="str">
        <f>VLOOKUP(A5041,Movie!A:D,4,FALSE)</f>
        <v>Warner Brothers</v>
      </c>
      <c r="H5041" s="14">
        <f>VLOOKUP(E5041,'Rental Transaction'!A:B,2,FALSE)</f>
        <v>731346</v>
      </c>
      <c r="I5041">
        <f t="shared" si="78"/>
        <v>2014</v>
      </c>
    </row>
    <row r="5042" spans="1:9">
      <c r="A5042" s="1">
        <v>10234</v>
      </c>
      <c r="B5042" s="1">
        <v>2</v>
      </c>
      <c r="C5042" s="2">
        <v>41704</v>
      </c>
      <c r="D5042" s="1" t="s">
        <v>2002</v>
      </c>
      <c r="E5042" s="1">
        <v>103393</v>
      </c>
      <c r="F5042" s="6" t="s">
        <v>7044</v>
      </c>
      <c r="G5042" s="15" t="str">
        <f>VLOOKUP(A5042,Movie!A:D,4,FALSE)</f>
        <v>Warner Brothers</v>
      </c>
      <c r="H5042" s="14">
        <f>VLOOKUP(E5042,'Rental Transaction'!A:B,2,FALSE)</f>
        <v>731346</v>
      </c>
      <c r="I5042">
        <f t="shared" si="78"/>
        <v>2014</v>
      </c>
    </row>
    <row r="5043" spans="1:9">
      <c r="A5043" s="1">
        <v>10233</v>
      </c>
      <c r="B5043" s="1">
        <v>1</v>
      </c>
      <c r="C5043" s="2">
        <v>41703</v>
      </c>
      <c r="D5043" s="1" t="s">
        <v>2002</v>
      </c>
      <c r="E5043" s="1">
        <v>103395</v>
      </c>
      <c r="F5043" s="6" t="s">
        <v>7045</v>
      </c>
      <c r="G5043" s="15" t="str">
        <f>VLOOKUP(A5043,Movie!A:D,4,FALSE)</f>
        <v>Screen Gems</v>
      </c>
      <c r="H5043" s="14">
        <f>VLOOKUP(E5043,'Rental Transaction'!A:B,2,FALSE)</f>
        <v>994056</v>
      </c>
      <c r="I5043">
        <f t="shared" si="78"/>
        <v>2014</v>
      </c>
    </row>
    <row r="5044" spans="1:9">
      <c r="A5044" s="1">
        <v>10207</v>
      </c>
      <c r="B5044" s="1">
        <v>10</v>
      </c>
      <c r="C5044" s="2">
        <v>41703</v>
      </c>
      <c r="D5044" s="1" t="s">
        <v>2002</v>
      </c>
      <c r="E5044" s="1">
        <v>103396</v>
      </c>
      <c r="F5044" s="6" t="s">
        <v>7046</v>
      </c>
      <c r="G5044" s="15" t="str">
        <f>VLOOKUP(A5044,Movie!A:D,4,FALSE)</f>
        <v>Paramount</v>
      </c>
      <c r="H5044" s="14">
        <f>VLOOKUP(E5044,'Rental Transaction'!A:B,2,FALSE)</f>
        <v>556619</v>
      </c>
      <c r="I5044">
        <f t="shared" si="78"/>
        <v>2014</v>
      </c>
    </row>
    <row r="5045" spans="1:9">
      <c r="A5045" s="1">
        <v>10250</v>
      </c>
      <c r="B5045" s="1">
        <v>4</v>
      </c>
      <c r="C5045" s="2">
        <v>41704</v>
      </c>
      <c r="D5045" s="1" t="s">
        <v>2005</v>
      </c>
      <c r="E5045" s="1">
        <v>103400</v>
      </c>
      <c r="F5045" s="6" t="s">
        <v>7047</v>
      </c>
      <c r="G5045" s="15" t="str">
        <f>VLOOKUP(A5045,Movie!A:D,4,FALSE)</f>
        <v>Buena Vista</v>
      </c>
      <c r="H5045" s="14">
        <f>VLOOKUP(E5045,'Rental Transaction'!A:B,2,FALSE)</f>
        <v>951702</v>
      </c>
      <c r="I5045">
        <f t="shared" si="78"/>
        <v>2014</v>
      </c>
    </row>
    <row r="5046" spans="1:9">
      <c r="A5046" s="1">
        <v>10225</v>
      </c>
      <c r="B5046" s="1">
        <v>10</v>
      </c>
      <c r="C5046" s="2">
        <v>41707</v>
      </c>
      <c r="D5046" s="1" t="s">
        <v>2002</v>
      </c>
      <c r="E5046" s="1">
        <v>103402</v>
      </c>
      <c r="F5046" s="6" t="s">
        <v>7048</v>
      </c>
      <c r="G5046" s="15" t="str">
        <f>VLOOKUP(A5046,Movie!A:D,4,FALSE)</f>
        <v>Warner Brothers</v>
      </c>
      <c r="H5046" s="14">
        <f>VLOOKUP(E5046,'Rental Transaction'!A:B,2,FALSE)</f>
        <v>656512</v>
      </c>
      <c r="I5046">
        <f t="shared" si="78"/>
        <v>2014</v>
      </c>
    </row>
    <row r="5047" spans="1:9">
      <c r="A5047" s="1">
        <v>10227</v>
      </c>
      <c r="B5047" s="1">
        <v>10</v>
      </c>
      <c r="C5047" s="2">
        <v>41704</v>
      </c>
      <c r="D5047" s="1" t="s">
        <v>2002</v>
      </c>
      <c r="E5047" s="1">
        <v>103404</v>
      </c>
      <c r="F5047" s="6" t="s">
        <v>7049</v>
      </c>
      <c r="G5047" s="15" t="str">
        <f>VLOOKUP(A5047,Movie!A:D,4,FALSE)</f>
        <v>Focus</v>
      </c>
      <c r="H5047" s="14">
        <f>VLOOKUP(E5047,'Rental Transaction'!A:B,2,FALSE)</f>
        <v>427826</v>
      </c>
      <c r="I5047">
        <f t="shared" si="78"/>
        <v>2014</v>
      </c>
    </row>
    <row r="5048" spans="1:9">
      <c r="A5048" s="1">
        <v>10206</v>
      </c>
      <c r="B5048" s="1">
        <v>6</v>
      </c>
      <c r="C5048" s="2">
        <v>41704</v>
      </c>
      <c r="D5048" s="1" t="s">
        <v>2002</v>
      </c>
      <c r="E5048" s="1">
        <v>103405</v>
      </c>
      <c r="F5048" s="6" t="s">
        <v>7050</v>
      </c>
      <c r="G5048" s="15" t="str">
        <f>VLOOKUP(A5048,Movie!A:D,4,FALSE)</f>
        <v>Fox</v>
      </c>
      <c r="H5048" s="14">
        <f>VLOOKUP(E5048,'Rental Transaction'!A:B,2,FALSE)</f>
        <v>305005</v>
      </c>
      <c r="I5048">
        <f t="shared" si="78"/>
        <v>2014</v>
      </c>
    </row>
    <row r="5049" spans="1:9">
      <c r="A5049" s="1">
        <v>10254</v>
      </c>
      <c r="B5049" s="1">
        <v>8</v>
      </c>
      <c r="C5049" s="2">
        <v>41705</v>
      </c>
      <c r="D5049" s="1" t="s">
        <v>2002</v>
      </c>
      <c r="E5049" s="1">
        <v>103407</v>
      </c>
      <c r="F5049" s="6" t="s">
        <v>7051</v>
      </c>
      <c r="G5049" s="15" t="str">
        <f>VLOOKUP(A5049,Movie!A:D,4,FALSE)</f>
        <v>Paramount</v>
      </c>
      <c r="H5049" s="14">
        <f>VLOOKUP(E5049,'Rental Transaction'!A:B,2,FALSE)</f>
        <v>493552</v>
      </c>
      <c r="I5049">
        <f t="shared" si="78"/>
        <v>2014</v>
      </c>
    </row>
    <row r="5050" spans="1:9" ht="29.25">
      <c r="A5050" s="1">
        <v>10140</v>
      </c>
      <c r="B5050" s="1">
        <v>1</v>
      </c>
      <c r="C5050" s="2">
        <v>41705</v>
      </c>
      <c r="D5050" s="1" t="s">
        <v>2002</v>
      </c>
      <c r="E5050" s="1">
        <v>103408</v>
      </c>
      <c r="F5050" s="6" t="s">
        <v>7052</v>
      </c>
      <c r="G5050" s="15" t="str">
        <f>VLOOKUP(A5050,Movie!A:D,4,FALSE)</f>
        <v>Weinstein Company</v>
      </c>
      <c r="H5050" s="14">
        <f>VLOOKUP(E5050,'Rental Transaction'!A:B,2,FALSE)</f>
        <v>932618</v>
      </c>
      <c r="I5050">
        <f t="shared" si="78"/>
        <v>2014</v>
      </c>
    </row>
    <row r="5051" spans="1:9">
      <c r="A5051" s="1">
        <v>10281</v>
      </c>
      <c r="B5051" s="1">
        <v>4</v>
      </c>
      <c r="C5051" s="2">
        <v>41711</v>
      </c>
      <c r="D5051" s="1" t="s">
        <v>2005</v>
      </c>
      <c r="E5051" s="1">
        <v>103409</v>
      </c>
      <c r="F5051" s="6" t="s">
        <v>7053</v>
      </c>
      <c r="G5051" s="15" t="str">
        <f>VLOOKUP(A5051,Movie!A:D,4,FALSE)</f>
        <v>Lionsgate</v>
      </c>
      <c r="H5051" s="14">
        <f>VLOOKUP(E5051,'Rental Transaction'!A:B,2,FALSE)</f>
        <v>745543</v>
      </c>
      <c r="I5051">
        <f t="shared" si="78"/>
        <v>2014</v>
      </c>
    </row>
    <row r="5052" spans="1:9">
      <c r="A5052" s="1">
        <v>10244</v>
      </c>
      <c r="B5052" s="1">
        <v>7</v>
      </c>
      <c r="C5052" s="2">
        <v>41709</v>
      </c>
      <c r="D5052" s="1" t="s">
        <v>2002</v>
      </c>
      <c r="E5052" s="1">
        <v>103409</v>
      </c>
      <c r="F5052" s="6" t="s">
        <v>7054</v>
      </c>
      <c r="G5052" s="15" t="str">
        <f>VLOOKUP(A5052,Movie!A:D,4,FALSE)</f>
        <v>Sony</v>
      </c>
      <c r="H5052" s="14">
        <f>VLOOKUP(E5052,'Rental Transaction'!A:B,2,FALSE)</f>
        <v>745543</v>
      </c>
      <c r="I5052">
        <f t="shared" si="78"/>
        <v>2014</v>
      </c>
    </row>
    <row r="5053" spans="1:9">
      <c r="A5053" s="1">
        <v>10146</v>
      </c>
      <c r="B5053" s="1">
        <v>7</v>
      </c>
      <c r="C5053" s="2">
        <v>41705</v>
      </c>
      <c r="D5053" s="1" t="s">
        <v>2002</v>
      </c>
      <c r="E5053" s="1">
        <v>103412</v>
      </c>
      <c r="F5053" s="6" t="s">
        <v>7055</v>
      </c>
      <c r="G5053" s="15" t="str">
        <f>VLOOKUP(A5053,Movie!A:D,4,FALSE)</f>
        <v>Sony</v>
      </c>
      <c r="H5053" s="14">
        <f>VLOOKUP(E5053,'Rental Transaction'!A:B,2,FALSE)</f>
        <v>717234</v>
      </c>
      <c r="I5053">
        <f t="shared" si="78"/>
        <v>2014</v>
      </c>
    </row>
    <row r="5054" spans="1:9">
      <c r="A5054" s="1">
        <v>10276</v>
      </c>
      <c r="B5054" s="1">
        <v>4</v>
      </c>
      <c r="C5054" s="2">
        <v>41706</v>
      </c>
      <c r="D5054" s="1" t="s">
        <v>2002</v>
      </c>
      <c r="E5054" s="1">
        <v>103412</v>
      </c>
      <c r="F5054" s="6" t="s">
        <v>7056</v>
      </c>
      <c r="G5054" s="15" t="str">
        <f>VLOOKUP(A5054,Movie!A:D,4,FALSE)</f>
        <v>FilmDistrict</v>
      </c>
      <c r="H5054" s="14">
        <f>VLOOKUP(E5054,'Rental Transaction'!A:B,2,FALSE)</f>
        <v>717234</v>
      </c>
      <c r="I5054">
        <f t="shared" si="78"/>
        <v>2014</v>
      </c>
    </row>
    <row r="5055" spans="1:9">
      <c r="A5055" s="1">
        <v>10159</v>
      </c>
      <c r="B5055" s="1">
        <v>10</v>
      </c>
      <c r="C5055" s="2">
        <v>41707</v>
      </c>
      <c r="D5055" s="1" t="s">
        <v>2002</v>
      </c>
      <c r="E5055" s="1">
        <v>103413</v>
      </c>
      <c r="F5055" s="6" t="s">
        <v>7057</v>
      </c>
      <c r="G5055" s="15" t="str">
        <f>VLOOKUP(A5055,Movie!A:D,4,FALSE)</f>
        <v>Lionsgate</v>
      </c>
      <c r="H5055" s="14">
        <f>VLOOKUP(E5055,'Rental Transaction'!A:B,2,FALSE)</f>
        <v>441628</v>
      </c>
      <c r="I5055">
        <f t="shared" si="78"/>
        <v>2014</v>
      </c>
    </row>
    <row r="5056" spans="1:9">
      <c r="A5056" s="1">
        <v>10228</v>
      </c>
      <c r="B5056" s="1">
        <v>10</v>
      </c>
      <c r="C5056" s="2">
        <v>41705</v>
      </c>
      <c r="D5056" s="1" t="s">
        <v>2002</v>
      </c>
      <c r="E5056" s="1">
        <v>103413</v>
      </c>
      <c r="F5056" s="6" t="s">
        <v>7058</v>
      </c>
      <c r="G5056" s="15" t="str">
        <f>VLOOKUP(A5056,Movie!A:D,4,FALSE)</f>
        <v>Universal</v>
      </c>
      <c r="H5056" s="14">
        <f>VLOOKUP(E5056,'Rental Transaction'!A:B,2,FALSE)</f>
        <v>441628</v>
      </c>
      <c r="I5056">
        <f t="shared" si="78"/>
        <v>2014</v>
      </c>
    </row>
    <row r="5057" spans="1:9">
      <c r="A5057" s="1">
        <v>10196</v>
      </c>
      <c r="B5057" s="1">
        <v>9</v>
      </c>
      <c r="C5057" s="2">
        <v>41705</v>
      </c>
      <c r="D5057" s="1" t="s">
        <v>2002</v>
      </c>
      <c r="E5057" s="1">
        <v>103414</v>
      </c>
      <c r="F5057" s="6" t="s">
        <v>7059</v>
      </c>
      <c r="G5057" s="15" t="str">
        <f>VLOOKUP(A5057,Movie!A:D,4,FALSE)</f>
        <v>Fox</v>
      </c>
      <c r="H5057" s="14">
        <f>VLOOKUP(E5057,'Rental Transaction'!A:B,2,FALSE)</f>
        <v>561305</v>
      </c>
      <c r="I5057">
        <f t="shared" si="78"/>
        <v>2014</v>
      </c>
    </row>
    <row r="5058" spans="1:9">
      <c r="A5058" s="1">
        <v>10091</v>
      </c>
      <c r="B5058" s="1">
        <v>7</v>
      </c>
      <c r="C5058" s="2">
        <v>41707</v>
      </c>
      <c r="D5058" s="1" t="s">
        <v>2002</v>
      </c>
      <c r="E5058" s="1">
        <v>103415</v>
      </c>
      <c r="F5058" s="6" t="s">
        <v>7060</v>
      </c>
      <c r="G5058" s="15" t="str">
        <f>VLOOKUP(A5058,Movie!A:D,4,FALSE)</f>
        <v>Warner Brothers</v>
      </c>
      <c r="H5058" s="14">
        <f>VLOOKUP(E5058,'Rental Transaction'!A:B,2,FALSE)</f>
        <v>890497</v>
      </c>
      <c r="I5058">
        <f t="shared" si="78"/>
        <v>2014</v>
      </c>
    </row>
    <row r="5059" spans="1:9">
      <c r="A5059" s="1">
        <v>10180</v>
      </c>
      <c r="B5059" s="1">
        <v>5</v>
      </c>
      <c r="C5059" s="2">
        <v>41706</v>
      </c>
      <c r="D5059" s="1" t="s">
        <v>2002</v>
      </c>
      <c r="E5059" s="1">
        <v>103416</v>
      </c>
      <c r="F5059" s="6" t="s">
        <v>7061</v>
      </c>
      <c r="G5059" s="15" t="str">
        <f>VLOOKUP(A5059,Movie!A:D,4,FALSE)</f>
        <v>Relativity</v>
      </c>
      <c r="H5059" s="14">
        <f>VLOOKUP(E5059,'Rental Transaction'!A:B,2,FALSE)</f>
        <v>149240</v>
      </c>
      <c r="I5059">
        <f t="shared" ref="I5059:I5122" si="79">YEAR(C5059)</f>
        <v>2014</v>
      </c>
    </row>
    <row r="5060" spans="1:9">
      <c r="A5060" s="1">
        <v>10275</v>
      </c>
      <c r="B5060" s="1">
        <v>6</v>
      </c>
      <c r="C5060" s="2">
        <v>41706</v>
      </c>
      <c r="D5060" s="1" t="s">
        <v>2002</v>
      </c>
      <c r="E5060" s="1">
        <v>103418</v>
      </c>
      <c r="F5060" s="6" t="s">
        <v>7062</v>
      </c>
      <c r="G5060" s="15" t="str">
        <f>VLOOKUP(A5060,Movie!A:D,4,FALSE)</f>
        <v>Lionsgate</v>
      </c>
      <c r="H5060" s="14">
        <f>VLOOKUP(E5060,'Rental Transaction'!A:B,2,FALSE)</f>
        <v>249188</v>
      </c>
      <c r="I5060">
        <f t="shared" si="79"/>
        <v>2014</v>
      </c>
    </row>
    <row r="5061" spans="1:9">
      <c r="A5061" s="1">
        <v>10161</v>
      </c>
      <c r="B5061" s="1">
        <v>8</v>
      </c>
      <c r="C5061" s="2">
        <v>41708</v>
      </c>
      <c r="D5061" s="1" t="s">
        <v>2002</v>
      </c>
      <c r="E5061" s="1">
        <v>103422</v>
      </c>
      <c r="F5061" s="6" t="s">
        <v>7063</v>
      </c>
      <c r="G5061" s="15" t="str">
        <f>VLOOKUP(A5061,Movie!A:D,4,FALSE)</f>
        <v>TriStar</v>
      </c>
      <c r="H5061" s="14">
        <f>VLOOKUP(E5061,'Rental Transaction'!A:B,2,FALSE)</f>
        <v>893039</v>
      </c>
      <c r="I5061">
        <f t="shared" si="79"/>
        <v>2014</v>
      </c>
    </row>
    <row r="5062" spans="1:9">
      <c r="A5062" s="1">
        <v>10251</v>
      </c>
      <c r="B5062" s="1">
        <v>8</v>
      </c>
      <c r="C5062" s="2">
        <v>41710</v>
      </c>
      <c r="D5062" s="1" t="s">
        <v>2002</v>
      </c>
      <c r="E5062" s="1">
        <v>103423</v>
      </c>
      <c r="F5062" s="6" t="s">
        <v>7064</v>
      </c>
      <c r="G5062" s="15" t="str">
        <f>VLOOKUP(A5062,Movie!A:D,4,FALSE)</f>
        <v>Universal</v>
      </c>
      <c r="H5062" s="14">
        <f>VLOOKUP(E5062,'Rental Transaction'!A:B,2,FALSE)</f>
        <v>520377</v>
      </c>
      <c r="I5062">
        <f t="shared" si="79"/>
        <v>2014</v>
      </c>
    </row>
    <row r="5063" spans="1:9" ht="29.25">
      <c r="A5063" s="1">
        <v>10294</v>
      </c>
      <c r="B5063" s="1">
        <v>5</v>
      </c>
      <c r="C5063" s="2">
        <v>41709</v>
      </c>
      <c r="D5063" s="1" t="s">
        <v>2002</v>
      </c>
      <c r="E5063" s="1">
        <v>103423</v>
      </c>
      <c r="F5063" s="6" t="s">
        <v>7065</v>
      </c>
      <c r="G5063" s="15" t="str">
        <f>VLOOKUP(A5063,Movie!A:D,4,FALSE)</f>
        <v>Weinstein Company</v>
      </c>
      <c r="H5063" s="14">
        <f>VLOOKUP(E5063,'Rental Transaction'!A:B,2,FALSE)</f>
        <v>520377</v>
      </c>
      <c r="I5063">
        <f t="shared" si="79"/>
        <v>2014</v>
      </c>
    </row>
    <row r="5064" spans="1:9">
      <c r="A5064" s="1">
        <v>10224</v>
      </c>
      <c r="B5064" s="1">
        <v>10</v>
      </c>
      <c r="C5064" s="2">
        <v>41708</v>
      </c>
      <c r="D5064" s="1" t="s">
        <v>2005</v>
      </c>
      <c r="E5064" s="1">
        <v>103423</v>
      </c>
      <c r="F5064" s="6" t="s">
        <v>7066</v>
      </c>
      <c r="G5064" s="15" t="str">
        <f>VLOOKUP(A5064,Movie!A:D,4,FALSE)</f>
        <v>Fox Searchlight</v>
      </c>
      <c r="H5064" s="14">
        <f>VLOOKUP(E5064,'Rental Transaction'!A:B,2,FALSE)</f>
        <v>520377</v>
      </c>
      <c r="I5064">
        <f t="shared" si="79"/>
        <v>2014</v>
      </c>
    </row>
    <row r="5065" spans="1:9">
      <c r="A5065" s="1">
        <v>10073</v>
      </c>
      <c r="B5065" s="1">
        <v>3</v>
      </c>
      <c r="C5065" s="2">
        <v>41709</v>
      </c>
      <c r="D5065" s="1" t="s">
        <v>2002</v>
      </c>
      <c r="E5065" s="1">
        <v>103425</v>
      </c>
      <c r="F5065" s="6" t="s">
        <v>7067</v>
      </c>
      <c r="G5065" s="15" t="str">
        <f>VLOOKUP(A5065,Movie!A:D,4,FALSE)</f>
        <v>FilmDistrict</v>
      </c>
      <c r="H5065" s="14">
        <f>VLOOKUP(E5065,'Rental Transaction'!A:B,2,FALSE)</f>
        <v>498970</v>
      </c>
      <c r="I5065">
        <f t="shared" si="79"/>
        <v>2014</v>
      </c>
    </row>
    <row r="5066" spans="1:9">
      <c r="A5066" s="1">
        <v>10270</v>
      </c>
      <c r="B5066" s="1">
        <v>10</v>
      </c>
      <c r="C5066" s="2">
        <v>41709</v>
      </c>
      <c r="D5066" s="1" t="s">
        <v>2002</v>
      </c>
      <c r="E5066" s="1">
        <v>103425</v>
      </c>
      <c r="F5066" s="6" t="s">
        <v>7068</v>
      </c>
      <c r="G5066" s="15" t="str">
        <f>VLOOKUP(A5066,Movie!A:D,4,FALSE)</f>
        <v>Fox</v>
      </c>
      <c r="H5066" s="14">
        <f>VLOOKUP(E5066,'Rental Transaction'!A:B,2,FALSE)</f>
        <v>498970</v>
      </c>
      <c r="I5066">
        <f t="shared" si="79"/>
        <v>2014</v>
      </c>
    </row>
    <row r="5067" spans="1:9">
      <c r="A5067" s="1">
        <v>10078</v>
      </c>
      <c r="B5067" s="1">
        <v>1</v>
      </c>
      <c r="C5067" s="2">
        <v>41707</v>
      </c>
      <c r="D5067" s="1" t="s">
        <v>2002</v>
      </c>
      <c r="E5067" s="1">
        <v>103426</v>
      </c>
      <c r="F5067" s="6" t="s">
        <v>7069</v>
      </c>
      <c r="G5067" s="15" t="str">
        <f>VLOOKUP(A5067,Movie!A:D,4,FALSE)</f>
        <v>Paramount</v>
      </c>
      <c r="H5067" s="14">
        <f>VLOOKUP(E5067,'Rental Transaction'!A:B,2,FALSE)</f>
        <v>332324</v>
      </c>
      <c r="I5067">
        <f t="shared" si="79"/>
        <v>2014</v>
      </c>
    </row>
    <row r="5068" spans="1:9">
      <c r="A5068" s="1">
        <v>10234</v>
      </c>
      <c r="B5068" s="1">
        <v>1</v>
      </c>
      <c r="C5068" s="2">
        <v>41707</v>
      </c>
      <c r="D5068" s="1" t="s">
        <v>2002</v>
      </c>
      <c r="E5068" s="1">
        <v>103427</v>
      </c>
      <c r="F5068" s="6" t="s">
        <v>7070</v>
      </c>
      <c r="G5068" s="15" t="str">
        <f>VLOOKUP(A5068,Movie!A:D,4,FALSE)</f>
        <v>Warner Brothers</v>
      </c>
      <c r="H5068" s="14">
        <f>VLOOKUP(E5068,'Rental Transaction'!A:B,2,FALSE)</f>
        <v>493552</v>
      </c>
      <c r="I5068">
        <f t="shared" si="79"/>
        <v>2014</v>
      </c>
    </row>
    <row r="5069" spans="1:9">
      <c r="A5069" s="1">
        <v>10149</v>
      </c>
      <c r="B5069" s="1">
        <v>3</v>
      </c>
      <c r="C5069" s="2">
        <v>41708</v>
      </c>
      <c r="D5069" s="1" t="s">
        <v>2005</v>
      </c>
      <c r="E5069" s="1">
        <v>103427</v>
      </c>
      <c r="F5069" s="6" t="s">
        <v>7071</v>
      </c>
      <c r="G5069" s="15" t="str">
        <f>VLOOKUP(A5069,Movie!A:D,4,FALSE)</f>
        <v>Relativity</v>
      </c>
      <c r="H5069" s="14">
        <f>VLOOKUP(E5069,'Rental Transaction'!A:B,2,FALSE)</f>
        <v>493552</v>
      </c>
      <c r="I5069">
        <f t="shared" si="79"/>
        <v>2014</v>
      </c>
    </row>
    <row r="5070" spans="1:9">
      <c r="A5070" s="1">
        <v>10293</v>
      </c>
      <c r="B5070" s="1">
        <v>2</v>
      </c>
      <c r="C5070" s="2">
        <v>41709</v>
      </c>
      <c r="D5070" s="1" t="s">
        <v>2002</v>
      </c>
      <c r="E5070" s="1">
        <v>103428</v>
      </c>
      <c r="F5070" s="6" t="s">
        <v>7072</v>
      </c>
      <c r="G5070" s="15" t="str">
        <f>VLOOKUP(A5070,Movie!A:D,4,FALSE)</f>
        <v>Relativity</v>
      </c>
      <c r="H5070" s="14">
        <f>VLOOKUP(E5070,'Rental Transaction'!A:B,2,FALSE)</f>
        <v>747066</v>
      </c>
      <c r="I5070">
        <f t="shared" si="79"/>
        <v>2014</v>
      </c>
    </row>
    <row r="5071" spans="1:9">
      <c r="A5071" s="1">
        <v>10203</v>
      </c>
      <c r="B5071" s="1">
        <v>8</v>
      </c>
      <c r="C5071" s="2">
        <v>41708</v>
      </c>
      <c r="D5071" s="1" t="s">
        <v>2002</v>
      </c>
      <c r="E5071" s="1">
        <v>103429</v>
      </c>
      <c r="F5071" s="6" t="s">
        <v>7073</v>
      </c>
      <c r="G5071" s="15" t="str">
        <f>VLOOKUP(A5071,Movie!A:D,4,FALSE)</f>
        <v>Buena Vista</v>
      </c>
      <c r="H5071" s="14">
        <f>VLOOKUP(E5071,'Rental Transaction'!A:B,2,FALSE)</f>
        <v>308688</v>
      </c>
      <c r="I5071">
        <f t="shared" si="79"/>
        <v>2014</v>
      </c>
    </row>
    <row r="5072" spans="1:9">
      <c r="A5072" s="1">
        <v>10212</v>
      </c>
      <c r="B5072" s="1">
        <v>3</v>
      </c>
      <c r="C5072" s="2">
        <v>41708</v>
      </c>
      <c r="D5072" s="1" t="s">
        <v>2002</v>
      </c>
      <c r="E5072" s="1">
        <v>103429</v>
      </c>
      <c r="F5072" s="6" t="s">
        <v>7074</v>
      </c>
      <c r="G5072" s="15" t="str">
        <f>VLOOKUP(A5072,Movie!A:D,4,FALSE)</f>
        <v>Lionsgate</v>
      </c>
      <c r="H5072" s="14">
        <f>VLOOKUP(E5072,'Rental Transaction'!A:B,2,FALSE)</f>
        <v>308688</v>
      </c>
      <c r="I5072">
        <f t="shared" si="79"/>
        <v>2014</v>
      </c>
    </row>
    <row r="5073" spans="1:9">
      <c r="A5073" s="1">
        <v>10203</v>
      </c>
      <c r="B5073" s="1">
        <v>1</v>
      </c>
      <c r="C5073" s="2">
        <v>41708</v>
      </c>
      <c r="D5073" s="1" t="s">
        <v>2005</v>
      </c>
      <c r="E5073" s="1">
        <v>103430</v>
      </c>
      <c r="F5073" s="6" t="s">
        <v>7075</v>
      </c>
      <c r="G5073" s="15" t="str">
        <f>VLOOKUP(A5073,Movie!A:D,4,FALSE)</f>
        <v>Buena Vista</v>
      </c>
      <c r="H5073" s="14">
        <f>VLOOKUP(E5073,'Rental Transaction'!A:B,2,FALSE)</f>
        <v>882493</v>
      </c>
      <c r="I5073">
        <f t="shared" si="79"/>
        <v>2014</v>
      </c>
    </row>
    <row r="5074" spans="1:9">
      <c r="A5074" s="1">
        <v>10174</v>
      </c>
      <c r="B5074" s="1">
        <v>3</v>
      </c>
      <c r="C5074" s="2">
        <v>41711</v>
      </c>
      <c r="D5074" s="1" t="s">
        <v>2002</v>
      </c>
      <c r="E5074" s="1">
        <v>103431</v>
      </c>
      <c r="F5074" s="6" t="s">
        <v>7076</v>
      </c>
      <c r="G5074" s="15" t="str">
        <f>VLOOKUP(A5074,Movie!A:D,4,FALSE)</f>
        <v>Universal</v>
      </c>
      <c r="H5074" s="14">
        <f>VLOOKUP(E5074,'Rental Transaction'!A:B,2,FALSE)</f>
        <v>741514</v>
      </c>
      <c r="I5074">
        <f t="shared" si="79"/>
        <v>2014</v>
      </c>
    </row>
    <row r="5075" spans="1:9">
      <c r="A5075" s="1">
        <v>10233</v>
      </c>
      <c r="B5075" s="1">
        <v>2</v>
      </c>
      <c r="C5075" s="2">
        <v>41714</v>
      </c>
      <c r="D5075" s="1" t="s">
        <v>2002</v>
      </c>
      <c r="E5075" s="1">
        <v>103431</v>
      </c>
      <c r="F5075" s="6" t="s">
        <v>7077</v>
      </c>
      <c r="G5075" s="15" t="str">
        <f>VLOOKUP(A5075,Movie!A:D,4,FALSE)</f>
        <v>Screen Gems</v>
      </c>
      <c r="H5075" s="14">
        <f>VLOOKUP(E5075,'Rental Transaction'!A:B,2,FALSE)</f>
        <v>741514</v>
      </c>
      <c r="I5075">
        <f t="shared" si="79"/>
        <v>2014</v>
      </c>
    </row>
    <row r="5076" spans="1:9">
      <c r="A5076" s="1">
        <v>10269</v>
      </c>
      <c r="B5076" s="1">
        <v>5</v>
      </c>
      <c r="C5076" s="2">
        <v>41708</v>
      </c>
      <c r="D5076" s="1" t="s">
        <v>2002</v>
      </c>
      <c r="E5076" s="1">
        <v>103432</v>
      </c>
      <c r="F5076" s="6" t="s">
        <v>7078</v>
      </c>
      <c r="G5076" s="15" t="str">
        <f>VLOOKUP(A5076,Movie!A:D,4,FALSE)</f>
        <v>Buena Vista</v>
      </c>
      <c r="H5076" s="14">
        <f>VLOOKUP(E5076,'Rental Transaction'!A:B,2,FALSE)</f>
        <v>741398</v>
      </c>
      <c r="I5076">
        <f t="shared" si="79"/>
        <v>2014</v>
      </c>
    </row>
    <row r="5077" spans="1:9">
      <c r="A5077" s="1">
        <v>10291</v>
      </c>
      <c r="B5077" s="1">
        <v>3</v>
      </c>
      <c r="C5077" s="2">
        <v>41708</v>
      </c>
      <c r="D5077" s="1" t="s">
        <v>2002</v>
      </c>
      <c r="E5077" s="1">
        <v>103432</v>
      </c>
      <c r="F5077" s="6" t="s">
        <v>7079</v>
      </c>
      <c r="G5077" s="15" t="str">
        <f>VLOOKUP(A5077,Movie!A:D,4,FALSE)</f>
        <v>Warner Brothers</v>
      </c>
      <c r="H5077" s="14">
        <f>VLOOKUP(E5077,'Rental Transaction'!A:B,2,FALSE)</f>
        <v>741398</v>
      </c>
      <c r="I5077">
        <f t="shared" si="79"/>
        <v>2014</v>
      </c>
    </row>
    <row r="5078" spans="1:9">
      <c r="A5078" s="1">
        <v>10212</v>
      </c>
      <c r="B5078" s="1">
        <v>9</v>
      </c>
      <c r="C5078" s="2">
        <v>41708</v>
      </c>
      <c r="D5078" s="1" t="s">
        <v>2002</v>
      </c>
      <c r="E5078" s="1">
        <v>103433</v>
      </c>
      <c r="F5078" s="6" t="s">
        <v>7080</v>
      </c>
      <c r="G5078" s="15" t="str">
        <f>VLOOKUP(A5078,Movie!A:D,4,FALSE)</f>
        <v>Lionsgate</v>
      </c>
      <c r="H5078" s="14">
        <f>VLOOKUP(E5078,'Rental Transaction'!A:B,2,FALSE)</f>
        <v>471187</v>
      </c>
      <c r="I5078">
        <f t="shared" si="79"/>
        <v>2014</v>
      </c>
    </row>
    <row r="5079" spans="1:9">
      <c r="A5079" s="1">
        <v>10023</v>
      </c>
      <c r="B5079" s="1">
        <v>5</v>
      </c>
      <c r="C5079" s="2">
        <v>41712</v>
      </c>
      <c r="D5079" s="1" t="s">
        <v>2002</v>
      </c>
      <c r="E5079" s="1">
        <v>103435</v>
      </c>
      <c r="F5079" s="6" t="s">
        <v>7081</v>
      </c>
      <c r="G5079" s="15" t="str">
        <f>VLOOKUP(A5079,Movie!A:D,4,FALSE)</f>
        <v>Buena Vista</v>
      </c>
      <c r="H5079" s="14">
        <f>VLOOKUP(E5079,'Rental Transaction'!A:B,2,FALSE)</f>
        <v>249779</v>
      </c>
      <c r="I5079">
        <f t="shared" si="79"/>
        <v>2014</v>
      </c>
    </row>
    <row r="5080" spans="1:9">
      <c r="A5080" s="1">
        <v>10203</v>
      </c>
      <c r="B5080" s="1">
        <v>10</v>
      </c>
      <c r="C5080" s="2">
        <v>41711</v>
      </c>
      <c r="D5080" s="1" t="s">
        <v>2005</v>
      </c>
      <c r="E5080" s="1">
        <v>103436</v>
      </c>
      <c r="F5080" s="6" t="s">
        <v>7082</v>
      </c>
      <c r="G5080" s="15" t="str">
        <f>VLOOKUP(A5080,Movie!A:D,4,FALSE)</f>
        <v>Buena Vista</v>
      </c>
      <c r="H5080" s="14">
        <f>VLOOKUP(E5080,'Rental Transaction'!A:B,2,FALSE)</f>
        <v>157695</v>
      </c>
      <c r="I5080">
        <f t="shared" si="79"/>
        <v>2014</v>
      </c>
    </row>
    <row r="5081" spans="1:9">
      <c r="A5081" s="1">
        <v>10229</v>
      </c>
      <c r="B5081" s="1">
        <v>6</v>
      </c>
      <c r="C5081" s="2">
        <v>41710</v>
      </c>
      <c r="D5081" s="1" t="s">
        <v>2002</v>
      </c>
      <c r="E5081" s="1">
        <v>103436</v>
      </c>
      <c r="F5081" s="6" t="s">
        <v>7083</v>
      </c>
      <c r="G5081" s="15" t="str">
        <f>VLOOKUP(A5081,Movie!A:D,4,FALSE)</f>
        <v>TriStar</v>
      </c>
      <c r="H5081" s="14">
        <f>VLOOKUP(E5081,'Rental Transaction'!A:B,2,FALSE)</f>
        <v>157695</v>
      </c>
      <c r="I5081">
        <f t="shared" si="79"/>
        <v>2014</v>
      </c>
    </row>
    <row r="5082" spans="1:9">
      <c r="A5082" s="1">
        <v>10070</v>
      </c>
      <c r="B5082" s="1">
        <v>8</v>
      </c>
      <c r="C5082" s="2">
        <v>41710</v>
      </c>
      <c r="D5082" s="1" t="s">
        <v>2002</v>
      </c>
      <c r="E5082" s="1">
        <v>103437</v>
      </c>
      <c r="F5082" s="6" t="s">
        <v>7084</v>
      </c>
      <c r="G5082" s="15" t="str">
        <f>VLOOKUP(A5082,Movie!A:D,4,FALSE)</f>
        <v>Paramount</v>
      </c>
      <c r="H5082" s="14">
        <f>VLOOKUP(E5082,'Rental Transaction'!A:B,2,FALSE)</f>
        <v>757780</v>
      </c>
      <c r="I5082">
        <f t="shared" si="79"/>
        <v>2014</v>
      </c>
    </row>
    <row r="5083" spans="1:9">
      <c r="A5083" s="1">
        <v>10217</v>
      </c>
      <c r="B5083" s="1">
        <v>4</v>
      </c>
      <c r="C5083" s="2">
        <v>41709</v>
      </c>
      <c r="D5083" s="1" t="s">
        <v>2002</v>
      </c>
      <c r="E5083" s="1">
        <v>103437</v>
      </c>
      <c r="F5083" s="6" t="s">
        <v>7085</v>
      </c>
      <c r="G5083" s="15" t="str">
        <f>VLOOKUP(A5083,Movie!A:D,4,FALSE)</f>
        <v>Warner Brothers</v>
      </c>
      <c r="H5083" s="14">
        <f>VLOOKUP(E5083,'Rental Transaction'!A:B,2,FALSE)</f>
        <v>757780</v>
      </c>
      <c r="I5083">
        <f t="shared" si="79"/>
        <v>2014</v>
      </c>
    </row>
    <row r="5084" spans="1:9">
      <c r="A5084" s="1">
        <v>10188</v>
      </c>
      <c r="B5084" s="1">
        <v>3</v>
      </c>
      <c r="C5084" s="2">
        <v>41709</v>
      </c>
      <c r="D5084" s="1" t="s">
        <v>2002</v>
      </c>
      <c r="E5084" s="1">
        <v>103438</v>
      </c>
      <c r="F5084" s="6" t="s">
        <v>7086</v>
      </c>
      <c r="G5084" s="15" t="str">
        <f>VLOOKUP(A5084,Movie!A:D,4,FALSE)</f>
        <v>Paramount</v>
      </c>
      <c r="H5084" s="14">
        <f>VLOOKUP(E5084,'Rental Transaction'!A:B,2,FALSE)</f>
        <v>771285</v>
      </c>
      <c r="I5084">
        <f t="shared" si="79"/>
        <v>2014</v>
      </c>
    </row>
    <row r="5085" spans="1:9">
      <c r="A5085" s="1">
        <v>10141</v>
      </c>
      <c r="B5085" s="1">
        <v>6</v>
      </c>
      <c r="C5085" s="2">
        <v>41709</v>
      </c>
      <c r="D5085" s="1" t="s">
        <v>2002</v>
      </c>
      <c r="E5085" s="1">
        <v>103438</v>
      </c>
      <c r="F5085" s="6" t="s">
        <v>7087</v>
      </c>
      <c r="G5085" s="15" t="str">
        <f>VLOOKUP(A5085,Movie!A:D,4,FALSE)</f>
        <v>Warner Brothers</v>
      </c>
      <c r="H5085" s="14">
        <f>VLOOKUP(E5085,'Rental Transaction'!A:B,2,FALSE)</f>
        <v>771285</v>
      </c>
      <c r="I5085">
        <f t="shared" si="79"/>
        <v>2014</v>
      </c>
    </row>
    <row r="5086" spans="1:9">
      <c r="A5086" s="1">
        <v>10271</v>
      </c>
      <c r="B5086" s="1">
        <v>7</v>
      </c>
      <c r="C5086" s="2">
        <v>41709</v>
      </c>
      <c r="D5086" s="1" t="s">
        <v>2002</v>
      </c>
      <c r="E5086" s="1">
        <v>103440</v>
      </c>
      <c r="F5086" s="6" t="s">
        <v>7088</v>
      </c>
      <c r="G5086" s="15" t="str">
        <f>VLOOKUP(A5086,Movie!A:D,4,FALSE)</f>
        <v>Universal</v>
      </c>
      <c r="H5086" s="14">
        <f>VLOOKUP(E5086,'Rental Transaction'!A:B,2,FALSE)</f>
        <v>422592</v>
      </c>
      <c r="I5086">
        <f t="shared" si="79"/>
        <v>2014</v>
      </c>
    </row>
    <row r="5087" spans="1:9">
      <c r="A5087" s="1">
        <v>10137</v>
      </c>
      <c r="B5087" s="1">
        <v>2</v>
      </c>
      <c r="C5087" s="2">
        <v>41712</v>
      </c>
      <c r="D5087" s="1" t="s">
        <v>2002</v>
      </c>
      <c r="E5087" s="1">
        <v>103442</v>
      </c>
      <c r="F5087" s="6" t="s">
        <v>7089</v>
      </c>
      <c r="G5087" s="15" t="str">
        <f>VLOOKUP(A5087,Movie!A:D,4,FALSE)</f>
        <v>Buena Vista</v>
      </c>
      <c r="H5087" s="14">
        <f>VLOOKUP(E5087,'Rental Transaction'!A:B,2,FALSE)</f>
        <v>643214</v>
      </c>
      <c r="I5087">
        <f t="shared" si="79"/>
        <v>2014</v>
      </c>
    </row>
    <row r="5088" spans="1:9">
      <c r="A5088" s="1">
        <v>10224</v>
      </c>
      <c r="B5088" s="1">
        <v>9</v>
      </c>
      <c r="C5088" s="2">
        <v>41710</v>
      </c>
      <c r="D5088" s="1" t="s">
        <v>2002</v>
      </c>
      <c r="E5088" s="1">
        <v>103442</v>
      </c>
      <c r="F5088" s="6" t="s">
        <v>7090</v>
      </c>
      <c r="G5088" s="15" t="str">
        <f>VLOOKUP(A5088,Movie!A:D,4,FALSE)</f>
        <v>Fox Searchlight</v>
      </c>
      <c r="H5088" s="14">
        <f>VLOOKUP(E5088,'Rental Transaction'!A:B,2,FALSE)</f>
        <v>643214</v>
      </c>
      <c r="I5088">
        <f t="shared" si="79"/>
        <v>2014</v>
      </c>
    </row>
    <row r="5089" spans="1:9">
      <c r="A5089" s="1">
        <v>10114</v>
      </c>
      <c r="B5089" s="1">
        <v>6</v>
      </c>
      <c r="C5089" s="2">
        <v>41711</v>
      </c>
      <c r="D5089" s="1" t="s">
        <v>2002</v>
      </c>
      <c r="E5089" s="1">
        <v>103443</v>
      </c>
      <c r="F5089" s="6" t="s">
        <v>7091</v>
      </c>
      <c r="G5089" s="15" t="str">
        <f>VLOOKUP(A5089,Movie!A:D,4,FALSE)</f>
        <v>Lionsgate</v>
      </c>
      <c r="H5089" s="14">
        <f>VLOOKUP(E5089,'Rental Transaction'!A:B,2,FALSE)</f>
        <v>736500</v>
      </c>
      <c r="I5089">
        <f t="shared" si="79"/>
        <v>2014</v>
      </c>
    </row>
    <row r="5090" spans="1:9">
      <c r="A5090" s="1">
        <v>10241</v>
      </c>
      <c r="B5090" s="1">
        <v>9</v>
      </c>
      <c r="C5090" s="2">
        <v>41711</v>
      </c>
      <c r="D5090" s="1" t="s">
        <v>2002</v>
      </c>
      <c r="E5090" s="1">
        <v>103443</v>
      </c>
      <c r="F5090" s="6" t="s">
        <v>7092</v>
      </c>
      <c r="G5090" s="15" t="str">
        <f>VLOOKUP(A5090,Movie!A:D,4,FALSE)</f>
        <v>Warner Brothers</v>
      </c>
      <c r="H5090" s="14">
        <f>VLOOKUP(E5090,'Rental Transaction'!A:B,2,FALSE)</f>
        <v>736500</v>
      </c>
      <c r="I5090">
        <f t="shared" si="79"/>
        <v>2014</v>
      </c>
    </row>
    <row r="5091" spans="1:9">
      <c r="A5091" s="1">
        <v>10148</v>
      </c>
      <c r="B5091" s="1">
        <v>2</v>
      </c>
      <c r="C5091" s="2">
        <v>41710</v>
      </c>
      <c r="D5091" s="1" t="s">
        <v>2002</v>
      </c>
      <c r="E5091" s="1">
        <v>103446</v>
      </c>
      <c r="F5091" s="6" t="s">
        <v>7093</v>
      </c>
      <c r="G5091" s="15" t="str">
        <f>VLOOKUP(A5091,Movie!A:D,4,FALSE)</f>
        <v>Paramount</v>
      </c>
      <c r="H5091" s="14">
        <f>VLOOKUP(E5091,'Rental Transaction'!A:B,2,FALSE)</f>
        <v>292402</v>
      </c>
      <c r="I5091">
        <f t="shared" si="79"/>
        <v>2014</v>
      </c>
    </row>
    <row r="5092" spans="1:9">
      <c r="A5092" s="1">
        <v>10083</v>
      </c>
      <c r="B5092" s="1">
        <v>8</v>
      </c>
      <c r="C5092" s="2">
        <v>41711</v>
      </c>
      <c r="D5092" s="1" t="s">
        <v>2002</v>
      </c>
      <c r="E5092" s="1">
        <v>103446</v>
      </c>
      <c r="F5092" s="6" t="s">
        <v>7094</v>
      </c>
      <c r="G5092" s="15" t="str">
        <f>VLOOKUP(A5092,Movie!A:D,4,FALSE)</f>
        <v>Buena Vista</v>
      </c>
      <c r="H5092" s="14">
        <f>VLOOKUP(E5092,'Rental Transaction'!A:B,2,FALSE)</f>
        <v>292402</v>
      </c>
      <c r="I5092">
        <f t="shared" si="79"/>
        <v>2014</v>
      </c>
    </row>
    <row r="5093" spans="1:9">
      <c r="A5093" s="1">
        <v>10191</v>
      </c>
      <c r="B5093" s="1">
        <v>9</v>
      </c>
      <c r="C5093" s="2">
        <v>41712</v>
      </c>
      <c r="D5093" s="1" t="s">
        <v>2005</v>
      </c>
      <c r="E5093" s="1">
        <v>103448</v>
      </c>
      <c r="F5093" s="6" t="s">
        <v>7095</v>
      </c>
      <c r="G5093" s="15" t="str">
        <f>VLOOKUP(A5093,Movie!A:D,4,FALSE)</f>
        <v>Universal</v>
      </c>
      <c r="H5093" s="14">
        <f>VLOOKUP(E5093,'Rental Transaction'!A:B,2,FALSE)</f>
        <v>166612</v>
      </c>
      <c r="I5093">
        <f t="shared" si="79"/>
        <v>2014</v>
      </c>
    </row>
    <row r="5094" spans="1:9">
      <c r="A5094" s="1">
        <v>10055</v>
      </c>
      <c r="B5094" s="1">
        <v>2</v>
      </c>
      <c r="C5094" s="2">
        <v>41711</v>
      </c>
      <c r="D5094" s="1" t="s">
        <v>2002</v>
      </c>
      <c r="E5094" s="1">
        <v>103448</v>
      </c>
      <c r="F5094" s="6" t="s">
        <v>7096</v>
      </c>
      <c r="G5094" s="15" t="str">
        <f>VLOOKUP(A5094,Movie!A:D,4,FALSE)</f>
        <v>Sony Classics</v>
      </c>
      <c r="H5094" s="14">
        <f>VLOOKUP(E5094,'Rental Transaction'!A:B,2,FALSE)</f>
        <v>166612</v>
      </c>
      <c r="I5094">
        <f t="shared" si="79"/>
        <v>2014</v>
      </c>
    </row>
    <row r="5095" spans="1:9">
      <c r="A5095" s="1">
        <v>10169</v>
      </c>
      <c r="B5095" s="1">
        <v>4</v>
      </c>
      <c r="C5095" s="2">
        <v>41711</v>
      </c>
      <c r="D5095" s="1" t="s">
        <v>2002</v>
      </c>
      <c r="E5095" s="1">
        <v>103449</v>
      </c>
      <c r="F5095" s="6" t="s">
        <v>7097</v>
      </c>
      <c r="G5095" s="15" t="str">
        <f>VLOOKUP(A5095,Movie!A:D,4,FALSE)</f>
        <v>Warner Brothers</v>
      </c>
      <c r="H5095" s="14">
        <f>VLOOKUP(E5095,'Rental Transaction'!A:B,2,FALSE)</f>
        <v>412544</v>
      </c>
      <c r="I5095">
        <f t="shared" si="79"/>
        <v>2014</v>
      </c>
    </row>
    <row r="5096" spans="1:9">
      <c r="A5096" s="1">
        <v>10126</v>
      </c>
      <c r="B5096" s="1">
        <v>5</v>
      </c>
      <c r="C5096" s="2">
        <v>41711</v>
      </c>
      <c r="D5096" s="1" t="s">
        <v>2002</v>
      </c>
      <c r="E5096" s="1">
        <v>103449</v>
      </c>
      <c r="F5096" s="6" t="s">
        <v>7098</v>
      </c>
      <c r="G5096" s="15" t="str">
        <f>VLOOKUP(A5096,Movie!A:D,4,FALSE)</f>
        <v>Fox</v>
      </c>
      <c r="H5096" s="14">
        <f>VLOOKUP(E5096,'Rental Transaction'!A:B,2,FALSE)</f>
        <v>412544</v>
      </c>
      <c r="I5096">
        <f t="shared" si="79"/>
        <v>2014</v>
      </c>
    </row>
    <row r="5097" spans="1:9">
      <c r="A5097" s="1">
        <v>10287</v>
      </c>
      <c r="B5097" s="1">
        <v>2</v>
      </c>
      <c r="C5097" s="2">
        <v>41711</v>
      </c>
      <c r="D5097" s="1" t="s">
        <v>2002</v>
      </c>
      <c r="E5097" s="1">
        <v>103451</v>
      </c>
      <c r="F5097" s="6" t="s">
        <v>7099</v>
      </c>
      <c r="G5097" s="15" t="str">
        <f>VLOOKUP(A5097,Movie!A:D,4,FALSE)</f>
        <v>Lionsgate</v>
      </c>
      <c r="H5097" s="14">
        <f>VLOOKUP(E5097,'Rental Transaction'!A:B,2,FALSE)</f>
        <v>128131</v>
      </c>
      <c r="I5097">
        <f t="shared" si="79"/>
        <v>2014</v>
      </c>
    </row>
    <row r="5098" spans="1:9">
      <c r="A5098" s="1">
        <v>10256</v>
      </c>
      <c r="B5098" s="1">
        <v>10</v>
      </c>
      <c r="C5098" s="2">
        <v>41712</v>
      </c>
      <c r="D5098" s="1" t="s">
        <v>2002</v>
      </c>
      <c r="E5098" s="1">
        <v>103452</v>
      </c>
      <c r="F5098" s="6" t="s">
        <v>7100</v>
      </c>
      <c r="G5098" s="15" t="str">
        <f>VLOOKUP(A5098,Movie!A:D,4,FALSE)</f>
        <v>Fox</v>
      </c>
      <c r="H5098" s="14">
        <f>VLOOKUP(E5098,'Rental Transaction'!A:B,2,FALSE)</f>
        <v>216475</v>
      </c>
      <c r="I5098">
        <f t="shared" si="79"/>
        <v>2014</v>
      </c>
    </row>
    <row r="5099" spans="1:9">
      <c r="A5099" s="1">
        <v>10133</v>
      </c>
      <c r="B5099" s="1">
        <v>10</v>
      </c>
      <c r="C5099" s="2">
        <v>41712</v>
      </c>
      <c r="D5099" s="1" t="s">
        <v>2002</v>
      </c>
      <c r="E5099" s="1">
        <v>103452</v>
      </c>
      <c r="F5099" s="6" t="s">
        <v>7101</v>
      </c>
      <c r="G5099" s="15" t="str">
        <f>VLOOKUP(A5099,Movie!A:D,4,FALSE)</f>
        <v>Fox</v>
      </c>
      <c r="H5099" s="14">
        <f>VLOOKUP(E5099,'Rental Transaction'!A:B,2,FALSE)</f>
        <v>216475</v>
      </c>
      <c r="I5099">
        <f t="shared" si="79"/>
        <v>2014</v>
      </c>
    </row>
    <row r="5100" spans="1:9">
      <c r="A5100" s="1">
        <v>10207</v>
      </c>
      <c r="B5100" s="1">
        <v>6</v>
      </c>
      <c r="C5100" s="2">
        <v>41711</v>
      </c>
      <c r="D5100" s="1" t="s">
        <v>2005</v>
      </c>
      <c r="E5100" s="1">
        <v>103452</v>
      </c>
      <c r="F5100" s="6" t="s">
        <v>7102</v>
      </c>
      <c r="G5100" s="15" t="str">
        <f>VLOOKUP(A5100,Movie!A:D,4,FALSE)</f>
        <v>Paramount</v>
      </c>
      <c r="H5100" s="14">
        <f>VLOOKUP(E5100,'Rental Transaction'!A:B,2,FALSE)</f>
        <v>216475</v>
      </c>
      <c r="I5100">
        <f t="shared" si="79"/>
        <v>2014</v>
      </c>
    </row>
    <row r="5101" spans="1:9">
      <c r="A5101" s="1">
        <v>10186</v>
      </c>
      <c r="B5101" s="1">
        <v>10</v>
      </c>
      <c r="C5101" s="2">
        <v>41713</v>
      </c>
      <c r="D5101" s="1" t="s">
        <v>2002</v>
      </c>
      <c r="E5101" s="1">
        <v>103453</v>
      </c>
      <c r="F5101" s="6" t="s">
        <v>7103</v>
      </c>
      <c r="G5101" s="15" t="str">
        <f>VLOOKUP(A5101,Movie!A:D,4,FALSE)</f>
        <v>Lionsgate</v>
      </c>
      <c r="H5101" s="14">
        <f>VLOOKUP(E5101,'Rental Transaction'!A:B,2,FALSE)</f>
        <v>938417</v>
      </c>
      <c r="I5101">
        <f t="shared" si="79"/>
        <v>2014</v>
      </c>
    </row>
    <row r="5102" spans="1:9">
      <c r="A5102" s="1">
        <v>10159</v>
      </c>
      <c r="B5102" s="1">
        <v>9</v>
      </c>
      <c r="C5102" s="2">
        <v>41714</v>
      </c>
      <c r="D5102" s="1" t="s">
        <v>2002</v>
      </c>
      <c r="E5102" s="1">
        <v>103454</v>
      </c>
      <c r="F5102" s="6" t="s">
        <v>7104</v>
      </c>
      <c r="G5102" s="15" t="str">
        <f>VLOOKUP(A5102,Movie!A:D,4,FALSE)</f>
        <v>Lionsgate</v>
      </c>
      <c r="H5102" s="14">
        <f>VLOOKUP(E5102,'Rental Transaction'!A:B,2,FALSE)</f>
        <v>689877</v>
      </c>
      <c r="I5102">
        <f t="shared" si="79"/>
        <v>2014</v>
      </c>
    </row>
    <row r="5103" spans="1:9">
      <c r="A5103" s="1">
        <v>10263</v>
      </c>
      <c r="B5103" s="1">
        <v>5</v>
      </c>
      <c r="C5103" s="2">
        <v>41712</v>
      </c>
      <c r="D5103" s="1" t="s">
        <v>2002</v>
      </c>
      <c r="E5103" s="1">
        <v>103456</v>
      </c>
      <c r="F5103" s="6" t="s">
        <v>7105</v>
      </c>
      <c r="G5103" s="15" t="str">
        <f>VLOOKUP(A5103,Movie!A:D,4,FALSE)</f>
        <v>Fox</v>
      </c>
      <c r="H5103" s="14">
        <f>VLOOKUP(E5103,'Rental Transaction'!A:B,2,FALSE)</f>
        <v>302774</v>
      </c>
      <c r="I5103">
        <f t="shared" si="79"/>
        <v>2014</v>
      </c>
    </row>
    <row r="5104" spans="1:9">
      <c r="A5104" s="1">
        <v>10159</v>
      </c>
      <c r="B5104" s="1">
        <v>5</v>
      </c>
      <c r="C5104" s="2">
        <v>41712</v>
      </c>
      <c r="D5104" s="1" t="s">
        <v>2002</v>
      </c>
      <c r="E5104" s="1">
        <v>103456</v>
      </c>
      <c r="F5104" s="6" t="s">
        <v>7106</v>
      </c>
      <c r="G5104" s="15" t="str">
        <f>VLOOKUP(A5104,Movie!A:D,4,FALSE)</f>
        <v>Lionsgate</v>
      </c>
      <c r="H5104" s="14">
        <f>VLOOKUP(E5104,'Rental Transaction'!A:B,2,FALSE)</f>
        <v>302774</v>
      </c>
      <c r="I5104">
        <f t="shared" si="79"/>
        <v>2014</v>
      </c>
    </row>
    <row r="5105" spans="1:9">
      <c r="A5105" s="1">
        <v>10282</v>
      </c>
      <c r="B5105" s="1">
        <v>3</v>
      </c>
      <c r="C5105" s="2">
        <v>41712</v>
      </c>
      <c r="D5105" s="1" t="s">
        <v>2002</v>
      </c>
      <c r="E5105" s="1">
        <v>103457</v>
      </c>
      <c r="F5105" s="6" t="s">
        <v>7107</v>
      </c>
      <c r="G5105" s="15" t="str">
        <f>VLOOKUP(A5105,Movie!A:D,4,FALSE)</f>
        <v>Sony Classics</v>
      </c>
      <c r="H5105" s="14">
        <f>VLOOKUP(E5105,'Rental Transaction'!A:B,2,FALSE)</f>
        <v>520196</v>
      </c>
      <c r="I5105">
        <f t="shared" si="79"/>
        <v>2014</v>
      </c>
    </row>
    <row r="5106" spans="1:9">
      <c r="A5106" s="1">
        <v>10158</v>
      </c>
      <c r="B5106" s="1">
        <v>7</v>
      </c>
      <c r="C5106" s="2">
        <v>41716</v>
      </c>
      <c r="D5106" s="1" t="s">
        <v>2002</v>
      </c>
      <c r="E5106" s="1">
        <v>103458</v>
      </c>
      <c r="F5106" s="6" t="s">
        <v>7108</v>
      </c>
      <c r="G5106" s="15" t="str">
        <f>VLOOKUP(A5106,Movie!A:D,4,FALSE)</f>
        <v>Warner Brothers</v>
      </c>
      <c r="H5106" s="14">
        <f>VLOOKUP(E5106,'Rental Transaction'!A:B,2,FALSE)</f>
        <v>347189</v>
      </c>
      <c r="I5106">
        <f t="shared" si="79"/>
        <v>2014</v>
      </c>
    </row>
    <row r="5107" spans="1:9">
      <c r="A5107" s="1">
        <v>10074</v>
      </c>
      <c r="B5107" s="1">
        <v>3</v>
      </c>
      <c r="C5107" s="2">
        <v>41712</v>
      </c>
      <c r="D5107" s="1" t="s">
        <v>2002</v>
      </c>
      <c r="E5107" s="1">
        <v>103458</v>
      </c>
      <c r="F5107" s="6" t="s">
        <v>7109</v>
      </c>
      <c r="G5107" s="15" t="str">
        <f>VLOOKUP(A5107,Movie!A:D,4,FALSE)</f>
        <v>Open Road Films</v>
      </c>
      <c r="H5107" s="14">
        <f>VLOOKUP(E5107,'Rental Transaction'!A:B,2,FALSE)</f>
        <v>347189</v>
      </c>
      <c r="I5107">
        <f t="shared" si="79"/>
        <v>2014</v>
      </c>
    </row>
    <row r="5108" spans="1:9">
      <c r="A5108" s="1">
        <v>10175</v>
      </c>
      <c r="B5108" s="1">
        <v>9</v>
      </c>
      <c r="C5108" s="2">
        <v>41712</v>
      </c>
      <c r="D5108" s="1" t="s">
        <v>2002</v>
      </c>
      <c r="E5108" s="1">
        <v>103459</v>
      </c>
      <c r="F5108" s="6" t="s">
        <v>7110</v>
      </c>
      <c r="G5108" s="15" t="str">
        <f>VLOOKUP(A5108,Movie!A:D,4,FALSE)</f>
        <v>Buena Vista</v>
      </c>
      <c r="H5108" s="14">
        <f>VLOOKUP(E5108,'Rental Transaction'!A:B,2,FALSE)</f>
        <v>671101</v>
      </c>
      <c r="I5108">
        <f t="shared" si="79"/>
        <v>2014</v>
      </c>
    </row>
    <row r="5109" spans="1:9">
      <c r="A5109" s="1">
        <v>10073</v>
      </c>
      <c r="B5109" s="1">
        <v>5</v>
      </c>
      <c r="C5109" s="2">
        <v>41714</v>
      </c>
      <c r="D5109" s="1" t="s">
        <v>2002</v>
      </c>
      <c r="E5109" s="1">
        <v>103460</v>
      </c>
      <c r="F5109" s="6" t="s">
        <v>7111</v>
      </c>
      <c r="G5109" s="15" t="str">
        <f>VLOOKUP(A5109,Movie!A:D,4,FALSE)</f>
        <v>FilmDistrict</v>
      </c>
      <c r="H5109" s="14">
        <f>VLOOKUP(E5109,'Rental Transaction'!A:B,2,FALSE)</f>
        <v>689877</v>
      </c>
      <c r="I5109">
        <f t="shared" si="79"/>
        <v>2014</v>
      </c>
    </row>
    <row r="5110" spans="1:9">
      <c r="A5110" s="1">
        <v>10220</v>
      </c>
      <c r="B5110" s="1">
        <v>5</v>
      </c>
      <c r="C5110" s="2">
        <v>41714</v>
      </c>
      <c r="D5110" s="1" t="s">
        <v>2002</v>
      </c>
      <c r="E5110" s="1">
        <v>103461</v>
      </c>
      <c r="F5110" s="6" t="s">
        <v>7112</v>
      </c>
      <c r="G5110" s="15" t="str">
        <f>VLOOKUP(A5110,Movie!A:D,4,FALSE)</f>
        <v>Fox</v>
      </c>
      <c r="H5110" s="14">
        <f>VLOOKUP(E5110,'Rental Transaction'!A:B,2,FALSE)</f>
        <v>160392</v>
      </c>
      <c r="I5110">
        <f t="shared" si="79"/>
        <v>2014</v>
      </c>
    </row>
    <row r="5111" spans="1:9">
      <c r="A5111" s="1">
        <v>10155</v>
      </c>
      <c r="B5111" s="1">
        <v>3</v>
      </c>
      <c r="C5111" s="2">
        <v>41715</v>
      </c>
      <c r="D5111" s="1" t="s">
        <v>2002</v>
      </c>
      <c r="E5111" s="1">
        <v>103461</v>
      </c>
      <c r="F5111" s="6" t="s">
        <v>7113</v>
      </c>
      <c r="G5111" s="15" t="str">
        <f>VLOOKUP(A5111,Movie!A:D,4,FALSE)</f>
        <v>Fox</v>
      </c>
      <c r="H5111" s="14">
        <f>VLOOKUP(E5111,'Rental Transaction'!A:B,2,FALSE)</f>
        <v>160392</v>
      </c>
      <c r="I5111">
        <f t="shared" si="79"/>
        <v>2014</v>
      </c>
    </row>
    <row r="5112" spans="1:9">
      <c r="A5112" s="1">
        <v>10155</v>
      </c>
      <c r="B5112" s="1">
        <v>8</v>
      </c>
      <c r="C5112" s="2">
        <v>41713</v>
      </c>
      <c r="D5112" s="1" t="s">
        <v>2002</v>
      </c>
      <c r="E5112" s="1">
        <v>103462</v>
      </c>
      <c r="F5112" s="6" t="s">
        <v>7114</v>
      </c>
      <c r="G5112" s="15" t="str">
        <f>VLOOKUP(A5112,Movie!A:D,4,FALSE)</f>
        <v>Fox</v>
      </c>
      <c r="H5112" s="14">
        <f>VLOOKUP(E5112,'Rental Transaction'!A:B,2,FALSE)</f>
        <v>277310</v>
      </c>
      <c r="I5112">
        <f t="shared" si="79"/>
        <v>2014</v>
      </c>
    </row>
    <row r="5113" spans="1:9">
      <c r="A5113" s="1">
        <v>10079</v>
      </c>
      <c r="B5113" s="1">
        <v>6</v>
      </c>
      <c r="C5113" s="2">
        <v>41713</v>
      </c>
      <c r="D5113" s="1" t="s">
        <v>2002</v>
      </c>
      <c r="E5113" s="1">
        <v>103464</v>
      </c>
      <c r="F5113" s="6" t="s">
        <v>7115</v>
      </c>
      <c r="G5113" s="15" t="str">
        <f>VLOOKUP(A5113,Movie!A:D,4,FALSE)</f>
        <v>Warner Brothers</v>
      </c>
      <c r="H5113" s="14">
        <f>VLOOKUP(E5113,'Rental Transaction'!A:B,2,FALSE)</f>
        <v>182040</v>
      </c>
      <c r="I5113">
        <f t="shared" si="79"/>
        <v>2014</v>
      </c>
    </row>
    <row r="5114" spans="1:9">
      <c r="A5114" s="1">
        <v>10208</v>
      </c>
      <c r="B5114" s="1">
        <v>3</v>
      </c>
      <c r="C5114" s="2">
        <v>41713</v>
      </c>
      <c r="D5114" s="1" t="s">
        <v>2002</v>
      </c>
      <c r="E5114" s="1">
        <v>103464</v>
      </c>
      <c r="F5114" s="6" t="s">
        <v>7116</v>
      </c>
      <c r="G5114" s="15" t="str">
        <f>VLOOKUP(A5114,Movie!A:D,4,FALSE)</f>
        <v>Warner Brothers</v>
      </c>
      <c r="H5114" s="14">
        <f>VLOOKUP(E5114,'Rental Transaction'!A:B,2,FALSE)</f>
        <v>182040</v>
      </c>
      <c r="I5114">
        <f t="shared" si="79"/>
        <v>2014</v>
      </c>
    </row>
    <row r="5115" spans="1:9">
      <c r="A5115" s="1">
        <v>10123</v>
      </c>
      <c r="B5115" s="1">
        <v>4</v>
      </c>
      <c r="C5115" s="2">
        <v>41714</v>
      </c>
      <c r="D5115" s="1" t="s">
        <v>2005</v>
      </c>
      <c r="E5115" s="1">
        <v>103465</v>
      </c>
      <c r="F5115" s="6" t="s">
        <v>7117</v>
      </c>
      <c r="G5115" s="15" t="str">
        <f>VLOOKUP(A5115,Movie!A:D,4,FALSE)</f>
        <v>Fox</v>
      </c>
      <c r="H5115" s="14">
        <f>VLOOKUP(E5115,'Rental Transaction'!A:B,2,FALSE)</f>
        <v>551950</v>
      </c>
      <c r="I5115">
        <f t="shared" si="79"/>
        <v>2014</v>
      </c>
    </row>
    <row r="5116" spans="1:9">
      <c r="A5116" s="1">
        <v>10018</v>
      </c>
      <c r="B5116" s="1">
        <v>1</v>
      </c>
      <c r="C5116" s="2">
        <v>41713</v>
      </c>
      <c r="D5116" s="1" t="s">
        <v>2002</v>
      </c>
      <c r="E5116" s="1">
        <v>103467</v>
      </c>
      <c r="F5116" s="6" t="s">
        <v>7118</v>
      </c>
      <c r="G5116" s="15" t="str">
        <f>VLOOKUP(A5116,Movie!A:D,4,FALSE)</f>
        <v>Fox</v>
      </c>
      <c r="H5116" s="14">
        <f>VLOOKUP(E5116,'Rental Transaction'!A:B,2,FALSE)</f>
        <v>556152</v>
      </c>
      <c r="I5116">
        <f t="shared" si="79"/>
        <v>2014</v>
      </c>
    </row>
    <row r="5117" spans="1:9">
      <c r="A5117" s="1">
        <v>10284</v>
      </c>
      <c r="B5117" s="1">
        <v>1</v>
      </c>
      <c r="C5117" s="2">
        <v>41714</v>
      </c>
      <c r="D5117" s="1" t="s">
        <v>2002</v>
      </c>
      <c r="E5117" s="1">
        <v>103467</v>
      </c>
      <c r="F5117" s="6" t="s">
        <v>7119</v>
      </c>
      <c r="G5117" s="15" t="str">
        <f>VLOOKUP(A5117,Movie!A:D,4,FALSE)</f>
        <v>Focus</v>
      </c>
      <c r="H5117" s="14">
        <f>VLOOKUP(E5117,'Rental Transaction'!A:B,2,FALSE)</f>
        <v>556152</v>
      </c>
      <c r="I5117">
        <f t="shared" si="79"/>
        <v>2014</v>
      </c>
    </row>
    <row r="5118" spans="1:9">
      <c r="A5118" s="1">
        <v>10270</v>
      </c>
      <c r="B5118" s="1">
        <v>7</v>
      </c>
      <c r="C5118" s="2">
        <v>41716</v>
      </c>
      <c r="D5118" s="1" t="s">
        <v>2002</v>
      </c>
      <c r="E5118" s="1">
        <v>103468</v>
      </c>
      <c r="F5118" s="6" t="s">
        <v>7120</v>
      </c>
      <c r="G5118" s="15" t="str">
        <f>VLOOKUP(A5118,Movie!A:D,4,FALSE)</f>
        <v>Fox</v>
      </c>
      <c r="H5118" s="14">
        <f>VLOOKUP(E5118,'Rental Transaction'!A:B,2,FALSE)</f>
        <v>235720</v>
      </c>
      <c r="I5118">
        <f t="shared" si="79"/>
        <v>2014</v>
      </c>
    </row>
    <row r="5119" spans="1:9">
      <c r="A5119" s="1">
        <v>10004</v>
      </c>
      <c r="B5119" s="1">
        <v>3</v>
      </c>
      <c r="C5119" s="2">
        <v>41714</v>
      </c>
      <c r="D5119" s="1" t="s">
        <v>2002</v>
      </c>
      <c r="E5119" s="1">
        <v>103469</v>
      </c>
      <c r="F5119" s="6" t="s">
        <v>7121</v>
      </c>
      <c r="G5119" s="15" t="str">
        <f>VLOOKUP(A5119,Movie!A:D,4,FALSE)</f>
        <v>Paramount</v>
      </c>
      <c r="H5119" s="14">
        <f>VLOOKUP(E5119,'Rental Transaction'!A:B,2,FALSE)</f>
        <v>409910</v>
      </c>
      <c r="I5119">
        <f t="shared" si="79"/>
        <v>2014</v>
      </c>
    </row>
    <row r="5120" spans="1:9">
      <c r="A5120" s="1">
        <v>10252</v>
      </c>
      <c r="B5120" s="1">
        <v>2</v>
      </c>
      <c r="C5120" s="2">
        <v>41714</v>
      </c>
      <c r="D5120" s="1" t="s">
        <v>2002</v>
      </c>
      <c r="E5120" s="1">
        <v>103473</v>
      </c>
      <c r="F5120" s="6" t="s">
        <v>7122</v>
      </c>
      <c r="G5120" s="15" t="str">
        <f>VLOOKUP(A5120,Movie!A:D,4,FALSE)</f>
        <v>Warner Brothers</v>
      </c>
      <c r="H5120" s="14">
        <f>VLOOKUP(E5120,'Rental Transaction'!A:B,2,FALSE)</f>
        <v>524667</v>
      </c>
      <c r="I5120">
        <f t="shared" si="79"/>
        <v>2014</v>
      </c>
    </row>
    <row r="5121" spans="1:9">
      <c r="A5121" s="1">
        <v>10195</v>
      </c>
      <c r="B5121" s="1">
        <v>2</v>
      </c>
      <c r="C5121" s="2">
        <v>41716</v>
      </c>
      <c r="D5121" s="1" t="s">
        <v>2002</v>
      </c>
      <c r="E5121" s="1">
        <v>103476</v>
      </c>
      <c r="F5121" s="6" t="s">
        <v>7123</v>
      </c>
      <c r="G5121" s="15" t="str">
        <f>VLOOKUP(A5121,Movie!A:D,4,FALSE)</f>
        <v>Sony</v>
      </c>
      <c r="H5121" s="14">
        <f>VLOOKUP(E5121,'Rental Transaction'!A:B,2,FALSE)</f>
        <v>791850</v>
      </c>
      <c r="I5121">
        <f t="shared" si="79"/>
        <v>2014</v>
      </c>
    </row>
    <row r="5122" spans="1:9">
      <c r="A5122" s="1">
        <v>10225</v>
      </c>
      <c r="B5122" s="1">
        <v>1</v>
      </c>
      <c r="C5122" s="2">
        <v>41716</v>
      </c>
      <c r="D5122" s="1" t="s">
        <v>2002</v>
      </c>
      <c r="E5122" s="1">
        <v>103477</v>
      </c>
      <c r="F5122" s="6" t="s">
        <v>7124</v>
      </c>
      <c r="G5122" s="15" t="str">
        <f>VLOOKUP(A5122,Movie!A:D,4,FALSE)</f>
        <v>Warner Brothers</v>
      </c>
      <c r="H5122" s="14">
        <f>VLOOKUP(E5122,'Rental Transaction'!A:B,2,FALSE)</f>
        <v>194680</v>
      </c>
      <c r="I5122">
        <f t="shared" si="79"/>
        <v>2014</v>
      </c>
    </row>
    <row r="5123" spans="1:9">
      <c r="A5123" s="1">
        <v>10250</v>
      </c>
      <c r="B5123" s="1">
        <v>9</v>
      </c>
      <c r="C5123" s="2">
        <v>41718</v>
      </c>
      <c r="D5123" s="1" t="s">
        <v>2005</v>
      </c>
      <c r="E5123" s="1">
        <v>103477</v>
      </c>
      <c r="F5123" s="6" t="s">
        <v>7125</v>
      </c>
      <c r="G5123" s="15" t="str">
        <f>VLOOKUP(A5123,Movie!A:D,4,FALSE)</f>
        <v>Buena Vista</v>
      </c>
      <c r="H5123" s="14">
        <f>VLOOKUP(E5123,'Rental Transaction'!A:B,2,FALSE)</f>
        <v>194680</v>
      </c>
      <c r="I5123">
        <f t="shared" ref="I5123:I5186" si="80">YEAR(C5123)</f>
        <v>2014</v>
      </c>
    </row>
    <row r="5124" spans="1:9">
      <c r="A5124" s="1">
        <v>10183</v>
      </c>
      <c r="B5124" s="1">
        <v>6</v>
      </c>
      <c r="C5124" s="2">
        <v>41715</v>
      </c>
      <c r="D5124" s="1" t="s">
        <v>2002</v>
      </c>
      <c r="E5124" s="1">
        <v>103478</v>
      </c>
      <c r="F5124" s="6" t="s">
        <v>7126</v>
      </c>
      <c r="G5124" s="15" t="str">
        <f>VLOOKUP(A5124,Movie!A:D,4,FALSE)</f>
        <v>Sony</v>
      </c>
      <c r="H5124" s="14">
        <f>VLOOKUP(E5124,'Rental Transaction'!A:B,2,FALSE)</f>
        <v>575041</v>
      </c>
      <c r="I5124">
        <f t="shared" si="80"/>
        <v>2014</v>
      </c>
    </row>
    <row r="5125" spans="1:9">
      <c r="A5125" s="1">
        <v>10274</v>
      </c>
      <c r="B5125" s="1">
        <v>7</v>
      </c>
      <c r="C5125" s="2">
        <v>41715</v>
      </c>
      <c r="D5125" s="1" t="s">
        <v>2005</v>
      </c>
      <c r="E5125" s="1">
        <v>103480</v>
      </c>
      <c r="F5125" s="6" t="s">
        <v>7127</v>
      </c>
      <c r="G5125" s="15" t="str">
        <f>VLOOKUP(A5125,Movie!A:D,4,FALSE)</f>
        <v>Fox</v>
      </c>
      <c r="H5125" s="14">
        <f>VLOOKUP(E5125,'Rental Transaction'!A:B,2,FALSE)</f>
        <v>605188</v>
      </c>
      <c r="I5125">
        <f t="shared" si="80"/>
        <v>2014</v>
      </c>
    </row>
    <row r="5126" spans="1:9">
      <c r="A5126" s="1">
        <v>10167</v>
      </c>
      <c r="B5126" s="1">
        <v>7</v>
      </c>
      <c r="C5126" s="2">
        <v>41717</v>
      </c>
      <c r="D5126" s="1" t="s">
        <v>2002</v>
      </c>
      <c r="E5126" s="1">
        <v>103480</v>
      </c>
      <c r="F5126" s="6" t="s">
        <v>7128</v>
      </c>
      <c r="G5126" s="15" t="str">
        <f>VLOOKUP(A5126,Movie!A:D,4,FALSE)</f>
        <v>Universal</v>
      </c>
      <c r="H5126" s="14">
        <f>VLOOKUP(E5126,'Rental Transaction'!A:B,2,FALSE)</f>
        <v>605188</v>
      </c>
      <c r="I5126">
        <f t="shared" si="80"/>
        <v>2014</v>
      </c>
    </row>
    <row r="5127" spans="1:9">
      <c r="A5127" s="1">
        <v>10217</v>
      </c>
      <c r="B5127" s="1">
        <v>4</v>
      </c>
      <c r="C5127" s="2">
        <v>41716</v>
      </c>
      <c r="D5127" s="1" t="s">
        <v>2005</v>
      </c>
      <c r="E5127" s="1">
        <v>103483</v>
      </c>
      <c r="F5127" s="6" t="s">
        <v>7129</v>
      </c>
      <c r="G5127" s="15" t="str">
        <f>VLOOKUP(A5127,Movie!A:D,4,FALSE)</f>
        <v>Warner Brothers</v>
      </c>
      <c r="H5127" s="14">
        <f>VLOOKUP(E5127,'Rental Transaction'!A:B,2,FALSE)</f>
        <v>478274</v>
      </c>
      <c r="I5127">
        <f t="shared" si="80"/>
        <v>2014</v>
      </c>
    </row>
    <row r="5128" spans="1:9">
      <c r="A5128" s="1">
        <v>10200</v>
      </c>
      <c r="B5128" s="1">
        <v>6</v>
      </c>
      <c r="C5128" s="2">
        <v>41718</v>
      </c>
      <c r="D5128" s="1" t="s">
        <v>2005</v>
      </c>
      <c r="E5128" s="1">
        <v>103485</v>
      </c>
      <c r="F5128" s="6" t="s">
        <v>7130</v>
      </c>
      <c r="G5128" s="15" t="str">
        <f>VLOOKUP(A5128,Movie!A:D,4,FALSE)</f>
        <v>Fox</v>
      </c>
      <c r="H5128" s="14">
        <f>VLOOKUP(E5128,'Rental Transaction'!A:B,2,FALSE)</f>
        <v>803700</v>
      </c>
      <c r="I5128">
        <f t="shared" si="80"/>
        <v>2014</v>
      </c>
    </row>
    <row r="5129" spans="1:9">
      <c r="A5129" s="1">
        <v>10297</v>
      </c>
      <c r="B5129" s="1">
        <v>1</v>
      </c>
      <c r="C5129" s="2">
        <v>41716</v>
      </c>
      <c r="D5129" s="1" t="s">
        <v>2002</v>
      </c>
      <c r="E5129" s="1">
        <v>103485</v>
      </c>
      <c r="F5129" s="6" t="s">
        <v>7131</v>
      </c>
      <c r="G5129" s="15" t="str">
        <f>VLOOKUP(A5129,Movie!A:D,4,FALSE)</f>
        <v>Focus</v>
      </c>
      <c r="H5129" s="14">
        <f>VLOOKUP(E5129,'Rental Transaction'!A:B,2,FALSE)</f>
        <v>803700</v>
      </c>
      <c r="I5129">
        <f t="shared" si="80"/>
        <v>2014</v>
      </c>
    </row>
    <row r="5130" spans="1:9">
      <c r="A5130" s="1">
        <v>10209</v>
      </c>
      <c r="B5130" s="1">
        <v>10</v>
      </c>
      <c r="C5130" s="2">
        <v>41720</v>
      </c>
      <c r="D5130" s="1" t="s">
        <v>2005</v>
      </c>
      <c r="E5130" s="1">
        <v>103485</v>
      </c>
      <c r="F5130" s="6" t="s">
        <v>7132</v>
      </c>
      <c r="G5130" s="15" t="str">
        <f>VLOOKUP(A5130,Movie!A:D,4,FALSE)</f>
        <v>Universal</v>
      </c>
      <c r="H5130" s="14">
        <f>VLOOKUP(E5130,'Rental Transaction'!A:B,2,FALSE)</f>
        <v>803700</v>
      </c>
      <c r="I5130">
        <f t="shared" si="80"/>
        <v>2014</v>
      </c>
    </row>
    <row r="5131" spans="1:9">
      <c r="A5131" s="1">
        <v>10234</v>
      </c>
      <c r="B5131" s="1">
        <v>4</v>
      </c>
      <c r="C5131" s="2">
        <v>41716</v>
      </c>
      <c r="D5131" s="1" t="s">
        <v>2002</v>
      </c>
      <c r="E5131" s="1">
        <v>103486</v>
      </c>
      <c r="F5131" s="6" t="s">
        <v>7133</v>
      </c>
      <c r="G5131" s="15" t="str">
        <f>VLOOKUP(A5131,Movie!A:D,4,FALSE)</f>
        <v>Warner Brothers</v>
      </c>
      <c r="H5131" s="14">
        <f>VLOOKUP(E5131,'Rental Transaction'!A:B,2,FALSE)</f>
        <v>847289</v>
      </c>
      <c r="I5131">
        <f t="shared" si="80"/>
        <v>2014</v>
      </c>
    </row>
    <row r="5132" spans="1:9">
      <c r="A5132" s="1">
        <v>10175</v>
      </c>
      <c r="B5132" s="1">
        <v>5</v>
      </c>
      <c r="C5132" s="2">
        <v>41716</v>
      </c>
      <c r="D5132" s="1" t="s">
        <v>2005</v>
      </c>
      <c r="E5132" s="1">
        <v>103488</v>
      </c>
      <c r="F5132" s="6" t="s">
        <v>7134</v>
      </c>
      <c r="G5132" s="15" t="str">
        <f>VLOOKUP(A5132,Movie!A:D,4,FALSE)</f>
        <v>Buena Vista</v>
      </c>
      <c r="H5132" s="14">
        <f>VLOOKUP(E5132,'Rental Transaction'!A:B,2,FALSE)</f>
        <v>182040</v>
      </c>
      <c r="I5132">
        <f t="shared" si="80"/>
        <v>2014</v>
      </c>
    </row>
    <row r="5133" spans="1:9">
      <c r="A5133" s="1">
        <v>10242</v>
      </c>
      <c r="B5133" s="1">
        <v>6</v>
      </c>
      <c r="C5133" s="2">
        <v>41717</v>
      </c>
      <c r="D5133" s="1" t="s">
        <v>2002</v>
      </c>
      <c r="E5133" s="1">
        <v>103488</v>
      </c>
      <c r="F5133" s="6" t="s">
        <v>7135</v>
      </c>
      <c r="G5133" s="15" t="str">
        <f>VLOOKUP(A5133,Movie!A:D,4,FALSE)</f>
        <v>Buena Vista</v>
      </c>
      <c r="H5133" s="14">
        <f>VLOOKUP(E5133,'Rental Transaction'!A:B,2,FALSE)</f>
        <v>182040</v>
      </c>
      <c r="I5133">
        <f t="shared" si="80"/>
        <v>2014</v>
      </c>
    </row>
    <row r="5134" spans="1:9">
      <c r="A5134" s="1">
        <v>10277</v>
      </c>
      <c r="B5134" s="1">
        <v>10</v>
      </c>
      <c r="C5134" s="2">
        <v>41717</v>
      </c>
      <c r="D5134" s="1" t="s">
        <v>2002</v>
      </c>
      <c r="E5134" s="1">
        <v>103491</v>
      </c>
      <c r="F5134" s="6" t="s">
        <v>7136</v>
      </c>
      <c r="G5134" s="15" t="str">
        <f>VLOOKUP(A5134,Movie!A:D,4,FALSE)</f>
        <v>Universal</v>
      </c>
      <c r="H5134" s="14">
        <f>VLOOKUP(E5134,'Rental Transaction'!A:B,2,FALSE)</f>
        <v>592592</v>
      </c>
      <c r="I5134">
        <f t="shared" si="80"/>
        <v>2014</v>
      </c>
    </row>
    <row r="5135" spans="1:9">
      <c r="A5135" s="1">
        <v>10260</v>
      </c>
      <c r="B5135" s="1">
        <v>2</v>
      </c>
      <c r="C5135" s="2">
        <v>41722</v>
      </c>
      <c r="D5135" s="1" t="s">
        <v>2002</v>
      </c>
      <c r="E5135" s="1">
        <v>103491</v>
      </c>
      <c r="F5135" s="6" t="s">
        <v>7137</v>
      </c>
      <c r="G5135" s="15" t="str">
        <f>VLOOKUP(A5135,Movie!A:D,4,FALSE)</f>
        <v>Sony</v>
      </c>
      <c r="H5135" s="14">
        <f>VLOOKUP(E5135,'Rental Transaction'!A:B,2,FALSE)</f>
        <v>592592</v>
      </c>
      <c r="I5135">
        <f t="shared" si="80"/>
        <v>2014</v>
      </c>
    </row>
    <row r="5136" spans="1:9">
      <c r="A5136" s="1">
        <v>10274</v>
      </c>
      <c r="B5136" s="1">
        <v>3</v>
      </c>
      <c r="C5136" s="2">
        <v>41717</v>
      </c>
      <c r="D5136" s="1" t="s">
        <v>2002</v>
      </c>
      <c r="E5136" s="1">
        <v>103491</v>
      </c>
      <c r="F5136" s="6" t="s">
        <v>7138</v>
      </c>
      <c r="G5136" s="15" t="str">
        <f>VLOOKUP(A5136,Movie!A:D,4,FALSE)</f>
        <v>Fox</v>
      </c>
      <c r="H5136" s="14">
        <f>VLOOKUP(E5136,'Rental Transaction'!A:B,2,FALSE)</f>
        <v>592592</v>
      </c>
      <c r="I5136">
        <f t="shared" si="80"/>
        <v>2014</v>
      </c>
    </row>
    <row r="5137" spans="1:9">
      <c r="A5137" s="1">
        <v>10273</v>
      </c>
      <c r="B5137" s="1">
        <v>1</v>
      </c>
      <c r="C5137" s="2">
        <v>41717</v>
      </c>
      <c r="D5137" s="1" t="s">
        <v>2002</v>
      </c>
      <c r="E5137" s="1">
        <v>103493</v>
      </c>
      <c r="F5137" s="6" t="s">
        <v>7139</v>
      </c>
      <c r="G5137" s="15" t="str">
        <f>VLOOKUP(A5137,Movie!A:D,4,FALSE)</f>
        <v>Sony</v>
      </c>
      <c r="H5137" s="14">
        <f>VLOOKUP(E5137,'Rental Transaction'!A:B,2,FALSE)</f>
        <v>193914</v>
      </c>
      <c r="I5137">
        <f t="shared" si="80"/>
        <v>2014</v>
      </c>
    </row>
    <row r="5138" spans="1:9">
      <c r="A5138" s="1">
        <v>10123</v>
      </c>
      <c r="B5138" s="1">
        <v>8</v>
      </c>
      <c r="C5138" s="2">
        <v>41723</v>
      </c>
      <c r="D5138" s="1" t="s">
        <v>2002</v>
      </c>
      <c r="E5138" s="1">
        <v>103494</v>
      </c>
      <c r="F5138" s="6" t="s">
        <v>7140</v>
      </c>
      <c r="G5138" s="15" t="str">
        <f>VLOOKUP(A5138,Movie!A:D,4,FALSE)</f>
        <v>Fox</v>
      </c>
      <c r="H5138" s="14">
        <f>VLOOKUP(E5138,'Rental Transaction'!A:B,2,FALSE)</f>
        <v>158528</v>
      </c>
      <c r="I5138">
        <f t="shared" si="80"/>
        <v>2014</v>
      </c>
    </row>
    <row r="5139" spans="1:9">
      <c r="A5139" s="1">
        <v>10133</v>
      </c>
      <c r="B5139" s="1">
        <v>1</v>
      </c>
      <c r="C5139" s="2">
        <v>41718</v>
      </c>
      <c r="D5139" s="1" t="s">
        <v>2002</v>
      </c>
      <c r="E5139" s="1">
        <v>103494</v>
      </c>
      <c r="F5139" s="6" t="s">
        <v>7141</v>
      </c>
      <c r="G5139" s="15" t="str">
        <f>VLOOKUP(A5139,Movie!A:D,4,FALSE)</f>
        <v>Fox</v>
      </c>
      <c r="H5139" s="14">
        <f>VLOOKUP(E5139,'Rental Transaction'!A:B,2,FALSE)</f>
        <v>158528</v>
      </c>
      <c r="I5139">
        <f t="shared" si="80"/>
        <v>2014</v>
      </c>
    </row>
    <row r="5140" spans="1:9">
      <c r="A5140" s="1">
        <v>10079</v>
      </c>
      <c r="B5140" s="1">
        <v>1</v>
      </c>
      <c r="C5140" s="2">
        <v>41718</v>
      </c>
      <c r="D5140" s="1" t="s">
        <v>2002</v>
      </c>
      <c r="E5140" s="1">
        <v>103495</v>
      </c>
      <c r="F5140" s="6" t="s">
        <v>7142</v>
      </c>
      <c r="G5140" s="15" t="str">
        <f>VLOOKUP(A5140,Movie!A:D,4,FALSE)</f>
        <v>Warner Brothers</v>
      </c>
      <c r="H5140" s="14">
        <f>VLOOKUP(E5140,'Rental Transaction'!A:B,2,FALSE)</f>
        <v>706884</v>
      </c>
      <c r="I5140">
        <f t="shared" si="80"/>
        <v>2014</v>
      </c>
    </row>
    <row r="5141" spans="1:9">
      <c r="A5141" s="1">
        <v>10193</v>
      </c>
      <c r="B5141" s="1">
        <v>1</v>
      </c>
      <c r="C5141" s="2">
        <v>41717</v>
      </c>
      <c r="D5141" s="1" t="s">
        <v>2005</v>
      </c>
      <c r="E5141" s="1">
        <v>103496</v>
      </c>
      <c r="F5141" s="6" t="s">
        <v>7143</v>
      </c>
      <c r="G5141" s="15" t="str">
        <f>VLOOKUP(A5141,Movie!A:D,4,FALSE)</f>
        <v>Fox</v>
      </c>
      <c r="H5141" s="14">
        <f>VLOOKUP(E5141,'Rental Transaction'!A:B,2,FALSE)</f>
        <v>671101</v>
      </c>
      <c r="I5141">
        <f t="shared" si="80"/>
        <v>2014</v>
      </c>
    </row>
    <row r="5142" spans="1:9">
      <c r="A5142" s="1">
        <v>10170</v>
      </c>
      <c r="B5142" s="1">
        <v>9</v>
      </c>
      <c r="C5142" s="2">
        <v>41719</v>
      </c>
      <c r="D5142" s="1" t="s">
        <v>2002</v>
      </c>
      <c r="E5142" s="1">
        <v>103499</v>
      </c>
      <c r="F5142" s="6" t="s">
        <v>7144</v>
      </c>
      <c r="G5142" s="15" t="str">
        <f>VLOOKUP(A5142,Movie!A:D,4,FALSE)</f>
        <v>Sony Classics</v>
      </c>
      <c r="H5142" s="14">
        <f>VLOOKUP(E5142,'Rental Transaction'!A:B,2,FALSE)</f>
        <v>563500</v>
      </c>
      <c r="I5142">
        <f t="shared" si="80"/>
        <v>2014</v>
      </c>
    </row>
    <row r="5143" spans="1:9">
      <c r="A5143" s="1">
        <v>10041</v>
      </c>
      <c r="B5143" s="1">
        <v>1</v>
      </c>
      <c r="C5143" s="2">
        <v>41733</v>
      </c>
      <c r="D5143" s="1" t="s">
        <v>2002</v>
      </c>
      <c r="E5143" s="1">
        <v>103500</v>
      </c>
      <c r="F5143" s="6" t="s">
        <v>7145</v>
      </c>
      <c r="G5143" s="15" t="str">
        <f>VLOOKUP(A5143,Movie!A:D,4,FALSE)</f>
        <v>Lionsgate</v>
      </c>
      <c r="H5143" s="14">
        <f>VLOOKUP(E5143,'Rental Transaction'!A:B,2,FALSE)</f>
        <v>558749</v>
      </c>
      <c r="I5143">
        <f t="shared" si="80"/>
        <v>2014</v>
      </c>
    </row>
    <row r="5144" spans="1:9">
      <c r="A5144" s="1">
        <v>10277</v>
      </c>
      <c r="B5144" s="1">
        <v>8</v>
      </c>
      <c r="C5144" s="2">
        <v>41718</v>
      </c>
      <c r="D5144" s="1" t="s">
        <v>2002</v>
      </c>
      <c r="E5144" s="1">
        <v>103501</v>
      </c>
      <c r="F5144" s="6" t="s">
        <v>7146</v>
      </c>
      <c r="G5144" s="15" t="str">
        <f>VLOOKUP(A5144,Movie!A:D,4,FALSE)</f>
        <v>Universal</v>
      </c>
      <c r="H5144" s="14">
        <f>VLOOKUP(E5144,'Rental Transaction'!A:B,2,FALSE)</f>
        <v>738357</v>
      </c>
      <c r="I5144">
        <f t="shared" si="80"/>
        <v>2014</v>
      </c>
    </row>
    <row r="5145" spans="1:9">
      <c r="A5145" s="1">
        <v>10198</v>
      </c>
      <c r="B5145" s="1">
        <v>8</v>
      </c>
      <c r="C5145" s="2">
        <v>41720</v>
      </c>
      <c r="D5145" s="1" t="s">
        <v>2002</v>
      </c>
      <c r="E5145" s="1">
        <v>103502</v>
      </c>
      <c r="F5145" s="6" t="s">
        <v>7147</v>
      </c>
      <c r="G5145" s="15" t="str">
        <f>VLOOKUP(A5145,Movie!A:D,4,FALSE)</f>
        <v>Fox</v>
      </c>
      <c r="H5145" s="14">
        <f>VLOOKUP(E5145,'Rental Transaction'!A:B,2,FALSE)</f>
        <v>771285</v>
      </c>
      <c r="I5145">
        <f t="shared" si="80"/>
        <v>2014</v>
      </c>
    </row>
    <row r="5146" spans="1:9">
      <c r="A5146" s="1">
        <v>10039</v>
      </c>
      <c r="B5146" s="1">
        <v>4</v>
      </c>
      <c r="C5146" s="2">
        <v>41720</v>
      </c>
      <c r="D5146" s="1" t="s">
        <v>2002</v>
      </c>
      <c r="E5146" s="1">
        <v>103502</v>
      </c>
      <c r="F5146" s="6" t="s">
        <v>7148</v>
      </c>
      <c r="G5146" s="15" t="str">
        <f>VLOOKUP(A5146,Movie!A:D,4,FALSE)</f>
        <v>Open Road Films</v>
      </c>
      <c r="H5146" s="14">
        <f>VLOOKUP(E5146,'Rental Transaction'!A:B,2,FALSE)</f>
        <v>771285</v>
      </c>
      <c r="I5146">
        <f t="shared" si="80"/>
        <v>2014</v>
      </c>
    </row>
    <row r="5147" spans="1:9">
      <c r="A5147" s="1">
        <v>10150</v>
      </c>
      <c r="B5147" s="1">
        <v>10</v>
      </c>
      <c r="C5147" s="2">
        <v>41718</v>
      </c>
      <c r="D5147" s="1" t="s">
        <v>2002</v>
      </c>
      <c r="E5147" s="1">
        <v>103503</v>
      </c>
      <c r="F5147" s="6" t="s">
        <v>7149</v>
      </c>
      <c r="G5147" s="15" t="str">
        <f>VLOOKUP(A5147,Movie!A:D,4,FALSE)</f>
        <v>Focus</v>
      </c>
      <c r="H5147" s="14">
        <f>VLOOKUP(E5147,'Rental Transaction'!A:B,2,FALSE)</f>
        <v>194680</v>
      </c>
      <c r="I5147">
        <f t="shared" si="80"/>
        <v>2014</v>
      </c>
    </row>
    <row r="5148" spans="1:9">
      <c r="A5148" s="1">
        <v>10149</v>
      </c>
      <c r="B5148" s="1">
        <v>10</v>
      </c>
      <c r="C5148" s="2">
        <v>41718</v>
      </c>
      <c r="D5148" s="1" t="s">
        <v>2002</v>
      </c>
      <c r="E5148" s="1">
        <v>103504</v>
      </c>
      <c r="F5148" s="6" t="s">
        <v>7150</v>
      </c>
      <c r="G5148" s="15" t="str">
        <f>VLOOKUP(A5148,Movie!A:D,4,FALSE)</f>
        <v>Relativity</v>
      </c>
      <c r="H5148" s="14">
        <f>VLOOKUP(E5148,'Rental Transaction'!A:B,2,FALSE)</f>
        <v>422951</v>
      </c>
      <c r="I5148">
        <f t="shared" si="80"/>
        <v>2014</v>
      </c>
    </row>
    <row r="5149" spans="1:9" ht="29.25">
      <c r="A5149" s="1">
        <v>10249</v>
      </c>
      <c r="B5149" s="1">
        <v>10</v>
      </c>
      <c r="C5149" s="2">
        <v>41720</v>
      </c>
      <c r="D5149" s="1" t="s">
        <v>2002</v>
      </c>
      <c r="E5149" s="1">
        <v>103507</v>
      </c>
      <c r="F5149" s="6" t="s">
        <v>7151</v>
      </c>
      <c r="G5149" s="15" t="str">
        <f>VLOOKUP(A5149,Movie!A:D,4,FALSE)</f>
        <v>Summit Entertainment</v>
      </c>
      <c r="H5149" s="14">
        <f>VLOOKUP(E5149,'Rental Transaction'!A:B,2,FALSE)</f>
        <v>183797</v>
      </c>
      <c r="I5149">
        <f t="shared" si="80"/>
        <v>2014</v>
      </c>
    </row>
    <row r="5150" spans="1:9" ht="29.25">
      <c r="A5150" s="1">
        <v>10290</v>
      </c>
      <c r="B5150" s="1">
        <v>1</v>
      </c>
      <c r="C5150" s="2">
        <v>41719</v>
      </c>
      <c r="D5150" s="1" t="s">
        <v>2005</v>
      </c>
      <c r="E5150" s="1">
        <v>103508</v>
      </c>
      <c r="F5150" s="6" t="s">
        <v>7152</v>
      </c>
      <c r="G5150" s="15" t="str">
        <f>VLOOKUP(A5150,Movie!A:D,4,FALSE)</f>
        <v>Weinstein Company</v>
      </c>
      <c r="H5150" s="14">
        <f>VLOOKUP(E5150,'Rental Transaction'!A:B,2,FALSE)</f>
        <v>932618</v>
      </c>
      <c r="I5150">
        <f t="shared" si="80"/>
        <v>2014</v>
      </c>
    </row>
    <row r="5151" spans="1:9">
      <c r="A5151" s="1">
        <v>10184</v>
      </c>
      <c r="B5151" s="1">
        <v>10</v>
      </c>
      <c r="C5151" s="2">
        <v>41720</v>
      </c>
      <c r="D5151" s="1" t="s">
        <v>2002</v>
      </c>
      <c r="E5151" s="1">
        <v>103508</v>
      </c>
      <c r="F5151" s="6" t="s">
        <v>7153</v>
      </c>
      <c r="G5151" s="15" t="str">
        <f>VLOOKUP(A5151,Movie!A:D,4,FALSE)</f>
        <v>Universal</v>
      </c>
      <c r="H5151" s="14">
        <f>VLOOKUP(E5151,'Rental Transaction'!A:B,2,FALSE)</f>
        <v>932618</v>
      </c>
      <c r="I5151">
        <f t="shared" si="80"/>
        <v>2014</v>
      </c>
    </row>
    <row r="5152" spans="1:9">
      <c r="A5152" s="1">
        <v>10295</v>
      </c>
      <c r="B5152" s="1">
        <v>5</v>
      </c>
      <c r="C5152" s="2">
        <v>41722</v>
      </c>
      <c r="D5152" s="1" t="s">
        <v>2002</v>
      </c>
      <c r="E5152" s="1">
        <v>103509</v>
      </c>
      <c r="F5152" s="6" t="s">
        <v>7154</v>
      </c>
      <c r="G5152" s="15" t="str">
        <f>VLOOKUP(A5152,Movie!A:D,4,FALSE)</f>
        <v>A24</v>
      </c>
      <c r="H5152" s="14">
        <f>VLOOKUP(E5152,'Rental Transaction'!A:B,2,FALSE)</f>
        <v>833180</v>
      </c>
      <c r="I5152">
        <f t="shared" si="80"/>
        <v>2014</v>
      </c>
    </row>
    <row r="5153" spans="1:9">
      <c r="A5153" s="1">
        <v>10227</v>
      </c>
      <c r="B5153" s="1">
        <v>1</v>
      </c>
      <c r="C5153" s="2">
        <v>41719</v>
      </c>
      <c r="D5153" s="1" t="s">
        <v>2002</v>
      </c>
      <c r="E5153" s="1">
        <v>103509</v>
      </c>
      <c r="F5153" s="6" t="s">
        <v>7155</v>
      </c>
      <c r="G5153" s="15" t="str">
        <f>VLOOKUP(A5153,Movie!A:D,4,FALSE)</f>
        <v>Focus</v>
      </c>
      <c r="H5153" s="14">
        <f>VLOOKUP(E5153,'Rental Transaction'!A:B,2,FALSE)</f>
        <v>833180</v>
      </c>
      <c r="I5153">
        <f t="shared" si="80"/>
        <v>2014</v>
      </c>
    </row>
    <row r="5154" spans="1:9">
      <c r="A5154" s="1">
        <v>10176</v>
      </c>
      <c r="B5154" s="1">
        <v>9</v>
      </c>
      <c r="C5154" s="2">
        <v>41720</v>
      </c>
      <c r="D5154" s="1" t="s">
        <v>2002</v>
      </c>
      <c r="E5154" s="1">
        <v>103512</v>
      </c>
      <c r="F5154" s="6" t="s">
        <v>7156</v>
      </c>
      <c r="G5154" s="15" t="str">
        <f>VLOOKUP(A5154,Movie!A:D,4,FALSE)</f>
        <v>Universal</v>
      </c>
      <c r="H5154" s="14">
        <f>VLOOKUP(E5154,'Rental Transaction'!A:B,2,FALSE)</f>
        <v>143878</v>
      </c>
      <c r="I5154">
        <f t="shared" si="80"/>
        <v>2014</v>
      </c>
    </row>
    <row r="5155" spans="1:9">
      <c r="A5155" s="1">
        <v>10063</v>
      </c>
      <c r="B5155" s="1">
        <v>10</v>
      </c>
      <c r="C5155" s="2">
        <v>41720</v>
      </c>
      <c r="D5155" s="1" t="s">
        <v>2002</v>
      </c>
      <c r="E5155" s="1">
        <v>103514</v>
      </c>
      <c r="F5155" s="6" t="s">
        <v>7157</v>
      </c>
      <c r="G5155" s="15" t="str">
        <f>VLOOKUP(A5155,Movie!A:D,4,FALSE)</f>
        <v>CBS Films</v>
      </c>
      <c r="H5155" s="14">
        <f>VLOOKUP(E5155,'Rental Transaction'!A:B,2,FALSE)</f>
        <v>278809</v>
      </c>
      <c r="I5155">
        <f t="shared" si="80"/>
        <v>2014</v>
      </c>
    </row>
    <row r="5156" spans="1:9">
      <c r="A5156" s="1">
        <v>10274</v>
      </c>
      <c r="B5156" s="1">
        <v>1</v>
      </c>
      <c r="C5156" s="2">
        <v>41721</v>
      </c>
      <c r="D5156" s="1" t="s">
        <v>2005</v>
      </c>
      <c r="E5156" s="1">
        <v>103515</v>
      </c>
      <c r="F5156" s="6" t="s">
        <v>7158</v>
      </c>
      <c r="G5156" s="15" t="str">
        <f>VLOOKUP(A5156,Movie!A:D,4,FALSE)</f>
        <v>Fox</v>
      </c>
      <c r="H5156" s="14">
        <f>VLOOKUP(E5156,'Rental Transaction'!A:B,2,FALSE)</f>
        <v>657495</v>
      </c>
      <c r="I5156">
        <f t="shared" si="80"/>
        <v>2014</v>
      </c>
    </row>
    <row r="5157" spans="1:9" ht="29.25">
      <c r="A5157" s="1">
        <v>10285</v>
      </c>
      <c r="B5157" s="1">
        <v>7</v>
      </c>
      <c r="C5157" s="2">
        <v>41723</v>
      </c>
      <c r="D5157" s="1" t="s">
        <v>2002</v>
      </c>
      <c r="E5157" s="1">
        <v>103515</v>
      </c>
      <c r="F5157" s="6" t="s">
        <v>7159</v>
      </c>
      <c r="G5157" s="15" t="str">
        <f>VLOOKUP(A5157,Movie!A:D,4,FALSE)</f>
        <v>Roadside Attractions</v>
      </c>
      <c r="H5157" s="14">
        <f>VLOOKUP(E5157,'Rental Transaction'!A:B,2,FALSE)</f>
        <v>657495</v>
      </c>
      <c r="I5157">
        <f t="shared" si="80"/>
        <v>2014</v>
      </c>
    </row>
    <row r="5158" spans="1:9">
      <c r="A5158" s="1">
        <v>10275</v>
      </c>
      <c r="B5158" s="1">
        <v>8</v>
      </c>
      <c r="C5158" s="2">
        <v>41720</v>
      </c>
      <c r="D5158" s="1" t="s">
        <v>2005</v>
      </c>
      <c r="E5158" s="1">
        <v>103516</v>
      </c>
      <c r="F5158" s="6" t="s">
        <v>7160</v>
      </c>
      <c r="G5158" s="15" t="str">
        <f>VLOOKUP(A5158,Movie!A:D,4,FALSE)</f>
        <v>Lionsgate</v>
      </c>
      <c r="H5158" s="14">
        <f>VLOOKUP(E5158,'Rental Transaction'!A:B,2,FALSE)</f>
        <v>166612</v>
      </c>
      <c r="I5158">
        <f t="shared" si="80"/>
        <v>2014</v>
      </c>
    </row>
    <row r="5159" spans="1:9">
      <c r="A5159" s="1">
        <v>10079</v>
      </c>
      <c r="B5159" s="1">
        <v>10</v>
      </c>
      <c r="C5159" s="2">
        <v>41724</v>
      </c>
      <c r="D5159" s="1" t="s">
        <v>2002</v>
      </c>
      <c r="E5159" s="1">
        <v>103516</v>
      </c>
      <c r="F5159" s="6" t="s">
        <v>7161</v>
      </c>
      <c r="G5159" s="15" t="str">
        <f>VLOOKUP(A5159,Movie!A:D,4,FALSE)</f>
        <v>Warner Brothers</v>
      </c>
      <c r="H5159" s="14">
        <f>VLOOKUP(E5159,'Rental Transaction'!A:B,2,FALSE)</f>
        <v>166612</v>
      </c>
      <c r="I5159">
        <f t="shared" si="80"/>
        <v>2014</v>
      </c>
    </row>
    <row r="5160" spans="1:9">
      <c r="A5160" s="1">
        <v>10271</v>
      </c>
      <c r="B5160" s="1">
        <v>10</v>
      </c>
      <c r="C5160" s="2">
        <v>41721</v>
      </c>
      <c r="D5160" s="1" t="s">
        <v>2002</v>
      </c>
      <c r="E5160" s="1">
        <v>103517</v>
      </c>
      <c r="F5160" s="6" t="s">
        <v>7162</v>
      </c>
      <c r="G5160" s="15" t="str">
        <f>VLOOKUP(A5160,Movie!A:D,4,FALSE)</f>
        <v>Universal</v>
      </c>
      <c r="H5160" s="14">
        <f>VLOOKUP(E5160,'Rental Transaction'!A:B,2,FALSE)</f>
        <v>347189</v>
      </c>
      <c r="I5160">
        <f t="shared" si="80"/>
        <v>2014</v>
      </c>
    </row>
    <row r="5161" spans="1:9">
      <c r="A5161" s="1">
        <v>10268</v>
      </c>
      <c r="B5161" s="1">
        <v>2</v>
      </c>
      <c r="C5161" s="2">
        <v>41722</v>
      </c>
      <c r="D5161" s="1" t="s">
        <v>2005</v>
      </c>
      <c r="E5161" s="1">
        <v>103518</v>
      </c>
      <c r="F5161" s="6" t="s">
        <v>7163</v>
      </c>
      <c r="G5161" s="15" t="str">
        <f>VLOOKUP(A5161,Movie!A:D,4,FALSE)</f>
        <v>Buena Vista</v>
      </c>
      <c r="H5161" s="14">
        <f>VLOOKUP(E5161,'Rental Transaction'!A:B,2,FALSE)</f>
        <v>761615</v>
      </c>
      <c r="I5161">
        <f t="shared" si="80"/>
        <v>2014</v>
      </c>
    </row>
    <row r="5162" spans="1:9">
      <c r="A5162" s="1">
        <v>10224</v>
      </c>
      <c r="B5162" s="1">
        <v>8</v>
      </c>
      <c r="C5162" s="2">
        <v>41721</v>
      </c>
      <c r="D5162" s="1" t="s">
        <v>2005</v>
      </c>
      <c r="E5162" s="1">
        <v>103522</v>
      </c>
      <c r="F5162" s="6" t="s">
        <v>7164</v>
      </c>
      <c r="G5162" s="15" t="str">
        <f>VLOOKUP(A5162,Movie!A:D,4,FALSE)</f>
        <v>Fox Searchlight</v>
      </c>
      <c r="H5162" s="14">
        <f>VLOOKUP(E5162,'Rental Transaction'!A:B,2,FALSE)</f>
        <v>407605</v>
      </c>
      <c r="I5162">
        <f t="shared" si="80"/>
        <v>2014</v>
      </c>
    </row>
    <row r="5163" spans="1:9">
      <c r="A5163" s="1">
        <v>10043</v>
      </c>
      <c r="B5163" s="1">
        <v>2</v>
      </c>
      <c r="C5163" s="2">
        <v>41722</v>
      </c>
      <c r="D5163" s="1" t="s">
        <v>2002</v>
      </c>
      <c r="E5163" s="1">
        <v>103522</v>
      </c>
      <c r="F5163" s="6" t="s">
        <v>7165</v>
      </c>
      <c r="G5163" s="15" t="str">
        <f>VLOOKUP(A5163,Movie!A:D,4,FALSE)</f>
        <v>Screen Gems</v>
      </c>
      <c r="H5163" s="14">
        <f>VLOOKUP(E5163,'Rental Transaction'!A:B,2,FALSE)</f>
        <v>407605</v>
      </c>
      <c r="I5163">
        <f t="shared" si="80"/>
        <v>2014</v>
      </c>
    </row>
    <row r="5164" spans="1:9">
      <c r="A5164" s="1">
        <v>10026</v>
      </c>
      <c r="B5164" s="1">
        <v>6</v>
      </c>
      <c r="C5164" s="2">
        <v>41721</v>
      </c>
      <c r="D5164" s="1" t="s">
        <v>2002</v>
      </c>
      <c r="E5164" s="1">
        <v>103525</v>
      </c>
      <c r="F5164" s="6" t="s">
        <v>7166</v>
      </c>
      <c r="G5164" s="15" t="str">
        <f>VLOOKUP(A5164,Movie!A:D,4,FALSE)</f>
        <v>Fox</v>
      </c>
      <c r="H5164" s="14">
        <f>VLOOKUP(E5164,'Rental Transaction'!A:B,2,FALSE)</f>
        <v>265133</v>
      </c>
      <c r="I5164">
        <f t="shared" si="80"/>
        <v>2014</v>
      </c>
    </row>
    <row r="5165" spans="1:9">
      <c r="A5165" s="1">
        <v>10209</v>
      </c>
      <c r="B5165" s="1">
        <v>10</v>
      </c>
      <c r="C5165" s="2">
        <v>41724</v>
      </c>
      <c r="D5165" s="1" t="s">
        <v>2002</v>
      </c>
      <c r="E5165" s="1">
        <v>103525</v>
      </c>
      <c r="F5165" s="6" t="s">
        <v>7167</v>
      </c>
      <c r="G5165" s="15" t="str">
        <f>VLOOKUP(A5165,Movie!A:D,4,FALSE)</f>
        <v>Universal</v>
      </c>
      <c r="H5165" s="14">
        <f>VLOOKUP(E5165,'Rental Transaction'!A:B,2,FALSE)</f>
        <v>265133</v>
      </c>
      <c r="I5165">
        <f t="shared" si="80"/>
        <v>2014</v>
      </c>
    </row>
    <row r="5166" spans="1:9">
      <c r="A5166" s="1">
        <v>10108</v>
      </c>
      <c r="B5166" s="1">
        <v>9</v>
      </c>
      <c r="C5166" s="2">
        <v>41722</v>
      </c>
      <c r="D5166" s="1" t="s">
        <v>2002</v>
      </c>
      <c r="E5166" s="1">
        <v>103529</v>
      </c>
      <c r="F5166" s="6" t="s">
        <v>7168</v>
      </c>
      <c r="G5166" s="15" t="str">
        <f>VLOOKUP(A5166,Movie!A:D,4,FALSE)</f>
        <v>Fox</v>
      </c>
      <c r="H5166" s="14">
        <f>VLOOKUP(E5166,'Rental Transaction'!A:B,2,FALSE)</f>
        <v>157388</v>
      </c>
      <c r="I5166">
        <f t="shared" si="80"/>
        <v>2014</v>
      </c>
    </row>
    <row r="5167" spans="1:9">
      <c r="A5167" s="1">
        <v>10101</v>
      </c>
      <c r="B5167" s="1">
        <v>6</v>
      </c>
      <c r="C5167" s="2">
        <v>41723</v>
      </c>
      <c r="D5167" s="1" t="s">
        <v>2002</v>
      </c>
      <c r="E5167" s="1">
        <v>103529</v>
      </c>
      <c r="F5167" s="6" t="s">
        <v>7169</v>
      </c>
      <c r="G5167" s="15" t="str">
        <f>VLOOKUP(A5167,Movie!A:D,4,FALSE)</f>
        <v>Sony</v>
      </c>
      <c r="H5167" s="14">
        <f>VLOOKUP(E5167,'Rental Transaction'!A:B,2,FALSE)</f>
        <v>157388</v>
      </c>
      <c r="I5167">
        <f t="shared" si="80"/>
        <v>2014</v>
      </c>
    </row>
    <row r="5168" spans="1:9">
      <c r="A5168" s="1">
        <v>10118</v>
      </c>
      <c r="B5168" s="1">
        <v>8</v>
      </c>
      <c r="C5168" s="2">
        <v>41723</v>
      </c>
      <c r="D5168" s="1" t="s">
        <v>2002</v>
      </c>
      <c r="E5168" s="1">
        <v>103533</v>
      </c>
      <c r="F5168" s="6" t="s">
        <v>7170</v>
      </c>
      <c r="G5168" s="15" t="str">
        <f>VLOOKUP(A5168,Movie!A:D,4,FALSE)</f>
        <v>Buena Vista</v>
      </c>
      <c r="H5168" s="14">
        <f>VLOOKUP(E5168,'Rental Transaction'!A:B,2,FALSE)</f>
        <v>995599</v>
      </c>
      <c r="I5168">
        <f t="shared" si="80"/>
        <v>2014</v>
      </c>
    </row>
    <row r="5169" spans="1:9">
      <c r="A5169" s="1">
        <v>10224</v>
      </c>
      <c r="B5169" s="1">
        <v>1</v>
      </c>
      <c r="C5169" s="2">
        <v>41725</v>
      </c>
      <c r="D5169" s="1" t="s">
        <v>2005</v>
      </c>
      <c r="E5169" s="1">
        <v>103534</v>
      </c>
      <c r="F5169" s="6" t="s">
        <v>7171</v>
      </c>
      <c r="G5169" s="15" t="str">
        <f>VLOOKUP(A5169,Movie!A:D,4,FALSE)</f>
        <v>Fox Searchlight</v>
      </c>
      <c r="H5169" s="14">
        <f>VLOOKUP(E5169,'Rental Transaction'!A:B,2,FALSE)</f>
        <v>992956</v>
      </c>
      <c r="I5169">
        <f t="shared" si="80"/>
        <v>2014</v>
      </c>
    </row>
    <row r="5170" spans="1:9">
      <c r="A5170" s="1">
        <v>10166</v>
      </c>
      <c r="B5170" s="1">
        <v>7</v>
      </c>
      <c r="C5170" s="2">
        <v>41724</v>
      </c>
      <c r="D5170" s="1" t="s">
        <v>2002</v>
      </c>
      <c r="E5170" s="1">
        <v>103536</v>
      </c>
      <c r="F5170" s="6" t="s">
        <v>7172</v>
      </c>
      <c r="G5170" s="15" t="str">
        <f>VLOOKUP(A5170,Movie!A:D,4,FALSE)</f>
        <v>Fox</v>
      </c>
      <c r="H5170" s="14">
        <f>VLOOKUP(E5170,'Rental Transaction'!A:B,2,FALSE)</f>
        <v>256181</v>
      </c>
      <c r="I5170">
        <f t="shared" si="80"/>
        <v>2014</v>
      </c>
    </row>
    <row r="5171" spans="1:9">
      <c r="A5171" s="1">
        <v>10200</v>
      </c>
      <c r="B5171" s="1">
        <v>2</v>
      </c>
      <c r="C5171" s="2">
        <v>41723</v>
      </c>
      <c r="D5171" s="1" t="s">
        <v>2005</v>
      </c>
      <c r="E5171" s="1">
        <v>103538</v>
      </c>
      <c r="F5171" s="6" t="s">
        <v>7173</v>
      </c>
      <c r="G5171" s="15" t="str">
        <f>VLOOKUP(A5171,Movie!A:D,4,FALSE)</f>
        <v>Fox</v>
      </c>
      <c r="H5171" s="14">
        <f>VLOOKUP(E5171,'Rental Transaction'!A:B,2,FALSE)</f>
        <v>442691</v>
      </c>
      <c r="I5171">
        <f t="shared" si="80"/>
        <v>2014</v>
      </c>
    </row>
    <row r="5172" spans="1:9">
      <c r="A5172" s="1">
        <v>10245</v>
      </c>
      <c r="B5172" s="1">
        <v>3</v>
      </c>
      <c r="C5172" s="2">
        <v>41724</v>
      </c>
      <c r="D5172" s="1" t="s">
        <v>2002</v>
      </c>
      <c r="E5172" s="1">
        <v>103540</v>
      </c>
      <c r="F5172" s="6" t="s">
        <v>7174</v>
      </c>
      <c r="G5172" s="15" t="str">
        <f>VLOOKUP(A5172,Movie!A:D,4,FALSE)</f>
        <v>Warner Brothers</v>
      </c>
      <c r="H5172" s="14">
        <f>VLOOKUP(E5172,'Rental Transaction'!A:B,2,FALSE)</f>
        <v>465275</v>
      </c>
      <c r="I5172">
        <f t="shared" si="80"/>
        <v>2014</v>
      </c>
    </row>
    <row r="5173" spans="1:9">
      <c r="A5173" s="1">
        <v>10118</v>
      </c>
      <c r="B5173" s="1">
        <v>4</v>
      </c>
      <c r="C5173" s="2">
        <v>41724</v>
      </c>
      <c r="D5173" s="1" t="s">
        <v>2002</v>
      </c>
      <c r="E5173" s="1">
        <v>103542</v>
      </c>
      <c r="F5173" s="6" t="s">
        <v>7175</v>
      </c>
      <c r="G5173" s="15" t="str">
        <f>VLOOKUP(A5173,Movie!A:D,4,FALSE)</f>
        <v>Buena Vista</v>
      </c>
      <c r="H5173" s="14">
        <f>VLOOKUP(E5173,'Rental Transaction'!A:B,2,FALSE)</f>
        <v>826590</v>
      </c>
      <c r="I5173">
        <f t="shared" si="80"/>
        <v>2014</v>
      </c>
    </row>
    <row r="5174" spans="1:9">
      <c r="A5174" s="1">
        <v>10291</v>
      </c>
      <c r="B5174" s="1">
        <v>5</v>
      </c>
      <c r="C5174" s="2">
        <v>41724</v>
      </c>
      <c r="D5174" s="1" t="s">
        <v>2002</v>
      </c>
      <c r="E5174" s="1">
        <v>103543</v>
      </c>
      <c r="F5174" s="6" t="s">
        <v>7176</v>
      </c>
      <c r="G5174" s="15" t="str">
        <f>VLOOKUP(A5174,Movie!A:D,4,FALSE)</f>
        <v>Warner Brothers</v>
      </c>
      <c r="H5174" s="14">
        <f>VLOOKUP(E5174,'Rental Transaction'!A:B,2,FALSE)</f>
        <v>766737</v>
      </c>
      <c r="I5174">
        <f t="shared" si="80"/>
        <v>2014</v>
      </c>
    </row>
    <row r="5175" spans="1:9">
      <c r="A5175" s="1">
        <v>10289</v>
      </c>
      <c r="B5175" s="1">
        <v>10</v>
      </c>
      <c r="C5175" s="2">
        <v>41725</v>
      </c>
      <c r="D5175" s="1" t="s">
        <v>2005</v>
      </c>
      <c r="E5175" s="1">
        <v>103545</v>
      </c>
      <c r="F5175" s="6" t="s">
        <v>7177</v>
      </c>
      <c r="G5175" s="15" t="str">
        <f>VLOOKUP(A5175,Movie!A:D,4,FALSE)</f>
        <v>Open Road Films</v>
      </c>
      <c r="H5175" s="14">
        <f>VLOOKUP(E5175,'Rental Transaction'!A:B,2,FALSE)</f>
        <v>111991</v>
      </c>
      <c r="I5175">
        <f t="shared" si="80"/>
        <v>2014</v>
      </c>
    </row>
    <row r="5176" spans="1:9">
      <c r="A5176" s="1">
        <v>10253</v>
      </c>
      <c r="B5176" s="1">
        <v>9</v>
      </c>
      <c r="C5176" s="2">
        <v>41725</v>
      </c>
      <c r="D5176" s="1" t="s">
        <v>2005</v>
      </c>
      <c r="E5176" s="1">
        <v>103546</v>
      </c>
      <c r="F5176" s="6" t="s">
        <v>7178</v>
      </c>
      <c r="G5176" s="15" t="str">
        <f>VLOOKUP(A5176,Movie!A:D,4,FALSE)</f>
        <v>Buena Vista</v>
      </c>
      <c r="H5176" s="14">
        <f>VLOOKUP(E5176,'Rental Transaction'!A:B,2,FALSE)</f>
        <v>498970</v>
      </c>
      <c r="I5176">
        <f t="shared" si="80"/>
        <v>2014</v>
      </c>
    </row>
    <row r="5177" spans="1:9">
      <c r="A5177" s="1">
        <v>10228</v>
      </c>
      <c r="B5177" s="1">
        <v>8</v>
      </c>
      <c r="C5177" s="2">
        <v>41725</v>
      </c>
      <c r="D5177" s="1" t="s">
        <v>2002</v>
      </c>
      <c r="E5177" s="1">
        <v>103548</v>
      </c>
      <c r="F5177" s="6" t="s">
        <v>7179</v>
      </c>
      <c r="G5177" s="15" t="str">
        <f>VLOOKUP(A5177,Movie!A:D,4,FALSE)</f>
        <v>Universal</v>
      </c>
      <c r="H5177" s="14">
        <f>VLOOKUP(E5177,'Rental Transaction'!A:B,2,FALSE)</f>
        <v>537860</v>
      </c>
      <c r="I5177">
        <f t="shared" si="80"/>
        <v>2014</v>
      </c>
    </row>
    <row r="5178" spans="1:9">
      <c r="A5178" s="1">
        <v>10114</v>
      </c>
      <c r="B5178" s="1">
        <v>7</v>
      </c>
      <c r="C5178" s="2">
        <v>41726</v>
      </c>
      <c r="D5178" s="1" t="s">
        <v>2005</v>
      </c>
      <c r="E5178" s="1">
        <v>103548</v>
      </c>
      <c r="F5178" s="6" t="s">
        <v>7180</v>
      </c>
      <c r="G5178" s="15" t="str">
        <f>VLOOKUP(A5178,Movie!A:D,4,FALSE)</f>
        <v>Lionsgate</v>
      </c>
      <c r="H5178" s="14">
        <f>VLOOKUP(E5178,'Rental Transaction'!A:B,2,FALSE)</f>
        <v>537860</v>
      </c>
      <c r="I5178">
        <f t="shared" si="80"/>
        <v>2014</v>
      </c>
    </row>
    <row r="5179" spans="1:9">
      <c r="A5179" s="1">
        <v>10181</v>
      </c>
      <c r="B5179" s="1">
        <v>10</v>
      </c>
      <c r="C5179" s="2">
        <v>41727</v>
      </c>
      <c r="D5179" s="1" t="s">
        <v>2002</v>
      </c>
      <c r="E5179" s="1">
        <v>103549</v>
      </c>
      <c r="F5179" s="6" t="s">
        <v>7181</v>
      </c>
      <c r="G5179" s="15" t="str">
        <f>VLOOKUP(A5179,Movie!A:D,4,FALSE)</f>
        <v>Fox</v>
      </c>
      <c r="H5179" s="14">
        <f>VLOOKUP(E5179,'Rental Transaction'!A:B,2,FALSE)</f>
        <v>422951</v>
      </c>
      <c r="I5179">
        <f t="shared" si="80"/>
        <v>2014</v>
      </c>
    </row>
    <row r="5180" spans="1:9" ht="29.25">
      <c r="A5180" s="1">
        <v>10028</v>
      </c>
      <c r="B5180" s="1">
        <v>9</v>
      </c>
      <c r="C5180" s="2">
        <v>41725</v>
      </c>
      <c r="D5180" s="1" t="s">
        <v>2002</v>
      </c>
      <c r="E5180" s="1">
        <v>103549</v>
      </c>
      <c r="F5180" s="6" t="s">
        <v>7182</v>
      </c>
      <c r="G5180" s="15" t="str">
        <f>VLOOKUP(A5180,Movie!A:D,4,FALSE)</f>
        <v>Summit Entertainment</v>
      </c>
      <c r="H5180" s="14">
        <f>VLOOKUP(E5180,'Rental Transaction'!A:B,2,FALSE)</f>
        <v>422951</v>
      </c>
      <c r="I5180">
        <f t="shared" si="80"/>
        <v>2014</v>
      </c>
    </row>
    <row r="5181" spans="1:9" ht="29.25">
      <c r="A5181" s="1">
        <v>10285</v>
      </c>
      <c r="B5181" s="1">
        <v>10</v>
      </c>
      <c r="C5181" s="2">
        <v>41727</v>
      </c>
      <c r="D5181" s="1" t="s">
        <v>2005</v>
      </c>
      <c r="E5181" s="1">
        <v>103550</v>
      </c>
      <c r="F5181" s="6" t="s">
        <v>7183</v>
      </c>
      <c r="G5181" s="15" t="str">
        <f>VLOOKUP(A5181,Movie!A:D,4,FALSE)</f>
        <v>Roadside Attractions</v>
      </c>
      <c r="H5181" s="14">
        <f>VLOOKUP(E5181,'Rental Transaction'!A:B,2,FALSE)</f>
        <v>245577</v>
      </c>
      <c r="I5181">
        <f t="shared" si="80"/>
        <v>2014</v>
      </c>
    </row>
    <row r="5182" spans="1:9">
      <c r="A5182" s="1">
        <v>10061</v>
      </c>
      <c r="B5182" s="1">
        <v>3</v>
      </c>
      <c r="C5182" s="2">
        <v>41728</v>
      </c>
      <c r="D5182" s="1" t="s">
        <v>2002</v>
      </c>
      <c r="E5182" s="1">
        <v>103551</v>
      </c>
      <c r="F5182" s="6" t="s">
        <v>7184</v>
      </c>
      <c r="G5182" s="15" t="str">
        <f>VLOOKUP(A5182,Movie!A:D,4,FALSE)</f>
        <v>Fox</v>
      </c>
      <c r="H5182" s="14">
        <f>VLOOKUP(E5182,'Rental Transaction'!A:B,2,FALSE)</f>
        <v>806545</v>
      </c>
      <c r="I5182">
        <f t="shared" si="80"/>
        <v>2014</v>
      </c>
    </row>
    <row r="5183" spans="1:9" ht="29.25">
      <c r="A5183" s="1">
        <v>10285</v>
      </c>
      <c r="B5183" s="1">
        <v>2</v>
      </c>
      <c r="C5183" s="2">
        <v>41727</v>
      </c>
      <c r="D5183" s="1" t="s">
        <v>2002</v>
      </c>
      <c r="E5183" s="1">
        <v>103552</v>
      </c>
      <c r="F5183" s="6" t="s">
        <v>7185</v>
      </c>
      <c r="G5183" s="15" t="str">
        <f>VLOOKUP(A5183,Movie!A:D,4,FALSE)</f>
        <v>Roadside Attractions</v>
      </c>
      <c r="H5183" s="14">
        <f>VLOOKUP(E5183,'Rental Transaction'!A:B,2,FALSE)</f>
        <v>651462</v>
      </c>
      <c r="I5183">
        <f t="shared" si="80"/>
        <v>2014</v>
      </c>
    </row>
    <row r="5184" spans="1:9">
      <c r="A5184" s="1">
        <v>10056</v>
      </c>
      <c r="B5184" s="1">
        <v>3</v>
      </c>
      <c r="C5184" s="2">
        <v>41725</v>
      </c>
      <c r="D5184" s="1" t="s">
        <v>2002</v>
      </c>
      <c r="E5184" s="1">
        <v>103553</v>
      </c>
      <c r="F5184" s="6" t="s">
        <v>7186</v>
      </c>
      <c r="G5184" s="15" t="str">
        <f>VLOOKUP(A5184,Movie!A:D,4,FALSE)</f>
        <v>Screen Gems</v>
      </c>
      <c r="H5184" s="14">
        <f>VLOOKUP(E5184,'Rental Transaction'!A:B,2,FALSE)</f>
        <v>720602</v>
      </c>
      <c r="I5184">
        <f t="shared" si="80"/>
        <v>2014</v>
      </c>
    </row>
    <row r="5185" spans="1:9">
      <c r="A5185" s="1">
        <v>10272</v>
      </c>
      <c r="B5185" s="1">
        <v>10</v>
      </c>
      <c r="C5185" s="2">
        <v>41726</v>
      </c>
      <c r="D5185" s="1" t="s">
        <v>2002</v>
      </c>
      <c r="E5185" s="1">
        <v>103554</v>
      </c>
      <c r="F5185" s="6" t="s">
        <v>7187</v>
      </c>
      <c r="G5185" s="15" t="str">
        <f>VLOOKUP(A5185,Movie!A:D,4,FALSE)</f>
        <v>Sony</v>
      </c>
      <c r="H5185" s="14">
        <f>VLOOKUP(E5185,'Rental Transaction'!A:B,2,FALSE)</f>
        <v>193914</v>
      </c>
      <c r="I5185">
        <f t="shared" si="80"/>
        <v>2014</v>
      </c>
    </row>
    <row r="5186" spans="1:9">
      <c r="A5186" s="1">
        <v>10284</v>
      </c>
      <c r="B5186" s="1">
        <v>5</v>
      </c>
      <c r="C5186" s="2">
        <v>41725</v>
      </c>
      <c r="D5186" s="1" t="s">
        <v>2002</v>
      </c>
      <c r="E5186" s="1">
        <v>103554</v>
      </c>
      <c r="F5186" s="6" t="s">
        <v>7188</v>
      </c>
      <c r="G5186" s="15" t="str">
        <f>VLOOKUP(A5186,Movie!A:D,4,FALSE)</f>
        <v>Focus</v>
      </c>
      <c r="H5186" s="14">
        <f>VLOOKUP(E5186,'Rental Transaction'!A:B,2,FALSE)</f>
        <v>193914</v>
      </c>
      <c r="I5186">
        <f t="shared" si="80"/>
        <v>2014</v>
      </c>
    </row>
    <row r="5187" spans="1:9">
      <c r="A5187" s="1">
        <v>10149</v>
      </c>
      <c r="B5187" s="1">
        <v>3</v>
      </c>
      <c r="C5187" s="2">
        <v>41725</v>
      </c>
      <c r="D5187" s="1" t="s">
        <v>2002</v>
      </c>
      <c r="E5187" s="1">
        <v>103554</v>
      </c>
      <c r="F5187" s="6" t="s">
        <v>7189</v>
      </c>
      <c r="G5187" s="15" t="str">
        <f>VLOOKUP(A5187,Movie!A:D,4,FALSE)</f>
        <v>Relativity</v>
      </c>
      <c r="H5187" s="14">
        <f>VLOOKUP(E5187,'Rental Transaction'!A:B,2,FALSE)</f>
        <v>193914</v>
      </c>
      <c r="I5187">
        <f t="shared" ref="I5187:I5250" si="81">YEAR(C5187)</f>
        <v>2014</v>
      </c>
    </row>
    <row r="5188" spans="1:9">
      <c r="A5188" s="1">
        <v>10217</v>
      </c>
      <c r="B5188" s="1">
        <v>2</v>
      </c>
      <c r="C5188" s="2">
        <v>41725</v>
      </c>
      <c r="D5188" s="1" t="s">
        <v>2005</v>
      </c>
      <c r="E5188" s="1">
        <v>103555</v>
      </c>
      <c r="F5188" s="6" t="s">
        <v>7190</v>
      </c>
      <c r="G5188" s="15" t="str">
        <f>VLOOKUP(A5188,Movie!A:D,4,FALSE)</f>
        <v>Warner Brothers</v>
      </c>
      <c r="H5188" s="14">
        <f>VLOOKUP(E5188,'Rental Transaction'!A:B,2,FALSE)</f>
        <v>994199</v>
      </c>
      <c r="I5188">
        <f t="shared" si="81"/>
        <v>2014</v>
      </c>
    </row>
    <row r="5189" spans="1:9">
      <c r="A5189" s="1">
        <v>10248</v>
      </c>
      <c r="B5189" s="1">
        <v>1</v>
      </c>
      <c r="C5189" s="2">
        <v>41727</v>
      </c>
      <c r="D5189" s="1" t="s">
        <v>2002</v>
      </c>
      <c r="E5189" s="1">
        <v>103556</v>
      </c>
      <c r="F5189" s="6" t="s">
        <v>7191</v>
      </c>
      <c r="G5189" s="15" t="str">
        <f>VLOOKUP(A5189,Movie!A:D,4,FALSE)</f>
        <v>Relativity</v>
      </c>
      <c r="H5189" s="14">
        <f>VLOOKUP(E5189,'Rental Transaction'!A:B,2,FALSE)</f>
        <v>789500</v>
      </c>
      <c r="I5189">
        <f t="shared" si="81"/>
        <v>2014</v>
      </c>
    </row>
    <row r="5190" spans="1:9">
      <c r="A5190" s="1">
        <v>10072</v>
      </c>
      <c r="B5190" s="1">
        <v>3</v>
      </c>
      <c r="C5190" s="2">
        <v>41727</v>
      </c>
      <c r="D5190" s="1" t="s">
        <v>2002</v>
      </c>
      <c r="E5190" s="1">
        <v>103556</v>
      </c>
      <c r="F5190" s="6" t="s">
        <v>7192</v>
      </c>
      <c r="G5190" s="15" t="str">
        <f>VLOOKUP(A5190,Movie!A:D,4,FALSE)</f>
        <v>Paramount</v>
      </c>
      <c r="H5190" s="14">
        <f>VLOOKUP(E5190,'Rental Transaction'!A:B,2,FALSE)</f>
        <v>789500</v>
      </c>
      <c r="I5190">
        <f t="shared" si="81"/>
        <v>2014</v>
      </c>
    </row>
    <row r="5191" spans="1:9">
      <c r="A5191" s="1">
        <v>10225</v>
      </c>
      <c r="B5191" s="1">
        <v>4</v>
      </c>
      <c r="C5191" s="2">
        <v>41727</v>
      </c>
      <c r="D5191" s="1" t="s">
        <v>2002</v>
      </c>
      <c r="E5191" s="1">
        <v>103558</v>
      </c>
      <c r="F5191" s="6" t="s">
        <v>7193</v>
      </c>
      <c r="G5191" s="15" t="str">
        <f>VLOOKUP(A5191,Movie!A:D,4,FALSE)</f>
        <v>Warner Brothers</v>
      </c>
      <c r="H5191" s="14">
        <f>VLOOKUP(E5191,'Rental Transaction'!A:B,2,FALSE)</f>
        <v>771285</v>
      </c>
      <c r="I5191">
        <f t="shared" si="81"/>
        <v>2014</v>
      </c>
    </row>
    <row r="5192" spans="1:9">
      <c r="A5192" s="1">
        <v>10233</v>
      </c>
      <c r="B5192" s="1">
        <v>2</v>
      </c>
      <c r="C5192" s="2">
        <v>41726</v>
      </c>
      <c r="D5192" s="1" t="s">
        <v>2005</v>
      </c>
      <c r="E5192" s="1">
        <v>103558</v>
      </c>
      <c r="F5192" s="6" t="s">
        <v>7194</v>
      </c>
      <c r="G5192" s="15" t="str">
        <f>VLOOKUP(A5192,Movie!A:D,4,FALSE)</f>
        <v>Screen Gems</v>
      </c>
      <c r="H5192" s="14">
        <f>VLOOKUP(E5192,'Rental Transaction'!A:B,2,FALSE)</f>
        <v>771285</v>
      </c>
      <c r="I5192">
        <f t="shared" si="81"/>
        <v>2014</v>
      </c>
    </row>
    <row r="5193" spans="1:9" ht="29.25">
      <c r="A5193" s="1">
        <v>10285</v>
      </c>
      <c r="B5193" s="1">
        <v>4</v>
      </c>
      <c r="C5193" s="2">
        <v>41726</v>
      </c>
      <c r="D5193" s="1" t="s">
        <v>2002</v>
      </c>
      <c r="E5193" s="1">
        <v>103561</v>
      </c>
      <c r="F5193" s="6" t="s">
        <v>7195</v>
      </c>
      <c r="G5193" s="15" t="str">
        <f>VLOOKUP(A5193,Movie!A:D,4,FALSE)</f>
        <v>Roadside Attractions</v>
      </c>
      <c r="H5193" s="14">
        <f>VLOOKUP(E5193,'Rental Transaction'!A:B,2,FALSE)</f>
        <v>800121</v>
      </c>
      <c r="I5193">
        <f t="shared" si="81"/>
        <v>2014</v>
      </c>
    </row>
    <row r="5194" spans="1:9">
      <c r="A5194" s="1">
        <v>10185</v>
      </c>
      <c r="B5194" s="1">
        <v>2</v>
      </c>
      <c r="C5194" s="2">
        <v>41728</v>
      </c>
      <c r="D5194" s="1" t="s">
        <v>2002</v>
      </c>
      <c r="E5194" s="1">
        <v>103562</v>
      </c>
      <c r="F5194" s="6" t="s">
        <v>7196</v>
      </c>
      <c r="G5194" s="15" t="str">
        <f>VLOOKUP(A5194,Movie!A:D,4,FALSE)</f>
        <v>Warner Brothers</v>
      </c>
      <c r="H5194" s="14">
        <f>VLOOKUP(E5194,'Rental Transaction'!A:B,2,FALSE)</f>
        <v>500828</v>
      </c>
      <c r="I5194">
        <f t="shared" si="81"/>
        <v>2014</v>
      </c>
    </row>
    <row r="5195" spans="1:9">
      <c r="A5195" s="1">
        <v>10247</v>
      </c>
      <c r="B5195" s="1">
        <v>5</v>
      </c>
      <c r="C5195" s="2">
        <v>41727</v>
      </c>
      <c r="D5195" s="1" t="s">
        <v>2002</v>
      </c>
      <c r="E5195" s="1">
        <v>103562</v>
      </c>
      <c r="F5195" s="6" t="s">
        <v>7197</v>
      </c>
      <c r="G5195" s="15" t="str">
        <f>VLOOKUP(A5195,Movie!A:D,4,FALSE)</f>
        <v>Fox</v>
      </c>
      <c r="H5195" s="14">
        <f>VLOOKUP(E5195,'Rental Transaction'!A:B,2,FALSE)</f>
        <v>500828</v>
      </c>
      <c r="I5195">
        <f t="shared" si="81"/>
        <v>2014</v>
      </c>
    </row>
    <row r="5196" spans="1:9">
      <c r="A5196" s="1">
        <v>10194</v>
      </c>
      <c r="B5196" s="1">
        <v>9</v>
      </c>
      <c r="C5196" s="2">
        <v>41727</v>
      </c>
      <c r="D5196" s="1" t="s">
        <v>2002</v>
      </c>
      <c r="E5196" s="1">
        <v>103565</v>
      </c>
      <c r="F5196" s="6" t="s">
        <v>7198</v>
      </c>
      <c r="G5196" s="15" t="str">
        <f>VLOOKUP(A5196,Movie!A:D,4,FALSE)</f>
        <v>FilmDistrict</v>
      </c>
      <c r="H5196" s="14">
        <f>VLOOKUP(E5196,'Rental Transaction'!A:B,2,FALSE)</f>
        <v>999915</v>
      </c>
      <c r="I5196">
        <f t="shared" si="81"/>
        <v>2014</v>
      </c>
    </row>
    <row r="5197" spans="1:9">
      <c r="A5197" s="1">
        <v>10284</v>
      </c>
      <c r="B5197" s="1">
        <v>10</v>
      </c>
      <c r="C5197" s="2">
        <v>41730</v>
      </c>
      <c r="D5197" s="1" t="s">
        <v>2002</v>
      </c>
      <c r="E5197" s="1">
        <v>103566</v>
      </c>
      <c r="F5197" s="6" t="s">
        <v>7199</v>
      </c>
      <c r="G5197" s="15" t="str">
        <f>VLOOKUP(A5197,Movie!A:D,4,FALSE)</f>
        <v>Focus</v>
      </c>
      <c r="H5197" s="14">
        <f>VLOOKUP(E5197,'Rental Transaction'!A:B,2,FALSE)</f>
        <v>879173</v>
      </c>
      <c r="I5197">
        <f t="shared" si="81"/>
        <v>2014</v>
      </c>
    </row>
    <row r="5198" spans="1:9">
      <c r="A5198" s="1">
        <v>10193</v>
      </c>
      <c r="B5198" s="1">
        <v>9</v>
      </c>
      <c r="C5198" s="2">
        <v>41728</v>
      </c>
      <c r="D5198" s="1" t="s">
        <v>2005</v>
      </c>
      <c r="E5198" s="1">
        <v>103567</v>
      </c>
      <c r="F5198" s="6" t="s">
        <v>7200</v>
      </c>
      <c r="G5198" s="15" t="str">
        <f>VLOOKUP(A5198,Movie!A:D,4,FALSE)</f>
        <v>Fox</v>
      </c>
      <c r="H5198" s="14">
        <f>VLOOKUP(E5198,'Rental Transaction'!A:B,2,FALSE)</f>
        <v>973766</v>
      </c>
      <c r="I5198">
        <f t="shared" si="81"/>
        <v>2014</v>
      </c>
    </row>
    <row r="5199" spans="1:9">
      <c r="A5199" s="1">
        <v>10132</v>
      </c>
      <c r="B5199" s="1">
        <v>8</v>
      </c>
      <c r="C5199" s="2">
        <v>41727</v>
      </c>
      <c r="D5199" s="1" t="s">
        <v>2005</v>
      </c>
      <c r="E5199" s="1">
        <v>103569</v>
      </c>
      <c r="F5199" s="6" t="s">
        <v>7201</v>
      </c>
      <c r="G5199" s="15" t="str">
        <f>VLOOKUP(A5199,Movie!A:D,4,FALSE)</f>
        <v>Lionsgate</v>
      </c>
      <c r="H5199" s="14">
        <f>VLOOKUP(E5199,'Rental Transaction'!A:B,2,FALSE)</f>
        <v>110363</v>
      </c>
      <c r="I5199">
        <f t="shared" si="81"/>
        <v>2014</v>
      </c>
    </row>
    <row r="5200" spans="1:9">
      <c r="A5200" s="1">
        <v>10137</v>
      </c>
      <c r="B5200" s="1">
        <v>4</v>
      </c>
      <c r="C5200" s="2">
        <v>41728</v>
      </c>
      <c r="D5200" s="1" t="s">
        <v>2005</v>
      </c>
      <c r="E5200" s="1">
        <v>103570</v>
      </c>
      <c r="F5200" s="6" t="s">
        <v>7202</v>
      </c>
      <c r="G5200" s="15" t="str">
        <f>VLOOKUP(A5200,Movie!A:D,4,FALSE)</f>
        <v>Buena Vista</v>
      </c>
      <c r="H5200" s="14">
        <f>VLOOKUP(E5200,'Rental Transaction'!A:B,2,FALSE)</f>
        <v>524667</v>
      </c>
      <c r="I5200">
        <f t="shared" si="81"/>
        <v>2014</v>
      </c>
    </row>
    <row r="5201" spans="1:9">
      <c r="A5201" s="1">
        <v>10069</v>
      </c>
      <c r="B5201" s="1">
        <v>9</v>
      </c>
      <c r="C5201" s="2">
        <v>41730</v>
      </c>
      <c r="D5201" s="1" t="s">
        <v>2005</v>
      </c>
      <c r="E5201" s="1">
        <v>103573</v>
      </c>
      <c r="F5201" s="6" t="s">
        <v>7203</v>
      </c>
      <c r="G5201" s="15" t="str">
        <f>VLOOKUP(A5201,Movie!A:D,4,FALSE)</f>
        <v>Warner Brothers</v>
      </c>
      <c r="H5201" s="14">
        <f>VLOOKUP(E5201,'Rental Transaction'!A:B,2,FALSE)</f>
        <v>111486</v>
      </c>
      <c r="I5201">
        <f t="shared" si="81"/>
        <v>2014</v>
      </c>
    </row>
    <row r="5202" spans="1:9">
      <c r="A5202" s="1">
        <v>10265</v>
      </c>
      <c r="B5202" s="1">
        <v>9</v>
      </c>
      <c r="C5202" s="2">
        <v>41732</v>
      </c>
      <c r="D5202" s="1" t="s">
        <v>2002</v>
      </c>
      <c r="E5202" s="1">
        <v>103573</v>
      </c>
      <c r="F5202" s="6" t="s">
        <v>7204</v>
      </c>
      <c r="G5202" s="15" t="str">
        <f>VLOOKUP(A5202,Movie!A:D,4,FALSE)</f>
        <v>Warner Brothers</v>
      </c>
      <c r="H5202" s="14">
        <f>VLOOKUP(E5202,'Rental Transaction'!A:B,2,FALSE)</f>
        <v>111486</v>
      </c>
      <c r="I5202">
        <f t="shared" si="81"/>
        <v>2014</v>
      </c>
    </row>
    <row r="5203" spans="1:9">
      <c r="A5203" s="1">
        <v>10205</v>
      </c>
      <c r="B5203" s="1">
        <v>10</v>
      </c>
      <c r="C5203" s="2">
        <v>41731</v>
      </c>
      <c r="D5203" s="1" t="s">
        <v>2002</v>
      </c>
      <c r="E5203" s="1">
        <v>103575</v>
      </c>
      <c r="F5203" s="6" t="s">
        <v>7205</v>
      </c>
      <c r="G5203" s="15" t="str">
        <f>VLOOKUP(A5203,Movie!A:D,4,FALSE)</f>
        <v>Paramount</v>
      </c>
      <c r="H5203" s="14">
        <f>VLOOKUP(E5203,'Rental Transaction'!A:B,2,FALSE)</f>
        <v>616258</v>
      </c>
      <c r="I5203">
        <f t="shared" si="81"/>
        <v>2014</v>
      </c>
    </row>
    <row r="5204" spans="1:9">
      <c r="A5204" s="1">
        <v>10252</v>
      </c>
      <c r="B5204" s="1">
        <v>1</v>
      </c>
      <c r="C5204" s="2">
        <v>41728</v>
      </c>
      <c r="D5204" s="1" t="s">
        <v>2002</v>
      </c>
      <c r="E5204" s="1">
        <v>103576</v>
      </c>
      <c r="F5204" s="6" t="s">
        <v>7206</v>
      </c>
      <c r="G5204" s="15" t="str">
        <f>VLOOKUP(A5204,Movie!A:D,4,FALSE)</f>
        <v>Warner Brothers</v>
      </c>
      <c r="H5204" s="14">
        <f>VLOOKUP(E5204,'Rental Transaction'!A:B,2,FALSE)</f>
        <v>520196</v>
      </c>
      <c r="I5204">
        <f t="shared" si="81"/>
        <v>2014</v>
      </c>
    </row>
    <row r="5205" spans="1:9">
      <c r="A5205" s="1">
        <v>10280</v>
      </c>
      <c r="B5205" s="1">
        <v>1</v>
      </c>
      <c r="C5205" s="2">
        <v>41729</v>
      </c>
      <c r="D5205" s="1" t="s">
        <v>2002</v>
      </c>
      <c r="E5205" s="1">
        <v>103576</v>
      </c>
      <c r="F5205" s="6" t="s">
        <v>7207</v>
      </c>
      <c r="G5205" s="15" t="str">
        <f>VLOOKUP(A5205,Movie!A:D,4,FALSE)</f>
        <v>Universal</v>
      </c>
      <c r="H5205" s="14">
        <f>VLOOKUP(E5205,'Rental Transaction'!A:B,2,FALSE)</f>
        <v>520196</v>
      </c>
      <c r="I5205">
        <f t="shared" si="81"/>
        <v>2014</v>
      </c>
    </row>
    <row r="5206" spans="1:9">
      <c r="A5206" s="1">
        <v>10232</v>
      </c>
      <c r="B5206" s="1">
        <v>2</v>
      </c>
      <c r="C5206" s="2">
        <v>41729</v>
      </c>
      <c r="D5206" s="1" t="s">
        <v>2002</v>
      </c>
      <c r="E5206" s="1">
        <v>103578</v>
      </c>
      <c r="F5206" s="6" t="s">
        <v>7208</v>
      </c>
      <c r="G5206" s="15" t="str">
        <f>VLOOKUP(A5206,Movie!A:D,4,FALSE)</f>
        <v>Paramount</v>
      </c>
      <c r="H5206" s="14">
        <f>VLOOKUP(E5206,'Rental Transaction'!A:B,2,FALSE)</f>
        <v>964403</v>
      </c>
      <c r="I5206">
        <f t="shared" si="81"/>
        <v>2014</v>
      </c>
    </row>
    <row r="5207" spans="1:9">
      <c r="A5207" s="1">
        <v>10274</v>
      </c>
      <c r="B5207" s="1">
        <v>2</v>
      </c>
      <c r="C5207" s="2">
        <v>41732</v>
      </c>
      <c r="D5207" s="1" t="s">
        <v>2002</v>
      </c>
      <c r="E5207" s="1">
        <v>103579</v>
      </c>
      <c r="F5207" s="6" t="s">
        <v>7209</v>
      </c>
      <c r="G5207" s="15" t="str">
        <f>VLOOKUP(A5207,Movie!A:D,4,FALSE)</f>
        <v>Fox</v>
      </c>
      <c r="H5207" s="14">
        <f>VLOOKUP(E5207,'Rental Transaction'!A:B,2,FALSE)</f>
        <v>723819</v>
      </c>
      <c r="I5207">
        <f t="shared" si="81"/>
        <v>2014</v>
      </c>
    </row>
    <row r="5208" spans="1:9">
      <c r="A5208" s="1">
        <v>10273</v>
      </c>
      <c r="B5208" s="1">
        <v>4</v>
      </c>
      <c r="C5208" s="2">
        <v>41732</v>
      </c>
      <c r="D5208" s="1" t="s">
        <v>2002</v>
      </c>
      <c r="E5208" s="1">
        <v>103579</v>
      </c>
      <c r="F5208" s="6" t="s">
        <v>7210</v>
      </c>
      <c r="G5208" s="15" t="str">
        <f>VLOOKUP(A5208,Movie!A:D,4,FALSE)</f>
        <v>Sony</v>
      </c>
      <c r="H5208" s="14">
        <f>VLOOKUP(E5208,'Rental Transaction'!A:B,2,FALSE)</f>
        <v>723819</v>
      </c>
      <c r="I5208">
        <f t="shared" si="81"/>
        <v>2014</v>
      </c>
    </row>
    <row r="5209" spans="1:9">
      <c r="A5209" s="1">
        <v>10235</v>
      </c>
      <c r="B5209" s="1">
        <v>4</v>
      </c>
      <c r="C5209" s="2">
        <v>41731</v>
      </c>
      <c r="D5209" s="1" t="s">
        <v>2002</v>
      </c>
      <c r="E5209" s="1">
        <v>103580</v>
      </c>
      <c r="F5209" s="6" t="s">
        <v>7211</v>
      </c>
      <c r="G5209" s="15" t="str">
        <f>VLOOKUP(A5209,Movie!A:D,4,FALSE)</f>
        <v>Lionsgate</v>
      </c>
      <c r="H5209" s="14">
        <f>VLOOKUP(E5209,'Rental Transaction'!A:B,2,FALSE)</f>
        <v>482274</v>
      </c>
      <c r="I5209">
        <f t="shared" si="81"/>
        <v>2014</v>
      </c>
    </row>
    <row r="5210" spans="1:9">
      <c r="A5210" s="1">
        <v>10237</v>
      </c>
      <c r="B5210" s="1">
        <v>6</v>
      </c>
      <c r="C5210" s="2">
        <v>41732</v>
      </c>
      <c r="D5210" s="1" t="s">
        <v>2002</v>
      </c>
      <c r="E5210" s="1">
        <v>103580</v>
      </c>
      <c r="F5210" s="6" t="s">
        <v>7212</v>
      </c>
      <c r="G5210" s="15" t="str">
        <f>VLOOKUP(A5210,Movie!A:D,4,FALSE)</f>
        <v>Warner Brothers</v>
      </c>
      <c r="H5210" s="14">
        <f>VLOOKUP(E5210,'Rental Transaction'!A:B,2,FALSE)</f>
        <v>482274</v>
      </c>
      <c r="I5210">
        <f t="shared" si="81"/>
        <v>2014</v>
      </c>
    </row>
    <row r="5211" spans="1:9">
      <c r="A5211" s="1">
        <v>10282</v>
      </c>
      <c r="B5211" s="1">
        <v>6</v>
      </c>
      <c r="C5211" s="2">
        <v>41729</v>
      </c>
      <c r="D5211" s="1" t="s">
        <v>2002</v>
      </c>
      <c r="E5211" s="1">
        <v>103581</v>
      </c>
      <c r="F5211" s="6" t="s">
        <v>7213</v>
      </c>
      <c r="G5211" s="15" t="str">
        <f>VLOOKUP(A5211,Movie!A:D,4,FALSE)</f>
        <v>Sony Classics</v>
      </c>
      <c r="H5211" s="14">
        <f>VLOOKUP(E5211,'Rental Transaction'!A:B,2,FALSE)</f>
        <v>385115</v>
      </c>
      <c r="I5211">
        <f t="shared" si="81"/>
        <v>2014</v>
      </c>
    </row>
    <row r="5212" spans="1:9">
      <c r="A5212" s="1">
        <v>10124</v>
      </c>
      <c r="B5212" s="1">
        <v>4</v>
      </c>
      <c r="C5212" s="2">
        <v>41729</v>
      </c>
      <c r="D5212" s="1" t="s">
        <v>2002</v>
      </c>
      <c r="E5212" s="1">
        <v>103583</v>
      </c>
      <c r="F5212" s="6" t="s">
        <v>7214</v>
      </c>
      <c r="G5212" s="15" t="str">
        <f>VLOOKUP(A5212,Movie!A:D,4,FALSE)</f>
        <v>Paramount</v>
      </c>
      <c r="H5212" s="14">
        <f>VLOOKUP(E5212,'Rental Transaction'!A:B,2,FALSE)</f>
        <v>230467</v>
      </c>
      <c r="I5212">
        <f t="shared" si="81"/>
        <v>2014</v>
      </c>
    </row>
    <row r="5213" spans="1:9">
      <c r="A5213" s="1">
        <v>10137</v>
      </c>
      <c r="B5213" s="1">
        <v>1</v>
      </c>
      <c r="C5213" s="2">
        <v>41729</v>
      </c>
      <c r="D5213" s="1" t="s">
        <v>2002</v>
      </c>
      <c r="E5213" s="1">
        <v>103583</v>
      </c>
      <c r="F5213" s="6" t="s">
        <v>7215</v>
      </c>
      <c r="G5213" s="15" t="str">
        <f>VLOOKUP(A5213,Movie!A:D,4,FALSE)</f>
        <v>Buena Vista</v>
      </c>
      <c r="H5213" s="14">
        <f>VLOOKUP(E5213,'Rental Transaction'!A:B,2,FALSE)</f>
        <v>230467</v>
      </c>
      <c r="I5213">
        <f t="shared" si="81"/>
        <v>2014</v>
      </c>
    </row>
    <row r="5214" spans="1:9">
      <c r="A5214" s="1">
        <v>10166</v>
      </c>
      <c r="B5214" s="1">
        <v>4</v>
      </c>
      <c r="C5214" s="2">
        <v>41730</v>
      </c>
      <c r="D5214" s="1" t="s">
        <v>2002</v>
      </c>
      <c r="E5214" s="1">
        <v>103585</v>
      </c>
      <c r="F5214" s="6" t="s">
        <v>7216</v>
      </c>
      <c r="G5214" s="15" t="str">
        <f>VLOOKUP(A5214,Movie!A:D,4,FALSE)</f>
        <v>Fox</v>
      </c>
      <c r="H5214" s="14">
        <f>VLOOKUP(E5214,'Rental Transaction'!A:B,2,FALSE)</f>
        <v>580674</v>
      </c>
      <c r="I5214">
        <f t="shared" si="81"/>
        <v>2014</v>
      </c>
    </row>
    <row r="5215" spans="1:9">
      <c r="A5215" s="1">
        <v>10256</v>
      </c>
      <c r="B5215" s="1">
        <v>8</v>
      </c>
      <c r="C5215" s="2">
        <v>41730</v>
      </c>
      <c r="D5215" s="1" t="s">
        <v>2002</v>
      </c>
      <c r="E5215" s="1">
        <v>103586</v>
      </c>
      <c r="F5215" s="6" t="s">
        <v>7217</v>
      </c>
      <c r="G5215" s="15" t="str">
        <f>VLOOKUP(A5215,Movie!A:D,4,FALSE)</f>
        <v>Fox</v>
      </c>
      <c r="H5215" s="14">
        <f>VLOOKUP(E5215,'Rental Transaction'!A:B,2,FALSE)</f>
        <v>624668</v>
      </c>
      <c r="I5215">
        <f t="shared" si="81"/>
        <v>2014</v>
      </c>
    </row>
    <row r="5216" spans="1:9">
      <c r="A5216" s="1">
        <v>10224</v>
      </c>
      <c r="B5216" s="1">
        <v>9</v>
      </c>
      <c r="C5216" s="2">
        <v>41730</v>
      </c>
      <c r="D5216" s="1" t="s">
        <v>2002</v>
      </c>
      <c r="E5216" s="1">
        <v>103588</v>
      </c>
      <c r="F5216" s="6" t="s">
        <v>7218</v>
      </c>
      <c r="G5216" s="15" t="str">
        <f>VLOOKUP(A5216,Movie!A:D,4,FALSE)</f>
        <v>Fox Searchlight</v>
      </c>
      <c r="H5216" s="14">
        <f>VLOOKUP(E5216,'Rental Transaction'!A:B,2,FALSE)</f>
        <v>739669</v>
      </c>
      <c r="I5216">
        <f t="shared" si="81"/>
        <v>2014</v>
      </c>
    </row>
    <row r="5217" spans="1:9">
      <c r="A5217" s="1">
        <v>10152</v>
      </c>
      <c r="B5217" s="1">
        <v>3</v>
      </c>
      <c r="C5217" s="2">
        <v>41730</v>
      </c>
      <c r="D5217" s="1" t="s">
        <v>2002</v>
      </c>
      <c r="E5217" s="1">
        <v>103590</v>
      </c>
      <c r="F5217" s="6" t="s">
        <v>7219</v>
      </c>
      <c r="G5217" s="15" t="str">
        <f>VLOOKUP(A5217,Movie!A:D,4,FALSE)</f>
        <v>FilmDistrict</v>
      </c>
      <c r="H5217" s="14">
        <f>VLOOKUP(E5217,'Rental Transaction'!A:B,2,FALSE)</f>
        <v>306475</v>
      </c>
      <c r="I5217">
        <f t="shared" si="81"/>
        <v>2014</v>
      </c>
    </row>
    <row r="5218" spans="1:9">
      <c r="A5218" s="1">
        <v>10282</v>
      </c>
      <c r="B5218" s="1">
        <v>4</v>
      </c>
      <c r="C5218" s="2">
        <v>41731</v>
      </c>
      <c r="D5218" s="1" t="s">
        <v>2002</v>
      </c>
      <c r="E5218" s="1">
        <v>103590</v>
      </c>
      <c r="F5218" s="6" t="s">
        <v>7220</v>
      </c>
      <c r="G5218" s="15" t="str">
        <f>VLOOKUP(A5218,Movie!A:D,4,FALSE)</f>
        <v>Sony Classics</v>
      </c>
      <c r="H5218" s="14">
        <f>VLOOKUP(E5218,'Rental Transaction'!A:B,2,FALSE)</f>
        <v>306475</v>
      </c>
      <c r="I5218">
        <f t="shared" si="81"/>
        <v>2014</v>
      </c>
    </row>
    <row r="5219" spans="1:9">
      <c r="A5219" s="1">
        <v>10130</v>
      </c>
      <c r="B5219" s="1">
        <v>6</v>
      </c>
      <c r="C5219" s="2">
        <v>41733</v>
      </c>
      <c r="D5219" s="1" t="s">
        <v>2002</v>
      </c>
      <c r="E5219" s="1">
        <v>103591</v>
      </c>
      <c r="F5219" s="6" t="s">
        <v>7221</v>
      </c>
      <c r="G5219" s="15" t="str">
        <f>VLOOKUP(A5219,Movie!A:D,4,FALSE)</f>
        <v>A24</v>
      </c>
      <c r="H5219" s="14">
        <f>VLOOKUP(E5219,'Rental Transaction'!A:B,2,FALSE)</f>
        <v>590616</v>
      </c>
      <c r="I5219">
        <f t="shared" si="81"/>
        <v>2014</v>
      </c>
    </row>
    <row r="5220" spans="1:9">
      <c r="A5220" s="1">
        <v>10256</v>
      </c>
      <c r="B5220" s="1">
        <v>6</v>
      </c>
      <c r="C5220" s="2">
        <v>41731</v>
      </c>
      <c r="D5220" s="1" t="s">
        <v>2002</v>
      </c>
      <c r="E5220" s="1">
        <v>103592</v>
      </c>
      <c r="F5220" s="6" t="s">
        <v>7222</v>
      </c>
      <c r="G5220" s="15" t="str">
        <f>VLOOKUP(A5220,Movie!A:D,4,FALSE)</f>
        <v>Fox</v>
      </c>
      <c r="H5220" s="14">
        <f>VLOOKUP(E5220,'Rental Transaction'!A:B,2,FALSE)</f>
        <v>964619</v>
      </c>
      <c r="I5220">
        <f t="shared" si="81"/>
        <v>2014</v>
      </c>
    </row>
    <row r="5221" spans="1:9">
      <c r="A5221" s="1">
        <v>10270</v>
      </c>
      <c r="B5221" s="1">
        <v>1</v>
      </c>
      <c r="C5221" s="2">
        <v>41733</v>
      </c>
      <c r="D5221" s="1" t="s">
        <v>2002</v>
      </c>
      <c r="E5221" s="1">
        <v>103594</v>
      </c>
      <c r="F5221" s="6" t="s">
        <v>7223</v>
      </c>
      <c r="G5221" s="15" t="str">
        <f>VLOOKUP(A5221,Movie!A:D,4,FALSE)</f>
        <v>Fox</v>
      </c>
      <c r="H5221" s="14">
        <f>VLOOKUP(E5221,'Rental Transaction'!A:B,2,FALSE)</f>
        <v>671363</v>
      </c>
      <c r="I5221">
        <f t="shared" si="81"/>
        <v>2014</v>
      </c>
    </row>
    <row r="5222" spans="1:9">
      <c r="A5222" s="1">
        <v>10111</v>
      </c>
      <c r="B5222" s="1">
        <v>3</v>
      </c>
      <c r="C5222" s="2">
        <v>41732</v>
      </c>
      <c r="D5222" s="1" t="s">
        <v>2002</v>
      </c>
      <c r="E5222" s="1">
        <v>103599</v>
      </c>
      <c r="F5222" s="6" t="s">
        <v>7224</v>
      </c>
      <c r="G5222" s="15" t="str">
        <f>VLOOKUP(A5222,Movie!A:D,4,FALSE)</f>
        <v>Fox</v>
      </c>
      <c r="H5222" s="14">
        <f>VLOOKUP(E5222,'Rental Transaction'!A:B,2,FALSE)</f>
        <v>363931</v>
      </c>
      <c r="I5222">
        <f t="shared" si="81"/>
        <v>2014</v>
      </c>
    </row>
    <row r="5223" spans="1:9">
      <c r="A5223" s="1">
        <v>10238</v>
      </c>
      <c r="B5223" s="1">
        <v>2</v>
      </c>
      <c r="C5223" s="2">
        <v>41735</v>
      </c>
      <c r="D5223" s="1" t="s">
        <v>2005</v>
      </c>
      <c r="E5223" s="1">
        <v>103600</v>
      </c>
      <c r="F5223" s="6" t="s">
        <v>7225</v>
      </c>
      <c r="G5223" s="15" t="str">
        <f>VLOOKUP(A5223,Movie!A:D,4,FALSE)</f>
        <v>Warner Brothers</v>
      </c>
      <c r="H5223" s="14">
        <f>VLOOKUP(E5223,'Rental Transaction'!A:B,2,FALSE)</f>
        <v>196068</v>
      </c>
      <c r="I5223">
        <f t="shared" si="81"/>
        <v>2014</v>
      </c>
    </row>
    <row r="5224" spans="1:9">
      <c r="A5224" s="1">
        <v>10172</v>
      </c>
      <c r="B5224" s="1">
        <v>1</v>
      </c>
      <c r="C5224" s="2">
        <v>41734</v>
      </c>
      <c r="D5224" s="1" t="s">
        <v>2002</v>
      </c>
      <c r="E5224" s="1">
        <v>103601</v>
      </c>
      <c r="F5224" s="6" t="s">
        <v>7226</v>
      </c>
      <c r="G5224" s="15" t="str">
        <f>VLOOKUP(A5224,Movie!A:D,4,FALSE)</f>
        <v>Lionsgate</v>
      </c>
      <c r="H5224" s="14">
        <f>VLOOKUP(E5224,'Rental Transaction'!A:B,2,FALSE)</f>
        <v>815980</v>
      </c>
      <c r="I5224">
        <f t="shared" si="81"/>
        <v>2014</v>
      </c>
    </row>
    <row r="5225" spans="1:9">
      <c r="A5225" s="1">
        <v>10106</v>
      </c>
      <c r="B5225" s="1">
        <v>9</v>
      </c>
      <c r="C5225" s="2">
        <v>41735</v>
      </c>
      <c r="D5225" s="1" t="s">
        <v>2002</v>
      </c>
      <c r="E5225" s="1">
        <v>103603</v>
      </c>
      <c r="F5225" s="6" t="s">
        <v>7227</v>
      </c>
      <c r="G5225" s="15" t="str">
        <f>VLOOKUP(A5225,Movie!A:D,4,FALSE)</f>
        <v>Fox</v>
      </c>
      <c r="H5225" s="14">
        <f>VLOOKUP(E5225,'Rental Transaction'!A:B,2,FALSE)</f>
        <v>900440</v>
      </c>
      <c r="I5225">
        <f t="shared" si="81"/>
        <v>2014</v>
      </c>
    </row>
    <row r="5226" spans="1:9">
      <c r="A5226" s="1">
        <v>10224</v>
      </c>
      <c r="B5226" s="1">
        <v>1</v>
      </c>
      <c r="C5226" s="2">
        <v>41734</v>
      </c>
      <c r="D5226" s="1" t="s">
        <v>2005</v>
      </c>
      <c r="E5226" s="1">
        <v>103603</v>
      </c>
      <c r="F5226" s="6" t="s">
        <v>7228</v>
      </c>
      <c r="G5226" s="15" t="str">
        <f>VLOOKUP(A5226,Movie!A:D,4,FALSE)</f>
        <v>Fox Searchlight</v>
      </c>
      <c r="H5226" s="14">
        <f>VLOOKUP(E5226,'Rental Transaction'!A:B,2,FALSE)</f>
        <v>900440</v>
      </c>
      <c r="I5226">
        <f t="shared" si="81"/>
        <v>2014</v>
      </c>
    </row>
    <row r="5227" spans="1:9">
      <c r="A5227" s="1">
        <v>10177</v>
      </c>
      <c r="B5227" s="1">
        <v>8</v>
      </c>
      <c r="C5227" s="2">
        <v>41732</v>
      </c>
      <c r="D5227" s="1" t="s">
        <v>2002</v>
      </c>
      <c r="E5227" s="1">
        <v>103604</v>
      </c>
      <c r="F5227" s="6" t="s">
        <v>7229</v>
      </c>
      <c r="G5227" s="15" t="str">
        <f>VLOOKUP(A5227,Movie!A:D,4,FALSE)</f>
        <v>Fox</v>
      </c>
      <c r="H5227" s="14">
        <f>VLOOKUP(E5227,'Rental Transaction'!A:B,2,FALSE)</f>
        <v>690100</v>
      </c>
      <c r="I5227">
        <f t="shared" si="81"/>
        <v>2014</v>
      </c>
    </row>
    <row r="5228" spans="1:9">
      <c r="A5228" s="1">
        <v>10270</v>
      </c>
      <c r="B5228" s="1">
        <v>6</v>
      </c>
      <c r="C5228" s="2">
        <v>41732</v>
      </c>
      <c r="D5228" s="1" t="s">
        <v>2005</v>
      </c>
      <c r="E5228" s="1">
        <v>103605</v>
      </c>
      <c r="F5228" s="6" t="s">
        <v>7230</v>
      </c>
      <c r="G5228" s="15" t="str">
        <f>VLOOKUP(A5228,Movie!A:D,4,FALSE)</f>
        <v>Fox</v>
      </c>
      <c r="H5228" s="14">
        <f>VLOOKUP(E5228,'Rental Transaction'!A:B,2,FALSE)</f>
        <v>671363</v>
      </c>
      <c r="I5228">
        <f t="shared" si="81"/>
        <v>2014</v>
      </c>
    </row>
    <row r="5229" spans="1:9">
      <c r="A5229" s="1">
        <v>10273</v>
      </c>
      <c r="B5229" s="1">
        <v>1</v>
      </c>
      <c r="C5229" s="2">
        <v>41733</v>
      </c>
      <c r="D5229" s="1" t="s">
        <v>2002</v>
      </c>
      <c r="E5229" s="1">
        <v>103606</v>
      </c>
      <c r="F5229" s="6" t="s">
        <v>7231</v>
      </c>
      <c r="G5229" s="15" t="str">
        <f>VLOOKUP(A5229,Movie!A:D,4,FALSE)</f>
        <v>Sony</v>
      </c>
      <c r="H5229" s="14">
        <f>VLOOKUP(E5229,'Rental Transaction'!A:B,2,FALSE)</f>
        <v>517477</v>
      </c>
      <c r="I5229">
        <f t="shared" si="81"/>
        <v>2014</v>
      </c>
    </row>
    <row r="5230" spans="1:9" ht="29.25">
      <c r="A5230" s="1">
        <v>10290</v>
      </c>
      <c r="B5230" s="1">
        <v>1</v>
      </c>
      <c r="C5230" s="2">
        <v>41734</v>
      </c>
      <c r="D5230" s="1" t="s">
        <v>2002</v>
      </c>
      <c r="E5230" s="1">
        <v>103608</v>
      </c>
      <c r="F5230" s="6" t="s">
        <v>7232</v>
      </c>
      <c r="G5230" s="15" t="str">
        <f>VLOOKUP(A5230,Movie!A:D,4,FALSE)</f>
        <v>Weinstein Company</v>
      </c>
      <c r="H5230" s="14">
        <f>VLOOKUP(E5230,'Rental Transaction'!A:B,2,FALSE)</f>
        <v>929344</v>
      </c>
      <c r="I5230">
        <f t="shared" si="81"/>
        <v>2014</v>
      </c>
    </row>
    <row r="5231" spans="1:9">
      <c r="A5231" s="1">
        <v>10232</v>
      </c>
      <c r="B5231" s="1">
        <v>5</v>
      </c>
      <c r="C5231" s="2">
        <v>41734</v>
      </c>
      <c r="D5231" s="1" t="s">
        <v>2002</v>
      </c>
      <c r="E5231" s="1">
        <v>103608</v>
      </c>
      <c r="F5231" s="6" t="s">
        <v>7233</v>
      </c>
      <c r="G5231" s="15" t="str">
        <f>VLOOKUP(A5231,Movie!A:D,4,FALSE)</f>
        <v>Paramount</v>
      </c>
      <c r="H5231" s="14">
        <f>VLOOKUP(E5231,'Rental Transaction'!A:B,2,FALSE)</f>
        <v>929344</v>
      </c>
      <c r="I5231">
        <f t="shared" si="81"/>
        <v>2014</v>
      </c>
    </row>
    <row r="5232" spans="1:9">
      <c r="A5232" s="1">
        <v>10270</v>
      </c>
      <c r="B5232" s="1">
        <v>7</v>
      </c>
      <c r="C5232" s="2">
        <v>41733</v>
      </c>
      <c r="D5232" s="1" t="s">
        <v>2005</v>
      </c>
      <c r="E5232" s="1">
        <v>103609</v>
      </c>
      <c r="F5232" s="6" t="s">
        <v>7234</v>
      </c>
      <c r="G5232" s="15" t="str">
        <f>VLOOKUP(A5232,Movie!A:D,4,FALSE)</f>
        <v>Fox</v>
      </c>
      <c r="H5232" s="14">
        <f>VLOOKUP(E5232,'Rental Transaction'!A:B,2,FALSE)</f>
        <v>646953</v>
      </c>
      <c r="I5232">
        <f t="shared" si="81"/>
        <v>2014</v>
      </c>
    </row>
    <row r="5233" spans="1:9">
      <c r="A5233" s="1">
        <v>10376</v>
      </c>
      <c r="B5233" s="1">
        <v>10</v>
      </c>
      <c r="C5233" s="2">
        <v>41733</v>
      </c>
      <c r="D5233" s="1" t="s">
        <v>2002</v>
      </c>
      <c r="E5233" s="1">
        <v>103610</v>
      </c>
      <c r="F5233" s="6" t="s">
        <v>7235</v>
      </c>
      <c r="G5233" s="15" t="str">
        <f>VLOOKUP(A5233,Movie!A:D,4,FALSE)</f>
        <v>Relativity</v>
      </c>
      <c r="H5233" s="14">
        <f>VLOOKUP(E5233,'Rental Transaction'!A:B,2,FALSE)</f>
        <v>775449</v>
      </c>
      <c r="I5233">
        <f t="shared" si="81"/>
        <v>2014</v>
      </c>
    </row>
    <row r="5234" spans="1:9">
      <c r="A5234" s="1">
        <v>10099</v>
      </c>
      <c r="B5234" s="1">
        <v>9</v>
      </c>
      <c r="C5234" s="2">
        <v>41735</v>
      </c>
      <c r="D5234" s="1" t="s">
        <v>2002</v>
      </c>
      <c r="E5234" s="1">
        <v>103611</v>
      </c>
      <c r="F5234" s="6" t="s">
        <v>7236</v>
      </c>
      <c r="G5234" s="15" t="str">
        <f>VLOOKUP(A5234,Movie!A:D,4,FALSE)</f>
        <v>Lionsgate</v>
      </c>
      <c r="H5234" s="14">
        <f>VLOOKUP(E5234,'Rental Transaction'!A:B,2,FALSE)</f>
        <v>784218</v>
      </c>
      <c r="I5234">
        <f t="shared" si="81"/>
        <v>2014</v>
      </c>
    </row>
    <row r="5235" spans="1:9">
      <c r="A5235" s="1">
        <v>10222</v>
      </c>
      <c r="B5235" s="1">
        <v>2</v>
      </c>
      <c r="C5235" s="2">
        <v>41733</v>
      </c>
      <c r="D5235" s="1" t="s">
        <v>2002</v>
      </c>
      <c r="E5235" s="1">
        <v>103611</v>
      </c>
      <c r="F5235" s="6" t="s">
        <v>7237</v>
      </c>
      <c r="G5235" s="15" t="str">
        <f>VLOOKUP(A5235,Movie!A:D,4,FALSE)</f>
        <v>Sony</v>
      </c>
      <c r="H5235" s="14">
        <f>VLOOKUP(E5235,'Rental Transaction'!A:B,2,FALSE)</f>
        <v>784218</v>
      </c>
      <c r="I5235">
        <f t="shared" si="81"/>
        <v>2014</v>
      </c>
    </row>
    <row r="5236" spans="1:9">
      <c r="A5236" s="1">
        <v>10258</v>
      </c>
      <c r="B5236" s="1">
        <v>9</v>
      </c>
      <c r="C5236" s="2">
        <v>41734</v>
      </c>
      <c r="D5236" s="1" t="s">
        <v>2002</v>
      </c>
      <c r="E5236" s="1">
        <v>103612</v>
      </c>
      <c r="F5236" s="6" t="s">
        <v>7238</v>
      </c>
      <c r="G5236" s="15" t="str">
        <f>VLOOKUP(A5236,Movie!A:D,4,FALSE)</f>
        <v>Warner Brothers</v>
      </c>
      <c r="H5236" s="14">
        <f>VLOOKUP(E5236,'Rental Transaction'!A:B,2,FALSE)</f>
        <v>183797</v>
      </c>
      <c r="I5236">
        <f t="shared" si="81"/>
        <v>2014</v>
      </c>
    </row>
    <row r="5237" spans="1:9" ht="29.25">
      <c r="A5237" s="1">
        <v>10246</v>
      </c>
      <c r="B5237" s="1">
        <v>1</v>
      </c>
      <c r="C5237" s="2">
        <v>41734</v>
      </c>
      <c r="D5237" s="1" t="s">
        <v>2002</v>
      </c>
      <c r="E5237" s="1">
        <v>103613</v>
      </c>
      <c r="F5237" s="6" t="s">
        <v>7239</v>
      </c>
      <c r="G5237" s="15" t="str">
        <f>VLOOKUP(A5237,Movie!A:D,4,FALSE)</f>
        <v>Weinstein Company</v>
      </c>
      <c r="H5237" s="14">
        <f>VLOOKUP(E5237,'Rental Transaction'!A:B,2,FALSE)</f>
        <v>643305</v>
      </c>
      <c r="I5237">
        <f t="shared" si="81"/>
        <v>2014</v>
      </c>
    </row>
    <row r="5238" spans="1:9">
      <c r="A5238" s="1">
        <v>10137</v>
      </c>
      <c r="B5238" s="1">
        <v>5</v>
      </c>
      <c r="C5238" s="2">
        <v>41734</v>
      </c>
      <c r="D5238" s="1" t="s">
        <v>2002</v>
      </c>
      <c r="E5238" s="1">
        <v>103614</v>
      </c>
      <c r="F5238" s="6" t="s">
        <v>7240</v>
      </c>
      <c r="G5238" s="15" t="str">
        <f>VLOOKUP(A5238,Movie!A:D,4,FALSE)</f>
        <v>Buena Vista</v>
      </c>
      <c r="H5238" s="14">
        <f>VLOOKUP(E5238,'Rental Transaction'!A:B,2,FALSE)</f>
        <v>586201</v>
      </c>
      <c r="I5238">
        <f t="shared" si="81"/>
        <v>2014</v>
      </c>
    </row>
    <row r="5239" spans="1:9">
      <c r="A5239" s="1">
        <v>10211</v>
      </c>
      <c r="B5239" s="1">
        <v>3</v>
      </c>
      <c r="C5239" s="2">
        <v>41735</v>
      </c>
      <c r="D5239" s="1" t="s">
        <v>2005</v>
      </c>
      <c r="E5239" s="1">
        <v>103615</v>
      </c>
      <c r="F5239" s="6" t="s">
        <v>7241</v>
      </c>
      <c r="G5239" s="15" t="str">
        <f>VLOOKUP(A5239,Movie!A:D,4,FALSE)</f>
        <v>Buena Vista</v>
      </c>
      <c r="H5239" s="14">
        <f>VLOOKUP(E5239,'Rental Transaction'!A:B,2,FALSE)</f>
        <v>103508</v>
      </c>
      <c r="I5239">
        <f t="shared" si="81"/>
        <v>2014</v>
      </c>
    </row>
    <row r="5240" spans="1:9">
      <c r="A5240" s="1">
        <v>10006</v>
      </c>
      <c r="B5240" s="1">
        <v>8</v>
      </c>
      <c r="C5240" s="2">
        <v>41734</v>
      </c>
      <c r="D5240" s="1" t="s">
        <v>2002</v>
      </c>
      <c r="E5240" s="1">
        <v>103617</v>
      </c>
      <c r="F5240" s="6" t="s">
        <v>7242</v>
      </c>
      <c r="G5240" s="15" t="str">
        <f>VLOOKUP(A5240,Movie!A:D,4,FALSE)</f>
        <v>Paramount</v>
      </c>
      <c r="H5240" s="14">
        <f>VLOOKUP(E5240,'Rental Transaction'!A:B,2,FALSE)</f>
        <v>194680</v>
      </c>
      <c r="I5240">
        <f t="shared" si="81"/>
        <v>2014</v>
      </c>
    </row>
    <row r="5241" spans="1:9">
      <c r="A5241" s="1">
        <v>10201</v>
      </c>
      <c r="B5241" s="1">
        <v>2</v>
      </c>
      <c r="C5241" s="2">
        <v>41735</v>
      </c>
      <c r="D5241" s="1" t="s">
        <v>2005</v>
      </c>
      <c r="E5241" s="1">
        <v>103619</v>
      </c>
      <c r="F5241" s="6" t="s">
        <v>7243</v>
      </c>
      <c r="G5241" s="15" t="str">
        <f>VLOOKUP(A5241,Movie!A:D,4,FALSE)</f>
        <v>Screen Gems</v>
      </c>
      <c r="H5241" s="14">
        <f>VLOOKUP(E5241,'Rental Transaction'!A:B,2,FALSE)</f>
        <v>701816</v>
      </c>
      <c r="I5241">
        <f t="shared" si="81"/>
        <v>2014</v>
      </c>
    </row>
    <row r="5242" spans="1:9">
      <c r="A5242" s="1">
        <v>10281</v>
      </c>
      <c r="B5242" s="1">
        <v>7</v>
      </c>
      <c r="C5242" s="2">
        <v>41735</v>
      </c>
      <c r="D5242" s="1" t="s">
        <v>2002</v>
      </c>
      <c r="E5242" s="1">
        <v>103621</v>
      </c>
      <c r="F5242" s="6" t="s">
        <v>7244</v>
      </c>
      <c r="G5242" s="15" t="str">
        <f>VLOOKUP(A5242,Movie!A:D,4,FALSE)</f>
        <v>Lionsgate</v>
      </c>
      <c r="H5242" s="14">
        <f>VLOOKUP(E5242,'Rental Transaction'!A:B,2,FALSE)</f>
        <v>493552</v>
      </c>
      <c r="I5242">
        <f t="shared" si="81"/>
        <v>2014</v>
      </c>
    </row>
    <row r="5243" spans="1:9">
      <c r="A5243" s="1">
        <v>10270</v>
      </c>
      <c r="B5243" s="1">
        <v>5</v>
      </c>
      <c r="C5243" s="2">
        <v>41735</v>
      </c>
      <c r="D5243" s="1" t="s">
        <v>2002</v>
      </c>
      <c r="E5243" s="1">
        <v>103623</v>
      </c>
      <c r="F5243" s="6" t="s">
        <v>7245</v>
      </c>
      <c r="G5243" s="15" t="str">
        <f>VLOOKUP(A5243,Movie!A:D,4,FALSE)</f>
        <v>Fox</v>
      </c>
      <c r="H5243" s="14">
        <f>VLOOKUP(E5243,'Rental Transaction'!A:B,2,FALSE)</f>
        <v>207846</v>
      </c>
      <c r="I5243">
        <f t="shared" si="81"/>
        <v>2014</v>
      </c>
    </row>
    <row r="5244" spans="1:9">
      <c r="A5244" s="1">
        <v>10080</v>
      </c>
      <c r="B5244" s="1">
        <v>9</v>
      </c>
      <c r="C5244" s="2">
        <v>41736</v>
      </c>
      <c r="D5244" s="1" t="s">
        <v>2002</v>
      </c>
      <c r="E5244" s="1">
        <v>103623</v>
      </c>
      <c r="F5244" s="6" t="s">
        <v>7246</v>
      </c>
      <c r="G5244" s="15" t="str">
        <f>VLOOKUP(A5244,Movie!A:D,4,FALSE)</f>
        <v>Buena Vista</v>
      </c>
      <c r="H5244" s="14">
        <f>VLOOKUP(E5244,'Rental Transaction'!A:B,2,FALSE)</f>
        <v>207846</v>
      </c>
      <c r="I5244">
        <f t="shared" si="81"/>
        <v>2014</v>
      </c>
    </row>
    <row r="5245" spans="1:9">
      <c r="A5245" s="1">
        <v>10282</v>
      </c>
      <c r="B5245" s="1">
        <v>3</v>
      </c>
      <c r="C5245" s="2">
        <v>41735</v>
      </c>
      <c r="D5245" s="1" t="s">
        <v>2002</v>
      </c>
      <c r="E5245" s="1">
        <v>103623</v>
      </c>
      <c r="F5245" s="6" t="s">
        <v>7247</v>
      </c>
      <c r="G5245" s="15" t="str">
        <f>VLOOKUP(A5245,Movie!A:D,4,FALSE)</f>
        <v>Sony Classics</v>
      </c>
      <c r="H5245" s="14">
        <f>VLOOKUP(E5245,'Rental Transaction'!A:B,2,FALSE)</f>
        <v>207846</v>
      </c>
      <c r="I5245">
        <f t="shared" si="81"/>
        <v>2014</v>
      </c>
    </row>
    <row r="5246" spans="1:9">
      <c r="A5246" s="1">
        <v>10046</v>
      </c>
      <c r="B5246" s="1">
        <v>9</v>
      </c>
      <c r="C5246" s="2">
        <v>41741</v>
      </c>
      <c r="D5246" s="1" t="s">
        <v>2002</v>
      </c>
      <c r="E5246" s="1">
        <v>103628</v>
      </c>
      <c r="F5246" s="6" t="s">
        <v>7248</v>
      </c>
      <c r="G5246" s="15" t="str">
        <f>VLOOKUP(A5246,Movie!A:D,4,FALSE)</f>
        <v>Sony</v>
      </c>
      <c r="H5246" s="14">
        <f>VLOOKUP(E5246,'Rental Transaction'!A:B,2,FALSE)</f>
        <v>347189</v>
      </c>
      <c r="I5246">
        <f t="shared" si="81"/>
        <v>2014</v>
      </c>
    </row>
    <row r="5247" spans="1:9">
      <c r="A5247" s="1">
        <v>10278</v>
      </c>
      <c r="B5247" s="1">
        <v>4</v>
      </c>
      <c r="C5247" s="2">
        <v>41737</v>
      </c>
      <c r="D5247" s="1" t="s">
        <v>2002</v>
      </c>
      <c r="E5247" s="1">
        <v>103629</v>
      </c>
      <c r="F5247" s="6" t="s">
        <v>7249</v>
      </c>
      <c r="G5247" s="15" t="str">
        <f>VLOOKUP(A5247,Movie!A:D,4,FALSE)</f>
        <v>Universal</v>
      </c>
      <c r="H5247" s="14">
        <f>VLOOKUP(E5247,'Rental Transaction'!A:B,2,FALSE)</f>
        <v>775449</v>
      </c>
      <c r="I5247">
        <f t="shared" si="81"/>
        <v>2014</v>
      </c>
    </row>
    <row r="5248" spans="1:9">
      <c r="A5248" s="1">
        <v>10163</v>
      </c>
      <c r="B5248" s="1">
        <v>7</v>
      </c>
      <c r="C5248" s="2">
        <v>41736</v>
      </c>
      <c r="D5248" s="1" t="s">
        <v>2002</v>
      </c>
      <c r="E5248" s="1">
        <v>103629</v>
      </c>
      <c r="F5248" s="6" t="s">
        <v>7250</v>
      </c>
      <c r="G5248" s="15" t="str">
        <f>VLOOKUP(A5248,Movie!A:D,4,FALSE)</f>
        <v>Warner Brothers</v>
      </c>
      <c r="H5248" s="14">
        <f>VLOOKUP(E5248,'Rental Transaction'!A:B,2,FALSE)</f>
        <v>775449</v>
      </c>
      <c r="I5248">
        <f t="shared" si="81"/>
        <v>2014</v>
      </c>
    </row>
    <row r="5249" spans="1:9" ht="29.25">
      <c r="A5249" s="1">
        <v>10028</v>
      </c>
      <c r="B5249" s="1">
        <v>2</v>
      </c>
      <c r="C5249" s="2">
        <v>41736</v>
      </c>
      <c r="D5249" s="1" t="s">
        <v>2002</v>
      </c>
      <c r="E5249" s="1">
        <v>103630</v>
      </c>
      <c r="F5249" s="6" t="s">
        <v>7251</v>
      </c>
      <c r="G5249" s="15" t="str">
        <f>VLOOKUP(A5249,Movie!A:D,4,FALSE)</f>
        <v>Summit Entertainment</v>
      </c>
      <c r="H5249" s="14">
        <f>VLOOKUP(E5249,'Rental Transaction'!A:B,2,FALSE)</f>
        <v>200272</v>
      </c>
      <c r="I5249">
        <f t="shared" si="81"/>
        <v>2014</v>
      </c>
    </row>
    <row r="5250" spans="1:9">
      <c r="A5250" s="1">
        <v>10127</v>
      </c>
      <c r="B5250" s="1">
        <v>3</v>
      </c>
      <c r="C5250" s="2">
        <v>41736</v>
      </c>
      <c r="D5250" s="1" t="s">
        <v>2002</v>
      </c>
      <c r="E5250" s="1">
        <v>103630</v>
      </c>
      <c r="F5250" s="6" t="s">
        <v>7252</v>
      </c>
      <c r="G5250" s="15" t="str">
        <f>VLOOKUP(A5250,Movie!A:D,4,FALSE)</f>
        <v>TriStar</v>
      </c>
      <c r="H5250" s="14">
        <f>VLOOKUP(E5250,'Rental Transaction'!A:B,2,FALSE)</f>
        <v>200272</v>
      </c>
      <c r="I5250">
        <f t="shared" si="81"/>
        <v>2014</v>
      </c>
    </row>
    <row r="5251" spans="1:9">
      <c r="A5251" s="1">
        <v>10162</v>
      </c>
      <c r="B5251" s="1">
        <v>5</v>
      </c>
      <c r="C5251" s="2">
        <v>41737</v>
      </c>
      <c r="D5251" s="1" t="s">
        <v>2002</v>
      </c>
      <c r="E5251" s="1">
        <v>103630</v>
      </c>
      <c r="F5251" s="6" t="s">
        <v>7253</v>
      </c>
      <c r="G5251" s="15" t="str">
        <f>VLOOKUP(A5251,Movie!A:D,4,FALSE)</f>
        <v>Sony</v>
      </c>
      <c r="H5251" s="14">
        <f>VLOOKUP(E5251,'Rental Transaction'!A:B,2,FALSE)</f>
        <v>200272</v>
      </c>
      <c r="I5251">
        <f t="shared" ref="I5251:I5314" si="82">YEAR(C5251)</f>
        <v>2014</v>
      </c>
    </row>
    <row r="5252" spans="1:9" ht="29.25">
      <c r="A5252" s="1">
        <v>10249</v>
      </c>
      <c r="B5252" s="1">
        <v>1</v>
      </c>
      <c r="C5252" s="2">
        <v>41737</v>
      </c>
      <c r="D5252" s="1" t="s">
        <v>2002</v>
      </c>
      <c r="E5252" s="1">
        <v>103631</v>
      </c>
      <c r="F5252" s="6" t="s">
        <v>7254</v>
      </c>
      <c r="G5252" s="15" t="str">
        <f>VLOOKUP(A5252,Movie!A:D,4,FALSE)</f>
        <v>Summit Entertainment</v>
      </c>
      <c r="H5252" s="14">
        <f>VLOOKUP(E5252,'Rental Transaction'!A:B,2,FALSE)</f>
        <v>111486</v>
      </c>
      <c r="I5252">
        <f t="shared" si="82"/>
        <v>2014</v>
      </c>
    </row>
    <row r="5253" spans="1:9" ht="29.25">
      <c r="A5253" s="1">
        <v>10140</v>
      </c>
      <c r="B5253" s="1">
        <v>6</v>
      </c>
      <c r="C5253" s="2">
        <v>41736</v>
      </c>
      <c r="D5253" s="1" t="s">
        <v>2002</v>
      </c>
      <c r="E5253" s="1">
        <v>103634</v>
      </c>
      <c r="F5253" s="6" t="s">
        <v>7255</v>
      </c>
      <c r="G5253" s="15" t="str">
        <f>VLOOKUP(A5253,Movie!A:D,4,FALSE)</f>
        <v>Weinstein Company</v>
      </c>
      <c r="H5253" s="14">
        <f>VLOOKUP(E5253,'Rental Transaction'!A:B,2,FALSE)</f>
        <v>734514</v>
      </c>
      <c r="I5253">
        <f t="shared" si="82"/>
        <v>2014</v>
      </c>
    </row>
    <row r="5254" spans="1:9">
      <c r="A5254" s="1">
        <v>10133</v>
      </c>
      <c r="B5254" s="1">
        <v>8</v>
      </c>
      <c r="C5254" s="2">
        <v>41739</v>
      </c>
      <c r="D5254" s="1" t="s">
        <v>2002</v>
      </c>
      <c r="E5254" s="1">
        <v>103636</v>
      </c>
      <c r="F5254" s="6" t="s">
        <v>7256</v>
      </c>
      <c r="G5254" s="15" t="str">
        <f>VLOOKUP(A5254,Movie!A:D,4,FALSE)</f>
        <v>Fox</v>
      </c>
      <c r="H5254" s="14">
        <f>VLOOKUP(E5254,'Rental Transaction'!A:B,2,FALSE)</f>
        <v>417823</v>
      </c>
      <c r="I5254">
        <f t="shared" si="82"/>
        <v>2014</v>
      </c>
    </row>
    <row r="5255" spans="1:9">
      <c r="A5255" s="1">
        <v>10203</v>
      </c>
      <c r="B5255" s="1">
        <v>10</v>
      </c>
      <c r="C5255" s="2">
        <v>41736</v>
      </c>
      <c r="D5255" s="1" t="s">
        <v>2002</v>
      </c>
      <c r="E5255" s="1">
        <v>103636</v>
      </c>
      <c r="F5255" s="6" t="s">
        <v>7257</v>
      </c>
      <c r="G5255" s="15" t="str">
        <f>VLOOKUP(A5255,Movie!A:D,4,FALSE)</f>
        <v>Buena Vista</v>
      </c>
      <c r="H5255" s="14">
        <f>VLOOKUP(E5255,'Rental Transaction'!A:B,2,FALSE)</f>
        <v>417823</v>
      </c>
      <c r="I5255">
        <f t="shared" si="82"/>
        <v>2014</v>
      </c>
    </row>
    <row r="5256" spans="1:9">
      <c r="A5256" s="1">
        <v>10229</v>
      </c>
      <c r="B5256" s="1">
        <v>7</v>
      </c>
      <c r="C5256" s="2">
        <v>41737</v>
      </c>
      <c r="D5256" s="1" t="s">
        <v>2002</v>
      </c>
      <c r="E5256" s="1">
        <v>103637</v>
      </c>
      <c r="F5256" s="6" t="s">
        <v>7258</v>
      </c>
      <c r="G5256" s="15" t="str">
        <f>VLOOKUP(A5256,Movie!A:D,4,FALSE)</f>
        <v>TriStar</v>
      </c>
      <c r="H5256" s="14">
        <f>VLOOKUP(E5256,'Rental Transaction'!A:B,2,FALSE)</f>
        <v>995599</v>
      </c>
      <c r="I5256">
        <f t="shared" si="82"/>
        <v>2014</v>
      </c>
    </row>
    <row r="5257" spans="1:9">
      <c r="A5257" s="1">
        <v>10159</v>
      </c>
      <c r="B5257" s="1">
        <v>1</v>
      </c>
      <c r="C5257" s="2">
        <v>41737</v>
      </c>
      <c r="D5257" s="1" t="s">
        <v>2005</v>
      </c>
      <c r="E5257" s="1">
        <v>103638</v>
      </c>
      <c r="F5257" s="6" t="s">
        <v>7259</v>
      </c>
      <c r="G5257" s="15" t="str">
        <f>VLOOKUP(A5257,Movie!A:D,4,FALSE)</f>
        <v>Lionsgate</v>
      </c>
      <c r="H5257" s="14">
        <f>VLOOKUP(E5257,'Rental Transaction'!A:B,2,FALSE)</f>
        <v>679354</v>
      </c>
      <c r="I5257">
        <f t="shared" si="82"/>
        <v>2014</v>
      </c>
    </row>
    <row r="5258" spans="1:9">
      <c r="A5258" s="1">
        <v>10269</v>
      </c>
      <c r="B5258" s="1">
        <v>7</v>
      </c>
      <c r="C5258" s="2">
        <v>41738</v>
      </c>
      <c r="D5258" s="1" t="s">
        <v>2002</v>
      </c>
      <c r="E5258" s="1">
        <v>103639</v>
      </c>
      <c r="F5258" s="6" t="s">
        <v>7260</v>
      </c>
      <c r="G5258" s="15" t="str">
        <f>VLOOKUP(A5258,Movie!A:D,4,FALSE)</f>
        <v>Buena Vista</v>
      </c>
      <c r="H5258" s="14">
        <f>VLOOKUP(E5258,'Rental Transaction'!A:B,2,FALSE)</f>
        <v>552124</v>
      </c>
      <c r="I5258">
        <f t="shared" si="82"/>
        <v>2014</v>
      </c>
    </row>
    <row r="5259" spans="1:9">
      <c r="A5259" s="1">
        <v>10160</v>
      </c>
      <c r="B5259" s="1">
        <v>2</v>
      </c>
      <c r="C5259" s="2">
        <v>41738</v>
      </c>
      <c r="D5259" s="1" t="s">
        <v>2002</v>
      </c>
      <c r="E5259" s="1">
        <v>103643</v>
      </c>
      <c r="F5259" s="6" t="s">
        <v>7261</v>
      </c>
      <c r="G5259" s="15" t="str">
        <f>VLOOKUP(A5259,Movie!A:D,4,FALSE)</f>
        <v>Lionsgate</v>
      </c>
      <c r="H5259" s="14">
        <f>VLOOKUP(E5259,'Rental Transaction'!A:B,2,FALSE)</f>
        <v>676018</v>
      </c>
      <c r="I5259">
        <f t="shared" si="82"/>
        <v>2014</v>
      </c>
    </row>
    <row r="5260" spans="1:9">
      <c r="A5260" s="1">
        <v>10117</v>
      </c>
      <c r="B5260" s="1">
        <v>3</v>
      </c>
      <c r="C5260" s="2">
        <v>41738</v>
      </c>
      <c r="D5260" s="1" t="s">
        <v>2002</v>
      </c>
      <c r="E5260" s="1">
        <v>103643</v>
      </c>
      <c r="F5260" s="6" t="s">
        <v>7262</v>
      </c>
      <c r="G5260" s="15" t="str">
        <f>VLOOKUP(A5260,Movie!A:D,4,FALSE)</f>
        <v>Sony</v>
      </c>
      <c r="H5260" s="14">
        <f>VLOOKUP(E5260,'Rental Transaction'!A:B,2,FALSE)</f>
        <v>676018</v>
      </c>
      <c r="I5260">
        <f t="shared" si="82"/>
        <v>2014</v>
      </c>
    </row>
    <row r="5261" spans="1:9">
      <c r="A5261" s="1">
        <v>10178</v>
      </c>
      <c r="B5261" s="1">
        <v>5</v>
      </c>
      <c r="C5261" s="2">
        <v>41737</v>
      </c>
      <c r="D5261" s="1" t="s">
        <v>2002</v>
      </c>
      <c r="E5261" s="1">
        <v>103643</v>
      </c>
      <c r="F5261" s="6" t="s">
        <v>7263</v>
      </c>
      <c r="G5261" s="15" t="str">
        <f>VLOOKUP(A5261,Movie!A:D,4,FALSE)</f>
        <v>Warner Brothers</v>
      </c>
      <c r="H5261" s="14">
        <f>VLOOKUP(E5261,'Rental Transaction'!A:B,2,FALSE)</f>
        <v>676018</v>
      </c>
      <c r="I5261">
        <f t="shared" si="82"/>
        <v>2014</v>
      </c>
    </row>
    <row r="5262" spans="1:9">
      <c r="A5262" s="1">
        <v>10193</v>
      </c>
      <c r="B5262" s="1">
        <v>9</v>
      </c>
      <c r="C5262" s="2">
        <v>41740</v>
      </c>
      <c r="D5262" s="1" t="s">
        <v>2002</v>
      </c>
      <c r="E5262" s="1">
        <v>103644</v>
      </c>
      <c r="F5262" s="6" t="s">
        <v>7264</v>
      </c>
      <c r="G5262" s="15" t="str">
        <f>VLOOKUP(A5262,Movie!A:D,4,FALSE)</f>
        <v>Fox</v>
      </c>
      <c r="H5262" s="14">
        <f>VLOOKUP(E5262,'Rental Transaction'!A:B,2,FALSE)</f>
        <v>814317</v>
      </c>
      <c r="I5262">
        <f t="shared" si="82"/>
        <v>2014</v>
      </c>
    </row>
    <row r="5263" spans="1:9">
      <c r="A5263" s="1">
        <v>10253</v>
      </c>
      <c r="B5263" s="1">
        <v>2</v>
      </c>
      <c r="C5263" s="2">
        <v>41738</v>
      </c>
      <c r="D5263" s="1" t="s">
        <v>2002</v>
      </c>
      <c r="E5263" s="1">
        <v>103648</v>
      </c>
      <c r="F5263" s="6" t="s">
        <v>7265</v>
      </c>
      <c r="G5263" s="15" t="str">
        <f>VLOOKUP(A5263,Movie!A:D,4,FALSE)</f>
        <v>Buena Vista</v>
      </c>
      <c r="H5263" s="14">
        <f>VLOOKUP(E5263,'Rental Transaction'!A:B,2,FALSE)</f>
        <v>759995</v>
      </c>
      <c r="I5263">
        <f t="shared" si="82"/>
        <v>2014</v>
      </c>
    </row>
    <row r="5264" spans="1:9">
      <c r="A5264" s="1">
        <v>10135</v>
      </c>
      <c r="B5264" s="1">
        <v>10</v>
      </c>
      <c r="C5264" s="2">
        <v>41740</v>
      </c>
      <c r="D5264" s="1" t="s">
        <v>2002</v>
      </c>
      <c r="E5264" s="1">
        <v>103649</v>
      </c>
      <c r="F5264" s="6" t="s">
        <v>7266</v>
      </c>
      <c r="G5264" s="15" t="str">
        <f>VLOOKUP(A5264,Movie!A:D,4,FALSE)</f>
        <v>Universal</v>
      </c>
      <c r="H5264" s="14">
        <f>VLOOKUP(E5264,'Rental Transaction'!A:B,2,FALSE)</f>
        <v>265707</v>
      </c>
      <c r="I5264">
        <f t="shared" si="82"/>
        <v>2014</v>
      </c>
    </row>
    <row r="5265" spans="1:9">
      <c r="A5265" s="1">
        <v>10177</v>
      </c>
      <c r="B5265" s="1">
        <v>10</v>
      </c>
      <c r="C5265" s="2">
        <v>41738</v>
      </c>
      <c r="D5265" s="1" t="s">
        <v>2002</v>
      </c>
      <c r="E5265" s="1">
        <v>103649</v>
      </c>
      <c r="F5265" s="6" t="s">
        <v>7267</v>
      </c>
      <c r="G5265" s="15" t="str">
        <f>VLOOKUP(A5265,Movie!A:D,4,FALSE)</f>
        <v>Fox</v>
      </c>
      <c r="H5265" s="14">
        <f>VLOOKUP(E5265,'Rental Transaction'!A:B,2,FALSE)</f>
        <v>265707</v>
      </c>
      <c r="I5265">
        <f t="shared" si="82"/>
        <v>2014</v>
      </c>
    </row>
    <row r="5266" spans="1:9">
      <c r="A5266" s="1">
        <v>10208</v>
      </c>
      <c r="B5266" s="1">
        <v>10</v>
      </c>
      <c r="C5266" s="2">
        <v>41738</v>
      </c>
      <c r="D5266" s="1" t="s">
        <v>2002</v>
      </c>
      <c r="E5266" s="1">
        <v>103650</v>
      </c>
      <c r="F5266" s="6" t="s">
        <v>7268</v>
      </c>
      <c r="G5266" s="15" t="str">
        <f>VLOOKUP(A5266,Movie!A:D,4,FALSE)</f>
        <v>Warner Brothers</v>
      </c>
      <c r="H5266" s="14">
        <f>VLOOKUP(E5266,'Rental Transaction'!A:B,2,FALSE)</f>
        <v>331115</v>
      </c>
      <c r="I5266">
        <f t="shared" si="82"/>
        <v>2014</v>
      </c>
    </row>
    <row r="5267" spans="1:9">
      <c r="A5267" s="1">
        <v>10210</v>
      </c>
      <c r="B5267" s="1">
        <v>3</v>
      </c>
      <c r="C5267" s="2">
        <v>41744</v>
      </c>
      <c r="D5267" s="1" t="s">
        <v>2005</v>
      </c>
      <c r="E5267" s="1">
        <v>103650</v>
      </c>
      <c r="F5267" s="6" t="s">
        <v>7269</v>
      </c>
      <c r="G5267" s="15" t="str">
        <f>VLOOKUP(A5267,Movie!A:D,4,FALSE)</f>
        <v>Sony</v>
      </c>
      <c r="H5267" s="14">
        <f>VLOOKUP(E5267,'Rental Transaction'!A:B,2,FALSE)</f>
        <v>331115</v>
      </c>
      <c r="I5267">
        <f t="shared" si="82"/>
        <v>2014</v>
      </c>
    </row>
    <row r="5268" spans="1:9">
      <c r="A5268" s="1">
        <v>10232</v>
      </c>
      <c r="B5268" s="1">
        <v>9</v>
      </c>
      <c r="C5268" s="2">
        <v>41738</v>
      </c>
      <c r="D5268" s="1" t="s">
        <v>2002</v>
      </c>
      <c r="E5268" s="1">
        <v>103652</v>
      </c>
      <c r="F5268" s="6" t="s">
        <v>7270</v>
      </c>
      <c r="G5268" s="15" t="str">
        <f>VLOOKUP(A5268,Movie!A:D,4,FALSE)</f>
        <v>Paramount</v>
      </c>
      <c r="H5268" s="14">
        <f>VLOOKUP(E5268,'Rental Transaction'!A:B,2,FALSE)</f>
        <v>301793</v>
      </c>
      <c r="I5268">
        <f t="shared" si="82"/>
        <v>2014</v>
      </c>
    </row>
    <row r="5269" spans="1:9">
      <c r="A5269" s="1">
        <v>10229</v>
      </c>
      <c r="B5269" s="1">
        <v>3</v>
      </c>
      <c r="C5269" s="2">
        <v>41739</v>
      </c>
      <c r="D5269" s="1" t="s">
        <v>2002</v>
      </c>
      <c r="E5269" s="1">
        <v>103654</v>
      </c>
      <c r="F5269" s="6" t="s">
        <v>7271</v>
      </c>
      <c r="G5269" s="15" t="str">
        <f>VLOOKUP(A5269,Movie!A:D,4,FALSE)</f>
        <v>TriStar</v>
      </c>
      <c r="H5269" s="14">
        <f>VLOOKUP(E5269,'Rental Transaction'!A:B,2,FALSE)</f>
        <v>938417</v>
      </c>
      <c r="I5269">
        <f t="shared" si="82"/>
        <v>2014</v>
      </c>
    </row>
    <row r="5270" spans="1:9" ht="29.25">
      <c r="A5270" s="1">
        <v>10164</v>
      </c>
      <c r="B5270" s="1">
        <v>4</v>
      </c>
      <c r="C5270" s="2">
        <v>41740</v>
      </c>
      <c r="D5270" s="1" t="s">
        <v>2002</v>
      </c>
      <c r="E5270" s="1">
        <v>103656</v>
      </c>
      <c r="F5270" s="6" t="s">
        <v>7272</v>
      </c>
      <c r="G5270" s="15" t="str">
        <f>VLOOKUP(A5270,Movie!A:D,4,FALSE)</f>
        <v>Weinstein Company</v>
      </c>
      <c r="H5270" s="14">
        <f>VLOOKUP(E5270,'Rental Transaction'!A:B,2,FALSE)</f>
        <v>622506</v>
      </c>
      <c r="I5270">
        <f t="shared" si="82"/>
        <v>2014</v>
      </c>
    </row>
    <row r="5271" spans="1:9">
      <c r="A5271" s="1">
        <v>10133</v>
      </c>
      <c r="B5271" s="1">
        <v>4</v>
      </c>
      <c r="C5271" s="2">
        <v>41739</v>
      </c>
      <c r="D5271" s="1" t="s">
        <v>2002</v>
      </c>
      <c r="E5271" s="1">
        <v>103657</v>
      </c>
      <c r="F5271" s="6" t="s">
        <v>7273</v>
      </c>
      <c r="G5271" s="15" t="str">
        <f>VLOOKUP(A5271,Movie!A:D,4,FALSE)</f>
        <v>Fox</v>
      </c>
      <c r="H5271" s="14">
        <f>VLOOKUP(E5271,'Rental Transaction'!A:B,2,FALSE)</f>
        <v>670707</v>
      </c>
      <c r="I5271">
        <f t="shared" si="82"/>
        <v>2014</v>
      </c>
    </row>
    <row r="5272" spans="1:9">
      <c r="A5272" s="1">
        <v>10195</v>
      </c>
      <c r="B5272" s="1">
        <v>9</v>
      </c>
      <c r="C5272" s="2">
        <v>41740</v>
      </c>
      <c r="D5272" s="1" t="s">
        <v>2002</v>
      </c>
      <c r="E5272" s="1">
        <v>103657</v>
      </c>
      <c r="F5272" s="6" t="s">
        <v>7274</v>
      </c>
      <c r="G5272" s="15" t="str">
        <f>VLOOKUP(A5272,Movie!A:D,4,FALSE)</f>
        <v>Sony</v>
      </c>
      <c r="H5272" s="14">
        <f>VLOOKUP(E5272,'Rental Transaction'!A:B,2,FALSE)</f>
        <v>670707</v>
      </c>
      <c r="I5272">
        <f t="shared" si="82"/>
        <v>2014</v>
      </c>
    </row>
    <row r="5273" spans="1:9">
      <c r="A5273" s="1">
        <v>10200</v>
      </c>
      <c r="B5273" s="1">
        <v>2</v>
      </c>
      <c r="C5273" s="2">
        <v>41739</v>
      </c>
      <c r="D5273" s="1" t="s">
        <v>2005</v>
      </c>
      <c r="E5273" s="1">
        <v>103658</v>
      </c>
      <c r="F5273" s="6" t="s">
        <v>7275</v>
      </c>
      <c r="G5273" s="15" t="str">
        <f>VLOOKUP(A5273,Movie!A:D,4,FALSE)</f>
        <v>Fox</v>
      </c>
      <c r="H5273" s="14">
        <f>VLOOKUP(E5273,'Rental Transaction'!A:B,2,FALSE)</f>
        <v>775449</v>
      </c>
      <c r="I5273">
        <f t="shared" si="82"/>
        <v>2014</v>
      </c>
    </row>
    <row r="5274" spans="1:9">
      <c r="A5274" s="1">
        <v>10295</v>
      </c>
      <c r="B5274" s="1">
        <v>7</v>
      </c>
      <c r="C5274" s="2">
        <v>41740</v>
      </c>
      <c r="D5274" s="1" t="s">
        <v>2002</v>
      </c>
      <c r="E5274" s="1">
        <v>103658</v>
      </c>
      <c r="F5274" s="6" t="s">
        <v>7276</v>
      </c>
      <c r="G5274" s="15" t="str">
        <f>VLOOKUP(A5274,Movie!A:D,4,FALSE)</f>
        <v>A24</v>
      </c>
      <c r="H5274" s="14">
        <f>VLOOKUP(E5274,'Rental Transaction'!A:B,2,FALSE)</f>
        <v>775449</v>
      </c>
      <c r="I5274">
        <f t="shared" si="82"/>
        <v>2014</v>
      </c>
    </row>
    <row r="5275" spans="1:9" ht="29.25">
      <c r="A5275" s="1">
        <v>10249</v>
      </c>
      <c r="B5275" s="1">
        <v>10</v>
      </c>
      <c r="C5275" s="2">
        <v>41740</v>
      </c>
      <c r="D5275" s="1" t="s">
        <v>2002</v>
      </c>
      <c r="E5275" s="1">
        <v>103660</v>
      </c>
      <c r="F5275" s="6" t="s">
        <v>7277</v>
      </c>
      <c r="G5275" s="15" t="str">
        <f>VLOOKUP(A5275,Movie!A:D,4,FALSE)</f>
        <v>Summit Entertainment</v>
      </c>
      <c r="H5275" s="14">
        <f>VLOOKUP(E5275,'Rental Transaction'!A:B,2,FALSE)</f>
        <v>575041</v>
      </c>
      <c r="I5275">
        <f t="shared" si="82"/>
        <v>2014</v>
      </c>
    </row>
    <row r="5276" spans="1:9">
      <c r="A5276" s="1">
        <v>10127</v>
      </c>
      <c r="B5276" s="1">
        <v>1</v>
      </c>
      <c r="C5276" s="2">
        <v>41742</v>
      </c>
      <c r="D5276" s="1" t="s">
        <v>2002</v>
      </c>
      <c r="E5276" s="1">
        <v>103662</v>
      </c>
      <c r="F5276" s="6" t="s">
        <v>7278</v>
      </c>
      <c r="G5276" s="15" t="str">
        <f>VLOOKUP(A5276,Movie!A:D,4,FALSE)</f>
        <v>TriStar</v>
      </c>
      <c r="H5276" s="14">
        <f>VLOOKUP(E5276,'Rental Transaction'!A:B,2,FALSE)</f>
        <v>447368</v>
      </c>
      <c r="I5276">
        <f t="shared" si="82"/>
        <v>2014</v>
      </c>
    </row>
    <row r="5277" spans="1:9">
      <c r="A5277" s="1">
        <v>10299</v>
      </c>
      <c r="B5277" s="1">
        <v>3</v>
      </c>
      <c r="C5277" s="2">
        <v>41740</v>
      </c>
      <c r="D5277" s="1" t="s">
        <v>2002</v>
      </c>
      <c r="E5277" s="1">
        <v>103662</v>
      </c>
      <c r="F5277" s="6" t="s">
        <v>7279</v>
      </c>
      <c r="G5277" s="15" t="str">
        <f>VLOOKUP(A5277,Movie!A:D,4,FALSE)</f>
        <v>Radius-TWC</v>
      </c>
      <c r="H5277" s="14">
        <f>VLOOKUP(E5277,'Rental Transaction'!A:B,2,FALSE)</f>
        <v>447368</v>
      </c>
      <c r="I5277">
        <f t="shared" si="82"/>
        <v>2014</v>
      </c>
    </row>
    <row r="5278" spans="1:9">
      <c r="A5278" s="1">
        <v>10207</v>
      </c>
      <c r="B5278" s="1">
        <v>7</v>
      </c>
      <c r="C5278" s="2">
        <v>41740</v>
      </c>
      <c r="D5278" s="1" t="s">
        <v>2002</v>
      </c>
      <c r="E5278" s="1">
        <v>103663</v>
      </c>
      <c r="F5278" s="6" t="s">
        <v>7280</v>
      </c>
      <c r="G5278" s="15" t="str">
        <f>VLOOKUP(A5278,Movie!A:D,4,FALSE)</f>
        <v>Paramount</v>
      </c>
      <c r="H5278" s="14">
        <f>VLOOKUP(E5278,'Rental Transaction'!A:B,2,FALSE)</f>
        <v>409910</v>
      </c>
      <c r="I5278">
        <f t="shared" si="82"/>
        <v>2014</v>
      </c>
    </row>
    <row r="5279" spans="1:9">
      <c r="A5279" s="1">
        <v>10128</v>
      </c>
      <c r="B5279" s="1">
        <v>5</v>
      </c>
      <c r="C5279" s="2">
        <v>41740</v>
      </c>
      <c r="D5279" s="1" t="s">
        <v>2005</v>
      </c>
      <c r="E5279" s="1">
        <v>103664</v>
      </c>
      <c r="F5279" s="6" t="s">
        <v>7281</v>
      </c>
      <c r="G5279" s="15" t="str">
        <f>VLOOKUP(A5279,Movie!A:D,4,FALSE)</f>
        <v>TriStar</v>
      </c>
      <c r="H5279" s="14">
        <f>VLOOKUP(E5279,'Rental Transaction'!A:B,2,FALSE)</f>
        <v>672834</v>
      </c>
      <c r="I5279">
        <f t="shared" si="82"/>
        <v>2014</v>
      </c>
    </row>
    <row r="5280" spans="1:9">
      <c r="A5280" s="1">
        <v>10274</v>
      </c>
      <c r="B5280" s="1">
        <v>8</v>
      </c>
      <c r="C5280" s="2">
        <v>41740</v>
      </c>
      <c r="D5280" s="1" t="s">
        <v>2005</v>
      </c>
      <c r="E5280" s="1">
        <v>103664</v>
      </c>
      <c r="F5280" s="6" t="s">
        <v>7282</v>
      </c>
      <c r="G5280" s="15" t="str">
        <f>VLOOKUP(A5280,Movie!A:D,4,FALSE)</f>
        <v>Fox</v>
      </c>
      <c r="H5280" s="14">
        <f>VLOOKUP(E5280,'Rental Transaction'!A:B,2,FALSE)</f>
        <v>672834</v>
      </c>
      <c r="I5280">
        <f t="shared" si="82"/>
        <v>2014</v>
      </c>
    </row>
    <row r="5281" spans="1:9">
      <c r="A5281" s="1">
        <v>10233</v>
      </c>
      <c r="B5281" s="1">
        <v>10</v>
      </c>
      <c r="C5281" s="2">
        <v>41740</v>
      </c>
      <c r="D5281" s="1" t="s">
        <v>2002</v>
      </c>
      <c r="E5281" s="1">
        <v>103665</v>
      </c>
      <c r="F5281" s="6" t="s">
        <v>7283</v>
      </c>
      <c r="G5281" s="15" t="str">
        <f>VLOOKUP(A5281,Movie!A:D,4,FALSE)</f>
        <v>Screen Gems</v>
      </c>
      <c r="H5281" s="14">
        <f>VLOOKUP(E5281,'Rental Transaction'!A:B,2,FALSE)</f>
        <v>981529</v>
      </c>
      <c r="I5281">
        <f t="shared" si="82"/>
        <v>2014</v>
      </c>
    </row>
    <row r="5282" spans="1:9">
      <c r="A5282" s="1">
        <v>10289</v>
      </c>
      <c r="B5282" s="1">
        <v>7</v>
      </c>
      <c r="C5282" s="2">
        <v>41741</v>
      </c>
      <c r="D5282" s="1" t="s">
        <v>2002</v>
      </c>
      <c r="E5282" s="1">
        <v>103665</v>
      </c>
      <c r="F5282" s="6" t="s">
        <v>7284</v>
      </c>
      <c r="G5282" s="15" t="str">
        <f>VLOOKUP(A5282,Movie!A:D,4,FALSE)</f>
        <v>Open Road Films</v>
      </c>
      <c r="H5282" s="14">
        <f>VLOOKUP(E5282,'Rental Transaction'!A:B,2,FALSE)</f>
        <v>981529</v>
      </c>
      <c r="I5282">
        <f t="shared" si="82"/>
        <v>2014</v>
      </c>
    </row>
    <row r="5283" spans="1:9">
      <c r="A5283" s="1">
        <v>10169</v>
      </c>
      <c r="B5283" s="1">
        <v>9</v>
      </c>
      <c r="C5283" s="2">
        <v>41740</v>
      </c>
      <c r="D5283" s="1" t="s">
        <v>2002</v>
      </c>
      <c r="E5283" s="1">
        <v>103666</v>
      </c>
      <c r="F5283" s="6" t="s">
        <v>7285</v>
      </c>
      <c r="G5283" s="15" t="str">
        <f>VLOOKUP(A5283,Movie!A:D,4,FALSE)</f>
        <v>Warner Brothers</v>
      </c>
      <c r="H5283" s="14">
        <f>VLOOKUP(E5283,'Rental Transaction'!A:B,2,FALSE)</f>
        <v>426984</v>
      </c>
      <c r="I5283">
        <f t="shared" si="82"/>
        <v>2014</v>
      </c>
    </row>
    <row r="5284" spans="1:9">
      <c r="A5284" s="1">
        <v>10286</v>
      </c>
      <c r="B5284" s="1">
        <v>9</v>
      </c>
      <c r="C5284" s="2">
        <v>41741</v>
      </c>
      <c r="D5284" s="1" t="s">
        <v>2005</v>
      </c>
      <c r="E5284" s="1">
        <v>103667</v>
      </c>
      <c r="F5284" s="6" t="s">
        <v>7286</v>
      </c>
      <c r="G5284" s="15" t="str">
        <f>VLOOKUP(A5284,Movie!A:D,4,FALSE)</f>
        <v>Fox Searchlight</v>
      </c>
      <c r="H5284" s="14">
        <f>VLOOKUP(E5284,'Rental Transaction'!A:B,2,FALSE)</f>
        <v>330223</v>
      </c>
      <c r="I5284">
        <f t="shared" si="82"/>
        <v>2014</v>
      </c>
    </row>
    <row r="5285" spans="1:9">
      <c r="A5285" s="1">
        <v>10120</v>
      </c>
      <c r="B5285" s="1">
        <v>10</v>
      </c>
      <c r="C5285" s="2">
        <v>41741</v>
      </c>
      <c r="D5285" s="1" t="s">
        <v>2002</v>
      </c>
      <c r="E5285" s="1">
        <v>103667</v>
      </c>
      <c r="F5285" s="6" t="s">
        <v>7287</v>
      </c>
      <c r="G5285" s="15" t="str">
        <f>VLOOKUP(A5285,Movie!A:D,4,FALSE)</f>
        <v>Focus</v>
      </c>
      <c r="H5285" s="14">
        <f>VLOOKUP(E5285,'Rental Transaction'!A:B,2,FALSE)</f>
        <v>330223</v>
      </c>
      <c r="I5285">
        <f t="shared" si="82"/>
        <v>2014</v>
      </c>
    </row>
    <row r="5286" spans="1:9">
      <c r="A5286" s="1">
        <v>10219</v>
      </c>
      <c r="B5286" s="1">
        <v>10</v>
      </c>
      <c r="C5286" s="2">
        <v>41741</v>
      </c>
      <c r="D5286" s="1" t="s">
        <v>2002</v>
      </c>
      <c r="E5286" s="1">
        <v>103667</v>
      </c>
      <c r="F5286" s="6" t="s">
        <v>7288</v>
      </c>
      <c r="G5286" s="15" t="str">
        <f>VLOOKUP(A5286,Movie!A:D,4,FALSE)</f>
        <v>Paramount</v>
      </c>
      <c r="H5286" s="14">
        <f>VLOOKUP(E5286,'Rental Transaction'!A:B,2,FALSE)</f>
        <v>330223</v>
      </c>
      <c r="I5286">
        <f t="shared" si="82"/>
        <v>2014</v>
      </c>
    </row>
    <row r="5287" spans="1:9">
      <c r="A5287" s="1">
        <v>10161</v>
      </c>
      <c r="B5287" s="1">
        <v>2</v>
      </c>
      <c r="C5287" s="2">
        <v>41741</v>
      </c>
      <c r="D5287" s="1" t="s">
        <v>2002</v>
      </c>
      <c r="E5287" s="1">
        <v>103672</v>
      </c>
      <c r="F5287" s="6" t="s">
        <v>7289</v>
      </c>
      <c r="G5287" s="15" t="str">
        <f>VLOOKUP(A5287,Movie!A:D,4,FALSE)</f>
        <v>TriStar</v>
      </c>
      <c r="H5287" s="14">
        <f>VLOOKUP(E5287,'Rental Transaction'!A:B,2,FALSE)</f>
        <v>897980</v>
      </c>
      <c r="I5287">
        <f t="shared" si="82"/>
        <v>2014</v>
      </c>
    </row>
    <row r="5288" spans="1:9">
      <c r="A5288" s="1">
        <v>10225</v>
      </c>
      <c r="B5288" s="1">
        <v>3</v>
      </c>
      <c r="C5288" s="2">
        <v>41741</v>
      </c>
      <c r="D5288" s="1" t="s">
        <v>2002</v>
      </c>
      <c r="E5288" s="1">
        <v>103673</v>
      </c>
      <c r="F5288" s="6" t="s">
        <v>7290</v>
      </c>
      <c r="G5288" s="15" t="str">
        <f>VLOOKUP(A5288,Movie!A:D,4,FALSE)</f>
        <v>Warner Brothers</v>
      </c>
      <c r="H5288" s="14">
        <f>VLOOKUP(E5288,'Rental Transaction'!A:B,2,FALSE)</f>
        <v>977759</v>
      </c>
      <c r="I5288">
        <f t="shared" si="82"/>
        <v>2014</v>
      </c>
    </row>
    <row r="5289" spans="1:9">
      <c r="A5289" s="1">
        <v>10280</v>
      </c>
      <c r="B5289" s="1">
        <v>8</v>
      </c>
      <c r="C5289" s="2">
        <v>41743</v>
      </c>
      <c r="D5289" s="1" t="s">
        <v>2002</v>
      </c>
      <c r="E5289" s="1">
        <v>103673</v>
      </c>
      <c r="F5289" s="6" t="s">
        <v>7291</v>
      </c>
      <c r="G5289" s="15" t="str">
        <f>VLOOKUP(A5289,Movie!A:D,4,FALSE)</f>
        <v>Universal</v>
      </c>
      <c r="H5289" s="14">
        <f>VLOOKUP(E5289,'Rental Transaction'!A:B,2,FALSE)</f>
        <v>977759</v>
      </c>
      <c r="I5289">
        <f t="shared" si="82"/>
        <v>2014</v>
      </c>
    </row>
    <row r="5290" spans="1:9">
      <c r="A5290" s="1">
        <v>10227</v>
      </c>
      <c r="B5290" s="1">
        <v>7</v>
      </c>
      <c r="C5290" s="2">
        <v>41743</v>
      </c>
      <c r="D5290" s="1" t="s">
        <v>2002</v>
      </c>
      <c r="E5290" s="1">
        <v>103673</v>
      </c>
      <c r="F5290" s="6" t="s">
        <v>7292</v>
      </c>
      <c r="G5290" s="15" t="str">
        <f>VLOOKUP(A5290,Movie!A:D,4,FALSE)</f>
        <v>Focus</v>
      </c>
      <c r="H5290" s="14">
        <f>VLOOKUP(E5290,'Rental Transaction'!A:B,2,FALSE)</f>
        <v>977759</v>
      </c>
      <c r="I5290">
        <f t="shared" si="82"/>
        <v>2014</v>
      </c>
    </row>
    <row r="5291" spans="1:9">
      <c r="A5291" s="1">
        <v>10247</v>
      </c>
      <c r="B5291" s="1">
        <v>2</v>
      </c>
      <c r="C5291" s="2">
        <v>41744</v>
      </c>
      <c r="D5291" s="1" t="s">
        <v>2002</v>
      </c>
      <c r="E5291" s="1">
        <v>103675</v>
      </c>
      <c r="F5291" s="6" t="s">
        <v>7293</v>
      </c>
      <c r="G5291" s="15" t="str">
        <f>VLOOKUP(A5291,Movie!A:D,4,FALSE)</f>
        <v>Fox</v>
      </c>
      <c r="H5291" s="14">
        <f>VLOOKUP(E5291,'Rental Transaction'!A:B,2,FALSE)</f>
        <v>743517</v>
      </c>
      <c r="I5291">
        <f t="shared" si="82"/>
        <v>2014</v>
      </c>
    </row>
    <row r="5292" spans="1:9">
      <c r="A5292" s="1">
        <v>10228</v>
      </c>
      <c r="B5292" s="1">
        <v>4</v>
      </c>
      <c r="C5292" s="2">
        <v>41742</v>
      </c>
      <c r="D5292" s="1" t="s">
        <v>2002</v>
      </c>
      <c r="E5292" s="1">
        <v>103680</v>
      </c>
      <c r="F5292" s="6" t="s">
        <v>7294</v>
      </c>
      <c r="G5292" s="15" t="str">
        <f>VLOOKUP(A5292,Movie!A:D,4,FALSE)</f>
        <v>Universal</v>
      </c>
      <c r="H5292" s="14">
        <f>VLOOKUP(E5292,'Rental Transaction'!A:B,2,FALSE)</f>
        <v>938417</v>
      </c>
      <c r="I5292">
        <f t="shared" si="82"/>
        <v>2014</v>
      </c>
    </row>
    <row r="5293" spans="1:9" ht="29.25">
      <c r="A5293" s="1">
        <v>10285</v>
      </c>
      <c r="B5293" s="1">
        <v>6</v>
      </c>
      <c r="C5293" s="2">
        <v>41746</v>
      </c>
      <c r="D5293" s="1" t="s">
        <v>2002</v>
      </c>
      <c r="E5293" s="1">
        <v>103682</v>
      </c>
      <c r="F5293" s="6" t="s">
        <v>7295</v>
      </c>
      <c r="G5293" s="15" t="str">
        <f>VLOOKUP(A5293,Movie!A:D,4,FALSE)</f>
        <v>Roadside Attractions</v>
      </c>
      <c r="H5293" s="14">
        <f>VLOOKUP(E5293,'Rental Transaction'!A:B,2,FALSE)</f>
        <v>132454</v>
      </c>
      <c r="I5293">
        <f t="shared" si="82"/>
        <v>2014</v>
      </c>
    </row>
    <row r="5294" spans="1:9">
      <c r="A5294" s="1">
        <v>10250</v>
      </c>
      <c r="B5294" s="1">
        <v>7</v>
      </c>
      <c r="C5294" s="2">
        <v>41743</v>
      </c>
      <c r="D5294" s="1" t="s">
        <v>2002</v>
      </c>
      <c r="E5294" s="1">
        <v>103683</v>
      </c>
      <c r="F5294" s="6" t="s">
        <v>7296</v>
      </c>
      <c r="G5294" s="15" t="str">
        <f>VLOOKUP(A5294,Movie!A:D,4,FALSE)</f>
        <v>Buena Vista</v>
      </c>
      <c r="H5294" s="14">
        <f>VLOOKUP(E5294,'Rental Transaction'!A:B,2,FALSE)</f>
        <v>611848</v>
      </c>
      <c r="I5294">
        <f t="shared" si="82"/>
        <v>2014</v>
      </c>
    </row>
    <row r="5295" spans="1:9">
      <c r="A5295" s="1">
        <v>10189</v>
      </c>
      <c r="B5295" s="1">
        <v>2</v>
      </c>
      <c r="C5295" s="2">
        <v>41744</v>
      </c>
      <c r="D5295" s="1" t="s">
        <v>2002</v>
      </c>
      <c r="E5295" s="1">
        <v>103684</v>
      </c>
      <c r="F5295" s="6" t="s">
        <v>7297</v>
      </c>
      <c r="G5295" s="15" t="str">
        <f>VLOOKUP(A5295,Movie!A:D,4,FALSE)</f>
        <v>Universal</v>
      </c>
      <c r="H5295" s="14">
        <f>VLOOKUP(E5295,'Rental Transaction'!A:B,2,FALSE)</f>
        <v>413292</v>
      </c>
      <c r="I5295">
        <f t="shared" si="82"/>
        <v>2014</v>
      </c>
    </row>
    <row r="5296" spans="1:9">
      <c r="A5296" s="1">
        <v>10263</v>
      </c>
      <c r="B5296" s="1">
        <v>4</v>
      </c>
      <c r="C5296" s="2">
        <v>41746</v>
      </c>
      <c r="D5296" s="1" t="s">
        <v>2002</v>
      </c>
      <c r="E5296" s="1">
        <v>103686</v>
      </c>
      <c r="F5296" s="6" t="s">
        <v>7298</v>
      </c>
      <c r="G5296" s="15" t="str">
        <f>VLOOKUP(A5296,Movie!A:D,4,FALSE)</f>
        <v>Fox</v>
      </c>
      <c r="H5296" s="14">
        <f>VLOOKUP(E5296,'Rental Transaction'!A:B,2,FALSE)</f>
        <v>166135</v>
      </c>
      <c r="I5296">
        <f t="shared" si="82"/>
        <v>2014</v>
      </c>
    </row>
    <row r="5297" spans="1:9">
      <c r="A5297" s="1">
        <v>10054</v>
      </c>
      <c r="B5297" s="1">
        <v>2</v>
      </c>
      <c r="C5297" s="2">
        <v>41743</v>
      </c>
      <c r="D5297" s="1" t="s">
        <v>2002</v>
      </c>
      <c r="E5297" s="1">
        <v>103686</v>
      </c>
      <c r="F5297" s="6" t="s">
        <v>7299</v>
      </c>
      <c r="G5297" s="15" t="str">
        <f>VLOOKUP(A5297,Movie!A:D,4,FALSE)</f>
        <v>Paramount</v>
      </c>
      <c r="H5297" s="14">
        <f>VLOOKUP(E5297,'Rental Transaction'!A:B,2,FALSE)</f>
        <v>166135</v>
      </c>
      <c r="I5297">
        <f t="shared" si="82"/>
        <v>2014</v>
      </c>
    </row>
    <row r="5298" spans="1:9">
      <c r="A5298" s="1">
        <v>10225</v>
      </c>
      <c r="B5298" s="1">
        <v>2</v>
      </c>
      <c r="C5298" s="2">
        <v>41745</v>
      </c>
      <c r="D5298" s="1" t="s">
        <v>2002</v>
      </c>
      <c r="E5298" s="1">
        <v>103686</v>
      </c>
      <c r="F5298" s="6" t="s">
        <v>7300</v>
      </c>
      <c r="G5298" s="15" t="str">
        <f>VLOOKUP(A5298,Movie!A:D,4,FALSE)</f>
        <v>Warner Brothers</v>
      </c>
      <c r="H5298" s="14">
        <f>VLOOKUP(E5298,'Rental Transaction'!A:B,2,FALSE)</f>
        <v>166135</v>
      </c>
      <c r="I5298">
        <f t="shared" si="82"/>
        <v>2014</v>
      </c>
    </row>
    <row r="5299" spans="1:9">
      <c r="A5299" s="1">
        <v>10258</v>
      </c>
      <c r="B5299" s="1">
        <v>6</v>
      </c>
      <c r="C5299" s="2">
        <v>41745</v>
      </c>
      <c r="D5299" s="1" t="s">
        <v>2002</v>
      </c>
      <c r="E5299" s="1">
        <v>103690</v>
      </c>
      <c r="F5299" s="6" t="s">
        <v>7301</v>
      </c>
      <c r="G5299" s="15" t="str">
        <f>VLOOKUP(A5299,Movie!A:D,4,FALSE)</f>
        <v>Warner Brothers</v>
      </c>
      <c r="H5299" s="14">
        <f>VLOOKUP(E5299,'Rental Transaction'!A:B,2,FALSE)</f>
        <v>160392</v>
      </c>
      <c r="I5299">
        <f t="shared" si="82"/>
        <v>2014</v>
      </c>
    </row>
    <row r="5300" spans="1:9">
      <c r="A5300" s="1">
        <v>10250</v>
      </c>
      <c r="B5300" s="1">
        <v>10</v>
      </c>
      <c r="C5300" s="2">
        <v>41745</v>
      </c>
      <c r="D5300" s="1" t="s">
        <v>2002</v>
      </c>
      <c r="E5300" s="1">
        <v>103691</v>
      </c>
      <c r="F5300" s="6" t="s">
        <v>7302</v>
      </c>
      <c r="G5300" s="15" t="str">
        <f>VLOOKUP(A5300,Movie!A:D,4,FALSE)</f>
        <v>Buena Vista</v>
      </c>
      <c r="H5300" s="14">
        <f>VLOOKUP(E5300,'Rental Transaction'!A:B,2,FALSE)</f>
        <v>193914</v>
      </c>
      <c r="I5300">
        <f t="shared" si="82"/>
        <v>2014</v>
      </c>
    </row>
    <row r="5301" spans="1:9">
      <c r="A5301" s="1">
        <v>10183</v>
      </c>
      <c r="B5301" s="1">
        <v>3</v>
      </c>
      <c r="C5301" s="2">
        <v>41744</v>
      </c>
      <c r="D5301" s="1" t="s">
        <v>2002</v>
      </c>
      <c r="E5301" s="1">
        <v>103691</v>
      </c>
      <c r="F5301" s="6" t="s">
        <v>7303</v>
      </c>
      <c r="G5301" s="15" t="str">
        <f>VLOOKUP(A5301,Movie!A:D,4,FALSE)</f>
        <v>Sony</v>
      </c>
      <c r="H5301" s="14">
        <f>VLOOKUP(E5301,'Rental Transaction'!A:B,2,FALSE)</f>
        <v>193914</v>
      </c>
      <c r="I5301">
        <f t="shared" si="82"/>
        <v>2014</v>
      </c>
    </row>
    <row r="5302" spans="1:9">
      <c r="A5302" s="1">
        <v>10185</v>
      </c>
      <c r="B5302" s="1">
        <v>3</v>
      </c>
      <c r="C5302" s="2">
        <v>41745</v>
      </c>
      <c r="D5302" s="1" t="s">
        <v>2002</v>
      </c>
      <c r="E5302" s="1">
        <v>103692</v>
      </c>
      <c r="F5302" s="6" t="s">
        <v>7304</v>
      </c>
      <c r="G5302" s="15" t="str">
        <f>VLOOKUP(A5302,Movie!A:D,4,FALSE)</f>
        <v>Warner Brothers</v>
      </c>
      <c r="H5302" s="14">
        <f>VLOOKUP(E5302,'Rental Transaction'!A:B,2,FALSE)</f>
        <v>418506</v>
      </c>
      <c r="I5302">
        <f t="shared" si="82"/>
        <v>2014</v>
      </c>
    </row>
    <row r="5303" spans="1:9">
      <c r="A5303" s="1">
        <v>10251</v>
      </c>
      <c r="B5303" s="1">
        <v>9</v>
      </c>
      <c r="C5303" s="2">
        <v>41745</v>
      </c>
      <c r="D5303" s="1" t="s">
        <v>2002</v>
      </c>
      <c r="E5303" s="1">
        <v>103695</v>
      </c>
      <c r="F5303" s="6" t="s">
        <v>7305</v>
      </c>
      <c r="G5303" s="15" t="str">
        <f>VLOOKUP(A5303,Movie!A:D,4,FALSE)</f>
        <v>Universal</v>
      </c>
      <c r="H5303" s="14">
        <f>VLOOKUP(E5303,'Rental Transaction'!A:B,2,FALSE)</f>
        <v>892883</v>
      </c>
      <c r="I5303">
        <f t="shared" si="82"/>
        <v>2014</v>
      </c>
    </row>
    <row r="5304" spans="1:9">
      <c r="A5304" s="1">
        <v>10203</v>
      </c>
      <c r="B5304" s="1">
        <v>2</v>
      </c>
      <c r="C5304" s="2">
        <v>41745</v>
      </c>
      <c r="D5304" s="1" t="s">
        <v>2002</v>
      </c>
      <c r="E5304" s="1">
        <v>103696</v>
      </c>
      <c r="F5304" s="6" t="s">
        <v>7306</v>
      </c>
      <c r="G5304" s="15" t="str">
        <f>VLOOKUP(A5304,Movie!A:D,4,FALSE)</f>
        <v>Buena Vista</v>
      </c>
      <c r="H5304" s="14">
        <f>VLOOKUP(E5304,'Rental Transaction'!A:B,2,FALSE)</f>
        <v>346006</v>
      </c>
      <c r="I5304">
        <f t="shared" si="82"/>
        <v>2014</v>
      </c>
    </row>
    <row r="5305" spans="1:9">
      <c r="A5305" s="1">
        <v>10133</v>
      </c>
      <c r="B5305" s="1">
        <v>1</v>
      </c>
      <c r="C5305" s="2">
        <v>41745</v>
      </c>
      <c r="D5305" s="1" t="s">
        <v>2002</v>
      </c>
      <c r="E5305" s="1">
        <v>103697</v>
      </c>
      <c r="F5305" s="6" t="s">
        <v>7307</v>
      </c>
      <c r="G5305" s="15" t="str">
        <f>VLOOKUP(A5305,Movie!A:D,4,FALSE)</f>
        <v>Fox</v>
      </c>
      <c r="H5305" s="14">
        <f>VLOOKUP(E5305,'Rental Transaction'!A:B,2,FALSE)</f>
        <v>158528</v>
      </c>
      <c r="I5305">
        <f t="shared" si="82"/>
        <v>2014</v>
      </c>
    </row>
    <row r="5306" spans="1:9">
      <c r="A5306" s="1">
        <v>10039</v>
      </c>
      <c r="B5306" s="1">
        <v>3</v>
      </c>
      <c r="C5306" s="2">
        <v>41745</v>
      </c>
      <c r="D5306" s="1" t="s">
        <v>2002</v>
      </c>
      <c r="E5306" s="1">
        <v>103697</v>
      </c>
      <c r="F5306" s="6" t="s">
        <v>7308</v>
      </c>
      <c r="G5306" s="15" t="str">
        <f>VLOOKUP(A5306,Movie!A:D,4,FALSE)</f>
        <v>Open Road Films</v>
      </c>
      <c r="H5306" s="14">
        <f>VLOOKUP(E5306,'Rental Transaction'!A:B,2,FALSE)</f>
        <v>158528</v>
      </c>
      <c r="I5306">
        <f t="shared" si="82"/>
        <v>2014</v>
      </c>
    </row>
    <row r="5307" spans="1:9">
      <c r="A5307" s="1">
        <v>10185</v>
      </c>
      <c r="B5307" s="1">
        <v>6</v>
      </c>
      <c r="C5307" s="2">
        <v>41751</v>
      </c>
      <c r="D5307" s="1" t="s">
        <v>2002</v>
      </c>
      <c r="E5307" s="1">
        <v>103699</v>
      </c>
      <c r="F5307" s="6" t="s">
        <v>7309</v>
      </c>
      <c r="G5307" s="15" t="str">
        <f>VLOOKUP(A5307,Movie!A:D,4,FALSE)</f>
        <v>Warner Brothers</v>
      </c>
      <c r="H5307" s="14">
        <f>VLOOKUP(E5307,'Rental Transaction'!A:B,2,FALSE)</f>
        <v>190721</v>
      </c>
      <c r="I5307">
        <f t="shared" si="82"/>
        <v>2014</v>
      </c>
    </row>
    <row r="5308" spans="1:9">
      <c r="A5308" s="1">
        <v>10235</v>
      </c>
      <c r="B5308" s="1">
        <v>10</v>
      </c>
      <c r="C5308" s="2">
        <v>41746</v>
      </c>
      <c r="D5308" s="1" t="s">
        <v>2002</v>
      </c>
      <c r="E5308" s="1">
        <v>103700</v>
      </c>
      <c r="F5308" s="6" t="s">
        <v>7310</v>
      </c>
      <c r="G5308" s="15" t="str">
        <f>VLOOKUP(A5308,Movie!A:D,4,FALSE)</f>
        <v>Lionsgate</v>
      </c>
      <c r="H5308" s="14">
        <f>VLOOKUP(E5308,'Rental Transaction'!A:B,2,FALSE)</f>
        <v>393120</v>
      </c>
      <c r="I5308">
        <f t="shared" si="82"/>
        <v>2014</v>
      </c>
    </row>
    <row r="5309" spans="1:9">
      <c r="A5309" s="1">
        <v>10176</v>
      </c>
      <c r="B5309" s="1">
        <v>5</v>
      </c>
      <c r="C5309" s="2">
        <v>41745</v>
      </c>
      <c r="D5309" s="1" t="s">
        <v>2002</v>
      </c>
      <c r="E5309" s="1">
        <v>103700</v>
      </c>
      <c r="F5309" s="6" t="s">
        <v>7311</v>
      </c>
      <c r="G5309" s="15" t="str">
        <f>VLOOKUP(A5309,Movie!A:D,4,FALSE)</f>
        <v>Universal</v>
      </c>
      <c r="H5309" s="14">
        <f>VLOOKUP(E5309,'Rental Transaction'!A:B,2,FALSE)</f>
        <v>393120</v>
      </c>
      <c r="I5309">
        <f t="shared" si="82"/>
        <v>2014</v>
      </c>
    </row>
    <row r="5310" spans="1:9">
      <c r="A5310" s="1">
        <v>10283</v>
      </c>
      <c r="B5310" s="1">
        <v>6</v>
      </c>
      <c r="C5310" s="2">
        <v>41745</v>
      </c>
      <c r="D5310" s="1" t="s">
        <v>2002</v>
      </c>
      <c r="E5310" s="1">
        <v>103701</v>
      </c>
      <c r="F5310" s="6" t="s">
        <v>7312</v>
      </c>
      <c r="G5310" s="15" t="str">
        <f>VLOOKUP(A5310,Movie!A:D,4,FALSE)</f>
        <v>TriStar</v>
      </c>
      <c r="H5310" s="14">
        <f>VLOOKUP(E5310,'Rental Transaction'!A:B,2,FALSE)</f>
        <v>245577</v>
      </c>
      <c r="I5310">
        <f t="shared" si="82"/>
        <v>2014</v>
      </c>
    </row>
    <row r="5311" spans="1:9">
      <c r="A5311" s="1">
        <v>10208</v>
      </c>
      <c r="B5311" s="1">
        <v>8</v>
      </c>
      <c r="C5311" s="2">
        <v>41745</v>
      </c>
      <c r="D5311" s="1" t="s">
        <v>2002</v>
      </c>
      <c r="E5311" s="1">
        <v>103701</v>
      </c>
      <c r="F5311" s="6" t="s">
        <v>7313</v>
      </c>
      <c r="G5311" s="15" t="str">
        <f>VLOOKUP(A5311,Movie!A:D,4,FALSE)</f>
        <v>Warner Brothers</v>
      </c>
      <c r="H5311" s="14">
        <f>VLOOKUP(E5311,'Rental Transaction'!A:B,2,FALSE)</f>
        <v>245577</v>
      </c>
      <c r="I5311">
        <f t="shared" si="82"/>
        <v>2014</v>
      </c>
    </row>
    <row r="5312" spans="1:9">
      <c r="A5312" s="1">
        <v>10250</v>
      </c>
      <c r="B5312" s="1">
        <v>7</v>
      </c>
      <c r="C5312" s="2">
        <v>41745</v>
      </c>
      <c r="D5312" s="1" t="s">
        <v>2002</v>
      </c>
      <c r="E5312" s="1">
        <v>103701</v>
      </c>
      <c r="F5312" s="6" t="s">
        <v>7314</v>
      </c>
      <c r="G5312" s="15" t="str">
        <f>VLOOKUP(A5312,Movie!A:D,4,FALSE)</f>
        <v>Buena Vista</v>
      </c>
      <c r="H5312" s="14">
        <f>VLOOKUP(E5312,'Rental Transaction'!A:B,2,FALSE)</f>
        <v>245577</v>
      </c>
      <c r="I5312">
        <f t="shared" si="82"/>
        <v>2014</v>
      </c>
    </row>
    <row r="5313" spans="1:9">
      <c r="A5313" s="1">
        <v>10101</v>
      </c>
      <c r="B5313" s="1">
        <v>4</v>
      </c>
      <c r="C5313" s="2">
        <v>41745</v>
      </c>
      <c r="D5313" s="1" t="s">
        <v>2002</v>
      </c>
      <c r="E5313" s="1">
        <v>103703</v>
      </c>
      <c r="F5313" s="6" t="s">
        <v>7315</v>
      </c>
      <c r="G5313" s="15" t="str">
        <f>VLOOKUP(A5313,Movie!A:D,4,FALSE)</f>
        <v>Sony</v>
      </c>
      <c r="H5313" s="14">
        <f>VLOOKUP(E5313,'Rental Transaction'!A:B,2,FALSE)</f>
        <v>265707</v>
      </c>
      <c r="I5313">
        <f t="shared" si="82"/>
        <v>2014</v>
      </c>
    </row>
    <row r="5314" spans="1:9">
      <c r="A5314" s="1">
        <v>10204</v>
      </c>
      <c r="B5314" s="1">
        <v>8</v>
      </c>
      <c r="C5314" s="2">
        <v>41746</v>
      </c>
      <c r="D5314" s="1" t="s">
        <v>2002</v>
      </c>
      <c r="E5314" s="1">
        <v>103704</v>
      </c>
      <c r="F5314" s="6" t="s">
        <v>7316</v>
      </c>
      <c r="G5314" s="15" t="str">
        <f>VLOOKUP(A5314,Movie!A:D,4,FALSE)</f>
        <v>Universal</v>
      </c>
      <c r="H5314" s="14">
        <f>VLOOKUP(E5314,'Rental Transaction'!A:B,2,FALSE)</f>
        <v>404678</v>
      </c>
      <c r="I5314">
        <f t="shared" si="82"/>
        <v>2014</v>
      </c>
    </row>
    <row r="5315" spans="1:9">
      <c r="A5315" s="1">
        <v>10211</v>
      </c>
      <c r="B5315" s="1">
        <v>2</v>
      </c>
      <c r="C5315" s="2">
        <v>41750</v>
      </c>
      <c r="D5315" s="1" t="s">
        <v>2002</v>
      </c>
      <c r="E5315" s="1">
        <v>103705</v>
      </c>
      <c r="F5315" s="6" t="s">
        <v>7317</v>
      </c>
      <c r="G5315" s="15" t="str">
        <f>VLOOKUP(A5315,Movie!A:D,4,FALSE)</f>
        <v>Buena Vista</v>
      </c>
      <c r="H5315" s="14">
        <f>VLOOKUP(E5315,'Rental Transaction'!A:B,2,FALSE)</f>
        <v>643305</v>
      </c>
      <c r="I5315">
        <f t="shared" ref="I5315:I5378" si="83">YEAR(C5315)</f>
        <v>2014</v>
      </c>
    </row>
    <row r="5316" spans="1:9">
      <c r="A5316" s="1">
        <v>10202</v>
      </c>
      <c r="B5316" s="1">
        <v>8</v>
      </c>
      <c r="C5316" s="2">
        <v>41750</v>
      </c>
      <c r="D5316" s="1" t="s">
        <v>2002</v>
      </c>
      <c r="E5316" s="1">
        <v>103708</v>
      </c>
      <c r="F5316" s="6" t="s">
        <v>7318</v>
      </c>
      <c r="G5316" s="15" t="str">
        <f>VLOOKUP(A5316,Movie!A:D,4,FALSE)</f>
        <v>Warner Brothers</v>
      </c>
      <c r="H5316" s="14">
        <f>VLOOKUP(E5316,'Rental Transaction'!A:B,2,FALSE)</f>
        <v>507743</v>
      </c>
      <c r="I5316">
        <f t="shared" si="83"/>
        <v>2014</v>
      </c>
    </row>
    <row r="5317" spans="1:9">
      <c r="A5317" s="1">
        <v>10238</v>
      </c>
      <c r="B5317" s="1">
        <v>4</v>
      </c>
      <c r="C5317" s="2">
        <v>41748</v>
      </c>
      <c r="D5317" s="1" t="s">
        <v>2005</v>
      </c>
      <c r="E5317" s="1">
        <v>103709</v>
      </c>
      <c r="F5317" s="6" t="s">
        <v>7319</v>
      </c>
      <c r="G5317" s="15" t="str">
        <f>VLOOKUP(A5317,Movie!A:D,4,FALSE)</f>
        <v>Warner Brothers</v>
      </c>
      <c r="H5317" s="14">
        <f>VLOOKUP(E5317,'Rental Transaction'!A:B,2,FALSE)</f>
        <v>618955</v>
      </c>
      <c r="I5317">
        <f t="shared" si="83"/>
        <v>2014</v>
      </c>
    </row>
    <row r="5318" spans="1:9">
      <c r="A5318" s="1">
        <v>10155</v>
      </c>
      <c r="B5318" s="1">
        <v>8</v>
      </c>
      <c r="C5318" s="2">
        <v>41747</v>
      </c>
      <c r="D5318" s="1" t="s">
        <v>2002</v>
      </c>
      <c r="E5318" s="1">
        <v>103710</v>
      </c>
      <c r="F5318" s="6" t="s">
        <v>7320</v>
      </c>
      <c r="G5318" s="15" t="str">
        <f>VLOOKUP(A5318,Movie!A:D,4,FALSE)</f>
        <v>Fox</v>
      </c>
      <c r="H5318" s="14">
        <f>VLOOKUP(E5318,'Rental Transaction'!A:B,2,FALSE)</f>
        <v>929344</v>
      </c>
      <c r="I5318">
        <f t="shared" si="83"/>
        <v>2014</v>
      </c>
    </row>
    <row r="5319" spans="1:9">
      <c r="A5319" s="1">
        <v>10215</v>
      </c>
      <c r="B5319" s="1">
        <v>9</v>
      </c>
      <c r="C5319" s="2">
        <v>41746</v>
      </c>
      <c r="D5319" s="1" t="s">
        <v>2005</v>
      </c>
      <c r="E5319" s="1">
        <v>103711</v>
      </c>
      <c r="F5319" s="6" t="s">
        <v>7321</v>
      </c>
      <c r="G5319" s="15" t="str">
        <f>VLOOKUP(A5319,Movie!A:D,4,FALSE)</f>
        <v>Paramount</v>
      </c>
      <c r="H5319" s="14">
        <f>VLOOKUP(E5319,'Rental Transaction'!A:B,2,FALSE)</f>
        <v>240205</v>
      </c>
      <c r="I5319">
        <f t="shared" si="83"/>
        <v>2014</v>
      </c>
    </row>
    <row r="5320" spans="1:9">
      <c r="A5320" s="1">
        <v>10277</v>
      </c>
      <c r="B5320" s="1">
        <v>8</v>
      </c>
      <c r="C5320" s="2">
        <v>41747</v>
      </c>
      <c r="D5320" s="1" t="s">
        <v>2002</v>
      </c>
      <c r="E5320" s="1">
        <v>103712</v>
      </c>
      <c r="F5320" s="6" t="s">
        <v>7322</v>
      </c>
      <c r="G5320" s="15" t="str">
        <f>VLOOKUP(A5320,Movie!A:D,4,FALSE)</f>
        <v>Universal</v>
      </c>
      <c r="H5320" s="14">
        <f>VLOOKUP(E5320,'Rental Transaction'!A:B,2,FALSE)</f>
        <v>911171</v>
      </c>
      <c r="I5320">
        <f t="shared" si="83"/>
        <v>2014</v>
      </c>
    </row>
    <row r="5321" spans="1:9">
      <c r="A5321" s="1">
        <v>10235</v>
      </c>
      <c r="B5321" s="1">
        <v>3</v>
      </c>
      <c r="C5321" s="2">
        <v>41748</v>
      </c>
      <c r="D5321" s="1" t="s">
        <v>2005</v>
      </c>
      <c r="E5321" s="1">
        <v>103712</v>
      </c>
      <c r="F5321" s="6" t="s">
        <v>7323</v>
      </c>
      <c r="G5321" s="15" t="str">
        <f>VLOOKUP(A5321,Movie!A:D,4,FALSE)</f>
        <v>Lionsgate</v>
      </c>
      <c r="H5321" s="14">
        <f>VLOOKUP(E5321,'Rental Transaction'!A:B,2,FALSE)</f>
        <v>911171</v>
      </c>
      <c r="I5321">
        <f t="shared" si="83"/>
        <v>2014</v>
      </c>
    </row>
    <row r="5322" spans="1:9">
      <c r="A5322" s="1">
        <v>10273</v>
      </c>
      <c r="B5322" s="1">
        <v>4</v>
      </c>
      <c r="C5322" s="2">
        <v>41750</v>
      </c>
      <c r="D5322" s="1" t="s">
        <v>2002</v>
      </c>
      <c r="E5322" s="1">
        <v>103713</v>
      </c>
      <c r="F5322" s="6" t="s">
        <v>7324</v>
      </c>
      <c r="G5322" s="15" t="str">
        <f>VLOOKUP(A5322,Movie!A:D,4,FALSE)</f>
        <v>Sony</v>
      </c>
      <c r="H5322" s="14">
        <f>VLOOKUP(E5322,'Rental Transaction'!A:B,2,FALSE)</f>
        <v>547890</v>
      </c>
      <c r="I5322">
        <f t="shared" si="83"/>
        <v>2014</v>
      </c>
    </row>
    <row r="5323" spans="1:9">
      <c r="A5323" s="1">
        <v>10203</v>
      </c>
      <c r="B5323" s="1">
        <v>3</v>
      </c>
      <c r="C5323" s="2">
        <v>41749</v>
      </c>
      <c r="D5323" s="1" t="s">
        <v>2005</v>
      </c>
      <c r="E5323" s="1">
        <v>103716</v>
      </c>
      <c r="F5323" s="6" t="s">
        <v>7325</v>
      </c>
      <c r="G5323" s="15" t="str">
        <f>VLOOKUP(A5323,Movie!A:D,4,FALSE)</f>
        <v>Buena Vista</v>
      </c>
      <c r="H5323" s="14">
        <f>VLOOKUP(E5323,'Rental Transaction'!A:B,2,FALSE)</f>
        <v>818287</v>
      </c>
      <c r="I5323">
        <f t="shared" si="83"/>
        <v>2014</v>
      </c>
    </row>
    <row r="5324" spans="1:9">
      <c r="A5324" s="1">
        <v>10352</v>
      </c>
      <c r="B5324" s="1">
        <v>9</v>
      </c>
      <c r="C5324" s="2">
        <v>41747</v>
      </c>
      <c r="D5324" s="1" t="s">
        <v>2002</v>
      </c>
      <c r="E5324" s="1">
        <v>103717</v>
      </c>
      <c r="F5324" s="6" t="s">
        <v>7326</v>
      </c>
      <c r="G5324" s="15" t="str">
        <f>VLOOKUP(A5324,Movie!A:D,4,FALSE)</f>
        <v>Warner Brothers</v>
      </c>
      <c r="H5324" s="14">
        <f>VLOOKUP(E5324,'Rental Transaction'!A:B,2,FALSE)</f>
        <v>908328</v>
      </c>
      <c r="I5324">
        <f t="shared" si="83"/>
        <v>2014</v>
      </c>
    </row>
    <row r="5325" spans="1:9">
      <c r="A5325" s="1">
        <v>10286</v>
      </c>
      <c r="B5325" s="1">
        <v>6</v>
      </c>
      <c r="C5325" s="2">
        <v>41749</v>
      </c>
      <c r="D5325" s="1" t="s">
        <v>2002</v>
      </c>
      <c r="E5325" s="1">
        <v>103719</v>
      </c>
      <c r="F5325" s="6" t="s">
        <v>7327</v>
      </c>
      <c r="G5325" s="15" t="str">
        <f>VLOOKUP(A5325,Movie!A:D,4,FALSE)</f>
        <v>Fox Searchlight</v>
      </c>
      <c r="H5325" s="14">
        <f>VLOOKUP(E5325,'Rental Transaction'!A:B,2,FALSE)</f>
        <v>890497</v>
      </c>
      <c r="I5325">
        <f t="shared" si="83"/>
        <v>2014</v>
      </c>
    </row>
    <row r="5326" spans="1:9">
      <c r="A5326" s="1">
        <v>10129</v>
      </c>
      <c r="B5326" s="1">
        <v>8</v>
      </c>
      <c r="C5326" s="2">
        <v>41748</v>
      </c>
      <c r="D5326" s="1" t="s">
        <v>2002</v>
      </c>
      <c r="E5326" s="1">
        <v>103720</v>
      </c>
      <c r="F5326" s="6" t="s">
        <v>7328</v>
      </c>
      <c r="G5326" s="15" t="str">
        <f>VLOOKUP(A5326,Movie!A:D,4,FALSE)</f>
        <v>Warner Brothers</v>
      </c>
      <c r="H5326" s="14">
        <f>VLOOKUP(E5326,'Rental Transaction'!A:B,2,FALSE)</f>
        <v>441628</v>
      </c>
      <c r="I5326">
        <f t="shared" si="83"/>
        <v>2014</v>
      </c>
    </row>
    <row r="5327" spans="1:9">
      <c r="A5327" s="1">
        <v>10223</v>
      </c>
      <c r="B5327" s="1">
        <v>4</v>
      </c>
      <c r="C5327" s="2">
        <v>41750</v>
      </c>
      <c r="D5327" s="1" t="s">
        <v>2002</v>
      </c>
      <c r="E5327" s="1">
        <v>103721</v>
      </c>
      <c r="F5327" s="6" t="s">
        <v>7329</v>
      </c>
      <c r="G5327" s="15" t="str">
        <f>VLOOKUP(A5327,Movie!A:D,4,FALSE)</f>
        <v>Universal</v>
      </c>
      <c r="H5327" s="14">
        <f>VLOOKUP(E5327,'Rental Transaction'!A:B,2,FALSE)</f>
        <v>938417</v>
      </c>
      <c r="I5327">
        <f t="shared" si="83"/>
        <v>2014</v>
      </c>
    </row>
    <row r="5328" spans="1:9">
      <c r="A5328" s="1">
        <v>10247</v>
      </c>
      <c r="B5328" s="1">
        <v>5</v>
      </c>
      <c r="C5328" s="2">
        <v>41748</v>
      </c>
      <c r="D5328" s="1" t="s">
        <v>2005</v>
      </c>
      <c r="E5328" s="1">
        <v>103722</v>
      </c>
      <c r="F5328" s="6" t="s">
        <v>7330</v>
      </c>
      <c r="G5328" s="15" t="str">
        <f>VLOOKUP(A5328,Movie!A:D,4,FALSE)</f>
        <v>Fox</v>
      </c>
      <c r="H5328" s="14">
        <f>VLOOKUP(E5328,'Rental Transaction'!A:B,2,FALSE)</f>
        <v>585972</v>
      </c>
      <c r="I5328">
        <f t="shared" si="83"/>
        <v>2014</v>
      </c>
    </row>
    <row r="5329" spans="1:9">
      <c r="A5329" s="1">
        <v>10123</v>
      </c>
      <c r="B5329" s="1">
        <v>6</v>
      </c>
      <c r="C5329" s="2">
        <v>41748</v>
      </c>
      <c r="D5329" s="1" t="s">
        <v>2002</v>
      </c>
      <c r="E5329" s="1">
        <v>103723</v>
      </c>
      <c r="F5329" s="6" t="s">
        <v>7331</v>
      </c>
      <c r="G5329" s="15" t="str">
        <f>VLOOKUP(A5329,Movie!A:D,4,FALSE)</f>
        <v>Fox</v>
      </c>
      <c r="H5329" s="14">
        <f>VLOOKUP(E5329,'Rental Transaction'!A:B,2,FALSE)</f>
        <v>306475</v>
      </c>
      <c r="I5329">
        <f t="shared" si="83"/>
        <v>2014</v>
      </c>
    </row>
    <row r="5330" spans="1:9">
      <c r="A5330" s="1">
        <v>10175</v>
      </c>
      <c r="B5330" s="1">
        <v>3</v>
      </c>
      <c r="C5330" s="2">
        <v>41750</v>
      </c>
      <c r="D5330" s="1" t="s">
        <v>2002</v>
      </c>
      <c r="E5330" s="1">
        <v>103724</v>
      </c>
      <c r="F5330" s="6" t="s">
        <v>7332</v>
      </c>
      <c r="G5330" s="15" t="str">
        <f>VLOOKUP(A5330,Movie!A:D,4,FALSE)</f>
        <v>Buena Vista</v>
      </c>
      <c r="H5330" s="14">
        <f>VLOOKUP(E5330,'Rental Transaction'!A:B,2,FALSE)</f>
        <v>765237</v>
      </c>
      <c r="I5330">
        <f t="shared" si="83"/>
        <v>2014</v>
      </c>
    </row>
    <row r="5331" spans="1:9">
      <c r="A5331" s="1">
        <v>10238</v>
      </c>
      <c r="B5331" s="1">
        <v>6</v>
      </c>
      <c r="C5331" s="2">
        <v>41749</v>
      </c>
      <c r="D5331" s="1" t="s">
        <v>2002</v>
      </c>
      <c r="E5331" s="1">
        <v>103725</v>
      </c>
      <c r="F5331" s="6" t="s">
        <v>7333</v>
      </c>
      <c r="G5331" s="15" t="str">
        <f>VLOOKUP(A5331,Movie!A:D,4,FALSE)</f>
        <v>Warner Brothers</v>
      </c>
      <c r="H5331" s="14">
        <f>VLOOKUP(E5331,'Rental Transaction'!A:B,2,FALSE)</f>
        <v>808421</v>
      </c>
      <c r="I5331">
        <f t="shared" si="83"/>
        <v>2014</v>
      </c>
    </row>
    <row r="5332" spans="1:9">
      <c r="A5332" s="1">
        <v>10247</v>
      </c>
      <c r="B5332" s="1">
        <v>5</v>
      </c>
      <c r="C5332" s="2">
        <v>41750</v>
      </c>
      <c r="D5332" s="1" t="s">
        <v>2005</v>
      </c>
      <c r="E5332" s="1">
        <v>103726</v>
      </c>
      <c r="F5332" s="6" t="s">
        <v>7334</v>
      </c>
      <c r="G5332" s="15" t="str">
        <f>VLOOKUP(A5332,Movie!A:D,4,FALSE)</f>
        <v>Fox</v>
      </c>
      <c r="H5332" s="14">
        <f>VLOOKUP(E5332,'Rental Transaction'!A:B,2,FALSE)</f>
        <v>266633</v>
      </c>
      <c r="I5332">
        <f t="shared" si="83"/>
        <v>2014</v>
      </c>
    </row>
    <row r="5333" spans="1:9">
      <c r="A5333" s="1">
        <v>10272</v>
      </c>
      <c r="B5333" s="1">
        <v>5</v>
      </c>
      <c r="C5333" s="2">
        <v>41750</v>
      </c>
      <c r="D5333" s="1" t="s">
        <v>2002</v>
      </c>
      <c r="E5333" s="1">
        <v>103726</v>
      </c>
      <c r="F5333" s="6" t="s">
        <v>7335</v>
      </c>
      <c r="G5333" s="15" t="str">
        <f>VLOOKUP(A5333,Movie!A:D,4,FALSE)</f>
        <v>Sony</v>
      </c>
      <c r="H5333" s="14">
        <f>VLOOKUP(E5333,'Rental Transaction'!A:B,2,FALSE)</f>
        <v>266633</v>
      </c>
      <c r="I5333">
        <f t="shared" si="83"/>
        <v>2014</v>
      </c>
    </row>
    <row r="5334" spans="1:9">
      <c r="A5334" s="1">
        <v>10231</v>
      </c>
      <c r="B5334" s="1">
        <v>5</v>
      </c>
      <c r="C5334" s="2">
        <v>41750</v>
      </c>
      <c r="D5334" s="1" t="s">
        <v>2002</v>
      </c>
      <c r="E5334" s="1">
        <v>103726</v>
      </c>
      <c r="F5334" s="6" t="s">
        <v>7336</v>
      </c>
      <c r="G5334" s="15" t="str">
        <f>VLOOKUP(A5334,Movie!A:D,4,FALSE)</f>
        <v>Universal</v>
      </c>
      <c r="H5334" s="14">
        <f>VLOOKUP(E5334,'Rental Transaction'!A:B,2,FALSE)</f>
        <v>266633</v>
      </c>
      <c r="I5334">
        <f t="shared" si="83"/>
        <v>2014</v>
      </c>
    </row>
    <row r="5335" spans="1:9" ht="29.25">
      <c r="A5335" s="1">
        <v>10140</v>
      </c>
      <c r="B5335" s="1">
        <v>4</v>
      </c>
      <c r="C5335" s="2">
        <v>41750</v>
      </c>
      <c r="D5335" s="1" t="s">
        <v>2002</v>
      </c>
      <c r="E5335" s="1">
        <v>103726</v>
      </c>
      <c r="F5335" s="6" t="s">
        <v>7337</v>
      </c>
      <c r="G5335" s="15" t="str">
        <f>VLOOKUP(A5335,Movie!A:D,4,FALSE)</f>
        <v>Weinstein Company</v>
      </c>
      <c r="H5335" s="14">
        <f>VLOOKUP(E5335,'Rental Transaction'!A:B,2,FALSE)</f>
        <v>266633</v>
      </c>
      <c r="I5335">
        <f t="shared" si="83"/>
        <v>2014</v>
      </c>
    </row>
    <row r="5336" spans="1:9">
      <c r="A5336" s="1">
        <v>10152</v>
      </c>
      <c r="B5336" s="1">
        <v>1</v>
      </c>
      <c r="C5336" s="2">
        <v>41750</v>
      </c>
      <c r="D5336" s="1" t="s">
        <v>2002</v>
      </c>
      <c r="E5336" s="1">
        <v>103727</v>
      </c>
      <c r="F5336" s="6" t="s">
        <v>7338</v>
      </c>
      <c r="G5336" s="15" t="str">
        <f>VLOOKUP(A5336,Movie!A:D,4,FALSE)</f>
        <v>FilmDistrict</v>
      </c>
      <c r="H5336" s="14">
        <f>VLOOKUP(E5336,'Rental Transaction'!A:B,2,FALSE)</f>
        <v>357579</v>
      </c>
      <c r="I5336">
        <f t="shared" si="83"/>
        <v>2014</v>
      </c>
    </row>
    <row r="5337" spans="1:9">
      <c r="A5337" s="1">
        <v>10173</v>
      </c>
      <c r="B5337" s="1">
        <v>6</v>
      </c>
      <c r="C5337" s="2">
        <v>41749</v>
      </c>
      <c r="D5337" s="1" t="s">
        <v>2002</v>
      </c>
      <c r="E5337" s="1">
        <v>103728</v>
      </c>
      <c r="F5337" s="6" t="s">
        <v>7339</v>
      </c>
      <c r="G5337" s="15" t="str">
        <f>VLOOKUP(A5337,Movie!A:D,4,FALSE)</f>
        <v>Sony</v>
      </c>
      <c r="H5337" s="14">
        <f>VLOOKUP(E5337,'Rental Transaction'!A:B,2,FALSE)</f>
        <v>651462</v>
      </c>
      <c r="I5337">
        <f t="shared" si="83"/>
        <v>2014</v>
      </c>
    </row>
    <row r="5338" spans="1:9">
      <c r="A5338" s="1">
        <v>10235</v>
      </c>
      <c r="B5338" s="1">
        <v>9</v>
      </c>
      <c r="C5338" s="2">
        <v>41749</v>
      </c>
      <c r="D5338" s="1" t="s">
        <v>2005</v>
      </c>
      <c r="E5338" s="1">
        <v>103728</v>
      </c>
      <c r="F5338" s="6" t="s">
        <v>7340</v>
      </c>
      <c r="G5338" s="15" t="str">
        <f>VLOOKUP(A5338,Movie!A:D,4,FALSE)</f>
        <v>Lionsgate</v>
      </c>
      <c r="H5338" s="14">
        <f>VLOOKUP(E5338,'Rental Transaction'!A:B,2,FALSE)</f>
        <v>651462</v>
      </c>
      <c r="I5338">
        <f t="shared" si="83"/>
        <v>2014</v>
      </c>
    </row>
    <row r="5339" spans="1:9">
      <c r="A5339" s="1">
        <v>10292</v>
      </c>
      <c r="B5339" s="1">
        <v>2</v>
      </c>
      <c r="C5339" s="2">
        <v>41750</v>
      </c>
      <c r="D5339" s="1" t="s">
        <v>2002</v>
      </c>
      <c r="E5339" s="1">
        <v>103728</v>
      </c>
      <c r="F5339" s="6" t="s">
        <v>7341</v>
      </c>
      <c r="G5339" s="15" t="str">
        <f>VLOOKUP(A5339,Movie!A:D,4,FALSE)</f>
        <v>Sony Classics</v>
      </c>
      <c r="H5339" s="14">
        <f>VLOOKUP(E5339,'Rental Transaction'!A:B,2,FALSE)</f>
        <v>651462</v>
      </c>
      <c r="I5339">
        <f t="shared" si="83"/>
        <v>2014</v>
      </c>
    </row>
    <row r="5340" spans="1:9">
      <c r="A5340" s="1">
        <v>10158</v>
      </c>
      <c r="B5340" s="1">
        <v>10</v>
      </c>
      <c r="C5340" s="2">
        <v>41751</v>
      </c>
      <c r="D5340" s="1" t="s">
        <v>2002</v>
      </c>
      <c r="E5340" s="1">
        <v>103732</v>
      </c>
      <c r="F5340" s="6" t="s">
        <v>7342</v>
      </c>
      <c r="G5340" s="15" t="str">
        <f>VLOOKUP(A5340,Movie!A:D,4,FALSE)</f>
        <v>Warner Brothers</v>
      </c>
      <c r="H5340" s="14">
        <f>VLOOKUP(E5340,'Rental Transaction'!A:B,2,FALSE)</f>
        <v>667170</v>
      </c>
      <c r="I5340">
        <f t="shared" si="83"/>
        <v>2014</v>
      </c>
    </row>
    <row r="5341" spans="1:9">
      <c r="A5341" s="1">
        <v>10298</v>
      </c>
      <c r="B5341" s="1">
        <v>8</v>
      </c>
      <c r="C5341" s="2">
        <v>41751</v>
      </c>
      <c r="D5341" s="1" t="s">
        <v>2002</v>
      </c>
      <c r="E5341" s="1">
        <v>103732</v>
      </c>
      <c r="F5341" s="6" t="s">
        <v>7343</v>
      </c>
      <c r="G5341" s="15" t="str">
        <f>VLOOKUP(A5341,Movie!A:D,4,FALSE)</f>
        <v>UTV</v>
      </c>
      <c r="H5341" s="14">
        <f>VLOOKUP(E5341,'Rental Transaction'!A:B,2,FALSE)</f>
        <v>667170</v>
      </c>
      <c r="I5341">
        <f t="shared" si="83"/>
        <v>2014</v>
      </c>
    </row>
    <row r="5342" spans="1:9">
      <c r="A5342" s="1">
        <v>10269</v>
      </c>
      <c r="B5342" s="1">
        <v>6</v>
      </c>
      <c r="C5342" s="2">
        <v>41751</v>
      </c>
      <c r="D5342" s="1" t="s">
        <v>2002</v>
      </c>
      <c r="E5342" s="1">
        <v>103733</v>
      </c>
      <c r="F5342" s="6" t="s">
        <v>7344</v>
      </c>
      <c r="G5342" s="15" t="str">
        <f>VLOOKUP(A5342,Movie!A:D,4,FALSE)</f>
        <v>Buena Vista</v>
      </c>
      <c r="H5342" s="14">
        <f>VLOOKUP(E5342,'Rental Transaction'!A:B,2,FALSE)</f>
        <v>970794</v>
      </c>
      <c r="I5342">
        <f t="shared" si="83"/>
        <v>2014</v>
      </c>
    </row>
    <row r="5343" spans="1:9">
      <c r="A5343" s="1">
        <v>10193</v>
      </c>
      <c r="B5343" s="1">
        <v>2</v>
      </c>
      <c r="C5343" s="2">
        <v>41752</v>
      </c>
      <c r="D5343" s="1" t="s">
        <v>2002</v>
      </c>
      <c r="E5343" s="1">
        <v>103734</v>
      </c>
      <c r="F5343" s="6" t="s">
        <v>7345</v>
      </c>
      <c r="G5343" s="15" t="str">
        <f>VLOOKUP(A5343,Movie!A:D,4,FALSE)</f>
        <v>Fox</v>
      </c>
      <c r="H5343" s="14">
        <f>VLOOKUP(E5343,'Rental Transaction'!A:B,2,FALSE)</f>
        <v>422951</v>
      </c>
      <c r="I5343">
        <f t="shared" si="83"/>
        <v>2014</v>
      </c>
    </row>
    <row r="5344" spans="1:9">
      <c r="A5344" s="1">
        <v>10247</v>
      </c>
      <c r="B5344" s="1">
        <v>1</v>
      </c>
      <c r="C5344" s="2">
        <v>41750</v>
      </c>
      <c r="D5344" s="1" t="s">
        <v>2002</v>
      </c>
      <c r="E5344" s="1">
        <v>103734</v>
      </c>
      <c r="F5344" s="6" t="s">
        <v>7346</v>
      </c>
      <c r="G5344" s="15" t="str">
        <f>VLOOKUP(A5344,Movie!A:D,4,FALSE)</f>
        <v>Fox</v>
      </c>
      <c r="H5344" s="14">
        <f>VLOOKUP(E5344,'Rental Transaction'!A:B,2,FALSE)</f>
        <v>422951</v>
      </c>
      <c r="I5344">
        <f t="shared" si="83"/>
        <v>2014</v>
      </c>
    </row>
    <row r="5345" spans="1:9">
      <c r="A5345" s="1">
        <v>10261</v>
      </c>
      <c r="B5345" s="1">
        <v>8</v>
      </c>
      <c r="C5345" s="2">
        <v>41750</v>
      </c>
      <c r="D5345" s="1" t="s">
        <v>2002</v>
      </c>
      <c r="E5345" s="1">
        <v>103734</v>
      </c>
      <c r="F5345" s="6" t="s">
        <v>7347</v>
      </c>
      <c r="G5345" s="15" t="str">
        <f>VLOOKUP(A5345,Movie!A:D,4,FALSE)</f>
        <v>Fox</v>
      </c>
      <c r="H5345" s="14">
        <f>VLOOKUP(E5345,'Rental Transaction'!A:B,2,FALSE)</f>
        <v>422951</v>
      </c>
      <c r="I5345">
        <f t="shared" si="83"/>
        <v>2014</v>
      </c>
    </row>
    <row r="5346" spans="1:9">
      <c r="A5346" s="1">
        <v>10184</v>
      </c>
      <c r="B5346" s="1">
        <v>4</v>
      </c>
      <c r="C5346" s="2">
        <v>41752</v>
      </c>
      <c r="D5346" s="1" t="s">
        <v>2005</v>
      </c>
      <c r="E5346" s="1">
        <v>103735</v>
      </c>
      <c r="F5346" s="6" t="s">
        <v>7348</v>
      </c>
      <c r="G5346" s="15" t="str">
        <f>VLOOKUP(A5346,Movie!A:D,4,FALSE)</f>
        <v>Universal</v>
      </c>
      <c r="H5346" s="14">
        <f>VLOOKUP(E5346,'Rental Transaction'!A:B,2,FALSE)</f>
        <v>643305</v>
      </c>
      <c r="I5346">
        <f t="shared" si="83"/>
        <v>2014</v>
      </c>
    </row>
    <row r="5347" spans="1:9" ht="29.25">
      <c r="A5347" s="1">
        <v>10164</v>
      </c>
      <c r="B5347" s="1">
        <v>4</v>
      </c>
      <c r="C5347" s="2">
        <v>41754</v>
      </c>
      <c r="D5347" s="1" t="s">
        <v>2002</v>
      </c>
      <c r="E5347" s="1">
        <v>103736</v>
      </c>
      <c r="F5347" s="6" t="s">
        <v>7349</v>
      </c>
      <c r="G5347" s="15" t="str">
        <f>VLOOKUP(A5347,Movie!A:D,4,FALSE)</f>
        <v>Weinstein Company</v>
      </c>
      <c r="H5347" s="14">
        <f>VLOOKUP(E5347,'Rental Transaction'!A:B,2,FALSE)</f>
        <v>225489</v>
      </c>
      <c r="I5347">
        <f t="shared" si="83"/>
        <v>2014</v>
      </c>
    </row>
    <row r="5348" spans="1:9" ht="29.25">
      <c r="A5348" s="1">
        <v>10164</v>
      </c>
      <c r="B5348" s="1">
        <v>3</v>
      </c>
      <c r="C5348" s="2">
        <v>41752</v>
      </c>
      <c r="D5348" s="1" t="s">
        <v>2002</v>
      </c>
      <c r="E5348" s="1">
        <v>103739</v>
      </c>
      <c r="F5348" s="6" t="s">
        <v>7350</v>
      </c>
      <c r="G5348" s="15" t="str">
        <f>VLOOKUP(A5348,Movie!A:D,4,FALSE)</f>
        <v>Weinstein Company</v>
      </c>
      <c r="H5348" s="14">
        <f>VLOOKUP(E5348,'Rental Transaction'!A:B,2,FALSE)</f>
        <v>756769</v>
      </c>
      <c r="I5348">
        <f t="shared" si="83"/>
        <v>2014</v>
      </c>
    </row>
    <row r="5349" spans="1:9">
      <c r="A5349" s="1">
        <v>10283</v>
      </c>
      <c r="B5349" s="1">
        <v>5</v>
      </c>
      <c r="C5349" s="2">
        <v>41751</v>
      </c>
      <c r="D5349" s="1" t="s">
        <v>2002</v>
      </c>
      <c r="E5349" s="1">
        <v>103741</v>
      </c>
      <c r="F5349" s="6" t="s">
        <v>7351</v>
      </c>
      <c r="G5349" s="15" t="str">
        <f>VLOOKUP(A5349,Movie!A:D,4,FALSE)</f>
        <v>TriStar</v>
      </c>
      <c r="H5349" s="14">
        <f>VLOOKUP(E5349,'Rental Transaction'!A:B,2,FALSE)</f>
        <v>127472</v>
      </c>
      <c r="I5349">
        <f t="shared" si="83"/>
        <v>2014</v>
      </c>
    </row>
    <row r="5350" spans="1:9">
      <c r="A5350" s="1">
        <v>10286</v>
      </c>
      <c r="B5350" s="1">
        <v>7</v>
      </c>
      <c r="C5350" s="2">
        <v>41751</v>
      </c>
      <c r="D5350" s="1" t="s">
        <v>2002</v>
      </c>
      <c r="E5350" s="1">
        <v>103742</v>
      </c>
      <c r="F5350" s="6" t="s">
        <v>7352</v>
      </c>
      <c r="G5350" s="15" t="str">
        <f>VLOOKUP(A5350,Movie!A:D,4,FALSE)</f>
        <v>Fox Searchlight</v>
      </c>
      <c r="H5350" s="14">
        <f>VLOOKUP(E5350,'Rental Transaction'!A:B,2,FALSE)</f>
        <v>422717</v>
      </c>
      <c r="I5350">
        <f t="shared" si="83"/>
        <v>2014</v>
      </c>
    </row>
    <row r="5351" spans="1:9">
      <c r="A5351" s="1">
        <v>10098</v>
      </c>
      <c r="B5351" s="1">
        <v>10</v>
      </c>
      <c r="C5351" s="2">
        <v>41751</v>
      </c>
      <c r="D5351" s="1" t="s">
        <v>2005</v>
      </c>
      <c r="E5351" s="1">
        <v>103744</v>
      </c>
      <c r="F5351" s="6" t="s">
        <v>7353</v>
      </c>
      <c r="G5351" s="15" t="str">
        <f>VLOOKUP(A5351,Movie!A:D,4,FALSE)</f>
        <v>Warner Brothers</v>
      </c>
      <c r="H5351" s="14">
        <f>VLOOKUP(E5351,'Rental Transaction'!A:B,2,FALSE)</f>
        <v>456457</v>
      </c>
      <c r="I5351">
        <f t="shared" si="83"/>
        <v>2014</v>
      </c>
    </row>
    <row r="5352" spans="1:9">
      <c r="A5352" s="1">
        <v>10248</v>
      </c>
      <c r="B5352" s="1">
        <v>6</v>
      </c>
      <c r="C5352" s="2">
        <v>41752</v>
      </c>
      <c r="D5352" s="1" t="s">
        <v>2002</v>
      </c>
      <c r="E5352" s="1">
        <v>103747</v>
      </c>
      <c r="F5352" s="6" t="s">
        <v>7354</v>
      </c>
      <c r="G5352" s="15" t="str">
        <f>VLOOKUP(A5352,Movie!A:D,4,FALSE)</f>
        <v>Relativity</v>
      </c>
      <c r="H5352" s="14">
        <f>VLOOKUP(E5352,'Rental Transaction'!A:B,2,FALSE)</f>
        <v>676155</v>
      </c>
      <c r="I5352">
        <f t="shared" si="83"/>
        <v>2014</v>
      </c>
    </row>
    <row r="5353" spans="1:9">
      <c r="A5353" s="1">
        <v>10037</v>
      </c>
      <c r="B5353" s="1">
        <v>10</v>
      </c>
      <c r="C5353" s="2">
        <v>41754</v>
      </c>
      <c r="D5353" s="1" t="s">
        <v>2002</v>
      </c>
      <c r="E5353" s="1">
        <v>103748</v>
      </c>
      <c r="F5353" s="6" t="s">
        <v>7355</v>
      </c>
      <c r="G5353" s="15" t="str">
        <f>VLOOKUP(A5353,Movie!A:D,4,FALSE)</f>
        <v>Buena Vista</v>
      </c>
      <c r="H5353" s="14">
        <f>VLOOKUP(E5353,'Rental Transaction'!A:B,2,FALSE)</f>
        <v>296353</v>
      </c>
      <c r="I5353">
        <f t="shared" si="83"/>
        <v>2014</v>
      </c>
    </row>
    <row r="5354" spans="1:9">
      <c r="A5354" s="1">
        <v>10230</v>
      </c>
      <c r="B5354" s="1">
        <v>4</v>
      </c>
      <c r="C5354" s="2">
        <v>41756</v>
      </c>
      <c r="D5354" s="1" t="s">
        <v>2002</v>
      </c>
      <c r="E5354" s="1">
        <v>103750</v>
      </c>
      <c r="F5354" s="6" t="s">
        <v>7356</v>
      </c>
      <c r="G5354" s="15" t="str">
        <f>VLOOKUP(A5354,Movie!A:D,4,FALSE)</f>
        <v>Focus</v>
      </c>
      <c r="H5354" s="14">
        <f>VLOOKUP(E5354,'Rental Transaction'!A:B,2,FALSE)</f>
        <v>393120</v>
      </c>
      <c r="I5354">
        <f t="shared" si="83"/>
        <v>2014</v>
      </c>
    </row>
    <row r="5355" spans="1:9">
      <c r="A5355" s="1">
        <v>10280</v>
      </c>
      <c r="B5355" s="1">
        <v>10</v>
      </c>
      <c r="C5355" s="2">
        <v>41753</v>
      </c>
      <c r="D5355" s="1" t="s">
        <v>2002</v>
      </c>
      <c r="E5355" s="1">
        <v>103750</v>
      </c>
      <c r="F5355" s="6" t="s">
        <v>7357</v>
      </c>
      <c r="G5355" s="15" t="str">
        <f>VLOOKUP(A5355,Movie!A:D,4,FALSE)</f>
        <v>Universal</v>
      </c>
      <c r="H5355" s="14">
        <f>VLOOKUP(E5355,'Rental Transaction'!A:B,2,FALSE)</f>
        <v>393120</v>
      </c>
      <c r="I5355">
        <f t="shared" si="83"/>
        <v>2014</v>
      </c>
    </row>
    <row r="5356" spans="1:9">
      <c r="A5356" s="1">
        <v>10169</v>
      </c>
      <c r="B5356" s="1">
        <v>1</v>
      </c>
      <c r="C5356" s="2">
        <v>41755</v>
      </c>
      <c r="D5356" s="1" t="s">
        <v>2002</v>
      </c>
      <c r="E5356" s="1">
        <v>103751</v>
      </c>
      <c r="F5356" s="6" t="s">
        <v>7358</v>
      </c>
      <c r="G5356" s="15" t="str">
        <f>VLOOKUP(A5356,Movie!A:D,4,FALSE)</f>
        <v>Warner Brothers</v>
      </c>
      <c r="H5356" s="14">
        <f>VLOOKUP(E5356,'Rental Transaction'!A:B,2,FALSE)</f>
        <v>999915</v>
      </c>
      <c r="I5356">
        <f t="shared" si="83"/>
        <v>2014</v>
      </c>
    </row>
    <row r="5357" spans="1:9">
      <c r="A5357" s="1">
        <v>10352</v>
      </c>
      <c r="B5357" s="1">
        <v>2</v>
      </c>
      <c r="C5357" s="2">
        <v>41752</v>
      </c>
      <c r="D5357" s="1" t="s">
        <v>2002</v>
      </c>
      <c r="E5357" s="1">
        <v>103752</v>
      </c>
      <c r="F5357" s="6" t="s">
        <v>7359</v>
      </c>
      <c r="G5357" s="15" t="str">
        <f>VLOOKUP(A5357,Movie!A:D,4,FALSE)</f>
        <v>Warner Brothers</v>
      </c>
      <c r="H5357" s="14">
        <f>VLOOKUP(E5357,'Rental Transaction'!A:B,2,FALSE)</f>
        <v>908768</v>
      </c>
      <c r="I5357">
        <f t="shared" si="83"/>
        <v>2014</v>
      </c>
    </row>
    <row r="5358" spans="1:9">
      <c r="A5358" s="1">
        <v>10216</v>
      </c>
      <c r="B5358" s="1">
        <v>10</v>
      </c>
      <c r="C5358" s="2">
        <v>41753</v>
      </c>
      <c r="D5358" s="1" t="s">
        <v>2002</v>
      </c>
      <c r="E5358" s="1">
        <v>103752</v>
      </c>
      <c r="F5358" s="6" t="s">
        <v>7360</v>
      </c>
      <c r="G5358" s="15" t="str">
        <f>VLOOKUP(A5358,Movie!A:D,4,FALSE)</f>
        <v>Sony</v>
      </c>
      <c r="H5358" s="14">
        <f>VLOOKUP(E5358,'Rental Transaction'!A:B,2,FALSE)</f>
        <v>908768</v>
      </c>
      <c r="I5358">
        <f t="shared" si="83"/>
        <v>2014</v>
      </c>
    </row>
    <row r="5359" spans="1:9">
      <c r="A5359" s="1">
        <v>10244</v>
      </c>
      <c r="B5359" s="1">
        <v>2</v>
      </c>
      <c r="C5359" s="2">
        <v>41752</v>
      </c>
      <c r="D5359" s="1" t="s">
        <v>2002</v>
      </c>
      <c r="E5359" s="1">
        <v>103754</v>
      </c>
      <c r="F5359" s="6" t="s">
        <v>7361</v>
      </c>
      <c r="G5359" s="15" t="str">
        <f>VLOOKUP(A5359,Movie!A:D,4,FALSE)</f>
        <v>Sony</v>
      </c>
      <c r="H5359" s="14">
        <f>VLOOKUP(E5359,'Rental Transaction'!A:B,2,FALSE)</f>
        <v>549823</v>
      </c>
      <c r="I5359">
        <f t="shared" si="83"/>
        <v>2014</v>
      </c>
    </row>
    <row r="5360" spans="1:9">
      <c r="A5360" s="1">
        <v>10166</v>
      </c>
      <c r="B5360" s="1">
        <v>6</v>
      </c>
      <c r="C5360" s="2">
        <v>41754</v>
      </c>
      <c r="D5360" s="1" t="s">
        <v>2002</v>
      </c>
      <c r="E5360" s="1">
        <v>103756</v>
      </c>
      <c r="F5360" s="6" t="s">
        <v>7362</v>
      </c>
      <c r="G5360" s="15" t="str">
        <f>VLOOKUP(A5360,Movie!A:D,4,FALSE)</f>
        <v>Fox</v>
      </c>
      <c r="H5360" s="14">
        <f>VLOOKUP(E5360,'Rental Transaction'!A:B,2,FALSE)</f>
        <v>343021</v>
      </c>
      <c r="I5360">
        <f t="shared" si="83"/>
        <v>2014</v>
      </c>
    </row>
    <row r="5361" spans="1:9" ht="29.25">
      <c r="A5361" s="1">
        <v>10264</v>
      </c>
      <c r="B5361" s="1">
        <v>4</v>
      </c>
      <c r="C5361" s="2">
        <v>41753</v>
      </c>
      <c r="D5361" s="1" t="s">
        <v>2002</v>
      </c>
      <c r="E5361" s="1">
        <v>103756</v>
      </c>
      <c r="F5361" s="6" t="s">
        <v>7363</v>
      </c>
      <c r="G5361" s="15" t="str">
        <f>VLOOKUP(A5361,Movie!A:D,4,FALSE)</f>
        <v>Weinstein Company</v>
      </c>
      <c r="H5361" s="14">
        <f>VLOOKUP(E5361,'Rental Transaction'!A:B,2,FALSE)</f>
        <v>343021</v>
      </c>
      <c r="I5361">
        <f t="shared" si="83"/>
        <v>2014</v>
      </c>
    </row>
    <row r="5362" spans="1:9">
      <c r="A5362" s="1">
        <v>10139</v>
      </c>
      <c r="B5362" s="1">
        <v>9</v>
      </c>
      <c r="C5362" s="2">
        <v>41759</v>
      </c>
      <c r="D5362" s="1" t="s">
        <v>2002</v>
      </c>
      <c r="E5362" s="1">
        <v>103760</v>
      </c>
      <c r="F5362" s="6" t="s">
        <v>7364</v>
      </c>
      <c r="G5362" s="15" t="str">
        <f>VLOOKUP(A5362,Movie!A:D,4,FALSE)</f>
        <v>Focus</v>
      </c>
      <c r="H5362" s="14">
        <f>VLOOKUP(E5362,'Rental Transaction'!A:B,2,FALSE)</f>
        <v>921901</v>
      </c>
      <c r="I5362">
        <f t="shared" si="83"/>
        <v>2014</v>
      </c>
    </row>
    <row r="5363" spans="1:9">
      <c r="A5363" s="1">
        <v>10169</v>
      </c>
      <c r="B5363" s="1">
        <v>8</v>
      </c>
      <c r="C5363" s="2">
        <v>41753</v>
      </c>
      <c r="D5363" s="1" t="s">
        <v>2002</v>
      </c>
      <c r="E5363" s="1">
        <v>103761</v>
      </c>
      <c r="F5363" s="6" t="s">
        <v>7365</v>
      </c>
      <c r="G5363" s="15" t="str">
        <f>VLOOKUP(A5363,Movie!A:D,4,FALSE)</f>
        <v>Warner Brothers</v>
      </c>
      <c r="H5363" s="14">
        <f>VLOOKUP(E5363,'Rental Transaction'!A:B,2,FALSE)</f>
        <v>568217</v>
      </c>
      <c r="I5363">
        <f t="shared" si="83"/>
        <v>2014</v>
      </c>
    </row>
    <row r="5364" spans="1:9">
      <c r="A5364" s="1">
        <v>10126</v>
      </c>
      <c r="B5364" s="1">
        <v>8</v>
      </c>
      <c r="C5364" s="2">
        <v>41761</v>
      </c>
      <c r="D5364" s="1" t="s">
        <v>2002</v>
      </c>
      <c r="E5364" s="1">
        <v>103762</v>
      </c>
      <c r="F5364" s="6" t="s">
        <v>7366</v>
      </c>
      <c r="G5364" s="15" t="str">
        <f>VLOOKUP(A5364,Movie!A:D,4,FALSE)</f>
        <v>Fox</v>
      </c>
      <c r="H5364" s="14">
        <f>VLOOKUP(E5364,'Rental Transaction'!A:B,2,FALSE)</f>
        <v>403000</v>
      </c>
      <c r="I5364">
        <f t="shared" si="83"/>
        <v>2014</v>
      </c>
    </row>
    <row r="5365" spans="1:9">
      <c r="A5365" s="1">
        <v>10266</v>
      </c>
      <c r="B5365" s="1">
        <v>5</v>
      </c>
      <c r="C5365" s="2">
        <v>41755</v>
      </c>
      <c r="D5365" s="1" t="s">
        <v>2002</v>
      </c>
      <c r="E5365" s="1">
        <v>103765</v>
      </c>
      <c r="F5365" s="6" t="s">
        <v>7367</v>
      </c>
      <c r="G5365" s="15" t="str">
        <f>VLOOKUP(A5365,Movie!A:D,4,FALSE)</f>
        <v>Sony</v>
      </c>
      <c r="H5365" s="14">
        <f>VLOOKUP(E5365,'Rental Transaction'!A:B,2,FALSE)</f>
        <v>972329</v>
      </c>
      <c r="I5365">
        <f t="shared" si="83"/>
        <v>2014</v>
      </c>
    </row>
    <row r="5366" spans="1:9">
      <c r="A5366" s="1">
        <v>10123</v>
      </c>
      <c r="B5366" s="1">
        <v>1</v>
      </c>
      <c r="C5366" s="2">
        <v>41754</v>
      </c>
      <c r="D5366" s="1" t="s">
        <v>2002</v>
      </c>
      <c r="E5366" s="1">
        <v>103765</v>
      </c>
      <c r="F5366" s="6" t="s">
        <v>7368</v>
      </c>
      <c r="G5366" s="15" t="str">
        <f>VLOOKUP(A5366,Movie!A:D,4,FALSE)</f>
        <v>Fox</v>
      </c>
      <c r="H5366" s="14">
        <f>VLOOKUP(E5366,'Rental Transaction'!A:B,2,FALSE)</f>
        <v>972329</v>
      </c>
      <c r="I5366">
        <f t="shared" si="83"/>
        <v>2014</v>
      </c>
    </row>
    <row r="5367" spans="1:9">
      <c r="A5367" s="1">
        <v>10174</v>
      </c>
      <c r="B5367" s="1">
        <v>10</v>
      </c>
      <c r="C5367" s="2">
        <v>41756</v>
      </c>
      <c r="D5367" s="1" t="s">
        <v>2002</v>
      </c>
      <c r="E5367" s="1">
        <v>103766</v>
      </c>
      <c r="F5367" s="6" t="s">
        <v>7369</v>
      </c>
      <c r="G5367" s="15" t="str">
        <f>VLOOKUP(A5367,Movie!A:D,4,FALSE)</f>
        <v>Universal</v>
      </c>
      <c r="H5367" s="14">
        <f>VLOOKUP(E5367,'Rental Transaction'!A:B,2,FALSE)</f>
        <v>384899</v>
      </c>
      <c r="I5367">
        <f t="shared" si="83"/>
        <v>2014</v>
      </c>
    </row>
    <row r="5368" spans="1:9">
      <c r="A5368" s="1">
        <v>10202</v>
      </c>
      <c r="B5368" s="1">
        <v>7</v>
      </c>
      <c r="C5368" s="2">
        <v>41755</v>
      </c>
      <c r="D5368" s="1" t="s">
        <v>2002</v>
      </c>
      <c r="E5368" s="1">
        <v>103770</v>
      </c>
      <c r="F5368" s="6" t="s">
        <v>7370</v>
      </c>
      <c r="G5368" s="15" t="str">
        <f>VLOOKUP(A5368,Movie!A:D,4,FALSE)</f>
        <v>Warner Brothers</v>
      </c>
      <c r="H5368" s="14">
        <f>VLOOKUP(E5368,'Rental Transaction'!A:B,2,FALSE)</f>
        <v>170500</v>
      </c>
      <c r="I5368">
        <f t="shared" si="83"/>
        <v>2014</v>
      </c>
    </row>
    <row r="5369" spans="1:9">
      <c r="A5369" s="1">
        <v>10199</v>
      </c>
      <c r="B5369" s="1">
        <v>1</v>
      </c>
      <c r="C5369" s="2">
        <v>41756</v>
      </c>
      <c r="D5369" s="1" t="s">
        <v>2002</v>
      </c>
      <c r="E5369" s="1">
        <v>103770</v>
      </c>
      <c r="F5369" s="6" t="s">
        <v>7371</v>
      </c>
      <c r="G5369" s="15" t="str">
        <f>VLOOKUP(A5369,Movie!A:D,4,FALSE)</f>
        <v>Lionsgate</v>
      </c>
      <c r="H5369" s="14">
        <f>VLOOKUP(E5369,'Rental Transaction'!A:B,2,FALSE)</f>
        <v>170500</v>
      </c>
      <c r="I5369">
        <f t="shared" si="83"/>
        <v>2014</v>
      </c>
    </row>
    <row r="5370" spans="1:9">
      <c r="A5370" s="1">
        <v>10097</v>
      </c>
      <c r="B5370" s="1">
        <v>10</v>
      </c>
      <c r="C5370" s="2">
        <v>41756</v>
      </c>
      <c r="D5370" s="1" t="s">
        <v>2002</v>
      </c>
      <c r="E5370" s="1">
        <v>103773</v>
      </c>
      <c r="F5370" s="6" t="s">
        <v>7372</v>
      </c>
      <c r="G5370" s="15" t="str">
        <f>VLOOKUP(A5370,Movie!A:D,4,FALSE)</f>
        <v>Screen Gems</v>
      </c>
      <c r="H5370" s="14">
        <f>VLOOKUP(E5370,'Rental Transaction'!A:B,2,FALSE)</f>
        <v>422717</v>
      </c>
      <c r="I5370">
        <f t="shared" si="83"/>
        <v>2014</v>
      </c>
    </row>
    <row r="5371" spans="1:9">
      <c r="A5371" s="1">
        <v>10141</v>
      </c>
      <c r="B5371" s="1">
        <v>10</v>
      </c>
      <c r="C5371" s="2">
        <v>41757</v>
      </c>
      <c r="D5371" s="1" t="s">
        <v>2002</v>
      </c>
      <c r="E5371" s="1">
        <v>103774</v>
      </c>
      <c r="F5371" s="6" t="s">
        <v>7373</v>
      </c>
      <c r="G5371" s="15" t="str">
        <f>VLOOKUP(A5371,Movie!A:D,4,FALSE)</f>
        <v>Warner Brothers</v>
      </c>
      <c r="H5371" s="14">
        <f>VLOOKUP(E5371,'Rental Transaction'!A:B,2,FALSE)</f>
        <v>559688</v>
      </c>
      <c r="I5371">
        <f t="shared" si="83"/>
        <v>2014</v>
      </c>
    </row>
    <row r="5372" spans="1:9">
      <c r="A5372" s="1">
        <v>10201</v>
      </c>
      <c r="B5372" s="1">
        <v>5</v>
      </c>
      <c r="C5372" s="2">
        <v>41755</v>
      </c>
      <c r="D5372" s="1" t="s">
        <v>2002</v>
      </c>
      <c r="E5372" s="1">
        <v>103774</v>
      </c>
      <c r="F5372" s="6" t="s">
        <v>7374</v>
      </c>
      <c r="G5372" s="15" t="str">
        <f>VLOOKUP(A5372,Movie!A:D,4,FALSE)</f>
        <v>Screen Gems</v>
      </c>
      <c r="H5372" s="14">
        <f>VLOOKUP(E5372,'Rental Transaction'!A:B,2,FALSE)</f>
        <v>559688</v>
      </c>
      <c r="I5372">
        <f t="shared" si="83"/>
        <v>2014</v>
      </c>
    </row>
    <row r="5373" spans="1:9">
      <c r="A5373" s="1">
        <v>10250</v>
      </c>
      <c r="B5373" s="1">
        <v>9</v>
      </c>
      <c r="C5373" s="2">
        <v>41755</v>
      </c>
      <c r="D5373" s="1" t="s">
        <v>2005</v>
      </c>
      <c r="E5373" s="1">
        <v>103774</v>
      </c>
      <c r="F5373" s="6" t="s">
        <v>7375</v>
      </c>
      <c r="G5373" s="15" t="str">
        <f>VLOOKUP(A5373,Movie!A:D,4,FALSE)</f>
        <v>Buena Vista</v>
      </c>
      <c r="H5373" s="14">
        <f>VLOOKUP(E5373,'Rental Transaction'!A:B,2,FALSE)</f>
        <v>559688</v>
      </c>
      <c r="I5373">
        <f t="shared" si="83"/>
        <v>2014</v>
      </c>
    </row>
    <row r="5374" spans="1:9">
      <c r="A5374" s="1">
        <v>10148</v>
      </c>
      <c r="B5374" s="1">
        <v>1</v>
      </c>
      <c r="C5374" s="2">
        <v>41757</v>
      </c>
      <c r="D5374" s="1" t="s">
        <v>2005</v>
      </c>
      <c r="E5374" s="1">
        <v>103778</v>
      </c>
      <c r="F5374" s="6" t="s">
        <v>7376</v>
      </c>
      <c r="G5374" s="15" t="str">
        <f>VLOOKUP(A5374,Movie!A:D,4,FALSE)</f>
        <v>Paramount</v>
      </c>
      <c r="H5374" s="14">
        <f>VLOOKUP(E5374,'Rental Transaction'!A:B,2,FALSE)</f>
        <v>409910</v>
      </c>
      <c r="I5374">
        <f t="shared" si="83"/>
        <v>2014</v>
      </c>
    </row>
    <row r="5375" spans="1:9">
      <c r="A5375" s="1">
        <v>10146</v>
      </c>
      <c r="B5375" s="1">
        <v>2</v>
      </c>
      <c r="C5375" s="2">
        <v>41757</v>
      </c>
      <c r="D5375" s="1" t="s">
        <v>2002</v>
      </c>
      <c r="E5375" s="1">
        <v>103778</v>
      </c>
      <c r="F5375" s="6" t="s">
        <v>7377</v>
      </c>
      <c r="G5375" s="15" t="str">
        <f>VLOOKUP(A5375,Movie!A:D,4,FALSE)</f>
        <v>Sony</v>
      </c>
      <c r="H5375" s="14">
        <f>VLOOKUP(E5375,'Rental Transaction'!A:B,2,FALSE)</f>
        <v>409910</v>
      </c>
      <c r="I5375">
        <f t="shared" si="83"/>
        <v>2014</v>
      </c>
    </row>
    <row r="5376" spans="1:9">
      <c r="A5376" s="1">
        <v>10257</v>
      </c>
      <c r="B5376" s="1">
        <v>9</v>
      </c>
      <c r="C5376" s="2">
        <v>41757</v>
      </c>
      <c r="D5376" s="1" t="s">
        <v>2002</v>
      </c>
      <c r="E5376" s="1">
        <v>103781</v>
      </c>
      <c r="F5376" s="6" t="s">
        <v>7378</v>
      </c>
      <c r="G5376" s="15" t="str">
        <f>VLOOKUP(A5376,Movie!A:D,4,FALSE)</f>
        <v>Fox</v>
      </c>
      <c r="H5376" s="14">
        <f>VLOOKUP(E5376,'Rental Transaction'!A:B,2,FALSE)</f>
        <v>678940</v>
      </c>
      <c r="I5376">
        <f t="shared" si="83"/>
        <v>2014</v>
      </c>
    </row>
    <row r="5377" spans="1:9">
      <c r="A5377" s="1">
        <v>10102</v>
      </c>
      <c r="B5377" s="1">
        <v>10</v>
      </c>
      <c r="C5377" s="2">
        <v>41757</v>
      </c>
      <c r="D5377" s="1" t="s">
        <v>2002</v>
      </c>
      <c r="E5377" s="1">
        <v>103782</v>
      </c>
      <c r="F5377" s="6" t="s">
        <v>7379</v>
      </c>
      <c r="G5377" s="15" t="str">
        <f>VLOOKUP(A5377,Movie!A:D,4,FALSE)</f>
        <v>Universal</v>
      </c>
      <c r="H5377" s="14">
        <f>VLOOKUP(E5377,'Rental Transaction'!A:B,2,FALSE)</f>
        <v>885548</v>
      </c>
      <c r="I5377">
        <f t="shared" si="83"/>
        <v>2014</v>
      </c>
    </row>
    <row r="5378" spans="1:9">
      <c r="A5378" s="1">
        <v>10167</v>
      </c>
      <c r="B5378" s="1">
        <v>2</v>
      </c>
      <c r="C5378" s="2">
        <v>41758</v>
      </c>
      <c r="D5378" s="1" t="s">
        <v>2005</v>
      </c>
      <c r="E5378" s="1">
        <v>103784</v>
      </c>
      <c r="F5378" s="6" t="s">
        <v>7380</v>
      </c>
      <c r="G5378" s="15" t="str">
        <f>VLOOKUP(A5378,Movie!A:D,4,FALSE)</f>
        <v>Universal</v>
      </c>
      <c r="H5378" s="14">
        <f>VLOOKUP(E5378,'Rental Transaction'!A:B,2,FALSE)</f>
        <v>994056</v>
      </c>
      <c r="I5378">
        <f t="shared" si="83"/>
        <v>2014</v>
      </c>
    </row>
    <row r="5379" spans="1:9">
      <c r="A5379" s="1">
        <v>10051</v>
      </c>
      <c r="B5379" s="1">
        <v>5</v>
      </c>
      <c r="C5379" s="2">
        <v>41759</v>
      </c>
      <c r="D5379" s="1" t="s">
        <v>2005</v>
      </c>
      <c r="E5379" s="1">
        <v>103785</v>
      </c>
      <c r="F5379" s="6" t="s">
        <v>7381</v>
      </c>
      <c r="G5379" s="15" t="str">
        <f>VLOOKUP(A5379,Movie!A:D,4,FALSE)</f>
        <v>Paramount</v>
      </c>
      <c r="H5379" s="14">
        <f>VLOOKUP(E5379,'Rental Transaction'!A:B,2,FALSE)</f>
        <v>235720</v>
      </c>
      <c r="I5379">
        <f t="shared" ref="I5379:I5442" si="84">YEAR(C5379)</f>
        <v>2014</v>
      </c>
    </row>
    <row r="5380" spans="1:9">
      <c r="A5380" s="1">
        <v>10133</v>
      </c>
      <c r="B5380" s="1">
        <v>5</v>
      </c>
      <c r="C5380" s="2">
        <v>41758</v>
      </c>
      <c r="D5380" s="1" t="s">
        <v>2002</v>
      </c>
      <c r="E5380" s="1">
        <v>103785</v>
      </c>
      <c r="F5380" s="6" t="s">
        <v>7382</v>
      </c>
      <c r="G5380" s="15" t="str">
        <f>VLOOKUP(A5380,Movie!A:D,4,FALSE)</f>
        <v>Fox</v>
      </c>
      <c r="H5380" s="14">
        <f>VLOOKUP(E5380,'Rental Transaction'!A:B,2,FALSE)</f>
        <v>235720</v>
      </c>
      <c r="I5380">
        <f t="shared" si="84"/>
        <v>2014</v>
      </c>
    </row>
    <row r="5381" spans="1:9">
      <c r="A5381" s="1">
        <v>10092</v>
      </c>
      <c r="B5381" s="1">
        <v>4</v>
      </c>
      <c r="C5381" s="2">
        <v>41758</v>
      </c>
      <c r="D5381" s="1" t="s">
        <v>2002</v>
      </c>
      <c r="E5381" s="1">
        <v>103785</v>
      </c>
      <c r="F5381" s="6" t="s">
        <v>7383</v>
      </c>
      <c r="G5381" s="15" t="str">
        <f>VLOOKUP(A5381,Movie!A:D,4,FALSE)</f>
        <v>Warner Brothers</v>
      </c>
      <c r="H5381" s="14">
        <f>VLOOKUP(E5381,'Rental Transaction'!A:B,2,FALSE)</f>
        <v>235720</v>
      </c>
      <c r="I5381">
        <f t="shared" si="84"/>
        <v>2014</v>
      </c>
    </row>
    <row r="5382" spans="1:9">
      <c r="A5382" s="1">
        <v>10196</v>
      </c>
      <c r="B5382" s="1">
        <v>4</v>
      </c>
      <c r="C5382" s="2">
        <v>41757</v>
      </c>
      <c r="D5382" s="1" t="s">
        <v>2005</v>
      </c>
      <c r="E5382" s="1">
        <v>103791</v>
      </c>
      <c r="F5382" s="6" t="s">
        <v>7384</v>
      </c>
      <c r="G5382" s="15" t="str">
        <f>VLOOKUP(A5382,Movie!A:D,4,FALSE)</f>
        <v>Fox</v>
      </c>
      <c r="H5382" s="14">
        <f>VLOOKUP(E5382,'Rental Transaction'!A:B,2,FALSE)</f>
        <v>976778</v>
      </c>
      <c r="I5382">
        <f t="shared" si="84"/>
        <v>2014</v>
      </c>
    </row>
    <row r="5383" spans="1:9">
      <c r="A5383" s="1">
        <v>10181</v>
      </c>
      <c r="B5383" s="1">
        <v>8</v>
      </c>
      <c r="C5383" s="2">
        <v>41758</v>
      </c>
      <c r="D5383" s="1" t="s">
        <v>2002</v>
      </c>
      <c r="E5383" s="1">
        <v>103791</v>
      </c>
      <c r="F5383" s="6" t="s">
        <v>7385</v>
      </c>
      <c r="G5383" s="15" t="str">
        <f>VLOOKUP(A5383,Movie!A:D,4,FALSE)</f>
        <v>Fox</v>
      </c>
      <c r="H5383" s="14">
        <f>VLOOKUP(E5383,'Rental Transaction'!A:B,2,FALSE)</f>
        <v>976778</v>
      </c>
      <c r="I5383">
        <f t="shared" si="84"/>
        <v>2014</v>
      </c>
    </row>
    <row r="5384" spans="1:9">
      <c r="A5384" s="1">
        <v>10198</v>
      </c>
      <c r="B5384" s="1">
        <v>6</v>
      </c>
      <c r="C5384" s="2">
        <v>41758</v>
      </c>
      <c r="D5384" s="1" t="s">
        <v>2002</v>
      </c>
      <c r="E5384" s="1">
        <v>103792</v>
      </c>
      <c r="F5384" s="6" t="s">
        <v>7386</v>
      </c>
      <c r="G5384" s="15" t="str">
        <f>VLOOKUP(A5384,Movie!A:D,4,FALSE)</f>
        <v>Fox</v>
      </c>
      <c r="H5384" s="14">
        <f>VLOOKUP(E5384,'Rental Transaction'!A:B,2,FALSE)</f>
        <v>714947</v>
      </c>
      <c r="I5384">
        <f t="shared" si="84"/>
        <v>2014</v>
      </c>
    </row>
    <row r="5385" spans="1:9">
      <c r="A5385" s="1">
        <v>10040</v>
      </c>
      <c r="B5385" s="1">
        <v>9</v>
      </c>
      <c r="C5385" s="2">
        <v>41760</v>
      </c>
      <c r="D5385" s="1" t="s">
        <v>2005</v>
      </c>
      <c r="E5385" s="1">
        <v>103793</v>
      </c>
      <c r="F5385" s="6" t="s">
        <v>7387</v>
      </c>
      <c r="G5385" s="15" t="str">
        <f>VLOOKUP(A5385,Movie!A:D,4,FALSE)</f>
        <v>Universal</v>
      </c>
      <c r="H5385" s="14">
        <f>VLOOKUP(E5385,'Rental Transaction'!A:B,2,FALSE)</f>
        <v>992895</v>
      </c>
      <c r="I5385">
        <f t="shared" si="84"/>
        <v>2014</v>
      </c>
    </row>
    <row r="5386" spans="1:9">
      <c r="A5386" s="1">
        <v>10200</v>
      </c>
      <c r="B5386" s="1">
        <v>3</v>
      </c>
      <c r="C5386" s="2">
        <v>41760</v>
      </c>
      <c r="D5386" s="1" t="s">
        <v>2002</v>
      </c>
      <c r="E5386" s="1">
        <v>103794</v>
      </c>
      <c r="F5386" s="6" t="s">
        <v>7388</v>
      </c>
      <c r="G5386" s="15" t="str">
        <f>VLOOKUP(A5386,Movie!A:D,4,FALSE)</f>
        <v>Fox</v>
      </c>
      <c r="H5386" s="14">
        <f>VLOOKUP(E5386,'Rental Transaction'!A:B,2,FALSE)</f>
        <v>414509</v>
      </c>
      <c r="I5386">
        <f t="shared" si="84"/>
        <v>2014</v>
      </c>
    </row>
    <row r="5387" spans="1:9">
      <c r="A5387" s="1">
        <v>10234</v>
      </c>
      <c r="B5387" s="1">
        <v>8</v>
      </c>
      <c r="C5387" s="2">
        <v>41758</v>
      </c>
      <c r="D5387" s="1" t="s">
        <v>2002</v>
      </c>
      <c r="E5387" s="1">
        <v>103794</v>
      </c>
      <c r="F5387" s="6" t="s">
        <v>7389</v>
      </c>
      <c r="G5387" s="15" t="str">
        <f>VLOOKUP(A5387,Movie!A:D,4,FALSE)</f>
        <v>Warner Brothers</v>
      </c>
      <c r="H5387" s="14">
        <f>VLOOKUP(E5387,'Rental Transaction'!A:B,2,FALSE)</f>
        <v>414509</v>
      </c>
      <c r="I5387">
        <f t="shared" si="84"/>
        <v>2014</v>
      </c>
    </row>
    <row r="5388" spans="1:9">
      <c r="A5388" s="1">
        <v>10101</v>
      </c>
      <c r="B5388" s="1">
        <v>6</v>
      </c>
      <c r="C5388" s="2">
        <v>41759</v>
      </c>
      <c r="D5388" s="1" t="s">
        <v>2002</v>
      </c>
      <c r="E5388" s="1">
        <v>103795</v>
      </c>
      <c r="F5388" s="6" t="s">
        <v>7390</v>
      </c>
      <c r="G5388" s="15" t="str">
        <f>VLOOKUP(A5388,Movie!A:D,4,FALSE)</f>
        <v>Sony</v>
      </c>
      <c r="H5388" s="14">
        <f>VLOOKUP(E5388,'Rental Transaction'!A:B,2,FALSE)</f>
        <v>880238</v>
      </c>
      <c r="I5388">
        <f t="shared" si="84"/>
        <v>2014</v>
      </c>
    </row>
    <row r="5389" spans="1:9">
      <c r="A5389" s="1">
        <v>10228</v>
      </c>
      <c r="B5389" s="1">
        <v>10</v>
      </c>
      <c r="C5389" s="2">
        <v>41758</v>
      </c>
      <c r="D5389" s="1" t="s">
        <v>2002</v>
      </c>
      <c r="E5389" s="1">
        <v>103795</v>
      </c>
      <c r="F5389" s="6" t="s">
        <v>7391</v>
      </c>
      <c r="G5389" s="15" t="str">
        <f>VLOOKUP(A5389,Movie!A:D,4,FALSE)</f>
        <v>Universal</v>
      </c>
      <c r="H5389" s="14">
        <f>VLOOKUP(E5389,'Rental Transaction'!A:B,2,FALSE)</f>
        <v>880238</v>
      </c>
      <c r="I5389">
        <f t="shared" si="84"/>
        <v>2014</v>
      </c>
    </row>
    <row r="5390" spans="1:9">
      <c r="A5390" s="1">
        <v>10297</v>
      </c>
      <c r="B5390" s="1">
        <v>1</v>
      </c>
      <c r="C5390" s="2">
        <v>41760</v>
      </c>
      <c r="D5390" s="1" t="s">
        <v>2002</v>
      </c>
      <c r="E5390" s="1">
        <v>103799</v>
      </c>
      <c r="F5390" s="6" t="s">
        <v>7392</v>
      </c>
      <c r="G5390" s="15" t="str">
        <f>VLOOKUP(A5390,Movie!A:D,4,FALSE)</f>
        <v>Focus</v>
      </c>
      <c r="H5390" s="14">
        <f>VLOOKUP(E5390,'Rental Transaction'!A:B,2,FALSE)</f>
        <v>646700</v>
      </c>
      <c r="I5390">
        <f t="shared" si="84"/>
        <v>2014</v>
      </c>
    </row>
    <row r="5391" spans="1:9">
      <c r="A5391" s="1">
        <v>10256</v>
      </c>
      <c r="B5391" s="1">
        <v>10</v>
      </c>
      <c r="C5391" s="2">
        <v>41759</v>
      </c>
      <c r="D5391" s="1" t="s">
        <v>2002</v>
      </c>
      <c r="E5391" s="1">
        <v>103802</v>
      </c>
      <c r="F5391" s="6" t="s">
        <v>7393</v>
      </c>
      <c r="G5391" s="15" t="str">
        <f>VLOOKUP(A5391,Movie!A:D,4,FALSE)</f>
        <v>Fox</v>
      </c>
      <c r="H5391" s="14">
        <f>VLOOKUP(E5391,'Rental Transaction'!A:B,2,FALSE)</f>
        <v>380003</v>
      </c>
      <c r="I5391">
        <f t="shared" si="84"/>
        <v>2014</v>
      </c>
    </row>
    <row r="5392" spans="1:9">
      <c r="A5392" s="1">
        <v>10207</v>
      </c>
      <c r="B5392" s="1">
        <v>1</v>
      </c>
      <c r="C5392" s="2">
        <v>41759</v>
      </c>
      <c r="D5392" s="1" t="s">
        <v>2005</v>
      </c>
      <c r="E5392" s="1">
        <v>103803</v>
      </c>
      <c r="F5392" s="6" t="s">
        <v>7394</v>
      </c>
      <c r="G5392" s="15" t="str">
        <f>VLOOKUP(A5392,Movie!A:D,4,FALSE)</f>
        <v>Paramount</v>
      </c>
      <c r="H5392" s="14">
        <f>VLOOKUP(E5392,'Rental Transaction'!A:B,2,FALSE)</f>
        <v>676018</v>
      </c>
      <c r="I5392">
        <f t="shared" si="84"/>
        <v>2014</v>
      </c>
    </row>
    <row r="5393" spans="1:9" ht="29.25">
      <c r="A5393" s="1">
        <v>10105</v>
      </c>
      <c r="B5393" s="1">
        <v>3</v>
      </c>
      <c r="C5393" s="2">
        <v>41761</v>
      </c>
      <c r="D5393" s="1" t="s">
        <v>2002</v>
      </c>
      <c r="E5393" s="1">
        <v>103803</v>
      </c>
      <c r="F5393" s="6" t="s">
        <v>7395</v>
      </c>
      <c r="G5393" s="15" t="str">
        <f>VLOOKUP(A5393,Movie!A:D,4,FALSE)</f>
        <v>Weinstein Company</v>
      </c>
      <c r="H5393" s="14">
        <f>VLOOKUP(E5393,'Rental Transaction'!A:B,2,FALSE)</f>
        <v>676018</v>
      </c>
      <c r="I5393">
        <f t="shared" si="84"/>
        <v>2014</v>
      </c>
    </row>
    <row r="5394" spans="1:9">
      <c r="A5394" s="1">
        <v>10292</v>
      </c>
      <c r="B5394" s="1">
        <v>3</v>
      </c>
      <c r="C5394" s="2">
        <v>41759</v>
      </c>
      <c r="D5394" s="1" t="s">
        <v>2005</v>
      </c>
      <c r="E5394" s="1">
        <v>103805</v>
      </c>
      <c r="F5394" s="6" t="s">
        <v>7396</v>
      </c>
      <c r="G5394" s="15" t="str">
        <f>VLOOKUP(A5394,Movie!A:D,4,FALSE)</f>
        <v>Sony Classics</v>
      </c>
      <c r="H5394" s="14">
        <f>VLOOKUP(E5394,'Rental Transaction'!A:B,2,FALSE)</f>
        <v>742620</v>
      </c>
      <c r="I5394">
        <f t="shared" si="84"/>
        <v>2014</v>
      </c>
    </row>
    <row r="5395" spans="1:9">
      <c r="A5395" s="1">
        <v>10276</v>
      </c>
      <c r="B5395" s="1">
        <v>8</v>
      </c>
      <c r="C5395" s="2">
        <v>41759</v>
      </c>
      <c r="D5395" s="1" t="s">
        <v>2002</v>
      </c>
      <c r="E5395" s="1">
        <v>103805</v>
      </c>
      <c r="F5395" s="6" t="s">
        <v>7397</v>
      </c>
      <c r="G5395" s="15" t="str">
        <f>VLOOKUP(A5395,Movie!A:D,4,FALSE)</f>
        <v>FilmDistrict</v>
      </c>
      <c r="H5395" s="14">
        <f>VLOOKUP(E5395,'Rental Transaction'!A:B,2,FALSE)</f>
        <v>742620</v>
      </c>
      <c r="I5395">
        <f t="shared" si="84"/>
        <v>2014</v>
      </c>
    </row>
    <row r="5396" spans="1:9">
      <c r="A5396" s="1">
        <v>10143</v>
      </c>
      <c r="B5396" s="1">
        <v>1</v>
      </c>
      <c r="C5396" s="2">
        <v>41761</v>
      </c>
      <c r="D5396" s="1" t="s">
        <v>2002</v>
      </c>
      <c r="E5396" s="1">
        <v>103807</v>
      </c>
      <c r="F5396" s="6" t="s">
        <v>7398</v>
      </c>
      <c r="G5396" s="15" t="str">
        <f>VLOOKUP(A5396,Movie!A:D,4,FALSE)</f>
        <v>Buena Vista</v>
      </c>
      <c r="H5396" s="14">
        <f>VLOOKUP(E5396,'Rental Transaction'!A:B,2,FALSE)</f>
        <v>730305</v>
      </c>
      <c r="I5396">
        <f t="shared" si="84"/>
        <v>2014</v>
      </c>
    </row>
    <row r="5397" spans="1:9">
      <c r="A5397" s="1">
        <v>10211</v>
      </c>
      <c r="B5397" s="1">
        <v>5</v>
      </c>
      <c r="C5397" s="2">
        <v>41761</v>
      </c>
      <c r="D5397" s="1" t="s">
        <v>2002</v>
      </c>
      <c r="E5397" s="1">
        <v>103810</v>
      </c>
      <c r="F5397" s="6" t="s">
        <v>7399</v>
      </c>
      <c r="G5397" s="15" t="str">
        <f>VLOOKUP(A5397,Movie!A:D,4,FALSE)</f>
        <v>Buena Vista</v>
      </c>
      <c r="H5397" s="14">
        <f>VLOOKUP(E5397,'Rental Transaction'!A:B,2,FALSE)</f>
        <v>892883</v>
      </c>
      <c r="I5397">
        <f t="shared" si="84"/>
        <v>2014</v>
      </c>
    </row>
    <row r="5398" spans="1:9">
      <c r="A5398" s="1">
        <v>10253</v>
      </c>
      <c r="B5398" s="1">
        <v>8</v>
      </c>
      <c r="C5398" s="2">
        <v>41760</v>
      </c>
      <c r="D5398" s="1" t="s">
        <v>2005</v>
      </c>
      <c r="E5398" s="1">
        <v>103810</v>
      </c>
      <c r="F5398" s="6" t="s">
        <v>7400</v>
      </c>
      <c r="G5398" s="15" t="str">
        <f>VLOOKUP(A5398,Movie!A:D,4,FALSE)</f>
        <v>Buena Vista</v>
      </c>
      <c r="H5398" s="14">
        <f>VLOOKUP(E5398,'Rental Transaction'!A:B,2,FALSE)</f>
        <v>892883</v>
      </c>
      <c r="I5398">
        <f t="shared" si="84"/>
        <v>2014</v>
      </c>
    </row>
    <row r="5399" spans="1:9">
      <c r="A5399" s="1">
        <v>10279</v>
      </c>
      <c r="B5399" s="1">
        <v>5</v>
      </c>
      <c r="C5399" s="2">
        <v>41761</v>
      </c>
      <c r="D5399" s="1" t="s">
        <v>2005</v>
      </c>
      <c r="E5399" s="1">
        <v>103812</v>
      </c>
      <c r="F5399" s="6" t="s">
        <v>7401</v>
      </c>
      <c r="G5399" s="15" t="str">
        <f>VLOOKUP(A5399,Movie!A:D,4,FALSE)</f>
        <v>Screen Gems</v>
      </c>
      <c r="H5399" s="14">
        <f>VLOOKUP(E5399,'Rental Transaction'!A:B,2,FALSE)</f>
        <v>194680</v>
      </c>
      <c r="I5399">
        <f t="shared" si="84"/>
        <v>2014</v>
      </c>
    </row>
    <row r="5400" spans="1:9">
      <c r="A5400" s="1">
        <v>10247</v>
      </c>
      <c r="B5400" s="1">
        <v>3</v>
      </c>
      <c r="C5400" s="2">
        <v>41761</v>
      </c>
      <c r="D5400" s="1" t="s">
        <v>2002</v>
      </c>
      <c r="E5400" s="1">
        <v>103814</v>
      </c>
      <c r="F5400" s="6" t="s">
        <v>7402</v>
      </c>
      <c r="G5400" s="15" t="str">
        <f>VLOOKUP(A5400,Movie!A:D,4,FALSE)</f>
        <v>Fox</v>
      </c>
      <c r="H5400" s="14">
        <f>VLOOKUP(E5400,'Rental Transaction'!A:B,2,FALSE)</f>
        <v>846558</v>
      </c>
      <c r="I5400">
        <f t="shared" si="84"/>
        <v>2014</v>
      </c>
    </row>
    <row r="5401" spans="1:9">
      <c r="A5401" s="1">
        <v>10266</v>
      </c>
      <c r="B5401" s="1">
        <v>7</v>
      </c>
      <c r="C5401" s="2">
        <v>41763</v>
      </c>
      <c r="D5401" s="1" t="s">
        <v>2002</v>
      </c>
      <c r="E5401" s="1">
        <v>103816</v>
      </c>
      <c r="F5401" s="6" t="s">
        <v>7403</v>
      </c>
      <c r="G5401" s="15" t="str">
        <f>VLOOKUP(A5401,Movie!A:D,4,FALSE)</f>
        <v>Sony</v>
      </c>
      <c r="H5401" s="14">
        <f>VLOOKUP(E5401,'Rental Transaction'!A:B,2,FALSE)</f>
        <v>482274</v>
      </c>
      <c r="I5401">
        <f t="shared" si="84"/>
        <v>2014</v>
      </c>
    </row>
    <row r="5402" spans="1:9">
      <c r="A5402" s="1">
        <v>10153</v>
      </c>
      <c r="B5402" s="1">
        <v>7</v>
      </c>
      <c r="C5402" s="2">
        <v>41761</v>
      </c>
      <c r="D5402" s="1" t="s">
        <v>2002</v>
      </c>
      <c r="E5402" s="1">
        <v>103818</v>
      </c>
      <c r="F5402" s="6" t="s">
        <v>7404</v>
      </c>
      <c r="G5402" s="15" t="str">
        <f>VLOOKUP(A5402,Movie!A:D,4,FALSE)</f>
        <v>Lionsgate</v>
      </c>
      <c r="H5402" s="14">
        <f>VLOOKUP(E5402,'Rental Transaction'!A:B,2,FALSE)</f>
        <v>441628</v>
      </c>
      <c r="I5402">
        <f t="shared" si="84"/>
        <v>2014</v>
      </c>
    </row>
    <row r="5403" spans="1:9">
      <c r="A5403" s="1">
        <v>10104</v>
      </c>
      <c r="B5403" s="1">
        <v>2</v>
      </c>
      <c r="C5403" s="2">
        <v>41761</v>
      </c>
      <c r="D5403" s="1" t="s">
        <v>2005</v>
      </c>
      <c r="E5403" s="1">
        <v>103819</v>
      </c>
      <c r="F5403" s="6" t="s">
        <v>7405</v>
      </c>
      <c r="G5403" s="15" t="str">
        <f>VLOOKUP(A5403,Movie!A:D,4,FALSE)</f>
        <v>Universal</v>
      </c>
      <c r="H5403" s="14">
        <f>VLOOKUP(E5403,'Rental Transaction'!A:B,2,FALSE)</f>
        <v>789065</v>
      </c>
      <c r="I5403">
        <f t="shared" si="84"/>
        <v>2014</v>
      </c>
    </row>
    <row r="5404" spans="1:9">
      <c r="A5404" s="1">
        <v>10292</v>
      </c>
      <c r="B5404" s="1">
        <v>1</v>
      </c>
      <c r="C5404" s="2">
        <v>41761</v>
      </c>
      <c r="D5404" s="1" t="s">
        <v>2002</v>
      </c>
      <c r="E5404" s="1">
        <v>103820</v>
      </c>
      <c r="F5404" s="6" t="s">
        <v>7406</v>
      </c>
      <c r="G5404" s="15" t="str">
        <f>VLOOKUP(A5404,Movie!A:D,4,FALSE)</f>
        <v>Sony Classics</v>
      </c>
      <c r="H5404" s="14">
        <f>VLOOKUP(E5404,'Rental Transaction'!A:B,2,FALSE)</f>
        <v>101811</v>
      </c>
      <c r="I5404">
        <f t="shared" si="84"/>
        <v>2014</v>
      </c>
    </row>
    <row r="5405" spans="1:9">
      <c r="A5405" s="1">
        <v>10223</v>
      </c>
      <c r="B5405" s="1">
        <v>2</v>
      </c>
      <c r="C5405" s="2">
        <v>41765</v>
      </c>
      <c r="D5405" s="1" t="s">
        <v>2002</v>
      </c>
      <c r="E5405" s="1">
        <v>103821</v>
      </c>
      <c r="F5405" s="6" t="s">
        <v>7407</v>
      </c>
      <c r="G5405" s="15" t="str">
        <f>VLOOKUP(A5405,Movie!A:D,4,FALSE)</f>
        <v>Universal</v>
      </c>
      <c r="H5405" s="14">
        <f>VLOOKUP(E5405,'Rental Transaction'!A:B,2,FALSE)</f>
        <v>808421</v>
      </c>
      <c r="I5405">
        <f t="shared" si="84"/>
        <v>2014</v>
      </c>
    </row>
    <row r="5406" spans="1:9">
      <c r="A5406" s="1">
        <v>10167</v>
      </c>
      <c r="B5406" s="1">
        <v>3</v>
      </c>
      <c r="C5406" s="2">
        <v>41764</v>
      </c>
      <c r="D5406" s="1" t="s">
        <v>2005</v>
      </c>
      <c r="E5406" s="1">
        <v>103821</v>
      </c>
      <c r="F5406" s="6" t="s">
        <v>7408</v>
      </c>
      <c r="G5406" s="15" t="str">
        <f>VLOOKUP(A5406,Movie!A:D,4,FALSE)</f>
        <v>Universal</v>
      </c>
      <c r="H5406" s="14">
        <f>VLOOKUP(E5406,'Rental Transaction'!A:B,2,FALSE)</f>
        <v>808421</v>
      </c>
      <c r="I5406">
        <f t="shared" si="84"/>
        <v>2014</v>
      </c>
    </row>
    <row r="5407" spans="1:9">
      <c r="A5407" s="1">
        <v>10236</v>
      </c>
      <c r="B5407" s="1">
        <v>1</v>
      </c>
      <c r="C5407" s="2">
        <v>41763</v>
      </c>
      <c r="D5407" s="1" t="s">
        <v>2002</v>
      </c>
      <c r="E5407" s="1">
        <v>103822</v>
      </c>
      <c r="F5407" s="6" t="s">
        <v>7409</v>
      </c>
      <c r="G5407" s="15" t="str">
        <f>VLOOKUP(A5407,Movie!A:D,4,FALSE)</f>
        <v>Lionsgate</v>
      </c>
      <c r="H5407" s="14">
        <f>VLOOKUP(E5407,'Rental Transaction'!A:B,2,FALSE)</f>
        <v>728908</v>
      </c>
      <c r="I5407">
        <f t="shared" si="84"/>
        <v>2014</v>
      </c>
    </row>
    <row r="5408" spans="1:9">
      <c r="A5408" s="1">
        <v>10158</v>
      </c>
      <c r="B5408" s="1">
        <v>10</v>
      </c>
      <c r="C5408" s="2">
        <v>41762</v>
      </c>
      <c r="D5408" s="1" t="s">
        <v>2002</v>
      </c>
      <c r="E5408" s="1">
        <v>103824</v>
      </c>
      <c r="F5408" s="6" t="s">
        <v>7410</v>
      </c>
      <c r="G5408" s="15" t="str">
        <f>VLOOKUP(A5408,Movie!A:D,4,FALSE)</f>
        <v>Warner Brothers</v>
      </c>
      <c r="H5408" s="14">
        <f>VLOOKUP(E5408,'Rental Transaction'!A:B,2,FALSE)</f>
        <v>670707</v>
      </c>
      <c r="I5408">
        <f t="shared" si="84"/>
        <v>2014</v>
      </c>
    </row>
    <row r="5409" spans="1:9" ht="29.25">
      <c r="A5409" s="1">
        <v>10136</v>
      </c>
      <c r="B5409" s="1">
        <v>9</v>
      </c>
      <c r="C5409" s="2">
        <v>41764</v>
      </c>
      <c r="D5409" s="1" t="s">
        <v>2002</v>
      </c>
      <c r="E5409" s="1">
        <v>103824</v>
      </c>
      <c r="F5409" s="6" t="s">
        <v>7411</v>
      </c>
      <c r="G5409" s="15" t="str">
        <f>VLOOKUP(A5409,Movie!A:D,4,FALSE)</f>
        <v>Weinstein Company</v>
      </c>
      <c r="H5409" s="14">
        <f>VLOOKUP(E5409,'Rental Transaction'!A:B,2,FALSE)</f>
        <v>670707</v>
      </c>
      <c r="I5409">
        <f t="shared" si="84"/>
        <v>2014</v>
      </c>
    </row>
    <row r="5410" spans="1:9">
      <c r="A5410" s="1">
        <v>10265</v>
      </c>
      <c r="B5410" s="1">
        <v>10</v>
      </c>
      <c r="C5410" s="2">
        <v>41762</v>
      </c>
      <c r="D5410" s="1" t="s">
        <v>2002</v>
      </c>
      <c r="E5410" s="1">
        <v>103824</v>
      </c>
      <c r="F5410" s="6" t="s">
        <v>7412</v>
      </c>
      <c r="G5410" s="15" t="str">
        <f>VLOOKUP(A5410,Movie!A:D,4,FALSE)</f>
        <v>Warner Brothers</v>
      </c>
      <c r="H5410" s="14">
        <f>VLOOKUP(E5410,'Rental Transaction'!A:B,2,FALSE)</f>
        <v>670707</v>
      </c>
      <c r="I5410">
        <f t="shared" si="84"/>
        <v>2014</v>
      </c>
    </row>
    <row r="5411" spans="1:9">
      <c r="A5411" s="1">
        <v>10278</v>
      </c>
      <c r="B5411" s="1">
        <v>6</v>
      </c>
      <c r="C5411" s="2">
        <v>41764</v>
      </c>
      <c r="D5411" s="1" t="s">
        <v>2002</v>
      </c>
      <c r="E5411" s="1">
        <v>103825</v>
      </c>
      <c r="F5411" s="6" t="s">
        <v>7413</v>
      </c>
      <c r="G5411" s="15" t="str">
        <f>VLOOKUP(A5411,Movie!A:D,4,FALSE)</f>
        <v>Universal</v>
      </c>
      <c r="H5411" s="14">
        <f>VLOOKUP(E5411,'Rental Transaction'!A:B,2,FALSE)</f>
        <v>556152</v>
      </c>
      <c r="I5411">
        <f t="shared" si="84"/>
        <v>2014</v>
      </c>
    </row>
    <row r="5412" spans="1:9">
      <c r="A5412" s="1">
        <v>10166</v>
      </c>
      <c r="B5412" s="1">
        <v>2</v>
      </c>
      <c r="C5412" s="2">
        <v>41762</v>
      </c>
      <c r="D5412" s="1" t="s">
        <v>2002</v>
      </c>
      <c r="E5412" s="1">
        <v>103825</v>
      </c>
      <c r="F5412" s="6" t="s">
        <v>7414</v>
      </c>
      <c r="G5412" s="15" t="str">
        <f>VLOOKUP(A5412,Movie!A:D,4,FALSE)</f>
        <v>Fox</v>
      </c>
      <c r="H5412" s="14">
        <f>VLOOKUP(E5412,'Rental Transaction'!A:B,2,FALSE)</f>
        <v>556152</v>
      </c>
      <c r="I5412">
        <f t="shared" si="84"/>
        <v>2014</v>
      </c>
    </row>
    <row r="5413" spans="1:9">
      <c r="A5413" s="1">
        <v>10376</v>
      </c>
      <c r="B5413" s="1">
        <v>7</v>
      </c>
      <c r="C5413" s="2">
        <v>41762</v>
      </c>
      <c r="D5413" s="1" t="s">
        <v>2002</v>
      </c>
      <c r="E5413" s="1">
        <v>103827</v>
      </c>
      <c r="F5413" s="6" t="s">
        <v>7415</v>
      </c>
      <c r="G5413" s="15" t="str">
        <f>VLOOKUP(A5413,Movie!A:D,4,FALSE)</f>
        <v>Relativity</v>
      </c>
      <c r="H5413" s="14">
        <f>VLOOKUP(E5413,'Rental Transaction'!A:B,2,FALSE)</f>
        <v>785444</v>
      </c>
      <c r="I5413">
        <f t="shared" si="84"/>
        <v>2014</v>
      </c>
    </row>
    <row r="5414" spans="1:9">
      <c r="A5414" s="1">
        <v>10158</v>
      </c>
      <c r="B5414" s="1">
        <v>7</v>
      </c>
      <c r="C5414" s="2">
        <v>41762</v>
      </c>
      <c r="D5414" s="1" t="s">
        <v>2002</v>
      </c>
      <c r="E5414" s="1">
        <v>103827</v>
      </c>
      <c r="F5414" s="6" t="s">
        <v>7416</v>
      </c>
      <c r="G5414" s="15" t="str">
        <f>VLOOKUP(A5414,Movie!A:D,4,FALSE)</f>
        <v>Warner Brothers</v>
      </c>
      <c r="H5414" s="14">
        <f>VLOOKUP(E5414,'Rental Transaction'!A:B,2,FALSE)</f>
        <v>785444</v>
      </c>
      <c r="I5414">
        <f t="shared" si="84"/>
        <v>2014</v>
      </c>
    </row>
    <row r="5415" spans="1:9">
      <c r="A5415" s="1">
        <v>10197</v>
      </c>
      <c r="B5415" s="1">
        <v>6</v>
      </c>
      <c r="C5415" s="2">
        <v>41765</v>
      </c>
      <c r="D5415" s="1" t="s">
        <v>2002</v>
      </c>
      <c r="E5415" s="1">
        <v>103829</v>
      </c>
      <c r="F5415" s="6" t="s">
        <v>7417</v>
      </c>
      <c r="G5415" s="15" t="str">
        <f>VLOOKUP(A5415,Movie!A:D,4,FALSE)</f>
        <v>Warner Brothers</v>
      </c>
      <c r="H5415" s="14">
        <f>VLOOKUP(E5415,'Rental Transaction'!A:B,2,FALSE)</f>
        <v>785444</v>
      </c>
      <c r="I5415">
        <f t="shared" si="84"/>
        <v>2014</v>
      </c>
    </row>
    <row r="5416" spans="1:9">
      <c r="A5416" s="1">
        <v>10079</v>
      </c>
      <c r="B5416" s="1">
        <v>9</v>
      </c>
      <c r="C5416" s="2">
        <v>41763</v>
      </c>
      <c r="D5416" s="1" t="s">
        <v>2005</v>
      </c>
      <c r="E5416" s="1">
        <v>103831</v>
      </c>
      <c r="F5416" s="6" t="s">
        <v>7418</v>
      </c>
      <c r="G5416" s="15" t="str">
        <f>VLOOKUP(A5416,Movie!A:D,4,FALSE)</f>
        <v>Warner Brothers</v>
      </c>
      <c r="H5416" s="14">
        <f>VLOOKUP(E5416,'Rental Transaction'!A:B,2,FALSE)</f>
        <v>707458</v>
      </c>
      <c r="I5416">
        <f t="shared" si="84"/>
        <v>2014</v>
      </c>
    </row>
    <row r="5417" spans="1:9">
      <c r="A5417" s="1">
        <v>10148</v>
      </c>
      <c r="B5417" s="1">
        <v>6</v>
      </c>
      <c r="C5417" s="2">
        <v>41763</v>
      </c>
      <c r="D5417" s="1" t="s">
        <v>2002</v>
      </c>
      <c r="E5417" s="1">
        <v>103832</v>
      </c>
      <c r="F5417" s="6" t="s">
        <v>7419</v>
      </c>
      <c r="G5417" s="15" t="str">
        <f>VLOOKUP(A5417,Movie!A:D,4,FALSE)</f>
        <v>Paramount</v>
      </c>
      <c r="H5417" s="14">
        <f>VLOOKUP(E5417,'Rental Transaction'!A:B,2,FALSE)</f>
        <v>297686</v>
      </c>
      <c r="I5417">
        <f t="shared" si="84"/>
        <v>2014</v>
      </c>
    </row>
    <row r="5418" spans="1:9">
      <c r="A5418" s="1">
        <v>10097</v>
      </c>
      <c r="B5418" s="1">
        <v>8</v>
      </c>
      <c r="C5418" s="2">
        <v>41764</v>
      </c>
      <c r="D5418" s="1" t="s">
        <v>2002</v>
      </c>
      <c r="E5418" s="1">
        <v>103832</v>
      </c>
      <c r="F5418" s="6" t="s">
        <v>7420</v>
      </c>
      <c r="G5418" s="15" t="str">
        <f>VLOOKUP(A5418,Movie!A:D,4,FALSE)</f>
        <v>Screen Gems</v>
      </c>
      <c r="H5418" s="14">
        <f>VLOOKUP(E5418,'Rental Transaction'!A:B,2,FALSE)</f>
        <v>297686</v>
      </c>
      <c r="I5418">
        <f t="shared" si="84"/>
        <v>2014</v>
      </c>
    </row>
    <row r="5419" spans="1:9">
      <c r="A5419" s="1">
        <v>10266</v>
      </c>
      <c r="B5419" s="1">
        <v>5</v>
      </c>
      <c r="C5419" s="2">
        <v>41764</v>
      </c>
      <c r="D5419" s="1" t="s">
        <v>2002</v>
      </c>
      <c r="E5419" s="1">
        <v>103834</v>
      </c>
      <c r="F5419" s="6" t="s">
        <v>7421</v>
      </c>
      <c r="G5419" s="15" t="str">
        <f>VLOOKUP(A5419,Movie!A:D,4,FALSE)</f>
        <v>Sony</v>
      </c>
      <c r="H5419" s="14">
        <f>VLOOKUP(E5419,'Rental Transaction'!A:B,2,FALSE)</f>
        <v>500828</v>
      </c>
      <c r="I5419">
        <f t="shared" si="84"/>
        <v>2014</v>
      </c>
    </row>
    <row r="5420" spans="1:9">
      <c r="A5420" s="1">
        <v>10274</v>
      </c>
      <c r="B5420" s="1">
        <v>1</v>
      </c>
      <c r="C5420" s="2">
        <v>41766</v>
      </c>
      <c r="D5420" s="1" t="s">
        <v>2005</v>
      </c>
      <c r="E5420" s="1">
        <v>103834</v>
      </c>
      <c r="F5420" s="6" t="s">
        <v>7422</v>
      </c>
      <c r="G5420" s="15" t="str">
        <f>VLOOKUP(A5420,Movie!A:D,4,FALSE)</f>
        <v>Fox</v>
      </c>
      <c r="H5420" s="14">
        <f>VLOOKUP(E5420,'Rental Transaction'!A:B,2,FALSE)</f>
        <v>500828</v>
      </c>
      <c r="I5420">
        <f t="shared" si="84"/>
        <v>2014</v>
      </c>
    </row>
    <row r="5421" spans="1:9">
      <c r="A5421" s="1">
        <v>10273</v>
      </c>
      <c r="B5421" s="1">
        <v>6</v>
      </c>
      <c r="C5421" s="2">
        <v>41764</v>
      </c>
      <c r="D5421" s="1" t="s">
        <v>2002</v>
      </c>
      <c r="E5421" s="1">
        <v>103835</v>
      </c>
      <c r="F5421" s="6" t="s">
        <v>7423</v>
      </c>
      <c r="G5421" s="15" t="str">
        <f>VLOOKUP(A5421,Movie!A:D,4,FALSE)</f>
        <v>Sony</v>
      </c>
      <c r="H5421" s="14">
        <f>VLOOKUP(E5421,'Rental Transaction'!A:B,2,FALSE)</f>
        <v>789500</v>
      </c>
      <c r="I5421">
        <f t="shared" si="84"/>
        <v>2014</v>
      </c>
    </row>
    <row r="5422" spans="1:9">
      <c r="A5422" s="1">
        <v>10230</v>
      </c>
      <c r="B5422" s="1">
        <v>1</v>
      </c>
      <c r="C5422" s="2">
        <v>41764</v>
      </c>
      <c r="D5422" s="1" t="s">
        <v>2002</v>
      </c>
      <c r="E5422" s="1">
        <v>103837</v>
      </c>
      <c r="F5422" s="6" t="s">
        <v>7424</v>
      </c>
      <c r="G5422" s="15" t="str">
        <f>VLOOKUP(A5422,Movie!A:D,4,FALSE)</f>
        <v>Focus</v>
      </c>
      <c r="H5422" s="14">
        <f>VLOOKUP(E5422,'Rental Transaction'!A:B,2,FALSE)</f>
        <v>657736</v>
      </c>
      <c r="I5422">
        <f t="shared" si="84"/>
        <v>2014</v>
      </c>
    </row>
    <row r="5423" spans="1:9">
      <c r="A5423" s="1">
        <v>10168</v>
      </c>
      <c r="B5423" s="1">
        <v>10</v>
      </c>
      <c r="C5423" s="2">
        <v>41765</v>
      </c>
      <c r="D5423" s="1" t="s">
        <v>2002</v>
      </c>
      <c r="E5423" s="1">
        <v>103838</v>
      </c>
      <c r="F5423" s="6" t="s">
        <v>7425</v>
      </c>
      <c r="G5423" s="15" t="str">
        <f>VLOOKUP(A5423,Movie!A:D,4,FALSE)</f>
        <v>Paramount</v>
      </c>
      <c r="H5423" s="14">
        <f>VLOOKUP(E5423,'Rental Transaction'!A:B,2,FALSE)</f>
        <v>420981</v>
      </c>
      <c r="I5423">
        <f t="shared" si="84"/>
        <v>2014</v>
      </c>
    </row>
    <row r="5424" spans="1:9">
      <c r="A5424" s="1">
        <v>10230</v>
      </c>
      <c r="B5424" s="1">
        <v>2</v>
      </c>
      <c r="C5424" s="2">
        <v>41769</v>
      </c>
      <c r="D5424" s="1" t="s">
        <v>2002</v>
      </c>
      <c r="E5424" s="1">
        <v>103838</v>
      </c>
      <c r="F5424" s="6" t="s">
        <v>7426</v>
      </c>
      <c r="G5424" s="15" t="str">
        <f>VLOOKUP(A5424,Movie!A:D,4,FALSE)</f>
        <v>Focus</v>
      </c>
      <c r="H5424" s="14">
        <f>VLOOKUP(E5424,'Rental Transaction'!A:B,2,FALSE)</f>
        <v>420981</v>
      </c>
      <c r="I5424">
        <f t="shared" si="84"/>
        <v>2014</v>
      </c>
    </row>
    <row r="5425" spans="1:9">
      <c r="A5425" s="1">
        <v>10181</v>
      </c>
      <c r="B5425" s="1">
        <v>1</v>
      </c>
      <c r="C5425" s="2">
        <v>41764</v>
      </c>
      <c r="D5425" s="1" t="s">
        <v>2005</v>
      </c>
      <c r="E5425" s="1">
        <v>103839</v>
      </c>
      <c r="F5425" s="6" t="s">
        <v>7427</v>
      </c>
      <c r="G5425" s="15" t="str">
        <f>VLOOKUP(A5425,Movie!A:D,4,FALSE)</f>
        <v>Fox</v>
      </c>
      <c r="H5425" s="14">
        <f>VLOOKUP(E5425,'Rental Transaction'!A:B,2,FALSE)</f>
        <v>814512</v>
      </c>
      <c r="I5425">
        <f t="shared" si="84"/>
        <v>2014</v>
      </c>
    </row>
    <row r="5426" spans="1:9">
      <c r="A5426" s="1">
        <v>10293</v>
      </c>
      <c r="B5426" s="1">
        <v>6</v>
      </c>
      <c r="C5426" s="2">
        <v>41764</v>
      </c>
      <c r="D5426" s="1" t="s">
        <v>2002</v>
      </c>
      <c r="E5426" s="1">
        <v>103840</v>
      </c>
      <c r="F5426" s="6" t="s">
        <v>7428</v>
      </c>
      <c r="G5426" s="15" t="str">
        <f>VLOOKUP(A5426,Movie!A:D,4,FALSE)</f>
        <v>Relativity</v>
      </c>
      <c r="H5426" s="14">
        <f>VLOOKUP(E5426,'Rental Transaction'!A:B,2,FALSE)</f>
        <v>757780</v>
      </c>
      <c r="I5426">
        <f t="shared" si="84"/>
        <v>2014</v>
      </c>
    </row>
    <row r="5427" spans="1:9">
      <c r="A5427" s="1">
        <v>10279</v>
      </c>
      <c r="B5427" s="1">
        <v>4</v>
      </c>
      <c r="C5427" s="2">
        <v>41764</v>
      </c>
      <c r="D5427" s="1" t="s">
        <v>2002</v>
      </c>
      <c r="E5427" s="1">
        <v>103842</v>
      </c>
      <c r="F5427" s="6" t="s">
        <v>7429</v>
      </c>
      <c r="G5427" s="15" t="str">
        <f>VLOOKUP(A5427,Movie!A:D,4,FALSE)</f>
        <v>Screen Gems</v>
      </c>
      <c r="H5427" s="14">
        <f>VLOOKUP(E5427,'Rental Transaction'!A:B,2,FALSE)</f>
        <v>194680</v>
      </c>
      <c r="I5427">
        <f t="shared" si="84"/>
        <v>2014</v>
      </c>
    </row>
    <row r="5428" spans="1:9">
      <c r="A5428" s="1">
        <v>10287</v>
      </c>
      <c r="B5428" s="1">
        <v>3</v>
      </c>
      <c r="C5428" s="2">
        <v>41764</v>
      </c>
      <c r="D5428" s="1" t="s">
        <v>2002</v>
      </c>
      <c r="E5428" s="1">
        <v>103842</v>
      </c>
      <c r="F5428" s="6" t="s">
        <v>7430</v>
      </c>
      <c r="G5428" s="15" t="str">
        <f>VLOOKUP(A5428,Movie!A:D,4,FALSE)</f>
        <v>Lionsgate</v>
      </c>
      <c r="H5428" s="14">
        <f>VLOOKUP(E5428,'Rental Transaction'!A:B,2,FALSE)</f>
        <v>194680</v>
      </c>
      <c r="I5428">
        <f t="shared" si="84"/>
        <v>2014</v>
      </c>
    </row>
    <row r="5429" spans="1:9">
      <c r="A5429" s="1">
        <v>10226</v>
      </c>
      <c r="B5429" s="1">
        <v>4</v>
      </c>
      <c r="C5429" s="2">
        <v>41765</v>
      </c>
      <c r="D5429" s="1" t="s">
        <v>2002</v>
      </c>
      <c r="E5429" s="1">
        <v>103844</v>
      </c>
      <c r="F5429" s="6" t="s">
        <v>7431</v>
      </c>
      <c r="G5429" s="15" t="str">
        <f>VLOOKUP(A5429,Movie!A:D,4,FALSE)</f>
        <v>Sony</v>
      </c>
      <c r="H5429" s="14">
        <f>VLOOKUP(E5429,'Rental Transaction'!A:B,2,FALSE)</f>
        <v>567719</v>
      </c>
      <c r="I5429">
        <f t="shared" si="84"/>
        <v>2014</v>
      </c>
    </row>
    <row r="5430" spans="1:9">
      <c r="A5430" s="1">
        <v>10241</v>
      </c>
      <c r="B5430" s="1">
        <v>8</v>
      </c>
      <c r="C5430" s="2">
        <v>41766</v>
      </c>
      <c r="D5430" s="1" t="s">
        <v>2002</v>
      </c>
      <c r="E5430" s="1">
        <v>103845</v>
      </c>
      <c r="F5430" s="6" t="s">
        <v>7432</v>
      </c>
      <c r="G5430" s="15" t="str">
        <f>VLOOKUP(A5430,Movie!A:D,4,FALSE)</f>
        <v>Warner Brothers</v>
      </c>
      <c r="H5430" s="14">
        <f>VLOOKUP(E5430,'Rental Transaction'!A:B,2,FALSE)</f>
        <v>806545</v>
      </c>
      <c r="I5430">
        <f t="shared" si="84"/>
        <v>2014</v>
      </c>
    </row>
    <row r="5431" spans="1:9">
      <c r="A5431" s="1">
        <v>10207</v>
      </c>
      <c r="B5431" s="1">
        <v>5</v>
      </c>
      <c r="C5431" s="2">
        <v>41765</v>
      </c>
      <c r="D5431" s="1" t="s">
        <v>2002</v>
      </c>
      <c r="E5431" s="1">
        <v>103845</v>
      </c>
      <c r="F5431" s="6" t="s">
        <v>7433</v>
      </c>
      <c r="G5431" s="15" t="str">
        <f>VLOOKUP(A5431,Movie!A:D,4,FALSE)</f>
        <v>Paramount</v>
      </c>
      <c r="H5431" s="14">
        <f>VLOOKUP(E5431,'Rental Transaction'!A:B,2,FALSE)</f>
        <v>806545</v>
      </c>
      <c r="I5431">
        <f t="shared" si="84"/>
        <v>2014</v>
      </c>
    </row>
    <row r="5432" spans="1:9">
      <c r="A5432" s="1">
        <v>10214</v>
      </c>
      <c r="B5432" s="1">
        <v>5</v>
      </c>
      <c r="C5432" s="2">
        <v>41766</v>
      </c>
      <c r="D5432" s="1" t="s">
        <v>2002</v>
      </c>
      <c r="E5432" s="1">
        <v>103846</v>
      </c>
      <c r="F5432" s="6" t="s">
        <v>7434</v>
      </c>
      <c r="G5432" s="15" t="str">
        <f>VLOOKUP(A5432,Movie!A:D,4,FALSE)</f>
        <v>RM</v>
      </c>
      <c r="H5432" s="14">
        <f>VLOOKUP(E5432,'Rental Transaction'!A:B,2,FALSE)</f>
        <v>664411</v>
      </c>
      <c r="I5432">
        <f t="shared" si="84"/>
        <v>2014</v>
      </c>
    </row>
    <row r="5433" spans="1:9">
      <c r="A5433" s="1">
        <v>10125</v>
      </c>
      <c r="B5433" s="1">
        <v>5</v>
      </c>
      <c r="C5433" s="2">
        <v>41768</v>
      </c>
      <c r="D5433" s="1" t="s">
        <v>2002</v>
      </c>
      <c r="E5433" s="1">
        <v>103846</v>
      </c>
      <c r="F5433" s="6" t="s">
        <v>7435</v>
      </c>
      <c r="G5433" s="15" t="str">
        <f>VLOOKUP(A5433,Movie!A:D,4,FALSE)</f>
        <v>Fox</v>
      </c>
      <c r="H5433" s="14">
        <f>VLOOKUP(E5433,'Rental Transaction'!A:B,2,FALSE)</f>
        <v>664411</v>
      </c>
      <c r="I5433">
        <f t="shared" si="84"/>
        <v>2014</v>
      </c>
    </row>
    <row r="5434" spans="1:9">
      <c r="A5434" s="1">
        <v>10191</v>
      </c>
      <c r="B5434" s="1">
        <v>4</v>
      </c>
      <c r="C5434" s="2">
        <v>41765</v>
      </c>
      <c r="D5434" s="1" t="s">
        <v>2002</v>
      </c>
      <c r="E5434" s="1">
        <v>103847</v>
      </c>
      <c r="F5434" s="6" t="s">
        <v>7436</v>
      </c>
      <c r="G5434" s="15" t="str">
        <f>VLOOKUP(A5434,Movie!A:D,4,FALSE)</f>
        <v>Universal</v>
      </c>
      <c r="H5434" s="14">
        <f>VLOOKUP(E5434,'Rental Transaction'!A:B,2,FALSE)</f>
        <v>108708</v>
      </c>
      <c r="I5434">
        <f t="shared" si="84"/>
        <v>2014</v>
      </c>
    </row>
    <row r="5435" spans="1:9" ht="29.25">
      <c r="A5435" s="1">
        <v>10239</v>
      </c>
      <c r="B5435" s="1">
        <v>4</v>
      </c>
      <c r="C5435" s="2">
        <v>41766</v>
      </c>
      <c r="D5435" s="1" t="s">
        <v>2002</v>
      </c>
      <c r="E5435" s="1">
        <v>103847</v>
      </c>
      <c r="F5435" s="6" t="s">
        <v>7437</v>
      </c>
      <c r="G5435" s="15" t="str">
        <f>VLOOKUP(A5435,Movie!A:D,4,FALSE)</f>
        <v>Weinstein Company</v>
      </c>
      <c r="H5435" s="14">
        <f>VLOOKUP(E5435,'Rental Transaction'!A:B,2,FALSE)</f>
        <v>108708</v>
      </c>
      <c r="I5435">
        <f t="shared" si="84"/>
        <v>2014</v>
      </c>
    </row>
    <row r="5436" spans="1:9">
      <c r="A5436" s="1">
        <v>10079</v>
      </c>
      <c r="B5436" s="1">
        <v>4</v>
      </c>
      <c r="C5436" s="2">
        <v>41765</v>
      </c>
      <c r="D5436" s="1" t="s">
        <v>2002</v>
      </c>
      <c r="E5436" s="1">
        <v>103849</v>
      </c>
      <c r="F5436" s="6" t="s">
        <v>7438</v>
      </c>
      <c r="G5436" s="15" t="str">
        <f>VLOOKUP(A5436,Movie!A:D,4,FALSE)</f>
        <v>Warner Brothers</v>
      </c>
      <c r="H5436" s="14">
        <f>VLOOKUP(E5436,'Rental Transaction'!A:B,2,FALSE)</f>
        <v>938006</v>
      </c>
      <c r="I5436">
        <f t="shared" si="84"/>
        <v>2014</v>
      </c>
    </row>
    <row r="5437" spans="1:9">
      <c r="A5437" s="1">
        <v>10182</v>
      </c>
      <c r="B5437" s="1">
        <v>9</v>
      </c>
      <c r="C5437" s="2">
        <v>41767</v>
      </c>
      <c r="D5437" s="1" t="s">
        <v>2002</v>
      </c>
      <c r="E5437" s="1">
        <v>103850</v>
      </c>
      <c r="F5437" s="6" t="s">
        <v>7439</v>
      </c>
      <c r="G5437" s="15" t="str">
        <f>VLOOKUP(A5437,Movie!A:D,4,FALSE)</f>
        <v>Warner Brothers</v>
      </c>
      <c r="H5437" s="14">
        <f>VLOOKUP(E5437,'Rental Transaction'!A:B,2,FALSE)</f>
        <v>781968</v>
      </c>
      <c r="I5437">
        <f t="shared" si="84"/>
        <v>2014</v>
      </c>
    </row>
    <row r="5438" spans="1:9">
      <c r="A5438" s="1">
        <v>10160</v>
      </c>
      <c r="B5438" s="1">
        <v>1</v>
      </c>
      <c r="C5438" s="2">
        <v>41765</v>
      </c>
      <c r="D5438" s="1" t="s">
        <v>2002</v>
      </c>
      <c r="E5438" s="1">
        <v>103850</v>
      </c>
      <c r="F5438" s="6" t="s">
        <v>7440</v>
      </c>
      <c r="G5438" s="15" t="str">
        <f>VLOOKUP(A5438,Movie!A:D,4,FALSE)</f>
        <v>Lionsgate</v>
      </c>
      <c r="H5438" s="14">
        <f>VLOOKUP(E5438,'Rental Transaction'!A:B,2,FALSE)</f>
        <v>781968</v>
      </c>
      <c r="I5438">
        <f t="shared" si="84"/>
        <v>2014</v>
      </c>
    </row>
    <row r="5439" spans="1:9">
      <c r="A5439" s="1">
        <v>10079</v>
      </c>
      <c r="B5439" s="1">
        <v>7</v>
      </c>
      <c r="C5439" s="2">
        <v>41766</v>
      </c>
      <c r="D5439" s="1" t="s">
        <v>2002</v>
      </c>
      <c r="E5439" s="1">
        <v>103851</v>
      </c>
      <c r="F5439" s="6" t="s">
        <v>7441</v>
      </c>
      <c r="G5439" s="15" t="str">
        <f>VLOOKUP(A5439,Movie!A:D,4,FALSE)</f>
        <v>Warner Brothers</v>
      </c>
      <c r="H5439" s="14">
        <f>VLOOKUP(E5439,'Rental Transaction'!A:B,2,FALSE)</f>
        <v>926144</v>
      </c>
      <c r="I5439">
        <f t="shared" si="84"/>
        <v>2014</v>
      </c>
    </row>
    <row r="5440" spans="1:9">
      <c r="A5440" s="1">
        <v>10106</v>
      </c>
      <c r="B5440" s="1">
        <v>5</v>
      </c>
      <c r="C5440" s="2">
        <v>41766</v>
      </c>
      <c r="D5440" s="1" t="s">
        <v>2002</v>
      </c>
      <c r="E5440" s="1">
        <v>103851</v>
      </c>
      <c r="F5440" s="6" t="s">
        <v>7442</v>
      </c>
      <c r="G5440" s="15" t="str">
        <f>VLOOKUP(A5440,Movie!A:D,4,FALSE)</f>
        <v>Fox</v>
      </c>
      <c r="H5440" s="14">
        <f>VLOOKUP(E5440,'Rental Transaction'!A:B,2,FALSE)</f>
        <v>926144</v>
      </c>
      <c r="I5440">
        <f t="shared" si="84"/>
        <v>2014</v>
      </c>
    </row>
    <row r="5441" spans="1:9">
      <c r="A5441" s="1">
        <v>10251</v>
      </c>
      <c r="B5441" s="1">
        <v>2</v>
      </c>
      <c r="C5441" s="2">
        <v>41766</v>
      </c>
      <c r="D5441" s="1" t="s">
        <v>2002</v>
      </c>
      <c r="E5441" s="1">
        <v>103852</v>
      </c>
      <c r="F5441" s="6" t="s">
        <v>7443</v>
      </c>
      <c r="G5441" s="15" t="str">
        <f>VLOOKUP(A5441,Movie!A:D,4,FALSE)</f>
        <v>Universal</v>
      </c>
      <c r="H5441" s="14">
        <f>VLOOKUP(E5441,'Rental Transaction'!A:B,2,FALSE)</f>
        <v>296353</v>
      </c>
      <c r="I5441">
        <f t="shared" si="84"/>
        <v>2014</v>
      </c>
    </row>
    <row r="5442" spans="1:9">
      <c r="A5442" s="1">
        <v>10204</v>
      </c>
      <c r="B5442" s="1">
        <v>7</v>
      </c>
      <c r="C5442" s="2">
        <v>41769</v>
      </c>
      <c r="D5442" s="1" t="s">
        <v>2002</v>
      </c>
      <c r="E5442" s="1">
        <v>103852</v>
      </c>
      <c r="F5442" s="6" t="s">
        <v>7444</v>
      </c>
      <c r="G5442" s="15" t="str">
        <f>VLOOKUP(A5442,Movie!A:D,4,FALSE)</f>
        <v>Universal</v>
      </c>
      <c r="H5442" s="14">
        <f>VLOOKUP(E5442,'Rental Transaction'!A:B,2,FALSE)</f>
        <v>296353</v>
      </c>
      <c r="I5442">
        <f t="shared" si="84"/>
        <v>2014</v>
      </c>
    </row>
    <row r="5443" spans="1:9">
      <c r="A5443" s="1">
        <v>10056</v>
      </c>
      <c r="B5443" s="1">
        <v>8</v>
      </c>
      <c r="C5443" s="2">
        <v>41766</v>
      </c>
      <c r="D5443" s="1" t="s">
        <v>2005</v>
      </c>
      <c r="E5443" s="1">
        <v>103852</v>
      </c>
      <c r="F5443" s="6" t="s">
        <v>7445</v>
      </c>
      <c r="G5443" s="15" t="str">
        <f>VLOOKUP(A5443,Movie!A:D,4,FALSE)</f>
        <v>Screen Gems</v>
      </c>
      <c r="H5443" s="14">
        <f>VLOOKUP(E5443,'Rental Transaction'!A:B,2,FALSE)</f>
        <v>296353</v>
      </c>
      <c r="I5443">
        <f t="shared" ref="I5443:I5506" si="85">YEAR(C5443)</f>
        <v>2014</v>
      </c>
    </row>
    <row r="5444" spans="1:9">
      <c r="A5444" s="1">
        <v>10066</v>
      </c>
      <c r="B5444" s="1">
        <v>10</v>
      </c>
      <c r="C5444" s="2">
        <v>41767</v>
      </c>
      <c r="D5444" s="1" t="s">
        <v>2005</v>
      </c>
      <c r="E5444" s="1">
        <v>103855</v>
      </c>
      <c r="F5444" s="6" t="s">
        <v>7446</v>
      </c>
      <c r="G5444" s="15" t="str">
        <f>VLOOKUP(A5444,Movie!A:D,4,FALSE)</f>
        <v>Buena Vista</v>
      </c>
      <c r="H5444" s="14">
        <f>VLOOKUP(E5444,'Rental Transaction'!A:B,2,FALSE)</f>
        <v>789500</v>
      </c>
      <c r="I5444">
        <f t="shared" si="85"/>
        <v>2014</v>
      </c>
    </row>
    <row r="5445" spans="1:9">
      <c r="A5445" s="1">
        <v>10296</v>
      </c>
      <c r="B5445" s="1">
        <v>1</v>
      </c>
      <c r="C5445" s="2">
        <v>41766</v>
      </c>
      <c r="D5445" s="1" t="s">
        <v>2002</v>
      </c>
      <c r="E5445" s="1">
        <v>103855</v>
      </c>
      <c r="F5445" s="6" t="s">
        <v>7447</v>
      </c>
      <c r="G5445" s="15" t="str">
        <f>VLOOKUP(A5445,Movie!A:D,4,FALSE)</f>
        <v>A24</v>
      </c>
      <c r="H5445" s="14">
        <f>VLOOKUP(E5445,'Rental Transaction'!A:B,2,FALSE)</f>
        <v>789500</v>
      </c>
      <c r="I5445">
        <f t="shared" si="85"/>
        <v>2014</v>
      </c>
    </row>
    <row r="5446" spans="1:9">
      <c r="A5446" s="1">
        <v>10199</v>
      </c>
      <c r="B5446" s="1">
        <v>8</v>
      </c>
      <c r="C5446" s="2">
        <v>41768</v>
      </c>
      <c r="D5446" s="1" t="s">
        <v>2002</v>
      </c>
      <c r="E5446" s="1">
        <v>103856</v>
      </c>
      <c r="F5446" s="6" t="s">
        <v>7448</v>
      </c>
      <c r="G5446" s="15" t="str">
        <f>VLOOKUP(A5446,Movie!A:D,4,FALSE)</f>
        <v>Lionsgate</v>
      </c>
      <c r="H5446" s="14">
        <f>VLOOKUP(E5446,'Rental Transaction'!A:B,2,FALSE)</f>
        <v>891738</v>
      </c>
      <c r="I5446">
        <f t="shared" si="85"/>
        <v>2014</v>
      </c>
    </row>
    <row r="5447" spans="1:9">
      <c r="A5447" s="1">
        <v>10288</v>
      </c>
      <c r="B5447" s="1">
        <v>3</v>
      </c>
      <c r="C5447" s="2">
        <v>41766</v>
      </c>
      <c r="D5447" s="1" t="s">
        <v>2002</v>
      </c>
      <c r="E5447" s="1">
        <v>103857</v>
      </c>
      <c r="F5447" s="6" t="s">
        <v>7449</v>
      </c>
      <c r="G5447" s="15" t="str">
        <f>VLOOKUP(A5447,Movie!A:D,4,FALSE)</f>
        <v>Relativity</v>
      </c>
      <c r="H5447" s="14">
        <f>VLOOKUP(E5447,'Rental Transaction'!A:B,2,FALSE)</f>
        <v>192738</v>
      </c>
      <c r="I5447">
        <f t="shared" si="85"/>
        <v>2014</v>
      </c>
    </row>
    <row r="5448" spans="1:9">
      <c r="A5448" s="1">
        <v>10292</v>
      </c>
      <c r="B5448" s="1">
        <v>9</v>
      </c>
      <c r="C5448" s="2">
        <v>41766</v>
      </c>
      <c r="D5448" s="1" t="s">
        <v>2002</v>
      </c>
      <c r="E5448" s="1">
        <v>103857</v>
      </c>
      <c r="F5448" s="6" t="s">
        <v>7450</v>
      </c>
      <c r="G5448" s="15" t="str">
        <f>VLOOKUP(A5448,Movie!A:D,4,FALSE)</f>
        <v>Sony Classics</v>
      </c>
      <c r="H5448" s="14">
        <f>VLOOKUP(E5448,'Rental Transaction'!A:B,2,FALSE)</f>
        <v>192738</v>
      </c>
      <c r="I5448">
        <f t="shared" si="85"/>
        <v>2014</v>
      </c>
    </row>
    <row r="5449" spans="1:9">
      <c r="A5449" s="1">
        <v>10352</v>
      </c>
      <c r="B5449" s="1">
        <v>5</v>
      </c>
      <c r="C5449" s="2">
        <v>41769</v>
      </c>
      <c r="D5449" s="1" t="s">
        <v>2002</v>
      </c>
      <c r="E5449" s="1">
        <v>103859</v>
      </c>
      <c r="F5449" s="6" t="s">
        <v>7451</v>
      </c>
      <c r="G5449" s="15" t="str">
        <f>VLOOKUP(A5449,Movie!A:D,4,FALSE)</f>
        <v>Warner Brothers</v>
      </c>
      <c r="H5449" s="14">
        <f>VLOOKUP(E5449,'Rental Transaction'!A:B,2,FALSE)</f>
        <v>166135</v>
      </c>
      <c r="I5449">
        <f t="shared" si="85"/>
        <v>2014</v>
      </c>
    </row>
    <row r="5450" spans="1:9" ht="29.25">
      <c r="A5450" s="1">
        <v>10285</v>
      </c>
      <c r="B5450" s="1">
        <v>10</v>
      </c>
      <c r="C5450" s="2">
        <v>41768</v>
      </c>
      <c r="D5450" s="1" t="s">
        <v>2002</v>
      </c>
      <c r="E5450" s="1">
        <v>103860</v>
      </c>
      <c r="F5450" s="6" t="s">
        <v>7452</v>
      </c>
      <c r="G5450" s="15" t="str">
        <f>VLOOKUP(A5450,Movie!A:D,4,FALSE)</f>
        <v>Roadside Attractions</v>
      </c>
      <c r="H5450" s="14">
        <f>VLOOKUP(E5450,'Rental Transaction'!A:B,2,FALSE)</f>
        <v>924361</v>
      </c>
      <c r="I5450">
        <f t="shared" si="85"/>
        <v>2014</v>
      </c>
    </row>
    <row r="5451" spans="1:9">
      <c r="A5451" s="1">
        <v>10060</v>
      </c>
      <c r="B5451" s="1">
        <v>4</v>
      </c>
      <c r="C5451" s="2">
        <v>41768</v>
      </c>
      <c r="D5451" s="1" t="s">
        <v>2005</v>
      </c>
      <c r="E5451" s="1">
        <v>103861</v>
      </c>
      <c r="F5451" s="6" t="s">
        <v>7453</v>
      </c>
      <c r="G5451" s="15" t="str">
        <f>VLOOKUP(A5451,Movie!A:D,4,FALSE)</f>
        <v>Warner Brothers</v>
      </c>
      <c r="H5451" s="14">
        <f>VLOOKUP(E5451,'Rental Transaction'!A:B,2,FALSE)</f>
        <v>741514</v>
      </c>
      <c r="I5451">
        <f t="shared" si="85"/>
        <v>2014</v>
      </c>
    </row>
    <row r="5452" spans="1:9">
      <c r="A5452" s="1">
        <v>10288</v>
      </c>
      <c r="B5452" s="1">
        <v>4</v>
      </c>
      <c r="C5452" s="2">
        <v>41767</v>
      </c>
      <c r="D5452" s="1" t="s">
        <v>2002</v>
      </c>
      <c r="E5452" s="1">
        <v>103862</v>
      </c>
      <c r="F5452" s="6" t="s">
        <v>7454</v>
      </c>
      <c r="G5452" s="15" t="str">
        <f>VLOOKUP(A5452,Movie!A:D,4,FALSE)</f>
        <v>Relativity</v>
      </c>
      <c r="H5452" s="14">
        <f>VLOOKUP(E5452,'Rental Transaction'!A:B,2,FALSE)</f>
        <v>516619</v>
      </c>
      <c r="I5452">
        <f t="shared" si="85"/>
        <v>2014</v>
      </c>
    </row>
    <row r="5453" spans="1:9">
      <c r="A5453" s="1">
        <v>10117</v>
      </c>
      <c r="B5453" s="1">
        <v>2</v>
      </c>
      <c r="C5453" s="2">
        <v>41768</v>
      </c>
      <c r="D5453" s="1" t="s">
        <v>2002</v>
      </c>
      <c r="E5453" s="1">
        <v>103864</v>
      </c>
      <c r="F5453" s="6" t="s">
        <v>7455</v>
      </c>
      <c r="G5453" s="15" t="str">
        <f>VLOOKUP(A5453,Movie!A:D,4,FALSE)</f>
        <v>Sony</v>
      </c>
      <c r="H5453" s="14">
        <f>VLOOKUP(E5453,'Rental Transaction'!A:B,2,FALSE)</f>
        <v>664934</v>
      </c>
      <c r="I5453">
        <f t="shared" si="85"/>
        <v>2014</v>
      </c>
    </row>
    <row r="5454" spans="1:9">
      <c r="A5454" s="1">
        <v>10168</v>
      </c>
      <c r="B5454" s="1">
        <v>2</v>
      </c>
      <c r="C5454" s="2">
        <v>41769</v>
      </c>
      <c r="D5454" s="1" t="s">
        <v>2002</v>
      </c>
      <c r="E5454" s="1">
        <v>103864</v>
      </c>
      <c r="F5454" s="6" t="s">
        <v>7456</v>
      </c>
      <c r="G5454" s="15" t="str">
        <f>VLOOKUP(A5454,Movie!A:D,4,FALSE)</f>
        <v>Paramount</v>
      </c>
      <c r="H5454" s="14">
        <f>VLOOKUP(E5454,'Rental Transaction'!A:B,2,FALSE)</f>
        <v>664934</v>
      </c>
      <c r="I5454">
        <f t="shared" si="85"/>
        <v>2014</v>
      </c>
    </row>
    <row r="5455" spans="1:9">
      <c r="A5455" s="1">
        <v>10237</v>
      </c>
      <c r="B5455" s="1">
        <v>7</v>
      </c>
      <c r="C5455" s="2">
        <v>41768</v>
      </c>
      <c r="D5455" s="1" t="s">
        <v>2002</v>
      </c>
      <c r="E5455" s="1">
        <v>103864</v>
      </c>
      <c r="F5455" s="6" t="s">
        <v>7457</v>
      </c>
      <c r="G5455" s="15" t="str">
        <f>VLOOKUP(A5455,Movie!A:D,4,FALSE)</f>
        <v>Warner Brothers</v>
      </c>
      <c r="H5455" s="14">
        <f>VLOOKUP(E5455,'Rental Transaction'!A:B,2,FALSE)</f>
        <v>664934</v>
      </c>
      <c r="I5455">
        <f t="shared" si="85"/>
        <v>2014</v>
      </c>
    </row>
    <row r="5456" spans="1:9">
      <c r="A5456" s="1">
        <v>10071</v>
      </c>
      <c r="B5456" s="1">
        <v>3</v>
      </c>
      <c r="C5456" s="2">
        <v>41770</v>
      </c>
      <c r="D5456" s="1" t="s">
        <v>2002</v>
      </c>
      <c r="E5456" s="1">
        <v>103866</v>
      </c>
      <c r="F5456" s="6" t="s">
        <v>7458</v>
      </c>
      <c r="G5456" s="15" t="str">
        <f>VLOOKUP(A5456,Movie!A:D,4,FALSE)</f>
        <v>Paramount</v>
      </c>
      <c r="H5456" s="14">
        <f>VLOOKUP(E5456,'Rental Transaction'!A:B,2,FALSE)</f>
        <v>747066</v>
      </c>
      <c r="I5456">
        <f t="shared" si="85"/>
        <v>2014</v>
      </c>
    </row>
    <row r="5457" spans="1:9">
      <c r="A5457" s="1">
        <v>10044</v>
      </c>
      <c r="B5457" s="1">
        <v>1</v>
      </c>
      <c r="C5457" s="2">
        <v>41769</v>
      </c>
      <c r="D5457" s="1" t="s">
        <v>2002</v>
      </c>
      <c r="E5457" s="1">
        <v>103873</v>
      </c>
      <c r="F5457" s="6" t="s">
        <v>7459</v>
      </c>
      <c r="G5457" s="15" t="str">
        <f>VLOOKUP(A5457,Movie!A:D,4,FALSE)</f>
        <v>Buena Vista</v>
      </c>
      <c r="H5457" s="14">
        <f>VLOOKUP(E5457,'Rental Transaction'!A:B,2,FALSE)</f>
        <v>746134</v>
      </c>
      <c r="I5457">
        <f t="shared" si="85"/>
        <v>2014</v>
      </c>
    </row>
    <row r="5458" spans="1:9">
      <c r="A5458" s="1">
        <v>10151</v>
      </c>
      <c r="B5458" s="1">
        <v>6</v>
      </c>
      <c r="C5458" s="2">
        <v>41771</v>
      </c>
      <c r="D5458" s="1" t="s">
        <v>2002</v>
      </c>
      <c r="E5458" s="1">
        <v>103874</v>
      </c>
      <c r="F5458" s="6" t="s">
        <v>7460</v>
      </c>
      <c r="G5458" s="15" t="str">
        <f>VLOOKUP(A5458,Movie!A:D,4,FALSE)</f>
        <v>Screen Gems</v>
      </c>
      <c r="H5458" s="14">
        <f>VLOOKUP(E5458,'Rental Transaction'!A:B,2,FALSE)</f>
        <v>158310</v>
      </c>
      <c r="I5458">
        <f t="shared" si="85"/>
        <v>2014</v>
      </c>
    </row>
    <row r="5459" spans="1:9">
      <c r="A5459" s="1">
        <v>10297</v>
      </c>
      <c r="B5459" s="1">
        <v>9</v>
      </c>
      <c r="C5459" s="2">
        <v>41769</v>
      </c>
      <c r="D5459" s="1" t="s">
        <v>2002</v>
      </c>
      <c r="E5459" s="1">
        <v>103875</v>
      </c>
      <c r="F5459" s="6" t="s">
        <v>7461</v>
      </c>
      <c r="G5459" s="15" t="str">
        <f>VLOOKUP(A5459,Movie!A:D,4,FALSE)</f>
        <v>Focus</v>
      </c>
      <c r="H5459" s="14">
        <f>VLOOKUP(E5459,'Rental Transaction'!A:B,2,FALSE)</f>
        <v>498970</v>
      </c>
      <c r="I5459">
        <f t="shared" si="85"/>
        <v>2014</v>
      </c>
    </row>
    <row r="5460" spans="1:9">
      <c r="A5460" s="1">
        <v>10174</v>
      </c>
      <c r="B5460" s="1">
        <v>3</v>
      </c>
      <c r="C5460" s="2">
        <v>41769</v>
      </c>
      <c r="D5460" s="1" t="s">
        <v>2002</v>
      </c>
      <c r="E5460" s="1">
        <v>103875</v>
      </c>
      <c r="F5460" s="6" t="s">
        <v>7462</v>
      </c>
      <c r="G5460" s="15" t="str">
        <f>VLOOKUP(A5460,Movie!A:D,4,FALSE)</f>
        <v>Universal</v>
      </c>
      <c r="H5460" s="14">
        <f>VLOOKUP(E5460,'Rental Transaction'!A:B,2,FALSE)</f>
        <v>498970</v>
      </c>
      <c r="I5460">
        <f t="shared" si="85"/>
        <v>2014</v>
      </c>
    </row>
    <row r="5461" spans="1:9">
      <c r="A5461" s="1">
        <v>10141</v>
      </c>
      <c r="B5461" s="1">
        <v>10</v>
      </c>
      <c r="C5461" s="2">
        <v>41770</v>
      </c>
      <c r="D5461" s="1" t="s">
        <v>2002</v>
      </c>
      <c r="E5461" s="1">
        <v>103876</v>
      </c>
      <c r="F5461" s="6" t="s">
        <v>7463</v>
      </c>
      <c r="G5461" s="15" t="str">
        <f>VLOOKUP(A5461,Movie!A:D,4,FALSE)</f>
        <v>Warner Brothers</v>
      </c>
      <c r="H5461" s="14">
        <f>VLOOKUP(E5461,'Rental Transaction'!A:B,2,FALSE)</f>
        <v>739669</v>
      </c>
      <c r="I5461">
        <f t="shared" si="85"/>
        <v>2014</v>
      </c>
    </row>
    <row r="5462" spans="1:9">
      <c r="A5462" s="1">
        <v>10111</v>
      </c>
      <c r="B5462" s="1">
        <v>1</v>
      </c>
      <c r="C5462" s="2">
        <v>41770</v>
      </c>
      <c r="D5462" s="1" t="s">
        <v>2002</v>
      </c>
      <c r="E5462" s="1">
        <v>103877</v>
      </c>
      <c r="F5462" s="6" t="s">
        <v>7464</v>
      </c>
      <c r="G5462" s="15" t="str">
        <f>VLOOKUP(A5462,Movie!A:D,4,FALSE)</f>
        <v>Fox</v>
      </c>
      <c r="H5462" s="14">
        <f>VLOOKUP(E5462,'Rental Transaction'!A:B,2,FALSE)</f>
        <v>808421</v>
      </c>
      <c r="I5462">
        <f t="shared" si="85"/>
        <v>2014</v>
      </c>
    </row>
    <row r="5463" spans="1:9">
      <c r="A5463" s="1">
        <v>10211</v>
      </c>
      <c r="B5463" s="1">
        <v>9</v>
      </c>
      <c r="C5463" s="2">
        <v>41769</v>
      </c>
      <c r="D5463" s="1" t="s">
        <v>2005</v>
      </c>
      <c r="E5463" s="1">
        <v>103877</v>
      </c>
      <c r="F5463" s="6" t="s">
        <v>7465</v>
      </c>
      <c r="G5463" s="15" t="str">
        <f>VLOOKUP(A5463,Movie!A:D,4,FALSE)</f>
        <v>Buena Vista</v>
      </c>
      <c r="H5463" s="14">
        <f>VLOOKUP(E5463,'Rental Transaction'!A:B,2,FALSE)</f>
        <v>808421</v>
      </c>
      <c r="I5463">
        <f t="shared" si="85"/>
        <v>2014</v>
      </c>
    </row>
    <row r="5464" spans="1:9">
      <c r="A5464" s="1">
        <v>10278</v>
      </c>
      <c r="B5464" s="1">
        <v>10</v>
      </c>
      <c r="C5464" s="2">
        <v>41772</v>
      </c>
      <c r="D5464" s="1" t="s">
        <v>2002</v>
      </c>
      <c r="E5464" s="1">
        <v>103878</v>
      </c>
      <c r="F5464" s="6" t="s">
        <v>7466</v>
      </c>
      <c r="G5464" s="15" t="str">
        <f>VLOOKUP(A5464,Movie!A:D,4,FALSE)</f>
        <v>Universal</v>
      </c>
      <c r="H5464" s="14">
        <f>VLOOKUP(E5464,'Rental Transaction'!A:B,2,FALSE)</f>
        <v>724700</v>
      </c>
      <c r="I5464">
        <f t="shared" si="85"/>
        <v>2014</v>
      </c>
    </row>
    <row r="5465" spans="1:9">
      <c r="A5465" s="1">
        <v>10117</v>
      </c>
      <c r="B5465" s="1">
        <v>3</v>
      </c>
      <c r="C5465" s="2">
        <v>41772</v>
      </c>
      <c r="D5465" s="1" t="s">
        <v>2005</v>
      </c>
      <c r="E5465" s="1">
        <v>103878</v>
      </c>
      <c r="F5465" s="6" t="s">
        <v>7467</v>
      </c>
      <c r="G5465" s="15" t="str">
        <f>VLOOKUP(A5465,Movie!A:D,4,FALSE)</f>
        <v>Sony</v>
      </c>
      <c r="H5465" s="14">
        <f>VLOOKUP(E5465,'Rental Transaction'!A:B,2,FALSE)</f>
        <v>724700</v>
      </c>
      <c r="I5465">
        <f t="shared" si="85"/>
        <v>2014</v>
      </c>
    </row>
    <row r="5466" spans="1:9" ht="29.25">
      <c r="A5466" s="1">
        <v>10246</v>
      </c>
      <c r="B5466" s="1">
        <v>3</v>
      </c>
      <c r="C5466" s="2">
        <v>41773</v>
      </c>
      <c r="D5466" s="1" t="s">
        <v>2002</v>
      </c>
      <c r="E5466" s="1">
        <v>103880</v>
      </c>
      <c r="F5466" s="6" t="s">
        <v>7468</v>
      </c>
      <c r="G5466" s="15" t="str">
        <f>VLOOKUP(A5466,Movie!A:D,4,FALSE)</f>
        <v>Weinstein Company</v>
      </c>
      <c r="H5466" s="14">
        <f>VLOOKUP(E5466,'Rental Transaction'!A:B,2,FALSE)</f>
        <v>319387</v>
      </c>
      <c r="I5466">
        <f t="shared" si="85"/>
        <v>2014</v>
      </c>
    </row>
    <row r="5467" spans="1:9">
      <c r="A5467" s="1">
        <v>10289</v>
      </c>
      <c r="B5467" s="1">
        <v>6</v>
      </c>
      <c r="C5467" s="2">
        <v>41770</v>
      </c>
      <c r="D5467" s="1" t="s">
        <v>2002</v>
      </c>
      <c r="E5467" s="1">
        <v>103881</v>
      </c>
      <c r="F5467" s="6" t="s">
        <v>7469</v>
      </c>
      <c r="G5467" s="15" t="str">
        <f>VLOOKUP(A5467,Movie!A:D,4,FALSE)</f>
        <v>Open Road Films</v>
      </c>
      <c r="H5467" s="14">
        <f>VLOOKUP(E5467,'Rental Transaction'!A:B,2,FALSE)</f>
        <v>744780</v>
      </c>
      <c r="I5467">
        <f t="shared" si="85"/>
        <v>2014</v>
      </c>
    </row>
    <row r="5468" spans="1:9" ht="29.25">
      <c r="A5468" s="1">
        <v>10136</v>
      </c>
      <c r="B5468" s="1">
        <v>6</v>
      </c>
      <c r="C5468" s="2">
        <v>41770</v>
      </c>
      <c r="D5468" s="1" t="s">
        <v>2002</v>
      </c>
      <c r="E5468" s="1">
        <v>103883</v>
      </c>
      <c r="F5468" s="6" t="s">
        <v>7470</v>
      </c>
      <c r="G5468" s="15" t="str">
        <f>VLOOKUP(A5468,Movie!A:D,4,FALSE)</f>
        <v>Weinstein Company</v>
      </c>
      <c r="H5468" s="14">
        <f>VLOOKUP(E5468,'Rental Transaction'!A:B,2,FALSE)</f>
        <v>775449</v>
      </c>
      <c r="I5468">
        <f t="shared" si="85"/>
        <v>2014</v>
      </c>
    </row>
    <row r="5469" spans="1:9">
      <c r="A5469" s="1">
        <v>10286</v>
      </c>
      <c r="B5469" s="1">
        <v>7</v>
      </c>
      <c r="C5469" s="2">
        <v>41773</v>
      </c>
      <c r="D5469" s="1" t="s">
        <v>2002</v>
      </c>
      <c r="E5469" s="1">
        <v>103883</v>
      </c>
      <c r="F5469" s="6" t="s">
        <v>7471</v>
      </c>
      <c r="G5469" s="15" t="str">
        <f>VLOOKUP(A5469,Movie!A:D,4,FALSE)</f>
        <v>Fox Searchlight</v>
      </c>
      <c r="H5469" s="14">
        <f>VLOOKUP(E5469,'Rental Transaction'!A:B,2,FALSE)</f>
        <v>775449</v>
      </c>
      <c r="I5469">
        <f t="shared" si="85"/>
        <v>2014</v>
      </c>
    </row>
    <row r="5470" spans="1:9">
      <c r="A5470" s="1">
        <v>10166</v>
      </c>
      <c r="B5470" s="1">
        <v>10</v>
      </c>
      <c r="C5470" s="2">
        <v>41770</v>
      </c>
      <c r="D5470" s="1" t="s">
        <v>2002</v>
      </c>
      <c r="E5470" s="1">
        <v>103884</v>
      </c>
      <c r="F5470" s="6" t="s">
        <v>7472</v>
      </c>
      <c r="G5470" s="15" t="str">
        <f>VLOOKUP(A5470,Movie!A:D,4,FALSE)</f>
        <v>Fox</v>
      </c>
      <c r="H5470" s="14">
        <f>VLOOKUP(E5470,'Rental Transaction'!A:B,2,FALSE)</f>
        <v>810369</v>
      </c>
      <c r="I5470">
        <f t="shared" si="85"/>
        <v>2014</v>
      </c>
    </row>
    <row r="5471" spans="1:9">
      <c r="A5471" s="1">
        <v>10243</v>
      </c>
      <c r="B5471" s="1">
        <v>2</v>
      </c>
      <c r="C5471" s="2">
        <v>41770</v>
      </c>
      <c r="D5471" s="1" t="s">
        <v>2002</v>
      </c>
      <c r="E5471" s="1">
        <v>103884</v>
      </c>
      <c r="F5471" s="6" t="s">
        <v>7473</v>
      </c>
      <c r="G5471" s="15" t="str">
        <f>VLOOKUP(A5471,Movie!A:D,4,FALSE)</f>
        <v>Fox</v>
      </c>
      <c r="H5471" s="14">
        <f>VLOOKUP(E5471,'Rental Transaction'!A:B,2,FALSE)</f>
        <v>810369</v>
      </c>
      <c r="I5471">
        <f t="shared" si="85"/>
        <v>2014</v>
      </c>
    </row>
    <row r="5472" spans="1:9">
      <c r="A5472" s="1">
        <v>10172</v>
      </c>
      <c r="B5472" s="1">
        <v>9</v>
      </c>
      <c r="C5472" s="2">
        <v>41773</v>
      </c>
      <c r="D5472" s="1" t="s">
        <v>2002</v>
      </c>
      <c r="E5472" s="1">
        <v>103887</v>
      </c>
      <c r="F5472" s="6" t="s">
        <v>7474</v>
      </c>
      <c r="G5472" s="15" t="str">
        <f>VLOOKUP(A5472,Movie!A:D,4,FALSE)</f>
        <v>Lionsgate</v>
      </c>
      <c r="H5472" s="14">
        <f>VLOOKUP(E5472,'Rental Transaction'!A:B,2,FALSE)</f>
        <v>358901</v>
      </c>
      <c r="I5472">
        <f t="shared" si="85"/>
        <v>2014</v>
      </c>
    </row>
    <row r="5473" spans="1:9">
      <c r="A5473" s="1">
        <v>10227</v>
      </c>
      <c r="B5473" s="1">
        <v>3</v>
      </c>
      <c r="C5473" s="2">
        <v>41773</v>
      </c>
      <c r="D5473" s="1" t="s">
        <v>2002</v>
      </c>
      <c r="E5473" s="1">
        <v>103887</v>
      </c>
      <c r="F5473" s="6" t="s">
        <v>7475</v>
      </c>
      <c r="G5473" s="15" t="str">
        <f>VLOOKUP(A5473,Movie!A:D,4,FALSE)</f>
        <v>Focus</v>
      </c>
      <c r="H5473" s="14">
        <f>VLOOKUP(E5473,'Rental Transaction'!A:B,2,FALSE)</f>
        <v>358901</v>
      </c>
      <c r="I5473">
        <f t="shared" si="85"/>
        <v>2014</v>
      </c>
    </row>
    <row r="5474" spans="1:9">
      <c r="A5474" s="1">
        <v>10138</v>
      </c>
      <c r="B5474" s="1">
        <v>6</v>
      </c>
      <c r="C5474" s="2">
        <v>41771</v>
      </c>
      <c r="D5474" s="1" t="s">
        <v>2002</v>
      </c>
      <c r="E5474" s="1">
        <v>103889</v>
      </c>
      <c r="F5474" s="6" t="s">
        <v>7476</v>
      </c>
      <c r="G5474" s="15" t="str">
        <f>VLOOKUP(A5474,Movie!A:D,4,FALSE)</f>
        <v>Universal</v>
      </c>
      <c r="H5474" s="14">
        <f>VLOOKUP(E5474,'Rental Transaction'!A:B,2,FALSE)</f>
        <v>958321</v>
      </c>
      <c r="I5474">
        <f t="shared" si="85"/>
        <v>2014</v>
      </c>
    </row>
    <row r="5475" spans="1:9">
      <c r="A5475" s="1">
        <v>10127</v>
      </c>
      <c r="B5475" s="1">
        <v>3</v>
      </c>
      <c r="C5475" s="2">
        <v>41771</v>
      </c>
      <c r="D5475" s="1" t="s">
        <v>2002</v>
      </c>
      <c r="E5475" s="1">
        <v>103890</v>
      </c>
      <c r="F5475" s="6" t="s">
        <v>7477</v>
      </c>
      <c r="G5475" s="15" t="str">
        <f>VLOOKUP(A5475,Movie!A:D,4,FALSE)</f>
        <v>TriStar</v>
      </c>
      <c r="H5475" s="14">
        <f>VLOOKUP(E5475,'Rental Transaction'!A:B,2,FALSE)</f>
        <v>656512</v>
      </c>
      <c r="I5475">
        <f t="shared" si="85"/>
        <v>2014</v>
      </c>
    </row>
    <row r="5476" spans="1:9" ht="29.25">
      <c r="A5476" s="1">
        <v>10095</v>
      </c>
      <c r="B5476" s="1">
        <v>8</v>
      </c>
      <c r="C5476" s="2">
        <v>41772</v>
      </c>
      <c r="D5476" s="1" t="s">
        <v>2002</v>
      </c>
      <c r="E5476" s="1">
        <v>103890</v>
      </c>
      <c r="F5476" s="6" t="s">
        <v>7478</v>
      </c>
      <c r="G5476" s="15" t="str">
        <f>VLOOKUP(A5476,Movie!A:D,4,FALSE)</f>
        <v>Weinstein Company</v>
      </c>
      <c r="H5476" s="14">
        <f>VLOOKUP(E5476,'Rental Transaction'!A:B,2,FALSE)</f>
        <v>656512</v>
      </c>
      <c r="I5476">
        <f t="shared" si="85"/>
        <v>2014</v>
      </c>
    </row>
    <row r="5477" spans="1:9">
      <c r="A5477" s="1">
        <v>10253</v>
      </c>
      <c r="B5477" s="1">
        <v>6</v>
      </c>
      <c r="C5477" s="2">
        <v>41771</v>
      </c>
      <c r="D5477" s="1" t="s">
        <v>2002</v>
      </c>
      <c r="E5477" s="1">
        <v>103891</v>
      </c>
      <c r="F5477" s="6" t="s">
        <v>7479</v>
      </c>
      <c r="G5477" s="15" t="str">
        <f>VLOOKUP(A5477,Movie!A:D,4,FALSE)</f>
        <v>Buena Vista</v>
      </c>
      <c r="H5477" s="14">
        <f>VLOOKUP(E5477,'Rental Transaction'!A:B,2,FALSE)</f>
        <v>500350</v>
      </c>
      <c r="I5477">
        <f t="shared" si="85"/>
        <v>2014</v>
      </c>
    </row>
    <row r="5478" spans="1:9">
      <c r="A5478" s="1">
        <v>10169</v>
      </c>
      <c r="B5478" s="1">
        <v>5</v>
      </c>
      <c r="C5478" s="2">
        <v>41771</v>
      </c>
      <c r="D5478" s="1" t="s">
        <v>2002</v>
      </c>
      <c r="E5478" s="1">
        <v>103891</v>
      </c>
      <c r="F5478" s="6" t="s">
        <v>7480</v>
      </c>
      <c r="G5478" s="15" t="str">
        <f>VLOOKUP(A5478,Movie!A:D,4,FALSE)</f>
        <v>Warner Brothers</v>
      </c>
      <c r="H5478" s="14">
        <f>VLOOKUP(E5478,'Rental Transaction'!A:B,2,FALSE)</f>
        <v>500350</v>
      </c>
      <c r="I5478">
        <f t="shared" si="85"/>
        <v>2014</v>
      </c>
    </row>
    <row r="5479" spans="1:9">
      <c r="A5479" s="1">
        <v>10291</v>
      </c>
      <c r="B5479" s="1">
        <v>9</v>
      </c>
      <c r="C5479" s="2">
        <v>41771</v>
      </c>
      <c r="D5479" s="1" t="s">
        <v>2002</v>
      </c>
      <c r="E5479" s="1">
        <v>103892</v>
      </c>
      <c r="F5479" s="6" t="s">
        <v>7481</v>
      </c>
      <c r="G5479" s="15" t="str">
        <f>VLOOKUP(A5479,Movie!A:D,4,FALSE)</f>
        <v>Warner Brothers</v>
      </c>
      <c r="H5479" s="14">
        <f>VLOOKUP(E5479,'Rental Transaction'!A:B,2,FALSE)</f>
        <v>227456</v>
      </c>
      <c r="I5479">
        <f t="shared" si="85"/>
        <v>2014</v>
      </c>
    </row>
    <row r="5480" spans="1:9">
      <c r="A5480" s="1">
        <v>10065</v>
      </c>
      <c r="B5480" s="1">
        <v>4</v>
      </c>
      <c r="C5480" s="2">
        <v>41772</v>
      </c>
      <c r="D5480" s="1" t="s">
        <v>2002</v>
      </c>
      <c r="E5480" s="1">
        <v>103893</v>
      </c>
      <c r="F5480" s="6" t="s">
        <v>7482</v>
      </c>
      <c r="G5480" s="15" t="str">
        <f>VLOOKUP(A5480,Movie!A:D,4,FALSE)</f>
        <v>Warner Brothers</v>
      </c>
      <c r="H5480" s="14">
        <f>VLOOKUP(E5480,'Rental Transaction'!A:B,2,FALSE)</f>
        <v>520196</v>
      </c>
      <c r="I5480">
        <f t="shared" si="85"/>
        <v>2014</v>
      </c>
    </row>
    <row r="5481" spans="1:9">
      <c r="A5481" s="1">
        <v>10284</v>
      </c>
      <c r="B5481" s="1">
        <v>10</v>
      </c>
      <c r="C5481" s="2">
        <v>41778</v>
      </c>
      <c r="D5481" s="1" t="s">
        <v>2002</v>
      </c>
      <c r="E5481" s="1">
        <v>103896</v>
      </c>
      <c r="F5481" s="6" t="s">
        <v>7483</v>
      </c>
      <c r="G5481" s="15" t="str">
        <f>VLOOKUP(A5481,Movie!A:D,4,FALSE)</f>
        <v>Focus</v>
      </c>
      <c r="H5481" s="14">
        <f>VLOOKUP(E5481,'Rental Transaction'!A:B,2,FALSE)</f>
        <v>378374</v>
      </c>
      <c r="I5481">
        <f t="shared" si="85"/>
        <v>2014</v>
      </c>
    </row>
    <row r="5482" spans="1:9">
      <c r="A5482" s="1">
        <v>10229</v>
      </c>
      <c r="B5482" s="1">
        <v>7</v>
      </c>
      <c r="C5482" s="2">
        <v>41772</v>
      </c>
      <c r="D5482" s="1" t="s">
        <v>2002</v>
      </c>
      <c r="E5482" s="1">
        <v>103897</v>
      </c>
      <c r="F5482" s="6" t="s">
        <v>7484</v>
      </c>
      <c r="G5482" s="15" t="str">
        <f>VLOOKUP(A5482,Movie!A:D,4,FALSE)</f>
        <v>TriStar</v>
      </c>
      <c r="H5482" s="14">
        <f>VLOOKUP(E5482,'Rental Transaction'!A:B,2,FALSE)</f>
        <v>832914</v>
      </c>
      <c r="I5482">
        <f t="shared" si="85"/>
        <v>2014</v>
      </c>
    </row>
    <row r="5483" spans="1:9">
      <c r="A5483" s="1">
        <v>10172</v>
      </c>
      <c r="B5483" s="1">
        <v>9</v>
      </c>
      <c r="C5483" s="2">
        <v>41773</v>
      </c>
      <c r="D5483" s="1" t="s">
        <v>2002</v>
      </c>
      <c r="E5483" s="1">
        <v>103898</v>
      </c>
      <c r="F5483" s="6" t="s">
        <v>7485</v>
      </c>
      <c r="G5483" s="15" t="str">
        <f>VLOOKUP(A5483,Movie!A:D,4,FALSE)</f>
        <v>Lionsgate</v>
      </c>
      <c r="H5483" s="14">
        <f>VLOOKUP(E5483,'Rental Transaction'!A:B,2,FALSE)</f>
        <v>242720</v>
      </c>
      <c r="I5483">
        <f t="shared" si="85"/>
        <v>2014</v>
      </c>
    </row>
    <row r="5484" spans="1:9">
      <c r="A5484" s="1">
        <v>10106</v>
      </c>
      <c r="B5484" s="1">
        <v>8</v>
      </c>
      <c r="C5484" s="2">
        <v>41773</v>
      </c>
      <c r="D5484" s="1" t="s">
        <v>2002</v>
      </c>
      <c r="E5484" s="1">
        <v>103902</v>
      </c>
      <c r="F5484" s="6" t="s">
        <v>7486</v>
      </c>
      <c r="G5484" s="15" t="str">
        <f>VLOOKUP(A5484,Movie!A:D,4,FALSE)</f>
        <v>Fox</v>
      </c>
      <c r="H5484" s="14">
        <f>VLOOKUP(E5484,'Rental Transaction'!A:B,2,FALSE)</f>
        <v>846558</v>
      </c>
      <c r="I5484">
        <f t="shared" si="85"/>
        <v>2014</v>
      </c>
    </row>
    <row r="5485" spans="1:9">
      <c r="A5485" s="1">
        <v>10128</v>
      </c>
      <c r="B5485" s="1">
        <v>8</v>
      </c>
      <c r="C5485" s="2">
        <v>41775</v>
      </c>
      <c r="D5485" s="1" t="s">
        <v>2005</v>
      </c>
      <c r="E5485" s="1">
        <v>103903</v>
      </c>
      <c r="F5485" s="6" t="s">
        <v>7487</v>
      </c>
      <c r="G5485" s="15" t="str">
        <f>VLOOKUP(A5485,Movie!A:D,4,FALSE)</f>
        <v>TriStar</v>
      </c>
      <c r="H5485" s="14">
        <f>VLOOKUP(E5485,'Rental Transaction'!A:B,2,FALSE)</f>
        <v>567719</v>
      </c>
      <c r="I5485">
        <f t="shared" si="85"/>
        <v>2014</v>
      </c>
    </row>
    <row r="5486" spans="1:9">
      <c r="A5486" s="1">
        <v>10235</v>
      </c>
      <c r="B5486" s="1">
        <v>5</v>
      </c>
      <c r="C5486" s="2">
        <v>41774</v>
      </c>
      <c r="D5486" s="1" t="s">
        <v>2002</v>
      </c>
      <c r="E5486" s="1">
        <v>103904</v>
      </c>
      <c r="F5486" s="6" t="s">
        <v>7488</v>
      </c>
      <c r="G5486" s="15" t="str">
        <f>VLOOKUP(A5486,Movie!A:D,4,FALSE)</f>
        <v>Lionsgate</v>
      </c>
      <c r="H5486" s="14">
        <f>VLOOKUP(E5486,'Rental Transaction'!A:B,2,FALSE)</f>
        <v>841141</v>
      </c>
      <c r="I5486">
        <f t="shared" si="85"/>
        <v>2014</v>
      </c>
    </row>
    <row r="5487" spans="1:9">
      <c r="A5487" s="1">
        <v>10286</v>
      </c>
      <c r="B5487" s="1">
        <v>7</v>
      </c>
      <c r="C5487" s="2">
        <v>41773</v>
      </c>
      <c r="D5487" s="1" t="s">
        <v>2002</v>
      </c>
      <c r="E5487" s="1">
        <v>103907</v>
      </c>
      <c r="F5487" s="6" t="s">
        <v>7489</v>
      </c>
      <c r="G5487" s="15" t="str">
        <f>VLOOKUP(A5487,Movie!A:D,4,FALSE)</f>
        <v>Fox Searchlight</v>
      </c>
      <c r="H5487" s="14">
        <f>VLOOKUP(E5487,'Rental Transaction'!A:B,2,FALSE)</f>
        <v>193914</v>
      </c>
      <c r="I5487">
        <f t="shared" si="85"/>
        <v>2014</v>
      </c>
    </row>
    <row r="5488" spans="1:9">
      <c r="A5488" s="1">
        <v>10036</v>
      </c>
      <c r="B5488" s="1">
        <v>2</v>
      </c>
      <c r="C5488" s="2">
        <v>41775</v>
      </c>
      <c r="D5488" s="1" t="s">
        <v>2002</v>
      </c>
      <c r="E5488" s="1">
        <v>103908</v>
      </c>
      <c r="F5488" s="6" t="s">
        <v>7490</v>
      </c>
      <c r="G5488" s="15" t="str">
        <f>VLOOKUP(A5488,Movie!A:D,4,FALSE)</f>
        <v>Universal</v>
      </c>
      <c r="H5488" s="14">
        <f>VLOOKUP(E5488,'Rental Transaction'!A:B,2,FALSE)</f>
        <v>897614</v>
      </c>
      <c r="I5488">
        <f t="shared" si="85"/>
        <v>2014</v>
      </c>
    </row>
    <row r="5489" spans="1:9">
      <c r="A5489" s="1">
        <v>10322</v>
      </c>
      <c r="B5489" s="1">
        <v>9</v>
      </c>
      <c r="C5489" s="2">
        <v>41777</v>
      </c>
      <c r="D5489" s="1" t="s">
        <v>2005</v>
      </c>
      <c r="E5489" s="1">
        <v>103908</v>
      </c>
      <c r="F5489" s="6" t="s">
        <v>7491</v>
      </c>
      <c r="G5489" s="15" t="str">
        <f>VLOOKUP(A5489,Movie!A:D,4,FALSE)</f>
        <v>Universal</v>
      </c>
      <c r="H5489" s="14">
        <f>VLOOKUP(E5489,'Rental Transaction'!A:B,2,FALSE)</f>
        <v>897614</v>
      </c>
      <c r="I5489">
        <f t="shared" si="85"/>
        <v>2014</v>
      </c>
    </row>
    <row r="5490" spans="1:9">
      <c r="A5490" s="1">
        <v>10100</v>
      </c>
      <c r="B5490" s="1">
        <v>7</v>
      </c>
      <c r="C5490" s="2">
        <v>41774</v>
      </c>
      <c r="D5490" s="1" t="s">
        <v>2002</v>
      </c>
      <c r="E5490" s="1">
        <v>103909</v>
      </c>
      <c r="F5490" s="6" t="s">
        <v>7492</v>
      </c>
      <c r="G5490" s="15" t="str">
        <f>VLOOKUP(A5490,Movie!A:D,4,FALSE)</f>
        <v>Fox</v>
      </c>
      <c r="H5490" s="14">
        <f>VLOOKUP(E5490,'Rental Transaction'!A:B,2,FALSE)</f>
        <v>464277</v>
      </c>
      <c r="I5490">
        <f t="shared" si="85"/>
        <v>2014</v>
      </c>
    </row>
    <row r="5491" spans="1:9">
      <c r="A5491" s="1">
        <v>10251</v>
      </c>
      <c r="B5491" s="1">
        <v>2</v>
      </c>
      <c r="C5491" s="2">
        <v>41774</v>
      </c>
      <c r="D5491" s="1" t="s">
        <v>2002</v>
      </c>
      <c r="E5491" s="1">
        <v>103910</v>
      </c>
      <c r="F5491" s="6" t="s">
        <v>7493</v>
      </c>
      <c r="G5491" s="15" t="str">
        <f>VLOOKUP(A5491,Movie!A:D,4,FALSE)</f>
        <v>Universal</v>
      </c>
      <c r="H5491" s="14">
        <f>VLOOKUP(E5491,'Rental Transaction'!A:B,2,FALSE)</f>
        <v>929344</v>
      </c>
      <c r="I5491">
        <f t="shared" si="85"/>
        <v>2014</v>
      </c>
    </row>
    <row r="5492" spans="1:9">
      <c r="A5492" s="1">
        <v>10113</v>
      </c>
      <c r="B5492" s="1">
        <v>2</v>
      </c>
      <c r="C5492" s="2">
        <v>41776</v>
      </c>
      <c r="D5492" s="1" t="s">
        <v>2002</v>
      </c>
      <c r="E5492" s="1">
        <v>103910</v>
      </c>
      <c r="F5492" s="6" t="s">
        <v>7494</v>
      </c>
      <c r="G5492" s="15" t="str">
        <f>VLOOKUP(A5492,Movie!A:D,4,FALSE)</f>
        <v>Lionsgate</v>
      </c>
      <c r="H5492" s="14">
        <f>VLOOKUP(E5492,'Rental Transaction'!A:B,2,FALSE)</f>
        <v>929344</v>
      </c>
      <c r="I5492">
        <f t="shared" si="85"/>
        <v>2014</v>
      </c>
    </row>
    <row r="5493" spans="1:9">
      <c r="A5493" s="1">
        <v>10295</v>
      </c>
      <c r="B5493" s="1">
        <v>3</v>
      </c>
      <c r="C5493" s="2">
        <v>41776</v>
      </c>
      <c r="D5493" s="1" t="s">
        <v>2002</v>
      </c>
      <c r="E5493" s="1">
        <v>103911</v>
      </c>
      <c r="F5493" s="6" t="s">
        <v>7495</v>
      </c>
      <c r="G5493" s="15" t="str">
        <f>VLOOKUP(A5493,Movie!A:D,4,FALSE)</f>
        <v>A24</v>
      </c>
      <c r="H5493" s="14">
        <f>VLOOKUP(E5493,'Rental Transaction'!A:B,2,FALSE)</f>
        <v>485769</v>
      </c>
      <c r="I5493">
        <f t="shared" si="85"/>
        <v>2014</v>
      </c>
    </row>
    <row r="5494" spans="1:9">
      <c r="A5494" s="1">
        <v>10180</v>
      </c>
      <c r="B5494" s="1">
        <v>8</v>
      </c>
      <c r="C5494" s="2">
        <v>41775</v>
      </c>
      <c r="D5494" s="1" t="s">
        <v>2002</v>
      </c>
      <c r="E5494" s="1">
        <v>103911</v>
      </c>
      <c r="F5494" s="6" t="s">
        <v>7496</v>
      </c>
      <c r="G5494" s="15" t="str">
        <f>VLOOKUP(A5494,Movie!A:D,4,FALSE)</f>
        <v>Relativity</v>
      </c>
      <c r="H5494" s="14">
        <f>VLOOKUP(E5494,'Rental Transaction'!A:B,2,FALSE)</f>
        <v>485769</v>
      </c>
      <c r="I5494">
        <f t="shared" si="85"/>
        <v>2014</v>
      </c>
    </row>
    <row r="5495" spans="1:9">
      <c r="A5495" s="1">
        <v>10078</v>
      </c>
      <c r="B5495" s="1">
        <v>1</v>
      </c>
      <c r="C5495" s="2">
        <v>41776</v>
      </c>
      <c r="D5495" s="1" t="s">
        <v>2002</v>
      </c>
      <c r="E5495" s="1">
        <v>103916</v>
      </c>
      <c r="F5495" s="6" t="s">
        <v>7497</v>
      </c>
      <c r="G5495" s="15" t="str">
        <f>VLOOKUP(A5495,Movie!A:D,4,FALSE)</f>
        <v>Paramount</v>
      </c>
      <c r="H5495" s="14">
        <f>VLOOKUP(E5495,'Rental Transaction'!A:B,2,FALSE)</f>
        <v>488295</v>
      </c>
      <c r="I5495">
        <f t="shared" si="85"/>
        <v>2014</v>
      </c>
    </row>
    <row r="5496" spans="1:9">
      <c r="A5496" s="1">
        <v>10117</v>
      </c>
      <c r="B5496" s="1">
        <v>4</v>
      </c>
      <c r="C5496" s="2">
        <v>41777</v>
      </c>
      <c r="D5496" s="1" t="s">
        <v>2002</v>
      </c>
      <c r="E5496" s="1">
        <v>103916</v>
      </c>
      <c r="F5496" s="6" t="s">
        <v>7498</v>
      </c>
      <c r="G5496" s="15" t="str">
        <f>VLOOKUP(A5496,Movie!A:D,4,FALSE)</f>
        <v>Sony</v>
      </c>
      <c r="H5496" s="14">
        <f>VLOOKUP(E5496,'Rental Transaction'!A:B,2,FALSE)</f>
        <v>488295</v>
      </c>
      <c r="I5496">
        <f t="shared" si="85"/>
        <v>2014</v>
      </c>
    </row>
    <row r="5497" spans="1:9">
      <c r="A5497" s="1">
        <v>10233</v>
      </c>
      <c r="B5497" s="1">
        <v>3</v>
      </c>
      <c r="C5497" s="2">
        <v>41779</v>
      </c>
      <c r="D5497" s="1" t="s">
        <v>2005</v>
      </c>
      <c r="E5497" s="1">
        <v>103917</v>
      </c>
      <c r="F5497" s="6" t="s">
        <v>7499</v>
      </c>
      <c r="G5497" s="15" t="str">
        <f>VLOOKUP(A5497,Movie!A:D,4,FALSE)</f>
        <v>Screen Gems</v>
      </c>
      <c r="H5497" s="14">
        <f>VLOOKUP(E5497,'Rental Transaction'!A:B,2,FALSE)</f>
        <v>767570</v>
      </c>
      <c r="I5497">
        <f t="shared" si="85"/>
        <v>2014</v>
      </c>
    </row>
    <row r="5498" spans="1:9">
      <c r="A5498" s="1">
        <v>10085</v>
      </c>
      <c r="B5498" s="1">
        <v>1</v>
      </c>
      <c r="C5498" s="2">
        <v>41777</v>
      </c>
      <c r="D5498" s="1" t="s">
        <v>2002</v>
      </c>
      <c r="E5498" s="1">
        <v>103919</v>
      </c>
      <c r="F5498" s="6" t="s">
        <v>7500</v>
      </c>
      <c r="G5498" s="15" t="str">
        <f>VLOOKUP(A5498,Movie!A:D,4,FALSE)</f>
        <v>Buena Vista</v>
      </c>
      <c r="H5498" s="14">
        <f>VLOOKUP(E5498,'Rental Transaction'!A:B,2,FALSE)</f>
        <v>880238</v>
      </c>
      <c r="I5498">
        <f t="shared" si="85"/>
        <v>2014</v>
      </c>
    </row>
    <row r="5499" spans="1:9">
      <c r="A5499" s="1">
        <v>10137</v>
      </c>
      <c r="B5499" s="1">
        <v>1</v>
      </c>
      <c r="C5499" s="2">
        <v>41781</v>
      </c>
      <c r="D5499" s="1" t="s">
        <v>2005</v>
      </c>
      <c r="E5499" s="1">
        <v>103919</v>
      </c>
      <c r="F5499" s="6" t="s">
        <v>7501</v>
      </c>
      <c r="G5499" s="15" t="str">
        <f>VLOOKUP(A5499,Movie!A:D,4,FALSE)</f>
        <v>Buena Vista</v>
      </c>
      <c r="H5499" s="14">
        <f>VLOOKUP(E5499,'Rental Transaction'!A:B,2,FALSE)</f>
        <v>880238</v>
      </c>
      <c r="I5499">
        <f t="shared" si="85"/>
        <v>2014</v>
      </c>
    </row>
    <row r="5500" spans="1:9">
      <c r="A5500" s="1">
        <v>10288</v>
      </c>
      <c r="B5500" s="1">
        <v>2</v>
      </c>
      <c r="C5500" s="2">
        <v>41776</v>
      </c>
      <c r="D5500" s="1" t="s">
        <v>2002</v>
      </c>
      <c r="E5500" s="1">
        <v>103920</v>
      </c>
      <c r="F5500" s="6" t="s">
        <v>7502</v>
      </c>
      <c r="G5500" s="15" t="str">
        <f>VLOOKUP(A5500,Movie!A:D,4,FALSE)</f>
        <v>Relativity</v>
      </c>
      <c r="H5500" s="14">
        <f>VLOOKUP(E5500,'Rental Transaction'!A:B,2,FALSE)</f>
        <v>224094</v>
      </c>
      <c r="I5500">
        <f t="shared" si="85"/>
        <v>2014</v>
      </c>
    </row>
    <row r="5501" spans="1:9">
      <c r="A5501" s="1">
        <v>10260</v>
      </c>
      <c r="B5501" s="1">
        <v>3</v>
      </c>
      <c r="C5501" s="2">
        <v>41776</v>
      </c>
      <c r="D5501" s="1" t="s">
        <v>2002</v>
      </c>
      <c r="E5501" s="1">
        <v>103920</v>
      </c>
      <c r="F5501" s="6" t="s">
        <v>7503</v>
      </c>
      <c r="G5501" s="15" t="str">
        <f>VLOOKUP(A5501,Movie!A:D,4,FALSE)</f>
        <v>Sony</v>
      </c>
      <c r="H5501" s="14">
        <f>VLOOKUP(E5501,'Rental Transaction'!A:B,2,FALSE)</f>
        <v>224094</v>
      </c>
      <c r="I5501">
        <f t="shared" si="85"/>
        <v>2014</v>
      </c>
    </row>
    <row r="5502" spans="1:9">
      <c r="A5502" s="1">
        <v>10090</v>
      </c>
      <c r="B5502" s="1">
        <v>3</v>
      </c>
      <c r="C5502" s="2">
        <v>41777</v>
      </c>
      <c r="D5502" s="1" t="s">
        <v>2002</v>
      </c>
      <c r="E5502" s="1">
        <v>103921</v>
      </c>
      <c r="F5502" s="6" t="s">
        <v>7504</v>
      </c>
      <c r="G5502" s="15" t="str">
        <f>VLOOKUP(A5502,Movie!A:D,4,FALSE)</f>
        <v>Paramount</v>
      </c>
      <c r="H5502" s="14">
        <f>VLOOKUP(E5502,'Rental Transaction'!A:B,2,FALSE)</f>
        <v>955591</v>
      </c>
      <c r="I5502">
        <f t="shared" si="85"/>
        <v>2014</v>
      </c>
    </row>
    <row r="5503" spans="1:9">
      <c r="A5503" s="1">
        <v>10269</v>
      </c>
      <c r="B5503" s="1">
        <v>5</v>
      </c>
      <c r="C5503" s="2">
        <v>41775</v>
      </c>
      <c r="D5503" s="1" t="s">
        <v>2002</v>
      </c>
      <c r="E5503" s="1">
        <v>103922</v>
      </c>
      <c r="F5503" s="6" t="s">
        <v>7505</v>
      </c>
      <c r="G5503" s="15" t="str">
        <f>VLOOKUP(A5503,Movie!A:D,4,FALSE)</f>
        <v>Buena Vista</v>
      </c>
      <c r="H5503" s="14">
        <f>VLOOKUP(E5503,'Rental Transaction'!A:B,2,FALSE)</f>
        <v>994199</v>
      </c>
      <c r="I5503">
        <f t="shared" si="85"/>
        <v>2014</v>
      </c>
    </row>
    <row r="5504" spans="1:9">
      <c r="A5504" s="1">
        <v>10204</v>
      </c>
      <c r="B5504" s="1">
        <v>10</v>
      </c>
      <c r="C5504" s="2">
        <v>41775</v>
      </c>
      <c r="D5504" s="1" t="s">
        <v>2005</v>
      </c>
      <c r="E5504" s="1">
        <v>103922</v>
      </c>
      <c r="F5504" s="6" t="s">
        <v>7506</v>
      </c>
      <c r="G5504" s="15" t="str">
        <f>VLOOKUP(A5504,Movie!A:D,4,FALSE)</f>
        <v>Universal</v>
      </c>
      <c r="H5504" s="14">
        <f>VLOOKUP(E5504,'Rental Transaction'!A:B,2,FALSE)</f>
        <v>994199</v>
      </c>
      <c r="I5504">
        <f t="shared" si="85"/>
        <v>2014</v>
      </c>
    </row>
    <row r="5505" spans="1:9">
      <c r="A5505" s="1">
        <v>10265</v>
      </c>
      <c r="B5505" s="1">
        <v>2</v>
      </c>
      <c r="C5505" s="2">
        <v>41776</v>
      </c>
      <c r="D5505" s="1" t="s">
        <v>2002</v>
      </c>
      <c r="E5505" s="1">
        <v>103923</v>
      </c>
      <c r="F5505" s="6" t="s">
        <v>7507</v>
      </c>
      <c r="G5505" s="15" t="str">
        <f>VLOOKUP(A5505,Movie!A:D,4,FALSE)</f>
        <v>Warner Brothers</v>
      </c>
      <c r="H5505" s="14">
        <f>VLOOKUP(E5505,'Rental Transaction'!A:B,2,FALSE)</f>
        <v>761615</v>
      </c>
      <c r="I5505">
        <f t="shared" si="85"/>
        <v>2014</v>
      </c>
    </row>
    <row r="5506" spans="1:9">
      <c r="A5506" s="1">
        <v>10201</v>
      </c>
      <c r="B5506" s="1">
        <v>4</v>
      </c>
      <c r="C5506" s="2">
        <v>41777</v>
      </c>
      <c r="D5506" s="1" t="s">
        <v>2002</v>
      </c>
      <c r="E5506" s="1">
        <v>103923</v>
      </c>
      <c r="F5506" s="6" t="s">
        <v>7508</v>
      </c>
      <c r="G5506" s="15" t="str">
        <f>VLOOKUP(A5506,Movie!A:D,4,FALSE)</f>
        <v>Screen Gems</v>
      </c>
      <c r="H5506" s="14">
        <f>VLOOKUP(E5506,'Rental Transaction'!A:B,2,FALSE)</f>
        <v>761615</v>
      </c>
      <c r="I5506">
        <f t="shared" si="85"/>
        <v>2014</v>
      </c>
    </row>
    <row r="5507" spans="1:9">
      <c r="A5507" s="1">
        <v>10155</v>
      </c>
      <c r="B5507" s="1">
        <v>1</v>
      </c>
      <c r="C5507" s="2">
        <v>41778</v>
      </c>
      <c r="D5507" s="1" t="s">
        <v>2002</v>
      </c>
      <c r="E5507" s="1">
        <v>103926</v>
      </c>
      <c r="F5507" s="6" t="s">
        <v>7509</v>
      </c>
      <c r="G5507" s="15" t="str">
        <f>VLOOKUP(A5507,Movie!A:D,4,FALSE)</f>
        <v>Fox</v>
      </c>
      <c r="H5507" s="14">
        <f>VLOOKUP(E5507,'Rental Transaction'!A:B,2,FALSE)</f>
        <v>866847</v>
      </c>
      <c r="I5507">
        <f t="shared" ref="I5507:I5570" si="86">YEAR(C5507)</f>
        <v>2014</v>
      </c>
    </row>
    <row r="5508" spans="1:9">
      <c r="A5508" s="1">
        <v>10204</v>
      </c>
      <c r="B5508" s="1">
        <v>10</v>
      </c>
      <c r="C5508" s="2">
        <v>41776</v>
      </c>
      <c r="D5508" s="1" t="s">
        <v>2002</v>
      </c>
      <c r="E5508" s="1">
        <v>103927</v>
      </c>
      <c r="F5508" s="6" t="s">
        <v>7510</v>
      </c>
      <c r="G5508" s="15" t="str">
        <f>VLOOKUP(A5508,Movie!A:D,4,FALSE)</f>
        <v>Universal</v>
      </c>
      <c r="H5508" s="14">
        <f>VLOOKUP(E5508,'Rental Transaction'!A:B,2,FALSE)</f>
        <v>297686</v>
      </c>
      <c r="I5508">
        <f t="shared" si="86"/>
        <v>2014</v>
      </c>
    </row>
    <row r="5509" spans="1:9">
      <c r="A5509" s="1">
        <v>10220</v>
      </c>
      <c r="B5509" s="1">
        <v>2</v>
      </c>
      <c r="C5509" s="2">
        <v>41776</v>
      </c>
      <c r="D5509" s="1" t="s">
        <v>2002</v>
      </c>
      <c r="E5509" s="1">
        <v>103927</v>
      </c>
      <c r="F5509" s="6" t="s">
        <v>7511</v>
      </c>
      <c r="G5509" s="15" t="str">
        <f>VLOOKUP(A5509,Movie!A:D,4,FALSE)</f>
        <v>Fox</v>
      </c>
      <c r="H5509" s="14">
        <f>VLOOKUP(E5509,'Rental Transaction'!A:B,2,FALSE)</f>
        <v>297686</v>
      </c>
      <c r="I5509">
        <f t="shared" si="86"/>
        <v>2014</v>
      </c>
    </row>
    <row r="5510" spans="1:9">
      <c r="A5510" s="1">
        <v>10219</v>
      </c>
      <c r="B5510" s="1">
        <v>3</v>
      </c>
      <c r="C5510" s="2">
        <v>41776</v>
      </c>
      <c r="D5510" s="1" t="s">
        <v>2002</v>
      </c>
      <c r="E5510" s="1">
        <v>103929</v>
      </c>
      <c r="F5510" s="6" t="s">
        <v>7512</v>
      </c>
      <c r="G5510" s="15" t="str">
        <f>VLOOKUP(A5510,Movie!A:D,4,FALSE)</f>
        <v>Paramount</v>
      </c>
      <c r="H5510" s="14">
        <f>VLOOKUP(E5510,'Rental Transaction'!A:B,2,FALSE)</f>
        <v>236554</v>
      </c>
      <c r="I5510">
        <f t="shared" si="86"/>
        <v>2014</v>
      </c>
    </row>
    <row r="5511" spans="1:9">
      <c r="A5511" s="1">
        <v>10065</v>
      </c>
      <c r="B5511" s="1">
        <v>4</v>
      </c>
      <c r="C5511" s="2">
        <v>41778</v>
      </c>
      <c r="D5511" s="1" t="s">
        <v>2005</v>
      </c>
      <c r="E5511" s="1">
        <v>103933</v>
      </c>
      <c r="F5511" s="6" t="s">
        <v>7513</v>
      </c>
      <c r="G5511" s="15" t="str">
        <f>VLOOKUP(A5511,Movie!A:D,4,FALSE)</f>
        <v>Warner Brothers</v>
      </c>
      <c r="H5511" s="14">
        <f>VLOOKUP(E5511,'Rental Transaction'!A:B,2,FALSE)</f>
        <v>330223</v>
      </c>
      <c r="I5511">
        <f t="shared" si="86"/>
        <v>2014</v>
      </c>
    </row>
    <row r="5512" spans="1:9">
      <c r="A5512" s="1">
        <v>10196</v>
      </c>
      <c r="B5512" s="1">
        <v>7</v>
      </c>
      <c r="C5512" s="2">
        <v>41781</v>
      </c>
      <c r="D5512" s="1" t="s">
        <v>2002</v>
      </c>
      <c r="E5512" s="1">
        <v>103934</v>
      </c>
      <c r="F5512" s="6" t="s">
        <v>7514</v>
      </c>
      <c r="G5512" s="15" t="str">
        <f>VLOOKUP(A5512,Movie!A:D,4,FALSE)</f>
        <v>Fox</v>
      </c>
      <c r="H5512" s="14">
        <f>VLOOKUP(E5512,'Rental Transaction'!A:B,2,FALSE)</f>
        <v>797968</v>
      </c>
      <c r="I5512">
        <f t="shared" si="86"/>
        <v>2014</v>
      </c>
    </row>
    <row r="5513" spans="1:9">
      <c r="A5513" s="1">
        <v>10281</v>
      </c>
      <c r="B5513" s="1">
        <v>6</v>
      </c>
      <c r="C5513" s="2">
        <v>41777</v>
      </c>
      <c r="D5513" s="1" t="s">
        <v>2002</v>
      </c>
      <c r="E5513" s="1">
        <v>103934</v>
      </c>
      <c r="F5513" s="6" t="s">
        <v>7515</v>
      </c>
      <c r="G5513" s="15" t="str">
        <f>VLOOKUP(A5513,Movie!A:D,4,FALSE)</f>
        <v>Lionsgate</v>
      </c>
      <c r="H5513" s="14">
        <f>VLOOKUP(E5513,'Rental Transaction'!A:B,2,FALSE)</f>
        <v>797968</v>
      </c>
      <c r="I5513">
        <f t="shared" si="86"/>
        <v>2014</v>
      </c>
    </row>
    <row r="5514" spans="1:9">
      <c r="A5514" s="1">
        <v>10057</v>
      </c>
      <c r="B5514" s="1">
        <v>7</v>
      </c>
      <c r="C5514" s="2">
        <v>41778</v>
      </c>
      <c r="D5514" s="1" t="s">
        <v>2002</v>
      </c>
      <c r="E5514" s="1">
        <v>103934</v>
      </c>
      <c r="F5514" s="6" t="s">
        <v>7516</v>
      </c>
      <c r="G5514" s="15" t="str">
        <f>VLOOKUP(A5514,Movie!A:D,4,FALSE)</f>
        <v>Warner Brothers</v>
      </c>
      <c r="H5514" s="14">
        <f>VLOOKUP(E5514,'Rental Transaction'!A:B,2,FALSE)</f>
        <v>797968</v>
      </c>
      <c r="I5514">
        <f t="shared" si="86"/>
        <v>2014</v>
      </c>
    </row>
    <row r="5515" spans="1:9">
      <c r="A5515" s="1">
        <v>10072</v>
      </c>
      <c r="B5515" s="1">
        <v>9</v>
      </c>
      <c r="C5515" s="2">
        <v>41779</v>
      </c>
      <c r="D5515" s="1" t="s">
        <v>2002</v>
      </c>
      <c r="E5515" s="1">
        <v>103934</v>
      </c>
      <c r="F5515" s="6" t="s">
        <v>7517</v>
      </c>
      <c r="G5515" s="15" t="str">
        <f>VLOOKUP(A5515,Movie!A:D,4,FALSE)</f>
        <v>Paramount</v>
      </c>
      <c r="H5515" s="14">
        <f>VLOOKUP(E5515,'Rental Transaction'!A:B,2,FALSE)</f>
        <v>797968</v>
      </c>
      <c r="I5515">
        <f t="shared" si="86"/>
        <v>2014</v>
      </c>
    </row>
    <row r="5516" spans="1:9">
      <c r="A5516" s="1">
        <v>10276</v>
      </c>
      <c r="B5516" s="1">
        <v>7</v>
      </c>
      <c r="C5516" s="2">
        <v>41777</v>
      </c>
      <c r="D5516" s="1" t="s">
        <v>2005</v>
      </c>
      <c r="E5516" s="1">
        <v>103936</v>
      </c>
      <c r="F5516" s="6" t="s">
        <v>7518</v>
      </c>
      <c r="G5516" s="15" t="str">
        <f>VLOOKUP(A5516,Movie!A:D,4,FALSE)</f>
        <v>FilmDistrict</v>
      </c>
      <c r="H5516" s="14">
        <f>VLOOKUP(E5516,'Rental Transaction'!A:B,2,FALSE)</f>
        <v>218889</v>
      </c>
      <c r="I5516">
        <f t="shared" si="86"/>
        <v>2014</v>
      </c>
    </row>
    <row r="5517" spans="1:9">
      <c r="A5517" s="1">
        <v>10200</v>
      </c>
      <c r="B5517" s="1">
        <v>1</v>
      </c>
      <c r="C5517" s="2">
        <v>41778</v>
      </c>
      <c r="D5517" s="1" t="s">
        <v>2005</v>
      </c>
      <c r="E5517" s="1">
        <v>103936</v>
      </c>
      <c r="F5517" s="6" t="s">
        <v>7519</v>
      </c>
      <c r="G5517" s="15" t="str">
        <f>VLOOKUP(A5517,Movie!A:D,4,FALSE)</f>
        <v>Fox</v>
      </c>
      <c r="H5517" s="14">
        <f>VLOOKUP(E5517,'Rental Transaction'!A:B,2,FALSE)</f>
        <v>218889</v>
      </c>
      <c r="I5517">
        <f t="shared" si="86"/>
        <v>2014</v>
      </c>
    </row>
    <row r="5518" spans="1:9">
      <c r="A5518" s="1">
        <v>10288</v>
      </c>
      <c r="B5518" s="1">
        <v>7</v>
      </c>
      <c r="C5518" s="2">
        <v>41777</v>
      </c>
      <c r="D5518" s="1" t="s">
        <v>2002</v>
      </c>
      <c r="E5518" s="1">
        <v>103936</v>
      </c>
      <c r="F5518" s="6" t="s">
        <v>7520</v>
      </c>
      <c r="G5518" s="15" t="str">
        <f>VLOOKUP(A5518,Movie!A:D,4,FALSE)</f>
        <v>Relativity</v>
      </c>
      <c r="H5518" s="14">
        <f>VLOOKUP(E5518,'Rental Transaction'!A:B,2,FALSE)</f>
        <v>218889</v>
      </c>
      <c r="I5518">
        <f t="shared" si="86"/>
        <v>2014</v>
      </c>
    </row>
    <row r="5519" spans="1:9">
      <c r="A5519" s="1">
        <v>10281</v>
      </c>
      <c r="B5519" s="1">
        <v>7</v>
      </c>
      <c r="C5519" s="2">
        <v>41778</v>
      </c>
      <c r="D5519" s="1" t="s">
        <v>2002</v>
      </c>
      <c r="E5519" s="1">
        <v>103937</v>
      </c>
      <c r="F5519" s="6" t="s">
        <v>7521</v>
      </c>
      <c r="G5519" s="15" t="str">
        <f>VLOOKUP(A5519,Movie!A:D,4,FALSE)</f>
        <v>Lionsgate</v>
      </c>
      <c r="H5519" s="14">
        <f>VLOOKUP(E5519,'Rental Transaction'!A:B,2,FALSE)</f>
        <v>897614</v>
      </c>
      <c r="I5519">
        <f t="shared" si="86"/>
        <v>2014</v>
      </c>
    </row>
    <row r="5520" spans="1:9">
      <c r="A5520" s="1">
        <v>10186</v>
      </c>
      <c r="B5520" s="1">
        <v>4</v>
      </c>
      <c r="C5520" s="2">
        <v>41781</v>
      </c>
      <c r="D5520" s="1" t="s">
        <v>2002</v>
      </c>
      <c r="E5520" s="1">
        <v>103939</v>
      </c>
      <c r="F5520" s="6" t="s">
        <v>7522</v>
      </c>
      <c r="G5520" s="15" t="str">
        <f>VLOOKUP(A5520,Movie!A:D,4,FALSE)</f>
        <v>Lionsgate</v>
      </c>
      <c r="H5520" s="14">
        <f>VLOOKUP(E5520,'Rental Transaction'!A:B,2,FALSE)</f>
        <v>728908</v>
      </c>
      <c r="I5520">
        <f t="shared" si="86"/>
        <v>2014</v>
      </c>
    </row>
    <row r="5521" spans="1:9">
      <c r="A5521" s="1">
        <v>10169</v>
      </c>
      <c r="B5521" s="1">
        <v>1</v>
      </c>
      <c r="C5521" s="2">
        <v>41779</v>
      </c>
      <c r="D5521" s="1" t="s">
        <v>2005</v>
      </c>
      <c r="E5521" s="1">
        <v>103939</v>
      </c>
      <c r="F5521" s="6" t="s">
        <v>7523</v>
      </c>
      <c r="G5521" s="15" t="str">
        <f>VLOOKUP(A5521,Movie!A:D,4,FALSE)</f>
        <v>Warner Brothers</v>
      </c>
      <c r="H5521" s="14">
        <f>VLOOKUP(E5521,'Rental Transaction'!A:B,2,FALSE)</f>
        <v>728908</v>
      </c>
      <c r="I5521">
        <f t="shared" si="86"/>
        <v>2014</v>
      </c>
    </row>
    <row r="5522" spans="1:9">
      <c r="A5522" s="1">
        <v>10185</v>
      </c>
      <c r="B5522" s="1">
        <v>7</v>
      </c>
      <c r="C5522" s="2">
        <v>41780</v>
      </c>
      <c r="D5522" s="1" t="s">
        <v>2002</v>
      </c>
      <c r="E5522" s="1">
        <v>103940</v>
      </c>
      <c r="F5522" s="6" t="s">
        <v>7524</v>
      </c>
      <c r="G5522" s="15" t="str">
        <f>VLOOKUP(A5522,Movie!A:D,4,FALSE)</f>
        <v>Warner Brothers</v>
      </c>
      <c r="H5522" s="14">
        <f>VLOOKUP(E5522,'Rental Transaction'!A:B,2,FALSE)</f>
        <v>271531</v>
      </c>
      <c r="I5522">
        <f t="shared" si="86"/>
        <v>2014</v>
      </c>
    </row>
    <row r="5523" spans="1:9" ht="29.25">
      <c r="A5523" s="1">
        <v>10285</v>
      </c>
      <c r="B5523" s="1">
        <v>4</v>
      </c>
      <c r="C5523" s="2">
        <v>41779</v>
      </c>
      <c r="D5523" s="1" t="s">
        <v>2002</v>
      </c>
      <c r="E5523" s="1">
        <v>103946</v>
      </c>
      <c r="F5523" s="6" t="s">
        <v>7525</v>
      </c>
      <c r="G5523" s="15" t="str">
        <f>VLOOKUP(A5523,Movie!A:D,4,FALSE)</f>
        <v>Roadside Attractions</v>
      </c>
      <c r="H5523" s="14">
        <f>VLOOKUP(E5523,'Rental Transaction'!A:B,2,FALSE)</f>
        <v>767570</v>
      </c>
      <c r="I5523">
        <f t="shared" si="86"/>
        <v>2014</v>
      </c>
    </row>
    <row r="5524" spans="1:9">
      <c r="A5524" s="1">
        <v>10112</v>
      </c>
      <c r="B5524" s="1">
        <v>1</v>
      </c>
      <c r="C5524" s="2">
        <v>41781</v>
      </c>
      <c r="D5524" s="1" t="s">
        <v>2002</v>
      </c>
      <c r="E5524" s="1">
        <v>103946</v>
      </c>
      <c r="F5524" s="6" t="s">
        <v>7526</v>
      </c>
      <c r="G5524" s="15" t="str">
        <f>VLOOKUP(A5524,Movie!A:D,4,FALSE)</f>
        <v>Relativity</v>
      </c>
      <c r="H5524" s="14">
        <f>VLOOKUP(E5524,'Rental Transaction'!A:B,2,FALSE)</f>
        <v>767570</v>
      </c>
      <c r="I5524">
        <f t="shared" si="86"/>
        <v>2014</v>
      </c>
    </row>
    <row r="5525" spans="1:9">
      <c r="A5525" s="1">
        <v>10137</v>
      </c>
      <c r="B5525" s="1">
        <v>3</v>
      </c>
      <c r="C5525" s="2">
        <v>41781</v>
      </c>
      <c r="D5525" s="1" t="s">
        <v>2002</v>
      </c>
      <c r="E5525" s="1">
        <v>103947</v>
      </c>
      <c r="F5525" s="6" t="s">
        <v>7527</v>
      </c>
      <c r="G5525" s="15" t="str">
        <f>VLOOKUP(A5525,Movie!A:D,4,FALSE)</f>
        <v>Buena Vista</v>
      </c>
      <c r="H5525" s="14">
        <f>VLOOKUP(E5525,'Rental Transaction'!A:B,2,FALSE)</f>
        <v>841831</v>
      </c>
      <c r="I5525">
        <f t="shared" si="86"/>
        <v>2014</v>
      </c>
    </row>
    <row r="5526" spans="1:9">
      <c r="A5526" s="1">
        <v>10272</v>
      </c>
      <c r="B5526" s="1">
        <v>5</v>
      </c>
      <c r="C5526" s="2">
        <v>41780</v>
      </c>
      <c r="D5526" s="1" t="s">
        <v>2002</v>
      </c>
      <c r="E5526" s="1">
        <v>103948</v>
      </c>
      <c r="F5526" s="6" t="s">
        <v>7528</v>
      </c>
      <c r="G5526" s="15" t="str">
        <f>VLOOKUP(A5526,Movie!A:D,4,FALSE)</f>
        <v>Sony</v>
      </c>
      <c r="H5526" s="14">
        <f>VLOOKUP(E5526,'Rental Transaction'!A:B,2,FALSE)</f>
        <v>448993</v>
      </c>
      <c r="I5526">
        <f t="shared" si="86"/>
        <v>2014</v>
      </c>
    </row>
    <row r="5527" spans="1:9">
      <c r="A5527" s="1">
        <v>10245</v>
      </c>
      <c r="B5527" s="1">
        <v>5</v>
      </c>
      <c r="C5527" s="2">
        <v>41780</v>
      </c>
      <c r="D5527" s="1" t="s">
        <v>2002</v>
      </c>
      <c r="E5527" s="1">
        <v>103948</v>
      </c>
      <c r="F5527" s="6" t="s">
        <v>7529</v>
      </c>
      <c r="G5527" s="15" t="str">
        <f>VLOOKUP(A5527,Movie!A:D,4,FALSE)</f>
        <v>Warner Brothers</v>
      </c>
      <c r="H5527" s="14">
        <f>VLOOKUP(E5527,'Rental Transaction'!A:B,2,FALSE)</f>
        <v>448993</v>
      </c>
      <c r="I5527">
        <f t="shared" si="86"/>
        <v>2014</v>
      </c>
    </row>
    <row r="5528" spans="1:9">
      <c r="A5528" s="1">
        <v>10259</v>
      </c>
      <c r="B5528" s="1">
        <v>8</v>
      </c>
      <c r="C5528" s="2">
        <v>41779</v>
      </c>
      <c r="D5528" s="1" t="s">
        <v>2002</v>
      </c>
      <c r="E5528" s="1">
        <v>103949</v>
      </c>
      <c r="F5528" s="6" t="s">
        <v>7530</v>
      </c>
      <c r="G5528" s="15" t="str">
        <f>VLOOKUP(A5528,Movie!A:D,4,FALSE)</f>
        <v>Warner Brothers</v>
      </c>
      <c r="H5528" s="14">
        <f>VLOOKUP(E5528,'Rental Transaction'!A:B,2,FALSE)</f>
        <v>970794</v>
      </c>
      <c r="I5528">
        <f t="shared" si="86"/>
        <v>2014</v>
      </c>
    </row>
    <row r="5529" spans="1:9">
      <c r="A5529" s="1">
        <v>10160</v>
      </c>
      <c r="B5529" s="1">
        <v>5</v>
      </c>
      <c r="C5529" s="2">
        <v>41779</v>
      </c>
      <c r="D5529" s="1" t="s">
        <v>2002</v>
      </c>
      <c r="E5529" s="1">
        <v>103949</v>
      </c>
      <c r="F5529" s="6" t="s">
        <v>7531</v>
      </c>
      <c r="G5529" s="15" t="str">
        <f>VLOOKUP(A5529,Movie!A:D,4,FALSE)</f>
        <v>Lionsgate</v>
      </c>
      <c r="H5529" s="14">
        <f>VLOOKUP(E5529,'Rental Transaction'!A:B,2,FALSE)</f>
        <v>970794</v>
      </c>
      <c r="I5529">
        <f t="shared" si="86"/>
        <v>2014</v>
      </c>
    </row>
    <row r="5530" spans="1:9">
      <c r="A5530" s="1">
        <v>10193</v>
      </c>
      <c r="B5530" s="1">
        <v>2</v>
      </c>
      <c r="C5530" s="2">
        <v>41781</v>
      </c>
      <c r="D5530" s="1" t="s">
        <v>2002</v>
      </c>
      <c r="E5530" s="1">
        <v>103949</v>
      </c>
      <c r="F5530" s="6" t="s">
        <v>7532</v>
      </c>
      <c r="G5530" s="15" t="str">
        <f>VLOOKUP(A5530,Movie!A:D,4,FALSE)</f>
        <v>Fox</v>
      </c>
      <c r="H5530" s="14">
        <f>VLOOKUP(E5530,'Rental Transaction'!A:B,2,FALSE)</f>
        <v>970794</v>
      </c>
      <c r="I5530">
        <f t="shared" si="86"/>
        <v>2014</v>
      </c>
    </row>
    <row r="5531" spans="1:9" ht="29.25">
      <c r="A5531" s="1">
        <v>10285</v>
      </c>
      <c r="B5531" s="1">
        <v>4</v>
      </c>
      <c r="C5531" s="2">
        <v>41779</v>
      </c>
      <c r="D5531" s="1" t="s">
        <v>2002</v>
      </c>
      <c r="E5531" s="1">
        <v>103950</v>
      </c>
      <c r="F5531" s="6" t="s">
        <v>7533</v>
      </c>
      <c r="G5531" s="15" t="str">
        <f>VLOOKUP(A5531,Movie!A:D,4,FALSE)</f>
        <v>Roadside Attractions</v>
      </c>
      <c r="H5531" s="14">
        <f>VLOOKUP(E5531,'Rental Transaction'!A:B,2,FALSE)</f>
        <v>612681</v>
      </c>
      <c r="I5531">
        <f t="shared" si="86"/>
        <v>2014</v>
      </c>
    </row>
    <row r="5532" spans="1:9">
      <c r="A5532" s="1">
        <v>10252</v>
      </c>
      <c r="B5532" s="1">
        <v>9</v>
      </c>
      <c r="C5532" s="2">
        <v>41779</v>
      </c>
      <c r="D5532" s="1" t="s">
        <v>2002</v>
      </c>
      <c r="E5532" s="1">
        <v>103951</v>
      </c>
      <c r="F5532" s="6" t="s">
        <v>7534</v>
      </c>
      <c r="G5532" s="15" t="str">
        <f>VLOOKUP(A5532,Movie!A:D,4,FALSE)</f>
        <v>Warner Brothers</v>
      </c>
      <c r="H5532" s="14">
        <f>VLOOKUP(E5532,'Rental Transaction'!A:B,2,FALSE)</f>
        <v>689877</v>
      </c>
      <c r="I5532">
        <f t="shared" si="86"/>
        <v>2014</v>
      </c>
    </row>
    <row r="5533" spans="1:9">
      <c r="A5533" s="1">
        <v>10280</v>
      </c>
      <c r="B5533" s="1">
        <v>4</v>
      </c>
      <c r="C5533" s="2">
        <v>41780</v>
      </c>
      <c r="D5533" s="1" t="s">
        <v>2002</v>
      </c>
      <c r="E5533" s="1">
        <v>103952</v>
      </c>
      <c r="F5533" s="6" t="s">
        <v>7535</v>
      </c>
      <c r="G5533" s="15" t="str">
        <f>VLOOKUP(A5533,Movie!A:D,4,FALSE)</f>
        <v>Universal</v>
      </c>
      <c r="H5533" s="14">
        <f>VLOOKUP(E5533,'Rental Transaction'!A:B,2,FALSE)</f>
        <v>866847</v>
      </c>
      <c r="I5533">
        <f t="shared" si="86"/>
        <v>2014</v>
      </c>
    </row>
    <row r="5534" spans="1:9">
      <c r="A5534" s="1">
        <v>10235</v>
      </c>
      <c r="B5534" s="1">
        <v>6</v>
      </c>
      <c r="C5534" s="2">
        <v>41780</v>
      </c>
      <c r="D5534" s="1" t="s">
        <v>2002</v>
      </c>
      <c r="E5534" s="1">
        <v>103954</v>
      </c>
      <c r="F5534" s="6" t="s">
        <v>7536</v>
      </c>
      <c r="G5534" s="15" t="str">
        <f>VLOOKUP(A5534,Movie!A:D,4,FALSE)</f>
        <v>Lionsgate</v>
      </c>
      <c r="H5534" s="14">
        <f>VLOOKUP(E5534,'Rental Transaction'!A:B,2,FALSE)</f>
        <v>265707</v>
      </c>
      <c r="I5534">
        <f t="shared" si="86"/>
        <v>2014</v>
      </c>
    </row>
    <row r="5535" spans="1:9">
      <c r="A5535" s="1">
        <v>10217</v>
      </c>
      <c r="B5535" s="1">
        <v>10</v>
      </c>
      <c r="C5535" s="2">
        <v>41780</v>
      </c>
      <c r="D5535" s="1" t="s">
        <v>2002</v>
      </c>
      <c r="E5535" s="1">
        <v>103955</v>
      </c>
      <c r="F5535" s="6" t="s">
        <v>7537</v>
      </c>
      <c r="G5535" s="15" t="str">
        <f>VLOOKUP(A5535,Movie!A:D,4,FALSE)</f>
        <v>Warner Brothers</v>
      </c>
      <c r="H5535" s="14">
        <f>VLOOKUP(E5535,'Rental Transaction'!A:B,2,FALSE)</f>
        <v>714277</v>
      </c>
      <c r="I5535">
        <f t="shared" si="86"/>
        <v>2014</v>
      </c>
    </row>
    <row r="5536" spans="1:9">
      <c r="A5536" s="1">
        <v>10184</v>
      </c>
      <c r="B5536" s="1">
        <v>10</v>
      </c>
      <c r="C5536" s="2">
        <v>41782</v>
      </c>
      <c r="D5536" s="1" t="s">
        <v>2002</v>
      </c>
      <c r="E5536" s="1">
        <v>103955</v>
      </c>
      <c r="F5536" s="6" t="s">
        <v>7538</v>
      </c>
      <c r="G5536" s="15" t="str">
        <f>VLOOKUP(A5536,Movie!A:D,4,FALSE)</f>
        <v>Universal</v>
      </c>
      <c r="H5536" s="14">
        <f>VLOOKUP(E5536,'Rental Transaction'!A:B,2,FALSE)</f>
        <v>714277</v>
      </c>
      <c r="I5536">
        <f t="shared" si="86"/>
        <v>2014</v>
      </c>
    </row>
    <row r="5537" spans="1:9">
      <c r="A5537" s="1">
        <v>10283</v>
      </c>
      <c r="B5537" s="1">
        <v>10</v>
      </c>
      <c r="C5537" s="2">
        <v>41780</v>
      </c>
      <c r="D5537" s="1" t="s">
        <v>2002</v>
      </c>
      <c r="E5537" s="1">
        <v>103956</v>
      </c>
      <c r="F5537" s="6" t="s">
        <v>7539</v>
      </c>
      <c r="G5537" s="15" t="str">
        <f>VLOOKUP(A5537,Movie!A:D,4,FALSE)</f>
        <v>TriStar</v>
      </c>
      <c r="H5537" s="14">
        <f>VLOOKUP(E5537,'Rental Transaction'!A:B,2,FALSE)</f>
        <v>818287</v>
      </c>
      <c r="I5537">
        <f t="shared" si="86"/>
        <v>2014</v>
      </c>
    </row>
    <row r="5538" spans="1:9">
      <c r="A5538" s="1">
        <v>10198</v>
      </c>
      <c r="B5538" s="1">
        <v>2</v>
      </c>
      <c r="C5538" s="2">
        <v>41781</v>
      </c>
      <c r="D5538" s="1" t="s">
        <v>2002</v>
      </c>
      <c r="E5538" s="1">
        <v>103956</v>
      </c>
      <c r="F5538" s="6" t="s">
        <v>7540</v>
      </c>
      <c r="G5538" s="15" t="str">
        <f>VLOOKUP(A5538,Movie!A:D,4,FALSE)</f>
        <v>Fox</v>
      </c>
      <c r="H5538" s="14">
        <f>VLOOKUP(E5538,'Rental Transaction'!A:B,2,FALSE)</f>
        <v>818287</v>
      </c>
      <c r="I5538">
        <f t="shared" si="86"/>
        <v>2014</v>
      </c>
    </row>
    <row r="5539" spans="1:9">
      <c r="A5539" s="1">
        <v>10236</v>
      </c>
      <c r="B5539" s="1">
        <v>8</v>
      </c>
      <c r="C5539" s="2">
        <v>41781</v>
      </c>
      <c r="D5539" s="1" t="s">
        <v>2002</v>
      </c>
      <c r="E5539" s="1">
        <v>103956</v>
      </c>
      <c r="F5539" s="6" t="s">
        <v>7541</v>
      </c>
      <c r="G5539" s="15" t="str">
        <f>VLOOKUP(A5539,Movie!A:D,4,FALSE)</f>
        <v>Lionsgate</v>
      </c>
      <c r="H5539" s="14">
        <f>VLOOKUP(E5539,'Rental Transaction'!A:B,2,FALSE)</f>
        <v>818287</v>
      </c>
      <c r="I5539">
        <f t="shared" si="86"/>
        <v>2014</v>
      </c>
    </row>
    <row r="5540" spans="1:9">
      <c r="A5540" s="1">
        <v>10031</v>
      </c>
      <c r="B5540" s="1">
        <v>3</v>
      </c>
      <c r="C5540" s="2">
        <v>41780</v>
      </c>
      <c r="D5540" s="1" t="s">
        <v>2002</v>
      </c>
      <c r="E5540" s="1">
        <v>103957</v>
      </c>
      <c r="F5540" s="6" t="s">
        <v>7542</v>
      </c>
      <c r="G5540" s="15" t="str">
        <f>VLOOKUP(A5540,Movie!A:D,4,FALSE)</f>
        <v>Warner Brothers</v>
      </c>
      <c r="H5540" s="14">
        <f>VLOOKUP(E5540,'Rental Transaction'!A:B,2,FALSE)</f>
        <v>757780</v>
      </c>
      <c r="I5540">
        <f t="shared" si="86"/>
        <v>2014</v>
      </c>
    </row>
    <row r="5541" spans="1:9">
      <c r="A5541" s="1">
        <v>10228</v>
      </c>
      <c r="B5541" s="1">
        <v>7</v>
      </c>
      <c r="C5541" s="2">
        <v>41781</v>
      </c>
      <c r="D5541" s="1" t="s">
        <v>2002</v>
      </c>
      <c r="E5541" s="1">
        <v>103959</v>
      </c>
      <c r="F5541" s="6" t="s">
        <v>7543</v>
      </c>
      <c r="G5541" s="15" t="str">
        <f>VLOOKUP(A5541,Movie!A:D,4,FALSE)</f>
        <v>Universal</v>
      </c>
      <c r="H5541" s="14">
        <f>VLOOKUP(E5541,'Rental Transaction'!A:B,2,FALSE)</f>
        <v>344702</v>
      </c>
      <c r="I5541">
        <f t="shared" si="86"/>
        <v>2014</v>
      </c>
    </row>
    <row r="5542" spans="1:9">
      <c r="A5542" s="1">
        <v>10102</v>
      </c>
      <c r="B5542" s="1">
        <v>9</v>
      </c>
      <c r="C5542" s="2">
        <v>41786</v>
      </c>
      <c r="D5542" s="1" t="s">
        <v>2002</v>
      </c>
      <c r="E5542" s="1">
        <v>103959</v>
      </c>
      <c r="F5542" s="6" t="s">
        <v>7544</v>
      </c>
      <c r="G5542" s="15" t="str">
        <f>VLOOKUP(A5542,Movie!A:D,4,FALSE)</f>
        <v>Universal</v>
      </c>
      <c r="H5542" s="14">
        <f>VLOOKUP(E5542,'Rental Transaction'!A:B,2,FALSE)</f>
        <v>344702</v>
      </c>
      <c r="I5542">
        <f t="shared" si="86"/>
        <v>2014</v>
      </c>
    </row>
    <row r="5543" spans="1:9">
      <c r="A5543" s="1">
        <v>10200</v>
      </c>
      <c r="B5543" s="1">
        <v>1</v>
      </c>
      <c r="C5543" s="2">
        <v>41783</v>
      </c>
      <c r="D5543" s="1" t="s">
        <v>2002</v>
      </c>
      <c r="E5543" s="1">
        <v>103960</v>
      </c>
      <c r="F5543" s="6" t="s">
        <v>7545</v>
      </c>
      <c r="G5543" s="15" t="str">
        <f>VLOOKUP(A5543,Movie!A:D,4,FALSE)</f>
        <v>Fox</v>
      </c>
      <c r="H5543" s="14">
        <f>VLOOKUP(E5543,'Rental Transaction'!A:B,2,FALSE)</f>
        <v>225489</v>
      </c>
      <c r="I5543">
        <f t="shared" si="86"/>
        <v>2014</v>
      </c>
    </row>
    <row r="5544" spans="1:9" ht="29.25">
      <c r="A5544" s="1">
        <v>10140</v>
      </c>
      <c r="B5544" s="1">
        <v>8</v>
      </c>
      <c r="C5544" s="2">
        <v>41782</v>
      </c>
      <c r="D5544" s="1" t="s">
        <v>2002</v>
      </c>
      <c r="E5544" s="1">
        <v>103961</v>
      </c>
      <c r="F5544" s="6" t="s">
        <v>7546</v>
      </c>
      <c r="G5544" s="15" t="str">
        <f>VLOOKUP(A5544,Movie!A:D,4,FALSE)</f>
        <v>Weinstein Company</v>
      </c>
      <c r="H5544" s="14">
        <f>VLOOKUP(E5544,'Rental Transaction'!A:B,2,FALSE)</f>
        <v>996970</v>
      </c>
      <c r="I5544">
        <f t="shared" si="86"/>
        <v>2014</v>
      </c>
    </row>
    <row r="5545" spans="1:9">
      <c r="A5545" s="1">
        <v>10207</v>
      </c>
      <c r="B5545" s="1">
        <v>7</v>
      </c>
      <c r="C5545" s="2">
        <v>41782</v>
      </c>
      <c r="D5545" s="1" t="s">
        <v>2002</v>
      </c>
      <c r="E5545" s="1">
        <v>103963</v>
      </c>
      <c r="F5545" s="6" t="s">
        <v>7547</v>
      </c>
      <c r="G5545" s="15" t="str">
        <f>VLOOKUP(A5545,Movie!A:D,4,FALSE)</f>
        <v>Paramount</v>
      </c>
      <c r="H5545" s="14">
        <f>VLOOKUP(E5545,'Rental Transaction'!A:B,2,FALSE)</f>
        <v>498970</v>
      </c>
      <c r="I5545">
        <f t="shared" si="86"/>
        <v>2014</v>
      </c>
    </row>
    <row r="5546" spans="1:9">
      <c r="A5546" s="1">
        <v>10270</v>
      </c>
      <c r="B5546" s="1">
        <v>1</v>
      </c>
      <c r="C5546" s="2">
        <v>41782</v>
      </c>
      <c r="D5546" s="1" t="s">
        <v>2005</v>
      </c>
      <c r="E5546" s="1">
        <v>103964</v>
      </c>
      <c r="F5546" s="6" t="s">
        <v>7548</v>
      </c>
      <c r="G5546" s="15" t="str">
        <f>VLOOKUP(A5546,Movie!A:D,4,FALSE)</f>
        <v>Fox</v>
      </c>
      <c r="H5546" s="14">
        <f>VLOOKUP(E5546,'Rental Transaction'!A:B,2,FALSE)</f>
        <v>580783</v>
      </c>
      <c r="I5546">
        <f t="shared" si="86"/>
        <v>2014</v>
      </c>
    </row>
    <row r="5547" spans="1:9">
      <c r="A5547" s="1">
        <v>10124</v>
      </c>
      <c r="B5547" s="1">
        <v>3</v>
      </c>
      <c r="C5547" s="2">
        <v>41782</v>
      </c>
      <c r="D5547" s="1" t="s">
        <v>2002</v>
      </c>
      <c r="E5547" s="1">
        <v>103964</v>
      </c>
      <c r="F5547" s="6" t="s">
        <v>7549</v>
      </c>
      <c r="G5547" s="15" t="str">
        <f>VLOOKUP(A5547,Movie!A:D,4,FALSE)</f>
        <v>Paramount</v>
      </c>
      <c r="H5547" s="14">
        <f>VLOOKUP(E5547,'Rental Transaction'!A:B,2,FALSE)</f>
        <v>580783</v>
      </c>
      <c r="I5547">
        <f t="shared" si="86"/>
        <v>2014</v>
      </c>
    </row>
    <row r="5548" spans="1:9">
      <c r="A5548" s="1">
        <v>10265</v>
      </c>
      <c r="B5548" s="1">
        <v>2</v>
      </c>
      <c r="C5548" s="2">
        <v>41783</v>
      </c>
      <c r="D5548" s="1" t="s">
        <v>2005</v>
      </c>
      <c r="E5548" s="1">
        <v>103967</v>
      </c>
      <c r="F5548" s="6" t="s">
        <v>7550</v>
      </c>
      <c r="G5548" s="15" t="str">
        <f>VLOOKUP(A5548,Movie!A:D,4,FALSE)</f>
        <v>Warner Brothers</v>
      </c>
      <c r="H5548" s="14">
        <f>VLOOKUP(E5548,'Rental Transaction'!A:B,2,FALSE)</f>
        <v>427391</v>
      </c>
      <c r="I5548">
        <f t="shared" si="86"/>
        <v>2014</v>
      </c>
    </row>
    <row r="5549" spans="1:9">
      <c r="A5549" s="1">
        <v>10128</v>
      </c>
      <c r="B5549" s="1">
        <v>2</v>
      </c>
      <c r="C5549" s="2">
        <v>41783</v>
      </c>
      <c r="D5549" s="1" t="s">
        <v>2005</v>
      </c>
      <c r="E5549" s="1">
        <v>103967</v>
      </c>
      <c r="F5549" s="6" t="s">
        <v>7551</v>
      </c>
      <c r="G5549" s="15" t="str">
        <f>VLOOKUP(A5549,Movie!A:D,4,FALSE)</f>
        <v>TriStar</v>
      </c>
      <c r="H5549" s="14">
        <f>VLOOKUP(E5549,'Rental Transaction'!A:B,2,FALSE)</f>
        <v>427391</v>
      </c>
      <c r="I5549">
        <f t="shared" si="86"/>
        <v>2014</v>
      </c>
    </row>
    <row r="5550" spans="1:9">
      <c r="A5550" s="1">
        <v>10259</v>
      </c>
      <c r="B5550" s="1">
        <v>8</v>
      </c>
      <c r="C5550" s="2">
        <v>41782</v>
      </c>
      <c r="D5550" s="1" t="s">
        <v>2002</v>
      </c>
      <c r="E5550" s="1">
        <v>103967</v>
      </c>
      <c r="F5550" s="6" t="s">
        <v>7552</v>
      </c>
      <c r="G5550" s="15" t="str">
        <f>VLOOKUP(A5550,Movie!A:D,4,FALSE)</f>
        <v>Warner Brothers</v>
      </c>
      <c r="H5550" s="14">
        <f>VLOOKUP(E5550,'Rental Transaction'!A:B,2,FALSE)</f>
        <v>427391</v>
      </c>
      <c r="I5550">
        <f t="shared" si="86"/>
        <v>2014</v>
      </c>
    </row>
    <row r="5551" spans="1:9">
      <c r="A5551" s="1">
        <v>10087</v>
      </c>
      <c r="B5551" s="1">
        <v>8</v>
      </c>
      <c r="C5551" s="2">
        <v>41782</v>
      </c>
      <c r="D5551" s="1" t="s">
        <v>2002</v>
      </c>
      <c r="E5551" s="1">
        <v>103968</v>
      </c>
      <c r="F5551" s="6" t="s">
        <v>7553</v>
      </c>
      <c r="G5551" s="15" t="str">
        <f>VLOOKUP(A5551,Movie!A:D,4,FALSE)</f>
        <v>Lionsgate</v>
      </c>
      <c r="H5551" s="14">
        <f>VLOOKUP(E5551,'Rental Transaction'!A:B,2,FALSE)</f>
        <v>524667</v>
      </c>
      <c r="I5551">
        <f t="shared" si="86"/>
        <v>2014</v>
      </c>
    </row>
    <row r="5552" spans="1:9">
      <c r="A5552" s="1">
        <v>10289</v>
      </c>
      <c r="B5552" s="1">
        <v>7</v>
      </c>
      <c r="C5552" s="2">
        <v>41785</v>
      </c>
      <c r="D5552" s="1" t="s">
        <v>2002</v>
      </c>
      <c r="E5552" s="1">
        <v>103968</v>
      </c>
      <c r="F5552" s="6" t="s">
        <v>7554</v>
      </c>
      <c r="G5552" s="15" t="str">
        <f>VLOOKUP(A5552,Movie!A:D,4,FALSE)</f>
        <v>Open Road Films</v>
      </c>
      <c r="H5552" s="14">
        <f>VLOOKUP(E5552,'Rental Transaction'!A:B,2,FALSE)</f>
        <v>524667</v>
      </c>
      <c r="I5552">
        <f t="shared" si="86"/>
        <v>2014</v>
      </c>
    </row>
    <row r="5553" spans="1:9">
      <c r="A5553" s="1">
        <v>10260</v>
      </c>
      <c r="B5553" s="1">
        <v>9</v>
      </c>
      <c r="C5553" s="2">
        <v>41782</v>
      </c>
      <c r="D5553" s="1" t="s">
        <v>2002</v>
      </c>
      <c r="E5553" s="1">
        <v>103970</v>
      </c>
      <c r="F5553" s="6" t="s">
        <v>7555</v>
      </c>
      <c r="G5553" s="15" t="str">
        <f>VLOOKUP(A5553,Movie!A:D,4,FALSE)</f>
        <v>Sony</v>
      </c>
      <c r="H5553" s="14">
        <f>VLOOKUP(E5553,'Rental Transaction'!A:B,2,FALSE)</f>
        <v>961080</v>
      </c>
      <c r="I5553">
        <f t="shared" si="86"/>
        <v>2014</v>
      </c>
    </row>
    <row r="5554" spans="1:9" ht="29.25">
      <c r="A5554" s="1">
        <v>10239</v>
      </c>
      <c r="B5554" s="1">
        <v>2</v>
      </c>
      <c r="C5554" s="2">
        <v>41782</v>
      </c>
      <c r="D5554" s="1" t="s">
        <v>2002</v>
      </c>
      <c r="E5554" s="1">
        <v>103971</v>
      </c>
      <c r="F5554" s="6" t="s">
        <v>7556</v>
      </c>
      <c r="G5554" s="15" t="str">
        <f>VLOOKUP(A5554,Movie!A:D,4,FALSE)</f>
        <v>Weinstein Company</v>
      </c>
      <c r="H5554" s="14">
        <f>VLOOKUP(E5554,'Rental Transaction'!A:B,2,FALSE)</f>
        <v>599995</v>
      </c>
      <c r="I5554">
        <f t="shared" si="86"/>
        <v>2014</v>
      </c>
    </row>
    <row r="5555" spans="1:9">
      <c r="A5555" s="1">
        <v>10149</v>
      </c>
      <c r="B5555" s="1">
        <v>10</v>
      </c>
      <c r="C5555" s="2">
        <v>41782</v>
      </c>
      <c r="D5555" s="1" t="s">
        <v>2002</v>
      </c>
      <c r="E5555" s="1">
        <v>103971</v>
      </c>
      <c r="F5555" s="6" t="s">
        <v>7557</v>
      </c>
      <c r="G5555" s="15" t="str">
        <f>VLOOKUP(A5555,Movie!A:D,4,FALSE)</f>
        <v>Relativity</v>
      </c>
      <c r="H5555" s="14">
        <f>VLOOKUP(E5555,'Rental Transaction'!A:B,2,FALSE)</f>
        <v>599995</v>
      </c>
      <c r="I5555">
        <f t="shared" si="86"/>
        <v>2014</v>
      </c>
    </row>
    <row r="5556" spans="1:9">
      <c r="A5556" s="1">
        <v>10039</v>
      </c>
      <c r="B5556" s="1">
        <v>1</v>
      </c>
      <c r="C5556" s="2">
        <v>41783</v>
      </c>
      <c r="D5556" s="1" t="s">
        <v>2005</v>
      </c>
      <c r="E5556" s="1">
        <v>103972</v>
      </c>
      <c r="F5556" s="6" t="s">
        <v>7558</v>
      </c>
      <c r="G5556" s="15" t="str">
        <f>VLOOKUP(A5556,Movie!A:D,4,FALSE)</f>
        <v>Open Road Films</v>
      </c>
      <c r="H5556" s="14">
        <f>VLOOKUP(E5556,'Rental Transaction'!A:B,2,FALSE)</f>
        <v>927518</v>
      </c>
      <c r="I5556">
        <f t="shared" si="86"/>
        <v>2014</v>
      </c>
    </row>
    <row r="5557" spans="1:9" ht="29.25">
      <c r="A5557" s="1">
        <v>10121</v>
      </c>
      <c r="B5557" s="1">
        <v>6</v>
      </c>
      <c r="C5557" s="2">
        <v>41782</v>
      </c>
      <c r="D5557" s="1" t="s">
        <v>2002</v>
      </c>
      <c r="E5557" s="1">
        <v>103972</v>
      </c>
      <c r="F5557" s="6" t="s">
        <v>7559</v>
      </c>
      <c r="G5557" s="15" t="str">
        <f>VLOOKUP(A5557,Movie!A:D,4,FALSE)</f>
        <v>Weinstein Company</v>
      </c>
      <c r="H5557" s="14">
        <f>VLOOKUP(E5557,'Rental Transaction'!A:B,2,FALSE)</f>
        <v>927518</v>
      </c>
      <c r="I5557">
        <f t="shared" si="86"/>
        <v>2014</v>
      </c>
    </row>
    <row r="5558" spans="1:9">
      <c r="A5558" s="1">
        <v>10207</v>
      </c>
      <c r="B5558" s="1">
        <v>9</v>
      </c>
      <c r="C5558" s="2">
        <v>41783</v>
      </c>
      <c r="D5558" s="1" t="s">
        <v>2002</v>
      </c>
      <c r="E5558" s="1">
        <v>103972</v>
      </c>
      <c r="F5558" s="6" t="s">
        <v>7560</v>
      </c>
      <c r="G5558" s="15" t="str">
        <f>VLOOKUP(A5558,Movie!A:D,4,FALSE)</f>
        <v>Paramount</v>
      </c>
      <c r="H5558" s="14">
        <f>VLOOKUP(E5558,'Rental Transaction'!A:B,2,FALSE)</f>
        <v>927518</v>
      </c>
      <c r="I5558">
        <f t="shared" si="86"/>
        <v>2014</v>
      </c>
    </row>
    <row r="5559" spans="1:9">
      <c r="A5559" s="1">
        <v>10129</v>
      </c>
      <c r="B5559" s="1">
        <v>4</v>
      </c>
      <c r="C5559" s="2">
        <v>41784</v>
      </c>
      <c r="D5559" s="1" t="s">
        <v>2002</v>
      </c>
      <c r="E5559" s="1">
        <v>103973</v>
      </c>
      <c r="F5559" s="6" t="s">
        <v>7561</v>
      </c>
      <c r="G5559" s="15" t="str">
        <f>VLOOKUP(A5559,Movie!A:D,4,FALSE)</f>
        <v>Warner Brothers</v>
      </c>
      <c r="H5559" s="14">
        <f>VLOOKUP(E5559,'Rental Transaction'!A:B,2,FALSE)</f>
        <v>951701</v>
      </c>
      <c r="I5559">
        <f t="shared" si="86"/>
        <v>2014</v>
      </c>
    </row>
    <row r="5560" spans="1:9">
      <c r="A5560" s="1">
        <v>10254</v>
      </c>
      <c r="B5560" s="1">
        <v>7</v>
      </c>
      <c r="C5560" s="2">
        <v>41785</v>
      </c>
      <c r="D5560" s="1" t="s">
        <v>2002</v>
      </c>
      <c r="E5560" s="1">
        <v>103974</v>
      </c>
      <c r="F5560" s="6" t="s">
        <v>7562</v>
      </c>
      <c r="G5560" s="15" t="str">
        <f>VLOOKUP(A5560,Movie!A:D,4,FALSE)</f>
        <v>Paramount</v>
      </c>
      <c r="H5560" s="14">
        <f>VLOOKUP(E5560,'Rental Transaction'!A:B,2,FALSE)</f>
        <v>480298</v>
      </c>
      <c r="I5560">
        <f t="shared" si="86"/>
        <v>2014</v>
      </c>
    </row>
    <row r="5561" spans="1:9">
      <c r="A5561" s="1">
        <v>10295</v>
      </c>
      <c r="B5561" s="1">
        <v>9</v>
      </c>
      <c r="C5561" s="2">
        <v>41783</v>
      </c>
      <c r="D5561" s="1" t="s">
        <v>2002</v>
      </c>
      <c r="E5561" s="1">
        <v>103975</v>
      </c>
      <c r="F5561" s="6" t="s">
        <v>7563</v>
      </c>
      <c r="G5561" s="15" t="str">
        <f>VLOOKUP(A5561,Movie!A:D,4,FALSE)</f>
        <v>A24</v>
      </c>
      <c r="H5561" s="14">
        <f>VLOOKUP(E5561,'Rental Transaction'!A:B,2,FALSE)</f>
        <v>274541</v>
      </c>
      <c r="I5561">
        <f t="shared" si="86"/>
        <v>2014</v>
      </c>
    </row>
    <row r="5562" spans="1:9">
      <c r="A5562" s="1">
        <v>10033</v>
      </c>
      <c r="B5562" s="1">
        <v>1</v>
      </c>
      <c r="C5562" s="2">
        <v>41783</v>
      </c>
      <c r="D5562" s="1" t="s">
        <v>2002</v>
      </c>
      <c r="E5562" s="1">
        <v>103977</v>
      </c>
      <c r="F5562" s="6" t="s">
        <v>7564</v>
      </c>
      <c r="G5562" s="15" t="str">
        <f>VLOOKUP(A5562,Movie!A:D,4,FALSE)</f>
        <v>Lionsgate</v>
      </c>
      <c r="H5562" s="14">
        <f>VLOOKUP(E5562,'Rental Transaction'!A:B,2,FALSE)</f>
        <v>404678</v>
      </c>
      <c r="I5562">
        <f t="shared" si="86"/>
        <v>2014</v>
      </c>
    </row>
    <row r="5563" spans="1:9">
      <c r="A5563" s="1">
        <v>10252</v>
      </c>
      <c r="B5563" s="1">
        <v>5</v>
      </c>
      <c r="C5563" s="2">
        <v>41783</v>
      </c>
      <c r="D5563" s="1" t="s">
        <v>2002</v>
      </c>
      <c r="E5563" s="1">
        <v>103979</v>
      </c>
      <c r="F5563" s="6" t="s">
        <v>7565</v>
      </c>
      <c r="G5563" s="15" t="str">
        <f>VLOOKUP(A5563,Movie!A:D,4,FALSE)</f>
        <v>Warner Brothers</v>
      </c>
      <c r="H5563" s="14">
        <f>VLOOKUP(E5563,'Rental Transaction'!A:B,2,FALSE)</f>
        <v>147543</v>
      </c>
      <c r="I5563">
        <f t="shared" si="86"/>
        <v>2014</v>
      </c>
    </row>
    <row r="5564" spans="1:9">
      <c r="A5564" s="1">
        <v>10194</v>
      </c>
      <c r="B5564" s="1">
        <v>10</v>
      </c>
      <c r="C5564" s="2">
        <v>41783</v>
      </c>
      <c r="D5564" s="1" t="s">
        <v>2002</v>
      </c>
      <c r="E5564" s="1">
        <v>103980</v>
      </c>
      <c r="F5564" s="6" t="s">
        <v>7566</v>
      </c>
      <c r="G5564" s="15" t="str">
        <f>VLOOKUP(A5564,Movie!A:D,4,FALSE)</f>
        <v>FilmDistrict</v>
      </c>
      <c r="H5564" s="14">
        <f>VLOOKUP(E5564,'Rental Transaction'!A:B,2,FALSE)</f>
        <v>493552</v>
      </c>
      <c r="I5564">
        <f t="shared" si="86"/>
        <v>2014</v>
      </c>
    </row>
    <row r="5565" spans="1:9">
      <c r="A5565" s="1">
        <v>10283</v>
      </c>
      <c r="B5565" s="1">
        <v>1</v>
      </c>
      <c r="C5565" s="2">
        <v>41784</v>
      </c>
      <c r="D5565" s="1" t="s">
        <v>2002</v>
      </c>
      <c r="E5565" s="1">
        <v>103985</v>
      </c>
      <c r="F5565" s="6" t="s">
        <v>7567</v>
      </c>
      <c r="G5565" s="15" t="str">
        <f>VLOOKUP(A5565,Movie!A:D,4,FALSE)</f>
        <v>TriStar</v>
      </c>
      <c r="H5565" s="14">
        <f>VLOOKUP(E5565,'Rental Transaction'!A:B,2,FALSE)</f>
        <v>723057</v>
      </c>
      <c r="I5565">
        <f t="shared" si="86"/>
        <v>2014</v>
      </c>
    </row>
    <row r="5566" spans="1:9">
      <c r="A5566" s="1">
        <v>10225</v>
      </c>
      <c r="B5566" s="1">
        <v>3</v>
      </c>
      <c r="C5566" s="2">
        <v>41787</v>
      </c>
      <c r="D5566" s="1" t="s">
        <v>2002</v>
      </c>
      <c r="E5566" s="1">
        <v>103986</v>
      </c>
      <c r="F5566" s="6" t="s">
        <v>7568</v>
      </c>
      <c r="G5566" s="15" t="str">
        <f>VLOOKUP(A5566,Movie!A:D,4,FALSE)</f>
        <v>Warner Brothers</v>
      </c>
      <c r="H5566" s="14">
        <f>VLOOKUP(E5566,'Rental Transaction'!A:B,2,FALSE)</f>
        <v>452874</v>
      </c>
      <c r="I5566">
        <f t="shared" si="86"/>
        <v>2014</v>
      </c>
    </row>
    <row r="5567" spans="1:9">
      <c r="A5567" s="1">
        <v>10229</v>
      </c>
      <c r="B5567" s="1">
        <v>1</v>
      </c>
      <c r="C5567" s="2">
        <v>41785</v>
      </c>
      <c r="D5567" s="1" t="s">
        <v>2002</v>
      </c>
      <c r="E5567" s="1">
        <v>103986</v>
      </c>
      <c r="F5567" s="6" t="s">
        <v>7569</v>
      </c>
      <c r="G5567" s="15" t="str">
        <f>VLOOKUP(A5567,Movie!A:D,4,FALSE)</f>
        <v>TriStar</v>
      </c>
      <c r="H5567" s="14">
        <f>VLOOKUP(E5567,'Rental Transaction'!A:B,2,FALSE)</f>
        <v>452874</v>
      </c>
      <c r="I5567">
        <f t="shared" si="86"/>
        <v>2014</v>
      </c>
    </row>
    <row r="5568" spans="1:9">
      <c r="A5568" s="1">
        <v>10204</v>
      </c>
      <c r="B5568" s="1">
        <v>5</v>
      </c>
      <c r="C5568" s="2">
        <v>41784</v>
      </c>
      <c r="D5568" s="1" t="s">
        <v>2002</v>
      </c>
      <c r="E5568" s="1">
        <v>103987</v>
      </c>
      <c r="F5568" s="6" t="s">
        <v>7570</v>
      </c>
      <c r="G5568" s="15" t="str">
        <f>VLOOKUP(A5568,Movie!A:D,4,FALSE)</f>
        <v>Universal</v>
      </c>
      <c r="H5568" s="14">
        <f>VLOOKUP(E5568,'Rental Transaction'!A:B,2,FALSE)</f>
        <v>679354</v>
      </c>
      <c r="I5568">
        <f t="shared" si="86"/>
        <v>2014</v>
      </c>
    </row>
    <row r="5569" spans="1:9">
      <c r="A5569" s="1">
        <v>10127</v>
      </c>
      <c r="B5569" s="1">
        <v>10</v>
      </c>
      <c r="C5569" s="2">
        <v>41784</v>
      </c>
      <c r="D5569" s="1" t="s">
        <v>2002</v>
      </c>
      <c r="E5569" s="1">
        <v>103988</v>
      </c>
      <c r="F5569" s="6" t="s">
        <v>7571</v>
      </c>
      <c r="G5569" s="15" t="str">
        <f>VLOOKUP(A5569,Movie!A:D,4,FALSE)</f>
        <v>TriStar</v>
      </c>
      <c r="H5569" s="14">
        <f>VLOOKUP(E5569,'Rental Transaction'!A:B,2,FALSE)</f>
        <v>317461</v>
      </c>
      <c r="I5569">
        <f t="shared" si="86"/>
        <v>2014</v>
      </c>
    </row>
    <row r="5570" spans="1:9">
      <c r="A5570" s="1">
        <v>10223</v>
      </c>
      <c r="B5570" s="1">
        <v>9</v>
      </c>
      <c r="C5570" s="2">
        <v>41787</v>
      </c>
      <c r="D5570" s="1" t="s">
        <v>2005</v>
      </c>
      <c r="E5570" s="1">
        <v>103990</v>
      </c>
      <c r="F5570" s="6" t="s">
        <v>7572</v>
      </c>
      <c r="G5570" s="15" t="str">
        <f>VLOOKUP(A5570,Movie!A:D,4,FALSE)</f>
        <v>Universal</v>
      </c>
      <c r="H5570" s="14">
        <f>VLOOKUP(E5570,'Rental Transaction'!A:B,2,FALSE)</f>
        <v>550661</v>
      </c>
      <c r="I5570">
        <f t="shared" si="86"/>
        <v>2014</v>
      </c>
    </row>
    <row r="5571" spans="1:9">
      <c r="A5571" s="1">
        <v>10256</v>
      </c>
      <c r="B5571" s="1">
        <v>8</v>
      </c>
      <c r="C5571" s="2">
        <v>41785</v>
      </c>
      <c r="D5571" s="1" t="s">
        <v>2002</v>
      </c>
      <c r="E5571" s="1">
        <v>103992</v>
      </c>
      <c r="F5571" s="6" t="s">
        <v>7573</v>
      </c>
      <c r="G5571" s="15" t="str">
        <f>VLOOKUP(A5571,Movie!A:D,4,FALSE)</f>
        <v>Fox</v>
      </c>
      <c r="H5571" s="14">
        <f>VLOOKUP(E5571,'Rental Transaction'!A:B,2,FALSE)</f>
        <v>680104</v>
      </c>
      <c r="I5571">
        <f t="shared" ref="I5571:I5634" si="87">YEAR(C5571)</f>
        <v>2014</v>
      </c>
    </row>
    <row r="5572" spans="1:9">
      <c r="A5572" s="1">
        <v>10039</v>
      </c>
      <c r="B5572" s="1">
        <v>6</v>
      </c>
      <c r="C5572" s="2">
        <v>41789</v>
      </c>
      <c r="D5572" s="1" t="s">
        <v>2002</v>
      </c>
      <c r="E5572" s="1">
        <v>103993</v>
      </c>
      <c r="F5572" s="6" t="s">
        <v>7574</v>
      </c>
      <c r="G5572" s="15" t="str">
        <f>VLOOKUP(A5572,Movie!A:D,4,FALSE)</f>
        <v>Open Road Films</v>
      </c>
      <c r="H5572" s="14">
        <f>VLOOKUP(E5572,'Rental Transaction'!A:B,2,FALSE)</f>
        <v>448739</v>
      </c>
      <c r="I5572">
        <f t="shared" si="87"/>
        <v>2014</v>
      </c>
    </row>
    <row r="5573" spans="1:9">
      <c r="A5573" s="1">
        <v>10289</v>
      </c>
      <c r="B5573" s="1">
        <v>1</v>
      </c>
      <c r="C5573" s="2">
        <v>41785</v>
      </c>
      <c r="D5573" s="1" t="s">
        <v>2002</v>
      </c>
      <c r="E5573" s="1">
        <v>103993</v>
      </c>
      <c r="F5573" s="6" t="s">
        <v>7575</v>
      </c>
      <c r="G5573" s="15" t="str">
        <f>VLOOKUP(A5573,Movie!A:D,4,FALSE)</f>
        <v>Open Road Films</v>
      </c>
      <c r="H5573" s="14">
        <f>VLOOKUP(E5573,'Rental Transaction'!A:B,2,FALSE)</f>
        <v>448739</v>
      </c>
      <c r="I5573">
        <f t="shared" si="87"/>
        <v>2014</v>
      </c>
    </row>
    <row r="5574" spans="1:9">
      <c r="A5574" s="1">
        <v>10215</v>
      </c>
      <c r="B5574" s="1">
        <v>9</v>
      </c>
      <c r="C5574" s="2">
        <v>41787</v>
      </c>
      <c r="D5574" s="1" t="s">
        <v>2005</v>
      </c>
      <c r="E5574" s="1">
        <v>103994</v>
      </c>
      <c r="F5574" s="6" t="s">
        <v>7576</v>
      </c>
      <c r="G5574" s="15" t="str">
        <f>VLOOKUP(A5574,Movie!A:D,4,FALSE)</f>
        <v>Paramount</v>
      </c>
      <c r="H5574" s="14">
        <f>VLOOKUP(E5574,'Rental Transaction'!A:B,2,FALSE)</f>
        <v>890270</v>
      </c>
      <c r="I5574">
        <f t="shared" si="87"/>
        <v>2014</v>
      </c>
    </row>
    <row r="5575" spans="1:9">
      <c r="A5575" s="1">
        <v>10193</v>
      </c>
      <c r="B5575" s="1">
        <v>4</v>
      </c>
      <c r="C5575" s="2">
        <v>41791</v>
      </c>
      <c r="D5575" s="1" t="s">
        <v>2005</v>
      </c>
      <c r="E5575" s="1">
        <v>103995</v>
      </c>
      <c r="F5575" s="6" t="s">
        <v>7577</v>
      </c>
      <c r="G5575" s="15" t="str">
        <f>VLOOKUP(A5575,Movie!A:D,4,FALSE)</f>
        <v>Fox</v>
      </c>
      <c r="H5575" s="14">
        <f>VLOOKUP(E5575,'Rental Transaction'!A:B,2,FALSE)</f>
        <v>592592</v>
      </c>
      <c r="I5575">
        <f t="shared" si="87"/>
        <v>2014</v>
      </c>
    </row>
    <row r="5576" spans="1:9">
      <c r="A5576" s="1">
        <v>10213</v>
      </c>
      <c r="B5576" s="1">
        <v>7</v>
      </c>
      <c r="C5576" s="2">
        <v>41788</v>
      </c>
      <c r="D5576" s="1" t="s">
        <v>2002</v>
      </c>
      <c r="E5576" s="1">
        <v>103996</v>
      </c>
      <c r="F5576" s="6" t="s">
        <v>7578</v>
      </c>
      <c r="G5576" s="15" t="str">
        <f>VLOOKUP(A5576,Movie!A:D,4,FALSE)</f>
        <v>Sony</v>
      </c>
      <c r="H5576" s="14">
        <f>VLOOKUP(E5576,'Rental Transaction'!A:B,2,FALSE)</f>
        <v>746134</v>
      </c>
      <c r="I5576">
        <f t="shared" si="87"/>
        <v>2014</v>
      </c>
    </row>
    <row r="5577" spans="1:9">
      <c r="A5577" s="1">
        <v>10233</v>
      </c>
      <c r="B5577" s="1">
        <v>10</v>
      </c>
      <c r="C5577" s="2">
        <v>41787</v>
      </c>
      <c r="D5577" s="1" t="s">
        <v>2002</v>
      </c>
      <c r="E5577" s="1">
        <v>103996</v>
      </c>
      <c r="F5577" s="6" t="s">
        <v>7579</v>
      </c>
      <c r="G5577" s="15" t="str">
        <f>VLOOKUP(A5577,Movie!A:D,4,FALSE)</f>
        <v>Screen Gems</v>
      </c>
      <c r="H5577" s="14">
        <f>VLOOKUP(E5577,'Rental Transaction'!A:B,2,FALSE)</f>
        <v>746134</v>
      </c>
      <c r="I5577">
        <f t="shared" si="87"/>
        <v>2014</v>
      </c>
    </row>
    <row r="5578" spans="1:9" ht="29.25">
      <c r="A5578" s="1">
        <v>10164</v>
      </c>
      <c r="B5578" s="1">
        <v>4</v>
      </c>
      <c r="C5578" s="2">
        <v>41786</v>
      </c>
      <c r="D5578" s="1" t="s">
        <v>2005</v>
      </c>
      <c r="E5578" s="1">
        <v>103997</v>
      </c>
      <c r="F5578" s="6" t="s">
        <v>7580</v>
      </c>
      <c r="G5578" s="15" t="str">
        <f>VLOOKUP(A5578,Movie!A:D,4,FALSE)</f>
        <v>Weinstein Company</v>
      </c>
      <c r="H5578" s="14">
        <f>VLOOKUP(E5578,'Rental Transaction'!A:B,2,FALSE)</f>
        <v>373200</v>
      </c>
      <c r="I5578">
        <f t="shared" si="87"/>
        <v>2014</v>
      </c>
    </row>
    <row r="5579" spans="1:9">
      <c r="A5579" s="1">
        <v>10234</v>
      </c>
      <c r="B5579" s="1">
        <v>5</v>
      </c>
      <c r="C5579" s="2">
        <v>41786</v>
      </c>
      <c r="D5579" s="1" t="s">
        <v>2002</v>
      </c>
      <c r="E5579" s="1">
        <v>103998</v>
      </c>
      <c r="F5579" s="6" t="s">
        <v>7581</v>
      </c>
      <c r="G5579" s="15" t="str">
        <f>VLOOKUP(A5579,Movie!A:D,4,FALSE)</f>
        <v>Warner Brothers</v>
      </c>
      <c r="H5579" s="14">
        <f>VLOOKUP(E5579,'Rental Transaction'!A:B,2,FALSE)</f>
        <v>407605</v>
      </c>
      <c r="I5579">
        <f t="shared" si="87"/>
        <v>2014</v>
      </c>
    </row>
    <row r="5580" spans="1:9">
      <c r="A5580" s="1">
        <v>10250</v>
      </c>
      <c r="B5580" s="1">
        <v>2</v>
      </c>
      <c r="C5580" s="2">
        <v>41786</v>
      </c>
      <c r="D5580" s="1" t="s">
        <v>2005</v>
      </c>
      <c r="E5580" s="1">
        <v>103999</v>
      </c>
      <c r="F5580" s="6" t="s">
        <v>7582</v>
      </c>
      <c r="G5580" s="15" t="str">
        <f>VLOOKUP(A5580,Movie!A:D,4,FALSE)</f>
        <v>Buena Vista</v>
      </c>
      <c r="H5580" s="14">
        <f>VLOOKUP(E5580,'Rental Transaction'!A:B,2,FALSE)</f>
        <v>766737</v>
      </c>
      <c r="I5580">
        <f t="shared" si="87"/>
        <v>2014</v>
      </c>
    </row>
    <row r="5581" spans="1:9">
      <c r="A5581" s="1">
        <v>10265</v>
      </c>
      <c r="B5581" s="1">
        <v>7</v>
      </c>
      <c r="C5581" s="2">
        <v>41788</v>
      </c>
      <c r="D5581" s="1" t="s">
        <v>2005</v>
      </c>
      <c r="E5581" s="1">
        <v>103999</v>
      </c>
      <c r="F5581" s="6" t="s">
        <v>7583</v>
      </c>
      <c r="G5581" s="15" t="str">
        <f>VLOOKUP(A5581,Movie!A:D,4,FALSE)</f>
        <v>Warner Brothers</v>
      </c>
      <c r="H5581" s="14">
        <f>VLOOKUP(E5581,'Rental Transaction'!A:B,2,FALSE)</f>
        <v>766737</v>
      </c>
      <c r="I5581">
        <f t="shared" si="87"/>
        <v>2014</v>
      </c>
    </row>
    <row r="5582" spans="1:9">
      <c r="A5582" s="1">
        <v>10201</v>
      </c>
      <c r="B5582" s="1">
        <v>9</v>
      </c>
      <c r="C5582" s="2">
        <v>41786</v>
      </c>
      <c r="D5582" s="1" t="s">
        <v>2005</v>
      </c>
      <c r="E5582" s="1">
        <v>104001</v>
      </c>
      <c r="F5582" s="6" t="s">
        <v>7584</v>
      </c>
      <c r="G5582" s="15" t="str">
        <f>VLOOKUP(A5582,Movie!A:D,4,FALSE)</f>
        <v>Screen Gems</v>
      </c>
      <c r="H5582" s="14">
        <f>VLOOKUP(E5582,'Rental Transaction'!A:B,2,FALSE)</f>
        <v>706884</v>
      </c>
      <c r="I5582">
        <f t="shared" si="87"/>
        <v>2014</v>
      </c>
    </row>
    <row r="5583" spans="1:9">
      <c r="A5583" s="1">
        <v>10072</v>
      </c>
      <c r="B5583" s="1">
        <v>2</v>
      </c>
      <c r="C5583" s="2">
        <v>41787</v>
      </c>
      <c r="D5583" s="1" t="s">
        <v>2002</v>
      </c>
      <c r="E5583" s="1">
        <v>104001</v>
      </c>
      <c r="F5583" s="6" t="s">
        <v>7585</v>
      </c>
      <c r="G5583" s="15" t="str">
        <f>VLOOKUP(A5583,Movie!A:D,4,FALSE)</f>
        <v>Paramount</v>
      </c>
      <c r="H5583" s="14">
        <f>VLOOKUP(E5583,'Rental Transaction'!A:B,2,FALSE)</f>
        <v>706884</v>
      </c>
      <c r="I5583">
        <f t="shared" si="87"/>
        <v>2014</v>
      </c>
    </row>
    <row r="5584" spans="1:9">
      <c r="A5584" s="1">
        <v>10236</v>
      </c>
      <c r="B5584" s="1">
        <v>2</v>
      </c>
      <c r="C5584" s="2">
        <v>41786</v>
      </c>
      <c r="D5584" s="1" t="s">
        <v>2002</v>
      </c>
      <c r="E5584" s="1">
        <v>104002</v>
      </c>
      <c r="F5584" s="6" t="s">
        <v>7586</v>
      </c>
      <c r="G5584" s="15" t="str">
        <f>VLOOKUP(A5584,Movie!A:D,4,FALSE)</f>
        <v>Lionsgate</v>
      </c>
      <c r="H5584" s="14">
        <f>VLOOKUP(E5584,'Rental Transaction'!A:B,2,FALSE)</f>
        <v>736500</v>
      </c>
      <c r="I5584">
        <f t="shared" si="87"/>
        <v>2014</v>
      </c>
    </row>
    <row r="5585" spans="1:9">
      <c r="A5585" s="1">
        <v>10211</v>
      </c>
      <c r="B5585" s="1">
        <v>3</v>
      </c>
      <c r="C5585" s="2">
        <v>41787</v>
      </c>
      <c r="D5585" s="1" t="s">
        <v>2005</v>
      </c>
      <c r="E5585" s="1">
        <v>104002</v>
      </c>
      <c r="F5585" s="6" t="s">
        <v>7587</v>
      </c>
      <c r="G5585" s="15" t="str">
        <f>VLOOKUP(A5585,Movie!A:D,4,FALSE)</f>
        <v>Buena Vista</v>
      </c>
      <c r="H5585" s="14">
        <f>VLOOKUP(E5585,'Rental Transaction'!A:B,2,FALSE)</f>
        <v>736500</v>
      </c>
      <c r="I5585">
        <f t="shared" si="87"/>
        <v>2014</v>
      </c>
    </row>
    <row r="5586" spans="1:9">
      <c r="A5586" s="1">
        <v>10115</v>
      </c>
      <c r="B5586" s="1">
        <v>5</v>
      </c>
      <c r="C5586" s="2">
        <v>41786</v>
      </c>
      <c r="D5586" s="1" t="s">
        <v>2002</v>
      </c>
      <c r="E5586" s="1">
        <v>104002</v>
      </c>
      <c r="F5586" s="6" t="s">
        <v>7588</v>
      </c>
      <c r="G5586" s="15" t="str">
        <f>VLOOKUP(A5586,Movie!A:D,4,FALSE)</f>
        <v>Open Road Films</v>
      </c>
      <c r="H5586" s="14">
        <f>VLOOKUP(E5586,'Rental Transaction'!A:B,2,FALSE)</f>
        <v>736500</v>
      </c>
      <c r="I5586">
        <f t="shared" si="87"/>
        <v>2014</v>
      </c>
    </row>
    <row r="5587" spans="1:9">
      <c r="A5587" s="1">
        <v>10260</v>
      </c>
      <c r="B5587" s="1">
        <v>2</v>
      </c>
      <c r="C5587" s="2">
        <v>41788</v>
      </c>
      <c r="D5587" s="1" t="s">
        <v>2002</v>
      </c>
      <c r="E5587" s="1">
        <v>104003</v>
      </c>
      <c r="F5587" s="6" t="s">
        <v>7589</v>
      </c>
      <c r="G5587" s="15" t="str">
        <f>VLOOKUP(A5587,Movie!A:D,4,FALSE)</f>
        <v>Sony</v>
      </c>
      <c r="H5587" s="14">
        <f>VLOOKUP(E5587,'Rental Transaction'!A:B,2,FALSE)</f>
        <v>882493</v>
      </c>
      <c r="I5587">
        <f t="shared" si="87"/>
        <v>2014</v>
      </c>
    </row>
    <row r="5588" spans="1:9">
      <c r="A5588" s="1">
        <v>10040</v>
      </c>
      <c r="B5588" s="1">
        <v>1</v>
      </c>
      <c r="C5588" s="2">
        <v>41787</v>
      </c>
      <c r="D5588" s="1" t="s">
        <v>2002</v>
      </c>
      <c r="E5588" s="1">
        <v>104006</v>
      </c>
      <c r="F5588" s="6" t="s">
        <v>7590</v>
      </c>
      <c r="G5588" s="15" t="str">
        <f>VLOOKUP(A5588,Movie!A:D,4,FALSE)</f>
        <v>Universal</v>
      </c>
      <c r="H5588" s="14">
        <f>VLOOKUP(E5588,'Rental Transaction'!A:B,2,FALSE)</f>
        <v>548800</v>
      </c>
      <c r="I5588">
        <f t="shared" si="87"/>
        <v>2014</v>
      </c>
    </row>
    <row r="5589" spans="1:9">
      <c r="A5589" s="1">
        <v>10202</v>
      </c>
      <c r="B5589" s="1">
        <v>3</v>
      </c>
      <c r="C5589" s="2">
        <v>41787</v>
      </c>
      <c r="D5589" s="1" t="s">
        <v>2002</v>
      </c>
      <c r="E5589" s="1">
        <v>104007</v>
      </c>
      <c r="F5589" s="6" t="s">
        <v>7591</v>
      </c>
      <c r="G5589" s="15" t="str">
        <f>VLOOKUP(A5589,Movie!A:D,4,FALSE)</f>
        <v>Warner Brothers</v>
      </c>
      <c r="H5589" s="14">
        <f>VLOOKUP(E5589,'Rental Transaction'!A:B,2,FALSE)</f>
        <v>806545</v>
      </c>
      <c r="I5589">
        <f t="shared" si="87"/>
        <v>2014</v>
      </c>
    </row>
    <row r="5590" spans="1:9">
      <c r="A5590" s="1">
        <v>10248</v>
      </c>
      <c r="B5590" s="1">
        <v>9</v>
      </c>
      <c r="C5590" s="2">
        <v>41787</v>
      </c>
      <c r="D5590" s="1" t="s">
        <v>2002</v>
      </c>
      <c r="E5590" s="1">
        <v>104008</v>
      </c>
      <c r="F5590" s="6" t="s">
        <v>7592</v>
      </c>
      <c r="G5590" s="15" t="str">
        <f>VLOOKUP(A5590,Movie!A:D,4,FALSE)</f>
        <v>Relativity</v>
      </c>
      <c r="H5590" s="14">
        <f>VLOOKUP(E5590,'Rental Transaction'!A:B,2,FALSE)</f>
        <v>900440</v>
      </c>
      <c r="I5590">
        <f t="shared" si="87"/>
        <v>2014</v>
      </c>
    </row>
    <row r="5591" spans="1:9">
      <c r="A5591" s="1">
        <v>10118</v>
      </c>
      <c r="B5591" s="1">
        <v>1</v>
      </c>
      <c r="C5591" s="2">
        <v>41787</v>
      </c>
      <c r="D5591" s="1" t="s">
        <v>2005</v>
      </c>
      <c r="E5591" s="1">
        <v>104009</v>
      </c>
      <c r="F5591" s="6" t="s">
        <v>7593</v>
      </c>
      <c r="G5591" s="15" t="str">
        <f>VLOOKUP(A5591,Movie!A:D,4,FALSE)</f>
        <v>Buena Vista</v>
      </c>
      <c r="H5591" s="14">
        <f>VLOOKUP(E5591,'Rental Transaction'!A:B,2,FALSE)</f>
        <v>404678</v>
      </c>
      <c r="I5591">
        <f t="shared" si="87"/>
        <v>2014</v>
      </c>
    </row>
    <row r="5592" spans="1:9">
      <c r="A5592" s="1">
        <v>10349</v>
      </c>
      <c r="B5592" s="1">
        <v>10</v>
      </c>
      <c r="C5592" s="2">
        <v>41790</v>
      </c>
      <c r="D5592" s="1" t="s">
        <v>2002</v>
      </c>
      <c r="E5592" s="1">
        <v>104010</v>
      </c>
      <c r="F5592" s="6" t="s">
        <v>7594</v>
      </c>
      <c r="G5592" s="15" t="str">
        <f>VLOOKUP(A5592,Movie!A:D,4,FALSE)</f>
        <v>Screen Gems</v>
      </c>
      <c r="H5592" s="14">
        <f>VLOOKUP(E5592,'Rental Transaction'!A:B,2,FALSE)</f>
        <v>561305</v>
      </c>
      <c r="I5592">
        <f t="shared" si="87"/>
        <v>2014</v>
      </c>
    </row>
    <row r="5593" spans="1:9">
      <c r="A5593" s="1">
        <v>10193</v>
      </c>
      <c r="B5593" s="1">
        <v>9</v>
      </c>
      <c r="C5593" s="2">
        <v>41790</v>
      </c>
      <c r="D5593" s="1" t="s">
        <v>2005</v>
      </c>
      <c r="E5593" s="1">
        <v>104011</v>
      </c>
      <c r="F5593" s="6" t="s">
        <v>7595</v>
      </c>
      <c r="G5593" s="15" t="str">
        <f>VLOOKUP(A5593,Movie!A:D,4,FALSE)</f>
        <v>Fox</v>
      </c>
      <c r="H5593" s="14">
        <f>VLOOKUP(E5593,'Rental Transaction'!A:B,2,FALSE)</f>
        <v>456457</v>
      </c>
      <c r="I5593">
        <f t="shared" si="87"/>
        <v>2014</v>
      </c>
    </row>
    <row r="5594" spans="1:9">
      <c r="A5594" s="1">
        <v>10250</v>
      </c>
      <c r="B5594" s="1">
        <v>2</v>
      </c>
      <c r="C5594" s="2">
        <v>41788</v>
      </c>
      <c r="D5594" s="1" t="s">
        <v>2005</v>
      </c>
      <c r="E5594" s="1">
        <v>104012</v>
      </c>
      <c r="F5594" s="6" t="s">
        <v>7596</v>
      </c>
      <c r="G5594" s="15" t="str">
        <f>VLOOKUP(A5594,Movie!A:D,4,FALSE)</f>
        <v>Buena Vista</v>
      </c>
      <c r="H5594" s="14">
        <f>VLOOKUP(E5594,'Rental Transaction'!A:B,2,FALSE)</f>
        <v>665313</v>
      </c>
      <c r="I5594">
        <f t="shared" si="87"/>
        <v>2014</v>
      </c>
    </row>
    <row r="5595" spans="1:9">
      <c r="A5595" s="1">
        <v>10054</v>
      </c>
      <c r="B5595" s="1">
        <v>10</v>
      </c>
      <c r="C5595" s="2">
        <v>41788</v>
      </c>
      <c r="D5595" s="1" t="s">
        <v>2002</v>
      </c>
      <c r="E5595" s="1">
        <v>104015</v>
      </c>
      <c r="F5595" s="6" t="s">
        <v>7597</v>
      </c>
      <c r="G5595" s="15" t="str">
        <f>VLOOKUP(A5595,Movie!A:D,4,FALSE)</f>
        <v>Paramount</v>
      </c>
      <c r="H5595" s="14">
        <f>VLOOKUP(E5595,'Rental Transaction'!A:B,2,FALSE)</f>
        <v>888759</v>
      </c>
      <c r="I5595">
        <f t="shared" si="87"/>
        <v>2014</v>
      </c>
    </row>
    <row r="5596" spans="1:9">
      <c r="A5596" s="1">
        <v>10175</v>
      </c>
      <c r="B5596" s="1">
        <v>5</v>
      </c>
      <c r="C5596" s="2">
        <v>41789</v>
      </c>
      <c r="D5596" s="1" t="s">
        <v>2002</v>
      </c>
      <c r="E5596" s="1">
        <v>104015</v>
      </c>
      <c r="F5596" s="6" t="s">
        <v>7598</v>
      </c>
      <c r="G5596" s="15" t="str">
        <f>VLOOKUP(A5596,Movie!A:D,4,FALSE)</f>
        <v>Buena Vista</v>
      </c>
      <c r="H5596" s="14">
        <f>VLOOKUP(E5596,'Rental Transaction'!A:B,2,FALSE)</f>
        <v>888759</v>
      </c>
      <c r="I5596">
        <f t="shared" si="87"/>
        <v>2014</v>
      </c>
    </row>
    <row r="5597" spans="1:9">
      <c r="A5597" s="1">
        <v>10271</v>
      </c>
      <c r="B5597" s="1">
        <v>3</v>
      </c>
      <c r="C5597" s="2">
        <v>41788</v>
      </c>
      <c r="D5597" s="1" t="s">
        <v>2002</v>
      </c>
      <c r="E5597" s="1">
        <v>104015</v>
      </c>
      <c r="F5597" s="6" t="s">
        <v>7599</v>
      </c>
      <c r="G5597" s="15" t="str">
        <f>VLOOKUP(A5597,Movie!A:D,4,FALSE)</f>
        <v>Universal</v>
      </c>
      <c r="H5597" s="14">
        <f>VLOOKUP(E5597,'Rental Transaction'!A:B,2,FALSE)</f>
        <v>888759</v>
      </c>
      <c r="I5597">
        <f t="shared" si="87"/>
        <v>2014</v>
      </c>
    </row>
    <row r="5598" spans="1:9">
      <c r="A5598" s="1">
        <v>10252</v>
      </c>
      <c r="B5598" s="1">
        <v>9</v>
      </c>
      <c r="C5598" s="2">
        <v>41789</v>
      </c>
      <c r="D5598" s="1" t="s">
        <v>2002</v>
      </c>
      <c r="E5598" s="1">
        <v>104016</v>
      </c>
      <c r="F5598" s="6" t="s">
        <v>7600</v>
      </c>
      <c r="G5598" s="15" t="str">
        <f>VLOOKUP(A5598,Movie!A:D,4,FALSE)</f>
        <v>Warner Brothers</v>
      </c>
      <c r="H5598" s="14">
        <f>VLOOKUP(E5598,'Rental Transaction'!A:B,2,FALSE)</f>
        <v>976778</v>
      </c>
      <c r="I5598">
        <f t="shared" si="87"/>
        <v>2014</v>
      </c>
    </row>
    <row r="5599" spans="1:9">
      <c r="A5599" s="1">
        <v>10134</v>
      </c>
      <c r="B5599" s="1">
        <v>10</v>
      </c>
      <c r="C5599" s="2">
        <v>41790</v>
      </c>
      <c r="D5599" s="1" t="s">
        <v>2002</v>
      </c>
      <c r="E5599" s="1">
        <v>104016</v>
      </c>
      <c r="F5599" s="6" t="s">
        <v>7601</v>
      </c>
      <c r="G5599" s="15" t="str">
        <f>VLOOKUP(A5599,Movie!A:D,4,FALSE)</f>
        <v>Universal</v>
      </c>
      <c r="H5599" s="14">
        <f>VLOOKUP(E5599,'Rental Transaction'!A:B,2,FALSE)</f>
        <v>976778</v>
      </c>
      <c r="I5599">
        <f t="shared" si="87"/>
        <v>2014</v>
      </c>
    </row>
    <row r="5600" spans="1:9" ht="29.25">
      <c r="A5600" s="1">
        <v>10105</v>
      </c>
      <c r="B5600" s="1">
        <v>8</v>
      </c>
      <c r="C5600" s="2">
        <v>41789</v>
      </c>
      <c r="D5600" s="1" t="s">
        <v>2002</v>
      </c>
      <c r="E5600" s="1">
        <v>104019</v>
      </c>
      <c r="F5600" s="6" t="s">
        <v>7602</v>
      </c>
      <c r="G5600" s="15" t="str">
        <f>VLOOKUP(A5600,Movie!A:D,4,FALSE)</f>
        <v>Weinstein Company</v>
      </c>
      <c r="H5600" s="14">
        <f>VLOOKUP(E5600,'Rental Transaction'!A:B,2,FALSE)</f>
        <v>925565</v>
      </c>
      <c r="I5600">
        <f t="shared" si="87"/>
        <v>2014</v>
      </c>
    </row>
    <row r="5601" spans="1:9">
      <c r="A5601" s="1">
        <v>10195</v>
      </c>
      <c r="B5601" s="1">
        <v>3</v>
      </c>
      <c r="C5601" s="2">
        <v>41794</v>
      </c>
      <c r="D5601" s="1" t="s">
        <v>2002</v>
      </c>
      <c r="E5601" s="1">
        <v>104020</v>
      </c>
      <c r="F5601" s="6" t="s">
        <v>7603</v>
      </c>
      <c r="G5601" s="15" t="str">
        <f>VLOOKUP(A5601,Movie!A:D,4,FALSE)</f>
        <v>Sony</v>
      </c>
      <c r="H5601" s="14">
        <f>VLOOKUP(E5601,'Rental Transaction'!A:B,2,FALSE)</f>
        <v>346006</v>
      </c>
      <c r="I5601">
        <f t="shared" si="87"/>
        <v>2014</v>
      </c>
    </row>
    <row r="5602" spans="1:9">
      <c r="A5602" s="1">
        <v>10250</v>
      </c>
      <c r="B5602" s="1">
        <v>5</v>
      </c>
      <c r="C5602" s="2">
        <v>41789</v>
      </c>
      <c r="D5602" s="1" t="s">
        <v>2002</v>
      </c>
      <c r="E5602" s="1">
        <v>104020</v>
      </c>
      <c r="F5602" s="6" t="s">
        <v>7604</v>
      </c>
      <c r="G5602" s="15" t="str">
        <f>VLOOKUP(A5602,Movie!A:D,4,FALSE)</f>
        <v>Buena Vista</v>
      </c>
      <c r="H5602" s="14">
        <f>VLOOKUP(E5602,'Rental Transaction'!A:B,2,FALSE)</f>
        <v>346006</v>
      </c>
      <c r="I5602">
        <f t="shared" si="87"/>
        <v>2014</v>
      </c>
    </row>
    <row r="5603" spans="1:9">
      <c r="A5603" s="1">
        <v>10071</v>
      </c>
      <c r="B5603" s="1">
        <v>8</v>
      </c>
      <c r="C5603" s="2">
        <v>41789</v>
      </c>
      <c r="D5603" s="1" t="s">
        <v>2002</v>
      </c>
      <c r="E5603" s="1">
        <v>104021</v>
      </c>
      <c r="F5603" s="6" t="s">
        <v>7605</v>
      </c>
      <c r="G5603" s="15" t="str">
        <f>VLOOKUP(A5603,Movie!A:D,4,FALSE)</f>
        <v>Paramount</v>
      </c>
      <c r="H5603" s="14">
        <f>VLOOKUP(E5603,'Rental Transaction'!A:B,2,FALSE)</f>
        <v>528475</v>
      </c>
      <c r="I5603">
        <f t="shared" si="87"/>
        <v>2014</v>
      </c>
    </row>
    <row r="5604" spans="1:9">
      <c r="A5604" s="1">
        <v>10199</v>
      </c>
      <c r="B5604" s="1">
        <v>2</v>
      </c>
      <c r="C5604" s="2">
        <v>41792</v>
      </c>
      <c r="D5604" s="1" t="s">
        <v>2005</v>
      </c>
      <c r="E5604" s="1">
        <v>104023</v>
      </c>
      <c r="F5604" s="6" t="s">
        <v>7606</v>
      </c>
      <c r="G5604" s="15" t="str">
        <f>VLOOKUP(A5604,Movie!A:D,4,FALSE)</f>
        <v>Lionsgate</v>
      </c>
      <c r="H5604" s="14">
        <f>VLOOKUP(E5604,'Rental Transaction'!A:B,2,FALSE)</f>
        <v>250266</v>
      </c>
      <c r="I5604">
        <f t="shared" si="87"/>
        <v>2014</v>
      </c>
    </row>
    <row r="5605" spans="1:9" ht="29.25">
      <c r="A5605" s="1">
        <v>10264</v>
      </c>
      <c r="B5605" s="1">
        <v>10</v>
      </c>
      <c r="C5605" s="2">
        <v>41789</v>
      </c>
      <c r="D5605" s="1" t="s">
        <v>2002</v>
      </c>
      <c r="E5605" s="1">
        <v>104023</v>
      </c>
      <c r="F5605" s="6" t="s">
        <v>7607</v>
      </c>
      <c r="G5605" s="15" t="str">
        <f>VLOOKUP(A5605,Movie!A:D,4,FALSE)</f>
        <v>Weinstein Company</v>
      </c>
      <c r="H5605" s="14">
        <f>VLOOKUP(E5605,'Rental Transaction'!A:B,2,FALSE)</f>
        <v>250266</v>
      </c>
      <c r="I5605">
        <f t="shared" si="87"/>
        <v>2014</v>
      </c>
    </row>
    <row r="5606" spans="1:9">
      <c r="A5606" s="1">
        <v>10042</v>
      </c>
      <c r="B5606" s="1">
        <v>4</v>
      </c>
      <c r="C5606" s="2">
        <v>41791</v>
      </c>
      <c r="D5606" s="1" t="s">
        <v>2002</v>
      </c>
      <c r="E5606" s="1">
        <v>104023</v>
      </c>
      <c r="F5606" s="6" t="s">
        <v>7608</v>
      </c>
      <c r="G5606" s="15" t="str">
        <f>VLOOKUP(A5606,Movie!A:D,4,FALSE)</f>
        <v>Paramount</v>
      </c>
      <c r="H5606" s="14">
        <f>VLOOKUP(E5606,'Rental Transaction'!A:B,2,FALSE)</f>
        <v>250266</v>
      </c>
      <c r="I5606">
        <f t="shared" si="87"/>
        <v>2014</v>
      </c>
    </row>
    <row r="5607" spans="1:9">
      <c r="A5607" s="1">
        <v>10203</v>
      </c>
      <c r="B5607" s="1">
        <v>7</v>
      </c>
      <c r="C5607" s="2">
        <v>41791</v>
      </c>
      <c r="D5607" s="1" t="s">
        <v>2005</v>
      </c>
      <c r="E5607" s="1">
        <v>104027</v>
      </c>
      <c r="F5607" s="6" t="s">
        <v>7609</v>
      </c>
      <c r="G5607" s="15" t="str">
        <f>VLOOKUP(A5607,Movie!A:D,4,FALSE)</f>
        <v>Buena Vista</v>
      </c>
      <c r="H5607" s="14">
        <f>VLOOKUP(E5607,'Rental Transaction'!A:B,2,FALSE)</f>
        <v>964619</v>
      </c>
      <c r="I5607">
        <f t="shared" si="87"/>
        <v>2014</v>
      </c>
    </row>
    <row r="5608" spans="1:9">
      <c r="A5608" s="1">
        <v>10275</v>
      </c>
      <c r="B5608" s="1">
        <v>5</v>
      </c>
      <c r="C5608" s="2">
        <v>41792</v>
      </c>
      <c r="D5608" s="1" t="s">
        <v>2002</v>
      </c>
      <c r="E5608" s="1">
        <v>104027</v>
      </c>
      <c r="F5608" s="6" t="s">
        <v>7610</v>
      </c>
      <c r="G5608" s="15" t="str">
        <f>VLOOKUP(A5608,Movie!A:D,4,FALSE)</f>
        <v>Lionsgate</v>
      </c>
      <c r="H5608" s="14">
        <f>VLOOKUP(E5608,'Rental Transaction'!A:B,2,FALSE)</f>
        <v>964619</v>
      </c>
      <c r="I5608">
        <f t="shared" si="87"/>
        <v>2014</v>
      </c>
    </row>
    <row r="5609" spans="1:9">
      <c r="A5609" s="1">
        <v>10050</v>
      </c>
      <c r="B5609" s="1">
        <v>8</v>
      </c>
      <c r="C5609" s="2">
        <v>41791</v>
      </c>
      <c r="D5609" s="1" t="s">
        <v>2002</v>
      </c>
      <c r="E5609" s="1">
        <v>104028</v>
      </c>
      <c r="F5609" s="6" t="s">
        <v>7611</v>
      </c>
      <c r="G5609" s="15" t="str">
        <f>VLOOKUP(A5609,Movie!A:D,4,FALSE)</f>
        <v>Paramount</v>
      </c>
      <c r="H5609" s="14">
        <f>VLOOKUP(E5609,'Rental Transaction'!A:B,2,FALSE)</f>
        <v>104939</v>
      </c>
      <c r="I5609">
        <f t="shared" si="87"/>
        <v>2014</v>
      </c>
    </row>
    <row r="5610" spans="1:9">
      <c r="A5610" s="1">
        <v>10166</v>
      </c>
      <c r="B5610" s="1">
        <v>9</v>
      </c>
      <c r="C5610" s="2">
        <v>41790</v>
      </c>
      <c r="D5610" s="1" t="s">
        <v>2005</v>
      </c>
      <c r="E5610" s="1">
        <v>104028</v>
      </c>
      <c r="F5610" s="6" t="s">
        <v>7612</v>
      </c>
      <c r="G5610" s="15" t="str">
        <f>VLOOKUP(A5610,Movie!A:D,4,FALSE)</f>
        <v>Fox</v>
      </c>
      <c r="H5610" s="14">
        <f>VLOOKUP(E5610,'Rental Transaction'!A:B,2,FALSE)</f>
        <v>104939</v>
      </c>
      <c r="I5610">
        <f t="shared" si="87"/>
        <v>2014</v>
      </c>
    </row>
    <row r="5611" spans="1:9">
      <c r="A5611" s="1">
        <v>10218</v>
      </c>
      <c r="B5611" s="1">
        <v>1</v>
      </c>
      <c r="C5611" s="2">
        <v>41796</v>
      </c>
      <c r="D5611" s="1" t="s">
        <v>2002</v>
      </c>
      <c r="E5611" s="1">
        <v>104030</v>
      </c>
      <c r="F5611" s="6" t="s">
        <v>7613</v>
      </c>
      <c r="G5611" s="15" t="str">
        <f>VLOOKUP(A5611,Movie!A:D,4,FALSE)</f>
        <v>Sony</v>
      </c>
      <c r="H5611" s="14">
        <f>VLOOKUP(E5611,'Rental Transaction'!A:B,2,FALSE)</f>
        <v>927518</v>
      </c>
      <c r="I5611">
        <f t="shared" si="87"/>
        <v>2014</v>
      </c>
    </row>
    <row r="5612" spans="1:9">
      <c r="A5612" s="1">
        <v>10241</v>
      </c>
      <c r="B5612" s="1">
        <v>4</v>
      </c>
      <c r="C5612" s="2">
        <v>41790</v>
      </c>
      <c r="D5612" s="1" t="s">
        <v>2002</v>
      </c>
      <c r="E5612" s="1">
        <v>104030</v>
      </c>
      <c r="F5612" s="6" t="s">
        <v>7614</v>
      </c>
      <c r="G5612" s="15" t="str">
        <f>VLOOKUP(A5612,Movie!A:D,4,FALSE)</f>
        <v>Warner Brothers</v>
      </c>
      <c r="H5612" s="14">
        <f>VLOOKUP(E5612,'Rental Transaction'!A:B,2,FALSE)</f>
        <v>927518</v>
      </c>
      <c r="I5612">
        <f t="shared" si="87"/>
        <v>2014</v>
      </c>
    </row>
    <row r="5613" spans="1:9" ht="29.25">
      <c r="A5613" s="1">
        <v>10165</v>
      </c>
      <c r="B5613" s="1">
        <v>3</v>
      </c>
      <c r="C5613" s="2">
        <v>41796</v>
      </c>
      <c r="D5613" s="1" t="s">
        <v>2002</v>
      </c>
      <c r="E5613" s="1">
        <v>104032</v>
      </c>
      <c r="F5613" s="6" t="s">
        <v>7615</v>
      </c>
      <c r="G5613" s="15" t="str">
        <f>VLOOKUP(A5613,Movie!A:D,4,FALSE)</f>
        <v>Weinstein Company</v>
      </c>
      <c r="H5613" s="14">
        <f>VLOOKUP(E5613,'Rental Transaction'!A:B,2,FALSE)</f>
        <v>200272</v>
      </c>
      <c r="I5613">
        <f t="shared" si="87"/>
        <v>2014</v>
      </c>
    </row>
    <row r="5614" spans="1:9">
      <c r="A5614" s="1">
        <v>10146</v>
      </c>
      <c r="B5614" s="1">
        <v>5</v>
      </c>
      <c r="C5614" s="2">
        <v>41791</v>
      </c>
      <c r="D5614" s="1" t="s">
        <v>2002</v>
      </c>
      <c r="E5614" s="1">
        <v>104032</v>
      </c>
      <c r="F5614" s="6" t="s">
        <v>7616</v>
      </c>
      <c r="G5614" s="15" t="str">
        <f>VLOOKUP(A5614,Movie!A:D,4,FALSE)</f>
        <v>Sony</v>
      </c>
      <c r="H5614" s="14">
        <f>VLOOKUP(E5614,'Rental Transaction'!A:B,2,FALSE)</f>
        <v>200272</v>
      </c>
      <c r="I5614">
        <f t="shared" si="87"/>
        <v>2014</v>
      </c>
    </row>
    <row r="5615" spans="1:9">
      <c r="A5615" s="1">
        <v>10215</v>
      </c>
      <c r="B5615" s="1">
        <v>3</v>
      </c>
      <c r="C5615" s="2">
        <v>41792</v>
      </c>
      <c r="D5615" s="1" t="s">
        <v>2002</v>
      </c>
      <c r="E5615" s="1">
        <v>104033</v>
      </c>
      <c r="F5615" s="6" t="s">
        <v>7617</v>
      </c>
      <c r="G5615" s="15" t="str">
        <f>VLOOKUP(A5615,Movie!A:D,4,FALSE)</f>
        <v>Paramount</v>
      </c>
      <c r="H5615" s="14">
        <f>VLOOKUP(E5615,'Rental Transaction'!A:B,2,FALSE)</f>
        <v>818287</v>
      </c>
      <c r="I5615">
        <f t="shared" si="87"/>
        <v>2014</v>
      </c>
    </row>
    <row r="5616" spans="1:9" ht="29.25">
      <c r="A5616" s="1">
        <v>10165</v>
      </c>
      <c r="B5616" s="1">
        <v>3</v>
      </c>
      <c r="C5616" s="2">
        <v>41793</v>
      </c>
      <c r="D5616" s="1" t="s">
        <v>2002</v>
      </c>
      <c r="E5616" s="1">
        <v>104034</v>
      </c>
      <c r="F5616" s="6" t="s">
        <v>7618</v>
      </c>
      <c r="G5616" s="15" t="str">
        <f>VLOOKUP(A5616,Movie!A:D,4,FALSE)</f>
        <v>Weinstein Company</v>
      </c>
      <c r="H5616" s="14">
        <f>VLOOKUP(E5616,'Rental Transaction'!A:B,2,FALSE)</f>
        <v>795957</v>
      </c>
      <c r="I5616">
        <f t="shared" si="87"/>
        <v>2014</v>
      </c>
    </row>
    <row r="5617" spans="1:9">
      <c r="A5617" s="1">
        <v>10075</v>
      </c>
      <c r="B5617" s="1">
        <v>3</v>
      </c>
      <c r="C5617" s="2">
        <v>41798</v>
      </c>
      <c r="D5617" s="1" t="s">
        <v>2002</v>
      </c>
      <c r="E5617" s="1">
        <v>104035</v>
      </c>
      <c r="F5617" s="6" t="s">
        <v>7619</v>
      </c>
      <c r="G5617" s="15" t="str">
        <f>VLOOKUP(A5617,Movie!A:D,4,FALSE)</f>
        <v>Fox Searchlight</v>
      </c>
      <c r="H5617" s="14">
        <f>VLOOKUP(E5617,'Rental Transaction'!A:B,2,FALSE)</f>
        <v>330223</v>
      </c>
      <c r="I5617">
        <f t="shared" si="87"/>
        <v>2014</v>
      </c>
    </row>
    <row r="5618" spans="1:9">
      <c r="A5618" s="1">
        <v>10099</v>
      </c>
      <c r="B5618" s="1">
        <v>4</v>
      </c>
      <c r="C5618" s="2">
        <v>41794</v>
      </c>
      <c r="D5618" s="1" t="s">
        <v>2002</v>
      </c>
      <c r="E5618" s="1">
        <v>104035</v>
      </c>
      <c r="F5618" s="6" t="s">
        <v>7620</v>
      </c>
      <c r="G5618" s="15" t="str">
        <f>VLOOKUP(A5618,Movie!A:D,4,FALSE)</f>
        <v>Lionsgate</v>
      </c>
      <c r="H5618" s="14">
        <f>VLOOKUP(E5618,'Rental Transaction'!A:B,2,FALSE)</f>
        <v>330223</v>
      </c>
      <c r="I5618">
        <f t="shared" si="87"/>
        <v>2014</v>
      </c>
    </row>
    <row r="5619" spans="1:9">
      <c r="A5619" s="1">
        <v>10209</v>
      </c>
      <c r="B5619" s="1">
        <v>4</v>
      </c>
      <c r="C5619" s="2">
        <v>41792</v>
      </c>
      <c r="D5619" s="1" t="s">
        <v>2002</v>
      </c>
      <c r="E5619" s="1">
        <v>104036</v>
      </c>
      <c r="F5619" s="6" t="s">
        <v>7621</v>
      </c>
      <c r="G5619" s="15" t="str">
        <f>VLOOKUP(A5619,Movie!A:D,4,FALSE)</f>
        <v>Universal</v>
      </c>
      <c r="H5619" s="14">
        <f>VLOOKUP(E5619,'Rental Transaction'!A:B,2,FALSE)</f>
        <v>116934</v>
      </c>
      <c r="I5619">
        <f t="shared" si="87"/>
        <v>2014</v>
      </c>
    </row>
    <row r="5620" spans="1:9">
      <c r="A5620" s="1">
        <v>10163</v>
      </c>
      <c r="B5620" s="1">
        <v>9</v>
      </c>
      <c r="C5620" s="2">
        <v>41794</v>
      </c>
      <c r="D5620" s="1" t="s">
        <v>2002</v>
      </c>
      <c r="E5620" s="1">
        <v>104037</v>
      </c>
      <c r="F5620" s="6" t="s">
        <v>7622</v>
      </c>
      <c r="G5620" s="15" t="str">
        <f>VLOOKUP(A5620,Movie!A:D,4,FALSE)</f>
        <v>Warner Brothers</v>
      </c>
      <c r="H5620" s="14">
        <f>VLOOKUP(E5620,'Rental Transaction'!A:B,2,FALSE)</f>
        <v>954812</v>
      </c>
      <c r="I5620">
        <f t="shared" si="87"/>
        <v>2014</v>
      </c>
    </row>
    <row r="5621" spans="1:9" ht="29.25">
      <c r="A5621" s="1">
        <v>10264</v>
      </c>
      <c r="B5621" s="1">
        <v>4</v>
      </c>
      <c r="C5621" s="2">
        <v>41791</v>
      </c>
      <c r="D5621" s="1" t="s">
        <v>2002</v>
      </c>
      <c r="E5621" s="1">
        <v>104037</v>
      </c>
      <c r="F5621" s="6" t="s">
        <v>7623</v>
      </c>
      <c r="G5621" s="15" t="str">
        <f>VLOOKUP(A5621,Movie!A:D,4,FALSE)</f>
        <v>Weinstein Company</v>
      </c>
      <c r="H5621" s="14">
        <f>VLOOKUP(E5621,'Rental Transaction'!A:B,2,FALSE)</f>
        <v>954812</v>
      </c>
      <c r="I5621">
        <f t="shared" si="87"/>
        <v>2014</v>
      </c>
    </row>
    <row r="5622" spans="1:9">
      <c r="A5622" s="1">
        <v>10240</v>
      </c>
      <c r="B5622" s="1">
        <v>6</v>
      </c>
      <c r="C5622" s="2">
        <v>41797</v>
      </c>
      <c r="D5622" s="1" t="s">
        <v>2002</v>
      </c>
      <c r="E5622" s="1">
        <v>104039</v>
      </c>
      <c r="F5622" s="6" t="s">
        <v>7624</v>
      </c>
      <c r="G5622" s="15" t="str">
        <f>VLOOKUP(A5622,Movie!A:D,4,FALSE)</f>
        <v>Warner Brothers</v>
      </c>
      <c r="H5622" s="14">
        <f>VLOOKUP(E5622,'Rental Transaction'!A:B,2,FALSE)</f>
        <v>696852</v>
      </c>
      <c r="I5622">
        <f t="shared" si="87"/>
        <v>2014</v>
      </c>
    </row>
    <row r="5623" spans="1:9">
      <c r="A5623" s="1">
        <v>10228</v>
      </c>
      <c r="B5623" s="1">
        <v>8</v>
      </c>
      <c r="C5623" s="2">
        <v>41796</v>
      </c>
      <c r="D5623" s="1" t="s">
        <v>2002</v>
      </c>
      <c r="E5623" s="1">
        <v>104040</v>
      </c>
      <c r="F5623" s="6" t="s">
        <v>7625</v>
      </c>
      <c r="G5623" s="15" t="str">
        <f>VLOOKUP(A5623,Movie!A:D,4,FALSE)</f>
        <v>Universal</v>
      </c>
      <c r="H5623" s="14">
        <f>VLOOKUP(E5623,'Rental Transaction'!A:B,2,FALSE)</f>
        <v>925565</v>
      </c>
      <c r="I5623">
        <f t="shared" si="87"/>
        <v>2014</v>
      </c>
    </row>
    <row r="5624" spans="1:9">
      <c r="A5624" s="1">
        <v>10289</v>
      </c>
      <c r="B5624" s="1">
        <v>4</v>
      </c>
      <c r="C5624" s="2">
        <v>41794</v>
      </c>
      <c r="D5624" s="1" t="s">
        <v>2002</v>
      </c>
      <c r="E5624" s="1">
        <v>104041</v>
      </c>
      <c r="F5624" s="6" t="s">
        <v>7626</v>
      </c>
      <c r="G5624" s="15" t="str">
        <f>VLOOKUP(A5624,Movie!A:D,4,FALSE)</f>
        <v>Open Road Films</v>
      </c>
      <c r="H5624" s="14">
        <f>VLOOKUP(E5624,'Rental Transaction'!A:B,2,FALSE)</f>
        <v>593317</v>
      </c>
      <c r="I5624">
        <f t="shared" si="87"/>
        <v>2014</v>
      </c>
    </row>
    <row r="5625" spans="1:9">
      <c r="A5625" s="1">
        <v>10115</v>
      </c>
      <c r="B5625" s="1">
        <v>9</v>
      </c>
      <c r="C5625" s="2">
        <v>41794</v>
      </c>
      <c r="D5625" s="1" t="s">
        <v>2002</v>
      </c>
      <c r="E5625" s="1">
        <v>104042</v>
      </c>
      <c r="F5625" s="6" t="s">
        <v>7627</v>
      </c>
      <c r="G5625" s="15" t="str">
        <f>VLOOKUP(A5625,Movie!A:D,4,FALSE)</f>
        <v>Open Road Films</v>
      </c>
      <c r="H5625" s="14">
        <f>VLOOKUP(E5625,'Rental Transaction'!A:B,2,FALSE)</f>
        <v>580783</v>
      </c>
      <c r="I5625">
        <f t="shared" si="87"/>
        <v>2014</v>
      </c>
    </row>
    <row r="5626" spans="1:9">
      <c r="A5626" s="1">
        <v>10281</v>
      </c>
      <c r="B5626" s="1">
        <v>5</v>
      </c>
      <c r="C5626" s="2">
        <v>41795</v>
      </c>
      <c r="D5626" s="1" t="s">
        <v>2002</v>
      </c>
      <c r="E5626" s="1">
        <v>104043</v>
      </c>
      <c r="F5626" s="6" t="s">
        <v>7628</v>
      </c>
      <c r="G5626" s="15" t="str">
        <f>VLOOKUP(A5626,Movie!A:D,4,FALSE)</f>
        <v>Lionsgate</v>
      </c>
      <c r="H5626" s="14">
        <f>VLOOKUP(E5626,'Rental Transaction'!A:B,2,FALSE)</f>
        <v>731346</v>
      </c>
      <c r="I5626">
        <f t="shared" si="87"/>
        <v>2014</v>
      </c>
    </row>
    <row r="5627" spans="1:9">
      <c r="A5627" s="1">
        <v>10204</v>
      </c>
      <c r="B5627" s="1">
        <v>5</v>
      </c>
      <c r="C5627" s="2">
        <v>41794</v>
      </c>
      <c r="D5627" s="1" t="s">
        <v>2002</v>
      </c>
      <c r="E5627" s="1">
        <v>104045</v>
      </c>
      <c r="F5627" s="6" t="s">
        <v>7629</v>
      </c>
      <c r="G5627" s="15" t="str">
        <f>VLOOKUP(A5627,Movie!A:D,4,FALSE)</f>
        <v>Universal</v>
      </c>
      <c r="H5627" s="14">
        <f>VLOOKUP(E5627,'Rental Transaction'!A:B,2,FALSE)</f>
        <v>590517</v>
      </c>
      <c r="I5627">
        <f t="shared" si="87"/>
        <v>2014</v>
      </c>
    </row>
    <row r="5628" spans="1:9">
      <c r="A5628" s="1">
        <v>10069</v>
      </c>
      <c r="B5628" s="1">
        <v>8</v>
      </c>
      <c r="C5628" s="2">
        <v>41793</v>
      </c>
      <c r="D5628" s="1" t="s">
        <v>2002</v>
      </c>
      <c r="E5628" s="1">
        <v>104046</v>
      </c>
      <c r="F5628" s="6" t="s">
        <v>7630</v>
      </c>
      <c r="G5628" s="15" t="str">
        <f>VLOOKUP(A5628,Movie!A:D,4,FALSE)</f>
        <v>Warner Brothers</v>
      </c>
      <c r="H5628" s="14">
        <f>VLOOKUP(E5628,'Rental Transaction'!A:B,2,FALSE)</f>
        <v>404678</v>
      </c>
      <c r="I5628">
        <f t="shared" si="87"/>
        <v>2014</v>
      </c>
    </row>
    <row r="5629" spans="1:9">
      <c r="A5629" s="1">
        <v>10256</v>
      </c>
      <c r="B5629" s="1">
        <v>5</v>
      </c>
      <c r="C5629" s="2">
        <v>41793</v>
      </c>
      <c r="D5629" s="1" t="s">
        <v>2002</v>
      </c>
      <c r="E5629" s="1">
        <v>104049</v>
      </c>
      <c r="F5629" s="6" t="s">
        <v>7631</v>
      </c>
      <c r="G5629" s="15" t="str">
        <f>VLOOKUP(A5629,Movie!A:D,4,FALSE)</f>
        <v>Fox</v>
      </c>
      <c r="H5629" s="14">
        <f>VLOOKUP(E5629,'Rental Transaction'!A:B,2,FALSE)</f>
        <v>877877</v>
      </c>
      <c r="I5629">
        <f t="shared" si="87"/>
        <v>2014</v>
      </c>
    </row>
    <row r="5630" spans="1:9">
      <c r="A5630" s="1">
        <v>10145</v>
      </c>
      <c r="B5630" s="1">
        <v>7</v>
      </c>
      <c r="C5630" s="2">
        <v>41794</v>
      </c>
      <c r="D5630" s="1" t="s">
        <v>2002</v>
      </c>
      <c r="E5630" s="1">
        <v>104049</v>
      </c>
      <c r="F5630" s="6" t="s">
        <v>7632</v>
      </c>
      <c r="G5630" s="15" t="str">
        <f>VLOOKUP(A5630,Movie!A:D,4,FALSE)</f>
        <v>TriStar</v>
      </c>
      <c r="H5630" s="14">
        <f>VLOOKUP(E5630,'Rental Transaction'!A:B,2,FALSE)</f>
        <v>877877</v>
      </c>
      <c r="I5630">
        <f t="shared" si="87"/>
        <v>2014</v>
      </c>
    </row>
    <row r="5631" spans="1:9">
      <c r="A5631" s="1">
        <v>10236</v>
      </c>
      <c r="B5631" s="1">
        <v>6</v>
      </c>
      <c r="C5631" s="2">
        <v>41794</v>
      </c>
      <c r="D5631" s="1" t="s">
        <v>2002</v>
      </c>
      <c r="E5631" s="1">
        <v>104051</v>
      </c>
      <c r="F5631" s="6" t="s">
        <v>7633</v>
      </c>
      <c r="G5631" s="15" t="str">
        <f>VLOOKUP(A5631,Movie!A:D,4,FALSE)</f>
        <v>Lionsgate</v>
      </c>
      <c r="H5631" s="14">
        <f>VLOOKUP(E5631,'Rental Transaction'!A:B,2,FALSE)</f>
        <v>671101</v>
      </c>
      <c r="I5631">
        <f t="shared" si="87"/>
        <v>2014</v>
      </c>
    </row>
    <row r="5632" spans="1:9" ht="29.25">
      <c r="A5632" s="1">
        <v>10264</v>
      </c>
      <c r="B5632" s="1">
        <v>8</v>
      </c>
      <c r="C5632" s="2">
        <v>41796</v>
      </c>
      <c r="D5632" s="1" t="s">
        <v>2002</v>
      </c>
      <c r="E5632" s="1">
        <v>104053</v>
      </c>
      <c r="F5632" s="6" t="s">
        <v>7634</v>
      </c>
      <c r="G5632" s="15" t="str">
        <f>VLOOKUP(A5632,Movie!A:D,4,FALSE)</f>
        <v>Weinstein Company</v>
      </c>
      <c r="H5632" s="14">
        <f>VLOOKUP(E5632,'Rental Transaction'!A:B,2,FALSE)</f>
        <v>606155</v>
      </c>
      <c r="I5632">
        <f t="shared" si="87"/>
        <v>2014</v>
      </c>
    </row>
    <row r="5633" spans="1:9">
      <c r="A5633" s="1">
        <v>10178</v>
      </c>
      <c r="B5633" s="1">
        <v>1</v>
      </c>
      <c r="C5633" s="2">
        <v>41798</v>
      </c>
      <c r="D5633" s="1" t="s">
        <v>2002</v>
      </c>
      <c r="E5633" s="1">
        <v>104053</v>
      </c>
      <c r="F5633" s="6" t="s">
        <v>7635</v>
      </c>
      <c r="G5633" s="15" t="str">
        <f>VLOOKUP(A5633,Movie!A:D,4,FALSE)</f>
        <v>Warner Brothers</v>
      </c>
      <c r="H5633" s="14">
        <f>VLOOKUP(E5633,'Rental Transaction'!A:B,2,FALSE)</f>
        <v>606155</v>
      </c>
      <c r="I5633">
        <f t="shared" si="87"/>
        <v>2014</v>
      </c>
    </row>
    <row r="5634" spans="1:9">
      <c r="A5634" s="1">
        <v>10160</v>
      </c>
      <c r="B5634" s="1">
        <v>8</v>
      </c>
      <c r="C5634" s="2">
        <v>41794</v>
      </c>
      <c r="D5634" s="1" t="s">
        <v>2002</v>
      </c>
      <c r="E5634" s="1">
        <v>104054</v>
      </c>
      <c r="F5634" s="6" t="s">
        <v>7636</v>
      </c>
      <c r="G5634" s="15" t="str">
        <f>VLOOKUP(A5634,Movie!A:D,4,FALSE)</f>
        <v>Lionsgate</v>
      </c>
      <c r="H5634" s="14">
        <f>VLOOKUP(E5634,'Rental Transaction'!A:B,2,FALSE)</f>
        <v>119406</v>
      </c>
      <c r="I5634">
        <f t="shared" si="87"/>
        <v>2014</v>
      </c>
    </row>
    <row r="5635" spans="1:9">
      <c r="A5635" s="1">
        <v>10151</v>
      </c>
      <c r="B5635" s="1">
        <v>2</v>
      </c>
      <c r="C5635" s="2">
        <v>41794</v>
      </c>
      <c r="D5635" s="1" t="s">
        <v>2002</v>
      </c>
      <c r="E5635" s="1">
        <v>104057</v>
      </c>
      <c r="F5635" s="6" t="s">
        <v>7637</v>
      </c>
      <c r="G5635" s="15" t="str">
        <f>VLOOKUP(A5635,Movie!A:D,4,FALSE)</f>
        <v>Screen Gems</v>
      </c>
      <c r="H5635" s="14">
        <f>VLOOKUP(E5635,'Rental Transaction'!A:B,2,FALSE)</f>
        <v>189441</v>
      </c>
      <c r="I5635">
        <f t="shared" ref="I5635:I5698" si="88">YEAR(C5635)</f>
        <v>2014</v>
      </c>
    </row>
    <row r="5636" spans="1:9">
      <c r="A5636" s="1">
        <v>10286</v>
      </c>
      <c r="B5636" s="1">
        <v>7</v>
      </c>
      <c r="C5636" s="2">
        <v>41795</v>
      </c>
      <c r="D5636" s="1" t="s">
        <v>2002</v>
      </c>
      <c r="E5636" s="1">
        <v>104057</v>
      </c>
      <c r="F5636" s="6" t="s">
        <v>7638</v>
      </c>
      <c r="G5636" s="15" t="str">
        <f>VLOOKUP(A5636,Movie!A:D,4,FALSE)</f>
        <v>Fox Searchlight</v>
      </c>
      <c r="H5636" s="14">
        <f>VLOOKUP(E5636,'Rental Transaction'!A:B,2,FALSE)</f>
        <v>189441</v>
      </c>
      <c r="I5636">
        <f t="shared" si="88"/>
        <v>2014</v>
      </c>
    </row>
    <row r="5637" spans="1:9">
      <c r="A5637" s="1">
        <v>10066</v>
      </c>
      <c r="B5637" s="1">
        <v>3</v>
      </c>
      <c r="C5637" s="2">
        <v>41795</v>
      </c>
      <c r="D5637" s="1" t="s">
        <v>2002</v>
      </c>
      <c r="E5637" s="1">
        <v>104057</v>
      </c>
      <c r="F5637" s="6" t="s">
        <v>7639</v>
      </c>
      <c r="G5637" s="15" t="str">
        <f>VLOOKUP(A5637,Movie!A:D,4,FALSE)</f>
        <v>Buena Vista</v>
      </c>
      <c r="H5637" s="14">
        <f>VLOOKUP(E5637,'Rental Transaction'!A:B,2,FALSE)</f>
        <v>189441</v>
      </c>
      <c r="I5637">
        <f t="shared" si="88"/>
        <v>2014</v>
      </c>
    </row>
    <row r="5638" spans="1:9">
      <c r="A5638" s="1">
        <v>10250</v>
      </c>
      <c r="B5638" s="1">
        <v>9</v>
      </c>
      <c r="C5638" s="2">
        <v>41794</v>
      </c>
      <c r="D5638" s="1" t="s">
        <v>2005</v>
      </c>
      <c r="E5638" s="1">
        <v>104058</v>
      </c>
      <c r="F5638" s="6" t="s">
        <v>7640</v>
      </c>
      <c r="G5638" s="15" t="str">
        <f>VLOOKUP(A5638,Movie!A:D,4,FALSE)</f>
        <v>Buena Vista</v>
      </c>
      <c r="H5638" s="14">
        <f>VLOOKUP(E5638,'Rental Transaction'!A:B,2,FALSE)</f>
        <v>915766</v>
      </c>
      <c r="I5638">
        <f t="shared" si="88"/>
        <v>2014</v>
      </c>
    </row>
    <row r="5639" spans="1:9">
      <c r="A5639" s="1">
        <v>10058</v>
      </c>
      <c r="B5639" s="1">
        <v>9</v>
      </c>
      <c r="C5639" s="2">
        <v>41795</v>
      </c>
      <c r="D5639" s="1" t="s">
        <v>2002</v>
      </c>
      <c r="E5639" s="1">
        <v>104058</v>
      </c>
      <c r="F5639" s="6" t="s">
        <v>7641</v>
      </c>
      <c r="G5639" s="15" t="str">
        <f>VLOOKUP(A5639,Movie!A:D,4,FALSE)</f>
        <v>Sony</v>
      </c>
      <c r="H5639" s="14">
        <f>VLOOKUP(E5639,'Rental Transaction'!A:B,2,FALSE)</f>
        <v>915766</v>
      </c>
      <c r="I5639">
        <f t="shared" si="88"/>
        <v>2014</v>
      </c>
    </row>
    <row r="5640" spans="1:9">
      <c r="A5640" s="1">
        <v>10054</v>
      </c>
      <c r="B5640" s="1">
        <v>7</v>
      </c>
      <c r="C5640" s="2">
        <v>41796</v>
      </c>
      <c r="D5640" s="1" t="s">
        <v>2002</v>
      </c>
      <c r="E5640" s="1">
        <v>104058</v>
      </c>
      <c r="F5640" s="6" t="s">
        <v>7642</v>
      </c>
      <c r="G5640" s="15" t="str">
        <f>VLOOKUP(A5640,Movie!A:D,4,FALSE)</f>
        <v>Paramount</v>
      </c>
      <c r="H5640" s="14">
        <f>VLOOKUP(E5640,'Rental Transaction'!A:B,2,FALSE)</f>
        <v>915766</v>
      </c>
      <c r="I5640">
        <f t="shared" si="88"/>
        <v>2014</v>
      </c>
    </row>
    <row r="5641" spans="1:9">
      <c r="A5641" s="1">
        <v>10186</v>
      </c>
      <c r="B5641" s="1">
        <v>10</v>
      </c>
      <c r="C5641" s="2">
        <v>41794</v>
      </c>
      <c r="D5641" s="1" t="s">
        <v>2002</v>
      </c>
      <c r="E5641" s="1">
        <v>104058</v>
      </c>
      <c r="F5641" s="6" t="s">
        <v>7643</v>
      </c>
      <c r="G5641" s="15" t="str">
        <f>VLOOKUP(A5641,Movie!A:D,4,FALSE)</f>
        <v>Lionsgate</v>
      </c>
      <c r="H5641" s="14">
        <f>VLOOKUP(E5641,'Rental Transaction'!A:B,2,FALSE)</f>
        <v>915766</v>
      </c>
      <c r="I5641">
        <f t="shared" si="88"/>
        <v>2014</v>
      </c>
    </row>
    <row r="5642" spans="1:9">
      <c r="A5642" s="1">
        <v>10096</v>
      </c>
      <c r="B5642" s="1">
        <v>4</v>
      </c>
      <c r="C5642" s="2">
        <v>41795</v>
      </c>
      <c r="D5642" s="1" t="s">
        <v>2005</v>
      </c>
      <c r="E5642" s="1">
        <v>104059</v>
      </c>
      <c r="F5642" s="6" t="s">
        <v>7644</v>
      </c>
      <c r="G5642" s="15" t="str">
        <f>VLOOKUP(A5642,Movie!A:D,4,FALSE)</f>
        <v>Universal</v>
      </c>
      <c r="H5642" s="14">
        <f>VLOOKUP(E5642,'Rental Transaction'!A:B,2,FALSE)</f>
        <v>317807</v>
      </c>
      <c r="I5642">
        <f t="shared" si="88"/>
        <v>2014</v>
      </c>
    </row>
    <row r="5643" spans="1:9">
      <c r="A5643" s="1">
        <v>10167</v>
      </c>
      <c r="B5643" s="1">
        <v>10</v>
      </c>
      <c r="C5643" s="2">
        <v>41797</v>
      </c>
      <c r="D5643" s="1" t="s">
        <v>2002</v>
      </c>
      <c r="E5643" s="1">
        <v>104061</v>
      </c>
      <c r="F5643" s="6" t="s">
        <v>7645</v>
      </c>
      <c r="G5643" s="15" t="str">
        <f>VLOOKUP(A5643,Movie!A:D,4,FALSE)</f>
        <v>Universal</v>
      </c>
      <c r="H5643" s="14">
        <f>VLOOKUP(E5643,'Rental Transaction'!A:B,2,FALSE)</f>
        <v>103508</v>
      </c>
      <c r="I5643">
        <f t="shared" si="88"/>
        <v>2014</v>
      </c>
    </row>
    <row r="5644" spans="1:9">
      <c r="A5644" s="1">
        <v>10210</v>
      </c>
      <c r="B5644" s="1">
        <v>9</v>
      </c>
      <c r="C5644" s="2">
        <v>41795</v>
      </c>
      <c r="D5644" s="1" t="s">
        <v>2002</v>
      </c>
      <c r="E5644" s="1">
        <v>104061</v>
      </c>
      <c r="F5644" s="6" t="s">
        <v>7646</v>
      </c>
      <c r="G5644" s="15" t="str">
        <f>VLOOKUP(A5644,Movie!A:D,4,FALSE)</f>
        <v>Sony</v>
      </c>
      <c r="H5644" s="14">
        <f>VLOOKUP(E5644,'Rental Transaction'!A:B,2,FALSE)</f>
        <v>103508</v>
      </c>
      <c r="I5644">
        <f t="shared" si="88"/>
        <v>2014</v>
      </c>
    </row>
    <row r="5645" spans="1:9">
      <c r="A5645" s="1">
        <v>10233</v>
      </c>
      <c r="B5645" s="1">
        <v>7</v>
      </c>
      <c r="C5645" s="2">
        <v>41796</v>
      </c>
      <c r="D5645" s="1" t="s">
        <v>2002</v>
      </c>
      <c r="E5645" s="1">
        <v>104063</v>
      </c>
      <c r="F5645" s="6" t="s">
        <v>7647</v>
      </c>
      <c r="G5645" s="15" t="str">
        <f>VLOOKUP(A5645,Movie!A:D,4,FALSE)</f>
        <v>Screen Gems</v>
      </c>
      <c r="H5645" s="14">
        <f>VLOOKUP(E5645,'Rental Transaction'!A:B,2,FALSE)</f>
        <v>417823</v>
      </c>
      <c r="I5645">
        <f t="shared" si="88"/>
        <v>2014</v>
      </c>
    </row>
    <row r="5646" spans="1:9">
      <c r="A5646" s="1">
        <v>10219</v>
      </c>
      <c r="B5646" s="1">
        <v>3</v>
      </c>
      <c r="C5646" s="2">
        <v>41795</v>
      </c>
      <c r="D5646" s="1" t="s">
        <v>2002</v>
      </c>
      <c r="E5646" s="1">
        <v>104064</v>
      </c>
      <c r="F5646" s="6" t="s">
        <v>7648</v>
      </c>
      <c r="G5646" s="15" t="str">
        <f>VLOOKUP(A5646,Movie!A:D,4,FALSE)</f>
        <v>Paramount</v>
      </c>
      <c r="H5646" s="14">
        <f>VLOOKUP(E5646,'Rental Transaction'!A:B,2,FALSE)</f>
        <v>994056</v>
      </c>
      <c r="I5646">
        <f t="shared" si="88"/>
        <v>2014</v>
      </c>
    </row>
    <row r="5647" spans="1:9">
      <c r="A5647" s="1">
        <v>10199</v>
      </c>
      <c r="B5647" s="1">
        <v>3</v>
      </c>
      <c r="C5647" s="2">
        <v>41796</v>
      </c>
      <c r="D5647" s="1" t="s">
        <v>2002</v>
      </c>
      <c r="E5647" s="1">
        <v>104065</v>
      </c>
      <c r="F5647" s="6" t="s">
        <v>7649</v>
      </c>
      <c r="G5647" s="15" t="str">
        <f>VLOOKUP(A5647,Movie!A:D,4,FALSE)</f>
        <v>Lionsgate</v>
      </c>
      <c r="H5647" s="14">
        <f>VLOOKUP(E5647,'Rental Transaction'!A:B,2,FALSE)</f>
        <v>891738</v>
      </c>
      <c r="I5647">
        <f t="shared" si="88"/>
        <v>2014</v>
      </c>
    </row>
    <row r="5648" spans="1:9">
      <c r="A5648" s="1">
        <v>10045</v>
      </c>
      <c r="B5648" s="1">
        <v>3</v>
      </c>
      <c r="C5648" s="2">
        <v>41797</v>
      </c>
      <c r="D5648" s="1" t="s">
        <v>2005</v>
      </c>
      <c r="E5648" s="1">
        <v>104066</v>
      </c>
      <c r="F5648" s="6" t="s">
        <v>7650</v>
      </c>
      <c r="G5648" s="15" t="str">
        <f>VLOOKUP(A5648,Movie!A:D,4,FALSE)</f>
        <v>Warner Brothers</v>
      </c>
      <c r="H5648" s="14">
        <f>VLOOKUP(E5648,'Rental Transaction'!A:B,2,FALSE)</f>
        <v>271531</v>
      </c>
      <c r="I5648">
        <f t="shared" si="88"/>
        <v>2014</v>
      </c>
    </row>
    <row r="5649" spans="1:9">
      <c r="A5649" s="1">
        <v>10299</v>
      </c>
      <c r="B5649" s="1">
        <v>9</v>
      </c>
      <c r="C5649" s="2">
        <v>41796</v>
      </c>
      <c r="D5649" s="1" t="s">
        <v>2002</v>
      </c>
      <c r="E5649" s="1">
        <v>104066</v>
      </c>
      <c r="F5649" s="6" t="s">
        <v>7651</v>
      </c>
      <c r="G5649" s="15" t="str">
        <f>VLOOKUP(A5649,Movie!A:D,4,FALSE)</f>
        <v>Radius-TWC</v>
      </c>
      <c r="H5649" s="14">
        <f>VLOOKUP(E5649,'Rental Transaction'!A:B,2,FALSE)</f>
        <v>271531</v>
      </c>
      <c r="I5649">
        <f t="shared" si="88"/>
        <v>2014</v>
      </c>
    </row>
    <row r="5650" spans="1:9">
      <c r="A5650" s="1">
        <v>10214</v>
      </c>
      <c r="B5650" s="1">
        <v>7</v>
      </c>
      <c r="C5650" s="2">
        <v>41796</v>
      </c>
      <c r="D5650" s="1" t="s">
        <v>2002</v>
      </c>
      <c r="E5650" s="1">
        <v>104066</v>
      </c>
      <c r="F5650" s="6" t="s">
        <v>7652</v>
      </c>
      <c r="G5650" s="15" t="str">
        <f>VLOOKUP(A5650,Movie!A:D,4,FALSE)</f>
        <v>RM</v>
      </c>
      <c r="H5650" s="14">
        <f>VLOOKUP(E5650,'Rental Transaction'!A:B,2,FALSE)</f>
        <v>271531</v>
      </c>
      <c r="I5650">
        <f t="shared" si="88"/>
        <v>2014</v>
      </c>
    </row>
    <row r="5651" spans="1:9">
      <c r="A5651" s="1">
        <v>10050</v>
      </c>
      <c r="B5651" s="1">
        <v>10</v>
      </c>
      <c r="C5651" s="2">
        <v>41797</v>
      </c>
      <c r="D5651" s="1" t="s">
        <v>2002</v>
      </c>
      <c r="E5651" s="1">
        <v>104067</v>
      </c>
      <c r="F5651" s="6" t="s">
        <v>7653</v>
      </c>
      <c r="G5651" s="15" t="str">
        <f>VLOOKUP(A5651,Movie!A:D,4,FALSE)</f>
        <v>Paramount</v>
      </c>
      <c r="H5651" s="14">
        <f>VLOOKUP(E5651,'Rental Transaction'!A:B,2,FALSE)</f>
        <v>479497</v>
      </c>
      <c r="I5651">
        <f t="shared" si="88"/>
        <v>2014</v>
      </c>
    </row>
    <row r="5652" spans="1:9">
      <c r="A5652" s="1">
        <v>10073</v>
      </c>
      <c r="B5652" s="1">
        <v>5</v>
      </c>
      <c r="C5652" s="2">
        <v>41796</v>
      </c>
      <c r="D5652" s="1" t="s">
        <v>2002</v>
      </c>
      <c r="E5652" s="1">
        <v>104069</v>
      </c>
      <c r="F5652" s="6" t="s">
        <v>7654</v>
      </c>
      <c r="G5652" s="15" t="str">
        <f>VLOOKUP(A5652,Movie!A:D,4,FALSE)</f>
        <v>FilmDistrict</v>
      </c>
      <c r="H5652" s="14">
        <f>VLOOKUP(E5652,'Rental Transaction'!A:B,2,FALSE)</f>
        <v>186353</v>
      </c>
      <c r="I5652">
        <f t="shared" si="88"/>
        <v>2014</v>
      </c>
    </row>
    <row r="5653" spans="1:9">
      <c r="A5653" s="1">
        <v>10011</v>
      </c>
      <c r="B5653" s="1">
        <v>7</v>
      </c>
      <c r="C5653" s="2">
        <v>41799</v>
      </c>
      <c r="D5653" s="1" t="s">
        <v>2002</v>
      </c>
      <c r="E5653" s="1">
        <v>104073</v>
      </c>
      <c r="F5653" s="6" t="s">
        <v>7655</v>
      </c>
      <c r="G5653" s="15" t="str">
        <f>VLOOKUP(A5653,Movie!A:D,4,FALSE)</f>
        <v>Buena Vista</v>
      </c>
      <c r="H5653" s="14">
        <f>VLOOKUP(E5653,'Rental Transaction'!A:B,2,FALSE)</f>
        <v>974503</v>
      </c>
      <c r="I5653">
        <f t="shared" si="88"/>
        <v>2014</v>
      </c>
    </row>
    <row r="5654" spans="1:9">
      <c r="A5654" s="1">
        <v>10232</v>
      </c>
      <c r="B5654" s="1">
        <v>1</v>
      </c>
      <c r="C5654" s="2">
        <v>41798</v>
      </c>
      <c r="D5654" s="1" t="s">
        <v>2002</v>
      </c>
      <c r="E5654" s="1">
        <v>104074</v>
      </c>
      <c r="F5654" s="6" t="s">
        <v>7656</v>
      </c>
      <c r="G5654" s="15" t="str">
        <f>VLOOKUP(A5654,Movie!A:D,4,FALSE)</f>
        <v>Paramount</v>
      </c>
      <c r="H5654" s="14">
        <f>VLOOKUP(E5654,'Rental Transaction'!A:B,2,FALSE)</f>
        <v>110363</v>
      </c>
      <c r="I5654">
        <f t="shared" si="88"/>
        <v>2014</v>
      </c>
    </row>
    <row r="5655" spans="1:9">
      <c r="A5655" s="1">
        <v>10287</v>
      </c>
      <c r="B5655" s="1">
        <v>9</v>
      </c>
      <c r="C5655" s="2">
        <v>41799</v>
      </c>
      <c r="D5655" s="1" t="s">
        <v>2002</v>
      </c>
      <c r="E5655" s="1">
        <v>104076</v>
      </c>
      <c r="F5655" s="6" t="s">
        <v>7657</v>
      </c>
      <c r="G5655" s="15" t="str">
        <f>VLOOKUP(A5655,Movie!A:D,4,FALSE)</f>
        <v>Lionsgate</v>
      </c>
      <c r="H5655" s="14">
        <f>VLOOKUP(E5655,'Rental Transaction'!A:B,2,FALSE)</f>
        <v>995599</v>
      </c>
      <c r="I5655">
        <f t="shared" si="88"/>
        <v>2014</v>
      </c>
    </row>
    <row r="5656" spans="1:9">
      <c r="A5656" s="1">
        <v>10283</v>
      </c>
      <c r="B5656" s="1">
        <v>1</v>
      </c>
      <c r="C5656" s="2">
        <v>41798</v>
      </c>
      <c r="D5656" s="1" t="s">
        <v>2005</v>
      </c>
      <c r="E5656" s="1">
        <v>104076</v>
      </c>
      <c r="F5656" s="6" t="s">
        <v>7658</v>
      </c>
      <c r="G5656" s="15" t="str">
        <f>VLOOKUP(A5656,Movie!A:D,4,FALSE)</f>
        <v>TriStar</v>
      </c>
      <c r="H5656" s="14">
        <f>VLOOKUP(E5656,'Rental Transaction'!A:B,2,FALSE)</f>
        <v>995599</v>
      </c>
      <c r="I5656">
        <f t="shared" si="88"/>
        <v>2014</v>
      </c>
    </row>
    <row r="5657" spans="1:9">
      <c r="A5657" s="1">
        <v>10113</v>
      </c>
      <c r="B5657" s="1">
        <v>1</v>
      </c>
      <c r="C5657" s="2">
        <v>41797</v>
      </c>
      <c r="D5657" s="1" t="s">
        <v>2002</v>
      </c>
      <c r="E5657" s="1">
        <v>104077</v>
      </c>
      <c r="F5657" s="6" t="s">
        <v>7659</v>
      </c>
      <c r="G5657" s="15" t="str">
        <f>VLOOKUP(A5657,Movie!A:D,4,FALSE)</f>
        <v>Lionsgate</v>
      </c>
      <c r="H5657" s="14">
        <f>VLOOKUP(E5657,'Rental Transaction'!A:B,2,FALSE)</f>
        <v>330570</v>
      </c>
      <c r="I5657">
        <f t="shared" si="88"/>
        <v>2014</v>
      </c>
    </row>
    <row r="5658" spans="1:9">
      <c r="A5658" s="1">
        <v>10296</v>
      </c>
      <c r="B5658" s="1">
        <v>4</v>
      </c>
      <c r="C5658" s="2">
        <v>41797</v>
      </c>
      <c r="D5658" s="1" t="s">
        <v>2002</v>
      </c>
      <c r="E5658" s="1">
        <v>104078</v>
      </c>
      <c r="F5658" s="6" t="s">
        <v>7660</v>
      </c>
      <c r="G5658" s="15" t="str">
        <f>VLOOKUP(A5658,Movie!A:D,4,FALSE)</f>
        <v>A24</v>
      </c>
      <c r="H5658" s="14">
        <f>VLOOKUP(E5658,'Rental Transaction'!A:B,2,FALSE)</f>
        <v>405671</v>
      </c>
      <c r="I5658">
        <f t="shared" si="88"/>
        <v>2014</v>
      </c>
    </row>
    <row r="5659" spans="1:9">
      <c r="A5659" s="1">
        <v>10247</v>
      </c>
      <c r="B5659" s="1">
        <v>8</v>
      </c>
      <c r="C5659" s="2">
        <v>41797</v>
      </c>
      <c r="D5659" s="1" t="s">
        <v>2002</v>
      </c>
      <c r="E5659" s="1">
        <v>104078</v>
      </c>
      <c r="F5659" s="6" t="s">
        <v>7661</v>
      </c>
      <c r="G5659" s="15" t="str">
        <f>VLOOKUP(A5659,Movie!A:D,4,FALSE)</f>
        <v>Fox</v>
      </c>
      <c r="H5659" s="14">
        <f>VLOOKUP(E5659,'Rental Transaction'!A:B,2,FALSE)</f>
        <v>405671</v>
      </c>
      <c r="I5659">
        <f t="shared" si="88"/>
        <v>2014</v>
      </c>
    </row>
    <row r="5660" spans="1:9">
      <c r="A5660" s="1">
        <v>10240</v>
      </c>
      <c r="B5660" s="1">
        <v>7</v>
      </c>
      <c r="C5660" s="2">
        <v>41799</v>
      </c>
      <c r="D5660" s="1" t="s">
        <v>2005</v>
      </c>
      <c r="E5660" s="1">
        <v>104081</v>
      </c>
      <c r="F5660" s="6" t="s">
        <v>7662</v>
      </c>
      <c r="G5660" s="15" t="str">
        <f>VLOOKUP(A5660,Movie!A:D,4,FALSE)</f>
        <v>Warner Brothers</v>
      </c>
      <c r="H5660" s="14">
        <f>VLOOKUP(E5660,'Rental Transaction'!A:B,2,FALSE)</f>
        <v>567719</v>
      </c>
      <c r="I5660">
        <f t="shared" si="88"/>
        <v>2014</v>
      </c>
    </row>
    <row r="5661" spans="1:9">
      <c r="A5661" s="1">
        <v>10274</v>
      </c>
      <c r="B5661" s="1">
        <v>5</v>
      </c>
      <c r="C5661" s="2">
        <v>41798</v>
      </c>
      <c r="D5661" s="1" t="s">
        <v>2005</v>
      </c>
      <c r="E5661" s="1">
        <v>104081</v>
      </c>
      <c r="F5661" s="6" t="s">
        <v>7663</v>
      </c>
      <c r="G5661" s="15" t="str">
        <f>VLOOKUP(A5661,Movie!A:D,4,FALSE)</f>
        <v>Fox</v>
      </c>
      <c r="H5661" s="14">
        <f>VLOOKUP(E5661,'Rental Transaction'!A:B,2,FALSE)</f>
        <v>567719</v>
      </c>
      <c r="I5661">
        <f t="shared" si="88"/>
        <v>2014</v>
      </c>
    </row>
    <row r="5662" spans="1:9">
      <c r="A5662" s="1">
        <v>10138</v>
      </c>
      <c r="B5662" s="1">
        <v>7</v>
      </c>
      <c r="C5662" s="2">
        <v>41798</v>
      </c>
      <c r="D5662" s="1" t="s">
        <v>2002</v>
      </c>
      <c r="E5662" s="1">
        <v>104084</v>
      </c>
      <c r="F5662" s="6" t="s">
        <v>7664</v>
      </c>
      <c r="G5662" s="15" t="str">
        <f>VLOOKUP(A5662,Movie!A:D,4,FALSE)</f>
        <v>Universal</v>
      </c>
      <c r="H5662" s="14">
        <f>VLOOKUP(E5662,'Rental Transaction'!A:B,2,FALSE)</f>
        <v>605188</v>
      </c>
      <c r="I5662">
        <f t="shared" si="88"/>
        <v>2014</v>
      </c>
    </row>
    <row r="5663" spans="1:9">
      <c r="A5663" s="1">
        <v>10289</v>
      </c>
      <c r="B5663" s="1">
        <v>10</v>
      </c>
      <c r="C5663" s="2">
        <v>41798</v>
      </c>
      <c r="D5663" s="1" t="s">
        <v>2002</v>
      </c>
      <c r="E5663" s="1">
        <v>104085</v>
      </c>
      <c r="F5663" s="6" t="s">
        <v>7665</v>
      </c>
      <c r="G5663" s="15" t="str">
        <f>VLOOKUP(A5663,Movie!A:D,4,FALSE)</f>
        <v>Open Road Films</v>
      </c>
      <c r="H5663" s="14">
        <f>VLOOKUP(E5663,'Rental Transaction'!A:B,2,FALSE)</f>
        <v>448993</v>
      </c>
      <c r="I5663">
        <f t="shared" si="88"/>
        <v>2014</v>
      </c>
    </row>
    <row r="5664" spans="1:9">
      <c r="A5664" s="1">
        <v>10216</v>
      </c>
      <c r="B5664" s="1">
        <v>6</v>
      </c>
      <c r="C5664" s="2">
        <v>41798</v>
      </c>
      <c r="D5664" s="1" t="s">
        <v>2002</v>
      </c>
      <c r="E5664" s="1">
        <v>104086</v>
      </c>
      <c r="F5664" s="6" t="s">
        <v>7666</v>
      </c>
      <c r="G5664" s="15" t="str">
        <f>VLOOKUP(A5664,Movie!A:D,4,FALSE)</f>
        <v>Sony</v>
      </c>
      <c r="H5664" s="14">
        <f>VLOOKUP(E5664,'Rental Transaction'!A:B,2,FALSE)</f>
        <v>407605</v>
      </c>
      <c r="I5664">
        <f t="shared" si="88"/>
        <v>2014</v>
      </c>
    </row>
    <row r="5665" spans="1:9">
      <c r="A5665" s="1">
        <v>10143</v>
      </c>
      <c r="B5665" s="1">
        <v>10</v>
      </c>
      <c r="C5665" s="2">
        <v>41799</v>
      </c>
      <c r="D5665" s="1" t="s">
        <v>2002</v>
      </c>
      <c r="E5665" s="1">
        <v>104086</v>
      </c>
      <c r="F5665" s="6" t="s">
        <v>7667</v>
      </c>
      <c r="G5665" s="15" t="str">
        <f>VLOOKUP(A5665,Movie!A:D,4,FALSE)</f>
        <v>Buena Vista</v>
      </c>
      <c r="H5665" s="14">
        <f>VLOOKUP(E5665,'Rental Transaction'!A:B,2,FALSE)</f>
        <v>407605</v>
      </c>
      <c r="I5665">
        <f t="shared" si="88"/>
        <v>2014</v>
      </c>
    </row>
    <row r="5666" spans="1:9">
      <c r="A5666" s="1">
        <v>10281</v>
      </c>
      <c r="B5666" s="1">
        <v>10</v>
      </c>
      <c r="C5666" s="2">
        <v>41798</v>
      </c>
      <c r="D5666" s="1" t="s">
        <v>2002</v>
      </c>
      <c r="E5666" s="1">
        <v>104087</v>
      </c>
      <c r="F5666" s="6" t="s">
        <v>7668</v>
      </c>
      <c r="G5666" s="15" t="str">
        <f>VLOOKUP(A5666,Movie!A:D,4,FALSE)</f>
        <v>Lionsgate</v>
      </c>
      <c r="H5666" s="14">
        <f>VLOOKUP(E5666,'Rental Transaction'!A:B,2,FALSE)</f>
        <v>550824</v>
      </c>
      <c r="I5666">
        <f t="shared" si="88"/>
        <v>2014</v>
      </c>
    </row>
    <row r="5667" spans="1:9">
      <c r="A5667" s="1">
        <v>10049</v>
      </c>
      <c r="B5667" s="1">
        <v>5</v>
      </c>
      <c r="C5667" s="2">
        <v>41802</v>
      </c>
      <c r="D5667" s="1" t="s">
        <v>2002</v>
      </c>
      <c r="E5667" s="1">
        <v>104087</v>
      </c>
      <c r="F5667" s="6" t="s">
        <v>7669</v>
      </c>
      <c r="G5667" s="15" t="str">
        <f>VLOOKUP(A5667,Movie!A:D,4,FALSE)</f>
        <v>Universal</v>
      </c>
      <c r="H5667" s="14">
        <f>VLOOKUP(E5667,'Rental Transaction'!A:B,2,FALSE)</f>
        <v>550824</v>
      </c>
      <c r="I5667">
        <f t="shared" si="88"/>
        <v>2014</v>
      </c>
    </row>
    <row r="5668" spans="1:9">
      <c r="A5668" s="1">
        <v>10271</v>
      </c>
      <c r="B5668" s="1">
        <v>5</v>
      </c>
      <c r="C5668" s="2">
        <v>41799</v>
      </c>
      <c r="D5668" s="1" t="s">
        <v>2002</v>
      </c>
      <c r="E5668" s="1">
        <v>104088</v>
      </c>
      <c r="F5668" s="6" t="s">
        <v>7670</v>
      </c>
      <c r="G5668" s="15" t="str">
        <f>VLOOKUP(A5668,Movie!A:D,4,FALSE)</f>
        <v>Universal</v>
      </c>
      <c r="H5668" s="14">
        <f>VLOOKUP(E5668,'Rental Transaction'!A:B,2,FALSE)</f>
        <v>857548</v>
      </c>
      <c r="I5668">
        <f t="shared" si="88"/>
        <v>2014</v>
      </c>
    </row>
    <row r="5669" spans="1:9">
      <c r="A5669" s="1">
        <v>10138</v>
      </c>
      <c r="B5669" s="1">
        <v>1</v>
      </c>
      <c r="C5669" s="2">
        <v>41799</v>
      </c>
      <c r="D5669" s="1" t="s">
        <v>2002</v>
      </c>
      <c r="E5669" s="1">
        <v>104088</v>
      </c>
      <c r="F5669" s="6" t="s">
        <v>7671</v>
      </c>
      <c r="G5669" s="15" t="str">
        <f>VLOOKUP(A5669,Movie!A:D,4,FALSE)</f>
        <v>Universal</v>
      </c>
      <c r="H5669" s="14">
        <f>VLOOKUP(E5669,'Rental Transaction'!A:B,2,FALSE)</f>
        <v>857548</v>
      </c>
      <c r="I5669">
        <f t="shared" si="88"/>
        <v>2014</v>
      </c>
    </row>
    <row r="5670" spans="1:9">
      <c r="A5670" s="1">
        <v>10155</v>
      </c>
      <c r="B5670" s="1">
        <v>3</v>
      </c>
      <c r="C5670" s="2">
        <v>41800</v>
      </c>
      <c r="D5670" s="1" t="s">
        <v>2002</v>
      </c>
      <c r="E5670" s="1">
        <v>104089</v>
      </c>
      <c r="F5670" s="6" t="s">
        <v>7672</v>
      </c>
      <c r="G5670" s="15" t="str">
        <f>VLOOKUP(A5670,Movie!A:D,4,FALSE)</f>
        <v>Fox</v>
      </c>
      <c r="H5670" s="14">
        <f>VLOOKUP(E5670,'Rental Transaction'!A:B,2,FALSE)</f>
        <v>833180</v>
      </c>
      <c r="I5670">
        <f t="shared" si="88"/>
        <v>2014</v>
      </c>
    </row>
    <row r="5671" spans="1:9">
      <c r="A5671" s="1">
        <v>10133</v>
      </c>
      <c r="B5671" s="1">
        <v>1</v>
      </c>
      <c r="C5671" s="2">
        <v>41802</v>
      </c>
      <c r="D5671" s="1" t="s">
        <v>2002</v>
      </c>
      <c r="E5671" s="1">
        <v>104089</v>
      </c>
      <c r="F5671" s="6" t="s">
        <v>7673</v>
      </c>
      <c r="G5671" s="15" t="str">
        <f>VLOOKUP(A5671,Movie!A:D,4,FALSE)</f>
        <v>Fox</v>
      </c>
      <c r="H5671" s="14">
        <f>VLOOKUP(E5671,'Rental Transaction'!A:B,2,FALSE)</f>
        <v>833180</v>
      </c>
      <c r="I5671">
        <f t="shared" si="88"/>
        <v>2014</v>
      </c>
    </row>
    <row r="5672" spans="1:9">
      <c r="A5672" s="1">
        <v>10145</v>
      </c>
      <c r="B5672" s="1">
        <v>7</v>
      </c>
      <c r="C5672" s="2">
        <v>41801</v>
      </c>
      <c r="D5672" s="1" t="s">
        <v>2002</v>
      </c>
      <c r="E5672" s="1">
        <v>104090</v>
      </c>
      <c r="F5672" s="6" t="s">
        <v>7674</v>
      </c>
      <c r="G5672" s="15" t="str">
        <f>VLOOKUP(A5672,Movie!A:D,4,FALSE)</f>
        <v>TriStar</v>
      </c>
      <c r="H5672" s="14">
        <f>VLOOKUP(E5672,'Rental Transaction'!A:B,2,FALSE)</f>
        <v>498970</v>
      </c>
      <c r="I5672">
        <f t="shared" si="88"/>
        <v>2014</v>
      </c>
    </row>
    <row r="5673" spans="1:9">
      <c r="A5673" s="1">
        <v>10180</v>
      </c>
      <c r="B5673" s="1">
        <v>1</v>
      </c>
      <c r="C5673" s="2">
        <v>41799</v>
      </c>
      <c r="D5673" s="1" t="s">
        <v>2002</v>
      </c>
      <c r="E5673" s="1">
        <v>104091</v>
      </c>
      <c r="F5673" s="6" t="s">
        <v>7675</v>
      </c>
      <c r="G5673" s="15" t="str">
        <f>VLOOKUP(A5673,Movie!A:D,4,FALSE)</f>
        <v>Relativity</v>
      </c>
      <c r="H5673" s="14">
        <f>VLOOKUP(E5673,'Rental Transaction'!A:B,2,FALSE)</f>
        <v>908768</v>
      </c>
      <c r="I5673">
        <f t="shared" si="88"/>
        <v>2014</v>
      </c>
    </row>
    <row r="5674" spans="1:9">
      <c r="A5674" s="1">
        <v>10376</v>
      </c>
      <c r="B5674" s="1">
        <v>6</v>
      </c>
      <c r="C5674" s="2">
        <v>41802</v>
      </c>
      <c r="D5674" s="1" t="s">
        <v>2002</v>
      </c>
      <c r="E5674" s="1">
        <v>104091</v>
      </c>
      <c r="F5674" s="6" t="s">
        <v>7676</v>
      </c>
      <c r="G5674" s="15" t="str">
        <f>VLOOKUP(A5674,Movie!A:D,4,FALSE)</f>
        <v>Relativity</v>
      </c>
      <c r="H5674" s="14">
        <f>VLOOKUP(E5674,'Rental Transaction'!A:B,2,FALSE)</f>
        <v>908768</v>
      </c>
      <c r="I5674">
        <f t="shared" si="88"/>
        <v>2014</v>
      </c>
    </row>
    <row r="5675" spans="1:9">
      <c r="A5675" s="1">
        <v>10062</v>
      </c>
      <c r="B5675" s="1">
        <v>6</v>
      </c>
      <c r="C5675" s="2">
        <v>41799</v>
      </c>
      <c r="D5675" s="1" t="s">
        <v>2002</v>
      </c>
      <c r="E5675" s="1">
        <v>104091</v>
      </c>
      <c r="F5675" s="6" t="s">
        <v>7677</v>
      </c>
      <c r="G5675" s="15" t="str">
        <f>VLOOKUP(A5675,Movie!A:D,4,FALSE)</f>
        <v>FilmDistrict</v>
      </c>
      <c r="H5675" s="14">
        <f>VLOOKUP(E5675,'Rental Transaction'!A:B,2,FALSE)</f>
        <v>908768</v>
      </c>
      <c r="I5675">
        <f t="shared" si="88"/>
        <v>2014</v>
      </c>
    </row>
    <row r="5676" spans="1:9">
      <c r="A5676" s="1">
        <v>10226</v>
      </c>
      <c r="B5676" s="1">
        <v>10</v>
      </c>
      <c r="C5676" s="2">
        <v>41801</v>
      </c>
      <c r="D5676" s="1" t="s">
        <v>2005</v>
      </c>
      <c r="E5676" s="1">
        <v>104092</v>
      </c>
      <c r="F5676" s="6" t="s">
        <v>7678</v>
      </c>
      <c r="G5676" s="15" t="str">
        <f>VLOOKUP(A5676,Movie!A:D,4,FALSE)</f>
        <v>Sony</v>
      </c>
      <c r="H5676" s="14">
        <f>VLOOKUP(E5676,'Rental Transaction'!A:B,2,FALSE)</f>
        <v>951702</v>
      </c>
      <c r="I5676">
        <f t="shared" si="88"/>
        <v>2014</v>
      </c>
    </row>
    <row r="5677" spans="1:9">
      <c r="A5677" s="1">
        <v>10273</v>
      </c>
      <c r="B5677" s="1">
        <v>9</v>
      </c>
      <c r="C5677" s="2">
        <v>41799</v>
      </c>
      <c r="D5677" s="1" t="s">
        <v>2002</v>
      </c>
      <c r="E5677" s="1">
        <v>104093</v>
      </c>
      <c r="F5677" s="6" t="s">
        <v>7679</v>
      </c>
      <c r="G5677" s="15" t="str">
        <f>VLOOKUP(A5677,Movie!A:D,4,FALSE)</f>
        <v>Sony</v>
      </c>
      <c r="H5677" s="14">
        <f>VLOOKUP(E5677,'Rental Transaction'!A:B,2,FALSE)</f>
        <v>606155</v>
      </c>
      <c r="I5677">
        <f t="shared" si="88"/>
        <v>2014</v>
      </c>
    </row>
    <row r="5678" spans="1:9">
      <c r="A5678" s="1">
        <v>10072</v>
      </c>
      <c r="B5678" s="1">
        <v>5</v>
      </c>
      <c r="C5678" s="2">
        <v>41799</v>
      </c>
      <c r="D5678" s="1" t="s">
        <v>2002</v>
      </c>
      <c r="E5678" s="1">
        <v>104093</v>
      </c>
      <c r="F5678" s="6" t="s">
        <v>7680</v>
      </c>
      <c r="G5678" s="15" t="str">
        <f>VLOOKUP(A5678,Movie!A:D,4,FALSE)</f>
        <v>Paramount</v>
      </c>
      <c r="H5678" s="14">
        <f>VLOOKUP(E5678,'Rental Transaction'!A:B,2,FALSE)</f>
        <v>606155</v>
      </c>
      <c r="I5678">
        <f t="shared" si="88"/>
        <v>2014</v>
      </c>
    </row>
    <row r="5679" spans="1:9" ht="29.25">
      <c r="A5679" s="1">
        <v>10140</v>
      </c>
      <c r="B5679" s="1">
        <v>3</v>
      </c>
      <c r="C5679" s="2">
        <v>41799</v>
      </c>
      <c r="D5679" s="1" t="s">
        <v>2002</v>
      </c>
      <c r="E5679" s="1">
        <v>104094</v>
      </c>
      <c r="F5679" s="6" t="s">
        <v>7681</v>
      </c>
      <c r="G5679" s="15" t="str">
        <f>VLOOKUP(A5679,Movie!A:D,4,FALSE)</f>
        <v>Weinstein Company</v>
      </c>
      <c r="H5679" s="14">
        <f>VLOOKUP(E5679,'Rental Transaction'!A:B,2,FALSE)</f>
        <v>488803</v>
      </c>
      <c r="I5679">
        <f t="shared" si="88"/>
        <v>2014</v>
      </c>
    </row>
    <row r="5680" spans="1:9">
      <c r="A5680" s="1">
        <v>10279</v>
      </c>
      <c r="B5680" s="1">
        <v>5</v>
      </c>
      <c r="C5680" s="2">
        <v>41803</v>
      </c>
      <c r="D5680" s="1" t="s">
        <v>2002</v>
      </c>
      <c r="E5680" s="1">
        <v>104094</v>
      </c>
      <c r="F5680" s="6" t="s">
        <v>7682</v>
      </c>
      <c r="G5680" s="15" t="str">
        <f>VLOOKUP(A5680,Movie!A:D,4,FALSE)</f>
        <v>Screen Gems</v>
      </c>
      <c r="H5680" s="14">
        <f>VLOOKUP(E5680,'Rental Transaction'!A:B,2,FALSE)</f>
        <v>488803</v>
      </c>
      <c r="I5680">
        <f t="shared" si="88"/>
        <v>2014</v>
      </c>
    </row>
    <row r="5681" spans="1:9">
      <c r="A5681" s="1">
        <v>10167</v>
      </c>
      <c r="B5681" s="1">
        <v>9</v>
      </c>
      <c r="C5681" s="2">
        <v>41802</v>
      </c>
      <c r="D5681" s="1" t="s">
        <v>2002</v>
      </c>
      <c r="E5681" s="1">
        <v>104096</v>
      </c>
      <c r="F5681" s="6" t="s">
        <v>7683</v>
      </c>
      <c r="G5681" s="15" t="str">
        <f>VLOOKUP(A5681,Movie!A:D,4,FALSE)</f>
        <v>Universal</v>
      </c>
      <c r="H5681" s="14">
        <f>VLOOKUP(E5681,'Rental Transaction'!A:B,2,FALSE)</f>
        <v>216475</v>
      </c>
      <c r="I5681">
        <f t="shared" si="88"/>
        <v>2014</v>
      </c>
    </row>
    <row r="5682" spans="1:9">
      <c r="A5682" s="1">
        <v>10093</v>
      </c>
      <c r="B5682" s="1">
        <v>4</v>
      </c>
      <c r="C5682" s="2">
        <v>41800</v>
      </c>
      <c r="D5682" s="1" t="s">
        <v>2002</v>
      </c>
      <c r="E5682" s="1">
        <v>104098</v>
      </c>
      <c r="F5682" s="6" t="s">
        <v>7684</v>
      </c>
      <c r="G5682" s="15" t="str">
        <f>VLOOKUP(A5682,Movie!A:D,4,FALSE)</f>
        <v>Open Road Films</v>
      </c>
      <c r="H5682" s="14">
        <f>VLOOKUP(E5682,'Rental Transaction'!A:B,2,FALSE)</f>
        <v>797968</v>
      </c>
      <c r="I5682">
        <f t="shared" si="88"/>
        <v>2014</v>
      </c>
    </row>
    <row r="5683" spans="1:9">
      <c r="A5683" s="1">
        <v>10181</v>
      </c>
      <c r="B5683" s="1">
        <v>2</v>
      </c>
      <c r="C5683" s="2">
        <v>41800</v>
      </c>
      <c r="D5683" s="1" t="s">
        <v>2002</v>
      </c>
      <c r="E5683" s="1">
        <v>104101</v>
      </c>
      <c r="F5683" s="6" t="s">
        <v>7685</v>
      </c>
      <c r="G5683" s="15" t="str">
        <f>VLOOKUP(A5683,Movie!A:D,4,FALSE)</f>
        <v>Fox</v>
      </c>
      <c r="H5683" s="14">
        <f>VLOOKUP(E5683,'Rental Transaction'!A:B,2,FALSE)</f>
        <v>193914</v>
      </c>
      <c r="I5683">
        <f t="shared" si="88"/>
        <v>2014</v>
      </c>
    </row>
    <row r="5684" spans="1:9">
      <c r="A5684" s="1">
        <v>10286</v>
      </c>
      <c r="B5684" s="1">
        <v>9</v>
      </c>
      <c r="C5684" s="2">
        <v>41801</v>
      </c>
      <c r="D5684" s="1" t="s">
        <v>2002</v>
      </c>
      <c r="E5684" s="1">
        <v>104102</v>
      </c>
      <c r="F5684" s="6" t="s">
        <v>7686</v>
      </c>
      <c r="G5684" s="15" t="str">
        <f>VLOOKUP(A5684,Movie!A:D,4,FALSE)</f>
        <v>Fox Searchlight</v>
      </c>
      <c r="H5684" s="14">
        <f>VLOOKUP(E5684,'Rental Transaction'!A:B,2,FALSE)</f>
        <v>592726</v>
      </c>
      <c r="I5684">
        <f t="shared" si="88"/>
        <v>2014</v>
      </c>
    </row>
    <row r="5685" spans="1:9">
      <c r="A5685" s="1">
        <v>10263</v>
      </c>
      <c r="B5685" s="1">
        <v>10</v>
      </c>
      <c r="C5685" s="2">
        <v>41805</v>
      </c>
      <c r="D5685" s="1" t="s">
        <v>2002</v>
      </c>
      <c r="E5685" s="1">
        <v>104103</v>
      </c>
      <c r="F5685" s="6" t="s">
        <v>7687</v>
      </c>
      <c r="G5685" s="15" t="str">
        <f>VLOOKUP(A5685,Movie!A:D,4,FALSE)</f>
        <v>Fox</v>
      </c>
      <c r="H5685" s="14">
        <f>VLOOKUP(E5685,'Rental Transaction'!A:B,2,FALSE)</f>
        <v>936214</v>
      </c>
      <c r="I5685">
        <f t="shared" si="88"/>
        <v>2014</v>
      </c>
    </row>
    <row r="5686" spans="1:9">
      <c r="A5686" s="1">
        <v>10174</v>
      </c>
      <c r="B5686" s="1">
        <v>6</v>
      </c>
      <c r="C5686" s="2">
        <v>41801</v>
      </c>
      <c r="D5686" s="1" t="s">
        <v>2002</v>
      </c>
      <c r="E5686" s="1">
        <v>104104</v>
      </c>
      <c r="F5686" s="6" t="s">
        <v>7688</v>
      </c>
      <c r="G5686" s="15" t="str">
        <f>VLOOKUP(A5686,Movie!A:D,4,FALSE)</f>
        <v>Universal</v>
      </c>
      <c r="H5686" s="14">
        <f>VLOOKUP(E5686,'Rental Transaction'!A:B,2,FALSE)</f>
        <v>500828</v>
      </c>
      <c r="I5686">
        <f t="shared" si="88"/>
        <v>2014</v>
      </c>
    </row>
    <row r="5687" spans="1:9">
      <c r="A5687" s="1">
        <v>10132</v>
      </c>
      <c r="B5687" s="1">
        <v>4</v>
      </c>
      <c r="C5687" s="2">
        <v>41801</v>
      </c>
      <c r="D5687" s="1" t="s">
        <v>2002</v>
      </c>
      <c r="E5687" s="1">
        <v>104104</v>
      </c>
      <c r="F5687" s="6" t="s">
        <v>7689</v>
      </c>
      <c r="G5687" s="15" t="str">
        <f>VLOOKUP(A5687,Movie!A:D,4,FALSE)</f>
        <v>Lionsgate</v>
      </c>
      <c r="H5687" s="14">
        <f>VLOOKUP(E5687,'Rental Transaction'!A:B,2,FALSE)</f>
        <v>500828</v>
      </c>
      <c r="I5687">
        <f t="shared" si="88"/>
        <v>2014</v>
      </c>
    </row>
    <row r="5688" spans="1:9">
      <c r="A5688" s="1">
        <v>10244</v>
      </c>
      <c r="B5688" s="1">
        <v>2</v>
      </c>
      <c r="C5688" s="2">
        <v>41801</v>
      </c>
      <c r="D5688" s="1" t="s">
        <v>2002</v>
      </c>
      <c r="E5688" s="1">
        <v>104105</v>
      </c>
      <c r="F5688" s="6" t="s">
        <v>7690</v>
      </c>
      <c r="G5688" s="15" t="str">
        <f>VLOOKUP(A5688,Movie!A:D,4,FALSE)</f>
        <v>Sony</v>
      </c>
      <c r="H5688" s="14">
        <f>VLOOKUP(E5688,'Rental Transaction'!A:B,2,FALSE)</f>
        <v>880238</v>
      </c>
      <c r="I5688">
        <f t="shared" si="88"/>
        <v>2014</v>
      </c>
    </row>
    <row r="5689" spans="1:9">
      <c r="A5689" s="1">
        <v>10262</v>
      </c>
      <c r="B5689" s="1">
        <v>3</v>
      </c>
      <c r="C5689" s="2">
        <v>41802</v>
      </c>
      <c r="D5689" s="1" t="s">
        <v>2002</v>
      </c>
      <c r="E5689" s="1">
        <v>104106</v>
      </c>
      <c r="F5689" s="6" t="s">
        <v>7691</v>
      </c>
      <c r="G5689" s="15" t="str">
        <f>VLOOKUP(A5689,Movie!A:D,4,FALSE)</f>
        <v>Lionsgate</v>
      </c>
      <c r="H5689" s="14">
        <f>VLOOKUP(E5689,'Rental Transaction'!A:B,2,FALSE)</f>
        <v>216475</v>
      </c>
      <c r="I5689">
        <f t="shared" si="88"/>
        <v>2014</v>
      </c>
    </row>
    <row r="5690" spans="1:9">
      <c r="A5690" s="1">
        <v>10122</v>
      </c>
      <c r="B5690" s="1">
        <v>6</v>
      </c>
      <c r="C5690" s="2">
        <v>41803</v>
      </c>
      <c r="D5690" s="1" t="s">
        <v>2002</v>
      </c>
      <c r="E5690" s="1">
        <v>104106</v>
      </c>
      <c r="F5690" s="6" t="s">
        <v>7692</v>
      </c>
      <c r="G5690" s="15" t="str">
        <f>VLOOKUP(A5690,Movie!A:D,4,FALSE)</f>
        <v>Relativity</v>
      </c>
      <c r="H5690" s="14">
        <f>VLOOKUP(E5690,'Rental Transaction'!A:B,2,FALSE)</f>
        <v>216475</v>
      </c>
      <c r="I5690">
        <f t="shared" si="88"/>
        <v>2014</v>
      </c>
    </row>
    <row r="5691" spans="1:9">
      <c r="A5691" s="1">
        <v>10243</v>
      </c>
      <c r="B5691" s="1">
        <v>8</v>
      </c>
      <c r="C5691" s="2">
        <v>41801</v>
      </c>
      <c r="D5691" s="1" t="s">
        <v>2002</v>
      </c>
      <c r="E5691" s="1">
        <v>104108</v>
      </c>
      <c r="F5691" s="6" t="s">
        <v>7693</v>
      </c>
      <c r="G5691" s="15" t="str">
        <f>VLOOKUP(A5691,Movie!A:D,4,FALSE)</f>
        <v>Fox</v>
      </c>
      <c r="H5691" s="14">
        <f>VLOOKUP(E5691,'Rental Transaction'!A:B,2,FALSE)</f>
        <v>265707</v>
      </c>
      <c r="I5691">
        <f t="shared" si="88"/>
        <v>2014</v>
      </c>
    </row>
    <row r="5692" spans="1:9">
      <c r="A5692" s="1">
        <v>10064</v>
      </c>
      <c r="B5692" s="1">
        <v>8</v>
      </c>
      <c r="C5692" s="2">
        <v>41801</v>
      </c>
      <c r="D5692" s="1" t="s">
        <v>2002</v>
      </c>
      <c r="E5692" s="1">
        <v>104108</v>
      </c>
      <c r="F5692" s="6" t="s">
        <v>7694</v>
      </c>
      <c r="G5692" s="15" t="str">
        <f>VLOOKUP(A5692,Movie!A:D,4,FALSE)</f>
        <v>Universal</v>
      </c>
      <c r="H5692" s="14">
        <f>VLOOKUP(E5692,'Rental Transaction'!A:B,2,FALSE)</f>
        <v>265707</v>
      </c>
      <c r="I5692">
        <f t="shared" si="88"/>
        <v>2014</v>
      </c>
    </row>
    <row r="5693" spans="1:9">
      <c r="A5693" s="1">
        <v>10229</v>
      </c>
      <c r="B5693" s="1">
        <v>3</v>
      </c>
      <c r="C5693" s="2">
        <v>41802</v>
      </c>
      <c r="D5693" s="1" t="s">
        <v>2002</v>
      </c>
      <c r="E5693" s="1">
        <v>104109</v>
      </c>
      <c r="F5693" s="6" t="s">
        <v>7695</v>
      </c>
      <c r="G5693" s="15" t="str">
        <f>VLOOKUP(A5693,Movie!A:D,4,FALSE)</f>
        <v>TriStar</v>
      </c>
      <c r="H5693" s="14">
        <f>VLOOKUP(E5693,'Rental Transaction'!A:B,2,FALSE)</f>
        <v>979679</v>
      </c>
      <c r="I5693">
        <f t="shared" si="88"/>
        <v>2014</v>
      </c>
    </row>
    <row r="5694" spans="1:9">
      <c r="A5694" s="1">
        <v>10174</v>
      </c>
      <c r="B5694" s="1">
        <v>9</v>
      </c>
      <c r="C5694" s="2">
        <v>41802</v>
      </c>
      <c r="D5694" s="1" t="s">
        <v>2002</v>
      </c>
      <c r="E5694" s="1">
        <v>104110</v>
      </c>
      <c r="F5694" s="6" t="s">
        <v>7696</v>
      </c>
      <c r="G5694" s="15" t="str">
        <f>VLOOKUP(A5694,Movie!A:D,4,FALSE)</f>
        <v>Universal</v>
      </c>
      <c r="H5694" s="14">
        <f>VLOOKUP(E5694,'Rental Transaction'!A:B,2,FALSE)</f>
        <v>885548</v>
      </c>
      <c r="I5694">
        <f t="shared" si="88"/>
        <v>2014</v>
      </c>
    </row>
    <row r="5695" spans="1:9">
      <c r="A5695" s="1">
        <v>10131</v>
      </c>
      <c r="B5695" s="1">
        <v>8</v>
      </c>
      <c r="C5695" s="2">
        <v>41803</v>
      </c>
      <c r="D5695" s="1" t="s">
        <v>2002</v>
      </c>
      <c r="E5695" s="1">
        <v>104110</v>
      </c>
      <c r="F5695" s="6" t="s">
        <v>7697</v>
      </c>
      <c r="G5695" s="15" t="str">
        <f>VLOOKUP(A5695,Movie!A:D,4,FALSE)</f>
        <v>Warner Brothers</v>
      </c>
      <c r="H5695" s="14">
        <f>VLOOKUP(E5695,'Rental Transaction'!A:B,2,FALSE)</f>
        <v>885548</v>
      </c>
      <c r="I5695">
        <f t="shared" si="88"/>
        <v>2014</v>
      </c>
    </row>
    <row r="5696" spans="1:9">
      <c r="A5696" s="1">
        <v>10261</v>
      </c>
      <c r="B5696" s="1">
        <v>3</v>
      </c>
      <c r="C5696" s="2">
        <v>41802</v>
      </c>
      <c r="D5696" s="1" t="s">
        <v>2002</v>
      </c>
      <c r="E5696" s="1">
        <v>104112</v>
      </c>
      <c r="F5696" s="6" t="s">
        <v>7698</v>
      </c>
      <c r="G5696" s="15" t="str">
        <f>VLOOKUP(A5696,Movie!A:D,4,FALSE)</f>
        <v>Fox</v>
      </c>
      <c r="H5696" s="14">
        <f>VLOOKUP(E5696,'Rental Transaction'!A:B,2,FALSE)</f>
        <v>231615</v>
      </c>
      <c r="I5696">
        <f t="shared" si="88"/>
        <v>2014</v>
      </c>
    </row>
    <row r="5697" spans="1:9">
      <c r="A5697" s="1">
        <v>10097</v>
      </c>
      <c r="B5697" s="1">
        <v>8</v>
      </c>
      <c r="C5697" s="2">
        <v>41802</v>
      </c>
      <c r="D5697" s="1" t="s">
        <v>2002</v>
      </c>
      <c r="E5697" s="1">
        <v>104113</v>
      </c>
      <c r="F5697" s="6" t="s">
        <v>7699</v>
      </c>
      <c r="G5697" s="15" t="str">
        <f>VLOOKUP(A5697,Movie!A:D,4,FALSE)</f>
        <v>Screen Gems</v>
      </c>
      <c r="H5697" s="14">
        <f>VLOOKUP(E5697,'Rental Transaction'!A:B,2,FALSE)</f>
        <v>879173</v>
      </c>
      <c r="I5697">
        <f t="shared" si="88"/>
        <v>2014</v>
      </c>
    </row>
    <row r="5698" spans="1:9">
      <c r="A5698" s="1">
        <v>10212</v>
      </c>
      <c r="B5698" s="1">
        <v>3</v>
      </c>
      <c r="C5698" s="2">
        <v>41803</v>
      </c>
      <c r="D5698" s="1" t="s">
        <v>2002</v>
      </c>
      <c r="E5698" s="1">
        <v>104113</v>
      </c>
      <c r="F5698" s="6" t="s">
        <v>7700</v>
      </c>
      <c r="G5698" s="15" t="str">
        <f>VLOOKUP(A5698,Movie!A:D,4,FALSE)</f>
        <v>Lionsgate</v>
      </c>
      <c r="H5698" s="14">
        <f>VLOOKUP(E5698,'Rental Transaction'!A:B,2,FALSE)</f>
        <v>879173</v>
      </c>
      <c r="I5698">
        <f t="shared" si="88"/>
        <v>2014</v>
      </c>
    </row>
    <row r="5699" spans="1:9">
      <c r="A5699" s="1">
        <v>10248</v>
      </c>
      <c r="B5699" s="1">
        <v>5</v>
      </c>
      <c r="C5699" s="2">
        <v>41802</v>
      </c>
      <c r="D5699" s="1" t="s">
        <v>2002</v>
      </c>
      <c r="E5699" s="1">
        <v>104113</v>
      </c>
      <c r="F5699" s="6" t="s">
        <v>7701</v>
      </c>
      <c r="G5699" s="15" t="str">
        <f>VLOOKUP(A5699,Movie!A:D,4,FALSE)</f>
        <v>Relativity</v>
      </c>
      <c r="H5699" s="14">
        <f>VLOOKUP(E5699,'Rental Transaction'!A:B,2,FALSE)</f>
        <v>879173</v>
      </c>
      <c r="I5699">
        <f t="shared" ref="I5699:I5762" si="89">YEAR(C5699)</f>
        <v>2014</v>
      </c>
    </row>
    <row r="5700" spans="1:9">
      <c r="A5700" s="1">
        <v>10169</v>
      </c>
      <c r="B5700" s="1">
        <v>1</v>
      </c>
      <c r="C5700" s="2">
        <v>41802</v>
      </c>
      <c r="D5700" s="1" t="s">
        <v>2002</v>
      </c>
      <c r="E5700" s="1">
        <v>104114</v>
      </c>
      <c r="F5700" s="6" t="s">
        <v>7702</v>
      </c>
      <c r="G5700" s="15" t="str">
        <f>VLOOKUP(A5700,Movie!A:D,4,FALSE)</f>
        <v>Warner Brothers</v>
      </c>
      <c r="H5700" s="14">
        <f>VLOOKUP(E5700,'Rental Transaction'!A:B,2,FALSE)</f>
        <v>933331</v>
      </c>
      <c r="I5700">
        <f t="shared" si="89"/>
        <v>2014</v>
      </c>
    </row>
    <row r="5701" spans="1:9">
      <c r="A5701" s="1">
        <v>10053</v>
      </c>
      <c r="B5701" s="1">
        <v>10</v>
      </c>
      <c r="C5701" s="2">
        <v>41803</v>
      </c>
      <c r="D5701" s="1" t="s">
        <v>2002</v>
      </c>
      <c r="E5701" s="1">
        <v>104117</v>
      </c>
      <c r="F5701" s="6" t="s">
        <v>7703</v>
      </c>
      <c r="G5701" s="15" t="str">
        <f>VLOOKUP(A5701,Movie!A:D,4,FALSE)</f>
        <v>Sony</v>
      </c>
      <c r="H5701" s="14">
        <f>VLOOKUP(E5701,'Rental Transaction'!A:B,2,FALSE)</f>
        <v>660634</v>
      </c>
      <c r="I5701">
        <f t="shared" si="89"/>
        <v>2014</v>
      </c>
    </row>
    <row r="5702" spans="1:9">
      <c r="A5702" s="1">
        <v>10259</v>
      </c>
      <c r="B5702" s="1">
        <v>5</v>
      </c>
      <c r="C5702" s="2">
        <v>41805</v>
      </c>
      <c r="D5702" s="1" t="s">
        <v>2002</v>
      </c>
      <c r="E5702" s="1">
        <v>104117</v>
      </c>
      <c r="F5702" s="6" t="s">
        <v>7704</v>
      </c>
      <c r="G5702" s="15" t="str">
        <f>VLOOKUP(A5702,Movie!A:D,4,FALSE)</f>
        <v>Warner Brothers</v>
      </c>
      <c r="H5702" s="14">
        <f>VLOOKUP(E5702,'Rental Transaction'!A:B,2,FALSE)</f>
        <v>660634</v>
      </c>
      <c r="I5702">
        <f t="shared" si="89"/>
        <v>2014</v>
      </c>
    </row>
    <row r="5703" spans="1:9">
      <c r="A5703" s="1">
        <v>10166</v>
      </c>
      <c r="B5703" s="1">
        <v>3</v>
      </c>
      <c r="C5703" s="2">
        <v>41803</v>
      </c>
      <c r="D5703" s="1" t="s">
        <v>2002</v>
      </c>
      <c r="E5703" s="1">
        <v>104119</v>
      </c>
      <c r="F5703" s="6" t="s">
        <v>7705</v>
      </c>
      <c r="G5703" s="15" t="str">
        <f>VLOOKUP(A5703,Movie!A:D,4,FALSE)</f>
        <v>Fox</v>
      </c>
      <c r="H5703" s="14">
        <f>VLOOKUP(E5703,'Rental Transaction'!A:B,2,FALSE)</f>
        <v>955591</v>
      </c>
      <c r="I5703">
        <f t="shared" si="89"/>
        <v>2014</v>
      </c>
    </row>
    <row r="5704" spans="1:9">
      <c r="A5704" s="1">
        <v>10203</v>
      </c>
      <c r="B5704" s="1">
        <v>1</v>
      </c>
      <c r="C5704" s="2">
        <v>41804</v>
      </c>
      <c r="D5704" s="1" t="s">
        <v>2002</v>
      </c>
      <c r="E5704" s="1">
        <v>104120</v>
      </c>
      <c r="F5704" s="6" t="s">
        <v>7706</v>
      </c>
      <c r="G5704" s="15" t="str">
        <f>VLOOKUP(A5704,Movie!A:D,4,FALSE)</f>
        <v>Buena Vista</v>
      </c>
      <c r="H5704" s="14">
        <f>VLOOKUP(E5704,'Rental Transaction'!A:B,2,FALSE)</f>
        <v>664934</v>
      </c>
      <c r="I5704">
        <f t="shared" si="89"/>
        <v>2014</v>
      </c>
    </row>
    <row r="5705" spans="1:9">
      <c r="A5705" s="1">
        <v>10280</v>
      </c>
      <c r="B5705" s="1">
        <v>9</v>
      </c>
      <c r="C5705" s="2">
        <v>41803</v>
      </c>
      <c r="D5705" s="1" t="s">
        <v>2002</v>
      </c>
      <c r="E5705" s="1">
        <v>104120</v>
      </c>
      <c r="F5705" s="6" t="s">
        <v>7707</v>
      </c>
      <c r="G5705" s="15" t="str">
        <f>VLOOKUP(A5705,Movie!A:D,4,FALSE)</f>
        <v>Universal</v>
      </c>
      <c r="H5705" s="14">
        <f>VLOOKUP(E5705,'Rental Transaction'!A:B,2,FALSE)</f>
        <v>664934</v>
      </c>
      <c r="I5705">
        <f t="shared" si="89"/>
        <v>2014</v>
      </c>
    </row>
    <row r="5706" spans="1:9">
      <c r="A5706" s="1">
        <v>10280</v>
      </c>
      <c r="B5706" s="1">
        <v>5</v>
      </c>
      <c r="C5706" s="2">
        <v>41804</v>
      </c>
      <c r="D5706" s="1" t="s">
        <v>2002</v>
      </c>
      <c r="E5706" s="1">
        <v>104123</v>
      </c>
      <c r="F5706" s="6" t="s">
        <v>7708</v>
      </c>
      <c r="G5706" s="15" t="str">
        <f>VLOOKUP(A5706,Movie!A:D,4,FALSE)</f>
        <v>Universal</v>
      </c>
      <c r="H5706" s="14">
        <f>VLOOKUP(E5706,'Rental Transaction'!A:B,2,FALSE)</f>
        <v>230602</v>
      </c>
      <c r="I5706">
        <f t="shared" si="89"/>
        <v>2014</v>
      </c>
    </row>
    <row r="5707" spans="1:9">
      <c r="A5707" s="1">
        <v>10260</v>
      </c>
      <c r="B5707" s="1">
        <v>7</v>
      </c>
      <c r="C5707" s="2">
        <v>41804</v>
      </c>
      <c r="D5707" s="1" t="s">
        <v>2002</v>
      </c>
      <c r="E5707" s="1">
        <v>104123</v>
      </c>
      <c r="F5707" s="6" t="s">
        <v>7709</v>
      </c>
      <c r="G5707" s="15" t="str">
        <f>VLOOKUP(A5707,Movie!A:D,4,FALSE)</f>
        <v>Sony</v>
      </c>
      <c r="H5707" s="14">
        <f>VLOOKUP(E5707,'Rental Transaction'!A:B,2,FALSE)</f>
        <v>230602</v>
      </c>
      <c r="I5707">
        <f t="shared" si="89"/>
        <v>2014</v>
      </c>
    </row>
    <row r="5708" spans="1:9">
      <c r="A5708" s="1">
        <v>10135</v>
      </c>
      <c r="B5708" s="1">
        <v>8</v>
      </c>
      <c r="C5708" s="2">
        <v>41804</v>
      </c>
      <c r="D5708" s="1" t="s">
        <v>2002</v>
      </c>
      <c r="E5708" s="1">
        <v>104124</v>
      </c>
      <c r="F5708" s="6" t="s">
        <v>7710</v>
      </c>
      <c r="G5708" s="15" t="str">
        <f>VLOOKUP(A5708,Movie!A:D,4,FALSE)</f>
        <v>Universal</v>
      </c>
      <c r="H5708" s="14">
        <f>VLOOKUP(E5708,'Rental Transaction'!A:B,2,FALSE)</f>
        <v>516619</v>
      </c>
      <c r="I5708">
        <f t="shared" si="89"/>
        <v>2014</v>
      </c>
    </row>
    <row r="5709" spans="1:9">
      <c r="A5709" s="1">
        <v>10123</v>
      </c>
      <c r="B5709" s="1">
        <v>9</v>
      </c>
      <c r="C5709" s="2">
        <v>41805</v>
      </c>
      <c r="D5709" s="1" t="s">
        <v>2002</v>
      </c>
      <c r="E5709" s="1">
        <v>104125</v>
      </c>
      <c r="F5709" s="6" t="s">
        <v>7711</v>
      </c>
      <c r="G5709" s="15" t="str">
        <f>VLOOKUP(A5709,Movie!A:D,4,FALSE)</f>
        <v>Fox</v>
      </c>
      <c r="H5709" s="14">
        <f>VLOOKUP(E5709,'Rental Transaction'!A:B,2,FALSE)</f>
        <v>884729</v>
      </c>
      <c r="I5709">
        <f t="shared" si="89"/>
        <v>2014</v>
      </c>
    </row>
    <row r="5710" spans="1:9">
      <c r="A5710" s="1">
        <v>10101</v>
      </c>
      <c r="B5710" s="1">
        <v>6</v>
      </c>
      <c r="C5710" s="2">
        <v>41804</v>
      </c>
      <c r="D5710" s="1" t="s">
        <v>2002</v>
      </c>
      <c r="E5710" s="1">
        <v>104126</v>
      </c>
      <c r="F5710" s="6" t="s">
        <v>7712</v>
      </c>
      <c r="G5710" s="15" t="str">
        <f>VLOOKUP(A5710,Movie!A:D,4,FALSE)</f>
        <v>Sony</v>
      </c>
      <c r="H5710" s="14">
        <f>VLOOKUP(E5710,'Rental Transaction'!A:B,2,FALSE)</f>
        <v>190721</v>
      </c>
      <c r="I5710">
        <f t="shared" si="89"/>
        <v>2014</v>
      </c>
    </row>
    <row r="5711" spans="1:9">
      <c r="A5711" s="1">
        <v>10094</v>
      </c>
      <c r="B5711" s="1">
        <v>3</v>
      </c>
      <c r="C5711" s="2">
        <v>41804</v>
      </c>
      <c r="D5711" s="1" t="s">
        <v>2002</v>
      </c>
      <c r="E5711" s="1">
        <v>104126</v>
      </c>
      <c r="F5711" s="6" t="s">
        <v>7713</v>
      </c>
      <c r="G5711" s="15" t="str">
        <f>VLOOKUP(A5711,Movie!A:D,4,FALSE)</f>
        <v>Relativity</v>
      </c>
      <c r="H5711" s="14">
        <f>VLOOKUP(E5711,'Rental Transaction'!A:B,2,FALSE)</f>
        <v>190721</v>
      </c>
      <c r="I5711">
        <f t="shared" si="89"/>
        <v>2014</v>
      </c>
    </row>
    <row r="5712" spans="1:9">
      <c r="A5712" s="1">
        <v>10169</v>
      </c>
      <c r="B5712" s="1">
        <v>2</v>
      </c>
      <c r="C5712" s="2">
        <v>41805</v>
      </c>
      <c r="D5712" s="1" t="s">
        <v>2005</v>
      </c>
      <c r="E5712" s="1">
        <v>104127</v>
      </c>
      <c r="F5712" s="6" t="s">
        <v>7714</v>
      </c>
      <c r="G5712" s="15" t="str">
        <f>VLOOKUP(A5712,Movie!A:D,4,FALSE)</f>
        <v>Warner Brothers</v>
      </c>
      <c r="H5712" s="14">
        <f>VLOOKUP(E5712,'Rental Transaction'!A:B,2,FALSE)</f>
        <v>796796</v>
      </c>
      <c r="I5712">
        <f t="shared" si="89"/>
        <v>2014</v>
      </c>
    </row>
    <row r="5713" spans="1:9">
      <c r="A5713" s="1">
        <v>10238</v>
      </c>
      <c r="B5713" s="1">
        <v>1</v>
      </c>
      <c r="C5713" s="2">
        <v>41805</v>
      </c>
      <c r="D5713" s="1" t="s">
        <v>2005</v>
      </c>
      <c r="E5713" s="1">
        <v>104127</v>
      </c>
      <c r="F5713" s="6" t="s">
        <v>7715</v>
      </c>
      <c r="G5713" s="15" t="str">
        <f>VLOOKUP(A5713,Movie!A:D,4,FALSE)</f>
        <v>Warner Brothers</v>
      </c>
      <c r="H5713" s="14">
        <f>VLOOKUP(E5713,'Rental Transaction'!A:B,2,FALSE)</f>
        <v>796796</v>
      </c>
      <c r="I5713">
        <f t="shared" si="89"/>
        <v>2014</v>
      </c>
    </row>
    <row r="5714" spans="1:9">
      <c r="A5714" s="1">
        <v>10281</v>
      </c>
      <c r="B5714" s="1">
        <v>2</v>
      </c>
      <c r="C5714" s="2">
        <v>41804</v>
      </c>
      <c r="D5714" s="1" t="s">
        <v>2002</v>
      </c>
      <c r="E5714" s="1">
        <v>104128</v>
      </c>
      <c r="F5714" s="6" t="s">
        <v>7716</v>
      </c>
      <c r="G5714" s="15" t="str">
        <f>VLOOKUP(A5714,Movie!A:D,4,FALSE)</f>
        <v>Lionsgate</v>
      </c>
      <c r="H5714" s="14">
        <f>VLOOKUP(E5714,'Rental Transaction'!A:B,2,FALSE)</f>
        <v>601753</v>
      </c>
      <c r="I5714">
        <f t="shared" si="89"/>
        <v>2014</v>
      </c>
    </row>
    <row r="5715" spans="1:9">
      <c r="A5715" s="1">
        <v>10084</v>
      </c>
      <c r="B5715" s="1">
        <v>6</v>
      </c>
      <c r="C5715" s="2">
        <v>41805</v>
      </c>
      <c r="D5715" s="1" t="s">
        <v>2002</v>
      </c>
      <c r="E5715" s="1">
        <v>104129</v>
      </c>
      <c r="F5715" s="6" t="s">
        <v>7717</v>
      </c>
      <c r="G5715" s="15" t="str">
        <f>VLOOKUP(A5715,Movie!A:D,4,FALSE)</f>
        <v>CBS Films</v>
      </c>
      <c r="H5715" s="14">
        <f>VLOOKUP(E5715,'Rental Transaction'!A:B,2,FALSE)</f>
        <v>373200</v>
      </c>
      <c r="I5715">
        <f t="shared" si="89"/>
        <v>2014</v>
      </c>
    </row>
    <row r="5716" spans="1:9">
      <c r="A5716" s="1">
        <v>10200</v>
      </c>
      <c r="B5716" s="1">
        <v>4</v>
      </c>
      <c r="C5716" s="2">
        <v>41804</v>
      </c>
      <c r="D5716" s="1" t="s">
        <v>2005</v>
      </c>
      <c r="E5716" s="1">
        <v>104129</v>
      </c>
      <c r="F5716" s="6" t="s">
        <v>7718</v>
      </c>
      <c r="G5716" s="15" t="str">
        <f>VLOOKUP(A5716,Movie!A:D,4,FALSE)</f>
        <v>Fox</v>
      </c>
      <c r="H5716" s="14">
        <f>VLOOKUP(E5716,'Rental Transaction'!A:B,2,FALSE)</f>
        <v>373200</v>
      </c>
      <c r="I5716">
        <f t="shared" si="89"/>
        <v>2014</v>
      </c>
    </row>
    <row r="5717" spans="1:9">
      <c r="A5717" s="1">
        <v>10299</v>
      </c>
      <c r="B5717" s="1">
        <v>5</v>
      </c>
      <c r="C5717" s="2">
        <v>41805</v>
      </c>
      <c r="D5717" s="1" t="s">
        <v>2002</v>
      </c>
      <c r="E5717" s="1">
        <v>104132</v>
      </c>
      <c r="F5717" s="6" t="s">
        <v>7719</v>
      </c>
      <c r="G5717" s="15" t="str">
        <f>VLOOKUP(A5717,Movie!A:D,4,FALSE)</f>
        <v>Radius-TWC</v>
      </c>
      <c r="H5717" s="14">
        <f>VLOOKUP(E5717,'Rental Transaction'!A:B,2,FALSE)</f>
        <v>161175</v>
      </c>
      <c r="I5717">
        <f t="shared" si="89"/>
        <v>2014</v>
      </c>
    </row>
    <row r="5718" spans="1:9">
      <c r="A5718" s="1">
        <v>10115</v>
      </c>
      <c r="B5718" s="1">
        <v>10</v>
      </c>
      <c r="C5718" s="2">
        <v>41805</v>
      </c>
      <c r="D5718" s="1" t="s">
        <v>2002</v>
      </c>
      <c r="E5718" s="1">
        <v>104132</v>
      </c>
      <c r="F5718" s="6" t="s">
        <v>7720</v>
      </c>
      <c r="G5718" s="15" t="str">
        <f>VLOOKUP(A5718,Movie!A:D,4,FALSE)</f>
        <v>Open Road Films</v>
      </c>
      <c r="H5718" s="14">
        <f>VLOOKUP(E5718,'Rental Transaction'!A:B,2,FALSE)</f>
        <v>161175</v>
      </c>
      <c r="I5718">
        <f t="shared" si="89"/>
        <v>2014</v>
      </c>
    </row>
    <row r="5719" spans="1:9">
      <c r="A5719" s="1">
        <v>10082</v>
      </c>
      <c r="B5719" s="1">
        <v>3</v>
      </c>
      <c r="C5719" s="2">
        <v>41805</v>
      </c>
      <c r="D5719" s="1" t="s">
        <v>2002</v>
      </c>
      <c r="E5719" s="1">
        <v>104134</v>
      </c>
      <c r="F5719" s="6" t="s">
        <v>7721</v>
      </c>
      <c r="G5719" s="15" t="str">
        <f>VLOOKUP(A5719,Movie!A:D,4,FALSE)</f>
        <v>Buena Vista</v>
      </c>
      <c r="H5719" s="14">
        <f>VLOOKUP(E5719,'Rental Transaction'!A:B,2,FALSE)</f>
        <v>761615</v>
      </c>
      <c r="I5719">
        <f t="shared" si="89"/>
        <v>2014</v>
      </c>
    </row>
    <row r="5720" spans="1:9">
      <c r="A5720" s="1">
        <v>10138</v>
      </c>
      <c r="B5720" s="1">
        <v>4</v>
      </c>
      <c r="C5720" s="2">
        <v>41805</v>
      </c>
      <c r="D5720" s="1" t="s">
        <v>2002</v>
      </c>
      <c r="E5720" s="1">
        <v>104135</v>
      </c>
      <c r="F5720" s="6" t="s">
        <v>7722</v>
      </c>
      <c r="G5720" s="15" t="str">
        <f>VLOOKUP(A5720,Movie!A:D,4,FALSE)</f>
        <v>Universal</v>
      </c>
      <c r="H5720" s="14">
        <f>VLOOKUP(E5720,'Rental Transaction'!A:B,2,FALSE)</f>
        <v>701211</v>
      </c>
      <c r="I5720">
        <f t="shared" si="89"/>
        <v>2014</v>
      </c>
    </row>
    <row r="5721" spans="1:9">
      <c r="A5721" s="1">
        <v>10087</v>
      </c>
      <c r="B5721" s="1">
        <v>10</v>
      </c>
      <c r="C5721" s="2">
        <v>41807</v>
      </c>
      <c r="D5721" s="1" t="s">
        <v>2002</v>
      </c>
      <c r="E5721" s="1">
        <v>104136</v>
      </c>
      <c r="F5721" s="6" t="s">
        <v>7723</v>
      </c>
      <c r="G5721" s="15" t="str">
        <f>VLOOKUP(A5721,Movie!A:D,4,FALSE)</f>
        <v>Lionsgate</v>
      </c>
      <c r="H5721" s="14">
        <f>VLOOKUP(E5721,'Rental Transaction'!A:B,2,FALSE)</f>
        <v>938417</v>
      </c>
      <c r="I5721">
        <f t="shared" si="89"/>
        <v>2014</v>
      </c>
    </row>
    <row r="5722" spans="1:9">
      <c r="A5722" s="1">
        <v>10048</v>
      </c>
      <c r="B5722" s="1">
        <v>1</v>
      </c>
      <c r="C5722" s="2">
        <v>41807</v>
      </c>
      <c r="D5722" s="1" t="s">
        <v>2002</v>
      </c>
      <c r="E5722" s="1">
        <v>104136</v>
      </c>
      <c r="F5722" s="6" t="s">
        <v>7724</v>
      </c>
      <c r="G5722" s="15" t="str">
        <f>VLOOKUP(A5722,Movie!A:D,4,FALSE)</f>
        <v>Relativity</v>
      </c>
      <c r="H5722" s="14">
        <f>VLOOKUP(E5722,'Rental Transaction'!A:B,2,FALSE)</f>
        <v>938417</v>
      </c>
      <c r="I5722">
        <f t="shared" si="89"/>
        <v>2014</v>
      </c>
    </row>
    <row r="5723" spans="1:9">
      <c r="A5723" s="1">
        <v>10200</v>
      </c>
      <c r="B5723" s="1">
        <v>4</v>
      </c>
      <c r="C5723" s="2">
        <v>41806</v>
      </c>
      <c r="D5723" s="1" t="s">
        <v>2002</v>
      </c>
      <c r="E5723" s="1">
        <v>104137</v>
      </c>
      <c r="F5723" s="6" t="s">
        <v>7725</v>
      </c>
      <c r="G5723" s="15" t="str">
        <f>VLOOKUP(A5723,Movie!A:D,4,FALSE)</f>
        <v>Fox</v>
      </c>
      <c r="H5723" s="14">
        <f>VLOOKUP(E5723,'Rental Transaction'!A:B,2,FALSE)</f>
        <v>173125</v>
      </c>
      <c r="I5723">
        <f t="shared" si="89"/>
        <v>2014</v>
      </c>
    </row>
    <row r="5724" spans="1:9">
      <c r="A5724" s="1">
        <v>10226</v>
      </c>
      <c r="B5724" s="1">
        <v>5</v>
      </c>
      <c r="C5724" s="2">
        <v>41810</v>
      </c>
      <c r="D5724" s="1" t="s">
        <v>2002</v>
      </c>
      <c r="E5724" s="1">
        <v>104140</v>
      </c>
      <c r="F5724" s="6" t="s">
        <v>7726</v>
      </c>
      <c r="G5724" s="15" t="str">
        <f>VLOOKUP(A5724,Movie!A:D,4,FALSE)</f>
        <v>Sony</v>
      </c>
      <c r="H5724" s="14">
        <f>VLOOKUP(E5724,'Rental Transaction'!A:B,2,FALSE)</f>
        <v>278204</v>
      </c>
      <c r="I5724">
        <f t="shared" si="89"/>
        <v>2014</v>
      </c>
    </row>
    <row r="5725" spans="1:9">
      <c r="A5725" s="1">
        <v>10269</v>
      </c>
      <c r="B5725" s="1">
        <v>5</v>
      </c>
      <c r="C5725" s="2">
        <v>41806</v>
      </c>
      <c r="D5725" s="1" t="s">
        <v>2002</v>
      </c>
      <c r="E5725" s="1">
        <v>104141</v>
      </c>
      <c r="F5725" s="6" t="s">
        <v>7727</v>
      </c>
      <c r="G5725" s="15" t="str">
        <f>VLOOKUP(A5725,Movie!A:D,4,FALSE)</f>
        <v>Buena Vista</v>
      </c>
      <c r="H5725" s="14">
        <f>VLOOKUP(E5725,'Rental Transaction'!A:B,2,FALSE)</f>
        <v>157388</v>
      </c>
      <c r="I5725">
        <f t="shared" si="89"/>
        <v>2014</v>
      </c>
    </row>
    <row r="5726" spans="1:9">
      <c r="A5726" s="1">
        <v>10222</v>
      </c>
      <c r="B5726" s="1">
        <v>10</v>
      </c>
      <c r="C5726" s="2">
        <v>41808</v>
      </c>
      <c r="D5726" s="1" t="s">
        <v>2002</v>
      </c>
      <c r="E5726" s="1">
        <v>104142</v>
      </c>
      <c r="F5726" s="6" t="s">
        <v>7728</v>
      </c>
      <c r="G5726" s="15" t="str">
        <f>VLOOKUP(A5726,Movie!A:D,4,FALSE)</f>
        <v>Sony</v>
      </c>
      <c r="H5726" s="14">
        <f>VLOOKUP(E5726,'Rental Transaction'!A:B,2,FALSE)</f>
        <v>921792</v>
      </c>
      <c r="I5726">
        <f t="shared" si="89"/>
        <v>2014</v>
      </c>
    </row>
    <row r="5727" spans="1:9">
      <c r="A5727" s="1">
        <v>10143</v>
      </c>
      <c r="B5727" s="1">
        <v>5</v>
      </c>
      <c r="C5727" s="2">
        <v>41807</v>
      </c>
      <c r="D5727" s="1" t="s">
        <v>2002</v>
      </c>
      <c r="E5727" s="1">
        <v>104143</v>
      </c>
      <c r="F5727" s="6" t="s">
        <v>7729</v>
      </c>
      <c r="G5727" s="15" t="str">
        <f>VLOOKUP(A5727,Movie!A:D,4,FALSE)</f>
        <v>Buena Vista</v>
      </c>
      <c r="H5727" s="14">
        <f>VLOOKUP(E5727,'Rental Transaction'!A:B,2,FALSE)</f>
        <v>744648</v>
      </c>
      <c r="I5727">
        <f t="shared" si="89"/>
        <v>2014</v>
      </c>
    </row>
    <row r="5728" spans="1:9">
      <c r="A5728" s="1">
        <v>10297</v>
      </c>
      <c r="B5728" s="1">
        <v>4</v>
      </c>
      <c r="C5728" s="2">
        <v>41806</v>
      </c>
      <c r="D5728" s="1" t="s">
        <v>2002</v>
      </c>
      <c r="E5728" s="1">
        <v>104143</v>
      </c>
      <c r="F5728" s="6" t="s">
        <v>7730</v>
      </c>
      <c r="G5728" s="15" t="str">
        <f>VLOOKUP(A5728,Movie!A:D,4,FALSE)</f>
        <v>Focus</v>
      </c>
      <c r="H5728" s="14">
        <f>VLOOKUP(E5728,'Rental Transaction'!A:B,2,FALSE)</f>
        <v>744648</v>
      </c>
      <c r="I5728">
        <f t="shared" si="89"/>
        <v>2014</v>
      </c>
    </row>
    <row r="5729" spans="1:9">
      <c r="A5729" s="1">
        <v>10088</v>
      </c>
      <c r="B5729" s="1">
        <v>1</v>
      </c>
      <c r="C5729" s="2">
        <v>41811</v>
      </c>
      <c r="D5729" s="1" t="s">
        <v>2002</v>
      </c>
      <c r="E5729" s="1">
        <v>104143</v>
      </c>
      <c r="F5729" s="6" t="s">
        <v>7731</v>
      </c>
      <c r="G5729" s="15" t="str">
        <f>VLOOKUP(A5729,Movie!A:D,4,FALSE)</f>
        <v>Warner Brothers</v>
      </c>
      <c r="H5729" s="14">
        <f>VLOOKUP(E5729,'Rental Transaction'!A:B,2,FALSE)</f>
        <v>744648</v>
      </c>
      <c r="I5729">
        <f t="shared" si="89"/>
        <v>2014</v>
      </c>
    </row>
    <row r="5730" spans="1:9">
      <c r="A5730" s="1">
        <v>10147</v>
      </c>
      <c r="B5730" s="1">
        <v>9</v>
      </c>
      <c r="C5730" s="2">
        <v>41807</v>
      </c>
      <c r="D5730" s="1" t="s">
        <v>2005</v>
      </c>
      <c r="E5730" s="1">
        <v>104144</v>
      </c>
      <c r="F5730" s="6" t="s">
        <v>7732</v>
      </c>
      <c r="G5730" s="15" t="str">
        <f>VLOOKUP(A5730,Movie!A:D,4,FALSE)</f>
        <v>Lionsgate</v>
      </c>
      <c r="H5730" s="14">
        <f>VLOOKUP(E5730,'Rental Transaction'!A:B,2,FALSE)</f>
        <v>111486</v>
      </c>
      <c r="I5730">
        <f t="shared" si="89"/>
        <v>2014</v>
      </c>
    </row>
    <row r="5731" spans="1:9">
      <c r="A5731" s="1">
        <v>10266</v>
      </c>
      <c r="B5731" s="1">
        <v>4</v>
      </c>
      <c r="C5731" s="2">
        <v>41811</v>
      </c>
      <c r="D5731" s="1" t="s">
        <v>2002</v>
      </c>
      <c r="E5731" s="1">
        <v>104145</v>
      </c>
      <c r="F5731" s="6" t="s">
        <v>7733</v>
      </c>
      <c r="G5731" s="15" t="str">
        <f>VLOOKUP(A5731,Movie!A:D,4,FALSE)</f>
        <v>Sony</v>
      </c>
      <c r="H5731" s="14">
        <f>VLOOKUP(E5731,'Rental Transaction'!A:B,2,FALSE)</f>
        <v>275152</v>
      </c>
      <c r="I5731">
        <f t="shared" si="89"/>
        <v>2014</v>
      </c>
    </row>
    <row r="5732" spans="1:9" ht="29.25">
      <c r="A5732" s="1">
        <v>10285</v>
      </c>
      <c r="B5732" s="1">
        <v>6</v>
      </c>
      <c r="C5732" s="2">
        <v>41809</v>
      </c>
      <c r="D5732" s="1" t="s">
        <v>2002</v>
      </c>
      <c r="E5732" s="1">
        <v>104146</v>
      </c>
      <c r="F5732" s="6" t="s">
        <v>7734</v>
      </c>
      <c r="G5732" s="15" t="str">
        <f>VLOOKUP(A5732,Movie!A:D,4,FALSE)</f>
        <v>Roadside Attractions</v>
      </c>
      <c r="H5732" s="14">
        <f>VLOOKUP(E5732,'Rental Transaction'!A:B,2,FALSE)</f>
        <v>618955</v>
      </c>
      <c r="I5732">
        <f t="shared" si="89"/>
        <v>2014</v>
      </c>
    </row>
    <row r="5733" spans="1:9">
      <c r="A5733" s="1">
        <v>10270</v>
      </c>
      <c r="B5733" s="1">
        <v>8</v>
      </c>
      <c r="C5733" s="2">
        <v>41811</v>
      </c>
      <c r="D5733" s="1" t="s">
        <v>2002</v>
      </c>
      <c r="E5733" s="1">
        <v>104146</v>
      </c>
      <c r="F5733" s="6" t="s">
        <v>7735</v>
      </c>
      <c r="G5733" s="15" t="str">
        <f>VLOOKUP(A5733,Movie!A:D,4,FALSE)</f>
        <v>Fox</v>
      </c>
      <c r="H5733" s="14">
        <f>VLOOKUP(E5733,'Rental Transaction'!A:B,2,FALSE)</f>
        <v>618955</v>
      </c>
      <c r="I5733">
        <f t="shared" si="89"/>
        <v>2014</v>
      </c>
    </row>
    <row r="5734" spans="1:9" ht="29.25">
      <c r="A5734" s="1">
        <v>10294</v>
      </c>
      <c r="B5734" s="1">
        <v>2</v>
      </c>
      <c r="C5734" s="2">
        <v>41809</v>
      </c>
      <c r="D5734" s="1" t="s">
        <v>2002</v>
      </c>
      <c r="E5734" s="1">
        <v>104149</v>
      </c>
      <c r="F5734" s="6" t="s">
        <v>7736</v>
      </c>
      <c r="G5734" s="15" t="str">
        <f>VLOOKUP(A5734,Movie!A:D,4,FALSE)</f>
        <v>Weinstein Company</v>
      </c>
      <c r="H5734" s="14">
        <f>VLOOKUP(E5734,'Rental Transaction'!A:B,2,FALSE)</f>
        <v>134457</v>
      </c>
      <c r="I5734">
        <f t="shared" si="89"/>
        <v>2014</v>
      </c>
    </row>
    <row r="5735" spans="1:9">
      <c r="A5735" s="1">
        <v>10275</v>
      </c>
      <c r="B5735" s="1">
        <v>6</v>
      </c>
      <c r="C5735" s="2">
        <v>41807</v>
      </c>
      <c r="D5735" s="1" t="s">
        <v>2005</v>
      </c>
      <c r="E5735" s="1">
        <v>104150</v>
      </c>
      <c r="F5735" s="6" t="s">
        <v>7737</v>
      </c>
      <c r="G5735" s="15" t="str">
        <f>VLOOKUP(A5735,Movie!A:D,4,FALSE)</f>
        <v>Lionsgate</v>
      </c>
      <c r="H5735" s="14">
        <f>VLOOKUP(E5735,'Rental Transaction'!A:B,2,FALSE)</f>
        <v>191050</v>
      </c>
      <c r="I5735">
        <f t="shared" si="89"/>
        <v>2014</v>
      </c>
    </row>
    <row r="5736" spans="1:9">
      <c r="A5736" s="1">
        <v>10200</v>
      </c>
      <c r="B5736" s="1">
        <v>1</v>
      </c>
      <c r="C5736" s="2">
        <v>41807</v>
      </c>
      <c r="D5736" s="1" t="s">
        <v>2002</v>
      </c>
      <c r="E5736" s="1">
        <v>104151</v>
      </c>
      <c r="F5736" s="6" t="s">
        <v>7738</v>
      </c>
      <c r="G5736" s="15" t="str">
        <f>VLOOKUP(A5736,Movie!A:D,4,FALSE)</f>
        <v>Fox</v>
      </c>
      <c r="H5736" s="14">
        <f>VLOOKUP(E5736,'Rental Transaction'!A:B,2,FALSE)</f>
        <v>893039</v>
      </c>
      <c r="I5736">
        <f t="shared" si="89"/>
        <v>2014</v>
      </c>
    </row>
    <row r="5737" spans="1:9">
      <c r="A5737" s="1">
        <v>10252</v>
      </c>
      <c r="B5737" s="1">
        <v>2</v>
      </c>
      <c r="C5737" s="2">
        <v>41808</v>
      </c>
      <c r="D5737" s="1" t="s">
        <v>2002</v>
      </c>
      <c r="E5737" s="1">
        <v>104153</v>
      </c>
      <c r="F5737" s="6" t="s">
        <v>7739</v>
      </c>
      <c r="G5737" s="15" t="str">
        <f>VLOOKUP(A5737,Movie!A:D,4,FALSE)</f>
        <v>Warner Brothers</v>
      </c>
      <c r="H5737" s="14">
        <f>VLOOKUP(E5737,'Rental Transaction'!A:B,2,FALSE)</f>
        <v>822823</v>
      </c>
      <c r="I5737">
        <f t="shared" si="89"/>
        <v>2014</v>
      </c>
    </row>
    <row r="5738" spans="1:9">
      <c r="A5738" s="1">
        <v>10194</v>
      </c>
      <c r="B5738" s="1">
        <v>2</v>
      </c>
      <c r="C5738" s="2">
        <v>41811</v>
      </c>
      <c r="D5738" s="1" t="s">
        <v>2002</v>
      </c>
      <c r="E5738" s="1">
        <v>104153</v>
      </c>
      <c r="F5738" s="6" t="s">
        <v>7740</v>
      </c>
      <c r="G5738" s="15" t="str">
        <f>VLOOKUP(A5738,Movie!A:D,4,FALSE)</f>
        <v>FilmDistrict</v>
      </c>
      <c r="H5738" s="14">
        <f>VLOOKUP(E5738,'Rental Transaction'!A:B,2,FALSE)</f>
        <v>822823</v>
      </c>
      <c r="I5738">
        <f t="shared" si="89"/>
        <v>2014</v>
      </c>
    </row>
    <row r="5739" spans="1:9">
      <c r="A5739" s="1">
        <v>10265</v>
      </c>
      <c r="B5739" s="1">
        <v>4</v>
      </c>
      <c r="C5739" s="2">
        <v>41810</v>
      </c>
      <c r="D5739" s="1" t="s">
        <v>2002</v>
      </c>
      <c r="E5739" s="1">
        <v>104155</v>
      </c>
      <c r="F5739" s="6" t="s">
        <v>7741</v>
      </c>
      <c r="G5739" s="15" t="str">
        <f>VLOOKUP(A5739,Movie!A:D,4,FALSE)</f>
        <v>Warner Brothers</v>
      </c>
      <c r="H5739" s="14">
        <f>VLOOKUP(E5739,'Rental Transaction'!A:B,2,FALSE)</f>
        <v>741398</v>
      </c>
      <c r="I5739">
        <f t="shared" si="89"/>
        <v>2014</v>
      </c>
    </row>
    <row r="5740" spans="1:9">
      <c r="A5740" s="1">
        <v>10147</v>
      </c>
      <c r="B5740" s="1">
        <v>8</v>
      </c>
      <c r="C5740" s="2">
        <v>41809</v>
      </c>
      <c r="D5740" s="1" t="s">
        <v>2002</v>
      </c>
      <c r="E5740" s="1">
        <v>104157</v>
      </c>
      <c r="F5740" s="6" t="s">
        <v>7742</v>
      </c>
      <c r="G5740" s="15" t="str">
        <f>VLOOKUP(A5740,Movie!A:D,4,FALSE)</f>
        <v>Lionsgate</v>
      </c>
      <c r="H5740" s="14">
        <f>VLOOKUP(E5740,'Rental Transaction'!A:B,2,FALSE)</f>
        <v>877877</v>
      </c>
      <c r="I5740">
        <f t="shared" si="89"/>
        <v>2014</v>
      </c>
    </row>
    <row r="5741" spans="1:9">
      <c r="A5741" s="1">
        <v>10171</v>
      </c>
      <c r="B5741" s="1">
        <v>6</v>
      </c>
      <c r="C5741" s="2">
        <v>41808</v>
      </c>
      <c r="D5741" s="1" t="s">
        <v>2005</v>
      </c>
      <c r="E5741" s="1">
        <v>104158</v>
      </c>
      <c r="F5741" s="6" t="s">
        <v>7743</v>
      </c>
      <c r="G5741" s="15" t="str">
        <f>VLOOKUP(A5741,Movie!A:D,4,FALSE)</f>
        <v>Universal</v>
      </c>
      <c r="H5741" s="14">
        <f>VLOOKUP(E5741,'Rental Transaction'!A:B,2,FALSE)</f>
        <v>491380</v>
      </c>
      <c r="I5741">
        <f t="shared" si="89"/>
        <v>2014</v>
      </c>
    </row>
    <row r="5742" spans="1:9">
      <c r="A5742" s="1">
        <v>10197</v>
      </c>
      <c r="B5742" s="1">
        <v>6</v>
      </c>
      <c r="C5742" s="2">
        <v>41810</v>
      </c>
      <c r="D5742" s="1" t="s">
        <v>2002</v>
      </c>
      <c r="E5742" s="1">
        <v>104158</v>
      </c>
      <c r="F5742" s="6" t="s">
        <v>7744</v>
      </c>
      <c r="G5742" s="15" t="str">
        <f>VLOOKUP(A5742,Movie!A:D,4,FALSE)</f>
        <v>Warner Brothers</v>
      </c>
      <c r="H5742" s="14">
        <f>VLOOKUP(E5742,'Rental Transaction'!A:B,2,FALSE)</f>
        <v>491380</v>
      </c>
      <c r="I5742">
        <f t="shared" si="89"/>
        <v>2014</v>
      </c>
    </row>
    <row r="5743" spans="1:9">
      <c r="A5743" s="1">
        <v>10287</v>
      </c>
      <c r="B5743" s="1">
        <v>3</v>
      </c>
      <c r="C5743" s="2">
        <v>41815</v>
      </c>
      <c r="D5743" s="1" t="s">
        <v>2002</v>
      </c>
      <c r="E5743" s="1">
        <v>104160</v>
      </c>
      <c r="F5743" s="6" t="s">
        <v>7745</v>
      </c>
      <c r="G5743" s="15" t="str">
        <f>VLOOKUP(A5743,Movie!A:D,4,FALSE)</f>
        <v>Lionsgate</v>
      </c>
      <c r="H5743" s="14">
        <f>VLOOKUP(E5743,'Rental Transaction'!A:B,2,FALSE)</f>
        <v>265133</v>
      </c>
      <c r="I5743">
        <f t="shared" si="89"/>
        <v>2014</v>
      </c>
    </row>
    <row r="5744" spans="1:9">
      <c r="A5744" s="1">
        <v>10289</v>
      </c>
      <c r="B5744" s="1">
        <v>10</v>
      </c>
      <c r="C5744" s="2">
        <v>41809</v>
      </c>
      <c r="D5744" s="1" t="s">
        <v>2002</v>
      </c>
      <c r="E5744" s="1">
        <v>104160</v>
      </c>
      <c r="F5744" s="6" t="s">
        <v>7746</v>
      </c>
      <c r="G5744" s="15" t="str">
        <f>VLOOKUP(A5744,Movie!A:D,4,FALSE)</f>
        <v>Open Road Films</v>
      </c>
      <c r="H5744" s="14">
        <f>VLOOKUP(E5744,'Rental Transaction'!A:B,2,FALSE)</f>
        <v>265133</v>
      </c>
      <c r="I5744">
        <f t="shared" si="89"/>
        <v>2014</v>
      </c>
    </row>
    <row r="5745" spans="1:9">
      <c r="A5745" s="1">
        <v>10280</v>
      </c>
      <c r="B5745" s="1">
        <v>2</v>
      </c>
      <c r="C5745" s="2">
        <v>41809</v>
      </c>
      <c r="D5745" s="1" t="s">
        <v>2002</v>
      </c>
      <c r="E5745" s="1">
        <v>104161</v>
      </c>
      <c r="F5745" s="6" t="s">
        <v>7747</v>
      </c>
      <c r="G5745" s="15" t="str">
        <f>VLOOKUP(A5745,Movie!A:D,4,FALSE)</f>
        <v>Universal</v>
      </c>
      <c r="H5745" s="14">
        <f>VLOOKUP(E5745,'Rental Transaction'!A:B,2,FALSE)</f>
        <v>513968</v>
      </c>
      <c r="I5745">
        <f t="shared" si="89"/>
        <v>2014</v>
      </c>
    </row>
    <row r="5746" spans="1:9">
      <c r="A5746" s="1">
        <v>10275</v>
      </c>
      <c r="B5746" s="1">
        <v>2</v>
      </c>
      <c r="C5746" s="2">
        <v>41810</v>
      </c>
      <c r="D5746" s="1" t="s">
        <v>2002</v>
      </c>
      <c r="E5746" s="1">
        <v>104161</v>
      </c>
      <c r="F5746" s="6" t="s">
        <v>7748</v>
      </c>
      <c r="G5746" s="15" t="str">
        <f>VLOOKUP(A5746,Movie!A:D,4,FALSE)</f>
        <v>Lionsgate</v>
      </c>
      <c r="H5746" s="14">
        <f>VLOOKUP(E5746,'Rental Transaction'!A:B,2,FALSE)</f>
        <v>513968</v>
      </c>
      <c r="I5746">
        <f t="shared" si="89"/>
        <v>2014</v>
      </c>
    </row>
    <row r="5747" spans="1:9">
      <c r="A5747" s="1">
        <v>10203</v>
      </c>
      <c r="B5747" s="1">
        <v>4</v>
      </c>
      <c r="C5747" s="2">
        <v>41809</v>
      </c>
      <c r="D5747" s="1" t="s">
        <v>2002</v>
      </c>
      <c r="E5747" s="1">
        <v>104162</v>
      </c>
      <c r="F5747" s="6" t="s">
        <v>7749</v>
      </c>
      <c r="G5747" s="15" t="str">
        <f>VLOOKUP(A5747,Movie!A:D,4,FALSE)</f>
        <v>Buena Vista</v>
      </c>
      <c r="H5747" s="14">
        <f>VLOOKUP(E5747,'Rental Transaction'!A:B,2,FALSE)</f>
        <v>744648</v>
      </c>
      <c r="I5747">
        <f t="shared" si="89"/>
        <v>2014</v>
      </c>
    </row>
    <row r="5748" spans="1:9">
      <c r="A5748" s="1">
        <v>10224</v>
      </c>
      <c r="B5748" s="1">
        <v>3</v>
      </c>
      <c r="C5748" s="2">
        <v>41810</v>
      </c>
      <c r="D5748" s="1" t="s">
        <v>2005</v>
      </c>
      <c r="E5748" s="1">
        <v>104162</v>
      </c>
      <c r="F5748" s="6" t="s">
        <v>7750</v>
      </c>
      <c r="G5748" s="15" t="str">
        <f>VLOOKUP(A5748,Movie!A:D,4,FALSE)</f>
        <v>Fox Searchlight</v>
      </c>
      <c r="H5748" s="14">
        <f>VLOOKUP(E5748,'Rental Transaction'!A:B,2,FALSE)</f>
        <v>744648</v>
      </c>
      <c r="I5748">
        <f t="shared" si="89"/>
        <v>2014</v>
      </c>
    </row>
    <row r="5749" spans="1:9">
      <c r="A5749" s="1">
        <v>10069</v>
      </c>
      <c r="B5749" s="1">
        <v>7</v>
      </c>
      <c r="C5749" s="2">
        <v>41809</v>
      </c>
      <c r="D5749" s="1" t="s">
        <v>2005</v>
      </c>
      <c r="E5749" s="1">
        <v>104162</v>
      </c>
      <c r="F5749" s="6" t="s">
        <v>7751</v>
      </c>
      <c r="G5749" s="15" t="str">
        <f>VLOOKUP(A5749,Movie!A:D,4,FALSE)</f>
        <v>Warner Brothers</v>
      </c>
      <c r="H5749" s="14">
        <f>VLOOKUP(E5749,'Rental Transaction'!A:B,2,FALSE)</f>
        <v>744648</v>
      </c>
      <c r="I5749">
        <f t="shared" si="89"/>
        <v>2014</v>
      </c>
    </row>
    <row r="5750" spans="1:9">
      <c r="A5750" s="1">
        <v>10224</v>
      </c>
      <c r="B5750" s="1">
        <v>9</v>
      </c>
      <c r="C5750" s="2">
        <v>41809</v>
      </c>
      <c r="D5750" s="1" t="s">
        <v>2002</v>
      </c>
      <c r="E5750" s="1">
        <v>104163</v>
      </c>
      <c r="F5750" s="6" t="s">
        <v>7752</v>
      </c>
      <c r="G5750" s="15" t="str">
        <f>VLOOKUP(A5750,Movie!A:D,4,FALSE)</f>
        <v>Fox Searchlight</v>
      </c>
      <c r="H5750" s="14">
        <f>VLOOKUP(E5750,'Rental Transaction'!A:B,2,FALSE)</f>
        <v>458448</v>
      </c>
      <c r="I5750">
        <f t="shared" si="89"/>
        <v>2014</v>
      </c>
    </row>
    <row r="5751" spans="1:9">
      <c r="A5751" s="1">
        <v>10162</v>
      </c>
      <c r="B5751" s="1">
        <v>10</v>
      </c>
      <c r="C5751" s="2">
        <v>41810</v>
      </c>
      <c r="D5751" s="1" t="s">
        <v>2005</v>
      </c>
      <c r="E5751" s="1">
        <v>104164</v>
      </c>
      <c r="F5751" s="6" t="s">
        <v>7753</v>
      </c>
      <c r="G5751" s="15" t="str">
        <f>VLOOKUP(A5751,Movie!A:D,4,FALSE)</f>
        <v>Sony</v>
      </c>
      <c r="H5751" s="14">
        <f>VLOOKUP(E5751,'Rental Transaction'!A:B,2,FALSE)</f>
        <v>759995</v>
      </c>
      <c r="I5751">
        <f t="shared" si="89"/>
        <v>2014</v>
      </c>
    </row>
    <row r="5752" spans="1:9">
      <c r="A5752" s="1">
        <v>10237</v>
      </c>
      <c r="B5752" s="1">
        <v>9</v>
      </c>
      <c r="C5752" s="2">
        <v>41810</v>
      </c>
      <c r="D5752" s="1" t="s">
        <v>2002</v>
      </c>
      <c r="E5752" s="1">
        <v>104165</v>
      </c>
      <c r="F5752" s="6" t="s">
        <v>7754</v>
      </c>
      <c r="G5752" s="15" t="str">
        <f>VLOOKUP(A5752,Movie!A:D,4,FALSE)</f>
        <v>Warner Brothers</v>
      </c>
      <c r="H5752" s="14">
        <f>VLOOKUP(E5752,'Rental Transaction'!A:B,2,FALSE)</f>
        <v>737707</v>
      </c>
      <c r="I5752">
        <f t="shared" si="89"/>
        <v>2014</v>
      </c>
    </row>
    <row r="5753" spans="1:9">
      <c r="A5753" s="1">
        <v>10218</v>
      </c>
      <c r="B5753" s="1">
        <v>8</v>
      </c>
      <c r="C5753" s="2">
        <v>41811</v>
      </c>
      <c r="D5753" s="1" t="s">
        <v>2002</v>
      </c>
      <c r="E5753" s="1">
        <v>104165</v>
      </c>
      <c r="F5753" s="6" t="s">
        <v>7755</v>
      </c>
      <c r="G5753" s="15" t="str">
        <f>VLOOKUP(A5753,Movie!A:D,4,FALSE)</f>
        <v>Sony</v>
      </c>
      <c r="H5753" s="14">
        <f>VLOOKUP(E5753,'Rental Transaction'!A:B,2,FALSE)</f>
        <v>737707</v>
      </c>
      <c r="I5753">
        <f t="shared" si="89"/>
        <v>2014</v>
      </c>
    </row>
    <row r="5754" spans="1:9">
      <c r="A5754" s="1">
        <v>10200</v>
      </c>
      <c r="B5754" s="1">
        <v>10</v>
      </c>
      <c r="C5754" s="2">
        <v>41812</v>
      </c>
      <c r="D5754" s="1" t="s">
        <v>2002</v>
      </c>
      <c r="E5754" s="1">
        <v>104166</v>
      </c>
      <c r="F5754" s="6" t="s">
        <v>7756</v>
      </c>
      <c r="G5754" s="15" t="str">
        <f>VLOOKUP(A5754,Movie!A:D,4,FALSE)</f>
        <v>Fox</v>
      </c>
      <c r="H5754" s="14">
        <f>VLOOKUP(E5754,'Rental Transaction'!A:B,2,FALSE)</f>
        <v>556619</v>
      </c>
      <c r="I5754">
        <f t="shared" si="89"/>
        <v>2014</v>
      </c>
    </row>
    <row r="5755" spans="1:9">
      <c r="A5755" s="1">
        <v>10189</v>
      </c>
      <c r="B5755" s="1">
        <v>1</v>
      </c>
      <c r="C5755" s="2">
        <v>41810</v>
      </c>
      <c r="D5755" s="1" t="s">
        <v>2002</v>
      </c>
      <c r="E5755" s="1">
        <v>104167</v>
      </c>
      <c r="F5755" s="6" t="s">
        <v>7757</v>
      </c>
      <c r="G5755" s="15" t="str">
        <f>VLOOKUP(A5755,Movie!A:D,4,FALSE)</f>
        <v>Universal</v>
      </c>
      <c r="H5755" s="14">
        <f>VLOOKUP(E5755,'Rental Transaction'!A:B,2,FALSE)</f>
        <v>592726</v>
      </c>
      <c r="I5755">
        <f t="shared" si="89"/>
        <v>2014</v>
      </c>
    </row>
    <row r="5756" spans="1:9">
      <c r="A5756" s="1">
        <v>10298</v>
      </c>
      <c r="B5756" s="1">
        <v>4</v>
      </c>
      <c r="C5756" s="2">
        <v>41810</v>
      </c>
      <c r="D5756" s="1" t="s">
        <v>2002</v>
      </c>
      <c r="E5756" s="1">
        <v>104167</v>
      </c>
      <c r="F5756" s="6" t="s">
        <v>7758</v>
      </c>
      <c r="G5756" s="15" t="str">
        <f>VLOOKUP(A5756,Movie!A:D,4,FALSE)</f>
        <v>UTV</v>
      </c>
      <c r="H5756" s="14">
        <f>VLOOKUP(E5756,'Rental Transaction'!A:B,2,FALSE)</f>
        <v>592726</v>
      </c>
      <c r="I5756">
        <f t="shared" si="89"/>
        <v>2014</v>
      </c>
    </row>
    <row r="5757" spans="1:9">
      <c r="A5757" s="1">
        <v>10055</v>
      </c>
      <c r="B5757" s="1">
        <v>10</v>
      </c>
      <c r="C5757" s="2">
        <v>41812</v>
      </c>
      <c r="D5757" s="1" t="s">
        <v>2002</v>
      </c>
      <c r="E5757" s="1">
        <v>104168</v>
      </c>
      <c r="F5757" s="6" t="s">
        <v>7759</v>
      </c>
      <c r="G5757" s="15" t="str">
        <f>VLOOKUP(A5757,Movie!A:D,4,FALSE)</f>
        <v>Sony Classics</v>
      </c>
      <c r="H5757" s="14">
        <f>VLOOKUP(E5757,'Rental Transaction'!A:B,2,FALSE)</f>
        <v>498153</v>
      </c>
      <c r="I5757">
        <f t="shared" si="89"/>
        <v>2014</v>
      </c>
    </row>
    <row r="5758" spans="1:9">
      <c r="A5758" s="1">
        <v>10129</v>
      </c>
      <c r="B5758" s="1">
        <v>3</v>
      </c>
      <c r="C5758" s="2">
        <v>41810</v>
      </c>
      <c r="D5758" s="1" t="s">
        <v>2002</v>
      </c>
      <c r="E5758" s="1">
        <v>104168</v>
      </c>
      <c r="F5758" s="6" t="s">
        <v>7760</v>
      </c>
      <c r="G5758" s="15" t="str">
        <f>VLOOKUP(A5758,Movie!A:D,4,FALSE)</f>
        <v>Warner Brothers</v>
      </c>
      <c r="H5758" s="14">
        <f>VLOOKUP(E5758,'Rental Transaction'!A:B,2,FALSE)</f>
        <v>498153</v>
      </c>
      <c r="I5758">
        <f t="shared" si="89"/>
        <v>2014</v>
      </c>
    </row>
    <row r="5759" spans="1:9">
      <c r="A5759" s="1">
        <v>10025</v>
      </c>
      <c r="B5759" s="1">
        <v>3</v>
      </c>
      <c r="C5759" s="2">
        <v>41810</v>
      </c>
      <c r="D5759" s="1" t="s">
        <v>2005</v>
      </c>
      <c r="E5759" s="1">
        <v>104172</v>
      </c>
      <c r="F5759" s="6" t="s">
        <v>7761</v>
      </c>
      <c r="G5759" s="15" t="str">
        <f>VLOOKUP(A5759,Movie!A:D,4,FALSE)</f>
        <v>Sony</v>
      </c>
      <c r="H5759" s="14">
        <f>VLOOKUP(E5759,'Rental Transaction'!A:B,2,FALSE)</f>
        <v>345748</v>
      </c>
      <c r="I5759">
        <f t="shared" si="89"/>
        <v>2014</v>
      </c>
    </row>
    <row r="5760" spans="1:9">
      <c r="A5760" s="1">
        <v>10291</v>
      </c>
      <c r="B5760" s="1">
        <v>7</v>
      </c>
      <c r="C5760" s="2">
        <v>41810</v>
      </c>
      <c r="D5760" s="1" t="s">
        <v>2002</v>
      </c>
      <c r="E5760" s="1">
        <v>104172</v>
      </c>
      <c r="F5760" s="6" t="s">
        <v>7762</v>
      </c>
      <c r="G5760" s="15" t="str">
        <f>VLOOKUP(A5760,Movie!A:D,4,FALSE)</f>
        <v>Warner Brothers</v>
      </c>
      <c r="H5760" s="14">
        <f>VLOOKUP(E5760,'Rental Transaction'!A:B,2,FALSE)</f>
        <v>345748</v>
      </c>
      <c r="I5760">
        <f t="shared" si="89"/>
        <v>2014</v>
      </c>
    </row>
    <row r="5761" spans="1:9">
      <c r="A5761" s="1">
        <v>10197</v>
      </c>
      <c r="B5761" s="1">
        <v>9</v>
      </c>
      <c r="C5761" s="2">
        <v>41811</v>
      </c>
      <c r="D5761" s="1" t="s">
        <v>2002</v>
      </c>
      <c r="E5761" s="1">
        <v>104173</v>
      </c>
      <c r="F5761" s="6" t="s">
        <v>7763</v>
      </c>
      <c r="G5761" s="15" t="str">
        <f>VLOOKUP(A5761,Movie!A:D,4,FALSE)</f>
        <v>Warner Brothers</v>
      </c>
      <c r="H5761" s="14">
        <f>VLOOKUP(E5761,'Rental Transaction'!A:B,2,FALSE)</f>
        <v>409910</v>
      </c>
      <c r="I5761">
        <f t="shared" si="89"/>
        <v>2014</v>
      </c>
    </row>
    <row r="5762" spans="1:9">
      <c r="A5762" s="1">
        <v>10299</v>
      </c>
      <c r="B5762" s="1">
        <v>8</v>
      </c>
      <c r="C5762" s="2">
        <v>41811</v>
      </c>
      <c r="D5762" s="1" t="s">
        <v>2002</v>
      </c>
      <c r="E5762" s="1">
        <v>104174</v>
      </c>
      <c r="F5762" s="6" t="s">
        <v>7764</v>
      </c>
      <c r="G5762" s="15" t="str">
        <f>VLOOKUP(A5762,Movie!A:D,4,FALSE)</f>
        <v>Radius-TWC</v>
      </c>
      <c r="H5762" s="14">
        <f>VLOOKUP(E5762,'Rental Transaction'!A:B,2,FALSE)</f>
        <v>345348</v>
      </c>
      <c r="I5762">
        <f t="shared" si="89"/>
        <v>2014</v>
      </c>
    </row>
    <row r="5763" spans="1:9">
      <c r="A5763" s="1">
        <v>10223</v>
      </c>
      <c r="B5763" s="1">
        <v>7</v>
      </c>
      <c r="C5763" s="2">
        <v>41811</v>
      </c>
      <c r="D5763" s="1" t="s">
        <v>2002</v>
      </c>
      <c r="E5763" s="1">
        <v>104175</v>
      </c>
      <c r="F5763" s="6" t="s">
        <v>7765</v>
      </c>
      <c r="G5763" s="15" t="str">
        <f>VLOOKUP(A5763,Movie!A:D,4,FALSE)</f>
        <v>Universal</v>
      </c>
      <c r="H5763" s="14">
        <f>VLOOKUP(E5763,'Rental Transaction'!A:B,2,FALSE)</f>
        <v>464984</v>
      </c>
      <c r="I5763">
        <f t="shared" ref="I5763:I5826" si="90">YEAR(C5763)</f>
        <v>2014</v>
      </c>
    </row>
    <row r="5764" spans="1:9">
      <c r="A5764" s="1">
        <v>10086</v>
      </c>
      <c r="B5764" s="1">
        <v>3</v>
      </c>
      <c r="C5764" s="2">
        <v>41812</v>
      </c>
      <c r="D5764" s="1" t="s">
        <v>2002</v>
      </c>
      <c r="E5764" s="1">
        <v>104176</v>
      </c>
      <c r="F5764" s="6" t="s">
        <v>7766</v>
      </c>
      <c r="G5764" s="15" t="str">
        <f>VLOOKUP(A5764,Movie!A:D,4,FALSE)</f>
        <v>Buena Vista</v>
      </c>
      <c r="H5764" s="14">
        <f>VLOOKUP(E5764,'Rental Transaction'!A:B,2,FALSE)</f>
        <v>575041</v>
      </c>
      <c r="I5764">
        <f t="shared" si="90"/>
        <v>2014</v>
      </c>
    </row>
    <row r="5765" spans="1:9">
      <c r="A5765" s="1">
        <v>10288</v>
      </c>
      <c r="B5765" s="1">
        <v>9</v>
      </c>
      <c r="C5765" s="2">
        <v>41811</v>
      </c>
      <c r="D5765" s="1" t="s">
        <v>2002</v>
      </c>
      <c r="E5765" s="1">
        <v>104177</v>
      </c>
      <c r="F5765" s="6" t="s">
        <v>7767</v>
      </c>
      <c r="G5765" s="15" t="str">
        <f>VLOOKUP(A5765,Movie!A:D,4,FALSE)</f>
        <v>Relativity</v>
      </c>
      <c r="H5765" s="14">
        <f>VLOOKUP(E5765,'Rental Transaction'!A:B,2,FALSE)</f>
        <v>813719</v>
      </c>
      <c r="I5765">
        <f t="shared" si="90"/>
        <v>2014</v>
      </c>
    </row>
    <row r="5766" spans="1:9">
      <c r="A5766" s="1">
        <v>10274</v>
      </c>
      <c r="B5766" s="1">
        <v>3</v>
      </c>
      <c r="C5766" s="2">
        <v>41814</v>
      </c>
      <c r="D5766" s="1" t="s">
        <v>2002</v>
      </c>
      <c r="E5766" s="1">
        <v>104178</v>
      </c>
      <c r="F5766" s="6" t="s">
        <v>7768</v>
      </c>
      <c r="G5766" s="15" t="str">
        <f>VLOOKUP(A5766,Movie!A:D,4,FALSE)</f>
        <v>Fox</v>
      </c>
      <c r="H5766" s="14">
        <f>VLOOKUP(E5766,'Rental Transaction'!A:B,2,FALSE)</f>
        <v>301793</v>
      </c>
      <c r="I5766">
        <f t="shared" si="90"/>
        <v>2014</v>
      </c>
    </row>
    <row r="5767" spans="1:9">
      <c r="A5767" s="1">
        <v>10172</v>
      </c>
      <c r="B5767" s="1">
        <v>7</v>
      </c>
      <c r="C5767" s="2">
        <v>41811</v>
      </c>
      <c r="D5767" s="1" t="s">
        <v>2002</v>
      </c>
      <c r="E5767" s="1">
        <v>104179</v>
      </c>
      <c r="F5767" s="6" t="s">
        <v>7769</v>
      </c>
      <c r="G5767" s="15" t="str">
        <f>VLOOKUP(A5767,Movie!A:D,4,FALSE)</f>
        <v>Lionsgate</v>
      </c>
      <c r="H5767" s="14">
        <f>VLOOKUP(E5767,'Rental Transaction'!A:B,2,FALSE)</f>
        <v>743517</v>
      </c>
      <c r="I5767">
        <f t="shared" si="90"/>
        <v>2014</v>
      </c>
    </row>
    <row r="5768" spans="1:9" ht="29.25">
      <c r="A5768" s="1">
        <v>10285</v>
      </c>
      <c r="B5768" s="1">
        <v>3</v>
      </c>
      <c r="C5768" s="2">
        <v>41812</v>
      </c>
      <c r="D5768" s="1" t="s">
        <v>2005</v>
      </c>
      <c r="E5768" s="1">
        <v>104184</v>
      </c>
      <c r="F5768" s="6" t="s">
        <v>7770</v>
      </c>
      <c r="G5768" s="15" t="str">
        <f>VLOOKUP(A5768,Movie!A:D,4,FALSE)</f>
        <v>Roadside Attractions</v>
      </c>
      <c r="H5768" s="14">
        <f>VLOOKUP(E5768,'Rental Transaction'!A:B,2,FALSE)</f>
        <v>161175</v>
      </c>
      <c r="I5768">
        <f t="shared" si="90"/>
        <v>2014</v>
      </c>
    </row>
    <row r="5769" spans="1:9">
      <c r="A5769" s="1">
        <v>10236</v>
      </c>
      <c r="B5769" s="1">
        <v>4</v>
      </c>
      <c r="C5769" s="2">
        <v>41812</v>
      </c>
      <c r="D5769" s="1" t="s">
        <v>2002</v>
      </c>
      <c r="E5769" s="1">
        <v>104185</v>
      </c>
      <c r="F5769" s="6" t="s">
        <v>7771</v>
      </c>
      <c r="G5769" s="15" t="str">
        <f>VLOOKUP(A5769,Movie!A:D,4,FALSE)</f>
        <v>Lionsgate</v>
      </c>
      <c r="H5769" s="14">
        <f>VLOOKUP(E5769,'Rental Transaction'!A:B,2,FALSE)</f>
        <v>464984</v>
      </c>
      <c r="I5769">
        <f t="shared" si="90"/>
        <v>2014</v>
      </c>
    </row>
    <row r="5770" spans="1:9">
      <c r="A5770" s="1">
        <v>10288</v>
      </c>
      <c r="B5770" s="1">
        <v>8</v>
      </c>
      <c r="C5770" s="2">
        <v>41812</v>
      </c>
      <c r="D5770" s="1" t="s">
        <v>2002</v>
      </c>
      <c r="E5770" s="1">
        <v>104186</v>
      </c>
      <c r="F5770" s="6" t="s">
        <v>7772</v>
      </c>
      <c r="G5770" s="15" t="str">
        <f>VLOOKUP(A5770,Movie!A:D,4,FALSE)</f>
        <v>Relativity</v>
      </c>
      <c r="H5770" s="14">
        <f>VLOOKUP(E5770,'Rental Transaction'!A:B,2,FALSE)</f>
        <v>782947</v>
      </c>
      <c r="I5770">
        <f t="shared" si="90"/>
        <v>2014</v>
      </c>
    </row>
    <row r="5771" spans="1:9">
      <c r="A5771" s="1">
        <v>10289</v>
      </c>
      <c r="B5771" s="1">
        <v>3</v>
      </c>
      <c r="C5771" s="2">
        <v>41813</v>
      </c>
      <c r="D5771" s="1" t="s">
        <v>2005</v>
      </c>
      <c r="E5771" s="1">
        <v>104186</v>
      </c>
      <c r="F5771" s="6" t="s">
        <v>7773</v>
      </c>
      <c r="G5771" s="15" t="str">
        <f>VLOOKUP(A5771,Movie!A:D,4,FALSE)</f>
        <v>Open Road Films</v>
      </c>
      <c r="H5771" s="14">
        <f>VLOOKUP(E5771,'Rental Transaction'!A:B,2,FALSE)</f>
        <v>782947</v>
      </c>
      <c r="I5771">
        <f t="shared" si="90"/>
        <v>2014</v>
      </c>
    </row>
    <row r="5772" spans="1:9">
      <c r="A5772" s="1">
        <v>10244</v>
      </c>
      <c r="B5772" s="1">
        <v>4</v>
      </c>
      <c r="C5772" s="2">
        <v>41813</v>
      </c>
      <c r="D5772" s="1" t="s">
        <v>2002</v>
      </c>
      <c r="E5772" s="1">
        <v>104189</v>
      </c>
      <c r="F5772" s="6" t="s">
        <v>7774</v>
      </c>
      <c r="G5772" s="15" t="str">
        <f>VLOOKUP(A5772,Movie!A:D,4,FALSE)</f>
        <v>Sony</v>
      </c>
      <c r="H5772" s="14">
        <f>VLOOKUP(E5772,'Rental Transaction'!A:B,2,FALSE)</f>
        <v>657495</v>
      </c>
      <c r="I5772">
        <f t="shared" si="90"/>
        <v>2014</v>
      </c>
    </row>
    <row r="5773" spans="1:9">
      <c r="A5773" s="1">
        <v>10224</v>
      </c>
      <c r="B5773" s="1">
        <v>7</v>
      </c>
      <c r="C5773" s="2">
        <v>41814</v>
      </c>
      <c r="D5773" s="1" t="s">
        <v>2005</v>
      </c>
      <c r="E5773" s="1">
        <v>104190</v>
      </c>
      <c r="F5773" s="6" t="s">
        <v>7775</v>
      </c>
      <c r="G5773" s="15" t="str">
        <f>VLOOKUP(A5773,Movie!A:D,4,FALSE)</f>
        <v>Fox Searchlight</v>
      </c>
      <c r="H5773" s="14">
        <f>VLOOKUP(E5773,'Rental Transaction'!A:B,2,FALSE)</f>
        <v>168607</v>
      </c>
      <c r="I5773">
        <f t="shared" si="90"/>
        <v>2014</v>
      </c>
    </row>
    <row r="5774" spans="1:9">
      <c r="A5774" s="1">
        <v>10207</v>
      </c>
      <c r="B5774" s="1">
        <v>4</v>
      </c>
      <c r="C5774" s="2">
        <v>41813</v>
      </c>
      <c r="D5774" s="1" t="s">
        <v>2002</v>
      </c>
      <c r="E5774" s="1">
        <v>104190</v>
      </c>
      <c r="F5774" s="6" t="s">
        <v>7776</v>
      </c>
      <c r="G5774" s="15" t="str">
        <f>VLOOKUP(A5774,Movie!A:D,4,FALSE)</f>
        <v>Paramount</v>
      </c>
      <c r="H5774" s="14">
        <f>VLOOKUP(E5774,'Rental Transaction'!A:B,2,FALSE)</f>
        <v>168607</v>
      </c>
      <c r="I5774">
        <f t="shared" si="90"/>
        <v>2014</v>
      </c>
    </row>
    <row r="5775" spans="1:9">
      <c r="A5775" s="1">
        <v>10088</v>
      </c>
      <c r="B5775" s="1">
        <v>2</v>
      </c>
      <c r="C5775" s="2">
        <v>41815</v>
      </c>
      <c r="D5775" s="1" t="s">
        <v>2005</v>
      </c>
      <c r="E5775" s="1">
        <v>104191</v>
      </c>
      <c r="F5775" s="6" t="s">
        <v>7777</v>
      </c>
      <c r="G5775" s="15" t="str">
        <f>VLOOKUP(A5775,Movie!A:D,4,FALSE)</f>
        <v>Warner Brothers</v>
      </c>
      <c r="H5775" s="14">
        <f>VLOOKUP(E5775,'Rental Transaction'!A:B,2,FALSE)</f>
        <v>454143</v>
      </c>
      <c r="I5775">
        <f t="shared" si="90"/>
        <v>2014</v>
      </c>
    </row>
    <row r="5776" spans="1:9">
      <c r="A5776" s="1">
        <v>10016</v>
      </c>
      <c r="B5776" s="1">
        <v>7</v>
      </c>
      <c r="C5776" s="2">
        <v>41813</v>
      </c>
      <c r="D5776" s="1" t="s">
        <v>2002</v>
      </c>
      <c r="E5776" s="1">
        <v>104191</v>
      </c>
      <c r="F5776" s="6" t="s">
        <v>7778</v>
      </c>
      <c r="G5776" s="15" t="str">
        <f>VLOOKUP(A5776,Movie!A:D,4,FALSE)</f>
        <v>Universal</v>
      </c>
      <c r="H5776" s="14">
        <f>VLOOKUP(E5776,'Rental Transaction'!A:B,2,FALSE)</f>
        <v>454143</v>
      </c>
      <c r="I5776">
        <f t="shared" si="90"/>
        <v>2014</v>
      </c>
    </row>
    <row r="5777" spans="1:9">
      <c r="A5777" s="1">
        <v>10038</v>
      </c>
      <c r="B5777" s="1">
        <v>8</v>
      </c>
      <c r="C5777" s="2">
        <v>41813</v>
      </c>
      <c r="D5777" s="1" t="s">
        <v>2005</v>
      </c>
      <c r="E5777" s="1">
        <v>104192</v>
      </c>
      <c r="F5777" s="6" t="s">
        <v>7779</v>
      </c>
      <c r="G5777" s="15" t="str">
        <f>VLOOKUP(A5777,Movie!A:D,4,FALSE)</f>
        <v>Paramount</v>
      </c>
      <c r="H5777" s="14">
        <f>VLOOKUP(E5777,'Rental Transaction'!A:B,2,FALSE)</f>
        <v>465275</v>
      </c>
      <c r="I5777">
        <f t="shared" si="90"/>
        <v>2014</v>
      </c>
    </row>
    <row r="5778" spans="1:9">
      <c r="A5778" s="1">
        <v>10057</v>
      </c>
      <c r="B5778" s="1">
        <v>9</v>
      </c>
      <c r="C5778" s="2">
        <v>41814</v>
      </c>
      <c r="D5778" s="1" t="s">
        <v>2002</v>
      </c>
      <c r="E5778" s="1">
        <v>104192</v>
      </c>
      <c r="F5778" s="6" t="s">
        <v>7780</v>
      </c>
      <c r="G5778" s="15" t="str">
        <f>VLOOKUP(A5778,Movie!A:D,4,FALSE)</f>
        <v>Warner Brothers</v>
      </c>
      <c r="H5778" s="14">
        <f>VLOOKUP(E5778,'Rental Transaction'!A:B,2,FALSE)</f>
        <v>465275</v>
      </c>
      <c r="I5778">
        <f t="shared" si="90"/>
        <v>2014</v>
      </c>
    </row>
    <row r="5779" spans="1:9">
      <c r="A5779" s="1">
        <v>10174</v>
      </c>
      <c r="B5779" s="1">
        <v>1</v>
      </c>
      <c r="C5779" s="2">
        <v>41814</v>
      </c>
      <c r="D5779" s="1" t="s">
        <v>2002</v>
      </c>
      <c r="E5779" s="1">
        <v>104193</v>
      </c>
      <c r="F5779" s="6" t="s">
        <v>7781</v>
      </c>
      <c r="G5779" s="15" t="str">
        <f>VLOOKUP(A5779,Movie!A:D,4,FALSE)</f>
        <v>Universal</v>
      </c>
      <c r="H5779" s="14">
        <f>VLOOKUP(E5779,'Rental Transaction'!A:B,2,FALSE)</f>
        <v>241144</v>
      </c>
      <c r="I5779">
        <f t="shared" si="90"/>
        <v>2014</v>
      </c>
    </row>
    <row r="5780" spans="1:9">
      <c r="A5780" s="1">
        <v>10281</v>
      </c>
      <c r="B5780" s="1">
        <v>10</v>
      </c>
      <c r="C5780" s="2">
        <v>41813</v>
      </c>
      <c r="D5780" s="1" t="s">
        <v>2002</v>
      </c>
      <c r="E5780" s="1">
        <v>104193</v>
      </c>
      <c r="F5780" s="6" t="s">
        <v>7782</v>
      </c>
      <c r="G5780" s="15" t="str">
        <f>VLOOKUP(A5780,Movie!A:D,4,FALSE)</f>
        <v>Lionsgate</v>
      </c>
      <c r="H5780" s="14">
        <f>VLOOKUP(E5780,'Rental Transaction'!A:B,2,FALSE)</f>
        <v>241144</v>
      </c>
      <c r="I5780">
        <f t="shared" si="90"/>
        <v>2014</v>
      </c>
    </row>
    <row r="5781" spans="1:9" ht="29.25">
      <c r="A5781" s="1">
        <v>10144</v>
      </c>
      <c r="B5781" s="1">
        <v>5</v>
      </c>
      <c r="C5781" s="2">
        <v>41814</v>
      </c>
      <c r="D5781" s="1" t="s">
        <v>2002</v>
      </c>
      <c r="E5781" s="1">
        <v>104196</v>
      </c>
      <c r="F5781" s="6" t="s">
        <v>7783</v>
      </c>
      <c r="G5781" s="15" t="str">
        <f>VLOOKUP(A5781,Movie!A:D,4,FALSE)</f>
        <v>Weinstein Company</v>
      </c>
      <c r="H5781" s="14">
        <f>VLOOKUP(E5781,'Rental Transaction'!A:B,2,FALSE)</f>
        <v>882493</v>
      </c>
      <c r="I5781">
        <f t="shared" si="90"/>
        <v>2014</v>
      </c>
    </row>
    <row r="5782" spans="1:9">
      <c r="A5782" s="1">
        <v>10128</v>
      </c>
      <c r="B5782" s="1">
        <v>7</v>
      </c>
      <c r="C5782" s="2">
        <v>41814</v>
      </c>
      <c r="D5782" s="1" t="s">
        <v>2002</v>
      </c>
      <c r="E5782" s="1">
        <v>104196</v>
      </c>
      <c r="F5782" s="6" t="s">
        <v>7784</v>
      </c>
      <c r="G5782" s="15" t="str">
        <f>VLOOKUP(A5782,Movie!A:D,4,FALSE)</f>
        <v>TriStar</v>
      </c>
      <c r="H5782" s="14">
        <f>VLOOKUP(E5782,'Rental Transaction'!A:B,2,FALSE)</f>
        <v>882493</v>
      </c>
      <c r="I5782">
        <f t="shared" si="90"/>
        <v>2014</v>
      </c>
    </row>
    <row r="5783" spans="1:9">
      <c r="A5783" s="1">
        <v>10099</v>
      </c>
      <c r="B5783" s="1">
        <v>8</v>
      </c>
      <c r="C5783" s="2">
        <v>41815</v>
      </c>
      <c r="D5783" s="1" t="s">
        <v>2002</v>
      </c>
      <c r="E5783" s="1">
        <v>104197</v>
      </c>
      <c r="F5783" s="6" t="s">
        <v>7785</v>
      </c>
      <c r="G5783" s="15" t="str">
        <f>VLOOKUP(A5783,Movie!A:D,4,FALSE)</f>
        <v>Lionsgate</v>
      </c>
      <c r="H5783" s="14">
        <f>VLOOKUP(E5783,'Rental Transaction'!A:B,2,FALSE)</f>
        <v>905670</v>
      </c>
      <c r="I5783">
        <f t="shared" si="90"/>
        <v>2014</v>
      </c>
    </row>
    <row r="5784" spans="1:9" ht="29.25">
      <c r="A5784" s="1">
        <v>10164</v>
      </c>
      <c r="B5784" s="1">
        <v>5</v>
      </c>
      <c r="C5784" s="2">
        <v>41815</v>
      </c>
      <c r="D5784" s="1" t="s">
        <v>2002</v>
      </c>
      <c r="E5784" s="1">
        <v>104198</v>
      </c>
      <c r="F5784" s="6" t="s">
        <v>7786</v>
      </c>
      <c r="G5784" s="15" t="str">
        <f>VLOOKUP(A5784,Movie!A:D,4,FALSE)</f>
        <v>Weinstein Company</v>
      </c>
      <c r="H5784" s="14">
        <f>VLOOKUP(E5784,'Rental Transaction'!A:B,2,FALSE)</f>
        <v>549823</v>
      </c>
      <c r="I5784">
        <f t="shared" si="90"/>
        <v>2014</v>
      </c>
    </row>
    <row r="5785" spans="1:9">
      <c r="A5785" s="1">
        <v>10289</v>
      </c>
      <c r="B5785" s="1">
        <v>6</v>
      </c>
      <c r="C5785" s="2">
        <v>41814</v>
      </c>
      <c r="D5785" s="1" t="s">
        <v>2002</v>
      </c>
      <c r="E5785" s="1">
        <v>104199</v>
      </c>
      <c r="F5785" s="6" t="s">
        <v>7787</v>
      </c>
      <c r="G5785" s="15" t="str">
        <f>VLOOKUP(A5785,Movie!A:D,4,FALSE)</f>
        <v>Open Road Films</v>
      </c>
      <c r="H5785" s="14">
        <f>VLOOKUP(E5785,'Rental Transaction'!A:B,2,FALSE)</f>
        <v>707458</v>
      </c>
      <c r="I5785">
        <f t="shared" si="90"/>
        <v>2014</v>
      </c>
    </row>
    <row r="5786" spans="1:9">
      <c r="A5786" s="1">
        <v>10349</v>
      </c>
      <c r="B5786" s="1">
        <v>4</v>
      </c>
      <c r="C5786" s="2">
        <v>41814</v>
      </c>
      <c r="D5786" s="1" t="s">
        <v>2002</v>
      </c>
      <c r="E5786" s="1">
        <v>104200</v>
      </c>
      <c r="F5786" s="6" t="s">
        <v>7788</v>
      </c>
      <c r="G5786" s="15" t="str">
        <f>VLOOKUP(A5786,Movie!A:D,4,FALSE)</f>
        <v>Screen Gems</v>
      </c>
      <c r="H5786" s="14">
        <f>VLOOKUP(E5786,'Rental Transaction'!A:B,2,FALSE)</f>
        <v>105549</v>
      </c>
      <c r="I5786">
        <f t="shared" si="90"/>
        <v>2014</v>
      </c>
    </row>
    <row r="5787" spans="1:9" ht="29.25">
      <c r="A5787" s="1">
        <v>10290</v>
      </c>
      <c r="B5787" s="1">
        <v>6</v>
      </c>
      <c r="C5787" s="2">
        <v>41815</v>
      </c>
      <c r="D5787" s="1" t="s">
        <v>2002</v>
      </c>
      <c r="E5787" s="1">
        <v>104203</v>
      </c>
      <c r="F5787" s="6" t="s">
        <v>7789</v>
      </c>
      <c r="G5787" s="15" t="str">
        <f>VLOOKUP(A5787,Movie!A:D,4,FALSE)</f>
        <v>Weinstein Company</v>
      </c>
      <c r="H5787" s="14">
        <f>VLOOKUP(E5787,'Rental Transaction'!A:B,2,FALSE)</f>
        <v>825249</v>
      </c>
      <c r="I5787">
        <f t="shared" si="90"/>
        <v>2014</v>
      </c>
    </row>
    <row r="5788" spans="1:9">
      <c r="A5788" s="1">
        <v>10265</v>
      </c>
      <c r="B5788" s="1">
        <v>8</v>
      </c>
      <c r="C5788" s="2">
        <v>41815</v>
      </c>
      <c r="D5788" s="1" t="s">
        <v>2002</v>
      </c>
      <c r="E5788" s="1">
        <v>104203</v>
      </c>
      <c r="F5788" s="6" t="s">
        <v>7790</v>
      </c>
      <c r="G5788" s="15" t="str">
        <f>VLOOKUP(A5788,Movie!A:D,4,FALSE)</f>
        <v>Warner Brothers</v>
      </c>
      <c r="H5788" s="14">
        <f>VLOOKUP(E5788,'Rental Transaction'!A:B,2,FALSE)</f>
        <v>825249</v>
      </c>
      <c r="I5788">
        <f t="shared" si="90"/>
        <v>2014</v>
      </c>
    </row>
    <row r="5789" spans="1:9">
      <c r="A5789" s="1">
        <v>10147</v>
      </c>
      <c r="B5789" s="1">
        <v>5</v>
      </c>
      <c r="C5789" s="2">
        <v>41819</v>
      </c>
      <c r="D5789" s="1" t="s">
        <v>2002</v>
      </c>
      <c r="E5789" s="1">
        <v>104204</v>
      </c>
      <c r="F5789" s="6" t="s">
        <v>7791</v>
      </c>
      <c r="G5789" s="15" t="str">
        <f>VLOOKUP(A5789,Movie!A:D,4,FALSE)</f>
        <v>Lionsgate</v>
      </c>
      <c r="H5789" s="14">
        <f>VLOOKUP(E5789,'Rental Transaction'!A:B,2,FALSE)</f>
        <v>996970</v>
      </c>
      <c r="I5789">
        <f t="shared" si="90"/>
        <v>2014</v>
      </c>
    </row>
    <row r="5790" spans="1:9">
      <c r="A5790" s="1">
        <v>10158</v>
      </c>
      <c r="B5790" s="1">
        <v>2</v>
      </c>
      <c r="C5790" s="2">
        <v>41815</v>
      </c>
      <c r="D5790" s="1" t="s">
        <v>2002</v>
      </c>
      <c r="E5790" s="1">
        <v>104204</v>
      </c>
      <c r="F5790" s="6" t="s">
        <v>7792</v>
      </c>
      <c r="G5790" s="15" t="str">
        <f>VLOOKUP(A5790,Movie!A:D,4,FALSE)</f>
        <v>Warner Brothers</v>
      </c>
      <c r="H5790" s="14">
        <f>VLOOKUP(E5790,'Rental Transaction'!A:B,2,FALSE)</f>
        <v>996970</v>
      </c>
      <c r="I5790">
        <f t="shared" si="90"/>
        <v>2014</v>
      </c>
    </row>
    <row r="5791" spans="1:9">
      <c r="A5791" s="1">
        <v>10212</v>
      </c>
      <c r="B5791" s="1">
        <v>9</v>
      </c>
      <c r="C5791" s="2">
        <v>41816</v>
      </c>
      <c r="D5791" s="1" t="s">
        <v>2002</v>
      </c>
      <c r="E5791" s="1">
        <v>104205</v>
      </c>
      <c r="F5791" s="6" t="s">
        <v>7793</v>
      </c>
      <c r="G5791" s="15" t="str">
        <f>VLOOKUP(A5791,Movie!A:D,4,FALSE)</f>
        <v>Lionsgate</v>
      </c>
      <c r="H5791" s="14">
        <f>VLOOKUP(E5791,'Rental Transaction'!A:B,2,FALSE)</f>
        <v>345348</v>
      </c>
      <c r="I5791">
        <f t="shared" si="90"/>
        <v>2014</v>
      </c>
    </row>
    <row r="5792" spans="1:9">
      <c r="A5792" s="1">
        <v>10250</v>
      </c>
      <c r="B5792" s="1">
        <v>7</v>
      </c>
      <c r="C5792" s="2">
        <v>41818</v>
      </c>
      <c r="D5792" s="1" t="s">
        <v>2002</v>
      </c>
      <c r="E5792" s="1">
        <v>104206</v>
      </c>
      <c r="F5792" s="6" t="s">
        <v>7794</v>
      </c>
      <c r="G5792" s="15" t="str">
        <f>VLOOKUP(A5792,Movie!A:D,4,FALSE)</f>
        <v>Buena Vista</v>
      </c>
      <c r="H5792" s="14">
        <f>VLOOKUP(E5792,'Rental Transaction'!A:B,2,FALSE)</f>
        <v>892883</v>
      </c>
      <c r="I5792">
        <f t="shared" si="90"/>
        <v>2014</v>
      </c>
    </row>
    <row r="5793" spans="1:9">
      <c r="A5793" s="1">
        <v>10268</v>
      </c>
      <c r="B5793" s="1">
        <v>3</v>
      </c>
      <c r="C5793" s="2">
        <v>41815</v>
      </c>
      <c r="D5793" s="1" t="s">
        <v>2002</v>
      </c>
      <c r="E5793" s="1">
        <v>104206</v>
      </c>
      <c r="F5793" s="6" t="s">
        <v>7795</v>
      </c>
      <c r="G5793" s="15" t="str">
        <f>VLOOKUP(A5793,Movie!A:D,4,FALSE)</f>
        <v>Buena Vista</v>
      </c>
      <c r="H5793" s="14">
        <f>VLOOKUP(E5793,'Rental Transaction'!A:B,2,FALSE)</f>
        <v>892883</v>
      </c>
      <c r="I5793">
        <f t="shared" si="90"/>
        <v>2014</v>
      </c>
    </row>
    <row r="5794" spans="1:9">
      <c r="A5794" s="1">
        <v>10188</v>
      </c>
      <c r="B5794" s="1">
        <v>4</v>
      </c>
      <c r="C5794" s="2">
        <v>41817</v>
      </c>
      <c r="D5794" s="1" t="s">
        <v>2002</v>
      </c>
      <c r="E5794" s="1">
        <v>104209</v>
      </c>
      <c r="F5794" s="6" t="s">
        <v>7796</v>
      </c>
      <c r="G5794" s="15" t="str">
        <f>VLOOKUP(A5794,Movie!A:D,4,FALSE)</f>
        <v>Paramount</v>
      </c>
      <c r="H5794" s="14">
        <f>VLOOKUP(E5794,'Rental Transaction'!A:B,2,FALSE)</f>
        <v>964403</v>
      </c>
      <c r="I5794">
        <f t="shared" si="90"/>
        <v>2014</v>
      </c>
    </row>
    <row r="5795" spans="1:9">
      <c r="A5795" s="1">
        <v>10250</v>
      </c>
      <c r="B5795" s="1">
        <v>4</v>
      </c>
      <c r="C5795" s="2">
        <v>41816</v>
      </c>
      <c r="D5795" s="1" t="s">
        <v>2002</v>
      </c>
      <c r="E5795" s="1">
        <v>104210</v>
      </c>
      <c r="F5795" s="6" t="s">
        <v>7797</v>
      </c>
      <c r="G5795" s="15" t="str">
        <f>VLOOKUP(A5795,Movie!A:D,4,FALSE)</f>
        <v>Buena Vista</v>
      </c>
      <c r="H5795" s="14">
        <f>VLOOKUP(E5795,'Rental Transaction'!A:B,2,FALSE)</f>
        <v>116934</v>
      </c>
      <c r="I5795">
        <f t="shared" si="90"/>
        <v>2014</v>
      </c>
    </row>
    <row r="5796" spans="1:9">
      <c r="A5796" s="1">
        <v>10230</v>
      </c>
      <c r="B5796" s="1">
        <v>6</v>
      </c>
      <c r="C5796" s="2">
        <v>41817</v>
      </c>
      <c r="D5796" s="1" t="s">
        <v>2002</v>
      </c>
      <c r="E5796" s="1">
        <v>104211</v>
      </c>
      <c r="F5796" s="6" t="s">
        <v>7798</v>
      </c>
      <c r="G5796" s="15" t="str">
        <f>VLOOKUP(A5796,Movie!A:D,4,FALSE)</f>
        <v>Focus</v>
      </c>
      <c r="H5796" s="14">
        <f>VLOOKUP(E5796,'Rental Transaction'!A:B,2,FALSE)</f>
        <v>105771</v>
      </c>
      <c r="I5796">
        <f t="shared" si="90"/>
        <v>2014</v>
      </c>
    </row>
    <row r="5797" spans="1:9">
      <c r="A5797" s="1">
        <v>10215</v>
      </c>
      <c r="B5797" s="1">
        <v>6</v>
      </c>
      <c r="C5797" s="2">
        <v>41817</v>
      </c>
      <c r="D5797" s="1" t="s">
        <v>2005</v>
      </c>
      <c r="E5797" s="1">
        <v>104211</v>
      </c>
      <c r="F5797" s="6" t="s">
        <v>7799</v>
      </c>
      <c r="G5797" s="15" t="str">
        <f>VLOOKUP(A5797,Movie!A:D,4,FALSE)</f>
        <v>Paramount</v>
      </c>
      <c r="H5797" s="14">
        <f>VLOOKUP(E5797,'Rental Transaction'!A:B,2,FALSE)</f>
        <v>105771</v>
      </c>
      <c r="I5797">
        <f t="shared" si="90"/>
        <v>2014</v>
      </c>
    </row>
    <row r="5798" spans="1:9">
      <c r="A5798" s="1">
        <v>10067</v>
      </c>
      <c r="B5798" s="1">
        <v>5</v>
      </c>
      <c r="C5798" s="2">
        <v>41816</v>
      </c>
      <c r="D5798" s="1" t="s">
        <v>2002</v>
      </c>
      <c r="E5798" s="1">
        <v>104212</v>
      </c>
      <c r="F5798" s="6" t="s">
        <v>7800</v>
      </c>
      <c r="G5798" s="15" t="str">
        <f>VLOOKUP(A5798,Movie!A:D,4,FALSE)</f>
        <v>Paramount</v>
      </c>
      <c r="H5798" s="14">
        <f>VLOOKUP(E5798,'Rental Transaction'!A:B,2,FALSE)</f>
        <v>592528</v>
      </c>
      <c r="I5798">
        <f t="shared" si="90"/>
        <v>2014</v>
      </c>
    </row>
    <row r="5799" spans="1:9">
      <c r="A5799" s="1">
        <v>10072</v>
      </c>
      <c r="B5799" s="1">
        <v>6</v>
      </c>
      <c r="C5799" s="2">
        <v>41819</v>
      </c>
      <c r="D5799" s="1" t="s">
        <v>2002</v>
      </c>
      <c r="E5799" s="1">
        <v>104212</v>
      </c>
      <c r="F5799" s="6" t="s">
        <v>7801</v>
      </c>
      <c r="G5799" s="15" t="str">
        <f>VLOOKUP(A5799,Movie!A:D,4,FALSE)</f>
        <v>Paramount</v>
      </c>
      <c r="H5799" s="14">
        <f>VLOOKUP(E5799,'Rental Transaction'!A:B,2,FALSE)</f>
        <v>592528</v>
      </c>
      <c r="I5799">
        <f t="shared" si="90"/>
        <v>2014</v>
      </c>
    </row>
    <row r="5800" spans="1:9">
      <c r="A5800" s="1">
        <v>10073</v>
      </c>
      <c r="B5800" s="1">
        <v>7</v>
      </c>
      <c r="C5800" s="2">
        <v>41820</v>
      </c>
      <c r="D5800" s="1" t="s">
        <v>2002</v>
      </c>
      <c r="E5800" s="1">
        <v>104213</v>
      </c>
      <c r="F5800" s="6" t="s">
        <v>7802</v>
      </c>
      <c r="G5800" s="15" t="str">
        <f>VLOOKUP(A5800,Movie!A:D,4,FALSE)</f>
        <v>FilmDistrict</v>
      </c>
      <c r="H5800" s="14">
        <f>VLOOKUP(E5800,'Rental Transaction'!A:B,2,FALSE)</f>
        <v>905670</v>
      </c>
      <c r="I5800">
        <f t="shared" si="90"/>
        <v>2014</v>
      </c>
    </row>
    <row r="5801" spans="1:9">
      <c r="A5801" s="1">
        <v>10280</v>
      </c>
      <c r="B5801" s="1">
        <v>8</v>
      </c>
      <c r="C5801" s="2">
        <v>41818</v>
      </c>
      <c r="D5801" s="1" t="s">
        <v>2002</v>
      </c>
      <c r="E5801" s="1">
        <v>104213</v>
      </c>
      <c r="F5801" s="6" t="s">
        <v>7803</v>
      </c>
      <c r="G5801" s="15" t="str">
        <f>VLOOKUP(A5801,Movie!A:D,4,FALSE)</f>
        <v>Universal</v>
      </c>
      <c r="H5801" s="14">
        <f>VLOOKUP(E5801,'Rental Transaction'!A:B,2,FALSE)</f>
        <v>905670</v>
      </c>
      <c r="I5801">
        <f t="shared" si="90"/>
        <v>2014</v>
      </c>
    </row>
    <row r="5802" spans="1:9">
      <c r="A5802" s="1">
        <v>10233</v>
      </c>
      <c r="B5802" s="1">
        <v>6</v>
      </c>
      <c r="C5802" s="2">
        <v>41819</v>
      </c>
      <c r="D5802" s="1" t="s">
        <v>2002</v>
      </c>
      <c r="E5802" s="1">
        <v>104214</v>
      </c>
      <c r="F5802" s="6" t="s">
        <v>7804</v>
      </c>
      <c r="G5802" s="15" t="str">
        <f>VLOOKUP(A5802,Movie!A:D,4,FALSE)</f>
        <v>Screen Gems</v>
      </c>
      <c r="H5802" s="14">
        <f>VLOOKUP(E5802,'Rental Transaction'!A:B,2,FALSE)</f>
        <v>433442</v>
      </c>
      <c r="I5802">
        <f t="shared" si="90"/>
        <v>2014</v>
      </c>
    </row>
    <row r="5803" spans="1:9">
      <c r="A5803" s="1">
        <v>10267</v>
      </c>
      <c r="B5803" s="1">
        <v>4</v>
      </c>
      <c r="C5803" s="2">
        <v>41817</v>
      </c>
      <c r="D5803" s="1" t="s">
        <v>2002</v>
      </c>
      <c r="E5803" s="1">
        <v>104218</v>
      </c>
      <c r="F5803" s="6" t="s">
        <v>7805</v>
      </c>
      <c r="G5803" s="15" t="str">
        <f>VLOOKUP(A5803,Movie!A:D,4,FALSE)</f>
        <v>TriStar</v>
      </c>
      <c r="H5803" s="14">
        <f>VLOOKUP(E5803,'Rental Transaction'!A:B,2,FALSE)</f>
        <v>567719</v>
      </c>
      <c r="I5803">
        <f t="shared" si="90"/>
        <v>2014</v>
      </c>
    </row>
    <row r="5804" spans="1:9">
      <c r="A5804" s="1">
        <v>10137</v>
      </c>
      <c r="B5804" s="1">
        <v>1</v>
      </c>
      <c r="C5804" s="2">
        <v>41818</v>
      </c>
      <c r="D5804" s="1" t="s">
        <v>2005</v>
      </c>
      <c r="E5804" s="1">
        <v>104219</v>
      </c>
      <c r="F5804" s="6" t="s">
        <v>7806</v>
      </c>
      <c r="G5804" s="15" t="str">
        <f>VLOOKUP(A5804,Movie!A:D,4,FALSE)</f>
        <v>Buena Vista</v>
      </c>
      <c r="H5804" s="14">
        <f>VLOOKUP(E5804,'Rental Transaction'!A:B,2,FALSE)</f>
        <v>417823</v>
      </c>
      <c r="I5804">
        <f t="shared" si="90"/>
        <v>2014</v>
      </c>
    </row>
    <row r="5805" spans="1:9">
      <c r="A5805" s="1">
        <v>10299</v>
      </c>
      <c r="B5805" s="1">
        <v>5</v>
      </c>
      <c r="C5805" s="2">
        <v>41818</v>
      </c>
      <c r="D5805" s="1" t="s">
        <v>2002</v>
      </c>
      <c r="E5805" s="1">
        <v>104220</v>
      </c>
      <c r="F5805" s="6" t="s">
        <v>7807</v>
      </c>
      <c r="G5805" s="15" t="str">
        <f>VLOOKUP(A5805,Movie!A:D,4,FALSE)</f>
        <v>Radius-TWC</v>
      </c>
      <c r="H5805" s="14">
        <f>VLOOKUP(E5805,'Rental Transaction'!A:B,2,FALSE)</f>
        <v>346006</v>
      </c>
      <c r="I5805">
        <f t="shared" si="90"/>
        <v>2014</v>
      </c>
    </row>
    <row r="5806" spans="1:9">
      <c r="A5806" s="1">
        <v>10274</v>
      </c>
      <c r="B5806" s="1">
        <v>10</v>
      </c>
      <c r="C5806" s="2">
        <v>41817</v>
      </c>
      <c r="D5806" s="1" t="s">
        <v>2002</v>
      </c>
      <c r="E5806" s="1">
        <v>104220</v>
      </c>
      <c r="F5806" s="6" t="s">
        <v>7808</v>
      </c>
      <c r="G5806" s="15" t="str">
        <f>VLOOKUP(A5806,Movie!A:D,4,FALSE)</f>
        <v>Fox</v>
      </c>
      <c r="H5806" s="14">
        <f>VLOOKUP(E5806,'Rental Transaction'!A:B,2,FALSE)</f>
        <v>346006</v>
      </c>
      <c r="I5806">
        <f t="shared" si="90"/>
        <v>2014</v>
      </c>
    </row>
    <row r="5807" spans="1:9">
      <c r="A5807" s="1">
        <v>10235</v>
      </c>
      <c r="B5807" s="1">
        <v>8</v>
      </c>
      <c r="C5807" s="2">
        <v>41817</v>
      </c>
      <c r="D5807" s="1" t="s">
        <v>2005</v>
      </c>
      <c r="E5807" s="1">
        <v>104223</v>
      </c>
      <c r="F5807" s="6" t="s">
        <v>7809</v>
      </c>
      <c r="G5807" s="15" t="str">
        <f>VLOOKUP(A5807,Movie!A:D,4,FALSE)</f>
        <v>Lionsgate</v>
      </c>
      <c r="H5807" s="14">
        <f>VLOOKUP(E5807,'Rental Transaction'!A:B,2,FALSE)</f>
        <v>798336</v>
      </c>
      <c r="I5807">
        <f t="shared" si="90"/>
        <v>2014</v>
      </c>
    </row>
    <row r="5808" spans="1:9">
      <c r="A5808" s="1">
        <v>10192</v>
      </c>
      <c r="B5808" s="1">
        <v>7</v>
      </c>
      <c r="C5808" s="2">
        <v>41817</v>
      </c>
      <c r="D5808" s="1" t="s">
        <v>2002</v>
      </c>
      <c r="E5808" s="1">
        <v>104224</v>
      </c>
      <c r="F5808" s="6" t="s">
        <v>7810</v>
      </c>
      <c r="G5808" s="15" t="str">
        <f>VLOOKUP(A5808,Movie!A:D,4,FALSE)</f>
        <v>Universal</v>
      </c>
      <c r="H5808" s="14">
        <f>VLOOKUP(E5808,'Rental Transaction'!A:B,2,FALSE)</f>
        <v>951702</v>
      </c>
      <c r="I5808">
        <f t="shared" si="90"/>
        <v>2014</v>
      </c>
    </row>
    <row r="5809" spans="1:9">
      <c r="A5809" s="1">
        <v>10064</v>
      </c>
      <c r="B5809" s="1">
        <v>3</v>
      </c>
      <c r="C5809" s="2">
        <v>41817</v>
      </c>
      <c r="D5809" s="1" t="s">
        <v>2002</v>
      </c>
      <c r="E5809" s="1">
        <v>104224</v>
      </c>
      <c r="F5809" s="6" t="s">
        <v>7811</v>
      </c>
      <c r="G5809" s="15" t="str">
        <f>VLOOKUP(A5809,Movie!A:D,4,FALSE)</f>
        <v>Universal</v>
      </c>
      <c r="H5809" s="14">
        <f>VLOOKUP(E5809,'Rental Transaction'!A:B,2,FALSE)</f>
        <v>951702</v>
      </c>
      <c r="I5809">
        <f t="shared" si="90"/>
        <v>2014</v>
      </c>
    </row>
    <row r="5810" spans="1:9">
      <c r="A5810" s="1">
        <v>10219</v>
      </c>
      <c r="B5810" s="1">
        <v>3</v>
      </c>
      <c r="C5810" s="2">
        <v>41818</v>
      </c>
      <c r="D5810" s="1" t="s">
        <v>2002</v>
      </c>
      <c r="E5810" s="1">
        <v>104225</v>
      </c>
      <c r="F5810" s="6" t="s">
        <v>7812</v>
      </c>
      <c r="G5810" s="15" t="str">
        <f>VLOOKUP(A5810,Movie!A:D,4,FALSE)</f>
        <v>Paramount</v>
      </c>
      <c r="H5810" s="14">
        <f>VLOOKUP(E5810,'Rental Transaction'!A:B,2,FALSE)</f>
        <v>798336</v>
      </c>
      <c r="I5810">
        <f t="shared" si="90"/>
        <v>2014</v>
      </c>
    </row>
    <row r="5811" spans="1:9">
      <c r="A5811" s="1">
        <v>10169</v>
      </c>
      <c r="B5811" s="1">
        <v>3</v>
      </c>
      <c r="C5811" s="2">
        <v>41819</v>
      </c>
      <c r="D5811" s="1" t="s">
        <v>2002</v>
      </c>
      <c r="E5811" s="1">
        <v>104228</v>
      </c>
      <c r="F5811" s="6" t="s">
        <v>7813</v>
      </c>
      <c r="G5811" s="15" t="str">
        <f>VLOOKUP(A5811,Movie!A:D,4,FALSE)</f>
        <v>Warner Brothers</v>
      </c>
      <c r="H5811" s="14">
        <f>VLOOKUP(E5811,'Rental Transaction'!A:B,2,FALSE)</f>
        <v>580783</v>
      </c>
      <c r="I5811">
        <f t="shared" si="90"/>
        <v>2014</v>
      </c>
    </row>
    <row r="5812" spans="1:9">
      <c r="A5812" s="1">
        <v>10219</v>
      </c>
      <c r="B5812" s="1">
        <v>7</v>
      </c>
      <c r="C5812" s="2">
        <v>41823</v>
      </c>
      <c r="D5812" s="1" t="s">
        <v>2002</v>
      </c>
      <c r="E5812" s="1">
        <v>104228</v>
      </c>
      <c r="F5812" s="6" t="s">
        <v>7814</v>
      </c>
      <c r="G5812" s="15" t="str">
        <f>VLOOKUP(A5812,Movie!A:D,4,FALSE)</f>
        <v>Paramount</v>
      </c>
      <c r="H5812" s="14">
        <f>VLOOKUP(E5812,'Rental Transaction'!A:B,2,FALSE)</f>
        <v>580783</v>
      </c>
      <c r="I5812">
        <f t="shared" si="90"/>
        <v>2014</v>
      </c>
    </row>
    <row r="5813" spans="1:9">
      <c r="A5813" s="1">
        <v>10126</v>
      </c>
      <c r="B5813" s="1">
        <v>7</v>
      </c>
      <c r="C5813" s="2">
        <v>41825</v>
      </c>
      <c r="D5813" s="1" t="s">
        <v>2002</v>
      </c>
      <c r="E5813" s="1">
        <v>104228</v>
      </c>
      <c r="F5813" s="6" t="s">
        <v>7815</v>
      </c>
      <c r="G5813" s="15" t="str">
        <f>VLOOKUP(A5813,Movie!A:D,4,FALSE)</f>
        <v>Fox</v>
      </c>
      <c r="H5813" s="14">
        <f>VLOOKUP(E5813,'Rental Transaction'!A:B,2,FALSE)</f>
        <v>580783</v>
      </c>
      <c r="I5813">
        <f t="shared" si="90"/>
        <v>2014</v>
      </c>
    </row>
    <row r="5814" spans="1:9">
      <c r="A5814" s="1">
        <v>10273</v>
      </c>
      <c r="B5814" s="1">
        <v>9</v>
      </c>
      <c r="C5814" s="2">
        <v>41819</v>
      </c>
      <c r="D5814" s="1" t="s">
        <v>2002</v>
      </c>
      <c r="E5814" s="1">
        <v>104229</v>
      </c>
      <c r="F5814" s="6" t="s">
        <v>7816</v>
      </c>
      <c r="G5814" s="15" t="str">
        <f>VLOOKUP(A5814,Movie!A:D,4,FALSE)</f>
        <v>Sony</v>
      </c>
      <c r="H5814" s="14">
        <f>VLOOKUP(E5814,'Rental Transaction'!A:B,2,FALSE)</f>
        <v>119406</v>
      </c>
      <c r="I5814">
        <f t="shared" si="90"/>
        <v>2014</v>
      </c>
    </row>
    <row r="5815" spans="1:9">
      <c r="A5815" s="1">
        <v>10026</v>
      </c>
      <c r="B5815" s="1">
        <v>1</v>
      </c>
      <c r="C5815" s="2">
        <v>41823</v>
      </c>
      <c r="D5815" s="1" t="s">
        <v>2002</v>
      </c>
      <c r="E5815" s="1">
        <v>104229</v>
      </c>
      <c r="F5815" s="6" t="s">
        <v>7817</v>
      </c>
      <c r="G5815" s="15" t="str">
        <f>VLOOKUP(A5815,Movie!A:D,4,FALSE)</f>
        <v>Fox</v>
      </c>
      <c r="H5815" s="14">
        <f>VLOOKUP(E5815,'Rental Transaction'!A:B,2,FALSE)</f>
        <v>119406</v>
      </c>
      <c r="I5815">
        <f t="shared" si="90"/>
        <v>2014</v>
      </c>
    </row>
    <row r="5816" spans="1:9">
      <c r="A5816" s="1">
        <v>10171</v>
      </c>
      <c r="B5816" s="1">
        <v>10</v>
      </c>
      <c r="C5816" s="2">
        <v>41818</v>
      </c>
      <c r="D5816" s="1" t="s">
        <v>2002</v>
      </c>
      <c r="E5816" s="1">
        <v>104230</v>
      </c>
      <c r="F5816" s="6" t="s">
        <v>7818</v>
      </c>
      <c r="G5816" s="15" t="str">
        <f>VLOOKUP(A5816,Movie!A:D,4,FALSE)</f>
        <v>Universal</v>
      </c>
      <c r="H5816" s="14">
        <f>VLOOKUP(E5816,'Rental Transaction'!A:B,2,FALSE)</f>
        <v>216475</v>
      </c>
      <c r="I5816">
        <f t="shared" si="90"/>
        <v>2014</v>
      </c>
    </row>
    <row r="5817" spans="1:9">
      <c r="A5817" s="1">
        <v>10147</v>
      </c>
      <c r="B5817" s="1">
        <v>3</v>
      </c>
      <c r="C5817" s="2">
        <v>41821</v>
      </c>
      <c r="D5817" s="1" t="s">
        <v>2002</v>
      </c>
      <c r="E5817" s="1">
        <v>104230</v>
      </c>
      <c r="F5817" s="6" t="s">
        <v>7819</v>
      </c>
      <c r="G5817" s="15" t="str">
        <f>VLOOKUP(A5817,Movie!A:D,4,FALSE)</f>
        <v>Lionsgate</v>
      </c>
      <c r="H5817" s="14">
        <f>VLOOKUP(E5817,'Rental Transaction'!A:B,2,FALSE)</f>
        <v>216475</v>
      </c>
      <c r="I5817">
        <f t="shared" si="90"/>
        <v>2014</v>
      </c>
    </row>
    <row r="5818" spans="1:9">
      <c r="A5818" s="1">
        <v>10182</v>
      </c>
      <c r="B5818" s="1">
        <v>7</v>
      </c>
      <c r="C5818" s="2">
        <v>41819</v>
      </c>
      <c r="D5818" s="1" t="s">
        <v>2005</v>
      </c>
      <c r="E5818" s="1">
        <v>104231</v>
      </c>
      <c r="F5818" s="6" t="s">
        <v>7820</v>
      </c>
      <c r="G5818" s="15" t="str">
        <f>VLOOKUP(A5818,Movie!A:D,4,FALSE)</f>
        <v>Warner Brothers</v>
      </c>
      <c r="H5818" s="14">
        <f>VLOOKUP(E5818,'Rental Transaction'!A:B,2,FALSE)</f>
        <v>371731</v>
      </c>
      <c r="I5818">
        <f t="shared" si="90"/>
        <v>2014</v>
      </c>
    </row>
    <row r="5819" spans="1:9">
      <c r="A5819" s="1">
        <v>10216</v>
      </c>
      <c r="B5819" s="1">
        <v>9</v>
      </c>
      <c r="C5819" s="2">
        <v>41818</v>
      </c>
      <c r="D5819" s="1" t="s">
        <v>2002</v>
      </c>
      <c r="E5819" s="1">
        <v>104231</v>
      </c>
      <c r="F5819" s="6" t="s">
        <v>7821</v>
      </c>
      <c r="G5819" s="15" t="str">
        <f>VLOOKUP(A5819,Movie!A:D,4,FALSE)</f>
        <v>Sony</v>
      </c>
      <c r="H5819" s="14">
        <f>VLOOKUP(E5819,'Rental Transaction'!A:B,2,FALSE)</f>
        <v>371731</v>
      </c>
      <c r="I5819">
        <f t="shared" si="90"/>
        <v>2014</v>
      </c>
    </row>
    <row r="5820" spans="1:9">
      <c r="A5820" s="1">
        <v>10190</v>
      </c>
      <c r="B5820" s="1">
        <v>7</v>
      </c>
      <c r="C5820" s="2">
        <v>41819</v>
      </c>
      <c r="D5820" s="1" t="s">
        <v>2002</v>
      </c>
      <c r="E5820" s="1">
        <v>104232</v>
      </c>
      <c r="F5820" s="6" t="s">
        <v>7822</v>
      </c>
      <c r="G5820" s="15" t="str">
        <f>VLOOKUP(A5820,Movie!A:D,4,FALSE)</f>
        <v>Lionsgate</v>
      </c>
      <c r="H5820" s="14">
        <f>VLOOKUP(E5820,'Rental Transaction'!A:B,2,FALSE)</f>
        <v>822823</v>
      </c>
      <c r="I5820">
        <f t="shared" si="90"/>
        <v>2014</v>
      </c>
    </row>
    <row r="5821" spans="1:9">
      <c r="A5821" s="1">
        <v>10299</v>
      </c>
      <c r="B5821" s="1">
        <v>5</v>
      </c>
      <c r="C5821" s="2">
        <v>41819</v>
      </c>
      <c r="D5821" s="1" t="s">
        <v>2002</v>
      </c>
      <c r="E5821" s="1">
        <v>104232</v>
      </c>
      <c r="F5821" s="6" t="s">
        <v>7823</v>
      </c>
      <c r="G5821" s="15" t="str">
        <f>VLOOKUP(A5821,Movie!A:D,4,FALSE)</f>
        <v>Radius-TWC</v>
      </c>
      <c r="H5821" s="14">
        <f>VLOOKUP(E5821,'Rental Transaction'!A:B,2,FALSE)</f>
        <v>822823</v>
      </c>
      <c r="I5821">
        <f t="shared" si="90"/>
        <v>2014</v>
      </c>
    </row>
    <row r="5822" spans="1:9">
      <c r="A5822" s="1">
        <v>10065</v>
      </c>
      <c r="B5822" s="1">
        <v>5</v>
      </c>
      <c r="C5822" s="2">
        <v>41823</v>
      </c>
      <c r="D5822" s="1" t="s">
        <v>2002</v>
      </c>
      <c r="E5822" s="1">
        <v>104233</v>
      </c>
      <c r="F5822" s="6" t="s">
        <v>7824</v>
      </c>
      <c r="G5822" s="15" t="str">
        <f>VLOOKUP(A5822,Movie!A:D,4,FALSE)</f>
        <v>Warner Brothers</v>
      </c>
      <c r="H5822" s="14">
        <f>VLOOKUP(E5822,'Rental Transaction'!A:B,2,FALSE)</f>
        <v>548546</v>
      </c>
      <c r="I5822">
        <f t="shared" si="90"/>
        <v>2014</v>
      </c>
    </row>
    <row r="5823" spans="1:9">
      <c r="A5823" s="1">
        <v>10280</v>
      </c>
      <c r="B5823" s="1">
        <v>3</v>
      </c>
      <c r="C5823" s="2">
        <v>41821</v>
      </c>
      <c r="D5823" s="1" t="s">
        <v>2002</v>
      </c>
      <c r="E5823" s="1">
        <v>104234</v>
      </c>
      <c r="F5823" s="6" t="s">
        <v>7825</v>
      </c>
      <c r="G5823" s="15" t="str">
        <f>VLOOKUP(A5823,Movie!A:D,4,FALSE)</f>
        <v>Universal</v>
      </c>
      <c r="H5823" s="14">
        <f>VLOOKUP(E5823,'Rental Transaction'!A:B,2,FALSE)</f>
        <v>815980</v>
      </c>
      <c r="I5823">
        <f t="shared" si="90"/>
        <v>2014</v>
      </c>
    </row>
    <row r="5824" spans="1:9">
      <c r="A5824" s="1">
        <v>10283</v>
      </c>
      <c r="B5824" s="1">
        <v>5</v>
      </c>
      <c r="C5824" s="2">
        <v>41819</v>
      </c>
      <c r="D5824" s="1" t="s">
        <v>2002</v>
      </c>
      <c r="E5824" s="1">
        <v>104235</v>
      </c>
      <c r="F5824" s="6" t="s">
        <v>7826</v>
      </c>
      <c r="G5824" s="15" t="str">
        <f>VLOOKUP(A5824,Movie!A:D,4,FALSE)</f>
        <v>TriStar</v>
      </c>
      <c r="H5824" s="14">
        <f>VLOOKUP(E5824,'Rental Transaction'!A:B,2,FALSE)</f>
        <v>520196</v>
      </c>
      <c r="I5824">
        <f t="shared" si="90"/>
        <v>2014</v>
      </c>
    </row>
    <row r="5825" spans="1:9">
      <c r="A5825" s="1">
        <v>10177</v>
      </c>
      <c r="B5825" s="1">
        <v>3</v>
      </c>
      <c r="C5825" s="2">
        <v>41819</v>
      </c>
      <c r="D5825" s="1" t="s">
        <v>2002</v>
      </c>
      <c r="E5825" s="1">
        <v>104235</v>
      </c>
      <c r="F5825" s="6" t="s">
        <v>7827</v>
      </c>
      <c r="G5825" s="15" t="str">
        <f>VLOOKUP(A5825,Movie!A:D,4,FALSE)</f>
        <v>Fox</v>
      </c>
      <c r="H5825" s="14">
        <f>VLOOKUP(E5825,'Rental Transaction'!A:B,2,FALSE)</f>
        <v>520196</v>
      </c>
      <c r="I5825">
        <f t="shared" si="90"/>
        <v>2014</v>
      </c>
    </row>
    <row r="5826" spans="1:9">
      <c r="A5826" s="1">
        <v>10130</v>
      </c>
      <c r="B5826" s="1">
        <v>5</v>
      </c>
      <c r="C5826" s="2">
        <v>41826</v>
      </c>
      <c r="D5826" s="1" t="s">
        <v>2002</v>
      </c>
      <c r="E5826" s="1">
        <v>104236</v>
      </c>
      <c r="F5826" s="6" t="s">
        <v>7828</v>
      </c>
      <c r="G5826" s="15" t="str">
        <f>VLOOKUP(A5826,Movie!A:D,4,FALSE)</f>
        <v>A24</v>
      </c>
      <c r="H5826" s="14">
        <f>VLOOKUP(E5826,'Rental Transaction'!A:B,2,FALSE)</f>
        <v>817274</v>
      </c>
      <c r="I5826">
        <f t="shared" si="90"/>
        <v>2014</v>
      </c>
    </row>
    <row r="5827" spans="1:9">
      <c r="A5827" s="1">
        <v>10254</v>
      </c>
      <c r="B5827" s="1">
        <v>8</v>
      </c>
      <c r="C5827" s="2">
        <v>41819</v>
      </c>
      <c r="D5827" s="1" t="s">
        <v>2002</v>
      </c>
      <c r="E5827" s="1">
        <v>104236</v>
      </c>
      <c r="F5827" s="6" t="s">
        <v>7829</v>
      </c>
      <c r="G5827" s="15" t="str">
        <f>VLOOKUP(A5827,Movie!A:D,4,FALSE)</f>
        <v>Paramount</v>
      </c>
      <c r="H5827" s="14">
        <f>VLOOKUP(E5827,'Rental Transaction'!A:B,2,FALSE)</f>
        <v>817274</v>
      </c>
      <c r="I5827">
        <f t="shared" ref="I5827:I5890" si="91">YEAR(C5827)</f>
        <v>2014</v>
      </c>
    </row>
    <row r="5828" spans="1:9">
      <c r="A5828" s="1">
        <v>10231</v>
      </c>
      <c r="B5828" s="1">
        <v>1</v>
      </c>
      <c r="C5828" s="2">
        <v>41821</v>
      </c>
      <c r="D5828" s="1" t="s">
        <v>2002</v>
      </c>
      <c r="E5828" s="1">
        <v>104239</v>
      </c>
      <c r="F5828" s="6" t="s">
        <v>7830</v>
      </c>
      <c r="G5828" s="15" t="str">
        <f>VLOOKUP(A5828,Movie!A:D,4,FALSE)</f>
        <v>Universal</v>
      </c>
      <c r="H5828" s="14">
        <f>VLOOKUP(E5828,'Rental Transaction'!A:B,2,FALSE)</f>
        <v>353846</v>
      </c>
      <c r="I5828">
        <f t="shared" si="91"/>
        <v>2014</v>
      </c>
    </row>
    <row r="5829" spans="1:9">
      <c r="A5829" s="1">
        <v>10234</v>
      </c>
      <c r="B5829" s="1">
        <v>2</v>
      </c>
      <c r="C5829" s="2">
        <v>41820</v>
      </c>
      <c r="D5829" s="1" t="s">
        <v>2005</v>
      </c>
      <c r="E5829" s="1">
        <v>104239</v>
      </c>
      <c r="F5829" s="6" t="s">
        <v>7831</v>
      </c>
      <c r="G5829" s="15" t="str">
        <f>VLOOKUP(A5829,Movie!A:D,4,FALSE)</f>
        <v>Warner Brothers</v>
      </c>
      <c r="H5829" s="14">
        <f>VLOOKUP(E5829,'Rental Transaction'!A:B,2,FALSE)</f>
        <v>353846</v>
      </c>
      <c r="I5829">
        <f t="shared" si="91"/>
        <v>2014</v>
      </c>
    </row>
    <row r="5830" spans="1:9">
      <c r="A5830" s="1">
        <v>10248</v>
      </c>
      <c r="B5830" s="1">
        <v>9</v>
      </c>
      <c r="C5830" s="2">
        <v>41820</v>
      </c>
      <c r="D5830" s="1" t="s">
        <v>2002</v>
      </c>
      <c r="E5830" s="1">
        <v>104240</v>
      </c>
      <c r="F5830" s="6" t="s">
        <v>7832</v>
      </c>
      <c r="G5830" s="15" t="str">
        <f>VLOOKUP(A5830,Movie!A:D,4,FALSE)</f>
        <v>Relativity</v>
      </c>
      <c r="H5830" s="14">
        <f>VLOOKUP(E5830,'Rental Transaction'!A:B,2,FALSE)</f>
        <v>563500</v>
      </c>
      <c r="I5830">
        <f t="shared" si="91"/>
        <v>2014</v>
      </c>
    </row>
    <row r="5831" spans="1:9">
      <c r="A5831" s="1">
        <v>10155</v>
      </c>
      <c r="B5831" s="1">
        <v>9</v>
      </c>
      <c r="C5831" s="2">
        <v>41822</v>
      </c>
      <c r="D5831" s="1" t="s">
        <v>2002</v>
      </c>
      <c r="E5831" s="1">
        <v>104241</v>
      </c>
      <c r="F5831" s="6" t="s">
        <v>7833</v>
      </c>
      <c r="G5831" s="15" t="str">
        <f>VLOOKUP(A5831,Movie!A:D,4,FALSE)</f>
        <v>Fox</v>
      </c>
      <c r="H5831" s="14">
        <f>VLOOKUP(E5831,'Rental Transaction'!A:B,2,FALSE)</f>
        <v>852925</v>
      </c>
      <c r="I5831">
        <f t="shared" si="91"/>
        <v>2014</v>
      </c>
    </row>
    <row r="5832" spans="1:9">
      <c r="A5832" s="1">
        <v>10169</v>
      </c>
      <c r="B5832" s="1">
        <v>1</v>
      </c>
      <c r="C5832" s="2">
        <v>41822</v>
      </c>
      <c r="D5832" s="1" t="s">
        <v>2002</v>
      </c>
      <c r="E5832" s="1">
        <v>104245</v>
      </c>
      <c r="F5832" s="6" t="s">
        <v>7834</v>
      </c>
      <c r="G5832" s="15" t="str">
        <f>VLOOKUP(A5832,Movie!A:D,4,FALSE)</f>
        <v>Warner Brothers</v>
      </c>
      <c r="H5832" s="14">
        <f>VLOOKUP(E5832,'Rental Transaction'!A:B,2,FALSE)</f>
        <v>992895</v>
      </c>
      <c r="I5832">
        <f t="shared" si="91"/>
        <v>2014</v>
      </c>
    </row>
    <row r="5833" spans="1:9">
      <c r="A5833" s="1">
        <v>10060</v>
      </c>
      <c r="B5833" s="1">
        <v>6</v>
      </c>
      <c r="C5833" s="2">
        <v>41822</v>
      </c>
      <c r="D5833" s="1" t="s">
        <v>2005</v>
      </c>
      <c r="E5833" s="1">
        <v>104247</v>
      </c>
      <c r="F5833" s="6" t="s">
        <v>7835</v>
      </c>
      <c r="G5833" s="15" t="str">
        <f>VLOOKUP(A5833,Movie!A:D,4,FALSE)</f>
        <v>Warner Brothers</v>
      </c>
      <c r="H5833" s="14">
        <f>VLOOKUP(E5833,'Rental Transaction'!A:B,2,FALSE)</f>
        <v>396166</v>
      </c>
      <c r="I5833">
        <f t="shared" si="91"/>
        <v>2014</v>
      </c>
    </row>
    <row r="5834" spans="1:9">
      <c r="A5834" s="1">
        <v>10250</v>
      </c>
      <c r="B5834" s="1">
        <v>5</v>
      </c>
      <c r="C5834" s="2">
        <v>41825</v>
      </c>
      <c r="D5834" s="1" t="s">
        <v>2002</v>
      </c>
      <c r="E5834" s="1">
        <v>104248</v>
      </c>
      <c r="F5834" s="6" t="s">
        <v>7836</v>
      </c>
      <c r="G5834" s="15" t="str">
        <f>VLOOKUP(A5834,Movie!A:D,4,FALSE)</f>
        <v>Buena Vista</v>
      </c>
      <c r="H5834" s="14">
        <f>VLOOKUP(E5834,'Rental Transaction'!A:B,2,FALSE)</f>
        <v>420981</v>
      </c>
      <c r="I5834">
        <f t="shared" si="91"/>
        <v>2014</v>
      </c>
    </row>
    <row r="5835" spans="1:9">
      <c r="A5835" s="1">
        <v>10192</v>
      </c>
      <c r="B5835" s="1">
        <v>4</v>
      </c>
      <c r="C5835" s="2">
        <v>41821</v>
      </c>
      <c r="D5835" s="1" t="s">
        <v>2005</v>
      </c>
      <c r="E5835" s="1">
        <v>104248</v>
      </c>
      <c r="F5835" s="6" t="s">
        <v>7837</v>
      </c>
      <c r="G5835" s="15" t="str">
        <f>VLOOKUP(A5835,Movie!A:D,4,FALSE)</f>
        <v>Universal</v>
      </c>
      <c r="H5835" s="14">
        <f>VLOOKUP(E5835,'Rental Transaction'!A:B,2,FALSE)</f>
        <v>420981</v>
      </c>
      <c r="I5835">
        <f t="shared" si="91"/>
        <v>2014</v>
      </c>
    </row>
    <row r="5836" spans="1:9">
      <c r="A5836" s="1">
        <v>10201</v>
      </c>
      <c r="B5836" s="1">
        <v>10</v>
      </c>
      <c r="C5836" s="2">
        <v>41822</v>
      </c>
      <c r="D5836" s="1" t="s">
        <v>2002</v>
      </c>
      <c r="E5836" s="1">
        <v>104249</v>
      </c>
      <c r="F5836" s="6" t="s">
        <v>7838</v>
      </c>
      <c r="G5836" s="15" t="str">
        <f>VLOOKUP(A5836,Movie!A:D,4,FALSE)</f>
        <v>Screen Gems</v>
      </c>
      <c r="H5836" s="14">
        <f>VLOOKUP(E5836,'Rental Transaction'!A:B,2,FALSE)</f>
        <v>380003</v>
      </c>
      <c r="I5836">
        <f t="shared" si="91"/>
        <v>2014</v>
      </c>
    </row>
    <row r="5837" spans="1:9">
      <c r="A5837" s="1">
        <v>10175</v>
      </c>
      <c r="B5837" s="1">
        <v>1</v>
      </c>
      <c r="C5837" s="2">
        <v>41822</v>
      </c>
      <c r="D5837" s="1" t="s">
        <v>2002</v>
      </c>
      <c r="E5837" s="1">
        <v>104249</v>
      </c>
      <c r="F5837" s="6" t="s">
        <v>7839</v>
      </c>
      <c r="G5837" s="15" t="str">
        <f>VLOOKUP(A5837,Movie!A:D,4,FALSE)</f>
        <v>Buena Vista</v>
      </c>
      <c r="H5837" s="14">
        <f>VLOOKUP(E5837,'Rental Transaction'!A:B,2,FALSE)</f>
        <v>380003</v>
      </c>
      <c r="I5837">
        <f t="shared" si="91"/>
        <v>2014</v>
      </c>
    </row>
    <row r="5838" spans="1:9">
      <c r="A5838" s="1">
        <v>10269</v>
      </c>
      <c r="B5838" s="1">
        <v>4</v>
      </c>
      <c r="C5838" s="2">
        <v>41821</v>
      </c>
      <c r="D5838" s="1" t="s">
        <v>2002</v>
      </c>
      <c r="E5838" s="1">
        <v>104251</v>
      </c>
      <c r="F5838" s="6" t="s">
        <v>7840</v>
      </c>
      <c r="G5838" s="15" t="str">
        <f>VLOOKUP(A5838,Movie!A:D,4,FALSE)</f>
        <v>Buena Vista</v>
      </c>
      <c r="H5838" s="14">
        <f>VLOOKUP(E5838,'Rental Transaction'!A:B,2,FALSE)</f>
        <v>796796</v>
      </c>
      <c r="I5838">
        <f t="shared" si="91"/>
        <v>2014</v>
      </c>
    </row>
    <row r="5839" spans="1:9" ht="29.25">
      <c r="A5839" s="1">
        <v>10121</v>
      </c>
      <c r="B5839" s="1">
        <v>4</v>
      </c>
      <c r="C5839" s="2">
        <v>41823</v>
      </c>
      <c r="D5839" s="1" t="s">
        <v>2002</v>
      </c>
      <c r="E5839" s="1">
        <v>104252</v>
      </c>
      <c r="F5839" s="6" t="s">
        <v>7841</v>
      </c>
      <c r="G5839" s="15" t="str">
        <f>VLOOKUP(A5839,Movie!A:D,4,FALSE)</f>
        <v>Weinstein Company</v>
      </c>
      <c r="H5839" s="14">
        <f>VLOOKUP(E5839,'Rental Transaction'!A:B,2,FALSE)</f>
        <v>393893</v>
      </c>
      <c r="I5839">
        <f t="shared" si="91"/>
        <v>2014</v>
      </c>
    </row>
    <row r="5840" spans="1:9">
      <c r="A5840" s="1">
        <v>10297</v>
      </c>
      <c r="B5840" s="1">
        <v>1</v>
      </c>
      <c r="C5840" s="2">
        <v>41822</v>
      </c>
      <c r="D5840" s="1" t="s">
        <v>2002</v>
      </c>
      <c r="E5840" s="1">
        <v>104252</v>
      </c>
      <c r="F5840" s="6" t="s">
        <v>7842</v>
      </c>
      <c r="G5840" s="15" t="str">
        <f>VLOOKUP(A5840,Movie!A:D,4,FALSE)</f>
        <v>Focus</v>
      </c>
      <c r="H5840" s="14">
        <f>VLOOKUP(E5840,'Rental Transaction'!A:B,2,FALSE)</f>
        <v>393893</v>
      </c>
      <c r="I5840">
        <f t="shared" si="91"/>
        <v>2014</v>
      </c>
    </row>
    <row r="5841" spans="1:9">
      <c r="A5841" s="1">
        <v>10138</v>
      </c>
      <c r="B5841" s="1">
        <v>5</v>
      </c>
      <c r="C5841" s="2">
        <v>41823</v>
      </c>
      <c r="D5841" s="1" t="s">
        <v>2002</v>
      </c>
      <c r="E5841" s="1">
        <v>104253</v>
      </c>
      <c r="F5841" s="6" t="s">
        <v>7843</v>
      </c>
      <c r="G5841" s="15" t="str">
        <f>VLOOKUP(A5841,Movie!A:D,4,FALSE)</f>
        <v>Universal</v>
      </c>
      <c r="H5841" s="14">
        <f>VLOOKUP(E5841,'Rental Transaction'!A:B,2,FALSE)</f>
        <v>667170</v>
      </c>
      <c r="I5841">
        <f t="shared" si="91"/>
        <v>2014</v>
      </c>
    </row>
    <row r="5842" spans="1:9">
      <c r="A5842" s="1">
        <v>10217</v>
      </c>
      <c r="B5842" s="1">
        <v>8</v>
      </c>
      <c r="C5842" s="2">
        <v>41822</v>
      </c>
      <c r="D5842" s="1" t="s">
        <v>2002</v>
      </c>
      <c r="E5842" s="1">
        <v>104254</v>
      </c>
      <c r="F5842" s="6" t="s">
        <v>7844</v>
      </c>
      <c r="G5842" s="15" t="str">
        <f>VLOOKUP(A5842,Movie!A:D,4,FALSE)</f>
        <v>Warner Brothers</v>
      </c>
      <c r="H5842" s="14">
        <f>VLOOKUP(E5842,'Rental Transaction'!A:B,2,FALSE)</f>
        <v>112690</v>
      </c>
      <c r="I5842">
        <f t="shared" si="91"/>
        <v>2014</v>
      </c>
    </row>
    <row r="5843" spans="1:9">
      <c r="A5843" s="1">
        <v>10152</v>
      </c>
      <c r="B5843" s="1">
        <v>9</v>
      </c>
      <c r="C5843" s="2">
        <v>41822</v>
      </c>
      <c r="D5843" s="1" t="s">
        <v>2002</v>
      </c>
      <c r="E5843" s="1">
        <v>104257</v>
      </c>
      <c r="F5843" s="6" t="s">
        <v>7845</v>
      </c>
      <c r="G5843" s="15" t="str">
        <f>VLOOKUP(A5843,Movie!A:D,4,FALSE)</f>
        <v>FilmDistrict</v>
      </c>
      <c r="H5843" s="14">
        <f>VLOOKUP(E5843,'Rental Transaction'!A:B,2,FALSE)</f>
        <v>996970</v>
      </c>
      <c r="I5843">
        <f t="shared" si="91"/>
        <v>2014</v>
      </c>
    </row>
    <row r="5844" spans="1:9" ht="29.25">
      <c r="A5844" s="1">
        <v>10396</v>
      </c>
      <c r="B5844" s="1">
        <v>2</v>
      </c>
      <c r="C5844" s="2">
        <v>41823</v>
      </c>
      <c r="D5844" s="1" t="s">
        <v>2002</v>
      </c>
      <c r="E5844" s="1">
        <v>104259</v>
      </c>
      <c r="F5844" s="6" t="s">
        <v>7846</v>
      </c>
      <c r="G5844" s="15" t="str">
        <f>VLOOKUP(A5844,Movie!A:D,4,FALSE)</f>
        <v>Sony Pictures Classics</v>
      </c>
      <c r="H5844" s="14">
        <f>VLOOKUP(E5844,'Rental Transaction'!A:B,2,FALSE)</f>
        <v>728908</v>
      </c>
      <c r="I5844">
        <f t="shared" si="91"/>
        <v>2014</v>
      </c>
    </row>
    <row r="5845" spans="1:9">
      <c r="A5845" s="1">
        <v>10223</v>
      </c>
      <c r="B5845" s="1">
        <v>8</v>
      </c>
      <c r="C5845" s="2">
        <v>41823</v>
      </c>
      <c r="D5845" s="1" t="s">
        <v>2002</v>
      </c>
      <c r="E5845" s="1">
        <v>104260</v>
      </c>
      <c r="F5845" s="6" t="s">
        <v>7847</v>
      </c>
      <c r="G5845" s="15" t="str">
        <f>VLOOKUP(A5845,Movie!A:D,4,FALSE)</f>
        <v>Universal</v>
      </c>
      <c r="H5845" s="14">
        <f>VLOOKUP(E5845,'Rental Transaction'!A:B,2,FALSE)</f>
        <v>840096</v>
      </c>
      <c r="I5845">
        <f t="shared" si="91"/>
        <v>2014</v>
      </c>
    </row>
    <row r="5846" spans="1:9">
      <c r="A5846" s="1">
        <v>10263</v>
      </c>
      <c r="B5846" s="1">
        <v>9</v>
      </c>
      <c r="C5846" s="2">
        <v>41826</v>
      </c>
      <c r="D5846" s="1" t="s">
        <v>2002</v>
      </c>
      <c r="E5846" s="1">
        <v>104261</v>
      </c>
      <c r="F5846" s="6" t="s">
        <v>7848</v>
      </c>
      <c r="G5846" s="15" t="str">
        <f>VLOOKUP(A5846,Movie!A:D,4,FALSE)</f>
        <v>Fox</v>
      </c>
      <c r="H5846" s="14">
        <f>VLOOKUP(E5846,'Rental Transaction'!A:B,2,FALSE)</f>
        <v>412544</v>
      </c>
      <c r="I5846">
        <f t="shared" si="91"/>
        <v>2014</v>
      </c>
    </row>
    <row r="5847" spans="1:9">
      <c r="A5847" s="1">
        <v>10250</v>
      </c>
      <c r="B5847" s="1">
        <v>2</v>
      </c>
      <c r="C5847" s="2">
        <v>41825</v>
      </c>
      <c r="D5847" s="1" t="s">
        <v>2002</v>
      </c>
      <c r="E5847" s="1">
        <v>104263</v>
      </c>
      <c r="F5847" s="6" t="s">
        <v>7849</v>
      </c>
      <c r="G5847" s="15" t="str">
        <f>VLOOKUP(A5847,Movie!A:D,4,FALSE)</f>
        <v>Buena Vista</v>
      </c>
      <c r="H5847" s="14">
        <f>VLOOKUP(E5847,'Rental Transaction'!A:B,2,FALSE)</f>
        <v>734514</v>
      </c>
      <c r="I5847">
        <f t="shared" si="91"/>
        <v>2014</v>
      </c>
    </row>
    <row r="5848" spans="1:9">
      <c r="A5848" s="1">
        <v>10274</v>
      </c>
      <c r="B5848" s="1">
        <v>2</v>
      </c>
      <c r="C5848" s="2">
        <v>41827</v>
      </c>
      <c r="D5848" s="1" t="s">
        <v>2002</v>
      </c>
      <c r="E5848" s="1">
        <v>104264</v>
      </c>
      <c r="F5848" s="6" t="s">
        <v>7850</v>
      </c>
      <c r="G5848" s="15" t="str">
        <f>VLOOKUP(A5848,Movie!A:D,4,FALSE)</f>
        <v>Fox</v>
      </c>
      <c r="H5848" s="14">
        <f>VLOOKUP(E5848,'Rental Transaction'!A:B,2,FALSE)</f>
        <v>612681</v>
      </c>
      <c r="I5848">
        <f t="shared" si="91"/>
        <v>2014</v>
      </c>
    </row>
    <row r="5849" spans="1:9">
      <c r="A5849" s="1">
        <v>10240</v>
      </c>
      <c r="B5849" s="1">
        <v>6</v>
      </c>
      <c r="C5849" s="2">
        <v>41823</v>
      </c>
      <c r="D5849" s="1" t="s">
        <v>2002</v>
      </c>
      <c r="E5849" s="1">
        <v>104264</v>
      </c>
      <c r="F5849" s="6" t="s">
        <v>7851</v>
      </c>
      <c r="G5849" s="15" t="str">
        <f>VLOOKUP(A5849,Movie!A:D,4,FALSE)</f>
        <v>Warner Brothers</v>
      </c>
      <c r="H5849" s="14">
        <f>VLOOKUP(E5849,'Rental Transaction'!A:B,2,FALSE)</f>
        <v>612681</v>
      </c>
      <c r="I5849">
        <f t="shared" si="91"/>
        <v>2014</v>
      </c>
    </row>
    <row r="5850" spans="1:9" ht="29.25">
      <c r="A5850" s="1">
        <v>10140</v>
      </c>
      <c r="B5850" s="1">
        <v>2</v>
      </c>
      <c r="C5850" s="2">
        <v>41824</v>
      </c>
      <c r="D5850" s="1" t="s">
        <v>2002</v>
      </c>
      <c r="E5850" s="1">
        <v>104265</v>
      </c>
      <c r="F5850" s="6" t="s">
        <v>7852</v>
      </c>
      <c r="G5850" s="15" t="str">
        <f>VLOOKUP(A5850,Movie!A:D,4,FALSE)</f>
        <v>Weinstein Company</v>
      </c>
      <c r="H5850" s="14">
        <f>VLOOKUP(E5850,'Rental Transaction'!A:B,2,FALSE)</f>
        <v>556619</v>
      </c>
      <c r="I5850">
        <f t="shared" si="91"/>
        <v>2014</v>
      </c>
    </row>
    <row r="5851" spans="1:9">
      <c r="A5851" s="1">
        <v>10200</v>
      </c>
      <c r="B5851" s="1">
        <v>4</v>
      </c>
      <c r="C5851" s="2">
        <v>41825</v>
      </c>
      <c r="D5851" s="1" t="s">
        <v>2005</v>
      </c>
      <c r="E5851" s="1">
        <v>104266</v>
      </c>
      <c r="F5851" s="6" t="s">
        <v>7853</v>
      </c>
      <c r="G5851" s="15" t="str">
        <f>VLOOKUP(A5851,Movie!A:D,4,FALSE)</f>
        <v>Fox</v>
      </c>
      <c r="H5851" s="14">
        <f>VLOOKUP(E5851,'Rental Transaction'!A:B,2,FALSE)</f>
        <v>566192</v>
      </c>
      <c r="I5851">
        <f t="shared" si="91"/>
        <v>2014</v>
      </c>
    </row>
    <row r="5852" spans="1:9">
      <c r="A5852" s="1">
        <v>10282</v>
      </c>
      <c r="B5852" s="1">
        <v>1</v>
      </c>
      <c r="C5852" s="2">
        <v>41823</v>
      </c>
      <c r="D5852" s="1" t="s">
        <v>2002</v>
      </c>
      <c r="E5852" s="1">
        <v>104266</v>
      </c>
      <c r="F5852" s="6" t="s">
        <v>7854</v>
      </c>
      <c r="G5852" s="15" t="str">
        <f>VLOOKUP(A5852,Movie!A:D,4,FALSE)</f>
        <v>Sony Classics</v>
      </c>
      <c r="H5852" s="14">
        <f>VLOOKUP(E5852,'Rental Transaction'!A:B,2,FALSE)</f>
        <v>566192</v>
      </c>
      <c r="I5852">
        <f t="shared" si="91"/>
        <v>2014</v>
      </c>
    </row>
    <row r="5853" spans="1:9">
      <c r="A5853" s="1">
        <v>10166</v>
      </c>
      <c r="B5853" s="1">
        <v>7</v>
      </c>
      <c r="C5853" s="2">
        <v>41824</v>
      </c>
      <c r="D5853" s="1" t="s">
        <v>2002</v>
      </c>
      <c r="E5853" s="1">
        <v>104267</v>
      </c>
      <c r="F5853" s="6" t="s">
        <v>7855</v>
      </c>
      <c r="G5853" s="15" t="str">
        <f>VLOOKUP(A5853,Movie!A:D,4,FALSE)</f>
        <v>Fox</v>
      </c>
      <c r="H5853" s="14">
        <f>VLOOKUP(E5853,'Rental Transaction'!A:B,2,FALSE)</f>
        <v>404678</v>
      </c>
      <c r="I5853">
        <f t="shared" si="91"/>
        <v>2014</v>
      </c>
    </row>
    <row r="5854" spans="1:9">
      <c r="A5854" s="1">
        <v>10193</v>
      </c>
      <c r="B5854" s="1">
        <v>2</v>
      </c>
      <c r="C5854" s="2">
        <v>41824</v>
      </c>
      <c r="D5854" s="1" t="s">
        <v>2002</v>
      </c>
      <c r="E5854" s="1">
        <v>104267</v>
      </c>
      <c r="F5854" s="6" t="s">
        <v>7856</v>
      </c>
      <c r="G5854" s="15" t="str">
        <f>VLOOKUP(A5854,Movie!A:D,4,FALSE)</f>
        <v>Fox</v>
      </c>
      <c r="H5854" s="14">
        <f>VLOOKUP(E5854,'Rental Transaction'!A:B,2,FALSE)</f>
        <v>404678</v>
      </c>
      <c r="I5854">
        <f t="shared" si="91"/>
        <v>2014</v>
      </c>
    </row>
    <row r="5855" spans="1:9">
      <c r="A5855" s="1">
        <v>10241</v>
      </c>
      <c r="B5855" s="1">
        <v>2</v>
      </c>
      <c r="C5855" s="2">
        <v>41824</v>
      </c>
      <c r="D5855" s="1" t="s">
        <v>2002</v>
      </c>
      <c r="E5855" s="1">
        <v>104269</v>
      </c>
      <c r="F5855" s="6" t="s">
        <v>7857</v>
      </c>
      <c r="G5855" s="15" t="str">
        <f>VLOOKUP(A5855,Movie!A:D,4,FALSE)</f>
        <v>Warner Brothers</v>
      </c>
      <c r="H5855" s="14">
        <f>VLOOKUP(E5855,'Rental Transaction'!A:B,2,FALSE)</f>
        <v>908328</v>
      </c>
      <c r="I5855">
        <f t="shared" si="91"/>
        <v>2014</v>
      </c>
    </row>
    <row r="5856" spans="1:9">
      <c r="A5856" s="1">
        <v>10250</v>
      </c>
      <c r="B5856" s="1">
        <v>2</v>
      </c>
      <c r="C5856" s="2">
        <v>41826</v>
      </c>
      <c r="D5856" s="1" t="s">
        <v>2002</v>
      </c>
      <c r="E5856" s="1">
        <v>104271</v>
      </c>
      <c r="F5856" s="6" t="s">
        <v>7858</v>
      </c>
      <c r="G5856" s="15" t="str">
        <f>VLOOKUP(A5856,Movie!A:D,4,FALSE)</f>
        <v>Buena Vista</v>
      </c>
      <c r="H5856" s="14">
        <f>VLOOKUP(E5856,'Rental Transaction'!A:B,2,FALSE)</f>
        <v>756928</v>
      </c>
      <c r="I5856">
        <f t="shared" si="91"/>
        <v>2014</v>
      </c>
    </row>
    <row r="5857" spans="1:9" ht="29.25">
      <c r="A5857" s="1">
        <v>10239</v>
      </c>
      <c r="B5857" s="1">
        <v>2</v>
      </c>
      <c r="C5857" s="2">
        <v>41825</v>
      </c>
      <c r="D5857" s="1" t="s">
        <v>2002</v>
      </c>
      <c r="E5857" s="1">
        <v>104275</v>
      </c>
      <c r="F5857" s="6" t="s">
        <v>7859</v>
      </c>
      <c r="G5857" s="15" t="str">
        <f>VLOOKUP(A5857,Movie!A:D,4,FALSE)</f>
        <v>Weinstein Company</v>
      </c>
      <c r="H5857" s="14">
        <f>VLOOKUP(E5857,'Rental Transaction'!A:B,2,FALSE)</f>
        <v>494106</v>
      </c>
      <c r="I5857">
        <f t="shared" si="91"/>
        <v>2014</v>
      </c>
    </row>
    <row r="5858" spans="1:9">
      <c r="A5858" s="1">
        <v>10230</v>
      </c>
      <c r="B5858" s="1">
        <v>10</v>
      </c>
      <c r="C5858" s="2">
        <v>41825</v>
      </c>
      <c r="D5858" s="1" t="s">
        <v>2005</v>
      </c>
      <c r="E5858" s="1">
        <v>104276</v>
      </c>
      <c r="F5858" s="6" t="s">
        <v>7860</v>
      </c>
      <c r="G5858" s="15" t="str">
        <f>VLOOKUP(A5858,Movie!A:D,4,FALSE)</f>
        <v>Focus</v>
      </c>
      <c r="H5858" s="14">
        <f>VLOOKUP(E5858,'Rental Transaction'!A:B,2,FALSE)</f>
        <v>921792</v>
      </c>
      <c r="I5858">
        <f t="shared" si="91"/>
        <v>2014</v>
      </c>
    </row>
    <row r="5859" spans="1:9">
      <c r="A5859" s="1">
        <v>10289</v>
      </c>
      <c r="B5859" s="1">
        <v>2</v>
      </c>
      <c r="C5859" s="2">
        <v>41825</v>
      </c>
      <c r="D5859" s="1" t="s">
        <v>2005</v>
      </c>
      <c r="E5859" s="1">
        <v>104276</v>
      </c>
      <c r="F5859" s="6" t="s">
        <v>7861</v>
      </c>
      <c r="G5859" s="15" t="str">
        <f>VLOOKUP(A5859,Movie!A:D,4,FALSE)</f>
        <v>Open Road Films</v>
      </c>
      <c r="H5859" s="14">
        <f>VLOOKUP(E5859,'Rental Transaction'!A:B,2,FALSE)</f>
        <v>921792</v>
      </c>
      <c r="I5859">
        <f t="shared" si="91"/>
        <v>2014</v>
      </c>
    </row>
    <row r="5860" spans="1:9">
      <c r="A5860" s="1">
        <v>10127</v>
      </c>
      <c r="B5860" s="1">
        <v>5</v>
      </c>
      <c r="C5860" s="2">
        <v>41829</v>
      </c>
      <c r="D5860" s="1" t="s">
        <v>2002</v>
      </c>
      <c r="E5860" s="1">
        <v>104277</v>
      </c>
      <c r="F5860" s="6" t="s">
        <v>7862</v>
      </c>
      <c r="G5860" s="15" t="str">
        <f>VLOOKUP(A5860,Movie!A:D,4,FALSE)</f>
        <v>TriStar</v>
      </c>
      <c r="H5860" s="14">
        <f>VLOOKUP(E5860,'Rental Transaction'!A:B,2,FALSE)</f>
        <v>385115</v>
      </c>
      <c r="I5860">
        <f t="shared" si="91"/>
        <v>2014</v>
      </c>
    </row>
    <row r="5861" spans="1:9">
      <c r="A5861" s="1">
        <v>10149</v>
      </c>
      <c r="B5861" s="1">
        <v>8</v>
      </c>
      <c r="C5861" s="2">
        <v>41828</v>
      </c>
      <c r="D5861" s="1" t="s">
        <v>2002</v>
      </c>
      <c r="E5861" s="1">
        <v>104278</v>
      </c>
      <c r="F5861" s="6" t="s">
        <v>7863</v>
      </c>
      <c r="G5861" s="15" t="str">
        <f>VLOOKUP(A5861,Movie!A:D,4,FALSE)</f>
        <v>Relativity</v>
      </c>
      <c r="H5861" s="14">
        <f>VLOOKUP(E5861,'Rental Transaction'!A:B,2,FALSE)</f>
        <v>432268</v>
      </c>
      <c r="I5861">
        <f t="shared" si="91"/>
        <v>2014</v>
      </c>
    </row>
    <row r="5862" spans="1:9">
      <c r="A5862" s="1">
        <v>10148</v>
      </c>
      <c r="B5862" s="1">
        <v>6</v>
      </c>
      <c r="C5862" s="2">
        <v>41825</v>
      </c>
      <c r="D5862" s="1" t="s">
        <v>2002</v>
      </c>
      <c r="E5862" s="1">
        <v>104279</v>
      </c>
      <c r="F5862" s="6" t="s">
        <v>7864</v>
      </c>
      <c r="G5862" s="15" t="str">
        <f>VLOOKUP(A5862,Movie!A:D,4,FALSE)</f>
        <v>Paramount</v>
      </c>
      <c r="H5862" s="14">
        <f>VLOOKUP(E5862,'Rental Transaction'!A:B,2,FALSE)</f>
        <v>559486</v>
      </c>
      <c r="I5862">
        <f t="shared" si="91"/>
        <v>2014</v>
      </c>
    </row>
    <row r="5863" spans="1:9">
      <c r="A5863" s="1">
        <v>10286</v>
      </c>
      <c r="B5863" s="1">
        <v>7</v>
      </c>
      <c r="C5863" s="2">
        <v>41826</v>
      </c>
      <c r="D5863" s="1" t="s">
        <v>2002</v>
      </c>
      <c r="E5863" s="1">
        <v>104279</v>
      </c>
      <c r="F5863" s="6" t="s">
        <v>7865</v>
      </c>
      <c r="G5863" s="15" t="str">
        <f>VLOOKUP(A5863,Movie!A:D,4,FALSE)</f>
        <v>Fox Searchlight</v>
      </c>
      <c r="H5863" s="14">
        <f>VLOOKUP(E5863,'Rental Transaction'!A:B,2,FALSE)</f>
        <v>559486</v>
      </c>
      <c r="I5863">
        <f t="shared" si="91"/>
        <v>2014</v>
      </c>
    </row>
    <row r="5864" spans="1:9">
      <c r="A5864" s="1">
        <v>10143</v>
      </c>
      <c r="B5864" s="1">
        <v>7</v>
      </c>
      <c r="C5864" s="2">
        <v>41825</v>
      </c>
      <c r="D5864" s="1" t="s">
        <v>2002</v>
      </c>
      <c r="E5864" s="1">
        <v>104281</v>
      </c>
      <c r="F5864" s="6" t="s">
        <v>7866</v>
      </c>
      <c r="G5864" s="15" t="str">
        <f>VLOOKUP(A5864,Movie!A:D,4,FALSE)</f>
        <v>Buena Vista</v>
      </c>
      <c r="H5864" s="14">
        <f>VLOOKUP(E5864,'Rental Transaction'!A:B,2,FALSE)</f>
        <v>249779</v>
      </c>
      <c r="I5864">
        <f t="shared" si="91"/>
        <v>2014</v>
      </c>
    </row>
    <row r="5865" spans="1:9">
      <c r="A5865" s="1">
        <v>10291</v>
      </c>
      <c r="B5865" s="1">
        <v>6</v>
      </c>
      <c r="C5865" s="2">
        <v>41828</v>
      </c>
      <c r="D5865" s="1" t="s">
        <v>2002</v>
      </c>
      <c r="E5865" s="1">
        <v>104282</v>
      </c>
      <c r="F5865" s="6" t="s">
        <v>7867</v>
      </c>
      <c r="G5865" s="15" t="str">
        <f>VLOOKUP(A5865,Movie!A:D,4,FALSE)</f>
        <v>Warner Brothers</v>
      </c>
      <c r="H5865" s="14">
        <f>VLOOKUP(E5865,'Rental Transaction'!A:B,2,FALSE)</f>
        <v>890497</v>
      </c>
      <c r="I5865">
        <f t="shared" si="91"/>
        <v>2014</v>
      </c>
    </row>
    <row r="5866" spans="1:9">
      <c r="A5866" s="1">
        <v>10216</v>
      </c>
      <c r="B5866" s="1">
        <v>5</v>
      </c>
      <c r="C5866" s="2">
        <v>41827</v>
      </c>
      <c r="D5866" s="1" t="s">
        <v>2002</v>
      </c>
      <c r="E5866" s="1">
        <v>104282</v>
      </c>
      <c r="F5866" s="6" t="s">
        <v>7868</v>
      </c>
      <c r="G5866" s="15" t="str">
        <f>VLOOKUP(A5866,Movie!A:D,4,FALSE)</f>
        <v>Sony</v>
      </c>
      <c r="H5866" s="14">
        <f>VLOOKUP(E5866,'Rental Transaction'!A:B,2,FALSE)</f>
        <v>890497</v>
      </c>
      <c r="I5866">
        <f t="shared" si="91"/>
        <v>2014</v>
      </c>
    </row>
    <row r="5867" spans="1:9">
      <c r="A5867" s="1">
        <v>10289</v>
      </c>
      <c r="B5867" s="1">
        <v>6</v>
      </c>
      <c r="C5867" s="2">
        <v>41826</v>
      </c>
      <c r="D5867" s="1" t="s">
        <v>2002</v>
      </c>
      <c r="E5867" s="1">
        <v>104282</v>
      </c>
      <c r="F5867" s="6" t="s">
        <v>7869</v>
      </c>
      <c r="G5867" s="15" t="str">
        <f>VLOOKUP(A5867,Movie!A:D,4,FALSE)</f>
        <v>Open Road Films</v>
      </c>
      <c r="H5867" s="14">
        <f>VLOOKUP(E5867,'Rental Transaction'!A:B,2,FALSE)</f>
        <v>890497</v>
      </c>
      <c r="I5867">
        <f t="shared" si="91"/>
        <v>2014</v>
      </c>
    </row>
    <row r="5868" spans="1:9">
      <c r="A5868" s="1">
        <v>10238</v>
      </c>
      <c r="B5868" s="1">
        <v>8</v>
      </c>
      <c r="C5868" s="2">
        <v>41827</v>
      </c>
      <c r="D5868" s="1" t="s">
        <v>2002</v>
      </c>
      <c r="E5868" s="1">
        <v>104283</v>
      </c>
      <c r="F5868" s="6" t="s">
        <v>7870</v>
      </c>
      <c r="G5868" s="15" t="str">
        <f>VLOOKUP(A5868,Movie!A:D,4,FALSE)</f>
        <v>Warner Brothers</v>
      </c>
      <c r="H5868" s="14">
        <f>VLOOKUP(E5868,'Rental Transaction'!A:B,2,FALSE)</f>
        <v>111991</v>
      </c>
      <c r="I5868">
        <f t="shared" si="91"/>
        <v>2014</v>
      </c>
    </row>
    <row r="5869" spans="1:9">
      <c r="A5869" s="1">
        <v>10160</v>
      </c>
      <c r="B5869" s="1">
        <v>2</v>
      </c>
      <c r="C5869" s="2">
        <v>41827</v>
      </c>
      <c r="D5869" s="1" t="s">
        <v>2002</v>
      </c>
      <c r="E5869" s="1">
        <v>104283</v>
      </c>
      <c r="F5869" s="6" t="s">
        <v>7871</v>
      </c>
      <c r="G5869" s="15" t="str">
        <f>VLOOKUP(A5869,Movie!A:D,4,FALSE)</f>
        <v>Lionsgate</v>
      </c>
      <c r="H5869" s="14">
        <f>VLOOKUP(E5869,'Rental Transaction'!A:B,2,FALSE)</f>
        <v>111991</v>
      </c>
      <c r="I5869">
        <f t="shared" si="91"/>
        <v>2014</v>
      </c>
    </row>
    <row r="5870" spans="1:9">
      <c r="A5870" s="1">
        <v>10270</v>
      </c>
      <c r="B5870" s="1">
        <v>4</v>
      </c>
      <c r="C5870" s="2">
        <v>41826</v>
      </c>
      <c r="D5870" s="1" t="s">
        <v>2005</v>
      </c>
      <c r="E5870" s="1">
        <v>104284</v>
      </c>
      <c r="F5870" s="6" t="s">
        <v>7872</v>
      </c>
      <c r="G5870" s="15" t="str">
        <f>VLOOKUP(A5870,Movie!A:D,4,FALSE)</f>
        <v>Fox</v>
      </c>
      <c r="H5870" s="14">
        <f>VLOOKUP(E5870,'Rental Transaction'!A:B,2,FALSE)</f>
        <v>266633</v>
      </c>
      <c r="I5870">
        <f t="shared" si="91"/>
        <v>2014</v>
      </c>
    </row>
    <row r="5871" spans="1:9">
      <c r="A5871" s="1">
        <v>10211</v>
      </c>
      <c r="B5871" s="1">
        <v>2</v>
      </c>
      <c r="C5871" s="2">
        <v>41827</v>
      </c>
      <c r="D5871" s="1" t="s">
        <v>2005</v>
      </c>
      <c r="E5871" s="1">
        <v>104285</v>
      </c>
      <c r="F5871" s="6" t="s">
        <v>7873</v>
      </c>
      <c r="G5871" s="15" t="str">
        <f>VLOOKUP(A5871,Movie!A:D,4,FALSE)</f>
        <v>Buena Vista</v>
      </c>
      <c r="H5871" s="14">
        <f>VLOOKUP(E5871,'Rental Transaction'!A:B,2,FALSE)</f>
        <v>707458</v>
      </c>
      <c r="I5871">
        <f t="shared" si="91"/>
        <v>2014</v>
      </c>
    </row>
    <row r="5872" spans="1:9">
      <c r="A5872" s="1">
        <v>10217</v>
      </c>
      <c r="B5872" s="1">
        <v>9</v>
      </c>
      <c r="C5872" s="2">
        <v>41826</v>
      </c>
      <c r="D5872" s="1" t="s">
        <v>2002</v>
      </c>
      <c r="E5872" s="1">
        <v>104285</v>
      </c>
      <c r="F5872" s="6" t="s">
        <v>7874</v>
      </c>
      <c r="G5872" s="15" t="str">
        <f>VLOOKUP(A5872,Movie!A:D,4,FALSE)</f>
        <v>Warner Brothers</v>
      </c>
      <c r="H5872" s="14">
        <f>VLOOKUP(E5872,'Rental Transaction'!A:B,2,FALSE)</f>
        <v>707458</v>
      </c>
      <c r="I5872">
        <f t="shared" si="91"/>
        <v>2014</v>
      </c>
    </row>
    <row r="5873" spans="1:9">
      <c r="A5873" s="1">
        <v>10215</v>
      </c>
      <c r="B5873" s="1">
        <v>6</v>
      </c>
      <c r="C5873" s="2">
        <v>41826</v>
      </c>
      <c r="D5873" s="1" t="s">
        <v>2005</v>
      </c>
      <c r="E5873" s="1">
        <v>104287</v>
      </c>
      <c r="F5873" s="6" t="s">
        <v>7875</v>
      </c>
      <c r="G5873" s="15" t="str">
        <f>VLOOKUP(A5873,Movie!A:D,4,FALSE)</f>
        <v>Paramount</v>
      </c>
      <c r="H5873" s="14">
        <f>VLOOKUP(E5873,'Rental Transaction'!A:B,2,FALSE)</f>
        <v>170500</v>
      </c>
      <c r="I5873">
        <f t="shared" si="91"/>
        <v>2014</v>
      </c>
    </row>
    <row r="5874" spans="1:9">
      <c r="A5874" s="1">
        <v>10354</v>
      </c>
      <c r="B5874" s="1">
        <v>2</v>
      </c>
      <c r="C5874" s="2">
        <v>41826</v>
      </c>
      <c r="D5874" s="1" t="s">
        <v>2002</v>
      </c>
      <c r="E5874" s="1">
        <v>104288</v>
      </c>
      <c r="F5874" s="6" t="s">
        <v>7876</v>
      </c>
      <c r="G5874" s="15" t="str">
        <f>VLOOKUP(A5874,Movie!A:D,4,FALSE)</f>
        <v>Buena Vista</v>
      </c>
      <c r="H5874" s="14">
        <f>VLOOKUP(E5874,'Rental Transaction'!A:B,2,FALSE)</f>
        <v>977759</v>
      </c>
      <c r="I5874">
        <f t="shared" si="91"/>
        <v>2014</v>
      </c>
    </row>
    <row r="5875" spans="1:9">
      <c r="A5875" s="1">
        <v>10237</v>
      </c>
      <c r="B5875" s="1">
        <v>9</v>
      </c>
      <c r="C5875" s="2">
        <v>41828</v>
      </c>
      <c r="D5875" s="1" t="s">
        <v>2002</v>
      </c>
      <c r="E5875" s="1">
        <v>104288</v>
      </c>
      <c r="F5875" s="6" t="s">
        <v>7877</v>
      </c>
      <c r="G5875" s="15" t="str">
        <f>VLOOKUP(A5875,Movie!A:D,4,FALSE)</f>
        <v>Warner Brothers</v>
      </c>
      <c r="H5875" s="14">
        <f>VLOOKUP(E5875,'Rental Transaction'!A:B,2,FALSE)</f>
        <v>977759</v>
      </c>
      <c r="I5875">
        <f t="shared" si="91"/>
        <v>2014</v>
      </c>
    </row>
    <row r="5876" spans="1:9">
      <c r="A5876" s="1">
        <v>10082</v>
      </c>
      <c r="B5876" s="1">
        <v>5</v>
      </c>
      <c r="C5876" s="2">
        <v>41828</v>
      </c>
      <c r="D5876" s="1" t="s">
        <v>2005</v>
      </c>
      <c r="E5876" s="1">
        <v>104294</v>
      </c>
      <c r="F5876" s="6" t="s">
        <v>7878</v>
      </c>
      <c r="G5876" s="15" t="str">
        <f>VLOOKUP(A5876,Movie!A:D,4,FALSE)</f>
        <v>Buena Vista</v>
      </c>
      <c r="H5876" s="14">
        <f>VLOOKUP(E5876,'Rental Transaction'!A:B,2,FALSE)</f>
        <v>739440</v>
      </c>
      <c r="I5876">
        <f t="shared" si="91"/>
        <v>2014</v>
      </c>
    </row>
    <row r="5877" spans="1:9">
      <c r="A5877" s="1">
        <v>10280</v>
      </c>
      <c r="B5877" s="1">
        <v>6</v>
      </c>
      <c r="C5877" s="2">
        <v>41827</v>
      </c>
      <c r="D5877" s="1" t="s">
        <v>2002</v>
      </c>
      <c r="E5877" s="1">
        <v>104296</v>
      </c>
      <c r="F5877" s="6" t="s">
        <v>7879</v>
      </c>
      <c r="G5877" s="15" t="str">
        <f>VLOOKUP(A5877,Movie!A:D,4,FALSE)</f>
        <v>Universal</v>
      </c>
      <c r="H5877" s="14">
        <f>VLOOKUP(E5877,'Rental Transaction'!A:B,2,FALSE)</f>
        <v>233956</v>
      </c>
      <c r="I5877">
        <f t="shared" si="91"/>
        <v>2014</v>
      </c>
    </row>
    <row r="5878" spans="1:9">
      <c r="A5878" s="1">
        <v>10158</v>
      </c>
      <c r="B5878" s="1">
        <v>7</v>
      </c>
      <c r="C5878" s="2">
        <v>41828</v>
      </c>
      <c r="D5878" s="1" t="s">
        <v>2002</v>
      </c>
      <c r="E5878" s="1">
        <v>104298</v>
      </c>
      <c r="F5878" s="6" t="s">
        <v>7880</v>
      </c>
      <c r="G5878" s="15" t="str">
        <f>VLOOKUP(A5878,Movie!A:D,4,FALSE)</f>
        <v>Warner Brothers</v>
      </c>
      <c r="H5878" s="14">
        <f>VLOOKUP(E5878,'Rental Transaction'!A:B,2,FALSE)</f>
        <v>296886</v>
      </c>
      <c r="I5878">
        <f t="shared" si="91"/>
        <v>2014</v>
      </c>
    </row>
    <row r="5879" spans="1:9">
      <c r="A5879" s="1">
        <v>10148</v>
      </c>
      <c r="B5879" s="1">
        <v>10</v>
      </c>
      <c r="C5879" s="2">
        <v>41830</v>
      </c>
      <c r="D5879" s="1" t="s">
        <v>2005</v>
      </c>
      <c r="E5879" s="1">
        <v>104302</v>
      </c>
      <c r="F5879" s="6" t="s">
        <v>7881</v>
      </c>
      <c r="G5879" s="15" t="str">
        <f>VLOOKUP(A5879,Movie!A:D,4,FALSE)</f>
        <v>Paramount</v>
      </c>
      <c r="H5879" s="14">
        <f>VLOOKUP(E5879,'Rental Transaction'!A:B,2,FALSE)</f>
        <v>491380</v>
      </c>
      <c r="I5879">
        <f t="shared" si="91"/>
        <v>2014</v>
      </c>
    </row>
    <row r="5880" spans="1:9">
      <c r="A5880" s="1">
        <v>10245</v>
      </c>
      <c r="B5880" s="1">
        <v>7</v>
      </c>
      <c r="C5880" s="2">
        <v>41828</v>
      </c>
      <c r="D5880" s="1" t="s">
        <v>2005</v>
      </c>
      <c r="E5880" s="1">
        <v>104303</v>
      </c>
      <c r="F5880" s="6" t="s">
        <v>7882</v>
      </c>
      <c r="G5880" s="15" t="str">
        <f>VLOOKUP(A5880,Movie!A:D,4,FALSE)</f>
        <v>Warner Brothers</v>
      </c>
      <c r="H5880" s="14">
        <f>VLOOKUP(E5880,'Rental Transaction'!A:B,2,FALSE)</f>
        <v>559486</v>
      </c>
      <c r="I5880">
        <f t="shared" si="91"/>
        <v>2014</v>
      </c>
    </row>
    <row r="5881" spans="1:9">
      <c r="A5881" s="1">
        <v>10018</v>
      </c>
      <c r="B5881" s="1">
        <v>8</v>
      </c>
      <c r="C5881" s="2">
        <v>41829</v>
      </c>
      <c r="D5881" s="1" t="s">
        <v>2002</v>
      </c>
      <c r="E5881" s="1">
        <v>104303</v>
      </c>
      <c r="F5881" s="6" t="s">
        <v>7883</v>
      </c>
      <c r="G5881" s="15" t="str">
        <f>VLOOKUP(A5881,Movie!A:D,4,FALSE)</f>
        <v>Fox</v>
      </c>
      <c r="H5881" s="14">
        <f>VLOOKUP(E5881,'Rental Transaction'!A:B,2,FALSE)</f>
        <v>559486</v>
      </c>
      <c r="I5881">
        <f t="shared" si="91"/>
        <v>2014</v>
      </c>
    </row>
    <row r="5882" spans="1:9">
      <c r="A5882" s="1">
        <v>10286</v>
      </c>
      <c r="B5882" s="1">
        <v>10</v>
      </c>
      <c r="C5882" s="2">
        <v>41830</v>
      </c>
      <c r="D5882" s="1" t="s">
        <v>2002</v>
      </c>
      <c r="E5882" s="1">
        <v>104305</v>
      </c>
      <c r="F5882" s="6" t="s">
        <v>7884</v>
      </c>
      <c r="G5882" s="15" t="str">
        <f>VLOOKUP(A5882,Movie!A:D,4,FALSE)</f>
        <v>Fox Searchlight</v>
      </c>
      <c r="H5882" s="14">
        <f>VLOOKUP(E5882,'Rental Transaction'!A:B,2,FALSE)</f>
        <v>214537</v>
      </c>
      <c r="I5882">
        <f t="shared" si="91"/>
        <v>2014</v>
      </c>
    </row>
    <row r="5883" spans="1:9">
      <c r="A5883" s="1">
        <v>10176</v>
      </c>
      <c r="B5883" s="1">
        <v>3</v>
      </c>
      <c r="C5883" s="2">
        <v>41829</v>
      </c>
      <c r="D5883" s="1" t="s">
        <v>2005</v>
      </c>
      <c r="E5883" s="1">
        <v>104306</v>
      </c>
      <c r="F5883" s="6" t="s">
        <v>7885</v>
      </c>
      <c r="G5883" s="15" t="str">
        <f>VLOOKUP(A5883,Movie!A:D,4,FALSE)</f>
        <v>Universal</v>
      </c>
      <c r="H5883" s="14">
        <f>VLOOKUP(E5883,'Rental Transaction'!A:B,2,FALSE)</f>
        <v>775449</v>
      </c>
      <c r="I5883">
        <f t="shared" si="91"/>
        <v>2014</v>
      </c>
    </row>
    <row r="5884" spans="1:9">
      <c r="A5884" s="1">
        <v>10150</v>
      </c>
      <c r="B5884" s="1">
        <v>8</v>
      </c>
      <c r="C5884" s="2">
        <v>41830</v>
      </c>
      <c r="D5884" s="1" t="s">
        <v>2002</v>
      </c>
      <c r="E5884" s="1">
        <v>104308</v>
      </c>
      <c r="F5884" s="6" t="s">
        <v>7886</v>
      </c>
      <c r="G5884" s="15" t="str">
        <f>VLOOKUP(A5884,Movie!A:D,4,FALSE)</f>
        <v>Focus</v>
      </c>
      <c r="H5884" s="14">
        <f>VLOOKUP(E5884,'Rental Transaction'!A:B,2,FALSE)</f>
        <v>306853</v>
      </c>
      <c r="I5884">
        <f t="shared" si="91"/>
        <v>2014</v>
      </c>
    </row>
    <row r="5885" spans="1:9">
      <c r="A5885" s="1">
        <v>10155</v>
      </c>
      <c r="B5885" s="1">
        <v>1</v>
      </c>
      <c r="C5885" s="2">
        <v>41832</v>
      </c>
      <c r="D5885" s="1" t="s">
        <v>2002</v>
      </c>
      <c r="E5885" s="1">
        <v>104309</v>
      </c>
      <c r="F5885" s="6" t="s">
        <v>7887</v>
      </c>
      <c r="G5885" s="15" t="str">
        <f>VLOOKUP(A5885,Movie!A:D,4,FALSE)</f>
        <v>Fox</v>
      </c>
      <c r="H5885" s="14">
        <f>VLOOKUP(E5885,'Rental Transaction'!A:B,2,FALSE)</f>
        <v>166135</v>
      </c>
      <c r="I5885">
        <f t="shared" si="91"/>
        <v>2014</v>
      </c>
    </row>
    <row r="5886" spans="1:9">
      <c r="A5886" s="1">
        <v>10282</v>
      </c>
      <c r="B5886" s="1">
        <v>6</v>
      </c>
      <c r="C5886" s="2">
        <v>41829</v>
      </c>
      <c r="D5886" s="1" t="s">
        <v>2002</v>
      </c>
      <c r="E5886" s="1">
        <v>104312</v>
      </c>
      <c r="F5886" s="6" t="s">
        <v>7888</v>
      </c>
      <c r="G5886" s="15" t="str">
        <f>VLOOKUP(A5886,Movie!A:D,4,FALSE)</f>
        <v>Sony Classics</v>
      </c>
      <c r="H5886" s="14">
        <f>VLOOKUP(E5886,'Rental Transaction'!A:B,2,FALSE)</f>
        <v>552124</v>
      </c>
      <c r="I5886">
        <f t="shared" si="91"/>
        <v>2014</v>
      </c>
    </row>
    <row r="5887" spans="1:9">
      <c r="A5887" s="1">
        <v>10225</v>
      </c>
      <c r="B5887" s="1">
        <v>8</v>
      </c>
      <c r="C5887" s="2">
        <v>41829</v>
      </c>
      <c r="D5887" s="1" t="s">
        <v>2002</v>
      </c>
      <c r="E5887" s="1">
        <v>104312</v>
      </c>
      <c r="F5887" s="6" t="s">
        <v>7889</v>
      </c>
      <c r="G5887" s="15" t="str">
        <f>VLOOKUP(A5887,Movie!A:D,4,FALSE)</f>
        <v>Warner Brothers</v>
      </c>
      <c r="H5887" s="14">
        <f>VLOOKUP(E5887,'Rental Transaction'!A:B,2,FALSE)</f>
        <v>552124</v>
      </c>
      <c r="I5887">
        <f t="shared" si="91"/>
        <v>2014</v>
      </c>
    </row>
    <row r="5888" spans="1:9">
      <c r="A5888" s="1">
        <v>10098</v>
      </c>
      <c r="B5888" s="1">
        <v>2</v>
      </c>
      <c r="C5888" s="2">
        <v>41830</v>
      </c>
      <c r="D5888" s="1" t="s">
        <v>2005</v>
      </c>
      <c r="E5888" s="1">
        <v>104314</v>
      </c>
      <c r="F5888" s="6" t="s">
        <v>7890</v>
      </c>
      <c r="G5888" s="15" t="str">
        <f>VLOOKUP(A5888,Movie!A:D,4,FALSE)</f>
        <v>Warner Brothers</v>
      </c>
      <c r="H5888" s="14">
        <f>VLOOKUP(E5888,'Rental Transaction'!A:B,2,FALSE)</f>
        <v>912671</v>
      </c>
      <c r="I5888">
        <f t="shared" si="91"/>
        <v>2014</v>
      </c>
    </row>
    <row r="5889" spans="1:9" ht="29.25">
      <c r="A5889" s="1">
        <v>10285</v>
      </c>
      <c r="B5889" s="1">
        <v>9</v>
      </c>
      <c r="C5889" s="2">
        <v>41833</v>
      </c>
      <c r="D5889" s="1" t="s">
        <v>2002</v>
      </c>
      <c r="E5889" s="1">
        <v>104315</v>
      </c>
      <c r="F5889" s="6" t="s">
        <v>7891</v>
      </c>
      <c r="G5889" s="15" t="str">
        <f>VLOOKUP(A5889,Movie!A:D,4,FALSE)</f>
        <v>Roadside Attractions</v>
      </c>
      <c r="H5889" s="14">
        <f>VLOOKUP(E5889,'Rental Transaction'!A:B,2,FALSE)</f>
        <v>785444</v>
      </c>
      <c r="I5889">
        <f t="shared" si="91"/>
        <v>2014</v>
      </c>
    </row>
    <row r="5890" spans="1:9">
      <c r="A5890" s="1">
        <v>10197</v>
      </c>
      <c r="B5890" s="1">
        <v>7</v>
      </c>
      <c r="C5890" s="2">
        <v>41830</v>
      </c>
      <c r="D5890" s="1" t="s">
        <v>2002</v>
      </c>
      <c r="E5890" s="1">
        <v>104316</v>
      </c>
      <c r="F5890" s="6" t="s">
        <v>7892</v>
      </c>
      <c r="G5890" s="15" t="str">
        <f>VLOOKUP(A5890,Movie!A:D,4,FALSE)</f>
        <v>Warner Brothers</v>
      </c>
      <c r="H5890" s="14">
        <f>VLOOKUP(E5890,'Rental Transaction'!A:B,2,FALSE)</f>
        <v>370870</v>
      </c>
      <c r="I5890">
        <f t="shared" si="91"/>
        <v>2014</v>
      </c>
    </row>
    <row r="5891" spans="1:9">
      <c r="A5891" s="1">
        <v>10226</v>
      </c>
      <c r="B5891" s="1">
        <v>9</v>
      </c>
      <c r="C5891" s="2">
        <v>41830</v>
      </c>
      <c r="D5891" s="1" t="s">
        <v>2002</v>
      </c>
      <c r="E5891" s="1">
        <v>104316</v>
      </c>
      <c r="F5891" s="6" t="s">
        <v>7893</v>
      </c>
      <c r="G5891" s="15" t="str">
        <f>VLOOKUP(A5891,Movie!A:D,4,FALSE)</f>
        <v>Sony</v>
      </c>
      <c r="H5891" s="14">
        <f>VLOOKUP(E5891,'Rental Transaction'!A:B,2,FALSE)</f>
        <v>370870</v>
      </c>
      <c r="I5891">
        <f t="shared" ref="I5891:I5954" si="92">YEAR(C5891)</f>
        <v>2014</v>
      </c>
    </row>
    <row r="5892" spans="1:9">
      <c r="A5892" s="1">
        <v>10197</v>
      </c>
      <c r="B5892" s="1">
        <v>1</v>
      </c>
      <c r="C5892" s="2">
        <v>41830</v>
      </c>
      <c r="D5892" s="1" t="s">
        <v>2002</v>
      </c>
      <c r="E5892" s="1">
        <v>104317</v>
      </c>
      <c r="F5892" s="6" t="s">
        <v>7894</v>
      </c>
      <c r="G5892" s="15" t="str">
        <f>VLOOKUP(A5892,Movie!A:D,4,FALSE)</f>
        <v>Warner Brothers</v>
      </c>
      <c r="H5892" s="14">
        <f>VLOOKUP(E5892,'Rental Transaction'!A:B,2,FALSE)</f>
        <v>632495</v>
      </c>
      <c r="I5892">
        <f t="shared" si="92"/>
        <v>2014</v>
      </c>
    </row>
    <row r="5893" spans="1:9">
      <c r="A5893" s="1">
        <v>10019</v>
      </c>
      <c r="B5893" s="1">
        <v>3</v>
      </c>
      <c r="C5893" s="2">
        <v>41832</v>
      </c>
      <c r="D5893" s="1" t="s">
        <v>2005</v>
      </c>
      <c r="E5893" s="1">
        <v>104320</v>
      </c>
      <c r="F5893" s="6" t="s">
        <v>7895</v>
      </c>
      <c r="G5893" s="15" t="str">
        <f>VLOOKUP(A5893,Movie!A:D,4,FALSE)</f>
        <v>Fox</v>
      </c>
      <c r="H5893" s="14">
        <f>VLOOKUP(E5893,'Rental Transaction'!A:B,2,FALSE)</f>
        <v>554099</v>
      </c>
      <c r="I5893">
        <f t="shared" si="92"/>
        <v>2014</v>
      </c>
    </row>
    <row r="5894" spans="1:9">
      <c r="A5894" s="1">
        <v>10194</v>
      </c>
      <c r="B5894" s="1">
        <v>5</v>
      </c>
      <c r="C5894" s="2">
        <v>41831</v>
      </c>
      <c r="D5894" s="1" t="s">
        <v>2002</v>
      </c>
      <c r="E5894" s="1">
        <v>104324</v>
      </c>
      <c r="F5894" s="6" t="s">
        <v>7896</v>
      </c>
      <c r="G5894" s="15" t="str">
        <f>VLOOKUP(A5894,Movie!A:D,4,FALSE)</f>
        <v>FilmDistrict</v>
      </c>
      <c r="H5894" s="14">
        <f>VLOOKUP(E5894,'Rental Transaction'!A:B,2,FALSE)</f>
        <v>632495</v>
      </c>
      <c r="I5894">
        <f t="shared" si="92"/>
        <v>2014</v>
      </c>
    </row>
    <row r="5895" spans="1:9">
      <c r="A5895" s="1">
        <v>10196</v>
      </c>
      <c r="B5895" s="1">
        <v>3</v>
      </c>
      <c r="C5895" s="2">
        <v>41831</v>
      </c>
      <c r="D5895" s="1" t="s">
        <v>2002</v>
      </c>
      <c r="E5895" s="1">
        <v>104325</v>
      </c>
      <c r="F5895" s="6" t="s">
        <v>7897</v>
      </c>
      <c r="G5895" s="15" t="str">
        <f>VLOOKUP(A5895,Movie!A:D,4,FALSE)</f>
        <v>Fox</v>
      </c>
      <c r="H5895" s="14">
        <f>VLOOKUP(E5895,'Rental Transaction'!A:B,2,FALSE)</f>
        <v>447601</v>
      </c>
      <c r="I5895">
        <f t="shared" si="92"/>
        <v>2014</v>
      </c>
    </row>
    <row r="5896" spans="1:9">
      <c r="A5896" s="1">
        <v>10112</v>
      </c>
      <c r="B5896" s="1">
        <v>10</v>
      </c>
      <c r="C5896" s="2">
        <v>41833</v>
      </c>
      <c r="D5896" s="1" t="s">
        <v>2002</v>
      </c>
      <c r="E5896" s="1">
        <v>104327</v>
      </c>
      <c r="F5896" s="6" t="s">
        <v>7898</v>
      </c>
      <c r="G5896" s="15" t="str">
        <f>VLOOKUP(A5896,Movie!A:D,4,FALSE)</f>
        <v>Relativity</v>
      </c>
      <c r="H5896" s="14">
        <f>VLOOKUP(E5896,'Rental Transaction'!A:B,2,FALSE)</f>
        <v>227456</v>
      </c>
      <c r="I5896">
        <f t="shared" si="92"/>
        <v>2014</v>
      </c>
    </row>
    <row r="5897" spans="1:9">
      <c r="A5897" s="1">
        <v>10152</v>
      </c>
      <c r="B5897" s="1">
        <v>5</v>
      </c>
      <c r="C5897" s="2">
        <v>41834</v>
      </c>
      <c r="D5897" s="1" t="s">
        <v>2002</v>
      </c>
      <c r="E5897" s="1">
        <v>104331</v>
      </c>
      <c r="F5897" s="6" t="s">
        <v>7899</v>
      </c>
      <c r="G5897" s="15" t="str">
        <f>VLOOKUP(A5897,Movie!A:D,4,FALSE)</f>
        <v>FilmDistrict</v>
      </c>
      <c r="H5897" s="14">
        <f>VLOOKUP(E5897,'Rental Transaction'!A:B,2,FALSE)</f>
        <v>393893</v>
      </c>
      <c r="I5897">
        <f t="shared" si="92"/>
        <v>2014</v>
      </c>
    </row>
    <row r="5898" spans="1:9">
      <c r="A5898" s="1">
        <v>10177</v>
      </c>
      <c r="B5898" s="1">
        <v>2</v>
      </c>
      <c r="C5898" s="2">
        <v>41833</v>
      </c>
      <c r="D5898" s="1" t="s">
        <v>2002</v>
      </c>
      <c r="E5898" s="1">
        <v>104333</v>
      </c>
      <c r="F5898" s="6" t="s">
        <v>7900</v>
      </c>
      <c r="G5898" s="15" t="str">
        <f>VLOOKUP(A5898,Movie!A:D,4,FALSE)</f>
        <v>Fox</v>
      </c>
      <c r="H5898" s="14">
        <f>VLOOKUP(E5898,'Rental Transaction'!A:B,2,FALSE)</f>
        <v>230467</v>
      </c>
      <c r="I5898">
        <f t="shared" si="92"/>
        <v>2014</v>
      </c>
    </row>
    <row r="5899" spans="1:9">
      <c r="A5899" s="1">
        <v>10176</v>
      </c>
      <c r="B5899" s="1">
        <v>2</v>
      </c>
      <c r="C5899" s="2">
        <v>41834</v>
      </c>
      <c r="D5899" s="1" t="s">
        <v>2002</v>
      </c>
      <c r="E5899" s="1">
        <v>104334</v>
      </c>
      <c r="F5899" s="6" t="s">
        <v>7901</v>
      </c>
      <c r="G5899" s="15" t="str">
        <f>VLOOKUP(A5899,Movie!A:D,4,FALSE)</f>
        <v>Universal</v>
      </c>
      <c r="H5899" s="14">
        <f>VLOOKUP(E5899,'Rental Transaction'!A:B,2,FALSE)</f>
        <v>175940</v>
      </c>
      <c r="I5899">
        <f t="shared" si="92"/>
        <v>2014</v>
      </c>
    </row>
    <row r="5900" spans="1:9">
      <c r="A5900" s="1">
        <v>10050</v>
      </c>
      <c r="B5900" s="1">
        <v>3</v>
      </c>
      <c r="C5900" s="2">
        <v>41833</v>
      </c>
      <c r="D5900" s="1" t="s">
        <v>2002</v>
      </c>
      <c r="E5900" s="1">
        <v>104334</v>
      </c>
      <c r="F5900" s="6" t="s">
        <v>7902</v>
      </c>
      <c r="G5900" s="15" t="str">
        <f>VLOOKUP(A5900,Movie!A:D,4,FALSE)</f>
        <v>Paramount</v>
      </c>
      <c r="H5900" s="14">
        <f>VLOOKUP(E5900,'Rental Transaction'!A:B,2,FALSE)</f>
        <v>175940</v>
      </c>
      <c r="I5900">
        <f t="shared" si="92"/>
        <v>2014</v>
      </c>
    </row>
    <row r="5901" spans="1:9">
      <c r="A5901" s="1">
        <v>10068</v>
      </c>
      <c r="B5901" s="1">
        <v>3</v>
      </c>
      <c r="C5901" s="2">
        <v>41838</v>
      </c>
      <c r="D5901" s="1" t="s">
        <v>2005</v>
      </c>
      <c r="E5901" s="1">
        <v>104336</v>
      </c>
      <c r="F5901" s="6" t="s">
        <v>7903</v>
      </c>
      <c r="G5901" s="15" t="str">
        <f>VLOOKUP(A5901,Movie!A:D,4,FALSE)</f>
        <v>Warner Brothers</v>
      </c>
      <c r="H5901" s="14">
        <f>VLOOKUP(E5901,'Rental Transaction'!A:B,2,FALSE)</f>
        <v>331115</v>
      </c>
      <c r="I5901">
        <f t="shared" si="92"/>
        <v>2014</v>
      </c>
    </row>
    <row r="5902" spans="1:9">
      <c r="A5902" s="1">
        <v>10279</v>
      </c>
      <c r="B5902" s="1">
        <v>9</v>
      </c>
      <c r="C5902" s="2">
        <v>41834</v>
      </c>
      <c r="D5902" s="1" t="s">
        <v>2002</v>
      </c>
      <c r="E5902" s="1">
        <v>104337</v>
      </c>
      <c r="F5902" s="6" t="s">
        <v>7904</v>
      </c>
      <c r="G5902" s="15" t="str">
        <f>VLOOKUP(A5902,Movie!A:D,4,FALSE)</f>
        <v>Screen Gems</v>
      </c>
      <c r="H5902" s="14">
        <f>VLOOKUP(E5902,'Rental Transaction'!A:B,2,FALSE)</f>
        <v>759995</v>
      </c>
      <c r="I5902">
        <f t="shared" si="92"/>
        <v>2014</v>
      </c>
    </row>
    <row r="5903" spans="1:9">
      <c r="A5903" s="1">
        <v>10171</v>
      </c>
      <c r="B5903" s="1">
        <v>5</v>
      </c>
      <c r="C5903" s="2">
        <v>41834</v>
      </c>
      <c r="D5903" s="1" t="s">
        <v>2002</v>
      </c>
      <c r="E5903" s="1">
        <v>104338</v>
      </c>
      <c r="F5903" s="6" t="s">
        <v>7905</v>
      </c>
      <c r="G5903" s="15" t="str">
        <f>VLOOKUP(A5903,Movie!A:D,4,FALSE)</f>
        <v>Universal</v>
      </c>
      <c r="H5903" s="14">
        <f>VLOOKUP(E5903,'Rental Transaction'!A:B,2,FALSE)</f>
        <v>516619</v>
      </c>
      <c r="I5903">
        <f t="shared" si="92"/>
        <v>2014</v>
      </c>
    </row>
    <row r="5904" spans="1:9">
      <c r="A5904" s="1">
        <v>10126</v>
      </c>
      <c r="B5904" s="1">
        <v>5</v>
      </c>
      <c r="C5904" s="2">
        <v>41836</v>
      </c>
      <c r="D5904" s="1" t="s">
        <v>2002</v>
      </c>
      <c r="E5904" s="1">
        <v>104340</v>
      </c>
      <c r="F5904" s="6" t="s">
        <v>7906</v>
      </c>
      <c r="G5904" s="15" t="str">
        <f>VLOOKUP(A5904,Movie!A:D,4,FALSE)</f>
        <v>Fox</v>
      </c>
      <c r="H5904" s="14">
        <f>VLOOKUP(E5904,'Rental Transaction'!A:B,2,FALSE)</f>
        <v>475216</v>
      </c>
      <c r="I5904">
        <f t="shared" si="92"/>
        <v>2014</v>
      </c>
    </row>
    <row r="5905" spans="1:9">
      <c r="A5905" s="1">
        <v>10194</v>
      </c>
      <c r="B5905" s="1">
        <v>9</v>
      </c>
      <c r="C5905" s="2">
        <v>41835</v>
      </c>
      <c r="D5905" s="1" t="s">
        <v>2002</v>
      </c>
      <c r="E5905" s="1">
        <v>104342</v>
      </c>
      <c r="F5905" s="6" t="s">
        <v>7907</v>
      </c>
      <c r="G5905" s="15" t="str">
        <f>VLOOKUP(A5905,Movie!A:D,4,FALSE)</f>
        <v>FilmDistrict</v>
      </c>
      <c r="H5905" s="14">
        <f>VLOOKUP(E5905,'Rental Transaction'!A:B,2,FALSE)</f>
        <v>456457</v>
      </c>
      <c r="I5905">
        <f t="shared" si="92"/>
        <v>2014</v>
      </c>
    </row>
    <row r="5906" spans="1:9" ht="29.25">
      <c r="A5906" s="1">
        <v>10239</v>
      </c>
      <c r="B5906" s="1">
        <v>6</v>
      </c>
      <c r="C5906" s="2">
        <v>41834</v>
      </c>
      <c r="D5906" s="1" t="s">
        <v>2002</v>
      </c>
      <c r="E5906" s="1">
        <v>104342</v>
      </c>
      <c r="F5906" s="6" t="s">
        <v>7908</v>
      </c>
      <c r="G5906" s="15" t="str">
        <f>VLOOKUP(A5906,Movie!A:D,4,FALSE)</f>
        <v>Weinstein Company</v>
      </c>
      <c r="H5906" s="14">
        <f>VLOOKUP(E5906,'Rental Transaction'!A:B,2,FALSE)</f>
        <v>456457</v>
      </c>
      <c r="I5906">
        <f t="shared" si="92"/>
        <v>2014</v>
      </c>
    </row>
    <row r="5907" spans="1:9">
      <c r="A5907" s="1">
        <v>10031</v>
      </c>
      <c r="B5907" s="1">
        <v>5</v>
      </c>
      <c r="C5907" s="2">
        <v>41834</v>
      </c>
      <c r="D5907" s="1" t="s">
        <v>2002</v>
      </c>
      <c r="E5907" s="1">
        <v>104342</v>
      </c>
      <c r="F5907" s="6" t="s">
        <v>7909</v>
      </c>
      <c r="G5907" s="15" t="str">
        <f>VLOOKUP(A5907,Movie!A:D,4,FALSE)</f>
        <v>Warner Brothers</v>
      </c>
      <c r="H5907" s="14">
        <f>VLOOKUP(E5907,'Rental Transaction'!A:B,2,FALSE)</f>
        <v>456457</v>
      </c>
      <c r="I5907">
        <f t="shared" si="92"/>
        <v>2014</v>
      </c>
    </row>
    <row r="5908" spans="1:9">
      <c r="A5908" s="1">
        <v>10113</v>
      </c>
      <c r="B5908" s="1">
        <v>6</v>
      </c>
      <c r="C5908" s="2">
        <v>41835</v>
      </c>
      <c r="D5908" s="1" t="s">
        <v>2002</v>
      </c>
      <c r="E5908" s="1">
        <v>104345</v>
      </c>
      <c r="F5908" s="6" t="s">
        <v>7910</v>
      </c>
      <c r="G5908" s="15" t="str">
        <f>VLOOKUP(A5908,Movie!A:D,4,FALSE)</f>
        <v>Lionsgate</v>
      </c>
      <c r="H5908" s="14">
        <f>VLOOKUP(E5908,'Rental Transaction'!A:B,2,FALSE)</f>
        <v>877877</v>
      </c>
      <c r="I5908">
        <f t="shared" si="92"/>
        <v>2014</v>
      </c>
    </row>
    <row r="5909" spans="1:9">
      <c r="A5909" s="1">
        <v>10219</v>
      </c>
      <c r="B5909" s="1">
        <v>9</v>
      </c>
      <c r="C5909" s="2">
        <v>41836</v>
      </c>
      <c r="D5909" s="1" t="s">
        <v>2002</v>
      </c>
      <c r="E5909" s="1">
        <v>104347</v>
      </c>
      <c r="F5909" s="6" t="s">
        <v>7911</v>
      </c>
      <c r="G5909" s="15" t="str">
        <f>VLOOKUP(A5909,Movie!A:D,4,FALSE)</f>
        <v>Paramount</v>
      </c>
      <c r="H5909" s="14">
        <f>VLOOKUP(E5909,'Rental Transaction'!A:B,2,FALSE)</f>
        <v>380003</v>
      </c>
      <c r="I5909">
        <f t="shared" si="92"/>
        <v>2014</v>
      </c>
    </row>
    <row r="5910" spans="1:9">
      <c r="A5910" s="1">
        <v>10230</v>
      </c>
      <c r="B5910" s="1">
        <v>10</v>
      </c>
      <c r="C5910" s="2">
        <v>41835</v>
      </c>
      <c r="D5910" s="1" t="s">
        <v>2002</v>
      </c>
      <c r="E5910" s="1">
        <v>104347</v>
      </c>
      <c r="F5910" s="6" t="s">
        <v>7912</v>
      </c>
      <c r="G5910" s="15" t="str">
        <f>VLOOKUP(A5910,Movie!A:D,4,FALSE)</f>
        <v>Focus</v>
      </c>
      <c r="H5910" s="14">
        <f>VLOOKUP(E5910,'Rental Transaction'!A:B,2,FALSE)</f>
        <v>380003</v>
      </c>
      <c r="I5910">
        <f t="shared" si="92"/>
        <v>2014</v>
      </c>
    </row>
    <row r="5911" spans="1:9">
      <c r="A5911" s="1">
        <v>10245</v>
      </c>
      <c r="B5911" s="1">
        <v>6</v>
      </c>
      <c r="C5911" s="2">
        <v>41839</v>
      </c>
      <c r="D5911" s="1" t="s">
        <v>2005</v>
      </c>
      <c r="E5911" s="1">
        <v>104348</v>
      </c>
      <c r="F5911" s="6" t="s">
        <v>7913</v>
      </c>
      <c r="G5911" s="15" t="str">
        <f>VLOOKUP(A5911,Movie!A:D,4,FALSE)</f>
        <v>Warner Brothers</v>
      </c>
      <c r="H5911" s="14">
        <f>VLOOKUP(E5911,'Rental Transaction'!A:B,2,FALSE)</f>
        <v>249188</v>
      </c>
      <c r="I5911">
        <f t="shared" si="92"/>
        <v>2014</v>
      </c>
    </row>
    <row r="5912" spans="1:9">
      <c r="A5912" s="1">
        <v>10211</v>
      </c>
      <c r="B5912" s="1">
        <v>2</v>
      </c>
      <c r="C5912" s="2">
        <v>41836</v>
      </c>
      <c r="D5912" s="1" t="s">
        <v>2002</v>
      </c>
      <c r="E5912" s="1">
        <v>104349</v>
      </c>
      <c r="F5912" s="6" t="s">
        <v>7914</v>
      </c>
      <c r="G5912" s="15" t="str">
        <f>VLOOKUP(A5912,Movie!A:D,4,FALSE)</f>
        <v>Buena Vista</v>
      </c>
      <c r="H5912" s="14">
        <f>VLOOKUP(E5912,'Rental Transaction'!A:B,2,FALSE)</f>
        <v>912671</v>
      </c>
      <c r="I5912">
        <f t="shared" si="92"/>
        <v>2014</v>
      </c>
    </row>
    <row r="5913" spans="1:9">
      <c r="A5913" s="1">
        <v>10093</v>
      </c>
      <c r="B5913" s="1">
        <v>3</v>
      </c>
      <c r="C5913" s="2">
        <v>41839</v>
      </c>
      <c r="D5913" s="1" t="s">
        <v>2002</v>
      </c>
      <c r="E5913" s="1">
        <v>104351</v>
      </c>
      <c r="F5913" s="6" t="s">
        <v>7915</v>
      </c>
      <c r="G5913" s="15" t="str">
        <f>VLOOKUP(A5913,Movie!A:D,4,FALSE)</f>
        <v>Open Road Films</v>
      </c>
      <c r="H5913" s="14">
        <f>VLOOKUP(E5913,'Rental Transaction'!A:B,2,FALSE)</f>
        <v>723057</v>
      </c>
      <c r="I5913">
        <f t="shared" si="92"/>
        <v>2014</v>
      </c>
    </row>
    <row r="5914" spans="1:9">
      <c r="A5914" s="1">
        <v>10283</v>
      </c>
      <c r="B5914" s="1">
        <v>4</v>
      </c>
      <c r="C5914" s="2">
        <v>41838</v>
      </c>
      <c r="D5914" s="1" t="s">
        <v>2002</v>
      </c>
      <c r="E5914" s="1">
        <v>104351</v>
      </c>
      <c r="F5914" s="6" t="s">
        <v>7916</v>
      </c>
      <c r="G5914" s="15" t="str">
        <f>VLOOKUP(A5914,Movie!A:D,4,FALSE)</f>
        <v>TriStar</v>
      </c>
      <c r="H5914" s="14">
        <f>VLOOKUP(E5914,'Rental Transaction'!A:B,2,FALSE)</f>
        <v>723057</v>
      </c>
      <c r="I5914">
        <f t="shared" si="92"/>
        <v>2014</v>
      </c>
    </row>
    <row r="5915" spans="1:9" ht="29.25">
      <c r="A5915" s="1">
        <v>10239</v>
      </c>
      <c r="B5915" s="1">
        <v>8</v>
      </c>
      <c r="C5915" s="2">
        <v>41836</v>
      </c>
      <c r="D5915" s="1" t="s">
        <v>2002</v>
      </c>
      <c r="E5915" s="1">
        <v>104352</v>
      </c>
      <c r="F5915" s="6" t="s">
        <v>7917</v>
      </c>
      <c r="G5915" s="15" t="str">
        <f>VLOOKUP(A5915,Movie!A:D,4,FALSE)</f>
        <v>Weinstein Company</v>
      </c>
      <c r="H5915" s="14">
        <f>VLOOKUP(E5915,'Rental Transaction'!A:B,2,FALSE)</f>
        <v>265339</v>
      </c>
      <c r="I5915">
        <f t="shared" si="92"/>
        <v>2014</v>
      </c>
    </row>
    <row r="5916" spans="1:9">
      <c r="A5916" s="1">
        <v>10146</v>
      </c>
      <c r="B5916" s="1">
        <v>7</v>
      </c>
      <c r="C5916" s="2">
        <v>41840</v>
      </c>
      <c r="D5916" s="1" t="s">
        <v>2005</v>
      </c>
      <c r="E5916" s="1">
        <v>104352</v>
      </c>
      <c r="F5916" s="6" t="s">
        <v>7918</v>
      </c>
      <c r="G5916" s="15" t="str">
        <f>VLOOKUP(A5916,Movie!A:D,4,FALSE)</f>
        <v>Sony</v>
      </c>
      <c r="H5916" s="14">
        <f>VLOOKUP(E5916,'Rental Transaction'!A:B,2,FALSE)</f>
        <v>265339</v>
      </c>
      <c r="I5916">
        <f t="shared" si="92"/>
        <v>2014</v>
      </c>
    </row>
    <row r="5917" spans="1:9">
      <c r="A5917" s="1">
        <v>10090</v>
      </c>
      <c r="B5917" s="1">
        <v>3</v>
      </c>
      <c r="C5917" s="2">
        <v>41856</v>
      </c>
      <c r="D5917" s="1" t="s">
        <v>2005</v>
      </c>
      <c r="E5917" s="1">
        <v>104353</v>
      </c>
      <c r="F5917" s="6" t="s">
        <v>7919</v>
      </c>
      <c r="G5917" s="15" t="str">
        <f>VLOOKUP(A5917,Movie!A:D,4,FALSE)</f>
        <v>Paramount</v>
      </c>
      <c r="H5917" s="14">
        <f>VLOOKUP(E5917,'Rental Transaction'!A:B,2,FALSE)</f>
        <v>253106</v>
      </c>
      <c r="I5917">
        <f t="shared" si="92"/>
        <v>2014</v>
      </c>
    </row>
    <row r="5918" spans="1:9">
      <c r="A5918" s="1">
        <v>10018</v>
      </c>
      <c r="B5918" s="1">
        <v>4</v>
      </c>
      <c r="C5918" s="2">
        <v>41837</v>
      </c>
      <c r="D5918" s="1" t="s">
        <v>2002</v>
      </c>
      <c r="E5918" s="1">
        <v>104355</v>
      </c>
      <c r="F5918" s="6" t="s">
        <v>7920</v>
      </c>
      <c r="G5918" s="15" t="str">
        <f>VLOOKUP(A5918,Movie!A:D,4,FALSE)</f>
        <v>Fox</v>
      </c>
      <c r="H5918" s="14">
        <f>VLOOKUP(E5918,'Rental Transaction'!A:B,2,FALSE)</f>
        <v>611848</v>
      </c>
      <c r="I5918">
        <f t="shared" si="92"/>
        <v>2014</v>
      </c>
    </row>
    <row r="5919" spans="1:9">
      <c r="A5919" s="1">
        <v>10152</v>
      </c>
      <c r="B5919" s="1">
        <v>10</v>
      </c>
      <c r="C5919" s="2">
        <v>41838</v>
      </c>
      <c r="D5919" s="1" t="s">
        <v>2002</v>
      </c>
      <c r="E5919" s="1">
        <v>104355</v>
      </c>
      <c r="F5919" s="6" t="s">
        <v>7921</v>
      </c>
      <c r="G5919" s="15" t="str">
        <f>VLOOKUP(A5919,Movie!A:D,4,FALSE)</f>
        <v>FilmDistrict</v>
      </c>
      <c r="H5919" s="14">
        <f>VLOOKUP(E5919,'Rental Transaction'!A:B,2,FALSE)</f>
        <v>611848</v>
      </c>
      <c r="I5919">
        <f t="shared" si="92"/>
        <v>2014</v>
      </c>
    </row>
    <row r="5920" spans="1:9">
      <c r="A5920" s="1">
        <v>10287</v>
      </c>
      <c r="B5920" s="1">
        <v>4</v>
      </c>
      <c r="C5920" s="2">
        <v>41836</v>
      </c>
      <c r="D5920" s="1" t="s">
        <v>2002</v>
      </c>
      <c r="E5920" s="1">
        <v>104356</v>
      </c>
      <c r="F5920" s="6" t="s">
        <v>7922</v>
      </c>
      <c r="G5920" s="15" t="str">
        <f>VLOOKUP(A5920,Movie!A:D,4,FALSE)</f>
        <v>Lionsgate</v>
      </c>
      <c r="H5920" s="14">
        <f>VLOOKUP(E5920,'Rental Transaction'!A:B,2,FALSE)</f>
        <v>331115</v>
      </c>
      <c r="I5920">
        <f t="shared" si="92"/>
        <v>2014</v>
      </c>
    </row>
    <row r="5921" spans="1:9">
      <c r="A5921" s="1">
        <v>10193</v>
      </c>
      <c r="B5921" s="1">
        <v>10</v>
      </c>
      <c r="C5921" s="2">
        <v>41837</v>
      </c>
      <c r="D5921" s="1" t="s">
        <v>2005</v>
      </c>
      <c r="E5921" s="1">
        <v>104359</v>
      </c>
      <c r="F5921" s="6" t="s">
        <v>7923</v>
      </c>
      <c r="G5921" s="15" t="str">
        <f>VLOOKUP(A5921,Movie!A:D,4,FALSE)</f>
        <v>Fox</v>
      </c>
      <c r="H5921" s="14">
        <f>VLOOKUP(E5921,'Rental Transaction'!A:B,2,FALSE)</f>
        <v>203787</v>
      </c>
      <c r="I5921">
        <f t="shared" si="92"/>
        <v>2014</v>
      </c>
    </row>
    <row r="5922" spans="1:9">
      <c r="A5922" s="1">
        <v>10143</v>
      </c>
      <c r="B5922" s="1">
        <v>2</v>
      </c>
      <c r="C5922" s="2">
        <v>41837</v>
      </c>
      <c r="D5922" s="1" t="s">
        <v>2002</v>
      </c>
      <c r="E5922" s="1">
        <v>104360</v>
      </c>
      <c r="F5922" s="6" t="s">
        <v>7924</v>
      </c>
      <c r="G5922" s="15" t="str">
        <f>VLOOKUP(A5922,Movie!A:D,4,FALSE)</f>
        <v>Buena Vista</v>
      </c>
      <c r="H5922" s="14">
        <f>VLOOKUP(E5922,'Rental Transaction'!A:B,2,FALSE)</f>
        <v>586201</v>
      </c>
      <c r="I5922">
        <f t="shared" si="92"/>
        <v>2014</v>
      </c>
    </row>
    <row r="5923" spans="1:9">
      <c r="A5923" s="1">
        <v>10209</v>
      </c>
      <c r="B5923" s="1">
        <v>5</v>
      </c>
      <c r="C5923" s="2">
        <v>41837</v>
      </c>
      <c r="D5923" s="1" t="s">
        <v>2002</v>
      </c>
      <c r="E5923" s="1">
        <v>104361</v>
      </c>
      <c r="F5923" s="6" t="s">
        <v>7925</v>
      </c>
      <c r="G5923" s="15" t="str">
        <f>VLOOKUP(A5923,Movie!A:D,4,FALSE)</f>
        <v>Universal</v>
      </c>
      <c r="H5923" s="14">
        <f>VLOOKUP(E5923,'Rental Transaction'!A:B,2,FALSE)</f>
        <v>791559</v>
      </c>
      <c r="I5923">
        <f t="shared" si="92"/>
        <v>2014</v>
      </c>
    </row>
    <row r="5924" spans="1:9">
      <c r="A5924" s="1">
        <v>10187</v>
      </c>
      <c r="B5924" s="1">
        <v>9</v>
      </c>
      <c r="C5924" s="2">
        <v>41840</v>
      </c>
      <c r="D5924" s="1" t="s">
        <v>2002</v>
      </c>
      <c r="E5924" s="1">
        <v>104361</v>
      </c>
      <c r="F5924" s="6" t="s">
        <v>7926</v>
      </c>
      <c r="G5924" s="15" t="str">
        <f>VLOOKUP(A5924,Movie!A:D,4,FALSE)</f>
        <v>Paramount</v>
      </c>
      <c r="H5924" s="14">
        <f>VLOOKUP(E5924,'Rental Transaction'!A:B,2,FALSE)</f>
        <v>791559</v>
      </c>
      <c r="I5924">
        <f t="shared" si="92"/>
        <v>2014</v>
      </c>
    </row>
    <row r="5925" spans="1:9">
      <c r="A5925" s="1">
        <v>10152</v>
      </c>
      <c r="B5925" s="1">
        <v>1</v>
      </c>
      <c r="C5925" s="2">
        <v>41837</v>
      </c>
      <c r="D5925" s="1" t="s">
        <v>2005</v>
      </c>
      <c r="E5925" s="1">
        <v>104363</v>
      </c>
      <c r="F5925" s="6" t="s">
        <v>7927</v>
      </c>
      <c r="G5925" s="15" t="str">
        <f>VLOOKUP(A5925,Movie!A:D,4,FALSE)</f>
        <v>FilmDistrict</v>
      </c>
      <c r="H5925" s="14">
        <f>VLOOKUP(E5925,'Rental Transaction'!A:B,2,FALSE)</f>
        <v>319387</v>
      </c>
      <c r="I5925">
        <f t="shared" si="92"/>
        <v>2014</v>
      </c>
    </row>
    <row r="5926" spans="1:9">
      <c r="A5926" s="1">
        <v>10074</v>
      </c>
      <c r="B5926" s="1">
        <v>3</v>
      </c>
      <c r="C5926" s="2">
        <v>41838</v>
      </c>
      <c r="D5926" s="1" t="s">
        <v>2002</v>
      </c>
      <c r="E5926" s="1">
        <v>104364</v>
      </c>
      <c r="F5926" s="6" t="s">
        <v>7928</v>
      </c>
      <c r="G5926" s="15" t="str">
        <f>VLOOKUP(A5926,Movie!A:D,4,FALSE)</f>
        <v>Open Road Films</v>
      </c>
      <c r="H5926" s="14">
        <f>VLOOKUP(E5926,'Rental Transaction'!A:B,2,FALSE)</f>
        <v>694281</v>
      </c>
      <c r="I5926">
        <f t="shared" si="92"/>
        <v>2014</v>
      </c>
    </row>
    <row r="5927" spans="1:9">
      <c r="A5927" s="1">
        <v>10261</v>
      </c>
      <c r="B5927" s="1">
        <v>5</v>
      </c>
      <c r="C5927" s="2">
        <v>41838</v>
      </c>
      <c r="D5927" s="1" t="s">
        <v>2002</v>
      </c>
      <c r="E5927" s="1">
        <v>104364</v>
      </c>
      <c r="F5927" s="6" t="s">
        <v>7929</v>
      </c>
      <c r="G5927" s="15" t="str">
        <f>VLOOKUP(A5927,Movie!A:D,4,FALSE)</f>
        <v>Fox</v>
      </c>
      <c r="H5927" s="14">
        <f>VLOOKUP(E5927,'Rental Transaction'!A:B,2,FALSE)</f>
        <v>694281</v>
      </c>
      <c r="I5927">
        <f t="shared" si="92"/>
        <v>2014</v>
      </c>
    </row>
    <row r="5928" spans="1:9">
      <c r="A5928" s="1">
        <v>10161</v>
      </c>
      <c r="B5928" s="1">
        <v>5</v>
      </c>
      <c r="C5928" s="2">
        <v>41839</v>
      </c>
      <c r="D5928" s="1" t="s">
        <v>2002</v>
      </c>
      <c r="E5928" s="1">
        <v>104365</v>
      </c>
      <c r="F5928" s="6" t="s">
        <v>7930</v>
      </c>
      <c r="G5928" s="15" t="str">
        <f>VLOOKUP(A5928,Movie!A:D,4,FALSE)</f>
        <v>TriStar</v>
      </c>
      <c r="H5928" s="14">
        <f>VLOOKUP(E5928,'Rental Transaction'!A:B,2,FALSE)</f>
        <v>464984</v>
      </c>
      <c r="I5928">
        <f t="shared" si="92"/>
        <v>2014</v>
      </c>
    </row>
    <row r="5929" spans="1:9">
      <c r="A5929" s="1">
        <v>10283</v>
      </c>
      <c r="B5929" s="1">
        <v>10</v>
      </c>
      <c r="C5929" s="2">
        <v>41838</v>
      </c>
      <c r="D5929" s="1" t="s">
        <v>2002</v>
      </c>
      <c r="E5929" s="1">
        <v>104366</v>
      </c>
      <c r="F5929" s="6" t="s">
        <v>7931</v>
      </c>
      <c r="G5929" s="15" t="str">
        <f>VLOOKUP(A5929,Movie!A:D,4,FALSE)</f>
        <v>TriStar</v>
      </c>
      <c r="H5929" s="14">
        <f>VLOOKUP(E5929,'Rental Transaction'!A:B,2,FALSE)</f>
        <v>908328</v>
      </c>
      <c r="I5929">
        <f t="shared" si="92"/>
        <v>2014</v>
      </c>
    </row>
    <row r="5930" spans="1:9">
      <c r="A5930" s="1">
        <v>10271</v>
      </c>
      <c r="B5930" s="1">
        <v>2</v>
      </c>
      <c r="C5930" s="2">
        <v>41839</v>
      </c>
      <c r="D5930" s="1" t="s">
        <v>2002</v>
      </c>
      <c r="E5930" s="1">
        <v>104367</v>
      </c>
      <c r="F5930" s="6" t="s">
        <v>7932</v>
      </c>
      <c r="G5930" s="15" t="str">
        <f>VLOOKUP(A5930,Movie!A:D,4,FALSE)</f>
        <v>Universal</v>
      </c>
      <c r="H5930" s="14">
        <f>VLOOKUP(E5930,'Rental Transaction'!A:B,2,FALSE)</f>
        <v>955591</v>
      </c>
      <c r="I5930">
        <f t="shared" si="92"/>
        <v>2014</v>
      </c>
    </row>
    <row r="5931" spans="1:9">
      <c r="A5931" s="1">
        <v>10145</v>
      </c>
      <c r="B5931" s="1">
        <v>10</v>
      </c>
      <c r="C5931" s="2">
        <v>41838</v>
      </c>
      <c r="D5931" s="1" t="s">
        <v>2002</v>
      </c>
      <c r="E5931" s="1">
        <v>104367</v>
      </c>
      <c r="F5931" s="6" t="s">
        <v>7933</v>
      </c>
      <c r="G5931" s="15" t="str">
        <f>VLOOKUP(A5931,Movie!A:D,4,FALSE)</f>
        <v>TriStar</v>
      </c>
      <c r="H5931" s="14">
        <f>VLOOKUP(E5931,'Rental Transaction'!A:B,2,FALSE)</f>
        <v>955591</v>
      </c>
      <c r="I5931">
        <f t="shared" si="92"/>
        <v>2014</v>
      </c>
    </row>
    <row r="5932" spans="1:9">
      <c r="A5932" s="1">
        <v>10194</v>
      </c>
      <c r="B5932" s="1">
        <v>3</v>
      </c>
      <c r="C5932" s="2">
        <v>41839</v>
      </c>
      <c r="D5932" s="1" t="s">
        <v>2002</v>
      </c>
      <c r="E5932" s="1">
        <v>104368</v>
      </c>
      <c r="F5932" s="6" t="s">
        <v>7934</v>
      </c>
      <c r="G5932" s="15" t="str">
        <f>VLOOKUP(A5932,Movie!A:D,4,FALSE)</f>
        <v>FilmDistrict</v>
      </c>
      <c r="H5932" s="14">
        <f>VLOOKUP(E5932,'Rental Transaction'!A:B,2,FALSE)</f>
        <v>304344</v>
      </c>
      <c r="I5932">
        <f t="shared" si="92"/>
        <v>2014</v>
      </c>
    </row>
    <row r="5933" spans="1:9">
      <c r="A5933" s="1">
        <v>10267</v>
      </c>
      <c r="B5933" s="1">
        <v>9</v>
      </c>
      <c r="C5933" s="2">
        <v>41840</v>
      </c>
      <c r="D5933" s="1" t="s">
        <v>2002</v>
      </c>
      <c r="E5933" s="1">
        <v>104368</v>
      </c>
      <c r="F5933" s="6" t="s">
        <v>7935</v>
      </c>
      <c r="G5933" s="15" t="str">
        <f>VLOOKUP(A5933,Movie!A:D,4,FALSE)</f>
        <v>TriStar</v>
      </c>
      <c r="H5933" s="14">
        <f>VLOOKUP(E5933,'Rental Transaction'!A:B,2,FALSE)</f>
        <v>304344</v>
      </c>
      <c r="I5933">
        <f t="shared" si="92"/>
        <v>2014</v>
      </c>
    </row>
    <row r="5934" spans="1:9">
      <c r="A5934" s="1">
        <v>10177</v>
      </c>
      <c r="B5934" s="1">
        <v>10</v>
      </c>
      <c r="C5934" s="2">
        <v>41839</v>
      </c>
      <c r="D5934" s="1" t="s">
        <v>2002</v>
      </c>
      <c r="E5934" s="1">
        <v>104371</v>
      </c>
      <c r="F5934" s="6" t="s">
        <v>7936</v>
      </c>
      <c r="G5934" s="15" t="str">
        <f>VLOOKUP(A5934,Movie!A:D,4,FALSE)</f>
        <v>Fox</v>
      </c>
      <c r="H5934" s="14">
        <f>VLOOKUP(E5934,'Rental Transaction'!A:B,2,FALSE)</f>
        <v>911171</v>
      </c>
      <c r="I5934">
        <f t="shared" si="92"/>
        <v>2014</v>
      </c>
    </row>
    <row r="5935" spans="1:9">
      <c r="A5935" s="1">
        <v>10250</v>
      </c>
      <c r="B5935" s="1">
        <v>10</v>
      </c>
      <c r="C5935" s="2">
        <v>41838</v>
      </c>
      <c r="D5935" s="1" t="s">
        <v>2002</v>
      </c>
      <c r="E5935" s="1">
        <v>104371</v>
      </c>
      <c r="F5935" s="6" t="s">
        <v>7937</v>
      </c>
      <c r="G5935" s="15" t="str">
        <f>VLOOKUP(A5935,Movie!A:D,4,FALSE)</f>
        <v>Buena Vista</v>
      </c>
      <c r="H5935" s="14">
        <f>VLOOKUP(E5935,'Rental Transaction'!A:B,2,FALSE)</f>
        <v>911171</v>
      </c>
      <c r="I5935">
        <f t="shared" si="92"/>
        <v>2014</v>
      </c>
    </row>
    <row r="5936" spans="1:9">
      <c r="A5936" s="1">
        <v>10116</v>
      </c>
      <c r="B5936" s="1">
        <v>6</v>
      </c>
      <c r="C5936" s="2">
        <v>41838</v>
      </c>
      <c r="D5936" s="1" t="s">
        <v>2002</v>
      </c>
      <c r="E5936" s="1">
        <v>104371</v>
      </c>
      <c r="F5936" s="6" t="s">
        <v>7938</v>
      </c>
      <c r="G5936" s="15" t="str">
        <f>VLOOKUP(A5936,Movie!A:D,4,FALSE)</f>
        <v>Universal</v>
      </c>
      <c r="H5936" s="14">
        <f>VLOOKUP(E5936,'Rental Transaction'!A:B,2,FALSE)</f>
        <v>911171</v>
      </c>
      <c r="I5936">
        <f t="shared" si="92"/>
        <v>2014</v>
      </c>
    </row>
    <row r="5937" spans="1:9">
      <c r="A5937" s="1">
        <v>10209</v>
      </c>
      <c r="B5937" s="1">
        <v>1</v>
      </c>
      <c r="C5937" s="2">
        <v>41840</v>
      </c>
      <c r="D5937" s="1" t="s">
        <v>2002</v>
      </c>
      <c r="E5937" s="1">
        <v>104374</v>
      </c>
      <c r="F5937" s="6" t="s">
        <v>7939</v>
      </c>
      <c r="G5937" s="15" t="str">
        <f>VLOOKUP(A5937,Movie!A:D,4,FALSE)</f>
        <v>Universal</v>
      </c>
      <c r="H5937" s="14">
        <f>VLOOKUP(E5937,'Rental Transaction'!A:B,2,FALSE)</f>
        <v>116934</v>
      </c>
      <c r="I5937">
        <f t="shared" si="92"/>
        <v>2014</v>
      </c>
    </row>
    <row r="5938" spans="1:9">
      <c r="A5938" s="1">
        <v>10037</v>
      </c>
      <c r="B5938" s="1">
        <v>4</v>
      </c>
      <c r="C5938" s="2">
        <v>41839</v>
      </c>
      <c r="D5938" s="1" t="s">
        <v>2002</v>
      </c>
      <c r="E5938" s="1">
        <v>104375</v>
      </c>
      <c r="F5938" s="6" t="s">
        <v>7940</v>
      </c>
      <c r="G5938" s="15" t="str">
        <f>VLOOKUP(A5938,Movie!A:D,4,FALSE)</f>
        <v>Buena Vista</v>
      </c>
      <c r="H5938" s="14">
        <f>VLOOKUP(E5938,'Rental Transaction'!A:B,2,FALSE)</f>
        <v>479497</v>
      </c>
      <c r="I5938">
        <f t="shared" si="92"/>
        <v>2014</v>
      </c>
    </row>
    <row r="5939" spans="1:9">
      <c r="A5939" s="1">
        <v>10127</v>
      </c>
      <c r="B5939" s="1">
        <v>3</v>
      </c>
      <c r="C5939" s="2">
        <v>41839</v>
      </c>
      <c r="D5939" s="1" t="s">
        <v>2002</v>
      </c>
      <c r="E5939" s="1">
        <v>104375</v>
      </c>
      <c r="F5939" s="6" t="s">
        <v>7941</v>
      </c>
      <c r="G5939" s="15" t="str">
        <f>VLOOKUP(A5939,Movie!A:D,4,FALSE)</f>
        <v>TriStar</v>
      </c>
      <c r="H5939" s="14">
        <f>VLOOKUP(E5939,'Rental Transaction'!A:B,2,FALSE)</f>
        <v>479497</v>
      </c>
      <c r="I5939">
        <f t="shared" si="92"/>
        <v>2014</v>
      </c>
    </row>
    <row r="5940" spans="1:9">
      <c r="A5940" s="1">
        <v>10225</v>
      </c>
      <c r="B5940" s="1">
        <v>1</v>
      </c>
      <c r="C5940" s="2">
        <v>41839</v>
      </c>
      <c r="D5940" s="1" t="s">
        <v>2002</v>
      </c>
      <c r="E5940" s="1">
        <v>104375</v>
      </c>
      <c r="F5940" s="6" t="s">
        <v>7942</v>
      </c>
      <c r="G5940" s="15" t="str">
        <f>VLOOKUP(A5940,Movie!A:D,4,FALSE)</f>
        <v>Warner Brothers</v>
      </c>
      <c r="H5940" s="14">
        <f>VLOOKUP(E5940,'Rental Transaction'!A:B,2,FALSE)</f>
        <v>479497</v>
      </c>
      <c r="I5940">
        <f t="shared" si="92"/>
        <v>2014</v>
      </c>
    </row>
    <row r="5941" spans="1:9">
      <c r="A5941" s="1">
        <v>10288</v>
      </c>
      <c r="B5941" s="1">
        <v>5</v>
      </c>
      <c r="C5941" s="2">
        <v>41840</v>
      </c>
      <c r="D5941" s="1" t="s">
        <v>2002</v>
      </c>
      <c r="E5941" s="1">
        <v>104376</v>
      </c>
      <c r="F5941" s="6" t="s">
        <v>7943</v>
      </c>
      <c r="G5941" s="15" t="str">
        <f>VLOOKUP(A5941,Movie!A:D,4,FALSE)</f>
        <v>Relativity</v>
      </c>
      <c r="H5941" s="14">
        <f>VLOOKUP(E5941,'Rental Transaction'!A:B,2,FALSE)</f>
        <v>885548</v>
      </c>
      <c r="I5941">
        <f t="shared" si="92"/>
        <v>2014</v>
      </c>
    </row>
    <row r="5942" spans="1:9">
      <c r="A5942" s="1">
        <v>10200</v>
      </c>
      <c r="B5942" s="1">
        <v>5</v>
      </c>
      <c r="C5942" s="2">
        <v>41839</v>
      </c>
      <c r="D5942" s="1" t="s">
        <v>2002</v>
      </c>
      <c r="E5942" s="1">
        <v>104377</v>
      </c>
      <c r="F5942" s="6" t="s">
        <v>7944</v>
      </c>
      <c r="G5942" s="15" t="str">
        <f>VLOOKUP(A5942,Movie!A:D,4,FALSE)</f>
        <v>Fox</v>
      </c>
      <c r="H5942" s="14">
        <f>VLOOKUP(E5942,'Rental Transaction'!A:B,2,FALSE)</f>
        <v>759995</v>
      </c>
      <c r="I5942">
        <f t="shared" si="92"/>
        <v>2014</v>
      </c>
    </row>
    <row r="5943" spans="1:9">
      <c r="A5943" s="1">
        <v>10079</v>
      </c>
      <c r="B5943" s="1">
        <v>3</v>
      </c>
      <c r="C5943" s="2">
        <v>41839</v>
      </c>
      <c r="D5943" s="1" t="s">
        <v>2005</v>
      </c>
      <c r="E5943" s="1">
        <v>104377</v>
      </c>
      <c r="F5943" s="6" t="s">
        <v>7945</v>
      </c>
      <c r="G5943" s="15" t="str">
        <f>VLOOKUP(A5943,Movie!A:D,4,FALSE)</f>
        <v>Warner Brothers</v>
      </c>
      <c r="H5943" s="14">
        <f>VLOOKUP(E5943,'Rental Transaction'!A:B,2,FALSE)</f>
        <v>759995</v>
      </c>
      <c r="I5943">
        <f t="shared" si="92"/>
        <v>2014</v>
      </c>
    </row>
    <row r="5944" spans="1:9">
      <c r="A5944" s="1">
        <v>10237</v>
      </c>
      <c r="B5944" s="1">
        <v>8</v>
      </c>
      <c r="C5944" s="2">
        <v>41839</v>
      </c>
      <c r="D5944" s="1" t="s">
        <v>2005</v>
      </c>
      <c r="E5944" s="1">
        <v>104377</v>
      </c>
      <c r="F5944" s="6" t="s">
        <v>7946</v>
      </c>
      <c r="G5944" s="15" t="str">
        <f>VLOOKUP(A5944,Movie!A:D,4,FALSE)</f>
        <v>Warner Brothers</v>
      </c>
      <c r="H5944" s="14">
        <f>VLOOKUP(E5944,'Rental Transaction'!A:B,2,FALSE)</f>
        <v>759995</v>
      </c>
      <c r="I5944">
        <f t="shared" si="92"/>
        <v>2014</v>
      </c>
    </row>
    <row r="5945" spans="1:9">
      <c r="A5945" s="1">
        <v>10222</v>
      </c>
      <c r="B5945" s="1">
        <v>1</v>
      </c>
      <c r="C5945" s="2">
        <v>41840</v>
      </c>
      <c r="D5945" s="1" t="s">
        <v>2002</v>
      </c>
      <c r="E5945" s="1">
        <v>104380</v>
      </c>
      <c r="F5945" s="6" t="s">
        <v>7947</v>
      </c>
      <c r="G5945" s="15" t="str">
        <f>VLOOKUP(A5945,Movie!A:D,4,FALSE)</f>
        <v>Sony</v>
      </c>
      <c r="H5945" s="14">
        <f>VLOOKUP(E5945,'Rental Transaction'!A:B,2,FALSE)</f>
        <v>973766</v>
      </c>
      <c r="I5945">
        <f t="shared" si="92"/>
        <v>2014</v>
      </c>
    </row>
    <row r="5946" spans="1:9">
      <c r="A5946" s="1">
        <v>10281</v>
      </c>
      <c r="B5946" s="1">
        <v>8</v>
      </c>
      <c r="C5946" s="2">
        <v>41840</v>
      </c>
      <c r="D5946" s="1" t="s">
        <v>2002</v>
      </c>
      <c r="E5946" s="1">
        <v>104380</v>
      </c>
      <c r="F5946" s="6" t="s">
        <v>7948</v>
      </c>
      <c r="G5946" s="15" t="str">
        <f>VLOOKUP(A5946,Movie!A:D,4,FALSE)</f>
        <v>Lionsgate</v>
      </c>
      <c r="H5946" s="14">
        <f>VLOOKUP(E5946,'Rental Transaction'!A:B,2,FALSE)</f>
        <v>973766</v>
      </c>
      <c r="I5946">
        <f t="shared" si="92"/>
        <v>2014</v>
      </c>
    </row>
    <row r="5947" spans="1:9">
      <c r="A5947" s="1">
        <v>10250</v>
      </c>
      <c r="B5947" s="1">
        <v>9</v>
      </c>
      <c r="C5947" s="2">
        <v>41840</v>
      </c>
      <c r="D5947" s="1" t="s">
        <v>2005</v>
      </c>
      <c r="E5947" s="1">
        <v>104381</v>
      </c>
      <c r="F5947" s="6" t="s">
        <v>7949</v>
      </c>
      <c r="G5947" s="15" t="str">
        <f>VLOOKUP(A5947,Movie!A:D,4,FALSE)</f>
        <v>Buena Vista</v>
      </c>
      <c r="H5947" s="14">
        <f>VLOOKUP(E5947,'Rental Transaction'!A:B,2,FALSE)</f>
        <v>253106</v>
      </c>
      <c r="I5947">
        <f t="shared" si="92"/>
        <v>2014</v>
      </c>
    </row>
    <row r="5948" spans="1:9">
      <c r="A5948" s="1">
        <v>10142</v>
      </c>
      <c r="B5948" s="1">
        <v>5</v>
      </c>
      <c r="C5948" s="2">
        <v>41841</v>
      </c>
      <c r="D5948" s="1" t="s">
        <v>2002</v>
      </c>
      <c r="E5948" s="1">
        <v>104383</v>
      </c>
      <c r="F5948" s="6" t="s">
        <v>7950</v>
      </c>
      <c r="G5948" s="15" t="str">
        <f>VLOOKUP(A5948,Movie!A:D,4,FALSE)</f>
        <v>Warner Brothers</v>
      </c>
      <c r="H5948" s="14">
        <f>VLOOKUP(E5948,'Rental Transaction'!A:B,2,FALSE)</f>
        <v>771285</v>
      </c>
      <c r="I5948">
        <f t="shared" si="92"/>
        <v>2014</v>
      </c>
    </row>
    <row r="5949" spans="1:9">
      <c r="A5949" s="1">
        <v>10253</v>
      </c>
      <c r="B5949" s="1">
        <v>4</v>
      </c>
      <c r="C5949" s="2">
        <v>41840</v>
      </c>
      <c r="D5949" s="1" t="s">
        <v>2005</v>
      </c>
      <c r="E5949" s="1">
        <v>104383</v>
      </c>
      <c r="F5949" s="6" t="s">
        <v>7951</v>
      </c>
      <c r="G5949" s="15" t="str">
        <f>VLOOKUP(A5949,Movie!A:D,4,FALSE)</f>
        <v>Buena Vista</v>
      </c>
      <c r="H5949" s="14">
        <f>VLOOKUP(E5949,'Rental Transaction'!A:B,2,FALSE)</f>
        <v>771285</v>
      </c>
      <c r="I5949">
        <f t="shared" si="92"/>
        <v>2014</v>
      </c>
    </row>
    <row r="5950" spans="1:9">
      <c r="A5950" s="1">
        <v>10288</v>
      </c>
      <c r="B5950" s="1">
        <v>2</v>
      </c>
      <c r="C5950" s="2">
        <v>41840</v>
      </c>
      <c r="D5950" s="1" t="s">
        <v>2005</v>
      </c>
      <c r="E5950" s="1">
        <v>104384</v>
      </c>
      <c r="F5950" s="6" t="s">
        <v>7952</v>
      </c>
      <c r="G5950" s="15" t="str">
        <f>VLOOKUP(A5950,Movie!A:D,4,FALSE)</f>
        <v>Relativity</v>
      </c>
      <c r="H5950" s="14">
        <f>VLOOKUP(E5950,'Rental Transaction'!A:B,2,FALSE)</f>
        <v>822823</v>
      </c>
      <c r="I5950">
        <f t="shared" si="92"/>
        <v>2014</v>
      </c>
    </row>
    <row r="5951" spans="1:9" ht="29.25">
      <c r="A5951" s="1">
        <v>10246</v>
      </c>
      <c r="B5951" s="1">
        <v>7</v>
      </c>
      <c r="C5951" s="2">
        <v>41840</v>
      </c>
      <c r="D5951" s="1" t="s">
        <v>2002</v>
      </c>
      <c r="E5951" s="1">
        <v>104384</v>
      </c>
      <c r="F5951" s="6" t="s">
        <v>7953</v>
      </c>
      <c r="G5951" s="15" t="str">
        <f>VLOOKUP(A5951,Movie!A:D,4,FALSE)</f>
        <v>Weinstein Company</v>
      </c>
      <c r="H5951" s="14">
        <f>VLOOKUP(E5951,'Rental Transaction'!A:B,2,FALSE)</f>
        <v>822823</v>
      </c>
      <c r="I5951">
        <f t="shared" si="92"/>
        <v>2014</v>
      </c>
    </row>
    <row r="5952" spans="1:9">
      <c r="A5952" s="1">
        <v>10083</v>
      </c>
      <c r="B5952" s="1">
        <v>8</v>
      </c>
      <c r="C5952" s="2">
        <v>41840</v>
      </c>
      <c r="D5952" s="1" t="s">
        <v>2002</v>
      </c>
      <c r="E5952" s="1">
        <v>104385</v>
      </c>
      <c r="F5952" s="6" t="s">
        <v>7954</v>
      </c>
      <c r="G5952" s="15" t="str">
        <f>VLOOKUP(A5952,Movie!A:D,4,FALSE)</f>
        <v>Buena Vista</v>
      </c>
      <c r="H5952" s="14">
        <f>VLOOKUP(E5952,'Rental Transaction'!A:B,2,FALSE)</f>
        <v>418635</v>
      </c>
      <c r="I5952">
        <f t="shared" si="92"/>
        <v>2014</v>
      </c>
    </row>
    <row r="5953" spans="1:9">
      <c r="A5953" s="1">
        <v>10266</v>
      </c>
      <c r="B5953" s="1">
        <v>8</v>
      </c>
      <c r="C5953" s="2">
        <v>41840</v>
      </c>
      <c r="D5953" s="1" t="s">
        <v>2002</v>
      </c>
      <c r="E5953" s="1">
        <v>104385</v>
      </c>
      <c r="F5953" s="6" t="s">
        <v>7955</v>
      </c>
      <c r="G5953" s="15" t="str">
        <f>VLOOKUP(A5953,Movie!A:D,4,FALSE)</f>
        <v>Sony</v>
      </c>
      <c r="H5953" s="14">
        <f>VLOOKUP(E5953,'Rental Transaction'!A:B,2,FALSE)</f>
        <v>418635</v>
      </c>
      <c r="I5953">
        <f t="shared" si="92"/>
        <v>2014</v>
      </c>
    </row>
    <row r="5954" spans="1:9">
      <c r="A5954" s="1">
        <v>10101</v>
      </c>
      <c r="B5954" s="1">
        <v>10</v>
      </c>
      <c r="C5954" s="2">
        <v>41840</v>
      </c>
      <c r="D5954" s="1" t="s">
        <v>2002</v>
      </c>
      <c r="E5954" s="1">
        <v>104386</v>
      </c>
      <c r="F5954" s="6" t="s">
        <v>7956</v>
      </c>
      <c r="G5954" s="15" t="str">
        <f>VLOOKUP(A5954,Movie!A:D,4,FALSE)</f>
        <v>Sony</v>
      </c>
      <c r="H5954" s="14">
        <f>VLOOKUP(E5954,'Rental Transaction'!A:B,2,FALSE)</f>
        <v>193914</v>
      </c>
      <c r="I5954">
        <f t="shared" si="92"/>
        <v>2014</v>
      </c>
    </row>
    <row r="5955" spans="1:9">
      <c r="A5955" s="1">
        <v>10108</v>
      </c>
      <c r="B5955" s="1">
        <v>9</v>
      </c>
      <c r="C5955" s="2">
        <v>41841</v>
      </c>
      <c r="D5955" s="1" t="s">
        <v>2002</v>
      </c>
      <c r="E5955" s="1">
        <v>104389</v>
      </c>
      <c r="F5955" s="6" t="s">
        <v>7957</v>
      </c>
      <c r="G5955" s="15" t="str">
        <f>VLOOKUP(A5955,Movie!A:D,4,FALSE)</f>
        <v>Fox</v>
      </c>
      <c r="H5955" s="14">
        <f>VLOOKUP(E5955,'Rental Transaction'!A:B,2,FALSE)</f>
        <v>884368</v>
      </c>
      <c r="I5955">
        <f t="shared" ref="I5955:I6018" si="93">YEAR(C5955)</f>
        <v>2014</v>
      </c>
    </row>
    <row r="5956" spans="1:9">
      <c r="A5956" s="1">
        <v>10134</v>
      </c>
      <c r="B5956" s="1">
        <v>3</v>
      </c>
      <c r="C5956" s="2">
        <v>41842</v>
      </c>
      <c r="D5956" s="1" t="s">
        <v>2002</v>
      </c>
      <c r="E5956" s="1">
        <v>104390</v>
      </c>
      <c r="F5956" s="6" t="s">
        <v>7958</v>
      </c>
      <c r="G5956" s="15" t="str">
        <f>VLOOKUP(A5956,Movie!A:D,4,FALSE)</f>
        <v>Universal</v>
      </c>
      <c r="H5956" s="14">
        <f>VLOOKUP(E5956,'Rental Transaction'!A:B,2,FALSE)</f>
        <v>456457</v>
      </c>
      <c r="I5956">
        <f t="shared" si="93"/>
        <v>2014</v>
      </c>
    </row>
    <row r="5957" spans="1:9">
      <c r="A5957" s="1">
        <v>10245</v>
      </c>
      <c r="B5957" s="1">
        <v>8</v>
      </c>
      <c r="C5957" s="2">
        <v>41841</v>
      </c>
      <c r="D5957" s="1" t="s">
        <v>2005</v>
      </c>
      <c r="E5957" s="1">
        <v>104392</v>
      </c>
      <c r="F5957" s="6" t="s">
        <v>7959</v>
      </c>
      <c r="G5957" s="15" t="str">
        <f>VLOOKUP(A5957,Movie!A:D,4,FALSE)</f>
        <v>Warner Brothers</v>
      </c>
      <c r="H5957" s="14">
        <f>VLOOKUP(E5957,'Rental Transaction'!A:B,2,FALSE)</f>
        <v>325263</v>
      </c>
      <c r="I5957">
        <f t="shared" si="93"/>
        <v>2014</v>
      </c>
    </row>
    <row r="5958" spans="1:9">
      <c r="A5958" s="1">
        <v>10297</v>
      </c>
      <c r="B5958" s="1">
        <v>2</v>
      </c>
      <c r="C5958" s="2">
        <v>41841</v>
      </c>
      <c r="D5958" s="1" t="s">
        <v>2002</v>
      </c>
      <c r="E5958" s="1">
        <v>104392</v>
      </c>
      <c r="F5958" s="6" t="s">
        <v>7960</v>
      </c>
      <c r="G5958" s="15" t="str">
        <f>VLOOKUP(A5958,Movie!A:D,4,FALSE)</f>
        <v>Focus</v>
      </c>
      <c r="H5958" s="14">
        <f>VLOOKUP(E5958,'Rental Transaction'!A:B,2,FALSE)</f>
        <v>325263</v>
      </c>
      <c r="I5958">
        <f t="shared" si="93"/>
        <v>2014</v>
      </c>
    </row>
    <row r="5959" spans="1:9" ht="29.25">
      <c r="A5959" s="1">
        <v>10285</v>
      </c>
      <c r="B5959" s="1">
        <v>5</v>
      </c>
      <c r="C5959" s="2">
        <v>41842</v>
      </c>
      <c r="D5959" s="1" t="s">
        <v>2005</v>
      </c>
      <c r="E5959" s="1">
        <v>104394</v>
      </c>
      <c r="F5959" s="6" t="s">
        <v>7961</v>
      </c>
      <c r="G5959" s="15" t="str">
        <f>VLOOKUP(A5959,Movie!A:D,4,FALSE)</f>
        <v>Roadside Attractions</v>
      </c>
      <c r="H5959" s="14">
        <f>VLOOKUP(E5959,'Rental Transaction'!A:B,2,FALSE)</f>
        <v>866847</v>
      </c>
      <c r="I5959">
        <f t="shared" si="93"/>
        <v>2014</v>
      </c>
    </row>
    <row r="5960" spans="1:9">
      <c r="A5960" s="1">
        <v>10188</v>
      </c>
      <c r="B5960" s="1">
        <v>4</v>
      </c>
      <c r="C5960" s="2">
        <v>41842</v>
      </c>
      <c r="D5960" s="1" t="s">
        <v>2002</v>
      </c>
      <c r="E5960" s="1">
        <v>104395</v>
      </c>
      <c r="F5960" s="6" t="s">
        <v>7962</v>
      </c>
      <c r="G5960" s="15" t="str">
        <f>VLOOKUP(A5960,Movie!A:D,4,FALSE)</f>
        <v>Paramount</v>
      </c>
      <c r="H5960" s="14">
        <f>VLOOKUP(E5960,'Rental Transaction'!A:B,2,FALSE)</f>
        <v>731346</v>
      </c>
      <c r="I5960">
        <f t="shared" si="93"/>
        <v>2014</v>
      </c>
    </row>
    <row r="5961" spans="1:9">
      <c r="A5961" s="1">
        <v>10058</v>
      </c>
      <c r="B5961" s="1">
        <v>7</v>
      </c>
      <c r="C5961" s="2">
        <v>41843</v>
      </c>
      <c r="D5961" s="1" t="s">
        <v>2002</v>
      </c>
      <c r="E5961" s="1">
        <v>104398</v>
      </c>
      <c r="F5961" s="6" t="s">
        <v>7963</v>
      </c>
      <c r="G5961" s="15" t="str">
        <f>VLOOKUP(A5961,Movie!A:D,4,FALSE)</f>
        <v>Sony</v>
      </c>
      <c r="H5961" s="14">
        <f>VLOOKUP(E5961,'Rental Transaction'!A:B,2,FALSE)</f>
        <v>442691</v>
      </c>
      <c r="I5961">
        <f t="shared" si="93"/>
        <v>2014</v>
      </c>
    </row>
    <row r="5962" spans="1:9" ht="29.25">
      <c r="A5962" s="1">
        <v>10294</v>
      </c>
      <c r="B5962" s="1">
        <v>9</v>
      </c>
      <c r="C5962" s="2">
        <v>41845</v>
      </c>
      <c r="D5962" s="1" t="s">
        <v>2002</v>
      </c>
      <c r="E5962" s="1">
        <v>104398</v>
      </c>
      <c r="F5962" s="6" t="s">
        <v>7964</v>
      </c>
      <c r="G5962" s="15" t="str">
        <f>VLOOKUP(A5962,Movie!A:D,4,FALSE)</f>
        <v>Weinstein Company</v>
      </c>
      <c r="H5962" s="14">
        <f>VLOOKUP(E5962,'Rental Transaction'!A:B,2,FALSE)</f>
        <v>442691</v>
      </c>
      <c r="I5962">
        <f t="shared" si="93"/>
        <v>2014</v>
      </c>
    </row>
    <row r="5963" spans="1:9">
      <c r="A5963" s="1">
        <v>10230</v>
      </c>
      <c r="B5963" s="1">
        <v>1</v>
      </c>
      <c r="C5963" s="2">
        <v>41847</v>
      </c>
      <c r="D5963" s="1" t="s">
        <v>2002</v>
      </c>
      <c r="E5963" s="1">
        <v>104398</v>
      </c>
      <c r="F5963" s="6" t="s">
        <v>7965</v>
      </c>
      <c r="G5963" s="15" t="str">
        <f>VLOOKUP(A5963,Movie!A:D,4,FALSE)</f>
        <v>Focus</v>
      </c>
      <c r="H5963" s="14">
        <f>VLOOKUP(E5963,'Rental Transaction'!A:B,2,FALSE)</f>
        <v>442691</v>
      </c>
      <c r="I5963">
        <f t="shared" si="93"/>
        <v>2014</v>
      </c>
    </row>
    <row r="5964" spans="1:9">
      <c r="A5964" s="1">
        <v>10216</v>
      </c>
      <c r="B5964" s="1">
        <v>5</v>
      </c>
      <c r="C5964" s="2">
        <v>41843</v>
      </c>
      <c r="D5964" s="1" t="s">
        <v>2002</v>
      </c>
      <c r="E5964" s="1">
        <v>104399</v>
      </c>
      <c r="F5964" s="6" t="s">
        <v>7966</v>
      </c>
      <c r="G5964" s="15" t="str">
        <f>VLOOKUP(A5964,Movie!A:D,4,FALSE)</f>
        <v>Sony</v>
      </c>
      <c r="H5964" s="14">
        <f>VLOOKUP(E5964,'Rental Transaction'!A:B,2,FALSE)</f>
        <v>173380</v>
      </c>
      <c r="I5964">
        <f t="shared" si="93"/>
        <v>2014</v>
      </c>
    </row>
    <row r="5965" spans="1:9">
      <c r="A5965" s="1">
        <v>10250</v>
      </c>
      <c r="B5965" s="1">
        <v>8</v>
      </c>
      <c r="C5965" s="2">
        <v>41842</v>
      </c>
      <c r="D5965" s="1" t="s">
        <v>2005</v>
      </c>
      <c r="E5965" s="1">
        <v>104401</v>
      </c>
      <c r="F5965" s="6" t="s">
        <v>7967</v>
      </c>
      <c r="G5965" s="15" t="str">
        <f>VLOOKUP(A5965,Movie!A:D,4,FALSE)</f>
        <v>Buena Vista</v>
      </c>
      <c r="H5965" s="14">
        <f>VLOOKUP(E5965,'Rental Transaction'!A:B,2,FALSE)</f>
        <v>412544</v>
      </c>
      <c r="I5965">
        <f t="shared" si="93"/>
        <v>2014</v>
      </c>
    </row>
    <row r="5966" spans="1:9">
      <c r="A5966" s="1">
        <v>10262</v>
      </c>
      <c r="B5966" s="1">
        <v>4</v>
      </c>
      <c r="C5966" s="2">
        <v>41844</v>
      </c>
      <c r="D5966" s="1" t="s">
        <v>2002</v>
      </c>
      <c r="E5966" s="1">
        <v>104403</v>
      </c>
      <c r="F5966" s="6" t="s">
        <v>7968</v>
      </c>
      <c r="G5966" s="15" t="str">
        <f>VLOOKUP(A5966,Movie!A:D,4,FALSE)</f>
        <v>Lionsgate</v>
      </c>
      <c r="H5966" s="14">
        <f>VLOOKUP(E5966,'Rental Transaction'!A:B,2,FALSE)</f>
        <v>992895</v>
      </c>
      <c r="I5966">
        <f t="shared" si="93"/>
        <v>2014</v>
      </c>
    </row>
    <row r="5967" spans="1:9">
      <c r="A5967" s="1">
        <v>10229</v>
      </c>
      <c r="B5967" s="1">
        <v>4</v>
      </c>
      <c r="C5967" s="2">
        <v>41845</v>
      </c>
      <c r="D5967" s="1" t="s">
        <v>2002</v>
      </c>
      <c r="E5967" s="1">
        <v>104403</v>
      </c>
      <c r="F5967" s="6" t="s">
        <v>7969</v>
      </c>
      <c r="G5967" s="15" t="str">
        <f>VLOOKUP(A5967,Movie!A:D,4,FALSE)</f>
        <v>TriStar</v>
      </c>
      <c r="H5967" s="14">
        <f>VLOOKUP(E5967,'Rental Transaction'!A:B,2,FALSE)</f>
        <v>992895</v>
      </c>
      <c r="I5967">
        <f t="shared" si="93"/>
        <v>2014</v>
      </c>
    </row>
    <row r="5968" spans="1:9">
      <c r="A5968" s="1">
        <v>10237</v>
      </c>
      <c r="B5968" s="1">
        <v>3</v>
      </c>
      <c r="C5968" s="2">
        <v>41843</v>
      </c>
      <c r="D5968" s="1" t="s">
        <v>2002</v>
      </c>
      <c r="E5968" s="1">
        <v>104404</v>
      </c>
      <c r="F5968" s="6" t="s">
        <v>7970</v>
      </c>
      <c r="G5968" s="15" t="str">
        <f>VLOOKUP(A5968,Movie!A:D,4,FALSE)</f>
        <v>Warner Brothers</v>
      </c>
      <c r="H5968" s="14">
        <f>VLOOKUP(E5968,'Rental Transaction'!A:B,2,FALSE)</f>
        <v>189953</v>
      </c>
      <c r="I5968">
        <f t="shared" si="93"/>
        <v>2014</v>
      </c>
    </row>
    <row r="5969" spans="1:9">
      <c r="A5969" s="1">
        <v>10297</v>
      </c>
      <c r="B5969" s="1">
        <v>7</v>
      </c>
      <c r="C5969" s="2">
        <v>41844</v>
      </c>
      <c r="D5969" s="1" t="s">
        <v>2002</v>
      </c>
      <c r="E5969" s="1">
        <v>104404</v>
      </c>
      <c r="F5969" s="6" t="s">
        <v>7971</v>
      </c>
      <c r="G5969" s="15" t="str">
        <f>VLOOKUP(A5969,Movie!A:D,4,FALSE)</f>
        <v>Focus</v>
      </c>
      <c r="H5969" s="14">
        <f>VLOOKUP(E5969,'Rental Transaction'!A:B,2,FALSE)</f>
        <v>189953</v>
      </c>
      <c r="I5969">
        <f t="shared" si="93"/>
        <v>2014</v>
      </c>
    </row>
    <row r="5970" spans="1:9">
      <c r="A5970" s="1">
        <v>10236</v>
      </c>
      <c r="B5970" s="1">
        <v>8</v>
      </c>
      <c r="C5970" s="2">
        <v>41844</v>
      </c>
      <c r="D5970" s="1" t="s">
        <v>2002</v>
      </c>
      <c r="E5970" s="1">
        <v>104404</v>
      </c>
      <c r="F5970" s="6" t="s">
        <v>7972</v>
      </c>
      <c r="G5970" s="15" t="str">
        <f>VLOOKUP(A5970,Movie!A:D,4,FALSE)</f>
        <v>Lionsgate</v>
      </c>
      <c r="H5970" s="14">
        <f>VLOOKUP(E5970,'Rental Transaction'!A:B,2,FALSE)</f>
        <v>189953</v>
      </c>
      <c r="I5970">
        <f t="shared" si="93"/>
        <v>2014</v>
      </c>
    </row>
    <row r="5971" spans="1:9" ht="29.25">
      <c r="A5971" s="1">
        <v>10285</v>
      </c>
      <c r="B5971" s="1">
        <v>6</v>
      </c>
      <c r="C5971" s="2">
        <v>41844</v>
      </c>
      <c r="D5971" s="1" t="s">
        <v>2005</v>
      </c>
      <c r="E5971" s="1">
        <v>104404</v>
      </c>
      <c r="F5971" s="6" t="s">
        <v>7973</v>
      </c>
      <c r="G5971" s="15" t="str">
        <f>VLOOKUP(A5971,Movie!A:D,4,FALSE)</f>
        <v>Roadside Attractions</v>
      </c>
      <c r="H5971" s="14">
        <f>VLOOKUP(E5971,'Rental Transaction'!A:B,2,FALSE)</f>
        <v>189953</v>
      </c>
      <c r="I5971">
        <f t="shared" si="93"/>
        <v>2014</v>
      </c>
    </row>
    <row r="5972" spans="1:9">
      <c r="A5972" s="1">
        <v>10218</v>
      </c>
      <c r="B5972" s="1">
        <v>10</v>
      </c>
      <c r="C5972" s="2">
        <v>41843</v>
      </c>
      <c r="D5972" s="1" t="s">
        <v>2002</v>
      </c>
      <c r="E5972" s="1">
        <v>104405</v>
      </c>
      <c r="F5972" s="6" t="s">
        <v>7974</v>
      </c>
      <c r="G5972" s="15" t="str">
        <f>VLOOKUP(A5972,Movie!A:D,4,FALSE)</f>
        <v>Sony</v>
      </c>
      <c r="H5972" s="14">
        <f>VLOOKUP(E5972,'Rental Transaction'!A:B,2,FALSE)</f>
        <v>970794</v>
      </c>
      <c r="I5972">
        <f t="shared" si="93"/>
        <v>2014</v>
      </c>
    </row>
    <row r="5973" spans="1:9">
      <c r="A5973" s="1">
        <v>10253</v>
      </c>
      <c r="B5973" s="1">
        <v>3</v>
      </c>
      <c r="C5973" s="2">
        <v>41849</v>
      </c>
      <c r="D5973" s="1" t="s">
        <v>2005</v>
      </c>
      <c r="E5973" s="1">
        <v>104406</v>
      </c>
      <c r="F5973" s="6" t="s">
        <v>7975</v>
      </c>
      <c r="G5973" s="15" t="str">
        <f>VLOOKUP(A5973,Movie!A:D,4,FALSE)</f>
        <v>Buena Vista</v>
      </c>
      <c r="H5973" s="14">
        <f>VLOOKUP(E5973,'Rental Transaction'!A:B,2,FALSE)</f>
        <v>628132</v>
      </c>
      <c r="I5973">
        <f t="shared" si="93"/>
        <v>2014</v>
      </c>
    </row>
    <row r="5974" spans="1:9">
      <c r="A5974" s="1">
        <v>10016</v>
      </c>
      <c r="B5974" s="1">
        <v>9</v>
      </c>
      <c r="C5974" s="2">
        <v>41844</v>
      </c>
      <c r="D5974" s="1" t="s">
        <v>2002</v>
      </c>
      <c r="E5974" s="1">
        <v>104406</v>
      </c>
      <c r="F5974" s="6" t="s">
        <v>7976</v>
      </c>
      <c r="G5974" s="15" t="str">
        <f>VLOOKUP(A5974,Movie!A:D,4,FALSE)</f>
        <v>Universal</v>
      </c>
      <c r="H5974" s="14">
        <f>VLOOKUP(E5974,'Rental Transaction'!A:B,2,FALSE)</f>
        <v>628132</v>
      </c>
      <c r="I5974">
        <f t="shared" si="93"/>
        <v>2014</v>
      </c>
    </row>
    <row r="5975" spans="1:9" ht="29.25">
      <c r="A5975" s="1">
        <v>10290</v>
      </c>
      <c r="B5975" s="1">
        <v>10</v>
      </c>
      <c r="C5975" s="2">
        <v>41844</v>
      </c>
      <c r="D5975" s="1" t="s">
        <v>2005</v>
      </c>
      <c r="E5975" s="1">
        <v>104407</v>
      </c>
      <c r="F5975" s="6" t="s">
        <v>7977</v>
      </c>
      <c r="G5975" s="15" t="str">
        <f>VLOOKUP(A5975,Movie!A:D,4,FALSE)</f>
        <v>Weinstein Company</v>
      </c>
      <c r="H5975" s="14">
        <f>VLOOKUP(E5975,'Rental Transaction'!A:B,2,FALSE)</f>
        <v>170500</v>
      </c>
      <c r="I5975">
        <f t="shared" si="93"/>
        <v>2014</v>
      </c>
    </row>
    <row r="5976" spans="1:9">
      <c r="A5976" s="1">
        <v>10064</v>
      </c>
      <c r="B5976" s="1">
        <v>6</v>
      </c>
      <c r="C5976" s="2">
        <v>41844</v>
      </c>
      <c r="D5976" s="1" t="s">
        <v>2002</v>
      </c>
      <c r="E5976" s="1">
        <v>104408</v>
      </c>
      <c r="F5976" s="6" t="s">
        <v>7978</v>
      </c>
      <c r="G5976" s="15" t="str">
        <f>VLOOKUP(A5976,Movie!A:D,4,FALSE)</f>
        <v>Universal</v>
      </c>
      <c r="H5976" s="14">
        <f>VLOOKUP(E5976,'Rental Transaction'!A:B,2,FALSE)</f>
        <v>236554</v>
      </c>
      <c r="I5976">
        <f t="shared" si="93"/>
        <v>2014</v>
      </c>
    </row>
    <row r="5977" spans="1:9">
      <c r="A5977" s="1">
        <v>10098</v>
      </c>
      <c r="B5977" s="1">
        <v>6</v>
      </c>
      <c r="C5977" s="2">
        <v>41846</v>
      </c>
      <c r="D5977" s="1" t="s">
        <v>2005</v>
      </c>
      <c r="E5977" s="1">
        <v>104409</v>
      </c>
      <c r="F5977" s="6" t="s">
        <v>7979</v>
      </c>
      <c r="G5977" s="15" t="str">
        <f>VLOOKUP(A5977,Movie!A:D,4,FALSE)</f>
        <v>Warner Brothers</v>
      </c>
      <c r="H5977" s="14">
        <f>VLOOKUP(E5977,'Rental Transaction'!A:B,2,FALSE)</f>
        <v>200272</v>
      </c>
      <c r="I5977">
        <f t="shared" si="93"/>
        <v>2014</v>
      </c>
    </row>
    <row r="5978" spans="1:9">
      <c r="A5978" s="1">
        <v>10133</v>
      </c>
      <c r="B5978" s="1">
        <v>8</v>
      </c>
      <c r="C5978" s="2">
        <v>41844</v>
      </c>
      <c r="D5978" s="1" t="s">
        <v>2002</v>
      </c>
      <c r="E5978" s="1">
        <v>104409</v>
      </c>
      <c r="F5978" s="6" t="s">
        <v>7980</v>
      </c>
      <c r="G5978" s="15" t="str">
        <f>VLOOKUP(A5978,Movie!A:D,4,FALSE)</f>
        <v>Fox</v>
      </c>
      <c r="H5978" s="14">
        <f>VLOOKUP(E5978,'Rental Transaction'!A:B,2,FALSE)</f>
        <v>200272</v>
      </c>
      <c r="I5978">
        <f t="shared" si="93"/>
        <v>2014</v>
      </c>
    </row>
    <row r="5979" spans="1:9">
      <c r="A5979" s="1">
        <v>10180</v>
      </c>
      <c r="B5979" s="1">
        <v>7</v>
      </c>
      <c r="C5979" s="2">
        <v>41844</v>
      </c>
      <c r="D5979" s="1" t="s">
        <v>2002</v>
      </c>
      <c r="E5979" s="1">
        <v>104411</v>
      </c>
      <c r="F5979" s="6" t="s">
        <v>7981</v>
      </c>
      <c r="G5979" s="15" t="str">
        <f>VLOOKUP(A5979,Movie!A:D,4,FALSE)</f>
        <v>Relativity</v>
      </c>
      <c r="H5979" s="14">
        <f>VLOOKUP(E5979,'Rental Transaction'!A:B,2,FALSE)</f>
        <v>162236</v>
      </c>
      <c r="I5979">
        <f t="shared" si="93"/>
        <v>2014</v>
      </c>
    </row>
    <row r="5980" spans="1:9">
      <c r="A5980" s="1">
        <v>10280</v>
      </c>
      <c r="B5980" s="1">
        <v>5</v>
      </c>
      <c r="C5980" s="2">
        <v>41846</v>
      </c>
      <c r="D5980" s="1" t="s">
        <v>2002</v>
      </c>
      <c r="E5980" s="1">
        <v>104413</v>
      </c>
      <c r="F5980" s="6" t="s">
        <v>7982</v>
      </c>
      <c r="G5980" s="15" t="str">
        <f>VLOOKUP(A5980,Movie!A:D,4,FALSE)</f>
        <v>Universal</v>
      </c>
      <c r="H5980" s="14">
        <f>VLOOKUP(E5980,'Rental Transaction'!A:B,2,FALSE)</f>
        <v>808177</v>
      </c>
      <c r="I5980">
        <f t="shared" si="93"/>
        <v>2014</v>
      </c>
    </row>
    <row r="5981" spans="1:9">
      <c r="A5981" s="1">
        <v>10244</v>
      </c>
      <c r="B5981" s="1">
        <v>8</v>
      </c>
      <c r="C5981" s="2">
        <v>41844</v>
      </c>
      <c r="D5981" s="1" t="s">
        <v>2002</v>
      </c>
      <c r="E5981" s="1">
        <v>104415</v>
      </c>
      <c r="F5981" s="6" t="s">
        <v>7983</v>
      </c>
      <c r="G5981" s="15" t="str">
        <f>VLOOKUP(A5981,Movie!A:D,4,FALSE)</f>
        <v>Sony</v>
      </c>
      <c r="H5981" s="14">
        <f>VLOOKUP(E5981,'Rental Transaction'!A:B,2,FALSE)</f>
        <v>183797</v>
      </c>
      <c r="I5981">
        <f t="shared" si="93"/>
        <v>2014</v>
      </c>
    </row>
    <row r="5982" spans="1:9">
      <c r="A5982" s="1">
        <v>10234</v>
      </c>
      <c r="B5982" s="1">
        <v>4</v>
      </c>
      <c r="C5982" s="2">
        <v>41844</v>
      </c>
      <c r="D5982" s="1" t="s">
        <v>2002</v>
      </c>
      <c r="E5982" s="1">
        <v>104415</v>
      </c>
      <c r="F5982" s="6" t="s">
        <v>7984</v>
      </c>
      <c r="G5982" s="15" t="str">
        <f>VLOOKUP(A5982,Movie!A:D,4,FALSE)</f>
        <v>Warner Brothers</v>
      </c>
      <c r="H5982" s="14">
        <f>VLOOKUP(E5982,'Rental Transaction'!A:B,2,FALSE)</f>
        <v>183797</v>
      </c>
      <c r="I5982">
        <f t="shared" si="93"/>
        <v>2014</v>
      </c>
    </row>
    <row r="5983" spans="1:9">
      <c r="A5983" s="1">
        <v>10250</v>
      </c>
      <c r="B5983" s="1">
        <v>5</v>
      </c>
      <c r="C5983" s="2">
        <v>41844</v>
      </c>
      <c r="D5983" s="1" t="s">
        <v>2005</v>
      </c>
      <c r="E5983" s="1">
        <v>104415</v>
      </c>
      <c r="F5983" s="6" t="s">
        <v>7985</v>
      </c>
      <c r="G5983" s="15" t="str">
        <f>VLOOKUP(A5983,Movie!A:D,4,FALSE)</f>
        <v>Buena Vista</v>
      </c>
      <c r="H5983" s="14">
        <f>VLOOKUP(E5983,'Rental Transaction'!A:B,2,FALSE)</f>
        <v>183797</v>
      </c>
      <c r="I5983">
        <f t="shared" si="93"/>
        <v>2014</v>
      </c>
    </row>
    <row r="5984" spans="1:9">
      <c r="A5984" s="1">
        <v>10066</v>
      </c>
      <c r="B5984" s="1">
        <v>5</v>
      </c>
      <c r="C5984" s="2">
        <v>41848</v>
      </c>
      <c r="D5984" s="1" t="s">
        <v>2005</v>
      </c>
      <c r="E5984" s="1">
        <v>104416</v>
      </c>
      <c r="F5984" s="6" t="s">
        <v>7986</v>
      </c>
      <c r="G5984" s="15" t="str">
        <f>VLOOKUP(A5984,Movie!A:D,4,FALSE)</f>
        <v>Buena Vista</v>
      </c>
      <c r="H5984" s="14">
        <f>VLOOKUP(E5984,'Rental Transaction'!A:B,2,FALSE)</f>
        <v>664934</v>
      </c>
      <c r="I5984">
        <f t="shared" si="93"/>
        <v>2014</v>
      </c>
    </row>
    <row r="5985" spans="1:9" ht="29.25">
      <c r="A5985" s="1">
        <v>10140</v>
      </c>
      <c r="B5985" s="1">
        <v>1</v>
      </c>
      <c r="C5985" s="2">
        <v>41851</v>
      </c>
      <c r="D5985" s="1" t="s">
        <v>2005</v>
      </c>
      <c r="E5985" s="1">
        <v>104417</v>
      </c>
      <c r="F5985" s="6" t="s">
        <v>7987</v>
      </c>
      <c r="G5985" s="15" t="str">
        <f>VLOOKUP(A5985,Movie!A:D,4,FALSE)</f>
        <v>Weinstein Company</v>
      </c>
      <c r="H5985" s="14">
        <f>VLOOKUP(E5985,'Rental Transaction'!A:B,2,FALSE)</f>
        <v>938417</v>
      </c>
      <c r="I5985">
        <f t="shared" si="93"/>
        <v>2014</v>
      </c>
    </row>
    <row r="5986" spans="1:9">
      <c r="A5986" s="1">
        <v>10194</v>
      </c>
      <c r="B5986" s="1">
        <v>5</v>
      </c>
      <c r="C5986" s="2">
        <v>41846</v>
      </c>
      <c r="D5986" s="1" t="s">
        <v>2002</v>
      </c>
      <c r="E5986" s="1">
        <v>104417</v>
      </c>
      <c r="F5986" s="6" t="s">
        <v>7988</v>
      </c>
      <c r="G5986" s="15" t="str">
        <f>VLOOKUP(A5986,Movie!A:D,4,FALSE)</f>
        <v>FilmDistrict</v>
      </c>
      <c r="H5986" s="14">
        <f>VLOOKUP(E5986,'Rental Transaction'!A:B,2,FALSE)</f>
        <v>938417</v>
      </c>
      <c r="I5986">
        <f t="shared" si="93"/>
        <v>2014</v>
      </c>
    </row>
    <row r="5987" spans="1:9">
      <c r="A5987" s="1">
        <v>10137</v>
      </c>
      <c r="B5987" s="1">
        <v>4</v>
      </c>
      <c r="C5987" s="2">
        <v>41845</v>
      </c>
      <c r="D5987" s="1" t="s">
        <v>2002</v>
      </c>
      <c r="E5987" s="1">
        <v>104418</v>
      </c>
      <c r="F5987" s="6" t="s">
        <v>7989</v>
      </c>
      <c r="G5987" s="15" t="str">
        <f>VLOOKUP(A5987,Movie!A:D,4,FALSE)</f>
        <v>Buena Vista</v>
      </c>
      <c r="H5987" s="14">
        <f>VLOOKUP(E5987,'Rental Transaction'!A:B,2,FALSE)</f>
        <v>407605</v>
      </c>
      <c r="I5987">
        <f t="shared" si="93"/>
        <v>2014</v>
      </c>
    </row>
    <row r="5988" spans="1:9">
      <c r="A5988" s="1">
        <v>10200</v>
      </c>
      <c r="B5988" s="1">
        <v>4</v>
      </c>
      <c r="C5988" s="2">
        <v>41845</v>
      </c>
      <c r="D5988" s="1" t="s">
        <v>2002</v>
      </c>
      <c r="E5988" s="1">
        <v>104419</v>
      </c>
      <c r="F5988" s="6" t="s">
        <v>7990</v>
      </c>
      <c r="G5988" s="15" t="str">
        <f>VLOOKUP(A5988,Movie!A:D,4,FALSE)</f>
        <v>Fox</v>
      </c>
      <c r="H5988" s="14">
        <f>VLOOKUP(E5988,'Rental Transaction'!A:B,2,FALSE)</f>
        <v>108708</v>
      </c>
      <c r="I5988">
        <f t="shared" si="93"/>
        <v>2014</v>
      </c>
    </row>
    <row r="5989" spans="1:9">
      <c r="A5989" s="1">
        <v>10265</v>
      </c>
      <c r="B5989" s="1">
        <v>8</v>
      </c>
      <c r="C5989" s="2">
        <v>41845</v>
      </c>
      <c r="D5989" s="1" t="s">
        <v>2002</v>
      </c>
      <c r="E5989" s="1">
        <v>104420</v>
      </c>
      <c r="F5989" s="6" t="s">
        <v>7991</v>
      </c>
      <c r="G5989" s="15" t="str">
        <f>VLOOKUP(A5989,Movie!A:D,4,FALSE)</f>
        <v>Warner Brothers</v>
      </c>
      <c r="H5989" s="14">
        <f>VLOOKUP(E5989,'Rental Transaction'!A:B,2,FALSE)</f>
        <v>659695</v>
      </c>
      <c r="I5989">
        <f t="shared" si="93"/>
        <v>2014</v>
      </c>
    </row>
    <row r="5990" spans="1:9">
      <c r="A5990" s="1">
        <v>10212</v>
      </c>
      <c r="B5990" s="1">
        <v>10</v>
      </c>
      <c r="C5990" s="2">
        <v>41846</v>
      </c>
      <c r="D5990" s="1" t="s">
        <v>2002</v>
      </c>
      <c r="E5990" s="1">
        <v>104421</v>
      </c>
      <c r="F5990" s="6" t="s">
        <v>7992</v>
      </c>
      <c r="G5990" s="15" t="str">
        <f>VLOOKUP(A5990,Movie!A:D,4,FALSE)</f>
        <v>Lionsgate</v>
      </c>
      <c r="H5990" s="14">
        <f>VLOOKUP(E5990,'Rental Transaction'!A:B,2,FALSE)</f>
        <v>493552</v>
      </c>
      <c r="I5990">
        <f t="shared" si="93"/>
        <v>2014</v>
      </c>
    </row>
    <row r="5991" spans="1:9">
      <c r="A5991" s="1">
        <v>10229</v>
      </c>
      <c r="B5991" s="1">
        <v>2</v>
      </c>
      <c r="C5991" s="2">
        <v>41845</v>
      </c>
      <c r="D5991" s="1" t="s">
        <v>2002</v>
      </c>
      <c r="E5991" s="1">
        <v>104422</v>
      </c>
      <c r="F5991" s="6" t="s">
        <v>7993</v>
      </c>
      <c r="G5991" s="15" t="str">
        <f>VLOOKUP(A5991,Movie!A:D,4,FALSE)</f>
        <v>TriStar</v>
      </c>
      <c r="H5991" s="14">
        <f>VLOOKUP(E5991,'Rental Transaction'!A:B,2,FALSE)</f>
        <v>422951</v>
      </c>
      <c r="I5991">
        <f t="shared" si="93"/>
        <v>2014</v>
      </c>
    </row>
    <row r="5992" spans="1:9">
      <c r="A5992" s="1">
        <v>10203</v>
      </c>
      <c r="B5992" s="1">
        <v>7</v>
      </c>
      <c r="C5992" s="2">
        <v>41846</v>
      </c>
      <c r="D5992" s="1" t="s">
        <v>2002</v>
      </c>
      <c r="E5992" s="1">
        <v>104422</v>
      </c>
      <c r="F5992" s="6" t="s">
        <v>7994</v>
      </c>
      <c r="G5992" s="15" t="str">
        <f>VLOOKUP(A5992,Movie!A:D,4,FALSE)</f>
        <v>Buena Vista</v>
      </c>
      <c r="H5992" s="14">
        <f>VLOOKUP(E5992,'Rental Transaction'!A:B,2,FALSE)</f>
        <v>422951</v>
      </c>
      <c r="I5992">
        <f t="shared" si="93"/>
        <v>2014</v>
      </c>
    </row>
    <row r="5993" spans="1:9">
      <c r="A5993" s="1">
        <v>10230</v>
      </c>
      <c r="B5993" s="1">
        <v>7</v>
      </c>
      <c r="C5993" s="2">
        <v>41845</v>
      </c>
      <c r="D5993" s="1" t="s">
        <v>2002</v>
      </c>
      <c r="E5993" s="1">
        <v>104423</v>
      </c>
      <c r="F5993" s="6" t="s">
        <v>7995</v>
      </c>
      <c r="G5993" s="15" t="str">
        <f>VLOOKUP(A5993,Movie!A:D,4,FALSE)</f>
        <v>Focus</v>
      </c>
      <c r="H5993" s="14">
        <f>VLOOKUP(E5993,'Rental Transaction'!A:B,2,FALSE)</f>
        <v>817274</v>
      </c>
      <c r="I5993">
        <f t="shared" si="93"/>
        <v>2014</v>
      </c>
    </row>
    <row r="5994" spans="1:9" ht="29.25">
      <c r="A5994" s="1">
        <v>10239</v>
      </c>
      <c r="B5994" s="1">
        <v>7</v>
      </c>
      <c r="C5994" s="2">
        <v>41848</v>
      </c>
      <c r="D5994" s="1" t="s">
        <v>2002</v>
      </c>
      <c r="E5994" s="1">
        <v>104424</v>
      </c>
      <c r="F5994" s="6" t="s">
        <v>7996</v>
      </c>
      <c r="G5994" s="15" t="str">
        <f>VLOOKUP(A5994,Movie!A:D,4,FALSE)</f>
        <v>Weinstein Company</v>
      </c>
      <c r="H5994" s="14">
        <f>VLOOKUP(E5994,'Rental Transaction'!A:B,2,FALSE)</f>
        <v>850952</v>
      </c>
      <c r="I5994">
        <f t="shared" si="93"/>
        <v>2014</v>
      </c>
    </row>
    <row r="5995" spans="1:9">
      <c r="A5995" s="1">
        <v>10241</v>
      </c>
      <c r="B5995" s="1">
        <v>2</v>
      </c>
      <c r="C5995" s="2">
        <v>41848</v>
      </c>
      <c r="D5995" s="1" t="s">
        <v>2002</v>
      </c>
      <c r="E5995" s="1">
        <v>104426</v>
      </c>
      <c r="F5995" s="6" t="s">
        <v>7997</v>
      </c>
      <c r="G5995" s="15" t="str">
        <f>VLOOKUP(A5995,Movie!A:D,4,FALSE)</f>
        <v>Warner Brothers</v>
      </c>
      <c r="H5995" s="14">
        <f>VLOOKUP(E5995,'Rental Transaction'!A:B,2,FALSE)</f>
        <v>196068</v>
      </c>
      <c r="I5995">
        <f t="shared" si="93"/>
        <v>2014</v>
      </c>
    </row>
    <row r="5996" spans="1:9">
      <c r="A5996" s="1">
        <v>10238</v>
      </c>
      <c r="B5996" s="1">
        <v>7</v>
      </c>
      <c r="C5996" s="2">
        <v>41847</v>
      </c>
      <c r="D5996" s="1" t="s">
        <v>2005</v>
      </c>
      <c r="E5996" s="1">
        <v>104427</v>
      </c>
      <c r="F5996" s="6" t="s">
        <v>7998</v>
      </c>
      <c r="G5996" s="15" t="str">
        <f>VLOOKUP(A5996,Movie!A:D,4,FALSE)</f>
        <v>Warner Brothers</v>
      </c>
      <c r="H5996" s="14">
        <f>VLOOKUP(E5996,'Rental Transaction'!A:B,2,FALSE)</f>
        <v>722547</v>
      </c>
      <c r="I5996">
        <f t="shared" si="93"/>
        <v>2014</v>
      </c>
    </row>
    <row r="5997" spans="1:9">
      <c r="A5997" s="1">
        <v>10112</v>
      </c>
      <c r="B5997" s="1">
        <v>3</v>
      </c>
      <c r="C5997" s="2">
        <v>41847</v>
      </c>
      <c r="D5997" s="1" t="s">
        <v>2002</v>
      </c>
      <c r="E5997" s="1">
        <v>104430</v>
      </c>
      <c r="F5997" s="6" t="s">
        <v>7999</v>
      </c>
      <c r="G5997" s="15" t="str">
        <f>VLOOKUP(A5997,Movie!A:D,4,FALSE)</f>
        <v>Relativity</v>
      </c>
      <c r="H5997" s="14">
        <f>VLOOKUP(E5997,'Rental Transaction'!A:B,2,FALSE)</f>
        <v>994185</v>
      </c>
      <c r="I5997">
        <f t="shared" si="93"/>
        <v>2014</v>
      </c>
    </row>
    <row r="5998" spans="1:9">
      <c r="A5998" s="1">
        <v>10037</v>
      </c>
      <c r="B5998" s="1">
        <v>6</v>
      </c>
      <c r="C5998" s="2">
        <v>41848</v>
      </c>
      <c r="D5998" s="1" t="s">
        <v>2002</v>
      </c>
      <c r="E5998" s="1">
        <v>104431</v>
      </c>
      <c r="F5998" s="6" t="s">
        <v>8000</v>
      </c>
      <c r="G5998" s="15" t="str">
        <f>VLOOKUP(A5998,Movie!A:D,4,FALSE)</f>
        <v>Buena Vista</v>
      </c>
      <c r="H5998" s="14">
        <f>VLOOKUP(E5998,'Rental Transaction'!A:B,2,FALSE)</f>
        <v>116690</v>
      </c>
      <c r="I5998">
        <f t="shared" si="93"/>
        <v>2014</v>
      </c>
    </row>
    <row r="5999" spans="1:9">
      <c r="A5999" s="1">
        <v>10145</v>
      </c>
      <c r="B5999" s="1">
        <v>3</v>
      </c>
      <c r="C5999" s="2">
        <v>41848</v>
      </c>
      <c r="D5999" s="1" t="s">
        <v>2002</v>
      </c>
      <c r="E5999" s="1">
        <v>104431</v>
      </c>
      <c r="F5999" s="6" t="s">
        <v>8001</v>
      </c>
      <c r="G5999" s="15" t="str">
        <f>VLOOKUP(A5999,Movie!A:D,4,FALSE)</f>
        <v>TriStar</v>
      </c>
      <c r="H5999" s="14">
        <f>VLOOKUP(E5999,'Rental Transaction'!A:B,2,FALSE)</f>
        <v>116690</v>
      </c>
      <c r="I5999">
        <f t="shared" si="93"/>
        <v>2014</v>
      </c>
    </row>
    <row r="6000" spans="1:9">
      <c r="A6000" s="1">
        <v>10209</v>
      </c>
      <c r="B6000" s="1">
        <v>1</v>
      </c>
      <c r="C6000" s="2">
        <v>41847</v>
      </c>
      <c r="D6000" s="1" t="s">
        <v>2002</v>
      </c>
      <c r="E6000" s="1">
        <v>104432</v>
      </c>
      <c r="F6000" s="6" t="s">
        <v>8002</v>
      </c>
      <c r="G6000" s="15" t="str">
        <f>VLOOKUP(A6000,Movie!A:D,4,FALSE)</f>
        <v>Universal</v>
      </c>
      <c r="H6000" s="14">
        <f>VLOOKUP(E6000,'Rental Transaction'!A:B,2,FALSE)</f>
        <v>405671</v>
      </c>
      <c r="I6000">
        <f t="shared" si="93"/>
        <v>2014</v>
      </c>
    </row>
    <row r="6001" spans="1:9">
      <c r="A6001" s="1">
        <v>10266</v>
      </c>
      <c r="B6001" s="1">
        <v>4</v>
      </c>
      <c r="C6001" s="2">
        <v>41847</v>
      </c>
      <c r="D6001" s="1" t="s">
        <v>2002</v>
      </c>
      <c r="E6001" s="1">
        <v>104433</v>
      </c>
      <c r="F6001" s="6" t="s">
        <v>8003</v>
      </c>
      <c r="G6001" s="15" t="str">
        <f>VLOOKUP(A6001,Movie!A:D,4,FALSE)</f>
        <v>Sony</v>
      </c>
      <c r="H6001" s="14">
        <f>VLOOKUP(E6001,'Rental Transaction'!A:B,2,FALSE)</f>
        <v>951701</v>
      </c>
      <c r="I6001">
        <f t="shared" si="93"/>
        <v>2014</v>
      </c>
    </row>
    <row r="6002" spans="1:9">
      <c r="A6002" s="1">
        <v>10171</v>
      </c>
      <c r="B6002" s="1">
        <v>5</v>
      </c>
      <c r="C6002" s="2">
        <v>41852</v>
      </c>
      <c r="D6002" s="1" t="s">
        <v>2002</v>
      </c>
      <c r="E6002" s="1">
        <v>104433</v>
      </c>
      <c r="F6002" s="6" t="s">
        <v>8004</v>
      </c>
      <c r="G6002" s="15" t="str">
        <f>VLOOKUP(A6002,Movie!A:D,4,FALSE)</f>
        <v>Universal</v>
      </c>
      <c r="H6002" s="14">
        <f>VLOOKUP(E6002,'Rental Transaction'!A:B,2,FALSE)</f>
        <v>951701</v>
      </c>
      <c r="I6002">
        <f t="shared" si="93"/>
        <v>2014</v>
      </c>
    </row>
    <row r="6003" spans="1:9">
      <c r="A6003" s="1">
        <v>10281</v>
      </c>
      <c r="B6003" s="1">
        <v>5</v>
      </c>
      <c r="C6003" s="2">
        <v>41850</v>
      </c>
      <c r="D6003" s="1" t="s">
        <v>2002</v>
      </c>
      <c r="E6003" s="1">
        <v>104434</v>
      </c>
      <c r="F6003" s="6" t="s">
        <v>8005</v>
      </c>
      <c r="G6003" s="15" t="str">
        <f>VLOOKUP(A6003,Movie!A:D,4,FALSE)</f>
        <v>Lionsgate</v>
      </c>
      <c r="H6003" s="14">
        <f>VLOOKUP(E6003,'Rental Transaction'!A:B,2,FALSE)</f>
        <v>242720</v>
      </c>
      <c r="I6003">
        <f t="shared" si="93"/>
        <v>2014</v>
      </c>
    </row>
    <row r="6004" spans="1:9">
      <c r="A6004" s="1">
        <v>10198</v>
      </c>
      <c r="B6004" s="1">
        <v>3</v>
      </c>
      <c r="C6004" s="2">
        <v>41848</v>
      </c>
      <c r="D6004" s="1" t="s">
        <v>2002</v>
      </c>
      <c r="E6004" s="1">
        <v>104435</v>
      </c>
      <c r="F6004" s="6" t="s">
        <v>8006</v>
      </c>
      <c r="G6004" s="15" t="str">
        <f>VLOOKUP(A6004,Movie!A:D,4,FALSE)</f>
        <v>Fox</v>
      </c>
      <c r="H6004" s="14">
        <f>VLOOKUP(E6004,'Rental Transaction'!A:B,2,FALSE)</f>
        <v>793987</v>
      </c>
      <c r="I6004">
        <f t="shared" si="93"/>
        <v>2014</v>
      </c>
    </row>
    <row r="6005" spans="1:9">
      <c r="A6005" s="1">
        <v>10135</v>
      </c>
      <c r="B6005" s="1">
        <v>7</v>
      </c>
      <c r="C6005" s="2">
        <v>41848</v>
      </c>
      <c r="D6005" s="1" t="s">
        <v>2002</v>
      </c>
      <c r="E6005" s="1">
        <v>104436</v>
      </c>
      <c r="F6005" s="6" t="s">
        <v>8007</v>
      </c>
      <c r="G6005" s="15" t="str">
        <f>VLOOKUP(A6005,Movie!A:D,4,FALSE)</f>
        <v>Universal</v>
      </c>
      <c r="H6005" s="14">
        <f>VLOOKUP(E6005,'Rental Transaction'!A:B,2,FALSE)</f>
        <v>371731</v>
      </c>
      <c r="I6005">
        <f t="shared" si="93"/>
        <v>2014</v>
      </c>
    </row>
    <row r="6006" spans="1:9">
      <c r="A6006" s="1">
        <v>10099</v>
      </c>
      <c r="B6006" s="1">
        <v>5</v>
      </c>
      <c r="C6006" s="2">
        <v>41847</v>
      </c>
      <c r="D6006" s="1" t="s">
        <v>2002</v>
      </c>
      <c r="E6006" s="1">
        <v>104436</v>
      </c>
      <c r="F6006" s="6" t="s">
        <v>8008</v>
      </c>
      <c r="G6006" s="15" t="str">
        <f>VLOOKUP(A6006,Movie!A:D,4,FALSE)</f>
        <v>Lionsgate</v>
      </c>
      <c r="H6006" s="14">
        <f>VLOOKUP(E6006,'Rental Transaction'!A:B,2,FALSE)</f>
        <v>371731</v>
      </c>
      <c r="I6006">
        <f t="shared" si="93"/>
        <v>2014</v>
      </c>
    </row>
    <row r="6007" spans="1:9">
      <c r="A6007" s="1">
        <v>10282</v>
      </c>
      <c r="B6007" s="1">
        <v>8</v>
      </c>
      <c r="C6007" s="2">
        <v>41848</v>
      </c>
      <c r="D6007" s="1" t="s">
        <v>2002</v>
      </c>
      <c r="E6007" s="1">
        <v>104437</v>
      </c>
      <c r="F6007" s="6" t="s">
        <v>8009</v>
      </c>
      <c r="G6007" s="15" t="str">
        <f>VLOOKUP(A6007,Movie!A:D,4,FALSE)</f>
        <v>Sony Classics</v>
      </c>
      <c r="H6007" s="14">
        <f>VLOOKUP(E6007,'Rental Transaction'!A:B,2,FALSE)</f>
        <v>193914</v>
      </c>
      <c r="I6007">
        <f t="shared" si="93"/>
        <v>2014</v>
      </c>
    </row>
    <row r="6008" spans="1:9">
      <c r="A6008" s="1">
        <v>10270</v>
      </c>
      <c r="B6008" s="1">
        <v>10</v>
      </c>
      <c r="C6008" s="2">
        <v>41847</v>
      </c>
      <c r="D6008" s="1" t="s">
        <v>2002</v>
      </c>
      <c r="E6008" s="1">
        <v>104438</v>
      </c>
      <c r="F6008" s="6" t="s">
        <v>8010</v>
      </c>
      <c r="G6008" s="15" t="str">
        <f>VLOOKUP(A6008,Movie!A:D,4,FALSE)</f>
        <v>Fox</v>
      </c>
      <c r="H6008" s="14">
        <f>VLOOKUP(E6008,'Rental Transaction'!A:B,2,FALSE)</f>
        <v>245577</v>
      </c>
      <c r="I6008">
        <f t="shared" si="93"/>
        <v>2014</v>
      </c>
    </row>
    <row r="6009" spans="1:9">
      <c r="A6009" s="1">
        <v>10277</v>
      </c>
      <c r="B6009" s="1">
        <v>6</v>
      </c>
      <c r="C6009" s="2">
        <v>41850</v>
      </c>
      <c r="D6009" s="1" t="s">
        <v>2002</v>
      </c>
      <c r="E6009" s="1">
        <v>104439</v>
      </c>
      <c r="F6009" s="6" t="s">
        <v>8011</v>
      </c>
      <c r="G6009" s="15" t="str">
        <f>VLOOKUP(A6009,Movie!A:D,4,FALSE)</f>
        <v>Universal</v>
      </c>
      <c r="H6009" s="14">
        <f>VLOOKUP(E6009,'Rental Transaction'!A:B,2,FALSE)</f>
        <v>767570</v>
      </c>
      <c r="I6009">
        <f t="shared" si="93"/>
        <v>2014</v>
      </c>
    </row>
    <row r="6010" spans="1:9">
      <c r="A6010" s="1">
        <v>10250</v>
      </c>
      <c r="B6010" s="1">
        <v>8</v>
      </c>
      <c r="C6010" s="2">
        <v>41849</v>
      </c>
      <c r="D6010" s="1" t="s">
        <v>2005</v>
      </c>
      <c r="E6010" s="1">
        <v>104440</v>
      </c>
      <c r="F6010" s="6" t="s">
        <v>8012</v>
      </c>
      <c r="G6010" s="15" t="str">
        <f>VLOOKUP(A6010,Movie!A:D,4,FALSE)</f>
        <v>Buena Vista</v>
      </c>
      <c r="H6010" s="14">
        <f>VLOOKUP(E6010,'Rental Transaction'!A:B,2,FALSE)</f>
        <v>271531</v>
      </c>
      <c r="I6010">
        <f t="shared" si="93"/>
        <v>2014</v>
      </c>
    </row>
    <row r="6011" spans="1:9">
      <c r="A6011" s="1">
        <v>10252</v>
      </c>
      <c r="B6011" s="1">
        <v>8</v>
      </c>
      <c r="C6011" s="2">
        <v>41848</v>
      </c>
      <c r="D6011" s="1" t="s">
        <v>2002</v>
      </c>
      <c r="E6011" s="1">
        <v>104442</v>
      </c>
      <c r="F6011" s="6" t="s">
        <v>8013</v>
      </c>
      <c r="G6011" s="15" t="str">
        <f>VLOOKUP(A6011,Movie!A:D,4,FALSE)</f>
        <v>Warner Brothers</v>
      </c>
      <c r="H6011" s="14">
        <f>VLOOKUP(E6011,'Rental Transaction'!A:B,2,FALSE)</f>
        <v>390130</v>
      </c>
      <c r="I6011">
        <f t="shared" si="93"/>
        <v>2014</v>
      </c>
    </row>
    <row r="6012" spans="1:9">
      <c r="A6012" s="1">
        <v>10204</v>
      </c>
      <c r="B6012" s="1">
        <v>7</v>
      </c>
      <c r="C6012" s="2">
        <v>41848</v>
      </c>
      <c r="D6012" s="1" t="s">
        <v>2002</v>
      </c>
      <c r="E6012" s="1">
        <v>104446</v>
      </c>
      <c r="F6012" s="6" t="s">
        <v>8014</v>
      </c>
      <c r="G6012" s="15" t="str">
        <f>VLOOKUP(A6012,Movie!A:D,4,FALSE)</f>
        <v>Universal</v>
      </c>
      <c r="H6012" s="14">
        <f>VLOOKUP(E6012,'Rental Transaction'!A:B,2,FALSE)</f>
        <v>742620</v>
      </c>
      <c r="I6012">
        <f t="shared" si="93"/>
        <v>2014</v>
      </c>
    </row>
    <row r="6013" spans="1:9">
      <c r="A6013" s="1">
        <v>10242</v>
      </c>
      <c r="B6013" s="1">
        <v>5</v>
      </c>
      <c r="C6013" s="2">
        <v>41849</v>
      </c>
      <c r="D6013" s="1" t="s">
        <v>2002</v>
      </c>
      <c r="E6013" s="1">
        <v>104448</v>
      </c>
      <c r="F6013" s="6" t="s">
        <v>8015</v>
      </c>
      <c r="G6013" s="15" t="str">
        <f>VLOOKUP(A6013,Movie!A:D,4,FALSE)</f>
        <v>Buena Vista</v>
      </c>
      <c r="H6013" s="14">
        <f>VLOOKUP(E6013,'Rental Transaction'!A:B,2,FALSE)</f>
        <v>253106</v>
      </c>
      <c r="I6013">
        <f t="shared" si="93"/>
        <v>2014</v>
      </c>
    </row>
    <row r="6014" spans="1:9">
      <c r="A6014" s="1">
        <v>10175</v>
      </c>
      <c r="B6014" s="1">
        <v>9</v>
      </c>
      <c r="C6014" s="2">
        <v>41852</v>
      </c>
      <c r="D6014" s="1" t="s">
        <v>2002</v>
      </c>
      <c r="E6014" s="1">
        <v>104450</v>
      </c>
      <c r="F6014" s="6" t="s">
        <v>8016</v>
      </c>
      <c r="G6014" s="15" t="str">
        <f>VLOOKUP(A6014,Movie!A:D,4,FALSE)</f>
        <v>Buena Vista</v>
      </c>
      <c r="H6014" s="14">
        <f>VLOOKUP(E6014,'Rental Transaction'!A:B,2,FALSE)</f>
        <v>347659</v>
      </c>
      <c r="I6014">
        <f t="shared" si="93"/>
        <v>2014</v>
      </c>
    </row>
    <row r="6015" spans="1:9">
      <c r="A6015" s="1">
        <v>10289</v>
      </c>
      <c r="B6015" s="1">
        <v>9</v>
      </c>
      <c r="C6015" s="2">
        <v>41849</v>
      </c>
      <c r="D6015" s="1" t="s">
        <v>2002</v>
      </c>
      <c r="E6015" s="1">
        <v>104451</v>
      </c>
      <c r="F6015" s="6" t="s">
        <v>8017</v>
      </c>
      <c r="G6015" s="15" t="str">
        <f>VLOOKUP(A6015,Movie!A:D,4,FALSE)</f>
        <v>Open Road Films</v>
      </c>
      <c r="H6015" s="14">
        <f>VLOOKUP(E6015,'Rental Transaction'!A:B,2,FALSE)</f>
        <v>534481</v>
      </c>
      <c r="I6015">
        <f t="shared" si="93"/>
        <v>2014</v>
      </c>
    </row>
    <row r="6016" spans="1:9">
      <c r="A6016" s="1">
        <v>10092</v>
      </c>
      <c r="B6016" s="1">
        <v>4</v>
      </c>
      <c r="C6016" s="2">
        <v>41849</v>
      </c>
      <c r="D6016" s="1" t="s">
        <v>2002</v>
      </c>
      <c r="E6016" s="1">
        <v>104452</v>
      </c>
      <c r="F6016" s="6" t="s">
        <v>8018</v>
      </c>
      <c r="G6016" s="15" t="str">
        <f>VLOOKUP(A6016,Movie!A:D,4,FALSE)</f>
        <v>Warner Brothers</v>
      </c>
      <c r="H6016" s="14">
        <f>VLOOKUP(E6016,'Rental Transaction'!A:B,2,FALSE)</f>
        <v>207846</v>
      </c>
      <c r="I6016">
        <f t="shared" si="93"/>
        <v>2014</v>
      </c>
    </row>
    <row r="6017" spans="1:9">
      <c r="A6017" s="1">
        <v>10219</v>
      </c>
      <c r="B6017" s="1">
        <v>6</v>
      </c>
      <c r="C6017" s="2">
        <v>41849</v>
      </c>
      <c r="D6017" s="1" t="s">
        <v>2002</v>
      </c>
      <c r="E6017" s="1">
        <v>104452</v>
      </c>
      <c r="F6017" s="6" t="s">
        <v>8019</v>
      </c>
      <c r="G6017" s="15" t="str">
        <f>VLOOKUP(A6017,Movie!A:D,4,FALSE)</f>
        <v>Paramount</v>
      </c>
      <c r="H6017" s="14">
        <f>VLOOKUP(E6017,'Rental Transaction'!A:B,2,FALSE)</f>
        <v>207846</v>
      </c>
      <c r="I6017">
        <f t="shared" si="93"/>
        <v>2014</v>
      </c>
    </row>
    <row r="6018" spans="1:9">
      <c r="A6018" s="1">
        <v>10138</v>
      </c>
      <c r="B6018" s="1">
        <v>5</v>
      </c>
      <c r="C6018" s="2">
        <v>41856</v>
      </c>
      <c r="D6018" s="1" t="s">
        <v>2002</v>
      </c>
      <c r="E6018" s="1">
        <v>104454</v>
      </c>
      <c r="F6018" s="6" t="s">
        <v>8020</v>
      </c>
      <c r="G6018" s="15" t="str">
        <f>VLOOKUP(A6018,Movie!A:D,4,FALSE)</f>
        <v>Universal</v>
      </c>
      <c r="H6018" s="14">
        <f>VLOOKUP(E6018,'Rental Transaction'!A:B,2,FALSE)</f>
        <v>927518</v>
      </c>
      <c r="I6018">
        <f t="shared" si="93"/>
        <v>2014</v>
      </c>
    </row>
    <row r="6019" spans="1:9">
      <c r="A6019" s="1">
        <v>10280</v>
      </c>
      <c r="B6019" s="1">
        <v>5</v>
      </c>
      <c r="C6019" s="2">
        <v>41850</v>
      </c>
      <c r="D6019" s="1" t="s">
        <v>2002</v>
      </c>
      <c r="E6019" s="1">
        <v>104455</v>
      </c>
      <c r="F6019" s="6" t="s">
        <v>8021</v>
      </c>
      <c r="G6019" s="15" t="str">
        <f>VLOOKUP(A6019,Movie!A:D,4,FALSE)</f>
        <v>Universal</v>
      </c>
      <c r="H6019" s="14">
        <f>VLOOKUP(E6019,'Rental Transaction'!A:B,2,FALSE)</f>
        <v>556152</v>
      </c>
      <c r="I6019">
        <f t="shared" ref="I6019:I6082" si="94">YEAR(C6019)</f>
        <v>2014</v>
      </c>
    </row>
    <row r="6020" spans="1:9" ht="29.25">
      <c r="A6020" s="1">
        <v>10246</v>
      </c>
      <c r="B6020" s="1">
        <v>9</v>
      </c>
      <c r="C6020" s="2">
        <v>41851</v>
      </c>
      <c r="D6020" s="1" t="s">
        <v>2002</v>
      </c>
      <c r="E6020" s="1">
        <v>104456</v>
      </c>
      <c r="F6020" s="6" t="s">
        <v>8022</v>
      </c>
      <c r="G6020" s="15" t="str">
        <f>VLOOKUP(A6020,Movie!A:D,4,FALSE)</f>
        <v>Weinstein Company</v>
      </c>
      <c r="H6020" s="14">
        <f>VLOOKUP(E6020,'Rental Transaction'!A:B,2,FALSE)</f>
        <v>719921</v>
      </c>
      <c r="I6020">
        <f t="shared" si="94"/>
        <v>2014</v>
      </c>
    </row>
    <row r="6021" spans="1:9">
      <c r="A6021" s="1">
        <v>10193</v>
      </c>
      <c r="B6021" s="1">
        <v>6</v>
      </c>
      <c r="C6021" s="2">
        <v>41850</v>
      </c>
      <c r="D6021" s="1" t="s">
        <v>2002</v>
      </c>
      <c r="E6021" s="1">
        <v>104457</v>
      </c>
      <c r="F6021" s="6" t="s">
        <v>8023</v>
      </c>
      <c r="G6021" s="15" t="str">
        <f>VLOOKUP(A6021,Movie!A:D,4,FALSE)</f>
        <v>Fox</v>
      </c>
      <c r="H6021" s="14">
        <f>VLOOKUP(E6021,'Rental Transaction'!A:B,2,FALSE)</f>
        <v>694281</v>
      </c>
      <c r="I6021">
        <f t="shared" si="94"/>
        <v>2014</v>
      </c>
    </row>
    <row r="6022" spans="1:9" ht="29.25">
      <c r="A6022" s="1">
        <v>10285</v>
      </c>
      <c r="B6022" s="1">
        <v>10</v>
      </c>
      <c r="C6022" s="2">
        <v>41850</v>
      </c>
      <c r="D6022" s="1" t="s">
        <v>2002</v>
      </c>
      <c r="E6022" s="1">
        <v>104458</v>
      </c>
      <c r="F6022" s="6" t="s">
        <v>8024</v>
      </c>
      <c r="G6022" s="15" t="str">
        <f>VLOOKUP(A6022,Movie!A:D,4,FALSE)</f>
        <v>Roadside Attractions</v>
      </c>
      <c r="H6022" s="14">
        <f>VLOOKUP(E6022,'Rental Transaction'!A:B,2,FALSE)</f>
        <v>556152</v>
      </c>
      <c r="I6022">
        <f t="shared" si="94"/>
        <v>2014</v>
      </c>
    </row>
    <row r="6023" spans="1:9">
      <c r="A6023" s="1">
        <v>10223</v>
      </c>
      <c r="B6023" s="1">
        <v>1</v>
      </c>
      <c r="C6023" s="2">
        <v>41851</v>
      </c>
      <c r="D6023" s="1" t="s">
        <v>2002</v>
      </c>
      <c r="E6023" s="1">
        <v>104459</v>
      </c>
      <c r="F6023" s="6" t="s">
        <v>8025</v>
      </c>
      <c r="G6023" s="15" t="str">
        <f>VLOOKUP(A6023,Movie!A:D,4,FALSE)</f>
        <v>Universal</v>
      </c>
      <c r="H6023" s="14">
        <f>VLOOKUP(E6023,'Rental Transaction'!A:B,2,FALSE)</f>
        <v>366695</v>
      </c>
      <c r="I6023">
        <f t="shared" si="94"/>
        <v>2014</v>
      </c>
    </row>
    <row r="6024" spans="1:9">
      <c r="A6024" s="1">
        <v>10207</v>
      </c>
      <c r="B6024" s="1">
        <v>5</v>
      </c>
      <c r="C6024" s="2">
        <v>41851</v>
      </c>
      <c r="D6024" s="1" t="s">
        <v>2005</v>
      </c>
      <c r="E6024" s="1">
        <v>104459</v>
      </c>
      <c r="F6024" s="6" t="s">
        <v>8026</v>
      </c>
      <c r="G6024" s="15" t="str">
        <f>VLOOKUP(A6024,Movie!A:D,4,FALSE)</f>
        <v>Paramount</v>
      </c>
      <c r="H6024" s="14">
        <f>VLOOKUP(E6024,'Rental Transaction'!A:B,2,FALSE)</f>
        <v>366695</v>
      </c>
      <c r="I6024">
        <f t="shared" si="94"/>
        <v>2014</v>
      </c>
    </row>
    <row r="6025" spans="1:9">
      <c r="A6025" s="1">
        <v>10212</v>
      </c>
      <c r="B6025" s="1">
        <v>8</v>
      </c>
      <c r="C6025" s="2">
        <v>41852</v>
      </c>
      <c r="D6025" s="1" t="s">
        <v>2002</v>
      </c>
      <c r="E6025" s="1">
        <v>104460</v>
      </c>
      <c r="F6025" s="6" t="s">
        <v>8027</v>
      </c>
      <c r="G6025" s="15" t="str">
        <f>VLOOKUP(A6025,Movie!A:D,4,FALSE)</f>
        <v>Lionsgate</v>
      </c>
      <c r="H6025" s="14">
        <f>VLOOKUP(E6025,'Rental Transaction'!A:B,2,FALSE)</f>
        <v>657736</v>
      </c>
      <c r="I6025">
        <f t="shared" si="94"/>
        <v>2014</v>
      </c>
    </row>
    <row r="6026" spans="1:9">
      <c r="A6026" s="1">
        <v>10185</v>
      </c>
      <c r="B6026" s="1">
        <v>7</v>
      </c>
      <c r="C6026" s="2">
        <v>41852</v>
      </c>
      <c r="D6026" s="1" t="s">
        <v>2002</v>
      </c>
      <c r="E6026" s="1">
        <v>104462</v>
      </c>
      <c r="F6026" s="6" t="s">
        <v>8028</v>
      </c>
      <c r="G6026" s="15" t="str">
        <f>VLOOKUP(A6026,Movie!A:D,4,FALSE)</f>
        <v>Warner Brothers</v>
      </c>
      <c r="H6026" s="14">
        <f>VLOOKUP(E6026,'Rental Transaction'!A:B,2,FALSE)</f>
        <v>331115</v>
      </c>
      <c r="I6026">
        <f t="shared" si="94"/>
        <v>2014</v>
      </c>
    </row>
    <row r="6027" spans="1:9">
      <c r="A6027" s="1">
        <v>10182</v>
      </c>
      <c r="B6027" s="1">
        <v>9</v>
      </c>
      <c r="C6027" s="2">
        <v>41852</v>
      </c>
      <c r="D6027" s="1" t="s">
        <v>2005</v>
      </c>
      <c r="E6027" s="1">
        <v>104463</v>
      </c>
      <c r="F6027" s="6" t="s">
        <v>8029</v>
      </c>
      <c r="G6027" s="15" t="str">
        <f>VLOOKUP(A6027,Movie!A:D,4,FALSE)</f>
        <v>Warner Brothers</v>
      </c>
      <c r="H6027" s="14">
        <f>VLOOKUP(E6027,'Rental Transaction'!A:B,2,FALSE)</f>
        <v>739393</v>
      </c>
      <c r="I6027">
        <f t="shared" si="94"/>
        <v>2014</v>
      </c>
    </row>
    <row r="6028" spans="1:9">
      <c r="A6028" s="1">
        <v>10243</v>
      </c>
      <c r="B6028" s="1">
        <v>3</v>
      </c>
      <c r="C6028" s="2">
        <v>41856</v>
      </c>
      <c r="D6028" s="1" t="s">
        <v>2002</v>
      </c>
      <c r="E6028" s="1">
        <v>104466</v>
      </c>
      <c r="F6028" s="6" t="s">
        <v>8030</v>
      </c>
      <c r="G6028" s="15" t="str">
        <f>VLOOKUP(A6028,Movie!A:D,4,FALSE)</f>
        <v>Fox</v>
      </c>
      <c r="H6028" s="14">
        <f>VLOOKUP(E6028,'Rental Transaction'!A:B,2,FALSE)</f>
        <v>981529</v>
      </c>
      <c r="I6028">
        <f t="shared" si="94"/>
        <v>2014</v>
      </c>
    </row>
    <row r="6029" spans="1:9">
      <c r="A6029" s="1">
        <v>10143</v>
      </c>
      <c r="B6029" s="1">
        <v>3</v>
      </c>
      <c r="C6029" s="2">
        <v>41851</v>
      </c>
      <c r="D6029" s="1" t="s">
        <v>2002</v>
      </c>
      <c r="E6029" s="1">
        <v>104466</v>
      </c>
      <c r="F6029" s="6" t="s">
        <v>8031</v>
      </c>
      <c r="G6029" s="15" t="str">
        <f>VLOOKUP(A6029,Movie!A:D,4,FALSE)</f>
        <v>Buena Vista</v>
      </c>
      <c r="H6029" s="14">
        <f>VLOOKUP(E6029,'Rental Transaction'!A:B,2,FALSE)</f>
        <v>981529</v>
      </c>
      <c r="I6029">
        <f t="shared" si="94"/>
        <v>2014</v>
      </c>
    </row>
    <row r="6030" spans="1:9">
      <c r="A6030" s="1">
        <v>10289</v>
      </c>
      <c r="B6030" s="1">
        <v>5</v>
      </c>
      <c r="C6030" s="2">
        <v>41851</v>
      </c>
      <c r="D6030" s="1" t="s">
        <v>2002</v>
      </c>
      <c r="E6030" s="1">
        <v>104467</v>
      </c>
      <c r="F6030" s="6" t="s">
        <v>8032</v>
      </c>
      <c r="G6030" s="15" t="str">
        <f>VLOOKUP(A6030,Movie!A:D,4,FALSE)</f>
        <v>Open Road Films</v>
      </c>
      <c r="H6030" s="14">
        <f>VLOOKUP(E6030,'Rental Transaction'!A:B,2,FALSE)</f>
        <v>308505</v>
      </c>
      <c r="I6030">
        <f t="shared" si="94"/>
        <v>2014</v>
      </c>
    </row>
    <row r="6031" spans="1:9">
      <c r="A6031" s="1">
        <v>10149</v>
      </c>
      <c r="B6031" s="1">
        <v>5</v>
      </c>
      <c r="C6031" s="2">
        <v>41851</v>
      </c>
      <c r="D6031" s="1" t="s">
        <v>2002</v>
      </c>
      <c r="E6031" s="1">
        <v>104467</v>
      </c>
      <c r="F6031" s="6" t="s">
        <v>8033</v>
      </c>
      <c r="G6031" s="15" t="str">
        <f>VLOOKUP(A6031,Movie!A:D,4,FALSE)</f>
        <v>Relativity</v>
      </c>
      <c r="H6031" s="14">
        <f>VLOOKUP(E6031,'Rental Transaction'!A:B,2,FALSE)</f>
        <v>308505</v>
      </c>
      <c r="I6031">
        <f t="shared" si="94"/>
        <v>2014</v>
      </c>
    </row>
    <row r="6032" spans="1:9" ht="29.25">
      <c r="A6032" s="1">
        <v>10165</v>
      </c>
      <c r="B6032" s="1">
        <v>2</v>
      </c>
      <c r="C6032" s="2">
        <v>41852</v>
      </c>
      <c r="D6032" s="1" t="s">
        <v>2005</v>
      </c>
      <c r="E6032" s="1">
        <v>104468</v>
      </c>
      <c r="F6032" s="6" t="s">
        <v>8034</v>
      </c>
      <c r="G6032" s="15" t="str">
        <f>VLOOKUP(A6032,Movie!A:D,4,FALSE)</f>
        <v>Weinstein Company</v>
      </c>
      <c r="H6032" s="14">
        <f>VLOOKUP(E6032,'Rental Transaction'!A:B,2,FALSE)</f>
        <v>866847</v>
      </c>
      <c r="I6032">
        <f t="shared" si="94"/>
        <v>2014</v>
      </c>
    </row>
    <row r="6033" spans="1:9">
      <c r="A6033" s="1">
        <v>10092</v>
      </c>
      <c r="B6033" s="1">
        <v>5</v>
      </c>
      <c r="C6033" s="2">
        <v>41853</v>
      </c>
      <c r="D6033" s="1" t="s">
        <v>2002</v>
      </c>
      <c r="E6033" s="1">
        <v>104468</v>
      </c>
      <c r="F6033" s="6" t="s">
        <v>8035</v>
      </c>
      <c r="G6033" s="15" t="str">
        <f>VLOOKUP(A6033,Movie!A:D,4,FALSE)</f>
        <v>Warner Brothers</v>
      </c>
      <c r="H6033" s="14">
        <f>VLOOKUP(E6033,'Rental Transaction'!A:B,2,FALSE)</f>
        <v>866847</v>
      </c>
      <c r="I6033">
        <f t="shared" si="94"/>
        <v>2014</v>
      </c>
    </row>
    <row r="6034" spans="1:9">
      <c r="A6034" s="1">
        <v>10299</v>
      </c>
      <c r="B6034" s="1">
        <v>1</v>
      </c>
      <c r="C6034" s="2">
        <v>41852</v>
      </c>
      <c r="D6034" s="1" t="s">
        <v>2002</v>
      </c>
      <c r="E6034" s="1">
        <v>104469</v>
      </c>
      <c r="F6034" s="6" t="s">
        <v>8036</v>
      </c>
      <c r="G6034" s="15" t="str">
        <f>VLOOKUP(A6034,Movie!A:D,4,FALSE)</f>
        <v>Radius-TWC</v>
      </c>
      <c r="H6034" s="14">
        <f>VLOOKUP(E6034,'Rental Transaction'!A:B,2,FALSE)</f>
        <v>454015</v>
      </c>
      <c r="I6034">
        <f t="shared" si="94"/>
        <v>2014</v>
      </c>
    </row>
    <row r="6035" spans="1:9">
      <c r="A6035" s="1">
        <v>10130</v>
      </c>
      <c r="B6035" s="1">
        <v>5</v>
      </c>
      <c r="C6035" s="2">
        <v>41851</v>
      </c>
      <c r="D6035" s="1" t="s">
        <v>2005</v>
      </c>
      <c r="E6035" s="1">
        <v>104469</v>
      </c>
      <c r="F6035" s="6" t="s">
        <v>8037</v>
      </c>
      <c r="G6035" s="15" t="str">
        <f>VLOOKUP(A6035,Movie!A:D,4,FALSE)</f>
        <v>A24</v>
      </c>
      <c r="H6035" s="14">
        <f>VLOOKUP(E6035,'Rental Transaction'!A:B,2,FALSE)</f>
        <v>454015</v>
      </c>
      <c r="I6035">
        <f t="shared" si="94"/>
        <v>2014</v>
      </c>
    </row>
    <row r="6036" spans="1:9">
      <c r="A6036" s="1">
        <v>10214</v>
      </c>
      <c r="B6036" s="1">
        <v>2</v>
      </c>
      <c r="C6036" s="2">
        <v>41851</v>
      </c>
      <c r="D6036" s="1" t="s">
        <v>2002</v>
      </c>
      <c r="E6036" s="1">
        <v>104471</v>
      </c>
      <c r="F6036" s="6" t="s">
        <v>8038</v>
      </c>
      <c r="G6036" s="15" t="str">
        <f>VLOOKUP(A6036,Movie!A:D,4,FALSE)</f>
        <v>RM</v>
      </c>
      <c r="H6036" s="14">
        <f>VLOOKUP(E6036,'Rental Transaction'!A:B,2,FALSE)</f>
        <v>622506</v>
      </c>
      <c r="I6036">
        <f t="shared" si="94"/>
        <v>2014</v>
      </c>
    </row>
    <row r="6037" spans="1:9">
      <c r="A6037" s="1">
        <v>10251</v>
      </c>
      <c r="B6037" s="1">
        <v>1</v>
      </c>
      <c r="C6037" s="2">
        <v>41852</v>
      </c>
      <c r="D6037" s="1" t="s">
        <v>2002</v>
      </c>
      <c r="E6037" s="1">
        <v>104471</v>
      </c>
      <c r="F6037" s="6" t="s">
        <v>8039</v>
      </c>
      <c r="G6037" s="15" t="str">
        <f>VLOOKUP(A6037,Movie!A:D,4,FALSE)</f>
        <v>Universal</v>
      </c>
      <c r="H6037" s="14">
        <f>VLOOKUP(E6037,'Rental Transaction'!A:B,2,FALSE)</f>
        <v>622506</v>
      </c>
      <c r="I6037">
        <f t="shared" si="94"/>
        <v>2014</v>
      </c>
    </row>
    <row r="6038" spans="1:9" ht="29.25">
      <c r="A6038" s="1">
        <v>10285</v>
      </c>
      <c r="B6038" s="1">
        <v>1</v>
      </c>
      <c r="C6038" s="2">
        <v>41852</v>
      </c>
      <c r="D6038" s="1" t="s">
        <v>2002</v>
      </c>
      <c r="E6038" s="1">
        <v>104472</v>
      </c>
      <c r="F6038" s="6" t="s">
        <v>8040</v>
      </c>
      <c r="G6038" s="15" t="str">
        <f>VLOOKUP(A6038,Movie!A:D,4,FALSE)</f>
        <v>Roadside Attractions</v>
      </c>
      <c r="H6038" s="14">
        <f>VLOOKUP(E6038,'Rental Transaction'!A:B,2,FALSE)</f>
        <v>744780</v>
      </c>
      <c r="I6038">
        <f t="shared" si="94"/>
        <v>2014</v>
      </c>
    </row>
    <row r="6039" spans="1:9">
      <c r="A6039" s="1">
        <v>10149</v>
      </c>
      <c r="B6039" s="1">
        <v>4</v>
      </c>
      <c r="C6039" s="2">
        <v>41853</v>
      </c>
      <c r="D6039" s="1" t="s">
        <v>2002</v>
      </c>
      <c r="E6039" s="1">
        <v>104473</v>
      </c>
      <c r="F6039" s="6" t="s">
        <v>8041</v>
      </c>
      <c r="G6039" s="15" t="str">
        <f>VLOOKUP(A6039,Movie!A:D,4,FALSE)</f>
        <v>Relativity</v>
      </c>
      <c r="H6039" s="14">
        <f>VLOOKUP(E6039,'Rental Transaction'!A:B,2,FALSE)</f>
        <v>924361</v>
      </c>
      <c r="I6039">
        <f t="shared" si="94"/>
        <v>2014</v>
      </c>
    </row>
    <row r="6040" spans="1:9">
      <c r="A6040" s="1">
        <v>10191</v>
      </c>
      <c r="B6040" s="1">
        <v>7</v>
      </c>
      <c r="C6040" s="2">
        <v>41852</v>
      </c>
      <c r="D6040" s="1" t="s">
        <v>2002</v>
      </c>
      <c r="E6040" s="1">
        <v>104475</v>
      </c>
      <c r="F6040" s="6" t="s">
        <v>8042</v>
      </c>
      <c r="G6040" s="15" t="str">
        <f>VLOOKUP(A6040,Movie!A:D,4,FALSE)</f>
        <v>Universal</v>
      </c>
      <c r="H6040" s="14">
        <f>VLOOKUP(E6040,'Rental Transaction'!A:B,2,FALSE)</f>
        <v>386950</v>
      </c>
      <c r="I6040">
        <f t="shared" si="94"/>
        <v>2014</v>
      </c>
    </row>
    <row r="6041" spans="1:9">
      <c r="A6041" s="1">
        <v>10220</v>
      </c>
      <c r="B6041" s="1">
        <v>6</v>
      </c>
      <c r="C6041" s="2">
        <v>41854</v>
      </c>
      <c r="D6041" s="1" t="s">
        <v>2005</v>
      </c>
      <c r="E6041" s="1">
        <v>104476</v>
      </c>
      <c r="F6041" s="6" t="s">
        <v>8043</v>
      </c>
      <c r="G6041" s="15" t="str">
        <f>VLOOKUP(A6041,Movie!A:D,4,FALSE)</f>
        <v>Fox</v>
      </c>
      <c r="H6041" s="14">
        <f>VLOOKUP(E6041,'Rental Transaction'!A:B,2,FALSE)</f>
        <v>926144</v>
      </c>
      <c r="I6041">
        <f t="shared" si="94"/>
        <v>2014</v>
      </c>
    </row>
    <row r="6042" spans="1:9">
      <c r="A6042" s="1">
        <v>10098</v>
      </c>
      <c r="B6042" s="1">
        <v>3</v>
      </c>
      <c r="C6042" s="2">
        <v>41853</v>
      </c>
      <c r="D6042" s="1" t="s">
        <v>2005</v>
      </c>
      <c r="E6042" s="1">
        <v>104480</v>
      </c>
      <c r="F6042" s="6" t="s">
        <v>8044</v>
      </c>
      <c r="G6042" s="15" t="str">
        <f>VLOOKUP(A6042,Movie!A:D,4,FALSE)</f>
        <v>Warner Brothers</v>
      </c>
      <c r="H6042" s="14">
        <f>VLOOKUP(E6042,'Rental Transaction'!A:B,2,FALSE)</f>
        <v>556619</v>
      </c>
      <c r="I6042">
        <f t="shared" si="94"/>
        <v>2014</v>
      </c>
    </row>
    <row r="6043" spans="1:9">
      <c r="A6043" s="1">
        <v>10238</v>
      </c>
      <c r="B6043" s="1">
        <v>5</v>
      </c>
      <c r="C6043" s="2">
        <v>41853</v>
      </c>
      <c r="D6043" s="1" t="s">
        <v>2005</v>
      </c>
      <c r="E6043" s="1">
        <v>104482</v>
      </c>
      <c r="F6043" s="6" t="s">
        <v>8045</v>
      </c>
      <c r="G6043" s="15" t="str">
        <f>VLOOKUP(A6043,Movie!A:D,4,FALSE)</f>
        <v>Warner Brothers</v>
      </c>
      <c r="H6043" s="14">
        <f>VLOOKUP(E6043,'Rental Transaction'!A:B,2,FALSE)</f>
        <v>278204</v>
      </c>
      <c r="I6043">
        <f t="shared" si="94"/>
        <v>2014</v>
      </c>
    </row>
    <row r="6044" spans="1:9">
      <c r="A6044" s="1">
        <v>10180</v>
      </c>
      <c r="B6044" s="1">
        <v>1</v>
      </c>
      <c r="C6044" s="2">
        <v>41853</v>
      </c>
      <c r="D6044" s="1" t="s">
        <v>2002</v>
      </c>
      <c r="E6044" s="1">
        <v>104482</v>
      </c>
      <c r="F6044" s="6" t="s">
        <v>8046</v>
      </c>
      <c r="G6044" s="15" t="str">
        <f>VLOOKUP(A6044,Movie!A:D,4,FALSE)</f>
        <v>Relativity</v>
      </c>
      <c r="H6044" s="14">
        <f>VLOOKUP(E6044,'Rental Transaction'!A:B,2,FALSE)</f>
        <v>278204</v>
      </c>
      <c r="I6044">
        <f t="shared" si="94"/>
        <v>2014</v>
      </c>
    </row>
    <row r="6045" spans="1:9">
      <c r="A6045" s="1">
        <v>10226</v>
      </c>
      <c r="B6045" s="1">
        <v>3</v>
      </c>
      <c r="C6045" s="2">
        <v>41853</v>
      </c>
      <c r="D6045" s="1" t="s">
        <v>2002</v>
      </c>
      <c r="E6045" s="1">
        <v>104482</v>
      </c>
      <c r="F6045" s="6" t="s">
        <v>8047</v>
      </c>
      <c r="G6045" s="15" t="str">
        <f>VLOOKUP(A6045,Movie!A:D,4,FALSE)</f>
        <v>Sony</v>
      </c>
      <c r="H6045" s="14">
        <f>VLOOKUP(E6045,'Rental Transaction'!A:B,2,FALSE)</f>
        <v>278204</v>
      </c>
      <c r="I6045">
        <f t="shared" si="94"/>
        <v>2014</v>
      </c>
    </row>
    <row r="6046" spans="1:9">
      <c r="A6046" s="1">
        <v>10273</v>
      </c>
      <c r="B6046" s="1">
        <v>3</v>
      </c>
      <c r="C6046" s="2">
        <v>41853</v>
      </c>
      <c r="D6046" s="1" t="s">
        <v>2002</v>
      </c>
      <c r="E6046" s="1">
        <v>104486</v>
      </c>
      <c r="F6046" s="6" t="s">
        <v>8048</v>
      </c>
      <c r="G6046" s="15" t="str">
        <f>VLOOKUP(A6046,Movie!A:D,4,FALSE)</f>
        <v>Sony</v>
      </c>
      <c r="H6046" s="14">
        <f>VLOOKUP(E6046,'Rental Transaction'!A:B,2,FALSE)</f>
        <v>310195</v>
      </c>
      <c r="I6046">
        <f t="shared" si="94"/>
        <v>2014</v>
      </c>
    </row>
    <row r="6047" spans="1:9">
      <c r="A6047" s="1">
        <v>10078</v>
      </c>
      <c r="B6047" s="1">
        <v>6</v>
      </c>
      <c r="C6047" s="2">
        <v>41854</v>
      </c>
      <c r="D6047" s="1" t="s">
        <v>2002</v>
      </c>
      <c r="E6047" s="1">
        <v>104486</v>
      </c>
      <c r="F6047" s="6" t="s">
        <v>8049</v>
      </c>
      <c r="G6047" s="15" t="str">
        <f>VLOOKUP(A6047,Movie!A:D,4,FALSE)</f>
        <v>Paramount</v>
      </c>
      <c r="H6047" s="14">
        <f>VLOOKUP(E6047,'Rental Transaction'!A:B,2,FALSE)</f>
        <v>310195</v>
      </c>
      <c r="I6047">
        <f t="shared" si="94"/>
        <v>2014</v>
      </c>
    </row>
    <row r="6048" spans="1:9">
      <c r="A6048" s="1">
        <v>10032</v>
      </c>
      <c r="B6048" s="1">
        <v>2</v>
      </c>
      <c r="C6048" s="2">
        <v>41857</v>
      </c>
      <c r="D6048" s="1" t="s">
        <v>2002</v>
      </c>
      <c r="E6048" s="1">
        <v>104488</v>
      </c>
      <c r="F6048" s="6" t="s">
        <v>8050</v>
      </c>
      <c r="G6048" s="15" t="str">
        <f>VLOOKUP(A6048,Movie!A:D,4,FALSE)</f>
        <v>Sony</v>
      </c>
      <c r="H6048" s="14">
        <f>VLOOKUP(E6048,'Rental Transaction'!A:B,2,FALSE)</f>
        <v>161942</v>
      </c>
      <c r="I6048">
        <f t="shared" si="94"/>
        <v>2014</v>
      </c>
    </row>
    <row r="6049" spans="1:9">
      <c r="A6049" s="1">
        <v>10274</v>
      </c>
      <c r="B6049" s="1">
        <v>6</v>
      </c>
      <c r="C6049" s="2">
        <v>41856</v>
      </c>
      <c r="D6049" s="1" t="s">
        <v>2002</v>
      </c>
      <c r="E6049" s="1">
        <v>104492</v>
      </c>
      <c r="F6049" s="6" t="s">
        <v>8051</v>
      </c>
      <c r="G6049" s="15" t="str">
        <f>VLOOKUP(A6049,Movie!A:D,4,FALSE)</f>
        <v>Fox</v>
      </c>
      <c r="H6049" s="14">
        <f>VLOOKUP(E6049,'Rental Transaction'!A:B,2,FALSE)</f>
        <v>111486</v>
      </c>
      <c r="I6049">
        <f t="shared" si="94"/>
        <v>2014</v>
      </c>
    </row>
    <row r="6050" spans="1:9">
      <c r="A6050" s="1">
        <v>10122</v>
      </c>
      <c r="B6050" s="1">
        <v>3</v>
      </c>
      <c r="C6050" s="2">
        <v>41854</v>
      </c>
      <c r="D6050" s="1" t="s">
        <v>2002</v>
      </c>
      <c r="E6050" s="1">
        <v>104493</v>
      </c>
      <c r="F6050" s="6" t="s">
        <v>8052</v>
      </c>
      <c r="G6050" s="15" t="str">
        <f>VLOOKUP(A6050,Movie!A:D,4,FALSE)</f>
        <v>Relativity</v>
      </c>
      <c r="H6050" s="14">
        <f>VLOOKUP(E6050,'Rental Transaction'!A:B,2,FALSE)</f>
        <v>160392</v>
      </c>
      <c r="I6050">
        <f t="shared" si="94"/>
        <v>2014</v>
      </c>
    </row>
    <row r="6051" spans="1:9">
      <c r="A6051" s="1">
        <v>10250</v>
      </c>
      <c r="B6051" s="1">
        <v>4</v>
      </c>
      <c r="C6051" s="2">
        <v>41856</v>
      </c>
      <c r="D6051" s="1" t="s">
        <v>2002</v>
      </c>
      <c r="E6051" s="1">
        <v>104494</v>
      </c>
      <c r="F6051" s="6" t="s">
        <v>8053</v>
      </c>
      <c r="G6051" s="15" t="str">
        <f>VLOOKUP(A6051,Movie!A:D,4,FALSE)</f>
        <v>Buena Vista</v>
      </c>
      <c r="H6051" s="14">
        <f>VLOOKUP(E6051,'Rental Transaction'!A:B,2,FALSE)</f>
        <v>413495</v>
      </c>
      <c r="I6051">
        <f t="shared" si="94"/>
        <v>2014</v>
      </c>
    </row>
    <row r="6052" spans="1:9">
      <c r="A6052" s="1">
        <v>10226</v>
      </c>
      <c r="B6052" s="1">
        <v>5</v>
      </c>
      <c r="C6052" s="2">
        <v>41856</v>
      </c>
      <c r="D6052" s="1" t="s">
        <v>2002</v>
      </c>
      <c r="E6052" s="1">
        <v>104497</v>
      </c>
      <c r="F6052" s="6" t="s">
        <v>8054</v>
      </c>
      <c r="G6052" s="15" t="str">
        <f>VLOOKUP(A6052,Movie!A:D,4,FALSE)</f>
        <v>Sony</v>
      </c>
      <c r="H6052" s="14">
        <f>VLOOKUP(E6052,'Rental Transaction'!A:B,2,FALSE)</f>
        <v>447368</v>
      </c>
      <c r="I6052">
        <f t="shared" si="94"/>
        <v>2014</v>
      </c>
    </row>
    <row r="6053" spans="1:9">
      <c r="A6053" s="1">
        <v>10268</v>
      </c>
      <c r="B6053" s="1">
        <v>5</v>
      </c>
      <c r="C6053" s="2">
        <v>41859</v>
      </c>
      <c r="D6053" s="1" t="s">
        <v>2002</v>
      </c>
      <c r="E6053" s="1">
        <v>104497</v>
      </c>
      <c r="F6053" s="6" t="s">
        <v>8055</v>
      </c>
      <c r="G6053" s="15" t="str">
        <f>VLOOKUP(A6053,Movie!A:D,4,FALSE)</f>
        <v>Buena Vista</v>
      </c>
      <c r="H6053" s="14">
        <f>VLOOKUP(E6053,'Rental Transaction'!A:B,2,FALSE)</f>
        <v>447368</v>
      </c>
      <c r="I6053">
        <f t="shared" si="94"/>
        <v>2014</v>
      </c>
    </row>
    <row r="6054" spans="1:9">
      <c r="A6054" s="1">
        <v>10138</v>
      </c>
      <c r="B6054" s="1">
        <v>9</v>
      </c>
      <c r="C6054" s="2">
        <v>41859</v>
      </c>
      <c r="D6054" s="1" t="s">
        <v>2002</v>
      </c>
      <c r="E6054" s="1">
        <v>104498</v>
      </c>
      <c r="F6054" s="6" t="s">
        <v>8056</v>
      </c>
      <c r="G6054" s="15" t="str">
        <f>VLOOKUP(A6054,Movie!A:D,4,FALSE)</f>
        <v>Universal</v>
      </c>
      <c r="H6054" s="14">
        <f>VLOOKUP(E6054,'Rental Transaction'!A:B,2,FALSE)</f>
        <v>565259</v>
      </c>
      <c r="I6054">
        <f t="shared" si="94"/>
        <v>2014</v>
      </c>
    </row>
    <row r="6055" spans="1:9">
      <c r="A6055" s="1">
        <v>10194</v>
      </c>
      <c r="B6055" s="1">
        <v>5</v>
      </c>
      <c r="C6055" s="2">
        <v>41856</v>
      </c>
      <c r="D6055" s="1" t="s">
        <v>2002</v>
      </c>
      <c r="E6055" s="1">
        <v>104498</v>
      </c>
      <c r="F6055" s="6" t="s">
        <v>8057</v>
      </c>
      <c r="G6055" s="15" t="str">
        <f>VLOOKUP(A6055,Movie!A:D,4,FALSE)</f>
        <v>FilmDistrict</v>
      </c>
      <c r="H6055" s="14">
        <f>VLOOKUP(E6055,'Rental Transaction'!A:B,2,FALSE)</f>
        <v>565259</v>
      </c>
      <c r="I6055">
        <f t="shared" si="94"/>
        <v>2014</v>
      </c>
    </row>
    <row r="6056" spans="1:9">
      <c r="A6056" s="1">
        <v>10064</v>
      </c>
      <c r="B6056" s="1">
        <v>6</v>
      </c>
      <c r="C6056" s="2">
        <v>41856</v>
      </c>
      <c r="D6056" s="1" t="s">
        <v>2002</v>
      </c>
      <c r="E6056" s="1">
        <v>104499</v>
      </c>
      <c r="F6056" s="6" t="s">
        <v>8058</v>
      </c>
      <c r="G6056" s="15" t="str">
        <f>VLOOKUP(A6056,Movie!A:D,4,FALSE)</f>
        <v>Universal</v>
      </c>
      <c r="H6056" s="14">
        <f>VLOOKUP(E6056,'Rental Transaction'!A:B,2,FALSE)</f>
        <v>240205</v>
      </c>
      <c r="I6056">
        <f t="shared" si="94"/>
        <v>2014</v>
      </c>
    </row>
    <row r="6057" spans="1:9">
      <c r="A6057" s="1">
        <v>10267</v>
      </c>
      <c r="B6057" s="1">
        <v>10</v>
      </c>
      <c r="C6057" s="2">
        <v>41855</v>
      </c>
      <c r="D6057" s="1" t="s">
        <v>2002</v>
      </c>
      <c r="E6057" s="1">
        <v>104500</v>
      </c>
      <c r="F6057" s="6" t="s">
        <v>8059</v>
      </c>
      <c r="G6057" s="15" t="str">
        <f>VLOOKUP(A6057,Movie!A:D,4,FALSE)</f>
        <v>TriStar</v>
      </c>
      <c r="H6057" s="14">
        <f>VLOOKUP(E6057,'Rental Transaction'!A:B,2,FALSE)</f>
        <v>857548</v>
      </c>
      <c r="I6057">
        <f t="shared" si="94"/>
        <v>2014</v>
      </c>
    </row>
    <row r="6058" spans="1:9">
      <c r="A6058" s="1">
        <v>10152</v>
      </c>
      <c r="B6058" s="1">
        <v>1</v>
      </c>
      <c r="C6058" s="2">
        <v>41856</v>
      </c>
      <c r="D6058" s="1" t="s">
        <v>2005</v>
      </c>
      <c r="E6058" s="1">
        <v>104502</v>
      </c>
      <c r="F6058" s="6" t="s">
        <v>8060</v>
      </c>
      <c r="G6058" s="15" t="str">
        <f>VLOOKUP(A6058,Movie!A:D,4,FALSE)</f>
        <v>FilmDistrict</v>
      </c>
      <c r="H6058" s="14">
        <f>VLOOKUP(E6058,'Rental Transaction'!A:B,2,FALSE)</f>
        <v>826590</v>
      </c>
      <c r="I6058">
        <f t="shared" si="94"/>
        <v>2014</v>
      </c>
    </row>
    <row r="6059" spans="1:9">
      <c r="A6059" s="1">
        <v>10275</v>
      </c>
      <c r="B6059" s="1">
        <v>3</v>
      </c>
      <c r="C6059" s="2">
        <v>41860</v>
      </c>
      <c r="D6059" s="1" t="s">
        <v>2002</v>
      </c>
      <c r="E6059" s="1">
        <v>104502</v>
      </c>
      <c r="F6059" s="6" t="s">
        <v>8061</v>
      </c>
      <c r="G6059" s="15" t="str">
        <f>VLOOKUP(A6059,Movie!A:D,4,FALSE)</f>
        <v>Lionsgate</v>
      </c>
      <c r="H6059" s="14">
        <f>VLOOKUP(E6059,'Rental Transaction'!A:B,2,FALSE)</f>
        <v>826590</v>
      </c>
      <c r="I6059">
        <f t="shared" si="94"/>
        <v>2014</v>
      </c>
    </row>
    <row r="6060" spans="1:9">
      <c r="A6060" s="1">
        <v>10123</v>
      </c>
      <c r="B6060" s="1">
        <v>6</v>
      </c>
      <c r="C6060" s="2">
        <v>41856</v>
      </c>
      <c r="D6060" s="1" t="s">
        <v>2005</v>
      </c>
      <c r="E6060" s="1">
        <v>104503</v>
      </c>
      <c r="F6060" s="6" t="s">
        <v>8062</v>
      </c>
      <c r="G6060" s="15" t="str">
        <f>VLOOKUP(A6060,Movie!A:D,4,FALSE)</f>
        <v>Fox</v>
      </c>
      <c r="H6060" s="14">
        <f>VLOOKUP(E6060,'Rental Transaction'!A:B,2,FALSE)</f>
        <v>745543</v>
      </c>
      <c r="I6060">
        <f t="shared" si="94"/>
        <v>2014</v>
      </c>
    </row>
    <row r="6061" spans="1:9" ht="29.25">
      <c r="A6061" s="1">
        <v>10136</v>
      </c>
      <c r="B6061" s="1">
        <v>4</v>
      </c>
      <c r="C6061" s="2">
        <v>41856</v>
      </c>
      <c r="D6061" s="1" t="s">
        <v>2002</v>
      </c>
      <c r="E6061" s="1">
        <v>104504</v>
      </c>
      <c r="F6061" s="6" t="s">
        <v>8063</v>
      </c>
      <c r="G6061" s="15" t="str">
        <f>VLOOKUP(A6061,Movie!A:D,4,FALSE)</f>
        <v>Weinstein Company</v>
      </c>
      <c r="H6061" s="14">
        <f>VLOOKUP(E6061,'Rental Transaction'!A:B,2,FALSE)</f>
        <v>781523</v>
      </c>
      <c r="I6061">
        <f t="shared" si="94"/>
        <v>2014</v>
      </c>
    </row>
    <row r="6062" spans="1:9">
      <c r="A6062" s="1">
        <v>10283</v>
      </c>
      <c r="B6062" s="1">
        <v>4</v>
      </c>
      <c r="C6062" s="2">
        <v>41856</v>
      </c>
      <c r="D6062" s="1" t="s">
        <v>2002</v>
      </c>
      <c r="E6062" s="1">
        <v>104505</v>
      </c>
      <c r="F6062" s="6" t="s">
        <v>8064</v>
      </c>
      <c r="G6062" s="15" t="str">
        <f>VLOOKUP(A6062,Movie!A:D,4,FALSE)</f>
        <v>TriStar</v>
      </c>
      <c r="H6062" s="14">
        <f>VLOOKUP(E6062,'Rental Transaction'!A:B,2,FALSE)</f>
        <v>695276</v>
      </c>
      <c r="I6062">
        <f t="shared" si="94"/>
        <v>2014</v>
      </c>
    </row>
    <row r="6063" spans="1:9">
      <c r="A6063" s="1">
        <v>10130</v>
      </c>
      <c r="B6063" s="1">
        <v>1</v>
      </c>
      <c r="C6063" s="2">
        <v>41857</v>
      </c>
      <c r="D6063" s="1" t="s">
        <v>2002</v>
      </c>
      <c r="E6063" s="1">
        <v>104507</v>
      </c>
      <c r="F6063" s="6" t="s">
        <v>8065</v>
      </c>
      <c r="G6063" s="15" t="str">
        <f>VLOOKUP(A6063,Movie!A:D,4,FALSE)</f>
        <v>A24</v>
      </c>
      <c r="H6063" s="14">
        <f>VLOOKUP(E6063,'Rental Transaction'!A:B,2,FALSE)</f>
        <v>667170</v>
      </c>
      <c r="I6063">
        <f t="shared" si="94"/>
        <v>2014</v>
      </c>
    </row>
    <row r="6064" spans="1:9">
      <c r="A6064" s="1">
        <v>10194</v>
      </c>
      <c r="B6064" s="1">
        <v>9</v>
      </c>
      <c r="C6064" s="2">
        <v>41857</v>
      </c>
      <c r="D6064" s="1" t="s">
        <v>2002</v>
      </c>
      <c r="E6064" s="1">
        <v>104508</v>
      </c>
      <c r="F6064" s="6" t="s">
        <v>8066</v>
      </c>
      <c r="G6064" s="15" t="str">
        <f>VLOOKUP(A6064,Movie!A:D,4,FALSE)</f>
        <v>FilmDistrict</v>
      </c>
      <c r="H6064" s="14">
        <f>VLOOKUP(E6064,'Rental Transaction'!A:B,2,FALSE)</f>
        <v>789500</v>
      </c>
      <c r="I6064">
        <f t="shared" si="94"/>
        <v>2014</v>
      </c>
    </row>
    <row r="6065" spans="1:9">
      <c r="A6065" s="1">
        <v>10079</v>
      </c>
      <c r="B6065" s="1">
        <v>9</v>
      </c>
      <c r="C6065" s="2">
        <v>41859</v>
      </c>
      <c r="D6065" s="1" t="s">
        <v>2002</v>
      </c>
      <c r="E6065" s="1">
        <v>104509</v>
      </c>
      <c r="F6065" s="6" t="s">
        <v>8067</v>
      </c>
      <c r="G6065" s="15" t="str">
        <f>VLOOKUP(A6065,Movie!A:D,4,FALSE)</f>
        <v>Warner Brothers</v>
      </c>
      <c r="H6065" s="14">
        <f>VLOOKUP(E6065,'Rental Transaction'!A:B,2,FALSE)</f>
        <v>808869</v>
      </c>
      <c r="I6065">
        <f t="shared" si="94"/>
        <v>2014</v>
      </c>
    </row>
    <row r="6066" spans="1:9">
      <c r="A6066" s="1">
        <v>10229</v>
      </c>
      <c r="B6066" s="1">
        <v>5</v>
      </c>
      <c r="C6066" s="2">
        <v>41858</v>
      </c>
      <c r="D6066" s="1" t="s">
        <v>2002</v>
      </c>
      <c r="E6066" s="1">
        <v>104509</v>
      </c>
      <c r="F6066" s="6" t="s">
        <v>8068</v>
      </c>
      <c r="G6066" s="15" t="str">
        <f>VLOOKUP(A6066,Movie!A:D,4,FALSE)</f>
        <v>TriStar</v>
      </c>
      <c r="H6066" s="14">
        <f>VLOOKUP(E6066,'Rental Transaction'!A:B,2,FALSE)</f>
        <v>808869</v>
      </c>
      <c r="I6066">
        <f t="shared" si="94"/>
        <v>2014</v>
      </c>
    </row>
    <row r="6067" spans="1:9">
      <c r="A6067" s="1">
        <v>10197</v>
      </c>
      <c r="B6067" s="1">
        <v>3</v>
      </c>
      <c r="C6067" s="2">
        <v>41858</v>
      </c>
      <c r="D6067" s="1" t="s">
        <v>2002</v>
      </c>
      <c r="E6067" s="1">
        <v>104510</v>
      </c>
      <c r="F6067" s="6" t="s">
        <v>8069</v>
      </c>
      <c r="G6067" s="15" t="str">
        <f>VLOOKUP(A6067,Movie!A:D,4,FALSE)</f>
        <v>Warner Brothers</v>
      </c>
      <c r="H6067" s="14">
        <f>VLOOKUP(E6067,'Rental Transaction'!A:B,2,FALSE)</f>
        <v>127472</v>
      </c>
      <c r="I6067">
        <f t="shared" si="94"/>
        <v>2014</v>
      </c>
    </row>
    <row r="6068" spans="1:9">
      <c r="A6068" s="1">
        <v>10241</v>
      </c>
      <c r="B6068" s="1">
        <v>4</v>
      </c>
      <c r="C6068" s="2">
        <v>41858</v>
      </c>
      <c r="D6068" s="1" t="s">
        <v>2002</v>
      </c>
      <c r="E6068" s="1">
        <v>104512</v>
      </c>
      <c r="F6068" s="6" t="s">
        <v>8070</v>
      </c>
      <c r="G6068" s="15" t="str">
        <f>VLOOKUP(A6068,Movie!A:D,4,FALSE)</f>
        <v>Warner Brothers</v>
      </c>
      <c r="H6068" s="14">
        <f>VLOOKUP(E6068,'Rental Transaction'!A:B,2,FALSE)</f>
        <v>301793</v>
      </c>
      <c r="I6068">
        <f t="shared" si="94"/>
        <v>2014</v>
      </c>
    </row>
    <row r="6069" spans="1:9">
      <c r="A6069" s="1">
        <v>10152</v>
      </c>
      <c r="B6069" s="1">
        <v>2</v>
      </c>
      <c r="C6069" s="2">
        <v>41857</v>
      </c>
      <c r="D6069" s="1" t="s">
        <v>2002</v>
      </c>
      <c r="E6069" s="1">
        <v>104512</v>
      </c>
      <c r="F6069" s="6" t="s">
        <v>8071</v>
      </c>
      <c r="G6069" s="15" t="str">
        <f>VLOOKUP(A6069,Movie!A:D,4,FALSE)</f>
        <v>FilmDistrict</v>
      </c>
      <c r="H6069" s="14">
        <f>VLOOKUP(E6069,'Rental Transaction'!A:B,2,FALSE)</f>
        <v>301793</v>
      </c>
      <c r="I6069">
        <f t="shared" si="94"/>
        <v>2014</v>
      </c>
    </row>
    <row r="6070" spans="1:9">
      <c r="A6070" s="1">
        <v>10185</v>
      </c>
      <c r="B6070" s="1">
        <v>4</v>
      </c>
      <c r="C6070" s="2">
        <v>41864</v>
      </c>
      <c r="D6070" s="1" t="s">
        <v>2005</v>
      </c>
      <c r="E6070" s="1">
        <v>104516</v>
      </c>
      <c r="F6070" s="6" t="s">
        <v>8072</v>
      </c>
      <c r="G6070" s="15" t="str">
        <f>VLOOKUP(A6070,Movie!A:D,4,FALSE)</f>
        <v>Warner Brothers</v>
      </c>
      <c r="H6070" s="14">
        <f>VLOOKUP(E6070,'Rental Transaction'!A:B,2,FALSE)</f>
        <v>421074</v>
      </c>
      <c r="I6070">
        <f t="shared" si="94"/>
        <v>2014</v>
      </c>
    </row>
    <row r="6071" spans="1:9">
      <c r="A6071" s="1">
        <v>10276</v>
      </c>
      <c r="B6071" s="1">
        <v>6</v>
      </c>
      <c r="C6071" s="2">
        <v>41858</v>
      </c>
      <c r="D6071" s="1" t="s">
        <v>2002</v>
      </c>
      <c r="E6071" s="1">
        <v>104518</v>
      </c>
      <c r="F6071" s="6" t="s">
        <v>8073</v>
      </c>
      <c r="G6071" s="15" t="str">
        <f>VLOOKUP(A6071,Movie!A:D,4,FALSE)</f>
        <v>FilmDistrict</v>
      </c>
      <c r="H6071" s="14">
        <f>VLOOKUP(E6071,'Rental Transaction'!A:B,2,FALSE)</f>
        <v>491380</v>
      </c>
      <c r="I6071">
        <f t="shared" si="94"/>
        <v>2014</v>
      </c>
    </row>
    <row r="6072" spans="1:9">
      <c r="A6072" s="1">
        <v>10056</v>
      </c>
      <c r="B6072" s="1">
        <v>7</v>
      </c>
      <c r="C6072" s="2">
        <v>41858</v>
      </c>
      <c r="D6072" s="1" t="s">
        <v>2005</v>
      </c>
      <c r="E6072" s="1">
        <v>104519</v>
      </c>
      <c r="F6072" s="6" t="s">
        <v>8074</v>
      </c>
      <c r="G6072" s="15" t="str">
        <f>VLOOKUP(A6072,Movie!A:D,4,FALSE)</f>
        <v>Screen Gems</v>
      </c>
      <c r="H6072" s="14">
        <f>VLOOKUP(E6072,'Rental Transaction'!A:B,2,FALSE)</f>
        <v>918682</v>
      </c>
      <c r="I6072">
        <f t="shared" si="94"/>
        <v>2014</v>
      </c>
    </row>
    <row r="6073" spans="1:9">
      <c r="A6073" s="1">
        <v>10224</v>
      </c>
      <c r="B6073" s="1">
        <v>8</v>
      </c>
      <c r="C6073" s="2">
        <v>41860</v>
      </c>
      <c r="D6073" s="1" t="s">
        <v>2005</v>
      </c>
      <c r="E6073" s="1">
        <v>104522</v>
      </c>
      <c r="F6073" s="6" t="s">
        <v>8075</v>
      </c>
      <c r="G6073" s="15" t="str">
        <f>VLOOKUP(A6073,Movie!A:D,4,FALSE)</f>
        <v>Fox Searchlight</v>
      </c>
      <c r="H6073" s="14">
        <f>VLOOKUP(E6073,'Rental Transaction'!A:B,2,FALSE)</f>
        <v>667170</v>
      </c>
      <c r="I6073">
        <f t="shared" si="94"/>
        <v>2014</v>
      </c>
    </row>
    <row r="6074" spans="1:9">
      <c r="A6074" s="1">
        <v>10137</v>
      </c>
      <c r="B6074" s="1">
        <v>7</v>
      </c>
      <c r="C6074" s="2">
        <v>41862</v>
      </c>
      <c r="D6074" s="1" t="s">
        <v>2002</v>
      </c>
      <c r="E6074" s="1">
        <v>104522</v>
      </c>
      <c r="F6074" s="6" t="s">
        <v>8076</v>
      </c>
      <c r="G6074" s="15" t="str">
        <f>VLOOKUP(A6074,Movie!A:D,4,FALSE)</f>
        <v>Buena Vista</v>
      </c>
      <c r="H6074" s="14">
        <f>VLOOKUP(E6074,'Rental Transaction'!A:B,2,FALSE)</f>
        <v>667170</v>
      </c>
      <c r="I6074">
        <f t="shared" si="94"/>
        <v>2014</v>
      </c>
    </row>
    <row r="6075" spans="1:9">
      <c r="A6075" s="1">
        <v>10291</v>
      </c>
      <c r="B6075" s="1">
        <v>6</v>
      </c>
      <c r="C6075" s="2">
        <v>41859</v>
      </c>
      <c r="D6075" s="1" t="s">
        <v>2002</v>
      </c>
      <c r="E6075" s="1">
        <v>104523</v>
      </c>
      <c r="F6075" s="6" t="s">
        <v>8077</v>
      </c>
      <c r="G6075" s="15" t="str">
        <f>VLOOKUP(A6075,Movie!A:D,4,FALSE)</f>
        <v>Warner Brothers</v>
      </c>
      <c r="H6075" s="14">
        <f>VLOOKUP(E6075,'Rental Transaction'!A:B,2,FALSE)</f>
        <v>194680</v>
      </c>
      <c r="I6075">
        <f t="shared" si="94"/>
        <v>2014</v>
      </c>
    </row>
    <row r="6076" spans="1:9">
      <c r="A6076" s="1">
        <v>10052</v>
      </c>
      <c r="B6076" s="1">
        <v>9</v>
      </c>
      <c r="C6076" s="2">
        <v>41859</v>
      </c>
      <c r="D6076" s="1" t="s">
        <v>2002</v>
      </c>
      <c r="E6076" s="1">
        <v>104523</v>
      </c>
      <c r="F6076" s="6" t="s">
        <v>8078</v>
      </c>
      <c r="G6076" s="15" t="str">
        <f>VLOOKUP(A6076,Movie!A:D,4,FALSE)</f>
        <v>Warner Brothers</v>
      </c>
      <c r="H6076" s="14">
        <f>VLOOKUP(E6076,'Rental Transaction'!A:B,2,FALSE)</f>
        <v>194680</v>
      </c>
      <c r="I6076">
        <f t="shared" si="94"/>
        <v>2014</v>
      </c>
    </row>
    <row r="6077" spans="1:9">
      <c r="A6077" s="1">
        <v>10275</v>
      </c>
      <c r="B6077" s="1">
        <v>4</v>
      </c>
      <c r="C6077" s="2">
        <v>41860</v>
      </c>
      <c r="D6077" s="1" t="s">
        <v>2002</v>
      </c>
      <c r="E6077" s="1">
        <v>104525</v>
      </c>
      <c r="F6077" s="6" t="s">
        <v>8079</v>
      </c>
      <c r="G6077" s="15" t="str">
        <f>VLOOKUP(A6077,Movie!A:D,4,FALSE)</f>
        <v>Lionsgate</v>
      </c>
      <c r="H6077" s="14">
        <f>VLOOKUP(E6077,'Rental Transaction'!A:B,2,FALSE)</f>
        <v>866847</v>
      </c>
      <c r="I6077">
        <f t="shared" si="94"/>
        <v>2014</v>
      </c>
    </row>
    <row r="6078" spans="1:9">
      <c r="A6078" s="1">
        <v>10211</v>
      </c>
      <c r="B6078" s="1">
        <v>8</v>
      </c>
      <c r="C6078" s="2">
        <v>41860</v>
      </c>
      <c r="D6078" s="1" t="s">
        <v>2005</v>
      </c>
      <c r="E6078" s="1">
        <v>104525</v>
      </c>
      <c r="F6078" s="6" t="s">
        <v>8080</v>
      </c>
      <c r="G6078" s="15" t="str">
        <f>VLOOKUP(A6078,Movie!A:D,4,FALSE)</f>
        <v>Buena Vista</v>
      </c>
      <c r="H6078" s="14">
        <f>VLOOKUP(E6078,'Rental Transaction'!A:B,2,FALSE)</f>
        <v>866847</v>
      </c>
      <c r="I6078">
        <f t="shared" si="94"/>
        <v>2014</v>
      </c>
    </row>
    <row r="6079" spans="1:9">
      <c r="A6079" s="1">
        <v>10245</v>
      </c>
      <c r="B6079" s="1">
        <v>2</v>
      </c>
      <c r="C6079" s="2">
        <v>41861</v>
      </c>
      <c r="D6079" s="1" t="s">
        <v>2002</v>
      </c>
      <c r="E6079" s="1">
        <v>104526</v>
      </c>
      <c r="F6079" s="6" t="s">
        <v>8081</v>
      </c>
      <c r="G6079" s="15" t="str">
        <f>VLOOKUP(A6079,Movie!A:D,4,FALSE)</f>
        <v>Warner Brothers</v>
      </c>
      <c r="H6079" s="14">
        <f>VLOOKUP(E6079,'Rental Transaction'!A:B,2,FALSE)</f>
        <v>958321</v>
      </c>
      <c r="I6079">
        <f t="shared" si="94"/>
        <v>2014</v>
      </c>
    </row>
    <row r="6080" spans="1:9">
      <c r="A6080" s="1">
        <v>10289</v>
      </c>
      <c r="B6080" s="1">
        <v>8</v>
      </c>
      <c r="C6080" s="2">
        <v>41859</v>
      </c>
      <c r="D6080" s="1" t="s">
        <v>2005</v>
      </c>
      <c r="E6080" s="1">
        <v>104526</v>
      </c>
      <c r="F6080" s="6" t="s">
        <v>8082</v>
      </c>
      <c r="G6080" s="15" t="str">
        <f>VLOOKUP(A6080,Movie!A:D,4,FALSE)</f>
        <v>Open Road Films</v>
      </c>
      <c r="H6080" s="14">
        <f>VLOOKUP(E6080,'Rental Transaction'!A:B,2,FALSE)</f>
        <v>958321</v>
      </c>
      <c r="I6080">
        <f t="shared" si="94"/>
        <v>2014</v>
      </c>
    </row>
    <row r="6081" spans="1:9">
      <c r="A6081" s="1">
        <v>10286</v>
      </c>
      <c r="B6081" s="1">
        <v>5</v>
      </c>
      <c r="C6081" s="2">
        <v>41859</v>
      </c>
      <c r="D6081" s="1" t="s">
        <v>2005</v>
      </c>
      <c r="E6081" s="1">
        <v>104528</v>
      </c>
      <c r="F6081" s="6" t="s">
        <v>8083</v>
      </c>
      <c r="G6081" s="15" t="str">
        <f>VLOOKUP(A6081,Movie!A:D,4,FALSE)</f>
        <v>Fox Searchlight</v>
      </c>
      <c r="H6081" s="14">
        <f>VLOOKUP(E6081,'Rental Transaction'!A:B,2,FALSE)</f>
        <v>926289</v>
      </c>
      <c r="I6081">
        <f t="shared" si="94"/>
        <v>2014</v>
      </c>
    </row>
    <row r="6082" spans="1:9">
      <c r="A6082" s="1">
        <v>10213</v>
      </c>
      <c r="B6082" s="1">
        <v>1</v>
      </c>
      <c r="C6082" s="2">
        <v>41859</v>
      </c>
      <c r="D6082" s="1" t="s">
        <v>2002</v>
      </c>
      <c r="E6082" s="1">
        <v>104528</v>
      </c>
      <c r="F6082" s="6" t="s">
        <v>8084</v>
      </c>
      <c r="G6082" s="15" t="str">
        <f>VLOOKUP(A6082,Movie!A:D,4,FALSE)</f>
        <v>Sony</v>
      </c>
      <c r="H6082" s="14">
        <f>VLOOKUP(E6082,'Rental Transaction'!A:B,2,FALSE)</f>
        <v>926289</v>
      </c>
      <c r="I6082">
        <f t="shared" si="94"/>
        <v>2014</v>
      </c>
    </row>
    <row r="6083" spans="1:9">
      <c r="A6083" s="1">
        <v>10271</v>
      </c>
      <c r="B6083" s="1">
        <v>9</v>
      </c>
      <c r="C6083" s="2">
        <v>41860</v>
      </c>
      <c r="D6083" s="1" t="s">
        <v>2002</v>
      </c>
      <c r="E6083" s="1">
        <v>104530</v>
      </c>
      <c r="F6083" s="6" t="s">
        <v>8085</v>
      </c>
      <c r="G6083" s="15" t="str">
        <f>VLOOKUP(A6083,Movie!A:D,4,FALSE)</f>
        <v>Universal</v>
      </c>
      <c r="H6083" s="14">
        <f>VLOOKUP(E6083,'Rental Transaction'!A:B,2,FALSE)</f>
        <v>783369</v>
      </c>
      <c r="I6083">
        <f t="shared" ref="I6083:I6146" si="95">YEAR(C6083)</f>
        <v>2014</v>
      </c>
    </row>
    <row r="6084" spans="1:9">
      <c r="A6084" s="1">
        <v>10232</v>
      </c>
      <c r="B6084" s="1">
        <v>10</v>
      </c>
      <c r="C6084" s="2">
        <v>41860</v>
      </c>
      <c r="D6084" s="1" t="s">
        <v>2005</v>
      </c>
      <c r="E6084" s="1">
        <v>104531</v>
      </c>
      <c r="F6084" s="6" t="s">
        <v>8086</v>
      </c>
      <c r="G6084" s="15" t="str">
        <f>VLOOKUP(A6084,Movie!A:D,4,FALSE)</f>
        <v>Paramount</v>
      </c>
      <c r="H6084" s="14">
        <f>VLOOKUP(E6084,'Rental Transaction'!A:B,2,FALSE)</f>
        <v>741398</v>
      </c>
      <c r="I6084">
        <f t="shared" si="95"/>
        <v>2014</v>
      </c>
    </row>
    <row r="6085" spans="1:9">
      <c r="A6085" s="1">
        <v>10218</v>
      </c>
      <c r="B6085" s="1">
        <v>2</v>
      </c>
      <c r="C6085" s="2">
        <v>41860</v>
      </c>
      <c r="D6085" s="1" t="s">
        <v>2002</v>
      </c>
      <c r="E6085" s="1">
        <v>104534</v>
      </c>
      <c r="F6085" s="6" t="s">
        <v>8087</v>
      </c>
      <c r="G6085" s="15" t="str">
        <f>VLOOKUP(A6085,Movie!A:D,4,FALSE)</f>
        <v>Sony</v>
      </c>
      <c r="H6085" s="14">
        <f>VLOOKUP(E6085,'Rental Transaction'!A:B,2,FALSE)</f>
        <v>441628</v>
      </c>
      <c r="I6085">
        <f t="shared" si="95"/>
        <v>2014</v>
      </c>
    </row>
    <row r="6086" spans="1:9">
      <c r="A6086" s="1">
        <v>10270</v>
      </c>
      <c r="B6086" s="1">
        <v>1</v>
      </c>
      <c r="C6086" s="2">
        <v>41861</v>
      </c>
      <c r="D6086" s="1" t="s">
        <v>2002</v>
      </c>
      <c r="E6086" s="1">
        <v>104534</v>
      </c>
      <c r="F6086" s="6" t="s">
        <v>8088</v>
      </c>
      <c r="G6086" s="15" t="str">
        <f>VLOOKUP(A6086,Movie!A:D,4,FALSE)</f>
        <v>Fox</v>
      </c>
      <c r="H6086" s="14">
        <f>VLOOKUP(E6086,'Rental Transaction'!A:B,2,FALSE)</f>
        <v>441628</v>
      </c>
      <c r="I6086">
        <f t="shared" si="95"/>
        <v>2014</v>
      </c>
    </row>
    <row r="6087" spans="1:9">
      <c r="A6087" s="1">
        <v>10137</v>
      </c>
      <c r="B6087" s="1">
        <v>8</v>
      </c>
      <c r="C6087" s="2">
        <v>41860</v>
      </c>
      <c r="D6087" s="1" t="s">
        <v>2002</v>
      </c>
      <c r="E6087" s="1">
        <v>104536</v>
      </c>
      <c r="F6087" s="6" t="s">
        <v>8089</v>
      </c>
      <c r="G6087" s="15" t="str">
        <f>VLOOKUP(A6087,Movie!A:D,4,FALSE)</f>
        <v>Buena Vista</v>
      </c>
      <c r="H6087" s="14">
        <f>VLOOKUP(E6087,'Rental Transaction'!A:B,2,FALSE)</f>
        <v>103508</v>
      </c>
      <c r="I6087">
        <f t="shared" si="95"/>
        <v>2014</v>
      </c>
    </row>
    <row r="6088" spans="1:9">
      <c r="A6088" s="1">
        <v>10236</v>
      </c>
      <c r="B6088" s="1">
        <v>6</v>
      </c>
      <c r="C6088" s="2">
        <v>41861</v>
      </c>
      <c r="D6088" s="1" t="s">
        <v>2002</v>
      </c>
      <c r="E6088" s="1">
        <v>104537</v>
      </c>
      <c r="F6088" s="6" t="s">
        <v>8090</v>
      </c>
      <c r="G6088" s="15" t="str">
        <f>VLOOKUP(A6088,Movie!A:D,4,FALSE)</f>
        <v>Lionsgate</v>
      </c>
      <c r="H6088" s="14">
        <f>VLOOKUP(E6088,'Rental Transaction'!A:B,2,FALSE)</f>
        <v>220206</v>
      </c>
      <c r="I6088">
        <f t="shared" si="95"/>
        <v>2014</v>
      </c>
    </row>
    <row r="6089" spans="1:9">
      <c r="A6089" s="1">
        <v>10204</v>
      </c>
      <c r="B6089" s="1">
        <v>10</v>
      </c>
      <c r="C6089" s="2">
        <v>41861</v>
      </c>
      <c r="D6089" s="1" t="s">
        <v>2005</v>
      </c>
      <c r="E6089" s="1">
        <v>104538</v>
      </c>
      <c r="F6089" s="6" t="s">
        <v>8091</v>
      </c>
      <c r="G6089" s="15" t="str">
        <f>VLOOKUP(A6089,Movie!A:D,4,FALSE)</f>
        <v>Universal</v>
      </c>
      <c r="H6089" s="14">
        <f>VLOOKUP(E6089,'Rental Transaction'!A:B,2,FALSE)</f>
        <v>507743</v>
      </c>
      <c r="I6089">
        <f t="shared" si="95"/>
        <v>2014</v>
      </c>
    </row>
    <row r="6090" spans="1:9">
      <c r="A6090" s="1">
        <v>10261</v>
      </c>
      <c r="B6090" s="1">
        <v>10</v>
      </c>
      <c r="C6090" s="2">
        <v>41862</v>
      </c>
      <c r="D6090" s="1" t="s">
        <v>2002</v>
      </c>
      <c r="E6090" s="1">
        <v>104538</v>
      </c>
      <c r="F6090" s="6" t="s">
        <v>8092</v>
      </c>
      <c r="G6090" s="15" t="str">
        <f>VLOOKUP(A6090,Movie!A:D,4,FALSE)</f>
        <v>Fox</v>
      </c>
      <c r="H6090" s="14">
        <f>VLOOKUP(E6090,'Rental Transaction'!A:B,2,FALSE)</f>
        <v>507743</v>
      </c>
      <c r="I6090">
        <f t="shared" si="95"/>
        <v>2014</v>
      </c>
    </row>
    <row r="6091" spans="1:9">
      <c r="A6091" s="1">
        <v>10248</v>
      </c>
      <c r="B6091" s="1">
        <v>2</v>
      </c>
      <c r="C6091" s="2">
        <v>41862</v>
      </c>
      <c r="D6091" s="1" t="s">
        <v>2002</v>
      </c>
      <c r="E6091" s="1">
        <v>104539</v>
      </c>
      <c r="F6091" s="6" t="s">
        <v>8093</v>
      </c>
      <c r="G6091" s="15" t="str">
        <f>VLOOKUP(A6091,Movie!A:D,4,FALSE)</f>
        <v>Relativity</v>
      </c>
      <c r="H6091" s="14">
        <f>VLOOKUP(E6091,'Rental Transaction'!A:B,2,FALSE)</f>
        <v>563500</v>
      </c>
      <c r="I6091">
        <f t="shared" si="95"/>
        <v>2014</v>
      </c>
    </row>
    <row r="6092" spans="1:9">
      <c r="A6092" s="1">
        <v>10259</v>
      </c>
      <c r="B6092" s="1">
        <v>10</v>
      </c>
      <c r="C6092" s="2">
        <v>41862</v>
      </c>
      <c r="D6092" s="1" t="s">
        <v>2002</v>
      </c>
      <c r="E6092" s="1">
        <v>104541</v>
      </c>
      <c r="F6092" s="6" t="s">
        <v>8094</v>
      </c>
      <c r="G6092" s="15" t="str">
        <f>VLOOKUP(A6092,Movie!A:D,4,FALSE)</f>
        <v>Warner Brothers</v>
      </c>
      <c r="H6092" s="14">
        <f>VLOOKUP(E6092,'Rental Transaction'!A:B,2,FALSE)</f>
        <v>559190</v>
      </c>
      <c r="I6092">
        <f t="shared" si="95"/>
        <v>2014</v>
      </c>
    </row>
    <row r="6093" spans="1:9" ht="29.25">
      <c r="A6093" s="1">
        <v>10294</v>
      </c>
      <c r="B6093" s="1">
        <v>3</v>
      </c>
      <c r="C6093" s="2">
        <v>41862</v>
      </c>
      <c r="D6093" s="1" t="s">
        <v>2005</v>
      </c>
      <c r="E6093" s="1">
        <v>104541</v>
      </c>
      <c r="F6093" s="6" t="s">
        <v>8095</v>
      </c>
      <c r="G6093" s="15" t="str">
        <f>VLOOKUP(A6093,Movie!A:D,4,FALSE)</f>
        <v>Weinstein Company</v>
      </c>
      <c r="H6093" s="14">
        <f>VLOOKUP(E6093,'Rental Transaction'!A:B,2,FALSE)</f>
        <v>559190</v>
      </c>
      <c r="I6093">
        <f t="shared" si="95"/>
        <v>2014</v>
      </c>
    </row>
    <row r="6094" spans="1:9">
      <c r="A6094" s="1">
        <v>10004</v>
      </c>
      <c r="B6094" s="1">
        <v>10</v>
      </c>
      <c r="C6094" s="2">
        <v>41863</v>
      </c>
      <c r="D6094" s="1" t="s">
        <v>2002</v>
      </c>
      <c r="E6094" s="1">
        <v>104542</v>
      </c>
      <c r="F6094" s="6" t="s">
        <v>8096</v>
      </c>
      <c r="G6094" s="15" t="str">
        <f>VLOOKUP(A6094,Movie!A:D,4,FALSE)</f>
        <v>Paramount</v>
      </c>
      <c r="H6094" s="14">
        <f>VLOOKUP(E6094,'Rental Transaction'!A:B,2,FALSE)</f>
        <v>157695</v>
      </c>
      <c r="I6094">
        <f t="shared" si="95"/>
        <v>2014</v>
      </c>
    </row>
    <row r="6095" spans="1:9">
      <c r="A6095" s="1">
        <v>10202</v>
      </c>
      <c r="B6095" s="1">
        <v>8</v>
      </c>
      <c r="C6095" s="2">
        <v>41862</v>
      </c>
      <c r="D6095" s="1" t="s">
        <v>2002</v>
      </c>
      <c r="E6095" s="1">
        <v>104542</v>
      </c>
      <c r="F6095" s="6" t="s">
        <v>8097</v>
      </c>
      <c r="G6095" s="15" t="str">
        <f>VLOOKUP(A6095,Movie!A:D,4,FALSE)</f>
        <v>Warner Brothers</v>
      </c>
      <c r="H6095" s="14">
        <f>VLOOKUP(E6095,'Rental Transaction'!A:B,2,FALSE)</f>
        <v>157695</v>
      </c>
      <c r="I6095">
        <f t="shared" si="95"/>
        <v>2014</v>
      </c>
    </row>
    <row r="6096" spans="1:9">
      <c r="A6096" s="1">
        <v>10220</v>
      </c>
      <c r="B6096" s="1">
        <v>1</v>
      </c>
      <c r="C6096" s="2">
        <v>41862</v>
      </c>
      <c r="D6096" s="1" t="s">
        <v>2002</v>
      </c>
      <c r="E6096" s="1">
        <v>104544</v>
      </c>
      <c r="F6096" s="6" t="s">
        <v>8098</v>
      </c>
      <c r="G6096" s="15" t="str">
        <f>VLOOKUP(A6096,Movie!A:D,4,FALSE)</f>
        <v>Fox</v>
      </c>
      <c r="H6096" s="14">
        <f>VLOOKUP(E6096,'Rental Transaction'!A:B,2,FALSE)</f>
        <v>157388</v>
      </c>
      <c r="I6096">
        <f t="shared" si="95"/>
        <v>2014</v>
      </c>
    </row>
    <row r="6097" spans="1:9">
      <c r="A6097" s="1">
        <v>10230</v>
      </c>
      <c r="B6097" s="1">
        <v>7</v>
      </c>
      <c r="C6097" s="2">
        <v>41861</v>
      </c>
      <c r="D6097" s="1" t="s">
        <v>2002</v>
      </c>
      <c r="E6097" s="1">
        <v>104544</v>
      </c>
      <c r="F6097" s="6" t="s">
        <v>8099</v>
      </c>
      <c r="G6097" s="15" t="str">
        <f>VLOOKUP(A6097,Movie!A:D,4,FALSE)</f>
        <v>Focus</v>
      </c>
      <c r="H6097" s="14">
        <f>VLOOKUP(E6097,'Rental Transaction'!A:B,2,FALSE)</f>
        <v>157388</v>
      </c>
      <c r="I6097">
        <f t="shared" si="95"/>
        <v>2014</v>
      </c>
    </row>
    <row r="6098" spans="1:9">
      <c r="A6098" s="1">
        <v>10226</v>
      </c>
      <c r="B6098" s="1">
        <v>3</v>
      </c>
      <c r="C6098" s="2">
        <v>41865</v>
      </c>
      <c r="D6098" s="1" t="s">
        <v>2002</v>
      </c>
      <c r="E6098" s="1">
        <v>104549</v>
      </c>
      <c r="F6098" s="6" t="s">
        <v>8100</v>
      </c>
      <c r="G6098" s="15" t="str">
        <f>VLOOKUP(A6098,Movie!A:D,4,FALSE)</f>
        <v>Sony</v>
      </c>
      <c r="H6098" s="14">
        <f>VLOOKUP(E6098,'Rental Transaction'!A:B,2,FALSE)</f>
        <v>380003</v>
      </c>
      <c r="I6098">
        <f t="shared" si="95"/>
        <v>2014</v>
      </c>
    </row>
    <row r="6099" spans="1:9" ht="29.25">
      <c r="A6099" s="1">
        <v>10294</v>
      </c>
      <c r="B6099" s="1">
        <v>7</v>
      </c>
      <c r="C6099" s="2">
        <v>41862</v>
      </c>
      <c r="D6099" s="1" t="s">
        <v>2002</v>
      </c>
      <c r="E6099" s="1">
        <v>104550</v>
      </c>
      <c r="F6099" s="6" t="s">
        <v>8101</v>
      </c>
      <c r="G6099" s="15" t="str">
        <f>VLOOKUP(A6099,Movie!A:D,4,FALSE)</f>
        <v>Weinstein Company</v>
      </c>
      <c r="H6099" s="14">
        <f>VLOOKUP(E6099,'Rental Transaction'!A:B,2,FALSE)</f>
        <v>926289</v>
      </c>
      <c r="I6099">
        <f t="shared" si="95"/>
        <v>2014</v>
      </c>
    </row>
    <row r="6100" spans="1:9">
      <c r="A6100" s="1">
        <v>10203</v>
      </c>
      <c r="B6100" s="1">
        <v>4</v>
      </c>
      <c r="C6100" s="2">
        <v>41865</v>
      </c>
      <c r="D6100" s="1" t="s">
        <v>2002</v>
      </c>
      <c r="E6100" s="1">
        <v>104553</v>
      </c>
      <c r="F6100" s="6" t="s">
        <v>8102</v>
      </c>
      <c r="G6100" s="15" t="str">
        <f>VLOOKUP(A6100,Movie!A:D,4,FALSE)</f>
        <v>Buena Vista</v>
      </c>
      <c r="H6100" s="14">
        <f>VLOOKUP(E6100,'Rental Transaction'!A:B,2,FALSE)</f>
        <v>911171</v>
      </c>
      <c r="I6100">
        <f t="shared" si="95"/>
        <v>2014</v>
      </c>
    </row>
    <row r="6101" spans="1:9">
      <c r="A6101" s="1">
        <v>10194</v>
      </c>
      <c r="B6101" s="1">
        <v>6</v>
      </c>
      <c r="C6101" s="2">
        <v>41865</v>
      </c>
      <c r="D6101" s="1" t="s">
        <v>2002</v>
      </c>
      <c r="E6101" s="1">
        <v>104554</v>
      </c>
      <c r="F6101" s="6" t="s">
        <v>8103</v>
      </c>
      <c r="G6101" s="15" t="str">
        <f>VLOOKUP(A6101,Movie!A:D,4,FALSE)</f>
        <v>FilmDistrict</v>
      </c>
      <c r="H6101" s="14">
        <f>VLOOKUP(E6101,'Rental Transaction'!A:B,2,FALSE)</f>
        <v>744416</v>
      </c>
      <c r="I6101">
        <f t="shared" si="95"/>
        <v>2014</v>
      </c>
    </row>
    <row r="6102" spans="1:9">
      <c r="A6102" s="1">
        <v>10045</v>
      </c>
      <c r="B6102" s="1">
        <v>8</v>
      </c>
      <c r="C6102" s="2">
        <v>41866</v>
      </c>
      <c r="D6102" s="1" t="s">
        <v>2002</v>
      </c>
      <c r="E6102" s="1">
        <v>104555</v>
      </c>
      <c r="F6102" s="6" t="s">
        <v>8104</v>
      </c>
      <c r="G6102" s="15" t="str">
        <f>VLOOKUP(A6102,Movie!A:D,4,FALSE)</f>
        <v>Warner Brothers</v>
      </c>
      <c r="H6102" s="14">
        <f>VLOOKUP(E6102,'Rental Transaction'!A:B,2,FALSE)</f>
        <v>723819</v>
      </c>
      <c r="I6102">
        <f t="shared" si="95"/>
        <v>2014</v>
      </c>
    </row>
    <row r="6103" spans="1:9">
      <c r="A6103" s="1">
        <v>10112</v>
      </c>
      <c r="B6103" s="1">
        <v>7</v>
      </c>
      <c r="C6103" s="2">
        <v>41866</v>
      </c>
      <c r="D6103" s="1" t="s">
        <v>2005</v>
      </c>
      <c r="E6103" s="1">
        <v>104557</v>
      </c>
      <c r="F6103" s="6" t="s">
        <v>8105</v>
      </c>
      <c r="G6103" s="15" t="str">
        <f>VLOOKUP(A6103,Movie!A:D,4,FALSE)</f>
        <v>Relativity</v>
      </c>
      <c r="H6103" s="14">
        <f>VLOOKUP(E6103,'Rental Transaction'!A:B,2,FALSE)</f>
        <v>306475</v>
      </c>
      <c r="I6103">
        <f t="shared" si="95"/>
        <v>2014</v>
      </c>
    </row>
    <row r="6104" spans="1:9">
      <c r="A6104" s="1">
        <v>10128</v>
      </c>
      <c r="B6104" s="1">
        <v>3</v>
      </c>
      <c r="C6104" s="2">
        <v>41863</v>
      </c>
      <c r="D6104" s="1" t="s">
        <v>2005</v>
      </c>
      <c r="E6104" s="1">
        <v>104557</v>
      </c>
      <c r="F6104" s="6" t="s">
        <v>8106</v>
      </c>
      <c r="G6104" s="15" t="str">
        <f>VLOOKUP(A6104,Movie!A:D,4,FALSE)</f>
        <v>TriStar</v>
      </c>
      <c r="H6104" s="14">
        <f>VLOOKUP(E6104,'Rental Transaction'!A:B,2,FALSE)</f>
        <v>306475</v>
      </c>
      <c r="I6104">
        <f t="shared" si="95"/>
        <v>2014</v>
      </c>
    </row>
    <row r="6105" spans="1:9">
      <c r="A6105" s="1">
        <v>10233</v>
      </c>
      <c r="B6105" s="1">
        <v>5</v>
      </c>
      <c r="C6105" s="2">
        <v>41863</v>
      </c>
      <c r="D6105" s="1" t="s">
        <v>2002</v>
      </c>
      <c r="E6105" s="1">
        <v>104557</v>
      </c>
      <c r="F6105" s="6" t="s">
        <v>8107</v>
      </c>
      <c r="G6105" s="15" t="str">
        <f>VLOOKUP(A6105,Movie!A:D,4,FALSE)</f>
        <v>Screen Gems</v>
      </c>
      <c r="H6105" s="14">
        <f>VLOOKUP(E6105,'Rental Transaction'!A:B,2,FALSE)</f>
        <v>306475</v>
      </c>
      <c r="I6105">
        <f t="shared" si="95"/>
        <v>2014</v>
      </c>
    </row>
    <row r="6106" spans="1:9">
      <c r="A6106" s="1">
        <v>10169</v>
      </c>
      <c r="B6106" s="1">
        <v>7</v>
      </c>
      <c r="C6106" s="2">
        <v>41863</v>
      </c>
      <c r="D6106" s="1" t="s">
        <v>2002</v>
      </c>
      <c r="E6106" s="1">
        <v>104558</v>
      </c>
      <c r="F6106" s="6" t="s">
        <v>8108</v>
      </c>
      <c r="G6106" s="15" t="str">
        <f>VLOOKUP(A6106,Movie!A:D,4,FALSE)</f>
        <v>Warner Brothers</v>
      </c>
      <c r="H6106" s="14">
        <f>VLOOKUP(E6106,'Rental Transaction'!A:B,2,FALSE)</f>
        <v>905670</v>
      </c>
      <c r="I6106">
        <f t="shared" si="95"/>
        <v>2014</v>
      </c>
    </row>
    <row r="6107" spans="1:9">
      <c r="A6107" s="1">
        <v>10148</v>
      </c>
      <c r="B6107" s="1">
        <v>4</v>
      </c>
      <c r="C6107" s="2">
        <v>41863</v>
      </c>
      <c r="D6107" s="1" t="s">
        <v>2005</v>
      </c>
      <c r="E6107" s="1">
        <v>104559</v>
      </c>
      <c r="F6107" s="6" t="s">
        <v>8109</v>
      </c>
      <c r="G6107" s="15" t="str">
        <f>VLOOKUP(A6107,Movie!A:D,4,FALSE)</f>
        <v>Paramount</v>
      </c>
      <c r="H6107" s="14">
        <f>VLOOKUP(E6107,'Rental Transaction'!A:B,2,FALSE)</f>
        <v>808869</v>
      </c>
      <c r="I6107">
        <f t="shared" si="95"/>
        <v>2014</v>
      </c>
    </row>
    <row r="6108" spans="1:9">
      <c r="A6108" s="1">
        <v>10191</v>
      </c>
      <c r="B6108" s="1">
        <v>2</v>
      </c>
      <c r="C6108" s="2">
        <v>41863</v>
      </c>
      <c r="D6108" s="1" t="s">
        <v>2002</v>
      </c>
      <c r="E6108" s="1">
        <v>104560</v>
      </c>
      <c r="F6108" s="6" t="s">
        <v>8110</v>
      </c>
      <c r="G6108" s="15" t="str">
        <f>VLOOKUP(A6108,Movie!A:D,4,FALSE)</f>
        <v>Universal</v>
      </c>
      <c r="H6108" s="14">
        <f>VLOOKUP(E6108,'Rental Transaction'!A:B,2,FALSE)</f>
        <v>664411</v>
      </c>
      <c r="I6108">
        <f t="shared" si="95"/>
        <v>2014</v>
      </c>
    </row>
    <row r="6109" spans="1:9">
      <c r="A6109" s="1">
        <v>10284</v>
      </c>
      <c r="B6109" s="1">
        <v>6</v>
      </c>
      <c r="C6109" s="2">
        <v>41865</v>
      </c>
      <c r="D6109" s="1" t="s">
        <v>2002</v>
      </c>
      <c r="E6109" s="1">
        <v>104560</v>
      </c>
      <c r="F6109" s="6" t="s">
        <v>8111</v>
      </c>
      <c r="G6109" s="15" t="str">
        <f>VLOOKUP(A6109,Movie!A:D,4,FALSE)</f>
        <v>Focus</v>
      </c>
      <c r="H6109" s="14">
        <f>VLOOKUP(E6109,'Rental Transaction'!A:B,2,FALSE)</f>
        <v>664411</v>
      </c>
      <c r="I6109">
        <f t="shared" si="95"/>
        <v>2014</v>
      </c>
    </row>
    <row r="6110" spans="1:9">
      <c r="A6110" s="1">
        <v>10349</v>
      </c>
      <c r="B6110" s="1">
        <v>3</v>
      </c>
      <c r="C6110" s="2">
        <v>41865</v>
      </c>
      <c r="D6110" s="1" t="s">
        <v>2002</v>
      </c>
      <c r="E6110" s="1">
        <v>104561</v>
      </c>
      <c r="F6110" s="6" t="s">
        <v>8112</v>
      </c>
      <c r="G6110" s="15" t="str">
        <f>VLOOKUP(A6110,Movie!A:D,4,FALSE)</f>
        <v>Screen Gems</v>
      </c>
      <c r="H6110" s="14">
        <f>VLOOKUP(E6110,'Rental Transaction'!A:B,2,FALSE)</f>
        <v>454015</v>
      </c>
      <c r="I6110">
        <f t="shared" si="95"/>
        <v>2014</v>
      </c>
    </row>
    <row r="6111" spans="1:9">
      <c r="A6111" s="1">
        <v>10082</v>
      </c>
      <c r="B6111" s="1">
        <v>9</v>
      </c>
      <c r="C6111" s="2">
        <v>41866</v>
      </c>
      <c r="D6111" s="1" t="s">
        <v>2002</v>
      </c>
      <c r="E6111" s="1">
        <v>104562</v>
      </c>
      <c r="F6111" s="6" t="s">
        <v>8113</v>
      </c>
      <c r="G6111" s="15" t="str">
        <f>VLOOKUP(A6111,Movie!A:D,4,FALSE)</f>
        <v>Buena Vista</v>
      </c>
      <c r="H6111" s="14">
        <f>VLOOKUP(E6111,'Rental Transaction'!A:B,2,FALSE)</f>
        <v>205878</v>
      </c>
      <c r="I6111">
        <f t="shared" si="95"/>
        <v>2014</v>
      </c>
    </row>
    <row r="6112" spans="1:9">
      <c r="A6112" s="1">
        <v>10201</v>
      </c>
      <c r="B6112" s="1">
        <v>6</v>
      </c>
      <c r="C6112" s="2">
        <v>41864</v>
      </c>
      <c r="D6112" s="1" t="s">
        <v>2002</v>
      </c>
      <c r="E6112" s="1">
        <v>104564</v>
      </c>
      <c r="F6112" s="6" t="s">
        <v>8114</v>
      </c>
      <c r="G6112" s="15" t="str">
        <f>VLOOKUP(A6112,Movie!A:D,4,FALSE)</f>
        <v>Screen Gems</v>
      </c>
      <c r="H6112" s="14">
        <f>VLOOKUP(E6112,'Rental Transaction'!A:B,2,FALSE)</f>
        <v>262638</v>
      </c>
      <c r="I6112">
        <f t="shared" si="95"/>
        <v>2014</v>
      </c>
    </row>
    <row r="6113" spans="1:9">
      <c r="A6113" s="1">
        <v>10233</v>
      </c>
      <c r="B6113" s="1">
        <v>3</v>
      </c>
      <c r="C6113" s="2">
        <v>41864</v>
      </c>
      <c r="D6113" s="1" t="s">
        <v>2002</v>
      </c>
      <c r="E6113" s="1">
        <v>104565</v>
      </c>
      <c r="F6113" s="6" t="s">
        <v>8115</v>
      </c>
      <c r="G6113" s="15" t="str">
        <f>VLOOKUP(A6113,Movie!A:D,4,FALSE)</f>
        <v>Screen Gems</v>
      </c>
      <c r="H6113" s="14">
        <f>VLOOKUP(E6113,'Rental Transaction'!A:B,2,FALSE)</f>
        <v>663029</v>
      </c>
      <c r="I6113">
        <f t="shared" si="95"/>
        <v>2014</v>
      </c>
    </row>
    <row r="6114" spans="1:9">
      <c r="A6114" s="1">
        <v>10106</v>
      </c>
      <c r="B6114" s="1">
        <v>8</v>
      </c>
      <c r="C6114" s="2">
        <v>41867</v>
      </c>
      <c r="D6114" s="1" t="s">
        <v>2005</v>
      </c>
      <c r="E6114" s="1">
        <v>104566</v>
      </c>
      <c r="F6114" s="6" t="s">
        <v>8116</v>
      </c>
      <c r="G6114" s="15" t="str">
        <f>VLOOKUP(A6114,Movie!A:D,4,FALSE)</f>
        <v>Fox</v>
      </c>
      <c r="H6114" s="14">
        <f>VLOOKUP(E6114,'Rental Transaction'!A:B,2,FALSE)</f>
        <v>766161</v>
      </c>
      <c r="I6114">
        <f t="shared" si="95"/>
        <v>2014</v>
      </c>
    </row>
    <row r="6115" spans="1:9">
      <c r="A6115" s="1">
        <v>10192</v>
      </c>
      <c r="B6115" s="1">
        <v>4</v>
      </c>
      <c r="C6115" s="2">
        <v>41864</v>
      </c>
      <c r="D6115" s="1" t="s">
        <v>2002</v>
      </c>
      <c r="E6115" s="1">
        <v>104566</v>
      </c>
      <c r="F6115" s="6" t="s">
        <v>8117</v>
      </c>
      <c r="G6115" s="15" t="str">
        <f>VLOOKUP(A6115,Movie!A:D,4,FALSE)</f>
        <v>Universal</v>
      </c>
      <c r="H6115" s="14">
        <f>VLOOKUP(E6115,'Rental Transaction'!A:B,2,FALSE)</f>
        <v>766161</v>
      </c>
      <c r="I6115">
        <f t="shared" si="95"/>
        <v>2014</v>
      </c>
    </row>
    <row r="6116" spans="1:9">
      <c r="A6116" s="1">
        <v>10226</v>
      </c>
      <c r="B6116" s="1">
        <v>8</v>
      </c>
      <c r="C6116" s="2">
        <v>41867</v>
      </c>
      <c r="D6116" s="1" t="s">
        <v>2005</v>
      </c>
      <c r="E6116" s="1">
        <v>104566</v>
      </c>
      <c r="F6116" s="6" t="s">
        <v>8118</v>
      </c>
      <c r="G6116" s="15" t="str">
        <f>VLOOKUP(A6116,Movie!A:D,4,FALSE)</f>
        <v>Sony</v>
      </c>
      <c r="H6116" s="14">
        <f>VLOOKUP(E6116,'Rental Transaction'!A:B,2,FALSE)</f>
        <v>766161</v>
      </c>
      <c r="I6116">
        <f t="shared" si="95"/>
        <v>2014</v>
      </c>
    </row>
    <row r="6117" spans="1:9">
      <c r="A6117" s="1">
        <v>10135</v>
      </c>
      <c r="B6117" s="1">
        <v>2</v>
      </c>
      <c r="C6117" s="2">
        <v>41864</v>
      </c>
      <c r="D6117" s="1" t="s">
        <v>2002</v>
      </c>
      <c r="E6117" s="1">
        <v>104567</v>
      </c>
      <c r="F6117" s="6" t="s">
        <v>8119</v>
      </c>
      <c r="G6117" s="15" t="str">
        <f>VLOOKUP(A6117,Movie!A:D,4,FALSE)</f>
        <v>Universal</v>
      </c>
      <c r="H6117" s="14">
        <f>VLOOKUP(E6117,'Rental Transaction'!A:B,2,FALSE)</f>
        <v>231615</v>
      </c>
      <c r="I6117">
        <f t="shared" si="95"/>
        <v>2014</v>
      </c>
    </row>
    <row r="6118" spans="1:9">
      <c r="A6118" s="1">
        <v>10147</v>
      </c>
      <c r="B6118" s="1">
        <v>2</v>
      </c>
      <c r="C6118" s="2">
        <v>41864</v>
      </c>
      <c r="D6118" s="1" t="s">
        <v>2002</v>
      </c>
      <c r="E6118" s="1">
        <v>104568</v>
      </c>
      <c r="F6118" s="6" t="s">
        <v>8120</v>
      </c>
      <c r="G6118" s="15" t="str">
        <f>VLOOKUP(A6118,Movie!A:D,4,FALSE)</f>
        <v>Lionsgate</v>
      </c>
      <c r="H6118" s="14">
        <f>VLOOKUP(E6118,'Rental Transaction'!A:B,2,FALSE)</f>
        <v>888759</v>
      </c>
      <c r="I6118">
        <f t="shared" si="95"/>
        <v>2014</v>
      </c>
    </row>
    <row r="6119" spans="1:9">
      <c r="A6119" s="1">
        <v>10181</v>
      </c>
      <c r="B6119" s="1">
        <v>2</v>
      </c>
      <c r="C6119" s="2">
        <v>41866</v>
      </c>
      <c r="D6119" s="1" t="s">
        <v>2005</v>
      </c>
      <c r="E6119" s="1">
        <v>104570</v>
      </c>
      <c r="F6119" s="6" t="s">
        <v>8121</v>
      </c>
      <c r="G6119" s="15" t="str">
        <f>VLOOKUP(A6119,Movie!A:D,4,FALSE)</f>
        <v>Fox</v>
      </c>
      <c r="H6119" s="14">
        <f>VLOOKUP(E6119,'Rental Transaction'!A:B,2,FALSE)</f>
        <v>905670</v>
      </c>
      <c r="I6119">
        <f t="shared" si="95"/>
        <v>2014</v>
      </c>
    </row>
    <row r="6120" spans="1:9">
      <c r="A6120" s="1">
        <v>10252</v>
      </c>
      <c r="B6120" s="1">
        <v>6</v>
      </c>
      <c r="C6120" s="2">
        <v>41865</v>
      </c>
      <c r="D6120" s="1" t="s">
        <v>2002</v>
      </c>
      <c r="E6120" s="1">
        <v>104570</v>
      </c>
      <c r="F6120" s="6" t="s">
        <v>8122</v>
      </c>
      <c r="G6120" s="15" t="str">
        <f>VLOOKUP(A6120,Movie!A:D,4,FALSE)</f>
        <v>Warner Brothers</v>
      </c>
      <c r="H6120" s="14">
        <f>VLOOKUP(E6120,'Rental Transaction'!A:B,2,FALSE)</f>
        <v>905670</v>
      </c>
      <c r="I6120">
        <f t="shared" si="95"/>
        <v>2014</v>
      </c>
    </row>
    <row r="6121" spans="1:9">
      <c r="A6121" s="1">
        <v>10104</v>
      </c>
      <c r="B6121" s="1">
        <v>1</v>
      </c>
      <c r="C6121" s="2">
        <v>41869</v>
      </c>
      <c r="D6121" s="1" t="s">
        <v>2002</v>
      </c>
      <c r="E6121" s="1">
        <v>104570</v>
      </c>
      <c r="F6121" s="6" t="s">
        <v>8123</v>
      </c>
      <c r="G6121" s="15" t="str">
        <f>VLOOKUP(A6121,Movie!A:D,4,FALSE)</f>
        <v>Universal</v>
      </c>
      <c r="H6121" s="14">
        <f>VLOOKUP(E6121,'Rental Transaction'!A:B,2,FALSE)</f>
        <v>905670</v>
      </c>
      <c r="I6121">
        <f t="shared" si="95"/>
        <v>2014</v>
      </c>
    </row>
    <row r="6122" spans="1:9" ht="29.25">
      <c r="A6122" s="1">
        <v>10290</v>
      </c>
      <c r="B6122" s="1">
        <v>3</v>
      </c>
      <c r="C6122" s="2">
        <v>41865</v>
      </c>
      <c r="D6122" s="1" t="s">
        <v>2002</v>
      </c>
      <c r="E6122" s="1">
        <v>104572</v>
      </c>
      <c r="F6122" s="6" t="s">
        <v>8124</v>
      </c>
      <c r="G6122" s="15" t="str">
        <f>VLOOKUP(A6122,Movie!A:D,4,FALSE)</f>
        <v>Weinstein Company</v>
      </c>
      <c r="H6122" s="14">
        <f>VLOOKUP(E6122,'Rental Transaction'!A:B,2,FALSE)</f>
        <v>128131</v>
      </c>
      <c r="I6122">
        <f t="shared" si="95"/>
        <v>2014</v>
      </c>
    </row>
    <row r="6123" spans="1:9">
      <c r="A6123" s="1">
        <v>10156</v>
      </c>
      <c r="B6123" s="1">
        <v>10</v>
      </c>
      <c r="C6123" s="2">
        <v>41872</v>
      </c>
      <c r="D6123" s="1" t="s">
        <v>2002</v>
      </c>
      <c r="E6123" s="1">
        <v>104572</v>
      </c>
      <c r="F6123" s="6" t="s">
        <v>8125</v>
      </c>
      <c r="G6123" s="15" t="str">
        <f>VLOOKUP(A6123,Movie!A:D,4,FALSE)</f>
        <v>Buena Vista</v>
      </c>
      <c r="H6123" s="14">
        <f>VLOOKUP(E6123,'Rental Transaction'!A:B,2,FALSE)</f>
        <v>128131</v>
      </c>
      <c r="I6123">
        <f t="shared" si="95"/>
        <v>2014</v>
      </c>
    </row>
    <row r="6124" spans="1:9">
      <c r="A6124" s="1">
        <v>10134</v>
      </c>
      <c r="B6124" s="1">
        <v>2</v>
      </c>
      <c r="C6124" s="2">
        <v>41865</v>
      </c>
      <c r="D6124" s="1" t="s">
        <v>2002</v>
      </c>
      <c r="E6124" s="1">
        <v>104573</v>
      </c>
      <c r="F6124" s="6" t="s">
        <v>8126</v>
      </c>
      <c r="G6124" s="15" t="str">
        <f>VLOOKUP(A6124,Movie!A:D,4,FALSE)</f>
        <v>Universal</v>
      </c>
      <c r="H6124" s="14">
        <f>VLOOKUP(E6124,'Rental Transaction'!A:B,2,FALSE)</f>
        <v>433442</v>
      </c>
      <c r="I6124">
        <f t="shared" si="95"/>
        <v>2014</v>
      </c>
    </row>
    <row r="6125" spans="1:9">
      <c r="A6125" s="1">
        <v>10250</v>
      </c>
      <c r="B6125" s="1">
        <v>10</v>
      </c>
      <c r="C6125" s="2">
        <v>41866</v>
      </c>
      <c r="D6125" s="1" t="s">
        <v>2005</v>
      </c>
      <c r="E6125" s="1">
        <v>104574</v>
      </c>
      <c r="F6125" s="6" t="s">
        <v>8127</v>
      </c>
      <c r="G6125" s="15" t="str">
        <f>VLOOKUP(A6125,Movie!A:D,4,FALSE)</f>
        <v>Buena Vista</v>
      </c>
      <c r="H6125" s="14">
        <f>VLOOKUP(E6125,'Rental Transaction'!A:B,2,FALSE)</f>
        <v>951702</v>
      </c>
      <c r="I6125">
        <f t="shared" si="95"/>
        <v>2014</v>
      </c>
    </row>
    <row r="6126" spans="1:9">
      <c r="A6126" s="1">
        <v>10202</v>
      </c>
      <c r="B6126" s="1">
        <v>5</v>
      </c>
      <c r="C6126" s="2">
        <v>41867</v>
      </c>
      <c r="D6126" s="1" t="s">
        <v>2002</v>
      </c>
      <c r="E6126" s="1">
        <v>104577</v>
      </c>
      <c r="F6126" s="6" t="s">
        <v>8128</v>
      </c>
      <c r="G6126" s="15" t="str">
        <f>VLOOKUP(A6126,Movie!A:D,4,FALSE)</f>
        <v>Warner Brothers</v>
      </c>
      <c r="H6126" s="14">
        <f>VLOOKUP(E6126,'Rental Transaction'!A:B,2,FALSE)</f>
        <v>345348</v>
      </c>
      <c r="I6126">
        <f t="shared" si="95"/>
        <v>2014</v>
      </c>
    </row>
    <row r="6127" spans="1:9">
      <c r="A6127" s="1">
        <v>10150</v>
      </c>
      <c r="B6127" s="1">
        <v>6</v>
      </c>
      <c r="C6127" s="2">
        <v>41868</v>
      </c>
      <c r="D6127" s="1" t="s">
        <v>2002</v>
      </c>
      <c r="E6127" s="1">
        <v>104577</v>
      </c>
      <c r="F6127" s="6" t="s">
        <v>8129</v>
      </c>
      <c r="G6127" s="15" t="str">
        <f>VLOOKUP(A6127,Movie!A:D,4,FALSE)</f>
        <v>Focus</v>
      </c>
      <c r="H6127" s="14">
        <f>VLOOKUP(E6127,'Rental Transaction'!A:B,2,FALSE)</f>
        <v>345348</v>
      </c>
      <c r="I6127">
        <f t="shared" si="95"/>
        <v>2014</v>
      </c>
    </row>
    <row r="6128" spans="1:9">
      <c r="A6128" s="1">
        <v>10194</v>
      </c>
      <c r="B6128" s="1">
        <v>8</v>
      </c>
      <c r="C6128" s="2">
        <v>41867</v>
      </c>
      <c r="D6128" s="1" t="s">
        <v>2002</v>
      </c>
      <c r="E6128" s="1">
        <v>104579</v>
      </c>
      <c r="F6128" s="6" t="s">
        <v>8130</v>
      </c>
      <c r="G6128" s="15" t="str">
        <f>VLOOKUP(A6128,Movie!A:D,4,FALSE)</f>
        <v>FilmDistrict</v>
      </c>
      <c r="H6128" s="14">
        <f>VLOOKUP(E6128,'Rental Transaction'!A:B,2,FALSE)</f>
        <v>671101</v>
      </c>
      <c r="I6128">
        <f t="shared" si="95"/>
        <v>2014</v>
      </c>
    </row>
    <row r="6129" spans="1:9">
      <c r="A6129" s="1">
        <v>10271</v>
      </c>
      <c r="B6129" s="1">
        <v>6</v>
      </c>
      <c r="C6129" s="2">
        <v>41866</v>
      </c>
      <c r="D6129" s="1" t="s">
        <v>2005</v>
      </c>
      <c r="E6129" s="1">
        <v>104581</v>
      </c>
      <c r="F6129" s="6" t="s">
        <v>8131</v>
      </c>
      <c r="G6129" s="15" t="str">
        <f>VLOOKUP(A6129,Movie!A:D,4,FALSE)</f>
        <v>Universal</v>
      </c>
      <c r="H6129" s="14">
        <f>VLOOKUP(E6129,'Rental Transaction'!A:B,2,FALSE)</f>
        <v>976778</v>
      </c>
      <c r="I6129">
        <f t="shared" si="95"/>
        <v>2014</v>
      </c>
    </row>
    <row r="6130" spans="1:9">
      <c r="A6130" s="1">
        <v>10252</v>
      </c>
      <c r="B6130" s="1">
        <v>7</v>
      </c>
      <c r="C6130" s="2">
        <v>41866</v>
      </c>
      <c r="D6130" s="1" t="s">
        <v>2002</v>
      </c>
      <c r="E6130" s="1">
        <v>104582</v>
      </c>
      <c r="F6130" s="6" t="s">
        <v>8132</v>
      </c>
      <c r="G6130" s="15" t="str">
        <f>VLOOKUP(A6130,Movie!A:D,4,FALSE)</f>
        <v>Warner Brothers</v>
      </c>
      <c r="H6130" s="14">
        <f>VLOOKUP(E6130,'Rental Transaction'!A:B,2,FALSE)</f>
        <v>193914</v>
      </c>
      <c r="I6130">
        <f t="shared" si="95"/>
        <v>2014</v>
      </c>
    </row>
    <row r="6131" spans="1:9">
      <c r="A6131" s="1">
        <v>10280</v>
      </c>
      <c r="B6131" s="1">
        <v>10</v>
      </c>
      <c r="C6131" s="2">
        <v>41867</v>
      </c>
      <c r="D6131" s="1" t="s">
        <v>2002</v>
      </c>
      <c r="E6131" s="1">
        <v>104583</v>
      </c>
      <c r="F6131" s="6" t="s">
        <v>8133</v>
      </c>
      <c r="G6131" s="15" t="str">
        <f>VLOOKUP(A6131,Movie!A:D,4,FALSE)</f>
        <v>Universal</v>
      </c>
      <c r="H6131" s="14">
        <f>VLOOKUP(E6131,'Rental Transaction'!A:B,2,FALSE)</f>
        <v>866556</v>
      </c>
      <c r="I6131">
        <f t="shared" si="95"/>
        <v>2014</v>
      </c>
    </row>
    <row r="6132" spans="1:9">
      <c r="A6132" s="1">
        <v>10245</v>
      </c>
      <c r="B6132" s="1">
        <v>8</v>
      </c>
      <c r="C6132" s="2">
        <v>41867</v>
      </c>
      <c r="D6132" s="1" t="s">
        <v>2002</v>
      </c>
      <c r="E6132" s="1">
        <v>104586</v>
      </c>
      <c r="F6132" s="6" t="s">
        <v>8134</v>
      </c>
      <c r="G6132" s="15" t="str">
        <f>VLOOKUP(A6132,Movie!A:D,4,FALSE)</f>
        <v>Warner Brothers</v>
      </c>
      <c r="H6132" s="14">
        <f>VLOOKUP(E6132,'Rental Transaction'!A:B,2,FALSE)</f>
        <v>781968</v>
      </c>
      <c r="I6132">
        <f t="shared" si="95"/>
        <v>2014</v>
      </c>
    </row>
    <row r="6133" spans="1:9">
      <c r="A6133" s="1">
        <v>10297</v>
      </c>
      <c r="B6133" s="1">
        <v>5</v>
      </c>
      <c r="C6133" s="2">
        <v>41867</v>
      </c>
      <c r="D6133" s="1" t="s">
        <v>2002</v>
      </c>
      <c r="E6133" s="1">
        <v>104587</v>
      </c>
      <c r="F6133" s="6" t="s">
        <v>8135</v>
      </c>
      <c r="G6133" s="15" t="str">
        <f>VLOOKUP(A6133,Movie!A:D,4,FALSE)</f>
        <v>Focus</v>
      </c>
      <c r="H6133" s="14">
        <f>VLOOKUP(E6133,'Rental Transaction'!A:B,2,FALSE)</f>
        <v>128131</v>
      </c>
      <c r="I6133">
        <f t="shared" si="95"/>
        <v>2014</v>
      </c>
    </row>
    <row r="6134" spans="1:9">
      <c r="A6134" s="1">
        <v>10296</v>
      </c>
      <c r="B6134" s="1">
        <v>3</v>
      </c>
      <c r="C6134" s="2">
        <v>41868</v>
      </c>
      <c r="D6134" s="1" t="s">
        <v>2005</v>
      </c>
      <c r="E6134" s="1">
        <v>104588</v>
      </c>
      <c r="F6134" s="6" t="s">
        <v>8136</v>
      </c>
      <c r="G6134" s="15" t="str">
        <f>VLOOKUP(A6134,Movie!A:D,4,FALSE)</f>
        <v>A24</v>
      </c>
      <c r="H6134" s="14">
        <f>VLOOKUP(E6134,'Rental Transaction'!A:B,2,FALSE)</f>
        <v>884607</v>
      </c>
      <c r="I6134">
        <f t="shared" si="95"/>
        <v>2014</v>
      </c>
    </row>
    <row r="6135" spans="1:9">
      <c r="A6135" s="1">
        <v>10224</v>
      </c>
      <c r="B6135" s="1">
        <v>10</v>
      </c>
      <c r="C6135" s="2">
        <v>41868</v>
      </c>
      <c r="D6135" s="1" t="s">
        <v>2002</v>
      </c>
      <c r="E6135" s="1">
        <v>104590</v>
      </c>
      <c r="F6135" s="6" t="s">
        <v>8137</v>
      </c>
      <c r="G6135" s="15" t="str">
        <f>VLOOKUP(A6135,Movie!A:D,4,FALSE)</f>
        <v>Fox Searchlight</v>
      </c>
      <c r="H6135" s="14">
        <f>VLOOKUP(E6135,'Rental Transaction'!A:B,2,FALSE)</f>
        <v>498970</v>
      </c>
      <c r="I6135">
        <f t="shared" si="95"/>
        <v>2014</v>
      </c>
    </row>
    <row r="6136" spans="1:9">
      <c r="A6136" s="1">
        <v>10008</v>
      </c>
      <c r="B6136" s="1">
        <v>9</v>
      </c>
      <c r="C6136" s="2">
        <v>41868</v>
      </c>
      <c r="D6136" s="1" t="s">
        <v>2002</v>
      </c>
      <c r="E6136" s="1">
        <v>104591</v>
      </c>
      <c r="F6136" s="6" t="s">
        <v>8138</v>
      </c>
      <c r="G6136" s="15" t="str">
        <f>VLOOKUP(A6136,Movie!A:D,4,FALSE)</f>
        <v>Sony</v>
      </c>
      <c r="H6136" s="14">
        <f>VLOOKUP(E6136,'Rental Transaction'!A:B,2,FALSE)</f>
        <v>690100</v>
      </c>
      <c r="I6136">
        <f t="shared" si="95"/>
        <v>2014</v>
      </c>
    </row>
    <row r="6137" spans="1:9">
      <c r="A6137" s="1">
        <v>10192</v>
      </c>
      <c r="B6137" s="1">
        <v>1</v>
      </c>
      <c r="C6137" s="2">
        <v>41870</v>
      </c>
      <c r="D6137" s="1" t="s">
        <v>2002</v>
      </c>
      <c r="E6137" s="1">
        <v>104595</v>
      </c>
      <c r="F6137" s="6" t="s">
        <v>8139</v>
      </c>
      <c r="G6137" s="15" t="str">
        <f>VLOOKUP(A6137,Movie!A:D,4,FALSE)</f>
        <v>Universal</v>
      </c>
      <c r="H6137" s="14">
        <f>VLOOKUP(E6137,'Rental Transaction'!A:B,2,FALSE)</f>
        <v>101811</v>
      </c>
      <c r="I6137">
        <f t="shared" si="95"/>
        <v>2014</v>
      </c>
    </row>
    <row r="6138" spans="1:9">
      <c r="A6138" s="1">
        <v>10162</v>
      </c>
      <c r="B6138" s="1">
        <v>3</v>
      </c>
      <c r="C6138" s="2">
        <v>41868</v>
      </c>
      <c r="D6138" s="1" t="s">
        <v>2002</v>
      </c>
      <c r="E6138" s="1">
        <v>104596</v>
      </c>
      <c r="F6138" s="6" t="s">
        <v>8140</v>
      </c>
      <c r="G6138" s="15" t="str">
        <f>VLOOKUP(A6138,Movie!A:D,4,FALSE)</f>
        <v>Sony</v>
      </c>
      <c r="H6138" s="14">
        <f>VLOOKUP(E6138,'Rental Transaction'!A:B,2,FALSE)</f>
        <v>925565</v>
      </c>
      <c r="I6138">
        <f t="shared" si="95"/>
        <v>2014</v>
      </c>
    </row>
    <row r="6139" spans="1:9">
      <c r="A6139" s="1">
        <v>10272</v>
      </c>
      <c r="B6139" s="1">
        <v>3</v>
      </c>
      <c r="C6139" s="2">
        <v>41871</v>
      </c>
      <c r="D6139" s="1" t="s">
        <v>2002</v>
      </c>
      <c r="E6139" s="1">
        <v>104597</v>
      </c>
      <c r="F6139" s="6" t="s">
        <v>8141</v>
      </c>
      <c r="G6139" s="15" t="str">
        <f>VLOOKUP(A6139,Movie!A:D,4,FALSE)</f>
        <v>Sony</v>
      </c>
      <c r="H6139" s="14">
        <f>VLOOKUP(E6139,'Rental Transaction'!A:B,2,FALSE)</f>
        <v>498970</v>
      </c>
      <c r="I6139">
        <f t="shared" si="95"/>
        <v>2014</v>
      </c>
    </row>
    <row r="6140" spans="1:9">
      <c r="A6140" s="1">
        <v>10274</v>
      </c>
      <c r="B6140" s="1">
        <v>2</v>
      </c>
      <c r="C6140" s="2">
        <v>41869</v>
      </c>
      <c r="D6140" s="1" t="s">
        <v>2005</v>
      </c>
      <c r="E6140" s="1">
        <v>104598</v>
      </c>
      <c r="F6140" s="6" t="s">
        <v>8142</v>
      </c>
      <c r="G6140" s="15" t="str">
        <f>VLOOKUP(A6140,Movie!A:D,4,FALSE)</f>
        <v>Fox</v>
      </c>
      <c r="H6140" s="14">
        <f>VLOOKUP(E6140,'Rental Transaction'!A:B,2,FALSE)</f>
        <v>593317</v>
      </c>
      <c r="I6140">
        <f t="shared" si="95"/>
        <v>2014</v>
      </c>
    </row>
    <row r="6141" spans="1:9" ht="29.25">
      <c r="A6141" s="1">
        <v>10285</v>
      </c>
      <c r="B6141" s="1">
        <v>9</v>
      </c>
      <c r="C6141" s="2">
        <v>41871</v>
      </c>
      <c r="D6141" s="1" t="s">
        <v>2005</v>
      </c>
      <c r="E6141" s="1">
        <v>104599</v>
      </c>
      <c r="F6141" s="6" t="s">
        <v>8143</v>
      </c>
      <c r="G6141" s="15" t="str">
        <f>VLOOKUP(A6141,Movie!A:D,4,FALSE)</f>
        <v>Roadside Attractions</v>
      </c>
      <c r="H6141" s="14">
        <f>VLOOKUP(E6141,'Rental Transaction'!A:B,2,FALSE)</f>
        <v>378374</v>
      </c>
      <c r="I6141">
        <f t="shared" si="95"/>
        <v>2014</v>
      </c>
    </row>
    <row r="6142" spans="1:9">
      <c r="A6142" s="1">
        <v>10177</v>
      </c>
      <c r="B6142" s="1">
        <v>2</v>
      </c>
      <c r="C6142" s="2">
        <v>41869</v>
      </c>
      <c r="D6142" s="1" t="s">
        <v>2002</v>
      </c>
      <c r="E6142" s="1">
        <v>104601</v>
      </c>
      <c r="F6142" s="6" t="s">
        <v>8144</v>
      </c>
      <c r="G6142" s="15" t="str">
        <f>VLOOKUP(A6142,Movie!A:D,4,FALSE)</f>
        <v>Fox</v>
      </c>
      <c r="H6142" s="14">
        <f>VLOOKUP(E6142,'Rental Transaction'!A:B,2,FALSE)</f>
        <v>927518</v>
      </c>
      <c r="I6142">
        <f t="shared" si="95"/>
        <v>2014</v>
      </c>
    </row>
    <row r="6143" spans="1:9">
      <c r="A6143" s="1">
        <v>10109</v>
      </c>
      <c r="B6143" s="1">
        <v>2</v>
      </c>
      <c r="C6143" s="2">
        <v>41869</v>
      </c>
      <c r="D6143" s="1" t="s">
        <v>2002</v>
      </c>
      <c r="E6143" s="1">
        <v>104602</v>
      </c>
      <c r="F6143" s="6" t="s">
        <v>8145</v>
      </c>
      <c r="G6143" s="15" t="str">
        <f>VLOOKUP(A6143,Movie!A:D,4,FALSE)</f>
        <v>Warner Brothers</v>
      </c>
      <c r="H6143" s="14">
        <f>VLOOKUP(E6143,'Rental Transaction'!A:B,2,FALSE)</f>
        <v>559688</v>
      </c>
      <c r="I6143">
        <f t="shared" si="95"/>
        <v>2014</v>
      </c>
    </row>
    <row r="6144" spans="1:9">
      <c r="A6144" s="1">
        <v>10050</v>
      </c>
      <c r="B6144" s="1">
        <v>7</v>
      </c>
      <c r="C6144" s="2">
        <v>41870</v>
      </c>
      <c r="D6144" s="1" t="s">
        <v>2002</v>
      </c>
      <c r="E6144" s="1">
        <v>104602</v>
      </c>
      <c r="F6144" s="6" t="s">
        <v>8146</v>
      </c>
      <c r="G6144" s="15" t="str">
        <f>VLOOKUP(A6144,Movie!A:D,4,FALSE)</f>
        <v>Paramount</v>
      </c>
      <c r="H6144" s="14">
        <f>VLOOKUP(E6144,'Rental Transaction'!A:B,2,FALSE)</f>
        <v>559688</v>
      </c>
      <c r="I6144">
        <f t="shared" si="95"/>
        <v>2014</v>
      </c>
    </row>
    <row r="6145" spans="1:9">
      <c r="A6145" s="1">
        <v>10037</v>
      </c>
      <c r="B6145" s="1">
        <v>8</v>
      </c>
      <c r="C6145" s="2">
        <v>41871</v>
      </c>
      <c r="D6145" s="1" t="s">
        <v>2002</v>
      </c>
      <c r="E6145" s="1">
        <v>104604</v>
      </c>
      <c r="F6145" s="6" t="s">
        <v>8147</v>
      </c>
      <c r="G6145" s="15" t="str">
        <f>VLOOKUP(A6145,Movie!A:D,4,FALSE)</f>
        <v>Buena Vista</v>
      </c>
      <c r="H6145" s="14">
        <f>VLOOKUP(E6145,'Rental Transaction'!A:B,2,FALSE)</f>
        <v>484909</v>
      </c>
      <c r="I6145">
        <f t="shared" si="95"/>
        <v>2014</v>
      </c>
    </row>
    <row r="6146" spans="1:9">
      <c r="A6146" s="1">
        <v>10247</v>
      </c>
      <c r="B6146" s="1">
        <v>10</v>
      </c>
      <c r="C6146" s="2">
        <v>41871</v>
      </c>
      <c r="D6146" s="1" t="s">
        <v>2002</v>
      </c>
      <c r="E6146" s="1">
        <v>104605</v>
      </c>
      <c r="F6146" s="6" t="s">
        <v>8148</v>
      </c>
      <c r="G6146" s="15" t="str">
        <f>VLOOKUP(A6146,Movie!A:D,4,FALSE)</f>
        <v>Fox</v>
      </c>
      <c r="H6146" s="14">
        <f>VLOOKUP(E6146,'Rental Transaction'!A:B,2,FALSE)</f>
        <v>551950</v>
      </c>
      <c r="I6146">
        <f t="shared" si="95"/>
        <v>2014</v>
      </c>
    </row>
    <row r="6147" spans="1:9">
      <c r="A6147" s="1">
        <v>10113</v>
      </c>
      <c r="B6147" s="1">
        <v>2</v>
      </c>
      <c r="C6147" s="2">
        <v>41871</v>
      </c>
      <c r="D6147" s="1" t="s">
        <v>2002</v>
      </c>
      <c r="E6147" s="1">
        <v>104605</v>
      </c>
      <c r="F6147" s="6" t="s">
        <v>8149</v>
      </c>
      <c r="G6147" s="15" t="str">
        <f>VLOOKUP(A6147,Movie!A:D,4,FALSE)</f>
        <v>Lionsgate</v>
      </c>
      <c r="H6147" s="14">
        <f>VLOOKUP(E6147,'Rental Transaction'!A:B,2,FALSE)</f>
        <v>551950</v>
      </c>
      <c r="I6147">
        <f t="shared" ref="I6147:I6210" si="96">YEAR(C6147)</f>
        <v>2014</v>
      </c>
    </row>
    <row r="6148" spans="1:9">
      <c r="A6148" s="1">
        <v>10139</v>
      </c>
      <c r="B6148" s="1">
        <v>4</v>
      </c>
      <c r="C6148" s="2">
        <v>41870</v>
      </c>
      <c r="D6148" s="1" t="s">
        <v>2005</v>
      </c>
      <c r="E6148" s="1">
        <v>104606</v>
      </c>
      <c r="F6148" s="6" t="s">
        <v>8150</v>
      </c>
      <c r="G6148" s="15" t="str">
        <f>VLOOKUP(A6148,Movie!A:D,4,FALSE)</f>
        <v>Focus</v>
      </c>
      <c r="H6148" s="14">
        <f>VLOOKUP(E6148,'Rental Transaction'!A:B,2,FALSE)</f>
        <v>553931</v>
      </c>
      <c r="I6148">
        <f t="shared" si="96"/>
        <v>2014</v>
      </c>
    </row>
    <row r="6149" spans="1:9">
      <c r="A6149" s="1">
        <v>10274</v>
      </c>
      <c r="B6149" s="1">
        <v>1</v>
      </c>
      <c r="C6149" s="2">
        <v>41870</v>
      </c>
      <c r="D6149" s="1" t="s">
        <v>2002</v>
      </c>
      <c r="E6149" s="1">
        <v>104608</v>
      </c>
      <c r="F6149" s="6" t="s">
        <v>8151</v>
      </c>
      <c r="G6149" s="15" t="str">
        <f>VLOOKUP(A6149,Movie!A:D,4,FALSE)</f>
        <v>Fox</v>
      </c>
      <c r="H6149" s="14">
        <f>VLOOKUP(E6149,'Rental Transaction'!A:B,2,FALSE)</f>
        <v>111991</v>
      </c>
      <c r="I6149">
        <f t="shared" si="96"/>
        <v>2014</v>
      </c>
    </row>
    <row r="6150" spans="1:9">
      <c r="A6150" s="1">
        <v>10103</v>
      </c>
      <c r="B6150" s="1">
        <v>6</v>
      </c>
      <c r="C6150" s="2">
        <v>41871</v>
      </c>
      <c r="D6150" s="1" t="s">
        <v>2002</v>
      </c>
      <c r="E6150" s="1">
        <v>104610</v>
      </c>
      <c r="F6150" s="6" t="s">
        <v>8152</v>
      </c>
      <c r="G6150" s="15" t="str">
        <f>VLOOKUP(A6150,Movie!A:D,4,FALSE)</f>
        <v>Fox</v>
      </c>
      <c r="H6150" s="14">
        <f>VLOOKUP(E6150,'Rental Transaction'!A:B,2,FALSE)</f>
        <v>413292</v>
      </c>
      <c r="I6150">
        <f t="shared" si="96"/>
        <v>2014</v>
      </c>
    </row>
    <row r="6151" spans="1:9">
      <c r="A6151" s="1">
        <v>10218</v>
      </c>
      <c r="B6151" s="1">
        <v>1</v>
      </c>
      <c r="C6151" s="2">
        <v>41871</v>
      </c>
      <c r="D6151" s="1" t="s">
        <v>2002</v>
      </c>
      <c r="E6151" s="1">
        <v>104612</v>
      </c>
      <c r="F6151" s="6" t="s">
        <v>8153</v>
      </c>
      <c r="G6151" s="15" t="str">
        <f>VLOOKUP(A6151,Movie!A:D,4,FALSE)</f>
        <v>Sony</v>
      </c>
      <c r="H6151" s="14">
        <f>VLOOKUP(E6151,'Rental Transaction'!A:B,2,FALSE)</f>
        <v>191951</v>
      </c>
      <c r="I6151">
        <f t="shared" si="96"/>
        <v>2014</v>
      </c>
    </row>
    <row r="6152" spans="1:9">
      <c r="A6152" s="1">
        <v>10211</v>
      </c>
      <c r="B6152" s="1">
        <v>8</v>
      </c>
      <c r="C6152" s="2">
        <v>41872</v>
      </c>
      <c r="D6152" s="1" t="s">
        <v>2002</v>
      </c>
      <c r="E6152" s="1">
        <v>104612</v>
      </c>
      <c r="F6152" s="6" t="s">
        <v>8154</v>
      </c>
      <c r="G6152" s="15" t="str">
        <f>VLOOKUP(A6152,Movie!A:D,4,FALSE)</f>
        <v>Buena Vista</v>
      </c>
      <c r="H6152" s="14">
        <f>VLOOKUP(E6152,'Rental Transaction'!A:B,2,FALSE)</f>
        <v>191951</v>
      </c>
      <c r="I6152">
        <f t="shared" si="96"/>
        <v>2014</v>
      </c>
    </row>
    <row r="6153" spans="1:9">
      <c r="A6153" s="1">
        <v>10230</v>
      </c>
      <c r="B6153" s="1">
        <v>8</v>
      </c>
      <c r="C6153" s="2">
        <v>41872</v>
      </c>
      <c r="D6153" s="1" t="s">
        <v>2005</v>
      </c>
      <c r="E6153" s="1">
        <v>104613</v>
      </c>
      <c r="F6153" s="6" t="s">
        <v>8155</v>
      </c>
      <c r="G6153" s="15" t="str">
        <f>VLOOKUP(A6153,Movie!A:D,4,FALSE)</f>
        <v>Focus</v>
      </c>
      <c r="H6153" s="14">
        <f>VLOOKUP(E6153,'Rental Transaction'!A:B,2,FALSE)</f>
        <v>994185</v>
      </c>
      <c r="I6153">
        <f t="shared" si="96"/>
        <v>2014</v>
      </c>
    </row>
    <row r="6154" spans="1:9">
      <c r="A6154" s="1">
        <v>10266</v>
      </c>
      <c r="B6154" s="1">
        <v>3</v>
      </c>
      <c r="C6154" s="2">
        <v>41871</v>
      </c>
      <c r="D6154" s="1" t="s">
        <v>2002</v>
      </c>
      <c r="E6154" s="1">
        <v>104615</v>
      </c>
      <c r="F6154" s="6" t="s">
        <v>8156</v>
      </c>
      <c r="G6154" s="15" t="str">
        <f>VLOOKUP(A6154,Movie!A:D,4,FALSE)</f>
        <v>Sony</v>
      </c>
      <c r="H6154" s="14">
        <f>VLOOKUP(E6154,'Rental Transaction'!A:B,2,FALSE)</f>
        <v>404678</v>
      </c>
      <c r="I6154">
        <f t="shared" si="96"/>
        <v>2014</v>
      </c>
    </row>
    <row r="6155" spans="1:9">
      <c r="A6155" s="1">
        <v>10247</v>
      </c>
      <c r="B6155" s="1">
        <v>2</v>
      </c>
      <c r="C6155" s="2">
        <v>41872</v>
      </c>
      <c r="D6155" s="1" t="s">
        <v>2002</v>
      </c>
      <c r="E6155" s="1">
        <v>104616</v>
      </c>
      <c r="F6155" s="6" t="s">
        <v>8157</v>
      </c>
      <c r="G6155" s="15" t="str">
        <f>VLOOKUP(A6155,Movie!A:D,4,FALSE)</f>
        <v>Fox</v>
      </c>
      <c r="H6155" s="14">
        <f>VLOOKUP(E6155,'Rental Transaction'!A:B,2,FALSE)</f>
        <v>345348</v>
      </c>
      <c r="I6155">
        <f t="shared" si="96"/>
        <v>2014</v>
      </c>
    </row>
    <row r="6156" spans="1:9">
      <c r="A6156" s="1">
        <v>10127</v>
      </c>
      <c r="B6156" s="1">
        <v>7</v>
      </c>
      <c r="C6156" s="2">
        <v>41871</v>
      </c>
      <c r="D6156" s="1" t="s">
        <v>2002</v>
      </c>
      <c r="E6156" s="1">
        <v>104617</v>
      </c>
      <c r="F6156" s="6" t="s">
        <v>8158</v>
      </c>
      <c r="G6156" s="15" t="str">
        <f>VLOOKUP(A6156,Movie!A:D,4,FALSE)</f>
        <v>TriStar</v>
      </c>
      <c r="H6156" s="14">
        <f>VLOOKUP(E6156,'Rental Transaction'!A:B,2,FALSE)</f>
        <v>183797</v>
      </c>
      <c r="I6156">
        <f t="shared" si="96"/>
        <v>2014</v>
      </c>
    </row>
    <row r="6157" spans="1:9">
      <c r="A6157" s="1">
        <v>10259</v>
      </c>
      <c r="B6157" s="1">
        <v>4</v>
      </c>
      <c r="C6157" s="2">
        <v>41874</v>
      </c>
      <c r="D6157" s="1" t="s">
        <v>2002</v>
      </c>
      <c r="E6157" s="1">
        <v>104620</v>
      </c>
      <c r="F6157" s="6" t="s">
        <v>8159</v>
      </c>
      <c r="G6157" s="15" t="str">
        <f>VLOOKUP(A6157,Movie!A:D,4,FALSE)</f>
        <v>Warner Brothers</v>
      </c>
      <c r="H6157" s="14">
        <f>VLOOKUP(E6157,'Rental Transaction'!A:B,2,FALSE)</f>
        <v>714947</v>
      </c>
      <c r="I6157">
        <f t="shared" si="96"/>
        <v>2014</v>
      </c>
    </row>
    <row r="6158" spans="1:9">
      <c r="A6158" s="1">
        <v>10252</v>
      </c>
      <c r="B6158" s="1">
        <v>7</v>
      </c>
      <c r="C6158" s="2">
        <v>41872</v>
      </c>
      <c r="D6158" s="1" t="s">
        <v>2002</v>
      </c>
      <c r="E6158" s="1">
        <v>104620</v>
      </c>
      <c r="F6158" s="6" t="s">
        <v>8160</v>
      </c>
      <c r="G6158" s="15" t="str">
        <f>VLOOKUP(A6158,Movie!A:D,4,FALSE)</f>
        <v>Warner Brothers</v>
      </c>
      <c r="H6158" s="14">
        <f>VLOOKUP(E6158,'Rental Transaction'!A:B,2,FALSE)</f>
        <v>714947</v>
      </c>
      <c r="I6158">
        <f t="shared" si="96"/>
        <v>2014</v>
      </c>
    </row>
    <row r="6159" spans="1:9">
      <c r="A6159" s="1">
        <v>10235</v>
      </c>
      <c r="B6159" s="1">
        <v>3</v>
      </c>
      <c r="C6159" s="2">
        <v>41874</v>
      </c>
      <c r="D6159" s="1" t="s">
        <v>2005</v>
      </c>
      <c r="E6159" s="1">
        <v>104622</v>
      </c>
      <c r="F6159" s="6" t="s">
        <v>8161</v>
      </c>
      <c r="G6159" s="15" t="str">
        <f>VLOOKUP(A6159,Movie!A:D,4,FALSE)</f>
        <v>Lionsgate</v>
      </c>
      <c r="H6159" s="14">
        <f>VLOOKUP(E6159,'Rental Transaction'!A:B,2,FALSE)</f>
        <v>205927</v>
      </c>
      <c r="I6159">
        <f t="shared" si="96"/>
        <v>2014</v>
      </c>
    </row>
    <row r="6160" spans="1:9">
      <c r="A6160" s="1">
        <v>10183</v>
      </c>
      <c r="B6160" s="1">
        <v>10</v>
      </c>
      <c r="C6160" s="2">
        <v>41873</v>
      </c>
      <c r="D6160" s="1" t="s">
        <v>2002</v>
      </c>
      <c r="E6160" s="1">
        <v>104623</v>
      </c>
      <c r="F6160" s="6" t="s">
        <v>8162</v>
      </c>
      <c r="G6160" s="15" t="str">
        <f>VLOOKUP(A6160,Movie!A:D,4,FALSE)</f>
        <v>Sony</v>
      </c>
      <c r="H6160" s="14">
        <f>VLOOKUP(E6160,'Rental Transaction'!A:B,2,FALSE)</f>
        <v>889686</v>
      </c>
      <c r="I6160">
        <f t="shared" si="96"/>
        <v>2014</v>
      </c>
    </row>
    <row r="6161" spans="1:9">
      <c r="A6161" s="1">
        <v>10215</v>
      </c>
      <c r="B6161" s="1">
        <v>6</v>
      </c>
      <c r="C6161" s="2">
        <v>41875</v>
      </c>
      <c r="D6161" s="1" t="s">
        <v>2005</v>
      </c>
      <c r="E6161" s="1">
        <v>104624</v>
      </c>
      <c r="F6161" s="6" t="s">
        <v>8163</v>
      </c>
      <c r="G6161" s="15" t="str">
        <f>VLOOKUP(A6161,Movie!A:D,4,FALSE)</f>
        <v>Paramount</v>
      </c>
      <c r="H6161" s="14">
        <f>VLOOKUP(E6161,'Rental Transaction'!A:B,2,FALSE)</f>
        <v>491380</v>
      </c>
      <c r="I6161">
        <f t="shared" si="96"/>
        <v>2014</v>
      </c>
    </row>
    <row r="6162" spans="1:9">
      <c r="A6162" s="1">
        <v>10143</v>
      </c>
      <c r="B6162" s="1">
        <v>2</v>
      </c>
      <c r="C6162" s="2">
        <v>41873</v>
      </c>
      <c r="D6162" s="1" t="s">
        <v>2002</v>
      </c>
      <c r="E6162" s="1">
        <v>104627</v>
      </c>
      <c r="F6162" s="6" t="s">
        <v>8164</v>
      </c>
      <c r="G6162" s="15" t="str">
        <f>VLOOKUP(A6162,Movie!A:D,4,FALSE)</f>
        <v>Buena Vista</v>
      </c>
      <c r="H6162" s="14">
        <f>VLOOKUP(E6162,'Rental Transaction'!A:B,2,FALSE)</f>
        <v>464984</v>
      </c>
      <c r="I6162">
        <f t="shared" si="96"/>
        <v>2014</v>
      </c>
    </row>
    <row r="6163" spans="1:9">
      <c r="A6163" s="1">
        <v>10227</v>
      </c>
      <c r="B6163" s="1">
        <v>3</v>
      </c>
      <c r="C6163" s="2">
        <v>41873</v>
      </c>
      <c r="D6163" s="1" t="s">
        <v>2005</v>
      </c>
      <c r="E6163" s="1">
        <v>104628</v>
      </c>
      <c r="F6163" s="6" t="s">
        <v>8165</v>
      </c>
      <c r="G6163" s="15" t="str">
        <f>VLOOKUP(A6163,Movie!A:D,4,FALSE)</f>
        <v>Focus</v>
      </c>
      <c r="H6163" s="14">
        <f>VLOOKUP(E6163,'Rental Transaction'!A:B,2,FALSE)</f>
        <v>672834</v>
      </c>
      <c r="I6163">
        <f t="shared" si="96"/>
        <v>2014</v>
      </c>
    </row>
    <row r="6164" spans="1:9">
      <c r="A6164" s="1">
        <v>10207</v>
      </c>
      <c r="B6164" s="1">
        <v>3</v>
      </c>
      <c r="C6164" s="2">
        <v>41873</v>
      </c>
      <c r="D6164" s="1" t="s">
        <v>2002</v>
      </c>
      <c r="E6164" s="1">
        <v>104629</v>
      </c>
      <c r="F6164" s="6" t="s">
        <v>8166</v>
      </c>
      <c r="G6164" s="15" t="str">
        <f>VLOOKUP(A6164,Movie!A:D,4,FALSE)</f>
        <v>Paramount</v>
      </c>
      <c r="H6164" s="14">
        <f>VLOOKUP(E6164,'Rental Transaction'!A:B,2,FALSE)</f>
        <v>646700</v>
      </c>
      <c r="I6164">
        <f t="shared" si="96"/>
        <v>2014</v>
      </c>
    </row>
    <row r="6165" spans="1:9">
      <c r="A6165" s="1">
        <v>10137</v>
      </c>
      <c r="B6165" s="1">
        <v>7</v>
      </c>
      <c r="C6165" s="2">
        <v>41874</v>
      </c>
      <c r="D6165" s="1" t="s">
        <v>2005</v>
      </c>
      <c r="E6165" s="1">
        <v>104630</v>
      </c>
      <c r="F6165" s="6" t="s">
        <v>8167</v>
      </c>
      <c r="G6165" s="15" t="str">
        <f>VLOOKUP(A6165,Movie!A:D,4,FALSE)</f>
        <v>Buena Vista</v>
      </c>
      <c r="H6165" s="14">
        <f>VLOOKUP(E6165,'Rental Transaction'!A:B,2,FALSE)</f>
        <v>992956</v>
      </c>
      <c r="I6165">
        <f t="shared" si="96"/>
        <v>2014</v>
      </c>
    </row>
    <row r="6166" spans="1:9">
      <c r="A6166" s="1">
        <v>10244</v>
      </c>
      <c r="B6166" s="1">
        <v>8</v>
      </c>
      <c r="C6166" s="2">
        <v>41874</v>
      </c>
      <c r="D6166" s="1" t="s">
        <v>2002</v>
      </c>
      <c r="E6166" s="1">
        <v>104631</v>
      </c>
      <c r="F6166" s="6" t="s">
        <v>8168</v>
      </c>
      <c r="G6166" s="15" t="str">
        <f>VLOOKUP(A6166,Movie!A:D,4,FALSE)</f>
        <v>Sony</v>
      </c>
      <c r="H6166" s="14">
        <f>VLOOKUP(E6166,'Rental Transaction'!A:B,2,FALSE)</f>
        <v>441628</v>
      </c>
      <c r="I6166">
        <f t="shared" si="96"/>
        <v>2014</v>
      </c>
    </row>
    <row r="6167" spans="1:9">
      <c r="A6167" s="1">
        <v>10354</v>
      </c>
      <c r="B6167" s="1">
        <v>9</v>
      </c>
      <c r="C6167" s="2">
        <v>41873</v>
      </c>
      <c r="D6167" s="1" t="s">
        <v>2002</v>
      </c>
      <c r="E6167" s="1">
        <v>104631</v>
      </c>
      <c r="F6167" s="6" t="s">
        <v>8169</v>
      </c>
      <c r="G6167" s="15" t="str">
        <f>VLOOKUP(A6167,Movie!A:D,4,FALSE)</f>
        <v>Buena Vista</v>
      </c>
      <c r="H6167" s="14">
        <f>VLOOKUP(E6167,'Rental Transaction'!A:B,2,FALSE)</f>
        <v>441628</v>
      </c>
      <c r="I6167">
        <f t="shared" si="96"/>
        <v>2014</v>
      </c>
    </row>
    <row r="6168" spans="1:9">
      <c r="A6168" s="1">
        <v>10219</v>
      </c>
      <c r="B6168" s="1">
        <v>3</v>
      </c>
      <c r="C6168" s="2">
        <v>41874</v>
      </c>
      <c r="D6168" s="1" t="s">
        <v>2002</v>
      </c>
      <c r="E6168" s="1">
        <v>104631</v>
      </c>
      <c r="F6168" s="6" t="s">
        <v>8170</v>
      </c>
      <c r="G6168" s="15" t="str">
        <f>VLOOKUP(A6168,Movie!A:D,4,FALSE)</f>
        <v>Paramount</v>
      </c>
      <c r="H6168" s="14">
        <f>VLOOKUP(E6168,'Rental Transaction'!A:B,2,FALSE)</f>
        <v>441628</v>
      </c>
      <c r="I6168">
        <f t="shared" si="96"/>
        <v>2014</v>
      </c>
    </row>
    <row r="6169" spans="1:9" ht="29.25">
      <c r="A6169" s="1">
        <v>10140</v>
      </c>
      <c r="B6169" s="1">
        <v>4</v>
      </c>
      <c r="C6169" s="2">
        <v>41873</v>
      </c>
      <c r="D6169" s="1" t="s">
        <v>2005</v>
      </c>
      <c r="E6169" s="1">
        <v>104632</v>
      </c>
      <c r="F6169" s="6" t="s">
        <v>8171</v>
      </c>
      <c r="G6169" s="15" t="str">
        <f>VLOOKUP(A6169,Movie!A:D,4,FALSE)</f>
        <v>Weinstein Company</v>
      </c>
      <c r="H6169" s="14">
        <f>VLOOKUP(E6169,'Rental Transaction'!A:B,2,FALSE)</f>
        <v>447601</v>
      </c>
      <c r="I6169">
        <f t="shared" si="96"/>
        <v>2014</v>
      </c>
    </row>
    <row r="6170" spans="1:9">
      <c r="A6170" s="1">
        <v>10171</v>
      </c>
      <c r="B6170" s="1">
        <v>3</v>
      </c>
      <c r="C6170" s="2">
        <v>41873</v>
      </c>
      <c r="D6170" s="1" t="s">
        <v>2005</v>
      </c>
      <c r="E6170" s="1">
        <v>104632</v>
      </c>
      <c r="F6170" s="6" t="s">
        <v>8172</v>
      </c>
      <c r="G6170" s="15" t="str">
        <f>VLOOKUP(A6170,Movie!A:D,4,FALSE)</f>
        <v>Universal</v>
      </c>
      <c r="H6170" s="14">
        <f>VLOOKUP(E6170,'Rental Transaction'!A:B,2,FALSE)</f>
        <v>447601</v>
      </c>
      <c r="I6170">
        <f t="shared" si="96"/>
        <v>2014</v>
      </c>
    </row>
    <row r="6171" spans="1:9">
      <c r="A6171" s="1">
        <v>10266</v>
      </c>
      <c r="B6171" s="1">
        <v>3</v>
      </c>
      <c r="C6171" s="2">
        <v>41873</v>
      </c>
      <c r="D6171" s="1" t="s">
        <v>2002</v>
      </c>
      <c r="E6171" s="1">
        <v>104633</v>
      </c>
      <c r="F6171" s="6" t="s">
        <v>8173</v>
      </c>
      <c r="G6171" s="15" t="str">
        <f>VLOOKUP(A6171,Movie!A:D,4,FALSE)</f>
        <v>Sony</v>
      </c>
      <c r="H6171" s="14">
        <f>VLOOKUP(E6171,'Rental Transaction'!A:B,2,FALSE)</f>
        <v>230602</v>
      </c>
      <c r="I6171">
        <f t="shared" si="96"/>
        <v>2014</v>
      </c>
    </row>
    <row r="6172" spans="1:9" ht="29.25">
      <c r="A6172" s="1">
        <v>10246</v>
      </c>
      <c r="B6172" s="1">
        <v>1</v>
      </c>
      <c r="C6172" s="2">
        <v>41874</v>
      </c>
      <c r="D6172" s="1" t="s">
        <v>2002</v>
      </c>
      <c r="E6172" s="1">
        <v>104634</v>
      </c>
      <c r="F6172" s="6" t="s">
        <v>8174</v>
      </c>
      <c r="G6172" s="15" t="str">
        <f>VLOOKUP(A6172,Movie!A:D,4,FALSE)</f>
        <v>Weinstein Company</v>
      </c>
      <c r="H6172" s="14">
        <f>VLOOKUP(E6172,'Rental Transaction'!A:B,2,FALSE)</f>
        <v>558749</v>
      </c>
      <c r="I6172">
        <f t="shared" si="96"/>
        <v>2014</v>
      </c>
    </row>
    <row r="6173" spans="1:9">
      <c r="A6173" s="1">
        <v>10152</v>
      </c>
      <c r="B6173" s="1">
        <v>3</v>
      </c>
      <c r="C6173" s="2">
        <v>41874</v>
      </c>
      <c r="D6173" s="1" t="s">
        <v>2002</v>
      </c>
      <c r="E6173" s="1">
        <v>104635</v>
      </c>
      <c r="F6173" s="6" t="s">
        <v>8175</v>
      </c>
      <c r="G6173" s="15" t="str">
        <f>VLOOKUP(A6173,Movie!A:D,4,FALSE)</f>
        <v>FilmDistrict</v>
      </c>
      <c r="H6173" s="14">
        <f>VLOOKUP(E6173,'Rental Transaction'!A:B,2,FALSE)</f>
        <v>559054</v>
      </c>
      <c r="I6173">
        <f t="shared" si="96"/>
        <v>2014</v>
      </c>
    </row>
    <row r="6174" spans="1:9">
      <c r="A6174" s="1">
        <v>10032</v>
      </c>
      <c r="B6174" s="1">
        <v>9</v>
      </c>
      <c r="C6174" s="2">
        <v>41876</v>
      </c>
      <c r="D6174" s="1" t="s">
        <v>2002</v>
      </c>
      <c r="E6174" s="1">
        <v>104636</v>
      </c>
      <c r="F6174" s="6" t="s">
        <v>8176</v>
      </c>
      <c r="G6174" s="15" t="str">
        <f>VLOOKUP(A6174,Movie!A:D,4,FALSE)</f>
        <v>Sony</v>
      </c>
      <c r="H6174" s="14">
        <f>VLOOKUP(E6174,'Rental Transaction'!A:B,2,FALSE)</f>
        <v>888759</v>
      </c>
      <c r="I6174">
        <f t="shared" si="96"/>
        <v>2014</v>
      </c>
    </row>
    <row r="6175" spans="1:9">
      <c r="A6175" s="1">
        <v>10186</v>
      </c>
      <c r="B6175" s="1">
        <v>9</v>
      </c>
      <c r="C6175" s="2">
        <v>41876</v>
      </c>
      <c r="D6175" s="1" t="s">
        <v>2002</v>
      </c>
      <c r="E6175" s="1">
        <v>104636</v>
      </c>
      <c r="F6175" s="6" t="s">
        <v>8177</v>
      </c>
      <c r="G6175" s="15" t="str">
        <f>VLOOKUP(A6175,Movie!A:D,4,FALSE)</f>
        <v>Lionsgate</v>
      </c>
      <c r="H6175" s="14">
        <f>VLOOKUP(E6175,'Rental Transaction'!A:B,2,FALSE)</f>
        <v>888759</v>
      </c>
      <c r="I6175">
        <f t="shared" si="96"/>
        <v>2014</v>
      </c>
    </row>
    <row r="6176" spans="1:9">
      <c r="A6176" s="1">
        <v>10193</v>
      </c>
      <c r="B6176" s="1">
        <v>7</v>
      </c>
      <c r="C6176" s="2">
        <v>41874</v>
      </c>
      <c r="D6176" s="1" t="s">
        <v>2002</v>
      </c>
      <c r="E6176" s="1">
        <v>104637</v>
      </c>
      <c r="F6176" s="6" t="s">
        <v>8178</v>
      </c>
      <c r="G6176" s="15" t="str">
        <f>VLOOKUP(A6176,Movie!A:D,4,FALSE)</f>
        <v>Fox</v>
      </c>
      <c r="H6176" s="14">
        <f>VLOOKUP(E6176,'Rental Transaction'!A:B,2,FALSE)</f>
        <v>162236</v>
      </c>
      <c r="I6176">
        <f t="shared" si="96"/>
        <v>2014</v>
      </c>
    </row>
    <row r="6177" spans="1:9">
      <c r="A6177" s="1">
        <v>10132</v>
      </c>
      <c r="B6177" s="1">
        <v>8</v>
      </c>
      <c r="C6177" s="2">
        <v>41875</v>
      </c>
      <c r="D6177" s="1" t="s">
        <v>2002</v>
      </c>
      <c r="E6177" s="1">
        <v>104638</v>
      </c>
      <c r="F6177" s="6" t="s">
        <v>8179</v>
      </c>
      <c r="G6177" s="15" t="str">
        <f>VLOOKUP(A6177,Movie!A:D,4,FALSE)</f>
        <v>Lionsgate</v>
      </c>
      <c r="H6177" s="14">
        <f>VLOOKUP(E6177,'Rental Transaction'!A:B,2,FALSE)</f>
        <v>194680</v>
      </c>
      <c r="I6177">
        <f t="shared" si="96"/>
        <v>2014</v>
      </c>
    </row>
    <row r="6178" spans="1:9" ht="29.25">
      <c r="A6178" s="1">
        <v>10105</v>
      </c>
      <c r="B6178" s="1">
        <v>5</v>
      </c>
      <c r="C6178" s="2">
        <v>41875</v>
      </c>
      <c r="D6178" s="1" t="s">
        <v>2002</v>
      </c>
      <c r="E6178" s="1">
        <v>104639</v>
      </c>
      <c r="F6178" s="6" t="s">
        <v>8180</v>
      </c>
      <c r="G6178" s="15" t="str">
        <f>VLOOKUP(A6178,Movie!A:D,4,FALSE)</f>
        <v>Weinstein Company</v>
      </c>
      <c r="H6178" s="14">
        <f>VLOOKUP(E6178,'Rental Transaction'!A:B,2,FALSE)</f>
        <v>346006</v>
      </c>
      <c r="I6178">
        <f t="shared" si="96"/>
        <v>2014</v>
      </c>
    </row>
    <row r="6179" spans="1:9">
      <c r="A6179" s="1">
        <v>10259</v>
      </c>
      <c r="B6179" s="1">
        <v>6</v>
      </c>
      <c r="C6179" s="2">
        <v>41875</v>
      </c>
      <c r="D6179" s="1" t="s">
        <v>2002</v>
      </c>
      <c r="E6179" s="1">
        <v>104640</v>
      </c>
      <c r="F6179" s="6" t="s">
        <v>8181</v>
      </c>
      <c r="G6179" s="15" t="str">
        <f>VLOOKUP(A6179,Movie!A:D,4,FALSE)</f>
        <v>Warner Brothers</v>
      </c>
      <c r="H6179" s="14">
        <f>VLOOKUP(E6179,'Rental Transaction'!A:B,2,FALSE)</f>
        <v>563500</v>
      </c>
      <c r="I6179">
        <f t="shared" si="96"/>
        <v>2014</v>
      </c>
    </row>
    <row r="6180" spans="1:9">
      <c r="A6180" s="1">
        <v>10175</v>
      </c>
      <c r="B6180" s="1">
        <v>8</v>
      </c>
      <c r="C6180" s="2">
        <v>41874</v>
      </c>
      <c r="D6180" s="1" t="s">
        <v>2005</v>
      </c>
      <c r="E6180" s="1">
        <v>104640</v>
      </c>
      <c r="F6180" s="6" t="s">
        <v>8182</v>
      </c>
      <c r="G6180" s="15" t="str">
        <f>VLOOKUP(A6180,Movie!A:D,4,FALSE)</f>
        <v>Buena Vista</v>
      </c>
      <c r="H6180" s="14">
        <f>VLOOKUP(E6180,'Rental Transaction'!A:B,2,FALSE)</f>
        <v>563500</v>
      </c>
      <c r="I6180">
        <f t="shared" si="96"/>
        <v>2014</v>
      </c>
    </row>
    <row r="6181" spans="1:9">
      <c r="A6181" s="1">
        <v>10247</v>
      </c>
      <c r="B6181" s="1">
        <v>10</v>
      </c>
      <c r="C6181" s="2">
        <v>41876</v>
      </c>
      <c r="D6181" s="1" t="s">
        <v>2002</v>
      </c>
      <c r="E6181" s="1">
        <v>104641</v>
      </c>
      <c r="F6181" s="6" t="s">
        <v>8183</v>
      </c>
      <c r="G6181" s="15" t="str">
        <f>VLOOKUP(A6181,Movie!A:D,4,FALSE)</f>
        <v>Fox</v>
      </c>
      <c r="H6181" s="14">
        <f>VLOOKUP(E6181,'Rental Transaction'!A:B,2,FALSE)</f>
        <v>275152</v>
      </c>
      <c r="I6181">
        <f t="shared" si="96"/>
        <v>2014</v>
      </c>
    </row>
    <row r="6182" spans="1:9">
      <c r="A6182" s="1">
        <v>10275</v>
      </c>
      <c r="B6182" s="1">
        <v>8</v>
      </c>
      <c r="C6182" s="2">
        <v>41875</v>
      </c>
      <c r="D6182" s="1" t="s">
        <v>2002</v>
      </c>
      <c r="E6182" s="1">
        <v>104642</v>
      </c>
      <c r="F6182" s="6" t="s">
        <v>8184</v>
      </c>
      <c r="G6182" s="15" t="str">
        <f>VLOOKUP(A6182,Movie!A:D,4,FALSE)</f>
        <v>Lionsgate</v>
      </c>
      <c r="H6182" s="14">
        <f>VLOOKUP(E6182,'Rental Transaction'!A:B,2,FALSE)</f>
        <v>432113</v>
      </c>
      <c r="I6182">
        <f t="shared" si="96"/>
        <v>2014</v>
      </c>
    </row>
    <row r="6183" spans="1:9">
      <c r="A6183" s="1">
        <v>10142</v>
      </c>
      <c r="B6183" s="1">
        <v>3</v>
      </c>
      <c r="C6183" s="2">
        <v>41875</v>
      </c>
      <c r="D6183" s="1" t="s">
        <v>2002</v>
      </c>
      <c r="E6183" s="1">
        <v>104643</v>
      </c>
      <c r="F6183" s="6" t="s">
        <v>8185</v>
      </c>
      <c r="G6183" s="15" t="str">
        <f>VLOOKUP(A6183,Movie!A:D,4,FALSE)</f>
        <v>Warner Brothers</v>
      </c>
      <c r="H6183" s="14">
        <f>VLOOKUP(E6183,'Rental Transaction'!A:B,2,FALSE)</f>
        <v>240205</v>
      </c>
      <c r="I6183">
        <f t="shared" si="96"/>
        <v>2014</v>
      </c>
    </row>
    <row r="6184" spans="1:9">
      <c r="A6184" s="1">
        <v>10194</v>
      </c>
      <c r="B6184" s="1">
        <v>8</v>
      </c>
      <c r="C6184" s="2">
        <v>41875</v>
      </c>
      <c r="D6184" s="1" t="s">
        <v>2002</v>
      </c>
      <c r="E6184" s="1">
        <v>104646</v>
      </c>
      <c r="F6184" s="6" t="s">
        <v>8186</v>
      </c>
      <c r="G6184" s="15" t="str">
        <f>VLOOKUP(A6184,Movie!A:D,4,FALSE)</f>
        <v>FilmDistrict</v>
      </c>
      <c r="H6184" s="14">
        <f>VLOOKUP(E6184,'Rental Transaction'!A:B,2,FALSE)</f>
        <v>695276</v>
      </c>
      <c r="I6184">
        <f t="shared" si="96"/>
        <v>2014</v>
      </c>
    </row>
    <row r="6185" spans="1:9">
      <c r="A6185" s="1">
        <v>10288</v>
      </c>
      <c r="B6185" s="1">
        <v>9</v>
      </c>
      <c r="C6185" s="2">
        <v>41875</v>
      </c>
      <c r="D6185" s="1" t="s">
        <v>2002</v>
      </c>
      <c r="E6185" s="1">
        <v>104647</v>
      </c>
      <c r="F6185" s="6" t="s">
        <v>8187</v>
      </c>
      <c r="G6185" s="15" t="str">
        <f>VLOOKUP(A6185,Movie!A:D,4,FALSE)</f>
        <v>Relativity</v>
      </c>
      <c r="H6185" s="14">
        <f>VLOOKUP(E6185,'Rental Transaction'!A:B,2,FALSE)</f>
        <v>994185</v>
      </c>
      <c r="I6185">
        <f t="shared" si="96"/>
        <v>2014</v>
      </c>
    </row>
    <row r="6186" spans="1:9">
      <c r="A6186" s="1">
        <v>10053</v>
      </c>
      <c r="B6186" s="1">
        <v>10</v>
      </c>
      <c r="C6186" s="2">
        <v>41876</v>
      </c>
      <c r="D6186" s="1" t="s">
        <v>2002</v>
      </c>
      <c r="E6186" s="1">
        <v>104648</v>
      </c>
      <c r="F6186" s="6" t="s">
        <v>8188</v>
      </c>
      <c r="G6186" s="15" t="str">
        <f>VLOOKUP(A6186,Movie!A:D,4,FALSE)</f>
        <v>Sony</v>
      </c>
      <c r="H6186" s="14">
        <f>VLOOKUP(E6186,'Rental Transaction'!A:B,2,FALSE)</f>
        <v>194680</v>
      </c>
      <c r="I6186">
        <f t="shared" si="96"/>
        <v>2014</v>
      </c>
    </row>
    <row r="6187" spans="1:9">
      <c r="A6187" s="1">
        <v>10227</v>
      </c>
      <c r="B6187" s="1">
        <v>5</v>
      </c>
      <c r="C6187" s="2">
        <v>41875</v>
      </c>
      <c r="D6187" s="1" t="s">
        <v>2005</v>
      </c>
      <c r="E6187" s="1">
        <v>104648</v>
      </c>
      <c r="F6187" s="6" t="s">
        <v>8189</v>
      </c>
      <c r="G6187" s="15" t="str">
        <f>VLOOKUP(A6187,Movie!A:D,4,FALSE)</f>
        <v>Focus</v>
      </c>
      <c r="H6187" s="14">
        <f>VLOOKUP(E6187,'Rental Transaction'!A:B,2,FALSE)</f>
        <v>194680</v>
      </c>
      <c r="I6187">
        <f t="shared" si="96"/>
        <v>2014</v>
      </c>
    </row>
    <row r="6188" spans="1:9">
      <c r="A6188" s="1">
        <v>10238</v>
      </c>
      <c r="B6188" s="1">
        <v>7</v>
      </c>
      <c r="C6188" s="2">
        <v>41878</v>
      </c>
      <c r="D6188" s="1" t="s">
        <v>2005</v>
      </c>
      <c r="E6188" s="1">
        <v>104650</v>
      </c>
      <c r="F6188" s="6" t="s">
        <v>8190</v>
      </c>
      <c r="G6188" s="15" t="str">
        <f>VLOOKUP(A6188,Movie!A:D,4,FALSE)</f>
        <v>Warner Brothers</v>
      </c>
      <c r="H6188" s="14">
        <f>VLOOKUP(E6188,'Rental Transaction'!A:B,2,FALSE)</f>
        <v>590517</v>
      </c>
      <c r="I6188">
        <f t="shared" si="96"/>
        <v>2014</v>
      </c>
    </row>
    <row r="6189" spans="1:9">
      <c r="A6189" s="1">
        <v>10230</v>
      </c>
      <c r="B6189" s="1">
        <v>4</v>
      </c>
      <c r="C6189" s="2">
        <v>41876</v>
      </c>
      <c r="D6189" s="1" t="s">
        <v>2005</v>
      </c>
      <c r="E6189" s="1">
        <v>104650</v>
      </c>
      <c r="F6189" s="6" t="s">
        <v>8191</v>
      </c>
      <c r="G6189" s="15" t="str">
        <f>VLOOKUP(A6189,Movie!A:D,4,FALSE)</f>
        <v>Focus</v>
      </c>
      <c r="H6189" s="14">
        <f>VLOOKUP(E6189,'Rental Transaction'!A:B,2,FALSE)</f>
        <v>590517</v>
      </c>
      <c r="I6189">
        <f t="shared" si="96"/>
        <v>2014</v>
      </c>
    </row>
    <row r="6190" spans="1:9">
      <c r="A6190" s="1">
        <v>10152</v>
      </c>
      <c r="B6190" s="1">
        <v>3</v>
      </c>
      <c r="C6190" s="2">
        <v>41879</v>
      </c>
      <c r="D6190" s="1" t="s">
        <v>2002</v>
      </c>
      <c r="E6190" s="1">
        <v>104651</v>
      </c>
      <c r="F6190" s="6" t="s">
        <v>8192</v>
      </c>
      <c r="G6190" s="15" t="str">
        <f>VLOOKUP(A6190,Movie!A:D,4,FALSE)</f>
        <v>FilmDistrict</v>
      </c>
      <c r="H6190" s="14">
        <f>VLOOKUP(E6190,'Rental Transaction'!A:B,2,FALSE)</f>
        <v>230602</v>
      </c>
      <c r="I6190">
        <f t="shared" si="96"/>
        <v>2014</v>
      </c>
    </row>
    <row r="6191" spans="1:9" ht="29.25">
      <c r="A6191" s="1">
        <v>10290</v>
      </c>
      <c r="B6191" s="1">
        <v>1</v>
      </c>
      <c r="C6191" s="2">
        <v>41876</v>
      </c>
      <c r="D6191" s="1" t="s">
        <v>2005</v>
      </c>
      <c r="E6191" s="1">
        <v>104651</v>
      </c>
      <c r="F6191" s="6" t="s">
        <v>8193</v>
      </c>
      <c r="G6191" s="15" t="str">
        <f>VLOOKUP(A6191,Movie!A:D,4,FALSE)</f>
        <v>Weinstein Company</v>
      </c>
      <c r="H6191" s="14">
        <f>VLOOKUP(E6191,'Rental Transaction'!A:B,2,FALSE)</f>
        <v>230602</v>
      </c>
      <c r="I6191">
        <f t="shared" si="96"/>
        <v>2014</v>
      </c>
    </row>
    <row r="6192" spans="1:9">
      <c r="A6192" s="1">
        <v>10123</v>
      </c>
      <c r="B6192" s="1">
        <v>3</v>
      </c>
      <c r="C6192" s="2">
        <v>41877</v>
      </c>
      <c r="D6192" s="1" t="s">
        <v>2005</v>
      </c>
      <c r="E6192" s="1">
        <v>104652</v>
      </c>
      <c r="F6192" s="6" t="s">
        <v>8194</v>
      </c>
      <c r="G6192" s="15" t="str">
        <f>VLOOKUP(A6192,Movie!A:D,4,FALSE)</f>
        <v>Fox</v>
      </c>
      <c r="H6192" s="14">
        <f>VLOOKUP(E6192,'Rental Transaction'!A:B,2,FALSE)</f>
        <v>500733</v>
      </c>
      <c r="I6192">
        <f t="shared" si="96"/>
        <v>2014</v>
      </c>
    </row>
    <row r="6193" spans="1:9">
      <c r="A6193" s="1">
        <v>10217</v>
      </c>
      <c r="B6193" s="1">
        <v>3</v>
      </c>
      <c r="C6193" s="2">
        <v>41878</v>
      </c>
      <c r="D6193" s="1" t="s">
        <v>2002</v>
      </c>
      <c r="E6193" s="1">
        <v>104653</v>
      </c>
      <c r="F6193" s="6" t="s">
        <v>8195</v>
      </c>
      <c r="G6193" s="15" t="str">
        <f>VLOOKUP(A6193,Movie!A:D,4,FALSE)</f>
        <v>Warner Brothers</v>
      </c>
      <c r="H6193" s="14">
        <f>VLOOKUP(E6193,'Rental Transaction'!A:B,2,FALSE)</f>
        <v>116934</v>
      </c>
      <c r="I6193">
        <f t="shared" si="96"/>
        <v>2014</v>
      </c>
    </row>
    <row r="6194" spans="1:9" ht="29.25">
      <c r="A6194" s="1">
        <v>10136</v>
      </c>
      <c r="B6194" s="1">
        <v>3</v>
      </c>
      <c r="C6194" s="2">
        <v>41877</v>
      </c>
      <c r="D6194" s="1" t="s">
        <v>2002</v>
      </c>
      <c r="E6194" s="1">
        <v>104654</v>
      </c>
      <c r="F6194" s="6" t="s">
        <v>8196</v>
      </c>
      <c r="G6194" s="15" t="str">
        <f>VLOOKUP(A6194,Movie!A:D,4,FALSE)</f>
        <v>Weinstein Company</v>
      </c>
      <c r="H6194" s="14">
        <f>VLOOKUP(E6194,'Rental Transaction'!A:B,2,FALSE)</f>
        <v>999915</v>
      </c>
      <c r="I6194">
        <f t="shared" si="96"/>
        <v>2014</v>
      </c>
    </row>
    <row r="6195" spans="1:9">
      <c r="A6195" s="1">
        <v>10209</v>
      </c>
      <c r="B6195" s="1">
        <v>1</v>
      </c>
      <c r="C6195" s="2">
        <v>41877</v>
      </c>
      <c r="D6195" s="1" t="s">
        <v>2002</v>
      </c>
      <c r="E6195" s="1">
        <v>104658</v>
      </c>
      <c r="F6195" s="6" t="s">
        <v>8197</v>
      </c>
      <c r="G6195" s="15" t="str">
        <f>VLOOKUP(A6195,Movie!A:D,4,FALSE)</f>
        <v>Universal</v>
      </c>
      <c r="H6195" s="14">
        <f>VLOOKUP(E6195,'Rental Transaction'!A:B,2,FALSE)</f>
        <v>231615</v>
      </c>
      <c r="I6195">
        <f t="shared" si="96"/>
        <v>2014</v>
      </c>
    </row>
    <row r="6196" spans="1:9">
      <c r="A6196" s="1">
        <v>10204</v>
      </c>
      <c r="B6196" s="1">
        <v>9</v>
      </c>
      <c r="C6196" s="2">
        <v>41877</v>
      </c>
      <c r="D6196" s="1" t="s">
        <v>2002</v>
      </c>
      <c r="E6196" s="1">
        <v>104658</v>
      </c>
      <c r="F6196" s="6" t="s">
        <v>8198</v>
      </c>
      <c r="G6196" s="15" t="str">
        <f>VLOOKUP(A6196,Movie!A:D,4,FALSE)</f>
        <v>Universal</v>
      </c>
      <c r="H6196" s="14">
        <f>VLOOKUP(E6196,'Rental Transaction'!A:B,2,FALSE)</f>
        <v>231615</v>
      </c>
      <c r="I6196">
        <f t="shared" si="96"/>
        <v>2014</v>
      </c>
    </row>
    <row r="6197" spans="1:9">
      <c r="A6197" s="1">
        <v>10161</v>
      </c>
      <c r="B6197" s="1">
        <v>8</v>
      </c>
      <c r="C6197" s="2">
        <v>41877</v>
      </c>
      <c r="D6197" s="1" t="s">
        <v>2002</v>
      </c>
      <c r="E6197" s="1">
        <v>104660</v>
      </c>
      <c r="F6197" s="6" t="s">
        <v>8199</v>
      </c>
      <c r="G6197" s="15" t="str">
        <f>VLOOKUP(A6197,Movie!A:D,4,FALSE)</f>
        <v>TriStar</v>
      </c>
      <c r="H6197" s="14">
        <f>VLOOKUP(E6197,'Rental Transaction'!A:B,2,FALSE)</f>
        <v>116690</v>
      </c>
      <c r="I6197">
        <f t="shared" si="96"/>
        <v>2014</v>
      </c>
    </row>
    <row r="6198" spans="1:9">
      <c r="A6198" s="1">
        <v>10139</v>
      </c>
      <c r="B6198" s="1">
        <v>7</v>
      </c>
      <c r="C6198" s="2">
        <v>41878</v>
      </c>
      <c r="D6198" s="1" t="s">
        <v>2002</v>
      </c>
      <c r="E6198" s="1">
        <v>104662</v>
      </c>
      <c r="F6198" s="6" t="s">
        <v>8200</v>
      </c>
      <c r="G6198" s="15" t="str">
        <f>VLOOKUP(A6198,Movie!A:D,4,FALSE)</f>
        <v>Focus</v>
      </c>
      <c r="H6198" s="14">
        <f>VLOOKUP(E6198,'Rental Transaction'!A:B,2,FALSE)</f>
        <v>448739</v>
      </c>
      <c r="I6198">
        <f t="shared" si="96"/>
        <v>2014</v>
      </c>
    </row>
    <row r="6199" spans="1:9">
      <c r="A6199" s="1">
        <v>10266</v>
      </c>
      <c r="B6199" s="1">
        <v>3</v>
      </c>
      <c r="C6199" s="2">
        <v>41879</v>
      </c>
      <c r="D6199" s="1" t="s">
        <v>2002</v>
      </c>
      <c r="E6199" s="1">
        <v>104662</v>
      </c>
      <c r="F6199" s="6" t="s">
        <v>8201</v>
      </c>
      <c r="G6199" s="15" t="str">
        <f>VLOOKUP(A6199,Movie!A:D,4,FALSE)</f>
        <v>Sony</v>
      </c>
      <c r="H6199" s="14">
        <f>VLOOKUP(E6199,'Rental Transaction'!A:B,2,FALSE)</f>
        <v>448739</v>
      </c>
      <c r="I6199">
        <f t="shared" si="96"/>
        <v>2014</v>
      </c>
    </row>
    <row r="6200" spans="1:9">
      <c r="A6200" s="1">
        <v>10288</v>
      </c>
      <c r="B6200" s="1">
        <v>1</v>
      </c>
      <c r="C6200" s="2">
        <v>41879</v>
      </c>
      <c r="D6200" s="1" t="s">
        <v>2002</v>
      </c>
      <c r="E6200" s="1">
        <v>104663</v>
      </c>
      <c r="F6200" s="6" t="s">
        <v>8202</v>
      </c>
      <c r="G6200" s="15" t="str">
        <f>VLOOKUP(A6200,Movie!A:D,4,FALSE)</f>
        <v>Relativity</v>
      </c>
      <c r="H6200" s="14">
        <f>VLOOKUP(E6200,'Rental Transaction'!A:B,2,FALSE)</f>
        <v>921901</v>
      </c>
      <c r="I6200">
        <f t="shared" si="96"/>
        <v>2014</v>
      </c>
    </row>
    <row r="6201" spans="1:9">
      <c r="A6201" s="1">
        <v>10227</v>
      </c>
      <c r="B6201" s="1">
        <v>2</v>
      </c>
      <c r="C6201" s="2">
        <v>41879</v>
      </c>
      <c r="D6201" s="1" t="s">
        <v>2002</v>
      </c>
      <c r="E6201" s="1">
        <v>104663</v>
      </c>
      <c r="F6201" s="6" t="s">
        <v>8203</v>
      </c>
      <c r="G6201" s="15" t="str">
        <f>VLOOKUP(A6201,Movie!A:D,4,FALSE)</f>
        <v>Focus</v>
      </c>
      <c r="H6201" s="14">
        <f>VLOOKUP(E6201,'Rental Transaction'!A:B,2,FALSE)</f>
        <v>921901</v>
      </c>
      <c r="I6201">
        <f t="shared" si="96"/>
        <v>2014</v>
      </c>
    </row>
    <row r="6202" spans="1:9">
      <c r="A6202" s="1">
        <v>10091</v>
      </c>
      <c r="B6202" s="1">
        <v>4</v>
      </c>
      <c r="C6202" s="2">
        <v>41879</v>
      </c>
      <c r="D6202" s="1" t="s">
        <v>2005</v>
      </c>
      <c r="E6202" s="1">
        <v>104666</v>
      </c>
      <c r="F6202" s="6" t="s">
        <v>8204</v>
      </c>
      <c r="G6202" s="15" t="str">
        <f>VLOOKUP(A6202,Movie!A:D,4,FALSE)</f>
        <v>Warner Brothers</v>
      </c>
      <c r="H6202" s="14">
        <f>VLOOKUP(E6202,'Rental Transaction'!A:B,2,FALSE)</f>
        <v>921901</v>
      </c>
      <c r="I6202">
        <f t="shared" si="96"/>
        <v>2014</v>
      </c>
    </row>
    <row r="6203" spans="1:9">
      <c r="A6203" s="1">
        <v>10237</v>
      </c>
      <c r="B6203" s="1">
        <v>8</v>
      </c>
      <c r="C6203" s="2">
        <v>41878</v>
      </c>
      <c r="D6203" s="1" t="s">
        <v>2002</v>
      </c>
      <c r="E6203" s="1">
        <v>104667</v>
      </c>
      <c r="F6203" s="6" t="s">
        <v>8205</v>
      </c>
      <c r="G6203" s="15" t="str">
        <f>VLOOKUP(A6203,Movie!A:D,4,FALSE)</f>
        <v>Warner Brothers</v>
      </c>
      <c r="H6203" s="14">
        <f>VLOOKUP(E6203,'Rental Transaction'!A:B,2,FALSE)</f>
        <v>111486</v>
      </c>
      <c r="I6203">
        <f t="shared" si="96"/>
        <v>2014</v>
      </c>
    </row>
    <row r="6204" spans="1:9">
      <c r="A6204" s="1">
        <v>10050</v>
      </c>
      <c r="B6204" s="1">
        <v>1</v>
      </c>
      <c r="C6204" s="2">
        <v>41879</v>
      </c>
      <c r="D6204" s="1" t="s">
        <v>2002</v>
      </c>
      <c r="E6204" s="1">
        <v>104672</v>
      </c>
      <c r="F6204" s="6" t="s">
        <v>8206</v>
      </c>
      <c r="G6204" s="15" t="str">
        <f>VLOOKUP(A6204,Movie!A:D,4,FALSE)</f>
        <v>Paramount</v>
      </c>
      <c r="H6204" s="14">
        <f>VLOOKUP(E6204,'Rental Transaction'!A:B,2,FALSE)</f>
        <v>104939</v>
      </c>
      <c r="I6204">
        <f t="shared" si="96"/>
        <v>2014</v>
      </c>
    </row>
    <row r="6205" spans="1:9">
      <c r="A6205" s="1">
        <v>10110</v>
      </c>
      <c r="B6205" s="1">
        <v>4</v>
      </c>
      <c r="C6205" s="2">
        <v>41879</v>
      </c>
      <c r="D6205" s="1" t="s">
        <v>2002</v>
      </c>
      <c r="E6205" s="1">
        <v>104673</v>
      </c>
      <c r="F6205" s="6" t="s">
        <v>8207</v>
      </c>
      <c r="G6205" s="15" t="str">
        <f>VLOOKUP(A6205,Movie!A:D,4,FALSE)</f>
        <v>Warner Brothers</v>
      </c>
      <c r="H6205" s="14">
        <f>VLOOKUP(E6205,'Rental Transaction'!A:B,2,FALSE)</f>
        <v>921901</v>
      </c>
      <c r="I6205">
        <f t="shared" si="96"/>
        <v>2014</v>
      </c>
    </row>
    <row r="6206" spans="1:9" ht="29.25">
      <c r="A6206" s="1">
        <v>10165</v>
      </c>
      <c r="B6206" s="1">
        <v>9</v>
      </c>
      <c r="C6206" s="2">
        <v>41879</v>
      </c>
      <c r="D6206" s="1" t="s">
        <v>2002</v>
      </c>
      <c r="E6206" s="1">
        <v>104674</v>
      </c>
      <c r="F6206" s="6" t="s">
        <v>8208</v>
      </c>
      <c r="G6206" s="15" t="str">
        <f>VLOOKUP(A6206,Movie!A:D,4,FALSE)</f>
        <v>Weinstein Company</v>
      </c>
      <c r="H6206" s="14">
        <f>VLOOKUP(E6206,'Rental Transaction'!A:B,2,FALSE)</f>
        <v>331115</v>
      </c>
      <c r="I6206">
        <f t="shared" si="96"/>
        <v>2014</v>
      </c>
    </row>
    <row r="6207" spans="1:9">
      <c r="A6207" s="1">
        <v>10376</v>
      </c>
      <c r="B6207" s="1">
        <v>10</v>
      </c>
      <c r="C6207" s="2">
        <v>41879</v>
      </c>
      <c r="D6207" s="1" t="s">
        <v>2002</v>
      </c>
      <c r="E6207" s="1">
        <v>104674</v>
      </c>
      <c r="F6207" s="6" t="s">
        <v>8209</v>
      </c>
      <c r="G6207" s="15" t="str">
        <f>VLOOKUP(A6207,Movie!A:D,4,FALSE)</f>
        <v>Relativity</v>
      </c>
      <c r="H6207" s="14">
        <f>VLOOKUP(E6207,'Rental Transaction'!A:B,2,FALSE)</f>
        <v>331115</v>
      </c>
      <c r="I6207">
        <f t="shared" si="96"/>
        <v>2014</v>
      </c>
    </row>
    <row r="6208" spans="1:9">
      <c r="A6208" s="1">
        <v>10123</v>
      </c>
      <c r="B6208" s="1">
        <v>5</v>
      </c>
      <c r="C6208" s="2">
        <v>41880</v>
      </c>
      <c r="D6208" s="1" t="s">
        <v>2005</v>
      </c>
      <c r="E6208" s="1">
        <v>104675</v>
      </c>
      <c r="F6208" s="6" t="s">
        <v>8210</v>
      </c>
      <c r="G6208" s="15" t="str">
        <f>VLOOKUP(A6208,Movie!A:D,4,FALSE)</f>
        <v>Fox</v>
      </c>
      <c r="H6208" s="14">
        <f>VLOOKUP(E6208,'Rental Transaction'!A:B,2,FALSE)</f>
        <v>622131</v>
      </c>
      <c r="I6208">
        <f t="shared" si="96"/>
        <v>2014</v>
      </c>
    </row>
    <row r="6209" spans="1:9">
      <c r="A6209" s="1">
        <v>10099</v>
      </c>
      <c r="B6209" s="1">
        <v>10</v>
      </c>
      <c r="C6209" s="2">
        <v>41879</v>
      </c>
      <c r="D6209" s="1" t="s">
        <v>2002</v>
      </c>
      <c r="E6209" s="1">
        <v>104676</v>
      </c>
      <c r="F6209" s="6" t="s">
        <v>8211</v>
      </c>
      <c r="G6209" s="15" t="str">
        <f>VLOOKUP(A6209,Movie!A:D,4,FALSE)</f>
        <v>Lionsgate</v>
      </c>
      <c r="H6209" s="14">
        <f>VLOOKUP(E6209,'Rental Transaction'!A:B,2,FALSE)</f>
        <v>407605</v>
      </c>
      <c r="I6209">
        <f t="shared" si="96"/>
        <v>2014</v>
      </c>
    </row>
    <row r="6210" spans="1:9">
      <c r="A6210" s="1">
        <v>10288</v>
      </c>
      <c r="B6210" s="1">
        <v>9</v>
      </c>
      <c r="C6210" s="2">
        <v>41879</v>
      </c>
      <c r="D6210" s="1" t="s">
        <v>2002</v>
      </c>
      <c r="E6210" s="1">
        <v>104677</v>
      </c>
      <c r="F6210" s="6" t="s">
        <v>8212</v>
      </c>
      <c r="G6210" s="15" t="str">
        <f>VLOOKUP(A6210,Movie!A:D,4,FALSE)</f>
        <v>Relativity</v>
      </c>
      <c r="H6210" s="14">
        <f>VLOOKUP(E6210,'Rental Transaction'!A:B,2,FALSE)</f>
        <v>561305</v>
      </c>
      <c r="I6210">
        <f t="shared" si="96"/>
        <v>2014</v>
      </c>
    </row>
    <row r="6211" spans="1:9">
      <c r="A6211" s="1">
        <v>10268</v>
      </c>
      <c r="B6211" s="1">
        <v>10</v>
      </c>
      <c r="C6211" s="2">
        <v>41880</v>
      </c>
      <c r="D6211" s="1" t="s">
        <v>2002</v>
      </c>
      <c r="E6211" s="1">
        <v>104678</v>
      </c>
      <c r="F6211" s="6" t="s">
        <v>8213</v>
      </c>
      <c r="G6211" s="15" t="str">
        <f>VLOOKUP(A6211,Movie!A:D,4,FALSE)</f>
        <v>Buena Vista</v>
      </c>
      <c r="H6211" s="14">
        <f>VLOOKUP(E6211,'Rental Transaction'!A:B,2,FALSE)</f>
        <v>109251</v>
      </c>
      <c r="I6211">
        <f t="shared" ref="I6211:I6274" si="97">YEAR(C6211)</f>
        <v>2014</v>
      </c>
    </row>
    <row r="6212" spans="1:9">
      <c r="A6212" s="1">
        <v>10135</v>
      </c>
      <c r="B6212" s="1">
        <v>3</v>
      </c>
      <c r="C6212" s="2">
        <v>41880</v>
      </c>
      <c r="D6212" s="1" t="s">
        <v>2002</v>
      </c>
      <c r="E6212" s="1">
        <v>104680</v>
      </c>
      <c r="F6212" s="6" t="s">
        <v>8214</v>
      </c>
      <c r="G6212" s="15" t="str">
        <f>VLOOKUP(A6212,Movie!A:D,4,FALSE)</f>
        <v>Universal</v>
      </c>
      <c r="H6212" s="14">
        <f>VLOOKUP(E6212,'Rental Transaction'!A:B,2,FALSE)</f>
        <v>427391</v>
      </c>
      <c r="I6212">
        <f t="shared" si="97"/>
        <v>2014</v>
      </c>
    </row>
    <row r="6213" spans="1:9">
      <c r="A6213" s="1">
        <v>10248</v>
      </c>
      <c r="B6213" s="1">
        <v>3</v>
      </c>
      <c r="C6213" s="2">
        <v>41881</v>
      </c>
      <c r="D6213" s="1" t="s">
        <v>2002</v>
      </c>
      <c r="E6213" s="1">
        <v>104681</v>
      </c>
      <c r="F6213" s="6" t="s">
        <v>8215</v>
      </c>
      <c r="G6213" s="15" t="str">
        <f>VLOOKUP(A6213,Movie!A:D,4,FALSE)</f>
        <v>Relativity</v>
      </c>
      <c r="H6213" s="14">
        <f>VLOOKUP(E6213,'Rental Transaction'!A:B,2,FALSE)</f>
        <v>447368</v>
      </c>
      <c r="I6213">
        <f t="shared" si="97"/>
        <v>2014</v>
      </c>
    </row>
    <row r="6214" spans="1:9">
      <c r="A6214" s="1">
        <v>10055</v>
      </c>
      <c r="B6214" s="1">
        <v>8</v>
      </c>
      <c r="C6214" s="2">
        <v>41882</v>
      </c>
      <c r="D6214" s="1" t="s">
        <v>2002</v>
      </c>
      <c r="E6214" s="1">
        <v>104683</v>
      </c>
      <c r="F6214" s="6" t="s">
        <v>8216</v>
      </c>
      <c r="G6214" s="15" t="str">
        <f>VLOOKUP(A6214,Movie!A:D,4,FALSE)</f>
        <v>Sony Classics</v>
      </c>
      <c r="H6214" s="14">
        <f>VLOOKUP(E6214,'Rental Transaction'!A:B,2,FALSE)</f>
        <v>448739</v>
      </c>
      <c r="I6214">
        <f t="shared" si="97"/>
        <v>2014</v>
      </c>
    </row>
    <row r="6215" spans="1:9">
      <c r="A6215" s="1">
        <v>10287</v>
      </c>
      <c r="B6215" s="1">
        <v>1</v>
      </c>
      <c r="C6215" s="2">
        <v>41881</v>
      </c>
      <c r="D6215" s="1" t="s">
        <v>2005</v>
      </c>
      <c r="E6215" s="1">
        <v>104682</v>
      </c>
      <c r="F6215" s="6" t="s">
        <v>8217</v>
      </c>
      <c r="G6215" s="15" t="str">
        <f>VLOOKUP(A6215,Movie!A:D,4,FALSE)</f>
        <v>Lionsgate</v>
      </c>
      <c r="H6215" s="14">
        <f>VLOOKUP(E6215,'Rental Transaction'!A:B,2,FALSE)</f>
        <v>192738</v>
      </c>
      <c r="I6215">
        <f t="shared" si="97"/>
        <v>2014</v>
      </c>
    </row>
    <row r="6216" spans="1:9">
      <c r="A6216" s="1">
        <v>10185</v>
      </c>
      <c r="B6216" s="1">
        <v>3</v>
      </c>
      <c r="C6216" s="2">
        <v>41882</v>
      </c>
      <c r="D6216" s="1" t="s">
        <v>2002</v>
      </c>
      <c r="E6216" s="1">
        <v>104683</v>
      </c>
      <c r="F6216" s="6" t="s">
        <v>8218</v>
      </c>
      <c r="G6216" s="15" t="str">
        <f>VLOOKUP(A6216,Movie!A:D,4,FALSE)</f>
        <v>Warner Brothers</v>
      </c>
      <c r="H6216" s="14">
        <f>VLOOKUP(E6216,'Rental Transaction'!A:B,2,FALSE)</f>
        <v>448739</v>
      </c>
      <c r="I6216">
        <f t="shared" si="97"/>
        <v>2014</v>
      </c>
    </row>
    <row r="6217" spans="1:9">
      <c r="A6217" s="1">
        <v>10293</v>
      </c>
      <c r="B6217" s="1">
        <v>10</v>
      </c>
      <c r="C6217" s="2">
        <v>41882</v>
      </c>
      <c r="D6217" s="1" t="s">
        <v>2002</v>
      </c>
      <c r="E6217" s="1">
        <v>104683</v>
      </c>
      <c r="F6217" s="6" t="s">
        <v>8219</v>
      </c>
      <c r="G6217" s="15" t="str">
        <f>VLOOKUP(A6217,Movie!A:D,4,FALSE)</f>
        <v>Relativity</v>
      </c>
      <c r="H6217" s="14">
        <f>VLOOKUP(E6217,'Rental Transaction'!A:B,2,FALSE)</f>
        <v>448739</v>
      </c>
      <c r="I6217">
        <f t="shared" si="97"/>
        <v>2014</v>
      </c>
    </row>
    <row r="6218" spans="1:9">
      <c r="A6218" s="1">
        <v>10288</v>
      </c>
      <c r="B6218" s="1">
        <v>3</v>
      </c>
      <c r="C6218" s="2">
        <v>41882</v>
      </c>
      <c r="D6218" s="1" t="s">
        <v>2002</v>
      </c>
      <c r="E6218" s="1">
        <v>104684</v>
      </c>
      <c r="F6218" s="6" t="s">
        <v>8220</v>
      </c>
      <c r="G6218" s="15" t="str">
        <f>VLOOKUP(A6218,Movie!A:D,4,FALSE)</f>
        <v>Relativity</v>
      </c>
      <c r="H6218" s="14">
        <f>VLOOKUP(E6218,'Rental Transaction'!A:B,2,FALSE)</f>
        <v>265707</v>
      </c>
      <c r="I6218">
        <f t="shared" si="97"/>
        <v>2014</v>
      </c>
    </row>
    <row r="6219" spans="1:9">
      <c r="A6219" s="1">
        <v>10155</v>
      </c>
      <c r="B6219" s="1">
        <v>10</v>
      </c>
      <c r="C6219" s="2">
        <v>41885</v>
      </c>
      <c r="D6219" s="1" t="s">
        <v>2002</v>
      </c>
      <c r="E6219" s="1">
        <v>104684</v>
      </c>
      <c r="F6219" s="6" t="s">
        <v>8221</v>
      </c>
      <c r="G6219" s="15" t="str">
        <f>VLOOKUP(A6219,Movie!A:D,4,FALSE)</f>
        <v>Fox</v>
      </c>
      <c r="H6219" s="14">
        <f>VLOOKUP(E6219,'Rental Transaction'!A:B,2,FALSE)</f>
        <v>265707</v>
      </c>
      <c r="I6219">
        <f t="shared" si="97"/>
        <v>2014</v>
      </c>
    </row>
    <row r="6220" spans="1:9">
      <c r="A6220" s="1">
        <v>10139</v>
      </c>
      <c r="B6220" s="1">
        <v>6</v>
      </c>
      <c r="C6220" s="2">
        <v>41881</v>
      </c>
      <c r="D6220" s="1" t="s">
        <v>2002</v>
      </c>
      <c r="E6220" s="1">
        <v>104686</v>
      </c>
      <c r="F6220" s="6" t="s">
        <v>8222</v>
      </c>
      <c r="G6220" s="15" t="str">
        <f>VLOOKUP(A6220,Movie!A:D,4,FALSE)</f>
        <v>Focus</v>
      </c>
      <c r="H6220" s="14">
        <f>VLOOKUP(E6220,'Rental Transaction'!A:B,2,FALSE)</f>
        <v>701211</v>
      </c>
      <c r="I6220">
        <f t="shared" si="97"/>
        <v>2014</v>
      </c>
    </row>
    <row r="6221" spans="1:9">
      <c r="A6221" s="1">
        <v>10227</v>
      </c>
      <c r="B6221" s="1">
        <v>6</v>
      </c>
      <c r="C6221" s="2">
        <v>41883</v>
      </c>
      <c r="D6221" s="1" t="s">
        <v>2005</v>
      </c>
      <c r="E6221" s="1">
        <v>104687</v>
      </c>
      <c r="F6221" s="6" t="s">
        <v>8223</v>
      </c>
      <c r="G6221" s="15" t="str">
        <f>VLOOKUP(A6221,Movie!A:D,4,FALSE)</f>
        <v>Focus</v>
      </c>
      <c r="H6221" s="14">
        <f>VLOOKUP(E6221,'Rental Transaction'!A:B,2,FALSE)</f>
        <v>852925</v>
      </c>
      <c r="I6221">
        <f t="shared" si="97"/>
        <v>2014</v>
      </c>
    </row>
    <row r="6222" spans="1:9">
      <c r="A6222" s="1">
        <v>10240</v>
      </c>
      <c r="B6222" s="1">
        <v>10</v>
      </c>
      <c r="C6222" s="2">
        <v>41881</v>
      </c>
      <c r="D6222" s="1" t="s">
        <v>2002</v>
      </c>
      <c r="E6222" s="1">
        <v>104689</v>
      </c>
      <c r="F6222" s="6" t="s">
        <v>8224</v>
      </c>
      <c r="G6222" s="15" t="str">
        <f>VLOOKUP(A6222,Movie!A:D,4,FALSE)</f>
        <v>Warner Brothers</v>
      </c>
      <c r="H6222" s="14">
        <f>VLOOKUP(E6222,'Rental Transaction'!A:B,2,FALSE)</f>
        <v>442691</v>
      </c>
      <c r="I6222">
        <f t="shared" si="97"/>
        <v>2014</v>
      </c>
    </row>
    <row r="6223" spans="1:9">
      <c r="A6223" s="1">
        <v>10219</v>
      </c>
      <c r="B6223" s="1">
        <v>3</v>
      </c>
      <c r="C6223" s="2">
        <v>41885</v>
      </c>
      <c r="D6223" s="1" t="s">
        <v>2002</v>
      </c>
      <c r="E6223" s="1">
        <v>104694</v>
      </c>
      <c r="F6223" s="6" t="s">
        <v>8225</v>
      </c>
      <c r="G6223" s="15" t="str">
        <f>VLOOKUP(A6223,Movie!A:D,4,FALSE)</f>
        <v>Paramount</v>
      </c>
      <c r="H6223" s="14">
        <f>VLOOKUP(E6223,'Rental Transaction'!A:B,2,FALSE)</f>
        <v>995599</v>
      </c>
      <c r="I6223">
        <f t="shared" si="97"/>
        <v>2014</v>
      </c>
    </row>
    <row r="6224" spans="1:9">
      <c r="A6224" s="1">
        <v>10038</v>
      </c>
      <c r="B6224" s="1">
        <v>6</v>
      </c>
      <c r="C6224" s="2">
        <v>41882</v>
      </c>
      <c r="D6224" s="1" t="s">
        <v>2002</v>
      </c>
      <c r="E6224" s="1">
        <v>104694</v>
      </c>
      <c r="F6224" s="6" t="s">
        <v>8226</v>
      </c>
      <c r="G6224" s="15" t="str">
        <f>VLOOKUP(A6224,Movie!A:D,4,FALSE)</f>
        <v>Paramount</v>
      </c>
      <c r="H6224" s="14">
        <f>VLOOKUP(E6224,'Rental Transaction'!A:B,2,FALSE)</f>
        <v>995599</v>
      </c>
      <c r="I6224">
        <f t="shared" si="97"/>
        <v>2014</v>
      </c>
    </row>
    <row r="6225" spans="1:9">
      <c r="A6225" s="1">
        <v>10139</v>
      </c>
      <c r="B6225" s="1">
        <v>9</v>
      </c>
      <c r="C6225" s="2">
        <v>41884</v>
      </c>
      <c r="D6225" s="1" t="s">
        <v>2002</v>
      </c>
      <c r="E6225" s="1">
        <v>104696</v>
      </c>
      <c r="F6225" s="6" t="s">
        <v>8227</v>
      </c>
      <c r="G6225" s="15" t="str">
        <f>VLOOKUP(A6225,Movie!A:D,4,FALSE)</f>
        <v>Focus</v>
      </c>
      <c r="H6225" s="14">
        <f>VLOOKUP(E6225,'Rental Transaction'!A:B,2,FALSE)</f>
        <v>860057</v>
      </c>
      <c r="I6225">
        <f t="shared" si="97"/>
        <v>2014</v>
      </c>
    </row>
    <row r="6226" spans="1:9">
      <c r="A6226" s="1">
        <v>10162</v>
      </c>
      <c r="B6226" s="1">
        <v>7</v>
      </c>
      <c r="C6226" s="2">
        <v>41882</v>
      </c>
      <c r="D6226" s="1" t="s">
        <v>2002</v>
      </c>
      <c r="E6226" s="1">
        <v>104697</v>
      </c>
      <c r="F6226" s="6" t="s">
        <v>8228</v>
      </c>
      <c r="G6226" s="15" t="str">
        <f>VLOOKUP(A6226,Movie!A:D,4,FALSE)</f>
        <v>Sony</v>
      </c>
      <c r="H6226" s="14">
        <f>VLOOKUP(E6226,'Rental Transaction'!A:B,2,FALSE)</f>
        <v>643214</v>
      </c>
      <c r="I6226">
        <f t="shared" si="97"/>
        <v>2014</v>
      </c>
    </row>
    <row r="6227" spans="1:9">
      <c r="A6227" s="1">
        <v>10206</v>
      </c>
      <c r="B6227" s="1">
        <v>10</v>
      </c>
      <c r="C6227" s="2">
        <v>41882</v>
      </c>
      <c r="D6227" s="1" t="s">
        <v>2005</v>
      </c>
      <c r="E6227" s="1">
        <v>104697</v>
      </c>
      <c r="F6227" s="6" t="s">
        <v>8229</v>
      </c>
      <c r="G6227" s="15" t="str">
        <f>VLOOKUP(A6227,Movie!A:D,4,FALSE)</f>
        <v>Fox</v>
      </c>
      <c r="H6227" s="14">
        <f>VLOOKUP(E6227,'Rental Transaction'!A:B,2,FALSE)</f>
        <v>643214</v>
      </c>
      <c r="I6227">
        <f t="shared" si="97"/>
        <v>2014</v>
      </c>
    </row>
    <row r="6228" spans="1:9">
      <c r="A6228" s="1">
        <v>10181</v>
      </c>
      <c r="B6228" s="1">
        <v>4</v>
      </c>
      <c r="C6228" s="2">
        <v>41883</v>
      </c>
      <c r="D6228" s="1" t="s">
        <v>2002</v>
      </c>
      <c r="E6228" s="1">
        <v>104698</v>
      </c>
      <c r="F6228" s="6" t="s">
        <v>8230</v>
      </c>
      <c r="G6228" s="15" t="str">
        <f>VLOOKUP(A6228,Movie!A:D,4,FALSE)</f>
        <v>Fox</v>
      </c>
      <c r="H6228" s="14">
        <f>VLOOKUP(E6228,'Rental Transaction'!A:B,2,FALSE)</f>
        <v>475216</v>
      </c>
      <c r="I6228">
        <f t="shared" si="97"/>
        <v>2014</v>
      </c>
    </row>
    <row r="6229" spans="1:9">
      <c r="A6229" s="1">
        <v>10212</v>
      </c>
      <c r="B6229" s="1">
        <v>5</v>
      </c>
      <c r="C6229" s="2">
        <v>41883</v>
      </c>
      <c r="D6229" s="1" t="s">
        <v>2002</v>
      </c>
      <c r="E6229" s="1">
        <v>104701</v>
      </c>
      <c r="F6229" s="6" t="s">
        <v>8231</v>
      </c>
      <c r="G6229" s="15" t="str">
        <f>VLOOKUP(A6229,Movie!A:D,4,FALSE)</f>
        <v>Lionsgate</v>
      </c>
      <c r="H6229" s="14">
        <f>VLOOKUP(E6229,'Rental Transaction'!A:B,2,FALSE)</f>
        <v>761615</v>
      </c>
      <c r="I6229">
        <f t="shared" si="97"/>
        <v>2014</v>
      </c>
    </row>
    <row r="6230" spans="1:9">
      <c r="A6230" s="1">
        <v>10352</v>
      </c>
      <c r="B6230" s="1">
        <v>9</v>
      </c>
      <c r="C6230" s="2">
        <v>41883</v>
      </c>
      <c r="D6230" s="1" t="s">
        <v>2002</v>
      </c>
      <c r="E6230" s="1">
        <v>104701</v>
      </c>
      <c r="F6230" s="6" t="s">
        <v>8232</v>
      </c>
      <c r="G6230" s="15" t="str">
        <f>VLOOKUP(A6230,Movie!A:D,4,FALSE)</f>
        <v>Warner Brothers</v>
      </c>
      <c r="H6230" s="14">
        <f>VLOOKUP(E6230,'Rental Transaction'!A:B,2,FALSE)</f>
        <v>761615</v>
      </c>
      <c r="I6230">
        <f t="shared" si="97"/>
        <v>2014</v>
      </c>
    </row>
    <row r="6231" spans="1:9">
      <c r="A6231" s="1">
        <v>10200</v>
      </c>
      <c r="B6231" s="1">
        <v>7</v>
      </c>
      <c r="C6231" s="2">
        <v>41885</v>
      </c>
      <c r="D6231" s="1" t="s">
        <v>2002</v>
      </c>
      <c r="E6231" s="1">
        <v>104702</v>
      </c>
      <c r="F6231" s="6" t="s">
        <v>8233</v>
      </c>
      <c r="G6231" s="15" t="str">
        <f>VLOOKUP(A6231,Movie!A:D,4,FALSE)</f>
        <v>Fox</v>
      </c>
      <c r="H6231" s="14">
        <f>VLOOKUP(E6231,'Rental Transaction'!A:B,2,FALSE)</f>
        <v>390130</v>
      </c>
      <c r="I6231">
        <f t="shared" si="97"/>
        <v>2014</v>
      </c>
    </row>
    <row r="6232" spans="1:9">
      <c r="A6232" s="1">
        <v>10283</v>
      </c>
      <c r="B6232" s="1">
        <v>3</v>
      </c>
      <c r="C6232" s="2">
        <v>41883</v>
      </c>
      <c r="D6232" s="1" t="s">
        <v>2002</v>
      </c>
      <c r="E6232" s="1">
        <v>104707</v>
      </c>
      <c r="F6232" s="6" t="s">
        <v>8234</v>
      </c>
      <c r="G6232" s="15" t="str">
        <f>VLOOKUP(A6232,Movie!A:D,4,FALSE)</f>
        <v>TriStar</v>
      </c>
      <c r="H6232" s="14">
        <f>VLOOKUP(E6232,'Rental Transaction'!A:B,2,FALSE)</f>
        <v>494106</v>
      </c>
      <c r="I6232">
        <f t="shared" si="97"/>
        <v>2014</v>
      </c>
    </row>
    <row r="6233" spans="1:9">
      <c r="A6233" s="1">
        <v>10288</v>
      </c>
      <c r="B6233" s="1">
        <v>10</v>
      </c>
      <c r="C6233" s="2">
        <v>41884</v>
      </c>
      <c r="D6233" s="1" t="s">
        <v>2002</v>
      </c>
      <c r="E6233" s="1">
        <v>104712</v>
      </c>
      <c r="F6233" s="6" t="s">
        <v>8235</v>
      </c>
      <c r="G6233" s="15" t="str">
        <f>VLOOKUP(A6233,Movie!A:D,4,FALSE)</f>
        <v>Relativity</v>
      </c>
      <c r="H6233" s="14">
        <f>VLOOKUP(E6233,'Rental Transaction'!A:B,2,FALSE)</f>
        <v>611848</v>
      </c>
      <c r="I6233">
        <f t="shared" si="97"/>
        <v>2014</v>
      </c>
    </row>
    <row r="6234" spans="1:9">
      <c r="A6234" s="1">
        <v>10038</v>
      </c>
      <c r="B6234" s="1">
        <v>6</v>
      </c>
      <c r="C6234" s="2">
        <v>41884</v>
      </c>
      <c r="D6234" s="1" t="s">
        <v>2002</v>
      </c>
      <c r="E6234" s="1">
        <v>104714</v>
      </c>
      <c r="F6234" s="6" t="s">
        <v>8236</v>
      </c>
      <c r="G6234" s="15" t="str">
        <f>VLOOKUP(A6234,Movie!A:D,4,FALSE)</f>
        <v>Paramount</v>
      </c>
      <c r="H6234" s="14">
        <f>VLOOKUP(E6234,'Rental Transaction'!A:B,2,FALSE)</f>
        <v>676018</v>
      </c>
      <c r="I6234">
        <f t="shared" si="97"/>
        <v>2014</v>
      </c>
    </row>
    <row r="6235" spans="1:9" ht="29.25">
      <c r="A6235" s="1">
        <v>10121</v>
      </c>
      <c r="B6235" s="1">
        <v>6</v>
      </c>
      <c r="C6235" s="2">
        <v>41886</v>
      </c>
      <c r="D6235" s="1" t="s">
        <v>2002</v>
      </c>
      <c r="E6235" s="1">
        <v>104717</v>
      </c>
      <c r="F6235" s="6" t="s">
        <v>8237</v>
      </c>
      <c r="G6235" s="15" t="str">
        <f>VLOOKUP(A6235,Movie!A:D,4,FALSE)</f>
        <v>Weinstein Company</v>
      </c>
      <c r="H6235" s="14">
        <f>VLOOKUP(E6235,'Rental Transaction'!A:B,2,FALSE)</f>
        <v>205927</v>
      </c>
      <c r="I6235">
        <f t="shared" si="97"/>
        <v>2014</v>
      </c>
    </row>
    <row r="6236" spans="1:9">
      <c r="A6236" s="1">
        <v>10263</v>
      </c>
      <c r="B6236" s="1">
        <v>2</v>
      </c>
      <c r="C6236" s="2">
        <v>41886</v>
      </c>
      <c r="D6236" s="1" t="s">
        <v>2002</v>
      </c>
      <c r="E6236" s="1">
        <v>104721</v>
      </c>
      <c r="F6236" s="6" t="s">
        <v>8238</v>
      </c>
      <c r="G6236" s="15" t="str">
        <f>VLOOKUP(A6236,Movie!A:D,4,FALSE)</f>
        <v>Fox</v>
      </c>
      <c r="H6236" s="14">
        <f>VLOOKUP(E6236,'Rental Transaction'!A:B,2,FALSE)</f>
        <v>111486</v>
      </c>
      <c r="I6236">
        <f t="shared" si="97"/>
        <v>2014</v>
      </c>
    </row>
    <row r="6237" spans="1:9">
      <c r="A6237" s="1">
        <v>10275</v>
      </c>
      <c r="B6237" s="1">
        <v>10</v>
      </c>
      <c r="C6237" s="2">
        <v>41885</v>
      </c>
      <c r="D6237" s="1" t="s">
        <v>2005</v>
      </c>
      <c r="E6237" s="1">
        <v>104721</v>
      </c>
      <c r="F6237" s="6" t="s">
        <v>8239</v>
      </c>
      <c r="G6237" s="15" t="str">
        <f>VLOOKUP(A6237,Movie!A:D,4,FALSE)</f>
        <v>Lionsgate</v>
      </c>
      <c r="H6237" s="14">
        <f>VLOOKUP(E6237,'Rental Transaction'!A:B,2,FALSE)</f>
        <v>111486</v>
      </c>
      <c r="I6237">
        <f t="shared" si="97"/>
        <v>2014</v>
      </c>
    </row>
    <row r="6238" spans="1:9">
      <c r="A6238" s="1">
        <v>10021</v>
      </c>
      <c r="B6238" s="1">
        <v>2</v>
      </c>
      <c r="C6238" s="2">
        <v>41887</v>
      </c>
      <c r="D6238" s="1" t="s">
        <v>2002</v>
      </c>
      <c r="E6238" s="1">
        <v>104724</v>
      </c>
      <c r="F6238" s="6" t="s">
        <v>8240</v>
      </c>
      <c r="G6238" s="15" t="str">
        <f>VLOOKUP(A6238,Movie!A:D,4,FALSE)</f>
        <v>Paramount</v>
      </c>
      <c r="H6238" s="14">
        <f>VLOOKUP(E6238,'Rental Transaction'!A:B,2,FALSE)</f>
        <v>149240</v>
      </c>
      <c r="I6238">
        <f t="shared" si="97"/>
        <v>2014</v>
      </c>
    </row>
    <row r="6239" spans="1:9">
      <c r="A6239" s="1">
        <v>10262</v>
      </c>
      <c r="B6239" s="1">
        <v>3</v>
      </c>
      <c r="C6239" s="2">
        <v>41890</v>
      </c>
      <c r="D6239" s="1" t="s">
        <v>2002</v>
      </c>
      <c r="E6239" s="1">
        <v>104730</v>
      </c>
      <c r="F6239" s="6" t="s">
        <v>8241</v>
      </c>
      <c r="G6239" s="15" t="str">
        <f>VLOOKUP(A6239,Movie!A:D,4,FALSE)</f>
        <v>Lionsgate</v>
      </c>
      <c r="H6239" s="14">
        <f>VLOOKUP(E6239,'Rental Transaction'!A:B,2,FALSE)</f>
        <v>471187</v>
      </c>
      <c r="I6239">
        <f t="shared" si="97"/>
        <v>2014</v>
      </c>
    </row>
    <row r="6240" spans="1:9">
      <c r="A6240" s="1">
        <v>10180</v>
      </c>
      <c r="B6240" s="1">
        <v>7</v>
      </c>
      <c r="C6240" s="2">
        <v>41893</v>
      </c>
      <c r="D6240" s="1" t="s">
        <v>2002</v>
      </c>
      <c r="E6240" s="1">
        <v>104731</v>
      </c>
      <c r="F6240" s="6" t="s">
        <v>8242</v>
      </c>
      <c r="G6240" s="15" t="str">
        <f>VLOOKUP(A6240,Movie!A:D,4,FALSE)</f>
        <v>Relativity</v>
      </c>
      <c r="H6240" s="14">
        <f>VLOOKUP(E6240,'Rental Transaction'!A:B,2,FALSE)</f>
        <v>736500</v>
      </c>
      <c r="I6240">
        <f t="shared" si="97"/>
        <v>2014</v>
      </c>
    </row>
    <row r="6241" spans="1:9" ht="29.25">
      <c r="A6241" s="1">
        <v>10246</v>
      </c>
      <c r="B6241" s="1">
        <v>3</v>
      </c>
      <c r="C6241" s="2">
        <v>41888</v>
      </c>
      <c r="D6241" s="1" t="s">
        <v>2002</v>
      </c>
      <c r="E6241" s="1">
        <v>104732</v>
      </c>
      <c r="F6241" s="6" t="s">
        <v>8243</v>
      </c>
      <c r="G6241" s="15" t="str">
        <f>VLOOKUP(A6241,Movie!A:D,4,FALSE)</f>
        <v>Weinstein Company</v>
      </c>
      <c r="H6241" s="14">
        <f>VLOOKUP(E6241,'Rental Transaction'!A:B,2,FALSE)</f>
        <v>748326</v>
      </c>
      <c r="I6241">
        <f t="shared" si="97"/>
        <v>2014</v>
      </c>
    </row>
    <row r="6242" spans="1:9">
      <c r="A6242" s="1">
        <v>10170</v>
      </c>
      <c r="B6242" s="1">
        <v>6</v>
      </c>
      <c r="C6242" s="2">
        <v>41889</v>
      </c>
      <c r="D6242" s="1" t="s">
        <v>2002</v>
      </c>
      <c r="E6242" s="1">
        <v>104733</v>
      </c>
      <c r="F6242" s="6" t="s">
        <v>8244</v>
      </c>
      <c r="G6242" s="15" t="str">
        <f>VLOOKUP(A6242,Movie!A:D,4,FALSE)</f>
        <v>Sony Classics</v>
      </c>
      <c r="H6242" s="14">
        <f>VLOOKUP(E6242,'Rental Transaction'!A:B,2,FALSE)</f>
        <v>701211</v>
      </c>
      <c r="I6242">
        <f t="shared" si="97"/>
        <v>2014</v>
      </c>
    </row>
    <row r="6243" spans="1:9">
      <c r="A6243" s="1">
        <v>10248</v>
      </c>
      <c r="B6243" s="1">
        <v>6</v>
      </c>
      <c r="C6243" s="2">
        <v>41887</v>
      </c>
      <c r="D6243" s="1" t="s">
        <v>2002</v>
      </c>
      <c r="E6243" s="1">
        <v>104734</v>
      </c>
      <c r="F6243" s="6" t="s">
        <v>8245</v>
      </c>
      <c r="G6243" s="15" t="str">
        <f>VLOOKUP(A6243,Movie!A:D,4,FALSE)</f>
        <v>Relativity</v>
      </c>
      <c r="H6243" s="14">
        <f>VLOOKUP(E6243,'Rental Transaction'!A:B,2,FALSE)</f>
        <v>112690</v>
      </c>
      <c r="I6243">
        <f t="shared" si="97"/>
        <v>2014</v>
      </c>
    </row>
    <row r="6244" spans="1:9">
      <c r="A6244" s="1">
        <v>10174</v>
      </c>
      <c r="B6244" s="1">
        <v>8</v>
      </c>
      <c r="C6244" s="2">
        <v>41889</v>
      </c>
      <c r="D6244" s="1" t="s">
        <v>2005</v>
      </c>
      <c r="E6244" s="1">
        <v>104735</v>
      </c>
      <c r="F6244" s="6" t="s">
        <v>8246</v>
      </c>
      <c r="G6244" s="15" t="str">
        <f>VLOOKUP(A6244,Movie!A:D,4,FALSE)</f>
        <v>Universal</v>
      </c>
      <c r="H6244" s="14">
        <f>VLOOKUP(E6244,'Rental Transaction'!A:B,2,FALSE)</f>
        <v>840970</v>
      </c>
      <c r="I6244">
        <f t="shared" si="97"/>
        <v>2014</v>
      </c>
    </row>
    <row r="6245" spans="1:9">
      <c r="A6245" s="1">
        <v>10270</v>
      </c>
      <c r="B6245" s="1">
        <v>1</v>
      </c>
      <c r="C6245" s="2">
        <v>41889</v>
      </c>
      <c r="D6245" s="1" t="s">
        <v>2002</v>
      </c>
      <c r="E6245" s="1">
        <v>104735</v>
      </c>
      <c r="F6245" s="6" t="s">
        <v>8247</v>
      </c>
      <c r="G6245" s="15" t="str">
        <f>VLOOKUP(A6245,Movie!A:D,4,FALSE)</f>
        <v>Fox</v>
      </c>
      <c r="H6245" s="14">
        <f>VLOOKUP(E6245,'Rental Transaction'!A:B,2,FALSE)</f>
        <v>840970</v>
      </c>
      <c r="I6245">
        <f t="shared" si="97"/>
        <v>2014</v>
      </c>
    </row>
    <row r="6246" spans="1:9">
      <c r="A6246" s="1">
        <v>10194</v>
      </c>
      <c r="B6246" s="1">
        <v>9</v>
      </c>
      <c r="C6246" s="2">
        <v>41891</v>
      </c>
      <c r="D6246" s="1" t="s">
        <v>2002</v>
      </c>
      <c r="E6246" s="1">
        <v>104735</v>
      </c>
      <c r="F6246" s="6" t="s">
        <v>8248</v>
      </c>
      <c r="G6246" s="15" t="str">
        <f>VLOOKUP(A6246,Movie!A:D,4,FALSE)</f>
        <v>FilmDistrict</v>
      </c>
      <c r="H6246" s="14">
        <f>VLOOKUP(E6246,'Rental Transaction'!A:B,2,FALSE)</f>
        <v>840970</v>
      </c>
      <c r="I6246">
        <f t="shared" si="97"/>
        <v>2014</v>
      </c>
    </row>
    <row r="6247" spans="1:9">
      <c r="A6247" s="1">
        <v>10202</v>
      </c>
      <c r="B6247" s="1">
        <v>7</v>
      </c>
      <c r="C6247" s="2">
        <v>41890</v>
      </c>
      <c r="D6247" s="1" t="s">
        <v>2002</v>
      </c>
      <c r="E6247" s="1">
        <v>104736</v>
      </c>
      <c r="F6247" s="6" t="s">
        <v>8249</v>
      </c>
      <c r="G6247" s="15" t="str">
        <f>VLOOKUP(A6247,Movie!A:D,4,FALSE)</f>
        <v>Warner Brothers</v>
      </c>
      <c r="H6247" s="14">
        <f>VLOOKUP(E6247,'Rental Transaction'!A:B,2,FALSE)</f>
        <v>200272</v>
      </c>
      <c r="I6247">
        <f t="shared" si="97"/>
        <v>2014</v>
      </c>
    </row>
    <row r="6248" spans="1:9">
      <c r="A6248" s="1">
        <v>10189</v>
      </c>
      <c r="B6248" s="1">
        <v>10</v>
      </c>
      <c r="C6248" s="2">
        <v>41889</v>
      </c>
      <c r="D6248" s="1" t="s">
        <v>2002</v>
      </c>
      <c r="E6248" s="1">
        <v>104739</v>
      </c>
      <c r="F6248" s="6" t="s">
        <v>8250</v>
      </c>
      <c r="G6248" s="15" t="str">
        <f>VLOOKUP(A6248,Movie!A:D,4,FALSE)</f>
        <v>Universal</v>
      </c>
      <c r="H6248" s="14">
        <f>VLOOKUP(E6248,'Rental Transaction'!A:B,2,FALSE)</f>
        <v>897980</v>
      </c>
      <c r="I6248">
        <f t="shared" si="97"/>
        <v>2014</v>
      </c>
    </row>
    <row r="6249" spans="1:9">
      <c r="A6249" s="1">
        <v>10352</v>
      </c>
      <c r="B6249" s="1">
        <v>1</v>
      </c>
      <c r="C6249" s="2">
        <v>41888</v>
      </c>
      <c r="D6249" s="1" t="s">
        <v>2002</v>
      </c>
      <c r="E6249" s="1">
        <v>104739</v>
      </c>
      <c r="F6249" s="6" t="s">
        <v>8251</v>
      </c>
      <c r="G6249" s="15" t="str">
        <f>VLOOKUP(A6249,Movie!A:D,4,FALSE)</f>
        <v>Warner Brothers</v>
      </c>
      <c r="H6249" s="14">
        <f>VLOOKUP(E6249,'Rental Transaction'!A:B,2,FALSE)</f>
        <v>897980</v>
      </c>
      <c r="I6249">
        <f t="shared" si="97"/>
        <v>2014</v>
      </c>
    </row>
    <row r="6250" spans="1:9">
      <c r="A6250" s="1">
        <v>10268</v>
      </c>
      <c r="B6250" s="1">
        <v>9</v>
      </c>
      <c r="C6250" s="2">
        <v>41888</v>
      </c>
      <c r="D6250" s="1" t="s">
        <v>2002</v>
      </c>
      <c r="E6250" s="1">
        <v>104740</v>
      </c>
      <c r="F6250" s="6" t="s">
        <v>8252</v>
      </c>
      <c r="G6250" s="15" t="str">
        <f>VLOOKUP(A6250,Movie!A:D,4,FALSE)</f>
        <v>Buena Vista</v>
      </c>
      <c r="H6250" s="14">
        <f>VLOOKUP(E6250,'Rental Transaction'!A:B,2,FALSE)</f>
        <v>296353</v>
      </c>
      <c r="I6250">
        <f t="shared" si="97"/>
        <v>2014</v>
      </c>
    </row>
    <row r="6251" spans="1:9">
      <c r="A6251" s="1">
        <v>10242</v>
      </c>
      <c r="B6251" s="1">
        <v>8</v>
      </c>
      <c r="C6251" s="2">
        <v>41888</v>
      </c>
      <c r="D6251" s="1" t="s">
        <v>2002</v>
      </c>
      <c r="E6251" s="1">
        <v>104741</v>
      </c>
      <c r="F6251" s="6" t="s">
        <v>8253</v>
      </c>
      <c r="G6251" s="15" t="str">
        <f>VLOOKUP(A6251,Movie!A:D,4,FALSE)</f>
        <v>Buena Vista</v>
      </c>
      <c r="H6251" s="14">
        <f>VLOOKUP(E6251,'Rental Transaction'!A:B,2,FALSE)</f>
        <v>500733</v>
      </c>
      <c r="I6251">
        <f t="shared" si="97"/>
        <v>2014</v>
      </c>
    </row>
    <row r="6252" spans="1:9">
      <c r="A6252" s="1">
        <v>10215</v>
      </c>
      <c r="B6252" s="1">
        <v>6</v>
      </c>
      <c r="C6252" s="2">
        <v>41889</v>
      </c>
      <c r="D6252" s="1" t="s">
        <v>2002</v>
      </c>
      <c r="E6252" s="1">
        <v>104742</v>
      </c>
      <c r="F6252" s="6" t="s">
        <v>8254</v>
      </c>
      <c r="G6252" s="15" t="str">
        <f>VLOOKUP(A6252,Movie!A:D,4,FALSE)</f>
        <v>Paramount</v>
      </c>
      <c r="H6252" s="14">
        <f>VLOOKUP(E6252,'Rental Transaction'!A:B,2,FALSE)</f>
        <v>703083</v>
      </c>
      <c r="I6252">
        <f t="shared" si="97"/>
        <v>2014</v>
      </c>
    </row>
    <row r="6253" spans="1:9">
      <c r="A6253" s="1">
        <v>10253</v>
      </c>
      <c r="B6253" s="1">
        <v>3</v>
      </c>
      <c r="C6253" s="2">
        <v>41890</v>
      </c>
      <c r="D6253" s="1" t="s">
        <v>2002</v>
      </c>
      <c r="E6253" s="1">
        <v>104743</v>
      </c>
      <c r="F6253" s="6" t="s">
        <v>8255</v>
      </c>
      <c r="G6253" s="15" t="str">
        <f>VLOOKUP(A6253,Movie!A:D,4,FALSE)</f>
        <v>Buena Vista</v>
      </c>
      <c r="H6253" s="14">
        <f>VLOOKUP(E6253,'Rental Transaction'!A:B,2,FALSE)</f>
        <v>846722</v>
      </c>
      <c r="I6253">
        <f t="shared" si="97"/>
        <v>2014</v>
      </c>
    </row>
    <row r="6254" spans="1:9">
      <c r="A6254" s="1">
        <v>10245</v>
      </c>
      <c r="B6254" s="1">
        <v>2</v>
      </c>
      <c r="C6254" s="2">
        <v>41889</v>
      </c>
      <c r="D6254" s="1" t="s">
        <v>2002</v>
      </c>
      <c r="E6254" s="1">
        <v>104745</v>
      </c>
      <c r="F6254" s="6" t="s">
        <v>8256</v>
      </c>
      <c r="G6254" s="15" t="str">
        <f>VLOOKUP(A6254,Movie!A:D,4,FALSE)</f>
        <v>Warner Brothers</v>
      </c>
      <c r="H6254" s="14">
        <f>VLOOKUP(E6254,'Rental Transaction'!A:B,2,FALSE)</f>
        <v>670707</v>
      </c>
      <c r="I6254">
        <f t="shared" si="97"/>
        <v>2014</v>
      </c>
    </row>
    <row r="6255" spans="1:9">
      <c r="A6255" s="1">
        <v>10116</v>
      </c>
      <c r="B6255" s="1">
        <v>7</v>
      </c>
      <c r="C6255" s="2">
        <v>41889</v>
      </c>
      <c r="D6255" s="1" t="s">
        <v>2002</v>
      </c>
      <c r="E6255" s="1">
        <v>104746</v>
      </c>
      <c r="F6255" s="6" t="s">
        <v>8257</v>
      </c>
      <c r="G6255" s="15" t="str">
        <f>VLOOKUP(A6255,Movie!A:D,4,FALSE)</f>
        <v>Universal</v>
      </c>
      <c r="H6255" s="14">
        <f>VLOOKUP(E6255,'Rental Transaction'!A:B,2,FALSE)</f>
        <v>941876</v>
      </c>
      <c r="I6255">
        <f t="shared" si="97"/>
        <v>2014</v>
      </c>
    </row>
    <row r="6256" spans="1:9">
      <c r="A6256" s="1">
        <v>10266</v>
      </c>
      <c r="B6256" s="1">
        <v>3</v>
      </c>
      <c r="C6256" s="2">
        <v>41889</v>
      </c>
      <c r="D6256" s="1" t="s">
        <v>2002</v>
      </c>
      <c r="E6256" s="1">
        <v>104747</v>
      </c>
      <c r="F6256" s="6" t="s">
        <v>8258</v>
      </c>
      <c r="G6256" s="15" t="str">
        <f>VLOOKUP(A6256,Movie!A:D,4,FALSE)</f>
        <v>Sony</v>
      </c>
      <c r="H6256" s="14">
        <f>VLOOKUP(E6256,'Rental Transaction'!A:B,2,FALSE)</f>
        <v>425051</v>
      </c>
      <c r="I6256">
        <f t="shared" si="97"/>
        <v>2014</v>
      </c>
    </row>
    <row r="6257" spans="1:9">
      <c r="A6257" s="1">
        <v>10157</v>
      </c>
      <c r="B6257" s="1">
        <v>10</v>
      </c>
      <c r="C6257" s="2">
        <v>41896</v>
      </c>
      <c r="D6257" s="1" t="s">
        <v>2002</v>
      </c>
      <c r="E6257" s="1">
        <v>104749</v>
      </c>
      <c r="F6257" s="6" t="s">
        <v>8259</v>
      </c>
      <c r="G6257" s="15" t="str">
        <f>VLOOKUP(A6257,Movie!A:D,4,FALSE)</f>
        <v>Paramount</v>
      </c>
      <c r="H6257" s="14">
        <f>VLOOKUP(E6257,'Rental Transaction'!A:B,2,FALSE)</f>
        <v>308662</v>
      </c>
      <c r="I6257">
        <f t="shared" si="97"/>
        <v>2014</v>
      </c>
    </row>
    <row r="6258" spans="1:9">
      <c r="A6258" s="1">
        <v>10174</v>
      </c>
      <c r="B6258" s="1">
        <v>7</v>
      </c>
      <c r="C6258" s="2">
        <v>41892</v>
      </c>
      <c r="D6258" s="1" t="s">
        <v>2002</v>
      </c>
      <c r="E6258" s="1">
        <v>104751</v>
      </c>
      <c r="F6258" s="6" t="s">
        <v>8260</v>
      </c>
      <c r="G6258" s="15" t="str">
        <f>VLOOKUP(A6258,Movie!A:D,4,FALSE)</f>
        <v>Universal</v>
      </c>
      <c r="H6258" s="14">
        <f>VLOOKUP(E6258,'Rental Transaction'!A:B,2,FALSE)</f>
        <v>330570</v>
      </c>
      <c r="I6258">
        <f t="shared" si="97"/>
        <v>2014</v>
      </c>
    </row>
    <row r="6259" spans="1:9">
      <c r="A6259" s="1">
        <v>10376</v>
      </c>
      <c r="B6259" s="1">
        <v>3</v>
      </c>
      <c r="C6259" s="2">
        <v>41892</v>
      </c>
      <c r="D6259" s="1" t="s">
        <v>2002</v>
      </c>
      <c r="E6259" s="1">
        <v>104753</v>
      </c>
      <c r="F6259" s="6" t="s">
        <v>8261</v>
      </c>
      <c r="G6259" s="15" t="str">
        <f>VLOOKUP(A6259,Movie!A:D,4,FALSE)</f>
        <v>Relativity</v>
      </c>
      <c r="H6259" s="14">
        <f>VLOOKUP(E6259,'Rental Transaction'!A:B,2,FALSE)</f>
        <v>783369</v>
      </c>
      <c r="I6259">
        <f t="shared" si="97"/>
        <v>2014</v>
      </c>
    </row>
    <row r="6260" spans="1:9">
      <c r="A6260" s="1">
        <v>10267</v>
      </c>
      <c r="B6260" s="1">
        <v>8</v>
      </c>
      <c r="C6260" s="2">
        <v>41891</v>
      </c>
      <c r="D6260" s="1" t="s">
        <v>2002</v>
      </c>
      <c r="E6260" s="1">
        <v>104755</v>
      </c>
      <c r="F6260" s="6" t="s">
        <v>8262</v>
      </c>
      <c r="G6260" s="15" t="str">
        <f>VLOOKUP(A6260,Movie!A:D,4,FALSE)</f>
        <v>TriStar</v>
      </c>
      <c r="H6260" s="14">
        <f>VLOOKUP(E6260,'Rental Transaction'!A:B,2,FALSE)</f>
        <v>465275</v>
      </c>
      <c r="I6260">
        <f t="shared" si="97"/>
        <v>2014</v>
      </c>
    </row>
    <row r="6261" spans="1:9">
      <c r="A6261" s="1">
        <v>10277</v>
      </c>
      <c r="B6261" s="1">
        <v>4</v>
      </c>
      <c r="C6261" s="2">
        <v>41897</v>
      </c>
      <c r="D6261" s="1" t="s">
        <v>2002</v>
      </c>
      <c r="E6261" s="1">
        <v>104756</v>
      </c>
      <c r="F6261" s="6" t="s">
        <v>8263</v>
      </c>
      <c r="G6261" s="15" t="str">
        <f>VLOOKUP(A6261,Movie!A:D,4,FALSE)</f>
        <v>Universal</v>
      </c>
      <c r="H6261" s="14">
        <f>VLOOKUP(E6261,'Rental Transaction'!A:B,2,FALSE)</f>
        <v>371731</v>
      </c>
      <c r="I6261">
        <f t="shared" si="97"/>
        <v>2014</v>
      </c>
    </row>
    <row r="6262" spans="1:9">
      <c r="A6262" s="1">
        <v>10171</v>
      </c>
      <c r="B6262" s="1">
        <v>5</v>
      </c>
      <c r="C6262" s="2">
        <v>41891</v>
      </c>
      <c r="D6262" s="1" t="s">
        <v>2002</v>
      </c>
      <c r="E6262" s="1">
        <v>104756</v>
      </c>
      <c r="F6262" s="6" t="s">
        <v>8264</v>
      </c>
      <c r="G6262" s="15" t="str">
        <f>VLOOKUP(A6262,Movie!A:D,4,FALSE)</f>
        <v>Universal</v>
      </c>
      <c r="H6262" s="14">
        <f>VLOOKUP(E6262,'Rental Transaction'!A:B,2,FALSE)</f>
        <v>371731</v>
      </c>
      <c r="I6262">
        <f t="shared" si="97"/>
        <v>2014</v>
      </c>
    </row>
    <row r="6263" spans="1:9">
      <c r="A6263" s="1">
        <v>10274</v>
      </c>
      <c r="B6263" s="1">
        <v>6</v>
      </c>
      <c r="C6263" s="2">
        <v>41891</v>
      </c>
      <c r="D6263" s="1" t="s">
        <v>2005</v>
      </c>
      <c r="E6263" s="1">
        <v>104756</v>
      </c>
      <c r="F6263" s="6" t="s">
        <v>8265</v>
      </c>
      <c r="G6263" s="15" t="str">
        <f>VLOOKUP(A6263,Movie!A:D,4,FALSE)</f>
        <v>Fox</v>
      </c>
      <c r="H6263" s="14">
        <f>VLOOKUP(E6263,'Rental Transaction'!A:B,2,FALSE)</f>
        <v>371731</v>
      </c>
      <c r="I6263">
        <f t="shared" si="97"/>
        <v>2014</v>
      </c>
    </row>
    <row r="6264" spans="1:9">
      <c r="A6264" s="1">
        <v>10135</v>
      </c>
      <c r="B6264" s="1">
        <v>9</v>
      </c>
      <c r="C6264" s="2">
        <v>41893</v>
      </c>
      <c r="D6264" s="1" t="s">
        <v>2002</v>
      </c>
      <c r="E6264" s="1">
        <v>104756</v>
      </c>
      <c r="F6264" s="6" t="s">
        <v>8266</v>
      </c>
      <c r="G6264" s="15" t="str">
        <f>VLOOKUP(A6264,Movie!A:D,4,FALSE)</f>
        <v>Universal</v>
      </c>
      <c r="H6264" s="14">
        <f>VLOOKUP(E6264,'Rental Transaction'!A:B,2,FALSE)</f>
        <v>371731</v>
      </c>
      <c r="I6264">
        <f t="shared" si="97"/>
        <v>2014</v>
      </c>
    </row>
    <row r="6265" spans="1:9">
      <c r="A6265" s="1">
        <v>10252</v>
      </c>
      <c r="B6265" s="1">
        <v>6</v>
      </c>
      <c r="C6265" s="2">
        <v>41892</v>
      </c>
      <c r="D6265" s="1" t="s">
        <v>2002</v>
      </c>
      <c r="E6265" s="1">
        <v>104757</v>
      </c>
      <c r="F6265" s="6" t="s">
        <v>8267</v>
      </c>
      <c r="G6265" s="15" t="str">
        <f>VLOOKUP(A6265,Movie!A:D,4,FALSE)</f>
        <v>Warner Brothers</v>
      </c>
      <c r="H6265" s="14">
        <f>VLOOKUP(E6265,'Rental Transaction'!A:B,2,FALSE)</f>
        <v>500828</v>
      </c>
      <c r="I6265">
        <f t="shared" si="97"/>
        <v>2014</v>
      </c>
    </row>
    <row r="6266" spans="1:9">
      <c r="A6266" s="1">
        <v>10077</v>
      </c>
      <c r="B6266" s="1">
        <v>10</v>
      </c>
      <c r="C6266" s="2">
        <v>41891</v>
      </c>
      <c r="D6266" s="1" t="s">
        <v>2002</v>
      </c>
      <c r="E6266" s="1">
        <v>104758</v>
      </c>
      <c r="F6266" s="6" t="s">
        <v>8268</v>
      </c>
      <c r="G6266" s="15" t="str">
        <f>VLOOKUP(A6266,Movie!A:D,4,FALSE)</f>
        <v>Warner Brothers</v>
      </c>
      <c r="H6266" s="14">
        <f>VLOOKUP(E6266,'Rental Transaction'!A:B,2,FALSE)</f>
        <v>404678</v>
      </c>
      <c r="I6266">
        <f t="shared" si="97"/>
        <v>2014</v>
      </c>
    </row>
    <row r="6267" spans="1:9">
      <c r="A6267" s="1">
        <v>10107</v>
      </c>
      <c r="B6267" s="1">
        <v>1</v>
      </c>
      <c r="C6267" s="2">
        <v>41896</v>
      </c>
      <c r="D6267" s="1" t="s">
        <v>2002</v>
      </c>
      <c r="E6267" s="1">
        <v>104760</v>
      </c>
      <c r="F6267" s="6" t="s">
        <v>8269</v>
      </c>
      <c r="G6267" s="15" t="str">
        <f>VLOOKUP(A6267,Movie!A:D,4,FALSE)</f>
        <v>Universal</v>
      </c>
      <c r="H6267" s="14">
        <f>VLOOKUP(E6267,'Rental Transaction'!A:B,2,FALSE)</f>
        <v>370870</v>
      </c>
      <c r="I6267">
        <f t="shared" si="97"/>
        <v>2014</v>
      </c>
    </row>
    <row r="6268" spans="1:9">
      <c r="A6268" s="1">
        <v>10179</v>
      </c>
      <c r="B6268" s="1">
        <v>2</v>
      </c>
      <c r="C6268" s="2">
        <v>41891</v>
      </c>
      <c r="D6268" s="1" t="s">
        <v>2002</v>
      </c>
      <c r="E6268" s="1">
        <v>104761</v>
      </c>
      <c r="F6268" s="6" t="s">
        <v>8270</v>
      </c>
      <c r="G6268" s="15" t="str">
        <f>VLOOKUP(A6268,Movie!A:D,4,FALSE)</f>
        <v>Warner Brothers</v>
      </c>
      <c r="H6268" s="14">
        <f>VLOOKUP(E6268,'Rental Transaction'!A:B,2,FALSE)</f>
        <v>479497</v>
      </c>
      <c r="I6268">
        <f t="shared" si="97"/>
        <v>2014</v>
      </c>
    </row>
    <row r="6269" spans="1:9">
      <c r="A6269" s="1">
        <v>10238</v>
      </c>
      <c r="B6269" s="1">
        <v>5</v>
      </c>
      <c r="C6269" s="2">
        <v>41894</v>
      </c>
      <c r="D6269" s="1" t="s">
        <v>2002</v>
      </c>
      <c r="E6269" s="1">
        <v>104763</v>
      </c>
      <c r="F6269" s="6" t="s">
        <v>8271</v>
      </c>
      <c r="G6269" s="15" t="str">
        <f>VLOOKUP(A6269,Movie!A:D,4,FALSE)</f>
        <v>Warner Brothers</v>
      </c>
      <c r="H6269" s="14">
        <f>VLOOKUP(E6269,'Rental Transaction'!A:B,2,FALSE)</f>
        <v>347189</v>
      </c>
      <c r="I6269">
        <f t="shared" si="97"/>
        <v>2014</v>
      </c>
    </row>
    <row r="6270" spans="1:9">
      <c r="A6270" s="1">
        <v>10208</v>
      </c>
      <c r="B6270" s="1">
        <v>1</v>
      </c>
      <c r="C6270" s="2">
        <v>41892</v>
      </c>
      <c r="D6270" s="1" t="s">
        <v>2002</v>
      </c>
      <c r="E6270" s="1">
        <v>104765</v>
      </c>
      <c r="F6270" s="6" t="s">
        <v>8272</v>
      </c>
      <c r="G6270" s="15" t="str">
        <f>VLOOKUP(A6270,Movie!A:D,4,FALSE)</f>
        <v>Warner Brothers</v>
      </c>
      <c r="H6270" s="14">
        <f>VLOOKUP(E6270,'Rental Transaction'!A:B,2,FALSE)</f>
        <v>720602</v>
      </c>
      <c r="I6270">
        <f t="shared" si="97"/>
        <v>2014</v>
      </c>
    </row>
    <row r="6271" spans="1:9">
      <c r="A6271" s="1">
        <v>10174</v>
      </c>
      <c r="B6271" s="1">
        <v>4</v>
      </c>
      <c r="C6271" s="2">
        <v>41896</v>
      </c>
      <c r="D6271" s="1" t="s">
        <v>2002</v>
      </c>
      <c r="E6271" s="1">
        <v>104765</v>
      </c>
      <c r="F6271" s="6" t="s">
        <v>8273</v>
      </c>
      <c r="G6271" s="15" t="str">
        <f>VLOOKUP(A6271,Movie!A:D,4,FALSE)</f>
        <v>Universal</v>
      </c>
      <c r="H6271" s="14">
        <f>VLOOKUP(E6271,'Rental Transaction'!A:B,2,FALSE)</f>
        <v>720602</v>
      </c>
      <c r="I6271">
        <f t="shared" si="97"/>
        <v>2014</v>
      </c>
    </row>
    <row r="6272" spans="1:9">
      <c r="A6272" s="1">
        <v>10271</v>
      </c>
      <c r="B6272" s="1">
        <v>7</v>
      </c>
      <c r="C6272" s="2">
        <v>41896</v>
      </c>
      <c r="D6272" s="1" t="s">
        <v>2002</v>
      </c>
      <c r="E6272" s="1">
        <v>104765</v>
      </c>
      <c r="F6272" s="6" t="s">
        <v>8274</v>
      </c>
      <c r="G6272" s="15" t="str">
        <f>VLOOKUP(A6272,Movie!A:D,4,FALSE)</f>
        <v>Universal</v>
      </c>
      <c r="H6272" s="14">
        <f>VLOOKUP(E6272,'Rental Transaction'!A:B,2,FALSE)</f>
        <v>720602</v>
      </c>
      <c r="I6272">
        <f t="shared" si="97"/>
        <v>2014</v>
      </c>
    </row>
    <row r="6273" spans="1:9">
      <c r="A6273" s="1">
        <v>10205</v>
      </c>
      <c r="B6273" s="1">
        <v>9</v>
      </c>
      <c r="C6273" s="2">
        <v>41892</v>
      </c>
      <c r="D6273" s="1" t="s">
        <v>2002</v>
      </c>
      <c r="E6273" s="1">
        <v>104767</v>
      </c>
      <c r="F6273" s="6" t="s">
        <v>8275</v>
      </c>
      <c r="G6273" s="15" t="str">
        <f>VLOOKUP(A6273,Movie!A:D,4,FALSE)</f>
        <v>Paramount</v>
      </c>
      <c r="H6273" s="14">
        <f>VLOOKUP(E6273,'Rental Transaction'!A:B,2,FALSE)</f>
        <v>147216</v>
      </c>
      <c r="I6273">
        <f t="shared" si="97"/>
        <v>2014</v>
      </c>
    </row>
    <row r="6274" spans="1:9">
      <c r="A6274" s="1">
        <v>10193</v>
      </c>
      <c r="B6274" s="1">
        <v>2</v>
      </c>
      <c r="C6274" s="2">
        <v>41892</v>
      </c>
      <c r="D6274" s="1" t="s">
        <v>2002</v>
      </c>
      <c r="E6274" s="1">
        <v>104769</v>
      </c>
      <c r="F6274" s="6" t="s">
        <v>8276</v>
      </c>
      <c r="G6274" s="15" t="str">
        <f>VLOOKUP(A6274,Movie!A:D,4,FALSE)</f>
        <v>Fox</v>
      </c>
      <c r="H6274" s="14">
        <f>VLOOKUP(E6274,'Rental Transaction'!A:B,2,FALSE)</f>
        <v>872851</v>
      </c>
      <c r="I6274">
        <f t="shared" si="97"/>
        <v>2014</v>
      </c>
    </row>
    <row r="6275" spans="1:9">
      <c r="A6275" s="1">
        <v>10139</v>
      </c>
      <c r="B6275" s="1">
        <v>5</v>
      </c>
      <c r="C6275" s="2">
        <v>41892</v>
      </c>
      <c r="D6275" s="1" t="s">
        <v>2005</v>
      </c>
      <c r="E6275" s="1">
        <v>104770</v>
      </c>
      <c r="F6275" s="6" t="s">
        <v>8277</v>
      </c>
      <c r="G6275" s="15" t="str">
        <f>VLOOKUP(A6275,Movie!A:D,4,FALSE)</f>
        <v>Focus</v>
      </c>
      <c r="H6275" s="14">
        <f>VLOOKUP(E6275,'Rental Transaction'!A:B,2,FALSE)</f>
        <v>951702</v>
      </c>
      <c r="I6275">
        <f t="shared" ref="I6275:I6311" si="98">YEAR(C6275)</f>
        <v>2014</v>
      </c>
    </row>
    <row r="6276" spans="1:9">
      <c r="A6276" s="1">
        <v>10123</v>
      </c>
      <c r="B6276" s="1">
        <v>1</v>
      </c>
      <c r="C6276" s="2">
        <v>41893</v>
      </c>
      <c r="D6276" s="1" t="s">
        <v>2002</v>
      </c>
      <c r="E6276" s="1">
        <v>104772</v>
      </c>
      <c r="F6276" s="6" t="s">
        <v>8278</v>
      </c>
      <c r="G6276" s="15" t="str">
        <f>VLOOKUP(A6276,Movie!A:D,4,FALSE)</f>
        <v>Fox</v>
      </c>
      <c r="H6276" s="14">
        <f>VLOOKUP(E6276,'Rental Transaction'!A:B,2,FALSE)</f>
        <v>924947</v>
      </c>
      <c r="I6276">
        <f t="shared" si="98"/>
        <v>2014</v>
      </c>
    </row>
    <row r="6277" spans="1:9">
      <c r="A6277" s="1">
        <v>10284</v>
      </c>
      <c r="B6277" s="1">
        <v>6</v>
      </c>
      <c r="C6277" s="2">
        <v>41897</v>
      </c>
      <c r="D6277" s="1" t="s">
        <v>2002</v>
      </c>
      <c r="E6277" s="1">
        <v>104772</v>
      </c>
      <c r="F6277" s="6" t="s">
        <v>8279</v>
      </c>
      <c r="G6277" s="15" t="str">
        <f>VLOOKUP(A6277,Movie!A:D,4,FALSE)</f>
        <v>Focus</v>
      </c>
      <c r="H6277" s="14">
        <f>VLOOKUP(E6277,'Rental Transaction'!A:B,2,FALSE)</f>
        <v>924947</v>
      </c>
      <c r="I6277">
        <f t="shared" si="98"/>
        <v>2014</v>
      </c>
    </row>
    <row r="6278" spans="1:9">
      <c r="A6278" s="1">
        <v>10150</v>
      </c>
      <c r="B6278" s="1">
        <v>5</v>
      </c>
      <c r="C6278" s="2">
        <v>41893</v>
      </c>
      <c r="D6278" s="1" t="s">
        <v>2005</v>
      </c>
      <c r="E6278" s="1">
        <v>104776</v>
      </c>
      <c r="F6278" s="6" t="s">
        <v>8280</v>
      </c>
      <c r="G6278" s="15" t="str">
        <f>VLOOKUP(A6278,Movie!A:D,4,FALSE)</f>
        <v>Focus</v>
      </c>
      <c r="H6278" s="14">
        <f>VLOOKUP(E6278,'Rental Transaction'!A:B,2,FALSE)</f>
        <v>104939</v>
      </c>
      <c r="I6278">
        <f t="shared" si="98"/>
        <v>2014</v>
      </c>
    </row>
    <row r="6279" spans="1:9">
      <c r="A6279" s="1">
        <v>10282</v>
      </c>
      <c r="B6279" s="1">
        <v>10</v>
      </c>
      <c r="C6279" s="2">
        <v>41896</v>
      </c>
      <c r="D6279" s="1" t="s">
        <v>2002</v>
      </c>
      <c r="E6279" s="1">
        <v>104778</v>
      </c>
      <c r="F6279" s="6" t="s">
        <v>8281</v>
      </c>
      <c r="G6279" s="15" t="str">
        <f>VLOOKUP(A6279,Movie!A:D,4,FALSE)</f>
        <v>Sony Classics</v>
      </c>
      <c r="H6279" s="14">
        <f>VLOOKUP(E6279,'Rental Transaction'!A:B,2,FALSE)</f>
        <v>240205</v>
      </c>
      <c r="I6279">
        <f t="shared" si="98"/>
        <v>2014</v>
      </c>
    </row>
    <row r="6280" spans="1:9">
      <c r="A6280" s="1">
        <v>10284</v>
      </c>
      <c r="B6280" s="1">
        <v>9</v>
      </c>
      <c r="C6280" s="2">
        <v>41897</v>
      </c>
      <c r="D6280" s="1" t="s">
        <v>2002</v>
      </c>
      <c r="E6280" s="1">
        <v>104779</v>
      </c>
      <c r="F6280" s="6" t="s">
        <v>8282</v>
      </c>
      <c r="G6280" s="15" t="str">
        <f>VLOOKUP(A6280,Movie!A:D,4,FALSE)</f>
        <v>Focus</v>
      </c>
      <c r="H6280" s="14">
        <f>VLOOKUP(E6280,'Rental Transaction'!A:B,2,FALSE)</f>
        <v>741398</v>
      </c>
      <c r="I6280">
        <f t="shared" si="98"/>
        <v>2014</v>
      </c>
    </row>
    <row r="6281" spans="1:9">
      <c r="A6281" s="1">
        <v>10259</v>
      </c>
      <c r="B6281" s="1">
        <v>8</v>
      </c>
      <c r="C6281" s="2">
        <v>41895</v>
      </c>
      <c r="D6281" s="1" t="s">
        <v>2002</v>
      </c>
      <c r="E6281" s="1">
        <v>104780</v>
      </c>
      <c r="F6281" s="6" t="s">
        <v>8283</v>
      </c>
      <c r="G6281" s="15" t="str">
        <f>VLOOKUP(A6281,Movie!A:D,4,FALSE)</f>
        <v>Warner Brothers</v>
      </c>
      <c r="H6281" s="14">
        <f>VLOOKUP(E6281,'Rental Transaction'!A:B,2,FALSE)</f>
        <v>493552</v>
      </c>
      <c r="I6281">
        <f t="shared" si="98"/>
        <v>2014</v>
      </c>
    </row>
    <row r="6282" spans="1:9">
      <c r="A6282" s="1">
        <v>10043</v>
      </c>
      <c r="B6282" s="1">
        <v>8</v>
      </c>
      <c r="C6282" s="2">
        <v>41896</v>
      </c>
      <c r="D6282" s="1" t="s">
        <v>2002</v>
      </c>
      <c r="E6282" s="1">
        <v>104783</v>
      </c>
      <c r="F6282" s="6" t="s">
        <v>8284</v>
      </c>
      <c r="G6282" s="15" t="str">
        <f>VLOOKUP(A6282,Movie!A:D,4,FALSE)</f>
        <v>Screen Gems</v>
      </c>
      <c r="H6282" s="14">
        <f>VLOOKUP(E6282,'Rental Transaction'!A:B,2,FALSE)</f>
        <v>797968</v>
      </c>
      <c r="I6282">
        <f t="shared" si="98"/>
        <v>2014</v>
      </c>
    </row>
    <row r="6283" spans="1:9">
      <c r="A6283" s="1">
        <v>10219</v>
      </c>
      <c r="B6283" s="1">
        <v>5</v>
      </c>
      <c r="C6283" s="2">
        <v>41894</v>
      </c>
      <c r="D6283" s="1" t="s">
        <v>2002</v>
      </c>
      <c r="E6283" s="1">
        <v>104784</v>
      </c>
      <c r="F6283" s="6" t="s">
        <v>8285</v>
      </c>
      <c r="G6283" s="15" t="str">
        <f>VLOOKUP(A6283,Movie!A:D,4,FALSE)</f>
        <v>Paramount</v>
      </c>
      <c r="H6283" s="14">
        <f>VLOOKUP(E6283,'Rental Transaction'!A:B,2,FALSE)</f>
        <v>245577</v>
      </c>
      <c r="I6283">
        <f t="shared" si="98"/>
        <v>2014</v>
      </c>
    </row>
    <row r="6284" spans="1:9">
      <c r="A6284" s="1">
        <v>10114</v>
      </c>
      <c r="B6284" s="1">
        <v>5</v>
      </c>
      <c r="C6284" s="2">
        <v>41897</v>
      </c>
      <c r="D6284" s="1" t="s">
        <v>2002</v>
      </c>
      <c r="E6284" s="1">
        <v>104786</v>
      </c>
      <c r="F6284" s="6" t="s">
        <v>8286</v>
      </c>
      <c r="G6284" s="15" t="str">
        <f>VLOOKUP(A6284,Movie!A:D,4,FALSE)</f>
        <v>Lionsgate</v>
      </c>
      <c r="H6284" s="14">
        <f>VLOOKUP(E6284,'Rental Transaction'!A:B,2,FALSE)</f>
        <v>242720</v>
      </c>
      <c r="I6284">
        <f t="shared" si="98"/>
        <v>2014</v>
      </c>
    </row>
    <row r="6285" spans="1:9">
      <c r="A6285" s="1">
        <v>10219</v>
      </c>
      <c r="B6285" s="1">
        <v>3</v>
      </c>
      <c r="C6285" s="2">
        <v>41895</v>
      </c>
      <c r="D6285" s="1" t="s">
        <v>2002</v>
      </c>
      <c r="E6285" s="1">
        <v>104786</v>
      </c>
      <c r="F6285" s="6" t="s">
        <v>8287</v>
      </c>
      <c r="G6285" s="15" t="str">
        <f>VLOOKUP(A6285,Movie!A:D,4,FALSE)</f>
        <v>Paramount</v>
      </c>
      <c r="H6285" s="14">
        <f>VLOOKUP(E6285,'Rental Transaction'!A:B,2,FALSE)</f>
        <v>242720</v>
      </c>
      <c r="I6285">
        <f t="shared" si="98"/>
        <v>2014</v>
      </c>
    </row>
    <row r="6286" spans="1:9" ht="29.25">
      <c r="A6286" s="1">
        <v>10396</v>
      </c>
      <c r="B6286" s="1">
        <v>9</v>
      </c>
      <c r="C6286" s="2">
        <v>41897</v>
      </c>
      <c r="D6286" s="1" t="s">
        <v>2002</v>
      </c>
      <c r="E6286" s="1">
        <v>104787</v>
      </c>
      <c r="F6286" s="6" t="s">
        <v>8288</v>
      </c>
      <c r="G6286" s="15" t="str">
        <f>VLOOKUP(A6286,Movie!A:D,4,FALSE)</f>
        <v>Sony Pictures Classics</v>
      </c>
      <c r="H6286" s="14">
        <f>VLOOKUP(E6286,'Rental Transaction'!A:B,2,FALSE)</f>
        <v>262579</v>
      </c>
      <c r="I6286">
        <f t="shared" si="98"/>
        <v>2014</v>
      </c>
    </row>
    <row r="6287" spans="1:9">
      <c r="A6287" s="1">
        <v>10205</v>
      </c>
      <c r="B6287" s="1">
        <v>7</v>
      </c>
      <c r="C6287" s="2">
        <v>41895</v>
      </c>
      <c r="D6287" s="1" t="s">
        <v>2002</v>
      </c>
      <c r="E6287" s="1">
        <v>104789</v>
      </c>
      <c r="F6287" s="6" t="s">
        <v>8289</v>
      </c>
      <c r="G6287" s="15" t="str">
        <f>VLOOKUP(A6287,Movie!A:D,4,FALSE)</f>
        <v>Paramount</v>
      </c>
      <c r="H6287" s="14">
        <f>VLOOKUP(E6287,'Rental Transaction'!A:B,2,FALSE)</f>
        <v>105771</v>
      </c>
      <c r="I6287">
        <f t="shared" si="98"/>
        <v>2014</v>
      </c>
    </row>
    <row r="6288" spans="1:9">
      <c r="A6288" s="1">
        <v>10174</v>
      </c>
      <c r="B6288" s="1">
        <v>7</v>
      </c>
      <c r="C6288" s="2">
        <v>41895</v>
      </c>
      <c r="D6288" s="1" t="s">
        <v>2002</v>
      </c>
      <c r="E6288" s="1">
        <v>104789</v>
      </c>
      <c r="F6288" s="6" t="s">
        <v>8290</v>
      </c>
      <c r="G6288" s="15" t="str">
        <f>VLOOKUP(A6288,Movie!A:D,4,FALSE)</f>
        <v>Universal</v>
      </c>
      <c r="H6288" s="14">
        <f>VLOOKUP(E6288,'Rental Transaction'!A:B,2,FALSE)</f>
        <v>105771</v>
      </c>
      <c r="I6288">
        <f t="shared" si="98"/>
        <v>2014</v>
      </c>
    </row>
    <row r="6289" spans="1:9">
      <c r="A6289" s="1">
        <v>10245</v>
      </c>
      <c r="B6289" s="1">
        <v>3</v>
      </c>
      <c r="C6289" s="2">
        <v>41897</v>
      </c>
      <c r="D6289" s="1" t="s">
        <v>2002</v>
      </c>
      <c r="E6289" s="1">
        <v>104790</v>
      </c>
      <c r="F6289" s="6" t="s">
        <v>8291</v>
      </c>
      <c r="G6289" s="15" t="str">
        <f>VLOOKUP(A6289,Movie!A:D,4,FALSE)</f>
        <v>Warner Brothers</v>
      </c>
      <c r="H6289" s="14">
        <f>VLOOKUP(E6289,'Rental Transaction'!A:B,2,FALSE)</f>
        <v>601753</v>
      </c>
      <c r="I6289">
        <f t="shared" si="98"/>
        <v>2014</v>
      </c>
    </row>
    <row r="6290" spans="1:9">
      <c r="A6290" s="1">
        <v>10200</v>
      </c>
      <c r="B6290" s="1">
        <v>7</v>
      </c>
      <c r="C6290" s="2">
        <v>41897</v>
      </c>
      <c r="D6290" s="1" t="s">
        <v>2002</v>
      </c>
      <c r="E6290" s="1">
        <v>104791</v>
      </c>
      <c r="F6290" s="6" t="s">
        <v>8292</v>
      </c>
      <c r="G6290" s="15" t="str">
        <f>VLOOKUP(A6290,Movie!A:D,4,FALSE)</f>
        <v>Fox</v>
      </c>
      <c r="H6290" s="14">
        <f>VLOOKUP(E6290,'Rental Transaction'!A:B,2,FALSE)</f>
        <v>842028</v>
      </c>
      <c r="I6290">
        <f t="shared" si="98"/>
        <v>2014</v>
      </c>
    </row>
    <row r="6291" spans="1:9">
      <c r="A6291" s="1">
        <v>10216</v>
      </c>
      <c r="B6291" s="1">
        <v>8</v>
      </c>
      <c r="C6291" s="2">
        <v>41896</v>
      </c>
      <c r="D6291" s="1" t="s">
        <v>2002</v>
      </c>
      <c r="E6291" s="1">
        <v>104792</v>
      </c>
      <c r="F6291" s="6" t="s">
        <v>8293</v>
      </c>
      <c r="G6291" s="15" t="str">
        <f>VLOOKUP(A6291,Movie!A:D,4,FALSE)</f>
        <v>Sony</v>
      </c>
      <c r="H6291" s="14">
        <f>VLOOKUP(E6291,'Rental Transaction'!A:B,2,FALSE)</f>
        <v>611848</v>
      </c>
      <c r="I6291">
        <f t="shared" si="98"/>
        <v>2014</v>
      </c>
    </row>
    <row r="6292" spans="1:9">
      <c r="A6292" s="1">
        <v>10349</v>
      </c>
      <c r="B6292" s="1">
        <v>6</v>
      </c>
      <c r="C6292" s="2">
        <v>41896</v>
      </c>
      <c r="D6292" s="1" t="s">
        <v>2002</v>
      </c>
      <c r="E6292" s="1">
        <v>104793</v>
      </c>
      <c r="F6292" s="6" t="s">
        <v>8294</v>
      </c>
      <c r="G6292" s="15" t="str">
        <f>VLOOKUP(A6292,Movie!A:D,4,FALSE)</f>
        <v>Screen Gems</v>
      </c>
      <c r="H6292" s="14">
        <f>VLOOKUP(E6292,'Rental Transaction'!A:B,2,FALSE)</f>
        <v>277310</v>
      </c>
      <c r="I6292">
        <f t="shared" si="98"/>
        <v>2014</v>
      </c>
    </row>
    <row r="6293" spans="1:9">
      <c r="A6293" s="1">
        <v>10218</v>
      </c>
      <c r="B6293" s="1">
        <v>4</v>
      </c>
      <c r="C6293" s="2">
        <v>41898</v>
      </c>
      <c r="D6293" s="1" t="s">
        <v>2002</v>
      </c>
      <c r="E6293" s="1">
        <v>104793</v>
      </c>
      <c r="F6293" s="6" t="s">
        <v>8295</v>
      </c>
      <c r="G6293" s="15" t="str">
        <f>VLOOKUP(A6293,Movie!A:D,4,FALSE)</f>
        <v>Sony</v>
      </c>
      <c r="H6293" s="14">
        <f>VLOOKUP(E6293,'Rental Transaction'!A:B,2,FALSE)</f>
        <v>277310</v>
      </c>
      <c r="I6293">
        <f t="shared" si="98"/>
        <v>2014</v>
      </c>
    </row>
    <row r="6294" spans="1:9">
      <c r="A6294" s="1">
        <v>10185</v>
      </c>
      <c r="B6294" s="1">
        <v>3</v>
      </c>
      <c r="C6294" s="2">
        <v>41896</v>
      </c>
      <c r="D6294" s="1" t="s">
        <v>2005</v>
      </c>
      <c r="E6294" s="1">
        <v>104794</v>
      </c>
      <c r="F6294" s="6" t="s">
        <v>8296</v>
      </c>
      <c r="G6294" s="15" t="str">
        <f>VLOOKUP(A6294,Movie!A:D,4,FALSE)</f>
        <v>Warner Brothers</v>
      </c>
      <c r="H6294" s="14">
        <f>VLOOKUP(E6294,'Rental Transaction'!A:B,2,FALSE)</f>
        <v>690100</v>
      </c>
      <c r="I6294">
        <f t="shared" si="98"/>
        <v>2014</v>
      </c>
    </row>
    <row r="6295" spans="1:9">
      <c r="A6295" s="1">
        <v>10265</v>
      </c>
      <c r="B6295" s="1">
        <v>3</v>
      </c>
      <c r="C6295" s="2">
        <v>41897</v>
      </c>
      <c r="D6295" s="1" t="s">
        <v>2005</v>
      </c>
      <c r="E6295" s="1">
        <v>104795</v>
      </c>
      <c r="F6295" s="6" t="s">
        <v>8297</v>
      </c>
      <c r="G6295" s="15" t="str">
        <f>VLOOKUP(A6295,Movie!A:D,4,FALSE)</f>
        <v>Warner Brothers</v>
      </c>
      <c r="H6295" s="14">
        <f>VLOOKUP(E6295,'Rental Transaction'!A:B,2,FALSE)</f>
        <v>646700</v>
      </c>
      <c r="I6295">
        <f t="shared" si="98"/>
        <v>2014</v>
      </c>
    </row>
    <row r="6296" spans="1:9">
      <c r="A6296" s="1">
        <v>10055</v>
      </c>
      <c r="B6296" s="1">
        <v>9</v>
      </c>
      <c r="C6296" s="2">
        <v>41897</v>
      </c>
      <c r="D6296" s="1" t="s">
        <v>2002</v>
      </c>
      <c r="E6296" s="1">
        <v>104795</v>
      </c>
      <c r="F6296" s="6" t="s">
        <v>8298</v>
      </c>
      <c r="G6296" s="15" t="str">
        <f>VLOOKUP(A6296,Movie!A:D,4,FALSE)</f>
        <v>Sony Classics</v>
      </c>
      <c r="H6296" s="14">
        <f>VLOOKUP(E6296,'Rental Transaction'!A:B,2,FALSE)</f>
        <v>646700</v>
      </c>
      <c r="I6296">
        <f t="shared" si="98"/>
        <v>2014</v>
      </c>
    </row>
    <row r="6297" spans="1:9">
      <c r="A6297" s="1">
        <v>10009</v>
      </c>
      <c r="B6297" s="1">
        <v>10</v>
      </c>
      <c r="C6297" s="2">
        <v>41896</v>
      </c>
      <c r="D6297" s="1" t="s">
        <v>2005</v>
      </c>
      <c r="E6297" s="1">
        <v>104797</v>
      </c>
      <c r="F6297" s="6" t="s">
        <v>8299</v>
      </c>
      <c r="G6297" s="15" t="str">
        <f>VLOOKUP(A6297,Movie!A:D,4,FALSE)</f>
        <v>Warner Brothers</v>
      </c>
      <c r="H6297" s="14">
        <f>VLOOKUP(E6297,'Rental Transaction'!A:B,2,FALSE)</f>
        <v>657495</v>
      </c>
      <c r="I6297">
        <f t="shared" si="98"/>
        <v>2014</v>
      </c>
    </row>
    <row r="6298" spans="1:9">
      <c r="A6298" s="1">
        <v>10182</v>
      </c>
      <c r="B6298" s="1">
        <v>4</v>
      </c>
      <c r="C6298" s="2">
        <v>41898</v>
      </c>
      <c r="D6298" s="1" t="s">
        <v>2002</v>
      </c>
      <c r="E6298" s="1">
        <v>104797</v>
      </c>
      <c r="F6298" s="6" t="s">
        <v>8300</v>
      </c>
      <c r="G6298" s="15" t="str">
        <f>VLOOKUP(A6298,Movie!A:D,4,FALSE)</f>
        <v>Warner Brothers</v>
      </c>
      <c r="H6298" s="14">
        <f>VLOOKUP(E6298,'Rental Transaction'!A:B,2,FALSE)</f>
        <v>657495</v>
      </c>
      <c r="I6298">
        <f t="shared" si="98"/>
        <v>2014</v>
      </c>
    </row>
    <row r="6299" spans="1:9">
      <c r="A6299" s="1">
        <v>10274</v>
      </c>
      <c r="B6299" s="1">
        <v>8</v>
      </c>
      <c r="C6299" s="2">
        <v>41896</v>
      </c>
      <c r="D6299" s="1" t="s">
        <v>2002</v>
      </c>
      <c r="E6299" s="1">
        <v>104799</v>
      </c>
      <c r="F6299" s="6" t="s">
        <v>8301</v>
      </c>
      <c r="G6299" s="15" t="str">
        <f>VLOOKUP(A6299,Movie!A:D,4,FALSE)</f>
        <v>Fox</v>
      </c>
      <c r="H6299" s="14">
        <f>VLOOKUP(E6299,'Rental Transaction'!A:B,2,FALSE)</f>
        <v>606155</v>
      </c>
      <c r="I6299">
        <f t="shared" si="98"/>
        <v>2014</v>
      </c>
    </row>
    <row r="6300" spans="1:9">
      <c r="A6300" s="1">
        <v>10142</v>
      </c>
      <c r="B6300" s="1">
        <v>7</v>
      </c>
      <c r="C6300" s="2">
        <v>41898</v>
      </c>
      <c r="D6300" s="1" t="s">
        <v>2002</v>
      </c>
      <c r="E6300" s="1">
        <v>104800</v>
      </c>
      <c r="F6300" s="6" t="s">
        <v>8302</v>
      </c>
      <c r="G6300" s="15" t="str">
        <f>VLOOKUP(A6300,Movie!A:D,4,FALSE)</f>
        <v>Warner Brothers</v>
      </c>
      <c r="H6300" s="14">
        <f>VLOOKUP(E6300,'Rental Transaction'!A:B,2,FALSE)</f>
        <v>116934</v>
      </c>
      <c r="I6300">
        <f t="shared" si="98"/>
        <v>2014</v>
      </c>
    </row>
    <row r="6301" spans="1:9">
      <c r="A6301" s="1">
        <v>10215</v>
      </c>
      <c r="B6301" s="1">
        <v>9</v>
      </c>
      <c r="C6301" s="2">
        <v>41900</v>
      </c>
      <c r="D6301" s="1" t="s">
        <v>2002</v>
      </c>
      <c r="E6301" s="1">
        <v>104801</v>
      </c>
      <c r="F6301" s="6" t="s">
        <v>8303</v>
      </c>
      <c r="G6301" s="15" t="str">
        <f>VLOOKUP(A6301,Movie!A:D,4,FALSE)</f>
        <v>Paramount</v>
      </c>
      <c r="H6301" s="14">
        <f>VLOOKUP(E6301,'Rental Transaction'!A:B,2,FALSE)</f>
        <v>663029</v>
      </c>
      <c r="I6301">
        <f t="shared" si="98"/>
        <v>2014</v>
      </c>
    </row>
    <row r="6302" spans="1:9">
      <c r="A6302" s="1">
        <v>10182</v>
      </c>
      <c r="B6302" s="1">
        <v>10</v>
      </c>
      <c r="C6302" s="2">
        <v>41897</v>
      </c>
      <c r="D6302" s="1" t="s">
        <v>2002</v>
      </c>
      <c r="E6302" s="1">
        <v>104802</v>
      </c>
      <c r="F6302" s="6" t="s">
        <v>8304</v>
      </c>
      <c r="G6302" s="15" t="str">
        <f>VLOOKUP(A6302,Movie!A:D,4,FALSE)</f>
        <v>Warner Brothers</v>
      </c>
      <c r="H6302" s="14">
        <f>VLOOKUP(E6302,'Rental Transaction'!A:B,2,FALSE)</f>
        <v>132454</v>
      </c>
      <c r="I6302">
        <f t="shared" si="98"/>
        <v>2014</v>
      </c>
    </row>
    <row r="6303" spans="1:9">
      <c r="A6303" s="1">
        <v>10283</v>
      </c>
      <c r="B6303" s="1">
        <v>6</v>
      </c>
      <c r="C6303" s="2">
        <v>41897</v>
      </c>
      <c r="D6303" s="1" t="s">
        <v>2002</v>
      </c>
      <c r="E6303" s="1">
        <v>104803</v>
      </c>
      <c r="F6303" s="6" t="s">
        <v>8305</v>
      </c>
      <c r="G6303" s="15" t="str">
        <f>VLOOKUP(A6303,Movie!A:D,4,FALSE)</f>
        <v>TriStar</v>
      </c>
      <c r="H6303" s="14">
        <f>VLOOKUP(E6303,'Rental Transaction'!A:B,2,FALSE)</f>
        <v>301793</v>
      </c>
      <c r="I6303">
        <f t="shared" si="98"/>
        <v>2014</v>
      </c>
    </row>
    <row r="6304" spans="1:9">
      <c r="A6304" s="1">
        <v>10172</v>
      </c>
      <c r="B6304" s="1">
        <v>8</v>
      </c>
      <c r="C6304" s="2">
        <v>41897</v>
      </c>
      <c r="D6304" s="1" t="s">
        <v>2005</v>
      </c>
      <c r="E6304" s="1">
        <v>104805</v>
      </c>
      <c r="F6304" s="6" t="s">
        <v>8306</v>
      </c>
      <c r="G6304" s="15" t="str">
        <f>VLOOKUP(A6304,Movie!A:D,4,FALSE)</f>
        <v>Lionsgate</v>
      </c>
      <c r="H6304" s="14">
        <f>VLOOKUP(E6304,'Rental Transaction'!A:B,2,FALSE)</f>
        <v>235720</v>
      </c>
      <c r="I6304">
        <f t="shared" si="98"/>
        <v>2014</v>
      </c>
    </row>
    <row r="6305" spans="1:9">
      <c r="A6305" s="1">
        <v>10208</v>
      </c>
      <c r="B6305" s="1">
        <v>10</v>
      </c>
      <c r="C6305" s="2">
        <v>41899</v>
      </c>
      <c r="D6305" s="1" t="s">
        <v>2002</v>
      </c>
      <c r="E6305" s="1">
        <v>104807</v>
      </c>
      <c r="F6305" s="6" t="s">
        <v>8307</v>
      </c>
      <c r="G6305" s="15" t="str">
        <f>VLOOKUP(A6305,Movie!A:D,4,FALSE)</f>
        <v>Warner Brothers</v>
      </c>
      <c r="H6305" s="14">
        <f>VLOOKUP(E6305,'Rental Transaction'!A:B,2,FALSE)</f>
        <v>517477</v>
      </c>
      <c r="I6305">
        <f t="shared" si="98"/>
        <v>2014</v>
      </c>
    </row>
    <row r="6306" spans="1:9">
      <c r="A6306" s="1">
        <v>10349</v>
      </c>
      <c r="B6306" s="1">
        <v>7</v>
      </c>
      <c r="C6306" s="2">
        <v>41898</v>
      </c>
      <c r="D6306" s="1" t="s">
        <v>2002</v>
      </c>
      <c r="E6306" s="1">
        <v>104807</v>
      </c>
      <c r="F6306" s="6" t="s">
        <v>8308</v>
      </c>
      <c r="G6306" s="15" t="str">
        <f>VLOOKUP(A6306,Movie!A:D,4,FALSE)</f>
        <v>Screen Gems</v>
      </c>
      <c r="H6306" s="14">
        <f>VLOOKUP(E6306,'Rental Transaction'!A:B,2,FALSE)</f>
        <v>517477</v>
      </c>
      <c r="I6306">
        <f t="shared" si="98"/>
        <v>2014</v>
      </c>
    </row>
    <row r="6307" spans="1:9">
      <c r="A6307" s="1">
        <v>10210</v>
      </c>
      <c r="B6307" s="1">
        <v>1</v>
      </c>
      <c r="C6307" s="2">
        <v>41901</v>
      </c>
      <c r="D6307" s="1" t="s">
        <v>2005</v>
      </c>
      <c r="E6307" s="1">
        <v>104808</v>
      </c>
      <c r="F6307" s="6" t="s">
        <v>8309</v>
      </c>
      <c r="G6307" s="15" t="str">
        <f>VLOOKUP(A6307,Movie!A:D,4,FALSE)</f>
        <v>Sony</v>
      </c>
      <c r="H6307" s="14">
        <f>VLOOKUP(E6307,'Rental Transaction'!A:B,2,FALSE)</f>
        <v>270853</v>
      </c>
      <c r="I6307">
        <f t="shared" si="98"/>
        <v>2014</v>
      </c>
    </row>
    <row r="6308" spans="1:9" ht="29.25">
      <c r="A6308" s="1">
        <v>10249</v>
      </c>
      <c r="B6308" s="1">
        <v>8</v>
      </c>
      <c r="C6308" s="2">
        <v>41898</v>
      </c>
      <c r="D6308" s="1" t="s">
        <v>2002</v>
      </c>
      <c r="E6308" s="1">
        <v>104809</v>
      </c>
      <c r="F6308" s="6" t="s">
        <v>8310</v>
      </c>
      <c r="G6308" s="15" t="str">
        <f>VLOOKUP(A6308,Movie!A:D,4,FALSE)</f>
        <v>Summit Entertainment</v>
      </c>
      <c r="H6308" s="14">
        <f>VLOOKUP(E6308,'Rental Transaction'!A:B,2,FALSE)</f>
        <v>925565</v>
      </c>
      <c r="I6308">
        <f t="shared" si="98"/>
        <v>2014</v>
      </c>
    </row>
    <row r="6309" spans="1:9">
      <c r="A6309" s="1">
        <v>10232</v>
      </c>
      <c r="B6309" s="1">
        <v>7</v>
      </c>
      <c r="C6309" s="2">
        <v>41904</v>
      </c>
      <c r="D6309" s="1" t="s">
        <v>2002</v>
      </c>
      <c r="E6309" s="1">
        <v>104810</v>
      </c>
      <c r="F6309" s="6" t="s">
        <v>8311</v>
      </c>
      <c r="G6309" s="15" t="str">
        <f>VLOOKUP(A6309,Movie!A:D,4,FALSE)</f>
        <v>Paramount</v>
      </c>
      <c r="H6309" s="14">
        <f>VLOOKUP(E6309,'Rental Transaction'!A:B,2,FALSE)</f>
        <v>227372</v>
      </c>
      <c r="I6309">
        <f t="shared" si="98"/>
        <v>2014</v>
      </c>
    </row>
    <row r="6310" spans="1:9">
      <c r="A6310" s="1">
        <v>10198</v>
      </c>
      <c r="B6310" s="1">
        <v>7</v>
      </c>
      <c r="C6310" s="2">
        <v>41901</v>
      </c>
      <c r="D6310" s="1" t="s">
        <v>2002</v>
      </c>
      <c r="E6310" s="1">
        <v>104812</v>
      </c>
      <c r="F6310" s="6" t="s">
        <v>8312</v>
      </c>
      <c r="G6310" s="15" t="str">
        <f>VLOOKUP(A6310,Movie!A:D,4,FALSE)</f>
        <v>Fox</v>
      </c>
      <c r="H6310" s="14">
        <f>VLOOKUP(E6310,'Rental Transaction'!A:B,2,FALSE)</f>
        <v>703083</v>
      </c>
      <c r="I6310">
        <f t="shared" si="98"/>
        <v>2014</v>
      </c>
    </row>
    <row r="6311" spans="1:9">
      <c r="A6311" s="1">
        <v>10237</v>
      </c>
      <c r="B6311" s="1">
        <v>8</v>
      </c>
      <c r="C6311" s="2">
        <v>41898</v>
      </c>
      <c r="D6311" s="1" t="s">
        <v>2002</v>
      </c>
      <c r="E6311" s="1">
        <v>104813</v>
      </c>
      <c r="F6311" s="6" t="s">
        <v>8313</v>
      </c>
      <c r="G6311" s="15" t="str">
        <f>VLOOKUP(A6311,Movie!A:D,4,FALSE)</f>
        <v>Warner Brothers</v>
      </c>
      <c r="H6311" s="14">
        <f>VLOOKUP(E6311,'Rental Transaction'!A:B,2,FALSE)</f>
        <v>480298</v>
      </c>
      <c r="I6311">
        <f t="shared" si="98"/>
        <v>2014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B6620-C950-4A5F-A918-C7D07CCBE67E}">
  <dimension ref="A1:D308"/>
  <sheetViews>
    <sheetView workbookViewId="0">
      <selection activeCell="E6" sqref="E6"/>
    </sheetView>
  </sheetViews>
  <sheetFormatPr defaultRowHeight="15"/>
  <cols>
    <col min="1" max="1" width="10.7109375" bestFit="1" customWidth="1"/>
    <col min="2" max="2" width="28" customWidth="1"/>
    <col min="3" max="3" width="15.7109375" customWidth="1"/>
    <col min="4" max="4" width="22.28515625" customWidth="1"/>
  </cols>
  <sheetData>
    <row r="1" spans="1:4">
      <c r="A1" s="4" t="s">
        <v>1995</v>
      </c>
      <c r="B1" s="4" t="s">
        <v>8314</v>
      </c>
      <c r="C1" s="4" t="s">
        <v>2001</v>
      </c>
      <c r="D1" s="4" t="s">
        <v>2000</v>
      </c>
    </row>
    <row r="2" spans="1:4">
      <c r="A2" s="1">
        <v>10000</v>
      </c>
      <c r="B2" s="1" t="s">
        <v>8315</v>
      </c>
      <c r="C2" s="1">
        <v>2012</v>
      </c>
      <c r="D2" s="1" t="s">
        <v>8316</v>
      </c>
    </row>
    <row r="3" spans="1:4">
      <c r="A3" s="1">
        <v>10001</v>
      </c>
      <c r="B3" s="1" t="s">
        <v>8317</v>
      </c>
      <c r="C3" s="1">
        <v>2012</v>
      </c>
      <c r="D3" s="1" t="s">
        <v>8318</v>
      </c>
    </row>
    <row r="4" spans="1:4">
      <c r="A4" s="1">
        <v>10002</v>
      </c>
      <c r="B4" s="1" t="s">
        <v>8319</v>
      </c>
      <c r="C4" s="1">
        <v>2012</v>
      </c>
      <c r="D4" s="1" t="s">
        <v>8320</v>
      </c>
    </row>
    <row r="5" spans="1:4">
      <c r="A5" s="1">
        <v>10003</v>
      </c>
      <c r="B5" s="1" t="s">
        <v>8321</v>
      </c>
      <c r="C5" s="1">
        <v>2011</v>
      </c>
      <c r="D5" s="1" t="s">
        <v>8322</v>
      </c>
    </row>
    <row r="6" spans="1:4">
      <c r="A6" s="1">
        <v>10004</v>
      </c>
      <c r="B6" s="1" t="s">
        <v>8323</v>
      </c>
      <c r="C6" s="1">
        <v>2012</v>
      </c>
      <c r="D6" s="1" t="s">
        <v>8322</v>
      </c>
    </row>
    <row r="7" spans="1:4">
      <c r="A7" s="1">
        <v>10005</v>
      </c>
      <c r="B7" s="1" t="s">
        <v>8324</v>
      </c>
      <c r="C7" s="1">
        <v>2011</v>
      </c>
      <c r="D7" s="1" t="s">
        <v>8325</v>
      </c>
    </row>
    <row r="8" spans="1:4">
      <c r="A8" s="1">
        <v>10006</v>
      </c>
      <c r="B8" s="1" t="s">
        <v>8326</v>
      </c>
      <c r="C8" s="1">
        <v>2011</v>
      </c>
      <c r="D8" s="1" t="s">
        <v>8322</v>
      </c>
    </row>
    <row r="9" spans="1:4">
      <c r="A9" s="1">
        <v>10007</v>
      </c>
      <c r="B9" s="1" t="s">
        <v>8327</v>
      </c>
      <c r="C9" s="1">
        <v>2011</v>
      </c>
      <c r="D9" s="1" t="s">
        <v>8328</v>
      </c>
    </row>
    <row r="10" spans="1:4">
      <c r="A10" s="1">
        <v>10008</v>
      </c>
      <c r="B10" s="1" t="s">
        <v>8329</v>
      </c>
      <c r="C10" s="1">
        <v>2011</v>
      </c>
      <c r="D10" s="1" t="s">
        <v>8328</v>
      </c>
    </row>
    <row r="11" spans="1:4">
      <c r="A11" s="1">
        <v>10009</v>
      </c>
      <c r="B11" s="1" t="s">
        <v>8330</v>
      </c>
      <c r="C11" s="1">
        <v>2011</v>
      </c>
      <c r="D11" s="1" t="s">
        <v>8331</v>
      </c>
    </row>
    <row r="12" spans="1:4">
      <c r="A12" s="1">
        <v>10010</v>
      </c>
      <c r="B12" s="1" t="s">
        <v>8332</v>
      </c>
      <c r="C12" s="1">
        <v>2012</v>
      </c>
      <c r="D12" s="1" t="s">
        <v>8325</v>
      </c>
    </row>
    <row r="13" spans="1:4">
      <c r="A13" s="1">
        <v>10011</v>
      </c>
      <c r="B13" s="1" t="s">
        <v>8333</v>
      </c>
      <c r="C13" s="1">
        <v>2012</v>
      </c>
      <c r="D13" s="1" t="s">
        <v>8325</v>
      </c>
    </row>
    <row r="14" spans="1:4">
      <c r="A14" s="1">
        <v>10012</v>
      </c>
      <c r="B14" s="1" t="s">
        <v>8334</v>
      </c>
      <c r="C14" s="1">
        <v>2012</v>
      </c>
      <c r="D14" s="1" t="s">
        <v>8325</v>
      </c>
    </row>
    <row r="15" spans="1:4">
      <c r="A15" s="1">
        <v>10013</v>
      </c>
      <c r="B15" s="1" t="s">
        <v>8335</v>
      </c>
      <c r="C15" s="1">
        <v>2012</v>
      </c>
      <c r="D15" s="1" t="s">
        <v>8336</v>
      </c>
    </row>
    <row r="16" spans="1:4">
      <c r="A16" s="1">
        <v>10014</v>
      </c>
      <c r="B16" s="1" t="s">
        <v>8337</v>
      </c>
      <c r="C16" s="1">
        <v>2011</v>
      </c>
      <c r="D16" s="1" t="s">
        <v>8331</v>
      </c>
    </row>
    <row r="17" spans="1:4">
      <c r="A17" s="1">
        <v>10015</v>
      </c>
      <c r="B17" s="1" t="s">
        <v>8338</v>
      </c>
      <c r="C17" s="1">
        <v>2011</v>
      </c>
      <c r="D17" s="1" t="s">
        <v>8316</v>
      </c>
    </row>
    <row r="18" spans="1:4">
      <c r="A18" s="1">
        <v>10016</v>
      </c>
      <c r="B18" s="1" t="s">
        <v>8339</v>
      </c>
      <c r="C18" s="1">
        <v>2011</v>
      </c>
      <c r="D18" s="1" t="s">
        <v>8340</v>
      </c>
    </row>
    <row r="19" spans="1:4">
      <c r="A19" s="1">
        <v>10017</v>
      </c>
      <c r="B19" s="1" t="s">
        <v>8341</v>
      </c>
      <c r="C19" s="1">
        <v>2011</v>
      </c>
      <c r="D19" s="1" t="s">
        <v>8328</v>
      </c>
    </row>
    <row r="20" spans="1:4">
      <c r="A20" s="1">
        <v>10018</v>
      </c>
      <c r="B20" s="1" t="s">
        <v>8342</v>
      </c>
      <c r="C20" s="1">
        <v>2011</v>
      </c>
      <c r="D20" s="1" t="s">
        <v>550</v>
      </c>
    </row>
    <row r="21" spans="1:4">
      <c r="A21" s="1">
        <v>10019</v>
      </c>
      <c r="B21" s="1" t="s">
        <v>8343</v>
      </c>
      <c r="C21" s="1">
        <v>2012</v>
      </c>
      <c r="D21" s="1" t="s">
        <v>550</v>
      </c>
    </row>
    <row r="22" spans="1:4">
      <c r="A22" s="1">
        <v>10020</v>
      </c>
      <c r="B22" s="1" t="s">
        <v>8344</v>
      </c>
      <c r="C22" s="1">
        <v>2011</v>
      </c>
      <c r="D22" s="1" t="s">
        <v>8345</v>
      </c>
    </row>
    <row r="23" spans="1:4">
      <c r="A23" s="1">
        <v>10021</v>
      </c>
      <c r="B23" s="1" t="s">
        <v>8346</v>
      </c>
      <c r="C23" s="1">
        <v>2012</v>
      </c>
      <c r="D23" s="1" t="s">
        <v>8322</v>
      </c>
    </row>
    <row r="24" spans="1:4">
      <c r="A24" s="1">
        <v>10022</v>
      </c>
      <c r="B24" s="1" t="s">
        <v>8347</v>
      </c>
      <c r="C24" s="1">
        <v>2012</v>
      </c>
      <c r="D24" s="1" t="s">
        <v>8340</v>
      </c>
    </row>
    <row r="25" spans="1:4">
      <c r="A25" s="1">
        <v>10023</v>
      </c>
      <c r="B25" s="1" t="s">
        <v>8348</v>
      </c>
      <c r="C25" s="1">
        <v>2011</v>
      </c>
      <c r="D25" s="1" t="s">
        <v>8325</v>
      </c>
    </row>
    <row r="26" spans="1:4">
      <c r="A26" s="1">
        <v>10024</v>
      </c>
      <c r="B26" s="1" t="s">
        <v>8349</v>
      </c>
      <c r="C26" s="1">
        <v>2011</v>
      </c>
      <c r="D26" s="1" t="s">
        <v>550</v>
      </c>
    </row>
    <row r="27" spans="1:4">
      <c r="A27" s="1">
        <v>10025</v>
      </c>
      <c r="B27" s="1" t="s">
        <v>8350</v>
      </c>
      <c r="C27" s="1">
        <v>2012</v>
      </c>
      <c r="D27" s="1" t="s">
        <v>8328</v>
      </c>
    </row>
    <row r="28" spans="1:4">
      <c r="A28" s="1">
        <v>10026</v>
      </c>
      <c r="B28" s="1" t="s">
        <v>8351</v>
      </c>
      <c r="C28" s="1">
        <v>2012</v>
      </c>
      <c r="D28" s="1" t="s">
        <v>550</v>
      </c>
    </row>
    <row r="29" spans="1:4">
      <c r="A29" s="1">
        <v>10027</v>
      </c>
      <c r="B29" s="1" t="s">
        <v>8352</v>
      </c>
      <c r="C29" s="1">
        <v>2012</v>
      </c>
      <c r="D29" s="1" t="s">
        <v>8345</v>
      </c>
    </row>
    <row r="30" spans="1:4">
      <c r="A30" s="1">
        <v>10028</v>
      </c>
      <c r="B30" s="1" t="s">
        <v>8353</v>
      </c>
      <c r="C30" s="1">
        <v>2011</v>
      </c>
      <c r="D30" s="1" t="s">
        <v>8354</v>
      </c>
    </row>
    <row r="31" spans="1:4">
      <c r="A31" s="1">
        <v>10029</v>
      </c>
      <c r="B31" s="1" t="s">
        <v>8355</v>
      </c>
      <c r="C31" s="1">
        <v>2011</v>
      </c>
      <c r="D31" s="1" t="s">
        <v>8356</v>
      </c>
    </row>
    <row r="32" spans="1:4">
      <c r="A32" s="1">
        <v>10030</v>
      </c>
      <c r="B32" s="1" t="s">
        <v>8357</v>
      </c>
      <c r="C32" s="1">
        <v>2011</v>
      </c>
      <c r="D32" s="1" t="s">
        <v>8331</v>
      </c>
    </row>
    <row r="33" spans="1:4">
      <c r="A33" s="1">
        <v>10031</v>
      </c>
      <c r="B33" s="1" t="s">
        <v>8358</v>
      </c>
      <c r="C33" s="1">
        <v>2011</v>
      </c>
      <c r="D33" s="1" t="s">
        <v>8331</v>
      </c>
    </row>
    <row r="34" spans="1:4">
      <c r="A34" s="1">
        <v>10032</v>
      </c>
      <c r="B34" s="1" t="s">
        <v>8359</v>
      </c>
      <c r="C34" s="1">
        <v>2011</v>
      </c>
      <c r="D34" s="1" t="s">
        <v>8328</v>
      </c>
    </row>
    <row r="35" spans="1:4">
      <c r="A35" s="1">
        <v>10033</v>
      </c>
      <c r="B35" s="1" t="s">
        <v>8360</v>
      </c>
      <c r="C35" s="1">
        <v>2013</v>
      </c>
      <c r="D35" s="1" t="s">
        <v>8320</v>
      </c>
    </row>
    <row r="36" spans="1:4">
      <c r="A36" s="1">
        <v>10034</v>
      </c>
      <c r="B36" s="1" t="s">
        <v>8361</v>
      </c>
      <c r="C36" s="1">
        <v>2013</v>
      </c>
      <c r="D36" s="1" t="s">
        <v>8320</v>
      </c>
    </row>
    <row r="37" spans="1:4">
      <c r="A37" s="1">
        <v>10035</v>
      </c>
      <c r="B37" s="1" t="s">
        <v>8362</v>
      </c>
      <c r="C37" s="1">
        <v>2012</v>
      </c>
      <c r="D37" s="1" t="s">
        <v>8328</v>
      </c>
    </row>
    <row r="38" spans="1:4">
      <c r="A38" s="1">
        <v>10036</v>
      </c>
      <c r="B38" s="1" t="s">
        <v>8363</v>
      </c>
      <c r="C38" s="1">
        <v>2012</v>
      </c>
      <c r="D38" s="1" t="s">
        <v>8340</v>
      </c>
    </row>
    <row r="39" spans="1:4">
      <c r="A39" s="1">
        <v>10037</v>
      </c>
      <c r="B39" s="1" t="s">
        <v>8364</v>
      </c>
      <c r="C39" s="1">
        <v>2012</v>
      </c>
      <c r="D39" s="1" t="s">
        <v>8325</v>
      </c>
    </row>
    <row r="40" spans="1:4">
      <c r="A40" s="1">
        <v>10038</v>
      </c>
      <c r="B40" s="1" t="s">
        <v>8365</v>
      </c>
      <c r="C40" s="1">
        <v>2011</v>
      </c>
      <c r="D40" s="1" t="s">
        <v>8322</v>
      </c>
    </row>
    <row r="41" spans="1:4">
      <c r="A41" s="1">
        <v>10039</v>
      </c>
      <c r="B41" s="1" t="s">
        <v>8366</v>
      </c>
      <c r="C41" s="1">
        <v>2013</v>
      </c>
      <c r="D41" s="1" t="s">
        <v>8336</v>
      </c>
    </row>
    <row r="42" spans="1:4">
      <c r="A42" s="1">
        <v>10040</v>
      </c>
      <c r="B42" s="1" t="s">
        <v>8367</v>
      </c>
      <c r="C42" s="1">
        <v>2011</v>
      </c>
      <c r="D42" s="1" t="s">
        <v>8340</v>
      </c>
    </row>
    <row r="43" spans="1:4">
      <c r="A43" s="1">
        <v>10041</v>
      </c>
      <c r="B43" s="1" t="s">
        <v>8368</v>
      </c>
      <c r="C43" s="1">
        <v>2012</v>
      </c>
      <c r="D43" s="1" t="s">
        <v>8320</v>
      </c>
    </row>
    <row r="44" spans="1:4">
      <c r="A44" s="1">
        <v>10042</v>
      </c>
      <c r="B44" s="1" t="s">
        <v>8369</v>
      </c>
      <c r="C44" s="1">
        <v>2012</v>
      </c>
      <c r="D44" s="1" t="s">
        <v>8322</v>
      </c>
    </row>
    <row r="45" spans="1:4">
      <c r="A45" s="1">
        <v>10043</v>
      </c>
      <c r="B45" s="1" t="s">
        <v>8370</v>
      </c>
      <c r="C45" s="1">
        <v>2012</v>
      </c>
      <c r="D45" s="1" t="s">
        <v>8371</v>
      </c>
    </row>
    <row r="46" spans="1:4">
      <c r="A46" s="1">
        <v>10044</v>
      </c>
      <c r="B46" s="1" t="s">
        <v>8372</v>
      </c>
      <c r="C46" s="1">
        <v>2011</v>
      </c>
      <c r="D46" s="1" t="s">
        <v>8325</v>
      </c>
    </row>
    <row r="47" spans="1:4">
      <c r="A47" s="1">
        <v>10045</v>
      </c>
      <c r="B47" s="1" t="s">
        <v>8373</v>
      </c>
      <c r="C47" s="1">
        <v>2011</v>
      </c>
      <c r="D47" s="1" t="s">
        <v>8331</v>
      </c>
    </row>
    <row r="48" spans="1:4">
      <c r="A48" s="1">
        <v>10046</v>
      </c>
      <c r="B48" s="1" t="s">
        <v>8374</v>
      </c>
      <c r="C48" s="1">
        <v>2012</v>
      </c>
      <c r="D48" s="1" t="s">
        <v>8328</v>
      </c>
    </row>
    <row r="49" spans="1:4">
      <c r="A49" s="1">
        <v>10047</v>
      </c>
      <c r="B49" s="1" t="s">
        <v>8375</v>
      </c>
      <c r="C49" s="1">
        <v>2013</v>
      </c>
      <c r="D49" s="1" t="s">
        <v>8331</v>
      </c>
    </row>
    <row r="50" spans="1:4">
      <c r="A50" s="1">
        <v>10048</v>
      </c>
      <c r="B50" s="1" t="s">
        <v>8376</v>
      </c>
      <c r="C50" s="1">
        <v>2013</v>
      </c>
      <c r="D50" s="1" t="s">
        <v>8356</v>
      </c>
    </row>
    <row r="51" spans="1:4">
      <c r="A51" s="1">
        <v>10049</v>
      </c>
      <c r="B51" s="1" t="s">
        <v>8377</v>
      </c>
      <c r="C51" s="1">
        <v>2012</v>
      </c>
      <c r="D51" s="1" t="s">
        <v>8340</v>
      </c>
    </row>
    <row r="52" spans="1:4">
      <c r="A52" s="1">
        <v>10050</v>
      </c>
      <c r="B52" s="1" t="s">
        <v>8378</v>
      </c>
      <c r="C52" s="1">
        <v>2012</v>
      </c>
      <c r="D52" s="1" t="s">
        <v>8322</v>
      </c>
    </row>
    <row r="53" spans="1:4">
      <c r="A53" s="1">
        <v>10051</v>
      </c>
      <c r="B53" s="1" t="s">
        <v>8379</v>
      </c>
      <c r="C53" s="1">
        <v>2012</v>
      </c>
      <c r="D53" s="1" t="s">
        <v>8322</v>
      </c>
    </row>
    <row r="54" spans="1:4">
      <c r="A54" s="1">
        <v>10052</v>
      </c>
      <c r="B54" s="1" t="s">
        <v>8380</v>
      </c>
      <c r="C54" s="1">
        <v>2012</v>
      </c>
      <c r="D54" s="1" t="s">
        <v>8331</v>
      </c>
    </row>
    <row r="55" spans="1:4">
      <c r="A55" s="1">
        <v>10053</v>
      </c>
      <c r="B55" s="1" t="s">
        <v>8381</v>
      </c>
      <c r="C55" s="1">
        <v>2011</v>
      </c>
      <c r="D55" s="1" t="s">
        <v>8328</v>
      </c>
    </row>
    <row r="56" spans="1:4">
      <c r="A56" s="1">
        <v>10054</v>
      </c>
      <c r="B56" s="1" t="s">
        <v>8382</v>
      </c>
      <c r="C56" s="1">
        <v>2011</v>
      </c>
      <c r="D56" s="1" t="s">
        <v>8322</v>
      </c>
    </row>
    <row r="57" spans="1:4">
      <c r="A57" s="1">
        <v>10055</v>
      </c>
      <c r="B57" s="1" t="s">
        <v>8383</v>
      </c>
      <c r="C57" s="1">
        <v>2011</v>
      </c>
      <c r="D57" s="1" t="s">
        <v>8384</v>
      </c>
    </row>
    <row r="58" spans="1:4">
      <c r="A58" s="1">
        <v>10056</v>
      </c>
      <c r="B58" s="1" t="s">
        <v>8385</v>
      </c>
      <c r="C58" s="1">
        <v>2011</v>
      </c>
      <c r="D58" s="1" t="s">
        <v>8371</v>
      </c>
    </row>
    <row r="59" spans="1:4">
      <c r="A59" s="1">
        <v>10057</v>
      </c>
      <c r="B59" s="1" t="s">
        <v>8386</v>
      </c>
      <c r="C59" s="1">
        <v>2011</v>
      </c>
      <c r="D59" s="1" t="s">
        <v>8331</v>
      </c>
    </row>
    <row r="60" spans="1:4">
      <c r="A60" s="1">
        <v>10058</v>
      </c>
      <c r="B60" s="1" t="s">
        <v>8387</v>
      </c>
      <c r="C60" s="1">
        <v>2012</v>
      </c>
      <c r="D60" s="1" t="s">
        <v>8328</v>
      </c>
    </row>
    <row r="61" spans="1:4">
      <c r="A61" s="1">
        <v>10059</v>
      </c>
      <c r="B61" s="1" t="s">
        <v>8388</v>
      </c>
      <c r="C61" s="1">
        <v>2013</v>
      </c>
      <c r="D61" s="1" t="s">
        <v>8340</v>
      </c>
    </row>
    <row r="62" spans="1:4">
      <c r="A62" s="1">
        <v>10060</v>
      </c>
      <c r="B62" s="1" t="s">
        <v>8389</v>
      </c>
      <c r="C62" s="1">
        <v>2013</v>
      </c>
      <c r="D62" s="1" t="s">
        <v>8331</v>
      </c>
    </row>
    <row r="63" spans="1:4">
      <c r="A63" s="1">
        <v>10061</v>
      </c>
      <c r="B63" s="1" t="s">
        <v>8390</v>
      </c>
      <c r="C63" s="1">
        <v>2013</v>
      </c>
      <c r="D63" s="1" t="s">
        <v>550</v>
      </c>
    </row>
    <row r="64" spans="1:4">
      <c r="A64" s="1">
        <v>10062</v>
      </c>
      <c r="B64" s="1" t="s">
        <v>1871</v>
      </c>
      <c r="C64" s="1">
        <v>2013</v>
      </c>
      <c r="D64" s="1" t="s">
        <v>8345</v>
      </c>
    </row>
    <row r="65" spans="1:4">
      <c r="A65" s="1">
        <v>10063</v>
      </c>
      <c r="B65" s="1" t="s">
        <v>8391</v>
      </c>
      <c r="C65" s="1">
        <v>2013</v>
      </c>
      <c r="D65" s="1" t="s">
        <v>8392</v>
      </c>
    </row>
    <row r="66" spans="1:4">
      <c r="A66" s="1">
        <v>10064</v>
      </c>
      <c r="B66" s="1" t="s">
        <v>8393</v>
      </c>
      <c r="C66" s="1">
        <v>2012</v>
      </c>
      <c r="D66" s="1" t="s">
        <v>8340</v>
      </c>
    </row>
    <row r="67" spans="1:4">
      <c r="A67" s="1">
        <v>10065</v>
      </c>
      <c r="B67" s="1" t="s">
        <v>8394</v>
      </c>
      <c r="C67" s="1">
        <v>2011</v>
      </c>
      <c r="D67" s="1" t="s">
        <v>8331</v>
      </c>
    </row>
    <row r="68" spans="1:4">
      <c r="A68" s="1">
        <v>10066</v>
      </c>
      <c r="B68" s="1" t="s">
        <v>8395</v>
      </c>
      <c r="C68" s="1">
        <v>2011</v>
      </c>
      <c r="D68" s="1" t="s">
        <v>8325</v>
      </c>
    </row>
    <row r="69" spans="1:4">
      <c r="A69" s="1">
        <v>10067</v>
      </c>
      <c r="B69" s="1" t="s">
        <v>8396</v>
      </c>
      <c r="C69" s="1">
        <v>2011</v>
      </c>
      <c r="D69" s="1" t="s">
        <v>8322</v>
      </c>
    </row>
    <row r="70" spans="1:4">
      <c r="A70" s="1">
        <v>10068</v>
      </c>
      <c r="B70" s="1" t="s">
        <v>8397</v>
      </c>
      <c r="C70" s="1">
        <v>2011</v>
      </c>
      <c r="D70" s="1" t="s">
        <v>8331</v>
      </c>
    </row>
    <row r="71" spans="1:4">
      <c r="A71" s="1">
        <v>10069</v>
      </c>
      <c r="B71" s="1" t="s">
        <v>8398</v>
      </c>
      <c r="C71" s="1">
        <v>2013</v>
      </c>
      <c r="D71" s="1" t="s">
        <v>8331</v>
      </c>
    </row>
    <row r="72" spans="1:4">
      <c r="A72" s="1">
        <v>10070</v>
      </c>
      <c r="B72" s="1" t="s">
        <v>8399</v>
      </c>
      <c r="C72" s="1">
        <v>2012</v>
      </c>
      <c r="D72" s="1" t="s">
        <v>8322</v>
      </c>
    </row>
    <row r="73" spans="1:4">
      <c r="A73" s="1">
        <v>10071</v>
      </c>
      <c r="B73" s="1" t="s">
        <v>8400</v>
      </c>
      <c r="C73" s="1">
        <v>2011</v>
      </c>
      <c r="D73" s="1" t="s">
        <v>8322</v>
      </c>
    </row>
    <row r="74" spans="1:4">
      <c r="A74" s="1">
        <v>10072</v>
      </c>
      <c r="B74" s="1" t="s">
        <v>8401</v>
      </c>
      <c r="C74" s="1">
        <v>2011</v>
      </c>
      <c r="D74" s="1" t="s">
        <v>8322</v>
      </c>
    </row>
    <row r="75" spans="1:4">
      <c r="A75" s="1">
        <v>10073</v>
      </c>
      <c r="B75" s="1" t="s">
        <v>8402</v>
      </c>
      <c r="C75" s="1">
        <v>2013</v>
      </c>
      <c r="D75" s="1" t="s">
        <v>8345</v>
      </c>
    </row>
    <row r="76" spans="1:4">
      <c r="A76" s="1">
        <v>10074</v>
      </c>
      <c r="B76" s="1" t="s">
        <v>8403</v>
      </c>
      <c r="C76" s="1">
        <v>2012</v>
      </c>
      <c r="D76" s="1" t="s">
        <v>8336</v>
      </c>
    </row>
    <row r="77" spans="1:4">
      <c r="A77" s="1">
        <v>10075</v>
      </c>
      <c r="B77" s="1" t="s">
        <v>8404</v>
      </c>
      <c r="C77" s="1">
        <v>2011</v>
      </c>
      <c r="D77" s="1" t="s">
        <v>8405</v>
      </c>
    </row>
    <row r="78" spans="1:4">
      <c r="A78" s="1">
        <v>10076</v>
      </c>
      <c r="B78" s="1" t="s">
        <v>8406</v>
      </c>
      <c r="C78" s="1">
        <v>2011</v>
      </c>
      <c r="D78" s="1" t="s">
        <v>8328</v>
      </c>
    </row>
    <row r="79" spans="1:4">
      <c r="A79" s="1">
        <v>10077</v>
      </c>
      <c r="B79" s="1" t="s">
        <v>8407</v>
      </c>
      <c r="C79" s="1">
        <v>2012</v>
      </c>
      <c r="D79" s="1" t="s">
        <v>8331</v>
      </c>
    </row>
    <row r="80" spans="1:4">
      <c r="A80" s="1">
        <v>10078</v>
      </c>
      <c r="B80" s="1" t="s">
        <v>8408</v>
      </c>
      <c r="C80" s="1">
        <v>2013</v>
      </c>
      <c r="D80" s="1" t="s">
        <v>8322</v>
      </c>
    </row>
    <row r="81" spans="1:4">
      <c r="A81" s="1">
        <v>10079</v>
      </c>
      <c r="B81" s="1" t="s">
        <v>8409</v>
      </c>
      <c r="C81" s="1">
        <v>2012</v>
      </c>
      <c r="D81" s="1" t="s">
        <v>8331</v>
      </c>
    </row>
    <row r="82" spans="1:4">
      <c r="A82" s="1">
        <v>10080</v>
      </c>
      <c r="B82" s="1" t="s">
        <v>298</v>
      </c>
      <c r="C82" s="1">
        <v>2012</v>
      </c>
      <c r="D82" s="1" t="s">
        <v>8325</v>
      </c>
    </row>
    <row r="83" spans="1:4">
      <c r="A83" s="1">
        <v>10081</v>
      </c>
      <c r="B83" s="1" t="s">
        <v>8410</v>
      </c>
      <c r="C83" s="1">
        <v>2011</v>
      </c>
      <c r="D83" s="1" t="s">
        <v>8411</v>
      </c>
    </row>
    <row r="84" spans="1:4">
      <c r="A84" s="1">
        <v>10082</v>
      </c>
      <c r="B84" s="1" t="s">
        <v>8412</v>
      </c>
      <c r="C84" s="1">
        <v>2012</v>
      </c>
      <c r="D84" s="1" t="s">
        <v>8325</v>
      </c>
    </row>
    <row r="85" spans="1:4">
      <c r="A85" s="1">
        <v>10083</v>
      </c>
      <c r="B85" s="1" t="s">
        <v>8413</v>
      </c>
      <c r="C85" s="1">
        <v>2012</v>
      </c>
      <c r="D85" s="1" t="s">
        <v>8325</v>
      </c>
    </row>
    <row r="86" spans="1:4">
      <c r="A86" s="1">
        <v>10084</v>
      </c>
      <c r="B86" s="1" t="s">
        <v>8414</v>
      </c>
      <c r="C86" s="1">
        <v>2012</v>
      </c>
      <c r="D86" s="1" t="s">
        <v>8392</v>
      </c>
    </row>
    <row r="87" spans="1:4">
      <c r="A87" s="1">
        <v>10085</v>
      </c>
      <c r="B87" s="1" t="s">
        <v>8415</v>
      </c>
      <c r="C87" s="1">
        <v>2012</v>
      </c>
      <c r="D87" s="1" t="s">
        <v>8325</v>
      </c>
    </row>
    <row r="88" spans="1:4">
      <c r="A88" s="1">
        <v>10086</v>
      </c>
      <c r="B88" s="1" t="s">
        <v>8416</v>
      </c>
      <c r="C88" s="1">
        <v>2011</v>
      </c>
      <c r="D88" s="1" t="s">
        <v>8325</v>
      </c>
    </row>
    <row r="89" spans="1:4">
      <c r="A89" s="1">
        <v>10087</v>
      </c>
      <c r="B89" s="1" t="s">
        <v>8417</v>
      </c>
      <c r="C89" s="1">
        <v>2013</v>
      </c>
      <c r="D89" s="1" t="s">
        <v>8320</v>
      </c>
    </row>
    <row r="90" spans="1:4">
      <c r="A90" s="1">
        <v>10088</v>
      </c>
      <c r="B90" s="1" t="s">
        <v>8418</v>
      </c>
      <c r="C90" s="1">
        <v>2013</v>
      </c>
      <c r="D90" s="1" t="s">
        <v>8331</v>
      </c>
    </row>
    <row r="91" spans="1:4">
      <c r="A91" s="1">
        <v>10089</v>
      </c>
      <c r="B91" s="1" t="s">
        <v>8419</v>
      </c>
      <c r="C91" s="1">
        <v>2012</v>
      </c>
      <c r="D91" s="1" t="s">
        <v>8328</v>
      </c>
    </row>
    <row r="92" spans="1:4">
      <c r="A92" s="1">
        <v>10090</v>
      </c>
      <c r="B92" s="1" t="s">
        <v>8420</v>
      </c>
      <c r="C92" s="1">
        <v>2011</v>
      </c>
      <c r="D92" s="1" t="s">
        <v>8322</v>
      </c>
    </row>
    <row r="93" spans="1:4">
      <c r="A93" s="1">
        <v>10091</v>
      </c>
      <c r="B93" s="1" t="s">
        <v>8421</v>
      </c>
      <c r="C93" s="1">
        <v>2011</v>
      </c>
      <c r="D93" s="1" t="s">
        <v>8331</v>
      </c>
    </row>
    <row r="94" spans="1:4">
      <c r="A94" s="1">
        <v>10092</v>
      </c>
      <c r="B94" s="1" t="s">
        <v>8422</v>
      </c>
      <c r="C94" s="1">
        <v>2011</v>
      </c>
      <c r="D94" s="1" t="s">
        <v>8331</v>
      </c>
    </row>
    <row r="95" spans="1:4">
      <c r="A95" s="1">
        <v>10093</v>
      </c>
      <c r="B95" s="1" t="s">
        <v>8423</v>
      </c>
      <c r="C95" s="1">
        <v>2013</v>
      </c>
      <c r="D95" s="1" t="s">
        <v>8336</v>
      </c>
    </row>
    <row r="96" spans="1:4">
      <c r="A96" s="1">
        <v>10094</v>
      </c>
      <c r="B96" s="1" t="s">
        <v>8424</v>
      </c>
      <c r="C96" s="1">
        <v>2013</v>
      </c>
      <c r="D96" s="1" t="s">
        <v>8356</v>
      </c>
    </row>
    <row r="97" spans="1:4">
      <c r="A97" s="1">
        <v>10095</v>
      </c>
      <c r="B97" s="1" t="s">
        <v>8425</v>
      </c>
      <c r="C97" s="1">
        <v>2012</v>
      </c>
      <c r="D97" s="1" t="s">
        <v>8411</v>
      </c>
    </row>
    <row r="98" spans="1:4">
      <c r="A98" s="1">
        <v>10096</v>
      </c>
      <c r="B98" s="1" t="s">
        <v>8426</v>
      </c>
      <c r="C98" s="1">
        <v>2012</v>
      </c>
      <c r="D98" s="1" t="s">
        <v>8340</v>
      </c>
    </row>
    <row r="99" spans="1:4">
      <c r="A99" s="1">
        <v>10097</v>
      </c>
      <c r="B99" s="1" t="s">
        <v>8427</v>
      </c>
      <c r="C99" s="1">
        <v>2012</v>
      </c>
      <c r="D99" s="1" t="s">
        <v>8371</v>
      </c>
    </row>
    <row r="100" spans="1:4">
      <c r="A100" s="1">
        <v>10098</v>
      </c>
      <c r="B100" s="1" t="s">
        <v>8428</v>
      </c>
      <c r="C100" s="1">
        <v>2012</v>
      </c>
      <c r="D100" s="1" t="s">
        <v>8331</v>
      </c>
    </row>
    <row r="101" spans="1:4">
      <c r="A101" s="1">
        <v>10099</v>
      </c>
      <c r="B101" s="1" t="s">
        <v>8429</v>
      </c>
      <c r="C101" s="1">
        <v>2012</v>
      </c>
      <c r="D101" s="1" t="s">
        <v>8320</v>
      </c>
    </row>
    <row r="102" spans="1:4">
      <c r="A102" s="1">
        <v>10100</v>
      </c>
      <c r="B102" s="1" t="s">
        <v>8430</v>
      </c>
      <c r="C102" s="1">
        <v>2011</v>
      </c>
      <c r="D102" s="1" t="s">
        <v>550</v>
      </c>
    </row>
    <row r="103" spans="1:4">
      <c r="A103" s="1">
        <v>10101</v>
      </c>
      <c r="B103" s="1" t="s">
        <v>8431</v>
      </c>
      <c r="C103" s="1">
        <v>2011</v>
      </c>
      <c r="D103" s="1" t="s">
        <v>8328</v>
      </c>
    </row>
    <row r="104" spans="1:4">
      <c r="A104" s="1">
        <v>10102</v>
      </c>
      <c r="B104" s="1" t="s">
        <v>8432</v>
      </c>
      <c r="C104" s="1">
        <v>2011</v>
      </c>
      <c r="D104" s="1" t="s">
        <v>8340</v>
      </c>
    </row>
    <row r="105" spans="1:4">
      <c r="A105" s="1">
        <v>10103</v>
      </c>
      <c r="B105" s="1" t="s">
        <v>8433</v>
      </c>
      <c r="C105" s="1">
        <v>2013</v>
      </c>
      <c r="D105" s="1" t="s">
        <v>550</v>
      </c>
    </row>
    <row r="106" spans="1:4">
      <c r="A106" s="1">
        <v>10104</v>
      </c>
      <c r="B106" s="1" t="s">
        <v>8434</v>
      </c>
      <c r="C106" s="1">
        <v>2013</v>
      </c>
      <c r="D106" s="1" t="s">
        <v>8340</v>
      </c>
    </row>
    <row r="107" spans="1:4">
      <c r="A107" s="1">
        <v>10105</v>
      </c>
      <c r="B107" s="1" t="s">
        <v>8435</v>
      </c>
      <c r="C107" s="1">
        <v>2013</v>
      </c>
      <c r="D107" s="1" t="s">
        <v>8411</v>
      </c>
    </row>
    <row r="108" spans="1:4">
      <c r="A108" s="1">
        <v>10106</v>
      </c>
      <c r="B108" s="1" t="s">
        <v>8436</v>
      </c>
      <c r="C108" s="1">
        <v>2012</v>
      </c>
      <c r="D108" s="1" t="s">
        <v>550</v>
      </c>
    </row>
    <row r="109" spans="1:4">
      <c r="A109" s="1">
        <v>10107</v>
      </c>
      <c r="B109" s="1" t="s">
        <v>8437</v>
      </c>
      <c r="C109" s="1">
        <v>2011</v>
      </c>
      <c r="D109" s="1" t="s">
        <v>8340</v>
      </c>
    </row>
    <row r="110" spans="1:4">
      <c r="A110" s="1">
        <v>10108</v>
      </c>
      <c r="B110" s="1" t="s">
        <v>8438</v>
      </c>
      <c r="C110" s="1">
        <v>2011</v>
      </c>
      <c r="D110" s="1" t="s">
        <v>550</v>
      </c>
    </row>
    <row r="111" spans="1:4">
      <c r="A111" s="1">
        <v>10109</v>
      </c>
      <c r="B111" s="1" t="s">
        <v>8439</v>
      </c>
      <c r="C111" s="1">
        <v>2011</v>
      </c>
      <c r="D111" s="1" t="s">
        <v>8331</v>
      </c>
    </row>
    <row r="112" spans="1:4">
      <c r="A112" s="1">
        <v>10110</v>
      </c>
      <c r="B112" s="1" t="s">
        <v>8440</v>
      </c>
      <c r="C112" s="1">
        <v>2011</v>
      </c>
      <c r="D112" s="1" t="s">
        <v>8331</v>
      </c>
    </row>
    <row r="113" spans="1:4">
      <c r="A113" s="1">
        <v>10111</v>
      </c>
      <c r="B113" s="1" t="s">
        <v>8441</v>
      </c>
      <c r="C113" s="1">
        <v>2012</v>
      </c>
      <c r="D113" s="1" t="s">
        <v>550</v>
      </c>
    </row>
    <row r="114" spans="1:4">
      <c r="A114" s="1">
        <v>10112</v>
      </c>
      <c r="B114" s="1" t="s">
        <v>8442</v>
      </c>
      <c r="C114" s="1">
        <v>2013</v>
      </c>
      <c r="D114" s="1" t="s">
        <v>8356</v>
      </c>
    </row>
    <row r="115" spans="1:4">
      <c r="A115" s="1">
        <v>10113</v>
      </c>
      <c r="B115" s="1" t="s">
        <v>8443</v>
      </c>
      <c r="C115" s="1">
        <v>2013</v>
      </c>
      <c r="D115" s="1" t="s">
        <v>8320</v>
      </c>
    </row>
    <row r="116" spans="1:4">
      <c r="A116" s="1">
        <v>10114</v>
      </c>
      <c r="B116" s="1" t="s">
        <v>8444</v>
      </c>
      <c r="C116" s="1">
        <v>2013</v>
      </c>
      <c r="D116" s="1" t="s">
        <v>8320</v>
      </c>
    </row>
    <row r="117" spans="1:4">
      <c r="A117" s="1">
        <v>10115</v>
      </c>
      <c r="B117" s="1" t="s">
        <v>8445</v>
      </c>
      <c r="C117" s="1">
        <v>2013</v>
      </c>
      <c r="D117" s="1" t="s">
        <v>8336</v>
      </c>
    </row>
    <row r="118" spans="1:4">
      <c r="A118" s="1">
        <v>10116</v>
      </c>
      <c r="B118" s="1" t="s">
        <v>8446</v>
      </c>
      <c r="C118" s="1">
        <v>2012</v>
      </c>
      <c r="D118" s="1" t="s">
        <v>8340</v>
      </c>
    </row>
    <row r="119" spans="1:4">
      <c r="A119" s="1">
        <v>10117</v>
      </c>
      <c r="B119" s="1" t="s">
        <v>8447</v>
      </c>
      <c r="C119" s="1">
        <v>2011</v>
      </c>
      <c r="D119" s="1" t="s">
        <v>8328</v>
      </c>
    </row>
    <row r="120" spans="1:4">
      <c r="A120" s="1">
        <v>10118</v>
      </c>
      <c r="B120" s="1" t="s">
        <v>8448</v>
      </c>
      <c r="C120" s="1">
        <v>2011</v>
      </c>
      <c r="D120" s="1" t="s">
        <v>8325</v>
      </c>
    </row>
    <row r="121" spans="1:4">
      <c r="A121" s="1">
        <v>10119</v>
      </c>
      <c r="B121" s="1" t="s">
        <v>8449</v>
      </c>
      <c r="C121" s="1">
        <v>2013</v>
      </c>
      <c r="D121" s="1" t="s">
        <v>8340</v>
      </c>
    </row>
    <row r="122" spans="1:4">
      <c r="A122" s="1">
        <v>10120</v>
      </c>
      <c r="B122" s="1" t="s">
        <v>8450</v>
      </c>
      <c r="C122" s="1">
        <v>2013</v>
      </c>
      <c r="D122" s="1" t="s">
        <v>8318</v>
      </c>
    </row>
    <row r="123" spans="1:4">
      <c r="A123" s="1">
        <v>10121</v>
      </c>
      <c r="B123" s="1" t="s">
        <v>8451</v>
      </c>
      <c r="C123" s="1">
        <v>2012</v>
      </c>
      <c r="D123" s="1" t="s">
        <v>8411</v>
      </c>
    </row>
    <row r="124" spans="1:4">
      <c r="A124" s="1">
        <v>10122</v>
      </c>
      <c r="B124" s="1" t="s">
        <v>8452</v>
      </c>
      <c r="C124" s="1">
        <v>2012</v>
      </c>
      <c r="D124" s="1" t="s">
        <v>8356</v>
      </c>
    </row>
    <row r="125" spans="1:4">
      <c r="A125" s="1">
        <v>10123</v>
      </c>
      <c r="B125" s="1" t="s">
        <v>8453</v>
      </c>
      <c r="C125" s="1">
        <v>2012</v>
      </c>
      <c r="D125" s="1" t="s">
        <v>550</v>
      </c>
    </row>
    <row r="126" spans="1:4">
      <c r="A126" s="1">
        <v>10124</v>
      </c>
      <c r="B126" s="1" t="s">
        <v>8454</v>
      </c>
      <c r="C126" s="1">
        <v>2012</v>
      </c>
      <c r="D126" s="1" t="s">
        <v>8322</v>
      </c>
    </row>
    <row r="127" spans="1:4">
      <c r="A127" s="1">
        <v>10125</v>
      </c>
      <c r="B127" s="1" t="s">
        <v>8455</v>
      </c>
      <c r="C127" s="1">
        <v>2012</v>
      </c>
      <c r="D127" s="1" t="s">
        <v>550</v>
      </c>
    </row>
    <row r="128" spans="1:4">
      <c r="A128" s="1">
        <v>10126</v>
      </c>
      <c r="B128" s="1" t="s">
        <v>8456</v>
      </c>
      <c r="C128" s="1">
        <v>2011</v>
      </c>
      <c r="D128" s="1" t="s">
        <v>550</v>
      </c>
    </row>
    <row r="129" spans="1:4">
      <c r="A129" s="1">
        <v>10127</v>
      </c>
      <c r="B129" s="1" t="s">
        <v>8457</v>
      </c>
      <c r="C129" s="1">
        <v>2013</v>
      </c>
      <c r="D129" s="1" t="s">
        <v>8316</v>
      </c>
    </row>
    <row r="130" spans="1:4">
      <c r="A130" s="1">
        <v>10128</v>
      </c>
      <c r="B130" s="1" t="s">
        <v>8458</v>
      </c>
      <c r="C130" s="1">
        <v>2013</v>
      </c>
      <c r="D130" s="1" t="s">
        <v>8316</v>
      </c>
    </row>
    <row r="131" spans="1:4">
      <c r="A131" s="1">
        <v>10129</v>
      </c>
      <c r="B131" s="1" t="s">
        <v>8459</v>
      </c>
      <c r="C131" s="1">
        <v>2011</v>
      </c>
      <c r="D131" s="1" t="s">
        <v>8331</v>
      </c>
    </row>
    <row r="132" spans="1:4">
      <c r="A132" s="1">
        <v>10130</v>
      </c>
      <c r="B132" s="1" t="s">
        <v>8460</v>
      </c>
      <c r="C132" s="1">
        <v>2013</v>
      </c>
      <c r="D132" s="1" t="s">
        <v>8461</v>
      </c>
    </row>
    <row r="133" spans="1:4">
      <c r="A133" s="1">
        <v>10131</v>
      </c>
      <c r="B133" s="1" t="s">
        <v>8462</v>
      </c>
      <c r="C133" s="1">
        <v>2013</v>
      </c>
      <c r="D133" s="1" t="s">
        <v>8331</v>
      </c>
    </row>
    <row r="134" spans="1:4">
      <c r="A134" s="1">
        <v>10132</v>
      </c>
      <c r="B134" s="1" t="s">
        <v>8463</v>
      </c>
      <c r="C134" s="1">
        <v>2013</v>
      </c>
      <c r="D134" s="1" t="s">
        <v>8320</v>
      </c>
    </row>
    <row r="135" spans="1:4">
      <c r="A135" s="1">
        <v>10133</v>
      </c>
      <c r="B135" s="1" t="s">
        <v>8464</v>
      </c>
      <c r="C135" s="1">
        <v>2012</v>
      </c>
      <c r="D135" s="1" t="s">
        <v>550</v>
      </c>
    </row>
    <row r="136" spans="1:4">
      <c r="A136" s="1">
        <v>10134</v>
      </c>
      <c r="B136" s="1" t="s">
        <v>8465</v>
      </c>
      <c r="C136" s="1">
        <v>2011</v>
      </c>
      <c r="D136" s="1" t="s">
        <v>8340</v>
      </c>
    </row>
    <row r="137" spans="1:4">
      <c r="A137" s="1">
        <v>10135</v>
      </c>
      <c r="B137" s="1" t="s">
        <v>8466</v>
      </c>
      <c r="C137" s="1">
        <v>2012</v>
      </c>
      <c r="D137" s="1" t="s">
        <v>8340</v>
      </c>
    </row>
    <row r="138" spans="1:4">
      <c r="A138" s="1">
        <v>10136</v>
      </c>
      <c r="B138" s="1" t="s">
        <v>8467</v>
      </c>
      <c r="C138" s="1">
        <v>2011</v>
      </c>
      <c r="D138" s="1" t="s">
        <v>8411</v>
      </c>
    </row>
    <row r="139" spans="1:4">
      <c r="A139" s="1">
        <v>10137</v>
      </c>
      <c r="B139" s="1" t="s">
        <v>8468</v>
      </c>
      <c r="C139" s="1">
        <v>2011</v>
      </c>
      <c r="D139" s="1" t="s">
        <v>8325</v>
      </c>
    </row>
    <row r="140" spans="1:4">
      <c r="A140" s="1">
        <v>10138</v>
      </c>
      <c r="B140" s="1" t="s">
        <v>8469</v>
      </c>
      <c r="C140" s="1">
        <v>2013</v>
      </c>
      <c r="D140" s="1" t="s">
        <v>8340</v>
      </c>
    </row>
    <row r="141" spans="1:4">
      <c r="A141" s="1">
        <v>10139</v>
      </c>
      <c r="B141" s="1" t="s">
        <v>8470</v>
      </c>
      <c r="C141" s="1">
        <v>2013</v>
      </c>
      <c r="D141" s="1" t="s">
        <v>8318</v>
      </c>
    </row>
    <row r="142" spans="1:4">
      <c r="A142" s="1">
        <v>10140</v>
      </c>
      <c r="B142" s="1" t="s">
        <v>8471</v>
      </c>
      <c r="C142" s="1">
        <v>2013</v>
      </c>
      <c r="D142" s="1" t="s">
        <v>8411</v>
      </c>
    </row>
    <row r="143" spans="1:4">
      <c r="A143" s="1">
        <v>10141</v>
      </c>
      <c r="B143" s="1" t="s">
        <v>8472</v>
      </c>
      <c r="C143" s="1">
        <v>2012</v>
      </c>
      <c r="D143" s="1" t="s">
        <v>8331</v>
      </c>
    </row>
    <row r="144" spans="1:4">
      <c r="A144" s="1">
        <v>10142</v>
      </c>
      <c r="B144" s="1" t="s">
        <v>8473</v>
      </c>
      <c r="C144" s="1">
        <v>2012</v>
      </c>
      <c r="D144" s="1" t="s">
        <v>8331</v>
      </c>
    </row>
    <row r="145" spans="1:4">
      <c r="A145" s="1">
        <v>10143</v>
      </c>
      <c r="B145" s="1" t="s">
        <v>8474</v>
      </c>
      <c r="C145" s="1">
        <v>2012</v>
      </c>
      <c r="D145" s="1" t="s">
        <v>8325</v>
      </c>
    </row>
    <row r="146" spans="1:4">
      <c r="A146" s="1">
        <v>10144</v>
      </c>
      <c r="B146" s="1" t="s">
        <v>8475</v>
      </c>
      <c r="C146" s="1">
        <v>2011</v>
      </c>
      <c r="D146" s="1" t="s">
        <v>8411</v>
      </c>
    </row>
    <row r="147" spans="1:4">
      <c r="A147" s="1">
        <v>10145</v>
      </c>
      <c r="B147" s="1" t="s">
        <v>8476</v>
      </c>
      <c r="C147" s="1">
        <v>2011</v>
      </c>
      <c r="D147" s="1" t="s">
        <v>8316</v>
      </c>
    </row>
    <row r="148" spans="1:4">
      <c r="A148" s="1">
        <v>10146</v>
      </c>
      <c r="B148" s="1" t="s">
        <v>8477</v>
      </c>
      <c r="C148" s="1">
        <v>2012</v>
      </c>
      <c r="D148" s="1" t="s">
        <v>8328</v>
      </c>
    </row>
    <row r="149" spans="1:4">
      <c r="A149" s="1">
        <v>10147</v>
      </c>
      <c r="B149" s="1" t="s">
        <v>8478</v>
      </c>
      <c r="C149" s="1">
        <v>2013</v>
      </c>
      <c r="D149" s="1" t="s">
        <v>8320</v>
      </c>
    </row>
    <row r="150" spans="1:4">
      <c r="A150" s="1">
        <v>10148</v>
      </c>
      <c r="B150" s="1" t="s">
        <v>8479</v>
      </c>
      <c r="C150" s="1">
        <v>2011</v>
      </c>
      <c r="D150" s="1" t="s">
        <v>8322</v>
      </c>
    </row>
    <row r="151" spans="1:4">
      <c r="A151" s="1">
        <v>10149</v>
      </c>
      <c r="B151" s="1" t="s">
        <v>8480</v>
      </c>
      <c r="C151" s="1">
        <v>2011</v>
      </c>
      <c r="D151" s="1" t="s">
        <v>8356</v>
      </c>
    </row>
    <row r="152" spans="1:4">
      <c r="A152" s="1">
        <v>10150</v>
      </c>
      <c r="B152" s="1" t="s">
        <v>8481</v>
      </c>
      <c r="C152" s="1">
        <v>2011</v>
      </c>
      <c r="D152" s="1" t="s">
        <v>8318</v>
      </c>
    </row>
    <row r="153" spans="1:4">
      <c r="A153" s="1">
        <v>10151</v>
      </c>
      <c r="B153" s="1" t="s">
        <v>8482</v>
      </c>
      <c r="C153" s="1">
        <v>2012</v>
      </c>
      <c r="D153" s="1" t="s">
        <v>8371</v>
      </c>
    </row>
    <row r="154" spans="1:4">
      <c r="A154" s="1">
        <v>10152</v>
      </c>
      <c r="B154" s="1" t="s">
        <v>8483</v>
      </c>
      <c r="C154" s="1">
        <v>2013</v>
      </c>
      <c r="D154" s="1" t="s">
        <v>8345</v>
      </c>
    </row>
    <row r="155" spans="1:4">
      <c r="A155" s="1">
        <v>10153</v>
      </c>
      <c r="B155" s="1" t="s">
        <v>8484</v>
      </c>
      <c r="C155" s="1">
        <v>2012</v>
      </c>
      <c r="D155" s="1" t="s">
        <v>8320</v>
      </c>
    </row>
    <row r="156" spans="1:4">
      <c r="A156" s="1">
        <v>10154</v>
      </c>
      <c r="B156" s="1" t="s">
        <v>8485</v>
      </c>
      <c r="C156" s="1">
        <v>2011</v>
      </c>
      <c r="D156" s="1" t="s">
        <v>8354</v>
      </c>
    </row>
    <row r="157" spans="1:4">
      <c r="A157" s="1">
        <v>10155</v>
      </c>
      <c r="B157" s="1" t="s">
        <v>8486</v>
      </c>
      <c r="C157" s="1">
        <v>2011</v>
      </c>
      <c r="D157" s="1" t="s">
        <v>550</v>
      </c>
    </row>
    <row r="158" spans="1:4">
      <c r="A158" s="1">
        <v>10156</v>
      </c>
      <c r="B158" s="1" t="s">
        <v>8487</v>
      </c>
      <c r="C158" s="1">
        <v>2013</v>
      </c>
      <c r="D158" s="1" t="s">
        <v>8325</v>
      </c>
    </row>
    <row r="159" spans="1:4">
      <c r="A159" s="1">
        <v>10157</v>
      </c>
      <c r="B159" s="1" t="s">
        <v>8488</v>
      </c>
      <c r="C159" s="1">
        <v>2013</v>
      </c>
      <c r="D159" s="1" t="s">
        <v>8322</v>
      </c>
    </row>
    <row r="160" spans="1:4">
      <c r="A160" s="1">
        <v>10158</v>
      </c>
      <c r="B160" s="1" t="s">
        <v>8489</v>
      </c>
      <c r="C160" s="1">
        <v>2012</v>
      </c>
      <c r="D160" s="1" t="s">
        <v>8331</v>
      </c>
    </row>
    <row r="161" spans="1:4">
      <c r="A161" s="1">
        <v>10159</v>
      </c>
      <c r="B161" s="1" t="s">
        <v>8490</v>
      </c>
      <c r="C161" s="1">
        <v>2011</v>
      </c>
      <c r="D161" s="1" t="s">
        <v>8320</v>
      </c>
    </row>
    <row r="162" spans="1:4">
      <c r="A162" s="1">
        <v>10160</v>
      </c>
      <c r="B162" s="1" t="s">
        <v>8491</v>
      </c>
      <c r="C162" s="1">
        <v>2011</v>
      </c>
      <c r="D162" s="1" t="s">
        <v>8320</v>
      </c>
    </row>
    <row r="163" spans="1:4">
      <c r="A163" s="1">
        <v>10161</v>
      </c>
      <c r="B163" s="1" t="s">
        <v>8492</v>
      </c>
      <c r="C163" s="1">
        <v>2011</v>
      </c>
      <c r="D163" s="1" t="s">
        <v>8316</v>
      </c>
    </row>
    <row r="164" spans="1:4">
      <c r="A164" s="1">
        <v>10162</v>
      </c>
      <c r="B164" s="1" t="s">
        <v>8493</v>
      </c>
      <c r="C164" s="1">
        <v>2012</v>
      </c>
      <c r="D164" s="1" t="s">
        <v>8328</v>
      </c>
    </row>
    <row r="165" spans="1:4">
      <c r="A165" s="1">
        <v>10163</v>
      </c>
      <c r="B165" s="1" t="s">
        <v>8494</v>
      </c>
      <c r="C165" s="1">
        <v>2013</v>
      </c>
      <c r="D165" s="1" t="s">
        <v>8331</v>
      </c>
    </row>
    <row r="166" spans="1:4">
      <c r="A166" s="1">
        <v>10164</v>
      </c>
      <c r="B166" s="1" t="s">
        <v>8495</v>
      </c>
      <c r="C166" s="1">
        <v>2013</v>
      </c>
      <c r="D166" s="1" t="s">
        <v>8411</v>
      </c>
    </row>
    <row r="167" spans="1:4">
      <c r="A167" s="1">
        <v>10165</v>
      </c>
      <c r="B167" s="1" t="s">
        <v>8496</v>
      </c>
      <c r="C167" s="1">
        <v>2013</v>
      </c>
      <c r="D167" s="1" t="s">
        <v>8411</v>
      </c>
    </row>
    <row r="168" spans="1:4">
      <c r="A168" s="1">
        <v>10166</v>
      </c>
      <c r="B168" s="1" t="s">
        <v>8497</v>
      </c>
      <c r="C168" s="1">
        <v>2012</v>
      </c>
      <c r="D168" s="1" t="s">
        <v>550</v>
      </c>
    </row>
    <row r="169" spans="1:4">
      <c r="A169" s="1">
        <v>10167</v>
      </c>
      <c r="B169" s="1" t="s">
        <v>8498</v>
      </c>
      <c r="C169" s="1">
        <v>2012</v>
      </c>
      <c r="D169" s="1" t="s">
        <v>8340</v>
      </c>
    </row>
    <row r="170" spans="1:4">
      <c r="A170" s="1">
        <v>10168</v>
      </c>
      <c r="B170" s="1" t="s">
        <v>8499</v>
      </c>
      <c r="C170" s="1">
        <v>2012</v>
      </c>
      <c r="D170" s="1" t="s">
        <v>8322</v>
      </c>
    </row>
    <row r="171" spans="1:4">
      <c r="A171" s="1">
        <v>10169</v>
      </c>
      <c r="B171" s="1" t="s">
        <v>8500</v>
      </c>
      <c r="C171" s="1">
        <v>2011</v>
      </c>
      <c r="D171" s="1" t="s">
        <v>8331</v>
      </c>
    </row>
    <row r="172" spans="1:4">
      <c r="A172" s="1">
        <v>10170</v>
      </c>
      <c r="B172" s="1" t="s">
        <v>8501</v>
      </c>
      <c r="C172" s="1">
        <v>2013</v>
      </c>
      <c r="D172" s="1" t="s">
        <v>8384</v>
      </c>
    </row>
    <row r="173" spans="1:4">
      <c r="A173" s="1">
        <v>10171</v>
      </c>
      <c r="B173" s="1" t="s">
        <v>8502</v>
      </c>
      <c r="C173" s="1">
        <v>2012</v>
      </c>
      <c r="D173" s="1" t="s">
        <v>8340</v>
      </c>
    </row>
    <row r="174" spans="1:4">
      <c r="A174" s="1">
        <v>10172</v>
      </c>
      <c r="B174" s="1" t="s">
        <v>8503</v>
      </c>
      <c r="C174" s="1">
        <v>2012</v>
      </c>
      <c r="D174" s="1" t="s">
        <v>8320</v>
      </c>
    </row>
    <row r="175" spans="1:4">
      <c r="A175" s="1">
        <v>10173</v>
      </c>
      <c r="B175" s="1" t="s">
        <v>8504</v>
      </c>
      <c r="C175" s="1">
        <v>2012</v>
      </c>
      <c r="D175" s="1" t="s">
        <v>8328</v>
      </c>
    </row>
    <row r="176" spans="1:4">
      <c r="A176" s="1">
        <v>10174</v>
      </c>
      <c r="B176" s="1" t="s">
        <v>8505</v>
      </c>
      <c r="C176" s="1">
        <v>2013</v>
      </c>
      <c r="D176" s="1" t="s">
        <v>8340</v>
      </c>
    </row>
    <row r="177" spans="1:4">
      <c r="A177" s="1">
        <v>10175</v>
      </c>
      <c r="B177" s="1" t="s">
        <v>8506</v>
      </c>
      <c r="C177" s="1">
        <v>2012</v>
      </c>
      <c r="D177" s="1" t="s">
        <v>8325</v>
      </c>
    </row>
    <row r="178" spans="1:4">
      <c r="A178" s="1">
        <v>10176</v>
      </c>
      <c r="B178" s="1" t="s">
        <v>8507</v>
      </c>
      <c r="C178" s="1">
        <v>2011</v>
      </c>
      <c r="D178" s="1" t="s">
        <v>8340</v>
      </c>
    </row>
    <row r="179" spans="1:4">
      <c r="A179" s="1">
        <v>10177</v>
      </c>
      <c r="B179" s="1" t="s">
        <v>8508</v>
      </c>
      <c r="C179" s="1">
        <v>2011</v>
      </c>
      <c r="D179" s="1" t="s">
        <v>550</v>
      </c>
    </row>
    <row r="180" spans="1:4">
      <c r="A180" s="1">
        <v>10178</v>
      </c>
      <c r="B180" s="1" t="s">
        <v>8509</v>
      </c>
      <c r="C180" s="1">
        <v>2013</v>
      </c>
      <c r="D180" s="1" t="s">
        <v>8331</v>
      </c>
    </row>
    <row r="181" spans="1:4">
      <c r="A181" s="1">
        <v>10179</v>
      </c>
      <c r="B181" s="1" t="s">
        <v>8510</v>
      </c>
      <c r="C181" s="1">
        <v>2012</v>
      </c>
      <c r="D181" s="1" t="s">
        <v>8331</v>
      </c>
    </row>
    <row r="182" spans="1:4">
      <c r="A182" s="1">
        <v>10180</v>
      </c>
      <c r="B182" s="1" t="s">
        <v>8511</v>
      </c>
      <c r="C182" s="1">
        <v>2012</v>
      </c>
      <c r="D182" s="1" t="s">
        <v>8356</v>
      </c>
    </row>
    <row r="183" spans="1:4">
      <c r="A183" s="1">
        <v>10181</v>
      </c>
      <c r="B183" s="1" t="s">
        <v>8512</v>
      </c>
      <c r="C183" s="1">
        <v>2012</v>
      </c>
      <c r="D183" s="1" t="s">
        <v>550</v>
      </c>
    </row>
    <row r="184" spans="1:4">
      <c r="A184" s="1">
        <v>10182</v>
      </c>
      <c r="B184" s="1" t="s">
        <v>8513</v>
      </c>
      <c r="C184" s="1">
        <v>2012</v>
      </c>
      <c r="D184" s="1" t="s">
        <v>8331</v>
      </c>
    </row>
    <row r="185" spans="1:4">
      <c r="A185" s="1">
        <v>10183</v>
      </c>
      <c r="B185" s="1" t="s">
        <v>8514</v>
      </c>
      <c r="C185" s="1">
        <v>2013</v>
      </c>
      <c r="D185" s="1" t="s">
        <v>8328</v>
      </c>
    </row>
    <row r="186" spans="1:4">
      <c r="A186" s="1">
        <v>10184</v>
      </c>
      <c r="B186" s="1" t="s">
        <v>8515</v>
      </c>
      <c r="C186" s="1">
        <v>2011</v>
      </c>
      <c r="D186" s="1" t="s">
        <v>8340</v>
      </c>
    </row>
    <row r="187" spans="1:4">
      <c r="A187" s="1">
        <v>10185</v>
      </c>
      <c r="B187" s="1" t="s">
        <v>8516</v>
      </c>
      <c r="C187" s="1">
        <v>2013</v>
      </c>
      <c r="D187" s="1" t="s">
        <v>8331</v>
      </c>
    </row>
    <row r="188" spans="1:4">
      <c r="A188" s="1">
        <v>10186</v>
      </c>
      <c r="B188" s="1" t="s">
        <v>8517</v>
      </c>
      <c r="C188" s="1">
        <v>2013</v>
      </c>
      <c r="D188" s="1" t="s">
        <v>8320</v>
      </c>
    </row>
    <row r="189" spans="1:4">
      <c r="A189" s="1">
        <v>10187</v>
      </c>
      <c r="B189" s="1" t="s">
        <v>8518</v>
      </c>
      <c r="C189" s="1">
        <v>2011</v>
      </c>
      <c r="D189" s="1" t="s">
        <v>8322</v>
      </c>
    </row>
    <row r="190" spans="1:4">
      <c r="A190" s="1">
        <v>10188</v>
      </c>
      <c r="B190" s="1" t="s">
        <v>8519</v>
      </c>
      <c r="C190" s="1">
        <v>2013</v>
      </c>
      <c r="D190" s="1" t="s">
        <v>8322</v>
      </c>
    </row>
    <row r="191" spans="1:4">
      <c r="A191" s="1">
        <v>10189</v>
      </c>
      <c r="B191" s="1" t="s">
        <v>8520</v>
      </c>
      <c r="C191" s="1">
        <v>2013</v>
      </c>
      <c r="D191" s="1" t="s">
        <v>8340</v>
      </c>
    </row>
    <row r="192" spans="1:4">
      <c r="A192" s="1">
        <v>10190</v>
      </c>
      <c r="B192" s="1" t="s">
        <v>8521</v>
      </c>
      <c r="C192" s="1">
        <v>2012</v>
      </c>
      <c r="D192" s="1" t="s">
        <v>8320</v>
      </c>
    </row>
    <row r="193" spans="1:4">
      <c r="A193" s="1">
        <v>10191</v>
      </c>
      <c r="B193" s="1" t="s">
        <v>8522</v>
      </c>
      <c r="C193" s="1">
        <v>2012</v>
      </c>
      <c r="D193" s="1" t="s">
        <v>8340</v>
      </c>
    </row>
    <row r="194" spans="1:4">
      <c r="A194" s="1">
        <v>10192</v>
      </c>
      <c r="B194" s="1" t="s">
        <v>8523</v>
      </c>
      <c r="C194" s="1">
        <v>2012</v>
      </c>
      <c r="D194" s="1" t="s">
        <v>8340</v>
      </c>
    </row>
    <row r="195" spans="1:4">
      <c r="A195" s="1">
        <v>10193</v>
      </c>
      <c r="B195" s="1" t="s">
        <v>8524</v>
      </c>
      <c r="C195" s="1">
        <v>2011</v>
      </c>
      <c r="D195" s="1" t="s">
        <v>550</v>
      </c>
    </row>
    <row r="196" spans="1:4">
      <c r="A196" s="1">
        <v>10194</v>
      </c>
      <c r="B196" s="1" t="s">
        <v>8525</v>
      </c>
      <c r="C196" s="1">
        <v>2011</v>
      </c>
      <c r="D196" s="1" t="s">
        <v>8345</v>
      </c>
    </row>
    <row r="197" spans="1:4">
      <c r="A197" s="1">
        <v>10195</v>
      </c>
      <c r="B197" s="1" t="s">
        <v>8526</v>
      </c>
      <c r="C197" s="1">
        <v>2012</v>
      </c>
      <c r="D197" s="1" t="s">
        <v>8328</v>
      </c>
    </row>
    <row r="198" spans="1:4">
      <c r="A198" s="1">
        <v>10196</v>
      </c>
      <c r="B198" s="1" t="s">
        <v>8527</v>
      </c>
      <c r="C198" s="1">
        <v>2013</v>
      </c>
      <c r="D198" s="1" t="s">
        <v>550</v>
      </c>
    </row>
    <row r="199" spans="1:4">
      <c r="A199" s="1">
        <v>10197</v>
      </c>
      <c r="B199" s="1" t="s">
        <v>8528</v>
      </c>
      <c r="C199" s="1">
        <v>2011</v>
      </c>
      <c r="D199" s="1" t="s">
        <v>8331</v>
      </c>
    </row>
    <row r="200" spans="1:4">
      <c r="A200" s="1">
        <v>10198</v>
      </c>
      <c r="B200" s="1" t="s">
        <v>8529</v>
      </c>
      <c r="C200" s="1">
        <v>2012</v>
      </c>
      <c r="D200" s="1" t="s">
        <v>550</v>
      </c>
    </row>
    <row r="201" spans="1:4">
      <c r="A201" s="1">
        <v>10199</v>
      </c>
      <c r="B201" s="1" t="s">
        <v>8530</v>
      </c>
      <c r="C201" s="1">
        <v>2012</v>
      </c>
      <c r="D201" s="1" t="s">
        <v>8320</v>
      </c>
    </row>
    <row r="202" spans="1:4">
      <c r="A202" s="1">
        <v>10200</v>
      </c>
      <c r="B202" s="1" t="s">
        <v>8531</v>
      </c>
      <c r="C202" s="1">
        <v>2012</v>
      </c>
      <c r="D202" s="1" t="s">
        <v>550</v>
      </c>
    </row>
    <row r="203" spans="1:4">
      <c r="A203" s="1">
        <v>10201</v>
      </c>
      <c r="B203" s="1" t="s">
        <v>8532</v>
      </c>
      <c r="C203" s="1">
        <v>2011</v>
      </c>
      <c r="D203" s="1" t="s">
        <v>8371</v>
      </c>
    </row>
    <row r="204" spans="1:4">
      <c r="A204" s="1">
        <v>10202</v>
      </c>
      <c r="B204" s="1" t="s">
        <v>8533</v>
      </c>
      <c r="C204" s="1">
        <v>2012</v>
      </c>
      <c r="D204" s="1" t="s">
        <v>8331</v>
      </c>
    </row>
    <row r="205" spans="1:4">
      <c r="A205" s="1">
        <v>10203</v>
      </c>
      <c r="B205" s="1" t="s">
        <v>8534</v>
      </c>
      <c r="C205" s="1">
        <v>2011</v>
      </c>
      <c r="D205" s="1" t="s">
        <v>8325</v>
      </c>
    </row>
    <row r="206" spans="1:4">
      <c r="A206" s="1">
        <v>10204</v>
      </c>
      <c r="B206" s="1" t="s">
        <v>8535</v>
      </c>
      <c r="C206" s="1">
        <v>2011</v>
      </c>
      <c r="D206" s="1" t="s">
        <v>8340</v>
      </c>
    </row>
    <row r="207" spans="1:4">
      <c r="A207" s="1">
        <v>10205</v>
      </c>
      <c r="B207" s="1" t="s">
        <v>8536</v>
      </c>
      <c r="C207" s="1">
        <v>2011</v>
      </c>
      <c r="D207" s="1" t="s">
        <v>8322</v>
      </c>
    </row>
    <row r="208" spans="1:4">
      <c r="A208" s="1">
        <v>10206</v>
      </c>
      <c r="B208" s="1" t="s">
        <v>8537</v>
      </c>
      <c r="C208" s="1">
        <v>2011</v>
      </c>
      <c r="D208" s="1" t="s">
        <v>550</v>
      </c>
    </row>
    <row r="209" spans="1:4">
      <c r="A209" s="1">
        <v>10207</v>
      </c>
      <c r="B209" s="1" t="s">
        <v>8538</v>
      </c>
      <c r="C209" s="1">
        <v>2011</v>
      </c>
      <c r="D209" s="1" t="s">
        <v>8322</v>
      </c>
    </row>
    <row r="210" spans="1:4">
      <c r="A210" s="1">
        <v>10208</v>
      </c>
      <c r="B210" s="1" t="s">
        <v>8539</v>
      </c>
      <c r="C210" s="1">
        <v>2011</v>
      </c>
      <c r="D210" s="1" t="s">
        <v>8331</v>
      </c>
    </row>
    <row r="211" spans="1:4">
      <c r="A211" s="1">
        <v>10209</v>
      </c>
      <c r="B211" s="1" t="s">
        <v>8540</v>
      </c>
      <c r="C211" s="1">
        <v>2011</v>
      </c>
      <c r="D211" s="1" t="s">
        <v>8340</v>
      </c>
    </row>
    <row r="212" spans="1:4">
      <c r="A212" s="1">
        <v>10210</v>
      </c>
      <c r="B212" s="1" t="s">
        <v>8541</v>
      </c>
      <c r="C212" s="1">
        <v>2011</v>
      </c>
      <c r="D212" s="1" t="s">
        <v>8328</v>
      </c>
    </row>
    <row r="213" spans="1:4">
      <c r="A213" s="1">
        <v>10211</v>
      </c>
      <c r="B213" s="1" t="s">
        <v>8542</v>
      </c>
      <c r="C213" s="1">
        <v>2012</v>
      </c>
      <c r="D213" s="1" t="s">
        <v>8325</v>
      </c>
    </row>
    <row r="214" spans="1:4">
      <c r="A214" s="1">
        <v>10212</v>
      </c>
      <c r="B214" s="1" t="s">
        <v>8543</v>
      </c>
      <c r="C214" s="1">
        <v>2012</v>
      </c>
      <c r="D214" s="1" t="s">
        <v>8320</v>
      </c>
    </row>
    <row r="215" spans="1:4">
      <c r="A215" s="1">
        <v>10213</v>
      </c>
      <c r="B215" s="1" t="s">
        <v>8544</v>
      </c>
      <c r="C215" s="1">
        <v>2012</v>
      </c>
      <c r="D215" s="1" t="s">
        <v>8328</v>
      </c>
    </row>
    <row r="216" spans="1:4">
      <c r="A216" s="1">
        <v>10214</v>
      </c>
      <c r="B216" s="1" t="s">
        <v>8545</v>
      </c>
      <c r="C216" s="1">
        <v>2012</v>
      </c>
      <c r="D216" s="1" t="s">
        <v>8546</v>
      </c>
    </row>
    <row r="217" spans="1:4">
      <c r="A217" s="1">
        <v>10215</v>
      </c>
      <c r="B217" s="1" t="s">
        <v>8547</v>
      </c>
      <c r="C217" s="1">
        <v>2011</v>
      </c>
      <c r="D217" s="1" t="s">
        <v>8322</v>
      </c>
    </row>
    <row r="218" spans="1:4">
      <c r="A218" s="1">
        <v>10216</v>
      </c>
      <c r="B218" s="1" t="s">
        <v>8548</v>
      </c>
      <c r="C218" s="1">
        <v>2011</v>
      </c>
      <c r="D218" s="1" t="s">
        <v>8328</v>
      </c>
    </row>
    <row r="219" spans="1:4">
      <c r="A219" s="1">
        <v>10217</v>
      </c>
      <c r="B219" s="1" t="s">
        <v>8549</v>
      </c>
      <c r="C219" s="1">
        <v>2011</v>
      </c>
      <c r="D219" s="1" t="s">
        <v>8331</v>
      </c>
    </row>
    <row r="220" spans="1:4">
      <c r="A220" s="1">
        <v>10218</v>
      </c>
      <c r="B220" s="1" t="s">
        <v>8550</v>
      </c>
      <c r="C220" s="1">
        <v>2012</v>
      </c>
      <c r="D220" s="1" t="s">
        <v>8328</v>
      </c>
    </row>
    <row r="221" spans="1:4">
      <c r="A221" s="1">
        <v>10219</v>
      </c>
      <c r="B221" s="1" t="s">
        <v>8551</v>
      </c>
      <c r="C221" s="1">
        <v>2012</v>
      </c>
      <c r="D221" s="1" t="s">
        <v>8322</v>
      </c>
    </row>
    <row r="222" spans="1:4">
      <c r="A222" s="1">
        <v>10220</v>
      </c>
      <c r="B222" s="1" t="s">
        <v>8552</v>
      </c>
      <c r="C222" s="1">
        <v>2012</v>
      </c>
      <c r="D222" s="1" t="s">
        <v>550</v>
      </c>
    </row>
    <row r="223" spans="1:4">
      <c r="A223" s="1">
        <v>10221</v>
      </c>
      <c r="B223" s="1" t="s">
        <v>8553</v>
      </c>
      <c r="C223" s="1">
        <v>2011</v>
      </c>
      <c r="D223" s="1" t="s">
        <v>550</v>
      </c>
    </row>
    <row r="224" spans="1:4">
      <c r="A224" s="1">
        <v>10222</v>
      </c>
      <c r="B224" s="1" t="s">
        <v>8554</v>
      </c>
      <c r="C224" s="1">
        <v>2012</v>
      </c>
      <c r="D224" s="1" t="s">
        <v>8328</v>
      </c>
    </row>
    <row r="225" spans="1:4">
      <c r="A225" s="1">
        <v>10223</v>
      </c>
      <c r="B225" s="1" t="s">
        <v>8555</v>
      </c>
      <c r="C225" s="1">
        <v>2012</v>
      </c>
      <c r="D225" s="1" t="s">
        <v>8340</v>
      </c>
    </row>
    <row r="226" spans="1:4">
      <c r="A226" s="1">
        <v>10224</v>
      </c>
      <c r="B226" s="1" t="s">
        <v>8556</v>
      </c>
      <c r="C226" s="1">
        <v>2012</v>
      </c>
      <c r="D226" s="1" t="s">
        <v>8405</v>
      </c>
    </row>
    <row r="227" spans="1:4">
      <c r="A227" s="1">
        <v>10225</v>
      </c>
      <c r="B227" s="1" t="s">
        <v>8557</v>
      </c>
      <c r="C227" s="1">
        <v>2011</v>
      </c>
      <c r="D227" s="1" t="s">
        <v>8331</v>
      </c>
    </row>
    <row r="228" spans="1:4">
      <c r="A228" s="1">
        <v>10226</v>
      </c>
      <c r="B228" s="1" t="s">
        <v>8558</v>
      </c>
      <c r="C228" s="1">
        <v>2011</v>
      </c>
      <c r="D228" s="1" t="s">
        <v>8328</v>
      </c>
    </row>
    <row r="229" spans="1:4">
      <c r="A229" s="1">
        <v>10227</v>
      </c>
      <c r="B229" s="1" t="s">
        <v>8559</v>
      </c>
      <c r="C229" s="1">
        <v>2012</v>
      </c>
      <c r="D229" s="1" t="s">
        <v>8318</v>
      </c>
    </row>
    <row r="230" spans="1:4">
      <c r="A230" s="1">
        <v>10228</v>
      </c>
      <c r="B230" s="1" t="s">
        <v>8560</v>
      </c>
      <c r="C230" s="1">
        <v>2011</v>
      </c>
      <c r="D230" s="1" t="s">
        <v>8340</v>
      </c>
    </row>
    <row r="231" spans="1:4">
      <c r="A231" s="1">
        <v>10229</v>
      </c>
      <c r="B231" s="1" t="s">
        <v>8561</v>
      </c>
      <c r="C231" s="1">
        <v>2011</v>
      </c>
      <c r="D231" s="1" t="s">
        <v>8316</v>
      </c>
    </row>
    <row r="232" spans="1:4">
      <c r="A232" s="1">
        <v>10230</v>
      </c>
      <c r="B232" s="1" t="s">
        <v>8562</v>
      </c>
      <c r="C232" s="1">
        <v>2011</v>
      </c>
      <c r="D232" s="1" t="s">
        <v>8318</v>
      </c>
    </row>
    <row r="233" spans="1:4">
      <c r="A233" s="1">
        <v>10231</v>
      </c>
      <c r="B233" s="1" t="s">
        <v>8563</v>
      </c>
      <c r="C233" s="1">
        <v>2012</v>
      </c>
      <c r="D233" s="1" t="s">
        <v>8340</v>
      </c>
    </row>
    <row r="234" spans="1:4">
      <c r="A234" s="1">
        <v>10232</v>
      </c>
      <c r="B234" s="1" t="s">
        <v>8564</v>
      </c>
      <c r="C234" s="1">
        <v>2011</v>
      </c>
      <c r="D234" s="1" t="s">
        <v>8322</v>
      </c>
    </row>
    <row r="235" spans="1:4">
      <c r="A235" s="1">
        <v>10233</v>
      </c>
      <c r="B235" s="1" t="s">
        <v>8565</v>
      </c>
      <c r="C235" s="1">
        <v>2012</v>
      </c>
      <c r="D235" s="1" t="s">
        <v>8371</v>
      </c>
    </row>
    <row r="236" spans="1:4">
      <c r="A236" s="1">
        <v>10234</v>
      </c>
      <c r="B236" s="1" t="s">
        <v>8566</v>
      </c>
      <c r="C236" s="1">
        <v>2012</v>
      </c>
      <c r="D236" s="1" t="s">
        <v>8331</v>
      </c>
    </row>
    <row r="237" spans="1:4">
      <c r="A237" s="1">
        <v>10235</v>
      </c>
      <c r="B237" s="1" t="s">
        <v>8567</v>
      </c>
      <c r="C237" s="1">
        <v>2012</v>
      </c>
      <c r="D237" s="1" t="s">
        <v>8320</v>
      </c>
    </row>
    <row r="238" spans="1:4">
      <c r="A238" s="1">
        <v>10236</v>
      </c>
      <c r="B238" s="1" t="s">
        <v>8568</v>
      </c>
      <c r="C238" s="1">
        <v>2012</v>
      </c>
      <c r="D238" s="1" t="s">
        <v>8320</v>
      </c>
    </row>
    <row r="239" spans="1:4">
      <c r="A239" s="1">
        <v>10237</v>
      </c>
      <c r="B239" s="1" t="s">
        <v>8569</v>
      </c>
      <c r="C239" s="1">
        <v>2011</v>
      </c>
      <c r="D239" s="1" t="s">
        <v>8331</v>
      </c>
    </row>
    <row r="240" spans="1:4">
      <c r="A240" s="1">
        <v>10238</v>
      </c>
      <c r="B240" s="1" t="s">
        <v>8570</v>
      </c>
      <c r="C240" s="1">
        <v>2011</v>
      </c>
      <c r="D240" s="1" t="s">
        <v>8331</v>
      </c>
    </row>
    <row r="241" spans="1:4">
      <c r="A241" s="1">
        <v>10239</v>
      </c>
      <c r="B241" s="1" t="s">
        <v>8571</v>
      </c>
      <c r="C241" s="1">
        <v>2012</v>
      </c>
      <c r="D241" s="1" t="s">
        <v>8411</v>
      </c>
    </row>
    <row r="242" spans="1:4">
      <c r="A242" s="1">
        <v>10240</v>
      </c>
      <c r="B242" s="1" t="s">
        <v>8572</v>
      </c>
      <c r="C242" s="1">
        <v>2012</v>
      </c>
      <c r="D242" s="1" t="s">
        <v>8331</v>
      </c>
    </row>
    <row r="243" spans="1:4">
      <c r="A243" s="1">
        <v>10241</v>
      </c>
      <c r="B243" s="1" t="s">
        <v>8573</v>
      </c>
      <c r="C243" s="1">
        <v>2012</v>
      </c>
      <c r="D243" s="1" t="s">
        <v>8331</v>
      </c>
    </row>
    <row r="244" spans="1:4">
      <c r="A244" s="1">
        <v>10242</v>
      </c>
      <c r="B244" s="1" t="s">
        <v>8574</v>
      </c>
      <c r="C244" s="1">
        <v>2011</v>
      </c>
      <c r="D244" s="1" t="s">
        <v>8325</v>
      </c>
    </row>
    <row r="245" spans="1:4">
      <c r="A245" s="1">
        <v>10243</v>
      </c>
      <c r="B245" s="1" t="s">
        <v>8575</v>
      </c>
      <c r="C245" s="1">
        <v>2011</v>
      </c>
      <c r="D245" s="1" t="s">
        <v>550</v>
      </c>
    </row>
    <row r="246" spans="1:4">
      <c r="A246" s="1">
        <v>10244</v>
      </c>
      <c r="B246" s="1" t="s">
        <v>8576</v>
      </c>
      <c r="C246" s="1">
        <v>2011</v>
      </c>
      <c r="D246" s="1" t="s">
        <v>8328</v>
      </c>
    </row>
    <row r="247" spans="1:4">
      <c r="A247" s="1">
        <v>10245</v>
      </c>
      <c r="B247" s="1" t="s">
        <v>8577</v>
      </c>
      <c r="C247" s="1">
        <v>2011</v>
      </c>
      <c r="D247" s="1" t="s">
        <v>8331</v>
      </c>
    </row>
    <row r="248" spans="1:4">
      <c r="A248" s="1">
        <v>10246</v>
      </c>
      <c r="B248" s="1" t="s">
        <v>8578</v>
      </c>
      <c r="C248" s="1">
        <v>2011</v>
      </c>
      <c r="D248" s="1" t="s">
        <v>8411</v>
      </c>
    </row>
    <row r="249" spans="1:4">
      <c r="A249" s="1">
        <v>10247</v>
      </c>
      <c r="B249" s="1" t="s">
        <v>8579</v>
      </c>
      <c r="C249" s="1">
        <v>2012</v>
      </c>
      <c r="D249" s="1" t="s">
        <v>550</v>
      </c>
    </row>
    <row r="250" spans="1:4">
      <c r="A250" s="1">
        <v>10248</v>
      </c>
      <c r="B250" s="1" t="s">
        <v>8580</v>
      </c>
      <c r="C250" s="1">
        <v>2012</v>
      </c>
      <c r="D250" s="1" t="s">
        <v>8356</v>
      </c>
    </row>
    <row r="251" spans="1:4">
      <c r="A251" s="1">
        <v>10249</v>
      </c>
      <c r="B251" s="1" t="s">
        <v>8581</v>
      </c>
      <c r="C251" s="1">
        <v>2011</v>
      </c>
      <c r="D251" s="1" t="s">
        <v>8354</v>
      </c>
    </row>
    <row r="252" spans="1:4">
      <c r="A252" s="1">
        <v>10250</v>
      </c>
      <c r="B252" s="1" t="s">
        <v>8582</v>
      </c>
      <c r="C252" s="1">
        <v>2013</v>
      </c>
      <c r="D252" s="1" t="s">
        <v>8325</v>
      </c>
    </row>
    <row r="253" spans="1:4">
      <c r="A253" s="1">
        <v>10251</v>
      </c>
      <c r="B253" s="1" t="s">
        <v>8583</v>
      </c>
      <c r="C253" s="1">
        <v>2013</v>
      </c>
      <c r="D253" s="1" t="s">
        <v>8340</v>
      </c>
    </row>
    <row r="254" spans="1:4">
      <c r="A254" s="1">
        <v>10252</v>
      </c>
      <c r="B254" s="1" t="s">
        <v>8584</v>
      </c>
      <c r="C254" s="1">
        <v>2013</v>
      </c>
      <c r="D254" s="1" t="s">
        <v>8331</v>
      </c>
    </row>
    <row r="255" spans="1:4">
      <c r="A255" s="1">
        <v>10253</v>
      </c>
      <c r="B255" s="1" t="s">
        <v>8585</v>
      </c>
      <c r="C255" s="1">
        <v>2013</v>
      </c>
      <c r="D255" s="1" t="s">
        <v>8325</v>
      </c>
    </row>
    <row r="256" spans="1:4">
      <c r="A256" s="1">
        <v>10254</v>
      </c>
      <c r="B256" s="1" t="s">
        <v>8586</v>
      </c>
      <c r="C256" s="1">
        <v>2013</v>
      </c>
      <c r="D256" s="1" t="s">
        <v>8322</v>
      </c>
    </row>
    <row r="257" spans="1:4">
      <c r="A257" s="1">
        <v>10255</v>
      </c>
      <c r="B257" s="1" t="s">
        <v>8587</v>
      </c>
      <c r="C257" s="1">
        <v>2013</v>
      </c>
      <c r="D257" s="1" t="s">
        <v>8322</v>
      </c>
    </row>
    <row r="258" spans="1:4">
      <c r="A258" s="1">
        <v>10256</v>
      </c>
      <c r="B258" s="1" t="s">
        <v>8588</v>
      </c>
      <c r="C258" s="1">
        <v>2013</v>
      </c>
      <c r="D258" s="1" t="s">
        <v>550</v>
      </c>
    </row>
    <row r="259" spans="1:4">
      <c r="A259" s="1">
        <v>10257</v>
      </c>
      <c r="B259" s="1" t="s">
        <v>8589</v>
      </c>
      <c r="C259" s="1">
        <v>2013</v>
      </c>
      <c r="D259" s="1" t="s">
        <v>550</v>
      </c>
    </row>
    <row r="260" spans="1:4">
      <c r="A260" s="1">
        <v>10258</v>
      </c>
      <c r="B260" s="1" t="s">
        <v>8590</v>
      </c>
      <c r="C260" s="1">
        <v>2013</v>
      </c>
      <c r="D260" s="1" t="s">
        <v>8331</v>
      </c>
    </row>
    <row r="261" spans="1:4">
      <c r="A261" s="1">
        <v>10259</v>
      </c>
      <c r="B261" s="1" t="s">
        <v>8591</v>
      </c>
      <c r="C261" s="1">
        <v>2013</v>
      </c>
      <c r="D261" s="1" t="s">
        <v>8331</v>
      </c>
    </row>
    <row r="262" spans="1:4">
      <c r="A262" s="1">
        <v>10260</v>
      </c>
      <c r="B262" s="1" t="s">
        <v>8592</v>
      </c>
      <c r="C262" s="1">
        <v>2013</v>
      </c>
      <c r="D262" s="1" t="s">
        <v>8328</v>
      </c>
    </row>
    <row r="263" spans="1:4">
      <c r="A263" s="1">
        <v>10261</v>
      </c>
      <c r="B263" s="1" t="s">
        <v>8593</v>
      </c>
      <c r="C263" s="1">
        <v>2013</v>
      </c>
      <c r="D263" s="1" t="s">
        <v>550</v>
      </c>
    </row>
    <row r="264" spans="1:4">
      <c r="A264" s="1">
        <v>10262</v>
      </c>
      <c r="B264" s="1" t="s">
        <v>8594</v>
      </c>
      <c r="C264" s="1">
        <v>2013</v>
      </c>
      <c r="D264" s="1" t="s">
        <v>8320</v>
      </c>
    </row>
    <row r="265" spans="1:4">
      <c r="A265" s="1">
        <v>10263</v>
      </c>
      <c r="B265" s="1" t="s">
        <v>8595</v>
      </c>
      <c r="C265" s="1">
        <v>2013</v>
      </c>
      <c r="D265" s="1" t="s">
        <v>550</v>
      </c>
    </row>
    <row r="266" spans="1:4">
      <c r="A266" s="1">
        <v>10264</v>
      </c>
      <c r="B266" s="1" t="s">
        <v>8596</v>
      </c>
      <c r="C266" s="1">
        <v>2013</v>
      </c>
      <c r="D266" s="1" t="s">
        <v>8411</v>
      </c>
    </row>
    <row r="267" spans="1:4">
      <c r="A267" s="1">
        <v>10265</v>
      </c>
      <c r="B267" s="1" t="s">
        <v>8597</v>
      </c>
      <c r="C267" s="1">
        <v>2013</v>
      </c>
      <c r="D267" s="1" t="s">
        <v>8331</v>
      </c>
    </row>
    <row r="268" spans="1:4">
      <c r="A268" s="1">
        <v>10266</v>
      </c>
      <c r="B268" s="1" t="s">
        <v>8598</v>
      </c>
      <c r="C268" s="1">
        <v>2013</v>
      </c>
      <c r="D268" s="1" t="s">
        <v>8328</v>
      </c>
    </row>
    <row r="269" spans="1:4">
      <c r="A269" s="1">
        <v>10267</v>
      </c>
      <c r="B269" s="1" t="s">
        <v>8599</v>
      </c>
      <c r="C269" s="1">
        <v>2013</v>
      </c>
      <c r="D269" s="1" t="s">
        <v>8316</v>
      </c>
    </row>
    <row r="270" spans="1:4">
      <c r="A270" s="1">
        <v>10268</v>
      </c>
      <c r="B270" s="1" t="s">
        <v>8600</v>
      </c>
      <c r="C270" s="1">
        <v>2013</v>
      </c>
      <c r="D270" s="1" t="s">
        <v>8325</v>
      </c>
    </row>
    <row r="271" spans="1:4">
      <c r="A271" s="1">
        <v>10269</v>
      </c>
      <c r="B271" s="1" t="s">
        <v>8601</v>
      </c>
      <c r="C271" s="1">
        <v>2013</v>
      </c>
      <c r="D271" s="1" t="s">
        <v>8325</v>
      </c>
    </row>
    <row r="272" spans="1:4">
      <c r="A272" s="1">
        <v>10270</v>
      </c>
      <c r="B272" s="1" t="s">
        <v>8602</v>
      </c>
      <c r="C272" s="1">
        <v>2013</v>
      </c>
      <c r="D272" s="1" t="s">
        <v>550</v>
      </c>
    </row>
    <row r="273" spans="1:4">
      <c r="A273" s="1">
        <v>10271</v>
      </c>
      <c r="B273" s="1" t="s">
        <v>8603</v>
      </c>
      <c r="C273" s="1">
        <v>2013</v>
      </c>
      <c r="D273" s="1" t="s">
        <v>8340</v>
      </c>
    </row>
    <row r="274" spans="1:4">
      <c r="A274" s="1">
        <v>10272</v>
      </c>
      <c r="B274" s="1" t="s">
        <v>8604</v>
      </c>
      <c r="C274" s="1">
        <v>2013</v>
      </c>
      <c r="D274" s="1" t="s">
        <v>8328</v>
      </c>
    </row>
    <row r="275" spans="1:4">
      <c r="A275" s="1">
        <v>10273</v>
      </c>
      <c r="B275" s="1" t="s">
        <v>8605</v>
      </c>
      <c r="C275" s="1">
        <v>2013</v>
      </c>
      <c r="D275" s="1" t="s">
        <v>8328</v>
      </c>
    </row>
    <row r="276" spans="1:4">
      <c r="A276" s="1">
        <v>10274</v>
      </c>
      <c r="B276" s="1" t="s">
        <v>8606</v>
      </c>
      <c r="C276" s="1">
        <v>2013</v>
      </c>
      <c r="D276" s="1" t="s">
        <v>550</v>
      </c>
    </row>
    <row r="277" spans="1:4">
      <c r="A277" s="1">
        <v>10275</v>
      </c>
      <c r="B277" s="1" t="s">
        <v>8607</v>
      </c>
      <c r="C277" s="1">
        <v>2013</v>
      </c>
      <c r="D277" s="1" t="s">
        <v>8320</v>
      </c>
    </row>
    <row r="278" spans="1:4">
      <c r="A278" s="1">
        <v>10276</v>
      </c>
      <c r="B278" s="1" t="s">
        <v>8608</v>
      </c>
      <c r="C278" s="1">
        <v>2013</v>
      </c>
      <c r="D278" s="1" t="s">
        <v>8345</v>
      </c>
    </row>
    <row r="279" spans="1:4">
      <c r="A279" s="1">
        <v>10277</v>
      </c>
      <c r="B279" s="1" t="s">
        <v>8609</v>
      </c>
      <c r="C279" s="1">
        <v>2013</v>
      </c>
      <c r="D279" s="1" t="s">
        <v>8340</v>
      </c>
    </row>
    <row r="280" spans="1:4">
      <c r="A280" s="1">
        <v>10278</v>
      </c>
      <c r="B280" s="1" t="s">
        <v>8610</v>
      </c>
      <c r="C280" s="1">
        <v>2013</v>
      </c>
      <c r="D280" s="1" t="s">
        <v>8340</v>
      </c>
    </row>
    <row r="281" spans="1:4">
      <c r="A281" s="1">
        <v>10279</v>
      </c>
      <c r="B281" s="1" t="s">
        <v>8611</v>
      </c>
      <c r="C281" s="1">
        <v>2013</v>
      </c>
      <c r="D281" s="1" t="s">
        <v>8371</v>
      </c>
    </row>
    <row r="282" spans="1:4">
      <c r="A282" s="1">
        <v>10280</v>
      </c>
      <c r="B282" s="1" t="s">
        <v>8612</v>
      </c>
      <c r="C282" s="1">
        <v>2013</v>
      </c>
      <c r="D282" s="1" t="s">
        <v>8340</v>
      </c>
    </row>
    <row r="283" spans="1:4">
      <c r="A283" s="1">
        <v>10281</v>
      </c>
      <c r="B283" s="1" t="s">
        <v>8613</v>
      </c>
      <c r="C283" s="1">
        <v>2013</v>
      </c>
      <c r="D283" s="1" t="s">
        <v>8320</v>
      </c>
    </row>
    <row r="284" spans="1:4">
      <c r="A284" s="1">
        <v>10282</v>
      </c>
      <c r="B284" s="1" t="s">
        <v>8614</v>
      </c>
      <c r="C284" s="1">
        <v>2013</v>
      </c>
      <c r="D284" s="1" t="s">
        <v>8384</v>
      </c>
    </row>
    <row r="285" spans="1:4">
      <c r="A285" s="1">
        <v>10283</v>
      </c>
      <c r="B285" s="1" t="s">
        <v>8615</v>
      </c>
      <c r="C285" s="1">
        <v>2013</v>
      </c>
      <c r="D285" s="1" t="s">
        <v>8316</v>
      </c>
    </row>
    <row r="286" spans="1:4">
      <c r="A286" s="1">
        <v>10284</v>
      </c>
      <c r="B286" s="1" t="s">
        <v>8616</v>
      </c>
      <c r="C286" s="1">
        <v>2013</v>
      </c>
      <c r="D286" s="1" t="s">
        <v>8318</v>
      </c>
    </row>
    <row r="287" spans="1:4">
      <c r="A287" s="1">
        <v>10285</v>
      </c>
      <c r="B287" s="1" t="s">
        <v>8617</v>
      </c>
      <c r="C287" s="1">
        <v>2013</v>
      </c>
      <c r="D287" s="1" t="s">
        <v>8618</v>
      </c>
    </row>
    <row r="288" spans="1:4">
      <c r="A288" s="1">
        <v>10286</v>
      </c>
      <c r="B288" s="1" t="s">
        <v>8619</v>
      </c>
      <c r="C288" s="1">
        <v>2013</v>
      </c>
      <c r="D288" s="1" t="s">
        <v>8405</v>
      </c>
    </row>
    <row r="289" spans="1:4">
      <c r="A289" s="1">
        <v>10287</v>
      </c>
      <c r="B289" s="1" t="s">
        <v>8620</v>
      </c>
      <c r="C289" s="1">
        <v>2013</v>
      </c>
      <c r="D289" s="1" t="s">
        <v>8320</v>
      </c>
    </row>
    <row r="290" spans="1:4">
      <c r="A290" s="1">
        <v>10288</v>
      </c>
      <c r="B290" s="1" t="s">
        <v>8621</v>
      </c>
      <c r="C290" s="1">
        <v>2013</v>
      </c>
      <c r="D290" s="1" t="s">
        <v>8356</v>
      </c>
    </row>
    <row r="291" spans="1:4">
      <c r="A291" s="1">
        <v>10289</v>
      </c>
      <c r="B291" s="1" t="s">
        <v>8622</v>
      </c>
      <c r="C291" s="1">
        <v>2013</v>
      </c>
      <c r="D291" s="1" t="s">
        <v>8336</v>
      </c>
    </row>
    <row r="292" spans="1:4">
      <c r="A292" s="1">
        <v>10290</v>
      </c>
      <c r="B292" s="1" t="s">
        <v>8623</v>
      </c>
      <c r="C292" s="1">
        <v>2013</v>
      </c>
      <c r="D292" s="1" t="s">
        <v>8411</v>
      </c>
    </row>
    <row r="293" spans="1:4">
      <c r="A293" s="1">
        <v>10291</v>
      </c>
      <c r="B293" s="1" t="s">
        <v>8624</v>
      </c>
      <c r="C293" s="1">
        <v>2013</v>
      </c>
      <c r="D293" s="1" t="s">
        <v>8331</v>
      </c>
    </row>
    <row r="294" spans="1:4">
      <c r="A294" s="1">
        <v>10292</v>
      </c>
      <c r="B294" s="1" t="s">
        <v>8625</v>
      </c>
      <c r="C294" s="1">
        <v>2013</v>
      </c>
      <c r="D294" s="1" t="s">
        <v>8384</v>
      </c>
    </row>
    <row r="295" spans="1:4">
      <c r="A295" s="1">
        <v>10293</v>
      </c>
      <c r="B295" s="1" t="s">
        <v>8626</v>
      </c>
      <c r="C295" s="1">
        <v>2013</v>
      </c>
      <c r="D295" s="1" t="s">
        <v>8356</v>
      </c>
    </row>
    <row r="296" spans="1:4">
      <c r="A296" s="1">
        <v>10294</v>
      </c>
      <c r="B296" s="1" t="s">
        <v>8627</v>
      </c>
      <c r="C296" s="1">
        <v>2013</v>
      </c>
      <c r="D296" s="1" t="s">
        <v>8411</v>
      </c>
    </row>
    <row r="297" spans="1:4">
      <c r="A297" s="1">
        <v>10295</v>
      </c>
      <c r="B297" s="1" t="s">
        <v>8628</v>
      </c>
      <c r="C297" s="1">
        <v>2013</v>
      </c>
      <c r="D297" s="1" t="s">
        <v>8461</v>
      </c>
    </row>
    <row r="298" spans="1:4">
      <c r="A298" s="1">
        <v>10296</v>
      </c>
      <c r="B298" s="1" t="s">
        <v>8629</v>
      </c>
      <c r="C298" s="1">
        <v>2013</v>
      </c>
      <c r="D298" s="1" t="s">
        <v>8461</v>
      </c>
    </row>
    <row r="299" spans="1:4">
      <c r="A299" s="1">
        <v>10297</v>
      </c>
      <c r="B299" s="1" t="s">
        <v>8630</v>
      </c>
      <c r="C299" s="1">
        <v>2013</v>
      </c>
      <c r="D299" s="1" t="s">
        <v>8318</v>
      </c>
    </row>
    <row r="300" spans="1:4">
      <c r="A300" s="1">
        <v>10298</v>
      </c>
      <c r="B300" s="1" t="s">
        <v>8631</v>
      </c>
      <c r="C300" s="1">
        <v>2013</v>
      </c>
      <c r="D300" s="1" t="s">
        <v>8632</v>
      </c>
    </row>
    <row r="301" spans="1:4">
      <c r="A301" s="1">
        <v>10299</v>
      </c>
      <c r="B301" s="1" t="s">
        <v>8633</v>
      </c>
      <c r="C301" s="1">
        <v>2013</v>
      </c>
      <c r="D301" s="1" t="s">
        <v>8634</v>
      </c>
    </row>
    <row r="302" spans="1:4">
      <c r="A302" s="1">
        <v>10321</v>
      </c>
      <c r="B302" s="1" t="s">
        <v>8635</v>
      </c>
      <c r="C302" s="1">
        <v>2014</v>
      </c>
      <c r="D302" s="1" t="s">
        <v>8320</v>
      </c>
    </row>
    <row r="303" spans="1:4">
      <c r="A303" s="1">
        <v>10322</v>
      </c>
      <c r="B303" s="1" t="s">
        <v>8636</v>
      </c>
      <c r="C303" s="1">
        <v>2014</v>
      </c>
      <c r="D303" s="1" t="s">
        <v>8340</v>
      </c>
    </row>
    <row r="304" spans="1:4">
      <c r="A304" s="1">
        <v>10349</v>
      </c>
      <c r="B304" s="1" t="s">
        <v>8637</v>
      </c>
      <c r="C304" s="1">
        <v>2014</v>
      </c>
      <c r="D304" s="1" t="s">
        <v>8371</v>
      </c>
    </row>
    <row r="305" spans="1:4">
      <c r="A305" s="1">
        <v>10352</v>
      </c>
      <c r="B305" s="1" t="s">
        <v>8638</v>
      </c>
      <c r="C305" s="1">
        <v>2014</v>
      </c>
      <c r="D305" s="1" t="s">
        <v>8331</v>
      </c>
    </row>
    <row r="306" spans="1:4">
      <c r="A306" s="1">
        <v>10354</v>
      </c>
      <c r="B306" s="1" t="s">
        <v>8639</v>
      </c>
      <c r="C306" s="1">
        <v>2014</v>
      </c>
      <c r="D306" s="1" t="s">
        <v>8325</v>
      </c>
    </row>
    <row r="307" spans="1:4">
      <c r="A307" s="1">
        <v>10376</v>
      </c>
      <c r="B307" s="1" t="s">
        <v>8640</v>
      </c>
      <c r="C307" s="1">
        <v>2014</v>
      </c>
      <c r="D307" s="1" t="s">
        <v>8356</v>
      </c>
    </row>
    <row r="308" spans="1:4">
      <c r="A308" s="1">
        <v>10396</v>
      </c>
      <c r="B308" s="1" t="s">
        <v>8641</v>
      </c>
      <c r="C308" s="1">
        <v>2014</v>
      </c>
      <c r="D308" s="1" t="s">
        <v>8642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9B076-AAA3-40CD-90B3-6488936DDD62}">
  <dimension ref="A1:C26"/>
  <sheetViews>
    <sheetView workbookViewId="0"/>
  </sheetViews>
  <sheetFormatPr defaultRowHeight="15"/>
  <cols>
    <col min="1" max="1" width="20.140625" bestFit="1" customWidth="1"/>
    <col min="2" max="2" width="12" bestFit="1" customWidth="1"/>
    <col min="3" max="3" width="15" bestFit="1" customWidth="1"/>
  </cols>
  <sheetData>
    <row r="1" spans="1:3">
      <c r="A1" s="19" t="s">
        <v>2000</v>
      </c>
      <c r="B1" t="s">
        <v>8643</v>
      </c>
      <c r="C1" t="s">
        <v>8644</v>
      </c>
    </row>
    <row r="2" spans="1:3">
      <c r="A2" t="s">
        <v>8331</v>
      </c>
      <c r="B2" s="20">
        <v>5893</v>
      </c>
      <c r="C2" s="20">
        <v>5.6284622731614133</v>
      </c>
    </row>
    <row r="3" spans="1:3">
      <c r="A3" t="s">
        <v>550</v>
      </c>
      <c r="B3" s="20">
        <v>4147</v>
      </c>
      <c r="C3" s="20">
        <v>5.5441176470588234</v>
      </c>
    </row>
    <row r="4" spans="1:3">
      <c r="A4" t="s">
        <v>8340</v>
      </c>
      <c r="B4" s="20">
        <v>3830</v>
      </c>
      <c r="C4" s="20">
        <v>5.5749636098981075</v>
      </c>
    </row>
    <row r="5" spans="1:3">
      <c r="A5" t="s">
        <v>8328</v>
      </c>
      <c r="B5" s="20">
        <v>3274</v>
      </c>
      <c r="C5" s="20">
        <v>5.4385382059800662</v>
      </c>
    </row>
    <row r="6" spans="1:3">
      <c r="A6" t="s">
        <v>8322</v>
      </c>
      <c r="B6" s="20">
        <v>3008</v>
      </c>
      <c r="C6" s="20">
        <v>5.5600739371534198</v>
      </c>
    </row>
    <row r="7" spans="1:3">
      <c r="A7" t="s">
        <v>8325</v>
      </c>
      <c r="B7" s="20">
        <v>2790</v>
      </c>
      <c r="C7" s="20">
        <v>5.4705882352941178</v>
      </c>
    </row>
    <row r="8" spans="1:3">
      <c r="A8" t="s">
        <v>8320</v>
      </c>
      <c r="B8" s="20">
        <v>2545</v>
      </c>
      <c r="C8" s="20">
        <v>5.4967602591792657</v>
      </c>
    </row>
    <row r="9" spans="1:3">
      <c r="A9" t="s">
        <v>8411</v>
      </c>
      <c r="B9" s="20">
        <v>1579</v>
      </c>
      <c r="C9" s="20">
        <v>5.3890784982935154</v>
      </c>
    </row>
    <row r="10" spans="1:3">
      <c r="A10" t="s">
        <v>8356</v>
      </c>
      <c r="B10" s="20">
        <v>1333</v>
      </c>
      <c r="C10" s="20">
        <v>5.7956521739130435</v>
      </c>
    </row>
    <row r="11" spans="1:3">
      <c r="A11" t="s">
        <v>8318</v>
      </c>
      <c r="B11" s="20">
        <v>975</v>
      </c>
      <c r="C11" s="20">
        <v>5.416666666666667</v>
      </c>
    </row>
    <row r="12" spans="1:3">
      <c r="A12" t="s">
        <v>8316</v>
      </c>
      <c r="B12" s="20">
        <v>927</v>
      </c>
      <c r="C12" s="20">
        <v>5.0934065934065931</v>
      </c>
    </row>
    <row r="13" spans="1:3">
      <c r="A13" t="s">
        <v>8371</v>
      </c>
      <c r="B13" s="20">
        <v>878</v>
      </c>
      <c r="C13" s="20">
        <v>5.4197530864197532</v>
      </c>
    </row>
    <row r="14" spans="1:3">
      <c r="A14" t="s">
        <v>8345</v>
      </c>
      <c r="B14" s="20">
        <v>711</v>
      </c>
      <c r="C14" s="20">
        <v>5.5116279069767442</v>
      </c>
    </row>
    <row r="15" spans="1:3">
      <c r="A15" t="s">
        <v>8336</v>
      </c>
      <c r="B15" s="20">
        <v>692</v>
      </c>
      <c r="C15" s="20">
        <v>5.3230769230769228</v>
      </c>
    </row>
    <row r="16" spans="1:3">
      <c r="A16" t="s">
        <v>8384</v>
      </c>
      <c r="B16" s="20">
        <v>450</v>
      </c>
      <c r="C16" s="20">
        <v>6.25</v>
      </c>
    </row>
    <row r="17" spans="1:3">
      <c r="A17" t="s">
        <v>8405</v>
      </c>
      <c r="B17" s="20">
        <v>419</v>
      </c>
      <c r="C17" s="20">
        <v>5.8194444444444446</v>
      </c>
    </row>
    <row r="18" spans="1:3">
      <c r="A18" t="s">
        <v>8354</v>
      </c>
      <c r="B18" s="20">
        <v>359</v>
      </c>
      <c r="C18" s="20">
        <v>5.2028985507246377</v>
      </c>
    </row>
    <row r="19" spans="1:3">
      <c r="A19" t="s">
        <v>8461</v>
      </c>
      <c r="B19" s="20">
        <v>334</v>
      </c>
      <c r="C19" s="20">
        <v>5.9642857142857144</v>
      </c>
    </row>
    <row r="20" spans="1:3">
      <c r="A20" t="s">
        <v>8618</v>
      </c>
      <c r="B20" s="20">
        <v>287</v>
      </c>
      <c r="C20" s="20">
        <v>6.1063829787234045</v>
      </c>
    </row>
    <row r="21" spans="1:3">
      <c r="A21" t="s">
        <v>8546</v>
      </c>
      <c r="B21" s="20">
        <v>151</v>
      </c>
      <c r="C21" s="20">
        <v>6.291666666666667</v>
      </c>
    </row>
    <row r="22" spans="1:3">
      <c r="A22" t="s">
        <v>8634</v>
      </c>
      <c r="B22" s="20">
        <v>120</v>
      </c>
      <c r="C22" s="20">
        <v>5</v>
      </c>
    </row>
    <row r="23" spans="1:3">
      <c r="A23" t="s">
        <v>8392</v>
      </c>
      <c r="B23" s="20">
        <v>118</v>
      </c>
      <c r="C23" s="20">
        <v>4.5384615384615383</v>
      </c>
    </row>
    <row r="24" spans="1:3">
      <c r="A24" t="s">
        <v>8632</v>
      </c>
      <c r="B24" s="20">
        <v>92</v>
      </c>
      <c r="C24" s="20">
        <v>6.5714285714285712</v>
      </c>
    </row>
    <row r="25" spans="1:3">
      <c r="A25" t="s">
        <v>8642</v>
      </c>
      <c r="B25" s="20">
        <v>11</v>
      </c>
      <c r="C25" s="20">
        <v>5.5</v>
      </c>
    </row>
    <row r="26" spans="1:3">
      <c r="A26" t="s">
        <v>8645</v>
      </c>
      <c r="B26" s="20">
        <v>34923</v>
      </c>
      <c r="C26" s="20">
        <v>5.5345483359746437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0CEAE-469D-4FBA-92AC-E83B0E363DAB}">
  <dimension ref="A1:C71"/>
  <sheetViews>
    <sheetView workbookViewId="0">
      <selection sqref="A1:C71"/>
    </sheetView>
  </sheetViews>
  <sheetFormatPr defaultRowHeight="15"/>
  <cols>
    <col min="1" max="1" width="11.140625" bestFit="1" customWidth="1"/>
    <col min="2" max="2" width="20.140625" bestFit="1" customWidth="1"/>
    <col min="3" max="3" width="12" bestFit="1" customWidth="1"/>
  </cols>
  <sheetData>
    <row r="1" spans="1:3">
      <c r="A1" s="19" t="s">
        <v>2001</v>
      </c>
      <c r="B1" s="19" t="s">
        <v>2000</v>
      </c>
      <c r="C1" t="s">
        <v>8643</v>
      </c>
    </row>
    <row r="2" spans="1:3">
      <c r="A2">
        <v>2012</v>
      </c>
      <c r="B2" t="s">
        <v>8325</v>
      </c>
      <c r="C2" s="20">
        <v>172</v>
      </c>
    </row>
    <row r="3" spans="1:3">
      <c r="B3" t="s">
        <v>8392</v>
      </c>
      <c r="C3" s="20">
        <v>8</v>
      </c>
    </row>
    <row r="4" spans="1:3">
      <c r="B4" t="s">
        <v>8345</v>
      </c>
      <c r="C4" s="20">
        <v>22</v>
      </c>
    </row>
    <row r="5" spans="1:3">
      <c r="B5" t="s">
        <v>8318</v>
      </c>
      <c r="C5" s="20">
        <v>5</v>
      </c>
    </row>
    <row r="6" spans="1:3">
      <c r="B6" t="s">
        <v>550</v>
      </c>
      <c r="C6" s="20">
        <v>278</v>
      </c>
    </row>
    <row r="7" spans="1:3">
      <c r="B7" t="s">
        <v>8405</v>
      </c>
      <c r="C7" s="20">
        <v>1</v>
      </c>
    </row>
    <row r="8" spans="1:3">
      <c r="B8" t="s">
        <v>8320</v>
      </c>
      <c r="C8" s="20">
        <v>78</v>
      </c>
    </row>
    <row r="9" spans="1:3">
      <c r="B9" t="s">
        <v>8336</v>
      </c>
      <c r="C9" s="20">
        <v>27</v>
      </c>
    </row>
    <row r="10" spans="1:3">
      <c r="B10" t="s">
        <v>8322</v>
      </c>
      <c r="C10" s="20">
        <v>265</v>
      </c>
    </row>
    <row r="11" spans="1:3">
      <c r="B11" t="s">
        <v>8356</v>
      </c>
      <c r="C11" s="20">
        <v>50</v>
      </c>
    </row>
    <row r="12" spans="1:3">
      <c r="B12" t="s">
        <v>8546</v>
      </c>
      <c r="C12" s="20">
        <v>14</v>
      </c>
    </row>
    <row r="13" spans="1:3">
      <c r="B13" t="s">
        <v>8371</v>
      </c>
      <c r="C13" s="20">
        <v>72</v>
      </c>
    </row>
    <row r="14" spans="1:3">
      <c r="B14" t="s">
        <v>8328</v>
      </c>
      <c r="C14" s="20">
        <v>228</v>
      </c>
    </row>
    <row r="15" spans="1:3">
      <c r="B15" t="s">
        <v>8384</v>
      </c>
      <c r="C15" s="20">
        <v>9</v>
      </c>
    </row>
    <row r="16" spans="1:3">
      <c r="B16" t="s">
        <v>8354</v>
      </c>
      <c r="C16" s="20">
        <v>22</v>
      </c>
    </row>
    <row r="17" spans="1:3">
      <c r="B17" t="s">
        <v>8316</v>
      </c>
      <c r="C17" s="20">
        <v>58</v>
      </c>
    </row>
    <row r="18" spans="1:3">
      <c r="B18" t="s">
        <v>8340</v>
      </c>
      <c r="C18" s="20">
        <v>186</v>
      </c>
    </row>
    <row r="19" spans="1:3">
      <c r="B19" t="s">
        <v>8331</v>
      </c>
      <c r="C19" s="20">
        <v>419</v>
      </c>
    </row>
    <row r="20" spans="1:3">
      <c r="B20" t="s">
        <v>8411</v>
      </c>
      <c r="C20" s="20">
        <v>44</v>
      </c>
    </row>
    <row r="21" spans="1:3">
      <c r="A21" t="s">
        <v>8646</v>
      </c>
      <c r="C21" s="20">
        <v>1958</v>
      </c>
    </row>
    <row r="22" spans="1:3">
      <c r="A22">
        <v>2013</v>
      </c>
      <c r="B22" t="s">
        <v>8461</v>
      </c>
      <c r="C22" s="20">
        <v>261</v>
      </c>
    </row>
    <row r="23" spans="1:3">
      <c r="B23" t="s">
        <v>8325</v>
      </c>
      <c r="C23" s="20">
        <v>1833</v>
      </c>
    </row>
    <row r="24" spans="1:3">
      <c r="B24" t="s">
        <v>8392</v>
      </c>
      <c r="C24" s="20">
        <v>94</v>
      </c>
    </row>
    <row r="25" spans="1:3">
      <c r="B25" t="s">
        <v>8345</v>
      </c>
      <c r="C25" s="20">
        <v>479</v>
      </c>
    </row>
    <row r="26" spans="1:3">
      <c r="B26" t="s">
        <v>8318</v>
      </c>
      <c r="C26" s="20">
        <v>654</v>
      </c>
    </row>
    <row r="27" spans="1:3">
      <c r="B27" t="s">
        <v>550</v>
      </c>
      <c r="C27" s="20">
        <v>2730</v>
      </c>
    </row>
    <row r="28" spans="1:3">
      <c r="B28" t="s">
        <v>8405</v>
      </c>
      <c r="C28" s="20">
        <v>206</v>
      </c>
    </row>
    <row r="29" spans="1:3">
      <c r="B29" t="s">
        <v>8320</v>
      </c>
      <c r="C29" s="20">
        <v>1764</v>
      </c>
    </row>
    <row r="30" spans="1:3">
      <c r="B30" t="s">
        <v>8336</v>
      </c>
      <c r="C30" s="20">
        <v>497</v>
      </c>
    </row>
    <row r="31" spans="1:3">
      <c r="B31" t="s">
        <v>8322</v>
      </c>
      <c r="C31" s="20">
        <v>2116</v>
      </c>
    </row>
    <row r="32" spans="1:3">
      <c r="B32" t="s">
        <v>8634</v>
      </c>
      <c r="C32" s="20">
        <v>63</v>
      </c>
    </row>
    <row r="33" spans="1:3">
      <c r="B33" t="s">
        <v>8356</v>
      </c>
      <c r="C33" s="20">
        <v>910</v>
      </c>
    </row>
    <row r="34" spans="1:3">
      <c r="B34" t="s">
        <v>8546</v>
      </c>
      <c r="C34" s="20">
        <v>123</v>
      </c>
    </row>
    <row r="35" spans="1:3">
      <c r="B35" t="s">
        <v>8618</v>
      </c>
      <c r="C35" s="20">
        <v>129</v>
      </c>
    </row>
    <row r="36" spans="1:3">
      <c r="B36" t="s">
        <v>8371</v>
      </c>
      <c r="C36" s="20">
        <v>513</v>
      </c>
    </row>
    <row r="37" spans="1:3">
      <c r="B37" t="s">
        <v>8328</v>
      </c>
      <c r="C37" s="20">
        <v>2380</v>
      </c>
    </row>
    <row r="38" spans="1:3">
      <c r="B38" t="s">
        <v>8384</v>
      </c>
      <c r="C38" s="20">
        <v>328</v>
      </c>
    </row>
    <row r="39" spans="1:3">
      <c r="B39" t="s">
        <v>8354</v>
      </c>
      <c r="C39" s="20">
        <v>282</v>
      </c>
    </row>
    <row r="40" spans="1:3">
      <c r="B40" t="s">
        <v>8316</v>
      </c>
      <c r="C40" s="20">
        <v>585</v>
      </c>
    </row>
    <row r="41" spans="1:3">
      <c r="B41" t="s">
        <v>8340</v>
      </c>
      <c r="C41" s="20">
        <v>2637</v>
      </c>
    </row>
    <row r="42" spans="1:3">
      <c r="B42" t="s">
        <v>8632</v>
      </c>
      <c r="C42" s="20">
        <v>69</v>
      </c>
    </row>
    <row r="43" spans="1:3">
      <c r="B43" t="s">
        <v>8331</v>
      </c>
      <c r="C43" s="20">
        <v>3900</v>
      </c>
    </row>
    <row r="44" spans="1:3">
      <c r="B44" t="s">
        <v>8411</v>
      </c>
      <c r="C44" s="20">
        <v>1164</v>
      </c>
    </row>
    <row r="45" spans="1:3">
      <c r="A45" t="s">
        <v>8647</v>
      </c>
      <c r="C45" s="20">
        <v>23717</v>
      </c>
    </row>
    <row r="46" spans="1:3">
      <c r="A46">
        <v>2014</v>
      </c>
      <c r="B46" t="s">
        <v>8461</v>
      </c>
      <c r="C46" s="20">
        <v>73</v>
      </c>
    </row>
    <row r="47" spans="1:3">
      <c r="B47" t="s">
        <v>8325</v>
      </c>
      <c r="C47" s="20">
        <v>785</v>
      </c>
    </row>
    <row r="48" spans="1:3">
      <c r="B48" t="s">
        <v>8392</v>
      </c>
      <c r="C48" s="20">
        <v>16</v>
      </c>
    </row>
    <row r="49" spans="2:3">
      <c r="B49" t="s">
        <v>8345</v>
      </c>
      <c r="C49" s="20">
        <v>210</v>
      </c>
    </row>
    <row r="50" spans="2:3">
      <c r="B50" t="s">
        <v>8318</v>
      </c>
      <c r="C50" s="20">
        <v>316</v>
      </c>
    </row>
    <row r="51" spans="2:3">
      <c r="B51" t="s">
        <v>550</v>
      </c>
      <c r="C51" s="20">
        <v>1139</v>
      </c>
    </row>
    <row r="52" spans="2:3">
      <c r="B52" t="s">
        <v>8405</v>
      </c>
      <c r="C52" s="20">
        <v>212</v>
      </c>
    </row>
    <row r="53" spans="2:3">
      <c r="B53" t="s">
        <v>8320</v>
      </c>
      <c r="C53" s="20">
        <v>703</v>
      </c>
    </row>
    <row r="54" spans="2:3">
      <c r="B54" t="s">
        <v>8336</v>
      </c>
      <c r="C54" s="20">
        <v>168</v>
      </c>
    </row>
    <row r="55" spans="2:3">
      <c r="B55" t="s">
        <v>8322</v>
      </c>
      <c r="C55" s="20">
        <v>627</v>
      </c>
    </row>
    <row r="56" spans="2:3">
      <c r="B56" t="s">
        <v>8634</v>
      </c>
      <c r="C56" s="20">
        <v>57</v>
      </c>
    </row>
    <row r="57" spans="2:3">
      <c r="B57" t="s">
        <v>8356</v>
      </c>
      <c r="C57" s="20">
        <v>373</v>
      </c>
    </row>
    <row r="58" spans="2:3">
      <c r="B58" t="s">
        <v>8546</v>
      </c>
      <c r="C58" s="20">
        <v>14</v>
      </c>
    </row>
    <row r="59" spans="2:3">
      <c r="B59" t="s">
        <v>8618</v>
      </c>
      <c r="C59" s="20">
        <v>158</v>
      </c>
    </row>
    <row r="60" spans="2:3">
      <c r="B60" t="s">
        <v>8371</v>
      </c>
      <c r="C60" s="20">
        <v>293</v>
      </c>
    </row>
    <row r="61" spans="2:3">
      <c r="B61" t="s">
        <v>8328</v>
      </c>
      <c r="C61" s="20">
        <v>666</v>
      </c>
    </row>
    <row r="62" spans="2:3">
      <c r="B62" t="s">
        <v>8384</v>
      </c>
      <c r="C62" s="20">
        <v>113</v>
      </c>
    </row>
    <row r="63" spans="2:3">
      <c r="B63" t="s">
        <v>8642</v>
      </c>
      <c r="C63" s="20">
        <v>11</v>
      </c>
    </row>
    <row r="64" spans="2:3">
      <c r="B64" t="s">
        <v>8354</v>
      </c>
      <c r="C64" s="20">
        <v>55</v>
      </c>
    </row>
    <row r="65" spans="1:3">
      <c r="B65" t="s">
        <v>8316</v>
      </c>
      <c r="C65" s="20">
        <v>284</v>
      </c>
    </row>
    <row r="66" spans="1:3">
      <c r="B66" t="s">
        <v>8340</v>
      </c>
      <c r="C66" s="20">
        <v>1007</v>
      </c>
    </row>
    <row r="67" spans="1:3">
      <c r="B67" t="s">
        <v>8632</v>
      </c>
      <c r="C67" s="20">
        <v>23</v>
      </c>
    </row>
    <row r="68" spans="1:3">
      <c r="B68" t="s">
        <v>8331</v>
      </c>
      <c r="C68" s="20">
        <v>1574</v>
      </c>
    </row>
    <row r="69" spans="1:3">
      <c r="B69" t="s">
        <v>8411</v>
      </c>
      <c r="C69" s="20">
        <v>371</v>
      </c>
    </row>
    <row r="70" spans="1:3">
      <c r="A70" t="s">
        <v>8648</v>
      </c>
      <c r="C70" s="20">
        <v>9248</v>
      </c>
    </row>
    <row r="71" spans="1:3">
      <c r="A71" t="s">
        <v>8645</v>
      </c>
      <c r="C71" s="20">
        <v>34923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5B0B-5238-4BF7-96FE-FAF91A5829D8}">
  <dimension ref="A1:D6"/>
  <sheetViews>
    <sheetView workbookViewId="0">
      <selection activeCell="C4" sqref="C4"/>
    </sheetView>
  </sheetViews>
  <sheetFormatPr defaultRowHeight="15"/>
  <cols>
    <col min="1" max="1" width="12" bestFit="1" customWidth="1"/>
    <col min="2" max="2" width="9.7109375" bestFit="1" customWidth="1"/>
    <col min="3" max="3" width="5.140625" bestFit="1" customWidth="1"/>
    <col min="4" max="4" width="11.140625" bestFit="1" customWidth="1"/>
    <col min="5" max="5" width="11.28515625" bestFit="1" customWidth="1"/>
    <col min="6" max="6" width="6.140625" bestFit="1" customWidth="1"/>
    <col min="7" max="7" width="5.140625" bestFit="1" customWidth="1"/>
    <col min="8" max="8" width="14.42578125" bestFit="1" customWidth="1"/>
    <col min="9" max="9" width="9.42578125" bestFit="1" customWidth="1"/>
    <col min="10" max="10" width="15.7109375" bestFit="1" customWidth="1"/>
    <col min="11" max="11" width="10.7109375" bestFit="1" customWidth="1"/>
    <col min="12" max="12" width="11.7109375" bestFit="1" customWidth="1"/>
    <col min="14" max="14" width="4.140625" bestFit="1" customWidth="1"/>
    <col min="15" max="15" width="19.42578125" bestFit="1" customWidth="1"/>
    <col min="16" max="16" width="12.7109375" bestFit="1" customWidth="1"/>
    <col min="17" max="17" width="5.140625" bestFit="1" customWidth="1"/>
    <col min="18" max="18" width="13.140625" bestFit="1" customWidth="1"/>
    <col min="19" max="19" width="20.85546875" bestFit="1" customWidth="1"/>
    <col min="20" max="20" width="21" bestFit="1" customWidth="1"/>
    <col min="21" max="21" width="6.7109375" bestFit="1" customWidth="1"/>
    <col min="22" max="22" width="9.28515625" bestFit="1" customWidth="1"/>
    <col min="23" max="23" width="4.28515625" bestFit="1" customWidth="1"/>
    <col min="24" max="24" width="15.42578125" bestFit="1" customWidth="1"/>
    <col min="25" max="25" width="18.7109375" bestFit="1" customWidth="1"/>
    <col min="26" max="26" width="11.140625" bestFit="1" customWidth="1"/>
  </cols>
  <sheetData>
    <row r="1" spans="1:4">
      <c r="A1" s="19" t="s">
        <v>8643</v>
      </c>
      <c r="B1" s="19" t="s">
        <v>2000</v>
      </c>
    </row>
    <row r="2" spans="1:4">
      <c r="A2" s="19" t="s">
        <v>2001</v>
      </c>
      <c r="B2" t="s">
        <v>8461</v>
      </c>
      <c r="C2" t="s">
        <v>550</v>
      </c>
      <c r="D2" t="s">
        <v>8645</v>
      </c>
    </row>
    <row r="3" spans="1:4">
      <c r="A3">
        <v>2012</v>
      </c>
      <c r="B3" s="20"/>
      <c r="C3" s="20">
        <v>278</v>
      </c>
      <c r="D3" s="20">
        <v>278</v>
      </c>
    </row>
    <row r="4" spans="1:4">
      <c r="A4">
        <v>2013</v>
      </c>
      <c r="B4" s="20">
        <v>261</v>
      </c>
      <c r="C4" s="20">
        <v>2730</v>
      </c>
      <c r="D4" s="20">
        <v>2991</v>
      </c>
    </row>
    <row r="5" spans="1:4">
      <c r="A5">
        <v>2014</v>
      </c>
      <c r="B5" s="20">
        <v>73</v>
      </c>
      <c r="C5" s="20">
        <v>1139</v>
      </c>
      <c r="D5" s="20">
        <v>1212</v>
      </c>
    </row>
    <row r="6" spans="1:4">
      <c r="A6" t="s">
        <v>8645</v>
      </c>
      <c r="B6" s="20">
        <v>334</v>
      </c>
      <c r="C6" s="20">
        <v>4147</v>
      </c>
      <c r="D6" s="20">
        <v>4481</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SUNIL PASUPULA</dc:creator>
  <cp:keywords/>
  <dc:description/>
  <cp:lastModifiedBy/>
  <cp:revision/>
  <dcterms:created xsi:type="dcterms:W3CDTF">2024-10-01T10:35:05Z</dcterms:created>
  <dcterms:modified xsi:type="dcterms:W3CDTF">2026-05-10T19:53:35Z</dcterms:modified>
  <cp:category/>
  <cp:contentStatus/>
</cp:coreProperties>
</file>